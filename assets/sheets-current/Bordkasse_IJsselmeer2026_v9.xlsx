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Eingabe" sheetId="1" state="visible" r:id="rId1"/>
    <sheet name="Gutschrift" sheetId="2" state="visible" r:id="rId2"/>
    <sheet name="Besatzung" sheetId="3" state="visible" r:id="rId3"/>
    <sheet name="Kategorien" sheetId="4" state="visible" r:id="rId4"/>
    <sheet name="Transaktionen" sheetId="5" state="visible" r:id="rId5"/>
    <sheet name="Bilanz" sheetId="6" state="visible" r:id="rId6"/>
    <sheet name="Schulden" sheetId="7" state="visible" r:id="rId7"/>
    <sheet name="Auswertung" sheetId="8" state="visible" r:id="rId8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6">
    <numFmt numFmtId="164" formatCode="dd\.mm\.yyyy"/>
    <numFmt numFmtId="165" formatCode="#,##0.00&quot; €&quot;"/>
    <numFmt numFmtId="166" formatCode="0&quot; Tage&quot;"/>
    <numFmt numFmtId="167" formatCode="0.0%"/>
    <numFmt numFmtId="168" formatCode="DD.MM.YYYY"/>
    <numFmt numFmtId="169" formatCode="#,##0.00 &quot;€&quot;"/>
  </numFmts>
  <fonts count="49">
    <font>
      <name val="Calibri"/>
      <charset val="1"/>
      <family val="0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24"/>
    </font>
    <font>
      <name val="Arial"/>
      <charset val="1"/>
      <family val="0"/>
      <i val="1"/>
      <color rgb="FFFFFFFF"/>
      <sz val="13"/>
    </font>
    <font>
      <name val="Arial"/>
      <charset val="1"/>
      <family val="0"/>
      <b val="1"/>
      <color rgb="FFFFFFFF"/>
      <sz val="13"/>
    </font>
    <font>
      <name val="Arial"/>
      <charset val="1"/>
      <family val="0"/>
      <b val="1"/>
      <color rgb="FF114884"/>
      <sz val="12"/>
    </font>
    <font>
      <name val="Arial"/>
      <charset val="1"/>
      <family val="0"/>
      <b val="1"/>
      <color rgb="FF114884"/>
      <sz val="16"/>
    </font>
    <font>
      <name val="Arial"/>
      <charset val="1"/>
      <family val="0"/>
      <b val="1"/>
      <color rgb="FF114884"/>
      <sz val="14"/>
    </font>
    <font>
      <name val="Arial"/>
      <charset val="1"/>
      <family val="0"/>
      <color rgb="FF114884"/>
      <sz val="14"/>
    </font>
    <font>
      <name val="Arial"/>
      <charset val="1"/>
      <family val="0"/>
      <b val="1"/>
      <color rgb="FF114884"/>
      <sz val="22"/>
    </font>
    <font>
      <name val="Arial"/>
      <charset val="1"/>
      <family val="0"/>
      <i val="1"/>
      <color rgb="FF808284"/>
      <sz val="12"/>
    </font>
    <font>
      <name val="Arial"/>
      <charset val="1"/>
      <family val="0"/>
      <color rgb="FF114884"/>
      <sz val="13"/>
    </font>
    <font>
      <name val="Arial"/>
      <charset val="1"/>
      <family val="0"/>
      <i val="1"/>
      <color rgb="FF808284"/>
      <sz val="10"/>
    </font>
    <font>
      <name val="Arial"/>
      <charset val="1"/>
      <family val="0"/>
      <b val="1"/>
      <color rgb="FF114884"/>
      <sz val="11"/>
    </font>
    <font>
      <name val="Arial"/>
      <charset val="1"/>
      <family val="0"/>
      <b val="1"/>
      <color rgb="FF114884"/>
      <sz val="13"/>
    </font>
    <font>
      <name val="Arial"/>
      <charset val="1"/>
      <family val="0"/>
      <b val="1"/>
      <color rgb="FF114884"/>
      <sz val="18"/>
    </font>
    <font>
      <name val="Arial"/>
      <charset val="1"/>
      <family val="0"/>
      <b val="1"/>
      <color rgb="FFFFFFFF"/>
      <sz val="20"/>
    </font>
    <font>
      <name val="Arial"/>
      <charset val="1"/>
      <family val="0"/>
      <b val="1"/>
      <color rgb="FFFFFFFF"/>
      <sz val="11"/>
    </font>
    <font>
      <name val="Arial"/>
      <charset val="1"/>
      <family val="0"/>
      <i val="1"/>
      <color rgb="FF114884"/>
      <sz val="11"/>
    </font>
    <font>
      <name val="Campton"/>
      <charset val="1"/>
      <family val="0"/>
      <b val="1"/>
      <color rgb="FFFFFFFF"/>
      <sz val="20"/>
    </font>
    <font>
      <name val="Arial"/>
      <charset val="1"/>
      <family val="0"/>
      <b val="1"/>
      <color rgb="FFFFFFFF"/>
      <sz val="12"/>
    </font>
    <font>
      <name val="Arial"/>
      <charset val="1"/>
      <family val="0"/>
      <i val="1"/>
      <color rgb="FF808284"/>
      <sz val="9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color rgb="FF808284"/>
      <sz val="9"/>
    </font>
    <font>
      <name val="Arial"/>
      <charset val="1"/>
      <family val="0"/>
      <color rgb="FF114884"/>
      <sz val="10"/>
    </font>
    <font>
      <name val="Arial"/>
      <charset val="1"/>
      <family val="0"/>
      <b val="1"/>
      <color rgb="FF587EA8"/>
      <sz val="10"/>
    </font>
    <font>
      <name val="Arial"/>
      <charset val="1"/>
      <family val="0"/>
      <b val="1"/>
      <color rgb="FF1D4281"/>
      <sz val="10"/>
    </font>
    <font>
      <name val="Arial"/>
      <charset val="1"/>
      <family val="0"/>
      <i val="1"/>
      <color rgb="FFCCCCCC"/>
      <sz val="8"/>
    </font>
    <font>
      <name val="Arial"/>
      <charset val="1"/>
      <family val="0"/>
      <i val="1"/>
      <color rgb="FF114884"/>
      <sz val="10"/>
    </font>
    <font>
      <name val="Arial"/>
      <charset val="1"/>
      <family val="0"/>
      <color rgb="FF808284"/>
      <sz val="10"/>
    </font>
    <font>
      <name val="Arial"/>
      <charset val="1"/>
      <family val="0"/>
      <i val="1"/>
      <color rgb="FF808284"/>
      <sz val="11"/>
    </font>
    <font>
      <name val="Campton"/>
      <charset val="1"/>
      <family val="0"/>
      <b val="1"/>
      <color rgb="FFFFFFFF"/>
      <sz val="14"/>
    </font>
    <font>
      <name val="Arial"/>
      <charset val="1"/>
      <family val="0"/>
      <b val="1"/>
      <color rgb="FFFFFFFF"/>
      <sz val="8"/>
    </font>
    <font>
      <name val="Arial"/>
      <charset val="1"/>
      <family val="0"/>
      <i val="1"/>
      <color rgb="FF808284"/>
      <sz val="8"/>
    </font>
    <font>
      <name val="Arial"/>
      <charset val="1"/>
      <family val="0"/>
      <color rgb="FF808284"/>
      <sz val="9"/>
    </font>
    <font>
      <name val="Arial"/>
      <charset val="1"/>
      <family val="0"/>
      <b val="1"/>
      <color rgb="FF1D4281"/>
      <sz val="9"/>
    </font>
    <font>
      <name val="Arial"/>
      <charset val="1"/>
      <family val="0"/>
      <b val="1"/>
      <color rgb="FF114884"/>
      <sz val="10"/>
    </font>
    <font>
      <name val="Arial"/>
      <charset val="1"/>
      <family val="0"/>
      <color rgb="FF587EA8"/>
      <sz val="10"/>
    </font>
    <font>
      <name val="Arial"/>
      <charset val="1"/>
      <family val="0"/>
      <color rgb="FF808284"/>
      <sz val="8"/>
    </font>
    <font>
      <name val="Campton"/>
      <charset val="1"/>
      <family val="0"/>
      <b val="1"/>
      <color rgb="FFFFFFFF"/>
      <sz val="18"/>
    </font>
    <font>
      <name val="Arial"/>
      <charset val="1"/>
      <family val="0"/>
      <b val="1"/>
      <color rgb="FF1E8449"/>
      <sz val="11"/>
    </font>
    <font>
      <name val="Arial"/>
      <charset val="1"/>
      <family val="0"/>
      <color rgb="FFA93226"/>
      <sz val="11"/>
    </font>
    <font>
      <name val="Arial"/>
      <charset val="1"/>
      <family val="0"/>
      <color rgb="FF808284"/>
      <sz val="11"/>
    </font>
    <font>
      <name val="Arial"/>
      <charset val="1"/>
      <family val="0"/>
      <i val="1"/>
      <color rgb="FFAAAAAA"/>
      <sz val="9"/>
    </font>
    <font>
      <name val="Arial"/>
      <charset val="1"/>
      <family val="0"/>
      <b val="1"/>
      <color rgb="FFA93226"/>
      <sz val="11"/>
    </font>
    <font>
      <name val="Arial"/>
      <charset val="1"/>
      <family val="0"/>
      <color rgb="FF114884"/>
      <sz val="12"/>
    </font>
    <font>
      <name val="Arial"/>
      <charset val="1"/>
      <family val="0"/>
      <i val="1"/>
      <color rgb="FFBBBBBB"/>
      <sz val="9"/>
    </font>
  </fonts>
  <fills count="18">
    <fill>
      <patternFill/>
    </fill>
    <fill>
      <patternFill patternType="gray125"/>
    </fill>
    <fill>
      <patternFill patternType="solid">
        <fgColor rgb="FF114884"/>
        <bgColor rgb="FF1D4281"/>
      </patternFill>
    </fill>
    <fill>
      <patternFill patternType="solid">
        <fgColor rgb="FFD6E1EE"/>
        <bgColor rgb="FFDEE1E6"/>
      </patternFill>
    </fill>
    <fill>
      <patternFill patternType="solid">
        <fgColor rgb="FFFFFFFF"/>
        <bgColor rgb="FFF4F6F8"/>
      </patternFill>
    </fill>
    <fill>
      <patternFill patternType="solid">
        <fgColor rgb="FFFDF6DC"/>
        <bgColor rgb="FFF4F6F8"/>
      </patternFill>
    </fill>
    <fill>
      <patternFill patternType="solid">
        <fgColor rgb="FF587EA8"/>
        <bgColor rgb="FF808284"/>
      </patternFill>
    </fill>
    <fill>
      <patternFill patternType="solid">
        <fgColor rgb="FFF4F6F8"/>
        <bgColor rgb="FFE8F3EC"/>
      </patternFill>
    </fill>
    <fill>
      <patternFill patternType="solid">
        <fgColor rgb="FF1D4281"/>
        <bgColor rgb="FF114884"/>
      </patternFill>
    </fill>
    <fill>
      <patternFill patternType="solid">
        <fgColor rgb="FF1E8449"/>
        <bgColor rgb="FF1A7F8E"/>
      </patternFill>
    </fill>
    <fill>
      <patternFill patternType="solid">
        <fgColor rgb="FF0F2942"/>
        <bgColor rgb="FF333333"/>
      </patternFill>
    </fill>
    <fill>
      <patternFill patternType="solid">
        <fgColor rgb="FFE8EBF0"/>
        <bgColor rgb="FFE8F3EC"/>
      </patternFill>
    </fill>
    <fill>
      <patternFill patternType="solid">
        <fgColor rgb="FFC8D5E6"/>
        <bgColor rgb="FFCCCCCC"/>
      </patternFill>
    </fill>
    <fill>
      <patternFill patternType="solid">
        <fgColor rgb="FFE8F3EC"/>
        <bgColor rgb="FFE8EBF0"/>
      </patternFill>
    </fill>
    <fill>
      <patternFill patternType="solid">
        <fgColor rgb="FFF5E4E0"/>
        <bgColor rgb="FFE8EBF0"/>
      </patternFill>
    </fill>
    <fill>
      <patternFill patternType="solid">
        <fgColor rgb="FFD9EEDE"/>
        <bgColor rgb="FFE8F3EC"/>
      </patternFill>
    </fill>
    <fill>
      <patternFill patternType="solid">
        <fgColor rgb="FFEBD0CC"/>
        <bgColor rgb="FFDEE1E6"/>
      </patternFill>
    </fill>
    <fill>
      <patternFill patternType="solid">
        <fgColor rgb="FFDEE1E6"/>
        <bgColor rgb="FFD6E1EE"/>
      </patternFill>
    </fill>
  </fills>
  <borders count="43">
    <border>
      <left/>
      <right/>
      <top/>
      <bottom/>
      <diagonal/>
    </border>
    <border>
      <left style="medium">
        <color rgb="FF114884"/>
      </left>
      <right style="medium">
        <color rgb="FF114884"/>
      </right>
      <top style="medium">
        <color rgb="FF114884"/>
      </top>
      <bottom style="medium">
        <color rgb="FF114884"/>
      </bottom>
      <diagonal/>
    </border>
    <border>
      <left style="thin">
        <color rgb="FF114884"/>
      </left>
      <right style="thin">
        <color rgb="FF114884"/>
      </right>
      <top style="thin">
        <color rgb="FF114884"/>
      </top>
      <bottom style="thin">
        <color rgb="FF114884"/>
      </bottom>
      <diagonal/>
    </border>
    <border>
      <left/>
      <right/>
      <top style="thin">
        <color rgb="FF587EA8"/>
      </top>
      <bottom style="thin">
        <color rgb="FF587EA8"/>
      </bottom>
      <diagonal/>
    </border>
    <border>
      <left style="thin">
        <color rgb="FF587EA8"/>
      </left>
      <right/>
      <top style="thin">
        <color rgb="FF587EA8"/>
      </top>
      <bottom style="thin">
        <color rgb="FF587EA8"/>
      </bottom>
      <diagonal/>
    </border>
    <border>
      <left style="medium">
        <color rgb="FF1E8449"/>
      </left>
      <right/>
      <top style="medium">
        <color rgb="FF1E8449"/>
      </top>
      <bottom style="medium">
        <color rgb="FF1E8449"/>
      </bottom>
      <diagonal/>
    </border>
    <border>
      <left style="thin">
        <color rgb="FF0F2942"/>
      </left>
      <right/>
      <top style="thin">
        <color rgb="FF0F2942"/>
      </top>
      <bottom style="thin">
        <color rgb="FF0F2942"/>
      </bottom>
      <diagonal/>
    </border>
    <border>
      <left style="thin">
        <color rgb="FF1A7F8E"/>
      </left>
      <right/>
      <top style="thin">
        <color rgb="FF1A7F8E"/>
      </top>
      <bottom style="thin">
        <color rgb="FF1A7F8E"/>
      </bottom>
      <diagonal/>
    </border>
    <border>
      <left style="thin">
        <color rgb="FF114884"/>
      </left>
      <right/>
      <top/>
      <bottom style="thin">
        <color rgb="FF587EA8"/>
      </bottom>
      <diagonal/>
    </border>
    <border>
      <left style="thin">
        <color rgb="FF0F2942"/>
      </left>
      <right style="thin">
        <color rgb="FF0F2942"/>
      </right>
      <top style="thin">
        <color rgb="FF0F2942"/>
      </top>
      <bottom style="thin">
        <color rgb="FF0F2942"/>
      </bottom>
      <diagonal/>
    </border>
    <border>
      <left style="thin">
        <color rgb="FF114884"/>
      </left>
      <right style="thin">
        <color rgb="FF587EA8"/>
      </right>
      <top style="thin">
        <color rgb="FF587EA8"/>
      </top>
      <bottom style="thin">
        <color rgb="FF587EA8"/>
      </bottom>
      <diagonal/>
    </border>
    <border>
      <left style="thin">
        <color rgb="FF587EA8"/>
      </left>
      <right style="thin">
        <color rgb="FF587EA8"/>
      </right>
      <top style="thin">
        <color rgb="FF587EA8"/>
      </top>
      <bottom style="thin">
        <color rgb="FF587EA8"/>
      </bottom>
      <diagonal/>
    </border>
    <border>
      <left style="thin">
        <color rgb="FF587EA8"/>
      </left>
      <right style="thin">
        <color rgb="FF114884"/>
      </right>
      <top style="thin">
        <color rgb="FF587EA8"/>
      </top>
      <bottom style="thin">
        <color rgb="FF587EA8"/>
      </bottom>
      <diagonal/>
    </border>
    <border>
      <left style="thin">
        <color rgb="FF114884"/>
      </left>
      <right style="thin">
        <color rgb="FF587EA8"/>
      </right>
      <top style="thin">
        <color rgb="FF587EA8"/>
      </top>
      <bottom style="thin">
        <color rgb="FF114884"/>
      </bottom>
      <diagonal/>
    </border>
    <border>
      <left style="thin">
        <color rgb="FF587EA8"/>
      </left>
      <right style="thin">
        <color rgb="FF587EA8"/>
      </right>
      <top style="thin">
        <color rgb="FF587EA8"/>
      </top>
      <bottom style="thin">
        <color rgb="FF114884"/>
      </bottom>
      <diagonal/>
    </border>
    <border>
      <left style="thin">
        <color rgb="FF587EA8"/>
      </left>
      <right style="thin">
        <color rgb="FF114884"/>
      </right>
      <top style="thin">
        <color rgb="FF587EA8"/>
      </top>
      <bottom style="thin">
        <color rgb="FF114884"/>
      </bottom>
      <diagonal/>
    </border>
    <border>
      <left style="thin">
        <color rgb="FFC8A51E"/>
      </left>
      <right style="thin">
        <color rgb="FFC8A51E"/>
      </right>
      <top style="thin">
        <color rgb="FFC8A51E"/>
      </top>
      <bottom style="thin">
        <color rgb="FFC8A51E"/>
      </bottom>
      <diagonal/>
    </border>
    <border>
      <left/>
      <right style="thin">
        <color rgb="FFC8A51E"/>
      </right>
      <top/>
      <bottom style="thin">
        <color rgb="FFC8A51E"/>
      </bottom>
      <diagonal/>
    </border>
    <border>
      <left/>
      <right/>
      <top/>
      <bottom style="thin">
        <color rgb="FF114884"/>
      </bottom>
      <diagonal/>
    </border>
    <border>
      <left style="thin">
        <color rgb="FF1D4281"/>
      </left>
      <right style="thin">
        <color rgb="FF1D4281"/>
      </right>
      <top style="thin">
        <color rgb="FF114884"/>
      </top>
      <bottom style="thin">
        <color rgb="FF114884"/>
      </bottom>
      <diagonal/>
    </border>
    <border>
      <left/>
      <right/>
      <top style="thin">
        <color rgb="FF114884"/>
      </top>
      <bottom style="thin">
        <color rgb="FF114884"/>
      </bottom>
      <diagonal/>
    </border>
    <border>
      <left style="thin">
        <color rgb="FF114884"/>
      </left>
      <right style="thin">
        <color rgb="FF114884"/>
      </right>
      <top style="thin">
        <color rgb="FF587EA8"/>
      </top>
      <bottom style="thin">
        <color rgb="FF587EA8"/>
      </bottom>
      <diagonal/>
    </border>
    <border>
      <left/>
      <right/>
      <top style="thin">
        <color rgb="FF587EA8"/>
      </top>
      <bottom/>
      <diagonal/>
    </border>
    <border>
      <left/>
      <right/>
      <top style="medium">
        <color rgb="FF1E8449"/>
      </top>
      <bottom/>
      <diagonal/>
    </border>
    <border>
      <left/>
      <right/>
      <top style="medium">
        <color rgb="FF1E8449"/>
      </top>
      <bottom style="medium">
        <color rgb="FF1E8449"/>
      </bottom>
      <diagonal/>
    </border>
    <border>
      <left/>
      <right/>
      <top style="thin">
        <color rgb="FF0F2942"/>
      </top>
      <bottom/>
      <diagonal/>
    </border>
    <border>
      <left/>
      <right/>
      <top style="thin">
        <color rgb="FF0F2942"/>
      </top>
      <bottom style="thin">
        <color rgb="FF0F2942"/>
      </bottom>
      <diagonal/>
    </border>
    <border>
      <left/>
      <right/>
      <top style="thin">
        <color rgb="FF1A7F8E"/>
      </top>
      <bottom/>
      <diagonal/>
    </border>
    <border>
      <left/>
      <right/>
      <top style="thin">
        <color rgb="FF1A7F8E"/>
      </top>
      <bottom style="thin">
        <color rgb="FF1A7F8E"/>
      </bottom>
      <diagonal/>
    </border>
    <border>
      <left/>
      <right/>
      <top style="thin">
        <color rgb="FF114884"/>
      </top>
      <bottom/>
      <diagonal/>
    </border>
    <border>
      <left/>
      <right style="thin">
        <color rgb="FF114884"/>
      </right>
      <top style="thin">
        <color rgb="FF114884"/>
      </top>
      <bottom/>
      <diagonal/>
    </border>
    <border>
      <left/>
      <right style="thin">
        <color rgb="FF114884"/>
      </right>
      <top style="thin">
        <color rgb="FF114884"/>
      </top>
      <bottom style="thin">
        <color rgb="FF114884"/>
      </bottom>
      <diagonal/>
    </border>
    <border>
      <left/>
      <right/>
      <top style="thin">
        <color rgb="FFC8A51E"/>
      </top>
      <bottom/>
      <diagonal/>
    </border>
    <border>
      <left style="thin">
        <color rgb="FFC8A51E"/>
      </left>
      <right/>
      <top/>
      <bottom/>
      <diagonal/>
    </border>
    <border>
      <left/>
      <right style="thin">
        <color rgb="FFC8A51E"/>
      </right>
      <top style="thin">
        <color rgb="FFC8A51E"/>
      </top>
      <bottom/>
      <diagonal/>
    </border>
    <border>
      <left/>
      <right style="thin">
        <color rgb="FFC8A51E"/>
      </right>
      <top/>
      <bottom/>
      <diagonal/>
    </border>
    <border>
      <left style="thin">
        <color rgb="FFC8A51E"/>
      </left>
      <right/>
      <top/>
      <bottom style="thin">
        <color rgb="FFC8A51E"/>
      </bottom>
      <diagonal/>
    </border>
    <border>
      <left/>
      <right/>
      <top/>
      <bottom style="thin">
        <color rgb="FFC8A51E"/>
      </bottom>
      <diagonal/>
    </border>
    <border>
      <left/>
      <right/>
      <top style="medium">
        <color rgb="FF114884"/>
      </top>
      <bottom/>
      <diagonal/>
    </border>
    <border>
      <left/>
      <right style="medium">
        <color rgb="FF114884"/>
      </right>
      <top style="medium">
        <color rgb="FF114884"/>
      </top>
      <bottom/>
      <diagonal/>
    </border>
    <border>
      <left/>
      <right style="medium">
        <color rgb="FF114884"/>
      </right>
      <top style="medium">
        <color rgb="FF114884"/>
      </top>
      <bottom style="medium">
        <color rgb="FF114884"/>
      </bottom>
      <diagonal/>
    </border>
    <border>
      <left/>
      <right style="thin">
        <color rgb="FF587EA8"/>
      </right>
      <top style="thin">
        <color rgb="FF587EA8"/>
      </top>
      <bottom/>
      <diagonal/>
    </border>
    <border>
      <left/>
      <right style="thin">
        <color rgb="FF587EA8"/>
      </right>
      <top style="thin">
        <color rgb="FF587EA8"/>
      </top>
      <bottom style="thin">
        <color rgb="FF587EA8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24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 indent="1"/>
    </xf>
    <xf numFmtId="0" fontId="8" fillId="3" borderId="1" applyAlignment="1" pivotButton="0" quotePrefix="0" xfId="0">
      <alignment horizontal="center" vertical="center"/>
    </xf>
    <xf numFmtId="164" fontId="9" fillId="4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left" vertical="center" indent="1"/>
    </xf>
    <xf numFmtId="0" fontId="9" fillId="3" borderId="1" applyAlignment="1" pivotButton="0" quotePrefix="0" xfId="0">
      <alignment horizontal="center" vertical="center"/>
    </xf>
    <xf numFmtId="165" fontId="11" fillId="5" borderId="1" applyAlignment="1" pivotButton="0" quotePrefix="0" xfId="0">
      <alignment horizontal="right" vertical="center" indent="2"/>
    </xf>
    <xf numFmtId="0" fontId="12" fillId="0" borderId="0" applyAlignment="1" pivotButton="0" quotePrefix="0" xfId="0">
      <alignment horizontal="left" vertical="center" indent="1"/>
    </xf>
    <xf numFmtId="165" fontId="13" fillId="4" borderId="2" applyAlignment="1" pivotButton="0" quotePrefix="0" xfId="0">
      <alignment horizontal="right" vertical="center" indent="2"/>
    </xf>
    <xf numFmtId="0" fontId="14" fillId="0" borderId="0" applyAlignment="1" pivotButton="0" quotePrefix="0" xfId="0">
      <alignment horizontal="left" vertical="top" wrapText="1" indent="1"/>
    </xf>
    <xf numFmtId="0" fontId="6" fillId="6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left" vertical="center" wrapText="1" indent="1"/>
    </xf>
    <xf numFmtId="0" fontId="15" fillId="7" borderId="3" applyAlignment="1" pivotButton="0" quotePrefix="0" xfId="0">
      <alignment horizontal="left" vertical="center" indent="1"/>
    </xf>
    <xf numFmtId="0" fontId="16" fillId="4" borderId="4" applyAlignment="1" pivotButton="0" quotePrefix="0" xfId="0">
      <alignment horizontal="left" vertical="center" indent="2"/>
    </xf>
    <xf numFmtId="0" fontId="0" fillId="4" borderId="3" applyAlignment="1" pivotButton="0" quotePrefix="0" xfId="0">
      <alignment horizontal="general" vertical="bottom"/>
    </xf>
    <xf numFmtId="0" fontId="17" fillId="4" borderId="1" applyAlignment="1" pivotButton="0" quotePrefix="0" xfId="0">
      <alignment horizontal="center" vertical="center"/>
    </xf>
    <xf numFmtId="0" fontId="16" fillId="7" borderId="4" applyAlignment="1" pivotButton="0" quotePrefix="0" xfId="0">
      <alignment horizontal="left" vertical="center" indent="2"/>
    </xf>
    <xf numFmtId="0" fontId="0" fillId="7" borderId="3" applyAlignment="1" pivotButton="0" quotePrefix="0" xfId="0">
      <alignment horizontal="general" vertical="bottom"/>
    </xf>
    <xf numFmtId="0" fontId="6" fillId="8" borderId="0" applyAlignment="1" pivotButton="0" quotePrefix="0" xfId="0">
      <alignment horizontal="left" vertical="center"/>
    </xf>
    <xf numFmtId="0" fontId="16" fillId="3" borderId="1" applyAlignment="1" pivotButton="0" quotePrefix="0" xfId="0">
      <alignment horizontal="center" vertical="center"/>
    </xf>
    <xf numFmtId="0" fontId="18" fillId="9" borderId="5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19" fillId="6" borderId="0" applyAlignment="1" pivotButton="0" quotePrefix="0" xfId="0">
      <alignment horizontal="left" vertical="center"/>
    </xf>
    <xf numFmtId="0" fontId="20" fillId="3" borderId="4" applyAlignment="1" pivotButton="0" quotePrefix="0" xfId="0">
      <alignment horizontal="center" vertical="center"/>
    </xf>
    <xf numFmtId="0" fontId="21" fillId="2" borderId="6" applyAlignment="1" pivotButton="0" quotePrefix="0" xfId="0">
      <alignment horizontal="center" vertical="center"/>
    </xf>
    <xf numFmtId="0" fontId="22" fillId="2" borderId="7" applyAlignment="1" pivotButton="0" quotePrefix="0" xfId="0">
      <alignment horizontal="left" vertical="center"/>
    </xf>
    <xf numFmtId="0" fontId="15" fillId="7" borderId="8" applyAlignment="1" pivotButton="0" quotePrefix="0" xfId="0">
      <alignment horizontal="right" vertical="center"/>
    </xf>
    <xf numFmtId="0" fontId="15" fillId="4" borderId="2" applyAlignment="1" pivotButton="0" quotePrefix="0" xfId="0">
      <alignment horizontal="left" vertical="center"/>
    </xf>
    <xf numFmtId="0" fontId="23" fillId="4" borderId="0" applyAlignment="1" pivotButton="0" quotePrefix="0" xfId="0">
      <alignment horizontal="left" vertical="center"/>
    </xf>
    <xf numFmtId="164" fontId="15" fillId="4" borderId="2" applyAlignment="1" pivotButton="0" quotePrefix="0" xfId="0">
      <alignment horizontal="left" vertical="center"/>
    </xf>
    <xf numFmtId="166" fontId="15" fillId="4" borderId="2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/>
    </xf>
    <xf numFmtId="0" fontId="19" fillId="2" borderId="2" applyAlignment="1" pivotButton="0" quotePrefix="0" xfId="0">
      <alignment horizontal="left" vertical="center"/>
    </xf>
    <xf numFmtId="0" fontId="24" fillId="10" borderId="9" applyAlignment="1" pivotButton="0" quotePrefix="0" xfId="0">
      <alignment horizontal="left" vertical="center"/>
    </xf>
    <xf numFmtId="0" fontId="25" fillId="11" borderId="10" applyAlignment="1" pivotButton="0" quotePrefix="0" xfId="0">
      <alignment horizontal="center" vertical="center"/>
    </xf>
    <xf numFmtId="0" fontId="15" fillId="4" borderId="11" applyAlignment="1" pivotButton="0" quotePrefix="0" xfId="0">
      <alignment horizontal="left" vertical="center"/>
    </xf>
    <xf numFmtId="164" fontId="26" fillId="4" borderId="11" applyAlignment="1" pivotButton="0" quotePrefix="0" xfId="0">
      <alignment horizontal="center" vertical="center"/>
    </xf>
    <xf numFmtId="0" fontId="27" fillId="3" borderId="11" applyAlignment="1" pivotButton="0" quotePrefix="0" xfId="0">
      <alignment horizontal="center" vertical="center"/>
    </xf>
    <xf numFmtId="0" fontId="7" fillId="4" borderId="11" applyAlignment="1" pivotButton="0" quotePrefix="0" xfId="0">
      <alignment horizontal="center" vertical="center"/>
    </xf>
    <xf numFmtId="167" fontId="28" fillId="3" borderId="11" applyAlignment="1" pivotButton="0" quotePrefix="0" xfId="0">
      <alignment horizontal="center" vertical="center"/>
    </xf>
    <xf numFmtId="0" fontId="23" fillId="4" borderId="12" applyAlignment="1" pivotButton="0" quotePrefix="0" xfId="0">
      <alignment horizontal="left" vertical="center"/>
    </xf>
    <xf numFmtId="0" fontId="29" fillId="0" borderId="0" applyAlignment="1" pivotButton="0" quotePrefix="0" xfId="0">
      <alignment horizontal="general" vertical="bottom"/>
    </xf>
    <xf numFmtId="0" fontId="15" fillId="7" borderId="11" applyAlignment="1" pivotButton="0" quotePrefix="0" xfId="0">
      <alignment horizontal="left" vertical="center"/>
    </xf>
    <xf numFmtId="164" fontId="26" fillId="7" borderId="11" applyAlignment="1" pivotButton="0" quotePrefix="0" xfId="0">
      <alignment horizontal="center" vertical="center"/>
    </xf>
    <xf numFmtId="0" fontId="27" fillId="12" borderId="11" applyAlignment="1" pivotButton="0" quotePrefix="0" xfId="0">
      <alignment horizontal="center" vertical="center"/>
    </xf>
    <xf numFmtId="0" fontId="7" fillId="7" borderId="11" applyAlignment="1" pivotButton="0" quotePrefix="0" xfId="0">
      <alignment horizontal="center" vertical="center"/>
    </xf>
    <xf numFmtId="167" fontId="28" fillId="12" borderId="11" applyAlignment="1" pivotButton="0" quotePrefix="0" xfId="0">
      <alignment horizontal="center" vertical="center"/>
    </xf>
    <xf numFmtId="0" fontId="23" fillId="7" borderId="12" applyAlignment="1" pivotButton="0" quotePrefix="0" xfId="0">
      <alignment horizontal="left" vertical="center"/>
    </xf>
    <xf numFmtId="0" fontId="25" fillId="11" borderId="13" applyAlignment="1" pivotButton="0" quotePrefix="0" xfId="0">
      <alignment horizontal="center" vertical="center"/>
    </xf>
    <xf numFmtId="0" fontId="15" fillId="7" borderId="14" applyAlignment="1" pivotButton="0" quotePrefix="0" xfId="0">
      <alignment horizontal="left" vertical="center"/>
    </xf>
    <xf numFmtId="164" fontId="26" fillId="7" borderId="14" applyAlignment="1" pivotButton="0" quotePrefix="0" xfId="0">
      <alignment horizontal="center" vertical="center"/>
    </xf>
    <xf numFmtId="0" fontId="27" fillId="12" borderId="14" applyAlignment="1" pivotButton="0" quotePrefix="0" xfId="0">
      <alignment horizontal="center" vertical="center"/>
    </xf>
    <xf numFmtId="0" fontId="7" fillId="7" borderId="14" applyAlignment="1" pivotButton="0" quotePrefix="0" xfId="0">
      <alignment horizontal="center" vertical="center"/>
    </xf>
    <xf numFmtId="167" fontId="28" fillId="12" borderId="14" applyAlignment="1" pivotButton="0" quotePrefix="0" xfId="0">
      <alignment horizontal="center" vertical="center"/>
    </xf>
    <xf numFmtId="0" fontId="23" fillId="7" borderId="15" applyAlignment="1" pivotButton="0" quotePrefix="0" xfId="0">
      <alignment horizontal="left" vertical="center"/>
    </xf>
    <xf numFmtId="0" fontId="26" fillId="5" borderId="16" applyAlignment="1" pivotButton="0" quotePrefix="0" xfId="0">
      <alignment horizontal="left" vertical="top" wrapText="1"/>
    </xf>
    <xf numFmtId="0" fontId="0" fillId="0" borderId="17" applyAlignment="1" pivotButton="0" quotePrefix="0" xfId="0">
      <alignment horizontal="general" vertical="bottom"/>
    </xf>
    <xf numFmtId="0" fontId="30" fillId="4" borderId="18" applyAlignment="1" pivotButton="0" quotePrefix="0" xfId="0">
      <alignment horizontal="center" vertical="center"/>
    </xf>
    <xf numFmtId="0" fontId="31" fillId="11" borderId="10" applyAlignment="1" pivotButton="0" quotePrefix="0" xfId="0">
      <alignment horizontal="center" vertical="center"/>
    </xf>
    <xf numFmtId="0" fontId="32" fillId="7" borderId="11" applyAlignment="1" pivotButton="0" quotePrefix="0" xfId="0">
      <alignment horizontal="left" vertical="center"/>
    </xf>
    <xf numFmtId="0" fontId="32" fillId="4" borderId="11" applyAlignment="1" pivotButton="0" quotePrefix="0" xfId="0">
      <alignment horizontal="left" vertical="center"/>
    </xf>
    <xf numFmtId="0" fontId="31" fillId="11" borderId="13" applyAlignment="1" pivotButton="0" quotePrefix="0" xfId="0">
      <alignment horizontal="center" vertical="center"/>
    </xf>
    <xf numFmtId="0" fontId="32" fillId="7" borderId="14" applyAlignment="1" pivotButton="0" quotePrefix="0" xfId="0">
      <alignment horizontal="left" vertical="center"/>
    </xf>
    <xf numFmtId="0" fontId="33" fillId="2" borderId="0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/>
    </xf>
    <xf numFmtId="0" fontId="34" fillId="8" borderId="19" applyAlignment="1" pivotButton="0" quotePrefix="0" xfId="0">
      <alignment horizontal="center" vertical="center"/>
    </xf>
    <xf numFmtId="0" fontId="35" fillId="11" borderId="20" applyAlignment="1" pivotButton="0" quotePrefix="0" xfId="0">
      <alignment horizontal="center" vertical="center"/>
    </xf>
    <xf numFmtId="0" fontId="36" fillId="11" borderId="10" applyAlignment="1" pivotButton="0" quotePrefix="0" xfId="0">
      <alignment horizontal="center" vertical="center"/>
    </xf>
    <xf numFmtId="0" fontId="37" fillId="3" borderId="11" applyAlignment="1" pivotButton="0" quotePrefix="0" xfId="0">
      <alignment horizontal="center" vertical="center"/>
    </xf>
    <xf numFmtId="0" fontId="26" fillId="4" borderId="11" applyAlignment="1" pivotButton="0" quotePrefix="0" xfId="0">
      <alignment horizontal="left" vertical="center"/>
    </xf>
    <xf numFmtId="0" fontId="38" fillId="4" borderId="11" applyAlignment="1" pivotButton="0" quotePrefix="0" xfId="0">
      <alignment horizontal="left" vertical="center"/>
    </xf>
    <xf numFmtId="0" fontId="28" fillId="3" borderId="11" applyAlignment="1" pivotButton="0" quotePrefix="0" xfId="0">
      <alignment horizontal="left" vertical="center"/>
    </xf>
    <xf numFmtId="165" fontId="38" fillId="4" borderId="11" applyAlignment="1" pivotButton="0" quotePrefix="0" xfId="0">
      <alignment horizontal="right" vertical="center"/>
    </xf>
    <xf numFmtId="165" fontId="39" fillId="4" borderId="11" applyAlignment="1" pivotButton="0" quotePrefix="0" xfId="0">
      <alignment horizontal="right" vertical="center"/>
    </xf>
    <xf numFmtId="0" fontId="37" fillId="3" borderId="12" applyAlignment="1" pivotButton="0" quotePrefix="0" xfId="0">
      <alignment horizontal="center" vertical="center"/>
    </xf>
    <xf numFmtId="0" fontId="15" fillId="3" borderId="11" applyAlignment="1" pivotButton="0" quotePrefix="0" xfId="0">
      <alignment horizontal="center" vertical="center"/>
    </xf>
    <xf numFmtId="165" fontId="40" fillId="11" borderId="0" applyAlignment="1" pivotButton="0" quotePrefix="0" xfId="0">
      <alignment horizontal="right" vertical="center"/>
    </xf>
    <xf numFmtId="0" fontId="36" fillId="11" borderId="0" applyAlignment="1" pivotButton="0" quotePrefix="0" xfId="0">
      <alignment horizontal="center" vertical="center"/>
    </xf>
    <xf numFmtId="0" fontId="37" fillId="12" borderId="11" applyAlignment="1" pivotButton="0" quotePrefix="0" xfId="0">
      <alignment horizontal="center" vertical="center"/>
    </xf>
    <xf numFmtId="0" fontId="26" fillId="7" borderId="11" applyAlignment="1" pivotButton="0" quotePrefix="0" xfId="0">
      <alignment horizontal="left" vertical="center"/>
    </xf>
    <xf numFmtId="0" fontId="38" fillId="7" borderId="11" applyAlignment="1" pivotButton="0" quotePrefix="0" xfId="0">
      <alignment horizontal="left" vertical="center"/>
    </xf>
    <xf numFmtId="0" fontId="28" fillId="12" borderId="11" applyAlignment="1" pivotButton="0" quotePrefix="0" xfId="0">
      <alignment horizontal="left" vertical="center"/>
    </xf>
    <xf numFmtId="165" fontId="38" fillId="7" borderId="11" applyAlignment="1" pivotButton="0" quotePrefix="0" xfId="0">
      <alignment horizontal="right" vertical="center"/>
    </xf>
    <xf numFmtId="165" fontId="39" fillId="7" borderId="11" applyAlignment="1" pivotButton="0" quotePrefix="0" xfId="0">
      <alignment horizontal="right" vertical="center"/>
    </xf>
    <xf numFmtId="0" fontId="37" fillId="12" borderId="12" applyAlignment="1" pivotButton="0" quotePrefix="0" xfId="0">
      <alignment horizontal="center" vertical="center"/>
    </xf>
    <xf numFmtId="0" fontId="15" fillId="12" borderId="11" applyAlignment="1" pivotButton="0" quotePrefix="0" xfId="0">
      <alignment horizontal="center" vertical="center"/>
    </xf>
    <xf numFmtId="0" fontId="36" fillId="11" borderId="13" applyAlignment="1" pivotButton="0" quotePrefix="0" xfId="0">
      <alignment horizontal="center" vertical="center"/>
    </xf>
    <xf numFmtId="0" fontId="37" fillId="12" borderId="14" applyAlignment="1" pivotButton="0" quotePrefix="0" xfId="0">
      <alignment horizontal="center" vertical="center"/>
    </xf>
    <xf numFmtId="0" fontId="26" fillId="7" borderId="14" applyAlignment="1" pivotButton="0" quotePrefix="0" xfId="0">
      <alignment horizontal="left" vertical="center"/>
    </xf>
    <xf numFmtId="0" fontId="38" fillId="7" borderId="14" applyAlignment="1" pivotButton="0" quotePrefix="0" xfId="0">
      <alignment horizontal="left" vertical="center"/>
    </xf>
    <xf numFmtId="0" fontId="28" fillId="12" borderId="14" applyAlignment="1" pivotButton="0" quotePrefix="0" xfId="0">
      <alignment horizontal="left" vertical="center"/>
    </xf>
    <xf numFmtId="165" fontId="38" fillId="7" borderId="14" applyAlignment="1" pivotButton="0" quotePrefix="0" xfId="0">
      <alignment horizontal="right" vertical="center"/>
    </xf>
    <xf numFmtId="165" fontId="39" fillId="7" borderId="14" applyAlignment="1" pivotButton="0" quotePrefix="0" xfId="0">
      <alignment horizontal="right" vertical="center"/>
    </xf>
    <xf numFmtId="0" fontId="37" fillId="12" borderId="15" applyAlignment="1" pivotButton="0" quotePrefix="0" xfId="0">
      <alignment horizontal="center" vertical="center"/>
    </xf>
    <xf numFmtId="0" fontId="15" fillId="12" borderId="14" applyAlignment="1" pivotButton="0" quotePrefix="0" xfId="0">
      <alignment horizontal="center" vertical="center"/>
    </xf>
    <xf numFmtId="165" fontId="40" fillId="11" borderId="18" applyAlignment="1" pivotButton="0" quotePrefix="0" xfId="0">
      <alignment horizontal="right" vertical="center"/>
    </xf>
    <xf numFmtId="0" fontId="36" fillId="11" borderId="18" applyAlignment="1" pivotButton="0" quotePrefix="0" xfId="0">
      <alignment horizontal="center" vertical="center"/>
    </xf>
    <xf numFmtId="0" fontId="41" fillId="2" borderId="6" applyAlignment="1" pivotButton="0" quotePrefix="0" xfId="0">
      <alignment horizontal="center" vertical="center"/>
    </xf>
    <xf numFmtId="164" fontId="15" fillId="4" borderId="10" applyAlignment="1" pivotButton="0" quotePrefix="0" xfId="0">
      <alignment horizontal="left" vertical="center"/>
    </xf>
    <xf numFmtId="165" fontId="42" fillId="13" borderId="11" applyAlignment="1" pivotButton="0" quotePrefix="0" xfId="0">
      <alignment horizontal="right" vertical="center"/>
    </xf>
    <xf numFmtId="165" fontId="43" fillId="14" borderId="11" applyAlignment="1" pivotButton="0" quotePrefix="0" xfId="0">
      <alignment horizontal="right" vertical="center"/>
    </xf>
    <xf numFmtId="165" fontId="44" fillId="11" borderId="11" applyAlignment="1" pivotButton="0" quotePrefix="0" xfId="0">
      <alignment horizontal="right" vertical="center"/>
    </xf>
    <xf numFmtId="165" fontId="7" fillId="3" borderId="21" applyAlignment="1" pivotButton="0" quotePrefix="0" xfId="0">
      <alignment horizontal="right" vertical="center"/>
    </xf>
    <xf numFmtId="166" fontId="27" fillId="4" borderId="12" applyAlignment="1" pivotButton="0" quotePrefix="0" xfId="0">
      <alignment horizontal="center" vertical="center"/>
    </xf>
    <xf numFmtId="164" fontId="15" fillId="7" borderId="10" applyAlignment="1" pivotButton="0" quotePrefix="0" xfId="0">
      <alignment horizontal="left" vertical="center"/>
    </xf>
    <xf numFmtId="165" fontId="42" fillId="15" borderId="11" applyAlignment="1" pivotButton="0" quotePrefix="0" xfId="0">
      <alignment horizontal="right" vertical="center"/>
    </xf>
    <xf numFmtId="165" fontId="43" fillId="16" borderId="11" applyAlignment="1" pivotButton="0" quotePrefix="0" xfId="0">
      <alignment horizontal="right" vertical="center"/>
    </xf>
    <xf numFmtId="165" fontId="44" fillId="17" borderId="11" applyAlignment="1" pivotButton="0" quotePrefix="0" xfId="0">
      <alignment horizontal="right" vertical="center"/>
    </xf>
    <xf numFmtId="165" fontId="7" fillId="12" borderId="21" applyAlignment="1" pivotButton="0" quotePrefix="0" xfId="0">
      <alignment horizontal="right" vertical="center"/>
    </xf>
    <xf numFmtId="166" fontId="27" fillId="7" borderId="12" applyAlignment="1" pivotButton="0" quotePrefix="0" xfId="0">
      <alignment horizontal="center" vertical="center"/>
    </xf>
    <xf numFmtId="0" fontId="19" fillId="2" borderId="1" applyAlignment="1" pivotButton="0" quotePrefix="0" xfId="0">
      <alignment horizontal="center" vertical="center"/>
    </xf>
    <xf numFmtId="165" fontId="19" fillId="2" borderId="1" applyAlignment="1" pivotButton="0" quotePrefix="0" xfId="0">
      <alignment horizontal="right" vertical="center"/>
    </xf>
    <xf numFmtId="0" fontId="19" fillId="10" borderId="9" applyAlignment="1" pivotButton="0" quotePrefix="0" xfId="0">
      <alignment horizontal="center" vertical="center"/>
    </xf>
    <xf numFmtId="165" fontId="19" fillId="10" borderId="9" applyAlignment="1" pivotButton="0" quotePrefix="0" xfId="0">
      <alignment horizontal="right" vertical="center"/>
    </xf>
    <xf numFmtId="0" fontId="45" fillId="10" borderId="0" applyAlignment="1" pivotButton="0" quotePrefix="0" xfId="0">
      <alignment horizontal="center" vertical="center"/>
    </xf>
    <xf numFmtId="0" fontId="41" fillId="2" borderId="0" applyAlignment="1" pivotButton="0" quotePrefix="0" xfId="0">
      <alignment horizontal="center" vertical="center"/>
    </xf>
    <xf numFmtId="0" fontId="26" fillId="5" borderId="16" applyAlignment="1" pivotButton="0" quotePrefix="0" xfId="0">
      <alignment horizontal="left" vertical="center" wrapText="1"/>
    </xf>
    <xf numFmtId="0" fontId="46" fillId="14" borderId="10" applyAlignment="1" pivotButton="0" quotePrefix="0" xfId="0">
      <alignment horizontal="left" vertical="center"/>
    </xf>
    <xf numFmtId="0" fontId="42" fillId="13" borderId="11" applyAlignment="1" pivotButton="0" quotePrefix="0" xfId="0">
      <alignment horizontal="left" vertical="center"/>
    </xf>
    <xf numFmtId="165" fontId="15" fillId="3" borderId="11" applyAlignment="1" pivotButton="0" quotePrefix="0" xfId="0">
      <alignment horizontal="right" vertical="center"/>
    </xf>
    <xf numFmtId="0" fontId="47" fillId="4" borderId="11" applyAlignment="1" pivotButton="0" quotePrefix="0" xfId="0">
      <alignment horizontal="center" vertical="center"/>
    </xf>
    <xf numFmtId="0" fontId="14" fillId="4" borderId="12" applyAlignment="1" pivotButton="0" quotePrefix="0" xfId="0">
      <alignment horizontal="left" vertical="center"/>
    </xf>
    <xf numFmtId="0" fontId="46" fillId="16" borderId="10" applyAlignment="1" pivotButton="0" quotePrefix="0" xfId="0">
      <alignment horizontal="left" vertical="center"/>
    </xf>
    <xf numFmtId="0" fontId="42" fillId="15" borderId="11" applyAlignment="1" pivotButton="0" quotePrefix="0" xfId="0">
      <alignment horizontal="left" vertical="center"/>
    </xf>
    <xf numFmtId="165" fontId="15" fillId="12" borderId="11" applyAlignment="1" pivotButton="0" quotePrefix="0" xfId="0">
      <alignment horizontal="right" vertical="center"/>
    </xf>
    <xf numFmtId="0" fontId="47" fillId="7" borderId="11" applyAlignment="1" pivotButton="0" quotePrefix="0" xfId="0">
      <alignment horizontal="center" vertical="center"/>
    </xf>
    <xf numFmtId="0" fontId="14" fillId="7" borderId="12" applyAlignment="1" pivotButton="0" quotePrefix="0" xfId="0">
      <alignment horizontal="left" vertical="center"/>
    </xf>
    <xf numFmtId="0" fontId="46" fillId="16" borderId="13" applyAlignment="1" pivotButton="0" quotePrefix="0" xfId="0">
      <alignment horizontal="left" vertical="center"/>
    </xf>
    <xf numFmtId="0" fontId="42" fillId="15" borderId="14" applyAlignment="1" pivotButton="0" quotePrefix="0" xfId="0">
      <alignment horizontal="left" vertical="center"/>
    </xf>
    <xf numFmtId="165" fontId="15" fillId="12" borderId="14" applyAlignment="1" pivotButton="0" quotePrefix="0" xfId="0">
      <alignment horizontal="right" vertical="center"/>
    </xf>
    <xf numFmtId="0" fontId="47" fillId="7" borderId="14" applyAlignment="1" pivotButton="0" quotePrefix="0" xfId="0">
      <alignment horizontal="center" vertical="center"/>
    </xf>
    <xf numFmtId="0" fontId="14" fillId="7" borderId="15" applyAlignment="1" pivotButton="0" quotePrefix="0" xfId="0">
      <alignment horizontal="left" vertical="center"/>
    </xf>
    <xf numFmtId="0" fontId="48" fillId="2" borderId="1" applyAlignment="1" pivotButton="0" quotePrefix="0" xfId="0">
      <alignment horizontal="center" vertical="center"/>
    </xf>
    <xf numFmtId="0" fontId="23" fillId="7" borderId="11" applyAlignment="1" pivotButton="0" quotePrefix="0" xfId="0">
      <alignment horizontal="left" vertical="center"/>
    </xf>
    <xf numFmtId="0" fontId="38" fillId="3" borderId="11" applyAlignment="1" pivotButton="0" quotePrefix="0" xfId="0">
      <alignment horizontal="left" vertical="center"/>
    </xf>
    <xf numFmtId="0" fontId="24" fillId="8" borderId="2" applyAlignment="1" pivotButton="0" quotePrefix="0" xfId="0">
      <alignment horizontal="center" vertical="center"/>
    </xf>
    <xf numFmtId="0" fontId="15" fillId="4" borderId="10" applyAlignment="1" pivotButton="0" quotePrefix="0" xfId="0">
      <alignment horizontal="left" vertical="center"/>
    </xf>
    <xf numFmtId="167" fontId="39" fillId="4" borderId="11" applyAlignment="1" pivotButton="0" quotePrefix="0" xfId="0">
      <alignment horizontal="right" vertical="center"/>
    </xf>
    <xf numFmtId="165" fontId="26" fillId="4" borderId="11" applyAlignment="1" pivotButton="0" quotePrefix="0" xfId="0">
      <alignment horizontal="right" vertical="center"/>
    </xf>
    <xf numFmtId="165" fontId="26" fillId="4" borderId="12" applyAlignment="1" pivotButton="0" quotePrefix="0" xfId="0">
      <alignment horizontal="right" vertical="center"/>
    </xf>
    <xf numFmtId="0" fontId="15" fillId="7" borderId="10" applyAlignment="1" pivotButton="0" quotePrefix="0" xfId="0">
      <alignment horizontal="left" vertical="center"/>
    </xf>
    <xf numFmtId="167" fontId="39" fillId="7" borderId="11" applyAlignment="1" pivotButton="0" quotePrefix="0" xfId="0">
      <alignment horizontal="right" vertical="center"/>
    </xf>
    <xf numFmtId="165" fontId="26" fillId="7" borderId="11" applyAlignment="1" pivotButton="0" quotePrefix="0" xfId="0">
      <alignment horizontal="right" vertical="center"/>
    </xf>
    <xf numFmtId="165" fontId="26" fillId="7" borderId="12" applyAlignment="1" pivotButton="0" quotePrefix="0" xfId="0">
      <alignment horizontal="right" vertical="center"/>
    </xf>
    <xf numFmtId="0" fontId="15" fillId="7" borderId="13" applyAlignment="1" pivotButton="0" quotePrefix="0" xfId="0">
      <alignment horizontal="left" vertical="center"/>
    </xf>
    <xf numFmtId="167" fontId="39" fillId="7" borderId="14" applyAlignment="1" pivotButton="0" quotePrefix="0" xfId="0">
      <alignment horizontal="right" vertical="center"/>
    </xf>
    <xf numFmtId="165" fontId="26" fillId="7" borderId="14" applyAlignment="1" pivotButton="0" quotePrefix="0" xfId="0">
      <alignment horizontal="right" vertical="center"/>
    </xf>
    <xf numFmtId="165" fontId="26" fillId="7" borderId="15" applyAlignment="1" pivotButton="0" quotePrefix="0" xfId="0">
      <alignment horizontal="right" vertical="center"/>
    </xf>
    <xf numFmtId="9" fontId="19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 indent="1"/>
    </xf>
    <xf numFmtId="0" fontId="8" fillId="3" borderId="1" applyAlignment="1" pivotButton="0" quotePrefix="0" xfId="0">
      <alignment horizontal="center" vertical="center"/>
    </xf>
    <xf numFmtId="164" fontId="9" fillId="4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left" vertical="center" indent="1"/>
    </xf>
    <xf numFmtId="0" fontId="9" fillId="3" borderId="1" applyAlignment="1" pivotButton="0" quotePrefix="0" xfId="0">
      <alignment horizontal="center" vertical="center"/>
    </xf>
    <xf numFmtId="165" fontId="11" fillId="5" borderId="1" applyAlignment="1" pivotButton="0" quotePrefix="0" xfId="0">
      <alignment horizontal="right" vertical="center" indent="2"/>
    </xf>
    <xf numFmtId="0" fontId="12" fillId="0" borderId="0" applyAlignment="1" pivotButton="0" quotePrefix="0" xfId="0">
      <alignment horizontal="left" vertical="center" indent="1"/>
    </xf>
    <xf numFmtId="165" fontId="13" fillId="4" borderId="2" applyAlignment="1" pivotButton="0" quotePrefix="0" xfId="0">
      <alignment horizontal="right" vertical="center" indent="2"/>
    </xf>
    <xf numFmtId="0" fontId="14" fillId="0" borderId="0" applyAlignment="1" pivotButton="0" quotePrefix="0" xfId="0">
      <alignment horizontal="left" vertical="top" wrapText="1" indent="1"/>
    </xf>
    <xf numFmtId="0" fontId="6" fillId="6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left" vertical="center" wrapText="1" indent="1"/>
    </xf>
    <xf numFmtId="0" fontId="15" fillId="7" borderId="3" applyAlignment="1" pivotButton="0" quotePrefix="0" xfId="0">
      <alignment horizontal="left" vertical="center" indent="1"/>
    </xf>
    <xf numFmtId="0" fontId="0" fillId="0" borderId="3" pivotButton="0" quotePrefix="0" xfId="0"/>
    <xf numFmtId="0" fontId="16" fillId="4" borderId="4" applyAlignment="1" pivotButton="0" quotePrefix="0" xfId="0">
      <alignment horizontal="left" vertical="center" indent="2"/>
    </xf>
    <xf numFmtId="0" fontId="0" fillId="4" borderId="3" applyAlignment="1" pivotButton="0" quotePrefix="0" xfId="0">
      <alignment horizontal="general" vertical="bottom"/>
    </xf>
    <xf numFmtId="0" fontId="17" fillId="4" borderId="1" applyAlignment="1" pivotButton="0" quotePrefix="0" xfId="0">
      <alignment horizontal="center" vertical="center"/>
    </xf>
    <xf numFmtId="0" fontId="16" fillId="7" borderId="4" applyAlignment="1" pivotButton="0" quotePrefix="0" xfId="0">
      <alignment horizontal="left" vertical="center" indent="2"/>
    </xf>
    <xf numFmtId="0" fontId="0" fillId="7" borderId="3" applyAlignment="1" pivotButton="0" quotePrefix="0" xfId="0">
      <alignment horizontal="general" vertical="bottom"/>
    </xf>
    <xf numFmtId="0" fontId="6" fillId="8" borderId="0" applyAlignment="1" pivotButton="0" quotePrefix="0" xfId="0">
      <alignment horizontal="left" vertical="center"/>
    </xf>
    <xf numFmtId="0" fontId="16" fillId="3" borderId="1" applyAlignment="1" pivotButton="0" quotePrefix="0" xfId="0">
      <alignment horizontal="center" vertical="center"/>
    </xf>
    <xf numFmtId="0" fontId="18" fillId="9" borderId="5" applyAlignment="1" pivotButton="0" quotePrefix="0" xfId="0">
      <alignment horizontal="center" vertical="center"/>
    </xf>
    <xf numFmtId="0" fontId="0" fillId="0" borderId="24" pivotButton="0" quotePrefix="0" xfId="0"/>
    <xf numFmtId="0" fontId="14" fillId="0" borderId="0" applyAlignment="1" pivotButton="0" quotePrefix="0" xfId="0">
      <alignment horizontal="center" vertical="center"/>
    </xf>
    <xf numFmtId="0" fontId="19" fillId="6" borderId="0" applyAlignment="1" pivotButton="0" quotePrefix="0" xfId="0">
      <alignment horizontal="left" vertical="center"/>
    </xf>
    <xf numFmtId="0" fontId="20" fillId="3" borderId="4" applyAlignment="1" pivotButton="0" quotePrefix="0" xfId="0">
      <alignment horizontal="center" vertical="center"/>
    </xf>
    <xf numFmtId="0" fontId="21" fillId="2" borderId="6" applyAlignment="1" pivotButton="0" quotePrefix="0" xfId="0">
      <alignment horizontal="center" vertical="center"/>
    </xf>
    <xf numFmtId="0" fontId="0" fillId="0" borderId="26" pivotButton="0" quotePrefix="0" xfId="0"/>
    <xf numFmtId="0" fontId="22" fillId="2" borderId="7" applyAlignment="1" pivotButton="0" quotePrefix="0" xfId="0">
      <alignment horizontal="left" vertical="center"/>
    </xf>
    <xf numFmtId="0" fontId="0" fillId="0" borderId="28" pivotButton="0" quotePrefix="0" xfId="0"/>
    <xf numFmtId="0" fontId="15" fillId="7" borderId="8" applyAlignment="1" pivotButton="0" quotePrefix="0" xfId="0">
      <alignment horizontal="right" vertical="center"/>
    </xf>
    <xf numFmtId="0" fontId="15" fillId="4" borderId="2" applyAlignment="1" pivotButton="0" quotePrefix="0" xfId="0">
      <alignment horizontal="left" vertical="center"/>
    </xf>
    <xf numFmtId="0" fontId="0" fillId="0" borderId="20" pivotButton="0" quotePrefix="0" xfId="0"/>
    <xf numFmtId="0" fontId="0" fillId="0" borderId="31" pivotButton="0" quotePrefix="0" xfId="0"/>
    <xf numFmtId="0" fontId="23" fillId="4" borderId="0" applyAlignment="1" pivotButton="0" quotePrefix="0" xfId="0">
      <alignment horizontal="left" vertical="center"/>
    </xf>
    <xf numFmtId="164" fontId="15" fillId="4" borderId="2" applyAlignment="1" pivotButton="0" quotePrefix="0" xfId="0">
      <alignment horizontal="left" vertical="center"/>
    </xf>
    <xf numFmtId="166" fontId="15" fillId="4" borderId="2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/>
    </xf>
    <xf numFmtId="0" fontId="19" fillId="2" borderId="2" applyAlignment="1" pivotButton="0" quotePrefix="0" xfId="0">
      <alignment horizontal="left" vertical="center"/>
    </xf>
    <xf numFmtId="0" fontId="24" fillId="10" borderId="9" applyAlignment="1" pivotButton="0" quotePrefix="0" xfId="0">
      <alignment horizontal="left" vertical="center"/>
    </xf>
    <xf numFmtId="0" fontId="25" fillId="11" borderId="10" applyAlignment="1" pivotButton="0" quotePrefix="0" xfId="0">
      <alignment horizontal="center" vertical="center"/>
    </xf>
    <xf numFmtId="0" fontId="15" fillId="4" borderId="11" applyAlignment="1" pivotButton="0" quotePrefix="0" xfId="0">
      <alignment horizontal="left" vertical="center"/>
    </xf>
    <xf numFmtId="164" fontId="26" fillId="4" borderId="11" applyAlignment="1" pivotButton="0" quotePrefix="0" xfId="0">
      <alignment horizontal="center" vertical="center"/>
    </xf>
    <xf numFmtId="0" fontId="27" fillId="3" borderId="11" applyAlignment="1" pivotButton="0" quotePrefix="0" xfId="0">
      <alignment horizontal="center" vertical="center"/>
    </xf>
    <xf numFmtId="0" fontId="7" fillId="4" borderId="11" applyAlignment="1" pivotButton="0" quotePrefix="0" xfId="0">
      <alignment horizontal="center" vertical="center"/>
    </xf>
    <xf numFmtId="167" fontId="28" fillId="3" borderId="11" applyAlignment="1" pivotButton="0" quotePrefix="0" xfId="0">
      <alignment horizontal="center" vertical="center"/>
    </xf>
    <xf numFmtId="0" fontId="23" fillId="4" borderId="12" applyAlignment="1" pivotButton="0" quotePrefix="0" xfId="0">
      <alignment horizontal="left" vertical="center"/>
    </xf>
    <xf numFmtId="0" fontId="29" fillId="0" borderId="0" applyAlignment="1" pivotButton="0" quotePrefix="0" xfId="0">
      <alignment horizontal="general" vertical="bottom"/>
    </xf>
    <xf numFmtId="0" fontId="15" fillId="7" borderId="11" applyAlignment="1" pivotButton="0" quotePrefix="0" xfId="0">
      <alignment horizontal="left" vertical="center"/>
    </xf>
    <xf numFmtId="164" fontId="26" fillId="7" borderId="11" applyAlignment="1" pivotButton="0" quotePrefix="0" xfId="0">
      <alignment horizontal="center" vertical="center"/>
    </xf>
    <xf numFmtId="0" fontId="27" fillId="12" borderId="11" applyAlignment="1" pivotButton="0" quotePrefix="0" xfId="0">
      <alignment horizontal="center" vertical="center"/>
    </xf>
    <xf numFmtId="0" fontId="7" fillId="7" borderId="11" applyAlignment="1" pivotButton="0" quotePrefix="0" xfId="0">
      <alignment horizontal="center" vertical="center"/>
    </xf>
    <xf numFmtId="167" fontId="28" fillId="12" borderId="11" applyAlignment="1" pivotButton="0" quotePrefix="0" xfId="0">
      <alignment horizontal="center" vertical="center"/>
    </xf>
    <xf numFmtId="0" fontId="23" fillId="7" borderId="12" applyAlignment="1" pivotButton="0" quotePrefix="0" xfId="0">
      <alignment horizontal="left" vertical="center"/>
    </xf>
    <xf numFmtId="0" fontId="25" fillId="11" borderId="13" applyAlignment="1" pivotButton="0" quotePrefix="0" xfId="0">
      <alignment horizontal="center" vertical="center"/>
    </xf>
    <xf numFmtId="0" fontId="15" fillId="7" borderId="14" applyAlignment="1" pivotButton="0" quotePrefix="0" xfId="0">
      <alignment horizontal="left" vertical="center"/>
    </xf>
    <xf numFmtId="164" fontId="26" fillId="7" borderId="14" applyAlignment="1" pivotButton="0" quotePrefix="0" xfId="0">
      <alignment horizontal="center" vertical="center"/>
    </xf>
    <xf numFmtId="0" fontId="27" fillId="12" borderId="14" applyAlignment="1" pivotButton="0" quotePrefix="0" xfId="0">
      <alignment horizontal="center" vertical="center"/>
    </xf>
    <xf numFmtId="0" fontId="7" fillId="7" borderId="14" applyAlignment="1" pivotButton="0" quotePrefix="0" xfId="0">
      <alignment horizontal="center" vertical="center"/>
    </xf>
    <xf numFmtId="167" fontId="28" fillId="12" borderId="14" applyAlignment="1" pivotButton="0" quotePrefix="0" xfId="0">
      <alignment horizontal="center" vertical="center"/>
    </xf>
    <xf numFmtId="0" fontId="23" fillId="7" borderId="15" applyAlignment="1" pivotButton="0" quotePrefix="0" xfId="0">
      <alignment horizontal="left" vertical="center"/>
    </xf>
    <xf numFmtId="0" fontId="26" fillId="5" borderId="16" applyAlignment="1" pivotButton="0" quotePrefix="0" xfId="0">
      <alignment horizontal="left" vertical="top" wrapText="1"/>
    </xf>
    <xf numFmtId="0" fontId="0" fillId="0" borderId="32" pivotButton="0" quotePrefix="0" xfId="0"/>
    <xf numFmtId="0" fontId="0" fillId="0" borderId="34" pivotButton="0" quotePrefix="0" xfId="0"/>
    <xf numFmtId="0" fontId="0" fillId="0" borderId="33" pivotButton="0" quotePrefix="0" xfId="0"/>
    <xf numFmtId="0" fontId="0" fillId="0" borderId="35" pivotButton="0" quotePrefix="0" xfId="0"/>
    <xf numFmtId="0" fontId="0" fillId="0" borderId="17" applyAlignment="1" pivotButton="0" quotePrefix="0" xfId="0">
      <alignment horizontal="general" vertical="bottom"/>
    </xf>
    <xf numFmtId="0" fontId="0" fillId="0" borderId="36" pivotButton="0" quotePrefix="0" xfId="0"/>
    <xf numFmtId="0" fontId="0" fillId="0" borderId="37" pivotButton="0" quotePrefix="0" xfId="0"/>
    <xf numFmtId="0" fontId="0" fillId="0" borderId="17" pivotButton="0" quotePrefix="0" xfId="0"/>
    <xf numFmtId="0" fontId="30" fillId="4" borderId="18" applyAlignment="1" pivotButton="0" quotePrefix="0" xfId="0">
      <alignment horizontal="center" vertical="center"/>
    </xf>
    <xf numFmtId="0" fontId="0" fillId="0" borderId="18" pivotButton="0" quotePrefix="0" xfId="0"/>
    <xf numFmtId="0" fontId="31" fillId="11" borderId="10" applyAlignment="1" pivotButton="0" quotePrefix="0" xfId="0">
      <alignment horizontal="center" vertical="center"/>
    </xf>
    <xf numFmtId="0" fontId="32" fillId="7" borderId="11" applyAlignment="1" pivotButton="0" quotePrefix="0" xfId="0">
      <alignment horizontal="left" vertical="center"/>
    </xf>
    <xf numFmtId="0" fontId="32" fillId="4" borderId="11" applyAlignment="1" pivotButton="0" quotePrefix="0" xfId="0">
      <alignment horizontal="left" vertical="center"/>
    </xf>
    <xf numFmtId="0" fontId="31" fillId="11" borderId="13" applyAlignment="1" pivotButton="0" quotePrefix="0" xfId="0">
      <alignment horizontal="center" vertical="center"/>
    </xf>
    <xf numFmtId="0" fontId="32" fillId="7" borderId="14" applyAlignment="1" pivotButton="0" quotePrefix="0" xfId="0">
      <alignment horizontal="left" vertical="center"/>
    </xf>
    <xf numFmtId="0" fontId="33" fillId="2" borderId="0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/>
    </xf>
    <xf numFmtId="0" fontId="34" fillId="8" borderId="19" applyAlignment="1" pivotButton="0" quotePrefix="0" xfId="0">
      <alignment horizontal="center" vertical="center"/>
    </xf>
    <xf numFmtId="0" fontId="35" fillId="11" borderId="20" applyAlignment="1" pivotButton="0" quotePrefix="0" xfId="0">
      <alignment horizontal="center" vertical="center"/>
    </xf>
    <xf numFmtId="0" fontId="36" fillId="11" borderId="10" applyAlignment="1" pivotButton="0" quotePrefix="0" xfId="0">
      <alignment horizontal="center" vertical="center"/>
    </xf>
    <xf numFmtId="0" fontId="37" fillId="3" borderId="11" applyAlignment="1" pivotButton="0" quotePrefix="0" xfId="0">
      <alignment horizontal="center" vertical="center"/>
    </xf>
    <xf numFmtId="0" fontId="26" fillId="4" borderId="11" applyAlignment="1" pivotButton="0" quotePrefix="0" xfId="0">
      <alignment horizontal="left" vertical="center"/>
    </xf>
    <xf numFmtId="0" fontId="38" fillId="4" borderId="11" applyAlignment="1" pivotButton="0" quotePrefix="0" xfId="0">
      <alignment horizontal="left" vertical="center"/>
    </xf>
    <xf numFmtId="0" fontId="28" fillId="3" borderId="11" applyAlignment="1" pivotButton="0" quotePrefix="0" xfId="0">
      <alignment horizontal="left" vertical="center"/>
    </xf>
    <xf numFmtId="165" fontId="38" fillId="4" borderId="11" applyAlignment="1" pivotButton="0" quotePrefix="0" xfId="0">
      <alignment horizontal="right" vertical="center"/>
    </xf>
    <xf numFmtId="165" fontId="39" fillId="4" borderId="11" applyAlignment="1" pivotButton="0" quotePrefix="0" xfId="0">
      <alignment horizontal="right" vertical="center"/>
    </xf>
    <xf numFmtId="0" fontId="37" fillId="3" borderId="12" applyAlignment="1" pivotButton="0" quotePrefix="0" xfId="0">
      <alignment horizontal="center" vertical="center"/>
    </xf>
    <xf numFmtId="0" fontId="15" fillId="3" borderId="11" applyAlignment="1" pivotButton="0" quotePrefix="0" xfId="0">
      <alignment horizontal="center" vertical="center"/>
    </xf>
    <xf numFmtId="165" fontId="40" fillId="11" borderId="0" applyAlignment="1" pivotButton="0" quotePrefix="0" xfId="0">
      <alignment horizontal="right" vertical="center"/>
    </xf>
    <xf numFmtId="0" fontId="36" fillId="11" borderId="0" applyAlignment="1" pivotButton="0" quotePrefix="0" xfId="0">
      <alignment horizontal="center" vertical="center"/>
    </xf>
    <xf numFmtId="0" fontId="37" fillId="12" borderId="11" applyAlignment="1" pivotButton="0" quotePrefix="0" xfId="0">
      <alignment horizontal="center" vertical="center"/>
    </xf>
    <xf numFmtId="0" fontId="26" fillId="7" borderId="11" applyAlignment="1" pivotButton="0" quotePrefix="0" xfId="0">
      <alignment horizontal="left" vertical="center"/>
    </xf>
    <xf numFmtId="0" fontId="38" fillId="7" borderId="11" applyAlignment="1" pivotButton="0" quotePrefix="0" xfId="0">
      <alignment horizontal="left" vertical="center"/>
    </xf>
    <xf numFmtId="0" fontId="28" fillId="12" borderId="11" applyAlignment="1" pivotButton="0" quotePrefix="0" xfId="0">
      <alignment horizontal="left" vertical="center"/>
    </xf>
    <xf numFmtId="165" fontId="38" fillId="7" borderId="11" applyAlignment="1" pivotButton="0" quotePrefix="0" xfId="0">
      <alignment horizontal="right" vertical="center"/>
    </xf>
    <xf numFmtId="165" fontId="39" fillId="7" borderId="11" applyAlignment="1" pivotButton="0" quotePrefix="0" xfId="0">
      <alignment horizontal="right" vertical="center"/>
    </xf>
    <xf numFmtId="0" fontId="37" fillId="12" borderId="12" applyAlignment="1" pivotButton="0" quotePrefix="0" xfId="0">
      <alignment horizontal="center" vertical="center"/>
    </xf>
    <xf numFmtId="0" fontId="15" fillId="12" borderId="11" applyAlignment="1" pivotButton="0" quotePrefix="0" xfId="0">
      <alignment horizontal="center" vertical="center"/>
    </xf>
    <xf numFmtId="0" fontId="36" fillId="11" borderId="13" applyAlignment="1" pivotButton="0" quotePrefix="0" xfId="0">
      <alignment horizontal="center" vertical="center"/>
    </xf>
    <xf numFmtId="0" fontId="37" fillId="12" borderId="14" applyAlignment="1" pivotButton="0" quotePrefix="0" xfId="0">
      <alignment horizontal="center" vertical="center"/>
    </xf>
    <xf numFmtId="0" fontId="26" fillId="7" borderId="14" applyAlignment="1" pivotButton="0" quotePrefix="0" xfId="0">
      <alignment horizontal="left" vertical="center"/>
    </xf>
    <xf numFmtId="0" fontId="38" fillId="7" borderId="14" applyAlignment="1" pivotButton="0" quotePrefix="0" xfId="0">
      <alignment horizontal="left" vertical="center"/>
    </xf>
    <xf numFmtId="0" fontId="28" fillId="12" borderId="14" applyAlignment="1" pivotButton="0" quotePrefix="0" xfId="0">
      <alignment horizontal="left" vertical="center"/>
    </xf>
    <xf numFmtId="165" fontId="38" fillId="7" borderId="14" applyAlignment="1" pivotButton="0" quotePrefix="0" xfId="0">
      <alignment horizontal="right" vertical="center"/>
    </xf>
    <xf numFmtId="165" fontId="39" fillId="7" borderId="14" applyAlignment="1" pivotButton="0" quotePrefix="0" xfId="0">
      <alignment horizontal="right" vertical="center"/>
    </xf>
    <xf numFmtId="0" fontId="37" fillId="12" borderId="15" applyAlignment="1" pivotButton="0" quotePrefix="0" xfId="0">
      <alignment horizontal="center" vertical="center"/>
    </xf>
    <xf numFmtId="0" fontId="15" fillId="12" borderId="14" applyAlignment="1" pivotButton="0" quotePrefix="0" xfId="0">
      <alignment horizontal="center" vertical="center"/>
    </xf>
    <xf numFmtId="165" fontId="40" fillId="11" borderId="18" applyAlignment="1" pivotButton="0" quotePrefix="0" xfId="0">
      <alignment horizontal="right" vertical="center"/>
    </xf>
    <xf numFmtId="0" fontId="36" fillId="11" borderId="18" applyAlignment="1" pivotButton="0" quotePrefix="0" xfId="0">
      <alignment horizontal="center" vertical="center"/>
    </xf>
    <xf numFmtId="0" fontId="41" fillId="2" borderId="6" applyAlignment="1" pivotButton="0" quotePrefix="0" xfId="0">
      <alignment horizontal="center" vertical="center"/>
    </xf>
    <xf numFmtId="164" fontId="15" fillId="4" borderId="10" applyAlignment="1" pivotButton="0" quotePrefix="0" xfId="0">
      <alignment horizontal="left" vertical="center"/>
    </xf>
    <xf numFmtId="165" fontId="42" fillId="13" borderId="11" applyAlignment="1" pivotButton="0" quotePrefix="0" xfId="0">
      <alignment horizontal="right" vertical="center"/>
    </xf>
    <xf numFmtId="165" fontId="43" fillId="14" borderId="11" applyAlignment="1" pivotButton="0" quotePrefix="0" xfId="0">
      <alignment horizontal="right" vertical="center"/>
    </xf>
    <xf numFmtId="165" fontId="44" fillId="11" borderId="11" applyAlignment="1" pivotButton="0" quotePrefix="0" xfId="0">
      <alignment horizontal="right" vertical="center"/>
    </xf>
    <xf numFmtId="165" fontId="7" fillId="3" borderId="21" applyAlignment="1" pivotButton="0" quotePrefix="0" xfId="0">
      <alignment horizontal="right" vertical="center"/>
    </xf>
    <xf numFmtId="166" fontId="27" fillId="4" borderId="12" applyAlignment="1" pivotButton="0" quotePrefix="0" xfId="0">
      <alignment horizontal="center" vertical="center"/>
    </xf>
    <xf numFmtId="164" fontId="15" fillId="7" borderId="10" applyAlignment="1" pivotButton="0" quotePrefix="0" xfId="0">
      <alignment horizontal="left" vertical="center"/>
    </xf>
    <xf numFmtId="165" fontId="42" fillId="15" borderId="11" applyAlignment="1" pivotButton="0" quotePrefix="0" xfId="0">
      <alignment horizontal="right" vertical="center"/>
    </xf>
    <xf numFmtId="165" fontId="43" fillId="16" borderId="11" applyAlignment="1" pivotButton="0" quotePrefix="0" xfId="0">
      <alignment horizontal="right" vertical="center"/>
    </xf>
    <xf numFmtId="165" fontId="44" fillId="17" borderId="11" applyAlignment="1" pivotButton="0" quotePrefix="0" xfId="0">
      <alignment horizontal="right" vertical="center"/>
    </xf>
    <xf numFmtId="165" fontId="7" fillId="12" borderId="21" applyAlignment="1" pivotButton="0" quotePrefix="0" xfId="0">
      <alignment horizontal="right" vertical="center"/>
    </xf>
    <xf numFmtId="166" fontId="27" fillId="7" borderId="12" applyAlignment="1" pivotButton="0" quotePrefix="0" xfId="0">
      <alignment horizontal="center" vertical="center"/>
    </xf>
    <xf numFmtId="0" fontId="19" fillId="2" borderId="1" applyAlignment="1" pivotButton="0" quotePrefix="0" xfId="0">
      <alignment horizontal="center" vertical="center"/>
    </xf>
    <xf numFmtId="165" fontId="19" fillId="2" borderId="1" applyAlignment="1" pivotButton="0" quotePrefix="0" xfId="0">
      <alignment horizontal="right" vertical="center"/>
    </xf>
    <xf numFmtId="0" fontId="19" fillId="10" borderId="9" applyAlignment="1" pivotButton="0" quotePrefix="0" xfId="0">
      <alignment horizontal="center" vertical="center"/>
    </xf>
    <xf numFmtId="165" fontId="19" fillId="10" borderId="9" applyAlignment="1" pivotButton="0" quotePrefix="0" xfId="0">
      <alignment horizontal="right" vertical="center"/>
    </xf>
    <xf numFmtId="0" fontId="45" fillId="10" borderId="0" applyAlignment="1" pivotButton="0" quotePrefix="0" xfId="0">
      <alignment horizontal="center" vertical="center"/>
    </xf>
    <xf numFmtId="0" fontId="41" fillId="2" borderId="0" applyAlignment="1" pivotButton="0" quotePrefix="0" xfId="0">
      <alignment horizontal="center" vertical="center"/>
    </xf>
    <xf numFmtId="0" fontId="26" fillId="5" borderId="16" applyAlignment="1" pivotButton="0" quotePrefix="0" xfId="0">
      <alignment horizontal="left" vertical="center" wrapText="1"/>
    </xf>
    <xf numFmtId="0" fontId="46" fillId="14" borderId="10" applyAlignment="1" pivotButton="0" quotePrefix="0" xfId="0">
      <alignment horizontal="left" vertical="center"/>
    </xf>
    <xf numFmtId="0" fontId="42" fillId="13" borderId="11" applyAlignment="1" pivotButton="0" quotePrefix="0" xfId="0">
      <alignment horizontal="left" vertical="center"/>
    </xf>
    <xf numFmtId="165" fontId="15" fillId="3" borderId="11" applyAlignment="1" pivotButton="0" quotePrefix="0" xfId="0">
      <alignment horizontal="right" vertical="center"/>
    </xf>
    <xf numFmtId="0" fontId="47" fillId="4" borderId="11" applyAlignment="1" pivotButton="0" quotePrefix="0" xfId="0">
      <alignment horizontal="center" vertical="center"/>
    </xf>
    <xf numFmtId="0" fontId="14" fillId="4" borderId="12" applyAlignment="1" pivotButton="0" quotePrefix="0" xfId="0">
      <alignment horizontal="left" vertical="center"/>
    </xf>
    <xf numFmtId="0" fontId="46" fillId="16" borderId="10" applyAlignment="1" pivotButton="0" quotePrefix="0" xfId="0">
      <alignment horizontal="left" vertical="center"/>
    </xf>
    <xf numFmtId="0" fontId="42" fillId="15" borderId="11" applyAlignment="1" pivotButton="0" quotePrefix="0" xfId="0">
      <alignment horizontal="left" vertical="center"/>
    </xf>
    <xf numFmtId="165" fontId="15" fillId="12" borderId="11" applyAlignment="1" pivotButton="0" quotePrefix="0" xfId="0">
      <alignment horizontal="right" vertical="center"/>
    </xf>
    <xf numFmtId="0" fontId="47" fillId="7" borderId="11" applyAlignment="1" pivotButton="0" quotePrefix="0" xfId="0">
      <alignment horizontal="center" vertical="center"/>
    </xf>
    <xf numFmtId="0" fontId="14" fillId="7" borderId="12" applyAlignment="1" pivotButton="0" quotePrefix="0" xfId="0">
      <alignment horizontal="left" vertical="center"/>
    </xf>
    <xf numFmtId="0" fontId="46" fillId="16" borderId="13" applyAlignment="1" pivotButton="0" quotePrefix="0" xfId="0">
      <alignment horizontal="left" vertical="center"/>
    </xf>
    <xf numFmtId="0" fontId="42" fillId="15" borderId="14" applyAlignment="1" pivotButton="0" quotePrefix="0" xfId="0">
      <alignment horizontal="left" vertical="center"/>
    </xf>
    <xf numFmtId="165" fontId="15" fillId="12" borderId="14" applyAlignment="1" pivotButton="0" quotePrefix="0" xfId="0">
      <alignment horizontal="right" vertical="center"/>
    </xf>
    <xf numFmtId="0" fontId="47" fillId="7" borderId="14" applyAlignment="1" pivotButton="0" quotePrefix="0" xfId="0">
      <alignment horizontal="center" vertical="center"/>
    </xf>
    <xf numFmtId="0" fontId="14" fillId="7" borderId="15" applyAlignment="1" pivotButton="0" quotePrefix="0" xfId="0">
      <alignment horizontal="left" vertical="center"/>
    </xf>
    <xf numFmtId="0" fontId="0" fillId="0" borderId="40" pivotButton="0" quotePrefix="0" xfId="0"/>
    <xf numFmtId="0" fontId="48" fillId="2" borderId="1" applyAlignment="1" pivotButton="0" quotePrefix="0" xfId="0">
      <alignment horizontal="center" vertical="center"/>
    </xf>
    <xf numFmtId="0" fontId="23" fillId="7" borderId="11" applyAlignment="1" pivotButton="0" quotePrefix="0" xfId="0">
      <alignment horizontal="left" vertical="center"/>
    </xf>
    <xf numFmtId="0" fontId="0" fillId="0" borderId="42" pivotButton="0" quotePrefix="0" xfId="0"/>
    <xf numFmtId="0" fontId="38" fillId="3" borderId="11" applyAlignment="1" pivotButton="0" quotePrefix="0" xfId="0">
      <alignment horizontal="left" vertical="center"/>
    </xf>
    <xf numFmtId="0" fontId="24" fillId="8" borderId="2" applyAlignment="1" pivotButton="0" quotePrefix="0" xfId="0">
      <alignment horizontal="center" vertical="center"/>
    </xf>
    <xf numFmtId="0" fontId="15" fillId="4" borderId="10" applyAlignment="1" pivotButton="0" quotePrefix="0" xfId="0">
      <alignment horizontal="left" vertical="center"/>
    </xf>
    <xf numFmtId="167" fontId="39" fillId="4" borderId="11" applyAlignment="1" pivotButton="0" quotePrefix="0" xfId="0">
      <alignment horizontal="right" vertical="center"/>
    </xf>
    <xf numFmtId="165" fontId="26" fillId="4" borderId="11" applyAlignment="1" pivotButton="0" quotePrefix="0" xfId="0">
      <alignment horizontal="right" vertical="center"/>
    </xf>
    <xf numFmtId="165" fontId="26" fillId="4" borderId="12" applyAlignment="1" pivotButton="0" quotePrefix="0" xfId="0">
      <alignment horizontal="right" vertical="center"/>
    </xf>
    <xf numFmtId="0" fontId="15" fillId="7" borderId="10" applyAlignment="1" pivotButton="0" quotePrefix="0" xfId="0">
      <alignment horizontal="left" vertical="center"/>
    </xf>
    <xf numFmtId="167" fontId="39" fillId="7" borderId="11" applyAlignment="1" pivotButton="0" quotePrefix="0" xfId="0">
      <alignment horizontal="right" vertical="center"/>
    </xf>
    <xf numFmtId="165" fontId="26" fillId="7" borderId="11" applyAlignment="1" pivotButton="0" quotePrefix="0" xfId="0">
      <alignment horizontal="right" vertical="center"/>
    </xf>
    <xf numFmtId="165" fontId="26" fillId="7" borderId="12" applyAlignment="1" pivotButton="0" quotePrefix="0" xfId="0">
      <alignment horizontal="right" vertical="center"/>
    </xf>
    <xf numFmtId="0" fontId="15" fillId="7" borderId="13" applyAlignment="1" pivotButton="0" quotePrefix="0" xfId="0">
      <alignment horizontal="left" vertical="center"/>
    </xf>
    <xf numFmtId="167" fontId="39" fillId="7" borderId="14" applyAlignment="1" pivotButton="0" quotePrefix="0" xfId="0">
      <alignment horizontal="right" vertical="center"/>
    </xf>
    <xf numFmtId="165" fontId="26" fillId="7" borderId="14" applyAlignment="1" pivotButton="0" quotePrefix="0" xfId="0">
      <alignment horizontal="right" vertical="center"/>
    </xf>
    <xf numFmtId="165" fontId="26" fillId="7" borderId="15" applyAlignment="1" pivotButton="0" quotePrefix="0" xfId="0">
      <alignment horizontal="right" vertical="center"/>
    </xf>
    <xf numFmtId="9" fontId="19" fillId="2" borderId="1" applyAlignment="1" pivotButton="0" quotePrefix="0" xfId="0">
      <alignment horizontal="center" vertical="center"/>
    </xf>
    <xf numFmtId="168" fontId="9" fillId="4" borderId="1" applyAlignment="1" pivotButton="0" quotePrefix="0" xfId="0">
      <alignment horizontal="center" vertical="center"/>
    </xf>
    <xf numFmtId="169" fontId="9" fillId="4" borderId="1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4F6F8"/>
      <rgbColor rgb="FFFF00FF"/>
      <rgbColor rgb="FF00FFFF"/>
      <rgbColor rgb="FF800000"/>
      <rgbColor rgb="FF008000"/>
      <rgbColor rgb="FF000080"/>
      <rgbColor rgb="FF808000"/>
      <rgbColor rgb="FF800080"/>
      <rgbColor rgb="FF1A7F8E"/>
      <rgbColor rgb="FFBBBBBB"/>
      <rgbColor rgb="FF808284"/>
      <rgbColor rgb="FF9999FF"/>
      <rgbColor rgb="FF993366"/>
      <rgbColor rgb="FFFDF6DC"/>
      <rgbColor rgb="FFE8F3EC"/>
      <rgbColor rgb="FF660066"/>
      <rgbColor rgb="FFFF8080"/>
      <rgbColor rgb="FF114884"/>
      <rgbColor rgb="FFC8D5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EBF0"/>
      <rgbColor rgb="FFD9EEDE"/>
      <rgbColor rgb="FFF5E4E0"/>
      <rgbColor rgb="FFCCCCCC"/>
      <rgbColor rgb="FFDEE1E6"/>
      <rgbColor rgb="FFD6E1EE"/>
      <rgbColor rgb="FFEBD0CC"/>
      <rgbColor rgb="FF3366FF"/>
      <rgbColor rgb="FF33CCCC"/>
      <rgbColor rgb="FF99CC00"/>
      <rgbColor rgb="FFFFCC00"/>
      <rgbColor rgb="FFC8A51E"/>
      <rgbColor rgb="FFFF6600"/>
      <rgbColor rgb="FF587EA8"/>
      <rgbColor rgb="FFAAAAAA"/>
      <rgbColor rgb="FF0F2942"/>
      <rgbColor rgb="FF1E8449"/>
      <rgbColor rgb="FF003300"/>
      <rgbColor rgb="FF333300"/>
      <rgbColor rgb="FFA93226"/>
      <rgbColor rgb="FF993366"/>
      <rgbColor rgb="FF1D42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tabColor rgb="FF114884"/>
    <outlinePr summaryBelow="1" summaryRight="1"/>
    <pageSetUpPr fitToPage="0"/>
  </sheetPr>
  <dimension ref="A1:E49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3359375" defaultRowHeight="15" zeroHeight="0" outlineLevelRow="0"/>
  <cols>
    <col width="2" customWidth="1" style="153" min="1" max="8"/>
    <col width="14" customWidth="1" style="153" min="9" max="9"/>
    <col width="4" customWidth="1" style="153" min="10" max="10"/>
    <col width="14" customWidth="1" style="153" min="11" max="11"/>
    <col width="4" customWidth="1" style="153" min="12" max="12"/>
  </cols>
  <sheetData>
    <row r="1" ht="55.5" customHeight="1" s="154">
      <c r="A1" s="155" t="inlineStr">
        <is>
          <t>⚓  Bordkasse</t>
        </is>
      </c>
    </row>
    <row r="2" ht="24" customHeight="1" s="154">
      <c r="A2" s="156" t="inlineStr">
        <is>
          <t>Ausgabe erfassen</t>
        </is>
      </c>
    </row>
    <row r="3" ht="12" customHeight="1" s="154"/>
    <row r="4" ht="33.75" customHeight="1" s="154">
      <c r="A4" s="157" t="inlineStr">
        <is>
          <t xml:space="preserve">  1.  Details</t>
        </is>
      </c>
    </row>
    <row r="5" ht="21.75" customHeight="1" s="154">
      <c r="B5" s="158" t="inlineStr">
        <is>
          <t>Datum</t>
        </is>
      </c>
    </row>
    <row r="6" ht="49.5" customHeight="1" s="154">
      <c r="B6" s="160" t="n"/>
    </row>
    <row r="7" ht="13.5" customHeight="1" s="154"/>
    <row r="8" ht="33.75" customHeight="1" s="154">
      <c r="B8" s="158" t="inlineStr">
        <is>
          <t>Beschreibung</t>
        </is>
      </c>
    </row>
    <row r="9" ht="21.75" customHeight="1" s="154">
      <c r="B9" s="161" t="n"/>
    </row>
    <row r="10" ht="43.5" customHeight="1" s="154"/>
    <row r="11" ht="7.5" customHeight="1" s="154">
      <c r="B11" s="158" t="inlineStr">
        <is>
          <t>Kategorie  (antippen für Auswahl)</t>
        </is>
      </c>
    </row>
    <row r="12" ht="21.75" customHeight="1" s="154">
      <c r="B12" s="162" t="n"/>
    </row>
    <row r="13" ht="43.5" customHeight="1" s="154"/>
    <row r="14" ht="7.5" customHeight="1" s="154">
      <c r="B14" s="158" t="inlineStr">
        <is>
          <t>Bezahlt von  (antippen für Auswahl)</t>
        </is>
      </c>
    </row>
    <row r="15" ht="21.75" customHeight="1" s="154">
      <c r="B15" s="162" t="n"/>
    </row>
    <row r="16" ht="49.5" customHeight="1" s="154"/>
    <row r="17" ht="7.5" customHeight="1" s="154">
      <c r="B17" s="158" t="inlineStr">
        <is>
          <t>Betrag  (€)</t>
        </is>
      </c>
    </row>
    <row r="18" ht="21.75" customHeight="1" s="154">
      <c r="B18" s="163" t="n"/>
    </row>
    <row r="19" ht="49.5" customHeight="1" s="154"/>
    <row r="20" ht="7.5" customHeight="1" s="154">
      <c r="B20" s="164" t="inlineStr">
        <is>
          <t>Alkohol-Anteil (€)    · optional</t>
        </is>
      </c>
    </row>
    <row r="21" ht="21.75" customHeight="1" s="154">
      <c r="B21" s="165" t="n"/>
    </row>
    <row r="22" ht="57.75" customHeight="1" s="154"/>
    <row r="23" ht="7.5" customHeight="1" s="154">
      <c r="A23" s="157" t="inlineStr">
        <is>
          <t xml:space="preserve">  2.  Aufteilung</t>
        </is>
      </c>
    </row>
    <row r="24" ht="21.75" customHeight="1" s="154">
      <c r="B24" s="158" t="inlineStr">
        <is>
          <t>Wie aufteilen?</t>
        </is>
      </c>
    </row>
    <row r="25" ht="37.5" customHeight="1" s="154">
      <c r="B25" s="162" t="inlineStr">
        <is>
          <t>Gleichmäßig</t>
        </is>
      </c>
    </row>
    <row r="26" ht="13.5" customHeight="1" s="154">
      <c r="B26" s="166" t="inlineStr">
        <is>
          <t>►  Gleichmäßig — alle zahlen gleich viel
►  An Bord — nur wer an dem Tag da war
►  Zeitanteilig — nach Anwesenheitstagen
►  Individuell — nur unten markierte Personen</t>
        </is>
      </c>
    </row>
    <row r="27" ht="33.75" customHeight="1" s="154"/>
    <row r="28" ht="21.75" customHeight="1" s="154">
      <c r="A28" s="167" t="inlineStr">
        <is>
          <t xml:space="preserve">  Nur bei 'Individuell':  Wer ist dabei?</t>
        </is>
      </c>
    </row>
    <row r="29" ht="49.5" customHeight="1" s="154">
      <c r="B29" s="168" t="inlineStr">
        <is>
          <t>Pro Person auf das Feld tippen und 'x' eingeben (oder leer lassen)</t>
        </is>
      </c>
    </row>
    <row r="30" ht="61.5" customHeight="1" s="154">
      <c r="B30" s="169" t="inlineStr">
        <is>
          <t xml:space="preserve">    Person                                                              x = dabei</t>
        </is>
      </c>
      <c r="C30" s="170" t="n"/>
      <c r="D30" s="170" t="n"/>
    </row>
    <row r="31" ht="13.5" customHeight="1" s="154">
      <c r="B31" s="171">
        <f>IFERROR(IF(Besatzung!B11="","P1  (leer)",Besatzung!B11),"P1")</f>
        <v/>
      </c>
      <c r="C31" s="172" t="n"/>
      <c r="D31" s="173" t="n"/>
    </row>
    <row r="32" hidden="1" ht="33.75" customHeight="1" s="154">
      <c r="B32" s="174">
        <f>IFERROR(IF(Besatzung!B12="","P2  (leer)",Besatzung!B12),"P2")</f>
        <v/>
      </c>
      <c r="C32" s="175" t="n"/>
      <c r="D32" s="173" t="n"/>
    </row>
    <row r="33" hidden="1" ht="21.75" customHeight="1" s="154">
      <c r="B33" s="171">
        <f>IFERROR(IF(Besatzung!B13="","P3  (leer)",Besatzung!B13),"P3")</f>
        <v/>
      </c>
      <c r="C33" s="172" t="n"/>
      <c r="D33" s="173" t="n"/>
    </row>
    <row r="34" hidden="1" ht="21.75" customHeight="1" s="154">
      <c r="B34" s="174">
        <f>IFERROR(IF(Besatzung!B14="","P4  (leer)",Besatzung!B14),"P4")</f>
        <v/>
      </c>
      <c r="C34" s="175" t="n"/>
      <c r="D34" s="173" t="n"/>
    </row>
    <row r="35" hidden="1" ht="33.75" customHeight="1" s="154">
      <c r="B35" s="171">
        <f>IFERROR(IF(Besatzung!B15="","P5  (leer)",Besatzung!B15),"P5")</f>
        <v/>
      </c>
      <c r="C35" s="172" t="n"/>
      <c r="D35" s="173" t="n"/>
    </row>
    <row r="36" hidden="1" ht="33.75" customHeight="1" s="154">
      <c r="B36" s="174">
        <f>IFERROR(IF(Besatzung!B16="","P6  (leer)",Besatzung!B16),"P6")</f>
        <v/>
      </c>
      <c r="C36" s="175" t="n"/>
      <c r="D36" s="173" t="n"/>
    </row>
    <row r="37" hidden="1" ht="33.75" customHeight="1" s="154">
      <c r="B37" s="171">
        <f>IFERROR(IF(Besatzung!B17="","P7  (leer)",Besatzung!B17),"P7")</f>
        <v/>
      </c>
      <c r="C37" s="172" t="n"/>
      <c r="D37" s="173" t="n"/>
    </row>
    <row r="38" hidden="1" ht="33.75" customHeight="1" s="154">
      <c r="B38" s="174">
        <f>IFERROR(IF(Besatzung!B18="","P8  (leer)",Besatzung!B18),"P8")</f>
        <v/>
      </c>
      <c r="C38" s="175" t="n"/>
      <c r="D38" s="173" t="n"/>
    </row>
    <row r="39" hidden="1" ht="33.75" customHeight="1" s="154">
      <c r="B39" s="171">
        <f>IFERROR(IF(Besatzung!B19="","P9  (leer)",Besatzung!B19),"P9")</f>
        <v/>
      </c>
      <c r="C39" s="172" t="n"/>
      <c r="D39" s="173" t="n"/>
    </row>
    <row r="40" hidden="1" ht="33.75" customHeight="1" s="154">
      <c r="B40" s="174">
        <f>IFERROR(IF(Besatzung!B20="","P10  (leer)",Besatzung!B20),"P10")</f>
        <v/>
      </c>
      <c r="C40" s="175" t="n"/>
      <c r="D40" s="173" t="n"/>
    </row>
    <row r="41" hidden="1" ht="33.75" customHeight="1" s="154">
      <c r="B41" s="171">
        <f>IFERROR(IF(Besatzung!B21="","P11  (leer)",Besatzung!B21),"P11")</f>
        <v/>
      </c>
      <c r="C41" s="172" t="n"/>
      <c r="D41" s="173" t="n"/>
    </row>
    <row r="42" hidden="1" ht="33.75" customHeight="1" s="154">
      <c r="B42" s="174">
        <f>IFERROR(IF(Besatzung!B22="","P12  (leer)",Besatzung!B22),"P12")</f>
        <v/>
      </c>
      <c r="C42" s="175" t="n"/>
      <c r="D42" s="173" t="n"/>
    </row>
    <row r="43" hidden="1" ht="33.75" customHeight="1" s="154"/>
    <row r="44" hidden="1" ht="33.75" customHeight="1" s="154"/>
    <row r="45" hidden="1" ht="33.75" customHeight="1" s="154">
      <c r="A45" s="178" t="inlineStr">
        <is>
          <t>▶   SPEICHERN</t>
        </is>
      </c>
      <c r="B45" s="179" t="n"/>
      <c r="C45" s="179" t="n"/>
      <c r="D45" s="179" t="n"/>
      <c r="E45" s="179" t="n"/>
    </row>
    <row r="46" hidden="1" ht="33.75" customHeight="1" s="154">
      <c r="A46" s="180" t="inlineStr">
        <is>
          <t>Tippe hier (Desktop) oder nutze Menü: ⚓ Bordkasse → 💾 Speichern (Mobile)</t>
        </is>
      </c>
    </row>
    <row r="47" ht="13.5" customHeight="1" s="154"/>
    <row r="48" hidden="1" ht="33.75" customHeight="1" s="154">
      <c r="A48" s="181" t="inlineStr">
        <is>
          <t xml:space="preserve">  Zuletzt erfasst</t>
        </is>
      </c>
    </row>
    <row r="49" hidden="1" ht="21.75" customHeight="1" s="154">
      <c r="B49" s="182">
        <f>IFERROR("Letzte: "&amp;TEXT(Transaktionen!B203,"TT.MM.JJJJ")&amp;" · "&amp;Transaktionen!D203&amp;" · "&amp;TEXT(Transaktionen!G203,"#,##0.00 €"),"(noch keine Transaktionen erfasst)")</f>
        <v/>
      </c>
      <c r="C49" s="170" t="n"/>
      <c r="D49" s="170" t="n"/>
    </row>
    <row r="50" hidden="1" ht="43.5" customHeight="1" s="154"/>
    <row r="51" hidden="1" ht="7.5" customHeight="1" s="154"/>
    <row r="52" hidden="1" ht="21.75" customHeight="1" s="154"/>
    <row r="53" hidden="1" ht="43.5" customHeight="1" s="154"/>
    <row r="54" hidden="1" ht="21.75" customHeight="1" s="154"/>
    <row r="55" ht="19.5" customHeight="1" s="154"/>
    <row r="56" ht="60" customHeight="1" s="154"/>
    <row r="57" ht="21.75" customHeight="1" s="154"/>
    <row r="58" ht="9.75" customHeight="1" s="154"/>
    <row r="59" ht="24" customHeight="1" s="154"/>
    <row r="60" ht="27.75" customHeight="1" s="154"/>
    <row r="61" ht="15.75" customHeight="1" s="154"/>
    <row r="62" ht="15.75" customHeight="1" s="154"/>
    <row r="63" ht="15.75" customHeight="1" s="154"/>
    <row r="64" ht="15.75" customHeight="1" s="154"/>
    <row r="65" ht="15.75" customHeight="1" s="154"/>
    <row r="66" ht="15.75" customHeight="1" s="154"/>
    <row r="67" ht="15.75" customHeight="1" s="154"/>
    <row r="68" ht="15.75" customHeight="1" s="154"/>
    <row r="69" ht="15.75" customHeight="1" s="154"/>
    <row r="70" ht="15.75" customHeight="1" s="154"/>
    <row r="71" ht="15.75" customHeight="1" s="154"/>
    <row r="72" ht="15.75" customHeight="1" s="154"/>
    <row r="73" ht="15.75" customHeight="1" s="154"/>
    <row r="74" ht="15.75" customHeight="1" s="154"/>
    <row r="75" ht="15.75" customHeight="1" s="154"/>
    <row r="76" ht="15.75" customHeight="1" s="154"/>
    <row r="77" ht="15.75" customHeight="1" s="154"/>
    <row r="78" ht="15.75" customHeight="1" s="154"/>
    <row r="79" ht="15.75" customHeight="1" s="154"/>
    <row r="80" ht="15.75" customHeight="1" s="154"/>
    <row r="81" ht="15.75" customHeight="1" s="154"/>
    <row r="82" ht="15.75" customHeight="1" s="154"/>
    <row r="83" ht="15.75" customHeight="1" s="154"/>
    <row r="84" ht="15.75" customHeight="1" s="154"/>
    <row r="85" ht="15.75" customHeight="1" s="154"/>
    <row r="86" ht="15.75" customHeight="1" s="154"/>
    <row r="87" ht="15.75" customHeight="1" s="154"/>
    <row r="88" ht="15.75" customHeight="1" s="154"/>
    <row r="89" ht="15.75" customHeight="1" s="154"/>
    <row r="90" ht="15.75" customHeight="1" s="154"/>
    <row r="91" ht="15.75" customHeight="1" s="154"/>
    <row r="92" ht="15.75" customHeight="1" s="154"/>
    <row r="93" ht="15.75" customHeight="1" s="154"/>
    <row r="94" ht="15.75" customHeight="1" s="154"/>
    <row r="95" ht="15.75" customHeight="1" s="154"/>
    <row r="96" ht="15.75" customHeight="1" s="154"/>
    <row r="97" ht="15.75" customHeight="1" s="154"/>
    <row r="98" ht="15.75" customHeight="1" s="154"/>
    <row r="99" ht="15.75" customHeight="1" s="154"/>
    <row r="100" ht="15.75" customHeight="1" s="154"/>
    <row r="101" ht="15.75" customHeight="1" s="154"/>
    <row r="102" ht="15.75" customHeight="1" s="154"/>
    <row r="103" ht="15.75" customHeight="1" s="154"/>
    <row r="104" ht="15.75" customHeight="1" s="154"/>
    <row r="105" ht="15.75" customHeight="1" s="154"/>
    <row r="106" ht="15.75" customHeight="1" s="154"/>
    <row r="107" ht="15.75" customHeight="1" s="154"/>
    <row r="108" ht="15.75" customHeight="1" s="154"/>
    <row r="109" ht="15.75" customHeight="1" s="154"/>
    <row r="110" ht="15.75" customHeight="1" s="154"/>
    <row r="111" ht="15.75" customHeight="1" s="154"/>
    <row r="112" ht="15.75" customHeight="1" s="154"/>
    <row r="113" ht="15.75" customHeight="1" s="154"/>
    <row r="114" ht="15.75" customHeight="1" s="154"/>
    <row r="115" ht="15.75" customHeight="1" s="154"/>
    <row r="116" ht="15.75" customHeight="1" s="154"/>
    <row r="117" ht="15.75" customHeight="1" s="154"/>
    <row r="118" ht="15.75" customHeight="1" s="154"/>
    <row r="119" ht="15.75" customHeight="1" s="154"/>
    <row r="120" ht="15.75" customHeight="1" s="154"/>
    <row r="121" ht="15.75" customHeight="1" s="154"/>
    <row r="122" ht="15.75" customHeight="1" s="154"/>
    <row r="123" ht="15.75" customHeight="1" s="154"/>
    <row r="124" ht="15.75" customHeight="1" s="154"/>
    <row r="125" ht="15.75" customHeight="1" s="154"/>
    <row r="126" ht="15.75" customHeight="1" s="154"/>
    <row r="127" ht="15.75" customHeight="1" s="154"/>
    <row r="128" ht="15.75" customHeight="1" s="154"/>
    <row r="129" ht="15.75" customHeight="1" s="154"/>
    <row r="130" ht="15.75" customHeight="1" s="154"/>
    <row r="131" ht="15.75" customHeight="1" s="154"/>
    <row r="132" ht="15.75" customHeight="1" s="154"/>
    <row r="133" ht="15.75" customHeight="1" s="154"/>
    <row r="134" ht="15.75" customHeight="1" s="154"/>
    <row r="135" ht="15.75" customHeight="1" s="154"/>
    <row r="136" ht="15.75" customHeight="1" s="154"/>
    <row r="137" ht="15.75" customHeight="1" s="154"/>
    <row r="138" ht="15.75" customHeight="1" s="154"/>
    <row r="139" ht="15.75" customHeight="1" s="154"/>
    <row r="140" ht="15.75" customHeight="1" s="154"/>
    <row r="141" ht="15.75" customHeight="1" s="154"/>
    <row r="142" ht="15.75" customHeight="1" s="154"/>
    <row r="143" ht="15.75" customHeight="1" s="154"/>
    <row r="144" ht="15.75" customHeight="1" s="154"/>
    <row r="145" ht="15.75" customHeight="1" s="154"/>
    <row r="146" ht="15.75" customHeight="1" s="154"/>
    <row r="147" ht="15.75" customHeight="1" s="154"/>
    <row r="148" ht="15.75" customHeight="1" s="154"/>
    <row r="149" ht="15.75" customHeight="1" s="154"/>
    <row r="150" ht="15.75" customHeight="1" s="154"/>
    <row r="151" ht="15.75" customHeight="1" s="154"/>
    <row r="152" ht="15.75" customHeight="1" s="154"/>
    <row r="153" ht="15.75" customHeight="1" s="154"/>
    <row r="154" ht="15.75" customHeight="1" s="154"/>
    <row r="155" ht="15.75" customHeight="1" s="154"/>
    <row r="156" ht="15.75" customHeight="1" s="154"/>
    <row r="157" ht="15.75" customHeight="1" s="154"/>
    <row r="158" ht="15.75" customHeight="1" s="154"/>
    <row r="159" ht="15.75" customHeight="1" s="154"/>
    <row r="160" ht="15.75" customHeight="1" s="154"/>
    <row r="161" ht="15.75" customHeight="1" s="154"/>
    <row r="162" ht="15.75" customHeight="1" s="154"/>
    <row r="163" ht="15.75" customHeight="1" s="154"/>
    <row r="164" ht="15.75" customHeight="1" s="154"/>
    <row r="165" ht="15.75" customHeight="1" s="154"/>
    <row r="166" ht="15.75" customHeight="1" s="154"/>
    <row r="167" ht="15.75" customHeight="1" s="154"/>
    <row r="168" ht="15.75" customHeight="1" s="154"/>
    <row r="169" ht="15.75" customHeight="1" s="154"/>
    <row r="170" ht="15.75" customHeight="1" s="154"/>
    <row r="171" ht="15.75" customHeight="1" s="154"/>
    <row r="172" ht="15.75" customHeight="1" s="154"/>
    <row r="173" ht="15.75" customHeight="1" s="154"/>
    <row r="174" ht="15.75" customHeight="1" s="154"/>
    <row r="175" ht="15.75" customHeight="1" s="154"/>
    <row r="176" ht="15.75" customHeight="1" s="154"/>
    <row r="177" ht="15.75" customHeight="1" s="154"/>
    <row r="178" ht="15.75" customHeight="1" s="154"/>
    <row r="179" ht="15.75" customHeight="1" s="154"/>
    <row r="180" ht="15.75" customHeight="1" s="154"/>
    <row r="181" ht="15.75" customHeight="1" s="154"/>
    <row r="182" ht="15.75" customHeight="1" s="154"/>
    <row r="183" ht="15.75" customHeight="1" s="154"/>
    <row r="184" ht="15.75" customHeight="1" s="154"/>
    <row r="185" ht="15.75" customHeight="1" s="154"/>
    <row r="186" ht="15.75" customHeight="1" s="154"/>
    <row r="187" ht="15.75" customHeight="1" s="154"/>
    <row r="188" ht="15.75" customHeight="1" s="154"/>
    <row r="189" ht="15.75" customHeight="1" s="154"/>
    <row r="190" ht="15.75" customHeight="1" s="154"/>
    <row r="191" ht="15.75" customHeight="1" s="154"/>
    <row r="192" ht="15.75" customHeight="1" s="154"/>
    <row r="193" ht="15.75" customHeight="1" s="154"/>
    <row r="194" ht="15.75" customHeight="1" s="154"/>
    <row r="195" ht="15.75" customHeight="1" s="154"/>
    <row r="196" ht="15.75" customHeight="1" s="154"/>
    <row r="197" ht="15.75" customHeight="1" s="154"/>
    <row r="198" ht="15.75" customHeight="1" s="154"/>
    <row r="199" ht="15.75" customHeight="1" s="154"/>
    <row r="200" ht="15.75" customHeight="1" s="154"/>
    <row r="201" ht="15.75" customHeight="1" s="154"/>
    <row r="202" ht="15.75" customHeight="1" s="154"/>
    <row r="203" ht="15.75" customHeight="1" s="154"/>
    <row r="204" ht="15.75" customHeight="1" s="154"/>
    <row r="205" ht="15.75" customHeight="1" s="154"/>
    <row r="206" ht="15.75" customHeight="1" s="154"/>
    <row r="207" ht="15.75" customHeight="1" s="154"/>
    <row r="208" ht="15.75" customHeight="1" s="154"/>
    <row r="209" ht="15.75" customHeight="1" s="154"/>
    <row r="210" ht="15.75" customHeight="1" s="154"/>
    <row r="211" ht="15.75" customHeight="1" s="154"/>
    <row r="212" ht="15.75" customHeight="1" s="154"/>
    <row r="213" ht="15.75" customHeight="1" s="154"/>
    <row r="214" ht="15.75" customHeight="1" s="154"/>
    <row r="215" ht="15.75" customHeight="1" s="154"/>
    <row r="216" ht="15.75" customHeight="1" s="154"/>
    <row r="217" ht="15.75" customHeight="1" s="154"/>
    <row r="218" ht="15.75" customHeight="1" s="154"/>
    <row r="219" ht="15.75" customHeight="1" s="154"/>
    <row r="220" ht="15.75" customHeight="1" s="154"/>
    <row r="221" ht="15.75" customHeight="1" s="154"/>
    <row r="222" ht="15.75" customHeight="1" s="154"/>
    <row r="223" ht="15.75" customHeight="1" s="154"/>
    <row r="224" ht="15.75" customHeight="1" s="154"/>
    <row r="225" ht="15.75" customHeight="1" s="154"/>
    <row r="226" ht="15.75" customHeight="1" s="154"/>
    <row r="227" ht="15.75" customHeight="1" s="154"/>
    <row r="228" ht="15.75" customHeight="1" s="154"/>
    <row r="229" ht="15.75" customHeight="1" s="154"/>
    <row r="230" ht="15.75" customHeight="1" s="154"/>
    <row r="231" ht="15.75" customHeight="1" s="154"/>
    <row r="232" ht="15.75" customHeight="1" s="154"/>
    <row r="233" ht="15.75" customHeight="1" s="154"/>
    <row r="234" ht="15.75" customHeight="1" s="154"/>
    <row r="235" ht="15.75" customHeight="1" s="154"/>
    <row r="236" ht="15.75" customHeight="1" s="154"/>
    <row r="237" ht="15.75" customHeight="1" s="154"/>
    <row r="238" ht="15.75" customHeight="1" s="154"/>
    <row r="239" ht="15.75" customHeight="1" s="154"/>
    <row r="240" ht="15.75" customHeight="1" s="154"/>
    <row r="241" ht="15.75" customHeight="1" s="154"/>
    <row r="242" ht="15.75" customHeight="1" s="154"/>
    <row r="243" ht="15.75" customHeight="1" s="154"/>
    <row r="244" ht="15.75" customHeight="1" s="154"/>
    <row r="245" ht="15.75" customHeight="1" s="154"/>
    <row r="246" ht="15.75" customHeight="1" s="154"/>
    <row r="247" ht="15.75" customHeight="1" s="154"/>
    <row r="248" ht="15.75" customHeight="1" s="154"/>
    <row r="249" ht="15.75" customHeight="1" s="154"/>
    <row r="250" ht="15.75" customHeight="1" s="154"/>
    <row r="251" ht="15.75" customHeight="1" s="154"/>
    <row r="252" ht="15.75" customHeight="1" s="154"/>
    <row r="253" ht="15.75" customHeight="1" s="154"/>
    <row r="254" ht="15.75" customHeight="1" s="154"/>
    <row r="255" ht="15.75" customHeight="1" s="154"/>
    <row r="256" ht="15.75" customHeight="1" s="154"/>
    <row r="257" ht="15.75" customHeight="1" s="154"/>
    <row r="258" ht="15.75" customHeight="1" s="154"/>
    <row r="259" ht="15.75" customHeight="1" s="154"/>
    <row r="260" ht="15.75" customHeight="1" s="154"/>
    <row r="261" ht="15.75" customHeight="1" s="154"/>
    <row r="262" ht="15.75" customHeight="1" s="154"/>
    <row r="263" ht="15.75" customHeight="1" s="154"/>
    <row r="264" ht="15.75" customHeight="1" s="154"/>
    <row r="265" ht="15.75" customHeight="1" s="154"/>
    <row r="266" ht="15.75" customHeight="1" s="154"/>
    <row r="267" ht="15.75" customHeight="1" s="154"/>
    <row r="268" ht="15.75" customHeight="1" s="154"/>
    <row r="269" ht="15.75" customHeight="1" s="154"/>
    <row r="270" ht="15.75" customHeight="1" s="154"/>
    <row r="271" ht="15.75" customHeight="1" s="154"/>
    <row r="272" ht="15.75" customHeight="1" s="154"/>
    <row r="273" ht="15.75" customHeight="1" s="154"/>
    <row r="274" ht="15.75" customHeight="1" s="154"/>
    <row r="275" ht="15.75" customHeight="1" s="154"/>
    <row r="276" ht="15.75" customHeight="1" s="154"/>
    <row r="277" ht="15.75" customHeight="1" s="154"/>
    <row r="278" ht="15.75" customHeight="1" s="154"/>
    <row r="279" ht="15.75" customHeight="1" s="154"/>
    <row r="280" ht="15.75" customHeight="1" s="154"/>
    <row r="281" ht="15.75" customHeight="1" s="154"/>
    <row r="282" ht="15.75" customHeight="1" s="154"/>
    <row r="283" ht="15.75" customHeight="1" s="154"/>
    <row r="284" ht="15.75" customHeight="1" s="154"/>
    <row r="285" ht="15.75" customHeight="1" s="154"/>
    <row r="286" ht="15.75" customHeight="1" s="154"/>
    <row r="287" ht="15.75" customHeight="1" s="154"/>
    <row r="288" ht="15.75" customHeight="1" s="154"/>
    <row r="289" ht="15.75" customHeight="1" s="154"/>
    <row r="290" ht="15.75" customHeight="1" s="154"/>
    <row r="291" ht="15.75" customHeight="1" s="154"/>
    <row r="292" ht="15.75" customHeight="1" s="154"/>
    <row r="293" ht="15.75" customHeight="1" s="154"/>
    <row r="294" ht="15.75" customHeight="1" s="154"/>
    <row r="295" ht="15.75" customHeight="1" s="154"/>
    <row r="296" ht="15.75" customHeight="1" s="154"/>
    <row r="297" ht="15.75" customHeight="1" s="154"/>
    <row r="298" ht="15.75" customHeight="1" s="154"/>
    <row r="299" ht="15.75" customHeight="1" s="154"/>
    <row r="300" ht="15.75" customHeight="1" s="154"/>
    <row r="301" ht="15.75" customHeight="1" s="154"/>
    <row r="302" ht="15.75" customHeight="1" s="154"/>
    <row r="303" ht="15.75" customHeight="1" s="154"/>
    <row r="304" ht="15.75" customHeight="1" s="154"/>
    <row r="305" ht="15.75" customHeight="1" s="154"/>
    <row r="306" ht="15.75" customHeight="1" s="154"/>
    <row r="307" ht="15.75" customHeight="1" s="154"/>
    <row r="308" ht="15.75" customHeight="1" s="154"/>
    <row r="309" ht="15.75" customHeight="1" s="154"/>
    <row r="310" ht="15.75" customHeight="1" s="154"/>
    <row r="311" ht="15.75" customHeight="1" s="154"/>
    <row r="312" ht="15.75" customHeight="1" s="154"/>
    <row r="313" ht="15.75" customHeight="1" s="154"/>
    <row r="314" ht="15.75" customHeight="1" s="154"/>
    <row r="315" ht="15.75" customHeight="1" s="154"/>
    <row r="316" ht="15.75" customHeight="1" s="154"/>
    <row r="317" ht="15.75" customHeight="1" s="154"/>
    <row r="318" ht="15.75" customHeight="1" s="154"/>
    <row r="319" ht="15.75" customHeight="1" s="154"/>
    <row r="320" ht="15.75" customHeight="1" s="154"/>
    <row r="321" ht="15.75" customHeight="1" s="154"/>
    <row r="322" ht="15.75" customHeight="1" s="154"/>
    <row r="323" ht="15.75" customHeight="1" s="154"/>
    <row r="324" ht="15.75" customHeight="1" s="154"/>
    <row r="325" ht="15.75" customHeight="1" s="154"/>
    <row r="326" ht="15.75" customHeight="1" s="154"/>
    <row r="327" ht="15.75" customHeight="1" s="154"/>
    <row r="328" ht="15.75" customHeight="1" s="154"/>
    <row r="329" ht="15.75" customHeight="1" s="154"/>
    <row r="330" ht="15.75" customHeight="1" s="154"/>
    <row r="331" ht="15.75" customHeight="1" s="154"/>
    <row r="332" ht="15.75" customHeight="1" s="154"/>
    <row r="333" ht="15.75" customHeight="1" s="154"/>
    <row r="334" ht="15.75" customHeight="1" s="154"/>
    <row r="335" ht="15.75" customHeight="1" s="154"/>
    <row r="336" ht="15.75" customHeight="1" s="154"/>
    <row r="337" ht="15.75" customHeight="1" s="154"/>
    <row r="338" ht="15.75" customHeight="1" s="154"/>
    <row r="339" ht="15.75" customHeight="1" s="154"/>
    <row r="340" ht="15.75" customHeight="1" s="154"/>
    <row r="341" ht="15.75" customHeight="1" s="154"/>
    <row r="342" ht="15.75" customHeight="1" s="154"/>
    <row r="343" ht="15.75" customHeight="1" s="154"/>
    <row r="344" ht="15.75" customHeight="1" s="154"/>
    <row r="345" ht="15.75" customHeight="1" s="154"/>
    <row r="346" ht="15.75" customHeight="1" s="154"/>
    <row r="347" ht="15.75" customHeight="1" s="154"/>
    <row r="348" ht="15.75" customHeight="1" s="154"/>
    <row r="349" ht="15.75" customHeight="1" s="154"/>
    <row r="350" ht="15.75" customHeight="1" s="154"/>
    <row r="351" ht="15.75" customHeight="1" s="154"/>
    <row r="352" ht="15.75" customHeight="1" s="154"/>
    <row r="353" ht="15.75" customHeight="1" s="154"/>
    <row r="354" ht="15.75" customHeight="1" s="154"/>
    <row r="355" ht="15.75" customHeight="1" s="154"/>
    <row r="356" ht="15.75" customHeight="1" s="154"/>
    <row r="357" ht="15.75" customHeight="1" s="154"/>
    <row r="358" ht="15.75" customHeight="1" s="154"/>
    <row r="359" ht="15.75" customHeight="1" s="154"/>
    <row r="360" ht="15.75" customHeight="1" s="154"/>
    <row r="361" ht="15.75" customHeight="1" s="154"/>
    <row r="362" ht="15.75" customHeight="1" s="154"/>
    <row r="363" ht="15.75" customHeight="1" s="154"/>
    <row r="364" ht="15.75" customHeight="1" s="154"/>
    <row r="365" ht="15.75" customHeight="1" s="154"/>
    <row r="366" ht="15.75" customHeight="1" s="154"/>
    <row r="367" ht="15.75" customHeight="1" s="154"/>
    <row r="368" ht="15.75" customHeight="1" s="154"/>
    <row r="369" ht="15.75" customHeight="1" s="154"/>
    <row r="370" ht="15.75" customHeight="1" s="154"/>
    <row r="371" ht="15.75" customHeight="1" s="154"/>
    <row r="372" ht="15.75" customHeight="1" s="154"/>
    <row r="373" ht="15.75" customHeight="1" s="154"/>
    <row r="374" ht="15.75" customHeight="1" s="154"/>
    <row r="375" ht="15.75" customHeight="1" s="154"/>
    <row r="376" ht="15.75" customHeight="1" s="154"/>
    <row r="377" ht="15.75" customHeight="1" s="154"/>
    <row r="378" ht="15.75" customHeight="1" s="154"/>
    <row r="379" ht="15.75" customHeight="1" s="154"/>
    <row r="380" ht="15.75" customHeight="1" s="154"/>
    <row r="381" ht="15.75" customHeight="1" s="154"/>
    <row r="382" ht="15.75" customHeight="1" s="154"/>
    <row r="383" ht="15.75" customHeight="1" s="154"/>
    <row r="384" ht="15.75" customHeight="1" s="154"/>
    <row r="385" ht="15.75" customHeight="1" s="154"/>
    <row r="386" ht="15.75" customHeight="1" s="154"/>
    <row r="387" ht="15.75" customHeight="1" s="154"/>
    <row r="388" ht="15.75" customHeight="1" s="154"/>
    <row r="389" ht="15.75" customHeight="1" s="154"/>
    <row r="390" ht="15.75" customHeight="1" s="154"/>
    <row r="391" ht="15.75" customHeight="1" s="154"/>
    <row r="392" ht="15.75" customHeight="1" s="154"/>
    <row r="393" ht="15.75" customHeight="1" s="154"/>
    <row r="394" ht="15.75" customHeight="1" s="154"/>
    <row r="395" ht="15.75" customHeight="1" s="154"/>
    <row r="396" ht="15.75" customHeight="1" s="154"/>
    <row r="397" ht="15.75" customHeight="1" s="154"/>
    <row r="398" ht="15.75" customHeight="1" s="154"/>
    <row r="399" ht="15.75" customHeight="1" s="154"/>
    <row r="400" ht="15.75" customHeight="1" s="154"/>
    <row r="401" ht="15.75" customHeight="1" s="154"/>
    <row r="402" ht="15.75" customHeight="1" s="154"/>
    <row r="403" ht="15.75" customHeight="1" s="154"/>
    <row r="404" ht="15.75" customHeight="1" s="154"/>
    <row r="405" ht="15.75" customHeight="1" s="154"/>
    <row r="406" ht="15.75" customHeight="1" s="154"/>
    <row r="407" ht="15.75" customHeight="1" s="154"/>
    <row r="408" ht="15.75" customHeight="1" s="154"/>
    <row r="409" ht="15.75" customHeight="1" s="154"/>
    <row r="410" ht="15.75" customHeight="1" s="154"/>
    <row r="411" ht="15.75" customHeight="1" s="154"/>
    <row r="412" ht="15.75" customHeight="1" s="154"/>
    <row r="413" ht="15.75" customHeight="1" s="154"/>
    <row r="414" ht="15.75" customHeight="1" s="154"/>
    <row r="415" ht="15.75" customHeight="1" s="154"/>
    <row r="416" ht="15.75" customHeight="1" s="154"/>
    <row r="417" ht="15.75" customHeight="1" s="154"/>
    <row r="418" ht="15.75" customHeight="1" s="154"/>
    <row r="419" ht="15.75" customHeight="1" s="154"/>
    <row r="420" ht="15.75" customHeight="1" s="154"/>
    <row r="421" ht="15.75" customHeight="1" s="154"/>
    <row r="422" ht="15.75" customHeight="1" s="154"/>
    <row r="423" ht="15.75" customHeight="1" s="154"/>
    <row r="424" ht="15.75" customHeight="1" s="154"/>
    <row r="425" ht="15.75" customHeight="1" s="154"/>
    <row r="426" ht="15.75" customHeight="1" s="154"/>
    <row r="427" ht="15.75" customHeight="1" s="154"/>
    <row r="428" ht="15.75" customHeight="1" s="154"/>
    <row r="429" ht="15.75" customHeight="1" s="154"/>
    <row r="430" ht="15.75" customHeight="1" s="154"/>
    <row r="431" ht="15.75" customHeight="1" s="154"/>
    <row r="432" ht="15.75" customHeight="1" s="154"/>
    <row r="433" ht="15.75" customHeight="1" s="154"/>
    <row r="434" ht="15.75" customHeight="1" s="154"/>
    <row r="435" ht="15.75" customHeight="1" s="154"/>
    <row r="436" ht="15.75" customHeight="1" s="154"/>
    <row r="437" ht="15.75" customHeight="1" s="154"/>
    <row r="438" ht="15.75" customHeight="1" s="154"/>
    <row r="439" ht="15.75" customHeight="1" s="154"/>
    <row r="440" ht="15.75" customHeight="1" s="154"/>
    <row r="441" ht="15.75" customHeight="1" s="154"/>
    <row r="442" ht="15.75" customHeight="1" s="154"/>
    <row r="443" ht="15.75" customHeight="1" s="154"/>
    <row r="444" ht="15.75" customHeight="1" s="154"/>
    <row r="445" ht="15.75" customHeight="1" s="154"/>
    <row r="446" ht="15.75" customHeight="1" s="154"/>
    <row r="447" ht="15.75" customHeight="1" s="154"/>
    <row r="448" ht="15.75" customHeight="1" s="154"/>
    <row r="449" ht="15.75" customHeight="1" s="154"/>
    <row r="450" ht="15.75" customHeight="1" s="154"/>
    <row r="451" ht="15.75" customHeight="1" s="154"/>
    <row r="452" ht="15.75" customHeight="1" s="154"/>
    <row r="453" ht="15.75" customHeight="1" s="154"/>
    <row r="454" ht="15.75" customHeight="1" s="154"/>
    <row r="455" ht="15.75" customHeight="1" s="154"/>
    <row r="456" ht="15.75" customHeight="1" s="154"/>
    <row r="457" ht="15.75" customHeight="1" s="154"/>
    <row r="458" ht="15.75" customHeight="1" s="154"/>
    <row r="459" ht="15.75" customHeight="1" s="154"/>
    <row r="460" ht="15.75" customHeight="1" s="154"/>
    <row r="461" ht="15.75" customHeight="1" s="154"/>
    <row r="462" ht="15.75" customHeight="1" s="154"/>
    <row r="463" ht="15.75" customHeight="1" s="154"/>
    <row r="464" ht="15.75" customHeight="1" s="154"/>
    <row r="465" ht="15.75" customHeight="1" s="154"/>
    <row r="466" ht="15.75" customHeight="1" s="154"/>
    <row r="467" ht="15.75" customHeight="1" s="154"/>
    <row r="468" ht="15.75" customHeight="1" s="154"/>
    <row r="469" ht="15.75" customHeight="1" s="154"/>
    <row r="470" ht="15.75" customHeight="1" s="154"/>
    <row r="471" ht="15.75" customHeight="1" s="154"/>
    <row r="472" ht="15.75" customHeight="1" s="154"/>
    <row r="473" ht="15.75" customHeight="1" s="154"/>
    <row r="474" ht="15.75" customHeight="1" s="154"/>
    <row r="475" ht="15.75" customHeight="1" s="154"/>
    <row r="476" ht="15.75" customHeight="1" s="154"/>
    <row r="477" ht="15.75" customHeight="1" s="154"/>
    <row r="478" ht="15.75" customHeight="1" s="154"/>
    <row r="479" ht="15.75" customHeight="1" s="154"/>
    <row r="480" ht="15.75" customHeight="1" s="154"/>
    <row r="481" ht="15.75" customHeight="1" s="154"/>
    <row r="482" ht="15.75" customHeight="1" s="154"/>
    <row r="483" ht="15.75" customHeight="1" s="154"/>
    <row r="484" ht="15.75" customHeight="1" s="154"/>
    <row r="485" ht="15.75" customHeight="1" s="154"/>
    <row r="486" ht="15.75" customHeight="1" s="154"/>
    <row r="487" ht="15.75" customHeight="1" s="154"/>
    <row r="488" ht="15.75" customHeight="1" s="154"/>
    <row r="489" ht="15.75" customHeight="1" s="154"/>
    <row r="490" ht="15.75" customHeight="1" s="154"/>
    <row r="491" ht="15.75" customHeight="1" s="154"/>
    <row r="492" ht="15.75" customHeight="1" s="154"/>
    <row r="493" ht="15.75" customHeight="1" s="154"/>
    <row r="494" ht="15.75" customHeight="1" s="154"/>
    <row r="495" ht="15.75" customHeight="1" s="154"/>
    <row r="496" ht="15.75" customHeight="1" s="154"/>
    <row r="497" ht="15.75" customHeight="1" s="154"/>
    <row r="498" ht="15.75" customHeight="1" s="154"/>
    <row r="499" ht="15.75" customHeight="1" s="154"/>
    <row r="500" ht="15.75" customHeight="1" s="154"/>
    <row r="501" ht="15.75" customHeight="1" s="154"/>
    <row r="502" ht="15.75" customHeight="1" s="154"/>
    <row r="503" ht="15.75" customHeight="1" s="154"/>
    <row r="504" ht="15.75" customHeight="1" s="154"/>
    <row r="505" ht="15.75" customHeight="1" s="154"/>
    <row r="506" ht="15.75" customHeight="1" s="154"/>
    <row r="507" ht="15.75" customHeight="1" s="154"/>
    <row r="508" ht="15.75" customHeight="1" s="154"/>
    <row r="509" ht="15.75" customHeight="1" s="154"/>
    <row r="510" ht="15.75" customHeight="1" s="154"/>
    <row r="511" ht="15.75" customHeight="1" s="154"/>
    <row r="512" ht="15.75" customHeight="1" s="154"/>
    <row r="513" ht="15.75" customHeight="1" s="154"/>
    <row r="514" ht="15.75" customHeight="1" s="154"/>
    <row r="515" ht="15.75" customHeight="1" s="154"/>
    <row r="516" ht="15.75" customHeight="1" s="154"/>
    <row r="517" ht="15.75" customHeight="1" s="154"/>
    <row r="518" ht="15.75" customHeight="1" s="154"/>
    <row r="519" ht="15.75" customHeight="1" s="154"/>
    <row r="520" ht="15.75" customHeight="1" s="154"/>
    <row r="521" ht="15.75" customHeight="1" s="154"/>
    <row r="522" ht="15.75" customHeight="1" s="154"/>
    <row r="523" ht="15.75" customHeight="1" s="154"/>
    <row r="524" ht="15.75" customHeight="1" s="154"/>
    <row r="525" ht="15.75" customHeight="1" s="154"/>
    <row r="526" ht="15.75" customHeight="1" s="154"/>
    <row r="527" ht="15.75" customHeight="1" s="154"/>
    <row r="528" ht="15.75" customHeight="1" s="154"/>
    <row r="529" ht="15.75" customHeight="1" s="154"/>
    <row r="530" ht="15.75" customHeight="1" s="154"/>
    <row r="531" ht="15.75" customHeight="1" s="154"/>
    <row r="532" ht="15.75" customHeight="1" s="154"/>
    <row r="533" ht="15.75" customHeight="1" s="154"/>
    <row r="534" ht="15.75" customHeight="1" s="154"/>
    <row r="535" ht="15.75" customHeight="1" s="154"/>
    <row r="536" ht="15.75" customHeight="1" s="154"/>
    <row r="537" ht="15.75" customHeight="1" s="154"/>
    <row r="538" ht="15.75" customHeight="1" s="154"/>
    <row r="539" ht="15.75" customHeight="1" s="154"/>
    <row r="540" ht="15.75" customHeight="1" s="154"/>
    <row r="541" ht="15.75" customHeight="1" s="154"/>
    <row r="542" ht="15.75" customHeight="1" s="154"/>
    <row r="543" ht="15.75" customHeight="1" s="154"/>
    <row r="544" ht="15.75" customHeight="1" s="154"/>
    <row r="545" ht="15.75" customHeight="1" s="154"/>
    <row r="546" ht="15.75" customHeight="1" s="154"/>
    <row r="547" ht="15.75" customHeight="1" s="154"/>
    <row r="548" ht="15.75" customHeight="1" s="154"/>
    <row r="549" ht="15.75" customHeight="1" s="154"/>
    <row r="550" ht="15.75" customHeight="1" s="154"/>
    <row r="551" ht="15.75" customHeight="1" s="154"/>
    <row r="552" ht="15.75" customHeight="1" s="154"/>
    <row r="553" ht="15.75" customHeight="1" s="154"/>
    <row r="554" ht="15.75" customHeight="1" s="154"/>
    <row r="555" ht="15.75" customHeight="1" s="154"/>
    <row r="556" ht="15.75" customHeight="1" s="154"/>
    <row r="557" ht="15.75" customHeight="1" s="154"/>
    <row r="558" ht="15.75" customHeight="1" s="154"/>
    <row r="559" ht="15.75" customHeight="1" s="154"/>
    <row r="560" ht="15.75" customHeight="1" s="154"/>
    <row r="561" ht="15.75" customHeight="1" s="154"/>
    <row r="562" ht="15.75" customHeight="1" s="154"/>
    <row r="563" ht="15.75" customHeight="1" s="154"/>
    <row r="564" ht="15.75" customHeight="1" s="154"/>
    <row r="565" ht="15.75" customHeight="1" s="154"/>
    <row r="566" ht="15.75" customHeight="1" s="154"/>
    <row r="567" ht="15.75" customHeight="1" s="154"/>
    <row r="568" ht="15.75" customHeight="1" s="154"/>
    <row r="569" ht="15.75" customHeight="1" s="154"/>
    <row r="570" ht="15.75" customHeight="1" s="154"/>
    <row r="571" ht="15.75" customHeight="1" s="154"/>
    <row r="572" ht="15.75" customHeight="1" s="154"/>
    <row r="573" ht="15.75" customHeight="1" s="154"/>
    <row r="574" ht="15.75" customHeight="1" s="154"/>
    <row r="575" ht="15.75" customHeight="1" s="154"/>
    <row r="576" ht="15.75" customHeight="1" s="154"/>
    <row r="577" ht="15.75" customHeight="1" s="154"/>
    <row r="578" ht="15.75" customHeight="1" s="154"/>
    <row r="579" ht="15.75" customHeight="1" s="154"/>
    <row r="580" ht="15.75" customHeight="1" s="154"/>
    <row r="581" ht="15.75" customHeight="1" s="154"/>
    <row r="582" ht="15.75" customHeight="1" s="154"/>
    <row r="583" ht="15.75" customHeight="1" s="154"/>
    <row r="584" ht="15.75" customHeight="1" s="154"/>
    <row r="585" ht="15.75" customHeight="1" s="154"/>
    <row r="586" ht="15.75" customHeight="1" s="154"/>
    <row r="587" ht="15.75" customHeight="1" s="154"/>
    <row r="588" ht="15.75" customHeight="1" s="154"/>
    <row r="589" ht="15.75" customHeight="1" s="154"/>
    <row r="590" ht="15.75" customHeight="1" s="154"/>
    <row r="591" ht="15.75" customHeight="1" s="154"/>
    <row r="592" ht="15.75" customHeight="1" s="154"/>
    <row r="593" ht="15.75" customHeight="1" s="154"/>
    <row r="594" ht="15.75" customHeight="1" s="154"/>
    <row r="595" ht="15.75" customHeight="1" s="154"/>
    <row r="596" ht="15.75" customHeight="1" s="154"/>
    <row r="597" ht="15.75" customHeight="1" s="154"/>
    <row r="598" ht="15.75" customHeight="1" s="154"/>
    <row r="599" ht="15.75" customHeight="1" s="154"/>
    <row r="600" ht="15.75" customHeight="1" s="154"/>
    <row r="601" ht="15.75" customHeight="1" s="154"/>
    <row r="602" ht="15.75" customHeight="1" s="154"/>
    <row r="603" ht="15.75" customHeight="1" s="154"/>
    <row r="604" ht="15.75" customHeight="1" s="154"/>
    <row r="605" ht="15.75" customHeight="1" s="154"/>
    <row r="606" ht="15.75" customHeight="1" s="154"/>
    <row r="607" ht="15.75" customHeight="1" s="154"/>
    <row r="608" ht="15.75" customHeight="1" s="154"/>
    <row r="609" ht="15.75" customHeight="1" s="154"/>
    <row r="610" ht="15.75" customHeight="1" s="154"/>
    <row r="611" ht="15.75" customHeight="1" s="154"/>
    <row r="612" ht="15.75" customHeight="1" s="154"/>
    <row r="613" ht="15.75" customHeight="1" s="154"/>
    <row r="614" ht="15.75" customHeight="1" s="154"/>
    <row r="615" ht="15.75" customHeight="1" s="154"/>
    <row r="616" ht="15.75" customHeight="1" s="154"/>
    <row r="617" ht="15.75" customHeight="1" s="154"/>
    <row r="618" ht="15.75" customHeight="1" s="154"/>
    <row r="619" ht="15.75" customHeight="1" s="154"/>
    <row r="620" ht="15.75" customHeight="1" s="154"/>
    <row r="621" ht="15.75" customHeight="1" s="154"/>
    <row r="622" ht="15.75" customHeight="1" s="154"/>
    <row r="623" ht="15.75" customHeight="1" s="154"/>
    <row r="624" ht="15.75" customHeight="1" s="154"/>
    <row r="625" ht="15.75" customHeight="1" s="154"/>
    <row r="626" ht="15.75" customHeight="1" s="154"/>
    <row r="627" ht="15.75" customHeight="1" s="154"/>
    <row r="628" ht="15.75" customHeight="1" s="154"/>
    <row r="629" ht="15.75" customHeight="1" s="154"/>
    <row r="630" ht="15.75" customHeight="1" s="154"/>
    <row r="631" ht="15.75" customHeight="1" s="154"/>
    <row r="632" ht="15.75" customHeight="1" s="154"/>
    <row r="633" ht="15.75" customHeight="1" s="154"/>
    <row r="634" ht="15.75" customHeight="1" s="154"/>
    <row r="635" ht="15.75" customHeight="1" s="154"/>
    <row r="636" ht="15.75" customHeight="1" s="154"/>
    <row r="637" ht="15.75" customHeight="1" s="154"/>
    <row r="638" ht="15.75" customHeight="1" s="154"/>
    <row r="639" ht="15.75" customHeight="1" s="154"/>
    <row r="640" ht="15.75" customHeight="1" s="154"/>
    <row r="641" ht="15.75" customHeight="1" s="154"/>
    <row r="642" ht="15.75" customHeight="1" s="154"/>
    <row r="643" ht="15.75" customHeight="1" s="154"/>
    <row r="644" ht="15.75" customHeight="1" s="154"/>
    <row r="645" ht="15.75" customHeight="1" s="154"/>
    <row r="646" ht="15.75" customHeight="1" s="154"/>
    <row r="647" ht="15.75" customHeight="1" s="154"/>
    <row r="648" ht="15.75" customHeight="1" s="154"/>
    <row r="649" ht="15.75" customHeight="1" s="154"/>
    <row r="650" ht="15.75" customHeight="1" s="154"/>
    <row r="651" ht="15.75" customHeight="1" s="154"/>
    <row r="652" ht="15.75" customHeight="1" s="154"/>
    <row r="653" ht="15.75" customHeight="1" s="154"/>
    <row r="654" ht="15.75" customHeight="1" s="154"/>
    <row r="655" ht="15.75" customHeight="1" s="154"/>
    <row r="656" ht="15.75" customHeight="1" s="154"/>
    <row r="657" ht="15.75" customHeight="1" s="154"/>
    <row r="658" ht="15.75" customHeight="1" s="154"/>
    <row r="659" ht="15.75" customHeight="1" s="154"/>
    <row r="660" ht="15.75" customHeight="1" s="154"/>
    <row r="661" ht="15.75" customHeight="1" s="154"/>
    <row r="662" ht="15.75" customHeight="1" s="154"/>
    <row r="663" ht="15.75" customHeight="1" s="154"/>
    <row r="664" ht="15.75" customHeight="1" s="154"/>
    <row r="665" ht="15.75" customHeight="1" s="154"/>
    <row r="666" ht="15.75" customHeight="1" s="154"/>
    <row r="667" ht="15.75" customHeight="1" s="154"/>
    <row r="668" ht="15.75" customHeight="1" s="154"/>
    <row r="669" ht="15.75" customHeight="1" s="154"/>
    <row r="670" ht="15.75" customHeight="1" s="154"/>
    <row r="671" ht="15.75" customHeight="1" s="154"/>
    <row r="672" ht="15.75" customHeight="1" s="154"/>
    <row r="673" ht="15.75" customHeight="1" s="154"/>
    <row r="674" ht="15.75" customHeight="1" s="154"/>
    <row r="675" ht="15.75" customHeight="1" s="154"/>
    <row r="676" ht="15.75" customHeight="1" s="154"/>
    <row r="677" ht="15.75" customHeight="1" s="154"/>
    <row r="678" ht="15.75" customHeight="1" s="154"/>
    <row r="679" ht="15.75" customHeight="1" s="154"/>
    <row r="680" ht="15.75" customHeight="1" s="154"/>
    <row r="681" ht="15.75" customHeight="1" s="154"/>
    <row r="682" ht="15.75" customHeight="1" s="154"/>
    <row r="683" ht="15.75" customHeight="1" s="154"/>
    <row r="684" ht="15.75" customHeight="1" s="154"/>
    <row r="685" ht="15.75" customHeight="1" s="154"/>
    <row r="686" ht="15.75" customHeight="1" s="154"/>
    <row r="687" ht="15.75" customHeight="1" s="154"/>
    <row r="688" ht="15.75" customHeight="1" s="154"/>
    <row r="689" ht="15.75" customHeight="1" s="154"/>
    <row r="690" ht="15.75" customHeight="1" s="154"/>
    <row r="691" ht="15.75" customHeight="1" s="154"/>
    <row r="692" ht="15.75" customHeight="1" s="154"/>
    <row r="693" ht="15.75" customHeight="1" s="154"/>
    <row r="694" ht="15.75" customHeight="1" s="154"/>
    <row r="695" ht="15.75" customHeight="1" s="154"/>
    <row r="696" ht="15.75" customHeight="1" s="154"/>
    <row r="697" ht="15.75" customHeight="1" s="154"/>
    <row r="698" ht="15.75" customHeight="1" s="154"/>
    <row r="699" ht="15.75" customHeight="1" s="154"/>
    <row r="700" ht="15.75" customHeight="1" s="154"/>
    <row r="701" ht="15.75" customHeight="1" s="154"/>
    <row r="702" ht="15.75" customHeight="1" s="154"/>
    <row r="703" ht="15.75" customHeight="1" s="154"/>
    <row r="704" ht="15.75" customHeight="1" s="154"/>
    <row r="705" ht="15.75" customHeight="1" s="154"/>
    <row r="706" ht="15.75" customHeight="1" s="154"/>
    <row r="707" ht="15.75" customHeight="1" s="154"/>
    <row r="708" ht="15.75" customHeight="1" s="154"/>
    <row r="709" ht="15.75" customHeight="1" s="154"/>
    <row r="710" ht="15.75" customHeight="1" s="154"/>
    <row r="711" ht="15.75" customHeight="1" s="154"/>
    <row r="712" ht="15.75" customHeight="1" s="154"/>
    <row r="713" ht="15.75" customHeight="1" s="154"/>
    <row r="714" ht="15.75" customHeight="1" s="154"/>
    <row r="715" ht="15.75" customHeight="1" s="154"/>
    <row r="716" ht="15.75" customHeight="1" s="154"/>
    <row r="717" ht="15.75" customHeight="1" s="154"/>
    <row r="718" ht="15.75" customHeight="1" s="154"/>
    <row r="719" ht="15.75" customHeight="1" s="154"/>
    <row r="720" ht="15.75" customHeight="1" s="154"/>
    <row r="721" ht="15.75" customHeight="1" s="154"/>
    <row r="722" ht="15.75" customHeight="1" s="154"/>
    <row r="723" ht="15.75" customHeight="1" s="154"/>
    <row r="724" ht="15.75" customHeight="1" s="154"/>
    <row r="725" ht="15.75" customHeight="1" s="154"/>
    <row r="726" ht="15.75" customHeight="1" s="154"/>
    <row r="727" ht="15.75" customHeight="1" s="154"/>
    <row r="728" ht="15.75" customHeight="1" s="154"/>
    <row r="729" ht="15.75" customHeight="1" s="154"/>
    <row r="730" ht="15.75" customHeight="1" s="154"/>
    <row r="731" ht="15.75" customHeight="1" s="154"/>
    <row r="732" ht="15.75" customHeight="1" s="154"/>
    <row r="733" ht="15.75" customHeight="1" s="154"/>
    <row r="734" ht="15.75" customHeight="1" s="154"/>
    <row r="735" ht="15.75" customHeight="1" s="154"/>
    <row r="736" ht="15.75" customHeight="1" s="154"/>
    <row r="737" ht="15.75" customHeight="1" s="154"/>
    <row r="738" ht="15.75" customHeight="1" s="154"/>
    <row r="739" ht="15.75" customHeight="1" s="154"/>
    <row r="740" ht="15.75" customHeight="1" s="154"/>
    <row r="741" ht="15.75" customHeight="1" s="154"/>
    <row r="742" ht="15.75" customHeight="1" s="154"/>
    <row r="743" ht="15.75" customHeight="1" s="154"/>
    <row r="744" ht="15.75" customHeight="1" s="154"/>
    <row r="745" ht="15.75" customHeight="1" s="154"/>
    <row r="746" ht="15.75" customHeight="1" s="154"/>
    <row r="747" ht="15.75" customHeight="1" s="154"/>
    <row r="748" ht="15.75" customHeight="1" s="154"/>
    <row r="749" ht="15.75" customHeight="1" s="154"/>
    <row r="750" ht="15.75" customHeight="1" s="154"/>
    <row r="751" ht="15.75" customHeight="1" s="154"/>
    <row r="752" ht="15.75" customHeight="1" s="154"/>
    <row r="753" ht="15.75" customHeight="1" s="154"/>
    <row r="754" ht="15.75" customHeight="1" s="154"/>
    <row r="755" ht="15.75" customHeight="1" s="154"/>
    <row r="756" ht="15.75" customHeight="1" s="154"/>
    <row r="757" ht="15.75" customHeight="1" s="154"/>
    <row r="758" ht="15.75" customHeight="1" s="154"/>
    <row r="759" ht="15.75" customHeight="1" s="154"/>
    <row r="760" ht="15.75" customHeight="1" s="154"/>
    <row r="761" ht="15.75" customHeight="1" s="154"/>
    <row r="762" ht="15.75" customHeight="1" s="154"/>
    <row r="763" ht="15.75" customHeight="1" s="154"/>
    <row r="764" ht="15.75" customHeight="1" s="154"/>
    <row r="765" ht="15.75" customHeight="1" s="154"/>
    <row r="766" ht="15.75" customHeight="1" s="154"/>
    <row r="767" ht="15.75" customHeight="1" s="154"/>
    <row r="768" ht="15.75" customHeight="1" s="154"/>
    <row r="769" ht="15.75" customHeight="1" s="154"/>
    <row r="770" ht="15.75" customHeight="1" s="154"/>
    <row r="771" ht="15.75" customHeight="1" s="154"/>
    <row r="772" ht="15.75" customHeight="1" s="154"/>
    <row r="773" ht="15.75" customHeight="1" s="154"/>
    <row r="774" ht="15.75" customHeight="1" s="154"/>
    <row r="775" ht="15.75" customHeight="1" s="154"/>
    <row r="776" ht="15.75" customHeight="1" s="154"/>
    <row r="777" ht="15.75" customHeight="1" s="154"/>
    <row r="778" ht="15.75" customHeight="1" s="154"/>
    <row r="779" ht="15.75" customHeight="1" s="154"/>
    <row r="780" ht="15.75" customHeight="1" s="154"/>
    <row r="781" ht="15.75" customHeight="1" s="154"/>
    <row r="782" ht="15.75" customHeight="1" s="154"/>
    <row r="783" ht="15.75" customHeight="1" s="154"/>
    <row r="784" ht="15.75" customHeight="1" s="154"/>
    <row r="785" ht="15.75" customHeight="1" s="154"/>
    <row r="786" ht="15.75" customHeight="1" s="154"/>
    <row r="787" ht="15.75" customHeight="1" s="154"/>
    <row r="788" ht="15.75" customHeight="1" s="154"/>
    <row r="789" ht="15.75" customHeight="1" s="154"/>
    <row r="790" ht="15.75" customHeight="1" s="154"/>
    <row r="791" ht="15.75" customHeight="1" s="154"/>
    <row r="792" ht="15.75" customHeight="1" s="154"/>
    <row r="793" ht="15.75" customHeight="1" s="154"/>
    <row r="794" ht="15.75" customHeight="1" s="154"/>
    <row r="795" ht="15.75" customHeight="1" s="154"/>
    <row r="796" ht="15.75" customHeight="1" s="154"/>
    <row r="797" ht="15.75" customHeight="1" s="154"/>
    <row r="798" ht="15.75" customHeight="1" s="154"/>
    <row r="799" ht="15.75" customHeight="1" s="154"/>
    <row r="800" ht="15.75" customHeight="1" s="154"/>
    <row r="801" ht="15.75" customHeight="1" s="154"/>
    <row r="802" ht="15.75" customHeight="1" s="154"/>
    <row r="803" ht="15.75" customHeight="1" s="154"/>
    <row r="804" ht="15.75" customHeight="1" s="154"/>
    <row r="805" ht="15.75" customHeight="1" s="154"/>
    <row r="806" ht="15.75" customHeight="1" s="154"/>
    <row r="807" ht="15.75" customHeight="1" s="154"/>
    <row r="808" ht="15.75" customHeight="1" s="154"/>
    <row r="809" ht="15.75" customHeight="1" s="154"/>
    <row r="810" ht="15.75" customHeight="1" s="154"/>
    <row r="811" ht="15.75" customHeight="1" s="154"/>
    <row r="812" ht="15.75" customHeight="1" s="154"/>
    <row r="813" ht="15.75" customHeight="1" s="154"/>
    <row r="814" ht="15.75" customHeight="1" s="154"/>
    <row r="815" ht="15.75" customHeight="1" s="154"/>
    <row r="816" ht="15.75" customHeight="1" s="154"/>
    <row r="817" ht="15.75" customHeight="1" s="154"/>
    <row r="818" ht="15.75" customHeight="1" s="154"/>
    <row r="819" ht="15.75" customHeight="1" s="154"/>
    <row r="820" ht="15.75" customHeight="1" s="154"/>
    <row r="821" ht="15.75" customHeight="1" s="154"/>
    <row r="822" ht="15.75" customHeight="1" s="154"/>
    <row r="823" ht="15.75" customHeight="1" s="154"/>
    <row r="824" ht="15.75" customHeight="1" s="154"/>
    <row r="825" ht="15.75" customHeight="1" s="154"/>
    <row r="826" ht="15.75" customHeight="1" s="154"/>
    <row r="827" ht="15.75" customHeight="1" s="154"/>
    <row r="828" ht="15.75" customHeight="1" s="154"/>
    <row r="829" ht="15.75" customHeight="1" s="154"/>
    <row r="830" ht="15.75" customHeight="1" s="154"/>
    <row r="831" ht="15.75" customHeight="1" s="154"/>
    <row r="832" ht="15.75" customHeight="1" s="154"/>
    <row r="833" ht="15.75" customHeight="1" s="154"/>
    <row r="834" ht="15.75" customHeight="1" s="154"/>
    <row r="835" ht="15.75" customHeight="1" s="154"/>
    <row r="836" ht="15.75" customHeight="1" s="154"/>
    <row r="837" ht="15.75" customHeight="1" s="154"/>
    <row r="838" ht="15.75" customHeight="1" s="154"/>
    <row r="839" ht="15.75" customHeight="1" s="154"/>
    <row r="840" ht="15.75" customHeight="1" s="154"/>
    <row r="841" ht="15.75" customHeight="1" s="154"/>
    <row r="842" ht="15.75" customHeight="1" s="154"/>
    <row r="843" ht="15.75" customHeight="1" s="154"/>
    <row r="844" ht="15.75" customHeight="1" s="154"/>
    <row r="845" ht="15.75" customHeight="1" s="154"/>
    <row r="846" ht="15.75" customHeight="1" s="154"/>
    <row r="847" ht="15.75" customHeight="1" s="154"/>
    <row r="848" ht="15.75" customHeight="1" s="154"/>
    <row r="849" ht="15.75" customHeight="1" s="154"/>
    <row r="850" ht="15.75" customHeight="1" s="154"/>
    <row r="851" ht="15.75" customHeight="1" s="154"/>
    <row r="852" ht="15.75" customHeight="1" s="154"/>
    <row r="853" ht="15.75" customHeight="1" s="154"/>
    <row r="854" ht="15.75" customHeight="1" s="154"/>
    <row r="855" ht="15.75" customHeight="1" s="154"/>
    <row r="856" ht="15.75" customHeight="1" s="154"/>
    <row r="857" ht="15.75" customHeight="1" s="154"/>
    <row r="858" ht="15.75" customHeight="1" s="154"/>
    <row r="859" ht="15.75" customHeight="1" s="154"/>
    <row r="860" ht="15.75" customHeight="1" s="154"/>
    <row r="861" ht="15.75" customHeight="1" s="154"/>
    <row r="862" ht="15.75" customHeight="1" s="154"/>
    <row r="863" ht="15.75" customHeight="1" s="154"/>
    <row r="864" ht="15.75" customHeight="1" s="154"/>
    <row r="865" ht="15.75" customHeight="1" s="154"/>
    <row r="866" ht="15.75" customHeight="1" s="154"/>
    <row r="867" ht="15.75" customHeight="1" s="154"/>
    <row r="868" ht="15.75" customHeight="1" s="154"/>
    <row r="869" ht="15.75" customHeight="1" s="154"/>
    <row r="870" ht="15.75" customHeight="1" s="154"/>
    <row r="871" ht="15.75" customHeight="1" s="154"/>
    <row r="872" ht="15.75" customHeight="1" s="154"/>
    <row r="873" ht="15.75" customHeight="1" s="154"/>
    <row r="874" ht="15.75" customHeight="1" s="154"/>
    <row r="875" ht="15.75" customHeight="1" s="154"/>
    <row r="876" ht="15.75" customHeight="1" s="154"/>
    <row r="877" ht="15.75" customHeight="1" s="154"/>
    <row r="878" ht="15.75" customHeight="1" s="154"/>
    <row r="879" ht="15.75" customHeight="1" s="154"/>
    <row r="880" ht="15.75" customHeight="1" s="154"/>
    <row r="881" ht="15.75" customHeight="1" s="154"/>
    <row r="882" ht="15.75" customHeight="1" s="154"/>
    <row r="883" ht="15.75" customHeight="1" s="154"/>
    <row r="884" ht="15.75" customHeight="1" s="154"/>
    <row r="885" ht="15.75" customHeight="1" s="154"/>
    <row r="886" ht="15.75" customHeight="1" s="154"/>
    <row r="887" ht="15.75" customHeight="1" s="154"/>
    <row r="888" ht="15.75" customHeight="1" s="154"/>
    <row r="889" ht="15.75" customHeight="1" s="154"/>
    <row r="890" ht="15.75" customHeight="1" s="154"/>
    <row r="891" ht="15.75" customHeight="1" s="154"/>
    <row r="892" ht="15.75" customHeight="1" s="154"/>
    <row r="893" ht="15.75" customHeight="1" s="154"/>
    <row r="894" ht="15.75" customHeight="1" s="154"/>
    <row r="895" ht="15.75" customHeight="1" s="154"/>
    <row r="896" ht="15.75" customHeight="1" s="154"/>
    <row r="897" ht="15.75" customHeight="1" s="154"/>
    <row r="898" ht="15.75" customHeight="1" s="154"/>
    <row r="899" ht="15.75" customHeight="1" s="154"/>
    <row r="900" ht="15.75" customHeight="1" s="154"/>
    <row r="901" ht="15.75" customHeight="1" s="154"/>
    <row r="902" ht="15.75" customHeight="1" s="154"/>
    <row r="903" ht="15.75" customHeight="1" s="154"/>
    <row r="904" ht="15.75" customHeight="1" s="154"/>
    <row r="905" ht="15.75" customHeight="1" s="154"/>
    <row r="906" ht="15.75" customHeight="1" s="154"/>
    <row r="907" ht="15.75" customHeight="1" s="154"/>
    <row r="908" ht="15.75" customHeight="1" s="154"/>
    <row r="909" ht="15.75" customHeight="1" s="154"/>
    <row r="910" ht="15.75" customHeight="1" s="154"/>
    <row r="911" ht="15.75" customHeight="1" s="154"/>
    <row r="912" ht="15.75" customHeight="1" s="154"/>
    <row r="913" ht="15.75" customHeight="1" s="154"/>
    <row r="914" ht="15.75" customHeight="1" s="154"/>
    <row r="915" ht="15.75" customHeight="1" s="154"/>
    <row r="916" ht="15.75" customHeight="1" s="154"/>
    <row r="917" ht="15.75" customHeight="1" s="154"/>
    <row r="918" ht="15.75" customHeight="1" s="154"/>
    <row r="919" ht="15.75" customHeight="1" s="154"/>
    <row r="920" ht="15.75" customHeight="1" s="154"/>
    <row r="921" ht="15.75" customHeight="1" s="154"/>
    <row r="922" ht="15.75" customHeight="1" s="154"/>
    <row r="923" ht="15.75" customHeight="1" s="154"/>
    <row r="924" ht="15.75" customHeight="1" s="154"/>
    <row r="925" ht="15.75" customHeight="1" s="154"/>
    <row r="926" ht="15.75" customHeight="1" s="154"/>
    <row r="927" ht="15.75" customHeight="1" s="154"/>
    <row r="928" ht="15.75" customHeight="1" s="154"/>
    <row r="929" ht="15.75" customHeight="1" s="154"/>
    <row r="930" ht="15.75" customHeight="1" s="154"/>
    <row r="931" ht="15.75" customHeight="1" s="154"/>
    <row r="932" ht="15.75" customHeight="1" s="154"/>
    <row r="933" ht="15.75" customHeight="1" s="154"/>
    <row r="934" ht="15.75" customHeight="1" s="154"/>
    <row r="935" ht="15.75" customHeight="1" s="154"/>
    <row r="936" ht="15.75" customHeight="1" s="154"/>
    <row r="937" ht="15.75" customHeight="1" s="154"/>
    <row r="938" ht="15.75" customHeight="1" s="154"/>
    <row r="939" ht="15.75" customHeight="1" s="154"/>
    <row r="940" ht="15.75" customHeight="1" s="154"/>
    <row r="941" ht="15.75" customHeight="1" s="154"/>
    <row r="942" ht="15.75" customHeight="1" s="154"/>
    <row r="943" ht="15.75" customHeight="1" s="154"/>
    <row r="944" ht="15.75" customHeight="1" s="154"/>
    <row r="945" ht="15.75" customHeight="1" s="154"/>
    <row r="946" ht="15.75" customHeight="1" s="154"/>
    <row r="947" ht="15.75" customHeight="1" s="154"/>
    <row r="948" ht="15.75" customHeight="1" s="154"/>
    <row r="949" ht="15.75" customHeight="1" s="154"/>
    <row r="950" ht="15.75" customHeight="1" s="154"/>
    <row r="951" ht="15.75" customHeight="1" s="154"/>
    <row r="952" ht="15.75" customHeight="1" s="154"/>
    <row r="953" ht="15.75" customHeight="1" s="154"/>
    <row r="954" ht="15.75" customHeight="1" s="154"/>
    <row r="955" ht="15.75" customHeight="1" s="154"/>
    <row r="956" ht="15.75" customHeight="1" s="154"/>
    <row r="957" ht="15.75" customHeight="1" s="154"/>
    <row r="958" ht="15.75" customHeight="1" s="154"/>
    <row r="959" ht="15.75" customHeight="1" s="154"/>
    <row r="960" ht="15.75" customHeight="1" s="154"/>
    <row r="961" ht="15.75" customHeight="1" s="154"/>
    <row r="962" ht="15.75" customHeight="1" s="154"/>
    <row r="963" ht="15.75" customHeight="1" s="154"/>
    <row r="964" ht="15.75" customHeight="1" s="154"/>
    <row r="965" ht="15.75" customHeight="1" s="154"/>
    <row r="966" ht="15.75" customHeight="1" s="154"/>
    <row r="967" ht="15.75" customHeight="1" s="154"/>
    <row r="968" ht="15.75" customHeight="1" s="154"/>
    <row r="969" ht="15.75" customHeight="1" s="154"/>
    <row r="970" ht="15.75" customHeight="1" s="154"/>
    <row r="971" ht="15.75" customHeight="1" s="154"/>
    <row r="972" ht="15.75" customHeight="1" s="154"/>
    <row r="973" ht="15.75" customHeight="1" s="154"/>
    <row r="974" ht="15.75" customHeight="1" s="154"/>
    <row r="975" ht="15.75" customHeight="1" s="154"/>
    <row r="976" ht="15.75" customHeight="1" s="154"/>
    <row r="977" ht="15.75" customHeight="1" s="154"/>
    <row r="978" ht="15.75" customHeight="1" s="154"/>
    <row r="979" ht="15.75" customHeight="1" s="154"/>
    <row r="980" ht="15.75" customHeight="1" s="154"/>
    <row r="981" ht="15.75" customHeight="1" s="154"/>
    <row r="982" ht="15.75" customHeight="1" s="154"/>
    <row r="983" ht="15.75" customHeight="1" s="154"/>
    <row r="984" ht="15.75" customHeight="1" s="154"/>
    <row r="985" ht="15.75" customHeight="1" s="154"/>
    <row r="986" ht="15.75" customHeight="1" s="154"/>
    <row r="987" ht="15.75" customHeight="1" s="154"/>
    <row r="988" ht="15.75" customHeight="1" s="154"/>
    <row r="989" ht="15.75" customHeight="1" s="154"/>
    <row r="990" ht="15.75" customHeight="1" s="154"/>
    <row r="991" ht="15.75" customHeight="1" s="154"/>
    <row r="992" ht="15.75" customHeight="1" s="154"/>
    <row r="993" ht="15.75" customHeight="1" s="154"/>
    <row r="994" ht="15.75" customHeight="1" s="154"/>
    <row r="995" ht="15.75" customHeight="1" s="154"/>
    <row r="996" ht="15.75" customHeight="1" s="154"/>
    <row r="997" ht="15.75" customHeight="1" s="154"/>
    <row r="998" ht="15.75" customHeight="1" s="154"/>
    <row r="999" ht="15.75" customHeight="1" s="154"/>
  </sheetData>
  <mergeCells count="10">
    <mergeCell ref="A28:C28"/>
    <mergeCell ref="A48:E48"/>
    <mergeCell ref="A1:C1"/>
    <mergeCell ref="A23:C23"/>
    <mergeCell ref="B49:D49"/>
    <mergeCell ref="A45:E45"/>
    <mergeCell ref="A46:E46"/>
    <mergeCell ref="B30:D30"/>
    <mergeCell ref="A4:C4"/>
    <mergeCell ref="A2:C2"/>
  </mergeCells>
  <dataValidations count="4">
    <dataValidation sqref="B12" showDropDown="0" showInputMessage="0" showErrorMessage="0" allowBlank="1" type="list">
      <formula1>Kategorien!$B$4:$B$23</formula1>
    </dataValidation>
    <dataValidation sqref="B15" showDropDown="0" showInputMessage="0" showErrorMessage="0" allowBlank="1" type="list">
      <formula1>Besatzung!$B$11:$B$22</formula1>
    </dataValidation>
    <dataValidation sqref="B25" showDropDown="0" showInputMessage="0" showErrorMessage="0" allowBlank="1" type="list">
      <formula1>"Gleichmäßig,An Bord,Zeitanteilig,Individuell"</formula1>
    </dataValidation>
    <dataValidation sqref="D31:D42" showDropDown="0" showInputMessage="0" showErrorMessage="0" allowBlank="1" type="list">
      <formula1>"x"</formula1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2" customWidth="1" style="154" min="1" max="1"/>
    <col width="14" customWidth="1" style="154" min="9" max="9"/>
    <col width="4" customWidth="1" style="154" min="10" max="10"/>
    <col width="14" customWidth="1" style="154" min="11" max="11"/>
    <col width="4" customWidth="1" style="154" min="12" max="12"/>
  </cols>
  <sheetData>
    <row r="1" ht="55.5" customHeight="1" s="154">
      <c r="A1" s="155" t="inlineStr">
        <is>
          <t>⚓  Bordkasse</t>
        </is>
      </c>
    </row>
    <row r="2" ht="24" customHeight="1" s="154">
      <c r="A2" s="156" t="inlineStr">
        <is>
          <t>Gutschrift erfassen</t>
        </is>
      </c>
    </row>
    <row r="3" ht="12" customHeight="1" s="154"/>
    <row r="4" ht="33.75" customHeight="1" s="154">
      <c r="A4" s="157" t="inlineStr">
        <is>
          <t xml:space="preserve">  1.  Details</t>
        </is>
      </c>
    </row>
    <row r="5" ht="21.75" customHeight="1" s="154">
      <c r="B5" s="158" t="inlineStr">
        <is>
          <t>Datum</t>
        </is>
      </c>
    </row>
    <row r="6" ht="43.5" customHeight="1" s="154">
      <c r="B6" s="322" t="n"/>
    </row>
    <row r="7" ht="7.5" customHeight="1" s="154"/>
    <row r="8" ht="21.75" customHeight="1" s="154">
      <c r="B8" s="158" t="inlineStr">
        <is>
          <t>Beschreibung  (optional)</t>
        </is>
      </c>
    </row>
    <row r="9" ht="43.5" customHeight="1" s="154">
      <c r="B9" s="160" t="n"/>
    </row>
    <row r="10" ht="7.5" customHeight="1" s="154"/>
    <row r="11" ht="21.75" customHeight="1" s="154">
      <c r="B11" s="158" t="inlineStr">
        <is>
          <t>Betrag  (€)</t>
        </is>
      </c>
    </row>
    <row r="12" ht="49.5" customHeight="1" s="154">
      <c r="B12" s="323" t="n"/>
    </row>
    <row r="13" ht="13.5" customHeight="1" s="154"/>
    <row r="14" ht="33.75" customHeight="1" s="154">
      <c r="A14" s="157" t="inlineStr">
        <is>
          <t xml:space="preserve">  2.  Wer hat wem gezahlt?</t>
        </is>
      </c>
    </row>
    <row r="15" ht="21.75" customHeight="1" s="154">
      <c r="B15" s="158" t="inlineStr">
        <is>
          <t>Zahlt  (Von)</t>
        </is>
      </c>
    </row>
    <row r="16" ht="43.5" customHeight="1" s="154">
      <c r="B16" s="160" t="n"/>
    </row>
    <row r="17" ht="7.5" customHeight="1" s="154"/>
    <row r="18" ht="21.75" customHeight="1" s="154">
      <c r="B18" s="158" t="inlineStr">
        <is>
          <t>Empfängt  (An)</t>
        </is>
      </c>
    </row>
    <row r="19" ht="43.5" customHeight="1" s="154">
      <c r="B19" s="160" t="n"/>
    </row>
    <row r="20" ht="21.75" customHeight="1" s="154">
      <c r="B20" s="153" t="inlineStr">
        <is>
          <t>Name eines Crewmitglieds oder 'Alle' (Aufteilung an gesamte Crew)</t>
        </is>
      </c>
    </row>
    <row r="21" ht="21.75" customHeight="1" s="154"/>
    <row r="22" ht="60" customHeight="1" s="154">
      <c r="A22" s="153" t="inlineStr">
        <is>
          <t>▶   GUTSCHRIFT SPEICHERN</t>
        </is>
      </c>
    </row>
    <row r="23" ht="21.75" customHeight="1" s="154">
      <c r="A23" s="153" t="inlineStr">
        <is>
          <t>Tippe hier (Desktop) oder nutze Menü: ⚓ Bordkasse → 💾 Gutschrift speichern</t>
        </is>
      </c>
    </row>
  </sheetData>
  <mergeCells count="6">
    <mergeCell ref="A1:C1"/>
    <mergeCell ref="A14:C14"/>
    <mergeCell ref="A23:E23"/>
    <mergeCell ref="A4:C4"/>
    <mergeCell ref="A22:E22"/>
    <mergeCell ref="A2:C2"/>
  </mergeCells>
  <dataValidations count="2">
    <dataValidation sqref="B16" showDropDown="0" showInputMessage="0" showErrorMessage="0" allowBlank="1" type="list">
      <formula1>Besatzung!$B$11:$B$22</formula1>
    </dataValidation>
    <dataValidation sqref="B19" showDropDown="0" showInputMessage="0" showErrorMessage="0" allowBlank="1" type="list">
      <formula1>Besatzung!$K$11:$K$23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 filterMode="0">
    <tabColor rgb="FF114884"/>
    <outlinePr summaryBelow="1" summaryRight="1"/>
    <pageSetUpPr fitToPage="0"/>
  </sheetPr>
  <dimension ref="A1:Z100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3359375" defaultRowHeight="15" zeroHeight="0" outlineLevelRow="0"/>
  <cols>
    <col width="7" customWidth="1" style="153" min="1" max="1"/>
    <col width="20" customWidth="1" style="153" min="2" max="2"/>
    <col width="13" customWidth="1" style="153" min="3" max="4"/>
    <col width="9" customWidth="1" style="153" min="5" max="5"/>
    <col width="12" customWidth="1" style="153" min="6" max="7"/>
    <col width="22" customWidth="1" style="153" min="8" max="8"/>
    <col width="4" customWidth="1" style="153" min="9" max="9"/>
    <col width="8.710000000000001" customWidth="1" style="153" min="10" max="11"/>
  </cols>
  <sheetData>
    <row r="1" ht="49.5" customHeight="1" s="154">
      <c r="A1" s="183" t="inlineStr">
        <is>
          <t>⚓  Besatzung &amp; Törn-Daten</t>
        </is>
      </c>
      <c r="B1" s="184" t="n"/>
      <c r="C1" s="184" t="n"/>
      <c r="D1" s="184" t="n"/>
      <c r="E1" s="184" t="n"/>
      <c r="F1" s="184" t="n"/>
      <c r="G1" s="184" t="n"/>
      <c r="H1" s="184" t="n"/>
      <c r="I1" s="184" t="n"/>
      <c r="L1" s="153" t="n"/>
      <c r="M1" s="153" t="n"/>
      <c r="N1" s="153" t="n"/>
      <c r="O1" s="153" t="n"/>
      <c r="P1" s="153" t="n"/>
      <c r="Q1" s="153" t="n"/>
      <c r="R1" s="153" t="n"/>
      <c r="S1" s="153" t="n"/>
      <c r="T1" s="153" t="n"/>
      <c r="U1" s="153" t="n"/>
      <c r="V1" s="153" t="n"/>
      <c r="W1" s="153" t="n"/>
      <c r="X1" s="153" t="n"/>
      <c r="Y1" s="153" t="n"/>
      <c r="Z1" s="153" t="n"/>
    </row>
    <row r="2" ht="15" customHeight="1" s="154">
      <c r="L2" s="153" t="n"/>
      <c r="M2" s="153" t="n"/>
      <c r="N2" s="153" t="n"/>
      <c r="O2" s="153" t="n"/>
      <c r="P2" s="153" t="n"/>
      <c r="Q2" s="153" t="n"/>
      <c r="R2" s="153" t="n"/>
      <c r="S2" s="153" t="n"/>
      <c r="T2" s="153" t="n"/>
      <c r="U2" s="153" t="n"/>
      <c r="V2" s="153" t="n"/>
      <c r="W2" s="153" t="n"/>
      <c r="X2" s="153" t="n"/>
      <c r="Y2" s="153" t="n"/>
      <c r="Z2" s="153" t="n"/>
    </row>
    <row r="3" ht="25.5" customHeight="1" s="154">
      <c r="A3" s="185" t="inlineStr">
        <is>
          <t xml:space="preserve">  Törn-Informationen</t>
        </is>
      </c>
      <c r="B3" s="186" t="n"/>
      <c r="C3" s="186" t="n"/>
      <c r="D3" s="186" t="n"/>
      <c r="E3" s="186" t="n"/>
      <c r="F3" s="186" t="n"/>
      <c r="G3" s="186" t="n"/>
      <c r="H3" s="186" t="n"/>
      <c r="I3" s="186" t="n"/>
      <c r="L3" s="153" t="n"/>
      <c r="M3" s="153" t="n"/>
      <c r="N3" s="153" t="n"/>
      <c r="O3" s="153" t="n"/>
      <c r="P3" s="153" t="n"/>
      <c r="Q3" s="153" t="n"/>
      <c r="R3" s="153" t="n"/>
      <c r="S3" s="153" t="n"/>
      <c r="T3" s="153" t="n"/>
      <c r="U3" s="153" t="n"/>
      <c r="V3" s="153" t="n"/>
      <c r="W3" s="153" t="n"/>
      <c r="X3" s="153" t="n"/>
      <c r="Y3" s="153" t="n"/>
      <c r="Z3" s="153" t="n"/>
    </row>
    <row r="4" ht="27.75" customHeight="1" s="154">
      <c r="A4" s="187" t="inlineStr">
        <is>
          <t>Törn-Name:</t>
        </is>
      </c>
      <c r="B4" s="188" t="inlineStr">
        <is>
          <t>Mein Törn</t>
        </is>
      </c>
      <c r="C4" s="189" t="n"/>
      <c r="D4" s="189" t="n"/>
      <c r="E4" s="189" t="n"/>
      <c r="F4" s="190" t="n"/>
      <c r="G4" s="191" t="n"/>
      <c r="L4" s="153" t="n"/>
      <c r="M4" s="153" t="n"/>
      <c r="N4" s="153" t="n"/>
      <c r="O4" s="153" t="n"/>
      <c r="P4" s="153" t="n"/>
      <c r="Q4" s="153" t="n"/>
      <c r="R4" s="153" t="n"/>
      <c r="S4" s="153" t="n"/>
      <c r="T4" s="153" t="n"/>
      <c r="U4" s="153" t="n"/>
      <c r="V4" s="153" t="n"/>
      <c r="W4" s="153" t="n"/>
      <c r="X4" s="153" t="n"/>
      <c r="Y4" s="153" t="n"/>
      <c r="Z4" s="153" t="n"/>
    </row>
    <row r="5" ht="27.75" customHeight="1" s="154">
      <c r="A5" s="187" t="inlineStr">
        <is>
          <t>Start-Datum:</t>
        </is>
      </c>
      <c r="B5" s="192" t="n">
        <v>46153</v>
      </c>
      <c r="C5" s="189" t="n"/>
      <c r="D5" s="189" t="n"/>
      <c r="E5" s="189" t="n"/>
      <c r="F5" s="190" t="n"/>
      <c r="G5" s="191" t="inlineStr">
        <is>
          <t>1. Törntag</t>
        </is>
      </c>
      <c r="L5" s="153" t="n"/>
      <c r="M5" s="153" t="n"/>
      <c r="N5" s="153" t="n"/>
      <c r="O5" s="153" t="n"/>
      <c r="P5" s="153" t="n"/>
      <c r="Q5" s="153" t="n"/>
      <c r="R5" s="153" t="n"/>
      <c r="S5" s="153" t="n"/>
      <c r="T5" s="153" t="n"/>
      <c r="U5" s="153" t="n"/>
      <c r="V5" s="153" t="n"/>
      <c r="W5" s="153" t="n"/>
      <c r="X5" s="153" t="n"/>
      <c r="Y5" s="153" t="n"/>
      <c r="Z5" s="153" t="n"/>
    </row>
    <row r="6" ht="27.75" customHeight="1" s="154">
      <c r="A6" s="187" t="inlineStr">
        <is>
          <t>End-Datum:</t>
        </is>
      </c>
      <c r="B6" s="192" t="n">
        <v>46160</v>
      </c>
      <c r="C6" s="189" t="n"/>
      <c r="D6" s="189" t="n"/>
      <c r="E6" s="189" t="n"/>
      <c r="F6" s="190" t="n"/>
      <c r="G6" s="191" t="inlineStr">
        <is>
          <t>Letzter Törntag</t>
        </is>
      </c>
      <c r="L6" s="153" t="n"/>
      <c r="M6" s="153" t="n"/>
      <c r="N6" s="153" t="n"/>
      <c r="O6" s="153" t="n"/>
      <c r="P6" s="153" t="n"/>
      <c r="Q6" s="153" t="n"/>
      <c r="R6" s="153" t="n"/>
      <c r="S6" s="153" t="n"/>
      <c r="T6" s="153" t="n"/>
      <c r="U6" s="153" t="n"/>
      <c r="V6" s="153" t="n"/>
      <c r="W6" s="153" t="n"/>
      <c r="X6" s="153" t="n"/>
      <c r="Y6" s="153" t="n"/>
      <c r="Z6" s="153" t="n"/>
    </row>
    <row r="7" ht="27.75" customHeight="1" s="154">
      <c r="A7" s="187" t="inlineStr">
        <is>
          <t>Gesamttage:</t>
        </is>
      </c>
      <c r="B7" s="193">
        <f>IFERROR(B6-B5+1,0)</f>
        <v/>
      </c>
      <c r="C7" s="189" t="n"/>
      <c r="D7" s="189" t="n"/>
      <c r="E7" s="189" t="n"/>
      <c r="F7" s="190" t="n"/>
      <c r="G7" s="191" t="inlineStr">
        <is>
          <t>Automatisch berechnet</t>
        </is>
      </c>
      <c r="L7" s="153" t="n"/>
      <c r="M7" s="153" t="n"/>
      <c r="N7" s="153" t="n"/>
      <c r="O7" s="153" t="n"/>
      <c r="P7" s="153" t="n"/>
      <c r="Q7" s="153" t="n"/>
      <c r="R7" s="153" t="n"/>
      <c r="S7" s="153" t="n"/>
      <c r="T7" s="153" t="n"/>
      <c r="U7" s="153" t="n"/>
      <c r="V7" s="153" t="n"/>
      <c r="W7" s="153" t="n"/>
      <c r="X7" s="153" t="n"/>
      <c r="Y7" s="153" t="n"/>
      <c r="Z7" s="153" t="n"/>
    </row>
    <row r="8" ht="9.75" customHeight="1" s="154">
      <c r="L8" s="153" t="n"/>
      <c r="M8" s="153" t="n"/>
      <c r="N8" s="153" t="n"/>
      <c r="O8" s="153" t="n"/>
      <c r="P8" s="153" t="n"/>
      <c r="Q8" s="153" t="n"/>
      <c r="R8" s="153" t="n"/>
      <c r="S8" s="153" t="n"/>
      <c r="T8" s="153" t="n"/>
      <c r="U8" s="153" t="n"/>
      <c r="V8" s="153" t="n"/>
      <c r="W8" s="153" t="n"/>
      <c r="X8" s="153" t="n"/>
      <c r="Y8" s="153" t="n"/>
      <c r="Z8" s="153" t="n"/>
    </row>
    <row r="9" ht="25.5" customHeight="1" s="154">
      <c r="A9" s="185" t="inlineStr">
        <is>
          <t xml:space="preserve">  Besatzung  (bis zu 12 Personen)</t>
        </is>
      </c>
      <c r="B9" s="186" t="n"/>
      <c r="C9" s="186" t="n"/>
      <c r="D9" s="186" t="n"/>
      <c r="E9" s="186" t="n"/>
      <c r="F9" s="186" t="n"/>
      <c r="G9" s="186" t="n"/>
      <c r="H9" s="186" t="n"/>
      <c r="I9" s="186" t="n"/>
      <c r="L9" s="153" t="n"/>
      <c r="M9" s="153" t="n"/>
      <c r="N9" s="153" t="n"/>
      <c r="O9" s="153" t="n"/>
      <c r="P9" s="153" t="n"/>
      <c r="Q9" s="153" t="n"/>
      <c r="R9" s="153" t="n"/>
      <c r="S9" s="153" t="n"/>
      <c r="T9" s="153" t="n"/>
      <c r="U9" s="153" t="n"/>
      <c r="V9" s="153" t="n"/>
      <c r="W9" s="153" t="n"/>
      <c r="X9" s="153" t="n"/>
      <c r="Y9" s="153" t="n"/>
      <c r="Z9" s="153" t="n"/>
    </row>
    <row r="10" ht="27.75" customHeight="1" s="154">
      <c r="A10" s="194" t="inlineStr">
        <is>
          <t>Nr.</t>
        </is>
      </c>
      <c r="B10" s="195" t="inlineStr">
        <is>
          <t>Name</t>
        </is>
      </c>
      <c r="C10" s="194" t="inlineStr">
        <is>
          <t>An Bord ab</t>
        </is>
      </c>
      <c r="D10" s="194" t="inlineStr">
        <is>
          <t>An Bord bis</t>
        </is>
      </c>
      <c r="E10" s="194" t="inlineStr">
        <is>
          <t>Tage</t>
        </is>
      </c>
      <c r="F10" s="194" t="inlineStr">
        <is>
          <t>Alkohol? (x)</t>
        </is>
      </c>
      <c r="G10" s="194" t="inlineStr">
        <is>
          <t>Zeitanteil %</t>
        </is>
      </c>
      <c r="H10" s="195" t="inlineStr">
        <is>
          <t>Hinweis</t>
        </is>
      </c>
      <c r="I10" s="196" t="n"/>
      <c r="L10" s="153" t="n"/>
      <c r="M10" s="153" t="n"/>
      <c r="N10" s="153" t="n"/>
      <c r="O10" s="153" t="n"/>
      <c r="P10" s="153" t="n"/>
      <c r="Q10" s="153" t="n"/>
      <c r="R10" s="153" t="n"/>
      <c r="S10" s="153" t="n"/>
      <c r="T10" s="153" t="n"/>
      <c r="U10" s="153" t="n"/>
      <c r="V10" s="153" t="n"/>
      <c r="W10" s="153" t="n"/>
      <c r="X10" s="153" t="n"/>
      <c r="Y10" s="153" t="n"/>
      <c r="Z10" s="153" t="n"/>
    </row>
    <row r="11" ht="25.5" customHeight="1" s="154">
      <c r="A11" s="197" t="inlineStr">
        <is>
          <t>P1</t>
        </is>
      </c>
      <c r="B11" s="198" t="inlineStr">
        <is>
          <t>Skipper</t>
        </is>
      </c>
      <c r="C11" s="199">
        <f>$B$5</f>
        <v/>
      </c>
      <c r="D11" s="199">
        <f>$B$6</f>
        <v/>
      </c>
      <c r="E11" s="200">
        <f>IFERROR(IF(B11="","",MIN(IF(D11="",Besatzung!$B$6,D11),Besatzung!$B$6)-MAX(IF(C11="",Besatzung!$B$5,C11),Besatzung!$B$5)+1),"")</f>
        <v/>
      </c>
      <c r="F11" s="201" t="n"/>
      <c r="G11" s="202">
        <f>IFERROR(IF(B11="","",E11/SUM($E$11:$E$22)),"")</f>
        <v/>
      </c>
      <c r="H11" s="203" t="inlineStr">
        <is>
          <t>⚓ Pflichtfeld</t>
        </is>
      </c>
      <c r="K11" s="204" t="inlineStr">
        <is>
          <t>Alle</t>
        </is>
      </c>
      <c r="L11" s="153" t="n"/>
      <c r="M11" s="153" t="n"/>
      <c r="N11" s="153" t="n"/>
      <c r="O11" s="153" t="n"/>
      <c r="P11" s="153" t="n"/>
      <c r="Q11" s="153" t="n"/>
      <c r="R11" s="153" t="n"/>
      <c r="S11" s="153" t="n"/>
      <c r="T11" s="153" t="n"/>
      <c r="U11" s="153" t="n"/>
      <c r="V11" s="153" t="n"/>
      <c r="W11" s="153" t="n"/>
      <c r="X11" s="153" t="n"/>
      <c r="Y11" s="153" t="n"/>
      <c r="Z11" s="153" t="n"/>
    </row>
    <row r="12" ht="25.5" customHeight="1" s="154">
      <c r="A12" s="197" t="inlineStr">
        <is>
          <t>P2</t>
        </is>
      </c>
      <c r="B12" s="205" t="inlineStr">
        <is>
          <t>Crew 2</t>
        </is>
      </c>
      <c r="C12" s="206">
        <f>$B$5</f>
        <v/>
      </c>
      <c r="D12" s="206">
        <f>$B$6</f>
        <v/>
      </c>
      <c r="E12" s="207">
        <f>IFERROR(IF(B12="","",MIN(IF(D12="",Besatzung!$B$6,D12),Besatzung!$B$6)-MAX(IF(C12="",Besatzung!$B$5,C12),Besatzung!$B$5)+1),"")</f>
        <v/>
      </c>
      <c r="F12" s="208" t="n"/>
      <c r="G12" s="209">
        <f>IFERROR(IF(B12="","",E12/SUM($E$11:$E$22)),"")</f>
        <v/>
      </c>
      <c r="H12" s="210" t="n"/>
      <c r="K12" s="204">
        <f>IFERROR(B11,"")</f>
        <v/>
      </c>
      <c r="L12" s="153" t="n"/>
      <c r="M12" s="153" t="n"/>
      <c r="N12" s="153" t="n"/>
      <c r="O12" s="153" t="n"/>
      <c r="P12" s="153" t="n"/>
      <c r="Q12" s="153" t="n"/>
      <c r="R12" s="153" t="n"/>
      <c r="S12" s="153" t="n"/>
      <c r="T12" s="153" t="n"/>
      <c r="U12" s="153" t="n"/>
      <c r="V12" s="153" t="n"/>
      <c r="W12" s="153" t="n"/>
      <c r="X12" s="153" t="n"/>
      <c r="Y12" s="153" t="n"/>
      <c r="Z12" s="153" t="n"/>
    </row>
    <row r="13" ht="25.5" customHeight="1" s="154">
      <c r="A13" s="197" t="inlineStr">
        <is>
          <t>P3</t>
        </is>
      </c>
      <c r="B13" s="198" t="inlineStr">
        <is>
          <t>Crew 3</t>
        </is>
      </c>
      <c r="C13" s="199">
        <f>$B$5</f>
        <v/>
      </c>
      <c r="D13" s="199">
        <f>$B$6</f>
        <v/>
      </c>
      <c r="E13" s="207">
        <f>IFERROR(IF(B13="","",MIN(IF(D13="",Besatzung!$B$6,D13),Besatzung!$B$6)-MAX(IF(C13="",Besatzung!$B$5,C13),Besatzung!$B$5)+1),"")</f>
        <v/>
      </c>
      <c r="F13" s="201" t="n"/>
      <c r="G13" s="209">
        <f>IFERROR(IF(B13="","",E13/SUM($E$11:$E$22)),"")</f>
        <v/>
      </c>
      <c r="H13" s="203" t="inlineStr">
        <is>
          <t>Leer = gesamter Törn</t>
        </is>
      </c>
      <c r="K13" s="204">
        <f>IFERROR(B12,"")</f>
        <v/>
      </c>
      <c r="L13" s="153" t="n"/>
      <c r="M13" s="153" t="n"/>
      <c r="N13" s="153" t="n"/>
      <c r="O13" s="153" t="n"/>
      <c r="P13" s="153" t="n"/>
      <c r="Q13" s="153" t="n"/>
      <c r="R13" s="153" t="n"/>
      <c r="S13" s="153" t="n"/>
      <c r="T13" s="153" t="n"/>
      <c r="U13" s="153" t="n"/>
      <c r="V13" s="153" t="n"/>
      <c r="W13" s="153" t="n"/>
      <c r="X13" s="153" t="n"/>
      <c r="Y13" s="153" t="n"/>
      <c r="Z13" s="153" t="n"/>
    </row>
    <row r="14" ht="25.5" customHeight="1" s="154">
      <c r="A14" s="197" t="inlineStr">
        <is>
          <t>P4</t>
        </is>
      </c>
      <c r="B14" s="205" t="inlineStr">
        <is>
          <t>Crew 4</t>
        </is>
      </c>
      <c r="C14" s="206">
        <f>$B$5</f>
        <v/>
      </c>
      <c r="D14" s="206">
        <f>$B$6</f>
        <v/>
      </c>
      <c r="E14" s="207">
        <f>IFERROR(IF(B14="","",MIN(IF(D14="",Besatzung!$B$6,D14),Besatzung!$B$6)-MAX(IF(C14="",Besatzung!$B$5,C14),Besatzung!$B$5)+1),"")</f>
        <v/>
      </c>
      <c r="F14" s="208" t="n"/>
      <c r="G14" s="209">
        <f>IFERROR(IF(B14="","",E14/SUM($E$11:$E$22)),"")</f>
        <v/>
      </c>
      <c r="H14" s="210" t="inlineStr">
        <is>
          <t>Leer = gesamter Törn</t>
        </is>
      </c>
      <c r="K14" s="204">
        <f>IFERROR(B13,"")</f>
        <v/>
      </c>
      <c r="L14" s="153" t="n"/>
      <c r="M14" s="153" t="n"/>
      <c r="N14" s="153" t="n"/>
      <c r="O14" s="153" t="n"/>
      <c r="P14" s="153" t="n"/>
      <c r="Q14" s="153" t="n"/>
      <c r="R14" s="153" t="n"/>
      <c r="S14" s="153" t="n"/>
      <c r="T14" s="153" t="n"/>
      <c r="U14" s="153" t="n"/>
      <c r="V14" s="153" t="n"/>
      <c r="W14" s="153" t="n"/>
      <c r="X14" s="153" t="n"/>
      <c r="Y14" s="153" t="n"/>
      <c r="Z14" s="153" t="n"/>
    </row>
    <row r="15" ht="25.5" customHeight="1" s="154">
      <c r="A15" s="197" t="inlineStr">
        <is>
          <t>P5</t>
        </is>
      </c>
      <c r="B15" s="205" t="inlineStr">
        <is>
          <t>Crew 5</t>
        </is>
      </c>
      <c r="C15" s="199" t="n">
        <v>46156</v>
      </c>
      <c r="D15" s="199">
        <f>$B$6</f>
        <v/>
      </c>
      <c r="E15" s="200">
        <f>IFERROR(IF(B15="","",MIN(IF(D15="",Besatzung!$B$6,D15),Besatzung!$B$6)-MAX(IF(C15="",Besatzung!$B$5,C15),Besatzung!$B$5)+1),"")</f>
        <v/>
      </c>
      <c r="F15" s="201" t="n"/>
      <c r="G15" s="202">
        <f>IFERROR(IF(B15="","",E15/SUM($E$11:$E$22)),"")</f>
        <v/>
      </c>
      <c r="H15" s="203" t="n"/>
      <c r="K15" s="204">
        <f>IFERROR(B14,"")</f>
        <v/>
      </c>
      <c r="L15" s="153" t="n"/>
      <c r="M15" s="153" t="n"/>
      <c r="N15" s="153" t="n"/>
      <c r="O15" s="153" t="n"/>
      <c r="P15" s="153" t="n"/>
      <c r="Q15" s="153" t="n"/>
      <c r="R15" s="153" t="n"/>
      <c r="S15" s="153" t="n"/>
      <c r="T15" s="153" t="n"/>
      <c r="U15" s="153" t="n"/>
      <c r="V15" s="153" t="n"/>
      <c r="W15" s="153" t="n"/>
      <c r="X15" s="153" t="n"/>
      <c r="Y15" s="153" t="n"/>
      <c r="Z15" s="153" t="n"/>
    </row>
    <row r="16" ht="25.5" customHeight="1" s="154">
      <c r="A16" s="197" t="inlineStr">
        <is>
          <t>P6</t>
        </is>
      </c>
      <c r="C16" s="206" t="n"/>
      <c r="D16" s="206" t="n"/>
      <c r="E16" s="207">
        <f>IFERROR(IF(B16="","",MIN(IF(D16="",Besatzung!$B$6,D16),Besatzung!$B$6)-MAX(IF(C16="",Besatzung!$B$5,C16),Besatzung!$B$5)+1),"")</f>
        <v/>
      </c>
      <c r="F16" s="208" t="n"/>
      <c r="G16" s="209">
        <f>IFERROR(IF(B16="","",E16/SUM($E$11:$E$22)),"")</f>
        <v/>
      </c>
      <c r="H16" s="210" t="n"/>
      <c r="K16" s="204">
        <f>IFERROR(B15,"")</f>
        <v/>
      </c>
      <c r="L16" s="153" t="n"/>
      <c r="M16" s="153" t="n"/>
      <c r="N16" s="153" t="n"/>
      <c r="O16" s="153" t="n"/>
      <c r="P16" s="153" t="n"/>
      <c r="Q16" s="153" t="n"/>
      <c r="R16" s="153" t="n"/>
      <c r="S16" s="153" t="n"/>
      <c r="T16" s="153" t="n"/>
      <c r="U16" s="153" t="n"/>
      <c r="V16" s="153" t="n"/>
      <c r="W16" s="153" t="n"/>
      <c r="X16" s="153" t="n"/>
      <c r="Y16" s="153" t="n"/>
      <c r="Z16" s="153" t="n"/>
    </row>
    <row r="17" ht="25.5" customHeight="1" s="154">
      <c r="A17" s="197" t="inlineStr">
        <is>
          <t>P7</t>
        </is>
      </c>
      <c r="B17" s="198" t="n"/>
      <c r="C17" s="199" t="n"/>
      <c r="D17" s="199" t="n"/>
      <c r="E17" s="200">
        <f>IFERROR(IF(B17="","",MIN(IF(D17="",Besatzung!$B$6,D17),Besatzung!$B$6)-MAX(IF(C17="",Besatzung!$B$5,C17),Besatzung!$B$5)+1),"")</f>
        <v/>
      </c>
      <c r="F17" s="201" t="n"/>
      <c r="G17" s="202">
        <f>IFERROR(IF(B17="","",E17/SUM($E$11:$E$22)),"")</f>
        <v/>
      </c>
      <c r="H17" s="203" t="n"/>
      <c r="L17" s="153" t="n"/>
      <c r="M17" s="153" t="n"/>
      <c r="N17" s="153" t="n"/>
      <c r="O17" s="153" t="n"/>
      <c r="P17" s="153" t="n"/>
      <c r="Q17" s="153" t="n"/>
      <c r="R17" s="153" t="n"/>
      <c r="S17" s="153" t="n"/>
      <c r="T17" s="153" t="n"/>
      <c r="U17" s="153" t="n"/>
      <c r="V17" s="153" t="n"/>
      <c r="W17" s="153" t="n"/>
      <c r="X17" s="153" t="n"/>
      <c r="Y17" s="153" t="n"/>
      <c r="Z17" s="153" t="n"/>
    </row>
    <row r="18" ht="25.5" customHeight="1" s="154">
      <c r="A18" s="197" t="inlineStr">
        <is>
          <t>P8</t>
        </is>
      </c>
      <c r="B18" s="205" t="n"/>
      <c r="C18" s="206" t="n"/>
      <c r="D18" s="206" t="n"/>
      <c r="E18" s="207">
        <f>IFERROR(IF(B18="","",MIN(IF(D18="",Besatzung!$B$6,D18),Besatzung!$B$6)-MAX(IF(C18="",Besatzung!$B$5,C18),Besatzung!$B$5)+1),"")</f>
        <v/>
      </c>
      <c r="F18" s="208" t="n"/>
      <c r="G18" s="209">
        <f>IFERROR(IF(B18="","",E18/SUM($E$11:$E$22)),"")</f>
        <v/>
      </c>
      <c r="H18" s="210" t="n"/>
      <c r="K18" s="204">
        <f>IFERROR(B17,"")</f>
        <v/>
      </c>
      <c r="L18" s="153" t="n"/>
      <c r="M18" s="153" t="n"/>
      <c r="N18" s="153" t="n"/>
      <c r="O18" s="153" t="n"/>
      <c r="P18" s="153" t="n"/>
      <c r="Q18" s="153" t="n"/>
      <c r="R18" s="153" t="n"/>
      <c r="S18" s="153" t="n"/>
      <c r="T18" s="153" t="n"/>
      <c r="U18" s="153" t="n"/>
      <c r="V18" s="153" t="n"/>
      <c r="W18" s="153" t="n"/>
      <c r="X18" s="153" t="n"/>
      <c r="Y18" s="153" t="n"/>
      <c r="Z18" s="153" t="n"/>
    </row>
    <row r="19" ht="25.5" customHeight="1" s="154">
      <c r="A19" s="197" t="inlineStr">
        <is>
          <t>P9</t>
        </is>
      </c>
      <c r="B19" s="198" t="n"/>
      <c r="C19" s="199" t="n"/>
      <c r="D19" s="199" t="n"/>
      <c r="E19" s="200">
        <f>IFERROR(IF(B19="","",MIN(IF(D19="",Besatzung!$B$6,D19),Besatzung!$B$6)-MAX(IF(C19="",Besatzung!$B$5,C19),Besatzung!$B$5)+1),"")</f>
        <v/>
      </c>
      <c r="F19" s="201" t="n"/>
      <c r="G19" s="202">
        <f>IFERROR(IF(B19="","",E19/SUM($E$11:$E$22)),"")</f>
        <v/>
      </c>
      <c r="H19" s="203" t="n"/>
      <c r="K19" s="204">
        <f>IFERROR(B18,"")</f>
        <v/>
      </c>
      <c r="L19" s="153" t="n"/>
      <c r="M19" s="153" t="n"/>
      <c r="N19" s="153" t="n"/>
      <c r="O19" s="153" t="n"/>
      <c r="P19" s="153" t="n"/>
      <c r="Q19" s="153" t="n"/>
      <c r="R19" s="153" t="n"/>
      <c r="S19" s="153" t="n"/>
      <c r="T19" s="153" t="n"/>
      <c r="U19" s="153" t="n"/>
      <c r="V19" s="153" t="n"/>
      <c r="W19" s="153" t="n"/>
      <c r="X19" s="153" t="n"/>
      <c r="Y19" s="153" t="n"/>
      <c r="Z19" s="153" t="n"/>
    </row>
    <row r="20" ht="25.5" customHeight="1" s="154">
      <c r="A20" s="197" t="inlineStr">
        <is>
          <t>P10</t>
        </is>
      </c>
      <c r="B20" s="205" t="n"/>
      <c r="C20" s="206" t="n"/>
      <c r="D20" s="206" t="n"/>
      <c r="E20" s="207">
        <f>IFERROR(IF(B20="","",MIN(IF(D20="",Besatzung!$B$6,D20),Besatzung!$B$6)-MAX(IF(C20="",Besatzung!$B$5,C20),Besatzung!$B$5)+1),"")</f>
        <v/>
      </c>
      <c r="F20" s="208" t="n"/>
      <c r="G20" s="209">
        <f>IFERROR(IF(B20="","",E20/SUM($E$11:$E$22)),"")</f>
        <v/>
      </c>
      <c r="H20" s="210" t="n"/>
      <c r="K20" s="204">
        <f>IFERROR(B19,"")</f>
        <v/>
      </c>
      <c r="L20" s="153" t="n"/>
      <c r="M20" s="153" t="n"/>
      <c r="N20" s="153" t="n"/>
      <c r="O20" s="153" t="n"/>
      <c r="P20" s="153" t="n"/>
      <c r="Q20" s="153" t="n"/>
      <c r="R20" s="153" t="n"/>
      <c r="S20" s="153" t="n"/>
      <c r="T20" s="153" t="n"/>
      <c r="U20" s="153" t="n"/>
      <c r="V20" s="153" t="n"/>
      <c r="W20" s="153" t="n"/>
      <c r="X20" s="153" t="n"/>
      <c r="Y20" s="153" t="n"/>
      <c r="Z20" s="153" t="n"/>
    </row>
    <row r="21" ht="25.5" customHeight="1" s="154">
      <c r="A21" s="197" t="inlineStr">
        <is>
          <t>P11</t>
        </is>
      </c>
      <c r="B21" s="198" t="n"/>
      <c r="C21" s="199" t="n"/>
      <c r="D21" s="199" t="n"/>
      <c r="E21" s="200">
        <f>IFERROR(IF(B21="","",MIN(IF(D21="",Besatzung!$B$6,D21),Besatzung!$B$6)-MAX(IF(C21="",Besatzung!$B$5,C21),Besatzung!$B$5)+1),"")</f>
        <v/>
      </c>
      <c r="F21" s="201" t="n"/>
      <c r="G21" s="202">
        <f>IFERROR(IF(B21="","",E21/SUM($E$11:$E$22)),"")</f>
        <v/>
      </c>
      <c r="H21" s="203" t="n"/>
      <c r="K21" s="204">
        <f>IFERROR(B20,"")</f>
        <v/>
      </c>
      <c r="L21" s="153" t="n"/>
      <c r="M21" s="153" t="n"/>
      <c r="N21" s="153" t="n"/>
      <c r="O21" s="153" t="n"/>
      <c r="P21" s="153" t="n"/>
      <c r="Q21" s="153" t="n"/>
      <c r="R21" s="153" t="n"/>
      <c r="S21" s="153" t="n"/>
      <c r="T21" s="153" t="n"/>
      <c r="U21" s="153" t="n"/>
      <c r="V21" s="153" t="n"/>
      <c r="W21" s="153" t="n"/>
      <c r="X21" s="153" t="n"/>
      <c r="Y21" s="153" t="n"/>
      <c r="Z21" s="153" t="n"/>
    </row>
    <row r="22" ht="25.5" customHeight="1" s="154">
      <c r="A22" s="211" t="inlineStr">
        <is>
          <t>P12</t>
        </is>
      </c>
      <c r="B22" s="212" t="n"/>
      <c r="C22" s="213" t="n"/>
      <c r="D22" s="213" t="n"/>
      <c r="E22" s="214">
        <f>IFERROR(IF(B22="","",MIN(IF(D22="",Besatzung!$B$6,D22),Besatzung!$B$6)-MAX(IF(C22="",Besatzung!$B$5,C22),Besatzung!$B$5)+1),"")</f>
        <v/>
      </c>
      <c r="F22" s="215" t="n"/>
      <c r="G22" s="216">
        <f>IFERROR(IF(B22="","",E22/SUM($E$11:$E$22)),"")</f>
        <v/>
      </c>
      <c r="H22" s="217" t="n"/>
      <c r="K22" s="204">
        <f>IFERROR(B21,"")</f>
        <v/>
      </c>
      <c r="L22" s="153" t="n"/>
      <c r="M22" s="153" t="n"/>
      <c r="N22" s="153" t="n"/>
      <c r="O22" s="153" t="n"/>
      <c r="P22" s="153" t="n"/>
      <c r="Q22" s="153" t="n"/>
      <c r="R22" s="153" t="n"/>
      <c r="S22" s="153" t="n"/>
      <c r="T22" s="153" t="n"/>
      <c r="U22" s="153" t="n"/>
      <c r="V22" s="153" t="n"/>
      <c r="W22" s="153" t="n"/>
      <c r="X22" s="153" t="n"/>
      <c r="Y22" s="153" t="n"/>
      <c r="Z22" s="153" t="n"/>
    </row>
    <row r="23" ht="9.75" customHeight="1" s="154">
      <c r="K23" s="204">
        <f>IFERROR(B22,"")</f>
        <v/>
      </c>
      <c r="L23" s="153" t="n"/>
      <c r="M23" s="153" t="n"/>
      <c r="N23" s="153" t="n"/>
      <c r="O23" s="153" t="n"/>
      <c r="P23" s="153" t="n"/>
      <c r="Q23" s="153" t="n"/>
      <c r="R23" s="153" t="n"/>
      <c r="S23" s="153" t="n"/>
      <c r="T23" s="153" t="n"/>
      <c r="U23" s="153" t="n"/>
      <c r="V23" s="153" t="n"/>
      <c r="W23" s="153" t="n"/>
      <c r="X23" s="153" t="n"/>
      <c r="Y23" s="153" t="n"/>
      <c r="Z23" s="153" t="n"/>
    </row>
    <row r="24" ht="18" customHeight="1" s="154">
      <c r="A24" s="218" t="inlineStr">
        <is>
          <t>💡  Alkohol-Spalte: x = Person trinkt Alkohol auf diesem Törn. Wird automatisch für alle Ausgaben berücksichtigt.
Zeitanteil % berechnet sich automatisch aus den Bord-Tagen. Bord-Daten leer lassen = gesamter Törn.
Beispiel: A 5 Tage, B 3 Tage → A trägt 62,5 % der zeitanteiligen Kosten, B 37,5 %.</t>
        </is>
      </c>
      <c r="B24" s="219" t="n"/>
      <c r="C24" s="219" t="n"/>
      <c r="D24" s="219" t="n"/>
      <c r="E24" s="219" t="n"/>
      <c r="F24" s="219" t="n"/>
      <c r="G24" s="219" t="n"/>
      <c r="H24" s="220" t="n"/>
      <c r="I24" s="218" t="n"/>
      <c r="L24" s="153" t="n"/>
      <c r="M24" s="153" t="n"/>
      <c r="N24" s="153" t="n"/>
      <c r="O24" s="153" t="n"/>
      <c r="P24" s="153" t="n"/>
      <c r="Q24" s="153" t="n"/>
      <c r="R24" s="153" t="n"/>
      <c r="S24" s="153" t="n"/>
      <c r="T24" s="153" t="n"/>
      <c r="U24" s="153" t="n"/>
      <c r="V24" s="153" t="n"/>
      <c r="W24" s="153" t="n"/>
      <c r="X24" s="153" t="n"/>
      <c r="Y24" s="153" t="n"/>
      <c r="Z24" s="153" t="n"/>
    </row>
    <row r="25" ht="18" customHeight="1" s="154">
      <c r="A25" s="221" t="n"/>
      <c r="H25" s="222" t="n"/>
      <c r="I25" s="218" t="n"/>
      <c r="L25" s="153" t="n"/>
      <c r="M25" s="153" t="n"/>
      <c r="N25" s="153" t="n"/>
      <c r="O25" s="153" t="n"/>
      <c r="P25" s="153" t="n"/>
      <c r="Q25" s="153" t="n"/>
      <c r="R25" s="153" t="n"/>
      <c r="S25" s="153" t="n"/>
      <c r="T25" s="153" t="n"/>
      <c r="U25" s="153" t="n"/>
      <c r="V25" s="153" t="n"/>
      <c r="W25" s="153" t="n"/>
      <c r="X25" s="153" t="n"/>
      <c r="Y25" s="153" t="n"/>
      <c r="Z25" s="153" t="n"/>
    </row>
    <row r="26" ht="18" customHeight="1" s="154">
      <c r="A26" s="221" t="n"/>
      <c r="H26" s="222" t="n"/>
      <c r="I26" s="223" t="n"/>
      <c r="L26" s="153" t="n"/>
      <c r="M26" s="153" t="n"/>
      <c r="N26" s="153" t="n"/>
      <c r="O26" s="153" t="n"/>
      <c r="P26" s="153" t="n"/>
      <c r="Q26" s="153" t="n"/>
      <c r="R26" s="153" t="n"/>
      <c r="S26" s="153" t="n"/>
      <c r="T26" s="153" t="n"/>
      <c r="U26" s="153" t="n"/>
      <c r="V26" s="153" t="n"/>
      <c r="W26" s="153" t="n"/>
      <c r="X26" s="153" t="n"/>
      <c r="Y26" s="153" t="n"/>
      <c r="Z26" s="153" t="n"/>
    </row>
    <row r="27" ht="18" customHeight="1" s="154">
      <c r="A27" s="224" t="n"/>
      <c r="B27" s="225" t="n"/>
      <c r="C27" s="225" t="n"/>
      <c r="D27" s="225" t="n"/>
      <c r="E27" s="225" t="n"/>
      <c r="F27" s="225" t="n"/>
      <c r="G27" s="225" t="n"/>
      <c r="H27" s="226" t="n"/>
      <c r="L27" s="153" t="n"/>
      <c r="M27" s="153" t="n"/>
      <c r="N27" s="153" t="n"/>
      <c r="O27" s="153" t="n"/>
      <c r="P27" s="153" t="n"/>
      <c r="Q27" s="153" t="n"/>
      <c r="R27" s="153" t="n"/>
      <c r="S27" s="153" t="n"/>
      <c r="T27" s="153" t="n"/>
      <c r="U27" s="153" t="n"/>
      <c r="V27" s="153" t="n"/>
      <c r="W27" s="153" t="n"/>
      <c r="X27" s="153" t="n"/>
      <c r="Y27" s="153" t="n"/>
      <c r="Z27" s="153" t="n"/>
    </row>
    <row r="28" ht="15.75" customHeight="1" s="154">
      <c r="L28" s="153" t="n"/>
      <c r="M28" s="153" t="n"/>
      <c r="N28" s="153" t="n"/>
      <c r="O28" s="153" t="n"/>
      <c r="P28" s="153" t="n"/>
      <c r="Q28" s="153" t="n"/>
      <c r="R28" s="153" t="n"/>
      <c r="S28" s="153" t="n"/>
      <c r="T28" s="153" t="n"/>
      <c r="U28" s="153" t="n"/>
      <c r="V28" s="153" t="n"/>
      <c r="W28" s="153" t="n"/>
      <c r="X28" s="153" t="n"/>
      <c r="Y28" s="153" t="n"/>
      <c r="Z28" s="153" t="n"/>
    </row>
    <row r="29" ht="15.75" customHeight="1" s="154">
      <c r="L29" s="153" t="n"/>
      <c r="M29" s="153" t="n"/>
      <c r="N29" s="153" t="n"/>
      <c r="O29" s="153" t="n"/>
      <c r="P29" s="153" t="n"/>
      <c r="Q29" s="153" t="n"/>
      <c r="R29" s="153" t="n"/>
      <c r="S29" s="153" t="n"/>
      <c r="T29" s="153" t="n"/>
      <c r="U29" s="153" t="n"/>
      <c r="V29" s="153" t="n"/>
      <c r="W29" s="153" t="n"/>
      <c r="X29" s="153" t="n"/>
      <c r="Y29" s="153" t="n"/>
      <c r="Z29" s="153" t="n"/>
    </row>
    <row r="30" ht="15.75" customHeight="1" s="154">
      <c r="L30" s="153" t="n"/>
      <c r="M30" s="153" t="n"/>
      <c r="N30" s="153" t="n"/>
      <c r="O30" s="153" t="n"/>
      <c r="P30" s="153" t="n"/>
      <c r="Q30" s="153" t="n"/>
      <c r="R30" s="153" t="n"/>
      <c r="S30" s="153" t="n"/>
      <c r="T30" s="153" t="n"/>
      <c r="U30" s="153" t="n"/>
      <c r="V30" s="153" t="n"/>
      <c r="W30" s="153" t="n"/>
      <c r="X30" s="153" t="n"/>
      <c r="Y30" s="153" t="n"/>
      <c r="Z30" s="153" t="n"/>
    </row>
    <row r="31" ht="15.75" customHeight="1" s="154">
      <c r="L31" s="153" t="n"/>
      <c r="M31" s="153" t="n"/>
      <c r="N31" s="153" t="n"/>
      <c r="O31" s="153" t="n"/>
      <c r="P31" s="153" t="n"/>
      <c r="Q31" s="153" t="n"/>
      <c r="R31" s="153" t="n"/>
      <c r="S31" s="153" t="n"/>
      <c r="T31" s="153" t="n"/>
      <c r="U31" s="153" t="n"/>
      <c r="V31" s="153" t="n"/>
      <c r="W31" s="153" t="n"/>
      <c r="X31" s="153" t="n"/>
      <c r="Y31" s="153" t="n"/>
      <c r="Z31" s="153" t="n"/>
    </row>
    <row r="32" ht="15.75" customHeight="1" s="154">
      <c r="L32" s="153" t="n"/>
      <c r="M32" s="153" t="n"/>
      <c r="N32" s="153" t="n"/>
      <c r="O32" s="153" t="n"/>
      <c r="P32" s="153" t="n"/>
      <c r="Q32" s="153" t="n"/>
      <c r="R32" s="153" t="n"/>
      <c r="S32" s="153" t="n"/>
      <c r="T32" s="153" t="n"/>
      <c r="U32" s="153" t="n"/>
      <c r="V32" s="153" t="n"/>
      <c r="W32" s="153" t="n"/>
      <c r="X32" s="153" t="n"/>
      <c r="Y32" s="153" t="n"/>
      <c r="Z32" s="153" t="n"/>
    </row>
    <row r="33" ht="15.75" customHeight="1" s="154">
      <c r="L33" s="153" t="n"/>
      <c r="M33" s="153" t="n"/>
      <c r="N33" s="153" t="n"/>
      <c r="O33" s="153" t="n"/>
      <c r="P33" s="153" t="n"/>
      <c r="Q33" s="153" t="n"/>
      <c r="R33" s="153" t="n"/>
      <c r="S33" s="153" t="n"/>
      <c r="T33" s="153" t="n"/>
      <c r="U33" s="153" t="n"/>
      <c r="V33" s="153" t="n"/>
      <c r="W33" s="153" t="n"/>
      <c r="X33" s="153" t="n"/>
      <c r="Y33" s="153" t="n"/>
      <c r="Z33" s="153" t="n"/>
    </row>
    <row r="34" ht="15.75" customHeight="1" s="154">
      <c r="L34" s="153" t="n"/>
      <c r="M34" s="153" t="n"/>
      <c r="N34" s="153" t="n"/>
      <c r="O34" s="153" t="n"/>
      <c r="P34" s="153" t="n"/>
      <c r="Q34" s="153" t="n"/>
      <c r="R34" s="153" t="n"/>
      <c r="S34" s="153" t="n"/>
      <c r="T34" s="153" t="n"/>
      <c r="U34" s="153" t="n"/>
      <c r="V34" s="153" t="n"/>
      <c r="W34" s="153" t="n"/>
      <c r="X34" s="153" t="n"/>
      <c r="Y34" s="153" t="n"/>
      <c r="Z34" s="153" t="n"/>
    </row>
    <row r="35" ht="15.75" customHeight="1" s="154">
      <c r="L35" s="153" t="n"/>
      <c r="M35" s="153" t="n"/>
      <c r="N35" s="153" t="n"/>
      <c r="O35" s="153" t="n"/>
      <c r="P35" s="153" t="n"/>
      <c r="Q35" s="153" t="n"/>
      <c r="R35" s="153" t="n"/>
      <c r="S35" s="153" t="n"/>
      <c r="T35" s="153" t="n"/>
      <c r="U35" s="153" t="n"/>
      <c r="V35" s="153" t="n"/>
      <c r="W35" s="153" t="n"/>
      <c r="X35" s="153" t="n"/>
      <c r="Y35" s="153" t="n"/>
      <c r="Z35" s="153" t="n"/>
    </row>
    <row r="36" ht="15.75" customHeight="1" s="154">
      <c r="L36" s="153" t="n"/>
      <c r="M36" s="153" t="n"/>
      <c r="N36" s="153" t="n"/>
      <c r="O36" s="153" t="n"/>
      <c r="P36" s="153" t="n"/>
      <c r="Q36" s="153" t="n"/>
      <c r="R36" s="153" t="n"/>
      <c r="S36" s="153" t="n"/>
      <c r="T36" s="153" t="n"/>
      <c r="U36" s="153" t="n"/>
      <c r="V36" s="153" t="n"/>
      <c r="W36" s="153" t="n"/>
      <c r="X36" s="153" t="n"/>
      <c r="Y36" s="153" t="n"/>
      <c r="Z36" s="153" t="n"/>
    </row>
    <row r="37" ht="15.75" customHeight="1" s="154">
      <c r="L37" s="153" t="n"/>
      <c r="M37" s="153" t="n"/>
      <c r="N37" s="153" t="n"/>
      <c r="O37" s="153" t="n"/>
      <c r="P37" s="153" t="n"/>
      <c r="Q37" s="153" t="n"/>
      <c r="R37" s="153" t="n"/>
      <c r="S37" s="153" t="n"/>
      <c r="T37" s="153" t="n"/>
      <c r="U37" s="153" t="n"/>
      <c r="V37" s="153" t="n"/>
      <c r="W37" s="153" t="n"/>
      <c r="X37" s="153" t="n"/>
      <c r="Y37" s="153" t="n"/>
      <c r="Z37" s="153" t="n"/>
    </row>
    <row r="38" ht="15.75" customHeight="1" s="154">
      <c r="L38" s="153" t="n"/>
      <c r="M38" s="153" t="n"/>
      <c r="N38" s="153" t="n"/>
      <c r="O38" s="153" t="n"/>
      <c r="P38" s="153" t="n"/>
      <c r="Q38" s="153" t="n"/>
      <c r="R38" s="153" t="n"/>
      <c r="S38" s="153" t="n"/>
      <c r="T38" s="153" t="n"/>
      <c r="U38" s="153" t="n"/>
      <c r="V38" s="153" t="n"/>
      <c r="W38" s="153" t="n"/>
      <c r="X38" s="153" t="n"/>
      <c r="Y38" s="153" t="n"/>
      <c r="Z38" s="153" t="n"/>
    </row>
    <row r="39" ht="15.75" customHeight="1" s="154">
      <c r="L39" s="153" t="n"/>
      <c r="M39" s="153" t="n"/>
      <c r="N39" s="153" t="n"/>
      <c r="O39" s="153" t="n"/>
      <c r="P39" s="153" t="n"/>
      <c r="Q39" s="153" t="n"/>
      <c r="R39" s="153" t="n"/>
      <c r="S39" s="153" t="n"/>
      <c r="T39" s="153" t="n"/>
      <c r="U39" s="153" t="n"/>
      <c r="V39" s="153" t="n"/>
      <c r="W39" s="153" t="n"/>
      <c r="X39" s="153" t="n"/>
      <c r="Y39" s="153" t="n"/>
      <c r="Z39" s="153" t="n"/>
    </row>
    <row r="40" ht="15.75" customHeight="1" s="154">
      <c r="L40" s="153" t="n"/>
      <c r="M40" s="153" t="n"/>
      <c r="N40" s="153" t="n"/>
      <c r="O40" s="153" t="n"/>
      <c r="P40" s="153" t="n"/>
      <c r="Q40" s="153" t="n"/>
      <c r="R40" s="153" t="n"/>
      <c r="S40" s="153" t="n"/>
      <c r="T40" s="153" t="n"/>
      <c r="U40" s="153" t="n"/>
      <c r="V40" s="153" t="n"/>
      <c r="W40" s="153" t="n"/>
      <c r="X40" s="153" t="n"/>
      <c r="Y40" s="153" t="n"/>
      <c r="Z40" s="153" t="n"/>
    </row>
    <row r="41" ht="15.75" customHeight="1" s="154">
      <c r="L41" s="153" t="n"/>
      <c r="M41" s="153" t="n"/>
      <c r="N41" s="153" t="n"/>
      <c r="O41" s="153" t="n"/>
      <c r="P41" s="153" t="n"/>
      <c r="Q41" s="153" t="n"/>
      <c r="R41" s="153" t="n"/>
      <c r="S41" s="153" t="n"/>
      <c r="T41" s="153" t="n"/>
      <c r="U41" s="153" t="n"/>
      <c r="V41" s="153" t="n"/>
      <c r="W41" s="153" t="n"/>
      <c r="X41" s="153" t="n"/>
      <c r="Y41" s="153" t="n"/>
      <c r="Z41" s="153" t="n"/>
    </row>
    <row r="42" ht="15.75" customHeight="1" s="154">
      <c r="L42" s="153" t="n"/>
      <c r="M42" s="153" t="n"/>
      <c r="N42" s="153" t="n"/>
      <c r="O42" s="153" t="n"/>
      <c r="P42" s="153" t="n"/>
      <c r="Q42" s="153" t="n"/>
      <c r="R42" s="153" t="n"/>
      <c r="S42" s="153" t="n"/>
      <c r="T42" s="153" t="n"/>
      <c r="U42" s="153" t="n"/>
      <c r="V42" s="153" t="n"/>
      <c r="W42" s="153" t="n"/>
      <c r="X42" s="153" t="n"/>
      <c r="Y42" s="153" t="n"/>
      <c r="Z42" s="153" t="n"/>
    </row>
    <row r="43" ht="15.75" customHeight="1" s="154">
      <c r="L43" s="153" t="n"/>
      <c r="M43" s="153" t="n"/>
      <c r="N43" s="153" t="n"/>
      <c r="O43" s="153" t="n"/>
      <c r="P43" s="153" t="n"/>
      <c r="Q43" s="153" t="n"/>
      <c r="R43" s="153" t="n"/>
      <c r="S43" s="153" t="n"/>
      <c r="T43" s="153" t="n"/>
      <c r="U43" s="153" t="n"/>
      <c r="V43" s="153" t="n"/>
      <c r="W43" s="153" t="n"/>
      <c r="X43" s="153" t="n"/>
      <c r="Y43" s="153" t="n"/>
      <c r="Z43" s="153" t="n"/>
    </row>
    <row r="44" ht="15.75" customHeight="1" s="154">
      <c r="L44" s="153" t="n"/>
      <c r="M44" s="153" t="n"/>
      <c r="N44" s="153" t="n"/>
      <c r="O44" s="153" t="n"/>
      <c r="P44" s="153" t="n"/>
      <c r="Q44" s="153" t="n"/>
      <c r="R44" s="153" t="n"/>
      <c r="S44" s="153" t="n"/>
      <c r="T44" s="153" t="n"/>
      <c r="U44" s="153" t="n"/>
      <c r="V44" s="153" t="n"/>
      <c r="W44" s="153" t="n"/>
      <c r="X44" s="153" t="n"/>
      <c r="Y44" s="153" t="n"/>
      <c r="Z44" s="153" t="n"/>
    </row>
    <row r="45" ht="15.75" customHeight="1" s="154">
      <c r="L45" s="153" t="n"/>
      <c r="M45" s="153" t="n"/>
      <c r="N45" s="153" t="n"/>
      <c r="O45" s="153" t="n"/>
      <c r="P45" s="153" t="n"/>
      <c r="Q45" s="153" t="n"/>
      <c r="R45" s="153" t="n"/>
      <c r="S45" s="153" t="n"/>
      <c r="T45" s="153" t="n"/>
      <c r="U45" s="153" t="n"/>
      <c r="V45" s="153" t="n"/>
      <c r="W45" s="153" t="n"/>
      <c r="X45" s="153" t="n"/>
      <c r="Y45" s="153" t="n"/>
      <c r="Z45" s="153" t="n"/>
    </row>
    <row r="46" ht="15.75" customHeight="1" s="154">
      <c r="L46" s="153" t="n"/>
      <c r="M46" s="153" t="n"/>
      <c r="N46" s="153" t="n"/>
      <c r="O46" s="153" t="n"/>
      <c r="P46" s="153" t="n"/>
      <c r="Q46" s="153" t="n"/>
      <c r="R46" s="153" t="n"/>
      <c r="S46" s="153" t="n"/>
      <c r="T46" s="153" t="n"/>
      <c r="U46" s="153" t="n"/>
      <c r="V46" s="153" t="n"/>
      <c r="W46" s="153" t="n"/>
      <c r="X46" s="153" t="n"/>
      <c r="Y46" s="153" t="n"/>
      <c r="Z46" s="153" t="n"/>
    </row>
    <row r="47" ht="15.75" customHeight="1" s="154">
      <c r="L47" s="153" t="n"/>
      <c r="M47" s="153" t="n"/>
      <c r="N47" s="153" t="n"/>
      <c r="O47" s="153" t="n"/>
      <c r="P47" s="153" t="n"/>
      <c r="Q47" s="153" t="n"/>
      <c r="R47" s="153" t="n"/>
      <c r="S47" s="153" t="n"/>
      <c r="T47" s="153" t="n"/>
      <c r="U47" s="153" t="n"/>
      <c r="V47" s="153" t="n"/>
      <c r="W47" s="153" t="n"/>
      <c r="X47" s="153" t="n"/>
      <c r="Y47" s="153" t="n"/>
      <c r="Z47" s="153" t="n"/>
    </row>
    <row r="48" ht="15.75" customHeight="1" s="154">
      <c r="L48" s="153" t="n"/>
      <c r="M48" s="153" t="n"/>
      <c r="N48" s="153" t="n"/>
      <c r="O48" s="153" t="n"/>
      <c r="P48" s="153" t="n"/>
      <c r="Q48" s="153" t="n"/>
      <c r="R48" s="153" t="n"/>
      <c r="S48" s="153" t="n"/>
      <c r="T48" s="153" t="n"/>
      <c r="U48" s="153" t="n"/>
      <c r="V48" s="153" t="n"/>
      <c r="W48" s="153" t="n"/>
      <c r="X48" s="153" t="n"/>
      <c r="Y48" s="153" t="n"/>
      <c r="Z48" s="153" t="n"/>
    </row>
    <row r="49" ht="15.75" customHeight="1" s="154">
      <c r="L49" s="153" t="n"/>
      <c r="M49" s="153" t="n"/>
      <c r="N49" s="153" t="n"/>
      <c r="O49" s="153" t="n"/>
      <c r="P49" s="153" t="n"/>
      <c r="Q49" s="153" t="n"/>
      <c r="R49" s="153" t="n"/>
      <c r="S49" s="153" t="n"/>
      <c r="T49" s="153" t="n"/>
      <c r="U49" s="153" t="n"/>
      <c r="V49" s="153" t="n"/>
      <c r="W49" s="153" t="n"/>
      <c r="X49" s="153" t="n"/>
      <c r="Y49" s="153" t="n"/>
      <c r="Z49" s="153" t="n"/>
    </row>
    <row r="50" ht="15.75" customHeight="1" s="154">
      <c r="L50" s="153" t="n"/>
      <c r="M50" s="153" t="n"/>
      <c r="N50" s="153" t="n"/>
      <c r="O50" s="153" t="n"/>
      <c r="P50" s="153" t="n"/>
      <c r="Q50" s="153" t="n"/>
      <c r="R50" s="153" t="n"/>
      <c r="S50" s="153" t="n"/>
      <c r="T50" s="153" t="n"/>
      <c r="U50" s="153" t="n"/>
      <c r="V50" s="153" t="n"/>
      <c r="W50" s="153" t="n"/>
      <c r="X50" s="153" t="n"/>
      <c r="Y50" s="153" t="n"/>
      <c r="Z50" s="153" t="n"/>
    </row>
    <row r="51" ht="15.75" customHeight="1" s="154">
      <c r="L51" s="153" t="n"/>
      <c r="M51" s="153" t="n"/>
      <c r="N51" s="153" t="n"/>
      <c r="O51" s="153" t="n"/>
      <c r="P51" s="153" t="n"/>
      <c r="Q51" s="153" t="n"/>
      <c r="R51" s="153" t="n"/>
      <c r="S51" s="153" t="n"/>
      <c r="T51" s="153" t="n"/>
      <c r="U51" s="153" t="n"/>
      <c r="V51" s="153" t="n"/>
      <c r="W51" s="153" t="n"/>
      <c r="X51" s="153" t="n"/>
      <c r="Y51" s="153" t="n"/>
      <c r="Z51" s="153" t="n"/>
    </row>
    <row r="52" ht="15.75" customHeight="1" s="154">
      <c r="L52" s="153" t="n"/>
      <c r="M52" s="153" t="n"/>
      <c r="N52" s="153" t="n"/>
      <c r="O52" s="153" t="n"/>
      <c r="P52" s="153" t="n"/>
      <c r="Q52" s="153" t="n"/>
      <c r="R52" s="153" t="n"/>
      <c r="S52" s="153" t="n"/>
      <c r="T52" s="153" t="n"/>
      <c r="U52" s="153" t="n"/>
      <c r="V52" s="153" t="n"/>
      <c r="W52" s="153" t="n"/>
      <c r="X52" s="153" t="n"/>
      <c r="Y52" s="153" t="n"/>
      <c r="Z52" s="153" t="n"/>
    </row>
    <row r="53" ht="15.75" customHeight="1" s="154">
      <c r="L53" s="153" t="n"/>
      <c r="M53" s="153" t="n"/>
      <c r="N53" s="153" t="n"/>
      <c r="O53" s="153" t="n"/>
      <c r="P53" s="153" t="n"/>
      <c r="Q53" s="153" t="n"/>
      <c r="R53" s="153" t="n"/>
      <c r="S53" s="153" t="n"/>
      <c r="T53" s="153" t="n"/>
      <c r="U53" s="153" t="n"/>
      <c r="V53" s="153" t="n"/>
      <c r="W53" s="153" t="n"/>
      <c r="X53" s="153" t="n"/>
      <c r="Y53" s="153" t="n"/>
      <c r="Z53" s="153" t="n"/>
    </row>
    <row r="54" ht="15.75" customHeight="1" s="154">
      <c r="L54" s="153" t="n"/>
      <c r="M54" s="153" t="n"/>
      <c r="N54" s="153" t="n"/>
      <c r="O54" s="153" t="n"/>
      <c r="P54" s="153" t="n"/>
      <c r="Q54" s="153" t="n"/>
      <c r="R54" s="153" t="n"/>
      <c r="S54" s="153" t="n"/>
      <c r="T54" s="153" t="n"/>
      <c r="U54" s="153" t="n"/>
      <c r="V54" s="153" t="n"/>
      <c r="W54" s="153" t="n"/>
      <c r="X54" s="153" t="n"/>
      <c r="Y54" s="153" t="n"/>
      <c r="Z54" s="153" t="n"/>
    </row>
    <row r="55" ht="15.75" customHeight="1" s="154">
      <c r="L55" s="153" t="n"/>
      <c r="M55" s="153" t="n"/>
      <c r="N55" s="153" t="n"/>
      <c r="O55" s="153" t="n"/>
      <c r="P55" s="153" t="n"/>
      <c r="Q55" s="153" t="n"/>
      <c r="R55" s="153" t="n"/>
      <c r="S55" s="153" t="n"/>
      <c r="T55" s="153" t="n"/>
      <c r="U55" s="153" t="n"/>
      <c r="V55" s="153" t="n"/>
      <c r="W55" s="153" t="n"/>
      <c r="X55" s="153" t="n"/>
      <c r="Y55" s="153" t="n"/>
      <c r="Z55" s="153" t="n"/>
    </row>
    <row r="56" ht="15.75" customHeight="1" s="154">
      <c r="L56" s="153" t="n"/>
      <c r="M56" s="153" t="n"/>
      <c r="N56" s="153" t="n"/>
      <c r="O56" s="153" t="n"/>
      <c r="P56" s="153" t="n"/>
      <c r="Q56" s="153" t="n"/>
      <c r="R56" s="153" t="n"/>
      <c r="S56" s="153" t="n"/>
      <c r="T56" s="153" t="n"/>
      <c r="U56" s="153" t="n"/>
      <c r="V56" s="153" t="n"/>
      <c r="W56" s="153" t="n"/>
      <c r="X56" s="153" t="n"/>
      <c r="Y56" s="153" t="n"/>
      <c r="Z56" s="153" t="n"/>
    </row>
    <row r="57" ht="15.75" customHeight="1" s="154">
      <c r="L57" s="153" t="n"/>
      <c r="M57" s="153" t="n"/>
      <c r="N57" s="153" t="n"/>
      <c r="O57" s="153" t="n"/>
      <c r="P57" s="153" t="n"/>
      <c r="Q57" s="153" t="n"/>
      <c r="R57" s="153" t="n"/>
      <c r="S57" s="153" t="n"/>
      <c r="T57" s="153" t="n"/>
      <c r="U57" s="153" t="n"/>
      <c r="V57" s="153" t="n"/>
      <c r="W57" s="153" t="n"/>
      <c r="X57" s="153" t="n"/>
      <c r="Y57" s="153" t="n"/>
      <c r="Z57" s="153" t="n"/>
    </row>
    <row r="58" ht="15.75" customHeight="1" s="154">
      <c r="L58" s="153" t="n"/>
      <c r="M58" s="153" t="n"/>
      <c r="N58" s="153" t="n"/>
      <c r="O58" s="153" t="n"/>
      <c r="P58" s="153" t="n"/>
      <c r="Q58" s="153" t="n"/>
      <c r="R58" s="153" t="n"/>
      <c r="S58" s="153" t="n"/>
      <c r="T58" s="153" t="n"/>
      <c r="U58" s="153" t="n"/>
      <c r="V58" s="153" t="n"/>
      <c r="W58" s="153" t="n"/>
      <c r="X58" s="153" t="n"/>
      <c r="Y58" s="153" t="n"/>
      <c r="Z58" s="153" t="n"/>
    </row>
    <row r="59" ht="15.75" customHeight="1" s="154">
      <c r="L59" s="153" t="n"/>
      <c r="M59" s="153" t="n"/>
      <c r="N59" s="153" t="n"/>
      <c r="O59" s="153" t="n"/>
      <c r="P59" s="153" t="n"/>
      <c r="Q59" s="153" t="n"/>
      <c r="R59" s="153" t="n"/>
      <c r="S59" s="153" t="n"/>
      <c r="T59" s="153" t="n"/>
      <c r="U59" s="153" t="n"/>
      <c r="V59" s="153" t="n"/>
      <c r="W59" s="153" t="n"/>
      <c r="X59" s="153" t="n"/>
      <c r="Y59" s="153" t="n"/>
      <c r="Z59" s="153" t="n"/>
    </row>
    <row r="60" ht="15.75" customHeight="1" s="154">
      <c r="L60" s="153" t="n"/>
      <c r="M60" s="153" t="n"/>
      <c r="N60" s="153" t="n"/>
      <c r="O60" s="153" t="n"/>
      <c r="P60" s="153" t="n"/>
      <c r="Q60" s="153" t="n"/>
      <c r="R60" s="153" t="n"/>
      <c r="S60" s="153" t="n"/>
      <c r="T60" s="153" t="n"/>
      <c r="U60" s="153" t="n"/>
      <c r="V60" s="153" t="n"/>
      <c r="W60" s="153" t="n"/>
      <c r="X60" s="153" t="n"/>
      <c r="Y60" s="153" t="n"/>
      <c r="Z60" s="153" t="n"/>
    </row>
    <row r="61" ht="15.75" customHeight="1" s="154">
      <c r="L61" s="153" t="n"/>
      <c r="M61" s="153" t="n"/>
      <c r="N61" s="153" t="n"/>
      <c r="O61" s="153" t="n"/>
      <c r="P61" s="153" t="n"/>
      <c r="Q61" s="153" t="n"/>
      <c r="R61" s="153" t="n"/>
      <c r="S61" s="153" t="n"/>
      <c r="T61" s="153" t="n"/>
      <c r="U61" s="153" t="n"/>
      <c r="V61" s="153" t="n"/>
      <c r="W61" s="153" t="n"/>
      <c r="X61" s="153" t="n"/>
      <c r="Y61" s="153" t="n"/>
      <c r="Z61" s="153" t="n"/>
    </row>
    <row r="62" ht="15.75" customHeight="1" s="154">
      <c r="L62" s="153" t="n"/>
      <c r="M62" s="153" t="n"/>
      <c r="N62" s="153" t="n"/>
      <c r="O62" s="153" t="n"/>
      <c r="P62" s="153" t="n"/>
      <c r="Q62" s="153" t="n"/>
      <c r="R62" s="153" t="n"/>
      <c r="S62" s="153" t="n"/>
      <c r="T62" s="153" t="n"/>
      <c r="U62" s="153" t="n"/>
      <c r="V62" s="153" t="n"/>
      <c r="W62" s="153" t="n"/>
      <c r="X62" s="153" t="n"/>
      <c r="Y62" s="153" t="n"/>
      <c r="Z62" s="153" t="n"/>
    </row>
    <row r="63" ht="15.75" customHeight="1" s="154">
      <c r="L63" s="153" t="n"/>
      <c r="M63" s="153" t="n"/>
      <c r="N63" s="153" t="n"/>
      <c r="O63" s="153" t="n"/>
      <c r="P63" s="153" t="n"/>
      <c r="Q63" s="153" t="n"/>
      <c r="R63" s="153" t="n"/>
      <c r="S63" s="153" t="n"/>
      <c r="T63" s="153" t="n"/>
      <c r="U63" s="153" t="n"/>
      <c r="V63" s="153" t="n"/>
      <c r="W63" s="153" t="n"/>
      <c r="X63" s="153" t="n"/>
      <c r="Y63" s="153" t="n"/>
      <c r="Z63" s="153" t="n"/>
    </row>
    <row r="64" ht="15.75" customHeight="1" s="154">
      <c r="L64" s="153" t="n"/>
      <c r="M64" s="153" t="n"/>
      <c r="N64" s="153" t="n"/>
      <c r="O64" s="153" t="n"/>
      <c r="P64" s="153" t="n"/>
      <c r="Q64" s="153" t="n"/>
      <c r="R64" s="153" t="n"/>
      <c r="S64" s="153" t="n"/>
      <c r="T64" s="153" t="n"/>
      <c r="U64" s="153" t="n"/>
      <c r="V64" s="153" t="n"/>
      <c r="W64" s="153" t="n"/>
      <c r="X64" s="153" t="n"/>
      <c r="Y64" s="153" t="n"/>
      <c r="Z64" s="153" t="n"/>
    </row>
    <row r="65" ht="15.75" customHeight="1" s="154">
      <c r="L65" s="153" t="n"/>
      <c r="M65" s="153" t="n"/>
      <c r="N65" s="153" t="n"/>
      <c r="O65" s="153" t="n"/>
      <c r="P65" s="153" t="n"/>
      <c r="Q65" s="153" t="n"/>
      <c r="R65" s="153" t="n"/>
      <c r="S65" s="153" t="n"/>
      <c r="T65" s="153" t="n"/>
      <c r="U65" s="153" t="n"/>
      <c r="V65" s="153" t="n"/>
      <c r="W65" s="153" t="n"/>
      <c r="X65" s="153" t="n"/>
      <c r="Y65" s="153" t="n"/>
      <c r="Z65" s="153" t="n"/>
    </row>
    <row r="66" ht="15.75" customHeight="1" s="154">
      <c r="L66" s="153" t="n"/>
      <c r="M66" s="153" t="n"/>
      <c r="N66" s="153" t="n"/>
      <c r="O66" s="153" t="n"/>
      <c r="P66" s="153" t="n"/>
      <c r="Q66" s="153" t="n"/>
      <c r="R66" s="153" t="n"/>
      <c r="S66" s="153" t="n"/>
      <c r="T66" s="153" t="n"/>
      <c r="U66" s="153" t="n"/>
      <c r="V66" s="153" t="n"/>
      <c r="W66" s="153" t="n"/>
      <c r="X66" s="153" t="n"/>
      <c r="Y66" s="153" t="n"/>
      <c r="Z66" s="153" t="n"/>
    </row>
    <row r="67" ht="15.75" customHeight="1" s="154">
      <c r="L67" s="153" t="n"/>
      <c r="M67" s="153" t="n"/>
      <c r="N67" s="153" t="n"/>
      <c r="O67" s="153" t="n"/>
      <c r="P67" s="153" t="n"/>
      <c r="Q67" s="153" t="n"/>
      <c r="R67" s="153" t="n"/>
      <c r="S67" s="153" t="n"/>
      <c r="T67" s="153" t="n"/>
      <c r="U67" s="153" t="n"/>
      <c r="V67" s="153" t="n"/>
      <c r="W67" s="153" t="n"/>
      <c r="X67" s="153" t="n"/>
      <c r="Y67" s="153" t="n"/>
      <c r="Z67" s="153" t="n"/>
    </row>
    <row r="68" ht="15.75" customHeight="1" s="154">
      <c r="L68" s="153" t="n"/>
      <c r="M68" s="153" t="n"/>
      <c r="N68" s="153" t="n"/>
      <c r="O68" s="153" t="n"/>
      <c r="P68" s="153" t="n"/>
      <c r="Q68" s="153" t="n"/>
      <c r="R68" s="153" t="n"/>
      <c r="S68" s="153" t="n"/>
      <c r="T68" s="153" t="n"/>
      <c r="U68" s="153" t="n"/>
      <c r="V68" s="153" t="n"/>
      <c r="W68" s="153" t="n"/>
      <c r="X68" s="153" t="n"/>
      <c r="Y68" s="153" t="n"/>
      <c r="Z68" s="153" t="n"/>
    </row>
    <row r="69" ht="15.75" customHeight="1" s="154">
      <c r="L69" s="153" t="n"/>
      <c r="M69" s="153" t="n"/>
      <c r="N69" s="153" t="n"/>
      <c r="O69" s="153" t="n"/>
      <c r="P69" s="153" t="n"/>
      <c r="Q69" s="153" t="n"/>
      <c r="R69" s="153" t="n"/>
      <c r="S69" s="153" t="n"/>
      <c r="T69" s="153" t="n"/>
      <c r="U69" s="153" t="n"/>
      <c r="V69" s="153" t="n"/>
      <c r="W69" s="153" t="n"/>
      <c r="X69" s="153" t="n"/>
      <c r="Y69" s="153" t="n"/>
      <c r="Z69" s="153" t="n"/>
    </row>
    <row r="70" ht="15.75" customHeight="1" s="154">
      <c r="L70" s="153" t="n"/>
      <c r="M70" s="153" t="n"/>
      <c r="N70" s="153" t="n"/>
      <c r="O70" s="153" t="n"/>
      <c r="P70" s="153" t="n"/>
      <c r="Q70" s="153" t="n"/>
      <c r="R70" s="153" t="n"/>
      <c r="S70" s="153" t="n"/>
      <c r="T70" s="153" t="n"/>
      <c r="U70" s="153" t="n"/>
      <c r="V70" s="153" t="n"/>
      <c r="W70" s="153" t="n"/>
      <c r="X70" s="153" t="n"/>
      <c r="Y70" s="153" t="n"/>
      <c r="Z70" s="153" t="n"/>
    </row>
    <row r="71" ht="15.75" customHeight="1" s="154">
      <c r="L71" s="153" t="n"/>
      <c r="M71" s="153" t="n"/>
      <c r="N71" s="153" t="n"/>
      <c r="O71" s="153" t="n"/>
      <c r="P71" s="153" t="n"/>
      <c r="Q71" s="153" t="n"/>
      <c r="R71" s="153" t="n"/>
      <c r="S71" s="153" t="n"/>
      <c r="T71" s="153" t="n"/>
      <c r="U71" s="153" t="n"/>
      <c r="V71" s="153" t="n"/>
      <c r="W71" s="153" t="n"/>
      <c r="X71" s="153" t="n"/>
      <c r="Y71" s="153" t="n"/>
      <c r="Z71" s="153" t="n"/>
    </row>
    <row r="72" ht="15.75" customHeight="1" s="154">
      <c r="L72" s="153" t="n"/>
      <c r="M72" s="153" t="n"/>
      <c r="N72" s="153" t="n"/>
      <c r="O72" s="153" t="n"/>
      <c r="P72" s="153" t="n"/>
      <c r="Q72" s="153" t="n"/>
      <c r="R72" s="153" t="n"/>
      <c r="S72" s="153" t="n"/>
      <c r="T72" s="153" t="n"/>
      <c r="U72" s="153" t="n"/>
      <c r="V72" s="153" t="n"/>
      <c r="W72" s="153" t="n"/>
      <c r="X72" s="153" t="n"/>
      <c r="Y72" s="153" t="n"/>
      <c r="Z72" s="153" t="n"/>
    </row>
    <row r="73" ht="15.75" customHeight="1" s="154">
      <c r="L73" s="153" t="n"/>
      <c r="M73" s="153" t="n"/>
      <c r="N73" s="153" t="n"/>
      <c r="O73" s="153" t="n"/>
      <c r="P73" s="153" t="n"/>
      <c r="Q73" s="153" t="n"/>
      <c r="R73" s="153" t="n"/>
      <c r="S73" s="153" t="n"/>
      <c r="T73" s="153" t="n"/>
      <c r="U73" s="153" t="n"/>
      <c r="V73" s="153" t="n"/>
      <c r="W73" s="153" t="n"/>
      <c r="X73" s="153" t="n"/>
      <c r="Y73" s="153" t="n"/>
      <c r="Z73" s="153" t="n"/>
    </row>
    <row r="74" ht="15.75" customHeight="1" s="154">
      <c r="L74" s="153" t="n"/>
      <c r="M74" s="153" t="n"/>
      <c r="N74" s="153" t="n"/>
      <c r="O74" s="153" t="n"/>
      <c r="P74" s="153" t="n"/>
      <c r="Q74" s="153" t="n"/>
      <c r="R74" s="153" t="n"/>
      <c r="S74" s="153" t="n"/>
      <c r="T74" s="153" t="n"/>
      <c r="U74" s="153" t="n"/>
      <c r="V74" s="153" t="n"/>
      <c r="W74" s="153" t="n"/>
      <c r="X74" s="153" t="n"/>
      <c r="Y74" s="153" t="n"/>
      <c r="Z74" s="153" t="n"/>
    </row>
    <row r="75" ht="15.75" customHeight="1" s="154">
      <c r="L75" s="153" t="n"/>
      <c r="M75" s="153" t="n"/>
      <c r="N75" s="153" t="n"/>
      <c r="O75" s="153" t="n"/>
      <c r="P75" s="153" t="n"/>
      <c r="Q75" s="153" t="n"/>
      <c r="R75" s="153" t="n"/>
      <c r="S75" s="153" t="n"/>
      <c r="T75" s="153" t="n"/>
      <c r="U75" s="153" t="n"/>
      <c r="V75" s="153" t="n"/>
      <c r="W75" s="153" t="n"/>
      <c r="X75" s="153" t="n"/>
      <c r="Y75" s="153" t="n"/>
      <c r="Z75" s="153" t="n"/>
    </row>
    <row r="76" ht="15.75" customHeight="1" s="154">
      <c r="L76" s="153" t="n"/>
      <c r="M76" s="153" t="n"/>
      <c r="N76" s="153" t="n"/>
      <c r="O76" s="153" t="n"/>
      <c r="P76" s="153" t="n"/>
      <c r="Q76" s="153" t="n"/>
      <c r="R76" s="153" t="n"/>
      <c r="S76" s="153" t="n"/>
      <c r="T76" s="153" t="n"/>
      <c r="U76" s="153" t="n"/>
      <c r="V76" s="153" t="n"/>
      <c r="W76" s="153" t="n"/>
      <c r="X76" s="153" t="n"/>
      <c r="Y76" s="153" t="n"/>
      <c r="Z76" s="153" t="n"/>
    </row>
    <row r="77" ht="15.75" customHeight="1" s="154">
      <c r="L77" s="153" t="n"/>
      <c r="M77" s="153" t="n"/>
      <c r="N77" s="153" t="n"/>
      <c r="O77" s="153" t="n"/>
      <c r="P77" s="153" t="n"/>
      <c r="Q77" s="153" t="n"/>
      <c r="R77" s="153" t="n"/>
      <c r="S77" s="153" t="n"/>
      <c r="T77" s="153" t="n"/>
      <c r="U77" s="153" t="n"/>
      <c r="V77" s="153" t="n"/>
      <c r="W77" s="153" t="n"/>
      <c r="X77" s="153" t="n"/>
      <c r="Y77" s="153" t="n"/>
      <c r="Z77" s="153" t="n"/>
    </row>
    <row r="78" ht="15.75" customHeight="1" s="154">
      <c r="L78" s="153" t="n"/>
      <c r="M78" s="153" t="n"/>
      <c r="N78" s="153" t="n"/>
      <c r="O78" s="153" t="n"/>
      <c r="P78" s="153" t="n"/>
      <c r="Q78" s="153" t="n"/>
      <c r="R78" s="153" t="n"/>
      <c r="S78" s="153" t="n"/>
      <c r="T78" s="153" t="n"/>
      <c r="U78" s="153" t="n"/>
      <c r="V78" s="153" t="n"/>
      <c r="W78" s="153" t="n"/>
      <c r="X78" s="153" t="n"/>
      <c r="Y78" s="153" t="n"/>
      <c r="Z78" s="153" t="n"/>
    </row>
    <row r="79" ht="15.75" customHeight="1" s="154">
      <c r="L79" s="153" t="n"/>
      <c r="M79" s="153" t="n"/>
      <c r="N79" s="153" t="n"/>
      <c r="O79" s="153" t="n"/>
      <c r="P79" s="153" t="n"/>
      <c r="Q79" s="153" t="n"/>
      <c r="R79" s="153" t="n"/>
      <c r="S79" s="153" t="n"/>
      <c r="T79" s="153" t="n"/>
      <c r="U79" s="153" t="n"/>
      <c r="V79" s="153" t="n"/>
      <c r="W79" s="153" t="n"/>
      <c r="X79" s="153" t="n"/>
      <c r="Y79" s="153" t="n"/>
      <c r="Z79" s="153" t="n"/>
    </row>
    <row r="80" ht="15.75" customHeight="1" s="154">
      <c r="L80" s="153" t="n"/>
      <c r="M80" s="153" t="n"/>
      <c r="N80" s="153" t="n"/>
      <c r="O80" s="153" t="n"/>
      <c r="P80" s="153" t="n"/>
      <c r="Q80" s="153" t="n"/>
      <c r="R80" s="153" t="n"/>
      <c r="S80" s="153" t="n"/>
      <c r="T80" s="153" t="n"/>
      <c r="U80" s="153" t="n"/>
      <c r="V80" s="153" t="n"/>
      <c r="W80" s="153" t="n"/>
      <c r="X80" s="153" t="n"/>
      <c r="Y80" s="153" t="n"/>
      <c r="Z80" s="153" t="n"/>
    </row>
    <row r="81" ht="15.75" customHeight="1" s="154">
      <c r="L81" s="153" t="n"/>
      <c r="M81" s="153" t="n"/>
      <c r="N81" s="153" t="n"/>
      <c r="O81" s="153" t="n"/>
      <c r="P81" s="153" t="n"/>
      <c r="Q81" s="153" t="n"/>
      <c r="R81" s="153" t="n"/>
      <c r="S81" s="153" t="n"/>
      <c r="T81" s="153" t="n"/>
      <c r="U81" s="153" t="n"/>
      <c r="V81" s="153" t="n"/>
      <c r="W81" s="153" t="n"/>
      <c r="X81" s="153" t="n"/>
      <c r="Y81" s="153" t="n"/>
      <c r="Z81" s="153" t="n"/>
    </row>
    <row r="82" ht="15.75" customHeight="1" s="154">
      <c r="L82" s="153" t="n"/>
      <c r="M82" s="153" t="n"/>
      <c r="N82" s="153" t="n"/>
      <c r="O82" s="153" t="n"/>
      <c r="P82" s="153" t="n"/>
      <c r="Q82" s="153" t="n"/>
      <c r="R82" s="153" t="n"/>
      <c r="S82" s="153" t="n"/>
      <c r="T82" s="153" t="n"/>
      <c r="U82" s="153" t="n"/>
      <c r="V82" s="153" t="n"/>
      <c r="W82" s="153" t="n"/>
      <c r="X82" s="153" t="n"/>
      <c r="Y82" s="153" t="n"/>
      <c r="Z82" s="153" t="n"/>
    </row>
    <row r="83" ht="15.75" customHeight="1" s="154">
      <c r="L83" s="153" t="n"/>
      <c r="M83" s="153" t="n"/>
      <c r="N83" s="153" t="n"/>
      <c r="O83" s="153" t="n"/>
      <c r="P83" s="153" t="n"/>
      <c r="Q83" s="153" t="n"/>
      <c r="R83" s="153" t="n"/>
      <c r="S83" s="153" t="n"/>
      <c r="T83" s="153" t="n"/>
      <c r="U83" s="153" t="n"/>
      <c r="V83" s="153" t="n"/>
      <c r="W83" s="153" t="n"/>
      <c r="X83" s="153" t="n"/>
      <c r="Y83" s="153" t="n"/>
      <c r="Z83" s="153" t="n"/>
    </row>
    <row r="84" ht="15.75" customHeight="1" s="154">
      <c r="L84" s="153" t="n"/>
      <c r="M84" s="153" t="n"/>
      <c r="N84" s="153" t="n"/>
      <c r="O84" s="153" t="n"/>
      <c r="P84" s="153" t="n"/>
      <c r="Q84" s="153" t="n"/>
      <c r="R84" s="153" t="n"/>
      <c r="S84" s="153" t="n"/>
      <c r="T84" s="153" t="n"/>
      <c r="U84" s="153" t="n"/>
      <c r="V84" s="153" t="n"/>
      <c r="W84" s="153" t="n"/>
      <c r="X84" s="153" t="n"/>
      <c r="Y84" s="153" t="n"/>
      <c r="Z84" s="153" t="n"/>
    </row>
    <row r="85" ht="15.75" customHeight="1" s="154">
      <c r="L85" s="153" t="n"/>
      <c r="M85" s="153" t="n"/>
      <c r="N85" s="153" t="n"/>
      <c r="O85" s="153" t="n"/>
      <c r="P85" s="153" t="n"/>
      <c r="Q85" s="153" t="n"/>
      <c r="R85" s="153" t="n"/>
      <c r="S85" s="153" t="n"/>
      <c r="T85" s="153" t="n"/>
      <c r="U85" s="153" t="n"/>
      <c r="V85" s="153" t="n"/>
      <c r="W85" s="153" t="n"/>
      <c r="X85" s="153" t="n"/>
      <c r="Y85" s="153" t="n"/>
      <c r="Z85" s="153" t="n"/>
    </row>
    <row r="86" ht="15.75" customHeight="1" s="154">
      <c r="L86" s="153" t="n"/>
      <c r="M86" s="153" t="n"/>
      <c r="N86" s="153" t="n"/>
      <c r="O86" s="153" t="n"/>
      <c r="P86" s="153" t="n"/>
      <c r="Q86" s="153" t="n"/>
      <c r="R86" s="153" t="n"/>
      <c r="S86" s="153" t="n"/>
      <c r="T86" s="153" t="n"/>
      <c r="U86" s="153" t="n"/>
      <c r="V86" s="153" t="n"/>
      <c r="W86" s="153" t="n"/>
      <c r="X86" s="153" t="n"/>
      <c r="Y86" s="153" t="n"/>
      <c r="Z86" s="153" t="n"/>
    </row>
    <row r="87" ht="15.75" customHeight="1" s="154">
      <c r="L87" s="153" t="n"/>
      <c r="M87" s="153" t="n"/>
      <c r="N87" s="153" t="n"/>
      <c r="O87" s="153" t="n"/>
      <c r="P87" s="153" t="n"/>
      <c r="Q87" s="153" t="n"/>
      <c r="R87" s="153" t="n"/>
      <c r="S87" s="153" t="n"/>
      <c r="T87" s="153" t="n"/>
      <c r="U87" s="153" t="n"/>
      <c r="V87" s="153" t="n"/>
      <c r="W87" s="153" t="n"/>
      <c r="X87" s="153" t="n"/>
      <c r="Y87" s="153" t="n"/>
      <c r="Z87" s="153" t="n"/>
    </row>
    <row r="88" ht="15.75" customHeight="1" s="154">
      <c r="L88" s="153" t="n"/>
      <c r="M88" s="153" t="n"/>
      <c r="N88" s="153" t="n"/>
      <c r="O88" s="153" t="n"/>
      <c r="P88" s="153" t="n"/>
      <c r="Q88" s="153" t="n"/>
      <c r="R88" s="153" t="n"/>
      <c r="S88" s="153" t="n"/>
      <c r="T88" s="153" t="n"/>
      <c r="U88" s="153" t="n"/>
      <c r="V88" s="153" t="n"/>
      <c r="W88" s="153" t="n"/>
      <c r="X88" s="153" t="n"/>
      <c r="Y88" s="153" t="n"/>
      <c r="Z88" s="153" t="n"/>
    </row>
    <row r="89" ht="15.75" customHeight="1" s="154">
      <c r="L89" s="153" t="n"/>
      <c r="M89" s="153" t="n"/>
      <c r="N89" s="153" t="n"/>
      <c r="O89" s="153" t="n"/>
      <c r="P89" s="153" t="n"/>
      <c r="Q89" s="153" t="n"/>
      <c r="R89" s="153" t="n"/>
      <c r="S89" s="153" t="n"/>
      <c r="T89" s="153" t="n"/>
      <c r="U89" s="153" t="n"/>
      <c r="V89" s="153" t="n"/>
      <c r="W89" s="153" t="n"/>
      <c r="X89" s="153" t="n"/>
      <c r="Y89" s="153" t="n"/>
      <c r="Z89" s="153" t="n"/>
    </row>
    <row r="90" ht="15.75" customHeight="1" s="154">
      <c r="L90" s="153" t="n"/>
      <c r="M90" s="153" t="n"/>
      <c r="N90" s="153" t="n"/>
      <c r="O90" s="153" t="n"/>
      <c r="P90" s="153" t="n"/>
      <c r="Q90" s="153" t="n"/>
      <c r="R90" s="153" t="n"/>
      <c r="S90" s="153" t="n"/>
      <c r="T90" s="153" t="n"/>
      <c r="U90" s="153" t="n"/>
      <c r="V90" s="153" t="n"/>
      <c r="W90" s="153" t="n"/>
      <c r="X90" s="153" t="n"/>
      <c r="Y90" s="153" t="n"/>
      <c r="Z90" s="153" t="n"/>
    </row>
    <row r="91" ht="15.75" customHeight="1" s="154">
      <c r="L91" s="153" t="n"/>
      <c r="M91" s="153" t="n"/>
      <c r="N91" s="153" t="n"/>
      <c r="O91" s="153" t="n"/>
      <c r="P91" s="153" t="n"/>
      <c r="Q91" s="153" t="n"/>
      <c r="R91" s="153" t="n"/>
      <c r="S91" s="153" t="n"/>
      <c r="T91" s="153" t="n"/>
      <c r="U91" s="153" t="n"/>
      <c r="V91" s="153" t="n"/>
      <c r="W91" s="153" t="n"/>
      <c r="X91" s="153" t="n"/>
      <c r="Y91" s="153" t="n"/>
      <c r="Z91" s="153" t="n"/>
    </row>
    <row r="92" ht="15.75" customHeight="1" s="154">
      <c r="L92" s="153" t="n"/>
      <c r="M92" s="153" t="n"/>
      <c r="N92" s="153" t="n"/>
      <c r="O92" s="153" t="n"/>
      <c r="P92" s="153" t="n"/>
      <c r="Q92" s="153" t="n"/>
      <c r="R92" s="153" t="n"/>
      <c r="S92" s="153" t="n"/>
      <c r="T92" s="153" t="n"/>
      <c r="U92" s="153" t="n"/>
      <c r="V92" s="153" t="n"/>
      <c r="W92" s="153" t="n"/>
      <c r="X92" s="153" t="n"/>
      <c r="Y92" s="153" t="n"/>
      <c r="Z92" s="153" t="n"/>
    </row>
    <row r="93" ht="15.75" customHeight="1" s="154">
      <c r="L93" s="153" t="n"/>
      <c r="M93" s="153" t="n"/>
      <c r="N93" s="153" t="n"/>
      <c r="O93" s="153" t="n"/>
      <c r="P93" s="153" t="n"/>
      <c r="Q93" s="153" t="n"/>
      <c r="R93" s="153" t="n"/>
      <c r="S93" s="153" t="n"/>
      <c r="T93" s="153" t="n"/>
      <c r="U93" s="153" t="n"/>
      <c r="V93" s="153" t="n"/>
      <c r="W93" s="153" t="n"/>
      <c r="X93" s="153" t="n"/>
      <c r="Y93" s="153" t="n"/>
      <c r="Z93" s="153" t="n"/>
    </row>
    <row r="94" ht="15.75" customHeight="1" s="154">
      <c r="L94" s="153" t="n"/>
      <c r="M94" s="153" t="n"/>
      <c r="N94" s="153" t="n"/>
      <c r="O94" s="153" t="n"/>
      <c r="P94" s="153" t="n"/>
      <c r="Q94" s="153" t="n"/>
      <c r="R94" s="153" t="n"/>
      <c r="S94" s="153" t="n"/>
      <c r="T94" s="153" t="n"/>
      <c r="U94" s="153" t="n"/>
      <c r="V94" s="153" t="n"/>
      <c r="W94" s="153" t="n"/>
      <c r="X94" s="153" t="n"/>
      <c r="Y94" s="153" t="n"/>
      <c r="Z94" s="153" t="n"/>
    </row>
    <row r="95" ht="15.75" customHeight="1" s="154">
      <c r="L95" s="153" t="n"/>
      <c r="M95" s="153" t="n"/>
      <c r="N95" s="153" t="n"/>
      <c r="O95" s="153" t="n"/>
      <c r="P95" s="153" t="n"/>
      <c r="Q95" s="153" t="n"/>
      <c r="R95" s="153" t="n"/>
      <c r="S95" s="153" t="n"/>
      <c r="T95" s="153" t="n"/>
      <c r="U95" s="153" t="n"/>
      <c r="V95" s="153" t="n"/>
      <c r="W95" s="153" t="n"/>
      <c r="X95" s="153" t="n"/>
      <c r="Y95" s="153" t="n"/>
      <c r="Z95" s="153" t="n"/>
    </row>
    <row r="96" ht="15.75" customHeight="1" s="154">
      <c r="L96" s="153" t="n"/>
      <c r="M96" s="153" t="n"/>
      <c r="N96" s="153" t="n"/>
      <c r="O96" s="153" t="n"/>
      <c r="P96" s="153" t="n"/>
      <c r="Q96" s="153" t="n"/>
      <c r="R96" s="153" t="n"/>
      <c r="S96" s="153" t="n"/>
      <c r="T96" s="153" t="n"/>
      <c r="U96" s="153" t="n"/>
      <c r="V96" s="153" t="n"/>
      <c r="W96" s="153" t="n"/>
      <c r="X96" s="153" t="n"/>
      <c r="Y96" s="153" t="n"/>
      <c r="Z96" s="153" t="n"/>
    </row>
    <row r="97" ht="15.75" customHeight="1" s="154">
      <c r="L97" s="153" t="n"/>
      <c r="M97" s="153" t="n"/>
      <c r="N97" s="153" t="n"/>
      <c r="O97" s="153" t="n"/>
      <c r="P97" s="153" t="n"/>
      <c r="Q97" s="153" t="n"/>
      <c r="R97" s="153" t="n"/>
      <c r="S97" s="153" t="n"/>
      <c r="T97" s="153" t="n"/>
      <c r="U97" s="153" t="n"/>
      <c r="V97" s="153" t="n"/>
      <c r="W97" s="153" t="n"/>
      <c r="X97" s="153" t="n"/>
      <c r="Y97" s="153" t="n"/>
      <c r="Z97" s="153" t="n"/>
    </row>
    <row r="98" ht="15.75" customHeight="1" s="154">
      <c r="L98" s="153" t="n"/>
      <c r="M98" s="153" t="n"/>
      <c r="N98" s="153" t="n"/>
      <c r="O98" s="153" t="n"/>
      <c r="P98" s="153" t="n"/>
      <c r="Q98" s="153" t="n"/>
      <c r="R98" s="153" t="n"/>
      <c r="S98" s="153" t="n"/>
      <c r="T98" s="153" t="n"/>
      <c r="U98" s="153" t="n"/>
      <c r="V98" s="153" t="n"/>
      <c r="W98" s="153" t="n"/>
      <c r="X98" s="153" t="n"/>
      <c r="Y98" s="153" t="n"/>
      <c r="Z98" s="153" t="n"/>
    </row>
    <row r="99" ht="15.75" customHeight="1" s="154">
      <c r="L99" s="153" t="n"/>
      <c r="M99" s="153" t="n"/>
      <c r="N99" s="153" t="n"/>
      <c r="O99" s="153" t="n"/>
      <c r="P99" s="153" t="n"/>
      <c r="Q99" s="153" t="n"/>
      <c r="R99" s="153" t="n"/>
      <c r="S99" s="153" t="n"/>
      <c r="T99" s="153" t="n"/>
      <c r="U99" s="153" t="n"/>
      <c r="V99" s="153" t="n"/>
      <c r="W99" s="153" t="n"/>
      <c r="X99" s="153" t="n"/>
      <c r="Y99" s="153" t="n"/>
      <c r="Z99" s="153" t="n"/>
    </row>
    <row r="100" ht="15.75" customHeight="1" s="154">
      <c r="L100" s="153" t="n"/>
      <c r="M100" s="153" t="n"/>
      <c r="N100" s="153" t="n"/>
      <c r="O100" s="153" t="n"/>
      <c r="P100" s="153" t="n"/>
      <c r="Q100" s="153" t="n"/>
      <c r="R100" s="153" t="n"/>
      <c r="S100" s="153" t="n"/>
      <c r="T100" s="153" t="n"/>
      <c r="U100" s="153" t="n"/>
      <c r="V100" s="153" t="n"/>
      <c r="W100" s="153" t="n"/>
      <c r="X100" s="153" t="n"/>
      <c r="Y100" s="153" t="n"/>
      <c r="Z100" s="153" t="n"/>
    </row>
    <row r="101" ht="15.75" customHeight="1" s="154">
      <c r="L101" s="153" t="n"/>
      <c r="M101" s="153" t="n"/>
      <c r="N101" s="153" t="n"/>
      <c r="O101" s="153" t="n"/>
      <c r="P101" s="153" t="n"/>
      <c r="Q101" s="153" t="n"/>
      <c r="R101" s="153" t="n"/>
      <c r="S101" s="153" t="n"/>
      <c r="T101" s="153" t="n"/>
      <c r="U101" s="153" t="n"/>
      <c r="V101" s="153" t="n"/>
      <c r="W101" s="153" t="n"/>
      <c r="X101" s="153" t="n"/>
      <c r="Y101" s="153" t="n"/>
      <c r="Z101" s="153" t="n"/>
    </row>
    <row r="102" ht="15.75" customHeight="1" s="154">
      <c r="L102" s="153" t="n"/>
      <c r="M102" s="153" t="n"/>
      <c r="N102" s="153" t="n"/>
      <c r="O102" s="153" t="n"/>
      <c r="P102" s="153" t="n"/>
      <c r="Q102" s="153" t="n"/>
      <c r="R102" s="153" t="n"/>
      <c r="S102" s="153" t="n"/>
      <c r="T102" s="153" t="n"/>
      <c r="U102" s="153" t="n"/>
      <c r="V102" s="153" t="n"/>
      <c r="W102" s="153" t="n"/>
      <c r="X102" s="153" t="n"/>
      <c r="Y102" s="153" t="n"/>
      <c r="Z102" s="153" t="n"/>
    </row>
    <row r="103" ht="15.75" customHeight="1" s="154">
      <c r="L103" s="153" t="n"/>
      <c r="M103" s="153" t="n"/>
      <c r="N103" s="153" t="n"/>
      <c r="O103" s="153" t="n"/>
      <c r="P103" s="153" t="n"/>
      <c r="Q103" s="153" t="n"/>
      <c r="R103" s="153" t="n"/>
      <c r="S103" s="153" t="n"/>
      <c r="T103" s="153" t="n"/>
      <c r="U103" s="153" t="n"/>
      <c r="V103" s="153" t="n"/>
      <c r="W103" s="153" t="n"/>
      <c r="X103" s="153" t="n"/>
      <c r="Y103" s="153" t="n"/>
      <c r="Z103" s="153" t="n"/>
    </row>
    <row r="104" ht="15.75" customHeight="1" s="154">
      <c r="L104" s="153" t="n"/>
      <c r="M104" s="153" t="n"/>
      <c r="N104" s="153" t="n"/>
      <c r="O104" s="153" t="n"/>
      <c r="P104" s="153" t="n"/>
      <c r="Q104" s="153" t="n"/>
      <c r="R104" s="153" t="n"/>
      <c r="S104" s="153" t="n"/>
      <c r="T104" s="153" t="n"/>
      <c r="U104" s="153" t="n"/>
      <c r="V104" s="153" t="n"/>
      <c r="W104" s="153" t="n"/>
      <c r="X104" s="153" t="n"/>
      <c r="Y104" s="153" t="n"/>
      <c r="Z104" s="153" t="n"/>
    </row>
    <row r="105" ht="15.75" customHeight="1" s="154">
      <c r="L105" s="153" t="n"/>
      <c r="M105" s="153" t="n"/>
      <c r="N105" s="153" t="n"/>
      <c r="O105" s="153" t="n"/>
      <c r="P105" s="153" t="n"/>
      <c r="Q105" s="153" t="n"/>
      <c r="R105" s="153" t="n"/>
      <c r="S105" s="153" t="n"/>
      <c r="T105" s="153" t="n"/>
      <c r="U105" s="153" t="n"/>
      <c r="V105" s="153" t="n"/>
      <c r="W105" s="153" t="n"/>
      <c r="X105" s="153" t="n"/>
      <c r="Y105" s="153" t="n"/>
      <c r="Z105" s="153" t="n"/>
    </row>
    <row r="106" ht="15.75" customHeight="1" s="154">
      <c r="L106" s="153" t="n"/>
      <c r="M106" s="153" t="n"/>
      <c r="N106" s="153" t="n"/>
      <c r="O106" s="153" t="n"/>
      <c r="P106" s="153" t="n"/>
      <c r="Q106" s="153" t="n"/>
      <c r="R106" s="153" t="n"/>
      <c r="S106" s="153" t="n"/>
      <c r="T106" s="153" t="n"/>
      <c r="U106" s="153" t="n"/>
      <c r="V106" s="153" t="n"/>
      <c r="W106" s="153" t="n"/>
      <c r="X106" s="153" t="n"/>
      <c r="Y106" s="153" t="n"/>
      <c r="Z106" s="153" t="n"/>
    </row>
    <row r="107" ht="15.75" customHeight="1" s="154">
      <c r="L107" s="153" t="n"/>
      <c r="M107" s="153" t="n"/>
      <c r="N107" s="153" t="n"/>
      <c r="O107" s="153" t="n"/>
      <c r="P107" s="153" t="n"/>
      <c r="Q107" s="153" t="n"/>
      <c r="R107" s="153" t="n"/>
      <c r="S107" s="153" t="n"/>
      <c r="T107" s="153" t="n"/>
      <c r="U107" s="153" t="n"/>
      <c r="V107" s="153" t="n"/>
      <c r="W107" s="153" t="n"/>
      <c r="X107" s="153" t="n"/>
      <c r="Y107" s="153" t="n"/>
      <c r="Z107" s="153" t="n"/>
    </row>
    <row r="108" ht="15.75" customHeight="1" s="154">
      <c r="L108" s="153" t="n"/>
      <c r="M108" s="153" t="n"/>
      <c r="N108" s="153" t="n"/>
      <c r="O108" s="153" t="n"/>
      <c r="P108" s="153" t="n"/>
      <c r="Q108" s="153" t="n"/>
      <c r="R108" s="153" t="n"/>
      <c r="S108" s="153" t="n"/>
      <c r="T108" s="153" t="n"/>
      <c r="U108" s="153" t="n"/>
      <c r="V108" s="153" t="n"/>
      <c r="W108" s="153" t="n"/>
      <c r="X108" s="153" t="n"/>
      <c r="Y108" s="153" t="n"/>
      <c r="Z108" s="153" t="n"/>
    </row>
    <row r="109" ht="15.75" customHeight="1" s="154">
      <c r="L109" s="153" t="n"/>
      <c r="M109" s="153" t="n"/>
      <c r="N109" s="153" t="n"/>
      <c r="O109" s="153" t="n"/>
      <c r="P109" s="153" t="n"/>
      <c r="Q109" s="153" t="n"/>
      <c r="R109" s="153" t="n"/>
      <c r="S109" s="153" t="n"/>
      <c r="T109" s="153" t="n"/>
      <c r="U109" s="153" t="n"/>
      <c r="V109" s="153" t="n"/>
      <c r="W109" s="153" t="n"/>
      <c r="X109" s="153" t="n"/>
      <c r="Y109" s="153" t="n"/>
      <c r="Z109" s="153" t="n"/>
    </row>
    <row r="110" ht="15.75" customHeight="1" s="154">
      <c r="L110" s="153" t="n"/>
      <c r="M110" s="153" t="n"/>
      <c r="N110" s="153" t="n"/>
      <c r="O110" s="153" t="n"/>
      <c r="P110" s="153" t="n"/>
      <c r="Q110" s="153" t="n"/>
      <c r="R110" s="153" t="n"/>
      <c r="S110" s="153" t="n"/>
      <c r="T110" s="153" t="n"/>
      <c r="U110" s="153" t="n"/>
      <c r="V110" s="153" t="n"/>
      <c r="W110" s="153" t="n"/>
      <c r="X110" s="153" t="n"/>
      <c r="Y110" s="153" t="n"/>
      <c r="Z110" s="153" t="n"/>
    </row>
    <row r="111" ht="15.75" customHeight="1" s="154">
      <c r="L111" s="153" t="n"/>
      <c r="M111" s="153" t="n"/>
      <c r="N111" s="153" t="n"/>
      <c r="O111" s="153" t="n"/>
      <c r="P111" s="153" t="n"/>
      <c r="Q111" s="153" t="n"/>
      <c r="R111" s="153" t="n"/>
      <c r="S111" s="153" t="n"/>
      <c r="T111" s="153" t="n"/>
      <c r="U111" s="153" t="n"/>
      <c r="V111" s="153" t="n"/>
      <c r="W111" s="153" t="n"/>
      <c r="X111" s="153" t="n"/>
      <c r="Y111" s="153" t="n"/>
      <c r="Z111" s="153" t="n"/>
    </row>
    <row r="112" ht="15.75" customHeight="1" s="154">
      <c r="L112" s="153" t="n"/>
      <c r="M112" s="153" t="n"/>
      <c r="N112" s="153" t="n"/>
      <c r="O112" s="153" t="n"/>
      <c r="P112" s="153" t="n"/>
      <c r="Q112" s="153" t="n"/>
      <c r="R112" s="153" t="n"/>
      <c r="S112" s="153" t="n"/>
      <c r="T112" s="153" t="n"/>
      <c r="U112" s="153" t="n"/>
      <c r="V112" s="153" t="n"/>
      <c r="W112" s="153" t="n"/>
      <c r="X112" s="153" t="n"/>
      <c r="Y112" s="153" t="n"/>
      <c r="Z112" s="153" t="n"/>
    </row>
    <row r="113" ht="15.75" customHeight="1" s="154">
      <c r="L113" s="153" t="n"/>
      <c r="M113" s="153" t="n"/>
      <c r="N113" s="153" t="n"/>
      <c r="O113" s="153" t="n"/>
      <c r="P113" s="153" t="n"/>
      <c r="Q113" s="153" t="n"/>
      <c r="R113" s="153" t="n"/>
      <c r="S113" s="153" t="n"/>
      <c r="T113" s="153" t="n"/>
      <c r="U113" s="153" t="n"/>
      <c r="V113" s="153" t="n"/>
      <c r="W113" s="153" t="n"/>
      <c r="X113" s="153" t="n"/>
      <c r="Y113" s="153" t="n"/>
      <c r="Z113" s="153" t="n"/>
    </row>
    <row r="114" ht="15.75" customHeight="1" s="154">
      <c r="L114" s="153" t="n"/>
      <c r="M114" s="153" t="n"/>
      <c r="N114" s="153" t="n"/>
      <c r="O114" s="153" t="n"/>
      <c r="P114" s="153" t="n"/>
      <c r="Q114" s="153" t="n"/>
      <c r="R114" s="153" t="n"/>
      <c r="S114" s="153" t="n"/>
      <c r="T114" s="153" t="n"/>
      <c r="U114" s="153" t="n"/>
      <c r="V114" s="153" t="n"/>
      <c r="W114" s="153" t="n"/>
      <c r="X114" s="153" t="n"/>
      <c r="Y114" s="153" t="n"/>
      <c r="Z114" s="153" t="n"/>
    </row>
    <row r="115" ht="15.75" customHeight="1" s="154">
      <c r="L115" s="153" t="n"/>
      <c r="M115" s="153" t="n"/>
      <c r="N115" s="153" t="n"/>
      <c r="O115" s="153" t="n"/>
      <c r="P115" s="153" t="n"/>
      <c r="Q115" s="153" t="n"/>
      <c r="R115" s="153" t="n"/>
      <c r="S115" s="153" t="n"/>
      <c r="T115" s="153" t="n"/>
      <c r="U115" s="153" t="n"/>
      <c r="V115" s="153" t="n"/>
      <c r="W115" s="153" t="n"/>
      <c r="X115" s="153" t="n"/>
      <c r="Y115" s="153" t="n"/>
      <c r="Z115" s="153" t="n"/>
    </row>
    <row r="116" ht="15.75" customHeight="1" s="154">
      <c r="L116" s="153" t="n"/>
      <c r="M116" s="153" t="n"/>
      <c r="N116" s="153" t="n"/>
      <c r="O116" s="153" t="n"/>
      <c r="P116" s="153" t="n"/>
      <c r="Q116" s="153" t="n"/>
      <c r="R116" s="153" t="n"/>
      <c r="S116" s="153" t="n"/>
      <c r="T116" s="153" t="n"/>
      <c r="U116" s="153" t="n"/>
      <c r="V116" s="153" t="n"/>
      <c r="W116" s="153" t="n"/>
      <c r="X116" s="153" t="n"/>
      <c r="Y116" s="153" t="n"/>
      <c r="Z116" s="153" t="n"/>
    </row>
    <row r="117" ht="15.75" customHeight="1" s="154">
      <c r="L117" s="153" t="n"/>
      <c r="M117" s="153" t="n"/>
      <c r="N117" s="153" t="n"/>
      <c r="O117" s="153" t="n"/>
      <c r="P117" s="153" t="n"/>
      <c r="Q117" s="153" t="n"/>
      <c r="R117" s="153" t="n"/>
      <c r="S117" s="153" t="n"/>
      <c r="T117" s="153" t="n"/>
      <c r="U117" s="153" t="n"/>
      <c r="V117" s="153" t="n"/>
      <c r="W117" s="153" t="n"/>
      <c r="X117" s="153" t="n"/>
      <c r="Y117" s="153" t="n"/>
      <c r="Z117" s="153" t="n"/>
    </row>
    <row r="118" ht="15.75" customHeight="1" s="154">
      <c r="L118" s="153" t="n"/>
      <c r="M118" s="153" t="n"/>
      <c r="N118" s="153" t="n"/>
      <c r="O118" s="153" t="n"/>
      <c r="P118" s="153" t="n"/>
      <c r="Q118" s="153" t="n"/>
      <c r="R118" s="153" t="n"/>
      <c r="S118" s="153" t="n"/>
      <c r="T118" s="153" t="n"/>
      <c r="U118" s="153" t="n"/>
      <c r="V118" s="153" t="n"/>
      <c r="W118" s="153" t="n"/>
      <c r="X118" s="153" t="n"/>
      <c r="Y118" s="153" t="n"/>
      <c r="Z118" s="153" t="n"/>
    </row>
    <row r="119" ht="15.75" customHeight="1" s="154">
      <c r="L119" s="153" t="n"/>
      <c r="M119" s="153" t="n"/>
      <c r="N119" s="153" t="n"/>
      <c r="O119" s="153" t="n"/>
      <c r="P119" s="153" t="n"/>
      <c r="Q119" s="153" t="n"/>
      <c r="R119" s="153" t="n"/>
      <c r="S119" s="153" t="n"/>
      <c r="T119" s="153" t="n"/>
      <c r="U119" s="153" t="n"/>
      <c r="V119" s="153" t="n"/>
      <c r="W119" s="153" t="n"/>
      <c r="X119" s="153" t="n"/>
      <c r="Y119" s="153" t="n"/>
      <c r="Z119" s="153" t="n"/>
    </row>
    <row r="120" ht="15.75" customHeight="1" s="154">
      <c r="L120" s="153" t="n"/>
      <c r="M120" s="153" t="n"/>
      <c r="N120" s="153" t="n"/>
      <c r="O120" s="153" t="n"/>
      <c r="P120" s="153" t="n"/>
      <c r="Q120" s="153" t="n"/>
      <c r="R120" s="153" t="n"/>
      <c r="S120" s="153" t="n"/>
      <c r="T120" s="153" t="n"/>
      <c r="U120" s="153" t="n"/>
      <c r="V120" s="153" t="n"/>
      <c r="W120" s="153" t="n"/>
      <c r="X120" s="153" t="n"/>
      <c r="Y120" s="153" t="n"/>
      <c r="Z120" s="153" t="n"/>
    </row>
    <row r="121" ht="15.75" customHeight="1" s="154">
      <c r="L121" s="153" t="n"/>
      <c r="M121" s="153" t="n"/>
      <c r="N121" s="153" t="n"/>
      <c r="O121" s="153" t="n"/>
      <c r="P121" s="153" t="n"/>
      <c r="Q121" s="153" t="n"/>
      <c r="R121" s="153" t="n"/>
      <c r="S121" s="153" t="n"/>
      <c r="T121" s="153" t="n"/>
      <c r="U121" s="153" t="n"/>
      <c r="V121" s="153" t="n"/>
      <c r="W121" s="153" t="n"/>
      <c r="X121" s="153" t="n"/>
      <c r="Y121" s="153" t="n"/>
      <c r="Z121" s="153" t="n"/>
    </row>
    <row r="122" ht="15.75" customHeight="1" s="154">
      <c r="L122" s="153" t="n"/>
      <c r="M122" s="153" t="n"/>
      <c r="N122" s="153" t="n"/>
      <c r="O122" s="153" t="n"/>
      <c r="P122" s="153" t="n"/>
      <c r="Q122" s="153" t="n"/>
      <c r="R122" s="153" t="n"/>
      <c r="S122" s="153" t="n"/>
      <c r="T122" s="153" t="n"/>
      <c r="U122" s="153" t="n"/>
      <c r="V122" s="153" t="n"/>
      <c r="W122" s="153" t="n"/>
      <c r="X122" s="153" t="n"/>
      <c r="Y122" s="153" t="n"/>
      <c r="Z122" s="153" t="n"/>
    </row>
    <row r="123" ht="15.75" customHeight="1" s="154">
      <c r="L123" s="153" t="n"/>
      <c r="M123" s="153" t="n"/>
      <c r="N123" s="153" t="n"/>
      <c r="O123" s="153" t="n"/>
      <c r="P123" s="153" t="n"/>
      <c r="Q123" s="153" t="n"/>
      <c r="R123" s="153" t="n"/>
      <c r="S123" s="153" t="n"/>
      <c r="T123" s="153" t="n"/>
      <c r="U123" s="153" t="n"/>
      <c r="V123" s="153" t="n"/>
      <c r="W123" s="153" t="n"/>
      <c r="X123" s="153" t="n"/>
      <c r="Y123" s="153" t="n"/>
      <c r="Z123" s="153" t="n"/>
    </row>
    <row r="124" ht="15.75" customHeight="1" s="154">
      <c r="L124" s="153" t="n"/>
      <c r="M124" s="153" t="n"/>
      <c r="N124" s="153" t="n"/>
      <c r="O124" s="153" t="n"/>
      <c r="P124" s="153" t="n"/>
      <c r="Q124" s="153" t="n"/>
      <c r="R124" s="153" t="n"/>
      <c r="S124" s="153" t="n"/>
      <c r="T124" s="153" t="n"/>
      <c r="U124" s="153" t="n"/>
      <c r="V124" s="153" t="n"/>
      <c r="W124" s="153" t="n"/>
      <c r="X124" s="153" t="n"/>
      <c r="Y124" s="153" t="n"/>
      <c r="Z124" s="153" t="n"/>
    </row>
    <row r="125" ht="15.75" customHeight="1" s="154">
      <c r="L125" s="153" t="n"/>
      <c r="M125" s="153" t="n"/>
      <c r="N125" s="153" t="n"/>
      <c r="O125" s="153" t="n"/>
      <c r="P125" s="153" t="n"/>
      <c r="Q125" s="153" t="n"/>
      <c r="R125" s="153" t="n"/>
      <c r="S125" s="153" t="n"/>
      <c r="T125" s="153" t="n"/>
      <c r="U125" s="153" t="n"/>
      <c r="V125" s="153" t="n"/>
      <c r="W125" s="153" t="n"/>
      <c r="X125" s="153" t="n"/>
      <c r="Y125" s="153" t="n"/>
      <c r="Z125" s="153" t="n"/>
    </row>
    <row r="126" ht="15.75" customHeight="1" s="154">
      <c r="L126" s="153" t="n"/>
      <c r="M126" s="153" t="n"/>
      <c r="N126" s="153" t="n"/>
      <c r="O126" s="153" t="n"/>
      <c r="P126" s="153" t="n"/>
      <c r="Q126" s="153" t="n"/>
      <c r="R126" s="153" t="n"/>
      <c r="S126" s="153" t="n"/>
      <c r="T126" s="153" t="n"/>
      <c r="U126" s="153" t="n"/>
      <c r="V126" s="153" t="n"/>
      <c r="W126" s="153" t="n"/>
      <c r="X126" s="153" t="n"/>
      <c r="Y126" s="153" t="n"/>
      <c r="Z126" s="153" t="n"/>
    </row>
    <row r="127" ht="15.75" customHeight="1" s="154">
      <c r="L127" s="153" t="n"/>
      <c r="M127" s="153" t="n"/>
      <c r="N127" s="153" t="n"/>
      <c r="O127" s="153" t="n"/>
      <c r="P127" s="153" t="n"/>
      <c r="Q127" s="153" t="n"/>
      <c r="R127" s="153" t="n"/>
      <c r="S127" s="153" t="n"/>
      <c r="T127" s="153" t="n"/>
      <c r="U127" s="153" t="n"/>
      <c r="V127" s="153" t="n"/>
      <c r="W127" s="153" t="n"/>
      <c r="X127" s="153" t="n"/>
      <c r="Y127" s="153" t="n"/>
      <c r="Z127" s="153" t="n"/>
    </row>
    <row r="128" ht="15.75" customHeight="1" s="154">
      <c r="L128" s="153" t="n"/>
      <c r="M128" s="153" t="n"/>
      <c r="N128" s="153" t="n"/>
      <c r="O128" s="153" t="n"/>
      <c r="P128" s="153" t="n"/>
      <c r="Q128" s="153" t="n"/>
      <c r="R128" s="153" t="n"/>
      <c r="S128" s="153" t="n"/>
      <c r="T128" s="153" t="n"/>
      <c r="U128" s="153" t="n"/>
      <c r="V128" s="153" t="n"/>
      <c r="W128" s="153" t="n"/>
      <c r="X128" s="153" t="n"/>
      <c r="Y128" s="153" t="n"/>
      <c r="Z128" s="153" t="n"/>
    </row>
    <row r="129" ht="15.75" customHeight="1" s="154">
      <c r="L129" s="153" t="n"/>
      <c r="M129" s="153" t="n"/>
      <c r="N129" s="153" t="n"/>
      <c r="O129" s="153" t="n"/>
      <c r="P129" s="153" t="n"/>
      <c r="Q129" s="153" t="n"/>
      <c r="R129" s="153" t="n"/>
      <c r="S129" s="153" t="n"/>
      <c r="T129" s="153" t="n"/>
      <c r="U129" s="153" t="n"/>
      <c r="V129" s="153" t="n"/>
      <c r="W129" s="153" t="n"/>
      <c r="X129" s="153" t="n"/>
      <c r="Y129" s="153" t="n"/>
      <c r="Z129" s="153" t="n"/>
    </row>
    <row r="130" ht="15.75" customHeight="1" s="154">
      <c r="L130" s="153" t="n"/>
      <c r="M130" s="153" t="n"/>
      <c r="N130" s="153" t="n"/>
      <c r="O130" s="153" t="n"/>
      <c r="P130" s="153" t="n"/>
      <c r="Q130" s="153" t="n"/>
      <c r="R130" s="153" t="n"/>
      <c r="S130" s="153" t="n"/>
      <c r="T130" s="153" t="n"/>
      <c r="U130" s="153" t="n"/>
      <c r="V130" s="153" t="n"/>
      <c r="W130" s="153" t="n"/>
      <c r="X130" s="153" t="n"/>
      <c r="Y130" s="153" t="n"/>
      <c r="Z130" s="153" t="n"/>
    </row>
    <row r="131" ht="15.75" customHeight="1" s="154">
      <c r="L131" s="153" t="n"/>
      <c r="M131" s="153" t="n"/>
      <c r="N131" s="153" t="n"/>
      <c r="O131" s="153" t="n"/>
      <c r="P131" s="153" t="n"/>
      <c r="Q131" s="153" t="n"/>
      <c r="R131" s="153" t="n"/>
      <c r="S131" s="153" t="n"/>
      <c r="T131" s="153" t="n"/>
      <c r="U131" s="153" t="n"/>
      <c r="V131" s="153" t="n"/>
      <c r="W131" s="153" t="n"/>
      <c r="X131" s="153" t="n"/>
      <c r="Y131" s="153" t="n"/>
      <c r="Z131" s="153" t="n"/>
    </row>
    <row r="132" ht="15.75" customHeight="1" s="154">
      <c r="L132" s="153" t="n"/>
      <c r="M132" s="153" t="n"/>
      <c r="N132" s="153" t="n"/>
      <c r="O132" s="153" t="n"/>
      <c r="P132" s="153" t="n"/>
      <c r="Q132" s="153" t="n"/>
      <c r="R132" s="153" t="n"/>
      <c r="S132" s="153" t="n"/>
      <c r="T132" s="153" t="n"/>
      <c r="U132" s="153" t="n"/>
      <c r="V132" s="153" t="n"/>
      <c r="W132" s="153" t="n"/>
      <c r="X132" s="153" t="n"/>
      <c r="Y132" s="153" t="n"/>
      <c r="Z132" s="153" t="n"/>
    </row>
    <row r="133" ht="15.75" customHeight="1" s="154">
      <c r="L133" s="153" t="n"/>
      <c r="M133" s="153" t="n"/>
      <c r="N133" s="153" t="n"/>
      <c r="O133" s="153" t="n"/>
      <c r="P133" s="153" t="n"/>
      <c r="Q133" s="153" t="n"/>
      <c r="R133" s="153" t="n"/>
      <c r="S133" s="153" t="n"/>
      <c r="T133" s="153" t="n"/>
      <c r="U133" s="153" t="n"/>
      <c r="V133" s="153" t="n"/>
      <c r="W133" s="153" t="n"/>
      <c r="X133" s="153" t="n"/>
      <c r="Y133" s="153" t="n"/>
      <c r="Z133" s="153" t="n"/>
    </row>
    <row r="134" ht="15.75" customHeight="1" s="154">
      <c r="L134" s="153" t="n"/>
      <c r="M134" s="153" t="n"/>
      <c r="N134" s="153" t="n"/>
      <c r="O134" s="153" t="n"/>
      <c r="P134" s="153" t="n"/>
      <c r="Q134" s="153" t="n"/>
      <c r="R134" s="153" t="n"/>
      <c r="S134" s="153" t="n"/>
      <c r="T134" s="153" t="n"/>
      <c r="U134" s="153" t="n"/>
      <c r="V134" s="153" t="n"/>
      <c r="W134" s="153" t="n"/>
      <c r="X134" s="153" t="n"/>
      <c r="Y134" s="153" t="n"/>
      <c r="Z134" s="153" t="n"/>
    </row>
    <row r="135" ht="15.75" customHeight="1" s="154">
      <c r="L135" s="153" t="n"/>
      <c r="M135" s="153" t="n"/>
      <c r="N135" s="153" t="n"/>
      <c r="O135" s="153" t="n"/>
      <c r="P135" s="153" t="n"/>
      <c r="Q135" s="153" t="n"/>
      <c r="R135" s="153" t="n"/>
      <c r="S135" s="153" t="n"/>
      <c r="T135" s="153" t="n"/>
      <c r="U135" s="153" t="n"/>
      <c r="V135" s="153" t="n"/>
      <c r="W135" s="153" t="n"/>
      <c r="X135" s="153" t="n"/>
      <c r="Y135" s="153" t="n"/>
      <c r="Z135" s="153" t="n"/>
    </row>
    <row r="136" ht="15.75" customHeight="1" s="154">
      <c r="L136" s="153" t="n"/>
      <c r="M136" s="153" t="n"/>
      <c r="N136" s="153" t="n"/>
      <c r="O136" s="153" t="n"/>
      <c r="P136" s="153" t="n"/>
      <c r="Q136" s="153" t="n"/>
      <c r="R136" s="153" t="n"/>
      <c r="S136" s="153" t="n"/>
      <c r="T136" s="153" t="n"/>
      <c r="U136" s="153" t="n"/>
      <c r="V136" s="153" t="n"/>
      <c r="W136" s="153" t="n"/>
      <c r="X136" s="153" t="n"/>
      <c r="Y136" s="153" t="n"/>
      <c r="Z136" s="153" t="n"/>
    </row>
    <row r="137" ht="15.75" customHeight="1" s="154">
      <c r="L137" s="153" t="n"/>
      <c r="M137" s="153" t="n"/>
      <c r="N137" s="153" t="n"/>
      <c r="O137" s="153" t="n"/>
      <c r="P137" s="153" t="n"/>
      <c r="Q137" s="153" t="n"/>
      <c r="R137" s="153" t="n"/>
      <c r="S137" s="153" t="n"/>
      <c r="T137" s="153" t="n"/>
      <c r="U137" s="153" t="n"/>
      <c r="V137" s="153" t="n"/>
      <c r="W137" s="153" t="n"/>
      <c r="X137" s="153" t="n"/>
      <c r="Y137" s="153" t="n"/>
      <c r="Z137" s="153" t="n"/>
    </row>
    <row r="138" ht="15.75" customHeight="1" s="154">
      <c r="L138" s="153" t="n"/>
      <c r="M138" s="153" t="n"/>
      <c r="N138" s="153" t="n"/>
      <c r="O138" s="153" t="n"/>
      <c r="P138" s="153" t="n"/>
      <c r="Q138" s="153" t="n"/>
      <c r="R138" s="153" t="n"/>
      <c r="S138" s="153" t="n"/>
      <c r="T138" s="153" t="n"/>
      <c r="U138" s="153" t="n"/>
      <c r="V138" s="153" t="n"/>
      <c r="W138" s="153" t="n"/>
      <c r="X138" s="153" t="n"/>
      <c r="Y138" s="153" t="n"/>
      <c r="Z138" s="153" t="n"/>
    </row>
    <row r="139" ht="15.75" customHeight="1" s="154">
      <c r="L139" s="153" t="n"/>
      <c r="M139" s="153" t="n"/>
      <c r="N139" s="153" t="n"/>
      <c r="O139" s="153" t="n"/>
      <c r="P139" s="153" t="n"/>
      <c r="Q139" s="153" t="n"/>
      <c r="R139" s="153" t="n"/>
      <c r="S139" s="153" t="n"/>
      <c r="T139" s="153" t="n"/>
      <c r="U139" s="153" t="n"/>
      <c r="V139" s="153" t="n"/>
      <c r="W139" s="153" t="n"/>
      <c r="X139" s="153" t="n"/>
      <c r="Y139" s="153" t="n"/>
      <c r="Z139" s="153" t="n"/>
    </row>
    <row r="140" ht="15.75" customHeight="1" s="154">
      <c r="L140" s="153" t="n"/>
      <c r="M140" s="153" t="n"/>
      <c r="N140" s="153" t="n"/>
      <c r="O140" s="153" t="n"/>
      <c r="P140" s="153" t="n"/>
      <c r="Q140" s="153" t="n"/>
      <c r="R140" s="153" t="n"/>
      <c r="S140" s="153" t="n"/>
      <c r="T140" s="153" t="n"/>
      <c r="U140" s="153" t="n"/>
      <c r="V140" s="153" t="n"/>
      <c r="W140" s="153" t="n"/>
      <c r="X140" s="153" t="n"/>
      <c r="Y140" s="153" t="n"/>
      <c r="Z140" s="153" t="n"/>
    </row>
    <row r="141" ht="15.75" customHeight="1" s="154">
      <c r="L141" s="153" t="n"/>
      <c r="M141" s="153" t="n"/>
      <c r="N141" s="153" t="n"/>
      <c r="O141" s="153" t="n"/>
      <c r="P141" s="153" t="n"/>
      <c r="Q141" s="153" t="n"/>
      <c r="R141" s="153" t="n"/>
      <c r="S141" s="153" t="n"/>
      <c r="T141" s="153" t="n"/>
      <c r="U141" s="153" t="n"/>
      <c r="V141" s="153" t="n"/>
      <c r="W141" s="153" t="n"/>
      <c r="X141" s="153" t="n"/>
      <c r="Y141" s="153" t="n"/>
      <c r="Z141" s="153" t="n"/>
    </row>
    <row r="142" ht="15.75" customHeight="1" s="154">
      <c r="L142" s="153" t="n"/>
      <c r="M142" s="153" t="n"/>
      <c r="N142" s="153" t="n"/>
      <c r="O142" s="153" t="n"/>
      <c r="P142" s="153" t="n"/>
      <c r="Q142" s="153" t="n"/>
      <c r="R142" s="153" t="n"/>
      <c r="S142" s="153" t="n"/>
      <c r="T142" s="153" t="n"/>
      <c r="U142" s="153" t="n"/>
      <c r="V142" s="153" t="n"/>
      <c r="W142" s="153" t="n"/>
      <c r="X142" s="153" t="n"/>
      <c r="Y142" s="153" t="n"/>
      <c r="Z142" s="153" t="n"/>
    </row>
    <row r="143" ht="15.75" customHeight="1" s="154">
      <c r="L143" s="153" t="n"/>
      <c r="M143" s="153" t="n"/>
      <c r="N143" s="153" t="n"/>
      <c r="O143" s="153" t="n"/>
      <c r="P143" s="153" t="n"/>
      <c r="Q143" s="153" t="n"/>
      <c r="R143" s="153" t="n"/>
      <c r="S143" s="153" t="n"/>
      <c r="T143" s="153" t="n"/>
      <c r="U143" s="153" t="n"/>
      <c r="V143" s="153" t="n"/>
      <c r="W143" s="153" t="n"/>
      <c r="X143" s="153" t="n"/>
      <c r="Y143" s="153" t="n"/>
      <c r="Z143" s="153" t="n"/>
    </row>
    <row r="144" ht="15.75" customHeight="1" s="154">
      <c r="L144" s="153" t="n"/>
      <c r="M144" s="153" t="n"/>
      <c r="N144" s="153" t="n"/>
      <c r="O144" s="153" t="n"/>
      <c r="P144" s="153" t="n"/>
      <c r="Q144" s="153" t="n"/>
      <c r="R144" s="153" t="n"/>
      <c r="S144" s="153" t="n"/>
      <c r="T144" s="153" t="n"/>
      <c r="U144" s="153" t="n"/>
      <c r="V144" s="153" t="n"/>
      <c r="W144" s="153" t="n"/>
      <c r="X144" s="153" t="n"/>
      <c r="Y144" s="153" t="n"/>
      <c r="Z144" s="153" t="n"/>
    </row>
    <row r="145" ht="15.75" customHeight="1" s="154">
      <c r="L145" s="153" t="n"/>
      <c r="M145" s="153" t="n"/>
      <c r="N145" s="153" t="n"/>
      <c r="O145" s="153" t="n"/>
      <c r="P145" s="153" t="n"/>
      <c r="Q145" s="153" t="n"/>
      <c r="R145" s="153" t="n"/>
      <c r="S145" s="153" t="n"/>
      <c r="T145" s="153" t="n"/>
      <c r="U145" s="153" t="n"/>
      <c r="V145" s="153" t="n"/>
      <c r="W145" s="153" t="n"/>
      <c r="X145" s="153" t="n"/>
      <c r="Y145" s="153" t="n"/>
      <c r="Z145" s="153" t="n"/>
    </row>
    <row r="146" ht="15.75" customHeight="1" s="154">
      <c r="L146" s="153" t="n"/>
      <c r="M146" s="153" t="n"/>
      <c r="N146" s="153" t="n"/>
      <c r="O146" s="153" t="n"/>
      <c r="P146" s="153" t="n"/>
      <c r="Q146" s="153" t="n"/>
      <c r="R146" s="153" t="n"/>
      <c r="S146" s="153" t="n"/>
      <c r="T146" s="153" t="n"/>
      <c r="U146" s="153" t="n"/>
      <c r="V146" s="153" t="n"/>
      <c r="W146" s="153" t="n"/>
      <c r="X146" s="153" t="n"/>
      <c r="Y146" s="153" t="n"/>
      <c r="Z146" s="153" t="n"/>
    </row>
    <row r="147" ht="15.75" customHeight="1" s="154">
      <c r="L147" s="153" t="n"/>
      <c r="M147" s="153" t="n"/>
      <c r="N147" s="153" t="n"/>
      <c r="O147" s="153" t="n"/>
      <c r="P147" s="153" t="n"/>
      <c r="Q147" s="153" t="n"/>
      <c r="R147" s="153" t="n"/>
      <c r="S147" s="153" t="n"/>
      <c r="T147" s="153" t="n"/>
      <c r="U147" s="153" t="n"/>
      <c r="V147" s="153" t="n"/>
      <c r="W147" s="153" t="n"/>
      <c r="X147" s="153" t="n"/>
      <c r="Y147" s="153" t="n"/>
      <c r="Z147" s="153" t="n"/>
    </row>
    <row r="148" ht="15.75" customHeight="1" s="154">
      <c r="L148" s="153" t="n"/>
      <c r="M148" s="153" t="n"/>
      <c r="N148" s="153" t="n"/>
      <c r="O148" s="153" t="n"/>
      <c r="P148" s="153" t="n"/>
      <c r="Q148" s="153" t="n"/>
      <c r="R148" s="153" t="n"/>
      <c r="S148" s="153" t="n"/>
      <c r="T148" s="153" t="n"/>
      <c r="U148" s="153" t="n"/>
      <c r="V148" s="153" t="n"/>
      <c r="W148" s="153" t="n"/>
      <c r="X148" s="153" t="n"/>
      <c r="Y148" s="153" t="n"/>
      <c r="Z148" s="153" t="n"/>
    </row>
    <row r="149" ht="15.75" customHeight="1" s="154">
      <c r="L149" s="153" t="n"/>
      <c r="M149" s="153" t="n"/>
      <c r="N149" s="153" t="n"/>
      <c r="O149" s="153" t="n"/>
      <c r="P149" s="153" t="n"/>
      <c r="Q149" s="153" t="n"/>
      <c r="R149" s="153" t="n"/>
      <c r="S149" s="153" t="n"/>
      <c r="T149" s="153" t="n"/>
      <c r="U149" s="153" t="n"/>
      <c r="V149" s="153" t="n"/>
      <c r="W149" s="153" t="n"/>
      <c r="X149" s="153" t="n"/>
      <c r="Y149" s="153" t="n"/>
      <c r="Z149" s="153" t="n"/>
    </row>
    <row r="150" ht="15.75" customHeight="1" s="154">
      <c r="L150" s="153" t="n"/>
      <c r="M150" s="153" t="n"/>
      <c r="N150" s="153" t="n"/>
      <c r="O150" s="153" t="n"/>
      <c r="P150" s="153" t="n"/>
      <c r="Q150" s="153" t="n"/>
      <c r="R150" s="153" t="n"/>
      <c r="S150" s="153" t="n"/>
      <c r="T150" s="153" t="n"/>
      <c r="U150" s="153" t="n"/>
      <c r="V150" s="153" t="n"/>
      <c r="W150" s="153" t="n"/>
      <c r="X150" s="153" t="n"/>
      <c r="Y150" s="153" t="n"/>
      <c r="Z150" s="153" t="n"/>
    </row>
    <row r="151" ht="15.75" customHeight="1" s="154">
      <c r="L151" s="153" t="n"/>
      <c r="M151" s="153" t="n"/>
      <c r="N151" s="153" t="n"/>
      <c r="O151" s="153" t="n"/>
      <c r="P151" s="153" t="n"/>
      <c r="Q151" s="153" t="n"/>
      <c r="R151" s="153" t="n"/>
      <c r="S151" s="153" t="n"/>
      <c r="T151" s="153" t="n"/>
      <c r="U151" s="153" t="n"/>
      <c r="V151" s="153" t="n"/>
      <c r="W151" s="153" t="n"/>
      <c r="X151" s="153" t="n"/>
      <c r="Y151" s="153" t="n"/>
      <c r="Z151" s="153" t="n"/>
    </row>
    <row r="152" ht="15.75" customHeight="1" s="154">
      <c r="L152" s="153" t="n"/>
      <c r="M152" s="153" t="n"/>
      <c r="N152" s="153" t="n"/>
      <c r="O152" s="153" t="n"/>
      <c r="P152" s="153" t="n"/>
      <c r="Q152" s="153" t="n"/>
      <c r="R152" s="153" t="n"/>
      <c r="S152" s="153" t="n"/>
      <c r="T152" s="153" t="n"/>
      <c r="U152" s="153" t="n"/>
      <c r="V152" s="153" t="n"/>
      <c r="W152" s="153" t="n"/>
      <c r="X152" s="153" t="n"/>
      <c r="Y152" s="153" t="n"/>
      <c r="Z152" s="153" t="n"/>
    </row>
    <row r="153" ht="15.75" customHeight="1" s="154">
      <c r="L153" s="153" t="n"/>
      <c r="M153" s="153" t="n"/>
      <c r="N153" s="153" t="n"/>
      <c r="O153" s="153" t="n"/>
      <c r="P153" s="153" t="n"/>
      <c r="Q153" s="153" t="n"/>
      <c r="R153" s="153" t="n"/>
      <c r="S153" s="153" t="n"/>
      <c r="T153" s="153" t="n"/>
      <c r="U153" s="153" t="n"/>
      <c r="V153" s="153" t="n"/>
      <c r="W153" s="153" t="n"/>
      <c r="X153" s="153" t="n"/>
      <c r="Y153" s="153" t="n"/>
      <c r="Z153" s="153" t="n"/>
    </row>
    <row r="154" ht="15.75" customHeight="1" s="154">
      <c r="L154" s="153" t="n"/>
      <c r="M154" s="153" t="n"/>
      <c r="N154" s="153" t="n"/>
      <c r="O154" s="153" t="n"/>
      <c r="P154" s="153" t="n"/>
      <c r="Q154" s="153" t="n"/>
      <c r="R154" s="153" t="n"/>
      <c r="S154" s="153" t="n"/>
      <c r="T154" s="153" t="n"/>
      <c r="U154" s="153" t="n"/>
      <c r="V154" s="153" t="n"/>
      <c r="W154" s="153" t="n"/>
      <c r="X154" s="153" t="n"/>
      <c r="Y154" s="153" t="n"/>
      <c r="Z154" s="153" t="n"/>
    </row>
    <row r="155" ht="15.75" customHeight="1" s="154">
      <c r="L155" s="153" t="n"/>
      <c r="M155" s="153" t="n"/>
      <c r="N155" s="153" t="n"/>
      <c r="O155" s="153" t="n"/>
      <c r="P155" s="153" t="n"/>
      <c r="Q155" s="153" t="n"/>
      <c r="R155" s="153" t="n"/>
      <c r="S155" s="153" t="n"/>
      <c r="T155" s="153" t="n"/>
      <c r="U155" s="153" t="n"/>
      <c r="V155" s="153" t="n"/>
      <c r="W155" s="153" t="n"/>
      <c r="X155" s="153" t="n"/>
      <c r="Y155" s="153" t="n"/>
      <c r="Z155" s="153" t="n"/>
    </row>
    <row r="156" ht="15.75" customHeight="1" s="154">
      <c r="L156" s="153" t="n"/>
      <c r="M156" s="153" t="n"/>
      <c r="N156" s="153" t="n"/>
      <c r="O156" s="153" t="n"/>
      <c r="P156" s="153" t="n"/>
      <c r="Q156" s="153" t="n"/>
      <c r="R156" s="153" t="n"/>
      <c r="S156" s="153" t="n"/>
      <c r="T156" s="153" t="n"/>
      <c r="U156" s="153" t="n"/>
      <c r="V156" s="153" t="n"/>
      <c r="W156" s="153" t="n"/>
      <c r="X156" s="153" t="n"/>
      <c r="Y156" s="153" t="n"/>
      <c r="Z156" s="153" t="n"/>
    </row>
    <row r="157" ht="15.75" customHeight="1" s="154">
      <c r="L157" s="153" t="n"/>
      <c r="M157" s="153" t="n"/>
      <c r="N157" s="153" t="n"/>
      <c r="O157" s="153" t="n"/>
      <c r="P157" s="153" t="n"/>
      <c r="Q157" s="153" t="n"/>
      <c r="R157" s="153" t="n"/>
      <c r="S157" s="153" t="n"/>
      <c r="T157" s="153" t="n"/>
      <c r="U157" s="153" t="n"/>
      <c r="V157" s="153" t="n"/>
      <c r="W157" s="153" t="n"/>
      <c r="X157" s="153" t="n"/>
      <c r="Y157" s="153" t="n"/>
      <c r="Z157" s="153" t="n"/>
    </row>
    <row r="158" ht="15.75" customHeight="1" s="154">
      <c r="L158" s="153" t="n"/>
      <c r="M158" s="153" t="n"/>
      <c r="N158" s="153" t="n"/>
      <c r="O158" s="153" t="n"/>
      <c r="P158" s="153" t="n"/>
      <c r="Q158" s="153" t="n"/>
      <c r="R158" s="153" t="n"/>
      <c r="S158" s="153" t="n"/>
      <c r="T158" s="153" t="n"/>
      <c r="U158" s="153" t="n"/>
      <c r="V158" s="153" t="n"/>
      <c r="W158" s="153" t="n"/>
      <c r="X158" s="153" t="n"/>
      <c r="Y158" s="153" t="n"/>
      <c r="Z158" s="153" t="n"/>
    </row>
    <row r="159" ht="15.75" customHeight="1" s="154">
      <c r="L159" s="153" t="n"/>
      <c r="M159" s="153" t="n"/>
      <c r="N159" s="153" t="n"/>
      <c r="O159" s="153" t="n"/>
      <c r="P159" s="153" t="n"/>
      <c r="Q159" s="153" t="n"/>
      <c r="R159" s="153" t="n"/>
      <c r="S159" s="153" t="n"/>
      <c r="T159" s="153" t="n"/>
      <c r="U159" s="153" t="n"/>
      <c r="V159" s="153" t="n"/>
      <c r="W159" s="153" t="n"/>
      <c r="X159" s="153" t="n"/>
      <c r="Y159" s="153" t="n"/>
      <c r="Z159" s="153" t="n"/>
    </row>
    <row r="160" ht="15.75" customHeight="1" s="154">
      <c r="L160" s="153" t="n"/>
      <c r="M160" s="153" t="n"/>
      <c r="N160" s="153" t="n"/>
      <c r="O160" s="153" t="n"/>
      <c r="P160" s="153" t="n"/>
      <c r="Q160" s="153" t="n"/>
      <c r="R160" s="153" t="n"/>
      <c r="S160" s="153" t="n"/>
      <c r="T160" s="153" t="n"/>
      <c r="U160" s="153" t="n"/>
      <c r="V160" s="153" t="n"/>
      <c r="W160" s="153" t="n"/>
      <c r="X160" s="153" t="n"/>
      <c r="Y160" s="153" t="n"/>
      <c r="Z160" s="153" t="n"/>
    </row>
    <row r="161" ht="15.75" customHeight="1" s="154">
      <c r="L161" s="153" t="n"/>
      <c r="M161" s="153" t="n"/>
      <c r="N161" s="153" t="n"/>
      <c r="O161" s="153" t="n"/>
      <c r="P161" s="153" t="n"/>
      <c r="Q161" s="153" t="n"/>
      <c r="R161" s="153" t="n"/>
      <c r="S161" s="153" t="n"/>
      <c r="T161" s="153" t="n"/>
      <c r="U161" s="153" t="n"/>
      <c r="V161" s="153" t="n"/>
      <c r="W161" s="153" t="n"/>
      <c r="X161" s="153" t="n"/>
      <c r="Y161" s="153" t="n"/>
      <c r="Z161" s="153" t="n"/>
    </row>
    <row r="162" ht="15.75" customHeight="1" s="154">
      <c r="L162" s="153" t="n"/>
      <c r="M162" s="153" t="n"/>
      <c r="N162" s="153" t="n"/>
      <c r="O162" s="153" t="n"/>
      <c r="P162" s="153" t="n"/>
      <c r="Q162" s="153" t="n"/>
      <c r="R162" s="153" t="n"/>
      <c r="S162" s="153" t="n"/>
      <c r="T162" s="153" t="n"/>
      <c r="U162" s="153" t="n"/>
      <c r="V162" s="153" t="n"/>
      <c r="W162" s="153" t="n"/>
      <c r="X162" s="153" t="n"/>
      <c r="Y162" s="153" t="n"/>
      <c r="Z162" s="153" t="n"/>
    </row>
    <row r="163" ht="15.75" customHeight="1" s="154">
      <c r="L163" s="153" t="n"/>
      <c r="M163" s="153" t="n"/>
      <c r="N163" s="153" t="n"/>
      <c r="O163" s="153" t="n"/>
      <c r="P163" s="153" t="n"/>
      <c r="Q163" s="153" t="n"/>
      <c r="R163" s="153" t="n"/>
      <c r="S163" s="153" t="n"/>
      <c r="T163" s="153" t="n"/>
      <c r="U163" s="153" t="n"/>
      <c r="V163" s="153" t="n"/>
      <c r="W163" s="153" t="n"/>
      <c r="X163" s="153" t="n"/>
      <c r="Y163" s="153" t="n"/>
      <c r="Z163" s="153" t="n"/>
    </row>
    <row r="164" ht="15.75" customHeight="1" s="154">
      <c r="L164" s="153" t="n"/>
      <c r="M164" s="153" t="n"/>
      <c r="N164" s="153" t="n"/>
      <c r="O164" s="153" t="n"/>
      <c r="P164" s="153" t="n"/>
      <c r="Q164" s="153" t="n"/>
      <c r="R164" s="153" t="n"/>
      <c r="S164" s="153" t="n"/>
      <c r="T164" s="153" t="n"/>
      <c r="U164" s="153" t="n"/>
      <c r="V164" s="153" t="n"/>
      <c r="W164" s="153" t="n"/>
      <c r="X164" s="153" t="n"/>
      <c r="Y164" s="153" t="n"/>
      <c r="Z164" s="153" t="n"/>
    </row>
    <row r="165" ht="15.75" customHeight="1" s="154">
      <c r="L165" s="153" t="n"/>
      <c r="M165" s="153" t="n"/>
      <c r="N165" s="153" t="n"/>
      <c r="O165" s="153" t="n"/>
      <c r="P165" s="153" t="n"/>
      <c r="Q165" s="153" t="n"/>
      <c r="R165" s="153" t="n"/>
      <c r="S165" s="153" t="n"/>
      <c r="T165" s="153" t="n"/>
      <c r="U165" s="153" t="n"/>
      <c r="V165" s="153" t="n"/>
      <c r="W165" s="153" t="n"/>
      <c r="X165" s="153" t="n"/>
      <c r="Y165" s="153" t="n"/>
      <c r="Z165" s="153" t="n"/>
    </row>
    <row r="166" ht="15.75" customHeight="1" s="154">
      <c r="L166" s="153" t="n"/>
      <c r="M166" s="153" t="n"/>
      <c r="N166" s="153" t="n"/>
      <c r="O166" s="153" t="n"/>
      <c r="P166" s="153" t="n"/>
      <c r="Q166" s="153" t="n"/>
      <c r="R166" s="153" t="n"/>
      <c r="S166" s="153" t="n"/>
      <c r="T166" s="153" t="n"/>
      <c r="U166" s="153" t="n"/>
      <c r="V166" s="153" t="n"/>
      <c r="W166" s="153" t="n"/>
      <c r="X166" s="153" t="n"/>
      <c r="Y166" s="153" t="n"/>
      <c r="Z166" s="153" t="n"/>
    </row>
    <row r="167" ht="15.75" customHeight="1" s="154">
      <c r="L167" s="153" t="n"/>
      <c r="M167" s="153" t="n"/>
      <c r="N167" s="153" t="n"/>
      <c r="O167" s="153" t="n"/>
      <c r="P167" s="153" t="n"/>
      <c r="Q167" s="153" t="n"/>
      <c r="R167" s="153" t="n"/>
      <c r="S167" s="153" t="n"/>
      <c r="T167" s="153" t="n"/>
      <c r="U167" s="153" t="n"/>
      <c r="V167" s="153" t="n"/>
      <c r="W167" s="153" t="n"/>
      <c r="X167" s="153" t="n"/>
      <c r="Y167" s="153" t="n"/>
      <c r="Z167" s="153" t="n"/>
    </row>
    <row r="168" ht="15.75" customHeight="1" s="154">
      <c r="L168" s="153" t="n"/>
      <c r="M168" s="153" t="n"/>
      <c r="N168" s="153" t="n"/>
      <c r="O168" s="153" t="n"/>
      <c r="P168" s="153" t="n"/>
      <c r="Q168" s="153" t="n"/>
      <c r="R168" s="153" t="n"/>
      <c r="S168" s="153" t="n"/>
      <c r="T168" s="153" t="n"/>
      <c r="U168" s="153" t="n"/>
      <c r="V168" s="153" t="n"/>
      <c r="W168" s="153" t="n"/>
      <c r="X168" s="153" t="n"/>
      <c r="Y168" s="153" t="n"/>
      <c r="Z168" s="153" t="n"/>
    </row>
    <row r="169" ht="15.75" customHeight="1" s="154">
      <c r="L169" s="153" t="n"/>
      <c r="M169" s="153" t="n"/>
      <c r="N169" s="153" t="n"/>
      <c r="O169" s="153" t="n"/>
      <c r="P169" s="153" t="n"/>
      <c r="Q169" s="153" t="n"/>
      <c r="R169" s="153" t="n"/>
      <c r="S169" s="153" t="n"/>
      <c r="T169" s="153" t="n"/>
      <c r="U169" s="153" t="n"/>
      <c r="V169" s="153" t="n"/>
      <c r="W169" s="153" t="n"/>
      <c r="X169" s="153" t="n"/>
      <c r="Y169" s="153" t="n"/>
      <c r="Z169" s="153" t="n"/>
    </row>
    <row r="170" ht="15.75" customHeight="1" s="154">
      <c r="L170" s="153" t="n"/>
      <c r="M170" s="153" t="n"/>
      <c r="N170" s="153" t="n"/>
      <c r="O170" s="153" t="n"/>
      <c r="P170" s="153" t="n"/>
      <c r="Q170" s="153" t="n"/>
      <c r="R170" s="153" t="n"/>
      <c r="S170" s="153" t="n"/>
      <c r="T170" s="153" t="n"/>
      <c r="U170" s="153" t="n"/>
      <c r="V170" s="153" t="n"/>
      <c r="W170" s="153" t="n"/>
      <c r="X170" s="153" t="n"/>
      <c r="Y170" s="153" t="n"/>
      <c r="Z170" s="153" t="n"/>
    </row>
    <row r="171" ht="15.75" customHeight="1" s="154">
      <c r="L171" s="153" t="n"/>
      <c r="M171" s="153" t="n"/>
      <c r="N171" s="153" t="n"/>
      <c r="O171" s="153" t="n"/>
      <c r="P171" s="153" t="n"/>
      <c r="Q171" s="153" t="n"/>
      <c r="R171" s="153" t="n"/>
      <c r="S171" s="153" t="n"/>
      <c r="T171" s="153" t="n"/>
      <c r="U171" s="153" t="n"/>
      <c r="V171" s="153" t="n"/>
      <c r="W171" s="153" t="n"/>
      <c r="X171" s="153" t="n"/>
      <c r="Y171" s="153" t="n"/>
      <c r="Z171" s="153" t="n"/>
    </row>
    <row r="172" ht="15.75" customHeight="1" s="154">
      <c r="L172" s="153" t="n"/>
      <c r="M172" s="153" t="n"/>
      <c r="N172" s="153" t="n"/>
      <c r="O172" s="153" t="n"/>
      <c r="P172" s="153" t="n"/>
      <c r="Q172" s="153" t="n"/>
      <c r="R172" s="153" t="n"/>
      <c r="S172" s="153" t="n"/>
      <c r="T172" s="153" t="n"/>
      <c r="U172" s="153" t="n"/>
      <c r="V172" s="153" t="n"/>
      <c r="W172" s="153" t="n"/>
      <c r="X172" s="153" t="n"/>
      <c r="Y172" s="153" t="n"/>
      <c r="Z172" s="153" t="n"/>
    </row>
    <row r="173" ht="15.75" customHeight="1" s="154">
      <c r="L173" s="153" t="n"/>
      <c r="M173" s="153" t="n"/>
      <c r="N173" s="153" t="n"/>
      <c r="O173" s="153" t="n"/>
      <c r="P173" s="153" t="n"/>
      <c r="Q173" s="153" t="n"/>
      <c r="R173" s="153" t="n"/>
      <c r="S173" s="153" t="n"/>
      <c r="T173" s="153" t="n"/>
      <c r="U173" s="153" t="n"/>
      <c r="V173" s="153" t="n"/>
      <c r="W173" s="153" t="n"/>
      <c r="X173" s="153" t="n"/>
      <c r="Y173" s="153" t="n"/>
      <c r="Z173" s="153" t="n"/>
    </row>
    <row r="174" ht="15.75" customHeight="1" s="154">
      <c r="L174" s="153" t="n"/>
      <c r="M174" s="153" t="n"/>
      <c r="N174" s="153" t="n"/>
      <c r="O174" s="153" t="n"/>
      <c r="P174" s="153" t="n"/>
      <c r="Q174" s="153" t="n"/>
      <c r="R174" s="153" t="n"/>
      <c r="S174" s="153" t="n"/>
      <c r="T174" s="153" t="n"/>
      <c r="U174" s="153" t="n"/>
      <c r="V174" s="153" t="n"/>
      <c r="W174" s="153" t="n"/>
      <c r="X174" s="153" t="n"/>
      <c r="Y174" s="153" t="n"/>
      <c r="Z174" s="153" t="n"/>
    </row>
    <row r="175" ht="15.75" customHeight="1" s="154">
      <c r="L175" s="153" t="n"/>
      <c r="M175" s="153" t="n"/>
      <c r="N175" s="153" t="n"/>
      <c r="O175" s="153" t="n"/>
      <c r="P175" s="153" t="n"/>
      <c r="Q175" s="153" t="n"/>
      <c r="R175" s="153" t="n"/>
      <c r="S175" s="153" t="n"/>
      <c r="T175" s="153" t="n"/>
      <c r="U175" s="153" t="n"/>
      <c r="V175" s="153" t="n"/>
      <c r="W175" s="153" t="n"/>
      <c r="X175" s="153" t="n"/>
      <c r="Y175" s="153" t="n"/>
      <c r="Z175" s="153" t="n"/>
    </row>
    <row r="176" ht="15.75" customHeight="1" s="154">
      <c r="L176" s="153" t="n"/>
      <c r="M176" s="153" t="n"/>
      <c r="N176" s="153" t="n"/>
      <c r="O176" s="153" t="n"/>
      <c r="P176" s="153" t="n"/>
      <c r="Q176" s="153" t="n"/>
      <c r="R176" s="153" t="n"/>
      <c r="S176" s="153" t="n"/>
      <c r="T176" s="153" t="n"/>
      <c r="U176" s="153" t="n"/>
      <c r="V176" s="153" t="n"/>
      <c r="W176" s="153" t="n"/>
      <c r="X176" s="153" t="n"/>
      <c r="Y176" s="153" t="n"/>
      <c r="Z176" s="153" t="n"/>
    </row>
    <row r="177" ht="15.75" customHeight="1" s="154">
      <c r="L177" s="153" t="n"/>
      <c r="M177" s="153" t="n"/>
      <c r="N177" s="153" t="n"/>
      <c r="O177" s="153" t="n"/>
      <c r="P177" s="153" t="n"/>
      <c r="Q177" s="153" t="n"/>
      <c r="R177" s="153" t="n"/>
      <c r="S177" s="153" t="n"/>
      <c r="T177" s="153" t="n"/>
      <c r="U177" s="153" t="n"/>
      <c r="V177" s="153" t="n"/>
      <c r="W177" s="153" t="n"/>
      <c r="X177" s="153" t="n"/>
      <c r="Y177" s="153" t="n"/>
      <c r="Z177" s="153" t="n"/>
    </row>
    <row r="178" ht="15.75" customHeight="1" s="154">
      <c r="L178" s="153" t="n"/>
      <c r="M178" s="153" t="n"/>
      <c r="N178" s="153" t="n"/>
      <c r="O178" s="153" t="n"/>
      <c r="P178" s="153" t="n"/>
      <c r="Q178" s="153" t="n"/>
      <c r="R178" s="153" t="n"/>
      <c r="S178" s="153" t="n"/>
      <c r="T178" s="153" t="n"/>
      <c r="U178" s="153" t="n"/>
      <c r="V178" s="153" t="n"/>
      <c r="W178" s="153" t="n"/>
      <c r="X178" s="153" t="n"/>
      <c r="Y178" s="153" t="n"/>
      <c r="Z178" s="153" t="n"/>
    </row>
    <row r="179" ht="15.75" customHeight="1" s="154">
      <c r="L179" s="153" t="n"/>
      <c r="M179" s="153" t="n"/>
      <c r="N179" s="153" t="n"/>
      <c r="O179" s="153" t="n"/>
      <c r="P179" s="153" t="n"/>
      <c r="Q179" s="153" t="n"/>
      <c r="R179" s="153" t="n"/>
      <c r="S179" s="153" t="n"/>
      <c r="T179" s="153" t="n"/>
      <c r="U179" s="153" t="n"/>
      <c r="V179" s="153" t="n"/>
      <c r="W179" s="153" t="n"/>
      <c r="X179" s="153" t="n"/>
      <c r="Y179" s="153" t="n"/>
      <c r="Z179" s="153" t="n"/>
    </row>
    <row r="180" ht="15.75" customHeight="1" s="154">
      <c r="L180" s="153" t="n"/>
      <c r="M180" s="153" t="n"/>
      <c r="N180" s="153" t="n"/>
      <c r="O180" s="153" t="n"/>
      <c r="P180" s="153" t="n"/>
      <c r="Q180" s="153" t="n"/>
      <c r="R180" s="153" t="n"/>
      <c r="S180" s="153" t="n"/>
      <c r="T180" s="153" t="n"/>
      <c r="U180" s="153" t="n"/>
      <c r="V180" s="153" t="n"/>
      <c r="W180" s="153" t="n"/>
      <c r="X180" s="153" t="n"/>
      <c r="Y180" s="153" t="n"/>
      <c r="Z180" s="153" t="n"/>
    </row>
    <row r="181" ht="15.75" customHeight="1" s="154">
      <c r="L181" s="153" t="n"/>
      <c r="M181" s="153" t="n"/>
      <c r="N181" s="153" t="n"/>
      <c r="O181" s="153" t="n"/>
      <c r="P181" s="153" t="n"/>
      <c r="Q181" s="153" t="n"/>
      <c r="R181" s="153" t="n"/>
      <c r="S181" s="153" t="n"/>
      <c r="T181" s="153" t="n"/>
      <c r="U181" s="153" t="n"/>
      <c r="V181" s="153" t="n"/>
      <c r="W181" s="153" t="n"/>
      <c r="X181" s="153" t="n"/>
      <c r="Y181" s="153" t="n"/>
      <c r="Z181" s="153" t="n"/>
    </row>
    <row r="182" ht="15.75" customHeight="1" s="154">
      <c r="L182" s="153" t="n"/>
      <c r="M182" s="153" t="n"/>
      <c r="N182" s="153" t="n"/>
      <c r="O182" s="153" t="n"/>
      <c r="P182" s="153" t="n"/>
      <c r="Q182" s="153" t="n"/>
      <c r="R182" s="153" t="n"/>
      <c r="S182" s="153" t="n"/>
      <c r="T182" s="153" t="n"/>
      <c r="U182" s="153" t="n"/>
      <c r="V182" s="153" t="n"/>
      <c r="W182" s="153" t="n"/>
      <c r="X182" s="153" t="n"/>
      <c r="Y182" s="153" t="n"/>
      <c r="Z182" s="153" t="n"/>
    </row>
    <row r="183" ht="15.75" customHeight="1" s="154">
      <c r="L183" s="153" t="n"/>
      <c r="M183" s="153" t="n"/>
      <c r="N183" s="153" t="n"/>
      <c r="O183" s="153" t="n"/>
      <c r="P183" s="153" t="n"/>
      <c r="Q183" s="153" t="n"/>
      <c r="R183" s="153" t="n"/>
      <c r="S183" s="153" t="n"/>
      <c r="T183" s="153" t="n"/>
      <c r="U183" s="153" t="n"/>
      <c r="V183" s="153" t="n"/>
      <c r="W183" s="153" t="n"/>
      <c r="X183" s="153" t="n"/>
      <c r="Y183" s="153" t="n"/>
      <c r="Z183" s="153" t="n"/>
    </row>
    <row r="184" ht="15.75" customHeight="1" s="154">
      <c r="L184" s="153" t="n"/>
      <c r="M184" s="153" t="n"/>
      <c r="N184" s="153" t="n"/>
      <c r="O184" s="153" t="n"/>
      <c r="P184" s="153" t="n"/>
      <c r="Q184" s="153" t="n"/>
      <c r="R184" s="153" t="n"/>
      <c r="S184" s="153" t="n"/>
      <c r="T184" s="153" t="n"/>
      <c r="U184" s="153" t="n"/>
      <c r="V184" s="153" t="n"/>
      <c r="W184" s="153" t="n"/>
      <c r="X184" s="153" t="n"/>
      <c r="Y184" s="153" t="n"/>
      <c r="Z184" s="153" t="n"/>
    </row>
    <row r="185" ht="15.75" customHeight="1" s="154">
      <c r="L185" s="153" t="n"/>
      <c r="M185" s="153" t="n"/>
      <c r="N185" s="153" t="n"/>
      <c r="O185" s="153" t="n"/>
      <c r="P185" s="153" t="n"/>
      <c r="Q185" s="153" t="n"/>
      <c r="R185" s="153" t="n"/>
      <c r="S185" s="153" t="n"/>
      <c r="T185" s="153" t="n"/>
      <c r="U185" s="153" t="n"/>
      <c r="V185" s="153" t="n"/>
      <c r="W185" s="153" t="n"/>
      <c r="X185" s="153" t="n"/>
      <c r="Y185" s="153" t="n"/>
      <c r="Z185" s="153" t="n"/>
    </row>
    <row r="186" ht="15.75" customHeight="1" s="154">
      <c r="L186" s="153" t="n"/>
      <c r="M186" s="153" t="n"/>
      <c r="N186" s="153" t="n"/>
      <c r="O186" s="153" t="n"/>
      <c r="P186" s="153" t="n"/>
      <c r="Q186" s="153" t="n"/>
      <c r="R186" s="153" t="n"/>
      <c r="S186" s="153" t="n"/>
      <c r="T186" s="153" t="n"/>
      <c r="U186" s="153" t="n"/>
      <c r="V186" s="153" t="n"/>
      <c r="W186" s="153" t="n"/>
      <c r="X186" s="153" t="n"/>
      <c r="Y186" s="153" t="n"/>
      <c r="Z186" s="153" t="n"/>
    </row>
    <row r="187" ht="15.75" customHeight="1" s="154">
      <c r="L187" s="153" t="n"/>
      <c r="M187" s="153" t="n"/>
      <c r="N187" s="153" t="n"/>
      <c r="O187" s="153" t="n"/>
      <c r="P187" s="153" t="n"/>
      <c r="Q187" s="153" t="n"/>
      <c r="R187" s="153" t="n"/>
      <c r="S187" s="153" t="n"/>
      <c r="T187" s="153" t="n"/>
      <c r="U187" s="153" t="n"/>
      <c r="V187" s="153" t="n"/>
      <c r="W187" s="153" t="n"/>
      <c r="X187" s="153" t="n"/>
      <c r="Y187" s="153" t="n"/>
      <c r="Z187" s="153" t="n"/>
    </row>
    <row r="188" ht="15.75" customHeight="1" s="154">
      <c r="L188" s="153" t="n"/>
      <c r="M188" s="153" t="n"/>
      <c r="N188" s="153" t="n"/>
      <c r="O188" s="153" t="n"/>
      <c r="P188" s="153" t="n"/>
      <c r="Q188" s="153" t="n"/>
      <c r="R188" s="153" t="n"/>
      <c r="S188" s="153" t="n"/>
      <c r="T188" s="153" t="n"/>
      <c r="U188" s="153" t="n"/>
      <c r="V188" s="153" t="n"/>
      <c r="W188" s="153" t="n"/>
      <c r="X188" s="153" t="n"/>
      <c r="Y188" s="153" t="n"/>
      <c r="Z188" s="153" t="n"/>
    </row>
    <row r="189" ht="15.75" customHeight="1" s="154">
      <c r="L189" s="153" t="n"/>
      <c r="M189" s="153" t="n"/>
      <c r="N189" s="153" t="n"/>
      <c r="O189" s="153" t="n"/>
      <c r="P189" s="153" t="n"/>
      <c r="Q189" s="153" t="n"/>
      <c r="R189" s="153" t="n"/>
      <c r="S189" s="153" t="n"/>
      <c r="T189" s="153" t="n"/>
      <c r="U189" s="153" t="n"/>
      <c r="V189" s="153" t="n"/>
      <c r="W189" s="153" t="n"/>
      <c r="X189" s="153" t="n"/>
      <c r="Y189" s="153" t="n"/>
      <c r="Z189" s="153" t="n"/>
    </row>
    <row r="190" ht="15.75" customHeight="1" s="154">
      <c r="L190" s="153" t="n"/>
      <c r="M190" s="153" t="n"/>
      <c r="N190" s="153" t="n"/>
      <c r="O190" s="153" t="n"/>
      <c r="P190" s="153" t="n"/>
      <c r="Q190" s="153" t="n"/>
      <c r="R190" s="153" t="n"/>
      <c r="S190" s="153" t="n"/>
      <c r="T190" s="153" t="n"/>
      <c r="U190" s="153" t="n"/>
      <c r="V190" s="153" t="n"/>
      <c r="W190" s="153" t="n"/>
      <c r="X190" s="153" t="n"/>
      <c r="Y190" s="153" t="n"/>
      <c r="Z190" s="153" t="n"/>
    </row>
    <row r="191" ht="15.75" customHeight="1" s="154">
      <c r="L191" s="153" t="n"/>
      <c r="M191" s="153" t="n"/>
      <c r="N191" s="153" t="n"/>
      <c r="O191" s="153" t="n"/>
      <c r="P191" s="153" t="n"/>
      <c r="Q191" s="153" t="n"/>
      <c r="R191" s="153" t="n"/>
      <c r="S191" s="153" t="n"/>
      <c r="T191" s="153" t="n"/>
      <c r="U191" s="153" t="n"/>
      <c r="V191" s="153" t="n"/>
      <c r="W191" s="153" t="n"/>
      <c r="X191" s="153" t="n"/>
      <c r="Y191" s="153" t="n"/>
      <c r="Z191" s="153" t="n"/>
    </row>
    <row r="192" ht="15.75" customHeight="1" s="154">
      <c r="L192" s="153" t="n"/>
      <c r="M192" s="153" t="n"/>
      <c r="N192" s="153" t="n"/>
      <c r="O192" s="153" t="n"/>
      <c r="P192" s="153" t="n"/>
      <c r="Q192" s="153" t="n"/>
      <c r="R192" s="153" t="n"/>
      <c r="S192" s="153" t="n"/>
      <c r="T192" s="153" t="n"/>
      <c r="U192" s="153" t="n"/>
      <c r="V192" s="153" t="n"/>
      <c r="W192" s="153" t="n"/>
      <c r="X192" s="153" t="n"/>
      <c r="Y192" s="153" t="n"/>
      <c r="Z192" s="153" t="n"/>
    </row>
    <row r="193" ht="15.75" customHeight="1" s="154">
      <c r="L193" s="153" t="n"/>
      <c r="M193" s="153" t="n"/>
      <c r="N193" s="153" t="n"/>
      <c r="O193" s="153" t="n"/>
      <c r="P193" s="153" t="n"/>
      <c r="Q193" s="153" t="n"/>
      <c r="R193" s="153" t="n"/>
      <c r="S193" s="153" t="n"/>
      <c r="T193" s="153" t="n"/>
      <c r="U193" s="153" t="n"/>
      <c r="V193" s="153" t="n"/>
      <c r="W193" s="153" t="n"/>
      <c r="X193" s="153" t="n"/>
      <c r="Y193" s="153" t="n"/>
      <c r="Z193" s="153" t="n"/>
    </row>
    <row r="194" ht="15.75" customHeight="1" s="154">
      <c r="L194" s="153" t="n"/>
      <c r="M194" s="153" t="n"/>
      <c r="N194" s="153" t="n"/>
      <c r="O194" s="153" t="n"/>
      <c r="P194" s="153" t="n"/>
      <c r="Q194" s="153" t="n"/>
      <c r="R194" s="153" t="n"/>
      <c r="S194" s="153" t="n"/>
      <c r="T194" s="153" t="n"/>
      <c r="U194" s="153" t="n"/>
      <c r="V194" s="153" t="n"/>
      <c r="W194" s="153" t="n"/>
      <c r="X194" s="153" t="n"/>
      <c r="Y194" s="153" t="n"/>
      <c r="Z194" s="153" t="n"/>
    </row>
    <row r="195" ht="15.75" customHeight="1" s="154">
      <c r="L195" s="153" t="n"/>
      <c r="M195" s="153" t="n"/>
      <c r="N195" s="153" t="n"/>
      <c r="O195" s="153" t="n"/>
      <c r="P195" s="153" t="n"/>
      <c r="Q195" s="153" t="n"/>
      <c r="R195" s="153" t="n"/>
      <c r="S195" s="153" t="n"/>
      <c r="T195" s="153" t="n"/>
      <c r="U195" s="153" t="n"/>
      <c r="V195" s="153" t="n"/>
      <c r="W195" s="153" t="n"/>
      <c r="X195" s="153" t="n"/>
      <c r="Y195" s="153" t="n"/>
      <c r="Z195" s="153" t="n"/>
    </row>
    <row r="196" ht="15.75" customHeight="1" s="154">
      <c r="L196" s="153" t="n"/>
      <c r="M196" s="153" t="n"/>
      <c r="N196" s="153" t="n"/>
      <c r="O196" s="153" t="n"/>
      <c r="P196" s="153" t="n"/>
      <c r="Q196" s="153" t="n"/>
      <c r="R196" s="153" t="n"/>
      <c r="S196" s="153" t="n"/>
      <c r="T196" s="153" t="n"/>
      <c r="U196" s="153" t="n"/>
      <c r="V196" s="153" t="n"/>
      <c r="W196" s="153" t="n"/>
      <c r="X196" s="153" t="n"/>
      <c r="Y196" s="153" t="n"/>
      <c r="Z196" s="153" t="n"/>
    </row>
    <row r="197" ht="15.75" customHeight="1" s="154">
      <c r="L197" s="153" t="n"/>
      <c r="M197" s="153" t="n"/>
      <c r="N197" s="153" t="n"/>
      <c r="O197" s="153" t="n"/>
      <c r="P197" s="153" t="n"/>
      <c r="Q197" s="153" t="n"/>
      <c r="R197" s="153" t="n"/>
      <c r="S197" s="153" t="n"/>
      <c r="T197" s="153" t="n"/>
      <c r="U197" s="153" t="n"/>
      <c r="V197" s="153" t="n"/>
      <c r="W197" s="153" t="n"/>
      <c r="X197" s="153" t="n"/>
      <c r="Y197" s="153" t="n"/>
      <c r="Z197" s="153" t="n"/>
    </row>
    <row r="198" ht="15.75" customHeight="1" s="154">
      <c r="L198" s="153" t="n"/>
      <c r="M198" s="153" t="n"/>
      <c r="N198" s="153" t="n"/>
      <c r="O198" s="153" t="n"/>
      <c r="P198" s="153" t="n"/>
      <c r="Q198" s="153" t="n"/>
      <c r="R198" s="153" t="n"/>
      <c r="S198" s="153" t="n"/>
      <c r="T198" s="153" t="n"/>
      <c r="U198" s="153" t="n"/>
      <c r="V198" s="153" t="n"/>
      <c r="W198" s="153" t="n"/>
      <c r="X198" s="153" t="n"/>
      <c r="Y198" s="153" t="n"/>
      <c r="Z198" s="153" t="n"/>
    </row>
    <row r="199" ht="15.75" customHeight="1" s="154">
      <c r="L199" s="153" t="n"/>
      <c r="M199" s="153" t="n"/>
      <c r="N199" s="153" t="n"/>
      <c r="O199" s="153" t="n"/>
      <c r="P199" s="153" t="n"/>
      <c r="Q199" s="153" t="n"/>
      <c r="R199" s="153" t="n"/>
      <c r="S199" s="153" t="n"/>
      <c r="T199" s="153" t="n"/>
      <c r="U199" s="153" t="n"/>
      <c r="V199" s="153" t="n"/>
      <c r="W199" s="153" t="n"/>
      <c r="X199" s="153" t="n"/>
      <c r="Y199" s="153" t="n"/>
      <c r="Z199" s="153" t="n"/>
    </row>
    <row r="200" ht="15.75" customHeight="1" s="154">
      <c r="L200" s="153" t="n"/>
      <c r="M200" s="153" t="n"/>
      <c r="N200" s="153" t="n"/>
      <c r="O200" s="153" t="n"/>
      <c r="P200" s="153" t="n"/>
      <c r="Q200" s="153" t="n"/>
      <c r="R200" s="153" t="n"/>
      <c r="S200" s="153" t="n"/>
      <c r="T200" s="153" t="n"/>
      <c r="U200" s="153" t="n"/>
      <c r="V200" s="153" t="n"/>
      <c r="W200" s="153" t="n"/>
      <c r="X200" s="153" t="n"/>
      <c r="Y200" s="153" t="n"/>
      <c r="Z200" s="153" t="n"/>
    </row>
    <row r="201" ht="15.75" customHeight="1" s="154">
      <c r="L201" s="153" t="n"/>
      <c r="M201" s="153" t="n"/>
      <c r="N201" s="153" t="n"/>
      <c r="O201" s="153" t="n"/>
      <c r="P201" s="153" t="n"/>
      <c r="Q201" s="153" t="n"/>
      <c r="R201" s="153" t="n"/>
      <c r="S201" s="153" t="n"/>
      <c r="T201" s="153" t="n"/>
      <c r="U201" s="153" t="n"/>
      <c r="V201" s="153" t="n"/>
      <c r="W201" s="153" t="n"/>
      <c r="X201" s="153" t="n"/>
      <c r="Y201" s="153" t="n"/>
      <c r="Z201" s="153" t="n"/>
    </row>
    <row r="202" ht="15.75" customHeight="1" s="154">
      <c r="L202" s="153" t="n"/>
      <c r="M202" s="153" t="n"/>
      <c r="N202" s="153" t="n"/>
      <c r="O202" s="153" t="n"/>
      <c r="P202" s="153" t="n"/>
      <c r="Q202" s="153" t="n"/>
      <c r="R202" s="153" t="n"/>
      <c r="S202" s="153" t="n"/>
      <c r="T202" s="153" t="n"/>
      <c r="U202" s="153" t="n"/>
      <c r="V202" s="153" t="n"/>
      <c r="W202" s="153" t="n"/>
      <c r="X202" s="153" t="n"/>
      <c r="Y202" s="153" t="n"/>
      <c r="Z202" s="153" t="n"/>
    </row>
    <row r="203" ht="15.75" customHeight="1" s="154">
      <c r="L203" s="153" t="n"/>
      <c r="M203" s="153" t="n"/>
      <c r="N203" s="153" t="n"/>
      <c r="O203" s="153" t="n"/>
      <c r="P203" s="153" t="n"/>
      <c r="Q203" s="153" t="n"/>
      <c r="R203" s="153" t="n"/>
      <c r="S203" s="153" t="n"/>
      <c r="T203" s="153" t="n"/>
      <c r="U203" s="153" t="n"/>
      <c r="V203" s="153" t="n"/>
      <c r="W203" s="153" t="n"/>
      <c r="X203" s="153" t="n"/>
      <c r="Y203" s="153" t="n"/>
      <c r="Z203" s="153" t="n"/>
    </row>
    <row r="204" ht="15.75" customHeight="1" s="154">
      <c r="L204" s="153" t="n"/>
      <c r="M204" s="153" t="n"/>
      <c r="N204" s="153" t="n"/>
      <c r="O204" s="153" t="n"/>
      <c r="P204" s="153" t="n"/>
      <c r="Q204" s="153" t="n"/>
      <c r="R204" s="153" t="n"/>
      <c r="S204" s="153" t="n"/>
      <c r="T204" s="153" t="n"/>
      <c r="U204" s="153" t="n"/>
      <c r="V204" s="153" t="n"/>
      <c r="W204" s="153" t="n"/>
      <c r="X204" s="153" t="n"/>
      <c r="Y204" s="153" t="n"/>
      <c r="Z204" s="153" t="n"/>
    </row>
    <row r="205" ht="15.75" customHeight="1" s="154">
      <c r="L205" s="153" t="n"/>
      <c r="M205" s="153" t="n"/>
      <c r="N205" s="153" t="n"/>
      <c r="O205" s="153" t="n"/>
      <c r="P205" s="153" t="n"/>
      <c r="Q205" s="153" t="n"/>
      <c r="R205" s="153" t="n"/>
      <c r="S205" s="153" t="n"/>
      <c r="T205" s="153" t="n"/>
      <c r="U205" s="153" t="n"/>
      <c r="V205" s="153" t="n"/>
      <c r="W205" s="153" t="n"/>
      <c r="X205" s="153" t="n"/>
      <c r="Y205" s="153" t="n"/>
      <c r="Z205" s="153" t="n"/>
    </row>
    <row r="206" ht="15.75" customHeight="1" s="154">
      <c r="L206" s="153" t="n"/>
      <c r="M206" s="153" t="n"/>
      <c r="N206" s="153" t="n"/>
      <c r="O206" s="153" t="n"/>
      <c r="P206" s="153" t="n"/>
      <c r="Q206" s="153" t="n"/>
      <c r="R206" s="153" t="n"/>
      <c r="S206" s="153" t="n"/>
      <c r="T206" s="153" t="n"/>
      <c r="U206" s="153" t="n"/>
      <c r="V206" s="153" t="n"/>
      <c r="W206" s="153" t="n"/>
      <c r="X206" s="153" t="n"/>
      <c r="Y206" s="153" t="n"/>
      <c r="Z206" s="153" t="n"/>
    </row>
    <row r="207" ht="15.75" customHeight="1" s="154">
      <c r="L207" s="153" t="n"/>
      <c r="M207" s="153" t="n"/>
      <c r="N207" s="153" t="n"/>
      <c r="O207" s="153" t="n"/>
      <c r="P207" s="153" t="n"/>
      <c r="Q207" s="153" t="n"/>
      <c r="R207" s="153" t="n"/>
      <c r="S207" s="153" t="n"/>
      <c r="T207" s="153" t="n"/>
      <c r="U207" s="153" t="n"/>
      <c r="V207" s="153" t="n"/>
      <c r="W207" s="153" t="n"/>
      <c r="X207" s="153" t="n"/>
      <c r="Y207" s="153" t="n"/>
      <c r="Z207" s="153" t="n"/>
    </row>
    <row r="208" ht="15.75" customHeight="1" s="154">
      <c r="L208" s="153" t="n"/>
      <c r="M208" s="153" t="n"/>
      <c r="N208" s="153" t="n"/>
      <c r="O208" s="153" t="n"/>
      <c r="P208" s="153" t="n"/>
      <c r="Q208" s="153" t="n"/>
      <c r="R208" s="153" t="n"/>
      <c r="S208" s="153" t="n"/>
      <c r="T208" s="153" t="n"/>
      <c r="U208" s="153" t="n"/>
      <c r="V208" s="153" t="n"/>
      <c r="W208" s="153" t="n"/>
      <c r="X208" s="153" t="n"/>
      <c r="Y208" s="153" t="n"/>
      <c r="Z208" s="153" t="n"/>
    </row>
    <row r="209" ht="15.75" customHeight="1" s="154">
      <c r="L209" s="153" t="n"/>
      <c r="M209" s="153" t="n"/>
      <c r="N209" s="153" t="n"/>
      <c r="O209" s="153" t="n"/>
      <c r="P209" s="153" t="n"/>
      <c r="Q209" s="153" t="n"/>
      <c r="R209" s="153" t="n"/>
      <c r="S209" s="153" t="n"/>
      <c r="T209" s="153" t="n"/>
      <c r="U209" s="153" t="n"/>
      <c r="V209" s="153" t="n"/>
      <c r="W209" s="153" t="n"/>
      <c r="X209" s="153" t="n"/>
      <c r="Y209" s="153" t="n"/>
      <c r="Z209" s="153" t="n"/>
    </row>
    <row r="210" ht="15.75" customHeight="1" s="154">
      <c r="L210" s="153" t="n"/>
      <c r="M210" s="153" t="n"/>
      <c r="N210" s="153" t="n"/>
      <c r="O210" s="153" t="n"/>
      <c r="P210" s="153" t="n"/>
      <c r="Q210" s="153" t="n"/>
      <c r="R210" s="153" t="n"/>
      <c r="S210" s="153" t="n"/>
      <c r="T210" s="153" t="n"/>
      <c r="U210" s="153" t="n"/>
      <c r="V210" s="153" t="n"/>
      <c r="W210" s="153" t="n"/>
      <c r="X210" s="153" t="n"/>
      <c r="Y210" s="153" t="n"/>
      <c r="Z210" s="153" t="n"/>
    </row>
    <row r="211" ht="15.75" customHeight="1" s="154">
      <c r="L211" s="153" t="n"/>
      <c r="M211" s="153" t="n"/>
      <c r="N211" s="153" t="n"/>
      <c r="O211" s="153" t="n"/>
      <c r="P211" s="153" t="n"/>
      <c r="Q211" s="153" t="n"/>
      <c r="R211" s="153" t="n"/>
      <c r="S211" s="153" t="n"/>
      <c r="T211" s="153" t="n"/>
      <c r="U211" s="153" t="n"/>
      <c r="V211" s="153" t="n"/>
      <c r="W211" s="153" t="n"/>
      <c r="X211" s="153" t="n"/>
      <c r="Y211" s="153" t="n"/>
      <c r="Z211" s="153" t="n"/>
    </row>
    <row r="212" ht="15.75" customHeight="1" s="154">
      <c r="L212" s="153" t="n"/>
      <c r="M212" s="153" t="n"/>
      <c r="N212" s="153" t="n"/>
      <c r="O212" s="153" t="n"/>
      <c r="P212" s="153" t="n"/>
      <c r="Q212" s="153" t="n"/>
      <c r="R212" s="153" t="n"/>
      <c r="S212" s="153" t="n"/>
      <c r="T212" s="153" t="n"/>
      <c r="U212" s="153" t="n"/>
      <c r="V212" s="153" t="n"/>
      <c r="W212" s="153" t="n"/>
      <c r="X212" s="153" t="n"/>
      <c r="Y212" s="153" t="n"/>
      <c r="Z212" s="153" t="n"/>
    </row>
    <row r="213" ht="15.75" customHeight="1" s="154">
      <c r="L213" s="153" t="n"/>
      <c r="M213" s="153" t="n"/>
      <c r="N213" s="153" t="n"/>
      <c r="O213" s="153" t="n"/>
      <c r="P213" s="153" t="n"/>
      <c r="Q213" s="153" t="n"/>
      <c r="R213" s="153" t="n"/>
      <c r="S213" s="153" t="n"/>
      <c r="T213" s="153" t="n"/>
      <c r="U213" s="153" t="n"/>
      <c r="V213" s="153" t="n"/>
      <c r="W213" s="153" t="n"/>
      <c r="X213" s="153" t="n"/>
      <c r="Y213" s="153" t="n"/>
      <c r="Z213" s="153" t="n"/>
    </row>
    <row r="214" ht="15.75" customHeight="1" s="154">
      <c r="L214" s="153" t="n"/>
      <c r="M214" s="153" t="n"/>
      <c r="N214" s="153" t="n"/>
      <c r="O214" s="153" t="n"/>
      <c r="P214" s="153" t="n"/>
      <c r="Q214" s="153" t="n"/>
      <c r="R214" s="153" t="n"/>
      <c r="S214" s="153" t="n"/>
      <c r="T214" s="153" t="n"/>
      <c r="U214" s="153" t="n"/>
      <c r="V214" s="153" t="n"/>
      <c r="W214" s="153" t="n"/>
      <c r="X214" s="153" t="n"/>
      <c r="Y214" s="153" t="n"/>
      <c r="Z214" s="153" t="n"/>
    </row>
    <row r="215" ht="15.75" customHeight="1" s="154">
      <c r="L215" s="153" t="n"/>
      <c r="M215" s="153" t="n"/>
      <c r="N215" s="153" t="n"/>
      <c r="O215" s="153" t="n"/>
      <c r="P215" s="153" t="n"/>
      <c r="Q215" s="153" t="n"/>
      <c r="R215" s="153" t="n"/>
      <c r="S215" s="153" t="n"/>
      <c r="T215" s="153" t="n"/>
      <c r="U215" s="153" t="n"/>
      <c r="V215" s="153" t="n"/>
      <c r="W215" s="153" t="n"/>
      <c r="X215" s="153" t="n"/>
      <c r="Y215" s="153" t="n"/>
      <c r="Z215" s="153" t="n"/>
    </row>
    <row r="216" ht="15.75" customHeight="1" s="154">
      <c r="L216" s="153" t="n"/>
      <c r="M216" s="153" t="n"/>
      <c r="N216" s="153" t="n"/>
      <c r="O216" s="153" t="n"/>
      <c r="P216" s="153" t="n"/>
      <c r="Q216" s="153" t="n"/>
      <c r="R216" s="153" t="n"/>
      <c r="S216" s="153" t="n"/>
      <c r="T216" s="153" t="n"/>
      <c r="U216" s="153" t="n"/>
      <c r="V216" s="153" t="n"/>
      <c r="W216" s="153" t="n"/>
      <c r="X216" s="153" t="n"/>
      <c r="Y216" s="153" t="n"/>
      <c r="Z216" s="153" t="n"/>
    </row>
    <row r="217" ht="15.75" customHeight="1" s="154">
      <c r="L217" s="153" t="n"/>
      <c r="M217" s="153" t="n"/>
      <c r="N217" s="153" t="n"/>
      <c r="O217" s="153" t="n"/>
      <c r="P217" s="153" t="n"/>
      <c r="Q217" s="153" t="n"/>
      <c r="R217" s="153" t="n"/>
      <c r="S217" s="153" t="n"/>
      <c r="T217" s="153" t="n"/>
      <c r="U217" s="153" t="n"/>
      <c r="V217" s="153" t="n"/>
      <c r="W217" s="153" t="n"/>
      <c r="X217" s="153" t="n"/>
      <c r="Y217" s="153" t="n"/>
      <c r="Z217" s="153" t="n"/>
    </row>
    <row r="218" ht="15.75" customHeight="1" s="154">
      <c r="L218" s="153" t="n"/>
      <c r="M218" s="153" t="n"/>
      <c r="N218" s="153" t="n"/>
      <c r="O218" s="153" t="n"/>
      <c r="P218" s="153" t="n"/>
      <c r="Q218" s="153" t="n"/>
      <c r="R218" s="153" t="n"/>
      <c r="S218" s="153" t="n"/>
      <c r="T218" s="153" t="n"/>
      <c r="U218" s="153" t="n"/>
      <c r="V218" s="153" t="n"/>
      <c r="W218" s="153" t="n"/>
      <c r="X218" s="153" t="n"/>
      <c r="Y218" s="153" t="n"/>
      <c r="Z218" s="153" t="n"/>
    </row>
    <row r="219" ht="15.75" customHeight="1" s="154">
      <c r="L219" s="153" t="n"/>
      <c r="M219" s="153" t="n"/>
      <c r="N219" s="153" t="n"/>
      <c r="O219" s="153" t="n"/>
      <c r="P219" s="153" t="n"/>
      <c r="Q219" s="153" t="n"/>
      <c r="R219" s="153" t="n"/>
      <c r="S219" s="153" t="n"/>
      <c r="T219" s="153" t="n"/>
      <c r="U219" s="153" t="n"/>
      <c r="V219" s="153" t="n"/>
      <c r="W219" s="153" t="n"/>
      <c r="X219" s="153" t="n"/>
      <c r="Y219" s="153" t="n"/>
      <c r="Z219" s="153" t="n"/>
    </row>
    <row r="220" ht="15.75" customHeight="1" s="154">
      <c r="L220" s="153" t="n"/>
      <c r="M220" s="153" t="n"/>
      <c r="N220" s="153" t="n"/>
      <c r="O220" s="153" t="n"/>
      <c r="P220" s="153" t="n"/>
      <c r="Q220" s="153" t="n"/>
      <c r="R220" s="153" t="n"/>
      <c r="S220" s="153" t="n"/>
      <c r="T220" s="153" t="n"/>
      <c r="U220" s="153" t="n"/>
      <c r="V220" s="153" t="n"/>
      <c r="W220" s="153" t="n"/>
      <c r="X220" s="153" t="n"/>
      <c r="Y220" s="153" t="n"/>
      <c r="Z220" s="153" t="n"/>
    </row>
    <row r="221" ht="15.75" customHeight="1" s="154">
      <c r="L221" s="153" t="n"/>
      <c r="M221" s="153" t="n"/>
      <c r="N221" s="153" t="n"/>
      <c r="O221" s="153" t="n"/>
      <c r="P221" s="153" t="n"/>
      <c r="Q221" s="153" t="n"/>
      <c r="R221" s="153" t="n"/>
      <c r="S221" s="153" t="n"/>
      <c r="T221" s="153" t="n"/>
      <c r="U221" s="153" t="n"/>
      <c r="V221" s="153" t="n"/>
      <c r="W221" s="153" t="n"/>
      <c r="X221" s="153" t="n"/>
      <c r="Y221" s="153" t="n"/>
      <c r="Z221" s="153" t="n"/>
    </row>
    <row r="222" ht="15.75" customHeight="1" s="154">
      <c r="L222" s="153" t="n"/>
      <c r="M222" s="153" t="n"/>
      <c r="N222" s="153" t="n"/>
      <c r="O222" s="153" t="n"/>
      <c r="P222" s="153" t="n"/>
      <c r="Q222" s="153" t="n"/>
      <c r="R222" s="153" t="n"/>
      <c r="S222" s="153" t="n"/>
      <c r="T222" s="153" t="n"/>
      <c r="U222" s="153" t="n"/>
      <c r="V222" s="153" t="n"/>
      <c r="W222" s="153" t="n"/>
      <c r="X222" s="153" t="n"/>
      <c r="Y222" s="153" t="n"/>
      <c r="Z222" s="153" t="n"/>
    </row>
    <row r="223" ht="15.75" customHeight="1" s="154">
      <c r="L223" s="153" t="n"/>
      <c r="M223" s="153" t="n"/>
      <c r="N223" s="153" t="n"/>
      <c r="O223" s="153" t="n"/>
      <c r="P223" s="153" t="n"/>
      <c r="Q223" s="153" t="n"/>
      <c r="R223" s="153" t="n"/>
      <c r="S223" s="153" t="n"/>
      <c r="T223" s="153" t="n"/>
      <c r="U223" s="153" t="n"/>
      <c r="V223" s="153" t="n"/>
      <c r="W223" s="153" t="n"/>
      <c r="X223" s="153" t="n"/>
      <c r="Y223" s="153" t="n"/>
      <c r="Z223" s="153" t="n"/>
    </row>
    <row r="224" ht="15.75" customHeight="1" s="154">
      <c r="L224" s="153" t="n"/>
      <c r="M224" s="153" t="n"/>
      <c r="N224" s="153" t="n"/>
      <c r="O224" s="153" t="n"/>
      <c r="P224" s="153" t="n"/>
      <c r="Q224" s="153" t="n"/>
      <c r="R224" s="153" t="n"/>
      <c r="S224" s="153" t="n"/>
      <c r="T224" s="153" t="n"/>
      <c r="U224" s="153" t="n"/>
      <c r="V224" s="153" t="n"/>
      <c r="W224" s="153" t="n"/>
      <c r="X224" s="153" t="n"/>
      <c r="Y224" s="153" t="n"/>
      <c r="Z224" s="153" t="n"/>
    </row>
    <row r="225" ht="15.75" customHeight="1" s="154">
      <c r="L225" s="153" t="n"/>
      <c r="M225" s="153" t="n"/>
      <c r="N225" s="153" t="n"/>
      <c r="O225" s="153" t="n"/>
      <c r="P225" s="153" t="n"/>
      <c r="Q225" s="153" t="n"/>
      <c r="R225" s="153" t="n"/>
      <c r="S225" s="153" t="n"/>
      <c r="T225" s="153" t="n"/>
      <c r="U225" s="153" t="n"/>
      <c r="V225" s="153" t="n"/>
      <c r="W225" s="153" t="n"/>
      <c r="X225" s="153" t="n"/>
      <c r="Y225" s="153" t="n"/>
      <c r="Z225" s="153" t="n"/>
    </row>
    <row r="226" ht="15.75" customHeight="1" s="154">
      <c r="L226" s="153" t="n"/>
      <c r="M226" s="153" t="n"/>
      <c r="N226" s="153" t="n"/>
      <c r="O226" s="153" t="n"/>
      <c r="P226" s="153" t="n"/>
      <c r="Q226" s="153" t="n"/>
      <c r="R226" s="153" t="n"/>
      <c r="S226" s="153" t="n"/>
      <c r="T226" s="153" t="n"/>
      <c r="U226" s="153" t="n"/>
      <c r="V226" s="153" t="n"/>
      <c r="W226" s="153" t="n"/>
      <c r="X226" s="153" t="n"/>
      <c r="Y226" s="153" t="n"/>
      <c r="Z226" s="153" t="n"/>
    </row>
    <row r="227" ht="15.75" customHeight="1" s="154">
      <c r="L227" s="153" t="n"/>
      <c r="M227" s="153" t="n"/>
      <c r="N227" s="153" t="n"/>
      <c r="O227" s="153" t="n"/>
      <c r="P227" s="153" t="n"/>
      <c r="Q227" s="153" t="n"/>
      <c r="R227" s="153" t="n"/>
      <c r="S227" s="153" t="n"/>
      <c r="T227" s="153" t="n"/>
      <c r="U227" s="153" t="n"/>
      <c r="V227" s="153" t="n"/>
      <c r="W227" s="153" t="n"/>
      <c r="X227" s="153" t="n"/>
      <c r="Y227" s="153" t="n"/>
      <c r="Z227" s="153" t="n"/>
    </row>
    <row r="228" ht="15.75" customHeight="1" s="154">
      <c r="L228" s="153" t="n"/>
      <c r="M228" s="153" t="n"/>
      <c r="N228" s="153" t="n"/>
      <c r="O228" s="153" t="n"/>
      <c r="P228" s="153" t="n"/>
      <c r="Q228" s="153" t="n"/>
      <c r="R228" s="153" t="n"/>
      <c r="S228" s="153" t="n"/>
      <c r="T228" s="153" t="n"/>
      <c r="U228" s="153" t="n"/>
      <c r="V228" s="153" t="n"/>
      <c r="W228" s="153" t="n"/>
      <c r="X228" s="153" t="n"/>
      <c r="Y228" s="153" t="n"/>
      <c r="Z228" s="153" t="n"/>
    </row>
    <row r="229" ht="15.75" customHeight="1" s="154">
      <c r="L229" s="153" t="n"/>
      <c r="M229" s="153" t="n"/>
      <c r="N229" s="153" t="n"/>
      <c r="O229" s="153" t="n"/>
      <c r="P229" s="153" t="n"/>
      <c r="Q229" s="153" t="n"/>
      <c r="R229" s="153" t="n"/>
      <c r="S229" s="153" t="n"/>
      <c r="T229" s="153" t="n"/>
      <c r="U229" s="153" t="n"/>
      <c r="V229" s="153" t="n"/>
      <c r="W229" s="153" t="n"/>
      <c r="X229" s="153" t="n"/>
      <c r="Y229" s="153" t="n"/>
      <c r="Z229" s="153" t="n"/>
    </row>
    <row r="230" ht="15.75" customHeight="1" s="154">
      <c r="L230" s="153" t="n"/>
      <c r="M230" s="153" t="n"/>
      <c r="N230" s="153" t="n"/>
      <c r="O230" s="153" t="n"/>
      <c r="P230" s="153" t="n"/>
      <c r="Q230" s="153" t="n"/>
      <c r="R230" s="153" t="n"/>
      <c r="S230" s="153" t="n"/>
      <c r="T230" s="153" t="n"/>
      <c r="U230" s="153" t="n"/>
      <c r="V230" s="153" t="n"/>
      <c r="W230" s="153" t="n"/>
      <c r="X230" s="153" t="n"/>
      <c r="Y230" s="153" t="n"/>
      <c r="Z230" s="153" t="n"/>
    </row>
    <row r="231" ht="15.75" customHeight="1" s="154">
      <c r="L231" s="153" t="n"/>
      <c r="M231" s="153" t="n"/>
      <c r="N231" s="153" t="n"/>
      <c r="O231" s="153" t="n"/>
      <c r="P231" s="153" t="n"/>
      <c r="Q231" s="153" t="n"/>
      <c r="R231" s="153" t="n"/>
      <c r="S231" s="153" t="n"/>
      <c r="T231" s="153" t="n"/>
      <c r="U231" s="153" t="n"/>
      <c r="V231" s="153" t="n"/>
      <c r="W231" s="153" t="n"/>
      <c r="X231" s="153" t="n"/>
      <c r="Y231" s="153" t="n"/>
      <c r="Z231" s="153" t="n"/>
    </row>
    <row r="232" ht="15.75" customHeight="1" s="154">
      <c r="L232" s="153" t="n"/>
      <c r="M232" s="153" t="n"/>
      <c r="N232" s="153" t="n"/>
      <c r="O232" s="153" t="n"/>
      <c r="P232" s="153" t="n"/>
      <c r="Q232" s="153" t="n"/>
      <c r="R232" s="153" t="n"/>
      <c r="S232" s="153" t="n"/>
      <c r="T232" s="153" t="n"/>
      <c r="U232" s="153" t="n"/>
      <c r="V232" s="153" t="n"/>
      <c r="W232" s="153" t="n"/>
      <c r="X232" s="153" t="n"/>
      <c r="Y232" s="153" t="n"/>
      <c r="Z232" s="153" t="n"/>
    </row>
    <row r="233" ht="15.75" customHeight="1" s="154">
      <c r="L233" s="153" t="n"/>
      <c r="M233" s="153" t="n"/>
      <c r="N233" s="153" t="n"/>
      <c r="O233" s="153" t="n"/>
      <c r="P233" s="153" t="n"/>
      <c r="Q233" s="153" t="n"/>
      <c r="R233" s="153" t="n"/>
      <c r="S233" s="153" t="n"/>
      <c r="T233" s="153" t="n"/>
      <c r="U233" s="153" t="n"/>
      <c r="V233" s="153" t="n"/>
      <c r="W233" s="153" t="n"/>
      <c r="X233" s="153" t="n"/>
      <c r="Y233" s="153" t="n"/>
      <c r="Z233" s="153" t="n"/>
    </row>
    <row r="234" ht="15.75" customHeight="1" s="154">
      <c r="L234" s="153" t="n"/>
      <c r="M234" s="153" t="n"/>
      <c r="N234" s="153" t="n"/>
      <c r="O234" s="153" t="n"/>
      <c r="P234" s="153" t="n"/>
      <c r="Q234" s="153" t="n"/>
      <c r="R234" s="153" t="n"/>
      <c r="S234" s="153" t="n"/>
      <c r="T234" s="153" t="n"/>
      <c r="U234" s="153" t="n"/>
      <c r="V234" s="153" t="n"/>
      <c r="W234" s="153" t="n"/>
      <c r="X234" s="153" t="n"/>
      <c r="Y234" s="153" t="n"/>
      <c r="Z234" s="153" t="n"/>
    </row>
    <row r="235" ht="15.75" customHeight="1" s="154">
      <c r="L235" s="153" t="n"/>
      <c r="M235" s="153" t="n"/>
      <c r="N235" s="153" t="n"/>
      <c r="O235" s="153" t="n"/>
      <c r="P235" s="153" t="n"/>
      <c r="Q235" s="153" t="n"/>
      <c r="R235" s="153" t="n"/>
      <c r="S235" s="153" t="n"/>
      <c r="T235" s="153" t="n"/>
      <c r="U235" s="153" t="n"/>
      <c r="V235" s="153" t="n"/>
      <c r="W235" s="153" t="n"/>
      <c r="X235" s="153" t="n"/>
      <c r="Y235" s="153" t="n"/>
      <c r="Z235" s="153" t="n"/>
    </row>
    <row r="236" ht="15.75" customHeight="1" s="154">
      <c r="L236" s="153" t="n"/>
      <c r="M236" s="153" t="n"/>
      <c r="N236" s="153" t="n"/>
      <c r="O236" s="153" t="n"/>
      <c r="P236" s="153" t="n"/>
      <c r="Q236" s="153" t="n"/>
      <c r="R236" s="153" t="n"/>
      <c r="S236" s="153" t="n"/>
      <c r="T236" s="153" t="n"/>
      <c r="U236" s="153" t="n"/>
      <c r="V236" s="153" t="n"/>
      <c r="W236" s="153" t="n"/>
      <c r="X236" s="153" t="n"/>
      <c r="Y236" s="153" t="n"/>
      <c r="Z236" s="153" t="n"/>
    </row>
    <row r="237" ht="15.75" customHeight="1" s="154">
      <c r="L237" s="153" t="n"/>
      <c r="M237" s="153" t="n"/>
      <c r="N237" s="153" t="n"/>
      <c r="O237" s="153" t="n"/>
      <c r="P237" s="153" t="n"/>
      <c r="Q237" s="153" t="n"/>
      <c r="R237" s="153" t="n"/>
      <c r="S237" s="153" t="n"/>
      <c r="T237" s="153" t="n"/>
      <c r="U237" s="153" t="n"/>
      <c r="V237" s="153" t="n"/>
      <c r="W237" s="153" t="n"/>
      <c r="X237" s="153" t="n"/>
      <c r="Y237" s="153" t="n"/>
      <c r="Z237" s="153" t="n"/>
    </row>
    <row r="238" ht="15.75" customHeight="1" s="154">
      <c r="L238" s="153" t="n"/>
      <c r="M238" s="153" t="n"/>
      <c r="N238" s="153" t="n"/>
      <c r="O238" s="153" t="n"/>
      <c r="P238" s="153" t="n"/>
      <c r="Q238" s="153" t="n"/>
      <c r="R238" s="153" t="n"/>
      <c r="S238" s="153" t="n"/>
      <c r="T238" s="153" t="n"/>
      <c r="U238" s="153" t="n"/>
      <c r="V238" s="153" t="n"/>
      <c r="W238" s="153" t="n"/>
      <c r="X238" s="153" t="n"/>
      <c r="Y238" s="153" t="n"/>
      <c r="Z238" s="153" t="n"/>
    </row>
    <row r="239" ht="15.75" customHeight="1" s="154">
      <c r="L239" s="153" t="n"/>
      <c r="M239" s="153" t="n"/>
      <c r="N239" s="153" t="n"/>
      <c r="O239" s="153" t="n"/>
      <c r="P239" s="153" t="n"/>
      <c r="Q239" s="153" t="n"/>
      <c r="R239" s="153" t="n"/>
      <c r="S239" s="153" t="n"/>
      <c r="T239" s="153" t="n"/>
      <c r="U239" s="153" t="n"/>
      <c r="V239" s="153" t="n"/>
      <c r="W239" s="153" t="n"/>
      <c r="X239" s="153" t="n"/>
      <c r="Y239" s="153" t="n"/>
      <c r="Z239" s="153" t="n"/>
    </row>
    <row r="240" ht="15.75" customHeight="1" s="154">
      <c r="L240" s="153" t="n"/>
      <c r="M240" s="153" t="n"/>
      <c r="N240" s="153" t="n"/>
      <c r="O240" s="153" t="n"/>
      <c r="P240" s="153" t="n"/>
      <c r="Q240" s="153" t="n"/>
      <c r="R240" s="153" t="n"/>
      <c r="S240" s="153" t="n"/>
      <c r="T240" s="153" t="n"/>
      <c r="U240" s="153" t="n"/>
      <c r="V240" s="153" t="n"/>
      <c r="W240" s="153" t="n"/>
      <c r="X240" s="153" t="n"/>
      <c r="Y240" s="153" t="n"/>
      <c r="Z240" s="153" t="n"/>
    </row>
    <row r="241" ht="15.75" customHeight="1" s="154">
      <c r="L241" s="153" t="n"/>
      <c r="M241" s="153" t="n"/>
      <c r="N241" s="153" t="n"/>
      <c r="O241" s="153" t="n"/>
      <c r="P241" s="153" t="n"/>
      <c r="Q241" s="153" t="n"/>
      <c r="R241" s="153" t="n"/>
      <c r="S241" s="153" t="n"/>
      <c r="T241" s="153" t="n"/>
      <c r="U241" s="153" t="n"/>
      <c r="V241" s="153" t="n"/>
      <c r="W241" s="153" t="n"/>
      <c r="X241" s="153" t="n"/>
      <c r="Y241" s="153" t="n"/>
      <c r="Z241" s="153" t="n"/>
    </row>
    <row r="242" ht="15.75" customHeight="1" s="154">
      <c r="L242" s="153" t="n"/>
      <c r="M242" s="153" t="n"/>
      <c r="N242" s="153" t="n"/>
      <c r="O242" s="153" t="n"/>
      <c r="P242" s="153" t="n"/>
      <c r="Q242" s="153" t="n"/>
      <c r="R242" s="153" t="n"/>
      <c r="S242" s="153" t="n"/>
      <c r="T242" s="153" t="n"/>
      <c r="U242" s="153" t="n"/>
      <c r="V242" s="153" t="n"/>
      <c r="W242" s="153" t="n"/>
      <c r="X242" s="153" t="n"/>
      <c r="Y242" s="153" t="n"/>
      <c r="Z242" s="153" t="n"/>
    </row>
    <row r="243" ht="15.75" customHeight="1" s="154">
      <c r="L243" s="153" t="n"/>
      <c r="M243" s="153" t="n"/>
      <c r="N243" s="153" t="n"/>
      <c r="O243" s="153" t="n"/>
      <c r="P243" s="153" t="n"/>
      <c r="Q243" s="153" t="n"/>
      <c r="R243" s="153" t="n"/>
      <c r="S243" s="153" t="n"/>
      <c r="T243" s="153" t="n"/>
      <c r="U243" s="153" t="n"/>
      <c r="V243" s="153" t="n"/>
      <c r="W243" s="153" t="n"/>
      <c r="X243" s="153" t="n"/>
      <c r="Y243" s="153" t="n"/>
      <c r="Z243" s="153" t="n"/>
    </row>
    <row r="244" ht="15.75" customHeight="1" s="154">
      <c r="L244" s="153" t="n"/>
      <c r="M244" s="153" t="n"/>
      <c r="N244" s="153" t="n"/>
      <c r="O244" s="153" t="n"/>
      <c r="P244" s="153" t="n"/>
      <c r="Q244" s="153" t="n"/>
      <c r="R244" s="153" t="n"/>
      <c r="S244" s="153" t="n"/>
      <c r="T244" s="153" t="n"/>
      <c r="U244" s="153" t="n"/>
      <c r="V244" s="153" t="n"/>
      <c r="W244" s="153" t="n"/>
      <c r="X244" s="153" t="n"/>
      <c r="Y244" s="153" t="n"/>
      <c r="Z244" s="153" t="n"/>
    </row>
    <row r="245" ht="15.75" customHeight="1" s="154">
      <c r="L245" s="153" t="n"/>
      <c r="M245" s="153" t="n"/>
      <c r="N245" s="153" t="n"/>
      <c r="O245" s="153" t="n"/>
      <c r="P245" s="153" t="n"/>
      <c r="Q245" s="153" t="n"/>
      <c r="R245" s="153" t="n"/>
      <c r="S245" s="153" t="n"/>
      <c r="T245" s="153" t="n"/>
      <c r="U245" s="153" t="n"/>
      <c r="V245" s="153" t="n"/>
      <c r="W245" s="153" t="n"/>
      <c r="X245" s="153" t="n"/>
      <c r="Y245" s="153" t="n"/>
      <c r="Z245" s="153" t="n"/>
    </row>
    <row r="246" ht="15.75" customHeight="1" s="154">
      <c r="L246" s="153" t="n"/>
      <c r="M246" s="153" t="n"/>
      <c r="N246" s="153" t="n"/>
      <c r="O246" s="153" t="n"/>
      <c r="P246" s="153" t="n"/>
      <c r="Q246" s="153" t="n"/>
      <c r="R246" s="153" t="n"/>
      <c r="S246" s="153" t="n"/>
      <c r="T246" s="153" t="n"/>
      <c r="U246" s="153" t="n"/>
      <c r="V246" s="153" t="n"/>
      <c r="W246" s="153" t="n"/>
      <c r="X246" s="153" t="n"/>
      <c r="Y246" s="153" t="n"/>
      <c r="Z246" s="153" t="n"/>
    </row>
    <row r="247" ht="15.75" customHeight="1" s="154">
      <c r="L247" s="153" t="n"/>
      <c r="M247" s="153" t="n"/>
      <c r="N247" s="153" t="n"/>
      <c r="O247" s="153" t="n"/>
      <c r="P247" s="153" t="n"/>
      <c r="Q247" s="153" t="n"/>
      <c r="R247" s="153" t="n"/>
      <c r="S247" s="153" t="n"/>
      <c r="T247" s="153" t="n"/>
      <c r="U247" s="153" t="n"/>
      <c r="V247" s="153" t="n"/>
      <c r="W247" s="153" t="n"/>
      <c r="X247" s="153" t="n"/>
      <c r="Y247" s="153" t="n"/>
      <c r="Z247" s="153" t="n"/>
    </row>
    <row r="248" ht="15.75" customHeight="1" s="154">
      <c r="L248" s="153" t="n"/>
      <c r="M248" s="153" t="n"/>
      <c r="N248" s="153" t="n"/>
      <c r="O248" s="153" t="n"/>
      <c r="P248" s="153" t="n"/>
      <c r="Q248" s="153" t="n"/>
      <c r="R248" s="153" t="n"/>
      <c r="S248" s="153" t="n"/>
      <c r="T248" s="153" t="n"/>
      <c r="U248" s="153" t="n"/>
      <c r="V248" s="153" t="n"/>
      <c r="W248" s="153" t="n"/>
      <c r="X248" s="153" t="n"/>
      <c r="Y248" s="153" t="n"/>
      <c r="Z248" s="153" t="n"/>
    </row>
    <row r="249" ht="15.75" customHeight="1" s="154">
      <c r="L249" s="153" t="n"/>
      <c r="M249" s="153" t="n"/>
      <c r="N249" s="153" t="n"/>
      <c r="O249" s="153" t="n"/>
      <c r="P249" s="153" t="n"/>
      <c r="Q249" s="153" t="n"/>
      <c r="R249" s="153" t="n"/>
      <c r="S249" s="153" t="n"/>
      <c r="T249" s="153" t="n"/>
      <c r="U249" s="153" t="n"/>
      <c r="V249" s="153" t="n"/>
      <c r="W249" s="153" t="n"/>
      <c r="X249" s="153" t="n"/>
      <c r="Y249" s="153" t="n"/>
      <c r="Z249" s="153" t="n"/>
    </row>
    <row r="250" ht="15.75" customHeight="1" s="154">
      <c r="L250" s="153" t="n"/>
      <c r="M250" s="153" t="n"/>
      <c r="N250" s="153" t="n"/>
      <c r="O250" s="153" t="n"/>
      <c r="P250" s="153" t="n"/>
      <c r="Q250" s="153" t="n"/>
      <c r="R250" s="153" t="n"/>
      <c r="S250" s="153" t="n"/>
      <c r="T250" s="153" t="n"/>
      <c r="U250" s="153" t="n"/>
      <c r="V250" s="153" t="n"/>
      <c r="W250" s="153" t="n"/>
      <c r="X250" s="153" t="n"/>
      <c r="Y250" s="153" t="n"/>
      <c r="Z250" s="153" t="n"/>
    </row>
    <row r="251" ht="15.75" customHeight="1" s="154">
      <c r="L251" s="153" t="n"/>
      <c r="M251" s="153" t="n"/>
      <c r="N251" s="153" t="n"/>
      <c r="O251" s="153" t="n"/>
      <c r="P251" s="153" t="n"/>
      <c r="Q251" s="153" t="n"/>
      <c r="R251" s="153" t="n"/>
      <c r="S251" s="153" t="n"/>
      <c r="T251" s="153" t="n"/>
      <c r="U251" s="153" t="n"/>
      <c r="V251" s="153" t="n"/>
      <c r="W251" s="153" t="n"/>
      <c r="X251" s="153" t="n"/>
      <c r="Y251" s="153" t="n"/>
      <c r="Z251" s="153" t="n"/>
    </row>
    <row r="252" ht="15.75" customHeight="1" s="154">
      <c r="L252" s="153" t="n"/>
      <c r="M252" s="153" t="n"/>
      <c r="N252" s="153" t="n"/>
      <c r="O252" s="153" t="n"/>
      <c r="P252" s="153" t="n"/>
      <c r="Q252" s="153" t="n"/>
      <c r="R252" s="153" t="n"/>
      <c r="S252" s="153" t="n"/>
      <c r="T252" s="153" t="n"/>
      <c r="U252" s="153" t="n"/>
      <c r="V252" s="153" t="n"/>
      <c r="W252" s="153" t="n"/>
      <c r="X252" s="153" t="n"/>
      <c r="Y252" s="153" t="n"/>
      <c r="Z252" s="153" t="n"/>
    </row>
    <row r="253" ht="15.75" customHeight="1" s="154">
      <c r="L253" s="153" t="n"/>
      <c r="M253" s="153" t="n"/>
      <c r="N253" s="153" t="n"/>
      <c r="O253" s="153" t="n"/>
      <c r="P253" s="153" t="n"/>
      <c r="Q253" s="153" t="n"/>
      <c r="R253" s="153" t="n"/>
      <c r="S253" s="153" t="n"/>
      <c r="T253" s="153" t="n"/>
      <c r="U253" s="153" t="n"/>
      <c r="V253" s="153" t="n"/>
      <c r="W253" s="153" t="n"/>
      <c r="X253" s="153" t="n"/>
      <c r="Y253" s="153" t="n"/>
      <c r="Z253" s="153" t="n"/>
    </row>
    <row r="254" ht="15.75" customHeight="1" s="154">
      <c r="L254" s="153" t="n"/>
      <c r="M254" s="153" t="n"/>
      <c r="N254" s="153" t="n"/>
      <c r="O254" s="153" t="n"/>
      <c r="P254" s="153" t="n"/>
      <c r="Q254" s="153" t="n"/>
      <c r="R254" s="153" t="n"/>
      <c r="S254" s="153" t="n"/>
      <c r="T254" s="153" t="n"/>
      <c r="U254" s="153" t="n"/>
      <c r="V254" s="153" t="n"/>
      <c r="W254" s="153" t="n"/>
      <c r="X254" s="153" t="n"/>
      <c r="Y254" s="153" t="n"/>
      <c r="Z254" s="153" t="n"/>
    </row>
    <row r="255" ht="15.75" customHeight="1" s="154">
      <c r="L255" s="153" t="n"/>
      <c r="M255" s="153" t="n"/>
      <c r="N255" s="153" t="n"/>
      <c r="O255" s="153" t="n"/>
      <c r="P255" s="153" t="n"/>
      <c r="Q255" s="153" t="n"/>
      <c r="R255" s="153" t="n"/>
      <c r="S255" s="153" t="n"/>
      <c r="T255" s="153" t="n"/>
      <c r="U255" s="153" t="n"/>
      <c r="V255" s="153" t="n"/>
      <c r="W255" s="153" t="n"/>
      <c r="X255" s="153" t="n"/>
      <c r="Y255" s="153" t="n"/>
      <c r="Z255" s="153" t="n"/>
    </row>
    <row r="256" ht="15.75" customHeight="1" s="154">
      <c r="L256" s="153" t="n"/>
      <c r="M256" s="153" t="n"/>
      <c r="N256" s="153" t="n"/>
      <c r="O256" s="153" t="n"/>
      <c r="P256" s="153" t="n"/>
      <c r="Q256" s="153" t="n"/>
      <c r="R256" s="153" t="n"/>
      <c r="S256" s="153" t="n"/>
      <c r="T256" s="153" t="n"/>
      <c r="U256" s="153" t="n"/>
      <c r="V256" s="153" t="n"/>
      <c r="W256" s="153" t="n"/>
      <c r="X256" s="153" t="n"/>
      <c r="Y256" s="153" t="n"/>
      <c r="Z256" s="153" t="n"/>
    </row>
    <row r="257" ht="15.75" customHeight="1" s="154">
      <c r="L257" s="153" t="n"/>
      <c r="M257" s="153" t="n"/>
      <c r="N257" s="153" t="n"/>
      <c r="O257" s="153" t="n"/>
      <c r="P257" s="153" t="n"/>
      <c r="Q257" s="153" t="n"/>
      <c r="R257" s="153" t="n"/>
      <c r="S257" s="153" t="n"/>
      <c r="T257" s="153" t="n"/>
      <c r="U257" s="153" t="n"/>
      <c r="V257" s="153" t="n"/>
      <c r="W257" s="153" t="n"/>
      <c r="X257" s="153" t="n"/>
      <c r="Y257" s="153" t="n"/>
      <c r="Z257" s="153" t="n"/>
    </row>
    <row r="258" ht="15.75" customHeight="1" s="154">
      <c r="L258" s="153" t="n"/>
      <c r="M258" s="153" t="n"/>
      <c r="N258" s="153" t="n"/>
      <c r="O258" s="153" t="n"/>
      <c r="P258" s="153" t="n"/>
      <c r="Q258" s="153" t="n"/>
      <c r="R258" s="153" t="n"/>
      <c r="S258" s="153" t="n"/>
      <c r="T258" s="153" t="n"/>
      <c r="U258" s="153" t="n"/>
      <c r="V258" s="153" t="n"/>
      <c r="W258" s="153" t="n"/>
      <c r="X258" s="153" t="n"/>
      <c r="Y258" s="153" t="n"/>
      <c r="Z258" s="153" t="n"/>
    </row>
    <row r="259" ht="15.75" customHeight="1" s="154">
      <c r="L259" s="153" t="n"/>
      <c r="M259" s="153" t="n"/>
      <c r="N259" s="153" t="n"/>
      <c r="O259" s="153" t="n"/>
      <c r="P259" s="153" t="n"/>
      <c r="Q259" s="153" t="n"/>
      <c r="R259" s="153" t="n"/>
      <c r="S259" s="153" t="n"/>
      <c r="T259" s="153" t="n"/>
      <c r="U259" s="153" t="n"/>
      <c r="V259" s="153" t="n"/>
      <c r="W259" s="153" t="n"/>
      <c r="X259" s="153" t="n"/>
      <c r="Y259" s="153" t="n"/>
      <c r="Z259" s="153" t="n"/>
    </row>
    <row r="260" ht="15.75" customHeight="1" s="154">
      <c r="L260" s="153" t="n"/>
      <c r="M260" s="153" t="n"/>
      <c r="N260" s="153" t="n"/>
      <c r="O260" s="153" t="n"/>
      <c r="P260" s="153" t="n"/>
      <c r="Q260" s="153" t="n"/>
      <c r="R260" s="153" t="n"/>
      <c r="S260" s="153" t="n"/>
      <c r="T260" s="153" t="n"/>
      <c r="U260" s="153" t="n"/>
      <c r="V260" s="153" t="n"/>
      <c r="W260" s="153" t="n"/>
      <c r="X260" s="153" t="n"/>
      <c r="Y260" s="153" t="n"/>
      <c r="Z260" s="153" t="n"/>
    </row>
    <row r="261" ht="15.75" customHeight="1" s="154">
      <c r="L261" s="153" t="n"/>
      <c r="M261" s="153" t="n"/>
      <c r="N261" s="153" t="n"/>
      <c r="O261" s="153" t="n"/>
      <c r="P261" s="153" t="n"/>
      <c r="Q261" s="153" t="n"/>
      <c r="R261" s="153" t="n"/>
      <c r="S261" s="153" t="n"/>
      <c r="T261" s="153" t="n"/>
      <c r="U261" s="153" t="n"/>
      <c r="V261" s="153" t="n"/>
      <c r="W261" s="153" t="n"/>
      <c r="X261" s="153" t="n"/>
      <c r="Y261" s="153" t="n"/>
      <c r="Z261" s="153" t="n"/>
    </row>
    <row r="262" ht="15.75" customHeight="1" s="154">
      <c r="L262" s="153" t="n"/>
      <c r="M262" s="153" t="n"/>
      <c r="N262" s="153" t="n"/>
      <c r="O262" s="153" t="n"/>
      <c r="P262" s="153" t="n"/>
      <c r="Q262" s="153" t="n"/>
      <c r="R262" s="153" t="n"/>
      <c r="S262" s="153" t="n"/>
      <c r="T262" s="153" t="n"/>
      <c r="U262" s="153" t="n"/>
      <c r="V262" s="153" t="n"/>
      <c r="W262" s="153" t="n"/>
      <c r="X262" s="153" t="n"/>
      <c r="Y262" s="153" t="n"/>
      <c r="Z262" s="153" t="n"/>
    </row>
    <row r="263" ht="15.75" customHeight="1" s="154">
      <c r="L263" s="153" t="n"/>
      <c r="M263" s="153" t="n"/>
      <c r="N263" s="153" t="n"/>
      <c r="O263" s="153" t="n"/>
      <c r="P263" s="153" t="n"/>
      <c r="Q263" s="153" t="n"/>
      <c r="R263" s="153" t="n"/>
      <c r="S263" s="153" t="n"/>
      <c r="T263" s="153" t="n"/>
      <c r="U263" s="153" t="n"/>
      <c r="V263" s="153" t="n"/>
      <c r="W263" s="153" t="n"/>
      <c r="X263" s="153" t="n"/>
      <c r="Y263" s="153" t="n"/>
      <c r="Z263" s="153" t="n"/>
    </row>
    <row r="264" ht="15.75" customHeight="1" s="154">
      <c r="L264" s="153" t="n"/>
      <c r="M264" s="153" t="n"/>
      <c r="N264" s="153" t="n"/>
      <c r="O264" s="153" t="n"/>
      <c r="P264" s="153" t="n"/>
      <c r="Q264" s="153" t="n"/>
      <c r="R264" s="153" t="n"/>
      <c r="S264" s="153" t="n"/>
      <c r="T264" s="153" t="n"/>
      <c r="U264" s="153" t="n"/>
      <c r="V264" s="153" t="n"/>
      <c r="W264" s="153" t="n"/>
      <c r="X264" s="153" t="n"/>
      <c r="Y264" s="153" t="n"/>
      <c r="Z264" s="153" t="n"/>
    </row>
    <row r="265" ht="15.75" customHeight="1" s="154">
      <c r="L265" s="153" t="n"/>
      <c r="M265" s="153" t="n"/>
      <c r="N265" s="153" t="n"/>
      <c r="O265" s="153" t="n"/>
      <c r="P265" s="153" t="n"/>
      <c r="Q265" s="153" t="n"/>
      <c r="R265" s="153" t="n"/>
      <c r="S265" s="153" t="n"/>
      <c r="T265" s="153" t="n"/>
      <c r="U265" s="153" t="n"/>
      <c r="V265" s="153" t="n"/>
      <c r="W265" s="153" t="n"/>
      <c r="X265" s="153" t="n"/>
      <c r="Y265" s="153" t="n"/>
      <c r="Z265" s="153" t="n"/>
    </row>
    <row r="266" ht="15.75" customHeight="1" s="154">
      <c r="L266" s="153" t="n"/>
      <c r="M266" s="153" t="n"/>
      <c r="N266" s="153" t="n"/>
      <c r="O266" s="153" t="n"/>
      <c r="P266" s="153" t="n"/>
      <c r="Q266" s="153" t="n"/>
      <c r="R266" s="153" t="n"/>
      <c r="S266" s="153" t="n"/>
      <c r="T266" s="153" t="n"/>
      <c r="U266" s="153" t="n"/>
      <c r="V266" s="153" t="n"/>
      <c r="W266" s="153" t="n"/>
      <c r="X266" s="153" t="n"/>
      <c r="Y266" s="153" t="n"/>
      <c r="Z266" s="153" t="n"/>
    </row>
    <row r="267" ht="15.75" customHeight="1" s="154">
      <c r="L267" s="153" t="n"/>
      <c r="M267" s="153" t="n"/>
      <c r="N267" s="153" t="n"/>
      <c r="O267" s="153" t="n"/>
      <c r="P267" s="153" t="n"/>
      <c r="Q267" s="153" t="n"/>
      <c r="R267" s="153" t="n"/>
      <c r="S267" s="153" t="n"/>
      <c r="T267" s="153" t="n"/>
      <c r="U267" s="153" t="n"/>
      <c r="V267" s="153" t="n"/>
      <c r="W267" s="153" t="n"/>
      <c r="X267" s="153" t="n"/>
      <c r="Y267" s="153" t="n"/>
      <c r="Z267" s="153" t="n"/>
    </row>
    <row r="268" ht="15.75" customHeight="1" s="154">
      <c r="L268" s="153" t="n"/>
      <c r="M268" s="153" t="n"/>
      <c r="N268" s="153" t="n"/>
      <c r="O268" s="153" t="n"/>
      <c r="P268" s="153" t="n"/>
      <c r="Q268" s="153" t="n"/>
      <c r="R268" s="153" t="n"/>
      <c r="S268" s="153" t="n"/>
      <c r="T268" s="153" t="n"/>
      <c r="U268" s="153" t="n"/>
      <c r="V268" s="153" t="n"/>
      <c r="W268" s="153" t="n"/>
      <c r="X268" s="153" t="n"/>
      <c r="Y268" s="153" t="n"/>
      <c r="Z268" s="153" t="n"/>
    </row>
    <row r="269" ht="15.75" customHeight="1" s="154">
      <c r="L269" s="153" t="n"/>
      <c r="M269" s="153" t="n"/>
      <c r="N269" s="153" t="n"/>
      <c r="O269" s="153" t="n"/>
      <c r="P269" s="153" t="n"/>
      <c r="Q269" s="153" t="n"/>
      <c r="R269" s="153" t="n"/>
      <c r="S269" s="153" t="n"/>
      <c r="T269" s="153" t="n"/>
      <c r="U269" s="153" t="n"/>
      <c r="V269" s="153" t="n"/>
      <c r="W269" s="153" t="n"/>
      <c r="X269" s="153" t="n"/>
      <c r="Y269" s="153" t="n"/>
      <c r="Z269" s="153" t="n"/>
    </row>
    <row r="270" ht="15.75" customHeight="1" s="154">
      <c r="L270" s="153" t="n"/>
      <c r="M270" s="153" t="n"/>
      <c r="N270" s="153" t="n"/>
      <c r="O270" s="153" t="n"/>
      <c r="P270" s="153" t="n"/>
      <c r="Q270" s="153" t="n"/>
      <c r="R270" s="153" t="n"/>
      <c r="S270" s="153" t="n"/>
      <c r="T270" s="153" t="n"/>
      <c r="U270" s="153" t="n"/>
      <c r="V270" s="153" t="n"/>
      <c r="W270" s="153" t="n"/>
      <c r="X270" s="153" t="n"/>
      <c r="Y270" s="153" t="n"/>
      <c r="Z270" s="153" t="n"/>
    </row>
    <row r="271" ht="15.75" customHeight="1" s="154">
      <c r="L271" s="153" t="n"/>
      <c r="M271" s="153" t="n"/>
      <c r="N271" s="153" t="n"/>
      <c r="O271" s="153" t="n"/>
      <c r="P271" s="153" t="n"/>
      <c r="Q271" s="153" t="n"/>
      <c r="R271" s="153" t="n"/>
      <c r="S271" s="153" t="n"/>
      <c r="T271" s="153" t="n"/>
      <c r="U271" s="153" t="n"/>
      <c r="V271" s="153" t="n"/>
      <c r="W271" s="153" t="n"/>
      <c r="X271" s="153" t="n"/>
      <c r="Y271" s="153" t="n"/>
      <c r="Z271" s="153" t="n"/>
    </row>
    <row r="272" ht="15.75" customHeight="1" s="154">
      <c r="L272" s="153" t="n"/>
      <c r="M272" s="153" t="n"/>
      <c r="N272" s="153" t="n"/>
      <c r="O272" s="153" t="n"/>
      <c r="P272" s="153" t="n"/>
      <c r="Q272" s="153" t="n"/>
      <c r="R272" s="153" t="n"/>
      <c r="S272" s="153" t="n"/>
      <c r="T272" s="153" t="n"/>
      <c r="U272" s="153" t="n"/>
      <c r="V272" s="153" t="n"/>
      <c r="W272" s="153" t="n"/>
      <c r="X272" s="153" t="n"/>
      <c r="Y272" s="153" t="n"/>
      <c r="Z272" s="153" t="n"/>
    </row>
    <row r="273" ht="15.75" customHeight="1" s="154">
      <c r="L273" s="153" t="n"/>
      <c r="M273" s="153" t="n"/>
      <c r="N273" s="153" t="n"/>
      <c r="O273" s="153" t="n"/>
      <c r="P273" s="153" t="n"/>
      <c r="Q273" s="153" t="n"/>
      <c r="R273" s="153" t="n"/>
      <c r="S273" s="153" t="n"/>
      <c r="T273" s="153" t="n"/>
      <c r="U273" s="153" t="n"/>
      <c r="V273" s="153" t="n"/>
      <c r="W273" s="153" t="n"/>
      <c r="X273" s="153" t="n"/>
      <c r="Y273" s="153" t="n"/>
      <c r="Z273" s="153" t="n"/>
    </row>
    <row r="274" ht="15.75" customHeight="1" s="154">
      <c r="L274" s="153" t="n"/>
      <c r="M274" s="153" t="n"/>
      <c r="N274" s="153" t="n"/>
      <c r="O274" s="153" t="n"/>
      <c r="P274" s="153" t="n"/>
      <c r="Q274" s="153" t="n"/>
      <c r="R274" s="153" t="n"/>
      <c r="S274" s="153" t="n"/>
      <c r="T274" s="153" t="n"/>
      <c r="U274" s="153" t="n"/>
      <c r="V274" s="153" t="n"/>
      <c r="W274" s="153" t="n"/>
      <c r="X274" s="153" t="n"/>
      <c r="Y274" s="153" t="n"/>
      <c r="Z274" s="153" t="n"/>
    </row>
    <row r="275" ht="15.75" customHeight="1" s="154">
      <c r="L275" s="153" t="n"/>
      <c r="M275" s="153" t="n"/>
      <c r="N275" s="153" t="n"/>
      <c r="O275" s="153" t="n"/>
      <c r="P275" s="153" t="n"/>
      <c r="Q275" s="153" t="n"/>
      <c r="R275" s="153" t="n"/>
      <c r="S275" s="153" t="n"/>
      <c r="T275" s="153" t="n"/>
      <c r="U275" s="153" t="n"/>
      <c r="V275" s="153" t="n"/>
      <c r="W275" s="153" t="n"/>
      <c r="X275" s="153" t="n"/>
      <c r="Y275" s="153" t="n"/>
      <c r="Z275" s="153" t="n"/>
    </row>
    <row r="276" ht="15.75" customHeight="1" s="154">
      <c r="L276" s="153" t="n"/>
      <c r="M276" s="153" t="n"/>
      <c r="N276" s="153" t="n"/>
      <c r="O276" s="153" t="n"/>
      <c r="P276" s="153" t="n"/>
      <c r="Q276" s="153" t="n"/>
      <c r="R276" s="153" t="n"/>
      <c r="S276" s="153" t="n"/>
      <c r="T276" s="153" t="n"/>
      <c r="U276" s="153" t="n"/>
      <c r="V276" s="153" t="n"/>
      <c r="W276" s="153" t="n"/>
      <c r="X276" s="153" t="n"/>
      <c r="Y276" s="153" t="n"/>
      <c r="Z276" s="153" t="n"/>
    </row>
    <row r="277" ht="15.75" customHeight="1" s="154">
      <c r="L277" s="153" t="n"/>
      <c r="M277" s="153" t="n"/>
      <c r="N277" s="153" t="n"/>
      <c r="O277" s="153" t="n"/>
      <c r="P277" s="153" t="n"/>
      <c r="Q277" s="153" t="n"/>
      <c r="R277" s="153" t="n"/>
      <c r="S277" s="153" t="n"/>
      <c r="T277" s="153" t="n"/>
      <c r="U277" s="153" t="n"/>
      <c r="V277" s="153" t="n"/>
      <c r="W277" s="153" t="n"/>
      <c r="X277" s="153" t="n"/>
      <c r="Y277" s="153" t="n"/>
      <c r="Z277" s="153" t="n"/>
    </row>
    <row r="278" ht="15.75" customHeight="1" s="154">
      <c r="L278" s="153" t="n"/>
      <c r="M278" s="153" t="n"/>
      <c r="N278" s="153" t="n"/>
      <c r="O278" s="153" t="n"/>
      <c r="P278" s="153" t="n"/>
      <c r="Q278" s="153" t="n"/>
      <c r="R278" s="153" t="n"/>
      <c r="S278" s="153" t="n"/>
      <c r="T278" s="153" t="n"/>
      <c r="U278" s="153" t="n"/>
      <c r="V278" s="153" t="n"/>
      <c r="W278" s="153" t="n"/>
      <c r="X278" s="153" t="n"/>
      <c r="Y278" s="153" t="n"/>
      <c r="Z278" s="153" t="n"/>
    </row>
    <row r="279" ht="15.75" customHeight="1" s="154">
      <c r="L279" s="153" t="n"/>
      <c r="M279" s="153" t="n"/>
      <c r="N279" s="153" t="n"/>
      <c r="O279" s="153" t="n"/>
      <c r="P279" s="153" t="n"/>
      <c r="Q279" s="153" t="n"/>
      <c r="R279" s="153" t="n"/>
      <c r="S279" s="153" t="n"/>
      <c r="T279" s="153" t="n"/>
      <c r="U279" s="153" t="n"/>
      <c r="V279" s="153" t="n"/>
      <c r="W279" s="153" t="n"/>
      <c r="X279" s="153" t="n"/>
      <c r="Y279" s="153" t="n"/>
      <c r="Z279" s="153" t="n"/>
    </row>
    <row r="280" ht="15.75" customHeight="1" s="154">
      <c r="L280" s="153" t="n"/>
      <c r="M280" s="153" t="n"/>
      <c r="N280" s="153" t="n"/>
      <c r="O280" s="153" t="n"/>
      <c r="P280" s="153" t="n"/>
      <c r="Q280" s="153" t="n"/>
      <c r="R280" s="153" t="n"/>
      <c r="S280" s="153" t="n"/>
      <c r="T280" s="153" t="n"/>
      <c r="U280" s="153" t="n"/>
      <c r="V280" s="153" t="n"/>
      <c r="W280" s="153" t="n"/>
      <c r="X280" s="153" t="n"/>
      <c r="Y280" s="153" t="n"/>
      <c r="Z280" s="153" t="n"/>
    </row>
    <row r="281" ht="15.75" customHeight="1" s="154">
      <c r="L281" s="153" t="n"/>
      <c r="M281" s="153" t="n"/>
      <c r="N281" s="153" t="n"/>
      <c r="O281" s="153" t="n"/>
      <c r="P281" s="153" t="n"/>
      <c r="Q281" s="153" t="n"/>
      <c r="R281" s="153" t="n"/>
      <c r="S281" s="153" t="n"/>
      <c r="T281" s="153" t="n"/>
      <c r="U281" s="153" t="n"/>
      <c r="V281" s="153" t="n"/>
      <c r="W281" s="153" t="n"/>
      <c r="X281" s="153" t="n"/>
      <c r="Y281" s="153" t="n"/>
      <c r="Z281" s="153" t="n"/>
    </row>
    <row r="282" ht="15.75" customHeight="1" s="154">
      <c r="L282" s="153" t="n"/>
      <c r="M282" s="153" t="n"/>
      <c r="N282" s="153" t="n"/>
      <c r="O282" s="153" t="n"/>
      <c r="P282" s="153" t="n"/>
      <c r="Q282" s="153" t="n"/>
      <c r="R282" s="153" t="n"/>
      <c r="S282" s="153" t="n"/>
      <c r="T282" s="153" t="n"/>
      <c r="U282" s="153" t="n"/>
      <c r="V282" s="153" t="n"/>
      <c r="W282" s="153" t="n"/>
      <c r="X282" s="153" t="n"/>
      <c r="Y282" s="153" t="n"/>
      <c r="Z282" s="153" t="n"/>
    </row>
    <row r="283" ht="15.75" customHeight="1" s="154">
      <c r="L283" s="153" t="n"/>
      <c r="M283" s="153" t="n"/>
      <c r="N283" s="153" t="n"/>
      <c r="O283" s="153" t="n"/>
      <c r="P283" s="153" t="n"/>
      <c r="Q283" s="153" t="n"/>
      <c r="R283" s="153" t="n"/>
      <c r="S283" s="153" t="n"/>
      <c r="T283" s="153" t="n"/>
      <c r="U283" s="153" t="n"/>
      <c r="V283" s="153" t="n"/>
      <c r="W283" s="153" t="n"/>
      <c r="X283" s="153" t="n"/>
      <c r="Y283" s="153" t="n"/>
      <c r="Z283" s="153" t="n"/>
    </row>
    <row r="284" ht="15.75" customHeight="1" s="154">
      <c r="L284" s="153" t="n"/>
      <c r="M284" s="153" t="n"/>
      <c r="N284" s="153" t="n"/>
      <c r="O284" s="153" t="n"/>
      <c r="P284" s="153" t="n"/>
      <c r="Q284" s="153" t="n"/>
      <c r="R284" s="153" t="n"/>
      <c r="S284" s="153" t="n"/>
      <c r="T284" s="153" t="n"/>
      <c r="U284" s="153" t="n"/>
      <c r="V284" s="153" t="n"/>
      <c r="W284" s="153" t="n"/>
      <c r="X284" s="153" t="n"/>
      <c r="Y284" s="153" t="n"/>
      <c r="Z284" s="153" t="n"/>
    </row>
    <row r="285" ht="15.75" customHeight="1" s="154">
      <c r="L285" s="153" t="n"/>
      <c r="M285" s="153" t="n"/>
      <c r="N285" s="153" t="n"/>
      <c r="O285" s="153" t="n"/>
      <c r="P285" s="153" t="n"/>
      <c r="Q285" s="153" t="n"/>
      <c r="R285" s="153" t="n"/>
      <c r="S285" s="153" t="n"/>
      <c r="T285" s="153" t="n"/>
      <c r="U285" s="153" t="n"/>
      <c r="V285" s="153" t="n"/>
      <c r="W285" s="153" t="n"/>
      <c r="X285" s="153" t="n"/>
      <c r="Y285" s="153" t="n"/>
      <c r="Z285" s="153" t="n"/>
    </row>
    <row r="286" ht="15.75" customHeight="1" s="154">
      <c r="L286" s="153" t="n"/>
      <c r="M286" s="153" t="n"/>
      <c r="N286" s="153" t="n"/>
      <c r="O286" s="153" t="n"/>
      <c r="P286" s="153" t="n"/>
      <c r="Q286" s="153" t="n"/>
      <c r="R286" s="153" t="n"/>
      <c r="S286" s="153" t="n"/>
      <c r="T286" s="153" t="n"/>
      <c r="U286" s="153" t="n"/>
      <c r="V286" s="153" t="n"/>
      <c r="W286" s="153" t="n"/>
      <c r="X286" s="153" t="n"/>
      <c r="Y286" s="153" t="n"/>
      <c r="Z286" s="153" t="n"/>
    </row>
    <row r="287" ht="15.75" customHeight="1" s="154">
      <c r="L287" s="153" t="n"/>
      <c r="M287" s="153" t="n"/>
      <c r="N287" s="153" t="n"/>
      <c r="O287" s="153" t="n"/>
      <c r="P287" s="153" t="n"/>
      <c r="Q287" s="153" t="n"/>
      <c r="R287" s="153" t="n"/>
      <c r="S287" s="153" t="n"/>
      <c r="T287" s="153" t="n"/>
      <c r="U287" s="153" t="n"/>
      <c r="V287" s="153" t="n"/>
      <c r="W287" s="153" t="n"/>
      <c r="X287" s="153" t="n"/>
      <c r="Y287" s="153" t="n"/>
      <c r="Z287" s="153" t="n"/>
    </row>
    <row r="288" ht="15.75" customHeight="1" s="154">
      <c r="L288" s="153" t="n"/>
      <c r="M288" s="153" t="n"/>
      <c r="N288" s="153" t="n"/>
      <c r="O288" s="153" t="n"/>
      <c r="P288" s="153" t="n"/>
      <c r="Q288" s="153" t="n"/>
      <c r="R288" s="153" t="n"/>
      <c r="S288" s="153" t="n"/>
      <c r="T288" s="153" t="n"/>
      <c r="U288" s="153" t="n"/>
      <c r="V288" s="153" t="n"/>
      <c r="W288" s="153" t="n"/>
      <c r="X288" s="153" t="n"/>
      <c r="Y288" s="153" t="n"/>
      <c r="Z288" s="153" t="n"/>
    </row>
    <row r="289" ht="15.75" customHeight="1" s="154">
      <c r="L289" s="153" t="n"/>
      <c r="M289" s="153" t="n"/>
      <c r="N289" s="153" t="n"/>
      <c r="O289" s="153" t="n"/>
      <c r="P289" s="153" t="n"/>
      <c r="Q289" s="153" t="n"/>
      <c r="R289" s="153" t="n"/>
      <c r="S289" s="153" t="n"/>
      <c r="T289" s="153" t="n"/>
      <c r="U289" s="153" t="n"/>
      <c r="V289" s="153" t="n"/>
      <c r="W289" s="153" t="n"/>
      <c r="X289" s="153" t="n"/>
      <c r="Y289" s="153" t="n"/>
      <c r="Z289" s="153" t="n"/>
    </row>
    <row r="290" ht="15.75" customHeight="1" s="154">
      <c r="L290" s="153" t="n"/>
      <c r="M290" s="153" t="n"/>
      <c r="N290" s="153" t="n"/>
      <c r="O290" s="153" t="n"/>
      <c r="P290" s="153" t="n"/>
      <c r="Q290" s="153" t="n"/>
      <c r="R290" s="153" t="n"/>
      <c r="S290" s="153" t="n"/>
      <c r="T290" s="153" t="n"/>
      <c r="U290" s="153" t="n"/>
      <c r="V290" s="153" t="n"/>
      <c r="W290" s="153" t="n"/>
      <c r="X290" s="153" t="n"/>
      <c r="Y290" s="153" t="n"/>
      <c r="Z290" s="153" t="n"/>
    </row>
    <row r="291" ht="15.75" customHeight="1" s="154">
      <c r="L291" s="153" t="n"/>
      <c r="M291" s="153" t="n"/>
      <c r="N291" s="153" t="n"/>
      <c r="O291" s="153" t="n"/>
      <c r="P291" s="153" t="n"/>
      <c r="Q291" s="153" t="n"/>
      <c r="R291" s="153" t="n"/>
      <c r="S291" s="153" t="n"/>
      <c r="T291" s="153" t="n"/>
      <c r="U291" s="153" t="n"/>
      <c r="V291" s="153" t="n"/>
      <c r="W291" s="153" t="n"/>
      <c r="X291" s="153" t="n"/>
      <c r="Y291" s="153" t="n"/>
      <c r="Z291" s="153" t="n"/>
    </row>
    <row r="292" ht="15.75" customHeight="1" s="154">
      <c r="L292" s="153" t="n"/>
      <c r="M292" s="153" t="n"/>
      <c r="N292" s="153" t="n"/>
      <c r="O292" s="153" t="n"/>
      <c r="P292" s="153" t="n"/>
      <c r="Q292" s="153" t="n"/>
      <c r="R292" s="153" t="n"/>
      <c r="S292" s="153" t="n"/>
      <c r="T292" s="153" t="n"/>
      <c r="U292" s="153" t="n"/>
      <c r="V292" s="153" t="n"/>
      <c r="W292" s="153" t="n"/>
      <c r="X292" s="153" t="n"/>
      <c r="Y292" s="153" t="n"/>
      <c r="Z292" s="153" t="n"/>
    </row>
    <row r="293" ht="15.75" customHeight="1" s="154">
      <c r="L293" s="153" t="n"/>
      <c r="M293" s="153" t="n"/>
      <c r="N293" s="153" t="n"/>
      <c r="O293" s="153" t="n"/>
      <c r="P293" s="153" t="n"/>
      <c r="Q293" s="153" t="n"/>
      <c r="R293" s="153" t="n"/>
      <c r="S293" s="153" t="n"/>
      <c r="T293" s="153" t="n"/>
      <c r="U293" s="153" t="n"/>
      <c r="V293" s="153" t="n"/>
      <c r="W293" s="153" t="n"/>
      <c r="X293" s="153" t="n"/>
      <c r="Y293" s="153" t="n"/>
      <c r="Z293" s="153" t="n"/>
    </row>
    <row r="294" ht="15.75" customHeight="1" s="154">
      <c r="L294" s="153" t="n"/>
      <c r="M294" s="153" t="n"/>
      <c r="N294" s="153" t="n"/>
      <c r="O294" s="153" t="n"/>
      <c r="P294" s="153" t="n"/>
      <c r="Q294" s="153" t="n"/>
      <c r="R294" s="153" t="n"/>
      <c r="S294" s="153" t="n"/>
      <c r="T294" s="153" t="n"/>
      <c r="U294" s="153" t="n"/>
      <c r="V294" s="153" t="n"/>
      <c r="W294" s="153" t="n"/>
      <c r="X294" s="153" t="n"/>
      <c r="Y294" s="153" t="n"/>
      <c r="Z294" s="153" t="n"/>
    </row>
    <row r="295" ht="15.75" customHeight="1" s="154">
      <c r="L295" s="153" t="n"/>
      <c r="M295" s="153" t="n"/>
      <c r="N295" s="153" t="n"/>
      <c r="O295" s="153" t="n"/>
      <c r="P295" s="153" t="n"/>
      <c r="Q295" s="153" t="n"/>
      <c r="R295" s="153" t="n"/>
      <c r="S295" s="153" t="n"/>
      <c r="T295" s="153" t="n"/>
      <c r="U295" s="153" t="n"/>
      <c r="V295" s="153" t="n"/>
      <c r="W295" s="153" t="n"/>
      <c r="X295" s="153" t="n"/>
      <c r="Y295" s="153" t="n"/>
      <c r="Z295" s="153" t="n"/>
    </row>
    <row r="296" ht="15.75" customHeight="1" s="154">
      <c r="L296" s="153" t="n"/>
      <c r="M296" s="153" t="n"/>
      <c r="N296" s="153" t="n"/>
      <c r="O296" s="153" t="n"/>
      <c r="P296" s="153" t="n"/>
      <c r="Q296" s="153" t="n"/>
      <c r="R296" s="153" t="n"/>
      <c r="S296" s="153" t="n"/>
      <c r="T296" s="153" t="n"/>
      <c r="U296" s="153" t="n"/>
      <c r="V296" s="153" t="n"/>
      <c r="W296" s="153" t="n"/>
      <c r="X296" s="153" t="n"/>
      <c r="Y296" s="153" t="n"/>
      <c r="Z296" s="153" t="n"/>
    </row>
    <row r="297" ht="15.75" customHeight="1" s="154">
      <c r="L297" s="153" t="n"/>
      <c r="M297" s="153" t="n"/>
      <c r="N297" s="153" t="n"/>
      <c r="O297" s="153" t="n"/>
      <c r="P297" s="153" t="n"/>
      <c r="Q297" s="153" t="n"/>
      <c r="R297" s="153" t="n"/>
      <c r="S297" s="153" t="n"/>
      <c r="T297" s="153" t="n"/>
      <c r="U297" s="153" t="n"/>
      <c r="V297" s="153" t="n"/>
      <c r="W297" s="153" t="n"/>
      <c r="X297" s="153" t="n"/>
      <c r="Y297" s="153" t="n"/>
      <c r="Z297" s="153" t="n"/>
    </row>
    <row r="298" ht="15.75" customHeight="1" s="154">
      <c r="L298" s="153" t="n"/>
      <c r="M298" s="153" t="n"/>
      <c r="N298" s="153" t="n"/>
      <c r="O298" s="153" t="n"/>
      <c r="P298" s="153" t="n"/>
      <c r="Q298" s="153" t="n"/>
      <c r="R298" s="153" t="n"/>
      <c r="S298" s="153" t="n"/>
      <c r="T298" s="153" t="n"/>
      <c r="U298" s="153" t="n"/>
      <c r="V298" s="153" t="n"/>
      <c r="W298" s="153" t="n"/>
      <c r="X298" s="153" t="n"/>
      <c r="Y298" s="153" t="n"/>
      <c r="Z298" s="153" t="n"/>
    </row>
    <row r="299" ht="15.75" customHeight="1" s="154">
      <c r="L299" s="153" t="n"/>
      <c r="M299" s="153" t="n"/>
      <c r="N299" s="153" t="n"/>
      <c r="O299" s="153" t="n"/>
      <c r="P299" s="153" t="n"/>
      <c r="Q299" s="153" t="n"/>
      <c r="R299" s="153" t="n"/>
      <c r="S299" s="153" t="n"/>
      <c r="T299" s="153" t="n"/>
      <c r="U299" s="153" t="n"/>
      <c r="V299" s="153" t="n"/>
      <c r="W299" s="153" t="n"/>
      <c r="X299" s="153" t="n"/>
      <c r="Y299" s="153" t="n"/>
      <c r="Z299" s="153" t="n"/>
    </row>
    <row r="300" ht="15.75" customHeight="1" s="154">
      <c r="L300" s="153" t="n"/>
      <c r="M300" s="153" t="n"/>
      <c r="N300" s="153" t="n"/>
      <c r="O300" s="153" t="n"/>
      <c r="P300" s="153" t="n"/>
      <c r="Q300" s="153" t="n"/>
      <c r="R300" s="153" t="n"/>
      <c r="S300" s="153" t="n"/>
      <c r="T300" s="153" t="n"/>
      <c r="U300" s="153" t="n"/>
      <c r="V300" s="153" t="n"/>
      <c r="W300" s="153" t="n"/>
      <c r="X300" s="153" t="n"/>
      <c r="Y300" s="153" t="n"/>
      <c r="Z300" s="153" t="n"/>
    </row>
    <row r="301" ht="15.75" customHeight="1" s="154">
      <c r="L301" s="153" t="n"/>
      <c r="M301" s="153" t="n"/>
      <c r="N301" s="153" t="n"/>
      <c r="O301" s="153" t="n"/>
      <c r="P301" s="153" t="n"/>
      <c r="Q301" s="153" t="n"/>
      <c r="R301" s="153" t="n"/>
      <c r="S301" s="153" t="n"/>
      <c r="T301" s="153" t="n"/>
      <c r="U301" s="153" t="n"/>
      <c r="V301" s="153" t="n"/>
      <c r="W301" s="153" t="n"/>
      <c r="X301" s="153" t="n"/>
      <c r="Y301" s="153" t="n"/>
      <c r="Z301" s="153" t="n"/>
    </row>
    <row r="302" ht="15.75" customHeight="1" s="154">
      <c r="L302" s="153" t="n"/>
      <c r="M302" s="153" t="n"/>
      <c r="N302" s="153" t="n"/>
      <c r="O302" s="153" t="n"/>
      <c r="P302" s="153" t="n"/>
      <c r="Q302" s="153" t="n"/>
      <c r="R302" s="153" t="n"/>
      <c r="S302" s="153" t="n"/>
      <c r="T302" s="153" t="n"/>
      <c r="U302" s="153" t="n"/>
      <c r="V302" s="153" t="n"/>
      <c r="W302" s="153" t="n"/>
      <c r="X302" s="153" t="n"/>
      <c r="Y302" s="153" t="n"/>
      <c r="Z302" s="153" t="n"/>
    </row>
    <row r="303" ht="15.75" customHeight="1" s="154">
      <c r="L303" s="153" t="n"/>
      <c r="M303" s="153" t="n"/>
      <c r="N303" s="153" t="n"/>
      <c r="O303" s="153" t="n"/>
      <c r="P303" s="153" t="n"/>
      <c r="Q303" s="153" t="n"/>
      <c r="R303" s="153" t="n"/>
      <c r="S303" s="153" t="n"/>
      <c r="T303" s="153" t="n"/>
      <c r="U303" s="153" t="n"/>
      <c r="V303" s="153" t="n"/>
      <c r="W303" s="153" t="n"/>
      <c r="X303" s="153" t="n"/>
      <c r="Y303" s="153" t="n"/>
      <c r="Z303" s="153" t="n"/>
    </row>
    <row r="304" ht="15.75" customHeight="1" s="154">
      <c r="L304" s="153" t="n"/>
      <c r="M304" s="153" t="n"/>
      <c r="N304" s="153" t="n"/>
      <c r="O304" s="153" t="n"/>
      <c r="P304" s="153" t="n"/>
      <c r="Q304" s="153" t="n"/>
      <c r="R304" s="153" t="n"/>
      <c r="S304" s="153" t="n"/>
      <c r="T304" s="153" t="n"/>
      <c r="U304" s="153" t="n"/>
      <c r="V304" s="153" t="n"/>
      <c r="W304" s="153" t="n"/>
      <c r="X304" s="153" t="n"/>
      <c r="Y304" s="153" t="n"/>
      <c r="Z304" s="153" t="n"/>
    </row>
    <row r="305" ht="15.75" customHeight="1" s="154">
      <c r="L305" s="153" t="n"/>
      <c r="M305" s="153" t="n"/>
      <c r="N305" s="153" t="n"/>
      <c r="O305" s="153" t="n"/>
      <c r="P305" s="153" t="n"/>
      <c r="Q305" s="153" t="n"/>
      <c r="R305" s="153" t="n"/>
      <c r="S305" s="153" t="n"/>
      <c r="T305" s="153" t="n"/>
      <c r="U305" s="153" t="n"/>
      <c r="V305" s="153" t="n"/>
      <c r="W305" s="153" t="n"/>
      <c r="X305" s="153" t="n"/>
      <c r="Y305" s="153" t="n"/>
      <c r="Z305" s="153" t="n"/>
    </row>
    <row r="306" ht="15.75" customHeight="1" s="154">
      <c r="L306" s="153" t="n"/>
      <c r="M306" s="153" t="n"/>
      <c r="N306" s="153" t="n"/>
      <c r="O306" s="153" t="n"/>
      <c r="P306" s="153" t="n"/>
      <c r="Q306" s="153" t="n"/>
      <c r="R306" s="153" t="n"/>
      <c r="S306" s="153" t="n"/>
      <c r="T306" s="153" t="n"/>
      <c r="U306" s="153" t="n"/>
      <c r="V306" s="153" t="n"/>
      <c r="W306" s="153" t="n"/>
      <c r="X306" s="153" t="n"/>
      <c r="Y306" s="153" t="n"/>
      <c r="Z306" s="153" t="n"/>
    </row>
    <row r="307" ht="15.75" customHeight="1" s="154">
      <c r="L307" s="153" t="n"/>
      <c r="M307" s="153" t="n"/>
      <c r="N307" s="153" t="n"/>
      <c r="O307" s="153" t="n"/>
      <c r="P307" s="153" t="n"/>
      <c r="Q307" s="153" t="n"/>
      <c r="R307" s="153" t="n"/>
      <c r="S307" s="153" t="n"/>
      <c r="T307" s="153" t="n"/>
      <c r="U307" s="153" t="n"/>
      <c r="V307" s="153" t="n"/>
      <c r="W307" s="153" t="n"/>
      <c r="X307" s="153" t="n"/>
      <c r="Y307" s="153" t="n"/>
      <c r="Z307" s="153" t="n"/>
    </row>
    <row r="308" ht="15.75" customHeight="1" s="154">
      <c r="L308" s="153" t="n"/>
      <c r="M308" s="153" t="n"/>
      <c r="N308" s="153" t="n"/>
      <c r="O308" s="153" t="n"/>
      <c r="P308" s="153" t="n"/>
      <c r="Q308" s="153" t="n"/>
      <c r="R308" s="153" t="n"/>
      <c r="S308" s="153" t="n"/>
      <c r="T308" s="153" t="n"/>
      <c r="U308" s="153" t="n"/>
      <c r="V308" s="153" t="n"/>
      <c r="W308" s="153" t="n"/>
      <c r="X308" s="153" t="n"/>
      <c r="Y308" s="153" t="n"/>
      <c r="Z308" s="153" t="n"/>
    </row>
    <row r="309" ht="15.75" customHeight="1" s="154">
      <c r="L309" s="153" t="n"/>
      <c r="M309" s="153" t="n"/>
      <c r="N309" s="153" t="n"/>
      <c r="O309" s="153" t="n"/>
      <c r="P309" s="153" t="n"/>
      <c r="Q309" s="153" t="n"/>
      <c r="R309" s="153" t="n"/>
      <c r="S309" s="153" t="n"/>
      <c r="T309" s="153" t="n"/>
      <c r="U309" s="153" t="n"/>
      <c r="V309" s="153" t="n"/>
      <c r="W309" s="153" t="n"/>
      <c r="X309" s="153" t="n"/>
      <c r="Y309" s="153" t="n"/>
      <c r="Z309" s="153" t="n"/>
    </row>
    <row r="310" ht="15.75" customHeight="1" s="154">
      <c r="L310" s="153" t="n"/>
      <c r="M310" s="153" t="n"/>
      <c r="N310" s="153" t="n"/>
      <c r="O310" s="153" t="n"/>
      <c r="P310" s="153" t="n"/>
      <c r="Q310" s="153" t="n"/>
      <c r="R310" s="153" t="n"/>
      <c r="S310" s="153" t="n"/>
      <c r="T310" s="153" t="n"/>
      <c r="U310" s="153" t="n"/>
      <c r="V310" s="153" t="n"/>
      <c r="W310" s="153" t="n"/>
      <c r="X310" s="153" t="n"/>
      <c r="Y310" s="153" t="n"/>
      <c r="Z310" s="153" t="n"/>
    </row>
    <row r="311" ht="15.75" customHeight="1" s="154">
      <c r="L311" s="153" t="n"/>
      <c r="M311" s="153" t="n"/>
      <c r="N311" s="153" t="n"/>
      <c r="O311" s="153" t="n"/>
      <c r="P311" s="153" t="n"/>
      <c r="Q311" s="153" t="n"/>
      <c r="R311" s="153" t="n"/>
      <c r="S311" s="153" t="n"/>
      <c r="T311" s="153" t="n"/>
      <c r="U311" s="153" t="n"/>
      <c r="V311" s="153" t="n"/>
      <c r="W311" s="153" t="n"/>
      <c r="X311" s="153" t="n"/>
      <c r="Y311" s="153" t="n"/>
      <c r="Z311" s="153" t="n"/>
    </row>
    <row r="312" ht="15.75" customHeight="1" s="154">
      <c r="L312" s="153" t="n"/>
      <c r="M312" s="153" t="n"/>
      <c r="N312" s="153" t="n"/>
      <c r="O312" s="153" t="n"/>
      <c r="P312" s="153" t="n"/>
      <c r="Q312" s="153" t="n"/>
      <c r="R312" s="153" t="n"/>
      <c r="S312" s="153" t="n"/>
      <c r="T312" s="153" t="n"/>
      <c r="U312" s="153" t="n"/>
      <c r="V312" s="153" t="n"/>
      <c r="W312" s="153" t="n"/>
      <c r="X312" s="153" t="n"/>
      <c r="Y312" s="153" t="n"/>
      <c r="Z312" s="153" t="n"/>
    </row>
    <row r="313" ht="15.75" customHeight="1" s="154">
      <c r="L313" s="153" t="n"/>
      <c r="M313" s="153" t="n"/>
      <c r="N313" s="153" t="n"/>
      <c r="O313" s="153" t="n"/>
      <c r="P313" s="153" t="n"/>
      <c r="Q313" s="153" t="n"/>
      <c r="R313" s="153" t="n"/>
      <c r="S313" s="153" t="n"/>
      <c r="T313" s="153" t="n"/>
      <c r="U313" s="153" t="n"/>
      <c r="V313" s="153" t="n"/>
      <c r="W313" s="153" t="n"/>
      <c r="X313" s="153" t="n"/>
      <c r="Y313" s="153" t="n"/>
      <c r="Z313" s="153" t="n"/>
    </row>
    <row r="314" ht="15.75" customHeight="1" s="154">
      <c r="L314" s="153" t="n"/>
      <c r="M314" s="153" t="n"/>
      <c r="N314" s="153" t="n"/>
      <c r="O314" s="153" t="n"/>
      <c r="P314" s="153" t="n"/>
      <c r="Q314" s="153" t="n"/>
      <c r="R314" s="153" t="n"/>
      <c r="S314" s="153" t="n"/>
      <c r="T314" s="153" t="n"/>
      <c r="U314" s="153" t="n"/>
      <c r="V314" s="153" t="n"/>
      <c r="W314" s="153" t="n"/>
      <c r="X314" s="153" t="n"/>
      <c r="Y314" s="153" t="n"/>
      <c r="Z314" s="153" t="n"/>
    </row>
    <row r="315" ht="15.75" customHeight="1" s="154">
      <c r="L315" s="153" t="n"/>
      <c r="M315" s="153" t="n"/>
      <c r="N315" s="153" t="n"/>
      <c r="O315" s="153" t="n"/>
      <c r="P315" s="153" t="n"/>
      <c r="Q315" s="153" t="n"/>
      <c r="R315" s="153" t="n"/>
      <c r="S315" s="153" t="n"/>
      <c r="T315" s="153" t="n"/>
      <c r="U315" s="153" t="n"/>
      <c r="V315" s="153" t="n"/>
      <c r="W315" s="153" t="n"/>
      <c r="X315" s="153" t="n"/>
      <c r="Y315" s="153" t="n"/>
      <c r="Z315" s="153" t="n"/>
    </row>
    <row r="316" ht="15.75" customHeight="1" s="154">
      <c r="L316" s="153" t="n"/>
      <c r="M316" s="153" t="n"/>
      <c r="N316" s="153" t="n"/>
      <c r="O316" s="153" t="n"/>
      <c r="P316" s="153" t="n"/>
      <c r="Q316" s="153" t="n"/>
      <c r="R316" s="153" t="n"/>
      <c r="S316" s="153" t="n"/>
      <c r="T316" s="153" t="n"/>
      <c r="U316" s="153" t="n"/>
      <c r="V316" s="153" t="n"/>
      <c r="W316" s="153" t="n"/>
      <c r="X316" s="153" t="n"/>
      <c r="Y316" s="153" t="n"/>
      <c r="Z316" s="153" t="n"/>
    </row>
    <row r="317" ht="15.75" customHeight="1" s="154">
      <c r="L317" s="153" t="n"/>
      <c r="M317" s="153" t="n"/>
      <c r="N317" s="153" t="n"/>
      <c r="O317" s="153" t="n"/>
      <c r="P317" s="153" t="n"/>
      <c r="Q317" s="153" t="n"/>
      <c r="R317" s="153" t="n"/>
      <c r="S317" s="153" t="n"/>
      <c r="T317" s="153" t="n"/>
      <c r="U317" s="153" t="n"/>
      <c r="V317" s="153" t="n"/>
      <c r="W317" s="153" t="n"/>
      <c r="X317" s="153" t="n"/>
      <c r="Y317" s="153" t="n"/>
      <c r="Z317" s="153" t="n"/>
    </row>
    <row r="318" ht="15.75" customHeight="1" s="154">
      <c r="L318" s="153" t="n"/>
      <c r="M318" s="153" t="n"/>
      <c r="N318" s="153" t="n"/>
      <c r="O318" s="153" t="n"/>
      <c r="P318" s="153" t="n"/>
      <c r="Q318" s="153" t="n"/>
      <c r="R318" s="153" t="n"/>
      <c r="S318" s="153" t="n"/>
      <c r="T318" s="153" t="n"/>
      <c r="U318" s="153" t="n"/>
      <c r="V318" s="153" t="n"/>
      <c r="W318" s="153" t="n"/>
      <c r="X318" s="153" t="n"/>
      <c r="Y318" s="153" t="n"/>
      <c r="Z318" s="153" t="n"/>
    </row>
    <row r="319" ht="15.75" customHeight="1" s="154">
      <c r="L319" s="153" t="n"/>
      <c r="M319" s="153" t="n"/>
      <c r="N319" s="153" t="n"/>
      <c r="O319" s="153" t="n"/>
      <c r="P319" s="153" t="n"/>
      <c r="Q319" s="153" t="n"/>
      <c r="R319" s="153" t="n"/>
      <c r="S319" s="153" t="n"/>
      <c r="T319" s="153" t="n"/>
      <c r="U319" s="153" t="n"/>
      <c r="V319" s="153" t="n"/>
      <c r="W319" s="153" t="n"/>
      <c r="X319" s="153" t="n"/>
      <c r="Y319" s="153" t="n"/>
      <c r="Z319" s="153" t="n"/>
    </row>
    <row r="320" ht="15.75" customHeight="1" s="154">
      <c r="L320" s="153" t="n"/>
      <c r="M320" s="153" t="n"/>
      <c r="N320" s="153" t="n"/>
      <c r="O320" s="153" t="n"/>
      <c r="P320" s="153" t="n"/>
      <c r="Q320" s="153" t="n"/>
      <c r="R320" s="153" t="n"/>
      <c r="S320" s="153" t="n"/>
      <c r="T320" s="153" t="n"/>
      <c r="U320" s="153" t="n"/>
      <c r="V320" s="153" t="n"/>
      <c r="W320" s="153" t="n"/>
      <c r="X320" s="153" t="n"/>
      <c r="Y320" s="153" t="n"/>
      <c r="Z320" s="153" t="n"/>
    </row>
    <row r="321" ht="15.75" customHeight="1" s="154">
      <c r="L321" s="153" t="n"/>
      <c r="M321" s="153" t="n"/>
      <c r="N321" s="153" t="n"/>
      <c r="O321" s="153" t="n"/>
      <c r="P321" s="153" t="n"/>
      <c r="Q321" s="153" t="n"/>
      <c r="R321" s="153" t="n"/>
      <c r="S321" s="153" t="n"/>
      <c r="T321" s="153" t="n"/>
      <c r="U321" s="153" t="n"/>
      <c r="V321" s="153" t="n"/>
      <c r="W321" s="153" t="n"/>
      <c r="X321" s="153" t="n"/>
      <c r="Y321" s="153" t="n"/>
      <c r="Z321" s="153" t="n"/>
    </row>
    <row r="322" ht="15.75" customHeight="1" s="154">
      <c r="L322" s="153" t="n"/>
      <c r="M322" s="153" t="n"/>
      <c r="N322" s="153" t="n"/>
      <c r="O322" s="153" t="n"/>
      <c r="P322" s="153" t="n"/>
      <c r="Q322" s="153" t="n"/>
      <c r="R322" s="153" t="n"/>
      <c r="S322" s="153" t="n"/>
      <c r="T322" s="153" t="n"/>
      <c r="U322" s="153" t="n"/>
      <c r="V322" s="153" t="n"/>
      <c r="W322" s="153" t="n"/>
      <c r="X322" s="153" t="n"/>
      <c r="Y322" s="153" t="n"/>
      <c r="Z322" s="153" t="n"/>
    </row>
    <row r="323" ht="15.75" customHeight="1" s="154">
      <c r="L323" s="153" t="n"/>
      <c r="M323" s="153" t="n"/>
      <c r="N323" s="153" t="n"/>
      <c r="O323" s="153" t="n"/>
      <c r="P323" s="153" t="n"/>
      <c r="Q323" s="153" t="n"/>
      <c r="R323" s="153" t="n"/>
      <c r="S323" s="153" t="n"/>
      <c r="T323" s="153" t="n"/>
      <c r="U323" s="153" t="n"/>
      <c r="V323" s="153" t="n"/>
      <c r="W323" s="153" t="n"/>
      <c r="X323" s="153" t="n"/>
      <c r="Y323" s="153" t="n"/>
      <c r="Z323" s="153" t="n"/>
    </row>
    <row r="324" ht="15.75" customHeight="1" s="154">
      <c r="L324" s="153" t="n"/>
      <c r="M324" s="153" t="n"/>
      <c r="N324" s="153" t="n"/>
      <c r="O324" s="153" t="n"/>
      <c r="P324" s="153" t="n"/>
      <c r="Q324" s="153" t="n"/>
      <c r="R324" s="153" t="n"/>
      <c r="S324" s="153" t="n"/>
      <c r="T324" s="153" t="n"/>
      <c r="U324" s="153" t="n"/>
      <c r="V324" s="153" t="n"/>
      <c r="W324" s="153" t="n"/>
      <c r="X324" s="153" t="n"/>
      <c r="Y324" s="153" t="n"/>
      <c r="Z324" s="153" t="n"/>
    </row>
    <row r="325" ht="15.75" customHeight="1" s="154">
      <c r="L325" s="153" t="n"/>
      <c r="M325" s="153" t="n"/>
      <c r="N325" s="153" t="n"/>
      <c r="O325" s="153" t="n"/>
      <c r="P325" s="153" t="n"/>
      <c r="Q325" s="153" t="n"/>
      <c r="R325" s="153" t="n"/>
      <c r="S325" s="153" t="n"/>
      <c r="T325" s="153" t="n"/>
      <c r="U325" s="153" t="n"/>
      <c r="V325" s="153" t="n"/>
      <c r="W325" s="153" t="n"/>
      <c r="X325" s="153" t="n"/>
      <c r="Y325" s="153" t="n"/>
      <c r="Z325" s="153" t="n"/>
    </row>
    <row r="326" ht="15.75" customHeight="1" s="154">
      <c r="L326" s="153" t="n"/>
      <c r="M326" s="153" t="n"/>
      <c r="N326" s="153" t="n"/>
      <c r="O326" s="153" t="n"/>
      <c r="P326" s="153" t="n"/>
      <c r="Q326" s="153" t="n"/>
      <c r="R326" s="153" t="n"/>
      <c r="S326" s="153" t="n"/>
      <c r="T326" s="153" t="n"/>
      <c r="U326" s="153" t="n"/>
      <c r="V326" s="153" t="n"/>
      <c r="W326" s="153" t="n"/>
      <c r="X326" s="153" t="n"/>
      <c r="Y326" s="153" t="n"/>
      <c r="Z326" s="153" t="n"/>
    </row>
    <row r="327" ht="15.75" customHeight="1" s="154">
      <c r="L327" s="153" t="n"/>
      <c r="M327" s="153" t="n"/>
      <c r="N327" s="153" t="n"/>
      <c r="O327" s="153" t="n"/>
      <c r="P327" s="153" t="n"/>
      <c r="Q327" s="153" t="n"/>
      <c r="R327" s="153" t="n"/>
      <c r="S327" s="153" t="n"/>
      <c r="T327" s="153" t="n"/>
      <c r="U327" s="153" t="n"/>
      <c r="V327" s="153" t="n"/>
      <c r="W327" s="153" t="n"/>
      <c r="X327" s="153" t="n"/>
      <c r="Y327" s="153" t="n"/>
      <c r="Z327" s="153" t="n"/>
    </row>
    <row r="328" ht="15.75" customHeight="1" s="154">
      <c r="L328" s="153" t="n"/>
      <c r="M328" s="153" t="n"/>
      <c r="N328" s="153" t="n"/>
      <c r="O328" s="153" t="n"/>
      <c r="P328" s="153" t="n"/>
      <c r="Q328" s="153" t="n"/>
      <c r="R328" s="153" t="n"/>
      <c r="S328" s="153" t="n"/>
      <c r="T328" s="153" t="n"/>
      <c r="U328" s="153" t="n"/>
      <c r="V328" s="153" t="n"/>
      <c r="W328" s="153" t="n"/>
      <c r="X328" s="153" t="n"/>
      <c r="Y328" s="153" t="n"/>
      <c r="Z328" s="153" t="n"/>
    </row>
    <row r="329" ht="15.75" customHeight="1" s="154">
      <c r="L329" s="153" t="n"/>
      <c r="M329" s="153" t="n"/>
      <c r="N329" s="153" t="n"/>
      <c r="O329" s="153" t="n"/>
      <c r="P329" s="153" t="n"/>
      <c r="Q329" s="153" t="n"/>
      <c r="R329" s="153" t="n"/>
      <c r="S329" s="153" t="n"/>
      <c r="T329" s="153" t="n"/>
      <c r="U329" s="153" t="n"/>
      <c r="V329" s="153" t="n"/>
      <c r="W329" s="153" t="n"/>
      <c r="X329" s="153" t="n"/>
      <c r="Y329" s="153" t="n"/>
      <c r="Z329" s="153" t="n"/>
    </row>
    <row r="330" ht="15.75" customHeight="1" s="154">
      <c r="L330" s="153" t="n"/>
      <c r="M330" s="153" t="n"/>
      <c r="N330" s="153" t="n"/>
      <c r="O330" s="153" t="n"/>
      <c r="P330" s="153" t="n"/>
      <c r="Q330" s="153" t="n"/>
      <c r="R330" s="153" t="n"/>
      <c r="S330" s="153" t="n"/>
      <c r="T330" s="153" t="n"/>
      <c r="U330" s="153" t="n"/>
      <c r="V330" s="153" t="n"/>
      <c r="W330" s="153" t="n"/>
      <c r="X330" s="153" t="n"/>
      <c r="Y330" s="153" t="n"/>
      <c r="Z330" s="153" t="n"/>
    </row>
    <row r="331" ht="15.75" customHeight="1" s="154">
      <c r="L331" s="153" t="n"/>
      <c r="M331" s="153" t="n"/>
      <c r="N331" s="153" t="n"/>
      <c r="O331" s="153" t="n"/>
      <c r="P331" s="153" t="n"/>
      <c r="Q331" s="153" t="n"/>
      <c r="R331" s="153" t="n"/>
      <c r="S331" s="153" t="n"/>
      <c r="T331" s="153" t="n"/>
      <c r="U331" s="153" t="n"/>
      <c r="V331" s="153" t="n"/>
      <c r="W331" s="153" t="n"/>
      <c r="X331" s="153" t="n"/>
      <c r="Y331" s="153" t="n"/>
      <c r="Z331" s="153" t="n"/>
    </row>
    <row r="332" ht="15.75" customHeight="1" s="154">
      <c r="L332" s="153" t="n"/>
      <c r="M332" s="153" t="n"/>
      <c r="N332" s="153" t="n"/>
      <c r="O332" s="153" t="n"/>
      <c r="P332" s="153" t="n"/>
      <c r="Q332" s="153" t="n"/>
      <c r="R332" s="153" t="n"/>
      <c r="S332" s="153" t="n"/>
      <c r="T332" s="153" t="n"/>
      <c r="U332" s="153" t="n"/>
      <c r="V332" s="153" t="n"/>
      <c r="W332" s="153" t="n"/>
      <c r="X332" s="153" t="n"/>
      <c r="Y332" s="153" t="n"/>
      <c r="Z332" s="153" t="n"/>
    </row>
    <row r="333" ht="15.75" customHeight="1" s="154">
      <c r="L333" s="153" t="n"/>
      <c r="M333" s="153" t="n"/>
      <c r="N333" s="153" t="n"/>
      <c r="O333" s="153" t="n"/>
      <c r="P333" s="153" t="n"/>
      <c r="Q333" s="153" t="n"/>
      <c r="R333" s="153" t="n"/>
      <c r="S333" s="153" t="n"/>
      <c r="T333" s="153" t="n"/>
      <c r="U333" s="153" t="n"/>
      <c r="V333" s="153" t="n"/>
      <c r="W333" s="153" t="n"/>
      <c r="X333" s="153" t="n"/>
      <c r="Y333" s="153" t="n"/>
      <c r="Z333" s="153" t="n"/>
    </row>
    <row r="334" ht="15.75" customHeight="1" s="154">
      <c r="L334" s="153" t="n"/>
      <c r="M334" s="153" t="n"/>
      <c r="N334" s="153" t="n"/>
      <c r="O334" s="153" t="n"/>
      <c r="P334" s="153" t="n"/>
      <c r="Q334" s="153" t="n"/>
      <c r="R334" s="153" t="n"/>
      <c r="S334" s="153" t="n"/>
      <c r="T334" s="153" t="n"/>
      <c r="U334" s="153" t="n"/>
      <c r="V334" s="153" t="n"/>
      <c r="W334" s="153" t="n"/>
      <c r="X334" s="153" t="n"/>
      <c r="Y334" s="153" t="n"/>
      <c r="Z334" s="153" t="n"/>
    </row>
    <row r="335" ht="15.75" customHeight="1" s="154">
      <c r="L335" s="153" t="n"/>
      <c r="M335" s="153" t="n"/>
      <c r="N335" s="153" t="n"/>
      <c r="O335" s="153" t="n"/>
      <c r="P335" s="153" t="n"/>
      <c r="Q335" s="153" t="n"/>
      <c r="R335" s="153" t="n"/>
      <c r="S335" s="153" t="n"/>
      <c r="T335" s="153" t="n"/>
      <c r="U335" s="153" t="n"/>
      <c r="V335" s="153" t="n"/>
      <c r="W335" s="153" t="n"/>
      <c r="X335" s="153" t="n"/>
      <c r="Y335" s="153" t="n"/>
      <c r="Z335" s="153" t="n"/>
    </row>
    <row r="336" ht="15.75" customHeight="1" s="154">
      <c r="L336" s="153" t="n"/>
      <c r="M336" s="153" t="n"/>
      <c r="N336" s="153" t="n"/>
      <c r="O336" s="153" t="n"/>
      <c r="P336" s="153" t="n"/>
      <c r="Q336" s="153" t="n"/>
      <c r="R336" s="153" t="n"/>
      <c r="S336" s="153" t="n"/>
      <c r="T336" s="153" t="n"/>
      <c r="U336" s="153" t="n"/>
      <c r="V336" s="153" t="n"/>
      <c r="W336" s="153" t="n"/>
      <c r="X336" s="153" t="n"/>
      <c r="Y336" s="153" t="n"/>
      <c r="Z336" s="153" t="n"/>
    </row>
    <row r="337" ht="15.75" customHeight="1" s="154">
      <c r="L337" s="153" t="n"/>
      <c r="M337" s="153" t="n"/>
      <c r="N337" s="153" t="n"/>
      <c r="O337" s="153" t="n"/>
      <c r="P337" s="153" t="n"/>
      <c r="Q337" s="153" t="n"/>
      <c r="R337" s="153" t="n"/>
      <c r="S337" s="153" t="n"/>
      <c r="T337" s="153" t="n"/>
      <c r="U337" s="153" t="n"/>
      <c r="V337" s="153" t="n"/>
      <c r="W337" s="153" t="n"/>
      <c r="X337" s="153" t="n"/>
      <c r="Y337" s="153" t="n"/>
      <c r="Z337" s="153" t="n"/>
    </row>
    <row r="338" ht="15.75" customHeight="1" s="154">
      <c r="L338" s="153" t="n"/>
      <c r="M338" s="153" t="n"/>
      <c r="N338" s="153" t="n"/>
      <c r="O338" s="153" t="n"/>
      <c r="P338" s="153" t="n"/>
      <c r="Q338" s="153" t="n"/>
      <c r="R338" s="153" t="n"/>
      <c r="S338" s="153" t="n"/>
      <c r="T338" s="153" t="n"/>
      <c r="U338" s="153" t="n"/>
      <c r="V338" s="153" t="n"/>
      <c r="W338" s="153" t="n"/>
      <c r="X338" s="153" t="n"/>
      <c r="Y338" s="153" t="n"/>
      <c r="Z338" s="153" t="n"/>
    </row>
    <row r="339" ht="15.75" customHeight="1" s="154">
      <c r="L339" s="153" t="n"/>
      <c r="M339" s="153" t="n"/>
      <c r="N339" s="153" t="n"/>
      <c r="O339" s="153" t="n"/>
      <c r="P339" s="153" t="n"/>
      <c r="Q339" s="153" t="n"/>
      <c r="R339" s="153" t="n"/>
      <c r="S339" s="153" t="n"/>
      <c r="T339" s="153" t="n"/>
      <c r="U339" s="153" t="n"/>
      <c r="V339" s="153" t="n"/>
      <c r="W339" s="153" t="n"/>
      <c r="X339" s="153" t="n"/>
      <c r="Y339" s="153" t="n"/>
      <c r="Z339" s="153" t="n"/>
    </row>
    <row r="340" ht="15.75" customHeight="1" s="154">
      <c r="L340" s="153" t="n"/>
      <c r="M340" s="153" t="n"/>
      <c r="N340" s="153" t="n"/>
      <c r="O340" s="153" t="n"/>
      <c r="P340" s="153" t="n"/>
      <c r="Q340" s="153" t="n"/>
      <c r="R340" s="153" t="n"/>
      <c r="S340" s="153" t="n"/>
      <c r="T340" s="153" t="n"/>
      <c r="U340" s="153" t="n"/>
      <c r="V340" s="153" t="n"/>
      <c r="W340" s="153" t="n"/>
      <c r="X340" s="153" t="n"/>
      <c r="Y340" s="153" t="n"/>
      <c r="Z340" s="153" t="n"/>
    </row>
    <row r="341" ht="15.75" customHeight="1" s="154">
      <c r="L341" s="153" t="n"/>
      <c r="M341" s="153" t="n"/>
      <c r="N341" s="153" t="n"/>
      <c r="O341" s="153" t="n"/>
      <c r="P341" s="153" t="n"/>
      <c r="Q341" s="153" t="n"/>
      <c r="R341" s="153" t="n"/>
      <c r="S341" s="153" t="n"/>
      <c r="T341" s="153" t="n"/>
      <c r="U341" s="153" t="n"/>
      <c r="V341" s="153" t="n"/>
      <c r="W341" s="153" t="n"/>
      <c r="X341" s="153" t="n"/>
      <c r="Y341" s="153" t="n"/>
      <c r="Z341" s="153" t="n"/>
    </row>
    <row r="342" ht="15.75" customHeight="1" s="154">
      <c r="L342" s="153" t="n"/>
      <c r="M342" s="153" t="n"/>
      <c r="N342" s="153" t="n"/>
      <c r="O342" s="153" t="n"/>
      <c r="P342" s="153" t="n"/>
      <c r="Q342" s="153" t="n"/>
      <c r="R342" s="153" t="n"/>
      <c r="S342" s="153" t="n"/>
      <c r="T342" s="153" t="n"/>
      <c r="U342" s="153" t="n"/>
      <c r="V342" s="153" t="n"/>
      <c r="W342" s="153" t="n"/>
      <c r="X342" s="153" t="n"/>
      <c r="Y342" s="153" t="n"/>
      <c r="Z342" s="153" t="n"/>
    </row>
    <row r="343" ht="15.75" customHeight="1" s="154">
      <c r="L343" s="153" t="n"/>
      <c r="M343" s="153" t="n"/>
      <c r="N343" s="153" t="n"/>
      <c r="O343" s="153" t="n"/>
      <c r="P343" s="153" t="n"/>
      <c r="Q343" s="153" t="n"/>
      <c r="R343" s="153" t="n"/>
      <c r="S343" s="153" t="n"/>
      <c r="T343" s="153" t="n"/>
      <c r="U343" s="153" t="n"/>
      <c r="V343" s="153" t="n"/>
      <c r="W343" s="153" t="n"/>
      <c r="X343" s="153" t="n"/>
      <c r="Y343" s="153" t="n"/>
      <c r="Z343" s="153" t="n"/>
    </row>
    <row r="344" ht="15.75" customHeight="1" s="154">
      <c r="L344" s="153" t="n"/>
      <c r="M344" s="153" t="n"/>
      <c r="N344" s="153" t="n"/>
      <c r="O344" s="153" t="n"/>
      <c r="P344" s="153" t="n"/>
      <c r="Q344" s="153" t="n"/>
      <c r="R344" s="153" t="n"/>
      <c r="S344" s="153" t="n"/>
      <c r="T344" s="153" t="n"/>
      <c r="U344" s="153" t="n"/>
      <c r="V344" s="153" t="n"/>
      <c r="W344" s="153" t="n"/>
      <c r="X344" s="153" t="n"/>
      <c r="Y344" s="153" t="n"/>
      <c r="Z344" s="153" t="n"/>
    </row>
    <row r="345" ht="15.75" customHeight="1" s="154">
      <c r="L345" s="153" t="n"/>
      <c r="M345" s="153" t="n"/>
      <c r="N345" s="153" t="n"/>
      <c r="O345" s="153" t="n"/>
      <c r="P345" s="153" t="n"/>
      <c r="Q345" s="153" t="n"/>
      <c r="R345" s="153" t="n"/>
      <c r="S345" s="153" t="n"/>
      <c r="T345" s="153" t="n"/>
      <c r="U345" s="153" t="n"/>
      <c r="V345" s="153" t="n"/>
      <c r="W345" s="153" t="n"/>
      <c r="X345" s="153" t="n"/>
      <c r="Y345" s="153" t="n"/>
      <c r="Z345" s="153" t="n"/>
    </row>
    <row r="346" ht="15.75" customHeight="1" s="154">
      <c r="L346" s="153" t="n"/>
      <c r="M346" s="153" t="n"/>
      <c r="N346" s="153" t="n"/>
      <c r="O346" s="153" t="n"/>
      <c r="P346" s="153" t="n"/>
      <c r="Q346" s="153" t="n"/>
      <c r="R346" s="153" t="n"/>
      <c r="S346" s="153" t="n"/>
      <c r="T346" s="153" t="n"/>
      <c r="U346" s="153" t="n"/>
      <c r="V346" s="153" t="n"/>
      <c r="W346" s="153" t="n"/>
      <c r="X346" s="153" t="n"/>
      <c r="Y346" s="153" t="n"/>
      <c r="Z346" s="153" t="n"/>
    </row>
    <row r="347" ht="15.75" customHeight="1" s="154">
      <c r="L347" s="153" t="n"/>
      <c r="M347" s="153" t="n"/>
      <c r="N347" s="153" t="n"/>
      <c r="O347" s="153" t="n"/>
      <c r="P347" s="153" t="n"/>
      <c r="Q347" s="153" t="n"/>
      <c r="R347" s="153" t="n"/>
      <c r="S347" s="153" t="n"/>
      <c r="T347" s="153" t="n"/>
      <c r="U347" s="153" t="n"/>
      <c r="V347" s="153" t="n"/>
      <c r="W347" s="153" t="n"/>
      <c r="X347" s="153" t="n"/>
      <c r="Y347" s="153" t="n"/>
      <c r="Z347" s="153" t="n"/>
    </row>
    <row r="348" ht="15.75" customHeight="1" s="154">
      <c r="L348" s="153" t="n"/>
      <c r="M348" s="153" t="n"/>
      <c r="N348" s="153" t="n"/>
      <c r="O348" s="153" t="n"/>
      <c r="P348" s="153" t="n"/>
      <c r="Q348" s="153" t="n"/>
      <c r="R348" s="153" t="n"/>
      <c r="S348" s="153" t="n"/>
      <c r="T348" s="153" t="n"/>
      <c r="U348" s="153" t="n"/>
      <c r="V348" s="153" t="n"/>
      <c r="W348" s="153" t="n"/>
      <c r="X348" s="153" t="n"/>
      <c r="Y348" s="153" t="n"/>
      <c r="Z348" s="153" t="n"/>
    </row>
    <row r="349" ht="15.75" customHeight="1" s="154">
      <c r="L349" s="153" t="n"/>
      <c r="M349" s="153" t="n"/>
      <c r="N349" s="153" t="n"/>
      <c r="O349" s="153" t="n"/>
      <c r="P349" s="153" t="n"/>
      <c r="Q349" s="153" t="n"/>
      <c r="R349" s="153" t="n"/>
      <c r="S349" s="153" t="n"/>
      <c r="T349" s="153" t="n"/>
      <c r="U349" s="153" t="n"/>
      <c r="V349" s="153" t="n"/>
      <c r="W349" s="153" t="n"/>
      <c r="X349" s="153" t="n"/>
      <c r="Y349" s="153" t="n"/>
      <c r="Z349" s="153" t="n"/>
    </row>
    <row r="350" ht="15.75" customHeight="1" s="154">
      <c r="L350" s="153" t="n"/>
      <c r="M350" s="153" t="n"/>
      <c r="N350" s="153" t="n"/>
      <c r="O350" s="153" t="n"/>
      <c r="P350" s="153" t="n"/>
      <c r="Q350" s="153" t="n"/>
      <c r="R350" s="153" t="n"/>
      <c r="S350" s="153" t="n"/>
      <c r="T350" s="153" t="n"/>
      <c r="U350" s="153" t="n"/>
      <c r="V350" s="153" t="n"/>
      <c r="W350" s="153" t="n"/>
      <c r="X350" s="153" t="n"/>
      <c r="Y350" s="153" t="n"/>
      <c r="Z350" s="153" t="n"/>
    </row>
    <row r="351" ht="15.75" customHeight="1" s="154">
      <c r="L351" s="153" t="n"/>
      <c r="M351" s="153" t="n"/>
      <c r="N351" s="153" t="n"/>
      <c r="O351" s="153" t="n"/>
      <c r="P351" s="153" t="n"/>
      <c r="Q351" s="153" t="n"/>
      <c r="R351" s="153" t="n"/>
      <c r="S351" s="153" t="n"/>
      <c r="T351" s="153" t="n"/>
      <c r="U351" s="153" t="n"/>
      <c r="V351" s="153" t="n"/>
      <c r="W351" s="153" t="n"/>
      <c r="X351" s="153" t="n"/>
      <c r="Y351" s="153" t="n"/>
      <c r="Z351" s="153" t="n"/>
    </row>
    <row r="352" ht="15.75" customHeight="1" s="154">
      <c r="L352" s="153" t="n"/>
      <c r="M352" s="153" t="n"/>
      <c r="N352" s="153" t="n"/>
      <c r="O352" s="153" t="n"/>
      <c r="P352" s="153" t="n"/>
      <c r="Q352" s="153" t="n"/>
      <c r="R352" s="153" t="n"/>
      <c r="S352" s="153" t="n"/>
      <c r="T352" s="153" t="n"/>
      <c r="U352" s="153" t="n"/>
      <c r="V352" s="153" t="n"/>
      <c r="W352" s="153" t="n"/>
      <c r="X352" s="153" t="n"/>
      <c r="Y352" s="153" t="n"/>
      <c r="Z352" s="153" t="n"/>
    </row>
    <row r="353" ht="15.75" customHeight="1" s="154">
      <c r="L353" s="153" t="n"/>
      <c r="M353" s="153" t="n"/>
      <c r="N353" s="153" t="n"/>
      <c r="O353" s="153" t="n"/>
      <c r="P353" s="153" t="n"/>
      <c r="Q353" s="153" t="n"/>
      <c r="R353" s="153" t="n"/>
      <c r="S353" s="153" t="n"/>
      <c r="T353" s="153" t="n"/>
      <c r="U353" s="153" t="n"/>
      <c r="V353" s="153" t="n"/>
      <c r="W353" s="153" t="n"/>
      <c r="X353" s="153" t="n"/>
      <c r="Y353" s="153" t="n"/>
      <c r="Z353" s="153" t="n"/>
    </row>
    <row r="354" ht="15.75" customHeight="1" s="154">
      <c r="L354" s="153" t="n"/>
      <c r="M354" s="153" t="n"/>
      <c r="N354" s="153" t="n"/>
      <c r="O354" s="153" t="n"/>
      <c r="P354" s="153" t="n"/>
      <c r="Q354" s="153" t="n"/>
      <c r="R354" s="153" t="n"/>
      <c r="S354" s="153" t="n"/>
      <c r="T354" s="153" t="n"/>
      <c r="U354" s="153" t="n"/>
      <c r="V354" s="153" t="n"/>
      <c r="W354" s="153" t="n"/>
      <c r="X354" s="153" t="n"/>
      <c r="Y354" s="153" t="n"/>
      <c r="Z354" s="153" t="n"/>
    </row>
    <row r="355" ht="15.75" customHeight="1" s="154">
      <c r="L355" s="153" t="n"/>
      <c r="M355" s="153" t="n"/>
      <c r="N355" s="153" t="n"/>
      <c r="O355" s="153" t="n"/>
      <c r="P355" s="153" t="n"/>
      <c r="Q355" s="153" t="n"/>
      <c r="R355" s="153" t="n"/>
      <c r="S355" s="153" t="n"/>
      <c r="T355" s="153" t="n"/>
      <c r="U355" s="153" t="n"/>
      <c r="V355" s="153" t="n"/>
      <c r="W355" s="153" t="n"/>
      <c r="X355" s="153" t="n"/>
      <c r="Y355" s="153" t="n"/>
      <c r="Z355" s="153" t="n"/>
    </row>
    <row r="356" ht="15.75" customHeight="1" s="154">
      <c r="L356" s="153" t="n"/>
      <c r="M356" s="153" t="n"/>
      <c r="N356" s="153" t="n"/>
      <c r="O356" s="153" t="n"/>
      <c r="P356" s="153" t="n"/>
      <c r="Q356" s="153" t="n"/>
      <c r="R356" s="153" t="n"/>
      <c r="S356" s="153" t="n"/>
      <c r="T356" s="153" t="n"/>
      <c r="U356" s="153" t="n"/>
      <c r="V356" s="153" t="n"/>
      <c r="W356" s="153" t="n"/>
      <c r="X356" s="153" t="n"/>
      <c r="Y356" s="153" t="n"/>
      <c r="Z356" s="153" t="n"/>
    </row>
    <row r="357" ht="15.75" customHeight="1" s="154">
      <c r="L357" s="153" t="n"/>
      <c r="M357" s="153" t="n"/>
      <c r="N357" s="153" t="n"/>
      <c r="O357" s="153" t="n"/>
      <c r="P357" s="153" t="n"/>
      <c r="Q357" s="153" t="n"/>
      <c r="R357" s="153" t="n"/>
      <c r="S357" s="153" t="n"/>
      <c r="T357" s="153" t="n"/>
      <c r="U357" s="153" t="n"/>
      <c r="V357" s="153" t="n"/>
      <c r="W357" s="153" t="n"/>
      <c r="X357" s="153" t="n"/>
      <c r="Y357" s="153" t="n"/>
      <c r="Z357" s="153" t="n"/>
    </row>
    <row r="358" ht="15.75" customHeight="1" s="154">
      <c r="L358" s="153" t="n"/>
      <c r="M358" s="153" t="n"/>
      <c r="N358" s="153" t="n"/>
      <c r="O358" s="153" t="n"/>
      <c r="P358" s="153" t="n"/>
      <c r="Q358" s="153" t="n"/>
      <c r="R358" s="153" t="n"/>
      <c r="S358" s="153" t="n"/>
      <c r="T358" s="153" t="n"/>
      <c r="U358" s="153" t="n"/>
      <c r="V358" s="153" t="n"/>
      <c r="W358" s="153" t="n"/>
      <c r="X358" s="153" t="n"/>
      <c r="Y358" s="153" t="n"/>
      <c r="Z358" s="153" t="n"/>
    </row>
    <row r="359" ht="15.75" customHeight="1" s="154">
      <c r="L359" s="153" t="n"/>
      <c r="M359" s="153" t="n"/>
      <c r="N359" s="153" t="n"/>
      <c r="O359" s="153" t="n"/>
      <c r="P359" s="153" t="n"/>
      <c r="Q359" s="153" t="n"/>
      <c r="R359" s="153" t="n"/>
      <c r="S359" s="153" t="n"/>
      <c r="T359" s="153" t="n"/>
      <c r="U359" s="153" t="n"/>
      <c r="V359" s="153" t="n"/>
      <c r="W359" s="153" t="n"/>
      <c r="X359" s="153" t="n"/>
      <c r="Y359" s="153" t="n"/>
      <c r="Z359" s="153" t="n"/>
    </row>
    <row r="360" ht="15.75" customHeight="1" s="154">
      <c r="L360" s="153" t="n"/>
      <c r="M360" s="153" t="n"/>
      <c r="N360" s="153" t="n"/>
      <c r="O360" s="153" t="n"/>
      <c r="P360" s="153" t="n"/>
      <c r="Q360" s="153" t="n"/>
      <c r="R360" s="153" t="n"/>
      <c r="S360" s="153" t="n"/>
      <c r="T360" s="153" t="n"/>
      <c r="U360" s="153" t="n"/>
      <c r="V360" s="153" t="n"/>
      <c r="W360" s="153" t="n"/>
      <c r="X360" s="153" t="n"/>
      <c r="Y360" s="153" t="n"/>
      <c r="Z360" s="153" t="n"/>
    </row>
    <row r="361" ht="15.75" customHeight="1" s="154">
      <c r="L361" s="153" t="n"/>
      <c r="M361" s="153" t="n"/>
      <c r="N361" s="153" t="n"/>
      <c r="O361" s="153" t="n"/>
      <c r="P361" s="153" t="n"/>
      <c r="Q361" s="153" t="n"/>
      <c r="R361" s="153" t="n"/>
      <c r="S361" s="153" t="n"/>
      <c r="T361" s="153" t="n"/>
      <c r="U361" s="153" t="n"/>
      <c r="V361" s="153" t="n"/>
      <c r="W361" s="153" t="n"/>
      <c r="X361" s="153" t="n"/>
      <c r="Y361" s="153" t="n"/>
      <c r="Z361" s="153" t="n"/>
    </row>
    <row r="362" ht="15.75" customHeight="1" s="154">
      <c r="L362" s="153" t="n"/>
      <c r="M362" s="153" t="n"/>
      <c r="N362" s="153" t="n"/>
      <c r="O362" s="153" t="n"/>
      <c r="P362" s="153" t="n"/>
      <c r="Q362" s="153" t="n"/>
      <c r="R362" s="153" t="n"/>
      <c r="S362" s="153" t="n"/>
      <c r="T362" s="153" t="n"/>
      <c r="U362" s="153" t="n"/>
      <c r="V362" s="153" t="n"/>
      <c r="W362" s="153" t="n"/>
      <c r="X362" s="153" t="n"/>
      <c r="Y362" s="153" t="n"/>
      <c r="Z362" s="153" t="n"/>
    </row>
    <row r="363" ht="15.75" customHeight="1" s="154">
      <c r="L363" s="153" t="n"/>
      <c r="M363" s="153" t="n"/>
      <c r="N363" s="153" t="n"/>
      <c r="O363" s="153" t="n"/>
      <c r="P363" s="153" t="n"/>
      <c r="Q363" s="153" t="n"/>
      <c r="R363" s="153" t="n"/>
      <c r="S363" s="153" t="n"/>
      <c r="T363" s="153" t="n"/>
      <c r="U363" s="153" t="n"/>
      <c r="V363" s="153" t="n"/>
      <c r="W363" s="153" t="n"/>
      <c r="X363" s="153" t="n"/>
      <c r="Y363" s="153" t="n"/>
      <c r="Z363" s="153" t="n"/>
    </row>
    <row r="364" ht="15.75" customHeight="1" s="154">
      <c r="L364" s="153" t="n"/>
      <c r="M364" s="153" t="n"/>
      <c r="N364" s="153" t="n"/>
      <c r="O364" s="153" t="n"/>
      <c r="P364" s="153" t="n"/>
      <c r="Q364" s="153" t="n"/>
      <c r="R364" s="153" t="n"/>
      <c r="S364" s="153" t="n"/>
      <c r="T364" s="153" t="n"/>
      <c r="U364" s="153" t="n"/>
      <c r="V364" s="153" t="n"/>
      <c r="W364" s="153" t="n"/>
      <c r="X364" s="153" t="n"/>
      <c r="Y364" s="153" t="n"/>
      <c r="Z364" s="153" t="n"/>
    </row>
    <row r="365" ht="15.75" customHeight="1" s="154">
      <c r="L365" s="153" t="n"/>
      <c r="M365" s="153" t="n"/>
      <c r="N365" s="153" t="n"/>
      <c r="O365" s="153" t="n"/>
      <c r="P365" s="153" t="n"/>
      <c r="Q365" s="153" t="n"/>
      <c r="R365" s="153" t="n"/>
      <c r="S365" s="153" t="n"/>
      <c r="T365" s="153" t="n"/>
      <c r="U365" s="153" t="n"/>
      <c r="V365" s="153" t="n"/>
      <c r="W365" s="153" t="n"/>
      <c r="X365" s="153" t="n"/>
      <c r="Y365" s="153" t="n"/>
      <c r="Z365" s="153" t="n"/>
    </row>
    <row r="366" ht="15.75" customHeight="1" s="154">
      <c r="L366" s="153" t="n"/>
      <c r="M366" s="153" t="n"/>
      <c r="N366" s="153" t="n"/>
      <c r="O366" s="153" t="n"/>
      <c r="P366" s="153" t="n"/>
      <c r="Q366" s="153" t="n"/>
      <c r="R366" s="153" t="n"/>
      <c r="S366" s="153" t="n"/>
      <c r="T366" s="153" t="n"/>
      <c r="U366" s="153" t="n"/>
      <c r="V366" s="153" t="n"/>
      <c r="W366" s="153" t="n"/>
      <c r="X366" s="153" t="n"/>
      <c r="Y366" s="153" t="n"/>
      <c r="Z366" s="153" t="n"/>
    </row>
    <row r="367" ht="15.75" customHeight="1" s="154">
      <c r="L367" s="153" t="n"/>
      <c r="M367" s="153" t="n"/>
      <c r="N367" s="153" t="n"/>
      <c r="O367" s="153" t="n"/>
      <c r="P367" s="153" t="n"/>
      <c r="Q367" s="153" t="n"/>
      <c r="R367" s="153" t="n"/>
      <c r="S367" s="153" t="n"/>
      <c r="T367" s="153" t="n"/>
      <c r="U367" s="153" t="n"/>
      <c r="V367" s="153" t="n"/>
      <c r="W367" s="153" t="n"/>
      <c r="X367" s="153" t="n"/>
      <c r="Y367" s="153" t="n"/>
      <c r="Z367" s="153" t="n"/>
    </row>
    <row r="368" ht="15.75" customHeight="1" s="154">
      <c r="L368" s="153" t="n"/>
      <c r="M368" s="153" t="n"/>
      <c r="N368" s="153" t="n"/>
      <c r="O368" s="153" t="n"/>
      <c r="P368" s="153" t="n"/>
      <c r="Q368" s="153" t="n"/>
      <c r="R368" s="153" t="n"/>
      <c r="S368" s="153" t="n"/>
      <c r="T368" s="153" t="n"/>
      <c r="U368" s="153" t="n"/>
      <c r="V368" s="153" t="n"/>
      <c r="W368" s="153" t="n"/>
      <c r="X368" s="153" t="n"/>
      <c r="Y368" s="153" t="n"/>
      <c r="Z368" s="153" t="n"/>
    </row>
    <row r="369" ht="15.75" customHeight="1" s="154">
      <c r="L369" s="153" t="n"/>
      <c r="M369" s="153" t="n"/>
      <c r="N369" s="153" t="n"/>
      <c r="O369" s="153" t="n"/>
      <c r="P369" s="153" t="n"/>
      <c r="Q369" s="153" t="n"/>
      <c r="R369" s="153" t="n"/>
      <c r="S369" s="153" t="n"/>
      <c r="T369" s="153" t="n"/>
      <c r="U369" s="153" t="n"/>
      <c r="V369" s="153" t="n"/>
      <c r="W369" s="153" t="n"/>
      <c r="X369" s="153" t="n"/>
      <c r="Y369" s="153" t="n"/>
      <c r="Z369" s="153" t="n"/>
    </row>
    <row r="370" ht="15.75" customHeight="1" s="154">
      <c r="L370" s="153" t="n"/>
      <c r="M370" s="153" t="n"/>
      <c r="N370" s="153" t="n"/>
      <c r="O370" s="153" t="n"/>
      <c r="P370" s="153" t="n"/>
      <c r="Q370" s="153" t="n"/>
      <c r="R370" s="153" t="n"/>
      <c r="S370" s="153" t="n"/>
      <c r="T370" s="153" t="n"/>
      <c r="U370" s="153" t="n"/>
      <c r="V370" s="153" t="n"/>
      <c r="W370" s="153" t="n"/>
      <c r="X370" s="153" t="n"/>
      <c r="Y370" s="153" t="n"/>
      <c r="Z370" s="153" t="n"/>
    </row>
    <row r="371" ht="15.75" customHeight="1" s="154">
      <c r="L371" s="153" t="n"/>
      <c r="M371" s="153" t="n"/>
      <c r="N371" s="153" t="n"/>
      <c r="O371" s="153" t="n"/>
      <c r="P371" s="153" t="n"/>
      <c r="Q371" s="153" t="n"/>
      <c r="R371" s="153" t="n"/>
      <c r="S371" s="153" t="n"/>
      <c r="T371" s="153" t="n"/>
      <c r="U371" s="153" t="n"/>
      <c r="V371" s="153" t="n"/>
      <c r="W371" s="153" t="n"/>
      <c r="X371" s="153" t="n"/>
      <c r="Y371" s="153" t="n"/>
      <c r="Z371" s="153" t="n"/>
    </row>
    <row r="372" ht="15.75" customHeight="1" s="154">
      <c r="L372" s="153" t="n"/>
      <c r="M372" s="153" t="n"/>
      <c r="N372" s="153" t="n"/>
      <c r="O372" s="153" t="n"/>
      <c r="P372" s="153" t="n"/>
      <c r="Q372" s="153" t="n"/>
      <c r="R372" s="153" t="n"/>
      <c r="S372" s="153" t="n"/>
      <c r="T372" s="153" t="n"/>
      <c r="U372" s="153" t="n"/>
      <c r="V372" s="153" t="n"/>
      <c r="W372" s="153" t="n"/>
      <c r="X372" s="153" t="n"/>
      <c r="Y372" s="153" t="n"/>
      <c r="Z372" s="153" t="n"/>
    </row>
    <row r="373" ht="15.75" customHeight="1" s="154">
      <c r="L373" s="153" t="n"/>
      <c r="M373" s="153" t="n"/>
      <c r="N373" s="153" t="n"/>
      <c r="O373" s="153" t="n"/>
      <c r="P373" s="153" t="n"/>
      <c r="Q373" s="153" t="n"/>
      <c r="R373" s="153" t="n"/>
      <c r="S373" s="153" t="n"/>
      <c r="T373" s="153" t="n"/>
      <c r="U373" s="153" t="n"/>
      <c r="V373" s="153" t="n"/>
      <c r="W373" s="153" t="n"/>
      <c r="X373" s="153" t="n"/>
      <c r="Y373" s="153" t="n"/>
      <c r="Z373" s="153" t="n"/>
    </row>
    <row r="374" ht="15.75" customHeight="1" s="154">
      <c r="L374" s="153" t="n"/>
      <c r="M374" s="153" t="n"/>
      <c r="N374" s="153" t="n"/>
      <c r="O374" s="153" t="n"/>
      <c r="P374" s="153" t="n"/>
      <c r="Q374" s="153" t="n"/>
      <c r="R374" s="153" t="n"/>
      <c r="S374" s="153" t="n"/>
      <c r="T374" s="153" t="n"/>
      <c r="U374" s="153" t="n"/>
      <c r="V374" s="153" t="n"/>
      <c r="W374" s="153" t="n"/>
      <c r="X374" s="153" t="n"/>
      <c r="Y374" s="153" t="n"/>
      <c r="Z374" s="153" t="n"/>
    </row>
    <row r="375" ht="15.75" customHeight="1" s="154">
      <c r="L375" s="153" t="n"/>
      <c r="M375" s="153" t="n"/>
      <c r="N375" s="153" t="n"/>
      <c r="O375" s="153" t="n"/>
      <c r="P375" s="153" t="n"/>
      <c r="Q375" s="153" t="n"/>
      <c r="R375" s="153" t="n"/>
      <c r="S375" s="153" t="n"/>
      <c r="T375" s="153" t="n"/>
      <c r="U375" s="153" t="n"/>
      <c r="V375" s="153" t="n"/>
      <c r="W375" s="153" t="n"/>
      <c r="X375" s="153" t="n"/>
      <c r="Y375" s="153" t="n"/>
      <c r="Z375" s="153" t="n"/>
    </row>
    <row r="376" ht="15.75" customHeight="1" s="154">
      <c r="L376" s="153" t="n"/>
      <c r="M376" s="153" t="n"/>
      <c r="N376" s="153" t="n"/>
      <c r="O376" s="153" t="n"/>
      <c r="P376" s="153" t="n"/>
      <c r="Q376" s="153" t="n"/>
      <c r="R376" s="153" t="n"/>
      <c r="S376" s="153" t="n"/>
      <c r="T376" s="153" t="n"/>
      <c r="U376" s="153" t="n"/>
      <c r="V376" s="153" t="n"/>
      <c r="W376" s="153" t="n"/>
      <c r="X376" s="153" t="n"/>
      <c r="Y376" s="153" t="n"/>
      <c r="Z376" s="153" t="n"/>
    </row>
    <row r="377" ht="15.75" customHeight="1" s="154">
      <c r="L377" s="153" t="n"/>
      <c r="M377" s="153" t="n"/>
      <c r="N377" s="153" t="n"/>
      <c r="O377" s="153" t="n"/>
      <c r="P377" s="153" t="n"/>
      <c r="Q377" s="153" t="n"/>
      <c r="R377" s="153" t="n"/>
      <c r="S377" s="153" t="n"/>
      <c r="T377" s="153" t="n"/>
      <c r="U377" s="153" t="n"/>
      <c r="V377" s="153" t="n"/>
      <c r="W377" s="153" t="n"/>
      <c r="X377" s="153" t="n"/>
      <c r="Y377" s="153" t="n"/>
      <c r="Z377" s="153" t="n"/>
    </row>
    <row r="378" ht="15.75" customHeight="1" s="154">
      <c r="L378" s="153" t="n"/>
      <c r="M378" s="153" t="n"/>
      <c r="N378" s="153" t="n"/>
      <c r="O378" s="153" t="n"/>
      <c r="P378" s="153" t="n"/>
      <c r="Q378" s="153" t="n"/>
      <c r="R378" s="153" t="n"/>
      <c r="S378" s="153" t="n"/>
      <c r="T378" s="153" t="n"/>
      <c r="U378" s="153" t="n"/>
      <c r="V378" s="153" t="n"/>
      <c r="W378" s="153" t="n"/>
      <c r="X378" s="153" t="n"/>
      <c r="Y378" s="153" t="n"/>
      <c r="Z378" s="153" t="n"/>
    </row>
    <row r="379" ht="15.75" customHeight="1" s="154">
      <c r="L379" s="153" t="n"/>
      <c r="M379" s="153" t="n"/>
      <c r="N379" s="153" t="n"/>
      <c r="O379" s="153" t="n"/>
      <c r="P379" s="153" t="n"/>
      <c r="Q379" s="153" t="n"/>
      <c r="R379" s="153" t="n"/>
      <c r="S379" s="153" t="n"/>
      <c r="T379" s="153" t="n"/>
      <c r="U379" s="153" t="n"/>
      <c r="V379" s="153" t="n"/>
      <c r="W379" s="153" t="n"/>
      <c r="X379" s="153" t="n"/>
      <c r="Y379" s="153" t="n"/>
      <c r="Z379" s="153" t="n"/>
    </row>
    <row r="380" ht="15.75" customHeight="1" s="154">
      <c r="L380" s="153" t="n"/>
      <c r="M380" s="153" t="n"/>
      <c r="N380" s="153" t="n"/>
      <c r="O380" s="153" t="n"/>
      <c r="P380" s="153" t="n"/>
      <c r="Q380" s="153" t="n"/>
      <c r="R380" s="153" t="n"/>
      <c r="S380" s="153" t="n"/>
      <c r="T380" s="153" t="n"/>
      <c r="U380" s="153" t="n"/>
      <c r="V380" s="153" t="n"/>
      <c r="W380" s="153" t="n"/>
      <c r="X380" s="153" t="n"/>
      <c r="Y380" s="153" t="n"/>
      <c r="Z380" s="153" t="n"/>
    </row>
    <row r="381" ht="15.75" customHeight="1" s="154">
      <c r="L381" s="153" t="n"/>
      <c r="M381" s="153" t="n"/>
      <c r="N381" s="153" t="n"/>
      <c r="O381" s="153" t="n"/>
      <c r="P381" s="153" t="n"/>
      <c r="Q381" s="153" t="n"/>
      <c r="R381" s="153" t="n"/>
      <c r="S381" s="153" t="n"/>
      <c r="T381" s="153" t="n"/>
      <c r="U381" s="153" t="n"/>
      <c r="V381" s="153" t="n"/>
      <c r="W381" s="153" t="n"/>
      <c r="X381" s="153" t="n"/>
      <c r="Y381" s="153" t="n"/>
      <c r="Z381" s="153" t="n"/>
    </row>
    <row r="382" ht="15.75" customHeight="1" s="154">
      <c r="L382" s="153" t="n"/>
      <c r="M382" s="153" t="n"/>
      <c r="N382" s="153" t="n"/>
      <c r="O382" s="153" t="n"/>
      <c r="P382" s="153" t="n"/>
      <c r="Q382" s="153" t="n"/>
      <c r="R382" s="153" t="n"/>
      <c r="S382" s="153" t="n"/>
      <c r="T382" s="153" t="n"/>
      <c r="U382" s="153" t="n"/>
      <c r="V382" s="153" t="n"/>
      <c r="W382" s="153" t="n"/>
      <c r="X382" s="153" t="n"/>
      <c r="Y382" s="153" t="n"/>
      <c r="Z382" s="153" t="n"/>
    </row>
    <row r="383" ht="15.75" customHeight="1" s="154">
      <c r="L383" s="153" t="n"/>
      <c r="M383" s="153" t="n"/>
      <c r="N383" s="153" t="n"/>
      <c r="O383" s="153" t="n"/>
      <c r="P383" s="153" t="n"/>
      <c r="Q383" s="153" t="n"/>
      <c r="R383" s="153" t="n"/>
      <c r="S383" s="153" t="n"/>
      <c r="T383" s="153" t="n"/>
      <c r="U383" s="153" t="n"/>
      <c r="V383" s="153" t="n"/>
      <c r="W383" s="153" t="n"/>
      <c r="X383" s="153" t="n"/>
      <c r="Y383" s="153" t="n"/>
      <c r="Z383" s="153" t="n"/>
    </row>
    <row r="384" ht="15.75" customHeight="1" s="154">
      <c r="L384" s="153" t="n"/>
      <c r="M384" s="153" t="n"/>
      <c r="N384" s="153" t="n"/>
      <c r="O384" s="153" t="n"/>
      <c r="P384" s="153" t="n"/>
      <c r="Q384" s="153" t="n"/>
      <c r="R384" s="153" t="n"/>
      <c r="S384" s="153" t="n"/>
      <c r="T384" s="153" t="n"/>
      <c r="U384" s="153" t="n"/>
      <c r="V384" s="153" t="n"/>
      <c r="W384" s="153" t="n"/>
      <c r="X384" s="153" t="n"/>
      <c r="Y384" s="153" t="n"/>
      <c r="Z384" s="153" t="n"/>
    </row>
    <row r="385" ht="15.75" customHeight="1" s="154">
      <c r="L385" s="153" t="n"/>
      <c r="M385" s="153" t="n"/>
      <c r="N385" s="153" t="n"/>
      <c r="O385" s="153" t="n"/>
      <c r="P385" s="153" t="n"/>
      <c r="Q385" s="153" t="n"/>
      <c r="R385" s="153" t="n"/>
      <c r="S385" s="153" t="n"/>
      <c r="T385" s="153" t="n"/>
      <c r="U385" s="153" t="n"/>
      <c r="V385" s="153" t="n"/>
      <c r="W385" s="153" t="n"/>
      <c r="X385" s="153" t="n"/>
      <c r="Y385" s="153" t="n"/>
      <c r="Z385" s="153" t="n"/>
    </row>
    <row r="386" ht="15.75" customHeight="1" s="154">
      <c r="L386" s="153" t="n"/>
      <c r="M386" s="153" t="n"/>
      <c r="N386" s="153" t="n"/>
      <c r="O386" s="153" t="n"/>
      <c r="P386" s="153" t="n"/>
      <c r="Q386" s="153" t="n"/>
      <c r="R386" s="153" t="n"/>
      <c r="S386" s="153" t="n"/>
      <c r="T386" s="153" t="n"/>
      <c r="U386" s="153" t="n"/>
      <c r="V386" s="153" t="n"/>
      <c r="W386" s="153" t="n"/>
      <c r="X386" s="153" t="n"/>
      <c r="Y386" s="153" t="n"/>
      <c r="Z386" s="153" t="n"/>
    </row>
    <row r="387" ht="15.75" customHeight="1" s="154">
      <c r="L387" s="153" t="n"/>
      <c r="M387" s="153" t="n"/>
      <c r="N387" s="153" t="n"/>
      <c r="O387" s="153" t="n"/>
      <c r="P387" s="153" t="n"/>
      <c r="Q387" s="153" t="n"/>
      <c r="R387" s="153" t="n"/>
      <c r="S387" s="153" t="n"/>
      <c r="T387" s="153" t="n"/>
      <c r="U387" s="153" t="n"/>
      <c r="V387" s="153" t="n"/>
      <c r="W387" s="153" t="n"/>
      <c r="X387" s="153" t="n"/>
      <c r="Y387" s="153" t="n"/>
      <c r="Z387" s="153" t="n"/>
    </row>
    <row r="388" ht="15.75" customHeight="1" s="154">
      <c r="L388" s="153" t="n"/>
      <c r="M388" s="153" t="n"/>
      <c r="N388" s="153" t="n"/>
      <c r="O388" s="153" t="n"/>
      <c r="P388" s="153" t="n"/>
      <c r="Q388" s="153" t="n"/>
      <c r="R388" s="153" t="n"/>
      <c r="S388" s="153" t="n"/>
      <c r="T388" s="153" t="n"/>
      <c r="U388" s="153" t="n"/>
      <c r="V388" s="153" t="n"/>
      <c r="W388" s="153" t="n"/>
      <c r="X388" s="153" t="n"/>
      <c r="Y388" s="153" t="n"/>
      <c r="Z388" s="153" t="n"/>
    </row>
    <row r="389" ht="15.75" customHeight="1" s="154">
      <c r="L389" s="153" t="n"/>
      <c r="M389" s="153" t="n"/>
      <c r="N389" s="153" t="n"/>
      <c r="O389" s="153" t="n"/>
      <c r="P389" s="153" t="n"/>
      <c r="Q389" s="153" t="n"/>
      <c r="R389" s="153" t="n"/>
      <c r="S389" s="153" t="n"/>
      <c r="T389" s="153" t="n"/>
      <c r="U389" s="153" t="n"/>
      <c r="V389" s="153" t="n"/>
      <c r="W389" s="153" t="n"/>
      <c r="X389" s="153" t="n"/>
      <c r="Y389" s="153" t="n"/>
      <c r="Z389" s="153" t="n"/>
    </row>
    <row r="390" ht="15.75" customHeight="1" s="154">
      <c r="L390" s="153" t="n"/>
      <c r="M390" s="153" t="n"/>
      <c r="N390" s="153" t="n"/>
      <c r="O390" s="153" t="n"/>
      <c r="P390" s="153" t="n"/>
      <c r="Q390" s="153" t="n"/>
      <c r="R390" s="153" t="n"/>
      <c r="S390" s="153" t="n"/>
      <c r="T390" s="153" t="n"/>
      <c r="U390" s="153" t="n"/>
      <c r="V390" s="153" t="n"/>
      <c r="W390" s="153" t="n"/>
      <c r="X390" s="153" t="n"/>
      <c r="Y390" s="153" t="n"/>
      <c r="Z390" s="153" t="n"/>
    </row>
    <row r="391" ht="15.75" customHeight="1" s="154">
      <c r="L391" s="153" t="n"/>
      <c r="M391" s="153" t="n"/>
      <c r="N391" s="153" t="n"/>
      <c r="O391" s="153" t="n"/>
      <c r="P391" s="153" t="n"/>
      <c r="Q391" s="153" t="n"/>
      <c r="R391" s="153" t="n"/>
      <c r="S391" s="153" t="n"/>
      <c r="T391" s="153" t="n"/>
      <c r="U391" s="153" t="n"/>
      <c r="V391" s="153" t="n"/>
      <c r="W391" s="153" t="n"/>
      <c r="X391" s="153" t="n"/>
      <c r="Y391" s="153" t="n"/>
      <c r="Z391" s="153" t="n"/>
    </row>
    <row r="392" ht="15.75" customHeight="1" s="154">
      <c r="L392" s="153" t="n"/>
      <c r="M392" s="153" t="n"/>
      <c r="N392" s="153" t="n"/>
      <c r="O392" s="153" t="n"/>
      <c r="P392" s="153" t="n"/>
      <c r="Q392" s="153" t="n"/>
      <c r="R392" s="153" t="n"/>
      <c r="S392" s="153" t="n"/>
      <c r="T392" s="153" t="n"/>
      <c r="U392" s="153" t="n"/>
      <c r="V392" s="153" t="n"/>
      <c r="W392" s="153" t="n"/>
      <c r="X392" s="153" t="n"/>
      <c r="Y392" s="153" t="n"/>
      <c r="Z392" s="153" t="n"/>
    </row>
    <row r="393" ht="15.75" customHeight="1" s="154">
      <c r="L393" s="153" t="n"/>
      <c r="M393" s="153" t="n"/>
      <c r="N393" s="153" t="n"/>
      <c r="O393" s="153" t="n"/>
      <c r="P393" s="153" t="n"/>
      <c r="Q393" s="153" t="n"/>
      <c r="R393" s="153" t="n"/>
      <c r="S393" s="153" t="n"/>
      <c r="T393" s="153" t="n"/>
      <c r="U393" s="153" t="n"/>
      <c r="V393" s="153" t="n"/>
      <c r="W393" s="153" t="n"/>
      <c r="X393" s="153" t="n"/>
      <c r="Y393" s="153" t="n"/>
      <c r="Z393" s="153" t="n"/>
    </row>
    <row r="394" ht="15.75" customHeight="1" s="154">
      <c r="L394" s="153" t="n"/>
      <c r="M394" s="153" t="n"/>
      <c r="N394" s="153" t="n"/>
      <c r="O394" s="153" t="n"/>
      <c r="P394" s="153" t="n"/>
      <c r="Q394" s="153" t="n"/>
      <c r="R394" s="153" t="n"/>
      <c r="S394" s="153" t="n"/>
      <c r="T394" s="153" t="n"/>
      <c r="U394" s="153" t="n"/>
      <c r="V394" s="153" t="n"/>
      <c r="W394" s="153" t="n"/>
      <c r="X394" s="153" t="n"/>
      <c r="Y394" s="153" t="n"/>
      <c r="Z394" s="153" t="n"/>
    </row>
    <row r="395" ht="15.75" customHeight="1" s="154">
      <c r="L395" s="153" t="n"/>
      <c r="M395" s="153" t="n"/>
      <c r="N395" s="153" t="n"/>
      <c r="O395" s="153" t="n"/>
      <c r="P395" s="153" t="n"/>
      <c r="Q395" s="153" t="n"/>
      <c r="R395" s="153" t="n"/>
      <c r="S395" s="153" t="n"/>
      <c r="T395" s="153" t="n"/>
      <c r="U395" s="153" t="n"/>
      <c r="V395" s="153" t="n"/>
      <c r="W395" s="153" t="n"/>
      <c r="X395" s="153" t="n"/>
      <c r="Y395" s="153" t="n"/>
      <c r="Z395" s="153" t="n"/>
    </row>
    <row r="396" ht="15.75" customHeight="1" s="154">
      <c r="L396" s="153" t="n"/>
      <c r="M396" s="153" t="n"/>
      <c r="N396" s="153" t="n"/>
      <c r="O396" s="153" t="n"/>
      <c r="P396" s="153" t="n"/>
      <c r="Q396" s="153" t="n"/>
      <c r="R396" s="153" t="n"/>
      <c r="S396" s="153" t="n"/>
      <c r="T396" s="153" t="n"/>
      <c r="U396" s="153" t="n"/>
      <c r="V396" s="153" t="n"/>
      <c r="W396" s="153" t="n"/>
      <c r="X396" s="153" t="n"/>
      <c r="Y396" s="153" t="n"/>
      <c r="Z396" s="153" t="n"/>
    </row>
    <row r="397" ht="15.75" customHeight="1" s="154">
      <c r="L397" s="153" t="n"/>
      <c r="M397" s="153" t="n"/>
      <c r="N397" s="153" t="n"/>
      <c r="O397" s="153" t="n"/>
      <c r="P397" s="153" t="n"/>
      <c r="Q397" s="153" t="n"/>
      <c r="R397" s="153" t="n"/>
      <c r="S397" s="153" t="n"/>
      <c r="T397" s="153" t="n"/>
      <c r="U397" s="153" t="n"/>
      <c r="V397" s="153" t="n"/>
      <c r="W397" s="153" t="n"/>
      <c r="X397" s="153" t="n"/>
      <c r="Y397" s="153" t="n"/>
      <c r="Z397" s="153" t="n"/>
    </row>
    <row r="398" ht="15.75" customHeight="1" s="154">
      <c r="L398" s="153" t="n"/>
      <c r="M398" s="153" t="n"/>
      <c r="N398" s="153" t="n"/>
      <c r="O398" s="153" t="n"/>
      <c r="P398" s="153" t="n"/>
      <c r="Q398" s="153" t="n"/>
      <c r="R398" s="153" t="n"/>
      <c r="S398" s="153" t="n"/>
      <c r="T398" s="153" t="n"/>
      <c r="U398" s="153" t="n"/>
      <c r="V398" s="153" t="n"/>
      <c r="W398" s="153" t="n"/>
      <c r="X398" s="153" t="n"/>
      <c r="Y398" s="153" t="n"/>
      <c r="Z398" s="153" t="n"/>
    </row>
    <row r="399" ht="15.75" customHeight="1" s="154">
      <c r="L399" s="153" t="n"/>
      <c r="M399" s="153" t="n"/>
      <c r="N399" s="153" t="n"/>
      <c r="O399" s="153" t="n"/>
      <c r="P399" s="153" t="n"/>
      <c r="Q399" s="153" t="n"/>
      <c r="R399" s="153" t="n"/>
      <c r="S399" s="153" t="n"/>
      <c r="T399" s="153" t="n"/>
      <c r="U399" s="153" t="n"/>
      <c r="V399" s="153" t="n"/>
      <c r="W399" s="153" t="n"/>
      <c r="X399" s="153" t="n"/>
      <c r="Y399" s="153" t="n"/>
      <c r="Z399" s="153" t="n"/>
    </row>
    <row r="400" ht="15.75" customHeight="1" s="154">
      <c r="L400" s="153" t="n"/>
      <c r="M400" s="153" t="n"/>
      <c r="N400" s="153" t="n"/>
      <c r="O400" s="153" t="n"/>
      <c r="P400" s="153" t="n"/>
      <c r="Q400" s="153" t="n"/>
      <c r="R400" s="153" t="n"/>
      <c r="S400" s="153" t="n"/>
      <c r="T400" s="153" t="n"/>
      <c r="U400" s="153" t="n"/>
      <c r="V400" s="153" t="n"/>
      <c r="W400" s="153" t="n"/>
      <c r="X400" s="153" t="n"/>
      <c r="Y400" s="153" t="n"/>
      <c r="Z400" s="153" t="n"/>
    </row>
    <row r="401" ht="15.75" customHeight="1" s="154">
      <c r="L401" s="153" t="n"/>
      <c r="M401" s="153" t="n"/>
      <c r="N401" s="153" t="n"/>
      <c r="O401" s="153" t="n"/>
      <c r="P401" s="153" t="n"/>
      <c r="Q401" s="153" t="n"/>
      <c r="R401" s="153" t="n"/>
      <c r="S401" s="153" t="n"/>
      <c r="T401" s="153" t="n"/>
      <c r="U401" s="153" t="n"/>
      <c r="V401" s="153" t="n"/>
      <c r="W401" s="153" t="n"/>
      <c r="X401" s="153" t="n"/>
      <c r="Y401" s="153" t="n"/>
      <c r="Z401" s="153" t="n"/>
    </row>
    <row r="402" ht="15.75" customHeight="1" s="154">
      <c r="L402" s="153" t="n"/>
      <c r="M402" s="153" t="n"/>
      <c r="N402" s="153" t="n"/>
      <c r="O402" s="153" t="n"/>
      <c r="P402" s="153" t="n"/>
      <c r="Q402" s="153" t="n"/>
      <c r="R402" s="153" t="n"/>
      <c r="S402" s="153" t="n"/>
      <c r="T402" s="153" t="n"/>
      <c r="U402" s="153" t="n"/>
      <c r="V402" s="153" t="n"/>
      <c r="W402" s="153" t="n"/>
      <c r="X402" s="153" t="n"/>
      <c r="Y402" s="153" t="n"/>
      <c r="Z402" s="153" t="n"/>
    </row>
    <row r="403" ht="15.75" customHeight="1" s="154">
      <c r="L403" s="153" t="n"/>
      <c r="M403" s="153" t="n"/>
      <c r="N403" s="153" t="n"/>
      <c r="O403" s="153" t="n"/>
      <c r="P403" s="153" t="n"/>
      <c r="Q403" s="153" t="n"/>
      <c r="R403" s="153" t="n"/>
      <c r="S403" s="153" t="n"/>
      <c r="T403" s="153" t="n"/>
      <c r="U403" s="153" t="n"/>
      <c r="V403" s="153" t="n"/>
      <c r="W403" s="153" t="n"/>
      <c r="X403" s="153" t="n"/>
      <c r="Y403" s="153" t="n"/>
      <c r="Z403" s="153" t="n"/>
    </row>
    <row r="404" ht="15.75" customHeight="1" s="154">
      <c r="L404" s="153" t="n"/>
      <c r="M404" s="153" t="n"/>
      <c r="N404" s="153" t="n"/>
      <c r="O404" s="153" t="n"/>
      <c r="P404" s="153" t="n"/>
      <c r="Q404" s="153" t="n"/>
      <c r="R404" s="153" t="n"/>
      <c r="S404" s="153" t="n"/>
      <c r="T404" s="153" t="n"/>
      <c r="U404" s="153" t="n"/>
      <c r="V404" s="153" t="n"/>
      <c r="W404" s="153" t="n"/>
      <c r="X404" s="153" t="n"/>
      <c r="Y404" s="153" t="n"/>
      <c r="Z404" s="153" t="n"/>
    </row>
    <row r="405" ht="15.75" customHeight="1" s="154">
      <c r="L405" s="153" t="n"/>
      <c r="M405" s="153" t="n"/>
      <c r="N405" s="153" t="n"/>
      <c r="O405" s="153" t="n"/>
      <c r="P405" s="153" t="n"/>
      <c r="Q405" s="153" t="n"/>
      <c r="R405" s="153" t="n"/>
      <c r="S405" s="153" t="n"/>
      <c r="T405" s="153" t="n"/>
      <c r="U405" s="153" t="n"/>
      <c r="V405" s="153" t="n"/>
      <c r="W405" s="153" t="n"/>
      <c r="X405" s="153" t="n"/>
      <c r="Y405" s="153" t="n"/>
      <c r="Z405" s="153" t="n"/>
    </row>
    <row r="406" ht="15.75" customHeight="1" s="154">
      <c r="L406" s="153" t="n"/>
      <c r="M406" s="153" t="n"/>
      <c r="N406" s="153" t="n"/>
      <c r="O406" s="153" t="n"/>
      <c r="P406" s="153" t="n"/>
      <c r="Q406" s="153" t="n"/>
      <c r="R406" s="153" t="n"/>
      <c r="S406" s="153" t="n"/>
      <c r="T406" s="153" t="n"/>
      <c r="U406" s="153" t="n"/>
      <c r="V406" s="153" t="n"/>
      <c r="W406" s="153" t="n"/>
      <c r="X406" s="153" t="n"/>
      <c r="Y406" s="153" t="n"/>
      <c r="Z406" s="153" t="n"/>
    </row>
    <row r="407" ht="15.75" customHeight="1" s="154">
      <c r="L407" s="153" t="n"/>
      <c r="M407" s="153" t="n"/>
      <c r="N407" s="153" t="n"/>
      <c r="O407" s="153" t="n"/>
      <c r="P407" s="153" t="n"/>
      <c r="Q407" s="153" t="n"/>
      <c r="R407" s="153" t="n"/>
      <c r="S407" s="153" t="n"/>
      <c r="T407" s="153" t="n"/>
      <c r="U407" s="153" t="n"/>
      <c r="V407" s="153" t="n"/>
      <c r="W407" s="153" t="n"/>
      <c r="X407" s="153" t="n"/>
      <c r="Y407" s="153" t="n"/>
      <c r="Z407" s="153" t="n"/>
    </row>
    <row r="408" ht="15.75" customHeight="1" s="154">
      <c r="L408" s="153" t="n"/>
      <c r="M408" s="153" t="n"/>
      <c r="N408" s="153" t="n"/>
      <c r="O408" s="153" t="n"/>
      <c r="P408" s="153" t="n"/>
      <c r="Q408" s="153" t="n"/>
      <c r="R408" s="153" t="n"/>
      <c r="S408" s="153" t="n"/>
      <c r="T408" s="153" t="n"/>
      <c r="U408" s="153" t="n"/>
      <c r="V408" s="153" t="n"/>
      <c r="W408" s="153" t="n"/>
      <c r="X408" s="153" t="n"/>
      <c r="Y408" s="153" t="n"/>
      <c r="Z408" s="153" t="n"/>
    </row>
    <row r="409" ht="15.75" customHeight="1" s="154">
      <c r="L409" s="153" t="n"/>
      <c r="M409" s="153" t="n"/>
      <c r="N409" s="153" t="n"/>
      <c r="O409" s="153" t="n"/>
      <c r="P409" s="153" t="n"/>
      <c r="Q409" s="153" t="n"/>
      <c r="R409" s="153" t="n"/>
      <c r="S409" s="153" t="n"/>
      <c r="T409" s="153" t="n"/>
      <c r="U409" s="153" t="n"/>
      <c r="V409" s="153" t="n"/>
      <c r="W409" s="153" t="n"/>
      <c r="X409" s="153" t="n"/>
      <c r="Y409" s="153" t="n"/>
      <c r="Z409" s="153" t="n"/>
    </row>
    <row r="410" ht="15.75" customHeight="1" s="154">
      <c r="L410" s="153" t="n"/>
      <c r="M410" s="153" t="n"/>
      <c r="N410" s="153" t="n"/>
      <c r="O410" s="153" t="n"/>
      <c r="P410" s="153" t="n"/>
      <c r="Q410" s="153" t="n"/>
      <c r="R410" s="153" t="n"/>
      <c r="S410" s="153" t="n"/>
      <c r="T410" s="153" t="n"/>
      <c r="U410" s="153" t="n"/>
      <c r="V410" s="153" t="n"/>
      <c r="W410" s="153" t="n"/>
      <c r="X410" s="153" t="n"/>
      <c r="Y410" s="153" t="n"/>
      <c r="Z410" s="153" t="n"/>
    </row>
    <row r="411" ht="15.75" customHeight="1" s="154">
      <c r="L411" s="153" t="n"/>
      <c r="M411" s="153" t="n"/>
      <c r="N411" s="153" t="n"/>
      <c r="O411" s="153" t="n"/>
      <c r="P411" s="153" t="n"/>
      <c r="Q411" s="153" t="n"/>
      <c r="R411" s="153" t="n"/>
      <c r="S411" s="153" t="n"/>
      <c r="T411" s="153" t="n"/>
      <c r="U411" s="153" t="n"/>
      <c r="V411" s="153" t="n"/>
      <c r="W411" s="153" t="n"/>
      <c r="X411" s="153" t="n"/>
      <c r="Y411" s="153" t="n"/>
      <c r="Z411" s="153" t="n"/>
    </row>
    <row r="412" ht="15.75" customHeight="1" s="154">
      <c r="L412" s="153" t="n"/>
      <c r="M412" s="153" t="n"/>
      <c r="N412" s="153" t="n"/>
      <c r="O412" s="153" t="n"/>
      <c r="P412" s="153" t="n"/>
      <c r="Q412" s="153" t="n"/>
      <c r="R412" s="153" t="n"/>
      <c r="S412" s="153" t="n"/>
      <c r="T412" s="153" t="n"/>
      <c r="U412" s="153" t="n"/>
      <c r="V412" s="153" t="n"/>
      <c r="W412" s="153" t="n"/>
      <c r="X412" s="153" t="n"/>
      <c r="Y412" s="153" t="n"/>
      <c r="Z412" s="153" t="n"/>
    </row>
    <row r="413" ht="15.75" customHeight="1" s="154">
      <c r="L413" s="153" t="n"/>
      <c r="M413" s="153" t="n"/>
      <c r="N413" s="153" t="n"/>
      <c r="O413" s="153" t="n"/>
      <c r="P413" s="153" t="n"/>
      <c r="Q413" s="153" t="n"/>
      <c r="R413" s="153" t="n"/>
      <c r="S413" s="153" t="n"/>
      <c r="T413" s="153" t="n"/>
      <c r="U413" s="153" t="n"/>
      <c r="V413" s="153" t="n"/>
      <c r="W413" s="153" t="n"/>
      <c r="X413" s="153" t="n"/>
      <c r="Y413" s="153" t="n"/>
      <c r="Z413" s="153" t="n"/>
    </row>
    <row r="414" ht="15.75" customHeight="1" s="154">
      <c r="L414" s="153" t="n"/>
      <c r="M414" s="153" t="n"/>
      <c r="N414" s="153" t="n"/>
      <c r="O414" s="153" t="n"/>
      <c r="P414" s="153" t="n"/>
      <c r="Q414" s="153" t="n"/>
      <c r="R414" s="153" t="n"/>
      <c r="S414" s="153" t="n"/>
      <c r="T414" s="153" t="n"/>
      <c r="U414" s="153" t="n"/>
      <c r="V414" s="153" t="n"/>
      <c r="W414" s="153" t="n"/>
      <c r="X414" s="153" t="n"/>
      <c r="Y414" s="153" t="n"/>
      <c r="Z414" s="153" t="n"/>
    </row>
    <row r="415" ht="15.75" customHeight="1" s="154">
      <c r="L415" s="153" t="n"/>
      <c r="M415" s="153" t="n"/>
      <c r="N415" s="153" t="n"/>
      <c r="O415" s="153" t="n"/>
      <c r="P415" s="153" t="n"/>
      <c r="Q415" s="153" t="n"/>
      <c r="R415" s="153" t="n"/>
      <c r="S415" s="153" t="n"/>
      <c r="T415" s="153" t="n"/>
      <c r="U415" s="153" t="n"/>
      <c r="V415" s="153" t="n"/>
      <c r="W415" s="153" t="n"/>
      <c r="X415" s="153" t="n"/>
      <c r="Y415" s="153" t="n"/>
      <c r="Z415" s="153" t="n"/>
    </row>
    <row r="416" ht="15.75" customHeight="1" s="154">
      <c r="L416" s="153" t="n"/>
      <c r="M416" s="153" t="n"/>
      <c r="N416" s="153" t="n"/>
      <c r="O416" s="153" t="n"/>
      <c r="P416" s="153" t="n"/>
      <c r="Q416" s="153" t="n"/>
      <c r="R416" s="153" t="n"/>
      <c r="S416" s="153" t="n"/>
      <c r="T416" s="153" t="n"/>
      <c r="U416" s="153" t="n"/>
      <c r="V416" s="153" t="n"/>
      <c r="W416" s="153" t="n"/>
      <c r="X416" s="153" t="n"/>
      <c r="Y416" s="153" t="n"/>
      <c r="Z416" s="153" t="n"/>
    </row>
    <row r="417" ht="15.75" customHeight="1" s="154">
      <c r="L417" s="153" t="n"/>
      <c r="M417" s="153" t="n"/>
      <c r="N417" s="153" t="n"/>
      <c r="O417" s="153" t="n"/>
      <c r="P417" s="153" t="n"/>
      <c r="Q417" s="153" t="n"/>
      <c r="R417" s="153" t="n"/>
      <c r="S417" s="153" t="n"/>
      <c r="T417" s="153" t="n"/>
      <c r="U417" s="153" t="n"/>
      <c r="V417" s="153" t="n"/>
      <c r="W417" s="153" t="n"/>
      <c r="X417" s="153" t="n"/>
      <c r="Y417" s="153" t="n"/>
      <c r="Z417" s="153" t="n"/>
    </row>
    <row r="418" ht="15.75" customHeight="1" s="154">
      <c r="L418" s="153" t="n"/>
      <c r="M418" s="153" t="n"/>
      <c r="N418" s="153" t="n"/>
      <c r="O418" s="153" t="n"/>
      <c r="P418" s="153" t="n"/>
      <c r="Q418" s="153" t="n"/>
      <c r="R418" s="153" t="n"/>
      <c r="S418" s="153" t="n"/>
      <c r="T418" s="153" t="n"/>
      <c r="U418" s="153" t="n"/>
      <c r="V418" s="153" t="n"/>
      <c r="W418" s="153" t="n"/>
      <c r="X418" s="153" t="n"/>
      <c r="Y418" s="153" t="n"/>
      <c r="Z418" s="153" t="n"/>
    </row>
    <row r="419" ht="15.75" customHeight="1" s="154">
      <c r="L419" s="153" t="n"/>
      <c r="M419" s="153" t="n"/>
      <c r="N419" s="153" t="n"/>
      <c r="O419" s="153" t="n"/>
      <c r="P419" s="153" t="n"/>
      <c r="Q419" s="153" t="n"/>
      <c r="R419" s="153" t="n"/>
      <c r="S419" s="153" t="n"/>
      <c r="T419" s="153" t="n"/>
      <c r="U419" s="153" t="n"/>
      <c r="V419" s="153" t="n"/>
      <c r="W419" s="153" t="n"/>
      <c r="X419" s="153" t="n"/>
      <c r="Y419" s="153" t="n"/>
      <c r="Z419" s="153" t="n"/>
    </row>
    <row r="420" ht="15.75" customHeight="1" s="154">
      <c r="L420" s="153" t="n"/>
      <c r="M420" s="153" t="n"/>
      <c r="N420" s="153" t="n"/>
      <c r="O420" s="153" t="n"/>
      <c r="P420" s="153" t="n"/>
      <c r="Q420" s="153" t="n"/>
      <c r="R420" s="153" t="n"/>
      <c r="S420" s="153" t="n"/>
      <c r="T420" s="153" t="n"/>
      <c r="U420" s="153" t="n"/>
      <c r="V420" s="153" t="n"/>
      <c r="W420" s="153" t="n"/>
      <c r="X420" s="153" t="n"/>
      <c r="Y420" s="153" t="n"/>
      <c r="Z420" s="153" t="n"/>
    </row>
    <row r="421" ht="15.75" customHeight="1" s="154">
      <c r="L421" s="153" t="n"/>
      <c r="M421" s="153" t="n"/>
      <c r="N421" s="153" t="n"/>
      <c r="O421" s="153" t="n"/>
      <c r="P421" s="153" t="n"/>
      <c r="Q421" s="153" t="n"/>
      <c r="R421" s="153" t="n"/>
      <c r="S421" s="153" t="n"/>
      <c r="T421" s="153" t="n"/>
      <c r="U421" s="153" t="n"/>
      <c r="V421" s="153" t="n"/>
      <c r="W421" s="153" t="n"/>
      <c r="X421" s="153" t="n"/>
      <c r="Y421" s="153" t="n"/>
      <c r="Z421" s="153" t="n"/>
    </row>
    <row r="422" ht="15.75" customHeight="1" s="154">
      <c r="L422" s="153" t="n"/>
      <c r="M422" s="153" t="n"/>
      <c r="N422" s="153" t="n"/>
      <c r="O422" s="153" t="n"/>
      <c r="P422" s="153" t="n"/>
      <c r="Q422" s="153" t="n"/>
      <c r="R422" s="153" t="n"/>
      <c r="S422" s="153" t="n"/>
      <c r="T422" s="153" t="n"/>
      <c r="U422" s="153" t="n"/>
      <c r="V422" s="153" t="n"/>
      <c r="W422" s="153" t="n"/>
      <c r="X422" s="153" t="n"/>
      <c r="Y422" s="153" t="n"/>
      <c r="Z422" s="153" t="n"/>
    </row>
    <row r="423" ht="15.75" customHeight="1" s="154">
      <c r="L423" s="153" t="n"/>
      <c r="M423" s="153" t="n"/>
      <c r="N423" s="153" t="n"/>
      <c r="O423" s="153" t="n"/>
      <c r="P423" s="153" t="n"/>
      <c r="Q423" s="153" t="n"/>
      <c r="R423" s="153" t="n"/>
      <c r="S423" s="153" t="n"/>
      <c r="T423" s="153" t="n"/>
      <c r="U423" s="153" t="n"/>
      <c r="V423" s="153" t="n"/>
      <c r="W423" s="153" t="n"/>
      <c r="X423" s="153" t="n"/>
      <c r="Y423" s="153" t="n"/>
      <c r="Z423" s="153" t="n"/>
    </row>
    <row r="424" ht="15.75" customHeight="1" s="154">
      <c r="L424" s="153" t="n"/>
      <c r="M424" s="153" t="n"/>
      <c r="N424" s="153" t="n"/>
      <c r="O424" s="153" t="n"/>
      <c r="P424" s="153" t="n"/>
      <c r="Q424" s="153" t="n"/>
      <c r="R424" s="153" t="n"/>
      <c r="S424" s="153" t="n"/>
      <c r="T424" s="153" t="n"/>
      <c r="U424" s="153" t="n"/>
      <c r="V424" s="153" t="n"/>
      <c r="W424" s="153" t="n"/>
      <c r="X424" s="153" t="n"/>
      <c r="Y424" s="153" t="n"/>
      <c r="Z424" s="153" t="n"/>
    </row>
    <row r="425" ht="15.75" customHeight="1" s="154">
      <c r="L425" s="153" t="n"/>
      <c r="M425" s="153" t="n"/>
      <c r="N425" s="153" t="n"/>
      <c r="O425" s="153" t="n"/>
      <c r="P425" s="153" t="n"/>
      <c r="Q425" s="153" t="n"/>
      <c r="R425" s="153" t="n"/>
      <c r="S425" s="153" t="n"/>
      <c r="T425" s="153" t="n"/>
      <c r="U425" s="153" t="n"/>
      <c r="V425" s="153" t="n"/>
      <c r="W425" s="153" t="n"/>
      <c r="X425" s="153" t="n"/>
      <c r="Y425" s="153" t="n"/>
      <c r="Z425" s="153" t="n"/>
    </row>
    <row r="426" ht="15.75" customHeight="1" s="154">
      <c r="L426" s="153" t="n"/>
      <c r="M426" s="153" t="n"/>
      <c r="N426" s="153" t="n"/>
      <c r="O426" s="153" t="n"/>
      <c r="P426" s="153" t="n"/>
      <c r="Q426" s="153" t="n"/>
      <c r="R426" s="153" t="n"/>
      <c r="S426" s="153" t="n"/>
      <c r="T426" s="153" t="n"/>
      <c r="U426" s="153" t="n"/>
      <c r="V426" s="153" t="n"/>
      <c r="W426" s="153" t="n"/>
      <c r="X426" s="153" t="n"/>
      <c r="Y426" s="153" t="n"/>
      <c r="Z426" s="153" t="n"/>
    </row>
    <row r="427" ht="15.75" customHeight="1" s="154">
      <c r="L427" s="153" t="n"/>
      <c r="M427" s="153" t="n"/>
      <c r="N427" s="153" t="n"/>
      <c r="O427" s="153" t="n"/>
      <c r="P427" s="153" t="n"/>
      <c r="Q427" s="153" t="n"/>
      <c r="R427" s="153" t="n"/>
      <c r="S427" s="153" t="n"/>
      <c r="T427" s="153" t="n"/>
      <c r="U427" s="153" t="n"/>
      <c r="V427" s="153" t="n"/>
      <c r="W427" s="153" t="n"/>
      <c r="X427" s="153" t="n"/>
      <c r="Y427" s="153" t="n"/>
      <c r="Z427" s="153" t="n"/>
    </row>
    <row r="428" ht="15.75" customHeight="1" s="154">
      <c r="L428" s="153" t="n"/>
      <c r="M428" s="153" t="n"/>
      <c r="N428" s="153" t="n"/>
      <c r="O428" s="153" t="n"/>
      <c r="P428" s="153" t="n"/>
      <c r="Q428" s="153" t="n"/>
      <c r="R428" s="153" t="n"/>
      <c r="S428" s="153" t="n"/>
      <c r="T428" s="153" t="n"/>
      <c r="U428" s="153" t="n"/>
      <c r="V428" s="153" t="n"/>
      <c r="W428" s="153" t="n"/>
      <c r="X428" s="153" t="n"/>
      <c r="Y428" s="153" t="n"/>
      <c r="Z428" s="153" t="n"/>
    </row>
    <row r="429" ht="15.75" customHeight="1" s="154">
      <c r="L429" s="153" t="n"/>
      <c r="M429" s="153" t="n"/>
      <c r="N429" s="153" t="n"/>
      <c r="O429" s="153" t="n"/>
      <c r="P429" s="153" t="n"/>
      <c r="Q429" s="153" t="n"/>
      <c r="R429" s="153" t="n"/>
      <c r="S429" s="153" t="n"/>
      <c r="T429" s="153" t="n"/>
      <c r="U429" s="153" t="n"/>
      <c r="V429" s="153" t="n"/>
      <c r="W429" s="153" t="n"/>
      <c r="X429" s="153" t="n"/>
      <c r="Y429" s="153" t="n"/>
      <c r="Z429" s="153" t="n"/>
    </row>
    <row r="430" ht="15.75" customHeight="1" s="154">
      <c r="L430" s="153" t="n"/>
      <c r="M430" s="153" t="n"/>
      <c r="N430" s="153" t="n"/>
      <c r="O430" s="153" t="n"/>
      <c r="P430" s="153" t="n"/>
      <c r="Q430" s="153" t="n"/>
      <c r="R430" s="153" t="n"/>
      <c r="S430" s="153" t="n"/>
      <c r="T430" s="153" t="n"/>
      <c r="U430" s="153" t="n"/>
      <c r="V430" s="153" t="n"/>
      <c r="W430" s="153" t="n"/>
      <c r="X430" s="153" t="n"/>
      <c r="Y430" s="153" t="n"/>
      <c r="Z430" s="153" t="n"/>
    </row>
    <row r="431" ht="15.75" customHeight="1" s="154">
      <c r="L431" s="153" t="n"/>
      <c r="M431" s="153" t="n"/>
      <c r="N431" s="153" t="n"/>
      <c r="O431" s="153" t="n"/>
      <c r="P431" s="153" t="n"/>
      <c r="Q431" s="153" t="n"/>
      <c r="R431" s="153" t="n"/>
      <c r="S431" s="153" t="n"/>
      <c r="T431" s="153" t="n"/>
      <c r="U431" s="153" t="n"/>
      <c r="V431" s="153" t="n"/>
      <c r="W431" s="153" t="n"/>
      <c r="X431" s="153" t="n"/>
      <c r="Y431" s="153" t="n"/>
      <c r="Z431" s="153" t="n"/>
    </row>
    <row r="432" ht="15.75" customHeight="1" s="154">
      <c r="L432" s="153" t="n"/>
      <c r="M432" s="153" t="n"/>
      <c r="N432" s="153" t="n"/>
      <c r="O432" s="153" t="n"/>
      <c r="P432" s="153" t="n"/>
      <c r="Q432" s="153" t="n"/>
      <c r="R432" s="153" t="n"/>
      <c r="S432" s="153" t="n"/>
      <c r="T432" s="153" t="n"/>
      <c r="U432" s="153" t="n"/>
      <c r="V432" s="153" t="n"/>
      <c r="W432" s="153" t="n"/>
      <c r="X432" s="153" t="n"/>
      <c r="Y432" s="153" t="n"/>
      <c r="Z432" s="153" t="n"/>
    </row>
    <row r="433" ht="15.75" customHeight="1" s="154">
      <c r="L433" s="153" t="n"/>
      <c r="M433" s="153" t="n"/>
      <c r="N433" s="153" t="n"/>
      <c r="O433" s="153" t="n"/>
      <c r="P433" s="153" t="n"/>
      <c r="Q433" s="153" t="n"/>
      <c r="R433" s="153" t="n"/>
      <c r="S433" s="153" t="n"/>
      <c r="T433" s="153" t="n"/>
      <c r="U433" s="153" t="n"/>
      <c r="V433" s="153" t="n"/>
      <c r="W433" s="153" t="n"/>
      <c r="X433" s="153" t="n"/>
      <c r="Y433" s="153" t="n"/>
      <c r="Z433" s="153" t="n"/>
    </row>
    <row r="434" ht="15.75" customHeight="1" s="154">
      <c r="L434" s="153" t="n"/>
      <c r="M434" s="153" t="n"/>
      <c r="N434" s="153" t="n"/>
      <c r="O434" s="153" t="n"/>
      <c r="P434" s="153" t="n"/>
      <c r="Q434" s="153" t="n"/>
      <c r="R434" s="153" t="n"/>
      <c r="S434" s="153" t="n"/>
      <c r="T434" s="153" t="n"/>
      <c r="U434" s="153" t="n"/>
      <c r="V434" s="153" t="n"/>
      <c r="W434" s="153" t="n"/>
      <c r="X434" s="153" t="n"/>
      <c r="Y434" s="153" t="n"/>
      <c r="Z434" s="153" t="n"/>
    </row>
    <row r="435" ht="15.75" customHeight="1" s="154">
      <c r="L435" s="153" t="n"/>
      <c r="M435" s="153" t="n"/>
      <c r="N435" s="153" t="n"/>
      <c r="O435" s="153" t="n"/>
      <c r="P435" s="153" t="n"/>
      <c r="Q435" s="153" t="n"/>
      <c r="R435" s="153" t="n"/>
      <c r="S435" s="153" t="n"/>
      <c r="T435" s="153" t="n"/>
      <c r="U435" s="153" t="n"/>
      <c r="V435" s="153" t="n"/>
      <c r="W435" s="153" t="n"/>
      <c r="X435" s="153" t="n"/>
      <c r="Y435" s="153" t="n"/>
      <c r="Z435" s="153" t="n"/>
    </row>
    <row r="436" ht="15.75" customHeight="1" s="154">
      <c r="L436" s="153" t="n"/>
      <c r="M436" s="153" t="n"/>
      <c r="N436" s="153" t="n"/>
      <c r="O436" s="153" t="n"/>
      <c r="P436" s="153" t="n"/>
      <c r="Q436" s="153" t="n"/>
      <c r="R436" s="153" t="n"/>
      <c r="S436" s="153" t="n"/>
      <c r="T436" s="153" t="n"/>
      <c r="U436" s="153" t="n"/>
      <c r="V436" s="153" t="n"/>
      <c r="W436" s="153" t="n"/>
      <c r="X436" s="153" t="n"/>
      <c r="Y436" s="153" t="n"/>
      <c r="Z436" s="153" t="n"/>
    </row>
    <row r="437" ht="15.75" customHeight="1" s="154">
      <c r="L437" s="153" t="n"/>
      <c r="M437" s="153" t="n"/>
      <c r="N437" s="153" t="n"/>
      <c r="O437" s="153" t="n"/>
      <c r="P437" s="153" t="n"/>
      <c r="Q437" s="153" t="n"/>
      <c r="R437" s="153" t="n"/>
      <c r="S437" s="153" t="n"/>
      <c r="T437" s="153" t="n"/>
      <c r="U437" s="153" t="n"/>
      <c r="V437" s="153" t="n"/>
      <c r="W437" s="153" t="n"/>
      <c r="X437" s="153" t="n"/>
      <c r="Y437" s="153" t="n"/>
      <c r="Z437" s="153" t="n"/>
    </row>
    <row r="438" ht="15.75" customHeight="1" s="154">
      <c r="L438" s="153" t="n"/>
      <c r="M438" s="153" t="n"/>
      <c r="N438" s="153" t="n"/>
      <c r="O438" s="153" t="n"/>
      <c r="P438" s="153" t="n"/>
      <c r="Q438" s="153" t="n"/>
      <c r="R438" s="153" t="n"/>
      <c r="S438" s="153" t="n"/>
      <c r="T438" s="153" t="n"/>
      <c r="U438" s="153" t="n"/>
      <c r="V438" s="153" t="n"/>
      <c r="W438" s="153" t="n"/>
      <c r="X438" s="153" t="n"/>
      <c r="Y438" s="153" t="n"/>
      <c r="Z438" s="153" t="n"/>
    </row>
    <row r="439" ht="15.75" customHeight="1" s="154">
      <c r="L439" s="153" t="n"/>
      <c r="M439" s="153" t="n"/>
      <c r="N439" s="153" t="n"/>
      <c r="O439" s="153" t="n"/>
      <c r="P439" s="153" t="n"/>
      <c r="Q439" s="153" t="n"/>
      <c r="R439" s="153" t="n"/>
      <c r="S439" s="153" t="n"/>
      <c r="T439" s="153" t="n"/>
      <c r="U439" s="153" t="n"/>
      <c r="V439" s="153" t="n"/>
      <c r="W439" s="153" t="n"/>
      <c r="X439" s="153" t="n"/>
      <c r="Y439" s="153" t="n"/>
      <c r="Z439" s="153" t="n"/>
    </row>
    <row r="440" ht="15.75" customHeight="1" s="154">
      <c r="L440" s="153" t="n"/>
      <c r="M440" s="153" t="n"/>
      <c r="N440" s="153" t="n"/>
      <c r="O440" s="153" t="n"/>
      <c r="P440" s="153" t="n"/>
      <c r="Q440" s="153" t="n"/>
      <c r="R440" s="153" t="n"/>
      <c r="S440" s="153" t="n"/>
      <c r="T440" s="153" t="n"/>
      <c r="U440" s="153" t="n"/>
      <c r="V440" s="153" t="n"/>
      <c r="W440" s="153" t="n"/>
      <c r="X440" s="153" t="n"/>
      <c r="Y440" s="153" t="n"/>
      <c r="Z440" s="153" t="n"/>
    </row>
    <row r="441" ht="15.75" customHeight="1" s="154">
      <c r="L441" s="153" t="n"/>
      <c r="M441" s="153" t="n"/>
      <c r="N441" s="153" t="n"/>
      <c r="O441" s="153" t="n"/>
      <c r="P441" s="153" t="n"/>
      <c r="Q441" s="153" t="n"/>
      <c r="R441" s="153" t="n"/>
      <c r="S441" s="153" t="n"/>
      <c r="T441" s="153" t="n"/>
      <c r="U441" s="153" t="n"/>
      <c r="V441" s="153" t="n"/>
      <c r="W441" s="153" t="n"/>
      <c r="X441" s="153" t="n"/>
      <c r="Y441" s="153" t="n"/>
      <c r="Z441" s="153" t="n"/>
    </row>
    <row r="442" ht="15.75" customHeight="1" s="154">
      <c r="L442" s="153" t="n"/>
      <c r="M442" s="153" t="n"/>
      <c r="N442" s="153" t="n"/>
      <c r="O442" s="153" t="n"/>
      <c r="P442" s="153" t="n"/>
      <c r="Q442" s="153" t="n"/>
      <c r="R442" s="153" t="n"/>
      <c r="S442" s="153" t="n"/>
      <c r="T442" s="153" t="n"/>
      <c r="U442" s="153" t="n"/>
      <c r="V442" s="153" t="n"/>
      <c r="W442" s="153" t="n"/>
      <c r="X442" s="153" t="n"/>
      <c r="Y442" s="153" t="n"/>
      <c r="Z442" s="153" t="n"/>
    </row>
    <row r="443" ht="15.75" customHeight="1" s="154">
      <c r="L443" s="153" t="n"/>
      <c r="M443" s="153" t="n"/>
      <c r="N443" s="153" t="n"/>
      <c r="O443" s="153" t="n"/>
      <c r="P443" s="153" t="n"/>
      <c r="Q443" s="153" t="n"/>
      <c r="R443" s="153" t="n"/>
      <c r="S443" s="153" t="n"/>
      <c r="T443" s="153" t="n"/>
      <c r="U443" s="153" t="n"/>
      <c r="V443" s="153" t="n"/>
      <c r="W443" s="153" t="n"/>
      <c r="X443" s="153" t="n"/>
      <c r="Y443" s="153" t="n"/>
      <c r="Z443" s="153" t="n"/>
    </row>
    <row r="444" ht="15.75" customHeight="1" s="154">
      <c r="L444" s="153" t="n"/>
      <c r="M444" s="153" t="n"/>
      <c r="N444" s="153" t="n"/>
      <c r="O444" s="153" t="n"/>
      <c r="P444" s="153" t="n"/>
      <c r="Q444" s="153" t="n"/>
      <c r="R444" s="153" t="n"/>
      <c r="S444" s="153" t="n"/>
      <c r="T444" s="153" t="n"/>
      <c r="U444" s="153" t="n"/>
      <c r="V444" s="153" t="n"/>
      <c r="W444" s="153" t="n"/>
      <c r="X444" s="153" t="n"/>
      <c r="Y444" s="153" t="n"/>
      <c r="Z444" s="153" t="n"/>
    </row>
    <row r="445" ht="15.75" customHeight="1" s="154">
      <c r="L445" s="153" t="n"/>
      <c r="M445" s="153" t="n"/>
      <c r="N445" s="153" t="n"/>
      <c r="O445" s="153" t="n"/>
      <c r="P445" s="153" t="n"/>
      <c r="Q445" s="153" t="n"/>
      <c r="R445" s="153" t="n"/>
      <c r="S445" s="153" t="n"/>
      <c r="T445" s="153" t="n"/>
      <c r="U445" s="153" t="n"/>
      <c r="V445" s="153" t="n"/>
      <c r="W445" s="153" t="n"/>
      <c r="X445" s="153" t="n"/>
      <c r="Y445" s="153" t="n"/>
      <c r="Z445" s="153" t="n"/>
    </row>
    <row r="446" ht="15.75" customHeight="1" s="154">
      <c r="L446" s="153" t="n"/>
      <c r="M446" s="153" t="n"/>
      <c r="N446" s="153" t="n"/>
      <c r="O446" s="153" t="n"/>
      <c r="P446" s="153" t="n"/>
      <c r="Q446" s="153" t="n"/>
      <c r="R446" s="153" t="n"/>
      <c r="S446" s="153" t="n"/>
      <c r="T446" s="153" t="n"/>
      <c r="U446" s="153" t="n"/>
      <c r="V446" s="153" t="n"/>
      <c r="W446" s="153" t="n"/>
      <c r="X446" s="153" t="n"/>
      <c r="Y446" s="153" t="n"/>
      <c r="Z446" s="153" t="n"/>
    </row>
    <row r="447" ht="15.75" customHeight="1" s="154">
      <c r="L447" s="153" t="n"/>
      <c r="M447" s="153" t="n"/>
      <c r="N447" s="153" t="n"/>
      <c r="O447" s="153" t="n"/>
      <c r="P447" s="153" t="n"/>
      <c r="Q447" s="153" t="n"/>
      <c r="R447" s="153" t="n"/>
      <c r="S447" s="153" t="n"/>
      <c r="T447" s="153" t="n"/>
      <c r="U447" s="153" t="n"/>
      <c r="V447" s="153" t="n"/>
      <c r="W447" s="153" t="n"/>
      <c r="X447" s="153" t="n"/>
      <c r="Y447" s="153" t="n"/>
      <c r="Z447" s="153" t="n"/>
    </row>
    <row r="448" ht="15.75" customHeight="1" s="154">
      <c r="L448" s="153" t="n"/>
      <c r="M448" s="153" t="n"/>
      <c r="N448" s="153" t="n"/>
      <c r="O448" s="153" t="n"/>
      <c r="P448" s="153" t="n"/>
      <c r="Q448" s="153" t="n"/>
      <c r="R448" s="153" t="n"/>
      <c r="S448" s="153" t="n"/>
      <c r="T448" s="153" t="n"/>
      <c r="U448" s="153" t="n"/>
      <c r="V448" s="153" t="n"/>
      <c r="W448" s="153" t="n"/>
      <c r="X448" s="153" t="n"/>
      <c r="Y448" s="153" t="n"/>
      <c r="Z448" s="153" t="n"/>
    </row>
    <row r="449" ht="15.75" customHeight="1" s="154">
      <c r="L449" s="153" t="n"/>
      <c r="M449" s="153" t="n"/>
      <c r="N449" s="153" t="n"/>
      <c r="O449" s="153" t="n"/>
      <c r="P449" s="153" t="n"/>
      <c r="Q449" s="153" t="n"/>
      <c r="R449" s="153" t="n"/>
      <c r="S449" s="153" t="n"/>
      <c r="T449" s="153" t="n"/>
      <c r="U449" s="153" t="n"/>
      <c r="V449" s="153" t="n"/>
      <c r="W449" s="153" t="n"/>
      <c r="X449" s="153" t="n"/>
      <c r="Y449" s="153" t="n"/>
      <c r="Z449" s="153" t="n"/>
    </row>
    <row r="450" ht="15.75" customHeight="1" s="154">
      <c r="L450" s="153" t="n"/>
      <c r="M450" s="153" t="n"/>
      <c r="N450" s="153" t="n"/>
      <c r="O450" s="153" t="n"/>
      <c r="P450" s="153" t="n"/>
      <c r="Q450" s="153" t="n"/>
      <c r="R450" s="153" t="n"/>
      <c r="S450" s="153" t="n"/>
      <c r="T450" s="153" t="n"/>
      <c r="U450" s="153" t="n"/>
      <c r="V450" s="153" t="n"/>
      <c r="W450" s="153" t="n"/>
      <c r="X450" s="153" t="n"/>
      <c r="Y450" s="153" t="n"/>
      <c r="Z450" s="153" t="n"/>
    </row>
    <row r="451" ht="15.75" customHeight="1" s="154">
      <c r="L451" s="153" t="n"/>
      <c r="M451" s="153" t="n"/>
      <c r="N451" s="153" t="n"/>
      <c r="O451" s="153" t="n"/>
      <c r="P451" s="153" t="n"/>
      <c r="Q451" s="153" t="n"/>
      <c r="R451" s="153" t="n"/>
      <c r="S451" s="153" t="n"/>
      <c r="T451" s="153" t="n"/>
      <c r="U451" s="153" t="n"/>
      <c r="V451" s="153" t="n"/>
      <c r="W451" s="153" t="n"/>
      <c r="X451" s="153" t="n"/>
      <c r="Y451" s="153" t="n"/>
      <c r="Z451" s="153" t="n"/>
    </row>
    <row r="452" ht="15.75" customHeight="1" s="154">
      <c r="L452" s="153" t="n"/>
      <c r="M452" s="153" t="n"/>
      <c r="N452" s="153" t="n"/>
      <c r="O452" s="153" t="n"/>
      <c r="P452" s="153" t="n"/>
      <c r="Q452" s="153" t="n"/>
      <c r="R452" s="153" t="n"/>
      <c r="S452" s="153" t="n"/>
      <c r="T452" s="153" t="n"/>
      <c r="U452" s="153" t="n"/>
      <c r="V452" s="153" t="n"/>
      <c r="W452" s="153" t="n"/>
      <c r="X452" s="153" t="n"/>
      <c r="Y452" s="153" t="n"/>
      <c r="Z452" s="153" t="n"/>
    </row>
    <row r="453" ht="15.75" customHeight="1" s="154">
      <c r="L453" s="153" t="n"/>
      <c r="M453" s="153" t="n"/>
      <c r="N453" s="153" t="n"/>
      <c r="O453" s="153" t="n"/>
      <c r="P453" s="153" t="n"/>
      <c r="Q453" s="153" t="n"/>
      <c r="R453" s="153" t="n"/>
      <c r="S453" s="153" t="n"/>
      <c r="T453" s="153" t="n"/>
      <c r="U453" s="153" t="n"/>
      <c r="V453" s="153" t="n"/>
      <c r="W453" s="153" t="n"/>
      <c r="X453" s="153" t="n"/>
      <c r="Y453" s="153" t="n"/>
      <c r="Z453" s="153" t="n"/>
    </row>
    <row r="454" ht="15.75" customHeight="1" s="154">
      <c r="L454" s="153" t="n"/>
      <c r="M454" s="153" t="n"/>
      <c r="N454" s="153" t="n"/>
      <c r="O454" s="153" t="n"/>
      <c r="P454" s="153" t="n"/>
      <c r="Q454" s="153" t="n"/>
      <c r="R454" s="153" t="n"/>
      <c r="S454" s="153" t="n"/>
      <c r="T454" s="153" t="n"/>
      <c r="U454" s="153" t="n"/>
      <c r="V454" s="153" t="n"/>
      <c r="W454" s="153" t="n"/>
      <c r="X454" s="153" t="n"/>
      <c r="Y454" s="153" t="n"/>
      <c r="Z454" s="153" t="n"/>
    </row>
    <row r="455" ht="15.75" customHeight="1" s="154">
      <c r="L455" s="153" t="n"/>
      <c r="M455" s="153" t="n"/>
      <c r="N455" s="153" t="n"/>
      <c r="O455" s="153" t="n"/>
      <c r="P455" s="153" t="n"/>
      <c r="Q455" s="153" t="n"/>
      <c r="R455" s="153" t="n"/>
      <c r="S455" s="153" t="n"/>
      <c r="T455" s="153" t="n"/>
      <c r="U455" s="153" t="n"/>
      <c r="V455" s="153" t="n"/>
      <c r="W455" s="153" t="n"/>
      <c r="X455" s="153" t="n"/>
      <c r="Y455" s="153" t="n"/>
      <c r="Z455" s="153" t="n"/>
    </row>
    <row r="456" ht="15.75" customHeight="1" s="154">
      <c r="L456" s="153" t="n"/>
      <c r="M456" s="153" t="n"/>
      <c r="N456" s="153" t="n"/>
      <c r="O456" s="153" t="n"/>
      <c r="P456" s="153" t="n"/>
      <c r="Q456" s="153" t="n"/>
      <c r="R456" s="153" t="n"/>
      <c r="S456" s="153" t="n"/>
      <c r="T456" s="153" t="n"/>
      <c r="U456" s="153" t="n"/>
      <c r="V456" s="153" t="n"/>
      <c r="W456" s="153" t="n"/>
      <c r="X456" s="153" t="n"/>
      <c r="Y456" s="153" t="n"/>
      <c r="Z456" s="153" t="n"/>
    </row>
    <row r="457" ht="15.75" customHeight="1" s="154">
      <c r="L457" s="153" t="n"/>
      <c r="M457" s="153" t="n"/>
      <c r="N457" s="153" t="n"/>
      <c r="O457" s="153" t="n"/>
      <c r="P457" s="153" t="n"/>
      <c r="Q457" s="153" t="n"/>
      <c r="R457" s="153" t="n"/>
      <c r="S457" s="153" t="n"/>
      <c r="T457" s="153" t="n"/>
      <c r="U457" s="153" t="n"/>
      <c r="V457" s="153" t="n"/>
      <c r="W457" s="153" t="n"/>
      <c r="X457" s="153" t="n"/>
      <c r="Y457" s="153" t="n"/>
      <c r="Z457" s="153" t="n"/>
    </row>
    <row r="458" ht="15.75" customHeight="1" s="154">
      <c r="L458" s="153" t="n"/>
      <c r="M458" s="153" t="n"/>
      <c r="N458" s="153" t="n"/>
      <c r="O458" s="153" t="n"/>
      <c r="P458" s="153" t="n"/>
      <c r="Q458" s="153" t="n"/>
      <c r="R458" s="153" t="n"/>
      <c r="S458" s="153" t="n"/>
      <c r="T458" s="153" t="n"/>
      <c r="U458" s="153" t="n"/>
      <c r="V458" s="153" t="n"/>
      <c r="W458" s="153" t="n"/>
      <c r="X458" s="153" t="n"/>
      <c r="Y458" s="153" t="n"/>
      <c r="Z458" s="153" t="n"/>
    </row>
    <row r="459" ht="15.75" customHeight="1" s="154">
      <c r="L459" s="153" t="n"/>
      <c r="M459" s="153" t="n"/>
      <c r="N459" s="153" t="n"/>
      <c r="O459" s="153" t="n"/>
      <c r="P459" s="153" t="n"/>
      <c r="Q459" s="153" t="n"/>
      <c r="R459" s="153" t="n"/>
      <c r="S459" s="153" t="n"/>
      <c r="T459" s="153" t="n"/>
      <c r="U459" s="153" t="n"/>
      <c r="V459" s="153" t="n"/>
      <c r="W459" s="153" t="n"/>
      <c r="X459" s="153" t="n"/>
      <c r="Y459" s="153" t="n"/>
      <c r="Z459" s="153" t="n"/>
    </row>
    <row r="460" ht="15.75" customHeight="1" s="154">
      <c r="L460" s="153" t="n"/>
      <c r="M460" s="153" t="n"/>
      <c r="N460" s="153" t="n"/>
      <c r="O460" s="153" t="n"/>
      <c r="P460" s="153" t="n"/>
      <c r="Q460" s="153" t="n"/>
      <c r="R460" s="153" t="n"/>
      <c r="S460" s="153" t="n"/>
      <c r="T460" s="153" t="n"/>
      <c r="U460" s="153" t="n"/>
      <c r="V460" s="153" t="n"/>
      <c r="W460" s="153" t="n"/>
      <c r="X460" s="153" t="n"/>
      <c r="Y460" s="153" t="n"/>
      <c r="Z460" s="153" t="n"/>
    </row>
    <row r="461" ht="15.75" customHeight="1" s="154">
      <c r="L461" s="153" t="n"/>
      <c r="M461" s="153" t="n"/>
      <c r="N461" s="153" t="n"/>
      <c r="O461" s="153" t="n"/>
      <c r="P461" s="153" t="n"/>
      <c r="Q461" s="153" t="n"/>
      <c r="R461" s="153" t="n"/>
      <c r="S461" s="153" t="n"/>
      <c r="T461" s="153" t="n"/>
      <c r="U461" s="153" t="n"/>
      <c r="V461" s="153" t="n"/>
      <c r="W461" s="153" t="n"/>
      <c r="X461" s="153" t="n"/>
      <c r="Y461" s="153" t="n"/>
      <c r="Z461" s="153" t="n"/>
    </row>
    <row r="462" ht="15.75" customHeight="1" s="154">
      <c r="L462" s="153" t="n"/>
      <c r="M462" s="153" t="n"/>
      <c r="N462" s="153" t="n"/>
      <c r="O462" s="153" t="n"/>
      <c r="P462" s="153" t="n"/>
      <c r="Q462" s="153" t="n"/>
      <c r="R462" s="153" t="n"/>
      <c r="S462" s="153" t="n"/>
      <c r="T462" s="153" t="n"/>
      <c r="U462" s="153" t="n"/>
      <c r="V462" s="153" t="n"/>
      <c r="W462" s="153" t="n"/>
      <c r="X462" s="153" t="n"/>
      <c r="Y462" s="153" t="n"/>
      <c r="Z462" s="153" t="n"/>
    </row>
    <row r="463" ht="15.75" customHeight="1" s="154">
      <c r="L463" s="153" t="n"/>
      <c r="M463" s="153" t="n"/>
      <c r="N463" s="153" t="n"/>
      <c r="O463" s="153" t="n"/>
      <c r="P463" s="153" t="n"/>
      <c r="Q463" s="153" t="n"/>
      <c r="R463" s="153" t="n"/>
      <c r="S463" s="153" t="n"/>
      <c r="T463" s="153" t="n"/>
      <c r="U463" s="153" t="n"/>
      <c r="V463" s="153" t="n"/>
      <c r="W463" s="153" t="n"/>
      <c r="X463" s="153" t="n"/>
      <c r="Y463" s="153" t="n"/>
      <c r="Z463" s="153" t="n"/>
    </row>
    <row r="464" ht="15.75" customHeight="1" s="154">
      <c r="L464" s="153" t="n"/>
      <c r="M464" s="153" t="n"/>
      <c r="N464" s="153" t="n"/>
      <c r="O464" s="153" t="n"/>
      <c r="P464" s="153" t="n"/>
      <c r="Q464" s="153" t="n"/>
      <c r="R464" s="153" t="n"/>
      <c r="S464" s="153" t="n"/>
      <c r="T464" s="153" t="n"/>
      <c r="U464" s="153" t="n"/>
      <c r="V464" s="153" t="n"/>
      <c r="W464" s="153" t="n"/>
      <c r="X464" s="153" t="n"/>
      <c r="Y464" s="153" t="n"/>
      <c r="Z464" s="153" t="n"/>
    </row>
    <row r="465" ht="15.75" customHeight="1" s="154">
      <c r="L465" s="153" t="n"/>
      <c r="M465" s="153" t="n"/>
      <c r="N465" s="153" t="n"/>
      <c r="O465" s="153" t="n"/>
      <c r="P465" s="153" t="n"/>
      <c r="Q465" s="153" t="n"/>
      <c r="R465" s="153" t="n"/>
      <c r="S465" s="153" t="n"/>
      <c r="T465" s="153" t="n"/>
      <c r="U465" s="153" t="n"/>
      <c r="V465" s="153" t="n"/>
      <c r="W465" s="153" t="n"/>
      <c r="X465" s="153" t="n"/>
      <c r="Y465" s="153" t="n"/>
      <c r="Z465" s="153" t="n"/>
    </row>
    <row r="466" ht="15.75" customHeight="1" s="154">
      <c r="L466" s="153" t="n"/>
      <c r="M466" s="153" t="n"/>
      <c r="N466" s="153" t="n"/>
      <c r="O466" s="153" t="n"/>
      <c r="P466" s="153" t="n"/>
      <c r="Q466" s="153" t="n"/>
      <c r="R466" s="153" t="n"/>
      <c r="S466" s="153" t="n"/>
      <c r="T466" s="153" t="n"/>
      <c r="U466" s="153" t="n"/>
      <c r="V466" s="153" t="n"/>
      <c r="W466" s="153" t="n"/>
      <c r="X466" s="153" t="n"/>
      <c r="Y466" s="153" t="n"/>
      <c r="Z466" s="153" t="n"/>
    </row>
    <row r="467" ht="15.75" customHeight="1" s="154">
      <c r="L467" s="153" t="n"/>
      <c r="M467" s="153" t="n"/>
      <c r="N467" s="153" t="n"/>
      <c r="O467" s="153" t="n"/>
      <c r="P467" s="153" t="n"/>
      <c r="Q467" s="153" t="n"/>
      <c r="R467" s="153" t="n"/>
      <c r="S467" s="153" t="n"/>
      <c r="T467" s="153" t="n"/>
      <c r="U467" s="153" t="n"/>
      <c r="V467" s="153" t="n"/>
      <c r="W467" s="153" t="n"/>
      <c r="X467" s="153" t="n"/>
      <c r="Y467" s="153" t="n"/>
      <c r="Z467" s="153" t="n"/>
    </row>
    <row r="468" ht="15.75" customHeight="1" s="154">
      <c r="L468" s="153" t="n"/>
      <c r="M468" s="153" t="n"/>
      <c r="N468" s="153" t="n"/>
      <c r="O468" s="153" t="n"/>
      <c r="P468" s="153" t="n"/>
      <c r="Q468" s="153" t="n"/>
      <c r="R468" s="153" t="n"/>
      <c r="S468" s="153" t="n"/>
      <c r="T468" s="153" t="n"/>
      <c r="U468" s="153" t="n"/>
      <c r="V468" s="153" t="n"/>
      <c r="W468" s="153" t="n"/>
      <c r="X468" s="153" t="n"/>
      <c r="Y468" s="153" t="n"/>
      <c r="Z468" s="153" t="n"/>
    </row>
    <row r="469" ht="15.75" customHeight="1" s="154">
      <c r="L469" s="153" t="n"/>
      <c r="M469" s="153" t="n"/>
      <c r="N469" s="153" t="n"/>
      <c r="O469" s="153" t="n"/>
      <c r="P469" s="153" t="n"/>
      <c r="Q469" s="153" t="n"/>
      <c r="R469" s="153" t="n"/>
      <c r="S469" s="153" t="n"/>
      <c r="T469" s="153" t="n"/>
      <c r="U469" s="153" t="n"/>
      <c r="V469" s="153" t="n"/>
      <c r="W469" s="153" t="n"/>
      <c r="X469" s="153" t="n"/>
      <c r="Y469" s="153" t="n"/>
      <c r="Z469" s="153" t="n"/>
    </row>
    <row r="470" ht="15.75" customHeight="1" s="154">
      <c r="L470" s="153" t="n"/>
      <c r="M470" s="153" t="n"/>
      <c r="N470" s="153" t="n"/>
      <c r="O470" s="153" t="n"/>
      <c r="P470" s="153" t="n"/>
      <c r="Q470" s="153" t="n"/>
      <c r="R470" s="153" t="n"/>
      <c r="S470" s="153" t="n"/>
      <c r="T470" s="153" t="n"/>
      <c r="U470" s="153" t="n"/>
      <c r="V470" s="153" t="n"/>
      <c r="W470" s="153" t="n"/>
      <c r="X470" s="153" t="n"/>
      <c r="Y470" s="153" t="n"/>
      <c r="Z470" s="153" t="n"/>
    </row>
    <row r="471" ht="15.75" customHeight="1" s="154">
      <c r="L471" s="153" t="n"/>
      <c r="M471" s="153" t="n"/>
      <c r="N471" s="153" t="n"/>
      <c r="O471" s="153" t="n"/>
      <c r="P471" s="153" t="n"/>
      <c r="Q471" s="153" t="n"/>
      <c r="R471" s="153" t="n"/>
      <c r="S471" s="153" t="n"/>
      <c r="T471" s="153" t="n"/>
      <c r="U471" s="153" t="n"/>
      <c r="V471" s="153" t="n"/>
      <c r="W471" s="153" t="n"/>
      <c r="X471" s="153" t="n"/>
      <c r="Y471" s="153" t="n"/>
      <c r="Z471" s="153" t="n"/>
    </row>
    <row r="472" ht="15.75" customHeight="1" s="154">
      <c r="L472" s="153" t="n"/>
      <c r="M472" s="153" t="n"/>
      <c r="N472" s="153" t="n"/>
      <c r="O472" s="153" t="n"/>
      <c r="P472" s="153" t="n"/>
      <c r="Q472" s="153" t="n"/>
      <c r="R472" s="153" t="n"/>
      <c r="S472" s="153" t="n"/>
      <c r="T472" s="153" t="n"/>
      <c r="U472" s="153" t="n"/>
      <c r="V472" s="153" t="n"/>
      <c r="W472" s="153" t="n"/>
      <c r="X472" s="153" t="n"/>
      <c r="Y472" s="153" t="n"/>
      <c r="Z472" s="153" t="n"/>
    </row>
    <row r="473" ht="15.75" customHeight="1" s="154">
      <c r="L473" s="153" t="n"/>
      <c r="M473" s="153" t="n"/>
      <c r="N473" s="153" t="n"/>
      <c r="O473" s="153" t="n"/>
      <c r="P473" s="153" t="n"/>
      <c r="Q473" s="153" t="n"/>
      <c r="R473" s="153" t="n"/>
      <c r="S473" s="153" t="n"/>
      <c r="T473" s="153" t="n"/>
      <c r="U473" s="153" t="n"/>
      <c r="V473" s="153" t="n"/>
      <c r="W473" s="153" t="n"/>
      <c r="X473" s="153" t="n"/>
      <c r="Y473" s="153" t="n"/>
      <c r="Z473" s="153" t="n"/>
    </row>
    <row r="474" ht="15.75" customHeight="1" s="154">
      <c r="L474" s="153" t="n"/>
      <c r="M474" s="153" t="n"/>
      <c r="N474" s="153" t="n"/>
      <c r="O474" s="153" t="n"/>
      <c r="P474" s="153" t="n"/>
      <c r="Q474" s="153" t="n"/>
      <c r="R474" s="153" t="n"/>
      <c r="S474" s="153" t="n"/>
      <c r="T474" s="153" t="n"/>
      <c r="U474" s="153" t="n"/>
      <c r="V474" s="153" t="n"/>
      <c r="W474" s="153" t="n"/>
      <c r="X474" s="153" t="n"/>
      <c r="Y474" s="153" t="n"/>
      <c r="Z474" s="153" t="n"/>
    </row>
    <row r="475" ht="15.75" customHeight="1" s="154">
      <c r="L475" s="153" t="n"/>
      <c r="M475" s="153" t="n"/>
      <c r="N475" s="153" t="n"/>
      <c r="O475" s="153" t="n"/>
      <c r="P475" s="153" t="n"/>
      <c r="Q475" s="153" t="n"/>
      <c r="R475" s="153" t="n"/>
      <c r="S475" s="153" t="n"/>
      <c r="T475" s="153" t="n"/>
      <c r="U475" s="153" t="n"/>
      <c r="V475" s="153" t="n"/>
      <c r="W475" s="153" t="n"/>
      <c r="X475" s="153" t="n"/>
      <c r="Y475" s="153" t="n"/>
      <c r="Z475" s="153" t="n"/>
    </row>
    <row r="476" ht="15.75" customHeight="1" s="154">
      <c r="L476" s="153" t="n"/>
      <c r="M476" s="153" t="n"/>
      <c r="N476" s="153" t="n"/>
      <c r="O476" s="153" t="n"/>
      <c r="P476" s="153" t="n"/>
      <c r="Q476" s="153" t="n"/>
      <c r="R476" s="153" t="n"/>
      <c r="S476" s="153" t="n"/>
      <c r="T476" s="153" t="n"/>
      <c r="U476" s="153" t="n"/>
      <c r="V476" s="153" t="n"/>
      <c r="W476" s="153" t="n"/>
      <c r="X476" s="153" t="n"/>
      <c r="Y476" s="153" t="n"/>
      <c r="Z476" s="153" t="n"/>
    </row>
    <row r="477" ht="15.75" customHeight="1" s="154">
      <c r="L477" s="153" t="n"/>
      <c r="M477" s="153" t="n"/>
      <c r="N477" s="153" t="n"/>
      <c r="O477" s="153" t="n"/>
      <c r="P477" s="153" t="n"/>
      <c r="Q477" s="153" t="n"/>
      <c r="R477" s="153" t="n"/>
      <c r="S477" s="153" t="n"/>
      <c r="T477" s="153" t="n"/>
      <c r="U477" s="153" t="n"/>
      <c r="V477" s="153" t="n"/>
      <c r="W477" s="153" t="n"/>
      <c r="X477" s="153" t="n"/>
      <c r="Y477" s="153" t="n"/>
      <c r="Z477" s="153" t="n"/>
    </row>
    <row r="478" ht="15.75" customHeight="1" s="154">
      <c r="L478" s="153" t="n"/>
      <c r="M478" s="153" t="n"/>
      <c r="N478" s="153" t="n"/>
      <c r="O478" s="153" t="n"/>
      <c r="P478" s="153" t="n"/>
      <c r="Q478" s="153" t="n"/>
      <c r="R478" s="153" t="n"/>
      <c r="S478" s="153" t="n"/>
      <c r="T478" s="153" t="n"/>
      <c r="U478" s="153" t="n"/>
      <c r="V478" s="153" t="n"/>
      <c r="W478" s="153" t="n"/>
      <c r="X478" s="153" t="n"/>
      <c r="Y478" s="153" t="n"/>
      <c r="Z478" s="153" t="n"/>
    </row>
    <row r="479" ht="15.75" customHeight="1" s="154">
      <c r="L479" s="153" t="n"/>
      <c r="M479" s="153" t="n"/>
      <c r="N479" s="153" t="n"/>
      <c r="O479" s="153" t="n"/>
      <c r="P479" s="153" t="n"/>
      <c r="Q479" s="153" t="n"/>
      <c r="R479" s="153" t="n"/>
      <c r="S479" s="153" t="n"/>
      <c r="T479" s="153" t="n"/>
      <c r="U479" s="153" t="n"/>
      <c r="V479" s="153" t="n"/>
      <c r="W479" s="153" t="n"/>
      <c r="X479" s="153" t="n"/>
      <c r="Y479" s="153" t="n"/>
      <c r="Z479" s="153" t="n"/>
    </row>
    <row r="480" ht="15.75" customHeight="1" s="154">
      <c r="L480" s="153" t="n"/>
      <c r="M480" s="153" t="n"/>
      <c r="N480" s="153" t="n"/>
      <c r="O480" s="153" t="n"/>
      <c r="P480" s="153" t="n"/>
      <c r="Q480" s="153" t="n"/>
      <c r="R480" s="153" t="n"/>
      <c r="S480" s="153" t="n"/>
      <c r="T480" s="153" t="n"/>
      <c r="U480" s="153" t="n"/>
      <c r="V480" s="153" t="n"/>
      <c r="W480" s="153" t="n"/>
      <c r="X480" s="153" t="n"/>
      <c r="Y480" s="153" t="n"/>
      <c r="Z480" s="153" t="n"/>
    </row>
    <row r="481" ht="15.75" customHeight="1" s="154">
      <c r="L481" s="153" t="n"/>
      <c r="M481" s="153" t="n"/>
      <c r="N481" s="153" t="n"/>
      <c r="O481" s="153" t="n"/>
      <c r="P481" s="153" t="n"/>
      <c r="Q481" s="153" t="n"/>
      <c r="R481" s="153" t="n"/>
      <c r="S481" s="153" t="n"/>
      <c r="T481" s="153" t="n"/>
      <c r="U481" s="153" t="n"/>
      <c r="V481" s="153" t="n"/>
      <c r="W481" s="153" t="n"/>
      <c r="X481" s="153" t="n"/>
      <c r="Y481" s="153" t="n"/>
      <c r="Z481" s="153" t="n"/>
    </row>
    <row r="482" ht="15.75" customHeight="1" s="154">
      <c r="L482" s="153" t="n"/>
      <c r="M482" s="153" t="n"/>
      <c r="N482" s="153" t="n"/>
      <c r="O482" s="153" t="n"/>
      <c r="P482" s="153" t="n"/>
      <c r="Q482" s="153" t="n"/>
      <c r="R482" s="153" t="n"/>
      <c r="S482" s="153" t="n"/>
      <c r="T482" s="153" t="n"/>
      <c r="U482" s="153" t="n"/>
      <c r="V482" s="153" t="n"/>
      <c r="W482" s="153" t="n"/>
      <c r="X482" s="153" t="n"/>
      <c r="Y482" s="153" t="n"/>
      <c r="Z482" s="153" t="n"/>
    </row>
    <row r="483" ht="15.75" customHeight="1" s="154">
      <c r="L483" s="153" t="n"/>
      <c r="M483" s="153" t="n"/>
      <c r="N483" s="153" t="n"/>
      <c r="O483" s="153" t="n"/>
      <c r="P483" s="153" t="n"/>
      <c r="Q483" s="153" t="n"/>
      <c r="R483" s="153" t="n"/>
      <c r="S483" s="153" t="n"/>
      <c r="T483" s="153" t="n"/>
      <c r="U483" s="153" t="n"/>
      <c r="V483" s="153" t="n"/>
      <c r="W483" s="153" t="n"/>
      <c r="X483" s="153" t="n"/>
      <c r="Y483" s="153" t="n"/>
      <c r="Z483" s="153" t="n"/>
    </row>
    <row r="484" ht="15.75" customHeight="1" s="154">
      <c r="L484" s="153" t="n"/>
      <c r="M484" s="153" t="n"/>
      <c r="N484" s="153" t="n"/>
      <c r="O484" s="153" t="n"/>
      <c r="P484" s="153" t="n"/>
      <c r="Q484" s="153" t="n"/>
      <c r="R484" s="153" t="n"/>
      <c r="S484" s="153" t="n"/>
      <c r="T484" s="153" t="n"/>
      <c r="U484" s="153" t="n"/>
      <c r="V484" s="153" t="n"/>
      <c r="W484" s="153" t="n"/>
      <c r="X484" s="153" t="n"/>
      <c r="Y484" s="153" t="n"/>
      <c r="Z484" s="153" t="n"/>
    </row>
    <row r="485" ht="15.75" customHeight="1" s="154">
      <c r="L485" s="153" t="n"/>
      <c r="M485" s="153" t="n"/>
      <c r="N485" s="153" t="n"/>
      <c r="O485" s="153" t="n"/>
      <c r="P485" s="153" t="n"/>
      <c r="Q485" s="153" t="n"/>
      <c r="R485" s="153" t="n"/>
      <c r="S485" s="153" t="n"/>
      <c r="T485" s="153" t="n"/>
      <c r="U485" s="153" t="n"/>
      <c r="V485" s="153" t="n"/>
      <c r="W485" s="153" t="n"/>
      <c r="X485" s="153" t="n"/>
      <c r="Y485" s="153" t="n"/>
      <c r="Z485" s="153" t="n"/>
    </row>
    <row r="486" ht="15.75" customHeight="1" s="154">
      <c r="L486" s="153" t="n"/>
      <c r="M486" s="153" t="n"/>
      <c r="N486" s="153" t="n"/>
      <c r="O486" s="153" t="n"/>
      <c r="P486" s="153" t="n"/>
      <c r="Q486" s="153" t="n"/>
      <c r="R486" s="153" t="n"/>
      <c r="S486" s="153" t="n"/>
      <c r="T486" s="153" t="n"/>
      <c r="U486" s="153" t="n"/>
      <c r="V486" s="153" t="n"/>
      <c r="W486" s="153" t="n"/>
      <c r="X486" s="153" t="n"/>
      <c r="Y486" s="153" t="n"/>
      <c r="Z486" s="153" t="n"/>
    </row>
    <row r="487" ht="15.75" customHeight="1" s="154">
      <c r="L487" s="153" t="n"/>
      <c r="M487" s="153" t="n"/>
      <c r="N487" s="153" t="n"/>
      <c r="O487" s="153" t="n"/>
      <c r="P487" s="153" t="n"/>
      <c r="Q487" s="153" t="n"/>
      <c r="R487" s="153" t="n"/>
      <c r="S487" s="153" t="n"/>
      <c r="T487" s="153" t="n"/>
      <c r="U487" s="153" t="n"/>
      <c r="V487" s="153" t="n"/>
      <c r="W487" s="153" t="n"/>
      <c r="X487" s="153" t="n"/>
      <c r="Y487" s="153" t="n"/>
      <c r="Z487" s="153" t="n"/>
    </row>
    <row r="488" ht="15.75" customHeight="1" s="154">
      <c r="L488" s="153" t="n"/>
      <c r="M488" s="153" t="n"/>
      <c r="N488" s="153" t="n"/>
      <c r="O488" s="153" t="n"/>
      <c r="P488" s="153" t="n"/>
      <c r="Q488" s="153" t="n"/>
      <c r="R488" s="153" t="n"/>
      <c r="S488" s="153" t="n"/>
      <c r="T488" s="153" t="n"/>
      <c r="U488" s="153" t="n"/>
      <c r="V488" s="153" t="n"/>
      <c r="W488" s="153" t="n"/>
      <c r="X488" s="153" t="n"/>
      <c r="Y488" s="153" t="n"/>
      <c r="Z488" s="153" t="n"/>
    </row>
    <row r="489" ht="15.75" customHeight="1" s="154">
      <c r="L489" s="153" t="n"/>
      <c r="M489" s="153" t="n"/>
      <c r="N489" s="153" t="n"/>
      <c r="O489" s="153" t="n"/>
      <c r="P489" s="153" t="n"/>
      <c r="Q489" s="153" t="n"/>
      <c r="R489" s="153" t="n"/>
      <c r="S489" s="153" t="n"/>
      <c r="T489" s="153" t="n"/>
      <c r="U489" s="153" t="n"/>
      <c r="V489" s="153" t="n"/>
      <c r="W489" s="153" t="n"/>
      <c r="X489" s="153" t="n"/>
      <c r="Y489" s="153" t="n"/>
      <c r="Z489" s="153" t="n"/>
    </row>
    <row r="490" ht="15.75" customHeight="1" s="154">
      <c r="L490" s="153" t="n"/>
      <c r="M490" s="153" t="n"/>
      <c r="N490" s="153" t="n"/>
      <c r="O490" s="153" t="n"/>
      <c r="P490" s="153" t="n"/>
      <c r="Q490" s="153" t="n"/>
      <c r="R490" s="153" t="n"/>
      <c r="S490" s="153" t="n"/>
      <c r="T490" s="153" t="n"/>
      <c r="U490" s="153" t="n"/>
      <c r="V490" s="153" t="n"/>
      <c r="W490" s="153" t="n"/>
      <c r="X490" s="153" t="n"/>
      <c r="Y490" s="153" t="n"/>
      <c r="Z490" s="153" t="n"/>
    </row>
    <row r="491" ht="15.75" customHeight="1" s="154">
      <c r="L491" s="153" t="n"/>
      <c r="M491" s="153" t="n"/>
      <c r="N491" s="153" t="n"/>
      <c r="O491" s="153" t="n"/>
      <c r="P491" s="153" t="n"/>
      <c r="Q491" s="153" t="n"/>
      <c r="R491" s="153" t="n"/>
      <c r="S491" s="153" t="n"/>
      <c r="T491" s="153" t="n"/>
      <c r="U491" s="153" t="n"/>
      <c r="V491" s="153" t="n"/>
      <c r="W491" s="153" t="n"/>
      <c r="X491" s="153" t="n"/>
      <c r="Y491" s="153" t="n"/>
      <c r="Z491" s="153" t="n"/>
    </row>
    <row r="492" ht="15.75" customHeight="1" s="154">
      <c r="L492" s="153" t="n"/>
      <c r="M492" s="153" t="n"/>
      <c r="N492" s="153" t="n"/>
      <c r="O492" s="153" t="n"/>
      <c r="P492" s="153" t="n"/>
      <c r="Q492" s="153" t="n"/>
      <c r="R492" s="153" t="n"/>
      <c r="S492" s="153" t="n"/>
      <c r="T492" s="153" t="n"/>
      <c r="U492" s="153" t="n"/>
      <c r="V492" s="153" t="n"/>
      <c r="W492" s="153" t="n"/>
      <c r="X492" s="153" t="n"/>
      <c r="Y492" s="153" t="n"/>
      <c r="Z492" s="153" t="n"/>
    </row>
    <row r="493" ht="15.75" customHeight="1" s="154">
      <c r="L493" s="153" t="n"/>
      <c r="M493" s="153" t="n"/>
      <c r="N493" s="153" t="n"/>
      <c r="O493" s="153" t="n"/>
      <c r="P493" s="153" t="n"/>
      <c r="Q493" s="153" t="n"/>
      <c r="R493" s="153" t="n"/>
      <c r="S493" s="153" t="n"/>
      <c r="T493" s="153" t="n"/>
      <c r="U493" s="153" t="n"/>
      <c r="V493" s="153" t="n"/>
      <c r="W493" s="153" t="n"/>
      <c r="X493" s="153" t="n"/>
      <c r="Y493" s="153" t="n"/>
      <c r="Z493" s="153" t="n"/>
    </row>
    <row r="494" ht="15.75" customHeight="1" s="154">
      <c r="L494" s="153" t="n"/>
      <c r="M494" s="153" t="n"/>
      <c r="N494" s="153" t="n"/>
      <c r="O494" s="153" t="n"/>
      <c r="P494" s="153" t="n"/>
      <c r="Q494" s="153" t="n"/>
      <c r="R494" s="153" t="n"/>
      <c r="S494" s="153" t="n"/>
      <c r="T494" s="153" t="n"/>
      <c r="U494" s="153" t="n"/>
      <c r="V494" s="153" t="n"/>
      <c r="W494" s="153" t="n"/>
      <c r="X494" s="153" t="n"/>
      <c r="Y494" s="153" t="n"/>
      <c r="Z494" s="153" t="n"/>
    </row>
    <row r="495" ht="15.75" customHeight="1" s="154">
      <c r="L495" s="153" t="n"/>
      <c r="M495" s="153" t="n"/>
      <c r="N495" s="153" t="n"/>
      <c r="O495" s="153" t="n"/>
      <c r="P495" s="153" t="n"/>
      <c r="Q495" s="153" t="n"/>
      <c r="R495" s="153" t="n"/>
      <c r="S495" s="153" t="n"/>
      <c r="T495" s="153" t="n"/>
      <c r="U495" s="153" t="n"/>
      <c r="V495" s="153" t="n"/>
      <c r="W495" s="153" t="n"/>
      <c r="X495" s="153" t="n"/>
      <c r="Y495" s="153" t="n"/>
      <c r="Z495" s="153" t="n"/>
    </row>
    <row r="496" ht="15.75" customHeight="1" s="154">
      <c r="L496" s="153" t="n"/>
      <c r="M496" s="153" t="n"/>
      <c r="N496" s="153" t="n"/>
      <c r="O496" s="153" t="n"/>
      <c r="P496" s="153" t="n"/>
      <c r="Q496" s="153" t="n"/>
      <c r="R496" s="153" t="n"/>
      <c r="S496" s="153" t="n"/>
      <c r="T496" s="153" t="n"/>
      <c r="U496" s="153" t="n"/>
      <c r="V496" s="153" t="n"/>
      <c r="W496" s="153" t="n"/>
      <c r="X496" s="153" t="n"/>
      <c r="Y496" s="153" t="n"/>
      <c r="Z496" s="153" t="n"/>
    </row>
    <row r="497" ht="15.75" customHeight="1" s="154">
      <c r="L497" s="153" t="n"/>
      <c r="M497" s="153" t="n"/>
      <c r="N497" s="153" t="n"/>
      <c r="O497" s="153" t="n"/>
      <c r="P497" s="153" t="n"/>
      <c r="Q497" s="153" t="n"/>
      <c r="R497" s="153" t="n"/>
      <c r="S497" s="153" t="n"/>
      <c r="T497" s="153" t="n"/>
      <c r="U497" s="153" t="n"/>
      <c r="V497" s="153" t="n"/>
      <c r="W497" s="153" t="n"/>
      <c r="X497" s="153" t="n"/>
      <c r="Y497" s="153" t="n"/>
      <c r="Z497" s="153" t="n"/>
    </row>
    <row r="498" ht="15.75" customHeight="1" s="154">
      <c r="L498" s="153" t="n"/>
      <c r="M498" s="153" t="n"/>
      <c r="N498" s="153" t="n"/>
      <c r="O498" s="153" t="n"/>
      <c r="P498" s="153" t="n"/>
      <c r="Q498" s="153" t="n"/>
      <c r="R498" s="153" t="n"/>
      <c r="S498" s="153" t="n"/>
      <c r="T498" s="153" t="n"/>
      <c r="U498" s="153" t="n"/>
      <c r="V498" s="153" t="n"/>
      <c r="W498" s="153" t="n"/>
      <c r="X498" s="153" t="n"/>
      <c r="Y498" s="153" t="n"/>
      <c r="Z498" s="153" t="n"/>
    </row>
    <row r="499" ht="15.75" customHeight="1" s="154">
      <c r="L499" s="153" t="n"/>
      <c r="M499" s="153" t="n"/>
      <c r="N499" s="153" t="n"/>
      <c r="O499" s="153" t="n"/>
      <c r="P499" s="153" t="n"/>
      <c r="Q499" s="153" t="n"/>
      <c r="R499" s="153" t="n"/>
      <c r="S499" s="153" t="n"/>
      <c r="T499" s="153" t="n"/>
      <c r="U499" s="153" t="n"/>
      <c r="V499" s="153" t="n"/>
      <c r="W499" s="153" t="n"/>
      <c r="X499" s="153" t="n"/>
      <c r="Y499" s="153" t="n"/>
      <c r="Z499" s="153" t="n"/>
    </row>
    <row r="500" ht="15.75" customHeight="1" s="154">
      <c r="L500" s="153" t="n"/>
      <c r="M500" s="153" t="n"/>
      <c r="N500" s="153" t="n"/>
      <c r="O500" s="153" t="n"/>
      <c r="P500" s="153" t="n"/>
      <c r="Q500" s="153" t="n"/>
      <c r="R500" s="153" t="n"/>
      <c r="S500" s="153" t="n"/>
      <c r="T500" s="153" t="n"/>
      <c r="U500" s="153" t="n"/>
      <c r="V500" s="153" t="n"/>
      <c r="W500" s="153" t="n"/>
      <c r="X500" s="153" t="n"/>
      <c r="Y500" s="153" t="n"/>
      <c r="Z500" s="153" t="n"/>
    </row>
    <row r="501" ht="15.75" customHeight="1" s="154">
      <c r="L501" s="153" t="n"/>
      <c r="M501" s="153" t="n"/>
      <c r="N501" s="153" t="n"/>
      <c r="O501" s="153" t="n"/>
      <c r="P501" s="153" t="n"/>
      <c r="Q501" s="153" t="n"/>
      <c r="R501" s="153" t="n"/>
      <c r="S501" s="153" t="n"/>
      <c r="T501" s="153" t="n"/>
      <c r="U501" s="153" t="n"/>
      <c r="V501" s="153" t="n"/>
      <c r="W501" s="153" t="n"/>
      <c r="X501" s="153" t="n"/>
      <c r="Y501" s="153" t="n"/>
      <c r="Z501" s="153" t="n"/>
    </row>
    <row r="502" ht="15.75" customHeight="1" s="154">
      <c r="L502" s="153" t="n"/>
      <c r="M502" s="153" t="n"/>
      <c r="N502" s="153" t="n"/>
      <c r="O502" s="153" t="n"/>
      <c r="P502" s="153" t="n"/>
      <c r="Q502" s="153" t="n"/>
      <c r="R502" s="153" t="n"/>
      <c r="S502" s="153" t="n"/>
      <c r="T502" s="153" t="n"/>
      <c r="U502" s="153" t="n"/>
      <c r="V502" s="153" t="n"/>
      <c r="W502" s="153" t="n"/>
      <c r="X502" s="153" t="n"/>
      <c r="Y502" s="153" t="n"/>
      <c r="Z502" s="153" t="n"/>
    </row>
    <row r="503" ht="15.75" customHeight="1" s="154">
      <c r="L503" s="153" t="n"/>
      <c r="M503" s="153" t="n"/>
      <c r="N503" s="153" t="n"/>
      <c r="O503" s="153" t="n"/>
      <c r="P503" s="153" t="n"/>
      <c r="Q503" s="153" t="n"/>
      <c r="R503" s="153" t="n"/>
      <c r="S503" s="153" t="n"/>
      <c r="T503" s="153" t="n"/>
      <c r="U503" s="153" t="n"/>
      <c r="V503" s="153" t="n"/>
      <c r="W503" s="153" t="n"/>
      <c r="X503" s="153" t="n"/>
      <c r="Y503" s="153" t="n"/>
      <c r="Z503" s="153" t="n"/>
    </row>
    <row r="504" ht="15.75" customHeight="1" s="154">
      <c r="L504" s="153" t="n"/>
      <c r="M504" s="153" t="n"/>
      <c r="N504" s="153" t="n"/>
      <c r="O504" s="153" t="n"/>
      <c r="P504" s="153" t="n"/>
      <c r="Q504" s="153" t="n"/>
      <c r="R504" s="153" t="n"/>
      <c r="S504" s="153" t="n"/>
      <c r="T504" s="153" t="n"/>
      <c r="U504" s="153" t="n"/>
      <c r="V504" s="153" t="n"/>
      <c r="W504" s="153" t="n"/>
      <c r="X504" s="153" t="n"/>
      <c r="Y504" s="153" t="n"/>
      <c r="Z504" s="153" t="n"/>
    </row>
    <row r="505" ht="15.75" customHeight="1" s="154">
      <c r="L505" s="153" t="n"/>
      <c r="M505" s="153" t="n"/>
      <c r="N505" s="153" t="n"/>
      <c r="O505" s="153" t="n"/>
      <c r="P505" s="153" t="n"/>
      <c r="Q505" s="153" t="n"/>
      <c r="R505" s="153" t="n"/>
      <c r="S505" s="153" t="n"/>
      <c r="T505" s="153" t="n"/>
      <c r="U505" s="153" t="n"/>
      <c r="V505" s="153" t="n"/>
      <c r="W505" s="153" t="n"/>
      <c r="X505" s="153" t="n"/>
      <c r="Y505" s="153" t="n"/>
      <c r="Z505" s="153" t="n"/>
    </row>
    <row r="506" ht="15.75" customHeight="1" s="154">
      <c r="L506" s="153" t="n"/>
      <c r="M506" s="153" t="n"/>
      <c r="N506" s="153" t="n"/>
      <c r="O506" s="153" t="n"/>
      <c r="P506" s="153" t="n"/>
      <c r="Q506" s="153" t="n"/>
      <c r="R506" s="153" t="n"/>
      <c r="S506" s="153" t="n"/>
      <c r="T506" s="153" t="n"/>
      <c r="U506" s="153" t="n"/>
      <c r="V506" s="153" t="n"/>
      <c r="W506" s="153" t="n"/>
      <c r="X506" s="153" t="n"/>
      <c r="Y506" s="153" t="n"/>
      <c r="Z506" s="153" t="n"/>
    </row>
    <row r="507" ht="15.75" customHeight="1" s="154">
      <c r="L507" s="153" t="n"/>
      <c r="M507" s="153" t="n"/>
      <c r="N507" s="153" t="n"/>
      <c r="O507" s="153" t="n"/>
      <c r="P507" s="153" t="n"/>
      <c r="Q507" s="153" t="n"/>
      <c r="R507" s="153" t="n"/>
      <c r="S507" s="153" t="n"/>
      <c r="T507" s="153" t="n"/>
      <c r="U507" s="153" t="n"/>
      <c r="V507" s="153" t="n"/>
      <c r="W507" s="153" t="n"/>
      <c r="X507" s="153" t="n"/>
      <c r="Y507" s="153" t="n"/>
      <c r="Z507" s="153" t="n"/>
    </row>
    <row r="508" ht="15.75" customHeight="1" s="154">
      <c r="L508" s="153" t="n"/>
      <c r="M508" s="153" t="n"/>
      <c r="N508" s="153" t="n"/>
      <c r="O508" s="153" t="n"/>
      <c r="P508" s="153" t="n"/>
      <c r="Q508" s="153" t="n"/>
      <c r="R508" s="153" t="n"/>
      <c r="S508" s="153" t="n"/>
      <c r="T508" s="153" t="n"/>
      <c r="U508" s="153" t="n"/>
      <c r="V508" s="153" t="n"/>
      <c r="W508" s="153" t="n"/>
      <c r="X508" s="153" t="n"/>
      <c r="Y508" s="153" t="n"/>
      <c r="Z508" s="153" t="n"/>
    </row>
    <row r="509" ht="15.75" customHeight="1" s="154">
      <c r="L509" s="153" t="n"/>
      <c r="M509" s="153" t="n"/>
      <c r="N509" s="153" t="n"/>
      <c r="O509" s="153" t="n"/>
      <c r="P509" s="153" t="n"/>
      <c r="Q509" s="153" t="n"/>
      <c r="R509" s="153" t="n"/>
      <c r="S509" s="153" t="n"/>
      <c r="T509" s="153" t="n"/>
      <c r="U509" s="153" t="n"/>
      <c r="V509" s="153" t="n"/>
      <c r="W509" s="153" t="n"/>
      <c r="X509" s="153" t="n"/>
      <c r="Y509" s="153" t="n"/>
      <c r="Z509" s="153" t="n"/>
    </row>
    <row r="510" ht="15.75" customHeight="1" s="154">
      <c r="L510" s="153" t="n"/>
      <c r="M510" s="153" t="n"/>
      <c r="N510" s="153" t="n"/>
      <c r="O510" s="153" t="n"/>
      <c r="P510" s="153" t="n"/>
      <c r="Q510" s="153" t="n"/>
      <c r="R510" s="153" t="n"/>
      <c r="S510" s="153" t="n"/>
      <c r="T510" s="153" t="n"/>
      <c r="U510" s="153" t="n"/>
      <c r="V510" s="153" t="n"/>
      <c r="W510" s="153" t="n"/>
      <c r="X510" s="153" t="n"/>
      <c r="Y510" s="153" t="n"/>
      <c r="Z510" s="153" t="n"/>
    </row>
    <row r="511" ht="15.75" customHeight="1" s="154">
      <c r="L511" s="153" t="n"/>
      <c r="M511" s="153" t="n"/>
      <c r="N511" s="153" t="n"/>
      <c r="O511" s="153" t="n"/>
      <c r="P511" s="153" t="n"/>
      <c r="Q511" s="153" t="n"/>
      <c r="R511" s="153" t="n"/>
      <c r="S511" s="153" t="n"/>
      <c r="T511" s="153" t="n"/>
      <c r="U511" s="153" t="n"/>
      <c r="V511" s="153" t="n"/>
      <c r="W511" s="153" t="n"/>
      <c r="X511" s="153" t="n"/>
      <c r="Y511" s="153" t="n"/>
      <c r="Z511" s="153" t="n"/>
    </row>
    <row r="512" ht="15.75" customHeight="1" s="154">
      <c r="L512" s="153" t="n"/>
      <c r="M512" s="153" t="n"/>
      <c r="N512" s="153" t="n"/>
      <c r="O512" s="153" t="n"/>
      <c r="P512" s="153" t="n"/>
      <c r="Q512" s="153" t="n"/>
      <c r="R512" s="153" t="n"/>
      <c r="S512" s="153" t="n"/>
      <c r="T512" s="153" t="n"/>
      <c r="U512" s="153" t="n"/>
      <c r="V512" s="153" t="n"/>
      <c r="W512" s="153" t="n"/>
      <c r="X512" s="153" t="n"/>
      <c r="Y512" s="153" t="n"/>
      <c r="Z512" s="153" t="n"/>
    </row>
    <row r="513" ht="15.75" customHeight="1" s="154">
      <c r="L513" s="153" t="n"/>
      <c r="M513" s="153" t="n"/>
      <c r="N513" s="153" t="n"/>
      <c r="O513" s="153" t="n"/>
      <c r="P513" s="153" t="n"/>
      <c r="Q513" s="153" t="n"/>
      <c r="R513" s="153" t="n"/>
      <c r="S513" s="153" t="n"/>
      <c r="T513" s="153" t="n"/>
      <c r="U513" s="153" t="n"/>
      <c r="V513" s="153" t="n"/>
      <c r="W513" s="153" t="n"/>
      <c r="X513" s="153" t="n"/>
      <c r="Y513" s="153" t="n"/>
      <c r="Z513" s="153" t="n"/>
    </row>
    <row r="514" ht="15.75" customHeight="1" s="154">
      <c r="L514" s="153" t="n"/>
      <c r="M514" s="153" t="n"/>
      <c r="N514" s="153" t="n"/>
      <c r="O514" s="153" t="n"/>
      <c r="P514" s="153" t="n"/>
      <c r="Q514" s="153" t="n"/>
      <c r="R514" s="153" t="n"/>
      <c r="S514" s="153" t="n"/>
      <c r="T514" s="153" t="n"/>
      <c r="U514" s="153" t="n"/>
      <c r="V514" s="153" t="n"/>
      <c r="W514" s="153" t="n"/>
      <c r="X514" s="153" t="n"/>
      <c r="Y514" s="153" t="n"/>
      <c r="Z514" s="153" t="n"/>
    </row>
    <row r="515" ht="15.75" customHeight="1" s="154">
      <c r="L515" s="153" t="n"/>
      <c r="M515" s="153" t="n"/>
      <c r="N515" s="153" t="n"/>
      <c r="O515" s="153" t="n"/>
      <c r="P515" s="153" t="n"/>
      <c r="Q515" s="153" t="n"/>
      <c r="R515" s="153" t="n"/>
      <c r="S515" s="153" t="n"/>
      <c r="T515" s="153" t="n"/>
      <c r="U515" s="153" t="n"/>
      <c r="V515" s="153" t="n"/>
      <c r="W515" s="153" t="n"/>
      <c r="X515" s="153" t="n"/>
      <c r="Y515" s="153" t="n"/>
      <c r="Z515" s="153" t="n"/>
    </row>
    <row r="516" ht="15.75" customHeight="1" s="154">
      <c r="L516" s="153" t="n"/>
      <c r="M516" s="153" t="n"/>
      <c r="N516" s="153" t="n"/>
      <c r="O516" s="153" t="n"/>
      <c r="P516" s="153" t="n"/>
      <c r="Q516" s="153" t="n"/>
      <c r="R516" s="153" t="n"/>
      <c r="S516" s="153" t="n"/>
      <c r="T516" s="153" t="n"/>
      <c r="U516" s="153" t="n"/>
      <c r="V516" s="153" t="n"/>
      <c r="W516" s="153" t="n"/>
      <c r="X516" s="153" t="n"/>
      <c r="Y516" s="153" t="n"/>
      <c r="Z516" s="153" t="n"/>
    </row>
    <row r="517" ht="15.75" customHeight="1" s="154">
      <c r="L517" s="153" t="n"/>
      <c r="M517" s="153" t="n"/>
      <c r="N517" s="153" t="n"/>
      <c r="O517" s="153" t="n"/>
      <c r="P517" s="153" t="n"/>
      <c r="Q517" s="153" t="n"/>
      <c r="R517" s="153" t="n"/>
      <c r="S517" s="153" t="n"/>
      <c r="T517" s="153" t="n"/>
      <c r="U517" s="153" t="n"/>
      <c r="V517" s="153" t="n"/>
      <c r="W517" s="153" t="n"/>
      <c r="X517" s="153" t="n"/>
      <c r="Y517" s="153" t="n"/>
      <c r="Z517" s="153" t="n"/>
    </row>
    <row r="518" ht="15.75" customHeight="1" s="154">
      <c r="L518" s="153" t="n"/>
      <c r="M518" s="153" t="n"/>
      <c r="N518" s="153" t="n"/>
      <c r="O518" s="153" t="n"/>
      <c r="P518" s="153" t="n"/>
      <c r="Q518" s="153" t="n"/>
      <c r="R518" s="153" t="n"/>
      <c r="S518" s="153" t="n"/>
      <c r="T518" s="153" t="n"/>
      <c r="U518" s="153" t="n"/>
      <c r="V518" s="153" t="n"/>
      <c r="W518" s="153" t="n"/>
      <c r="X518" s="153" t="n"/>
      <c r="Y518" s="153" t="n"/>
      <c r="Z518" s="153" t="n"/>
    </row>
    <row r="519" ht="15.75" customHeight="1" s="154">
      <c r="L519" s="153" t="n"/>
      <c r="M519" s="153" t="n"/>
      <c r="N519" s="153" t="n"/>
      <c r="O519" s="153" t="n"/>
      <c r="P519" s="153" t="n"/>
      <c r="Q519" s="153" t="n"/>
      <c r="R519" s="153" t="n"/>
      <c r="S519" s="153" t="n"/>
      <c r="T519" s="153" t="n"/>
      <c r="U519" s="153" t="n"/>
      <c r="V519" s="153" t="n"/>
      <c r="W519" s="153" t="n"/>
      <c r="X519" s="153" t="n"/>
      <c r="Y519" s="153" t="n"/>
      <c r="Z519" s="153" t="n"/>
    </row>
    <row r="520" ht="15.75" customHeight="1" s="154">
      <c r="L520" s="153" t="n"/>
      <c r="M520" s="153" t="n"/>
      <c r="N520" s="153" t="n"/>
      <c r="O520" s="153" t="n"/>
      <c r="P520" s="153" t="n"/>
      <c r="Q520" s="153" t="n"/>
      <c r="R520" s="153" t="n"/>
      <c r="S520" s="153" t="n"/>
      <c r="T520" s="153" t="n"/>
      <c r="U520" s="153" t="n"/>
      <c r="V520" s="153" t="n"/>
      <c r="W520" s="153" t="n"/>
      <c r="X520" s="153" t="n"/>
      <c r="Y520" s="153" t="n"/>
      <c r="Z520" s="153" t="n"/>
    </row>
    <row r="521" ht="15.75" customHeight="1" s="154">
      <c r="L521" s="153" t="n"/>
      <c r="M521" s="153" t="n"/>
      <c r="N521" s="153" t="n"/>
      <c r="O521" s="153" t="n"/>
      <c r="P521" s="153" t="n"/>
      <c r="Q521" s="153" t="n"/>
      <c r="R521" s="153" t="n"/>
      <c r="S521" s="153" t="n"/>
      <c r="T521" s="153" t="n"/>
      <c r="U521" s="153" t="n"/>
      <c r="V521" s="153" t="n"/>
      <c r="W521" s="153" t="n"/>
      <c r="X521" s="153" t="n"/>
      <c r="Y521" s="153" t="n"/>
      <c r="Z521" s="153" t="n"/>
    </row>
    <row r="522" ht="15.75" customHeight="1" s="154">
      <c r="L522" s="153" t="n"/>
      <c r="M522" s="153" t="n"/>
      <c r="N522" s="153" t="n"/>
      <c r="O522" s="153" t="n"/>
      <c r="P522" s="153" t="n"/>
      <c r="Q522" s="153" t="n"/>
      <c r="R522" s="153" t="n"/>
      <c r="S522" s="153" t="n"/>
      <c r="T522" s="153" t="n"/>
      <c r="U522" s="153" t="n"/>
      <c r="V522" s="153" t="n"/>
      <c r="W522" s="153" t="n"/>
      <c r="X522" s="153" t="n"/>
      <c r="Y522" s="153" t="n"/>
      <c r="Z522" s="153" t="n"/>
    </row>
    <row r="523" ht="15.75" customHeight="1" s="154">
      <c r="L523" s="153" t="n"/>
      <c r="M523" s="153" t="n"/>
      <c r="N523" s="153" t="n"/>
      <c r="O523" s="153" t="n"/>
      <c r="P523" s="153" t="n"/>
      <c r="Q523" s="153" t="n"/>
      <c r="R523" s="153" t="n"/>
      <c r="S523" s="153" t="n"/>
      <c r="T523" s="153" t="n"/>
      <c r="U523" s="153" t="n"/>
      <c r="V523" s="153" t="n"/>
      <c r="W523" s="153" t="n"/>
      <c r="X523" s="153" t="n"/>
      <c r="Y523" s="153" t="n"/>
      <c r="Z523" s="153" t="n"/>
    </row>
    <row r="524" ht="15.75" customHeight="1" s="154">
      <c r="L524" s="153" t="n"/>
      <c r="M524" s="153" t="n"/>
      <c r="N524" s="153" t="n"/>
      <c r="O524" s="153" t="n"/>
      <c r="P524" s="153" t="n"/>
      <c r="Q524" s="153" t="n"/>
      <c r="R524" s="153" t="n"/>
      <c r="S524" s="153" t="n"/>
      <c r="T524" s="153" t="n"/>
      <c r="U524" s="153" t="n"/>
      <c r="V524" s="153" t="n"/>
      <c r="W524" s="153" t="n"/>
      <c r="X524" s="153" t="n"/>
      <c r="Y524" s="153" t="n"/>
      <c r="Z524" s="153" t="n"/>
    </row>
    <row r="525" ht="15.75" customHeight="1" s="154">
      <c r="L525" s="153" t="n"/>
      <c r="M525" s="153" t="n"/>
      <c r="N525" s="153" t="n"/>
      <c r="O525" s="153" t="n"/>
      <c r="P525" s="153" t="n"/>
      <c r="Q525" s="153" t="n"/>
      <c r="R525" s="153" t="n"/>
      <c r="S525" s="153" t="n"/>
      <c r="T525" s="153" t="n"/>
      <c r="U525" s="153" t="n"/>
      <c r="V525" s="153" t="n"/>
      <c r="W525" s="153" t="n"/>
      <c r="X525" s="153" t="n"/>
      <c r="Y525" s="153" t="n"/>
      <c r="Z525" s="153" t="n"/>
    </row>
    <row r="526" ht="15.75" customHeight="1" s="154">
      <c r="L526" s="153" t="n"/>
      <c r="M526" s="153" t="n"/>
      <c r="N526" s="153" t="n"/>
      <c r="O526" s="153" t="n"/>
      <c r="P526" s="153" t="n"/>
      <c r="Q526" s="153" t="n"/>
      <c r="R526" s="153" t="n"/>
      <c r="S526" s="153" t="n"/>
      <c r="T526" s="153" t="n"/>
      <c r="U526" s="153" t="n"/>
      <c r="V526" s="153" t="n"/>
      <c r="W526" s="153" t="n"/>
      <c r="X526" s="153" t="n"/>
      <c r="Y526" s="153" t="n"/>
      <c r="Z526" s="153" t="n"/>
    </row>
    <row r="527" ht="15.75" customHeight="1" s="154">
      <c r="L527" s="153" t="n"/>
      <c r="M527" s="153" t="n"/>
      <c r="N527" s="153" t="n"/>
      <c r="O527" s="153" t="n"/>
      <c r="P527" s="153" t="n"/>
      <c r="Q527" s="153" t="n"/>
      <c r="R527" s="153" t="n"/>
      <c r="S527" s="153" t="n"/>
      <c r="T527" s="153" t="n"/>
      <c r="U527" s="153" t="n"/>
      <c r="V527" s="153" t="n"/>
      <c r="W527" s="153" t="n"/>
      <c r="X527" s="153" t="n"/>
      <c r="Y527" s="153" t="n"/>
      <c r="Z527" s="153" t="n"/>
    </row>
    <row r="528" ht="15.75" customHeight="1" s="154">
      <c r="L528" s="153" t="n"/>
      <c r="M528" s="153" t="n"/>
      <c r="N528" s="153" t="n"/>
      <c r="O528" s="153" t="n"/>
      <c r="P528" s="153" t="n"/>
      <c r="Q528" s="153" t="n"/>
      <c r="R528" s="153" t="n"/>
      <c r="S528" s="153" t="n"/>
      <c r="T528" s="153" t="n"/>
      <c r="U528" s="153" t="n"/>
      <c r="V528" s="153" t="n"/>
      <c r="W528" s="153" t="n"/>
      <c r="X528" s="153" t="n"/>
      <c r="Y528" s="153" t="n"/>
      <c r="Z528" s="153" t="n"/>
    </row>
    <row r="529" ht="15.75" customHeight="1" s="154">
      <c r="L529" s="153" t="n"/>
      <c r="M529" s="153" t="n"/>
      <c r="N529" s="153" t="n"/>
      <c r="O529" s="153" t="n"/>
      <c r="P529" s="153" t="n"/>
      <c r="Q529" s="153" t="n"/>
      <c r="R529" s="153" t="n"/>
      <c r="S529" s="153" t="n"/>
      <c r="T529" s="153" t="n"/>
      <c r="U529" s="153" t="n"/>
      <c r="V529" s="153" t="n"/>
      <c r="W529" s="153" t="n"/>
      <c r="X529" s="153" t="n"/>
      <c r="Y529" s="153" t="n"/>
      <c r="Z529" s="153" t="n"/>
    </row>
    <row r="530" ht="15.75" customHeight="1" s="154">
      <c r="L530" s="153" t="n"/>
      <c r="M530" s="153" t="n"/>
      <c r="N530" s="153" t="n"/>
      <c r="O530" s="153" t="n"/>
      <c r="P530" s="153" t="n"/>
      <c r="Q530" s="153" t="n"/>
      <c r="R530" s="153" t="n"/>
      <c r="S530" s="153" t="n"/>
      <c r="T530" s="153" t="n"/>
      <c r="U530" s="153" t="n"/>
      <c r="V530" s="153" t="n"/>
      <c r="W530" s="153" t="n"/>
      <c r="X530" s="153" t="n"/>
      <c r="Y530" s="153" t="n"/>
      <c r="Z530" s="153" t="n"/>
    </row>
    <row r="531" ht="15.75" customHeight="1" s="154">
      <c r="L531" s="153" t="n"/>
      <c r="M531" s="153" t="n"/>
      <c r="N531" s="153" t="n"/>
      <c r="O531" s="153" t="n"/>
      <c r="P531" s="153" t="n"/>
      <c r="Q531" s="153" t="n"/>
      <c r="R531" s="153" t="n"/>
      <c r="S531" s="153" t="n"/>
      <c r="T531" s="153" t="n"/>
      <c r="U531" s="153" t="n"/>
      <c r="V531" s="153" t="n"/>
      <c r="W531" s="153" t="n"/>
      <c r="X531" s="153" t="n"/>
      <c r="Y531" s="153" t="n"/>
      <c r="Z531" s="153" t="n"/>
    </row>
    <row r="532" ht="15.75" customHeight="1" s="154">
      <c r="L532" s="153" t="n"/>
      <c r="M532" s="153" t="n"/>
      <c r="N532" s="153" t="n"/>
      <c r="O532" s="153" t="n"/>
      <c r="P532" s="153" t="n"/>
      <c r="Q532" s="153" t="n"/>
      <c r="R532" s="153" t="n"/>
      <c r="S532" s="153" t="n"/>
      <c r="T532" s="153" t="n"/>
      <c r="U532" s="153" t="n"/>
      <c r="V532" s="153" t="n"/>
      <c r="W532" s="153" t="n"/>
      <c r="X532" s="153" t="n"/>
      <c r="Y532" s="153" t="n"/>
      <c r="Z532" s="153" t="n"/>
    </row>
    <row r="533" ht="15.75" customHeight="1" s="154">
      <c r="L533" s="153" t="n"/>
      <c r="M533" s="153" t="n"/>
      <c r="N533" s="153" t="n"/>
      <c r="O533" s="153" t="n"/>
      <c r="P533" s="153" t="n"/>
      <c r="Q533" s="153" t="n"/>
      <c r="R533" s="153" t="n"/>
      <c r="S533" s="153" t="n"/>
      <c r="T533" s="153" t="n"/>
      <c r="U533" s="153" t="n"/>
      <c r="V533" s="153" t="n"/>
      <c r="W533" s="153" t="n"/>
      <c r="X533" s="153" t="n"/>
      <c r="Y533" s="153" t="n"/>
      <c r="Z533" s="153" t="n"/>
    </row>
    <row r="534" ht="15.75" customHeight="1" s="154">
      <c r="L534" s="153" t="n"/>
      <c r="M534" s="153" t="n"/>
      <c r="N534" s="153" t="n"/>
      <c r="O534" s="153" t="n"/>
      <c r="P534" s="153" t="n"/>
      <c r="Q534" s="153" t="n"/>
      <c r="R534" s="153" t="n"/>
      <c r="S534" s="153" t="n"/>
      <c r="T534" s="153" t="n"/>
      <c r="U534" s="153" t="n"/>
      <c r="V534" s="153" t="n"/>
      <c r="W534" s="153" t="n"/>
      <c r="X534" s="153" t="n"/>
      <c r="Y534" s="153" t="n"/>
      <c r="Z534" s="153" t="n"/>
    </row>
    <row r="535" ht="15.75" customHeight="1" s="154">
      <c r="L535" s="153" t="n"/>
      <c r="M535" s="153" t="n"/>
      <c r="N535" s="153" t="n"/>
      <c r="O535" s="153" t="n"/>
      <c r="P535" s="153" t="n"/>
      <c r="Q535" s="153" t="n"/>
      <c r="R535" s="153" t="n"/>
      <c r="S535" s="153" t="n"/>
      <c r="T535" s="153" t="n"/>
      <c r="U535" s="153" t="n"/>
      <c r="V535" s="153" t="n"/>
      <c r="W535" s="153" t="n"/>
      <c r="X535" s="153" t="n"/>
      <c r="Y535" s="153" t="n"/>
      <c r="Z535" s="153" t="n"/>
    </row>
    <row r="536" ht="15.75" customHeight="1" s="154">
      <c r="L536" s="153" t="n"/>
      <c r="M536" s="153" t="n"/>
      <c r="N536" s="153" t="n"/>
      <c r="O536" s="153" t="n"/>
      <c r="P536" s="153" t="n"/>
      <c r="Q536" s="153" t="n"/>
      <c r="R536" s="153" t="n"/>
      <c r="S536" s="153" t="n"/>
      <c r="T536" s="153" t="n"/>
      <c r="U536" s="153" t="n"/>
      <c r="V536" s="153" t="n"/>
      <c r="W536" s="153" t="n"/>
      <c r="X536" s="153" t="n"/>
      <c r="Y536" s="153" t="n"/>
      <c r="Z536" s="153" t="n"/>
    </row>
    <row r="537" ht="15.75" customHeight="1" s="154">
      <c r="L537" s="153" t="n"/>
      <c r="M537" s="153" t="n"/>
      <c r="N537" s="153" t="n"/>
      <c r="O537" s="153" t="n"/>
      <c r="P537" s="153" t="n"/>
      <c r="Q537" s="153" t="n"/>
      <c r="R537" s="153" t="n"/>
      <c r="S537" s="153" t="n"/>
      <c r="T537" s="153" t="n"/>
      <c r="U537" s="153" t="n"/>
      <c r="V537" s="153" t="n"/>
      <c r="W537" s="153" t="n"/>
      <c r="X537" s="153" t="n"/>
      <c r="Y537" s="153" t="n"/>
      <c r="Z537" s="153" t="n"/>
    </row>
    <row r="538" ht="15.75" customHeight="1" s="154">
      <c r="L538" s="153" t="n"/>
      <c r="M538" s="153" t="n"/>
      <c r="N538" s="153" t="n"/>
      <c r="O538" s="153" t="n"/>
      <c r="P538" s="153" t="n"/>
      <c r="Q538" s="153" t="n"/>
      <c r="R538" s="153" t="n"/>
      <c r="S538" s="153" t="n"/>
      <c r="T538" s="153" t="n"/>
      <c r="U538" s="153" t="n"/>
      <c r="V538" s="153" t="n"/>
      <c r="W538" s="153" t="n"/>
      <c r="X538" s="153" t="n"/>
      <c r="Y538" s="153" t="n"/>
      <c r="Z538" s="153" t="n"/>
    </row>
    <row r="539" ht="15.75" customHeight="1" s="154">
      <c r="L539" s="153" t="n"/>
      <c r="M539" s="153" t="n"/>
      <c r="N539" s="153" t="n"/>
      <c r="O539" s="153" t="n"/>
      <c r="P539" s="153" t="n"/>
      <c r="Q539" s="153" t="n"/>
      <c r="R539" s="153" t="n"/>
      <c r="S539" s="153" t="n"/>
      <c r="T539" s="153" t="n"/>
      <c r="U539" s="153" t="n"/>
      <c r="V539" s="153" t="n"/>
      <c r="W539" s="153" t="n"/>
      <c r="X539" s="153" t="n"/>
      <c r="Y539" s="153" t="n"/>
      <c r="Z539" s="153" t="n"/>
    </row>
    <row r="540" ht="15.75" customHeight="1" s="154">
      <c r="L540" s="153" t="n"/>
      <c r="M540" s="153" t="n"/>
      <c r="N540" s="153" t="n"/>
      <c r="O540" s="153" t="n"/>
      <c r="P540" s="153" t="n"/>
      <c r="Q540" s="153" t="n"/>
      <c r="R540" s="153" t="n"/>
      <c r="S540" s="153" t="n"/>
      <c r="T540" s="153" t="n"/>
      <c r="U540" s="153" t="n"/>
      <c r="V540" s="153" t="n"/>
      <c r="W540" s="153" t="n"/>
      <c r="X540" s="153" t="n"/>
      <c r="Y540" s="153" t="n"/>
      <c r="Z540" s="153" t="n"/>
    </row>
    <row r="541" ht="15.75" customHeight="1" s="154">
      <c r="L541" s="153" t="n"/>
      <c r="M541" s="153" t="n"/>
      <c r="N541" s="153" t="n"/>
      <c r="O541" s="153" t="n"/>
      <c r="P541" s="153" t="n"/>
      <c r="Q541" s="153" t="n"/>
      <c r="R541" s="153" t="n"/>
      <c r="S541" s="153" t="n"/>
      <c r="T541" s="153" t="n"/>
      <c r="U541" s="153" t="n"/>
      <c r="V541" s="153" t="n"/>
      <c r="W541" s="153" t="n"/>
      <c r="X541" s="153" t="n"/>
      <c r="Y541" s="153" t="n"/>
      <c r="Z541" s="153" t="n"/>
    </row>
    <row r="542" ht="15.75" customHeight="1" s="154">
      <c r="L542" s="153" t="n"/>
      <c r="M542" s="153" t="n"/>
      <c r="N542" s="153" t="n"/>
      <c r="O542" s="153" t="n"/>
      <c r="P542" s="153" t="n"/>
      <c r="Q542" s="153" t="n"/>
      <c r="R542" s="153" t="n"/>
      <c r="S542" s="153" t="n"/>
      <c r="T542" s="153" t="n"/>
      <c r="U542" s="153" t="n"/>
      <c r="V542" s="153" t="n"/>
      <c r="W542" s="153" t="n"/>
      <c r="X542" s="153" t="n"/>
      <c r="Y542" s="153" t="n"/>
      <c r="Z542" s="153" t="n"/>
    </row>
    <row r="543" ht="15.75" customHeight="1" s="154">
      <c r="L543" s="153" t="n"/>
      <c r="M543" s="153" t="n"/>
      <c r="N543" s="153" t="n"/>
      <c r="O543" s="153" t="n"/>
      <c r="P543" s="153" t="n"/>
      <c r="Q543" s="153" t="n"/>
      <c r="R543" s="153" t="n"/>
      <c r="S543" s="153" t="n"/>
      <c r="T543" s="153" t="n"/>
      <c r="U543" s="153" t="n"/>
      <c r="V543" s="153" t="n"/>
      <c r="W543" s="153" t="n"/>
      <c r="X543" s="153" t="n"/>
      <c r="Y543" s="153" t="n"/>
      <c r="Z543" s="153" t="n"/>
    </row>
    <row r="544" ht="15.75" customHeight="1" s="154">
      <c r="L544" s="153" t="n"/>
      <c r="M544" s="153" t="n"/>
      <c r="N544" s="153" t="n"/>
      <c r="O544" s="153" t="n"/>
      <c r="P544" s="153" t="n"/>
      <c r="Q544" s="153" t="n"/>
      <c r="R544" s="153" t="n"/>
      <c r="S544" s="153" t="n"/>
      <c r="T544" s="153" t="n"/>
      <c r="U544" s="153" t="n"/>
      <c r="V544" s="153" t="n"/>
      <c r="W544" s="153" t="n"/>
      <c r="X544" s="153" t="n"/>
      <c r="Y544" s="153" t="n"/>
      <c r="Z544" s="153" t="n"/>
    </row>
    <row r="545" ht="15.75" customHeight="1" s="154">
      <c r="L545" s="153" t="n"/>
      <c r="M545" s="153" t="n"/>
      <c r="N545" s="153" t="n"/>
      <c r="O545" s="153" t="n"/>
      <c r="P545" s="153" t="n"/>
      <c r="Q545" s="153" t="n"/>
      <c r="R545" s="153" t="n"/>
      <c r="S545" s="153" t="n"/>
      <c r="T545" s="153" t="n"/>
      <c r="U545" s="153" t="n"/>
      <c r="V545" s="153" t="n"/>
      <c r="W545" s="153" t="n"/>
      <c r="X545" s="153" t="n"/>
      <c r="Y545" s="153" t="n"/>
      <c r="Z545" s="153" t="n"/>
    </row>
    <row r="546" ht="15.75" customHeight="1" s="154">
      <c r="L546" s="153" t="n"/>
      <c r="M546" s="153" t="n"/>
      <c r="N546" s="153" t="n"/>
      <c r="O546" s="153" t="n"/>
      <c r="P546" s="153" t="n"/>
      <c r="Q546" s="153" t="n"/>
      <c r="R546" s="153" t="n"/>
      <c r="S546" s="153" t="n"/>
      <c r="T546" s="153" t="n"/>
      <c r="U546" s="153" t="n"/>
      <c r="V546" s="153" t="n"/>
      <c r="W546" s="153" t="n"/>
      <c r="X546" s="153" t="n"/>
      <c r="Y546" s="153" t="n"/>
      <c r="Z546" s="153" t="n"/>
    </row>
    <row r="547" ht="15.75" customHeight="1" s="154">
      <c r="L547" s="153" t="n"/>
      <c r="M547" s="153" t="n"/>
      <c r="N547" s="153" t="n"/>
      <c r="O547" s="153" t="n"/>
      <c r="P547" s="153" t="n"/>
      <c r="Q547" s="153" t="n"/>
      <c r="R547" s="153" t="n"/>
      <c r="S547" s="153" t="n"/>
      <c r="T547" s="153" t="n"/>
      <c r="U547" s="153" t="n"/>
      <c r="V547" s="153" t="n"/>
      <c r="W547" s="153" t="n"/>
      <c r="X547" s="153" t="n"/>
      <c r="Y547" s="153" t="n"/>
      <c r="Z547" s="153" t="n"/>
    </row>
    <row r="548" ht="15.75" customHeight="1" s="154">
      <c r="L548" s="153" t="n"/>
      <c r="M548" s="153" t="n"/>
      <c r="N548" s="153" t="n"/>
      <c r="O548" s="153" t="n"/>
      <c r="P548" s="153" t="n"/>
      <c r="Q548" s="153" t="n"/>
      <c r="R548" s="153" t="n"/>
      <c r="S548" s="153" t="n"/>
      <c r="T548" s="153" t="n"/>
      <c r="U548" s="153" t="n"/>
      <c r="V548" s="153" t="n"/>
      <c r="W548" s="153" t="n"/>
      <c r="X548" s="153" t="n"/>
      <c r="Y548" s="153" t="n"/>
      <c r="Z548" s="153" t="n"/>
    </row>
    <row r="549" ht="15.75" customHeight="1" s="154">
      <c r="L549" s="153" t="n"/>
      <c r="M549" s="153" t="n"/>
      <c r="N549" s="153" t="n"/>
      <c r="O549" s="153" t="n"/>
      <c r="P549" s="153" t="n"/>
      <c r="Q549" s="153" t="n"/>
      <c r="R549" s="153" t="n"/>
      <c r="S549" s="153" t="n"/>
      <c r="T549" s="153" t="n"/>
      <c r="U549" s="153" t="n"/>
      <c r="V549" s="153" t="n"/>
      <c r="W549" s="153" t="n"/>
      <c r="X549" s="153" t="n"/>
      <c r="Y549" s="153" t="n"/>
      <c r="Z549" s="153" t="n"/>
    </row>
    <row r="550" ht="15.75" customHeight="1" s="154">
      <c r="L550" s="153" t="n"/>
      <c r="M550" s="153" t="n"/>
      <c r="N550" s="153" t="n"/>
      <c r="O550" s="153" t="n"/>
      <c r="P550" s="153" t="n"/>
      <c r="Q550" s="153" t="n"/>
      <c r="R550" s="153" t="n"/>
      <c r="S550" s="153" t="n"/>
      <c r="T550" s="153" t="n"/>
      <c r="U550" s="153" t="n"/>
      <c r="V550" s="153" t="n"/>
      <c r="W550" s="153" t="n"/>
      <c r="X550" s="153" t="n"/>
      <c r="Y550" s="153" t="n"/>
      <c r="Z550" s="153" t="n"/>
    </row>
    <row r="551" ht="15.75" customHeight="1" s="154">
      <c r="L551" s="153" t="n"/>
      <c r="M551" s="153" t="n"/>
      <c r="N551" s="153" t="n"/>
      <c r="O551" s="153" t="n"/>
      <c r="P551" s="153" t="n"/>
      <c r="Q551" s="153" t="n"/>
      <c r="R551" s="153" t="n"/>
      <c r="S551" s="153" t="n"/>
      <c r="T551" s="153" t="n"/>
      <c r="U551" s="153" t="n"/>
      <c r="V551" s="153" t="n"/>
      <c r="W551" s="153" t="n"/>
      <c r="X551" s="153" t="n"/>
      <c r="Y551" s="153" t="n"/>
      <c r="Z551" s="153" t="n"/>
    </row>
    <row r="552" ht="15.75" customHeight="1" s="154">
      <c r="L552" s="153" t="n"/>
      <c r="M552" s="153" t="n"/>
      <c r="N552" s="153" t="n"/>
      <c r="O552" s="153" t="n"/>
      <c r="P552" s="153" t="n"/>
      <c r="Q552" s="153" t="n"/>
      <c r="R552" s="153" t="n"/>
      <c r="S552" s="153" t="n"/>
      <c r="T552" s="153" t="n"/>
      <c r="U552" s="153" t="n"/>
      <c r="V552" s="153" t="n"/>
      <c r="W552" s="153" t="n"/>
      <c r="X552" s="153" t="n"/>
      <c r="Y552" s="153" t="n"/>
      <c r="Z552" s="153" t="n"/>
    </row>
    <row r="553" ht="15.75" customHeight="1" s="154">
      <c r="L553" s="153" t="n"/>
      <c r="M553" s="153" t="n"/>
      <c r="N553" s="153" t="n"/>
      <c r="O553" s="153" t="n"/>
      <c r="P553" s="153" t="n"/>
      <c r="Q553" s="153" t="n"/>
      <c r="R553" s="153" t="n"/>
      <c r="S553" s="153" t="n"/>
      <c r="T553" s="153" t="n"/>
      <c r="U553" s="153" t="n"/>
      <c r="V553" s="153" t="n"/>
      <c r="W553" s="153" t="n"/>
      <c r="X553" s="153" t="n"/>
      <c r="Y553" s="153" t="n"/>
      <c r="Z553" s="153" t="n"/>
    </row>
    <row r="554" ht="15.75" customHeight="1" s="154">
      <c r="L554" s="153" t="n"/>
      <c r="M554" s="153" t="n"/>
      <c r="N554" s="153" t="n"/>
      <c r="O554" s="153" t="n"/>
      <c r="P554" s="153" t="n"/>
      <c r="Q554" s="153" t="n"/>
      <c r="R554" s="153" t="n"/>
      <c r="S554" s="153" t="n"/>
      <c r="T554" s="153" t="n"/>
      <c r="U554" s="153" t="n"/>
      <c r="V554" s="153" t="n"/>
      <c r="W554" s="153" t="n"/>
      <c r="X554" s="153" t="n"/>
      <c r="Y554" s="153" t="n"/>
      <c r="Z554" s="153" t="n"/>
    </row>
    <row r="555" ht="15.75" customHeight="1" s="154">
      <c r="L555" s="153" t="n"/>
      <c r="M555" s="153" t="n"/>
      <c r="N555" s="153" t="n"/>
      <c r="O555" s="153" t="n"/>
      <c r="P555" s="153" t="n"/>
      <c r="Q555" s="153" t="n"/>
      <c r="R555" s="153" t="n"/>
      <c r="S555" s="153" t="n"/>
      <c r="T555" s="153" t="n"/>
      <c r="U555" s="153" t="n"/>
      <c r="V555" s="153" t="n"/>
      <c r="W555" s="153" t="n"/>
      <c r="X555" s="153" t="n"/>
      <c r="Y555" s="153" t="n"/>
      <c r="Z555" s="153" t="n"/>
    </row>
    <row r="556" ht="15.75" customHeight="1" s="154">
      <c r="L556" s="153" t="n"/>
      <c r="M556" s="153" t="n"/>
      <c r="N556" s="153" t="n"/>
      <c r="O556" s="153" t="n"/>
      <c r="P556" s="153" t="n"/>
      <c r="Q556" s="153" t="n"/>
      <c r="R556" s="153" t="n"/>
      <c r="S556" s="153" t="n"/>
      <c r="T556" s="153" t="n"/>
      <c r="U556" s="153" t="n"/>
      <c r="V556" s="153" t="n"/>
      <c r="W556" s="153" t="n"/>
      <c r="X556" s="153" t="n"/>
      <c r="Y556" s="153" t="n"/>
      <c r="Z556" s="153" t="n"/>
    </row>
    <row r="557" ht="15.75" customHeight="1" s="154">
      <c r="L557" s="153" t="n"/>
      <c r="M557" s="153" t="n"/>
      <c r="N557" s="153" t="n"/>
      <c r="O557" s="153" t="n"/>
      <c r="P557" s="153" t="n"/>
      <c r="Q557" s="153" t="n"/>
      <c r="R557" s="153" t="n"/>
      <c r="S557" s="153" t="n"/>
      <c r="T557" s="153" t="n"/>
      <c r="U557" s="153" t="n"/>
      <c r="V557" s="153" t="n"/>
      <c r="W557" s="153" t="n"/>
      <c r="X557" s="153" t="n"/>
      <c r="Y557" s="153" t="n"/>
      <c r="Z557" s="153" t="n"/>
    </row>
    <row r="558" ht="15.75" customHeight="1" s="154">
      <c r="L558" s="153" t="n"/>
      <c r="M558" s="153" t="n"/>
      <c r="N558" s="153" t="n"/>
      <c r="O558" s="153" t="n"/>
      <c r="P558" s="153" t="n"/>
      <c r="Q558" s="153" t="n"/>
      <c r="R558" s="153" t="n"/>
      <c r="S558" s="153" t="n"/>
      <c r="T558" s="153" t="n"/>
      <c r="U558" s="153" t="n"/>
      <c r="V558" s="153" t="n"/>
      <c r="W558" s="153" t="n"/>
      <c r="X558" s="153" t="n"/>
      <c r="Y558" s="153" t="n"/>
      <c r="Z558" s="153" t="n"/>
    </row>
    <row r="559" ht="15.75" customHeight="1" s="154">
      <c r="L559" s="153" t="n"/>
      <c r="M559" s="153" t="n"/>
      <c r="N559" s="153" t="n"/>
      <c r="O559" s="153" t="n"/>
      <c r="P559" s="153" t="n"/>
      <c r="Q559" s="153" t="n"/>
      <c r="R559" s="153" t="n"/>
      <c r="S559" s="153" t="n"/>
      <c r="T559" s="153" t="n"/>
      <c r="U559" s="153" t="n"/>
      <c r="V559" s="153" t="n"/>
      <c r="W559" s="153" t="n"/>
      <c r="X559" s="153" t="n"/>
      <c r="Y559" s="153" t="n"/>
      <c r="Z559" s="153" t="n"/>
    </row>
    <row r="560" ht="15.75" customHeight="1" s="154">
      <c r="L560" s="153" t="n"/>
      <c r="M560" s="153" t="n"/>
      <c r="N560" s="153" t="n"/>
      <c r="O560" s="153" t="n"/>
      <c r="P560" s="153" t="n"/>
      <c r="Q560" s="153" t="n"/>
      <c r="R560" s="153" t="n"/>
      <c r="S560" s="153" t="n"/>
      <c r="T560" s="153" t="n"/>
      <c r="U560" s="153" t="n"/>
      <c r="V560" s="153" t="n"/>
      <c r="W560" s="153" t="n"/>
      <c r="X560" s="153" t="n"/>
      <c r="Y560" s="153" t="n"/>
      <c r="Z560" s="153" t="n"/>
    </row>
    <row r="561" ht="15.75" customHeight="1" s="154">
      <c r="L561" s="153" t="n"/>
      <c r="M561" s="153" t="n"/>
      <c r="N561" s="153" t="n"/>
      <c r="O561" s="153" t="n"/>
      <c r="P561" s="153" t="n"/>
      <c r="Q561" s="153" t="n"/>
      <c r="R561" s="153" t="n"/>
      <c r="S561" s="153" t="n"/>
      <c r="T561" s="153" t="n"/>
      <c r="U561" s="153" t="n"/>
      <c r="V561" s="153" t="n"/>
      <c r="W561" s="153" t="n"/>
      <c r="X561" s="153" t="n"/>
      <c r="Y561" s="153" t="n"/>
      <c r="Z561" s="153" t="n"/>
    </row>
    <row r="562" ht="15.75" customHeight="1" s="154">
      <c r="L562" s="153" t="n"/>
      <c r="M562" s="153" t="n"/>
      <c r="N562" s="153" t="n"/>
      <c r="O562" s="153" t="n"/>
      <c r="P562" s="153" t="n"/>
      <c r="Q562" s="153" t="n"/>
      <c r="R562" s="153" t="n"/>
      <c r="S562" s="153" t="n"/>
      <c r="T562" s="153" t="n"/>
      <c r="U562" s="153" t="n"/>
      <c r="V562" s="153" t="n"/>
      <c r="W562" s="153" t="n"/>
      <c r="X562" s="153" t="n"/>
      <c r="Y562" s="153" t="n"/>
      <c r="Z562" s="153" t="n"/>
    </row>
    <row r="563" ht="15.75" customHeight="1" s="154">
      <c r="L563" s="153" t="n"/>
      <c r="M563" s="153" t="n"/>
      <c r="N563" s="153" t="n"/>
      <c r="O563" s="153" t="n"/>
      <c r="P563" s="153" t="n"/>
      <c r="Q563" s="153" t="n"/>
      <c r="R563" s="153" t="n"/>
      <c r="S563" s="153" t="n"/>
      <c r="T563" s="153" t="n"/>
      <c r="U563" s="153" t="n"/>
      <c r="V563" s="153" t="n"/>
      <c r="W563" s="153" t="n"/>
      <c r="X563" s="153" t="n"/>
      <c r="Y563" s="153" t="n"/>
      <c r="Z563" s="153" t="n"/>
    </row>
    <row r="564" ht="15.75" customHeight="1" s="154">
      <c r="L564" s="153" t="n"/>
      <c r="M564" s="153" t="n"/>
      <c r="N564" s="153" t="n"/>
      <c r="O564" s="153" t="n"/>
      <c r="P564" s="153" t="n"/>
      <c r="Q564" s="153" t="n"/>
      <c r="R564" s="153" t="n"/>
      <c r="S564" s="153" t="n"/>
      <c r="T564" s="153" t="n"/>
      <c r="U564" s="153" t="n"/>
      <c r="V564" s="153" t="n"/>
      <c r="W564" s="153" t="n"/>
      <c r="X564" s="153" t="n"/>
      <c r="Y564" s="153" t="n"/>
      <c r="Z564" s="153" t="n"/>
    </row>
    <row r="565" ht="15.75" customHeight="1" s="154">
      <c r="L565" s="153" t="n"/>
      <c r="M565" s="153" t="n"/>
      <c r="N565" s="153" t="n"/>
      <c r="O565" s="153" t="n"/>
      <c r="P565" s="153" t="n"/>
      <c r="Q565" s="153" t="n"/>
      <c r="R565" s="153" t="n"/>
      <c r="S565" s="153" t="n"/>
      <c r="T565" s="153" t="n"/>
      <c r="U565" s="153" t="n"/>
      <c r="V565" s="153" t="n"/>
      <c r="W565" s="153" t="n"/>
      <c r="X565" s="153" t="n"/>
      <c r="Y565" s="153" t="n"/>
      <c r="Z565" s="153" t="n"/>
    </row>
    <row r="566" ht="15.75" customHeight="1" s="154">
      <c r="L566" s="153" t="n"/>
      <c r="M566" s="153" t="n"/>
      <c r="N566" s="153" t="n"/>
      <c r="O566" s="153" t="n"/>
      <c r="P566" s="153" t="n"/>
      <c r="Q566" s="153" t="n"/>
      <c r="R566" s="153" t="n"/>
      <c r="S566" s="153" t="n"/>
      <c r="T566" s="153" t="n"/>
      <c r="U566" s="153" t="n"/>
      <c r="V566" s="153" t="n"/>
      <c r="W566" s="153" t="n"/>
      <c r="X566" s="153" t="n"/>
      <c r="Y566" s="153" t="n"/>
      <c r="Z566" s="153" t="n"/>
    </row>
    <row r="567" ht="15.75" customHeight="1" s="154">
      <c r="L567" s="153" t="n"/>
      <c r="M567" s="153" t="n"/>
      <c r="N567" s="153" t="n"/>
      <c r="O567" s="153" t="n"/>
      <c r="P567" s="153" t="n"/>
      <c r="Q567" s="153" t="n"/>
      <c r="R567" s="153" t="n"/>
      <c r="S567" s="153" t="n"/>
      <c r="T567" s="153" t="n"/>
      <c r="U567" s="153" t="n"/>
      <c r="V567" s="153" t="n"/>
      <c r="W567" s="153" t="n"/>
      <c r="X567" s="153" t="n"/>
      <c r="Y567" s="153" t="n"/>
      <c r="Z567" s="153" t="n"/>
    </row>
    <row r="568" ht="15.75" customHeight="1" s="154">
      <c r="L568" s="153" t="n"/>
      <c r="M568" s="153" t="n"/>
      <c r="N568" s="153" t="n"/>
      <c r="O568" s="153" t="n"/>
      <c r="P568" s="153" t="n"/>
      <c r="Q568" s="153" t="n"/>
      <c r="R568" s="153" t="n"/>
      <c r="S568" s="153" t="n"/>
      <c r="T568" s="153" t="n"/>
      <c r="U568" s="153" t="n"/>
      <c r="V568" s="153" t="n"/>
      <c r="W568" s="153" t="n"/>
      <c r="X568" s="153" t="n"/>
      <c r="Y568" s="153" t="n"/>
      <c r="Z568" s="153" t="n"/>
    </row>
    <row r="569" ht="15.75" customHeight="1" s="154">
      <c r="L569" s="153" t="n"/>
      <c r="M569" s="153" t="n"/>
      <c r="N569" s="153" t="n"/>
      <c r="O569" s="153" t="n"/>
      <c r="P569" s="153" t="n"/>
      <c r="Q569" s="153" t="n"/>
      <c r="R569" s="153" t="n"/>
      <c r="S569" s="153" t="n"/>
      <c r="T569" s="153" t="n"/>
      <c r="U569" s="153" t="n"/>
      <c r="V569" s="153" t="n"/>
      <c r="W569" s="153" t="n"/>
      <c r="X569" s="153" t="n"/>
      <c r="Y569" s="153" t="n"/>
      <c r="Z569" s="153" t="n"/>
    </row>
    <row r="570" ht="15.75" customHeight="1" s="154">
      <c r="L570" s="153" t="n"/>
      <c r="M570" s="153" t="n"/>
      <c r="N570" s="153" t="n"/>
      <c r="O570" s="153" t="n"/>
      <c r="P570" s="153" t="n"/>
      <c r="Q570" s="153" t="n"/>
      <c r="R570" s="153" t="n"/>
      <c r="S570" s="153" t="n"/>
      <c r="T570" s="153" t="n"/>
      <c r="U570" s="153" t="n"/>
      <c r="V570" s="153" t="n"/>
      <c r="W570" s="153" t="n"/>
      <c r="X570" s="153" t="n"/>
      <c r="Y570" s="153" t="n"/>
      <c r="Z570" s="153" t="n"/>
    </row>
    <row r="571" ht="15.75" customHeight="1" s="154">
      <c r="L571" s="153" t="n"/>
      <c r="M571" s="153" t="n"/>
      <c r="N571" s="153" t="n"/>
      <c r="O571" s="153" t="n"/>
      <c r="P571" s="153" t="n"/>
      <c r="Q571" s="153" t="n"/>
      <c r="R571" s="153" t="n"/>
      <c r="S571" s="153" t="n"/>
      <c r="T571" s="153" t="n"/>
      <c r="U571" s="153" t="n"/>
      <c r="V571" s="153" t="n"/>
      <c r="W571" s="153" t="n"/>
      <c r="X571" s="153" t="n"/>
      <c r="Y571" s="153" t="n"/>
      <c r="Z571" s="153" t="n"/>
    </row>
    <row r="572" ht="15.75" customHeight="1" s="154">
      <c r="L572" s="153" t="n"/>
      <c r="M572" s="153" t="n"/>
      <c r="N572" s="153" t="n"/>
      <c r="O572" s="153" t="n"/>
      <c r="P572" s="153" t="n"/>
      <c r="Q572" s="153" t="n"/>
      <c r="R572" s="153" t="n"/>
      <c r="S572" s="153" t="n"/>
      <c r="T572" s="153" t="n"/>
      <c r="U572" s="153" t="n"/>
      <c r="V572" s="153" t="n"/>
      <c r="W572" s="153" t="n"/>
      <c r="X572" s="153" t="n"/>
      <c r="Y572" s="153" t="n"/>
      <c r="Z572" s="153" t="n"/>
    </row>
    <row r="573" ht="15.75" customHeight="1" s="154">
      <c r="L573" s="153" t="n"/>
      <c r="M573" s="153" t="n"/>
      <c r="N573" s="153" t="n"/>
      <c r="O573" s="153" t="n"/>
      <c r="P573" s="153" t="n"/>
      <c r="Q573" s="153" t="n"/>
      <c r="R573" s="153" t="n"/>
      <c r="S573" s="153" t="n"/>
      <c r="T573" s="153" t="n"/>
      <c r="U573" s="153" t="n"/>
      <c r="V573" s="153" t="n"/>
      <c r="W573" s="153" t="n"/>
      <c r="X573" s="153" t="n"/>
      <c r="Y573" s="153" t="n"/>
      <c r="Z573" s="153" t="n"/>
    </row>
    <row r="574" ht="15.75" customHeight="1" s="154">
      <c r="L574" s="153" t="n"/>
      <c r="M574" s="153" t="n"/>
      <c r="N574" s="153" t="n"/>
      <c r="O574" s="153" t="n"/>
      <c r="P574" s="153" t="n"/>
      <c r="Q574" s="153" t="n"/>
      <c r="R574" s="153" t="n"/>
      <c r="S574" s="153" t="n"/>
      <c r="T574" s="153" t="n"/>
      <c r="U574" s="153" t="n"/>
      <c r="V574" s="153" t="n"/>
      <c r="W574" s="153" t="n"/>
      <c r="X574" s="153" t="n"/>
      <c r="Y574" s="153" t="n"/>
      <c r="Z574" s="153" t="n"/>
    </row>
    <row r="575" ht="15.75" customHeight="1" s="154">
      <c r="L575" s="153" t="n"/>
      <c r="M575" s="153" t="n"/>
      <c r="N575" s="153" t="n"/>
      <c r="O575" s="153" t="n"/>
      <c r="P575" s="153" t="n"/>
      <c r="Q575" s="153" t="n"/>
      <c r="R575" s="153" t="n"/>
      <c r="S575" s="153" t="n"/>
      <c r="T575" s="153" t="n"/>
      <c r="U575" s="153" t="n"/>
      <c r="V575" s="153" t="n"/>
      <c r="W575" s="153" t="n"/>
      <c r="X575" s="153" t="n"/>
      <c r="Y575" s="153" t="n"/>
      <c r="Z575" s="153" t="n"/>
    </row>
    <row r="576" ht="15.75" customHeight="1" s="154">
      <c r="L576" s="153" t="n"/>
      <c r="M576" s="153" t="n"/>
      <c r="N576" s="153" t="n"/>
      <c r="O576" s="153" t="n"/>
      <c r="P576" s="153" t="n"/>
      <c r="Q576" s="153" t="n"/>
      <c r="R576" s="153" t="n"/>
      <c r="S576" s="153" t="n"/>
      <c r="T576" s="153" t="n"/>
      <c r="U576" s="153" t="n"/>
      <c r="V576" s="153" t="n"/>
      <c r="W576" s="153" t="n"/>
      <c r="X576" s="153" t="n"/>
      <c r="Y576" s="153" t="n"/>
      <c r="Z576" s="153" t="n"/>
    </row>
    <row r="577" ht="15.75" customHeight="1" s="154">
      <c r="L577" s="153" t="n"/>
      <c r="M577" s="153" t="n"/>
      <c r="N577" s="153" t="n"/>
      <c r="O577" s="153" t="n"/>
      <c r="P577" s="153" t="n"/>
      <c r="Q577" s="153" t="n"/>
      <c r="R577" s="153" t="n"/>
      <c r="S577" s="153" t="n"/>
      <c r="T577" s="153" t="n"/>
      <c r="U577" s="153" t="n"/>
      <c r="V577" s="153" t="n"/>
      <c r="W577" s="153" t="n"/>
      <c r="X577" s="153" t="n"/>
      <c r="Y577" s="153" t="n"/>
      <c r="Z577" s="153" t="n"/>
    </row>
    <row r="578" ht="15.75" customHeight="1" s="154">
      <c r="L578" s="153" t="n"/>
      <c r="M578" s="153" t="n"/>
      <c r="N578" s="153" t="n"/>
      <c r="O578" s="153" t="n"/>
      <c r="P578" s="153" t="n"/>
      <c r="Q578" s="153" t="n"/>
      <c r="R578" s="153" t="n"/>
      <c r="S578" s="153" t="n"/>
      <c r="T578" s="153" t="n"/>
      <c r="U578" s="153" t="n"/>
      <c r="V578" s="153" t="n"/>
      <c r="W578" s="153" t="n"/>
      <c r="X578" s="153" t="n"/>
      <c r="Y578" s="153" t="n"/>
      <c r="Z578" s="153" t="n"/>
    </row>
    <row r="579" ht="15.75" customHeight="1" s="154">
      <c r="L579" s="153" t="n"/>
      <c r="M579" s="153" t="n"/>
      <c r="N579" s="153" t="n"/>
      <c r="O579" s="153" t="n"/>
      <c r="P579" s="153" t="n"/>
      <c r="Q579" s="153" t="n"/>
      <c r="R579" s="153" t="n"/>
      <c r="S579" s="153" t="n"/>
      <c r="T579" s="153" t="n"/>
      <c r="U579" s="153" t="n"/>
      <c r="V579" s="153" t="n"/>
      <c r="W579" s="153" t="n"/>
      <c r="X579" s="153" t="n"/>
      <c r="Y579" s="153" t="n"/>
      <c r="Z579" s="153" t="n"/>
    </row>
    <row r="580" ht="15.75" customHeight="1" s="154">
      <c r="L580" s="153" t="n"/>
      <c r="M580" s="153" t="n"/>
      <c r="N580" s="153" t="n"/>
      <c r="O580" s="153" t="n"/>
      <c r="P580" s="153" t="n"/>
      <c r="Q580" s="153" t="n"/>
      <c r="R580" s="153" t="n"/>
      <c r="S580" s="153" t="n"/>
      <c r="T580" s="153" t="n"/>
      <c r="U580" s="153" t="n"/>
      <c r="V580" s="153" t="n"/>
      <c r="W580" s="153" t="n"/>
      <c r="X580" s="153" t="n"/>
      <c r="Y580" s="153" t="n"/>
      <c r="Z580" s="153" t="n"/>
    </row>
    <row r="581" ht="15.75" customHeight="1" s="154">
      <c r="L581" s="153" t="n"/>
      <c r="M581" s="153" t="n"/>
      <c r="N581" s="153" t="n"/>
      <c r="O581" s="153" t="n"/>
      <c r="P581" s="153" t="n"/>
      <c r="Q581" s="153" t="n"/>
      <c r="R581" s="153" t="n"/>
      <c r="S581" s="153" t="n"/>
      <c r="T581" s="153" t="n"/>
      <c r="U581" s="153" t="n"/>
      <c r="V581" s="153" t="n"/>
      <c r="W581" s="153" t="n"/>
      <c r="X581" s="153" t="n"/>
      <c r="Y581" s="153" t="n"/>
      <c r="Z581" s="153" t="n"/>
    </row>
    <row r="582" ht="15.75" customHeight="1" s="154">
      <c r="L582" s="153" t="n"/>
      <c r="M582" s="153" t="n"/>
      <c r="N582" s="153" t="n"/>
      <c r="O582" s="153" t="n"/>
      <c r="P582" s="153" t="n"/>
      <c r="Q582" s="153" t="n"/>
      <c r="R582" s="153" t="n"/>
      <c r="S582" s="153" t="n"/>
      <c r="T582" s="153" t="n"/>
      <c r="U582" s="153" t="n"/>
      <c r="V582" s="153" t="n"/>
      <c r="W582" s="153" t="n"/>
      <c r="X582" s="153" t="n"/>
      <c r="Y582" s="153" t="n"/>
      <c r="Z582" s="153" t="n"/>
    </row>
    <row r="583" ht="15.75" customHeight="1" s="154">
      <c r="L583" s="153" t="n"/>
      <c r="M583" s="153" t="n"/>
      <c r="N583" s="153" t="n"/>
      <c r="O583" s="153" t="n"/>
      <c r="P583" s="153" t="n"/>
      <c r="Q583" s="153" t="n"/>
      <c r="R583" s="153" t="n"/>
      <c r="S583" s="153" t="n"/>
      <c r="T583" s="153" t="n"/>
      <c r="U583" s="153" t="n"/>
      <c r="V583" s="153" t="n"/>
      <c r="W583" s="153" t="n"/>
      <c r="X583" s="153" t="n"/>
      <c r="Y583" s="153" t="n"/>
      <c r="Z583" s="153" t="n"/>
    </row>
    <row r="584" ht="15.75" customHeight="1" s="154">
      <c r="L584" s="153" t="n"/>
      <c r="M584" s="153" t="n"/>
      <c r="N584" s="153" t="n"/>
      <c r="O584" s="153" t="n"/>
      <c r="P584" s="153" t="n"/>
      <c r="Q584" s="153" t="n"/>
      <c r="R584" s="153" t="n"/>
      <c r="S584" s="153" t="n"/>
      <c r="T584" s="153" t="n"/>
      <c r="U584" s="153" t="n"/>
      <c r="V584" s="153" t="n"/>
      <c r="W584" s="153" t="n"/>
      <c r="X584" s="153" t="n"/>
      <c r="Y584" s="153" t="n"/>
      <c r="Z584" s="153" t="n"/>
    </row>
    <row r="585" ht="15.75" customHeight="1" s="154">
      <c r="L585" s="153" t="n"/>
      <c r="M585" s="153" t="n"/>
      <c r="N585" s="153" t="n"/>
      <c r="O585" s="153" t="n"/>
      <c r="P585" s="153" t="n"/>
      <c r="Q585" s="153" t="n"/>
      <c r="R585" s="153" t="n"/>
      <c r="S585" s="153" t="n"/>
      <c r="T585" s="153" t="n"/>
      <c r="U585" s="153" t="n"/>
      <c r="V585" s="153" t="n"/>
      <c r="W585" s="153" t="n"/>
      <c r="X585" s="153" t="n"/>
      <c r="Y585" s="153" t="n"/>
      <c r="Z585" s="153" t="n"/>
    </row>
    <row r="586" ht="15.75" customHeight="1" s="154">
      <c r="L586" s="153" t="n"/>
      <c r="M586" s="153" t="n"/>
      <c r="N586" s="153" t="n"/>
      <c r="O586" s="153" t="n"/>
      <c r="P586" s="153" t="n"/>
      <c r="Q586" s="153" t="n"/>
      <c r="R586" s="153" t="n"/>
      <c r="S586" s="153" t="n"/>
      <c r="T586" s="153" t="n"/>
      <c r="U586" s="153" t="n"/>
      <c r="V586" s="153" t="n"/>
      <c r="W586" s="153" t="n"/>
      <c r="X586" s="153" t="n"/>
      <c r="Y586" s="153" t="n"/>
      <c r="Z586" s="153" t="n"/>
    </row>
    <row r="587" ht="15.75" customHeight="1" s="154">
      <c r="L587" s="153" t="n"/>
      <c r="M587" s="153" t="n"/>
      <c r="N587" s="153" t="n"/>
      <c r="O587" s="153" t="n"/>
      <c r="P587" s="153" t="n"/>
      <c r="Q587" s="153" t="n"/>
      <c r="R587" s="153" t="n"/>
      <c r="S587" s="153" t="n"/>
      <c r="T587" s="153" t="n"/>
      <c r="U587" s="153" t="n"/>
      <c r="V587" s="153" t="n"/>
      <c r="W587" s="153" t="n"/>
      <c r="X587" s="153" t="n"/>
      <c r="Y587" s="153" t="n"/>
      <c r="Z587" s="153" t="n"/>
    </row>
    <row r="588" ht="15.75" customHeight="1" s="154">
      <c r="L588" s="153" t="n"/>
      <c r="M588" s="153" t="n"/>
      <c r="N588" s="153" t="n"/>
      <c r="O588" s="153" t="n"/>
      <c r="P588" s="153" t="n"/>
      <c r="Q588" s="153" t="n"/>
      <c r="R588" s="153" t="n"/>
      <c r="S588" s="153" t="n"/>
      <c r="T588" s="153" t="n"/>
      <c r="U588" s="153" t="n"/>
      <c r="V588" s="153" t="n"/>
      <c r="W588" s="153" t="n"/>
      <c r="X588" s="153" t="n"/>
      <c r="Y588" s="153" t="n"/>
      <c r="Z588" s="153" t="n"/>
    </row>
    <row r="589" ht="15.75" customHeight="1" s="154">
      <c r="L589" s="153" t="n"/>
      <c r="M589" s="153" t="n"/>
      <c r="N589" s="153" t="n"/>
      <c r="O589" s="153" t="n"/>
      <c r="P589" s="153" t="n"/>
      <c r="Q589" s="153" t="n"/>
      <c r="R589" s="153" t="n"/>
      <c r="S589" s="153" t="n"/>
      <c r="T589" s="153" t="n"/>
      <c r="U589" s="153" t="n"/>
      <c r="V589" s="153" t="n"/>
      <c r="W589" s="153" t="n"/>
      <c r="X589" s="153" t="n"/>
      <c r="Y589" s="153" t="n"/>
      <c r="Z589" s="153" t="n"/>
    </row>
    <row r="590" ht="15.75" customHeight="1" s="154">
      <c r="L590" s="153" t="n"/>
      <c r="M590" s="153" t="n"/>
      <c r="N590" s="153" t="n"/>
      <c r="O590" s="153" t="n"/>
      <c r="P590" s="153" t="n"/>
      <c r="Q590" s="153" t="n"/>
      <c r="R590" s="153" t="n"/>
      <c r="S590" s="153" t="n"/>
      <c r="T590" s="153" t="n"/>
      <c r="U590" s="153" t="n"/>
      <c r="V590" s="153" t="n"/>
      <c r="W590" s="153" t="n"/>
      <c r="X590" s="153" t="n"/>
      <c r="Y590" s="153" t="n"/>
      <c r="Z590" s="153" t="n"/>
    </row>
    <row r="591" ht="15.75" customHeight="1" s="154">
      <c r="L591" s="153" t="n"/>
      <c r="M591" s="153" t="n"/>
      <c r="N591" s="153" t="n"/>
      <c r="O591" s="153" t="n"/>
      <c r="P591" s="153" t="n"/>
      <c r="Q591" s="153" t="n"/>
      <c r="R591" s="153" t="n"/>
      <c r="S591" s="153" t="n"/>
      <c r="T591" s="153" t="n"/>
      <c r="U591" s="153" t="n"/>
      <c r="V591" s="153" t="n"/>
      <c r="W591" s="153" t="n"/>
      <c r="X591" s="153" t="n"/>
      <c r="Y591" s="153" t="n"/>
      <c r="Z591" s="153" t="n"/>
    </row>
    <row r="592" ht="15.75" customHeight="1" s="154">
      <c r="L592" s="153" t="n"/>
      <c r="M592" s="153" t="n"/>
      <c r="N592" s="153" t="n"/>
      <c r="O592" s="153" t="n"/>
      <c r="P592" s="153" t="n"/>
      <c r="Q592" s="153" t="n"/>
      <c r="R592" s="153" t="n"/>
      <c r="S592" s="153" t="n"/>
      <c r="T592" s="153" t="n"/>
      <c r="U592" s="153" t="n"/>
      <c r="V592" s="153" t="n"/>
      <c r="W592" s="153" t="n"/>
      <c r="X592" s="153" t="n"/>
      <c r="Y592" s="153" t="n"/>
      <c r="Z592" s="153" t="n"/>
    </row>
    <row r="593" ht="15.75" customHeight="1" s="154">
      <c r="L593" s="153" t="n"/>
      <c r="M593" s="153" t="n"/>
      <c r="N593" s="153" t="n"/>
      <c r="O593" s="153" t="n"/>
      <c r="P593" s="153" t="n"/>
      <c r="Q593" s="153" t="n"/>
      <c r="R593" s="153" t="n"/>
      <c r="S593" s="153" t="n"/>
      <c r="T593" s="153" t="n"/>
      <c r="U593" s="153" t="n"/>
      <c r="V593" s="153" t="n"/>
      <c r="W593" s="153" t="n"/>
      <c r="X593" s="153" t="n"/>
      <c r="Y593" s="153" t="n"/>
      <c r="Z593" s="153" t="n"/>
    </row>
    <row r="594" ht="15.75" customHeight="1" s="154">
      <c r="L594" s="153" t="n"/>
      <c r="M594" s="153" t="n"/>
      <c r="N594" s="153" t="n"/>
      <c r="O594" s="153" t="n"/>
      <c r="P594" s="153" t="n"/>
      <c r="Q594" s="153" t="n"/>
      <c r="R594" s="153" t="n"/>
      <c r="S594" s="153" t="n"/>
      <c r="T594" s="153" t="n"/>
      <c r="U594" s="153" t="n"/>
      <c r="V594" s="153" t="n"/>
      <c r="W594" s="153" t="n"/>
      <c r="X594" s="153" t="n"/>
      <c r="Y594" s="153" t="n"/>
      <c r="Z594" s="153" t="n"/>
    </row>
    <row r="595" ht="15.75" customHeight="1" s="154">
      <c r="L595" s="153" t="n"/>
      <c r="M595" s="153" t="n"/>
      <c r="N595" s="153" t="n"/>
      <c r="O595" s="153" t="n"/>
      <c r="P595" s="153" t="n"/>
      <c r="Q595" s="153" t="n"/>
      <c r="R595" s="153" t="n"/>
      <c r="S595" s="153" t="n"/>
      <c r="T595" s="153" t="n"/>
      <c r="U595" s="153" t="n"/>
      <c r="V595" s="153" t="n"/>
      <c r="W595" s="153" t="n"/>
      <c r="X595" s="153" t="n"/>
      <c r="Y595" s="153" t="n"/>
      <c r="Z595" s="153" t="n"/>
    </row>
    <row r="596" ht="15.75" customHeight="1" s="154">
      <c r="L596" s="153" t="n"/>
      <c r="M596" s="153" t="n"/>
      <c r="N596" s="153" t="n"/>
      <c r="O596" s="153" t="n"/>
      <c r="P596" s="153" t="n"/>
      <c r="Q596" s="153" t="n"/>
      <c r="R596" s="153" t="n"/>
      <c r="S596" s="153" t="n"/>
      <c r="T596" s="153" t="n"/>
      <c r="U596" s="153" t="n"/>
      <c r="V596" s="153" t="n"/>
      <c r="W596" s="153" t="n"/>
      <c r="X596" s="153" t="n"/>
      <c r="Y596" s="153" t="n"/>
      <c r="Z596" s="153" t="n"/>
    </row>
    <row r="597" ht="15.75" customHeight="1" s="154">
      <c r="L597" s="153" t="n"/>
      <c r="M597" s="153" t="n"/>
      <c r="N597" s="153" t="n"/>
      <c r="O597" s="153" t="n"/>
      <c r="P597" s="153" t="n"/>
      <c r="Q597" s="153" t="n"/>
      <c r="R597" s="153" t="n"/>
      <c r="S597" s="153" t="n"/>
      <c r="T597" s="153" t="n"/>
      <c r="U597" s="153" t="n"/>
      <c r="V597" s="153" t="n"/>
      <c r="W597" s="153" t="n"/>
      <c r="X597" s="153" t="n"/>
      <c r="Y597" s="153" t="n"/>
      <c r="Z597" s="153" t="n"/>
    </row>
    <row r="598" ht="15.75" customHeight="1" s="154">
      <c r="L598" s="153" t="n"/>
      <c r="M598" s="153" t="n"/>
      <c r="N598" s="153" t="n"/>
      <c r="O598" s="153" t="n"/>
      <c r="P598" s="153" t="n"/>
      <c r="Q598" s="153" t="n"/>
      <c r="R598" s="153" t="n"/>
      <c r="S598" s="153" t="n"/>
      <c r="T598" s="153" t="n"/>
      <c r="U598" s="153" t="n"/>
      <c r="V598" s="153" t="n"/>
      <c r="W598" s="153" t="n"/>
      <c r="X598" s="153" t="n"/>
      <c r="Y598" s="153" t="n"/>
      <c r="Z598" s="153" t="n"/>
    </row>
    <row r="599" ht="15.75" customHeight="1" s="154">
      <c r="L599" s="153" t="n"/>
      <c r="M599" s="153" t="n"/>
      <c r="N599" s="153" t="n"/>
      <c r="O599" s="153" t="n"/>
      <c r="P599" s="153" t="n"/>
      <c r="Q599" s="153" t="n"/>
      <c r="R599" s="153" t="n"/>
      <c r="S599" s="153" t="n"/>
      <c r="T599" s="153" t="n"/>
      <c r="U599" s="153" t="n"/>
      <c r="V599" s="153" t="n"/>
      <c r="W599" s="153" t="n"/>
      <c r="X599" s="153" t="n"/>
      <c r="Y599" s="153" t="n"/>
      <c r="Z599" s="153" t="n"/>
    </row>
    <row r="600" ht="15.75" customHeight="1" s="154">
      <c r="L600" s="153" t="n"/>
      <c r="M600" s="153" t="n"/>
      <c r="N600" s="153" t="n"/>
      <c r="O600" s="153" t="n"/>
      <c r="P600" s="153" t="n"/>
      <c r="Q600" s="153" t="n"/>
      <c r="R600" s="153" t="n"/>
      <c r="S600" s="153" t="n"/>
      <c r="T600" s="153" t="n"/>
      <c r="U600" s="153" t="n"/>
      <c r="V600" s="153" t="n"/>
      <c r="W600" s="153" t="n"/>
      <c r="X600" s="153" t="n"/>
      <c r="Y600" s="153" t="n"/>
      <c r="Z600" s="153" t="n"/>
    </row>
    <row r="601" ht="15.75" customHeight="1" s="154">
      <c r="L601" s="153" t="n"/>
      <c r="M601" s="153" t="n"/>
      <c r="N601" s="153" t="n"/>
      <c r="O601" s="153" t="n"/>
      <c r="P601" s="153" t="n"/>
      <c r="Q601" s="153" t="n"/>
      <c r="R601" s="153" t="n"/>
      <c r="S601" s="153" t="n"/>
      <c r="T601" s="153" t="n"/>
      <c r="U601" s="153" t="n"/>
      <c r="V601" s="153" t="n"/>
      <c r="W601" s="153" t="n"/>
      <c r="X601" s="153" t="n"/>
      <c r="Y601" s="153" t="n"/>
      <c r="Z601" s="153" t="n"/>
    </row>
    <row r="602" ht="15.75" customHeight="1" s="154">
      <c r="L602" s="153" t="n"/>
      <c r="M602" s="153" t="n"/>
      <c r="N602" s="153" t="n"/>
      <c r="O602" s="153" t="n"/>
      <c r="P602" s="153" t="n"/>
      <c r="Q602" s="153" t="n"/>
      <c r="R602" s="153" t="n"/>
      <c r="S602" s="153" t="n"/>
      <c r="T602" s="153" t="n"/>
      <c r="U602" s="153" t="n"/>
      <c r="V602" s="153" t="n"/>
      <c r="W602" s="153" t="n"/>
      <c r="X602" s="153" t="n"/>
      <c r="Y602" s="153" t="n"/>
      <c r="Z602" s="153" t="n"/>
    </row>
    <row r="603" ht="15.75" customHeight="1" s="154">
      <c r="L603" s="153" t="n"/>
      <c r="M603" s="153" t="n"/>
      <c r="N603" s="153" t="n"/>
      <c r="O603" s="153" t="n"/>
      <c r="P603" s="153" t="n"/>
      <c r="Q603" s="153" t="n"/>
      <c r="R603" s="153" t="n"/>
      <c r="S603" s="153" t="n"/>
      <c r="T603" s="153" t="n"/>
      <c r="U603" s="153" t="n"/>
      <c r="V603" s="153" t="n"/>
      <c r="W603" s="153" t="n"/>
      <c r="X603" s="153" t="n"/>
      <c r="Y603" s="153" t="n"/>
      <c r="Z603" s="153" t="n"/>
    </row>
    <row r="604" ht="15.75" customHeight="1" s="154">
      <c r="L604" s="153" t="n"/>
      <c r="M604" s="153" t="n"/>
      <c r="N604" s="153" t="n"/>
      <c r="O604" s="153" t="n"/>
      <c r="P604" s="153" t="n"/>
      <c r="Q604" s="153" t="n"/>
      <c r="R604" s="153" t="n"/>
      <c r="S604" s="153" t="n"/>
      <c r="T604" s="153" t="n"/>
      <c r="U604" s="153" t="n"/>
      <c r="V604" s="153" t="n"/>
      <c r="W604" s="153" t="n"/>
      <c r="X604" s="153" t="n"/>
      <c r="Y604" s="153" t="n"/>
      <c r="Z604" s="153" t="n"/>
    </row>
    <row r="605" ht="15.75" customHeight="1" s="154">
      <c r="L605" s="153" t="n"/>
      <c r="M605" s="153" t="n"/>
      <c r="N605" s="153" t="n"/>
      <c r="O605" s="153" t="n"/>
      <c r="P605" s="153" t="n"/>
      <c r="Q605" s="153" t="n"/>
      <c r="R605" s="153" t="n"/>
      <c r="S605" s="153" t="n"/>
      <c r="T605" s="153" t="n"/>
      <c r="U605" s="153" t="n"/>
      <c r="V605" s="153" t="n"/>
      <c r="W605" s="153" t="n"/>
      <c r="X605" s="153" t="n"/>
      <c r="Y605" s="153" t="n"/>
      <c r="Z605" s="153" t="n"/>
    </row>
    <row r="606" ht="15.75" customHeight="1" s="154">
      <c r="L606" s="153" t="n"/>
      <c r="M606" s="153" t="n"/>
      <c r="N606" s="153" t="n"/>
      <c r="O606" s="153" t="n"/>
      <c r="P606" s="153" t="n"/>
      <c r="Q606" s="153" t="n"/>
      <c r="R606" s="153" t="n"/>
      <c r="S606" s="153" t="n"/>
      <c r="T606" s="153" t="n"/>
      <c r="U606" s="153" t="n"/>
      <c r="V606" s="153" t="n"/>
      <c r="W606" s="153" t="n"/>
      <c r="X606" s="153" t="n"/>
      <c r="Y606" s="153" t="n"/>
      <c r="Z606" s="153" t="n"/>
    </row>
    <row r="607" ht="15.75" customHeight="1" s="154">
      <c r="L607" s="153" t="n"/>
      <c r="M607" s="153" t="n"/>
      <c r="N607" s="153" t="n"/>
      <c r="O607" s="153" t="n"/>
      <c r="P607" s="153" t="n"/>
      <c r="Q607" s="153" t="n"/>
      <c r="R607" s="153" t="n"/>
      <c r="S607" s="153" t="n"/>
      <c r="T607" s="153" t="n"/>
      <c r="U607" s="153" t="n"/>
      <c r="V607" s="153" t="n"/>
      <c r="W607" s="153" t="n"/>
      <c r="X607" s="153" t="n"/>
      <c r="Y607" s="153" t="n"/>
      <c r="Z607" s="153" t="n"/>
    </row>
    <row r="608" ht="15.75" customHeight="1" s="154">
      <c r="L608" s="153" t="n"/>
      <c r="M608" s="153" t="n"/>
      <c r="N608" s="153" t="n"/>
      <c r="O608" s="153" t="n"/>
      <c r="P608" s="153" t="n"/>
      <c r="Q608" s="153" t="n"/>
      <c r="R608" s="153" t="n"/>
      <c r="S608" s="153" t="n"/>
      <c r="T608" s="153" t="n"/>
      <c r="U608" s="153" t="n"/>
      <c r="V608" s="153" t="n"/>
      <c r="W608" s="153" t="n"/>
      <c r="X608" s="153" t="n"/>
      <c r="Y608" s="153" t="n"/>
      <c r="Z608" s="153" t="n"/>
    </row>
    <row r="609" ht="15.75" customHeight="1" s="154">
      <c r="L609" s="153" t="n"/>
      <c r="M609" s="153" t="n"/>
      <c r="N609" s="153" t="n"/>
      <c r="O609" s="153" t="n"/>
      <c r="P609" s="153" t="n"/>
      <c r="Q609" s="153" t="n"/>
      <c r="R609" s="153" t="n"/>
      <c r="S609" s="153" t="n"/>
      <c r="T609" s="153" t="n"/>
      <c r="U609" s="153" t="n"/>
      <c r="V609" s="153" t="n"/>
      <c r="W609" s="153" t="n"/>
      <c r="X609" s="153" t="n"/>
      <c r="Y609" s="153" t="n"/>
      <c r="Z609" s="153" t="n"/>
    </row>
    <row r="610" ht="15.75" customHeight="1" s="154">
      <c r="L610" s="153" t="n"/>
      <c r="M610" s="153" t="n"/>
      <c r="N610" s="153" t="n"/>
      <c r="O610" s="153" t="n"/>
      <c r="P610" s="153" t="n"/>
      <c r="Q610" s="153" t="n"/>
      <c r="R610" s="153" t="n"/>
      <c r="S610" s="153" t="n"/>
      <c r="T610" s="153" t="n"/>
      <c r="U610" s="153" t="n"/>
      <c r="V610" s="153" t="n"/>
      <c r="W610" s="153" t="n"/>
      <c r="X610" s="153" t="n"/>
      <c r="Y610" s="153" t="n"/>
      <c r="Z610" s="153" t="n"/>
    </row>
    <row r="611" ht="15.75" customHeight="1" s="154">
      <c r="L611" s="153" t="n"/>
      <c r="M611" s="153" t="n"/>
      <c r="N611" s="153" t="n"/>
      <c r="O611" s="153" t="n"/>
      <c r="P611" s="153" t="n"/>
      <c r="Q611" s="153" t="n"/>
      <c r="R611" s="153" t="n"/>
      <c r="S611" s="153" t="n"/>
      <c r="T611" s="153" t="n"/>
      <c r="U611" s="153" t="n"/>
      <c r="V611" s="153" t="n"/>
      <c r="W611" s="153" t="n"/>
      <c r="X611" s="153" t="n"/>
      <c r="Y611" s="153" t="n"/>
      <c r="Z611" s="153" t="n"/>
    </row>
    <row r="612" ht="15.75" customHeight="1" s="154">
      <c r="L612" s="153" t="n"/>
      <c r="M612" s="153" t="n"/>
      <c r="N612" s="153" t="n"/>
      <c r="O612" s="153" t="n"/>
      <c r="P612" s="153" t="n"/>
      <c r="Q612" s="153" t="n"/>
      <c r="R612" s="153" t="n"/>
      <c r="S612" s="153" t="n"/>
      <c r="T612" s="153" t="n"/>
      <c r="U612" s="153" t="n"/>
      <c r="V612" s="153" t="n"/>
      <c r="W612" s="153" t="n"/>
      <c r="X612" s="153" t="n"/>
      <c r="Y612" s="153" t="n"/>
      <c r="Z612" s="153" t="n"/>
    </row>
    <row r="613" ht="15.75" customHeight="1" s="154">
      <c r="L613" s="153" t="n"/>
      <c r="M613" s="153" t="n"/>
      <c r="N613" s="153" t="n"/>
      <c r="O613" s="153" t="n"/>
      <c r="P613" s="153" t="n"/>
      <c r="Q613" s="153" t="n"/>
      <c r="R613" s="153" t="n"/>
      <c r="S613" s="153" t="n"/>
      <c r="T613" s="153" t="n"/>
      <c r="U613" s="153" t="n"/>
      <c r="V613" s="153" t="n"/>
      <c r="W613" s="153" t="n"/>
      <c r="X613" s="153" t="n"/>
      <c r="Y613" s="153" t="n"/>
      <c r="Z613" s="153" t="n"/>
    </row>
    <row r="614" ht="15.75" customHeight="1" s="154">
      <c r="L614" s="153" t="n"/>
      <c r="M614" s="153" t="n"/>
      <c r="N614" s="153" t="n"/>
      <c r="O614" s="153" t="n"/>
      <c r="P614" s="153" t="n"/>
      <c r="Q614" s="153" t="n"/>
      <c r="R614" s="153" t="n"/>
      <c r="S614" s="153" t="n"/>
      <c r="T614" s="153" t="n"/>
      <c r="U614" s="153" t="n"/>
      <c r="V614" s="153" t="n"/>
      <c r="W614" s="153" t="n"/>
      <c r="X614" s="153" t="n"/>
      <c r="Y614" s="153" t="n"/>
      <c r="Z614" s="153" t="n"/>
    </row>
    <row r="615" ht="15.75" customHeight="1" s="154">
      <c r="L615" s="153" t="n"/>
      <c r="M615" s="153" t="n"/>
      <c r="N615" s="153" t="n"/>
      <c r="O615" s="153" t="n"/>
      <c r="P615" s="153" t="n"/>
      <c r="Q615" s="153" t="n"/>
      <c r="R615" s="153" t="n"/>
      <c r="S615" s="153" t="n"/>
      <c r="T615" s="153" t="n"/>
      <c r="U615" s="153" t="n"/>
      <c r="V615" s="153" t="n"/>
      <c r="W615" s="153" t="n"/>
      <c r="X615" s="153" t="n"/>
      <c r="Y615" s="153" t="n"/>
      <c r="Z615" s="153" t="n"/>
    </row>
    <row r="616" ht="15.75" customHeight="1" s="154">
      <c r="L616" s="153" t="n"/>
      <c r="M616" s="153" t="n"/>
      <c r="N616" s="153" t="n"/>
      <c r="O616" s="153" t="n"/>
      <c r="P616" s="153" t="n"/>
      <c r="Q616" s="153" t="n"/>
      <c r="R616" s="153" t="n"/>
      <c r="S616" s="153" t="n"/>
      <c r="T616" s="153" t="n"/>
      <c r="U616" s="153" t="n"/>
      <c r="V616" s="153" t="n"/>
      <c r="W616" s="153" t="n"/>
      <c r="X616" s="153" t="n"/>
      <c r="Y616" s="153" t="n"/>
      <c r="Z616" s="153" t="n"/>
    </row>
    <row r="617" ht="15.75" customHeight="1" s="154">
      <c r="L617" s="153" t="n"/>
      <c r="M617" s="153" t="n"/>
      <c r="N617" s="153" t="n"/>
      <c r="O617" s="153" t="n"/>
      <c r="P617" s="153" t="n"/>
      <c r="Q617" s="153" t="n"/>
      <c r="R617" s="153" t="n"/>
      <c r="S617" s="153" t="n"/>
      <c r="T617" s="153" t="n"/>
      <c r="U617" s="153" t="n"/>
      <c r="V617" s="153" t="n"/>
      <c r="W617" s="153" t="n"/>
      <c r="X617" s="153" t="n"/>
      <c r="Y617" s="153" t="n"/>
      <c r="Z617" s="153" t="n"/>
    </row>
    <row r="618" ht="15.75" customHeight="1" s="154">
      <c r="L618" s="153" t="n"/>
      <c r="M618" s="153" t="n"/>
      <c r="N618" s="153" t="n"/>
      <c r="O618" s="153" t="n"/>
      <c r="P618" s="153" t="n"/>
      <c r="Q618" s="153" t="n"/>
      <c r="R618" s="153" t="n"/>
      <c r="S618" s="153" t="n"/>
      <c r="T618" s="153" t="n"/>
      <c r="U618" s="153" t="n"/>
      <c r="V618" s="153" t="n"/>
      <c r="W618" s="153" t="n"/>
      <c r="X618" s="153" t="n"/>
      <c r="Y618" s="153" t="n"/>
      <c r="Z618" s="153" t="n"/>
    </row>
    <row r="619" ht="15.75" customHeight="1" s="154">
      <c r="L619" s="153" t="n"/>
      <c r="M619" s="153" t="n"/>
      <c r="N619" s="153" t="n"/>
      <c r="O619" s="153" t="n"/>
      <c r="P619" s="153" t="n"/>
      <c r="Q619" s="153" t="n"/>
      <c r="R619" s="153" t="n"/>
      <c r="S619" s="153" t="n"/>
      <c r="T619" s="153" t="n"/>
      <c r="U619" s="153" t="n"/>
      <c r="V619" s="153" t="n"/>
      <c r="W619" s="153" t="n"/>
      <c r="X619" s="153" t="n"/>
      <c r="Y619" s="153" t="n"/>
      <c r="Z619" s="153" t="n"/>
    </row>
    <row r="620" ht="15.75" customHeight="1" s="154">
      <c r="L620" s="153" t="n"/>
      <c r="M620" s="153" t="n"/>
      <c r="N620" s="153" t="n"/>
      <c r="O620" s="153" t="n"/>
      <c r="P620" s="153" t="n"/>
      <c r="Q620" s="153" t="n"/>
      <c r="R620" s="153" t="n"/>
      <c r="S620" s="153" t="n"/>
      <c r="T620" s="153" t="n"/>
      <c r="U620" s="153" t="n"/>
      <c r="V620" s="153" t="n"/>
      <c r="W620" s="153" t="n"/>
      <c r="X620" s="153" t="n"/>
      <c r="Y620" s="153" t="n"/>
      <c r="Z620" s="153" t="n"/>
    </row>
    <row r="621" ht="15.75" customHeight="1" s="154">
      <c r="L621" s="153" t="n"/>
      <c r="M621" s="153" t="n"/>
      <c r="N621" s="153" t="n"/>
      <c r="O621" s="153" t="n"/>
      <c r="P621" s="153" t="n"/>
      <c r="Q621" s="153" t="n"/>
      <c r="R621" s="153" t="n"/>
      <c r="S621" s="153" t="n"/>
      <c r="T621" s="153" t="n"/>
      <c r="U621" s="153" t="n"/>
      <c r="V621" s="153" t="n"/>
      <c r="W621" s="153" t="n"/>
      <c r="X621" s="153" t="n"/>
      <c r="Y621" s="153" t="n"/>
      <c r="Z621" s="153" t="n"/>
    </row>
    <row r="622" ht="15.75" customHeight="1" s="154">
      <c r="L622" s="153" t="n"/>
      <c r="M622" s="153" t="n"/>
      <c r="N622" s="153" t="n"/>
      <c r="O622" s="153" t="n"/>
      <c r="P622" s="153" t="n"/>
      <c r="Q622" s="153" t="n"/>
      <c r="R622" s="153" t="n"/>
      <c r="S622" s="153" t="n"/>
      <c r="T622" s="153" t="n"/>
      <c r="U622" s="153" t="n"/>
      <c r="V622" s="153" t="n"/>
      <c r="W622" s="153" t="n"/>
      <c r="X622" s="153" t="n"/>
      <c r="Y622" s="153" t="n"/>
      <c r="Z622" s="153" t="n"/>
    </row>
    <row r="623" ht="15.75" customHeight="1" s="154">
      <c r="L623" s="153" t="n"/>
      <c r="M623" s="153" t="n"/>
      <c r="N623" s="153" t="n"/>
      <c r="O623" s="153" t="n"/>
      <c r="P623" s="153" t="n"/>
      <c r="Q623" s="153" t="n"/>
      <c r="R623" s="153" t="n"/>
      <c r="S623" s="153" t="n"/>
      <c r="T623" s="153" t="n"/>
      <c r="U623" s="153" t="n"/>
      <c r="V623" s="153" t="n"/>
      <c r="W623" s="153" t="n"/>
      <c r="X623" s="153" t="n"/>
      <c r="Y623" s="153" t="n"/>
      <c r="Z623" s="153" t="n"/>
    </row>
    <row r="624" ht="15.75" customHeight="1" s="154">
      <c r="L624" s="153" t="n"/>
      <c r="M624" s="153" t="n"/>
      <c r="N624" s="153" t="n"/>
      <c r="O624" s="153" t="n"/>
      <c r="P624" s="153" t="n"/>
      <c r="Q624" s="153" t="n"/>
      <c r="R624" s="153" t="n"/>
      <c r="S624" s="153" t="n"/>
      <c r="T624" s="153" t="n"/>
      <c r="U624" s="153" t="n"/>
      <c r="V624" s="153" t="n"/>
      <c r="W624" s="153" t="n"/>
      <c r="X624" s="153" t="n"/>
      <c r="Y624" s="153" t="n"/>
      <c r="Z624" s="153" t="n"/>
    </row>
    <row r="625" ht="15.75" customHeight="1" s="154">
      <c r="L625" s="153" t="n"/>
      <c r="M625" s="153" t="n"/>
      <c r="N625" s="153" t="n"/>
      <c r="O625" s="153" t="n"/>
      <c r="P625" s="153" t="n"/>
      <c r="Q625" s="153" t="n"/>
      <c r="R625" s="153" t="n"/>
      <c r="S625" s="153" t="n"/>
      <c r="T625" s="153" t="n"/>
      <c r="U625" s="153" t="n"/>
      <c r="V625" s="153" t="n"/>
      <c r="W625" s="153" t="n"/>
      <c r="X625" s="153" t="n"/>
      <c r="Y625" s="153" t="n"/>
      <c r="Z625" s="153" t="n"/>
    </row>
    <row r="626" ht="15.75" customHeight="1" s="154">
      <c r="L626" s="153" t="n"/>
      <c r="M626" s="153" t="n"/>
      <c r="N626" s="153" t="n"/>
      <c r="O626" s="153" t="n"/>
      <c r="P626" s="153" t="n"/>
      <c r="Q626" s="153" t="n"/>
      <c r="R626" s="153" t="n"/>
      <c r="S626" s="153" t="n"/>
      <c r="T626" s="153" t="n"/>
      <c r="U626" s="153" t="n"/>
      <c r="V626" s="153" t="n"/>
      <c r="W626" s="153" t="n"/>
      <c r="X626" s="153" t="n"/>
      <c r="Y626" s="153" t="n"/>
      <c r="Z626" s="153" t="n"/>
    </row>
    <row r="627" ht="15.75" customHeight="1" s="154">
      <c r="L627" s="153" t="n"/>
      <c r="M627" s="153" t="n"/>
      <c r="N627" s="153" t="n"/>
      <c r="O627" s="153" t="n"/>
      <c r="P627" s="153" t="n"/>
      <c r="Q627" s="153" t="n"/>
      <c r="R627" s="153" t="n"/>
      <c r="S627" s="153" t="n"/>
      <c r="T627" s="153" t="n"/>
      <c r="U627" s="153" t="n"/>
      <c r="V627" s="153" t="n"/>
      <c r="W627" s="153" t="n"/>
      <c r="X627" s="153" t="n"/>
      <c r="Y627" s="153" t="n"/>
      <c r="Z627" s="153" t="n"/>
    </row>
    <row r="628" ht="15.75" customHeight="1" s="154">
      <c r="L628" s="153" t="n"/>
      <c r="M628" s="153" t="n"/>
      <c r="N628" s="153" t="n"/>
      <c r="O628" s="153" t="n"/>
      <c r="P628" s="153" t="n"/>
      <c r="Q628" s="153" t="n"/>
      <c r="R628" s="153" t="n"/>
      <c r="S628" s="153" t="n"/>
      <c r="T628" s="153" t="n"/>
      <c r="U628" s="153" t="n"/>
      <c r="V628" s="153" t="n"/>
      <c r="W628" s="153" t="n"/>
      <c r="X628" s="153" t="n"/>
      <c r="Y628" s="153" t="n"/>
      <c r="Z628" s="153" t="n"/>
    </row>
    <row r="629" ht="15.75" customHeight="1" s="154">
      <c r="L629" s="153" t="n"/>
      <c r="M629" s="153" t="n"/>
      <c r="N629" s="153" t="n"/>
      <c r="O629" s="153" t="n"/>
      <c r="P629" s="153" t="n"/>
      <c r="Q629" s="153" t="n"/>
      <c r="R629" s="153" t="n"/>
      <c r="S629" s="153" t="n"/>
      <c r="T629" s="153" t="n"/>
      <c r="U629" s="153" t="n"/>
      <c r="V629" s="153" t="n"/>
      <c r="W629" s="153" t="n"/>
      <c r="X629" s="153" t="n"/>
      <c r="Y629" s="153" t="n"/>
      <c r="Z629" s="153" t="n"/>
    </row>
    <row r="630" ht="15.75" customHeight="1" s="154">
      <c r="L630" s="153" t="n"/>
      <c r="M630" s="153" t="n"/>
      <c r="N630" s="153" t="n"/>
      <c r="O630" s="153" t="n"/>
      <c r="P630" s="153" t="n"/>
      <c r="Q630" s="153" t="n"/>
      <c r="R630" s="153" t="n"/>
      <c r="S630" s="153" t="n"/>
      <c r="T630" s="153" t="n"/>
      <c r="U630" s="153" t="n"/>
      <c r="V630" s="153" t="n"/>
      <c r="W630" s="153" t="n"/>
      <c r="X630" s="153" t="n"/>
      <c r="Y630" s="153" t="n"/>
      <c r="Z630" s="153" t="n"/>
    </row>
    <row r="631" ht="15.75" customHeight="1" s="154">
      <c r="L631" s="153" t="n"/>
      <c r="M631" s="153" t="n"/>
      <c r="N631" s="153" t="n"/>
      <c r="O631" s="153" t="n"/>
      <c r="P631" s="153" t="n"/>
      <c r="Q631" s="153" t="n"/>
      <c r="R631" s="153" t="n"/>
      <c r="S631" s="153" t="n"/>
      <c r="T631" s="153" t="n"/>
      <c r="U631" s="153" t="n"/>
      <c r="V631" s="153" t="n"/>
      <c r="W631" s="153" t="n"/>
      <c r="X631" s="153" t="n"/>
      <c r="Y631" s="153" t="n"/>
      <c r="Z631" s="153" t="n"/>
    </row>
    <row r="632" ht="15.75" customHeight="1" s="154">
      <c r="L632" s="153" t="n"/>
      <c r="M632" s="153" t="n"/>
      <c r="N632" s="153" t="n"/>
      <c r="O632" s="153" t="n"/>
      <c r="P632" s="153" t="n"/>
      <c r="Q632" s="153" t="n"/>
      <c r="R632" s="153" t="n"/>
      <c r="S632" s="153" t="n"/>
      <c r="T632" s="153" t="n"/>
      <c r="U632" s="153" t="n"/>
      <c r="V632" s="153" t="n"/>
      <c r="W632" s="153" t="n"/>
      <c r="X632" s="153" t="n"/>
      <c r="Y632" s="153" t="n"/>
      <c r="Z632" s="153" t="n"/>
    </row>
    <row r="633" ht="15.75" customHeight="1" s="154">
      <c r="L633" s="153" t="n"/>
      <c r="M633" s="153" t="n"/>
      <c r="N633" s="153" t="n"/>
      <c r="O633" s="153" t="n"/>
      <c r="P633" s="153" t="n"/>
      <c r="Q633" s="153" t="n"/>
      <c r="R633" s="153" t="n"/>
      <c r="S633" s="153" t="n"/>
      <c r="T633" s="153" t="n"/>
      <c r="U633" s="153" t="n"/>
      <c r="V633" s="153" t="n"/>
      <c r="W633" s="153" t="n"/>
      <c r="X633" s="153" t="n"/>
      <c r="Y633" s="153" t="n"/>
      <c r="Z633" s="153" t="n"/>
    </row>
    <row r="634" ht="15.75" customHeight="1" s="154">
      <c r="L634" s="153" t="n"/>
      <c r="M634" s="153" t="n"/>
      <c r="N634" s="153" t="n"/>
      <c r="O634" s="153" t="n"/>
      <c r="P634" s="153" t="n"/>
      <c r="Q634" s="153" t="n"/>
      <c r="R634" s="153" t="n"/>
      <c r="S634" s="153" t="n"/>
      <c r="T634" s="153" t="n"/>
      <c r="U634" s="153" t="n"/>
      <c r="V634" s="153" t="n"/>
      <c r="W634" s="153" t="n"/>
      <c r="X634" s="153" t="n"/>
      <c r="Y634" s="153" t="n"/>
      <c r="Z634" s="153" t="n"/>
    </row>
    <row r="635" ht="15.75" customHeight="1" s="154">
      <c r="L635" s="153" t="n"/>
      <c r="M635" s="153" t="n"/>
      <c r="N635" s="153" t="n"/>
      <c r="O635" s="153" t="n"/>
      <c r="P635" s="153" t="n"/>
      <c r="Q635" s="153" t="n"/>
      <c r="R635" s="153" t="n"/>
      <c r="S635" s="153" t="n"/>
      <c r="T635" s="153" t="n"/>
      <c r="U635" s="153" t="n"/>
      <c r="V635" s="153" t="n"/>
      <c r="W635" s="153" t="n"/>
      <c r="X635" s="153" t="n"/>
      <c r="Y635" s="153" t="n"/>
      <c r="Z635" s="153" t="n"/>
    </row>
    <row r="636" ht="15.75" customHeight="1" s="154">
      <c r="L636" s="153" t="n"/>
      <c r="M636" s="153" t="n"/>
      <c r="N636" s="153" t="n"/>
      <c r="O636" s="153" t="n"/>
      <c r="P636" s="153" t="n"/>
      <c r="Q636" s="153" t="n"/>
      <c r="R636" s="153" t="n"/>
      <c r="S636" s="153" t="n"/>
      <c r="T636" s="153" t="n"/>
      <c r="U636" s="153" t="n"/>
      <c r="V636" s="153" t="n"/>
      <c r="W636" s="153" t="n"/>
      <c r="X636" s="153" t="n"/>
      <c r="Y636" s="153" t="n"/>
      <c r="Z636" s="153" t="n"/>
    </row>
    <row r="637" ht="15.75" customHeight="1" s="154">
      <c r="L637" s="153" t="n"/>
      <c r="M637" s="153" t="n"/>
      <c r="N637" s="153" t="n"/>
      <c r="O637" s="153" t="n"/>
      <c r="P637" s="153" t="n"/>
      <c r="Q637" s="153" t="n"/>
      <c r="R637" s="153" t="n"/>
      <c r="S637" s="153" t="n"/>
      <c r="T637" s="153" t="n"/>
      <c r="U637" s="153" t="n"/>
      <c r="V637" s="153" t="n"/>
      <c r="W637" s="153" t="n"/>
      <c r="X637" s="153" t="n"/>
      <c r="Y637" s="153" t="n"/>
      <c r="Z637" s="153" t="n"/>
    </row>
    <row r="638" ht="15.75" customHeight="1" s="154">
      <c r="L638" s="153" t="n"/>
      <c r="M638" s="153" t="n"/>
      <c r="N638" s="153" t="n"/>
      <c r="O638" s="153" t="n"/>
      <c r="P638" s="153" t="n"/>
      <c r="Q638" s="153" t="n"/>
      <c r="R638" s="153" t="n"/>
      <c r="S638" s="153" t="n"/>
      <c r="T638" s="153" t="n"/>
      <c r="U638" s="153" t="n"/>
      <c r="V638" s="153" t="n"/>
      <c r="W638" s="153" t="n"/>
      <c r="X638" s="153" t="n"/>
      <c r="Y638" s="153" t="n"/>
      <c r="Z638" s="153" t="n"/>
    </row>
    <row r="639" ht="15.75" customHeight="1" s="154">
      <c r="L639" s="153" t="n"/>
      <c r="M639" s="153" t="n"/>
      <c r="N639" s="153" t="n"/>
      <c r="O639" s="153" t="n"/>
      <c r="P639" s="153" t="n"/>
      <c r="Q639" s="153" t="n"/>
      <c r="R639" s="153" t="n"/>
      <c r="S639" s="153" t="n"/>
      <c r="T639" s="153" t="n"/>
      <c r="U639" s="153" t="n"/>
      <c r="V639" s="153" t="n"/>
      <c r="W639" s="153" t="n"/>
      <c r="X639" s="153" t="n"/>
      <c r="Y639" s="153" t="n"/>
      <c r="Z639" s="153" t="n"/>
    </row>
    <row r="640" ht="15.75" customHeight="1" s="154">
      <c r="L640" s="153" t="n"/>
      <c r="M640" s="153" t="n"/>
      <c r="N640" s="153" t="n"/>
      <c r="O640" s="153" t="n"/>
      <c r="P640" s="153" t="n"/>
      <c r="Q640" s="153" t="n"/>
      <c r="R640" s="153" t="n"/>
      <c r="S640" s="153" t="n"/>
      <c r="T640" s="153" t="n"/>
      <c r="U640" s="153" t="n"/>
      <c r="V640" s="153" t="n"/>
      <c r="W640" s="153" t="n"/>
      <c r="X640" s="153" t="n"/>
      <c r="Y640" s="153" t="n"/>
      <c r="Z640" s="153" t="n"/>
    </row>
    <row r="641" ht="15.75" customHeight="1" s="154">
      <c r="L641" s="153" t="n"/>
      <c r="M641" s="153" t="n"/>
      <c r="N641" s="153" t="n"/>
      <c r="O641" s="153" t="n"/>
      <c r="P641" s="153" t="n"/>
      <c r="Q641" s="153" t="n"/>
      <c r="R641" s="153" t="n"/>
      <c r="S641" s="153" t="n"/>
      <c r="T641" s="153" t="n"/>
      <c r="U641" s="153" t="n"/>
      <c r="V641" s="153" t="n"/>
      <c r="W641" s="153" t="n"/>
      <c r="X641" s="153" t="n"/>
      <c r="Y641" s="153" t="n"/>
      <c r="Z641" s="153" t="n"/>
    </row>
    <row r="642" ht="15.75" customHeight="1" s="154">
      <c r="L642" s="153" t="n"/>
      <c r="M642" s="153" t="n"/>
      <c r="N642" s="153" t="n"/>
      <c r="O642" s="153" t="n"/>
      <c r="P642" s="153" t="n"/>
      <c r="Q642" s="153" t="n"/>
      <c r="R642" s="153" t="n"/>
      <c r="S642" s="153" t="n"/>
      <c r="T642" s="153" t="n"/>
      <c r="U642" s="153" t="n"/>
      <c r="V642" s="153" t="n"/>
      <c r="W642" s="153" t="n"/>
      <c r="X642" s="153" t="n"/>
      <c r="Y642" s="153" t="n"/>
      <c r="Z642" s="153" t="n"/>
    </row>
    <row r="643" ht="15.75" customHeight="1" s="154">
      <c r="L643" s="153" t="n"/>
      <c r="M643" s="153" t="n"/>
      <c r="N643" s="153" t="n"/>
      <c r="O643" s="153" t="n"/>
      <c r="P643" s="153" t="n"/>
      <c r="Q643" s="153" t="n"/>
      <c r="R643" s="153" t="n"/>
      <c r="S643" s="153" t="n"/>
      <c r="T643" s="153" t="n"/>
      <c r="U643" s="153" t="n"/>
      <c r="V643" s="153" t="n"/>
      <c r="W643" s="153" t="n"/>
      <c r="X643" s="153" t="n"/>
      <c r="Y643" s="153" t="n"/>
      <c r="Z643" s="153" t="n"/>
    </row>
    <row r="644" ht="15.75" customHeight="1" s="154">
      <c r="L644" s="153" t="n"/>
      <c r="M644" s="153" t="n"/>
      <c r="N644" s="153" t="n"/>
      <c r="O644" s="153" t="n"/>
      <c r="P644" s="153" t="n"/>
      <c r="Q644" s="153" t="n"/>
      <c r="R644" s="153" t="n"/>
      <c r="S644" s="153" t="n"/>
      <c r="T644" s="153" t="n"/>
      <c r="U644" s="153" t="n"/>
      <c r="V644" s="153" t="n"/>
      <c r="W644" s="153" t="n"/>
      <c r="X644" s="153" t="n"/>
      <c r="Y644" s="153" t="n"/>
      <c r="Z644" s="153" t="n"/>
    </row>
    <row r="645" ht="15.75" customHeight="1" s="154">
      <c r="L645" s="153" t="n"/>
      <c r="M645" s="153" t="n"/>
      <c r="N645" s="153" t="n"/>
      <c r="O645" s="153" t="n"/>
      <c r="P645" s="153" t="n"/>
      <c r="Q645" s="153" t="n"/>
      <c r="R645" s="153" t="n"/>
      <c r="S645" s="153" t="n"/>
      <c r="T645" s="153" t="n"/>
      <c r="U645" s="153" t="n"/>
      <c r="V645" s="153" t="n"/>
      <c r="W645" s="153" t="n"/>
      <c r="X645" s="153" t="n"/>
      <c r="Y645" s="153" t="n"/>
      <c r="Z645" s="153" t="n"/>
    </row>
    <row r="646" ht="15.75" customHeight="1" s="154">
      <c r="L646" s="153" t="n"/>
      <c r="M646" s="153" t="n"/>
      <c r="N646" s="153" t="n"/>
      <c r="O646" s="153" t="n"/>
      <c r="P646" s="153" t="n"/>
      <c r="Q646" s="153" t="n"/>
      <c r="R646" s="153" t="n"/>
      <c r="S646" s="153" t="n"/>
      <c r="T646" s="153" t="n"/>
      <c r="U646" s="153" t="n"/>
      <c r="V646" s="153" t="n"/>
      <c r="W646" s="153" t="n"/>
      <c r="X646" s="153" t="n"/>
      <c r="Y646" s="153" t="n"/>
      <c r="Z646" s="153" t="n"/>
    </row>
    <row r="647" ht="15.75" customHeight="1" s="154">
      <c r="L647" s="153" t="n"/>
      <c r="M647" s="153" t="n"/>
      <c r="N647" s="153" t="n"/>
      <c r="O647" s="153" t="n"/>
      <c r="P647" s="153" t="n"/>
      <c r="Q647" s="153" t="n"/>
      <c r="R647" s="153" t="n"/>
      <c r="S647" s="153" t="n"/>
      <c r="T647" s="153" t="n"/>
      <c r="U647" s="153" t="n"/>
      <c r="V647" s="153" t="n"/>
      <c r="W647" s="153" t="n"/>
      <c r="X647" s="153" t="n"/>
      <c r="Y647" s="153" t="n"/>
      <c r="Z647" s="153" t="n"/>
    </row>
    <row r="648" ht="15.75" customHeight="1" s="154">
      <c r="L648" s="153" t="n"/>
      <c r="M648" s="153" t="n"/>
      <c r="N648" s="153" t="n"/>
      <c r="O648" s="153" t="n"/>
      <c r="P648" s="153" t="n"/>
      <c r="Q648" s="153" t="n"/>
      <c r="R648" s="153" t="n"/>
      <c r="S648" s="153" t="n"/>
      <c r="T648" s="153" t="n"/>
      <c r="U648" s="153" t="n"/>
      <c r="V648" s="153" t="n"/>
      <c r="W648" s="153" t="n"/>
      <c r="X648" s="153" t="n"/>
      <c r="Y648" s="153" t="n"/>
      <c r="Z648" s="153" t="n"/>
    </row>
    <row r="649" ht="15.75" customHeight="1" s="154">
      <c r="L649" s="153" t="n"/>
      <c r="M649" s="153" t="n"/>
      <c r="N649" s="153" t="n"/>
      <c r="O649" s="153" t="n"/>
      <c r="P649" s="153" t="n"/>
      <c r="Q649" s="153" t="n"/>
      <c r="R649" s="153" t="n"/>
      <c r="S649" s="153" t="n"/>
      <c r="T649" s="153" t="n"/>
      <c r="U649" s="153" t="n"/>
      <c r="V649" s="153" t="n"/>
      <c r="W649" s="153" t="n"/>
      <c r="X649" s="153" t="n"/>
      <c r="Y649" s="153" t="n"/>
      <c r="Z649" s="153" t="n"/>
    </row>
    <row r="650" ht="15.75" customHeight="1" s="154">
      <c r="L650" s="153" t="n"/>
      <c r="M650" s="153" t="n"/>
      <c r="N650" s="153" t="n"/>
      <c r="O650" s="153" t="n"/>
      <c r="P650" s="153" t="n"/>
      <c r="Q650" s="153" t="n"/>
      <c r="R650" s="153" t="n"/>
      <c r="S650" s="153" t="n"/>
      <c r="T650" s="153" t="n"/>
      <c r="U650" s="153" t="n"/>
      <c r="V650" s="153" t="n"/>
      <c r="W650" s="153" t="n"/>
      <c r="X650" s="153" t="n"/>
      <c r="Y650" s="153" t="n"/>
      <c r="Z650" s="153" t="n"/>
    </row>
    <row r="651" ht="15.75" customHeight="1" s="154">
      <c r="L651" s="153" t="n"/>
      <c r="M651" s="153" t="n"/>
      <c r="N651" s="153" t="n"/>
      <c r="O651" s="153" t="n"/>
      <c r="P651" s="153" t="n"/>
      <c r="Q651" s="153" t="n"/>
      <c r="R651" s="153" t="n"/>
      <c r="S651" s="153" t="n"/>
      <c r="T651" s="153" t="n"/>
      <c r="U651" s="153" t="n"/>
      <c r="V651" s="153" t="n"/>
      <c r="W651" s="153" t="n"/>
      <c r="X651" s="153" t="n"/>
      <c r="Y651" s="153" t="n"/>
      <c r="Z651" s="153" t="n"/>
    </row>
    <row r="652" ht="15.75" customHeight="1" s="154">
      <c r="L652" s="153" t="n"/>
      <c r="M652" s="153" t="n"/>
      <c r="N652" s="153" t="n"/>
      <c r="O652" s="153" t="n"/>
      <c r="P652" s="153" t="n"/>
      <c r="Q652" s="153" t="n"/>
      <c r="R652" s="153" t="n"/>
      <c r="S652" s="153" t="n"/>
      <c r="T652" s="153" t="n"/>
      <c r="U652" s="153" t="n"/>
      <c r="V652" s="153" t="n"/>
      <c r="W652" s="153" t="n"/>
      <c r="X652" s="153" t="n"/>
      <c r="Y652" s="153" t="n"/>
      <c r="Z652" s="153" t="n"/>
    </row>
    <row r="653" ht="15.75" customHeight="1" s="154">
      <c r="L653" s="153" t="n"/>
      <c r="M653" s="153" t="n"/>
      <c r="N653" s="153" t="n"/>
      <c r="O653" s="153" t="n"/>
      <c r="P653" s="153" t="n"/>
      <c r="Q653" s="153" t="n"/>
      <c r="R653" s="153" t="n"/>
      <c r="S653" s="153" t="n"/>
      <c r="T653" s="153" t="n"/>
      <c r="U653" s="153" t="n"/>
      <c r="V653" s="153" t="n"/>
      <c r="W653" s="153" t="n"/>
      <c r="X653" s="153" t="n"/>
      <c r="Y653" s="153" t="n"/>
      <c r="Z653" s="153" t="n"/>
    </row>
    <row r="654" ht="15.75" customHeight="1" s="154">
      <c r="L654" s="153" t="n"/>
      <c r="M654" s="153" t="n"/>
      <c r="N654" s="153" t="n"/>
      <c r="O654" s="153" t="n"/>
      <c r="P654" s="153" t="n"/>
      <c r="Q654" s="153" t="n"/>
      <c r="R654" s="153" t="n"/>
      <c r="S654" s="153" t="n"/>
      <c r="T654" s="153" t="n"/>
      <c r="U654" s="153" t="n"/>
      <c r="V654" s="153" t="n"/>
      <c r="W654" s="153" t="n"/>
      <c r="X654" s="153" t="n"/>
      <c r="Y654" s="153" t="n"/>
      <c r="Z654" s="153" t="n"/>
    </row>
    <row r="655" ht="15.75" customHeight="1" s="154">
      <c r="L655" s="153" t="n"/>
      <c r="M655" s="153" t="n"/>
      <c r="N655" s="153" t="n"/>
      <c r="O655" s="153" t="n"/>
      <c r="P655" s="153" t="n"/>
      <c r="Q655" s="153" t="n"/>
      <c r="R655" s="153" t="n"/>
      <c r="S655" s="153" t="n"/>
      <c r="T655" s="153" t="n"/>
      <c r="U655" s="153" t="n"/>
      <c r="V655" s="153" t="n"/>
      <c r="W655" s="153" t="n"/>
      <c r="X655" s="153" t="n"/>
      <c r="Y655" s="153" t="n"/>
      <c r="Z655" s="153" t="n"/>
    </row>
    <row r="656" ht="15.75" customHeight="1" s="154">
      <c r="L656" s="153" t="n"/>
      <c r="M656" s="153" t="n"/>
      <c r="N656" s="153" t="n"/>
      <c r="O656" s="153" t="n"/>
      <c r="P656" s="153" t="n"/>
      <c r="Q656" s="153" t="n"/>
      <c r="R656" s="153" t="n"/>
      <c r="S656" s="153" t="n"/>
      <c r="T656" s="153" t="n"/>
      <c r="U656" s="153" t="n"/>
      <c r="V656" s="153" t="n"/>
      <c r="W656" s="153" t="n"/>
      <c r="X656" s="153" t="n"/>
      <c r="Y656" s="153" t="n"/>
      <c r="Z656" s="153" t="n"/>
    </row>
    <row r="657" ht="15.75" customHeight="1" s="154">
      <c r="L657" s="153" t="n"/>
      <c r="M657" s="153" t="n"/>
      <c r="N657" s="153" t="n"/>
      <c r="O657" s="153" t="n"/>
      <c r="P657" s="153" t="n"/>
      <c r="Q657" s="153" t="n"/>
      <c r="R657" s="153" t="n"/>
      <c r="S657" s="153" t="n"/>
      <c r="T657" s="153" t="n"/>
      <c r="U657" s="153" t="n"/>
      <c r="V657" s="153" t="n"/>
      <c r="W657" s="153" t="n"/>
      <c r="X657" s="153" t="n"/>
      <c r="Y657" s="153" t="n"/>
      <c r="Z657" s="153" t="n"/>
    </row>
    <row r="658" ht="15.75" customHeight="1" s="154">
      <c r="L658" s="153" t="n"/>
      <c r="M658" s="153" t="n"/>
      <c r="N658" s="153" t="n"/>
      <c r="O658" s="153" t="n"/>
      <c r="P658" s="153" t="n"/>
      <c r="Q658" s="153" t="n"/>
      <c r="R658" s="153" t="n"/>
      <c r="S658" s="153" t="n"/>
      <c r="T658" s="153" t="n"/>
      <c r="U658" s="153" t="n"/>
      <c r="V658" s="153" t="n"/>
      <c r="W658" s="153" t="n"/>
      <c r="X658" s="153" t="n"/>
      <c r="Y658" s="153" t="n"/>
      <c r="Z658" s="153" t="n"/>
    </row>
    <row r="659" ht="15.75" customHeight="1" s="154">
      <c r="L659" s="153" t="n"/>
      <c r="M659" s="153" t="n"/>
      <c r="N659" s="153" t="n"/>
      <c r="O659" s="153" t="n"/>
      <c r="P659" s="153" t="n"/>
      <c r="Q659" s="153" t="n"/>
      <c r="R659" s="153" t="n"/>
      <c r="S659" s="153" t="n"/>
      <c r="T659" s="153" t="n"/>
      <c r="U659" s="153" t="n"/>
      <c r="V659" s="153" t="n"/>
      <c r="W659" s="153" t="n"/>
      <c r="X659" s="153" t="n"/>
      <c r="Y659" s="153" t="n"/>
      <c r="Z659" s="153" t="n"/>
    </row>
    <row r="660" ht="15.75" customHeight="1" s="154">
      <c r="L660" s="153" t="n"/>
      <c r="M660" s="153" t="n"/>
      <c r="N660" s="153" t="n"/>
      <c r="O660" s="153" t="n"/>
      <c r="P660" s="153" t="n"/>
      <c r="Q660" s="153" t="n"/>
      <c r="R660" s="153" t="n"/>
      <c r="S660" s="153" t="n"/>
      <c r="T660" s="153" t="n"/>
      <c r="U660" s="153" t="n"/>
      <c r="V660" s="153" t="n"/>
      <c r="W660" s="153" t="n"/>
      <c r="X660" s="153" t="n"/>
      <c r="Y660" s="153" t="n"/>
      <c r="Z660" s="153" t="n"/>
    </row>
    <row r="661" ht="15.75" customHeight="1" s="154">
      <c r="L661" s="153" t="n"/>
      <c r="M661" s="153" t="n"/>
      <c r="N661" s="153" t="n"/>
      <c r="O661" s="153" t="n"/>
      <c r="P661" s="153" t="n"/>
      <c r="Q661" s="153" t="n"/>
      <c r="R661" s="153" t="n"/>
      <c r="S661" s="153" t="n"/>
      <c r="T661" s="153" t="n"/>
      <c r="U661" s="153" t="n"/>
      <c r="V661" s="153" t="n"/>
      <c r="W661" s="153" t="n"/>
      <c r="X661" s="153" t="n"/>
      <c r="Y661" s="153" t="n"/>
      <c r="Z661" s="153" t="n"/>
    </row>
    <row r="662" ht="15.75" customHeight="1" s="154">
      <c r="L662" s="153" t="n"/>
      <c r="M662" s="153" t="n"/>
      <c r="N662" s="153" t="n"/>
      <c r="O662" s="153" t="n"/>
      <c r="P662" s="153" t="n"/>
      <c r="Q662" s="153" t="n"/>
      <c r="R662" s="153" t="n"/>
      <c r="S662" s="153" t="n"/>
      <c r="T662" s="153" t="n"/>
      <c r="U662" s="153" t="n"/>
      <c r="V662" s="153" t="n"/>
      <c r="W662" s="153" t="n"/>
      <c r="X662" s="153" t="n"/>
      <c r="Y662" s="153" t="n"/>
      <c r="Z662" s="153" t="n"/>
    </row>
    <row r="663" ht="15.75" customHeight="1" s="154">
      <c r="L663" s="153" t="n"/>
      <c r="M663" s="153" t="n"/>
      <c r="N663" s="153" t="n"/>
      <c r="O663" s="153" t="n"/>
      <c r="P663" s="153" t="n"/>
      <c r="Q663" s="153" t="n"/>
      <c r="R663" s="153" t="n"/>
      <c r="S663" s="153" t="n"/>
      <c r="T663" s="153" t="n"/>
      <c r="U663" s="153" t="n"/>
      <c r="V663" s="153" t="n"/>
      <c r="W663" s="153" t="n"/>
      <c r="X663" s="153" t="n"/>
      <c r="Y663" s="153" t="n"/>
      <c r="Z663" s="153" t="n"/>
    </row>
    <row r="664" ht="15.75" customHeight="1" s="154">
      <c r="L664" s="153" t="n"/>
      <c r="M664" s="153" t="n"/>
      <c r="N664" s="153" t="n"/>
      <c r="O664" s="153" t="n"/>
      <c r="P664" s="153" t="n"/>
      <c r="Q664" s="153" t="n"/>
      <c r="R664" s="153" t="n"/>
      <c r="S664" s="153" t="n"/>
      <c r="T664" s="153" t="n"/>
      <c r="U664" s="153" t="n"/>
      <c r="V664" s="153" t="n"/>
      <c r="W664" s="153" t="n"/>
      <c r="X664" s="153" t="n"/>
      <c r="Y664" s="153" t="n"/>
      <c r="Z664" s="153" t="n"/>
    </row>
    <row r="665" ht="15.75" customHeight="1" s="154">
      <c r="L665" s="153" t="n"/>
      <c r="M665" s="153" t="n"/>
      <c r="N665" s="153" t="n"/>
      <c r="O665" s="153" t="n"/>
      <c r="P665" s="153" t="n"/>
      <c r="Q665" s="153" t="n"/>
      <c r="R665" s="153" t="n"/>
      <c r="S665" s="153" t="n"/>
      <c r="T665" s="153" t="n"/>
      <c r="U665" s="153" t="n"/>
      <c r="V665" s="153" t="n"/>
      <c r="W665" s="153" t="n"/>
      <c r="X665" s="153" t="n"/>
      <c r="Y665" s="153" t="n"/>
      <c r="Z665" s="153" t="n"/>
    </row>
    <row r="666" ht="15.75" customHeight="1" s="154">
      <c r="L666" s="153" t="n"/>
      <c r="M666" s="153" t="n"/>
      <c r="N666" s="153" t="n"/>
      <c r="O666" s="153" t="n"/>
      <c r="P666" s="153" t="n"/>
      <c r="Q666" s="153" t="n"/>
      <c r="R666" s="153" t="n"/>
      <c r="S666" s="153" t="n"/>
      <c r="T666" s="153" t="n"/>
      <c r="U666" s="153" t="n"/>
      <c r="V666" s="153" t="n"/>
      <c r="W666" s="153" t="n"/>
      <c r="X666" s="153" t="n"/>
      <c r="Y666" s="153" t="n"/>
      <c r="Z666" s="153" t="n"/>
    </row>
    <row r="667" ht="15.75" customHeight="1" s="154">
      <c r="L667" s="153" t="n"/>
      <c r="M667" s="153" t="n"/>
      <c r="N667" s="153" t="n"/>
      <c r="O667" s="153" t="n"/>
      <c r="P667" s="153" t="n"/>
      <c r="Q667" s="153" t="n"/>
      <c r="R667" s="153" t="n"/>
      <c r="S667" s="153" t="n"/>
      <c r="T667" s="153" t="n"/>
      <c r="U667" s="153" t="n"/>
      <c r="V667" s="153" t="n"/>
      <c r="W667" s="153" t="n"/>
      <c r="X667" s="153" t="n"/>
      <c r="Y667" s="153" t="n"/>
      <c r="Z667" s="153" t="n"/>
    </row>
    <row r="668" ht="15.75" customHeight="1" s="154">
      <c r="L668" s="153" t="n"/>
      <c r="M668" s="153" t="n"/>
      <c r="N668" s="153" t="n"/>
      <c r="O668" s="153" t="n"/>
      <c r="P668" s="153" t="n"/>
      <c r="Q668" s="153" t="n"/>
      <c r="R668" s="153" t="n"/>
      <c r="S668" s="153" t="n"/>
      <c r="T668" s="153" t="n"/>
      <c r="U668" s="153" t="n"/>
      <c r="V668" s="153" t="n"/>
      <c r="W668" s="153" t="n"/>
      <c r="X668" s="153" t="n"/>
      <c r="Y668" s="153" t="n"/>
      <c r="Z668" s="153" t="n"/>
    </row>
    <row r="669" ht="15.75" customHeight="1" s="154">
      <c r="L669" s="153" t="n"/>
      <c r="M669" s="153" t="n"/>
      <c r="N669" s="153" t="n"/>
      <c r="O669" s="153" t="n"/>
      <c r="P669" s="153" t="n"/>
      <c r="Q669" s="153" t="n"/>
      <c r="R669" s="153" t="n"/>
      <c r="S669" s="153" t="n"/>
      <c r="T669" s="153" t="n"/>
      <c r="U669" s="153" t="n"/>
      <c r="V669" s="153" t="n"/>
      <c r="W669" s="153" t="n"/>
      <c r="X669" s="153" t="n"/>
      <c r="Y669" s="153" t="n"/>
      <c r="Z669" s="153" t="n"/>
    </row>
    <row r="670" ht="15.75" customHeight="1" s="154">
      <c r="L670" s="153" t="n"/>
      <c r="M670" s="153" t="n"/>
      <c r="N670" s="153" t="n"/>
      <c r="O670" s="153" t="n"/>
      <c r="P670" s="153" t="n"/>
      <c r="Q670" s="153" t="n"/>
      <c r="R670" s="153" t="n"/>
      <c r="S670" s="153" t="n"/>
      <c r="T670" s="153" t="n"/>
      <c r="U670" s="153" t="n"/>
      <c r="V670" s="153" t="n"/>
      <c r="W670" s="153" t="n"/>
      <c r="X670" s="153" t="n"/>
      <c r="Y670" s="153" t="n"/>
      <c r="Z670" s="153" t="n"/>
    </row>
    <row r="671" ht="15.75" customHeight="1" s="154">
      <c r="L671" s="153" t="n"/>
      <c r="M671" s="153" t="n"/>
      <c r="N671" s="153" t="n"/>
      <c r="O671" s="153" t="n"/>
      <c r="P671" s="153" t="n"/>
      <c r="Q671" s="153" t="n"/>
      <c r="R671" s="153" t="n"/>
      <c r="S671" s="153" t="n"/>
      <c r="T671" s="153" t="n"/>
      <c r="U671" s="153" t="n"/>
      <c r="V671" s="153" t="n"/>
      <c r="W671" s="153" t="n"/>
      <c r="X671" s="153" t="n"/>
      <c r="Y671" s="153" t="n"/>
      <c r="Z671" s="153" t="n"/>
    </row>
    <row r="672" ht="15.75" customHeight="1" s="154">
      <c r="L672" s="153" t="n"/>
      <c r="M672" s="153" t="n"/>
      <c r="N672" s="153" t="n"/>
      <c r="O672" s="153" t="n"/>
      <c r="P672" s="153" t="n"/>
      <c r="Q672" s="153" t="n"/>
      <c r="R672" s="153" t="n"/>
      <c r="S672" s="153" t="n"/>
      <c r="T672" s="153" t="n"/>
      <c r="U672" s="153" t="n"/>
      <c r="V672" s="153" t="n"/>
      <c r="W672" s="153" t="n"/>
      <c r="X672" s="153" t="n"/>
      <c r="Y672" s="153" t="n"/>
      <c r="Z672" s="153" t="n"/>
    </row>
    <row r="673" ht="15.75" customHeight="1" s="154">
      <c r="L673" s="153" t="n"/>
      <c r="M673" s="153" t="n"/>
      <c r="N673" s="153" t="n"/>
      <c r="O673" s="153" t="n"/>
      <c r="P673" s="153" t="n"/>
      <c r="Q673" s="153" t="n"/>
      <c r="R673" s="153" t="n"/>
      <c r="S673" s="153" t="n"/>
      <c r="T673" s="153" t="n"/>
      <c r="U673" s="153" t="n"/>
      <c r="V673" s="153" t="n"/>
      <c r="W673" s="153" t="n"/>
      <c r="X673" s="153" t="n"/>
      <c r="Y673" s="153" t="n"/>
      <c r="Z673" s="153" t="n"/>
    </row>
    <row r="674" ht="15.75" customHeight="1" s="154">
      <c r="L674" s="153" t="n"/>
      <c r="M674" s="153" t="n"/>
      <c r="N674" s="153" t="n"/>
      <c r="O674" s="153" t="n"/>
      <c r="P674" s="153" t="n"/>
      <c r="Q674" s="153" t="n"/>
      <c r="R674" s="153" t="n"/>
      <c r="S674" s="153" t="n"/>
      <c r="T674" s="153" t="n"/>
      <c r="U674" s="153" t="n"/>
      <c r="V674" s="153" t="n"/>
      <c r="W674" s="153" t="n"/>
      <c r="X674" s="153" t="n"/>
      <c r="Y674" s="153" t="n"/>
      <c r="Z674" s="153" t="n"/>
    </row>
    <row r="675" ht="15.75" customHeight="1" s="154">
      <c r="L675" s="153" t="n"/>
      <c r="M675" s="153" t="n"/>
      <c r="N675" s="153" t="n"/>
      <c r="O675" s="153" t="n"/>
      <c r="P675" s="153" t="n"/>
      <c r="Q675" s="153" t="n"/>
      <c r="R675" s="153" t="n"/>
      <c r="S675" s="153" t="n"/>
      <c r="T675" s="153" t="n"/>
      <c r="U675" s="153" t="n"/>
      <c r="V675" s="153" t="n"/>
      <c r="W675" s="153" t="n"/>
      <c r="X675" s="153" t="n"/>
      <c r="Y675" s="153" t="n"/>
      <c r="Z675" s="153" t="n"/>
    </row>
    <row r="676" ht="15.75" customHeight="1" s="154">
      <c r="L676" s="153" t="n"/>
      <c r="M676" s="153" t="n"/>
      <c r="N676" s="153" t="n"/>
      <c r="O676" s="153" t="n"/>
      <c r="P676" s="153" t="n"/>
      <c r="Q676" s="153" t="n"/>
      <c r="R676" s="153" t="n"/>
      <c r="S676" s="153" t="n"/>
      <c r="T676" s="153" t="n"/>
      <c r="U676" s="153" t="n"/>
      <c r="V676" s="153" t="n"/>
      <c r="W676" s="153" t="n"/>
      <c r="X676" s="153" t="n"/>
      <c r="Y676" s="153" t="n"/>
      <c r="Z676" s="153" t="n"/>
    </row>
    <row r="677" ht="15.75" customHeight="1" s="154">
      <c r="L677" s="153" t="n"/>
      <c r="M677" s="153" t="n"/>
      <c r="N677" s="153" t="n"/>
      <c r="O677" s="153" t="n"/>
      <c r="P677" s="153" t="n"/>
      <c r="Q677" s="153" t="n"/>
      <c r="R677" s="153" t="n"/>
      <c r="S677" s="153" t="n"/>
      <c r="T677" s="153" t="n"/>
      <c r="U677" s="153" t="n"/>
      <c r="V677" s="153" t="n"/>
      <c r="W677" s="153" t="n"/>
      <c r="X677" s="153" t="n"/>
      <c r="Y677" s="153" t="n"/>
      <c r="Z677" s="153" t="n"/>
    </row>
    <row r="678" ht="15.75" customHeight="1" s="154">
      <c r="L678" s="153" t="n"/>
      <c r="M678" s="153" t="n"/>
      <c r="N678" s="153" t="n"/>
      <c r="O678" s="153" t="n"/>
      <c r="P678" s="153" t="n"/>
      <c r="Q678" s="153" t="n"/>
      <c r="R678" s="153" t="n"/>
      <c r="S678" s="153" t="n"/>
      <c r="T678" s="153" t="n"/>
      <c r="U678" s="153" t="n"/>
      <c r="V678" s="153" t="n"/>
      <c r="W678" s="153" t="n"/>
      <c r="X678" s="153" t="n"/>
      <c r="Y678" s="153" t="n"/>
      <c r="Z678" s="153" t="n"/>
    </row>
    <row r="679" ht="15.75" customHeight="1" s="154">
      <c r="L679" s="153" t="n"/>
      <c r="M679" s="153" t="n"/>
      <c r="N679" s="153" t="n"/>
      <c r="O679" s="153" t="n"/>
      <c r="P679" s="153" t="n"/>
      <c r="Q679" s="153" t="n"/>
      <c r="R679" s="153" t="n"/>
      <c r="S679" s="153" t="n"/>
      <c r="T679" s="153" t="n"/>
      <c r="U679" s="153" t="n"/>
      <c r="V679" s="153" t="n"/>
      <c r="W679" s="153" t="n"/>
      <c r="X679" s="153" t="n"/>
      <c r="Y679" s="153" t="n"/>
      <c r="Z679" s="153" t="n"/>
    </row>
    <row r="680" ht="15.75" customHeight="1" s="154">
      <c r="L680" s="153" t="n"/>
      <c r="M680" s="153" t="n"/>
      <c r="N680" s="153" t="n"/>
      <c r="O680" s="153" t="n"/>
      <c r="P680" s="153" t="n"/>
      <c r="Q680" s="153" t="n"/>
      <c r="R680" s="153" t="n"/>
      <c r="S680" s="153" t="n"/>
      <c r="T680" s="153" t="n"/>
      <c r="U680" s="153" t="n"/>
      <c r="V680" s="153" t="n"/>
      <c r="W680" s="153" t="n"/>
      <c r="X680" s="153" t="n"/>
      <c r="Y680" s="153" t="n"/>
      <c r="Z680" s="153" t="n"/>
    </row>
    <row r="681" ht="15.75" customHeight="1" s="154">
      <c r="L681" s="153" t="n"/>
      <c r="M681" s="153" t="n"/>
      <c r="N681" s="153" t="n"/>
      <c r="O681" s="153" t="n"/>
      <c r="P681" s="153" t="n"/>
      <c r="Q681" s="153" t="n"/>
      <c r="R681" s="153" t="n"/>
      <c r="S681" s="153" t="n"/>
      <c r="T681" s="153" t="n"/>
      <c r="U681" s="153" t="n"/>
      <c r="V681" s="153" t="n"/>
      <c r="W681" s="153" t="n"/>
      <c r="X681" s="153" t="n"/>
      <c r="Y681" s="153" t="n"/>
      <c r="Z681" s="153" t="n"/>
    </row>
    <row r="682" ht="15.75" customHeight="1" s="154">
      <c r="L682" s="153" t="n"/>
      <c r="M682" s="153" t="n"/>
      <c r="N682" s="153" t="n"/>
      <c r="O682" s="153" t="n"/>
      <c r="P682" s="153" t="n"/>
      <c r="Q682" s="153" t="n"/>
      <c r="R682" s="153" t="n"/>
      <c r="S682" s="153" t="n"/>
      <c r="T682" s="153" t="n"/>
      <c r="U682" s="153" t="n"/>
      <c r="V682" s="153" t="n"/>
      <c r="W682" s="153" t="n"/>
      <c r="X682" s="153" t="n"/>
      <c r="Y682" s="153" t="n"/>
      <c r="Z682" s="153" t="n"/>
    </row>
    <row r="683" ht="15.75" customHeight="1" s="154">
      <c r="L683" s="153" t="n"/>
      <c r="M683" s="153" t="n"/>
      <c r="N683" s="153" t="n"/>
      <c r="O683" s="153" t="n"/>
      <c r="P683" s="153" t="n"/>
      <c r="Q683" s="153" t="n"/>
      <c r="R683" s="153" t="n"/>
      <c r="S683" s="153" t="n"/>
      <c r="T683" s="153" t="n"/>
      <c r="U683" s="153" t="n"/>
      <c r="V683" s="153" t="n"/>
      <c r="W683" s="153" t="n"/>
      <c r="X683" s="153" t="n"/>
      <c r="Y683" s="153" t="n"/>
      <c r="Z683" s="153" t="n"/>
    </row>
    <row r="684" ht="15.75" customHeight="1" s="154">
      <c r="L684" s="153" t="n"/>
      <c r="M684" s="153" t="n"/>
      <c r="N684" s="153" t="n"/>
      <c r="O684" s="153" t="n"/>
      <c r="P684" s="153" t="n"/>
      <c r="Q684" s="153" t="n"/>
      <c r="R684" s="153" t="n"/>
      <c r="S684" s="153" t="n"/>
      <c r="T684" s="153" t="n"/>
      <c r="U684" s="153" t="n"/>
      <c r="V684" s="153" t="n"/>
      <c r="W684" s="153" t="n"/>
      <c r="X684" s="153" t="n"/>
      <c r="Y684" s="153" t="n"/>
      <c r="Z684" s="153" t="n"/>
    </row>
    <row r="685" ht="15.75" customHeight="1" s="154">
      <c r="L685" s="153" t="n"/>
      <c r="M685" s="153" t="n"/>
      <c r="N685" s="153" t="n"/>
      <c r="O685" s="153" t="n"/>
      <c r="P685" s="153" t="n"/>
      <c r="Q685" s="153" t="n"/>
      <c r="R685" s="153" t="n"/>
      <c r="S685" s="153" t="n"/>
      <c r="T685" s="153" t="n"/>
      <c r="U685" s="153" t="n"/>
      <c r="V685" s="153" t="n"/>
      <c r="W685" s="153" t="n"/>
      <c r="X685" s="153" t="n"/>
      <c r="Y685" s="153" t="n"/>
      <c r="Z685" s="153" t="n"/>
    </row>
    <row r="686" ht="15.75" customHeight="1" s="154">
      <c r="L686" s="153" t="n"/>
      <c r="M686" s="153" t="n"/>
      <c r="N686" s="153" t="n"/>
      <c r="O686" s="153" t="n"/>
      <c r="P686" s="153" t="n"/>
      <c r="Q686" s="153" t="n"/>
      <c r="R686" s="153" t="n"/>
      <c r="S686" s="153" t="n"/>
      <c r="T686" s="153" t="n"/>
      <c r="U686" s="153" t="n"/>
      <c r="V686" s="153" t="n"/>
      <c r="W686" s="153" t="n"/>
      <c r="X686" s="153" t="n"/>
      <c r="Y686" s="153" t="n"/>
      <c r="Z686" s="153" t="n"/>
    </row>
    <row r="687" ht="15.75" customHeight="1" s="154">
      <c r="L687" s="153" t="n"/>
      <c r="M687" s="153" t="n"/>
      <c r="N687" s="153" t="n"/>
      <c r="O687" s="153" t="n"/>
      <c r="P687" s="153" t="n"/>
      <c r="Q687" s="153" t="n"/>
      <c r="R687" s="153" t="n"/>
      <c r="S687" s="153" t="n"/>
      <c r="T687" s="153" t="n"/>
      <c r="U687" s="153" t="n"/>
      <c r="V687" s="153" t="n"/>
      <c r="W687" s="153" t="n"/>
      <c r="X687" s="153" t="n"/>
      <c r="Y687" s="153" t="n"/>
      <c r="Z687" s="153" t="n"/>
    </row>
    <row r="688" ht="15.75" customHeight="1" s="154">
      <c r="L688" s="153" t="n"/>
      <c r="M688" s="153" t="n"/>
      <c r="N688" s="153" t="n"/>
      <c r="O688" s="153" t="n"/>
      <c r="P688" s="153" t="n"/>
      <c r="Q688" s="153" t="n"/>
      <c r="R688" s="153" t="n"/>
      <c r="S688" s="153" t="n"/>
      <c r="T688" s="153" t="n"/>
      <c r="U688" s="153" t="n"/>
      <c r="V688" s="153" t="n"/>
      <c r="W688" s="153" t="n"/>
      <c r="X688" s="153" t="n"/>
      <c r="Y688" s="153" t="n"/>
      <c r="Z688" s="153" t="n"/>
    </row>
    <row r="689" ht="15.75" customHeight="1" s="154">
      <c r="L689" s="153" t="n"/>
      <c r="M689" s="153" t="n"/>
      <c r="N689" s="153" t="n"/>
      <c r="O689" s="153" t="n"/>
      <c r="P689" s="153" t="n"/>
      <c r="Q689" s="153" t="n"/>
      <c r="R689" s="153" t="n"/>
      <c r="S689" s="153" t="n"/>
      <c r="T689" s="153" t="n"/>
      <c r="U689" s="153" t="n"/>
      <c r="V689" s="153" t="n"/>
      <c r="W689" s="153" t="n"/>
      <c r="X689" s="153" t="n"/>
      <c r="Y689" s="153" t="n"/>
      <c r="Z689" s="153" t="n"/>
    </row>
    <row r="690" ht="15.75" customHeight="1" s="154">
      <c r="L690" s="153" t="n"/>
      <c r="M690" s="153" t="n"/>
      <c r="N690" s="153" t="n"/>
      <c r="O690" s="153" t="n"/>
      <c r="P690" s="153" t="n"/>
      <c r="Q690" s="153" t="n"/>
      <c r="R690" s="153" t="n"/>
      <c r="S690" s="153" t="n"/>
      <c r="T690" s="153" t="n"/>
      <c r="U690" s="153" t="n"/>
      <c r="V690" s="153" t="n"/>
      <c r="W690" s="153" t="n"/>
      <c r="X690" s="153" t="n"/>
      <c r="Y690" s="153" t="n"/>
      <c r="Z690" s="153" t="n"/>
    </row>
    <row r="691" ht="15.75" customHeight="1" s="154">
      <c r="L691" s="153" t="n"/>
      <c r="M691" s="153" t="n"/>
      <c r="N691" s="153" t="n"/>
      <c r="O691" s="153" t="n"/>
      <c r="P691" s="153" t="n"/>
      <c r="Q691" s="153" t="n"/>
      <c r="R691" s="153" t="n"/>
      <c r="S691" s="153" t="n"/>
      <c r="T691" s="153" t="n"/>
      <c r="U691" s="153" t="n"/>
      <c r="V691" s="153" t="n"/>
      <c r="W691" s="153" t="n"/>
      <c r="X691" s="153" t="n"/>
      <c r="Y691" s="153" t="n"/>
      <c r="Z691" s="153" t="n"/>
    </row>
    <row r="692" ht="15.75" customHeight="1" s="154">
      <c r="L692" s="153" t="n"/>
      <c r="M692" s="153" t="n"/>
      <c r="N692" s="153" t="n"/>
      <c r="O692" s="153" t="n"/>
      <c r="P692" s="153" t="n"/>
      <c r="Q692" s="153" t="n"/>
      <c r="R692" s="153" t="n"/>
      <c r="S692" s="153" t="n"/>
      <c r="T692" s="153" t="n"/>
      <c r="U692" s="153" t="n"/>
      <c r="V692" s="153" t="n"/>
      <c r="W692" s="153" t="n"/>
      <c r="X692" s="153" t="n"/>
      <c r="Y692" s="153" t="n"/>
      <c r="Z692" s="153" t="n"/>
    </row>
    <row r="693" ht="15.75" customHeight="1" s="154">
      <c r="L693" s="153" t="n"/>
      <c r="M693" s="153" t="n"/>
      <c r="N693" s="153" t="n"/>
      <c r="O693" s="153" t="n"/>
      <c r="P693" s="153" t="n"/>
      <c r="Q693" s="153" t="n"/>
      <c r="R693" s="153" t="n"/>
      <c r="S693" s="153" t="n"/>
      <c r="T693" s="153" t="n"/>
      <c r="U693" s="153" t="n"/>
      <c r="V693" s="153" t="n"/>
      <c r="W693" s="153" t="n"/>
      <c r="X693" s="153" t="n"/>
      <c r="Y693" s="153" t="n"/>
      <c r="Z693" s="153" t="n"/>
    </row>
    <row r="694" ht="15.75" customHeight="1" s="154">
      <c r="L694" s="153" t="n"/>
      <c r="M694" s="153" t="n"/>
      <c r="N694" s="153" t="n"/>
      <c r="O694" s="153" t="n"/>
      <c r="P694" s="153" t="n"/>
      <c r="Q694" s="153" t="n"/>
      <c r="R694" s="153" t="n"/>
      <c r="S694" s="153" t="n"/>
      <c r="T694" s="153" t="n"/>
      <c r="U694" s="153" t="n"/>
      <c r="V694" s="153" t="n"/>
      <c r="W694" s="153" t="n"/>
      <c r="X694" s="153" t="n"/>
      <c r="Y694" s="153" t="n"/>
      <c r="Z694" s="153" t="n"/>
    </row>
    <row r="695" ht="15.75" customHeight="1" s="154">
      <c r="L695" s="153" t="n"/>
      <c r="M695" s="153" t="n"/>
      <c r="N695" s="153" t="n"/>
      <c r="O695" s="153" t="n"/>
      <c r="P695" s="153" t="n"/>
      <c r="Q695" s="153" t="n"/>
      <c r="R695" s="153" t="n"/>
      <c r="S695" s="153" t="n"/>
      <c r="T695" s="153" t="n"/>
      <c r="U695" s="153" t="n"/>
      <c r="V695" s="153" t="n"/>
      <c r="W695" s="153" t="n"/>
      <c r="X695" s="153" t="n"/>
      <c r="Y695" s="153" t="n"/>
      <c r="Z695" s="153" t="n"/>
    </row>
    <row r="696" ht="15.75" customHeight="1" s="154">
      <c r="L696" s="153" t="n"/>
      <c r="M696" s="153" t="n"/>
      <c r="N696" s="153" t="n"/>
      <c r="O696" s="153" t="n"/>
      <c r="P696" s="153" t="n"/>
      <c r="Q696" s="153" t="n"/>
      <c r="R696" s="153" t="n"/>
      <c r="S696" s="153" t="n"/>
      <c r="T696" s="153" t="n"/>
      <c r="U696" s="153" t="n"/>
      <c r="V696" s="153" t="n"/>
      <c r="W696" s="153" t="n"/>
      <c r="X696" s="153" t="n"/>
      <c r="Y696" s="153" t="n"/>
      <c r="Z696" s="153" t="n"/>
    </row>
    <row r="697" ht="15.75" customHeight="1" s="154">
      <c r="L697" s="153" t="n"/>
      <c r="M697" s="153" t="n"/>
      <c r="N697" s="153" t="n"/>
      <c r="O697" s="153" t="n"/>
      <c r="P697" s="153" t="n"/>
      <c r="Q697" s="153" t="n"/>
      <c r="R697" s="153" t="n"/>
      <c r="S697" s="153" t="n"/>
      <c r="T697" s="153" t="n"/>
      <c r="U697" s="153" t="n"/>
      <c r="V697" s="153" t="n"/>
      <c r="W697" s="153" t="n"/>
      <c r="X697" s="153" t="n"/>
      <c r="Y697" s="153" t="n"/>
      <c r="Z697" s="153" t="n"/>
    </row>
    <row r="698" ht="15.75" customHeight="1" s="154">
      <c r="L698" s="153" t="n"/>
      <c r="M698" s="153" t="n"/>
      <c r="N698" s="153" t="n"/>
      <c r="O698" s="153" t="n"/>
      <c r="P698" s="153" t="n"/>
      <c r="Q698" s="153" t="n"/>
      <c r="R698" s="153" t="n"/>
      <c r="S698" s="153" t="n"/>
      <c r="T698" s="153" t="n"/>
      <c r="U698" s="153" t="n"/>
      <c r="V698" s="153" t="n"/>
      <c r="W698" s="153" t="n"/>
      <c r="X698" s="153" t="n"/>
      <c r="Y698" s="153" t="n"/>
      <c r="Z698" s="153" t="n"/>
    </row>
    <row r="699" ht="15.75" customHeight="1" s="154">
      <c r="L699" s="153" t="n"/>
      <c r="M699" s="153" t="n"/>
      <c r="N699" s="153" t="n"/>
      <c r="O699" s="153" t="n"/>
      <c r="P699" s="153" t="n"/>
      <c r="Q699" s="153" t="n"/>
      <c r="R699" s="153" t="n"/>
      <c r="S699" s="153" t="n"/>
      <c r="T699" s="153" t="n"/>
      <c r="U699" s="153" t="n"/>
      <c r="V699" s="153" t="n"/>
      <c r="W699" s="153" t="n"/>
      <c r="X699" s="153" t="n"/>
      <c r="Y699" s="153" t="n"/>
      <c r="Z699" s="153" t="n"/>
    </row>
    <row r="700" ht="15.75" customHeight="1" s="154">
      <c r="L700" s="153" t="n"/>
      <c r="M700" s="153" t="n"/>
      <c r="N700" s="153" t="n"/>
      <c r="O700" s="153" t="n"/>
      <c r="P700" s="153" t="n"/>
      <c r="Q700" s="153" t="n"/>
      <c r="R700" s="153" t="n"/>
      <c r="S700" s="153" t="n"/>
      <c r="T700" s="153" t="n"/>
      <c r="U700" s="153" t="n"/>
      <c r="V700" s="153" t="n"/>
      <c r="W700" s="153" t="n"/>
      <c r="X700" s="153" t="n"/>
      <c r="Y700" s="153" t="n"/>
      <c r="Z700" s="153" t="n"/>
    </row>
    <row r="701" ht="15.75" customHeight="1" s="154">
      <c r="L701" s="153" t="n"/>
      <c r="M701" s="153" t="n"/>
      <c r="N701" s="153" t="n"/>
      <c r="O701" s="153" t="n"/>
      <c r="P701" s="153" t="n"/>
      <c r="Q701" s="153" t="n"/>
      <c r="R701" s="153" t="n"/>
      <c r="S701" s="153" t="n"/>
      <c r="T701" s="153" t="n"/>
      <c r="U701" s="153" t="n"/>
      <c r="V701" s="153" t="n"/>
      <c r="W701" s="153" t="n"/>
      <c r="X701" s="153" t="n"/>
      <c r="Y701" s="153" t="n"/>
      <c r="Z701" s="153" t="n"/>
    </row>
    <row r="702" ht="15.75" customHeight="1" s="154">
      <c r="L702" s="153" t="n"/>
      <c r="M702" s="153" t="n"/>
      <c r="N702" s="153" t="n"/>
      <c r="O702" s="153" t="n"/>
      <c r="P702" s="153" t="n"/>
      <c r="Q702" s="153" t="n"/>
      <c r="R702" s="153" t="n"/>
      <c r="S702" s="153" t="n"/>
      <c r="T702" s="153" t="n"/>
      <c r="U702" s="153" t="n"/>
      <c r="V702" s="153" t="n"/>
      <c r="W702" s="153" t="n"/>
      <c r="X702" s="153" t="n"/>
      <c r="Y702" s="153" t="n"/>
      <c r="Z702" s="153" t="n"/>
    </row>
    <row r="703" ht="15.75" customHeight="1" s="154">
      <c r="L703" s="153" t="n"/>
      <c r="M703" s="153" t="n"/>
      <c r="N703" s="153" t="n"/>
      <c r="O703" s="153" t="n"/>
      <c r="P703" s="153" t="n"/>
      <c r="Q703" s="153" t="n"/>
      <c r="R703" s="153" t="n"/>
      <c r="S703" s="153" t="n"/>
      <c r="T703" s="153" t="n"/>
      <c r="U703" s="153" t="n"/>
      <c r="V703" s="153" t="n"/>
      <c r="W703" s="153" t="n"/>
      <c r="X703" s="153" t="n"/>
      <c r="Y703" s="153" t="n"/>
      <c r="Z703" s="153" t="n"/>
    </row>
    <row r="704" ht="15.75" customHeight="1" s="154">
      <c r="L704" s="153" t="n"/>
      <c r="M704" s="153" t="n"/>
      <c r="N704" s="153" t="n"/>
      <c r="O704" s="153" t="n"/>
      <c r="P704" s="153" t="n"/>
      <c r="Q704" s="153" t="n"/>
      <c r="R704" s="153" t="n"/>
      <c r="S704" s="153" t="n"/>
      <c r="T704" s="153" t="n"/>
      <c r="U704" s="153" t="n"/>
      <c r="V704" s="153" t="n"/>
      <c r="W704" s="153" t="n"/>
      <c r="X704" s="153" t="n"/>
      <c r="Y704" s="153" t="n"/>
      <c r="Z704" s="153" t="n"/>
    </row>
    <row r="705" ht="15.75" customHeight="1" s="154">
      <c r="L705" s="153" t="n"/>
      <c r="M705" s="153" t="n"/>
      <c r="N705" s="153" t="n"/>
      <c r="O705" s="153" t="n"/>
      <c r="P705" s="153" t="n"/>
      <c r="Q705" s="153" t="n"/>
      <c r="R705" s="153" t="n"/>
      <c r="S705" s="153" t="n"/>
      <c r="T705" s="153" t="n"/>
      <c r="U705" s="153" t="n"/>
      <c r="V705" s="153" t="n"/>
      <c r="W705" s="153" t="n"/>
      <c r="X705" s="153" t="n"/>
      <c r="Y705" s="153" t="n"/>
      <c r="Z705" s="153" t="n"/>
    </row>
    <row r="706" ht="15.75" customHeight="1" s="154">
      <c r="L706" s="153" t="n"/>
      <c r="M706" s="153" t="n"/>
      <c r="N706" s="153" t="n"/>
      <c r="O706" s="153" t="n"/>
      <c r="P706" s="153" t="n"/>
      <c r="Q706" s="153" t="n"/>
      <c r="R706" s="153" t="n"/>
      <c r="S706" s="153" t="n"/>
      <c r="T706" s="153" t="n"/>
      <c r="U706" s="153" t="n"/>
      <c r="V706" s="153" t="n"/>
      <c r="W706" s="153" t="n"/>
      <c r="X706" s="153" t="n"/>
      <c r="Y706" s="153" t="n"/>
      <c r="Z706" s="153" t="n"/>
    </row>
    <row r="707" ht="15.75" customHeight="1" s="154">
      <c r="L707" s="153" t="n"/>
      <c r="M707" s="153" t="n"/>
      <c r="N707" s="153" t="n"/>
      <c r="O707" s="153" t="n"/>
      <c r="P707" s="153" t="n"/>
      <c r="Q707" s="153" t="n"/>
      <c r="R707" s="153" t="n"/>
      <c r="S707" s="153" t="n"/>
      <c r="T707" s="153" t="n"/>
      <c r="U707" s="153" t="n"/>
      <c r="V707" s="153" t="n"/>
      <c r="W707" s="153" t="n"/>
      <c r="X707" s="153" t="n"/>
      <c r="Y707" s="153" t="n"/>
      <c r="Z707" s="153" t="n"/>
    </row>
    <row r="708" ht="15.75" customHeight="1" s="154">
      <c r="L708" s="153" t="n"/>
      <c r="M708" s="153" t="n"/>
      <c r="N708" s="153" t="n"/>
      <c r="O708" s="153" t="n"/>
      <c r="P708" s="153" t="n"/>
      <c r="Q708" s="153" t="n"/>
      <c r="R708" s="153" t="n"/>
      <c r="S708" s="153" t="n"/>
      <c r="T708" s="153" t="n"/>
      <c r="U708" s="153" t="n"/>
      <c r="V708" s="153" t="n"/>
      <c r="W708" s="153" t="n"/>
      <c r="X708" s="153" t="n"/>
      <c r="Y708" s="153" t="n"/>
      <c r="Z708" s="153" t="n"/>
    </row>
    <row r="709" ht="15.75" customHeight="1" s="154">
      <c r="L709" s="153" t="n"/>
      <c r="M709" s="153" t="n"/>
      <c r="N709" s="153" t="n"/>
      <c r="O709" s="153" t="n"/>
      <c r="P709" s="153" t="n"/>
      <c r="Q709" s="153" t="n"/>
      <c r="R709" s="153" t="n"/>
      <c r="S709" s="153" t="n"/>
      <c r="T709" s="153" t="n"/>
      <c r="U709" s="153" t="n"/>
      <c r="V709" s="153" t="n"/>
      <c r="W709" s="153" t="n"/>
      <c r="X709" s="153" t="n"/>
      <c r="Y709" s="153" t="n"/>
      <c r="Z709" s="153" t="n"/>
    </row>
    <row r="710" ht="15.75" customHeight="1" s="154">
      <c r="L710" s="153" t="n"/>
      <c r="M710" s="153" t="n"/>
      <c r="N710" s="153" t="n"/>
      <c r="O710" s="153" t="n"/>
      <c r="P710" s="153" t="n"/>
      <c r="Q710" s="153" t="n"/>
      <c r="R710" s="153" t="n"/>
      <c r="S710" s="153" t="n"/>
      <c r="T710" s="153" t="n"/>
      <c r="U710" s="153" t="n"/>
      <c r="V710" s="153" t="n"/>
      <c r="W710" s="153" t="n"/>
      <c r="X710" s="153" t="n"/>
      <c r="Y710" s="153" t="n"/>
      <c r="Z710" s="153" t="n"/>
    </row>
    <row r="711" ht="15.75" customHeight="1" s="154">
      <c r="L711" s="153" t="n"/>
      <c r="M711" s="153" t="n"/>
      <c r="N711" s="153" t="n"/>
      <c r="O711" s="153" t="n"/>
      <c r="P711" s="153" t="n"/>
      <c r="Q711" s="153" t="n"/>
      <c r="R711" s="153" t="n"/>
      <c r="S711" s="153" t="n"/>
      <c r="T711" s="153" t="n"/>
      <c r="U711" s="153" t="n"/>
      <c r="V711" s="153" t="n"/>
      <c r="W711" s="153" t="n"/>
      <c r="X711" s="153" t="n"/>
      <c r="Y711" s="153" t="n"/>
      <c r="Z711" s="153" t="n"/>
    </row>
    <row r="712" ht="15.75" customHeight="1" s="154">
      <c r="L712" s="153" t="n"/>
      <c r="M712" s="153" t="n"/>
      <c r="N712" s="153" t="n"/>
      <c r="O712" s="153" t="n"/>
      <c r="P712" s="153" t="n"/>
      <c r="Q712" s="153" t="n"/>
      <c r="R712" s="153" t="n"/>
      <c r="S712" s="153" t="n"/>
      <c r="T712" s="153" t="n"/>
      <c r="U712" s="153" t="n"/>
      <c r="V712" s="153" t="n"/>
      <c r="W712" s="153" t="n"/>
      <c r="X712" s="153" t="n"/>
      <c r="Y712" s="153" t="n"/>
      <c r="Z712" s="153" t="n"/>
    </row>
    <row r="713" ht="15.75" customHeight="1" s="154">
      <c r="L713" s="153" t="n"/>
      <c r="M713" s="153" t="n"/>
      <c r="N713" s="153" t="n"/>
      <c r="O713" s="153" t="n"/>
      <c r="P713" s="153" t="n"/>
      <c r="Q713" s="153" t="n"/>
      <c r="R713" s="153" t="n"/>
      <c r="S713" s="153" t="n"/>
      <c r="T713" s="153" t="n"/>
      <c r="U713" s="153" t="n"/>
      <c r="V713" s="153" t="n"/>
      <c r="W713" s="153" t="n"/>
      <c r="X713" s="153" t="n"/>
      <c r="Y713" s="153" t="n"/>
      <c r="Z713" s="153" t="n"/>
    </row>
    <row r="714" ht="15.75" customHeight="1" s="154">
      <c r="L714" s="153" t="n"/>
      <c r="M714" s="153" t="n"/>
      <c r="N714" s="153" t="n"/>
      <c r="O714" s="153" t="n"/>
      <c r="P714" s="153" t="n"/>
      <c r="Q714" s="153" t="n"/>
      <c r="R714" s="153" t="n"/>
      <c r="S714" s="153" t="n"/>
      <c r="T714" s="153" t="n"/>
      <c r="U714" s="153" t="n"/>
      <c r="V714" s="153" t="n"/>
      <c r="W714" s="153" t="n"/>
      <c r="X714" s="153" t="n"/>
      <c r="Y714" s="153" t="n"/>
      <c r="Z714" s="153" t="n"/>
    </row>
    <row r="715" ht="15.75" customHeight="1" s="154">
      <c r="L715" s="153" t="n"/>
      <c r="M715" s="153" t="n"/>
      <c r="N715" s="153" t="n"/>
      <c r="O715" s="153" t="n"/>
      <c r="P715" s="153" t="n"/>
      <c r="Q715" s="153" t="n"/>
      <c r="R715" s="153" t="n"/>
      <c r="S715" s="153" t="n"/>
      <c r="T715" s="153" t="n"/>
      <c r="U715" s="153" t="n"/>
      <c r="V715" s="153" t="n"/>
      <c r="W715" s="153" t="n"/>
      <c r="X715" s="153" t="n"/>
      <c r="Y715" s="153" t="n"/>
      <c r="Z715" s="153" t="n"/>
    </row>
    <row r="716" ht="15.75" customHeight="1" s="154">
      <c r="L716" s="153" t="n"/>
      <c r="M716" s="153" t="n"/>
      <c r="N716" s="153" t="n"/>
      <c r="O716" s="153" t="n"/>
      <c r="P716" s="153" t="n"/>
      <c r="Q716" s="153" t="n"/>
      <c r="R716" s="153" t="n"/>
      <c r="S716" s="153" t="n"/>
      <c r="T716" s="153" t="n"/>
      <c r="U716" s="153" t="n"/>
      <c r="V716" s="153" t="n"/>
      <c r="W716" s="153" t="n"/>
      <c r="X716" s="153" t="n"/>
      <c r="Y716" s="153" t="n"/>
      <c r="Z716" s="153" t="n"/>
    </row>
    <row r="717" ht="15.75" customHeight="1" s="154">
      <c r="L717" s="153" t="n"/>
      <c r="M717" s="153" t="n"/>
      <c r="N717" s="153" t="n"/>
      <c r="O717" s="153" t="n"/>
      <c r="P717" s="153" t="n"/>
      <c r="Q717" s="153" t="n"/>
      <c r="R717" s="153" t="n"/>
      <c r="S717" s="153" t="n"/>
      <c r="T717" s="153" t="n"/>
      <c r="U717" s="153" t="n"/>
      <c r="V717" s="153" t="n"/>
      <c r="W717" s="153" t="n"/>
      <c r="X717" s="153" t="n"/>
      <c r="Y717" s="153" t="n"/>
      <c r="Z717" s="153" t="n"/>
    </row>
    <row r="718" ht="15.75" customHeight="1" s="154">
      <c r="L718" s="153" t="n"/>
      <c r="M718" s="153" t="n"/>
      <c r="N718" s="153" t="n"/>
      <c r="O718" s="153" t="n"/>
      <c r="P718" s="153" t="n"/>
      <c r="Q718" s="153" t="n"/>
      <c r="R718" s="153" t="n"/>
      <c r="S718" s="153" t="n"/>
      <c r="T718" s="153" t="n"/>
      <c r="U718" s="153" t="n"/>
      <c r="V718" s="153" t="n"/>
      <c r="W718" s="153" t="n"/>
      <c r="X718" s="153" t="n"/>
      <c r="Y718" s="153" t="n"/>
      <c r="Z718" s="153" t="n"/>
    </row>
    <row r="719" ht="15.75" customHeight="1" s="154">
      <c r="L719" s="153" t="n"/>
      <c r="M719" s="153" t="n"/>
      <c r="N719" s="153" t="n"/>
      <c r="O719" s="153" t="n"/>
      <c r="P719" s="153" t="n"/>
      <c r="Q719" s="153" t="n"/>
      <c r="R719" s="153" t="n"/>
      <c r="S719" s="153" t="n"/>
      <c r="T719" s="153" t="n"/>
      <c r="U719" s="153" t="n"/>
      <c r="V719" s="153" t="n"/>
      <c r="W719" s="153" t="n"/>
      <c r="X719" s="153" t="n"/>
      <c r="Y719" s="153" t="n"/>
      <c r="Z719" s="153" t="n"/>
    </row>
    <row r="720" ht="15.75" customHeight="1" s="154">
      <c r="L720" s="153" t="n"/>
      <c r="M720" s="153" t="n"/>
      <c r="N720" s="153" t="n"/>
      <c r="O720" s="153" t="n"/>
      <c r="P720" s="153" t="n"/>
      <c r="Q720" s="153" t="n"/>
      <c r="R720" s="153" t="n"/>
      <c r="S720" s="153" t="n"/>
      <c r="T720" s="153" t="n"/>
      <c r="U720" s="153" t="n"/>
      <c r="V720" s="153" t="n"/>
      <c r="W720" s="153" t="n"/>
      <c r="X720" s="153" t="n"/>
      <c r="Y720" s="153" t="n"/>
      <c r="Z720" s="153" t="n"/>
    </row>
    <row r="721" ht="15.75" customHeight="1" s="154">
      <c r="L721" s="153" t="n"/>
      <c r="M721" s="153" t="n"/>
      <c r="N721" s="153" t="n"/>
      <c r="O721" s="153" t="n"/>
      <c r="P721" s="153" t="n"/>
      <c r="Q721" s="153" t="n"/>
      <c r="R721" s="153" t="n"/>
      <c r="S721" s="153" t="n"/>
      <c r="T721" s="153" t="n"/>
      <c r="U721" s="153" t="n"/>
      <c r="V721" s="153" t="n"/>
      <c r="W721" s="153" t="n"/>
      <c r="X721" s="153" t="n"/>
      <c r="Y721" s="153" t="n"/>
      <c r="Z721" s="153" t="n"/>
    </row>
    <row r="722" ht="15.75" customHeight="1" s="154">
      <c r="L722" s="153" t="n"/>
      <c r="M722" s="153" t="n"/>
      <c r="N722" s="153" t="n"/>
      <c r="O722" s="153" t="n"/>
      <c r="P722" s="153" t="n"/>
      <c r="Q722" s="153" t="n"/>
      <c r="R722" s="153" t="n"/>
      <c r="S722" s="153" t="n"/>
      <c r="T722" s="153" t="n"/>
      <c r="U722" s="153" t="n"/>
      <c r="V722" s="153" t="n"/>
      <c r="W722" s="153" t="n"/>
      <c r="X722" s="153" t="n"/>
      <c r="Y722" s="153" t="n"/>
      <c r="Z722" s="153" t="n"/>
    </row>
    <row r="723" ht="15.75" customHeight="1" s="154">
      <c r="L723" s="153" t="n"/>
      <c r="M723" s="153" t="n"/>
      <c r="N723" s="153" t="n"/>
      <c r="O723" s="153" t="n"/>
      <c r="P723" s="153" t="n"/>
      <c r="Q723" s="153" t="n"/>
      <c r="R723" s="153" t="n"/>
      <c r="S723" s="153" t="n"/>
      <c r="T723" s="153" t="n"/>
      <c r="U723" s="153" t="n"/>
      <c r="V723" s="153" t="n"/>
      <c r="W723" s="153" t="n"/>
      <c r="X723" s="153" t="n"/>
      <c r="Y723" s="153" t="n"/>
      <c r="Z723" s="153" t="n"/>
    </row>
    <row r="724" ht="15.75" customHeight="1" s="154">
      <c r="L724" s="153" t="n"/>
      <c r="M724" s="153" t="n"/>
      <c r="N724" s="153" t="n"/>
      <c r="O724" s="153" t="n"/>
      <c r="P724" s="153" t="n"/>
      <c r="Q724" s="153" t="n"/>
      <c r="R724" s="153" t="n"/>
      <c r="S724" s="153" t="n"/>
      <c r="T724" s="153" t="n"/>
      <c r="U724" s="153" t="n"/>
      <c r="V724" s="153" t="n"/>
      <c r="W724" s="153" t="n"/>
      <c r="X724" s="153" t="n"/>
      <c r="Y724" s="153" t="n"/>
      <c r="Z724" s="153" t="n"/>
    </row>
    <row r="725" ht="15.75" customHeight="1" s="154">
      <c r="L725" s="153" t="n"/>
      <c r="M725" s="153" t="n"/>
      <c r="N725" s="153" t="n"/>
      <c r="O725" s="153" t="n"/>
      <c r="P725" s="153" t="n"/>
      <c r="Q725" s="153" t="n"/>
      <c r="R725" s="153" t="n"/>
      <c r="S725" s="153" t="n"/>
      <c r="T725" s="153" t="n"/>
      <c r="U725" s="153" t="n"/>
      <c r="V725" s="153" t="n"/>
      <c r="W725" s="153" t="n"/>
      <c r="X725" s="153" t="n"/>
      <c r="Y725" s="153" t="n"/>
      <c r="Z725" s="153" t="n"/>
    </row>
    <row r="726" ht="15.75" customHeight="1" s="154">
      <c r="L726" s="153" t="n"/>
      <c r="M726" s="153" t="n"/>
      <c r="N726" s="153" t="n"/>
      <c r="O726" s="153" t="n"/>
      <c r="P726" s="153" t="n"/>
      <c r="Q726" s="153" t="n"/>
      <c r="R726" s="153" t="n"/>
      <c r="S726" s="153" t="n"/>
      <c r="T726" s="153" t="n"/>
      <c r="U726" s="153" t="n"/>
      <c r="V726" s="153" t="n"/>
      <c r="W726" s="153" t="n"/>
      <c r="X726" s="153" t="n"/>
      <c r="Y726" s="153" t="n"/>
      <c r="Z726" s="153" t="n"/>
    </row>
    <row r="727" ht="15.75" customHeight="1" s="154">
      <c r="L727" s="153" t="n"/>
      <c r="M727" s="153" t="n"/>
      <c r="N727" s="153" t="n"/>
      <c r="O727" s="153" t="n"/>
      <c r="P727" s="153" t="n"/>
      <c r="Q727" s="153" t="n"/>
      <c r="R727" s="153" t="n"/>
      <c r="S727" s="153" t="n"/>
      <c r="T727" s="153" t="n"/>
      <c r="U727" s="153" t="n"/>
      <c r="V727" s="153" t="n"/>
      <c r="W727" s="153" t="n"/>
      <c r="X727" s="153" t="n"/>
      <c r="Y727" s="153" t="n"/>
      <c r="Z727" s="153" t="n"/>
    </row>
    <row r="728" ht="15.75" customHeight="1" s="154">
      <c r="L728" s="153" t="n"/>
      <c r="M728" s="153" t="n"/>
      <c r="N728" s="153" t="n"/>
      <c r="O728" s="153" t="n"/>
      <c r="P728" s="153" t="n"/>
      <c r="Q728" s="153" t="n"/>
      <c r="R728" s="153" t="n"/>
      <c r="S728" s="153" t="n"/>
      <c r="T728" s="153" t="n"/>
      <c r="U728" s="153" t="n"/>
      <c r="V728" s="153" t="n"/>
      <c r="W728" s="153" t="n"/>
      <c r="X728" s="153" t="n"/>
      <c r="Y728" s="153" t="n"/>
      <c r="Z728" s="153" t="n"/>
    </row>
    <row r="729" ht="15.75" customHeight="1" s="154">
      <c r="L729" s="153" t="n"/>
      <c r="M729" s="153" t="n"/>
      <c r="N729" s="153" t="n"/>
      <c r="O729" s="153" t="n"/>
      <c r="P729" s="153" t="n"/>
      <c r="Q729" s="153" t="n"/>
      <c r="R729" s="153" t="n"/>
      <c r="S729" s="153" t="n"/>
      <c r="T729" s="153" t="n"/>
      <c r="U729" s="153" t="n"/>
      <c r="V729" s="153" t="n"/>
      <c r="W729" s="153" t="n"/>
      <c r="X729" s="153" t="n"/>
      <c r="Y729" s="153" t="n"/>
      <c r="Z729" s="153" t="n"/>
    </row>
    <row r="730" ht="15.75" customHeight="1" s="154">
      <c r="L730" s="153" t="n"/>
      <c r="M730" s="153" t="n"/>
      <c r="N730" s="153" t="n"/>
      <c r="O730" s="153" t="n"/>
      <c r="P730" s="153" t="n"/>
      <c r="Q730" s="153" t="n"/>
      <c r="R730" s="153" t="n"/>
      <c r="S730" s="153" t="n"/>
      <c r="T730" s="153" t="n"/>
      <c r="U730" s="153" t="n"/>
      <c r="V730" s="153" t="n"/>
      <c r="W730" s="153" t="n"/>
      <c r="X730" s="153" t="n"/>
      <c r="Y730" s="153" t="n"/>
      <c r="Z730" s="153" t="n"/>
    </row>
    <row r="731" ht="15.75" customHeight="1" s="154">
      <c r="L731" s="153" t="n"/>
      <c r="M731" s="153" t="n"/>
      <c r="N731" s="153" t="n"/>
      <c r="O731" s="153" t="n"/>
      <c r="P731" s="153" t="n"/>
      <c r="Q731" s="153" t="n"/>
      <c r="R731" s="153" t="n"/>
      <c r="S731" s="153" t="n"/>
      <c r="T731" s="153" t="n"/>
      <c r="U731" s="153" t="n"/>
      <c r="V731" s="153" t="n"/>
      <c r="W731" s="153" t="n"/>
      <c r="X731" s="153" t="n"/>
      <c r="Y731" s="153" t="n"/>
      <c r="Z731" s="153" t="n"/>
    </row>
    <row r="732" ht="15.75" customHeight="1" s="154">
      <c r="L732" s="153" t="n"/>
      <c r="M732" s="153" t="n"/>
      <c r="N732" s="153" t="n"/>
      <c r="O732" s="153" t="n"/>
      <c r="P732" s="153" t="n"/>
      <c r="Q732" s="153" t="n"/>
      <c r="R732" s="153" t="n"/>
      <c r="S732" s="153" t="n"/>
      <c r="T732" s="153" t="n"/>
      <c r="U732" s="153" t="n"/>
      <c r="V732" s="153" t="n"/>
      <c r="W732" s="153" t="n"/>
      <c r="X732" s="153" t="n"/>
      <c r="Y732" s="153" t="n"/>
      <c r="Z732" s="153" t="n"/>
    </row>
    <row r="733" ht="15.75" customHeight="1" s="154">
      <c r="L733" s="153" t="n"/>
      <c r="M733" s="153" t="n"/>
      <c r="N733" s="153" t="n"/>
      <c r="O733" s="153" t="n"/>
      <c r="P733" s="153" t="n"/>
      <c r="Q733" s="153" t="n"/>
      <c r="R733" s="153" t="n"/>
      <c r="S733" s="153" t="n"/>
      <c r="T733" s="153" t="n"/>
      <c r="U733" s="153" t="n"/>
      <c r="V733" s="153" t="n"/>
      <c r="W733" s="153" t="n"/>
      <c r="X733" s="153" t="n"/>
      <c r="Y733" s="153" t="n"/>
      <c r="Z733" s="153" t="n"/>
    </row>
    <row r="734" ht="15.75" customHeight="1" s="154">
      <c r="L734" s="153" t="n"/>
      <c r="M734" s="153" t="n"/>
      <c r="N734" s="153" t="n"/>
      <c r="O734" s="153" t="n"/>
      <c r="P734" s="153" t="n"/>
      <c r="Q734" s="153" t="n"/>
      <c r="R734" s="153" t="n"/>
      <c r="S734" s="153" t="n"/>
      <c r="T734" s="153" t="n"/>
      <c r="U734" s="153" t="n"/>
      <c r="V734" s="153" t="n"/>
      <c r="W734" s="153" t="n"/>
      <c r="X734" s="153" t="n"/>
      <c r="Y734" s="153" t="n"/>
      <c r="Z734" s="153" t="n"/>
    </row>
    <row r="735" ht="15.75" customHeight="1" s="154">
      <c r="L735" s="153" t="n"/>
      <c r="M735" s="153" t="n"/>
      <c r="N735" s="153" t="n"/>
      <c r="O735" s="153" t="n"/>
      <c r="P735" s="153" t="n"/>
      <c r="Q735" s="153" t="n"/>
      <c r="R735" s="153" t="n"/>
      <c r="S735" s="153" t="n"/>
      <c r="T735" s="153" t="n"/>
      <c r="U735" s="153" t="n"/>
      <c r="V735" s="153" t="n"/>
      <c r="W735" s="153" t="n"/>
      <c r="X735" s="153" t="n"/>
      <c r="Y735" s="153" t="n"/>
      <c r="Z735" s="153" t="n"/>
    </row>
    <row r="736" ht="15.75" customHeight="1" s="154">
      <c r="L736" s="153" t="n"/>
      <c r="M736" s="153" t="n"/>
      <c r="N736" s="153" t="n"/>
      <c r="O736" s="153" t="n"/>
      <c r="P736" s="153" t="n"/>
      <c r="Q736" s="153" t="n"/>
      <c r="R736" s="153" t="n"/>
      <c r="S736" s="153" t="n"/>
      <c r="T736" s="153" t="n"/>
      <c r="U736" s="153" t="n"/>
      <c r="V736" s="153" t="n"/>
      <c r="W736" s="153" t="n"/>
      <c r="X736" s="153" t="n"/>
      <c r="Y736" s="153" t="n"/>
      <c r="Z736" s="153" t="n"/>
    </row>
    <row r="737" ht="15.75" customHeight="1" s="154">
      <c r="L737" s="153" t="n"/>
      <c r="M737" s="153" t="n"/>
      <c r="N737" s="153" t="n"/>
      <c r="O737" s="153" t="n"/>
      <c r="P737" s="153" t="n"/>
      <c r="Q737" s="153" t="n"/>
      <c r="R737" s="153" t="n"/>
      <c r="S737" s="153" t="n"/>
      <c r="T737" s="153" t="n"/>
      <c r="U737" s="153" t="n"/>
      <c r="V737" s="153" t="n"/>
      <c r="W737" s="153" t="n"/>
      <c r="X737" s="153" t="n"/>
      <c r="Y737" s="153" t="n"/>
      <c r="Z737" s="153" t="n"/>
    </row>
    <row r="738" ht="15.75" customHeight="1" s="154">
      <c r="L738" s="153" t="n"/>
      <c r="M738" s="153" t="n"/>
      <c r="N738" s="153" t="n"/>
      <c r="O738" s="153" t="n"/>
      <c r="P738" s="153" t="n"/>
      <c r="Q738" s="153" t="n"/>
      <c r="R738" s="153" t="n"/>
      <c r="S738" s="153" t="n"/>
      <c r="T738" s="153" t="n"/>
      <c r="U738" s="153" t="n"/>
      <c r="V738" s="153" t="n"/>
      <c r="W738" s="153" t="n"/>
      <c r="X738" s="153" t="n"/>
      <c r="Y738" s="153" t="n"/>
      <c r="Z738" s="153" t="n"/>
    </row>
    <row r="739" ht="15.75" customHeight="1" s="154">
      <c r="L739" s="153" t="n"/>
      <c r="M739" s="153" t="n"/>
      <c r="N739" s="153" t="n"/>
      <c r="O739" s="153" t="n"/>
      <c r="P739" s="153" t="n"/>
      <c r="Q739" s="153" t="n"/>
      <c r="R739" s="153" t="n"/>
      <c r="S739" s="153" t="n"/>
      <c r="T739" s="153" t="n"/>
      <c r="U739" s="153" t="n"/>
      <c r="V739" s="153" t="n"/>
      <c r="W739" s="153" t="n"/>
      <c r="X739" s="153" t="n"/>
      <c r="Y739" s="153" t="n"/>
      <c r="Z739" s="153" t="n"/>
    </row>
    <row r="740" ht="15.75" customHeight="1" s="154">
      <c r="L740" s="153" t="n"/>
      <c r="M740" s="153" t="n"/>
      <c r="N740" s="153" t="n"/>
      <c r="O740" s="153" t="n"/>
      <c r="P740" s="153" t="n"/>
      <c r="Q740" s="153" t="n"/>
      <c r="R740" s="153" t="n"/>
      <c r="S740" s="153" t="n"/>
      <c r="T740" s="153" t="n"/>
      <c r="U740" s="153" t="n"/>
      <c r="V740" s="153" t="n"/>
      <c r="W740" s="153" t="n"/>
      <c r="X740" s="153" t="n"/>
      <c r="Y740" s="153" t="n"/>
      <c r="Z740" s="153" t="n"/>
    </row>
    <row r="741" ht="15.75" customHeight="1" s="154">
      <c r="L741" s="153" t="n"/>
      <c r="M741" s="153" t="n"/>
      <c r="N741" s="153" t="n"/>
      <c r="O741" s="153" t="n"/>
      <c r="P741" s="153" t="n"/>
      <c r="Q741" s="153" t="n"/>
      <c r="R741" s="153" t="n"/>
      <c r="S741" s="153" t="n"/>
      <c r="T741" s="153" t="n"/>
      <c r="U741" s="153" t="n"/>
      <c r="V741" s="153" t="n"/>
      <c r="W741" s="153" t="n"/>
      <c r="X741" s="153" t="n"/>
      <c r="Y741" s="153" t="n"/>
      <c r="Z741" s="153" t="n"/>
    </row>
    <row r="742" ht="15.75" customHeight="1" s="154">
      <c r="L742" s="153" t="n"/>
      <c r="M742" s="153" t="n"/>
      <c r="N742" s="153" t="n"/>
      <c r="O742" s="153" t="n"/>
      <c r="P742" s="153" t="n"/>
      <c r="Q742" s="153" t="n"/>
      <c r="R742" s="153" t="n"/>
      <c r="S742" s="153" t="n"/>
      <c r="T742" s="153" t="n"/>
      <c r="U742" s="153" t="n"/>
      <c r="V742" s="153" t="n"/>
      <c r="W742" s="153" t="n"/>
      <c r="X742" s="153" t="n"/>
      <c r="Y742" s="153" t="n"/>
      <c r="Z742" s="153" t="n"/>
    </row>
    <row r="743" ht="15.75" customHeight="1" s="154">
      <c r="L743" s="153" t="n"/>
      <c r="M743" s="153" t="n"/>
      <c r="N743" s="153" t="n"/>
      <c r="O743" s="153" t="n"/>
      <c r="P743" s="153" t="n"/>
      <c r="Q743" s="153" t="n"/>
      <c r="R743" s="153" t="n"/>
      <c r="S743" s="153" t="n"/>
      <c r="T743" s="153" t="n"/>
      <c r="U743" s="153" t="n"/>
      <c r="V743" s="153" t="n"/>
      <c r="W743" s="153" t="n"/>
      <c r="X743" s="153" t="n"/>
      <c r="Y743" s="153" t="n"/>
      <c r="Z743" s="153" t="n"/>
    </row>
    <row r="744" ht="15.75" customHeight="1" s="154">
      <c r="L744" s="153" t="n"/>
      <c r="M744" s="153" t="n"/>
      <c r="N744" s="153" t="n"/>
      <c r="O744" s="153" t="n"/>
      <c r="P744" s="153" t="n"/>
      <c r="Q744" s="153" t="n"/>
      <c r="R744" s="153" t="n"/>
      <c r="S744" s="153" t="n"/>
      <c r="T744" s="153" t="n"/>
      <c r="U744" s="153" t="n"/>
      <c r="V744" s="153" t="n"/>
      <c r="W744" s="153" t="n"/>
      <c r="X744" s="153" t="n"/>
      <c r="Y744" s="153" t="n"/>
      <c r="Z744" s="153" t="n"/>
    </row>
    <row r="745" ht="15.75" customHeight="1" s="154">
      <c r="L745" s="153" t="n"/>
      <c r="M745" s="153" t="n"/>
      <c r="N745" s="153" t="n"/>
      <c r="O745" s="153" t="n"/>
      <c r="P745" s="153" t="n"/>
      <c r="Q745" s="153" t="n"/>
      <c r="R745" s="153" t="n"/>
      <c r="S745" s="153" t="n"/>
      <c r="T745" s="153" t="n"/>
      <c r="U745" s="153" t="n"/>
      <c r="V745" s="153" t="n"/>
      <c r="W745" s="153" t="n"/>
      <c r="X745" s="153" t="n"/>
      <c r="Y745" s="153" t="n"/>
      <c r="Z745" s="153" t="n"/>
    </row>
    <row r="746" ht="15.75" customHeight="1" s="154">
      <c r="L746" s="153" t="n"/>
      <c r="M746" s="153" t="n"/>
      <c r="N746" s="153" t="n"/>
      <c r="O746" s="153" t="n"/>
      <c r="P746" s="153" t="n"/>
      <c r="Q746" s="153" t="n"/>
      <c r="R746" s="153" t="n"/>
      <c r="S746" s="153" t="n"/>
      <c r="T746" s="153" t="n"/>
      <c r="U746" s="153" t="n"/>
      <c r="V746" s="153" t="n"/>
      <c r="W746" s="153" t="n"/>
      <c r="X746" s="153" t="n"/>
      <c r="Y746" s="153" t="n"/>
      <c r="Z746" s="153" t="n"/>
    </row>
    <row r="747" ht="15.75" customHeight="1" s="154">
      <c r="L747" s="153" t="n"/>
      <c r="M747" s="153" t="n"/>
      <c r="N747" s="153" t="n"/>
      <c r="O747" s="153" t="n"/>
      <c r="P747" s="153" t="n"/>
      <c r="Q747" s="153" t="n"/>
      <c r="R747" s="153" t="n"/>
      <c r="S747" s="153" t="n"/>
      <c r="T747" s="153" t="n"/>
      <c r="U747" s="153" t="n"/>
      <c r="V747" s="153" t="n"/>
      <c r="W747" s="153" t="n"/>
      <c r="X747" s="153" t="n"/>
      <c r="Y747" s="153" t="n"/>
      <c r="Z747" s="153" t="n"/>
    </row>
    <row r="748" ht="15.75" customHeight="1" s="154">
      <c r="L748" s="153" t="n"/>
      <c r="M748" s="153" t="n"/>
      <c r="N748" s="153" t="n"/>
      <c r="O748" s="153" t="n"/>
      <c r="P748" s="153" t="n"/>
      <c r="Q748" s="153" t="n"/>
      <c r="R748" s="153" t="n"/>
      <c r="S748" s="153" t="n"/>
      <c r="T748" s="153" t="n"/>
      <c r="U748" s="153" t="n"/>
      <c r="V748" s="153" t="n"/>
      <c r="W748" s="153" t="n"/>
      <c r="X748" s="153" t="n"/>
      <c r="Y748" s="153" t="n"/>
      <c r="Z748" s="153" t="n"/>
    </row>
    <row r="749" ht="15.75" customHeight="1" s="154">
      <c r="L749" s="153" t="n"/>
      <c r="M749" s="153" t="n"/>
      <c r="N749" s="153" t="n"/>
      <c r="O749" s="153" t="n"/>
      <c r="P749" s="153" t="n"/>
      <c r="Q749" s="153" t="n"/>
      <c r="R749" s="153" t="n"/>
      <c r="S749" s="153" t="n"/>
      <c r="T749" s="153" t="n"/>
      <c r="U749" s="153" t="n"/>
      <c r="V749" s="153" t="n"/>
      <c r="W749" s="153" t="n"/>
      <c r="X749" s="153" t="n"/>
      <c r="Y749" s="153" t="n"/>
      <c r="Z749" s="153" t="n"/>
    </row>
    <row r="750" ht="15.75" customHeight="1" s="154">
      <c r="L750" s="153" t="n"/>
      <c r="M750" s="153" t="n"/>
      <c r="N750" s="153" t="n"/>
      <c r="O750" s="153" t="n"/>
      <c r="P750" s="153" t="n"/>
      <c r="Q750" s="153" t="n"/>
      <c r="R750" s="153" t="n"/>
      <c r="S750" s="153" t="n"/>
      <c r="T750" s="153" t="n"/>
      <c r="U750" s="153" t="n"/>
      <c r="V750" s="153" t="n"/>
      <c r="W750" s="153" t="n"/>
      <c r="X750" s="153" t="n"/>
      <c r="Y750" s="153" t="n"/>
      <c r="Z750" s="153" t="n"/>
    </row>
    <row r="751" ht="15.75" customHeight="1" s="154">
      <c r="L751" s="153" t="n"/>
      <c r="M751" s="153" t="n"/>
      <c r="N751" s="153" t="n"/>
      <c r="O751" s="153" t="n"/>
      <c r="P751" s="153" t="n"/>
      <c r="Q751" s="153" t="n"/>
      <c r="R751" s="153" t="n"/>
      <c r="S751" s="153" t="n"/>
      <c r="T751" s="153" t="n"/>
      <c r="U751" s="153" t="n"/>
      <c r="V751" s="153" t="n"/>
      <c r="W751" s="153" t="n"/>
      <c r="X751" s="153" t="n"/>
      <c r="Y751" s="153" t="n"/>
      <c r="Z751" s="153" t="n"/>
    </row>
    <row r="752" ht="15.75" customHeight="1" s="154">
      <c r="L752" s="153" t="n"/>
      <c r="M752" s="153" t="n"/>
      <c r="N752" s="153" t="n"/>
      <c r="O752" s="153" t="n"/>
      <c r="P752" s="153" t="n"/>
      <c r="Q752" s="153" t="n"/>
      <c r="R752" s="153" t="n"/>
      <c r="S752" s="153" t="n"/>
      <c r="T752" s="153" t="n"/>
      <c r="U752" s="153" t="n"/>
      <c r="V752" s="153" t="n"/>
      <c r="W752" s="153" t="n"/>
      <c r="X752" s="153" t="n"/>
      <c r="Y752" s="153" t="n"/>
      <c r="Z752" s="153" t="n"/>
    </row>
    <row r="753" ht="15.75" customHeight="1" s="154">
      <c r="L753" s="153" t="n"/>
      <c r="M753" s="153" t="n"/>
      <c r="N753" s="153" t="n"/>
      <c r="O753" s="153" t="n"/>
      <c r="P753" s="153" t="n"/>
      <c r="Q753" s="153" t="n"/>
      <c r="R753" s="153" t="n"/>
      <c r="S753" s="153" t="n"/>
      <c r="T753" s="153" t="n"/>
      <c r="U753" s="153" t="n"/>
      <c r="V753" s="153" t="n"/>
      <c r="W753" s="153" t="n"/>
      <c r="X753" s="153" t="n"/>
      <c r="Y753" s="153" t="n"/>
      <c r="Z753" s="153" t="n"/>
    </row>
    <row r="754" ht="15.75" customHeight="1" s="154">
      <c r="L754" s="153" t="n"/>
      <c r="M754" s="153" t="n"/>
      <c r="N754" s="153" t="n"/>
      <c r="O754" s="153" t="n"/>
      <c r="P754" s="153" t="n"/>
      <c r="Q754" s="153" t="n"/>
      <c r="R754" s="153" t="n"/>
      <c r="S754" s="153" t="n"/>
      <c r="T754" s="153" t="n"/>
      <c r="U754" s="153" t="n"/>
      <c r="V754" s="153" t="n"/>
      <c r="W754" s="153" t="n"/>
      <c r="X754" s="153" t="n"/>
      <c r="Y754" s="153" t="n"/>
      <c r="Z754" s="153" t="n"/>
    </row>
    <row r="755" ht="15.75" customHeight="1" s="154">
      <c r="L755" s="153" t="n"/>
      <c r="M755" s="153" t="n"/>
      <c r="N755" s="153" t="n"/>
      <c r="O755" s="153" t="n"/>
      <c r="P755" s="153" t="n"/>
      <c r="Q755" s="153" t="n"/>
      <c r="R755" s="153" t="n"/>
      <c r="S755" s="153" t="n"/>
      <c r="T755" s="153" t="n"/>
      <c r="U755" s="153" t="n"/>
      <c r="V755" s="153" t="n"/>
      <c r="W755" s="153" t="n"/>
      <c r="X755" s="153" t="n"/>
      <c r="Y755" s="153" t="n"/>
      <c r="Z755" s="153" t="n"/>
    </row>
    <row r="756" ht="15.75" customHeight="1" s="154">
      <c r="L756" s="153" t="n"/>
      <c r="M756" s="153" t="n"/>
      <c r="N756" s="153" t="n"/>
      <c r="O756" s="153" t="n"/>
      <c r="P756" s="153" t="n"/>
      <c r="Q756" s="153" t="n"/>
      <c r="R756" s="153" t="n"/>
      <c r="S756" s="153" t="n"/>
      <c r="T756" s="153" t="n"/>
      <c r="U756" s="153" t="n"/>
      <c r="V756" s="153" t="n"/>
      <c r="W756" s="153" t="n"/>
      <c r="X756" s="153" t="n"/>
      <c r="Y756" s="153" t="n"/>
      <c r="Z756" s="153" t="n"/>
    </row>
    <row r="757" ht="15.75" customHeight="1" s="154">
      <c r="L757" s="153" t="n"/>
      <c r="M757" s="153" t="n"/>
      <c r="N757" s="153" t="n"/>
      <c r="O757" s="153" t="n"/>
      <c r="P757" s="153" t="n"/>
      <c r="Q757" s="153" t="n"/>
      <c r="R757" s="153" t="n"/>
      <c r="S757" s="153" t="n"/>
      <c r="T757" s="153" t="n"/>
      <c r="U757" s="153" t="n"/>
      <c r="V757" s="153" t="n"/>
      <c r="W757" s="153" t="n"/>
      <c r="X757" s="153" t="n"/>
      <c r="Y757" s="153" t="n"/>
      <c r="Z757" s="153" t="n"/>
    </row>
    <row r="758" ht="15.75" customHeight="1" s="154">
      <c r="L758" s="153" t="n"/>
      <c r="M758" s="153" t="n"/>
      <c r="N758" s="153" t="n"/>
      <c r="O758" s="153" t="n"/>
      <c r="P758" s="153" t="n"/>
      <c r="Q758" s="153" t="n"/>
      <c r="R758" s="153" t="n"/>
      <c r="S758" s="153" t="n"/>
      <c r="T758" s="153" t="n"/>
      <c r="U758" s="153" t="n"/>
      <c r="V758" s="153" t="n"/>
      <c r="W758" s="153" t="n"/>
      <c r="X758" s="153" t="n"/>
      <c r="Y758" s="153" t="n"/>
      <c r="Z758" s="153" t="n"/>
    </row>
    <row r="759" ht="15.75" customHeight="1" s="154">
      <c r="L759" s="153" t="n"/>
      <c r="M759" s="153" t="n"/>
      <c r="N759" s="153" t="n"/>
      <c r="O759" s="153" t="n"/>
      <c r="P759" s="153" t="n"/>
      <c r="Q759" s="153" t="n"/>
      <c r="R759" s="153" t="n"/>
      <c r="S759" s="153" t="n"/>
      <c r="T759" s="153" t="n"/>
      <c r="U759" s="153" t="n"/>
      <c r="V759" s="153" t="n"/>
      <c r="W759" s="153" t="n"/>
      <c r="X759" s="153" t="n"/>
      <c r="Y759" s="153" t="n"/>
      <c r="Z759" s="153" t="n"/>
    </row>
    <row r="760" ht="15.75" customHeight="1" s="154">
      <c r="L760" s="153" t="n"/>
      <c r="M760" s="153" t="n"/>
      <c r="N760" s="153" t="n"/>
      <c r="O760" s="153" t="n"/>
      <c r="P760" s="153" t="n"/>
      <c r="Q760" s="153" t="n"/>
      <c r="R760" s="153" t="n"/>
      <c r="S760" s="153" t="n"/>
      <c r="T760" s="153" t="n"/>
      <c r="U760" s="153" t="n"/>
      <c r="V760" s="153" t="n"/>
      <c r="W760" s="153" t="n"/>
      <c r="X760" s="153" t="n"/>
      <c r="Y760" s="153" t="n"/>
      <c r="Z760" s="153" t="n"/>
    </row>
    <row r="761" ht="15.75" customHeight="1" s="154">
      <c r="L761" s="153" t="n"/>
      <c r="M761" s="153" t="n"/>
      <c r="N761" s="153" t="n"/>
      <c r="O761" s="153" t="n"/>
      <c r="P761" s="153" t="n"/>
      <c r="Q761" s="153" t="n"/>
      <c r="R761" s="153" t="n"/>
      <c r="S761" s="153" t="n"/>
      <c r="T761" s="153" t="n"/>
      <c r="U761" s="153" t="n"/>
      <c r="V761" s="153" t="n"/>
      <c r="W761" s="153" t="n"/>
      <c r="X761" s="153" t="n"/>
      <c r="Y761" s="153" t="n"/>
      <c r="Z761" s="153" t="n"/>
    </row>
    <row r="762" ht="15.75" customHeight="1" s="154">
      <c r="L762" s="153" t="n"/>
      <c r="M762" s="153" t="n"/>
      <c r="N762" s="153" t="n"/>
      <c r="O762" s="153" t="n"/>
      <c r="P762" s="153" t="n"/>
      <c r="Q762" s="153" t="n"/>
      <c r="R762" s="153" t="n"/>
      <c r="S762" s="153" t="n"/>
      <c r="T762" s="153" t="n"/>
      <c r="U762" s="153" t="n"/>
      <c r="V762" s="153" t="n"/>
      <c r="W762" s="153" t="n"/>
      <c r="X762" s="153" t="n"/>
      <c r="Y762" s="153" t="n"/>
      <c r="Z762" s="153" t="n"/>
    </row>
    <row r="763" ht="15.75" customHeight="1" s="154">
      <c r="L763" s="153" t="n"/>
      <c r="M763" s="153" t="n"/>
      <c r="N763" s="153" t="n"/>
      <c r="O763" s="153" t="n"/>
      <c r="P763" s="153" t="n"/>
      <c r="Q763" s="153" t="n"/>
      <c r="R763" s="153" t="n"/>
      <c r="S763" s="153" t="n"/>
      <c r="T763" s="153" t="n"/>
      <c r="U763" s="153" t="n"/>
      <c r="V763" s="153" t="n"/>
      <c r="W763" s="153" t="n"/>
      <c r="X763" s="153" t="n"/>
      <c r="Y763" s="153" t="n"/>
      <c r="Z763" s="153" t="n"/>
    </row>
    <row r="764" ht="15.75" customHeight="1" s="154">
      <c r="L764" s="153" t="n"/>
      <c r="M764" s="153" t="n"/>
      <c r="N764" s="153" t="n"/>
      <c r="O764" s="153" t="n"/>
      <c r="P764" s="153" t="n"/>
      <c r="Q764" s="153" t="n"/>
      <c r="R764" s="153" t="n"/>
      <c r="S764" s="153" t="n"/>
      <c r="T764" s="153" t="n"/>
      <c r="U764" s="153" t="n"/>
      <c r="V764" s="153" t="n"/>
      <c r="W764" s="153" t="n"/>
      <c r="X764" s="153" t="n"/>
      <c r="Y764" s="153" t="n"/>
      <c r="Z764" s="153" t="n"/>
    </row>
    <row r="765" ht="15.75" customHeight="1" s="154">
      <c r="L765" s="153" t="n"/>
      <c r="M765" s="153" t="n"/>
      <c r="N765" s="153" t="n"/>
      <c r="O765" s="153" t="n"/>
      <c r="P765" s="153" t="n"/>
      <c r="Q765" s="153" t="n"/>
      <c r="R765" s="153" t="n"/>
      <c r="S765" s="153" t="n"/>
      <c r="T765" s="153" t="n"/>
      <c r="U765" s="153" t="n"/>
      <c r="V765" s="153" t="n"/>
      <c r="W765" s="153" t="n"/>
      <c r="X765" s="153" t="n"/>
      <c r="Y765" s="153" t="n"/>
      <c r="Z765" s="153" t="n"/>
    </row>
    <row r="766" ht="15.75" customHeight="1" s="154">
      <c r="L766" s="153" t="n"/>
      <c r="M766" s="153" t="n"/>
      <c r="N766" s="153" t="n"/>
      <c r="O766" s="153" t="n"/>
      <c r="P766" s="153" t="n"/>
      <c r="Q766" s="153" t="n"/>
      <c r="R766" s="153" t="n"/>
      <c r="S766" s="153" t="n"/>
      <c r="T766" s="153" t="n"/>
      <c r="U766" s="153" t="n"/>
      <c r="V766" s="153" t="n"/>
      <c r="W766" s="153" t="n"/>
      <c r="X766" s="153" t="n"/>
      <c r="Y766" s="153" t="n"/>
      <c r="Z766" s="153" t="n"/>
    </row>
    <row r="767" ht="15.75" customHeight="1" s="154">
      <c r="L767" s="153" t="n"/>
      <c r="M767" s="153" t="n"/>
      <c r="N767" s="153" t="n"/>
      <c r="O767" s="153" t="n"/>
      <c r="P767" s="153" t="n"/>
      <c r="Q767" s="153" t="n"/>
      <c r="R767" s="153" t="n"/>
      <c r="S767" s="153" t="n"/>
      <c r="T767" s="153" t="n"/>
      <c r="U767" s="153" t="n"/>
      <c r="V767" s="153" t="n"/>
      <c r="W767" s="153" t="n"/>
      <c r="X767" s="153" t="n"/>
      <c r="Y767" s="153" t="n"/>
      <c r="Z767" s="153" t="n"/>
    </row>
    <row r="768" ht="15.75" customHeight="1" s="154">
      <c r="L768" s="153" t="n"/>
      <c r="M768" s="153" t="n"/>
      <c r="N768" s="153" t="n"/>
      <c r="O768" s="153" t="n"/>
      <c r="P768" s="153" t="n"/>
      <c r="Q768" s="153" t="n"/>
      <c r="R768" s="153" t="n"/>
      <c r="S768" s="153" t="n"/>
      <c r="T768" s="153" t="n"/>
      <c r="U768" s="153" t="n"/>
      <c r="V768" s="153" t="n"/>
      <c r="W768" s="153" t="n"/>
      <c r="X768" s="153" t="n"/>
      <c r="Y768" s="153" t="n"/>
      <c r="Z768" s="153" t="n"/>
    </row>
    <row r="769" ht="15.75" customHeight="1" s="154">
      <c r="L769" s="153" t="n"/>
      <c r="M769" s="153" t="n"/>
      <c r="N769" s="153" t="n"/>
      <c r="O769" s="153" t="n"/>
      <c r="P769" s="153" t="n"/>
      <c r="Q769" s="153" t="n"/>
      <c r="R769" s="153" t="n"/>
      <c r="S769" s="153" t="n"/>
      <c r="T769" s="153" t="n"/>
      <c r="U769" s="153" t="n"/>
      <c r="V769" s="153" t="n"/>
      <c r="W769" s="153" t="n"/>
      <c r="X769" s="153" t="n"/>
      <c r="Y769" s="153" t="n"/>
      <c r="Z769" s="153" t="n"/>
    </row>
    <row r="770" ht="15.75" customHeight="1" s="154">
      <c r="L770" s="153" t="n"/>
      <c r="M770" s="153" t="n"/>
      <c r="N770" s="153" t="n"/>
      <c r="O770" s="153" t="n"/>
      <c r="P770" s="153" t="n"/>
      <c r="Q770" s="153" t="n"/>
      <c r="R770" s="153" t="n"/>
      <c r="S770" s="153" t="n"/>
      <c r="T770" s="153" t="n"/>
      <c r="U770" s="153" t="n"/>
      <c r="V770" s="153" t="n"/>
      <c r="W770" s="153" t="n"/>
      <c r="X770" s="153" t="n"/>
      <c r="Y770" s="153" t="n"/>
      <c r="Z770" s="153" t="n"/>
    </row>
    <row r="771" ht="15.75" customHeight="1" s="154">
      <c r="L771" s="153" t="n"/>
      <c r="M771" s="153" t="n"/>
      <c r="N771" s="153" t="n"/>
      <c r="O771" s="153" t="n"/>
      <c r="P771" s="153" t="n"/>
      <c r="Q771" s="153" t="n"/>
      <c r="R771" s="153" t="n"/>
      <c r="S771" s="153" t="n"/>
      <c r="T771" s="153" t="n"/>
      <c r="U771" s="153" t="n"/>
      <c r="V771" s="153" t="n"/>
      <c r="W771" s="153" t="n"/>
      <c r="X771" s="153" t="n"/>
      <c r="Y771" s="153" t="n"/>
      <c r="Z771" s="153" t="n"/>
    </row>
    <row r="772" ht="15.75" customHeight="1" s="154">
      <c r="L772" s="153" t="n"/>
      <c r="M772" s="153" t="n"/>
      <c r="N772" s="153" t="n"/>
      <c r="O772" s="153" t="n"/>
      <c r="P772" s="153" t="n"/>
      <c r="Q772" s="153" t="n"/>
      <c r="R772" s="153" t="n"/>
      <c r="S772" s="153" t="n"/>
      <c r="T772" s="153" t="n"/>
      <c r="U772" s="153" t="n"/>
      <c r="V772" s="153" t="n"/>
      <c r="W772" s="153" t="n"/>
      <c r="X772" s="153" t="n"/>
      <c r="Y772" s="153" t="n"/>
      <c r="Z772" s="153" t="n"/>
    </row>
    <row r="773" ht="15.75" customHeight="1" s="154">
      <c r="L773" s="153" t="n"/>
      <c r="M773" s="153" t="n"/>
      <c r="N773" s="153" t="n"/>
      <c r="O773" s="153" t="n"/>
      <c r="P773" s="153" t="n"/>
      <c r="Q773" s="153" t="n"/>
      <c r="R773" s="153" t="n"/>
      <c r="S773" s="153" t="n"/>
      <c r="T773" s="153" t="n"/>
      <c r="U773" s="153" t="n"/>
      <c r="V773" s="153" t="n"/>
      <c r="W773" s="153" t="n"/>
      <c r="X773" s="153" t="n"/>
      <c r="Y773" s="153" t="n"/>
      <c r="Z773" s="153" t="n"/>
    </row>
    <row r="774" ht="15.75" customHeight="1" s="154">
      <c r="L774" s="153" t="n"/>
      <c r="M774" s="153" t="n"/>
      <c r="N774" s="153" t="n"/>
      <c r="O774" s="153" t="n"/>
      <c r="P774" s="153" t="n"/>
      <c r="Q774" s="153" t="n"/>
      <c r="R774" s="153" t="n"/>
      <c r="S774" s="153" t="n"/>
      <c r="T774" s="153" t="n"/>
      <c r="U774" s="153" t="n"/>
      <c r="V774" s="153" t="n"/>
      <c r="W774" s="153" t="n"/>
      <c r="X774" s="153" t="n"/>
      <c r="Y774" s="153" t="n"/>
      <c r="Z774" s="153" t="n"/>
    </row>
    <row r="775" ht="15.75" customHeight="1" s="154">
      <c r="L775" s="153" t="n"/>
      <c r="M775" s="153" t="n"/>
      <c r="N775" s="153" t="n"/>
      <c r="O775" s="153" t="n"/>
      <c r="P775" s="153" t="n"/>
      <c r="Q775" s="153" t="n"/>
      <c r="R775" s="153" t="n"/>
      <c r="S775" s="153" t="n"/>
      <c r="T775" s="153" t="n"/>
      <c r="U775" s="153" t="n"/>
      <c r="V775" s="153" t="n"/>
      <c r="W775" s="153" t="n"/>
      <c r="X775" s="153" t="n"/>
      <c r="Y775" s="153" t="n"/>
      <c r="Z775" s="153" t="n"/>
    </row>
    <row r="776" ht="15.75" customHeight="1" s="154">
      <c r="L776" s="153" t="n"/>
      <c r="M776" s="153" t="n"/>
      <c r="N776" s="153" t="n"/>
      <c r="O776" s="153" t="n"/>
      <c r="P776" s="153" t="n"/>
      <c r="Q776" s="153" t="n"/>
      <c r="R776" s="153" t="n"/>
      <c r="S776" s="153" t="n"/>
      <c r="T776" s="153" t="n"/>
      <c r="U776" s="153" t="n"/>
      <c r="V776" s="153" t="n"/>
      <c r="W776" s="153" t="n"/>
      <c r="X776" s="153" t="n"/>
      <c r="Y776" s="153" t="n"/>
      <c r="Z776" s="153" t="n"/>
    </row>
    <row r="777" ht="15.75" customHeight="1" s="154">
      <c r="L777" s="153" t="n"/>
      <c r="M777" s="153" t="n"/>
      <c r="N777" s="153" t="n"/>
      <c r="O777" s="153" t="n"/>
      <c r="P777" s="153" t="n"/>
      <c r="Q777" s="153" t="n"/>
      <c r="R777" s="153" t="n"/>
      <c r="S777" s="153" t="n"/>
      <c r="T777" s="153" t="n"/>
      <c r="U777" s="153" t="n"/>
      <c r="V777" s="153" t="n"/>
      <c r="W777" s="153" t="n"/>
      <c r="X777" s="153" t="n"/>
      <c r="Y777" s="153" t="n"/>
      <c r="Z777" s="153" t="n"/>
    </row>
    <row r="778" ht="15.75" customHeight="1" s="154">
      <c r="L778" s="153" t="n"/>
      <c r="M778" s="153" t="n"/>
      <c r="N778" s="153" t="n"/>
      <c r="O778" s="153" t="n"/>
      <c r="P778" s="153" t="n"/>
      <c r="Q778" s="153" t="n"/>
      <c r="R778" s="153" t="n"/>
      <c r="S778" s="153" t="n"/>
      <c r="T778" s="153" t="n"/>
      <c r="U778" s="153" t="n"/>
      <c r="V778" s="153" t="n"/>
      <c r="W778" s="153" t="n"/>
      <c r="X778" s="153" t="n"/>
      <c r="Y778" s="153" t="n"/>
      <c r="Z778" s="153" t="n"/>
    </row>
    <row r="779" ht="15.75" customHeight="1" s="154">
      <c r="L779" s="153" t="n"/>
      <c r="M779" s="153" t="n"/>
      <c r="N779" s="153" t="n"/>
      <c r="O779" s="153" t="n"/>
      <c r="P779" s="153" t="n"/>
      <c r="Q779" s="153" t="n"/>
      <c r="R779" s="153" t="n"/>
      <c r="S779" s="153" t="n"/>
      <c r="T779" s="153" t="n"/>
      <c r="U779" s="153" t="n"/>
      <c r="V779" s="153" t="n"/>
      <c r="W779" s="153" t="n"/>
      <c r="X779" s="153" t="n"/>
      <c r="Y779" s="153" t="n"/>
      <c r="Z779" s="153" t="n"/>
    </row>
    <row r="780" ht="15.75" customHeight="1" s="154">
      <c r="L780" s="153" t="n"/>
      <c r="M780" s="153" t="n"/>
      <c r="N780" s="153" t="n"/>
      <c r="O780" s="153" t="n"/>
      <c r="P780" s="153" t="n"/>
      <c r="Q780" s="153" t="n"/>
      <c r="R780" s="153" t="n"/>
      <c r="S780" s="153" t="n"/>
      <c r="T780" s="153" t="n"/>
      <c r="U780" s="153" t="n"/>
      <c r="V780" s="153" t="n"/>
      <c r="W780" s="153" t="n"/>
      <c r="X780" s="153" t="n"/>
      <c r="Y780" s="153" t="n"/>
      <c r="Z780" s="153" t="n"/>
    </row>
    <row r="781" ht="15.75" customHeight="1" s="154">
      <c r="L781" s="153" t="n"/>
      <c r="M781" s="153" t="n"/>
      <c r="N781" s="153" t="n"/>
      <c r="O781" s="153" t="n"/>
      <c r="P781" s="153" t="n"/>
      <c r="Q781" s="153" t="n"/>
      <c r="R781" s="153" t="n"/>
      <c r="S781" s="153" t="n"/>
      <c r="T781" s="153" t="n"/>
      <c r="U781" s="153" t="n"/>
      <c r="V781" s="153" t="n"/>
      <c r="W781" s="153" t="n"/>
      <c r="X781" s="153" t="n"/>
      <c r="Y781" s="153" t="n"/>
      <c r="Z781" s="153" t="n"/>
    </row>
    <row r="782" ht="15.75" customHeight="1" s="154">
      <c r="L782" s="153" t="n"/>
      <c r="M782" s="153" t="n"/>
      <c r="N782" s="153" t="n"/>
      <c r="O782" s="153" t="n"/>
      <c r="P782" s="153" t="n"/>
      <c r="Q782" s="153" t="n"/>
      <c r="R782" s="153" t="n"/>
      <c r="S782" s="153" t="n"/>
      <c r="T782" s="153" t="n"/>
      <c r="U782" s="153" t="n"/>
      <c r="V782" s="153" t="n"/>
      <c r="W782" s="153" t="n"/>
      <c r="X782" s="153" t="n"/>
      <c r="Y782" s="153" t="n"/>
      <c r="Z782" s="153" t="n"/>
    </row>
    <row r="783" ht="15.75" customHeight="1" s="154">
      <c r="L783" s="153" t="n"/>
      <c r="M783" s="153" t="n"/>
      <c r="N783" s="153" t="n"/>
      <c r="O783" s="153" t="n"/>
      <c r="P783" s="153" t="n"/>
      <c r="Q783" s="153" t="n"/>
      <c r="R783" s="153" t="n"/>
      <c r="S783" s="153" t="n"/>
      <c r="T783" s="153" t="n"/>
      <c r="U783" s="153" t="n"/>
      <c r="V783" s="153" t="n"/>
      <c r="W783" s="153" t="n"/>
      <c r="X783" s="153" t="n"/>
      <c r="Y783" s="153" t="n"/>
      <c r="Z783" s="153" t="n"/>
    </row>
    <row r="784" ht="15.75" customHeight="1" s="154">
      <c r="L784" s="153" t="n"/>
      <c r="M784" s="153" t="n"/>
      <c r="N784" s="153" t="n"/>
      <c r="O784" s="153" t="n"/>
      <c r="P784" s="153" t="n"/>
      <c r="Q784" s="153" t="n"/>
      <c r="R784" s="153" t="n"/>
      <c r="S784" s="153" t="n"/>
      <c r="T784" s="153" t="n"/>
      <c r="U784" s="153" t="n"/>
      <c r="V784" s="153" t="n"/>
      <c r="W784" s="153" t="n"/>
      <c r="X784" s="153" t="n"/>
      <c r="Y784" s="153" t="n"/>
      <c r="Z784" s="153" t="n"/>
    </row>
    <row r="785" ht="15.75" customHeight="1" s="154">
      <c r="L785" s="153" t="n"/>
      <c r="M785" s="153" t="n"/>
      <c r="N785" s="153" t="n"/>
      <c r="O785" s="153" t="n"/>
      <c r="P785" s="153" t="n"/>
      <c r="Q785" s="153" t="n"/>
      <c r="R785" s="153" t="n"/>
      <c r="S785" s="153" t="n"/>
      <c r="T785" s="153" t="n"/>
      <c r="U785" s="153" t="n"/>
      <c r="V785" s="153" t="n"/>
      <c r="W785" s="153" t="n"/>
      <c r="X785" s="153" t="n"/>
      <c r="Y785" s="153" t="n"/>
      <c r="Z785" s="153" t="n"/>
    </row>
    <row r="786" ht="15.75" customHeight="1" s="154">
      <c r="L786" s="153" t="n"/>
      <c r="M786" s="153" t="n"/>
      <c r="N786" s="153" t="n"/>
      <c r="O786" s="153" t="n"/>
      <c r="P786" s="153" t="n"/>
      <c r="Q786" s="153" t="n"/>
      <c r="R786" s="153" t="n"/>
      <c r="S786" s="153" t="n"/>
      <c r="T786" s="153" t="n"/>
      <c r="U786" s="153" t="n"/>
      <c r="V786" s="153" t="n"/>
      <c r="W786" s="153" t="n"/>
      <c r="X786" s="153" t="n"/>
      <c r="Y786" s="153" t="n"/>
      <c r="Z786" s="153" t="n"/>
    </row>
    <row r="787" ht="15.75" customHeight="1" s="154">
      <c r="L787" s="153" t="n"/>
      <c r="M787" s="153" t="n"/>
      <c r="N787" s="153" t="n"/>
      <c r="O787" s="153" t="n"/>
      <c r="P787" s="153" t="n"/>
      <c r="Q787" s="153" t="n"/>
      <c r="R787" s="153" t="n"/>
      <c r="S787" s="153" t="n"/>
      <c r="T787" s="153" t="n"/>
      <c r="U787" s="153" t="n"/>
      <c r="V787" s="153" t="n"/>
      <c r="W787" s="153" t="n"/>
      <c r="X787" s="153" t="n"/>
      <c r="Y787" s="153" t="n"/>
      <c r="Z787" s="153" t="n"/>
    </row>
    <row r="788" ht="15.75" customHeight="1" s="154">
      <c r="L788" s="153" t="n"/>
      <c r="M788" s="153" t="n"/>
      <c r="N788" s="153" t="n"/>
      <c r="O788" s="153" t="n"/>
      <c r="P788" s="153" t="n"/>
      <c r="Q788" s="153" t="n"/>
      <c r="R788" s="153" t="n"/>
      <c r="S788" s="153" t="n"/>
      <c r="T788" s="153" t="n"/>
      <c r="U788" s="153" t="n"/>
      <c r="V788" s="153" t="n"/>
      <c r="W788" s="153" t="n"/>
      <c r="X788" s="153" t="n"/>
      <c r="Y788" s="153" t="n"/>
      <c r="Z788" s="153" t="n"/>
    </row>
    <row r="789" ht="15.75" customHeight="1" s="154">
      <c r="L789" s="153" t="n"/>
      <c r="M789" s="153" t="n"/>
      <c r="N789" s="153" t="n"/>
      <c r="O789" s="153" t="n"/>
      <c r="P789" s="153" t="n"/>
      <c r="Q789" s="153" t="n"/>
      <c r="R789" s="153" t="n"/>
      <c r="S789" s="153" t="n"/>
      <c r="T789" s="153" t="n"/>
      <c r="U789" s="153" t="n"/>
      <c r="V789" s="153" t="n"/>
      <c r="W789" s="153" t="n"/>
      <c r="X789" s="153" t="n"/>
      <c r="Y789" s="153" t="n"/>
      <c r="Z789" s="153" t="n"/>
    </row>
    <row r="790" ht="15.75" customHeight="1" s="154">
      <c r="L790" s="153" t="n"/>
      <c r="M790" s="153" t="n"/>
      <c r="N790" s="153" t="n"/>
      <c r="O790" s="153" t="n"/>
      <c r="P790" s="153" t="n"/>
      <c r="Q790" s="153" t="n"/>
      <c r="R790" s="153" t="n"/>
      <c r="S790" s="153" t="n"/>
      <c r="T790" s="153" t="n"/>
      <c r="U790" s="153" t="n"/>
      <c r="V790" s="153" t="n"/>
      <c r="W790" s="153" t="n"/>
      <c r="X790" s="153" t="n"/>
      <c r="Y790" s="153" t="n"/>
      <c r="Z790" s="153" t="n"/>
    </row>
    <row r="791" ht="15.75" customHeight="1" s="154">
      <c r="L791" s="153" t="n"/>
      <c r="M791" s="153" t="n"/>
      <c r="N791" s="153" t="n"/>
      <c r="O791" s="153" t="n"/>
      <c r="P791" s="153" t="n"/>
      <c r="Q791" s="153" t="n"/>
      <c r="R791" s="153" t="n"/>
      <c r="S791" s="153" t="n"/>
      <c r="T791" s="153" t="n"/>
      <c r="U791" s="153" t="n"/>
      <c r="V791" s="153" t="n"/>
      <c r="W791" s="153" t="n"/>
      <c r="X791" s="153" t="n"/>
      <c r="Y791" s="153" t="n"/>
      <c r="Z791" s="153" t="n"/>
    </row>
    <row r="792" ht="15.75" customHeight="1" s="154">
      <c r="L792" s="153" t="n"/>
      <c r="M792" s="153" t="n"/>
      <c r="N792" s="153" t="n"/>
      <c r="O792" s="153" t="n"/>
      <c r="P792" s="153" t="n"/>
      <c r="Q792" s="153" t="n"/>
      <c r="R792" s="153" t="n"/>
      <c r="S792" s="153" t="n"/>
      <c r="T792" s="153" t="n"/>
      <c r="U792" s="153" t="n"/>
      <c r="V792" s="153" t="n"/>
      <c r="W792" s="153" t="n"/>
      <c r="X792" s="153" t="n"/>
      <c r="Y792" s="153" t="n"/>
      <c r="Z792" s="153" t="n"/>
    </row>
    <row r="793" ht="15.75" customHeight="1" s="154">
      <c r="L793" s="153" t="n"/>
      <c r="M793" s="153" t="n"/>
      <c r="N793" s="153" t="n"/>
      <c r="O793" s="153" t="n"/>
      <c r="P793" s="153" t="n"/>
      <c r="Q793" s="153" t="n"/>
      <c r="R793" s="153" t="n"/>
      <c r="S793" s="153" t="n"/>
      <c r="T793" s="153" t="n"/>
      <c r="U793" s="153" t="n"/>
      <c r="V793" s="153" t="n"/>
      <c r="W793" s="153" t="n"/>
      <c r="X793" s="153" t="n"/>
      <c r="Y793" s="153" t="n"/>
      <c r="Z793" s="153" t="n"/>
    </row>
    <row r="794" ht="15.75" customHeight="1" s="154">
      <c r="L794" s="153" t="n"/>
      <c r="M794" s="153" t="n"/>
      <c r="N794" s="153" t="n"/>
      <c r="O794" s="153" t="n"/>
      <c r="P794" s="153" t="n"/>
      <c r="Q794" s="153" t="n"/>
      <c r="R794" s="153" t="n"/>
      <c r="S794" s="153" t="n"/>
      <c r="T794" s="153" t="n"/>
      <c r="U794" s="153" t="n"/>
      <c r="V794" s="153" t="n"/>
      <c r="W794" s="153" t="n"/>
      <c r="X794" s="153" t="n"/>
      <c r="Y794" s="153" t="n"/>
      <c r="Z794" s="153" t="n"/>
    </row>
    <row r="795" ht="15.75" customHeight="1" s="154">
      <c r="L795" s="153" t="n"/>
      <c r="M795" s="153" t="n"/>
      <c r="N795" s="153" t="n"/>
      <c r="O795" s="153" t="n"/>
      <c r="P795" s="153" t="n"/>
      <c r="Q795" s="153" t="n"/>
      <c r="R795" s="153" t="n"/>
      <c r="S795" s="153" t="n"/>
      <c r="T795" s="153" t="n"/>
      <c r="U795" s="153" t="n"/>
      <c r="V795" s="153" t="n"/>
      <c r="W795" s="153" t="n"/>
      <c r="X795" s="153" t="n"/>
      <c r="Y795" s="153" t="n"/>
      <c r="Z795" s="153" t="n"/>
    </row>
    <row r="796" ht="15.75" customHeight="1" s="154">
      <c r="L796" s="153" t="n"/>
      <c r="M796" s="153" t="n"/>
      <c r="N796" s="153" t="n"/>
      <c r="O796" s="153" t="n"/>
      <c r="P796" s="153" t="n"/>
      <c r="Q796" s="153" t="n"/>
      <c r="R796" s="153" t="n"/>
      <c r="S796" s="153" t="n"/>
      <c r="T796" s="153" t="n"/>
      <c r="U796" s="153" t="n"/>
      <c r="V796" s="153" t="n"/>
      <c r="W796" s="153" t="n"/>
      <c r="X796" s="153" t="n"/>
      <c r="Y796" s="153" t="n"/>
      <c r="Z796" s="153" t="n"/>
    </row>
    <row r="797" ht="15.75" customHeight="1" s="154">
      <c r="L797" s="153" t="n"/>
      <c r="M797" s="153" t="n"/>
      <c r="N797" s="153" t="n"/>
      <c r="O797" s="153" t="n"/>
      <c r="P797" s="153" t="n"/>
      <c r="Q797" s="153" t="n"/>
      <c r="R797" s="153" t="n"/>
      <c r="S797" s="153" t="n"/>
      <c r="T797" s="153" t="n"/>
      <c r="U797" s="153" t="n"/>
      <c r="V797" s="153" t="n"/>
      <c r="W797" s="153" t="n"/>
      <c r="X797" s="153" t="n"/>
      <c r="Y797" s="153" t="n"/>
      <c r="Z797" s="153" t="n"/>
    </row>
    <row r="798" ht="15.75" customHeight="1" s="154">
      <c r="L798" s="153" t="n"/>
      <c r="M798" s="153" t="n"/>
      <c r="N798" s="153" t="n"/>
      <c r="O798" s="153" t="n"/>
      <c r="P798" s="153" t="n"/>
      <c r="Q798" s="153" t="n"/>
      <c r="R798" s="153" t="n"/>
      <c r="S798" s="153" t="n"/>
      <c r="T798" s="153" t="n"/>
      <c r="U798" s="153" t="n"/>
      <c r="V798" s="153" t="n"/>
      <c r="W798" s="153" t="n"/>
      <c r="X798" s="153" t="n"/>
      <c r="Y798" s="153" t="n"/>
      <c r="Z798" s="153" t="n"/>
    </row>
    <row r="799" ht="15.75" customHeight="1" s="154">
      <c r="L799" s="153" t="n"/>
      <c r="M799" s="153" t="n"/>
      <c r="N799" s="153" t="n"/>
      <c r="O799" s="153" t="n"/>
      <c r="P799" s="153" t="n"/>
      <c r="Q799" s="153" t="n"/>
      <c r="R799" s="153" t="n"/>
      <c r="S799" s="153" t="n"/>
      <c r="T799" s="153" t="n"/>
      <c r="U799" s="153" t="n"/>
      <c r="V799" s="153" t="n"/>
      <c r="W799" s="153" t="n"/>
      <c r="X799" s="153" t="n"/>
      <c r="Y799" s="153" t="n"/>
      <c r="Z799" s="153" t="n"/>
    </row>
    <row r="800" ht="15.75" customHeight="1" s="154">
      <c r="L800" s="153" t="n"/>
      <c r="M800" s="153" t="n"/>
      <c r="N800" s="153" t="n"/>
      <c r="O800" s="153" t="n"/>
      <c r="P800" s="153" t="n"/>
      <c r="Q800" s="153" t="n"/>
      <c r="R800" s="153" t="n"/>
      <c r="S800" s="153" t="n"/>
      <c r="T800" s="153" t="n"/>
      <c r="U800" s="153" t="n"/>
      <c r="V800" s="153" t="n"/>
      <c r="W800" s="153" t="n"/>
      <c r="X800" s="153" t="n"/>
      <c r="Y800" s="153" t="n"/>
      <c r="Z800" s="153" t="n"/>
    </row>
    <row r="801" ht="15.75" customHeight="1" s="154">
      <c r="L801" s="153" t="n"/>
      <c r="M801" s="153" t="n"/>
      <c r="N801" s="153" t="n"/>
      <c r="O801" s="153" t="n"/>
      <c r="P801" s="153" t="n"/>
      <c r="Q801" s="153" t="n"/>
      <c r="R801" s="153" t="n"/>
      <c r="S801" s="153" t="n"/>
      <c r="T801" s="153" t="n"/>
      <c r="U801" s="153" t="n"/>
      <c r="V801" s="153" t="n"/>
      <c r="W801" s="153" t="n"/>
      <c r="X801" s="153" t="n"/>
      <c r="Y801" s="153" t="n"/>
      <c r="Z801" s="153" t="n"/>
    </row>
    <row r="802" ht="15.75" customHeight="1" s="154">
      <c r="L802" s="153" t="n"/>
      <c r="M802" s="153" t="n"/>
      <c r="N802" s="153" t="n"/>
      <c r="O802" s="153" t="n"/>
      <c r="P802" s="153" t="n"/>
      <c r="Q802" s="153" t="n"/>
      <c r="R802" s="153" t="n"/>
      <c r="S802" s="153" t="n"/>
      <c r="T802" s="153" t="n"/>
      <c r="U802" s="153" t="n"/>
      <c r="V802" s="153" t="n"/>
      <c r="W802" s="153" t="n"/>
      <c r="X802" s="153" t="n"/>
      <c r="Y802" s="153" t="n"/>
      <c r="Z802" s="153" t="n"/>
    </row>
    <row r="803" ht="15.75" customHeight="1" s="154">
      <c r="L803" s="153" t="n"/>
      <c r="M803" s="153" t="n"/>
      <c r="N803" s="153" t="n"/>
      <c r="O803" s="153" t="n"/>
      <c r="P803" s="153" t="n"/>
      <c r="Q803" s="153" t="n"/>
      <c r="R803" s="153" t="n"/>
      <c r="S803" s="153" t="n"/>
      <c r="T803" s="153" t="n"/>
      <c r="U803" s="153" t="n"/>
      <c r="V803" s="153" t="n"/>
      <c r="W803" s="153" t="n"/>
      <c r="X803" s="153" t="n"/>
      <c r="Y803" s="153" t="n"/>
      <c r="Z803" s="153" t="n"/>
    </row>
    <row r="804" ht="15.75" customHeight="1" s="154">
      <c r="L804" s="153" t="n"/>
      <c r="M804" s="153" t="n"/>
      <c r="N804" s="153" t="n"/>
      <c r="O804" s="153" t="n"/>
      <c r="P804" s="153" t="n"/>
      <c r="Q804" s="153" t="n"/>
      <c r="R804" s="153" t="n"/>
      <c r="S804" s="153" t="n"/>
      <c r="T804" s="153" t="n"/>
      <c r="U804" s="153" t="n"/>
      <c r="V804" s="153" t="n"/>
      <c r="W804" s="153" t="n"/>
      <c r="X804" s="153" t="n"/>
      <c r="Y804" s="153" t="n"/>
      <c r="Z804" s="153" t="n"/>
    </row>
    <row r="805" ht="15.75" customHeight="1" s="154">
      <c r="L805" s="153" t="n"/>
      <c r="M805" s="153" t="n"/>
      <c r="N805" s="153" t="n"/>
      <c r="O805" s="153" t="n"/>
      <c r="P805" s="153" t="n"/>
      <c r="Q805" s="153" t="n"/>
      <c r="R805" s="153" t="n"/>
      <c r="S805" s="153" t="n"/>
      <c r="T805" s="153" t="n"/>
      <c r="U805" s="153" t="n"/>
      <c r="V805" s="153" t="n"/>
      <c r="W805" s="153" t="n"/>
      <c r="X805" s="153" t="n"/>
      <c r="Y805" s="153" t="n"/>
      <c r="Z805" s="153" t="n"/>
    </row>
    <row r="806" ht="15.75" customHeight="1" s="154">
      <c r="L806" s="153" t="n"/>
      <c r="M806" s="153" t="n"/>
      <c r="N806" s="153" t="n"/>
      <c r="O806" s="153" t="n"/>
      <c r="P806" s="153" t="n"/>
      <c r="Q806" s="153" t="n"/>
      <c r="R806" s="153" t="n"/>
      <c r="S806" s="153" t="n"/>
      <c r="T806" s="153" t="n"/>
      <c r="U806" s="153" t="n"/>
      <c r="V806" s="153" t="n"/>
      <c r="W806" s="153" t="n"/>
      <c r="X806" s="153" t="n"/>
      <c r="Y806" s="153" t="n"/>
      <c r="Z806" s="153" t="n"/>
    </row>
    <row r="807" ht="15.75" customHeight="1" s="154">
      <c r="L807" s="153" t="n"/>
      <c r="M807" s="153" t="n"/>
      <c r="N807" s="153" t="n"/>
      <c r="O807" s="153" t="n"/>
      <c r="P807" s="153" t="n"/>
      <c r="Q807" s="153" t="n"/>
      <c r="R807" s="153" t="n"/>
      <c r="S807" s="153" t="n"/>
      <c r="T807" s="153" t="n"/>
      <c r="U807" s="153" t="n"/>
      <c r="V807" s="153" t="n"/>
      <c r="W807" s="153" t="n"/>
      <c r="X807" s="153" t="n"/>
      <c r="Y807" s="153" t="n"/>
      <c r="Z807" s="153" t="n"/>
    </row>
    <row r="808" ht="15.75" customHeight="1" s="154">
      <c r="L808" s="153" t="n"/>
      <c r="M808" s="153" t="n"/>
      <c r="N808" s="153" t="n"/>
      <c r="O808" s="153" t="n"/>
      <c r="P808" s="153" t="n"/>
      <c r="Q808" s="153" t="n"/>
      <c r="R808" s="153" t="n"/>
      <c r="S808" s="153" t="n"/>
      <c r="T808" s="153" t="n"/>
      <c r="U808" s="153" t="n"/>
      <c r="V808" s="153" t="n"/>
      <c r="W808" s="153" t="n"/>
      <c r="X808" s="153" t="n"/>
      <c r="Y808" s="153" t="n"/>
      <c r="Z808" s="153" t="n"/>
    </row>
    <row r="809" ht="15.75" customHeight="1" s="154">
      <c r="L809" s="153" t="n"/>
      <c r="M809" s="153" t="n"/>
      <c r="N809" s="153" t="n"/>
      <c r="O809" s="153" t="n"/>
      <c r="P809" s="153" t="n"/>
      <c r="Q809" s="153" t="n"/>
      <c r="R809" s="153" t="n"/>
      <c r="S809" s="153" t="n"/>
      <c r="T809" s="153" t="n"/>
      <c r="U809" s="153" t="n"/>
      <c r="V809" s="153" t="n"/>
      <c r="W809" s="153" t="n"/>
      <c r="X809" s="153" t="n"/>
      <c r="Y809" s="153" t="n"/>
      <c r="Z809" s="153" t="n"/>
    </row>
    <row r="810" ht="15.75" customHeight="1" s="154">
      <c r="L810" s="153" t="n"/>
      <c r="M810" s="153" t="n"/>
      <c r="N810" s="153" t="n"/>
      <c r="O810" s="153" t="n"/>
      <c r="P810" s="153" t="n"/>
      <c r="Q810" s="153" t="n"/>
      <c r="R810" s="153" t="n"/>
      <c r="S810" s="153" t="n"/>
      <c r="T810" s="153" t="n"/>
      <c r="U810" s="153" t="n"/>
      <c r="V810" s="153" t="n"/>
      <c r="W810" s="153" t="n"/>
      <c r="X810" s="153" t="n"/>
      <c r="Y810" s="153" t="n"/>
      <c r="Z810" s="153" t="n"/>
    </row>
    <row r="811" ht="15.75" customHeight="1" s="154">
      <c r="L811" s="153" t="n"/>
      <c r="M811" s="153" t="n"/>
      <c r="N811" s="153" t="n"/>
      <c r="O811" s="153" t="n"/>
      <c r="P811" s="153" t="n"/>
      <c r="Q811" s="153" t="n"/>
      <c r="R811" s="153" t="n"/>
      <c r="S811" s="153" t="n"/>
      <c r="T811" s="153" t="n"/>
      <c r="U811" s="153" t="n"/>
      <c r="V811" s="153" t="n"/>
      <c r="W811" s="153" t="n"/>
      <c r="X811" s="153" t="n"/>
      <c r="Y811" s="153" t="n"/>
      <c r="Z811" s="153" t="n"/>
    </row>
    <row r="812" ht="15.75" customHeight="1" s="154">
      <c r="L812" s="153" t="n"/>
      <c r="M812" s="153" t="n"/>
      <c r="N812" s="153" t="n"/>
      <c r="O812" s="153" t="n"/>
      <c r="P812" s="153" t="n"/>
      <c r="Q812" s="153" t="n"/>
      <c r="R812" s="153" t="n"/>
      <c r="S812" s="153" t="n"/>
      <c r="T812" s="153" t="n"/>
      <c r="U812" s="153" t="n"/>
      <c r="V812" s="153" t="n"/>
      <c r="W812" s="153" t="n"/>
      <c r="X812" s="153" t="n"/>
      <c r="Y812" s="153" t="n"/>
      <c r="Z812" s="153" t="n"/>
    </row>
    <row r="813" ht="15.75" customHeight="1" s="154">
      <c r="L813" s="153" t="n"/>
      <c r="M813" s="153" t="n"/>
      <c r="N813" s="153" t="n"/>
      <c r="O813" s="153" t="n"/>
      <c r="P813" s="153" t="n"/>
      <c r="Q813" s="153" t="n"/>
      <c r="R813" s="153" t="n"/>
      <c r="S813" s="153" t="n"/>
      <c r="T813" s="153" t="n"/>
      <c r="U813" s="153" t="n"/>
      <c r="V813" s="153" t="n"/>
      <c r="W813" s="153" t="n"/>
      <c r="X813" s="153" t="n"/>
      <c r="Y813" s="153" t="n"/>
      <c r="Z813" s="153" t="n"/>
    </row>
    <row r="814" ht="15.75" customHeight="1" s="154">
      <c r="L814" s="153" t="n"/>
      <c r="M814" s="153" t="n"/>
      <c r="N814" s="153" t="n"/>
      <c r="O814" s="153" t="n"/>
      <c r="P814" s="153" t="n"/>
      <c r="Q814" s="153" t="n"/>
      <c r="R814" s="153" t="n"/>
      <c r="S814" s="153" t="n"/>
      <c r="T814" s="153" t="n"/>
      <c r="U814" s="153" t="n"/>
      <c r="V814" s="153" t="n"/>
      <c r="W814" s="153" t="n"/>
      <c r="X814" s="153" t="n"/>
      <c r="Y814" s="153" t="n"/>
      <c r="Z814" s="153" t="n"/>
    </row>
    <row r="815" ht="15.75" customHeight="1" s="154">
      <c r="L815" s="153" t="n"/>
      <c r="M815" s="153" t="n"/>
      <c r="N815" s="153" t="n"/>
      <c r="O815" s="153" t="n"/>
      <c r="P815" s="153" t="n"/>
      <c r="Q815" s="153" t="n"/>
      <c r="R815" s="153" t="n"/>
      <c r="S815" s="153" t="n"/>
      <c r="T815" s="153" t="n"/>
      <c r="U815" s="153" t="n"/>
      <c r="V815" s="153" t="n"/>
      <c r="W815" s="153" t="n"/>
      <c r="X815" s="153" t="n"/>
      <c r="Y815" s="153" t="n"/>
      <c r="Z815" s="153" t="n"/>
    </row>
    <row r="816" ht="15.75" customHeight="1" s="154">
      <c r="L816" s="153" t="n"/>
      <c r="M816" s="153" t="n"/>
      <c r="N816" s="153" t="n"/>
      <c r="O816" s="153" t="n"/>
      <c r="P816" s="153" t="n"/>
      <c r="Q816" s="153" t="n"/>
      <c r="R816" s="153" t="n"/>
      <c r="S816" s="153" t="n"/>
      <c r="T816" s="153" t="n"/>
      <c r="U816" s="153" t="n"/>
      <c r="V816" s="153" t="n"/>
      <c r="W816" s="153" t="n"/>
      <c r="X816" s="153" t="n"/>
      <c r="Y816" s="153" t="n"/>
      <c r="Z816" s="153" t="n"/>
    </row>
    <row r="817" ht="15.75" customHeight="1" s="154">
      <c r="L817" s="153" t="n"/>
      <c r="M817" s="153" t="n"/>
      <c r="N817" s="153" t="n"/>
      <c r="O817" s="153" t="n"/>
      <c r="P817" s="153" t="n"/>
      <c r="Q817" s="153" t="n"/>
      <c r="R817" s="153" t="n"/>
      <c r="S817" s="153" t="n"/>
      <c r="T817" s="153" t="n"/>
      <c r="U817" s="153" t="n"/>
      <c r="V817" s="153" t="n"/>
      <c r="W817" s="153" t="n"/>
      <c r="X817" s="153" t="n"/>
      <c r="Y817" s="153" t="n"/>
      <c r="Z817" s="153" t="n"/>
    </row>
    <row r="818" ht="15.75" customHeight="1" s="154">
      <c r="L818" s="153" t="n"/>
      <c r="M818" s="153" t="n"/>
      <c r="N818" s="153" t="n"/>
      <c r="O818" s="153" t="n"/>
      <c r="P818" s="153" t="n"/>
      <c r="Q818" s="153" t="n"/>
      <c r="R818" s="153" t="n"/>
      <c r="S818" s="153" t="n"/>
      <c r="T818" s="153" t="n"/>
      <c r="U818" s="153" t="n"/>
      <c r="V818" s="153" t="n"/>
      <c r="W818" s="153" t="n"/>
      <c r="X818" s="153" t="n"/>
      <c r="Y818" s="153" t="n"/>
      <c r="Z818" s="153" t="n"/>
    </row>
    <row r="819" ht="15.75" customHeight="1" s="154">
      <c r="L819" s="153" t="n"/>
      <c r="M819" s="153" t="n"/>
      <c r="N819" s="153" t="n"/>
      <c r="O819" s="153" t="n"/>
      <c r="P819" s="153" t="n"/>
      <c r="Q819" s="153" t="n"/>
      <c r="R819" s="153" t="n"/>
      <c r="S819" s="153" t="n"/>
      <c r="T819" s="153" t="n"/>
      <c r="U819" s="153" t="n"/>
      <c r="V819" s="153" t="n"/>
      <c r="W819" s="153" t="n"/>
      <c r="X819" s="153" t="n"/>
      <c r="Y819" s="153" t="n"/>
      <c r="Z819" s="153" t="n"/>
    </row>
    <row r="820" ht="15.75" customHeight="1" s="154">
      <c r="L820" s="153" t="n"/>
      <c r="M820" s="153" t="n"/>
      <c r="N820" s="153" t="n"/>
      <c r="O820" s="153" t="n"/>
      <c r="P820" s="153" t="n"/>
      <c r="Q820" s="153" t="n"/>
      <c r="R820" s="153" t="n"/>
      <c r="S820" s="153" t="n"/>
      <c r="T820" s="153" t="n"/>
      <c r="U820" s="153" t="n"/>
      <c r="V820" s="153" t="n"/>
      <c r="W820" s="153" t="n"/>
      <c r="X820" s="153" t="n"/>
      <c r="Y820" s="153" t="n"/>
      <c r="Z820" s="153" t="n"/>
    </row>
    <row r="821" ht="15.75" customHeight="1" s="154">
      <c r="L821" s="153" t="n"/>
      <c r="M821" s="153" t="n"/>
      <c r="N821" s="153" t="n"/>
      <c r="O821" s="153" t="n"/>
      <c r="P821" s="153" t="n"/>
      <c r="Q821" s="153" t="n"/>
      <c r="R821" s="153" t="n"/>
      <c r="S821" s="153" t="n"/>
      <c r="T821" s="153" t="n"/>
      <c r="U821" s="153" t="n"/>
      <c r="V821" s="153" t="n"/>
      <c r="W821" s="153" t="n"/>
      <c r="X821" s="153" t="n"/>
      <c r="Y821" s="153" t="n"/>
      <c r="Z821" s="153" t="n"/>
    </row>
    <row r="822" ht="15.75" customHeight="1" s="154">
      <c r="L822" s="153" t="n"/>
      <c r="M822" s="153" t="n"/>
      <c r="N822" s="153" t="n"/>
      <c r="O822" s="153" t="n"/>
      <c r="P822" s="153" t="n"/>
      <c r="Q822" s="153" t="n"/>
      <c r="R822" s="153" t="n"/>
      <c r="S822" s="153" t="n"/>
      <c r="T822" s="153" t="n"/>
      <c r="U822" s="153" t="n"/>
      <c r="V822" s="153" t="n"/>
      <c r="W822" s="153" t="n"/>
      <c r="X822" s="153" t="n"/>
      <c r="Y822" s="153" t="n"/>
      <c r="Z822" s="153" t="n"/>
    </row>
    <row r="823" ht="15.75" customHeight="1" s="154">
      <c r="L823" s="153" t="n"/>
      <c r="M823" s="153" t="n"/>
      <c r="N823" s="153" t="n"/>
      <c r="O823" s="153" t="n"/>
      <c r="P823" s="153" t="n"/>
      <c r="Q823" s="153" t="n"/>
      <c r="R823" s="153" t="n"/>
      <c r="S823" s="153" t="n"/>
      <c r="T823" s="153" t="n"/>
      <c r="U823" s="153" t="n"/>
      <c r="V823" s="153" t="n"/>
      <c r="W823" s="153" t="n"/>
      <c r="X823" s="153" t="n"/>
      <c r="Y823" s="153" t="n"/>
      <c r="Z823" s="153" t="n"/>
    </row>
    <row r="824" ht="15.75" customHeight="1" s="154">
      <c r="L824" s="153" t="n"/>
      <c r="M824" s="153" t="n"/>
      <c r="N824" s="153" t="n"/>
      <c r="O824" s="153" t="n"/>
      <c r="P824" s="153" t="n"/>
      <c r="Q824" s="153" t="n"/>
      <c r="R824" s="153" t="n"/>
      <c r="S824" s="153" t="n"/>
      <c r="T824" s="153" t="n"/>
      <c r="U824" s="153" t="n"/>
      <c r="V824" s="153" t="n"/>
      <c r="W824" s="153" t="n"/>
      <c r="X824" s="153" t="n"/>
      <c r="Y824" s="153" t="n"/>
      <c r="Z824" s="153" t="n"/>
    </row>
    <row r="825" ht="15.75" customHeight="1" s="154">
      <c r="L825" s="153" t="n"/>
      <c r="M825" s="153" t="n"/>
      <c r="N825" s="153" t="n"/>
      <c r="O825" s="153" t="n"/>
      <c r="P825" s="153" t="n"/>
      <c r="Q825" s="153" t="n"/>
      <c r="R825" s="153" t="n"/>
      <c r="S825" s="153" t="n"/>
      <c r="T825" s="153" t="n"/>
      <c r="U825" s="153" t="n"/>
      <c r="V825" s="153" t="n"/>
      <c r="W825" s="153" t="n"/>
      <c r="X825" s="153" t="n"/>
      <c r="Y825" s="153" t="n"/>
      <c r="Z825" s="153" t="n"/>
    </row>
    <row r="826" ht="15.75" customHeight="1" s="154">
      <c r="L826" s="153" t="n"/>
      <c r="M826" s="153" t="n"/>
      <c r="N826" s="153" t="n"/>
      <c r="O826" s="153" t="n"/>
      <c r="P826" s="153" t="n"/>
      <c r="Q826" s="153" t="n"/>
      <c r="R826" s="153" t="n"/>
      <c r="S826" s="153" t="n"/>
      <c r="T826" s="153" t="n"/>
      <c r="U826" s="153" t="n"/>
      <c r="V826" s="153" t="n"/>
      <c r="W826" s="153" t="n"/>
      <c r="X826" s="153" t="n"/>
      <c r="Y826" s="153" t="n"/>
      <c r="Z826" s="153" t="n"/>
    </row>
    <row r="827" ht="15.75" customHeight="1" s="154">
      <c r="L827" s="153" t="n"/>
      <c r="M827" s="153" t="n"/>
      <c r="N827" s="153" t="n"/>
      <c r="O827" s="153" t="n"/>
      <c r="P827" s="153" t="n"/>
      <c r="Q827" s="153" t="n"/>
      <c r="R827" s="153" t="n"/>
      <c r="S827" s="153" t="n"/>
      <c r="T827" s="153" t="n"/>
      <c r="U827" s="153" t="n"/>
      <c r="V827" s="153" t="n"/>
      <c r="W827" s="153" t="n"/>
      <c r="X827" s="153" t="n"/>
      <c r="Y827" s="153" t="n"/>
      <c r="Z827" s="153" t="n"/>
    </row>
    <row r="828" ht="15.75" customHeight="1" s="154">
      <c r="L828" s="153" t="n"/>
      <c r="M828" s="153" t="n"/>
      <c r="N828" s="153" t="n"/>
      <c r="O828" s="153" t="n"/>
      <c r="P828" s="153" t="n"/>
      <c r="Q828" s="153" t="n"/>
      <c r="R828" s="153" t="n"/>
      <c r="S828" s="153" t="n"/>
      <c r="T828" s="153" t="n"/>
      <c r="U828" s="153" t="n"/>
      <c r="V828" s="153" t="n"/>
      <c r="W828" s="153" t="n"/>
      <c r="X828" s="153" t="n"/>
      <c r="Y828" s="153" t="n"/>
      <c r="Z828" s="153" t="n"/>
    </row>
    <row r="829" ht="15.75" customHeight="1" s="154">
      <c r="L829" s="153" t="n"/>
      <c r="M829" s="153" t="n"/>
      <c r="N829" s="153" t="n"/>
      <c r="O829" s="153" t="n"/>
      <c r="P829" s="153" t="n"/>
      <c r="Q829" s="153" t="n"/>
      <c r="R829" s="153" t="n"/>
      <c r="S829" s="153" t="n"/>
      <c r="T829" s="153" t="n"/>
      <c r="U829" s="153" t="n"/>
      <c r="V829" s="153" t="n"/>
      <c r="W829" s="153" t="n"/>
      <c r="X829" s="153" t="n"/>
      <c r="Y829" s="153" t="n"/>
      <c r="Z829" s="153" t="n"/>
    </row>
    <row r="830" ht="15.75" customHeight="1" s="154">
      <c r="L830" s="153" t="n"/>
      <c r="M830" s="153" t="n"/>
      <c r="N830" s="153" t="n"/>
      <c r="O830" s="153" t="n"/>
      <c r="P830" s="153" t="n"/>
      <c r="Q830" s="153" t="n"/>
      <c r="R830" s="153" t="n"/>
      <c r="S830" s="153" t="n"/>
      <c r="T830" s="153" t="n"/>
      <c r="U830" s="153" t="n"/>
      <c r="V830" s="153" t="n"/>
      <c r="W830" s="153" t="n"/>
      <c r="X830" s="153" t="n"/>
      <c r="Y830" s="153" t="n"/>
      <c r="Z830" s="153" t="n"/>
    </row>
    <row r="831" ht="15.75" customHeight="1" s="154">
      <c r="L831" s="153" t="n"/>
      <c r="M831" s="153" t="n"/>
      <c r="N831" s="153" t="n"/>
      <c r="O831" s="153" t="n"/>
      <c r="P831" s="153" t="n"/>
      <c r="Q831" s="153" t="n"/>
      <c r="R831" s="153" t="n"/>
      <c r="S831" s="153" t="n"/>
      <c r="T831" s="153" t="n"/>
      <c r="U831" s="153" t="n"/>
      <c r="V831" s="153" t="n"/>
      <c r="W831" s="153" t="n"/>
      <c r="X831" s="153" t="n"/>
      <c r="Y831" s="153" t="n"/>
      <c r="Z831" s="153" t="n"/>
    </row>
    <row r="832" ht="15.75" customHeight="1" s="154">
      <c r="L832" s="153" t="n"/>
      <c r="M832" s="153" t="n"/>
      <c r="N832" s="153" t="n"/>
      <c r="O832" s="153" t="n"/>
      <c r="P832" s="153" t="n"/>
      <c r="Q832" s="153" t="n"/>
      <c r="R832" s="153" t="n"/>
      <c r="S832" s="153" t="n"/>
      <c r="T832" s="153" t="n"/>
      <c r="U832" s="153" t="n"/>
      <c r="V832" s="153" t="n"/>
      <c r="W832" s="153" t="n"/>
      <c r="X832" s="153" t="n"/>
      <c r="Y832" s="153" t="n"/>
      <c r="Z832" s="153" t="n"/>
    </row>
    <row r="833" ht="15.75" customHeight="1" s="154">
      <c r="L833" s="153" t="n"/>
      <c r="M833" s="153" t="n"/>
      <c r="N833" s="153" t="n"/>
      <c r="O833" s="153" t="n"/>
      <c r="P833" s="153" t="n"/>
      <c r="Q833" s="153" t="n"/>
      <c r="R833" s="153" t="n"/>
      <c r="S833" s="153" t="n"/>
      <c r="T833" s="153" t="n"/>
      <c r="U833" s="153" t="n"/>
      <c r="V833" s="153" t="n"/>
      <c r="W833" s="153" t="n"/>
      <c r="X833" s="153" t="n"/>
      <c r="Y833" s="153" t="n"/>
      <c r="Z833" s="153" t="n"/>
    </row>
    <row r="834" ht="15.75" customHeight="1" s="154">
      <c r="L834" s="153" t="n"/>
      <c r="M834" s="153" t="n"/>
      <c r="N834" s="153" t="n"/>
      <c r="O834" s="153" t="n"/>
      <c r="P834" s="153" t="n"/>
      <c r="Q834" s="153" t="n"/>
      <c r="R834" s="153" t="n"/>
      <c r="S834" s="153" t="n"/>
      <c r="T834" s="153" t="n"/>
      <c r="U834" s="153" t="n"/>
      <c r="V834" s="153" t="n"/>
      <c r="W834" s="153" t="n"/>
      <c r="X834" s="153" t="n"/>
      <c r="Y834" s="153" t="n"/>
      <c r="Z834" s="153" t="n"/>
    </row>
    <row r="835" ht="15.75" customHeight="1" s="154">
      <c r="L835" s="153" t="n"/>
      <c r="M835" s="153" t="n"/>
      <c r="N835" s="153" t="n"/>
      <c r="O835" s="153" t="n"/>
      <c r="P835" s="153" t="n"/>
      <c r="Q835" s="153" t="n"/>
      <c r="R835" s="153" t="n"/>
      <c r="S835" s="153" t="n"/>
      <c r="T835" s="153" t="n"/>
      <c r="U835" s="153" t="n"/>
      <c r="V835" s="153" t="n"/>
      <c r="W835" s="153" t="n"/>
      <c r="X835" s="153" t="n"/>
      <c r="Y835" s="153" t="n"/>
      <c r="Z835" s="153" t="n"/>
    </row>
    <row r="836" ht="15.75" customHeight="1" s="154">
      <c r="L836" s="153" t="n"/>
      <c r="M836" s="153" t="n"/>
      <c r="N836" s="153" t="n"/>
      <c r="O836" s="153" t="n"/>
      <c r="P836" s="153" t="n"/>
      <c r="Q836" s="153" t="n"/>
      <c r="R836" s="153" t="n"/>
      <c r="S836" s="153" t="n"/>
      <c r="T836" s="153" t="n"/>
      <c r="U836" s="153" t="n"/>
      <c r="V836" s="153" t="n"/>
      <c r="W836" s="153" t="n"/>
      <c r="X836" s="153" t="n"/>
      <c r="Y836" s="153" t="n"/>
      <c r="Z836" s="153" t="n"/>
    </row>
    <row r="837" ht="15.75" customHeight="1" s="154">
      <c r="L837" s="153" t="n"/>
      <c r="M837" s="153" t="n"/>
      <c r="N837" s="153" t="n"/>
      <c r="O837" s="153" t="n"/>
      <c r="P837" s="153" t="n"/>
      <c r="Q837" s="153" t="n"/>
      <c r="R837" s="153" t="n"/>
      <c r="S837" s="153" t="n"/>
      <c r="T837" s="153" t="n"/>
      <c r="U837" s="153" t="n"/>
      <c r="V837" s="153" t="n"/>
      <c r="W837" s="153" t="n"/>
      <c r="X837" s="153" t="n"/>
      <c r="Y837" s="153" t="n"/>
      <c r="Z837" s="153" t="n"/>
    </row>
    <row r="838" ht="15.75" customHeight="1" s="154">
      <c r="L838" s="153" t="n"/>
      <c r="M838" s="153" t="n"/>
      <c r="N838" s="153" t="n"/>
      <c r="O838" s="153" t="n"/>
      <c r="P838" s="153" t="n"/>
      <c r="Q838" s="153" t="n"/>
      <c r="R838" s="153" t="n"/>
      <c r="S838" s="153" t="n"/>
      <c r="T838" s="153" t="n"/>
      <c r="U838" s="153" t="n"/>
      <c r="V838" s="153" t="n"/>
      <c r="W838" s="153" t="n"/>
      <c r="X838" s="153" t="n"/>
      <c r="Y838" s="153" t="n"/>
      <c r="Z838" s="153" t="n"/>
    </row>
    <row r="839" ht="15.75" customHeight="1" s="154">
      <c r="L839" s="153" t="n"/>
      <c r="M839" s="153" t="n"/>
      <c r="N839" s="153" t="n"/>
      <c r="O839" s="153" t="n"/>
      <c r="P839" s="153" t="n"/>
      <c r="Q839" s="153" t="n"/>
      <c r="R839" s="153" t="n"/>
      <c r="S839" s="153" t="n"/>
      <c r="T839" s="153" t="n"/>
      <c r="U839" s="153" t="n"/>
      <c r="V839" s="153" t="n"/>
      <c r="W839" s="153" t="n"/>
      <c r="X839" s="153" t="n"/>
      <c r="Y839" s="153" t="n"/>
      <c r="Z839" s="153" t="n"/>
    </row>
    <row r="840" ht="15.75" customHeight="1" s="154">
      <c r="L840" s="153" t="n"/>
      <c r="M840" s="153" t="n"/>
      <c r="N840" s="153" t="n"/>
      <c r="O840" s="153" t="n"/>
      <c r="P840" s="153" t="n"/>
      <c r="Q840" s="153" t="n"/>
      <c r="R840" s="153" t="n"/>
      <c r="S840" s="153" t="n"/>
      <c r="T840" s="153" t="n"/>
      <c r="U840" s="153" t="n"/>
      <c r="V840" s="153" t="n"/>
      <c r="W840" s="153" t="n"/>
      <c r="X840" s="153" t="n"/>
      <c r="Y840" s="153" t="n"/>
      <c r="Z840" s="153" t="n"/>
    </row>
    <row r="841" ht="15.75" customHeight="1" s="154">
      <c r="L841" s="153" t="n"/>
      <c r="M841" s="153" t="n"/>
      <c r="N841" s="153" t="n"/>
      <c r="O841" s="153" t="n"/>
      <c r="P841" s="153" t="n"/>
      <c r="Q841" s="153" t="n"/>
      <c r="R841" s="153" t="n"/>
      <c r="S841" s="153" t="n"/>
      <c r="T841" s="153" t="n"/>
      <c r="U841" s="153" t="n"/>
      <c r="V841" s="153" t="n"/>
      <c r="W841" s="153" t="n"/>
      <c r="X841" s="153" t="n"/>
      <c r="Y841" s="153" t="n"/>
      <c r="Z841" s="153" t="n"/>
    </row>
    <row r="842" ht="15.75" customHeight="1" s="154">
      <c r="L842" s="153" t="n"/>
      <c r="M842" s="153" t="n"/>
      <c r="N842" s="153" t="n"/>
      <c r="O842" s="153" t="n"/>
      <c r="P842" s="153" t="n"/>
      <c r="Q842" s="153" t="n"/>
      <c r="R842" s="153" t="n"/>
      <c r="S842" s="153" t="n"/>
      <c r="T842" s="153" t="n"/>
      <c r="U842" s="153" t="n"/>
      <c r="V842" s="153" t="n"/>
      <c r="W842" s="153" t="n"/>
      <c r="X842" s="153" t="n"/>
      <c r="Y842" s="153" t="n"/>
      <c r="Z842" s="153" t="n"/>
    </row>
    <row r="843" ht="15.75" customHeight="1" s="154">
      <c r="L843" s="153" t="n"/>
      <c r="M843" s="153" t="n"/>
      <c r="N843" s="153" t="n"/>
      <c r="O843" s="153" t="n"/>
      <c r="P843" s="153" t="n"/>
      <c r="Q843" s="153" t="n"/>
      <c r="R843" s="153" t="n"/>
      <c r="S843" s="153" t="n"/>
      <c r="T843" s="153" t="n"/>
      <c r="U843" s="153" t="n"/>
      <c r="V843" s="153" t="n"/>
      <c r="W843" s="153" t="n"/>
      <c r="X843" s="153" t="n"/>
      <c r="Y843" s="153" t="n"/>
      <c r="Z843" s="153" t="n"/>
    </row>
    <row r="844" ht="15.75" customHeight="1" s="154">
      <c r="L844" s="153" t="n"/>
      <c r="M844" s="153" t="n"/>
      <c r="N844" s="153" t="n"/>
      <c r="O844" s="153" t="n"/>
      <c r="P844" s="153" t="n"/>
      <c r="Q844" s="153" t="n"/>
      <c r="R844" s="153" t="n"/>
      <c r="S844" s="153" t="n"/>
      <c r="T844" s="153" t="n"/>
      <c r="U844" s="153" t="n"/>
      <c r="V844" s="153" t="n"/>
      <c r="W844" s="153" t="n"/>
      <c r="X844" s="153" t="n"/>
      <c r="Y844" s="153" t="n"/>
      <c r="Z844" s="153" t="n"/>
    </row>
    <row r="845" ht="15.75" customHeight="1" s="154">
      <c r="L845" s="153" t="n"/>
      <c r="M845" s="153" t="n"/>
      <c r="N845" s="153" t="n"/>
      <c r="O845" s="153" t="n"/>
      <c r="P845" s="153" t="n"/>
      <c r="Q845" s="153" t="n"/>
      <c r="R845" s="153" t="n"/>
      <c r="S845" s="153" t="n"/>
      <c r="T845" s="153" t="n"/>
      <c r="U845" s="153" t="n"/>
      <c r="V845" s="153" t="n"/>
      <c r="W845" s="153" t="n"/>
      <c r="X845" s="153" t="n"/>
      <c r="Y845" s="153" t="n"/>
      <c r="Z845" s="153" t="n"/>
    </row>
    <row r="846" ht="15.75" customHeight="1" s="154">
      <c r="L846" s="153" t="n"/>
      <c r="M846" s="153" t="n"/>
      <c r="N846" s="153" t="n"/>
      <c r="O846" s="153" t="n"/>
      <c r="P846" s="153" t="n"/>
      <c r="Q846" s="153" t="n"/>
      <c r="R846" s="153" t="n"/>
      <c r="S846" s="153" t="n"/>
      <c r="T846" s="153" t="n"/>
      <c r="U846" s="153" t="n"/>
      <c r="V846" s="153" t="n"/>
      <c r="W846" s="153" t="n"/>
      <c r="X846" s="153" t="n"/>
      <c r="Y846" s="153" t="n"/>
      <c r="Z846" s="153" t="n"/>
    </row>
    <row r="847" ht="15.75" customHeight="1" s="154">
      <c r="L847" s="153" t="n"/>
      <c r="M847" s="153" t="n"/>
      <c r="N847" s="153" t="n"/>
      <c r="O847" s="153" t="n"/>
      <c r="P847" s="153" t="n"/>
      <c r="Q847" s="153" t="n"/>
      <c r="R847" s="153" t="n"/>
      <c r="S847" s="153" t="n"/>
      <c r="T847" s="153" t="n"/>
      <c r="U847" s="153" t="n"/>
      <c r="V847" s="153" t="n"/>
      <c r="W847" s="153" t="n"/>
      <c r="X847" s="153" t="n"/>
      <c r="Y847" s="153" t="n"/>
      <c r="Z847" s="153" t="n"/>
    </row>
    <row r="848" ht="15.75" customHeight="1" s="154">
      <c r="L848" s="153" t="n"/>
      <c r="M848" s="153" t="n"/>
      <c r="N848" s="153" t="n"/>
      <c r="O848" s="153" t="n"/>
      <c r="P848" s="153" t="n"/>
      <c r="Q848" s="153" t="n"/>
      <c r="R848" s="153" t="n"/>
      <c r="S848" s="153" t="n"/>
      <c r="T848" s="153" t="n"/>
      <c r="U848" s="153" t="n"/>
      <c r="V848" s="153" t="n"/>
      <c r="W848" s="153" t="n"/>
      <c r="X848" s="153" t="n"/>
      <c r="Y848" s="153" t="n"/>
      <c r="Z848" s="153" t="n"/>
    </row>
    <row r="849" ht="15.75" customHeight="1" s="154">
      <c r="L849" s="153" t="n"/>
      <c r="M849" s="153" t="n"/>
      <c r="N849" s="153" t="n"/>
      <c r="O849" s="153" t="n"/>
      <c r="P849" s="153" t="n"/>
      <c r="Q849" s="153" t="n"/>
      <c r="R849" s="153" t="n"/>
      <c r="S849" s="153" t="n"/>
      <c r="T849" s="153" t="n"/>
      <c r="U849" s="153" t="n"/>
      <c r="V849" s="153" t="n"/>
      <c r="W849" s="153" t="n"/>
      <c r="X849" s="153" t="n"/>
      <c r="Y849" s="153" t="n"/>
      <c r="Z849" s="153" t="n"/>
    </row>
    <row r="850" ht="15.75" customHeight="1" s="154">
      <c r="L850" s="153" t="n"/>
      <c r="M850" s="153" t="n"/>
      <c r="N850" s="153" t="n"/>
      <c r="O850" s="153" t="n"/>
      <c r="P850" s="153" t="n"/>
      <c r="Q850" s="153" t="n"/>
      <c r="R850" s="153" t="n"/>
      <c r="S850" s="153" t="n"/>
      <c r="T850" s="153" t="n"/>
      <c r="U850" s="153" t="n"/>
      <c r="V850" s="153" t="n"/>
      <c r="W850" s="153" t="n"/>
      <c r="X850" s="153" t="n"/>
      <c r="Y850" s="153" t="n"/>
      <c r="Z850" s="153" t="n"/>
    </row>
    <row r="851" ht="15.75" customHeight="1" s="154">
      <c r="L851" s="153" t="n"/>
      <c r="M851" s="153" t="n"/>
      <c r="N851" s="153" t="n"/>
      <c r="O851" s="153" t="n"/>
      <c r="P851" s="153" t="n"/>
      <c r="Q851" s="153" t="n"/>
      <c r="R851" s="153" t="n"/>
      <c r="S851" s="153" t="n"/>
      <c r="T851" s="153" t="n"/>
      <c r="U851" s="153" t="n"/>
      <c r="V851" s="153" t="n"/>
      <c r="W851" s="153" t="n"/>
      <c r="X851" s="153" t="n"/>
      <c r="Y851" s="153" t="n"/>
      <c r="Z851" s="153" t="n"/>
    </row>
    <row r="852" ht="15.75" customHeight="1" s="154">
      <c r="L852" s="153" t="n"/>
      <c r="M852" s="153" t="n"/>
      <c r="N852" s="153" t="n"/>
      <c r="O852" s="153" t="n"/>
      <c r="P852" s="153" t="n"/>
      <c r="Q852" s="153" t="n"/>
      <c r="R852" s="153" t="n"/>
      <c r="S852" s="153" t="n"/>
      <c r="T852" s="153" t="n"/>
      <c r="U852" s="153" t="n"/>
      <c r="V852" s="153" t="n"/>
      <c r="W852" s="153" t="n"/>
      <c r="X852" s="153" t="n"/>
      <c r="Y852" s="153" t="n"/>
      <c r="Z852" s="153" t="n"/>
    </row>
    <row r="853" ht="15.75" customHeight="1" s="154">
      <c r="L853" s="153" t="n"/>
      <c r="M853" s="153" t="n"/>
      <c r="N853" s="153" t="n"/>
      <c r="O853" s="153" t="n"/>
      <c r="P853" s="153" t="n"/>
      <c r="Q853" s="153" t="n"/>
      <c r="R853" s="153" t="n"/>
      <c r="S853" s="153" t="n"/>
      <c r="T853" s="153" t="n"/>
      <c r="U853" s="153" t="n"/>
      <c r="V853" s="153" t="n"/>
      <c r="W853" s="153" t="n"/>
      <c r="X853" s="153" t="n"/>
      <c r="Y853" s="153" t="n"/>
      <c r="Z853" s="153" t="n"/>
    </row>
    <row r="854" ht="15.75" customHeight="1" s="154">
      <c r="L854" s="153" t="n"/>
      <c r="M854" s="153" t="n"/>
      <c r="N854" s="153" t="n"/>
      <c r="O854" s="153" t="n"/>
      <c r="P854" s="153" t="n"/>
      <c r="Q854" s="153" t="n"/>
      <c r="R854" s="153" t="n"/>
      <c r="S854" s="153" t="n"/>
      <c r="T854" s="153" t="n"/>
      <c r="U854" s="153" t="n"/>
      <c r="V854" s="153" t="n"/>
      <c r="W854" s="153" t="n"/>
      <c r="X854" s="153" t="n"/>
      <c r="Y854" s="153" t="n"/>
      <c r="Z854" s="153" t="n"/>
    </row>
    <row r="855" ht="15.75" customHeight="1" s="154">
      <c r="L855" s="153" t="n"/>
      <c r="M855" s="153" t="n"/>
      <c r="N855" s="153" t="n"/>
      <c r="O855" s="153" t="n"/>
      <c r="P855" s="153" t="n"/>
      <c r="Q855" s="153" t="n"/>
      <c r="R855" s="153" t="n"/>
      <c r="S855" s="153" t="n"/>
      <c r="T855" s="153" t="n"/>
      <c r="U855" s="153" t="n"/>
      <c r="V855" s="153" t="n"/>
      <c r="W855" s="153" t="n"/>
      <c r="X855" s="153" t="n"/>
      <c r="Y855" s="153" t="n"/>
      <c r="Z855" s="153" t="n"/>
    </row>
    <row r="856" ht="15.75" customHeight="1" s="154">
      <c r="L856" s="153" t="n"/>
      <c r="M856" s="153" t="n"/>
      <c r="N856" s="153" t="n"/>
      <c r="O856" s="153" t="n"/>
      <c r="P856" s="153" t="n"/>
      <c r="Q856" s="153" t="n"/>
      <c r="R856" s="153" t="n"/>
      <c r="S856" s="153" t="n"/>
      <c r="T856" s="153" t="n"/>
      <c r="U856" s="153" t="n"/>
      <c r="V856" s="153" t="n"/>
      <c r="W856" s="153" t="n"/>
      <c r="X856" s="153" t="n"/>
      <c r="Y856" s="153" t="n"/>
      <c r="Z856" s="153" t="n"/>
    </row>
    <row r="857" ht="15.75" customHeight="1" s="154">
      <c r="L857" s="153" t="n"/>
      <c r="M857" s="153" t="n"/>
      <c r="N857" s="153" t="n"/>
      <c r="O857" s="153" t="n"/>
      <c r="P857" s="153" t="n"/>
      <c r="Q857" s="153" t="n"/>
      <c r="R857" s="153" t="n"/>
      <c r="S857" s="153" t="n"/>
      <c r="T857" s="153" t="n"/>
      <c r="U857" s="153" t="n"/>
      <c r="V857" s="153" t="n"/>
      <c r="W857" s="153" t="n"/>
      <c r="X857" s="153" t="n"/>
      <c r="Y857" s="153" t="n"/>
      <c r="Z857" s="153" t="n"/>
    </row>
    <row r="858" ht="15.75" customHeight="1" s="154">
      <c r="L858" s="153" t="n"/>
      <c r="M858" s="153" t="n"/>
      <c r="N858" s="153" t="n"/>
      <c r="O858" s="153" t="n"/>
      <c r="P858" s="153" t="n"/>
      <c r="Q858" s="153" t="n"/>
      <c r="R858" s="153" t="n"/>
      <c r="S858" s="153" t="n"/>
      <c r="T858" s="153" t="n"/>
      <c r="U858" s="153" t="n"/>
      <c r="V858" s="153" t="n"/>
      <c r="W858" s="153" t="n"/>
      <c r="X858" s="153" t="n"/>
      <c r="Y858" s="153" t="n"/>
      <c r="Z858" s="153" t="n"/>
    </row>
    <row r="859" ht="15.75" customHeight="1" s="154">
      <c r="L859" s="153" t="n"/>
      <c r="M859" s="153" t="n"/>
      <c r="N859" s="153" t="n"/>
      <c r="O859" s="153" t="n"/>
      <c r="P859" s="153" t="n"/>
      <c r="Q859" s="153" t="n"/>
      <c r="R859" s="153" t="n"/>
      <c r="S859" s="153" t="n"/>
      <c r="T859" s="153" t="n"/>
      <c r="U859" s="153" t="n"/>
      <c r="V859" s="153" t="n"/>
      <c r="W859" s="153" t="n"/>
      <c r="X859" s="153" t="n"/>
      <c r="Y859" s="153" t="n"/>
      <c r="Z859" s="153" t="n"/>
    </row>
    <row r="860" ht="15.75" customHeight="1" s="154">
      <c r="L860" s="153" t="n"/>
      <c r="M860" s="153" t="n"/>
      <c r="N860" s="153" t="n"/>
      <c r="O860" s="153" t="n"/>
      <c r="P860" s="153" t="n"/>
      <c r="Q860" s="153" t="n"/>
      <c r="R860" s="153" t="n"/>
      <c r="S860" s="153" t="n"/>
      <c r="T860" s="153" t="n"/>
      <c r="U860" s="153" t="n"/>
      <c r="V860" s="153" t="n"/>
      <c r="W860" s="153" t="n"/>
      <c r="X860" s="153" t="n"/>
      <c r="Y860" s="153" t="n"/>
      <c r="Z860" s="153" t="n"/>
    </row>
    <row r="861" ht="15.75" customHeight="1" s="154">
      <c r="L861" s="153" t="n"/>
      <c r="M861" s="153" t="n"/>
      <c r="N861" s="153" t="n"/>
      <c r="O861" s="153" t="n"/>
      <c r="P861" s="153" t="n"/>
      <c r="Q861" s="153" t="n"/>
      <c r="R861" s="153" t="n"/>
      <c r="S861" s="153" t="n"/>
      <c r="T861" s="153" t="n"/>
      <c r="U861" s="153" t="n"/>
      <c r="V861" s="153" t="n"/>
      <c r="W861" s="153" t="n"/>
      <c r="X861" s="153" t="n"/>
      <c r="Y861" s="153" t="n"/>
      <c r="Z861" s="153" t="n"/>
    </row>
    <row r="862" ht="15.75" customHeight="1" s="154">
      <c r="L862" s="153" t="n"/>
      <c r="M862" s="153" t="n"/>
      <c r="N862" s="153" t="n"/>
      <c r="O862" s="153" t="n"/>
      <c r="P862" s="153" t="n"/>
      <c r="Q862" s="153" t="n"/>
      <c r="R862" s="153" t="n"/>
      <c r="S862" s="153" t="n"/>
      <c r="T862" s="153" t="n"/>
      <c r="U862" s="153" t="n"/>
      <c r="V862" s="153" t="n"/>
      <c r="W862" s="153" t="n"/>
      <c r="X862" s="153" t="n"/>
      <c r="Y862" s="153" t="n"/>
      <c r="Z862" s="153" t="n"/>
    </row>
    <row r="863" ht="15.75" customHeight="1" s="154">
      <c r="L863" s="153" t="n"/>
      <c r="M863" s="153" t="n"/>
      <c r="N863" s="153" t="n"/>
      <c r="O863" s="153" t="n"/>
      <c r="P863" s="153" t="n"/>
      <c r="Q863" s="153" t="n"/>
      <c r="R863" s="153" t="n"/>
      <c r="S863" s="153" t="n"/>
      <c r="T863" s="153" t="n"/>
      <c r="U863" s="153" t="n"/>
      <c r="V863" s="153" t="n"/>
      <c r="W863" s="153" t="n"/>
      <c r="X863" s="153" t="n"/>
      <c r="Y863" s="153" t="n"/>
      <c r="Z863" s="153" t="n"/>
    </row>
    <row r="864" ht="15.75" customHeight="1" s="154">
      <c r="L864" s="153" t="n"/>
      <c r="M864" s="153" t="n"/>
      <c r="N864" s="153" t="n"/>
      <c r="O864" s="153" t="n"/>
      <c r="P864" s="153" t="n"/>
      <c r="Q864" s="153" t="n"/>
      <c r="R864" s="153" t="n"/>
      <c r="S864" s="153" t="n"/>
      <c r="T864" s="153" t="n"/>
      <c r="U864" s="153" t="n"/>
      <c r="V864" s="153" t="n"/>
      <c r="W864" s="153" t="n"/>
      <c r="X864" s="153" t="n"/>
      <c r="Y864" s="153" t="n"/>
      <c r="Z864" s="153" t="n"/>
    </row>
    <row r="865" ht="15.75" customHeight="1" s="154">
      <c r="L865" s="153" t="n"/>
      <c r="M865" s="153" t="n"/>
      <c r="N865" s="153" t="n"/>
      <c r="O865" s="153" t="n"/>
      <c r="P865" s="153" t="n"/>
      <c r="Q865" s="153" t="n"/>
      <c r="R865" s="153" t="n"/>
      <c r="S865" s="153" t="n"/>
      <c r="T865" s="153" t="n"/>
      <c r="U865" s="153" t="n"/>
      <c r="V865" s="153" t="n"/>
      <c r="W865" s="153" t="n"/>
      <c r="X865" s="153" t="n"/>
      <c r="Y865" s="153" t="n"/>
      <c r="Z865" s="153" t="n"/>
    </row>
    <row r="866" ht="15.75" customHeight="1" s="154">
      <c r="L866" s="153" t="n"/>
      <c r="M866" s="153" t="n"/>
      <c r="N866" s="153" t="n"/>
      <c r="O866" s="153" t="n"/>
      <c r="P866" s="153" t="n"/>
      <c r="Q866" s="153" t="n"/>
      <c r="R866" s="153" t="n"/>
      <c r="S866" s="153" t="n"/>
      <c r="T866" s="153" t="n"/>
      <c r="U866" s="153" t="n"/>
      <c r="V866" s="153" t="n"/>
      <c r="W866" s="153" t="n"/>
      <c r="X866" s="153" t="n"/>
      <c r="Y866" s="153" t="n"/>
      <c r="Z866" s="153" t="n"/>
    </row>
    <row r="867" ht="15.75" customHeight="1" s="154">
      <c r="L867" s="153" t="n"/>
      <c r="M867" s="153" t="n"/>
      <c r="N867" s="153" t="n"/>
      <c r="O867" s="153" t="n"/>
      <c r="P867" s="153" t="n"/>
      <c r="Q867" s="153" t="n"/>
      <c r="R867" s="153" t="n"/>
      <c r="S867" s="153" t="n"/>
      <c r="T867" s="153" t="n"/>
      <c r="U867" s="153" t="n"/>
      <c r="V867" s="153" t="n"/>
      <c r="W867" s="153" t="n"/>
      <c r="X867" s="153" t="n"/>
      <c r="Y867" s="153" t="n"/>
      <c r="Z867" s="153" t="n"/>
    </row>
    <row r="868" ht="15.75" customHeight="1" s="154">
      <c r="L868" s="153" t="n"/>
      <c r="M868" s="153" t="n"/>
      <c r="N868" s="153" t="n"/>
      <c r="O868" s="153" t="n"/>
      <c r="P868" s="153" t="n"/>
      <c r="Q868" s="153" t="n"/>
      <c r="R868" s="153" t="n"/>
      <c r="S868" s="153" t="n"/>
      <c r="T868" s="153" t="n"/>
      <c r="U868" s="153" t="n"/>
      <c r="V868" s="153" t="n"/>
      <c r="W868" s="153" t="n"/>
      <c r="X868" s="153" t="n"/>
      <c r="Y868" s="153" t="n"/>
      <c r="Z868" s="153" t="n"/>
    </row>
    <row r="869" ht="15.75" customHeight="1" s="154">
      <c r="L869" s="153" t="n"/>
      <c r="M869" s="153" t="n"/>
      <c r="N869" s="153" t="n"/>
      <c r="O869" s="153" t="n"/>
      <c r="P869" s="153" t="n"/>
      <c r="Q869" s="153" t="n"/>
      <c r="R869" s="153" t="n"/>
      <c r="S869" s="153" t="n"/>
      <c r="T869" s="153" t="n"/>
      <c r="U869" s="153" t="n"/>
      <c r="V869" s="153" t="n"/>
      <c r="W869" s="153" t="n"/>
      <c r="X869" s="153" t="n"/>
      <c r="Y869" s="153" t="n"/>
      <c r="Z869" s="153" t="n"/>
    </row>
    <row r="870" ht="15.75" customHeight="1" s="154">
      <c r="L870" s="153" t="n"/>
      <c r="M870" s="153" t="n"/>
      <c r="N870" s="153" t="n"/>
      <c r="O870" s="153" t="n"/>
      <c r="P870" s="153" t="n"/>
      <c r="Q870" s="153" t="n"/>
      <c r="R870" s="153" t="n"/>
      <c r="S870" s="153" t="n"/>
      <c r="T870" s="153" t="n"/>
      <c r="U870" s="153" t="n"/>
      <c r="V870" s="153" t="n"/>
      <c r="W870" s="153" t="n"/>
      <c r="X870" s="153" t="n"/>
      <c r="Y870" s="153" t="n"/>
      <c r="Z870" s="153" t="n"/>
    </row>
    <row r="871" ht="15.75" customHeight="1" s="154">
      <c r="L871" s="153" t="n"/>
      <c r="M871" s="153" t="n"/>
      <c r="N871" s="153" t="n"/>
      <c r="O871" s="153" t="n"/>
      <c r="P871" s="153" t="n"/>
      <c r="Q871" s="153" t="n"/>
      <c r="R871" s="153" t="n"/>
      <c r="S871" s="153" t="n"/>
      <c r="T871" s="153" t="n"/>
      <c r="U871" s="153" t="n"/>
      <c r="V871" s="153" t="n"/>
      <c r="W871" s="153" t="n"/>
      <c r="X871" s="153" t="n"/>
      <c r="Y871" s="153" t="n"/>
      <c r="Z871" s="153" t="n"/>
    </row>
    <row r="872" ht="15.75" customHeight="1" s="154">
      <c r="L872" s="153" t="n"/>
      <c r="M872" s="153" t="n"/>
      <c r="N872" s="153" t="n"/>
      <c r="O872" s="153" t="n"/>
      <c r="P872" s="153" t="n"/>
      <c r="Q872" s="153" t="n"/>
      <c r="R872" s="153" t="n"/>
      <c r="S872" s="153" t="n"/>
      <c r="T872" s="153" t="n"/>
      <c r="U872" s="153" t="n"/>
      <c r="V872" s="153" t="n"/>
      <c r="W872" s="153" t="n"/>
      <c r="X872" s="153" t="n"/>
      <c r="Y872" s="153" t="n"/>
      <c r="Z872" s="153" t="n"/>
    </row>
    <row r="873" ht="15.75" customHeight="1" s="154">
      <c r="L873" s="153" t="n"/>
      <c r="M873" s="153" t="n"/>
      <c r="N873" s="153" t="n"/>
      <c r="O873" s="153" t="n"/>
      <c r="P873" s="153" t="n"/>
      <c r="Q873" s="153" t="n"/>
      <c r="R873" s="153" t="n"/>
      <c r="S873" s="153" t="n"/>
      <c r="T873" s="153" t="n"/>
      <c r="U873" s="153" t="n"/>
      <c r="V873" s="153" t="n"/>
      <c r="W873" s="153" t="n"/>
      <c r="X873" s="153" t="n"/>
      <c r="Y873" s="153" t="n"/>
      <c r="Z873" s="153" t="n"/>
    </row>
    <row r="874" ht="15.75" customHeight="1" s="154">
      <c r="L874" s="153" t="n"/>
      <c r="M874" s="153" t="n"/>
      <c r="N874" s="153" t="n"/>
      <c r="O874" s="153" t="n"/>
      <c r="P874" s="153" t="n"/>
      <c r="Q874" s="153" t="n"/>
      <c r="R874" s="153" t="n"/>
      <c r="S874" s="153" t="n"/>
      <c r="T874" s="153" t="n"/>
      <c r="U874" s="153" t="n"/>
      <c r="V874" s="153" t="n"/>
      <c r="W874" s="153" t="n"/>
      <c r="X874" s="153" t="n"/>
      <c r="Y874" s="153" t="n"/>
      <c r="Z874" s="153" t="n"/>
    </row>
    <row r="875" ht="15.75" customHeight="1" s="154">
      <c r="L875" s="153" t="n"/>
      <c r="M875" s="153" t="n"/>
      <c r="N875" s="153" t="n"/>
      <c r="O875" s="153" t="n"/>
      <c r="P875" s="153" t="n"/>
      <c r="Q875" s="153" t="n"/>
      <c r="R875" s="153" t="n"/>
      <c r="S875" s="153" t="n"/>
      <c r="T875" s="153" t="n"/>
      <c r="U875" s="153" t="n"/>
      <c r="V875" s="153" t="n"/>
      <c r="W875" s="153" t="n"/>
      <c r="X875" s="153" t="n"/>
      <c r="Y875" s="153" t="n"/>
      <c r="Z875" s="153" t="n"/>
    </row>
    <row r="876" ht="15.75" customHeight="1" s="154">
      <c r="L876" s="153" t="n"/>
      <c r="M876" s="153" t="n"/>
      <c r="N876" s="153" t="n"/>
      <c r="O876" s="153" t="n"/>
      <c r="P876" s="153" t="n"/>
      <c r="Q876" s="153" t="n"/>
      <c r="R876" s="153" t="n"/>
      <c r="S876" s="153" t="n"/>
      <c r="T876" s="153" t="n"/>
      <c r="U876" s="153" t="n"/>
      <c r="V876" s="153" t="n"/>
      <c r="W876" s="153" t="n"/>
      <c r="X876" s="153" t="n"/>
      <c r="Y876" s="153" t="n"/>
      <c r="Z876" s="153" t="n"/>
    </row>
    <row r="877" ht="15.75" customHeight="1" s="154">
      <c r="L877" s="153" t="n"/>
      <c r="M877" s="153" t="n"/>
      <c r="N877" s="153" t="n"/>
      <c r="O877" s="153" t="n"/>
      <c r="P877" s="153" t="n"/>
      <c r="Q877" s="153" t="n"/>
      <c r="R877" s="153" t="n"/>
      <c r="S877" s="153" t="n"/>
      <c r="T877" s="153" t="n"/>
      <c r="U877" s="153" t="n"/>
      <c r="V877" s="153" t="n"/>
      <c r="W877" s="153" t="n"/>
      <c r="X877" s="153" t="n"/>
      <c r="Y877" s="153" t="n"/>
      <c r="Z877" s="153" t="n"/>
    </row>
    <row r="878" ht="15.75" customHeight="1" s="154">
      <c r="L878" s="153" t="n"/>
      <c r="M878" s="153" t="n"/>
      <c r="N878" s="153" t="n"/>
      <c r="O878" s="153" t="n"/>
      <c r="P878" s="153" t="n"/>
      <c r="Q878" s="153" t="n"/>
      <c r="R878" s="153" t="n"/>
      <c r="S878" s="153" t="n"/>
      <c r="T878" s="153" t="n"/>
      <c r="U878" s="153" t="n"/>
      <c r="V878" s="153" t="n"/>
      <c r="W878" s="153" t="n"/>
      <c r="X878" s="153" t="n"/>
      <c r="Y878" s="153" t="n"/>
      <c r="Z878" s="153" t="n"/>
    </row>
    <row r="879" ht="15.75" customHeight="1" s="154">
      <c r="L879" s="153" t="n"/>
      <c r="M879" s="153" t="n"/>
      <c r="N879" s="153" t="n"/>
      <c r="O879" s="153" t="n"/>
      <c r="P879" s="153" t="n"/>
      <c r="Q879" s="153" t="n"/>
      <c r="R879" s="153" t="n"/>
      <c r="S879" s="153" t="n"/>
      <c r="T879" s="153" t="n"/>
      <c r="U879" s="153" t="n"/>
      <c r="V879" s="153" t="n"/>
      <c r="W879" s="153" t="n"/>
      <c r="X879" s="153" t="n"/>
      <c r="Y879" s="153" t="n"/>
      <c r="Z879" s="153" t="n"/>
    </row>
    <row r="880" ht="15.75" customHeight="1" s="154">
      <c r="L880" s="153" t="n"/>
      <c r="M880" s="153" t="n"/>
      <c r="N880" s="153" t="n"/>
      <c r="O880" s="153" t="n"/>
      <c r="P880" s="153" t="n"/>
      <c r="Q880" s="153" t="n"/>
      <c r="R880" s="153" t="n"/>
      <c r="S880" s="153" t="n"/>
      <c r="T880" s="153" t="n"/>
      <c r="U880" s="153" t="n"/>
      <c r="V880" s="153" t="n"/>
      <c r="W880" s="153" t="n"/>
      <c r="X880" s="153" t="n"/>
      <c r="Y880" s="153" t="n"/>
      <c r="Z880" s="153" t="n"/>
    </row>
    <row r="881" ht="15.75" customHeight="1" s="154">
      <c r="L881" s="153" t="n"/>
      <c r="M881" s="153" t="n"/>
      <c r="N881" s="153" t="n"/>
      <c r="O881" s="153" t="n"/>
      <c r="P881" s="153" t="n"/>
      <c r="Q881" s="153" t="n"/>
      <c r="R881" s="153" t="n"/>
      <c r="S881" s="153" t="n"/>
      <c r="T881" s="153" t="n"/>
      <c r="U881" s="153" t="n"/>
      <c r="V881" s="153" t="n"/>
      <c r="W881" s="153" t="n"/>
      <c r="X881" s="153" t="n"/>
      <c r="Y881" s="153" t="n"/>
      <c r="Z881" s="153" t="n"/>
    </row>
    <row r="882" ht="15.75" customHeight="1" s="154">
      <c r="L882" s="153" t="n"/>
      <c r="M882" s="153" t="n"/>
      <c r="N882" s="153" t="n"/>
      <c r="O882" s="153" t="n"/>
      <c r="P882" s="153" t="n"/>
      <c r="Q882" s="153" t="n"/>
      <c r="R882" s="153" t="n"/>
      <c r="S882" s="153" t="n"/>
      <c r="T882" s="153" t="n"/>
      <c r="U882" s="153" t="n"/>
      <c r="V882" s="153" t="n"/>
      <c r="W882" s="153" t="n"/>
      <c r="X882" s="153" t="n"/>
      <c r="Y882" s="153" t="n"/>
      <c r="Z882" s="153" t="n"/>
    </row>
    <row r="883" ht="15.75" customHeight="1" s="154">
      <c r="L883" s="153" t="n"/>
      <c r="M883" s="153" t="n"/>
      <c r="N883" s="153" t="n"/>
      <c r="O883" s="153" t="n"/>
      <c r="P883" s="153" t="n"/>
      <c r="Q883" s="153" t="n"/>
      <c r="R883" s="153" t="n"/>
      <c r="S883" s="153" t="n"/>
      <c r="T883" s="153" t="n"/>
      <c r="U883" s="153" t="n"/>
      <c r="V883" s="153" t="n"/>
      <c r="W883" s="153" t="n"/>
      <c r="X883" s="153" t="n"/>
      <c r="Y883" s="153" t="n"/>
      <c r="Z883" s="153" t="n"/>
    </row>
    <row r="884" ht="15.75" customHeight="1" s="154">
      <c r="L884" s="153" t="n"/>
      <c r="M884" s="153" t="n"/>
      <c r="N884" s="153" t="n"/>
      <c r="O884" s="153" t="n"/>
      <c r="P884" s="153" t="n"/>
      <c r="Q884" s="153" t="n"/>
      <c r="R884" s="153" t="n"/>
      <c r="S884" s="153" t="n"/>
      <c r="T884" s="153" t="n"/>
      <c r="U884" s="153" t="n"/>
      <c r="V884" s="153" t="n"/>
      <c r="W884" s="153" t="n"/>
      <c r="X884" s="153" t="n"/>
      <c r="Y884" s="153" t="n"/>
      <c r="Z884" s="153" t="n"/>
    </row>
    <row r="885" ht="15.75" customHeight="1" s="154">
      <c r="L885" s="153" t="n"/>
      <c r="M885" s="153" t="n"/>
      <c r="N885" s="153" t="n"/>
      <c r="O885" s="153" t="n"/>
      <c r="P885" s="153" t="n"/>
      <c r="Q885" s="153" t="n"/>
      <c r="R885" s="153" t="n"/>
      <c r="S885" s="153" t="n"/>
      <c r="T885" s="153" t="n"/>
      <c r="U885" s="153" t="n"/>
      <c r="V885" s="153" t="n"/>
      <c r="W885" s="153" t="n"/>
      <c r="X885" s="153" t="n"/>
      <c r="Y885" s="153" t="n"/>
      <c r="Z885" s="153" t="n"/>
    </row>
    <row r="886" ht="15.75" customHeight="1" s="154">
      <c r="L886" s="153" t="n"/>
      <c r="M886" s="153" t="n"/>
      <c r="N886" s="153" t="n"/>
      <c r="O886" s="153" t="n"/>
      <c r="P886" s="153" t="n"/>
      <c r="Q886" s="153" t="n"/>
      <c r="R886" s="153" t="n"/>
      <c r="S886" s="153" t="n"/>
      <c r="T886" s="153" t="n"/>
      <c r="U886" s="153" t="n"/>
      <c r="V886" s="153" t="n"/>
      <c r="W886" s="153" t="n"/>
      <c r="X886" s="153" t="n"/>
      <c r="Y886" s="153" t="n"/>
      <c r="Z886" s="153" t="n"/>
    </row>
    <row r="887" ht="15.75" customHeight="1" s="154">
      <c r="L887" s="153" t="n"/>
      <c r="M887" s="153" t="n"/>
      <c r="N887" s="153" t="n"/>
      <c r="O887" s="153" t="n"/>
      <c r="P887" s="153" t="n"/>
      <c r="Q887" s="153" t="n"/>
      <c r="R887" s="153" t="n"/>
      <c r="S887" s="153" t="n"/>
      <c r="T887" s="153" t="n"/>
      <c r="U887" s="153" t="n"/>
      <c r="V887" s="153" t="n"/>
      <c r="W887" s="153" t="n"/>
      <c r="X887" s="153" t="n"/>
      <c r="Y887" s="153" t="n"/>
      <c r="Z887" s="153" t="n"/>
    </row>
    <row r="888" ht="15.75" customHeight="1" s="154">
      <c r="L888" s="153" t="n"/>
      <c r="M888" s="153" t="n"/>
      <c r="N888" s="153" t="n"/>
      <c r="O888" s="153" t="n"/>
      <c r="P888" s="153" t="n"/>
      <c r="Q888" s="153" t="n"/>
      <c r="R888" s="153" t="n"/>
      <c r="S888" s="153" t="n"/>
      <c r="T888" s="153" t="n"/>
      <c r="U888" s="153" t="n"/>
      <c r="V888" s="153" t="n"/>
      <c r="W888" s="153" t="n"/>
      <c r="X888" s="153" t="n"/>
      <c r="Y888" s="153" t="n"/>
      <c r="Z888" s="153" t="n"/>
    </row>
    <row r="889" ht="15.75" customHeight="1" s="154">
      <c r="L889" s="153" t="n"/>
      <c r="M889" s="153" t="n"/>
      <c r="N889" s="153" t="n"/>
      <c r="O889" s="153" t="n"/>
      <c r="P889" s="153" t="n"/>
      <c r="Q889" s="153" t="n"/>
      <c r="R889" s="153" t="n"/>
      <c r="S889" s="153" t="n"/>
      <c r="T889" s="153" t="n"/>
      <c r="U889" s="153" t="n"/>
      <c r="V889" s="153" t="n"/>
      <c r="W889" s="153" t="n"/>
      <c r="X889" s="153" t="n"/>
      <c r="Y889" s="153" t="n"/>
      <c r="Z889" s="153" t="n"/>
    </row>
    <row r="890" ht="15.75" customHeight="1" s="154">
      <c r="L890" s="153" t="n"/>
      <c r="M890" s="153" t="n"/>
      <c r="N890" s="153" t="n"/>
      <c r="O890" s="153" t="n"/>
      <c r="P890" s="153" t="n"/>
      <c r="Q890" s="153" t="n"/>
      <c r="R890" s="153" t="n"/>
      <c r="S890" s="153" t="n"/>
      <c r="T890" s="153" t="n"/>
      <c r="U890" s="153" t="n"/>
      <c r="V890" s="153" t="n"/>
      <c r="W890" s="153" t="n"/>
      <c r="X890" s="153" t="n"/>
      <c r="Y890" s="153" t="n"/>
      <c r="Z890" s="153" t="n"/>
    </row>
    <row r="891" ht="15.75" customHeight="1" s="154">
      <c r="L891" s="153" t="n"/>
      <c r="M891" s="153" t="n"/>
      <c r="N891" s="153" t="n"/>
      <c r="O891" s="153" t="n"/>
      <c r="P891" s="153" t="n"/>
      <c r="Q891" s="153" t="n"/>
      <c r="R891" s="153" t="n"/>
      <c r="S891" s="153" t="n"/>
      <c r="T891" s="153" t="n"/>
      <c r="U891" s="153" t="n"/>
      <c r="V891" s="153" t="n"/>
      <c r="W891" s="153" t="n"/>
      <c r="X891" s="153" t="n"/>
      <c r="Y891" s="153" t="n"/>
      <c r="Z891" s="153" t="n"/>
    </row>
    <row r="892" ht="15.75" customHeight="1" s="154">
      <c r="L892" s="153" t="n"/>
      <c r="M892" s="153" t="n"/>
      <c r="N892" s="153" t="n"/>
      <c r="O892" s="153" t="n"/>
      <c r="P892" s="153" t="n"/>
      <c r="Q892" s="153" t="n"/>
      <c r="R892" s="153" t="n"/>
      <c r="S892" s="153" t="n"/>
      <c r="T892" s="153" t="n"/>
      <c r="U892" s="153" t="n"/>
      <c r="V892" s="153" t="n"/>
      <c r="W892" s="153" t="n"/>
      <c r="X892" s="153" t="n"/>
      <c r="Y892" s="153" t="n"/>
      <c r="Z892" s="153" t="n"/>
    </row>
    <row r="893" ht="15.75" customHeight="1" s="154">
      <c r="L893" s="153" t="n"/>
      <c r="M893" s="153" t="n"/>
      <c r="N893" s="153" t="n"/>
      <c r="O893" s="153" t="n"/>
      <c r="P893" s="153" t="n"/>
      <c r="Q893" s="153" t="n"/>
      <c r="R893" s="153" t="n"/>
      <c r="S893" s="153" t="n"/>
      <c r="T893" s="153" t="n"/>
      <c r="U893" s="153" t="n"/>
      <c r="V893" s="153" t="n"/>
      <c r="W893" s="153" t="n"/>
      <c r="X893" s="153" t="n"/>
      <c r="Y893" s="153" t="n"/>
      <c r="Z893" s="153" t="n"/>
    </row>
    <row r="894" ht="15.75" customHeight="1" s="154">
      <c r="L894" s="153" t="n"/>
      <c r="M894" s="153" t="n"/>
      <c r="N894" s="153" t="n"/>
      <c r="O894" s="153" t="n"/>
      <c r="P894" s="153" t="n"/>
      <c r="Q894" s="153" t="n"/>
      <c r="R894" s="153" t="n"/>
      <c r="S894" s="153" t="n"/>
      <c r="T894" s="153" t="n"/>
      <c r="U894" s="153" t="n"/>
      <c r="V894" s="153" t="n"/>
      <c r="W894" s="153" t="n"/>
      <c r="X894" s="153" t="n"/>
      <c r="Y894" s="153" t="n"/>
      <c r="Z894" s="153" t="n"/>
    </row>
    <row r="895" ht="15.75" customHeight="1" s="154">
      <c r="L895" s="153" t="n"/>
      <c r="M895" s="153" t="n"/>
      <c r="N895" s="153" t="n"/>
      <c r="O895" s="153" t="n"/>
      <c r="P895" s="153" t="n"/>
      <c r="Q895" s="153" t="n"/>
      <c r="R895" s="153" t="n"/>
      <c r="S895" s="153" t="n"/>
      <c r="T895" s="153" t="n"/>
      <c r="U895" s="153" t="n"/>
      <c r="V895" s="153" t="n"/>
      <c r="W895" s="153" t="n"/>
      <c r="X895" s="153" t="n"/>
      <c r="Y895" s="153" t="n"/>
      <c r="Z895" s="153" t="n"/>
    </row>
    <row r="896" ht="15.75" customHeight="1" s="154">
      <c r="L896" s="153" t="n"/>
      <c r="M896" s="153" t="n"/>
      <c r="N896" s="153" t="n"/>
      <c r="O896" s="153" t="n"/>
      <c r="P896" s="153" t="n"/>
      <c r="Q896" s="153" t="n"/>
      <c r="R896" s="153" t="n"/>
      <c r="S896" s="153" t="n"/>
      <c r="T896" s="153" t="n"/>
      <c r="U896" s="153" t="n"/>
      <c r="V896" s="153" t="n"/>
      <c r="W896" s="153" t="n"/>
      <c r="X896" s="153" t="n"/>
      <c r="Y896" s="153" t="n"/>
      <c r="Z896" s="153" t="n"/>
    </row>
    <row r="897" ht="15.75" customHeight="1" s="154">
      <c r="L897" s="153" t="n"/>
      <c r="M897" s="153" t="n"/>
      <c r="N897" s="153" t="n"/>
      <c r="O897" s="153" t="n"/>
      <c r="P897" s="153" t="n"/>
      <c r="Q897" s="153" t="n"/>
      <c r="R897" s="153" t="n"/>
      <c r="S897" s="153" t="n"/>
      <c r="T897" s="153" t="n"/>
      <c r="U897" s="153" t="n"/>
      <c r="V897" s="153" t="n"/>
      <c r="W897" s="153" t="n"/>
      <c r="X897" s="153" t="n"/>
      <c r="Y897" s="153" t="n"/>
      <c r="Z897" s="153" t="n"/>
    </row>
    <row r="898" ht="15.75" customHeight="1" s="154">
      <c r="L898" s="153" t="n"/>
      <c r="M898" s="153" t="n"/>
      <c r="N898" s="153" t="n"/>
      <c r="O898" s="153" t="n"/>
      <c r="P898" s="153" t="n"/>
      <c r="Q898" s="153" t="n"/>
      <c r="R898" s="153" t="n"/>
      <c r="S898" s="153" t="n"/>
      <c r="T898" s="153" t="n"/>
      <c r="U898" s="153" t="n"/>
      <c r="V898" s="153" t="n"/>
      <c r="W898" s="153" t="n"/>
      <c r="X898" s="153" t="n"/>
      <c r="Y898" s="153" t="n"/>
      <c r="Z898" s="153" t="n"/>
    </row>
    <row r="899" ht="15.75" customHeight="1" s="154">
      <c r="L899" s="153" t="n"/>
      <c r="M899" s="153" t="n"/>
      <c r="N899" s="153" t="n"/>
      <c r="O899" s="153" t="n"/>
      <c r="P899" s="153" t="n"/>
      <c r="Q899" s="153" t="n"/>
      <c r="R899" s="153" t="n"/>
      <c r="S899" s="153" t="n"/>
      <c r="T899" s="153" t="n"/>
      <c r="U899" s="153" t="n"/>
      <c r="V899" s="153" t="n"/>
      <c r="W899" s="153" t="n"/>
      <c r="X899" s="153" t="n"/>
      <c r="Y899" s="153" t="n"/>
      <c r="Z899" s="153" t="n"/>
    </row>
    <row r="900" ht="15.75" customHeight="1" s="154">
      <c r="L900" s="153" t="n"/>
      <c r="M900" s="153" t="n"/>
      <c r="N900" s="153" t="n"/>
      <c r="O900" s="153" t="n"/>
      <c r="P900" s="153" t="n"/>
      <c r="Q900" s="153" t="n"/>
      <c r="R900" s="153" t="n"/>
      <c r="S900" s="153" t="n"/>
      <c r="T900" s="153" t="n"/>
      <c r="U900" s="153" t="n"/>
      <c r="V900" s="153" t="n"/>
      <c r="W900" s="153" t="n"/>
      <c r="X900" s="153" t="n"/>
      <c r="Y900" s="153" t="n"/>
      <c r="Z900" s="153" t="n"/>
    </row>
    <row r="901" ht="15.75" customHeight="1" s="154">
      <c r="L901" s="153" t="n"/>
      <c r="M901" s="153" t="n"/>
      <c r="N901" s="153" t="n"/>
      <c r="O901" s="153" t="n"/>
      <c r="P901" s="153" t="n"/>
      <c r="Q901" s="153" t="n"/>
      <c r="R901" s="153" t="n"/>
      <c r="S901" s="153" t="n"/>
      <c r="T901" s="153" t="n"/>
      <c r="U901" s="153" t="n"/>
      <c r="V901" s="153" t="n"/>
      <c r="W901" s="153" t="n"/>
      <c r="X901" s="153" t="n"/>
      <c r="Y901" s="153" t="n"/>
      <c r="Z901" s="153" t="n"/>
    </row>
    <row r="902" ht="15.75" customHeight="1" s="154">
      <c r="L902" s="153" t="n"/>
      <c r="M902" s="153" t="n"/>
      <c r="N902" s="153" t="n"/>
      <c r="O902" s="153" t="n"/>
      <c r="P902" s="153" t="n"/>
      <c r="Q902" s="153" t="n"/>
      <c r="R902" s="153" t="n"/>
      <c r="S902" s="153" t="n"/>
      <c r="T902" s="153" t="n"/>
      <c r="U902" s="153" t="n"/>
      <c r="V902" s="153" t="n"/>
      <c r="W902" s="153" t="n"/>
      <c r="X902" s="153" t="n"/>
      <c r="Y902" s="153" t="n"/>
      <c r="Z902" s="153" t="n"/>
    </row>
    <row r="903" ht="15.75" customHeight="1" s="154">
      <c r="L903" s="153" t="n"/>
      <c r="M903" s="153" t="n"/>
      <c r="N903" s="153" t="n"/>
      <c r="O903" s="153" t="n"/>
      <c r="P903" s="153" t="n"/>
      <c r="Q903" s="153" t="n"/>
      <c r="R903" s="153" t="n"/>
      <c r="S903" s="153" t="n"/>
      <c r="T903" s="153" t="n"/>
      <c r="U903" s="153" t="n"/>
      <c r="V903" s="153" t="n"/>
      <c r="W903" s="153" t="n"/>
      <c r="X903" s="153" t="n"/>
      <c r="Y903" s="153" t="n"/>
      <c r="Z903" s="153" t="n"/>
    </row>
    <row r="904" ht="15.75" customHeight="1" s="154">
      <c r="L904" s="153" t="n"/>
      <c r="M904" s="153" t="n"/>
      <c r="N904" s="153" t="n"/>
      <c r="O904" s="153" t="n"/>
      <c r="P904" s="153" t="n"/>
      <c r="Q904" s="153" t="n"/>
      <c r="R904" s="153" t="n"/>
      <c r="S904" s="153" t="n"/>
      <c r="T904" s="153" t="n"/>
      <c r="U904" s="153" t="n"/>
      <c r="V904" s="153" t="n"/>
      <c r="W904" s="153" t="n"/>
      <c r="X904" s="153" t="n"/>
      <c r="Y904" s="153" t="n"/>
      <c r="Z904" s="153" t="n"/>
    </row>
    <row r="905" ht="15.75" customHeight="1" s="154">
      <c r="L905" s="153" t="n"/>
      <c r="M905" s="153" t="n"/>
      <c r="N905" s="153" t="n"/>
      <c r="O905" s="153" t="n"/>
      <c r="P905" s="153" t="n"/>
      <c r="Q905" s="153" t="n"/>
      <c r="R905" s="153" t="n"/>
      <c r="S905" s="153" t="n"/>
      <c r="T905" s="153" t="n"/>
      <c r="U905" s="153" t="n"/>
      <c r="V905" s="153" t="n"/>
      <c r="W905" s="153" t="n"/>
      <c r="X905" s="153" t="n"/>
      <c r="Y905" s="153" t="n"/>
      <c r="Z905" s="153" t="n"/>
    </row>
    <row r="906" ht="15.75" customHeight="1" s="154">
      <c r="L906" s="153" t="n"/>
      <c r="M906" s="153" t="n"/>
      <c r="N906" s="153" t="n"/>
      <c r="O906" s="153" t="n"/>
      <c r="P906" s="153" t="n"/>
      <c r="Q906" s="153" t="n"/>
      <c r="R906" s="153" t="n"/>
      <c r="S906" s="153" t="n"/>
      <c r="T906" s="153" t="n"/>
      <c r="U906" s="153" t="n"/>
      <c r="V906" s="153" t="n"/>
      <c r="W906" s="153" t="n"/>
      <c r="X906" s="153" t="n"/>
      <c r="Y906" s="153" t="n"/>
      <c r="Z906" s="153" t="n"/>
    </row>
    <row r="907" ht="15.75" customHeight="1" s="154">
      <c r="L907" s="153" t="n"/>
      <c r="M907" s="153" t="n"/>
      <c r="N907" s="153" t="n"/>
      <c r="O907" s="153" t="n"/>
      <c r="P907" s="153" t="n"/>
      <c r="Q907" s="153" t="n"/>
      <c r="R907" s="153" t="n"/>
      <c r="S907" s="153" t="n"/>
      <c r="T907" s="153" t="n"/>
      <c r="U907" s="153" t="n"/>
      <c r="V907" s="153" t="n"/>
      <c r="W907" s="153" t="n"/>
      <c r="X907" s="153" t="n"/>
      <c r="Y907" s="153" t="n"/>
      <c r="Z907" s="153" t="n"/>
    </row>
    <row r="908" ht="15.75" customHeight="1" s="154">
      <c r="L908" s="153" t="n"/>
      <c r="M908" s="153" t="n"/>
      <c r="N908" s="153" t="n"/>
      <c r="O908" s="153" t="n"/>
      <c r="P908" s="153" t="n"/>
      <c r="Q908" s="153" t="n"/>
      <c r="R908" s="153" t="n"/>
      <c r="S908" s="153" t="n"/>
      <c r="T908" s="153" t="n"/>
      <c r="U908" s="153" t="n"/>
      <c r="V908" s="153" t="n"/>
      <c r="W908" s="153" t="n"/>
      <c r="X908" s="153" t="n"/>
      <c r="Y908" s="153" t="n"/>
      <c r="Z908" s="153" t="n"/>
    </row>
    <row r="909" ht="15.75" customHeight="1" s="154">
      <c r="L909" s="153" t="n"/>
      <c r="M909" s="153" t="n"/>
      <c r="N909" s="153" t="n"/>
      <c r="O909" s="153" t="n"/>
      <c r="P909" s="153" t="n"/>
      <c r="Q909" s="153" t="n"/>
      <c r="R909" s="153" t="n"/>
      <c r="S909" s="153" t="n"/>
      <c r="T909" s="153" t="n"/>
      <c r="U909" s="153" t="n"/>
      <c r="V909" s="153" t="n"/>
      <c r="W909" s="153" t="n"/>
      <c r="X909" s="153" t="n"/>
      <c r="Y909" s="153" t="n"/>
      <c r="Z909" s="153" t="n"/>
    </row>
    <row r="910" ht="15.75" customHeight="1" s="154">
      <c r="L910" s="153" t="n"/>
      <c r="M910" s="153" t="n"/>
      <c r="N910" s="153" t="n"/>
      <c r="O910" s="153" t="n"/>
      <c r="P910" s="153" t="n"/>
      <c r="Q910" s="153" t="n"/>
      <c r="R910" s="153" t="n"/>
      <c r="S910" s="153" t="n"/>
      <c r="T910" s="153" t="n"/>
      <c r="U910" s="153" t="n"/>
      <c r="V910" s="153" t="n"/>
      <c r="W910" s="153" t="n"/>
      <c r="X910" s="153" t="n"/>
      <c r="Y910" s="153" t="n"/>
      <c r="Z910" s="153" t="n"/>
    </row>
    <row r="911" ht="15.75" customHeight="1" s="154">
      <c r="L911" s="153" t="n"/>
      <c r="M911" s="153" t="n"/>
      <c r="N911" s="153" t="n"/>
      <c r="O911" s="153" t="n"/>
      <c r="P911" s="153" t="n"/>
      <c r="Q911" s="153" t="n"/>
      <c r="R911" s="153" t="n"/>
      <c r="S911" s="153" t="n"/>
      <c r="T911" s="153" t="n"/>
      <c r="U911" s="153" t="n"/>
      <c r="V911" s="153" t="n"/>
      <c r="W911" s="153" t="n"/>
      <c r="X911" s="153" t="n"/>
      <c r="Y911" s="153" t="n"/>
      <c r="Z911" s="153" t="n"/>
    </row>
    <row r="912" ht="15.75" customHeight="1" s="154">
      <c r="L912" s="153" t="n"/>
      <c r="M912" s="153" t="n"/>
      <c r="N912" s="153" t="n"/>
      <c r="O912" s="153" t="n"/>
      <c r="P912" s="153" t="n"/>
      <c r="Q912" s="153" t="n"/>
      <c r="R912" s="153" t="n"/>
      <c r="S912" s="153" t="n"/>
      <c r="T912" s="153" t="n"/>
      <c r="U912" s="153" t="n"/>
      <c r="V912" s="153" t="n"/>
      <c r="W912" s="153" t="n"/>
      <c r="X912" s="153" t="n"/>
      <c r="Y912" s="153" t="n"/>
      <c r="Z912" s="153" t="n"/>
    </row>
    <row r="913" ht="15.75" customHeight="1" s="154">
      <c r="L913" s="153" t="n"/>
      <c r="M913" s="153" t="n"/>
      <c r="N913" s="153" t="n"/>
      <c r="O913" s="153" t="n"/>
      <c r="P913" s="153" t="n"/>
      <c r="Q913" s="153" t="n"/>
      <c r="R913" s="153" t="n"/>
      <c r="S913" s="153" t="n"/>
      <c r="T913" s="153" t="n"/>
      <c r="U913" s="153" t="n"/>
      <c r="V913" s="153" t="n"/>
      <c r="W913" s="153" t="n"/>
      <c r="X913" s="153" t="n"/>
      <c r="Y913" s="153" t="n"/>
      <c r="Z913" s="153" t="n"/>
    </row>
    <row r="914" ht="15.75" customHeight="1" s="154">
      <c r="L914" s="153" t="n"/>
      <c r="M914" s="153" t="n"/>
      <c r="N914" s="153" t="n"/>
      <c r="O914" s="153" t="n"/>
      <c r="P914" s="153" t="n"/>
      <c r="Q914" s="153" t="n"/>
      <c r="R914" s="153" t="n"/>
      <c r="S914" s="153" t="n"/>
      <c r="T914" s="153" t="n"/>
      <c r="U914" s="153" t="n"/>
      <c r="V914" s="153" t="n"/>
      <c r="W914" s="153" t="n"/>
      <c r="X914" s="153" t="n"/>
      <c r="Y914" s="153" t="n"/>
      <c r="Z914" s="153" t="n"/>
    </row>
    <row r="915" ht="15.75" customHeight="1" s="154">
      <c r="L915" s="153" t="n"/>
      <c r="M915" s="153" t="n"/>
      <c r="N915" s="153" t="n"/>
      <c r="O915" s="153" t="n"/>
      <c r="P915" s="153" t="n"/>
      <c r="Q915" s="153" t="n"/>
      <c r="R915" s="153" t="n"/>
      <c r="S915" s="153" t="n"/>
      <c r="T915" s="153" t="n"/>
      <c r="U915" s="153" t="n"/>
      <c r="V915" s="153" t="n"/>
      <c r="W915" s="153" t="n"/>
      <c r="X915" s="153" t="n"/>
      <c r="Y915" s="153" t="n"/>
      <c r="Z915" s="153" t="n"/>
    </row>
    <row r="916" ht="15.75" customHeight="1" s="154">
      <c r="L916" s="153" t="n"/>
      <c r="M916" s="153" t="n"/>
      <c r="N916" s="153" t="n"/>
      <c r="O916" s="153" t="n"/>
      <c r="P916" s="153" t="n"/>
      <c r="Q916" s="153" t="n"/>
      <c r="R916" s="153" t="n"/>
      <c r="S916" s="153" t="n"/>
      <c r="T916" s="153" t="n"/>
      <c r="U916" s="153" t="n"/>
      <c r="V916" s="153" t="n"/>
      <c r="W916" s="153" t="n"/>
      <c r="X916" s="153" t="n"/>
      <c r="Y916" s="153" t="n"/>
      <c r="Z916" s="153" t="n"/>
    </row>
    <row r="917" ht="15.75" customHeight="1" s="154">
      <c r="L917" s="153" t="n"/>
      <c r="M917" s="153" t="n"/>
      <c r="N917" s="153" t="n"/>
      <c r="O917" s="153" t="n"/>
      <c r="P917" s="153" t="n"/>
      <c r="Q917" s="153" t="n"/>
      <c r="R917" s="153" t="n"/>
      <c r="S917" s="153" t="n"/>
      <c r="T917" s="153" t="n"/>
      <c r="U917" s="153" t="n"/>
      <c r="V917" s="153" t="n"/>
      <c r="W917" s="153" t="n"/>
      <c r="X917" s="153" t="n"/>
      <c r="Y917" s="153" t="n"/>
      <c r="Z917" s="153" t="n"/>
    </row>
    <row r="918" ht="15.75" customHeight="1" s="154">
      <c r="L918" s="153" t="n"/>
      <c r="M918" s="153" t="n"/>
      <c r="N918" s="153" t="n"/>
      <c r="O918" s="153" t="n"/>
      <c r="P918" s="153" t="n"/>
      <c r="Q918" s="153" t="n"/>
      <c r="R918" s="153" t="n"/>
      <c r="S918" s="153" t="n"/>
      <c r="T918" s="153" t="n"/>
      <c r="U918" s="153" t="n"/>
      <c r="V918" s="153" t="n"/>
      <c r="W918" s="153" t="n"/>
      <c r="X918" s="153" t="n"/>
      <c r="Y918" s="153" t="n"/>
      <c r="Z918" s="153" t="n"/>
    </row>
    <row r="919" ht="15.75" customHeight="1" s="154">
      <c r="L919" s="153" t="n"/>
      <c r="M919" s="153" t="n"/>
      <c r="N919" s="153" t="n"/>
      <c r="O919" s="153" t="n"/>
      <c r="P919" s="153" t="n"/>
      <c r="Q919" s="153" t="n"/>
      <c r="R919" s="153" t="n"/>
      <c r="S919" s="153" t="n"/>
      <c r="T919" s="153" t="n"/>
      <c r="U919" s="153" t="n"/>
      <c r="V919" s="153" t="n"/>
      <c r="W919" s="153" t="n"/>
      <c r="X919" s="153" t="n"/>
      <c r="Y919" s="153" t="n"/>
      <c r="Z919" s="153" t="n"/>
    </row>
    <row r="920" ht="15.75" customHeight="1" s="154">
      <c r="L920" s="153" t="n"/>
      <c r="M920" s="153" t="n"/>
      <c r="N920" s="153" t="n"/>
      <c r="O920" s="153" t="n"/>
      <c r="P920" s="153" t="n"/>
      <c r="Q920" s="153" t="n"/>
      <c r="R920" s="153" t="n"/>
      <c r="S920" s="153" t="n"/>
      <c r="T920" s="153" t="n"/>
      <c r="U920" s="153" t="n"/>
      <c r="V920" s="153" t="n"/>
      <c r="W920" s="153" t="n"/>
      <c r="X920" s="153" t="n"/>
      <c r="Y920" s="153" t="n"/>
      <c r="Z920" s="153" t="n"/>
    </row>
    <row r="921" ht="15.75" customHeight="1" s="154">
      <c r="L921" s="153" t="n"/>
      <c r="M921" s="153" t="n"/>
      <c r="N921" s="153" t="n"/>
      <c r="O921" s="153" t="n"/>
      <c r="P921" s="153" t="n"/>
      <c r="Q921" s="153" t="n"/>
      <c r="R921" s="153" t="n"/>
      <c r="S921" s="153" t="n"/>
      <c r="T921" s="153" t="n"/>
      <c r="U921" s="153" t="n"/>
      <c r="V921" s="153" t="n"/>
      <c r="W921" s="153" t="n"/>
      <c r="X921" s="153" t="n"/>
      <c r="Y921" s="153" t="n"/>
      <c r="Z921" s="153" t="n"/>
    </row>
    <row r="922" ht="15.75" customHeight="1" s="154">
      <c r="L922" s="153" t="n"/>
      <c r="M922" s="153" t="n"/>
      <c r="N922" s="153" t="n"/>
      <c r="O922" s="153" t="n"/>
      <c r="P922" s="153" t="n"/>
      <c r="Q922" s="153" t="n"/>
      <c r="R922" s="153" t="n"/>
      <c r="S922" s="153" t="n"/>
      <c r="T922" s="153" t="n"/>
      <c r="U922" s="153" t="n"/>
      <c r="V922" s="153" t="n"/>
      <c r="W922" s="153" t="n"/>
      <c r="X922" s="153" t="n"/>
      <c r="Y922" s="153" t="n"/>
      <c r="Z922" s="153" t="n"/>
    </row>
    <row r="923" ht="15.75" customHeight="1" s="154">
      <c r="L923" s="153" t="n"/>
      <c r="M923" s="153" t="n"/>
      <c r="N923" s="153" t="n"/>
      <c r="O923" s="153" t="n"/>
      <c r="P923" s="153" t="n"/>
      <c r="Q923" s="153" t="n"/>
      <c r="R923" s="153" t="n"/>
      <c r="S923" s="153" t="n"/>
      <c r="T923" s="153" t="n"/>
      <c r="U923" s="153" t="n"/>
      <c r="V923" s="153" t="n"/>
      <c r="W923" s="153" t="n"/>
      <c r="X923" s="153" t="n"/>
      <c r="Y923" s="153" t="n"/>
      <c r="Z923" s="153" t="n"/>
    </row>
    <row r="924" ht="15.75" customHeight="1" s="154">
      <c r="L924" s="153" t="n"/>
      <c r="M924" s="153" t="n"/>
      <c r="N924" s="153" t="n"/>
      <c r="O924" s="153" t="n"/>
      <c r="P924" s="153" t="n"/>
      <c r="Q924" s="153" t="n"/>
      <c r="R924" s="153" t="n"/>
      <c r="S924" s="153" t="n"/>
      <c r="T924" s="153" t="n"/>
      <c r="U924" s="153" t="n"/>
      <c r="V924" s="153" t="n"/>
      <c r="W924" s="153" t="n"/>
      <c r="X924" s="153" t="n"/>
      <c r="Y924" s="153" t="n"/>
      <c r="Z924" s="153" t="n"/>
    </row>
    <row r="925" ht="15.75" customHeight="1" s="154">
      <c r="L925" s="153" t="n"/>
      <c r="M925" s="153" t="n"/>
      <c r="N925" s="153" t="n"/>
      <c r="O925" s="153" t="n"/>
      <c r="P925" s="153" t="n"/>
      <c r="Q925" s="153" t="n"/>
      <c r="R925" s="153" t="n"/>
      <c r="S925" s="153" t="n"/>
      <c r="T925" s="153" t="n"/>
      <c r="U925" s="153" t="n"/>
      <c r="V925" s="153" t="n"/>
      <c r="W925" s="153" t="n"/>
      <c r="X925" s="153" t="n"/>
      <c r="Y925" s="153" t="n"/>
      <c r="Z925" s="153" t="n"/>
    </row>
    <row r="926" ht="15.75" customHeight="1" s="154">
      <c r="L926" s="153" t="n"/>
      <c r="M926" s="153" t="n"/>
      <c r="N926" s="153" t="n"/>
      <c r="O926" s="153" t="n"/>
      <c r="P926" s="153" t="n"/>
      <c r="Q926" s="153" t="n"/>
      <c r="R926" s="153" t="n"/>
      <c r="S926" s="153" t="n"/>
      <c r="T926" s="153" t="n"/>
      <c r="U926" s="153" t="n"/>
      <c r="V926" s="153" t="n"/>
      <c r="W926" s="153" t="n"/>
      <c r="X926" s="153" t="n"/>
      <c r="Y926" s="153" t="n"/>
      <c r="Z926" s="153" t="n"/>
    </row>
    <row r="927" ht="15.75" customHeight="1" s="154">
      <c r="L927" s="153" t="n"/>
      <c r="M927" s="153" t="n"/>
      <c r="N927" s="153" t="n"/>
      <c r="O927" s="153" t="n"/>
      <c r="P927" s="153" t="n"/>
      <c r="Q927" s="153" t="n"/>
      <c r="R927" s="153" t="n"/>
      <c r="S927" s="153" t="n"/>
      <c r="T927" s="153" t="n"/>
      <c r="U927" s="153" t="n"/>
      <c r="V927" s="153" t="n"/>
      <c r="W927" s="153" t="n"/>
      <c r="X927" s="153" t="n"/>
      <c r="Y927" s="153" t="n"/>
      <c r="Z927" s="153" t="n"/>
    </row>
    <row r="928" ht="15.75" customHeight="1" s="154">
      <c r="L928" s="153" t="n"/>
      <c r="M928" s="153" t="n"/>
      <c r="N928" s="153" t="n"/>
      <c r="O928" s="153" t="n"/>
      <c r="P928" s="153" t="n"/>
      <c r="Q928" s="153" t="n"/>
      <c r="R928" s="153" t="n"/>
      <c r="S928" s="153" t="n"/>
      <c r="T928" s="153" t="n"/>
      <c r="U928" s="153" t="n"/>
      <c r="V928" s="153" t="n"/>
      <c r="W928" s="153" t="n"/>
      <c r="X928" s="153" t="n"/>
      <c r="Y928" s="153" t="n"/>
      <c r="Z928" s="153" t="n"/>
    </row>
    <row r="929" ht="15.75" customHeight="1" s="154">
      <c r="L929" s="153" t="n"/>
      <c r="M929" s="153" t="n"/>
      <c r="N929" s="153" t="n"/>
      <c r="O929" s="153" t="n"/>
      <c r="P929" s="153" t="n"/>
      <c r="Q929" s="153" t="n"/>
      <c r="R929" s="153" t="n"/>
      <c r="S929" s="153" t="n"/>
      <c r="T929" s="153" t="n"/>
      <c r="U929" s="153" t="n"/>
      <c r="V929" s="153" t="n"/>
      <c r="W929" s="153" t="n"/>
      <c r="X929" s="153" t="n"/>
      <c r="Y929" s="153" t="n"/>
      <c r="Z929" s="153" t="n"/>
    </row>
    <row r="930" ht="15.75" customHeight="1" s="154">
      <c r="L930" s="153" t="n"/>
      <c r="M930" s="153" t="n"/>
      <c r="N930" s="153" t="n"/>
      <c r="O930" s="153" t="n"/>
      <c r="P930" s="153" t="n"/>
      <c r="Q930" s="153" t="n"/>
      <c r="R930" s="153" t="n"/>
      <c r="S930" s="153" t="n"/>
      <c r="T930" s="153" t="n"/>
      <c r="U930" s="153" t="n"/>
      <c r="V930" s="153" t="n"/>
      <c r="W930" s="153" t="n"/>
      <c r="X930" s="153" t="n"/>
      <c r="Y930" s="153" t="n"/>
      <c r="Z930" s="153" t="n"/>
    </row>
    <row r="931" ht="15.75" customHeight="1" s="154">
      <c r="L931" s="153" t="n"/>
      <c r="M931" s="153" t="n"/>
      <c r="N931" s="153" t="n"/>
      <c r="O931" s="153" t="n"/>
      <c r="P931" s="153" t="n"/>
      <c r="Q931" s="153" t="n"/>
      <c r="R931" s="153" t="n"/>
      <c r="S931" s="153" t="n"/>
      <c r="T931" s="153" t="n"/>
      <c r="U931" s="153" t="n"/>
      <c r="V931" s="153" t="n"/>
      <c r="W931" s="153" t="n"/>
      <c r="X931" s="153" t="n"/>
      <c r="Y931" s="153" t="n"/>
      <c r="Z931" s="153" t="n"/>
    </row>
    <row r="932" ht="15.75" customHeight="1" s="154">
      <c r="L932" s="153" t="n"/>
      <c r="M932" s="153" t="n"/>
      <c r="N932" s="153" t="n"/>
      <c r="O932" s="153" t="n"/>
      <c r="P932" s="153" t="n"/>
      <c r="Q932" s="153" t="n"/>
      <c r="R932" s="153" t="n"/>
      <c r="S932" s="153" t="n"/>
      <c r="T932" s="153" t="n"/>
      <c r="U932" s="153" t="n"/>
      <c r="V932" s="153" t="n"/>
      <c r="W932" s="153" t="n"/>
      <c r="X932" s="153" t="n"/>
      <c r="Y932" s="153" t="n"/>
      <c r="Z932" s="153" t="n"/>
    </row>
    <row r="933" ht="15.75" customHeight="1" s="154">
      <c r="L933" s="153" t="n"/>
      <c r="M933" s="153" t="n"/>
      <c r="N933" s="153" t="n"/>
      <c r="O933" s="153" t="n"/>
      <c r="P933" s="153" t="n"/>
      <c r="Q933" s="153" t="n"/>
      <c r="R933" s="153" t="n"/>
      <c r="S933" s="153" t="n"/>
      <c r="T933" s="153" t="n"/>
      <c r="U933" s="153" t="n"/>
      <c r="V933" s="153" t="n"/>
      <c r="W933" s="153" t="n"/>
      <c r="X933" s="153" t="n"/>
      <c r="Y933" s="153" t="n"/>
      <c r="Z933" s="153" t="n"/>
    </row>
    <row r="934" ht="15.75" customHeight="1" s="154">
      <c r="L934" s="153" t="n"/>
      <c r="M934" s="153" t="n"/>
      <c r="N934" s="153" t="n"/>
      <c r="O934" s="153" t="n"/>
      <c r="P934" s="153" t="n"/>
      <c r="Q934" s="153" t="n"/>
      <c r="R934" s="153" t="n"/>
      <c r="S934" s="153" t="n"/>
      <c r="T934" s="153" t="n"/>
      <c r="U934" s="153" t="n"/>
      <c r="V934" s="153" t="n"/>
      <c r="W934" s="153" t="n"/>
      <c r="X934" s="153" t="n"/>
      <c r="Y934" s="153" t="n"/>
      <c r="Z934" s="153" t="n"/>
    </row>
    <row r="935" ht="15.75" customHeight="1" s="154">
      <c r="L935" s="153" t="n"/>
      <c r="M935" s="153" t="n"/>
      <c r="N935" s="153" t="n"/>
      <c r="O935" s="153" t="n"/>
      <c r="P935" s="153" t="n"/>
      <c r="Q935" s="153" t="n"/>
      <c r="R935" s="153" t="n"/>
      <c r="S935" s="153" t="n"/>
      <c r="T935" s="153" t="n"/>
      <c r="U935" s="153" t="n"/>
      <c r="V935" s="153" t="n"/>
      <c r="W935" s="153" t="n"/>
      <c r="X935" s="153" t="n"/>
      <c r="Y935" s="153" t="n"/>
      <c r="Z935" s="153" t="n"/>
    </row>
    <row r="936" ht="15.75" customHeight="1" s="154">
      <c r="L936" s="153" t="n"/>
      <c r="M936" s="153" t="n"/>
      <c r="N936" s="153" t="n"/>
      <c r="O936" s="153" t="n"/>
      <c r="P936" s="153" t="n"/>
      <c r="Q936" s="153" t="n"/>
      <c r="R936" s="153" t="n"/>
      <c r="S936" s="153" t="n"/>
      <c r="T936" s="153" t="n"/>
      <c r="U936" s="153" t="n"/>
      <c r="V936" s="153" t="n"/>
      <c r="W936" s="153" t="n"/>
      <c r="X936" s="153" t="n"/>
      <c r="Y936" s="153" t="n"/>
      <c r="Z936" s="153" t="n"/>
    </row>
    <row r="937" ht="15.75" customHeight="1" s="154">
      <c r="L937" s="153" t="n"/>
      <c r="M937" s="153" t="n"/>
      <c r="N937" s="153" t="n"/>
      <c r="O937" s="153" t="n"/>
      <c r="P937" s="153" t="n"/>
      <c r="Q937" s="153" t="n"/>
      <c r="R937" s="153" t="n"/>
      <c r="S937" s="153" t="n"/>
      <c r="T937" s="153" t="n"/>
      <c r="U937" s="153" t="n"/>
      <c r="V937" s="153" t="n"/>
      <c r="W937" s="153" t="n"/>
      <c r="X937" s="153" t="n"/>
      <c r="Y937" s="153" t="n"/>
      <c r="Z937" s="153" t="n"/>
    </row>
    <row r="938" ht="15.75" customHeight="1" s="154">
      <c r="L938" s="153" t="n"/>
      <c r="M938" s="153" t="n"/>
      <c r="N938" s="153" t="n"/>
      <c r="O938" s="153" t="n"/>
      <c r="P938" s="153" t="n"/>
      <c r="Q938" s="153" t="n"/>
      <c r="R938" s="153" t="n"/>
      <c r="S938" s="153" t="n"/>
      <c r="T938" s="153" t="n"/>
      <c r="U938" s="153" t="n"/>
      <c r="V938" s="153" t="n"/>
      <c r="W938" s="153" t="n"/>
      <c r="X938" s="153" t="n"/>
      <c r="Y938" s="153" t="n"/>
      <c r="Z938" s="153" t="n"/>
    </row>
    <row r="939" ht="15.75" customHeight="1" s="154">
      <c r="L939" s="153" t="n"/>
      <c r="M939" s="153" t="n"/>
      <c r="N939" s="153" t="n"/>
      <c r="O939" s="153" t="n"/>
      <c r="P939" s="153" t="n"/>
      <c r="Q939" s="153" t="n"/>
      <c r="R939" s="153" t="n"/>
      <c r="S939" s="153" t="n"/>
      <c r="T939" s="153" t="n"/>
      <c r="U939" s="153" t="n"/>
      <c r="V939" s="153" t="n"/>
      <c r="W939" s="153" t="n"/>
      <c r="X939" s="153" t="n"/>
      <c r="Y939" s="153" t="n"/>
      <c r="Z939" s="153" t="n"/>
    </row>
    <row r="940" ht="15.75" customHeight="1" s="154">
      <c r="L940" s="153" t="n"/>
      <c r="M940" s="153" t="n"/>
      <c r="N940" s="153" t="n"/>
      <c r="O940" s="153" t="n"/>
      <c r="P940" s="153" t="n"/>
      <c r="Q940" s="153" t="n"/>
      <c r="R940" s="153" t="n"/>
      <c r="S940" s="153" t="n"/>
      <c r="T940" s="153" t="n"/>
      <c r="U940" s="153" t="n"/>
      <c r="V940" s="153" t="n"/>
      <c r="W940" s="153" t="n"/>
      <c r="X940" s="153" t="n"/>
      <c r="Y940" s="153" t="n"/>
      <c r="Z940" s="153" t="n"/>
    </row>
    <row r="941" ht="15.75" customHeight="1" s="154">
      <c r="L941" s="153" t="n"/>
      <c r="M941" s="153" t="n"/>
      <c r="N941" s="153" t="n"/>
      <c r="O941" s="153" t="n"/>
      <c r="P941" s="153" t="n"/>
      <c r="Q941" s="153" t="n"/>
      <c r="R941" s="153" t="n"/>
      <c r="S941" s="153" t="n"/>
      <c r="T941" s="153" t="n"/>
      <c r="U941" s="153" t="n"/>
      <c r="V941" s="153" t="n"/>
      <c r="W941" s="153" t="n"/>
      <c r="X941" s="153" t="n"/>
      <c r="Y941" s="153" t="n"/>
      <c r="Z941" s="153" t="n"/>
    </row>
    <row r="942" ht="15.75" customHeight="1" s="154">
      <c r="L942" s="153" t="n"/>
      <c r="M942" s="153" t="n"/>
      <c r="N942" s="153" t="n"/>
      <c r="O942" s="153" t="n"/>
      <c r="P942" s="153" t="n"/>
      <c r="Q942" s="153" t="n"/>
      <c r="R942" s="153" t="n"/>
      <c r="S942" s="153" t="n"/>
      <c r="T942" s="153" t="n"/>
      <c r="U942" s="153" t="n"/>
      <c r="V942" s="153" t="n"/>
      <c r="W942" s="153" t="n"/>
      <c r="X942" s="153" t="n"/>
      <c r="Y942" s="153" t="n"/>
      <c r="Z942" s="153" t="n"/>
    </row>
    <row r="943" ht="15.75" customHeight="1" s="154">
      <c r="L943" s="153" t="n"/>
      <c r="M943" s="153" t="n"/>
      <c r="N943" s="153" t="n"/>
      <c r="O943" s="153" t="n"/>
      <c r="P943" s="153" t="n"/>
      <c r="Q943" s="153" t="n"/>
      <c r="R943" s="153" t="n"/>
      <c r="S943" s="153" t="n"/>
      <c r="T943" s="153" t="n"/>
      <c r="U943" s="153" t="n"/>
      <c r="V943" s="153" t="n"/>
      <c r="W943" s="153" t="n"/>
      <c r="X943" s="153" t="n"/>
      <c r="Y943" s="153" t="n"/>
      <c r="Z943" s="153" t="n"/>
    </row>
    <row r="944" ht="15.75" customHeight="1" s="154">
      <c r="L944" s="153" t="n"/>
      <c r="M944" s="153" t="n"/>
      <c r="N944" s="153" t="n"/>
      <c r="O944" s="153" t="n"/>
      <c r="P944" s="153" t="n"/>
      <c r="Q944" s="153" t="n"/>
      <c r="R944" s="153" t="n"/>
      <c r="S944" s="153" t="n"/>
      <c r="T944" s="153" t="n"/>
      <c r="U944" s="153" t="n"/>
      <c r="V944" s="153" t="n"/>
      <c r="W944" s="153" t="n"/>
      <c r="X944" s="153" t="n"/>
      <c r="Y944" s="153" t="n"/>
      <c r="Z944" s="153" t="n"/>
    </row>
    <row r="945" ht="15.75" customHeight="1" s="154">
      <c r="L945" s="153" t="n"/>
      <c r="M945" s="153" t="n"/>
      <c r="N945" s="153" t="n"/>
      <c r="O945" s="153" t="n"/>
      <c r="P945" s="153" t="n"/>
      <c r="Q945" s="153" t="n"/>
      <c r="R945" s="153" t="n"/>
      <c r="S945" s="153" t="n"/>
      <c r="T945" s="153" t="n"/>
      <c r="U945" s="153" t="n"/>
      <c r="V945" s="153" t="n"/>
      <c r="W945" s="153" t="n"/>
      <c r="X945" s="153" t="n"/>
      <c r="Y945" s="153" t="n"/>
      <c r="Z945" s="153" t="n"/>
    </row>
    <row r="946" ht="15.75" customHeight="1" s="154">
      <c r="L946" s="153" t="n"/>
      <c r="M946" s="153" t="n"/>
      <c r="N946" s="153" t="n"/>
      <c r="O946" s="153" t="n"/>
      <c r="P946" s="153" t="n"/>
      <c r="Q946" s="153" t="n"/>
      <c r="R946" s="153" t="n"/>
      <c r="S946" s="153" t="n"/>
      <c r="T946" s="153" t="n"/>
      <c r="U946" s="153" t="n"/>
      <c r="V946" s="153" t="n"/>
      <c r="W946" s="153" t="n"/>
      <c r="X946" s="153" t="n"/>
      <c r="Y946" s="153" t="n"/>
      <c r="Z946" s="153" t="n"/>
    </row>
    <row r="947" ht="15.75" customHeight="1" s="154">
      <c r="L947" s="153" t="n"/>
      <c r="M947" s="153" t="n"/>
      <c r="N947" s="153" t="n"/>
      <c r="O947" s="153" t="n"/>
      <c r="P947" s="153" t="n"/>
      <c r="Q947" s="153" t="n"/>
      <c r="R947" s="153" t="n"/>
      <c r="S947" s="153" t="n"/>
      <c r="T947" s="153" t="n"/>
      <c r="U947" s="153" t="n"/>
      <c r="V947" s="153" t="n"/>
      <c r="W947" s="153" t="n"/>
      <c r="X947" s="153" t="n"/>
      <c r="Y947" s="153" t="n"/>
      <c r="Z947" s="153" t="n"/>
    </row>
    <row r="948" ht="15.75" customHeight="1" s="154">
      <c r="L948" s="153" t="n"/>
      <c r="M948" s="153" t="n"/>
      <c r="N948" s="153" t="n"/>
      <c r="O948" s="153" t="n"/>
      <c r="P948" s="153" t="n"/>
      <c r="Q948" s="153" t="n"/>
      <c r="R948" s="153" t="n"/>
      <c r="S948" s="153" t="n"/>
      <c r="T948" s="153" t="n"/>
      <c r="U948" s="153" t="n"/>
      <c r="V948" s="153" t="n"/>
      <c r="W948" s="153" t="n"/>
      <c r="X948" s="153" t="n"/>
      <c r="Y948" s="153" t="n"/>
      <c r="Z948" s="153" t="n"/>
    </row>
    <row r="949" ht="15.75" customHeight="1" s="154">
      <c r="L949" s="153" t="n"/>
      <c r="M949" s="153" t="n"/>
      <c r="N949" s="153" t="n"/>
      <c r="O949" s="153" t="n"/>
      <c r="P949" s="153" t="n"/>
      <c r="Q949" s="153" t="n"/>
      <c r="R949" s="153" t="n"/>
      <c r="S949" s="153" t="n"/>
      <c r="T949" s="153" t="n"/>
      <c r="U949" s="153" t="n"/>
      <c r="V949" s="153" t="n"/>
      <c r="W949" s="153" t="n"/>
      <c r="X949" s="153" t="n"/>
      <c r="Y949" s="153" t="n"/>
      <c r="Z949" s="153" t="n"/>
    </row>
    <row r="950" ht="15.75" customHeight="1" s="154">
      <c r="L950" s="153" t="n"/>
      <c r="M950" s="153" t="n"/>
      <c r="N950" s="153" t="n"/>
      <c r="O950" s="153" t="n"/>
      <c r="P950" s="153" t="n"/>
      <c r="Q950" s="153" t="n"/>
      <c r="R950" s="153" t="n"/>
      <c r="S950" s="153" t="n"/>
      <c r="T950" s="153" t="n"/>
      <c r="U950" s="153" t="n"/>
      <c r="V950" s="153" t="n"/>
      <c r="W950" s="153" t="n"/>
      <c r="X950" s="153" t="n"/>
      <c r="Y950" s="153" t="n"/>
      <c r="Z950" s="153" t="n"/>
    </row>
    <row r="951" ht="15.75" customHeight="1" s="154">
      <c r="L951" s="153" t="n"/>
      <c r="M951" s="153" t="n"/>
      <c r="N951" s="153" t="n"/>
      <c r="O951" s="153" t="n"/>
      <c r="P951" s="153" t="n"/>
      <c r="Q951" s="153" t="n"/>
      <c r="R951" s="153" t="n"/>
      <c r="S951" s="153" t="n"/>
      <c r="T951" s="153" t="n"/>
      <c r="U951" s="153" t="n"/>
      <c r="V951" s="153" t="n"/>
      <c r="W951" s="153" t="n"/>
      <c r="X951" s="153" t="n"/>
      <c r="Y951" s="153" t="n"/>
      <c r="Z951" s="153" t="n"/>
    </row>
    <row r="952" ht="15.75" customHeight="1" s="154">
      <c r="L952" s="153" t="n"/>
      <c r="M952" s="153" t="n"/>
      <c r="N952" s="153" t="n"/>
      <c r="O952" s="153" t="n"/>
      <c r="P952" s="153" t="n"/>
      <c r="Q952" s="153" t="n"/>
      <c r="R952" s="153" t="n"/>
      <c r="S952" s="153" t="n"/>
      <c r="T952" s="153" t="n"/>
      <c r="U952" s="153" t="n"/>
      <c r="V952" s="153" t="n"/>
      <c r="W952" s="153" t="n"/>
      <c r="X952" s="153" t="n"/>
      <c r="Y952" s="153" t="n"/>
      <c r="Z952" s="153" t="n"/>
    </row>
    <row r="953" ht="15.75" customHeight="1" s="154">
      <c r="L953" s="153" t="n"/>
      <c r="M953" s="153" t="n"/>
      <c r="N953" s="153" t="n"/>
      <c r="O953" s="153" t="n"/>
      <c r="P953" s="153" t="n"/>
      <c r="Q953" s="153" t="n"/>
      <c r="R953" s="153" t="n"/>
      <c r="S953" s="153" t="n"/>
      <c r="T953" s="153" t="n"/>
      <c r="U953" s="153" t="n"/>
      <c r="V953" s="153" t="n"/>
      <c r="W953" s="153" t="n"/>
      <c r="X953" s="153" t="n"/>
      <c r="Y953" s="153" t="n"/>
      <c r="Z953" s="153" t="n"/>
    </row>
    <row r="954" ht="15.75" customHeight="1" s="154">
      <c r="L954" s="153" t="n"/>
      <c r="M954" s="153" t="n"/>
      <c r="N954" s="153" t="n"/>
      <c r="O954" s="153" t="n"/>
      <c r="P954" s="153" t="n"/>
      <c r="Q954" s="153" t="n"/>
      <c r="R954" s="153" t="n"/>
      <c r="S954" s="153" t="n"/>
      <c r="T954" s="153" t="n"/>
      <c r="U954" s="153" t="n"/>
      <c r="V954" s="153" t="n"/>
      <c r="W954" s="153" t="n"/>
      <c r="X954" s="153" t="n"/>
      <c r="Y954" s="153" t="n"/>
      <c r="Z954" s="153" t="n"/>
    </row>
    <row r="955" ht="15.75" customHeight="1" s="154">
      <c r="L955" s="153" t="n"/>
      <c r="M955" s="153" t="n"/>
      <c r="N955" s="153" t="n"/>
      <c r="O955" s="153" t="n"/>
      <c r="P955" s="153" t="n"/>
      <c r="Q955" s="153" t="n"/>
      <c r="R955" s="153" t="n"/>
      <c r="S955" s="153" t="n"/>
      <c r="T955" s="153" t="n"/>
      <c r="U955" s="153" t="n"/>
      <c r="V955" s="153" t="n"/>
      <c r="W955" s="153" t="n"/>
      <c r="X955" s="153" t="n"/>
      <c r="Y955" s="153" t="n"/>
      <c r="Z955" s="153" t="n"/>
    </row>
    <row r="956" ht="15.75" customHeight="1" s="154">
      <c r="L956" s="153" t="n"/>
      <c r="M956" s="153" t="n"/>
      <c r="N956" s="153" t="n"/>
      <c r="O956" s="153" t="n"/>
      <c r="P956" s="153" t="n"/>
      <c r="Q956" s="153" t="n"/>
      <c r="R956" s="153" t="n"/>
      <c r="S956" s="153" t="n"/>
      <c r="T956" s="153" t="n"/>
      <c r="U956" s="153" t="n"/>
      <c r="V956" s="153" t="n"/>
      <c r="W956" s="153" t="n"/>
      <c r="X956" s="153" t="n"/>
      <c r="Y956" s="153" t="n"/>
      <c r="Z956" s="153" t="n"/>
    </row>
    <row r="957" ht="15.75" customHeight="1" s="154">
      <c r="L957" s="153" t="n"/>
      <c r="M957" s="153" t="n"/>
      <c r="N957" s="153" t="n"/>
      <c r="O957" s="153" t="n"/>
      <c r="P957" s="153" t="n"/>
      <c r="Q957" s="153" t="n"/>
      <c r="R957" s="153" t="n"/>
      <c r="S957" s="153" t="n"/>
      <c r="T957" s="153" t="n"/>
      <c r="U957" s="153" t="n"/>
      <c r="V957" s="153" t="n"/>
      <c r="W957" s="153" t="n"/>
      <c r="X957" s="153" t="n"/>
      <c r="Y957" s="153" t="n"/>
      <c r="Z957" s="153" t="n"/>
    </row>
    <row r="958" ht="15.75" customHeight="1" s="154">
      <c r="L958" s="153" t="n"/>
      <c r="M958" s="153" t="n"/>
      <c r="N958" s="153" t="n"/>
      <c r="O958" s="153" t="n"/>
      <c r="P958" s="153" t="n"/>
      <c r="Q958" s="153" t="n"/>
      <c r="R958" s="153" t="n"/>
      <c r="S958" s="153" t="n"/>
      <c r="T958" s="153" t="n"/>
      <c r="U958" s="153" t="n"/>
      <c r="V958" s="153" t="n"/>
      <c r="W958" s="153" t="n"/>
      <c r="X958" s="153" t="n"/>
      <c r="Y958" s="153" t="n"/>
      <c r="Z958" s="153" t="n"/>
    </row>
    <row r="959" ht="15.75" customHeight="1" s="154">
      <c r="L959" s="153" t="n"/>
      <c r="M959" s="153" t="n"/>
      <c r="N959" s="153" t="n"/>
      <c r="O959" s="153" t="n"/>
      <c r="P959" s="153" t="n"/>
      <c r="Q959" s="153" t="n"/>
      <c r="R959" s="153" t="n"/>
      <c r="S959" s="153" t="n"/>
      <c r="T959" s="153" t="n"/>
      <c r="U959" s="153" t="n"/>
      <c r="V959" s="153" t="n"/>
      <c r="W959" s="153" t="n"/>
      <c r="X959" s="153" t="n"/>
      <c r="Y959" s="153" t="n"/>
      <c r="Z959" s="153" t="n"/>
    </row>
    <row r="960" ht="15.75" customHeight="1" s="154">
      <c r="L960" s="153" t="n"/>
      <c r="M960" s="153" t="n"/>
      <c r="N960" s="153" t="n"/>
      <c r="O960" s="153" t="n"/>
      <c r="P960" s="153" t="n"/>
      <c r="Q960" s="153" t="n"/>
      <c r="R960" s="153" t="n"/>
      <c r="S960" s="153" t="n"/>
      <c r="T960" s="153" t="n"/>
      <c r="U960" s="153" t="n"/>
      <c r="V960" s="153" t="n"/>
      <c r="W960" s="153" t="n"/>
      <c r="X960" s="153" t="n"/>
      <c r="Y960" s="153" t="n"/>
      <c r="Z960" s="153" t="n"/>
    </row>
    <row r="961" ht="15.75" customHeight="1" s="154">
      <c r="L961" s="153" t="n"/>
      <c r="M961" s="153" t="n"/>
      <c r="N961" s="153" t="n"/>
      <c r="O961" s="153" t="n"/>
      <c r="P961" s="153" t="n"/>
      <c r="Q961" s="153" t="n"/>
      <c r="R961" s="153" t="n"/>
      <c r="S961" s="153" t="n"/>
      <c r="T961" s="153" t="n"/>
      <c r="U961" s="153" t="n"/>
      <c r="V961" s="153" t="n"/>
      <c r="W961" s="153" t="n"/>
      <c r="X961" s="153" t="n"/>
      <c r="Y961" s="153" t="n"/>
      <c r="Z961" s="153" t="n"/>
    </row>
    <row r="962" ht="15.75" customHeight="1" s="154">
      <c r="L962" s="153" t="n"/>
      <c r="M962" s="153" t="n"/>
      <c r="N962" s="153" t="n"/>
      <c r="O962" s="153" t="n"/>
      <c r="P962" s="153" t="n"/>
      <c r="Q962" s="153" t="n"/>
      <c r="R962" s="153" t="n"/>
      <c r="S962" s="153" t="n"/>
      <c r="T962" s="153" t="n"/>
      <c r="U962" s="153" t="n"/>
      <c r="V962" s="153" t="n"/>
      <c r="W962" s="153" t="n"/>
      <c r="X962" s="153" t="n"/>
      <c r="Y962" s="153" t="n"/>
      <c r="Z962" s="153" t="n"/>
    </row>
    <row r="963" ht="15.75" customHeight="1" s="154">
      <c r="L963" s="153" t="n"/>
      <c r="M963" s="153" t="n"/>
      <c r="N963" s="153" t="n"/>
      <c r="O963" s="153" t="n"/>
      <c r="P963" s="153" t="n"/>
      <c r="Q963" s="153" t="n"/>
      <c r="R963" s="153" t="n"/>
      <c r="S963" s="153" t="n"/>
      <c r="T963" s="153" t="n"/>
      <c r="U963" s="153" t="n"/>
      <c r="V963" s="153" t="n"/>
      <c r="W963" s="153" t="n"/>
      <c r="X963" s="153" t="n"/>
      <c r="Y963" s="153" t="n"/>
      <c r="Z963" s="153" t="n"/>
    </row>
    <row r="964" ht="15.75" customHeight="1" s="154">
      <c r="L964" s="153" t="n"/>
      <c r="M964" s="153" t="n"/>
      <c r="N964" s="153" t="n"/>
      <c r="O964" s="153" t="n"/>
      <c r="P964" s="153" t="n"/>
      <c r="Q964" s="153" t="n"/>
      <c r="R964" s="153" t="n"/>
      <c r="S964" s="153" t="n"/>
      <c r="T964" s="153" t="n"/>
      <c r="U964" s="153" t="n"/>
      <c r="V964" s="153" t="n"/>
      <c r="W964" s="153" t="n"/>
      <c r="X964" s="153" t="n"/>
      <c r="Y964" s="153" t="n"/>
      <c r="Z964" s="153" t="n"/>
    </row>
    <row r="965" ht="15.75" customHeight="1" s="154">
      <c r="L965" s="153" t="n"/>
      <c r="M965" s="153" t="n"/>
      <c r="N965" s="153" t="n"/>
      <c r="O965" s="153" t="n"/>
      <c r="P965" s="153" t="n"/>
      <c r="Q965" s="153" t="n"/>
      <c r="R965" s="153" t="n"/>
      <c r="S965" s="153" t="n"/>
      <c r="T965" s="153" t="n"/>
      <c r="U965" s="153" t="n"/>
      <c r="V965" s="153" t="n"/>
      <c r="W965" s="153" t="n"/>
      <c r="X965" s="153" t="n"/>
      <c r="Y965" s="153" t="n"/>
      <c r="Z965" s="153" t="n"/>
    </row>
    <row r="966" ht="15.75" customHeight="1" s="154">
      <c r="L966" s="153" t="n"/>
      <c r="M966" s="153" t="n"/>
      <c r="N966" s="153" t="n"/>
      <c r="O966" s="153" t="n"/>
      <c r="P966" s="153" t="n"/>
      <c r="Q966" s="153" t="n"/>
      <c r="R966" s="153" t="n"/>
      <c r="S966" s="153" t="n"/>
      <c r="T966" s="153" t="n"/>
      <c r="U966" s="153" t="n"/>
      <c r="V966" s="153" t="n"/>
      <c r="W966" s="153" t="n"/>
      <c r="X966" s="153" t="n"/>
      <c r="Y966" s="153" t="n"/>
      <c r="Z966" s="153" t="n"/>
    </row>
    <row r="967" ht="15.75" customHeight="1" s="154">
      <c r="L967" s="153" t="n"/>
      <c r="M967" s="153" t="n"/>
      <c r="N967" s="153" t="n"/>
      <c r="O967" s="153" t="n"/>
      <c r="P967" s="153" t="n"/>
      <c r="Q967" s="153" t="n"/>
      <c r="R967" s="153" t="n"/>
      <c r="S967" s="153" t="n"/>
      <c r="T967" s="153" t="n"/>
      <c r="U967" s="153" t="n"/>
      <c r="V967" s="153" t="n"/>
      <c r="W967" s="153" t="n"/>
      <c r="X967" s="153" t="n"/>
      <c r="Y967" s="153" t="n"/>
      <c r="Z967" s="153" t="n"/>
    </row>
    <row r="968" ht="15.75" customHeight="1" s="154">
      <c r="L968" s="153" t="n"/>
      <c r="M968" s="153" t="n"/>
      <c r="N968" s="153" t="n"/>
      <c r="O968" s="153" t="n"/>
      <c r="P968" s="153" t="n"/>
      <c r="Q968" s="153" t="n"/>
      <c r="R968" s="153" t="n"/>
      <c r="S968" s="153" t="n"/>
      <c r="T968" s="153" t="n"/>
      <c r="U968" s="153" t="n"/>
      <c r="V968" s="153" t="n"/>
      <c r="W968" s="153" t="n"/>
      <c r="X968" s="153" t="n"/>
      <c r="Y968" s="153" t="n"/>
      <c r="Z968" s="153" t="n"/>
    </row>
    <row r="969" ht="15.75" customHeight="1" s="154">
      <c r="L969" s="153" t="n"/>
      <c r="M969" s="153" t="n"/>
      <c r="N969" s="153" t="n"/>
      <c r="O969" s="153" t="n"/>
      <c r="P969" s="153" t="n"/>
      <c r="Q969" s="153" t="n"/>
      <c r="R969" s="153" t="n"/>
      <c r="S969" s="153" t="n"/>
      <c r="T969" s="153" t="n"/>
      <c r="U969" s="153" t="n"/>
      <c r="V969" s="153" t="n"/>
      <c r="W969" s="153" t="n"/>
      <c r="X969" s="153" t="n"/>
      <c r="Y969" s="153" t="n"/>
      <c r="Z969" s="153" t="n"/>
    </row>
    <row r="970" ht="15.75" customHeight="1" s="154">
      <c r="L970" s="153" t="n"/>
      <c r="M970" s="153" t="n"/>
      <c r="N970" s="153" t="n"/>
      <c r="O970" s="153" t="n"/>
      <c r="P970" s="153" t="n"/>
      <c r="Q970" s="153" t="n"/>
      <c r="R970" s="153" t="n"/>
      <c r="S970" s="153" t="n"/>
      <c r="T970" s="153" t="n"/>
      <c r="U970" s="153" t="n"/>
      <c r="V970" s="153" t="n"/>
      <c r="W970" s="153" t="n"/>
      <c r="X970" s="153" t="n"/>
      <c r="Y970" s="153" t="n"/>
      <c r="Z970" s="153" t="n"/>
    </row>
    <row r="971" ht="15.75" customHeight="1" s="154">
      <c r="L971" s="153" t="n"/>
      <c r="M971" s="153" t="n"/>
      <c r="N971" s="153" t="n"/>
      <c r="O971" s="153" t="n"/>
      <c r="P971" s="153" t="n"/>
      <c r="Q971" s="153" t="n"/>
      <c r="R971" s="153" t="n"/>
      <c r="S971" s="153" t="n"/>
      <c r="T971" s="153" t="n"/>
      <c r="U971" s="153" t="n"/>
      <c r="V971" s="153" t="n"/>
      <c r="W971" s="153" t="n"/>
      <c r="X971" s="153" t="n"/>
      <c r="Y971" s="153" t="n"/>
      <c r="Z971" s="153" t="n"/>
    </row>
    <row r="972" ht="15.75" customHeight="1" s="154">
      <c r="L972" s="153" t="n"/>
      <c r="M972" s="153" t="n"/>
      <c r="N972" s="153" t="n"/>
      <c r="O972" s="153" t="n"/>
      <c r="P972" s="153" t="n"/>
      <c r="Q972" s="153" t="n"/>
      <c r="R972" s="153" t="n"/>
      <c r="S972" s="153" t="n"/>
      <c r="T972" s="153" t="n"/>
      <c r="U972" s="153" t="n"/>
      <c r="V972" s="153" t="n"/>
      <c r="W972" s="153" t="n"/>
      <c r="X972" s="153" t="n"/>
      <c r="Y972" s="153" t="n"/>
      <c r="Z972" s="153" t="n"/>
    </row>
    <row r="973" ht="15.75" customHeight="1" s="154">
      <c r="L973" s="153" t="n"/>
      <c r="M973" s="153" t="n"/>
      <c r="N973" s="153" t="n"/>
      <c r="O973" s="153" t="n"/>
      <c r="P973" s="153" t="n"/>
      <c r="Q973" s="153" t="n"/>
      <c r="R973" s="153" t="n"/>
      <c r="S973" s="153" t="n"/>
      <c r="T973" s="153" t="n"/>
      <c r="U973" s="153" t="n"/>
      <c r="V973" s="153" t="n"/>
      <c r="W973" s="153" t="n"/>
      <c r="X973" s="153" t="n"/>
      <c r="Y973" s="153" t="n"/>
      <c r="Z973" s="153" t="n"/>
    </row>
    <row r="974" ht="15.75" customHeight="1" s="154">
      <c r="L974" s="153" t="n"/>
      <c r="M974" s="153" t="n"/>
      <c r="N974" s="153" t="n"/>
      <c r="O974" s="153" t="n"/>
      <c r="P974" s="153" t="n"/>
      <c r="Q974" s="153" t="n"/>
      <c r="R974" s="153" t="n"/>
      <c r="S974" s="153" t="n"/>
      <c r="T974" s="153" t="n"/>
      <c r="U974" s="153" t="n"/>
      <c r="V974" s="153" t="n"/>
      <c r="W974" s="153" t="n"/>
      <c r="X974" s="153" t="n"/>
      <c r="Y974" s="153" t="n"/>
      <c r="Z974" s="153" t="n"/>
    </row>
    <row r="975" ht="15.75" customHeight="1" s="154">
      <c r="L975" s="153" t="n"/>
      <c r="M975" s="153" t="n"/>
      <c r="N975" s="153" t="n"/>
      <c r="O975" s="153" t="n"/>
      <c r="P975" s="153" t="n"/>
      <c r="Q975" s="153" t="n"/>
      <c r="R975" s="153" t="n"/>
      <c r="S975" s="153" t="n"/>
      <c r="T975" s="153" t="n"/>
      <c r="U975" s="153" t="n"/>
      <c r="V975" s="153" t="n"/>
      <c r="W975" s="153" t="n"/>
      <c r="X975" s="153" t="n"/>
      <c r="Y975" s="153" t="n"/>
      <c r="Z975" s="153" t="n"/>
    </row>
    <row r="976" ht="15.75" customHeight="1" s="154">
      <c r="L976" s="153" t="n"/>
      <c r="M976" s="153" t="n"/>
      <c r="N976" s="153" t="n"/>
      <c r="O976" s="153" t="n"/>
      <c r="P976" s="153" t="n"/>
      <c r="Q976" s="153" t="n"/>
      <c r="R976" s="153" t="n"/>
      <c r="S976" s="153" t="n"/>
      <c r="T976" s="153" t="n"/>
      <c r="U976" s="153" t="n"/>
      <c r="V976" s="153" t="n"/>
      <c r="W976" s="153" t="n"/>
      <c r="X976" s="153" t="n"/>
      <c r="Y976" s="153" t="n"/>
      <c r="Z976" s="153" t="n"/>
    </row>
    <row r="977" ht="15.75" customHeight="1" s="154">
      <c r="L977" s="153" t="n"/>
      <c r="M977" s="153" t="n"/>
      <c r="N977" s="153" t="n"/>
      <c r="O977" s="153" t="n"/>
      <c r="P977" s="153" t="n"/>
      <c r="Q977" s="153" t="n"/>
      <c r="R977" s="153" t="n"/>
      <c r="S977" s="153" t="n"/>
      <c r="T977" s="153" t="n"/>
      <c r="U977" s="153" t="n"/>
      <c r="V977" s="153" t="n"/>
      <c r="W977" s="153" t="n"/>
      <c r="X977" s="153" t="n"/>
      <c r="Y977" s="153" t="n"/>
      <c r="Z977" s="153" t="n"/>
    </row>
    <row r="978" ht="15.75" customHeight="1" s="154">
      <c r="L978" s="153" t="n"/>
      <c r="M978" s="153" t="n"/>
      <c r="N978" s="153" t="n"/>
      <c r="O978" s="153" t="n"/>
      <c r="P978" s="153" t="n"/>
      <c r="Q978" s="153" t="n"/>
      <c r="R978" s="153" t="n"/>
      <c r="S978" s="153" t="n"/>
      <c r="T978" s="153" t="n"/>
      <c r="U978" s="153" t="n"/>
      <c r="V978" s="153" t="n"/>
      <c r="W978" s="153" t="n"/>
      <c r="X978" s="153" t="n"/>
      <c r="Y978" s="153" t="n"/>
      <c r="Z978" s="153" t="n"/>
    </row>
    <row r="979" ht="15.75" customHeight="1" s="154">
      <c r="L979" s="153" t="n"/>
      <c r="M979" s="153" t="n"/>
      <c r="N979" s="153" t="n"/>
      <c r="O979" s="153" t="n"/>
      <c r="P979" s="153" t="n"/>
      <c r="Q979" s="153" t="n"/>
      <c r="R979" s="153" t="n"/>
      <c r="S979" s="153" t="n"/>
      <c r="T979" s="153" t="n"/>
      <c r="U979" s="153" t="n"/>
      <c r="V979" s="153" t="n"/>
      <c r="W979" s="153" t="n"/>
      <c r="X979" s="153" t="n"/>
      <c r="Y979" s="153" t="n"/>
      <c r="Z979" s="153" t="n"/>
    </row>
    <row r="980" ht="15.75" customHeight="1" s="154">
      <c r="L980" s="153" t="n"/>
      <c r="M980" s="153" t="n"/>
      <c r="N980" s="153" t="n"/>
      <c r="O980" s="153" t="n"/>
      <c r="P980" s="153" t="n"/>
      <c r="Q980" s="153" t="n"/>
      <c r="R980" s="153" t="n"/>
      <c r="S980" s="153" t="n"/>
      <c r="T980" s="153" t="n"/>
      <c r="U980" s="153" t="n"/>
      <c r="V980" s="153" t="n"/>
      <c r="W980" s="153" t="n"/>
      <c r="X980" s="153" t="n"/>
      <c r="Y980" s="153" t="n"/>
      <c r="Z980" s="153" t="n"/>
    </row>
    <row r="981" ht="15.75" customHeight="1" s="154">
      <c r="L981" s="153" t="n"/>
      <c r="M981" s="153" t="n"/>
      <c r="N981" s="153" t="n"/>
      <c r="O981" s="153" t="n"/>
      <c r="P981" s="153" t="n"/>
      <c r="Q981" s="153" t="n"/>
      <c r="R981" s="153" t="n"/>
      <c r="S981" s="153" t="n"/>
      <c r="T981" s="153" t="n"/>
      <c r="U981" s="153" t="n"/>
      <c r="V981" s="153" t="n"/>
      <c r="W981" s="153" t="n"/>
      <c r="X981" s="153" t="n"/>
      <c r="Y981" s="153" t="n"/>
      <c r="Z981" s="153" t="n"/>
    </row>
    <row r="982" ht="15.75" customHeight="1" s="154">
      <c r="L982" s="153" t="n"/>
      <c r="M982" s="153" t="n"/>
      <c r="N982" s="153" t="n"/>
      <c r="O982" s="153" t="n"/>
      <c r="P982" s="153" t="n"/>
      <c r="Q982" s="153" t="n"/>
      <c r="R982" s="153" t="n"/>
      <c r="S982" s="153" t="n"/>
      <c r="T982" s="153" t="n"/>
      <c r="U982" s="153" t="n"/>
      <c r="V982" s="153" t="n"/>
      <c r="W982" s="153" t="n"/>
      <c r="X982" s="153" t="n"/>
      <c r="Y982" s="153" t="n"/>
      <c r="Z982" s="153" t="n"/>
    </row>
    <row r="983" ht="15.75" customHeight="1" s="154">
      <c r="L983" s="153" t="n"/>
      <c r="M983" s="153" t="n"/>
      <c r="N983" s="153" t="n"/>
      <c r="O983" s="153" t="n"/>
      <c r="P983" s="153" t="n"/>
      <c r="Q983" s="153" t="n"/>
      <c r="R983" s="153" t="n"/>
      <c r="S983" s="153" t="n"/>
      <c r="T983" s="153" t="n"/>
      <c r="U983" s="153" t="n"/>
      <c r="V983" s="153" t="n"/>
      <c r="W983" s="153" t="n"/>
      <c r="X983" s="153" t="n"/>
      <c r="Y983" s="153" t="n"/>
      <c r="Z983" s="153" t="n"/>
    </row>
    <row r="984" ht="15.75" customHeight="1" s="154">
      <c r="L984" s="153" t="n"/>
      <c r="M984" s="153" t="n"/>
      <c r="N984" s="153" t="n"/>
      <c r="O984" s="153" t="n"/>
      <c r="P984" s="153" t="n"/>
      <c r="Q984" s="153" t="n"/>
      <c r="R984" s="153" t="n"/>
      <c r="S984" s="153" t="n"/>
      <c r="T984" s="153" t="n"/>
      <c r="U984" s="153" t="n"/>
      <c r="V984" s="153" t="n"/>
      <c r="W984" s="153" t="n"/>
      <c r="X984" s="153" t="n"/>
      <c r="Y984" s="153" t="n"/>
      <c r="Z984" s="153" t="n"/>
    </row>
    <row r="985" ht="15.75" customHeight="1" s="154">
      <c r="L985" s="153" t="n"/>
      <c r="M985" s="153" t="n"/>
      <c r="N985" s="153" t="n"/>
      <c r="O985" s="153" t="n"/>
      <c r="P985" s="153" t="n"/>
      <c r="Q985" s="153" t="n"/>
      <c r="R985" s="153" t="n"/>
      <c r="S985" s="153" t="n"/>
      <c r="T985" s="153" t="n"/>
      <c r="U985" s="153" t="n"/>
      <c r="V985" s="153" t="n"/>
      <c r="W985" s="153" t="n"/>
      <c r="X985" s="153" t="n"/>
      <c r="Y985" s="153" t="n"/>
      <c r="Z985" s="153" t="n"/>
    </row>
    <row r="986" ht="15.75" customHeight="1" s="154">
      <c r="L986" s="153" t="n"/>
      <c r="M986" s="153" t="n"/>
      <c r="N986" s="153" t="n"/>
      <c r="O986" s="153" t="n"/>
      <c r="P986" s="153" t="n"/>
      <c r="Q986" s="153" t="n"/>
      <c r="R986" s="153" t="n"/>
      <c r="S986" s="153" t="n"/>
      <c r="T986" s="153" t="n"/>
      <c r="U986" s="153" t="n"/>
      <c r="V986" s="153" t="n"/>
      <c r="W986" s="153" t="n"/>
      <c r="X986" s="153" t="n"/>
      <c r="Y986" s="153" t="n"/>
      <c r="Z986" s="153" t="n"/>
    </row>
    <row r="987" ht="15.75" customHeight="1" s="154">
      <c r="L987" s="153" t="n"/>
      <c r="M987" s="153" t="n"/>
      <c r="N987" s="153" t="n"/>
      <c r="O987" s="153" t="n"/>
      <c r="P987" s="153" t="n"/>
      <c r="Q987" s="153" t="n"/>
      <c r="R987" s="153" t="n"/>
      <c r="S987" s="153" t="n"/>
      <c r="T987" s="153" t="n"/>
      <c r="U987" s="153" t="n"/>
      <c r="V987" s="153" t="n"/>
      <c r="W987" s="153" t="n"/>
      <c r="X987" s="153" t="n"/>
      <c r="Y987" s="153" t="n"/>
      <c r="Z987" s="153" t="n"/>
    </row>
    <row r="988" ht="15.75" customHeight="1" s="154">
      <c r="L988" s="153" t="n"/>
      <c r="M988" s="153" t="n"/>
      <c r="N988" s="153" t="n"/>
      <c r="O988" s="153" t="n"/>
      <c r="P988" s="153" t="n"/>
      <c r="Q988" s="153" t="n"/>
      <c r="R988" s="153" t="n"/>
      <c r="S988" s="153" t="n"/>
      <c r="T988" s="153" t="n"/>
      <c r="U988" s="153" t="n"/>
      <c r="V988" s="153" t="n"/>
      <c r="W988" s="153" t="n"/>
      <c r="X988" s="153" t="n"/>
      <c r="Y988" s="153" t="n"/>
      <c r="Z988" s="153" t="n"/>
    </row>
    <row r="989" ht="15.75" customHeight="1" s="154">
      <c r="L989" s="153" t="n"/>
      <c r="M989" s="153" t="n"/>
      <c r="N989" s="153" t="n"/>
      <c r="O989" s="153" t="n"/>
      <c r="P989" s="153" t="n"/>
      <c r="Q989" s="153" t="n"/>
      <c r="R989" s="153" t="n"/>
      <c r="S989" s="153" t="n"/>
      <c r="T989" s="153" t="n"/>
      <c r="U989" s="153" t="n"/>
      <c r="V989" s="153" t="n"/>
      <c r="W989" s="153" t="n"/>
      <c r="X989" s="153" t="n"/>
      <c r="Y989" s="153" t="n"/>
      <c r="Z989" s="153" t="n"/>
    </row>
    <row r="990" ht="15.75" customHeight="1" s="154">
      <c r="L990" s="153" t="n"/>
      <c r="M990" s="153" t="n"/>
      <c r="N990" s="153" t="n"/>
      <c r="O990" s="153" t="n"/>
      <c r="P990" s="153" t="n"/>
      <c r="Q990" s="153" t="n"/>
      <c r="R990" s="153" t="n"/>
      <c r="S990" s="153" t="n"/>
      <c r="T990" s="153" t="n"/>
      <c r="U990" s="153" t="n"/>
      <c r="V990" s="153" t="n"/>
      <c r="W990" s="153" t="n"/>
      <c r="X990" s="153" t="n"/>
      <c r="Y990" s="153" t="n"/>
      <c r="Z990" s="153" t="n"/>
    </row>
    <row r="991" ht="15.75" customHeight="1" s="154">
      <c r="L991" s="153" t="n"/>
      <c r="M991" s="153" t="n"/>
      <c r="N991" s="153" t="n"/>
      <c r="O991" s="153" t="n"/>
      <c r="P991" s="153" t="n"/>
      <c r="Q991" s="153" t="n"/>
      <c r="R991" s="153" t="n"/>
      <c r="S991" s="153" t="n"/>
      <c r="T991" s="153" t="n"/>
      <c r="U991" s="153" t="n"/>
      <c r="V991" s="153" t="n"/>
      <c r="W991" s="153" t="n"/>
      <c r="X991" s="153" t="n"/>
      <c r="Y991" s="153" t="n"/>
      <c r="Z991" s="153" t="n"/>
    </row>
    <row r="992" ht="15.75" customHeight="1" s="154">
      <c r="L992" s="153" t="n"/>
      <c r="M992" s="153" t="n"/>
      <c r="N992" s="153" t="n"/>
      <c r="O992" s="153" t="n"/>
      <c r="P992" s="153" t="n"/>
      <c r="Q992" s="153" t="n"/>
      <c r="R992" s="153" t="n"/>
      <c r="S992" s="153" t="n"/>
      <c r="T992" s="153" t="n"/>
      <c r="U992" s="153" t="n"/>
      <c r="V992" s="153" t="n"/>
      <c r="W992" s="153" t="n"/>
      <c r="X992" s="153" t="n"/>
      <c r="Y992" s="153" t="n"/>
      <c r="Z992" s="153" t="n"/>
    </row>
    <row r="993" ht="15.75" customHeight="1" s="154">
      <c r="L993" s="153" t="n"/>
      <c r="M993" s="153" t="n"/>
      <c r="N993" s="153" t="n"/>
      <c r="O993" s="153" t="n"/>
      <c r="P993" s="153" t="n"/>
      <c r="Q993" s="153" t="n"/>
      <c r="R993" s="153" t="n"/>
      <c r="S993" s="153" t="n"/>
      <c r="T993" s="153" t="n"/>
      <c r="U993" s="153" t="n"/>
      <c r="V993" s="153" t="n"/>
      <c r="W993" s="153" t="n"/>
      <c r="X993" s="153" t="n"/>
      <c r="Y993" s="153" t="n"/>
      <c r="Z993" s="153" t="n"/>
    </row>
    <row r="994" ht="15.75" customHeight="1" s="154">
      <c r="L994" s="153" t="n"/>
      <c r="M994" s="153" t="n"/>
      <c r="N994" s="153" t="n"/>
      <c r="O994" s="153" t="n"/>
      <c r="P994" s="153" t="n"/>
      <c r="Q994" s="153" t="n"/>
      <c r="R994" s="153" t="n"/>
      <c r="S994" s="153" t="n"/>
      <c r="T994" s="153" t="n"/>
      <c r="U994" s="153" t="n"/>
      <c r="V994" s="153" t="n"/>
      <c r="W994" s="153" t="n"/>
      <c r="X994" s="153" t="n"/>
      <c r="Y994" s="153" t="n"/>
      <c r="Z994" s="153" t="n"/>
    </row>
    <row r="995" ht="15.75" customHeight="1" s="154">
      <c r="L995" s="153" t="n"/>
      <c r="M995" s="153" t="n"/>
      <c r="N995" s="153" t="n"/>
      <c r="O995" s="153" t="n"/>
      <c r="P995" s="153" t="n"/>
      <c r="Q995" s="153" t="n"/>
      <c r="R995" s="153" t="n"/>
      <c r="S995" s="153" t="n"/>
      <c r="T995" s="153" t="n"/>
      <c r="U995" s="153" t="n"/>
      <c r="V995" s="153" t="n"/>
      <c r="W995" s="153" t="n"/>
      <c r="X995" s="153" t="n"/>
      <c r="Y995" s="153" t="n"/>
      <c r="Z995" s="153" t="n"/>
    </row>
    <row r="996" ht="15.75" customHeight="1" s="154">
      <c r="L996" s="153" t="n"/>
      <c r="M996" s="153" t="n"/>
      <c r="N996" s="153" t="n"/>
      <c r="O996" s="153" t="n"/>
      <c r="P996" s="153" t="n"/>
      <c r="Q996" s="153" t="n"/>
      <c r="R996" s="153" t="n"/>
      <c r="S996" s="153" t="n"/>
      <c r="T996" s="153" t="n"/>
      <c r="U996" s="153" t="n"/>
      <c r="V996" s="153" t="n"/>
      <c r="W996" s="153" t="n"/>
      <c r="X996" s="153" t="n"/>
      <c r="Y996" s="153" t="n"/>
      <c r="Z996" s="153" t="n"/>
    </row>
    <row r="997" ht="15.75" customHeight="1" s="154">
      <c r="L997" s="153" t="n"/>
      <c r="M997" s="153" t="n"/>
      <c r="N997" s="153" t="n"/>
      <c r="O997" s="153" t="n"/>
      <c r="P997" s="153" t="n"/>
      <c r="Q997" s="153" t="n"/>
      <c r="R997" s="153" t="n"/>
      <c r="S997" s="153" t="n"/>
      <c r="T997" s="153" t="n"/>
      <c r="U997" s="153" t="n"/>
      <c r="V997" s="153" t="n"/>
      <c r="W997" s="153" t="n"/>
      <c r="X997" s="153" t="n"/>
      <c r="Y997" s="153" t="n"/>
      <c r="Z997" s="153" t="n"/>
    </row>
    <row r="998" ht="15.75" customHeight="1" s="154">
      <c r="L998" s="153" t="n"/>
      <c r="M998" s="153" t="n"/>
      <c r="N998" s="153" t="n"/>
      <c r="O998" s="153" t="n"/>
      <c r="P998" s="153" t="n"/>
      <c r="Q998" s="153" t="n"/>
      <c r="R998" s="153" t="n"/>
      <c r="S998" s="153" t="n"/>
      <c r="T998" s="153" t="n"/>
      <c r="U998" s="153" t="n"/>
      <c r="V998" s="153" t="n"/>
      <c r="W998" s="153" t="n"/>
      <c r="X998" s="153" t="n"/>
      <c r="Y998" s="153" t="n"/>
      <c r="Z998" s="153" t="n"/>
    </row>
    <row r="999" ht="15.75" customHeight="1" s="154">
      <c r="L999" s="153" t="n"/>
      <c r="M999" s="153" t="n"/>
      <c r="N999" s="153" t="n"/>
      <c r="O999" s="153" t="n"/>
      <c r="P999" s="153" t="n"/>
      <c r="Q999" s="153" t="n"/>
      <c r="R999" s="153" t="n"/>
      <c r="S999" s="153" t="n"/>
      <c r="T999" s="153" t="n"/>
      <c r="U999" s="153" t="n"/>
      <c r="V999" s="153" t="n"/>
      <c r="W999" s="153" t="n"/>
      <c r="X999" s="153" t="n"/>
      <c r="Y999" s="153" t="n"/>
      <c r="Z999" s="153" t="n"/>
    </row>
    <row r="1000" ht="15.75" customHeight="1" s="154">
      <c r="L1000" s="153" t="n"/>
      <c r="M1000" s="153" t="n"/>
      <c r="N1000" s="153" t="n"/>
      <c r="O1000" s="153" t="n"/>
      <c r="P1000" s="153" t="n"/>
      <c r="Q1000" s="153" t="n"/>
      <c r="R1000" s="153" t="n"/>
      <c r="S1000" s="153" t="n"/>
      <c r="T1000" s="153" t="n"/>
      <c r="U1000" s="153" t="n"/>
      <c r="V1000" s="153" t="n"/>
      <c r="W1000" s="153" t="n"/>
      <c r="X1000" s="153" t="n"/>
      <c r="Y1000" s="153" t="n"/>
      <c r="Z1000" s="153" t="n"/>
    </row>
  </sheetData>
  <mergeCells count="12">
    <mergeCell ref="B4:F4"/>
    <mergeCell ref="B7:F7"/>
    <mergeCell ref="B6:F6"/>
    <mergeCell ref="G6:I6"/>
    <mergeCell ref="G5:I5"/>
    <mergeCell ref="B5:F5"/>
    <mergeCell ref="A1:I1"/>
    <mergeCell ref="A9:I9"/>
    <mergeCell ref="G4:I4"/>
    <mergeCell ref="A24:H27"/>
    <mergeCell ref="A3:I3"/>
    <mergeCell ref="G7:I7"/>
  </mergeCells>
  <dataValidations count="1">
    <dataValidation sqref="F11:F22" showDropDown="0" showInputMessage="0" showErrorMessage="0" allowBlank="1" type="list" errorStyle="stop" operator="between">
      <formula1>"x"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tabColor rgb="FF114884"/>
    <outlinePr summaryBelow="1" summaryRight="1"/>
    <pageSetUpPr fitToPage="0"/>
  </sheetPr>
  <dimension ref="A1:Z100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3359375" defaultRowHeight="15" zeroHeight="0" outlineLevelRow="0"/>
  <cols>
    <col width="6" customWidth="1" style="153" min="1" max="1"/>
    <col width="34" customWidth="1" style="153" min="2" max="2"/>
    <col width="46" customWidth="1" style="153" min="3" max="3"/>
    <col width="8.710000000000001" customWidth="1" style="153" min="4" max="6"/>
  </cols>
  <sheetData>
    <row r="1" ht="49.5" customHeight="1" s="154">
      <c r="A1" s="183" t="inlineStr">
        <is>
          <t>⚓  Kategorien</t>
        </is>
      </c>
      <c r="B1" s="184" t="n"/>
      <c r="C1" s="184" t="n"/>
      <c r="G1" s="153" t="n"/>
      <c r="H1" s="153" t="n"/>
      <c r="I1" s="153" t="n"/>
      <c r="J1" s="153" t="n"/>
      <c r="K1" s="153" t="n"/>
      <c r="L1" s="153" t="n"/>
      <c r="M1" s="153" t="n"/>
      <c r="N1" s="153" t="n"/>
      <c r="O1" s="153" t="n"/>
      <c r="P1" s="153" t="n"/>
      <c r="Q1" s="153" t="n"/>
      <c r="R1" s="153" t="n"/>
      <c r="S1" s="153" t="n"/>
      <c r="T1" s="153" t="n"/>
      <c r="U1" s="153" t="n"/>
      <c r="V1" s="153" t="n"/>
      <c r="W1" s="153" t="n"/>
      <c r="X1" s="153" t="n"/>
      <c r="Y1" s="153" t="n"/>
      <c r="Z1" s="153" t="n"/>
    </row>
    <row r="2" ht="24" customHeight="1" s="154">
      <c r="A2" s="227" t="inlineStr">
        <is>
          <t>Hier Kategorien verwalten — werden automatisch in Eingabe, Transaktionen und Auswertung übernommen</t>
        </is>
      </c>
      <c r="B2" s="228" t="n"/>
      <c r="C2" s="228" t="n"/>
      <c r="G2" s="153" t="n"/>
      <c r="H2" s="153" t="n"/>
      <c r="I2" s="153" t="n"/>
      <c r="J2" s="153" t="n"/>
      <c r="K2" s="153" t="n"/>
      <c r="L2" s="153" t="n"/>
      <c r="M2" s="153" t="n"/>
      <c r="N2" s="153" t="n"/>
      <c r="O2" s="153" t="n"/>
      <c r="P2" s="153" t="n"/>
      <c r="Q2" s="153" t="n"/>
      <c r="R2" s="153" t="n"/>
      <c r="S2" s="153" t="n"/>
      <c r="T2" s="153" t="n"/>
      <c r="U2" s="153" t="n"/>
      <c r="V2" s="153" t="n"/>
      <c r="W2" s="153" t="n"/>
      <c r="X2" s="153" t="n"/>
      <c r="Y2" s="153" t="n"/>
      <c r="Z2" s="153" t="n"/>
    </row>
    <row r="3" ht="27.75" customHeight="1" s="154">
      <c r="A3" s="194" t="inlineStr">
        <is>
          <t>Nr.</t>
        </is>
      </c>
      <c r="B3" s="194" t="inlineStr">
        <is>
          <t>Kategorie</t>
        </is>
      </c>
      <c r="C3" s="195" t="inlineStr">
        <is>
          <t>Empfohlene Aufteilung (nur Hinweis)</t>
        </is>
      </c>
      <c r="G3" s="153" t="n"/>
      <c r="H3" s="153" t="n"/>
      <c r="I3" s="153" t="n"/>
      <c r="J3" s="153" t="n"/>
      <c r="K3" s="153" t="n"/>
      <c r="L3" s="153" t="n"/>
      <c r="M3" s="153" t="n"/>
      <c r="N3" s="153" t="n"/>
      <c r="O3" s="153" t="n"/>
      <c r="P3" s="153" t="n"/>
      <c r="Q3" s="153" t="n"/>
      <c r="R3" s="153" t="n"/>
      <c r="S3" s="153" t="n"/>
      <c r="T3" s="153" t="n"/>
      <c r="U3" s="153" t="n"/>
      <c r="V3" s="153" t="n"/>
      <c r="W3" s="153" t="n"/>
      <c r="X3" s="153" t="n"/>
      <c r="Y3" s="153" t="n"/>
      <c r="Z3" s="153" t="n"/>
    </row>
    <row r="4" ht="25.5" customHeight="1" s="154">
      <c r="A4" s="229" t="n">
        <v>1</v>
      </c>
      <c r="B4" s="198" t="inlineStr">
        <is>
          <t>Lebensmittel &amp; Getränke</t>
        </is>
      </c>
      <c r="C4" s="203" t="inlineStr">
        <is>
          <t>Gleichmäßig oder An Bord</t>
        </is>
      </c>
      <c r="G4" s="153" t="n"/>
      <c r="H4" s="153" t="n"/>
      <c r="I4" s="153" t="n"/>
      <c r="J4" s="153" t="n"/>
      <c r="K4" s="153" t="n"/>
      <c r="L4" s="153" t="n"/>
      <c r="M4" s="153" t="n"/>
      <c r="N4" s="153" t="n"/>
      <c r="O4" s="153" t="n"/>
      <c r="P4" s="153" t="n"/>
      <c r="Q4" s="153" t="n"/>
      <c r="R4" s="153" t="n"/>
      <c r="S4" s="153" t="n"/>
      <c r="T4" s="153" t="n"/>
      <c r="U4" s="153" t="n"/>
      <c r="V4" s="153" t="n"/>
      <c r="W4" s="153" t="n"/>
      <c r="X4" s="153" t="n"/>
      <c r="Y4" s="153" t="n"/>
      <c r="Z4" s="153" t="n"/>
    </row>
    <row r="5" ht="25.5" customHeight="1" s="154">
      <c r="A5" s="229" t="n">
        <v>2</v>
      </c>
      <c r="B5" s="205" t="inlineStr">
        <is>
          <t>Restaurants</t>
        </is>
      </c>
      <c r="C5" s="210" t="inlineStr">
        <is>
          <t>An Bord (nur Anwesende)</t>
        </is>
      </c>
      <c r="G5" s="153" t="n"/>
      <c r="H5" s="153" t="n"/>
      <c r="I5" s="153" t="n"/>
      <c r="J5" s="153" t="n"/>
      <c r="K5" s="153" t="n"/>
      <c r="L5" s="153" t="n"/>
      <c r="M5" s="153" t="n"/>
      <c r="N5" s="153" t="n"/>
      <c r="O5" s="153" t="n"/>
      <c r="P5" s="153" t="n"/>
      <c r="Q5" s="153" t="n"/>
      <c r="R5" s="153" t="n"/>
      <c r="S5" s="153" t="n"/>
      <c r="T5" s="153" t="n"/>
      <c r="U5" s="153" t="n"/>
      <c r="V5" s="153" t="n"/>
      <c r="W5" s="153" t="n"/>
      <c r="X5" s="153" t="n"/>
      <c r="Y5" s="153" t="n"/>
      <c r="Z5" s="153" t="n"/>
    </row>
    <row r="6" ht="25.5" customHeight="1" s="154">
      <c r="A6" s="229" t="n">
        <v>3</v>
      </c>
      <c r="B6" s="198" t="inlineStr">
        <is>
          <t>Versicherungen</t>
        </is>
      </c>
      <c r="C6" s="203" t="inlineStr">
        <is>
          <t>Zeitanteilig</t>
        </is>
      </c>
      <c r="G6" s="153" t="n"/>
      <c r="H6" s="153" t="n"/>
      <c r="I6" s="153" t="n"/>
      <c r="J6" s="153" t="n"/>
      <c r="K6" s="153" t="n"/>
      <c r="L6" s="153" t="n"/>
      <c r="M6" s="153" t="n"/>
      <c r="N6" s="153" t="n"/>
      <c r="O6" s="153" t="n"/>
      <c r="P6" s="153" t="n"/>
      <c r="Q6" s="153" t="n"/>
      <c r="R6" s="153" t="n"/>
      <c r="S6" s="153" t="n"/>
      <c r="T6" s="153" t="n"/>
      <c r="U6" s="153" t="n"/>
      <c r="V6" s="153" t="n"/>
      <c r="W6" s="153" t="n"/>
      <c r="X6" s="153" t="n"/>
      <c r="Y6" s="153" t="n"/>
      <c r="Z6" s="153" t="n"/>
    </row>
    <row r="7" ht="25.5" customHeight="1" s="154">
      <c r="A7" s="229" t="n">
        <v>4</v>
      </c>
      <c r="B7" s="205" t="inlineStr">
        <is>
          <t>Hafen- &amp; Brückengebühren</t>
        </is>
      </c>
      <c r="C7" s="210" t="inlineStr">
        <is>
          <t>An Bord (nur Anwesende)</t>
        </is>
      </c>
      <c r="G7" s="153" t="n"/>
      <c r="H7" s="153" t="n"/>
      <c r="I7" s="153" t="n"/>
      <c r="J7" s="153" t="n"/>
      <c r="K7" s="153" t="n"/>
      <c r="L7" s="153" t="n"/>
      <c r="M7" s="153" t="n"/>
      <c r="N7" s="153" t="n"/>
      <c r="O7" s="153" t="n"/>
      <c r="P7" s="153" t="n"/>
      <c r="Q7" s="153" t="n"/>
      <c r="R7" s="153" t="n"/>
      <c r="S7" s="153" t="n"/>
      <c r="T7" s="153" t="n"/>
      <c r="U7" s="153" t="n"/>
      <c r="V7" s="153" t="n"/>
      <c r="W7" s="153" t="n"/>
      <c r="X7" s="153" t="n"/>
      <c r="Y7" s="153" t="n"/>
      <c r="Z7" s="153" t="n"/>
    </row>
    <row r="8" ht="25.5" customHeight="1" s="154">
      <c r="A8" s="229" t="n">
        <v>5</v>
      </c>
      <c r="B8" s="198" t="inlineStr">
        <is>
          <t>Sprit</t>
        </is>
      </c>
      <c r="C8" s="203" t="inlineStr">
        <is>
          <t>Zeitanteilig</t>
        </is>
      </c>
      <c r="G8" s="153" t="n"/>
      <c r="H8" s="153" t="n"/>
      <c r="I8" s="153" t="n"/>
      <c r="J8" s="153" t="n"/>
      <c r="K8" s="153" t="n"/>
      <c r="L8" s="153" t="n"/>
      <c r="M8" s="153" t="n"/>
      <c r="N8" s="153" t="n"/>
      <c r="O8" s="153" t="n"/>
      <c r="P8" s="153" t="n"/>
      <c r="Q8" s="153" t="n"/>
      <c r="R8" s="153" t="n"/>
      <c r="S8" s="153" t="n"/>
      <c r="T8" s="153" t="n"/>
      <c r="U8" s="153" t="n"/>
      <c r="V8" s="153" t="n"/>
      <c r="W8" s="153" t="n"/>
      <c r="X8" s="153" t="n"/>
      <c r="Y8" s="153" t="n"/>
      <c r="Z8" s="153" t="n"/>
    </row>
    <row r="9" ht="25.5" customHeight="1" s="154">
      <c r="A9" s="229" t="n">
        <v>6</v>
      </c>
      <c r="B9" s="205" t="inlineStr">
        <is>
          <t>Kaution</t>
        </is>
      </c>
      <c r="C9" s="210" t="inlineStr">
        <is>
          <t>Zeitanteilig</t>
        </is>
      </c>
      <c r="G9" s="153" t="n"/>
      <c r="H9" s="153" t="n"/>
      <c r="I9" s="153" t="n"/>
      <c r="J9" s="153" t="n"/>
      <c r="K9" s="153" t="n"/>
      <c r="L9" s="153" t="n"/>
      <c r="M9" s="153" t="n"/>
      <c r="N9" s="153" t="n"/>
      <c r="O9" s="153" t="n"/>
      <c r="P9" s="153" t="n"/>
      <c r="Q9" s="153" t="n"/>
      <c r="R9" s="153" t="n"/>
      <c r="S9" s="153" t="n"/>
      <c r="T9" s="153" t="n"/>
      <c r="U9" s="153" t="n"/>
      <c r="V9" s="153" t="n"/>
      <c r="W9" s="153" t="n"/>
      <c r="X9" s="153" t="n"/>
      <c r="Y9" s="153" t="n"/>
      <c r="Z9" s="153" t="n"/>
    </row>
    <row r="10" ht="25.5" customHeight="1" s="154">
      <c r="A10" s="229" t="n">
        <v>7</v>
      </c>
      <c r="B10" s="198" t="inlineStr">
        <is>
          <t>Schwimmwesten</t>
        </is>
      </c>
      <c r="C10" s="203" t="inlineStr">
        <is>
          <t>Individuell (x setzen)</t>
        </is>
      </c>
      <c r="G10" s="153" t="n"/>
      <c r="H10" s="153" t="n"/>
      <c r="I10" s="153" t="n"/>
      <c r="J10" s="153" t="n"/>
      <c r="K10" s="153" t="n"/>
      <c r="L10" s="153" t="n"/>
      <c r="M10" s="153" t="n"/>
      <c r="N10" s="153" t="n"/>
      <c r="O10" s="153" t="n"/>
      <c r="P10" s="153" t="n"/>
      <c r="Q10" s="153" t="n"/>
      <c r="R10" s="153" t="n"/>
      <c r="S10" s="153" t="n"/>
      <c r="T10" s="153" t="n"/>
      <c r="U10" s="153" t="n"/>
      <c r="V10" s="153" t="n"/>
      <c r="W10" s="153" t="n"/>
      <c r="X10" s="153" t="n"/>
      <c r="Y10" s="153" t="n"/>
      <c r="Z10" s="153" t="n"/>
    </row>
    <row r="11" ht="25.5" customHeight="1" s="154">
      <c r="A11" s="229" t="n">
        <v>8</v>
      </c>
      <c r="B11" s="205" t="inlineStr">
        <is>
          <t>Spaßaddons</t>
        </is>
      </c>
      <c r="C11" s="210" t="inlineStr">
        <is>
          <t>Individuell oder Gleichmäßig</t>
        </is>
      </c>
      <c r="G11" s="153" t="n"/>
      <c r="H11" s="153" t="n"/>
      <c r="I11" s="153" t="n"/>
      <c r="J11" s="153" t="n"/>
      <c r="K11" s="153" t="n"/>
      <c r="L11" s="153" t="n"/>
      <c r="M11" s="153" t="n"/>
      <c r="N11" s="153" t="n"/>
      <c r="O11" s="153" t="n"/>
      <c r="P11" s="153" t="n"/>
      <c r="Q11" s="153" t="n"/>
      <c r="R11" s="153" t="n"/>
      <c r="S11" s="153" t="n"/>
      <c r="T11" s="153" t="n"/>
      <c r="U11" s="153" t="n"/>
      <c r="V11" s="153" t="n"/>
      <c r="W11" s="153" t="n"/>
      <c r="X11" s="153" t="n"/>
      <c r="Y11" s="153" t="n"/>
      <c r="Z11" s="153" t="n"/>
    </row>
    <row r="12" ht="25.5" customHeight="1" s="154">
      <c r="A12" s="229" t="n">
        <v>9</v>
      </c>
      <c r="B12" s="198" t="inlineStr">
        <is>
          <t>Sonstiges</t>
        </is>
      </c>
      <c r="C12" s="203" t="inlineStr">
        <is>
          <t>Gleichmäßig</t>
        </is>
      </c>
      <c r="G12" s="153" t="n"/>
      <c r="H12" s="153" t="n"/>
      <c r="I12" s="153" t="n"/>
      <c r="J12" s="153" t="n"/>
      <c r="K12" s="153" t="n"/>
      <c r="L12" s="153" t="n"/>
      <c r="M12" s="153" t="n"/>
      <c r="N12" s="153" t="n"/>
      <c r="O12" s="153" t="n"/>
      <c r="P12" s="153" t="n"/>
      <c r="Q12" s="153" t="n"/>
      <c r="R12" s="153" t="n"/>
      <c r="S12" s="153" t="n"/>
      <c r="T12" s="153" t="n"/>
      <c r="U12" s="153" t="n"/>
      <c r="V12" s="153" t="n"/>
      <c r="W12" s="153" t="n"/>
      <c r="X12" s="153" t="n"/>
      <c r="Y12" s="153" t="n"/>
      <c r="Z12" s="153" t="n"/>
    </row>
    <row r="13" ht="25.5" customHeight="1" s="154">
      <c r="A13" s="229" t="n">
        <v>10</v>
      </c>
      <c r="B13" s="230" t="inlineStr">
        <is>
          <t>← neue Kategorie hier eintragen</t>
        </is>
      </c>
      <c r="C13" s="210" t="n"/>
      <c r="G13" s="153" t="n"/>
      <c r="H13" s="153" t="n"/>
      <c r="I13" s="153" t="n"/>
      <c r="J13" s="153" t="n"/>
      <c r="K13" s="153" t="n"/>
      <c r="L13" s="153" t="n"/>
      <c r="M13" s="153" t="n"/>
      <c r="N13" s="153" t="n"/>
      <c r="O13" s="153" t="n"/>
      <c r="P13" s="153" t="n"/>
      <c r="Q13" s="153" t="n"/>
      <c r="R13" s="153" t="n"/>
      <c r="S13" s="153" t="n"/>
      <c r="T13" s="153" t="n"/>
      <c r="U13" s="153" t="n"/>
      <c r="V13" s="153" t="n"/>
      <c r="W13" s="153" t="n"/>
      <c r="X13" s="153" t="n"/>
      <c r="Y13" s="153" t="n"/>
      <c r="Z13" s="153" t="n"/>
    </row>
    <row r="14" ht="25.5" customHeight="1" s="154">
      <c r="A14" s="229" t="n">
        <v>11</v>
      </c>
      <c r="B14" s="231" t="inlineStr">
        <is>
          <t>← neue Kategorie hier eintragen</t>
        </is>
      </c>
      <c r="C14" s="203" t="n"/>
      <c r="G14" s="153" t="n"/>
      <c r="H14" s="153" t="n"/>
      <c r="I14" s="153" t="n"/>
      <c r="J14" s="153" t="n"/>
      <c r="K14" s="153" t="n"/>
      <c r="L14" s="153" t="n"/>
      <c r="M14" s="153" t="n"/>
      <c r="N14" s="153" t="n"/>
      <c r="O14" s="153" t="n"/>
      <c r="P14" s="153" t="n"/>
      <c r="Q14" s="153" t="n"/>
      <c r="R14" s="153" t="n"/>
      <c r="S14" s="153" t="n"/>
      <c r="T14" s="153" t="n"/>
      <c r="U14" s="153" t="n"/>
      <c r="V14" s="153" t="n"/>
      <c r="W14" s="153" t="n"/>
      <c r="X14" s="153" t="n"/>
      <c r="Y14" s="153" t="n"/>
      <c r="Z14" s="153" t="n"/>
    </row>
    <row r="15" ht="25.5" customHeight="1" s="154">
      <c r="A15" s="229" t="n">
        <v>12</v>
      </c>
      <c r="B15" s="230" t="inlineStr">
        <is>
          <t>← neue Kategorie hier eintragen</t>
        </is>
      </c>
      <c r="C15" s="210" t="n"/>
      <c r="G15" s="153" t="n"/>
      <c r="H15" s="153" t="n"/>
      <c r="I15" s="153" t="n"/>
      <c r="J15" s="153" t="n"/>
      <c r="K15" s="153" t="n"/>
      <c r="L15" s="153" t="n"/>
      <c r="M15" s="153" t="n"/>
      <c r="N15" s="153" t="n"/>
      <c r="O15" s="153" t="n"/>
      <c r="P15" s="153" t="n"/>
      <c r="Q15" s="153" t="n"/>
      <c r="R15" s="153" t="n"/>
      <c r="S15" s="153" t="n"/>
      <c r="T15" s="153" t="n"/>
      <c r="U15" s="153" t="n"/>
      <c r="V15" s="153" t="n"/>
      <c r="W15" s="153" t="n"/>
      <c r="X15" s="153" t="n"/>
      <c r="Y15" s="153" t="n"/>
      <c r="Z15" s="153" t="n"/>
    </row>
    <row r="16" ht="25.5" customHeight="1" s="154">
      <c r="A16" s="229" t="n">
        <v>13</v>
      </c>
      <c r="B16" s="231" t="inlineStr">
        <is>
          <t>← neue Kategorie hier eintragen</t>
        </is>
      </c>
      <c r="C16" s="203" t="n"/>
      <c r="G16" s="153" t="n"/>
      <c r="H16" s="153" t="n"/>
      <c r="I16" s="153" t="n"/>
      <c r="J16" s="153" t="n"/>
      <c r="K16" s="153" t="n"/>
      <c r="L16" s="153" t="n"/>
      <c r="M16" s="153" t="n"/>
      <c r="N16" s="153" t="n"/>
      <c r="O16" s="153" t="n"/>
      <c r="P16" s="153" t="n"/>
      <c r="Q16" s="153" t="n"/>
      <c r="R16" s="153" t="n"/>
      <c r="S16" s="153" t="n"/>
      <c r="T16" s="153" t="n"/>
      <c r="U16" s="153" t="n"/>
      <c r="V16" s="153" t="n"/>
      <c r="W16" s="153" t="n"/>
      <c r="X16" s="153" t="n"/>
      <c r="Y16" s="153" t="n"/>
      <c r="Z16" s="153" t="n"/>
    </row>
    <row r="17" ht="25.5" customHeight="1" s="154">
      <c r="A17" s="229" t="n">
        <v>14</v>
      </c>
      <c r="B17" s="230" t="inlineStr">
        <is>
          <t>← neue Kategorie hier eintragen</t>
        </is>
      </c>
      <c r="C17" s="210" t="n"/>
      <c r="G17" s="153" t="n"/>
      <c r="H17" s="153" t="n"/>
      <c r="I17" s="153" t="n"/>
      <c r="J17" s="153" t="n"/>
      <c r="K17" s="153" t="n"/>
      <c r="L17" s="153" t="n"/>
      <c r="M17" s="153" t="n"/>
      <c r="N17" s="153" t="n"/>
      <c r="O17" s="153" t="n"/>
      <c r="P17" s="153" t="n"/>
      <c r="Q17" s="153" t="n"/>
      <c r="R17" s="153" t="n"/>
      <c r="S17" s="153" t="n"/>
      <c r="T17" s="153" t="n"/>
      <c r="U17" s="153" t="n"/>
      <c r="V17" s="153" t="n"/>
      <c r="W17" s="153" t="n"/>
      <c r="X17" s="153" t="n"/>
      <c r="Y17" s="153" t="n"/>
      <c r="Z17" s="153" t="n"/>
    </row>
    <row r="18" ht="25.5" customHeight="1" s="154">
      <c r="A18" s="229" t="n">
        <v>15</v>
      </c>
      <c r="B18" s="231" t="inlineStr">
        <is>
          <t>← neue Kategorie hier eintragen</t>
        </is>
      </c>
      <c r="C18" s="203" t="n"/>
      <c r="G18" s="153" t="n"/>
      <c r="H18" s="153" t="n"/>
      <c r="I18" s="153" t="n"/>
      <c r="J18" s="153" t="n"/>
      <c r="K18" s="153" t="n"/>
      <c r="L18" s="153" t="n"/>
      <c r="M18" s="153" t="n"/>
      <c r="N18" s="153" t="n"/>
      <c r="O18" s="153" t="n"/>
      <c r="P18" s="153" t="n"/>
      <c r="Q18" s="153" t="n"/>
      <c r="R18" s="153" t="n"/>
      <c r="S18" s="153" t="n"/>
      <c r="T18" s="153" t="n"/>
      <c r="U18" s="153" t="n"/>
      <c r="V18" s="153" t="n"/>
      <c r="W18" s="153" t="n"/>
      <c r="X18" s="153" t="n"/>
      <c r="Y18" s="153" t="n"/>
      <c r="Z18" s="153" t="n"/>
    </row>
    <row r="19" ht="25.5" customHeight="1" s="154">
      <c r="A19" s="229" t="n">
        <v>16</v>
      </c>
      <c r="B19" s="230" t="inlineStr">
        <is>
          <t>← neue Kategorie hier eintragen</t>
        </is>
      </c>
      <c r="C19" s="210" t="n"/>
      <c r="G19" s="153" t="n"/>
      <c r="H19" s="153" t="n"/>
      <c r="I19" s="153" t="n"/>
      <c r="J19" s="153" t="n"/>
      <c r="K19" s="153" t="n"/>
      <c r="L19" s="153" t="n"/>
      <c r="M19" s="153" t="n"/>
      <c r="N19" s="153" t="n"/>
      <c r="O19" s="153" t="n"/>
      <c r="P19" s="153" t="n"/>
      <c r="Q19" s="153" t="n"/>
      <c r="R19" s="153" t="n"/>
      <c r="S19" s="153" t="n"/>
      <c r="T19" s="153" t="n"/>
      <c r="U19" s="153" t="n"/>
      <c r="V19" s="153" t="n"/>
      <c r="W19" s="153" t="n"/>
      <c r="X19" s="153" t="n"/>
      <c r="Y19" s="153" t="n"/>
      <c r="Z19" s="153" t="n"/>
    </row>
    <row r="20" ht="25.5" customHeight="1" s="154">
      <c r="A20" s="229" t="n">
        <v>17</v>
      </c>
      <c r="B20" s="231" t="inlineStr">
        <is>
          <t>← neue Kategorie hier eintragen</t>
        </is>
      </c>
      <c r="C20" s="203" t="n"/>
      <c r="G20" s="153" t="n"/>
      <c r="H20" s="153" t="n"/>
      <c r="I20" s="153" t="n"/>
      <c r="J20" s="153" t="n"/>
      <c r="K20" s="153" t="n"/>
      <c r="L20" s="153" t="n"/>
      <c r="M20" s="153" t="n"/>
      <c r="N20" s="153" t="n"/>
      <c r="O20" s="153" t="n"/>
      <c r="P20" s="153" t="n"/>
      <c r="Q20" s="153" t="n"/>
      <c r="R20" s="153" t="n"/>
      <c r="S20" s="153" t="n"/>
      <c r="T20" s="153" t="n"/>
      <c r="U20" s="153" t="n"/>
      <c r="V20" s="153" t="n"/>
      <c r="W20" s="153" t="n"/>
      <c r="X20" s="153" t="n"/>
      <c r="Y20" s="153" t="n"/>
      <c r="Z20" s="153" t="n"/>
    </row>
    <row r="21" ht="25.5" customHeight="1" s="154">
      <c r="A21" s="229" t="n">
        <v>18</v>
      </c>
      <c r="B21" s="230" t="inlineStr">
        <is>
          <t>← neue Kategorie hier eintragen</t>
        </is>
      </c>
      <c r="C21" s="210" t="n"/>
      <c r="G21" s="153" t="n"/>
      <c r="H21" s="153" t="n"/>
      <c r="I21" s="153" t="n"/>
      <c r="J21" s="153" t="n"/>
      <c r="K21" s="153" t="n"/>
      <c r="L21" s="153" t="n"/>
      <c r="M21" s="153" t="n"/>
      <c r="N21" s="153" t="n"/>
      <c r="O21" s="153" t="n"/>
      <c r="P21" s="153" t="n"/>
      <c r="Q21" s="153" t="n"/>
      <c r="R21" s="153" t="n"/>
      <c r="S21" s="153" t="n"/>
      <c r="T21" s="153" t="n"/>
      <c r="U21" s="153" t="n"/>
      <c r="V21" s="153" t="n"/>
      <c r="W21" s="153" t="n"/>
      <c r="X21" s="153" t="n"/>
      <c r="Y21" s="153" t="n"/>
      <c r="Z21" s="153" t="n"/>
    </row>
    <row r="22" ht="25.5" customHeight="1" s="154">
      <c r="A22" s="229" t="n">
        <v>19</v>
      </c>
      <c r="B22" s="231" t="inlineStr">
        <is>
          <t>← neue Kategorie hier eintragen</t>
        </is>
      </c>
      <c r="C22" s="203" t="n"/>
      <c r="G22" s="153" t="n"/>
      <c r="H22" s="153" t="n"/>
      <c r="I22" s="153" t="n"/>
      <c r="J22" s="153" t="n"/>
      <c r="K22" s="153" t="n"/>
      <c r="L22" s="153" t="n"/>
      <c r="M22" s="153" t="n"/>
      <c r="N22" s="153" t="n"/>
      <c r="O22" s="153" t="n"/>
      <c r="P22" s="153" t="n"/>
      <c r="Q22" s="153" t="n"/>
      <c r="R22" s="153" t="n"/>
      <c r="S22" s="153" t="n"/>
      <c r="T22" s="153" t="n"/>
      <c r="U22" s="153" t="n"/>
      <c r="V22" s="153" t="n"/>
      <c r="W22" s="153" t="n"/>
      <c r="X22" s="153" t="n"/>
      <c r="Y22" s="153" t="n"/>
      <c r="Z22" s="153" t="n"/>
    </row>
    <row r="23" ht="25.5" customHeight="1" s="154">
      <c r="A23" s="232" t="n">
        <v>20</v>
      </c>
      <c r="B23" s="233" t="inlineStr">
        <is>
          <t>← neue Kategorie hier eintragen</t>
        </is>
      </c>
      <c r="C23" s="217" t="n"/>
      <c r="G23" s="153" t="n"/>
      <c r="H23" s="153" t="n"/>
      <c r="I23" s="153" t="n"/>
      <c r="J23" s="153" t="n"/>
      <c r="K23" s="153" t="n"/>
      <c r="L23" s="153" t="n"/>
      <c r="M23" s="153" t="n"/>
      <c r="N23" s="153" t="n"/>
      <c r="O23" s="153" t="n"/>
      <c r="P23" s="153" t="n"/>
      <c r="Q23" s="153" t="n"/>
      <c r="R23" s="153" t="n"/>
      <c r="S23" s="153" t="n"/>
      <c r="T23" s="153" t="n"/>
      <c r="U23" s="153" t="n"/>
      <c r="V23" s="153" t="n"/>
      <c r="W23" s="153" t="n"/>
      <c r="X23" s="153" t="n"/>
      <c r="Y23" s="153" t="n"/>
      <c r="Z23" s="153" t="n"/>
    </row>
    <row r="24" ht="15.75" customHeight="1" s="154">
      <c r="G24" s="153" t="n"/>
      <c r="H24" s="153" t="n"/>
      <c r="I24" s="153" t="n"/>
      <c r="J24" s="153" t="n"/>
      <c r="K24" s="153" t="n"/>
      <c r="L24" s="153" t="n"/>
      <c r="M24" s="153" t="n"/>
      <c r="N24" s="153" t="n"/>
      <c r="O24" s="153" t="n"/>
      <c r="P24" s="153" t="n"/>
      <c r="Q24" s="153" t="n"/>
      <c r="R24" s="153" t="n"/>
      <c r="S24" s="153" t="n"/>
      <c r="T24" s="153" t="n"/>
      <c r="U24" s="153" t="n"/>
      <c r="V24" s="153" t="n"/>
      <c r="W24" s="153" t="n"/>
      <c r="X24" s="153" t="n"/>
      <c r="Y24" s="153" t="n"/>
      <c r="Z24" s="153" t="n"/>
    </row>
    <row r="25" ht="15.75" customHeight="1" s="154">
      <c r="G25" s="153" t="n"/>
      <c r="H25" s="153" t="n"/>
      <c r="I25" s="153" t="n"/>
      <c r="J25" s="153" t="n"/>
      <c r="K25" s="153" t="n"/>
      <c r="L25" s="153" t="n"/>
      <c r="M25" s="153" t="n"/>
      <c r="N25" s="153" t="n"/>
      <c r="O25" s="153" t="n"/>
      <c r="P25" s="153" t="n"/>
      <c r="Q25" s="153" t="n"/>
      <c r="R25" s="153" t="n"/>
      <c r="S25" s="153" t="n"/>
      <c r="T25" s="153" t="n"/>
      <c r="U25" s="153" t="n"/>
      <c r="V25" s="153" t="n"/>
      <c r="W25" s="153" t="n"/>
      <c r="X25" s="153" t="n"/>
      <c r="Y25" s="153" t="n"/>
      <c r="Z25" s="153" t="n"/>
    </row>
    <row r="26" ht="15.75" customHeight="1" s="154">
      <c r="G26" s="153" t="n"/>
      <c r="H26" s="153" t="n"/>
      <c r="I26" s="153" t="n"/>
      <c r="J26" s="153" t="n"/>
      <c r="K26" s="153" t="n"/>
      <c r="L26" s="153" t="n"/>
      <c r="M26" s="153" t="n"/>
      <c r="N26" s="153" t="n"/>
      <c r="O26" s="153" t="n"/>
      <c r="P26" s="153" t="n"/>
      <c r="Q26" s="153" t="n"/>
      <c r="R26" s="153" t="n"/>
      <c r="S26" s="153" t="n"/>
      <c r="T26" s="153" t="n"/>
      <c r="U26" s="153" t="n"/>
      <c r="V26" s="153" t="n"/>
      <c r="W26" s="153" t="n"/>
      <c r="X26" s="153" t="n"/>
      <c r="Y26" s="153" t="n"/>
      <c r="Z26" s="153" t="n"/>
    </row>
    <row r="27" ht="15.75" customHeight="1" s="154">
      <c r="G27" s="153" t="n"/>
      <c r="H27" s="153" t="n"/>
      <c r="I27" s="153" t="n"/>
      <c r="J27" s="153" t="n"/>
      <c r="K27" s="153" t="n"/>
      <c r="L27" s="153" t="n"/>
      <c r="M27" s="153" t="n"/>
      <c r="N27" s="153" t="n"/>
      <c r="O27" s="153" t="n"/>
      <c r="P27" s="153" t="n"/>
      <c r="Q27" s="153" t="n"/>
      <c r="R27" s="153" t="n"/>
      <c r="S27" s="153" t="n"/>
      <c r="T27" s="153" t="n"/>
      <c r="U27" s="153" t="n"/>
      <c r="V27" s="153" t="n"/>
      <c r="W27" s="153" t="n"/>
      <c r="X27" s="153" t="n"/>
      <c r="Y27" s="153" t="n"/>
      <c r="Z27" s="153" t="n"/>
    </row>
    <row r="28" ht="15.75" customHeight="1" s="154">
      <c r="G28" s="153" t="n"/>
      <c r="H28" s="153" t="n"/>
      <c r="I28" s="153" t="n"/>
      <c r="J28" s="153" t="n"/>
      <c r="K28" s="153" t="n"/>
      <c r="L28" s="153" t="n"/>
      <c r="M28" s="153" t="n"/>
      <c r="N28" s="153" t="n"/>
      <c r="O28" s="153" t="n"/>
      <c r="P28" s="153" t="n"/>
      <c r="Q28" s="153" t="n"/>
      <c r="R28" s="153" t="n"/>
      <c r="S28" s="153" t="n"/>
      <c r="T28" s="153" t="n"/>
      <c r="U28" s="153" t="n"/>
      <c r="V28" s="153" t="n"/>
      <c r="W28" s="153" t="n"/>
      <c r="X28" s="153" t="n"/>
      <c r="Y28" s="153" t="n"/>
      <c r="Z28" s="153" t="n"/>
    </row>
    <row r="29" ht="15.75" customHeight="1" s="154">
      <c r="G29" s="153" t="n"/>
      <c r="H29" s="153" t="n"/>
      <c r="I29" s="153" t="n"/>
      <c r="J29" s="153" t="n"/>
      <c r="K29" s="153" t="n"/>
      <c r="L29" s="153" t="n"/>
      <c r="M29" s="153" t="n"/>
      <c r="N29" s="153" t="n"/>
      <c r="O29" s="153" t="n"/>
      <c r="P29" s="153" t="n"/>
      <c r="Q29" s="153" t="n"/>
      <c r="R29" s="153" t="n"/>
      <c r="S29" s="153" t="n"/>
      <c r="T29" s="153" t="n"/>
      <c r="U29" s="153" t="n"/>
      <c r="V29" s="153" t="n"/>
      <c r="W29" s="153" t="n"/>
      <c r="X29" s="153" t="n"/>
      <c r="Y29" s="153" t="n"/>
      <c r="Z29" s="153" t="n"/>
    </row>
    <row r="30" ht="15.75" customHeight="1" s="154">
      <c r="G30" s="153" t="n"/>
      <c r="H30" s="153" t="n"/>
      <c r="I30" s="153" t="n"/>
      <c r="J30" s="153" t="n"/>
      <c r="K30" s="153" t="n"/>
      <c r="L30" s="153" t="n"/>
      <c r="M30" s="153" t="n"/>
      <c r="N30" s="153" t="n"/>
      <c r="O30" s="153" t="n"/>
      <c r="P30" s="153" t="n"/>
      <c r="Q30" s="153" t="n"/>
      <c r="R30" s="153" t="n"/>
      <c r="S30" s="153" t="n"/>
      <c r="T30" s="153" t="n"/>
      <c r="U30" s="153" t="n"/>
      <c r="V30" s="153" t="n"/>
      <c r="W30" s="153" t="n"/>
      <c r="X30" s="153" t="n"/>
      <c r="Y30" s="153" t="n"/>
      <c r="Z30" s="153" t="n"/>
    </row>
    <row r="31" ht="15.75" customHeight="1" s="154">
      <c r="G31" s="153" t="n"/>
      <c r="H31" s="153" t="n"/>
      <c r="I31" s="153" t="n"/>
      <c r="J31" s="153" t="n"/>
      <c r="K31" s="153" t="n"/>
      <c r="L31" s="153" t="n"/>
      <c r="M31" s="153" t="n"/>
      <c r="N31" s="153" t="n"/>
      <c r="O31" s="153" t="n"/>
      <c r="P31" s="153" t="n"/>
      <c r="Q31" s="153" t="n"/>
      <c r="R31" s="153" t="n"/>
      <c r="S31" s="153" t="n"/>
      <c r="T31" s="153" t="n"/>
      <c r="U31" s="153" t="n"/>
      <c r="V31" s="153" t="n"/>
      <c r="W31" s="153" t="n"/>
      <c r="X31" s="153" t="n"/>
      <c r="Y31" s="153" t="n"/>
      <c r="Z31" s="153" t="n"/>
    </row>
    <row r="32" ht="15.75" customHeight="1" s="154">
      <c r="G32" s="153" t="n"/>
      <c r="H32" s="153" t="n"/>
      <c r="I32" s="153" t="n"/>
      <c r="J32" s="153" t="n"/>
      <c r="K32" s="153" t="n"/>
      <c r="L32" s="153" t="n"/>
      <c r="M32" s="153" t="n"/>
      <c r="N32" s="153" t="n"/>
      <c r="O32" s="153" t="n"/>
      <c r="P32" s="153" t="n"/>
      <c r="Q32" s="153" t="n"/>
      <c r="R32" s="153" t="n"/>
      <c r="S32" s="153" t="n"/>
      <c r="T32" s="153" t="n"/>
      <c r="U32" s="153" t="n"/>
      <c r="V32" s="153" t="n"/>
      <c r="W32" s="153" t="n"/>
      <c r="X32" s="153" t="n"/>
      <c r="Y32" s="153" t="n"/>
      <c r="Z32" s="153" t="n"/>
    </row>
    <row r="33" ht="15.75" customHeight="1" s="154">
      <c r="G33" s="153" t="n"/>
      <c r="H33" s="153" t="n"/>
      <c r="I33" s="153" t="n"/>
      <c r="J33" s="153" t="n"/>
      <c r="K33" s="153" t="n"/>
      <c r="L33" s="153" t="n"/>
      <c r="M33" s="153" t="n"/>
      <c r="N33" s="153" t="n"/>
      <c r="O33" s="153" t="n"/>
      <c r="P33" s="153" t="n"/>
      <c r="Q33" s="153" t="n"/>
      <c r="R33" s="153" t="n"/>
      <c r="S33" s="153" t="n"/>
      <c r="T33" s="153" t="n"/>
      <c r="U33" s="153" t="n"/>
      <c r="V33" s="153" t="n"/>
      <c r="W33" s="153" t="n"/>
      <c r="X33" s="153" t="n"/>
      <c r="Y33" s="153" t="n"/>
      <c r="Z33" s="153" t="n"/>
    </row>
    <row r="34" ht="15.75" customHeight="1" s="154">
      <c r="G34" s="153" t="n"/>
      <c r="H34" s="153" t="n"/>
      <c r="I34" s="153" t="n"/>
      <c r="J34" s="153" t="n"/>
      <c r="K34" s="153" t="n"/>
      <c r="L34" s="153" t="n"/>
      <c r="M34" s="153" t="n"/>
      <c r="N34" s="153" t="n"/>
      <c r="O34" s="153" t="n"/>
      <c r="P34" s="153" t="n"/>
      <c r="Q34" s="153" t="n"/>
      <c r="R34" s="153" t="n"/>
      <c r="S34" s="153" t="n"/>
      <c r="T34" s="153" t="n"/>
      <c r="U34" s="153" t="n"/>
      <c r="V34" s="153" t="n"/>
      <c r="W34" s="153" t="n"/>
      <c r="X34" s="153" t="n"/>
      <c r="Y34" s="153" t="n"/>
      <c r="Z34" s="153" t="n"/>
    </row>
    <row r="35" ht="15.75" customHeight="1" s="154">
      <c r="G35" s="153" t="n"/>
      <c r="H35" s="153" t="n"/>
      <c r="I35" s="153" t="n"/>
      <c r="J35" s="153" t="n"/>
      <c r="K35" s="153" t="n"/>
      <c r="L35" s="153" t="n"/>
      <c r="M35" s="153" t="n"/>
      <c r="N35" s="153" t="n"/>
      <c r="O35" s="153" t="n"/>
      <c r="P35" s="153" t="n"/>
      <c r="Q35" s="153" t="n"/>
      <c r="R35" s="153" t="n"/>
      <c r="S35" s="153" t="n"/>
      <c r="T35" s="153" t="n"/>
      <c r="U35" s="153" t="n"/>
      <c r="V35" s="153" t="n"/>
      <c r="W35" s="153" t="n"/>
      <c r="X35" s="153" t="n"/>
      <c r="Y35" s="153" t="n"/>
      <c r="Z35" s="153" t="n"/>
    </row>
    <row r="36" ht="15.75" customHeight="1" s="154">
      <c r="G36" s="153" t="n"/>
      <c r="H36" s="153" t="n"/>
      <c r="I36" s="153" t="n"/>
      <c r="J36" s="153" t="n"/>
      <c r="K36" s="153" t="n"/>
      <c r="L36" s="153" t="n"/>
      <c r="M36" s="153" t="n"/>
      <c r="N36" s="153" t="n"/>
      <c r="O36" s="153" t="n"/>
      <c r="P36" s="153" t="n"/>
      <c r="Q36" s="153" t="n"/>
      <c r="R36" s="153" t="n"/>
      <c r="S36" s="153" t="n"/>
      <c r="T36" s="153" t="n"/>
      <c r="U36" s="153" t="n"/>
      <c r="V36" s="153" t="n"/>
      <c r="W36" s="153" t="n"/>
      <c r="X36" s="153" t="n"/>
      <c r="Y36" s="153" t="n"/>
      <c r="Z36" s="153" t="n"/>
    </row>
    <row r="37" ht="15.75" customHeight="1" s="154">
      <c r="G37" s="153" t="n"/>
      <c r="H37" s="153" t="n"/>
      <c r="I37" s="153" t="n"/>
      <c r="J37" s="153" t="n"/>
      <c r="K37" s="153" t="n"/>
      <c r="L37" s="153" t="n"/>
      <c r="M37" s="153" t="n"/>
      <c r="N37" s="153" t="n"/>
      <c r="O37" s="153" t="n"/>
      <c r="P37" s="153" t="n"/>
      <c r="Q37" s="153" t="n"/>
      <c r="R37" s="153" t="n"/>
      <c r="S37" s="153" t="n"/>
      <c r="T37" s="153" t="n"/>
      <c r="U37" s="153" t="n"/>
      <c r="V37" s="153" t="n"/>
      <c r="W37" s="153" t="n"/>
      <c r="X37" s="153" t="n"/>
      <c r="Y37" s="153" t="n"/>
      <c r="Z37" s="153" t="n"/>
    </row>
    <row r="38" ht="15.75" customHeight="1" s="154">
      <c r="G38" s="153" t="n"/>
      <c r="H38" s="153" t="n"/>
      <c r="I38" s="153" t="n"/>
      <c r="J38" s="153" t="n"/>
      <c r="K38" s="153" t="n"/>
      <c r="L38" s="153" t="n"/>
      <c r="M38" s="153" t="n"/>
      <c r="N38" s="153" t="n"/>
      <c r="O38" s="153" t="n"/>
      <c r="P38" s="153" t="n"/>
      <c r="Q38" s="153" t="n"/>
      <c r="R38" s="153" t="n"/>
      <c r="S38" s="153" t="n"/>
      <c r="T38" s="153" t="n"/>
      <c r="U38" s="153" t="n"/>
      <c r="V38" s="153" t="n"/>
      <c r="W38" s="153" t="n"/>
      <c r="X38" s="153" t="n"/>
      <c r="Y38" s="153" t="n"/>
      <c r="Z38" s="153" t="n"/>
    </row>
    <row r="39" ht="15.75" customHeight="1" s="154">
      <c r="G39" s="153" t="n"/>
      <c r="H39" s="153" t="n"/>
      <c r="I39" s="153" t="n"/>
      <c r="J39" s="153" t="n"/>
      <c r="K39" s="153" t="n"/>
      <c r="L39" s="153" t="n"/>
      <c r="M39" s="153" t="n"/>
      <c r="N39" s="153" t="n"/>
      <c r="O39" s="153" t="n"/>
      <c r="P39" s="153" t="n"/>
      <c r="Q39" s="153" t="n"/>
      <c r="R39" s="153" t="n"/>
      <c r="S39" s="153" t="n"/>
      <c r="T39" s="153" t="n"/>
      <c r="U39" s="153" t="n"/>
      <c r="V39" s="153" t="n"/>
      <c r="W39" s="153" t="n"/>
      <c r="X39" s="153" t="n"/>
      <c r="Y39" s="153" t="n"/>
      <c r="Z39" s="153" t="n"/>
    </row>
    <row r="40" ht="15.75" customHeight="1" s="154">
      <c r="G40" s="153" t="n"/>
      <c r="H40" s="153" t="n"/>
      <c r="I40" s="153" t="n"/>
      <c r="J40" s="153" t="n"/>
      <c r="K40" s="153" t="n"/>
      <c r="L40" s="153" t="n"/>
      <c r="M40" s="153" t="n"/>
      <c r="N40" s="153" t="n"/>
      <c r="O40" s="153" t="n"/>
      <c r="P40" s="153" t="n"/>
      <c r="Q40" s="153" t="n"/>
      <c r="R40" s="153" t="n"/>
      <c r="S40" s="153" t="n"/>
      <c r="T40" s="153" t="n"/>
      <c r="U40" s="153" t="n"/>
      <c r="V40" s="153" t="n"/>
      <c r="W40" s="153" t="n"/>
      <c r="X40" s="153" t="n"/>
      <c r="Y40" s="153" t="n"/>
      <c r="Z40" s="153" t="n"/>
    </row>
    <row r="41" ht="15.75" customHeight="1" s="154">
      <c r="G41" s="153" t="n"/>
      <c r="H41" s="153" t="n"/>
      <c r="I41" s="153" t="n"/>
      <c r="J41" s="153" t="n"/>
      <c r="K41" s="153" t="n"/>
      <c r="L41" s="153" t="n"/>
      <c r="M41" s="153" t="n"/>
      <c r="N41" s="153" t="n"/>
      <c r="O41" s="153" t="n"/>
      <c r="P41" s="153" t="n"/>
      <c r="Q41" s="153" t="n"/>
      <c r="R41" s="153" t="n"/>
      <c r="S41" s="153" t="n"/>
      <c r="T41" s="153" t="n"/>
      <c r="U41" s="153" t="n"/>
      <c r="V41" s="153" t="n"/>
      <c r="W41" s="153" t="n"/>
      <c r="X41" s="153" t="n"/>
      <c r="Y41" s="153" t="n"/>
      <c r="Z41" s="153" t="n"/>
    </row>
    <row r="42" ht="15.75" customHeight="1" s="154">
      <c r="G42" s="153" t="n"/>
      <c r="H42" s="153" t="n"/>
      <c r="I42" s="153" t="n"/>
      <c r="J42" s="153" t="n"/>
      <c r="K42" s="153" t="n"/>
      <c r="L42" s="153" t="n"/>
      <c r="M42" s="153" t="n"/>
      <c r="N42" s="153" t="n"/>
      <c r="O42" s="153" t="n"/>
      <c r="P42" s="153" t="n"/>
      <c r="Q42" s="153" t="n"/>
      <c r="R42" s="153" t="n"/>
      <c r="S42" s="153" t="n"/>
      <c r="T42" s="153" t="n"/>
      <c r="U42" s="153" t="n"/>
      <c r="V42" s="153" t="n"/>
      <c r="W42" s="153" t="n"/>
      <c r="X42" s="153" t="n"/>
      <c r="Y42" s="153" t="n"/>
      <c r="Z42" s="153" t="n"/>
    </row>
    <row r="43" ht="15.75" customHeight="1" s="154">
      <c r="G43" s="153" t="n"/>
      <c r="H43" s="153" t="n"/>
      <c r="I43" s="153" t="n"/>
      <c r="J43" s="153" t="n"/>
      <c r="K43" s="153" t="n"/>
      <c r="L43" s="153" t="n"/>
      <c r="M43" s="153" t="n"/>
      <c r="N43" s="153" t="n"/>
      <c r="O43" s="153" t="n"/>
      <c r="P43" s="153" t="n"/>
      <c r="Q43" s="153" t="n"/>
      <c r="R43" s="153" t="n"/>
      <c r="S43" s="153" t="n"/>
      <c r="T43" s="153" t="n"/>
      <c r="U43" s="153" t="n"/>
      <c r="V43" s="153" t="n"/>
      <c r="W43" s="153" t="n"/>
      <c r="X43" s="153" t="n"/>
      <c r="Y43" s="153" t="n"/>
      <c r="Z43" s="153" t="n"/>
    </row>
    <row r="44" ht="15.75" customHeight="1" s="154">
      <c r="G44" s="153" t="n"/>
      <c r="H44" s="153" t="n"/>
      <c r="I44" s="153" t="n"/>
      <c r="J44" s="153" t="n"/>
      <c r="K44" s="153" t="n"/>
      <c r="L44" s="153" t="n"/>
      <c r="M44" s="153" t="n"/>
      <c r="N44" s="153" t="n"/>
      <c r="O44" s="153" t="n"/>
      <c r="P44" s="153" t="n"/>
      <c r="Q44" s="153" t="n"/>
      <c r="R44" s="153" t="n"/>
      <c r="S44" s="153" t="n"/>
      <c r="T44" s="153" t="n"/>
      <c r="U44" s="153" t="n"/>
      <c r="V44" s="153" t="n"/>
      <c r="W44" s="153" t="n"/>
      <c r="X44" s="153" t="n"/>
      <c r="Y44" s="153" t="n"/>
      <c r="Z44" s="153" t="n"/>
    </row>
    <row r="45" ht="15.75" customHeight="1" s="154">
      <c r="G45" s="153" t="n"/>
      <c r="H45" s="153" t="n"/>
      <c r="I45" s="153" t="n"/>
      <c r="J45" s="153" t="n"/>
      <c r="K45" s="153" t="n"/>
      <c r="L45" s="153" t="n"/>
      <c r="M45" s="153" t="n"/>
      <c r="N45" s="153" t="n"/>
      <c r="O45" s="153" t="n"/>
      <c r="P45" s="153" t="n"/>
      <c r="Q45" s="153" t="n"/>
      <c r="R45" s="153" t="n"/>
      <c r="S45" s="153" t="n"/>
      <c r="T45" s="153" t="n"/>
      <c r="U45" s="153" t="n"/>
      <c r="V45" s="153" t="n"/>
      <c r="W45" s="153" t="n"/>
      <c r="X45" s="153" t="n"/>
      <c r="Y45" s="153" t="n"/>
      <c r="Z45" s="153" t="n"/>
    </row>
    <row r="46" ht="15.75" customHeight="1" s="154">
      <c r="G46" s="153" t="n"/>
      <c r="H46" s="153" t="n"/>
      <c r="I46" s="153" t="n"/>
      <c r="J46" s="153" t="n"/>
      <c r="K46" s="153" t="n"/>
      <c r="L46" s="153" t="n"/>
      <c r="M46" s="153" t="n"/>
      <c r="N46" s="153" t="n"/>
      <c r="O46" s="153" t="n"/>
      <c r="P46" s="153" t="n"/>
      <c r="Q46" s="153" t="n"/>
      <c r="R46" s="153" t="n"/>
      <c r="S46" s="153" t="n"/>
      <c r="T46" s="153" t="n"/>
      <c r="U46" s="153" t="n"/>
      <c r="V46" s="153" t="n"/>
      <c r="W46" s="153" t="n"/>
      <c r="X46" s="153" t="n"/>
      <c r="Y46" s="153" t="n"/>
      <c r="Z46" s="153" t="n"/>
    </row>
    <row r="47" ht="15.75" customHeight="1" s="154">
      <c r="G47" s="153" t="n"/>
      <c r="H47" s="153" t="n"/>
      <c r="I47" s="153" t="n"/>
      <c r="J47" s="153" t="n"/>
      <c r="K47" s="153" t="n"/>
      <c r="L47" s="153" t="n"/>
      <c r="M47" s="153" t="n"/>
      <c r="N47" s="153" t="n"/>
      <c r="O47" s="153" t="n"/>
      <c r="P47" s="153" t="n"/>
      <c r="Q47" s="153" t="n"/>
      <c r="R47" s="153" t="n"/>
      <c r="S47" s="153" t="n"/>
      <c r="T47" s="153" t="n"/>
      <c r="U47" s="153" t="n"/>
      <c r="V47" s="153" t="n"/>
      <c r="W47" s="153" t="n"/>
      <c r="X47" s="153" t="n"/>
      <c r="Y47" s="153" t="n"/>
      <c r="Z47" s="153" t="n"/>
    </row>
    <row r="48" ht="15.75" customHeight="1" s="154">
      <c r="G48" s="153" t="n"/>
      <c r="H48" s="153" t="n"/>
      <c r="I48" s="153" t="n"/>
      <c r="J48" s="153" t="n"/>
      <c r="K48" s="153" t="n"/>
      <c r="L48" s="153" t="n"/>
      <c r="M48" s="153" t="n"/>
      <c r="N48" s="153" t="n"/>
      <c r="O48" s="153" t="n"/>
      <c r="P48" s="153" t="n"/>
      <c r="Q48" s="153" t="n"/>
      <c r="R48" s="153" t="n"/>
      <c r="S48" s="153" t="n"/>
      <c r="T48" s="153" t="n"/>
      <c r="U48" s="153" t="n"/>
      <c r="V48" s="153" t="n"/>
      <c r="W48" s="153" t="n"/>
      <c r="X48" s="153" t="n"/>
      <c r="Y48" s="153" t="n"/>
      <c r="Z48" s="153" t="n"/>
    </row>
    <row r="49" ht="15.75" customHeight="1" s="154">
      <c r="G49" s="153" t="n"/>
      <c r="H49" s="153" t="n"/>
      <c r="I49" s="153" t="n"/>
      <c r="J49" s="153" t="n"/>
      <c r="K49" s="153" t="n"/>
      <c r="L49" s="153" t="n"/>
      <c r="M49" s="153" t="n"/>
      <c r="N49" s="153" t="n"/>
      <c r="O49" s="153" t="n"/>
      <c r="P49" s="153" t="n"/>
      <c r="Q49" s="153" t="n"/>
      <c r="R49" s="153" t="n"/>
      <c r="S49" s="153" t="n"/>
      <c r="T49" s="153" t="n"/>
      <c r="U49" s="153" t="n"/>
      <c r="V49" s="153" t="n"/>
      <c r="W49" s="153" t="n"/>
      <c r="X49" s="153" t="n"/>
      <c r="Y49" s="153" t="n"/>
      <c r="Z49" s="153" t="n"/>
    </row>
    <row r="50" ht="15.75" customHeight="1" s="154">
      <c r="G50" s="153" t="n"/>
      <c r="H50" s="153" t="n"/>
      <c r="I50" s="153" t="n"/>
      <c r="J50" s="153" t="n"/>
      <c r="K50" s="153" t="n"/>
      <c r="L50" s="153" t="n"/>
      <c r="M50" s="153" t="n"/>
      <c r="N50" s="153" t="n"/>
      <c r="O50" s="153" t="n"/>
      <c r="P50" s="153" t="n"/>
      <c r="Q50" s="153" t="n"/>
      <c r="R50" s="153" t="n"/>
      <c r="S50" s="153" t="n"/>
      <c r="T50" s="153" t="n"/>
      <c r="U50" s="153" t="n"/>
      <c r="V50" s="153" t="n"/>
      <c r="W50" s="153" t="n"/>
      <c r="X50" s="153" t="n"/>
      <c r="Y50" s="153" t="n"/>
      <c r="Z50" s="153" t="n"/>
    </row>
    <row r="51" ht="15.75" customHeight="1" s="154">
      <c r="G51" s="153" t="n"/>
      <c r="H51" s="153" t="n"/>
      <c r="I51" s="153" t="n"/>
      <c r="J51" s="153" t="n"/>
      <c r="K51" s="153" t="n"/>
      <c r="L51" s="153" t="n"/>
      <c r="M51" s="153" t="n"/>
      <c r="N51" s="153" t="n"/>
      <c r="O51" s="153" t="n"/>
      <c r="P51" s="153" t="n"/>
      <c r="Q51" s="153" t="n"/>
      <c r="R51" s="153" t="n"/>
      <c r="S51" s="153" t="n"/>
      <c r="T51" s="153" t="n"/>
      <c r="U51" s="153" t="n"/>
      <c r="V51" s="153" t="n"/>
      <c r="W51" s="153" t="n"/>
      <c r="X51" s="153" t="n"/>
      <c r="Y51" s="153" t="n"/>
      <c r="Z51" s="153" t="n"/>
    </row>
    <row r="52" ht="15.75" customHeight="1" s="154">
      <c r="G52" s="153" t="n"/>
      <c r="H52" s="153" t="n"/>
      <c r="I52" s="153" t="n"/>
      <c r="J52" s="153" t="n"/>
      <c r="K52" s="153" t="n"/>
      <c r="L52" s="153" t="n"/>
      <c r="M52" s="153" t="n"/>
      <c r="N52" s="153" t="n"/>
      <c r="O52" s="153" t="n"/>
      <c r="P52" s="153" t="n"/>
      <c r="Q52" s="153" t="n"/>
      <c r="R52" s="153" t="n"/>
      <c r="S52" s="153" t="n"/>
      <c r="T52" s="153" t="n"/>
      <c r="U52" s="153" t="n"/>
      <c r="V52" s="153" t="n"/>
      <c r="W52" s="153" t="n"/>
      <c r="X52" s="153" t="n"/>
      <c r="Y52" s="153" t="n"/>
      <c r="Z52" s="153" t="n"/>
    </row>
    <row r="53" ht="15.75" customHeight="1" s="154">
      <c r="G53" s="153" t="n"/>
      <c r="H53" s="153" t="n"/>
      <c r="I53" s="153" t="n"/>
      <c r="J53" s="153" t="n"/>
      <c r="K53" s="153" t="n"/>
      <c r="L53" s="153" t="n"/>
      <c r="M53" s="153" t="n"/>
      <c r="N53" s="153" t="n"/>
      <c r="O53" s="153" t="n"/>
      <c r="P53" s="153" t="n"/>
      <c r="Q53" s="153" t="n"/>
      <c r="R53" s="153" t="n"/>
      <c r="S53" s="153" t="n"/>
      <c r="T53" s="153" t="n"/>
      <c r="U53" s="153" t="n"/>
      <c r="V53" s="153" t="n"/>
      <c r="W53" s="153" t="n"/>
      <c r="X53" s="153" t="n"/>
      <c r="Y53" s="153" t="n"/>
      <c r="Z53" s="153" t="n"/>
    </row>
    <row r="54" ht="15.75" customHeight="1" s="154">
      <c r="G54" s="153" t="n"/>
      <c r="H54" s="153" t="n"/>
      <c r="I54" s="153" t="n"/>
      <c r="J54" s="153" t="n"/>
      <c r="K54" s="153" t="n"/>
      <c r="L54" s="153" t="n"/>
      <c r="M54" s="153" t="n"/>
      <c r="N54" s="153" t="n"/>
      <c r="O54" s="153" t="n"/>
      <c r="P54" s="153" t="n"/>
      <c r="Q54" s="153" t="n"/>
      <c r="R54" s="153" t="n"/>
      <c r="S54" s="153" t="n"/>
      <c r="T54" s="153" t="n"/>
      <c r="U54" s="153" t="n"/>
      <c r="V54" s="153" t="n"/>
      <c r="W54" s="153" t="n"/>
      <c r="X54" s="153" t="n"/>
      <c r="Y54" s="153" t="n"/>
      <c r="Z54" s="153" t="n"/>
    </row>
    <row r="55" ht="15.75" customHeight="1" s="154">
      <c r="G55" s="153" t="n"/>
      <c r="H55" s="153" t="n"/>
      <c r="I55" s="153" t="n"/>
      <c r="J55" s="153" t="n"/>
      <c r="K55" s="153" t="n"/>
      <c r="L55" s="153" t="n"/>
      <c r="M55" s="153" t="n"/>
      <c r="N55" s="153" t="n"/>
      <c r="O55" s="153" t="n"/>
      <c r="P55" s="153" t="n"/>
      <c r="Q55" s="153" t="n"/>
      <c r="R55" s="153" t="n"/>
      <c r="S55" s="153" t="n"/>
      <c r="T55" s="153" t="n"/>
      <c r="U55" s="153" t="n"/>
      <c r="V55" s="153" t="n"/>
      <c r="W55" s="153" t="n"/>
      <c r="X55" s="153" t="n"/>
      <c r="Y55" s="153" t="n"/>
      <c r="Z55" s="153" t="n"/>
    </row>
    <row r="56" ht="15.75" customHeight="1" s="154">
      <c r="G56" s="153" t="n"/>
      <c r="H56" s="153" t="n"/>
      <c r="I56" s="153" t="n"/>
      <c r="J56" s="153" t="n"/>
      <c r="K56" s="153" t="n"/>
      <c r="L56" s="153" t="n"/>
      <c r="M56" s="153" t="n"/>
      <c r="N56" s="153" t="n"/>
      <c r="O56" s="153" t="n"/>
      <c r="P56" s="153" t="n"/>
      <c r="Q56" s="153" t="n"/>
      <c r="R56" s="153" t="n"/>
      <c r="S56" s="153" t="n"/>
      <c r="T56" s="153" t="n"/>
      <c r="U56" s="153" t="n"/>
      <c r="V56" s="153" t="n"/>
      <c r="W56" s="153" t="n"/>
      <c r="X56" s="153" t="n"/>
      <c r="Y56" s="153" t="n"/>
      <c r="Z56" s="153" t="n"/>
    </row>
    <row r="57" ht="15.75" customHeight="1" s="154">
      <c r="G57" s="153" t="n"/>
      <c r="H57" s="153" t="n"/>
      <c r="I57" s="153" t="n"/>
      <c r="J57" s="153" t="n"/>
      <c r="K57" s="153" t="n"/>
      <c r="L57" s="153" t="n"/>
      <c r="M57" s="153" t="n"/>
      <c r="N57" s="153" t="n"/>
      <c r="O57" s="153" t="n"/>
      <c r="P57" s="153" t="n"/>
      <c r="Q57" s="153" t="n"/>
      <c r="R57" s="153" t="n"/>
      <c r="S57" s="153" t="n"/>
      <c r="T57" s="153" t="n"/>
      <c r="U57" s="153" t="n"/>
      <c r="V57" s="153" t="n"/>
      <c r="W57" s="153" t="n"/>
      <c r="X57" s="153" t="n"/>
      <c r="Y57" s="153" t="n"/>
      <c r="Z57" s="153" t="n"/>
    </row>
    <row r="58" ht="15.75" customHeight="1" s="154">
      <c r="G58" s="153" t="n"/>
      <c r="H58" s="153" t="n"/>
      <c r="I58" s="153" t="n"/>
      <c r="J58" s="153" t="n"/>
      <c r="K58" s="153" t="n"/>
      <c r="L58" s="153" t="n"/>
      <c r="M58" s="153" t="n"/>
      <c r="N58" s="153" t="n"/>
      <c r="O58" s="153" t="n"/>
      <c r="P58" s="153" t="n"/>
      <c r="Q58" s="153" t="n"/>
      <c r="R58" s="153" t="n"/>
      <c r="S58" s="153" t="n"/>
      <c r="T58" s="153" t="n"/>
      <c r="U58" s="153" t="n"/>
      <c r="V58" s="153" t="n"/>
      <c r="W58" s="153" t="n"/>
      <c r="X58" s="153" t="n"/>
      <c r="Y58" s="153" t="n"/>
      <c r="Z58" s="153" t="n"/>
    </row>
    <row r="59" ht="15.75" customHeight="1" s="154">
      <c r="G59" s="153" t="n"/>
      <c r="H59" s="153" t="n"/>
      <c r="I59" s="153" t="n"/>
      <c r="J59" s="153" t="n"/>
      <c r="K59" s="153" t="n"/>
      <c r="L59" s="153" t="n"/>
      <c r="M59" s="153" t="n"/>
      <c r="N59" s="153" t="n"/>
      <c r="O59" s="153" t="n"/>
      <c r="P59" s="153" t="n"/>
      <c r="Q59" s="153" t="n"/>
      <c r="R59" s="153" t="n"/>
      <c r="S59" s="153" t="n"/>
      <c r="T59" s="153" t="n"/>
      <c r="U59" s="153" t="n"/>
      <c r="V59" s="153" t="n"/>
      <c r="W59" s="153" t="n"/>
      <c r="X59" s="153" t="n"/>
      <c r="Y59" s="153" t="n"/>
      <c r="Z59" s="153" t="n"/>
    </row>
    <row r="60" ht="15.75" customHeight="1" s="154">
      <c r="G60" s="153" t="n"/>
      <c r="H60" s="153" t="n"/>
      <c r="I60" s="153" t="n"/>
      <c r="J60" s="153" t="n"/>
      <c r="K60" s="153" t="n"/>
      <c r="L60" s="153" t="n"/>
      <c r="M60" s="153" t="n"/>
      <c r="N60" s="153" t="n"/>
      <c r="O60" s="153" t="n"/>
      <c r="P60" s="153" t="n"/>
      <c r="Q60" s="153" t="n"/>
      <c r="R60" s="153" t="n"/>
      <c r="S60" s="153" t="n"/>
      <c r="T60" s="153" t="n"/>
      <c r="U60" s="153" t="n"/>
      <c r="V60" s="153" t="n"/>
      <c r="W60" s="153" t="n"/>
      <c r="X60" s="153" t="n"/>
      <c r="Y60" s="153" t="n"/>
      <c r="Z60" s="153" t="n"/>
    </row>
    <row r="61" ht="15.75" customHeight="1" s="154">
      <c r="G61" s="153" t="n"/>
      <c r="H61" s="153" t="n"/>
      <c r="I61" s="153" t="n"/>
      <c r="J61" s="153" t="n"/>
      <c r="K61" s="153" t="n"/>
      <c r="L61" s="153" t="n"/>
      <c r="M61" s="153" t="n"/>
      <c r="N61" s="153" t="n"/>
      <c r="O61" s="153" t="n"/>
      <c r="P61" s="153" t="n"/>
      <c r="Q61" s="153" t="n"/>
      <c r="R61" s="153" t="n"/>
      <c r="S61" s="153" t="n"/>
      <c r="T61" s="153" t="n"/>
      <c r="U61" s="153" t="n"/>
      <c r="V61" s="153" t="n"/>
      <c r="W61" s="153" t="n"/>
      <c r="X61" s="153" t="n"/>
      <c r="Y61" s="153" t="n"/>
      <c r="Z61" s="153" t="n"/>
    </row>
    <row r="62" ht="15.75" customHeight="1" s="154">
      <c r="G62" s="153" t="n"/>
      <c r="H62" s="153" t="n"/>
      <c r="I62" s="153" t="n"/>
      <c r="J62" s="153" t="n"/>
      <c r="K62" s="153" t="n"/>
      <c r="L62" s="153" t="n"/>
      <c r="M62" s="153" t="n"/>
      <c r="N62" s="153" t="n"/>
      <c r="O62" s="153" t="n"/>
      <c r="P62" s="153" t="n"/>
      <c r="Q62" s="153" t="n"/>
      <c r="R62" s="153" t="n"/>
      <c r="S62" s="153" t="n"/>
      <c r="T62" s="153" t="n"/>
      <c r="U62" s="153" t="n"/>
      <c r="V62" s="153" t="n"/>
      <c r="W62" s="153" t="n"/>
      <c r="X62" s="153" t="n"/>
      <c r="Y62" s="153" t="n"/>
      <c r="Z62" s="153" t="n"/>
    </row>
    <row r="63" ht="15.75" customHeight="1" s="154">
      <c r="G63" s="153" t="n"/>
      <c r="H63" s="153" t="n"/>
      <c r="I63" s="153" t="n"/>
      <c r="J63" s="153" t="n"/>
      <c r="K63" s="153" t="n"/>
      <c r="L63" s="153" t="n"/>
      <c r="M63" s="153" t="n"/>
      <c r="N63" s="153" t="n"/>
      <c r="O63" s="153" t="n"/>
      <c r="P63" s="153" t="n"/>
      <c r="Q63" s="153" t="n"/>
      <c r="R63" s="153" t="n"/>
      <c r="S63" s="153" t="n"/>
      <c r="T63" s="153" t="n"/>
      <c r="U63" s="153" t="n"/>
      <c r="V63" s="153" t="n"/>
      <c r="W63" s="153" t="n"/>
      <c r="X63" s="153" t="n"/>
      <c r="Y63" s="153" t="n"/>
      <c r="Z63" s="153" t="n"/>
    </row>
    <row r="64" ht="15.75" customHeight="1" s="154">
      <c r="G64" s="153" t="n"/>
      <c r="H64" s="153" t="n"/>
      <c r="I64" s="153" t="n"/>
      <c r="J64" s="153" t="n"/>
      <c r="K64" s="153" t="n"/>
      <c r="L64" s="153" t="n"/>
      <c r="M64" s="153" t="n"/>
      <c r="N64" s="153" t="n"/>
      <c r="O64" s="153" t="n"/>
      <c r="P64" s="153" t="n"/>
      <c r="Q64" s="153" t="n"/>
      <c r="R64" s="153" t="n"/>
      <c r="S64" s="153" t="n"/>
      <c r="T64" s="153" t="n"/>
      <c r="U64" s="153" t="n"/>
      <c r="V64" s="153" t="n"/>
      <c r="W64" s="153" t="n"/>
      <c r="X64" s="153" t="n"/>
      <c r="Y64" s="153" t="n"/>
      <c r="Z64" s="153" t="n"/>
    </row>
    <row r="65" ht="15.75" customHeight="1" s="154">
      <c r="G65" s="153" t="n"/>
      <c r="H65" s="153" t="n"/>
      <c r="I65" s="153" t="n"/>
      <c r="J65" s="153" t="n"/>
      <c r="K65" s="153" t="n"/>
      <c r="L65" s="153" t="n"/>
      <c r="M65" s="153" t="n"/>
      <c r="N65" s="153" t="n"/>
      <c r="O65" s="153" t="n"/>
      <c r="P65" s="153" t="n"/>
      <c r="Q65" s="153" t="n"/>
      <c r="R65" s="153" t="n"/>
      <c r="S65" s="153" t="n"/>
      <c r="T65" s="153" t="n"/>
      <c r="U65" s="153" t="n"/>
      <c r="V65" s="153" t="n"/>
      <c r="W65" s="153" t="n"/>
      <c r="X65" s="153" t="n"/>
      <c r="Y65" s="153" t="n"/>
      <c r="Z65" s="153" t="n"/>
    </row>
    <row r="66" ht="15.75" customHeight="1" s="154">
      <c r="G66" s="153" t="n"/>
      <c r="H66" s="153" t="n"/>
      <c r="I66" s="153" t="n"/>
      <c r="J66" s="153" t="n"/>
      <c r="K66" s="153" t="n"/>
      <c r="L66" s="153" t="n"/>
      <c r="M66" s="153" t="n"/>
      <c r="N66" s="153" t="n"/>
      <c r="O66" s="153" t="n"/>
      <c r="P66" s="153" t="n"/>
      <c r="Q66" s="153" t="n"/>
      <c r="R66" s="153" t="n"/>
      <c r="S66" s="153" t="n"/>
      <c r="T66" s="153" t="n"/>
      <c r="U66" s="153" t="n"/>
      <c r="V66" s="153" t="n"/>
      <c r="W66" s="153" t="n"/>
      <c r="X66" s="153" t="n"/>
      <c r="Y66" s="153" t="n"/>
      <c r="Z66" s="153" t="n"/>
    </row>
    <row r="67" ht="15.75" customHeight="1" s="154">
      <c r="G67" s="153" t="n"/>
      <c r="H67" s="153" t="n"/>
      <c r="I67" s="153" t="n"/>
      <c r="J67" s="153" t="n"/>
      <c r="K67" s="153" t="n"/>
      <c r="L67" s="153" t="n"/>
      <c r="M67" s="153" t="n"/>
      <c r="N67" s="153" t="n"/>
      <c r="O67" s="153" t="n"/>
      <c r="P67" s="153" t="n"/>
      <c r="Q67" s="153" t="n"/>
      <c r="R67" s="153" t="n"/>
      <c r="S67" s="153" t="n"/>
      <c r="T67" s="153" t="n"/>
      <c r="U67" s="153" t="n"/>
      <c r="V67" s="153" t="n"/>
      <c r="W67" s="153" t="n"/>
      <c r="X67" s="153" t="n"/>
      <c r="Y67" s="153" t="n"/>
      <c r="Z67" s="153" t="n"/>
    </row>
    <row r="68" ht="15.75" customHeight="1" s="154">
      <c r="G68" s="153" t="n"/>
      <c r="H68" s="153" t="n"/>
      <c r="I68" s="153" t="n"/>
      <c r="J68" s="153" t="n"/>
      <c r="K68" s="153" t="n"/>
      <c r="L68" s="153" t="n"/>
      <c r="M68" s="153" t="n"/>
      <c r="N68" s="153" t="n"/>
      <c r="O68" s="153" t="n"/>
      <c r="P68" s="153" t="n"/>
      <c r="Q68" s="153" t="n"/>
      <c r="R68" s="153" t="n"/>
      <c r="S68" s="153" t="n"/>
      <c r="T68" s="153" t="n"/>
      <c r="U68" s="153" t="n"/>
      <c r="V68" s="153" t="n"/>
      <c r="W68" s="153" t="n"/>
      <c r="X68" s="153" t="n"/>
      <c r="Y68" s="153" t="n"/>
      <c r="Z68" s="153" t="n"/>
    </row>
    <row r="69" ht="15.75" customHeight="1" s="154">
      <c r="G69" s="153" t="n"/>
      <c r="H69" s="153" t="n"/>
      <c r="I69" s="153" t="n"/>
      <c r="J69" s="153" t="n"/>
      <c r="K69" s="153" t="n"/>
      <c r="L69" s="153" t="n"/>
      <c r="M69" s="153" t="n"/>
      <c r="N69" s="153" t="n"/>
      <c r="O69" s="153" t="n"/>
      <c r="P69" s="153" t="n"/>
      <c r="Q69" s="153" t="n"/>
      <c r="R69" s="153" t="n"/>
      <c r="S69" s="153" t="n"/>
      <c r="T69" s="153" t="n"/>
      <c r="U69" s="153" t="n"/>
      <c r="V69" s="153" t="n"/>
      <c r="W69" s="153" t="n"/>
      <c r="X69" s="153" t="n"/>
      <c r="Y69" s="153" t="n"/>
      <c r="Z69" s="153" t="n"/>
    </row>
    <row r="70" ht="15.75" customHeight="1" s="154">
      <c r="G70" s="153" t="n"/>
      <c r="H70" s="153" t="n"/>
      <c r="I70" s="153" t="n"/>
      <c r="J70" s="153" t="n"/>
      <c r="K70" s="153" t="n"/>
      <c r="L70" s="153" t="n"/>
      <c r="M70" s="153" t="n"/>
      <c r="N70" s="153" t="n"/>
      <c r="O70" s="153" t="n"/>
      <c r="P70" s="153" t="n"/>
      <c r="Q70" s="153" t="n"/>
      <c r="R70" s="153" t="n"/>
      <c r="S70" s="153" t="n"/>
      <c r="T70" s="153" t="n"/>
      <c r="U70" s="153" t="n"/>
      <c r="V70" s="153" t="n"/>
      <c r="W70" s="153" t="n"/>
      <c r="X70" s="153" t="n"/>
      <c r="Y70" s="153" t="n"/>
      <c r="Z70" s="153" t="n"/>
    </row>
    <row r="71" ht="15.75" customHeight="1" s="154">
      <c r="G71" s="153" t="n"/>
      <c r="H71" s="153" t="n"/>
      <c r="I71" s="153" t="n"/>
      <c r="J71" s="153" t="n"/>
      <c r="K71" s="153" t="n"/>
      <c r="L71" s="153" t="n"/>
      <c r="M71" s="153" t="n"/>
      <c r="N71" s="153" t="n"/>
      <c r="O71" s="153" t="n"/>
      <c r="P71" s="153" t="n"/>
      <c r="Q71" s="153" t="n"/>
      <c r="R71" s="153" t="n"/>
      <c r="S71" s="153" t="n"/>
      <c r="T71" s="153" t="n"/>
      <c r="U71" s="153" t="n"/>
      <c r="V71" s="153" t="n"/>
      <c r="W71" s="153" t="n"/>
      <c r="X71" s="153" t="n"/>
      <c r="Y71" s="153" t="n"/>
      <c r="Z71" s="153" t="n"/>
    </row>
    <row r="72" ht="15.75" customHeight="1" s="154">
      <c r="G72" s="153" t="n"/>
      <c r="H72" s="153" t="n"/>
      <c r="I72" s="153" t="n"/>
      <c r="J72" s="153" t="n"/>
      <c r="K72" s="153" t="n"/>
      <c r="L72" s="153" t="n"/>
      <c r="M72" s="153" t="n"/>
      <c r="N72" s="153" t="n"/>
      <c r="O72" s="153" t="n"/>
      <c r="P72" s="153" t="n"/>
      <c r="Q72" s="153" t="n"/>
      <c r="R72" s="153" t="n"/>
      <c r="S72" s="153" t="n"/>
      <c r="T72" s="153" t="n"/>
      <c r="U72" s="153" t="n"/>
      <c r="V72" s="153" t="n"/>
      <c r="W72" s="153" t="n"/>
      <c r="X72" s="153" t="n"/>
      <c r="Y72" s="153" t="n"/>
      <c r="Z72" s="153" t="n"/>
    </row>
    <row r="73" ht="15.75" customHeight="1" s="154">
      <c r="G73" s="153" t="n"/>
      <c r="H73" s="153" t="n"/>
      <c r="I73" s="153" t="n"/>
      <c r="J73" s="153" t="n"/>
      <c r="K73" s="153" t="n"/>
      <c r="L73" s="153" t="n"/>
      <c r="M73" s="153" t="n"/>
      <c r="N73" s="153" t="n"/>
      <c r="O73" s="153" t="n"/>
      <c r="P73" s="153" t="n"/>
      <c r="Q73" s="153" t="n"/>
      <c r="R73" s="153" t="n"/>
      <c r="S73" s="153" t="n"/>
      <c r="T73" s="153" t="n"/>
      <c r="U73" s="153" t="n"/>
      <c r="V73" s="153" t="n"/>
      <c r="W73" s="153" t="n"/>
      <c r="X73" s="153" t="n"/>
      <c r="Y73" s="153" t="n"/>
      <c r="Z73" s="153" t="n"/>
    </row>
    <row r="74" ht="15.75" customHeight="1" s="154">
      <c r="G74" s="153" t="n"/>
      <c r="H74" s="153" t="n"/>
      <c r="I74" s="153" t="n"/>
      <c r="J74" s="153" t="n"/>
      <c r="K74" s="153" t="n"/>
      <c r="L74" s="153" t="n"/>
      <c r="M74" s="153" t="n"/>
      <c r="N74" s="153" t="n"/>
      <c r="O74" s="153" t="n"/>
      <c r="P74" s="153" t="n"/>
      <c r="Q74" s="153" t="n"/>
      <c r="R74" s="153" t="n"/>
      <c r="S74" s="153" t="n"/>
      <c r="T74" s="153" t="n"/>
      <c r="U74" s="153" t="n"/>
      <c r="V74" s="153" t="n"/>
      <c r="W74" s="153" t="n"/>
      <c r="X74" s="153" t="n"/>
      <c r="Y74" s="153" t="n"/>
      <c r="Z74" s="153" t="n"/>
    </row>
    <row r="75" ht="15.75" customHeight="1" s="154">
      <c r="G75" s="153" t="n"/>
      <c r="H75" s="153" t="n"/>
      <c r="I75" s="153" t="n"/>
      <c r="J75" s="153" t="n"/>
      <c r="K75" s="153" t="n"/>
      <c r="L75" s="153" t="n"/>
      <c r="M75" s="153" t="n"/>
      <c r="N75" s="153" t="n"/>
      <c r="O75" s="153" t="n"/>
      <c r="P75" s="153" t="n"/>
      <c r="Q75" s="153" t="n"/>
      <c r="R75" s="153" t="n"/>
      <c r="S75" s="153" t="n"/>
      <c r="T75" s="153" t="n"/>
      <c r="U75" s="153" t="n"/>
      <c r="V75" s="153" t="n"/>
      <c r="W75" s="153" t="n"/>
      <c r="X75" s="153" t="n"/>
      <c r="Y75" s="153" t="n"/>
      <c r="Z75" s="153" t="n"/>
    </row>
    <row r="76" ht="15.75" customHeight="1" s="154">
      <c r="G76" s="153" t="n"/>
      <c r="H76" s="153" t="n"/>
      <c r="I76" s="153" t="n"/>
      <c r="J76" s="153" t="n"/>
      <c r="K76" s="153" t="n"/>
      <c r="L76" s="153" t="n"/>
      <c r="M76" s="153" t="n"/>
      <c r="N76" s="153" t="n"/>
      <c r="O76" s="153" t="n"/>
      <c r="P76" s="153" t="n"/>
      <c r="Q76" s="153" t="n"/>
      <c r="R76" s="153" t="n"/>
      <c r="S76" s="153" t="n"/>
      <c r="T76" s="153" t="n"/>
      <c r="U76" s="153" t="n"/>
      <c r="V76" s="153" t="n"/>
      <c r="W76" s="153" t="n"/>
      <c r="X76" s="153" t="n"/>
      <c r="Y76" s="153" t="n"/>
      <c r="Z76" s="153" t="n"/>
    </row>
    <row r="77" ht="15.75" customHeight="1" s="154">
      <c r="G77" s="153" t="n"/>
      <c r="H77" s="153" t="n"/>
      <c r="I77" s="153" t="n"/>
      <c r="J77" s="153" t="n"/>
      <c r="K77" s="153" t="n"/>
      <c r="L77" s="153" t="n"/>
      <c r="M77" s="153" t="n"/>
      <c r="N77" s="153" t="n"/>
      <c r="O77" s="153" t="n"/>
      <c r="P77" s="153" t="n"/>
      <c r="Q77" s="153" t="n"/>
      <c r="R77" s="153" t="n"/>
      <c r="S77" s="153" t="n"/>
      <c r="T77" s="153" t="n"/>
      <c r="U77" s="153" t="n"/>
      <c r="V77" s="153" t="n"/>
      <c r="W77" s="153" t="n"/>
      <c r="X77" s="153" t="n"/>
      <c r="Y77" s="153" t="n"/>
      <c r="Z77" s="153" t="n"/>
    </row>
    <row r="78" ht="15.75" customHeight="1" s="154">
      <c r="G78" s="153" t="n"/>
      <c r="H78" s="153" t="n"/>
      <c r="I78" s="153" t="n"/>
      <c r="J78" s="153" t="n"/>
      <c r="K78" s="153" t="n"/>
      <c r="L78" s="153" t="n"/>
      <c r="M78" s="153" t="n"/>
      <c r="N78" s="153" t="n"/>
      <c r="O78" s="153" t="n"/>
      <c r="P78" s="153" t="n"/>
      <c r="Q78" s="153" t="n"/>
      <c r="R78" s="153" t="n"/>
      <c r="S78" s="153" t="n"/>
      <c r="T78" s="153" t="n"/>
      <c r="U78" s="153" t="n"/>
      <c r="V78" s="153" t="n"/>
      <c r="W78" s="153" t="n"/>
      <c r="X78" s="153" t="n"/>
      <c r="Y78" s="153" t="n"/>
      <c r="Z78" s="153" t="n"/>
    </row>
    <row r="79" ht="15.75" customHeight="1" s="154">
      <c r="G79" s="153" t="n"/>
      <c r="H79" s="153" t="n"/>
      <c r="I79" s="153" t="n"/>
      <c r="J79" s="153" t="n"/>
      <c r="K79" s="153" t="n"/>
      <c r="L79" s="153" t="n"/>
      <c r="M79" s="153" t="n"/>
      <c r="N79" s="153" t="n"/>
      <c r="O79" s="153" t="n"/>
      <c r="P79" s="153" t="n"/>
      <c r="Q79" s="153" t="n"/>
      <c r="R79" s="153" t="n"/>
      <c r="S79" s="153" t="n"/>
      <c r="T79" s="153" t="n"/>
      <c r="U79" s="153" t="n"/>
      <c r="V79" s="153" t="n"/>
      <c r="W79" s="153" t="n"/>
      <c r="X79" s="153" t="n"/>
      <c r="Y79" s="153" t="n"/>
      <c r="Z79" s="153" t="n"/>
    </row>
    <row r="80" ht="15.75" customHeight="1" s="154">
      <c r="G80" s="153" t="n"/>
      <c r="H80" s="153" t="n"/>
      <c r="I80" s="153" t="n"/>
      <c r="J80" s="153" t="n"/>
      <c r="K80" s="153" t="n"/>
      <c r="L80" s="153" t="n"/>
      <c r="M80" s="153" t="n"/>
      <c r="N80" s="153" t="n"/>
      <c r="O80" s="153" t="n"/>
      <c r="P80" s="153" t="n"/>
      <c r="Q80" s="153" t="n"/>
      <c r="R80" s="153" t="n"/>
      <c r="S80" s="153" t="n"/>
      <c r="T80" s="153" t="n"/>
      <c r="U80" s="153" t="n"/>
      <c r="V80" s="153" t="n"/>
      <c r="W80" s="153" t="n"/>
      <c r="X80" s="153" t="n"/>
      <c r="Y80" s="153" t="n"/>
      <c r="Z80" s="153" t="n"/>
    </row>
    <row r="81" ht="15.75" customHeight="1" s="154">
      <c r="G81" s="153" t="n"/>
      <c r="H81" s="153" t="n"/>
      <c r="I81" s="153" t="n"/>
      <c r="J81" s="153" t="n"/>
      <c r="K81" s="153" t="n"/>
      <c r="L81" s="153" t="n"/>
      <c r="M81" s="153" t="n"/>
      <c r="N81" s="153" t="n"/>
      <c r="O81" s="153" t="n"/>
      <c r="P81" s="153" t="n"/>
      <c r="Q81" s="153" t="n"/>
      <c r="R81" s="153" t="n"/>
      <c r="S81" s="153" t="n"/>
      <c r="T81" s="153" t="n"/>
      <c r="U81" s="153" t="n"/>
      <c r="V81" s="153" t="n"/>
      <c r="W81" s="153" t="n"/>
      <c r="X81" s="153" t="n"/>
      <c r="Y81" s="153" t="n"/>
      <c r="Z81" s="153" t="n"/>
    </row>
    <row r="82" ht="15.75" customHeight="1" s="154">
      <c r="G82" s="153" t="n"/>
      <c r="H82" s="153" t="n"/>
      <c r="I82" s="153" t="n"/>
      <c r="J82" s="153" t="n"/>
      <c r="K82" s="153" t="n"/>
      <c r="L82" s="153" t="n"/>
      <c r="M82" s="153" t="n"/>
      <c r="N82" s="153" t="n"/>
      <c r="O82" s="153" t="n"/>
      <c r="P82" s="153" t="n"/>
      <c r="Q82" s="153" t="n"/>
      <c r="R82" s="153" t="n"/>
      <c r="S82" s="153" t="n"/>
      <c r="T82" s="153" t="n"/>
      <c r="U82" s="153" t="n"/>
      <c r="V82" s="153" t="n"/>
      <c r="W82" s="153" t="n"/>
      <c r="X82" s="153" t="n"/>
      <c r="Y82" s="153" t="n"/>
      <c r="Z82" s="153" t="n"/>
    </row>
    <row r="83" ht="15.75" customHeight="1" s="154">
      <c r="G83" s="153" t="n"/>
      <c r="H83" s="153" t="n"/>
      <c r="I83" s="153" t="n"/>
      <c r="J83" s="153" t="n"/>
      <c r="K83" s="153" t="n"/>
      <c r="L83" s="153" t="n"/>
      <c r="M83" s="153" t="n"/>
      <c r="N83" s="153" t="n"/>
      <c r="O83" s="153" t="n"/>
      <c r="P83" s="153" t="n"/>
      <c r="Q83" s="153" t="n"/>
      <c r="R83" s="153" t="n"/>
      <c r="S83" s="153" t="n"/>
      <c r="T83" s="153" t="n"/>
      <c r="U83" s="153" t="n"/>
      <c r="V83" s="153" t="n"/>
      <c r="W83" s="153" t="n"/>
      <c r="X83" s="153" t="n"/>
      <c r="Y83" s="153" t="n"/>
      <c r="Z83" s="153" t="n"/>
    </row>
    <row r="84" ht="15.75" customHeight="1" s="154">
      <c r="G84" s="153" t="n"/>
      <c r="H84" s="153" t="n"/>
      <c r="I84" s="153" t="n"/>
      <c r="J84" s="153" t="n"/>
      <c r="K84" s="153" t="n"/>
      <c r="L84" s="153" t="n"/>
      <c r="M84" s="153" t="n"/>
      <c r="N84" s="153" t="n"/>
      <c r="O84" s="153" t="n"/>
      <c r="P84" s="153" t="n"/>
      <c r="Q84" s="153" t="n"/>
      <c r="R84" s="153" t="n"/>
      <c r="S84" s="153" t="n"/>
      <c r="T84" s="153" t="n"/>
      <c r="U84" s="153" t="n"/>
      <c r="V84" s="153" t="n"/>
      <c r="W84" s="153" t="n"/>
      <c r="X84" s="153" t="n"/>
      <c r="Y84" s="153" t="n"/>
      <c r="Z84" s="153" t="n"/>
    </row>
    <row r="85" ht="15.75" customHeight="1" s="154">
      <c r="G85" s="153" t="n"/>
      <c r="H85" s="153" t="n"/>
      <c r="I85" s="153" t="n"/>
      <c r="J85" s="153" t="n"/>
      <c r="K85" s="153" t="n"/>
      <c r="L85" s="153" t="n"/>
      <c r="M85" s="153" t="n"/>
      <c r="N85" s="153" t="n"/>
      <c r="O85" s="153" t="n"/>
      <c r="P85" s="153" t="n"/>
      <c r="Q85" s="153" t="n"/>
      <c r="R85" s="153" t="n"/>
      <c r="S85" s="153" t="n"/>
      <c r="T85" s="153" t="n"/>
      <c r="U85" s="153" t="n"/>
      <c r="V85" s="153" t="n"/>
      <c r="W85" s="153" t="n"/>
      <c r="X85" s="153" t="n"/>
      <c r="Y85" s="153" t="n"/>
      <c r="Z85" s="153" t="n"/>
    </row>
    <row r="86" ht="15.75" customHeight="1" s="154">
      <c r="G86" s="153" t="n"/>
      <c r="H86" s="153" t="n"/>
      <c r="I86" s="153" t="n"/>
      <c r="J86" s="153" t="n"/>
      <c r="K86" s="153" t="n"/>
      <c r="L86" s="153" t="n"/>
      <c r="M86" s="153" t="n"/>
      <c r="N86" s="153" t="n"/>
      <c r="O86" s="153" t="n"/>
      <c r="P86" s="153" t="n"/>
      <c r="Q86" s="153" t="n"/>
      <c r="R86" s="153" t="n"/>
      <c r="S86" s="153" t="n"/>
      <c r="T86" s="153" t="n"/>
      <c r="U86" s="153" t="n"/>
      <c r="V86" s="153" t="n"/>
      <c r="W86" s="153" t="n"/>
      <c r="X86" s="153" t="n"/>
      <c r="Y86" s="153" t="n"/>
      <c r="Z86" s="153" t="n"/>
    </row>
    <row r="87" ht="15.75" customHeight="1" s="154">
      <c r="G87" s="153" t="n"/>
      <c r="H87" s="153" t="n"/>
      <c r="I87" s="153" t="n"/>
      <c r="J87" s="153" t="n"/>
      <c r="K87" s="153" t="n"/>
      <c r="L87" s="153" t="n"/>
      <c r="M87" s="153" t="n"/>
      <c r="N87" s="153" t="n"/>
      <c r="O87" s="153" t="n"/>
      <c r="P87" s="153" t="n"/>
      <c r="Q87" s="153" t="n"/>
      <c r="R87" s="153" t="n"/>
      <c r="S87" s="153" t="n"/>
      <c r="T87" s="153" t="n"/>
      <c r="U87" s="153" t="n"/>
      <c r="V87" s="153" t="n"/>
      <c r="W87" s="153" t="n"/>
      <c r="X87" s="153" t="n"/>
      <c r="Y87" s="153" t="n"/>
      <c r="Z87" s="153" t="n"/>
    </row>
    <row r="88" ht="15.75" customHeight="1" s="154">
      <c r="G88" s="153" t="n"/>
      <c r="H88" s="153" t="n"/>
      <c r="I88" s="153" t="n"/>
      <c r="J88" s="153" t="n"/>
      <c r="K88" s="153" t="n"/>
      <c r="L88" s="153" t="n"/>
      <c r="M88" s="153" t="n"/>
      <c r="N88" s="153" t="n"/>
      <c r="O88" s="153" t="n"/>
      <c r="P88" s="153" t="n"/>
      <c r="Q88" s="153" t="n"/>
      <c r="R88" s="153" t="n"/>
      <c r="S88" s="153" t="n"/>
      <c r="T88" s="153" t="n"/>
      <c r="U88" s="153" t="n"/>
      <c r="V88" s="153" t="n"/>
      <c r="W88" s="153" t="n"/>
      <c r="X88" s="153" t="n"/>
      <c r="Y88" s="153" t="n"/>
      <c r="Z88" s="153" t="n"/>
    </row>
    <row r="89" ht="15.75" customHeight="1" s="154">
      <c r="G89" s="153" t="n"/>
      <c r="H89" s="153" t="n"/>
      <c r="I89" s="153" t="n"/>
      <c r="J89" s="153" t="n"/>
      <c r="K89" s="153" t="n"/>
      <c r="L89" s="153" t="n"/>
      <c r="M89" s="153" t="n"/>
      <c r="N89" s="153" t="n"/>
      <c r="O89" s="153" t="n"/>
      <c r="P89" s="153" t="n"/>
      <c r="Q89" s="153" t="n"/>
      <c r="R89" s="153" t="n"/>
      <c r="S89" s="153" t="n"/>
      <c r="T89" s="153" t="n"/>
      <c r="U89" s="153" t="n"/>
      <c r="V89" s="153" t="n"/>
      <c r="W89" s="153" t="n"/>
      <c r="X89" s="153" t="n"/>
      <c r="Y89" s="153" t="n"/>
      <c r="Z89" s="153" t="n"/>
    </row>
    <row r="90" ht="15.75" customHeight="1" s="154">
      <c r="G90" s="153" t="n"/>
      <c r="H90" s="153" t="n"/>
      <c r="I90" s="153" t="n"/>
      <c r="J90" s="153" t="n"/>
      <c r="K90" s="153" t="n"/>
      <c r="L90" s="153" t="n"/>
      <c r="M90" s="153" t="n"/>
      <c r="N90" s="153" t="n"/>
      <c r="O90" s="153" t="n"/>
      <c r="P90" s="153" t="n"/>
      <c r="Q90" s="153" t="n"/>
      <c r="R90" s="153" t="n"/>
      <c r="S90" s="153" t="n"/>
      <c r="T90" s="153" t="n"/>
      <c r="U90" s="153" t="n"/>
      <c r="V90" s="153" t="n"/>
      <c r="W90" s="153" t="n"/>
      <c r="X90" s="153" t="n"/>
      <c r="Y90" s="153" t="n"/>
      <c r="Z90" s="153" t="n"/>
    </row>
    <row r="91" ht="15.75" customHeight="1" s="154">
      <c r="G91" s="153" t="n"/>
      <c r="H91" s="153" t="n"/>
      <c r="I91" s="153" t="n"/>
      <c r="J91" s="153" t="n"/>
      <c r="K91" s="153" t="n"/>
      <c r="L91" s="153" t="n"/>
      <c r="M91" s="153" t="n"/>
      <c r="N91" s="153" t="n"/>
      <c r="O91" s="153" t="n"/>
      <c r="P91" s="153" t="n"/>
      <c r="Q91" s="153" t="n"/>
      <c r="R91" s="153" t="n"/>
      <c r="S91" s="153" t="n"/>
      <c r="T91" s="153" t="n"/>
      <c r="U91" s="153" t="n"/>
      <c r="V91" s="153" t="n"/>
      <c r="W91" s="153" t="n"/>
      <c r="X91" s="153" t="n"/>
      <c r="Y91" s="153" t="n"/>
      <c r="Z91" s="153" t="n"/>
    </row>
    <row r="92" ht="15.75" customHeight="1" s="154">
      <c r="G92" s="153" t="n"/>
      <c r="H92" s="153" t="n"/>
      <c r="I92" s="153" t="n"/>
      <c r="J92" s="153" t="n"/>
      <c r="K92" s="153" t="n"/>
      <c r="L92" s="153" t="n"/>
      <c r="M92" s="153" t="n"/>
      <c r="N92" s="153" t="n"/>
      <c r="O92" s="153" t="n"/>
      <c r="P92" s="153" t="n"/>
      <c r="Q92" s="153" t="n"/>
      <c r="R92" s="153" t="n"/>
      <c r="S92" s="153" t="n"/>
      <c r="T92" s="153" t="n"/>
      <c r="U92" s="153" t="n"/>
      <c r="V92" s="153" t="n"/>
      <c r="W92" s="153" t="n"/>
      <c r="X92" s="153" t="n"/>
      <c r="Y92" s="153" t="n"/>
      <c r="Z92" s="153" t="n"/>
    </row>
    <row r="93" ht="15.75" customHeight="1" s="154">
      <c r="G93" s="153" t="n"/>
      <c r="H93" s="153" t="n"/>
      <c r="I93" s="153" t="n"/>
      <c r="J93" s="153" t="n"/>
      <c r="K93" s="153" t="n"/>
      <c r="L93" s="153" t="n"/>
      <c r="M93" s="153" t="n"/>
      <c r="N93" s="153" t="n"/>
      <c r="O93" s="153" t="n"/>
      <c r="P93" s="153" t="n"/>
      <c r="Q93" s="153" t="n"/>
      <c r="R93" s="153" t="n"/>
      <c r="S93" s="153" t="n"/>
      <c r="T93" s="153" t="n"/>
      <c r="U93" s="153" t="n"/>
      <c r="V93" s="153" t="n"/>
      <c r="W93" s="153" t="n"/>
      <c r="X93" s="153" t="n"/>
      <c r="Y93" s="153" t="n"/>
      <c r="Z93" s="153" t="n"/>
    </row>
    <row r="94" ht="15.75" customHeight="1" s="154">
      <c r="G94" s="153" t="n"/>
      <c r="H94" s="153" t="n"/>
      <c r="I94" s="153" t="n"/>
      <c r="J94" s="153" t="n"/>
      <c r="K94" s="153" t="n"/>
      <c r="L94" s="153" t="n"/>
      <c r="M94" s="153" t="n"/>
      <c r="N94" s="153" t="n"/>
      <c r="O94" s="153" t="n"/>
      <c r="P94" s="153" t="n"/>
      <c r="Q94" s="153" t="n"/>
      <c r="R94" s="153" t="n"/>
      <c r="S94" s="153" t="n"/>
      <c r="T94" s="153" t="n"/>
      <c r="U94" s="153" t="n"/>
      <c r="V94" s="153" t="n"/>
      <c r="W94" s="153" t="n"/>
      <c r="X94" s="153" t="n"/>
      <c r="Y94" s="153" t="n"/>
      <c r="Z94" s="153" t="n"/>
    </row>
    <row r="95" ht="15.75" customHeight="1" s="154">
      <c r="G95" s="153" t="n"/>
      <c r="H95" s="153" t="n"/>
      <c r="I95" s="153" t="n"/>
      <c r="J95" s="153" t="n"/>
      <c r="K95" s="153" t="n"/>
      <c r="L95" s="153" t="n"/>
      <c r="M95" s="153" t="n"/>
      <c r="N95" s="153" t="n"/>
      <c r="O95" s="153" t="n"/>
      <c r="P95" s="153" t="n"/>
      <c r="Q95" s="153" t="n"/>
      <c r="R95" s="153" t="n"/>
      <c r="S95" s="153" t="n"/>
      <c r="T95" s="153" t="n"/>
      <c r="U95" s="153" t="n"/>
      <c r="V95" s="153" t="n"/>
      <c r="W95" s="153" t="n"/>
      <c r="X95" s="153" t="n"/>
      <c r="Y95" s="153" t="n"/>
      <c r="Z95" s="153" t="n"/>
    </row>
    <row r="96" ht="15.75" customHeight="1" s="154">
      <c r="G96" s="153" t="n"/>
      <c r="H96" s="153" t="n"/>
      <c r="I96" s="153" t="n"/>
      <c r="J96" s="153" t="n"/>
      <c r="K96" s="153" t="n"/>
      <c r="L96" s="153" t="n"/>
      <c r="M96" s="153" t="n"/>
      <c r="N96" s="153" t="n"/>
      <c r="O96" s="153" t="n"/>
      <c r="P96" s="153" t="n"/>
      <c r="Q96" s="153" t="n"/>
      <c r="R96" s="153" t="n"/>
      <c r="S96" s="153" t="n"/>
      <c r="T96" s="153" t="n"/>
      <c r="U96" s="153" t="n"/>
      <c r="V96" s="153" t="n"/>
      <c r="W96" s="153" t="n"/>
      <c r="X96" s="153" t="n"/>
      <c r="Y96" s="153" t="n"/>
      <c r="Z96" s="153" t="n"/>
    </row>
    <row r="97" ht="15.75" customHeight="1" s="154">
      <c r="G97" s="153" t="n"/>
      <c r="H97" s="153" t="n"/>
      <c r="I97" s="153" t="n"/>
      <c r="J97" s="153" t="n"/>
      <c r="K97" s="153" t="n"/>
      <c r="L97" s="153" t="n"/>
      <c r="M97" s="153" t="n"/>
      <c r="N97" s="153" t="n"/>
      <c r="O97" s="153" t="n"/>
      <c r="P97" s="153" t="n"/>
      <c r="Q97" s="153" t="n"/>
      <c r="R97" s="153" t="n"/>
      <c r="S97" s="153" t="n"/>
      <c r="T97" s="153" t="n"/>
      <c r="U97" s="153" t="n"/>
      <c r="V97" s="153" t="n"/>
      <c r="W97" s="153" t="n"/>
      <c r="X97" s="153" t="n"/>
      <c r="Y97" s="153" t="n"/>
      <c r="Z97" s="153" t="n"/>
    </row>
    <row r="98" ht="15.75" customHeight="1" s="154">
      <c r="G98" s="153" t="n"/>
      <c r="H98" s="153" t="n"/>
      <c r="I98" s="153" t="n"/>
      <c r="J98" s="153" t="n"/>
      <c r="K98" s="153" t="n"/>
      <c r="L98" s="153" t="n"/>
      <c r="M98" s="153" t="n"/>
      <c r="N98" s="153" t="n"/>
      <c r="O98" s="153" t="n"/>
      <c r="P98" s="153" t="n"/>
      <c r="Q98" s="153" t="n"/>
      <c r="R98" s="153" t="n"/>
      <c r="S98" s="153" t="n"/>
      <c r="T98" s="153" t="n"/>
      <c r="U98" s="153" t="n"/>
      <c r="V98" s="153" t="n"/>
      <c r="W98" s="153" t="n"/>
      <c r="X98" s="153" t="n"/>
      <c r="Y98" s="153" t="n"/>
      <c r="Z98" s="153" t="n"/>
    </row>
    <row r="99" ht="15.75" customHeight="1" s="154">
      <c r="G99" s="153" t="n"/>
      <c r="H99" s="153" t="n"/>
      <c r="I99" s="153" t="n"/>
      <c r="J99" s="153" t="n"/>
      <c r="K99" s="153" t="n"/>
      <c r="L99" s="153" t="n"/>
      <c r="M99" s="153" t="n"/>
      <c r="N99" s="153" t="n"/>
      <c r="O99" s="153" t="n"/>
      <c r="P99" s="153" t="n"/>
      <c r="Q99" s="153" t="n"/>
      <c r="R99" s="153" t="n"/>
      <c r="S99" s="153" t="n"/>
      <c r="T99" s="153" t="n"/>
      <c r="U99" s="153" t="n"/>
      <c r="V99" s="153" t="n"/>
      <c r="W99" s="153" t="n"/>
      <c r="X99" s="153" t="n"/>
      <c r="Y99" s="153" t="n"/>
      <c r="Z99" s="153" t="n"/>
    </row>
    <row r="100" ht="15.75" customHeight="1" s="154">
      <c r="G100" s="153" t="n"/>
      <c r="H100" s="153" t="n"/>
      <c r="I100" s="153" t="n"/>
      <c r="J100" s="153" t="n"/>
      <c r="K100" s="153" t="n"/>
      <c r="L100" s="153" t="n"/>
      <c r="M100" s="153" t="n"/>
      <c r="N100" s="153" t="n"/>
      <c r="O100" s="153" t="n"/>
      <c r="P100" s="153" t="n"/>
      <c r="Q100" s="153" t="n"/>
      <c r="R100" s="153" t="n"/>
      <c r="S100" s="153" t="n"/>
      <c r="T100" s="153" t="n"/>
      <c r="U100" s="153" t="n"/>
      <c r="V100" s="153" t="n"/>
      <c r="W100" s="153" t="n"/>
      <c r="X100" s="153" t="n"/>
      <c r="Y100" s="153" t="n"/>
      <c r="Z100" s="153" t="n"/>
    </row>
    <row r="101" ht="15.75" customHeight="1" s="154">
      <c r="G101" s="153" t="n"/>
      <c r="H101" s="153" t="n"/>
      <c r="I101" s="153" t="n"/>
      <c r="J101" s="153" t="n"/>
      <c r="K101" s="153" t="n"/>
      <c r="L101" s="153" t="n"/>
      <c r="M101" s="153" t="n"/>
      <c r="N101" s="153" t="n"/>
      <c r="O101" s="153" t="n"/>
      <c r="P101" s="153" t="n"/>
      <c r="Q101" s="153" t="n"/>
      <c r="R101" s="153" t="n"/>
      <c r="S101" s="153" t="n"/>
      <c r="T101" s="153" t="n"/>
      <c r="U101" s="153" t="n"/>
      <c r="V101" s="153" t="n"/>
      <c r="W101" s="153" t="n"/>
      <c r="X101" s="153" t="n"/>
      <c r="Y101" s="153" t="n"/>
      <c r="Z101" s="153" t="n"/>
    </row>
    <row r="102" ht="15.75" customHeight="1" s="154">
      <c r="G102" s="153" t="n"/>
      <c r="H102" s="153" t="n"/>
      <c r="I102" s="153" t="n"/>
      <c r="J102" s="153" t="n"/>
      <c r="K102" s="153" t="n"/>
      <c r="L102" s="153" t="n"/>
      <c r="M102" s="153" t="n"/>
      <c r="N102" s="153" t="n"/>
      <c r="O102" s="153" t="n"/>
      <c r="P102" s="153" t="n"/>
      <c r="Q102" s="153" t="n"/>
      <c r="R102" s="153" t="n"/>
      <c r="S102" s="153" t="n"/>
      <c r="T102" s="153" t="n"/>
      <c r="U102" s="153" t="n"/>
      <c r="V102" s="153" t="n"/>
      <c r="W102" s="153" t="n"/>
      <c r="X102" s="153" t="n"/>
      <c r="Y102" s="153" t="n"/>
      <c r="Z102" s="153" t="n"/>
    </row>
    <row r="103" ht="15.75" customHeight="1" s="154">
      <c r="G103" s="153" t="n"/>
      <c r="H103" s="153" t="n"/>
      <c r="I103" s="153" t="n"/>
      <c r="J103" s="153" t="n"/>
      <c r="K103" s="153" t="n"/>
      <c r="L103" s="153" t="n"/>
      <c r="M103" s="153" t="n"/>
      <c r="N103" s="153" t="n"/>
      <c r="O103" s="153" t="n"/>
      <c r="P103" s="153" t="n"/>
      <c r="Q103" s="153" t="n"/>
      <c r="R103" s="153" t="n"/>
      <c r="S103" s="153" t="n"/>
      <c r="T103" s="153" t="n"/>
      <c r="U103" s="153" t="n"/>
      <c r="V103" s="153" t="n"/>
      <c r="W103" s="153" t="n"/>
      <c r="X103" s="153" t="n"/>
      <c r="Y103" s="153" t="n"/>
      <c r="Z103" s="153" t="n"/>
    </row>
    <row r="104" ht="15.75" customHeight="1" s="154">
      <c r="G104" s="153" t="n"/>
      <c r="H104" s="153" t="n"/>
      <c r="I104" s="153" t="n"/>
      <c r="J104" s="153" t="n"/>
      <c r="K104" s="153" t="n"/>
      <c r="L104" s="153" t="n"/>
      <c r="M104" s="153" t="n"/>
      <c r="N104" s="153" t="n"/>
      <c r="O104" s="153" t="n"/>
      <c r="P104" s="153" t="n"/>
      <c r="Q104" s="153" t="n"/>
      <c r="R104" s="153" t="n"/>
      <c r="S104" s="153" t="n"/>
      <c r="T104" s="153" t="n"/>
      <c r="U104" s="153" t="n"/>
      <c r="V104" s="153" t="n"/>
      <c r="W104" s="153" t="n"/>
      <c r="X104" s="153" t="n"/>
      <c r="Y104" s="153" t="n"/>
      <c r="Z104" s="153" t="n"/>
    </row>
    <row r="105" ht="15.75" customHeight="1" s="154">
      <c r="G105" s="153" t="n"/>
      <c r="H105" s="153" t="n"/>
      <c r="I105" s="153" t="n"/>
      <c r="J105" s="153" t="n"/>
      <c r="K105" s="153" t="n"/>
      <c r="L105" s="153" t="n"/>
      <c r="M105" s="153" t="n"/>
      <c r="N105" s="153" t="n"/>
      <c r="O105" s="153" t="n"/>
      <c r="P105" s="153" t="n"/>
      <c r="Q105" s="153" t="n"/>
      <c r="R105" s="153" t="n"/>
      <c r="S105" s="153" t="n"/>
      <c r="T105" s="153" t="n"/>
      <c r="U105" s="153" t="n"/>
      <c r="V105" s="153" t="n"/>
      <c r="W105" s="153" t="n"/>
      <c r="X105" s="153" t="n"/>
      <c r="Y105" s="153" t="n"/>
      <c r="Z105" s="153" t="n"/>
    </row>
    <row r="106" ht="15.75" customHeight="1" s="154">
      <c r="G106" s="153" t="n"/>
      <c r="H106" s="153" t="n"/>
      <c r="I106" s="153" t="n"/>
      <c r="J106" s="153" t="n"/>
      <c r="K106" s="153" t="n"/>
      <c r="L106" s="153" t="n"/>
      <c r="M106" s="153" t="n"/>
      <c r="N106" s="153" t="n"/>
      <c r="O106" s="153" t="n"/>
      <c r="P106" s="153" t="n"/>
      <c r="Q106" s="153" t="n"/>
      <c r="R106" s="153" t="n"/>
      <c r="S106" s="153" t="n"/>
      <c r="T106" s="153" t="n"/>
      <c r="U106" s="153" t="n"/>
      <c r="V106" s="153" t="n"/>
      <c r="W106" s="153" t="n"/>
      <c r="X106" s="153" t="n"/>
      <c r="Y106" s="153" t="n"/>
      <c r="Z106" s="153" t="n"/>
    </row>
    <row r="107" ht="15.75" customHeight="1" s="154">
      <c r="G107" s="153" t="n"/>
      <c r="H107" s="153" t="n"/>
      <c r="I107" s="153" t="n"/>
      <c r="J107" s="153" t="n"/>
      <c r="K107" s="153" t="n"/>
      <c r="L107" s="153" t="n"/>
      <c r="M107" s="153" t="n"/>
      <c r="N107" s="153" t="n"/>
      <c r="O107" s="153" t="n"/>
      <c r="P107" s="153" t="n"/>
      <c r="Q107" s="153" t="n"/>
      <c r="R107" s="153" t="n"/>
      <c r="S107" s="153" t="n"/>
      <c r="T107" s="153" t="n"/>
      <c r="U107" s="153" t="n"/>
      <c r="V107" s="153" t="n"/>
      <c r="W107" s="153" t="n"/>
      <c r="X107" s="153" t="n"/>
      <c r="Y107" s="153" t="n"/>
      <c r="Z107" s="153" t="n"/>
    </row>
    <row r="108" ht="15.75" customHeight="1" s="154">
      <c r="G108" s="153" t="n"/>
      <c r="H108" s="153" t="n"/>
      <c r="I108" s="153" t="n"/>
      <c r="J108" s="153" t="n"/>
      <c r="K108" s="153" t="n"/>
      <c r="L108" s="153" t="n"/>
      <c r="M108" s="153" t="n"/>
      <c r="N108" s="153" t="n"/>
      <c r="O108" s="153" t="n"/>
      <c r="P108" s="153" t="n"/>
      <c r="Q108" s="153" t="n"/>
      <c r="R108" s="153" t="n"/>
      <c r="S108" s="153" t="n"/>
      <c r="T108" s="153" t="n"/>
      <c r="U108" s="153" t="n"/>
      <c r="V108" s="153" t="n"/>
      <c r="W108" s="153" t="n"/>
      <c r="X108" s="153" t="n"/>
      <c r="Y108" s="153" t="n"/>
      <c r="Z108" s="153" t="n"/>
    </row>
    <row r="109" ht="15.75" customHeight="1" s="154">
      <c r="G109" s="153" t="n"/>
      <c r="H109" s="153" t="n"/>
      <c r="I109" s="153" t="n"/>
      <c r="J109" s="153" t="n"/>
      <c r="K109" s="153" t="n"/>
      <c r="L109" s="153" t="n"/>
      <c r="M109" s="153" t="n"/>
      <c r="N109" s="153" t="n"/>
      <c r="O109" s="153" t="n"/>
      <c r="P109" s="153" t="n"/>
      <c r="Q109" s="153" t="n"/>
      <c r="R109" s="153" t="n"/>
      <c r="S109" s="153" t="n"/>
      <c r="T109" s="153" t="n"/>
      <c r="U109" s="153" t="n"/>
      <c r="V109" s="153" t="n"/>
      <c r="W109" s="153" t="n"/>
      <c r="X109" s="153" t="n"/>
      <c r="Y109" s="153" t="n"/>
      <c r="Z109" s="153" t="n"/>
    </row>
    <row r="110" ht="15.75" customHeight="1" s="154">
      <c r="G110" s="153" t="n"/>
      <c r="H110" s="153" t="n"/>
      <c r="I110" s="153" t="n"/>
      <c r="J110" s="153" t="n"/>
      <c r="K110" s="153" t="n"/>
      <c r="L110" s="153" t="n"/>
      <c r="M110" s="153" t="n"/>
      <c r="N110" s="153" t="n"/>
      <c r="O110" s="153" t="n"/>
      <c r="P110" s="153" t="n"/>
      <c r="Q110" s="153" t="n"/>
      <c r="R110" s="153" t="n"/>
      <c r="S110" s="153" t="n"/>
      <c r="T110" s="153" t="n"/>
      <c r="U110" s="153" t="n"/>
      <c r="V110" s="153" t="n"/>
      <c r="W110" s="153" t="n"/>
      <c r="X110" s="153" t="n"/>
      <c r="Y110" s="153" t="n"/>
      <c r="Z110" s="153" t="n"/>
    </row>
    <row r="111" ht="15.75" customHeight="1" s="154">
      <c r="G111" s="153" t="n"/>
      <c r="H111" s="153" t="n"/>
      <c r="I111" s="153" t="n"/>
      <c r="J111" s="153" t="n"/>
      <c r="K111" s="153" t="n"/>
      <c r="L111" s="153" t="n"/>
      <c r="M111" s="153" t="n"/>
      <c r="N111" s="153" t="n"/>
      <c r="O111" s="153" t="n"/>
      <c r="P111" s="153" t="n"/>
      <c r="Q111" s="153" t="n"/>
      <c r="R111" s="153" t="n"/>
      <c r="S111" s="153" t="n"/>
      <c r="T111" s="153" t="n"/>
      <c r="U111" s="153" t="n"/>
      <c r="V111" s="153" t="n"/>
      <c r="W111" s="153" t="n"/>
      <c r="X111" s="153" t="n"/>
      <c r="Y111" s="153" t="n"/>
      <c r="Z111" s="153" t="n"/>
    </row>
    <row r="112" ht="15.75" customHeight="1" s="154">
      <c r="G112" s="153" t="n"/>
      <c r="H112" s="153" t="n"/>
      <c r="I112" s="153" t="n"/>
      <c r="J112" s="153" t="n"/>
      <c r="K112" s="153" t="n"/>
      <c r="L112" s="153" t="n"/>
      <c r="M112" s="153" t="n"/>
      <c r="N112" s="153" t="n"/>
      <c r="O112" s="153" t="n"/>
      <c r="P112" s="153" t="n"/>
      <c r="Q112" s="153" t="n"/>
      <c r="R112" s="153" t="n"/>
      <c r="S112" s="153" t="n"/>
      <c r="T112" s="153" t="n"/>
      <c r="U112" s="153" t="n"/>
      <c r="V112" s="153" t="n"/>
      <c r="W112" s="153" t="n"/>
      <c r="X112" s="153" t="n"/>
      <c r="Y112" s="153" t="n"/>
      <c r="Z112" s="153" t="n"/>
    </row>
    <row r="113" ht="15.75" customHeight="1" s="154">
      <c r="G113" s="153" t="n"/>
      <c r="H113" s="153" t="n"/>
      <c r="I113" s="153" t="n"/>
      <c r="J113" s="153" t="n"/>
      <c r="K113" s="153" t="n"/>
      <c r="L113" s="153" t="n"/>
      <c r="M113" s="153" t="n"/>
      <c r="N113" s="153" t="n"/>
      <c r="O113" s="153" t="n"/>
      <c r="P113" s="153" t="n"/>
      <c r="Q113" s="153" t="n"/>
      <c r="R113" s="153" t="n"/>
      <c r="S113" s="153" t="n"/>
      <c r="T113" s="153" t="n"/>
      <c r="U113" s="153" t="n"/>
      <c r="V113" s="153" t="n"/>
      <c r="W113" s="153" t="n"/>
      <c r="X113" s="153" t="n"/>
      <c r="Y113" s="153" t="n"/>
      <c r="Z113" s="153" t="n"/>
    </row>
    <row r="114" ht="15.75" customHeight="1" s="154">
      <c r="G114" s="153" t="n"/>
      <c r="H114" s="153" t="n"/>
      <c r="I114" s="153" t="n"/>
      <c r="J114" s="153" t="n"/>
      <c r="K114" s="153" t="n"/>
      <c r="L114" s="153" t="n"/>
      <c r="M114" s="153" t="n"/>
      <c r="N114" s="153" t="n"/>
      <c r="O114" s="153" t="n"/>
      <c r="P114" s="153" t="n"/>
      <c r="Q114" s="153" t="n"/>
      <c r="R114" s="153" t="n"/>
      <c r="S114" s="153" t="n"/>
      <c r="T114" s="153" t="n"/>
      <c r="U114" s="153" t="n"/>
      <c r="V114" s="153" t="n"/>
      <c r="W114" s="153" t="n"/>
      <c r="X114" s="153" t="n"/>
      <c r="Y114" s="153" t="n"/>
      <c r="Z114" s="153" t="n"/>
    </row>
    <row r="115" ht="15.75" customHeight="1" s="154">
      <c r="G115" s="153" t="n"/>
      <c r="H115" s="153" t="n"/>
      <c r="I115" s="153" t="n"/>
      <c r="J115" s="153" t="n"/>
      <c r="K115" s="153" t="n"/>
      <c r="L115" s="153" t="n"/>
      <c r="M115" s="153" t="n"/>
      <c r="N115" s="153" t="n"/>
      <c r="O115" s="153" t="n"/>
      <c r="P115" s="153" t="n"/>
      <c r="Q115" s="153" t="n"/>
      <c r="R115" s="153" t="n"/>
      <c r="S115" s="153" t="n"/>
      <c r="T115" s="153" t="n"/>
      <c r="U115" s="153" t="n"/>
      <c r="V115" s="153" t="n"/>
      <c r="W115" s="153" t="n"/>
      <c r="X115" s="153" t="n"/>
      <c r="Y115" s="153" t="n"/>
      <c r="Z115" s="153" t="n"/>
    </row>
    <row r="116" ht="15.75" customHeight="1" s="154">
      <c r="G116" s="153" t="n"/>
      <c r="H116" s="153" t="n"/>
      <c r="I116" s="153" t="n"/>
      <c r="J116" s="153" t="n"/>
      <c r="K116" s="153" t="n"/>
      <c r="L116" s="153" t="n"/>
      <c r="M116" s="153" t="n"/>
      <c r="N116" s="153" t="n"/>
      <c r="O116" s="153" t="n"/>
      <c r="P116" s="153" t="n"/>
      <c r="Q116" s="153" t="n"/>
      <c r="R116" s="153" t="n"/>
      <c r="S116" s="153" t="n"/>
      <c r="T116" s="153" t="n"/>
      <c r="U116" s="153" t="n"/>
      <c r="V116" s="153" t="n"/>
      <c r="W116" s="153" t="n"/>
      <c r="X116" s="153" t="n"/>
      <c r="Y116" s="153" t="n"/>
      <c r="Z116" s="153" t="n"/>
    </row>
    <row r="117" ht="15.75" customHeight="1" s="154">
      <c r="G117" s="153" t="n"/>
      <c r="H117" s="153" t="n"/>
      <c r="I117" s="153" t="n"/>
      <c r="J117" s="153" t="n"/>
      <c r="K117" s="153" t="n"/>
      <c r="L117" s="153" t="n"/>
      <c r="M117" s="153" t="n"/>
      <c r="N117" s="153" t="n"/>
      <c r="O117" s="153" t="n"/>
      <c r="P117" s="153" t="n"/>
      <c r="Q117" s="153" t="n"/>
      <c r="R117" s="153" t="n"/>
      <c r="S117" s="153" t="n"/>
      <c r="T117" s="153" t="n"/>
      <c r="U117" s="153" t="n"/>
      <c r="V117" s="153" t="n"/>
      <c r="W117" s="153" t="n"/>
      <c r="X117" s="153" t="n"/>
      <c r="Y117" s="153" t="n"/>
      <c r="Z117" s="153" t="n"/>
    </row>
    <row r="118" ht="15.75" customHeight="1" s="154">
      <c r="G118" s="153" t="n"/>
      <c r="H118" s="153" t="n"/>
      <c r="I118" s="153" t="n"/>
      <c r="J118" s="153" t="n"/>
      <c r="K118" s="153" t="n"/>
      <c r="L118" s="153" t="n"/>
      <c r="M118" s="153" t="n"/>
      <c r="N118" s="153" t="n"/>
      <c r="O118" s="153" t="n"/>
      <c r="P118" s="153" t="n"/>
      <c r="Q118" s="153" t="n"/>
      <c r="R118" s="153" t="n"/>
      <c r="S118" s="153" t="n"/>
      <c r="T118" s="153" t="n"/>
      <c r="U118" s="153" t="n"/>
      <c r="V118" s="153" t="n"/>
      <c r="W118" s="153" t="n"/>
      <c r="X118" s="153" t="n"/>
      <c r="Y118" s="153" t="n"/>
      <c r="Z118" s="153" t="n"/>
    </row>
    <row r="119" ht="15.75" customHeight="1" s="154">
      <c r="G119" s="153" t="n"/>
      <c r="H119" s="153" t="n"/>
      <c r="I119" s="153" t="n"/>
      <c r="J119" s="153" t="n"/>
      <c r="K119" s="153" t="n"/>
      <c r="L119" s="153" t="n"/>
      <c r="M119" s="153" t="n"/>
      <c r="N119" s="153" t="n"/>
      <c r="O119" s="153" t="n"/>
      <c r="P119" s="153" t="n"/>
      <c r="Q119" s="153" t="n"/>
      <c r="R119" s="153" t="n"/>
      <c r="S119" s="153" t="n"/>
      <c r="T119" s="153" t="n"/>
      <c r="U119" s="153" t="n"/>
      <c r="V119" s="153" t="n"/>
      <c r="W119" s="153" t="n"/>
      <c r="X119" s="153" t="n"/>
      <c r="Y119" s="153" t="n"/>
      <c r="Z119" s="153" t="n"/>
    </row>
    <row r="120" ht="15.75" customHeight="1" s="154">
      <c r="G120" s="153" t="n"/>
      <c r="H120" s="153" t="n"/>
      <c r="I120" s="153" t="n"/>
      <c r="J120" s="153" t="n"/>
      <c r="K120" s="153" t="n"/>
      <c r="L120" s="153" t="n"/>
      <c r="M120" s="153" t="n"/>
      <c r="N120" s="153" t="n"/>
      <c r="O120" s="153" t="n"/>
      <c r="P120" s="153" t="n"/>
      <c r="Q120" s="153" t="n"/>
      <c r="R120" s="153" t="n"/>
      <c r="S120" s="153" t="n"/>
      <c r="T120" s="153" t="n"/>
      <c r="U120" s="153" t="n"/>
      <c r="V120" s="153" t="n"/>
      <c r="W120" s="153" t="n"/>
      <c r="X120" s="153" t="n"/>
      <c r="Y120" s="153" t="n"/>
      <c r="Z120" s="153" t="n"/>
    </row>
    <row r="121" ht="15.75" customHeight="1" s="154">
      <c r="G121" s="153" t="n"/>
      <c r="H121" s="153" t="n"/>
      <c r="I121" s="153" t="n"/>
      <c r="J121" s="153" t="n"/>
      <c r="K121" s="153" t="n"/>
      <c r="L121" s="153" t="n"/>
      <c r="M121" s="153" t="n"/>
      <c r="N121" s="153" t="n"/>
      <c r="O121" s="153" t="n"/>
      <c r="P121" s="153" t="n"/>
      <c r="Q121" s="153" t="n"/>
      <c r="R121" s="153" t="n"/>
      <c r="S121" s="153" t="n"/>
      <c r="T121" s="153" t="n"/>
      <c r="U121" s="153" t="n"/>
      <c r="V121" s="153" t="n"/>
      <c r="W121" s="153" t="n"/>
      <c r="X121" s="153" t="n"/>
      <c r="Y121" s="153" t="n"/>
      <c r="Z121" s="153" t="n"/>
    </row>
    <row r="122" ht="15.75" customHeight="1" s="154">
      <c r="G122" s="153" t="n"/>
      <c r="H122" s="153" t="n"/>
      <c r="I122" s="153" t="n"/>
      <c r="J122" s="153" t="n"/>
      <c r="K122" s="153" t="n"/>
      <c r="L122" s="153" t="n"/>
      <c r="M122" s="153" t="n"/>
      <c r="N122" s="153" t="n"/>
      <c r="O122" s="153" t="n"/>
      <c r="P122" s="153" t="n"/>
      <c r="Q122" s="153" t="n"/>
      <c r="R122" s="153" t="n"/>
      <c r="S122" s="153" t="n"/>
      <c r="T122" s="153" t="n"/>
      <c r="U122" s="153" t="n"/>
      <c r="V122" s="153" t="n"/>
      <c r="W122" s="153" t="n"/>
      <c r="X122" s="153" t="n"/>
      <c r="Y122" s="153" t="n"/>
      <c r="Z122" s="153" t="n"/>
    </row>
    <row r="123" ht="15.75" customHeight="1" s="154">
      <c r="G123" s="153" t="n"/>
      <c r="H123" s="153" t="n"/>
      <c r="I123" s="153" t="n"/>
      <c r="J123" s="153" t="n"/>
      <c r="K123" s="153" t="n"/>
      <c r="L123" s="153" t="n"/>
      <c r="M123" s="153" t="n"/>
      <c r="N123" s="153" t="n"/>
      <c r="O123" s="153" t="n"/>
      <c r="P123" s="153" t="n"/>
      <c r="Q123" s="153" t="n"/>
      <c r="R123" s="153" t="n"/>
      <c r="S123" s="153" t="n"/>
      <c r="T123" s="153" t="n"/>
      <c r="U123" s="153" t="n"/>
      <c r="V123" s="153" t="n"/>
      <c r="W123" s="153" t="n"/>
      <c r="X123" s="153" t="n"/>
      <c r="Y123" s="153" t="n"/>
      <c r="Z123" s="153" t="n"/>
    </row>
    <row r="124" ht="15.75" customHeight="1" s="154">
      <c r="G124" s="153" t="n"/>
      <c r="H124" s="153" t="n"/>
      <c r="I124" s="153" t="n"/>
      <c r="J124" s="153" t="n"/>
      <c r="K124" s="153" t="n"/>
      <c r="L124" s="153" t="n"/>
      <c r="M124" s="153" t="n"/>
      <c r="N124" s="153" t="n"/>
      <c r="O124" s="153" t="n"/>
      <c r="P124" s="153" t="n"/>
      <c r="Q124" s="153" t="n"/>
      <c r="R124" s="153" t="n"/>
      <c r="S124" s="153" t="n"/>
      <c r="T124" s="153" t="n"/>
      <c r="U124" s="153" t="n"/>
      <c r="V124" s="153" t="n"/>
      <c r="W124" s="153" t="n"/>
      <c r="X124" s="153" t="n"/>
      <c r="Y124" s="153" t="n"/>
      <c r="Z124" s="153" t="n"/>
    </row>
    <row r="125" ht="15.75" customHeight="1" s="154">
      <c r="G125" s="153" t="n"/>
      <c r="H125" s="153" t="n"/>
      <c r="I125" s="153" t="n"/>
      <c r="J125" s="153" t="n"/>
      <c r="K125" s="153" t="n"/>
      <c r="L125" s="153" t="n"/>
      <c r="M125" s="153" t="n"/>
      <c r="N125" s="153" t="n"/>
      <c r="O125" s="153" t="n"/>
      <c r="P125" s="153" t="n"/>
      <c r="Q125" s="153" t="n"/>
      <c r="R125" s="153" t="n"/>
      <c r="S125" s="153" t="n"/>
      <c r="T125" s="153" t="n"/>
      <c r="U125" s="153" t="n"/>
      <c r="V125" s="153" t="n"/>
      <c r="W125" s="153" t="n"/>
      <c r="X125" s="153" t="n"/>
      <c r="Y125" s="153" t="n"/>
      <c r="Z125" s="153" t="n"/>
    </row>
    <row r="126" ht="15.75" customHeight="1" s="154">
      <c r="G126" s="153" t="n"/>
      <c r="H126" s="153" t="n"/>
      <c r="I126" s="153" t="n"/>
      <c r="J126" s="153" t="n"/>
      <c r="K126" s="153" t="n"/>
      <c r="L126" s="153" t="n"/>
      <c r="M126" s="153" t="n"/>
      <c r="N126" s="153" t="n"/>
      <c r="O126" s="153" t="n"/>
      <c r="P126" s="153" t="n"/>
      <c r="Q126" s="153" t="n"/>
      <c r="R126" s="153" t="n"/>
      <c r="S126" s="153" t="n"/>
      <c r="T126" s="153" t="n"/>
      <c r="U126" s="153" t="n"/>
      <c r="V126" s="153" t="n"/>
      <c r="W126" s="153" t="n"/>
      <c r="X126" s="153" t="n"/>
      <c r="Y126" s="153" t="n"/>
      <c r="Z126" s="153" t="n"/>
    </row>
    <row r="127" ht="15.75" customHeight="1" s="154">
      <c r="G127" s="153" t="n"/>
      <c r="H127" s="153" t="n"/>
      <c r="I127" s="153" t="n"/>
      <c r="J127" s="153" t="n"/>
      <c r="K127" s="153" t="n"/>
      <c r="L127" s="153" t="n"/>
      <c r="M127" s="153" t="n"/>
      <c r="N127" s="153" t="n"/>
      <c r="O127" s="153" t="n"/>
      <c r="P127" s="153" t="n"/>
      <c r="Q127" s="153" t="n"/>
      <c r="R127" s="153" t="n"/>
      <c r="S127" s="153" t="n"/>
      <c r="T127" s="153" t="n"/>
      <c r="U127" s="153" t="n"/>
      <c r="V127" s="153" t="n"/>
      <c r="W127" s="153" t="n"/>
      <c r="X127" s="153" t="n"/>
      <c r="Y127" s="153" t="n"/>
      <c r="Z127" s="153" t="n"/>
    </row>
    <row r="128" ht="15.75" customHeight="1" s="154">
      <c r="G128" s="153" t="n"/>
      <c r="H128" s="153" t="n"/>
      <c r="I128" s="153" t="n"/>
      <c r="J128" s="153" t="n"/>
      <c r="K128" s="153" t="n"/>
      <c r="L128" s="153" t="n"/>
      <c r="M128" s="153" t="n"/>
      <c r="N128" s="153" t="n"/>
      <c r="O128" s="153" t="n"/>
      <c r="P128" s="153" t="n"/>
      <c r="Q128" s="153" t="n"/>
      <c r="R128" s="153" t="n"/>
      <c r="S128" s="153" t="n"/>
      <c r="T128" s="153" t="n"/>
      <c r="U128" s="153" t="n"/>
      <c r="V128" s="153" t="n"/>
      <c r="W128" s="153" t="n"/>
      <c r="X128" s="153" t="n"/>
      <c r="Y128" s="153" t="n"/>
      <c r="Z128" s="153" t="n"/>
    </row>
    <row r="129" ht="15.75" customHeight="1" s="154">
      <c r="G129" s="153" t="n"/>
      <c r="H129" s="153" t="n"/>
      <c r="I129" s="153" t="n"/>
      <c r="J129" s="153" t="n"/>
      <c r="K129" s="153" t="n"/>
      <c r="L129" s="153" t="n"/>
      <c r="M129" s="153" t="n"/>
      <c r="N129" s="153" t="n"/>
      <c r="O129" s="153" t="n"/>
      <c r="P129" s="153" t="n"/>
      <c r="Q129" s="153" t="n"/>
      <c r="R129" s="153" t="n"/>
      <c r="S129" s="153" t="n"/>
      <c r="T129" s="153" t="n"/>
      <c r="U129" s="153" t="n"/>
      <c r="V129" s="153" t="n"/>
      <c r="W129" s="153" t="n"/>
      <c r="X129" s="153" t="n"/>
      <c r="Y129" s="153" t="n"/>
      <c r="Z129" s="153" t="n"/>
    </row>
    <row r="130" ht="15.75" customHeight="1" s="154">
      <c r="G130" s="153" t="n"/>
      <c r="H130" s="153" t="n"/>
      <c r="I130" s="153" t="n"/>
      <c r="J130" s="153" t="n"/>
      <c r="K130" s="153" t="n"/>
      <c r="L130" s="153" t="n"/>
      <c r="M130" s="153" t="n"/>
      <c r="N130" s="153" t="n"/>
      <c r="O130" s="153" t="n"/>
      <c r="P130" s="153" t="n"/>
      <c r="Q130" s="153" t="n"/>
      <c r="R130" s="153" t="n"/>
      <c r="S130" s="153" t="n"/>
      <c r="T130" s="153" t="n"/>
      <c r="U130" s="153" t="n"/>
      <c r="V130" s="153" t="n"/>
      <c r="W130" s="153" t="n"/>
      <c r="X130" s="153" t="n"/>
      <c r="Y130" s="153" t="n"/>
      <c r="Z130" s="153" t="n"/>
    </row>
    <row r="131" ht="15.75" customHeight="1" s="154">
      <c r="G131" s="153" t="n"/>
      <c r="H131" s="153" t="n"/>
      <c r="I131" s="153" t="n"/>
      <c r="J131" s="153" t="n"/>
      <c r="K131" s="153" t="n"/>
      <c r="L131" s="153" t="n"/>
      <c r="M131" s="153" t="n"/>
      <c r="N131" s="153" t="n"/>
      <c r="O131" s="153" t="n"/>
      <c r="P131" s="153" t="n"/>
      <c r="Q131" s="153" t="n"/>
      <c r="R131" s="153" t="n"/>
      <c r="S131" s="153" t="n"/>
      <c r="T131" s="153" t="n"/>
      <c r="U131" s="153" t="n"/>
      <c r="V131" s="153" t="n"/>
      <c r="W131" s="153" t="n"/>
      <c r="X131" s="153" t="n"/>
      <c r="Y131" s="153" t="n"/>
      <c r="Z131" s="153" t="n"/>
    </row>
    <row r="132" ht="15.75" customHeight="1" s="154">
      <c r="G132" s="153" t="n"/>
      <c r="H132" s="153" t="n"/>
      <c r="I132" s="153" t="n"/>
      <c r="J132" s="153" t="n"/>
      <c r="K132" s="153" t="n"/>
      <c r="L132" s="153" t="n"/>
      <c r="M132" s="153" t="n"/>
      <c r="N132" s="153" t="n"/>
      <c r="O132" s="153" t="n"/>
      <c r="P132" s="153" t="n"/>
      <c r="Q132" s="153" t="n"/>
      <c r="R132" s="153" t="n"/>
      <c r="S132" s="153" t="n"/>
      <c r="T132" s="153" t="n"/>
      <c r="U132" s="153" t="n"/>
      <c r="V132" s="153" t="n"/>
      <c r="W132" s="153" t="n"/>
      <c r="X132" s="153" t="n"/>
      <c r="Y132" s="153" t="n"/>
      <c r="Z132" s="153" t="n"/>
    </row>
    <row r="133" ht="15.75" customHeight="1" s="154">
      <c r="G133" s="153" t="n"/>
      <c r="H133" s="153" t="n"/>
      <c r="I133" s="153" t="n"/>
      <c r="J133" s="153" t="n"/>
      <c r="K133" s="153" t="n"/>
      <c r="L133" s="153" t="n"/>
      <c r="M133" s="153" t="n"/>
      <c r="N133" s="153" t="n"/>
      <c r="O133" s="153" t="n"/>
      <c r="P133" s="153" t="n"/>
      <c r="Q133" s="153" t="n"/>
      <c r="R133" s="153" t="n"/>
      <c r="S133" s="153" t="n"/>
      <c r="T133" s="153" t="n"/>
      <c r="U133" s="153" t="n"/>
      <c r="V133" s="153" t="n"/>
      <c r="W133" s="153" t="n"/>
      <c r="X133" s="153" t="n"/>
      <c r="Y133" s="153" t="n"/>
      <c r="Z133" s="153" t="n"/>
    </row>
    <row r="134" ht="15.75" customHeight="1" s="154">
      <c r="G134" s="153" t="n"/>
      <c r="H134" s="153" t="n"/>
      <c r="I134" s="153" t="n"/>
      <c r="J134" s="153" t="n"/>
      <c r="K134" s="153" t="n"/>
      <c r="L134" s="153" t="n"/>
      <c r="M134" s="153" t="n"/>
      <c r="N134" s="153" t="n"/>
      <c r="O134" s="153" t="n"/>
      <c r="P134" s="153" t="n"/>
      <c r="Q134" s="153" t="n"/>
      <c r="R134" s="153" t="n"/>
      <c r="S134" s="153" t="n"/>
      <c r="T134" s="153" t="n"/>
      <c r="U134" s="153" t="n"/>
      <c r="V134" s="153" t="n"/>
      <c r="W134" s="153" t="n"/>
      <c r="X134" s="153" t="n"/>
      <c r="Y134" s="153" t="n"/>
      <c r="Z134" s="153" t="n"/>
    </row>
    <row r="135" ht="15.75" customHeight="1" s="154">
      <c r="G135" s="153" t="n"/>
      <c r="H135" s="153" t="n"/>
      <c r="I135" s="153" t="n"/>
      <c r="J135" s="153" t="n"/>
      <c r="K135" s="153" t="n"/>
      <c r="L135" s="153" t="n"/>
      <c r="M135" s="153" t="n"/>
      <c r="N135" s="153" t="n"/>
      <c r="O135" s="153" t="n"/>
      <c r="P135" s="153" t="n"/>
      <c r="Q135" s="153" t="n"/>
      <c r="R135" s="153" t="n"/>
      <c r="S135" s="153" t="n"/>
      <c r="T135" s="153" t="n"/>
      <c r="U135" s="153" t="n"/>
      <c r="V135" s="153" t="n"/>
      <c r="W135" s="153" t="n"/>
      <c r="X135" s="153" t="n"/>
      <c r="Y135" s="153" t="n"/>
      <c r="Z135" s="153" t="n"/>
    </row>
    <row r="136" ht="15.75" customHeight="1" s="154">
      <c r="G136" s="153" t="n"/>
      <c r="H136" s="153" t="n"/>
      <c r="I136" s="153" t="n"/>
      <c r="J136" s="153" t="n"/>
      <c r="K136" s="153" t="n"/>
      <c r="L136" s="153" t="n"/>
      <c r="M136" s="153" t="n"/>
      <c r="N136" s="153" t="n"/>
      <c r="O136" s="153" t="n"/>
      <c r="P136" s="153" t="n"/>
      <c r="Q136" s="153" t="n"/>
      <c r="R136" s="153" t="n"/>
      <c r="S136" s="153" t="n"/>
      <c r="T136" s="153" t="n"/>
      <c r="U136" s="153" t="n"/>
      <c r="V136" s="153" t="n"/>
      <c r="W136" s="153" t="n"/>
      <c r="X136" s="153" t="n"/>
      <c r="Y136" s="153" t="n"/>
      <c r="Z136" s="153" t="n"/>
    </row>
    <row r="137" ht="15.75" customHeight="1" s="154">
      <c r="G137" s="153" t="n"/>
      <c r="H137" s="153" t="n"/>
      <c r="I137" s="153" t="n"/>
      <c r="J137" s="153" t="n"/>
      <c r="K137" s="153" t="n"/>
      <c r="L137" s="153" t="n"/>
      <c r="M137" s="153" t="n"/>
      <c r="N137" s="153" t="n"/>
      <c r="O137" s="153" t="n"/>
      <c r="P137" s="153" t="n"/>
      <c r="Q137" s="153" t="n"/>
      <c r="R137" s="153" t="n"/>
      <c r="S137" s="153" t="n"/>
      <c r="T137" s="153" t="n"/>
      <c r="U137" s="153" t="n"/>
      <c r="V137" s="153" t="n"/>
      <c r="W137" s="153" t="n"/>
      <c r="X137" s="153" t="n"/>
      <c r="Y137" s="153" t="n"/>
      <c r="Z137" s="153" t="n"/>
    </row>
    <row r="138" ht="15.75" customHeight="1" s="154">
      <c r="G138" s="153" t="n"/>
      <c r="H138" s="153" t="n"/>
      <c r="I138" s="153" t="n"/>
      <c r="J138" s="153" t="n"/>
      <c r="K138" s="153" t="n"/>
      <c r="L138" s="153" t="n"/>
      <c r="M138" s="153" t="n"/>
      <c r="N138" s="153" t="n"/>
      <c r="O138" s="153" t="n"/>
      <c r="P138" s="153" t="n"/>
      <c r="Q138" s="153" t="n"/>
      <c r="R138" s="153" t="n"/>
      <c r="S138" s="153" t="n"/>
      <c r="T138" s="153" t="n"/>
      <c r="U138" s="153" t="n"/>
      <c r="V138" s="153" t="n"/>
      <c r="W138" s="153" t="n"/>
      <c r="X138" s="153" t="n"/>
      <c r="Y138" s="153" t="n"/>
      <c r="Z138" s="153" t="n"/>
    </row>
    <row r="139" ht="15.75" customHeight="1" s="154">
      <c r="G139" s="153" t="n"/>
      <c r="H139" s="153" t="n"/>
      <c r="I139" s="153" t="n"/>
      <c r="J139" s="153" t="n"/>
      <c r="K139" s="153" t="n"/>
      <c r="L139" s="153" t="n"/>
      <c r="M139" s="153" t="n"/>
      <c r="N139" s="153" t="n"/>
      <c r="O139" s="153" t="n"/>
      <c r="P139" s="153" t="n"/>
      <c r="Q139" s="153" t="n"/>
      <c r="R139" s="153" t="n"/>
      <c r="S139" s="153" t="n"/>
      <c r="T139" s="153" t="n"/>
      <c r="U139" s="153" t="n"/>
      <c r="V139" s="153" t="n"/>
      <c r="W139" s="153" t="n"/>
      <c r="X139" s="153" t="n"/>
      <c r="Y139" s="153" t="n"/>
      <c r="Z139" s="153" t="n"/>
    </row>
    <row r="140" ht="15.75" customHeight="1" s="154">
      <c r="G140" s="153" t="n"/>
      <c r="H140" s="153" t="n"/>
      <c r="I140" s="153" t="n"/>
      <c r="J140" s="153" t="n"/>
      <c r="K140" s="153" t="n"/>
      <c r="L140" s="153" t="n"/>
      <c r="M140" s="153" t="n"/>
      <c r="N140" s="153" t="n"/>
      <c r="O140" s="153" t="n"/>
      <c r="P140" s="153" t="n"/>
      <c r="Q140" s="153" t="n"/>
      <c r="R140" s="153" t="n"/>
      <c r="S140" s="153" t="n"/>
      <c r="T140" s="153" t="n"/>
      <c r="U140" s="153" t="n"/>
      <c r="V140" s="153" t="n"/>
      <c r="W140" s="153" t="n"/>
      <c r="X140" s="153" t="n"/>
      <c r="Y140" s="153" t="n"/>
      <c r="Z140" s="153" t="n"/>
    </row>
    <row r="141" ht="15.75" customHeight="1" s="154">
      <c r="G141" s="153" t="n"/>
      <c r="H141" s="153" t="n"/>
      <c r="I141" s="153" t="n"/>
      <c r="J141" s="153" t="n"/>
      <c r="K141" s="153" t="n"/>
      <c r="L141" s="153" t="n"/>
      <c r="M141" s="153" t="n"/>
      <c r="N141" s="153" t="n"/>
      <c r="O141" s="153" t="n"/>
      <c r="P141" s="153" t="n"/>
      <c r="Q141" s="153" t="n"/>
      <c r="R141" s="153" t="n"/>
      <c r="S141" s="153" t="n"/>
      <c r="T141" s="153" t="n"/>
      <c r="U141" s="153" t="n"/>
      <c r="V141" s="153" t="n"/>
      <c r="W141" s="153" t="n"/>
      <c r="X141" s="153" t="n"/>
      <c r="Y141" s="153" t="n"/>
      <c r="Z141" s="153" t="n"/>
    </row>
    <row r="142" ht="15.75" customHeight="1" s="154">
      <c r="G142" s="153" t="n"/>
      <c r="H142" s="153" t="n"/>
      <c r="I142" s="153" t="n"/>
      <c r="J142" s="153" t="n"/>
      <c r="K142" s="153" t="n"/>
      <c r="L142" s="153" t="n"/>
      <c r="M142" s="153" t="n"/>
      <c r="N142" s="153" t="n"/>
      <c r="O142" s="153" t="n"/>
      <c r="P142" s="153" t="n"/>
      <c r="Q142" s="153" t="n"/>
      <c r="R142" s="153" t="n"/>
      <c r="S142" s="153" t="n"/>
      <c r="T142" s="153" t="n"/>
      <c r="U142" s="153" t="n"/>
      <c r="V142" s="153" t="n"/>
      <c r="W142" s="153" t="n"/>
      <c r="X142" s="153" t="n"/>
      <c r="Y142" s="153" t="n"/>
      <c r="Z142" s="153" t="n"/>
    </row>
    <row r="143" ht="15.75" customHeight="1" s="154">
      <c r="G143" s="153" t="n"/>
      <c r="H143" s="153" t="n"/>
      <c r="I143" s="153" t="n"/>
      <c r="J143" s="153" t="n"/>
      <c r="K143" s="153" t="n"/>
      <c r="L143" s="153" t="n"/>
      <c r="M143" s="153" t="n"/>
      <c r="N143" s="153" t="n"/>
      <c r="O143" s="153" t="n"/>
      <c r="P143" s="153" t="n"/>
      <c r="Q143" s="153" t="n"/>
      <c r="R143" s="153" t="n"/>
      <c r="S143" s="153" t="n"/>
      <c r="T143" s="153" t="n"/>
      <c r="U143" s="153" t="n"/>
      <c r="V143" s="153" t="n"/>
      <c r="W143" s="153" t="n"/>
      <c r="X143" s="153" t="n"/>
      <c r="Y143" s="153" t="n"/>
      <c r="Z143" s="153" t="n"/>
    </row>
    <row r="144" ht="15.75" customHeight="1" s="154">
      <c r="G144" s="153" t="n"/>
      <c r="H144" s="153" t="n"/>
      <c r="I144" s="153" t="n"/>
      <c r="J144" s="153" t="n"/>
      <c r="K144" s="153" t="n"/>
      <c r="L144" s="153" t="n"/>
      <c r="M144" s="153" t="n"/>
      <c r="N144" s="153" t="n"/>
      <c r="O144" s="153" t="n"/>
      <c r="P144" s="153" t="n"/>
      <c r="Q144" s="153" t="n"/>
      <c r="R144" s="153" t="n"/>
      <c r="S144" s="153" t="n"/>
      <c r="T144" s="153" t="n"/>
      <c r="U144" s="153" t="n"/>
      <c r="V144" s="153" t="n"/>
      <c r="W144" s="153" t="n"/>
      <c r="X144" s="153" t="n"/>
      <c r="Y144" s="153" t="n"/>
      <c r="Z144" s="153" t="n"/>
    </row>
    <row r="145" ht="15.75" customHeight="1" s="154">
      <c r="G145" s="153" t="n"/>
      <c r="H145" s="153" t="n"/>
      <c r="I145" s="153" t="n"/>
      <c r="J145" s="153" t="n"/>
      <c r="K145" s="153" t="n"/>
      <c r="L145" s="153" t="n"/>
      <c r="M145" s="153" t="n"/>
      <c r="N145" s="153" t="n"/>
      <c r="O145" s="153" t="n"/>
      <c r="P145" s="153" t="n"/>
      <c r="Q145" s="153" t="n"/>
      <c r="R145" s="153" t="n"/>
      <c r="S145" s="153" t="n"/>
      <c r="T145" s="153" t="n"/>
      <c r="U145" s="153" t="n"/>
      <c r="V145" s="153" t="n"/>
      <c r="W145" s="153" t="n"/>
      <c r="X145" s="153" t="n"/>
      <c r="Y145" s="153" t="n"/>
      <c r="Z145" s="153" t="n"/>
    </row>
    <row r="146" ht="15.75" customHeight="1" s="154">
      <c r="G146" s="153" t="n"/>
      <c r="H146" s="153" t="n"/>
      <c r="I146" s="153" t="n"/>
      <c r="J146" s="153" t="n"/>
      <c r="K146" s="153" t="n"/>
      <c r="L146" s="153" t="n"/>
      <c r="M146" s="153" t="n"/>
      <c r="N146" s="153" t="n"/>
      <c r="O146" s="153" t="n"/>
      <c r="P146" s="153" t="n"/>
      <c r="Q146" s="153" t="n"/>
      <c r="R146" s="153" t="n"/>
      <c r="S146" s="153" t="n"/>
      <c r="T146" s="153" t="n"/>
      <c r="U146" s="153" t="n"/>
      <c r="V146" s="153" t="n"/>
      <c r="W146" s="153" t="n"/>
      <c r="X146" s="153" t="n"/>
      <c r="Y146" s="153" t="n"/>
      <c r="Z146" s="153" t="n"/>
    </row>
    <row r="147" ht="15.75" customHeight="1" s="154">
      <c r="G147" s="153" t="n"/>
      <c r="H147" s="153" t="n"/>
      <c r="I147" s="153" t="n"/>
      <c r="J147" s="153" t="n"/>
      <c r="K147" s="153" t="n"/>
      <c r="L147" s="153" t="n"/>
      <c r="M147" s="153" t="n"/>
      <c r="N147" s="153" t="n"/>
      <c r="O147" s="153" t="n"/>
      <c r="P147" s="153" t="n"/>
      <c r="Q147" s="153" t="n"/>
      <c r="R147" s="153" t="n"/>
      <c r="S147" s="153" t="n"/>
      <c r="T147" s="153" t="n"/>
      <c r="U147" s="153" t="n"/>
      <c r="V147" s="153" t="n"/>
      <c r="W147" s="153" t="n"/>
      <c r="X147" s="153" t="n"/>
      <c r="Y147" s="153" t="n"/>
      <c r="Z147" s="153" t="n"/>
    </row>
    <row r="148" ht="15.75" customHeight="1" s="154">
      <c r="G148" s="153" t="n"/>
      <c r="H148" s="153" t="n"/>
      <c r="I148" s="153" t="n"/>
      <c r="J148" s="153" t="n"/>
      <c r="K148" s="153" t="n"/>
      <c r="L148" s="153" t="n"/>
      <c r="M148" s="153" t="n"/>
      <c r="N148" s="153" t="n"/>
      <c r="O148" s="153" t="n"/>
      <c r="P148" s="153" t="n"/>
      <c r="Q148" s="153" t="n"/>
      <c r="R148" s="153" t="n"/>
      <c r="S148" s="153" t="n"/>
      <c r="T148" s="153" t="n"/>
      <c r="U148" s="153" t="n"/>
      <c r="V148" s="153" t="n"/>
      <c r="W148" s="153" t="n"/>
      <c r="X148" s="153" t="n"/>
      <c r="Y148" s="153" t="n"/>
      <c r="Z148" s="153" t="n"/>
    </row>
    <row r="149" ht="15.75" customHeight="1" s="154">
      <c r="G149" s="153" t="n"/>
      <c r="H149" s="153" t="n"/>
      <c r="I149" s="153" t="n"/>
      <c r="J149" s="153" t="n"/>
      <c r="K149" s="153" t="n"/>
      <c r="L149" s="153" t="n"/>
      <c r="M149" s="153" t="n"/>
      <c r="N149" s="153" t="n"/>
      <c r="O149" s="153" t="n"/>
      <c r="P149" s="153" t="n"/>
      <c r="Q149" s="153" t="n"/>
      <c r="R149" s="153" t="n"/>
      <c r="S149" s="153" t="n"/>
      <c r="T149" s="153" t="n"/>
      <c r="U149" s="153" t="n"/>
      <c r="V149" s="153" t="n"/>
      <c r="W149" s="153" t="n"/>
      <c r="X149" s="153" t="n"/>
      <c r="Y149" s="153" t="n"/>
      <c r="Z149" s="153" t="n"/>
    </row>
    <row r="150" ht="15.75" customHeight="1" s="154">
      <c r="G150" s="153" t="n"/>
      <c r="H150" s="153" t="n"/>
      <c r="I150" s="153" t="n"/>
      <c r="J150" s="153" t="n"/>
      <c r="K150" s="153" t="n"/>
      <c r="L150" s="153" t="n"/>
      <c r="M150" s="153" t="n"/>
      <c r="N150" s="153" t="n"/>
      <c r="O150" s="153" t="n"/>
      <c r="P150" s="153" t="n"/>
      <c r="Q150" s="153" t="n"/>
      <c r="R150" s="153" t="n"/>
      <c r="S150" s="153" t="n"/>
      <c r="T150" s="153" t="n"/>
      <c r="U150" s="153" t="n"/>
      <c r="V150" s="153" t="n"/>
      <c r="W150" s="153" t="n"/>
      <c r="X150" s="153" t="n"/>
      <c r="Y150" s="153" t="n"/>
      <c r="Z150" s="153" t="n"/>
    </row>
    <row r="151" ht="15.75" customHeight="1" s="154">
      <c r="G151" s="153" t="n"/>
      <c r="H151" s="153" t="n"/>
      <c r="I151" s="153" t="n"/>
      <c r="J151" s="153" t="n"/>
      <c r="K151" s="153" t="n"/>
      <c r="L151" s="153" t="n"/>
      <c r="M151" s="153" t="n"/>
      <c r="N151" s="153" t="n"/>
      <c r="O151" s="153" t="n"/>
      <c r="P151" s="153" t="n"/>
      <c r="Q151" s="153" t="n"/>
      <c r="R151" s="153" t="n"/>
      <c r="S151" s="153" t="n"/>
      <c r="T151" s="153" t="n"/>
      <c r="U151" s="153" t="n"/>
      <c r="V151" s="153" t="n"/>
      <c r="W151" s="153" t="n"/>
      <c r="X151" s="153" t="n"/>
      <c r="Y151" s="153" t="n"/>
      <c r="Z151" s="153" t="n"/>
    </row>
    <row r="152" ht="15.75" customHeight="1" s="154">
      <c r="G152" s="153" t="n"/>
      <c r="H152" s="153" t="n"/>
      <c r="I152" s="153" t="n"/>
      <c r="J152" s="153" t="n"/>
      <c r="K152" s="153" t="n"/>
      <c r="L152" s="153" t="n"/>
      <c r="M152" s="153" t="n"/>
      <c r="N152" s="153" t="n"/>
      <c r="O152" s="153" t="n"/>
      <c r="P152" s="153" t="n"/>
      <c r="Q152" s="153" t="n"/>
      <c r="R152" s="153" t="n"/>
      <c r="S152" s="153" t="n"/>
      <c r="T152" s="153" t="n"/>
      <c r="U152" s="153" t="n"/>
      <c r="V152" s="153" t="n"/>
      <c r="W152" s="153" t="n"/>
      <c r="X152" s="153" t="n"/>
      <c r="Y152" s="153" t="n"/>
      <c r="Z152" s="153" t="n"/>
    </row>
    <row r="153" ht="15.75" customHeight="1" s="154">
      <c r="G153" s="153" t="n"/>
      <c r="H153" s="153" t="n"/>
      <c r="I153" s="153" t="n"/>
      <c r="J153" s="153" t="n"/>
      <c r="K153" s="153" t="n"/>
      <c r="L153" s="153" t="n"/>
      <c r="M153" s="153" t="n"/>
      <c r="N153" s="153" t="n"/>
      <c r="O153" s="153" t="n"/>
      <c r="P153" s="153" t="n"/>
      <c r="Q153" s="153" t="n"/>
      <c r="R153" s="153" t="n"/>
      <c r="S153" s="153" t="n"/>
      <c r="T153" s="153" t="n"/>
      <c r="U153" s="153" t="n"/>
      <c r="V153" s="153" t="n"/>
      <c r="W153" s="153" t="n"/>
      <c r="X153" s="153" t="n"/>
      <c r="Y153" s="153" t="n"/>
      <c r="Z153" s="153" t="n"/>
    </row>
    <row r="154" ht="15.75" customHeight="1" s="154">
      <c r="G154" s="153" t="n"/>
      <c r="H154" s="153" t="n"/>
      <c r="I154" s="153" t="n"/>
      <c r="J154" s="153" t="n"/>
      <c r="K154" s="153" t="n"/>
      <c r="L154" s="153" t="n"/>
      <c r="M154" s="153" t="n"/>
      <c r="N154" s="153" t="n"/>
      <c r="O154" s="153" t="n"/>
      <c r="P154" s="153" t="n"/>
      <c r="Q154" s="153" t="n"/>
      <c r="R154" s="153" t="n"/>
      <c r="S154" s="153" t="n"/>
      <c r="T154" s="153" t="n"/>
      <c r="U154" s="153" t="n"/>
      <c r="V154" s="153" t="n"/>
      <c r="W154" s="153" t="n"/>
      <c r="X154" s="153" t="n"/>
      <c r="Y154" s="153" t="n"/>
      <c r="Z154" s="153" t="n"/>
    </row>
    <row r="155" ht="15.75" customHeight="1" s="154">
      <c r="G155" s="153" t="n"/>
      <c r="H155" s="153" t="n"/>
      <c r="I155" s="153" t="n"/>
      <c r="J155" s="153" t="n"/>
      <c r="K155" s="153" t="n"/>
      <c r="L155" s="153" t="n"/>
      <c r="M155" s="153" t="n"/>
      <c r="N155" s="153" t="n"/>
      <c r="O155" s="153" t="n"/>
      <c r="P155" s="153" t="n"/>
      <c r="Q155" s="153" t="n"/>
      <c r="R155" s="153" t="n"/>
      <c r="S155" s="153" t="n"/>
      <c r="T155" s="153" t="n"/>
      <c r="U155" s="153" t="n"/>
      <c r="V155" s="153" t="n"/>
      <c r="W155" s="153" t="n"/>
      <c r="X155" s="153" t="n"/>
      <c r="Y155" s="153" t="n"/>
      <c r="Z155" s="153" t="n"/>
    </row>
    <row r="156" ht="15.75" customHeight="1" s="154">
      <c r="G156" s="153" t="n"/>
      <c r="H156" s="153" t="n"/>
      <c r="I156" s="153" t="n"/>
      <c r="J156" s="153" t="n"/>
      <c r="K156" s="153" t="n"/>
      <c r="L156" s="153" t="n"/>
      <c r="M156" s="153" t="n"/>
      <c r="N156" s="153" t="n"/>
      <c r="O156" s="153" t="n"/>
      <c r="P156" s="153" t="n"/>
      <c r="Q156" s="153" t="n"/>
      <c r="R156" s="153" t="n"/>
      <c r="S156" s="153" t="n"/>
      <c r="T156" s="153" t="n"/>
      <c r="U156" s="153" t="n"/>
      <c r="V156" s="153" t="n"/>
      <c r="W156" s="153" t="n"/>
      <c r="X156" s="153" t="n"/>
      <c r="Y156" s="153" t="n"/>
      <c r="Z156" s="153" t="n"/>
    </row>
    <row r="157" ht="15.75" customHeight="1" s="154">
      <c r="G157" s="153" t="n"/>
      <c r="H157" s="153" t="n"/>
      <c r="I157" s="153" t="n"/>
      <c r="J157" s="153" t="n"/>
      <c r="K157" s="153" t="n"/>
      <c r="L157" s="153" t="n"/>
      <c r="M157" s="153" t="n"/>
      <c r="N157" s="153" t="n"/>
      <c r="O157" s="153" t="n"/>
      <c r="P157" s="153" t="n"/>
      <c r="Q157" s="153" t="n"/>
      <c r="R157" s="153" t="n"/>
      <c r="S157" s="153" t="n"/>
      <c r="T157" s="153" t="n"/>
      <c r="U157" s="153" t="n"/>
      <c r="V157" s="153" t="n"/>
      <c r="W157" s="153" t="n"/>
      <c r="X157" s="153" t="n"/>
      <c r="Y157" s="153" t="n"/>
      <c r="Z157" s="153" t="n"/>
    </row>
    <row r="158" ht="15.75" customHeight="1" s="154">
      <c r="G158" s="153" t="n"/>
      <c r="H158" s="153" t="n"/>
      <c r="I158" s="153" t="n"/>
      <c r="J158" s="153" t="n"/>
      <c r="K158" s="153" t="n"/>
      <c r="L158" s="153" t="n"/>
      <c r="M158" s="153" t="n"/>
      <c r="N158" s="153" t="n"/>
      <c r="O158" s="153" t="n"/>
      <c r="P158" s="153" t="n"/>
      <c r="Q158" s="153" t="n"/>
      <c r="R158" s="153" t="n"/>
      <c r="S158" s="153" t="n"/>
      <c r="T158" s="153" t="n"/>
      <c r="U158" s="153" t="n"/>
      <c r="V158" s="153" t="n"/>
      <c r="W158" s="153" t="n"/>
      <c r="X158" s="153" t="n"/>
      <c r="Y158" s="153" t="n"/>
      <c r="Z158" s="153" t="n"/>
    </row>
    <row r="159" ht="15.75" customHeight="1" s="154">
      <c r="G159" s="153" t="n"/>
      <c r="H159" s="153" t="n"/>
      <c r="I159" s="153" t="n"/>
      <c r="J159" s="153" t="n"/>
      <c r="K159" s="153" t="n"/>
      <c r="L159" s="153" t="n"/>
      <c r="M159" s="153" t="n"/>
      <c r="N159" s="153" t="n"/>
      <c r="O159" s="153" t="n"/>
      <c r="P159" s="153" t="n"/>
      <c r="Q159" s="153" t="n"/>
      <c r="R159" s="153" t="n"/>
      <c r="S159" s="153" t="n"/>
      <c r="T159" s="153" t="n"/>
      <c r="U159" s="153" t="n"/>
      <c r="V159" s="153" t="n"/>
      <c r="W159" s="153" t="n"/>
      <c r="X159" s="153" t="n"/>
      <c r="Y159" s="153" t="n"/>
      <c r="Z159" s="153" t="n"/>
    </row>
    <row r="160" ht="15.75" customHeight="1" s="154">
      <c r="G160" s="153" t="n"/>
      <c r="H160" s="153" t="n"/>
      <c r="I160" s="153" t="n"/>
      <c r="J160" s="153" t="n"/>
      <c r="K160" s="153" t="n"/>
      <c r="L160" s="153" t="n"/>
      <c r="M160" s="153" t="n"/>
      <c r="N160" s="153" t="n"/>
      <c r="O160" s="153" t="n"/>
      <c r="P160" s="153" t="n"/>
      <c r="Q160" s="153" t="n"/>
      <c r="R160" s="153" t="n"/>
      <c r="S160" s="153" t="n"/>
      <c r="T160" s="153" t="n"/>
      <c r="U160" s="153" t="n"/>
      <c r="V160" s="153" t="n"/>
      <c r="W160" s="153" t="n"/>
      <c r="X160" s="153" t="n"/>
      <c r="Y160" s="153" t="n"/>
      <c r="Z160" s="153" t="n"/>
    </row>
    <row r="161" ht="15.75" customHeight="1" s="154">
      <c r="G161" s="153" t="n"/>
      <c r="H161" s="153" t="n"/>
      <c r="I161" s="153" t="n"/>
      <c r="J161" s="153" t="n"/>
      <c r="K161" s="153" t="n"/>
      <c r="L161" s="153" t="n"/>
      <c r="M161" s="153" t="n"/>
      <c r="N161" s="153" t="n"/>
      <c r="O161" s="153" t="n"/>
      <c r="P161" s="153" t="n"/>
      <c r="Q161" s="153" t="n"/>
      <c r="R161" s="153" t="n"/>
      <c r="S161" s="153" t="n"/>
      <c r="T161" s="153" t="n"/>
      <c r="U161" s="153" t="n"/>
      <c r="V161" s="153" t="n"/>
      <c r="W161" s="153" t="n"/>
      <c r="X161" s="153" t="n"/>
      <c r="Y161" s="153" t="n"/>
      <c r="Z161" s="153" t="n"/>
    </row>
    <row r="162" ht="15.75" customHeight="1" s="154">
      <c r="G162" s="153" t="n"/>
      <c r="H162" s="153" t="n"/>
      <c r="I162" s="153" t="n"/>
      <c r="J162" s="153" t="n"/>
      <c r="K162" s="153" t="n"/>
      <c r="L162" s="153" t="n"/>
      <c r="M162" s="153" t="n"/>
      <c r="N162" s="153" t="n"/>
      <c r="O162" s="153" t="n"/>
      <c r="P162" s="153" t="n"/>
      <c r="Q162" s="153" t="n"/>
      <c r="R162" s="153" t="n"/>
      <c r="S162" s="153" t="n"/>
      <c r="T162" s="153" t="n"/>
      <c r="U162" s="153" t="n"/>
      <c r="V162" s="153" t="n"/>
      <c r="W162" s="153" t="n"/>
      <c r="X162" s="153" t="n"/>
      <c r="Y162" s="153" t="n"/>
      <c r="Z162" s="153" t="n"/>
    </row>
    <row r="163" ht="15.75" customHeight="1" s="154">
      <c r="G163" s="153" t="n"/>
      <c r="H163" s="153" t="n"/>
      <c r="I163" s="153" t="n"/>
      <c r="J163" s="153" t="n"/>
      <c r="K163" s="153" t="n"/>
      <c r="L163" s="153" t="n"/>
      <c r="M163" s="153" t="n"/>
      <c r="N163" s="153" t="n"/>
      <c r="O163" s="153" t="n"/>
      <c r="P163" s="153" t="n"/>
      <c r="Q163" s="153" t="n"/>
      <c r="R163" s="153" t="n"/>
      <c r="S163" s="153" t="n"/>
      <c r="T163" s="153" t="n"/>
      <c r="U163" s="153" t="n"/>
      <c r="V163" s="153" t="n"/>
      <c r="W163" s="153" t="n"/>
      <c r="X163" s="153" t="n"/>
      <c r="Y163" s="153" t="n"/>
      <c r="Z163" s="153" t="n"/>
    </row>
    <row r="164" ht="15.75" customHeight="1" s="154">
      <c r="G164" s="153" t="n"/>
      <c r="H164" s="153" t="n"/>
      <c r="I164" s="153" t="n"/>
      <c r="J164" s="153" t="n"/>
      <c r="K164" s="153" t="n"/>
      <c r="L164" s="153" t="n"/>
      <c r="M164" s="153" t="n"/>
      <c r="N164" s="153" t="n"/>
      <c r="O164" s="153" t="n"/>
      <c r="P164" s="153" t="n"/>
      <c r="Q164" s="153" t="n"/>
      <c r="R164" s="153" t="n"/>
      <c r="S164" s="153" t="n"/>
      <c r="T164" s="153" t="n"/>
      <c r="U164" s="153" t="n"/>
      <c r="V164" s="153" t="n"/>
      <c r="W164" s="153" t="n"/>
      <c r="X164" s="153" t="n"/>
      <c r="Y164" s="153" t="n"/>
      <c r="Z164" s="153" t="n"/>
    </row>
    <row r="165" ht="15.75" customHeight="1" s="154">
      <c r="G165" s="153" t="n"/>
      <c r="H165" s="153" t="n"/>
      <c r="I165" s="153" t="n"/>
      <c r="J165" s="153" t="n"/>
      <c r="K165" s="153" t="n"/>
      <c r="L165" s="153" t="n"/>
      <c r="M165" s="153" t="n"/>
      <c r="N165" s="153" t="n"/>
      <c r="O165" s="153" t="n"/>
      <c r="P165" s="153" t="n"/>
      <c r="Q165" s="153" t="n"/>
      <c r="R165" s="153" t="n"/>
      <c r="S165" s="153" t="n"/>
      <c r="T165" s="153" t="n"/>
      <c r="U165" s="153" t="n"/>
      <c r="V165" s="153" t="n"/>
      <c r="W165" s="153" t="n"/>
      <c r="X165" s="153" t="n"/>
      <c r="Y165" s="153" t="n"/>
      <c r="Z165" s="153" t="n"/>
    </row>
    <row r="166" ht="15.75" customHeight="1" s="154">
      <c r="G166" s="153" t="n"/>
      <c r="H166" s="153" t="n"/>
      <c r="I166" s="153" t="n"/>
      <c r="J166" s="153" t="n"/>
      <c r="K166" s="153" t="n"/>
      <c r="L166" s="153" t="n"/>
      <c r="M166" s="153" t="n"/>
      <c r="N166" s="153" t="n"/>
      <c r="O166" s="153" t="n"/>
      <c r="P166" s="153" t="n"/>
      <c r="Q166" s="153" t="n"/>
      <c r="R166" s="153" t="n"/>
      <c r="S166" s="153" t="n"/>
      <c r="T166" s="153" t="n"/>
      <c r="U166" s="153" t="n"/>
      <c r="V166" s="153" t="n"/>
      <c r="W166" s="153" t="n"/>
      <c r="X166" s="153" t="n"/>
      <c r="Y166" s="153" t="n"/>
      <c r="Z166" s="153" t="n"/>
    </row>
    <row r="167" ht="15.75" customHeight="1" s="154">
      <c r="G167" s="153" t="n"/>
      <c r="H167" s="153" t="n"/>
      <c r="I167" s="153" t="n"/>
      <c r="J167" s="153" t="n"/>
      <c r="K167" s="153" t="n"/>
      <c r="L167" s="153" t="n"/>
      <c r="M167" s="153" t="n"/>
      <c r="N167" s="153" t="n"/>
      <c r="O167" s="153" t="n"/>
      <c r="P167" s="153" t="n"/>
      <c r="Q167" s="153" t="n"/>
      <c r="R167" s="153" t="n"/>
      <c r="S167" s="153" t="n"/>
      <c r="T167" s="153" t="n"/>
      <c r="U167" s="153" t="n"/>
      <c r="V167" s="153" t="n"/>
      <c r="W167" s="153" t="n"/>
      <c r="X167" s="153" t="n"/>
      <c r="Y167" s="153" t="n"/>
      <c r="Z167" s="153" t="n"/>
    </row>
    <row r="168" ht="15.75" customHeight="1" s="154">
      <c r="G168" s="153" t="n"/>
      <c r="H168" s="153" t="n"/>
      <c r="I168" s="153" t="n"/>
      <c r="J168" s="153" t="n"/>
      <c r="K168" s="153" t="n"/>
      <c r="L168" s="153" t="n"/>
      <c r="M168" s="153" t="n"/>
      <c r="N168" s="153" t="n"/>
      <c r="O168" s="153" t="n"/>
      <c r="P168" s="153" t="n"/>
      <c r="Q168" s="153" t="n"/>
      <c r="R168" s="153" t="n"/>
      <c r="S168" s="153" t="n"/>
      <c r="T168" s="153" t="n"/>
      <c r="U168" s="153" t="n"/>
      <c r="V168" s="153" t="n"/>
      <c r="W168" s="153" t="n"/>
      <c r="X168" s="153" t="n"/>
      <c r="Y168" s="153" t="n"/>
      <c r="Z168" s="153" t="n"/>
    </row>
    <row r="169" ht="15.75" customHeight="1" s="154">
      <c r="G169" s="153" t="n"/>
      <c r="H169" s="153" t="n"/>
      <c r="I169" s="153" t="n"/>
      <c r="J169" s="153" t="n"/>
      <c r="K169" s="153" t="n"/>
      <c r="L169" s="153" t="n"/>
      <c r="M169" s="153" t="n"/>
      <c r="N169" s="153" t="n"/>
      <c r="O169" s="153" t="n"/>
      <c r="P169" s="153" t="n"/>
      <c r="Q169" s="153" t="n"/>
      <c r="R169" s="153" t="n"/>
      <c r="S169" s="153" t="n"/>
      <c r="T169" s="153" t="n"/>
      <c r="U169" s="153" t="n"/>
      <c r="V169" s="153" t="n"/>
      <c r="W169" s="153" t="n"/>
      <c r="X169" s="153" t="n"/>
      <c r="Y169" s="153" t="n"/>
      <c r="Z169" s="153" t="n"/>
    </row>
    <row r="170" ht="15.75" customHeight="1" s="154">
      <c r="G170" s="153" t="n"/>
      <c r="H170" s="153" t="n"/>
      <c r="I170" s="153" t="n"/>
      <c r="J170" s="153" t="n"/>
      <c r="K170" s="153" t="n"/>
      <c r="L170" s="153" t="n"/>
      <c r="M170" s="153" t="n"/>
      <c r="N170" s="153" t="n"/>
      <c r="O170" s="153" t="n"/>
      <c r="P170" s="153" t="n"/>
      <c r="Q170" s="153" t="n"/>
      <c r="R170" s="153" t="n"/>
      <c r="S170" s="153" t="n"/>
      <c r="T170" s="153" t="n"/>
      <c r="U170" s="153" t="n"/>
      <c r="V170" s="153" t="n"/>
      <c r="W170" s="153" t="n"/>
      <c r="X170" s="153" t="n"/>
      <c r="Y170" s="153" t="n"/>
      <c r="Z170" s="153" t="n"/>
    </row>
    <row r="171" ht="15.75" customHeight="1" s="154">
      <c r="G171" s="153" t="n"/>
      <c r="H171" s="153" t="n"/>
      <c r="I171" s="153" t="n"/>
      <c r="J171" s="153" t="n"/>
      <c r="K171" s="153" t="n"/>
      <c r="L171" s="153" t="n"/>
      <c r="M171" s="153" t="n"/>
      <c r="N171" s="153" t="n"/>
      <c r="O171" s="153" t="n"/>
      <c r="P171" s="153" t="n"/>
      <c r="Q171" s="153" t="n"/>
      <c r="R171" s="153" t="n"/>
      <c r="S171" s="153" t="n"/>
      <c r="T171" s="153" t="n"/>
      <c r="U171" s="153" t="n"/>
      <c r="V171" s="153" t="n"/>
      <c r="W171" s="153" t="n"/>
      <c r="X171" s="153" t="n"/>
      <c r="Y171" s="153" t="n"/>
      <c r="Z171" s="153" t="n"/>
    </row>
    <row r="172" ht="15.75" customHeight="1" s="154">
      <c r="G172" s="153" t="n"/>
      <c r="H172" s="153" t="n"/>
      <c r="I172" s="153" t="n"/>
      <c r="J172" s="153" t="n"/>
      <c r="K172" s="153" t="n"/>
      <c r="L172" s="153" t="n"/>
      <c r="M172" s="153" t="n"/>
      <c r="N172" s="153" t="n"/>
      <c r="O172" s="153" t="n"/>
      <c r="P172" s="153" t="n"/>
      <c r="Q172" s="153" t="n"/>
      <c r="R172" s="153" t="n"/>
      <c r="S172" s="153" t="n"/>
      <c r="T172" s="153" t="n"/>
      <c r="U172" s="153" t="n"/>
      <c r="V172" s="153" t="n"/>
      <c r="W172" s="153" t="n"/>
      <c r="X172" s="153" t="n"/>
      <c r="Y172" s="153" t="n"/>
      <c r="Z172" s="153" t="n"/>
    </row>
    <row r="173" ht="15.75" customHeight="1" s="154">
      <c r="G173" s="153" t="n"/>
      <c r="H173" s="153" t="n"/>
      <c r="I173" s="153" t="n"/>
      <c r="J173" s="153" t="n"/>
      <c r="K173" s="153" t="n"/>
      <c r="L173" s="153" t="n"/>
      <c r="M173" s="153" t="n"/>
      <c r="N173" s="153" t="n"/>
      <c r="O173" s="153" t="n"/>
      <c r="P173" s="153" t="n"/>
      <c r="Q173" s="153" t="n"/>
      <c r="R173" s="153" t="n"/>
      <c r="S173" s="153" t="n"/>
      <c r="T173" s="153" t="n"/>
      <c r="U173" s="153" t="n"/>
      <c r="V173" s="153" t="n"/>
      <c r="W173" s="153" t="n"/>
      <c r="X173" s="153" t="n"/>
      <c r="Y173" s="153" t="n"/>
      <c r="Z173" s="153" t="n"/>
    </row>
    <row r="174" ht="15.75" customHeight="1" s="154">
      <c r="G174" s="153" t="n"/>
      <c r="H174" s="153" t="n"/>
      <c r="I174" s="153" t="n"/>
      <c r="J174" s="153" t="n"/>
      <c r="K174" s="153" t="n"/>
      <c r="L174" s="153" t="n"/>
      <c r="M174" s="153" t="n"/>
      <c r="N174" s="153" t="n"/>
      <c r="O174" s="153" t="n"/>
      <c r="P174" s="153" t="n"/>
      <c r="Q174" s="153" t="n"/>
      <c r="R174" s="153" t="n"/>
      <c r="S174" s="153" t="n"/>
      <c r="T174" s="153" t="n"/>
      <c r="U174" s="153" t="n"/>
      <c r="V174" s="153" t="n"/>
      <c r="W174" s="153" t="n"/>
      <c r="X174" s="153" t="n"/>
      <c r="Y174" s="153" t="n"/>
      <c r="Z174" s="153" t="n"/>
    </row>
    <row r="175" ht="15.75" customHeight="1" s="154">
      <c r="G175" s="153" t="n"/>
      <c r="H175" s="153" t="n"/>
      <c r="I175" s="153" t="n"/>
      <c r="J175" s="153" t="n"/>
      <c r="K175" s="153" t="n"/>
      <c r="L175" s="153" t="n"/>
      <c r="M175" s="153" t="n"/>
      <c r="N175" s="153" t="n"/>
      <c r="O175" s="153" t="n"/>
      <c r="P175" s="153" t="n"/>
      <c r="Q175" s="153" t="n"/>
      <c r="R175" s="153" t="n"/>
      <c r="S175" s="153" t="n"/>
      <c r="T175" s="153" t="n"/>
      <c r="U175" s="153" t="n"/>
      <c r="V175" s="153" t="n"/>
      <c r="W175" s="153" t="n"/>
      <c r="X175" s="153" t="n"/>
      <c r="Y175" s="153" t="n"/>
      <c r="Z175" s="153" t="n"/>
    </row>
    <row r="176" ht="15.75" customHeight="1" s="154">
      <c r="G176" s="153" t="n"/>
      <c r="H176" s="153" t="n"/>
      <c r="I176" s="153" t="n"/>
      <c r="J176" s="153" t="n"/>
      <c r="K176" s="153" t="n"/>
      <c r="L176" s="153" t="n"/>
      <c r="M176" s="153" t="n"/>
      <c r="N176" s="153" t="n"/>
      <c r="O176" s="153" t="n"/>
      <c r="P176" s="153" t="n"/>
      <c r="Q176" s="153" t="n"/>
      <c r="R176" s="153" t="n"/>
      <c r="S176" s="153" t="n"/>
      <c r="T176" s="153" t="n"/>
      <c r="U176" s="153" t="n"/>
      <c r="V176" s="153" t="n"/>
      <c r="W176" s="153" t="n"/>
      <c r="X176" s="153" t="n"/>
      <c r="Y176" s="153" t="n"/>
      <c r="Z176" s="153" t="n"/>
    </row>
    <row r="177" ht="15.75" customHeight="1" s="154">
      <c r="G177" s="153" t="n"/>
      <c r="H177" s="153" t="n"/>
      <c r="I177" s="153" t="n"/>
      <c r="J177" s="153" t="n"/>
      <c r="K177" s="153" t="n"/>
      <c r="L177" s="153" t="n"/>
      <c r="M177" s="153" t="n"/>
      <c r="N177" s="153" t="n"/>
      <c r="O177" s="153" t="n"/>
      <c r="P177" s="153" t="n"/>
      <c r="Q177" s="153" t="n"/>
      <c r="R177" s="153" t="n"/>
      <c r="S177" s="153" t="n"/>
      <c r="T177" s="153" t="n"/>
      <c r="U177" s="153" t="n"/>
      <c r="V177" s="153" t="n"/>
      <c r="W177" s="153" t="n"/>
      <c r="X177" s="153" t="n"/>
      <c r="Y177" s="153" t="n"/>
      <c r="Z177" s="153" t="n"/>
    </row>
    <row r="178" ht="15.75" customHeight="1" s="154">
      <c r="G178" s="153" t="n"/>
      <c r="H178" s="153" t="n"/>
      <c r="I178" s="153" t="n"/>
      <c r="J178" s="153" t="n"/>
      <c r="K178" s="153" t="n"/>
      <c r="L178" s="153" t="n"/>
      <c r="M178" s="153" t="n"/>
      <c r="N178" s="153" t="n"/>
      <c r="O178" s="153" t="n"/>
      <c r="P178" s="153" t="n"/>
      <c r="Q178" s="153" t="n"/>
      <c r="R178" s="153" t="n"/>
      <c r="S178" s="153" t="n"/>
      <c r="T178" s="153" t="n"/>
      <c r="U178" s="153" t="n"/>
      <c r="V178" s="153" t="n"/>
      <c r="W178" s="153" t="n"/>
      <c r="X178" s="153" t="n"/>
      <c r="Y178" s="153" t="n"/>
      <c r="Z178" s="153" t="n"/>
    </row>
    <row r="179" ht="15.75" customHeight="1" s="154">
      <c r="G179" s="153" t="n"/>
      <c r="H179" s="153" t="n"/>
      <c r="I179" s="153" t="n"/>
      <c r="J179" s="153" t="n"/>
      <c r="K179" s="153" t="n"/>
      <c r="L179" s="153" t="n"/>
      <c r="M179" s="153" t="n"/>
      <c r="N179" s="153" t="n"/>
      <c r="O179" s="153" t="n"/>
      <c r="P179" s="153" t="n"/>
      <c r="Q179" s="153" t="n"/>
      <c r="R179" s="153" t="n"/>
      <c r="S179" s="153" t="n"/>
      <c r="T179" s="153" t="n"/>
      <c r="U179" s="153" t="n"/>
      <c r="V179" s="153" t="n"/>
      <c r="W179" s="153" t="n"/>
      <c r="X179" s="153" t="n"/>
      <c r="Y179" s="153" t="n"/>
      <c r="Z179" s="153" t="n"/>
    </row>
    <row r="180" ht="15.75" customHeight="1" s="154">
      <c r="G180" s="153" t="n"/>
      <c r="H180" s="153" t="n"/>
      <c r="I180" s="153" t="n"/>
      <c r="J180" s="153" t="n"/>
      <c r="K180" s="153" t="n"/>
      <c r="L180" s="153" t="n"/>
      <c r="M180" s="153" t="n"/>
      <c r="N180" s="153" t="n"/>
      <c r="O180" s="153" t="n"/>
      <c r="P180" s="153" t="n"/>
      <c r="Q180" s="153" t="n"/>
      <c r="R180" s="153" t="n"/>
      <c r="S180" s="153" t="n"/>
      <c r="T180" s="153" t="n"/>
      <c r="U180" s="153" t="n"/>
      <c r="V180" s="153" t="n"/>
      <c r="W180" s="153" t="n"/>
      <c r="X180" s="153" t="n"/>
      <c r="Y180" s="153" t="n"/>
      <c r="Z180" s="153" t="n"/>
    </row>
    <row r="181" ht="15.75" customHeight="1" s="154">
      <c r="G181" s="153" t="n"/>
      <c r="H181" s="153" t="n"/>
      <c r="I181" s="153" t="n"/>
      <c r="J181" s="153" t="n"/>
      <c r="K181" s="153" t="n"/>
      <c r="L181" s="153" t="n"/>
      <c r="M181" s="153" t="n"/>
      <c r="N181" s="153" t="n"/>
      <c r="O181" s="153" t="n"/>
      <c r="P181" s="153" t="n"/>
      <c r="Q181" s="153" t="n"/>
      <c r="R181" s="153" t="n"/>
      <c r="S181" s="153" t="n"/>
      <c r="T181" s="153" t="n"/>
      <c r="U181" s="153" t="n"/>
      <c r="V181" s="153" t="n"/>
      <c r="W181" s="153" t="n"/>
      <c r="X181" s="153" t="n"/>
      <c r="Y181" s="153" t="n"/>
      <c r="Z181" s="153" t="n"/>
    </row>
    <row r="182" ht="15.75" customHeight="1" s="154">
      <c r="G182" s="153" t="n"/>
      <c r="H182" s="153" t="n"/>
      <c r="I182" s="153" t="n"/>
      <c r="J182" s="153" t="n"/>
      <c r="K182" s="153" t="n"/>
      <c r="L182" s="153" t="n"/>
      <c r="M182" s="153" t="n"/>
      <c r="N182" s="153" t="n"/>
      <c r="O182" s="153" t="n"/>
      <c r="P182" s="153" t="n"/>
      <c r="Q182" s="153" t="n"/>
      <c r="R182" s="153" t="n"/>
      <c r="S182" s="153" t="n"/>
      <c r="T182" s="153" t="n"/>
      <c r="U182" s="153" t="n"/>
      <c r="V182" s="153" t="n"/>
      <c r="W182" s="153" t="n"/>
      <c r="X182" s="153" t="n"/>
      <c r="Y182" s="153" t="n"/>
      <c r="Z182" s="153" t="n"/>
    </row>
    <row r="183" ht="15.75" customHeight="1" s="154">
      <c r="G183" s="153" t="n"/>
      <c r="H183" s="153" t="n"/>
      <c r="I183" s="153" t="n"/>
      <c r="J183" s="153" t="n"/>
      <c r="K183" s="153" t="n"/>
      <c r="L183" s="153" t="n"/>
      <c r="M183" s="153" t="n"/>
      <c r="N183" s="153" t="n"/>
      <c r="O183" s="153" t="n"/>
      <c r="P183" s="153" t="n"/>
      <c r="Q183" s="153" t="n"/>
      <c r="R183" s="153" t="n"/>
      <c r="S183" s="153" t="n"/>
      <c r="T183" s="153" t="n"/>
      <c r="U183" s="153" t="n"/>
      <c r="V183" s="153" t="n"/>
      <c r="W183" s="153" t="n"/>
      <c r="X183" s="153" t="n"/>
      <c r="Y183" s="153" t="n"/>
      <c r="Z183" s="153" t="n"/>
    </row>
    <row r="184" ht="15.75" customHeight="1" s="154">
      <c r="G184" s="153" t="n"/>
      <c r="H184" s="153" t="n"/>
      <c r="I184" s="153" t="n"/>
      <c r="J184" s="153" t="n"/>
      <c r="K184" s="153" t="n"/>
      <c r="L184" s="153" t="n"/>
      <c r="M184" s="153" t="n"/>
      <c r="N184" s="153" t="n"/>
      <c r="O184" s="153" t="n"/>
      <c r="P184" s="153" t="n"/>
      <c r="Q184" s="153" t="n"/>
      <c r="R184" s="153" t="n"/>
      <c r="S184" s="153" t="n"/>
      <c r="T184" s="153" t="n"/>
      <c r="U184" s="153" t="n"/>
      <c r="V184" s="153" t="n"/>
      <c r="W184" s="153" t="n"/>
      <c r="X184" s="153" t="n"/>
      <c r="Y184" s="153" t="n"/>
      <c r="Z184" s="153" t="n"/>
    </row>
    <row r="185" ht="15.75" customHeight="1" s="154">
      <c r="G185" s="153" t="n"/>
      <c r="H185" s="153" t="n"/>
      <c r="I185" s="153" t="n"/>
      <c r="J185" s="153" t="n"/>
      <c r="K185" s="153" t="n"/>
      <c r="L185" s="153" t="n"/>
      <c r="M185" s="153" t="n"/>
      <c r="N185" s="153" t="n"/>
      <c r="O185" s="153" t="n"/>
      <c r="P185" s="153" t="n"/>
      <c r="Q185" s="153" t="n"/>
      <c r="R185" s="153" t="n"/>
      <c r="S185" s="153" t="n"/>
      <c r="T185" s="153" t="n"/>
      <c r="U185" s="153" t="n"/>
      <c r="V185" s="153" t="n"/>
      <c r="W185" s="153" t="n"/>
      <c r="X185" s="153" t="n"/>
      <c r="Y185" s="153" t="n"/>
      <c r="Z185" s="153" t="n"/>
    </row>
    <row r="186" ht="15.75" customHeight="1" s="154">
      <c r="G186" s="153" t="n"/>
      <c r="H186" s="153" t="n"/>
      <c r="I186" s="153" t="n"/>
      <c r="J186" s="153" t="n"/>
      <c r="K186" s="153" t="n"/>
      <c r="L186" s="153" t="n"/>
      <c r="M186" s="153" t="n"/>
      <c r="N186" s="153" t="n"/>
      <c r="O186" s="153" t="n"/>
      <c r="P186" s="153" t="n"/>
      <c r="Q186" s="153" t="n"/>
      <c r="R186" s="153" t="n"/>
      <c r="S186" s="153" t="n"/>
      <c r="T186" s="153" t="n"/>
      <c r="U186" s="153" t="n"/>
      <c r="V186" s="153" t="n"/>
      <c r="W186" s="153" t="n"/>
      <c r="X186" s="153" t="n"/>
      <c r="Y186" s="153" t="n"/>
      <c r="Z186" s="153" t="n"/>
    </row>
    <row r="187" ht="15.75" customHeight="1" s="154">
      <c r="G187" s="153" t="n"/>
      <c r="H187" s="153" t="n"/>
      <c r="I187" s="153" t="n"/>
      <c r="J187" s="153" t="n"/>
      <c r="K187" s="153" t="n"/>
      <c r="L187" s="153" t="n"/>
      <c r="M187" s="153" t="n"/>
      <c r="N187" s="153" t="n"/>
      <c r="O187" s="153" t="n"/>
      <c r="P187" s="153" t="n"/>
      <c r="Q187" s="153" t="n"/>
      <c r="R187" s="153" t="n"/>
      <c r="S187" s="153" t="n"/>
      <c r="T187" s="153" t="n"/>
      <c r="U187" s="153" t="n"/>
      <c r="V187" s="153" t="n"/>
      <c r="W187" s="153" t="n"/>
      <c r="X187" s="153" t="n"/>
      <c r="Y187" s="153" t="n"/>
      <c r="Z187" s="153" t="n"/>
    </row>
    <row r="188" ht="15.75" customHeight="1" s="154">
      <c r="G188" s="153" t="n"/>
      <c r="H188" s="153" t="n"/>
      <c r="I188" s="153" t="n"/>
      <c r="J188" s="153" t="n"/>
      <c r="K188" s="153" t="n"/>
      <c r="L188" s="153" t="n"/>
      <c r="M188" s="153" t="n"/>
      <c r="N188" s="153" t="n"/>
      <c r="O188" s="153" t="n"/>
      <c r="P188" s="153" t="n"/>
      <c r="Q188" s="153" t="n"/>
      <c r="R188" s="153" t="n"/>
      <c r="S188" s="153" t="n"/>
      <c r="T188" s="153" t="n"/>
      <c r="U188" s="153" t="n"/>
      <c r="V188" s="153" t="n"/>
      <c r="W188" s="153" t="n"/>
      <c r="X188" s="153" t="n"/>
      <c r="Y188" s="153" t="n"/>
      <c r="Z188" s="153" t="n"/>
    </row>
    <row r="189" ht="15.75" customHeight="1" s="154">
      <c r="G189" s="153" t="n"/>
      <c r="H189" s="153" t="n"/>
      <c r="I189" s="153" t="n"/>
      <c r="J189" s="153" t="n"/>
      <c r="K189" s="153" t="n"/>
      <c r="L189" s="153" t="n"/>
      <c r="M189" s="153" t="n"/>
      <c r="N189" s="153" t="n"/>
      <c r="O189" s="153" t="n"/>
      <c r="P189" s="153" t="n"/>
      <c r="Q189" s="153" t="n"/>
      <c r="R189" s="153" t="n"/>
      <c r="S189" s="153" t="n"/>
      <c r="T189" s="153" t="n"/>
      <c r="U189" s="153" t="n"/>
      <c r="V189" s="153" t="n"/>
      <c r="W189" s="153" t="n"/>
      <c r="X189" s="153" t="n"/>
      <c r="Y189" s="153" t="n"/>
      <c r="Z189" s="153" t="n"/>
    </row>
    <row r="190" ht="15.75" customHeight="1" s="154">
      <c r="G190" s="153" t="n"/>
      <c r="H190" s="153" t="n"/>
      <c r="I190" s="153" t="n"/>
      <c r="J190" s="153" t="n"/>
      <c r="K190" s="153" t="n"/>
      <c r="L190" s="153" t="n"/>
      <c r="M190" s="153" t="n"/>
      <c r="N190" s="153" t="n"/>
      <c r="O190" s="153" t="n"/>
      <c r="P190" s="153" t="n"/>
      <c r="Q190" s="153" t="n"/>
      <c r="R190" s="153" t="n"/>
      <c r="S190" s="153" t="n"/>
      <c r="T190" s="153" t="n"/>
      <c r="U190" s="153" t="n"/>
      <c r="V190" s="153" t="n"/>
      <c r="W190" s="153" t="n"/>
      <c r="X190" s="153" t="n"/>
      <c r="Y190" s="153" t="n"/>
      <c r="Z190" s="153" t="n"/>
    </row>
    <row r="191" ht="15.75" customHeight="1" s="154">
      <c r="G191" s="153" t="n"/>
      <c r="H191" s="153" t="n"/>
      <c r="I191" s="153" t="n"/>
      <c r="J191" s="153" t="n"/>
      <c r="K191" s="153" t="n"/>
      <c r="L191" s="153" t="n"/>
      <c r="M191" s="153" t="n"/>
      <c r="N191" s="153" t="n"/>
      <c r="O191" s="153" t="n"/>
      <c r="P191" s="153" t="n"/>
      <c r="Q191" s="153" t="n"/>
      <c r="R191" s="153" t="n"/>
      <c r="S191" s="153" t="n"/>
      <c r="T191" s="153" t="n"/>
      <c r="U191" s="153" t="n"/>
      <c r="V191" s="153" t="n"/>
      <c r="W191" s="153" t="n"/>
      <c r="X191" s="153" t="n"/>
      <c r="Y191" s="153" t="n"/>
      <c r="Z191" s="153" t="n"/>
    </row>
    <row r="192" ht="15.75" customHeight="1" s="154">
      <c r="G192" s="153" t="n"/>
      <c r="H192" s="153" t="n"/>
      <c r="I192" s="153" t="n"/>
      <c r="J192" s="153" t="n"/>
      <c r="K192" s="153" t="n"/>
      <c r="L192" s="153" t="n"/>
      <c r="M192" s="153" t="n"/>
      <c r="N192" s="153" t="n"/>
      <c r="O192" s="153" t="n"/>
      <c r="P192" s="153" t="n"/>
      <c r="Q192" s="153" t="n"/>
      <c r="R192" s="153" t="n"/>
      <c r="S192" s="153" t="n"/>
      <c r="T192" s="153" t="n"/>
      <c r="U192" s="153" t="n"/>
      <c r="V192" s="153" t="n"/>
      <c r="W192" s="153" t="n"/>
      <c r="X192" s="153" t="n"/>
      <c r="Y192" s="153" t="n"/>
      <c r="Z192" s="153" t="n"/>
    </row>
    <row r="193" ht="15.75" customHeight="1" s="154">
      <c r="G193" s="153" t="n"/>
      <c r="H193" s="153" t="n"/>
      <c r="I193" s="153" t="n"/>
      <c r="J193" s="153" t="n"/>
      <c r="K193" s="153" t="n"/>
      <c r="L193" s="153" t="n"/>
      <c r="M193" s="153" t="n"/>
      <c r="N193" s="153" t="n"/>
      <c r="O193" s="153" t="n"/>
      <c r="P193" s="153" t="n"/>
      <c r="Q193" s="153" t="n"/>
      <c r="R193" s="153" t="n"/>
      <c r="S193" s="153" t="n"/>
      <c r="T193" s="153" t="n"/>
      <c r="U193" s="153" t="n"/>
      <c r="V193" s="153" t="n"/>
      <c r="W193" s="153" t="n"/>
      <c r="X193" s="153" t="n"/>
      <c r="Y193" s="153" t="n"/>
      <c r="Z193" s="153" t="n"/>
    </row>
    <row r="194" ht="15.75" customHeight="1" s="154">
      <c r="G194" s="153" t="n"/>
      <c r="H194" s="153" t="n"/>
      <c r="I194" s="153" t="n"/>
      <c r="J194" s="153" t="n"/>
      <c r="K194" s="153" t="n"/>
      <c r="L194" s="153" t="n"/>
      <c r="M194" s="153" t="n"/>
      <c r="N194" s="153" t="n"/>
      <c r="O194" s="153" t="n"/>
      <c r="P194" s="153" t="n"/>
      <c r="Q194" s="153" t="n"/>
      <c r="R194" s="153" t="n"/>
      <c r="S194" s="153" t="n"/>
      <c r="T194" s="153" t="n"/>
      <c r="U194" s="153" t="n"/>
      <c r="V194" s="153" t="n"/>
      <c r="W194" s="153" t="n"/>
      <c r="X194" s="153" t="n"/>
      <c r="Y194" s="153" t="n"/>
      <c r="Z194" s="153" t="n"/>
    </row>
    <row r="195" ht="15.75" customHeight="1" s="154">
      <c r="G195" s="153" t="n"/>
      <c r="H195" s="153" t="n"/>
      <c r="I195" s="153" t="n"/>
      <c r="J195" s="153" t="n"/>
      <c r="K195" s="153" t="n"/>
      <c r="L195" s="153" t="n"/>
      <c r="M195" s="153" t="n"/>
      <c r="N195" s="153" t="n"/>
      <c r="O195" s="153" t="n"/>
      <c r="P195" s="153" t="n"/>
      <c r="Q195" s="153" t="n"/>
      <c r="R195" s="153" t="n"/>
      <c r="S195" s="153" t="n"/>
      <c r="T195" s="153" t="n"/>
      <c r="U195" s="153" t="n"/>
      <c r="V195" s="153" t="n"/>
      <c r="W195" s="153" t="n"/>
      <c r="X195" s="153" t="n"/>
      <c r="Y195" s="153" t="n"/>
      <c r="Z195" s="153" t="n"/>
    </row>
    <row r="196" ht="15.75" customHeight="1" s="154">
      <c r="G196" s="153" t="n"/>
      <c r="H196" s="153" t="n"/>
      <c r="I196" s="153" t="n"/>
      <c r="J196" s="153" t="n"/>
      <c r="K196" s="153" t="n"/>
      <c r="L196" s="153" t="n"/>
      <c r="M196" s="153" t="n"/>
      <c r="N196" s="153" t="n"/>
      <c r="O196" s="153" t="n"/>
      <c r="P196" s="153" t="n"/>
      <c r="Q196" s="153" t="n"/>
      <c r="R196" s="153" t="n"/>
      <c r="S196" s="153" t="n"/>
      <c r="T196" s="153" t="n"/>
      <c r="U196" s="153" t="n"/>
      <c r="V196" s="153" t="n"/>
      <c r="W196" s="153" t="n"/>
      <c r="X196" s="153" t="n"/>
      <c r="Y196" s="153" t="n"/>
      <c r="Z196" s="153" t="n"/>
    </row>
    <row r="197" ht="15.75" customHeight="1" s="154">
      <c r="G197" s="153" t="n"/>
      <c r="H197" s="153" t="n"/>
      <c r="I197" s="153" t="n"/>
      <c r="J197" s="153" t="n"/>
      <c r="K197" s="153" t="n"/>
      <c r="L197" s="153" t="n"/>
      <c r="M197" s="153" t="n"/>
      <c r="N197" s="153" t="n"/>
      <c r="O197" s="153" t="n"/>
      <c r="P197" s="153" t="n"/>
      <c r="Q197" s="153" t="n"/>
      <c r="R197" s="153" t="n"/>
      <c r="S197" s="153" t="n"/>
      <c r="T197" s="153" t="n"/>
      <c r="U197" s="153" t="n"/>
      <c r="V197" s="153" t="n"/>
      <c r="W197" s="153" t="n"/>
      <c r="X197" s="153" t="n"/>
      <c r="Y197" s="153" t="n"/>
      <c r="Z197" s="153" t="n"/>
    </row>
    <row r="198" ht="15.75" customHeight="1" s="154">
      <c r="G198" s="153" t="n"/>
      <c r="H198" s="153" t="n"/>
      <c r="I198" s="153" t="n"/>
      <c r="J198" s="153" t="n"/>
      <c r="K198" s="153" t="n"/>
      <c r="L198" s="153" t="n"/>
      <c r="M198" s="153" t="n"/>
      <c r="N198" s="153" t="n"/>
      <c r="O198" s="153" t="n"/>
      <c r="P198" s="153" t="n"/>
      <c r="Q198" s="153" t="n"/>
      <c r="R198" s="153" t="n"/>
      <c r="S198" s="153" t="n"/>
      <c r="T198" s="153" t="n"/>
      <c r="U198" s="153" t="n"/>
      <c r="V198" s="153" t="n"/>
      <c r="W198" s="153" t="n"/>
      <c r="X198" s="153" t="n"/>
      <c r="Y198" s="153" t="n"/>
      <c r="Z198" s="153" t="n"/>
    </row>
    <row r="199" ht="15.75" customHeight="1" s="154">
      <c r="G199" s="153" t="n"/>
      <c r="H199" s="153" t="n"/>
      <c r="I199" s="153" t="n"/>
      <c r="J199" s="153" t="n"/>
      <c r="K199" s="153" t="n"/>
      <c r="L199" s="153" t="n"/>
      <c r="M199" s="153" t="n"/>
      <c r="N199" s="153" t="n"/>
      <c r="O199" s="153" t="n"/>
      <c r="P199" s="153" t="n"/>
      <c r="Q199" s="153" t="n"/>
      <c r="R199" s="153" t="n"/>
      <c r="S199" s="153" t="n"/>
      <c r="T199" s="153" t="n"/>
      <c r="U199" s="153" t="n"/>
      <c r="V199" s="153" t="n"/>
      <c r="W199" s="153" t="n"/>
      <c r="X199" s="153" t="n"/>
      <c r="Y199" s="153" t="n"/>
      <c r="Z199" s="153" t="n"/>
    </row>
    <row r="200" ht="15.75" customHeight="1" s="154">
      <c r="G200" s="153" t="n"/>
      <c r="H200" s="153" t="n"/>
      <c r="I200" s="153" t="n"/>
      <c r="J200" s="153" t="n"/>
      <c r="K200" s="153" t="n"/>
      <c r="L200" s="153" t="n"/>
      <c r="M200" s="153" t="n"/>
      <c r="N200" s="153" t="n"/>
      <c r="O200" s="153" t="n"/>
      <c r="P200" s="153" t="n"/>
      <c r="Q200" s="153" t="n"/>
      <c r="R200" s="153" t="n"/>
      <c r="S200" s="153" t="n"/>
      <c r="T200" s="153" t="n"/>
      <c r="U200" s="153" t="n"/>
      <c r="V200" s="153" t="n"/>
      <c r="W200" s="153" t="n"/>
      <c r="X200" s="153" t="n"/>
      <c r="Y200" s="153" t="n"/>
      <c r="Z200" s="153" t="n"/>
    </row>
    <row r="201" ht="15.75" customHeight="1" s="154">
      <c r="G201" s="153" t="n"/>
      <c r="H201" s="153" t="n"/>
      <c r="I201" s="153" t="n"/>
      <c r="J201" s="153" t="n"/>
      <c r="K201" s="153" t="n"/>
      <c r="L201" s="153" t="n"/>
      <c r="M201" s="153" t="n"/>
      <c r="N201" s="153" t="n"/>
      <c r="O201" s="153" t="n"/>
      <c r="P201" s="153" t="n"/>
      <c r="Q201" s="153" t="n"/>
      <c r="R201" s="153" t="n"/>
      <c r="S201" s="153" t="n"/>
      <c r="T201" s="153" t="n"/>
      <c r="U201" s="153" t="n"/>
      <c r="V201" s="153" t="n"/>
      <c r="W201" s="153" t="n"/>
      <c r="X201" s="153" t="n"/>
      <c r="Y201" s="153" t="n"/>
      <c r="Z201" s="153" t="n"/>
    </row>
    <row r="202" ht="15.75" customHeight="1" s="154">
      <c r="G202" s="153" t="n"/>
      <c r="H202" s="153" t="n"/>
      <c r="I202" s="153" t="n"/>
      <c r="J202" s="153" t="n"/>
      <c r="K202" s="153" t="n"/>
      <c r="L202" s="153" t="n"/>
      <c r="M202" s="153" t="n"/>
      <c r="N202" s="153" t="n"/>
      <c r="O202" s="153" t="n"/>
      <c r="P202" s="153" t="n"/>
      <c r="Q202" s="153" t="n"/>
      <c r="R202" s="153" t="n"/>
      <c r="S202" s="153" t="n"/>
      <c r="T202" s="153" t="n"/>
      <c r="U202" s="153" t="n"/>
      <c r="V202" s="153" t="n"/>
      <c r="W202" s="153" t="n"/>
      <c r="X202" s="153" t="n"/>
      <c r="Y202" s="153" t="n"/>
      <c r="Z202" s="153" t="n"/>
    </row>
    <row r="203" ht="15.75" customHeight="1" s="154">
      <c r="G203" s="153" t="n"/>
      <c r="H203" s="153" t="n"/>
      <c r="I203" s="153" t="n"/>
      <c r="J203" s="153" t="n"/>
      <c r="K203" s="153" t="n"/>
      <c r="L203" s="153" t="n"/>
      <c r="M203" s="153" t="n"/>
      <c r="N203" s="153" t="n"/>
      <c r="O203" s="153" t="n"/>
      <c r="P203" s="153" t="n"/>
      <c r="Q203" s="153" t="n"/>
      <c r="R203" s="153" t="n"/>
      <c r="S203" s="153" t="n"/>
      <c r="T203" s="153" t="n"/>
      <c r="U203" s="153" t="n"/>
      <c r="V203" s="153" t="n"/>
      <c r="W203" s="153" t="n"/>
      <c r="X203" s="153" t="n"/>
      <c r="Y203" s="153" t="n"/>
      <c r="Z203" s="153" t="n"/>
    </row>
    <row r="204" ht="15.75" customHeight="1" s="154">
      <c r="G204" s="153" t="n"/>
      <c r="H204" s="153" t="n"/>
      <c r="I204" s="153" t="n"/>
      <c r="J204" s="153" t="n"/>
      <c r="K204" s="153" t="n"/>
      <c r="L204" s="153" t="n"/>
      <c r="M204" s="153" t="n"/>
      <c r="N204" s="153" t="n"/>
      <c r="O204" s="153" t="n"/>
      <c r="P204" s="153" t="n"/>
      <c r="Q204" s="153" t="n"/>
      <c r="R204" s="153" t="n"/>
      <c r="S204" s="153" t="n"/>
      <c r="T204" s="153" t="n"/>
      <c r="U204" s="153" t="n"/>
      <c r="V204" s="153" t="n"/>
      <c r="W204" s="153" t="n"/>
      <c r="X204" s="153" t="n"/>
      <c r="Y204" s="153" t="n"/>
      <c r="Z204" s="153" t="n"/>
    </row>
    <row r="205" ht="15.75" customHeight="1" s="154">
      <c r="G205" s="153" t="n"/>
      <c r="H205" s="153" t="n"/>
      <c r="I205" s="153" t="n"/>
      <c r="J205" s="153" t="n"/>
      <c r="K205" s="153" t="n"/>
      <c r="L205" s="153" t="n"/>
      <c r="M205" s="153" t="n"/>
      <c r="N205" s="153" t="n"/>
      <c r="O205" s="153" t="n"/>
      <c r="P205" s="153" t="n"/>
      <c r="Q205" s="153" t="n"/>
      <c r="R205" s="153" t="n"/>
      <c r="S205" s="153" t="n"/>
      <c r="T205" s="153" t="n"/>
      <c r="U205" s="153" t="n"/>
      <c r="V205" s="153" t="n"/>
      <c r="W205" s="153" t="n"/>
      <c r="X205" s="153" t="n"/>
      <c r="Y205" s="153" t="n"/>
      <c r="Z205" s="153" t="n"/>
    </row>
    <row r="206" ht="15.75" customHeight="1" s="154">
      <c r="G206" s="153" t="n"/>
      <c r="H206" s="153" t="n"/>
      <c r="I206" s="153" t="n"/>
      <c r="J206" s="153" t="n"/>
      <c r="K206" s="153" t="n"/>
      <c r="L206" s="153" t="n"/>
      <c r="M206" s="153" t="n"/>
      <c r="N206" s="153" t="n"/>
      <c r="O206" s="153" t="n"/>
      <c r="P206" s="153" t="n"/>
      <c r="Q206" s="153" t="n"/>
      <c r="R206" s="153" t="n"/>
      <c r="S206" s="153" t="n"/>
      <c r="T206" s="153" t="n"/>
      <c r="U206" s="153" t="n"/>
      <c r="V206" s="153" t="n"/>
      <c r="W206" s="153" t="n"/>
      <c r="X206" s="153" t="n"/>
      <c r="Y206" s="153" t="n"/>
      <c r="Z206" s="153" t="n"/>
    </row>
    <row r="207" ht="15.75" customHeight="1" s="154">
      <c r="G207" s="153" t="n"/>
      <c r="H207" s="153" t="n"/>
      <c r="I207" s="153" t="n"/>
      <c r="J207" s="153" t="n"/>
      <c r="K207" s="153" t="n"/>
      <c r="L207" s="153" t="n"/>
      <c r="M207" s="153" t="n"/>
      <c r="N207" s="153" t="n"/>
      <c r="O207" s="153" t="n"/>
      <c r="P207" s="153" t="n"/>
      <c r="Q207" s="153" t="n"/>
      <c r="R207" s="153" t="n"/>
      <c r="S207" s="153" t="n"/>
      <c r="T207" s="153" t="n"/>
      <c r="U207" s="153" t="n"/>
      <c r="V207" s="153" t="n"/>
      <c r="W207" s="153" t="n"/>
      <c r="X207" s="153" t="n"/>
      <c r="Y207" s="153" t="n"/>
      <c r="Z207" s="153" t="n"/>
    </row>
    <row r="208" ht="15.75" customHeight="1" s="154">
      <c r="G208" s="153" t="n"/>
      <c r="H208" s="153" t="n"/>
      <c r="I208" s="153" t="n"/>
      <c r="J208" s="153" t="n"/>
      <c r="K208" s="153" t="n"/>
      <c r="L208" s="153" t="n"/>
      <c r="M208" s="153" t="n"/>
      <c r="N208" s="153" t="n"/>
      <c r="O208" s="153" t="n"/>
      <c r="P208" s="153" t="n"/>
      <c r="Q208" s="153" t="n"/>
      <c r="R208" s="153" t="n"/>
      <c r="S208" s="153" t="n"/>
      <c r="T208" s="153" t="n"/>
      <c r="U208" s="153" t="n"/>
      <c r="V208" s="153" t="n"/>
      <c r="W208" s="153" t="n"/>
      <c r="X208" s="153" t="n"/>
      <c r="Y208" s="153" t="n"/>
      <c r="Z208" s="153" t="n"/>
    </row>
    <row r="209" ht="15.75" customHeight="1" s="154">
      <c r="G209" s="153" t="n"/>
      <c r="H209" s="153" t="n"/>
      <c r="I209" s="153" t="n"/>
      <c r="J209" s="153" t="n"/>
      <c r="K209" s="153" t="n"/>
      <c r="L209" s="153" t="n"/>
      <c r="M209" s="153" t="n"/>
      <c r="N209" s="153" t="n"/>
      <c r="O209" s="153" t="n"/>
      <c r="P209" s="153" t="n"/>
      <c r="Q209" s="153" t="n"/>
      <c r="R209" s="153" t="n"/>
      <c r="S209" s="153" t="n"/>
      <c r="T209" s="153" t="n"/>
      <c r="U209" s="153" t="n"/>
      <c r="V209" s="153" t="n"/>
      <c r="W209" s="153" t="n"/>
      <c r="X209" s="153" t="n"/>
      <c r="Y209" s="153" t="n"/>
      <c r="Z209" s="153" t="n"/>
    </row>
    <row r="210" ht="15.75" customHeight="1" s="154">
      <c r="G210" s="153" t="n"/>
      <c r="H210" s="153" t="n"/>
      <c r="I210" s="153" t="n"/>
      <c r="J210" s="153" t="n"/>
      <c r="K210" s="153" t="n"/>
      <c r="L210" s="153" t="n"/>
      <c r="M210" s="153" t="n"/>
      <c r="N210" s="153" t="n"/>
      <c r="O210" s="153" t="n"/>
      <c r="P210" s="153" t="n"/>
      <c r="Q210" s="153" t="n"/>
      <c r="R210" s="153" t="n"/>
      <c r="S210" s="153" t="n"/>
      <c r="T210" s="153" t="n"/>
      <c r="U210" s="153" t="n"/>
      <c r="V210" s="153" t="n"/>
      <c r="W210" s="153" t="n"/>
      <c r="X210" s="153" t="n"/>
      <c r="Y210" s="153" t="n"/>
      <c r="Z210" s="153" t="n"/>
    </row>
    <row r="211" ht="15.75" customHeight="1" s="154">
      <c r="G211" s="153" t="n"/>
      <c r="H211" s="153" t="n"/>
      <c r="I211" s="153" t="n"/>
      <c r="J211" s="153" t="n"/>
      <c r="K211" s="153" t="n"/>
      <c r="L211" s="153" t="n"/>
      <c r="M211" s="153" t="n"/>
      <c r="N211" s="153" t="n"/>
      <c r="O211" s="153" t="n"/>
      <c r="P211" s="153" t="n"/>
      <c r="Q211" s="153" t="n"/>
      <c r="R211" s="153" t="n"/>
      <c r="S211" s="153" t="n"/>
      <c r="T211" s="153" t="n"/>
      <c r="U211" s="153" t="n"/>
      <c r="V211" s="153" t="n"/>
      <c r="W211" s="153" t="n"/>
      <c r="X211" s="153" t="n"/>
      <c r="Y211" s="153" t="n"/>
      <c r="Z211" s="153" t="n"/>
    </row>
    <row r="212" ht="15.75" customHeight="1" s="154">
      <c r="G212" s="153" t="n"/>
      <c r="H212" s="153" t="n"/>
      <c r="I212" s="153" t="n"/>
      <c r="J212" s="153" t="n"/>
      <c r="K212" s="153" t="n"/>
      <c r="L212" s="153" t="n"/>
      <c r="M212" s="153" t="n"/>
      <c r="N212" s="153" t="n"/>
      <c r="O212" s="153" t="n"/>
      <c r="P212" s="153" t="n"/>
      <c r="Q212" s="153" t="n"/>
      <c r="R212" s="153" t="n"/>
      <c r="S212" s="153" t="n"/>
      <c r="T212" s="153" t="n"/>
      <c r="U212" s="153" t="n"/>
      <c r="V212" s="153" t="n"/>
      <c r="W212" s="153" t="n"/>
      <c r="X212" s="153" t="n"/>
      <c r="Y212" s="153" t="n"/>
      <c r="Z212" s="153" t="n"/>
    </row>
    <row r="213" ht="15.75" customHeight="1" s="154">
      <c r="G213" s="153" t="n"/>
      <c r="H213" s="153" t="n"/>
      <c r="I213" s="153" t="n"/>
      <c r="J213" s="153" t="n"/>
      <c r="K213" s="153" t="n"/>
      <c r="L213" s="153" t="n"/>
      <c r="M213" s="153" t="n"/>
      <c r="N213" s="153" t="n"/>
      <c r="O213" s="153" t="n"/>
      <c r="P213" s="153" t="n"/>
      <c r="Q213" s="153" t="n"/>
      <c r="R213" s="153" t="n"/>
      <c r="S213" s="153" t="n"/>
      <c r="T213" s="153" t="n"/>
      <c r="U213" s="153" t="n"/>
      <c r="V213" s="153" t="n"/>
      <c r="W213" s="153" t="n"/>
      <c r="X213" s="153" t="n"/>
      <c r="Y213" s="153" t="n"/>
      <c r="Z213" s="153" t="n"/>
    </row>
    <row r="214" ht="15.75" customHeight="1" s="154">
      <c r="G214" s="153" t="n"/>
      <c r="H214" s="153" t="n"/>
      <c r="I214" s="153" t="n"/>
      <c r="J214" s="153" t="n"/>
      <c r="K214" s="153" t="n"/>
      <c r="L214" s="153" t="n"/>
      <c r="M214" s="153" t="n"/>
      <c r="N214" s="153" t="n"/>
      <c r="O214" s="153" t="n"/>
      <c r="P214" s="153" t="n"/>
      <c r="Q214" s="153" t="n"/>
      <c r="R214" s="153" t="n"/>
      <c r="S214" s="153" t="n"/>
      <c r="T214" s="153" t="n"/>
      <c r="U214" s="153" t="n"/>
      <c r="V214" s="153" t="n"/>
      <c r="W214" s="153" t="n"/>
      <c r="X214" s="153" t="n"/>
      <c r="Y214" s="153" t="n"/>
      <c r="Z214" s="153" t="n"/>
    </row>
    <row r="215" ht="15.75" customHeight="1" s="154">
      <c r="G215" s="153" t="n"/>
      <c r="H215" s="153" t="n"/>
      <c r="I215" s="153" t="n"/>
      <c r="J215" s="153" t="n"/>
      <c r="K215" s="153" t="n"/>
      <c r="L215" s="153" t="n"/>
      <c r="M215" s="153" t="n"/>
      <c r="N215" s="153" t="n"/>
      <c r="O215" s="153" t="n"/>
      <c r="P215" s="153" t="n"/>
      <c r="Q215" s="153" t="n"/>
      <c r="R215" s="153" t="n"/>
      <c r="S215" s="153" t="n"/>
      <c r="T215" s="153" t="n"/>
      <c r="U215" s="153" t="n"/>
      <c r="V215" s="153" t="n"/>
      <c r="W215" s="153" t="n"/>
      <c r="X215" s="153" t="n"/>
      <c r="Y215" s="153" t="n"/>
      <c r="Z215" s="153" t="n"/>
    </row>
    <row r="216" ht="15.75" customHeight="1" s="154">
      <c r="G216" s="153" t="n"/>
      <c r="H216" s="153" t="n"/>
      <c r="I216" s="153" t="n"/>
      <c r="J216" s="153" t="n"/>
      <c r="K216" s="153" t="n"/>
      <c r="L216" s="153" t="n"/>
      <c r="M216" s="153" t="n"/>
      <c r="N216" s="153" t="n"/>
      <c r="O216" s="153" t="n"/>
      <c r="P216" s="153" t="n"/>
      <c r="Q216" s="153" t="n"/>
      <c r="R216" s="153" t="n"/>
      <c r="S216" s="153" t="n"/>
      <c r="T216" s="153" t="n"/>
      <c r="U216" s="153" t="n"/>
      <c r="V216" s="153" t="n"/>
      <c r="W216" s="153" t="n"/>
      <c r="X216" s="153" t="n"/>
      <c r="Y216" s="153" t="n"/>
      <c r="Z216" s="153" t="n"/>
    </row>
    <row r="217" ht="15.75" customHeight="1" s="154">
      <c r="G217" s="153" t="n"/>
      <c r="H217" s="153" t="n"/>
      <c r="I217" s="153" t="n"/>
      <c r="J217" s="153" t="n"/>
      <c r="K217" s="153" t="n"/>
      <c r="L217" s="153" t="n"/>
      <c r="M217" s="153" t="n"/>
      <c r="N217" s="153" t="n"/>
      <c r="O217" s="153" t="n"/>
      <c r="P217" s="153" t="n"/>
      <c r="Q217" s="153" t="n"/>
      <c r="R217" s="153" t="n"/>
      <c r="S217" s="153" t="n"/>
      <c r="T217" s="153" t="n"/>
      <c r="U217" s="153" t="n"/>
      <c r="V217" s="153" t="n"/>
      <c r="W217" s="153" t="n"/>
      <c r="X217" s="153" t="n"/>
      <c r="Y217" s="153" t="n"/>
      <c r="Z217" s="153" t="n"/>
    </row>
    <row r="218" ht="15.75" customHeight="1" s="154">
      <c r="G218" s="153" t="n"/>
      <c r="H218" s="153" t="n"/>
      <c r="I218" s="153" t="n"/>
      <c r="J218" s="153" t="n"/>
      <c r="K218" s="153" t="n"/>
      <c r="L218" s="153" t="n"/>
      <c r="M218" s="153" t="n"/>
      <c r="N218" s="153" t="n"/>
      <c r="O218" s="153" t="n"/>
      <c r="P218" s="153" t="n"/>
      <c r="Q218" s="153" t="n"/>
      <c r="R218" s="153" t="n"/>
      <c r="S218" s="153" t="n"/>
      <c r="T218" s="153" t="n"/>
      <c r="U218" s="153" t="n"/>
      <c r="V218" s="153" t="n"/>
      <c r="W218" s="153" t="n"/>
      <c r="X218" s="153" t="n"/>
      <c r="Y218" s="153" t="n"/>
      <c r="Z218" s="153" t="n"/>
    </row>
    <row r="219" ht="15.75" customHeight="1" s="154">
      <c r="G219" s="153" t="n"/>
      <c r="H219" s="153" t="n"/>
      <c r="I219" s="153" t="n"/>
      <c r="J219" s="153" t="n"/>
      <c r="K219" s="153" t="n"/>
      <c r="L219" s="153" t="n"/>
      <c r="M219" s="153" t="n"/>
      <c r="N219" s="153" t="n"/>
      <c r="O219" s="153" t="n"/>
      <c r="P219" s="153" t="n"/>
      <c r="Q219" s="153" t="n"/>
      <c r="R219" s="153" t="n"/>
      <c r="S219" s="153" t="n"/>
      <c r="T219" s="153" t="n"/>
      <c r="U219" s="153" t="n"/>
      <c r="V219" s="153" t="n"/>
      <c r="W219" s="153" t="n"/>
      <c r="X219" s="153" t="n"/>
      <c r="Y219" s="153" t="n"/>
      <c r="Z219" s="153" t="n"/>
    </row>
    <row r="220" ht="15.75" customHeight="1" s="154">
      <c r="G220" s="153" t="n"/>
      <c r="H220" s="153" t="n"/>
      <c r="I220" s="153" t="n"/>
      <c r="J220" s="153" t="n"/>
      <c r="K220" s="153" t="n"/>
      <c r="L220" s="153" t="n"/>
      <c r="M220" s="153" t="n"/>
      <c r="N220" s="153" t="n"/>
      <c r="O220" s="153" t="n"/>
      <c r="P220" s="153" t="n"/>
      <c r="Q220" s="153" t="n"/>
      <c r="R220" s="153" t="n"/>
      <c r="S220" s="153" t="n"/>
      <c r="T220" s="153" t="n"/>
      <c r="U220" s="153" t="n"/>
      <c r="V220" s="153" t="n"/>
      <c r="W220" s="153" t="n"/>
      <c r="X220" s="153" t="n"/>
      <c r="Y220" s="153" t="n"/>
      <c r="Z220" s="153" t="n"/>
    </row>
    <row r="221" ht="15.75" customHeight="1" s="154">
      <c r="G221" s="153" t="n"/>
      <c r="H221" s="153" t="n"/>
      <c r="I221" s="153" t="n"/>
      <c r="J221" s="153" t="n"/>
      <c r="K221" s="153" t="n"/>
      <c r="L221" s="153" t="n"/>
      <c r="M221" s="153" t="n"/>
      <c r="N221" s="153" t="n"/>
      <c r="O221" s="153" t="n"/>
      <c r="P221" s="153" t="n"/>
      <c r="Q221" s="153" t="n"/>
      <c r="R221" s="153" t="n"/>
      <c r="S221" s="153" t="n"/>
      <c r="T221" s="153" t="n"/>
      <c r="U221" s="153" t="n"/>
      <c r="V221" s="153" t="n"/>
      <c r="W221" s="153" t="n"/>
      <c r="X221" s="153" t="n"/>
      <c r="Y221" s="153" t="n"/>
      <c r="Z221" s="153" t="n"/>
    </row>
    <row r="222" ht="15.75" customHeight="1" s="154">
      <c r="G222" s="153" t="n"/>
      <c r="H222" s="153" t="n"/>
      <c r="I222" s="153" t="n"/>
      <c r="J222" s="153" t="n"/>
      <c r="K222" s="153" t="n"/>
      <c r="L222" s="153" t="n"/>
      <c r="M222" s="153" t="n"/>
      <c r="N222" s="153" t="n"/>
      <c r="O222" s="153" t="n"/>
      <c r="P222" s="153" t="n"/>
      <c r="Q222" s="153" t="n"/>
      <c r="R222" s="153" t="n"/>
      <c r="S222" s="153" t="n"/>
      <c r="T222" s="153" t="n"/>
      <c r="U222" s="153" t="n"/>
      <c r="V222" s="153" t="n"/>
      <c r="W222" s="153" t="n"/>
      <c r="X222" s="153" t="n"/>
      <c r="Y222" s="153" t="n"/>
      <c r="Z222" s="153" t="n"/>
    </row>
    <row r="223" ht="15.75" customHeight="1" s="154">
      <c r="G223" s="153" t="n"/>
      <c r="H223" s="153" t="n"/>
      <c r="I223" s="153" t="n"/>
      <c r="J223" s="153" t="n"/>
      <c r="K223" s="153" t="n"/>
      <c r="L223" s="153" t="n"/>
      <c r="M223" s="153" t="n"/>
      <c r="N223" s="153" t="n"/>
      <c r="O223" s="153" t="n"/>
      <c r="P223" s="153" t="n"/>
      <c r="Q223" s="153" t="n"/>
      <c r="R223" s="153" t="n"/>
      <c r="S223" s="153" t="n"/>
      <c r="T223" s="153" t="n"/>
      <c r="U223" s="153" t="n"/>
      <c r="V223" s="153" t="n"/>
      <c r="W223" s="153" t="n"/>
      <c r="X223" s="153" t="n"/>
      <c r="Y223" s="153" t="n"/>
      <c r="Z223" s="153" t="n"/>
    </row>
    <row r="224" ht="15.75" customHeight="1" s="154">
      <c r="G224" s="153" t="n"/>
      <c r="H224" s="153" t="n"/>
      <c r="I224" s="153" t="n"/>
      <c r="J224" s="153" t="n"/>
      <c r="K224" s="153" t="n"/>
      <c r="L224" s="153" t="n"/>
      <c r="M224" s="153" t="n"/>
      <c r="N224" s="153" t="n"/>
      <c r="O224" s="153" t="n"/>
      <c r="P224" s="153" t="n"/>
      <c r="Q224" s="153" t="n"/>
      <c r="R224" s="153" t="n"/>
      <c r="S224" s="153" t="n"/>
      <c r="T224" s="153" t="n"/>
      <c r="U224" s="153" t="n"/>
      <c r="V224" s="153" t="n"/>
      <c r="W224" s="153" t="n"/>
      <c r="X224" s="153" t="n"/>
      <c r="Y224" s="153" t="n"/>
      <c r="Z224" s="153" t="n"/>
    </row>
    <row r="225" ht="15.75" customHeight="1" s="154">
      <c r="G225" s="153" t="n"/>
      <c r="H225" s="153" t="n"/>
      <c r="I225" s="153" t="n"/>
      <c r="J225" s="153" t="n"/>
      <c r="K225" s="153" t="n"/>
      <c r="L225" s="153" t="n"/>
      <c r="M225" s="153" t="n"/>
      <c r="N225" s="153" t="n"/>
      <c r="O225" s="153" t="n"/>
      <c r="P225" s="153" t="n"/>
      <c r="Q225" s="153" t="n"/>
      <c r="R225" s="153" t="n"/>
      <c r="S225" s="153" t="n"/>
      <c r="T225" s="153" t="n"/>
      <c r="U225" s="153" t="n"/>
      <c r="V225" s="153" t="n"/>
      <c r="W225" s="153" t="n"/>
      <c r="X225" s="153" t="n"/>
      <c r="Y225" s="153" t="n"/>
      <c r="Z225" s="153" t="n"/>
    </row>
    <row r="226" ht="15.75" customHeight="1" s="154">
      <c r="G226" s="153" t="n"/>
      <c r="H226" s="153" t="n"/>
      <c r="I226" s="153" t="n"/>
      <c r="J226" s="153" t="n"/>
      <c r="K226" s="153" t="n"/>
      <c r="L226" s="153" t="n"/>
      <c r="M226" s="153" t="n"/>
      <c r="N226" s="153" t="n"/>
      <c r="O226" s="153" t="n"/>
      <c r="P226" s="153" t="n"/>
      <c r="Q226" s="153" t="n"/>
      <c r="R226" s="153" t="n"/>
      <c r="S226" s="153" t="n"/>
      <c r="T226" s="153" t="n"/>
      <c r="U226" s="153" t="n"/>
      <c r="V226" s="153" t="n"/>
      <c r="W226" s="153" t="n"/>
      <c r="X226" s="153" t="n"/>
      <c r="Y226" s="153" t="n"/>
      <c r="Z226" s="153" t="n"/>
    </row>
    <row r="227" ht="15.75" customHeight="1" s="154">
      <c r="G227" s="153" t="n"/>
      <c r="H227" s="153" t="n"/>
      <c r="I227" s="153" t="n"/>
      <c r="J227" s="153" t="n"/>
      <c r="K227" s="153" t="n"/>
      <c r="L227" s="153" t="n"/>
      <c r="M227" s="153" t="n"/>
      <c r="N227" s="153" t="n"/>
      <c r="O227" s="153" t="n"/>
      <c r="P227" s="153" t="n"/>
      <c r="Q227" s="153" t="n"/>
      <c r="R227" s="153" t="n"/>
      <c r="S227" s="153" t="n"/>
      <c r="T227" s="153" t="n"/>
      <c r="U227" s="153" t="n"/>
      <c r="V227" s="153" t="n"/>
      <c r="W227" s="153" t="n"/>
      <c r="X227" s="153" t="n"/>
      <c r="Y227" s="153" t="n"/>
      <c r="Z227" s="153" t="n"/>
    </row>
    <row r="228" ht="15.75" customHeight="1" s="154">
      <c r="G228" s="153" t="n"/>
      <c r="H228" s="153" t="n"/>
      <c r="I228" s="153" t="n"/>
      <c r="J228" s="153" t="n"/>
      <c r="K228" s="153" t="n"/>
      <c r="L228" s="153" t="n"/>
      <c r="M228" s="153" t="n"/>
      <c r="N228" s="153" t="n"/>
      <c r="O228" s="153" t="n"/>
      <c r="P228" s="153" t="n"/>
      <c r="Q228" s="153" t="n"/>
      <c r="R228" s="153" t="n"/>
      <c r="S228" s="153" t="n"/>
      <c r="T228" s="153" t="n"/>
      <c r="U228" s="153" t="n"/>
      <c r="V228" s="153" t="n"/>
      <c r="W228" s="153" t="n"/>
      <c r="X228" s="153" t="n"/>
      <c r="Y228" s="153" t="n"/>
      <c r="Z228" s="153" t="n"/>
    </row>
    <row r="229" ht="15.75" customHeight="1" s="154">
      <c r="G229" s="153" t="n"/>
      <c r="H229" s="153" t="n"/>
      <c r="I229" s="153" t="n"/>
      <c r="J229" s="153" t="n"/>
      <c r="K229" s="153" t="n"/>
      <c r="L229" s="153" t="n"/>
      <c r="M229" s="153" t="n"/>
      <c r="N229" s="153" t="n"/>
      <c r="O229" s="153" t="n"/>
      <c r="P229" s="153" t="n"/>
      <c r="Q229" s="153" t="n"/>
      <c r="R229" s="153" t="n"/>
      <c r="S229" s="153" t="n"/>
      <c r="T229" s="153" t="n"/>
      <c r="U229" s="153" t="n"/>
      <c r="V229" s="153" t="n"/>
      <c r="W229" s="153" t="n"/>
      <c r="X229" s="153" t="n"/>
      <c r="Y229" s="153" t="n"/>
      <c r="Z229" s="153" t="n"/>
    </row>
    <row r="230" ht="15.75" customHeight="1" s="154">
      <c r="G230" s="153" t="n"/>
      <c r="H230" s="153" t="n"/>
      <c r="I230" s="153" t="n"/>
      <c r="J230" s="153" t="n"/>
      <c r="K230" s="153" t="n"/>
      <c r="L230" s="153" t="n"/>
      <c r="M230" s="153" t="n"/>
      <c r="N230" s="153" t="n"/>
      <c r="O230" s="153" t="n"/>
      <c r="P230" s="153" t="n"/>
      <c r="Q230" s="153" t="n"/>
      <c r="R230" s="153" t="n"/>
      <c r="S230" s="153" t="n"/>
      <c r="T230" s="153" t="n"/>
      <c r="U230" s="153" t="n"/>
      <c r="V230" s="153" t="n"/>
      <c r="W230" s="153" t="n"/>
      <c r="X230" s="153" t="n"/>
      <c r="Y230" s="153" t="n"/>
      <c r="Z230" s="153" t="n"/>
    </row>
    <row r="231" ht="15.75" customHeight="1" s="154">
      <c r="G231" s="153" t="n"/>
      <c r="H231" s="153" t="n"/>
      <c r="I231" s="153" t="n"/>
      <c r="J231" s="153" t="n"/>
      <c r="K231" s="153" t="n"/>
      <c r="L231" s="153" t="n"/>
      <c r="M231" s="153" t="n"/>
      <c r="N231" s="153" t="n"/>
      <c r="O231" s="153" t="n"/>
      <c r="P231" s="153" t="n"/>
      <c r="Q231" s="153" t="n"/>
      <c r="R231" s="153" t="n"/>
      <c r="S231" s="153" t="n"/>
      <c r="T231" s="153" t="n"/>
      <c r="U231" s="153" t="n"/>
      <c r="V231" s="153" t="n"/>
      <c r="W231" s="153" t="n"/>
      <c r="X231" s="153" t="n"/>
      <c r="Y231" s="153" t="n"/>
      <c r="Z231" s="153" t="n"/>
    </row>
    <row r="232" ht="15.75" customHeight="1" s="154">
      <c r="G232" s="153" t="n"/>
      <c r="H232" s="153" t="n"/>
      <c r="I232" s="153" t="n"/>
      <c r="J232" s="153" t="n"/>
      <c r="K232" s="153" t="n"/>
      <c r="L232" s="153" t="n"/>
      <c r="M232" s="153" t="n"/>
      <c r="N232" s="153" t="n"/>
      <c r="O232" s="153" t="n"/>
      <c r="P232" s="153" t="n"/>
      <c r="Q232" s="153" t="n"/>
      <c r="R232" s="153" t="n"/>
      <c r="S232" s="153" t="n"/>
      <c r="T232" s="153" t="n"/>
      <c r="U232" s="153" t="n"/>
      <c r="V232" s="153" t="n"/>
      <c r="W232" s="153" t="n"/>
      <c r="X232" s="153" t="n"/>
      <c r="Y232" s="153" t="n"/>
      <c r="Z232" s="153" t="n"/>
    </row>
    <row r="233" ht="15.75" customHeight="1" s="154">
      <c r="G233" s="153" t="n"/>
      <c r="H233" s="153" t="n"/>
      <c r="I233" s="153" t="n"/>
      <c r="J233" s="153" t="n"/>
      <c r="K233" s="153" t="n"/>
      <c r="L233" s="153" t="n"/>
      <c r="M233" s="153" t="n"/>
      <c r="N233" s="153" t="n"/>
      <c r="O233" s="153" t="n"/>
      <c r="P233" s="153" t="n"/>
      <c r="Q233" s="153" t="n"/>
      <c r="R233" s="153" t="n"/>
      <c r="S233" s="153" t="n"/>
      <c r="T233" s="153" t="n"/>
      <c r="U233" s="153" t="n"/>
      <c r="V233" s="153" t="n"/>
      <c r="W233" s="153" t="n"/>
      <c r="X233" s="153" t="n"/>
      <c r="Y233" s="153" t="n"/>
      <c r="Z233" s="153" t="n"/>
    </row>
    <row r="234" ht="15.75" customHeight="1" s="154">
      <c r="G234" s="153" t="n"/>
      <c r="H234" s="153" t="n"/>
      <c r="I234" s="153" t="n"/>
      <c r="J234" s="153" t="n"/>
      <c r="K234" s="153" t="n"/>
      <c r="L234" s="153" t="n"/>
      <c r="M234" s="153" t="n"/>
      <c r="N234" s="153" t="n"/>
      <c r="O234" s="153" t="n"/>
      <c r="P234" s="153" t="n"/>
      <c r="Q234" s="153" t="n"/>
      <c r="R234" s="153" t="n"/>
      <c r="S234" s="153" t="n"/>
      <c r="T234" s="153" t="n"/>
      <c r="U234" s="153" t="n"/>
      <c r="V234" s="153" t="n"/>
      <c r="W234" s="153" t="n"/>
      <c r="X234" s="153" t="n"/>
      <c r="Y234" s="153" t="n"/>
      <c r="Z234" s="153" t="n"/>
    </row>
    <row r="235" ht="15.75" customHeight="1" s="154">
      <c r="G235" s="153" t="n"/>
      <c r="H235" s="153" t="n"/>
      <c r="I235" s="153" t="n"/>
      <c r="J235" s="153" t="n"/>
      <c r="K235" s="153" t="n"/>
      <c r="L235" s="153" t="n"/>
      <c r="M235" s="153" t="n"/>
      <c r="N235" s="153" t="n"/>
      <c r="O235" s="153" t="n"/>
      <c r="P235" s="153" t="n"/>
      <c r="Q235" s="153" t="n"/>
      <c r="R235" s="153" t="n"/>
      <c r="S235" s="153" t="n"/>
      <c r="T235" s="153" t="n"/>
      <c r="U235" s="153" t="n"/>
      <c r="V235" s="153" t="n"/>
      <c r="W235" s="153" t="n"/>
      <c r="X235" s="153" t="n"/>
      <c r="Y235" s="153" t="n"/>
      <c r="Z235" s="153" t="n"/>
    </row>
    <row r="236" ht="15.75" customHeight="1" s="154">
      <c r="G236" s="153" t="n"/>
      <c r="H236" s="153" t="n"/>
      <c r="I236" s="153" t="n"/>
      <c r="J236" s="153" t="n"/>
      <c r="K236" s="153" t="n"/>
      <c r="L236" s="153" t="n"/>
      <c r="M236" s="153" t="n"/>
      <c r="N236" s="153" t="n"/>
      <c r="O236" s="153" t="n"/>
      <c r="P236" s="153" t="n"/>
      <c r="Q236" s="153" t="n"/>
      <c r="R236" s="153" t="n"/>
      <c r="S236" s="153" t="n"/>
      <c r="T236" s="153" t="n"/>
      <c r="U236" s="153" t="n"/>
      <c r="V236" s="153" t="n"/>
      <c r="W236" s="153" t="n"/>
      <c r="X236" s="153" t="n"/>
      <c r="Y236" s="153" t="n"/>
      <c r="Z236" s="153" t="n"/>
    </row>
    <row r="237" ht="15.75" customHeight="1" s="154">
      <c r="G237" s="153" t="n"/>
      <c r="H237" s="153" t="n"/>
      <c r="I237" s="153" t="n"/>
      <c r="J237" s="153" t="n"/>
      <c r="K237" s="153" t="n"/>
      <c r="L237" s="153" t="n"/>
      <c r="M237" s="153" t="n"/>
      <c r="N237" s="153" t="n"/>
      <c r="O237" s="153" t="n"/>
      <c r="P237" s="153" t="n"/>
      <c r="Q237" s="153" t="n"/>
      <c r="R237" s="153" t="n"/>
      <c r="S237" s="153" t="n"/>
      <c r="T237" s="153" t="n"/>
      <c r="U237" s="153" t="n"/>
      <c r="V237" s="153" t="n"/>
      <c r="W237" s="153" t="n"/>
      <c r="X237" s="153" t="n"/>
      <c r="Y237" s="153" t="n"/>
      <c r="Z237" s="153" t="n"/>
    </row>
    <row r="238" ht="15.75" customHeight="1" s="154">
      <c r="G238" s="153" t="n"/>
      <c r="H238" s="153" t="n"/>
      <c r="I238" s="153" t="n"/>
      <c r="J238" s="153" t="n"/>
      <c r="K238" s="153" t="n"/>
      <c r="L238" s="153" t="n"/>
      <c r="M238" s="153" t="n"/>
      <c r="N238" s="153" t="n"/>
      <c r="O238" s="153" t="n"/>
      <c r="P238" s="153" t="n"/>
      <c r="Q238" s="153" t="n"/>
      <c r="R238" s="153" t="n"/>
      <c r="S238" s="153" t="n"/>
      <c r="T238" s="153" t="n"/>
      <c r="U238" s="153" t="n"/>
      <c r="V238" s="153" t="n"/>
      <c r="W238" s="153" t="n"/>
      <c r="X238" s="153" t="n"/>
      <c r="Y238" s="153" t="n"/>
      <c r="Z238" s="153" t="n"/>
    </row>
    <row r="239" ht="15.75" customHeight="1" s="154">
      <c r="G239" s="153" t="n"/>
      <c r="H239" s="153" t="n"/>
      <c r="I239" s="153" t="n"/>
      <c r="J239" s="153" t="n"/>
      <c r="K239" s="153" t="n"/>
      <c r="L239" s="153" t="n"/>
      <c r="M239" s="153" t="n"/>
      <c r="N239" s="153" t="n"/>
      <c r="O239" s="153" t="n"/>
      <c r="P239" s="153" t="n"/>
      <c r="Q239" s="153" t="n"/>
      <c r="R239" s="153" t="n"/>
      <c r="S239" s="153" t="n"/>
      <c r="T239" s="153" t="n"/>
      <c r="U239" s="153" t="n"/>
      <c r="V239" s="153" t="n"/>
      <c r="W239" s="153" t="n"/>
      <c r="X239" s="153" t="n"/>
      <c r="Y239" s="153" t="n"/>
      <c r="Z239" s="153" t="n"/>
    </row>
    <row r="240" ht="15.75" customHeight="1" s="154">
      <c r="G240" s="153" t="n"/>
      <c r="H240" s="153" t="n"/>
      <c r="I240" s="153" t="n"/>
      <c r="J240" s="153" t="n"/>
      <c r="K240" s="153" t="n"/>
      <c r="L240" s="153" t="n"/>
      <c r="M240" s="153" t="n"/>
      <c r="N240" s="153" t="n"/>
      <c r="O240" s="153" t="n"/>
      <c r="P240" s="153" t="n"/>
      <c r="Q240" s="153" t="n"/>
      <c r="R240" s="153" t="n"/>
      <c r="S240" s="153" t="n"/>
      <c r="T240" s="153" t="n"/>
      <c r="U240" s="153" t="n"/>
      <c r="V240" s="153" t="n"/>
      <c r="W240" s="153" t="n"/>
      <c r="X240" s="153" t="n"/>
      <c r="Y240" s="153" t="n"/>
      <c r="Z240" s="153" t="n"/>
    </row>
    <row r="241" ht="15.75" customHeight="1" s="154">
      <c r="G241" s="153" t="n"/>
      <c r="H241" s="153" t="n"/>
      <c r="I241" s="153" t="n"/>
      <c r="J241" s="153" t="n"/>
      <c r="K241" s="153" t="n"/>
      <c r="L241" s="153" t="n"/>
      <c r="M241" s="153" t="n"/>
      <c r="N241" s="153" t="n"/>
      <c r="O241" s="153" t="n"/>
      <c r="P241" s="153" t="n"/>
      <c r="Q241" s="153" t="n"/>
      <c r="R241" s="153" t="n"/>
      <c r="S241" s="153" t="n"/>
      <c r="T241" s="153" t="n"/>
      <c r="U241" s="153" t="n"/>
      <c r="V241" s="153" t="n"/>
      <c r="W241" s="153" t="n"/>
      <c r="X241" s="153" t="n"/>
      <c r="Y241" s="153" t="n"/>
      <c r="Z241" s="153" t="n"/>
    </row>
    <row r="242" ht="15.75" customHeight="1" s="154">
      <c r="G242" s="153" t="n"/>
      <c r="H242" s="153" t="n"/>
      <c r="I242" s="153" t="n"/>
      <c r="J242" s="153" t="n"/>
      <c r="K242" s="153" t="n"/>
      <c r="L242" s="153" t="n"/>
      <c r="M242" s="153" t="n"/>
      <c r="N242" s="153" t="n"/>
      <c r="O242" s="153" t="n"/>
      <c r="P242" s="153" t="n"/>
      <c r="Q242" s="153" t="n"/>
      <c r="R242" s="153" t="n"/>
      <c r="S242" s="153" t="n"/>
      <c r="T242" s="153" t="n"/>
      <c r="U242" s="153" t="n"/>
      <c r="V242" s="153" t="n"/>
      <c r="W242" s="153" t="n"/>
      <c r="X242" s="153" t="n"/>
      <c r="Y242" s="153" t="n"/>
      <c r="Z242" s="153" t="n"/>
    </row>
    <row r="243" ht="15.75" customHeight="1" s="154">
      <c r="G243" s="153" t="n"/>
      <c r="H243" s="153" t="n"/>
      <c r="I243" s="153" t="n"/>
      <c r="J243" s="153" t="n"/>
      <c r="K243" s="153" t="n"/>
      <c r="L243" s="153" t="n"/>
      <c r="M243" s="153" t="n"/>
      <c r="N243" s="153" t="n"/>
      <c r="O243" s="153" t="n"/>
      <c r="P243" s="153" t="n"/>
      <c r="Q243" s="153" t="n"/>
      <c r="R243" s="153" t="n"/>
      <c r="S243" s="153" t="n"/>
      <c r="T243" s="153" t="n"/>
      <c r="U243" s="153" t="n"/>
      <c r="V243" s="153" t="n"/>
      <c r="W243" s="153" t="n"/>
      <c r="X243" s="153" t="n"/>
      <c r="Y243" s="153" t="n"/>
      <c r="Z243" s="153" t="n"/>
    </row>
    <row r="244" ht="15.75" customHeight="1" s="154">
      <c r="G244" s="153" t="n"/>
      <c r="H244" s="153" t="n"/>
      <c r="I244" s="153" t="n"/>
      <c r="J244" s="153" t="n"/>
      <c r="K244" s="153" t="n"/>
      <c r="L244" s="153" t="n"/>
      <c r="M244" s="153" t="n"/>
      <c r="N244" s="153" t="n"/>
      <c r="O244" s="153" t="n"/>
      <c r="P244" s="153" t="n"/>
      <c r="Q244" s="153" t="n"/>
      <c r="R244" s="153" t="n"/>
      <c r="S244" s="153" t="n"/>
      <c r="T244" s="153" t="n"/>
      <c r="U244" s="153" t="n"/>
      <c r="V244" s="153" t="n"/>
      <c r="W244" s="153" t="n"/>
      <c r="X244" s="153" t="n"/>
      <c r="Y244" s="153" t="n"/>
      <c r="Z244" s="153" t="n"/>
    </row>
    <row r="245" ht="15.75" customHeight="1" s="154">
      <c r="G245" s="153" t="n"/>
      <c r="H245" s="153" t="n"/>
      <c r="I245" s="153" t="n"/>
      <c r="J245" s="153" t="n"/>
      <c r="K245" s="153" t="n"/>
      <c r="L245" s="153" t="n"/>
      <c r="M245" s="153" t="n"/>
      <c r="N245" s="153" t="n"/>
      <c r="O245" s="153" t="n"/>
      <c r="P245" s="153" t="n"/>
      <c r="Q245" s="153" t="n"/>
      <c r="R245" s="153" t="n"/>
      <c r="S245" s="153" t="n"/>
      <c r="T245" s="153" t="n"/>
      <c r="U245" s="153" t="n"/>
      <c r="V245" s="153" t="n"/>
      <c r="W245" s="153" t="n"/>
      <c r="X245" s="153" t="n"/>
      <c r="Y245" s="153" t="n"/>
      <c r="Z245" s="153" t="n"/>
    </row>
    <row r="246" ht="15.75" customHeight="1" s="154">
      <c r="G246" s="153" t="n"/>
      <c r="H246" s="153" t="n"/>
      <c r="I246" s="153" t="n"/>
      <c r="J246" s="153" t="n"/>
      <c r="K246" s="153" t="n"/>
      <c r="L246" s="153" t="n"/>
      <c r="M246" s="153" t="n"/>
      <c r="N246" s="153" t="n"/>
      <c r="O246" s="153" t="n"/>
      <c r="P246" s="153" t="n"/>
      <c r="Q246" s="153" t="n"/>
      <c r="R246" s="153" t="n"/>
      <c r="S246" s="153" t="n"/>
      <c r="T246" s="153" t="n"/>
      <c r="U246" s="153" t="n"/>
      <c r="V246" s="153" t="n"/>
      <c r="W246" s="153" t="n"/>
      <c r="X246" s="153" t="n"/>
      <c r="Y246" s="153" t="n"/>
      <c r="Z246" s="153" t="n"/>
    </row>
    <row r="247" ht="15.75" customHeight="1" s="154">
      <c r="G247" s="153" t="n"/>
      <c r="H247" s="153" t="n"/>
      <c r="I247" s="153" t="n"/>
      <c r="J247" s="153" t="n"/>
      <c r="K247" s="153" t="n"/>
      <c r="L247" s="153" t="n"/>
      <c r="M247" s="153" t="n"/>
      <c r="N247" s="153" t="n"/>
      <c r="O247" s="153" t="n"/>
      <c r="P247" s="153" t="n"/>
      <c r="Q247" s="153" t="n"/>
      <c r="R247" s="153" t="n"/>
      <c r="S247" s="153" t="n"/>
      <c r="T247" s="153" t="n"/>
      <c r="U247" s="153" t="n"/>
      <c r="V247" s="153" t="n"/>
      <c r="W247" s="153" t="n"/>
      <c r="X247" s="153" t="n"/>
      <c r="Y247" s="153" t="n"/>
      <c r="Z247" s="153" t="n"/>
    </row>
    <row r="248" ht="15.75" customHeight="1" s="154">
      <c r="G248" s="153" t="n"/>
      <c r="H248" s="153" t="n"/>
      <c r="I248" s="153" t="n"/>
      <c r="J248" s="153" t="n"/>
      <c r="K248" s="153" t="n"/>
      <c r="L248" s="153" t="n"/>
      <c r="M248" s="153" t="n"/>
      <c r="N248" s="153" t="n"/>
      <c r="O248" s="153" t="n"/>
      <c r="P248" s="153" t="n"/>
      <c r="Q248" s="153" t="n"/>
      <c r="R248" s="153" t="n"/>
      <c r="S248" s="153" t="n"/>
      <c r="T248" s="153" t="n"/>
      <c r="U248" s="153" t="n"/>
      <c r="V248" s="153" t="n"/>
      <c r="W248" s="153" t="n"/>
      <c r="X248" s="153" t="n"/>
      <c r="Y248" s="153" t="n"/>
      <c r="Z248" s="153" t="n"/>
    </row>
    <row r="249" ht="15.75" customHeight="1" s="154">
      <c r="G249" s="153" t="n"/>
      <c r="H249" s="153" t="n"/>
      <c r="I249" s="153" t="n"/>
      <c r="J249" s="153" t="n"/>
      <c r="K249" s="153" t="n"/>
      <c r="L249" s="153" t="n"/>
      <c r="M249" s="153" t="n"/>
      <c r="N249" s="153" t="n"/>
      <c r="O249" s="153" t="n"/>
      <c r="P249" s="153" t="n"/>
      <c r="Q249" s="153" t="n"/>
      <c r="R249" s="153" t="n"/>
      <c r="S249" s="153" t="n"/>
      <c r="T249" s="153" t="n"/>
      <c r="U249" s="153" t="n"/>
      <c r="V249" s="153" t="n"/>
      <c r="W249" s="153" t="n"/>
      <c r="X249" s="153" t="n"/>
      <c r="Y249" s="153" t="n"/>
      <c r="Z249" s="153" t="n"/>
    </row>
    <row r="250" ht="15.75" customHeight="1" s="154">
      <c r="G250" s="153" t="n"/>
      <c r="H250" s="153" t="n"/>
      <c r="I250" s="153" t="n"/>
      <c r="J250" s="153" t="n"/>
      <c r="K250" s="153" t="n"/>
      <c r="L250" s="153" t="n"/>
      <c r="M250" s="153" t="n"/>
      <c r="N250" s="153" t="n"/>
      <c r="O250" s="153" t="n"/>
      <c r="P250" s="153" t="n"/>
      <c r="Q250" s="153" t="n"/>
      <c r="R250" s="153" t="n"/>
      <c r="S250" s="153" t="n"/>
      <c r="T250" s="153" t="n"/>
      <c r="U250" s="153" t="n"/>
      <c r="V250" s="153" t="n"/>
      <c r="W250" s="153" t="n"/>
      <c r="X250" s="153" t="n"/>
      <c r="Y250" s="153" t="n"/>
      <c r="Z250" s="153" t="n"/>
    </row>
    <row r="251" ht="15.75" customHeight="1" s="154">
      <c r="G251" s="153" t="n"/>
      <c r="H251" s="153" t="n"/>
      <c r="I251" s="153" t="n"/>
      <c r="J251" s="153" t="n"/>
      <c r="K251" s="153" t="n"/>
      <c r="L251" s="153" t="n"/>
      <c r="M251" s="153" t="n"/>
      <c r="N251" s="153" t="n"/>
      <c r="O251" s="153" t="n"/>
      <c r="P251" s="153" t="n"/>
      <c r="Q251" s="153" t="n"/>
      <c r="R251" s="153" t="n"/>
      <c r="S251" s="153" t="n"/>
      <c r="T251" s="153" t="n"/>
      <c r="U251" s="153" t="n"/>
      <c r="V251" s="153" t="n"/>
      <c r="W251" s="153" t="n"/>
      <c r="X251" s="153" t="n"/>
      <c r="Y251" s="153" t="n"/>
      <c r="Z251" s="153" t="n"/>
    </row>
    <row r="252" ht="15.75" customHeight="1" s="154">
      <c r="G252" s="153" t="n"/>
      <c r="H252" s="153" t="n"/>
      <c r="I252" s="153" t="n"/>
      <c r="J252" s="153" t="n"/>
      <c r="K252" s="153" t="n"/>
      <c r="L252" s="153" t="n"/>
      <c r="M252" s="153" t="n"/>
      <c r="N252" s="153" t="n"/>
      <c r="O252" s="153" t="n"/>
      <c r="P252" s="153" t="n"/>
      <c r="Q252" s="153" t="n"/>
      <c r="R252" s="153" t="n"/>
      <c r="S252" s="153" t="n"/>
      <c r="T252" s="153" t="n"/>
      <c r="U252" s="153" t="n"/>
      <c r="V252" s="153" t="n"/>
      <c r="W252" s="153" t="n"/>
      <c r="X252" s="153" t="n"/>
      <c r="Y252" s="153" t="n"/>
      <c r="Z252" s="153" t="n"/>
    </row>
    <row r="253" ht="15.75" customHeight="1" s="154">
      <c r="G253" s="153" t="n"/>
      <c r="H253" s="153" t="n"/>
      <c r="I253" s="153" t="n"/>
      <c r="J253" s="153" t="n"/>
      <c r="K253" s="153" t="n"/>
      <c r="L253" s="153" t="n"/>
      <c r="M253" s="153" t="n"/>
      <c r="N253" s="153" t="n"/>
      <c r="O253" s="153" t="n"/>
      <c r="P253" s="153" t="n"/>
      <c r="Q253" s="153" t="n"/>
      <c r="R253" s="153" t="n"/>
      <c r="S253" s="153" t="n"/>
      <c r="T253" s="153" t="n"/>
      <c r="U253" s="153" t="n"/>
      <c r="V253" s="153" t="n"/>
      <c r="W253" s="153" t="n"/>
      <c r="X253" s="153" t="n"/>
      <c r="Y253" s="153" t="n"/>
      <c r="Z253" s="153" t="n"/>
    </row>
    <row r="254" ht="15.75" customHeight="1" s="154">
      <c r="G254" s="153" t="n"/>
      <c r="H254" s="153" t="n"/>
      <c r="I254" s="153" t="n"/>
      <c r="J254" s="153" t="n"/>
      <c r="K254" s="153" t="n"/>
      <c r="L254" s="153" t="n"/>
      <c r="M254" s="153" t="n"/>
      <c r="N254" s="153" t="n"/>
      <c r="O254" s="153" t="n"/>
      <c r="P254" s="153" t="n"/>
      <c r="Q254" s="153" t="n"/>
      <c r="R254" s="153" t="n"/>
      <c r="S254" s="153" t="n"/>
      <c r="T254" s="153" t="n"/>
      <c r="U254" s="153" t="n"/>
      <c r="V254" s="153" t="n"/>
      <c r="W254" s="153" t="n"/>
      <c r="X254" s="153" t="n"/>
      <c r="Y254" s="153" t="n"/>
      <c r="Z254" s="153" t="n"/>
    </row>
    <row r="255" ht="15.75" customHeight="1" s="154">
      <c r="G255" s="153" t="n"/>
      <c r="H255" s="153" t="n"/>
      <c r="I255" s="153" t="n"/>
      <c r="J255" s="153" t="n"/>
      <c r="K255" s="153" t="n"/>
      <c r="L255" s="153" t="n"/>
      <c r="M255" s="153" t="n"/>
      <c r="N255" s="153" t="n"/>
      <c r="O255" s="153" t="n"/>
      <c r="P255" s="153" t="n"/>
      <c r="Q255" s="153" t="n"/>
      <c r="R255" s="153" t="n"/>
      <c r="S255" s="153" t="n"/>
      <c r="T255" s="153" t="n"/>
      <c r="U255" s="153" t="n"/>
      <c r="V255" s="153" t="n"/>
      <c r="W255" s="153" t="n"/>
      <c r="X255" s="153" t="n"/>
      <c r="Y255" s="153" t="n"/>
      <c r="Z255" s="153" t="n"/>
    </row>
    <row r="256" ht="15.75" customHeight="1" s="154">
      <c r="G256" s="153" t="n"/>
      <c r="H256" s="153" t="n"/>
      <c r="I256" s="153" t="n"/>
      <c r="J256" s="153" t="n"/>
      <c r="K256" s="153" t="n"/>
      <c r="L256" s="153" t="n"/>
      <c r="M256" s="153" t="n"/>
      <c r="N256" s="153" t="n"/>
      <c r="O256" s="153" t="n"/>
      <c r="P256" s="153" t="n"/>
      <c r="Q256" s="153" t="n"/>
      <c r="R256" s="153" t="n"/>
      <c r="S256" s="153" t="n"/>
      <c r="T256" s="153" t="n"/>
      <c r="U256" s="153" t="n"/>
      <c r="V256" s="153" t="n"/>
      <c r="W256" s="153" t="n"/>
      <c r="X256" s="153" t="n"/>
      <c r="Y256" s="153" t="n"/>
      <c r="Z256" s="153" t="n"/>
    </row>
    <row r="257" ht="15.75" customHeight="1" s="154">
      <c r="G257" s="153" t="n"/>
      <c r="H257" s="153" t="n"/>
      <c r="I257" s="153" t="n"/>
      <c r="J257" s="153" t="n"/>
      <c r="K257" s="153" t="n"/>
      <c r="L257" s="153" t="n"/>
      <c r="M257" s="153" t="n"/>
      <c r="N257" s="153" t="n"/>
      <c r="O257" s="153" t="n"/>
      <c r="P257" s="153" t="n"/>
      <c r="Q257" s="153" t="n"/>
      <c r="R257" s="153" t="n"/>
      <c r="S257" s="153" t="n"/>
      <c r="T257" s="153" t="n"/>
      <c r="U257" s="153" t="n"/>
      <c r="V257" s="153" t="n"/>
      <c r="W257" s="153" t="n"/>
      <c r="X257" s="153" t="n"/>
      <c r="Y257" s="153" t="n"/>
      <c r="Z257" s="153" t="n"/>
    </row>
    <row r="258" ht="15.75" customHeight="1" s="154">
      <c r="G258" s="153" t="n"/>
      <c r="H258" s="153" t="n"/>
      <c r="I258" s="153" t="n"/>
      <c r="J258" s="153" t="n"/>
      <c r="K258" s="153" t="n"/>
      <c r="L258" s="153" t="n"/>
      <c r="M258" s="153" t="n"/>
      <c r="N258" s="153" t="n"/>
      <c r="O258" s="153" t="n"/>
      <c r="P258" s="153" t="n"/>
      <c r="Q258" s="153" t="n"/>
      <c r="R258" s="153" t="n"/>
      <c r="S258" s="153" t="n"/>
      <c r="T258" s="153" t="n"/>
      <c r="U258" s="153" t="n"/>
      <c r="V258" s="153" t="n"/>
      <c r="W258" s="153" t="n"/>
      <c r="X258" s="153" t="n"/>
      <c r="Y258" s="153" t="n"/>
      <c r="Z258" s="153" t="n"/>
    </row>
    <row r="259" ht="15.75" customHeight="1" s="154">
      <c r="G259" s="153" t="n"/>
      <c r="H259" s="153" t="n"/>
      <c r="I259" s="153" t="n"/>
      <c r="J259" s="153" t="n"/>
      <c r="K259" s="153" t="n"/>
      <c r="L259" s="153" t="n"/>
      <c r="M259" s="153" t="n"/>
      <c r="N259" s="153" t="n"/>
      <c r="O259" s="153" t="n"/>
      <c r="P259" s="153" t="n"/>
      <c r="Q259" s="153" t="n"/>
      <c r="R259" s="153" t="n"/>
      <c r="S259" s="153" t="n"/>
      <c r="T259" s="153" t="n"/>
      <c r="U259" s="153" t="n"/>
      <c r="V259" s="153" t="n"/>
      <c r="W259" s="153" t="n"/>
      <c r="X259" s="153" t="n"/>
      <c r="Y259" s="153" t="n"/>
      <c r="Z259" s="153" t="n"/>
    </row>
    <row r="260" ht="15.75" customHeight="1" s="154">
      <c r="G260" s="153" t="n"/>
      <c r="H260" s="153" t="n"/>
      <c r="I260" s="153" t="n"/>
      <c r="J260" s="153" t="n"/>
      <c r="K260" s="153" t="n"/>
      <c r="L260" s="153" t="n"/>
      <c r="M260" s="153" t="n"/>
      <c r="N260" s="153" t="n"/>
      <c r="O260" s="153" t="n"/>
      <c r="P260" s="153" t="n"/>
      <c r="Q260" s="153" t="n"/>
      <c r="R260" s="153" t="n"/>
      <c r="S260" s="153" t="n"/>
      <c r="T260" s="153" t="n"/>
      <c r="U260" s="153" t="n"/>
      <c r="V260" s="153" t="n"/>
      <c r="W260" s="153" t="n"/>
      <c r="X260" s="153" t="n"/>
      <c r="Y260" s="153" t="n"/>
      <c r="Z260" s="153" t="n"/>
    </row>
    <row r="261" ht="15.75" customHeight="1" s="154">
      <c r="G261" s="153" t="n"/>
      <c r="H261" s="153" t="n"/>
      <c r="I261" s="153" t="n"/>
      <c r="J261" s="153" t="n"/>
      <c r="K261" s="153" t="n"/>
      <c r="L261" s="153" t="n"/>
      <c r="M261" s="153" t="n"/>
      <c r="N261" s="153" t="n"/>
      <c r="O261" s="153" t="n"/>
      <c r="P261" s="153" t="n"/>
      <c r="Q261" s="153" t="n"/>
      <c r="R261" s="153" t="n"/>
      <c r="S261" s="153" t="n"/>
      <c r="T261" s="153" t="n"/>
      <c r="U261" s="153" t="n"/>
      <c r="V261" s="153" t="n"/>
      <c r="W261" s="153" t="n"/>
      <c r="X261" s="153" t="n"/>
      <c r="Y261" s="153" t="n"/>
      <c r="Z261" s="153" t="n"/>
    </row>
    <row r="262" ht="15.75" customHeight="1" s="154">
      <c r="G262" s="153" t="n"/>
      <c r="H262" s="153" t="n"/>
      <c r="I262" s="153" t="n"/>
      <c r="J262" s="153" t="n"/>
      <c r="K262" s="153" t="n"/>
      <c r="L262" s="153" t="n"/>
      <c r="M262" s="153" t="n"/>
      <c r="N262" s="153" t="n"/>
      <c r="O262" s="153" t="n"/>
      <c r="P262" s="153" t="n"/>
      <c r="Q262" s="153" t="n"/>
      <c r="R262" s="153" t="n"/>
      <c r="S262" s="153" t="n"/>
      <c r="T262" s="153" t="n"/>
      <c r="U262" s="153" t="n"/>
      <c r="V262" s="153" t="n"/>
      <c r="W262" s="153" t="n"/>
      <c r="X262" s="153" t="n"/>
      <c r="Y262" s="153" t="n"/>
      <c r="Z262" s="153" t="n"/>
    </row>
    <row r="263" ht="15.75" customHeight="1" s="154">
      <c r="G263" s="153" t="n"/>
      <c r="H263" s="153" t="n"/>
      <c r="I263" s="153" t="n"/>
      <c r="J263" s="153" t="n"/>
      <c r="K263" s="153" t="n"/>
      <c r="L263" s="153" t="n"/>
      <c r="M263" s="153" t="n"/>
      <c r="N263" s="153" t="n"/>
      <c r="O263" s="153" t="n"/>
      <c r="P263" s="153" t="n"/>
      <c r="Q263" s="153" t="n"/>
      <c r="R263" s="153" t="n"/>
      <c r="S263" s="153" t="n"/>
      <c r="T263" s="153" t="n"/>
      <c r="U263" s="153" t="n"/>
      <c r="V263" s="153" t="n"/>
      <c r="W263" s="153" t="n"/>
      <c r="X263" s="153" t="n"/>
      <c r="Y263" s="153" t="n"/>
      <c r="Z263" s="153" t="n"/>
    </row>
    <row r="264" ht="15.75" customHeight="1" s="154">
      <c r="G264" s="153" t="n"/>
      <c r="H264" s="153" t="n"/>
      <c r="I264" s="153" t="n"/>
      <c r="J264" s="153" t="n"/>
      <c r="K264" s="153" t="n"/>
      <c r="L264" s="153" t="n"/>
      <c r="M264" s="153" t="n"/>
      <c r="N264" s="153" t="n"/>
      <c r="O264" s="153" t="n"/>
      <c r="P264" s="153" t="n"/>
      <c r="Q264" s="153" t="n"/>
      <c r="R264" s="153" t="n"/>
      <c r="S264" s="153" t="n"/>
      <c r="T264" s="153" t="n"/>
      <c r="U264" s="153" t="n"/>
      <c r="V264" s="153" t="n"/>
      <c r="W264" s="153" t="n"/>
      <c r="X264" s="153" t="n"/>
      <c r="Y264" s="153" t="n"/>
      <c r="Z264" s="153" t="n"/>
    </row>
    <row r="265" ht="15.75" customHeight="1" s="154">
      <c r="G265" s="153" t="n"/>
      <c r="H265" s="153" t="n"/>
      <c r="I265" s="153" t="n"/>
      <c r="J265" s="153" t="n"/>
      <c r="K265" s="153" t="n"/>
      <c r="L265" s="153" t="n"/>
      <c r="M265" s="153" t="n"/>
      <c r="N265" s="153" t="n"/>
      <c r="O265" s="153" t="n"/>
      <c r="P265" s="153" t="n"/>
      <c r="Q265" s="153" t="n"/>
      <c r="R265" s="153" t="n"/>
      <c r="S265" s="153" t="n"/>
      <c r="T265" s="153" t="n"/>
      <c r="U265" s="153" t="n"/>
      <c r="V265" s="153" t="n"/>
      <c r="W265" s="153" t="n"/>
      <c r="X265" s="153" t="n"/>
      <c r="Y265" s="153" t="n"/>
      <c r="Z265" s="153" t="n"/>
    </row>
    <row r="266" ht="15.75" customHeight="1" s="154">
      <c r="G266" s="153" t="n"/>
      <c r="H266" s="153" t="n"/>
      <c r="I266" s="153" t="n"/>
      <c r="J266" s="153" t="n"/>
      <c r="K266" s="153" t="n"/>
      <c r="L266" s="153" t="n"/>
      <c r="M266" s="153" t="n"/>
      <c r="N266" s="153" t="n"/>
      <c r="O266" s="153" t="n"/>
      <c r="P266" s="153" t="n"/>
      <c r="Q266" s="153" t="n"/>
      <c r="R266" s="153" t="n"/>
      <c r="S266" s="153" t="n"/>
      <c r="T266" s="153" t="n"/>
      <c r="U266" s="153" t="n"/>
      <c r="V266" s="153" t="n"/>
      <c r="W266" s="153" t="n"/>
      <c r="X266" s="153" t="n"/>
      <c r="Y266" s="153" t="n"/>
      <c r="Z266" s="153" t="n"/>
    </row>
    <row r="267" ht="15.75" customHeight="1" s="154">
      <c r="G267" s="153" t="n"/>
      <c r="H267" s="153" t="n"/>
      <c r="I267" s="153" t="n"/>
      <c r="J267" s="153" t="n"/>
      <c r="K267" s="153" t="n"/>
      <c r="L267" s="153" t="n"/>
      <c r="M267" s="153" t="n"/>
      <c r="N267" s="153" t="n"/>
      <c r="O267" s="153" t="n"/>
      <c r="P267" s="153" t="n"/>
      <c r="Q267" s="153" t="n"/>
      <c r="R267" s="153" t="n"/>
      <c r="S267" s="153" t="n"/>
      <c r="T267" s="153" t="n"/>
      <c r="U267" s="153" t="n"/>
      <c r="V267" s="153" t="n"/>
      <c r="W267" s="153" t="n"/>
      <c r="X267" s="153" t="n"/>
      <c r="Y267" s="153" t="n"/>
      <c r="Z267" s="153" t="n"/>
    </row>
    <row r="268" ht="15.75" customHeight="1" s="154">
      <c r="G268" s="153" t="n"/>
      <c r="H268" s="153" t="n"/>
      <c r="I268" s="153" t="n"/>
      <c r="J268" s="153" t="n"/>
      <c r="K268" s="153" t="n"/>
      <c r="L268" s="153" t="n"/>
      <c r="M268" s="153" t="n"/>
      <c r="N268" s="153" t="n"/>
      <c r="O268" s="153" t="n"/>
      <c r="P268" s="153" t="n"/>
      <c r="Q268" s="153" t="n"/>
      <c r="R268" s="153" t="n"/>
      <c r="S268" s="153" t="n"/>
      <c r="T268" s="153" t="n"/>
      <c r="U268" s="153" t="n"/>
      <c r="V268" s="153" t="n"/>
      <c r="W268" s="153" t="n"/>
      <c r="X268" s="153" t="n"/>
      <c r="Y268" s="153" t="n"/>
      <c r="Z268" s="153" t="n"/>
    </row>
    <row r="269" ht="15.75" customHeight="1" s="154">
      <c r="G269" s="153" t="n"/>
      <c r="H269" s="153" t="n"/>
      <c r="I269" s="153" t="n"/>
      <c r="J269" s="153" t="n"/>
      <c r="K269" s="153" t="n"/>
      <c r="L269" s="153" t="n"/>
      <c r="M269" s="153" t="n"/>
      <c r="N269" s="153" t="n"/>
      <c r="O269" s="153" t="n"/>
      <c r="P269" s="153" t="n"/>
      <c r="Q269" s="153" t="n"/>
      <c r="R269" s="153" t="n"/>
      <c r="S269" s="153" t="n"/>
      <c r="T269" s="153" t="n"/>
      <c r="U269" s="153" t="n"/>
      <c r="V269" s="153" t="n"/>
      <c r="W269" s="153" t="n"/>
      <c r="X269" s="153" t="n"/>
      <c r="Y269" s="153" t="n"/>
      <c r="Z269" s="153" t="n"/>
    </row>
    <row r="270" ht="15.75" customHeight="1" s="154">
      <c r="G270" s="153" t="n"/>
      <c r="H270" s="153" t="n"/>
      <c r="I270" s="153" t="n"/>
      <c r="J270" s="153" t="n"/>
      <c r="K270" s="153" t="n"/>
      <c r="L270" s="153" t="n"/>
      <c r="M270" s="153" t="n"/>
      <c r="N270" s="153" t="n"/>
      <c r="O270" s="153" t="n"/>
      <c r="P270" s="153" t="n"/>
      <c r="Q270" s="153" t="n"/>
      <c r="R270" s="153" t="n"/>
      <c r="S270" s="153" t="n"/>
      <c r="T270" s="153" t="n"/>
      <c r="U270" s="153" t="n"/>
      <c r="V270" s="153" t="n"/>
      <c r="W270" s="153" t="n"/>
      <c r="X270" s="153" t="n"/>
      <c r="Y270" s="153" t="n"/>
      <c r="Z270" s="153" t="n"/>
    </row>
    <row r="271" ht="15.75" customHeight="1" s="154">
      <c r="G271" s="153" t="n"/>
      <c r="H271" s="153" t="n"/>
      <c r="I271" s="153" t="n"/>
      <c r="J271" s="153" t="n"/>
      <c r="K271" s="153" t="n"/>
      <c r="L271" s="153" t="n"/>
      <c r="M271" s="153" t="n"/>
      <c r="N271" s="153" t="n"/>
      <c r="O271" s="153" t="n"/>
      <c r="P271" s="153" t="n"/>
      <c r="Q271" s="153" t="n"/>
      <c r="R271" s="153" t="n"/>
      <c r="S271" s="153" t="n"/>
      <c r="T271" s="153" t="n"/>
      <c r="U271" s="153" t="n"/>
      <c r="V271" s="153" t="n"/>
      <c r="W271" s="153" t="n"/>
      <c r="X271" s="153" t="n"/>
      <c r="Y271" s="153" t="n"/>
      <c r="Z271" s="153" t="n"/>
    </row>
    <row r="272" ht="15.75" customHeight="1" s="154">
      <c r="G272" s="153" t="n"/>
      <c r="H272" s="153" t="n"/>
      <c r="I272" s="153" t="n"/>
      <c r="J272" s="153" t="n"/>
      <c r="K272" s="153" t="n"/>
      <c r="L272" s="153" t="n"/>
      <c r="M272" s="153" t="n"/>
      <c r="N272" s="153" t="n"/>
      <c r="O272" s="153" t="n"/>
      <c r="P272" s="153" t="n"/>
      <c r="Q272" s="153" t="n"/>
      <c r="R272" s="153" t="n"/>
      <c r="S272" s="153" t="n"/>
      <c r="T272" s="153" t="n"/>
      <c r="U272" s="153" t="n"/>
      <c r="V272" s="153" t="n"/>
      <c r="W272" s="153" t="n"/>
      <c r="X272" s="153" t="n"/>
      <c r="Y272" s="153" t="n"/>
      <c r="Z272" s="153" t="n"/>
    </row>
    <row r="273" ht="15.75" customHeight="1" s="154">
      <c r="G273" s="153" t="n"/>
      <c r="H273" s="153" t="n"/>
      <c r="I273" s="153" t="n"/>
      <c r="J273" s="153" t="n"/>
      <c r="K273" s="153" t="n"/>
      <c r="L273" s="153" t="n"/>
      <c r="M273" s="153" t="n"/>
      <c r="N273" s="153" t="n"/>
      <c r="O273" s="153" t="n"/>
      <c r="P273" s="153" t="n"/>
      <c r="Q273" s="153" t="n"/>
      <c r="R273" s="153" t="n"/>
      <c r="S273" s="153" t="n"/>
      <c r="T273" s="153" t="n"/>
      <c r="U273" s="153" t="n"/>
      <c r="V273" s="153" t="n"/>
      <c r="W273" s="153" t="n"/>
      <c r="X273" s="153" t="n"/>
      <c r="Y273" s="153" t="n"/>
      <c r="Z273" s="153" t="n"/>
    </row>
    <row r="274" ht="15.75" customHeight="1" s="154">
      <c r="G274" s="153" t="n"/>
      <c r="H274" s="153" t="n"/>
      <c r="I274" s="153" t="n"/>
      <c r="J274" s="153" t="n"/>
      <c r="K274" s="153" t="n"/>
      <c r="L274" s="153" t="n"/>
      <c r="M274" s="153" t="n"/>
      <c r="N274" s="153" t="n"/>
      <c r="O274" s="153" t="n"/>
      <c r="P274" s="153" t="n"/>
      <c r="Q274" s="153" t="n"/>
      <c r="R274" s="153" t="n"/>
      <c r="S274" s="153" t="n"/>
      <c r="T274" s="153" t="n"/>
      <c r="U274" s="153" t="n"/>
      <c r="V274" s="153" t="n"/>
      <c r="W274" s="153" t="n"/>
      <c r="X274" s="153" t="n"/>
      <c r="Y274" s="153" t="n"/>
      <c r="Z274" s="153" t="n"/>
    </row>
    <row r="275" ht="15.75" customHeight="1" s="154">
      <c r="G275" s="153" t="n"/>
      <c r="H275" s="153" t="n"/>
      <c r="I275" s="153" t="n"/>
      <c r="J275" s="153" t="n"/>
      <c r="K275" s="153" t="n"/>
      <c r="L275" s="153" t="n"/>
      <c r="M275" s="153" t="n"/>
      <c r="N275" s="153" t="n"/>
      <c r="O275" s="153" t="n"/>
      <c r="P275" s="153" t="n"/>
      <c r="Q275" s="153" t="n"/>
      <c r="R275" s="153" t="n"/>
      <c r="S275" s="153" t="n"/>
      <c r="T275" s="153" t="n"/>
      <c r="U275" s="153" t="n"/>
      <c r="V275" s="153" t="n"/>
      <c r="W275" s="153" t="n"/>
      <c r="X275" s="153" t="n"/>
      <c r="Y275" s="153" t="n"/>
      <c r="Z275" s="153" t="n"/>
    </row>
    <row r="276" ht="15.75" customHeight="1" s="154">
      <c r="G276" s="153" t="n"/>
      <c r="H276" s="153" t="n"/>
      <c r="I276" s="153" t="n"/>
      <c r="J276" s="153" t="n"/>
      <c r="K276" s="153" t="n"/>
      <c r="L276" s="153" t="n"/>
      <c r="M276" s="153" t="n"/>
      <c r="N276" s="153" t="n"/>
      <c r="O276" s="153" t="n"/>
      <c r="P276" s="153" t="n"/>
      <c r="Q276" s="153" t="n"/>
      <c r="R276" s="153" t="n"/>
      <c r="S276" s="153" t="n"/>
      <c r="T276" s="153" t="n"/>
      <c r="U276" s="153" t="n"/>
      <c r="V276" s="153" t="n"/>
      <c r="W276" s="153" t="n"/>
      <c r="X276" s="153" t="n"/>
      <c r="Y276" s="153" t="n"/>
      <c r="Z276" s="153" t="n"/>
    </row>
    <row r="277" ht="15.75" customHeight="1" s="154">
      <c r="G277" s="153" t="n"/>
      <c r="H277" s="153" t="n"/>
      <c r="I277" s="153" t="n"/>
      <c r="J277" s="153" t="n"/>
      <c r="K277" s="153" t="n"/>
      <c r="L277" s="153" t="n"/>
      <c r="M277" s="153" t="n"/>
      <c r="N277" s="153" t="n"/>
      <c r="O277" s="153" t="n"/>
      <c r="P277" s="153" t="n"/>
      <c r="Q277" s="153" t="n"/>
      <c r="R277" s="153" t="n"/>
      <c r="S277" s="153" t="n"/>
      <c r="T277" s="153" t="n"/>
      <c r="U277" s="153" t="n"/>
      <c r="V277" s="153" t="n"/>
      <c r="W277" s="153" t="n"/>
      <c r="X277" s="153" t="n"/>
      <c r="Y277" s="153" t="n"/>
      <c r="Z277" s="153" t="n"/>
    </row>
    <row r="278" ht="15.75" customHeight="1" s="154">
      <c r="G278" s="153" t="n"/>
      <c r="H278" s="153" t="n"/>
      <c r="I278" s="153" t="n"/>
      <c r="J278" s="153" t="n"/>
      <c r="K278" s="153" t="n"/>
      <c r="L278" s="153" t="n"/>
      <c r="M278" s="153" t="n"/>
      <c r="N278" s="153" t="n"/>
      <c r="O278" s="153" t="n"/>
      <c r="P278" s="153" t="n"/>
      <c r="Q278" s="153" t="n"/>
      <c r="R278" s="153" t="n"/>
      <c r="S278" s="153" t="n"/>
      <c r="T278" s="153" t="n"/>
      <c r="U278" s="153" t="n"/>
      <c r="V278" s="153" t="n"/>
      <c r="W278" s="153" t="n"/>
      <c r="X278" s="153" t="n"/>
      <c r="Y278" s="153" t="n"/>
      <c r="Z278" s="153" t="n"/>
    </row>
    <row r="279" ht="15.75" customHeight="1" s="154">
      <c r="G279" s="153" t="n"/>
      <c r="H279" s="153" t="n"/>
      <c r="I279" s="153" t="n"/>
      <c r="J279" s="153" t="n"/>
      <c r="K279" s="153" t="n"/>
      <c r="L279" s="153" t="n"/>
      <c r="M279" s="153" t="n"/>
      <c r="N279" s="153" t="n"/>
      <c r="O279" s="153" t="n"/>
      <c r="P279" s="153" t="n"/>
      <c r="Q279" s="153" t="n"/>
      <c r="R279" s="153" t="n"/>
      <c r="S279" s="153" t="n"/>
      <c r="T279" s="153" t="n"/>
      <c r="U279" s="153" t="n"/>
      <c r="V279" s="153" t="n"/>
      <c r="W279" s="153" t="n"/>
      <c r="X279" s="153" t="n"/>
      <c r="Y279" s="153" t="n"/>
      <c r="Z279" s="153" t="n"/>
    </row>
    <row r="280" ht="15.75" customHeight="1" s="154">
      <c r="G280" s="153" t="n"/>
      <c r="H280" s="153" t="n"/>
      <c r="I280" s="153" t="n"/>
      <c r="J280" s="153" t="n"/>
      <c r="K280" s="153" t="n"/>
      <c r="L280" s="153" t="n"/>
      <c r="M280" s="153" t="n"/>
      <c r="N280" s="153" t="n"/>
      <c r="O280" s="153" t="n"/>
      <c r="P280" s="153" t="n"/>
      <c r="Q280" s="153" t="n"/>
      <c r="R280" s="153" t="n"/>
      <c r="S280" s="153" t="n"/>
      <c r="T280" s="153" t="n"/>
      <c r="U280" s="153" t="n"/>
      <c r="V280" s="153" t="n"/>
      <c r="W280" s="153" t="n"/>
      <c r="X280" s="153" t="n"/>
      <c r="Y280" s="153" t="n"/>
      <c r="Z280" s="153" t="n"/>
    </row>
    <row r="281" ht="15.75" customHeight="1" s="154">
      <c r="G281" s="153" t="n"/>
      <c r="H281" s="153" t="n"/>
      <c r="I281" s="153" t="n"/>
      <c r="J281" s="153" t="n"/>
      <c r="K281" s="153" t="n"/>
      <c r="L281" s="153" t="n"/>
      <c r="M281" s="153" t="n"/>
      <c r="N281" s="153" t="n"/>
      <c r="O281" s="153" t="n"/>
      <c r="P281" s="153" t="n"/>
      <c r="Q281" s="153" t="n"/>
      <c r="R281" s="153" t="n"/>
      <c r="S281" s="153" t="n"/>
      <c r="T281" s="153" t="n"/>
      <c r="U281" s="153" t="n"/>
      <c r="V281" s="153" t="n"/>
      <c r="W281" s="153" t="n"/>
      <c r="X281" s="153" t="n"/>
      <c r="Y281" s="153" t="n"/>
      <c r="Z281" s="153" t="n"/>
    </row>
    <row r="282" ht="15.75" customHeight="1" s="154">
      <c r="G282" s="153" t="n"/>
      <c r="H282" s="153" t="n"/>
      <c r="I282" s="153" t="n"/>
      <c r="J282" s="153" t="n"/>
      <c r="K282" s="153" t="n"/>
      <c r="L282" s="153" t="n"/>
      <c r="M282" s="153" t="n"/>
      <c r="N282" s="153" t="n"/>
      <c r="O282" s="153" t="n"/>
      <c r="P282" s="153" t="n"/>
      <c r="Q282" s="153" t="n"/>
      <c r="R282" s="153" t="n"/>
      <c r="S282" s="153" t="n"/>
      <c r="T282" s="153" t="n"/>
      <c r="U282" s="153" t="n"/>
      <c r="V282" s="153" t="n"/>
      <c r="W282" s="153" t="n"/>
      <c r="X282" s="153" t="n"/>
      <c r="Y282" s="153" t="n"/>
      <c r="Z282" s="153" t="n"/>
    </row>
    <row r="283" ht="15.75" customHeight="1" s="154">
      <c r="G283" s="153" t="n"/>
      <c r="H283" s="153" t="n"/>
      <c r="I283" s="153" t="n"/>
      <c r="J283" s="153" t="n"/>
      <c r="K283" s="153" t="n"/>
      <c r="L283" s="153" t="n"/>
      <c r="M283" s="153" t="n"/>
      <c r="N283" s="153" t="n"/>
      <c r="O283" s="153" t="n"/>
      <c r="P283" s="153" t="n"/>
      <c r="Q283" s="153" t="n"/>
      <c r="R283" s="153" t="n"/>
      <c r="S283" s="153" t="n"/>
      <c r="T283" s="153" t="n"/>
      <c r="U283" s="153" t="n"/>
      <c r="V283" s="153" t="n"/>
      <c r="W283" s="153" t="n"/>
      <c r="X283" s="153" t="n"/>
      <c r="Y283" s="153" t="n"/>
      <c r="Z283" s="153" t="n"/>
    </row>
    <row r="284" ht="15.75" customHeight="1" s="154">
      <c r="G284" s="153" t="n"/>
      <c r="H284" s="153" t="n"/>
      <c r="I284" s="153" t="n"/>
      <c r="J284" s="153" t="n"/>
      <c r="K284" s="153" t="n"/>
      <c r="L284" s="153" t="n"/>
      <c r="M284" s="153" t="n"/>
      <c r="N284" s="153" t="n"/>
      <c r="O284" s="153" t="n"/>
      <c r="P284" s="153" t="n"/>
      <c r="Q284" s="153" t="n"/>
      <c r="R284" s="153" t="n"/>
      <c r="S284" s="153" t="n"/>
      <c r="T284" s="153" t="n"/>
      <c r="U284" s="153" t="n"/>
      <c r="V284" s="153" t="n"/>
      <c r="W284" s="153" t="n"/>
      <c r="X284" s="153" t="n"/>
      <c r="Y284" s="153" t="n"/>
      <c r="Z284" s="153" t="n"/>
    </row>
    <row r="285" ht="15.75" customHeight="1" s="154">
      <c r="G285" s="153" t="n"/>
      <c r="H285" s="153" t="n"/>
      <c r="I285" s="153" t="n"/>
      <c r="J285" s="153" t="n"/>
      <c r="K285" s="153" t="n"/>
      <c r="L285" s="153" t="n"/>
      <c r="M285" s="153" t="n"/>
      <c r="N285" s="153" t="n"/>
      <c r="O285" s="153" t="n"/>
      <c r="P285" s="153" t="n"/>
      <c r="Q285" s="153" t="n"/>
      <c r="R285" s="153" t="n"/>
      <c r="S285" s="153" t="n"/>
      <c r="T285" s="153" t="n"/>
      <c r="U285" s="153" t="n"/>
      <c r="V285" s="153" t="n"/>
      <c r="W285" s="153" t="n"/>
      <c r="X285" s="153" t="n"/>
      <c r="Y285" s="153" t="n"/>
      <c r="Z285" s="153" t="n"/>
    </row>
    <row r="286" ht="15.75" customHeight="1" s="154">
      <c r="G286" s="153" t="n"/>
      <c r="H286" s="153" t="n"/>
      <c r="I286" s="153" t="n"/>
      <c r="J286" s="153" t="n"/>
      <c r="K286" s="153" t="n"/>
      <c r="L286" s="153" t="n"/>
      <c r="M286" s="153" t="n"/>
      <c r="N286" s="153" t="n"/>
      <c r="O286" s="153" t="n"/>
      <c r="P286" s="153" t="n"/>
      <c r="Q286" s="153" t="n"/>
      <c r="R286" s="153" t="n"/>
      <c r="S286" s="153" t="n"/>
      <c r="T286" s="153" t="n"/>
      <c r="U286" s="153" t="n"/>
      <c r="V286" s="153" t="n"/>
      <c r="W286" s="153" t="n"/>
      <c r="X286" s="153" t="n"/>
      <c r="Y286" s="153" t="n"/>
      <c r="Z286" s="153" t="n"/>
    </row>
    <row r="287" ht="15.75" customHeight="1" s="154">
      <c r="G287" s="153" t="n"/>
      <c r="H287" s="153" t="n"/>
      <c r="I287" s="153" t="n"/>
      <c r="J287" s="153" t="n"/>
      <c r="K287" s="153" t="n"/>
      <c r="L287" s="153" t="n"/>
      <c r="M287" s="153" t="n"/>
      <c r="N287" s="153" t="n"/>
      <c r="O287" s="153" t="n"/>
      <c r="P287" s="153" t="n"/>
      <c r="Q287" s="153" t="n"/>
      <c r="R287" s="153" t="n"/>
      <c r="S287" s="153" t="n"/>
      <c r="T287" s="153" t="n"/>
      <c r="U287" s="153" t="n"/>
      <c r="V287" s="153" t="n"/>
      <c r="W287" s="153" t="n"/>
      <c r="X287" s="153" t="n"/>
      <c r="Y287" s="153" t="n"/>
      <c r="Z287" s="153" t="n"/>
    </row>
    <row r="288" ht="15.75" customHeight="1" s="154">
      <c r="G288" s="153" t="n"/>
      <c r="H288" s="153" t="n"/>
      <c r="I288" s="153" t="n"/>
      <c r="J288" s="153" t="n"/>
      <c r="K288" s="153" t="n"/>
      <c r="L288" s="153" t="n"/>
      <c r="M288" s="153" t="n"/>
      <c r="N288" s="153" t="n"/>
      <c r="O288" s="153" t="n"/>
      <c r="P288" s="153" t="n"/>
      <c r="Q288" s="153" t="n"/>
      <c r="R288" s="153" t="n"/>
      <c r="S288" s="153" t="n"/>
      <c r="T288" s="153" t="n"/>
      <c r="U288" s="153" t="n"/>
      <c r="V288" s="153" t="n"/>
      <c r="W288" s="153" t="n"/>
      <c r="X288" s="153" t="n"/>
      <c r="Y288" s="153" t="n"/>
      <c r="Z288" s="153" t="n"/>
    </row>
    <row r="289" ht="15.75" customHeight="1" s="154">
      <c r="G289" s="153" t="n"/>
      <c r="H289" s="153" t="n"/>
      <c r="I289" s="153" t="n"/>
      <c r="J289" s="153" t="n"/>
      <c r="K289" s="153" t="n"/>
      <c r="L289" s="153" t="n"/>
      <c r="M289" s="153" t="n"/>
      <c r="N289" s="153" t="n"/>
      <c r="O289" s="153" t="n"/>
      <c r="P289" s="153" t="n"/>
      <c r="Q289" s="153" t="n"/>
      <c r="R289" s="153" t="n"/>
      <c r="S289" s="153" t="n"/>
      <c r="T289" s="153" t="n"/>
      <c r="U289" s="153" t="n"/>
      <c r="V289" s="153" t="n"/>
      <c r="W289" s="153" t="n"/>
      <c r="X289" s="153" t="n"/>
      <c r="Y289" s="153" t="n"/>
      <c r="Z289" s="153" t="n"/>
    </row>
    <row r="290" ht="15.75" customHeight="1" s="154">
      <c r="G290" s="153" t="n"/>
      <c r="H290" s="153" t="n"/>
      <c r="I290" s="153" t="n"/>
      <c r="J290" s="153" t="n"/>
      <c r="K290" s="153" t="n"/>
      <c r="L290" s="153" t="n"/>
      <c r="M290" s="153" t="n"/>
      <c r="N290" s="153" t="n"/>
      <c r="O290" s="153" t="n"/>
      <c r="P290" s="153" t="n"/>
      <c r="Q290" s="153" t="n"/>
      <c r="R290" s="153" t="n"/>
      <c r="S290" s="153" t="n"/>
      <c r="T290" s="153" t="n"/>
      <c r="U290" s="153" t="n"/>
      <c r="V290" s="153" t="n"/>
      <c r="W290" s="153" t="n"/>
      <c r="X290" s="153" t="n"/>
      <c r="Y290" s="153" t="n"/>
      <c r="Z290" s="153" t="n"/>
    </row>
    <row r="291" ht="15.75" customHeight="1" s="154">
      <c r="G291" s="153" t="n"/>
      <c r="H291" s="153" t="n"/>
      <c r="I291" s="153" t="n"/>
      <c r="J291" s="153" t="n"/>
      <c r="K291" s="153" t="n"/>
      <c r="L291" s="153" t="n"/>
      <c r="M291" s="153" t="n"/>
      <c r="N291" s="153" t="n"/>
      <c r="O291" s="153" t="n"/>
      <c r="P291" s="153" t="n"/>
      <c r="Q291" s="153" t="n"/>
      <c r="R291" s="153" t="n"/>
      <c r="S291" s="153" t="n"/>
      <c r="T291" s="153" t="n"/>
      <c r="U291" s="153" t="n"/>
      <c r="V291" s="153" t="n"/>
      <c r="W291" s="153" t="n"/>
      <c r="X291" s="153" t="n"/>
      <c r="Y291" s="153" t="n"/>
      <c r="Z291" s="153" t="n"/>
    </row>
    <row r="292" ht="15.75" customHeight="1" s="154">
      <c r="G292" s="153" t="n"/>
      <c r="H292" s="153" t="n"/>
      <c r="I292" s="153" t="n"/>
      <c r="J292" s="153" t="n"/>
      <c r="K292" s="153" t="n"/>
      <c r="L292" s="153" t="n"/>
      <c r="M292" s="153" t="n"/>
      <c r="N292" s="153" t="n"/>
      <c r="O292" s="153" t="n"/>
      <c r="P292" s="153" t="n"/>
      <c r="Q292" s="153" t="n"/>
      <c r="R292" s="153" t="n"/>
      <c r="S292" s="153" t="n"/>
      <c r="T292" s="153" t="n"/>
      <c r="U292" s="153" t="n"/>
      <c r="V292" s="153" t="n"/>
      <c r="W292" s="153" t="n"/>
      <c r="X292" s="153" t="n"/>
      <c r="Y292" s="153" t="n"/>
      <c r="Z292" s="153" t="n"/>
    </row>
    <row r="293" ht="15.75" customHeight="1" s="154">
      <c r="G293" s="153" t="n"/>
      <c r="H293" s="153" t="n"/>
      <c r="I293" s="153" t="n"/>
      <c r="J293" s="153" t="n"/>
      <c r="K293" s="153" t="n"/>
      <c r="L293" s="153" t="n"/>
      <c r="M293" s="153" t="n"/>
      <c r="N293" s="153" t="n"/>
      <c r="O293" s="153" t="n"/>
      <c r="P293" s="153" t="n"/>
      <c r="Q293" s="153" t="n"/>
      <c r="R293" s="153" t="n"/>
      <c r="S293" s="153" t="n"/>
      <c r="T293" s="153" t="n"/>
      <c r="U293" s="153" t="n"/>
      <c r="V293" s="153" t="n"/>
      <c r="W293" s="153" t="n"/>
      <c r="X293" s="153" t="n"/>
      <c r="Y293" s="153" t="n"/>
      <c r="Z293" s="153" t="n"/>
    </row>
    <row r="294" ht="15.75" customHeight="1" s="154">
      <c r="G294" s="153" t="n"/>
      <c r="H294" s="153" t="n"/>
      <c r="I294" s="153" t="n"/>
      <c r="J294" s="153" t="n"/>
      <c r="K294" s="153" t="n"/>
      <c r="L294" s="153" t="n"/>
      <c r="M294" s="153" t="n"/>
      <c r="N294" s="153" t="n"/>
      <c r="O294" s="153" t="n"/>
      <c r="P294" s="153" t="n"/>
      <c r="Q294" s="153" t="n"/>
      <c r="R294" s="153" t="n"/>
      <c r="S294" s="153" t="n"/>
      <c r="T294" s="153" t="n"/>
      <c r="U294" s="153" t="n"/>
      <c r="V294" s="153" t="n"/>
      <c r="W294" s="153" t="n"/>
      <c r="X294" s="153" t="n"/>
      <c r="Y294" s="153" t="n"/>
      <c r="Z294" s="153" t="n"/>
    </row>
    <row r="295" ht="15.75" customHeight="1" s="154">
      <c r="G295" s="153" t="n"/>
      <c r="H295" s="153" t="n"/>
      <c r="I295" s="153" t="n"/>
      <c r="J295" s="153" t="n"/>
      <c r="K295" s="153" t="n"/>
      <c r="L295" s="153" t="n"/>
      <c r="M295" s="153" t="n"/>
      <c r="N295" s="153" t="n"/>
      <c r="O295" s="153" t="n"/>
      <c r="P295" s="153" t="n"/>
      <c r="Q295" s="153" t="n"/>
      <c r="R295" s="153" t="n"/>
      <c r="S295" s="153" t="n"/>
      <c r="T295" s="153" t="n"/>
      <c r="U295" s="153" t="n"/>
      <c r="V295" s="153" t="n"/>
      <c r="W295" s="153" t="n"/>
      <c r="X295" s="153" t="n"/>
      <c r="Y295" s="153" t="n"/>
      <c r="Z295" s="153" t="n"/>
    </row>
    <row r="296" ht="15.75" customHeight="1" s="154">
      <c r="G296" s="153" t="n"/>
      <c r="H296" s="153" t="n"/>
      <c r="I296" s="153" t="n"/>
      <c r="J296" s="153" t="n"/>
      <c r="K296" s="153" t="n"/>
      <c r="L296" s="153" t="n"/>
      <c r="M296" s="153" t="n"/>
      <c r="N296" s="153" t="n"/>
      <c r="O296" s="153" t="n"/>
      <c r="P296" s="153" t="n"/>
      <c r="Q296" s="153" t="n"/>
      <c r="R296" s="153" t="n"/>
      <c r="S296" s="153" t="n"/>
      <c r="T296" s="153" t="n"/>
      <c r="U296" s="153" t="n"/>
      <c r="V296" s="153" t="n"/>
      <c r="W296" s="153" t="n"/>
      <c r="X296" s="153" t="n"/>
      <c r="Y296" s="153" t="n"/>
      <c r="Z296" s="153" t="n"/>
    </row>
    <row r="297" ht="15.75" customHeight="1" s="154">
      <c r="G297" s="153" t="n"/>
      <c r="H297" s="153" t="n"/>
      <c r="I297" s="153" t="n"/>
      <c r="J297" s="153" t="n"/>
      <c r="K297" s="153" t="n"/>
      <c r="L297" s="153" t="n"/>
      <c r="M297" s="153" t="n"/>
      <c r="N297" s="153" t="n"/>
      <c r="O297" s="153" t="n"/>
      <c r="P297" s="153" t="n"/>
      <c r="Q297" s="153" t="n"/>
      <c r="R297" s="153" t="n"/>
      <c r="S297" s="153" t="n"/>
      <c r="T297" s="153" t="n"/>
      <c r="U297" s="153" t="n"/>
      <c r="V297" s="153" t="n"/>
      <c r="W297" s="153" t="n"/>
      <c r="X297" s="153" t="n"/>
      <c r="Y297" s="153" t="n"/>
      <c r="Z297" s="153" t="n"/>
    </row>
    <row r="298" ht="15.75" customHeight="1" s="154">
      <c r="G298" s="153" t="n"/>
      <c r="H298" s="153" t="n"/>
      <c r="I298" s="153" t="n"/>
      <c r="J298" s="153" t="n"/>
      <c r="K298" s="153" t="n"/>
      <c r="L298" s="153" t="n"/>
      <c r="M298" s="153" t="n"/>
      <c r="N298" s="153" t="n"/>
      <c r="O298" s="153" t="n"/>
      <c r="P298" s="153" t="n"/>
      <c r="Q298" s="153" t="n"/>
      <c r="R298" s="153" t="n"/>
      <c r="S298" s="153" t="n"/>
      <c r="T298" s="153" t="n"/>
      <c r="U298" s="153" t="n"/>
      <c r="V298" s="153" t="n"/>
      <c r="W298" s="153" t="n"/>
      <c r="X298" s="153" t="n"/>
      <c r="Y298" s="153" t="n"/>
      <c r="Z298" s="153" t="n"/>
    </row>
    <row r="299" ht="15.75" customHeight="1" s="154">
      <c r="G299" s="153" t="n"/>
      <c r="H299" s="153" t="n"/>
      <c r="I299" s="153" t="n"/>
      <c r="J299" s="153" t="n"/>
      <c r="K299" s="153" t="n"/>
      <c r="L299" s="153" t="n"/>
      <c r="M299" s="153" t="n"/>
      <c r="N299" s="153" t="n"/>
      <c r="O299" s="153" t="n"/>
      <c r="P299" s="153" t="n"/>
      <c r="Q299" s="153" t="n"/>
      <c r="R299" s="153" t="n"/>
      <c r="S299" s="153" t="n"/>
      <c r="T299" s="153" t="n"/>
      <c r="U299" s="153" t="n"/>
      <c r="V299" s="153" t="n"/>
      <c r="W299" s="153" t="n"/>
      <c r="X299" s="153" t="n"/>
      <c r="Y299" s="153" t="n"/>
      <c r="Z299" s="153" t="n"/>
    </row>
    <row r="300" ht="15.75" customHeight="1" s="154">
      <c r="G300" s="153" t="n"/>
      <c r="H300" s="153" t="n"/>
      <c r="I300" s="153" t="n"/>
      <c r="J300" s="153" t="n"/>
      <c r="K300" s="153" t="n"/>
      <c r="L300" s="153" t="n"/>
      <c r="M300" s="153" t="n"/>
      <c r="N300" s="153" t="n"/>
      <c r="O300" s="153" t="n"/>
      <c r="P300" s="153" t="n"/>
      <c r="Q300" s="153" t="n"/>
      <c r="R300" s="153" t="n"/>
      <c r="S300" s="153" t="n"/>
      <c r="T300" s="153" t="n"/>
      <c r="U300" s="153" t="n"/>
      <c r="V300" s="153" t="n"/>
      <c r="W300" s="153" t="n"/>
      <c r="X300" s="153" t="n"/>
      <c r="Y300" s="153" t="n"/>
      <c r="Z300" s="153" t="n"/>
    </row>
    <row r="301" ht="15.75" customHeight="1" s="154">
      <c r="G301" s="153" t="n"/>
      <c r="H301" s="153" t="n"/>
      <c r="I301" s="153" t="n"/>
      <c r="J301" s="153" t="n"/>
      <c r="K301" s="153" t="n"/>
      <c r="L301" s="153" t="n"/>
      <c r="M301" s="153" t="n"/>
      <c r="N301" s="153" t="n"/>
      <c r="O301" s="153" t="n"/>
      <c r="P301" s="153" t="n"/>
      <c r="Q301" s="153" t="n"/>
      <c r="R301" s="153" t="n"/>
      <c r="S301" s="153" t="n"/>
      <c r="T301" s="153" t="n"/>
      <c r="U301" s="153" t="n"/>
      <c r="V301" s="153" t="n"/>
      <c r="W301" s="153" t="n"/>
      <c r="X301" s="153" t="n"/>
      <c r="Y301" s="153" t="n"/>
      <c r="Z301" s="153" t="n"/>
    </row>
    <row r="302" ht="15.75" customHeight="1" s="154">
      <c r="G302" s="153" t="n"/>
      <c r="H302" s="153" t="n"/>
      <c r="I302" s="153" t="n"/>
      <c r="J302" s="153" t="n"/>
      <c r="K302" s="153" t="n"/>
      <c r="L302" s="153" t="n"/>
      <c r="M302" s="153" t="n"/>
      <c r="N302" s="153" t="n"/>
      <c r="O302" s="153" t="n"/>
      <c r="P302" s="153" t="n"/>
      <c r="Q302" s="153" t="n"/>
      <c r="R302" s="153" t="n"/>
      <c r="S302" s="153" t="n"/>
      <c r="T302" s="153" t="n"/>
      <c r="U302" s="153" t="n"/>
      <c r="V302" s="153" t="n"/>
      <c r="W302" s="153" t="n"/>
      <c r="X302" s="153" t="n"/>
      <c r="Y302" s="153" t="n"/>
      <c r="Z302" s="153" t="n"/>
    </row>
    <row r="303" ht="15.75" customHeight="1" s="154">
      <c r="G303" s="153" t="n"/>
      <c r="H303" s="153" t="n"/>
      <c r="I303" s="153" t="n"/>
      <c r="J303" s="153" t="n"/>
      <c r="K303" s="153" t="n"/>
      <c r="L303" s="153" t="n"/>
      <c r="M303" s="153" t="n"/>
      <c r="N303" s="153" t="n"/>
      <c r="O303" s="153" t="n"/>
      <c r="P303" s="153" t="n"/>
      <c r="Q303" s="153" t="n"/>
      <c r="R303" s="153" t="n"/>
      <c r="S303" s="153" t="n"/>
      <c r="T303" s="153" t="n"/>
      <c r="U303" s="153" t="n"/>
      <c r="V303" s="153" t="n"/>
      <c r="W303" s="153" t="n"/>
      <c r="X303" s="153" t="n"/>
      <c r="Y303" s="153" t="n"/>
      <c r="Z303" s="153" t="n"/>
    </row>
    <row r="304" ht="15.75" customHeight="1" s="154">
      <c r="G304" s="153" t="n"/>
      <c r="H304" s="153" t="n"/>
      <c r="I304" s="153" t="n"/>
      <c r="J304" s="153" t="n"/>
      <c r="K304" s="153" t="n"/>
      <c r="L304" s="153" t="n"/>
      <c r="M304" s="153" t="n"/>
      <c r="N304" s="153" t="n"/>
      <c r="O304" s="153" t="n"/>
      <c r="P304" s="153" t="n"/>
      <c r="Q304" s="153" t="n"/>
      <c r="R304" s="153" t="n"/>
      <c r="S304" s="153" t="n"/>
      <c r="T304" s="153" t="n"/>
      <c r="U304" s="153" t="n"/>
      <c r="V304" s="153" t="n"/>
      <c r="W304" s="153" t="n"/>
      <c r="X304" s="153" t="n"/>
      <c r="Y304" s="153" t="n"/>
      <c r="Z304" s="153" t="n"/>
    </row>
    <row r="305" ht="15.75" customHeight="1" s="154">
      <c r="G305" s="153" t="n"/>
      <c r="H305" s="153" t="n"/>
      <c r="I305" s="153" t="n"/>
      <c r="J305" s="153" t="n"/>
      <c r="K305" s="153" t="n"/>
      <c r="L305" s="153" t="n"/>
      <c r="M305" s="153" t="n"/>
      <c r="N305" s="153" t="n"/>
      <c r="O305" s="153" t="n"/>
      <c r="P305" s="153" t="n"/>
      <c r="Q305" s="153" t="n"/>
      <c r="R305" s="153" t="n"/>
      <c r="S305" s="153" t="n"/>
      <c r="T305" s="153" t="n"/>
      <c r="U305" s="153" t="n"/>
      <c r="V305" s="153" t="n"/>
      <c r="W305" s="153" t="n"/>
      <c r="X305" s="153" t="n"/>
      <c r="Y305" s="153" t="n"/>
      <c r="Z305" s="153" t="n"/>
    </row>
    <row r="306" ht="15.75" customHeight="1" s="154">
      <c r="G306" s="153" t="n"/>
      <c r="H306" s="153" t="n"/>
      <c r="I306" s="153" t="n"/>
      <c r="J306" s="153" t="n"/>
      <c r="K306" s="153" t="n"/>
      <c r="L306" s="153" t="n"/>
      <c r="M306" s="153" t="n"/>
      <c r="N306" s="153" t="n"/>
      <c r="O306" s="153" t="n"/>
      <c r="P306" s="153" t="n"/>
      <c r="Q306" s="153" t="n"/>
      <c r="R306" s="153" t="n"/>
      <c r="S306" s="153" t="n"/>
      <c r="T306" s="153" t="n"/>
      <c r="U306" s="153" t="n"/>
      <c r="V306" s="153" t="n"/>
      <c r="W306" s="153" t="n"/>
      <c r="X306" s="153" t="n"/>
      <c r="Y306" s="153" t="n"/>
      <c r="Z306" s="153" t="n"/>
    </row>
    <row r="307" ht="15.75" customHeight="1" s="154">
      <c r="G307" s="153" t="n"/>
      <c r="H307" s="153" t="n"/>
      <c r="I307" s="153" t="n"/>
      <c r="J307" s="153" t="n"/>
      <c r="K307" s="153" t="n"/>
      <c r="L307" s="153" t="n"/>
      <c r="M307" s="153" t="n"/>
      <c r="N307" s="153" t="n"/>
      <c r="O307" s="153" t="n"/>
      <c r="P307" s="153" t="n"/>
      <c r="Q307" s="153" t="n"/>
      <c r="R307" s="153" t="n"/>
      <c r="S307" s="153" t="n"/>
      <c r="T307" s="153" t="n"/>
      <c r="U307" s="153" t="n"/>
      <c r="V307" s="153" t="n"/>
      <c r="W307" s="153" t="n"/>
      <c r="X307" s="153" t="n"/>
      <c r="Y307" s="153" t="n"/>
      <c r="Z307" s="153" t="n"/>
    </row>
    <row r="308" ht="15.75" customHeight="1" s="154">
      <c r="G308" s="153" t="n"/>
      <c r="H308" s="153" t="n"/>
      <c r="I308" s="153" t="n"/>
      <c r="J308" s="153" t="n"/>
      <c r="K308" s="153" t="n"/>
      <c r="L308" s="153" t="n"/>
      <c r="M308" s="153" t="n"/>
      <c r="N308" s="153" t="n"/>
      <c r="O308" s="153" t="n"/>
      <c r="P308" s="153" t="n"/>
      <c r="Q308" s="153" t="n"/>
      <c r="R308" s="153" t="n"/>
      <c r="S308" s="153" t="n"/>
      <c r="T308" s="153" t="n"/>
      <c r="U308" s="153" t="n"/>
      <c r="V308" s="153" t="n"/>
      <c r="W308" s="153" t="n"/>
      <c r="X308" s="153" t="n"/>
      <c r="Y308" s="153" t="n"/>
      <c r="Z308" s="153" t="n"/>
    </row>
    <row r="309" ht="15.75" customHeight="1" s="154">
      <c r="G309" s="153" t="n"/>
      <c r="H309" s="153" t="n"/>
      <c r="I309" s="153" t="n"/>
      <c r="J309" s="153" t="n"/>
      <c r="K309" s="153" t="n"/>
      <c r="L309" s="153" t="n"/>
      <c r="M309" s="153" t="n"/>
      <c r="N309" s="153" t="n"/>
      <c r="O309" s="153" t="n"/>
      <c r="P309" s="153" t="n"/>
      <c r="Q309" s="153" t="n"/>
      <c r="R309" s="153" t="n"/>
      <c r="S309" s="153" t="n"/>
      <c r="T309" s="153" t="n"/>
      <c r="U309" s="153" t="n"/>
      <c r="V309" s="153" t="n"/>
      <c r="W309" s="153" t="n"/>
      <c r="X309" s="153" t="n"/>
      <c r="Y309" s="153" t="n"/>
      <c r="Z309" s="153" t="n"/>
    </row>
    <row r="310" ht="15.75" customHeight="1" s="154">
      <c r="G310" s="153" t="n"/>
      <c r="H310" s="153" t="n"/>
      <c r="I310" s="153" t="n"/>
      <c r="J310" s="153" t="n"/>
      <c r="K310" s="153" t="n"/>
      <c r="L310" s="153" t="n"/>
      <c r="M310" s="153" t="n"/>
      <c r="N310" s="153" t="n"/>
      <c r="O310" s="153" t="n"/>
      <c r="P310" s="153" t="n"/>
      <c r="Q310" s="153" t="n"/>
      <c r="R310" s="153" t="n"/>
      <c r="S310" s="153" t="n"/>
      <c r="T310" s="153" t="n"/>
      <c r="U310" s="153" t="n"/>
      <c r="V310" s="153" t="n"/>
      <c r="W310" s="153" t="n"/>
      <c r="X310" s="153" t="n"/>
      <c r="Y310" s="153" t="n"/>
      <c r="Z310" s="153" t="n"/>
    </row>
    <row r="311" ht="15.75" customHeight="1" s="154">
      <c r="G311" s="153" t="n"/>
      <c r="H311" s="153" t="n"/>
      <c r="I311" s="153" t="n"/>
      <c r="J311" s="153" t="n"/>
      <c r="K311" s="153" t="n"/>
      <c r="L311" s="153" t="n"/>
      <c r="M311" s="153" t="n"/>
      <c r="N311" s="153" t="n"/>
      <c r="O311" s="153" t="n"/>
      <c r="P311" s="153" t="n"/>
      <c r="Q311" s="153" t="n"/>
      <c r="R311" s="153" t="n"/>
      <c r="S311" s="153" t="n"/>
      <c r="T311" s="153" t="n"/>
      <c r="U311" s="153" t="n"/>
      <c r="V311" s="153" t="n"/>
      <c r="W311" s="153" t="n"/>
      <c r="X311" s="153" t="n"/>
      <c r="Y311" s="153" t="n"/>
      <c r="Z311" s="153" t="n"/>
    </row>
    <row r="312" ht="15.75" customHeight="1" s="154">
      <c r="G312" s="153" t="n"/>
      <c r="H312" s="153" t="n"/>
      <c r="I312" s="153" t="n"/>
      <c r="J312" s="153" t="n"/>
      <c r="K312" s="153" t="n"/>
      <c r="L312" s="153" t="n"/>
      <c r="M312" s="153" t="n"/>
      <c r="N312" s="153" t="n"/>
      <c r="O312" s="153" t="n"/>
      <c r="P312" s="153" t="n"/>
      <c r="Q312" s="153" t="n"/>
      <c r="R312" s="153" t="n"/>
      <c r="S312" s="153" t="n"/>
      <c r="T312" s="153" t="n"/>
      <c r="U312" s="153" t="n"/>
      <c r="V312" s="153" t="n"/>
      <c r="W312" s="153" t="n"/>
      <c r="X312" s="153" t="n"/>
      <c r="Y312" s="153" t="n"/>
      <c r="Z312" s="153" t="n"/>
    </row>
    <row r="313" ht="15.75" customHeight="1" s="154">
      <c r="G313" s="153" t="n"/>
      <c r="H313" s="153" t="n"/>
      <c r="I313" s="153" t="n"/>
      <c r="J313" s="153" t="n"/>
      <c r="K313" s="153" t="n"/>
      <c r="L313" s="153" t="n"/>
      <c r="M313" s="153" t="n"/>
      <c r="N313" s="153" t="n"/>
      <c r="O313" s="153" t="n"/>
      <c r="P313" s="153" t="n"/>
      <c r="Q313" s="153" t="n"/>
      <c r="R313" s="153" t="n"/>
      <c r="S313" s="153" t="n"/>
      <c r="T313" s="153" t="n"/>
      <c r="U313" s="153" t="n"/>
      <c r="V313" s="153" t="n"/>
      <c r="W313" s="153" t="n"/>
      <c r="X313" s="153" t="n"/>
      <c r="Y313" s="153" t="n"/>
      <c r="Z313" s="153" t="n"/>
    </row>
    <row r="314" ht="15.75" customHeight="1" s="154">
      <c r="G314" s="153" t="n"/>
      <c r="H314" s="153" t="n"/>
      <c r="I314" s="153" t="n"/>
      <c r="J314" s="153" t="n"/>
      <c r="K314" s="153" t="n"/>
      <c r="L314" s="153" t="n"/>
      <c r="M314" s="153" t="n"/>
      <c r="N314" s="153" t="n"/>
      <c r="O314" s="153" t="n"/>
      <c r="P314" s="153" t="n"/>
      <c r="Q314" s="153" t="n"/>
      <c r="R314" s="153" t="n"/>
      <c r="S314" s="153" t="n"/>
      <c r="T314" s="153" t="n"/>
      <c r="U314" s="153" t="n"/>
      <c r="V314" s="153" t="n"/>
      <c r="W314" s="153" t="n"/>
      <c r="X314" s="153" t="n"/>
      <c r="Y314" s="153" t="n"/>
      <c r="Z314" s="153" t="n"/>
    </row>
    <row r="315" ht="15.75" customHeight="1" s="154">
      <c r="G315" s="153" t="n"/>
      <c r="H315" s="153" t="n"/>
      <c r="I315" s="153" t="n"/>
      <c r="J315" s="153" t="n"/>
      <c r="K315" s="153" t="n"/>
      <c r="L315" s="153" t="n"/>
      <c r="M315" s="153" t="n"/>
      <c r="N315" s="153" t="n"/>
      <c r="O315" s="153" t="n"/>
      <c r="P315" s="153" t="n"/>
      <c r="Q315" s="153" t="n"/>
      <c r="R315" s="153" t="n"/>
      <c r="S315" s="153" t="n"/>
      <c r="T315" s="153" t="n"/>
      <c r="U315" s="153" t="n"/>
      <c r="V315" s="153" t="n"/>
      <c r="W315" s="153" t="n"/>
      <c r="X315" s="153" t="n"/>
      <c r="Y315" s="153" t="n"/>
      <c r="Z315" s="153" t="n"/>
    </row>
    <row r="316" ht="15.75" customHeight="1" s="154">
      <c r="G316" s="153" t="n"/>
      <c r="H316" s="153" t="n"/>
      <c r="I316" s="153" t="n"/>
      <c r="J316" s="153" t="n"/>
      <c r="K316" s="153" t="n"/>
      <c r="L316" s="153" t="n"/>
      <c r="M316" s="153" t="n"/>
      <c r="N316" s="153" t="n"/>
      <c r="O316" s="153" t="n"/>
      <c r="P316" s="153" t="n"/>
      <c r="Q316" s="153" t="n"/>
      <c r="R316" s="153" t="n"/>
      <c r="S316" s="153" t="n"/>
      <c r="T316" s="153" t="n"/>
      <c r="U316" s="153" t="n"/>
      <c r="V316" s="153" t="n"/>
      <c r="W316" s="153" t="n"/>
      <c r="X316" s="153" t="n"/>
      <c r="Y316" s="153" t="n"/>
      <c r="Z316" s="153" t="n"/>
    </row>
    <row r="317" ht="15.75" customHeight="1" s="154">
      <c r="G317" s="153" t="n"/>
      <c r="H317" s="153" t="n"/>
      <c r="I317" s="153" t="n"/>
      <c r="J317" s="153" t="n"/>
      <c r="K317" s="153" t="n"/>
      <c r="L317" s="153" t="n"/>
      <c r="M317" s="153" t="n"/>
      <c r="N317" s="153" t="n"/>
      <c r="O317" s="153" t="n"/>
      <c r="P317" s="153" t="n"/>
      <c r="Q317" s="153" t="n"/>
      <c r="R317" s="153" t="n"/>
      <c r="S317" s="153" t="n"/>
      <c r="T317" s="153" t="n"/>
      <c r="U317" s="153" t="n"/>
      <c r="V317" s="153" t="n"/>
      <c r="W317" s="153" t="n"/>
      <c r="X317" s="153" t="n"/>
      <c r="Y317" s="153" t="n"/>
      <c r="Z317" s="153" t="n"/>
    </row>
    <row r="318" ht="15.75" customHeight="1" s="154">
      <c r="G318" s="153" t="n"/>
      <c r="H318" s="153" t="n"/>
      <c r="I318" s="153" t="n"/>
      <c r="J318" s="153" t="n"/>
      <c r="K318" s="153" t="n"/>
      <c r="L318" s="153" t="n"/>
      <c r="M318" s="153" t="n"/>
      <c r="N318" s="153" t="n"/>
      <c r="O318" s="153" t="n"/>
      <c r="P318" s="153" t="n"/>
      <c r="Q318" s="153" t="n"/>
      <c r="R318" s="153" t="n"/>
      <c r="S318" s="153" t="n"/>
      <c r="T318" s="153" t="n"/>
      <c r="U318" s="153" t="n"/>
      <c r="V318" s="153" t="n"/>
      <c r="W318" s="153" t="n"/>
      <c r="X318" s="153" t="n"/>
      <c r="Y318" s="153" t="n"/>
      <c r="Z318" s="153" t="n"/>
    </row>
    <row r="319" ht="15.75" customHeight="1" s="154">
      <c r="G319" s="153" t="n"/>
      <c r="H319" s="153" t="n"/>
      <c r="I319" s="153" t="n"/>
      <c r="J319" s="153" t="n"/>
      <c r="K319" s="153" t="n"/>
      <c r="L319" s="153" t="n"/>
      <c r="M319" s="153" t="n"/>
      <c r="N319" s="153" t="n"/>
      <c r="O319" s="153" t="n"/>
      <c r="P319" s="153" t="n"/>
      <c r="Q319" s="153" t="n"/>
      <c r="R319" s="153" t="n"/>
      <c r="S319" s="153" t="n"/>
      <c r="T319" s="153" t="n"/>
      <c r="U319" s="153" t="n"/>
      <c r="V319" s="153" t="n"/>
      <c r="W319" s="153" t="n"/>
      <c r="X319" s="153" t="n"/>
      <c r="Y319" s="153" t="n"/>
      <c r="Z319" s="153" t="n"/>
    </row>
    <row r="320" ht="15.75" customHeight="1" s="154">
      <c r="G320" s="153" t="n"/>
      <c r="H320" s="153" t="n"/>
      <c r="I320" s="153" t="n"/>
      <c r="J320" s="153" t="n"/>
      <c r="K320" s="153" t="n"/>
      <c r="L320" s="153" t="n"/>
      <c r="M320" s="153" t="n"/>
      <c r="N320" s="153" t="n"/>
      <c r="O320" s="153" t="n"/>
      <c r="P320" s="153" t="n"/>
      <c r="Q320" s="153" t="n"/>
      <c r="R320" s="153" t="n"/>
      <c r="S320" s="153" t="n"/>
      <c r="T320" s="153" t="n"/>
      <c r="U320" s="153" t="n"/>
      <c r="V320" s="153" t="n"/>
      <c r="W320" s="153" t="n"/>
      <c r="X320" s="153" t="n"/>
      <c r="Y320" s="153" t="n"/>
      <c r="Z320" s="153" t="n"/>
    </row>
    <row r="321" ht="15.75" customHeight="1" s="154">
      <c r="G321" s="153" t="n"/>
      <c r="H321" s="153" t="n"/>
      <c r="I321" s="153" t="n"/>
      <c r="J321" s="153" t="n"/>
      <c r="K321" s="153" t="n"/>
      <c r="L321" s="153" t="n"/>
      <c r="M321" s="153" t="n"/>
      <c r="N321" s="153" t="n"/>
      <c r="O321" s="153" t="n"/>
      <c r="P321" s="153" t="n"/>
      <c r="Q321" s="153" t="n"/>
      <c r="R321" s="153" t="n"/>
      <c r="S321" s="153" t="n"/>
      <c r="T321" s="153" t="n"/>
      <c r="U321" s="153" t="n"/>
      <c r="V321" s="153" t="n"/>
      <c r="W321" s="153" t="n"/>
      <c r="X321" s="153" t="n"/>
      <c r="Y321" s="153" t="n"/>
      <c r="Z321" s="153" t="n"/>
    </row>
    <row r="322" ht="15.75" customHeight="1" s="154">
      <c r="G322" s="153" t="n"/>
      <c r="H322" s="153" t="n"/>
      <c r="I322" s="153" t="n"/>
      <c r="J322" s="153" t="n"/>
      <c r="K322" s="153" t="n"/>
      <c r="L322" s="153" t="n"/>
      <c r="M322" s="153" t="n"/>
      <c r="N322" s="153" t="n"/>
      <c r="O322" s="153" t="n"/>
      <c r="P322" s="153" t="n"/>
      <c r="Q322" s="153" t="n"/>
      <c r="R322" s="153" t="n"/>
      <c r="S322" s="153" t="n"/>
      <c r="T322" s="153" t="n"/>
      <c r="U322" s="153" t="n"/>
      <c r="V322" s="153" t="n"/>
      <c r="W322" s="153" t="n"/>
      <c r="X322" s="153" t="n"/>
      <c r="Y322" s="153" t="n"/>
      <c r="Z322" s="153" t="n"/>
    </row>
    <row r="323" ht="15.75" customHeight="1" s="154">
      <c r="G323" s="153" t="n"/>
      <c r="H323" s="153" t="n"/>
      <c r="I323" s="153" t="n"/>
      <c r="J323" s="153" t="n"/>
      <c r="K323" s="153" t="n"/>
      <c r="L323" s="153" t="n"/>
      <c r="M323" s="153" t="n"/>
      <c r="N323" s="153" t="n"/>
      <c r="O323" s="153" t="n"/>
      <c r="P323" s="153" t="n"/>
      <c r="Q323" s="153" t="n"/>
      <c r="R323" s="153" t="n"/>
      <c r="S323" s="153" t="n"/>
      <c r="T323" s="153" t="n"/>
      <c r="U323" s="153" t="n"/>
      <c r="V323" s="153" t="n"/>
      <c r="W323" s="153" t="n"/>
      <c r="X323" s="153" t="n"/>
      <c r="Y323" s="153" t="n"/>
      <c r="Z323" s="153" t="n"/>
    </row>
    <row r="324" ht="15.75" customHeight="1" s="154">
      <c r="G324" s="153" t="n"/>
      <c r="H324" s="153" t="n"/>
      <c r="I324" s="153" t="n"/>
      <c r="J324" s="153" t="n"/>
      <c r="K324" s="153" t="n"/>
      <c r="L324" s="153" t="n"/>
      <c r="M324" s="153" t="n"/>
      <c r="N324" s="153" t="n"/>
      <c r="O324" s="153" t="n"/>
      <c r="P324" s="153" t="n"/>
      <c r="Q324" s="153" t="n"/>
      <c r="R324" s="153" t="n"/>
      <c r="S324" s="153" t="n"/>
      <c r="T324" s="153" t="n"/>
      <c r="U324" s="153" t="n"/>
      <c r="V324" s="153" t="n"/>
      <c r="W324" s="153" t="n"/>
      <c r="X324" s="153" t="n"/>
      <c r="Y324" s="153" t="n"/>
      <c r="Z324" s="153" t="n"/>
    </row>
    <row r="325" ht="15.75" customHeight="1" s="154">
      <c r="G325" s="153" t="n"/>
      <c r="H325" s="153" t="n"/>
      <c r="I325" s="153" t="n"/>
      <c r="J325" s="153" t="n"/>
      <c r="K325" s="153" t="n"/>
      <c r="L325" s="153" t="n"/>
      <c r="M325" s="153" t="n"/>
      <c r="N325" s="153" t="n"/>
      <c r="O325" s="153" t="n"/>
      <c r="P325" s="153" t="n"/>
      <c r="Q325" s="153" t="n"/>
      <c r="R325" s="153" t="n"/>
      <c r="S325" s="153" t="n"/>
      <c r="T325" s="153" t="n"/>
      <c r="U325" s="153" t="n"/>
      <c r="V325" s="153" t="n"/>
      <c r="W325" s="153" t="n"/>
      <c r="X325" s="153" t="n"/>
      <c r="Y325" s="153" t="n"/>
      <c r="Z325" s="153" t="n"/>
    </row>
    <row r="326" ht="15.75" customHeight="1" s="154">
      <c r="G326" s="153" t="n"/>
      <c r="H326" s="153" t="n"/>
      <c r="I326" s="153" t="n"/>
      <c r="J326" s="153" t="n"/>
      <c r="K326" s="153" t="n"/>
      <c r="L326" s="153" t="n"/>
      <c r="M326" s="153" t="n"/>
      <c r="N326" s="153" t="n"/>
      <c r="O326" s="153" t="n"/>
      <c r="P326" s="153" t="n"/>
      <c r="Q326" s="153" t="n"/>
      <c r="R326" s="153" t="n"/>
      <c r="S326" s="153" t="n"/>
      <c r="T326" s="153" t="n"/>
      <c r="U326" s="153" t="n"/>
      <c r="V326" s="153" t="n"/>
      <c r="W326" s="153" t="n"/>
      <c r="X326" s="153" t="n"/>
      <c r="Y326" s="153" t="n"/>
      <c r="Z326" s="153" t="n"/>
    </row>
    <row r="327" ht="15.75" customHeight="1" s="154">
      <c r="G327" s="153" t="n"/>
      <c r="H327" s="153" t="n"/>
      <c r="I327" s="153" t="n"/>
      <c r="J327" s="153" t="n"/>
      <c r="K327" s="153" t="n"/>
      <c r="L327" s="153" t="n"/>
      <c r="M327" s="153" t="n"/>
      <c r="N327" s="153" t="n"/>
      <c r="O327" s="153" t="n"/>
      <c r="P327" s="153" t="n"/>
      <c r="Q327" s="153" t="n"/>
      <c r="R327" s="153" t="n"/>
      <c r="S327" s="153" t="n"/>
      <c r="T327" s="153" t="n"/>
      <c r="U327" s="153" t="n"/>
      <c r="V327" s="153" t="n"/>
      <c r="W327" s="153" t="n"/>
      <c r="X327" s="153" t="n"/>
      <c r="Y327" s="153" t="n"/>
      <c r="Z327" s="153" t="n"/>
    </row>
    <row r="328" ht="15.75" customHeight="1" s="154">
      <c r="G328" s="153" t="n"/>
      <c r="H328" s="153" t="n"/>
      <c r="I328" s="153" t="n"/>
      <c r="J328" s="153" t="n"/>
      <c r="K328" s="153" t="n"/>
      <c r="L328" s="153" t="n"/>
      <c r="M328" s="153" t="n"/>
      <c r="N328" s="153" t="n"/>
      <c r="O328" s="153" t="n"/>
      <c r="P328" s="153" t="n"/>
      <c r="Q328" s="153" t="n"/>
      <c r="R328" s="153" t="n"/>
      <c r="S328" s="153" t="n"/>
      <c r="T328" s="153" t="n"/>
      <c r="U328" s="153" t="n"/>
      <c r="V328" s="153" t="n"/>
      <c r="W328" s="153" t="n"/>
      <c r="X328" s="153" t="n"/>
      <c r="Y328" s="153" t="n"/>
      <c r="Z328" s="153" t="n"/>
    </row>
    <row r="329" ht="15.75" customHeight="1" s="154">
      <c r="G329" s="153" t="n"/>
      <c r="H329" s="153" t="n"/>
      <c r="I329" s="153" t="n"/>
      <c r="J329" s="153" t="n"/>
      <c r="K329" s="153" t="n"/>
      <c r="L329" s="153" t="n"/>
      <c r="M329" s="153" t="n"/>
      <c r="N329" s="153" t="n"/>
      <c r="O329" s="153" t="n"/>
      <c r="P329" s="153" t="n"/>
      <c r="Q329" s="153" t="n"/>
      <c r="R329" s="153" t="n"/>
      <c r="S329" s="153" t="n"/>
      <c r="T329" s="153" t="n"/>
      <c r="U329" s="153" t="n"/>
      <c r="V329" s="153" t="n"/>
      <c r="W329" s="153" t="n"/>
      <c r="X329" s="153" t="n"/>
      <c r="Y329" s="153" t="n"/>
      <c r="Z329" s="153" t="n"/>
    </row>
    <row r="330" ht="15.75" customHeight="1" s="154">
      <c r="G330" s="153" t="n"/>
      <c r="H330" s="153" t="n"/>
      <c r="I330" s="153" t="n"/>
      <c r="J330" s="153" t="n"/>
      <c r="K330" s="153" t="n"/>
      <c r="L330" s="153" t="n"/>
      <c r="M330" s="153" t="n"/>
      <c r="N330" s="153" t="n"/>
      <c r="O330" s="153" t="n"/>
      <c r="P330" s="153" t="n"/>
      <c r="Q330" s="153" t="n"/>
      <c r="R330" s="153" t="n"/>
      <c r="S330" s="153" t="n"/>
      <c r="T330" s="153" t="n"/>
      <c r="U330" s="153" t="n"/>
      <c r="V330" s="153" t="n"/>
      <c r="W330" s="153" t="n"/>
      <c r="X330" s="153" t="n"/>
      <c r="Y330" s="153" t="n"/>
      <c r="Z330" s="153" t="n"/>
    </row>
    <row r="331" ht="15.75" customHeight="1" s="154">
      <c r="G331" s="153" t="n"/>
      <c r="H331" s="153" t="n"/>
      <c r="I331" s="153" t="n"/>
      <c r="J331" s="153" t="n"/>
      <c r="K331" s="153" t="n"/>
      <c r="L331" s="153" t="n"/>
      <c r="M331" s="153" t="n"/>
      <c r="N331" s="153" t="n"/>
      <c r="O331" s="153" t="n"/>
      <c r="P331" s="153" t="n"/>
      <c r="Q331" s="153" t="n"/>
      <c r="R331" s="153" t="n"/>
      <c r="S331" s="153" t="n"/>
      <c r="T331" s="153" t="n"/>
      <c r="U331" s="153" t="n"/>
      <c r="V331" s="153" t="n"/>
      <c r="W331" s="153" t="n"/>
      <c r="X331" s="153" t="n"/>
      <c r="Y331" s="153" t="n"/>
      <c r="Z331" s="153" t="n"/>
    </row>
    <row r="332" ht="15.75" customHeight="1" s="154">
      <c r="G332" s="153" t="n"/>
      <c r="H332" s="153" t="n"/>
      <c r="I332" s="153" t="n"/>
      <c r="J332" s="153" t="n"/>
      <c r="K332" s="153" t="n"/>
      <c r="L332" s="153" t="n"/>
      <c r="M332" s="153" t="n"/>
      <c r="N332" s="153" t="n"/>
      <c r="O332" s="153" t="n"/>
      <c r="P332" s="153" t="n"/>
      <c r="Q332" s="153" t="n"/>
      <c r="R332" s="153" t="n"/>
      <c r="S332" s="153" t="n"/>
      <c r="T332" s="153" t="n"/>
      <c r="U332" s="153" t="n"/>
      <c r="V332" s="153" t="n"/>
      <c r="W332" s="153" t="n"/>
      <c r="X332" s="153" t="n"/>
      <c r="Y332" s="153" t="n"/>
      <c r="Z332" s="153" t="n"/>
    </row>
    <row r="333" ht="15.75" customHeight="1" s="154">
      <c r="G333" s="153" t="n"/>
      <c r="H333" s="153" t="n"/>
      <c r="I333" s="153" t="n"/>
      <c r="J333" s="153" t="n"/>
      <c r="K333" s="153" t="n"/>
      <c r="L333" s="153" t="n"/>
      <c r="M333" s="153" t="n"/>
      <c r="N333" s="153" t="n"/>
      <c r="O333" s="153" t="n"/>
      <c r="P333" s="153" t="n"/>
      <c r="Q333" s="153" t="n"/>
      <c r="R333" s="153" t="n"/>
      <c r="S333" s="153" t="n"/>
      <c r="T333" s="153" t="n"/>
      <c r="U333" s="153" t="n"/>
      <c r="V333" s="153" t="n"/>
      <c r="W333" s="153" t="n"/>
      <c r="X333" s="153" t="n"/>
      <c r="Y333" s="153" t="n"/>
      <c r="Z333" s="153" t="n"/>
    </row>
    <row r="334" ht="15.75" customHeight="1" s="154">
      <c r="G334" s="153" t="n"/>
      <c r="H334" s="153" t="n"/>
      <c r="I334" s="153" t="n"/>
      <c r="J334" s="153" t="n"/>
      <c r="K334" s="153" t="n"/>
      <c r="L334" s="153" t="n"/>
      <c r="M334" s="153" t="n"/>
      <c r="N334" s="153" t="n"/>
      <c r="O334" s="153" t="n"/>
      <c r="P334" s="153" t="n"/>
      <c r="Q334" s="153" t="n"/>
      <c r="R334" s="153" t="n"/>
      <c r="S334" s="153" t="n"/>
      <c r="T334" s="153" t="n"/>
      <c r="U334" s="153" t="n"/>
      <c r="V334" s="153" t="n"/>
      <c r="W334" s="153" t="n"/>
      <c r="X334" s="153" t="n"/>
      <c r="Y334" s="153" t="n"/>
      <c r="Z334" s="153" t="n"/>
    </row>
    <row r="335" ht="15.75" customHeight="1" s="154">
      <c r="G335" s="153" t="n"/>
      <c r="H335" s="153" t="n"/>
      <c r="I335" s="153" t="n"/>
      <c r="J335" s="153" t="n"/>
      <c r="K335" s="153" t="n"/>
      <c r="L335" s="153" t="n"/>
      <c r="M335" s="153" t="n"/>
      <c r="N335" s="153" t="n"/>
      <c r="O335" s="153" t="n"/>
      <c r="P335" s="153" t="n"/>
      <c r="Q335" s="153" t="n"/>
      <c r="R335" s="153" t="n"/>
      <c r="S335" s="153" t="n"/>
      <c r="T335" s="153" t="n"/>
      <c r="U335" s="153" t="n"/>
      <c r="V335" s="153" t="n"/>
      <c r="W335" s="153" t="n"/>
      <c r="X335" s="153" t="n"/>
      <c r="Y335" s="153" t="n"/>
      <c r="Z335" s="153" t="n"/>
    </row>
    <row r="336" ht="15.75" customHeight="1" s="154">
      <c r="G336" s="153" t="n"/>
      <c r="H336" s="153" t="n"/>
      <c r="I336" s="153" t="n"/>
      <c r="J336" s="153" t="n"/>
      <c r="K336" s="153" t="n"/>
      <c r="L336" s="153" t="n"/>
      <c r="M336" s="153" t="n"/>
      <c r="N336" s="153" t="n"/>
      <c r="O336" s="153" t="n"/>
      <c r="P336" s="153" t="n"/>
      <c r="Q336" s="153" t="n"/>
      <c r="R336" s="153" t="n"/>
      <c r="S336" s="153" t="n"/>
      <c r="T336" s="153" t="n"/>
      <c r="U336" s="153" t="n"/>
      <c r="V336" s="153" t="n"/>
      <c r="W336" s="153" t="n"/>
      <c r="X336" s="153" t="n"/>
      <c r="Y336" s="153" t="n"/>
      <c r="Z336" s="153" t="n"/>
    </row>
    <row r="337" ht="15.75" customHeight="1" s="154">
      <c r="G337" s="153" t="n"/>
      <c r="H337" s="153" t="n"/>
      <c r="I337" s="153" t="n"/>
      <c r="J337" s="153" t="n"/>
      <c r="K337" s="153" t="n"/>
      <c r="L337" s="153" t="n"/>
      <c r="M337" s="153" t="n"/>
      <c r="N337" s="153" t="n"/>
      <c r="O337" s="153" t="n"/>
      <c r="P337" s="153" t="n"/>
      <c r="Q337" s="153" t="n"/>
      <c r="R337" s="153" t="n"/>
      <c r="S337" s="153" t="n"/>
      <c r="T337" s="153" t="n"/>
      <c r="U337" s="153" t="n"/>
      <c r="V337" s="153" t="n"/>
      <c r="W337" s="153" t="n"/>
      <c r="X337" s="153" t="n"/>
      <c r="Y337" s="153" t="n"/>
      <c r="Z337" s="153" t="n"/>
    </row>
    <row r="338" ht="15.75" customHeight="1" s="154">
      <c r="G338" s="153" t="n"/>
      <c r="H338" s="153" t="n"/>
      <c r="I338" s="153" t="n"/>
      <c r="J338" s="153" t="n"/>
      <c r="K338" s="153" t="n"/>
      <c r="L338" s="153" t="n"/>
      <c r="M338" s="153" t="n"/>
      <c r="N338" s="153" t="n"/>
      <c r="O338" s="153" t="n"/>
      <c r="P338" s="153" t="n"/>
      <c r="Q338" s="153" t="n"/>
      <c r="R338" s="153" t="n"/>
      <c r="S338" s="153" t="n"/>
      <c r="T338" s="153" t="n"/>
      <c r="U338" s="153" t="n"/>
      <c r="V338" s="153" t="n"/>
      <c r="W338" s="153" t="n"/>
      <c r="X338" s="153" t="n"/>
      <c r="Y338" s="153" t="n"/>
      <c r="Z338" s="153" t="n"/>
    </row>
    <row r="339" ht="15.75" customHeight="1" s="154">
      <c r="G339" s="153" t="n"/>
      <c r="H339" s="153" t="n"/>
      <c r="I339" s="153" t="n"/>
      <c r="J339" s="153" t="n"/>
      <c r="K339" s="153" t="n"/>
      <c r="L339" s="153" t="n"/>
      <c r="M339" s="153" t="n"/>
      <c r="N339" s="153" t="n"/>
      <c r="O339" s="153" t="n"/>
      <c r="P339" s="153" t="n"/>
      <c r="Q339" s="153" t="n"/>
      <c r="R339" s="153" t="n"/>
      <c r="S339" s="153" t="n"/>
      <c r="T339" s="153" t="n"/>
      <c r="U339" s="153" t="n"/>
      <c r="V339" s="153" t="n"/>
      <c r="W339" s="153" t="n"/>
      <c r="X339" s="153" t="n"/>
      <c r="Y339" s="153" t="n"/>
      <c r="Z339" s="153" t="n"/>
    </row>
    <row r="340" ht="15.75" customHeight="1" s="154">
      <c r="G340" s="153" t="n"/>
      <c r="H340" s="153" t="n"/>
      <c r="I340" s="153" t="n"/>
      <c r="J340" s="153" t="n"/>
      <c r="K340" s="153" t="n"/>
      <c r="L340" s="153" t="n"/>
      <c r="M340" s="153" t="n"/>
      <c r="N340" s="153" t="n"/>
      <c r="O340" s="153" t="n"/>
      <c r="P340" s="153" t="n"/>
      <c r="Q340" s="153" t="n"/>
      <c r="R340" s="153" t="n"/>
      <c r="S340" s="153" t="n"/>
      <c r="T340" s="153" t="n"/>
      <c r="U340" s="153" t="n"/>
      <c r="V340" s="153" t="n"/>
      <c r="W340" s="153" t="n"/>
      <c r="X340" s="153" t="n"/>
      <c r="Y340" s="153" t="n"/>
      <c r="Z340" s="153" t="n"/>
    </row>
    <row r="341" ht="15.75" customHeight="1" s="154">
      <c r="G341" s="153" t="n"/>
      <c r="H341" s="153" t="n"/>
      <c r="I341" s="153" t="n"/>
      <c r="J341" s="153" t="n"/>
      <c r="K341" s="153" t="n"/>
      <c r="L341" s="153" t="n"/>
      <c r="M341" s="153" t="n"/>
      <c r="N341" s="153" t="n"/>
      <c r="O341" s="153" t="n"/>
      <c r="P341" s="153" t="n"/>
      <c r="Q341" s="153" t="n"/>
      <c r="R341" s="153" t="n"/>
      <c r="S341" s="153" t="n"/>
      <c r="T341" s="153" t="n"/>
      <c r="U341" s="153" t="n"/>
      <c r="V341" s="153" t="n"/>
      <c r="W341" s="153" t="n"/>
      <c r="X341" s="153" t="n"/>
      <c r="Y341" s="153" t="n"/>
      <c r="Z341" s="153" t="n"/>
    </row>
    <row r="342" ht="15.75" customHeight="1" s="154">
      <c r="G342" s="153" t="n"/>
      <c r="H342" s="153" t="n"/>
      <c r="I342" s="153" t="n"/>
      <c r="J342" s="153" t="n"/>
      <c r="K342" s="153" t="n"/>
      <c r="L342" s="153" t="n"/>
      <c r="M342" s="153" t="n"/>
      <c r="N342" s="153" t="n"/>
      <c r="O342" s="153" t="n"/>
      <c r="P342" s="153" t="n"/>
      <c r="Q342" s="153" t="n"/>
      <c r="R342" s="153" t="n"/>
      <c r="S342" s="153" t="n"/>
      <c r="T342" s="153" t="n"/>
      <c r="U342" s="153" t="n"/>
      <c r="V342" s="153" t="n"/>
      <c r="W342" s="153" t="n"/>
      <c r="X342" s="153" t="n"/>
      <c r="Y342" s="153" t="n"/>
      <c r="Z342" s="153" t="n"/>
    </row>
    <row r="343" ht="15.75" customHeight="1" s="154">
      <c r="G343" s="153" t="n"/>
      <c r="H343" s="153" t="n"/>
      <c r="I343" s="153" t="n"/>
      <c r="J343" s="153" t="n"/>
      <c r="K343" s="153" t="n"/>
      <c r="L343" s="153" t="n"/>
      <c r="M343" s="153" t="n"/>
      <c r="N343" s="153" t="n"/>
      <c r="O343" s="153" t="n"/>
      <c r="P343" s="153" t="n"/>
      <c r="Q343" s="153" t="n"/>
      <c r="R343" s="153" t="n"/>
      <c r="S343" s="153" t="n"/>
      <c r="T343" s="153" t="n"/>
      <c r="U343" s="153" t="n"/>
      <c r="V343" s="153" t="n"/>
      <c r="W343" s="153" t="n"/>
      <c r="X343" s="153" t="n"/>
      <c r="Y343" s="153" t="n"/>
      <c r="Z343" s="153" t="n"/>
    </row>
    <row r="344" ht="15.75" customHeight="1" s="154">
      <c r="G344" s="153" t="n"/>
      <c r="H344" s="153" t="n"/>
      <c r="I344" s="153" t="n"/>
      <c r="J344" s="153" t="n"/>
      <c r="K344" s="153" t="n"/>
      <c r="L344" s="153" t="n"/>
      <c r="M344" s="153" t="n"/>
      <c r="N344" s="153" t="n"/>
      <c r="O344" s="153" t="n"/>
      <c r="P344" s="153" t="n"/>
      <c r="Q344" s="153" t="n"/>
      <c r="R344" s="153" t="n"/>
      <c r="S344" s="153" t="n"/>
      <c r="T344" s="153" t="n"/>
      <c r="U344" s="153" t="n"/>
      <c r="V344" s="153" t="n"/>
      <c r="W344" s="153" t="n"/>
      <c r="X344" s="153" t="n"/>
      <c r="Y344" s="153" t="n"/>
      <c r="Z344" s="153" t="n"/>
    </row>
    <row r="345" ht="15.75" customHeight="1" s="154">
      <c r="G345" s="153" t="n"/>
      <c r="H345" s="153" t="n"/>
      <c r="I345" s="153" t="n"/>
      <c r="J345" s="153" t="n"/>
      <c r="K345" s="153" t="n"/>
      <c r="L345" s="153" t="n"/>
      <c r="M345" s="153" t="n"/>
      <c r="N345" s="153" t="n"/>
      <c r="O345" s="153" t="n"/>
      <c r="P345" s="153" t="n"/>
      <c r="Q345" s="153" t="n"/>
      <c r="R345" s="153" t="n"/>
      <c r="S345" s="153" t="n"/>
      <c r="T345" s="153" t="n"/>
      <c r="U345" s="153" t="n"/>
      <c r="V345" s="153" t="n"/>
      <c r="W345" s="153" t="n"/>
      <c r="X345" s="153" t="n"/>
      <c r="Y345" s="153" t="n"/>
      <c r="Z345" s="153" t="n"/>
    </row>
    <row r="346" ht="15.75" customHeight="1" s="154">
      <c r="G346" s="153" t="n"/>
      <c r="H346" s="153" t="n"/>
      <c r="I346" s="153" t="n"/>
      <c r="J346" s="153" t="n"/>
      <c r="K346" s="153" t="n"/>
      <c r="L346" s="153" t="n"/>
      <c r="M346" s="153" t="n"/>
      <c r="N346" s="153" t="n"/>
      <c r="O346" s="153" t="n"/>
      <c r="P346" s="153" t="n"/>
      <c r="Q346" s="153" t="n"/>
      <c r="R346" s="153" t="n"/>
      <c r="S346" s="153" t="n"/>
      <c r="T346" s="153" t="n"/>
      <c r="U346" s="153" t="n"/>
      <c r="V346" s="153" t="n"/>
      <c r="W346" s="153" t="n"/>
      <c r="X346" s="153" t="n"/>
      <c r="Y346" s="153" t="n"/>
      <c r="Z346" s="153" t="n"/>
    </row>
    <row r="347" ht="15.75" customHeight="1" s="154">
      <c r="G347" s="153" t="n"/>
      <c r="H347" s="153" t="n"/>
      <c r="I347" s="153" t="n"/>
      <c r="J347" s="153" t="n"/>
      <c r="K347" s="153" t="n"/>
      <c r="L347" s="153" t="n"/>
      <c r="M347" s="153" t="n"/>
      <c r="N347" s="153" t="n"/>
      <c r="O347" s="153" t="n"/>
      <c r="P347" s="153" t="n"/>
      <c r="Q347" s="153" t="n"/>
      <c r="R347" s="153" t="n"/>
      <c r="S347" s="153" t="n"/>
      <c r="T347" s="153" t="n"/>
      <c r="U347" s="153" t="n"/>
      <c r="V347" s="153" t="n"/>
      <c r="W347" s="153" t="n"/>
      <c r="X347" s="153" t="n"/>
      <c r="Y347" s="153" t="n"/>
      <c r="Z347" s="153" t="n"/>
    </row>
    <row r="348" ht="15.75" customHeight="1" s="154">
      <c r="G348" s="153" t="n"/>
      <c r="H348" s="153" t="n"/>
      <c r="I348" s="153" t="n"/>
      <c r="J348" s="153" t="n"/>
      <c r="K348" s="153" t="n"/>
      <c r="L348" s="153" t="n"/>
      <c r="M348" s="153" t="n"/>
      <c r="N348" s="153" t="n"/>
      <c r="O348" s="153" t="n"/>
      <c r="P348" s="153" t="n"/>
      <c r="Q348" s="153" t="n"/>
      <c r="R348" s="153" t="n"/>
      <c r="S348" s="153" t="n"/>
      <c r="T348" s="153" t="n"/>
      <c r="U348" s="153" t="n"/>
      <c r="V348" s="153" t="n"/>
      <c r="W348" s="153" t="n"/>
      <c r="X348" s="153" t="n"/>
      <c r="Y348" s="153" t="n"/>
      <c r="Z348" s="153" t="n"/>
    </row>
    <row r="349" ht="15.75" customHeight="1" s="154">
      <c r="G349" s="153" t="n"/>
      <c r="H349" s="153" t="n"/>
      <c r="I349" s="153" t="n"/>
      <c r="J349" s="153" t="n"/>
      <c r="K349" s="153" t="n"/>
      <c r="L349" s="153" t="n"/>
      <c r="M349" s="153" t="n"/>
      <c r="N349" s="153" t="n"/>
      <c r="O349" s="153" t="n"/>
      <c r="P349" s="153" t="n"/>
      <c r="Q349" s="153" t="n"/>
      <c r="R349" s="153" t="n"/>
      <c r="S349" s="153" t="n"/>
      <c r="T349" s="153" t="n"/>
      <c r="U349" s="153" t="n"/>
      <c r="V349" s="153" t="n"/>
      <c r="W349" s="153" t="n"/>
      <c r="X349" s="153" t="n"/>
      <c r="Y349" s="153" t="n"/>
      <c r="Z349" s="153" t="n"/>
    </row>
    <row r="350" ht="15.75" customHeight="1" s="154">
      <c r="G350" s="153" t="n"/>
      <c r="H350" s="153" t="n"/>
      <c r="I350" s="153" t="n"/>
      <c r="J350" s="153" t="n"/>
      <c r="K350" s="153" t="n"/>
      <c r="L350" s="153" t="n"/>
      <c r="M350" s="153" t="n"/>
      <c r="N350" s="153" t="n"/>
      <c r="O350" s="153" t="n"/>
      <c r="P350" s="153" t="n"/>
      <c r="Q350" s="153" t="n"/>
      <c r="R350" s="153" t="n"/>
      <c r="S350" s="153" t="n"/>
      <c r="T350" s="153" t="n"/>
      <c r="U350" s="153" t="n"/>
      <c r="V350" s="153" t="n"/>
      <c r="W350" s="153" t="n"/>
      <c r="X350" s="153" t="n"/>
      <c r="Y350" s="153" t="n"/>
      <c r="Z350" s="153" t="n"/>
    </row>
    <row r="351" ht="15.75" customHeight="1" s="154">
      <c r="G351" s="153" t="n"/>
      <c r="H351" s="153" t="n"/>
      <c r="I351" s="153" t="n"/>
      <c r="J351" s="153" t="n"/>
      <c r="K351" s="153" t="n"/>
      <c r="L351" s="153" t="n"/>
      <c r="M351" s="153" t="n"/>
      <c r="N351" s="153" t="n"/>
      <c r="O351" s="153" t="n"/>
      <c r="P351" s="153" t="n"/>
      <c r="Q351" s="153" t="n"/>
      <c r="R351" s="153" t="n"/>
      <c r="S351" s="153" t="n"/>
      <c r="T351" s="153" t="n"/>
      <c r="U351" s="153" t="n"/>
      <c r="V351" s="153" t="n"/>
      <c r="W351" s="153" t="n"/>
      <c r="X351" s="153" t="n"/>
      <c r="Y351" s="153" t="n"/>
      <c r="Z351" s="153" t="n"/>
    </row>
    <row r="352" ht="15.75" customHeight="1" s="154">
      <c r="G352" s="153" t="n"/>
      <c r="H352" s="153" t="n"/>
      <c r="I352" s="153" t="n"/>
      <c r="J352" s="153" t="n"/>
      <c r="K352" s="153" t="n"/>
      <c r="L352" s="153" t="n"/>
      <c r="M352" s="153" t="n"/>
      <c r="N352" s="153" t="n"/>
      <c r="O352" s="153" t="n"/>
      <c r="P352" s="153" t="n"/>
      <c r="Q352" s="153" t="n"/>
      <c r="R352" s="153" t="n"/>
      <c r="S352" s="153" t="n"/>
      <c r="T352" s="153" t="n"/>
      <c r="U352" s="153" t="n"/>
      <c r="V352" s="153" t="n"/>
      <c r="W352" s="153" t="n"/>
      <c r="X352" s="153" t="n"/>
      <c r="Y352" s="153" t="n"/>
      <c r="Z352" s="153" t="n"/>
    </row>
    <row r="353" ht="15.75" customHeight="1" s="154">
      <c r="G353" s="153" t="n"/>
      <c r="H353" s="153" t="n"/>
      <c r="I353" s="153" t="n"/>
      <c r="J353" s="153" t="n"/>
      <c r="K353" s="153" t="n"/>
      <c r="L353" s="153" t="n"/>
      <c r="M353" s="153" t="n"/>
      <c r="N353" s="153" t="n"/>
      <c r="O353" s="153" t="n"/>
      <c r="P353" s="153" t="n"/>
      <c r="Q353" s="153" t="n"/>
      <c r="R353" s="153" t="n"/>
      <c r="S353" s="153" t="n"/>
      <c r="T353" s="153" t="n"/>
      <c r="U353" s="153" t="n"/>
      <c r="V353" s="153" t="n"/>
      <c r="W353" s="153" t="n"/>
      <c r="X353" s="153" t="n"/>
      <c r="Y353" s="153" t="n"/>
      <c r="Z353" s="153" t="n"/>
    </row>
    <row r="354" ht="15.75" customHeight="1" s="154">
      <c r="G354" s="153" t="n"/>
      <c r="H354" s="153" t="n"/>
      <c r="I354" s="153" t="n"/>
      <c r="J354" s="153" t="n"/>
      <c r="K354" s="153" t="n"/>
      <c r="L354" s="153" t="n"/>
      <c r="M354" s="153" t="n"/>
      <c r="N354" s="153" t="n"/>
      <c r="O354" s="153" t="n"/>
      <c r="P354" s="153" t="n"/>
      <c r="Q354" s="153" t="n"/>
      <c r="R354" s="153" t="n"/>
      <c r="S354" s="153" t="n"/>
      <c r="T354" s="153" t="n"/>
      <c r="U354" s="153" t="n"/>
      <c r="V354" s="153" t="n"/>
      <c r="W354" s="153" t="n"/>
      <c r="X354" s="153" t="n"/>
      <c r="Y354" s="153" t="n"/>
      <c r="Z354" s="153" t="n"/>
    </row>
    <row r="355" ht="15.75" customHeight="1" s="154">
      <c r="G355" s="153" t="n"/>
      <c r="H355" s="153" t="n"/>
      <c r="I355" s="153" t="n"/>
      <c r="J355" s="153" t="n"/>
      <c r="K355" s="153" t="n"/>
      <c r="L355" s="153" t="n"/>
      <c r="M355" s="153" t="n"/>
      <c r="N355" s="153" t="n"/>
      <c r="O355" s="153" t="n"/>
      <c r="P355" s="153" t="n"/>
      <c r="Q355" s="153" t="n"/>
      <c r="R355" s="153" t="n"/>
      <c r="S355" s="153" t="n"/>
      <c r="T355" s="153" t="n"/>
      <c r="U355" s="153" t="n"/>
      <c r="V355" s="153" t="n"/>
      <c r="W355" s="153" t="n"/>
      <c r="X355" s="153" t="n"/>
      <c r="Y355" s="153" t="n"/>
      <c r="Z355" s="153" t="n"/>
    </row>
    <row r="356" ht="15.75" customHeight="1" s="154">
      <c r="G356" s="153" t="n"/>
      <c r="H356" s="153" t="n"/>
      <c r="I356" s="153" t="n"/>
      <c r="J356" s="153" t="n"/>
      <c r="K356" s="153" t="n"/>
      <c r="L356" s="153" t="n"/>
      <c r="M356" s="153" t="n"/>
      <c r="N356" s="153" t="n"/>
      <c r="O356" s="153" t="n"/>
      <c r="P356" s="153" t="n"/>
      <c r="Q356" s="153" t="n"/>
      <c r="R356" s="153" t="n"/>
      <c r="S356" s="153" t="n"/>
      <c r="T356" s="153" t="n"/>
      <c r="U356" s="153" t="n"/>
      <c r="V356" s="153" t="n"/>
      <c r="W356" s="153" t="n"/>
      <c r="X356" s="153" t="n"/>
      <c r="Y356" s="153" t="n"/>
      <c r="Z356" s="153" t="n"/>
    </row>
    <row r="357" ht="15.75" customHeight="1" s="154">
      <c r="G357" s="153" t="n"/>
      <c r="H357" s="153" t="n"/>
      <c r="I357" s="153" t="n"/>
      <c r="J357" s="153" t="n"/>
      <c r="K357" s="153" t="n"/>
      <c r="L357" s="153" t="n"/>
      <c r="M357" s="153" t="n"/>
      <c r="N357" s="153" t="n"/>
      <c r="O357" s="153" t="n"/>
      <c r="P357" s="153" t="n"/>
      <c r="Q357" s="153" t="n"/>
      <c r="R357" s="153" t="n"/>
      <c r="S357" s="153" t="n"/>
      <c r="T357" s="153" t="n"/>
      <c r="U357" s="153" t="n"/>
      <c r="V357" s="153" t="n"/>
      <c r="W357" s="153" t="n"/>
      <c r="X357" s="153" t="n"/>
      <c r="Y357" s="153" t="n"/>
      <c r="Z357" s="153" t="n"/>
    </row>
    <row r="358" ht="15.75" customHeight="1" s="154">
      <c r="G358" s="153" t="n"/>
      <c r="H358" s="153" t="n"/>
      <c r="I358" s="153" t="n"/>
      <c r="J358" s="153" t="n"/>
      <c r="K358" s="153" t="n"/>
      <c r="L358" s="153" t="n"/>
      <c r="M358" s="153" t="n"/>
      <c r="N358" s="153" t="n"/>
      <c r="O358" s="153" t="n"/>
      <c r="P358" s="153" t="n"/>
      <c r="Q358" s="153" t="n"/>
      <c r="R358" s="153" t="n"/>
      <c r="S358" s="153" t="n"/>
      <c r="T358" s="153" t="n"/>
      <c r="U358" s="153" t="n"/>
      <c r="V358" s="153" t="n"/>
      <c r="W358" s="153" t="n"/>
      <c r="X358" s="153" t="n"/>
      <c r="Y358" s="153" t="n"/>
      <c r="Z358" s="153" t="n"/>
    </row>
    <row r="359" ht="15.75" customHeight="1" s="154">
      <c r="G359" s="153" t="n"/>
      <c r="H359" s="153" t="n"/>
      <c r="I359" s="153" t="n"/>
      <c r="J359" s="153" t="n"/>
      <c r="K359" s="153" t="n"/>
      <c r="L359" s="153" t="n"/>
      <c r="M359" s="153" t="n"/>
      <c r="N359" s="153" t="n"/>
      <c r="O359" s="153" t="n"/>
      <c r="P359" s="153" t="n"/>
      <c r="Q359" s="153" t="n"/>
      <c r="R359" s="153" t="n"/>
      <c r="S359" s="153" t="n"/>
      <c r="T359" s="153" t="n"/>
      <c r="U359" s="153" t="n"/>
      <c r="V359" s="153" t="n"/>
      <c r="W359" s="153" t="n"/>
      <c r="X359" s="153" t="n"/>
      <c r="Y359" s="153" t="n"/>
      <c r="Z359" s="153" t="n"/>
    </row>
    <row r="360" ht="15.75" customHeight="1" s="154">
      <c r="G360" s="153" t="n"/>
      <c r="H360" s="153" t="n"/>
      <c r="I360" s="153" t="n"/>
      <c r="J360" s="153" t="n"/>
      <c r="K360" s="153" t="n"/>
      <c r="L360" s="153" t="n"/>
      <c r="M360" s="153" t="n"/>
      <c r="N360" s="153" t="n"/>
      <c r="O360" s="153" t="n"/>
      <c r="P360" s="153" t="n"/>
      <c r="Q360" s="153" t="n"/>
      <c r="R360" s="153" t="n"/>
      <c r="S360" s="153" t="n"/>
      <c r="T360" s="153" t="n"/>
      <c r="U360" s="153" t="n"/>
      <c r="V360" s="153" t="n"/>
      <c r="W360" s="153" t="n"/>
      <c r="X360" s="153" t="n"/>
      <c r="Y360" s="153" t="n"/>
      <c r="Z360" s="153" t="n"/>
    </row>
    <row r="361" ht="15.75" customHeight="1" s="154">
      <c r="G361" s="153" t="n"/>
      <c r="H361" s="153" t="n"/>
      <c r="I361" s="153" t="n"/>
      <c r="J361" s="153" t="n"/>
      <c r="K361" s="153" t="n"/>
      <c r="L361" s="153" t="n"/>
      <c r="M361" s="153" t="n"/>
      <c r="N361" s="153" t="n"/>
      <c r="O361" s="153" t="n"/>
      <c r="P361" s="153" t="n"/>
      <c r="Q361" s="153" t="n"/>
      <c r="R361" s="153" t="n"/>
      <c r="S361" s="153" t="n"/>
      <c r="T361" s="153" t="n"/>
      <c r="U361" s="153" t="n"/>
      <c r="V361" s="153" t="n"/>
      <c r="W361" s="153" t="n"/>
      <c r="X361" s="153" t="n"/>
      <c r="Y361" s="153" t="n"/>
      <c r="Z361" s="153" t="n"/>
    </row>
    <row r="362" ht="15.75" customHeight="1" s="154">
      <c r="G362" s="153" t="n"/>
      <c r="H362" s="153" t="n"/>
      <c r="I362" s="153" t="n"/>
      <c r="J362" s="153" t="n"/>
      <c r="K362" s="153" t="n"/>
      <c r="L362" s="153" t="n"/>
      <c r="M362" s="153" t="n"/>
      <c r="N362" s="153" t="n"/>
      <c r="O362" s="153" t="n"/>
      <c r="P362" s="153" t="n"/>
      <c r="Q362" s="153" t="n"/>
      <c r="R362" s="153" t="n"/>
      <c r="S362" s="153" t="n"/>
      <c r="T362" s="153" t="n"/>
      <c r="U362" s="153" t="n"/>
      <c r="V362" s="153" t="n"/>
      <c r="W362" s="153" t="n"/>
      <c r="X362" s="153" t="n"/>
      <c r="Y362" s="153" t="n"/>
      <c r="Z362" s="153" t="n"/>
    </row>
    <row r="363" ht="15.75" customHeight="1" s="154">
      <c r="G363" s="153" t="n"/>
      <c r="H363" s="153" t="n"/>
      <c r="I363" s="153" t="n"/>
      <c r="J363" s="153" t="n"/>
      <c r="K363" s="153" t="n"/>
      <c r="L363" s="153" t="n"/>
      <c r="M363" s="153" t="n"/>
      <c r="N363" s="153" t="n"/>
      <c r="O363" s="153" t="n"/>
      <c r="P363" s="153" t="n"/>
      <c r="Q363" s="153" t="n"/>
      <c r="R363" s="153" t="n"/>
      <c r="S363" s="153" t="n"/>
      <c r="T363" s="153" t="n"/>
      <c r="U363" s="153" t="n"/>
      <c r="V363" s="153" t="n"/>
      <c r="W363" s="153" t="n"/>
      <c r="X363" s="153" t="n"/>
      <c r="Y363" s="153" t="n"/>
      <c r="Z363" s="153" t="n"/>
    </row>
    <row r="364" ht="15.75" customHeight="1" s="154">
      <c r="G364" s="153" t="n"/>
      <c r="H364" s="153" t="n"/>
      <c r="I364" s="153" t="n"/>
      <c r="J364" s="153" t="n"/>
      <c r="K364" s="153" t="n"/>
      <c r="L364" s="153" t="n"/>
      <c r="M364" s="153" t="n"/>
      <c r="N364" s="153" t="n"/>
      <c r="O364" s="153" t="n"/>
      <c r="P364" s="153" t="n"/>
      <c r="Q364" s="153" t="n"/>
      <c r="R364" s="153" t="n"/>
      <c r="S364" s="153" t="n"/>
      <c r="T364" s="153" t="n"/>
      <c r="U364" s="153" t="n"/>
      <c r="V364" s="153" t="n"/>
      <c r="W364" s="153" t="n"/>
      <c r="X364" s="153" t="n"/>
      <c r="Y364" s="153" t="n"/>
      <c r="Z364" s="153" t="n"/>
    </row>
    <row r="365" ht="15.75" customHeight="1" s="154">
      <c r="G365" s="153" t="n"/>
      <c r="H365" s="153" t="n"/>
      <c r="I365" s="153" t="n"/>
      <c r="J365" s="153" t="n"/>
      <c r="K365" s="153" t="n"/>
      <c r="L365" s="153" t="n"/>
      <c r="M365" s="153" t="n"/>
      <c r="N365" s="153" t="n"/>
      <c r="O365" s="153" t="n"/>
      <c r="P365" s="153" t="n"/>
      <c r="Q365" s="153" t="n"/>
      <c r="R365" s="153" t="n"/>
      <c r="S365" s="153" t="n"/>
      <c r="T365" s="153" t="n"/>
      <c r="U365" s="153" t="n"/>
      <c r="V365" s="153" t="n"/>
      <c r="W365" s="153" t="n"/>
      <c r="X365" s="153" t="n"/>
      <c r="Y365" s="153" t="n"/>
      <c r="Z365" s="153" t="n"/>
    </row>
    <row r="366" ht="15.75" customHeight="1" s="154">
      <c r="G366" s="153" t="n"/>
      <c r="H366" s="153" t="n"/>
      <c r="I366" s="153" t="n"/>
      <c r="J366" s="153" t="n"/>
      <c r="K366" s="153" t="n"/>
      <c r="L366" s="153" t="n"/>
      <c r="M366" s="153" t="n"/>
      <c r="N366" s="153" t="n"/>
      <c r="O366" s="153" t="n"/>
      <c r="P366" s="153" t="n"/>
      <c r="Q366" s="153" t="n"/>
      <c r="R366" s="153" t="n"/>
      <c r="S366" s="153" t="n"/>
      <c r="T366" s="153" t="n"/>
      <c r="U366" s="153" t="n"/>
      <c r="V366" s="153" t="n"/>
      <c r="W366" s="153" t="n"/>
      <c r="X366" s="153" t="n"/>
      <c r="Y366" s="153" t="n"/>
      <c r="Z366" s="153" t="n"/>
    </row>
    <row r="367" ht="15.75" customHeight="1" s="154">
      <c r="G367" s="153" t="n"/>
      <c r="H367" s="153" t="n"/>
      <c r="I367" s="153" t="n"/>
      <c r="J367" s="153" t="n"/>
      <c r="K367" s="153" t="n"/>
      <c r="L367" s="153" t="n"/>
      <c r="M367" s="153" t="n"/>
      <c r="N367" s="153" t="n"/>
      <c r="O367" s="153" t="n"/>
      <c r="P367" s="153" t="n"/>
      <c r="Q367" s="153" t="n"/>
      <c r="R367" s="153" t="n"/>
      <c r="S367" s="153" t="n"/>
      <c r="T367" s="153" t="n"/>
      <c r="U367" s="153" t="n"/>
      <c r="V367" s="153" t="n"/>
      <c r="W367" s="153" t="n"/>
      <c r="X367" s="153" t="n"/>
      <c r="Y367" s="153" t="n"/>
      <c r="Z367" s="153" t="n"/>
    </row>
    <row r="368" ht="15.75" customHeight="1" s="154">
      <c r="G368" s="153" t="n"/>
      <c r="H368" s="153" t="n"/>
      <c r="I368" s="153" t="n"/>
      <c r="J368" s="153" t="n"/>
      <c r="K368" s="153" t="n"/>
      <c r="L368" s="153" t="n"/>
      <c r="M368" s="153" t="n"/>
      <c r="N368" s="153" t="n"/>
      <c r="O368" s="153" t="n"/>
      <c r="P368" s="153" t="n"/>
      <c r="Q368" s="153" t="n"/>
      <c r="R368" s="153" t="n"/>
      <c r="S368" s="153" t="n"/>
      <c r="T368" s="153" t="n"/>
      <c r="U368" s="153" t="n"/>
      <c r="V368" s="153" t="n"/>
      <c r="W368" s="153" t="n"/>
      <c r="X368" s="153" t="n"/>
      <c r="Y368" s="153" t="n"/>
      <c r="Z368" s="153" t="n"/>
    </row>
    <row r="369" ht="15.75" customHeight="1" s="154">
      <c r="G369" s="153" t="n"/>
      <c r="H369" s="153" t="n"/>
      <c r="I369" s="153" t="n"/>
      <c r="J369" s="153" t="n"/>
      <c r="K369" s="153" t="n"/>
      <c r="L369" s="153" t="n"/>
      <c r="M369" s="153" t="n"/>
      <c r="N369" s="153" t="n"/>
      <c r="O369" s="153" t="n"/>
      <c r="P369" s="153" t="n"/>
      <c r="Q369" s="153" t="n"/>
      <c r="R369" s="153" t="n"/>
      <c r="S369" s="153" t="n"/>
      <c r="T369" s="153" t="n"/>
      <c r="U369" s="153" t="n"/>
      <c r="V369" s="153" t="n"/>
      <c r="W369" s="153" t="n"/>
      <c r="X369" s="153" t="n"/>
      <c r="Y369" s="153" t="n"/>
      <c r="Z369" s="153" t="n"/>
    </row>
    <row r="370" ht="15.75" customHeight="1" s="154">
      <c r="G370" s="153" t="n"/>
      <c r="H370" s="153" t="n"/>
      <c r="I370" s="153" t="n"/>
      <c r="J370" s="153" t="n"/>
      <c r="K370" s="153" t="n"/>
      <c r="L370" s="153" t="n"/>
      <c r="M370" s="153" t="n"/>
      <c r="N370" s="153" t="n"/>
      <c r="O370" s="153" t="n"/>
      <c r="P370" s="153" t="n"/>
      <c r="Q370" s="153" t="n"/>
      <c r="R370" s="153" t="n"/>
      <c r="S370" s="153" t="n"/>
      <c r="T370" s="153" t="n"/>
      <c r="U370" s="153" t="n"/>
      <c r="V370" s="153" t="n"/>
      <c r="W370" s="153" t="n"/>
      <c r="X370" s="153" t="n"/>
      <c r="Y370" s="153" t="n"/>
      <c r="Z370" s="153" t="n"/>
    </row>
    <row r="371" ht="15.75" customHeight="1" s="154">
      <c r="G371" s="153" t="n"/>
      <c r="H371" s="153" t="n"/>
      <c r="I371" s="153" t="n"/>
      <c r="J371" s="153" t="n"/>
      <c r="K371" s="153" t="n"/>
      <c r="L371" s="153" t="n"/>
      <c r="M371" s="153" t="n"/>
      <c r="N371" s="153" t="n"/>
      <c r="O371" s="153" t="n"/>
      <c r="P371" s="153" t="n"/>
      <c r="Q371" s="153" t="n"/>
      <c r="R371" s="153" t="n"/>
      <c r="S371" s="153" t="n"/>
      <c r="T371" s="153" t="n"/>
      <c r="U371" s="153" t="n"/>
      <c r="V371" s="153" t="n"/>
      <c r="W371" s="153" t="n"/>
      <c r="X371" s="153" t="n"/>
      <c r="Y371" s="153" t="n"/>
      <c r="Z371" s="153" t="n"/>
    </row>
    <row r="372" ht="15.75" customHeight="1" s="154">
      <c r="G372" s="153" t="n"/>
      <c r="H372" s="153" t="n"/>
      <c r="I372" s="153" t="n"/>
      <c r="J372" s="153" t="n"/>
      <c r="K372" s="153" t="n"/>
      <c r="L372" s="153" t="n"/>
      <c r="M372" s="153" t="n"/>
      <c r="N372" s="153" t="n"/>
      <c r="O372" s="153" t="n"/>
      <c r="P372" s="153" t="n"/>
      <c r="Q372" s="153" t="n"/>
      <c r="R372" s="153" t="n"/>
      <c r="S372" s="153" t="n"/>
      <c r="T372" s="153" t="n"/>
      <c r="U372" s="153" t="n"/>
      <c r="V372" s="153" t="n"/>
      <c r="W372" s="153" t="n"/>
      <c r="X372" s="153" t="n"/>
      <c r="Y372" s="153" t="n"/>
      <c r="Z372" s="153" t="n"/>
    </row>
    <row r="373" ht="15.75" customHeight="1" s="154">
      <c r="G373" s="153" t="n"/>
      <c r="H373" s="153" t="n"/>
      <c r="I373" s="153" t="n"/>
      <c r="J373" s="153" t="n"/>
      <c r="K373" s="153" t="n"/>
      <c r="L373" s="153" t="n"/>
      <c r="M373" s="153" t="n"/>
      <c r="N373" s="153" t="n"/>
      <c r="O373" s="153" t="n"/>
      <c r="P373" s="153" t="n"/>
      <c r="Q373" s="153" t="n"/>
      <c r="R373" s="153" t="n"/>
      <c r="S373" s="153" t="n"/>
      <c r="T373" s="153" t="n"/>
      <c r="U373" s="153" t="n"/>
      <c r="V373" s="153" t="n"/>
      <c r="W373" s="153" t="n"/>
      <c r="X373" s="153" t="n"/>
      <c r="Y373" s="153" t="n"/>
      <c r="Z373" s="153" t="n"/>
    </row>
    <row r="374" ht="15.75" customHeight="1" s="154">
      <c r="G374" s="153" t="n"/>
      <c r="H374" s="153" t="n"/>
      <c r="I374" s="153" t="n"/>
      <c r="J374" s="153" t="n"/>
      <c r="K374" s="153" t="n"/>
      <c r="L374" s="153" t="n"/>
      <c r="M374" s="153" t="n"/>
      <c r="N374" s="153" t="n"/>
      <c r="O374" s="153" t="n"/>
      <c r="P374" s="153" t="n"/>
      <c r="Q374" s="153" t="n"/>
      <c r="R374" s="153" t="n"/>
      <c r="S374" s="153" t="n"/>
      <c r="T374" s="153" t="n"/>
      <c r="U374" s="153" t="n"/>
      <c r="V374" s="153" t="n"/>
      <c r="W374" s="153" t="n"/>
      <c r="X374" s="153" t="n"/>
      <c r="Y374" s="153" t="n"/>
      <c r="Z374" s="153" t="n"/>
    </row>
    <row r="375" ht="15.75" customHeight="1" s="154">
      <c r="G375" s="153" t="n"/>
      <c r="H375" s="153" t="n"/>
      <c r="I375" s="153" t="n"/>
      <c r="J375" s="153" t="n"/>
      <c r="K375" s="153" t="n"/>
      <c r="L375" s="153" t="n"/>
      <c r="M375" s="153" t="n"/>
      <c r="N375" s="153" t="n"/>
      <c r="O375" s="153" t="n"/>
      <c r="P375" s="153" t="n"/>
      <c r="Q375" s="153" t="n"/>
      <c r="R375" s="153" t="n"/>
      <c r="S375" s="153" t="n"/>
      <c r="T375" s="153" t="n"/>
      <c r="U375" s="153" t="n"/>
      <c r="V375" s="153" t="n"/>
      <c r="W375" s="153" t="n"/>
      <c r="X375" s="153" t="n"/>
      <c r="Y375" s="153" t="n"/>
      <c r="Z375" s="153" t="n"/>
    </row>
    <row r="376" ht="15.75" customHeight="1" s="154">
      <c r="G376" s="153" t="n"/>
      <c r="H376" s="153" t="n"/>
      <c r="I376" s="153" t="n"/>
      <c r="J376" s="153" t="n"/>
      <c r="K376" s="153" t="n"/>
      <c r="L376" s="153" t="n"/>
      <c r="M376" s="153" t="n"/>
      <c r="N376" s="153" t="n"/>
      <c r="O376" s="153" t="n"/>
      <c r="P376" s="153" t="n"/>
      <c r="Q376" s="153" t="n"/>
      <c r="R376" s="153" t="n"/>
      <c r="S376" s="153" t="n"/>
      <c r="T376" s="153" t="n"/>
      <c r="U376" s="153" t="n"/>
      <c r="V376" s="153" t="n"/>
      <c r="W376" s="153" t="n"/>
      <c r="X376" s="153" t="n"/>
      <c r="Y376" s="153" t="n"/>
      <c r="Z376" s="153" t="n"/>
    </row>
    <row r="377" ht="15.75" customHeight="1" s="154">
      <c r="G377" s="153" t="n"/>
      <c r="H377" s="153" t="n"/>
      <c r="I377" s="153" t="n"/>
      <c r="J377" s="153" t="n"/>
      <c r="K377" s="153" t="n"/>
      <c r="L377" s="153" t="n"/>
      <c r="M377" s="153" t="n"/>
      <c r="N377" s="153" t="n"/>
      <c r="O377" s="153" t="n"/>
      <c r="P377" s="153" t="n"/>
      <c r="Q377" s="153" t="n"/>
      <c r="R377" s="153" t="n"/>
      <c r="S377" s="153" t="n"/>
      <c r="T377" s="153" t="n"/>
      <c r="U377" s="153" t="n"/>
      <c r="V377" s="153" t="n"/>
      <c r="W377" s="153" t="n"/>
      <c r="X377" s="153" t="n"/>
      <c r="Y377" s="153" t="n"/>
      <c r="Z377" s="153" t="n"/>
    </row>
    <row r="378" ht="15.75" customHeight="1" s="154">
      <c r="G378" s="153" t="n"/>
      <c r="H378" s="153" t="n"/>
      <c r="I378" s="153" t="n"/>
      <c r="J378" s="153" t="n"/>
      <c r="K378" s="153" t="n"/>
      <c r="L378" s="153" t="n"/>
      <c r="M378" s="153" t="n"/>
      <c r="N378" s="153" t="n"/>
      <c r="O378" s="153" t="n"/>
      <c r="P378" s="153" t="n"/>
      <c r="Q378" s="153" t="n"/>
      <c r="R378" s="153" t="n"/>
      <c r="S378" s="153" t="n"/>
      <c r="T378" s="153" t="n"/>
      <c r="U378" s="153" t="n"/>
      <c r="V378" s="153" t="n"/>
      <c r="W378" s="153" t="n"/>
      <c r="X378" s="153" t="n"/>
      <c r="Y378" s="153" t="n"/>
      <c r="Z378" s="153" t="n"/>
    </row>
    <row r="379" ht="15.75" customHeight="1" s="154">
      <c r="G379" s="153" t="n"/>
      <c r="H379" s="153" t="n"/>
      <c r="I379" s="153" t="n"/>
      <c r="J379" s="153" t="n"/>
      <c r="K379" s="153" t="n"/>
      <c r="L379" s="153" t="n"/>
      <c r="M379" s="153" t="n"/>
      <c r="N379" s="153" t="n"/>
      <c r="O379" s="153" t="n"/>
      <c r="P379" s="153" t="n"/>
      <c r="Q379" s="153" t="n"/>
      <c r="R379" s="153" t="n"/>
      <c r="S379" s="153" t="n"/>
      <c r="T379" s="153" t="n"/>
      <c r="U379" s="153" t="n"/>
      <c r="V379" s="153" t="n"/>
      <c r="W379" s="153" t="n"/>
      <c r="X379" s="153" t="n"/>
      <c r="Y379" s="153" t="n"/>
      <c r="Z379" s="153" t="n"/>
    </row>
    <row r="380" ht="15.75" customHeight="1" s="154">
      <c r="G380" s="153" t="n"/>
      <c r="H380" s="153" t="n"/>
      <c r="I380" s="153" t="n"/>
      <c r="J380" s="153" t="n"/>
      <c r="K380" s="153" t="n"/>
      <c r="L380" s="153" t="n"/>
      <c r="M380" s="153" t="n"/>
      <c r="N380" s="153" t="n"/>
      <c r="O380" s="153" t="n"/>
      <c r="P380" s="153" t="n"/>
      <c r="Q380" s="153" t="n"/>
      <c r="R380" s="153" t="n"/>
      <c r="S380" s="153" t="n"/>
      <c r="T380" s="153" t="n"/>
      <c r="U380" s="153" t="n"/>
      <c r="V380" s="153" t="n"/>
      <c r="W380" s="153" t="n"/>
      <c r="X380" s="153" t="n"/>
      <c r="Y380" s="153" t="n"/>
      <c r="Z380" s="153" t="n"/>
    </row>
    <row r="381" ht="15.75" customHeight="1" s="154">
      <c r="G381" s="153" t="n"/>
      <c r="H381" s="153" t="n"/>
      <c r="I381" s="153" t="n"/>
      <c r="J381" s="153" t="n"/>
      <c r="K381" s="153" t="n"/>
      <c r="L381" s="153" t="n"/>
      <c r="M381" s="153" t="n"/>
      <c r="N381" s="153" t="n"/>
      <c r="O381" s="153" t="n"/>
      <c r="P381" s="153" t="n"/>
      <c r="Q381" s="153" t="n"/>
      <c r="R381" s="153" t="n"/>
      <c r="S381" s="153" t="n"/>
      <c r="T381" s="153" t="n"/>
      <c r="U381" s="153" t="n"/>
      <c r="V381" s="153" t="n"/>
      <c r="W381" s="153" t="n"/>
      <c r="X381" s="153" t="n"/>
      <c r="Y381" s="153" t="n"/>
      <c r="Z381" s="153" t="n"/>
    </row>
    <row r="382" ht="15.75" customHeight="1" s="154">
      <c r="G382" s="153" t="n"/>
      <c r="H382" s="153" t="n"/>
      <c r="I382" s="153" t="n"/>
      <c r="J382" s="153" t="n"/>
      <c r="K382" s="153" t="n"/>
      <c r="L382" s="153" t="n"/>
      <c r="M382" s="153" t="n"/>
      <c r="N382" s="153" t="n"/>
      <c r="O382" s="153" t="n"/>
      <c r="P382" s="153" t="n"/>
      <c r="Q382" s="153" t="n"/>
      <c r="R382" s="153" t="n"/>
      <c r="S382" s="153" t="n"/>
      <c r="T382" s="153" t="n"/>
      <c r="U382" s="153" t="n"/>
      <c r="V382" s="153" t="n"/>
      <c r="W382" s="153" t="n"/>
      <c r="X382" s="153" t="n"/>
      <c r="Y382" s="153" t="n"/>
      <c r="Z382" s="153" t="n"/>
    </row>
    <row r="383" ht="15.75" customHeight="1" s="154">
      <c r="G383" s="153" t="n"/>
      <c r="H383" s="153" t="n"/>
      <c r="I383" s="153" t="n"/>
      <c r="J383" s="153" t="n"/>
      <c r="K383" s="153" t="n"/>
      <c r="L383" s="153" t="n"/>
      <c r="M383" s="153" t="n"/>
      <c r="N383" s="153" t="n"/>
      <c r="O383" s="153" t="n"/>
      <c r="P383" s="153" t="n"/>
      <c r="Q383" s="153" t="n"/>
      <c r="R383" s="153" t="n"/>
      <c r="S383" s="153" t="n"/>
      <c r="T383" s="153" t="n"/>
      <c r="U383" s="153" t="n"/>
      <c r="V383" s="153" t="n"/>
      <c r="W383" s="153" t="n"/>
      <c r="X383" s="153" t="n"/>
      <c r="Y383" s="153" t="n"/>
      <c r="Z383" s="153" t="n"/>
    </row>
    <row r="384" ht="15.75" customHeight="1" s="154">
      <c r="G384" s="153" t="n"/>
      <c r="H384" s="153" t="n"/>
      <c r="I384" s="153" t="n"/>
      <c r="J384" s="153" t="n"/>
      <c r="K384" s="153" t="n"/>
      <c r="L384" s="153" t="n"/>
      <c r="M384" s="153" t="n"/>
      <c r="N384" s="153" t="n"/>
      <c r="O384" s="153" t="n"/>
      <c r="P384" s="153" t="n"/>
      <c r="Q384" s="153" t="n"/>
      <c r="R384" s="153" t="n"/>
      <c r="S384" s="153" t="n"/>
      <c r="T384" s="153" t="n"/>
      <c r="U384" s="153" t="n"/>
      <c r="V384" s="153" t="n"/>
      <c r="W384" s="153" t="n"/>
      <c r="X384" s="153" t="n"/>
      <c r="Y384" s="153" t="n"/>
      <c r="Z384" s="153" t="n"/>
    </row>
    <row r="385" ht="15.75" customHeight="1" s="154">
      <c r="G385" s="153" t="n"/>
      <c r="H385" s="153" t="n"/>
      <c r="I385" s="153" t="n"/>
      <c r="J385" s="153" t="n"/>
      <c r="K385" s="153" t="n"/>
      <c r="L385" s="153" t="n"/>
      <c r="M385" s="153" t="n"/>
      <c r="N385" s="153" t="n"/>
      <c r="O385" s="153" t="n"/>
      <c r="P385" s="153" t="n"/>
      <c r="Q385" s="153" t="n"/>
      <c r="R385" s="153" t="n"/>
      <c r="S385" s="153" t="n"/>
      <c r="T385" s="153" t="n"/>
      <c r="U385" s="153" t="n"/>
      <c r="V385" s="153" t="n"/>
      <c r="W385" s="153" t="n"/>
      <c r="X385" s="153" t="n"/>
      <c r="Y385" s="153" t="n"/>
      <c r="Z385" s="153" t="n"/>
    </row>
    <row r="386" ht="15.75" customHeight="1" s="154">
      <c r="G386" s="153" t="n"/>
      <c r="H386" s="153" t="n"/>
      <c r="I386" s="153" t="n"/>
      <c r="J386" s="153" t="n"/>
      <c r="K386" s="153" t="n"/>
      <c r="L386" s="153" t="n"/>
      <c r="M386" s="153" t="n"/>
      <c r="N386" s="153" t="n"/>
      <c r="O386" s="153" t="n"/>
      <c r="P386" s="153" t="n"/>
      <c r="Q386" s="153" t="n"/>
      <c r="R386" s="153" t="n"/>
      <c r="S386" s="153" t="n"/>
      <c r="T386" s="153" t="n"/>
      <c r="U386" s="153" t="n"/>
      <c r="V386" s="153" t="n"/>
      <c r="W386" s="153" t="n"/>
      <c r="X386" s="153" t="n"/>
      <c r="Y386" s="153" t="n"/>
      <c r="Z386" s="153" t="n"/>
    </row>
    <row r="387" ht="15.75" customHeight="1" s="154">
      <c r="G387" s="153" t="n"/>
      <c r="H387" s="153" t="n"/>
      <c r="I387" s="153" t="n"/>
      <c r="J387" s="153" t="n"/>
      <c r="K387" s="153" t="n"/>
      <c r="L387" s="153" t="n"/>
      <c r="M387" s="153" t="n"/>
      <c r="N387" s="153" t="n"/>
      <c r="O387" s="153" t="n"/>
      <c r="P387" s="153" t="n"/>
      <c r="Q387" s="153" t="n"/>
      <c r="R387" s="153" t="n"/>
      <c r="S387" s="153" t="n"/>
      <c r="T387" s="153" t="n"/>
      <c r="U387" s="153" t="n"/>
      <c r="V387" s="153" t="n"/>
      <c r="W387" s="153" t="n"/>
      <c r="X387" s="153" t="n"/>
      <c r="Y387" s="153" t="n"/>
      <c r="Z387" s="153" t="n"/>
    </row>
    <row r="388" ht="15.75" customHeight="1" s="154">
      <c r="G388" s="153" t="n"/>
      <c r="H388" s="153" t="n"/>
      <c r="I388" s="153" t="n"/>
      <c r="J388" s="153" t="n"/>
      <c r="K388" s="153" t="n"/>
      <c r="L388" s="153" t="n"/>
      <c r="M388" s="153" t="n"/>
      <c r="N388" s="153" t="n"/>
      <c r="O388" s="153" t="n"/>
      <c r="P388" s="153" t="n"/>
      <c r="Q388" s="153" t="n"/>
      <c r="R388" s="153" t="n"/>
      <c r="S388" s="153" t="n"/>
      <c r="T388" s="153" t="n"/>
      <c r="U388" s="153" t="n"/>
      <c r="V388" s="153" t="n"/>
      <c r="W388" s="153" t="n"/>
      <c r="X388" s="153" t="n"/>
      <c r="Y388" s="153" t="n"/>
      <c r="Z388" s="153" t="n"/>
    </row>
    <row r="389" ht="15.75" customHeight="1" s="154">
      <c r="G389" s="153" t="n"/>
      <c r="H389" s="153" t="n"/>
      <c r="I389" s="153" t="n"/>
      <c r="J389" s="153" t="n"/>
      <c r="K389" s="153" t="n"/>
      <c r="L389" s="153" t="n"/>
      <c r="M389" s="153" t="n"/>
      <c r="N389" s="153" t="n"/>
      <c r="O389" s="153" t="n"/>
      <c r="P389" s="153" t="n"/>
      <c r="Q389" s="153" t="n"/>
      <c r="R389" s="153" t="n"/>
      <c r="S389" s="153" t="n"/>
      <c r="T389" s="153" t="n"/>
      <c r="U389" s="153" t="n"/>
      <c r="V389" s="153" t="n"/>
      <c r="W389" s="153" t="n"/>
      <c r="X389" s="153" t="n"/>
      <c r="Y389" s="153" t="n"/>
      <c r="Z389" s="153" t="n"/>
    </row>
    <row r="390" ht="15.75" customHeight="1" s="154">
      <c r="G390" s="153" t="n"/>
      <c r="H390" s="153" t="n"/>
      <c r="I390" s="153" t="n"/>
      <c r="J390" s="153" t="n"/>
      <c r="K390" s="153" t="n"/>
      <c r="L390" s="153" t="n"/>
      <c r="M390" s="153" t="n"/>
      <c r="N390" s="153" t="n"/>
      <c r="O390" s="153" t="n"/>
      <c r="P390" s="153" t="n"/>
      <c r="Q390" s="153" t="n"/>
      <c r="R390" s="153" t="n"/>
      <c r="S390" s="153" t="n"/>
      <c r="T390" s="153" t="n"/>
      <c r="U390" s="153" t="n"/>
      <c r="V390" s="153" t="n"/>
      <c r="W390" s="153" t="n"/>
      <c r="X390" s="153" t="n"/>
      <c r="Y390" s="153" t="n"/>
      <c r="Z390" s="153" t="n"/>
    </row>
    <row r="391" ht="15.75" customHeight="1" s="154">
      <c r="G391" s="153" t="n"/>
      <c r="H391" s="153" t="n"/>
      <c r="I391" s="153" t="n"/>
      <c r="J391" s="153" t="n"/>
      <c r="K391" s="153" t="n"/>
      <c r="L391" s="153" t="n"/>
      <c r="M391" s="153" t="n"/>
      <c r="N391" s="153" t="n"/>
      <c r="O391" s="153" t="n"/>
      <c r="P391" s="153" t="n"/>
      <c r="Q391" s="153" t="n"/>
      <c r="R391" s="153" t="n"/>
      <c r="S391" s="153" t="n"/>
      <c r="T391" s="153" t="n"/>
      <c r="U391" s="153" t="n"/>
      <c r="V391" s="153" t="n"/>
      <c r="W391" s="153" t="n"/>
      <c r="X391" s="153" t="n"/>
      <c r="Y391" s="153" t="n"/>
      <c r="Z391" s="153" t="n"/>
    </row>
    <row r="392" ht="15.75" customHeight="1" s="154">
      <c r="G392" s="153" t="n"/>
      <c r="H392" s="153" t="n"/>
      <c r="I392" s="153" t="n"/>
      <c r="J392" s="153" t="n"/>
      <c r="K392" s="153" t="n"/>
      <c r="L392" s="153" t="n"/>
      <c r="M392" s="153" t="n"/>
      <c r="N392" s="153" t="n"/>
      <c r="O392" s="153" t="n"/>
      <c r="P392" s="153" t="n"/>
      <c r="Q392" s="153" t="n"/>
      <c r="R392" s="153" t="n"/>
      <c r="S392" s="153" t="n"/>
      <c r="T392" s="153" t="n"/>
      <c r="U392" s="153" t="n"/>
      <c r="V392" s="153" t="n"/>
      <c r="W392" s="153" t="n"/>
      <c r="X392" s="153" t="n"/>
      <c r="Y392" s="153" t="n"/>
      <c r="Z392" s="153" t="n"/>
    </row>
    <row r="393" ht="15.75" customHeight="1" s="154">
      <c r="G393" s="153" t="n"/>
      <c r="H393" s="153" t="n"/>
      <c r="I393" s="153" t="n"/>
      <c r="J393" s="153" t="n"/>
      <c r="K393" s="153" t="n"/>
      <c r="L393" s="153" t="n"/>
      <c r="M393" s="153" t="n"/>
      <c r="N393" s="153" t="n"/>
      <c r="O393" s="153" t="n"/>
      <c r="P393" s="153" t="n"/>
      <c r="Q393" s="153" t="n"/>
      <c r="R393" s="153" t="n"/>
      <c r="S393" s="153" t="n"/>
      <c r="T393" s="153" t="n"/>
      <c r="U393" s="153" t="n"/>
      <c r="V393" s="153" t="n"/>
      <c r="W393" s="153" t="n"/>
      <c r="X393" s="153" t="n"/>
      <c r="Y393" s="153" t="n"/>
      <c r="Z393" s="153" t="n"/>
    </row>
    <row r="394" ht="15.75" customHeight="1" s="154">
      <c r="G394" s="153" t="n"/>
      <c r="H394" s="153" t="n"/>
      <c r="I394" s="153" t="n"/>
      <c r="J394" s="153" t="n"/>
      <c r="K394" s="153" t="n"/>
      <c r="L394" s="153" t="n"/>
      <c r="M394" s="153" t="n"/>
      <c r="N394" s="153" t="n"/>
      <c r="O394" s="153" t="n"/>
      <c r="P394" s="153" t="n"/>
      <c r="Q394" s="153" t="n"/>
      <c r="R394" s="153" t="n"/>
      <c r="S394" s="153" t="n"/>
      <c r="T394" s="153" t="n"/>
      <c r="U394" s="153" t="n"/>
      <c r="V394" s="153" t="n"/>
      <c r="W394" s="153" t="n"/>
      <c r="X394" s="153" t="n"/>
      <c r="Y394" s="153" t="n"/>
      <c r="Z394" s="153" t="n"/>
    </row>
    <row r="395" ht="15.75" customHeight="1" s="154">
      <c r="G395" s="153" t="n"/>
      <c r="H395" s="153" t="n"/>
      <c r="I395" s="153" t="n"/>
      <c r="J395" s="153" t="n"/>
      <c r="K395" s="153" t="n"/>
      <c r="L395" s="153" t="n"/>
      <c r="M395" s="153" t="n"/>
      <c r="N395" s="153" t="n"/>
      <c r="O395" s="153" t="n"/>
      <c r="P395" s="153" t="n"/>
      <c r="Q395" s="153" t="n"/>
      <c r="R395" s="153" t="n"/>
      <c r="S395" s="153" t="n"/>
      <c r="T395" s="153" t="n"/>
      <c r="U395" s="153" t="n"/>
      <c r="V395" s="153" t="n"/>
      <c r="W395" s="153" t="n"/>
      <c r="X395" s="153" t="n"/>
      <c r="Y395" s="153" t="n"/>
      <c r="Z395" s="153" t="n"/>
    </row>
    <row r="396" ht="15.75" customHeight="1" s="154">
      <c r="G396" s="153" t="n"/>
      <c r="H396" s="153" t="n"/>
      <c r="I396" s="153" t="n"/>
      <c r="J396" s="153" t="n"/>
      <c r="K396" s="153" t="n"/>
      <c r="L396" s="153" t="n"/>
      <c r="M396" s="153" t="n"/>
      <c r="N396" s="153" t="n"/>
      <c r="O396" s="153" t="n"/>
      <c r="P396" s="153" t="n"/>
      <c r="Q396" s="153" t="n"/>
      <c r="R396" s="153" t="n"/>
      <c r="S396" s="153" t="n"/>
      <c r="T396" s="153" t="n"/>
      <c r="U396" s="153" t="n"/>
      <c r="V396" s="153" t="n"/>
      <c r="W396" s="153" t="n"/>
      <c r="X396" s="153" t="n"/>
      <c r="Y396" s="153" t="n"/>
      <c r="Z396" s="153" t="n"/>
    </row>
    <row r="397" ht="15.75" customHeight="1" s="154">
      <c r="G397" s="153" t="n"/>
      <c r="H397" s="153" t="n"/>
      <c r="I397" s="153" t="n"/>
      <c r="J397" s="153" t="n"/>
      <c r="K397" s="153" t="n"/>
      <c r="L397" s="153" t="n"/>
      <c r="M397" s="153" t="n"/>
      <c r="N397" s="153" t="n"/>
      <c r="O397" s="153" t="n"/>
      <c r="P397" s="153" t="n"/>
      <c r="Q397" s="153" t="n"/>
      <c r="R397" s="153" t="n"/>
      <c r="S397" s="153" t="n"/>
      <c r="T397" s="153" t="n"/>
      <c r="U397" s="153" t="n"/>
      <c r="V397" s="153" t="n"/>
      <c r="W397" s="153" t="n"/>
      <c r="X397" s="153" t="n"/>
      <c r="Y397" s="153" t="n"/>
      <c r="Z397" s="153" t="n"/>
    </row>
    <row r="398" ht="15.75" customHeight="1" s="154">
      <c r="G398" s="153" t="n"/>
      <c r="H398" s="153" t="n"/>
      <c r="I398" s="153" t="n"/>
      <c r="J398" s="153" t="n"/>
      <c r="K398" s="153" t="n"/>
      <c r="L398" s="153" t="n"/>
      <c r="M398" s="153" t="n"/>
      <c r="N398" s="153" t="n"/>
      <c r="O398" s="153" t="n"/>
      <c r="P398" s="153" t="n"/>
      <c r="Q398" s="153" t="n"/>
      <c r="R398" s="153" t="n"/>
      <c r="S398" s="153" t="n"/>
      <c r="T398" s="153" t="n"/>
      <c r="U398" s="153" t="n"/>
      <c r="V398" s="153" t="n"/>
      <c r="W398" s="153" t="n"/>
      <c r="X398" s="153" t="n"/>
      <c r="Y398" s="153" t="n"/>
      <c r="Z398" s="153" t="n"/>
    </row>
    <row r="399" ht="15.75" customHeight="1" s="154">
      <c r="G399" s="153" t="n"/>
      <c r="H399" s="153" t="n"/>
      <c r="I399" s="153" t="n"/>
      <c r="J399" s="153" t="n"/>
      <c r="K399" s="153" t="n"/>
      <c r="L399" s="153" t="n"/>
      <c r="M399" s="153" t="n"/>
      <c r="N399" s="153" t="n"/>
      <c r="O399" s="153" t="n"/>
      <c r="P399" s="153" t="n"/>
      <c r="Q399" s="153" t="n"/>
      <c r="R399" s="153" t="n"/>
      <c r="S399" s="153" t="n"/>
      <c r="T399" s="153" t="n"/>
      <c r="U399" s="153" t="n"/>
      <c r="V399" s="153" t="n"/>
      <c r="W399" s="153" t="n"/>
      <c r="X399" s="153" t="n"/>
      <c r="Y399" s="153" t="n"/>
      <c r="Z399" s="153" t="n"/>
    </row>
    <row r="400" ht="15.75" customHeight="1" s="154">
      <c r="G400" s="153" t="n"/>
      <c r="H400" s="153" t="n"/>
      <c r="I400" s="153" t="n"/>
      <c r="J400" s="153" t="n"/>
      <c r="K400" s="153" t="n"/>
      <c r="L400" s="153" t="n"/>
      <c r="M400" s="153" t="n"/>
      <c r="N400" s="153" t="n"/>
      <c r="O400" s="153" t="n"/>
      <c r="P400" s="153" t="n"/>
      <c r="Q400" s="153" t="n"/>
      <c r="R400" s="153" t="n"/>
      <c r="S400" s="153" t="n"/>
      <c r="T400" s="153" t="n"/>
      <c r="U400" s="153" t="n"/>
      <c r="V400" s="153" t="n"/>
      <c r="W400" s="153" t="n"/>
      <c r="X400" s="153" t="n"/>
      <c r="Y400" s="153" t="n"/>
      <c r="Z400" s="153" t="n"/>
    </row>
    <row r="401" ht="15.75" customHeight="1" s="154">
      <c r="G401" s="153" t="n"/>
      <c r="H401" s="153" t="n"/>
      <c r="I401" s="153" t="n"/>
      <c r="J401" s="153" t="n"/>
      <c r="K401" s="153" t="n"/>
      <c r="L401" s="153" t="n"/>
      <c r="M401" s="153" t="n"/>
      <c r="N401" s="153" t="n"/>
      <c r="O401" s="153" t="n"/>
      <c r="P401" s="153" t="n"/>
      <c r="Q401" s="153" t="n"/>
      <c r="R401" s="153" t="n"/>
      <c r="S401" s="153" t="n"/>
      <c r="T401" s="153" t="n"/>
      <c r="U401" s="153" t="n"/>
      <c r="V401" s="153" t="n"/>
      <c r="W401" s="153" t="n"/>
      <c r="X401" s="153" t="n"/>
      <c r="Y401" s="153" t="n"/>
      <c r="Z401" s="153" t="n"/>
    </row>
    <row r="402" ht="15.75" customHeight="1" s="154">
      <c r="G402" s="153" t="n"/>
      <c r="H402" s="153" t="n"/>
      <c r="I402" s="153" t="n"/>
      <c r="J402" s="153" t="n"/>
      <c r="K402" s="153" t="n"/>
      <c r="L402" s="153" t="n"/>
      <c r="M402" s="153" t="n"/>
      <c r="N402" s="153" t="n"/>
      <c r="O402" s="153" t="n"/>
      <c r="P402" s="153" t="n"/>
      <c r="Q402" s="153" t="n"/>
      <c r="R402" s="153" t="n"/>
      <c r="S402" s="153" t="n"/>
      <c r="T402" s="153" t="n"/>
      <c r="U402" s="153" t="n"/>
      <c r="V402" s="153" t="n"/>
      <c r="W402" s="153" t="n"/>
      <c r="X402" s="153" t="n"/>
      <c r="Y402" s="153" t="n"/>
      <c r="Z402" s="153" t="n"/>
    </row>
    <row r="403" ht="15.75" customHeight="1" s="154">
      <c r="G403" s="153" t="n"/>
      <c r="H403" s="153" t="n"/>
      <c r="I403" s="153" t="n"/>
      <c r="J403" s="153" t="n"/>
      <c r="K403" s="153" t="n"/>
      <c r="L403" s="153" t="n"/>
      <c r="M403" s="153" t="n"/>
      <c r="N403" s="153" t="n"/>
      <c r="O403" s="153" t="n"/>
      <c r="P403" s="153" t="n"/>
      <c r="Q403" s="153" t="n"/>
      <c r="R403" s="153" t="n"/>
      <c r="S403" s="153" t="n"/>
      <c r="T403" s="153" t="n"/>
      <c r="U403" s="153" t="n"/>
      <c r="V403" s="153" t="n"/>
      <c r="W403" s="153" t="n"/>
      <c r="X403" s="153" t="n"/>
      <c r="Y403" s="153" t="n"/>
      <c r="Z403" s="153" t="n"/>
    </row>
    <row r="404" ht="15.75" customHeight="1" s="154">
      <c r="G404" s="153" t="n"/>
      <c r="H404" s="153" t="n"/>
      <c r="I404" s="153" t="n"/>
      <c r="J404" s="153" t="n"/>
      <c r="K404" s="153" t="n"/>
      <c r="L404" s="153" t="n"/>
      <c r="M404" s="153" t="n"/>
      <c r="N404" s="153" t="n"/>
      <c r="O404" s="153" t="n"/>
      <c r="P404" s="153" t="n"/>
      <c r="Q404" s="153" t="n"/>
      <c r="R404" s="153" t="n"/>
      <c r="S404" s="153" t="n"/>
      <c r="T404" s="153" t="n"/>
      <c r="U404" s="153" t="n"/>
      <c r="V404" s="153" t="n"/>
      <c r="W404" s="153" t="n"/>
      <c r="X404" s="153" t="n"/>
      <c r="Y404" s="153" t="n"/>
      <c r="Z404" s="153" t="n"/>
    </row>
    <row r="405" ht="15.75" customHeight="1" s="154">
      <c r="G405" s="153" t="n"/>
      <c r="H405" s="153" t="n"/>
      <c r="I405" s="153" t="n"/>
      <c r="J405" s="153" t="n"/>
      <c r="K405" s="153" t="n"/>
      <c r="L405" s="153" t="n"/>
      <c r="M405" s="153" t="n"/>
      <c r="N405" s="153" t="n"/>
      <c r="O405" s="153" t="n"/>
      <c r="P405" s="153" t="n"/>
      <c r="Q405" s="153" t="n"/>
      <c r="R405" s="153" t="n"/>
      <c r="S405" s="153" t="n"/>
      <c r="T405" s="153" t="n"/>
      <c r="U405" s="153" t="n"/>
      <c r="V405" s="153" t="n"/>
      <c r="W405" s="153" t="n"/>
      <c r="X405" s="153" t="n"/>
      <c r="Y405" s="153" t="n"/>
      <c r="Z405" s="153" t="n"/>
    </row>
    <row r="406" ht="15.75" customHeight="1" s="154">
      <c r="G406" s="153" t="n"/>
      <c r="H406" s="153" t="n"/>
      <c r="I406" s="153" t="n"/>
      <c r="J406" s="153" t="n"/>
      <c r="K406" s="153" t="n"/>
      <c r="L406" s="153" t="n"/>
      <c r="M406" s="153" t="n"/>
      <c r="N406" s="153" t="n"/>
      <c r="O406" s="153" t="n"/>
      <c r="P406" s="153" t="n"/>
      <c r="Q406" s="153" t="n"/>
      <c r="R406" s="153" t="n"/>
      <c r="S406" s="153" t="n"/>
      <c r="T406" s="153" t="n"/>
      <c r="U406" s="153" t="n"/>
      <c r="V406" s="153" t="n"/>
      <c r="W406" s="153" t="n"/>
      <c r="X406" s="153" t="n"/>
      <c r="Y406" s="153" t="n"/>
      <c r="Z406" s="153" t="n"/>
    </row>
    <row r="407" ht="15.75" customHeight="1" s="154">
      <c r="G407" s="153" t="n"/>
      <c r="H407" s="153" t="n"/>
      <c r="I407" s="153" t="n"/>
      <c r="J407" s="153" t="n"/>
      <c r="K407" s="153" t="n"/>
      <c r="L407" s="153" t="n"/>
      <c r="M407" s="153" t="n"/>
      <c r="N407" s="153" t="n"/>
      <c r="O407" s="153" t="n"/>
      <c r="P407" s="153" t="n"/>
      <c r="Q407" s="153" t="n"/>
      <c r="R407" s="153" t="n"/>
      <c r="S407" s="153" t="n"/>
      <c r="T407" s="153" t="n"/>
      <c r="U407" s="153" t="n"/>
      <c r="V407" s="153" t="n"/>
      <c r="W407" s="153" t="n"/>
      <c r="X407" s="153" t="n"/>
      <c r="Y407" s="153" t="n"/>
      <c r="Z407" s="153" t="n"/>
    </row>
    <row r="408" ht="15.75" customHeight="1" s="154">
      <c r="G408" s="153" t="n"/>
      <c r="H408" s="153" t="n"/>
      <c r="I408" s="153" t="n"/>
      <c r="J408" s="153" t="n"/>
      <c r="K408" s="153" t="n"/>
      <c r="L408" s="153" t="n"/>
      <c r="M408" s="153" t="n"/>
      <c r="N408" s="153" t="n"/>
      <c r="O408" s="153" t="n"/>
      <c r="P408" s="153" t="n"/>
      <c r="Q408" s="153" t="n"/>
      <c r="R408" s="153" t="n"/>
      <c r="S408" s="153" t="n"/>
      <c r="T408" s="153" t="n"/>
      <c r="U408" s="153" t="n"/>
      <c r="V408" s="153" t="n"/>
      <c r="W408" s="153" t="n"/>
      <c r="X408" s="153" t="n"/>
      <c r="Y408" s="153" t="n"/>
      <c r="Z408" s="153" t="n"/>
    </row>
    <row r="409" ht="15.75" customHeight="1" s="154">
      <c r="G409" s="153" t="n"/>
      <c r="H409" s="153" t="n"/>
      <c r="I409" s="153" t="n"/>
      <c r="J409" s="153" t="n"/>
      <c r="K409" s="153" t="n"/>
      <c r="L409" s="153" t="n"/>
      <c r="M409" s="153" t="n"/>
      <c r="N409" s="153" t="n"/>
      <c r="O409" s="153" t="n"/>
      <c r="P409" s="153" t="n"/>
      <c r="Q409" s="153" t="n"/>
      <c r="R409" s="153" t="n"/>
      <c r="S409" s="153" t="n"/>
      <c r="T409" s="153" t="n"/>
      <c r="U409" s="153" t="n"/>
      <c r="V409" s="153" t="n"/>
      <c r="W409" s="153" t="n"/>
      <c r="X409" s="153" t="n"/>
      <c r="Y409" s="153" t="n"/>
      <c r="Z409" s="153" t="n"/>
    </row>
    <row r="410" ht="15.75" customHeight="1" s="154">
      <c r="G410" s="153" t="n"/>
      <c r="H410" s="153" t="n"/>
      <c r="I410" s="153" t="n"/>
      <c r="J410" s="153" t="n"/>
      <c r="K410" s="153" t="n"/>
      <c r="L410" s="153" t="n"/>
      <c r="M410" s="153" t="n"/>
      <c r="N410" s="153" t="n"/>
      <c r="O410" s="153" t="n"/>
      <c r="P410" s="153" t="n"/>
      <c r="Q410" s="153" t="n"/>
      <c r="R410" s="153" t="n"/>
      <c r="S410" s="153" t="n"/>
      <c r="T410" s="153" t="n"/>
      <c r="U410" s="153" t="n"/>
      <c r="V410" s="153" t="n"/>
      <c r="W410" s="153" t="n"/>
      <c r="X410" s="153" t="n"/>
      <c r="Y410" s="153" t="n"/>
      <c r="Z410" s="153" t="n"/>
    </row>
    <row r="411" ht="15.75" customHeight="1" s="154">
      <c r="G411" s="153" t="n"/>
      <c r="H411" s="153" t="n"/>
      <c r="I411" s="153" t="n"/>
      <c r="J411" s="153" t="n"/>
      <c r="K411" s="153" t="n"/>
      <c r="L411" s="153" t="n"/>
      <c r="M411" s="153" t="n"/>
      <c r="N411" s="153" t="n"/>
      <c r="O411" s="153" t="n"/>
      <c r="P411" s="153" t="n"/>
      <c r="Q411" s="153" t="n"/>
      <c r="R411" s="153" t="n"/>
      <c r="S411" s="153" t="n"/>
      <c r="T411" s="153" t="n"/>
      <c r="U411" s="153" t="n"/>
      <c r="V411" s="153" t="n"/>
      <c r="W411" s="153" t="n"/>
      <c r="X411" s="153" t="n"/>
      <c r="Y411" s="153" t="n"/>
      <c r="Z411" s="153" t="n"/>
    </row>
    <row r="412" ht="15.75" customHeight="1" s="154">
      <c r="G412" s="153" t="n"/>
      <c r="H412" s="153" t="n"/>
      <c r="I412" s="153" t="n"/>
      <c r="J412" s="153" t="n"/>
      <c r="K412" s="153" t="n"/>
      <c r="L412" s="153" t="n"/>
      <c r="M412" s="153" t="n"/>
      <c r="N412" s="153" t="n"/>
      <c r="O412" s="153" t="n"/>
      <c r="P412" s="153" t="n"/>
      <c r="Q412" s="153" t="n"/>
      <c r="R412" s="153" t="n"/>
      <c r="S412" s="153" t="n"/>
      <c r="T412" s="153" t="n"/>
      <c r="U412" s="153" t="n"/>
      <c r="V412" s="153" t="n"/>
      <c r="W412" s="153" t="n"/>
      <c r="X412" s="153" t="n"/>
      <c r="Y412" s="153" t="n"/>
      <c r="Z412" s="153" t="n"/>
    </row>
    <row r="413" ht="15.75" customHeight="1" s="154">
      <c r="G413" s="153" t="n"/>
      <c r="H413" s="153" t="n"/>
      <c r="I413" s="153" t="n"/>
      <c r="J413" s="153" t="n"/>
      <c r="K413" s="153" t="n"/>
      <c r="L413" s="153" t="n"/>
      <c r="M413" s="153" t="n"/>
      <c r="N413" s="153" t="n"/>
      <c r="O413" s="153" t="n"/>
      <c r="P413" s="153" t="n"/>
      <c r="Q413" s="153" t="n"/>
      <c r="R413" s="153" t="n"/>
      <c r="S413" s="153" t="n"/>
      <c r="T413" s="153" t="n"/>
      <c r="U413" s="153" t="n"/>
      <c r="V413" s="153" t="n"/>
      <c r="W413" s="153" t="n"/>
      <c r="X413" s="153" t="n"/>
      <c r="Y413" s="153" t="n"/>
      <c r="Z413" s="153" t="n"/>
    </row>
    <row r="414" ht="15.75" customHeight="1" s="154">
      <c r="G414" s="153" t="n"/>
      <c r="H414" s="153" t="n"/>
      <c r="I414" s="153" t="n"/>
      <c r="J414" s="153" t="n"/>
      <c r="K414" s="153" t="n"/>
      <c r="L414" s="153" t="n"/>
      <c r="M414" s="153" t="n"/>
      <c r="N414" s="153" t="n"/>
      <c r="O414" s="153" t="n"/>
      <c r="P414" s="153" t="n"/>
      <c r="Q414" s="153" t="n"/>
      <c r="R414" s="153" t="n"/>
      <c r="S414" s="153" t="n"/>
      <c r="T414" s="153" t="n"/>
      <c r="U414" s="153" t="n"/>
      <c r="V414" s="153" t="n"/>
      <c r="W414" s="153" t="n"/>
      <c r="X414" s="153" t="n"/>
      <c r="Y414" s="153" t="n"/>
      <c r="Z414" s="153" t="n"/>
    </row>
    <row r="415" ht="15.75" customHeight="1" s="154">
      <c r="G415" s="153" t="n"/>
      <c r="H415" s="153" t="n"/>
      <c r="I415" s="153" t="n"/>
      <c r="J415" s="153" t="n"/>
      <c r="K415" s="153" t="n"/>
      <c r="L415" s="153" t="n"/>
      <c r="M415" s="153" t="n"/>
      <c r="N415" s="153" t="n"/>
      <c r="O415" s="153" t="n"/>
      <c r="P415" s="153" t="n"/>
      <c r="Q415" s="153" t="n"/>
      <c r="R415" s="153" t="n"/>
      <c r="S415" s="153" t="n"/>
      <c r="T415" s="153" t="n"/>
      <c r="U415" s="153" t="n"/>
      <c r="V415" s="153" t="n"/>
      <c r="W415" s="153" t="n"/>
      <c r="X415" s="153" t="n"/>
      <c r="Y415" s="153" t="n"/>
      <c r="Z415" s="153" t="n"/>
    </row>
    <row r="416" ht="15.75" customHeight="1" s="154">
      <c r="G416" s="153" t="n"/>
      <c r="H416" s="153" t="n"/>
      <c r="I416" s="153" t="n"/>
      <c r="J416" s="153" t="n"/>
      <c r="K416" s="153" t="n"/>
      <c r="L416" s="153" t="n"/>
      <c r="M416" s="153" t="n"/>
      <c r="N416" s="153" t="n"/>
      <c r="O416" s="153" t="n"/>
      <c r="P416" s="153" t="n"/>
      <c r="Q416" s="153" t="n"/>
      <c r="R416" s="153" t="n"/>
      <c r="S416" s="153" t="n"/>
      <c r="T416" s="153" t="n"/>
      <c r="U416" s="153" t="n"/>
      <c r="V416" s="153" t="n"/>
      <c r="W416" s="153" t="n"/>
      <c r="X416" s="153" t="n"/>
      <c r="Y416" s="153" t="n"/>
      <c r="Z416" s="153" t="n"/>
    </row>
    <row r="417" ht="15.75" customHeight="1" s="154">
      <c r="G417" s="153" t="n"/>
      <c r="H417" s="153" t="n"/>
      <c r="I417" s="153" t="n"/>
      <c r="J417" s="153" t="n"/>
      <c r="K417" s="153" t="n"/>
      <c r="L417" s="153" t="n"/>
      <c r="M417" s="153" t="n"/>
      <c r="N417" s="153" t="n"/>
      <c r="O417" s="153" t="n"/>
      <c r="P417" s="153" t="n"/>
      <c r="Q417" s="153" t="n"/>
      <c r="R417" s="153" t="n"/>
      <c r="S417" s="153" t="n"/>
      <c r="T417" s="153" t="n"/>
      <c r="U417" s="153" t="n"/>
      <c r="V417" s="153" t="n"/>
      <c r="W417" s="153" t="n"/>
      <c r="X417" s="153" t="n"/>
      <c r="Y417" s="153" t="n"/>
      <c r="Z417" s="153" t="n"/>
    </row>
    <row r="418" ht="15.75" customHeight="1" s="154">
      <c r="G418" s="153" t="n"/>
      <c r="H418" s="153" t="n"/>
      <c r="I418" s="153" t="n"/>
      <c r="J418" s="153" t="n"/>
      <c r="K418" s="153" t="n"/>
      <c r="L418" s="153" t="n"/>
      <c r="M418" s="153" t="n"/>
      <c r="N418" s="153" t="n"/>
      <c r="O418" s="153" t="n"/>
      <c r="P418" s="153" t="n"/>
      <c r="Q418" s="153" t="n"/>
      <c r="R418" s="153" t="n"/>
      <c r="S418" s="153" t="n"/>
      <c r="T418" s="153" t="n"/>
      <c r="U418" s="153" t="n"/>
      <c r="V418" s="153" t="n"/>
      <c r="W418" s="153" t="n"/>
      <c r="X418" s="153" t="n"/>
      <c r="Y418" s="153" t="n"/>
      <c r="Z418" s="153" t="n"/>
    </row>
    <row r="419" ht="15.75" customHeight="1" s="154">
      <c r="G419" s="153" t="n"/>
      <c r="H419" s="153" t="n"/>
      <c r="I419" s="153" t="n"/>
      <c r="J419" s="153" t="n"/>
      <c r="K419" s="153" t="n"/>
      <c r="L419" s="153" t="n"/>
      <c r="M419" s="153" t="n"/>
      <c r="N419" s="153" t="n"/>
      <c r="O419" s="153" t="n"/>
      <c r="P419" s="153" t="n"/>
      <c r="Q419" s="153" t="n"/>
      <c r="R419" s="153" t="n"/>
      <c r="S419" s="153" t="n"/>
      <c r="T419" s="153" t="n"/>
      <c r="U419" s="153" t="n"/>
      <c r="V419" s="153" t="n"/>
      <c r="W419" s="153" t="n"/>
      <c r="X419" s="153" t="n"/>
      <c r="Y419" s="153" t="n"/>
      <c r="Z419" s="153" t="n"/>
    </row>
    <row r="420" ht="15.75" customHeight="1" s="154">
      <c r="G420" s="153" t="n"/>
      <c r="H420" s="153" t="n"/>
      <c r="I420" s="153" t="n"/>
      <c r="J420" s="153" t="n"/>
      <c r="K420" s="153" t="n"/>
      <c r="L420" s="153" t="n"/>
      <c r="M420" s="153" t="n"/>
      <c r="N420" s="153" t="n"/>
      <c r="O420" s="153" t="n"/>
      <c r="P420" s="153" t="n"/>
      <c r="Q420" s="153" t="n"/>
      <c r="R420" s="153" t="n"/>
      <c r="S420" s="153" t="n"/>
      <c r="T420" s="153" t="n"/>
      <c r="U420" s="153" t="n"/>
      <c r="V420" s="153" t="n"/>
      <c r="W420" s="153" t="n"/>
      <c r="X420" s="153" t="n"/>
      <c r="Y420" s="153" t="n"/>
      <c r="Z420" s="153" t="n"/>
    </row>
    <row r="421" ht="15.75" customHeight="1" s="154">
      <c r="G421" s="153" t="n"/>
      <c r="H421" s="153" t="n"/>
      <c r="I421" s="153" t="n"/>
      <c r="J421" s="153" t="n"/>
      <c r="K421" s="153" t="n"/>
      <c r="L421" s="153" t="n"/>
      <c r="M421" s="153" t="n"/>
      <c r="N421" s="153" t="n"/>
      <c r="O421" s="153" t="n"/>
      <c r="P421" s="153" t="n"/>
      <c r="Q421" s="153" t="n"/>
      <c r="R421" s="153" t="n"/>
      <c r="S421" s="153" t="n"/>
      <c r="T421" s="153" t="n"/>
      <c r="U421" s="153" t="n"/>
      <c r="V421" s="153" t="n"/>
      <c r="W421" s="153" t="n"/>
      <c r="X421" s="153" t="n"/>
      <c r="Y421" s="153" t="n"/>
      <c r="Z421" s="153" t="n"/>
    </row>
    <row r="422" ht="15.75" customHeight="1" s="154">
      <c r="G422" s="153" t="n"/>
      <c r="H422" s="153" t="n"/>
      <c r="I422" s="153" t="n"/>
      <c r="J422" s="153" t="n"/>
      <c r="K422" s="153" t="n"/>
      <c r="L422" s="153" t="n"/>
      <c r="M422" s="153" t="n"/>
      <c r="N422" s="153" t="n"/>
      <c r="O422" s="153" t="n"/>
      <c r="P422" s="153" t="n"/>
      <c r="Q422" s="153" t="n"/>
      <c r="R422" s="153" t="n"/>
      <c r="S422" s="153" t="n"/>
      <c r="T422" s="153" t="n"/>
      <c r="U422" s="153" t="n"/>
      <c r="V422" s="153" t="n"/>
      <c r="W422" s="153" t="n"/>
      <c r="X422" s="153" t="n"/>
      <c r="Y422" s="153" t="n"/>
      <c r="Z422" s="153" t="n"/>
    </row>
    <row r="423" ht="15.75" customHeight="1" s="154">
      <c r="G423" s="153" t="n"/>
      <c r="H423" s="153" t="n"/>
      <c r="I423" s="153" t="n"/>
      <c r="J423" s="153" t="n"/>
      <c r="K423" s="153" t="n"/>
      <c r="L423" s="153" t="n"/>
      <c r="M423" s="153" t="n"/>
      <c r="N423" s="153" t="n"/>
      <c r="O423" s="153" t="n"/>
      <c r="P423" s="153" t="n"/>
      <c r="Q423" s="153" t="n"/>
      <c r="R423" s="153" t="n"/>
      <c r="S423" s="153" t="n"/>
      <c r="T423" s="153" t="n"/>
      <c r="U423" s="153" t="n"/>
      <c r="V423" s="153" t="n"/>
      <c r="W423" s="153" t="n"/>
      <c r="X423" s="153" t="n"/>
      <c r="Y423" s="153" t="n"/>
      <c r="Z423" s="153" t="n"/>
    </row>
    <row r="424" ht="15.75" customHeight="1" s="154">
      <c r="G424" s="153" t="n"/>
      <c r="H424" s="153" t="n"/>
      <c r="I424" s="153" t="n"/>
      <c r="J424" s="153" t="n"/>
      <c r="K424" s="153" t="n"/>
      <c r="L424" s="153" t="n"/>
      <c r="M424" s="153" t="n"/>
      <c r="N424" s="153" t="n"/>
      <c r="O424" s="153" t="n"/>
      <c r="P424" s="153" t="n"/>
      <c r="Q424" s="153" t="n"/>
      <c r="R424" s="153" t="n"/>
      <c r="S424" s="153" t="n"/>
      <c r="T424" s="153" t="n"/>
      <c r="U424" s="153" t="n"/>
      <c r="V424" s="153" t="n"/>
      <c r="W424" s="153" t="n"/>
      <c r="X424" s="153" t="n"/>
      <c r="Y424" s="153" t="n"/>
      <c r="Z424" s="153" t="n"/>
    </row>
    <row r="425" ht="15.75" customHeight="1" s="154">
      <c r="G425" s="153" t="n"/>
      <c r="H425" s="153" t="n"/>
      <c r="I425" s="153" t="n"/>
      <c r="J425" s="153" t="n"/>
      <c r="K425" s="153" t="n"/>
      <c r="L425" s="153" t="n"/>
      <c r="M425" s="153" t="n"/>
      <c r="N425" s="153" t="n"/>
      <c r="O425" s="153" t="n"/>
      <c r="P425" s="153" t="n"/>
      <c r="Q425" s="153" t="n"/>
      <c r="R425" s="153" t="n"/>
      <c r="S425" s="153" t="n"/>
      <c r="T425" s="153" t="n"/>
      <c r="U425" s="153" t="n"/>
      <c r="V425" s="153" t="n"/>
      <c r="W425" s="153" t="n"/>
      <c r="X425" s="153" t="n"/>
      <c r="Y425" s="153" t="n"/>
      <c r="Z425" s="153" t="n"/>
    </row>
    <row r="426" ht="15.75" customHeight="1" s="154">
      <c r="G426" s="153" t="n"/>
      <c r="H426" s="153" t="n"/>
      <c r="I426" s="153" t="n"/>
      <c r="J426" s="153" t="n"/>
      <c r="K426" s="153" t="n"/>
      <c r="L426" s="153" t="n"/>
      <c r="M426" s="153" t="n"/>
      <c r="N426" s="153" t="n"/>
      <c r="O426" s="153" t="n"/>
      <c r="P426" s="153" t="n"/>
      <c r="Q426" s="153" t="n"/>
      <c r="R426" s="153" t="n"/>
      <c r="S426" s="153" t="n"/>
      <c r="T426" s="153" t="n"/>
      <c r="U426" s="153" t="n"/>
      <c r="V426" s="153" t="n"/>
      <c r="W426" s="153" t="n"/>
      <c r="X426" s="153" t="n"/>
      <c r="Y426" s="153" t="n"/>
      <c r="Z426" s="153" t="n"/>
    </row>
    <row r="427" ht="15.75" customHeight="1" s="154">
      <c r="G427" s="153" t="n"/>
      <c r="H427" s="153" t="n"/>
      <c r="I427" s="153" t="n"/>
      <c r="J427" s="153" t="n"/>
      <c r="K427" s="153" t="n"/>
      <c r="L427" s="153" t="n"/>
      <c r="M427" s="153" t="n"/>
      <c r="N427" s="153" t="n"/>
      <c r="O427" s="153" t="n"/>
      <c r="P427" s="153" t="n"/>
      <c r="Q427" s="153" t="n"/>
      <c r="R427" s="153" t="n"/>
      <c r="S427" s="153" t="n"/>
      <c r="T427" s="153" t="n"/>
      <c r="U427" s="153" t="n"/>
      <c r="V427" s="153" t="n"/>
      <c r="W427" s="153" t="n"/>
      <c r="X427" s="153" t="n"/>
      <c r="Y427" s="153" t="n"/>
      <c r="Z427" s="153" t="n"/>
    </row>
    <row r="428" ht="15.75" customHeight="1" s="154">
      <c r="G428" s="153" t="n"/>
      <c r="H428" s="153" t="n"/>
      <c r="I428" s="153" t="n"/>
      <c r="J428" s="153" t="n"/>
      <c r="K428" s="153" t="n"/>
      <c r="L428" s="153" t="n"/>
      <c r="M428" s="153" t="n"/>
      <c r="N428" s="153" t="n"/>
      <c r="O428" s="153" t="n"/>
      <c r="P428" s="153" t="n"/>
      <c r="Q428" s="153" t="n"/>
      <c r="R428" s="153" t="n"/>
      <c r="S428" s="153" t="n"/>
      <c r="T428" s="153" t="n"/>
      <c r="U428" s="153" t="n"/>
      <c r="V428" s="153" t="n"/>
      <c r="W428" s="153" t="n"/>
      <c r="X428" s="153" t="n"/>
      <c r="Y428" s="153" t="n"/>
      <c r="Z428" s="153" t="n"/>
    </row>
    <row r="429" ht="15.75" customHeight="1" s="154">
      <c r="G429" s="153" t="n"/>
      <c r="H429" s="153" t="n"/>
      <c r="I429" s="153" t="n"/>
      <c r="J429" s="153" t="n"/>
      <c r="K429" s="153" t="n"/>
      <c r="L429" s="153" t="n"/>
      <c r="M429" s="153" t="n"/>
      <c r="N429" s="153" t="n"/>
      <c r="O429" s="153" t="n"/>
      <c r="P429" s="153" t="n"/>
      <c r="Q429" s="153" t="n"/>
      <c r="R429" s="153" t="n"/>
      <c r="S429" s="153" t="n"/>
      <c r="T429" s="153" t="n"/>
      <c r="U429" s="153" t="n"/>
      <c r="V429" s="153" t="n"/>
      <c r="W429" s="153" t="n"/>
      <c r="X429" s="153" t="n"/>
      <c r="Y429" s="153" t="n"/>
      <c r="Z429" s="153" t="n"/>
    </row>
    <row r="430" ht="15.75" customHeight="1" s="154">
      <c r="G430" s="153" t="n"/>
      <c r="H430" s="153" t="n"/>
      <c r="I430" s="153" t="n"/>
      <c r="J430" s="153" t="n"/>
      <c r="K430" s="153" t="n"/>
      <c r="L430" s="153" t="n"/>
      <c r="M430" s="153" t="n"/>
      <c r="N430" s="153" t="n"/>
      <c r="O430" s="153" t="n"/>
      <c r="P430" s="153" t="n"/>
      <c r="Q430" s="153" t="n"/>
      <c r="R430" s="153" t="n"/>
      <c r="S430" s="153" t="n"/>
      <c r="T430" s="153" t="n"/>
      <c r="U430" s="153" t="n"/>
      <c r="V430" s="153" t="n"/>
      <c r="W430" s="153" t="n"/>
      <c r="X430" s="153" t="n"/>
      <c r="Y430" s="153" t="n"/>
      <c r="Z430" s="153" t="n"/>
    </row>
    <row r="431" ht="15.75" customHeight="1" s="154">
      <c r="G431" s="153" t="n"/>
      <c r="H431" s="153" t="n"/>
      <c r="I431" s="153" t="n"/>
      <c r="J431" s="153" t="n"/>
      <c r="K431" s="153" t="n"/>
      <c r="L431" s="153" t="n"/>
      <c r="M431" s="153" t="n"/>
      <c r="N431" s="153" t="n"/>
      <c r="O431" s="153" t="n"/>
      <c r="P431" s="153" t="n"/>
      <c r="Q431" s="153" t="n"/>
      <c r="R431" s="153" t="n"/>
      <c r="S431" s="153" t="n"/>
      <c r="T431" s="153" t="n"/>
      <c r="U431" s="153" t="n"/>
      <c r="V431" s="153" t="n"/>
      <c r="W431" s="153" t="n"/>
      <c r="X431" s="153" t="n"/>
      <c r="Y431" s="153" t="n"/>
      <c r="Z431" s="153" t="n"/>
    </row>
    <row r="432" ht="15.75" customHeight="1" s="154">
      <c r="G432" s="153" t="n"/>
      <c r="H432" s="153" t="n"/>
      <c r="I432" s="153" t="n"/>
      <c r="J432" s="153" t="n"/>
      <c r="K432" s="153" t="n"/>
      <c r="L432" s="153" t="n"/>
      <c r="M432" s="153" t="n"/>
      <c r="N432" s="153" t="n"/>
      <c r="O432" s="153" t="n"/>
      <c r="P432" s="153" t="n"/>
      <c r="Q432" s="153" t="n"/>
      <c r="R432" s="153" t="n"/>
      <c r="S432" s="153" t="n"/>
      <c r="T432" s="153" t="n"/>
      <c r="U432" s="153" t="n"/>
      <c r="V432" s="153" t="n"/>
      <c r="W432" s="153" t="n"/>
      <c r="X432" s="153" t="n"/>
      <c r="Y432" s="153" t="n"/>
      <c r="Z432" s="153" t="n"/>
    </row>
    <row r="433" ht="15.75" customHeight="1" s="154">
      <c r="G433" s="153" t="n"/>
      <c r="H433" s="153" t="n"/>
      <c r="I433" s="153" t="n"/>
      <c r="J433" s="153" t="n"/>
      <c r="K433" s="153" t="n"/>
      <c r="L433" s="153" t="n"/>
      <c r="M433" s="153" t="n"/>
      <c r="N433" s="153" t="n"/>
      <c r="O433" s="153" t="n"/>
      <c r="P433" s="153" t="n"/>
      <c r="Q433" s="153" t="n"/>
      <c r="R433" s="153" t="n"/>
      <c r="S433" s="153" t="n"/>
      <c r="T433" s="153" t="n"/>
      <c r="U433" s="153" t="n"/>
      <c r="V433" s="153" t="n"/>
      <c r="W433" s="153" t="n"/>
      <c r="X433" s="153" t="n"/>
      <c r="Y433" s="153" t="n"/>
      <c r="Z433" s="153" t="n"/>
    </row>
    <row r="434" ht="15.75" customHeight="1" s="154">
      <c r="G434" s="153" t="n"/>
      <c r="H434" s="153" t="n"/>
      <c r="I434" s="153" t="n"/>
      <c r="J434" s="153" t="n"/>
      <c r="K434" s="153" t="n"/>
      <c r="L434" s="153" t="n"/>
      <c r="M434" s="153" t="n"/>
      <c r="N434" s="153" t="n"/>
      <c r="O434" s="153" t="n"/>
      <c r="P434" s="153" t="n"/>
      <c r="Q434" s="153" t="n"/>
      <c r="R434" s="153" t="n"/>
      <c r="S434" s="153" t="n"/>
      <c r="T434" s="153" t="n"/>
      <c r="U434" s="153" t="n"/>
      <c r="V434" s="153" t="n"/>
      <c r="W434" s="153" t="n"/>
      <c r="X434" s="153" t="n"/>
      <c r="Y434" s="153" t="n"/>
      <c r="Z434" s="153" t="n"/>
    </row>
    <row r="435" ht="15.75" customHeight="1" s="154">
      <c r="G435" s="153" t="n"/>
      <c r="H435" s="153" t="n"/>
      <c r="I435" s="153" t="n"/>
      <c r="J435" s="153" t="n"/>
      <c r="K435" s="153" t="n"/>
      <c r="L435" s="153" t="n"/>
      <c r="M435" s="153" t="n"/>
      <c r="N435" s="153" t="n"/>
      <c r="O435" s="153" t="n"/>
      <c r="P435" s="153" t="n"/>
      <c r="Q435" s="153" t="n"/>
      <c r="R435" s="153" t="n"/>
      <c r="S435" s="153" t="n"/>
      <c r="T435" s="153" t="n"/>
      <c r="U435" s="153" t="n"/>
      <c r="V435" s="153" t="n"/>
      <c r="W435" s="153" t="n"/>
      <c r="X435" s="153" t="n"/>
      <c r="Y435" s="153" t="n"/>
      <c r="Z435" s="153" t="n"/>
    </row>
    <row r="436" ht="15.75" customHeight="1" s="154">
      <c r="G436" s="153" t="n"/>
      <c r="H436" s="153" t="n"/>
      <c r="I436" s="153" t="n"/>
      <c r="J436" s="153" t="n"/>
      <c r="K436" s="153" t="n"/>
      <c r="L436" s="153" t="n"/>
      <c r="M436" s="153" t="n"/>
      <c r="N436" s="153" t="n"/>
      <c r="O436" s="153" t="n"/>
      <c r="P436" s="153" t="n"/>
      <c r="Q436" s="153" t="n"/>
      <c r="R436" s="153" t="n"/>
      <c r="S436" s="153" t="n"/>
      <c r="T436" s="153" t="n"/>
      <c r="U436" s="153" t="n"/>
      <c r="V436" s="153" t="n"/>
      <c r="W436" s="153" t="n"/>
      <c r="X436" s="153" t="n"/>
      <c r="Y436" s="153" t="n"/>
      <c r="Z436" s="153" t="n"/>
    </row>
    <row r="437" ht="15.75" customHeight="1" s="154">
      <c r="G437" s="153" t="n"/>
      <c r="H437" s="153" t="n"/>
      <c r="I437" s="153" t="n"/>
      <c r="J437" s="153" t="n"/>
      <c r="K437" s="153" t="n"/>
      <c r="L437" s="153" t="n"/>
      <c r="M437" s="153" t="n"/>
      <c r="N437" s="153" t="n"/>
      <c r="O437" s="153" t="n"/>
      <c r="P437" s="153" t="n"/>
      <c r="Q437" s="153" t="n"/>
      <c r="R437" s="153" t="n"/>
      <c r="S437" s="153" t="n"/>
      <c r="T437" s="153" t="n"/>
      <c r="U437" s="153" t="n"/>
      <c r="V437" s="153" t="n"/>
      <c r="W437" s="153" t="n"/>
      <c r="X437" s="153" t="n"/>
      <c r="Y437" s="153" t="n"/>
      <c r="Z437" s="153" t="n"/>
    </row>
    <row r="438" ht="15.75" customHeight="1" s="154">
      <c r="G438" s="153" t="n"/>
      <c r="H438" s="153" t="n"/>
      <c r="I438" s="153" t="n"/>
      <c r="J438" s="153" t="n"/>
      <c r="K438" s="153" t="n"/>
      <c r="L438" s="153" t="n"/>
      <c r="M438" s="153" t="n"/>
      <c r="N438" s="153" t="n"/>
      <c r="O438" s="153" t="n"/>
      <c r="P438" s="153" t="n"/>
      <c r="Q438" s="153" t="n"/>
      <c r="R438" s="153" t="n"/>
      <c r="S438" s="153" t="n"/>
      <c r="T438" s="153" t="n"/>
      <c r="U438" s="153" t="n"/>
      <c r="V438" s="153" t="n"/>
      <c r="W438" s="153" t="n"/>
      <c r="X438" s="153" t="n"/>
      <c r="Y438" s="153" t="n"/>
      <c r="Z438" s="153" t="n"/>
    </row>
    <row r="439" ht="15.75" customHeight="1" s="154">
      <c r="G439" s="153" t="n"/>
      <c r="H439" s="153" t="n"/>
      <c r="I439" s="153" t="n"/>
      <c r="J439" s="153" t="n"/>
      <c r="K439" s="153" t="n"/>
      <c r="L439" s="153" t="n"/>
      <c r="M439" s="153" t="n"/>
      <c r="N439" s="153" t="n"/>
      <c r="O439" s="153" t="n"/>
      <c r="P439" s="153" t="n"/>
      <c r="Q439" s="153" t="n"/>
      <c r="R439" s="153" t="n"/>
      <c r="S439" s="153" t="n"/>
      <c r="T439" s="153" t="n"/>
      <c r="U439" s="153" t="n"/>
      <c r="V439" s="153" t="n"/>
      <c r="W439" s="153" t="n"/>
      <c r="X439" s="153" t="n"/>
      <c r="Y439" s="153" t="n"/>
      <c r="Z439" s="153" t="n"/>
    </row>
    <row r="440" ht="15.75" customHeight="1" s="154">
      <c r="G440" s="153" t="n"/>
      <c r="H440" s="153" t="n"/>
      <c r="I440" s="153" t="n"/>
      <c r="J440" s="153" t="n"/>
      <c r="K440" s="153" t="n"/>
      <c r="L440" s="153" t="n"/>
      <c r="M440" s="153" t="n"/>
      <c r="N440" s="153" t="n"/>
      <c r="O440" s="153" t="n"/>
      <c r="P440" s="153" t="n"/>
      <c r="Q440" s="153" t="n"/>
      <c r="R440" s="153" t="n"/>
      <c r="S440" s="153" t="n"/>
      <c r="T440" s="153" t="n"/>
      <c r="U440" s="153" t="n"/>
      <c r="V440" s="153" t="n"/>
      <c r="W440" s="153" t="n"/>
      <c r="X440" s="153" t="n"/>
      <c r="Y440" s="153" t="n"/>
      <c r="Z440" s="153" t="n"/>
    </row>
    <row r="441" ht="15.75" customHeight="1" s="154">
      <c r="G441" s="153" t="n"/>
      <c r="H441" s="153" t="n"/>
      <c r="I441" s="153" t="n"/>
      <c r="J441" s="153" t="n"/>
      <c r="K441" s="153" t="n"/>
      <c r="L441" s="153" t="n"/>
      <c r="M441" s="153" t="n"/>
      <c r="N441" s="153" t="n"/>
      <c r="O441" s="153" t="n"/>
      <c r="P441" s="153" t="n"/>
      <c r="Q441" s="153" t="n"/>
      <c r="R441" s="153" t="n"/>
      <c r="S441" s="153" t="n"/>
      <c r="T441" s="153" t="n"/>
      <c r="U441" s="153" t="n"/>
      <c r="V441" s="153" t="n"/>
      <c r="W441" s="153" t="n"/>
      <c r="X441" s="153" t="n"/>
      <c r="Y441" s="153" t="n"/>
      <c r="Z441" s="153" t="n"/>
    </row>
    <row r="442" ht="15.75" customHeight="1" s="154">
      <c r="G442" s="153" t="n"/>
      <c r="H442" s="153" t="n"/>
      <c r="I442" s="153" t="n"/>
      <c r="J442" s="153" t="n"/>
      <c r="K442" s="153" t="n"/>
      <c r="L442" s="153" t="n"/>
      <c r="M442" s="153" t="n"/>
      <c r="N442" s="153" t="n"/>
      <c r="O442" s="153" t="n"/>
      <c r="P442" s="153" t="n"/>
      <c r="Q442" s="153" t="n"/>
      <c r="R442" s="153" t="n"/>
      <c r="S442" s="153" t="n"/>
      <c r="T442" s="153" t="n"/>
      <c r="U442" s="153" t="n"/>
      <c r="V442" s="153" t="n"/>
      <c r="W442" s="153" t="n"/>
      <c r="X442" s="153" t="n"/>
      <c r="Y442" s="153" t="n"/>
      <c r="Z442" s="153" t="n"/>
    </row>
    <row r="443" ht="15.75" customHeight="1" s="154">
      <c r="G443" s="153" t="n"/>
      <c r="H443" s="153" t="n"/>
      <c r="I443" s="153" t="n"/>
      <c r="J443" s="153" t="n"/>
      <c r="K443" s="153" t="n"/>
      <c r="L443" s="153" t="n"/>
      <c r="M443" s="153" t="n"/>
      <c r="N443" s="153" t="n"/>
      <c r="O443" s="153" t="n"/>
      <c r="P443" s="153" t="n"/>
      <c r="Q443" s="153" t="n"/>
      <c r="R443" s="153" t="n"/>
      <c r="S443" s="153" t="n"/>
      <c r="T443" s="153" t="n"/>
      <c r="U443" s="153" t="n"/>
      <c r="V443" s="153" t="n"/>
      <c r="W443" s="153" t="n"/>
      <c r="X443" s="153" t="n"/>
      <c r="Y443" s="153" t="n"/>
      <c r="Z443" s="153" t="n"/>
    </row>
    <row r="444" ht="15.75" customHeight="1" s="154">
      <c r="G444" s="153" t="n"/>
      <c r="H444" s="153" t="n"/>
      <c r="I444" s="153" t="n"/>
      <c r="J444" s="153" t="n"/>
      <c r="K444" s="153" t="n"/>
      <c r="L444" s="153" t="n"/>
      <c r="M444" s="153" t="n"/>
      <c r="N444" s="153" t="n"/>
      <c r="O444" s="153" t="n"/>
      <c r="P444" s="153" t="n"/>
      <c r="Q444" s="153" t="n"/>
      <c r="R444" s="153" t="n"/>
      <c r="S444" s="153" t="n"/>
      <c r="T444" s="153" t="n"/>
      <c r="U444" s="153" t="n"/>
      <c r="V444" s="153" t="n"/>
      <c r="W444" s="153" t="n"/>
      <c r="X444" s="153" t="n"/>
      <c r="Y444" s="153" t="n"/>
      <c r="Z444" s="153" t="n"/>
    </row>
    <row r="445" ht="15.75" customHeight="1" s="154">
      <c r="G445" s="153" t="n"/>
      <c r="H445" s="153" t="n"/>
      <c r="I445" s="153" t="n"/>
      <c r="J445" s="153" t="n"/>
      <c r="K445" s="153" t="n"/>
      <c r="L445" s="153" t="n"/>
      <c r="M445" s="153" t="n"/>
      <c r="N445" s="153" t="n"/>
      <c r="O445" s="153" t="n"/>
      <c r="P445" s="153" t="n"/>
      <c r="Q445" s="153" t="n"/>
      <c r="R445" s="153" t="n"/>
      <c r="S445" s="153" t="n"/>
      <c r="T445" s="153" t="n"/>
      <c r="U445" s="153" t="n"/>
      <c r="V445" s="153" t="n"/>
      <c r="W445" s="153" t="n"/>
      <c r="X445" s="153" t="n"/>
      <c r="Y445" s="153" t="n"/>
      <c r="Z445" s="153" t="n"/>
    </row>
    <row r="446" ht="15.75" customHeight="1" s="154">
      <c r="G446" s="153" t="n"/>
      <c r="H446" s="153" t="n"/>
      <c r="I446" s="153" t="n"/>
      <c r="J446" s="153" t="n"/>
      <c r="K446" s="153" t="n"/>
      <c r="L446" s="153" t="n"/>
      <c r="M446" s="153" t="n"/>
      <c r="N446" s="153" t="n"/>
      <c r="O446" s="153" t="n"/>
      <c r="P446" s="153" t="n"/>
      <c r="Q446" s="153" t="n"/>
      <c r="R446" s="153" t="n"/>
      <c r="S446" s="153" t="n"/>
      <c r="T446" s="153" t="n"/>
      <c r="U446" s="153" t="n"/>
      <c r="V446" s="153" t="n"/>
      <c r="W446" s="153" t="n"/>
      <c r="X446" s="153" t="n"/>
      <c r="Y446" s="153" t="n"/>
      <c r="Z446" s="153" t="n"/>
    </row>
    <row r="447" ht="15.75" customHeight="1" s="154">
      <c r="G447" s="153" t="n"/>
      <c r="H447" s="153" t="n"/>
      <c r="I447" s="153" t="n"/>
      <c r="J447" s="153" t="n"/>
      <c r="K447" s="153" t="n"/>
      <c r="L447" s="153" t="n"/>
      <c r="M447" s="153" t="n"/>
      <c r="N447" s="153" t="n"/>
      <c r="O447" s="153" t="n"/>
      <c r="P447" s="153" t="n"/>
      <c r="Q447" s="153" t="n"/>
      <c r="R447" s="153" t="n"/>
      <c r="S447" s="153" t="n"/>
      <c r="T447" s="153" t="n"/>
      <c r="U447" s="153" t="n"/>
      <c r="V447" s="153" t="n"/>
      <c r="W447" s="153" t="n"/>
      <c r="X447" s="153" t="n"/>
      <c r="Y447" s="153" t="n"/>
      <c r="Z447" s="153" t="n"/>
    </row>
    <row r="448" ht="15.75" customHeight="1" s="154">
      <c r="G448" s="153" t="n"/>
      <c r="H448" s="153" t="n"/>
      <c r="I448" s="153" t="n"/>
      <c r="J448" s="153" t="n"/>
      <c r="K448" s="153" t="n"/>
      <c r="L448" s="153" t="n"/>
      <c r="M448" s="153" t="n"/>
      <c r="N448" s="153" t="n"/>
      <c r="O448" s="153" t="n"/>
      <c r="P448" s="153" t="n"/>
      <c r="Q448" s="153" t="n"/>
      <c r="R448" s="153" t="n"/>
      <c r="S448" s="153" t="n"/>
      <c r="T448" s="153" t="n"/>
      <c r="U448" s="153" t="n"/>
      <c r="V448" s="153" t="n"/>
      <c r="W448" s="153" t="n"/>
      <c r="X448" s="153" t="n"/>
      <c r="Y448" s="153" t="n"/>
      <c r="Z448" s="153" t="n"/>
    </row>
    <row r="449" ht="15.75" customHeight="1" s="154">
      <c r="G449" s="153" t="n"/>
      <c r="H449" s="153" t="n"/>
      <c r="I449" s="153" t="n"/>
      <c r="J449" s="153" t="n"/>
      <c r="K449" s="153" t="n"/>
      <c r="L449" s="153" t="n"/>
      <c r="M449" s="153" t="n"/>
      <c r="N449" s="153" t="n"/>
      <c r="O449" s="153" t="n"/>
      <c r="P449" s="153" t="n"/>
      <c r="Q449" s="153" t="n"/>
      <c r="R449" s="153" t="n"/>
      <c r="S449" s="153" t="n"/>
      <c r="T449" s="153" t="n"/>
      <c r="U449" s="153" t="n"/>
      <c r="V449" s="153" t="n"/>
      <c r="W449" s="153" t="n"/>
      <c r="X449" s="153" t="n"/>
      <c r="Y449" s="153" t="n"/>
      <c r="Z449" s="153" t="n"/>
    </row>
    <row r="450" ht="15.75" customHeight="1" s="154">
      <c r="G450" s="153" t="n"/>
      <c r="H450" s="153" t="n"/>
      <c r="I450" s="153" t="n"/>
      <c r="J450" s="153" t="n"/>
      <c r="K450" s="153" t="n"/>
      <c r="L450" s="153" t="n"/>
      <c r="M450" s="153" t="n"/>
      <c r="N450" s="153" t="n"/>
      <c r="O450" s="153" t="n"/>
      <c r="P450" s="153" t="n"/>
      <c r="Q450" s="153" t="n"/>
      <c r="R450" s="153" t="n"/>
      <c r="S450" s="153" t="n"/>
      <c r="T450" s="153" t="n"/>
      <c r="U450" s="153" t="n"/>
      <c r="V450" s="153" t="n"/>
      <c r="W450" s="153" t="n"/>
      <c r="X450" s="153" t="n"/>
      <c r="Y450" s="153" t="n"/>
      <c r="Z450" s="153" t="n"/>
    </row>
    <row r="451" ht="15.75" customHeight="1" s="154">
      <c r="G451" s="153" t="n"/>
      <c r="H451" s="153" t="n"/>
      <c r="I451" s="153" t="n"/>
      <c r="J451" s="153" t="n"/>
      <c r="K451" s="153" t="n"/>
      <c r="L451" s="153" t="n"/>
      <c r="M451" s="153" t="n"/>
      <c r="N451" s="153" t="n"/>
      <c r="O451" s="153" t="n"/>
      <c r="P451" s="153" t="n"/>
      <c r="Q451" s="153" t="n"/>
      <c r="R451" s="153" t="n"/>
      <c r="S451" s="153" t="n"/>
      <c r="T451" s="153" t="n"/>
      <c r="U451" s="153" t="n"/>
      <c r="V451" s="153" t="n"/>
      <c r="W451" s="153" t="n"/>
      <c r="X451" s="153" t="n"/>
      <c r="Y451" s="153" t="n"/>
      <c r="Z451" s="153" t="n"/>
    </row>
    <row r="452" ht="15.75" customHeight="1" s="154">
      <c r="G452" s="153" t="n"/>
      <c r="H452" s="153" t="n"/>
      <c r="I452" s="153" t="n"/>
      <c r="J452" s="153" t="n"/>
      <c r="K452" s="153" t="n"/>
      <c r="L452" s="153" t="n"/>
      <c r="M452" s="153" t="n"/>
      <c r="N452" s="153" t="n"/>
      <c r="O452" s="153" t="n"/>
      <c r="P452" s="153" t="n"/>
      <c r="Q452" s="153" t="n"/>
      <c r="R452" s="153" t="n"/>
      <c r="S452" s="153" t="n"/>
      <c r="T452" s="153" t="n"/>
      <c r="U452" s="153" t="n"/>
      <c r="V452" s="153" t="n"/>
      <c r="W452" s="153" t="n"/>
      <c r="X452" s="153" t="n"/>
      <c r="Y452" s="153" t="n"/>
      <c r="Z452" s="153" t="n"/>
    </row>
    <row r="453" ht="15.75" customHeight="1" s="154">
      <c r="G453" s="153" t="n"/>
      <c r="H453" s="153" t="n"/>
      <c r="I453" s="153" t="n"/>
      <c r="J453" s="153" t="n"/>
      <c r="K453" s="153" t="n"/>
      <c r="L453" s="153" t="n"/>
      <c r="M453" s="153" t="n"/>
      <c r="N453" s="153" t="n"/>
      <c r="O453" s="153" t="n"/>
      <c r="P453" s="153" t="n"/>
      <c r="Q453" s="153" t="n"/>
      <c r="R453" s="153" t="n"/>
      <c r="S453" s="153" t="n"/>
      <c r="T453" s="153" t="n"/>
      <c r="U453" s="153" t="n"/>
      <c r="V453" s="153" t="n"/>
      <c r="W453" s="153" t="n"/>
      <c r="X453" s="153" t="n"/>
      <c r="Y453" s="153" t="n"/>
      <c r="Z453" s="153" t="n"/>
    </row>
    <row r="454" ht="15.75" customHeight="1" s="154">
      <c r="G454" s="153" t="n"/>
      <c r="H454" s="153" t="n"/>
      <c r="I454" s="153" t="n"/>
      <c r="J454" s="153" t="n"/>
      <c r="K454" s="153" t="n"/>
      <c r="L454" s="153" t="n"/>
      <c r="M454" s="153" t="n"/>
      <c r="N454" s="153" t="n"/>
      <c r="O454" s="153" t="n"/>
      <c r="P454" s="153" t="n"/>
      <c r="Q454" s="153" t="n"/>
      <c r="R454" s="153" t="n"/>
      <c r="S454" s="153" t="n"/>
      <c r="T454" s="153" t="n"/>
      <c r="U454" s="153" t="n"/>
      <c r="V454" s="153" t="n"/>
      <c r="W454" s="153" t="n"/>
      <c r="X454" s="153" t="n"/>
      <c r="Y454" s="153" t="n"/>
      <c r="Z454" s="153" t="n"/>
    </row>
    <row r="455" ht="15.75" customHeight="1" s="154">
      <c r="G455" s="153" t="n"/>
      <c r="H455" s="153" t="n"/>
      <c r="I455" s="153" t="n"/>
      <c r="J455" s="153" t="n"/>
      <c r="K455" s="153" t="n"/>
      <c r="L455" s="153" t="n"/>
      <c r="M455" s="153" t="n"/>
      <c r="N455" s="153" t="n"/>
      <c r="O455" s="153" t="n"/>
      <c r="P455" s="153" t="n"/>
      <c r="Q455" s="153" t="n"/>
      <c r="R455" s="153" t="n"/>
      <c r="S455" s="153" t="n"/>
      <c r="T455" s="153" t="n"/>
      <c r="U455" s="153" t="n"/>
      <c r="V455" s="153" t="n"/>
      <c r="W455" s="153" t="n"/>
      <c r="X455" s="153" t="n"/>
      <c r="Y455" s="153" t="n"/>
      <c r="Z455" s="153" t="n"/>
    </row>
    <row r="456" ht="15.75" customHeight="1" s="154">
      <c r="G456" s="153" t="n"/>
      <c r="H456" s="153" t="n"/>
      <c r="I456" s="153" t="n"/>
      <c r="J456" s="153" t="n"/>
      <c r="K456" s="153" t="n"/>
      <c r="L456" s="153" t="n"/>
      <c r="M456" s="153" t="n"/>
      <c r="N456" s="153" t="n"/>
      <c r="O456" s="153" t="n"/>
      <c r="P456" s="153" t="n"/>
      <c r="Q456" s="153" t="n"/>
      <c r="R456" s="153" t="n"/>
      <c r="S456" s="153" t="n"/>
      <c r="T456" s="153" t="n"/>
      <c r="U456" s="153" t="n"/>
      <c r="V456" s="153" t="n"/>
      <c r="W456" s="153" t="n"/>
      <c r="X456" s="153" t="n"/>
      <c r="Y456" s="153" t="n"/>
      <c r="Z456" s="153" t="n"/>
    </row>
    <row r="457" ht="15.75" customHeight="1" s="154">
      <c r="G457" s="153" t="n"/>
      <c r="H457" s="153" t="n"/>
      <c r="I457" s="153" t="n"/>
      <c r="J457" s="153" t="n"/>
      <c r="K457" s="153" t="n"/>
      <c r="L457" s="153" t="n"/>
      <c r="M457" s="153" t="n"/>
      <c r="N457" s="153" t="n"/>
      <c r="O457" s="153" t="n"/>
      <c r="P457" s="153" t="n"/>
      <c r="Q457" s="153" t="n"/>
      <c r="R457" s="153" t="n"/>
      <c r="S457" s="153" t="n"/>
      <c r="T457" s="153" t="n"/>
      <c r="U457" s="153" t="n"/>
      <c r="V457" s="153" t="n"/>
      <c r="W457" s="153" t="n"/>
      <c r="X457" s="153" t="n"/>
      <c r="Y457" s="153" t="n"/>
      <c r="Z457" s="153" t="n"/>
    </row>
    <row r="458" ht="15.75" customHeight="1" s="154">
      <c r="G458" s="153" t="n"/>
      <c r="H458" s="153" t="n"/>
      <c r="I458" s="153" t="n"/>
      <c r="J458" s="153" t="n"/>
      <c r="K458" s="153" t="n"/>
      <c r="L458" s="153" t="n"/>
      <c r="M458" s="153" t="n"/>
      <c r="N458" s="153" t="n"/>
      <c r="O458" s="153" t="n"/>
      <c r="P458" s="153" t="n"/>
      <c r="Q458" s="153" t="n"/>
      <c r="R458" s="153" t="n"/>
      <c r="S458" s="153" t="n"/>
      <c r="T458" s="153" t="n"/>
      <c r="U458" s="153" t="n"/>
      <c r="V458" s="153" t="n"/>
      <c r="W458" s="153" t="n"/>
      <c r="X458" s="153" t="n"/>
      <c r="Y458" s="153" t="n"/>
      <c r="Z458" s="153" t="n"/>
    </row>
    <row r="459" ht="15.75" customHeight="1" s="154">
      <c r="G459" s="153" t="n"/>
      <c r="H459" s="153" t="n"/>
      <c r="I459" s="153" t="n"/>
      <c r="J459" s="153" t="n"/>
      <c r="K459" s="153" t="n"/>
      <c r="L459" s="153" t="n"/>
      <c r="M459" s="153" t="n"/>
      <c r="N459" s="153" t="n"/>
      <c r="O459" s="153" t="n"/>
      <c r="P459" s="153" t="n"/>
      <c r="Q459" s="153" t="n"/>
      <c r="R459" s="153" t="n"/>
      <c r="S459" s="153" t="n"/>
      <c r="T459" s="153" t="n"/>
      <c r="U459" s="153" t="n"/>
      <c r="V459" s="153" t="n"/>
      <c r="W459" s="153" t="n"/>
      <c r="X459" s="153" t="n"/>
      <c r="Y459" s="153" t="n"/>
      <c r="Z459" s="153" t="n"/>
    </row>
    <row r="460" ht="15.75" customHeight="1" s="154">
      <c r="G460" s="153" t="n"/>
      <c r="H460" s="153" t="n"/>
      <c r="I460" s="153" t="n"/>
      <c r="J460" s="153" t="n"/>
      <c r="K460" s="153" t="n"/>
      <c r="L460" s="153" t="n"/>
      <c r="M460" s="153" t="n"/>
      <c r="N460" s="153" t="n"/>
      <c r="O460" s="153" t="n"/>
      <c r="P460" s="153" t="n"/>
      <c r="Q460" s="153" t="n"/>
      <c r="R460" s="153" t="n"/>
      <c r="S460" s="153" t="n"/>
      <c r="T460" s="153" t="n"/>
      <c r="U460" s="153" t="n"/>
      <c r="V460" s="153" t="n"/>
      <c r="W460" s="153" t="n"/>
      <c r="X460" s="153" t="n"/>
      <c r="Y460" s="153" t="n"/>
      <c r="Z460" s="153" t="n"/>
    </row>
    <row r="461" ht="15.75" customHeight="1" s="154">
      <c r="G461" s="153" t="n"/>
      <c r="H461" s="153" t="n"/>
      <c r="I461" s="153" t="n"/>
      <c r="J461" s="153" t="n"/>
      <c r="K461" s="153" t="n"/>
      <c r="L461" s="153" t="n"/>
      <c r="M461" s="153" t="n"/>
      <c r="N461" s="153" t="n"/>
      <c r="O461" s="153" t="n"/>
      <c r="P461" s="153" t="n"/>
      <c r="Q461" s="153" t="n"/>
      <c r="R461" s="153" t="n"/>
      <c r="S461" s="153" t="n"/>
      <c r="T461" s="153" t="n"/>
      <c r="U461" s="153" t="n"/>
      <c r="V461" s="153" t="n"/>
      <c r="W461" s="153" t="n"/>
      <c r="X461" s="153" t="n"/>
      <c r="Y461" s="153" t="n"/>
      <c r="Z461" s="153" t="n"/>
    </row>
    <row r="462" ht="15.75" customHeight="1" s="154">
      <c r="G462" s="153" t="n"/>
      <c r="H462" s="153" t="n"/>
      <c r="I462" s="153" t="n"/>
      <c r="J462" s="153" t="n"/>
      <c r="K462" s="153" t="n"/>
      <c r="L462" s="153" t="n"/>
      <c r="M462" s="153" t="n"/>
      <c r="N462" s="153" t="n"/>
      <c r="O462" s="153" t="n"/>
      <c r="P462" s="153" t="n"/>
      <c r="Q462" s="153" t="n"/>
      <c r="R462" s="153" t="n"/>
      <c r="S462" s="153" t="n"/>
      <c r="T462" s="153" t="n"/>
      <c r="U462" s="153" t="n"/>
      <c r="V462" s="153" t="n"/>
      <c r="W462" s="153" t="n"/>
      <c r="X462" s="153" t="n"/>
      <c r="Y462" s="153" t="n"/>
      <c r="Z462" s="153" t="n"/>
    </row>
    <row r="463" ht="15.75" customHeight="1" s="154">
      <c r="G463" s="153" t="n"/>
      <c r="H463" s="153" t="n"/>
      <c r="I463" s="153" t="n"/>
      <c r="J463" s="153" t="n"/>
      <c r="K463" s="153" t="n"/>
      <c r="L463" s="153" t="n"/>
      <c r="M463" s="153" t="n"/>
      <c r="N463" s="153" t="n"/>
      <c r="O463" s="153" t="n"/>
      <c r="P463" s="153" t="n"/>
      <c r="Q463" s="153" t="n"/>
      <c r="R463" s="153" t="n"/>
      <c r="S463" s="153" t="n"/>
      <c r="T463" s="153" t="n"/>
      <c r="U463" s="153" t="n"/>
      <c r="V463" s="153" t="n"/>
      <c r="W463" s="153" t="n"/>
      <c r="X463" s="153" t="n"/>
      <c r="Y463" s="153" t="n"/>
      <c r="Z463" s="153" t="n"/>
    </row>
    <row r="464" ht="15.75" customHeight="1" s="154">
      <c r="G464" s="153" t="n"/>
      <c r="H464" s="153" t="n"/>
      <c r="I464" s="153" t="n"/>
      <c r="J464" s="153" t="n"/>
      <c r="K464" s="153" t="n"/>
      <c r="L464" s="153" t="n"/>
      <c r="M464" s="153" t="n"/>
      <c r="N464" s="153" t="n"/>
      <c r="O464" s="153" t="n"/>
      <c r="P464" s="153" t="n"/>
      <c r="Q464" s="153" t="n"/>
      <c r="R464" s="153" t="n"/>
      <c r="S464" s="153" t="n"/>
      <c r="T464" s="153" t="n"/>
      <c r="U464" s="153" t="n"/>
      <c r="V464" s="153" t="n"/>
      <c r="W464" s="153" t="n"/>
      <c r="X464" s="153" t="n"/>
      <c r="Y464" s="153" t="n"/>
      <c r="Z464" s="153" t="n"/>
    </row>
    <row r="465" ht="15.75" customHeight="1" s="154">
      <c r="G465" s="153" t="n"/>
      <c r="H465" s="153" t="n"/>
      <c r="I465" s="153" t="n"/>
      <c r="J465" s="153" t="n"/>
      <c r="K465" s="153" t="n"/>
      <c r="L465" s="153" t="n"/>
      <c r="M465" s="153" t="n"/>
      <c r="N465" s="153" t="n"/>
      <c r="O465" s="153" t="n"/>
      <c r="P465" s="153" t="n"/>
      <c r="Q465" s="153" t="n"/>
      <c r="R465" s="153" t="n"/>
      <c r="S465" s="153" t="n"/>
      <c r="T465" s="153" t="n"/>
      <c r="U465" s="153" t="n"/>
      <c r="V465" s="153" t="n"/>
      <c r="W465" s="153" t="n"/>
      <c r="X465" s="153" t="n"/>
      <c r="Y465" s="153" t="n"/>
      <c r="Z465" s="153" t="n"/>
    </row>
    <row r="466" ht="15.75" customHeight="1" s="154">
      <c r="G466" s="153" t="n"/>
      <c r="H466" s="153" t="n"/>
      <c r="I466" s="153" t="n"/>
      <c r="J466" s="153" t="n"/>
      <c r="K466" s="153" t="n"/>
      <c r="L466" s="153" t="n"/>
      <c r="M466" s="153" t="n"/>
      <c r="N466" s="153" t="n"/>
      <c r="O466" s="153" t="n"/>
      <c r="P466" s="153" t="n"/>
      <c r="Q466" s="153" t="n"/>
      <c r="R466" s="153" t="n"/>
      <c r="S466" s="153" t="n"/>
      <c r="T466" s="153" t="n"/>
      <c r="U466" s="153" t="n"/>
      <c r="V466" s="153" t="n"/>
      <c r="W466" s="153" t="n"/>
      <c r="X466" s="153" t="n"/>
      <c r="Y466" s="153" t="n"/>
      <c r="Z466" s="153" t="n"/>
    </row>
    <row r="467" ht="15.75" customHeight="1" s="154">
      <c r="G467" s="153" t="n"/>
      <c r="H467" s="153" t="n"/>
      <c r="I467" s="153" t="n"/>
      <c r="J467" s="153" t="n"/>
      <c r="K467" s="153" t="n"/>
      <c r="L467" s="153" t="n"/>
      <c r="M467" s="153" t="n"/>
      <c r="N467" s="153" t="n"/>
      <c r="O467" s="153" t="n"/>
      <c r="P467" s="153" t="n"/>
      <c r="Q467" s="153" t="n"/>
      <c r="R467" s="153" t="n"/>
      <c r="S467" s="153" t="n"/>
      <c r="T467" s="153" t="n"/>
      <c r="U467" s="153" t="n"/>
      <c r="V467" s="153" t="n"/>
      <c r="W467" s="153" t="n"/>
      <c r="X467" s="153" t="n"/>
      <c r="Y467" s="153" t="n"/>
      <c r="Z467" s="153" t="n"/>
    </row>
    <row r="468" ht="15.75" customHeight="1" s="154">
      <c r="G468" s="153" t="n"/>
      <c r="H468" s="153" t="n"/>
      <c r="I468" s="153" t="n"/>
      <c r="J468" s="153" t="n"/>
      <c r="K468" s="153" t="n"/>
      <c r="L468" s="153" t="n"/>
      <c r="M468" s="153" t="n"/>
      <c r="N468" s="153" t="n"/>
      <c r="O468" s="153" t="n"/>
      <c r="P468" s="153" t="n"/>
      <c r="Q468" s="153" t="n"/>
      <c r="R468" s="153" t="n"/>
      <c r="S468" s="153" t="n"/>
      <c r="T468" s="153" t="n"/>
      <c r="U468" s="153" t="n"/>
      <c r="V468" s="153" t="n"/>
      <c r="W468" s="153" t="n"/>
      <c r="X468" s="153" t="n"/>
      <c r="Y468" s="153" t="n"/>
      <c r="Z468" s="153" t="n"/>
    </row>
    <row r="469" ht="15.75" customHeight="1" s="154">
      <c r="G469" s="153" t="n"/>
      <c r="H469" s="153" t="n"/>
      <c r="I469" s="153" t="n"/>
      <c r="J469" s="153" t="n"/>
      <c r="K469" s="153" t="n"/>
      <c r="L469" s="153" t="n"/>
      <c r="M469" s="153" t="n"/>
      <c r="N469" s="153" t="n"/>
      <c r="O469" s="153" t="n"/>
      <c r="P469" s="153" t="n"/>
      <c r="Q469" s="153" t="n"/>
      <c r="R469" s="153" t="n"/>
      <c r="S469" s="153" t="n"/>
      <c r="T469" s="153" t="n"/>
      <c r="U469" s="153" t="n"/>
      <c r="V469" s="153" t="n"/>
      <c r="W469" s="153" t="n"/>
      <c r="X469" s="153" t="n"/>
      <c r="Y469" s="153" t="n"/>
      <c r="Z469" s="153" t="n"/>
    </row>
    <row r="470" ht="15.75" customHeight="1" s="154">
      <c r="G470" s="153" t="n"/>
      <c r="H470" s="153" t="n"/>
      <c r="I470" s="153" t="n"/>
      <c r="J470" s="153" t="n"/>
      <c r="K470" s="153" t="n"/>
      <c r="L470" s="153" t="n"/>
      <c r="M470" s="153" t="n"/>
      <c r="N470" s="153" t="n"/>
      <c r="O470" s="153" t="n"/>
      <c r="P470" s="153" t="n"/>
      <c r="Q470" s="153" t="n"/>
      <c r="R470" s="153" t="n"/>
      <c r="S470" s="153" t="n"/>
      <c r="T470" s="153" t="n"/>
      <c r="U470" s="153" t="n"/>
      <c r="V470" s="153" t="n"/>
      <c r="W470" s="153" t="n"/>
      <c r="X470" s="153" t="n"/>
      <c r="Y470" s="153" t="n"/>
      <c r="Z470" s="153" t="n"/>
    </row>
    <row r="471" ht="15.75" customHeight="1" s="154">
      <c r="G471" s="153" t="n"/>
      <c r="H471" s="153" t="n"/>
      <c r="I471" s="153" t="n"/>
      <c r="J471" s="153" t="n"/>
      <c r="K471" s="153" t="n"/>
      <c r="L471" s="153" t="n"/>
      <c r="M471" s="153" t="n"/>
      <c r="N471" s="153" t="n"/>
      <c r="O471" s="153" t="n"/>
      <c r="P471" s="153" t="n"/>
      <c r="Q471" s="153" t="n"/>
      <c r="R471" s="153" t="n"/>
      <c r="S471" s="153" t="n"/>
      <c r="T471" s="153" t="n"/>
      <c r="U471" s="153" t="n"/>
      <c r="V471" s="153" t="n"/>
      <c r="W471" s="153" t="n"/>
      <c r="X471" s="153" t="n"/>
      <c r="Y471" s="153" t="n"/>
      <c r="Z471" s="153" t="n"/>
    </row>
    <row r="472" ht="15.75" customHeight="1" s="154">
      <c r="G472" s="153" t="n"/>
      <c r="H472" s="153" t="n"/>
      <c r="I472" s="153" t="n"/>
      <c r="J472" s="153" t="n"/>
      <c r="K472" s="153" t="n"/>
      <c r="L472" s="153" t="n"/>
      <c r="M472" s="153" t="n"/>
      <c r="N472" s="153" t="n"/>
      <c r="O472" s="153" t="n"/>
      <c r="P472" s="153" t="n"/>
      <c r="Q472" s="153" t="n"/>
      <c r="R472" s="153" t="n"/>
      <c r="S472" s="153" t="n"/>
      <c r="T472" s="153" t="n"/>
      <c r="U472" s="153" t="n"/>
      <c r="V472" s="153" t="n"/>
      <c r="W472" s="153" t="n"/>
      <c r="X472" s="153" t="n"/>
      <c r="Y472" s="153" t="n"/>
      <c r="Z472" s="153" t="n"/>
    </row>
    <row r="473" ht="15.75" customHeight="1" s="154">
      <c r="G473" s="153" t="n"/>
      <c r="H473" s="153" t="n"/>
      <c r="I473" s="153" t="n"/>
      <c r="J473" s="153" t="n"/>
      <c r="K473" s="153" t="n"/>
      <c r="L473" s="153" t="n"/>
      <c r="M473" s="153" t="n"/>
      <c r="N473" s="153" t="n"/>
      <c r="O473" s="153" t="n"/>
      <c r="P473" s="153" t="n"/>
      <c r="Q473" s="153" t="n"/>
      <c r="R473" s="153" t="n"/>
      <c r="S473" s="153" t="n"/>
      <c r="T473" s="153" t="n"/>
      <c r="U473" s="153" t="n"/>
      <c r="V473" s="153" t="n"/>
      <c r="W473" s="153" t="n"/>
      <c r="X473" s="153" t="n"/>
      <c r="Y473" s="153" t="n"/>
      <c r="Z473" s="153" t="n"/>
    </row>
    <row r="474" ht="15.75" customHeight="1" s="154">
      <c r="G474" s="153" t="n"/>
      <c r="H474" s="153" t="n"/>
      <c r="I474" s="153" t="n"/>
      <c r="J474" s="153" t="n"/>
      <c r="K474" s="153" t="n"/>
      <c r="L474" s="153" t="n"/>
      <c r="M474" s="153" t="n"/>
      <c r="N474" s="153" t="n"/>
      <c r="O474" s="153" t="n"/>
      <c r="P474" s="153" t="n"/>
      <c r="Q474" s="153" t="n"/>
      <c r="R474" s="153" t="n"/>
      <c r="S474" s="153" t="n"/>
      <c r="T474" s="153" t="n"/>
      <c r="U474" s="153" t="n"/>
      <c r="V474" s="153" t="n"/>
      <c r="W474" s="153" t="n"/>
      <c r="X474" s="153" t="n"/>
      <c r="Y474" s="153" t="n"/>
      <c r="Z474" s="153" t="n"/>
    </row>
    <row r="475" ht="15.75" customHeight="1" s="154">
      <c r="G475" s="153" t="n"/>
      <c r="H475" s="153" t="n"/>
      <c r="I475" s="153" t="n"/>
      <c r="J475" s="153" t="n"/>
      <c r="K475" s="153" t="n"/>
      <c r="L475" s="153" t="n"/>
      <c r="M475" s="153" t="n"/>
      <c r="N475" s="153" t="n"/>
      <c r="O475" s="153" t="n"/>
      <c r="P475" s="153" t="n"/>
      <c r="Q475" s="153" t="n"/>
      <c r="R475" s="153" t="n"/>
      <c r="S475" s="153" t="n"/>
      <c r="T475" s="153" t="n"/>
      <c r="U475" s="153" t="n"/>
      <c r="V475" s="153" t="n"/>
      <c r="W475" s="153" t="n"/>
      <c r="X475" s="153" t="n"/>
      <c r="Y475" s="153" t="n"/>
      <c r="Z475" s="153" t="n"/>
    </row>
    <row r="476" ht="15.75" customHeight="1" s="154">
      <c r="G476" s="153" t="n"/>
      <c r="H476" s="153" t="n"/>
      <c r="I476" s="153" t="n"/>
      <c r="J476" s="153" t="n"/>
      <c r="K476" s="153" t="n"/>
      <c r="L476" s="153" t="n"/>
      <c r="M476" s="153" t="n"/>
      <c r="N476" s="153" t="n"/>
      <c r="O476" s="153" t="n"/>
      <c r="P476" s="153" t="n"/>
      <c r="Q476" s="153" t="n"/>
      <c r="R476" s="153" t="n"/>
      <c r="S476" s="153" t="n"/>
      <c r="T476" s="153" t="n"/>
      <c r="U476" s="153" t="n"/>
      <c r="V476" s="153" t="n"/>
      <c r="W476" s="153" t="n"/>
      <c r="X476" s="153" t="n"/>
      <c r="Y476" s="153" t="n"/>
      <c r="Z476" s="153" t="n"/>
    </row>
    <row r="477" ht="15.75" customHeight="1" s="154">
      <c r="G477" s="153" t="n"/>
      <c r="H477" s="153" t="n"/>
      <c r="I477" s="153" t="n"/>
      <c r="J477" s="153" t="n"/>
      <c r="K477" s="153" t="n"/>
      <c r="L477" s="153" t="n"/>
      <c r="M477" s="153" t="n"/>
      <c r="N477" s="153" t="n"/>
      <c r="O477" s="153" t="n"/>
      <c r="P477" s="153" t="n"/>
      <c r="Q477" s="153" t="n"/>
      <c r="R477" s="153" t="n"/>
      <c r="S477" s="153" t="n"/>
      <c r="T477" s="153" t="n"/>
      <c r="U477" s="153" t="n"/>
      <c r="V477" s="153" t="n"/>
      <c r="W477" s="153" t="n"/>
      <c r="X477" s="153" t="n"/>
      <c r="Y477" s="153" t="n"/>
      <c r="Z477" s="153" t="n"/>
    </row>
    <row r="478" ht="15.75" customHeight="1" s="154">
      <c r="G478" s="153" t="n"/>
      <c r="H478" s="153" t="n"/>
      <c r="I478" s="153" t="n"/>
      <c r="J478" s="153" t="n"/>
      <c r="K478" s="153" t="n"/>
      <c r="L478" s="153" t="n"/>
      <c r="M478" s="153" t="n"/>
      <c r="N478" s="153" t="n"/>
      <c r="O478" s="153" t="n"/>
      <c r="P478" s="153" t="n"/>
      <c r="Q478" s="153" t="n"/>
      <c r="R478" s="153" t="n"/>
      <c r="S478" s="153" t="n"/>
      <c r="T478" s="153" t="n"/>
      <c r="U478" s="153" t="n"/>
      <c r="V478" s="153" t="n"/>
      <c r="W478" s="153" t="n"/>
      <c r="X478" s="153" t="n"/>
      <c r="Y478" s="153" t="n"/>
      <c r="Z478" s="153" t="n"/>
    </row>
    <row r="479" ht="15.75" customHeight="1" s="154">
      <c r="G479" s="153" t="n"/>
      <c r="H479" s="153" t="n"/>
      <c r="I479" s="153" t="n"/>
      <c r="J479" s="153" t="n"/>
      <c r="K479" s="153" t="n"/>
      <c r="L479" s="153" t="n"/>
      <c r="M479" s="153" t="n"/>
      <c r="N479" s="153" t="n"/>
      <c r="O479" s="153" t="n"/>
      <c r="P479" s="153" t="n"/>
      <c r="Q479" s="153" t="n"/>
      <c r="R479" s="153" t="n"/>
      <c r="S479" s="153" t="n"/>
      <c r="T479" s="153" t="n"/>
      <c r="U479" s="153" t="n"/>
      <c r="V479" s="153" t="n"/>
      <c r="W479" s="153" t="n"/>
      <c r="X479" s="153" t="n"/>
      <c r="Y479" s="153" t="n"/>
      <c r="Z479" s="153" t="n"/>
    </row>
    <row r="480" ht="15.75" customHeight="1" s="154">
      <c r="G480" s="153" t="n"/>
      <c r="H480" s="153" t="n"/>
      <c r="I480" s="153" t="n"/>
      <c r="J480" s="153" t="n"/>
      <c r="K480" s="153" t="n"/>
      <c r="L480" s="153" t="n"/>
      <c r="M480" s="153" t="n"/>
      <c r="N480" s="153" t="n"/>
      <c r="O480" s="153" t="n"/>
      <c r="P480" s="153" t="n"/>
      <c r="Q480" s="153" t="n"/>
      <c r="R480" s="153" t="n"/>
      <c r="S480" s="153" t="n"/>
      <c r="T480" s="153" t="n"/>
      <c r="U480" s="153" t="n"/>
      <c r="V480" s="153" t="n"/>
      <c r="W480" s="153" t="n"/>
      <c r="X480" s="153" t="n"/>
      <c r="Y480" s="153" t="n"/>
      <c r="Z480" s="153" t="n"/>
    </row>
    <row r="481" ht="15.75" customHeight="1" s="154">
      <c r="G481" s="153" t="n"/>
      <c r="H481" s="153" t="n"/>
      <c r="I481" s="153" t="n"/>
      <c r="J481" s="153" t="n"/>
      <c r="K481" s="153" t="n"/>
      <c r="L481" s="153" t="n"/>
      <c r="M481" s="153" t="n"/>
      <c r="N481" s="153" t="n"/>
      <c r="O481" s="153" t="n"/>
      <c r="P481" s="153" t="n"/>
      <c r="Q481" s="153" t="n"/>
      <c r="R481" s="153" t="n"/>
      <c r="S481" s="153" t="n"/>
      <c r="T481" s="153" t="n"/>
      <c r="U481" s="153" t="n"/>
      <c r="V481" s="153" t="n"/>
      <c r="W481" s="153" t="n"/>
      <c r="X481" s="153" t="n"/>
      <c r="Y481" s="153" t="n"/>
      <c r="Z481" s="153" t="n"/>
    </row>
    <row r="482" ht="15.75" customHeight="1" s="154">
      <c r="G482" s="153" t="n"/>
      <c r="H482" s="153" t="n"/>
      <c r="I482" s="153" t="n"/>
      <c r="J482" s="153" t="n"/>
      <c r="K482" s="153" t="n"/>
      <c r="L482" s="153" t="n"/>
      <c r="M482" s="153" t="n"/>
      <c r="N482" s="153" t="n"/>
      <c r="O482" s="153" t="n"/>
      <c r="P482" s="153" t="n"/>
      <c r="Q482" s="153" t="n"/>
      <c r="R482" s="153" t="n"/>
      <c r="S482" s="153" t="n"/>
      <c r="T482" s="153" t="n"/>
      <c r="U482" s="153" t="n"/>
      <c r="V482" s="153" t="n"/>
      <c r="W482" s="153" t="n"/>
      <c r="X482" s="153" t="n"/>
      <c r="Y482" s="153" t="n"/>
      <c r="Z482" s="153" t="n"/>
    </row>
    <row r="483" ht="15.75" customHeight="1" s="154">
      <c r="G483" s="153" t="n"/>
      <c r="H483" s="153" t="n"/>
      <c r="I483" s="153" t="n"/>
      <c r="J483" s="153" t="n"/>
      <c r="K483" s="153" t="n"/>
      <c r="L483" s="153" t="n"/>
      <c r="M483" s="153" t="n"/>
      <c r="N483" s="153" t="n"/>
      <c r="O483" s="153" t="n"/>
      <c r="P483" s="153" t="n"/>
      <c r="Q483" s="153" t="n"/>
      <c r="R483" s="153" t="n"/>
      <c r="S483" s="153" t="n"/>
      <c r="T483" s="153" t="n"/>
      <c r="U483" s="153" t="n"/>
      <c r="V483" s="153" t="n"/>
      <c r="W483" s="153" t="n"/>
      <c r="X483" s="153" t="n"/>
      <c r="Y483" s="153" t="n"/>
      <c r="Z483" s="153" t="n"/>
    </row>
    <row r="484" ht="15.75" customHeight="1" s="154">
      <c r="G484" s="153" t="n"/>
      <c r="H484" s="153" t="n"/>
      <c r="I484" s="153" t="n"/>
      <c r="J484" s="153" t="n"/>
      <c r="K484" s="153" t="n"/>
      <c r="L484" s="153" t="n"/>
      <c r="M484" s="153" t="n"/>
      <c r="N484" s="153" t="n"/>
      <c r="O484" s="153" t="n"/>
      <c r="P484" s="153" t="n"/>
      <c r="Q484" s="153" t="n"/>
      <c r="R484" s="153" t="n"/>
      <c r="S484" s="153" t="n"/>
      <c r="T484" s="153" t="n"/>
      <c r="U484" s="153" t="n"/>
      <c r="V484" s="153" t="n"/>
      <c r="W484" s="153" t="n"/>
      <c r="X484" s="153" t="n"/>
      <c r="Y484" s="153" t="n"/>
      <c r="Z484" s="153" t="n"/>
    </row>
    <row r="485" ht="15.75" customHeight="1" s="154">
      <c r="G485" s="153" t="n"/>
      <c r="H485" s="153" t="n"/>
      <c r="I485" s="153" t="n"/>
      <c r="J485" s="153" t="n"/>
      <c r="K485" s="153" t="n"/>
      <c r="L485" s="153" t="n"/>
      <c r="M485" s="153" t="n"/>
      <c r="N485" s="153" t="n"/>
      <c r="O485" s="153" t="n"/>
      <c r="P485" s="153" t="n"/>
      <c r="Q485" s="153" t="n"/>
      <c r="R485" s="153" t="n"/>
      <c r="S485" s="153" t="n"/>
      <c r="T485" s="153" t="n"/>
      <c r="U485" s="153" t="n"/>
      <c r="V485" s="153" t="n"/>
      <c r="W485" s="153" t="n"/>
      <c r="X485" s="153" t="n"/>
      <c r="Y485" s="153" t="n"/>
      <c r="Z485" s="153" t="n"/>
    </row>
    <row r="486" ht="15.75" customHeight="1" s="154">
      <c r="G486" s="153" t="n"/>
      <c r="H486" s="153" t="n"/>
      <c r="I486" s="153" t="n"/>
      <c r="J486" s="153" t="n"/>
      <c r="K486" s="153" t="n"/>
      <c r="L486" s="153" t="n"/>
      <c r="M486" s="153" t="n"/>
      <c r="N486" s="153" t="n"/>
      <c r="O486" s="153" t="n"/>
      <c r="P486" s="153" t="n"/>
      <c r="Q486" s="153" t="n"/>
      <c r="R486" s="153" t="n"/>
      <c r="S486" s="153" t="n"/>
      <c r="T486" s="153" t="n"/>
      <c r="U486" s="153" t="n"/>
      <c r="V486" s="153" t="n"/>
      <c r="W486" s="153" t="n"/>
      <c r="X486" s="153" t="n"/>
      <c r="Y486" s="153" t="n"/>
      <c r="Z486" s="153" t="n"/>
    </row>
    <row r="487" ht="15.75" customHeight="1" s="154">
      <c r="G487" s="153" t="n"/>
      <c r="H487" s="153" t="n"/>
      <c r="I487" s="153" t="n"/>
      <c r="J487" s="153" t="n"/>
      <c r="K487" s="153" t="n"/>
      <c r="L487" s="153" t="n"/>
      <c r="M487" s="153" t="n"/>
      <c r="N487" s="153" t="n"/>
      <c r="O487" s="153" t="n"/>
      <c r="P487" s="153" t="n"/>
      <c r="Q487" s="153" t="n"/>
      <c r="R487" s="153" t="n"/>
      <c r="S487" s="153" t="n"/>
      <c r="T487" s="153" t="n"/>
      <c r="U487" s="153" t="n"/>
      <c r="V487" s="153" t="n"/>
      <c r="W487" s="153" t="n"/>
      <c r="X487" s="153" t="n"/>
      <c r="Y487" s="153" t="n"/>
      <c r="Z487" s="153" t="n"/>
    </row>
    <row r="488" ht="15.75" customHeight="1" s="154">
      <c r="G488" s="153" t="n"/>
      <c r="H488" s="153" t="n"/>
      <c r="I488" s="153" t="n"/>
      <c r="J488" s="153" t="n"/>
      <c r="K488" s="153" t="n"/>
      <c r="L488" s="153" t="n"/>
      <c r="M488" s="153" t="n"/>
      <c r="N488" s="153" t="n"/>
      <c r="O488" s="153" t="n"/>
      <c r="P488" s="153" t="n"/>
      <c r="Q488" s="153" t="n"/>
      <c r="R488" s="153" t="n"/>
      <c r="S488" s="153" t="n"/>
      <c r="T488" s="153" t="n"/>
      <c r="U488" s="153" t="n"/>
      <c r="V488" s="153" t="n"/>
      <c r="W488" s="153" t="n"/>
      <c r="X488" s="153" t="n"/>
      <c r="Y488" s="153" t="n"/>
      <c r="Z488" s="153" t="n"/>
    </row>
    <row r="489" ht="15.75" customHeight="1" s="154">
      <c r="G489" s="153" t="n"/>
      <c r="H489" s="153" t="n"/>
      <c r="I489" s="153" t="n"/>
      <c r="J489" s="153" t="n"/>
      <c r="K489" s="153" t="n"/>
      <c r="L489" s="153" t="n"/>
      <c r="M489" s="153" t="n"/>
      <c r="N489" s="153" t="n"/>
      <c r="O489" s="153" t="n"/>
      <c r="P489" s="153" t="n"/>
      <c r="Q489" s="153" t="n"/>
      <c r="R489" s="153" t="n"/>
      <c r="S489" s="153" t="n"/>
      <c r="T489" s="153" t="n"/>
      <c r="U489" s="153" t="n"/>
      <c r="V489" s="153" t="n"/>
      <c r="W489" s="153" t="n"/>
      <c r="X489" s="153" t="n"/>
      <c r="Y489" s="153" t="n"/>
      <c r="Z489" s="153" t="n"/>
    </row>
    <row r="490" ht="15.75" customHeight="1" s="154">
      <c r="G490" s="153" t="n"/>
      <c r="H490" s="153" t="n"/>
      <c r="I490" s="153" t="n"/>
      <c r="J490" s="153" t="n"/>
      <c r="K490" s="153" t="n"/>
      <c r="L490" s="153" t="n"/>
      <c r="M490" s="153" t="n"/>
      <c r="N490" s="153" t="n"/>
      <c r="O490" s="153" t="n"/>
      <c r="P490" s="153" t="n"/>
      <c r="Q490" s="153" t="n"/>
      <c r="R490" s="153" t="n"/>
      <c r="S490" s="153" t="n"/>
      <c r="T490" s="153" t="n"/>
      <c r="U490" s="153" t="n"/>
      <c r="V490" s="153" t="n"/>
      <c r="W490" s="153" t="n"/>
      <c r="X490" s="153" t="n"/>
      <c r="Y490" s="153" t="n"/>
      <c r="Z490" s="153" t="n"/>
    </row>
    <row r="491" ht="15.75" customHeight="1" s="154">
      <c r="G491" s="153" t="n"/>
      <c r="H491" s="153" t="n"/>
      <c r="I491" s="153" t="n"/>
      <c r="J491" s="153" t="n"/>
      <c r="K491" s="153" t="n"/>
      <c r="L491" s="153" t="n"/>
      <c r="M491" s="153" t="n"/>
      <c r="N491" s="153" t="n"/>
      <c r="O491" s="153" t="n"/>
      <c r="P491" s="153" t="n"/>
      <c r="Q491" s="153" t="n"/>
      <c r="R491" s="153" t="n"/>
      <c r="S491" s="153" t="n"/>
      <c r="T491" s="153" t="n"/>
      <c r="U491" s="153" t="n"/>
      <c r="V491" s="153" t="n"/>
      <c r="W491" s="153" t="n"/>
      <c r="X491" s="153" t="n"/>
      <c r="Y491" s="153" t="n"/>
      <c r="Z491" s="153" t="n"/>
    </row>
    <row r="492" ht="15.75" customHeight="1" s="154">
      <c r="G492" s="153" t="n"/>
      <c r="H492" s="153" t="n"/>
      <c r="I492" s="153" t="n"/>
      <c r="J492" s="153" t="n"/>
      <c r="K492" s="153" t="n"/>
      <c r="L492" s="153" t="n"/>
      <c r="M492" s="153" t="n"/>
      <c r="N492" s="153" t="n"/>
      <c r="O492" s="153" t="n"/>
      <c r="P492" s="153" t="n"/>
      <c r="Q492" s="153" t="n"/>
      <c r="R492" s="153" t="n"/>
      <c r="S492" s="153" t="n"/>
      <c r="T492" s="153" t="n"/>
      <c r="U492" s="153" t="n"/>
      <c r="V492" s="153" t="n"/>
      <c r="W492" s="153" t="n"/>
      <c r="X492" s="153" t="n"/>
      <c r="Y492" s="153" t="n"/>
      <c r="Z492" s="153" t="n"/>
    </row>
    <row r="493" ht="15.75" customHeight="1" s="154">
      <c r="G493" s="153" t="n"/>
      <c r="H493" s="153" t="n"/>
      <c r="I493" s="153" t="n"/>
      <c r="J493" s="153" t="n"/>
      <c r="K493" s="153" t="n"/>
      <c r="L493" s="153" t="n"/>
      <c r="M493" s="153" t="n"/>
      <c r="N493" s="153" t="n"/>
      <c r="O493" s="153" t="n"/>
      <c r="P493" s="153" t="n"/>
      <c r="Q493" s="153" t="n"/>
      <c r="R493" s="153" t="n"/>
      <c r="S493" s="153" t="n"/>
      <c r="T493" s="153" t="n"/>
      <c r="U493" s="153" t="n"/>
      <c r="V493" s="153" t="n"/>
      <c r="W493" s="153" t="n"/>
      <c r="X493" s="153" t="n"/>
      <c r="Y493" s="153" t="n"/>
      <c r="Z493" s="153" t="n"/>
    </row>
    <row r="494" ht="15.75" customHeight="1" s="154">
      <c r="G494" s="153" t="n"/>
      <c r="H494" s="153" t="n"/>
      <c r="I494" s="153" t="n"/>
      <c r="J494" s="153" t="n"/>
      <c r="K494" s="153" t="n"/>
      <c r="L494" s="153" t="n"/>
      <c r="M494" s="153" t="n"/>
      <c r="N494" s="153" t="n"/>
      <c r="O494" s="153" t="n"/>
      <c r="P494" s="153" t="n"/>
      <c r="Q494" s="153" t="n"/>
      <c r="R494" s="153" t="n"/>
      <c r="S494" s="153" t="n"/>
      <c r="T494" s="153" t="n"/>
      <c r="U494" s="153" t="n"/>
      <c r="V494" s="153" t="n"/>
      <c r="W494" s="153" t="n"/>
      <c r="X494" s="153" t="n"/>
      <c r="Y494" s="153" t="n"/>
      <c r="Z494" s="153" t="n"/>
    </row>
    <row r="495" ht="15.75" customHeight="1" s="154">
      <c r="G495" s="153" t="n"/>
      <c r="H495" s="153" t="n"/>
      <c r="I495" s="153" t="n"/>
      <c r="J495" s="153" t="n"/>
      <c r="K495" s="153" t="n"/>
      <c r="L495" s="153" t="n"/>
      <c r="M495" s="153" t="n"/>
      <c r="N495" s="153" t="n"/>
      <c r="O495" s="153" t="n"/>
      <c r="P495" s="153" t="n"/>
      <c r="Q495" s="153" t="n"/>
      <c r="R495" s="153" t="n"/>
      <c r="S495" s="153" t="n"/>
      <c r="T495" s="153" t="n"/>
      <c r="U495" s="153" t="n"/>
      <c r="V495" s="153" t="n"/>
      <c r="W495" s="153" t="n"/>
      <c r="X495" s="153" t="n"/>
      <c r="Y495" s="153" t="n"/>
      <c r="Z495" s="153" t="n"/>
    </row>
    <row r="496" ht="15.75" customHeight="1" s="154">
      <c r="G496" s="153" t="n"/>
      <c r="H496" s="153" t="n"/>
      <c r="I496" s="153" t="n"/>
      <c r="J496" s="153" t="n"/>
      <c r="K496" s="153" t="n"/>
      <c r="L496" s="153" t="n"/>
      <c r="M496" s="153" t="n"/>
      <c r="N496" s="153" t="n"/>
      <c r="O496" s="153" t="n"/>
      <c r="P496" s="153" t="n"/>
      <c r="Q496" s="153" t="n"/>
      <c r="R496" s="153" t="n"/>
      <c r="S496" s="153" t="n"/>
      <c r="T496" s="153" t="n"/>
      <c r="U496" s="153" t="n"/>
      <c r="V496" s="153" t="n"/>
      <c r="W496" s="153" t="n"/>
      <c r="X496" s="153" t="n"/>
      <c r="Y496" s="153" t="n"/>
      <c r="Z496" s="153" t="n"/>
    </row>
    <row r="497" ht="15.75" customHeight="1" s="154">
      <c r="G497" s="153" t="n"/>
      <c r="H497" s="153" t="n"/>
      <c r="I497" s="153" t="n"/>
      <c r="J497" s="153" t="n"/>
      <c r="K497" s="153" t="n"/>
      <c r="L497" s="153" t="n"/>
      <c r="M497" s="153" t="n"/>
      <c r="N497" s="153" t="n"/>
      <c r="O497" s="153" t="n"/>
      <c r="P497" s="153" t="n"/>
      <c r="Q497" s="153" t="n"/>
      <c r="R497" s="153" t="n"/>
      <c r="S497" s="153" t="n"/>
      <c r="T497" s="153" t="n"/>
      <c r="U497" s="153" t="n"/>
      <c r="V497" s="153" t="n"/>
      <c r="W497" s="153" t="n"/>
      <c r="X497" s="153" t="n"/>
      <c r="Y497" s="153" t="n"/>
      <c r="Z497" s="153" t="n"/>
    </row>
    <row r="498" ht="15.75" customHeight="1" s="154">
      <c r="G498" s="153" t="n"/>
      <c r="H498" s="153" t="n"/>
      <c r="I498" s="153" t="n"/>
      <c r="J498" s="153" t="n"/>
      <c r="K498" s="153" t="n"/>
      <c r="L498" s="153" t="n"/>
      <c r="M498" s="153" t="n"/>
      <c r="N498" s="153" t="n"/>
      <c r="O498" s="153" t="n"/>
      <c r="P498" s="153" t="n"/>
      <c r="Q498" s="153" t="n"/>
      <c r="R498" s="153" t="n"/>
      <c r="S498" s="153" t="n"/>
      <c r="T498" s="153" t="n"/>
      <c r="U498" s="153" t="n"/>
      <c r="V498" s="153" t="n"/>
      <c r="W498" s="153" t="n"/>
      <c r="X498" s="153" t="n"/>
      <c r="Y498" s="153" t="n"/>
      <c r="Z498" s="153" t="n"/>
    </row>
    <row r="499" ht="15.75" customHeight="1" s="154">
      <c r="G499" s="153" t="n"/>
      <c r="H499" s="153" t="n"/>
      <c r="I499" s="153" t="n"/>
      <c r="J499" s="153" t="n"/>
      <c r="K499" s="153" t="n"/>
      <c r="L499" s="153" t="n"/>
      <c r="M499" s="153" t="n"/>
      <c r="N499" s="153" t="n"/>
      <c r="O499" s="153" t="n"/>
      <c r="P499" s="153" t="n"/>
      <c r="Q499" s="153" t="n"/>
      <c r="R499" s="153" t="n"/>
      <c r="S499" s="153" t="n"/>
      <c r="T499" s="153" t="n"/>
      <c r="U499" s="153" t="n"/>
      <c r="V499" s="153" t="n"/>
      <c r="W499" s="153" t="n"/>
      <c r="X499" s="153" t="n"/>
      <c r="Y499" s="153" t="n"/>
      <c r="Z499" s="153" t="n"/>
    </row>
    <row r="500" ht="15.75" customHeight="1" s="154">
      <c r="G500" s="153" t="n"/>
      <c r="H500" s="153" t="n"/>
      <c r="I500" s="153" t="n"/>
      <c r="J500" s="153" t="n"/>
      <c r="K500" s="153" t="n"/>
      <c r="L500" s="153" t="n"/>
      <c r="M500" s="153" t="n"/>
      <c r="N500" s="153" t="n"/>
      <c r="O500" s="153" t="n"/>
      <c r="P500" s="153" t="n"/>
      <c r="Q500" s="153" t="n"/>
      <c r="R500" s="153" t="n"/>
      <c r="S500" s="153" t="n"/>
      <c r="T500" s="153" t="n"/>
      <c r="U500" s="153" t="n"/>
      <c r="V500" s="153" t="n"/>
      <c r="W500" s="153" t="n"/>
      <c r="X500" s="153" t="n"/>
      <c r="Y500" s="153" t="n"/>
      <c r="Z500" s="153" t="n"/>
    </row>
    <row r="501" ht="15.75" customHeight="1" s="154">
      <c r="G501" s="153" t="n"/>
      <c r="H501" s="153" t="n"/>
      <c r="I501" s="153" t="n"/>
      <c r="J501" s="153" t="n"/>
      <c r="K501" s="153" t="n"/>
      <c r="L501" s="153" t="n"/>
      <c r="M501" s="153" t="n"/>
      <c r="N501" s="153" t="n"/>
      <c r="O501" s="153" t="n"/>
      <c r="P501" s="153" t="n"/>
      <c r="Q501" s="153" t="n"/>
      <c r="R501" s="153" t="n"/>
      <c r="S501" s="153" t="n"/>
      <c r="T501" s="153" t="n"/>
      <c r="U501" s="153" t="n"/>
      <c r="V501" s="153" t="n"/>
      <c r="W501" s="153" t="n"/>
      <c r="X501" s="153" t="n"/>
      <c r="Y501" s="153" t="n"/>
      <c r="Z501" s="153" t="n"/>
    </row>
    <row r="502" ht="15.75" customHeight="1" s="154">
      <c r="G502" s="153" t="n"/>
      <c r="H502" s="153" t="n"/>
      <c r="I502" s="153" t="n"/>
      <c r="J502" s="153" t="n"/>
      <c r="K502" s="153" t="n"/>
      <c r="L502" s="153" t="n"/>
      <c r="M502" s="153" t="n"/>
      <c r="N502" s="153" t="n"/>
      <c r="O502" s="153" t="n"/>
      <c r="P502" s="153" t="n"/>
      <c r="Q502" s="153" t="n"/>
      <c r="R502" s="153" t="n"/>
      <c r="S502" s="153" t="n"/>
      <c r="T502" s="153" t="n"/>
      <c r="U502" s="153" t="n"/>
      <c r="V502" s="153" t="n"/>
      <c r="W502" s="153" t="n"/>
      <c r="X502" s="153" t="n"/>
      <c r="Y502" s="153" t="n"/>
      <c r="Z502" s="153" t="n"/>
    </row>
    <row r="503" ht="15.75" customHeight="1" s="154">
      <c r="G503" s="153" t="n"/>
      <c r="H503" s="153" t="n"/>
      <c r="I503" s="153" t="n"/>
      <c r="J503" s="153" t="n"/>
      <c r="K503" s="153" t="n"/>
      <c r="L503" s="153" t="n"/>
      <c r="M503" s="153" t="n"/>
      <c r="N503" s="153" t="n"/>
      <c r="O503" s="153" t="n"/>
      <c r="P503" s="153" t="n"/>
      <c r="Q503" s="153" t="n"/>
      <c r="R503" s="153" t="n"/>
      <c r="S503" s="153" t="n"/>
      <c r="T503" s="153" t="n"/>
      <c r="U503" s="153" t="n"/>
      <c r="V503" s="153" t="n"/>
      <c r="W503" s="153" t="n"/>
      <c r="X503" s="153" t="n"/>
      <c r="Y503" s="153" t="n"/>
      <c r="Z503" s="153" t="n"/>
    </row>
    <row r="504" ht="15.75" customHeight="1" s="154">
      <c r="G504" s="153" t="n"/>
      <c r="H504" s="153" t="n"/>
      <c r="I504" s="153" t="n"/>
      <c r="J504" s="153" t="n"/>
      <c r="K504" s="153" t="n"/>
      <c r="L504" s="153" t="n"/>
      <c r="M504" s="153" t="n"/>
      <c r="N504" s="153" t="n"/>
      <c r="O504" s="153" t="n"/>
      <c r="P504" s="153" t="n"/>
      <c r="Q504" s="153" t="n"/>
      <c r="R504" s="153" t="n"/>
      <c r="S504" s="153" t="n"/>
      <c r="T504" s="153" t="n"/>
      <c r="U504" s="153" t="n"/>
      <c r="V504" s="153" t="n"/>
      <c r="W504" s="153" t="n"/>
      <c r="X504" s="153" t="n"/>
      <c r="Y504" s="153" t="n"/>
      <c r="Z504" s="153" t="n"/>
    </row>
    <row r="505" ht="15.75" customHeight="1" s="154">
      <c r="G505" s="153" t="n"/>
      <c r="H505" s="153" t="n"/>
      <c r="I505" s="153" t="n"/>
      <c r="J505" s="153" t="n"/>
      <c r="K505" s="153" t="n"/>
      <c r="L505" s="153" t="n"/>
      <c r="M505" s="153" t="n"/>
      <c r="N505" s="153" t="n"/>
      <c r="O505" s="153" t="n"/>
      <c r="P505" s="153" t="n"/>
      <c r="Q505" s="153" t="n"/>
      <c r="R505" s="153" t="n"/>
      <c r="S505" s="153" t="n"/>
      <c r="T505" s="153" t="n"/>
      <c r="U505" s="153" t="n"/>
      <c r="V505" s="153" t="n"/>
      <c r="W505" s="153" t="n"/>
      <c r="X505" s="153" t="n"/>
      <c r="Y505" s="153" t="n"/>
      <c r="Z505" s="153" t="n"/>
    </row>
    <row r="506" ht="15.75" customHeight="1" s="154">
      <c r="G506" s="153" t="n"/>
      <c r="H506" s="153" t="n"/>
      <c r="I506" s="153" t="n"/>
      <c r="J506" s="153" t="n"/>
      <c r="K506" s="153" t="n"/>
      <c r="L506" s="153" t="n"/>
      <c r="M506" s="153" t="n"/>
      <c r="N506" s="153" t="n"/>
      <c r="O506" s="153" t="n"/>
      <c r="P506" s="153" t="n"/>
      <c r="Q506" s="153" t="n"/>
      <c r="R506" s="153" t="n"/>
      <c r="S506" s="153" t="n"/>
      <c r="T506" s="153" t="n"/>
      <c r="U506" s="153" t="n"/>
      <c r="V506" s="153" t="n"/>
      <c r="W506" s="153" t="n"/>
      <c r="X506" s="153" t="n"/>
      <c r="Y506" s="153" t="n"/>
      <c r="Z506" s="153" t="n"/>
    </row>
    <row r="507" ht="15.75" customHeight="1" s="154">
      <c r="G507" s="153" t="n"/>
      <c r="H507" s="153" t="n"/>
      <c r="I507" s="153" t="n"/>
      <c r="J507" s="153" t="n"/>
      <c r="K507" s="153" t="n"/>
      <c r="L507" s="153" t="n"/>
      <c r="M507" s="153" t="n"/>
      <c r="N507" s="153" t="n"/>
      <c r="O507" s="153" t="n"/>
      <c r="P507" s="153" t="n"/>
      <c r="Q507" s="153" t="n"/>
      <c r="R507" s="153" t="n"/>
      <c r="S507" s="153" t="n"/>
      <c r="T507" s="153" t="n"/>
      <c r="U507" s="153" t="n"/>
      <c r="V507" s="153" t="n"/>
      <c r="W507" s="153" t="n"/>
      <c r="X507" s="153" t="n"/>
      <c r="Y507" s="153" t="n"/>
      <c r="Z507" s="153" t="n"/>
    </row>
    <row r="508" ht="15.75" customHeight="1" s="154">
      <c r="G508" s="153" t="n"/>
      <c r="H508" s="153" t="n"/>
      <c r="I508" s="153" t="n"/>
      <c r="J508" s="153" t="n"/>
      <c r="K508" s="153" t="n"/>
      <c r="L508" s="153" t="n"/>
      <c r="M508" s="153" t="n"/>
      <c r="N508" s="153" t="n"/>
      <c r="O508" s="153" t="n"/>
      <c r="P508" s="153" t="n"/>
      <c r="Q508" s="153" t="n"/>
      <c r="R508" s="153" t="n"/>
      <c r="S508" s="153" t="n"/>
      <c r="T508" s="153" t="n"/>
      <c r="U508" s="153" t="n"/>
      <c r="V508" s="153" t="n"/>
      <c r="W508" s="153" t="n"/>
      <c r="X508" s="153" t="n"/>
      <c r="Y508" s="153" t="n"/>
      <c r="Z508" s="153" t="n"/>
    </row>
    <row r="509" ht="15.75" customHeight="1" s="154">
      <c r="G509" s="153" t="n"/>
      <c r="H509" s="153" t="n"/>
      <c r="I509" s="153" t="n"/>
      <c r="J509" s="153" t="n"/>
      <c r="K509" s="153" t="n"/>
      <c r="L509" s="153" t="n"/>
      <c r="M509" s="153" t="n"/>
      <c r="N509" s="153" t="n"/>
      <c r="O509" s="153" t="n"/>
      <c r="P509" s="153" t="n"/>
      <c r="Q509" s="153" t="n"/>
      <c r="R509" s="153" t="n"/>
      <c r="S509" s="153" t="n"/>
      <c r="T509" s="153" t="n"/>
      <c r="U509" s="153" t="n"/>
      <c r="V509" s="153" t="n"/>
      <c r="W509" s="153" t="n"/>
      <c r="X509" s="153" t="n"/>
      <c r="Y509" s="153" t="n"/>
      <c r="Z509" s="153" t="n"/>
    </row>
    <row r="510" ht="15.75" customHeight="1" s="154">
      <c r="G510" s="153" t="n"/>
      <c r="H510" s="153" t="n"/>
      <c r="I510" s="153" t="n"/>
      <c r="J510" s="153" t="n"/>
      <c r="K510" s="153" t="n"/>
      <c r="L510" s="153" t="n"/>
      <c r="M510" s="153" t="n"/>
      <c r="N510" s="153" t="n"/>
      <c r="O510" s="153" t="n"/>
      <c r="P510" s="153" t="n"/>
      <c r="Q510" s="153" t="n"/>
      <c r="R510" s="153" t="n"/>
      <c r="S510" s="153" t="n"/>
      <c r="T510" s="153" t="n"/>
      <c r="U510" s="153" t="n"/>
      <c r="V510" s="153" t="n"/>
      <c r="W510" s="153" t="n"/>
      <c r="X510" s="153" t="n"/>
      <c r="Y510" s="153" t="n"/>
      <c r="Z510" s="153" t="n"/>
    </row>
    <row r="511" ht="15.75" customHeight="1" s="154">
      <c r="G511" s="153" t="n"/>
      <c r="H511" s="153" t="n"/>
      <c r="I511" s="153" t="n"/>
      <c r="J511" s="153" t="n"/>
      <c r="K511" s="153" t="n"/>
      <c r="L511" s="153" t="n"/>
      <c r="M511" s="153" t="n"/>
      <c r="N511" s="153" t="n"/>
      <c r="O511" s="153" t="n"/>
      <c r="P511" s="153" t="n"/>
      <c r="Q511" s="153" t="n"/>
      <c r="R511" s="153" t="n"/>
      <c r="S511" s="153" t="n"/>
      <c r="T511" s="153" t="n"/>
      <c r="U511" s="153" t="n"/>
      <c r="V511" s="153" t="n"/>
      <c r="W511" s="153" t="n"/>
      <c r="X511" s="153" t="n"/>
      <c r="Y511" s="153" t="n"/>
      <c r="Z511" s="153" t="n"/>
    </row>
    <row r="512" ht="15.75" customHeight="1" s="154">
      <c r="G512" s="153" t="n"/>
      <c r="H512" s="153" t="n"/>
      <c r="I512" s="153" t="n"/>
      <c r="J512" s="153" t="n"/>
      <c r="K512" s="153" t="n"/>
      <c r="L512" s="153" t="n"/>
      <c r="M512" s="153" t="n"/>
      <c r="N512" s="153" t="n"/>
      <c r="O512" s="153" t="n"/>
      <c r="P512" s="153" t="n"/>
      <c r="Q512" s="153" t="n"/>
      <c r="R512" s="153" t="n"/>
      <c r="S512" s="153" t="n"/>
      <c r="T512" s="153" t="n"/>
      <c r="U512" s="153" t="n"/>
      <c r="V512" s="153" t="n"/>
      <c r="W512" s="153" t="n"/>
      <c r="X512" s="153" t="n"/>
      <c r="Y512" s="153" t="n"/>
      <c r="Z512" s="153" t="n"/>
    </row>
    <row r="513" ht="15.75" customHeight="1" s="154">
      <c r="G513" s="153" t="n"/>
      <c r="H513" s="153" t="n"/>
      <c r="I513" s="153" t="n"/>
      <c r="J513" s="153" t="n"/>
      <c r="K513" s="153" t="n"/>
      <c r="L513" s="153" t="n"/>
      <c r="M513" s="153" t="n"/>
      <c r="N513" s="153" t="n"/>
      <c r="O513" s="153" t="n"/>
      <c r="P513" s="153" t="n"/>
      <c r="Q513" s="153" t="n"/>
      <c r="R513" s="153" t="n"/>
      <c r="S513" s="153" t="n"/>
      <c r="T513" s="153" t="n"/>
      <c r="U513" s="153" t="n"/>
      <c r="V513" s="153" t="n"/>
      <c r="W513" s="153" t="n"/>
      <c r="X513" s="153" t="n"/>
      <c r="Y513" s="153" t="n"/>
      <c r="Z513" s="153" t="n"/>
    </row>
    <row r="514" ht="15.75" customHeight="1" s="154">
      <c r="G514" s="153" t="n"/>
      <c r="H514" s="153" t="n"/>
      <c r="I514" s="153" t="n"/>
      <c r="J514" s="153" t="n"/>
      <c r="K514" s="153" t="n"/>
      <c r="L514" s="153" t="n"/>
      <c r="M514" s="153" t="n"/>
      <c r="N514" s="153" t="n"/>
      <c r="O514" s="153" t="n"/>
      <c r="P514" s="153" t="n"/>
      <c r="Q514" s="153" t="n"/>
      <c r="R514" s="153" t="n"/>
      <c r="S514" s="153" t="n"/>
      <c r="T514" s="153" t="n"/>
      <c r="U514" s="153" t="n"/>
      <c r="V514" s="153" t="n"/>
      <c r="W514" s="153" t="n"/>
      <c r="X514" s="153" t="n"/>
      <c r="Y514" s="153" t="n"/>
      <c r="Z514" s="153" t="n"/>
    </row>
    <row r="515" ht="15.75" customHeight="1" s="154">
      <c r="G515" s="153" t="n"/>
      <c r="H515" s="153" t="n"/>
      <c r="I515" s="153" t="n"/>
      <c r="J515" s="153" t="n"/>
      <c r="K515" s="153" t="n"/>
      <c r="L515" s="153" t="n"/>
      <c r="M515" s="153" t="n"/>
      <c r="N515" s="153" t="n"/>
      <c r="O515" s="153" t="n"/>
      <c r="P515" s="153" t="n"/>
      <c r="Q515" s="153" t="n"/>
      <c r="R515" s="153" t="n"/>
      <c r="S515" s="153" t="n"/>
      <c r="T515" s="153" t="n"/>
      <c r="U515" s="153" t="n"/>
      <c r="V515" s="153" t="n"/>
      <c r="W515" s="153" t="n"/>
      <c r="X515" s="153" t="n"/>
      <c r="Y515" s="153" t="n"/>
      <c r="Z515" s="153" t="n"/>
    </row>
    <row r="516" ht="15.75" customHeight="1" s="154">
      <c r="G516" s="153" t="n"/>
      <c r="H516" s="153" t="n"/>
      <c r="I516" s="153" t="n"/>
      <c r="J516" s="153" t="n"/>
      <c r="K516" s="153" t="n"/>
      <c r="L516" s="153" t="n"/>
      <c r="M516" s="153" t="n"/>
      <c r="N516" s="153" t="n"/>
      <c r="O516" s="153" t="n"/>
      <c r="P516" s="153" t="n"/>
      <c r="Q516" s="153" t="n"/>
      <c r="R516" s="153" t="n"/>
      <c r="S516" s="153" t="n"/>
      <c r="T516" s="153" t="n"/>
      <c r="U516" s="153" t="n"/>
      <c r="V516" s="153" t="n"/>
      <c r="W516" s="153" t="n"/>
      <c r="X516" s="153" t="n"/>
      <c r="Y516" s="153" t="n"/>
      <c r="Z516" s="153" t="n"/>
    </row>
    <row r="517" ht="15.75" customHeight="1" s="154">
      <c r="G517" s="153" t="n"/>
      <c r="H517" s="153" t="n"/>
      <c r="I517" s="153" t="n"/>
      <c r="J517" s="153" t="n"/>
      <c r="K517" s="153" t="n"/>
      <c r="L517" s="153" t="n"/>
      <c r="M517" s="153" t="n"/>
      <c r="N517" s="153" t="n"/>
      <c r="O517" s="153" t="n"/>
      <c r="P517" s="153" t="n"/>
      <c r="Q517" s="153" t="n"/>
      <c r="R517" s="153" t="n"/>
      <c r="S517" s="153" t="n"/>
      <c r="T517" s="153" t="n"/>
      <c r="U517" s="153" t="n"/>
      <c r="V517" s="153" t="n"/>
      <c r="W517" s="153" t="n"/>
      <c r="X517" s="153" t="n"/>
      <c r="Y517" s="153" t="n"/>
      <c r="Z517" s="153" t="n"/>
    </row>
    <row r="518" ht="15.75" customHeight="1" s="154">
      <c r="G518" s="153" t="n"/>
      <c r="H518" s="153" t="n"/>
      <c r="I518" s="153" t="n"/>
      <c r="J518" s="153" t="n"/>
      <c r="K518" s="153" t="n"/>
      <c r="L518" s="153" t="n"/>
      <c r="M518" s="153" t="n"/>
      <c r="N518" s="153" t="n"/>
      <c r="O518" s="153" t="n"/>
      <c r="P518" s="153" t="n"/>
      <c r="Q518" s="153" t="n"/>
      <c r="R518" s="153" t="n"/>
      <c r="S518" s="153" t="n"/>
      <c r="T518" s="153" t="n"/>
      <c r="U518" s="153" t="n"/>
      <c r="V518" s="153" t="n"/>
      <c r="W518" s="153" t="n"/>
      <c r="X518" s="153" t="n"/>
      <c r="Y518" s="153" t="n"/>
      <c r="Z518" s="153" t="n"/>
    </row>
    <row r="519" ht="15.75" customHeight="1" s="154">
      <c r="G519" s="153" t="n"/>
      <c r="H519" s="153" t="n"/>
      <c r="I519" s="153" t="n"/>
      <c r="J519" s="153" t="n"/>
      <c r="K519" s="153" t="n"/>
      <c r="L519" s="153" t="n"/>
      <c r="M519" s="153" t="n"/>
      <c r="N519" s="153" t="n"/>
      <c r="O519" s="153" t="n"/>
      <c r="P519" s="153" t="n"/>
      <c r="Q519" s="153" t="n"/>
      <c r="R519" s="153" t="n"/>
      <c r="S519" s="153" t="n"/>
      <c r="T519" s="153" t="n"/>
      <c r="U519" s="153" t="n"/>
      <c r="V519" s="153" t="n"/>
      <c r="W519" s="153" t="n"/>
      <c r="X519" s="153" t="n"/>
      <c r="Y519" s="153" t="n"/>
      <c r="Z519" s="153" t="n"/>
    </row>
    <row r="520" ht="15.75" customHeight="1" s="154">
      <c r="G520" s="153" t="n"/>
      <c r="H520" s="153" t="n"/>
      <c r="I520" s="153" t="n"/>
      <c r="J520" s="153" t="n"/>
      <c r="K520" s="153" t="n"/>
      <c r="L520" s="153" t="n"/>
      <c r="M520" s="153" t="n"/>
      <c r="N520" s="153" t="n"/>
      <c r="O520" s="153" t="n"/>
      <c r="P520" s="153" t="n"/>
      <c r="Q520" s="153" t="n"/>
      <c r="R520" s="153" t="n"/>
      <c r="S520" s="153" t="n"/>
      <c r="T520" s="153" t="n"/>
      <c r="U520" s="153" t="n"/>
      <c r="V520" s="153" t="n"/>
      <c r="W520" s="153" t="n"/>
      <c r="X520" s="153" t="n"/>
      <c r="Y520" s="153" t="n"/>
      <c r="Z520" s="153" t="n"/>
    </row>
    <row r="521" ht="15.75" customHeight="1" s="154">
      <c r="G521" s="153" t="n"/>
      <c r="H521" s="153" t="n"/>
      <c r="I521" s="153" t="n"/>
      <c r="J521" s="153" t="n"/>
      <c r="K521" s="153" t="n"/>
      <c r="L521" s="153" t="n"/>
      <c r="M521" s="153" t="n"/>
      <c r="N521" s="153" t="n"/>
      <c r="O521" s="153" t="n"/>
      <c r="P521" s="153" t="n"/>
      <c r="Q521" s="153" t="n"/>
      <c r="R521" s="153" t="n"/>
      <c r="S521" s="153" t="n"/>
      <c r="T521" s="153" t="n"/>
      <c r="U521" s="153" t="n"/>
      <c r="V521" s="153" t="n"/>
      <c r="W521" s="153" t="n"/>
      <c r="X521" s="153" t="n"/>
      <c r="Y521" s="153" t="n"/>
      <c r="Z521" s="153" t="n"/>
    </row>
    <row r="522" ht="15.75" customHeight="1" s="154">
      <c r="G522" s="153" t="n"/>
      <c r="H522" s="153" t="n"/>
      <c r="I522" s="153" t="n"/>
      <c r="J522" s="153" t="n"/>
      <c r="K522" s="153" t="n"/>
      <c r="L522" s="153" t="n"/>
      <c r="M522" s="153" t="n"/>
      <c r="N522" s="153" t="n"/>
      <c r="O522" s="153" t="n"/>
      <c r="P522" s="153" t="n"/>
      <c r="Q522" s="153" t="n"/>
      <c r="R522" s="153" t="n"/>
      <c r="S522" s="153" t="n"/>
      <c r="T522" s="153" t="n"/>
      <c r="U522" s="153" t="n"/>
      <c r="V522" s="153" t="n"/>
      <c r="W522" s="153" t="n"/>
      <c r="X522" s="153" t="n"/>
      <c r="Y522" s="153" t="n"/>
      <c r="Z522" s="153" t="n"/>
    </row>
    <row r="523" ht="15.75" customHeight="1" s="154">
      <c r="G523" s="153" t="n"/>
      <c r="H523" s="153" t="n"/>
      <c r="I523" s="153" t="n"/>
      <c r="J523" s="153" t="n"/>
      <c r="K523" s="153" t="n"/>
      <c r="L523" s="153" t="n"/>
      <c r="M523" s="153" t="n"/>
      <c r="N523" s="153" t="n"/>
      <c r="O523" s="153" t="n"/>
      <c r="P523" s="153" t="n"/>
      <c r="Q523" s="153" t="n"/>
      <c r="R523" s="153" t="n"/>
      <c r="S523" s="153" t="n"/>
      <c r="T523" s="153" t="n"/>
      <c r="U523" s="153" t="n"/>
      <c r="V523" s="153" t="n"/>
      <c r="W523" s="153" t="n"/>
      <c r="X523" s="153" t="n"/>
      <c r="Y523" s="153" t="n"/>
      <c r="Z523" s="153" t="n"/>
    </row>
    <row r="524" ht="15.75" customHeight="1" s="154">
      <c r="G524" s="153" t="n"/>
      <c r="H524" s="153" t="n"/>
      <c r="I524" s="153" t="n"/>
      <c r="J524" s="153" t="n"/>
      <c r="K524" s="153" t="n"/>
      <c r="L524" s="153" t="n"/>
      <c r="M524" s="153" t="n"/>
      <c r="N524" s="153" t="n"/>
      <c r="O524" s="153" t="n"/>
      <c r="P524" s="153" t="n"/>
      <c r="Q524" s="153" t="n"/>
      <c r="R524" s="153" t="n"/>
      <c r="S524" s="153" t="n"/>
      <c r="T524" s="153" t="n"/>
      <c r="U524" s="153" t="n"/>
      <c r="V524" s="153" t="n"/>
      <c r="W524" s="153" t="n"/>
      <c r="X524" s="153" t="n"/>
      <c r="Y524" s="153" t="n"/>
      <c r="Z524" s="153" t="n"/>
    </row>
    <row r="525" ht="15.75" customHeight="1" s="154">
      <c r="G525" s="153" t="n"/>
      <c r="H525" s="153" t="n"/>
      <c r="I525" s="153" t="n"/>
      <c r="J525" s="153" t="n"/>
      <c r="K525" s="153" t="n"/>
      <c r="L525" s="153" t="n"/>
      <c r="M525" s="153" t="n"/>
      <c r="N525" s="153" t="n"/>
      <c r="O525" s="153" t="n"/>
      <c r="P525" s="153" t="n"/>
      <c r="Q525" s="153" t="n"/>
      <c r="R525" s="153" t="n"/>
      <c r="S525" s="153" t="n"/>
      <c r="T525" s="153" t="n"/>
      <c r="U525" s="153" t="n"/>
      <c r="V525" s="153" t="n"/>
      <c r="W525" s="153" t="n"/>
      <c r="X525" s="153" t="n"/>
      <c r="Y525" s="153" t="n"/>
      <c r="Z525" s="153" t="n"/>
    </row>
    <row r="526" ht="15.75" customHeight="1" s="154">
      <c r="G526" s="153" t="n"/>
      <c r="H526" s="153" t="n"/>
      <c r="I526" s="153" t="n"/>
      <c r="J526" s="153" t="n"/>
      <c r="K526" s="153" t="n"/>
      <c r="L526" s="153" t="n"/>
      <c r="M526" s="153" t="n"/>
      <c r="N526" s="153" t="n"/>
      <c r="O526" s="153" t="n"/>
      <c r="P526" s="153" t="n"/>
      <c r="Q526" s="153" t="n"/>
      <c r="R526" s="153" t="n"/>
      <c r="S526" s="153" t="n"/>
      <c r="T526" s="153" t="n"/>
      <c r="U526" s="153" t="n"/>
      <c r="V526" s="153" t="n"/>
      <c r="W526" s="153" t="n"/>
      <c r="X526" s="153" t="n"/>
      <c r="Y526" s="153" t="n"/>
      <c r="Z526" s="153" t="n"/>
    </row>
    <row r="527" ht="15.75" customHeight="1" s="154">
      <c r="G527" s="153" t="n"/>
      <c r="H527" s="153" t="n"/>
      <c r="I527" s="153" t="n"/>
      <c r="J527" s="153" t="n"/>
      <c r="K527" s="153" t="n"/>
      <c r="L527" s="153" t="n"/>
      <c r="M527" s="153" t="n"/>
      <c r="N527" s="153" t="n"/>
      <c r="O527" s="153" t="n"/>
      <c r="P527" s="153" t="n"/>
      <c r="Q527" s="153" t="n"/>
      <c r="R527" s="153" t="n"/>
      <c r="S527" s="153" t="n"/>
      <c r="T527" s="153" t="n"/>
      <c r="U527" s="153" t="n"/>
      <c r="V527" s="153" t="n"/>
      <c r="W527" s="153" t="n"/>
      <c r="X527" s="153" t="n"/>
      <c r="Y527" s="153" t="n"/>
      <c r="Z527" s="153" t="n"/>
    </row>
    <row r="528" ht="15.75" customHeight="1" s="154">
      <c r="G528" s="153" t="n"/>
      <c r="H528" s="153" t="n"/>
      <c r="I528" s="153" t="n"/>
      <c r="J528" s="153" t="n"/>
      <c r="K528" s="153" t="n"/>
      <c r="L528" s="153" t="n"/>
      <c r="M528" s="153" t="n"/>
      <c r="N528" s="153" t="n"/>
      <c r="O528" s="153" t="n"/>
      <c r="P528" s="153" t="n"/>
      <c r="Q528" s="153" t="n"/>
      <c r="R528" s="153" t="n"/>
      <c r="S528" s="153" t="n"/>
      <c r="T528" s="153" t="n"/>
      <c r="U528" s="153" t="n"/>
      <c r="V528" s="153" t="n"/>
      <c r="W528" s="153" t="n"/>
      <c r="X528" s="153" t="n"/>
      <c r="Y528" s="153" t="n"/>
      <c r="Z528" s="153" t="n"/>
    </row>
    <row r="529" ht="15.75" customHeight="1" s="154">
      <c r="G529" s="153" t="n"/>
      <c r="H529" s="153" t="n"/>
      <c r="I529" s="153" t="n"/>
      <c r="J529" s="153" t="n"/>
      <c r="K529" s="153" t="n"/>
      <c r="L529" s="153" t="n"/>
      <c r="M529" s="153" t="n"/>
      <c r="N529" s="153" t="n"/>
      <c r="O529" s="153" t="n"/>
      <c r="P529" s="153" t="n"/>
      <c r="Q529" s="153" t="n"/>
      <c r="R529" s="153" t="n"/>
      <c r="S529" s="153" t="n"/>
      <c r="T529" s="153" t="n"/>
      <c r="U529" s="153" t="n"/>
      <c r="V529" s="153" t="n"/>
      <c r="W529" s="153" t="n"/>
      <c r="X529" s="153" t="n"/>
      <c r="Y529" s="153" t="n"/>
      <c r="Z529" s="153" t="n"/>
    </row>
    <row r="530" ht="15.75" customHeight="1" s="154">
      <c r="G530" s="153" t="n"/>
      <c r="H530" s="153" t="n"/>
      <c r="I530" s="153" t="n"/>
      <c r="J530" s="153" t="n"/>
      <c r="K530" s="153" t="n"/>
      <c r="L530" s="153" t="n"/>
      <c r="M530" s="153" t="n"/>
      <c r="N530" s="153" t="n"/>
      <c r="O530" s="153" t="n"/>
      <c r="P530" s="153" t="n"/>
      <c r="Q530" s="153" t="n"/>
      <c r="R530" s="153" t="n"/>
      <c r="S530" s="153" t="n"/>
      <c r="T530" s="153" t="n"/>
      <c r="U530" s="153" t="n"/>
      <c r="V530" s="153" t="n"/>
      <c r="W530" s="153" t="n"/>
      <c r="X530" s="153" t="n"/>
      <c r="Y530" s="153" t="n"/>
      <c r="Z530" s="153" t="n"/>
    </row>
    <row r="531" ht="15.75" customHeight="1" s="154">
      <c r="G531" s="153" t="n"/>
      <c r="H531" s="153" t="n"/>
      <c r="I531" s="153" t="n"/>
      <c r="J531" s="153" t="n"/>
      <c r="K531" s="153" t="n"/>
      <c r="L531" s="153" t="n"/>
      <c r="M531" s="153" t="n"/>
      <c r="N531" s="153" t="n"/>
      <c r="O531" s="153" t="n"/>
      <c r="P531" s="153" t="n"/>
      <c r="Q531" s="153" t="n"/>
      <c r="R531" s="153" t="n"/>
      <c r="S531" s="153" t="n"/>
      <c r="T531" s="153" t="n"/>
      <c r="U531" s="153" t="n"/>
      <c r="V531" s="153" t="n"/>
      <c r="W531" s="153" t="n"/>
      <c r="X531" s="153" t="n"/>
      <c r="Y531" s="153" t="n"/>
      <c r="Z531" s="153" t="n"/>
    </row>
    <row r="532" ht="15.75" customHeight="1" s="154">
      <c r="G532" s="153" t="n"/>
      <c r="H532" s="153" t="n"/>
      <c r="I532" s="153" t="n"/>
      <c r="J532" s="153" t="n"/>
      <c r="K532" s="153" t="n"/>
      <c r="L532" s="153" t="n"/>
      <c r="M532" s="153" t="n"/>
      <c r="N532" s="153" t="n"/>
      <c r="O532" s="153" t="n"/>
      <c r="P532" s="153" t="n"/>
      <c r="Q532" s="153" t="n"/>
      <c r="R532" s="153" t="n"/>
      <c r="S532" s="153" t="n"/>
      <c r="T532" s="153" t="n"/>
      <c r="U532" s="153" t="n"/>
      <c r="V532" s="153" t="n"/>
      <c r="W532" s="153" t="n"/>
      <c r="X532" s="153" t="n"/>
      <c r="Y532" s="153" t="n"/>
      <c r="Z532" s="153" t="n"/>
    </row>
    <row r="533" ht="15.75" customHeight="1" s="154">
      <c r="G533" s="153" t="n"/>
      <c r="H533" s="153" t="n"/>
      <c r="I533" s="153" t="n"/>
      <c r="J533" s="153" t="n"/>
      <c r="K533" s="153" t="n"/>
      <c r="L533" s="153" t="n"/>
      <c r="M533" s="153" t="n"/>
      <c r="N533" s="153" t="n"/>
      <c r="O533" s="153" t="n"/>
      <c r="P533" s="153" t="n"/>
      <c r="Q533" s="153" t="n"/>
      <c r="R533" s="153" t="n"/>
      <c r="S533" s="153" t="n"/>
      <c r="T533" s="153" t="n"/>
      <c r="U533" s="153" t="n"/>
      <c r="V533" s="153" t="n"/>
      <c r="W533" s="153" t="n"/>
      <c r="X533" s="153" t="n"/>
      <c r="Y533" s="153" t="n"/>
      <c r="Z533" s="153" t="n"/>
    </row>
    <row r="534" ht="15.75" customHeight="1" s="154">
      <c r="G534" s="153" t="n"/>
      <c r="H534" s="153" t="n"/>
      <c r="I534" s="153" t="n"/>
      <c r="J534" s="153" t="n"/>
      <c r="K534" s="153" t="n"/>
      <c r="L534" s="153" t="n"/>
      <c r="M534" s="153" t="n"/>
      <c r="N534" s="153" t="n"/>
      <c r="O534" s="153" t="n"/>
      <c r="P534" s="153" t="n"/>
      <c r="Q534" s="153" t="n"/>
      <c r="R534" s="153" t="n"/>
      <c r="S534" s="153" t="n"/>
      <c r="T534" s="153" t="n"/>
      <c r="U534" s="153" t="n"/>
      <c r="V534" s="153" t="n"/>
      <c r="W534" s="153" t="n"/>
      <c r="X534" s="153" t="n"/>
      <c r="Y534" s="153" t="n"/>
      <c r="Z534" s="153" t="n"/>
    </row>
    <row r="535" ht="15.75" customHeight="1" s="154">
      <c r="G535" s="153" t="n"/>
      <c r="H535" s="153" t="n"/>
      <c r="I535" s="153" t="n"/>
      <c r="J535" s="153" t="n"/>
      <c r="K535" s="153" t="n"/>
      <c r="L535" s="153" t="n"/>
      <c r="M535" s="153" t="n"/>
      <c r="N535" s="153" t="n"/>
      <c r="O535" s="153" t="n"/>
      <c r="P535" s="153" t="n"/>
      <c r="Q535" s="153" t="n"/>
      <c r="R535" s="153" t="n"/>
      <c r="S535" s="153" t="n"/>
      <c r="T535" s="153" t="n"/>
      <c r="U535" s="153" t="n"/>
      <c r="V535" s="153" t="n"/>
      <c r="W535" s="153" t="n"/>
      <c r="X535" s="153" t="n"/>
      <c r="Y535" s="153" t="n"/>
      <c r="Z535" s="153" t="n"/>
    </row>
    <row r="536" ht="15.75" customHeight="1" s="154">
      <c r="G536" s="153" t="n"/>
      <c r="H536" s="153" t="n"/>
      <c r="I536" s="153" t="n"/>
      <c r="J536" s="153" t="n"/>
      <c r="K536" s="153" t="n"/>
      <c r="L536" s="153" t="n"/>
      <c r="M536" s="153" t="n"/>
      <c r="N536" s="153" t="n"/>
      <c r="O536" s="153" t="n"/>
      <c r="P536" s="153" t="n"/>
      <c r="Q536" s="153" t="n"/>
      <c r="R536" s="153" t="n"/>
      <c r="S536" s="153" t="n"/>
      <c r="T536" s="153" t="n"/>
      <c r="U536" s="153" t="n"/>
      <c r="V536" s="153" t="n"/>
      <c r="W536" s="153" t="n"/>
      <c r="X536" s="153" t="n"/>
      <c r="Y536" s="153" t="n"/>
      <c r="Z536" s="153" t="n"/>
    </row>
    <row r="537" ht="15.75" customHeight="1" s="154">
      <c r="G537" s="153" t="n"/>
      <c r="H537" s="153" t="n"/>
      <c r="I537" s="153" t="n"/>
      <c r="J537" s="153" t="n"/>
      <c r="K537" s="153" t="n"/>
      <c r="L537" s="153" t="n"/>
      <c r="M537" s="153" t="n"/>
      <c r="N537" s="153" t="n"/>
      <c r="O537" s="153" t="n"/>
      <c r="P537" s="153" t="n"/>
      <c r="Q537" s="153" t="n"/>
      <c r="R537" s="153" t="n"/>
      <c r="S537" s="153" t="n"/>
      <c r="T537" s="153" t="n"/>
      <c r="U537" s="153" t="n"/>
      <c r="V537" s="153" t="n"/>
      <c r="W537" s="153" t="n"/>
      <c r="X537" s="153" t="n"/>
      <c r="Y537" s="153" t="n"/>
      <c r="Z537" s="153" t="n"/>
    </row>
    <row r="538" ht="15.75" customHeight="1" s="154">
      <c r="G538" s="153" t="n"/>
      <c r="H538" s="153" t="n"/>
      <c r="I538" s="153" t="n"/>
      <c r="J538" s="153" t="n"/>
      <c r="K538" s="153" t="n"/>
      <c r="L538" s="153" t="n"/>
      <c r="M538" s="153" t="n"/>
      <c r="N538" s="153" t="n"/>
      <c r="O538" s="153" t="n"/>
      <c r="P538" s="153" t="n"/>
      <c r="Q538" s="153" t="n"/>
      <c r="R538" s="153" t="n"/>
      <c r="S538" s="153" t="n"/>
      <c r="T538" s="153" t="n"/>
      <c r="U538" s="153" t="n"/>
      <c r="V538" s="153" t="n"/>
      <c r="W538" s="153" t="n"/>
      <c r="X538" s="153" t="n"/>
      <c r="Y538" s="153" t="n"/>
      <c r="Z538" s="153" t="n"/>
    </row>
    <row r="539" ht="15.75" customHeight="1" s="154">
      <c r="G539" s="153" t="n"/>
      <c r="H539" s="153" t="n"/>
      <c r="I539" s="153" t="n"/>
      <c r="J539" s="153" t="n"/>
      <c r="K539" s="153" t="n"/>
      <c r="L539" s="153" t="n"/>
      <c r="M539" s="153" t="n"/>
      <c r="N539" s="153" t="n"/>
      <c r="O539" s="153" t="n"/>
      <c r="P539" s="153" t="n"/>
      <c r="Q539" s="153" t="n"/>
      <c r="R539" s="153" t="n"/>
      <c r="S539" s="153" t="n"/>
      <c r="T539" s="153" t="n"/>
      <c r="U539" s="153" t="n"/>
      <c r="V539" s="153" t="n"/>
      <c r="W539" s="153" t="n"/>
      <c r="X539" s="153" t="n"/>
      <c r="Y539" s="153" t="n"/>
      <c r="Z539" s="153" t="n"/>
    </row>
    <row r="540" ht="15.75" customHeight="1" s="154">
      <c r="G540" s="153" t="n"/>
      <c r="H540" s="153" t="n"/>
      <c r="I540" s="153" t="n"/>
      <c r="J540" s="153" t="n"/>
      <c r="K540" s="153" t="n"/>
      <c r="L540" s="153" t="n"/>
      <c r="M540" s="153" t="n"/>
      <c r="N540" s="153" t="n"/>
      <c r="O540" s="153" t="n"/>
      <c r="P540" s="153" t="n"/>
      <c r="Q540" s="153" t="n"/>
      <c r="R540" s="153" t="n"/>
      <c r="S540" s="153" t="n"/>
      <c r="T540" s="153" t="n"/>
      <c r="U540" s="153" t="n"/>
      <c r="V540" s="153" t="n"/>
      <c r="W540" s="153" t="n"/>
      <c r="X540" s="153" t="n"/>
      <c r="Y540" s="153" t="n"/>
      <c r="Z540" s="153" t="n"/>
    </row>
    <row r="541" ht="15.75" customHeight="1" s="154">
      <c r="G541" s="153" t="n"/>
      <c r="H541" s="153" t="n"/>
      <c r="I541" s="153" t="n"/>
      <c r="J541" s="153" t="n"/>
      <c r="K541" s="153" t="n"/>
      <c r="L541" s="153" t="n"/>
      <c r="M541" s="153" t="n"/>
      <c r="N541" s="153" t="n"/>
      <c r="O541" s="153" t="n"/>
      <c r="P541" s="153" t="n"/>
      <c r="Q541" s="153" t="n"/>
      <c r="R541" s="153" t="n"/>
      <c r="S541" s="153" t="n"/>
      <c r="T541" s="153" t="n"/>
      <c r="U541" s="153" t="n"/>
      <c r="V541" s="153" t="n"/>
      <c r="W541" s="153" t="n"/>
      <c r="X541" s="153" t="n"/>
      <c r="Y541" s="153" t="n"/>
      <c r="Z541" s="153" t="n"/>
    </row>
    <row r="542" ht="15.75" customHeight="1" s="154">
      <c r="G542" s="153" t="n"/>
      <c r="H542" s="153" t="n"/>
      <c r="I542" s="153" t="n"/>
      <c r="J542" s="153" t="n"/>
      <c r="K542" s="153" t="n"/>
      <c r="L542" s="153" t="n"/>
      <c r="M542" s="153" t="n"/>
      <c r="N542" s="153" t="n"/>
      <c r="O542" s="153" t="n"/>
      <c r="P542" s="153" t="n"/>
      <c r="Q542" s="153" t="n"/>
      <c r="R542" s="153" t="n"/>
      <c r="S542" s="153" t="n"/>
      <c r="T542" s="153" t="n"/>
      <c r="U542" s="153" t="n"/>
      <c r="V542" s="153" t="n"/>
      <c r="W542" s="153" t="n"/>
      <c r="X542" s="153" t="n"/>
      <c r="Y542" s="153" t="n"/>
      <c r="Z542" s="153" t="n"/>
    </row>
    <row r="543" ht="15.75" customHeight="1" s="154">
      <c r="G543" s="153" t="n"/>
      <c r="H543" s="153" t="n"/>
      <c r="I543" s="153" t="n"/>
      <c r="J543" s="153" t="n"/>
      <c r="K543" s="153" t="n"/>
      <c r="L543" s="153" t="n"/>
      <c r="M543" s="153" t="n"/>
      <c r="N543" s="153" t="n"/>
      <c r="O543" s="153" t="n"/>
      <c r="P543" s="153" t="n"/>
      <c r="Q543" s="153" t="n"/>
      <c r="R543" s="153" t="n"/>
      <c r="S543" s="153" t="n"/>
      <c r="T543" s="153" t="n"/>
      <c r="U543" s="153" t="n"/>
      <c r="V543" s="153" t="n"/>
      <c r="W543" s="153" t="n"/>
      <c r="X543" s="153" t="n"/>
      <c r="Y543" s="153" t="n"/>
      <c r="Z543" s="153" t="n"/>
    </row>
    <row r="544" ht="15.75" customHeight="1" s="154">
      <c r="G544" s="153" t="n"/>
      <c r="H544" s="153" t="n"/>
      <c r="I544" s="153" t="n"/>
      <c r="J544" s="153" t="n"/>
      <c r="K544" s="153" t="n"/>
      <c r="L544" s="153" t="n"/>
      <c r="M544" s="153" t="n"/>
      <c r="N544" s="153" t="n"/>
      <c r="O544" s="153" t="n"/>
      <c r="P544" s="153" t="n"/>
      <c r="Q544" s="153" t="n"/>
      <c r="R544" s="153" t="n"/>
      <c r="S544" s="153" t="n"/>
      <c r="T544" s="153" t="n"/>
      <c r="U544" s="153" t="n"/>
      <c r="V544" s="153" t="n"/>
      <c r="W544" s="153" t="n"/>
      <c r="X544" s="153" t="n"/>
      <c r="Y544" s="153" t="n"/>
      <c r="Z544" s="153" t="n"/>
    </row>
    <row r="545" ht="15.75" customHeight="1" s="154">
      <c r="G545" s="153" t="n"/>
      <c r="H545" s="153" t="n"/>
      <c r="I545" s="153" t="n"/>
      <c r="J545" s="153" t="n"/>
      <c r="K545" s="153" t="n"/>
      <c r="L545" s="153" t="n"/>
      <c r="M545" s="153" t="n"/>
      <c r="N545" s="153" t="n"/>
      <c r="O545" s="153" t="n"/>
      <c r="P545" s="153" t="n"/>
      <c r="Q545" s="153" t="n"/>
      <c r="R545" s="153" t="n"/>
      <c r="S545" s="153" t="n"/>
      <c r="T545" s="153" t="n"/>
      <c r="U545" s="153" t="n"/>
      <c r="V545" s="153" t="n"/>
      <c r="W545" s="153" t="n"/>
      <c r="X545" s="153" t="n"/>
      <c r="Y545" s="153" t="n"/>
      <c r="Z545" s="153" t="n"/>
    </row>
    <row r="546" ht="15.75" customHeight="1" s="154">
      <c r="G546" s="153" t="n"/>
      <c r="H546" s="153" t="n"/>
      <c r="I546" s="153" t="n"/>
      <c r="J546" s="153" t="n"/>
      <c r="K546" s="153" t="n"/>
      <c r="L546" s="153" t="n"/>
      <c r="M546" s="153" t="n"/>
      <c r="N546" s="153" t="n"/>
      <c r="O546" s="153" t="n"/>
      <c r="P546" s="153" t="n"/>
      <c r="Q546" s="153" t="n"/>
      <c r="R546" s="153" t="n"/>
      <c r="S546" s="153" t="n"/>
      <c r="T546" s="153" t="n"/>
      <c r="U546" s="153" t="n"/>
      <c r="V546" s="153" t="n"/>
      <c r="W546" s="153" t="n"/>
      <c r="X546" s="153" t="n"/>
      <c r="Y546" s="153" t="n"/>
      <c r="Z546" s="153" t="n"/>
    </row>
    <row r="547" ht="15.75" customHeight="1" s="154">
      <c r="G547" s="153" t="n"/>
      <c r="H547" s="153" t="n"/>
      <c r="I547" s="153" t="n"/>
      <c r="J547" s="153" t="n"/>
      <c r="K547" s="153" t="n"/>
      <c r="L547" s="153" t="n"/>
      <c r="M547" s="153" t="n"/>
      <c r="N547" s="153" t="n"/>
      <c r="O547" s="153" t="n"/>
      <c r="P547" s="153" t="n"/>
      <c r="Q547" s="153" t="n"/>
      <c r="R547" s="153" t="n"/>
      <c r="S547" s="153" t="n"/>
      <c r="T547" s="153" t="n"/>
      <c r="U547" s="153" t="n"/>
      <c r="V547" s="153" t="n"/>
      <c r="W547" s="153" t="n"/>
      <c r="X547" s="153" t="n"/>
      <c r="Y547" s="153" t="n"/>
      <c r="Z547" s="153" t="n"/>
    </row>
    <row r="548" ht="15.75" customHeight="1" s="154">
      <c r="G548" s="153" t="n"/>
      <c r="H548" s="153" t="n"/>
      <c r="I548" s="153" t="n"/>
      <c r="J548" s="153" t="n"/>
      <c r="K548" s="153" t="n"/>
      <c r="L548" s="153" t="n"/>
      <c r="M548" s="153" t="n"/>
      <c r="N548" s="153" t="n"/>
      <c r="O548" s="153" t="n"/>
      <c r="P548" s="153" t="n"/>
      <c r="Q548" s="153" t="n"/>
      <c r="R548" s="153" t="n"/>
      <c r="S548" s="153" t="n"/>
      <c r="T548" s="153" t="n"/>
      <c r="U548" s="153" t="n"/>
      <c r="V548" s="153" t="n"/>
      <c r="W548" s="153" t="n"/>
      <c r="X548" s="153" t="n"/>
      <c r="Y548" s="153" t="n"/>
      <c r="Z548" s="153" t="n"/>
    </row>
    <row r="549" ht="15.75" customHeight="1" s="154">
      <c r="G549" s="153" t="n"/>
      <c r="H549" s="153" t="n"/>
      <c r="I549" s="153" t="n"/>
      <c r="J549" s="153" t="n"/>
      <c r="K549" s="153" t="n"/>
      <c r="L549" s="153" t="n"/>
      <c r="M549" s="153" t="n"/>
      <c r="N549" s="153" t="n"/>
      <c r="O549" s="153" t="n"/>
      <c r="P549" s="153" t="n"/>
      <c r="Q549" s="153" t="n"/>
      <c r="R549" s="153" t="n"/>
      <c r="S549" s="153" t="n"/>
      <c r="T549" s="153" t="n"/>
      <c r="U549" s="153" t="n"/>
      <c r="V549" s="153" t="n"/>
      <c r="W549" s="153" t="n"/>
      <c r="X549" s="153" t="n"/>
      <c r="Y549" s="153" t="n"/>
      <c r="Z549" s="153" t="n"/>
    </row>
    <row r="550" ht="15.75" customHeight="1" s="154">
      <c r="G550" s="153" t="n"/>
      <c r="H550" s="153" t="n"/>
      <c r="I550" s="153" t="n"/>
      <c r="J550" s="153" t="n"/>
      <c r="K550" s="153" t="n"/>
      <c r="L550" s="153" t="n"/>
      <c r="M550" s="153" t="n"/>
      <c r="N550" s="153" t="n"/>
      <c r="O550" s="153" t="n"/>
      <c r="P550" s="153" t="n"/>
      <c r="Q550" s="153" t="n"/>
      <c r="R550" s="153" t="n"/>
      <c r="S550" s="153" t="n"/>
      <c r="T550" s="153" t="n"/>
      <c r="U550" s="153" t="n"/>
      <c r="V550" s="153" t="n"/>
      <c r="W550" s="153" t="n"/>
      <c r="X550" s="153" t="n"/>
      <c r="Y550" s="153" t="n"/>
      <c r="Z550" s="153" t="n"/>
    </row>
    <row r="551" ht="15.75" customHeight="1" s="154">
      <c r="G551" s="153" t="n"/>
      <c r="H551" s="153" t="n"/>
      <c r="I551" s="153" t="n"/>
      <c r="J551" s="153" t="n"/>
      <c r="K551" s="153" t="n"/>
      <c r="L551" s="153" t="n"/>
      <c r="M551" s="153" t="n"/>
      <c r="N551" s="153" t="n"/>
      <c r="O551" s="153" t="n"/>
      <c r="P551" s="153" t="n"/>
      <c r="Q551" s="153" t="n"/>
      <c r="R551" s="153" t="n"/>
      <c r="S551" s="153" t="n"/>
      <c r="T551" s="153" t="n"/>
      <c r="U551" s="153" t="n"/>
      <c r="V551" s="153" t="n"/>
      <c r="W551" s="153" t="n"/>
      <c r="X551" s="153" t="n"/>
      <c r="Y551" s="153" t="n"/>
      <c r="Z551" s="153" t="n"/>
    </row>
    <row r="552" ht="15.75" customHeight="1" s="154">
      <c r="G552" s="153" t="n"/>
      <c r="H552" s="153" t="n"/>
      <c r="I552" s="153" t="n"/>
      <c r="J552" s="153" t="n"/>
      <c r="K552" s="153" t="n"/>
      <c r="L552" s="153" t="n"/>
      <c r="M552" s="153" t="n"/>
      <c r="N552" s="153" t="n"/>
      <c r="O552" s="153" t="n"/>
      <c r="P552" s="153" t="n"/>
      <c r="Q552" s="153" t="n"/>
      <c r="R552" s="153" t="n"/>
      <c r="S552" s="153" t="n"/>
      <c r="T552" s="153" t="n"/>
      <c r="U552" s="153" t="n"/>
      <c r="V552" s="153" t="n"/>
      <c r="W552" s="153" t="n"/>
      <c r="X552" s="153" t="n"/>
      <c r="Y552" s="153" t="n"/>
      <c r="Z552" s="153" t="n"/>
    </row>
    <row r="553" ht="15.75" customHeight="1" s="154">
      <c r="G553" s="153" t="n"/>
      <c r="H553" s="153" t="n"/>
      <c r="I553" s="153" t="n"/>
      <c r="J553" s="153" t="n"/>
      <c r="K553" s="153" t="n"/>
      <c r="L553" s="153" t="n"/>
      <c r="M553" s="153" t="n"/>
      <c r="N553" s="153" t="n"/>
      <c r="O553" s="153" t="n"/>
      <c r="P553" s="153" t="n"/>
      <c r="Q553" s="153" t="n"/>
      <c r="R553" s="153" t="n"/>
      <c r="S553" s="153" t="n"/>
      <c r="T553" s="153" t="n"/>
      <c r="U553" s="153" t="n"/>
      <c r="V553" s="153" t="n"/>
      <c r="W553" s="153" t="n"/>
      <c r="X553" s="153" t="n"/>
      <c r="Y553" s="153" t="n"/>
      <c r="Z553" s="153" t="n"/>
    </row>
    <row r="554" ht="15.75" customHeight="1" s="154">
      <c r="G554" s="153" t="n"/>
      <c r="H554" s="153" t="n"/>
      <c r="I554" s="153" t="n"/>
      <c r="J554" s="153" t="n"/>
      <c r="K554" s="153" t="n"/>
      <c r="L554" s="153" t="n"/>
      <c r="M554" s="153" t="n"/>
      <c r="N554" s="153" t="n"/>
      <c r="O554" s="153" t="n"/>
      <c r="P554" s="153" t="n"/>
      <c r="Q554" s="153" t="n"/>
      <c r="R554" s="153" t="n"/>
      <c r="S554" s="153" t="n"/>
      <c r="T554" s="153" t="n"/>
      <c r="U554" s="153" t="n"/>
      <c r="V554" s="153" t="n"/>
      <c r="W554" s="153" t="n"/>
      <c r="X554" s="153" t="n"/>
      <c r="Y554" s="153" t="n"/>
      <c r="Z554" s="153" t="n"/>
    </row>
    <row r="555" ht="15.75" customHeight="1" s="154">
      <c r="G555" s="153" t="n"/>
      <c r="H555" s="153" t="n"/>
      <c r="I555" s="153" t="n"/>
      <c r="J555" s="153" t="n"/>
      <c r="K555" s="153" t="n"/>
      <c r="L555" s="153" t="n"/>
      <c r="M555" s="153" t="n"/>
      <c r="N555" s="153" t="n"/>
      <c r="O555" s="153" t="n"/>
      <c r="P555" s="153" t="n"/>
      <c r="Q555" s="153" t="n"/>
      <c r="R555" s="153" t="n"/>
      <c r="S555" s="153" t="n"/>
      <c r="T555" s="153" t="n"/>
      <c r="U555" s="153" t="n"/>
      <c r="V555" s="153" t="n"/>
      <c r="W555" s="153" t="n"/>
      <c r="X555" s="153" t="n"/>
      <c r="Y555" s="153" t="n"/>
      <c r="Z555" s="153" t="n"/>
    </row>
    <row r="556" ht="15.75" customHeight="1" s="154">
      <c r="G556" s="153" t="n"/>
      <c r="H556" s="153" t="n"/>
      <c r="I556" s="153" t="n"/>
      <c r="J556" s="153" t="n"/>
      <c r="K556" s="153" t="n"/>
      <c r="L556" s="153" t="n"/>
      <c r="M556" s="153" t="n"/>
      <c r="N556" s="153" t="n"/>
      <c r="O556" s="153" t="n"/>
      <c r="P556" s="153" t="n"/>
      <c r="Q556" s="153" t="n"/>
      <c r="R556" s="153" t="n"/>
      <c r="S556" s="153" t="n"/>
      <c r="T556" s="153" t="n"/>
      <c r="U556" s="153" t="n"/>
      <c r="V556" s="153" t="n"/>
      <c r="W556" s="153" t="n"/>
      <c r="X556" s="153" t="n"/>
      <c r="Y556" s="153" t="n"/>
      <c r="Z556" s="153" t="n"/>
    </row>
    <row r="557" ht="15.75" customHeight="1" s="154">
      <c r="G557" s="153" t="n"/>
      <c r="H557" s="153" t="n"/>
      <c r="I557" s="153" t="n"/>
      <c r="J557" s="153" t="n"/>
      <c r="K557" s="153" t="n"/>
      <c r="L557" s="153" t="n"/>
      <c r="M557" s="153" t="n"/>
      <c r="N557" s="153" t="n"/>
      <c r="O557" s="153" t="n"/>
      <c r="P557" s="153" t="n"/>
      <c r="Q557" s="153" t="n"/>
      <c r="R557" s="153" t="n"/>
      <c r="S557" s="153" t="n"/>
      <c r="T557" s="153" t="n"/>
      <c r="U557" s="153" t="n"/>
      <c r="V557" s="153" t="n"/>
      <c r="W557" s="153" t="n"/>
      <c r="X557" s="153" t="n"/>
      <c r="Y557" s="153" t="n"/>
      <c r="Z557" s="153" t="n"/>
    </row>
    <row r="558" ht="15.75" customHeight="1" s="154">
      <c r="G558" s="153" t="n"/>
      <c r="H558" s="153" t="n"/>
      <c r="I558" s="153" t="n"/>
      <c r="J558" s="153" t="n"/>
      <c r="K558" s="153" t="n"/>
      <c r="L558" s="153" t="n"/>
      <c r="M558" s="153" t="n"/>
      <c r="N558" s="153" t="n"/>
      <c r="O558" s="153" t="n"/>
      <c r="P558" s="153" t="n"/>
      <c r="Q558" s="153" t="n"/>
      <c r="R558" s="153" t="n"/>
      <c r="S558" s="153" t="n"/>
      <c r="T558" s="153" t="n"/>
      <c r="U558" s="153" t="n"/>
      <c r="V558" s="153" t="n"/>
      <c r="W558" s="153" t="n"/>
      <c r="X558" s="153" t="n"/>
      <c r="Y558" s="153" t="n"/>
      <c r="Z558" s="153" t="n"/>
    </row>
    <row r="559" ht="15.75" customHeight="1" s="154">
      <c r="G559" s="153" t="n"/>
      <c r="H559" s="153" t="n"/>
      <c r="I559" s="153" t="n"/>
      <c r="J559" s="153" t="n"/>
      <c r="K559" s="153" t="n"/>
      <c r="L559" s="153" t="n"/>
      <c r="M559" s="153" t="n"/>
      <c r="N559" s="153" t="n"/>
      <c r="O559" s="153" t="n"/>
      <c r="P559" s="153" t="n"/>
      <c r="Q559" s="153" t="n"/>
      <c r="R559" s="153" t="n"/>
      <c r="S559" s="153" t="n"/>
      <c r="T559" s="153" t="n"/>
      <c r="U559" s="153" t="n"/>
      <c r="V559" s="153" t="n"/>
      <c r="W559" s="153" t="n"/>
      <c r="X559" s="153" t="n"/>
      <c r="Y559" s="153" t="n"/>
      <c r="Z559" s="153" t="n"/>
    </row>
    <row r="560" ht="15.75" customHeight="1" s="154">
      <c r="G560" s="153" t="n"/>
      <c r="H560" s="153" t="n"/>
      <c r="I560" s="153" t="n"/>
      <c r="J560" s="153" t="n"/>
      <c r="K560" s="153" t="n"/>
      <c r="L560" s="153" t="n"/>
      <c r="M560" s="153" t="n"/>
      <c r="N560" s="153" t="n"/>
      <c r="O560" s="153" t="n"/>
      <c r="P560" s="153" t="n"/>
      <c r="Q560" s="153" t="n"/>
      <c r="R560" s="153" t="n"/>
      <c r="S560" s="153" t="n"/>
      <c r="T560" s="153" t="n"/>
      <c r="U560" s="153" t="n"/>
      <c r="V560" s="153" t="n"/>
      <c r="W560" s="153" t="n"/>
      <c r="X560" s="153" t="n"/>
      <c r="Y560" s="153" t="n"/>
      <c r="Z560" s="153" t="n"/>
    </row>
    <row r="561" ht="15.75" customHeight="1" s="154">
      <c r="G561" s="153" t="n"/>
      <c r="H561" s="153" t="n"/>
      <c r="I561" s="153" t="n"/>
      <c r="J561" s="153" t="n"/>
      <c r="K561" s="153" t="n"/>
      <c r="L561" s="153" t="n"/>
      <c r="M561" s="153" t="n"/>
      <c r="N561" s="153" t="n"/>
      <c r="O561" s="153" t="n"/>
      <c r="P561" s="153" t="n"/>
      <c r="Q561" s="153" t="n"/>
      <c r="R561" s="153" t="n"/>
      <c r="S561" s="153" t="n"/>
      <c r="T561" s="153" t="n"/>
      <c r="U561" s="153" t="n"/>
      <c r="V561" s="153" t="n"/>
      <c r="W561" s="153" t="n"/>
      <c r="X561" s="153" t="n"/>
      <c r="Y561" s="153" t="n"/>
      <c r="Z561" s="153" t="n"/>
    </row>
    <row r="562" ht="15.75" customHeight="1" s="154">
      <c r="G562" s="153" t="n"/>
      <c r="H562" s="153" t="n"/>
      <c r="I562" s="153" t="n"/>
      <c r="J562" s="153" t="n"/>
      <c r="K562" s="153" t="n"/>
      <c r="L562" s="153" t="n"/>
      <c r="M562" s="153" t="n"/>
      <c r="N562" s="153" t="n"/>
      <c r="O562" s="153" t="n"/>
      <c r="P562" s="153" t="n"/>
      <c r="Q562" s="153" t="n"/>
      <c r="R562" s="153" t="n"/>
      <c r="S562" s="153" t="n"/>
      <c r="T562" s="153" t="n"/>
      <c r="U562" s="153" t="n"/>
      <c r="V562" s="153" t="n"/>
      <c r="W562" s="153" t="n"/>
      <c r="X562" s="153" t="n"/>
      <c r="Y562" s="153" t="n"/>
      <c r="Z562" s="153" t="n"/>
    </row>
    <row r="563" ht="15.75" customHeight="1" s="154">
      <c r="G563" s="153" t="n"/>
      <c r="H563" s="153" t="n"/>
      <c r="I563" s="153" t="n"/>
      <c r="J563" s="153" t="n"/>
      <c r="K563" s="153" t="n"/>
      <c r="L563" s="153" t="n"/>
      <c r="M563" s="153" t="n"/>
      <c r="N563" s="153" t="n"/>
      <c r="O563" s="153" t="n"/>
      <c r="P563" s="153" t="n"/>
      <c r="Q563" s="153" t="n"/>
      <c r="R563" s="153" t="n"/>
      <c r="S563" s="153" t="n"/>
      <c r="T563" s="153" t="n"/>
      <c r="U563" s="153" t="n"/>
      <c r="V563" s="153" t="n"/>
      <c r="W563" s="153" t="n"/>
      <c r="X563" s="153" t="n"/>
      <c r="Y563" s="153" t="n"/>
      <c r="Z563" s="153" t="n"/>
    </row>
    <row r="564" ht="15.75" customHeight="1" s="154">
      <c r="G564" s="153" t="n"/>
      <c r="H564" s="153" t="n"/>
      <c r="I564" s="153" t="n"/>
      <c r="J564" s="153" t="n"/>
      <c r="K564" s="153" t="n"/>
      <c r="L564" s="153" t="n"/>
      <c r="M564" s="153" t="n"/>
      <c r="N564" s="153" t="n"/>
      <c r="O564" s="153" t="n"/>
      <c r="P564" s="153" t="n"/>
      <c r="Q564" s="153" t="n"/>
      <c r="R564" s="153" t="n"/>
      <c r="S564" s="153" t="n"/>
      <c r="T564" s="153" t="n"/>
      <c r="U564" s="153" t="n"/>
      <c r="V564" s="153" t="n"/>
      <c r="W564" s="153" t="n"/>
      <c r="X564" s="153" t="n"/>
      <c r="Y564" s="153" t="n"/>
      <c r="Z564" s="153" t="n"/>
    </row>
    <row r="565" ht="15.75" customHeight="1" s="154">
      <c r="G565" s="153" t="n"/>
      <c r="H565" s="153" t="n"/>
      <c r="I565" s="153" t="n"/>
      <c r="J565" s="153" t="n"/>
      <c r="K565" s="153" t="n"/>
      <c r="L565" s="153" t="n"/>
      <c r="M565" s="153" t="n"/>
      <c r="N565" s="153" t="n"/>
      <c r="O565" s="153" t="n"/>
      <c r="P565" s="153" t="n"/>
      <c r="Q565" s="153" t="n"/>
      <c r="R565" s="153" t="n"/>
      <c r="S565" s="153" t="n"/>
      <c r="T565" s="153" t="n"/>
      <c r="U565" s="153" t="n"/>
      <c r="V565" s="153" t="n"/>
      <c r="W565" s="153" t="n"/>
      <c r="X565" s="153" t="n"/>
      <c r="Y565" s="153" t="n"/>
      <c r="Z565" s="153" t="n"/>
    </row>
    <row r="566" ht="15.75" customHeight="1" s="154">
      <c r="G566" s="153" t="n"/>
      <c r="H566" s="153" t="n"/>
      <c r="I566" s="153" t="n"/>
      <c r="J566" s="153" t="n"/>
      <c r="K566" s="153" t="n"/>
      <c r="L566" s="153" t="n"/>
      <c r="M566" s="153" t="n"/>
      <c r="N566" s="153" t="n"/>
      <c r="O566" s="153" t="n"/>
      <c r="P566" s="153" t="n"/>
      <c r="Q566" s="153" t="n"/>
      <c r="R566" s="153" t="n"/>
      <c r="S566" s="153" t="n"/>
      <c r="T566" s="153" t="n"/>
      <c r="U566" s="153" t="n"/>
      <c r="V566" s="153" t="n"/>
      <c r="W566" s="153" t="n"/>
      <c r="X566" s="153" t="n"/>
      <c r="Y566" s="153" t="n"/>
      <c r="Z566" s="153" t="n"/>
    </row>
    <row r="567" ht="15.75" customHeight="1" s="154">
      <c r="G567" s="153" t="n"/>
      <c r="H567" s="153" t="n"/>
      <c r="I567" s="153" t="n"/>
      <c r="J567" s="153" t="n"/>
      <c r="K567" s="153" t="n"/>
      <c r="L567" s="153" t="n"/>
      <c r="M567" s="153" t="n"/>
      <c r="N567" s="153" t="n"/>
      <c r="O567" s="153" t="n"/>
      <c r="P567" s="153" t="n"/>
      <c r="Q567" s="153" t="n"/>
      <c r="R567" s="153" t="n"/>
      <c r="S567" s="153" t="n"/>
      <c r="T567" s="153" t="n"/>
      <c r="U567" s="153" t="n"/>
      <c r="V567" s="153" t="n"/>
      <c r="W567" s="153" t="n"/>
      <c r="X567" s="153" t="n"/>
      <c r="Y567" s="153" t="n"/>
      <c r="Z567" s="153" t="n"/>
    </row>
    <row r="568" ht="15.75" customHeight="1" s="154">
      <c r="G568" s="153" t="n"/>
      <c r="H568" s="153" t="n"/>
      <c r="I568" s="153" t="n"/>
      <c r="J568" s="153" t="n"/>
      <c r="K568" s="153" t="n"/>
      <c r="L568" s="153" t="n"/>
      <c r="M568" s="153" t="n"/>
      <c r="N568" s="153" t="n"/>
      <c r="O568" s="153" t="n"/>
      <c r="P568" s="153" t="n"/>
      <c r="Q568" s="153" t="n"/>
      <c r="R568" s="153" t="n"/>
      <c r="S568" s="153" t="n"/>
      <c r="T568" s="153" t="n"/>
      <c r="U568" s="153" t="n"/>
      <c r="V568" s="153" t="n"/>
      <c r="W568" s="153" t="n"/>
      <c r="X568" s="153" t="n"/>
      <c r="Y568" s="153" t="n"/>
      <c r="Z568" s="153" t="n"/>
    </row>
    <row r="569" ht="15.75" customHeight="1" s="154">
      <c r="G569" s="153" t="n"/>
      <c r="H569" s="153" t="n"/>
      <c r="I569" s="153" t="n"/>
      <c r="J569" s="153" t="n"/>
      <c r="K569" s="153" t="n"/>
      <c r="L569" s="153" t="n"/>
      <c r="M569" s="153" t="n"/>
      <c r="N569" s="153" t="n"/>
      <c r="O569" s="153" t="n"/>
      <c r="P569" s="153" t="n"/>
      <c r="Q569" s="153" t="n"/>
      <c r="R569" s="153" t="n"/>
      <c r="S569" s="153" t="n"/>
      <c r="T569" s="153" t="n"/>
      <c r="U569" s="153" t="n"/>
      <c r="V569" s="153" t="n"/>
      <c r="W569" s="153" t="n"/>
      <c r="X569" s="153" t="n"/>
      <c r="Y569" s="153" t="n"/>
      <c r="Z569" s="153" t="n"/>
    </row>
    <row r="570" ht="15.75" customHeight="1" s="154">
      <c r="G570" s="153" t="n"/>
      <c r="H570" s="153" t="n"/>
      <c r="I570" s="153" t="n"/>
      <c r="J570" s="153" t="n"/>
      <c r="K570" s="153" t="n"/>
      <c r="L570" s="153" t="n"/>
      <c r="M570" s="153" t="n"/>
      <c r="N570" s="153" t="n"/>
      <c r="O570" s="153" t="n"/>
      <c r="P570" s="153" t="n"/>
      <c r="Q570" s="153" t="n"/>
      <c r="R570" s="153" t="n"/>
      <c r="S570" s="153" t="n"/>
      <c r="T570" s="153" t="n"/>
      <c r="U570" s="153" t="n"/>
      <c r="V570" s="153" t="n"/>
      <c r="W570" s="153" t="n"/>
      <c r="X570" s="153" t="n"/>
      <c r="Y570" s="153" t="n"/>
      <c r="Z570" s="153" t="n"/>
    </row>
    <row r="571" ht="15.75" customHeight="1" s="154">
      <c r="G571" s="153" t="n"/>
      <c r="H571" s="153" t="n"/>
      <c r="I571" s="153" t="n"/>
      <c r="J571" s="153" t="n"/>
      <c r="K571" s="153" t="n"/>
      <c r="L571" s="153" t="n"/>
      <c r="M571" s="153" t="n"/>
      <c r="N571" s="153" t="n"/>
      <c r="O571" s="153" t="n"/>
      <c r="P571" s="153" t="n"/>
      <c r="Q571" s="153" t="n"/>
      <c r="R571" s="153" t="n"/>
      <c r="S571" s="153" t="n"/>
      <c r="T571" s="153" t="n"/>
      <c r="U571" s="153" t="n"/>
      <c r="V571" s="153" t="n"/>
      <c r="W571" s="153" t="n"/>
      <c r="X571" s="153" t="n"/>
      <c r="Y571" s="153" t="n"/>
      <c r="Z571" s="153" t="n"/>
    </row>
    <row r="572" ht="15.75" customHeight="1" s="154">
      <c r="G572" s="153" t="n"/>
      <c r="H572" s="153" t="n"/>
      <c r="I572" s="153" t="n"/>
      <c r="J572" s="153" t="n"/>
      <c r="K572" s="153" t="n"/>
      <c r="L572" s="153" t="n"/>
      <c r="M572" s="153" t="n"/>
      <c r="N572" s="153" t="n"/>
      <c r="O572" s="153" t="n"/>
      <c r="P572" s="153" t="n"/>
      <c r="Q572" s="153" t="n"/>
      <c r="R572" s="153" t="n"/>
      <c r="S572" s="153" t="n"/>
      <c r="T572" s="153" t="n"/>
      <c r="U572" s="153" t="n"/>
      <c r="V572" s="153" t="n"/>
      <c r="W572" s="153" t="n"/>
      <c r="X572" s="153" t="n"/>
      <c r="Y572" s="153" t="n"/>
      <c r="Z572" s="153" t="n"/>
    </row>
    <row r="573" ht="15.75" customHeight="1" s="154">
      <c r="G573" s="153" t="n"/>
      <c r="H573" s="153" t="n"/>
      <c r="I573" s="153" t="n"/>
      <c r="J573" s="153" t="n"/>
      <c r="K573" s="153" t="n"/>
      <c r="L573" s="153" t="n"/>
      <c r="M573" s="153" t="n"/>
      <c r="N573" s="153" t="n"/>
      <c r="O573" s="153" t="n"/>
      <c r="P573" s="153" t="n"/>
      <c r="Q573" s="153" t="n"/>
      <c r="R573" s="153" t="n"/>
      <c r="S573" s="153" t="n"/>
      <c r="T573" s="153" t="n"/>
      <c r="U573" s="153" t="n"/>
      <c r="V573" s="153" t="n"/>
      <c r="W573" s="153" t="n"/>
      <c r="X573" s="153" t="n"/>
      <c r="Y573" s="153" t="n"/>
      <c r="Z573" s="153" t="n"/>
    </row>
    <row r="574" ht="15.75" customHeight="1" s="154">
      <c r="G574" s="153" t="n"/>
      <c r="H574" s="153" t="n"/>
      <c r="I574" s="153" t="n"/>
      <c r="J574" s="153" t="n"/>
      <c r="K574" s="153" t="n"/>
      <c r="L574" s="153" t="n"/>
      <c r="M574" s="153" t="n"/>
      <c r="N574" s="153" t="n"/>
      <c r="O574" s="153" t="n"/>
      <c r="P574" s="153" t="n"/>
      <c r="Q574" s="153" t="n"/>
      <c r="R574" s="153" t="n"/>
      <c r="S574" s="153" t="n"/>
      <c r="T574" s="153" t="n"/>
      <c r="U574" s="153" t="n"/>
      <c r="V574" s="153" t="n"/>
      <c r="W574" s="153" t="n"/>
      <c r="X574" s="153" t="n"/>
      <c r="Y574" s="153" t="n"/>
      <c r="Z574" s="153" t="n"/>
    </row>
    <row r="575" ht="15.75" customHeight="1" s="154">
      <c r="G575" s="153" t="n"/>
      <c r="H575" s="153" t="n"/>
      <c r="I575" s="153" t="n"/>
      <c r="J575" s="153" t="n"/>
      <c r="K575" s="153" t="n"/>
      <c r="L575" s="153" t="n"/>
      <c r="M575" s="153" t="n"/>
      <c r="N575" s="153" t="n"/>
      <c r="O575" s="153" t="n"/>
      <c r="P575" s="153" t="n"/>
      <c r="Q575" s="153" t="n"/>
      <c r="R575" s="153" t="n"/>
      <c r="S575" s="153" t="n"/>
      <c r="T575" s="153" t="n"/>
      <c r="U575" s="153" t="n"/>
      <c r="V575" s="153" t="n"/>
      <c r="W575" s="153" t="n"/>
      <c r="X575" s="153" t="n"/>
      <c r="Y575" s="153" t="n"/>
      <c r="Z575" s="153" t="n"/>
    </row>
    <row r="576" ht="15.75" customHeight="1" s="154">
      <c r="G576" s="153" t="n"/>
      <c r="H576" s="153" t="n"/>
      <c r="I576" s="153" t="n"/>
      <c r="J576" s="153" t="n"/>
      <c r="K576" s="153" t="n"/>
      <c r="L576" s="153" t="n"/>
      <c r="M576" s="153" t="n"/>
      <c r="N576" s="153" t="n"/>
      <c r="O576" s="153" t="n"/>
      <c r="P576" s="153" t="n"/>
      <c r="Q576" s="153" t="n"/>
      <c r="R576" s="153" t="n"/>
      <c r="S576" s="153" t="n"/>
      <c r="T576" s="153" t="n"/>
      <c r="U576" s="153" t="n"/>
      <c r="V576" s="153" t="n"/>
      <c r="W576" s="153" t="n"/>
      <c r="X576" s="153" t="n"/>
      <c r="Y576" s="153" t="n"/>
      <c r="Z576" s="153" t="n"/>
    </row>
    <row r="577" ht="15.75" customHeight="1" s="154">
      <c r="G577" s="153" t="n"/>
      <c r="H577" s="153" t="n"/>
      <c r="I577" s="153" t="n"/>
      <c r="J577" s="153" t="n"/>
      <c r="K577" s="153" t="n"/>
      <c r="L577" s="153" t="n"/>
      <c r="M577" s="153" t="n"/>
      <c r="N577" s="153" t="n"/>
      <c r="O577" s="153" t="n"/>
      <c r="P577" s="153" t="n"/>
      <c r="Q577" s="153" t="n"/>
      <c r="R577" s="153" t="n"/>
      <c r="S577" s="153" t="n"/>
      <c r="T577" s="153" t="n"/>
      <c r="U577" s="153" t="n"/>
      <c r="V577" s="153" t="n"/>
      <c r="W577" s="153" t="n"/>
      <c r="X577" s="153" t="n"/>
      <c r="Y577" s="153" t="n"/>
      <c r="Z577" s="153" t="n"/>
    </row>
    <row r="578" ht="15.75" customHeight="1" s="154">
      <c r="G578" s="153" t="n"/>
      <c r="H578" s="153" t="n"/>
      <c r="I578" s="153" t="n"/>
      <c r="J578" s="153" t="n"/>
      <c r="K578" s="153" t="n"/>
      <c r="L578" s="153" t="n"/>
      <c r="M578" s="153" t="n"/>
      <c r="N578" s="153" t="n"/>
      <c r="O578" s="153" t="n"/>
      <c r="P578" s="153" t="n"/>
      <c r="Q578" s="153" t="n"/>
      <c r="R578" s="153" t="n"/>
      <c r="S578" s="153" t="n"/>
      <c r="T578" s="153" t="n"/>
      <c r="U578" s="153" t="n"/>
      <c r="V578" s="153" t="n"/>
      <c r="W578" s="153" t="n"/>
      <c r="X578" s="153" t="n"/>
      <c r="Y578" s="153" t="n"/>
      <c r="Z578" s="153" t="n"/>
    </row>
    <row r="579" ht="15.75" customHeight="1" s="154">
      <c r="G579" s="153" t="n"/>
      <c r="H579" s="153" t="n"/>
      <c r="I579" s="153" t="n"/>
      <c r="J579" s="153" t="n"/>
      <c r="K579" s="153" t="n"/>
      <c r="L579" s="153" t="n"/>
      <c r="M579" s="153" t="n"/>
      <c r="N579" s="153" t="n"/>
      <c r="O579" s="153" t="n"/>
      <c r="P579" s="153" t="n"/>
      <c r="Q579" s="153" t="n"/>
      <c r="R579" s="153" t="n"/>
      <c r="S579" s="153" t="n"/>
      <c r="T579" s="153" t="n"/>
      <c r="U579" s="153" t="n"/>
      <c r="V579" s="153" t="n"/>
      <c r="W579" s="153" t="n"/>
      <c r="X579" s="153" t="n"/>
      <c r="Y579" s="153" t="n"/>
      <c r="Z579" s="153" t="n"/>
    </row>
    <row r="580" ht="15.75" customHeight="1" s="154">
      <c r="G580" s="153" t="n"/>
      <c r="H580" s="153" t="n"/>
      <c r="I580" s="153" t="n"/>
      <c r="J580" s="153" t="n"/>
      <c r="K580" s="153" t="n"/>
      <c r="L580" s="153" t="n"/>
      <c r="M580" s="153" t="n"/>
      <c r="N580" s="153" t="n"/>
      <c r="O580" s="153" t="n"/>
      <c r="P580" s="153" t="n"/>
      <c r="Q580" s="153" t="n"/>
      <c r="R580" s="153" t="n"/>
      <c r="S580" s="153" t="n"/>
      <c r="T580" s="153" t="n"/>
      <c r="U580" s="153" t="n"/>
      <c r="V580" s="153" t="n"/>
      <c r="W580" s="153" t="n"/>
      <c r="X580" s="153" t="n"/>
      <c r="Y580" s="153" t="n"/>
      <c r="Z580" s="153" t="n"/>
    </row>
    <row r="581" ht="15.75" customHeight="1" s="154">
      <c r="G581" s="153" t="n"/>
      <c r="H581" s="153" t="n"/>
      <c r="I581" s="153" t="n"/>
      <c r="J581" s="153" t="n"/>
      <c r="K581" s="153" t="n"/>
      <c r="L581" s="153" t="n"/>
      <c r="M581" s="153" t="n"/>
      <c r="N581" s="153" t="n"/>
      <c r="O581" s="153" t="n"/>
      <c r="P581" s="153" t="n"/>
      <c r="Q581" s="153" t="n"/>
      <c r="R581" s="153" t="n"/>
      <c r="S581" s="153" t="n"/>
      <c r="T581" s="153" t="n"/>
      <c r="U581" s="153" t="n"/>
      <c r="V581" s="153" t="n"/>
      <c r="W581" s="153" t="n"/>
      <c r="X581" s="153" t="n"/>
      <c r="Y581" s="153" t="n"/>
      <c r="Z581" s="153" t="n"/>
    </row>
    <row r="582" ht="15.75" customHeight="1" s="154">
      <c r="G582" s="153" t="n"/>
      <c r="H582" s="153" t="n"/>
      <c r="I582" s="153" t="n"/>
      <c r="J582" s="153" t="n"/>
      <c r="K582" s="153" t="n"/>
      <c r="L582" s="153" t="n"/>
      <c r="M582" s="153" t="n"/>
      <c r="N582" s="153" t="n"/>
      <c r="O582" s="153" t="n"/>
      <c r="P582" s="153" t="n"/>
      <c r="Q582" s="153" t="n"/>
      <c r="R582" s="153" t="n"/>
      <c r="S582" s="153" t="n"/>
      <c r="T582" s="153" t="n"/>
      <c r="U582" s="153" t="n"/>
      <c r="V582" s="153" t="n"/>
      <c r="W582" s="153" t="n"/>
      <c r="X582" s="153" t="n"/>
      <c r="Y582" s="153" t="n"/>
      <c r="Z582" s="153" t="n"/>
    </row>
    <row r="583" ht="15.75" customHeight="1" s="154">
      <c r="G583" s="153" t="n"/>
      <c r="H583" s="153" t="n"/>
      <c r="I583" s="153" t="n"/>
      <c r="J583" s="153" t="n"/>
      <c r="K583" s="153" t="n"/>
      <c r="L583" s="153" t="n"/>
      <c r="M583" s="153" t="n"/>
      <c r="N583" s="153" t="n"/>
      <c r="O583" s="153" t="n"/>
      <c r="P583" s="153" t="n"/>
      <c r="Q583" s="153" t="n"/>
      <c r="R583" s="153" t="n"/>
      <c r="S583" s="153" t="n"/>
      <c r="T583" s="153" t="n"/>
      <c r="U583" s="153" t="n"/>
      <c r="V583" s="153" t="n"/>
      <c r="W583" s="153" t="n"/>
      <c r="X583" s="153" t="n"/>
      <c r="Y583" s="153" t="n"/>
      <c r="Z583" s="153" t="n"/>
    </row>
    <row r="584" ht="15.75" customHeight="1" s="154">
      <c r="G584" s="153" t="n"/>
      <c r="H584" s="153" t="n"/>
      <c r="I584" s="153" t="n"/>
      <c r="J584" s="153" t="n"/>
      <c r="K584" s="153" t="n"/>
      <c r="L584" s="153" t="n"/>
      <c r="M584" s="153" t="n"/>
      <c r="N584" s="153" t="n"/>
      <c r="O584" s="153" t="n"/>
      <c r="P584" s="153" t="n"/>
      <c r="Q584" s="153" t="n"/>
      <c r="R584" s="153" t="n"/>
      <c r="S584" s="153" t="n"/>
      <c r="T584" s="153" t="n"/>
      <c r="U584" s="153" t="n"/>
      <c r="V584" s="153" t="n"/>
      <c r="W584" s="153" t="n"/>
      <c r="X584" s="153" t="n"/>
      <c r="Y584" s="153" t="n"/>
      <c r="Z584" s="153" t="n"/>
    </row>
    <row r="585" ht="15.75" customHeight="1" s="154">
      <c r="G585" s="153" t="n"/>
      <c r="H585" s="153" t="n"/>
      <c r="I585" s="153" t="n"/>
      <c r="J585" s="153" t="n"/>
      <c r="K585" s="153" t="n"/>
      <c r="L585" s="153" t="n"/>
      <c r="M585" s="153" t="n"/>
      <c r="N585" s="153" t="n"/>
      <c r="O585" s="153" t="n"/>
      <c r="P585" s="153" t="n"/>
      <c r="Q585" s="153" t="n"/>
      <c r="R585" s="153" t="n"/>
      <c r="S585" s="153" t="n"/>
      <c r="T585" s="153" t="n"/>
      <c r="U585" s="153" t="n"/>
      <c r="V585" s="153" t="n"/>
      <c r="W585" s="153" t="n"/>
      <c r="X585" s="153" t="n"/>
      <c r="Y585" s="153" t="n"/>
      <c r="Z585" s="153" t="n"/>
    </row>
    <row r="586" ht="15.75" customHeight="1" s="154">
      <c r="G586" s="153" t="n"/>
      <c r="H586" s="153" t="n"/>
      <c r="I586" s="153" t="n"/>
      <c r="J586" s="153" t="n"/>
      <c r="K586" s="153" t="n"/>
      <c r="L586" s="153" t="n"/>
      <c r="M586" s="153" t="n"/>
      <c r="N586" s="153" t="n"/>
      <c r="O586" s="153" t="n"/>
      <c r="P586" s="153" t="n"/>
      <c r="Q586" s="153" t="n"/>
      <c r="R586" s="153" t="n"/>
      <c r="S586" s="153" t="n"/>
      <c r="T586" s="153" t="n"/>
      <c r="U586" s="153" t="n"/>
      <c r="V586" s="153" t="n"/>
      <c r="W586" s="153" t="n"/>
      <c r="X586" s="153" t="n"/>
      <c r="Y586" s="153" t="n"/>
      <c r="Z586" s="153" t="n"/>
    </row>
    <row r="587" ht="15.75" customHeight="1" s="154">
      <c r="G587" s="153" t="n"/>
      <c r="H587" s="153" t="n"/>
      <c r="I587" s="153" t="n"/>
      <c r="J587" s="153" t="n"/>
      <c r="K587" s="153" t="n"/>
      <c r="L587" s="153" t="n"/>
      <c r="M587" s="153" t="n"/>
      <c r="N587" s="153" t="n"/>
      <c r="O587" s="153" t="n"/>
      <c r="P587" s="153" t="n"/>
      <c r="Q587" s="153" t="n"/>
      <c r="R587" s="153" t="n"/>
      <c r="S587" s="153" t="n"/>
      <c r="T587" s="153" t="n"/>
      <c r="U587" s="153" t="n"/>
      <c r="V587" s="153" t="n"/>
      <c r="W587" s="153" t="n"/>
      <c r="X587" s="153" t="n"/>
      <c r="Y587" s="153" t="n"/>
      <c r="Z587" s="153" t="n"/>
    </row>
    <row r="588" ht="15.75" customHeight="1" s="154">
      <c r="G588" s="153" t="n"/>
      <c r="H588" s="153" t="n"/>
      <c r="I588" s="153" t="n"/>
      <c r="J588" s="153" t="n"/>
      <c r="K588" s="153" t="n"/>
      <c r="L588" s="153" t="n"/>
      <c r="M588" s="153" t="n"/>
      <c r="N588" s="153" t="n"/>
      <c r="O588" s="153" t="n"/>
      <c r="P588" s="153" t="n"/>
      <c r="Q588" s="153" t="n"/>
      <c r="R588" s="153" t="n"/>
      <c r="S588" s="153" t="n"/>
      <c r="T588" s="153" t="n"/>
      <c r="U588" s="153" t="n"/>
      <c r="V588" s="153" t="n"/>
      <c r="W588" s="153" t="n"/>
      <c r="X588" s="153" t="n"/>
      <c r="Y588" s="153" t="n"/>
      <c r="Z588" s="153" t="n"/>
    </row>
    <row r="589" ht="15.75" customHeight="1" s="154">
      <c r="G589" s="153" t="n"/>
      <c r="H589" s="153" t="n"/>
      <c r="I589" s="153" t="n"/>
      <c r="J589" s="153" t="n"/>
      <c r="K589" s="153" t="n"/>
      <c r="L589" s="153" t="n"/>
      <c r="M589" s="153" t="n"/>
      <c r="N589" s="153" t="n"/>
      <c r="O589" s="153" t="n"/>
      <c r="P589" s="153" t="n"/>
      <c r="Q589" s="153" t="n"/>
      <c r="R589" s="153" t="n"/>
      <c r="S589" s="153" t="n"/>
      <c r="T589" s="153" t="n"/>
      <c r="U589" s="153" t="n"/>
      <c r="V589" s="153" t="n"/>
      <c r="W589" s="153" t="n"/>
      <c r="X589" s="153" t="n"/>
      <c r="Y589" s="153" t="n"/>
      <c r="Z589" s="153" t="n"/>
    </row>
    <row r="590" ht="15.75" customHeight="1" s="154">
      <c r="G590" s="153" t="n"/>
      <c r="H590" s="153" t="n"/>
      <c r="I590" s="153" t="n"/>
      <c r="J590" s="153" t="n"/>
      <c r="K590" s="153" t="n"/>
      <c r="L590" s="153" t="n"/>
      <c r="M590" s="153" t="n"/>
      <c r="N590" s="153" t="n"/>
      <c r="O590" s="153" t="n"/>
      <c r="P590" s="153" t="n"/>
      <c r="Q590" s="153" t="n"/>
      <c r="R590" s="153" t="n"/>
      <c r="S590" s="153" t="n"/>
      <c r="T590" s="153" t="n"/>
      <c r="U590" s="153" t="n"/>
      <c r="V590" s="153" t="n"/>
      <c r="W590" s="153" t="n"/>
      <c r="X590" s="153" t="n"/>
      <c r="Y590" s="153" t="n"/>
      <c r="Z590" s="153" t="n"/>
    </row>
    <row r="591" ht="15.75" customHeight="1" s="154">
      <c r="G591" s="153" t="n"/>
      <c r="H591" s="153" t="n"/>
      <c r="I591" s="153" t="n"/>
      <c r="J591" s="153" t="n"/>
      <c r="K591" s="153" t="n"/>
      <c r="L591" s="153" t="n"/>
      <c r="M591" s="153" t="n"/>
      <c r="N591" s="153" t="n"/>
      <c r="O591" s="153" t="n"/>
      <c r="P591" s="153" t="n"/>
      <c r="Q591" s="153" t="n"/>
      <c r="R591" s="153" t="n"/>
      <c r="S591" s="153" t="n"/>
      <c r="T591" s="153" t="n"/>
      <c r="U591" s="153" t="n"/>
      <c r="V591" s="153" t="n"/>
      <c r="W591" s="153" t="n"/>
      <c r="X591" s="153" t="n"/>
      <c r="Y591" s="153" t="n"/>
      <c r="Z591" s="153" t="n"/>
    </row>
    <row r="592" ht="15.75" customHeight="1" s="154">
      <c r="G592" s="153" t="n"/>
      <c r="H592" s="153" t="n"/>
      <c r="I592" s="153" t="n"/>
      <c r="J592" s="153" t="n"/>
      <c r="K592" s="153" t="n"/>
      <c r="L592" s="153" t="n"/>
      <c r="M592" s="153" t="n"/>
      <c r="N592" s="153" t="n"/>
      <c r="O592" s="153" t="n"/>
      <c r="P592" s="153" t="n"/>
      <c r="Q592" s="153" t="n"/>
      <c r="R592" s="153" t="n"/>
      <c r="S592" s="153" t="n"/>
      <c r="T592" s="153" t="n"/>
      <c r="U592" s="153" t="n"/>
      <c r="V592" s="153" t="n"/>
      <c r="W592" s="153" t="n"/>
      <c r="X592" s="153" t="n"/>
      <c r="Y592" s="153" t="n"/>
      <c r="Z592" s="153" t="n"/>
    </row>
    <row r="593" ht="15.75" customHeight="1" s="154">
      <c r="G593" s="153" t="n"/>
      <c r="H593" s="153" t="n"/>
      <c r="I593" s="153" t="n"/>
      <c r="J593" s="153" t="n"/>
      <c r="K593" s="153" t="n"/>
      <c r="L593" s="153" t="n"/>
      <c r="M593" s="153" t="n"/>
      <c r="N593" s="153" t="n"/>
      <c r="O593" s="153" t="n"/>
      <c r="P593" s="153" t="n"/>
      <c r="Q593" s="153" t="n"/>
      <c r="R593" s="153" t="n"/>
      <c r="S593" s="153" t="n"/>
      <c r="T593" s="153" t="n"/>
      <c r="U593" s="153" t="n"/>
      <c r="V593" s="153" t="n"/>
      <c r="W593" s="153" t="n"/>
      <c r="X593" s="153" t="n"/>
      <c r="Y593" s="153" t="n"/>
      <c r="Z593" s="153" t="n"/>
    </row>
    <row r="594" ht="15.75" customHeight="1" s="154">
      <c r="G594" s="153" t="n"/>
      <c r="H594" s="153" t="n"/>
      <c r="I594" s="153" t="n"/>
      <c r="J594" s="153" t="n"/>
      <c r="K594" s="153" t="n"/>
      <c r="L594" s="153" t="n"/>
      <c r="M594" s="153" t="n"/>
      <c r="N594" s="153" t="n"/>
      <c r="O594" s="153" t="n"/>
      <c r="P594" s="153" t="n"/>
      <c r="Q594" s="153" t="n"/>
      <c r="R594" s="153" t="n"/>
      <c r="S594" s="153" t="n"/>
      <c r="T594" s="153" t="n"/>
      <c r="U594" s="153" t="n"/>
      <c r="V594" s="153" t="n"/>
      <c r="W594" s="153" t="n"/>
      <c r="X594" s="153" t="n"/>
      <c r="Y594" s="153" t="n"/>
      <c r="Z594" s="153" t="n"/>
    </row>
    <row r="595" ht="15.75" customHeight="1" s="154">
      <c r="G595" s="153" t="n"/>
      <c r="H595" s="153" t="n"/>
      <c r="I595" s="153" t="n"/>
      <c r="J595" s="153" t="n"/>
      <c r="K595" s="153" t="n"/>
      <c r="L595" s="153" t="n"/>
      <c r="M595" s="153" t="n"/>
      <c r="N595" s="153" t="n"/>
      <c r="O595" s="153" t="n"/>
      <c r="P595" s="153" t="n"/>
      <c r="Q595" s="153" t="n"/>
      <c r="R595" s="153" t="n"/>
      <c r="S595" s="153" t="n"/>
      <c r="T595" s="153" t="n"/>
      <c r="U595" s="153" t="n"/>
      <c r="V595" s="153" t="n"/>
      <c r="W595" s="153" t="n"/>
      <c r="X595" s="153" t="n"/>
      <c r="Y595" s="153" t="n"/>
      <c r="Z595" s="153" t="n"/>
    </row>
    <row r="596" ht="15.75" customHeight="1" s="154">
      <c r="G596" s="153" t="n"/>
      <c r="H596" s="153" t="n"/>
      <c r="I596" s="153" t="n"/>
      <c r="J596" s="153" t="n"/>
      <c r="K596" s="153" t="n"/>
      <c r="L596" s="153" t="n"/>
      <c r="M596" s="153" t="n"/>
      <c r="N596" s="153" t="n"/>
      <c r="O596" s="153" t="n"/>
      <c r="P596" s="153" t="n"/>
      <c r="Q596" s="153" t="n"/>
      <c r="R596" s="153" t="n"/>
      <c r="S596" s="153" t="n"/>
      <c r="T596" s="153" t="n"/>
      <c r="U596" s="153" t="n"/>
      <c r="V596" s="153" t="n"/>
      <c r="W596" s="153" t="n"/>
      <c r="X596" s="153" t="n"/>
      <c r="Y596" s="153" t="n"/>
      <c r="Z596" s="153" t="n"/>
    </row>
    <row r="597" ht="15.75" customHeight="1" s="154">
      <c r="G597" s="153" t="n"/>
      <c r="H597" s="153" t="n"/>
      <c r="I597" s="153" t="n"/>
      <c r="J597" s="153" t="n"/>
      <c r="K597" s="153" t="n"/>
      <c r="L597" s="153" t="n"/>
      <c r="M597" s="153" t="n"/>
      <c r="N597" s="153" t="n"/>
      <c r="O597" s="153" t="n"/>
      <c r="P597" s="153" t="n"/>
      <c r="Q597" s="153" t="n"/>
      <c r="R597" s="153" t="n"/>
      <c r="S597" s="153" t="n"/>
      <c r="T597" s="153" t="n"/>
      <c r="U597" s="153" t="n"/>
      <c r="V597" s="153" t="n"/>
      <c r="W597" s="153" t="n"/>
      <c r="X597" s="153" t="n"/>
      <c r="Y597" s="153" t="n"/>
      <c r="Z597" s="153" t="n"/>
    </row>
    <row r="598" ht="15.75" customHeight="1" s="154">
      <c r="G598" s="153" t="n"/>
      <c r="H598" s="153" t="n"/>
      <c r="I598" s="153" t="n"/>
      <c r="J598" s="153" t="n"/>
      <c r="K598" s="153" t="n"/>
      <c r="L598" s="153" t="n"/>
      <c r="M598" s="153" t="n"/>
      <c r="N598" s="153" t="n"/>
      <c r="O598" s="153" t="n"/>
      <c r="P598" s="153" t="n"/>
      <c r="Q598" s="153" t="n"/>
      <c r="R598" s="153" t="n"/>
      <c r="S598" s="153" t="n"/>
      <c r="T598" s="153" t="n"/>
      <c r="U598" s="153" t="n"/>
      <c r="V598" s="153" t="n"/>
      <c r="W598" s="153" t="n"/>
      <c r="X598" s="153" t="n"/>
      <c r="Y598" s="153" t="n"/>
      <c r="Z598" s="153" t="n"/>
    </row>
    <row r="599" ht="15.75" customHeight="1" s="154">
      <c r="G599" s="153" t="n"/>
      <c r="H599" s="153" t="n"/>
      <c r="I599" s="153" t="n"/>
      <c r="J599" s="153" t="n"/>
      <c r="K599" s="153" t="n"/>
      <c r="L599" s="153" t="n"/>
      <c r="M599" s="153" t="n"/>
      <c r="N599" s="153" t="n"/>
      <c r="O599" s="153" t="n"/>
      <c r="P599" s="153" t="n"/>
      <c r="Q599" s="153" t="n"/>
      <c r="R599" s="153" t="n"/>
      <c r="S599" s="153" t="n"/>
      <c r="T599" s="153" t="n"/>
      <c r="U599" s="153" t="n"/>
      <c r="V599" s="153" t="n"/>
      <c r="W599" s="153" t="n"/>
      <c r="X599" s="153" t="n"/>
      <c r="Y599" s="153" t="n"/>
      <c r="Z599" s="153" t="n"/>
    </row>
    <row r="600" ht="15.75" customHeight="1" s="154">
      <c r="G600" s="153" t="n"/>
      <c r="H600" s="153" t="n"/>
      <c r="I600" s="153" t="n"/>
      <c r="J600" s="153" t="n"/>
      <c r="K600" s="153" t="n"/>
      <c r="L600" s="153" t="n"/>
      <c r="M600" s="153" t="n"/>
      <c r="N600" s="153" t="n"/>
      <c r="O600" s="153" t="n"/>
      <c r="P600" s="153" t="n"/>
      <c r="Q600" s="153" t="n"/>
      <c r="R600" s="153" t="n"/>
      <c r="S600" s="153" t="n"/>
      <c r="T600" s="153" t="n"/>
      <c r="U600" s="153" t="n"/>
      <c r="V600" s="153" t="n"/>
      <c r="W600" s="153" t="n"/>
      <c r="X600" s="153" t="n"/>
      <c r="Y600" s="153" t="n"/>
      <c r="Z600" s="153" t="n"/>
    </row>
    <row r="601" ht="15.75" customHeight="1" s="154">
      <c r="G601" s="153" t="n"/>
      <c r="H601" s="153" t="n"/>
      <c r="I601" s="153" t="n"/>
      <c r="J601" s="153" t="n"/>
      <c r="K601" s="153" t="n"/>
      <c r="L601" s="153" t="n"/>
      <c r="M601" s="153" t="n"/>
      <c r="N601" s="153" t="n"/>
      <c r="O601" s="153" t="n"/>
      <c r="P601" s="153" t="n"/>
      <c r="Q601" s="153" t="n"/>
      <c r="R601" s="153" t="n"/>
      <c r="S601" s="153" t="n"/>
      <c r="T601" s="153" t="n"/>
      <c r="U601" s="153" t="n"/>
      <c r="V601" s="153" t="n"/>
      <c r="W601" s="153" t="n"/>
      <c r="X601" s="153" t="n"/>
      <c r="Y601" s="153" t="n"/>
      <c r="Z601" s="153" t="n"/>
    </row>
    <row r="602" ht="15.75" customHeight="1" s="154">
      <c r="G602" s="153" t="n"/>
      <c r="H602" s="153" t="n"/>
      <c r="I602" s="153" t="n"/>
      <c r="J602" s="153" t="n"/>
      <c r="K602" s="153" t="n"/>
      <c r="L602" s="153" t="n"/>
      <c r="M602" s="153" t="n"/>
      <c r="N602" s="153" t="n"/>
      <c r="O602" s="153" t="n"/>
      <c r="P602" s="153" t="n"/>
      <c r="Q602" s="153" t="n"/>
      <c r="R602" s="153" t="n"/>
      <c r="S602" s="153" t="n"/>
      <c r="T602" s="153" t="n"/>
      <c r="U602" s="153" t="n"/>
      <c r="V602" s="153" t="n"/>
      <c r="W602" s="153" t="n"/>
      <c r="X602" s="153" t="n"/>
      <c r="Y602" s="153" t="n"/>
      <c r="Z602" s="153" t="n"/>
    </row>
    <row r="603" ht="15.75" customHeight="1" s="154">
      <c r="G603" s="153" t="n"/>
      <c r="H603" s="153" t="n"/>
      <c r="I603" s="153" t="n"/>
      <c r="J603" s="153" t="n"/>
      <c r="K603" s="153" t="n"/>
      <c r="L603" s="153" t="n"/>
      <c r="M603" s="153" t="n"/>
      <c r="N603" s="153" t="n"/>
      <c r="O603" s="153" t="n"/>
      <c r="P603" s="153" t="n"/>
      <c r="Q603" s="153" t="n"/>
      <c r="R603" s="153" t="n"/>
      <c r="S603" s="153" t="n"/>
      <c r="T603" s="153" t="n"/>
      <c r="U603" s="153" t="n"/>
      <c r="V603" s="153" t="n"/>
      <c r="W603" s="153" t="n"/>
      <c r="X603" s="153" t="n"/>
      <c r="Y603" s="153" t="n"/>
      <c r="Z603" s="153" t="n"/>
    </row>
    <row r="604" ht="15.75" customHeight="1" s="154">
      <c r="G604" s="153" t="n"/>
      <c r="H604" s="153" t="n"/>
      <c r="I604" s="153" t="n"/>
      <c r="J604" s="153" t="n"/>
      <c r="K604" s="153" t="n"/>
      <c r="L604" s="153" t="n"/>
      <c r="M604" s="153" t="n"/>
      <c r="N604" s="153" t="n"/>
      <c r="O604" s="153" t="n"/>
      <c r="P604" s="153" t="n"/>
      <c r="Q604" s="153" t="n"/>
      <c r="R604" s="153" t="n"/>
      <c r="S604" s="153" t="n"/>
      <c r="T604" s="153" t="n"/>
      <c r="U604" s="153" t="n"/>
      <c r="V604" s="153" t="n"/>
      <c r="W604" s="153" t="n"/>
      <c r="X604" s="153" t="n"/>
      <c r="Y604" s="153" t="n"/>
      <c r="Z604" s="153" t="n"/>
    </row>
    <row r="605" ht="15.75" customHeight="1" s="154">
      <c r="G605" s="153" t="n"/>
      <c r="H605" s="153" t="n"/>
      <c r="I605" s="153" t="n"/>
      <c r="J605" s="153" t="n"/>
      <c r="K605" s="153" t="n"/>
      <c r="L605" s="153" t="n"/>
      <c r="M605" s="153" t="n"/>
      <c r="N605" s="153" t="n"/>
      <c r="O605" s="153" t="n"/>
      <c r="P605" s="153" t="n"/>
      <c r="Q605" s="153" t="n"/>
      <c r="R605" s="153" t="n"/>
      <c r="S605" s="153" t="n"/>
      <c r="T605" s="153" t="n"/>
      <c r="U605" s="153" t="n"/>
      <c r="V605" s="153" t="n"/>
      <c r="W605" s="153" t="n"/>
      <c r="X605" s="153" t="n"/>
      <c r="Y605" s="153" t="n"/>
      <c r="Z605" s="153" t="n"/>
    </row>
    <row r="606" ht="15.75" customHeight="1" s="154">
      <c r="G606" s="153" t="n"/>
      <c r="H606" s="153" t="n"/>
      <c r="I606" s="153" t="n"/>
      <c r="J606" s="153" t="n"/>
      <c r="K606" s="153" t="n"/>
      <c r="L606" s="153" t="n"/>
      <c r="M606" s="153" t="n"/>
      <c r="N606" s="153" t="n"/>
      <c r="O606" s="153" t="n"/>
      <c r="P606" s="153" t="n"/>
      <c r="Q606" s="153" t="n"/>
      <c r="R606" s="153" t="n"/>
      <c r="S606" s="153" t="n"/>
      <c r="T606" s="153" t="n"/>
      <c r="U606" s="153" t="n"/>
      <c r="V606" s="153" t="n"/>
      <c r="W606" s="153" t="n"/>
      <c r="X606" s="153" t="n"/>
      <c r="Y606" s="153" t="n"/>
      <c r="Z606" s="153" t="n"/>
    </row>
    <row r="607" ht="15.75" customHeight="1" s="154">
      <c r="G607" s="153" t="n"/>
      <c r="H607" s="153" t="n"/>
      <c r="I607" s="153" t="n"/>
      <c r="J607" s="153" t="n"/>
      <c r="K607" s="153" t="n"/>
      <c r="L607" s="153" t="n"/>
      <c r="M607" s="153" t="n"/>
      <c r="N607" s="153" t="n"/>
      <c r="O607" s="153" t="n"/>
      <c r="P607" s="153" t="n"/>
      <c r="Q607" s="153" t="n"/>
      <c r="R607" s="153" t="n"/>
      <c r="S607" s="153" t="n"/>
      <c r="T607" s="153" t="n"/>
      <c r="U607" s="153" t="n"/>
      <c r="V607" s="153" t="n"/>
      <c r="W607" s="153" t="n"/>
      <c r="X607" s="153" t="n"/>
      <c r="Y607" s="153" t="n"/>
      <c r="Z607" s="153" t="n"/>
    </row>
    <row r="608" ht="15.75" customHeight="1" s="154">
      <c r="G608" s="153" t="n"/>
      <c r="H608" s="153" t="n"/>
      <c r="I608" s="153" t="n"/>
      <c r="J608" s="153" t="n"/>
      <c r="K608" s="153" t="n"/>
      <c r="L608" s="153" t="n"/>
      <c r="M608" s="153" t="n"/>
      <c r="N608" s="153" t="n"/>
      <c r="O608" s="153" t="n"/>
      <c r="P608" s="153" t="n"/>
      <c r="Q608" s="153" t="n"/>
      <c r="R608" s="153" t="n"/>
      <c r="S608" s="153" t="n"/>
      <c r="T608" s="153" t="n"/>
      <c r="U608" s="153" t="n"/>
      <c r="V608" s="153" t="n"/>
      <c r="W608" s="153" t="n"/>
      <c r="X608" s="153" t="n"/>
      <c r="Y608" s="153" t="n"/>
      <c r="Z608" s="153" t="n"/>
    </row>
    <row r="609" ht="15.75" customHeight="1" s="154">
      <c r="G609" s="153" t="n"/>
      <c r="H609" s="153" t="n"/>
      <c r="I609" s="153" t="n"/>
      <c r="J609" s="153" t="n"/>
      <c r="K609" s="153" t="n"/>
      <c r="L609" s="153" t="n"/>
      <c r="M609" s="153" t="n"/>
      <c r="N609" s="153" t="n"/>
      <c r="O609" s="153" t="n"/>
      <c r="P609" s="153" t="n"/>
      <c r="Q609" s="153" t="n"/>
      <c r="R609" s="153" t="n"/>
      <c r="S609" s="153" t="n"/>
      <c r="T609" s="153" t="n"/>
      <c r="U609" s="153" t="n"/>
      <c r="V609" s="153" t="n"/>
      <c r="W609" s="153" t="n"/>
      <c r="X609" s="153" t="n"/>
      <c r="Y609" s="153" t="n"/>
      <c r="Z609" s="153" t="n"/>
    </row>
    <row r="610" ht="15.75" customHeight="1" s="154">
      <c r="G610" s="153" t="n"/>
      <c r="H610" s="153" t="n"/>
      <c r="I610" s="153" t="n"/>
      <c r="J610" s="153" t="n"/>
      <c r="K610" s="153" t="n"/>
      <c r="L610" s="153" t="n"/>
      <c r="M610" s="153" t="n"/>
      <c r="N610" s="153" t="n"/>
      <c r="O610" s="153" t="n"/>
      <c r="P610" s="153" t="n"/>
      <c r="Q610" s="153" t="n"/>
      <c r="R610" s="153" t="n"/>
      <c r="S610" s="153" t="n"/>
      <c r="T610" s="153" t="n"/>
      <c r="U610" s="153" t="n"/>
      <c r="V610" s="153" t="n"/>
      <c r="W610" s="153" t="n"/>
      <c r="X610" s="153" t="n"/>
      <c r="Y610" s="153" t="n"/>
      <c r="Z610" s="153" t="n"/>
    </row>
    <row r="611" ht="15.75" customHeight="1" s="154">
      <c r="G611" s="153" t="n"/>
      <c r="H611" s="153" t="n"/>
      <c r="I611" s="153" t="n"/>
      <c r="J611" s="153" t="n"/>
      <c r="K611" s="153" t="n"/>
      <c r="L611" s="153" t="n"/>
      <c r="M611" s="153" t="n"/>
      <c r="N611" s="153" t="n"/>
      <c r="O611" s="153" t="n"/>
      <c r="P611" s="153" t="n"/>
      <c r="Q611" s="153" t="n"/>
      <c r="R611" s="153" t="n"/>
      <c r="S611" s="153" t="n"/>
      <c r="T611" s="153" t="n"/>
      <c r="U611" s="153" t="n"/>
      <c r="V611" s="153" t="n"/>
      <c r="W611" s="153" t="n"/>
      <c r="X611" s="153" t="n"/>
      <c r="Y611" s="153" t="n"/>
      <c r="Z611" s="153" t="n"/>
    </row>
    <row r="612" ht="15.75" customHeight="1" s="154">
      <c r="G612" s="153" t="n"/>
      <c r="H612" s="153" t="n"/>
      <c r="I612" s="153" t="n"/>
      <c r="J612" s="153" t="n"/>
      <c r="K612" s="153" t="n"/>
      <c r="L612" s="153" t="n"/>
      <c r="M612" s="153" t="n"/>
      <c r="N612" s="153" t="n"/>
      <c r="O612" s="153" t="n"/>
      <c r="P612" s="153" t="n"/>
      <c r="Q612" s="153" t="n"/>
      <c r="R612" s="153" t="n"/>
      <c r="S612" s="153" t="n"/>
      <c r="T612" s="153" t="n"/>
      <c r="U612" s="153" t="n"/>
      <c r="V612" s="153" t="n"/>
      <c r="W612" s="153" t="n"/>
      <c r="X612" s="153" t="n"/>
      <c r="Y612" s="153" t="n"/>
      <c r="Z612" s="153" t="n"/>
    </row>
    <row r="613" ht="15.75" customHeight="1" s="154">
      <c r="G613" s="153" t="n"/>
      <c r="H613" s="153" t="n"/>
      <c r="I613" s="153" t="n"/>
      <c r="J613" s="153" t="n"/>
      <c r="K613" s="153" t="n"/>
      <c r="L613" s="153" t="n"/>
      <c r="M613" s="153" t="n"/>
      <c r="N613" s="153" t="n"/>
      <c r="O613" s="153" t="n"/>
      <c r="P613" s="153" t="n"/>
      <c r="Q613" s="153" t="n"/>
      <c r="R613" s="153" t="n"/>
      <c r="S613" s="153" t="n"/>
      <c r="T613" s="153" t="n"/>
      <c r="U613" s="153" t="n"/>
      <c r="V613" s="153" t="n"/>
      <c r="W613" s="153" t="n"/>
      <c r="X613" s="153" t="n"/>
      <c r="Y613" s="153" t="n"/>
      <c r="Z613" s="153" t="n"/>
    </row>
    <row r="614" ht="15.75" customHeight="1" s="154">
      <c r="G614" s="153" t="n"/>
      <c r="H614" s="153" t="n"/>
      <c r="I614" s="153" t="n"/>
      <c r="J614" s="153" t="n"/>
      <c r="K614" s="153" t="n"/>
      <c r="L614" s="153" t="n"/>
      <c r="M614" s="153" t="n"/>
      <c r="N614" s="153" t="n"/>
      <c r="O614" s="153" t="n"/>
      <c r="P614" s="153" t="n"/>
      <c r="Q614" s="153" t="n"/>
      <c r="R614" s="153" t="n"/>
      <c r="S614" s="153" t="n"/>
      <c r="T614" s="153" t="n"/>
      <c r="U614" s="153" t="n"/>
      <c r="V614" s="153" t="n"/>
      <c r="W614" s="153" t="n"/>
      <c r="X614" s="153" t="n"/>
      <c r="Y614" s="153" t="n"/>
      <c r="Z614" s="153" t="n"/>
    </row>
    <row r="615" ht="15.75" customHeight="1" s="154">
      <c r="G615" s="153" t="n"/>
      <c r="H615" s="153" t="n"/>
      <c r="I615" s="153" t="n"/>
      <c r="J615" s="153" t="n"/>
      <c r="K615" s="153" t="n"/>
      <c r="L615" s="153" t="n"/>
      <c r="M615" s="153" t="n"/>
      <c r="N615" s="153" t="n"/>
      <c r="O615" s="153" t="n"/>
      <c r="P615" s="153" t="n"/>
      <c r="Q615" s="153" t="n"/>
      <c r="R615" s="153" t="n"/>
      <c r="S615" s="153" t="n"/>
      <c r="T615" s="153" t="n"/>
      <c r="U615" s="153" t="n"/>
      <c r="V615" s="153" t="n"/>
      <c r="W615" s="153" t="n"/>
      <c r="X615" s="153" t="n"/>
      <c r="Y615" s="153" t="n"/>
      <c r="Z615" s="153" t="n"/>
    </row>
    <row r="616" ht="15.75" customHeight="1" s="154">
      <c r="G616" s="153" t="n"/>
      <c r="H616" s="153" t="n"/>
      <c r="I616" s="153" t="n"/>
      <c r="J616" s="153" t="n"/>
      <c r="K616" s="153" t="n"/>
      <c r="L616" s="153" t="n"/>
      <c r="M616" s="153" t="n"/>
      <c r="N616" s="153" t="n"/>
      <c r="O616" s="153" t="n"/>
      <c r="P616" s="153" t="n"/>
      <c r="Q616" s="153" t="n"/>
      <c r="R616" s="153" t="n"/>
      <c r="S616" s="153" t="n"/>
      <c r="T616" s="153" t="n"/>
      <c r="U616" s="153" t="n"/>
      <c r="V616" s="153" t="n"/>
      <c r="W616" s="153" t="n"/>
      <c r="X616" s="153" t="n"/>
      <c r="Y616" s="153" t="n"/>
      <c r="Z616" s="153" t="n"/>
    </row>
    <row r="617" ht="15.75" customHeight="1" s="154">
      <c r="G617" s="153" t="n"/>
      <c r="H617" s="153" t="n"/>
      <c r="I617" s="153" t="n"/>
      <c r="J617" s="153" t="n"/>
      <c r="K617" s="153" t="n"/>
      <c r="L617" s="153" t="n"/>
      <c r="M617" s="153" t="n"/>
      <c r="N617" s="153" t="n"/>
      <c r="O617" s="153" t="n"/>
      <c r="P617" s="153" t="n"/>
      <c r="Q617" s="153" t="n"/>
      <c r="R617" s="153" t="n"/>
      <c r="S617" s="153" t="n"/>
      <c r="T617" s="153" t="n"/>
      <c r="U617" s="153" t="n"/>
      <c r="V617" s="153" t="n"/>
      <c r="W617" s="153" t="n"/>
      <c r="X617" s="153" t="n"/>
      <c r="Y617" s="153" t="n"/>
      <c r="Z617" s="153" t="n"/>
    </row>
    <row r="618" ht="15.75" customHeight="1" s="154">
      <c r="G618" s="153" t="n"/>
      <c r="H618" s="153" t="n"/>
      <c r="I618" s="153" t="n"/>
      <c r="J618" s="153" t="n"/>
      <c r="K618" s="153" t="n"/>
      <c r="L618" s="153" t="n"/>
      <c r="M618" s="153" t="n"/>
      <c r="N618" s="153" t="n"/>
      <c r="O618" s="153" t="n"/>
      <c r="P618" s="153" t="n"/>
      <c r="Q618" s="153" t="n"/>
      <c r="R618" s="153" t="n"/>
      <c r="S618" s="153" t="n"/>
      <c r="T618" s="153" t="n"/>
      <c r="U618" s="153" t="n"/>
      <c r="V618" s="153" t="n"/>
      <c r="W618" s="153" t="n"/>
      <c r="X618" s="153" t="n"/>
      <c r="Y618" s="153" t="n"/>
      <c r="Z618" s="153" t="n"/>
    </row>
    <row r="619" ht="15.75" customHeight="1" s="154">
      <c r="G619" s="153" t="n"/>
      <c r="H619" s="153" t="n"/>
      <c r="I619" s="153" t="n"/>
      <c r="J619" s="153" t="n"/>
      <c r="K619" s="153" t="n"/>
      <c r="L619" s="153" t="n"/>
      <c r="M619" s="153" t="n"/>
      <c r="N619" s="153" t="n"/>
      <c r="O619" s="153" t="n"/>
      <c r="P619" s="153" t="n"/>
      <c r="Q619" s="153" t="n"/>
      <c r="R619" s="153" t="n"/>
      <c r="S619" s="153" t="n"/>
      <c r="T619" s="153" t="n"/>
      <c r="U619" s="153" t="n"/>
      <c r="V619" s="153" t="n"/>
      <c r="W619" s="153" t="n"/>
      <c r="X619" s="153" t="n"/>
      <c r="Y619" s="153" t="n"/>
      <c r="Z619" s="153" t="n"/>
    </row>
    <row r="620" ht="15.75" customHeight="1" s="154">
      <c r="G620" s="153" t="n"/>
      <c r="H620" s="153" t="n"/>
      <c r="I620" s="153" t="n"/>
      <c r="J620" s="153" t="n"/>
      <c r="K620" s="153" t="n"/>
      <c r="L620" s="153" t="n"/>
      <c r="M620" s="153" t="n"/>
      <c r="N620" s="153" t="n"/>
      <c r="O620" s="153" t="n"/>
      <c r="P620" s="153" t="n"/>
      <c r="Q620" s="153" t="n"/>
      <c r="R620" s="153" t="n"/>
      <c r="S620" s="153" t="n"/>
      <c r="T620" s="153" t="n"/>
      <c r="U620" s="153" t="n"/>
      <c r="V620" s="153" t="n"/>
      <c r="W620" s="153" t="n"/>
      <c r="X620" s="153" t="n"/>
      <c r="Y620" s="153" t="n"/>
      <c r="Z620" s="153" t="n"/>
    </row>
    <row r="621" ht="15.75" customHeight="1" s="154">
      <c r="G621" s="153" t="n"/>
      <c r="H621" s="153" t="n"/>
      <c r="I621" s="153" t="n"/>
      <c r="J621" s="153" t="n"/>
      <c r="K621" s="153" t="n"/>
      <c r="L621" s="153" t="n"/>
      <c r="M621" s="153" t="n"/>
      <c r="N621" s="153" t="n"/>
      <c r="O621" s="153" t="n"/>
      <c r="P621" s="153" t="n"/>
      <c r="Q621" s="153" t="n"/>
      <c r="R621" s="153" t="n"/>
      <c r="S621" s="153" t="n"/>
      <c r="T621" s="153" t="n"/>
      <c r="U621" s="153" t="n"/>
      <c r="V621" s="153" t="n"/>
      <c r="W621" s="153" t="n"/>
      <c r="X621" s="153" t="n"/>
      <c r="Y621" s="153" t="n"/>
      <c r="Z621" s="153" t="n"/>
    </row>
    <row r="622" ht="15.75" customHeight="1" s="154">
      <c r="G622" s="153" t="n"/>
      <c r="H622" s="153" t="n"/>
      <c r="I622" s="153" t="n"/>
      <c r="J622" s="153" t="n"/>
      <c r="K622" s="153" t="n"/>
      <c r="L622" s="153" t="n"/>
      <c r="M622" s="153" t="n"/>
      <c r="N622" s="153" t="n"/>
      <c r="O622" s="153" t="n"/>
      <c r="P622" s="153" t="n"/>
      <c r="Q622" s="153" t="n"/>
      <c r="R622" s="153" t="n"/>
      <c r="S622" s="153" t="n"/>
      <c r="T622" s="153" t="n"/>
      <c r="U622" s="153" t="n"/>
      <c r="V622" s="153" t="n"/>
      <c r="W622" s="153" t="n"/>
      <c r="X622" s="153" t="n"/>
      <c r="Y622" s="153" t="n"/>
      <c r="Z622" s="153" t="n"/>
    </row>
    <row r="623" ht="15.75" customHeight="1" s="154">
      <c r="G623" s="153" t="n"/>
      <c r="H623" s="153" t="n"/>
      <c r="I623" s="153" t="n"/>
      <c r="J623" s="153" t="n"/>
      <c r="K623" s="153" t="n"/>
      <c r="L623" s="153" t="n"/>
      <c r="M623" s="153" t="n"/>
      <c r="N623" s="153" t="n"/>
      <c r="O623" s="153" t="n"/>
      <c r="P623" s="153" t="n"/>
      <c r="Q623" s="153" t="n"/>
      <c r="R623" s="153" t="n"/>
      <c r="S623" s="153" t="n"/>
      <c r="T623" s="153" t="n"/>
      <c r="U623" s="153" t="n"/>
      <c r="V623" s="153" t="n"/>
      <c r="W623" s="153" t="n"/>
      <c r="X623" s="153" t="n"/>
      <c r="Y623" s="153" t="n"/>
      <c r="Z623" s="153" t="n"/>
    </row>
    <row r="624" ht="15.75" customHeight="1" s="154">
      <c r="G624" s="153" t="n"/>
      <c r="H624" s="153" t="n"/>
      <c r="I624" s="153" t="n"/>
      <c r="J624" s="153" t="n"/>
      <c r="K624" s="153" t="n"/>
      <c r="L624" s="153" t="n"/>
      <c r="M624" s="153" t="n"/>
      <c r="N624" s="153" t="n"/>
      <c r="O624" s="153" t="n"/>
      <c r="P624" s="153" t="n"/>
      <c r="Q624" s="153" t="n"/>
      <c r="R624" s="153" t="n"/>
      <c r="S624" s="153" t="n"/>
      <c r="T624" s="153" t="n"/>
      <c r="U624" s="153" t="n"/>
      <c r="V624" s="153" t="n"/>
      <c r="W624" s="153" t="n"/>
      <c r="X624" s="153" t="n"/>
      <c r="Y624" s="153" t="n"/>
      <c r="Z624" s="153" t="n"/>
    </row>
    <row r="625" ht="15.75" customHeight="1" s="154">
      <c r="G625" s="153" t="n"/>
      <c r="H625" s="153" t="n"/>
      <c r="I625" s="153" t="n"/>
      <c r="J625" s="153" t="n"/>
      <c r="K625" s="153" t="n"/>
      <c r="L625" s="153" t="n"/>
      <c r="M625" s="153" t="n"/>
      <c r="N625" s="153" t="n"/>
      <c r="O625" s="153" t="n"/>
      <c r="P625" s="153" t="n"/>
      <c r="Q625" s="153" t="n"/>
      <c r="R625" s="153" t="n"/>
      <c r="S625" s="153" t="n"/>
      <c r="T625" s="153" t="n"/>
      <c r="U625" s="153" t="n"/>
      <c r="V625" s="153" t="n"/>
      <c r="W625" s="153" t="n"/>
      <c r="X625" s="153" t="n"/>
      <c r="Y625" s="153" t="n"/>
      <c r="Z625" s="153" t="n"/>
    </row>
    <row r="626" ht="15.75" customHeight="1" s="154">
      <c r="G626" s="153" t="n"/>
      <c r="H626" s="153" t="n"/>
      <c r="I626" s="153" t="n"/>
      <c r="J626" s="153" t="n"/>
      <c r="K626" s="153" t="n"/>
      <c r="L626" s="153" t="n"/>
      <c r="M626" s="153" t="n"/>
      <c r="N626" s="153" t="n"/>
      <c r="O626" s="153" t="n"/>
      <c r="P626" s="153" t="n"/>
      <c r="Q626" s="153" t="n"/>
      <c r="R626" s="153" t="n"/>
      <c r="S626" s="153" t="n"/>
      <c r="T626" s="153" t="n"/>
      <c r="U626" s="153" t="n"/>
      <c r="V626" s="153" t="n"/>
      <c r="W626" s="153" t="n"/>
      <c r="X626" s="153" t="n"/>
      <c r="Y626" s="153" t="n"/>
      <c r="Z626" s="153" t="n"/>
    </row>
    <row r="627" ht="15.75" customHeight="1" s="154">
      <c r="G627" s="153" t="n"/>
      <c r="H627" s="153" t="n"/>
      <c r="I627" s="153" t="n"/>
      <c r="J627" s="153" t="n"/>
      <c r="K627" s="153" t="n"/>
      <c r="L627" s="153" t="n"/>
      <c r="M627" s="153" t="n"/>
      <c r="N627" s="153" t="n"/>
      <c r="O627" s="153" t="n"/>
      <c r="P627" s="153" t="n"/>
      <c r="Q627" s="153" t="n"/>
      <c r="R627" s="153" t="n"/>
      <c r="S627" s="153" t="n"/>
      <c r="T627" s="153" t="n"/>
      <c r="U627" s="153" t="n"/>
      <c r="V627" s="153" t="n"/>
      <c r="W627" s="153" t="n"/>
      <c r="X627" s="153" t="n"/>
      <c r="Y627" s="153" t="n"/>
      <c r="Z627" s="153" t="n"/>
    </row>
    <row r="628" ht="15.75" customHeight="1" s="154">
      <c r="G628" s="153" t="n"/>
      <c r="H628" s="153" t="n"/>
      <c r="I628" s="153" t="n"/>
      <c r="J628" s="153" t="n"/>
      <c r="K628" s="153" t="n"/>
      <c r="L628" s="153" t="n"/>
      <c r="M628" s="153" t="n"/>
      <c r="N628" s="153" t="n"/>
      <c r="O628" s="153" t="n"/>
      <c r="P628" s="153" t="n"/>
      <c r="Q628" s="153" t="n"/>
      <c r="R628" s="153" t="n"/>
      <c r="S628" s="153" t="n"/>
      <c r="T628" s="153" t="n"/>
      <c r="U628" s="153" t="n"/>
      <c r="V628" s="153" t="n"/>
      <c r="W628" s="153" t="n"/>
      <c r="X628" s="153" t="n"/>
      <c r="Y628" s="153" t="n"/>
      <c r="Z628" s="153" t="n"/>
    </row>
    <row r="629" ht="15.75" customHeight="1" s="154">
      <c r="G629" s="153" t="n"/>
      <c r="H629" s="153" t="n"/>
      <c r="I629" s="153" t="n"/>
      <c r="J629" s="153" t="n"/>
      <c r="K629" s="153" t="n"/>
      <c r="L629" s="153" t="n"/>
      <c r="M629" s="153" t="n"/>
      <c r="N629" s="153" t="n"/>
      <c r="O629" s="153" t="n"/>
      <c r="P629" s="153" t="n"/>
      <c r="Q629" s="153" t="n"/>
      <c r="R629" s="153" t="n"/>
      <c r="S629" s="153" t="n"/>
      <c r="T629" s="153" t="n"/>
      <c r="U629" s="153" t="n"/>
      <c r="V629" s="153" t="n"/>
      <c r="W629" s="153" t="n"/>
      <c r="X629" s="153" t="n"/>
      <c r="Y629" s="153" t="n"/>
      <c r="Z629" s="153" t="n"/>
    </row>
    <row r="630" ht="15.75" customHeight="1" s="154">
      <c r="G630" s="153" t="n"/>
      <c r="H630" s="153" t="n"/>
      <c r="I630" s="153" t="n"/>
      <c r="J630" s="153" t="n"/>
      <c r="K630" s="153" t="n"/>
      <c r="L630" s="153" t="n"/>
      <c r="M630" s="153" t="n"/>
      <c r="N630" s="153" t="n"/>
      <c r="O630" s="153" t="n"/>
      <c r="P630" s="153" t="n"/>
      <c r="Q630" s="153" t="n"/>
      <c r="R630" s="153" t="n"/>
      <c r="S630" s="153" t="n"/>
      <c r="T630" s="153" t="n"/>
      <c r="U630" s="153" t="n"/>
      <c r="V630" s="153" t="n"/>
      <c r="W630" s="153" t="n"/>
      <c r="X630" s="153" t="n"/>
      <c r="Y630" s="153" t="n"/>
      <c r="Z630" s="153" t="n"/>
    </row>
    <row r="631" ht="15.75" customHeight="1" s="154">
      <c r="G631" s="153" t="n"/>
      <c r="H631" s="153" t="n"/>
      <c r="I631" s="153" t="n"/>
      <c r="J631" s="153" t="n"/>
      <c r="K631" s="153" t="n"/>
      <c r="L631" s="153" t="n"/>
      <c r="M631" s="153" t="n"/>
      <c r="N631" s="153" t="n"/>
      <c r="O631" s="153" t="n"/>
      <c r="P631" s="153" t="n"/>
      <c r="Q631" s="153" t="n"/>
      <c r="R631" s="153" t="n"/>
      <c r="S631" s="153" t="n"/>
      <c r="T631" s="153" t="n"/>
      <c r="U631" s="153" t="n"/>
      <c r="V631" s="153" t="n"/>
      <c r="W631" s="153" t="n"/>
      <c r="X631" s="153" t="n"/>
      <c r="Y631" s="153" t="n"/>
      <c r="Z631" s="153" t="n"/>
    </row>
    <row r="632" ht="15.75" customHeight="1" s="154">
      <c r="G632" s="153" t="n"/>
      <c r="H632" s="153" t="n"/>
      <c r="I632" s="153" t="n"/>
      <c r="J632" s="153" t="n"/>
      <c r="K632" s="153" t="n"/>
      <c r="L632" s="153" t="n"/>
      <c r="M632" s="153" t="n"/>
      <c r="N632" s="153" t="n"/>
      <c r="O632" s="153" t="n"/>
      <c r="P632" s="153" t="n"/>
      <c r="Q632" s="153" t="n"/>
      <c r="R632" s="153" t="n"/>
      <c r="S632" s="153" t="n"/>
      <c r="T632" s="153" t="n"/>
      <c r="U632" s="153" t="n"/>
      <c r="V632" s="153" t="n"/>
      <c r="W632" s="153" t="n"/>
      <c r="X632" s="153" t="n"/>
      <c r="Y632" s="153" t="n"/>
      <c r="Z632" s="153" t="n"/>
    </row>
    <row r="633" ht="15.75" customHeight="1" s="154">
      <c r="G633" s="153" t="n"/>
      <c r="H633" s="153" t="n"/>
      <c r="I633" s="153" t="n"/>
      <c r="J633" s="153" t="n"/>
      <c r="K633" s="153" t="n"/>
      <c r="L633" s="153" t="n"/>
      <c r="M633" s="153" t="n"/>
      <c r="N633" s="153" t="n"/>
      <c r="O633" s="153" t="n"/>
      <c r="P633" s="153" t="n"/>
      <c r="Q633" s="153" t="n"/>
      <c r="R633" s="153" t="n"/>
      <c r="S633" s="153" t="n"/>
      <c r="T633" s="153" t="n"/>
      <c r="U633" s="153" t="n"/>
      <c r="V633" s="153" t="n"/>
      <c r="W633" s="153" t="n"/>
      <c r="X633" s="153" t="n"/>
      <c r="Y633" s="153" t="n"/>
      <c r="Z633" s="153" t="n"/>
    </row>
    <row r="634" ht="15.75" customHeight="1" s="154">
      <c r="G634" s="153" t="n"/>
      <c r="H634" s="153" t="n"/>
      <c r="I634" s="153" t="n"/>
      <c r="J634" s="153" t="n"/>
      <c r="K634" s="153" t="n"/>
      <c r="L634" s="153" t="n"/>
      <c r="M634" s="153" t="n"/>
      <c r="N634" s="153" t="n"/>
      <c r="O634" s="153" t="n"/>
      <c r="P634" s="153" t="n"/>
      <c r="Q634" s="153" t="n"/>
      <c r="R634" s="153" t="n"/>
      <c r="S634" s="153" t="n"/>
      <c r="T634" s="153" t="n"/>
      <c r="U634" s="153" t="n"/>
      <c r="V634" s="153" t="n"/>
      <c r="W634" s="153" t="n"/>
      <c r="X634" s="153" t="n"/>
      <c r="Y634" s="153" t="n"/>
      <c r="Z634" s="153" t="n"/>
    </row>
    <row r="635" ht="15.75" customHeight="1" s="154">
      <c r="G635" s="153" t="n"/>
      <c r="H635" s="153" t="n"/>
      <c r="I635" s="153" t="n"/>
      <c r="J635" s="153" t="n"/>
      <c r="K635" s="153" t="n"/>
      <c r="L635" s="153" t="n"/>
      <c r="M635" s="153" t="n"/>
      <c r="N635" s="153" t="n"/>
      <c r="O635" s="153" t="n"/>
      <c r="P635" s="153" t="n"/>
      <c r="Q635" s="153" t="n"/>
      <c r="R635" s="153" t="n"/>
      <c r="S635" s="153" t="n"/>
      <c r="T635" s="153" t="n"/>
      <c r="U635" s="153" t="n"/>
      <c r="V635" s="153" t="n"/>
      <c r="W635" s="153" t="n"/>
      <c r="X635" s="153" t="n"/>
      <c r="Y635" s="153" t="n"/>
      <c r="Z635" s="153" t="n"/>
    </row>
    <row r="636" ht="15.75" customHeight="1" s="154">
      <c r="G636" s="153" t="n"/>
      <c r="H636" s="153" t="n"/>
      <c r="I636" s="153" t="n"/>
      <c r="J636" s="153" t="n"/>
      <c r="K636" s="153" t="n"/>
      <c r="L636" s="153" t="n"/>
      <c r="M636" s="153" t="n"/>
      <c r="N636" s="153" t="n"/>
      <c r="O636" s="153" t="n"/>
      <c r="P636" s="153" t="n"/>
      <c r="Q636" s="153" t="n"/>
      <c r="R636" s="153" t="n"/>
      <c r="S636" s="153" t="n"/>
      <c r="T636" s="153" t="n"/>
      <c r="U636" s="153" t="n"/>
      <c r="V636" s="153" t="n"/>
      <c r="W636" s="153" t="n"/>
      <c r="X636" s="153" t="n"/>
      <c r="Y636" s="153" t="n"/>
      <c r="Z636" s="153" t="n"/>
    </row>
    <row r="637" ht="15.75" customHeight="1" s="154">
      <c r="G637" s="153" t="n"/>
      <c r="H637" s="153" t="n"/>
      <c r="I637" s="153" t="n"/>
      <c r="J637" s="153" t="n"/>
      <c r="K637" s="153" t="n"/>
      <c r="L637" s="153" t="n"/>
      <c r="M637" s="153" t="n"/>
      <c r="N637" s="153" t="n"/>
      <c r="O637" s="153" t="n"/>
      <c r="P637" s="153" t="n"/>
      <c r="Q637" s="153" t="n"/>
      <c r="R637" s="153" t="n"/>
      <c r="S637" s="153" t="n"/>
      <c r="T637" s="153" t="n"/>
      <c r="U637" s="153" t="n"/>
      <c r="V637" s="153" t="n"/>
      <c r="W637" s="153" t="n"/>
      <c r="X637" s="153" t="n"/>
      <c r="Y637" s="153" t="n"/>
      <c r="Z637" s="153" t="n"/>
    </row>
    <row r="638" ht="15.75" customHeight="1" s="154">
      <c r="G638" s="153" t="n"/>
      <c r="H638" s="153" t="n"/>
      <c r="I638" s="153" t="n"/>
      <c r="J638" s="153" t="n"/>
      <c r="K638" s="153" t="n"/>
      <c r="L638" s="153" t="n"/>
      <c r="M638" s="153" t="n"/>
      <c r="N638" s="153" t="n"/>
      <c r="O638" s="153" t="n"/>
      <c r="P638" s="153" t="n"/>
      <c r="Q638" s="153" t="n"/>
      <c r="R638" s="153" t="n"/>
      <c r="S638" s="153" t="n"/>
      <c r="T638" s="153" t="n"/>
      <c r="U638" s="153" t="n"/>
      <c r="V638" s="153" t="n"/>
      <c r="W638" s="153" t="n"/>
      <c r="X638" s="153" t="n"/>
      <c r="Y638" s="153" t="n"/>
      <c r="Z638" s="153" t="n"/>
    </row>
    <row r="639" ht="15.75" customHeight="1" s="154">
      <c r="G639" s="153" t="n"/>
      <c r="H639" s="153" t="n"/>
      <c r="I639" s="153" t="n"/>
      <c r="J639" s="153" t="n"/>
      <c r="K639" s="153" t="n"/>
      <c r="L639" s="153" t="n"/>
      <c r="M639" s="153" t="n"/>
      <c r="N639" s="153" t="n"/>
      <c r="O639" s="153" t="n"/>
      <c r="P639" s="153" t="n"/>
      <c r="Q639" s="153" t="n"/>
      <c r="R639" s="153" t="n"/>
      <c r="S639" s="153" t="n"/>
      <c r="T639" s="153" t="n"/>
      <c r="U639" s="153" t="n"/>
      <c r="V639" s="153" t="n"/>
      <c r="W639" s="153" t="n"/>
      <c r="X639" s="153" t="n"/>
      <c r="Y639" s="153" t="n"/>
      <c r="Z639" s="153" t="n"/>
    </row>
    <row r="640" ht="15.75" customHeight="1" s="154">
      <c r="G640" s="153" t="n"/>
      <c r="H640" s="153" t="n"/>
      <c r="I640" s="153" t="n"/>
      <c r="J640" s="153" t="n"/>
      <c r="K640" s="153" t="n"/>
      <c r="L640" s="153" t="n"/>
      <c r="M640" s="153" t="n"/>
      <c r="N640" s="153" t="n"/>
      <c r="O640" s="153" t="n"/>
      <c r="P640" s="153" t="n"/>
      <c r="Q640" s="153" t="n"/>
      <c r="R640" s="153" t="n"/>
      <c r="S640" s="153" t="n"/>
      <c r="T640" s="153" t="n"/>
      <c r="U640" s="153" t="n"/>
      <c r="V640" s="153" t="n"/>
      <c r="W640" s="153" t="n"/>
      <c r="X640" s="153" t="n"/>
      <c r="Y640" s="153" t="n"/>
      <c r="Z640" s="153" t="n"/>
    </row>
    <row r="641" ht="15.75" customHeight="1" s="154">
      <c r="G641" s="153" t="n"/>
      <c r="H641" s="153" t="n"/>
      <c r="I641" s="153" t="n"/>
      <c r="J641" s="153" t="n"/>
      <c r="K641" s="153" t="n"/>
      <c r="L641" s="153" t="n"/>
      <c r="M641" s="153" t="n"/>
      <c r="N641" s="153" t="n"/>
      <c r="O641" s="153" t="n"/>
      <c r="P641" s="153" t="n"/>
      <c r="Q641" s="153" t="n"/>
      <c r="R641" s="153" t="n"/>
      <c r="S641" s="153" t="n"/>
      <c r="T641" s="153" t="n"/>
      <c r="U641" s="153" t="n"/>
      <c r="V641" s="153" t="n"/>
      <c r="W641" s="153" t="n"/>
      <c r="X641" s="153" t="n"/>
      <c r="Y641" s="153" t="n"/>
      <c r="Z641" s="153" t="n"/>
    </row>
    <row r="642" ht="15.75" customHeight="1" s="154">
      <c r="G642" s="153" t="n"/>
      <c r="H642" s="153" t="n"/>
      <c r="I642" s="153" t="n"/>
      <c r="J642" s="153" t="n"/>
      <c r="K642" s="153" t="n"/>
      <c r="L642" s="153" t="n"/>
      <c r="M642" s="153" t="n"/>
      <c r="N642" s="153" t="n"/>
      <c r="O642" s="153" t="n"/>
      <c r="P642" s="153" t="n"/>
      <c r="Q642" s="153" t="n"/>
      <c r="R642" s="153" t="n"/>
      <c r="S642" s="153" t="n"/>
      <c r="T642" s="153" t="n"/>
      <c r="U642" s="153" t="n"/>
      <c r="V642" s="153" t="n"/>
      <c r="W642" s="153" t="n"/>
      <c r="X642" s="153" t="n"/>
      <c r="Y642" s="153" t="n"/>
      <c r="Z642" s="153" t="n"/>
    </row>
    <row r="643" ht="15.75" customHeight="1" s="154">
      <c r="G643" s="153" t="n"/>
      <c r="H643" s="153" t="n"/>
      <c r="I643" s="153" t="n"/>
      <c r="J643" s="153" t="n"/>
      <c r="K643" s="153" t="n"/>
      <c r="L643" s="153" t="n"/>
      <c r="M643" s="153" t="n"/>
      <c r="N643" s="153" t="n"/>
      <c r="O643" s="153" t="n"/>
      <c r="P643" s="153" t="n"/>
      <c r="Q643" s="153" t="n"/>
      <c r="R643" s="153" t="n"/>
      <c r="S643" s="153" t="n"/>
      <c r="T643" s="153" t="n"/>
      <c r="U643" s="153" t="n"/>
      <c r="V643" s="153" t="n"/>
      <c r="W643" s="153" t="n"/>
      <c r="X643" s="153" t="n"/>
      <c r="Y643" s="153" t="n"/>
      <c r="Z643" s="153" t="n"/>
    </row>
    <row r="644" ht="15.75" customHeight="1" s="154">
      <c r="G644" s="153" t="n"/>
      <c r="H644" s="153" t="n"/>
      <c r="I644" s="153" t="n"/>
      <c r="J644" s="153" t="n"/>
      <c r="K644" s="153" t="n"/>
      <c r="L644" s="153" t="n"/>
      <c r="M644" s="153" t="n"/>
      <c r="N644" s="153" t="n"/>
      <c r="O644" s="153" t="n"/>
      <c r="P644" s="153" t="n"/>
      <c r="Q644" s="153" t="n"/>
      <c r="R644" s="153" t="n"/>
      <c r="S644" s="153" t="n"/>
      <c r="T644" s="153" t="n"/>
      <c r="U644" s="153" t="n"/>
      <c r="V644" s="153" t="n"/>
      <c r="W644" s="153" t="n"/>
      <c r="X644" s="153" t="n"/>
      <c r="Y644" s="153" t="n"/>
      <c r="Z644" s="153" t="n"/>
    </row>
    <row r="645" ht="15.75" customHeight="1" s="154">
      <c r="G645" s="153" t="n"/>
      <c r="H645" s="153" t="n"/>
      <c r="I645" s="153" t="n"/>
      <c r="J645" s="153" t="n"/>
      <c r="K645" s="153" t="n"/>
      <c r="L645" s="153" t="n"/>
      <c r="M645" s="153" t="n"/>
      <c r="N645" s="153" t="n"/>
      <c r="O645" s="153" t="n"/>
      <c r="P645" s="153" t="n"/>
      <c r="Q645" s="153" t="n"/>
      <c r="R645" s="153" t="n"/>
      <c r="S645" s="153" t="n"/>
      <c r="T645" s="153" t="n"/>
      <c r="U645" s="153" t="n"/>
      <c r="V645" s="153" t="n"/>
      <c r="W645" s="153" t="n"/>
      <c r="X645" s="153" t="n"/>
      <c r="Y645" s="153" t="n"/>
      <c r="Z645" s="153" t="n"/>
    </row>
    <row r="646" ht="15.75" customHeight="1" s="154">
      <c r="G646" s="153" t="n"/>
      <c r="H646" s="153" t="n"/>
      <c r="I646" s="153" t="n"/>
      <c r="J646" s="153" t="n"/>
      <c r="K646" s="153" t="n"/>
      <c r="L646" s="153" t="n"/>
      <c r="M646" s="153" t="n"/>
      <c r="N646" s="153" t="n"/>
      <c r="O646" s="153" t="n"/>
      <c r="P646" s="153" t="n"/>
      <c r="Q646" s="153" t="n"/>
      <c r="R646" s="153" t="n"/>
      <c r="S646" s="153" t="n"/>
      <c r="T646" s="153" t="n"/>
      <c r="U646" s="153" t="n"/>
      <c r="V646" s="153" t="n"/>
      <c r="W646" s="153" t="n"/>
      <c r="X646" s="153" t="n"/>
      <c r="Y646" s="153" t="n"/>
      <c r="Z646" s="153" t="n"/>
    </row>
    <row r="647" ht="15.75" customHeight="1" s="154">
      <c r="G647" s="153" t="n"/>
      <c r="H647" s="153" t="n"/>
      <c r="I647" s="153" t="n"/>
      <c r="J647" s="153" t="n"/>
      <c r="K647" s="153" t="n"/>
      <c r="L647" s="153" t="n"/>
      <c r="M647" s="153" t="n"/>
      <c r="N647" s="153" t="n"/>
      <c r="O647" s="153" t="n"/>
      <c r="P647" s="153" t="n"/>
      <c r="Q647" s="153" t="n"/>
      <c r="R647" s="153" t="n"/>
      <c r="S647" s="153" t="n"/>
      <c r="T647" s="153" t="n"/>
      <c r="U647" s="153" t="n"/>
      <c r="V647" s="153" t="n"/>
      <c r="W647" s="153" t="n"/>
      <c r="X647" s="153" t="n"/>
      <c r="Y647" s="153" t="n"/>
      <c r="Z647" s="153" t="n"/>
    </row>
    <row r="648" ht="15.75" customHeight="1" s="154">
      <c r="G648" s="153" t="n"/>
      <c r="H648" s="153" t="n"/>
      <c r="I648" s="153" t="n"/>
      <c r="J648" s="153" t="n"/>
      <c r="K648" s="153" t="n"/>
      <c r="L648" s="153" t="n"/>
      <c r="M648" s="153" t="n"/>
      <c r="N648" s="153" t="n"/>
      <c r="O648" s="153" t="n"/>
      <c r="P648" s="153" t="n"/>
      <c r="Q648" s="153" t="n"/>
      <c r="R648" s="153" t="n"/>
      <c r="S648" s="153" t="n"/>
      <c r="T648" s="153" t="n"/>
      <c r="U648" s="153" t="n"/>
      <c r="V648" s="153" t="n"/>
      <c r="W648" s="153" t="n"/>
      <c r="X648" s="153" t="n"/>
      <c r="Y648" s="153" t="n"/>
      <c r="Z648" s="153" t="n"/>
    </row>
    <row r="649" ht="15.75" customHeight="1" s="154">
      <c r="G649" s="153" t="n"/>
      <c r="H649" s="153" t="n"/>
      <c r="I649" s="153" t="n"/>
      <c r="J649" s="153" t="n"/>
      <c r="K649" s="153" t="n"/>
      <c r="L649" s="153" t="n"/>
      <c r="M649" s="153" t="n"/>
      <c r="N649" s="153" t="n"/>
      <c r="O649" s="153" t="n"/>
      <c r="P649" s="153" t="n"/>
      <c r="Q649" s="153" t="n"/>
      <c r="R649" s="153" t="n"/>
      <c r="S649" s="153" t="n"/>
      <c r="T649" s="153" t="n"/>
      <c r="U649" s="153" t="n"/>
      <c r="V649" s="153" t="n"/>
      <c r="W649" s="153" t="n"/>
      <c r="X649" s="153" t="n"/>
      <c r="Y649" s="153" t="n"/>
      <c r="Z649" s="153" t="n"/>
    </row>
    <row r="650" ht="15.75" customHeight="1" s="154">
      <c r="G650" s="153" t="n"/>
      <c r="H650" s="153" t="n"/>
      <c r="I650" s="153" t="n"/>
      <c r="J650" s="153" t="n"/>
      <c r="K650" s="153" t="n"/>
      <c r="L650" s="153" t="n"/>
      <c r="M650" s="153" t="n"/>
      <c r="N650" s="153" t="n"/>
      <c r="O650" s="153" t="n"/>
      <c r="P650" s="153" t="n"/>
      <c r="Q650" s="153" t="n"/>
      <c r="R650" s="153" t="n"/>
      <c r="S650" s="153" t="n"/>
      <c r="T650" s="153" t="n"/>
      <c r="U650" s="153" t="n"/>
      <c r="V650" s="153" t="n"/>
      <c r="W650" s="153" t="n"/>
      <c r="X650" s="153" t="n"/>
      <c r="Y650" s="153" t="n"/>
      <c r="Z650" s="153" t="n"/>
    </row>
    <row r="651" ht="15.75" customHeight="1" s="154">
      <c r="G651" s="153" t="n"/>
      <c r="H651" s="153" t="n"/>
      <c r="I651" s="153" t="n"/>
      <c r="J651" s="153" t="n"/>
      <c r="K651" s="153" t="n"/>
      <c r="L651" s="153" t="n"/>
      <c r="M651" s="153" t="n"/>
      <c r="N651" s="153" t="n"/>
      <c r="O651" s="153" t="n"/>
      <c r="P651" s="153" t="n"/>
      <c r="Q651" s="153" t="n"/>
      <c r="R651" s="153" t="n"/>
      <c r="S651" s="153" t="n"/>
      <c r="T651" s="153" t="n"/>
      <c r="U651" s="153" t="n"/>
      <c r="V651" s="153" t="n"/>
      <c r="W651" s="153" t="n"/>
      <c r="X651" s="153" t="n"/>
      <c r="Y651" s="153" t="n"/>
      <c r="Z651" s="153" t="n"/>
    </row>
    <row r="652" ht="15.75" customHeight="1" s="154">
      <c r="G652" s="153" t="n"/>
      <c r="H652" s="153" t="n"/>
      <c r="I652" s="153" t="n"/>
      <c r="J652" s="153" t="n"/>
      <c r="K652" s="153" t="n"/>
      <c r="L652" s="153" t="n"/>
      <c r="M652" s="153" t="n"/>
      <c r="N652" s="153" t="n"/>
      <c r="O652" s="153" t="n"/>
      <c r="P652" s="153" t="n"/>
      <c r="Q652" s="153" t="n"/>
      <c r="R652" s="153" t="n"/>
      <c r="S652" s="153" t="n"/>
      <c r="T652" s="153" t="n"/>
      <c r="U652" s="153" t="n"/>
      <c r="V652" s="153" t="n"/>
      <c r="W652" s="153" t="n"/>
      <c r="X652" s="153" t="n"/>
      <c r="Y652" s="153" t="n"/>
      <c r="Z652" s="153" t="n"/>
    </row>
    <row r="653" ht="15.75" customHeight="1" s="154">
      <c r="G653" s="153" t="n"/>
      <c r="H653" s="153" t="n"/>
      <c r="I653" s="153" t="n"/>
      <c r="J653" s="153" t="n"/>
      <c r="K653" s="153" t="n"/>
      <c r="L653" s="153" t="n"/>
      <c r="M653" s="153" t="n"/>
      <c r="N653" s="153" t="n"/>
      <c r="O653" s="153" t="n"/>
      <c r="P653" s="153" t="n"/>
      <c r="Q653" s="153" t="n"/>
      <c r="R653" s="153" t="n"/>
      <c r="S653" s="153" t="n"/>
      <c r="T653" s="153" t="n"/>
      <c r="U653" s="153" t="n"/>
      <c r="V653" s="153" t="n"/>
      <c r="W653" s="153" t="n"/>
      <c r="X653" s="153" t="n"/>
      <c r="Y653" s="153" t="n"/>
      <c r="Z653" s="153" t="n"/>
    </row>
    <row r="654" ht="15.75" customHeight="1" s="154">
      <c r="G654" s="153" t="n"/>
      <c r="H654" s="153" t="n"/>
      <c r="I654" s="153" t="n"/>
      <c r="J654" s="153" t="n"/>
      <c r="K654" s="153" t="n"/>
      <c r="L654" s="153" t="n"/>
      <c r="M654" s="153" t="n"/>
      <c r="N654" s="153" t="n"/>
      <c r="O654" s="153" t="n"/>
      <c r="P654" s="153" t="n"/>
      <c r="Q654" s="153" t="n"/>
      <c r="R654" s="153" t="n"/>
      <c r="S654" s="153" t="n"/>
      <c r="T654" s="153" t="n"/>
      <c r="U654" s="153" t="n"/>
      <c r="V654" s="153" t="n"/>
      <c r="W654" s="153" t="n"/>
      <c r="X654" s="153" t="n"/>
      <c r="Y654" s="153" t="n"/>
      <c r="Z654" s="153" t="n"/>
    </row>
    <row r="655" ht="15.75" customHeight="1" s="154">
      <c r="G655" s="153" t="n"/>
      <c r="H655" s="153" t="n"/>
      <c r="I655" s="153" t="n"/>
      <c r="J655" s="153" t="n"/>
      <c r="K655" s="153" t="n"/>
      <c r="L655" s="153" t="n"/>
      <c r="M655" s="153" t="n"/>
      <c r="N655" s="153" t="n"/>
      <c r="O655" s="153" t="n"/>
      <c r="P655" s="153" t="n"/>
      <c r="Q655" s="153" t="n"/>
      <c r="R655" s="153" t="n"/>
      <c r="S655" s="153" t="n"/>
      <c r="T655" s="153" t="n"/>
      <c r="U655" s="153" t="n"/>
      <c r="V655" s="153" t="n"/>
      <c r="W655" s="153" t="n"/>
      <c r="X655" s="153" t="n"/>
      <c r="Y655" s="153" t="n"/>
      <c r="Z655" s="153" t="n"/>
    </row>
    <row r="656" ht="15.75" customHeight="1" s="154">
      <c r="G656" s="153" t="n"/>
      <c r="H656" s="153" t="n"/>
      <c r="I656" s="153" t="n"/>
      <c r="J656" s="153" t="n"/>
      <c r="K656" s="153" t="n"/>
      <c r="L656" s="153" t="n"/>
      <c r="M656" s="153" t="n"/>
      <c r="N656" s="153" t="n"/>
      <c r="O656" s="153" t="n"/>
      <c r="P656" s="153" t="n"/>
      <c r="Q656" s="153" t="n"/>
      <c r="R656" s="153" t="n"/>
      <c r="S656" s="153" t="n"/>
      <c r="T656" s="153" t="n"/>
      <c r="U656" s="153" t="n"/>
      <c r="V656" s="153" t="n"/>
      <c r="W656" s="153" t="n"/>
      <c r="X656" s="153" t="n"/>
      <c r="Y656" s="153" t="n"/>
      <c r="Z656" s="153" t="n"/>
    </row>
    <row r="657" ht="15.75" customHeight="1" s="154">
      <c r="G657" s="153" t="n"/>
      <c r="H657" s="153" t="n"/>
      <c r="I657" s="153" t="n"/>
      <c r="J657" s="153" t="n"/>
      <c r="K657" s="153" t="n"/>
      <c r="L657" s="153" t="n"/>
      <c r="M657" s="153" t="n"/>
      <c r="N657" s="153" t="n"/>
      <c r="O657" s="153" t="n"/>
      <c r="P657" s="153" t="n"/>
      <c r="Q657" s="153" t="n"/>
      <c r="R657" s="153" t="n"/>
      <c r="S657" s="153" t="n"/>
      <c r="T657" s="153" t="n"/>
      <c r="U657" s="153" t="n"/>
      <c r="V657" s="153" t="n"/>
      <c r="W657" s="153" t="n"/>
      <c r="X657" s="153" t="n"/>
      <c r="Y657" s="153" t="n"/>
      <c r="Z657" s="153" t="n"/>
    </row>
    <row r="658" ht="15.75" customHeight="1" s="154">
      <c r="G658" s="153" t="n"/>
      <c r="H658" s="153" t="n"/>
      <c r="I658" s="153" t="n"/>
      <c r="J658" s="153" t="n"/>
      <c r="K658" s="153" t="n"/>
      <c r="L658" s="153" t="n"/>
      <c r="M658" s="153" t="n"/>
      <c r="N658" s="153" t="n"/>
      <c r="O658" s="153" t="n"/>
      <c r="P658" s="153" t="n"/>
      <c r="Q658" s="153" t="n"/>
      <c r="R658" s="153" t="n"/>
      <c r="S658" s="153" t="n"/>
      <c r="T658" s="153" t="n"/>
      <c r="U658" s="153" t="n"/>
      <c r="V658" s="153" t="n"/>
      <c r="W658" s="153" t="n"/>
      <c r="X658" s="153" t="n"/>
      <c r="Y658" s="153" t="n"/>
      <c r="Z658" s="153" t="n"/>
    </row>
    <row r="659" ht="15.75" customHeight="1" s="154">
      <c r="G659" s="153" t="n"/>
      <c r="H659" s="153" t="n"/>
      <c r="I659" s="153" t="n"/>
      <c r="J659" s="153" t="n"/>
      <c r="K659" s="153" t="n"/>
      <c r="L659" s="153" t="n"/>
      <c r="M659" s="153" t="n"/>
      <c r="N659" s="153" t="n"/>
      <c r="O659" s="153" t="n"/>
      <c r="P659" s="153" t="n"/>
      <c r="Q659" s="153" t="n"/>
      <c r="R659" s="153" t="n"/>
      <c r="S659" s="153" t="n"/>
      <c r="T659" s="153" t="n"/>
      <c r="U659" s="153" t="n"/>
      <c r="V659" s="153" t="n"/>
      <c r="W659" s="153" t="n"/>
      <c r="X659" s="153" t="n"/>
      <c r="Y659" s="153" t="n"/>
      <c r="Z659" s="153" t="n"/>
    </row>
    <row r="660" ht="15.75" customHeight="1" s="154">
      <c r="G660" s="153" t="n"/>
      <c r="H660" s="153" t="n"/>
      <c r="I660" s="153" t="n"/>
      <c r="J660" s="153" t="n"/>
      <c r="K660" s="153" t="n"/>
      <c r="L660" s="153" t="n"/>
      <c r="M660" s="153" t="n"/>
      <c r="N660" s="153" t="n"/>
      <c r="O660" s="153" t="n"/>
      <c r="P660" s="153" t="n"/>
      <c r="Q660" s="153" t="n"/>
      <c r="R660" s="153" t="n"/>
      <c r="S660" s="153" t="n"/>
      <c r="T660" s="153" t="n"/>
      <c r="U660" s="153" t="n"/>
      <c r="V660" s="153" t="n"/>
      <c r="W660" s="153" t="n"/>
      <c r="X660" s="153" t="n"/>
      <c r="Y660" s="153" t="n"/>
      <c r="Z660" s="153" t="n"/>
    </row>
    <row r="661" ht="15.75" customHeight="1" s="154">
      <c r="G661" s="153" t="n"/>
      <c r="H661" s="153" t="n"/>
      <c r="I661" s="153" t="n"/>
      <c r="J661" s="153" t="n"/>
      <c r="K661" s="153" t="n"/>
      <c r="L661" s="153" t="n"/>
      <c r="M661" s="153" t="n"/>
      <c r="N661" s="153" t="n"/>
      <c r="O661" s="153" t="n"/>
      <c r="P661" s="153" t="n"/>
      <c r="Q661" s="153" t="n"/>
      <c r="R661" s="153" t="n"/>
      <c r="S661" s="153" t="n"/>
      <c r="T661" s="153" t="n"/>
      <c r="U661" s="153" t="n"/>
      <c r="V661" s="153" t="n"/>
      <c r="W661" s="153" t="n"/>
      <c r="X661" s="153" t="n"/>
      <c r="Y661" s="153" t="n"/>
      <c r="Z661" s="153" t="n"/>
    </row>
    <row r="662" ht="15.75" customHeight="1" s="154">
      <c r="G662" s="153" t="n"/>
      <c r="H662" s="153" t="n"/>
      <c r="I662" s="153" t="n"/>
      <c r="J662" s="153" t="n"/>
      <c r="K662" s="153" t="n"/>
      <c r="L662" s="153" t="n"/>
      <c r="M662" s="153" t="n"/>
      <c r="N662" s="153" t="n"/>
      <c r="O662" s="153" t="n"/>
      <c r="P662" s="153" t="n"/>
      <c r="Q662" s="153" t="n"/>
      <c r="R662" s="153" t="n"/>
      <c r="S662" s="153" t="n"/>
      <c r="T662" s="153" t="n"/>
      <c r="U662" s="153" t="n"/>
      <c r="V662" s="153" t="n"/>
      <c r="W662" s="153" t="n"/>
      <c r="X662" s="153" t="n"/>
      <c r="Y662" s="153" t="n"/>
      <c r="Z662" s="153" t="n"/>
    </row>
    <row r="663" ht="15.75" customHeight="1" s="154">
      <c r="G663" s="153" t="n"/>
      <c r="H663" s="153" t="n"/>
      <c r="I663" s="153" t="n"/>
      <c r="J663" s="153" t="n"/>
      <c r="K663" s="153" t="n"/>
      <c r="L663" s="153" t="n"/>
      <c r="M663" s="153" t="n"/>
      <c r="N663" s="153" t="n"/>
      <c r="O663" s="153" t="n"/>
      <c r="P663" s="153" t="n"/>
      <c r="Q663" s="153" t="n"/>
      <c r="R663" s="153" t="n"/>
      <c r="S663" s="153" t="n"/>
      <c r="T663" s="153" t="n"/>
      <c r="U663" s="153" t="n"/>
      <c r="V663" s="153" t="n"/>
      <c r="W663" s="153" t="n"/>
      <c r="X663" s="153" t="n"/>
      <c r="Y663" s="153" t="n"/>
      <c r="Z663" s="153" t="n"/>
    </row>
    <row r="664" ht="15.75" customHeight="1" s="154">
      <c r="G664" s="153" t="n"/>
      <c r="H664" s="153" t="n"/>
      <c r="I664" s="153" t="n"/>
      <c r="J664" s="153" t="n"/>
      <c r="K664" s="153" t="n"/>
      <c r="L664" s="153" t="n"/>
      <c r="M664" s="153" t="n"/>
      <c r="N664" s="153" t="n"/>
      <c r="O664" s="153" t="n"/>
      <c r="P664" s="153" t="n"/>
      <c r="Q664" s="153" t="n"/>
      <c r="R664" s="153" t="n"/>
      <c r="S664" s="153" t="n"/>
      <c r="T664" s="153" t="n"/>
      <c r="U664" s="153" t="n"/>
      <c r="V664" s="153" t="n"/>
      <c r="W664" s="153" t="n"/>
      <c r="X664" s="153" t="n"/>
      <c r="Y664" s="153" t="n"/>
      <c r="Z664" s="153" t="n"/>
    </row>
    <row r="665" ht="15.75" customHeight="1" s="154">
      <c r="G665" s="153" t="n"/>
      <c r="H665" s="153" t="n"/>
      <c r="I665" s="153" t="n"/>
      <c r="J665" s="153" t="n"/>
      <c r="K665" s="153" t="n"/>
      <c r="L665" s="153" t="n"/>
      <c r="M665" s="153" t="n"/>
      <c r="N665" s="153" t="n"/>
      <c r="O665" s="153" t="n"/>
      <c r="P665" s="153" t="n"/>
      <c r="Q665" s="153" t="n"/>
      <c r="R665" s="153" t="n"/>
      <c r="S665" s="153" t="n"/>
      <c r="T665" s="153" t="n"/>
      <c r="U665" s="153" t="n"/>
      <c r="V665" s="153" t="n"/>
      <c r="W665" s="153" t="n"/>
      <c r="X665" s="153" t="n"/>
      <c r="Y665" s="153" t="n"/>
      <c r="Z665" s="153" t="n"/>
    </row>
    <row r="666" ht="15.75" customHeight="1" s="154">
      <c r="G666" s="153" t="n"/>
      <c r="H666" s="153" t="n"/>
      <c r="I666" s="153" t="n"/>
      <c r="J666" s="153" t="n"/>
      <c r="K666" s="153" t="n"/>
      <c r="L666" s="153" t="n"/>
      <c r="M666" s="153" t="n"/>
      <c r="N666" s="153" t="n"/>
      <c r="O666" s="153" t="n"/>
      <c r="P666" s="153" t="n"/>
      <c r="Q666" s="153" t="n"/>
      <c r="R666" s="153" t="n"/>
      <c r="S666" s="153" t="n"/>
      <c r="T666" s="153" t="n"/>
      <c r="U666" s="153" t="n"/>
      <c r="V666" s="153" t="n"/>
      <c r="W666" s="153" t="n"/>
      <c r="X666" s="153" t="n"/>
      <c r="Y666" s="153" t="n"/>
      <c r="Z666" s="153" t="n"/>
    </row>
    <row r="667" ht="15.75" customHeight="1" s="154">
      <c r="G667" s="153" t="n"/>
      <c r="H667" s="153" t="n"/>
      <c r="I667" s="153" t="n"/>
      <c r="J667" s="153" t="n"/>
      <c r="K667" s="153" t="n"/>
      <c r="L667" s="153" t="n"/>
      <c r="M667" s="153" t="n"/>
      <c r="N667" s="153" t="n"/>
      <c r="O667" s="153" t="n"/>
      <c r="P667" s="153" t="n"/>
      <c r="Q667" s="153" t="n"/>
      <c r="R667" s="153" t="n"/>
      <c r="S667" s="153" t="n"/>
      <c r="T667" s="153" t="n"/>
      <c r="U667" s="153" t="n"/>
      <c r="V667" s="153" t="n"/>
      <c r="W667" s="153" t="n"/>
      <c r="X667" s="153" t="n"/>
      <c r="Y667" s="153" t="n"/>
      <c r="Z667" s="153" t="n"/>
    </row>
    <row r="668" ht="15.75" customHeight="1" s="154">
      <c r="G668" s="153" t="n"/>
      <c r="H668" s="153" t="n"/>
      <c r="I668" s="153" t="n"/>
      <c r="J668" s="153" t="n"/>
      <c r="K668" s="153" t="n"/>
      <c r="L668" s="153" t="n"/>
      <c r="M668" s="153" t="n"/>
      <c r="N668" s="153" t="n"/>
      <c r="O668" s="153" t="n"/>
      <c r="P668" s="153" t="n"/>
      <c r="Q668" s="153" t="n"/>
      <c r="R668" s="153" t="n"/>
      <c r="S668" s="153" t="n"/>
      <c r="T668" s="153" t="n"/>
      <c r="U668" s="153" t="n"/>
      <c r="V668" s="153" t="n"/>
      <c r="W668" s="153" t="n"/>
      <c r="X668" s="153" t="n"/>
      <c r="Y668" s="153" t="n"/>
      <c r="Z668" s="153" t="n"/>
    </row>
    <row r="669" ht="15.75" customHeight="1" s="154">
      <c r="G669" s="153" t="n"/>
      <c r="H669" s="153" t="n"/>
      <c r="I669" s="153" t="n"/>
      <c r="J669" s="153" t="n"/>
      <c r="K669" s="153" t="n"/>
      <c r="L669" s="153" t="n"/>
      <c r="M669" s="153" t="n"/>
      <c r="N669" s="153" t="n"/>
      <c r="O669" s="153" t="n"/>
      <c r="P669" s="153" t="n"/>
      <c r="Q669" s="153" t="n"/>
      <c r="R669" s="153" t="n"/>
      <c r="S669" s="153" t="n"/>
      <c r="T669" s="153" t="n"/>
      <c r="U669" s="153" t="n"/>
      <c r="V669" s="153" t="n"/>
      <c r="W669" s="153" t="n"/>
      <c r="X669" s="153" t="n"/>
      <c r="Y669" s="153" t="n"/>
      <c r="Z669" s="153" t="n"/>
    </row>
    <row r="670" ht="15.75" customHeight="1" s="154">
      <c r="G670" s="153" t="n"/>
      <c r="H670" s="153" t="n"/>
      <c r="I670" s="153" t="n"/>
      <c r="J670" s="153" t="n"/>
      <c r="K670" s="153" t="n"/>
      <c r="L670" s="153" t="n"/>
      <c r="M670" s="153" t="n"/>
      <c r="N670" s="153" t="n"/>
      <c r="O670" s="153" t="n"/>
      <c r="P670" s="153" t="n"/>
      <c r="Q670" s="153" t="n"/>
      <c r="R670" s="153" t="n"/>
      <c r="S670" s="153" t="n"/>
      <c r="T670" s="153" t="n"/>
      <c r="U670" s="153" t="n"/>
      <c r="V670" s="153" t="n"/>
      <c r="W670" s="153" t="n"/>
      <c r="X670" s="153" t="n"/>
      <c r="Y670" s="153" t="n"/>
      <c r="Z670" s="153" t="n"/>
    </row>
    <row r="671" ht="15.75" customHeight="1" s="154">
      <c r="G671" s="153" t="n"/>
      <c r="H671" s="153" t="n"/>
      <c r="I671" s="153" t="n"/>
      <c r="J671" s="153" t="n"/>
      <c r="K671" s="153" t="n"/>
      <c r="L671" s="153" t="n"/>
      <c r="M671" s="153" t="n"/>
      <c r="N671" s="153" t="n"/>
      <c r="O671" s="153" t="n"/>
      <c r="P671" s="153" t="n"/>
      <c r="Q671" s="153" t="n"/>
      <c r="R671" s="153" t="n"/>
      <c r="S671" s="153" t="n"/>
      <c r="T671" s="153" t="n"/>
      <c r="U671" s="153" t="n"/>
      <c r="V671" s="153" t="n"/>
      <c r="W671" s="153" t="n"/>
      <c r="X671" s="153" t="n"/>
      <c r="Y671" s="153" t="n"/>
      <c r="Z671" s="153" t="n"/>
    </row>
    <row r="672" ht="15.75" customHeight="1" s="154">
      <c r="G672" s="153" t="n"/>
      <c r="H672" s="153" t="n"/>
      <c r="I672" s="153" t="n"/>
      <c r="J672" s="153" t="n"/>
      <c r="K672" s="153" t="n"/>
      <c r="L672" s="153" t="n"/>
      <c r="M672" s="153" t="n"/>
      <c r="N672" s="153" t="n"/>
      <c r="O672" s="153" t="n"/>
      <c r="P672" s="153" t="n"/>
      <c r="Q672" s="153" t="n"/>
      <c r="R672" s="153" t="n"/>
      <c r="S672" s="153" t="n"/>
      <c r="T672" s="153" t="n"/>
      <c r="U672" s="153" t="n"/>
      <c r="V672" s="153" t="n"/>
      <c r="W672" s="153" t="n"/>
      <c r="X672" s="153" t="n"/>
      <c r="Y672" s="153" t="n"/>
      <c r="Z672" s="153" t="n"/>
    </row>
    <row r="673" ht="15.75" customHeight="1" s="154">
      <c r="G673" s="153" t="n"/>
      <c r="H673" s="153" t="n"/>
      <c r="I673" s="153" t="n"/>
      <c r="J673" s="153" t="n"/>
      <c r="K673" s="153" t="n"/>
      <c r="L673" s="153" t="n"/>
      <c r="M673" s="153" t="n"/>
      <c r="N673" s="153" t="n"/>
      <c r="O673" s="153" t="n"/>
      <c r="P673" s="153" t="n"/>
      <c r="Q673" s="153" t="n"/>
      <c r="R673" s="153" t="n"/>
      <c r="S673" s="153" t="n"/>
      <c r="T673" s="153" t="n"/>
      <c r="U673" s="153" t="n"/>
      <c r="V673" s="153" t="n"/>
      <c r="W673" s="153" t="n"/>
      <c r="X673" s="153" t="n"/>
      <c r="Y673" s="153" t="n"/>
      <c r="Z673" s="153" t="n"/>
    </row>
    <row r="674" ht="15.75" customHeight="1" s="154">
      <c r="G674" s="153" t="n"/>
      <c r="H674" s="153" t="n"/>
      <c r="I674" s="153" t="n"/>
      <c r="J674" s="153" t="n"/>
      <c r="K674" s="153" t="n"/>
      <c r="L674" s="153" t="n"/>
      <c r="M674" s="153" t="n"/>
      <c r="N674" s="153" t="n"/>
      <c r="O674" s="153" t="n"/>
      <c r="P674" s="153" t="n"/>
      <c r="Q674" s="153" t="n"/>
      <c r="R674" s="153" t="n"/>
      <c r="S674" s="153" t="n"/>
      <c r="T674" s="153" t="n"/>
      <c r="U674" s="153" t="n"/>
      <c r="V674" s="153" t="n"/>
      <c r="W674" s="153" t="n"/>
      <c r="X674" s="153" t="n"/>
      <c r="Y674" s="153" t="n"/>
      <c r="Z674" s="153" t="n"/>
    </row>
    <row r="675" ht="15.75" customHeight="1" s="154">
      <c r="G675" s="153" t="n"/>
      <c r="H675" s="153" t="n"/>
      <c r="I675" s="153" t="n"/>
      <c r="J675" s="153" t="n"/>
      <c r="K675" s="153" t="n"/>
      <c r="L675" s="153" t="n"/>
      <c r="M675" s="153" t="n"/>
      <c r="N675" s="153" t="n"/>
      <c r="O675" s="153" t="n"/>
      <c r="P675" s="153" t="n"/>
      <c r="Q675" s="153" t="n"/>
      <c r="R675" s="153" t="n"/>
      <c r="S675" s="153" t="n"/>
      <c r="T675" s="153" t="n"/>
      <c r="U675" s="153" t="n"/>
      <c r="V675" s="153" t="n"/>
      <c r="W675" s="153" t="n"/>
      <c r="X675" s="153" t="n"/>
      <c r="Y675" s="153" t="n"/>
      <c r="Z675" s="153" t="n"/>
    </row>
    <row r="676" ht="15.75" customHeight="1" s="154">
      <c r="G676" s="153" t="n"/>
      <c r="H676" s="153" t="n"/>
      <c r="I676" s="153" t="n"/>
      <c r="J676" s="153" t="n"/>
      <c r="K676" s="153" t="n"/>
      <c r="L676" s="153" t="n"/>
      <c r="M676" s="153" t="n"/>
      <c r="N676" s="153" t="n"/>
      <c r="O676" s="153" t="n"/>
      <c r="P676" s="153" t="n"/>
      <c r="Q676" s="153" t="n"/>
      <c r="R676" s="153" t="n"/>
      <c r="S676" s="153" t="n"/>
      <c r="T676" s="153" t="n"/>
      <c r="U676" s="153" t="n"/>
      <c r="V676" s="153" t="n"/>
      <c r="W676" s="153" t="n"/>
      <c r="X676" s="153" t="n"/>
      <c r="Y676" s="153" t="n"/>
      <c r="Z676" s="153" t="n"/>
    </row>
    <row r="677" ht="15.75" customHeight="1" s="154">
      <c r="G677" s="153" t="n"/>
      <c r="H677" s="153" t="n"/>
      <c r="I677" s="153" t="n"/>
      <c r="J677" s="153" t="n"/>
      <c r="K677" s="153" t="n"/>
      <c r="L677" s="153" t="n"/>
      <c r="M677" s="153" t="n"/>
      <c r="N677" s="153" t="n"/>
      <c r="O677" s="153" t="n"/>
      <c r="P677" s="153" t="n"/>
      <c r="Q677" s="153" t="n"/>
      <c r="R677" s="153" t="n"/>
      <c r="S677" s="153" t="n"/>
      <c r="T677" s="153" t="n"/>
      <c r="U677" s="153" t="n"/>
      <c r="V677" s="153" t="n"/>
      <c r="W677" s="153" t="n"/>
      <c r="X677" s="153" t="n"/>
      <c r="Y677" s="153" t="n"/>
      <c r="Z677" s="153" t="n"/>
    </row>
    <row r="678" ht="15.75" customHeight="1" s="154">
      <c r="G678" s="153" t="n"/>
      <c r="H678" s="153" t="n"/>
      <c r="I678" s="153" t="n"/>
      <c r="J678" s="153" t="n"/>
      <c r="K678" s="153" t="n"/>
      <c r="L678" s="153" t="n"/>
      <c r="M678" s="153" t="n"/>
      <c r="N678" s="153" t="n"/>
      <c r="O678" s="153" t="n"/>
      <c r="P678" s="153" t="n"/>
      <c r="Q678" s="153" t="n"/>
      <c r="R678" s="153" t="n"/>
      <c r="S678" s="153" t="n"/>
      <c r="T678" s="153" t="n"/>
      <c r="U678" s="153" t="n"/>
      <c r="V678" s="153" t="n"/>
      <c r="W678" s="153" t="n"/>
      <c r="X678" s="153" t="n"/>
      <c r="Y678" s="153" t="n"/>
      <c r="Z678" s="153" t="n"/>
    </row>
    <row r="679" ht="15.75" customHeight="1" s="154">
      <c r="G679" s="153" t="n"/>
      <c r="H679" s="153" t="n"/>
      <c r="I679" s="153" t="n"/>
      <c r="J679" s="153" t="n"/>
      <c r="K679" s="153" t="n"/>
      <c r="L679" s="153" t="n"/>
      <c r="M679" s="153" t="n"/>
      <c r="N679" s="153" t="n"/>
      <c r="O679" s="153" t="n"/>
      <c r="P679" s="153" t="n"/>
      <c r="Q679" s="153" t="n"/>
      <c r="R679" s="153" t="n"/>
      <c r="S679" s="153" t="n"/>
      <c r="T679" s="153" t="n"/>
      <c r="U679" s="153" t="n"/>
      <c r="V679" s="153" t="n"/>
      <c r="W679" s="153" t="n"/>
      <c r="X679" s="153" t="n"/>
      <c r="Y679" s="153" t="n"/>
      <c r="Z679" s="153" t="n"/>
    </row>
    <row r="680" ht="15.75" customHeight="1" s="154">
      <c r="G680" s="153" t="n"/>
      <c r="H680" s="153" t="n"/>
      <c r="I680" s="153" t="n"/>
      <c r="J680" s="153" t="n"/>
      <c r="K680" s="153" t="n"/>
      <c r="L680" s="153" t="n"/>
      <c r="M680" s="153" t="n"/>
      <c r="N680" s="153" t="n"/>
      <c r="O680" s="153" t="n"/>
      <c r="P680" s="153" t="n"/>
      <c r="Q680" s="153" t="n"/>
      <c r="R680" s="153" t="n"/>
      <c r="S680" s="153" t="n"/>
      <c r="T680" s="153" t="n"/>
      <c r="U680" s="153" t="n"/>
      <c r="V680" s="153" t="n"/>
      <c r="W680" s="153" t="n"/>
      <c r="X680" s="153" t="n"/>
      <c r="Y680" s="153" t="n"/>
      <c r="Z680" s="153" t="n"/>
    </row>
    <row r="681" ht="15.75" customHeight="1" s="154">
      <c r="G681" s="153" t="n"/>
      <c r="H681" s="153" t="n"/>
      <c r="I681" s="153" t="n"/>
      <c r="J681" s="153" t="n"/>
      <c r="K681" s="153" t="n"/>
      <c r="L681" s="153" t="n"/>
      <c r="M681" s="153" t="n"/>
      <c r="N681" s="153" t="n"/>
      <c r="O681" s="153" t="n"/>
      <c r="P681" s="153" t="n"/>
      <c r="Q681" s="153" t="n"/>
      <c r="R681" s="153" t="n"/>
      <c r="S681" s="153" t="n"/>
      <c r="T681" s="153" t="n"/>
      <c r="U681" s="153" t="n"/>
      <c r="V681" s="153" t="n"/>
      <c r="W681" s="153" t="n"/>
      <c r="X681" s="153" t="n"/>
      <c r="Y681" s="153" t="n"/>
      <c r="Z681" s="153" t="n"/>
    </row>
    <row r="682" ht="15.75" customHeight="1" s="154">
      <c r="G682" s="153" t="n"/>
      <c r="H682" s="153" t="n"/>
      <c r="I682" s="153" t="n"/>
      <c r="J682" s="153" t="n"/>
      <c r="K682" s="153" t="n"/>
      <c r="L682" s="153" t="n"/>
      <c r="M682" s="153" t="n"/>
      <c r="N682" s="153" t="n"/>
      <c r="O682" s="153" t="n"/>
      <c r="P682" s="153" t="n"/>
      <c r="Q682" s="153" t="n"/>
      <c r="R682" s="153" t="n"/>
      <c r="S682" s="153" t="n"/>
      <c r="T682" s="153" t="n"/>
      <c r="U682" s="153" t="n"/>
      <c r="V682" s="153" t="n"/>
      <c r="W682" s="153" t="n"/>
      <c r="X682" s="153" t="n"/>
      <c r="Y682" s="153" t="n"/>
      <c r="Z682" s="153" t="n"/>
    </row>
    <row r="683" ht="15.75" customHeight="1" s="154">
      <c r="G683" s="153" t="n"/>
      <c r="H683" s="153" t="n"/>
      <c r="I683" s="153" t="n"/>
      <c r="J683" s="153" t="n"/>
      <c r="K683" s="153" t="n"/>
      <c r="L683" s="153" t="n"/>
      <c r="M683" s="153" t="n"/>
      <c r="N683" s="153" t="n"/>
      <c r="O683" s="153" t="n"/>
      <c r="P683" s="153" t="n"/>
      <c r="Q683" s="153" t="n"/>
      <c r="R683" s="153" t="n"/>
      <c r="S683" s="153" t="n"/>
      <c r="T683" s="153" t="n"/>
      <c r="U683" s="153" t="n"/>
      <c r="V683" s="153" t="n"/>
      <c r="W683" s="153" t="n"/>
      <c r="X683" s="153" t="n"/>
      <c r="Y683" s="153" t="n"/>
      <c r="Z683" s="153" t="n"/>
    </row>
    <row r="684" ht="15.75" customHeight="1" s="154">
      <c r="G684" s="153" t="n"/>
      <c r="H684" s="153" t="n"/>
      <c r="I684" s="153" t="n"/>
      <c r="J684" s="153" t="n"/>
      <c r="K684" s="153" t="n"/>
      <c r="L684" s="153" t="n"/>
      <c r="M684" s="153" t="n"/>
      <c r="N684" s="153" t="n"/>
      <c r="O684" s="153" t="n"/>
      <c r="P684" s="153" t="n"/>
      <c r="Q684" s="153" t="n"/>
      <c r="R684" s="153" t="n"/>
      <c r="S684" s="153" t="n"/>
      <c r="T684" s="153" t="n"/>
      <c r="U684" s="153" t="n"/>
      <c r="V684" s="153" t="n"/>
      <c r="W684" s="153" t="n"/>
      <c r="X684" s="153" t="n"/>
      <c r="Y684" s="153" t="n"/>
      <c r="Z684" s="153" t="n"/>
    </row>
    <row r="685" ht="15.75" customHeight="1" s="154">
      <c r="G685" s="153" t="n"/>
      <c r="H685" s="153" t="n"/>
      <c r="I685" s="153" t="n"/>
      <c r="J685" s="153" t="n"/>
      <c r="K685" s="153" t="n"/>
      <c r="L685" s="153" t="n"/>
      <c r="M685" s="153" t="n"/>
      <c r="N685" s="153" t="n"/>
      <c r="O685" s="153" t="n"/>
      <c r="P685" s="153" t="n"/>
      <c r="Q685" s="153" t="n"/>
      <c r="R685" s="153" t="n"/>
      <c r="S685" s="153" t="n"/>
      <c r="T685" s="153" t="n"/>
      <c r="U685" s="153" t="n"/>
      <c r="V685" s="153" t="n"/>
      <c r="W685" s="153" t="n"/>
      <c r="X685" s="153" t="n"/>
      <c r="Y685" s="153" t="n"/>
      <c r="Z685" s="153" t="n"/>
    </row>
    <row r="686" ht="15.75" customHeight="1" s="154">
      <c r="G686" s="153" t="n"/>
      <c r="H686" s="153" t="n"/>
      <c r="I686" s="153" t="n"/>
      <c r="J686" s="153" t="n"/>
      <c r="K686" s="153" t="n"/>
      <c r="L686" s="153" t="n"/>
      <c r="M686" s="153" t="n"/>
      <c r="N686" s="153" t="n"/>
      <c r="O686" s="153" t="n"/>
      <c r="P686" s="153" t="n"/>
      <c r="Q686" s="153" t="n"/>
      <c r="R686" s="153" t="n"/>
      <c r="S686" s="153" t="n"/>
      <c r="T686" s="153" t="n"/>
      <c r="U686" s="153" t="n"/>
      <c r="V686" s="153" t="n"/>
      <c r="W686" s="153" t="n"/>
      <c r="X686" s="153" t="n"/>
      <c r="Y686" s="153" t="n"/>
      <c r="Z686" s="153" t="n"/>
    </row>
    <row r="687" ht="15.75" customHeight="1" s="154">
      <c r="G687" s="153" t="n"/>
      <c r="H687" s="153" t="n"/>
      <c r="I687" s="153" t="n"/>
      <c r="J687" s="153" t="n"/>
      <c r="K687" s="153" t="n"/>
      <c r="L687" s="153" t="n"/>
      <c r="M687" s="153" t="n"/>
      <c r="N687" s="153" t="n"/>
      <c r="O687" s="153" t="n"/>
      <c r="P687" s="153" t="n"/>
      <c r="Q687" s="153" t="n"/>
      <c r="R687" s="153" t="n"/>
      <c r="S687" s="153" t="n"/>
      <c r="T687" s="153" t="n"/>
      <c r="U687" s="153" t="n"/>
      <c r="V687" s="153" t="n"/>
      <c r="W687" s="153" t="n"/>
      <c r="X687" s="153" t="n"/>
      <c r="Y687" s="153" t="n"/>
      <c r="Z687" s="153" t="n"/>
    </row>
    <row r="688" ht="15.75" customHeight="1" s="154">
      <c r="G688" s="153" t="n"/>
      <c r="H688" s="153" t="n"/>
      <c r="I688" s="153" t="n"/>
      <c r="J688" s="153" t="n"/>
      <c r="K688" s="153" t="n"/>
      <c r="L688" s="153" t="n"/>
      <c r="M688" s="153" t="n"/>
      <c r="N688" s="153" t="n"/>
      <c r="O688" s="153" t="n"/>
      <c r="P688" s="153" t="n"/>
      <c r="Q688" s="153" t="n"/>
      <c r="R688" s="153" t="n"/>
      <c r="S688" s="153" t="n"/>
      <c r="T688" s="153" t="n"/>
      <c r="U688" s="153" t="n"/>
      <c r="V688" s="153" t="n"/>
      <c r="W688" s="153" t="n"/>
      <c r="X688" s="153" t="n"/>
      <c r="Y688" s="153" t="n"/>
      <c r="Z688" s="153" t="n"/>
    </row>
    <row r="689" ht="15.75" customHeight="1" s="154">
      <c r="G689" s="153" t="n"/>
      <c r="H689" s="153" t="n"/>
      <c r="I689" s="153" t="n"/>
      <c r="J689" s="153" t="n"/>
      <c r="K689" s="153" t="n"/>
      <c r="L689" s="153" t="n"/>
      <c r="M689" s="153" t="n"/>
      <c r="N689" s="153" t="n"/>
      <c r="O689" s="153" t="n"/>
      <c r="P689" s="153" t="n"/>
      <c r="Q689" s="153" t="n"/>
      <c r="R689" s="153" t="n"/>
      <c r="S689" s="153" t="n"/>
      <c r="T689" s="153" t="n"/>
      <c r="U689" s="153" t="n"/>
      <c r="V689" s="153" t="n"/>
      <c r="W689" s="153" t="n"/>
      <c r="X689" s="153" t="n"/>
      <c r="Y689" s="153" t="n"/>
      <c r="Z689" s="153" t="n"/>
    </row>
    <row r="690" ht="15.75" customHeight="1" s="154">
      <c r="G690" s="153" t="n"/>
      <c r="H690" s="153" t="n"/>
      <c r="I690" s="153" t="n"/>
      <c r="J690" s="153" t="n"/>
      <c r="K690" s="153" t="n"/>
      <c r="L690" s="153" t="n"/>
      <c r="M690" s="153" t="n"/>
      <c r="N690" s="153" t="n"/>
      <c r="O690" s="153" t="n"/>
      <c r="P690" s="153" t="n"/>
      <c r="Q690" s="153" t="n"/>
      <c r="R690" s="153" t="n"/>
      <c r="S690" s="153" t="n"/>
      <c r="T690" s="153" t="n"/>
      <c r="U690" s="153" t="n"/>
      <c r="V690" s="153" t="n"/>
      <c r="W690" s="153" t="n"/>
      <c r="X690" s="153" t="n"/>
      <c r="Y690" s="153" t="n"/>
      <c r="Z690" s="153" t="n"/>
    </row>
    <row r="691" ht="15.75" customHeight="1" s="154">
      <c r="G691" s="153" t="n"/>
      <c r="H691" s="153" t="n"/>
      <c r="I691" s="153" t="n"/>
      <c r="J691" s="153" t="n"/>
      <c r="K691" s="153" t="n"/>
      <c r="L691" s="153" t="n"/>
      <c r="M691" s="153" t="n"/>
      <c r="N691" s="153" t="n"/>
      <c r="O691" s="153" t="n"/>
      <c r="P691" s="153" t="n"/>
      <c r="Q691" s="153" t="n"/>
      <c r="R691" s="153" t="n"/>
      <c r="S691" s="153" t="n"/>
      <c r="T691" s="153" t="n"/>
      <c r="U691" s="153" t="n"/>
      <c r="V691" s="153" t="n"/>
      <c r="W691" s="153" t="n"/>
      <c r="X691" s="153" t="n"/>
      <c r="Y691" s="153" t="n"/>
      <c r="Z691" s="153" t="n"/>
    </row>
    <row r="692" ht="15.75" customHeight="1" s="154">
      <c r="G692" s="153" t="n"/>
      <c r="H692" s="153" t="n"/>
      <c r="I692" s="153" t="n"/>
      <c r="J692" s="153" t="n"/>
      <c r="K692" s="153" t="n"/>
      <c r="L692" s="153" t="n"/>
      <c r="M692" s="153" t="n"/>
      <c r="N692" s="153" t="n"/>
      <c r="O692" s="153" t="n"/>
      <c r="P692" s="153" t="n"/>
      <c r="Q692" s="153" t="n"/>
      <c r="R692" s="153" t="n"/>
      <c r="S692" s="153" t="n"/>
      <c r="T692" s="153" t="n"/>
      <c r="U692" s="153" t="n"/>
      <c r="V692" s="153" t="n"/>
      <c r="W692" s="153" t="n"/>
      <c r="X692" s="153" t="n"/>
      <c r="Y692" s="153" t="n"/>
      <c r="Z692" s="153" t="n"/>
    </row>
    <row r="693" ht="15.75" customHeight="1" s="154">
      <c r="G693" s="153" t="n"/>
      <c r="H693" s="153" t="n"/>
      <c r="I693" s="153" t="n"/>
      <c r="J693" s="153" t="n"/>
      <c r="K693" s="153" t="n"/>
      <c r="L693" s="153" t="n"/>
      <c r="M693" s="153" t="n"/>
      <c r="N693" s="153" t="n"/>
      <c r="O693" s="153" t="n"/>
      <c r="P693" s="153" t="n"/>
      <c r="Q693" s="153" t="n"/>
      <c r="R693" s="153" t="n"/>
      <c r="S693" s="153" t="n"/>
      <c r="T693" s="153" t="n"/>
      <c r="U693" s="153" t="n"/>
      <c r="V693" s="153" t="n"/>
      <c r="W693" s="153" t="n"/>
      <c r="X693" s="153" t="n"/>
      <c r="Y693" s="153" t="n"/>
      <c r="Z693" s="153" t="n"/>
    </row>
    <row r="694" ht="15.75" customHeight="1" s="154">
      <c r="G694" s="153" t="n"/>
      <c r="H694" s="153" t="n"/>
      <c r="I694" s="153" t="n"/>
      <c r="J694" s="153" t="n"/>
      <c r="K694" s="153" t="n"/>
      <c r="L694" s="153" t="n"/>
      <c r="M694" s="153" t="n"/>
      <c r="N694" s="153" t="n"/>
      <c r="O694" s="153" t="n"/>
      <c r="P694" s="153" t="n"/>
      <c r="Q694" s="153" t="n"/>
      <c r="R694" s="153" t="n"/>
      <c r="S694" s="153" t="n"/>
      <c r="T694" s="153" t="n"/>
      <c r="U694" s="153" t="n"/>
      <c r="V694" s="153" t="n"/>
      <c r="W694" s="153" t="n"/>
      <c r="X694" s="153" t="n"/>
      <c r="Y694" s="153" t="n"/>
      <c r="Z694" s="153" t="n"/>
    </row>
    <row r="695" ht="15.75" customHeight="1" s="154">
      <c r="G695" s="153" t="n"/>
      <c r="H695" s="153" t="n"/>
      <c r="I695" s="153" t="n"/>
      <c r="J695" s="153" t="n"/>
      <c r="K695" s="153" t="n"/>
      <c r="L695" s="153" t="n"/>
      <c r="M695" s="153" t="n"/>
      <c r="N695" s="153" t="n"/>
      <c r="O695" s="153" t="n"/>
      <c r="P695" s="153" t="n"/>
      <c r="Q695" s="153" t="n"/>
      <c r="R695" s="153" t="n"/>
      <c r="S695" s="153" t="n"/>
      <c r="T695" s="153" t="n"/>
      <c r="U695" s="153" t="n"/>
      <c r="V695" s="153" t="n"/>
      <c r="W695" s="153" t="n"/>
      <c r="X695" s="153" t="n"/>
      <c r="Y695" s="153" t="n"/>
      <c r="Z695" s="153" t="n"/>
    </row>
    <row r="696" ht="15.75" customHeight="1" s="154">
      <c r="G696" s="153" t="n"/>
      <c r="H696" s="153" t="n"/>
      <c r="I696" s="153" t="n"/>
      <c r="J696" s="153" t="n"/>
      <c r="K696" s="153" t="n"/>
      <c r="L696" s="153" t="n"/>
      <c r="M696" s="153" t="n"/>
      <c r="N696" s="153" t="n"/>
      <c r="O696" s="153" t="n"/>
      <c r="P696" s="153" t="n"/>
      <c r="Q696" s="153" t="n"/>
      <c r="R696" s="153" t="n"/>
      <c r="S696" s="153" t="n"/>
      <c r="T696" s="153" t="n"/>
      <c r="U696" s="153" t="n"/>
      <c r="V696" s="153" t="n"/>
      <c r="W696" s="153" t="n"/>
      <c r="X696" s="153" t="n"/>
      <c r="Y696" s="153" t="n"/>
      <c r="Z696" s="153" t="n"/>
    </row>
    <row r="697" ht="15.75" customHeight="1" s="154">
      <c r="G697" s="153" t="n"/>
      <c r="H697" s="153" t="n"/>
      <c r="I697" s="153" t="n"/>
      <c r="J697" s="153" t="n"/>
      <c r="K697" s="153" t="n"/>
      <c r="L697" s="153" t="n"/>
      <c r="M697" s="153" t="n"/>
      <c r="N697" s="153" t="n"/>
      <c r="O697" s="153" t="n"/>
      <c r="P697" s="153" t="n"/>
      <c r="Q697" s="153" t="n"/>
      <c r="R697" s="153" t="n"/>
      <c r="S697" s="153" t="n"/>
      <c r="T697" s="153" t="n"/>
      <c r="U697" s="153" t="n"/>
      <c r="V697" s="153" t="n"/>
      <c r="W697" s="153" t="n"/>
      <c r="X697" s="153" t="n"/>
      <c r="Y697" s="153" t="n"/>
      <c r="Z697" s="153" t="n"/>
    </row>
    <row r="698" ht="15.75" customHeight="1" s="154">
      <c r="G698" s="153" t="n"/>
      <c r="H698" s="153" t="n"/>
      <c r="I698" s="153" t="n"/>
      <c r="J698" s="153" t="n"/>
      <c r="K698" s="153" t="n"/>
      <c r="L698" s="153" t="n"/>
      <c r="M698" s="153" t="n"/>
      <c r="N698" s="153" t="n"/>
      <c r="O698" s="153" t="n"/>
      <c r="P698" s="153" t="n"/>
      <c r="Q698" s="153" t="n"/>
      <c r="R698" s="153" t="n"/>
      <c r="S698" s="153" t="n"/>
      <c r="T698" s="153" t="n"/>
      <c r="U698" s="153" t="n"/>
      <c r="V698" s="153" t="n"/>
      <c r="W698" s="153" t="n"/>
      <c r="X698" s="153" t="n"/>
      <c r="Y698" s="153" t="n"/>
      <c r="Z698" s="153" t="n"/>
    </row>
    <row r="699" ht="15.75" customHeight="1" s="154">
      <c r="G699" s="153" t="n"/>
      <c r="H699" s="153" t="n"/>
      <c r="I699" s="153" t="n"/>
      <c r="J699" s="153" t="n"/>
      <c r="K699" s="153" t="n"/>
      <c r="L699" s="153" t="n"/>
      <c r="M699" s="153" t="n"/>
      <c r="N699" s="153" t="n"/>
      <c r="O699" s="153" t="n"/>
      <c r="P699" s="153" t="n"/>
      <c r="Q699" s="153" t="n"/>
      <c r="R699" s="153" t="n"/>
      <c r="S699" s="153" t="n"/>
      <c r="T699" s="153" t="n"/>
      <c r="U699" s="153" t="n"/>
      <c r="V699" s="153" t="n"/>
      <c r="W699" s="153" t="n"/>
      <c r="X699" s="153" t="n"/>
      <c r="Y699" s="153" t="n"/>
      <c r="Z699" s="153" t="n"/>
    </row>
    <row r="700" ht="15.75" customHeight="1" s="154">
      <c r="G700" s="153" t="n"/>
      <c r="H700" s="153" t="n"/>
      <c r="I700" s="153" t="n"/>
      <c r="J700" s="153" t="n"/>
      <c r="K700" s="153" t="n"/>
      <c r="L700" s="153" t="n"/>
      <c r="M700" s="153" t="n"/>
      <c r="N700" s="153" t="n"/>
      <c r="O700" s="153" t="n"/>
      <c r="P700" s="153" t="n"/>
      <c r="Q700" s="153" t="n"/>
      <c r="R700" s="153" t="n"/>
      <c r="S700" s="153" t="n"/>
      <c r="T700" s="153" t="n"/>
      <c r="U700" s="153" t="n"/>
      <c r="V700" s="153" t="n"/>
      <c r="W700" s="153" t="n"/>
      <c r="X700" s="153" t="n"/>
      <c r="Y700" s="153" t="n"/>
      <c r="Z700" s="153" t="n"/>
    </row>
    <row r="701" ht="15.75" customHeight="1" s="154">
      <c r="G701" s="153" t="n"/>
      <c r="H701" s="153" t="n"/>
      <c r="I701" s="153" t="n"/>
      <c r="J701" s="153" t="n"/>
      <c r="K701" s="153" t="n"/>
      <c r="L701" s="153" t="n"/>
      <c r="M701" s="153" t="n"/>
      <c r="N701" s="153" t="n"/>
      <c r="O701" s="153" t="n"/>
      <c r="P701" s="153" t="n"/>
      <c r="Q701" s="153" t="n"/>
      <c r="R701" s="153" t="n"/>
      <c r="S701" s="153" t="n"/>
      <c r="T701" s="153" t="n"/>
      <c r="U701" s="153" t="n"/>
      <c r="V701" s="153" t="n"/>
      <c r="W701" s="153" t="n"/>
      <c r="X701" s="153" t="n"/>
      <c r="Y701" s="153" t="n"/>
      <c r="Z701" s="153" t="n"/>
    </row>
    <row r="702" ht="15.75" customHeight="1" s="154">
      <c r="G702" s="153" t="n"/>
      <c r="H702" s="153" t="n"/>
      <c r="I702" s="153" t="n"/>
      <c r="J702" s="153" t="n"/>
      <c r="K702" s="153" t="n"/>
      <c r="L702" s="153" t="n"/>
      <c r="M702" s="153" t="n"/>
      <c r="N702" s="153" t="n"/>
      <c r="O702" s="153" t="n"/>
      <c r="P702" s="153" t="n"/>
      <c r="Q702" s="153" t="n"/>
      <c r="R702" s="153" t="n"/>
      <c r="S702" s="153" t="n"/>
      <c r="T702" s="153" t="n"/>
      <c r="U702" s="153" t="n"/>
      <c r="V702" s="153" t="n"/>
      <c r="W702" s="153" t="n"/>
      <c r="X702" s="153" t="n"/>
      <c r="Y702" s="153" t="n"/>
      <c r="Z702" s="153" t="n"/>
    </row>
    <row r="703" ht="15.75" customHeight="1" s="154">
      <c r="G703" s="153" t="n"/>
      <c r="H703" s="153" t="n"/>
      <c r="I703" s="153" t="n"/>
      <c r="J703" s="153" t="n"/>
      <c r="K703" s="153" t="n"/>
      <c r="L703" s="153" t="n"/>
      <c r="M703" s="153" t="n"/>
      <c r="N703" s="153" t="n"/>
      <c r="O703" s="153" t="n"/>
      <c r="P703" s="153" t="n"/>
      <c r="Q703" s="153" t="n"/>
      <c r="R703" s="153" t="n"/>
      <c r="S703" s="153" t="n"/>
      <c r="T703" s="153" t="n"/>
      <c r="U703" s="153" t="n"/>
      <c r="V703" s="153" t="n"/>
      <c r="W703" s="153" t="n"/>
      <c r="X703" s="153" t="n"/>
      <c r="Y703" s="153" t="n"/>
      <c r="Z703" s="153" t="n"/>
    </row>
    <row r="704" ht="15.75" customHeight="1" s="154">
      <c r="G704" s="153" t="n"/>
      <c r="H704" s="153" t="n"/>
      <c r="I704" s="153" t="n"/>
      <c r="J704" s="153" t="n"/>
      <c r="K704" s="153" t="n"/>
      <c r="L704" s="153" t="n"/>
      <c r="M704" s="153" t="n"/>
      <c r="N704" s="153" t="n"/>
      <c r="O704" s="153" t="n"/>
      <c r="P704" s="153" t="n"/>
      <c r="Q704" s="153" t="n"/>
      <c r="R704" s="153" t="n"/>
      <c r="S704" s="153" t="n"/>
      <c r="T704" s="153" t="n"/>
      <c r="U704" s="153" t="n"/>
      <c r="V704" s="153" t="n"/>
      <c r="W704" s="153" t="n"/>
      <c r="X704" s="153" t="n"/>
      <c r="Y704" s="153" t="n"/>
      <c r="Z704" s="153" t="n"/>
    </row>
    <row r="705" ht="15.75" customHeight="1" s="154">
      <c r="G705" s="153" t="n"/>
      <c r="H705" s="153" t="n"/>
      <c r="I705" s="153" t="n"/>
      <c r="J705" s="153" t="n"/>
      <c r="K705" s="153" t="n"/>
      <c r="L705" s="153" t="n"/>
      <c r="M705" s="153" t="n"/>
      <c r="N705" s="153" t="n"/>
      <c r="O705" s="153" t="n"/>
      <c r="P705" s="153" t="n"/>
      <c r="Q705" s="153" t="n"/>
      <c r="R705" s="153" t="n"/>
      <c r="S705" s="153" t="n"/>
      <c r="T705" s="153" t="n"/>
      <c r="U705" s="153" t="n"/>
      <c r="V705" s="153" t="n"/>
      <c r="W705" s="153" t="n"/>
      <c r="X705" s="153" t="n"/>
      <c r="Y705" s="153" t="n"/>
      <c r="Z705" s="153" t="n"/>
    </row>
    <row r="706" ht="15.75" customHeight="1" s="154">
      <c r="G706" s="153" t="n"/>
      <c r="H706" s="153" t="n"/>
      <c r="I706" s="153" t="n"/>
      <c r="J706" s="153" t="n"/>
      <c r="K706" s="153" t="n"/>
      <c r="L706" s="153" t="n"/>
      <c r="M706" s="153" t="n"/>
      <c r="N706" s="153" t="n"/>
      <c r="O706" s="153" t="n"/>
      <c r="P706" s="153" t="n"/>
      <c r="Q706" s="153" t="n"/>
      <c r="R706" s="153" t="n"/>
      <c r="S706" s="153" t="n"/>
      <c r="T706" s="153" t="n"/>
      <c r="U706" s="153" t="n"/>
      <c r="V706" s="153" t="n"/>
      <c r="W706" s="153" t="n"/>
      <c r="X706" s="153" t="n"/>
      <c r="Y706" s="153" t="n"/>
      <c r="Z706" s="153" t="n"/>
    </row>
    <row r="707" ht="15.75" customHeight="1" s="154">
      <c r="G707" s="153" t="n"/>
      <c r="H707" s="153" t="n"/>
      <c r="I707" s="153" t="n"/>
      <c r="J707" s="153" t="n"/>
      <c r="K707" s="153" t="n"/>
      <c r="L707" s="153" t="n"/>
      <c r="M707" s="153" t="n"/>
      <c r="N707" s="153" t="n"/>
      <c r="O707" s="153" t="n"/>
      <c r="P707" s="153" t="n"/>
      <c r="Q707" s="153" t="n"/>
      <c r="R707" s="153" t="n"/>
      <c r="S707" s="153" t="n"/>
      <c r="T707" s="153" t="n"/>
      <c r="U707" s="153" t="n"/>
      <c r="V707" s="153" t="n"/>
      <c r="W707" s="153" t="n"/>
      <c r="X707" s="153" t="n"/>
      <c r="Y707" s="153" t="n"/>
      <c r="Z707" s="153" t="n"/>
    </row>
    <row r="708" ht="15.75" customHeight="1" s="154">
      <c r="G708" s="153" t="n"/>
      <c r="H708" s="153" t="n"/>
      <c r="I708" s="153" t="n"/>
      <c r="J708" s="153" t="n"/>
      <c r="K708" s="153" t="n"/>
      <c r="L708" s="153" t="n"/>
      <c r="M708" s="153" t="n"/>
      <c r="N708" s="153" t="n"/>
      <c r="O708" s="153" t="n"/>
      <c r="P708" s="153" t="n"/>
      <c r="Q708" s="153" t="n"/>
      <c r="R708" s="153" t="n"/>
      <c r="S708" s="153" t="n"/>
      <c r="T708" s="153" t="n"/>
      <c r="U708" s="153" t="n"/>
      <c r="V708" s="153" t="n"/>
      <c r="W708" s="153" t="n"/>
      <c r="X708" s="153" t="n"/>
      <c r="Y708" s="153" t="n"/>
      <c r="Z708" s="153" t="n"/>
    </row>
    <row r="709" ht="15.75" customHeight="1" s="154">
      <c r="G709" s="153" t="n"/>
      <c r="H709" s="153" t="n"/>
      <c r="I709" s="153" t="n"/>
      <c r="J709" s="153" t="n"/>
      <c r="K709" s="153" t="n"/>
      <c r="L709" s="153" t="n"/>
      <c r="M709" s="153" t="n"/>
      <c r="N709" s="153" t="n"/>
      <c r="O709" s="153" t="n"/>
      <c r="P709" s="153" t="n"/>
      <c r="Q709" s="153" t="n"/>
      <c r="R709" s="153" t="n"/>
      <c r="S709" s="153" t="n"/>
      <c r="T709" s="153" t="n"/>
      <c r="U709" s="153" t="n"/>
      <c r="V709" s="153" t="n"/>
      <c r="W709" s="153" t="n"/>
      <c r="X709" s="153" t="n"/>
      <c r="Y709" s="153" t="n"/>
      <c r="Z709" s="153" t="n"/>
    </row>
    <row r="710" ht="15.75" customHeight="1" s="154">
      <c r="G710" s="153" t="n"/>
      <c r="H710" s="153" t="n"/>
      <c r="I710" s="153" t="n"/>
      <c r="J710" s="153" t="n"/>
      <c r="K710" s="153" t="n"/>
      <c r="L710" s="153" t="n"/>
      <c r="M710" s="153" t="n"/>
      <c r="N710" s="153" t="n"/>
      <c r="O710" s="153" t="n"/>
      <c r="P710" s="153" t="n"/>
      <c r="Q710" s="153" t="n"/>
      <c r="R710" s="153" t="n"/>
      <c r="S710" s="153" t="n"/>
      <c r="T710" s="153" t="n"/>
      <c r="U710" s="153" t="n"/>
      <c r="V710" s="153" t="n"/>
      <c r="W710" s="153" t="n"/>
      <c r="X710" s="153" t="n"/>
      <c r="Y710" s="153" t="n"/>
      <c r="Z710" s="153" t="n"/>
    </row>
    <row r="711" ht="15.75" customHeight="1" s="154">
      <c r="G711" s="153" t="n"/>
      <c r="H711" s="153" t="n"/>
      <c r="I711" s="153" t="n"/>
      <c r="J711" s="153" t="n"/>
      <c r="K711" s="153" t="n"/>
      <c r="L711" s="153" t="n"/>
      <c r="M711" s="153" t="n"/>
      <c r="N711" s="153" t="n"/>
      <c r="O711" s="153" t="n"/>
      <c r="P711" s="153" t="n"/>
      <c r="Q711" s="153" t="n"/>
      <c r="R711" s="153" t="n"/>
      <c r="S711" s="153" t="n"/>
      <c r="T711" s="153" t="n"/>
      <c r="U711" s="153" t="n"/>
      <c r="V711" s="153" t="n"/>
      <c r="W711" s="153" t="n"/>
      <c r="X711" s="153" t="n"/>
      <c r="Y711" s="153" t="n"/>
      <c r="Z711" s="153" t="n"/>
    </row>
    <row r="712" ht="15.75" customHeight="1" s="154">
      <c r="G712" s="153" t="n"/>
      <c r="H712" s="153" t="n"/>
      <c r="I712" s="153" t="n"/>
      <c r="J712" s="153" t="n"/>
      <c r="K712" s="153" t="n"/>
      <c r="L712" s="153" t="n"/>
      <c r="M712" s="153" t="n"/>
      <c r="N712" s="153" t="n"/>
      <c r="O712" s="153" t="n"/>
      <c r="P712" s="153" t="n"/>
      <c r="Q712" s="153" t="n"/>
      <c r="R712" s="153" t="n"/>
      <c r="S712" s="153" t="n"/>
      <c r="T712" s="153" t="n"/>
      <c r="U712" s="153" t="n"/>
      <c r="V712" s="153" t="n"/>
      <c r="W712" s="153" t="n"/>
      <c r="X712" s="153" t="n"/>
      <c r="Y712" s="153" t="n"/>
      <c r="Z712" s="153" t="n"/>
    </row>
    <row r="713" ht="15.75" customHeight="1" s="154">
      <c r="G713" s="153" t="n"/>
      <c r="H713" s="153" t="n"/>
      <c r="I713" s="153" t="n"/>
      <c r="J713" s="153" t="n"/>
      <c r="K713" s="153" t="n"/>
      <c r="L713" s="153" t="n"/>
      <c r="M713" s="153" t="n"/>
      <c r="N713" s="153" t="n"/>
      <c r="O713" s="153" t="n"/>
      <c r="P713" s="153" t="n"/>
      <c r="Q713" s="153" t="n"/>
      <c r="R713" s="153" t="n"/>
      <c r="S713" s="153" t="n"/>
      <c r="T713" s="153" t="n"/>
      <c r="U713" s="153" t="n"/>
      <c r="V713" s="153" t="n"/>
      <c r="W713" s="153" t="n"/>
      <c r="X713" s="153" t="n"/>
      <c r="Y713" s="153" t="n"/>
      <c r="Z713" s="153" t="n"/>
    </row>
    <row r="714" ht="15.75" customHeight="1" s="154">
      <c r="G714" s="153" t="n"/>
      <c r="H714" s="153" t="n"/>
      <c r="I714" s="153" t="n"/>
      <c r="J714" s="153" t="n"/>
      <c r="K714" s="153" t="n"/>
      <c r="L714" s="153" t="n"/>
      <c r="M714" s="153" t="n"/>
      <c r="N714" s="153" t="n"/>
      <c r="O714" s="153" t="n"/>
      <c r="P714" s="153" t="n"/>
      <c r="Q714" s="153" t="n"/>
      <c r="R714" s="153" t="n"/>
      <c r="S714" s="153" t="n"/>
      <c r="T714" s="153" t="n"/>
      <c r="U714" s="153" t="n"/>
      <c r="V714" s="153" t="n"/>
      <c r="W714" s="153" t="n"/>
      <c r="X714" s="153" t="n"/>
      <c r="Y714" s="153" t="n"/>
      <c r="Z714" s="153" t="n"/>
    </row>
    <row r="715" ht="15.75" customHeight="1" s="154">
      <c r="G715" s="153" t="n"/>
      <c r="H715" s="153" t="n"/>
      <c r="I715" s="153" t="n"/>
      <c r="J715" s="153" t="n"/>
      <c r="K715" s="153" t="n"/>
      <c r="L715" s="153" t="n"/>
      <c r="M715" s="153" t="n"/>
      <c r="N715" s="153" t="n"/>
      <c r="O715" s="153" t="n"/>
      <c r="P715" s="153" t="n"/>
      <c r="Q715" s="153" t="n"/>
      <c r="R715" s="153" t="n"/>
      <c r="S715" s="153" t="n"/>
      <c r="T715" s="153" t="n"/>
      <c r="U715" s="153" t="n"/>
      <c r="V715" s="153" t="n"/>
      <c r="W715" s="153" t="n"/>
      <c r="X715" s="153" t="n"/>
      <c r="Y715" s="153" t="n"/>
      <c r="Z715" s="153" t="n"/>
    </row>
    <row r="716" ht="15.75" customHeight="1" s="154">
      <c r="G716" s="153" t="n"/>
      <c r="H716" s="153" t="n"/>
      <c r="I716" s="153" t="n"/>
      <c r="J716" s="153" t="n"/>
      <c r="K716" s="153" t="n"/>
      <c r="L716" s="153" t="n"/>
      <c r="M716" s="153" t="n"/>
      <c r="N716" s="153" t="n"/>
      <c r="O716" s="153" t="n"/>
      <c r="P716" s="153" t="n"/>
      <c r="Q716" s="153" t="n"/>
      <c r="R716" s="153" t="n"/>
      <c r="S716" s="153" t="n"/>
      <c r="T716" s="153" t="n"/>
      <c r="U716" s="153" t="n"/>
      <c r="V716" s="153" t="n"/>
      <c r="W716" s="153" t="n"/>
      <c r="X716" s="153" t="n"/>
      <c r="Y716" s="153" t="n"/>
      <c r="Z716" s="153" t="n"/>
    </row>
    <row r="717" ht="15.75" customHeight="1" s="154">
      <c r="G717" s="153" t="n"/>
      <c r="H717" s="153" t="n"/>
      <c r="I717" s="153" t="n"/>
      <c r="J717" s="153" t="n"/>
      <c r="K717" s="153" t="n"/>
      <c r="L717" s="153" t="n"/>
      <c r="M717" s="153" t="n"/>
      <c r="N717" s="153" t="n"/>
      <c r="O717" s="153" t="n"/>
      <c r="P717" s="153" t="n"/>
      <c r="Q717" s="153" t="n"/>
      <c r="R717" s="153" t="n"/>
      <c r="S717" s="153" t="n"/>
      <c r="T717" s="153" t="n"/>
      <c r="U717" s="153" t="n"/>
      <c r="V717" s="153" t="n"/>
      <c r="W717" s="153" t="n"/>
      <c r="X717" s="153" t="n"/>
      <c r="Y717" s="153" t="n"/>
      <c r="Z717" s="153" t="n"/>
    </row>
    <row r="718" ht="15.75" customHeight="1" s="154">
      <c r="G718" s="153" t="n"/>
      <c r="H718" s="153" t="n"/>
      <c r="I718" s="153" t="n"/>
      <c r="J718" s="153" t="n"/>
      <c r="K718" s="153" t="n"/>
      <c r="L718" s="153" t="n"/>
      <c r="M718" s="153" t="n"/>
      <c r="N718" s="153" t="n"/>
      <c r="O718" s="153" t="n"/>
      <c r="P718" s="153" t="n"/>
      <c r="Q718" s="153" t="n"/>
      <c r="R718" s="153" t="n"/>
      <c r="S718" s="153" t="n"/>
      <c r="T718" s="153" t="n"/>
      <c r="U718" s="153" t="n"/>
      <c r="V718" s="153" t="n"/>
      <c r="W718" s="153" t="n"/>
      <c r="X718" s="153" t="n"/>
      <c r="Y718" s="153" t="n"/>
      <c r="Z718" s="153" t="n"/>
    </row>
    <row r="719" ht="15.75" customHeight="1" s="154">
      <c r="G719" s="153" t="n"/>
      <c r="H719" s="153" t="n"/>
      <c r="I719" s="153" t="n"/>
      <c r="J719" s="153" t="n"/>
      <c r="K719" s="153" t="n"/>
      <c r="L719" s="153" t="n"/>
      <c r="M719" s="153" t="n"/>
      <c r="N719" s="153" t="n"/>
      <c r="O719" s="153" t="n"/>
      <c r="P719" s="153" t="n"/>
      <c r="Q719" s="153" t="n"/>
      <c r="R719" s="153" t="n"/>
      <c r="S719" s="153" t="n"/>
      <c r="T719" s="153" t="n"/>
      <c r="U719" s="153" t="n"/>
      <c r="V719" s="153" t="n"/>
      <c r="W719" s="153" t="n"/>
      <c r="X719" s="153" t="n"/>
      <c r="Y719" s="153" t="n"/>
      <c r="Z719" s="153" t="n"/>
    </row>
    <row r="720" ht="15.75" customHeight="1" s="154">
      <c r="G720" s="153" t="n"/>
      <c r="H720" s="153" t="n"/>
      <c r="I720" s="153" t="n"/>
      <c r="J720" s="153" t="n"/>
      <c r="K720" s="153" t="n"/>
      <c r="L720" s="153" t="n"/>
      <c r="M720" s="153" t="n"/>
      <c r="N720" s="153" t="n"/>
      <c r="O720" s="153" t="n"/>
      <c r="P720" s="153" t="n"/>
      <c r="Q720" s="153" t="n"/>
      <c r="R720" s="153" t="n"/>
      <c r="S720" s="153" t="n"/>
      <c r="T720" s="153" t="n"/>
      <c r="U720" s="153" t="n"/>
      <c r="V720" s="153" t="n"/>
      <c r="W720" s="153" t="n"/>
      <c r="X720" s="153" t="n"/>
      <c r="Y720" s="153" t="n"/>
      <c r="Z720" s="153" t="n"/>
    </row>
    <row r="721" ht="15.75" customHeight="1" s="154">
      <c r="G721" s="153" t="n"/>
      <c r="H721" s="153" t="n"/>
      <c r="I721" s="153" t="n"/>
      <c r="J721" s="153" t="n"/>
      <c r="K721" s="153" t="n"/>
      <c r="L721" s="153" t="n"/>
      <c r="M721" s="153" t="n"/>
      <c r="N721" s="153" t="n"/>
      <c r="O721" s="153" t="n"/>
      <c r="P721" s="153" t="n"/>
      <c r="Q721" s="153" t="n"/>
      <c r="R721" s="153" t="n"/>
      <c r="S721" s="153" t="n"/>
      <c r="T721" s="153" t="n"/>
      <c r="U721" s="153" t="n"/>
      <c r="V721" s="153" t="n"/>
      <c r="W721" s="153" t="n"/>
      <c r="X721" s="153" t="n"/>
      <c r="Y721" s="153" t="n"/>
      <c r="Z721" s="153" t="n"/>
    </row>
    <row r="722" ht="15.75" customHeight="1" s="154">
      <c r="G722" s="153" t="n"/>
      <c r="H722" s="153" t="n"/>
      <c r="I722" s="153" t="n"/>
      <c r="J722" s="153" t="n"/>
      <c r="K722" s="153" t="n"/>
      <c r="L722" s="153" t="n"/>
      <c r="M722" s="153" t="n"/>
      <c r="N722" s="153" t="n"/>
      <c r="O722" s="153" t="n"/>
      <c r="P722" s="153" t="n"/>
      <c r="Q722" s="153" t="n"/>
      <c r="R722" s="153" t="n"/>
      <c r="S722" s="153" t="n"/>
      <c r="T722" s="153" t="n"/>
      <c r="U722" s="153" t="n"/>
      <c r="V722" s="153" t="n"/>
      <c r="W722" s="153" t="n"/>
      <c r="X722" s="153" t="n"/>
      <c r="Y722" s="153" t="n"/>
      <c r="Z722" s="153" t="n"/>
    </row>
    <row r="723" ht="15.75" customHeight="1" s="154">
      <c r="G723" s="153" t="n"/>
      <c r="H723" s="153" t="n"/>
      <c r="I723" s="153" t="n"/>
      <c r="J723" s="153" t="n"/>
      <c r="K723" s="153" t="n"/>
      <c r="L723" s="153" t="n"/>
      <c r="M723" s="153" t="n"/>
      <c r="N723" s="153" t="n"/>
      <c r="O723" s="153" t="n"/>
      <c r="P723" s="153" t="n"/>
      <c r="Q723" s="153" t="n"/>
      <c r="R723" s="153" t="n"/>
      <c r="S723" s="153" t="n"/>
      <c r="T723" s="153" t="n"/>
      <c r="U723" s="153" t="n"/>
      <c r="V723" s="153" t="n"/>
      <c r="W723" s="153" t="n"/>
      <c r="X723" s="153" t="n"/>
      <c r="Y723" s="153" t="n"/>
      <c r="Z723" s="153" t="n"/>
    </row>
    <row r="724" ht="15.75" customHeight="1" s="154">
      <c r="G724" s="153" t="n"/>
      <c r="H724" s="153" t="n"/>
      <c r="I724" s="153" t="n"/>
      <c r="J724" s="153" t="n"/>
      <c r="K724" s="153" t="n"/>
      <c r="L724" s="153" t="n"/>
      <c r="M724" s="153" t="n"/>
      <c r="N724" s="153" t="n"/>
      <c r="O724" s="153" t="n"/>
      <c r="P724" s="153" t="n"/>
      <c r="Q724" s="153" t="n"/>
      <c r="R724" s="153" t="n"/>
      <c r="S724" s="153" t="n"/>
      <c r="T724" s="153" t="n"/>
      <c r="U724" s="153" t="n"/>
      <c r="V724" s="153" t="n"/>
      <c r="W724" s="153" t="n"/>
      <c r="X724" s="153" t="n"/>
      <c r="Y724" s="153" t="n"/>
      <c r="Z724" s="153" t="n"/>
    </row>
    <row r="725" ht="15.75" customHeight="1" s="154">
      <c r="G725" s="153" t="n"/>
      <c r="H725" s="153" t="n"/>
      <c r="I725" s="153" t="n"/>
      <c r="J725" s="153" t="n"/>
      <c r="K725" s="153" t="n"/>
      <c r="L725" s="153" t="n"/>
      <c r="M725" s="153" t="n"/>
      <c r="N725" s="153" t="n"/>
      <c r="O725" s="153" t="n"/>
      <c r="P725" s="153" t="n"/>
      <c r="Q725" s="153" t="n"/>
      <c r="R725" s="153" t="n"/>
      <c r="S725" s="153" t="n"/>
      <c r="T725" s="153" t="n"/>
      <c r="U725" s="153" t="n"/>
      <c r="V725" s="153" t="n"/>
      <c r="W725" s="153" t="n"/>
      <c r="X725" s="153" t="n"/>
      <c r="Y725" s="153" t="n"/>
      <c r="Z725" s="153" t="n"/>
    </row>
    <row r="726" ht="15.75" customHeight="1" s="154">
      <c r="G726" s="153" t="n"/>
      <c r="H726" s="153" t="n"/>
      <c r="I726" s="153" t="n"/>
      <c r="J726" s="153" t="n"/>
      <c r="K726" s="153" t="n"/>
      <c r="L726" s="153" t="n"/>
      <c r="M726" s="153" t="n"/>
      <c r="N726" s="153" t="n"/>
      <c r="O726" s="153" t="n"/>
      <c r="P726" s="153" t="n"/>
      <c r="Q726" s="153" t="n"/>
      <c r="R726" s="153" t="n"/>
      <c r="S726" s="153" t="n"/>
      <c r="T726" s="153" t="n"/>
      <c r="U726" s="153" t="n"/>
      <c r="V726" s="153" t="n"/>
      <c r="W726" s="153" t="n"/>
      <c r="X726" s="153" t="n"/>
      <c r="Y726" s="153" t="n"/>
      <c r="Z726" s="153" t="n"/>
    </row>
    <row r="727" ht="15.75" customHeight="1" s="154">
      <c r="G727" s="153" t="n"/>
      <c r="H727" s="153" t="n"/>
      <c r="I727" s="153" t="n"/>
      <c r="J727" s="153" t="n"/>
      <c r="K727" s="153" t="n"/>
      <c r="L727" s="153" t="n"/>
      <c r="M727" s="153" t="n"/>
      <c r="N727" s="153" t="n"/>
      <c r="O727" s="153" t="n"/>
      <c r="P727" s="153" t="n"/>
      <c r="Q727" s="153" t="n"/>
      <c r="R727" s="153" t="n"/>
      <c r="S727" s="153" t="n"/>
      <c r="T727" s="153" t="n"/>
      <c r="U727" s="153" t="n"/>
      <c r="V727" s="153" t="n"/>
      <c r="W727" s="153" t="n"/>
      <c r="X727" s="153" t="n"/>
      <c r="Y727" s="153" t="n"/>
      <c r="Z727" s="153" t="n"/>
    </row>
    <row r="728" ht="15.75" customHeight="1" s="154">
      <c r="G728" s="153" t="n"/>
      <c r="H728" s="153" t="n"/>
      <c r="I728" s="153" t="n"/>
      <c r="J728" s="153" t="n"/>
      <c r="K728" s="153" t="n"/>
      <c r="L728" s="153" t="n"/>
      <c r="M728" s="153" t="n"/>
      <c r="N728" s="153" t="n"/>
      <c r="O728" s="153" t="n"/>
      <c r="P728" s="153" t="n"/>
      <c r="Q728" s="153" t="n"/>
      <c r="R728" s="153" t="n"/>
      <c r="S728" s="153" t="n"/>
      <c r="T728" s="153" t="n"/>
      <c r="U728" s="153" t="n"/>
      <c r="V728" s="153" t="n"/>
      <c r="W728" s="153" t="n"/>
      <c r="X728" s="153" t="n"/>
      <c r="Y728" s="153" t="n"/>
      <c r="Z728" s="153" t="n"/>
    </row>
    <row r="729" ht="15.75" customHeight="1" s="154">
      <c r="G729" s="153" t="n"/>
      <c r="H729" s="153" t="n"/>
      <c r="I729" s="153" t="n"/>
      <c r="J729" s="153" t="n"/>
      <c r="K729" s="153" t="n"/>
      <c r="L729" s="153" t="n"/>
      <c r="M729" s="153" t="n"/>
      <c r="N729" s="153" t="n"/>
      <c r="O729" s="153" t="n"/>
      <c r="P729" s="153" t="n"/>
      <c r="Q729" s="153" t="n"/>
      <c r="R729" s="153" t="n"/>
      <c r="S729" s="153" t="n"/>
      <c r="T729" s="153" t="n"/>
      <c r="U729" s="153" t="n"/>
      <c r="V729" s="153" t="n"/>
      <c r="W729" s="153" t="n"/>
      <c r="X729" s="153" t="n"/>
      <c r="Y729" s="153" t="n"/>
      <c r="Z729" s="153" t="n"/>
    </row>
    <row r="730" ht="15.75" customHeight="1" s="154">
      <c r="G730" s="153" t="n"/>
      <c r="H730" s="153" t="n"/>
      <c r="I730" s="153" t="n"/>
      <c r="J730" s="153" t="n"/>
      <c r="K730" s="153" t="n"/>
      <c r="L730" s="153" t="n"/>
      <c r="M730" s="153" t="n"/>
      <c r="N730" s="153" t="n"/>
      <c r="O730" s="153" t="n"/>
      <c r="P730" s="153" t="n"/>
      <c r="Q730" s="153" t="n"/>
      <c r="R730" s="153" t="n"/>
      <c r="S730" s="153" t="n"/>
      <c r="T730" s="153" t="n"/>
      <c r="U730" s="153" t="n"/>
      <c r="V730" s="153" t="n"/>
      <c r="W730" s="153" t="n"/>
      <c r="X730" s="153" t="n"/>
      <c r="Y730" s="153" t="n"/>
      <c r="Z730" s="153" t="n"/>
    </row>
    <row r="731" ht="15.75" customHeight="1" s="154">
      <c r="G731" s="153" t="n"/>
      <c r="H731" s="153" t="n"/>
      <c r="I731" s="153" t="n"/>
      <c r="J731" s="153" t="n"/>
      <c r="K731" s="153" t="n"/>
      <c r="L731" s="153" t="n"/>
      <c r="M731" s="153" t="n"/>
      <c r="N731" s="153" t="n"/>
      <c r="O731" s="153" t="n"/>
      <c r="P731" s="153" t="n"/>
      <c r="Q731" s="153" t="n"/>
      <c r="R731" s="153" t="n"/>
      <c r="S731" s="153" t="n"/>
      <c r="T731" s="153" t="n"/>
      <c r="U731" s="153" t="n"/>
      <c r="V731" s="153" t="n"/>
      <c r="W731" s="153" t="n"/>
      <c r="X731" s="153" t="n"/>
      <c r="Y731" s="153" t="n"/>
      <c r="Z731" s="153" t="n"/>
    </row>
    <row r="732" ht="15.75" customHeight="1" s="154">
      <c r="G732" s="153" t="n"/>
      <c r="H732" s="153" t="n"/>
      <c r="I732" s="153" t="n"/>
      <c r="J732" s="153" t="n"/>
      <c r="K732" s="153" t="n"/>
      <c r="L732" s="153" t="n"/>
      <c r="M732" s="153" t="n"/>
      <c r="N732" s="153" t="n"/>
      <c r="O732" s="153" t="n"/>
      <c r="P732" s="153" t="n"/>
      <c r="Q732" s="153" t="n"/>
      <c r="R732" s="153" t="n"/>
      <c r="S732" s="153" t="n"/>
      <c r="T732" s="153" t="n"/>
      <c r="U732" s="153" t="n"/>
      <c r="V732" s="153" t="n"/>
      <c r="W732" s="153" t="n"/>
      <c r="X732" s="153" t="n"/>
      <c r="Y732" s="153" t="n"/>
      <c r="Z732" s="153" t="n"/>
    </row>
    <row r="733" ht="15.75" customHeight="1" s="154">
      <c r="G733" s="153" t="n"/>
      <c r="H733" s="153" t="n"/>
      <c r="I733" s="153" t="n"/>
      <c r="J733" s="153" t="n"/>
      <c r="K733" s="153" t="n"/>
      <c r="L733" s="153" t="n"/>
      <c r="M733" s="153" t="n"/>
      <c r="N733" s="153" t="n"/>
      <c r="O733" s="153" t="n"/>
      <c r="P733" s="153" t="n"/>
      <c r="Q733" s="153" t="n"/>
      <c r="R733" s="153" t="n"/>
      <c r="S733" s="153" t="n"/>
      <c r="T733" s="153" t="n"/>
      <c r="U733" s="153" t="n"/>
      <c r="V733" s="153" t="n"/>
      <c r="W733" s="153" t="n"/>
      <c r="X733" s="153" t="n"/>
      <c r="Y733" s="153" t="n"/>
      <c r="Z733" s="153" t="n"/>
    </row>
    <row r="734" ht="15.75" customHeight="1" s="154">
      <c r="G734" s="153" t="n"/>
      <c r="H734" s="153" t="n"/>
      <c r="I734" s="153" t="n"/>
      <c r="J734" s="153" t="n"/>
      <c r="K734" s="153" t="n"/>
      <c r="L734" s="153" t="n"/>
      <c r="M734" s="153" t="n"/>
      <c r="N734" s="153" t="n"/>
      <c r="O734" s="153" t="n"/>
      <c r="P734" s="153" t="n"/>
      <c r="Q734" s="153" t="n"/>
      <c r="R734" s="153" t="n"/>
      <c r="S734" s="153" t="n"/>
      <c r="T734" s="153" t="n"/>
      <c r="U734" s="153" t="n"/>
      <c r="V734" s="153" t="n"/>
      <c r="W734" s="153" t="n"/>
      <c r="X734" s="153" t="n"/>
      <c r="Y734" s="153" t="n"/>
      <c r="Z734" s="153" t="n"/>
    </row>
    <row r="735" ht="15.75" customHeight="1" s="154">
      <c r="G735" s="153" t="n"/>
      <c r="H735" s="153" t="n"/>
      <c r="I735" s="153" t="n"/>
      <c r="J735" s="153" t="n"/>
      <c r="K735" s="153" t="n"/>
      <c r="L735" s="153" t="n"/>
      <c r="M735" s="153" t="n"/>
      <c r="N735" s="153" t="n"/>
      <c r="O735" s="153" t="n"/>
      <c r="P735" s="153" t="n"/>
      <c r="Q735" s="153" t="n"/>
      <c r="R735" s="153" t="n"/>
      <c r="S735" s="153" t="n"/>
      <c r="T735" s="153" t="n"/>
      <c r="U735" s="153" t="n"/>
      <c r="V735" s="153" t="n"/>
      <c r="W735" s="153" t="n"/>
      <c r="X735" s="153" t="n"/>
      <c r="Y735" s="153" t="n"/>
      <c r="Z735" s="153" t="n"/>
    </row>
    <row r="736" ht="15.75" customHeight="1" s="154">
      <c r="G736" s="153" t="n"/>
      <c r="H736" s="153" t="n"/>
      <c r="I736" s="153" t="n"/>
      <c r="J736" s="153" t="n"/>
      <c r="K736" s="153" t="n"/>
      <c r="L736" s="153" t="n"/>
      <c r="M736" s="153" t="n"/>
      <c r="N736" s="153" t="n"/>
      <c r="O736" s="153" t="n"/>
      <c r="P736" s="153" t="n"/>
      <c r="Q736" s="153" t="n"/>
      <c r="R736" s="153" t="n"/>
      <c r="S736" s="153" t="n"/>
      <c r="T736" s="153" t="n"/>
      <c r="U736" s="153" t="n"/>
      <c r="V736" s="153" t="n"/>
      <c r="W736" s="153" t="n"/>
      <c r="X736" s="153" t="n"/>
      <c r="Y736" s="153" t="n"/>
      <c r="Z736" s="153" t="n"/>
    </row>
    <row r="737" ht="15.75" customHeight="1" s="154">
      <c r="G737" s="153" t="n"/>
      <c r="H737" s="153" t="n"/>
      <c r="I737" s="153" t="n"/>
      <c r="J737" s="153" t="n"/>
      <c r="K737" s="153" t="n"/>
      <c r="L737" s="153" t="n"/>
      <c r="M737" s="153" t="n"/>
      <c r="N737" s="153" t="n"/>
      <c r="O737" s="153" t="n"/>
      <c r="P737" s="153" t="n"/>
      <c r="Q737" s="153" t="n"/>
      <c r="R737" s="153" t="n"/>
      <c r="S737" s="153" t="n"/>
      <c r="T737" s="153" t="n"/>
      <c r="U737" s="153" t="n"/>
      <c r="V737" s="153" t="n"/>
      <c r="W737" s="153" t="n"/>
      <c r="X737" s="153" t="n"/>
      <c r="Y737" s="153" t="n"/>
      <c r="Z737" s="153" t="n"/>
    </row>
    <row r="738" ht="15.75" customHeight="1" s="154">
      <c r="G738" s="153" t="n"/>
      <c r="H738" s="153" t="n"/>
      <c r="I738" s="153" t="n"/>
      <c r="J738" s="153" t="n"/>
      <c r="K738" s="153" t="n"/>
      <c r="L738" s="153" t="n"/>
      <c r="M738" s="153" t="n"/>
      <c r="N738" s="153" t="n"/>
      <c r="O738" s="153" t="n"/>
      <c r="P738" s="153" t="n"/>
      <c r="Q738" s="153" t="n"/>
      <c r="R738" s="153" t="n"/>
      <c r="S738" s="153" t="n"/>
      <c r="T738" s="153" t="n"/>
      <c r="U738" s="153" t="n"/>
      <c r="V738" s="153" t="n"/>
      <c r="W738" s="153" t="n"/>
      <c r="X738" s="153" t="n"/>
      <c r="Y738" s="153" t="n"/>
      <c r="Z738" s="153" t="n"/>
    </row>
    <row r="739" ht="15.75" customHeight="1" s="154">
      <c r="G739" s="153" t="n"/>
      <c r="H739" s="153" t="n"/>
      <c r="I739" s="153" t="n"/>
      <c r="J739" s="153" t="n"/>
      <c r="K739" s="153" t="n"/>
      <c r="L739" s="153" t="n"/>
      <c r="M739" s="153" t="n"/>
      <c r="N739" s="153" t="n"/>
      <c r="O739" s="153" t="n"/>
      <c r="P739" s="153" t="n"/>
      <c r="Q739" s="153" t="n"/>
      <c r="R739" s="153" t="n"/>
      <c r="S739" s="153" t="n"/>
      <c r="T739" s="153" t="n"/>
      <c r="U739" s="153" t="n"/>
      <c r="V739" s="153" t="n"/>
      <c r="W739" s="153" t="n"/>
      <c r="X739" s="153" t="n"/>
      <c r="Y739" s="153" t="n"/>
      <c r="Z739" s="153" t="n"/>
    </row>
    <row r="740" ht="15.75" customHeight="1" s="154">
      <c r="G740" s="153" t="n"/>
      <c r="H740" s="153" t="n"/>
      <c r="I740" s="153" t="n"/>
      <c r="J740" s="153" t="n"/>
      <c r="K740" s="153" t="n"/>
      <c r="L740" s="153" t="n"/>
      <c r="M740" s="153" t="n"/>
      <c r="N740" s="153" t="n"/>
      <c r="O740" s="153" t="n"/>
      <c r="P740" s="153" t="n"/>
      <c r="Q740" s="153" t="n"/>
      <c r="R740" s="153" t="n"/>
      <c r="S740" s="153" t="n"/>
      <c r="T740" s="153" t="n"/>
      <c r="U740" s="153" t="n"/>
      <c r="V740" s="153" t="n"/>
      <c r="W740" s="153" t="n"/>
      <c r="X740" s="153" t="n"/>
      <c r="Y740" s="153" t="n"/>
      <c r="Z740" s="153" t="n"/>
    </row>
    <row r="741" ht="15.75" customHeight="1" s="154">
      <c r="G741" s="153" t="n"/>
      <c r="H741" s="153" t="n"/>
      <c r="I741" s="153" t="n"/>
      <c r="J741" s="153" t="n"/>
      <c r="K741" s="153" t="n"/>
      <c r="L741" s="153" t="n"/>
      <c r="M741" s="153" t="n"/>
      <c r="N741" s="153" t="n"/>
      <c r="O741" s="153" t="n"/>
      <c r="P741" s="153" t="n"/>
      <c r="Q741" s="153" t="n"/>
      <c r="R741" s="153" t="n"/>
      <c r="S741" s="153" t="n"/>
      <c r="T741" s="153" t="n"/>
      <c r="U741" s="153" t="n"/>
      <c r="V741" s="153" t="n"/>
      <c r="W741" s="153" t="n"/>
      <c r="X741" s="153" t="n"/>
      <c r="Y741" s="153" t="n"/>
      <c r="Z741" s="153" t="n"/>
    </row>
    <row r="742" ht="15.75" customHeight="1" s="154">
      <c r="G742" s="153" t="n"/>
      <c r="H742" s="153" t="n"/>
      <c r="I742" s="153" t="n"/>
      <c r="J742" s="153" t="n"/>
      <c r="K742" s="153" t="n"/>
      <c r="L742" s="153" t="n"/>
      <c r="M742" s="153" t="n"/>
      <c r="N742" s="153" t="n"/>
      <c r="O742" s="153" t="n"/>
      <c r="P742" s="153" t="n"/>
      <c r="Q742" s="153" t="n"/>
      <c r="R742" s="153" t="n"/>
      <c r="S742" s="153" t="n"/>
      <c r="T742" s="153" t="n"/>
      <c r="U742" s="153" t="n"/>
      <c r="V742" s="153" t="n"/>
      <c r="W742" s="153" t="n"/>
      <c r="X742" s="153" t="n"/>
      <c r="Y742" s="153" t="n"/>
      <c r="Z742" s="153" t="n"/>
    </row>
    <row r="743" ht="15.75" customHeight="1" s="154">
      <c r="G743" s="153" t="n"/>
      <c r="H743" s="153" t="n"/>
      <c r="I743" s="153" t="n"/>
      <c r="J743" s="153" t="n"/>
      <c r="K743" s="153" t="n"/>
      <c r="L743" s="153" t="n"/>
      <c r="M743" s="153" t="n"/>
      <c r="N743" s="153" t="n"/>
      <c r="O743" s="153" t="n"/>
      <c r="P743" s="153" t="n"/>
      <c r="Q743" s="153" t="n"/>
      <c r="R743" s="153" t="n"/>
      <c r="S743" s="153" t="n"/>
      <c r="T743" s="153" t="n"/>
      <c r="U743" s="153" t="n"/>
      <c r="V743" s="153" t="n"/>
      <c r="W743" s="153" t="n"/>
      <c r="X743" s="153" t="n"/>
      <c r="Y743" s="153" t="n"/>
      <c r="Z743" s="153" t="n"/>
    </row>
    <row r="744" ht="15.75" customHeight="1" s="154">
      <c r="G744" s="153" t="n"/>
      <c r="H744" s="153" t="n"/>
      <c r="I744" s="153" t="n"/>
      <c r="J744" s="153" t="n"/>
      <c r="K744" s="153" t="n"/>
      <c r="L744" s="153" t="n"/>
      <c r="M744" s="153" t="n"/>
      <c r="N744" s="153" t="n"/>
      <c r="O744" s="153" t="n"/>
      <c r="P744" s="153" t="n"/>
      <c r="Q744" s="153" t="n"/>
      <c r="R744" s="153" t="n"/>
      <c r="S744" s="153" t="n"/>
      <c r="T744" s="153" t="n"/>
      <c r="U744" s="153" t="n"/>
      <c r="V744" s="153" t="n"/>
      <c r="W744" s="153" t="n"/>
      <c r="X744" s="153" t="n"/>
      <c r="Y744" s="153" t="n"/>
      <c r="Z744" s="153" t="n"/>
    </row>
    <row r="745" ht="15.75" customHeight="1" s="154">
      <c r="G745" s="153" t="n"/>
      <c r="H745" s="153" t="n"/>
      <c r="I745" s="153" t="n"/>
      <c r="J745" s="153" t="n"/>
      <c r="K745" s="153" t="n"/>
      <c r="L745" s="153" t="n"/>
      <c r="M745" s="153" t="n"/>
      <c r="N745" s="153" t="n"/>
      <c r="O745" s="153" t="n"/>
      <c r="P745" s="153" t="n"/>
      <c r="Q745" s="153" t="n"/>
      <c r="R745" s="153" t="n"/>
      <c r="S745" s="153" t="n"/>
      <c r="T745" s="153" t="n"/>
      <c r="U745" s="153" t="n"/>
      <c r="V745" s="153" t="n"/>
      <c r="W745" s="153" t="n"/>
      <c r="X745" s="153" t="n"/>
      <c r="Y745" s="153" t="n"/>
      <c r="Z745" s="153" t="n"/>
    </row>
    <row r="746" ht="15.75" customHeight="1" s="154">
      <c r="G746" s="153" t="n"/>
      <c r="H746" s="153" t="n"/>
      <c r="I746" s="153" t="n"/>
      <c r="J746" s="153" t="n"/>
      <c r="K746" s="153" t="n"/>
      <c r="L746" s="153" t="n"/>
      <c r="M746" s="153" t="n"/>
      <c r="N746" s="153" t="n"/>
      <c r="O746" s="153" t="n"/>
      <c r="P746" s="153" t="n"/>
      <c r="Q746" s="153" t="n"/>
      <c r="R746" s="153" t="n"/>
      <c r="S746" s="153" t="n"/>
      <c r="T746" s="153" t="n"/>
      <c r="U746" s="153" t="n"/>
      <c r="V746" s="153" t="n"/>
      <c r="W746" s="153" t="n"/>
      <c r="X746" s="153" t="n"/>
      <c r="Y746" s="153" t="n"/>
      <c r="Z746" s="153" t="n"/>
    </row>
    <row r="747" ht="15.75" customHeight="1" s="154">
      <c r="G747" s="153" t="n"/>
      <c r="H747" s="153" t="n"/>
      <c r="I747" s="153" t="n"/>
      <c r="J747" s="153" t="n"/>
      <c r="K747" s="153" t="n"/>
      <c r="L747" s="153" t="n"/>
      <c r="M747" s="153" t="n"/>
      <c r="N747" s="153" t="n"/>
      <c r="O747" s="153" t="n"/>
      <c r="P747" s="153" t="n"/>
      <c r="Q747" s="153" t="n"/>
      <c r="R747" s="153" t="n"/>
      <c r="S747" s="153" t="n"/>
      <c r="T747" s="153" t="n"/>
      <c r="U747" s="153" t="n"/>
      <c r="V747" s="153" t="n"/>
      <c r="W747" s="153" t="n"/>
      <c r="X747" s="153" t="n"/>
      <c r="Y747" s="153" t="n"/>
      <c r="Z747" s="153" t="n"/>
    </row>
    <row r="748" ht="15.75" customHeight="1" s="154">
      <c r="G748" s="153" t="n"/>
      <c r="H748" s="153" t="n"/>
      <c r="I748" s="153" t="n"/>
      <c r="J748" s="153" t="n"/>
      <c r="K748" s="153" t="n"/>
      <c r="L748" s="153" t="n"/>
      <c r="M748" s="153" t="n"/>
      <c r="N748" s="153" t="n"/>
      <c r="O748" s="153" t="n"/>
      <c r="P748" s="153" t="n"/>
      <c r="Q748" s="153" t="n"/>
      <c r="R748" s="153" t="n"/>
      <c r="S748" s="153" t="n"/>
      <c r="T748" s="153" t="n"/>
      <c r="U748" s="153" t="n"/>
      <c r="V748" s="153" t="n"/>
      <c r="W748" s="153" t="n"/>
      <c r="X748" s="153" t="n"/>
      <c r="Y748" s="153" t="n"/>
      <c r="Z748" s="153" t="n"/>
    </row>
    <row r="749" ht="15.75" customHeight="1" s="154">
      <c r="G749" s="153" t="n"/>
      <c r="H749" s="153" t="n"/>
      <c r="I749" s="153" t="n"/>
      <c r="J749" s="153" t="n"/>
      <c r="K749" s="153" t="n"/>
      <c r="L749" s="153" t="n"/>
      <c r="M749" s="153" t="n"/>
      <c r="N749" s="153" t="n"/>
      <c r="O749" s="153" t="n"/>
      <c r="P749" s="153" t="n"/>
      <c r="Q749" s="153" t="n"/>
      <c r="R749" s="153" t="n"/>
      <c r="S749" s="153" t="n"/>
      <c r="T749" s="153" t="n"/>
      <c r="U749" s="153" t="n"/>
      <c r="V749" s="153" t="n"/>
      <c r="W749" s="153" t="n"/>
      <c r="X749" s="153" t="n"/>
      <c r="Y749" s="153" t="n"/>
      <c r="Z749" s="153" t="n"/>
    </row>
    <row r="750" ht="15.75" customHeight="1" s="154">
      <c r="G750" s="153" t="n"/>
      <c r="H750" s="153" t="n"/>
      <c r="I750" s="153" t="n"/>
      <c r="J750" s="153" t="n"/>
      <c r="K750" s="153" t="n"/>
      <c r="L750" s="153" t="n"/>
      <c r="M750" s="153" t="n"/>
      <c r="N750" s="153" t="n"/>
      <c r="O750" s="153" t="n"/>
      <c r="P750" s="153" t="n"/>
      <c r="Q750" s="153" t="n"/>
      <c r="R750" s="153" t="n"/>
      <c r="S750" s="153" t="n"/>
      <c r="T750" s="153" t="n"/>
      <c r="U750" s="153" t="n"/>
      <c r="V750" s="153" t="n"/>
      <c r="W750" s="153" t="n"/>
      <c r="X750" s="153" t="n"/>
      <c r="Y750" s="153" t="n"/>
      <c r="Z750" s="153" t="n"/>
    </row>
    <row r="751" ht="15.75" customHeight="1" s="154">
      <c r="G751" s="153" t="n"/>
      <c r="H751" s="153" t="n"/>
      <c r="I751" s="153" t="n"/>
      <c r="J751" s="153" t="n"/>
      <c r="K751" s="153" t="n"/>
      <c r="L751" s="153" t="n"/>
      <c r="M751" s="153" t="n"/>
      <c r="N751" s="153" t="n"/>
      <c r="O751" s="153" t="n"/>
      <c r="P751" s="153" t="n"/>
      <c r="Q751" s="153" t="n"/>
      <c r="R751" s="153" t="n"/>
      <c r="S751" s="153" t="n"/>
      <c r="T751" s="153" t="n"/>
      <c r="U751" s="153" t="n"/>
      <c r="V751" s="153" t="n"/>
      <c r="W751" s="153" t="n"/>
      <c r="X751" s="153" t="n"/>
      <c r="Y751" s="153" t="n"/>
      <c r="Z751" s="153" t="n"/>
    </row>
    <row r="752" ht="15.75" customHeight="1" s="154">
      <c r="G752" s="153" t="n"/>
      <c r="H752" s="153" t="n"/>
      <c r="I752" s="153" t="n"/>
      <c r="J752" s="153" t="n"/>
      <c r="K752" s="153" t="n"/>
      <c r="L752" s="153" t="n"/>
      <c r="M752" s="153" t="n"/>
      <c r="N752" s="153" t="n"/>
      <c r="O752" s="153" t="n"/>
      <c r="P752" s="153" t="n"/>
      <c r="Q752" s="153" t="n"/>
      <c r="R752" s="153" t="n"/>
      <c r="S752" s="153" t="n"/>
      <c r="T752" s="153" t="n"/>
      <c r="U752" s="153" t="n"/>
      <c r="V752" s="153" t="n"/>
      <c r="W752" s="153" t="n"/>
      <c r="X752" s="153" t="n"/>
      <c r="Y752" s="153" t="n"/>
      <c r="Z752" s="153" t="n"/>
    </row>
    <row r="753" ht="15.75" customHeight="1" s="154">
      <c r="G753" s="153" t="n"/>
      <c r="H753" s="153" t="n"/>
      <c r="I753" s="153" t="n"/>
      <c r="J753" s="153" t="n"/>
      <c r="K753" s="153" t="n"/>
      <c r="L753" s="153" t="n"/>
      <c r="M753" s="153" t="n"/>
      <c r="N753" s="153" t="n"/>
      <c r="O753" s="153" t="n"/>
      <c r="P753" s="153" t="n"/>
      <c r="Q753" s="153" t="n"/>
      <c r="R753" s="153" t="n"/>
      <c r="S753" s="153" t="n"/>
      <c r="T753" s="153" t="n"/>
      <c r="U753" s="153" t="n"/>
      <c r="V753" s="153" t="n"/>
      <c r="W753" s="153" t="n"/>
      <c r="X753" s="153" t="n"/>
      <c r="Y753" s="153" t="n"/>
      <c r="Z753" s="153" t="n"/>
    </row>
    <row r="754" ht="15.75" customHeight="1" s="154">
      <c r="G754" s="153" t="n"/>
      <c r="H754" s="153" t="n"/>
      <c r="I754" s="153" t="n"/>
      <c r="J754" s="153" t="n"/>
      <c r="K754" s="153" t="n"/>
      <c r="L754" s="153" t="n"/>
      <c r="M754" s="153" t="n"/>
      <c r="N754" s="153" t="n"/>
      <c r="O754" s="153" t="n"/>
      <c r="P754" s="153" t="n"/>
      <c r="Q754" s="153" t="n"/>
      <c r="R754" s="153" t="n"/>
      <c r="S754" s="153" t="n"/>
      <c r="T754" s="153" t="n"/>
      <c r="U754" s="153" t="n"/>
      <c r="V754" s="153" t="n"/>
      <c r="W754" s="153" t="n"/>
      <c r="X754" s="153" t="n"/>
      <c r="Y754" s="153" t="n"/>
      <c r="Z754" s="153" t="n"/>
    </row>
    <row r="755" ht="15.75" customHeight="1" s="154">
      <c r="G755" s="153" t="n"/>
      <c r="H755" s="153" t="n"/>
      <c r="I755" s="153" t="n"/>
      <c r="J755" s="153" t="n"/>
      <c r="K755" s="153" t="n"/>
      <c r="L755" s="153" t="n"/>
      <c r="M755" s="153" t="n"/>
      <c r="N755" s="153" t="n"/>
      <c r="O755" s="153" t="n"/>
      <c r="P755" s="153" t="n"/>
      <c r="Q755" s="153" t="n"/>
      <c r="R755" s="153" t="n"/>
      <c r="S755" s="153" t="n"/>
      <c r="T755" s="153" t="n"/>
      <c r="U755" s="153" t="n"/>
      <c r="V755" s="153" t="n"/>
      <c r="W755" s="153" t="n"/>
      <c r="X755" s="153" t="n"/>
      <c r="Y755" s="153" t="n"/>
      <c r="Z755" s="153" t="n"/>
    </row>
    <row r="756" ht="15.75" customHeight="1" s="154">
      <c r="G756" s="153" t="n"/>
      <c r="H756" s="153" t="n"/>
      <c r="I756" s="153" t="n"/>
      <c r="J756" s="153" t="n"/>
      <c r="K756" s="153" t="n"/>
      <c r="L756" s="153" t="n"/>
      <c r="M756" s="153" t="n"/>
      <c r="N756" s="153" t="n"/>
      <c r="O756" s="153" t="n"/>
      <c r="P756" s="153" t="n"/>
      <c r="Q756" s="153" t="n"/>
      <c r="R756" s="153" t="n"/>
      <c r="S756" s="153" t="n"/>
      <c r="T756" s="153" t="n"/>
      <c r="U756" s="153" t="n"/>
      <c r="V756" s="153" t="n"/>
      <c r="W756" s="153" t="n"/>
      <c r="X756" s="153" t="n"/>
      <c r="Y756" s="153" t="n"/>
      <c r="Z756" s="153" t="n"/>
    </row>
    <row r="757" ht="15.75" customHeight="1" s="154">
      <c r="G757" s="153" t="n"/>
      <c r="H757" s="153" t="n"/>
      <c r="I757" s="153" t="n"/>
      <c r="J757" s="153" t="n"/>
      <c r="K757" s="153" t="n"/>
      <c r="L757" s="153" t="n"/>
      <c r="M757" s="153" t="n"/>
      <c r="N757" s="153" t="n"/>
      <c r="O757" s="153" t="n"/>
      <c r="P757" s="153" t="n"/>
      <c r="Q757" s="153" t="n"/>
      <c r="R757" s="153" t="n"/>
      <c r="S757" s="153" t="n"/>
      <c r="T757" s="153" t="n"/>
      <c r="U757" s="153" t="n"/>
      <c r="V757" s="153" t="n"/>
      <c r="W757" s="153" t="n"/>
      <c r="X757" s="153" t="n"/>
      <c r="Y757" s="153" t="n"/>
      <c r="Z757" s="153" t="n"/>
    </row>
    <row r="758" ht="15.75" customHeight="1" s="154">
      <c r="G758" s="153" t="n"/>
      <c r="H758" s="153" t="n"/>
      <c r="I758" s="153" t="n"/>
      <c r="J758" s="153" t="n"/>
      <c r="K758" s="153" t="n"/>
      <c r="L758" s="153" t="n"/>
      <c r="M758" s="153" t="n"/>
      <c r="N758" s="153" t="n"/>
      <c r="O758" s="153" t="n"/>
      <c r="P758" s="153" t="n"/>
      <c r="Q758" s="153" t="n"/>
      <c r="R758" s="153" t="n"/>
      <c r="S758" s="153" t="n"/>
      <c r="T758" s="153" t="n"/>
      <c r="U758" s="153" t="n"/>
      <c r="V758" s="153" t="n"/>
      <c r="W758" s="153" t="n"/>
      <c r="X758" s="153" t="n"/>
      <c r="Y758" s="153" t="n"/>
      <c r="Z758" s="153" t="n"/>
    </row>
    <row r="759" ht="15.75" customHeight="1" s="154">
      <c r="G759" s="153" t="n"/>
      <c r="H759" s="153" t="n"/>
      <c r="I759" s="153" t="n"/>
      <c r="J759" s="153" t="n"/>
      <c r="K759" s="153" t="n"/>
      <c r="L759" s="153" t="n"/>
      <c r="M759" s="153" t="n"/>
      <c r="N759" s="153" t="n"/>
      <c r="O759" s="153" t="n"/>
      <c r="P759" s="153" t="n"/>
      <c r="Q759" s="153" t="n"/>
      <c r="R759" s="153" t="n"/>
      <c r="S759" s="153" t="n"/>
      <c r="T759" s="153" t="n"/>
      <c r="U759" s="153" t="n"/>
      <c r="V759" s="153" t="n"/>
      <c r="W759" s="153" t="n"/>
      <c r="X759" s="153" t="n"/>
      <c r="Y759" s="153" t="n"/>
      <c r="Z759" s="153" t="n"/>
    </row>
    <row r="760" ht="15.75" customHeight="1" s="154">
      <c r="G760" s="153" t="n"/>
      <c r="H760" s="153" t="n"/>
      <c r="I760" s="153" t="n"/>
      <c r="J760" s="153" t="n"/>
      <c r="K760" s="153" t="n"/>
      <c r="L760" s="153" t="n"/>
      <c r="M760" s="153" t="n"/>
      <c r="N760" s="153" t="n"/>
      <c r="O760" s="153" t="n"/>
      <c r="P760" s="153" t="n"/>
      <c r="Q760" s="153" t="n"/>
      <c r="R760" s="153" t="n"/>
      <c r="S760" s="153" t="n"/>
      <c r="T760" s="153" t="n"/>
      <c r="U760" s="153" t="n"/>
      <c r="V760" s="153" t="n"/>
      <c r="W760" s="153" t="n"/>
      <c r="X760" s="153" t="n"/>
      <c r="Y760" s="153" t="n"/>
      <c r="Z760" s="153" t="n"/>
    </row>
    <row r="761" ht="15.75" customHeight="1" s="154">
      <c r="G761" s="153" t="n"/>
      <c r="H761" s="153" t="n"/>
      <c r="I761" s="153" t="n"/>
      <c r="J761" s="153" t="n"/>
      <c r="K761" s="153" t="n"/>
      <c r="L761" s="153" t="n"/>
      <c r="M761" s="153" t="n"/>
      <c r="N761" s="153" t="n"/>
      <c r="O761" s="153" t="n"/>
      <c r="P761" s="153" t="n"/>
      <c r="Q761" s="153" t="n"/>
      <c r="R761" s="153" t="n"/>
      <c r="S761" s="153" t="n"/>
      <c r="T761" s="153" t="n"/>
      <c r="U761" s="153" t="n"/>
      <c r="V761" s="153" t="n"/>
      <c r="W761" s="153" t="n"/>
      <c r="X761" s="153" t="n"/>
      <c r="Y761" s="153" t="n"/>
      <c r="Z761" s="153" t="n"/>
    </row>
    <row r="762" ht="15.75" customHeight="1" s="154">
      <c r="G762" s="153" t="n"/>
      <c r="H762" s="153" t="n"/>
      <c r="I762" s="153" t="n"/>
      <c r="J762" s="153" t="n"/>
      <c r="K762" s="153" t="n"/>
      <c r="L762" s="153" t="n"/>
      <c r="M762" s="153" t="n"/>
      <c r="N762" s="153" t="n"/>
      <c r="O762" s="153" t="n"/>
      <c r="P762" s="153" t="n"/>
      <c r="Q762" s="153" t="n"/>
      <c r="R762" s="153" t="n"/>
      <c r="S762" s="153" t="n"/>
      <c r="T762" s="153" t="n"/>
      <c r="U762" s="153" t="n"/>
      <c r="V762" s="153" t="n"/>
      <c r="W762" s="153" t="n"/>
      <c r="X762" s="153" t="n"/>
      <c r="Y762" s="153" t="n"/>
      <c r="Z762" s="153" t="n"/>
    </row>
    <row r="763" ht="15.75" customHeight="1" s="154">
      <c r="G763" s="153" t="n"/>
      <c r="H763" s="153" t="n"/>
      <c r="I763" s="153" t="n"/>
      <c r="J763" s="153" t="n"/>
      <c r="K763" s="153" t="n"/>
      <c r="L763" s="153" t="n"/>
      <c r="M763" s="153" t="n"/>
      <c r="N763" s="153" t="n"/>
      <c r="O763" s="153" t="n"/>
      <c r="P763" s="153" t="n"/>
      <c r="Q763" s="153" t="n"/>
      <c r="R763" s="153" t="n"/>
      <c r="S763" s="153" t="n"/>
      <c r="T763" s="153" t="n"/>
      <c r="U763" s="153" t="n"/>
      <c r="V763" s="153" t="n"/>
      <c r="W763" s="153" t="n"/>
      <c r="X763" s="153" t="n"/>
      <c r="Y763" s="153" t="n"/>
      <c r="Z763" s="153" t="n"/>
    </row>
    <row r="764" ht="15.75" customHeight="1" s="154">
      <c r="G764" s="153" t="n"/>
      <c r="H764" s="153" t="n"/>
      <c r="I764" s="153" t="n"/>
      <c r="J764" s="153" t="n"/>
      <c r="K764" s="153" t="n"/>
      <c r="L764" s="153" t="n"/>
      <c r="M764" s="153" t="n"/>
      <c r="N764" s="153" t="n"/>
      <c r="O764" s="153" t="n"/>
      <c r="P764" s="153" t="n"/>
      <c r="Q764" s="153" t="n"/>
      <c r="R764" s="153" t="n"/>
      <c r="S764" s="153" t="n"/>
      <c r="T764" s="153" t="n"/>
      <c r="U764" s="153" t="n"/>
      <c r="V764" s="153" t="n"/>
      <c r="W764" s="153" t="n"/>
      <c r="X764" s="153" t="n"/>
      <c r="Y764" s="153" t="n"/>
      <c r="Z764" s="153" t="n"/>
    </row>
    <row r="765" ht="15.75" customHeight="1" s="154">
      <c r="G765" s="153" t="n"/>
      <c r="H765" s="153" t="n"/>
      <c r="I765" s="153" t="n"/>
      <c r="J765" s="153" t="n"/>
      <c r="K765" s="153" t="n"/>
      <c r="L765" s="153" t="n"/>
      <c r="M765" s="153" t="n"/>
      <c r="N765" s="153" t="n"/>
      <c r="O765" s="153" t="n"/>
      <c r="P765" s="153" t="n"/>
      <c r="Q765" s="153" t="n"/>
      <c r="R765" s="153" t="n"/>
      <c r="S765" s="153" t="n"/>
      <c r="T765" s="153" t="n"/>
      <c r="U765" s="153" t="n"/>
      <c r="V765" s="153" t="n"/>
      <c r="W765" s="153" t="n"/>
      <c r="X765" s="153" t="n"/>
      <c r="Y765" s="153" t="n"/>
      <c r="Z765" s="153" t="n"/>
    </row>
    <row r="766" ht="15.75" customHeight="1" s="154">
      <c r="G766" s="153" t="n"/>
      <c r="H766" s="153" t="n"/>
      <c r="I766" s="153" t="n"/>
      <c r="J766" s="153" t="n"/>
      <c r="K766" s="153" t="n"/>
      <c r="L766" s="153" t="n"/>
      <c r="M766" s="153" t="n"/>
      <c r="N766" s="153" t="n"/>
      <c r="O766" s="153" t="n"/>
      <c r="P766" s="153" t="n"/>
      <c r="Q766" s="153" t="n"/>
      <c r="R766" s="153" t="n"/>
      <c r="S766" s="153" t="n"/>
      <c r="T766" s="153" t="n"/>
      <c r="U766" s="153" t="n"/>
      <c r="V766" s="153" t="n"/>
      <c r="W766" s="153" t="n"/>
      <c r="X766" s="153" t="n"/>
      <c r="Y766" s="153" t="n"/>
      <c r="Z766" s="153" t="n"/>
    </row>
    <row r="767" ht="15.75" customHeight="1" s="154">
      <c r="G767" s="153" t="n"/>
      <c r="H767" s="153" t="n"/>
      <c r="I767" s="153" t="n"/>
      <c r="J767" s="153" t="n"/>
      <c r="K767" s="153" t="n"/>
      <c r="L767" s="153" t="n"/>
      <c r="M767" s="153" t="n"/>
      <c r="N767" s="153" t="n"/>
      <c r="O767" s="153" t="n"/>
      <c r="P767" s="153" t="n"/>
      <c r="Q767" s="153" t="n"/>
      <c r="R767" s="153" t="n"/>
      <c r="S767" s="153" t="n"/>
      <c r="T767" s="153" t="n"/>
      <c r="U767" s="153" t="n"/>
      <c r="V767" s="153" t="n"/>
      <c r="W767" s="153" t="n"/>
      <c r="X767" s="153" t="n"/>
      <c r="Y767" s="153" t="n"/>
      <c r="Z767" s="153" t="n"/>
    </row>
    <row r="768" ht="15.75" customHeight="1" s="154">
      <c r="G768" s="153" t="n"/>
      <c r="H768" s="153" t="n"/>
      <c r="I768" s="153" t="n"/>
      <c r="J768" s="153" t="n"/>
      <c r="K768" s="153" t="n"/>
      <c r="L768" s="153" t="n"/>
      <c r="M768" s="153" t="n"/>
      <c r="N768" s="153" t="n"/>
      <c r="O768" s="153" t="n"/>
      <c r="P768" s="153" t="n"/>
      <c r="Q768" s="153" t="n"/>
      <c r="R768" s="153" t="n"/>
      <c r="S768" s="153" t="n"/>
      <c r="T768" s="153" t="n"/>
      <c r="U768" s="153" t="n"/>
      <c r="V768" s="153" t="n"/>
      <c r="W768" s="153" t="n"/>
      <c r="X768" s="153" t="n"/>
      <c r="Y768" s="153" t="n"/>
      <c r="Z768" s="153" t="n"/>
    </row>
    <row r="769" ht="15.75" customHeight="1" s="154">
      <c r="G769" s="153" t="n"/>
      <c r="H769" s="153" t="n"/>
      <c r="I769" s="153" t="n"/>
      <c r="J769" s="153" t="n"/>
      <c r="K769" s="153" t="n"/>
      <c r="L769" s="153" t="n"/>
      <c r="M769" s="153" t="n"/>
      <c r="N769" s="153" t="n"/>
      <c r="O769" s="153" t="n"/>
      <c r="P769" s="153" t="n"/>
      <c r="Q769" s="153" t="n"/>
      <c r="R769" s="153" t="n"/>
      <c r="S769" s="153" t="n"/>
      <c r="T769" s="153" t="n"/>
      <c r="U769" s="153" t="n"/>
      <c r="V769" s="153" t="n"/>
      <c r="W769" s="153" t="n"/>
      <c r="X769" s="153" t="n"/>
      <c r="Y769" s="153" t="n"/>
      <c r="Z769" s="153" t="n"/>
    </row>
    <row r="770" ht="15.75" customHeight="1" s="154">
      <c r="G770" s="153" t="n"/>
      <c r="H770" s="153" t="n"/>
      <c r="I770" s="153" t="n"/>
      <c r="J770" s="153" t="n"/>
      <c r="K770" s="153" t="n"/>
      <c r="L770" s="153" t="n"/>
      <c r="M770" s="153" t="n"/>
      <c r="N770" s="153" t="n"/>
      <c r="O770" s="153" t="n"/>
      <c r="P770" s="153" t="n"/>
      <c r="Q770" s="153" t="n"/>
      <c r="R770" s="153" t="n"/>
      <c r="S770" s="153" t="n"/>
      <c r="T770" s="153" t="n"/>
      <c r="U770" s="153" t="n"/>
      <c r="V770" s="153" t="n"/>
      <c r="W770" s="153" t="n"/>
      <c r="X770" s="153" t="n"/>
      <c r="Y770" s="153" t="n"/>
      <c r="Z770" s="153" t="n"/>
    </row>
    <row r="771" ht="15.75" customHeight="1" s="154">
      <c r="G771" s="153" t="n"/>
      <c r="H771" s="153" t="n"/>
      <c r="I771" s="153" t="n"/>
      <c r="J771" s="153" t="n"/>
      <c r="K771" s="153" t="n"/>
      <c r="L771" s="153" t="n"/>
      <c r="M771" s="153" t="n"/>
      <c r="N771" s="153" t="n"/>
      <c r="O771" s="153" t="n"/>
      <c r="P771" s="153" t="n"/>
      <c r="Q771" s="153" t="n"/>
      <c r="R771" s="153" t="n"/>
      <c r="S771" s="153" t="n"/>
      <c r="T771" s="153" t="n"/>
      <c r="U771" s="153" t="n"/>
      <c r="V771" s="153" t="n"/>
      <c r="W771" s="153" t="n"/>
      <c r="X771" s="153" t="n"/>
      <c r="Y771" s="153" t="n"/>
      <c r="Z771" s="153" t="n"/>
    </row>
    <row r="772" ht="15.75" customHeight="1" s="154">
      <c r="G772" s="153" t="n"/>
      <c r="H772" s="153" t="n"/>
      <c r="I772" s="153" t="n"/>
      <c r="J772" s="153" t="n"/>
      <c r="K772" s="153" t="n"/>
      <c r="L772" s="153" t="n"/>
      <c r="M772" s="153" t="n"/>
      <c r="N772" s="153" t="n"/>
      <c r="O772" s="153" t="n"/>
      <c r="P772" s="153" t="n"/>
      <c r="Q772" s="153" t="n"/>
      <c r="R772" s="153" t="n"/>
      <c r="S772" s="153" t="n"/>
      <c r="T772" s="153" t="n"/>
      <c r="U772" s="153" t="n"/>
      <c r="V772" s="153" t="n"/>
      <c r="W772" s="153" t="n"/>
      <c r="X772" s="153" t="n"/>
      <c r="Y772" s="153" t="n"/>
      <c r="Z772" s="153" t="n"/>
    </row>
    <row r="773" ht="15.75" customHeight="1" s="154">
      <c r="G773" s="153" t="n"/>
      <c r="H773" s="153" t="n"/>
      <c r="I773" s="153" t="n"/>
      <c r="J773" s="153" t="n"/>
      <c r="K773" s="153" t="n"/>
      <c r="L773" s="153" t="n"/>
      <c r="M773" s="153" t="n"/>
      <c r="N773" s="153" t="n"/>
      <c r="O773" s="153" t="n"/>
      <c r="P773" s="153" t="n"/>
      <c r="Q773" s="153" t="n"/>
      <c r="R773" s="153" t="n"/>
      <c r="S773" s="153" t="n"/>
      <c r="T773" s="153" t="n"/>
      <c r="U773" s="153" t="n"/>
      <c r="V773" s="153" t="n"/>
      <c r="W773" s="153" t="n"/>
      <c r="X773" s="153" t="n"/>
      <c r="Y773" s="153" t="n"/>
      <c r="Z773" s="153" t="n"/>
    </row>
    <row r="774" ht="15.75" customHeight="1" s="154">
      <c r="G774" s="153" t="n"/>
      <c r="H774" s="153" t="n"/>
      <c r="I774" s="153" t="n"/>
      <c r="J774" s="153" t="n"/>
      <c r="K774" s="153" t="n"/>
      <c r="L774" s="153" t="n"/>
      <c r="M774" s="153" t="n"/>
      <c r="N774" s="153" t="n"/>
      <c r="O774" s="153" t="n"/>
      <c r="P774" s="153" t="n"/>
      <c r="Q774" s="153" t="n"/>
      <c r="R774" s="153" t="n"/>
      <c r="S774" s="153" t="n"/>
      <c r="T774" s="153" t="n"/>
      <c r="U774" s="153" t="n"/>
      <c r="V774" s="153" t="n"/>
      <c r="W774" s="153" t="n"/>
      <c r="X774" s="153" t="n"/>
      <c r="Y774" s="153" t="n"/>
      <c r="Z774" s="153" t="n"/>
    </row>
    <row r="775" ht="15.75" customHeight="1" s="154">
      <c r="G775" s="153" t="n"/>
      <c r="H775" s="153" t="n"/>
      <c r="I775" s="153" t="n"/>
      <c r="J775" s="153" t="n"/>
      <c r="K775" s="153" t="n"/>
      <c r="L775" s="153" t="n"/>
      <c r="M775" s="153" t="n"/>
      <c r="N775" s="153" t="n"/>
      <c r="O775" s="153" t="n"/>
      <c r="P775" s="153" t="n"/>
      <c r="Q775" s="153" t="n"/>
      <c r="R775" s="153" t="n"/>
      <c r="S775" s="153" t="n"/>
      <c r="T775" s="153" t="n"/>
      <c r="U775" s="153" t="n"/>
      <c r="V775" s="153" t="n"/>
      <c r="W775" s="153" t="n"/>
      <c r="X775" s="153" t="n"/>
      <c r="Y775" s="153" t="n"/>
      <c r="Z775" s="153" t="n"/>
    </row>
    <row r="776" ht="15.75" customHeight="1" s="154">
      <c r="G776" s="153" t="n"/>
      <c r="H776" s="153" t="n"/>
      <c r="I776" s="153" t="n"/>
      <c r="J776" s="153" t="n"/>
      <c r="K776" s="153" t="n"/>
      <c r="L776" s="153" t="n"/>
      <c r="M776" s="153" t="n"/>
      <c r="N776" s="153" t="n"/>
      <c r="O776" s="153" t="n"/>
      <c r="P776" s="153" t="n"/>
      <c r="Q776" s="153" t="n"/>
      <c r="R776" s="153" t="n"/>
      <c r="S776" s="153" t="n"/>
      <c r="T776" s="153" t="n"/>
      <c r="U776" s="153" t="n"/>
      <c r="V776" s="153" t="n"/>
      <c r="W776" s="153" t="n"/>
      <c r="X776" s="153" t="n"/>
      <c r="Y776" s="153" t="n"/>
      <c r="Z776" s="153" t="n"/>
    </row>
    <row r="777" ht="15.75" customHeight="1" s="154">
      <c r="G777" s="153" t="n"/>
      <c r="H777" s="153" t="n"/>
      <c r="I777" s="153" t="n"/>
      <c r="J777" s="153" t="n"/>
      <c r="K777" s="153" t="n"/>
      <c r="L777" s="153" t="n"/>
      <c r="M777" s="153" t="n"/>
      <c r="N777" s="153" t="n"/>
      <c r="O777" s="153" t="n"/>
      <c r="P777" s="153" t="n"/>
      <c r="Q777" s="153" t="n"/>
      <c r="R777" s="153" t="n"/>
      <c r="S777" s="153" t="n"/>
      <c r="T777" s="153" t="n"/>
      <c r="U777" s="153" t="n"/>
      <c r="V777" s="153" t="n"/>
      <c r="W777" s="153" t="n"/>
      <c r="X777" s="153" t="n"/>
      <c r="Y777" s="153" t="n"/>
      <c r="Z777" s="153" t="n"/>
    </row>
    <row r="778" ht="15.75" customHeight="1" s="154">
      <c r="G778" s="153" t="n"/>
      <c r="H778" s="153" t="n"/>
      <c r="I778" s="153" t="n"/>
      <c r="J778" s="153" t="n"/>
      <c r="K778" s="153" t="n"/>
      <c r="L778" s="153" t="n"/>
      <c r="M778" s="153" t="n"/>
      <c r="N778" s="153" t="n"/>
      <c r="O778" s="153" t="n"/>
      <c r="P778" s="153" t="n"/>
      <c r="Q778" s="153" t="n"/>
      <c r="R778" s="153" t="n"/>
      <c r="S778" s="153" t="n"/>
      <c r="T778" s="153" t="n"/>
      <c r="U778" s="153" t="n"/>
      <c r="V778" s="153" t="n"/>
      <c r="W778" s="153" t="n"/>
      <c r="X778" s="153" t="n"/>
      <c r="Y778" s="153" t="n"/>
      <c r="Z778" s="153" t="n"/>
    </row>
    <row r="779" ht="15.75" customHeight="1" s="154">
      <c r="G779" s="153" t="n"/>
      <c r="H779" s="153" t="n"/>
      <c r="I779" s="153" t="n"/>
      <c r="J779" s="153" t="n"/>
      <c r="K779" s="153" t="n"/>
      <c r="L779" s="153" t="n"/>
      <c r="M779" s="153" t="n"/>
      <c r="N779" s="153" t="n"/>
      <c r="O779" s="153" t="n"/>
      <c r="P779" s="153" t="n"/>
      <c r="Q779" s="153" t="n"/>
      <c r="R779" s="153" t="n"/>
      <c r="S779" s="153" t="n"/>
      <c r="T779" s="153" t="n"/>
      <c r="U779" s="153" t="n"/>
      <c r="V779" s="153" t="n"/>
      <c r="W779" s="153" t="n"/>
      <c r="X779" s="153" t="n"/>
      <c r="Y779" s="153" t="n"/>
      <c r="Z779" s="153" t="n"/>
    </row>
    <row r="780" ht="15.75" customHeight="1" s="154">
      <c r="G780" s="153" t="n"/>
      <c r="H780" s="153" t="n"/>
      <c r="I780" s="153" t="n"/>
      <c r="J780" s="153" t="n"/>
      <c r="K780" s="153" t="n"/>
      <c r="L780" s="153" t="n"/>
      <c r="M780" s="153" t="n"/>
      <c r="N780" s="153" t="n"/>
      <c r="O780" s="153" t="n"/>
      <c r="P780" s="153" t="n"/>
      <c r="Q780" s="153" t="n"/>
      <c r="R780" s="153" t="n"/>
      <c r="S780" s="153" t="n"/>
      <c r="T780" s="153" t="n"/>
      <c r="U780" s="153" t="n"/>
      <c r="V780" s="153" t="n"/>
      <c r="W780" s="153" t="n"/>
      <c r="X780" s="153" t="n"/>
      <c r="Y780" s="153" t="n"/>
      <c r="Z780" s="153" t="n"/>
    </row>
    <row r="781" ht="15.75" customHeight="1" s="154">
      <c r="G781" s="153" t="n"/>
      <c r="H781" s="153" t="n"/>
      <c r="I781" s="153" t="n"/>
      <c r="J781" s="153" t="n"/>
      <c r="K781" s="153" t="n"/>
      <c r="L781" s="153" t="n"/>
      <c r="M781" s="153" t="n"/>
      <c r="N781" s="153" t="n"/>
      <c r="O781" s="153" t="n"/>
      <c r="P781" s="153" t="n"/>
      <c r="Q781" s="153" t="n"/>
      <c r="R781" s="153" t="n"/>
      <c r="S781" s="153" t="n"/>
      <c r="T781" s="153" t="n"/>
      <c r="U781" s="153" t="n"/>
      <c r="V781" s="153" t="n"/>
      <c r="W781" s="153" t="n"/>
      <c r="X781" s="153" t="n"/>
      <c r="Y781" s="153" t="n"/>
      <c r="Z781" s="153" t="n"/>
    </row>
    <row r="782" ht="15.75" customHeight="1" s="154">
      <c r="G782" s="153" t="n"/>
      <c r="H782" s="153" t="n"/>
      <c r="I782" s="153" t="n"/>
      <c r="J782" s="153" t="n"/>
      <c r="K782" s="153" t="n"/>
      <c r="L782" s="153" t="n"/>
      <c r="M782" s="153" t="n"/>
      <c r="N782" s="153" t="n"/>
      <c r="O782" s="153" t="n"/>
      <c r="P782" s="153" t="n"/>
      <c r="Q782" s="153" t="n"/>
      <c r="R782" s="153" t="n"/>
      <c r="S782" s="153" t="n"/>
      <c r="T782" s="153" t="n"/>
      <c r="U782" s="153" t="n"/>
      <c r="V782" s="153" t="n"/>
      <c r="W782" s="153" t="n"/>
      <c r="X782" s="153" t="n"/>
      <c r="Y782" s="153" t="n"/>
      <c r="Z782" s="153" t="n"/>
    </row>
    <row r="783" ht="15.75" customHeight="1" s="154">
      <c r="G783" s="153" t="n"/>
      <c r="H783" s="153" t="n"/>
      <c r="I783" s="153" t="n"/>
      <c r="J783" s="153" t="n"/>
      <c r="K783" s="153" t="n"/>
      <c r="L783" s="153" t="n"/>
      <c r="M783" s="153" t="n"/>
      <c r="N783" s="153" t="n"/>
      <c r="O783" s="153" t="n"/>
      <c r="P783" s="153" t="n"/>
      <c r="Q783" s="153" t="n"/>
      <c r="R783" s="153" t="n"/>
      <c r="S783" s="153" t="n"/>
      <c r="T783" s="153" t="n"/>
      <c r="U783" s="153" t="n"/>
      <c r="V783" s="153" t="n"/>
      <c r="W783" s="153" t="n"/>
      <c r="X783" s="153" t="n"/>
      <c r="Y783" s="153" t="n"/>
      <c r="Z783" s="153" t="n"/>
    </row>
    <row r="784" ht="15.75" customHeight="1" s="154">
      <c r="G784" s="153" t="n"/>
      <c r="H784" s="153" t="n"/>
      <c r="I784" s="153" t="n"/>
      <c r="J784" s="153" t="n"/>
      <c r="K784" s="153" t="n"/>
      <c r="L784" s="153" t="n"/>
      <c r="M784" s="153" t="n"/>
      <c r="N784" s="153" t="n"/>
      <c r="O784" s="153" t="n"/>
      <c r="P784" s="153" t="n"/>
      <c r="Q784" s="153" t="n"/>
      <c r="R784" s="153" t="n"/>
      <c r="S784" s="153" t="n"/>
      <c r="T784" s="153" t="n"/>
      <c r="U784" s="153" t="n"/>
      <c r="V784" s="153" t="n"/>
      <c r="W784" s="153" t="n"/>
      <c r="X784" s="153" t="n"/>
      <c r="Y784" s="153" t="n"/>
      <c r="Z784" s="153" t="n"/>
    </row>
    <row r="785" ht="15.75" customHeight="1" s="154">
      <c r="G785" s="153" t="n"/>
      <c r="H785" s="153" t="n"/>
      <c r="I785" s="153" t="n"/>
      <c r="J785" s="153" t="n"/>
      <c r="K785" s="153" t="n"/>
      <c r="L785" s="153" t="n"/>
      <c r="M785" s="153" t="n"/>
      <c r="N785" s="153" t="n"/>
      <c r="O785" s="153" t="n"/>
      <c r="P785" s="153" t="n"/>
      <c r="Q785" s="153" t="n"/>
      <c r="R785" s="153" t="n"/>
      <c r="S785" s="153" t="n"/>
      <c r="T785" s="153" t="n"/>
      <c r="U785" s="153" t="n"/>
      <c r="V785" s="153" t="n"/>
      <c r="W785" s="153" t="n"/>
      <c r="X785" s="153" t="n"/>
      <c r="Y785" s="153" t="n"/>
      <c r="Z785" s="153" t="n"/>
    </row>
    <row r="786" ht="15.75" customHeight="1" s="154">
      <c r="G786" s="153" t="n"/>
      <c r="H786" s="153" t="n"/>
      <c r="I786" s="153" t="n"/>
      <c r="J786" s="153" t="n"/>
      <c r="K786" s="153" t="n"/>
      <c r="L786" s="153" t="n"/>
      <c r="M786" s="153" t="n"/>
      <c r="N786" s="153" t="n"/>
      <c r="O786" s="153" t="n"/>
      <c r="P786" s="153" t="n"/>
      <c r="Q786" s="153" t="n"/>
      <c r="R786" s="153" t="n"/>
      <c r="S786" s="153" t="n"/>
      <c r="T786" s="153" t="n"/>
      <c r="U786" s="153" t="n"/>
      <c r="V786" s="153" t="n"/>
      <c r="W786" s="153" t="n"/>
      <c r="X786" s="153" t="n"/>
      <c r="Y786" s="153" t="n"/>
      <c r="Z786" s="153" t="n"/>
    </row>
    <row r="787" ht="15.75" customHeight="1" s="154">
      <c r="G787" s="153" t="n"/>
      <c r="H787" s="153" t="n"/>
      <c r="I787" s="153" t="n"/>
      <c r="J787" s="153" t="n"/>
      <c r="K787" s="153" t="n"/>
      <c r="L787" s="153" t="n"/>
      <c r="M787" s="153" t="n"/>
      <c r="N787" s="153" t="n"/>
      <c r="O787" s="153" t="n"/>
      <c r="P787" s="153" t="n"/>
      <c r="Q787" s="153" t="n"/>
      <c r="R787" s="153" t="n"/>
      <c r="S787" s="153" t="n"/>
      <c r="T787" s="153" t="n"/>
      <c r="U787" s="153" t="n"/>
      <c r="V787" s="153" t="n"/>
      <c r="W787" s="153" t="n"/>
      <c r="X787" s="153" t="n"/>
      <c r="Y787" s="153" t="n"/>
      <c r="Z787" s="153" t="n"/>
    </row>
    <row r="788" ht="15.75" customHeight="1" s="154">
      <c r="G788" s="153" t="n"/>
      <c r="H788" s="153" t="n"/>
      <c r="I788" s="153" t="n"/>
      <c r="J788" s="153" t="n"/>
      <c r="K788" s="153" t="n"/>
      <c r="L788" s="153" t="n"/>
      <c r="M788" s="153" t="n"/>
      <c r="N788" s="153" t="n"/>
      <c r="O788" s="153" t="n"/>
      <c r="P788" s="153" t="n"/>
      <c r="Q788" s="153" t="n"/>
      <c r="R788" s="153" t="n"/>
      <c r="S788" s="153" t="n"/>
      <c r="T788" s="153" t="n"/>
      <c r="U788" s="153" t="n"/>
      <c r="V788" s="153" t="n"/>
      <c r="W788" s="153" t="n"/>
      <c r="X788" s="153" t="n"/>
      <c r="Y788" s="153" t="n"/>
      <c r="Z788" s="153" t="n"/>
    </row>
    <row r="789" ht="15.75" customHeight="1" s="154">
      <c r="G789" s="153" t="n"/>
      <c r="H789" s="153" t="n"/>
      <c r="I789" s="153" t="n"/>
      <c r="J789" s="153" t="n"/>
      <c r="K789" s="153" t="n"/>
      <c r="L789" s="153" t="n"/>
      <c r="M789" s="153" t="n"/>
      <c r="N789" s="153" t="n"/>
      <c r="O789" s="153" t="n"/>
      <c r="P789" s="153" t="n"/>
      <c r="Q789" s="153" t="n"/>
      <c r="R789" s="153" t="n"/>
      <c r="S789" s="153" t="n"/>
      <c r="T789" s="153" t="n"/>
      <c r="U789" s="153" t="n"/>
      <c r="V789" s="153" t="n"/>
      <c r="W789" s="153" t="n"/>
      <c r="X789" s="153" t="n"/>
      <c r="Y789" s="153" t="n"/>
      <c r="Z789" s="153" t="n"/>
    </row>
    <row r="790" ht="15.75" customHeight="1" s="154">
      <c r="G790" s="153" t="n"/>
      <c r="H790" s="153" t="n"/>
      <c r="I790" s="153" t="n"/>
      <c r="J790" s="153" t="n"/>
      <c r="K790" s="153" t="n"/>
      <c r="L790" s="153" t="n"/>
      <c r="M790" s="153" t="n"/>
      <c r="N790" s="153" t="n"/>
      <c r="O790" s="153" t="n"/>
      <c r="P790" s="153" t="n"/>
      <c r="Q790" s="153" t="n"/>
      <c r="R790" s="153" t="n"/>
      <c r="S790" s="153" t="n"/>
      <c r="T790" s="153" t="n"/>
      <c r="U790" s="153" t="n"/>
      <c r="V790" s="153" t="n"/>
      <c r="W790" s="153" t="n"/>
      <c r="X790" s="153" t="n"/>
      <c r="Y790" s="153" t="n"/>
      <c r="Z790" s="153" t="n"/>
    </row>
    <row r="791" ht="15.75" customHeight="1" s="154">
      <c r="G791" s="153" t="n"/>
      <c r="H791" s="153" t="n"/>
      <c r="I791" s="153" t="n"/>
      <c r="J791" s="153" t="n"/>
      <c r="K791" s="153" t="n"/>
      <c r="L791" s="153" t="n"/>
      <c r="M791" s="153" t="n"/>
      <c r="N791" s="153" t="n"/>
      <c r="O791" s="153" t="n"/>
      <c r="P791" s="153" t="n"/>
      <c r="Q791" s="153" t="n"/>
      <c r="R791" s="153" t="n"/>
      <c r="S791" s="153" t="n"/>
      <c r="T791" s="153" t="n"/>
      <c r="U791" s="153" t="n"/>
      <c r="V791" s="153" t="n"/>
      <c r="W791" s="153" t="n"/>
      <c r="X791" s="153" t="n"/>
      <c r="Y791" s="153" t="n"/>
      <c r="Z791" s="153" t="n"/>
    </row>
    <row r="792" ht="15.75" customHeight="1" s="154">
      <c r="G792" s="153" t="n"/>
      <c r="H792" s="153" t="n"/>
      <c r="I792" s="153" t="n"/>
      <c r="J792" s="153" t="n"/>
      <c r="K792" s="153" t="n"/>
      <c r="L792" s="153" t="n"/>
      <c r="M792" s="153" t="n"/>
      <c r="N792" s="153" t="n"/>
      <c r="O792" s="153" t="n"/>
      <c r="P792" s="153" t="n"/>
      <c r="Q792" s="153" t="n"/>
      <c r="R792" s="153" t="n"/>
      <c r="S792" s="153" t="n"/>
      <c r="T792" s="153" t="n"/>
      <c r="U792" s="153" t="n"/>
      <c r="V792" s="153" t="n"/>
      <c r="W792" s="153" t="n"/>
      <c r="X792" s="153" t="n"/>
      <c r="Y792" s="153" t="n"/>
      <c r="Z792" s="153" t="n"/>
    </row>
    <row r="793" ht="15.75" customHeight="1" s="154">
      <c r="G793" s="153" t="n"/>
      <c r="H793" s="153" t="n"/>
      <c r="I793" s="153" t="n"/>
      <c r="J793" s="153" t="n"/>
      <c r="K793" s="153" t="n"/>
      <c r="L793" s="153" t="n"/>
      <c r="M793" s="153" t="n"/>
      <c r="N793" s="153" t="n"/>
      <c r="O793" s="153" t="n"/>
      <c r="P793" s="153" t="n"/>
      <c r="Q793" s="153" t="n"/>
      <c r="R793" s="153" t="n"/>
      <c r="S793" s="153" t="n"/>
      <c r="T793" s="153" t="n"/>
      <c r="U793" s="153" t="n"/>
      <c r="V793" s="153" t="n"/>
      <c r="W793" s="153" t="n"/>
      <c r="X793" s="153" t="n"/>
      <c r="Y793" s="153" t="n"/>
      <c r="Z793" s="153" t="n"/>
    </row>
    <row r="794" ht="15.75" customHeight="1" s="154">
      <c r="G794" s="153" t="n"/>
      <c r="H794" s="153" t="n"/>
      <c r="I794" s="153" t="n"/>
      <c r="J794" s="153" t="n"/>
      <c r="K794" s="153" t="n"/>
      <c r="L794" s="153" t="n"/>
      <c r="M794" s="153" t="n"/>
      <c r="N794" s="153" t="n"/>
      <c r="O794" s="153" t="n"/>
      <c r="P794" s="153" t="n"/>
      <c r="Q794" s="153" t="n"/>
      <c r="R794" s="153" t="n"/>
      <c r="S794" s="153" t="n"/>
      <c r="T794" s="153" t="n"/>
      <c r="U794" s="153" t="n"/>
      <c r="V794" s="153" t="n"/>
      <c r="W794" s="153" t="n"/>
      <c r="X794" s="153" t="n"/>
      <c r="Y794" s="153" t="n"/>
      <c r="Z794" s="153" t="n"/>
    </row>
    <row r="795" ht="15.75" customHeight="1" s="154">
      <c r="G795" s="153" t="n"/>
      <c r="H795" s="153" t="n"/>
      <c r="I795" s="153" t="n"/>
      <c r="J795" s="153" t="n"/>
      <c r="K795" s="153" t="n"/>
      <c r="L795" s="153" t="n"/>
      <c r="M795" s="153" t="n"/>
      <c r="N795" s="153" t="n"/>
      <c r="O795" s="153" t="n"/>
      <c r="P795" s="153" t="n"/>
      <c r="Q795" s="153" t="n"/>
      <c r="R795" s="153" t="n"/>
      <c r="S795" s="153" t="n"/>
      <c r="T795" s="153" t="n"/>
      <c r="U795" s="153" t="n"/>
      <c r="V795" s="153" t="n"/>
      <c r="W795" s="153" t="n"/>
      <c r="X795" s="153" t="n"/>
      <c r="Y795" s="153" t="n"/>
      <c r="Z795" s="153" t="n"/>
    </row>
    <row r="796" ht="15.75" customHeight="1" s="154">
      <c r="G796" s="153" t="n"/>
      <c r="H796" s="153" t="n"/>
      <c r="I796" s="153" t="n"/>
      <c r="J796" s="153" t="n"/>
      <c r="K796" s="153" t="n"/>
      <c r="L796" s="153" t="n"/>
      <c r="M796" s="153" t="n"/>
      <c r="N796" s="153" t="n"/>
      <c r="O796" s="153" t="n"/>
      <c r="P796" s="153" t="n"/>
      <c r="Q796" s="153" t="n"/>
      <c r="R796" s="153" t="n"/>
      <c r="S796" s="153" t="n"/>
      <c r="T796" s="153" t="n"/>
      <c r="U796" s="153" t="n"/>
      <c r="V796" s="153" t="n"/>
      <c r="W796" s="153" t="n"/>
      <c r="X796" s="153" t="n"/>
      <c r="Y796" s="153" t="n"/>
      <c r="Z796" s="153" t="n"/>
    </row>
    <row r="797" ht="15.75" customHeight="1" s="154">
      <c r="G797" s="153" t="n"/>
      <c r="H797" s="153" t="n"/>
      <c r="I797" s="153" t="n"/>
      <c r="J797" s="153" t="n"/>
      <c r="K797" s="153" t="n"/>
      <c r="L797" s="153" t="n"/>
      <c r="M797" s="153" t="n"/>
      <c r="N797" s="153" t="n"/>
      <c r="O797" s="153" t="n"/>
      <c r="P797" s="153" t="n"/>
      <c r="Q797" s="153" t="n"/>
      <c r="R797" s="153" t="n"/>
      <c r="S797" s="153" t="n"/>
      <c r="T797" s="153" t="n"/>
      <c r="U797" s="153" t="n"/>
      <c r="V797" s="153" t="n"/>
      <c r="W797" s="153" t="n"/>
      <c r="X797" s="153" t="n"/>
      <c r="Y797" s="153" t="n"/>
      <c r="Z797" s="153" t="n"/>
    </row>
    <row r="798" ht="15.75" customHeight="1" s="154">
      <c r="G798" s="153" t="n"/>
      <c r="H798" s="153" t="n"/>
      <c r="I798" s="153" t="n"/>
      <c r="J798" s="153" t="n"/>
      <c r="K798" s="153" t="n"/>
      <c r="L798" s="153" t="n"/>
      <c r="M798" s="153" t="n"/>
      <c r="N798" s="153" t="n"/>
      <c r="O798" s="153" t="n"/>
      <c r="P798" s="153" t="n"/>
      <c r="Q798" s="153" t="n"/>
      <c r="R798" s="153" t="n"/>
      <c r="S798" s="153" t="n"/>
      <c r="T798" s="153" t="n"/>
      <c r="U798" s="153" t="n"/>
      <c r="V798" s="153" t="n"/>
      <c r="W798" s="153" t="n"/>
      <c r="X798" s="153" t="n"/>
      <c r="Y798" s="153" t="n"/>
      <c r="Z798" s="153" t="n"/>
    </row>
    <row r="799" ht="15.75" customHeight="1" s="154">
      <c r="G799" s="153" t="n"/>
      <c r="H799" s="153" t="n"/>
      <c r="I799" s="153" t="n"/>
      <c r="J799" s="153" t="n"/>
      <c r="K799" s="153" t="n"/>
      <c r="L799" s="153" t="n"/>
      <c r="M799" s="153" t="n"/>
      <c r="N799" s="153" t="n"/>
      <c r="O799" s="153" t="n"/>
      <c r="P799" s="153" t="n"/>
      <c r="Q799" s="153" t="n"/>
      <c r="R799" s="153" t="n"/>
      <c r="S799" s="153" t="n"/>
      <c r="T799" s="153" t="n"/>
      <c r="U799" s="153" t="n"/>
      <c r="V799" s="153" t="n"/>
      <c r="W799" s="153" t="n"/>
      <c r="X799" s="153" t="n"/>
      <c r="Y799" s="153" t="n"/>
      <c r="Z799" s="153" t="n"/>
    </row>
    <row r="800" ht="15.75" customHeight="1" s="154">
      <c r="G800" s="153" t="n"/>
      <c r="H800" s="153" t="n"/>
      <c r="I800" s="153" t="n"/>
      <c r="J800" s="153" t="n"/>
      <c r="K800" s="153" t="n"/>
      <c r="L800" s="153" t="n"/>
      <c r="M800" s="153" t="n"/>
      <c r="N800" s="153" t="n"/>
      <c r="O800" s="153" t="n"/>
      <c r="P800" s="153" t="n"/>
      <c r="Q800" s="153" t="n"/>
      <c r="R800" s="153" t="n"/>
      <c r="S800" s="153" t="n"/>
      <c r="T800" s="153" t="n"/>
      <c r="U800" s="153" t="n"/>
      <c r="V800" s="153" t="n"/>
      <c r="W800" s="153" t="n"/>
      <c r="X800" s="153" t="n"/>
      <c r="Y800" s="153" t="n"/>
      <c r="Z800" s="153" t="n"/>
    </row>
    <row r="801" ht="15.75" customHeight="1" s="154">
      <c r="G801" s="153" t="n"/>
      <c r="H801" s="153" t="n"/>
      <c r="I801" s="153" t="n"/>
      <c r="J801" s="153" t="n"/>
      <c r="K801" s="153" t="n"/>
      <c r="L801" s="153" t="n"/>
      <c r="M801" s="153" t="n"/>
      <c r="N801" s="153" t="n"/>
      <c r="O801" s="153" t="n"/>
      <c r="P801" s="153" t="n"/>
      <c r="Q801" s="153" t="n"/>
      <c r="R801" s="153" t="n"/>
      <c r="S801" s="153" t="n"/>
      <c r="T801" s="153" t="n"/>
      <c r="U801" s="153" t="n"/>
      <c r="V801" s="153" t="n"/>
      <c r="W801" s="153" t="n"/>
      <c r="X801" s="153" t="n"/>
      <c r="Y801" s="153" t="n"/>
      <c r="Z801" s="153" t="n"/>
    </row>
    <row r="802" ht="15.75" customHeight="1" s="154">
      <c r="G802" s="153" t="n"/>
      <c r="H802" s="153" t="n"/>
      <c r="I802" s="153" t="n"/>
      <c r="J802" s="153" t="n"/>
      <c r="K802" s="153" t="n"/>
      <c r="L802" s="153" t="n"/>
      <c r="M802" s="153" t="n"/>
      <c r="N802" s="153" t="n"/>
      <c r="O802" s="153" t="n"/>
      <c r="P802" s="153" t="n"/>
      <c r="Q802" s="153" t="n"/>
      <c r="R802" s="153" t="n"/>
      <c r="S802" s="153" t="n"/>
      <c r="T802" s="153" t="n"/>
      <c r="U802" s="153" t="n"/>
      <c r="V802" s="153" t="n"/>
      <c r="W802" s="153" t="n"/>
      <c r="X802" s="153" t="n"/>
      <c r="Y802" s="153" t="n"/>
      <c r="Z802" s="153" t="n"/>
    </row>
    <row r="803" ht="15.75" customHeight="1" s="154">
      <c r="G803" s="153" t="n"/>
      <c r="H803" s="153" t="n"/>
      <c r="I803" s="153" t="n"/>
      <c r="J803" s="153" t="n"/>
      <c r="K803" s="153" t="n"/>
      <c r="L803" s="153" t="n"/>
      <c r="M803" s="153" t="n"/>
      <c r="N803" s="153" t="n"/>
      <c r="O803" s="153" t="n"/>
      <c r="P803" s="153" t="n"/>
      <c r="Q803" s="153" t="n"/>
      <c r="R803" s="153" t="n"/>
      <c r="S803" s="153" t="n"/>
      <c r="T803" s="153" t="n"/>
      <c r="U803" s="153" t="n"/>
      <c r="V803" s="153" t="n"/>
      <c r="W803" s="153" t="n"/>
      <c r="X803" s="153" t="n"/>
      <c r="Y803" s="153" t="n"/>
      <c r="Z803" s="153" t="n"/>
    </row>
    <row r="804" ht="15.75" customHeight="1" s="154">
      <c r="G804" s="153" t="n"/>
      <c r="H804" s="153" t="n"/>
      <c r="I804" s="153" t="n"/>
      <c r="J804" s="153" t="n"/>
      <c r="K804" s="153" t="n"/>
      <c r="L804" s="153" t="n"/>
      <c r="M804" s="153" t="n"/>
      <c r="N804" s="153" t="n"/>
      <c r="O804" s="153" t="n"/>
      <c r="P804" s="153" t="n"/>
      <c r="Q804" s="153" t="n"/>
      <c r="R804" s="153" t="n"/>
      <c r="S804" s="153" t="n"/>
      <c r="T804" s="153" t="n"/>
      <c r="U804" s="153" t="n"/>
      <c r="V804" s="153" t="n"/>
      <c r="W804" s="153" t="n"/>
      <c r="X804" s="153" t="n"/>
      <c r="Y804" s="153" t="n"/>
      <c r="Z804" s="153" t="n"/>
    </row>
    <row r="805" ht="15.75" customHeight="1" s="154">
      <c r="G805" s="153" t="n"/>
      <c r="H805" s="153" t="n"/>
      <c r="I805" s="153" t="n"/>
      <c r="J805" s="153" t="n"/>
      <c r="K805" s="153" t="n"/>
      <c r="L805" s="153" t="n"/>
      <c r="M805" s="153" t="n"/>
      <c r="N805" s="153" t="n"/>
      <c r="O805" s="153" t="n"/>
      <c r="P805" s="153" t="n"/>
      <c r="Q805" s="153" t="n"/>
      <c r="R805" s="153" t="n"/>
      <c r="S805" s="153" t="n"/>
      <c r="T805" s="153" t="n"/>
      <c r="U805" s="153" t="n"/>
      <c r="V805" s="153" t="n"/>
      <c r="W805" s="153" t="n"/>
      <c r="X805" s="153" t="n"/>
      <c r="Y805" s="153" t="n"/>
      <c r="Z805" s="153" t="n"/>
    </row>
    <row r="806" ht="15.75" customHeight="1" s="154">
      <c r="G806" s="153" t="n"/>
      <c r="H806" s="153" t="n"/>
      <c r="I806" s="153" t="n"/>
      <c r="J806" s="153" t="n"/>
      <c r="K806" s="153" t="n"/>
      <c r="L806" s="153" t="n"/>
      <c r="M806" s="153" t="n"/>
      <c r="N806" s="153" t="n"/>
      <c r="O806" s="153" t="n"/>
      <c r="P806" s="153" t="n"/>
      <c r="Q806" s="153" t="n"/>
      <c r="R806" s="153" t="n"/>
      <c r="S806" s="153" t="n"/>
      <c r="T806" s="153" t="n"/>
      <c r="U806" s="153" t="n"/>
      <c r="V806" s="153" t="n"/>
      <c r="W806" s="153" t="n"/>
      <c r="X806" s="153" t="n"/>
      <c r="Y806" s="153" t="n"/>
      <c r="Z806" s="153" t="n"/>
    </row>
    <row r="807" ht="15.75" customHeight="1" s="154">
      <c r="G807" s="153" t="n"/>
      <c r="H807" s="153" t="n"/>
      <c r="I807" s="153" t="n"/>
      <c r="J807" s="153" t="n"/>
      <c r="K807" s="153" t="n"/>
      <c r="L807" s="153" t="n"/>
      <c r="M807" s="153" t="n"/>
      <c r="N807" s="153" t="n"/>
      <c r="O807" s="153" t="n"/>
      <c r="P807" s="153" t="n"/>
      <c r="Q807" s="153" t="n"/>
      <c r="R807" s="153" t="n"/>
      <c r="S807" s="153" t="n"/>
      <c r="T807" s="153" t="n"/>
      <c r="U807" s="153" t="n"/>
      <c r="V807" s="153" t="n"/>
      <c r="W807" s="153" t="n"/>
      <c r="X807" s="153" t="n"/>
      <c r="Y807" s="153" t="n"/>
      <c r="Z807" s="153" t="n"/>
    </row>
    <row r="808" ht="15.75" customHeight="1" s="154">
      <c r="G808" s="153" t="n"/>
      <c r="H808" s="153" t="n"/>
      <c r="I808" s="153" t="n"/>
      <c r="J808" s="153" t="n"/>
      <c r="K808" s="153" t="n"/>
      <c r="L808" s="153" t="n"/>
      <c r="M808" s="153" t="n"/>
      <c r="N808" s="153" t="n"/>
      <c r="O808" s="153" t="n"/>
      <c r="P808" s="153" t="n"/>
      <c r="Q808" s="153" t="n"/>
      <c r="R808" s="153" t="n"/>
      <c r="S808" s="153" t="n"/>
      <c r="T808" s="153" t="n"/>
      <c r="U808" s="153" t="n"/>
      <c r="V808" s="153" t="n"/>
      <c r="W808" s="153" t="n"/>
      <c r="X808" s="153" t="n"/>
      <c r="Y808" s="153" t="n"/>
      <c r="Z808" s="153" t="n"/>
    </row>
    <row r="809" ht="15.75" customHeight="1" s="154">
      <c r="G809" s="153" t="n"/>
      <c r="H809" s="153" t="n"/>
      <c r="I809" s="153" t="n"/>
      <c r="J809" s="153" t="n"/>
      <c r="K809" s="153" t="n"/>
      <c r="L809" s="153" t="n"/>
      <c r="M809" s="153" t="n"/>
      <c r="N809" s="153" t="n"/>
      <c r="O809" s="153" t="n"/>
      <c r="P809" s="153" t="n"/>
      <c r="Q809" s="153" t="n"/>
      <c r="R809" s="153" t="n"/>
      <c r="S809" s="153" t="n"/>
      <c r="T809" s="153" t="n"/>
      <c r="U809" s="153" t="n"/>
      <c r="V809" s="153" t="n"/>
      <c r="W809" s="153" t="n"/>
      <c r="X809" s="153" t="n"/>
      <c r="Y809" s="153" t="n"/>
      <c r="Z809" s="153" t="n"/>
    </row>
    <row r="810" ht="15.75" customHeight="1" s="154">
      <c r="G810" s="153" t="n"/>
      <c r="H810" s="153" t="n"/>
      <c r="I810" s="153" t="n"/>
      <c r="J810" s="153" t="n"/>
      <c r="K810" s="153" t="n"/>
      <c r="L810" s="153" t="n"/>
      <c r="M810" s="153" t="n"/>
      <c r="N810" s="153" t="n"/>
      <c r="O810" s="153" t="n"/>
      <c r="P810" s="153" t="n"/>
      <c r="Q810" s="153" t="n"/>
      <c r="R810" s="153" t="n"/>
      <c r="S810" s="153" t="n"/>
      <c r="T810" s="153" t="n"/>
      <c r="U810" s="153" t="n"/>
      <c r="V810" s="153" t="n"/>
      <c r="W810" s="153" t="n"/>
      <c r="X810" s="153" t="n"/>
      <c r="Y810" s="153" t="n"/>
      <c r="Z810" s="153" t="n"/>
    </row>
    <row r="811" ht="15.75" customHeight="1" s="154">
      <c r="G811" s="153" t="n"/>
      <c r="H811" s="153" t="n"/>
      <c r="I811" s="153" t="n"/>
      <c r="J811" s="153" t="n"/>
      <c r="K811" s="153" t="n"/>
      <c r="L811" s="153" t="n"/>
      <c r="M811" s="153" t="n"/>
      <c r="N811" s="153" t="n"/>
      <c r="O811" s="153" t="n"/>
      <c r="P811" s="153" t="n"/>
      <c r="Q811" s="153" t="n"/>
      <c r="R811" s="153" t="n"/>
      <c r="S811" s="153" t="n"/>
      <c r="T811" s="153" t="n"/>
      <c r="U811" s="153" t="n"/>
      <c r="V811" s="153" t="n"/>
      <c r="W811" s="153" t="n"/>
      <c r="X811" s="153" t="n"/>
      <c r="Y811" s="153" t="n"/>
      <c r="Z811" s="153" t="n"/>
    </row>
    <row r="812" ht="15.75" customHeight="1" s="154">
      <c r="G812" s="153" t="n"/>
      <c r="H812" s="153" t="n"/>
      <c r="I812" s="153" t="n"/>
      <c r="J812" s="153" t="n"/>
      <c r="K812" s="153" t="n"/>
      <c r="L812" s="153" t="n"/>
      <c r="M812" s="153" t="n"/>
      <c r="N812" s="153" t="n"/>
      <c r="O812" s="153" t="n"/>
      <c r="P812" s="153" t="n"/>
      <c r="Q812" s="153" t="n"/>
      <c r="R812" s="153" t="n"/>
      <c r="S812" s="153" t="n"/>
      <c r="T812" s="153" t="n"/>
      <c r="U812" s="153" t="n"/>
      <c r="V812" s="153" t="n"/>
      <c r="W812" s="153" t="n"/>
      <c r="X812" s="153" t="n"/>
      <c r="Y812" s="153" t="n"/>
      <c r="Z812" s="153" t="n"/>
    </row>
    <row r="813" ht="15.75" customHeight="1" s="154">
      <c r="G813" s="153" t="n"/>
      <c r="H813" s="153" t="n"/>
      <c r="I813" s="153" t="n"/>
      <c r="J813" s="153" t="n"/>
      <c r="K813" s="153" t="n"/>
      <c r="L813" s="153" t="n"/>
      <c r="M813" s="153" t="n"/>
      <c r="N813" s="153" t="n"/>
      <c r="O813" s="153" t="n"/>
      <c r="P813" s="153" t="n"/>
      <c r="Q813" s="153" t="n"/>
      <c r="R813" s="153" t="n"/>
      <c r="S813" s="153" t="n"/>
      <c r="T813" s="153" t="n"/>
      <c r="U813" s="153" t="n"/>
      <c r="V813" s="153" t="n"/>
      <c r="W813" s="153" t="n"/>
      <c r="X813" s="153" t="n"/>
      <c r="Y813" s="153" t="n"/>
      <c r="Z813" s="153" t="n"/>
    </row>
    <row r="814" ht="15.75" customHeight="1" s="154">
      <c r="G814" s="153" t="n"/>
      <c r="H814" s="153" t="n"/>
      <c r="I814" s="153" t="n"/>
      <c r="J814" s="153" t="n"/>
      <c r="K814" s="153" t="n"/>
      <c r="L814" s="153" t="n"/>
      <c r="M814" s="153" t="n"/>
      <c r="N814" s="153" t="n"/>
      <c r="O814" s="153" t="n"/>
      <c r="P814" s="153" t="n"/>
      <c r="Q814" s="153" t="n"/>
      <c r="R814" s="153" t="n"/>
      <c r="S814" s="153" t="n"/>
      <c r="T814" s="153" t="n"/>
      <c r="U814" s="153" t="n"/>
      <c r="V814" s="153" t="n"/>
      <c r="W814" s="153" t="n"/>
      <c r="X814" s="153" t="n"/>
      <c r="Y814" s="153" t="n"/>
      <c r="Z814" s="153" t="n"/>
    </row>
    <row r="815" ht="15.75" customHeight="1" s="154">
      <c r="G815" s="153" t="n"/>
      <c r="H815" s="153" t="n"/>
      <c r="I815" s="153" t="n"/>
      <c r="J815" s="153" t="n"/>
      <c r="K815" s="153" t="n"/>
      <c r="L815" s="153" t="n"/>
      <c r="M815" s="153" t="n"/>
      <c r="N815" s="153" t="n"/>
      <c r="O815" s="153" t="n"/>
      <c r="P815" s="153" t="n"/>
      <c r="Q815" s="153" t="n"/>
      <c r="R815" s="153" t="n"/>
      <c r="S815" s="153" t="n"/>
      <c r="T815" s="153" t="n"/>
      <c r="U815" s="153" t="n"/>
      <c r="V815" s="153" t="n"/>
      <c r="W815" s="153" t="n"/>
      <c r="X815" s="153" t="n"/>
      <c r="Y815" s="153" t="n"/>
      <c r="Z815" s="153" t="n"/>
    </row>
    <row r="816" ht="15.75" customHeight="1" s="154">
      <c r="G816" s="153" t="n"/>
      <c r="H816" s="153" t="n"/>
      <c r="I816" s="153" t="n"/>
      <c r="J816" s="153" t="n"/>
      <c r="K816" s="153" t="n"/>
      <c r="L816" s="153" t="n"/>
      <c r="M816" s="153" t="n"/>
      <c r="N816" s="153" t="n"/>
      <c r="O816" s="153" t="n"/>
      <c r="P816" s="153" t="n"/>
      <c r="Q816" s="153" t="n"/>
      <c r="R816" s="153" t="n"/>
      <c r="S816" s="153" t="n"/>
      <c r="T816" s="153" t="n"/>
      <c r="U816" s="153" t="n"/>
      <c r="V816" s="153" t="n"/>
      <c r="W816" s="153" t="n"/>
      <c r="X816" s="153" t="n"/>
      <c r="Y816" s="153" t="n"/>
      <c r="Z816" s="153" t="n"/>
    </row>
    <row r="817" ht="15.75" customHeight="1" s="154">
      <c r="G817" s="153" t="n"/>
      <c r="H817" s="153" t="n"/>
      <c r="I817" s="153" t="n"/>
      <c r="J817" s="153" t="n"/>
      <c r="K817" s="153" t="n"/>
      <c r="L817" s="153" t="n"/>
      <c r="M817" s="153" t="n"/>
      <c r="N817" s="153" t="n"/>
      <c r="O817" s="153" t="n"/>
      <c r="P817" s="153" t="n"/>
      <c r="Q817" s="153" t="n"/>
      <c r="R817" s="153" t="n"/>
      <c r="S817" s="153" t="n"/>
      <c r="T817" s="153" t="n"/>
      <c r="U817" s="153" t="n"/>
      <c r="V817" s="153" t="n"/>
      <c r="W817" s="153" t="n"/>
      <c r="X817" s="153" t="n"/>
      <c r="Y817" s="153" t="n"/>
      <c r="Z817" s="153" t="n"/>
    </row>
    <row r="818" ht="15.75" customHeight="1" s="154">
      <c r="G818" s="153" t="n"/>
      <c r="H818" s="153" t="n"/>
      <c r="I818" s="153" t="n"/>
      <c r="J818" s="153" t="n"/>
      <c r="K818" s="153" t="n"/>
      <c r="L818" s="153" t="n"/>
      <c r="M818" s="153" t="n"/>
      <c r="N818" s="153" t="n"/>
      <c r="O818" s="153" t="n"/>
      <c r="P818" s="153" t="n"/>
      <c r="Q818" s="153" t="n"/>
      <c r="R818" s="153" t="n"/>
      <c r="S818" s="153" t="n"/>
      <c r="T818" s="153" t="n"/>
      <c r="U818" s="153" t="n"/>
      <c r="V818" s="153" t="n"/>
      <c r="W818" s="153" t="n"/>
      <c r="X818" s="153" t="n"/>
      <c r="Y818" s="153" t="n"/>
      <c r="Z818" s="153" t="n"/>
    </row>
    <row r="819" ht="15.75" customHeight="1" s="154">
      <c r="G819" s="153" t="n"/>
      <c r="H819" s="153" t="n"/>
      <c r="I819" s="153" t="n"/>
      <c r="J819" s="153" t="n"/>
      <c r="K819" s="153" t="n"/>
      <c r="L819" s="153" t="n"/>
      <c r="M819" s="153" t="n"/>
      <c r="N819" s="153" t="n"/>
      <c r="O819" s="153" t="n"/>
      <c r="P819" s="153" t="n"/>
      <c r="Q819" s="153" t="n"/>
      <c r="R819" s="153" t="n"/>
      <c r="S819" s="153" t="n"/>
      <c r="T819" s="153" t="n"/>
      <c r="U819" s="153" t="n"/>
      <c r="V819" s="153" t="n"/>
      <c r="W819" s="153" t="n"/>
      <c r="X819" s="153" t="n"/>
      <c r="Y819" s="153" t="n"/>
      <c r="Z819" s="153" t="n"/>
    </row>
    <row r="820" ht="15.75" customHeight="1" s="154">
      <c r="G820" s="153" t="n"/>
      <c r="H820" s="153" t="n"/>
      <c r="I820" s="153" t="n"/>
      <c r="J820" s="153" t="n"/>
      <c r="K820" s="153" t="n"/>
      <c r="L820" s="153" t="n"/>
      <c r="M820" s="153" t="n"/>
      <c r="N820" s="153" t="n"/>
      <c r="O820" s="153" t="n"/>
      <c r="P820" s="153" t="n"/>
      <c r="Q820" s="153" t="n"/>
      <c r="R820" s="153" t="n"/>
      <c r="S820" s="153" t="n"/>
      <c r="T820" s="153" t="n"/>
      <c r="U820" s="153" t="n"/>
      <c r="V820" s="153" t="n"/>
      <c r="W820" s="153" t="n"/>
      <c r="X820" s="153" t="n"/>
      <c r="Y820" s="153" t="n"/>
      <c r="Z820" s="153" t="n"/>
    </row>
    <row r="821" ht="15.75" customHeight="1" s="154">
      <c r="G821" s="153" t="n"/>
      <c r="H821" s="153" t="n"/>
      <c r="I821" s="153" t="n"/>
      <c r="J821" s="153" t="n"/>
      <c r="K821" s="153" t="n"/>
      <c r="L821" s="153" t="n"/>
      <c r="M821" s="153" t="n"/>
      <c r="N821" s="153" t="n"/>
      <c r="O821" s="153" t="n"/>
      <c r="P821" s="153" t="n"/>
      <c r="Q821" s="153" t="n"/>
      <c r="R821" s="153" t="n"/>
      <c r="S821" s="153" t="n"/>
      <c r="T821" s="153" t="n"/>
      <c r="U821" s="153" t="n"/>
      <c r="V821" s="153" t="n"/>
      <c r="W821" s="153" t="n"/>
      <c r="X821" s="153" t="n"/>
      <c r="Y821" s="153" t="n"/>
      <c r="Z821" s="153" t="n"/>
    </row>
    <row r="822" ht="15.75" customHeight="1" s="154">
      <c r="G822" s="153" t="n"/>
      <c r="H822" s="153" t="n"/>
      <c r="I822" s="153" t="n"/>
      <c r="J822" s="153" t="n"/>
      <c r="K822" s="153" t="n"/>
      <c r="L822" s="153" t="n"/>
      <c r="M822" s="153" t="n"/>
      <c r="N822" s="153" t="n"/>
      <c r="O822" s="153" t="n"/>
      <c r="P822" s="153" t="n"/>
      <c r="Q822" s="153" t="n"/>
      <c r="R822" s="153" t="n"/>
      <c r="S822" s="153" t="n"/>
      <c r="T822" s="153" t="n"/>
      <c r="U822" s="153" t="n"/>
      <c r="V822" s="153" t="n"/>
      <c r="W822" s="153" t="n"/>
      <c r="X822" s="153" t="n"/>
      <c r="Y822" s="153" t="n"/>
      <c r="Z822" s="153" t="n"/>
    </row>
    <row r="823" ht="15.75" customHeight="1" s="154">
      <c r="G823" s="153" t="n"/>
      <c r="H823" s="153" t="n"/>
      <c r="I823" s="153" t="n"/>
      <c r="J823" s="153" t="n"/>
      <c r="K823" s="153" t="n"/>
      <c r="L823" s="153" t="n"/>
      <c r="M823" s="153" t="n"/>
      <c r="N823" s="153" t="n"/>
      <c r="O823" s="153" t="n"/>
      <c r="P823" s="153" t="n"/>
      <c r="Q823" s="153" t="n"/>
      <c r="R823" s="153" t="n"/>
      <c r="S823" s="153" t="n"/>
      <c r="T823" s="153" t="n"/>
      <c r="U823" s="153" t="n"/>
      <c r="V823" s="153" t="n"/>
      <c r="W823" s="153" t="n"/>
      <c r="X823" s="153" t="n"/>
      <c r="Y823" s="153" t="n"/>
      <c r="Z823" s="153" t="n"/>
    </row>
    <row r="824" ht="15.75" customHeight="1" s="154">
      <c r="G824" s="153" t="n"/>
      <c r="H824" s="153" t="n"/>
      <c r="I824" s="153" t="n"/>
      <c r="J824" s="153" t="n"/>
      <c r="K824" s="153" t="n"/>
      <c r="L824" s="153" t="n"/>
      <c r="M824" s="153" t="n"/>
      <c r="N824" s="153" t="n"/>
      <c r="O824" s="153" t="n"/>
      <c r="P824" s="153" t="n"/>
      <c r="Q824" s="153" t="n"/>
      <c r="R824" s="153" t="n"/>
      <c r="S824" s="153" t="n"/>
      <c r="T824" s="153" t="n"/>
      <c r="U824" s="153" t="n"/>
      <c r="V824" s="153" t="n"/>
      <c r="W824" s="153" t="n"/>
      <c r="X824" s="153" t="n"/>
      <c r="Y824" s="153" t="n"/>
      <c r="Z824" s="153" t="n"/>
    </row>
    <row r="825" ht="15.75" customHeight="1" s="154">
      <c r="G825" s="153" t="n"/>
      <c r="H825" s="153" t="n"/>
      <c r="I825" s="153" t="n"/>
      <c r="J825" s="153" t="n"/>
      <c r="K825" s="153" t="n"/>
      <c r="L825" s="153" t="n"/>
      <c r="M825" s="153" t="n"/>
      <c r="N825" s="153" t="n"/>
      <c r="O825" s="153" t="n"/>
      <c r="P825" s="153" t="n"/>
      <c r="Q825" s="153" t="n"/>
      <c r="R825" s="153" t="n"/>
      <c r="S825" s="153" t="n"/>
      <c r="T825" s="153" t="n"/>
      <c r="U825" s="153" t="n"/>
      <c r="V825" s="153" t="n"/>
      <c r="W825" s="153" t="n"/>
      <c r="X825" s="153" t="n"/>
      <c r="Y825" s="153" t="n"/>
      <c r="Z825" s="153" t="n"/>
    </row>
    <row r="826" ht="15.75" customHeight="1" s="154">
      <c r="G826" s="153" t="n"/>
      <c r="H826" s="153" t="n"/>
      <c r="I826" s="153" t="n"/>
      <c r="J826" s="153" t="n"/>
      <c r="K826" s="153" t="n"/>
      <c r="L826" s="153" t="n"/>
      <c r="M826" s="153" t="n"/>
      <c r="N826" s="153" t="n"/>
      <c r="O826" s="153" t="n"/>
      <c r="P826" s="153" t="n"/>
      <c r="Q826" s="153" t="n"/>
      <c r="R826" s="153" t="n"/>
      <c r="S826" s="153" t="n"/>
      <c r="T826" s="153" t="n"/>
      <c r="U826" s="153" t="n"/>
      <c r="V826" s="153" t="n"/>
      <c r="W826" s="153" t="n"/>
      <c r="X826" s="153" t="n"/>
      <c r="Y826" s="153" t="n"/>
      <c r="Z826" s="153" t="n"/>
    </row>
    <row r="827" ht="15.75" customHeight="1" s="154">
      <c r="G827" s="153" t="n"/>
      <c r="H827" s="153" t="n"/>
      <c r="I827" s="153" t="n"/>
      <c r="J827" s="153" t="n"/>
      <c r="K827" s="153" t="n"/>
      <c r="L827" s="153" t="n"/>
      <c r="M827" s="153" t="n"/>
      <c r="N827" s="153" t="n"/>
      <c r="O827" s="153" t="n"/>
      <c r="P827" s="153" t="n"/>
      <c r="Q827" s="153" t="n"/>
      <c r="R827" s="153" t="n"/>
      <c r="S827" s="153" t="n"/>
      <c r="T827" s="153" t="n"/>
      <c r="U827" s="153" t="n"/>
      <c r="V827" s="153" t="n"/>
      <c r="W827" s="153" t="n"/>
      <c r="X827" s="153" t="n"/>
      <c r="Y827" s="153" t="n"/>
      <c r="Z827" s="153" t="n"/>
    </row>
    <row r="828" ht="15.75" customHeight="1" s="154">
      <c r="G828" s="153" t="n"/>
      <c r="H828" s="153" t="n"/>
      <c r="I828" s="153" t="n"/>
      <c r="J828" s="153" t="n"/>
      <c r="K828" s="153" t="n"/>
      <c r="L828" s="153" t="n"/>
      <c r="M828" s="153" t="n"/>
      <c r="N828" s="153" t="n"/>
      <c r="O828" s="153" t="n"/>
      <c r="P828" s="153" t="n"/>
      <c r="Q828" s="153" t="n"/>
      <c r="R828" s="153" t="n"/>
      <c r="S828" s="153" t="n"/>
      <c r="T828" s="153" t="n"/>
      <c r="U828" s="153" t="n"/>
      <c r="V828" s="153" t="n"/>
      <c r="W828" s="153" t="n"/>
      <c r="X828" s="153" t="n"/>
      <c r="Y828" s="153" t="n"/>
      <c r="Z828" s="153" t="n"/>
    </row>
    <row r="829" ht="15.75" customHeight="1" s="154">
      <c r="G829" s="153" t="n"/>
      <c r="H829" s="153" t="n"/>
      <c r="I829" s="153" t="n"/>
      <c r="J829" s="153" t="n"/>
      <c r="K829" s="153" t="n"/>
      <c r="L829" s="153" t="n"/>
      <c r="M829" s="153" t="n"/>
      <c r="N829" s="153" t="n"/>
      <c r="O829" s="153" t="n"/>
      <c r="P829" s="153" t="n"/>
      <c r="Q829" s="153" t="n"/>
      <c r="R829" s="153" t="n"/>
      <c r="S829" s="153" t="n"/>
      <c r="T829" s="153" t="n"/>
      <c r="U829" s="153" t="n"/>
      <c r="V829" s="153" t="n"/>
      <c r="W829" s="153" t="n"/>
      <c r="X829" s="153" t="n"/>
      <c r="Y829" s="153" t="n"/>
      <c r="Z829" s="153" t="n"/>
    </row>
    <row r="830" ht="15.75" customHeight="1" s="154">
      <c r="G830" s="153" t="n"/>
      <c r="H830" s="153" t="n"/>
      <c r="I830" s="153" t="n"/>
      <c r="J830" s="153" t="n"/>
      <c r="K830" s="153" t="n"/>
      <c r="L830" s="153" t="n"/>
      <c r="M830" s="153" t="n"/>
      <c r="N830" s="153" t="n"/>
      <c r="O830" s="153" t="n"/>
      <c r="P830" s="153" t="n"/>
      <c r="Q830" s="153" t="n"/>
      <c r="R830" s="153" t="n"/>
      <c r="S830" s="153" t="n"/>
      <c r="T830" s="153" t="n"/>
      <c r="U830" s="153" t="n"/>
      <c r="V830" s="153" t="n"/>
      <c r="W830" s="153" t="n"/>
      <c r="X830" s="153" t="n"/>
      <c r="Y830" s="153" t="n"/>
      <c r="Z830" s="153" t="n"/>
    </row>
    <row r="831" ht="15.75" customHeight="1" s="154">
      <c r="G831" s="153" t="n"/>
      <c r="H831" s="153" t="n"/>
      <c r="I831" s="153" t="n"/>
      <c r="J831" s="153" t="n"/>
      <c r="K831" s="153" t="n"/>
      <c r="L831" s="153" t="n"/>
      <c r="M831" s="153" t="n"/>
      <c r="N831" s="153" t="n"/>
      <c r="O831" s="153" t="n"/>
      <c r="P831" s="153" t="n"/>
      <c r="Q831" s="153" t="n"/>
      <c r="R831" s="153" t="n"/>
      <c r="S831" s="153" t="n"/>
      <c r="T831" s="153" t="n"/>
      <c r="U831" s="153" t="n"/>
      <c r="V831" s="153" t="n"/>
      <c r="W831" s="153" t="n"/>
      <c r="X831" s="153" t="n"/>
      <c r="Y831" s="153" t="n"/>
      <c r="Z831" s="153" t="n"/>
    </row>
    <row r="832" ht="15.75" customHeight="1" s="154">
      <c r="G832" s="153" t="n"/>
      <c r="H832" s="153" t="n"/>
      <c r="I832" s="153" t="n"/>
      <c r="J832" s="153" t="n"/>
      <c r="K832" s="153" t="n"/>
      <c r="L832" s="153" t="n"/>
      <c r="M832" s="153" t="n"/>
      <c r="N832" s="153" t="n"/>
      <c r="O832" s="153" t="n"/>
      <c r="P832" s="153" t="n"/>
      <c r="Q832" s="153" t="n"/>
      <c r="R832" s="153" t="n"/>
      <c r="S832" s="153" t="n"/>
      <c r="T832" s="153" t="n"/>
      <c r="U832" s="153" t="n"/>
      <c r="V832" s="153" t="n"/>
      <c r="W832" s="153" t="n"/>
      <c r="X832" s="153" t="n"/>
      <c r="Y832" s="153" t="n"/>
      <c r="Z832" s="153" t="n"/>
    </row>
    <row r="833" ht="15.75" customHeight="1" s="154">
      <c r="G833" s="153" t="n"/>
      <c r="H833" s="153" t="n"/>
      <c r="I833" s="153" t="n"/>
      <c r="J833" s="153" t="n"/>
      <c r="K833" s="153" t="n"/>
      <c r="L833" s="153" t="n"/>
      <c r="M833" s="153" t="n"/>
      <c r="N833" s="153" t="n"/>
      <c r="O833" s="153" t="n"/>
      <c r="P833" s="153" t="n"/>
      <c r="Q833" s="153" t="n"/>
      <c r="R833" s="153" t="n"/>
      <c r="S833" s="153" t="n"/>
      <c r="T833" s="153" t="n"/>
      <c r="U833" s="153" t="n"/>
      <c r="V833" s="153" t="n"/>
      <c r="W833" s="153" t="n"/>
      <c r="X833" s="153" t="n"/>
      <c r="Y833" s="153" t="n"/>
      <c r="Z833" s="153" t="n"/>
    </row>
    <row r="834" ht="15.75" customHeight="1" s="154">
      <c r="G834" s="153" t="n"/>
      <c r="H834" s="153" t="n"/>
      <c r="I834" s="153" t="n"/>
      <c r="J834" s="153" t="n"/>
      <c r="K834" s="153" t="n"/>
      <c r="L834" s="153" t="n"/>
      <c r="M834" s="153" t="n"/>
      <c r="N834" s="153" t="n"/>
      <c r="O834" s="153" t="n"/>
      <c r="P834" s="153" t="n"/>
      <c r="Q834" s="153" t="n"/>
      <c r="R834" s="153" t="n"/>
      <c r="S834" s="153" t="n"/>
      <c r="T834" s="153" t="n"/>
      <c r="U834" s="153" t="n"/>
      <c r="V834" s="153" t="n"/>
      <c r="W834" s="153" t="n"/>
      <c r="X834" s="153" t="n"/>
      <c r="Y834" s="153" t="n"/>
      <c r="Z834" s="153" t="n"/>
    </row>
    <row r="835" ht="15.75" customHeight="1" s="154">
      <c r="G835" s="153" t="n"/>
      <c r="H835" s="153" t="n"/>
      <c r="I835" s="153" t="n"/>
      <c r="J835" s="153" t="n"/>
      <c r="K835" s="153" t="n"/>
      <c r="L835" s="153" t="n"/>
      <c r="M835" s="153" t="n"/>
      <c r="N835" s="153" t="n"/>
      <c r="O835" s="153" t="n"/>
      <c r="P835" s="153" t="n"/>
      <c r="Q835" s="153" t="n"/>
      <c r="R835" s="153" t="n"/>
      <c r="S835" s="153" t="n"/>
      <c r="T835" s="153" t="n"/>
      <c r="U835" s="153" t="n"/>
      <c r="V835" s="153" t="n"/>
      <c r="W835" s="153" t="n"/>
      <c r="X835" s="153" t="n"/>
      <c r="Y835" s="153" t="n"/>
      <c r="Z835" s="153" t="n"/>
    </row>
    <row r="836" ht="15.75" customHeight="1" s="154">
      <c r="G836" s="153" t="n"/>
      <c r="H836" s="153" t="n"/>
      <c r="I836" s="153" t="n"/>
      <c r="J836" s="153" t="n"/>
      <c r="K836" s="153" t="n"/>
      <c r="L836" s="153" t="n"/>
      <c r="M836" s="153" t="n"/>
      <c r="N836" s="153" t="n"/>
      <c r="O836" s="153" t="n"/>
      <c r="P836" s="153" t="n"/>
      <c r="Q836" s="153" t="n"/>
      <c r="R836" s="153" t="n"/>
      <c r="S836" s="153" t="n"/>
      <c r="T836" s="153" t="n"/>
      <c r="U836" s="153" t="n"/>
      <c r="V836" s="153" t="n"/>
      <c r="W836" s="153" t="n"/>
      <c r="X836" s="153" t="n"/>
      <c r="Y836" s="153" t="n"/>
      <c r="Z836" s="153" t="n"/>
    </row>
    <row r="837" ht="15.75" customHeight="1" s="154">
      <c r="G837" s="153" t="n"/>
      <c r="H837" s="153" t="n"/>
      <c r="I837" s="153" t="n"/>
      <c r="J837" s="153" t="n"/>
      <c r="K837" s="153" t="n"/>
      <c r="L837" s="153" t="n"/>
      <c r="M837" s="153" t="n"/>
      <c r="N837" s="153" t="n"/>
      <c r="O837" s="153" t="n"/>
      <c r="P837" s="153" t="n"/>
      <c r="Q837" s="153" t="n"/>
      <c r="R837" s="153" t="n"/>
      <c r="S837" s="153" t="n"/>
      <c r="T837" s="153" t="n"/>
      <c r="U837" s="153" t="n"/>
      <c r="V837" s="153" t="n"/>
      <c r="W837" s="153" t="n"/>
      <c r="X837" s="153" t="n"/>
      <c r="Y837" s="153" t="n"/>
      <c r="Z837" s="153" t="n"/>
    </row>
    <row r="838" ht="15.75" customHeight="1" s="154">
      <c r="G838" s="153" t="n"/>
      <c r="H838" s="153" t="n"/>
      <c r="I838" s="153" t="n"/>
      <c r="J838" s="153" t="n"/>
      <c r="K838" s="153" t="n"/>
      <c r="L838" s="153" t="n"/>
      <c r="M838" s="153" t="n"/>
      <c r="N838" s="153" t="n"/>
      <c r="O838" s="153" t="n"/>
      <c r="P838" s="153" t="n"/>
      <c r="Q838" s="153" t="n"/>
      <c r="R838" s="153" t="n"/>
      <c r="S838" s="153" t="n"/>
      <c r="T838" s="153" t="n"/>
      <c r="U838" s="153" t="n"/>
      <c r="V838" s="153" t="n"/>
      <c r="W838" s="153" t="n"/>
      <c r="X838" s="153" t="n"/>
      <c r="Y838" s="153" t="n"/>
      <c r="Z838" s="153" t="n"/>
    </row>
    <row r="839" ht="15.75" customHeight="1" s="154">
      <c r="G839" s="153" t="n"/>
      <c r="H839" s="153" t="n"/>
      <c r="I839" s="153" t="n"/>
      <c r="J839" s="153" t="n"/>
      <c r="K839" s="153" t="n"/>
      <c r="L839" s="153" t="n"/>
      <c r="M839" s="153" t="n"/>
      <c r="N839" s="153" t="n"/>
      <c r="O839" s="153" t="n"/>
      <c r="P839" s="153" t="n"/>
      <c r="Q839" s="153" t="n"/>
      <c r="R839" s="153" t="n"/>
      <c r="S839" s="153" t="n"/>
      <c r="T839" s="153" t="n"/>
      <c r="U839" s="153" t="n"/>
      <c r="V839" s="153" t="n"/>
      <c r="W839" s="153" t="n"/>
      <c r="X839" s="153" t="n"/>
      <c r="Y839" s="153" t="n"/>
      <c r="Z839" s="153" t="n"/>
    </row>
    <row r="840" ht="15.75" customHeight="1" s="154">
      <c r="G840" s="153" t="n"/>
      <c r="H840" s="153" t="n"/>
      <c r="I840" s="153" t="n"/>
      <c r="J840" s="153" t="n"/>
      <c r="K840" s="153" t="n"/>
      <c r="L840" s="153" t="n"/>
      <c r="M840" s="153" t="n"/>
      <c r="N840" s="153" t="n"/>
      <c r="O840" s="153" t="n"/>
      <c r="P840" s="153" t="n"/>
      <c r="Q840" s="153" t="n"/>
      <c r="R840" s="153" t="n"/>
      <c r="S840" s="153" t="n"/>
      <c r="T840" s="153" t="n"/>
      <c r="U840" s="153" t="n"/>
      <c r="V840" s="153" t="n"/>
      <c r="W840" s="153" t="n"/>
      <c r="X840" s="153" t="n"/>
      <c r="Y840" s="153" t="n"/>
      <c r="Z840" s="153" t="n"/>
    </row>
    <row r="841" ht="15.75" customHeight="1" s="154">
      <c r="G841" s="153" t="n"/>
      <c r="H841" s="153" t="n"/>
      <c r="I841" s="153" t="n"/>
      <c r="J841" s="153" t="n"/>
      <c r="K841" s="153" t="n"/>
      <c r="L841" s="153" t="n"/>
      <c r="M841" s="153" t="n"/>
      <c r="N841" s="153" t="n"/>
      <c r="O841" s="153" t="n"/>
      <c r="P841" s="153" t="n"/>
      <c r="Q841" s="153" t="n"/>
      <c r="R841" s="153" t="n"/>
      <c r="S841" s="153" t="n"/>
      <c r="T841" s="153" t="n"/>
      <c r="U841" s="153" t="n"/>
      <c r="V841" s="153" t="n"/>
      <c r="W841" s="153" t="n"/>
      <c r="X841" s="153" t="n"/>
      <c r="Y841" s="153" t="n"/>
      <c r="Z841" s="153" t="n"/>
    </row>
    <row r="842" ht="15.75" customHeight="1" s="154">
      <c r="G842" s="153" t="n"/>
      <c r="H842" s="153" t="n"/>
      <c r="I842" s="153" t="n"/>
      <c r="J842" s="153" t="n"/>
      <c r="K842" s="153" t="n"/>
      <c r="L842" s="153" t="n"/>
      <c r="M842" s="153" t="n"/>
      <c r="N842" s="153" t="n"/>
      <c r="O842" s="153" t="n"/>
      <c r="P842" s="153" t="n"/>
      <c r="Q842" s="153" t="n"/>
      <c r="R842" s="153" t="n"/>
      <c r="S842" s="153" t="n"/>
      <c r="T842" s="153" t="n"/>
      <c r="U842" s="153" t="n"/>
      <c r="V842" s="153" t="n"/>
      <c r="W842" s="153" t="n"/>
      <c r="X842" s="153" t="n"/>
      <c r="Y842" s="153" t="n"/>
      <c r="Z842" s="153" t="n"/>
    </row>
    <row r="843" ht="15.75" customHeight="1" s="154">
      <c r="G843" s="153" t="n"/>
      <c r="H843" s="153" t="n"/>
      <c r="I843" s="153" t="n"/>
      <c r="J843" s="153" t="n"/>
      <c r="K843" s="153" t="n"/>
      <c r="L843" s="153" t="n"/>
      <c r="M843" s="153" t="n"/>
      <c r="N843" s="153" t="n"/>
      <c r="O843" s="153" t="n"/>
      <c r="P843" s="153" t="n"/>
      <c r="Q843" s="153" t="n"/>
      <c r="R843" s="153" t="n"/>
      <c r="S843" s="153" t="n"/>
      <c r="T843" s="153" t="n"/>
      <c r="U843" s="153" t="n"/>
      <c r="V843" s="153" t="n"/>
      <c r="W843" s="153" t="n"/>
      <c r="X843" s="153" t="n"/>
      <c r="Y843" s="153" t="n"/>
      <c r="Z843" s="153" t="n"/>
    </row>
    <row r="844" ht="15.75" customHeight="1" s="154">
      <c r="G844" s="153" t="n"/>
      <c r="H844" s="153" t="n"/>
      <c r="I844" s="153" t="n"/>
      <c r="J844" s="153" t="n"/>
      <c r="K844" s="153" t="n"/>
      <c r="L844" s="153" t="n"/>
      <c r="M844" s="153" t="n"/>
      <c r="N844" s="153" t="n"/>
      <c r="O844" s="153" t="n"/>
      <c r="P844" s="153" t="n"/>
      <c r="Q844" s="153" t="n"/>
      <c r="R844" s="153" t="n"/>
      <c r="S844" s="153" t="n"/>
      <c r="T844" s="153" t="n"/>
      <c r="U844" s="153" t="n"/>
      <c r="V844" s="153" t="n"/>
      <c r="W844" s="153" t="n"/>
      <c r="X844" s="153" t="n"/>
      <c r="Y844" s="153" t="n"/>
      <c r="Z844" s="153" t="n"/>
    </row>
    <row r="845" ht="15.75" customHeight="1" s="154">
      <c r="G845" s="153" t="n"/>
      <c r="H845" s="153" t="n"/>
      <c r="I845" s="153" t="n"/>
      <c r="J845" s="153" t="n"/>
      <c r="K845" s="153" t="n"/>
      <c r="L845" s="153" t="n"/>
      <c r="M845" s="153" t="n"/>
      <c r="N845" s="153" t="n"/>
      <c r="O845" s="153" t="n"/>
      <c r="P845" s="153" t="n"/>
      <c r="Q845" s="153" t="n"/>
      <c r="R845" s="153" t="n"/>
      <c r="S845" s="153" t="n"/>
      <c r="T845" s="153" t="n"/>
      <c r="U845" s="153" t="n"/>
      <c r="V845" s="153" t="n"/>
      <c r="W845" s="153" t="n"/>
      <c r="X845" s="153" t="n"/>
      <c r="Y845" s="153" t="n"/>
      <c r="Z845" s="153" t="n"/>
    </row>
    <row r="846" ht="15.75" customHeight="1" s="154">
      <c r="G846" s="153" t="n"/>
      <c r="H846" s="153" t="n"/>
      <c r="I846" s="153" t="n"/>
      <c r="J846" s="153" t="n"/>
      <c r="K846" s="153" t="n"/>
      <c r="L846" s="153" t="n"/>
      <c r="M846" s="153" t="n"/>
      <c r="N846" s="153" t="n"/>
      <c r="O846" s="153" t="n"/>
      <c r="P846" s="153" t="n"/>
      <c r="Q846" s="153" t="n"/>
      <c r="R846" s="153" t="n"/>
      <c r="S846" s="153" t="n"/>
      <c r="T846" s="153" t="n"/>
      <c r="U846" s="153" t="n"/>
      <c r="V846" s="153" t="n"/>
      <c r="W846" s="153" t="n"/>
      <c r="X846" s="153" t="n"/>
      <c r="Y846" s="153" t="n"/>
      <c r="Z846" s="153" t="n"/>
    </row>
    <row r="847" ht="15.75" customHeight="1" s="154">
      <c r="G847" s="153" t="n"/>
      <c r="H847" s="153" t="n"/>
      <c r="I847" s="153" t="n"/>
      <c r="J847" s="153" t="n"/>
      <c r="K847" s="153" t="n"/>
      <c r="L847" s="153" t="n"/>
      <c r="M847" s="153" t="n"/>
      <c r="N847" s="153" t="n"/>
      <c r="O847" s="153" t="n"/>
      <c r="P847" s="153" t="n"/>
      <c r="Q847" s="153" t="n"/>
      <c r="R847" s="153" t="n"/>
      <c r="S847" s="153" t="n"/>
      <c r="T847" s="153" t="n"/>
      <c r="U847" s="153" t="n"/>
      <c r="V847" s="153" t="n"/>
      <c r="W847" s="153" t="n"/>
      <c r="X847" s="153" t="n"/>
      <c r="Y847" s="153" t="n"/>
      <c r="Z847" s="153" t="n"/>
    </row>
    <row r="848" ht="15.75" customHeight="1" s="154">
      <c r="G848" s="153" t="n"/>
      <c r="H848" s="153" t="n"/>
      <c r="I848" s="153" t="n"/>
      <c r="J848" s="153" t="n"/>
      <c r="K848" s="153" t="n"/>
      <c r="L848" s="153" t="n"/>
      <c r="M848" s="153" t="n"/>
      <c r="N848" s="153" t="n"/>
      <c r="O848" s="153" t="n"/>
      <c r="P848" s="153" t="n"/>
      <c r="Q848" s="153" t="n"/>
      <c r="R848" s="153" t="n"/>
      <c r="S848" s="153" t="n"/>
      <c r="T848" s="153" t="n"/>
      <c r="U848" s="153" t="n"/>
      <c r="V848" s="153" t="n"/>
      <c r="W848" s="153" t="n"/>
      <c r="X848" s="153" t="n"/>
      <c r="Y848" s="153" t="n"/>
      <c r="Z848" s="153" t="n"/>
    </row>
    <row r="849" ht="15.75" customHeight="1" s="154">
      <c r="G849" s="153" t="n"/>
      <c r="H849" s="153" t="n"/>
      <c r="I849" s="153" t="n"/>
      <c r="J849" s="153" t="n"/>
      <c r="K849" s="153" t="n"/>
      <c r="L849" s="153" t="n"/>
      <c r="M849" s="153" t="n"/>
      <c r="N849" s="153" t="n"/>
      <c r="O849" s="153" t="n"/>
      <c r="P849" s="153" t="n"/>
      <c r="Q849" s="153" t="n"/>
      <c r="R849" s="153" t="n"/>
      <c r="S849" s="153" t="n"/>
      <c r="T849" s="153" t="n"/>
      <c r="U849" s="153" t="n"/>
      <c r="V849" s="153" t="n"/>
      <c r="W849" s="153" t="n"/>
      <c r="X849" s="153" t="n"/>
      <c r="Y849" s="153" t="n"/>
      <c r="Z849" s="153" t="n"/>
    </row>
    <row r="850" ht="15.75" customHeight="1" s="154">
      <c r="G850" s="153" t="n"/>
      <c r="H850" s="153" t="n"/>
      <c r="I850" s="153" t="n"/>
      <c r="J850" s="153" t="n"/>
      <c r="K850" s="153" t="n"/>
      <c r="L850" s="153" t="n"/>
      <c r="M850" s="153" t="n"/>
      <c r="N850" s="153" t="n"/>
      <c r="O850" s="153" t="n"/>
      <c r="P850" s="153" t="n"/>
      <c r="Q850" s="153" t="n"/>
      <c r="R850" s="153" t="n"/>
      <c r="S850" s="153" t="n"/>
      <c r="T850" s="153" t="n"/>
      <c r="U850" s="153" t="n"/>
      <c r="V850" s="153" t="n"/>
      <c r="W850" s="153" t="n"/>
      <c r="X850" s="153" t="n"/>
      <c r="Y850" s="153" t="n"/>
      <c r="Z850" s="153" t="n"/>
    </row>
    <row r="851" ht="15.75" customHeight="1" s="154">
      <c r="G851" s="153" t="n"/>
      <c r="H851" s="153" t="n"/>
      <c r="I851" s="153" t="n"/>
      <c r="J851" s="153" t="n"/>
      <c r="K851" s="153" t="n"/>
      <c r="L851" s="153" t="n"/>
      <c r="M851" s="153" t="n"/>
      <c r="N851" s="153" t="n"/>
      <c r="O851" s="153" t="n"/>
      <c r="P851" s="153" t="n"/>
      <c r="Q851" s="153" t="n"/>
      <c r="R851" s="153" t="n"/>
      <c r="S851" s="153" t="n"/>
      <c r="T851" s="153" t="n"/>
      <c r="U851" s="153" t="n"/>
      <c r="V851" s="153" t="n"/>
      <c r="W851" s="153" t="n"/>
      <c r="X851" s="153" t="n"/>
      <c r="Y851" s="153" t="n"/>
      <c r="Z851" s="153" t="n"/>
    </row>
    <row r="852" ht="15.75" customHeight="1" s="154">
      <c r="G852" s="153" t="n"/>
      <c r="H852" s="153" t="n"/>
      <c r="I852" s="153" t="n"/>
      <c r="J852" s="153" t="n"/>
      <c r="K852" s="153" t="n"/>
      <c r="L852" s="153" t="n"/>
      <c r="M852" s="153" t="n"/>
      <c r="N852" s="153" t="n"/>
      <c r="O852" s="153" t="n"/>
      <c r="P852" s="153" t="n"/>
      <c r="Q852" s="153" t="n"/>
      <c r="R852" s="153" t="n"/>
      <c r="S852" s="153" t="n"/>
      <c r="T852" s="153" t="n"/>
      <c r="U852" s="153" t="n"/>
      <c r="V852" s="153" t="n"/>
      <c r="W852" s="153" t="n"/>
      <c r="X852" s="153" t="n"/>
      <c r="Y852" s="153" t="n"/>
      <c r="Z852" s="153" t="n"/>
    </row>
    <row r="853" ht="15.75" customHeight="1" s="154">
      <c r="G853" s="153" t="n"/>
      <c r="H853" s="153" t="n"/>
      <c r="I853" s="153" t="n"/>
      <c r="J853" s="153" t="n"/>
      <c r="K853" s="153" t="n"/>
      <c r="L853" s="153" t="n"/>
      <c r="M853" s="153" t="n"/>
      <c r="N853" s="153" t="n"/>
      <c r="O853" s="153" t="n"/>
      <c r="P853" s="153" t="n"/>
      <c r="Q853" s="153" t="n"/>
      <c r="R853" s="153" t="n"/>
      <c r="S853" s="153" t="n"/>
      <c r="T853" s="153" t="n"/>
      <c r="U853" s="153" t="n"/>
      <c r="V853" s="153" t="n"/>
      <c r="W853" s="153" t="n"/>
      <c r="X853" s="153" t="n"/>
      <c r="Y853" s="153" t="n"/>
      <c r="Z853" s="153" t="n"/>
    </row>
    <row r="854" ht="15.75" customHeight="1" s="154">
      <c r="G854" s="153" t="n"/>
      <c r="H854" s="153" t="n"/>
      <c r="I854" s="153" t="n"/>
      <c r="J854" s="153" t="n"/>
      <c r="K854" s="153" t="n"/>
      <c r="L854" s="153" t="n"/>
      <c r="M854" s="153" t="n"/>
      <c r="N854" s="153" t="n"/>
      <c r="O854" s="153" t="n"/>
      <c r="P854" s="153" t="n"/>
      <c r="Q854" s="153" t="n"/>
      <c r="R854" s="153" t="n"/>
      <c r="S854" s="153" t="n"/>
      <c r="T854" s="153" t="n"/>
      <c r="U854" s="153" t="n"/>
      <c r="V854" s="153" t="n"/>
      <c r="W854" s="153" t="n"/>
      <c r="X854" s="153" t="n"/>
      <c r="Y854" s="153" t="n"/>
      <c r="Z854" s="153" t="n"/>
    </row>
    <row r="855" ht="15.75" customHeight="1" s="154">
      <c r="G855" s="153" t="n"/>
      <c r="H855" s="153" t="n"/>
      <c r="I855" s="153" t="n"/>
      <c r="J855" s="153" t="n"/>
      <c r="K855" s="153" t="n"/>
      <c r="L855" s="153" t="n"/>
      <c r="M855" s="153" t="n"/>
      <c r="N855" s="153" t="n"/>
      <c r="O855" s="153" t="n"/>
      <c r="P855" s="153" t="n"/>
      <c r="Q855" s="153" t="n"/>
      <c r="R855" s="153" t="n"/>
      <c r="S855" s="153" t="n"/>
      <c r="T855" s="153" t="n"/>
      <c r="U855" s="153" t="n"/>
      <c r="V855" s="153" t="n"/>
      <c r="W855" s="153" t="n"/>
      <c r="X855" s="153" t="n"/>
      <c r="Y855" s="153" t="n"/>
      <c r="Z855" s="153" t="n"/>
    </row>
    <row r="856" ht="15.75" customHeight="1" s="154">
      <c r="G856" s="153" t="n"/>
      <c r="H856" s="153" t="n"/>
      <c r="I856" s="153" t="n"/>
      <c r="J856" s="153" t="n"/>
      <c r="K856" s="153" t="n"/>
      <c r="L856" s="153" t="n"/>
      <c r="M856" s="153" t="n"/>
      <c r="N856" s="153" t="n"/>
      <c r="O856" s="153" t="n"/>
      <c r="P856" s="153" t="n"/>
      <c r="Q856" s="153" t="n"/>
      <c r="R856" s="153" t="n"/>
      <c r="S856" s="153" t="n"/>
      <c r="T856" s="153" t="n"/>
      <c r="U856" s="153" t="n"/>
      <c r="V856" s="153" t="n"/>
      <c r="W856" s="153" t="n"/>
      <c r="X856" s="153" t="n"/>
      <c r="Y856" s="153" t="n"/>
      <c r="Z856" s="153" t="n"/>
    </row>
    <row r="857" ht="15.75" customHeight="1" s="154">
      <c r="G857" s="153" t="n"/>
      <c r="H857" s="153" t="n"/>
      <c r="I857" s="153" t="n"/>
      <c r="J857" s="153" t="n"/>
      <c r="K857" s="153" t="n"/>
      <c r="L857" s="153" t="n"/>
      <c r="M857" s="153" t="n"/>
      <c r="N857" s="153" t="n"/>
      <c r="O857" s="153" t="n"/>
      <c r="P857" s="153" t="n"/>
      <c r="Q857" s="153" t="n"/>
      <c r="R857" s="153" t="n"/>
      <c r="S857" s="153" t="n"/>
      <c r="T857" s="153" t="n"/>
      <c r="U857" s="153" t="n"/>
      <c r="V857" s="153" t="n"/>
      <c r="W857" s="153" t="n"/>
      <c r="X857" s="153" t="n"/>
      <c r="Y857" s="153" t="n"/>
      <c r="Z857" s="153" t="n"/>
    </row>
    <row r="858" ht="15.75" customHeight="1" s="154">
      <c r="G858" s="153" t="n"/>
      <c r="H858" s="153" t="n"/>
      <c r="I858" s="153" t="n"/>
      <c r="J858" s="153" t="n"/>
      <c r="K858" s="153" t="n"/>
      <c r="L858" s="153" t="n"/>
      <c r="M858" s="153" t="n"/>
      <c r="N858" s="153" t="n"/>
      <c r="O858" s="153" t="n"/>
      <c r="P858" s="153" t="n"/>
      <c r="Q858" s="153" t="n"/>
      <c r="R858" s="153" t="n"/>
      <c r="S858" s="153" t="n"/>
      <c r="T858" s="153" t="n"/>
      <c r="U858" s="153" t="n"/>
      <c r="V858" s="153" t="n"/>
      <c r="W858" s="153" t="n"/>
      <c r="X858" s="153" t="n"/>
      <c r="Y858" s="153" t="n"/>
      <c r="Z858" s="153" t="n"/>
    </row>
    <row r="859" ht="15.75" customHeight="1" s="154">
      <c r="G859" s="153" t="n"/>
      <c r="H859" s="153" t="n"/>
      <c r="I859" s="153" t="n"/>
      <c r="J859" s="153" t="n"/>
      <c r="K859" s="153" t="n"/>
      <c r="L859" s="153" t="n"/>
      <c r="M859" s="153" t="n"/>
      <c r="N859" s="153" t="n"/>
      <c r="O859" s="153" t="n"/>
      <c r="P859" s="153" t="n"/>
      <c r="Q859" s="153" t="n"/>
      <c r="R859" s="153" t="n"/>
      <c r="S859" s="153" t="n"/>
      <c r="T859" s="153" t="n"/>
      <c r="U859" s="153" t="n"/>
      <c r="V859" s="153" t="n"/>
      <c r="W859" s="153" t="n"/>
      <c r="X859" s="153" t="n"/>
      <c r="Y859" s="153" t="n"/>
      <c r="Z859" s="153" t="n"/>
    </row>
    <row r="860" ht="15.75" customHeight="1" s="154">
      <c r="G860" s="153" t="n"/>
      <c r="H860" s="153" t="n"/>
      <c r="I860" s="153" t="n"/>
      <c r="J860" s="153" t="n"/>
      <c r="K860" s="153" t="n"/>
      <c r="L860" s="153" t="n"/>
      <c r="M860" s="153" t="n"/>
      <c r="N860" s="153" t="n"/>
      <c r="O860" s="153" t="n"/>
      <c r="P860" s="153" t="n"/>
      <c r="Q860" s="153" t="n"/>
      <c r="R860" s="153" t="n"/>
      <c r="S860" s="153" t="n"/>
      <c r="T860" s="153" t="n"/>
      <c r="U860" s="153" t="n"/>
      <c r="V860" s="153" t="n"/>
      <c r="W860" s="153" t="n"/>
      <c r="X860" s="153" t="n"/>
      <c r="Y860" s="153" t="n"/>
      <c r="Z860" s="153" t="n"/>
    </row>
    <row r="861" ht="15.75" customHeight="1" s="154">
      <c r="G861" s="153" t="n"/>
      <c r="H861" s="153" t="n"/>
      <c r="I861" s="153" t="n"/>
      <c r="J861" s="153" t="n"/>
      <c r="K861" s="153" t="n"/>
      <c r="L861" s="153" t="n"/>
      <c r="M861" s="153" t="n"/>
      <c r="N861" s="153" t="n"/>
      <c r="O861" s="153" t="n"/>
      <c r="P861" s="153" t="n"/>
      <c r="Q861" s="153" t="n"/>
      <c r="R861" s="153" t="n"/>
      <c r="S861" s="153" t="n"/>
      <c r="T861" s="153" t="n"/>
      <c r="U861" s="153" t="n"/>
      <c r="V861" s="153" t="n"/>
      <c r="W861" s="153" t="n"/>
      <c r="X861" s="153" t="n"/>
      <c r="Y861" s="153" t="n"/>
      <c r="Z861" s="153" t="n"/>
    </row>
    <row r="862" ht="15.75" customHeight="1" s="154">
      <c r="G862" s="153" t="n"/>
      <c r="H862" s="153" t="n"/>
      <c r="I862" s="153" t="n"/>
      <c r="J862" s="153" t="n"/>
      <c r="K862" s="153" t="n"/>
      <c r="L862" s="153" t="n"/>
      <c r="M862" s="153" t="n"/>
      <c r="N862" s="153" t="n"/>
      <c r="O862" s="153" t="n"/>
      <c r="P862" s="153" t="n"/>
      <c r="Q862" s="153" t="n"/>
      <c r="R862" s="153" t="n"/>
      <c r="S862" s="153" t="n"/>
      <c r="T862" s="153" t="n"/>
      <c r="U862" s="153" t="n"/>
      <c r="V862" s="153" t="n"/>
      <c r="W862" s="153" t="n"/>
      <c r="X862" s="153" t="n"/>
      <c r="Y862" s="153" t="n"/>
      <c r="Z862" s="153" t="n"/>
    </row>
    <row r="863" ht="15.75" customHeight="1" s="154">
      <c r="G863" s="153" t="n"/>
      <c r="H863" s="153" t="n"/>
      <c r="I863" s="153" t="n"/>
      <c r="J863" s="153" t="n"/>
      <c r="K863" s="153" t="n"/>
      <c r="L863" s="153" t="n"/>
      <c r="M863" s="153" t="n"/>
      <c r="N863" s="153" t="n"/>
      <c r="O863" s="153" t="n"/>
      <c r="P863" s="153" t="n"/>
      <c r="Q863" s="153" t="n"/>
      <c r="R863" s="153" t="n"/>
      <c r="S863" s="153" t="n"/>
      <c r="T863" s="153" t="n"/>
      <c r="U863" s="153" t="n"/>
      <c r="V863" s="153" t="n"/>
      <c r="W863" s="153" t="n"/>
      <c r="X863" s="153" t="n"/>
      <c r="Y863" s="153" t="n"/>
      <c r="Z863" s="153" t="n"/>
    </row>
    <row r="864" ht="15.75" customHeight="1" s="154">
      <c r="G864" s="153" t="n"/>
      <c r="H864" s="153" t="n"/>
      <c r="I864" s="153" t="n"/>
      <c r="J864" s="153" t="n"/>
      <c r="K864" s="153" t="n"/>
      <c r="L864" s="153" t="n"/>
      <c r="M864" s="153" t="n"/>
      <c r="N864" s="153" t="n"/>
      <c r="O864" s="153" t="n"/>
      <c r="P864" s="153" t="n"/>
      <c r="Q864" s="153" t="n"/>
      <c r="R864" s="153" t="n"/>
      <c r="S864" s="153" t="n"/>
      <c r="T864" s="153" t="n"/>
      <c r="U864" s="153" t="n"/>
      <c r="V864" s="153" t="n"/>
      <c r="W864" s="153" t="n"/>
      <c r="X864" s="153" t="n"/>
      <c r="Y864" s="153" t="n"/>
      <c r="Z864" s="153" t="n"/>
    </row>
    <row r="865" ht="15.75" customHeight="1" s="154">
      <c r="G865" s="153" t="n"/>
      <c r="H865" s="153" t="n"/>
      <c r="I865" s="153" t="n"/>
      <c r="J865" s="153" t="n"/>
      <c r="K865" s="153" t="n"/>
      <c r="L865" s="153" t="n"/>
      <c r="M865" s="153" t="n"/>
      <c r="N865" s="153" t="n"/>
      <c r="O865" s="153" t="n"/>
      <c r="P865" s="153" t="n"/>
      <c r="Q865" s="153" t="n"/>
      <c r="R865" s="153" t="n"/>
      <c r="S865" s="153" t="n"/>
      <c r="T865" s="153" t="n"/>
      <c r="U865" s="153" t="n"/>
      <c r="V865" s="153" t="n"/>
      <c r="W865" s="153" t="n"/>
      <c r="X865" s="153" t="n"/>
      <c r="Y865" s="153" t="n"/>
      <c r="Z865" s="153" t="n"/>
    </row>
    <row r="866" ht="15.75" customHeight="1" s="154">
      <c r="G866" s="153" t="n"/>
      <c r="H866" s="153" t="n"/>
      <c r="I866" s="153" t="n"/>
      <c r="J866" s="153" t="n"/>
      <c r="K866" s="153" t="n"/>
      <c r="L866" s="153" t="n"/>
      <c r="M866" s="153" t="n"/>
      <c r="N866" s="153" t="n"/>
      <c r="O866" s="153" t="n"/>
      <c r="P866" s="153" t="n"/>
      <c r="Q866" s="153" t="n"/>
      <c r="R866" s="153" t="n"/>
      <c r="S866" s="153" t="n"/>
      <c r="T866" s="153" t="n"/>
      <c r="U866" s="153" t="n"/>
      <c r="V866" s="153" t="n"/>
      <c r="W866" s="153" t="n"/>
      <c r="X866" s="153" t="n"/>
      <c r="Y866" s="153" t="n"/>
      <c r="Z866" s="153" t="n"/>
    </row>
    <row r="867" ht="15.75" customHeight="1" s="154">
      <c r="G867" s="153" t="n"/>
      <c r="H867" s="153" t="n"/>
      <c r="I867" s="153" t="n"/>
      <c r="J867" s="153" t="n"/>
      <c r="K867" s="153" t="n"/>
      <c r="L867" s="153" t="n"/>
      <c r="M867" s="153" t="n"/>
      <c r="N867" s="153" t="n"/>
      <c r="O867" s="153" t="n"/>
      <c r="P867" s="153" t="n"/>
      <c r="Q867" s="153" t="n"/>
      <c r="R867" s="153" t="n"/>
      <c r="S867" s="153" t="n"/>
      <c r="T867" s="153" t="n"/>
      <c r="U867" s="153" t="n"/>
      <c r="V867" s="153" t="n"/>
      <c r="W867" s="153" t="n"/>
      <c r="X867" s="153" t="n"/>
      <c r="Y867" s="153" t="n"/>
      <c r="Z867" s="153" t="n"/>
    </row>
    <row r="868" ht="15.75" customHeight="1" s="154">
      <c r="G868" s="153" t="n"/>
      <c r="H868" s="153" t="n"/>
      <c r="I868" s="153" t="n"/>
      <c r="J868" s="153" t="n"/>
      <c r="K868" s="153" t="n"/>
      <c r="L868" s="153" t="n"/>
      <c r="M868" s="153" t="n"/>
      <c r="N868" s="153" t="n"/>
      <c r="O868" s="153" t="n"/>
      <c r="P868" s="153" t="n"/>
      <c r="Q868" s="153" t="n"/>
      <c r="R868" s="153" t="n"/>
      <c r="S868" s="153" t="n"/>
      <c r="T868" s="153" t="n"/>
      <c r="U868" s="153" t="n"/>
      <c r="V868" s="153" t="n"/>
      <c r="W868" s="153" t="n"/>
      <c r="X868" s="153" t="n"/>
      <c r="Y868" s="153" t="n"/>
      <c r="Z868" s="153" t="n"/>
    </row>
    <row r="869" ht="15.75" customHeight="1" s="154">
      <c r="G869" s="153" t="n"/>
      <c r="H869" s="153" t="n"/>
      <c r="I869" s="153" t="n"/>
      <c r="J869" s="153" t="n"/>
      <c r="K869" s="153" t="n"/>
      <c r="L869" s="153" t="n"/>
      <c r="M869" s="153" t="n"/>
      <c r="N869" s="153" t="n"/>
      <c r="O869" s="153" t="n"/>
      <c r="P869" s="153" t="n"/>
      <c r="Q869" s="153" t="n"/>
      <c r="R869" s="153" t="n"/>
      <c r="S869" s="153" t="n"/>
      <c r="T869" s="153" t="n"/>
      <c r="U869" s="153" t="n"/>
      <c r="V869" s="153" t="n"/>
      <c r="W869" s="153" t="n"/>
      <c r="X869" s="153" t="n"/>
      <c r="Y869" s="153" t="n"/>
      <c r="Z869" s="153" t="n"/>
    </row>
    <row r="870" ht="15.75" customHeight="1" s="154">
      <c r="G870" s="153" t="n"/>
      <c r="H870" s="153" t="n"/>
      <c r="I870" s="153" t="n"/>
      <c r="J870" s="153" t="n"/>
      <c r="K870" s="153" t="n"/>
      <c r="L870" s="153" t="n"/>
      <c r="M870" s="153" t="n"/>
      <c r="N870" s="153" t="n"/>
      <c r="O870" s="153" t="n"/>
      <c r="P870" s="153" t="n"/>
      <c r="Q870" s="153" t="n"/>
      <c r="R870" s="153" t="n"/>
      <c r="S870" s="153" t="n"/>
      <c r="T870" s="153" t="n"/>
      <c r="U870" s="153" t="n"/>
      <c r="V870" s="153" t="n"/>
      <c r="W870" s="153" t="n"/>
      <c r="X870" s="153" t="n"/>
      <c r="Y870" s="153" t="n"/>
      <c r="Z870" s="153" t="n"/>
    </row>
    <row r="871" ht="15.75" customHeight="1" s="154">
      <c r="G871" s="153" t="n"/>
      <c r="H871" s="153" t="n"/>
      <c r="I871" s="153" t="n"/>
      <c r="J871" s="153" t="n"/>
      <c r="K871" s="153" t="n"/>
      <c r="L871" s="153" t="n"/>
      <c r="M871" s="153" t="n"/>
      <c r="N871" s="153" t="n"/>
      <c r="O871" s="153" t="n"/>
      <c r="P871" s="153" t="n"/>
      <c r="Q871" s="153" t="n"/>
      <c r="R871" s="153" t="n"/>
      <c r="S871" s="153" t="n"/>
      <c r="T871" s="153" t="n"/>
      <c r="U871" s="153" t="n"/>
      <c r="V871" s="153" t="n"/>
      <c r="W871" s="153" t="n"/>
      <c r="X871" s="153" t="n"/>
      <c r="Y871" s="153" t="n"/>
      <c r="Z871" s="153" t="n"/>
    </row>
    <row r="872" ht="15.75" customHeight="1" s="154">
      <c r="G872" s="153" t="n"/>
      <c r="H872" s="153" t="n"/>
      <c r="I872" s="153" t="n"/>
      <c r="J872" s="153" t="n"/>
      <c r="K872" s="153" t="n"/>
      <c r="L872" s="153" t="n"/>
      <c r="M872" s="153" t="n"/>
      <c r="N872" s="153" t="n"/>
      <c r="O872" s="153" t="n"/>
      <c r="P872" s="153" t="n"/>
      <c r="Q872" s="153" t="n"/>
      <c r="R872" s="153" t="n"/>
      <c r="S872" s="153" t="n"/>
      <c r="T872" s="153" t="n"/>
      <c r="U872" s="153" t="n"/>
      <c r="V872" s="153" t="n"/>
      <c r="W872" s="153" t="n"/>
      <c r="X872" s="153" t="n"/>
      <c r="Y872" s="153" t="n"/>
      <c r="Z872" s="153" t="n"/>
    </row>
    <row r="873" ht="15.75" customHeight="1" s="154">
      <c r="G873" s="153" t="n"/>
      <c r="H873" s="153" t="n"/>
      <c r="I873" s="153" t="n"/>
      <c r="J873" s="153" t="n"/>
      <c r="K873" s="153" t="n"/>
      <c r="L873" s="153" t="n"/>
      <c r="M873" s="153" t="n"/>
      <c r="N873" s="153" t="n"/>
      <c r="O873" s="153" t="n"/>
      <c r="P873" s="153" t="n"/>
      <c r="Q873" s="153" t="n"/>
      <c r="R873" s="153" t="n"/>
      <c r="S873" s="153" t="n"/>
      <c r="T873" s="153" t="n"/>
      <c r="U873" s="153" t="n"/>
      <c r="V873" s="153" t="n"/>
      <c r="W873" s="153" t="n"/>
      <c r="X873" s="153" t="n"/>
      <c r="Y873" s="153" t="n"/>
      <c r="Z873" s="153" t="n"/>
    </row>
    <row r="874" ht="15.75" customHeight="1" s="154">
      <c r="G874" s="153" t="n"/>
      <c r="H874" s="153" t="n"/>
      <c r="I874" s="153" t="n"/>
      <c r="J874" s="153" t="n"/>
      <c r="K874" s="153" t="n"/>
      <c r="L874" s="153" t="n"/>
      <c r="M874" s="153" t="n"/>
      <c r="N874" s="153" t="n"/>
      <c r="O874" s="153" t="n"/>
      <c r="P874" s="153" t="n"/>
      <c r="Q874" s="153" t="n"/>
      <c r="R874" s="153" t="n"/>
      <c r="S874" s="153" t="n"/>
      <c r="T874" s="153" t="n"/>
      <c r="U874" s="153" t="n"/>
      <c r="V874" s="153" t="n"/>
      <c r="W874" s="153" t="n"/>
      <c r="X874" s="153" t="n"/>
      <c r="Y874" s="153" t="n"/>
      <c r="Z874" s="153" t="n"/>
    </row>
    <row r="875" ht="15.75" customHeight="1" s="154">
      <c r="G875" s="153" t="n"/>
      <c r="H875" s="153" t="n"/>
      <c r="I875" s="153" t="n"/>
      <c r="J875" s="153" t="n"/>
      <c r="K875" s="153" t="n"/>
      <c r="L875" s="153" t="n"/>
      <c r="M875" s="153" t="n"/>
      <c r="N875" s="153" t="n"/>
      <c r="O875" s="153" t="n"/>
      <c r="P875" s="153" t="n"/>
      <c r="Q875" s="153" t="n"/>
      <c r="R875" s="153" t="n"/>
      <c r="S875" s="153" t="n"/>
      <c r="T875" s="153" t="n"/>
      <c r="U875" s="153" t="n"/>
      <c r="V875" s="153" t="n"/>
      <c r="W875" s="153" t="n"/>
      <c r="X875" s="153" t="n"/>
      <c r="Y875" s="153" t="n"/>
      <c r="Z875" s="153" t="n"/>
    </row>
    <row r="876" ht="15.75" customHeight="1" s="154">
      <c r="G876" s="153" t="n"/>
      <c r="H876" s="153" t="n"/>
      <c r="I876" s="153" t="n"/>
      <c r="J876" s="153" t="n"/>
      <c r="K876" s="153" t="n"/>
      <c r="L876" s="153" t="n"/>
      <c r="M876" s="153" t="n"/>
      <c r="N876" s="153" t="n"/>
      <c r="O876" s="153" t="n"/>
      <c r="P876" s="153" t="n"/>
      <c r="Q876" s="153" t="n"/>
      <c r="R876" s="153" t="n"/>
      <c r="S876" s="153" t="n"/>
      <c r="T876" s="153" t="n"/>
      <c r="U876" s="153" t="n"/>
      <c r="V876" s="153" t="n"/>
      <c r="W876" s="153" t="n"/>
      <c r="X876" s="153" t="n"/>
      <c r="Y876" s="153" t="n"/>
      <c r="Z876" s="153" t="n"/>
    </row>
    <row r="877" ht="15.75" customHeight="1" s="154">
      <c r="G877" s="153" t="n"/>
      <c r="H877" s="153" t="n"/>
      <c r="I877" s="153" t="n"/>
      <c r="J877" s="153" t="n"/>
      <c r="K877" s="153" t="n"/>
      <c r="L877" s="153" t="n"/>
      <c r="M877" s="153" t="n"/>
      <c r="N877" s="153" t="n"/>
      <c r="O877" s="153" t="n"/>
      <c r="P877" s="153" t="n"/>
      <c r="Q877" s="153" t="n"/>
      <c r="R877" s="153" t="n"/>
      <c r="S877" s="153" t="n"/>
      <c r="T877" s="153" t="n"/>
      <c r="U877" s="153" t="n"/>
      <c r="V877" s="153" t="n"/>
      <c r="W877" s="153" t="n"/>
      <c r="X877" s="153" t="n"/>
      <c r="Y877" s="153" t="n"/>
      <c r="Z877" s="153" t="n"/>
    </row>
    <row r="878" ht="15.75" customHeight="1" s="154">
      <c r="G878" s="153" t="n"/>
      <c r="H878" s="153" t="n"/>
      <c r="I878" s="153" t="n"/>
      <c r="J878" s="153" t="n"/>
      <c r="K878" s="153" t="n"/>
      <c r="L878" s="153" t="n"/>
      <c r="M878" s="153" t="n"/>
      <c r="N878" s="153" t="n"/>
      <c r="O878" s="153" t="n"/>
      <c r="P878" s="153" t="n"/>
      <c r="Q878" s="153" t="n"/>
      <c r="R878" s="153" t="n"/>
      <c r="S878" s="153" t="n"/>
      <c r="T878" s="153" t="n"/>
      <c r="U878" s="153" t="n"/>
      <c r="V878" s="153" t="n"/>
      <c r="W878" s="153" t="n"/>
      <c r="X878" s="153" t="n"/>
      <c r="Y878" s="153" t="n"/>
      <c r="Z878" s="153" t="n"/>
    </row>
    <row r="879" ht="15.75" customHeight="1" s="154">
      <c r="G879" s="153" t="n"/>
      <c r="H879" s="153" t="n"/>
      <c r="I879" s="153" t="n"/>
      <c r="J879" s="153" t="n"/>
      <c r="K879" s="153" t="n"/>
      <c r="L879" s="153" t="n"/>
      <c r="M879" s="153" t="n"/>
      <c r="N879" s="153" t="n"/>
      <c r="O879" s="153" t="n"/>
      <c r="P879" s="153" t="n"/>
      <c r="Q879" s="153" t="n"/>
      <c r="R879" s="153" t="n"/>
      <c r="S879" s="153" t="n"/>
      <c r="T879" s="153" t="n"/>
      <c r="U879" s="153" t="n"/>
      <c r="V879" s="153" t="n"/>
      <c r="W879" s="153" t="n"/>
      <c r="X879" s="153" t="n"/>
      <c r="Y879" s="153" t="n"/>
      <c r="Z879" s="153" t="n"/>
    </row>
    <row r="880" ht="15.75" customHeight="1" s="154">
      <c r="G880" s="153" t="n"/>
      <c r="H880" s="153" t="n"/>
      <c r="I880" s="153" t="n"/>
      <c r="J880" s="153" t="n"/>
      <c r="K880" s="153" t="n"/>
      <c r="L880" s="153" t="n"/>
      <c r="M880" s="153" t="n"/>
      <c r="N880" s="153" t="n"/>
      <c r="O880" s="153" t="n"/>
      <c r="P880" s="153" t="n"/>
      <c r="Q880" s="153" t="n"/>
      <c r="R880" s="153" t="n"/>
      <c r="S880" s="153" t="n"/>
      <c r="T880" s="153" t="n"/>
      <c r="U880" s="153" t="n"/>
      <c r="V880" s="153" t="n"/>
      <c r="W880" s="153" t="n"/>
      <c r="X880" s="153" t="n"/>
      <c r="Y880" s="153" t="n"/>
      <c r="Z880" s="153" t="n"/>
    </row>
    <row r="881" ht="15.75" customHeight="1" s="154">
      <c r="G881" s="153" t="n"/>
      <c r="H881" s="153" t="n"/>
      <c r="I881" s="153" t="n"/>
      <c r="J881" s="153" t="n"/>
      <c r="K881" s="153" t="n"/>
      <c r="L881" s="153" t="n"/>
      <c r="M881" s="153" t="n"/>
      <c r="N881" s="153" t="n"/>
      <c r="O881" s="153" t="n"/>
      <c r="P881" s="153" t="n"/>
      <c r="Q881" s="153" t="n"/>
      <c r="R881" s="153" t="n"/>
      <c r="S881" s="153" t="n"/>
      <c r="T881" s="153" t="n"/>
      <c r="U881" s="153" t="n"/>
      <c r="V881" s="153" t="n"/>
      <c r="W881" s="153" t="n"/>
      <c r="X881" s="153" t="n"/>
      <c r="Y881" s="153" t="n"/>
      <c r="Z881" s="153" t="n"/>
    </row>
    <row r="882" ht="15.75" customHeight="1" s="154">
      <c r="G882" s="153" t="n"/>
      <c r="H882" s="153" t="n"/>
      <c r="I882" s="153" t="n"/>
      <c r="J882" s="153" t="n"/>
      <c r="K882" s="153" t="n"/>
      <c r="L882" s="153" t="n"/>
      <c r="M882" s="153" t="n"/>
      <c r="N882" s="153" t="n"/>
      <c r="O882" s="153" t="n"/>
      <c r="P882" s="153" t="n"/>
      <c r="Q882" s="153" t="n"/>
      <c r="R882" s="153" t="n"/>
      <c r="S882" s="153" t="n"/>
      <c r="T882" s="153" t="n"/>
      <c r="U882" s="153" t="n"/>
      <c r="V882" s="153" t="n"/>
      <c r="W882" s="153" t="n"/>
      <c r="X882" s="153" t="n"/>
      <c r="Y882" s="153" t="n"/>
      <c r="Z882" s="153" t="n"/>
    </row>
    <row r="883" ht="15.75" customHeight="1" s="154">
      <c r="G883" s="153" t="n"/>
      <c r="H883" s="153" t="n"/>
      <c r="I883" s="153" t="n"/>
      <c r="J883" s="153" t="n"/>
      <c r="K883" s="153" t="n"/>
      <c r="L883" s="153" t="n"/>
      <c r="M883" s="153" t="n"/>
      <c r="N883" s="153" t="n"/>
      <c r="O883" s="153" t="n"/>
      <c r="P883" s="153" t="n"/>
      <c r="Q883" s="153" t="n"/>
      <c r="R883" s="153" t="n"/>
      <c r="S883" s="153" t="n"/>
      <c r="T883" s="153" t="n"/>
      <c r="U883" s="153" t="n"/>
      <c r="V883" s="153" t="n"/>
      <c r="W883" s="153" t="n"/>
      <c r="X883" s="153" t="n"/>
      <c r="Y883" s="153" t="n"/>
      <c r="Z883" s="153" t="n"/>
    </row>
    <row r="884" ht="15.75" customHeight="1" s="154">
      <c r="G884" s="153" t="n"/>
      <c r="H884" s="153" t="n"/>
      <c r="I884" s="153" t="n"/>
      <c r="J884" s="153" t="n"/>
      <c r="K884" s="153" t="n"/>
      <c r="L884" s="153" t="n"/>
      <c r="M884" s="153" t="n"/>
      <c r="N884" s="153" t="n"/>
      <c r="O884" s="153" t="n"/>
      <c r="P884" s="153" t="n"/>
      <c r="Q884" s="153" t="n"/>
      <c r="R884" s="153" t="n"/>
      <c r="S884" s="153" t="n"/>
      <c r="T884" s="153" t="n"/>
      <c r="U884" s="153" t="n"/>
      <c r="V884" s="153" t="n"/>
      <c r="W884" s="153" t="n"/>
      <c r="X884" s="153" t="n"/>
      <c r="Y884" s="153" t="n"/>
      <c r="Z884" s="153" t="n"/>
    </row>
    <row r="885" ht="15.75" customHeight="1" s="154">
      <c r="G885" s="153" t="n"/>
      <c r="H885" s="153" t="n"/>
      <c r="I885" s="153" t="n"/>
      <c r="J885" s="153" t="n"/>
      <c r="K885" s="153" t="n"/>
      <c r="L885" s="153" t="n"/>
      <c r="M885" s="153" t="n"/>
      <c r="N885" s="153" t="n"/>
      <c r="O885" s="153" t="n"/>
      <c r="P885" s="153" t="n"/>
      <c r="Q885" s="153" t="n"/>
      <c r="R885" s="153" t="n"/>
      <c r="S885" s="153" t="n"/>
      <c r="T885" s="153" t="n"/>
      <c r="U885" s="153" t="n"/>
      <c r="V885" s="153" t="n"/>
      <c r="W885" s="153" t="n"/>
      <c r="X885" s="153" t="n"/>
      <c r="Y885" s="153" t="n"/>
      <c r="Z885" s="153" t="n"/>
    </row>
    <row r="886" ht="15.75" customHeight="1" s="154">
      <c r="G886" s="153" t="n"/>
      <c r="H886" s="153" t="n"/>
      <c r="I886" s="153" t="n"/>
      <c r="J886" s="153" t="n"/>
      <c r="K886" s="153" t="n"/>
      <c r="L886" s="153" t="n"/>
      <c r="M886" s="153" t="n"/>
      <c r="N886" s="153" t="n"/>
      <c r="O886" s="153" t="n"/>
      <c r="P886" s="153" t="n"/>
      <c r="Q886" s="153" t="n"/>
      <c r="R886" s="153" t="n"/>
      <c r="S886" s="153" t="n"/>
      <c r="T886" s="153" t="n"/>
      <c r="U886" s="153" t="n"/>
      <c r="V886" s="153" t="n"/>
      <c r="W886" s="153" t="n"/>
      <c r="X886" s="153" t="n"/>
      <c r="Y886" s="153" t="n"/>
      <c r="Z886" s="153" t="n"/>
    </row>
    <row r="887" ht="15.75" customHeight="1" s="154">
      <c r="G887" s="153" t="n"/>
      <c r="H887" s="153" t="n"/>
      <c r="I887" s="153" t="n"/>
      <c r="J887" s="153" t="n"/>
      <c r="K887" s="153" t="n"/>
      <c r="L887" s="153" t="n"/>
      <c r="M887" s="153" t="n"/>
      <c r="N887" s="153" t="n"/>
      <c r="O887" s="153" t="n"/>
      <c r="P887" s="153" t="n"/>
      <c r="Q887" s="153" t="n"/>
      <c r="R887" s="153" t="n"/>
      <c r="S887" s="153" t="n"/>
      <c r="T887" s="153" t="n"/>
      <c r="U887" s="153" t="n"/>
      <c r="V887" s="153" t="n"/>
      <c r="W887" s="153" t="n"/>
      <c r="X887" s="153" t="n"/>
      <c r="Y887" s="153" t="n"/>
      <c r="Z887" s="153" t="n"/>
    </row>
    <row r="888" ht="15.75" customHeight="1" s="154">
      <c r="G888" s="153" t="n"/>
      <c r="H888" s="153" t="n"/>
      <c r="I888" s="153" t="n"/>
      <c r="J888" s="153" t="n"/>
      <c r="K888" s="153" t="n"/>
      <c r="L888" s="153" t="n"/>
      <c r="M888" s="153" t="n"/>
      <c r="N888" s="153" t="n"/>
      <c r="O888" s="153" t="n"/>
      <c r="P888" s="153" t="n"/>
      <c r="Q888" s="153" t="n"/>
      <c r="R888" s="153" t="n"/>
      <c r="S888" s="153" t="n"/>
      <c r="T888" s="153" t="n"/>
      <c r="U888" s="153" t="n"/>
      <c r="V888" s="153" t="n"/>
      <c r="W888" s="153" t="n"/>
      <c r="X888" s="153" t="n"/>
      <c r="Y888" s="153" t="n"/>
      <c r="Z888" s="153" t="n"/>
    </row>
    <row r="889" ht="15.75" customHeight="1" s="154">
      <c r="G889" s="153" t="n"/>
      <c r="H889" s="153" t="n"/>
      <c r="I889" s="153" t="n"/>
      <c r="J889" s="153" t="n"/>
      <c r="K889" s="153" t="n"/>
      <c r="L889" s="153" t="n"/>
      <c r="M889" s="153" t="n"/>
      <c r="N889" s="153" t="n"/>
      <c r="O889" s="153" t="n"/>
      <c r="P889" s="153" t="n"/>
      <c r="Q889" s="153" t="n"/>
      <c r="R889" s="153" t="n"/>
      <c r="S889" s="153" t="n"/>
      <c r="T889" s="153" t="n"/>
      <c r="U889" s="153" t="n"/>
      <c r="V889" s="153" t="n"/>
      <c r="W889" s="153" t="n"/>
      <c r="X889" s="153" t="n"/>
      <c r="Y889" s="153" t="n"/>
      <c r="Z889" s="153" t="n"/>
    </row>
    <row r="890" ht="15.75" customHeight="1" s="154">
      <c r="G890" s="153" t="n"/>
      <c r="H890" s="153" t="n"/>
      <c r="I890" s="153" t="n"/>
      <c r="J890" s="153" t="n"/>
      <c r="K890" s="153" t="n"/>
      <c r="L890" s="153" t="n"/>
      <c r="M890" s="153" t="n"/>
      <c r="N890" s="153" t="n"/>
      <c r="O890" s="153" t="n"/>
      <c r="P890" s="153" t="n"/>
      <c r="Q890" s="153" t="n"/>
      <c r="R890" s="153" t="n"/>
      <c r="S890" s="153" t="n"/>
      <c r="T890" s="153" t="n"/>
      <c r="U890" s="153" t="n"/>
      <c r="V890" s="153" t="n"/>
      <c r="W890" s="153" t="n"/>
      <c r="X890" s="153" t="n"/>
      <c r="Y890" s="153" t="n"/>
      <c r="Z890" s="153" t="n"/>
    </row>
    <row r="891" ht="15.75" customHeight="1" s="154">
      <c r="G891" s="153" t="n"/>
      <c r="H891" s="153" t="n"/>
      <c r="I891" s="153" t="n"/>
      <c r="J891" s="153" t="n"/>
      <c r="K891" s="153" t="n"/>
      <c r="L891" s="153" t="n"/>
      <c r="M891" s="153" t="n"/>
      <c r="N891" s="153" t="n"/>
      <c r="O891" s="153" t="n"/>
      <c r="P891" s="153" t="n"/>
      <c r="Q891" s="153" t="n"/>
      <c r="R891" s="153" t="n"/>
      <c r="S891" s="153" t="n"/>
      <c r="T891" s="153" t="n"/>
      <c r="U891" s="153" t="n"/>
      <c r="V891" s="153" t="n"/>
      <c r="W891" s="153" t="n"/>
      <c r="X891" s="153" t="n"/>
      <c r="Y891" s="153" t="n"/>
      <c r="Z891" s="153" t="n"/>
    </row>
    <row r="892" ht="15.75" customHeight="1" s="154">
      <c r="G892" s="153" t="n"/>
      <c r="H892" s="153" t="n"/>
      <c r="I892" s="153" t="n"/>
      <c r="J892" s="153" t="n"/>
      <c r="K892" s="153" t="n"/>
      <c r="L892" s="153" t="n"/>
      <c r="M892" s="153" t="n"/>
      <c r="N892" s="153" t="n"/>
      <c r="O892" s="153" t="n"/>
      <c r="P892" s="153" t="n"/>
      <c r="Q892" s="153" t="n"/>
      <c r="R892" s="153" t="n"/>
      <c r="S892" s="153" t="n"/>
      <c r="T892" s="153" t="n"/>
      <c r="U892" s="153" t="n"/>
      <c r="V892" s="153" t="n"/>
      <c r="W892" s="153" t="n"/>
      <c r="X892" s="153" t="n"/>
      <c r="Y892" s="153" t="n"/>
      <c r="Z892" s="153" t="n"/>
    </row>
    <row r="893" ht="15.75" customHeight="1" s="154">
      <c r="G893" s="153" t="n"/>
      <c r="H893" s="153" t="n"/>
      <c r="I893" s="153" t="n"/>
      <c r="J893" s="153" t="n"/>
      <c r="K893" s="153" t="n"/>
      <c r="L893" s="153" t="n"/>
      <c r="M893" s="153" t="n"/>
      <c r="N893" s="153" t="n"/>
      <c r="O893" s="153" t="n"/>
      <c r="P893" s="153" t="n"/>
      <c r="Q893" s="153" t="n"/>
      <c r="R893" s="153" t="n"/>
      <c r="S893" s="153" t="n"/>
      <c r="T893" s="153" t="n"/>
      <c r="U893" s="153" t="n"/>
      <c r="V893" s="153" t="n"/>
      <c r="W893" s="153" t="n"/>
      <c r="X893" s="153" t="n"/>
      <c r="Y893" s="153" t="n"/>
      <c r="Z893" s="153" t="n"/>
    </row>
    <row r="894" ht="15.75" customHeight="1" s="154">
      <c r="G894" s="153" t="n"/>
      <c r="H894" s="153" t="n"/>
      <c r="I894" s="153" t="n"/>
      <c r="J894" s="153" t="n"/>
      <c r="K894" s="153" t="n"/>
      <c r="L894" s="153" t="n"/>
      <c r="M894" s="153" t="n"/>
      <c r="N894" s="153" t="n"/>
      <c r="O894" s="153" t="n"/>
      <c r="P894" s="153" t="n"/>
      <c r="Q894" s="153" t="n"/>
      <c r="R894" s="153" t="n"/>
      <c r="S894" s="153" t="n"/>
      <c r="T894" s="153" t="n"/>
      <c r="U894" s="153" t="n"/>
      <c r="V894" s="153" t="n"/>
      <c r="W894" s="153" t="n"/>
      <c r="X894" s="153" t="n"/>
      <c r="Y894" s="153" t="n"/>
      <c r="Z894" s="153" t="n"/>
    </row>
    <row r="895" ht="15.75" customHeight="1" s="154">
      <c r="G895" s="153" t="n"/>
      <c r="H895" s="153" t="n"/>
      <c r="I895" s="153" t="n"/>
      <c r="J895" s="153" t="n"/>
      <c r="K895" s="153" t="n"/>
      <c r="L895" s="153" t="n"/>
      <c r="M895" s="153" t="n"/>
      <c r="N895" s="153" t="n"/>
      <c r="O895" s="153" t="n"/>
      <c r="P895" s="153" t="n"/>
      <c r="Q895" s="153" t="n"/>
      <c r="R895" s="153" t="n"/>
      <c r="S895" s="153" t="n"/>
      <c r="T895" s="153" t="n"/>
      <c r="U895" s="153" t="n"/>
      <c r="V895" s="153" t="n"/>
      <c r="W895" s="153" t="n"/>
      <c r="X895" s="153" t="n"/>
      <c r="Y895" s="153" t="n"/>
      <c r="Z895" s="153" t="n"/>
    </row>
    <row r="896" ht="15.75" customHeight="1" s="154">
      <c r="G896" s="153" t="n"/>
      <c r="H896" s="153" t="n"/>
      <c r="I896" s="153" t="n"/>
      <c r="J896" s="153" t="n"/>
      <c r="K896" s="153" t="n"/>
      <c r="L896" s="153" t="n"/>
      <c r="M896" s="153" t="n"/>
      <c r="N896" s="153" t="n"/>
      <c r="O896" s="153" t="n"/>
      <c r="P896" s="153" t="n"/>
      <c r="Q896" s="153" t="n"/>
      <c r="R896" s="153" t="n"/>
      <c r="S896" s="153" t="n"/>
      <c r="T896" s="153" t="n"/>
      <c r="U896" s="153" t="n"/>
      <c r="V896" s="153" t="n"/>
      <c r="W896" s="153" t="n"/>
      <c r="X896" s="153" t="n"/>
      <c r="Y896" s="153" t="n"/>
      <c r="Z896" s="153" t="n"/>
    </row>
    <row r="897" ht="15.75" customHeight="1" s="154">
      <c r="G897" s="153" t="n"/>
      <c r="H897" s="153" t="n"/>
      <c r="I897" s="153" t="n"/>
      <c r="J897" s="153" t="n"/>
      <c r="K897" s="153" t="n"/>
      <c r="L897" s="153" t="n"/>
      <c r="M897" s="153" t="n"/>
      <c r="N897" s="153" t="n"/>
      <c r="O897" s="153" t="n"/>
      <c r="P897" s="153" t="n"/>
      <c r="Q897" s="153" t="n"/>
      <c r="R897" s="153" t="n"/>
      <c r="S897" s="153" t="n"/>
      <c r="T897" s="153" t="n"/>
      <c r="U897" s="153" t="n"/>
      <c r="V897" s="153" t="n"/>
      <c r="W897" s="153" t="n"/>
      <c r="X897" s="153" t="n"/>
      <c r="Y897" s="153" t="n"/>
      <c r="Z897" s="153" t="n"/>
    </row>
    <row r="898" ht="15.75" customHeight="1" s="154">
      <c r="G898" s="153" t="n"/>
      <c r="H898" s="153" t="n"/>
      <c r="I898" s="153" t="n"/>
      <c r="J898" s="153" t="n"/>
      <c r="K898" s="153" t="n"/>
      <c r="L898" s="153" t="n"/>
      <c r="M898" s="153" t="n"/>
      <c r="N898" s="153" t="n"/>
      <c r="O898" s="153" t="n"/>
      <c r="P898" s="153" t="n"/>
      <c r="Q898" s="153" t="n"/>
      <c r="R898" s="153" t="n"/>
      <c r="S898" s="153" t="n"/>
      <c r="T898" s="153" t="n"/>
      <c r="U898" s="153" t="n"/>
      <c r="V898" s="153" t="n"/>
      <c r="W898" s="153" t="n"/>
      <c r="X898" s="153" t="n"/>
      <c r="Y898" s="153" t="n"/>
      <c r="Z898" s="153" t="n"/>
    </row>
    <row r="899" ht="15.75" customHeight="1" s="154">
      <c r="G899" s="153" t="n"/>
      <c r="H899" s="153" t="n"/>
      <c r="I899" s="153" t="n"/>
      <c r="J899" s="153" t="n"/>
      <c r="K899" s="153" t="n"/>
      <c r="L899" s="153" t="n"/>
      <c r="M899" s="153" t="n"/>
      <c r="N899" s="153" t="n"/>
      <c r="O899" s="153" t="n"/>
      <c r="P899" s="153" t="n"/>
      <c r="Q899" s="153" t="n"/>
      <c r="R899" s="153" t="n"/>
      <c r="S899" s="153" t="n"/>
      <c r="T899" s="153" t="n"/>
      <c r="U899" s="153" t="n"/>
      <c r="V899" s="153" t="n"/>
      <c r="W899" s="153" t="n"/>
      <c r="X899" s="153" t="n"/>
      <c r="Y899" s="153" t="n"/>
      <c r="Z899" s="153" t="n"/>
    </row>
    <row r="900" ht="15.75" customHeight="1" s="154">
      <c r="G900" s="153" t="n"/>
      <c r="H900" s="153" t="n"/>
      <c r="I900" s="153" t="n"/>
      <c r="J900" s="153" t="n"/>
      <c r="K900" s="153" t="n"/>
      <c r="L900" s="153" t="n"/>
      <c r="M900" s="153" t="n"/>
      <c r="N900" s="153" t="n"/>
      <c r="O900" s="153" t="n"/>
      <c r="P900" s="153" t="n"/>
      <c r="Q900" s="153" t="n"/>
      <c r="R900" s="153" t="n"/>
      <c r="S900" s="153" t="n"/>
      <c r="T900" s="153" t="n"/>
      <c r="U900" s="153" t="n"/>
      <c r="V900" s="153" t="n"/>
      <c r="W900" s="153" t="n"/>
      <c r="X900" s="153" t="n"/>
      <c r="Y900" s="153" t="n"/>
      <c r="Z900" s="153" t="n"/>
    </row>
    <row r="901" ht="15.75" customHeight="1" s="154">
      <c r="G901" s="153" t="n"/>
      <c r="H901" s="153" t="n"/>
      <c r="I901" s="153" t="n"/>
      <c r="J901" s="153" t="n"/>
      <c r="K901" s="153" t="n"/>
      <c r="L901" s="153" t="n"/>
      <c r="M901" s="153" t="n"/>
      <c r="N901" s="153" t="n"/>
      <c r="O901" s="153" t="n"/>
      <c r="P901" s="153" t="n"/>
      <c r="Q901" s="153" t="n"/>
      <c r="R901" s="153" t="n"/>
      <c r="S901" s="153" t="n"/>
      <c r="T901" s="153" t="n"/>
      <c r="U901" s="153" t="n"/>
      <c r="V901" s="153" t="n"/>
      <c r="W901" s="153" t="n"/>
      <c r="X901" s="153" t="n"/>
      <c r="Y901" s="153" t="n"/>
      <c r="Z901" s="153" t="n"/>
    </row>
    <row r="902" ht="15.75" customHeight="1" s="154">
      <c r="G902" s="153" t="n"/>
      <c r="H902" s="153" t="n"/>
      <c r="I902" s="153" t="n"/>
      <c r="J902" s="153" t="n"/>
      <c r="K902" s="153" t="n"/>
      <c r="L902" s="153" t="n"/>
      <c r="M902" s="153" t="n"/>
      <c r="N902" s="153" t="n"/>
      <c r="O902" s="153" t="n"/>
      <c r="P902" s="153" t="n"/>
      <c r="Q902" s="153" t="n"/>
      <c r="R902" s="153" t="n"/>
      <c r="S902" s="153" t="n"/>
      <c r="T902" s="153" t="n"/>
      <c r="U902" s="153" t="n"/>
      <c r="V902" s="153" t="n"/>
      <c r="W902" s="153" t="n"/>
      <c r="X902" s="153" t="n"/>
      <c r="Y902" s="153" t="n"/>
      <c r="Z902" s="153" t="n"/>
    </row>
    <row r="903" ht="15.75" customHeight="1" s="154">
      <c r="G903" s="153" t="n"/>
      <c r="H903" s="153" t="n"/>
      <c r="I903" s="153" t="n"/>
      <c r="J903" s="153" t="n"/>
      <c r="K903" s="153" t="n"/>
      <c r="L903" s="153" t="n"/>
      <c r="M903" s="153" t="n"/>
      <c r="N903" s="153" t="n"/>
      <c r="O903" s="153" t="n"/>
      <c r="P903" s="153" t="n"/>
      <c r="Q903" s="153" t="n"/>
      <c r="R903" s="153" t="n"/>
      <c r="S903" s="153" t="n"/>
      <c r="T903" s="153" t="n"/>
      <c r="U903" s="153" t="n"/>
      <c r="V903" s="153" t="n"/>
      <c r="W903" s="153" t="n"/>
      <c r="X903" s="153" t="n"/>
      <c r="Y903" s="153" t="n"/>
      <c r="Z903" s="153" t="n"/>
    </row>
    <row r="904" ht="15.75" customHeight="1" s="154">
      <c r="G904" s="153" t="n"/>
      <c r="H904" s="153" t="n"/>
      <c r="I904" s="153" t="n"/>
      <c r="J904" s="153" t="n"/>
      <c r="K904" s="153" t="n"/>
      <c r="L904" s="153" t="n"/>
      <c r="M904" s="153" t="n"/>
      <c r="N904" s="153" t="n"/>
      <c r="O904" s="153" t="n"/>
      <c r="P904" s="153" t="n"/>
      <c r="Q904" s="153" t="n"/>
      <c r="R904" s="153" t="n"/>
      <c r="S904" s="153" t="n"/>
      <c r="T904" s="153" t="n"/>
      <c r="U904" s="153" t="n"/>
      <c r="V904" s="153" t="n"/>
      <c r="W904" s="153" t="n"/>
      <c r="X904" s="153" t="n"/>
      <c r="Y904" s="153" t="n"/>
      <c r="Z904" s="153" t="n"/>
    </row>
    <row r="905" ht="15.75" customHeight="1" s="154">
      <c r="G905" s="153" t="n"/>
      <c r="H905" s="153" t="n"/>
      <c r="I905" s="153" t="n"/>
      <c r="J905" s="153" t="n"/>
      <c r="K905" s="153" t="n"/>
      <c r="L905" s="153" t="n"/>
      <c r="M905" s="153" t="n"/>
      <c r="N905" s="153" t="n"/>
      <c r="O905" s="153" t="n"/>
      <c r="P905" s="153" t="n"/>
      <c r="Q905" s="153" t="n"/>
      <c r="R905" s="153" t="n"/>
      <c r="S905" s="153" t="n"/>
      <c r="T905" s="153" t="n"/>
      <c r="U905" s="153" t="n"/>
      <c r="V905" s="153" t="n"/>
      <c r="W905" s="153" t="n"/>
      <c r="X905" s="153" t="n"/>
      <c r="Y905" s="153" t="n"/>
      <c r="Z905" s="153" t="n"/>
    </row>
    <row r="906" ht="15.75" customHeight="1" s="154">
      <c r="G906" s="153" t="n"/>
      <c r="H906" s="153" t="n"/>
      <c r="I906" s="153" t="n"/>
      <c r="J906" s="153" t="n"/>
      <c r="K906" s="153" t="n"/>
      <c r="L906" s="153" t="n"/>
      <c r="M906" s="153" t="n"/>
      <c r="N906" s="153" t="n"/>
      <c r="O906" s="153" t="n"/>
      <c r="P906" s="153" t="n"/>
      <c r="Q906" s="153" t="n"/>
      <c r="R906" s="153" t="n"/>
      <c r="S906" s="153" t="n"/>
      <c r="T906" s="153" t="n"/>
      <c r="U906" s="153" t="n"/>
      <c r="V906" s="153" t="n"/>
      <c r="W906" s="153" t="n"/>
      <c r="X906" s="153" t="n"/>
      <c r="Y906" s="153" t="n"/>
      <c r="Z906" s="153" t="n"/>
    </row>
    <row r="907" ht="15.75" customHeight="1" s="154">
      <c r="G907" s="153" t="n"/>
      <c r="H907" s="153" t="n"/>
      <c r="I907" s="153" t="n"/>
      <c r="J907" s="153" t="n"/>
      <c r="K907" s="153" t="n"/>
      <c r="L907" s="153" t="n"/>
      <c r="M907" s="153" t="n"/>
      <c r="N907" s="153" t="n"/>
      <c r="O907" s="153" t="n"/>
      <c r="P907" s="153" t="n"/>
      <c r="Q907" s="153" t="n"/>
      <c r="R907" s="153" t="n"/>
      <c r="S907" s="153" t="n"/>
      <c r="T907" s="153" t="n"/>
      <c r="U907" s="153" t="n"/>
      <c r="V907" s="153" t="n"/>
      <c r="W907" s="153" t="n"/>
      <c r="X907" s="153" t="n"/>
      <c r="Y907" s="153" t="n"/>
      <c r="Z907" s="153" t="n"/>
    </row>
    <row r="908" ht="15.75" customHeight="1" s="154">
      <c r="G908" s="153" t="n"/>
      <c r="H908" s="153" t="n"/>
      <c r="I908" s="153" t="n"/>
      <c r="J908" s="153" t="n"/>
      <c r="K908" s="153" t="n"/>
      <c r="L908" s="153" t="n"/>
      <c r="M908" s="153" t="n"/>
      <c r="N908" s="153" t="n"/>
      <c r="O908" s="153" t="n"/>
      <c r="P908" s="153" t="n"/>
      <c r="Q908" s="153" t="n"/>
      <c r="R908" s="153" t="n"/>
      <c r="S908" s="153" t="n"/>
      <c r="T908" s="153" t="n"/>
      <c r="U908" s="153" t="n"/>
      <c r="V908" s="153" t="n"/>
      <c r="W908" s="153" t="n"/>
      <c r="X908" s="153" t="n"/>
      <c r="Y908" s="153" t="n"/>
      <c r="Z908" s="153" t="n"/>
    </row>
    <row r="909" ht="15.75" customHeight="1" s="154">
      <c r="G909" s="153" t="n"/>
      <c r="H909" s="153" t="n"/>
      <c r="I909" s="153" t="n"/>
      <c r="J909" s="153" t="n"/>
      <c r="K909" s="153" t="n"/>
      <c r="L909" s="153" t="n"/>
      <c r="M909" s="153" t="n"/>
      <c r="N909" s="153" t="n"/>
      <c r="O909" s="153" t="n"/>
      <c r="P909" s="153" t="n"/>
      <c r="Q909" s="153" t="n"/>
      <c r="R909" s="153" t="n"/>
      <c r="S909" s="153" t="n"/>
      <c r="T909" s="153" t="n"/>
      <c r="U909" s="153" t="n"/>
      <c r="V909" s="153" t="n"/>
      <c r="W909" s="153" t="n"/>
      <c r="X909" s="153" t="n"/>
      <c r="Y909" s="153" t="n"/>
      <c r="Z909" s="153" t="n"/>
    </row>
    <row r="910" ht="15.75" customHeight="1" s="154">
      <c r="G910" s="153" t="n"/>
      <c r="H910" s="153" t="n"/>
      <c r="I910" s="153" t="n"/>
      <c r="J910" s="153" t="n"/>
      <c r="K910" s="153" t="n"/>
      <c r="L910" s="153" t="n"/>
      <c r="M910" s="153" t="n"/>
      <c r="N910" s="153" t="n"/>
      <c r="O910" s="153" t="n"/>
      <c r="P910" s="153" t="n"/>
      <c r="Q910" s="153" t="n"/>
      <c r="R910" s="153" t="n"/>
      <c r="S910" s="153" t="n"/>
      <c r="T910" s="153" t="n"/>
      <c r="U910" s="153" t="n"/>
      <c r="V910" s="153" t="n"/>
      <c r="W910" s="153" t="n"/>
      <c r="X910" s="153" t="n"/>
      <c r="Y910" s="153" t="n"/>
      <c r="Z910" s="153" t="n"/>
    </row>
    <row r="911" ht="15.75" customHeight="1" s="154">
      <c r="G911" s="153" t="n"/>
      <c r="H911" s="153" t="n"/>
      <c r="I911" s="153" t="n"/>
      <c r="J911" s="153" t="n"/>
      <c r="K911" s="153" t="n"/>
      <c r="L911" s="153" t="n"/>
      <c r="M911" s="153" t="n"/>
      <c r="N911" s="153" t="n"/>
      <c r="O911" s="153" t="n"/>
      <c r="P911" s="153" t="n"/>
      <c r="Q911" s="153" t="n"/>
      <c r="R911" s="153" t="n"/>
      <c r="S911" s="153" t="n"/>
      <c r="T911" s="153" t="n"/>
      <c r="U911" s="153" t="n"/>
      <c r="V911" s="153" t="n"/>
      <c r="W911" s="153" t="n"/>
      <c r="X911" s="153" t="n"/>
      <c r="Y911" s="153" t="n"/>
      <c r="Z911" s="153" t="n"/>
    </row>
    <row r="912" ht="15.75" customHeight="1" s="154">
      <c r="G912" s="153" t="n"/>
      <c r="H912" s="153" t="n"/>
      <c r="I912" s="153" t="n"/>
      <c r="J912" s="153" t="n"/>
      <c r="K912" s="153" t="n"/>
      <c r="L912" s="153" t="n"/>
      <c r="M912" s="153" t="n"/>
      <c r="N912" s="153" t="n"/>
      <c r="O912" s="153" t="n"/>
      <c r="P912" s="153" t="n"/>
      <c r="Q912" s="153" t="n"/>
      <c r="R912" s="153" t="n"/>
      <c r="S912" s="153" t="n"/>
      <c r="T912" s="153" t="n"/>
      <c r="U912" s="153" t="n"/>
      <c r="V912" s="153" t="n"/>
      <c r="W912" s="153" t="n"/>
      <c r="X912" s="153" t="n"/>
      <c r="Y912" s="153" t="n"/>
      <c r="Z912" s="153" t="n"/>
    </row>
    <row r="913" ht="15.75" customHeight="1" s="154">
      <c r="G913" s="153" t="n"/>
      <c r="H913" s="153" t="n"/>
      <c r="I913" s="153" t="n"/>
      <c r="J913" s="153" t="n"/>
      <c r="K913" s="153" t="n"/>
      <c r="L913" s="153" t="n"/>
      <c r="M913" s="153" t="n"/>
      <c r="N913" s="153" t="n"/>
      <c r="O913" s="153" t="n"/>
      <c r="P913" s="153" t="n"/>
      <c r="Q913" s="153" t="n"/>
      <c r="R913" s="153" t="n"/>
      <c r="S913" s="153" t="n"/>
      <c r="T913" s="153" t="n"/>
      <c r="U913" s="153" t="n"/>
      <c r="V913" s="153" t="n"/>
      <c r="W913" s="153" t="n"/>
      <c r="X913" s="153" t="n"/>
      <c r="Y913" s="153" t="n"/>
      <c r="Z913" s="153" t="n"/>
    </row>
    <row r="914" ht="15.75" customHeight="1" s="154">
      <c r="G914" s="153" t="n"/>
      <c r="H914" s="153" t="n"/>
      <c r="I914" s="153" t="n"/>
      <c r="J914" s="153" t="n"/>
      <c r="K914" s="153" t="n"/>
      <c r="L914" s="153" t="n"/>
      <c r="M914" s="153" t="n"/>
      <c r="N914" s="153" t="n"/>
      <c r="O914" s="153" t="n"/>
      <c r="P914" s="153" t="n"/>
      <c r="Q914" s="153" t="n"/>
      <c r="R914" s="153" t="n"/>
      <c r="S914" s="153" t="n"/>
      <c r="T914" s="153" t="n"/>
      <c r="U914" s="153" t="n"/>
      <c r="V914" s="153" t="n"/>
      <c r="W914" s="153" t="n"/>
      <c r="X914" s="153" t="n"/>
      <c r="Y914" s="153" t="n"/>
      <c r="Z914" s="153" t="n"/>
    </row>
    <row r="915" ht="15.75" customHeight="1" s="154">
      <c r="G915" s="153" t="n"/>
      <c r="H915" s="153" t="n"/>
      <c r="I915" s="153" t="n"/>
      <c r="J915" s="153" t="n"/>
      <c r="K915" s="153" t="n"/>
      <c r="L915" s="153" t="n"/>
      <c r="M915" s="153" t="n"/>
      <c r="N915" s="153" t="n"/>
      <c r="O915" s="153" t="n"/>
      <c r="P915" s="153" t="n"/>
      <c r="Q915" s="153" t="n"/>
      <c r="R915" s="153" t="n"/>
      <c r="S915" s="153" t="n"/>
      <c r="T915" s="153" t="n"/>
      <c r="U915" s="153" t="n"/>
      <c r="V915" s="153" t="n"/>
      <c r="W915" s="153" t="n"/>
      <c r="X915" s="153" t="n"/>
      <c r="Y915" s="153" t="n"/>
      <c r="Z915" s="153" t="n"/>
    </row>
    <row r="916" ht="15.75" customHeight="1" s="154">
      <c r="G916" s="153" t="n"/>
      <c r="H916" s="153" t="n"/>
      <c r="I916" s="153" t="n"/>
      <c r="J916" s="153" t="n"/>
      <c r="K916" s="153" t="n"/>
      <c r="L916" s="153" t="n"/>
      <c r="M916" s="153" t="n"/>
      <c r="N916" s="153" t="n"/>
      <c r="O916" s="153" t="n"/>
      <c r="P916" s="153" t="n"/>
      <c r="Q916" s="153" t="n"/>
      <c r="R916" s="153" t="n"/>
      <c r="S916" s="153" t="n"/>
      <c r="T916" s="153" t="n"/>
      <c r="U916" s="153" t="n"/>
      <c r="V916" s="153" t="n"/>
      <c r="W916" s="153" t="n"/>
      <c r="X916" s="153" t="n"/>
      <c r="Y916" s="153" t="n"/>
      <c r="Z916" s="153" t="n"/>
    </row>
    <row r="917" ht="15.75" customHeight="1" s="154">
      <c r="G917" s="153" t="n"/>
      <c r="H917" s="153" t="n"/>
      <c r="I917" s="153" t="n"/>
      <c r="J917" s="153" t="n"/>
      <c r="K917" s="153" t="n"/>
      <c r="L917" s="153" t="n"/>
      <c r="M917" s="153" t="n"/>
      <c r="N917" s="153" t="n"/>
      <c r="O917" s="153" t="n"/>
      <c r="P917" s="153" t="n"/>
      <c r="Q917" s="153" t="n"/>
      <c r="R917" s="153" t="n"/>
      <c r="S917" s="153" t="n"/>
      <c r="T917" s="153" t="n"/>
      <c r="U917" s="153" t="n"/>
      <c r="V917" s="153" t="n"/>
      <c r="W917" s="153" t="n"/>
      <c r="X917" s="153" t="n"/>
      <c r="Y917" s="153" t="n"/>
      <c r="Z917" s="153" t="n"/>
    </row>
    <row r="918" ht="15.75" customHeight="1" s="154">
      <c r="G918" s="153" t="n"/>
      <c r="H918" s="153" t="n"/>
      <c r="I918" s="153" t="n"/>
      <c r="J918" s="153" t="n"/>
      <c r="K918" s="153" t="n"/>
      <c r="L918" s="153" t="n"/>
      <c r="M918" s="153" t="n"/>
      <c r="N918" s="153" t="n"/>
      <c r="O918" s="153" t="n"/>
      <c r="P918" s="153" t="n"/>
      <c r="Q918" s="153" t="n"/>
      <c r="R918" s="153" t="n"/>
      <c r="S918" s="153" t="n"/>
      <c r="T918" s="153" t="n"/>
      <c r="U918" s="153" t="n"/>
      <c r="V918" s="153" t="n"/>
      <c r="W918" s="153" t="n"/>
      <c r="X918" s="153" t="n"/>
      <c r="Y918" s="153" t="n"/>
      <c r="Z918" s="153" t="n"/>
    </row>
    <row r="919" ht="15.75" customHeight="1" s="154">
      <c r="G919" s="153" t="n"/>
      <c r="H919" s="153" t="n"/>
      <c r="I919" s="153" t="n"/>
      <c r="J919" s="153" t="n"/>
      <c r="K919" s="153" t="n"/>
      <c r="L919" s="153" t="n"/>
      <c r="M919" s="153" t="n"/>
      <c r="N919" s="153" t="n"/>
      <c r="O919" s="153" t="n"/>
      <c r="P919" s="153" t="n"/>
      <c r="Q919" s="153" t="n"/>
      <c r="R919" s="153" t="n"/>
      <c r="S919" s="153" t="n"/>
      <c r="T919" s="153" t="n"/>
      <c r="U919" s="153" t="n"/>
      <c r="V919" s="153" t="n"/>
      <c r="W919" s="153" t="n"/>
      <c r="X919" s="153" t="n"/>
      <c r="Y919" s="153" t="n"/>
      <c r="Z919" s="153" t="n"/>
    </row>
    <row r="920" ht="15.75" customHeight="1" s="154">
      <c r="G920" s="153" t="n"/>
      <c r="H920" s="153" t="n"/>
      <c r="I920" s="153" t="n"/>
      <c r="J920" s="153" t="n"/>
      <c r="K920" s="153" t="n"/>
      <c r="L920" s="153" t="n"/>
      <c r="M920" s="153" t="n"/>
      <c r="N920" s="153" t="n"/>
      <c r="O920" s="153" t="n"/>
      <c r="P920" s="153" t="n"/>
      <c r="Q920" s="153" t="n"/>
      <c r="R920" s="153" t="n"/>
      <c r="S920" s="153" t="n"/>
      <c r="T920" s="153" t="n"/>
      <c r="U920" s="153" t="n"/>
      <c r="V920" s="153" t="n"/>
      <c r="W920" s="153" t="n"/>
      <c r="X920" s="153" t="n"/>
      <c r="Y920" s="153" t="n"/>
      <c r="Z920" s="153" t="n"/>
    </row>
    <row r="921" ht="15.75" customHeight="1" s="154">
      <c r="G921" s="153" t="n"/>
      <c r="H921" s="153" t="n"/>
      <c r="I921" s="153" t="n"/>
      <c r="J921" s="153" t="n"/>
      <c r="K921" s="153" t="n"/>
      <c r="L921" s="153" t="n"/>
      <c r="M921" s="153" t="n"/>
      <c r="N921" s="153" t="n"/>
      <c r="O921" s="153" t="n"/>
      <c r="P921" s="153" t="n"/>
      <c r="Q921" s="153" t="n"/>
      <c r="R921" s="153" t="n"/>
      <c r="S921" s="153" t="n"/>
      <c r="T921" s="153" t="n"/>
      <c r="U921" s="153" t="n"/>
      <c r="V921" s="153" t="n"/>
      <c r="W921" s="153" t="n"/>
      <c r="X921" s="153" t="n"/>
      <c r="Y921" s="153" t="n"/>
      <c r="Z921" s="153" t="n"/>
    </row>
    <row r="922" ht="15.75" customHeight="1" s="154">
      <c r="G922" s="153" t="n"/>
      <c r="H922" s="153" t="n"/>
      <c r="I922" s="153" t="n"/>
      <c r="J922" s="153" t="n"/>
      <c r="K922" s="153" t="n"/>
      <c r="L922" s="153" t="n"/>
      <c r="M922" s="153" t="n"/>
      <c r="N922" s="153" t="n"/>
      <c r="O922" s="153" t="n"/>
      <c r="P922" s="153" t="n"/>
      <c r="Q922" s="153" t="n"/>
      <c r="R922" s="153" t="n"/>
      <c r="S922" s="153" t="n"/>
      <c r="T922" s="153" t="n"/>
      <c r="U922" s="153" t="n"/>
      <c r="V922" s="153" t="n"/>
      <c r="W922" s="153" t="n"/>
      <c r="X922" s="153" t="n"/>
      <c r="Y922" s="153" t="n"/>
      <c r="Z922" s="153" t="n"/>
    </row>
    <row r="923" ht="15.75" customHeight="1" s="154">
      <c r="G923" s="153" t="n"/>
      <c r="H923" s="153" t="n"/>
      <c r="I923" s="153" t="n"/>
      <c r="J923" s="153" t="n"/>
      <c r="K923" s="153" t="n"/>
      <c r="L923" s="153" t="n"/>
      <c r="M923" s="153" t="n"/>
      <c r="N923" s="153" t="n"/>
      <c r="O923" s="153" t="n"/>
      <c r="P923" s="153" t="n"/>
      <c r="Q923" s="153" t="n"/>
      <c r="R923" s="153" t="n"/>
      <c r="S923" s="153" t="n"/>
      <c r="T923" s="153" t="n"/>
      <c r="U923" s="153" t="n"/>
      <c r="V923" s="153" t="n"/>
      <c r="W923" s="153" t="n"/>
      <c r="X923" s="153" t="n"/>
      <c r="Y923" s="153" t="n"/>
      <c r="Z923" s="153" t="n"/>
    </row>
    <row r="924" ht="15.75" customHeight="1" s="154">
      <c r="G924" s="153" t="n"/>
      <c r="H924" s="153" t="n"/>
      <c r="I924" s="153" t="n"/>
      <c r="J924" s="153" t="n"/>
      <c r="K924" s="153" t="n"/>
      <c r="L924" s="153" t="n"/>
      <c r="M924" s="153" t="n"/>
      <c r="N924" s="153" t="n"/>
      <c r="O924" s="153" t="n"/>
      <c r="P924" s="153" t="n"/>
      <c r="Q924" s="153" t="n"/>
      <c r="R924" s="153" t="n"/>
      <c r="S924" s="153" t="n"/>
      <c r="T924" s="153" t="n"/>
      <c r="U924" s="153" t="n"/>
      <c r="V924" s="153" t="n"/>
      <c r="W924" s="153" t="n"/>
      <c r="X924" s="153" t="n"/>
      <c r="Y924" s="153" t="n"/>
      <c r="Z924" s="153" t="n"/>
    </row>
    <row r="925" ht="15.75" customHeight="1" s="154">
      <c r="G925" s="153" t="n"/>
      <c r="H925" s="153" t="n"/>
      <c r="I925" s="153" t="n"/>
      <c r="J925" s="153" t="n"/>
      <c r="K925" s="153" t="n"/>
      <c r="L925" s="153" t="n"/>
      <c r="M925" s="153" t="n"/>
      <c r="N925" s="153" t="n"/>
      <c r="O925" s="153" t="n"/>
      <c r="P925" s="153" t="n"/>
      <c r="Q925" s="153" t="n"/>
      <c r="R925" s="153" t="n"/>
      <c r="S925" s="153" t="n"/>
      <c r="T925" s="153" t="n"/>
      <c r="U925" s="153" t="n"/>
      <c r="V925" s="153" t="n"/>
      <c r="W925" s="153" t="n"/>
      <c r="X925" s="153" t="n"/>
      <c r="Y925" s="153" t="n"/>
      <c r="Z925" s="153" t="n"/>
    </row>
    <row r="926" ht="15.75" customHeight="1" s="154">
      <c r="G926" s="153" t="n"/>
      <c r="H926" s="153" t="n"/>
      <c r="I926" s="153" t="n"/>
      <c r="J926" s="153" t="n"/>
      <c r="K926" s="153" t="n"/>
      <c r="L926" s="153" t="n"/>
      <c r="M926" s="153" t="n"/>
      <c r="N926" s="153" t="n"/>
      <c r="O926" s="153" t="n"/>
      <c r="P926" s="153" t="n"/>
      <c r="Q926" s="153" t="n"/>
      <c r="R926" s="153" t="n"/>
      <c r="S926" s="153" t="n"/>
      <c r="T926" s="153" t="n"/>
      <c r="U926" s="153" t="n"/>
      <c r="V926" s="153" t="n"/>
      <c r="W926" s="153" t="n"/>
      <c r="X926" s="153" t="n"/>
      <c r="Y926" s="153" t="n"/>
      <c r="Z926" s="153" t="n"/>
    </row>
    <row r="927" ht="15.75" customHeight="1" s="154">
      <c r="G927" s="153" t="n"/>
      <c r="H927" s="153" t="n"/>
      <c r="I927" s="153" t="n"/>
      <c r="J927" s="153" t="n"/>
      <c r="K927" s="153" t="n"/>
      <c r="L927" s="153" t="n"/>
      <c r="M927" s="153" t="n"/>
      <c r="N927" s="153" t="n"/>
      <c r="O927" s="153" t="n"/>
      <c r="P927" s="153" t="n"/>
      <c r="Q927" s="153" t="n"/>
      <c r="R927" s="153" t="n"/>
      <c r="S927" s="153" t="n"/>
      <c r="T927" s="153" t="n"/>
      <c r="U927" s="153" t="n"/>
      <c r="V927" s="153" t="n"/>
      <c r="W927" s="153" t="n"/>
      <c r="X927" s="153" t="n"/>
      <c r="Y927" s="153" t="n"/>
      <c r="Z927" s="153" t="n"/>
    </row>
    <row r="928" ht="15.75" customHeight="1" s="154">
      <c r="G928" s="153" t="n"/>
      <c r="H928" s="153" t="n"/>
      <c r="I928" s="153" t="n"/>
      <c r="J928" s="153" t="n"/>
      <c r="K928" s="153" t="n"/>
      <c r="L928" s="153" t="n"/>
      <c r="M928" s="153" t="n"/>
      <c r="N928" s="153" t="n"/>
      <c r="O928" s="153" t="n"/>
      <c r="P928" s="153" t="n"/>
      <c r="Q928" s="153" t="n"/>
      <c r="R928" s="153" t="n"/>
      <c r="S928" s="153" t="n"/>
      <c r="T928" s="153" t="n"/>
      <c r="U928" s="153" t="n"/>
      <c r="V928" s="153" t="n"/>
      <c r="W928" s="153" t="n"/>
      <c r="X928" s="153" t="n"/>
      <c r="Y928" s="153" t="n"/>
      <c r="Z928" s="153" t="n"/>
    </row>
    <row r="929" ht="15.75" customHeight="1" s="154">
      <c r="G929" s="153" t="n"/>
      <c r="H929" s="153" t="n"/>
      <c r="I929" s="153" t="n"/>
      <c r="J929" s="153" t="n"/>
      <c r="K929" s="153" t="n"/>
      <c r="L929" s="153" t="n"/>
      <c r="M929" s="153" t="n"/>
      <c r="N929" s="153" t="n"/>
      <c r="O929" s="153" t="n"/>
      <c r="P929" s="153" t="n"/>
      <c r="Q929" s="153" t="n"/>
      <c r="R929" s="153" t="n"/>
      <c r="S929" s="153" t="n"/>
      <c r="T929" s="153" t="n"/>
      <c r="U929" s="153" t="n"/>
      <c r="V929" s="153" t="n"/>
      <c r="W929" s="153" t="n"/>
      <c r="X929" s="153" t="n"/>
      <c r="Y929" s="153" t="n"/>
      <c r="Z929" s="153" t="n"/>
    </row>
    <row r="930" ht="15.75" customHeight="1" s="154">
      <c r="G930" s="153" t="n"/>
      <c r="H930" s="153" t="n"/>
      <c r="I930" s="153" t="n"/>
      <c r="J930" s="153" t="n"/>
      <c r="K930" s="153" t="n"/>
      <c r="L930" s="153" t="n"/>
      <c r="M930" s="153" t="n"/>
      <c r="N930" s="153" t="n"/>
      <c r="O930" s="153" t="n"/>
      <c r="P930" s="153" t="n"/>
      <c r="Q930" s="153" t="n"/>
      <c r="R930" s="153" t="n"/>
      <c r="S930" s="153" t="n"/>
      <c r="T930" s="153" t="n"/>
      <c r="U930" s="153" t="n"/>
      <c r="V930" s="153" t="n"/>
      <c r="W930" s="153" t="n"/>
      <c r="X930" s="153" t="n"/>
      <c r="Y930" s="153" t="n"/>
      <c r="Z930" s="153" t="n"/>
    </row>
    <row r="931" ht="15.75" customHeight="1" s="154">
      <c r="G931" s="153" t="n"/>
      <c r="H931" s="153" t="n"/>
      <c r="I931" s="153" t="n"/>
      <c r="J931" s="153" t="n"/>
      <c r="K931" s="153" t="n"/>
      <c r="L931" s="153" t="n"/>
      <c r="M931" s="153" t="n"/>
      <c r="N931" s="153" t="n"/>
      <c r="O931" s="153" t="n"/>
      <c r="P931" s="153" t="n"/>
      <c r="Q931" s="153" t="n"/>
      <c r="R931" s="153" t="n"/>
      <c r="S931" s="153" t="n"/>
      <c r="T931" s="153" t="n"/>
      <c r="U931" s="153" t="n"/>
      <c r="V931" s="153" t="n"/>
      <c r="W931" s="153" t="n"/>
      <c r="X931" s="153" t="n"/>
      <c r="Y931" s="153" t="n"/>
      <c r="Z931" s="153" t="n"/>
    </row>
    <row r="932" ht="15.75" customHeight="1" s="154">
      <c r="G932" s="153" t="n"/>
      <c r="H932" s="153" t="n"/>
      <c r="I932" s="153" t="n"/>
      <c r="J932" s="153" t="n"/>
      <c r="K932" s="153" t="n"/>
      <c r="L932" s="153" t="n"/>
      <c r="M932" s="153" t="n"/>
      <c r="N932" s="153" t="n"/>
      <c r="O932" s="153" t="n"/>
      <c r="P932" s="153" t="n"/>
      <c r="Q932" s="153" t="n"/>
      <c r="R932" s="153" t="n"/>
      <c r="S932" s="153" t="n"/>
      <c r="T932" s="153" t="n"/>
      <c r="U932" s="153" t="n"/>
      <c r="V932" s="153" t="n"/>
      <c r="W932" s="153" t="n"/>
      <c r="X932" s="153" t="n"/>
      <c r="Y932" s="153" t="n"/>
      <c r="Z932" s="153" t="n"/>
    </row>
    <row r="933" ht="15.75" customHeight="1" s="154">
      <c r="G933" s="153" t="n"/>
      <c r="H933" s="153" t="n"/>
      <c r="I933" s="153" t="n"/>
      <c r="J933" s="153" t="n"/>
      <c r="K933" s="153" t="n"/>
      <c r="L933" s="153" t="n"/>
      <c r="M933" s="153" t="n"/>
      <c r="N933" s="153" t="n"/>
      <c r="O933" s="153" t="n"/>
      <c r="P933" s="153" t="n"/>
      <c r="Q933" s="153" t="n"/>
      <c r="R933" s="153" t="n"/>
      <c r="S933" s="153" t="n"/>
      <c r="T933" s="153" t="n"/>
      <c r="U933" s="153" t="n"/>
      <c r="V933" s="153" t="n"/>
      <c r="W933" s="153" t="n"/>
      <c r="X933" s="153" t="n"/>
      <c r="Y933" s="153" t="n"/>
      <c r="Z933" s="153" t="n"/>
    </row>
    <row r="934" ht="15.75" customHeight="1" s="154">
      <c r="G934" s="153" t="n"/>
      <c r="H934" s="153" t="n"/>
      <c r="I934" s="153" t="n"/>
      <c r="J934" s="153" t="n"/>
      <c r="K934" s="153" t="n"/>
      <c r="L934" s="153" t="n"/>
      <c r="M934" s="153" t="n"/>
      <c r="N934" s="153" t="n"/>
      <c r="O934" s="153" t="n"/>
      <c r="P934" s="153" t="n"/>
      <c r="Q934" s="153" t="n"/>
      <c r="R934" s="153" t="n"/>
      <c r="S934" s="153" t="n"/>
      <c r="T934" s="153" t="n"/>
      <c r="U934" s="153" t="n"/>
      <c r="V934" s="153" t="n"/>
      <c r="W934" s="153" t="n"/>
      <c r="X934" s="153" t="n"/>
      <c r="Y934" s="153" t="n"/>
      <c r="Z934" s="153" t="n"/>
    </row>
    <row r="935" ht="15.75" customHeight="1" s="154">
      <c r="G935" s="153" t="n"/>
      <c r="H935" s="153" t="n"/>
      <c r="I935" s="153" t="n"/>
      <c r="J935" s="153" t="n"/>
      <c r="K935" s="153" t="n"/>
      <c r="L935" s="153" t="n"/>
      <c r="M935" s="153" t="n"/>
      <c r="N935" s="153" t="n"/>
      <c r="O935" s="153" t="n"/>
      <c r="P935" s="153" t="n"/>
      <c r="Q935" s="153" t="n"/>
      <c r="R935" s="153" t="n"/>
      <c r="S935" s="153" t="n"/>
      <c r="T935" s="153" t="n"/>
      <c r="U935" s="153" t="n"/>
      <c r="V935" s="153" t="n"/>
      <c r="W935" s="153" t="n"/>
      <c r="X935" s="153" t="n"/>
      <c r="Y935" s="153" t="n"/>
      <c r="Z935" s="153" t="n"/>
    </row>
    <row r="936" ht="15.75" customHeight="1" s="154">
      <c r="G936" s="153" t="n"/>
      <c r="H936" s="153" t="n"/>
      <c r="I936" s="153" t="n"/>
      <c r="J936" s="153" t="n"/>
      <c r="K936" s="153" t="n"/>
      <c r="L936" s="153" t="n"/>
      <c r="M936" s="153" t="n"/>
      <c r="N936" s="153" t="n"/>
      <c r="O936" s="153" t="n"/>
      <c r="P936" s="153" t="n"/>
      <c r="Q936" s="153" t="n"/>
      <c r="R936" s="153" t="n"/>
      <c r="S936" s="153" t="n"/>
      <c r="T936" s="153" t="n"/>
      <c r="U936" s="153" t="n"/>
      <c r="V936" s="153" t="n"/>
      <c r="W936" s="153" t="n"/>
      <c r="X936" s="153" t="n"/>
      <c r="Y936" s="153" t="n"/>
      <c r="Z936" s="153" t="n"/>
    </row>
    <row r="937" ht="15.75" customHeight="1" s="154">
      <c r="G937" s="153" t="n"/>
      <c r="H937" s="153" t="n"/>
      <c r="I937" s="153" t="n"/>
      <c r="J937" s="153" t="n"/>
      <c r="K937" s="153" t="n"/>
      <c r="L937" s="153" t="n"/>
      <c r="M937" s="153" t="n"/>
      <c r="N937" s="153" t="n"/>
      <c r="O937" s="153" t="n"/>
      <c r="P937" s="153" t="n"/>
      <c r="Q937" s="153" t="n"/>
      <c r="R937" s="153" t="n"/>
      <c r="S937" s="153" t="n"/>
      <c r="T937" s="153" t="n"/>
      <c r="U937" s="153" t="n"/>
      <c r="V937" s="153" t="n"/>
      <c r="W937" s="153" t="n"/>
      <c r="X937" s="153" t="n"/>
      <c r="Y937" s="153" t="n"/>
      <c r="Z937" s="153" t="n"/>
    </row>
    <row r="938" ht="15.75" customHeight="1" s="154">
      <c r="G938" s="153" t="n"/>
      <c r="H938" s="153" t="n"/>
      <c r="I938" s="153" t="n"/>
      <c r="J938" s="153" t="n"/>
      <c r="K938" s="153" t="n"/>
      <c r="L938" s="153" t="n"/>
      <c r="M938" s="153" t="n"/>
      <c r="N938" s="153" t="n"/>
      <c r="O938" s="153" t="n"/>
      <c r="P938" s="153" t="n"/>
      <c r="Q938" s="153" t="n"/>
      <c r="R938" s="153" t="n"/>
      <c r="S938" s="153" t="n"/>
      <c r="T938" s="153" t="n"/>
      <c r="U938" s="153" t="n"/>
      <c r="V938" s="153" t="n"/>
      <c r="W938" s="153" t="n"/>
      <c r="X938" s="153" t="n"/>
      <c r="Y938" s="153" t="n"/>
      <c r="Z938" s="153" t="n"/>
    </row>
    <row r="939" ht="15.75" customHeight="1" s="154">
      <c r="G939" s="153" t="n"/>
      <c r="H939" s="153" t="n"/>
      <c r="I939" s="153" t="n"/>
      <c r="J939" s="153" t="n"/>
      <c r="K939" s="153" t="n"/>
      <c r="L939" s="153" t="n"/>
      <c r="M939" s="153" t="n"/>
      <c r="N939" s="153" t="n"/>
      <c r="O939" s="153" t="n"/>
      <c r="P939" s="153" t="n"/>
      <c r="Q939" s="153" t="n"/>
      <c r="R939" s="153" t="n"/>
      <c r="S939" s="153" t="n"/>
      <c r="T939" s="153" t="n"/>
      <c r="U939" s="153" t="n"/>
      <c r="V939" s="153" t="n"/>
      <c r="W939" s="153" t="n"/>
      <c r="X939" s="153" t="n"/>
      <c r="Y939" s="153" t="n"/>
      <c r="Z939" s="153" t="n"/>
    </row>
    <row r="940" ht="15.75" customHeight="1" s="154">
      <c r="G940" s="153" t="n"/>
      <c r="H940" s="153" t="n"/>
      <c r="I940" s="153" t="n"/>
      <c r="J940" s="153" t="n"/>
      <c r="K940" s="153" t="n"/>
      <c r="L940" s="153" t="n"/>
      <c r="M940" s="153" t="n"/>
      <c r="N940" s="153" t="n"/>
      <c r="O940" s="153" t="n"/>
      <c r="P940" s="153" t="n"/>
      <c r="Q940" s="153" t="n"/>
      <c r="R940" s="153" t="n"/>
      <c r="S940" s="153" t="n"/>
      <c r="T940" s="153" t="n"/>
      <c r="U940" s="153" t="n"/>
      <c r="V940" s="153" t="n"/>
      <c r="W940" s="153" t="n"/>
      <c r="X940" s="153" t="n"/>
      <c r="Y940" s="153" t="n"/>
      <c r="Z940" s="153" t="n"/>
    </row>
    <row r="941" ht="15.75" customHeight="1" s="154">
      <c r="G941" s="153" t="n"/>
      <c r="H941" s="153" t="n"/>
      <c r="I941" s="153" t="n"/>
      <c r="J941" s="153" t="n"/>
      <c r="K941" s="153" t="n"/>
      <c r="L941" s="153" t="n"/>
      <c r="M941" s="153" t="n"/>
      <c r="N941" s="153" t="n"/>
      <c r="O941" s="153" t="n"/>
      <c r="P941" s="153" t="n"/>
      <c r="Q941" s="153" t="n"/>
      <c r="R941" s="153" t="n"/>
      <c r="S941" s="153" t="n"/>
      <c r="T941" s="153" t="n"/>
      <c r="U941" s="153" t="n"/>
      <c r="V941" s="153" t="n"/>
      <c r="W941" s="153" t="n"/>
      <c r="X941" s="153" t="n"/>
      <c r="Y941" s="153" t="n"/>
      <c r="Z941" s="153" t="n"/>
    </row>
    <row r="942" ht="15.75" customHeight="1" s="154">
      <c r="G942" s="153" t="n"/>
      <c r="H942" s="153" t="n"/>
      <c r="I942" s="153" t="n"/>
      <c r="J942" s="153" t="n"/>
      <c r="K942" s="153" t="n"/>
      <c r="L942" s="153" t="n"/>
      <c r="M942" s="153" t="n"/>
      <c r="N942" s="153" t="n"/>
      <c r="O942" s="153" t="n"/>
      <c r="P942" s="153" t="n"/>
      <c r="Q942" s="153" t="n"/>
      <c r="R942" s="153" t="n"/>
      <c r="S942" s="153" t="n"/>
      <c r="T942" s="153" t="n"/>
      <c r="U942" s="153" t="n"/>
      <c r="V942" s="153" t="n"/>
      <c r="W942" s="153" t="n"/>
      <c r="X942" s="153" t="n"/>
      <c r="Y942" s="153" t="n"/>
      <c r="Z942" s="153" t="n"/>
    </row>
    <row r="943" ht="15.75" customHeight="1" s="154">
      <c r="G943" s="153" t="n"/>
      <c r="H943" s="153" t="n"/>
      <c r="I943" s="153" t="n"/>
      <c r="J943" s="153" t="n"/>
      <c r="K943" s="153" t="n"/>
      <c r="L943" s="153" t="n"/>
      <c r="M943" s="153" t="n"/>
      <c r="N943" s="153" t="n"/>
      <c r="O943" s="153" t="n"/>
      <c r="P943" s="153" t="n"/>
      <c r="Q943" s="153" t="n"/>
      <c r="R943" s="153" t="n"/>
      <c r="S943" s="153" t="n"/>
      <c r="T943" s="153" t="n"/>
      <c r="U943" s="153" t="n"/>
      <c r="V943" s="153" t="n"/>
      <c r="W943" s="153" t="n"/>
      <c r="X943" s="153" t="n"/>
      <c r="Y943" s="153" t="n"/>
      <c r="Z943" s="153" t="n"/>
    </row>
    <row r="944" ht="15.75" customHeight="1" s="154">
      <c r="G944" s="153" t="n"/>
      <c r="H944" s="153" t="n"/>
      <c r="I944" s="153" t="n"/>
      <c r="J944" s="153" t="n"/>
      <c r="K944" s="153" t="n"/>
      <c r="L944" s="153" t="n"/>
      <c r="M944" s="153" t="n"/>
      <c r="N944" s="153" t="n"/>
      <c r="O944" s="153" t="n"/>
      <c r="P944" s="153" t="n"/>
      <c r="Q944" s="153" t="n"/>
      <c r="R944" s="153" t="n"/>
      <c r="S944" s="153" t="n"/>
      <c r="T944" s="153" t="n"/>
      <c r="U944" s="153" t="n"/>
      <c r="V944" s="153" t="n"/>
      <c r="W944" s="153" t="n"/>
      <c r="X944" s="153" t="n"/>
      <c r="Y944" s="153" t="n"/>
      <c r="Z944" s="153" t="n"/>
    </row>
    <row r="945" ht="15.75" customHeight="1" s="154">
      <c r="G945" s="153" t="n"/>
      <c r="H945" s="153" t="n"/>
      <c r="I945" s="153" t="n"/>
      <c r="J945" s="153" t="n"/>
      <c r="K945" s="153" t="n"/>
      <c r="L945" s="153" t="n"/>
      <c r="M945" s="153" t="n"/>
      <c r="N945" s="153" t="n"/>
      <c r="O945" s="153" t="n"/>
      <c r="P945" s="153" t="n"/>
      <c r="Q945" s="153" t="n"/>
      <c r="R945" s="153" t="n"/>
      <c r="S945" s="153" t="n"/>
      <c r="T945" s="153" t="n"/>
      <c r="U945" s="153" t="n"/>
      <c r="V945" s="153" t="n"/>
      <c r="W945" s="153" t="n"/>
      <c r="X945" s="153" t="n"/>
      <c r="Y945" s="153" t="n"/>
      <c r="Z945" s="153" t="n"/>
    </row>
    <row r="946" ht="15.75" customHeight="1" s="154">
      <c r="G946" s="153" t="n"/>
      <c r="H946" s="153" t="n"/>
      <c r="I946" s="153" t="n"/>
      <c r="J946" s="153" t="n"/>
      <c r="K946" s="153" t="n"/>
      <c r="L946" s="153" t="n"/>
      <c r="M946" s="153" t="n"/>
      <c r="N946" s="153" t="n"/>
      <c r="O946" s="153" t="n"/>
      <c r="P946" s="153" t="n"/>
      <c r="Q946" s="153" t="n"/>
      <c r="R946" s="153" t="n"/>
      <c r="S946" s="153" t="n"/>
      <c r="T946" s="153" t="n"/>
      <c r="U946" s="153" t="n"/>
      <c r="V946" s="153" t="n"/>
      <c r="W946" s="153" t="n"/>
      <c r="X946" s="153" t="n"/>
      <c r="Y946" s="153" t="n"/>
      <c r="Z946" s="153" t="n"/>
    </row>
    <row r="947" ht="15.75" customHeight="1" s="154">
      <c r="G947" s="153" t="n"/>
      <c r="H947" s="153" t="n"/>
      <c r="I947" s="153" t="n"/>
      <c r="J947" s="153" t="n"/>
      <c r="K947" s="153" t="n"/>
      <c r="L947" s="153" t="n"/>
      <c r="M947" s="153" t="n"/>
      <c r="N947" s="153" t="n"/>
      <c r="O947" s="153" t="n"/>
      <c r="P947" s="153" t="n"/>
      <c r="Q947" s="153" t="n"/>
      <c r="R947" s="153" t="n"/>
      <c r="S947" s="153" t="n"/>
      <c r="T947" s="153" t="n"/>
      <c r="U947" s="153" t="n"/>
      <c r="V947" s="153" t="n"/>
      <c r="W947" s="153" t="n"/>
      <c r="X947" s="153" t="n"/>
      <c r="Y947" s="153" t="n"/>
      <c r="Z947" s="153" t="n"/>
    </row>
    <row r="948" ht="15.75" customHeight="1" s="154">
      <c r="G948" s="153" t="n"/>
      <c r="H948" s="153" t="n"/>
      <c r="I948" s="153" t="n"/>
      <c r="J948" s="153" t="n"/>
      <c r="K948" s="153" t="n"/>
      <c r="L948" s="153" t="n"/>
      <c r="M948" s="153" t="n"/>
      <c r="N948" s="153" t="n"/>
      <c r="O948" s="153" t="n"/>
      <c r="P948" s="153" t="n"/>
      <c r="Q948" s="153" t="n"/>
      <c r="R948" s="153" t="n"/>
      <c r="S948" s="153" t="n"/>
      <c r="T948" s="153" t="n"/>
      <c r="U948" s="153" t="n"/>
      <c r="V948" s="153" t="n"/>
      <c r="W948" s="153" t="n"/>
      <c r="X948" s="153" t="n"/>
      <c r="Y948" s="153" t="n"/>
      <c r="Z948" s="153" t="n"/>
    </row>
    <row r="949" ht="15.75" customHeight="1" s="154">
      <c r="G949" s="153" t="n"/>
      <c r="H949" s="153" t="n"/>
      <c r="I949" s="153" t="n"/>
      <c r="J949" s="153" t="n"/>
      <c r="K949" s="153" t="n"/>
      <c r="L949" s="153" t="n"/>
      <c r="M949" s="153" t="n"/>
      <c r="N949" s="153" t="n"/>
      <c r="O949" s="153" t="n"/>
      <c r="P949" s="153" t="n"/>
      <c r="Q949" s="153" t="n"/>
      <c r="R949" s="153" t="n"/>
      <c r="S949" s="153" t="n"/>
      <c r="T949" s="153" t="n"/>
      <c r="U949" s="153" t="n"/>
      <c r="V949" s="153" t="n"/>
      <c r="W949" s="153" t="n"/>
      <c r="X949" s="153" t="n"/>
      <c r="Y949" s="153" t="n"/>
      <c r="Z949" s="153" t="n"/>
    </row>
    <row r="950" ht="15.75" customHeight="1" s="154">
      <c r="G950" s="153" t="n"/>
      <c r="H950" s="153" t="n"/>
      <c r="I950" s="153" t="n"/>
      <c r="J950" s="153" t="n"/>
      <c r="K950" s="153" t="n"/>
      <c r="L950" s="153" t="n"/>
      <c r="M950" s="153" t="n"/>
      <c r="N950" s="153" t="n"/>
      <c r="O950" s="153" t="n"/>
      <c r="P950" s="153" t="n"/>
      <c r="Q950" s="153" t="n"/>
      <c r="R950" s="153" t="n"/>
      <c r="S950" s="153" t="n"/>
      <c r="T950" s="153" t="n"/>
      <c r="U950" s="153" t="n"/>
      <c r="V950" s="153" t="n"/>
      <c r="W950" s="153" t="n"/>
      <c r="X950" s="153" t="n"/>
      <c r="Y950" s="153" t="n"/>
      <c r="Z950" s="153" t="n"/>
    </row>
    <row r="951" ht="15.75" customHeight="1" s="154">
      <c r="G951" s="153" t="n"/>
      <c r="H951" s="153" t="n"/>
      <c r="I951" s="153" t="n"/>
      <c r="J951" s="153" t="n"/>
      <c r="K951" s="153" t="n"/>
      <c r="L951" s="153" t="n"/>
      <c r="M951" s="153" t="n"/>
      <c r="N951" s="153" t="n"/>
      <c r="O951" s="153" t="n"/>
      <c r="P951" s="153" t="n"/>
      <c r="Q951" s="153" t="n"/>
      <c r="R951" s="153" t="n"/>
      <c r="S951" s="153" t="n"/>
      <c r="T951" s="153" t="n"/>
      <c r="U951" s="153" t="n"/>
      <c r="V951" s="153" t="n"/>
      <c r="W951" s="153" t="n"/>
      <c r="X951" s="153" t="n"/>
      <c r="Y951" s="153" t="n"/>
      <c r="Z951" s="153" t="n"/>
    </row>
    <row r="952" ht="15.75" customHeight="1" s="154">
      <c r="G952" s="153" t="n"/>
      <c r="H952" s="153" t="n"/>
      <c r="I952" s="153" t="n"/>
      <c r="J952" s="153" t="n"/>
      <c r="K952" s="153" t="n"/>
      <c r="L952" s="153" t="n"/>
      <c r="M952" s="153" t="n"/>
      <c r="N952" s="153" t="n"/>
      <c r="O952" s="153" t="n"/>
      <c r="P952" s="153" t="n"/>
      <c r="Q952" s="153" t="n"/>
      <c r="R952" s="153" t="n"/>
      <c r="S952" s="153" t="n"/>
      <c r="T952" s="153" t="n"/>
      <c r="U952" s="153" t="n"/>
      <c r="V952" s="153" t="n"/>
      <c r="W952" s="153" t="n"/>
      <c r="X952" s="153" t="n"/>
      <c r="Y952" s="153" t="n"/>
      <c r="Z952" s="153" t="n"/>
    </row>
    <row r="953" ht="15.75" customHeight="1" s="154">
      <c r="G953" s="153" t="n"/>
      <c r="H953" s="153" t="n"/>
      <c r="I953" s="153" t="n"/>
      <c r="J953" s="153" t="n"/>
      <c r="K953" s="153" t="n"/>
      <c r="L953" s="153" t="n"/>
      <c r="M953" s="153" t="n"/>
      <c r="N953" s="153" t="n"/>
      <c r="O953" s="153" t="n"/>
      <c r="P953" s="153" t="n"/>
      <c r="Q953" s="153" t="n"/>
      <c r="R953" s="153" t="n"/>
      <c r="S953" s="153" t="n"/>
      <c r="T953" s="153" t="n"/>
      <c r="U953" s="153" t="n"/>
      <c r="V953" s="153" t="n"/>
      <c r="W953" s="153" t="n"/>
      <c r="X953" s="153" t="n"/>
      <c r="Y953" s="153" t="n"/>
      <c r="Z953" s="153" t="n"/>
    </row>
    <row r="954" ht="15.75" customHeight="1" s="154">
      <c r="G954" s="153" t="n"/>
      <c r="H954" s="153" t="n"/>
      <c r="I954" s="153" t="n"/>
      <c r="J954" s="153" t="n"/>
      <c r="K954" s="153" t="n"/>
      <c r="L954" s="153" t="n"/>
      <c r="M954" s="153" t="n"/>
      <c r="N954" s="153" t="n"/>
      <c r="O954" s="153" t="n"/>
      <c r="P954" s="153" t="n"/>
      <c r="Q954" s="153" t="n"/>
      <c r="R954" s="153" t="n"/>
      <c r="S954" s="153" t="n"/>
      <c r="T954" s="153" t="n"/>
      <c r="U954" s="153" t="n"/>
      <c r="V954" s="153" t="n"/>
      <c r="W954" s="153" t="n"/>
      <c r="X954" s="153" t="n"/>
      <c r="Y954" s="153" t="n"/>
      <c r="Z954" s="153" t="n"/>
    </row>
    <row r="955" ht="15.75" customHeight="1" s="154">
      <c r="G955" s="153" t="n"/>
      <c r="H955" s="153" t="n"/>
      <c r="I955" s="153" t="n"/>
      <c r="J955" s="153" t="n"/>
      <c r="K955" s="153" t="n"/>
      <c r="L955" s="153" t="n"/>
      <c r="M955" s="153" t="n"/>
      <c r="N955" s="153" t="n"/>
      <c r="O955" s="153" t="n"/>
      <c r="P955" s="153" t="n"/>
      <c r="Q955" s="153" t="n"/>
      <c r="R955" s="153" t="n"/>
      <c r="S955" s="153" t="n"/>
      <c r="T955" s="153" t="n"/>
      <c r="U955" s="153" t="n"/>
      <c r="V955" s="153" t="n"/>
      <c r="W955" s="153" t="n"/>
      <c r="X955" s="153" t="n"/>
      <c r="Y955" s="153" t="n"/>
      <c r="Z955" s="153" t="n"/>
    </row>
    <row r="956" ht="15.75" customHeight="1" s="154">
      <c r="G956" s="153" t="n"/>
      <c r="H956" s="153" t="n"/>
      <c r="I956" s="153" t="n"/>
      <c r="J956" s="153" t="n"/>
      <c r="K956" s="153" t="n"/>
      <c r="L956" s="153" t="n"/>
      <c r="M956" s="153" t="n"/>
      <c r="N956" s="153" t="n"/>
      <c r="O956" s="153" t="n"/>
      <c r="P956" s="153" t="n"/>
      <c r="Q956" s="153" t="n"/>
      <c r="R956" s="153" t="n"/>
      <c r="S956" s="153" t="n"/>
      <c r="T956" s="153" t="n"/>
      <c r="U956" s="153" t="n"/>
      <c r="V956" s="153" t="n"/>
      <c r="W956" s="153" t="n"/>
      <c r="X956" s="153" t="n"/>
      <c r="Y956" s="153" t="n"/>
      <c r="Z956" s="153" t="n"/>
    </row>
    <row r="957" ht="15.75" customHeight="1" s="154">
      <c r="G957" s="153" t="n"/>
      <c r="H957" s="153" t="n"/>
      <c r="I957" s="153" t="n"/>
      <c r="J957" s="153" t="n"/>
      <c r="K957" s="153" t="n"/>
      <c r="L957" s="153" t="n"/>
      <c r="M957" s="153" t="n"/>
      <c r="N957" s="153" t="n"/>
      <c r="O957" s="153" t="n"/>
      <c r="P957" s="153" t="n"/>
      <c r="Q957" s="153" t="n"/>
      <c r="R957" s="153" t="n"/>
      <c r="S957" s="153" t="n"/>
      <c r="T957" s="153" t="n"/>
      <c r="U957" s="153" t="n"/>
      <c r="V957" s="153" t="n"/>
      <c r="W957" s="153" t="n"/>
      <c r="X957" s="153" t="n"/>
      <c r="Y957" s="153" t="n"/>
      <c r="Z957" s="153" t="n"/>
    </row>
    <row r="958" ht="15.75" customHeight="1" s="154">
      <c r="G958" s="153" t="n"/>
      <c r="H958" s="153" t="n"/>
      <c r="I958" s="153" t="n"/>
      <c r="J958" s="153" t="n"/>
      <c r="K958" s="153" t="n"/>
      <c r="L958" s="153" t="n"/>
      <c r="M958" s="153" t="n"/>
      <c r="N958" s="153" t="n"/>
      <c r="O958" s="153" t="n"/>
      <c r="P958" s="153" t="n"/>
      <c r="Q958" s="153" t="n"/>
      <c r="R958" s="153" t="n"/>
      <c r="S958" s="153" t="n"/>
      <c r="T958" s="153" t="n"/>
      <c r="U958" s="153" t="n"/>
      <c r="V958" s="153" t="n"/>
      <c r="W958" s="153" t="n"/>
      <c r="X958" s="153" t="n"/>
      <c r="Y958" s="153" t="n"/>
      <c r="Z958" s="153" t="n"/>
    </row>
    <row r="959" ht="15.75" customHeight="1" s="154">
      <c r="G959" s="153" t="n"/>
      <c r="H959" s="153" t="n"/>
      <c r="I959" s="153" t="n"/>
      <c r="J959" s="153" t="n"/>
      <c r="K959" s="153" t="n"/>
      <c r="L959" s="153" t="n"/>
      <c r="M959" s="153" t="n"/>
      <c r="N959" s="153" t="n"/>
      <c r="O959" s="153" t="n"/>
      <c r="P959" s="153" t="n"/>
      <c r="Q959" s="153" t="n"/>
      <c r="R959" s="153" t="n"/>
      <c r="S959" s="153" t="n"/>
      <c r="T959" s="153" t="n"/>
      <c r="U959" s="153" t="n"/>
      <c r="V959" s="153" t="n"/>
      <c r="W959" s="153" t="n"/>
      <c r="X959" s="153" t="n"/>
      <c r="Y959" s="153" t="n"/>
      <c r="Z959" s="153" t="n"/>
    </row>
    <row r="960" ht="15.75" customHeight="1" s="154">
      <c r="G960" s="153" t="n"/>
      <c r="H960" s="153" t="n"/>
      <c r="I960" s="153" t="n"/>
      <c r="J960" s="153" t="n"/>
      <c r="K960" s="153" t="n"/>
      <c r="L960" s="153" t="n"/>
      <c r="M960" s="153" t="n"/>
      <c r="N960" s="153" t="n"/>
      <c r="O960" s="153" t="n"/>
      <c r="P960" s="153" t="n"/>
      <c r="Q960" s="153" t="n"/>
      <c r="R960" s="153" t="n"/>
      <c r="S960" s="153" t="n"/>
      <c r="T960" s="153" t="n"/>
      <c r="U960" s="153" t="n"/>
      <c r="V960" s="153" t="n"/>
      <c r="W960" s="153" t="n"/>
      <c r="X960" s="153" t="n"/>
      <c r="Y960" s="153" t="n"/>
      <c r="Z960" s="153" t="n"/>
    </row>
    <row r="961" ht="15.75" customHeight="1" s="154">
      <c r="G961" s="153" t="n"/>
      <c r="H961" s="153" t="n"/>
      <c r="I961" s="153" t="n"/>
      <c r="J961" s="153" t="n"/>
      <c r="K961" s="153" t="n"/>
      <c r="L961" s="153" t="n"/>
      <c r="M961" s="153" t="n"/>
      <c r="N961" s="153" t="n"/>
      <c r="O961" s="153" t="n"/>
      <c r="P961" s="153" t="n"/>
      <c r="Q961" s="153" t="n"/>
      <c r="R961" s="153" t="n"/>
      <c r="S961" s="153" t="n"/>
      <c r="T961" s="153" t="n"/>
      <c r="U961" s="153" t="n"/>
      <c r="V961" s="153" t="n"/>
      <c r="W961" s="153" t="n"/>
      <c r="X961" s="153" t="n"/>
      <c r="Y961" s="153" t="n"/>
      <c r="Z961" s="153" t="n"/>
    </row>
    <row r="962" ht="15.75" customHeight="1" s="154">
      <c r="G962" s="153" t="n"/>
      <c r="H962" s="153" t="n"/>
      <c r="I962" s="153" t="n"/>
      <c r="J962" s="153" t="n"/>
      <c r="K962" s="153" t="n"/>
      <c r="L962" s="153" t="n"/>
      <c r="M962" s="153" t="n"/>
      <c r="N962" s="153" t="n"/>
      <c r="O962" s="153" t="n"/>
      <c r="P962" s="153" t="n"/>
      <c r="Q962" s="153" t="n"/>
      <c r="R962" s="153" t="n"/>
      <c r="S962" s="153" t="n"/>
      <c r="T962" s="153" t="n"/>
      <c r="U962" s="153" t="n"/>
      <c r="V962" s="153" t="n"/>
      <c r="W962" s="153" t="n"/>
      <c r="X962" s="153" t="n"/>
      <c r="Y962" s="153" t="n"/>
      <c r="Z962" s="153" t="n"/>
    </row>
    <row r="963" ht="15.75" customHeight="1" s="154">
      <c r="G963" s="153" t="n"/>
      <c r="H963" s="153" t="n"/>
      <c r="I963" s="153" t="n"/>
      <c r="J963" s="153" t="n"/>
      <c r="K963" s="153" t="n"/>
      <c r="L963" s="153" t="n"/>
      <c r="M963" s="153" t="n"/>
      <c r="N963" s="153" t="n"/>
      <c r="O963" s="153" t="n"/>
      <c r="P963" s="153" t="n"/>
      <c r="Q963" s="153" t="n"/>
      <c r="R963" s="153" t="n"/>
      <c r="S963" s="153" t="n"/>
      <c r="T963" s="153" t="n"/>
      <c r="U963" s="153" t="n"/>
      <c r="V963" s="153" t="n"/>
      <c r="W963" s="153" t="n"/>
      <c r="X963" s="153" t="n"/>
      <c r="Y963" s="153" t="n"/>
      <c r="Z963" s="153" t="n"/>
    </row>
    <row r="964" ht="15.75" customHeight="1" s="154">
      <c r="G964" s="153" t="n"/>
      <c r="H964" s="153" t="n"/>
      <c r="I964" s="153" t="n"/>
      <c r="J964" s="153" t="n"/>
      <c r="K964" s="153" t="n"/>
      <c r="L964" s="153" t="n"/>
      <c r="M964" s="153" t="n"/>
      <c r="N964" s="153" t="n"/>
      <c r="O964" s="153" t="n"/>
      <c r="P964" s="153" t="n"/>
      <c r="Q964" s="153" t="n"/>
      <c r="R964" s="153" t="n"/>
      <c r="S964" s="153" t="n"/>
      <c r="T964" s="153" t="n"/>
      <c r="U964" s="153" t="n"/>
      <c r="V964" s="153" t="n"/>
      <c r="W964" s="153" t="n"/>
      <c r="X964" s="153" t="n"/>
      <c r="Y964" s="153" t="n"/>
      <c r="Z964" s="153" t="n"/>
    </row>
    <row r="965" ht="15.75" customHeight="1" s="154">
      <c r="G965" s="153" t="n"/>
      <c r="H965" s="153" t="n"/>
      <c r="I965" s="153" t="n"/>
      <c r="J965" s="153" t="n"/>
      <c r="K965" s="153" t="n"/>
      <c r="L965" s="153" t="n"/>
      <c r="M965" s="153" t="n"/>
      <c r="N965" s="153" t="n"/>
      <c r="O965" s="153" t="n"/>
      <c r="P965" s="153" t="n"/>
      <c r="Q965" s="153" t="n"/>
      <c r="R965" s="153" t="n"/>
      <c r="S965" s="153" t="n"/>
      <c r="T965" s="153" t="n"/>
      <c r="U965" s="153" t="n"/>
      <c r="V965" s="153" t="n"/>
      <c r="W965" s="153" t="n"/>
      <c r="X965" s="153" t="n"/>
      <c r="Y965" s="153" t="n"/>
      <c r="Z965" s="153" t="n"/>
    </row>
    <row r="966" ht="15.75" customHeight="1" s="154">
      <c r="G966" s="153" t="n"/>
      <c r="H966" s="153" t="n"/>
      <c r="I966" s="153" t="n"/>
      <c r="J966" s="153" t="n"/>
      <c r="K966" s="153" t="n"/>
      <c r="L966" s="153" t="n"/>
      <c r="M966" s="153" t="n"/>
      <c r="N966" s="153" t="n"/>
      <c r="O966" s="153" t="n"/>
      <c r="P966" s="153" t="n"/>
      <c r="Q966" s="153" t="n"/>
      <c r="R966" s="153" t="n"/>
      <c r="S966" s="153" t="n"/>
      <c r="T966" s="153" t="n"/>
      <c r="U966" s="153" t="n"/>
      <c r="V966" s="153" t="n"/>
      <c r="W966" s="153" t="n"/>
      <c r="X966" s="153" t="n"/>
      <c r="Y966" s="153" t="n"/>
      <c r="Z966" s="153" t="n"/>
    </row>
    <row r="967" ht="15.75" customHeight="1" s="154">
      <c r="G967" s="153" t="n"/>
      <c r="H967" s="153" t="n"/>
      <c r="I967" s="153" t="n"/>
      <c r="J967" s="153" t="n"/>
      <c r="K967" s="153" t="n"/>
      <c r="L967" s="153" t="n"/>
      <c r="M967" s="153" t="n"/>
      <c r="N967" s="153" t="n"/>
      <c r="O967" s="153" t="n"/>
      <c r="P967" s="153" t="n"/>
      <c r="Q967" s="153" t="n"/>
      <c r="R967" s="153" t="n"/>
      <c r="S967" s="153" t="n"/>
      <c r="T967" s="153" t="n"/>
      <c r="U967" s="153" t="n"/>
      <c r="V967" s="153" t="n"/>
      <c r="W967" s="153" t="n"/>
      <c r="X967" s="153" t="n"/>
      <c r="Y967" s="153" t="n"/>
      <c r="Z967" s="153" t="n"/>
    </row>
    <row r="968" ht="15.75" customHeight="1" s="154">
      <c r="G968" s="153" t="n"/>
      <c r="H968" s="153" t="n"/>
      <c r="I968" s="153" t="n"/>
      <c r="J968" s="153" t="n"/>
      <c r="K968" s="153" t="n"/>
      <c r="L968" s="153" t="n"/>
      <c r="M968" s="153" t="n"/>
      <c r="N968" s="153" t="n"/>
      <c r="O968" s="153" t="n"/>
      <c r="P968" s="153" t="n"/>
      <c r="Q968" s="153" t="n"/>
      <c r="R968" s="153" t="n"/>
      <c r="S968" s="153" t="n"/>
      <c r="T968" s="153" t="n"/>
      <c r="U968" s="153" t="n"/>
      <c r="V968" s="153" t="n"/>
      <c r="W968" s="153" t="n"/>
      <c r="X968" s="153" t="n"/>
      <c r="Y968" s="153" t="n"/>
      <c r="Z968" s="153" t="n"/>
    </row>
    <row r="969" ht="15.75" customHeight="1" s="154">
      <c r="G969" s="153" t="n"/>
      <c r="H969" s="153" t="n"/>
      <c r="I969" s="153" t="n"/>
      <c r="J969" s="153" t="n"/>
      <c r="K969" s="153" t="n"/>
      <c r="L969" s="153" t="n"/>
      <c r="M969" s="153" t="n"/>
      <c r="N969" s="153" t="n"/>
      <c r="O969" s="153" t="n"/>
      <c r="P969" s="153" t="n"/>
      <c r="Q969" s="153" t="n"/>
      <c r="R969" s="153" t="n"/>
      <c r="S969" s="153" t="n"/>
      <c r="T969" s="153" t="n"/>
      <c r="U969" s="153" t="n"/>
      <c r="V969" s="153" t="n"/>
      <c r="W969" s="153" t="n"/>
      <c r="X969" s="153" t="n"/>
      <c r="Y969" s="153" t="n"/>
      <c r="Z969" s="153" t="n"/>
    </row>
    <row r="970" ht="15.75" customHeight="1" s="154">
      <c r="G970" s="153" t="n"/>
      <c r="H970" s="153" t="n"/>
      <c r="I970" s="153" t="n"/>
      <c r="J970" s="153" t="n"/>
      <c r="K970" s="153" t="n"/>
      <c r="L970" s="153" t="n"/>
      <c r="M970" s="153" t="n"/>
      <c r="N970" s="153" t="n"/>
      <c r="O970" s="153" t="n"/>
      <c r="P970" s="153" t="n"/>
      <c r="Q970" s="153" t="n"/>
      <c r="R970" s="153" t="n"/>
      <c r="S970" s="153" t="n"/>
      <c r="T970" s="153" t="n"/>
      <c r="U970" s="153" t="n"/>
      <c r="V970" s="153" t="n"/>
      <c r="W970" s="153" t="n"/>
      <c r="X970" s="153" t="n"/>
      <c r="Y970" s="153" t="n"/>
      <c r="Z970" s="153" t="n"/>
    </row>
    <row r="971" ht="15.75" customHeight="1" s="154">
      <c r="G971" s="153" t="n"/>
      <c r="H971" s="153" t="n"/>
      <c r="I971" s="153" t="n"/>
      <c r="J971" s="153" t="n"/>
      <c r="K971" s="153" t="n"/>
      <c r="L971" s="153" t="n"/>
      <c r="M971" s="153" t="n"/>
      <c r="N971" s="153" t="n"/>
      <c r="O971" s="153" t="n"/>
      <c r="P971" s="153" t="n"/>
      <c r="Q971" s="153" t="n"/>
      <c r="R971" s="153" t="n"/>
      <c r="S971" s="153" t="n"/>
      <c r="T971" s="153" t="n"/>
      <c r="U971" s="153" t="n"/>
      <c r="V971" s="153" t="n"/>
      <c r="W971" s="153" t="n"/>
      <c r="X971" s="153" t="n"/>
      <c r="Y971" s="153" t="n"/>
      <c r="Z971" s="153" t="n"/>
    </row>
    <row r="972" ht="15.75" customHeight="1" s="154">
      <c r="G972" s="153" t="n"/>
      <c r="H972" s="153" t="n"/>
      <c r="I972" s="153" t="n"/>
      <c r="J972" s="153" t="n"/>
      <c r="K972" s="153" t="n"/>
      <c r="L972" s="153" t="n"/>
      <c r="M972" s="153" t="n"/>
      <c r="N972" s="153" t="n"/>
      <c r="O972" s="153" t="n"/>
      <c r="P972" s="153" t="n"/>
      <c r="Q972" s="153" t="n"/>
      <c r="R972" s="153" t="n"/>
      <c r="S972" s="153" t="n"/>
      <c r="T972" s="153" t="n"/>
      <c r="U972" s="153" t="n"/>
      <c r="V972" s="153" t="n"/>
      <c r="W972" s="153" t="n"/>
      <c r="X972" s="153" t="n"/>
      <c r="Y972" s="153" t="n"/>
      <c r="Z972" s="153" t="n"/>
    </row>
    <row r="973" ht="15.75" customHeight="1" s="154">
      <c r="G973" s="153" t="n"/>
      <c r="H973" s="153" t="n"/>
      <c r="I973" s="153" t="n"/>
      <c r="J973" s="153" t="n"/>
      <c r="K973" s="153" t="n"/>
      <c r="L973" s="153" t="n"/>
      <c r="M973" s="153" t="n"/>
      <c r="N973" s="153" t="n"/>
      <c r="O973" s="153" t="n"/>
      <c r="P973" s="153" t="n"/>
      <c r="Q973" s="153" t="n"/>
      <c r="R973" s="153" t="n"/>
      <c r="S973" s="153" t="n"/>
      <c r="T973" s="153" t="n"/>
      <c r="U973" s="153" t="n"/>
      <c r="V973" s="153" t="n"/>
      <c r="W973" s="153" t="n"/>
      <c r="X973" s="153" t="n"/>
      <c r="Y973" s="153" t="n"/>
      <c r="Z973" s="153" t="n"/>
    </row>
    <row r="974" ht="15.75" customHeight="1" s="154">
      <c r="G974" s="153" t="n"/>
      <c r="H974" s="153" t="n"/>
      <c r="I974" s="153" t="n"/>
      <c r="J974" s="153" t="n"/>
      <c r="K974" s="153" t="n"/>
      <c r="L974" s="153" t="n"/>
      <c r="M974" s="153" t="n"/>
      <c r="N974" s="153" t="n"/>
      <c r="O974" s="153" t="n"/>
      <c r="P974" s="153" t="n"/>
      <c r="Q974" s="153" t="n"/>
      <c r="R974" s="153" t="n"/>
      <c r="S974" s="153" t="n"/>
      <c r="T974" s="153" t="n"/>
      <c r="U974" s="153" t="n"/>
      <c r="V974" s="153" t="n"/>
      <c r="W974" s="153" t="n"/>
      <c r="X974" s="153" t="n"/>
      <c r="Y974" s="153" t="n"/>
      <c r="Z974" s="153" t="n"/>
    </row>
    <row r="975" ht="15.75" customHeight="1" s="154">
      <c r="G975" s="153" t="n"/>
      <c r="H975" s="153" t="n"/>
      <c r="I975" s="153" t="n"/>
      <c r="J975" s="153" t="n"/>
      <c r="K975" s="153" t="n"/>
      <c r="L975" s="153" t="n"/>
      <c r="M975" s="153" t="n"/>
      <c r="N975" s="153" t="n"/>
      <c r="O975" s="153" t="n"/>
      <c r="P975" s="153" t="n"/>
      <c r="Q975" s="153" t="n"/>
      <c r="R975" s="153" t="n"/>
      <c r="S975" s="153" t="n"/>
      <c r="T975" s="153" t="n"/>
      <c r="U975" s="153" t="n"/>
      <c r="V975" s="153" t="n"/>
      <c r="W975" s="153" t="n"/>
      <c r="X975" s="153" t="n"/>
      <c r="Y975" s="153" t="n"/>
      <c r="Z975" s="153" t="n"/>
    </row>
    <row r="976" ht="15.75" customHeight="1" s="154">
      <c r="G976" s="153" t="n"/>
      <c r="H976" s="153" t="n"/>
      <c r="I976" s="153" t="n"/>
      <c r="J976" s="153" t="n"/>
      <c r="K976" s="153" t="n"/>
      <c r="L976" s="153" t="n"/>
      <c r="M976" s="153" t="n"/>
      <c r="N976" s="153" t="n"/>
      <c r="O976" s="153" t="n"/>
      <c r="P976" s="153" t="n"/>
      <c r="Q976" s="153" t="n"/>
      <c r="R976" s="153" t="n"/>
      <c r="S976" s="153" t="n"/>
      <c r="T976" s="153" t="n"/>
      <c r="U976" s="153" t="n"/>
      <c r="V976" s="153" t="n"/>
      <c r="W976" s="153" t="n"/>
      <c r="X976" s="153" t="n"/>
      <c r="Y976" s="153" t="n"/>
      <c r="Z976" s="153" t="n"/>
    </row>
    <row r="977" ht="15.75" customHeight="1" s="154">
      <c r="G977" s="153" t="n"/>
      <c r="H977" s="153" t="n"/>
      <c r="I977" s="153" t="n"/>
      <c r="J977" s="153" t="n"/>
      <c r="K977" s="153" t="n"/>
      <c r="L977" s="153" t="n"/>
      <c r="M977" s="153" t="n"/>
      <c r="N977" s="153" t="n"/>
      <c r="O977" s="153" t="n"/>
      <c r="P977" s="153" t="n"/>
      <c r="Q977" s="153" t="n"/>
      <c r="R977" s="153" t="n"/>
      <c r="S977" s="153" t="n"/>
      <c r="T977" s="153" t="n"/>
      <c r="U977" s="153" t="n"/>
      <c r="V977" s="153" t="n"/>
      <c r="W977" s="153" t="n"/>
      <c r="X977" s="153" t="n"/>
      <c r="Y977" s="153" t="n"/>
      <c r="Z977" s="153" t="n"/>
    </row>
    <row r="978" ht="15.75" customHeight="1" s="154">
      <c r="G978" s="153" t="n"/>
      <c r="H978" s="153" t="n"/>
      <c r="I978" s="153" t="n"/>
      <c r="J978" s="153" t="n"/>
      <c r="K978" s="153" t="n"/>
      <c r="L978" s="153" t="n"/>
      <c r="M978" s="153" t="n"/>
      <c r="N978" s="153" t="n"/>
      <c r="O978" s="153" t="n"/>
      <c r="P978" s="153" t="n"/>
      <c r="Q978" s="153" t="n"/>
      <c r="R978" s="153" t="n"/>
      <c r="S978" s="153" t="n"/>
      <c r="T978" s="153" t="n"/>
      <c r="U978" s="153" t="n"/>
      <c r="V978" s="153" t="n"/>
      <c r="W978" s="153" t="n"/>
      <c r="X978" s="153" t="n"/>
      <c r="Y978" s="153" t="n"/>
      <c r="Z978" s="153" t="n"/>
    </row>
    <row r="979" ht="15.75" customHeight="1" s="154">
      <c r="G979" s="153" t="n"/>
      <c r="H979" s="153" t="n"/>
      <c r="I979" s="153" t="n"/>
      <c r="J979" s="153" t="n"/>
      <c r="K979" s="153" t="n"/>
      <c r="L979" s="153" t="n"/>
      <c r="M979" s="153" t="n"/>
      <c r="N979" s="153" t="n"/>
      <c r="O979" s="153" t="n"/>
      <c r="P979" s="153" t="n"/>
      <c r="Q979" s="153" t="n"/>
      <c r="R979" s="153" t="n"/>
      <c r="S979" s="153" t="n"/>
      <c r="T979" s="153" t="n"/>
      <c r="U979" s="153" t="n"/>
      <c r="V979" s="153" t="n"/>
      <c r="W979" s="153" t="n"/>
      <c r="X979" s="153" t="n"/>
      <c r="Y979" s="153" t="n"/>
      <c r="Z979" s="153" t="n"/>
    </row>
    <row r="980" ht="15.75" customHeight="1" s="154">
      <c r="G980" s="153" t="n"/>
      <c r="H980" s="153" t="n"/>
      <c r="I980" s="153" t="n"/>
      <c r="J980" s="153" t="n"/>
      <c r="K980" s="153" t="n"/>
      <c r="L980" s="153" t="n"/>
      <c r="M980" s="153" t="n"/>
      <c r="N980" s="153" t="n"/>
      <c r="O980" s="153" t="n"/>
      <c r="P980" s="153" t="n"/>
      <c r="Q980" s="153" t="n"/>
      <c r="R980" s="153" t="n"/>
      <c r="S980" s="153" t="n"/>
      <c r="T980" s="153" t="n"/>
      <c r="U980" s="153" t="n"/>
      <c r="V980" s="153" t="n"/>
      <c r="W980" s="153" t="n"/>
      <c r="X980" s="153" t="n"/>
      <c r="Y980" s="153" t="n"/>
      <c r="Z980" s="153" t="n"/>
    </row>
    <row r="981" ht="15.75" customHeight="1" s="154">
      <c r="G981" s="153" t="n"/>
      <c r="H981" s="153" t="n"/>
      <c r="I981" s="153" t="n"/>
      <c r="J981" s="153" t="n"/>
      <c r="K981" s="153" t="n"/>
      <c r="L981" s="153" t="n"/>
      <c r="M981" s="153" t="n"/>
      <c r="N981" s="153" t="n"/>
      <c r="O981" s="153" t="n"/>
      <c r="P981" s="153" t="n"/>
      <c r="Q981" s="153" t="n"/>
      <c r="R981" s="153" t="n"/>
      <c r="S981" s="153" t="n"/>
      <c r="T981" s="153" t="n"/>
      <c r="U981" s="153" t="n"/>
      <c r="V981" s="153" t="n"/>
      <c r="W981" s="153" t="n"/>
      <c r="X981" s="153" t="n"/>
      <c r="Y981" s="153" t="n"/>
      <c r="Z981" s="153" t="n"/>
    </row>
    <row r="982" ht="15.75" customHeight="1" s="154">
      <c r="G982" s="153" t="n"/>
      <c r="H982" s="153" t="n"/>
      <c r="I982" s="153" t="n"/>
      <c r="J982" s="153" t="n"/>
      <c r="K982" s="153" t="n"/>
      <c r="L982" s="153" t="n"/>
      <c r="M982" s="153" t="n"/>
      <c r="N982" s="153" t="n"/>
      <c r="O982" s="153" t="n"/>
      <c r="P982" s="153" t="n"/>
      <c r="Q982" s="153" t="n"/>
      <c r="R982" s="153" t="n"/>
      <c r="S982" s="153" t="n"/>
      <c r="T982" s="153" t="n"/>
      <c r="U982" s="153" t="n"/>
      <c r="V982" s="153" t="n"/>
      <c r="W982" s="153" t="n"/>
      <c r="X982" s="153" t="n"/>
      <c r="Y982" s="153" t="n"/>
      <c r="Z982" s="153" t="n"/>
    </row>
    <row r="983" ht="15.75" customHeight="1" s="154">
      <c r="G983" s="153" t="n"/>
      <c r="H983" s="153" t="n"/>
      <c r="I983" s="153" t="n"/>
      <c r="J983" s="153" t="n"/>
      <c r="K983" s="153" t="n"/>
      <c r="L983" s="153" t="n"/>
      <c r="M983" s="153" t="n"/>
      <c r="N983" s="153" t="n"/>
      <c r="O983" s="153" t="n"/>
      <c r="P983" s="153" t="n"/>
      <c r="Q983" s="153" t="n"/>
      <c r="R983" s="153" t="n"/>
      <c r="S983" s="153" t="n"/>
      <c r="T983" s="153" t="n"/>
      <c r="U983" s="153" t="n"/>
      <c r="V983" s="153" t="n"/>
      <c r="W983" s="153" t="n"/>
      <c r="X983" s="153" t="n"/>
      <c r="Y983" s="153" t="n"/>
      <c r="Z983" s="153" t="n"/>
    </row>
    <row r="984" ht="15.75" customHeight="1" s="154">
      <c r="G984" s="153" t="n"/>
      <c r="H984" s="153" t="n"/>
      <c r="I984" s="153" t="n"/>
      <c r="J984" s="153" t="n"/>
      <c r="K984" s="153" t="n"/>
      <c r="L984" s="153" t="n"/>
      <c r="M984" s="153" t="n"/>
      <c r="N984" s="153" t="n"/>
      <c r="O984" s="153" t="n"/>
      <c r="P984" s="153" t="n"/>
      <c r="Q984" s="153" t="n"/>
      <c r="R984" s="153" t="n"/>
      <c r="S984" s="153" t="n"/>
      <c r="T984" s="153" t="n"/>
      <c r="U984" s="153" t="n"/>
      <c r="V984" s="153" t="n"/>
      <c r="W984" s="153" t="n"/>
      <c r="X984" s="153" t="n"/>
      <c r="Y984" s="153" t="n"/>
      <c r="Z984" s="153" t="n"/>
    </row>
    <row r="985" ht="15.75" customHeight="1" s="154">
      <c r="G985" s="153" t="n"/>
      <c r="H985" s="153" t="n"/>
      <c r="I985" s="153" t="n"/>
      <c r="J985" s="153" t="n"/>
      <c r="K985" s="153" t="n"/>
      <c r="L985" s="153" t="n"/>
      <c r="M985" s="153" t="n"/>
      <c r="N985" s="153" t="n"/>
      <c r="O985" s="153" t="n"/>
      <c r="P985" s="153" t="n"/>
      <c r="Q985" s="153" t="n"/>
      <c r="R985" s="153" t="n"/>
      <c r="S985" s="153" t="n"/>
      <c r="T985" s="153" t="n"/>
      <c r="U985" s="153" t="n"/>
      <c r="V985" s="153" t="n"/>
      <c r="W985" s="153" t="n"/>
      <c r="X985" s="153" t="n"/>
      <c r="Y985" s="153" t="n"/>
      <c r="Z985" s="153" t="n"/>
    </row>
    <row r="986" ht="15.75" customHeight="1" s="154">
      <c r="G986" s="153" t="n"/>
      <c r="H986" s="153" t="n"/>
      <c r="I986" s="153" t="n"/>
      <c r="J986" s="153" t="n"/>
      <c r="K986" s="153" t="n"/>
      <c r="L986" s="153" t="n"/>
      <c r="M986" s="153" t="n"/>
      <c r="N986" s="153" t="n"/>
      <c r="O986" s="153" t="n"/>
      <c r="P986" s="153" t="n"/>
      <c r="Q986" s="153" t="n"/>
      <c r="R986" s="153" t="n"/>
      <c r="S986" s="153" t="n"/>
      <c r="T986" s="153" t="n"/>
      <c r="U986" s="153" t="n"/>
      <c r="V986" s="153" t="n"/>
      <c r="W986" s="153" t="n"/>
      <c r="X986" s="153" t="n"/>
      <c r="Y986" s="153" t="n"/>
      <c r="Z986" s="153" t="n"/>
    </row>
    <row r="987" ht="15.75" customHeight="1" s="154">
      <c r="G987" s="153" t="n"/>
      <c r="H987" s="153" t="n"/>
      <c r="I987" s="153" t="n"/>
      <c r="J987" s="153" t="n"/>
      <c r="K987" s="153" t="n"/>
      <c r="L987" s="153" t="n"/>
      <c r="M987" s="153" t="n"/>
      <c r="N987" s="153" t="n"/>
      <c r="O987" s="153" t="n"/>
      <c r="P987" s="153" t="n"/>
      <c r="Q987" s="153" t="n"/>
      <c r="R987" s="153" t="n"/>
      <c r="S987" s="153" t="n"/>
      <c r="T987" s="153" t="n"/>
      <c r="U987" s="153" t="n"/>
      <c r="V987" s="153" t="n"/>
      <c r="W987" s="153" t="n"/>
      <c r="X987" s="153" t="n"/>
      <c r="Y987" s="153" t="n"/>
      <c r="Z987" s="153" t="n"/>
    </row>
    <row r="988" ht="15.75" customHeight="1" s="154">
      <c r="G988" s="153" t="n"/>
      <c r="H988" s="153" t="n"/>
      <c r="I988" s="153" t="n"/>
      <c r="J988" s="153" t="n"/>
      <c r="K988" s="153" t="n"/>
      <c r="L988" s="153" t="n"/>
      <c r="M988" s="153" t="n"/>
      <c r="N988" s="153" t="n"/>
      <c r="O988" s="153" t="n"/>
      <c r="P988" s="153" t="n"/>
      <c r="Q988" s="153" t="n"/>
      <c r="R988" s="153" t="n"/>
      <c r="S988" s="153" t="n"/>
      <c r="T988" s="153" t="n"/>
      <c r="U988" s="153" t="n"/>
      <c r="V988" s="153" t="n"/>
      <c r="W988" s="153" t="n"/>
      <c r="X988" s="153" t="n"/>
      <c r="Y988" s="153" t="n"/>
      <c r="Z988" s="153" t="n"/>
    </row>
    <row r="989" ht="15.75" customHeight="1" s="154">
      <c r="G989" s="153" t="n"/>
      <c r="H989" s="153" t="n"/>
      <c r="I989" s="153" t="n"/>
      <c r="J989" s="153" t="n"/>
      <c r="K989" s="153" t="n"/>
      <c r="L989" s="153" t="n"/>
      <c r="M989" s="153" t="n"/>
      <c r="N989" s="153" t="n"/>
      <c r="O989" s="153" t="n"/>
      <c r="P989" s="153" t="n"/>
      <c r="Q989" s="153" t="n"/>
      <c r="R989" s="153" t="n"/>
      <c r="S989" s="153" t="n"/>
      <c r="T989" s="153" t="n"/>
      <c r="U989" s="153" t="n"/>
      <c r="V989" s="153" t="n"/>
      <c r="W989" s="153" t="n"/>
      <c r="X989" s="153" t="n"/>
      <c r="Y989" s="153" t="n"/>
      <c r="Z989" s="153" t="n"/>
    </row>
    <row r="990" ht="15.75" customHeight="1" s="154">
      <c r="G990" s="153" t="n"/>
      <c r="H990" s="153" t="n"/>
      <c r="I990" s="153" t="n"/>
      <c r="J990" s="153" t="n"/>
      <c r="K990" s="153" t="n"/>
      <c r="L990" s="153" t="n"/>
      <c r="M990" s="153" t="n"/>
      <c r="N990" s="153" t="n"/>
      <c r="O990" s="153" t="n"/>
      <c r="P990" s="153" t="n"/>
      <c r="Q990" s="153" t="n"/>
      <c r="R990" s="153" t="n"/>
      <c r="S990" s="153" t="n"/>
      <c r="T990" s="153" t="n"/>
      <c r="U990" s="153" t="n"/>
      <c r="V990" s="153" t="n"/>
      <c r="W990" s="153" t="n"/>
      <c r="X990" s="153" t="n"/>
      <c r="Y990" s="153" t="n"/>
      <c r="Z990" s="153" t="n"/>
    </row>
    <row r="991" ht="15.75" customHeight="1" s="154">
      <c r="G991" s="153" t="n"/>
      <c r="H991" s="153" t="n"/>
      <c r="I991" s="153" t="n"/>
      <c r="J991" s="153" t="n"/>
      <c r="K991" s="153" t="n"/>
      <c r="L991" s="153" t="n"/>
      <c r="M991" s="153" t="n"/>
      <c r="N991" s="153" t="n"/>
      <c r="O991" s="153" t="n"/>
      <c r="P991" s="153" t="n"/>
      <c r="Q991" s="153" t="n"/>
      <c r="R991" s="153" t="n"/>
      <c r="S991" s="153" t="n"/>
      <c r="T991" s="153" t="n"/>
      <c r="U991" s="153" t="n"/>
      <c r="V991" s="153" t="n"/>
      <c r="W991" s="153" t="n"/>
      <c r="X991" s="153" t="n"/>
      <c r="Y991" s="153" t="n"/>
      <c r="Z991" s="153" t="n"/>
    </row>
    <row r="992" ht="15.75" customHeight="1" s="154">
      <c r="G992" s="153" t="n"/>
      <c r="H992" s="153" t="n"/>
      <c r="I992" s="153" t="n"/>
      <c r="J992" s="153" t="n"/>
      <c r="K992" s="153" t="n"/>
      <c r="L992" s="153" t="n"/>
      <c r="M992" s="153" t="n"/>
      <c r="N992" s="153" t="n"/>
      <c r="O992" s="153" t="n"/>
      <c r="P992" s="153" t="n"/>
      <c r="Q992" s="153" t="n"/>
      <c r="R992" s="153" t="n"/>
      <c r="S992" s="153" t="n"/>
      <c r="T992" s="153" t="n"/>
      <c r="U992" s="153" t="n"/>
      <c r="V992" s="153" t="n"/>
      <c r="W992" s="153" t="n"/>
      <c r="X992" s="153" t="n"/>
      <c r="Y992" s="153" t="n"/>
      <c r="Z992" s="153" t="n"/>
    </row>
    <row r="993" ht="15.75" customHeight="1" s="154">
      <c r="G993" s="153" t="n"/>
      <c r="H993" s="153" t="n"/>
      <c r="I993" s="153" t="n"/>
      <c r="J993" s="153" t="n"/>
      <c r="K993" s="153" t="n"/>
      <c r="L993" s="153" t="n"/>
      <c r="M993" s="153" t="n"/>
      <c r="N993" s="153" t="n"/>
      <c r="O993" s="153" t="n"/>
      <c r="P993" s="153" t="n"/>
      <c r="Q993" s="153" t="n"/>
      <c r="R993" s="153" t="n"/>
      <c r="S993" s="153" t="n"/>
      <c r="T993" s="153" t="n"/>
      <c r="U993" s="153" t="n"/>
      <c r="V993" s="153" t="n"/>
      <c r="W993" s="153" t="n"/>
      <c r="X993" s="153" t="n"/>
      <c r="Y993" s="153" t="n"/>
      <c r="Z993" s="153" t="n"/>
    </row>
    <row r="994" ht="15.75" customHeight="1" s="154">
      <c r="G994" s="153" t="n"/>
      <c r="H994" s="153" t="n"/>
      <c r="I994" s="153" t="n"/>
      <c r="J994" s="153" t="n"/>
      <c r="K994" s="153" t="n"/>
      <c r="L994" s="153" t="n"/>
      <c r="M994" s="153" t="n"/>
      <c r="N994" s="153" t="n"/>
      <c r="O994" s="153" t="n"/>
      <c r="P994" s="153" t="n"/>
      <c r="Q994" s="153" t="n"/>
      <c r="R994" s="153" t="n"/>
      <c r="S994" s="153" t="n"/>
      <c r="T994" s="153" t="n"/>
      <c r="U994" s="153" t="n"/>
      <c r="V994" s="153" t="n"/>
      <c r="W994" s="153" t="n"/>
      <c r="X994" s="153" t="n"/>
      <c r="Y994" s="153" t="n"/>
      <c r="Z994" s="153" t="n"/>
    </row>
    <row r="995" ht="15.75" customHeight="1" s="154">
      <c r="G995" s="153" t="n"/>
      <c r="H995" s="153" t="n"/>
      <c r="I995" s="153" t="n"/>
      <c r="J995" s="153" t="n"/>
      <c r="K995" s="153" t="n"/>
      <c r="L995" s="153" t="n"/>
      <c r="M995" s="153" t="n"/>
      <c r="N995" s="153" t="n"/>
      <c r="O995" s="153" t="n"/>
      <c r="P995" s="153" t="n"/>
      <c r="Q995" s="153" t="n"/>
      <c r="R995" s="153" t="n"/>
      <c r="S995" s="153" t="n"/>
      <c r="T995" s="153" t="n"/>
      <c r="U995" s="153" t="n"/>
      <c r="V995" s="153" t="n"/>
      <c r="W995" s="153" t="n"/>
      <c r="X995" s="153" t="n"/>
      <c r="Y995" s="153" t="n"/>
      <c r="Z995" s="153" t="n"/>
    </row>
    <row r="996" ht="15.75" customHeight="1" s="154">
      <c r="G996" s="153" t="n"/>
      <c r="H996" s="153" t="n"/>
      <c r="I996" s="153" t="n"/>
      <c r="J996" s="153" t="n"/>
      <c r="K996" s="153" t="n"/>
      <c r="L996" s="153" t="n"/>
      <c r="M996" s="153" t="n"/>
      <c r="N996" s="153" t="n"/>
      <c r="O996" s="153" t="n"/>
      <c r="P996" s="153" t="n"/>
      <c r="Q996" s="153" t="n"/>
      <c r="R996" s="153" t="n"/>
      <c r="S996" s="153" t="n"/>
      <c r="T996" s="153" t="n"/>
      <c r="U996" s="153" t="n"/>
      <c r="V996" s="153" t="n"/>
      <c r="W996" s="153" t="n"/>
      <c r="X996" s="153" t="n"/>
      <c r="Y996" s="153" t="n"/>
      <c r="Z996" s="153" t="n"/>
    </row>
    <row r="997" ht="15.75" customHeight="1" s="154">
      <c r="G997" s="153" t="n"/>
      <c r="H997" s="153" t="n"/>
      <c r="I997" s="153" t="n"/>
      <c r="J997" s="153" t="n"/>
      <c r="K997" s="153" t="n"/>
      <c r="L997" s="153" t="n"/>
      <c r="M997" s="153" t="n"/>
      <c r="N997" s="153" t="n"/>
      <c r="O997" s="153" t="n"/>
      <c r="P997" s="153" t="n"/>
      <c r="Q997" s="153" t="n"/>
      <c r="R997" s="153" t="n"/>
      <c r="S997" s="153" t="n"/>
      <c r="T997" s="153" t="n"/>
      <c r="U997" s="153" t="n"/>
      <c r="V997" s="153" t="n"/>
      <c r="W997" s="153" t="n"/>
      <c r="X997" s="153" t="n"/>
      <c r="Y997" s="153" t="n"/>
      <c r="Z997" s="153" t="n"/>
    </row>
    <row r="998" ht="15.75" customHeight="1" s="154">
      <c r="G998" s="153" t="n"/>
      <c r="H998" s="153" t="n"/>
      <c r="I998" s="153" t="n"/>
      <c r="J998" s="153" t="n"/>
      <c r="K998" s="153" t="n"/>
      <c r="L998" s="153" t="n"/>
      <c r="M998" s="153" t="n"/>
      <c r="N998" s="153" t="n"/>
      <c r="O998" s="153" t="n"/>
      <c r="P998" s="153" t="n"/>
      <c r="Q998" s="153" t="n"/>
      <c r="R998" s="153" t="n"/>
      <c r="S998" s="153" t="n"/>
      <c r="T998" s="153" t="n"/>
      <c r="U998" s="153" t="n"/>
      <c r="V998" s="153" t="n"/>
      <c r="W998" s="153" t="n"/>
      <c r="X998" s="153" t="n"/>
      <c r="Y998" s="153" t="n"/>
      <c r="Z998" s="153" t="n"/>
    </row>
    <row r="999" ht="15.75" customHeight="1" s="154">
      <c r="G999" s="153" t="n"/>
      <c r="H999" s="153" t="n"/>
      <c r="I999" s="153" t="n"/>
      <c r="J999" s="153" t="n"/>
      <c r="K999" s="153" t="n"/>
      <c r="L999" s="153" t="n"/>
      <c r="M999" s="153" t="n"/>
      <c r="N999" s="153" t="n"/>
      <c r="O999" s="153" t="n"/>
      <c r="P999" s="153" t="n"/>
      <c r="Q999" s="153" t="n"/>
      <c r="R999" s="153" t="n"/>
      <c r="S999" s="153" t="n"/>
      <c r="T999" s="153" t="n"/>
      <c r="U999" s="153" t="n"/>
      <c r="V999" s="153" t="n"/>
      <c r="W999" s="153" t="n"/>
      <c r="X999" s="153" t="n"/>
      <c r="Y999" s="153" t="n"/>
      <c r="Z999" s="153" t="n"/>
    </row>
    <row r="1000" ht="15.75" customHeight="1" s="154">
      <c r="G1000" s="153" t="n"/>
      <c r="H1000" s="153" t="n"/>
      <c r="I1000" s="153" t="n"/>
      <c r="J1000" s="153" t="n"/>
      <c r="K1000" s="153" t="n"/>
      <c r="L1000" s="153" t="n"/>
      <c r="M1000" s="153" t="n"/>
      <c r="N1000" s="153" t="n"/>
      <c r="O1000" s="153" t="n"/>
      <c r="P1000" s="153" t="n"/>
      <c r="Q1000" s="153" t="n"/>
      <c r="R1000" s="153" t="n"/>
      <c r="S1000" s="153" t="n"/>
      <c r="T1000" s="153" t="n"/>
      <c r="U1000" s="153" t="n"/>
      <c r="V1000" s="153" t="n"/>
      <c r="W1000" s="153" t="n"/>
      <c r="X1000" s="153" t="n"/>
      <c r="Y1000" s="153" t="n"/>
      <c r="Z1000" s="153" t="n"/>
    </row>
  </sheetData>
  <mergeCells count="2">
    <mergeCell ref="A1:C1"/>
    <mergeCell ref="A2:C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tabColor rgb="FF114884"/>
    <outlinePr summaryBelow="1" summaryRight="1"/>
    <pageSetUpPr fitToPage="0"/>
  </sheetPr>
  <dimension ref="A1:AI20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B4" activeCellId="0" sqref="B4"/>
    </sheetView>
  </sheetViews>
  <sheetFormatPr baseColWidth="8" defaultColWidth="14.43359375" defaultRowHeight="15" zeroHeight="0" outlineLevelRow="0"/>
  <cols>
    <col width="5" customWidth="1" style="153" min="1" max="1"/>
    <col width="11" customWidth="1" style="153" min="2" max="3"/>
    <col width="26" customWidth="1" style="153" min="4" max="4"/>
    <col width="22" customWidth="1" style="153" min="5" max="5"/>
    <col width="15" customWidth="1" style="153" min="6" max="6"/>
    <col width="12" customWidth="1" style="153" min="7" max="8"/>
    <col width="14" customWidth="1" style="153" min="9" max="9"/>
    <col width="6" customWidth="1" style="153" min="10" max="21"/>
    <col width="11" customWidth="1" style="153" min="22" max="33"/>
    <col width="12" customWidth="1" style="153" min="34" max="35"/>
  </cols>
  <sheetData>
    <row r="1" ht="39.75" customHeight="1" s="154">
      <c r="A1" s="234" t="inlineStr">
        <is>
          <t>⚓  Transaktionen  —  Wird automatisch durch das Apps Script befüllt</t>
        </is>
      </c>
    </row>
    <row r="2" ht="25.5" customHeight="1" s="154">
      <c r="A2" s="235" t="inlineStr">
        <is>
          <t>#</t>
        </is>
      </c>
      <c r="B2" s="235" t="inlineStr">
        <is>
          <t>Datum</t>
        </is>
      </c>
      <c r="C2" s="235" t="inlineStr">
        <is>
          <t>Typ</t>
        </is>
      </c>
      <c r="D2" s="235" t="inlineStr">
        <is>
          <t>Beschreibung</t>
        </is>
      </c>
      <c r="E2" s="235" t="inlineStr">
        <is>
          <t>Kategorie</t>
        </is>
      </c>
      <c r="F2" s="235" t="inlineStr">
        <is>
          <t>Bezahlt von</t>
        </is>
      </c>
      <c r="G2" s="235" t="inlineStr">
        <is>
          <t>Betrag €</t>
        </is>
      </c>
      <c r="H2" s="235" t="inlineStr">
        <is>
          <t>Alkohol €</t>
        </is>
      </c>
      <c r="I2" s="235" t="inlineStr">
        <is>
          <t>Aufteilung</t>
        </is>
      </c>
      <c r="J2" s="236">
        <f>IFERROR(LEFT(Besatzung!C11,5),"P1")</f>
        <v/>
      </c>
      <c r="K2" s="236">
        <f>IFERROR(LEFT(Besatzung!C12,5),"P2")</f>
        <v/>
      </c>
      <c r="L2" s="236">
        <f>IFERROR(LEFT(Besatzung!C13,5),"P3")</f>
        <v/>
      </c>
      <c r="M2" s="236">
        <f>IFERROR(LEFT(Besatzung!C14,5),"P4")</f>
        <v/>
      </c>
      <c r="N2" s="236">
        <f>IFERROR(LEFT(Besatzung!C15,5),"P5")</f>
        <v/>
      </c>
      <c r="O2" s="236">
        <f>IFERROR(LEFT(Besatzung!C16,5),"P6")</f>
        <v/>
      </c>
      <c r="P2" s="236">
        <f>IFERROR(LEFT(Besatzung!C17,5),"P7")</f>
        <v/>
      </c>
      <c r="Q2" s="236">
        <f>IFERROR(LEFT(Besatzung!C18,5),"P8")</f>
        <v/>
      </c>
      <c r="R2" s="236">
        <f>IFERROR(LEFT(Besatzung!C19,5),"P9")</f>
        <v/>
      </c>
      <c r="S2" s="236">
        <f>IFERROR(LEFT(Besatzung!C20,5),"P10")</f>
        <v/>
      </c>
      <c r="T2" s="236">
        <f>IFERROR(LEFT(Besatzung!C21,5),"P11")</f>
        <v/>
      </c>
      <c r="U2" s="236">
        <f>IFERROR(LEFT(Besatzung!C22,5),"P12")</f>
        <v/>
      </c>
      <c r="V2" s="237" t="inlineStr">
        <is>
          <t>P1 Anteil</t>
        </is>
      </c>
      <c r="W2" s="237" t="inlineStr">
        <is>
          <t>P2 Anteil</t>
        </is>
      </c>
      <c r="X2" s="237" t="inlineStr">
        <is>
          <t>P3 Anteil</t>
        </is>
      </c>
      <c r="Y2" s="237" t="inlineStr">
        <is>
          <t>P4 Anteil</t>
        </is>
      </c>
      <c r="Z2" s="237" t="inlineStr">
        <is>
          <t>P5 Anteil</t>
        </is>
      </c>
      <c r="AA2" s="237" t="inlineStr">
        <is>
          <t>P6 Anteil</t>
        </is>
      </c>
      <c r="AB2" s="237" t="inlineStr">
        <is>
          <t>P7 Anteil</t>
        </is>
      </c>
      <c r="AC2" s="237" t="inlineStr">
        <is>
          <t>P8 Anteil</t>
        </is>
      </c>
      <c r="AD2" s="237" t="inlineStr">
        <is>
          <t>P9 Anteil</t>
        </is>
      </c>
      <c r="AE2" s="237" t="inlineStr">
        <is>
          <t>P10 Anteil</t>
        </is>
      </c>
      <c r="AF2" s="237" t="inlineStr">
        <is>
          <t>P11 Anteil</t>
        </is>
      </c>
      <c r="AG2" s="237" t="inlineStr">
        <is>
          <t>P12 Anteil</t>
        </is>
      </c>
      <c r="AH2" s="237" t="inlineStr">
        <is>
          <t>Gut-Von</t>
        </is>
      </c>
      <c r="AI2" s="237" t="inlineStr">
        <is>
          <t>Gut-An</t>
        </is>
      </c>
    </row>
    <row r="3" ht="15" customHeight="1" s="154"/>
    <row r="4" ht="21.75" customHeight="1" s="154">
      <c r="A4" s="238">
        <f>IF(AND(D4="",C4=""),"",1)</f>
        <v/>
      </c>
      <c r="B4" s="199" t="n"/>
      <c r="C4" s="239" t="n"/>
      <c r="D4" s="240" t="n"/>
      <c r="E4" s="241" t="n"/>
      <c r="F4" s="242" t="n"/>
      <c r="G4" s="243" t="n"/>
      <c r="H4" s="244" t="n"/>
      <c r="I4" s="245" t="n"/>
      <c r="J4" s="246" t="n"/>
      <c r="K4" s="246" t="n"/>
      <c r="L4" s="246" t="n"/>
      <c r="M4" s="246" t="n"/>
      <c r="N4" s="246" t="n"/>
      <c r="O4" s="246" t="n"/>
      <c r="P4" s="246" t="n"/>
      <c r="Q4" s="246" t="n"/>
      <c r="R4" s="246" t="n"/>
      <c r="S4" s="246" t="n"/>
      <c r="T4" s="246" t="n"/>
      <c r="U4" s="246" t="n"/>
      <c r="V4" s="247">
        <f>IF(C4="Gutschrift","",IF(G4="","",IF(Besatzung!$B$11="","",IFERROR(IF(I4="Zeitanteilig",(Besatzung!$G$11*(G4-IFERROR(H4,0))+((Besatzung!$B$11&lt;&gt;"")*IF(B4="",1,(IF(Besatzung!$C$11="",Besatzung!$B$5,Besatzung!$C$11)&lt;=B4)*(IF(Besatzung!$D$11="",Besatzung!$B$6,Besatzung!$D$11)&gt;=B4)))*(Besatzung!$F$11="x")*IFERROR(H4,0)/IFERROR(SUMPRODUCT((Besatzung!$B$11:$B$22&lt;&gt;"")*(Besatzung!$F$11:$F$22="x")*(IF(Besatzung!$C$11:$C$22="",Besatzung!$B$5,Besatzung!$C$11:$C$22)&lt;=B4)*(IF(Besatzung!$D$11:$D$22="",Besatzung!$B$6,Besatzung!$D$11:$D$22)&gt;=B4)),1)),IF(I4="An Bord",(((Besatzung!$B$11&lt;&gt;"")*IF(B4="",1,(IF(Besatzung!$C$11="",Besatzung!$B$5,Besatzung!$C$11)&lt;=B4)*(IF(Besatzung!$D$11="",Besatzung!$B$6,Besatzung!$D$11)&gt;=B4)))*((G4-IFERROR(H4,0))/IFERROR(SUMPRODUCT((Besatzung!$B$11:$B$22&lt;&gt;"")*(IF(Besatzung!$C$11:$C$22="",Besatzung!$B$5,Besatzung!$C$11:$C$22)&lt;=B4)*(IF(Besatzung!$D$11:$D$22="",Besatzung!$B$6,Besatzung!$D$11:$D$22)&gt;=B4)),1)+(Besatzung!$F$11="x")*IFERROR(H4,0)/IFERROR(SUMPRODUCT((Besatzung!$B$11:$B$22&lt;&gt;"")*(Besatzung!$F$11:$F$22="x")*(IF(Besatzung!$C$11:$C$22="",Besatzung!$B$5,Besatzung!$C$11:$C$22)&lt;=B4)*(IF(Besatzung!$D$11:$D$22="",Besatzung!$B$6,Besatzung!$D$11:$D$22)&gt;=B4)),1))),IF(I4="Individuell",((J4="x")*((G4-IFERROR(H4,0))/IFERROR(COUNTIF(J4:U4,"x"),1)+(Besatzung!$F$11="x")*IFERROR(H4,0)/IFERROR(SUMPRODUCT((J4:U4="x")*(Besatzung!$F$11:$F$22="x")),1))),(IF(COUNTIF(J4:U4,"x")=0,IF(Besatzung!$B$11&lt;&gt;"",1,0),(J4="x"))*(G4-IFERROR(H4,0))/IFERROR(IF(COUNTIF(J4:U4,"x")=0,COUNTA(Besatzung!$B$11:$B$22),COUNTIF(J4:U4,"x")),1)+IF(COUNTIF(J4:U4,"x")=0,(Besatzung!$F$11="x"),(J4="x")*(Besatzung!$F$11="x"))*IFERROR(H4,0)/IFERROR(IF(COUNTIF(J4:U4,"x")=0,SUMPRODUCT((Besatzung!$B$11:$B$22&lt;&gt;"")*(Besatzung!$F$11:$F$22="x")),SUMPRODUCT((J4:U4="x")*(Besatzung!$F$11:$F$22="x"))),1))))),0))))</f>
        <v/>
      </c>
      <c r="W4" s="247">
        <f>IF(C4="Gutschrift","",IF(G4="","",IF(Besatzung!$B$12="","",IFERROR(IF(I4="Zeitanteilig",(Besatzung!$G$12*(G4-IFERROR(H4,0))+((Besatzung!$B$12&lt;&gt;"")*IF(B4="",1,(IF(Besatzung!$C$12="",Besatzung!$B$5,Besatzung!$C$12)&lt;=B4)*(IF(Besatzung!$D$12="",Besatzung!$B$6,Besatzung!$D$12)&gt;=B4)))*(Besatzung!$F$12="x")*IFERROR(H4,0)/IFERROR(SUMPRODUCT((Besatzung!$B$11:$B$22&lt;&gt;"")*(Besatzung!$F$11:$F$22="x")*(IF(Besatzung!$C$11:$C$22="",Besatzung!$B$5,Besatzung!$C$11:$C$22)&lt;=B4)*(IF(Besatzung!$D$11:$D$22="",Besatzung!$B$6,Besatzung!$D$11:$D$22)&gt;=B4)),1)),IF(I4="An Bord",(((Besatzung!$B$12&lt;&gt;"")*IF(B4="",1,(IF(Besatzung!$C$12="",Besatzung!$B$5,Besatzung!$C$12)&lt;=B4)*(IF(Besatzung!$D$12="",Besatzung!$B$6,Besatzung!$D$12)&gt;=B4)))*((G4-IFERROR(H4,0))/IFERROR(SUMPRODUCT((Besatzung!$B$11:$B$22&lt;&gt;"")*(IF(Besatzung!$C$11:$C$22="",Besatzung!$B$5,Besatzung!$C$11:$C$22)&lt;=B4)*(IF(Besatzung!$D$11:$D$22="",Besatzung!$B$6,Besatzung!$D$11:$D$22)&gt;=B4)),1)+(Besatzung!$F$12="x")*IFERROR(H4,0)/IFERROR(SUMPRODUCT((Besatzung!$B$11:$B$22&lt;&gt;"")*(Besatzung!$F$11:$F$22="x")*(IF(Besatzung!$C$11:$C$22="",Besatzung!$B$5,Besatzung!$C$11:$C$22)&lt;=B4)*(IF(Besatzung!$D$11:$D$22="",Besatzung!$B$6,Besatzung!$D$11:$D$22)&gt;=B4)),1))),IF(I4="Individuell",((K4="x")*((G4-IFERROR(H4,0))/IFERROR(COUNTIF(J4:U4,"x"),1)+(Besatzung!$F$12="x")*IFERROR(H4,0)/IFERROR(SUMPRODUCT((J4:U4="x")*(Besatzung!$F$11:$F$22="x")),1))),(IF(COUNTIF(J4:U4,"x")=0,IF(Besatzung!$B$12&lt;&gt;"",1,0),(K4="x"))*(G4-IFERROR(H4,0))/IFERROR(IF(COUNTIF(J4:U4,"x")=0,COUNTA(Besatzung!$B$11:$B$22),COUNTIF(J4:U4,"x")),1)+IF(COUNTIF(J4:U4,"x")=0,(Besatzung!$F$12="x"),(K4="x")*(Besatzung!$F$12="x"))*IFERROR(H4,0)/IFERROR(IF(COUNTIF(J4:U4,"x")=0,SUMPRODUCT((Besatzung!$B$11:$B$22&lt;&gt;"")*(Besatzung!$F$11:$F$22="x")),SUMPRODUCT((J4:U4="x")*(Besatzung!$F$11:$F$22="x"))),1))))),0))))</f>
        <v/>
      </c>
      <c r="X4" s="247">
        <f>IF(C4="Gutschrift","",IF(G4="","",IF(Besatzung!$B$13="","",IFERROR(IF(I4="Zeitanteilig",(Besatzung!$G$13*(G4-IFERROR(H4,0))+((Besatzung!$B$13&lt;&gt;"")*IF(B4="",1,(IF(Besatzung!$C$13="",Besatzung!$B$5,Besatzung!$C$13)&lt;=B4)*(IF(Besatzung!$D$13="",Besatzung!$B$6,Besatzung!$D$13)&gt;=B4)))*(Besatzung!$F$13="x")*IFERROR(H4,0)/IFERROR(SUMPRODUCT((Besatzung!$B$11:$B$22&lt;&gt;"")*(Besatzung!$F$11:$F$22="x")*(IF(Besatzung!$C$11:$C$22="",Besatzung!$B$5,Besatzung!$C$11:$C$22)&lt;=B4)*(IF(Besatzung!$D$11:$D$22="",Besatzung!$B$6,Besatzung!$D$11:$D$22)&gt;=B4)),1)),IF(I4="An Bord",(((Besatzung!$B$13&lt;&gt;"")*IF(B4="",1,(IF(Besatzung!$C$13="",Besatzung!$B$5,Besatzung!$C$13)&lt;=B4)*(IF(Besatzung!$D$13="",Besatzung!$B$6,Besatzung!$D$13)&gt;=B4)))*((G4-IFERROR(H4,0))/IFERROR(SUMPRODUCT((Besatzung!$B$11:$B$22&lt;&gt;"")*(IF(Besatzung!$C$11:$C$22="",Besatzung!$B$5,Besatzung!$C$11:$C$22)&lt;=B4)*(IF(Besatzung!$D$11:$D$22="",Besatzung!$B$6,Besatzung!$D$11:$D$22)&gt;=B4)),1)+(Besatzung!$F$13="x")*IFERROR(H4,0)/IFERROR(SUMPRODUCT((Besatzung!$B$11:$B$22&lt;&gt;"")*(Besatzung!$F$11:$F$22="x")*(IF(Besatzung!$C$11:$C$22="",Besatzung!$B$5,Besatzung!$C$11:$C$22)&lt;=B4)*(IF(Besatzung!$D$11:$D$22="",Besatzung!$B$6,Besatzung!$D$11:$D$22)&gt;=B4)),1))),IF(I4="Individuell",((K4="x")*((G4-IFERROR(H4,0))/IFERROR(COUNTIF(J4:U4,"x"),1)+(Besatzung!$F$13="x")*IFERROR(H4,0)/IFERROR(SUMPRODUCT((J4:U4="x")*(Besatzung!$F$11:$F$22="x")),1))),(IF(COUNTIF(J4:U4,"x")=0,IF(Besatzung!$B$13&lt;&gt;"",1,0),(K4="x"))*(G4-IFERROR(H4,0))/IFERROR(IF(COUNTIF(J4:U4,"x")=0,COUNTA(Besatzung!$B$11:$B$22),COUNTIF(J4:U4,"x")),1)+IF(COUNTIF(J4:U4,"x")=0,(Besatzung!$F$13="x"),(K4="x")*(Besatzung!$F$13="x"))*IFERROR(H4,0)/IFERROR(IF(COUNTIF(J4:U4,"x")=0,SUMPRODUCT((Besatzung!$B$11:$B$22&lt;&gt;"")*(Besatzung!$F$11:$F$22="x")),SUMPRODUCT((J4:U4="x")*(Besatzung!$F$11:$F$22="x"))),1))))),0))))</f>
        <v/>
      </c>
      <c r="Y4" s="247">
        <f>IF(C4="Gutschrift","",IF(G4="","",IF(Besatzung!$B$14="","",IFERROR(IF(I4="Zeitanteilig",(Besatzung!$G$14*(G4-IFERROR(H4,0))+((Besatzung!$B$14&lt;&gt;"")*IF(B4="",1,(IF(Besatzung!$C$14="",Besatzung!$B$5,Besatzung!$C$14)&lt;=B4)*(IF(Besatzung!$D$14="",Besatzung!$B$6,Besatzung!$D$14)&gt;=B4)))*(Besatzung!$F$14="x")*IFERROR(H4,0)/IFERROR(SUMPRODUCT((Besatzung!$B$11:$B$22&lt;&gt;"")*(Besatzung!$F$11:$F$22="x")*(IF(Besatzung!$C$11:$C$22="",Besatzung!$B$5,Besatzung!$C$11:$C$22)&lt;=B4)*(IF(Besatzung!$D$11:$D$22="",Besatzung!$B$6,Besatzung!$D$11:$D$22)&gt;=B4)),1)),IF(I4="An Bord",(((Besatzung!$B$14&lt;&gt;"")*IF(B4="",1,(IF(Besatzung!$C$14="",Besatzung!$B$5,Besatzung!$C$14)&lt;=B4)*(IF(Besatzung!$D$14="",Besatzung!$B$6,Besatzung!$D$14)&gt;=B4)))*((G4-IFERROR(H4,0))/IFERROR(SUMPRODUCT((Besatzung!$B$11:$B$22&lt;&gt;"")*(IF(Besatzung!$C$11:$C$22="",Besatzung!$B$5,Besatzung!$C$11:$C$22)&lt;=B4)*(IF(Besatzung!$D$11:$D$22="",Besatzung!$B$6,Besatzung!$D$11:$D$22)&gt;=B4)),1)+(Besatzung!$F$14="x")*IFERROR(H4,0)/IFERROR(SUMPRODUCT((Besatzung!$B$11:$B$22&lt;&gt;"")*(Besatzung!$F$11:$F$22="x")*(IF(Besatzung!$C$11:$C$22="",Besatzung!$B$5,Besatzung!$C$11:$C$22)&lt;=B4)*(IF(Besatzung!$D$11:$D$22="",Besatzung!$B$6,Besatzung!$D$11:$D$22)&gt;=B4)),1))),IF(I4="Individuell",((M4="x")*((G4-IFERROR(H4,0))/IFERROR(COUNTIF(J4:U4,"x"),1)+(Besatzung!$F$14="x")*IFERROR(H4,0)/IFERROR(SUMPRODUCT((J4:U4="x")*(Besatzung!$F$11:$F$22="x")),1))),(IF(COUNTIF(J4:U4,"x")=0,IF(Besatzung!$B$14&lt;&gt;"",1,0),(M4="x"))*(G4-IFERROR(H4,0))/IFERROR(IF(COUNTIF(J4:U4,"x")=0,COUNTA(Besatzung!$B$11:$B$22),COUNTIF(J4:U4,"x")),1)+IF(COUNTIF(J4:U4,"x")=0,(Besatzung!$F$14="x"),(M4="x")*(Besatzung!$F$14="x"))*IFERROR(H4,0)/IFERROR(IF(COUNTIF(J4:U4,"x")=0,SUMPRODUCT((Besatzung!$B$11:$B$22&lt;&gt;"")*(Besatzung!$F$11:$F$22="x")),SUMPRODUCT((J4:U4="x")*(Besatzung!$F$11:$F$22="x"))),1))))),0))))</f>
        <v/>
      </c>
      <c r="Z4" s="247">
        <f>IF(C4="Gutschrift","",IF(G4="","",IF(Besatzung!$B$13="","",IFERROR(IF(I4="Zeitanteilig",(Besatzung!$G$15*(G4-IFERROR(H4,0))+((Besatzung!$B$13&lt;&gt;"")*IF(B4="",1,(IF(Besatzung!$C$15="",Besatzung!$B$5,Besatzung!$C$15)&lt;=B4)*(IF(Besatzung!$D$15="",Besatzung!$B$6,Besatzung!$D$15)&gt;=B4)))*(Besatzung!$F$15="x")*IFERROR(H4,0)/IFERROR(SUMPRODUCT((Besatzung!$B$11:$B$22&lt;&gt;"")*(Besatzung!$F$11:$F$22="x")*(IF(Besatzung!$C$11:$C$22="",Besatzung!$B$5,Besatzung!$C$11:$C$22)&lt;=B4)*(IF(Besatzung!$D$11:$D$22="",Besatzung!$B$6,Besatzung!$D$11:$D$22)&gt;=B4)),1)),IF(I4="An Bord",(((Besatzung!$B$13&lt;&gt;"")*IF(B4="",1,(IF(Besatzung!$C$15="",Besatzung!$B$5,Besatzung!$C$15)&lt;=B4)*(IF(Besatzung!$D$15="",Besatzung!$B$6,Besatzung!$D$15)&gt;=B4)))*((G4-IFERROR(H4,0))/IFERROR(SUMPRODUCT((Besatzung!$B$11:$B$22&lt;&gt;"")*(IF(Besatzung!$C$11:$C$22="",Besatzung!$B$5,Besatzung!$C$11:$C$22)&lt;=B4)*(IF(Besatzung!$D$11:$D$22="",Besatzung!$B$6,Besatzung!$D$11:$D$22)&gt;=B4)),1)+(Besatzung!$F$15="x")*IFERROR(H4,0)/IFERROR(SUMPRODUCT((Besatzung!$B$11:$B$22&lt;&gt;"")*(Besatzung!$F$11:$F$22="x")*(IF(Besatzung!$C$11:$C$22="",Besatzung!$B$5,Besatzung!$C$11:$C$22)&lt;=B4)*(IF(Besatzung!$D$11:$D$22="",Besatzung!$B$6,Besatzung!$D$11:$D$22)&gt;=B4)),1))),IF(I4="Individuell",((N4="x")*((G4-IFERROR(H4,0))/IFERROR(COUNTIF(J4:U4,"x"),1)+(Besatzung!$F$15="x")*IFERROR(H4,0)/IFERROR(SUMPRODUCT((J4:U4="x")*(Besatzung!$F$11:$F$22="x")),1))),(IF(COUNTIF(J4:U4,"x")=0,IF(Besatzung!$B$13&lt;&gt;"",1,0),(N4="x"))*(G4-IFERROR(H4,0))/IFERROR(IF(COUNTIF(J4:U4,"x")=0,COUNTA(Besatzung!$B$11:$B$22),COUNTIF(J4:U4,"x")),1)+IF(COUNTIF(J4:U4,"x")=0,(Besatzung!$F$15="x"),(N4="x")*(Besatzung!$F$15="x"))*IFERROR(H4,0)/IFERROR(IF(COUNTIF(J4:U4,"x")=0,SUMPRODUCT((Besatzung!$B$11:$B$22&lt;&gt;"")*(Besatzung!$F$11:$F$22="x")),SUMPRODUCT((J4:U4="x")*(Besatzung!$F$11:$F$22="x"))),1))))),0))))</f>
        <v/>
      </c>
      <c r="AA4" s="247">
        <f>IF(C4="Gutschrift","",IF(G4="","",IF(Besatzung!$B$15="","",IFERROR(IF(I4="Zeitanteilig",(Besatzung!$G$16*(G4-IFERROR(H4,0))+((Besatzung!$B$15&lt;&gt;"")*IF(B4="",1,(IF(Besatzung!$C$16="",Besatzung!$B$5,Besatzung!$C$16)&lt;=B4)*(IF(Besatzung!$D$16="",Besatzung!$B$6,Besatzung!$D$16)&gt;=B4)))*(Besatzung!$F$16="x")*IFERROR(H4,0)/IFERROR(SUMPRODUCT((Besatzung!$B$11:$B$22&lt;&gt;"")*(Besatzung!$F$11:$F$22="x")*(IF(Besatzung!$C$11:$C$22="",Besatzung!$B$5,Besatzung!$C$11:$C$22)&lt;=B4)*(IF(Besatzung!$D$11:$D$22="",Besatzung!$B$6,Besatzung!$D$11:$D$22)&gt;=B4)),1)),IF(I4="An Bord",(((Besatzung!$B$15&lt;&gt;"")*IF(B4="",1,(IF(Besatzung!$C$16="",Besatzung!$B$5,Besatzung!$C$16)&lt;=B4)*(IF(Besatzung!$D$16="",Besatzung!$B$6,Besatzung!$D$16)&gt;=B4)))*((G4-IFERROR(H4,0))/IFERROR(SUMPRODUCT((Besatzung!$B$11:$B$22&lt;&gt;"")*(IF(Besatzung!$C$11:$C$22="",Besatzung!$B$5,Besatzung!$C$11:$C$22)&lt;=B4)*(IF(Besatzung!$D$11:$D$22="",Besatzung!$B$6,Besatzung!$D$11:$D$22)&gt;=B4)),1)+(Besatzung!$F$16="x")*IFERROR(H4,0)/IFERROR(SUMPRODUCT((Besatzung!$B$11:$B$22&lt;&gt;"")*(Besatzung!$F$11:$F$22="x")*(IF(Besatzung!$C$11:$C$22="",Besatzung!$B$5,Besatzung!$C$11:$C$22)&lt;=B4)*(IF(Besatzung!$D$11:$D$22="",Besatzung!$B$6,Besatzung!$D$11:$D$22)&gt;=B4)),1))),IF(I4="Individuell",((O4="x")*((G4-IFERROR(H4,0))/IFERROR(COUNTIF(J4:U4,"x"),1)+(Besatzung!$F$16="x")*IFERROR(H4,0)/IFERROR(SUMPRODUCT((J4:U4="x")*(Besatzung!$F$11:$F$22="x")),1))),(IF(COUNTIF(J4:U4,"x")=0,IF(Besatzung!$B$15&lt;&gt;"",1,0),(O4="x"))*(G4-IFERROR(H4,0))/IFERROR(IF(COUNTIF(J4:U4,"x")=0,COUNTA(Besatzung!$B$11:$B$22),COUNTIF(J4:U4,"x")),1)+IF(COUNTIF(J4:U4,"x")=0,(Besatzung!$F$16="x"),(O4="x")*(Besatzung!$F$16="x"))*IFERROR(H4,0)/IFERROR(IF(COUNTIF(J4:U4,"x")=0,SUMPRODUCT((Besatzung!$B$11:$B$22&lt;&gt;"")*(Besatzung!$F$11:$F$22="x")),SUMPRODUCT((J4:U4="x")*(Besatzung!$F$11:$F$22="x"))),1))))),0))))</f>
        <v/>
      </c>
      <c r="AB4" s="247">
        <f>IF(C4="Gutschrift","",IF(G4="","",IF(Besatzung!$B$17="","",IFERROR(IF(I4="Zeitanteilig",(Besatzung!$G$17*(G4-IFERROR(H4,0))+((Besatzung!$B$17&lt;&gt;"")*IF(B4="",1,(IF(Besatzung!$C$17="",Besatzung!$B$5,Besatzung!$C$17)&lt;=B4)*(IF(Besatzung!$D$17="",Besatzung!$B$6,Besatzung!$D$17)&gt;=B4)))*(Besatzung!$F$17="x")*IFERROR(H4,0)/IFERROR(SUMPRODUCT((Besatzung!$B$11:$B$22&lt;&gt;"")*(Besatzung!$F$11:$F$22="x")*(IF(Besatzung!$C$11:$C$22="",Besatzung!$B$5,Besatzung!$C$11:$C$22)&lt;=B4)*(IF(Besatzung!$D$11:$D$22="",Besatzung!$B$6,Besatzung!$D$11:$D$22)&gt;=B4)),1)),IF(I4="An Bord",(((Besatzung!$B$17&lt;&gt;"")*IF(B4="",1,(IF(Besatzung!$C$17="",Besatzung!$B$5,Besatzung!$C$17)&lt;=B4)*(IF(Besatzung!$D$17="",Besatzung!$B$6,Besatzung!$D$17)&gt;=B4)))*((G4-IFERROR(H4,0))/IFERROR(SUMPRODUCT((Besatzung!$B$11:$B$22&lt;&gt;"")*(IF(Besatzung!$C$11:$C$22="",Besatzung!$B$5,Besatzung!$C$11:$C$22)&lt;=B4)*(IF(Besatzung!$D$11:$D$22="",Besatzung!$B$6,Besatzung!$D$11:$D$22)&gt;=B4)),1)+(Besatzung!$F$17="x")*IFERROR(H4,0)/IFERROR(SUMPRODUCT((Besatzung!$B$11:$B$22&lt;&gt;"")*(Besatzung!$F$11:$F$22="x")*(IF(Besatzung!$C$11:$C$22="",Besatzung!$B$5,Besatzung!$C$11:$C$22)&lt;=B4)*(IF(Besatzung!$D$11:$D$22="",Besatzung!$B$6,Besatzung!$D$11:$D$22)&gt;=B4)),1))),IF(I4="Individuell",((P4="x")*((G4-IFERROR(H4,0))/IFERROR(COUNTIF(J4:U4,"x"),1)+(Besatzung!$F$17="x")*IFERROR(H4,0)/IFERROR(SUMPRODUCT((J4:U4="x")*(Besatzung!$F$11:$F$22="x")),1))),(IF(COUNTIF(J4:U4,"x")=0,IF(Besatzung!$B$17&lt;&gt;"",1,0),(P4="x"))*(G4-IFERROR(H4,0))/IFERROR(IF(COUNTIF(J4:U4,"x")=0,COUNTA(Besatzung!$B$11:$B$22),COUNTIF(J4:U4,"x")),1)+IF(COUNTIF(J4:U4,"x")=0,(Besatzung!$F$17="x"),(P4="x")*(Besatzung!$F$17="x"))*IFERROR(H4,0)/IFERROR(IF(COUNTIF(J4:U4,"x")=0,SUMPRODUCT((Besatzung!$B$11:$B$22&lt;&gt;"")*(Besatzung!$F$11:$F$22="x")),SUMPRODUCT((J4:U4="x")*(Besatzung!$F$11:$F$22="x"))),1))))),0))))</f>
        <v/>
      </c>
      <c r="AC4" s="247">
        <f>IF(C4="Gutschrift","",IF(G4="","",IF(Besatzung!$B$18="","",IFERROR(IF(I4="Zeitanteilig",(Besatzung!$G$18*(G4-IFERROR(H4,0))+((Besatzung!$B$18&lt;&gt;"")*IF(B4="",1,(IF(Besatzung!$C$18="",Besatzung!$B$5,Besatzung!$C$18)&lt;=B4)*(IF(Besatzung!$D$18="",Besatzung!$B$6,Besatzung!$D$18)&gt;=B4)))*(Besatzung!$F$18="x")*IFERROR(H4,0)/IFERROR(SUMPRODUCT((Besatzung!$B$11:$B$22&lt;&gt;"")*(Besatzung!$F$11:$F$22="x")*(IF(Besatzung!$C$11:$C$22="",Besatzung!$B$5,Besatzung!$C$11:$C$22)&lt;=B4)*(IF(Besatzung!$D$11:$D$22="",Besatzung!$B$6,Besatzung!$D$11:$D$22)&gt;=B4)),1)),IF(I4="An Bord",(((Besatzung!$B$18&lt;&gt;"")*IF(B4="",1,(IF(Besatzung!$C$18="",Besatzung!$B$5,Besatzung!$C$18)&lt;=B4)*(IF(Besatzung!$D$18="",Besatzung!$B$6,Besatzung!$D$18)&gt;=B4)))*((G4-IFERROR(H4,0))/IFERROR(SUMPRODUCT((Besatzung!$B$11:$B$22&lt;&gt;"")*(IF(Besatzung!$C$11:$C$22="",Besatzung!$B$5,Besatzung!$C$11:$C$22)&lt;=B4)*(IF(Besatzung!$D$11:$D$22="",Besatzung!$B$6,Besatzung!$D$11:$D$22)&gt;=B4)),1)+(Besatzung!$F$18="x")*IFERROR(H4,0)/IFERROR(SUMPRODUCT((Besatzung!$B$11:$B$22&lt;&gt;"")*(Besatzung!$F$11:$F$22="x")*(IF(Besatzung!$C$11:$C$22="",Besatzung!$B$5,Besatzung!$C$11:$C$22)&lt;=B4)*(IF(Besatzung!$D$11:$D$22="",Besatzung!$B$6,Besatzung!$D$11:$D$22)&gt;=B4)),1))),IF(I4="Individuell",((Q4="x")*((G4-IFERROR(H4,0))/IFERROR(COUNTIF(J4:U4,"x"),1)+(Besatzung!$F$18="x")*IFERROR(H4,0)/IFERROR(SUMPRODUCT((J4:U4="x")*(Besatzung!$F$11:$F$22="x")),1))),(IF(COUNTIF(J4:U4,"x")=0,IF(Besatzung!$B$18&lt;&gt;"",1,0),(Q4="x"))*(G4-IFERROR(H4,0))/IFERROR(IF(COUNTIF(J4:U4,"x")=0,COUNTA(Besatzung!$B$11:$B$22),COUNTIF(J4:U4,"x")),1)+IF(COUNTIF(J4:U4,"x")=0,(Besatzung!$F$18="x"),(Q4="x")*(Besatzung!$F$18="x"))*IFERROR(H4,0)/IFERROR(IF(COUNTIF(J4:U4,"x")=0,SUMPRODUCT((Besatzung!$B$11:$B$22&lt;&gt;"")*(Besatzung!$F$11:$F$22="x")),SUMPRODUCT((J4:U4="x")*(Besatzung!$F$11:$F$22="x"))),1))))),0))))</f>
        <v/>
      </c>
      <c r="AD4" s="247">
        <f>IF(C4="Gutschrift","",IF(G4="","",IF(Besatzung!$B$19="","",IFERROR(IF(I4="Zeitanteilig",(Besatzung!$G$19*(G4-IFERROR(H4,0))+((Besatzung!$B$19&lt;&gt;"")*IF(B4="",1,(IF(Besatzung!$C$19="",Besatzung!$B$5,Besatzung!$C$19)&lt;=B4)*(IF(Besatzung!$D$19="",Besatzung!$B$6,Besatzung!$D$19)&gt;=B4)))*(Besatzung!$F$19="x")*IFERROR(H4,0)/IFERROR(SUMPRODUCT((Besatzung!$B$11:$B$22&lt;&gt;"")*(Besatzung!$F$11:$F$22="x")*(IF(Besatzung!$C$11:$C$22="",Besatzung!$B$5,Besatzung!$C$11:$C$22)&lt;=B4)*(IF(Besatzung!$D$11:$D$22="",Besatzung!$B$6,Besatzung!$D$11:$D$22)&gt;=B4)),1)),IF(I4="An Bord",(((Besatzung!$B$19&lt;&gt;"")*IF(B4="",1,(IF(Besatzung!$C$19="",Besatzung!$B$5,Besatzung!$C$19)&lt;=B4)*(IF(Besatzung!$D$19="",Besatzung!$B$6,Besatzung!$D$19)&gt;=B4)))*((G4-IFERROR(H4,0))/IFERROR(SUMPRODUCT((Besatzung!$B$11:$B$22&lt;&gt;"")*(IF(Besatzung!$C$11:$C$22="",Besatzung!$B$5,Besatzung!$C$11:$C$22)&lt;=B4)*(IF(Besatzung!$D$11:$D$22="",Besatzung!$B$6,Besatzung!$D$11:$D$22)&gt;=B4)),1)+(Besatzung!$F$19="x")*IFERROR(H4,0)/IFERROR(SUMPRODUCT((Besatzung!$B$11:$B$22&lt;&gt;"")*(Besatzung!$F$11:$F$22="x")*(IF(Besatzung!$C$11:$C$22="",Besatzung!$B$5,Besatzung!$C$11:$C$22)&lt;=B4)*(IF(Besatzung!$D$11:$D$22="",Besatzung!$B$6,Besatzung!$D$11:$D$22)&gt;=B4)),1))),IF(I4="Individuell",((R4="x")*((G4-IFERROR(H4,0))/IFERROR(COUNTIF(J4:U4,"x"),1)+(Besatzung!$F$19="x")*IFERROR(H4,0)/IFERROR(SUMPRODUCT((J4:U4="x")*(Besatzung!$F$11:$F$22="x")),1))),(IF(COUNTIF(J4:U4,"x")=0,IF(Besatzung!$B$19&lt;&gt;"",1,0),(R4="x"))*(G4-IFERROR(H4,0))/IFERROR(IF(COUNTIF(J4:U4,"x")=0,COUNTA(Besatzung!$B$11:$B$22),COUNTIF(J4:U4,"x")),1)+IF(COUNTIF(J4:U4,"x")=0,(Besatzung!$F$19="x"),(R4="x")*(Besatzung!$F$19="x"))*IFERROR(H4,0)/IFERROR(IF(COUNTIF(J4:U4,"x")=0,SUMPRODUCT((Besatzung!$B$11:$B$22&lt;&gt;"")*(Besatzung!$F$11:$F$22="x")),SUMPRODUCT((J4:U4="x")*(Besatzung!$F$11:$F$22="x"))),1))))),0))))</f>
        <v/>
      </c>
      <c r="AE4" s="247">
        <f>IF(C4="Gutschrift","",IF(G4="","",IF(Besatzung!$B$20="","",IFERROR(IF(I4="Zeitanteilig",(Besatzung!$G$20*(G4-IFERROR(H4,0))+((Besatzung!$B$20&lt;&gt;"")*IF(B4="",1,(IF(Besatzung!$C$20="",Besatzung!$B$5,Besatzung!$C$20)&lt;=B4)*(IF(Besatzung!$D$20="",Besatzung!$B$6,Besatzung!$D$20)&gt;=B4)))*(Besatzung!$F$20="x")*IFERROR(H4,0)/IFERROR(SUMPRODUCT((Besatzung!$B$11:$B$22&lt;&gt;"")*(Besatzung!$F$11:$F$22="x")*(IF(Besatzung!$C$11:$C$22="",Besatzung!$B$5,Besatzung!$C$11:$C$22)&lt;=B4)*(IF(Besatzung!$D$11:$D$22="",Besatzung!$B$6,Besatzung!$D$11:$D$22)&gt;=B4)),1)),IF(I4="An Bord",(((Besatzung!$B$20&lt;&gt;"")*IF(B4="",1,(IF(Besatzung!$C$20="",Besatzung!$B$5,Besatzung!$C$20)&lt;=B4)*(IF(Besatzung!$D$20="",Besatzung!$B$6,Besatzung!$D$20)&gt;=B4)))*((G4-IFERROR(H4,0))/IFERROR(SUMPRODUCT((Besatzung!$B$11:$B$22&lt;&gt;"")*(IF(Besatzung!$C$11:$C$22="",Besatzung!$B$5,Besatzung!$C$11:$C$22)&lt;=B4)*(IF(Besatzung!$D$11:$D$22="",Besatzung!$B$6,Besatzung!$D$11:$D$22)&gt;=B4)),1)+(Besatzung!$F$20="x")*IFERROR(H4,0)/IFERROR(SUMPRODUCT((Besatzung!$B$11:$B$22&lt;&gt;"")*(Besatzung!$F$11:$F$22="x")*(IF(Besatzung!$C$11:$C$22="",Besatzung!$B$5,Besatzung!$C$11:$C$22)&lt;=B4)*(IF(Besatzung!$D$11:$D$22="",Besatzung!$B$6,Besatzung!$D$11:$D$22)&gt;=B4)),1))),IF(I4="Individuell",((S4="x")*((G4-IFERROR(H4,0))/IFERROR(COUNTIF(J4:U4,"x"),1)+(Besatzung!$F$20="x")*IFERROR(H4,0)/IFERROR(SUMPRODUCT((J4:U4="x")*(Besatzung!$F$11:$F$22="x")),1))),(IF(COUNTIF(J4:U4,"x")=0,IF(Besatzung!$B$20&lt;&gt;"",1,0),(S4="x"))*(G4-IFERROR(H4,0))/IFERROR(IF(COUNTIF(J4:U4,"x")=0,COUNTA(Besatzung!$B$11:$B$22),COUNTIF(J4:U4,"x")),1)+IF(COUNTIF(J4:U4,"x")=0,(Besatzung!$F$20="x"),(S4="x")*(Besatzung!$F$20="x"))*IFERROR(H4,0)/IFERROR(IF(COUNTIF(J4:U4,"x")=0,SUMPRODUCT((Besatzung!$B$11:$B$22&lt;&gt;"")*(Besatzung!$F$11:$F$22="x")),SUMPRODUCT((J4:U4="x")*(Besatzung!$F$11:$F$22="x"))),1))))),0))))</f>
        <v/>
      </c>
      <c r="AF4" s="247">
        <f>IF(C4="Gutschrift","",IF(G4="","",IF(Besatzung!$B$21="","",IFERROR(IF(I4="Zeitanteilig",(Besatzung!$G$21*(G4-IFERROR(H4,0))+((Besatzung!$B$21&lt;&gt;"")*IF(B4="",1,(IF(Besatzung!$C$21="",Besatzung!$B$5,Besatzung!$C$21)&lt;=B4)*(IF(Besatzung!$D$21="",Besatzung!$B$6,Besatzung!$D$21)&gt;=B4)))*(Besatzung!$F$21="x")*IFERROR(H4,0)/IFERROR(SUMPRODUCT((Besatzung!$B$11:$B$22&lt;&gt;"")*(Besatzung!$F$11:$F$22="x")*(IF(Besatzung!$C$11:$C$22="",Besatzung!$B$5,Besatzung!$C$11:$C$22)&lt;=B4)*(IF(Besatzung!$D$11:$D$22="",Besatzung!$B$6,Besatzung!$D$11:$D$22)&gt;=B4)),1)),IF(I4="An Bord",(((Besatzung!$B$21&lt;&gt;"")*IF(B4="",1,(IF(Besatzung!$C$21="",Besatzung!$B$5,Besatzung!$C$21)&lt;=B4)*(IF(Besatzung!$D$21="",Besatzung!$B$6,Besatzung!$D$21)&gt;=B4)))*((G4-IFERROR(H4,0))/IFERROR(SUMPRODUCT((Besatzung!$B$11:$B$22&lt;&gt;"")*(IF(Besatzung!$C$11:$C$22="",Besatzung!$B$5,Besatzung!$C$11:$C$22)&lt;=B4)*(IF(Besatzung!$D$11:$D$22="",Besatzung!$B$6,Besatzung!$D$11:$D$22)&gt;=B4)),1)+(Besatzung!$F$21="x")*IFERROR(H4,0)/IFERROR(SUMPRODUCT((Besatzung!$B$11:$B$22&lt;&gt;"")*(Besatzung!$F$11:$F$22="x")*(IF(Besatzung!$C$11:$C$22="",Besatzung!$B$5,Besatzung!$C$11:$C$22)&lt;=B4)*(IF(Besatzung!$D$11:$D$22="",Besatzung!$B$6,Besatzung!$D$11:$D$22)&gt;=B4)),1))),IF(I4="Individuell",((T4="x")*((G4-IFERROR(H4,0))/IFERROR(COUNTIF(J4:U4,"x"),1)+(Besatzung!$F$21="x")*IFERROR(H4,0)/IFERROR(SUMPRODUCT((J4:U4="x")*(Besatzung!$F$11:$F$22="x")),1))),(IF(COUNTIF(J4:U4,"x")=0,IF(Besatzung!$B$21&lt;&gt;"",1,0),(T4="x"))*(G4-IFERROR(H4,0))/IFERROR(IF(COUNTIF(J4:U4,"x")=0,COUNTA(Besatzung!$B$11:$B$22),COUNTIF(J4:U4,"x")),1)+IF(COUNTIF(J4:U4,"x")=0,(Besatzung!$F$21="x"),(T4="x")*(Besatzung!$F$21="x"))*IFERROR(H4,0)/IFERROR(IF(COUNTIF(J4:U4,"x")=0,SUMPRODUCT((Besatzung!$B$11:$B$22&lt;&gt;"")*(Besatzung!$F$11:$F$22="x")),SUMPRODUCT((J4:U4="x")*(Besatzung!$F$11:$F$22="x"))),1))))),0))))</f>
        <v/>
      </c>
      <c r="AG4" s="247">
        <f>IF(C4="Gutschrift","",IF(G4="","",IF(Besatzung!$B$22="","",IFERROR(IF(I4="Zeitanteilig",(Besatzung!$G$22*(G4-IFERROR(H4,0))+((Besatzung!$B$22&lt;&gt;"")*IF(B4="",1,(IF(Besatzung!$C$22="",Besatzung!$B$5,Besatzung!$C$22)&lt;=B4)*(IF(Besatzung!$D$22="",Besatzung!$B$6,Besatzung!$D$22)&gt;=B4)))*(Besatzung!$F$22="x")*IFERROR(H4,0)/IFERROR(SUMPRODUCT((Besatzung!$B$11:$B$22&lt;&gt;"")*(Besatzung!$F$11:$F$22="x")*(IF(Besatzung!$C$11:$C$22="",Besatzung!$B$5,Besatzung!$C$11:$C$22)&lt;=B4)*(IF(Besatzung!$D$11:$D$22="",Besatzung!$B$6,Besatzung!$D$11:$D$22)&gt;=B4)),1)),IF(I4="An Bord",(((Besatzung!$B$22&lt;&gt;"")*IF(B4="",1,(IF(Besatzung!$C$22="",Besatzung!$B$5,Besatzung!$C$22)&lt;=B4)*(IF(Besatzung!$D$22="",Besatzung!$B$6,Besatzung!$D$22)&gt;=B4)))*((G4-IFERROR(H4,0))/IFERROR(SUMPRODUCT((Besatzung!$B$11:$B$22&lt;&gt;"")*(IF(Besatzung!$C$11:$C$22="",Besatzung!$B$5,Besatzung!$C$11:$C$22)&lt;=B4)*(IF(Besatzung!$D$11:$D$22="",Besatzung!$B$6,Besatzung!$D$11:$D$22)&gt;=B4)),1)+(Besatzung!$F$22="x")*IFERROR(H4,0)/IFERROR(SUMPRODUCT((Besatzung!$B$11:$B$22&lt;&gt;"")*(Besatzung!$F$11:$F$22="x")*(IF(Besatzung!$C$11:$C$22="",Besatzung!$B$5,Besatzung!$C$11:$C$22)&lt;=B4)*(IF(Besatzung!$D$11:$D$22="",Besatzung!$B$6,Besatzung!$D$11:$D$22)&gt;=B4)),1))),IF(I4="Individuell",((U4="x")*((G4-IFERROR(H4,0))/IFERROR(COUNTIF(J4:U4,"x"),1)+(Besatzung!$F$22="x")*IFERROR(H4,0)/IFERROR(SUMPRODUCT((J4:U4="x")*(Besatzung!$F$11:$F$22="x")),1))),(IF(COUNTIF(J4:U4,"x")=0,IF(Besatzung!$B$22&lt;&gt;"",1,0),(U4="x"))*(G4-IFERROR(H4,0))/IFERROR(IF(COUNTIF(J4:U4,"x")=0,COUNTA(Besatzung!$B$11:$B$22),COUNTIF(J4:U4,"x")),1)+IF(COUNTIF(J4:U4,"x")=0,(Besatzung!$F$22="x"),(U4="x")*(Besatzung!$F$22="x"))*IFERROR(H4,0)/IFERROR(IF(COUNTIF(J4:U4,"x")=0,SUMPRODUCT((Besatzung!$B$11:$B$22&lt;&gt;"")*(Besatzung!$F$11:$F$22="x")),SUMPRODUCT((J4:U4="x")*(Besatzung!$F$11:$F$22="x"))),1))))),0))))</f>
        <v/>
      </c>
      <c r="AH4" s="248" t="n"/>
      <c r="AI4" s="248" t="n"/>
    </row>
    <row r="5" ht="21.75" customHeight="1" s="154">
      <c r="A5" s="238">
        <f>IF(AND(D5="",C5=""),"",2)</f>
        <v/>
      </c>
      <c r="B5" s="206" t="n"/>
      <c r="C5" s="249" t="n"/>
      <c r="D5" s="250" t="n"/>
      <c r="E5" s="251" t="n"/>
      <c r="F5" s="252" t="n"/>
      <c r="G5" s="253" t="n"/>
      <c r="H5" s="254" t="n"/>
      <c r="I5" s="255" t="n"/>
      <c r="J5" s="256" t="n"/>
      <c r="K5" s="256" t="n"/>
      <c r="L5" s="256" t="n"/>
      <c r="M5" s="256" t="n"/>
      <c r="N5" s="256" t="n"/>
      <c r="O5" s="256" t="n"/>
      <c r="P5" s="256" t="n"/>
      <c r="Q5" s="256" t="n"/>
      <c r="R5" s="256" t="n"/>
      <c r="S5" s="256" t="n"/>
      <c r="T5" s="256" t="n"/>
      <c r="U5" s="256" t="n"/>
      <c r="V5" s="247">
        <f>IF(C5="Gutschrift","",IF(G5="","",IF(Besatzung!$B$11="","",IFERROR(IF(I5="Zeitanteilig",(Besatzung!$G$11*(G5-IFERROR(H5,0))+((Besatzung!$B$11&lt;&gt;"")*IF(B5="",1,(IF(Besatzung!$C$11="",Besatzung!$B$5,Besatzung!$C$11)&lt;=B5)*(IF(Besatzung!$D$11="",Besatzung!$B$6,Besatzung!$D$11)&gt;=B5)))*(Besatzung!$F$11="x")*IFERROR(H5,0)/IFERROR(SUMPRODUCT((Besatzung!$B$11:$B$22&lt;&gt;"")*(Besatzung!$F$11:$F$22="x")*(IF(Besatzung!$C$11:$C$22="",Besatzung!$B$5,Besatzung!$C$11:$C$22)&lt;=B5)*(IF(Besatzung!$D$11:$D$22="",Besatzung!$B$6,Besatzung!$D$11:$D$22)&gt;=B5)),1)),IF(I5="An Bord",(((Besatzung!$B$11&lt;&gt;"")*IF(B5="",1,(IF(Besatzung!$C$11="",Besatzung!$B$5,Besatzung!$C$11)&lt;=B5)*(IF(Besatzung!$D$11="",Besatzung!$B$6,Besatzung!$D$11)&gt;=B5)))*((G5-IFERROR(H5,0))/IFERROR(SUMPRODUCT((Besatzung!$B$11:$B$22&lt;&gt;"")*(IF(Besatzung!$C$11:$C$22="",Besatzung!$B$5,Besatzung!$C$11:$C$22)&lt;=B5)*(IF(Besatzung!$D$11:$D$22="",Besatzung!$B$6,Besatzung!$D$11:$D$22)&gt;=B5)),1)+(Besatzung!$F$11="x")*IFERROR(H5,0)/IFERROR(SUMPRODUCT((Besatzung!$B$11:$B$22&lt;&gt;"")*(Besatzung!$F$11:$F$22="x")*(IF(Besatzung!$C$11:$C$22="",Besatzung!$B$5,Besatzung!$C$11:$C$22)&lt;=B5)*(IF(Besatzung!$D$11:$D$22="",Besatzung!$B$6,Besatzung!$D$11:$D$22)&gt;=B5)),1))),IF(I5="Individuell",((J5="x")*((G5-IFERROR(H5,0))/IFERROR(COUNTIF(J5:U5,"x"),1)+(Besatzung!$F$11="x")*IFERROR(H5,0)/IFERROR(SUMPRODUCT((J5:U5="x")*(Besatzung!$F$11:$F$22="x")),1))),(IF(COUNTIF(J5:U5,"x")=0,IF(Besatzung!$B$11&lt;&gt;"",1,0),(J5="x"))*(G5-IFERROR(H5,0))/IFERROR(IF(COUNTIF(J5:U5,"x")=0,COUNTA(Besatzung!$B$11:$B$22),COUNTIF(J5:U5,"x")),1)+IF(COUNTIF(J5:U5,"x")=0,(Besatzung!$F$11="x"),(J5="x")*(Besatzung!$F$11="x"))*IFERROR(H5,0)/IFERROR(IF(COUNTIF(J5:U5,"x")=0,SUMPRODUCT((Besatzung!$B$11:$B$22&lt;&gt;"")*(Besatzung!$F$11:$F$22="x")),SUMPRODUCT((J5:U5="x")*(Besatzung!$F$11:$F$22="x"))),1))))),0))))</f>
        <v/>
      </c>
      <c r="W5" s="247">
        <f>IF(C5="Gutschrift","",IF(G5="","",IF(Besatzung!$B$12="","",IFERROR(IF(I5="Zeitanteilig",(Besatzung!$G$12*(G5-IFERROR(H5,0))+((Besatzung!$B$12&lt;&gt;"")*IF(B5="",1,(IF(Besatzung!$C$12="",Besatzung!$B$5,Besatzung!$C$12)&lt;=B5)*(IF(Besatzung!$D$12="",Besatzung!$B$6,Besatzung!$D$12)&gt;=B5)))*(Besatzung!$F$12="x")*IFERROR(H5,0)/IFERROR(SUMPRODUCT((Besatzung!$B$11:$B$22&lt;&gt;"")*(Besatzung!$F$11:$F$22="x")*(IF(Besatzung!$C$11:$C$22="",Besatzung!$B$5,Besatzung!$C$11:$C$22)&lt;=B5)*(IF(Besatzung!$D$11:$D$22="",Besatzung!$B$6,Besatzung!$D$11:$D$22)&gt;=B5)),1)),IF(I5="An Bord",(((Besatzung!$B$12&lt;&gt;"")*IF(B5="",1,(IF(Besatzung!$C$12="",Besatzung!$B$5,Besatzung!$C$12)&lt;=B5)*(IF(Besatzung!$D$12="",Besatzung!$B$6,Besatzung!$D$12)&gt;=B5)))*((G5-IFERROR(H5,0))/IFERROR(SUMPRODUCT((Besatzung!$B$11:$B$22&lt;&gt;"")*(IF(Besatzung!$C$11:$C$22="",Besatzung!$B$5,Besatzung!$C$11:$C$22)&lt;=B5)*(IF(Besatzung!$D$11:$D$22="",Besatzung!$B$6,Besatzung!$D$11:$D$22)&gt;=B5)),1)+(Besatzung!$F$12="x")*IFERROR(H5,0)/IFERROR(SUMPRODUCT((Besatzung!$B$11:$B$22&lt;&gt;"")*(Besatzung!$F$11:$F$22="x")*(IF(Besatzung!$C$11:$C$22="",Besatzung!$B$5,Besatzung!$C$11:$C$22)&lt;=B5)*(IF(Besatzung!$D$11:$D$22="",Besatzung!$B$6,Besatzung!$D$11:$D$22)&gt;=B5)),1))),IF(I5="Individuell",((K5="x")*((G5-IFERROR(H5,0))/IFERROR(COUNTIF(J5:U5,"x"),1)+(Besatzung!$F$12="x")*IFERROR(H5,0)/IFERROR(SUMPRODUCT((J5:U5="x")*(Besatzung!$F$11:$F$22="x")),1))),(IF(COUNTIF(J5:U5,"x")=0,IF(Besatzung!$B$12&lt;&gt;"",1,0),(K5="x"))*(G5-IFERROR(H5,0))/IFERROR(IF(COUNTIF(J5:U5,"x")=0,COUNTA(Besatzung!$B$11:$B$22),COUNTIF(J5:U5,"x")),1)+IF(COUNTIF(J5:U5,"x")=0,(Besatzung!$F$12="x"),(K5="x")*(Besatzung!$F$12="x"))*IFERROR(H5,0)/IFERROR(IF(COUNTIF(J5:U5,"x")=0,SUMPRODUCT((Besatzung!$B$11:$B$22&lt;&gt;"")*(Besatzung!$F$11:$F$22="x")),SUMPRODUCT((J5:U5="x")*(Besatzung!$F$11:$F$22="x"))),1))))),0))))</f>
        <v/>
      </c>
      <c r="X5" s="247">
        <f>IF(C5="Gutschrift","",IF(G5="","",IF(Besatzung!$B$13="","",IFERROR(IF(I5="Zeitanteilig",(Besatzung!$G$13*(G5-IFERROR(H5,0))+((Besatzung!$B$13&lt;&gt;"")*IF(B5="",1,(IF(Besatzung!$C$13="",Besatzung!$B$5,Besatzung!$C$13)&lt;=B5)*(IF(Besatzung!$D$13="",Besatzung!$B$6,Besatzung!$D$13)&gt;=B5)))*(Besatzung!$F$13="x")*IFERROR(H5,0)/IFERROR(SUMPRODUCT((Besatzung!$B$11:$B$22&lt;&gt;"")*(Besatzung!$F$11:$F$22="x")*(IF(Besatzung!$C$11:$C$22="",Besatzung!$B$5,Besatzung!$C$11:$C$22)&lt;=B5)*(IF(Besatzung!$D$11:$D$22="",Besatzung!$B$6,Besatzung!$D$11:$D$22)&gt;=B5)),1)),IF(I5="An Bord",(((Besatzung!$B$13&lt;&gt;"")*IF(B5="",1,(IF(Besatzung!$C$13="",Besatzung!$B$5,Besatzung!$C$13)&lt;=B5)*(IF(Besatzung!$D$13="",Besatzung!$B$6,Besatzung!$D$13)&gt;=B5)))*((G5-IFERROR(H5,0))/IFERROR(SUMPRODUCT((Besatzung!$B$11:$B$22&lt;&gt;"")*(IF(Besatzung!$C$11:$C$22="",Besatzung!$B$5,Besatzung!$C$11:$C$22)&lt;=B5)*(IF(Besatzung!$D$11:$D$22="",Besatzung!$B$6,Besatzung!$D$11:$D$22)&gt;=B5)),1)+(Besatzung!$F$13="x")*IFERROR(H5,0)/IFERROR(SUMPRODUCT((Besatzung!$B$11:$B$22&lt;&gt;"")*(Besatzung!$F$11:$F$22="x")*(IF(Besatzung!$C$11:$C$22="",Besatzung!$B$5,Besatzung!$C$11:$C$22)&lt;=B5)*(IF(Besatzung!$D$11:$D$22="",Besatzung!$B$6,Besatzung!$D$11:$D$22)&gt;=B5)),1))),IF(I5="Individuell",((K5="x")*((G5-IFERROR(H5,0))/IFERROR(COUNTIF(J5:U5,"x"),1)+(Besatzung!$F$13="x")*IFERROR(H5,0)/IFERROR(SUMPRODUCT((J5:U5="x")*(Besatzung!$F$11:$F$22="x")),1))),(IF(COUNTIF(J5:U5,"x")=0,IF(Besatzung!$B$13&lt;&gt;"",1,0),(K5="x"))*(G5-IFERROR(H5,0))/IFERROR(IF(COUNTIF(J5:U5,"x")=0,COUNTA(Besatzung!$B$11:$B$22),COUNTIF(J5:U5,"x")),1)+IF(COUNTIF(J5:U5,"x")=0,(Besatzung!$F$13="x"),(K5="x")*(Besatzung!$F$13="x"))*IFERROR(H5,0)/IFERROR(IF(COUNTIF(J5:U5,"x")=0,SUMPRODUCT((Besatzung!$B$11:$B$22&lt;&gt;"")*(Besatzung!$F$11:$F$22="x")),SUMPRODUCT((J5:U5="x")*(Besatzung!$F$11:$F$22="x"))),1))))),0))))</f>
        <v/>
      </c>
      <c r="Y5" s="247">
        <f>IF(C5="Gutschrift","",IF(G5="","",IF(Besatzung!$B$14="","",IFERROR(IF(I5="Zeitanteilig",(Besatzung!$G$14*(G5-IFERROR(H5,0))+((Besatzung!$B$14&lt;&gt;"")*IF(B5="",1,(IF(Besatzung!$C$14="",Besatzung!$B$5,Besatzung!$C$14)&lt;=B5)*(IF(Besatzung!$D$14="",Besatzung!$B$6,Besatzung!$D$14)&gt;=B5)))*(Besatzung!$F$14="x")*IFERROR(H5,0)/IFERROR(SUMPRODUCT((Besatzung!$B$11:$B$22&lt;&gt;"")*(Besatzung!$F$11:$F$22="x")*(IF(Besatzung!$C$11:$C$22="",Besatzung!$B$5,Besatzung!$C$11:$C$22)&lt;=B5)*(IF(Besatzung!$D$11:$D$22="",Besatzung!$B$6,Besatzung!$D$11:$D$22)&gt;=B5)),1)),IF(I5="An Bord",(((Besatzung!$B$14&lt;&gt;"")*IF(B5="",1,(IF(Besatzung!$C$14="",Besatzung!$B$5,Besatzung!$C$14)&lt;=B5)*(IF(Besatzung!$D$14="",Besatzung!$B$6,Besatzung!$D$14)&gt;=B5)))*((G5-IFERROR(H5,0))/IFERROR(SUMPRODUCT((Besatzung!$B$11:$B$22&lt;&gt;"")*(IF(Besatzung!$C$11:$C$22="",Besatzung!$B$5,Besatzung!$C$11:$C$22)&lt;=B5)*(IF(Besatzung!$D$11:$D$22="",Besatzung!$B$6,Besatzung!$D$11:$D$22)&gt;=B5)),1)+(Besatzung!$F$14="x")*IFERROR(H5,0)/IFERROR(SUMPRODUCT((Besatzung!$B$11:$B$22&lt;&gt;"")*(Besatzung!$F$11:$F$22="x")*(IF(Besatzung!$C$11:$C$22="",Besatzung!$B$5,Besatzung!$C$11:$C$22)&lt;=B5)*(IF(Besatzung!$D$11:$D$22="",Besatzung!$B$6,Besatzung!$D$11:$D$22)&gt;=B5)),1))),IF(I5="Individuell",((M5="x")*((G5-IFERROR(H5,0))/IFERROR(COUNTIF(J5:U5,"x"),1)+(Besatzung!$F$14="x")*IFERROR(H5,0)/IFERROR(SUMPRODUCT((J5:U5="x")*(Besatzung!$F$11:$F$22="x")),1))),(IF(COUNTIF(J5:U5,"x")=0,IF(Besatzung!$B$14&lt;&gt;"",1,0),(M5="x"))*(G5-IFERROR(H5,0))/IFERROR(IF(COUNTIF(J5:U5,"x")=0,COUNTA(Besatzung!$B$11:$B$22),COUNTIF(J5:U5,"x")),1)+IF(COUNTIF(J5:U5,"x")=0,(Besatzung!$F$14="x"),(M5="x")*(Besatzung!$F$14="x"))*IFERROR(H5,0)/IFERROR(IF(COUNTIF(J5:U5,"x")=0,SUMPRODUCT((Besatzung!$B$11:$B$22&lt;&gt;"")*(Besatzung!$F$11:$F$22="x")),SUMPRODUCT((J5:U5="x")*(Besatzung!$F$11:$F$22="x"))),1))))),0))))</f>
        <v/>
      </c>
      <c r="Z5" s="247">
        <f>IF(C5="Gutschrift","",IF(G5="","",IF(Besatzung!$B$13="","",IFERROR(IF(I5="Zeitanteilig",(Besatzung!$G$15*(G5-IFERROR(H5,0))+((Besatzung!$B$13&lt;&gt;"")*IF(B5="",1,(IF(Besatzung!$C$15="",Besatzung!$B$5,Besatzung!$C$15)&lt;=B5)*(IF(Besatzung!$D$15="",Besatzung!$B$6,Besatzung!$D$15)&gt;=B5)))*(Besatzung!$F$15="x")*IFERROR(H5,0)/IFERROR(SUMPRODUCT((Besatzung!$B$11:$B$22&lt;&gt;"")*(Besatzung!$F$11:$F$22="x")*(IF(Besatzung!$C$11:$C$22="",Besatzung!$B$5,Besatzung!$C$11:$C$22)&lt;=B5)*(IF(Besatzung!$D$11:$D$22="",Besatzung!$B$6,Besatzung!$D$11:$D$22)&gt;=B5)),1)),IF(I5="An Bord",(((Besatzung!$B$13&lt;&gt;"")*IF(B5="",1,(IF(Besatzung!$C$15="",Besatzung!$B$5,Besatzung!$C$15)&lt;=B5)*(IF(Besatzung!$D$15="",Besatzung!$B$6,Besatzung!$D$15)&gt;=B5)))*((G5-IFERROR(H5,0))/IFERROR(SUMPRODUCT((Besatzung!$B$11:$B$22&lt;&gt;"")*(IF(Besatzung!$C$11:$C$22="",Besatzung!$B$5,Besatzung!$C$11:$C$22)&lt;=B5)*(IF(Besatzung!$D$11:$D$22="",Besatzung!$B$6,Besatzung!$D$11:$D$22)&gt;=B5)),1)+(Besatzung!$F$15="x")*IFERROR(H5,0)/IFERROR(SUMPRODUCT((Besatzung!$B$11:$B$22&lt;&gt;"")*(Besatzung!$F$11:$F$22="x")*(IF(Besatzung!$C$11:$C$22="",Besatzung!$B$5,Besatzung!$C$11:$C$22)&lt;=B5)*(IF(Besatzung!$D$11:$D$22="",Besatzung!$B$6,Besatzung!$D$11:$D$22)&gt;=B5)),1))),IF(I5="Individuell",((N5="x")*((G5-IFERROR(H5,0))/IFERROR(COUNTIF(J5:U5,"x"),1)+(Besatzung!$F$15="x")*IFERROR(H5,0)/IFERROR(SUMPRODUCT((J5:U5="x")*(Besatzung!$F$11:$F$22="x")),1))),(IF(COUNTIF(J5:U5,"x")=0,IF(Besatzung!$B$13&lt;&gt;"",1,0),(N5="x"))*(G5-IFERROR(H5,0))/IFERROR(IF(COUNTIF(J5:U5,"x")=0,COUNTA(Besatzung!$B$11:$B$22),COUNTIF(J5:U5,"x")),1)+IF(COUNTIF(J5:U5,"x")=0,(Besatzung!$F$15="x"),(N5="x")*(Besatzung!$F$15="x"))*IFERROR(H5,0)/IFERROR(IF(COUNTIF(J5:U5,"x")=0,SUMPRODUCT((Besatzung!$B$11:$B$22&lt;&gt;"")*(Besatzung!$F$11:$F$22="x")),SUMPRODUCT((J5:U5="x")*(Besatzung!$F$11:$F$22="x"))),1))))),0))))</f>
        <v/>
      </c>
      <c r="AA5" s="247">
        <f>IF(C5="Gutschrift","",IF(G5="","",IF(Besatzung!$B$15="","",IFERROR(IF(I5="Zeitanteilig",(Besatzung!$G$16*(G5-IFERROR(H5,0))+((Besatzung!$B$15&lt;&gt;"")*IF(B5="",1,(IF(Besatzung!$C$16="",Besatzung!$B$5,Besatzung!$C$16)&lt;=B5)*(IF(Besatzung!$D$16="",Besatzung!$B$6,Besatzung!$D$16)&gt;=B5)))*(Besatzung!$F$16="x")*IFERROR(H5,0)/IFERROR(SUMPRODUCT((Besatzung!$B$11:$B$22&lt;&gt;"")*(Besatzung!$F$11:$F$22="x")*(IF(Besatzung!$C$11:$C$22="",Besatzung!$B$5,Besatzung!$C$11:$C$22)&lt;=B5)*(IF(Besatzung!$D$11:$D$22="",Besatzung!$B$6,Besatzung!$D$11:$D$22)&gt;=B5)),1)),IF(I5="An Bord",(((Besatzung!$B$15&lt;&gt;"")*IF(B5="",1,(IF(Besatzung!$C$16="",Besatzung!$B$5,Besatzung!$C$16)&lt;=B5)*(IF(Besatzung!$D$16="",Besatzung!$B$6,Besatzung!$D$16)&gt;=B5)))*((G5-IFERROR(H5,0))/IFERROR(SUMPRODUCT((Besatzung!$B$11:$B$22&lt;&gt;"")*(IF(Besatzung!$C$11:$C$22="",Besatzung!$B$5,Besatzung!$C$11:$C$22)&lt;=B5)*(IF(Besatzung!$D$11:$D$22="",Besatzung!$B$6,Besatzung!$D$11:$D$22)&gt;=B5)),1)+(Besatzung!$F$16="x")*IFERROR(H5,0)/IFERROR(SUMPRODUCT((Besatzung!$B$11:$B$22&lt;&gt;"")*(Besatzung!$F$11:$F$22="x")*(IF(Besatzung!$C$11:$C$22="",Besatzung!$B$5,Besatzung!$C$11:$C$22)&lt;=B5)*(IF(Besatzung!$D$11:$D$22="",Besatzung!$B$6,Besatzung!$D$11:$D$22)&gt;=B5)),1))),IF(I5="Individuell",((O5="x")*((G5-IFERROR(H5,0))/IFERROR(COUNTIF(J5:U5,"x"),1)+(Besatzung!$F$16="x")*IFERROR(H5,0)/IFERROR(SUMPRODUCT((J5:U5="x")*(Besatzung!$F$11:$F$22="x")),1))),(IF(COUNTIF(J5:U5,"x")=0,IF(Besatzung!$B$15&lt;&gt;"",1,0),(O5="x"))*(G5-IFERROR(H5,0))/IFERROR(IF(COUNTIF(J5:U5,"x")=0,COUNTA(Besatzung!$B$11:$B$22),COUNTIF(J5:U5,"x")),1)+IF(COUNTIF(J5:U5,"x")=0,(Besatzung!$F$16="x"),(O5="x")*(Besatzung!$F$16="x"))*IFERROR(H5,0)/IFERROR(IF(COUNTIF(J5:U5,"x")=0,SUMPRODUCT((Besatzung!$B$11:$B$22&lt;&gt;"")*(Besatzung!$F$11:$F$22="x")),SUMPRODUCT((J5:U5="x")*(Besatzung!$F$11:$F$22="x"))),1))))),0))))</f>
        <v/>
      </c>
      <c r="AB5" s="247">
        <f>IF(C5="Gutschrift","",IF(G5="","",IF(Besatzung!$B$17="","",IFERROR(IF(I5="Zeitanteilig",(Besatzung!$G$17*(G5-IFERROR(H5,0))+((Besatzung!$B$17&lt;&gt;"")*IF(B5="",1,(IF(Besatzung!$C$17="",Besatzung!$B$5,Besatzung!$C$17)&lt;=B5)*(IF(Besatzung!$D$17="",Besatzung!$B$6,Besatzung!$D$17)&gt;=B5)))*(Besatzung!$F$17="x")*IFERROR(H5,0)/IFERROR(SUMPRODUCT((Besatzung!$B$11:$B$22&lt;&gt;"")*(Besatzung!$F$11:$F$22="x")*(IF(Besatzung!$C$11:$C$22="",Besatzung!$B$5,Besatzung!$C$11:$C$22)&lt;=B5)*(IF(Besatzung!$D$11:$D$22="",Besatzung!$B$6,Besatzung!$D$11:$D$22)&gt;=B5)),1)),IF(I5="An Bord",(((Besatzung!$B$17&lt;&gt;"")*IF(B5="",1,(IF(Besatzung!$C$17="",Besatzung!$B$5,Besatzung!$C$17)&lt;=B5)*(IF(Besatzung!$D$17="",Besatzung!$B$6,Besatzung!$D$17)&gt;=B5)))*((G5-IFERROR(H5,0))/IFERROR(SUMPRODUCT((Besatzung!$B$11:$B$22&lt;&gt;"")*(IF(Besatzung!$C$11:$C$22="",Besatzung!$B$5,Besatzung!$C$11:$C$22)&lt;=B5)*(IF(Besatzung!$D$11:$D$22="",Besatzung!$B$6,Besatzung!$D$11:$D$22)&gt;=B5)),1)+(Besatzung!$F$17="x")*IFERROR(H5,0)/IFERROR(SUMPRODUCT((Besatzung!$B$11:$B$22&lt;&gt;"")*(Besatzung!$F$11:$F$22="x")*(IF(Besatzung!$C$11:$C$22="",Besatzung!$B$5,Besatzung!$C$11:$C$22)&lt;=B5)*(IF(Besatzung!$D$11:$D$22="",Besatzung!$B$6,Besatzung!$D$11:$D$22)&gt;=B5)),1))),IF(I5="Individuell",((P5="x")*((G5-IFERROR(H5,0))/IFERROR(COUNTIF(J5:U5,"x"),1)+(Besatzung!$F$17="x")*IFERROR(H5,0)/IFERROR(SUMPRODUCT((J5:U5="x")*(Besatzung!$F$11:$F$22="x")),1))),(IF(COUNTIF(J5:U5,"x")=0,IF(Besatzung!$B$17&lt;&gt;"",1,0),(P5="x"))*(G5-IFERROR(H5,0))/IFERROR(IF(COUNTIF(J5:U5,"x")=0,COUNTA(Besatzung!$B$11:$B$22),COUNTIF(J5:U5,"x")),1)+IF(COUNTIF(J5:U5,"x")=0,(Besatzung!$F$17="x"),(P5="x")*(Besatzung!$F$17="x"))*IFERROR(H5,0)/IFERROR(IF(COUNTIF(J5:U5,"x")=0,SUMPRODUCT((Besatzung!$B$11:$B$22&lt;&gt;"")*(Besatzung!$F$11:$F$22="x")),SUMPRODUCT((J5:U5="x")*(Besatzung!$F$11:$F$22="x"))),1))))),0))))</f>
        <v/>
      </c>
      <c r="AC5" s="247">
        <f>IF(C5="Gutschrift","",IF(G5="","",IF(Besatzung!$B$18="","",IFERROR(IF(I5="Zeitanteilig",(Besatzung!$G$18*(G5-IFERROR(H5,0))+((Besatzung!$B$18&lt;&gt;"")*IF(B5="",1,(IF(Besatzung!$C$18="",Besatzung!$B$5,Besatzung!$C$18)&lt;=B5)*(IF(Besatzung!$D$18="",Besatzung!$B$6,Besatzung!$D$18)&gt;=B5)))*(Besatzung!$F$18="x")*IFERROR(H5,0)/IFERROR(SUMPRODUCT((Besatzung!$B$11:$B$22&lt;&gt;"")*(Besatzung!$F$11:$F$22="x")*(IF(Besatzung!$C$11:$C$22="",Besatzung!$B$5,Besatzung!$C$11:$C$22)&lt;=B5)*(IF(Besatzung!$D$11:$D$22="",Besatzung!$B$6,Besatzung!$D$11:$D$22)&gt;=B5)),1)),IF(I5="An Bord",(((Besatzung!$B$18&lt;&gt;"")*IF(B5="",1,(IF(Besatzung!$C$18="",Besatzung!$B$5,Besatzung!$C$18)&lt;=B5)*(IF(Besatzung!$D$18="",Besatzung!$B$6,Besatzung!$D$18)&gt;=B5)))*((G5-IFERROR(H5,0))/IFERROR(SUMPRODUCT((Besatzung!$B$11:$B$22&lt;&gt;"")*(IF(Besatzung!$C$11:$C$22="",Besatzung!$B$5,Besatzung!$C$11:$C$22)&lt;=B5)*(IF(Besatzung!$D$11:$D$22="",Besatzung!$B$6,Besatzung!$D$11:$D$22)&gt;=B5)),1)+(Besatzung!$F$18="x")*IFERROR(H5,0)/IFERROR(SUMPRODUCT((Besatzung!$B$11:$B$22&lt;&gt;"")*(Besatzung!$F$11:$F$22="x")*(IF(Besatzung!$C$11:$C$22="",Besatzung!$B$5,Besatzung!$C$11:$C$22)&lt;=B5)*(IF(Besatzung!$D$11:$D$22="",Besatzung!$B$6,Besatzung!$D$11:$D$22)&gt;=B5)),1))),IF(I5="Individuell",((Q5="x")*((G5-IFERROR(H5,0))/IFERROR(COUNTIF(J5:U5,"x"),1)+(Besatzung!$F$18="x")*IFERROR(H5,0)/IFERROR(SUMPRODUCT((J5:U5="x")*(Besatzung!$F$11:$F$22="x")),1))),(IF(COUNTIF(J5:U5,"x")=0,IF(Besatzung!$B$18&lt;&gt;"",1,0),(Q5="x"))*(G5-IFERROR(H5,0))/IFERROR(IF(COUNTIF(J5:U5,"x")=0,COUNTA(Besatzung!$B$11:$B$22),COUNTIF(J5:U5,"x")),1)+IF(COUNTIF(J5:U5,"x")=0,(Besatzung!$F$18="x"),(Q5="x")*(Besatzung!$F$18="x"))*IFERROR(H5,0)/IFERROR(IF(COUNTIF(J5:U5,"x")=0,SUMPRODUCT((Besatzung!$B$11:$B$22&lt;&gt;"")*(Besatzung!$F$11:$F$22="x")),SUMPRODUCT((J5:U5="x")*(Besatzung!$F$11:$F$22="x"))),1))))),0))))</f>
        <v/>
      </c>
      <c r="AD5" s="247">
        <f>IF(C5="Gutschrift","",IF(G5="","",IF(Besatzung!$B$19="","",IFERROR(IF(I5="Zeitanteilig",(Besatzung!$G$19*(G5-IFERROR(H5,0))+((Besatzung!$B$19&lt;&gt;"")*IF(B5="",1,(IF(Besatzung!$C$19="",Besatzung!$B$5,Besatzung!$C$19)&lt;=B5)*(IF(Besatzung!$D$19="",Besatzung!$B$6,Besatzung!$D$19)&gt;=B5)))*(Besatzung!$F$19="x")*IFERROR(H5,0)/IFERROR(SUMPRODUCT((Besatzung!$B$11:$B$22&lt;&gt;"")*(Besatzung!$F$11:$F$22="x")*(IF(Besatzung!$C$11:$C$22="",Besatzung!$B$5,Besatzung!$C$11:$C$22)&lt;=B5)*(IF(Besatzung!$D$11:$D$22="",Besatzung!$B$6,Besatzung!$D$11:$D$22)&gt;=B5)),1)),IF(I5="An Bord",(((Besatzung!$B$19&lt;&gt;"")*IF(B5="",1,(IF(Besatzung!$C$19="",Besatzung!$B$5,Besatzung!$C$19)&lt;=B5)*(IF(Besatzung!$D$19="",Besatzung!$B$6,Besatzung!$D$19)&gt;=B5)))*((G5-IFERROR(H5,0))/IFERROR(SUMPRODUCT((Besatzung!$B$11:$B$22&lt;&gt;"")*(IF(Besatzung!$C$11:$C$22="",Besatzung!$B$5,Besatzung!$C$11:$C$22)&lt;=B5)*(IF(Besatzung!$D$11:$D$22="",Besatzung!$B$6,Besatzung!$D$11:$D$22)&gt;=B5)),1)+(Besatzung!$F$19="x")*IFERROR(H5,0)/IFERROR(SUMPRODUCT((Besatzung!$B$11:$B$22&lt;&gt;"")*(Besatzung!$F$11:$F$22="x")*(IF(Besatzung!$C$11:$C$22="",Besatzung!$B$5,Besatzung!$C$11:$C$22)&lt;=B5)*(IF(Besatzung!$D$11:$D$22="",Besatzung!$B$6,Besatzung!$D$11:$D$22)&gt;=B5)),1))),IF(I5="Individuell",((R5="x")*((G5-IFERROR(H5,0))/IFERROR(COUNTIF(J5:U5,"x"),1)+(Besatzung!$F$19="x")*IFERROR(H5,0)/IFERROR(SUMPRODUCT((J5:U5="x")*(Besatzung!$F$11:$F$22="x")),1))),(IF(COUNTIF(J5:U5,"x")=0,IF(Besatzung!$B$19&lt;&gt;"",1,0),(R5="x"))*(G5-IFERROR(H5,0))/IFERROR(IF(COUNTIF(J5:U5,"x")=0,COUNTA(Besatzung!$B$11:$B$22),COUNTIF(J5:U5,"x")),1)+IF(COUNTIF(J5:U5,"x")=0,(Besatzung!$F$19="x"),(R5="x")*(Besatzung!$F$19="x"))*IFERROR(H5,0)/IFERROR(IF(COUNTIF(J5:U5,"x")=0,SUMPRODUCT((Besatzung!$B$11:$B$22&lt;&gt;"")*(Besatzung!$F$11:$F$22="x")),SUMPRODUCT((J5:U5="x")*(Besatzung!$F$11:$F$22="x"))),1))))),0))))</f>
        <v/>
      </c>
      <c r="AE5" s="247">
        <f>IF(C5="Gutschrift","",IF(G5="","",IF(Besatzung!$B$20="","",IFERROR(IF(I5="Zeitanteilig",(Besatzung!$G$20*(G5-IFERROR(H5,0))+((Besatzung!$B$20&lt;&gt;"")*IF(B5="",1,(IF(Besatzung!$C$20="",Besatzung!$B$5,Besatzung!$C$20)&lt;=B5)*(IF(Besatzung!$D$20="",Besatzung!$B$6,Besatzung!$D$20)&gt;=B5)))*(Besatzung!$F$20="x")*IFERROR(H5,0)/IFERROR(SUMPRODUCT((Besatzung!$B$11:$B$22&lt;&gt;"")*(Besatzung!$F$11:$F$22="x")*(IF(Besatzung!$C$11:$C$22="",Besatzung!$B$5,Besatzung!$C$11:$C$22)&lt;=B5)*(IF(Besatzung!$D$11:$D$22="",Besatzung!$B$6,Besatzung!$D$11:$D$22)&gt;=B5)),1)),IF(I5="An Bord",(((Besatzung!$B$20&lt;&gt;"")*IF(B5="",1,(IF(Besatzung!$C$20="",Besatzung!$B$5,Besatzung!$C$20)&lt;=B5)*(IF(Besatzung!$D$20="",Besatzung!$B$6,Besatzung!$D$20)&gt;=B5)))*((G5-IFERROR(H5,0))/IFERROR(SUMPRODUCT((Besatzung!$B$11:$B$22&lt;&gt;"")*(IF(Besatzung!$C$11:$C$22="",Besatzung!$B$5,Besatzung!$C$11:$C$22)&lt;=B5)*(IF(Besatzung!$D$11:$D$22="",Besatzung!$B$6,Besatzung!$D$11:$D$22)&gt;=B5)),1)+(Besatzung!$F$20="x")*IFERROR(H5,0)/IFERROR(SUMPRODUCT((Besatzung!$B$11:$B$22&lt;&gt;"")*(Besatzung!$F$11:$F$22="x")*(IF(Besatzung!$C$11:$C$22="",Besatzung!$B$5,Besatzung!$C$11:$C$22)&lt;=B5)*(IF(Besatzung!$D$11:$D$22="",Besatzung!$B$6,Besatzung!$D$11:$D$22)&gt;=B5)),1))),IF(I5="Individuell",((S5="x")*((G5-IFERROR(H5,0))/IFERROR(COUNTIF(J5:U5,"x"),1)+(Besatzung!$F$20="x")*IFERROR(H5,0)/IFERROR(SUMPRODUCT((J5:U5="x")*(Besatzung!$F$11:$F$22="x")),1))),(IF(COUNTIF(J5:U5,"x")=0,IF(Besatzung!$B$20&lt;&gt;"",1,0),(S5="x"))*(G5-IFERROR(H5,0))/IFERROR(IF(COUNTIF(J5:U5,"x")=0,COUNTA(Besatzung!$B$11:$B$22),COUNTIF(J5:U5,"x")),1)+IF(COUNTIF(J5:U5,"x")=0,(Besatzung!$F$20="x"),(S5="x")*(Besatzung!$F$20="x"))*IFERROR(H5,0)/IFERROR(IF(COUNTIF(J5:U5,"x")=0,SUMPRODUCT((Besatzung!$B$11:$B$22&lt;&gt;"")*(Besatzung!$F$11:$F$22="x")),SUMPRODUCT((J5:U5="x")*(Besatzung!$F$11:$F$22="x"))),1))))),0))))</f>
        <v/>
      </c>
      <c r="AF5" s="247">
        <f>IF(C5="Gutschrift","",IF(G5="","",IF(Besatzung!$B$21="","",IFERROR(IF(I5="Zeitanteilig",(Besatzung!$G$21*(G5-IFERROR(H5,0))+((Besatzung!$B$21&lt;&gt;"")*IF(B5="",1,(IF(Besatzung!$C$21="",Besatzung!$B$5,Besatzung!$C$21)&lt;=B5)*(IF(Besatzung!$D$21="",Besatzung!$B$6,Besatzung!$D$21)&gt;=B5)))*(Besatzung!$F$21="x")*IFERROR(H5,0)/IFERROR(SUMPRODUCT((Besatzung!$B$11:$B$22&lt;&gt;"")*(Besatzung!$F$11:$F$22="x")*(IF(Besatzung!$C$11:$C$22="",Besatzung!$B$5,Besatzung!$C$11:$C$22)&lt;=B5)*(IF(Besatzung!$D$11:$D$22="",Besatzung!$B$6,Besatzung!$D$11:$D$22)&gt;=B5)),1)),IF(I5="An Bord",(((Besatzung!$B$21&lt;&gt;"")*IF(B5="",1,(IF(Besatzung!$C$21="",Besatzung!$B$5,Besatzung!$C$21)&lt;=B5)*(IF(Besatzung!$D$21="",Besatzung!$B$6,Besatzung!$D$21)&gt;=B5)))*((G5-IFERROR(H5,0))/IFERROR(SUMPRODUCT((Besatzung!$B$11:$B$22&lt;&gt;"")*(IF(Besatzung!$C$11:$C$22="",Besatzung!$B$5,Besatzung!$C$11:$C$22)&lt;=B5)*(IF(Besatzung!$D$11:$D$22="",Besatzung!$B$6,Besatzung!$D$11:$D$22)&gt;=B5)),1)+(Besatzung!$F$21="x")*IFERROR(H5,0)/IFERROR(SUMPRODUCT((Besatzung!$B$11:$B$22&lt;&gt;"")*(Besatzung!$F$11:$F$22="x")*(IF(Besatzung!$C$11:$C$22="",Besatzung!$B$5,Besatzung!$C$11:$C$22)&lt;=B5)*(IF(Besatzung!$D$11:$D$22="",Besatzung!$B$6,Besatzung!$D$11:$D$22)&gt;=B5)),1))),IF(I5="Individuell",((T5="x")*((G5-IFERROR(H5,0))/IFERROR(COUNTIF(J5:U5,"x"),1)+(Besatzung!$F$21="x")*IFERROR(H5,0)/IFERROR(SUMPRODUCT((J5:U5="x")*(Besatzung!$F$11:$F$22="x")),1))),(IF(COUNTIF(J5:U5,"x")=0,IF(Besatzung!$B$21&lt;&gt;"",1,0),(T5="x"))*(G5-IFERROR(H5,0))/IFERROR(IF(COUNTIF(J5:U5,"x")=0,COUNTA(Besatzung!$B$11:$B$22),COUNTIF(J5:U5,"x")),1)+IF(COUNTIF(J5:U5,"x")=0,(Besatzung!$F$21="x"),(T5="x")*(Besatzung!$F$21="x"))*IFERROR(H5,0)/IFERROR(IF(COUNTIF(J5:U5,"x")=0,SUMPRODUCT((Besatzung!$B$11:$B$22&lt;&gt;"")*(Besatzung!$F$11:$F$22="x")),SUMPRODUCT((J5:U5="x")*(Besatzung!$F$11:$F$22="x"))),1))))),0))))</f>
        <v/>
      </c>
      <c r="AG5" s="247">
        <f>IF(C5="Gutschrift","",IF(G5="","",IF(Besatzung!$B$22="","",IFERROR(IF(I5="Zeitanteilig",(Besatzung!$G$22*(G5-IFERROR(H5,0))+((Besatzung!$B$22&lt;&gt;"")*IF(B5="",1,(IF(Besatzung!$C$22="",Besatzung!$B$5,Besatzung!$C$22)&lt;=B5)*(IF(Besatzung!$D$22="",Besatzung!$B$6,Besatzung!$D$22)&gt;=B5)))*(Besatzung!$F$22="x")*IFERROR(H5,0)/IFERROR(SUMPRODUCT((Besatzung!$B$11:$B$22&lt;&gt;"")*(Besatzung!$F$11:$F$22="x")*(IF(Besatzung!$C$11:$C$22="",Besatzung!$B$5,Besatzung!$C$11:$C$22)&lt;=B5)*(IF(Besatzung!$D$11:$D$22="",Besatzung!$B$6,Besatzung!$D$11:$D$22)&gt;=B5)),1)),IF(I5="An Bord",(((Besatzung!$B$22&lt;&gt;"")*IF(B5="",1,(IF(Besatzung!$C$22="",Besatzung!$B$5,Besatzung!$C$22)&lt;=B5)*(IF(Besatzung!$D$22="",Besatzung!$B$6,Besatzung!$D$22)&gt;=B5)))*((G5-IFERROR(H5,0))/IFERROR(SUMPRODUCT((Besatzung!$B$11:$B$22&lt;&gt;"")*(IF(Besatzung!$C$11:$C$22="",Besatzung!$B$5,Besatzung!$C$11:$C$22)&lt;=B5)*(IF(Besatzung!$D$11:$D$22="",Besatzung!$B$6,Besatzung!$D$11:$D$22)&gt;=B5)),1)+(Besatzung!$F$22="x")*IFERROR(H5,0)/IFERROR(SUMPRODUCT((Besatzung!$B$11:$B$22&lt;&gt;"")*(Besatzung!$F$11:$F$22="x")*(IF(Besatzung!$C$11:$C$22="",Besatzung!$B$5,Besatzung!$C$11:$C$22)&lt;=B5)*(IF(Besatzung!$D$11:$D$22="",Besatzung!$B$6,Besatzung!$D$11:$D$22)&gt;=B5)),1))),IF(I5="Individuell",((U5="x")*((G5-IFERROR(H5,0))/IFERROR(COUNTIF(J5:U5,"x"),1)+(Besatzung!$F$22="x")*IFERROR(H5,0)/IFERROR(SUMPRODUCT((J5:U5="x")*(Besatzung!$F$11:$F$22="x")),1))),(IF(COUNTIF(J5:U5,"x")=0,IF(Besatzung!$B$22&lt;&gt;"",1,0),(U5="x"))*(G5-IFERROR(H5,0))/IFERROR(IF(COUNTIF(J5:U5,"x")=0,COUNTA(Besatzung!$B$11:$B$22),COUNTIF(J5:U5,"x")),1)+IF(COUNTIF(J5:U5,"x")=0,(Besatzung!$F$22="x"),(U5="x")*(Besatzung!$F$22="x"))*IFERROR(H5,0)/IFERROR(IF(COUNTIF(J5:U5,"x")=0,SUMPRODUCT((Besatzung!$B$11:$B$22&lt;&gt;"")*(Besatzung!$F$11:$F$22="x")),SUMPRODUCT((J5:U5="x")*(Besatzung!$F$11:$F$22="x"))),1))))),0))))</f>
        <v/>
      </c>
      <c r="AH5" s="248" t="n"/>
      <c r="AI5" s="248" t="n"/>
    </row>
    <row r="6" ht="21.75" customHeight="1" s="154">
      <c r="A6" s="238">
        <f>IF(AND(D6="",C6=""),"",3)</f>
        <v/>
      </c>
      <c r="B6" s="199" t="n"/>
      <c r="C6" s="239" t="n"/>
      <c r="D6" s="240" t="n"/>
      <c r="E6" s="241" t="n"/>
      <c r="F6" s="242" t="n"/>
      <c r="G6" s="243" t="n"/>
      <c r="H6" s="244" t="n"/>
      <c r="I6" s="245" t="n"/>
      <c r="J6" s="246" t="n"/>
      <c r="K6" s="246" t="n"/>
      <c r="L6" s="246" t="n"/>
      <c r="M6" s="246" t="n"/>
      <c r="N6" s="246" t="n"/>
      <c r="O6" s="246" t="n"/>
      <c r="P6" s="246" t="n"/>
      <c r="Q6" s="246" t="n"/>
      <c r="R6" s="246" t="n"/>
      <c r="S6" s="246" t="n"/>
      <c r="T6" s="246" t="n"/>
      <c r="U6" s="246" t="n"/>
      <c r="V6" s="247">
        <f>IF(C6="Gutschrift","",IF(G6="","",IF(Besatzung!$B$11="","",IFERROR(IF(I6="Zeitanteilig",(Besatzung!$G$11*(G6-IFERROR(H6,0))+((Besatzung!$B$11&lt;&gt;"")*IF(B6="",1,(IF(Besatzung!$C$11="",Besatzung!$B$5,Besatzung!$C$11)&lt;=B6)*(IF(Besatzung!$D$11="",Besatzung!$B$6,Besatzung!$D$11)&gt;=B6)))*(Besatzung!$F$11="x")*IFERROR(H6,0)/IFERROR(SUMPRODUCT((Besatzung!$B$11:$B$22&lt;&gt;"")*(Besatzung!$F$11:$F$22="x")*(IF(Besatzung!$C$11:$C$22="",Besatzung!$B$5,Besatzung!$C$11:$C$22)&lt;=B6)*(IF(Besatzung!$D$11:$D$22="",Besatzung!$B$6,Besatzung!$D$11:$D$22)&gt;=B6)),1)),IF(I6="An Bord",(((Besatzung!$B$11&lt;&gt;"")*IF(B6="",1,(IF(Besatzung!$C$11="",Besatzung!$B$5,Besatzung!$C$11)&lt;=B6)*(IF(Besatzung!$D$11="",Besatzung!$B$6,Besatzung!$D$11)&gt;=B6)))*((G6-IFERROR(H6,0))/IFERROR(SUMPRODUCT((Besatzung!$B$11:$B$22&lt;&gt;"")*(IF(Besatzung!$C$11:$C$22="",Besatzung!$B$5,Besatzung!$C$11:$C$22)&lt;=B6)*(IF(Besatzung!$D$11:$D$22="",Besatzung!$B$6,Besatzung!$D$11:$D$22)&gt;=B6)),1)+(Besatzung!$F$11="x")*IFERROR(H6,0)/IFERROR(SUMPRODUCT((Besatzung!$B$11:$B$22&lt;&gt;"")*(Besatzung!$F$11:$F$22="x")*(IF(Besatzung!$C$11:$C$22="",Besatzung!$B$5,Besatzung!$C$11:$C$22)&lt;=B6)*(IF(Besatzung!$D$11:$D$22="",Besatzung!$B$6,Besatzung!$D$11:$D$22)&gt;=B6)),1))),IF(I6="Individuell",((J6="x")*((G6-IFERROR(H6,0))/IFERROR(COUNTIF(J6:U6,"x"),1)+(Besatzung!$F$11="x")*IFERROR(H6,0)/IFERROR(SUMPRODUCT((J6:U6="x")*(Besatzung!$F$11:$F$22="x")),1))),(IF(COUNTIF(J6:U6,"x")=0,IF(Besatzung!$B$11&lt;&gt;"",1,0),(J6="x"))*(G6-IFERROR(H6,0))/IFERROR(IF(COUNTIF(J6:U6,"x")=0,COUNTA(Besatzung!$B$11:$B$22),COUNTIF(J6:U6,"x")),1)+IF(COUNTIF(J6:U6,"x")=0,(Besatzung!$F$11="x"),(J6="x")*(Besatzung!$F$11="x"))*IFERROR(H6,0)/IFERROR(IF(COUNTIF(J6:U6,"x")=0,SUMPRODUCT((Besatzung!$B$11:$B$22&lt;&gt;"")*(Besatzung!$F$11:$F$22="x")),SUMPRODUCT((J6:U6="x")*(Besatzung!$F$11:$F$22="x"))),1))))),0))))</f>
        <v/>
      </c>
      <c r="W6" s="247">
        <f>IF(C6="Gutschrift","",IF(G6="","",IF(Besatzung!$B$12="","",IFERROR(IF(I6="Zeitanteilig",(Besatzung!$G$12*(G6-IFERROR(H6,0))+((Besatzung!$B$12&lt;&gt;"")*IF(B6="",1,(IF(Besatzung!$C$12="",Besatzung!$B$5,Besatzung!$C$12)&lt;=B6)*(IF(Besatzung!$D$12="",Besatzung!$B$6,Besatzung!$D$12)&gt;=B6)))*(Besatzung!$F$12="x")*IFERROR(H6,0)/IFERROR(SUMPRODUCT((Besatzung!$B$11:$B$22&lt;&gt;"")*(Besatzung!$F$11:$F$22="x")*(IF(Besatzung!$C$11:$C$22="",Besatzung!$B$5,Besatzung!$C$11:$C$22)&lt;=B6)*(IF(Besatzung!$D$11:$D$22="",Besatzung!$B$6,Besatzung!$D$11:$D$22)&gt;=B6)),1)),IF(I6="An Bord",(((Besatzung!$B$12&lt;&gt;"")*IF(B6="",1,(IF(Besatzung!$C$12="",Besatzung!$B$5,Besatzung!$C$12)&lt;=B6)*(IF(Besatzung!$D$12="",Besatzung!$B$6,Besatzung!$D$12)&gt;=B6)))*((G6-IFERROR(H6,0))/IFERROR(SUMPRODUCT((Besatzung!$B$11:$B$22&lt;&gt;"")*(IF(Besatzung!$C$11:$C$22="",Besatzung!$B$5,Besatzung!$C$11:$C$22)&lt;=B6)*(IF(Besatzung!$D$11:$D$22="",Besatzung!$B$6,Besatzung!$D$11:$D$22)&gt;=B6)),1)+(Besatzung!$F$12="x")*IFERROR(H6,0)/IFERROR(SUMPRODUCT((Besatzung!$B$11:$B$22&lt;&gt;"")*(Besatzung!$F$11:$F$22="x")*(IF(Besatzung!$C$11:$C$22="",Besatzung!$B$5,Besatzung!$C$11:$C$22)&lt;=B6)*(IF(Besatzung!$D$11:$D$22="",Besatzung!$B$6,Besatzung!$D$11:$D$22)&gt;=B6)),1))),IF(I6="Individuell",((K6="x")*((G6-IFERROR(H6,0))/IFERROR(COUNTIF(J6:U6,"x"),1)+(Besatzung!$F$12="x")*IFERROR(H6,0)/IFERROR(SUMPRODUCT((J6:U6="x")*(Besatzung!$F$11:$F$22="x")),1))),(IF(COUNTIF(J6:U6,"x")=0,IF(Besatzung!$B$12&lt;&gt;"",1,0),(K6="x"))*(G6-IFERROR(H6,0))/IFERROR(IF(COUNTIF(J6:U6,"x")=0,COUNTA(Besatzung!$B$11:$B$22),COUNTIF(J6:U6,"x")),1)+IF(COUNTIF(J6:U6,"x")=0,(Besatzung!$F$12="x"),(K6="x")*(Besatzung!$F$12="x"))*IFERROR(H6,0)/IFERROR(IF(COUNTIF(J6:U6,"x")=0,SUMPRODUCT((Besatzung!$B$11:$B$22&lt;&gt;"")*(Besatzung!$F$11:$F$22="x")),SUMPRODUCT((J6:U6="x")*(Besatzung!$F$11:$F$22="x"))),1))))),0))))</f>
        <v/>
      </c>
      <c r="X6" s="247">
        <f>IF(C6="Gutschrift","",IF(G6="","",IF(Besatzung!$B$13="","",IFERROR(IF(I6="Zeitanteilig",(Besatzung!$G$13*(G6-IFERROR(H6,0))+((Besatzung!$B$13&lt;&gt;"")*IF(B6="",1,(IF(Besatzung!$C$13="",Besatzung!$B$5,Besatzung!$C$13)&lt;=B6)*(IF(Besatzung!$D$13="",Besatzung!$B$6,Besatzung!$D$13)&gt;=B6)))*(Besatzung!$F$13="x")*IFERROR(H6,0)/IFERROR(SUMPRODUCT((Besatzung!$B$11:$B$22&lt;&gt;"")*(Besatzung!$F$11:$F$22="x")*(IF(Besatzung!$C$11:$C$22="",Besatzung!$B$5,Besatzung!$C$11:$C$22)&lt;=B6)*(IF(Besatzung!$D$11:$D$22="",Besatzung!$B$6,Besatzung!$D$11:$D$22)&gt;=B6)),1)),IF(I6="An Bord",(((Besatzung!$B$13&lt;&gt;"")*IF(B6="",1,(IF(Besatzung!$C$13="",Besatzung!$B$5,Besatzung!$C$13)&lt;=B6)*(IF(Besatzung!$D$13="",Besatzung!$B$6,Besatzung!$D$13)&gt;=B6)))*((G6-IFERROR(H6,0))/IFERROR(SUMPRODUCT((Besatzung!$B$11:$B$22&lt;&gt;"")*(IF(Besatzung!$C$11:$C$22="",Besatzung!$B$5,Besatzung!$C$11:$C$22)&lt;=B6)*(IF(Besatzung!$D$11:$D$22="",Besatzung!$B$6,Besatzung!$D$11:$D$22)&gt;=B6)),1)+(Besatzung!$F$13="x")*IFERROR(H6,0)/IFERROR(SUMPRODUCT((Besatzung!$B$11:$B$22&lt;&gt;"")*(Besatzung!$F$11:$F$22="x")*(IF(Besatzung!$C$11:$C$22="",Besatzung!$B$5,Besatzung!$C$11:$C$22)&lt;=B6)*(IF(Besatzung!$D$11:$D$22="",Besatzung!$B$6,Besatzung!$D$11:$D$22)&gt;=B6)),1))),IF(I6="Individuell",((K6="x")*((G6-IFERROR(H6,0))/IFERROR(COUNTIF(J6:U6,"x"),1)+(Besatzung!$F$13="x")*IFERROR(H6,0)/IFERROR(SUMPRODUCT((J6:U6="x")*(Besatzung!$F$11:$F$22="x")),1))),(IF(COUNTIF(J6:U6,"x")=0,IF(Besatzung!$B$13&lt;&gt;"",1,0),(K6="x"))*(G6-IFERROR(H6,0))/IFERROR(IF(COUNTIF(J6:U6,"x")=0,COUNTA(Besatzung!$B$11:$B$22),COUNTIF(J6:U6,"x")),1)+IF(COUNTIF(J6:U6,"x")=0,(Besatzung!$F$13="x"),(K6="x")*(Besatzung!$F$13="x"))*IFERROR(H6,0)/IFERROR(IF(COUNTIF(J6:U6,"x")=0,SUMPRODUCT((Besatzung!$B$11:$B$22&lt;&gt;"")*(Besatzung!$F$11:$F$22="x")),SUMPRODUCT((J6:U6="x")*(Besatzung!$F$11:$F$22="x"))),1))))),0))))</f>
        <v/>
      </c>
      <c r="Y6" s="247">
        <f>IF(C6="Gutschrift","",IF(G6="","",IF(Besatzung!$B$14="","",IFERROR(IF(I6="Zeitanteilig",(Besatzung!$G$14*(G6-IFERROR(H6,0))+((Besatzung!$B$14&lt;&gt;"")*IF(B6="",1,(IF(Besatzung!$C$14="",Besatzung!$B$5,Besatzung!$C$14)&lt;=B6)*(IF(Besatzung!$D$14="",Besatzung!$B$6,Besatzung!$D$14)&gt;=B6)))*(Besatzung!$F$14="x")*IFERROR(H6,0)/IFERROR(SUMPRODUCT((Besatzung!$B$11:$B$22&lt;&gt;"")*(Besatzung!$F$11:$F$22="x")*(IF(Besatzung!$C$11:$C$22="",Besatzung!$B$5,Besatzung!$C$11:$C$22)&lt;=B6)*(IF(Besatzung!$D$11:$D$22="",Besatzung!$B$6,Besatzung!$D$11:$D$22)&gt;=B6)),1)),IF(I6="An Bord",(((Besatzung!$B$14&lt;&gt;"")*IF(B6="",1,(IF(Besatzung!$C$14="",Besatzung!$B$5,Besatzung!$C$14)&lt;=B6)*(IF(Besatzung!$D$14="",Besatzung!$B$6,Besatzung!$D$14)&gt;=B6)))*((G6-IFERROR(H6,0))/IFERROR(SUMPRODUCT((Besatzung!$B$11:$B$22&lt;&gt;"")*(IF(Besatzung!$C$11:$C$22="",Besatzung!$B$5,Besatzung!$C$11:$C$22)&lt;=B6)*(IF(Besatzung!$D$11:$D$22="",Besatzung!$B$6,Besatzung!$D$11:$D$22)&gt;=B6)),1)+(Besatzung!$F$14="x")*IFERROR(H6,0)/IFERROR(SUMPRODUCT((Besatzung!$B$11:$B$22&lt;&gt;"")*(Besatzung!$F$11:$F$22="x")*(IF(Besatzung!$C$11:$C$22="",Besatzung!$B$5,Besatzung!$C$11:$C$22)&lt;=B6)*(IF(Besatzung!$D$11:$D$22="",Besatzung!$B$6,Besatzung!$D$11:$D$22)&gt;=B6)),1))),IF(I6="Individuell",((M6="x")*((G6-IFERROR(H6,0))/IFERROR(COUNTIF(J6:U6,"x"),1)+(Besatzung!$F$14="x")*IFERROR(H6,0)/IFERROR(SUMPRODUCT((J6:U6="x")*(Besatzung!$F$11:$F$22="x")),1))),(IF(COUNTIF(J6:U6,"x")=0,IF(Besatzung!$B$14&lt;&gt;"",1,0),(M6="x"))*(G6-IFERROR(H6,0))/IFERROR(IF(COUNTIF(J6:U6,"x")=0,COUNTA(Besatzung!$B$11:$B$22),COUNTIF(J6:U6,"x")),1)+IF(COUNTIF(J6:U6,"x")=0,(Besatzung!$F$14="x"),(M6="x")*(Besatzung!$F$14="x"))*IFERROR(H6,0)/IFERROR(IF(COUNTIF(J6:U6,"x")=0,SUMPRODUCT((Besatzung!$B$11:$B$22&lt;&gt;"")*(Besatzung!$F$11:$F$22="x")),SUMPRODUCT((J6:U6="x")*(Besatzung!$F$11:$F$22="x"))),1))))),0))))</f>
        <v/>
      </c>
      <c r="Z6" s="247">
        <f>IF(C6="Gutschrift","",IF(G6="","",IF(Besatzung!$B$13="","",IFERROR(IF(I6="Zeitanteilig",(Besatzung!$G$15*(G6-IFERROR(H6,0))+((Besatzung!$B$13&lt;&gt;"")*IF(B6="",1,(IF(Besatzung!$C$15="",Besatzung!$B$5,Besatzung!$C$15)&lt;=B6)*(IF(Besatzung!$D$15="",Besatzung!$B$6,Besatzung!$D$15)&gt;=B6)))*(Besatzung!$F$15="x")*IFERROR(H6,0)/IFERROR(SUMPRODUCT((Besatzung!$B$11:$B$22&lt;&gt;"")*(Besatzung!$F$11:$F$22="x")*(IF(Besatzung!$C$11:$C$22="",Besatzung!$B$5,Besatzung!$C$11:$C$22)&lt;=B6)*(IF(Besatzung!$D$11:$D$22="",Besatzung!$B$6,Besatzung!$D$11:$D$22)&gt;=B6)),1)),IF(I6="An Bord",(((Besatzung!$B$13&lt;&gt;"")*IF(B6="",1,(IF(Besatzung!$C$15="",Besatzung!$B$5,Besatzung!$C$15)&lt;=B6)*(IF(Besatzung!$D$15="",Besatzung!$B$6,Besatzung!$D$15)&gt;=B6)))*((G6-IFERROR(H6,0))/IFERROR(SUMPRODUCT((Besatzung!$B$11:$B$22&lt;&gt;"")*(IF(Besatzung!$C$11:$C$22="",Besatzung!$B$5,Besatzung!$C$11:$C$22)&lt;=B6)*(IF(Besatzung!$D$11:$D$22="",Besatzung!$B$6,Besatzung!$D$11:$D$22)&gt;=B6)),1)+(Besatzung!$F$15="x")*IFERROR(H6,0)/IFERROR(SUMPRODUCT((Besatzung!$B$11:$B$22&lt;&gt;"")*(Besatzung!$F$11:$F$22="x")*(IF(Besatzung!$C$11:$C$22="",Besatzung!$B$5,Besatzung!$C$11:$C$22)&lt;=B6)*(IF(Besatzung!$D$11:$D$22="",Besatzung!$B$6,Besatzung!$D$11:$D$22)&gt;=B6)),1))),IF(I6="Individuell",((N6="x")*((G6-IFERROR(H6,0))/IFERROR(COUNTIF(J6:U6,"x"),1)+(Besatzung!$F$15="x")*IFERROR(H6,0)/IFERROR(SUMPRODUCT((J6:U6="x")*(Besatzung!$F$11:$F$22="x")),1))),(IF(COUNTIF(J6:U6,"x")=0,IF(Besatzung!$B$13&lt;&gt;"",1,0),(N6="x"))*(G6-IFERROR(H6,0))/IFERROR(IF(COUNTIF(J6:U6,"x")=0,COUNTA(Besatzung!$B$11:$B$22),COUNTIF(J6:U6,"x")),1)+IF(COUNTIF(J6:U6,"x")=0,(Besatzung!$F$15="x"),(N6="x")*(Besatzung!$F$15="x"))*IFERROR(H6,0)/IFERROR(IF(COUNTIF(J6:U6,"x")=0,SUMPRODUCT((Besatzung!$B$11:$B$22&lt;&gt;"")*(Besatzung!$F$11:$F$22="x")),SUMPRODUCT((J6:U6="x")*(Besatzung!$F$11:$F$22="x"))),1))))),0))))</f>
        <v/>
      </c>
      <c r="AA6" s="247">
        <f>IF(C6="Gutschrift","",IF(G6="","",IF(Besatzung!$B$15="","",IFERROR(IF(I6="Zeitanteilig",(Besatzung!$G$16*(G6-IFERROR(H6,0))+((Besatzung!$B$15&lt;&gt;"")*IF(B6="",1,(IF(Besatzung!$C$16="",Besatzung!$B$5,Besatzung!$C$16)&lt;=B6)*(IF(Besatzung!$D$16="",Besatzung!$B$6,Besatzung!$D$16)&gt;=B6)))*(Besatzung!$F$16="x")*IFERROR(H6,0)/IFERROR(SUMPRODUCT((Besatzung!$B$11:$B$22&lt;&gt;"")*(Besatzung!$F$11:$F$22="x")*(IF(Besatzung!$C$11:$C$22="",Besatzung!$B$5,Besatzung!$C$11:$C$22)&lt;=B6)*(IF(Besatzung!$D$11:$D$22="",Besatzung!$B$6,Besatzung!$D$11:$D$22)&gt;=B6)),1)),IF(I6="An Bord",(((Besatzung!$B$15&lt;&gt;"")*IF(B6="",1,(IF(Besatzung!$C$16="",Besatzung!$B$5,Besatzung!$C$16)&lt;=B6)*(IF(Besatzung!$D$16="",Besatzung!$B$6,Besatzung!$D$16)&gt;=B6)))*((G6-IFERROR(H6,0))/IFERROR(SUMPRODUCT((Besatzung!$B$11:$B$22&lt;&gt;"")*(IF(Besatzung!$C$11:$C$22="",Besatzung!$B$5,Besatzung!$C$11:$C$22)&lt;=B6)*(IF(Besatzung!$D$11:$D$22="",Besatzung!$B$6,Besatzung!$D$11:$D$22)&gt;=B6)),1)+(Besatzung!$F$16="x")*IFERROR(H6,0)/IFERROR(SUMPRODUCT((Besatzung!$B$11:$B$22&lt;&gt;"")*(Besatzung!$F$11:$F$22="x")*(IF(Besatzung!$C$11:$C$22="",Besatzung!$B$5,Besatzung!$C$11:$C$22)&lt;=B6)*(IF(Besatzung!$D$11:$D$22="",Besatzung!$B$6,Besatzung!$D$11:$D$22)&gt;=B6)),1))),IF(I6="Individuell",((O6="x")*((G6-IFERROR(H6,0))/IFERROR(COUNTIF(J6:U6,"x"),1)+(Besatzung!$F$16="x")*IFERROR(H6,0)/IFERROR(SUMPRODUCT((J6:U6="x")*(Besatzung!$F$11:$F$22="x")),1))),(IF(COUNTIF(J6:U6,"x")=0,IF(Besatzung!$B$15&lt;&gt;"",1,0),(O6="x"))*(G6-IFERROR(H6,0))/IFERROR(IF(COUNTIF(J6:U6,"x")=0,COUNTA(Besatzung!$B$11:$B$22),COUNTIF(J6:U6,"x")),1)+IF(COUNTIF(J6:U6,"x")=0,(Besatzung!$F$16="x"),(O6="x")*(Besatzung!$F$16="x"))*IFERROR(H6,0)/IFERROR(IF(COUNTIF(J6:U6,"x")=0,SUMPRODUCT((Besatzung!$B$11:$B$22&lt;&gt;"")*(Besatzung!$F$11:$F$22="x")),SUMPRODUCT((J6:U6="x")*(Besatzung!$F$11:$F$22="x"))),1))))),0))))</f>
        <v/>
      </c>
      <c r="AB6" s="247">
        <f>IF(C6="Gutschrift","",IF(G6="","",IF(Besatzung!$B$17="","",IFERROR(IF(I6="Zeitanteilig",(Besatzung!$G$17*(G6-IFERROR(H6,0))+((Besatzung!$B$17&lt;&gt;"")*IF(B6="",1,(IF(Besatzung!$C$17="",Besatzung!$B$5,Besatzung!$C$17)&lt;=B6)*(IF(Besatzung!$D$17="",Besatzung!$B$6,Besatzung!$D$17)&gt;=B6)))*(Besatzung!$F$17="x")*IFERROR(H6,0)/IFERROR(SUMPRODUCT((Besatzung!$B$11:$B$22&lt;&gt;"")*(Besatzung!$F$11:$F$22="x")*(IF(Besatzung!$C$11:$C$22="",Besatzung!$B$5,Besatzung!$C$11:$C$22)&lt;=B6)*(IF(Besatzung!$D$11:$D$22="",Besatzung!$B$6,Besatzung!$D$11:$D$22)&gt;=B6)),1)),IF(I6="An Bord",(((Besatzung!$B$17&lt;&gt;"")*IF(B6="",1,(IF(Besatzung!$C$17="",Besatzung!$B$5,Besatzung!$C$17)&lt;=B6)*(IF(Besatzung!$D$17="",Besatzung!$B$6,Besatzung!$D$17)&gt;=B6)))*((G6-IFERROR(H6,0))/IFERROR(SUMPRODUCT((Besatzung!$B$11:$B$22&lt;&gt;"")*(IF(Besatzung!$C$11:$C$22="",Besatzung!$B$5,Besatzung!$C$11:$C$22)&lt;=B6)*(IF(Besatzung!$D$11:$D$22="",Besatzung!$B$6,Besatzung!$D$11:$D$22)&gt;=B6)),1)+(Besatzung!$F$17="x")*IFERROR(H6,0)/IFERROR(SUMPRODUCT((Besatzung!$B$11:$B$22&lt;&gt;"")*(Besatzung!$F$11:$F$22="x")*(IF(Besatzung!$C$11:$C$22="",Besatzung!$B$5,Besatzung!$C$11:$C$22)&lt;=B6)*(IF(Besatzung!$D$11:$D$22="",Besatzung!$B$6,Besatzung!$D$11:$D$22)&gt;=B6)),1))),IF(I6="Individuell",((P6="x")*((G6-IFERROR(H6,0))/IFERROR(COUNTIF(J6:U6,"x"),1)+(Besatzung!$F$17="x")*IFERROR(H6,0)/IFERROR(SUMPRODUCT((J6:U6="x")*(Besatzung!$F$11:$F$22="x")),1))),(IF(COUNTIF(J6:U6,"x")=0,IF(Besatzung!$B$17&lt;&gt;"",1,0),(P6="x"))*(G6-IFERROR(H6,0))/IFERROR(IF(COUNTIF(J6:U6,"x")=0,COUNTA(Besatzung!$B$11:$B$22),COUNTIF(J6:U6,"x")),1)+IF(COUNTIF(J6:U6,"x")=0,(Besatzung!$F$17="x"),(P6="x")*(Besatzung!$F$17="x"))*IFERROR(H6,0)/IFERROR(IF(COUNTIF(J6:U6,"x")=0,SUMPRODUCT((Besatzung!$B$11:$B$22&lt;&gt;"")*(Besatzung!$F$11:$F$22="x")),SUMPRODUCT((J6:U6="x")*(Besatzung!$F$11:$F$22="x"))),1))))),0))))</f>
        <v/>
      </c>
      <c r="AC6" s="247">
        <f>IF(C6="Gutschrift","",IF(G6="","",IF(Besatzung!$B$18="","",IFERROR(IF(I6="Zeitanteilig",(Besatzung!$G$18*(G6-IFERROR(H6,0))+((Besatzung!$B$18&lt;&gt;"")*IF(B6="",1,(IF(Besatzung!$C$18="",Besatzung!$B$5,Besatzung!$C$18)&lt;=B6)*(IF(Besatzung!$D$18="",Besatzung!$B$6,Besatzung!$D$18)&gt;=B6)))*(Besatzung!$F$18="x")*IFERROR(H6,0)/IFERROR(SUMPRODUCT((Besatzung!$B$11:$B$22&lt;&gt;"")*(Besatzung!$F$11:$F$22="x")*(IF(Besatzung!$C$11:$C$22="",Besatzung!$B$5,Besatzung!$C$11:$C$22)&lt;=B6)*(IF(Besatzung!$D$11:$D$22="",Besatzung!$B$6,Besatzung!$D$11:$D$22)&gt;=B6)),1)),IF(I6="An Bord",(((Besatzung!$B$18&lt;&gt;"")*IF(B6="",1,(IF(Besatzung!$C$18="",Besatzung!$B$5,Besatzung!$C$18)&lt;=B6)*(IF(Besatzung!$D$18="",Besatzung!$B$6,Besatzung!$D$18)&gt;=B6)))*((G6-IFERROR(H6,0))/IFERROR(SUMPRODUCT((Besatzung!$B$11:$B$22&lt;&gt;"")*(IF(Besatzung!$C$11:$C$22="",Besatzung!$B$5,Besatzung!$C$11:$C$22)&lt;=B6)*(IF(Besatzung!$D$11:$D$22="",Besatzung!$B$6,Besatzung!$D$11:$D$22)&gt;=B6)),1)+(Besatzung!$F$18="x")*IFERROR(H6,0)/IFERROR(SUMPRODUCT((Besatzung!$B$11:$B$22&lt;&gt;"")*(Besatzung!$F$11:$F$22="x")*(IF(Besatzung!$C$11:$C$22="",Besatzung!$B$5,Besatzung!$C$11:$C$22)&lt;=B6)*(IF(Besatzung!$D$11:$D$22="",Besatzung!$B$6,Besatzung!$D$11:$D$22)&gt;=B6)),1))),IF(I6="Individuell",((Q6="x")*((G6-IFERROR(H6,0))/IFERROR(COUNTIF(J6:U6,"x"),1)+(Besatzung!$F$18="x")*IFERROR(H6,0)/IFERROR(SUMPRODUCT((J6:U6="x")*(Besatzung!$F$11:$F$22="x")),1))),(IF(COUNTIF(J6:U6,"x")=0,IF(Besatzung!$B$18&lt;&gt;"",1,0),(Q6="x"))*(G6-IFERROR(H6,0))/IFERROR(IF(COUNTIF(J6:U6,"x")=0,COUNTA(Besatzung!$B$11:$B$22),COUNTIF(J6:U6,"x")),1)+IF(COUNTIF(J6:U6,"x")=0,(Besatzung!$F$18="x"),(Q6="x")*(Besatzung!$F$18="x"))*IFERROR(H6,0)/IFERROR(IF(COUNTIF(J6:U6,"x")=0,SUMPRODUCT((Besatzung!$B$11:$B$22&lt;&gt;"")*(Besatzung!$F$11:$F$22="x")),SUMPRODUCT((J6:U6="x")*(Besatzung!$F$11:$F$22="x"))),1))))),0))))</f>
        <v/>
      </c>
      <c r="AD6" s="247">
        <f>IF(C6="Gutschrift","",IF(G6="","",IF(Besatzung!$B$19="","",IFERROR(IF(I6="Zeitanteilig",(Besatzung!$G$19*(G6-IFERROR(H6,0))+((Besatzung!$B$19&lt;&gt;"")*IF(B6="",1,(IF(Besatzung!$C$19="",Besatzung!$B$5,Besatzung!$C$19)&lt;=B6)*(IF(Besatzung!$D$19="",Besatzung!$B$6,Besatzung!$D$19)&gt;=B6)))*(Besatzung!$F$19="x")*IFERROR(H6,0)/IFERROR(SUMPRODUCT((Besatzung!$B$11:$B$22&lt;&gt;"")*(Besatzung!$F$11:$F$22="x")*(IF(Besatzung!$C$11:$C$22="",Besatzung!$B$5,Besatzung!$C$11:$C$22)&lt;=B6)*(IF(Besatzung!$D$11:$D$22="",Besatzung!$B$6,Besatzung!$D$11:$D$22)&gt;=B6)),1)),IF(I6="An Bord",(((Besatzung!$B$19&lt;&gt;"")*IF(B6="",1,(IF(Besatzung!$C$19="",Besatzung!$B$5,Besatzung!$C$19)&lt;=B6)*(IF(Besatzung!$D$19="",Besatzung!$B$6,Besatzung!$D$19)&gt;=B6)))*((G6-IFERROR(H6,0))/IFERROR(SUMPRODUCT((Besatzung!$B$11:$B$22&lt;&gt;"")*(IF(Besatzung!$C$11:$C$22="",Besatzung!$B$5,Besatzung!$C$11:$C$22)&lt;=B6)*(IF(Besatzung!$D$11:$D$22="",Besatzung!$B$6,Besatzung!$D$11:$D$22)&gt;=B6)),1)+(Besatzung!$F$19="x")*IFERROR(H6,0)/IFERROR(SUMPRODUCT((Besatzung!$B$11:$B$22&lt;&gt;"")*(Besatzung!$F$11:$F$22="x")*(IF(Besatzung!$C$11:$C$22="",Besatzung!$B$5,Besatzung!$C$11:$C$22)&lt;=B6)*(IF(Besatzung!$D$11:$D$22="",Besatzung!$B$6,Besatzung!$D$11:$D$22)&gt;=B6)),1))),IF(I6="Individuell",((R6="x")*((G6-IFERROR(H6,0))/IFERROR(COUNTIF(J6:U6,"x"),1)+(Besatzung!$F$19="x")*IFERROR(H6,0)/IFERROR(SUMPRODUCT((J6:U6="x")*(Besatzung!$F$11:$F$22="x")),1))),(IF(COUNTIF(J6:U6,"x")=0,IF(Besatzung!$B$19&lt;&gt;"",1,0),(R6="x"))*(G6-IFERROR(H6,0))/IFERROR(IF(COUNTIF(J6:U6,"x")=0,COUNTA(Besatzung!$B$11:$B$22),COUNTIF(J6:U6,"x")),1)+IF(COUNTIF(J6:U6,"x")=0,(Besatzung!$F$19="x"),(R6="x")*(Besatzung!$F$19="x"))*IFERROR(H6,0)/IFERROR(IF(COUNTIF(J6:U6,"x")=0,SUMPRODUCT((Besatzung!$B$11:$B$22&lt;&gt;"")*(Besatzung!$F$11:$F$22="x")),SUMPRODUCT((J6:U6="x")*(Besatzung!$F$11:$F$22="x"))),1))))),0))))</f>
        <v/>
      </c>
      <c r="AE6" s="247">
        <f>IF(C6="Gutschrift","",IF(G6="","",IF(Besatzung!$B$20="","",IFERROR(IF(I6="Zeitanteilig",(Besatzung!$G$20*(G6-IFERROR(H6,0))+((Besatzung!$B$20&lt;&gt;"")*IF(B6="",1,(IF(Besatzung!$C$20="",Besatzung!$B$5,Besatzung!$C$20)&lt;=B6)*(IF(Besatzung!$D$20="",Besatzung!$B$6,Besatzung!$D$20)&gt;=B6)))*(Besatzung!$F$20="x")*IFERROR(H6,0)/IFERROR(SUMPRODUCT((Besatzung!$B$11:$B$22&lt;&gt;"")*(Besatzung!$F$11:$F$22="x")*(IF(Besatzung!$C$11:$C$22="",Besatzung!$B$5,Besatzung!$C$11:$C$22)&lt;=B6)*(IF(Besatzung!$D$11:$D$22="",Besatzung!$B$6,Besatzung!$D$11:$D$22)&gt;=B6)),1)),IF(I6="An Bord",(((Besatzung!$B$20&lt;&gt;"")*IF(B6="",1,(IF(Besatzung!$C$20="",Besatzung!$B$5,Besatzung!$C$20)&lt;=B6)*(IF(Besatzung!$D$20="",Besatzung!$B$6,Besatzung!$D$20)&gt;=B6)))*((G6-IFERROR(H6,0))/IFERROR(SUMPRODUCT((Besatzung!$B$11:$B$22&lt;&gt;"")*(IF(Besatzung!$C$11:$C$22="",Besatzung!$B$5,Besatzung!$C$11:$C$22)&lt;=B6)*(IF(Besatzung!$D$11:$D$22="",Besatzung!$B$6,Besatzung!$D$11:$D$22)&gt;=B6)),1)+(Besatzung!$F$20="x")*IFERROR(H6,0)/IFERROR(SUMPRODUCT((Besatzung!$B$11:$B$22&lt;&gt;"")*(Besatzung!$F$11:$F$22="x")*(IF(Besatzung!$C$11:$C$22="",Besatzung!$B$5,Besatzung!$C$11:$C$22)&lt;=B6)*(IF(Besatzung!$D$11:$D$22="",Besatzung!$B$6,Besatzung!$D$11:$D$22)&gt;=B6)),1))),IF(I6="Individuell",((S6="x")*((G6-IFERROR(H6,0))/IFERROR(COUNTIF(J6:U6,"x"),1)+(Besatzung!$F$20="x")*IFERROR(H6,0)/IFERROR(SUMPRODUCT((J6:U6="x")*(Besatzung!$F$11:$F$22="x")),1))),(IF(COUNTIF(J6:U6,"x")=0,IF(Besatzung!$B$20&lt;&gt;"",1,0),(S6="x"))*(G6-IFERROR(H6,0))/IFERROR(IF(COUNTIF(J6:U6,"x")=0,COUNTA(Besatzung!$B$11:$B$22),COUNTIF(J6:U6,"x")),1)+IF(COUNTIF(J6:U6,"x")=0,(Besatzung!$F$20="x"),(S6="x")*(Besatzung!$F$20="x"))*IFERROR(H6,0)/IFERROR(IF(COUNTIF(J6:U6,"x")=0,SUMPRODUCT((Besatzung!$B$11:$B$22&lt;&gt;"")*(Besatzung!$F$11:$F$22="x")),SUMPRODUCT((J6:U6="x")*(Besatzung!$F$11:$F$22="x"))),1))))),0))))</f>
        <v/>
      </c>
      <c r="AF6" s="247">
        <f>IF(C6="Gutschrift","",IF(G6="","",IF(Besatzung!$B$21="","",IFERROR(IF(I6="Zeitanteilig",(Besatzung!$G$21*(G6-IFERROR(H6,0))+((Besatzung!$B$21&lt;&gt;"")*IF(B6="",1,(IF(Besatzung!$C$21="",Besatzung!$B$5,Besatzung!$C$21)&lt;=B6)*(IF(Besatzung!$D$21="",Besatzung!$B$6,Besatzung!$D$21)&gt;=B6)))*(Besatzung!$F$21="x")*IFERROR(H6,0)/IFERROR(SUMPRODUCT((Besatzung!$B$11:$B$22&lt;&gt;"")*(Besatzung!$F$11:$F$22="x")*(IF(Besatzung!$C$11:$C$22="",Besatzung!$B$5,Besatzung!$C$11:$C$22)&lt;=B6)*(IF(Besatzung!$D$11:$D$22="",Besatzung!$B$6,Besatzung!$D$11:$D$22)&gt;=B6)),1)),IF(I6="An Bord",(((Besatzung!$B$21&lt;&gt;"")*IF(B6="",1,(IF(Besatzung!$C$21="",Besatzung!$B$5,Besatzung!$C$21)&lt;=B6)*(IF(Besatzung!$D$21="",Besatzung!$B$6,Besatzung!$D$21)&gt;=B6)))*((G6-IFERROR(H6,0))/IFERROR(SUMPRODUCT((Besatzung!$B$11:$B$22&lt;&gt;"")*(IF(Besatzung!$C$11:$C$22="",Besatzung!$B$5,Besatzung!$C$11:$C$22)&lt;=B6)*(IF(Besatzung!$D$11:$D$22="",Besatzung!$B$6,Besatzung!$D$11:$D$22)&gt;=B6)),1)+(Besatzung!$F$21="x")*IFERROR(H6,0)/IFERROR(SUMPRODUCT((Besatzung!$B$11:$B$22&lt;&gt;"")*(Besatzung!$F$11:$F$22="x")*(IF(Besatzung!$C$11:$C$22="",Besatzung!$B$5,Besatzung!$C$11:$C$22)&lt;=B6)*(IF(Besatzung!$D$11:$D$22="",Besatzung!$B$6,Besatzung!$D$11:$D$22)&gt;=B6)),1))),IF(I6="Individuell",((T6="x")*((G6-IFERROR(H6,0))/IFERROR(COUNTIF(J6:U6,"x"),1)+(Besatzung!$F$21="x")*IFERROR(H6,0)/IFERROR(SUMPRODUCT((J6:U6="x")*(Besatzung!$F$11:$F$22="x")),1))),(IF(COUNTIF(J6:U6,"x")=0,IF(Besatzung!$B$21&lt;&gt;"",1,0),(T6="x"))*(G6-IFERROR(H6,0))/IFERROR(IF(COUNTIF(J6:U6,"x")=0,COUNTA(Besatzung!$B$11:$B$22),COUNTIF(J6:U6,"x")),1)+IF(COUNTIF(J6:U6,"x")=0,(Besatzung!$F$21="x"),(T6="x")*(Besatzung!$F$21="x"))*IFERROR(H6,0)/IFERROR(IF(COUNTIF(J6:U6,"x")=0,SUMPRODUCT((Besatzung!$B$11:$B$22&lt;&gt;"")*(Besatzung!$F$11:$F$22="x")),SUMPRODUCT((J6:U6="x")*(Besatzung!$F$11:$F$22="x"))),1))))),0))))</f>
        <v/>
      </c>
      <c r="AG6" s="247">
        <f>IF(C6="Gutschrift","",IF(G6="","",IF(Besatzung!$B$22="","",IFERROR(IF(I6="Zeitanteilig",(Besatzung!$G$22*(G6-IFERROR(H6,0))+((Besatzung!$B$22&lt;&gt;"")*IF(B6="",1,(IF(Besatzung!$C$22="",Besatzung!$B$5,Besatzung!$C$22)&lt;=B6)*(IF(Besatzung!$D$22="",Besatzung!$B$6,Besatzung!$D$22)&gt;=B6)))*(Besatzung!$F$22="x")*IFERROR(H6,0)/IFERROR(SUMPRODUCT((Besatzung!$B$11:$B$22&lt;&gt;"")*(Besatzung!$F$11:$F$22="x")*(IF(Besatzung!$C$11:$C$22="",Besatzung!$B$5,Besatzung!$C$11:$C$22)&lt;=B6)*(IF(Besatzung!$D$11:$D$22="",Besatzung!$B$6,Besatzung!$D$11:$D$22)&gt;=B6)),1)),IF(I6="An Bord",(((Besatzung!$B$22&lt;&gt;"")*IF(B6="",1,(IF(Besatzung!$C$22="",Besatzung!$B$5,Besatzung!$C$22)&lt;=B6)*(IF(Besatzung!$D$22="",Besatzung!$B$6,Besatzung!$D$22)&gt;=B6)))*((G6-IFERROR(H6,0))/IFERROR(SUMPRODUCT((Besatzung!$B$11:$B$22&lt;&gt;"")*(IF(Besatzung!$C$11:$C$22="",Besatzung!$B$5,Besatzung!$C$11:$C$22)&lt;=B6)*(IF(Besatzung!$D$11:$D$22="",Besatzung!$B$6,Besatzung!$D$11:$D$22)&gt;=B6)),1)+(Besatzung!$F$22="x")*IFERROR(H6,0)/IFERROR(SUMPRODUCT((Besatzung!$B$11:$B$22&lt;&gt;"")*(Besatzung!$F$11:$F$22="x")*(IF(Besatzung!$C$11:$C$22="",Besatzung!$B$5,Besatzung!$C$11:$C$22)&lt;=B6)*(IF(Besatzung!$D$11:$D$22="",Besatzung!$B$6,Besatzung!$D$11:$D$22)&gt;=B6)),1))),IF(I6="Individuell",((U6="x")*((G6-IFERROR(H6,0))/IFERROR(COUNTIF(J6:U6,"x"),1)+(Besatzung!$F$22="x")*IFERROR(H6,0)/IFERROR(SUMPRODUCT((J6:U6="x")*(Besatzung!$F$11:$F$22="x")),1))),(IF(COUNTIF(J6:U6,"x")=0,IF(Besatzung!$B$22&lt;&gt;"",1,0),(U6="x"))*(G6-IFERROR(H6,0))/IFERROR(IF(COUNTIF(J6:U6,"x")=0,COUNTA(Besatzung!$B$11:$B$22),COUNTIF(J6:U6,"x")),1)+IF(COUNTIF(J6:U6,"x")=0,(Besatzung!$F$22="x"),(U6="x")*(Besatzung!$F$22="x"))*IFERROR(H6,0)/IFERROR(IF(COUNTIF(J6:U6,"x")=0,SUMPRODUCT((Besatzung!$B$11:$B$22&lt;&gt;"")*(Besatzung!$F$11:$F$22="x")),SUMPRODUCT((J6:U6="x")*(Besatzung!$F$11:$F$22="x"))),1))))),0))))</f>
        <v/>
      </c>
      <c r="AH6" s="248" t="n"/>
      <c r="AI6" s="248" t="n"/>
    </row>
    <row r="7" ht="21.75" customHeight="1" s="154">
      <c r="A7" s="238">
        <f>IF(AND(D7="",C7=""),"",4)</f>
        <v/>
      </c>
      <c r="B7" s="206" t="n"/>
      <c r="C7" s="249" t="n"/>
      <c r="D7" s="250" t="n"/>
      <c r="E7" s="251" t="n"/>
      <c r="F7" s="252" t="n"/>
      <c r="G7" s="253" t="n"/>
      <c r="H7" s="254" t="n"/>
      <c r="I7" s="255" t="n"/>
      <c r="J7" s="256" t="n"/>
      <c r="K7" s="256" t="n"/>
      <c r="L7" s="256" t="n"/>
      <c r="M7" s="256" t="n"/>
      <c r="N7" s="256" t="n"/>
      <c r="O7" s="256" t="n"/>
      <c r="P7" s="256" t="n"/>
      <c r="Q7" s="256" t="n"/>
      <c r="R7" s="256" t="n"/>
      <c r="S7" s="256" t="n"/>
      <c r="T7" s="256" t="n"/>
      <c r="U7" s="256" t="n"/>
      <c r="V7" s="247">
        <f>IF(C7="Gutschrift","",IF(G7="","",IF(Besatzung!$B$11="","",IFERROR(IF(I7="Zeitanteilig",(Besatzung!$G$11*(G7-IFERROR(H7,0))+((Besatzung!$B$11&lt;&gt;"")*IF(B7="",1,(IF(Besatzung!$C$11="",Besatzung!$B$5,Besatzung!$C$11)&lt;=B7)*(IF(Besatzung!$D$11="",Besatzung!$B$6,Besatzung!$D$11)&gt;=B7)))*(Besatzung!$F$11="x")*IFERROR(H7,0)/IFERROR(SUMPRODUCT((Besatzung!$B$11:$B$22&lt;&gt;"")*(Besatzung!$F$11:$F$22="x")*(IF(Besatzung!$C$11:$C$22="",Besatzung!$B$5,Besatzung!$C$11:$C$22)&lt;=B7)*(IF(Besatzung!$D$11:$D$22="",Besatzung!$B$6,Besatzung!$D$11:$D$22)&gt;=B7)),1)),IF(I7="An Bord",(((Besatzung!$B$11&lt;&gt;"")*IF(B7="",1,(IF(Besatzung!$C$11="",Besatzung!$B$5,Besatzung!$C$11)&lt;=B7)*(IF(Besatzung!$D$11="",Besatzung!$B$6,Besatzung!$D$11)&gt;=B7)))*((G7-IFERROR(H7,0))/IFERROR(SUMPRODUCT((Besatzung!$B$11:$B$22&lt;&gt;"")*(IF(Besatzung!$C$11:$C$22="",Besatzung!$B$5,Besatzung!$C$11:$C$22)&lt;=B7)*(IF(Besatzung!$D$11:$D$22="",Besatzung!$B$6,Besatzung!$D$11:$D$22)&gt;=B7)),1)+(Besatzung!$F$11="x")*IFERROR(H7,0)/IFERROR(SUMPRODUCT((Besatzung!$B$11:$B$22&lt;&gt;"")*(Besatzung!$F$11:$F$22="x")*(IF(Besatzung!$C$11:$C$22="",Besatzung!$B$5,Besatzung!$C$11:$C$22)&lt;=B7)*(IF(Besatzung!$D$11:$D$22="",Besatzung!$B$6,Besatzung!$D$11:$D$22)&gt;=B7)),1))),IF(I7="Individuell",((J7="x")*((G7-IFERROR(H7,0))/IFERROR(COUNTIF(J7:U7,"x"),1)+(Besatzung!$F$11="x")*IFERROR(H7,0)/IFERROR(SUMPRODUCT((J7:U7="x")*(Besatzung!$F$11:$F$22="x")),1))),(IF(COUNTIF(J7:U7,"x")=0,IF(Besatzung!$B$11&lt;&gt;"",1,0),(J7="x"))*(G7-IFERROR(H7,0))/IFERROR(IF(COUNTIF(J7:U7,"x")=0,COUNTA(Besatzung!$B$11:$B$22),COUNTIF(J7:U7,"x")),1)+IF(COUNTIF(J7:U7,"x")=0,(Besatzung!$F$11="x"),(J7="x")*(Besatzung!$F$11="x"))*IFERROR(H7,0)/IFERROR(IF(COUNTIF(J7:U7,"x")=0,SUMPRODUCT((Besatzung!$B$11:$B$22&lt;&gt;"")*(Besatzung!$F$11:$F$22="x")),SUMPRODUCT((J7:U7="x")*(Besatzung!$F$11:$F$22="x"))),1))))),0))))</f>
        <v/>
      </c>
      <c r="W7" s="247">
        <f>IF(C7="Gutschrift","",IF(G7="","",IF(Besatzung!$B$12="","",IFERROR(IF(I7="Zeitanteilig",(Besatzung!$G$12*(G7-IFERROR(H7,0))+((Besatzung!$B$12&lt;&gt;"")*IF(B7="",1,(IF(Besatzung!$C$12="",Besatzung!$B$5,Besatzung!$C$12)&lt;=B7)*(IF(Besatzung!$D$12="",Besatzung!$B$6,Besatzung!$D$12)&gt;=B7)))*(Besatzung!$F$12="x")*IFERROR(H7,0)/IFERROR(SUMPRODUCT((Besatzung!$B$11:$B$22&lt;&gt;"")*(Besatzung!$F$11:$F$22="x")*(IF(Besatzung!$C$11:$C$22="",Besatzung!$B$5,Besatzung!$C$11:$C$22)&lt;=B7)*(IF(Besatzung!$D$11:$D$22="",Besatzung!$B$6,Besatzung!$D$11:$D$22)&gt;=B7)),1)),IF(I7="An Bord",(((Besatzung!$B$12&lt;&gt;"")*IF(B7="",1,(IF(Besatzung!$C$12="",Besatzung!$B$5,Besatzung!$C$12)&lt;=B7)*(IF(Besatzung!$D$12="",Besatzung!$B$6,Besatzung!$D$12)&gt;=B7)))*((G7-IFERROR(H7,0))/IFERROR(SUMPRODUCT((Besatzung!$B$11:$B$22&lt;&gt;"")*(IF(Besatzung!$C$11:$C$22="",Besatzung!$B$5,Besatzung!$C$11:$C$22)&lt;=B7)*(IF(Besatzung!$D$11:$D$22="",Besatzung!$B$6,Besatzung!$D$11:$D$22)&gt;=B7)),1)+(Besatzung!$F$12="x")*IFERROR(H7,0)/IFERROR(SUMPRODUCT((Besatzung!$B$11:$B$22&lt;&gt;"")*(Besatzung!$F$11:$F$22="x")*(IF(Besatzung!$C$11:$C$22="",Besatzung!$B$5,Besatzung!$C$11:$C$22)&lt;=B7)*(IF(Besatzung!$D$11:$D$22="",Besatzung!$B$6,Besatzung!$D$11:$D$22)&gt;=B7)),1))),IF(I7="Individuell",((K7="x")*((G7-IFERROR(H7,0))/IFERROR(COUNTIF(J7:U7,"x"),1)+(Besatzung!$F$12="x")*IFERROR(H7,0)/IFERROR(SUMPRODUCT((J7:U7="x")*(Besatzung!$F$11:$F$22="x")),1))),(IF(COUNTIF(J7:U7,"x")=0,IF(Besatzung!$B$12&lt;&gt;"",1,0),(K7="x"))*(G7-IFERROR(H7,0))/IFERROR(IF(COUNTIF(J7:U7,"x")=0,COUNTA(Besatzung!$B$11:$B$22),COUNTIF(J7:U7,"x")),1)+IF(COUNTIF(J7:U7,"x")=0,(Besatzung!$F$12="x"),(K7="x")*(Besatzung!$F$12="x"))*IFERROR(H7,0)/IFERROR(IF(COUNTIF(J7:U7,"x")=0,SUMPRODUCT((Besatzung!$B$11:$B$22&lt;&gt;"")*(Besatzung!$F$11:$F$22="x")),SUMPRODUCT((J7:U7="x")*(Besatzung!$F$11:$F$22="x"))),1))))),0))))</f>
        <v/>
      </c>
      <c r="X7" s="247">
        <f>IF(C7="Gutschrift","",IF(G7="","",IF(Besatzung!$B$13="","",IFERROR(IF(I7="Zeitanteilig",(Besatzung!$G$13*(G7-IFERROR(H7,0))+((Besatzung!$B$13&lt;&gt;"")*IF(B7="",1,(IF(Besatzung!$C$13="",Besatzung!$B$5,Besatzung!$C$13)&lt;=B7)*(IF(Besatzung!$D$13="",Besatzung!$B$6,Besatzung!$D$13)&gt;=B7)))*(Besatzung!$F$13="x")*IFERROR(H7,0)/IFERROR(SUMPRODUCT((Besatzung!$B$11:$B$22&lt;&gt;"")*(Besatzung!$F$11:$F$22="x")*(IF(Besatzung!$C$11:$C$22="",Besatzung!$B$5,Besatzung!$C$11:$C$22)&lt;=B7)*(IF(Besatzung!$D$11:$D$22="",Besatzung!$B$6,Besatzung!$D$11:$D$22)&gt;=B7)),1)),IF(I7="An Bord",(((Besatzung!$B$13&lt;&gt;"")*IF(B7="",1,(IF(Besatzung!$C$13="",Besatzung!$B$5,Besatzung!$C$13)&lt;=B7)*(IF(Besatzung!$D$13="",Besatzung!$B$6,Besatzung!$D$13)&gt;=B7)))*((G7-IFERROR(H7,0))/IFERROR(SUMPRODUCT((Besatzung!$B$11:$B$22&lt;&gt;"")*(IF(Besatzung!$C$11:$C$22="",Besatzung!$B$5,Besatzung!$C$11:$C$22)&lt;=B7)*(IF(Besatzung!$D$11:$D$22="",Besatzung!$B$6,Besatzung!$D$11:$D$22)&gt;=B7)),1)+(Besatzung!$F$13="x")*IFERROR(H7,0)/IFERROR(SUMPRODUCT((Besatzung!$B$11:$B$22&lt;&gt;"")*(Besatzung!$F$11:$F$22="x")*(IF(Besatzung!$C$11:$C$22="",Besatzung!$B$5,Besatzung!$C$11:$C$22)&lt;=B7)*(IF(Besatzung!$D$11:$D$22="",Besatzung!$B$6,Besatzung!$D$11:$D$22)&gt;=B7)),1))),IF(I7="Individuell",((K7="x")*((G7-IFERROR(H7,0))/IFERROR(COUNTIF(J7:U7,"x"),1)+(Besatzung!$F$13="x")*IFERROR(H7,0)/IFERROR(SUMPRODUCT((J7:U7="x")*(Besatzung!$F$11:$F$22="x")),1))),(IF(COUNTIF(J7:U7,"x")=0,IF(Besatzung!$B$13&lt;&gt;"",1,0),(K7="x"))*(G7-IFERROR(H7,0))/IFERROR(IF(COUNTIF(J7:U7,"x")=0,COUNTA(Besatzung!$B$11:$B$22),COUNTIF(J7:U7,"x")),1)+IF(COUNTIF(J7:U7,"x")=0,(Besatzung!$F$13="x"),(K7="x")*(Besatzung!$F$13="x"))*IFERROR(H7,0)/IFERROR(IF(COUNTIF(J7:U7,"x")=0,SUMPRODUCT((Besatzung!$B$11:$B$22&lt;&gt;"")*(Besatzung!$F$11:$F$22="x")),SUMPRODUCT((J7:U7="x")*(Besatzung!$F$11:$F$22="x"))),1))))),0))))</f>
        <v/>
      </c>
      <c r="Y7" s="247">
        <f>IF(C7="Gutschrift","",IF(G7="","",IF(Besatzung!$B$14="","",IFERROR(IF(I7="Zeitanteilig",(Besatzung!$G$14*(G7-IFERROR(H7,0))+((Besatzung!$B$14&lt;&gt;"")*IF(B7="",1,(IF(Besatzung!$C$14="",Besatzung!$B$5,Besatzung!$C$14)&lt;=B7)*(IF(Besatzung!$D$14="",Besatzung!$B$6,Besatzung!$D$14)&gt;=B7)))*(Besatzung!$F$14="x")*IFERROR(H7,0)/IFERROR(SUMPRODUCT((Besatzung!$B$11:$B$22&lt;&gt;"")*(Besatzung!$F$11:$F$22="x")*(IF(Besatzung!$C$11:$C$22="",Besatzung!$B$5,Besatzung!$C$11:$C$22)&lt;=B7)*(IF(Besatzung!$D$11:$D$22="",Besatzung!$B$6,Besatzung!$D$11:$D$22)&gt;=B7)),1)),IF(I7="An Bord",(((Besatzung!$B$14&lt;&gt;"")*IF(B7="",1,(IF(Besatzung!$C$14="",Besatzung!$B$5,Besatzung!$C$14)&lt;=B7)*(IF(Besatzung!$D$14="",Besatzung!$B$6,Besatzung!$D$14)&gt;=B7)))*((G7-IFERROR(H7,0))/IFERROR(SUMPRODUCT((Besatzung!$B$11:$B$22&lt;&gt;"")*(IF(Besatzung!$C$11:$C$22="",Besatzung!$B$5,Besatzung!$C$11:$C$22)&lt;=B7)*(IF(Besatzung!$D$11:$D$22="",Besatzung!$B$6,Besatzung!$D$11:$D$22)&gt;=B7)),1)+(Besatzung!$F$14="x")*IFERROR(H7,0)/IFERROR(SUMPRODUCT((Besatzung!$B$11:$B$22&lt;&gt;"")*(Besatzung!$F$11:$F$22="x")*(IF(Besatzung!$C$11:$C$22="",Besatzung!$B$5,Besatzung!$C$11:$C$22)&lt;=B7)*(IF(Besatzung!$D$11:$D$22="",Besatzung!$B$6,Besatzung!$D$11:$D$22)&gt;=B7)),1))),IF(I7="Individuell",((M7="x")*((G7-IFERROR(H7,0))/IFERROR(COUNTIF(J7:U7,"x"),1)+(Besatzung!$F$14="x")*IFERROR(H7,0)/IFERROR(SUMPRODUCT((J7:U7="x")*(Besatzung!$F$11:$F$22="x")),1))),(IF(COUNTIF(J7:U7,"x")=0,IF(Besatzung!$B$14&lt;&gt;"",1,0),(M7="x"))*(G7-IFERROR(H7,0))/IFERROR(IF(COUNTIF(J7:U7,"x")=0,COUNTA(Besatzung!$B$11:$B$22),COUNTIF(J7:U7,"x")),1)+IF(COUNTIF(J7:U7,"x")=0,(Besatzung!$F$14="x"),(M7="x")*(Besatzung!$F$14="x"))*IFERROR(H7,0)/IFERROR(IF(COUNTIF(J7:U7,"x")=0,SUMPRODUCT((Besatzung!$B$11:$B$22&lt;&gt;"")*(Besatzung!$F$11:$F$22="x")),SUMPRODUCT((J7:U7="x")*(Besatzung!$F$11:$F$22="x"))),1))))),0))))</f>
        <v/>
      </c>
      <c r="Z7" s="247">
        <f>IF(C7="Gutschrift","",IF(G7="","",IF(Besatzung!$B$13="","",IFERROR(IF(I7="Zeitanteilig",(Besatzung!$G$15*(G7-IFERROR(H7,0))+((Besatzung!$B$13&lt;&gt;"")*IF(B7="",1,(IF(Besatzung!$C$15="",Besatzung!$B$5,Besatzung!$C$15)&lt;=B7)*(IF(Besatzung!$D$15="",Besatzung!$B$6,Besatzung!$D$15)&gt;=B7)))*(Besatzung!$F$15="x")*IFERROR(H7,0)/IFERROR(SUMPRODUCT((Besatzung!$B$11:$B$22&lt;&gt;"")*(Besatzung!$F$11:$F$22="x")*(IF(Besatzung!$C$11:$C$22="",Besatzung!$B$5,Besatzung!$C$11:$C$22)&lt;=B7)*(IF(Besatzung!$D$11:$D$22="",Besatzung!$B$6,Besatzung!$D$11:$D$22)&gt;=B7)),1)),IF(I7="An Bord",(((Besatzung!$B$13&lt;&gt;"")*IF(B7="",1,(IF(Besatzung!$C$15="",Besatzung!$B$5,Besatzung!$C$15)&lt;=B7)*(IF(Besatzung!$D$15="",Besatzung!$B$6,Besatzung!$D$15)&gt;=B7)))*((G7-IFERROR(H7,0))/IFERROR(SUMPRODUCT((Besatzung!$B$11:$B$22&lt;&gt;"")*(IF(Besatzung!$C$11:$C$22="",Besatzung!$B$5,Besatzung!$C$11:$C$22)&lt;=B7)*(IF(Besatzung!$D$11:$D$22="",Besatzung!$B$6,Besatzung!$D$11:$D$22)&gt;=B7)),1)+(Besatzung!$F$15="x")*IFERROR(H7,0)/IFERROR(SUMPRODUCT((Besatzung!$B$11:$B$22&lt;&gt;"")*(Besatzung!$F$11:$F$22="x")*(IF(Besatzung!$C$11:$C$22="",Besatzung!$B$5,Besatzung!$C$11:$C$22)&lt;=B7)*(IF(Besatzung!$D$11:$D$22="",Besatzung!$B$6,Besatzung!$D$11:$D$22)&gt;=B7)),1))),IF(I7="Individuell",((N7="x")*((G7-IFERROR(H7,0))/IFERROR(COUNTIF(J7:U7,"x"),1)+(Besatzung!$F$15="x")*IFERROR(H7,0)/IFERROR(SUMPRODUCT((J7:U7="x")*(Besatzung!$F$11:$F$22="x")),1))),(IF(COUNTIF(J7:U7,"x")=0,IF(Besatzung!$B$13&lt;&gt;"",1,0),(N7="x"))*(G7-IFERROR(H7,0))/IFERROR(IF(COUNTIF(J7:U7,"x")=0,COUNTA(Besatzung!$B$11:$B$22),COUNTIF(J7:U7,"x")),1)+IF(COUNTIF(J7:U7,"x")=0,(Besatzung!$F$15="x"),(N7="x")*(Besatzung!$F$15="x"))*IFERROR(H7,0)/IFERROR(IF(COUNTIF(J7:U7,"x")=0,SUMPRODUCT((Besatzung!$B$11:$B$22&lt;&gt;"")*(Besatzung!$F$11:$F$22="x")),SUMPRODUCT((J7:U7="x")*(Besatzung!$F$11:$F$22="x"))),1))))),0))))</f>
        <v/>
      </c>
      <c r="AA7" s="247">
        <f>IF(C7="Gutschrift","",IF(G7="","",IF(Besatzung!$B$15="","",IFERROR(IF(I7="Zeitanteilig",(Besatzung!$G$16*(G7-IFERROR(H7,0))+((Besatzung!$B$15&lt;&gt;"")*IF(B7="",1,(IF(Besatzung!$C$16="",Besatzung!$B$5,Besatzung!$C$16)&lt;=B7)*(IF(Besatzung!$D$16="",Besatzung!$B$6,Besatzung!$D$16)&gt;=B7)))*(Besatzung!$F$16="x")*IFERROR(H7,0)/IFERROR(SUMPRODUCT((Besatzung!$B$11:$B$22&lt;&gt;"")*(Besatzung!$F$11:$F$22="x")*(IF(Besatzung!$C$11:$C$22="",Besatzung!$B$5,Besatzung!$C$11:$C$22)&lt;=B7)*(IF(Besatzung!$D$11:$D$22="",Besatzung!$B$6,Besatzung!$D$11:$D$22)&gt;=B7)),1)),IF(I7="An Bord",(((Besatzung!$B$15&lt;&gt;"")*IF(B7="",1,(IF(Besatzung!$C$16="",Besatzung!$B$5,Besatzung!$C$16)&lt;=B7)*(IF(Besatzung!$D$16="",Besatzung!$B$6,Besatzung!$D$16)&gt;=B7)))*((G7-IFERROR(H7,0))/IFERROR(SUMPRODUCT((Besatzung!$B$11:$B$22&lt;&gt;"")*(IF(Besatzung!$C$11:$C$22="",Besatzung!$B$5,Besatzung!$C$11:$C$22)&lt;=B7)*(IF(Besatzung!$D$11:$D$22="",Besatzung!$B$6,Besatzung!$D$11:$D$22)&gt;=B7)),1)+(Besatzung!$F$16="x")*IFERROR(H7,0)/IFERROR(SUMPRODUCT((Besatzung!$B$11:$B$22&lt;&gt;"")*(Besatzung!$F$11:$F$22="x")*(IF(Besatzung!$C$11:$C$22="",Besatzung!$B$5,Besatzung!$C$11:$C$22)&lt;=B7)*(IF(Besatzung!$D$11:$D$22="",Besatzung!$B$6,Besatzung!$D$11:$D$22)&gt;=B7)),1))),IF(I7="Individuell",((O7="x")*((G7-IFERROR(H7,0))/IFERROR(COUNTIF(J7:U7,"x"),1)+(Besatzung!$F$16="x")*IFERROR(H7,0)/IFERROR(SUMPRODUCT((J7:U7="x")*(Besatzung!$F$11:$F$22="x")),1))),(IF(COUNTIF(J7:U7,"x")=0,IF(Besatzung!$B$15&lt;&gt;"",1,0),(O7="x"))*(G7-IFERROR(H7,0))/IFERROR(IF(COUNTIF(J7:U7,"x")=0,COUNTA(Besatzung!$B$11:$B$22),COUNTIF(J7:U7,"x")),1)+IF(COUNTIF(J7:U7,"x")=0,(Besatzung!$F$16="x"),(O7="x")*(Besatzung!$F$16="x"))*IFERROR(H7,0)/IFERROR(IF(COUNTIF(J7:U7,"x")=0,SUMPRODUCT((Besatzung!$B$11:$B$22&lt;&gt;"")*(Besatzung!$F$11:$F$22="x")),SUMPRODUCT((J7:U7="x")*(Besatzung!$F$11:$F$22="x"))),1))))),0))))</f>
        <v/>
      </c>
      <c r="AB7" s="247">
        <f>IF(C7="Gutschrift","",IF(G7="","",IF(Besatzung!$B$17="","",IFERROR(IF(I7="Zeitanteilig",(Besatzung!$G$17*(G7-IFERROR(H7,0))+((Besatzung!$B$17&lt;&gt;"")*IF(B7="",1,(IF(Besatzung!$C$17="",Besatzung!$B$5,Besatzung!$C$17)&lt;=B7)*(IF(Besatzung!$D$17="",Besatzung!$B$6,Besatzung!$D$17)&gt;=B7)))*(Besatzung!$F$17="x")*IFERROR(H7,0)/IFERROR(SUMPRODUCT((Besatzung!$B$11:$B$22&lt;&gt;"")*(Besatzung!$F$11:$F$22="x")*(IF(Besatzung!$C$11:$C$22="",Besatzung!$B$5,Besatzung!$C$11:$C$22)&lt;=B7)*(IF(Besatzung!$D$11:$D$22="",Besatzung!$B$6,Besatzung!$D$11:$D$22)&gt;=B7)),1)),IF(I7="An Bord",(((Besatzung!$B$17&lt;&gt;"")*IF(B7="",1,(IF(Besatzung!$C$17="",Besatzung!$B$5,Besatzung!$C$17)&lt;=B7)*(IF(Besatzung!$D$17="",Besatzung!$B$6,Besatzung!$D$17)&gt;=B7)))*((G7-IFERROR(H7,0))/IFERROR(SUMPRODUCT((Besatzung!$B$11:$B$22&lt;&gt;"")*(IF(Besatzung!$C$11:$C$22="",Besatzung!$B$5,Besatzung!$C$11:$C$22)&lt;=B7)*(IF(Besatzung!$D$11:$D$22="",Besatzung!$B$6,Besatzung!$D$11:$D$22)&gt;=B7)),1)+(Besatzung!$F$17="x")*IFERROR(H7,0)/IFERROR(SUMPRODUCT((Besatzung!$B$11:$B$22&lt;&gt;"")*(Besatzung!$F$11:$F$22="x")*(IF(Besatzung!$C$11:$C$22="",Besatzung!$B$5,Besatzung!$C$11:$C$22)&lt;=B7)*(IF(Besatzung!$D$11:$D$22="",Besatzung!$B$6,Besatzung!$D$11:$D$22)&gt;=B7)),1))),IF(I7="Individuell",((P7="x")*((G7-IFERROR(H7,0))/IFERROR(COUNTIF(J7:U7,"x"),1)+(Besatzung!$F$17="x")*IFERROR(H7,0)/IFERROR(SUMPRODUCT((J7:U7="x")*(Besatzung!$F$11:$F$22="x")),1))),(IF(COUNTIF(J7:U7,"x")=0,IF(Besatzung!$B$17&lt;&gt;"",1,0),(P7="x"))*(G7-IFERROR(H7,0))/IFERROR(IF(COUNTIF(J7:U7,"x")=0,COUNTA(Besatzung!$B$11:$B$22),COUNTIF(J7:U7,"x")),1)+IF(COUNTIF(J7:U7,"x")=0,(Besatzung!$F$17="x"),(P7="x")*(Besatzung!$F$17="x"))*IFERROR(H7,0)/IFERROR(IF(COUNTIF(J7:U7,"x")=0,SUMPRODUCT((Besatzung!$B$11:$B$22&lt;&gt;"")*(Besatzung!$F$11:$F$22="x")),SUMPRODUCT((J7:U7="x")*(Besatzung!$F$11:$F$22="x"))),1))))),0))))</f>
        <v/>
      </c>
      <c r="AC7" s="247">
        <f>IF(C7="Gutschrift","",IF(G7="","",IF(Besatzung!$B$18="","",IFERROR(IF(I7="Zeitanteilig",(Besatzung!$G$18*(G7-IFERROR(H7,0))+((Besatzung!$B$18&lt;&gt;"")*IF(B7="",1,(IF(Besatzung!$C$18="",Besatzung!$B$5,Besatzung!$C$18)&lt;=B7)*(IF(Besatzung!$D$18="",Besatzung!$B$6,Besatzung!$D$18)&gt;=B7)))*(Besatzung!$F$18="x")*IFERROR(H7,0)/IFERROR(SUMPRODUCT((Besatzung!$B$11:$B$22&lt;&gt;"")*(Besatzung!$F$11:$F$22="x")*(IF(Besatzung!$C$11:$C$22="",Besatzung!$B$5,Besatzung!$C$11:$C$22)&lt;=B7)*(IF(Besatzung!$D$11:$D$22="",Besatzung!$B$6,Besatzung!$D$11:$D$22)&gt;=B7)),1)),IF(I7="An Bord",(((Besatzung!$B$18&lt;&gt;"")*IF(B7="",1,(IF(Besatzung!$C$18="",Besatzung!$B$5,Besatzung!$C$18)&lt;=B7)*(IF(Besatzung!$D$18="",Besatzung!$B$6,Besatzung!$D$18)&gt;=B7)))*((G7-IFERROR(H7,0))/IFERROR(SUMPRODUCT((Besatzung!$B$11:$B$22&lt;&gt;"")*(IF(Besatzung!$C$11:$C$22="",Besatzung!$B$5,Besatzung!$C$11:$C$22)&lt;=B7)*(IF(Besatzung!$D$11:$D$22="",Besatzung!$B$6,Besatzung!$D$11:$D$22)&gt;=B7)),1)+(Besatzung!$F$18="x")*IFERROR(H7,0)/IFERROR(SUMPRODUCT((Besatzung!$B$11:$B$22&lt;&gt;"")*(Besatzung!$F$11:$F$22="x")*(IF(Besatzung!$C$11:$C$22="",Besatzung!$B$5,Besatzung!$C$11:$C$22)&lt;=B7)*(IF(Besatzung!$D$11:$D$22="",Besatzung!$B$6,Besatzung!$D$11:$D$22)&gt;=B7)),1))),IF(I7="Individuell",((Q7="x")*((G7-IFERROR(H7,0))/IFERROR(COUNTIF(J7:U7,"x"),1)+(Besatzung!$F$18="x")*IFERROR(H7,0)/IFERROR(SUMPRODUCT((J7:U7="x")*(Besatzung!$F$11:$F$22="x")),1))),(IF(COUNTIF(J7:U7,"x")=0,IF(Besatzung!$B$18&lt;&gt;"",1,0),(Q7="x"))*(G7-IFERROR(H7,0))/IFERROR(IF(COUNTIF(J7:U7,"x")=0,COUNTA(Besatzung!$B$11:$B$22),COUNTIF(J7:U7,"x")),1)+IF(COUNTIF(J7:U7,"x")=0,(Besatzung!$F$18="x"),(Q7="x")*(Besatzung!$F$18="x"))*IFERROR(H7,0)/IFERROR(IF(COUNTIF(J7:U7,"x")=0,SUMPRODUCT((Besatzung!$B$11:$B$22&lt;&gt;"")*(Besatzung!$F$11:$F$22="x")),SUMPRODUCT((J7:U7="x")*(Besatzung!$F$11:$F$22="x"))),1))))),0))))</f>
        <v/>
      </c>
      <c r="AD7" s="247">
        <f>IF(C7="Gutschrift","",IF(G7="","",IF(Besatzung!$B$19="","",IFERROR(IF(I7="Zeitanteilig",(Besatzung!$G$19*(G7-IFERROR(H7,0))+((Besatzung!$B$19&lt;&gt;"")*IF(B7="",1,(IF(Besatzung!$C$19="",Besatzung!$B$5,Besatzung!$C$19)&lt;=B7)*(IF(Besatzung!$D$19="",Besatzung!$B$6,Besatzung!$D$19)&gt;=B7)))*(Besatzung!$F$19="x")*IFERROR(H7,0)/IFERROR(SUMPRODUCT((Besatzung!$B$11:$B$22&lt;&gt;"")*(Besatzung!$F$11:$F$22="x")*(IF(Besatzung!$C$11:$C$22="",Besatzung!$B$5,Besatzung!$C$11:$C$22)&lt;=B7)*(IF(Besatzung!$D$11:$D$22="",Besatzung!$B$6,Besatzung!$D$11:$D$22)&gt;=B7)),1)),IF(I7="An Bord",(((Besatzung!$B$19&lt;&gt;"")*IF(B7="",1,(IF(Besatzung!$C$19="",Besatzung!$B$5,Besatzung!$C$19)&lt;=B7)*(IF(Besatzung!$D$19="",Besatzung!$B$6,Besatzung!$D$19)&gt;=B7)))*((G7-IFERROR(H7,0))/IFERROR(SUMPRODUCT((Besatzung!$B$11:$B$22&lt;&gt;"")*(IF(Besatzung!$C$11:$C$22="",Besatzung!$B$5,Besatzung!$C$11:$C$22)&lt;=B7)*(IF(Besatzung!$D$11:$D$22="",Besatzung!$B$6,Besatzung!$D$11:$D$22)&gt;=B7)),1)+(Besatzung!$F$19="x")*IFERROR(H7,0)/IFERROR(SUMPRODUCT((Besatzung!$B$11:$B$22&lt;&gt;"")*(Besatzung!$F$11:$F$22="x")*(IF(Besatzung!$C$11:$C$22="",Besatzung!$B$5,Besatzung!$C$11:$C$22)&lt;=B7)*(IF(Besatzung!$D$11:$D$22="",Besatzung!$B$6,Besatzung!$D$11:$D$22)&gt;=B7)),1))),IF(I7="Individuell",((R7="x")*((G7-IFERROR(H7,0))/IFERROR(COUNTIF(J7:U7,"x"),1)+(Besatzung!$F$19="x")*IFERROR(H7,0)/IFERROR(SUMPRODUCT((J7:U7="x")*(Besatzung!$F$11:$F$22="x")),1))),(IF(COUNTIF(J7:U7,"x")=0,IF(Besatzung!$B$19&lt;&gt;"",1,0),(R7="x"))*(G7-IFERROR(H7,0))/IFERROR(IF(COUNTIF(J7:U7,"x")=0,COUNTA(Besatzung!$B$11:$B$22),COUNTIF(J7:U7,"x")),1)+IF(COUNTIF(J7:U7,"x")=0,(Besatzung!$F$19="x"),(R7="x")*(Besatzung!$F$19="x"))*IFERROR(H7,0)/IFERROR(IF(COUNTIF(J7:U7,"x")=0,SUMPRODUCT((Besatzung!$B$11:$B$22&lt;&gt;"")*(Besatzung!$F$11:$F$22="x")),SUMPRODUCT((J7:U7="x")*(Besatzung!$F$11:$F$22="x"))),1))))),0))))</f>
        <v/>
      </c>
      <c r="AE7" s="247">
        <f>IF(C7="Gutschrift","",IF(G7="","",IF(Besatzung!$B$20="","",IFERROR(IF(I7="Zeitanteilig",(Besatzung!$G$20*(G7-IFERROR(H7,0))+((Besatzung!$B$20&lt;&gt;"")*IF(B7="",1,(IF(Besatzung!$C$20="",Besatzung!$B$5,Besatzung!$C$20)&lt;=B7)*(IF(Besatzung!$D$20="",Besatzung!$B$6,Besatzung!$D$20)&gt;=B7)))*(Besatzung!$F$20="x")*IFERROR(H7,0)/IFERROR(SUMPRODUCT((Besatzung!$B$11:$B$22&lt;&gt;"")*(Besatzung!$F$11:$F$22="x")*(IF(Besatzung!$C$11:$C$22="",Besatzung!$B$5,Besatzung!$C$11:$C$22)&lt;=B7)*(IF(Besatzung!$D$11:$D$22="",Besatzung!$B$6,Besatzung!$D$11:$D$22)&gt;=B7)),1)),IF(I7="An Bord",(((Besatzung!$B$20&lt;&gt;"")*IF(B7="",1,(IF(Besatzung!$C$20="",Besatzung!$B$5,Besatzung!$C$20)&lt;=B7)*(IF(Besatzung!$D$20="",Besatzung!$B$6,Besatzung!$D$20)&gt;=B7)))*((G7-IFERROR(H7,0))/IFERROR(SUMPRODUCT((Besatzung!$B$11:$B$22&lt;&gt;"")*(IF(Besatzung!$C$11:$C$22="",Besatzung!$B$5,Besatzung!$C$11:$C$22)&lt;=B7)*(IF(Besatzung!$D$11:$D$22="",Besatzung!$B$6,Besatzung!$D$11:$D$22)&gt;=B7)),1)+(Besatzung!$F$20="x")*IFERROR(H7,0)/IFERROR(SUMPRODUCT((Besatzung!$B$11:$B$22&lt;&gt;"")*(Besatzung!$F$11:$F$22="x")*(IF(Besatzung!$C$11:$C$22="",Besatzung!$B$5,Besatzung!$C$11:$C$22)&lt;=B7)*(IF(Besatzung!$D$11:$D$22="",Besatzung!$B$6,Besatzung!$D$11:$D$22)&gt;=B7)),1))),IF(I7="Individuell",((S7="x")*((G7-IFERROR(H7,0))/IFERROR(COUNTIF(J7:U7,"x"),1)+(Besatzung!$F$20="x")*IFERROR(H7,0)/IFERROR(SUMPRODUCT((J7:U7="x")*(Besatzung!$F$11:$F$22="x")),1))),(IF(COUNTIF(J7:U7,"x")=0,IF(Besatzung!$B$20&lt;&gt;"",1,0),(S7="x"))*(G7-IFERROR(H7,0))/IFERROR(IF(COUNTIF(J7:U7,"x")=0,COUNTA(Besatzung!$B$11:$B$22),COUNTIF(J7:U7,"x")),1)+IF(COUNTIF(J7:U7,"x")=0,(Besatzung!$F$20="x"),(S7="x")*(Besatzung!$F$20="x"))*IFERROR(H7,0)/IFERROR(IF(COUNTIF(J7:U7,"x")=0,SUMPRODUCT((Besatzung!$B$11:$B$22&lt;&gt;"")*(Besatzung!$F$11:$F$22="x")),SUMPRODUCT((J7:U7="x")*(Besatzung!$F$11:$F$22="x"))),1))))),0))))</f>
        <v/>
      </c>
      <c r="AF7" s="247">
        <f>IF(C7="Gutschrift","",IF(G7="","",IF(Besatzung!$B$21="","",IFERROR(IF(I7="Zeitanteilig",(Besatzung!$G$21*(G7-IFERROR(H7,0))+((Besatzung!$B$21&lt;&gt;"")*IF(B7="",1,(IF(Besatzung!$C$21="",Besatzung!$B$5,Besatzung!$C$21)&lt;=B7)*(IF(Besatzung!$D$21="",Besatzung!$B$6,Besatzung!$D$21)&gt;=B7)))*(Besatzung!$F$21="x")*IFERROR(H7,0)/IFERROR(SUMPRODUCT((Besatzung!$B$11:$B$22&lt;&gt;"")*(Besatzung!$F$11:$F$22="x")*(IF(Besatzung!$C$11:$C$22="",Besatzung!$B$5,Besatzung!$C$11:$C$22)&lt;=B7)*(IF(Besatzung!$D$11:$D$22="",Besatzung!$B$6,Besatzung!$D$11:$D$22)&gt;=B7)),1)),IF(I7="An Bord",(((Besatzung!$B$21&lt;&gt;"")*IF(B7="",1,(IF(Besatzung!$C$21="",Besatzung!$B$5,Besatzung!$C$21)&lt;=B7)*(IF(Besatzung!$D$21="",Besatzung!$B$6,Besatzung!$D$21)&gt;=B7)))*((G7-IFERROR(H7,0))/IFERROR(SUMPRODUCT((Besatzung!$B$11:$B$22&lt;&gt;"")*(IF(Besatzung!$C$11:$C$22="",Besatzung!$B$5,Besatzung!$C$11:$C$22)&lt;=B7)*(IF(Besatzung!$D$11:$D$22="",Besatzung!$B$6,Besatzung!$D$11:$D$22)&gt;=B7)),1)+(Besatzung!$F$21="x")*IFERROR(H7,0)/IFERROR(SUMPRODUCT((Besatzung!$B$11:$B$22&lt;&gt;"")*(Besatzung!$F$11:$F$22="x")*(IF(Besatzung!$C$11:$C$22="",Besatzung!$B$5,Besatzung!$C$11:$C$22)&lt;=B7)*(IF(Besatzung!$D$11:$D$22="",Besatzung!$B$6,Besatzung!$D$11:$D$22)&gt;=B7)),1))),IF(I7="Individuell",((T7="x")*((G7-IFERROR(H7,0))/IFERROR(COUNTIF(J7:U7,"x"),1)+(Besatzung!$F$21="x")*IFERROR(H7,0)/IFERROR(SUMPRODUCT((J7:U7="x")*(Besatzung!$F$11:$F$22="x")),1))),(IF(COUNTIF(J7:U7,"x")=0,IF(Besatzung!$B$21&lt;&gt;"",1,0),(T7="x"))*(G7-IFERROR(H7,0))/IFERROR(IF(COUNTIF(J7:U7,"x")=0,COUNTA(Besatzung!$B$11:$B$22),COUNTIF(J7:U7,"x")),1)+IF(COUNTIF(J7:U7,"x")=0,(Besatzung!$F$21="x"),(T7="x")*(Besatzung!$F$21="x"))*IFERROR(H7,0)/IFERROR(IF(COUNTIF(J7:U7,"x")=0,SUMPRODUCT((Besatzung!$B$11:$B$22&lt;&gt;"")*(Besatzung!$F$11:$F$22="x")),SUMPRODUCT((J7:U7="x")*(Besatzung!$F$11:$F$22="x"))),1))))),0))))</f>
        <v/>
      </c>
      <c r="AG7" s="247">
        <f>IF(C7="Gutschrift","",IF(G7="","",IF(Besatzung!$B$22="","",IFERROR(IF(I7="Zeitanteilig",(Besatzung!$G$22*(G7-IFERROR(H7,0))+((Besatzung!$B$22&lt;&gt;"")*IF(B7="",1,(IF(Besatzung!$C$22="",Besatzung!$B$5,Besatzung!$C$22)&lt;=B7)*(IF(Besatzung!$D$22="",Besatzung!$B$6,Besatzung!$D$22)&gt;=B7)))*(Besatzung!$F$22="x")*IFERROR(H7,0)/IFERROR(SUMPRODUCT((Besatzung!$B$11:$B$22&lt;&gt;"")*(Besatzung!$F$11:$F$22="x")*(IF(Besatzung!$C$11:$C$22="",Besatzung!$B$5,Besatzung!$C$11:$C$22)&lt;=B7)*(IF(Besatzung!$D$11:$D$22="",Besatzung!$B$6,Besatzung!$D$11:$D$22)&gt;=B7)),1)),IF(I7="An Bord",(((Besatzung!$B$22&lt;&gt;"")*IF(B7="",1,(IF(Besatzung!$C$22="",Besatzung!$B$5,Besatzung!$C$22)&lt;=B7)*(IF(Besatzung!$D$22="",Besatzung!$B$6,Besatzung!$D$22)&gt;=B7)))*((G7-IFERROR(H7,0))/IFERROR(SUMPRODUCT((Besatzung!$B$11:$B$22&lt;&gt;"")*(IF(Besatzung!$C$11:$C$22="",Besatzung!$B$5,Besatzung!$C$11:$C$22)&lt;=B7)*(IF(Besatzung!$D$11:$D$22="",Besatzung!$B$6,Besatzung!$D$11:$D$22)&gt;=B7)),1)+(Besatzung!$F$22="x")*IFERROR(H7,0)/IFERROR(SUMPRODUCT((Besatzung!$B$11:$B$22&lt;&gt;"")*(Besatzung!$F$11:$F$22="x")*(IF(Besatzung!$C$11:$C$22="",Besatzung!$B$5,Besatzung!$C$11:$C$22)&lt;=B7)*(IF(Besatzung!$D$11:$D$22="",Besatzung!$B$6,Besatzung!$D$11:$D$22)&gt;=B7)),1))),IF(I7="Individuell",((U7="x")*((G7-IFERROR(H7,0))/IFERROR(COUNTIF(J7:U7,"x"),1)+(Besatzung!$F$22="x")*IFERROR(H7,0)/IFERROR(SUMPRODUCT((J7:U7="x")*(Besatzung!$F$11:$F$22="x")),1))),(IF(COUNTIF(J7:U7,"x")=0,IF(Besatzung!$B$22&lt;&gt;"",1,0),(U7="x"))*(G7-IFERROR(H7,0))/IFERROR(IF(COUNTIF(J7:U7,"x")=0,COUNTA(Besatzung!$B$11:$B$22),COUNTIF(J7:U7,"x")),1)+IF(COUNTIF(J7:U7,"x")=0,(Besatzung!$F$22="x"),(U7="x")*(Besatzung!$F$22="x"))*IFERROR(H7,0)/IFERROR(IF(COUNTIF(J7:U7,"x")=0,SUMPRODUCT((Besatzung!$B$11:$B$22&lt;&gt;"")*(Besatzung!$F$11:$F$22="x")),SUMPRODUCT((J7:U7="x")*(Besatzung!$F$11:$F$22="x"))),1))))),0))))</f>
        <v/>
      </c>
      <c r="AH7" s="248" t="n"/>
      <c r="AI7" s="248" t="n"/>
    </row>
    <row r="8" ht="21.75" customHeight="1" s="154">
      <c r="A8" s="238">
        <f>IF(AND(D8="",C8=""),"",5)</f>
        <v/>
      </c>
      <c r="B8" s="199" t="n"/>
      <c r="C8" s="239" t="n"/>
      <c r="D8" s="240" t="n"/>
      <c r="E8" s="241" t="n"/>
      <c r="F8" s="242" t="n"/>
      <c r="G8" s="243" t="n"/>
      <c r="H8" s="244" t="n"/>
      <c r="I8" s="245" t="n"/>
      <c r="J8" s="246" t="n"/>
      <c r="K8" s="246" t="n"/>
      <c r="L8" s="246" t="n"/>
      <c r="M8" s="246" t="n"/>
      <c r="N8" s="246" t="n"/>
      <c r="O8" s="246" t="n"/>
      <c r="P8" s="246" t="n"/>
      <c r="Q8" s="246" t="n"/>
      <c r="R8" s="246" t="n"/>
      <c r="S8" s="246" t="n"/>
      <c r="T8" s="246" t="n"/>
      <c r="U8" s="246" t="n"/>
      <c r="V8" s="247">
        <f>IF(C8="Gutschrift","",IF(G8="","",IF(Besatzung!$B$11="","",IFERROR(IF(I8="Zeitanteilig",(Besatzung!$G$11*(G8-IFERROR(H8,0))+((Besatzung!$B$11&lt;&gt;"")*IF(B8="",1,(IF(Besatzung!$C$11="",Besatzung!$B$5,Besatzung!$C$11)&lt;=B8)*(IF(Besatzung!$D$11="",Besatzung!$B$6,Besatzung!$D$11)&gt;=B8)))*(Besatzung!$F$11="x")*IFERROR(H8,0)/IFERROR(SUMPRODUCT((Besatzung!$B$11:$B$22&lt;&gt;"")*(Besatzung!$F$11:$F$22="x")*(IF(Besatzung!$C$11:$C$22="",Besatzung!$B$5,Besatzung!$C$11:$C$22)&lt;=B8)*(IF(Besatzung!$D$11:$D$22="",Besatzung!$B$6,Besatzung!$D$11:$D$22)&gt;=B8)),1)),IF(I8="An Bord",(((Besatzung!$B$11&lt;&gt;"")*IF(B8="",1,(IF(Besatzung!$C$11="",Besatzung!$B$5,Besatzung!$C$11)&lt;=B8)*(IF(Besatzung!$D$11="",Besatzung!$B$6,Besatzung!$D$11)&gt;=B8)))*((G8-IFERROR(H8,0))/IFERROR(SUMPRODUCT((Besatzung!$B$11:$B$22&lt;&gt;"")*(IF(Besatzung!$C$11:$C$22="",Besatzung!$B$5,Besatzung!$C$11:$C$22)&lt;=B8)*(IF(Besatzung!$D$11:$D$22="",Besatzung!$B$6,Besatzung!$D$11:$D$22)&gt;=B8)),1)+(Besatzung!$F$11="x")*IFERROR(H8,0)/IFERROR(SUMPRODUCT((Besatzung!$B$11:$B$22&lt;&gt;"")*(Besatzung!$F$11:$F$22="x")*(IF(Besatzung!$C$11:$C$22="",Besatzung!$B$5,Besatzung!$C$11:$C$22)&lt;=B8)*(IF(Besatzung!$D$11:$D$22="",Besatzung!$B$6,Besatzung!$D$11:$D$22)&gt;=B8)),1))),IF(I8="Individuell",((J8="x")*((G8-IFERROR(H8,0))/IFERROR(COUNTIF(J8:U8,"x"),1)+(Besatzung!$F$11="x")*IFERROR(H8,0)/IFERROR(SUMPRODUCT((J8:U8="x")*(Besatzung!$F$11:$F$22="x")),1))),(IF(COUNTIF(J8:U8,"x")=0,IF(Besatzung!$B$11&lt;&gt;"",1,0),(J8="x"))*(G8-IFERROR(H8,0))/IFERROR(IF(COUNTIF(J8:U8,"x")=0,COUNTA(Besatzung!$B$11:$B$22),COUNTIF(J8:U8,"x")),1)+IF(COUNTIF(J8:U8,"x")=0,(Besatzung!$F$11="x"),(J8="x")*(Besatzung!$F$11="x"))*IFERROR(H8,0)/IFERROR(IF(COUNTIF(J8:U8,"x")=0,SUMPRODUCT((Besatzung!$B$11:$B$22&lt;&gt;"")*(Besatzung!$F$11:$F$22="x")),SUMPRODUCT((J8:U8="x")*(Besatzung!$F$11:$F$22="x"))),1))))),0))))</f>
        <v/>
      </c>
      <c r="W8" s="247">
        <f>IF(C8="Gutschrift","",IF(G8="","",IF(Besatzung!$B$12="","",IFERROR(IF(I8="Zeitanteilig",(Besatzung!$G$12*(G8-IFERROR(H8,0))+((Besatzung!$B$12&lt;&gt;"")*IF(B8="",1,(IF(Besatzung!$C$12="",Besatzung!$B$5,Besatzung!$C$12)&lt;=B8)*(IF(Besatzung!$D$12="",Besatzung!$B$6,Besatzung!$D$12)&gt;=B8)))*(Besatzung!$F$12="x")*IFERROR(H8,0)/IFERROR(SUMPRODUCT((Besatzung!$B$11:$B$22&lt;&gt;"")*(Besatzung!$F$11:$F$22="x")*(IF(Besatzung!$C$11:$C$22="",Besatzung!$B$5,Besatzung!$C$11:$C$22)&lt;=B8)*(IF(Besatzung!$D$11:$D$22="",Besatzung!$B$6,Besatzung!$D$11:$D$22)&gt;=B8)),1)),IF(I8="An Bord",(((Besatzung!$B$12&lt;&gt;"")*IF(B8="",1,(IF(Besatzung!$C$12="",Besatzung!$B$5,Besatzung!$C$12)&lt;=B8)*(IF(Besatzung!$D$12="",Besatzung!$B$6,Besatzung!$D$12)&gt;=B8)))*((G8-IFERROR(H8,0))/IFERROR(SUMPRODUCT((Besatzung!$B$11:$B$22&lt;&gt;"")*(IF(Besatzung!$C$11:$C$22="",Besatzung!$B$5,Besatzung!$C$11:$C$22)&lt;=B8)*(IF(Besatzung!$D$11:$D$22="",Besatzung!$B$6,Besatzung!$D$11:$D$22)&gt;=B8)),1)+(Besatzung!$F$12="x")*IFERROR(H8,0)/IFERROR(SUMPRODUCT((Besatzung!$B$11:$B$22&lt;&gt;"")*(Besatzung!$F$11:$F$22="x")*(IF(Besatzung!$C$11:$C$22="",Besatzung!$B$5,Besatzung!$C$11:$C$22)&lt;=B8)*(IF(Besatzung!$D$11:$D$22="",Besatzung!$B$6,Besatzung!$D$11:$D$22)&gt;=B8)),1))),IF(I8="Individuell",((K8="x")*((G8-IFERROR(H8,0))/IFERROR(COUNTIF(J8:U8,"x"),1)+(Besatzung!$F$12="x")*IFERROR(H8,0)/IFERROR(SUMPRODUCT((J8:U8="x")*(Besatzung!$F$11:$F$22="x")),1))),(IF(COUNTIF(J8:U8,"x")=0,IF(Besatzung!$B$12&lt;&gt;"",1,0),(K8="x"))*(G8-IFERROR(H8,0))/IFERROR(IF(COUNTIF(J8:U8,"x")=0,COUNTA(Besatzung!$B$11:$B$22),COUNTIF(J8:U8,"x")),1)+IF(COUNTIF(J8:U8,"x")=0,(Besatzung!$F$12="x"),(K8="x")*(Besatzung!$F$12="x"))*IFERROR(H8,0)/IFERROR(IF(COUNTIF(J8:U8,"x")=0,SUMPRODUCT((Besatzung!$B$11:$B$22&lt;&gt;"")*(Besatzung!$F$11:$F$22="x")),SUMPRODUCT((J8:U8="x")*(Besatzung!$F$11:$F$22="x"))),1))))),0))))</f>
        <v/>
      </c>
      <c r="X8" s="247">
        <f>IF(C8="Gutschrift","",IF(G8="","",IF(Besatzung!$B$13="","",IFERROR(IF(I8="Zeitanteilig",(Besatzung!$G$13*(G8-IFERROR(H8,0))+((Besatzung!$B$13&lt;&gt;"")*IF(B8="",1,(IF(Besatzung!$C$13="",Besatzung!$B$5,Besatzung!$C$13)&lt;=B8)*(IF(Besatzung!$D$13="",Besatzung!$B$6,Besatzung!$D$13)&gt;=B8)))*(Besatzung!$F$13="x")*IFERROR(H8,0)/IFERROR(SUMPRODUCT((Besatzung!$B$11:$B$22&lt;&gt;"")*(Besatzung!$F$11:$F$22="x")*(IF(Besatzung!$C$11:$C$22="",Besatzung!$B$5,Besatzung!$C$11:$C$22)&lt;=B8)*(IF(Besatzung!$D$11:$D$22="",Besatzung!$B$6,Besatzung!$D$11:$D$22)&gt;=B8)),1)),IF(I8="An Bord",(((Besatzung!$B$13&lt;&gt;"")*IF(B8="",1,(IF(Besatzung!$C$13="",Besatzung!$B$5,Besatzung!$C$13)&lt;=B8)*(IF(Besatzung!$D$13="",Besatzung!$B$6,Besatzung!$D$13)&gt;=B8)))*((G8-IFERROR(H8,0))/IFERROR(SUMPRODUCT((Besatzung!$B$11:$B$22&lt;&gt;"")*(IF(Besatzung!$C$11:$C$22="",Besatzung!$B$5,Besatzung!$C$11:$C$22)&lt;=B8)*(IF(Besatzung!$D$11:$D$22="",Besatzung!$B$6,Besatzung!$D$11:$D$22)&gt;=B8)),1)+(Besatzung!$F$13="x")*IFERROR(H8,0)/IFERROR(SUMPRODUCT((Besatzung!$B$11:$B$22&lt;&gt;"")*(Besatzung!$F$11:$F$22="x")*(IF(Besatzung!$C$11:$C$22="",Besatzung!$B$5,Besatzung!$C$11:$C$22)&lt;=B8)*(IF(Besatzung!$D$11:$D$22="",Besatzung!$B$6,Besatzung!$D$11:$D$22)&gt;=B8)),1))),IF(I8="Individuell",((K8="x")*((G8-IFERROR(H8,0))/IFERROR(COUNTIF(J8:U8,"x"),1)+(Besatzung!$F$13="x")*IFERROR(H8,0)/IFERROR(SUMPRODUCT((J8:U8="x")*(Besatzung!$F$11:$F$22="x")),1))),(IF(COUNTIF(J8:U8,"x")=0,IF(Besatzung!$B$13&lt;&gt;"",1,0),(K8="x"))*(G8-IFERROR(H8,0))/IFERROR(IF(COUNTIF(J8:U8,"x")=0,COUNTA(Besatzung!$B$11:$B$22),COUNTIF(J8:U8,"x")),1)+IF(COUNTIF(J8:U8,"x")=0,(Besatzung!$F$13="x"),(K8="x")*(Besatzung!$F$13="x"))*IFERROR(H8,0)/IFERROR(IF(COUNTIF(J8:U8,"x")=0,SUMPRODUCT((Besatzung!$B$11:$B$22&lt;&gt;"")*(Besatzung!$F$11:$F$22="x")),SUMPRODUCT((J8:U8="x")*(Besatzung!$F$11:$F$22="x"))),1))))),0))))</f>
        <v/>
      </c>
      <c r="Y8" s="247">
        <f>IF(C8="Gutschrift","",IF(G8="","",IF(Besatzung!$B$14="","",IFERROR(IF(I8="Zeitanteilig",(Besatzung!$G$14*(G8-IFERROR(H8,0))+((Besatzung!$B$14&lt;&gt;"")*IF(B8="",1,(IF(Besatzung!$C$14="",Besatzung!$B$5,Besatzung!$C$14)&lt;=B8)*(IF(Besatzung!$D$14="",Besatzung!$B$6,Besatzung!$D$14)&gt;=B8)))*(Besatzung!$F$14="x")*IFERROR(H8,0)/IFERROR(SUMPRODUCT((Besatzung!$B$11:$B$22&lt;&gt;"")*(Besatzung!$F$11:$F$22="x")*(IF(Besatzung!$C$11:$C$22="",Besatzung!$B$5,Besatzung!$C$11:$C$22)&lt;=B8)*(IF(Besatzung!$D$11:$D$22="",Besatzung!$B$6,Besatzung!$D$11:$D$22)&gt;=B8)),1)),IF(I8="An Bord",(((Besatzung!$B$14&lt;&gt;"")*IF(B8="",1,(IF(Besatzung!$C$14="",Besatzung!$B$5,Besatzung!$C$14)&lt;=B8)*(IF(Besatzung!$D$14="",Besatzung!$B$6,Besatzung!$D$14)&gt;=B8)))*((G8-IFERROR(H8,0))/IFERROR(SUMPRODUCT((Besatzung!$B$11:$B$22&lt;&gt;"")*(IF(Besatzung!$C$11:$C$22="",Besatzung!$B$5,Besatzung!$C$11:$C$22)&lt;=B8)*(IF(Besatzung!$D$11:$D$22="",Besatzung!$B$6,Besatzung!$D$11:$D$22)&gt;=B8)),1)+(Besatzung!$F$14="x")*IFERROR(H8,0)/IFERROR(SUMPRODUCT((Besatzung!$B$11:$B$22&lt;&gt;"")*(Besatzung!$F$11:$F$22="x")*(IF(Besatzung!$C$11:$C$22="",Besatzung!$B$5,Besatzung!$C$11:$C$22)&lt;=B8)*(IF(Besatzung!$D$11:$D$22="",Besatzung!$B$6,Besatzung!$D$11:$D$22)&gt;=B8)),1))),IF(I8="Individuell",((M8="x")*((G8-IFERROR(H8,0))/IFERROR(COUNTIF(J8:U8,"x"),1)+(Besatzung!$F$14="x")*IFERROR(H8,0)/IFERROR(SUMPRODUCT((J8:U8="x")*(Besatzung!$F$11:$F$22="x")),1))),(IF(COUNTIF(J8:U8,"x")=0,IF(Besatzung!$B$14&lt;&gt;"",1,0),(M8="x"))*(G8-IFERROR(H8,0))/IFERROR(IF(COUNTIF(J8:U8,"x")=0,COUNTA(Besatzung!$B$11:$B$22),COUNTIF(J8:U8,"x")),1)+IF(COUNTIF(J8:U8,"x")=0,(Besatzung!$F$14="x"),(M8="x")*(Besatzung!$F$14="x"))*IFERROR(H8,0)/IFERROR(IF(COUNTIF(J8:U8,"x")=0,SUMPRODUCT((Besatzung!$B$11:$B$22&lt;&gt;"")*(Besatzung!$F$11:$F$22="x")),SUMPRODUCT((J8:U8="x")*(Besatzung!$F$11:$F$22="x"))),1))))),0))))</f>
        <v/>
      </c>
      <c r="Z8" s="247">
        <f>IF(C8="Gutschrift","",IF(G8="","",IF(Besatzung!$B$13="","",IFERROR(IF(I8="Zeitanteilig",(Besatzung!$G$15*(G8-IFERROR(H8,0))+((Besatzung!$B$13&lt;&gt;"")*IF(B8="",1,(IF(Besatzung!$C$15="",Besatzung!$B$5,Besatzung!$C$15)&lt;=B8)*(IF(Besatzung!$D$15="",Besatzung!$B$6,Besatzung!$D$15)&gt;=B8)))*(Besatzung!$F$15="x")*IFERROR(H8,0)/IFERROR(SUMPRODUCT((Besatzung!$B$11:$B$22&lt;&gt;"")*(Besatzung!$F$11:$F$22="x")*(IF(Besatzung!$C$11:$C$22="",Besatzung!$B$5,Besatzung!$C$11:$C$22)&lt;=B8)*(IF(Besatzung!$D$11:$D$22="",Besatzung!$B$6,Besatzung!$D$11:$D$22)&gt;=B8)),1)),IF(I8="An Bord",(((Besatzung!$B$13&lt;&gt;"")*IF(B8="",1,(IF(Besatzung!$C$15="",Besatzung!$B$5,Besatzung!$C$15)&lt;=B8)*(IF(Besatzung!$D$15="",Besatzung!$B$6,Besatzung!$D$15)&gt;=B8)))*((G8-IFERROR(H8,0))/IFERROR(SUMPRODUCT((Besatzung!$B$11:$B$22&lt;&gt;"")*(IF(Besatzung!$C$11:$C$22="",Besatzung!$B$5,Besatzung!$C$11:$C$22)&lt;=B8)*(IF(Besatzung!$D$11:$D$22="",Besatzung!$B$6,Besatzung!$D$11:$D$22)&gt;=B8)),1)+(Besatzung!$F$15="x")*IFERROR(H8,0)/IFERROR(SUMPRODUCT((Besatzung!$B$11:$B$22&lt;&gt;"")*(Besatzung!$F$11:$F$22="x")*(IF(Besatzung!$C$11:$C$22="",Besatzung!$B$5,Besatzung!$C$11:$C$22)&lt;=B8)*(IF(Besatzung!$D$11:$D$22="",Besatzung!$B$6,Besatzung!$D$11:$D$22)&gt;=B8)),1))),IF(I8="Individuell",((N8="x")*((G8-IFERROR(H8,0))/IFERROR(COUNTIF(J8:U8,"x"),1)+(Besatzung!$F$15="x")*IFERROR(H8,0)/IFERROR(SUMPRODUCT((J8:U8="x")*(Besatzung!$F$11:$F$22="x")),1))),(IF(COUNTIF(J8:U8,"x")=0,IF(Besatzung!$B$13&lt;&gt;"",1,0),(N8="x"))*(G8-IFERROR(H8,0))/IFERROR(IF(COUNTIF(J8:U8,"x")=0,COUNTA(Besatzung!$B$11:$B$22),COUNTIF(J8:U8,"x")),1)+IF(COUNTIF(J8:U8,"x")=0,(Besatzung!$F$15="x"),(N8="x")*(Besatzung!$F$15="x"))*IFERROR(H8,0)/IFERROR(IF(COUNTIF(J8:U8,"x")=0,SUMPRODUCT((Besatzung!$B$11:$B$22&lt;&gt;"")*(Besatzung!$F$11:$F$22="x")),SUMPRODUCT((J8:U8="x")*(Besatzung!$F$11:$F$22="x"))),1))))),0))))</f>
        <v/>
      </c>
      <c r="AA8" s="247">
        <f>IF(C8="Gutschrift","",IF(G8="","",IF(Besatzung!$B$15="","",IFERROR(IF(I8="Zeitanteilig",(Besatzung!$G$16*(G8-IFERROR(H8,0))+((Besatzung!$B$15&lt;&gt;"")*IF(B8="",1,(IF(Besatzung!$C$16="",Besatzung!$B$5,Besatzung!$C$16)&lt;=B8)*(IF(Besatzung!$D$16="",Besatzung!$B$6,Besatzung!$D$16)&gt;=B8)))*(Besatzung!$F$16="x")*IFERROR(H8,0)/IFERROR(SUMPRODUCT((Besatzung!$B$11:$B$22&lt;&gt;"")*(Besatzung!$F$11:$F$22="x")*(IF(Besatzung!$C$11:$C$22="",Besatzung!$B$5,Besatzung!$C$11:$C$22)&lt;=B8)*(IF(Besatzung!$D$11:$D$22="",Besatzung!$B$6,Besatzung!$D$11:$D$22)&gt;=B8)),1)),IF(I8="An Bord",(((Besatzung!$B$15&lt;&gt;"")*IF(B8="",1,(IF(Besatzung!$C$16="",Besatzung!$B$5,Besatzung!$C$16)&lt;=B8)*(IF(Besatzung!$D$16="",Besatzung!$B$6,Besatzung!$D$16)&gt;=B8)))*((G8-IFERROR(H8,0))/IFERROR(SUMPRODUCT((Besatzung!$B$11:$B$22&lt;&gt;"")*(IF(Besatzung!$C$11:$C$22="",Besatzung!$B$5,Besatzung!$C$11:$C$22)&lt;=B8)*(IF(Besatzung!$D$11:$D$22="",Besatzung!$B$6,Besatzung!$D$11:$D$22)&gt;=B8)),1)+(Besatzung!$F$16="x")*IFERROR(H8,0)/IFERROR(SUMPRODUCT((Besatzung!$B$11:$B$22&lt;&gt;"")*(Besatzung!$F$11:$F$22="x")*(IF(Besatzung!$C$11:$C$22="",Besatzung!$B$5,Besatzung!$C$11:$C$22)&lt;=B8)*(IF(Besatzung!$D$11:$D$22="",Besatzung!$B$6,Besatzung!$D$11:$D$22)&gt;=B8)),1))),IF(I8="Individuell",((O8="x")*((G8-IFERROR(H8,0))/IFERROR(COUNTIF(J8:U8,"x"),1)+(Besatzung!$F$16="x")*IFERROR(H8,0)/IFERROR(SUMPRODUCT((J8:U8="x")*(Besatzung!$F$11:$F$22="x")),1))),(IF(COUNTIF(J8:U8,"x")=0,IF(Besatzung!$B$15&lt;&gt;"",1,0),(O8="x"))*(G8-IFERROR(H8,0))/IFERROR(IF(COUNTIF(J8:U8,"x")=0,COUNTA(Besatzung!$B$11:$B$22),COUNTIF(J8:U8,"x")),1)+IF(COUNTIF(J8:U8,"x")=0,(Besatzung!$F$16="x"),(O8="x")*(Besatzung!$F$16="x"))*IFERROR(H8,0)/IFERROR(IF(COUNTIF(J8:U8,"x")=0,SUMPRODUCT((Besatzung!$B$11:$B$22&lt;&gt;"")*(Besatzung!$F$11:$F$22="x")),SUMPRODUCT((J8:U8="x")*(Besatzung!$F$11:$F$22="x"))),1))))),0))))</f>
        <v/>
      </c>
      <c r="AB8" s="247">
        <f>IF(C8="Gutschrift","",IF(G8="","",IF(Besatzung!$B$17="","",IFERROR(IF(I8="Zeitanteilig",(Besatzung!$G$17*(G8-IFERROR(H8,0))+((Besatzung!$B$17&lt;&gt;"")*IF(B8="",1,(IF(Besatzung!$C$17="",Besatzung!$B$5,Besatzung!$C$17)&lt;=B8)*(IF(Besatzung!$D$17="",Besatzung!$B$6,Besatzung!$D$17)&gt;=B8)))*(Besatzung!$F$17="x")*IFERROR(H8,0)/IFERROR(SUMPRODUCT((Besatzung!$B$11:$B$22&lt;&gt;"")*(Besatzung!$F$11:$F$22="x")*(IF(Besatzung!$C$11:$C$22="",Besatzung!$B$5,Besatzung!$C$11:$C$22)&lt;=B8)*(IF(Besatzung!$D$11:$D$22="",Besatzung!$B$6,Besatzung!$D$11:$D$22)&gt;=B8)),1)),IF(I8="An Bord",(((Besatzung!$B$17&lt;&gt;"")*IF(B8="",1,(IF(Besatzung!$C$17="",Besatzung!$B$5,Besatzung!$C$17)&lt;=B8)*(IF(Besatzung!$D$17="",Besatzung!$B$6,Besatzung!$D$17)&gt;=B8)))*((G8-IFERROR(H8,0))/IFERROR(SUMPRODUCT((Besatzung!$B$11:$B$22&lt;&gt;"")*(IF(Besatzung!$C$11:$C$22="",Besatzung!$B$5,Besatzung!$C$11:$C$22)&lt;=B8)*(IF(Besatzung!$D$11:$D$22="",Besatzung!$B$6,Besatzung!$D$11:$D$22)&gt;=B8)),1)+(Besatzung!$F$17="x")*IFERROR(H8,0)/IFERROR(SUMPRODUCT((Besatzung!$B$11:$B$22&lt;&gt;"")*(Besatzung!$F$11:$F$22="x")*(IF(Besatzung!$C$11:$C$22="",Besatzung!$B$5,Besatzung!$C$11:$C$22)&lt;=B8)*(IF(Besatzung!$D$11:$D$22="",Besatzung!$B$6,Besatzung!$D$11:$D$22)&gt;=B8)),1))),IF(I8="Individuell",((P8="x")*((G8-IFERROR(H8,0))/IFERROR(COUNTIF(J8:U8,"x"),1)+(Besatzung!$F$17="x")*IFERROR(H8,0)/IFERROR(SUMPRODUCT((J8:U8="x")*(Besatzung!$F$11:$F$22="x")),1))),(IF(COUNTIF(J8:U8,"x")=0,IF(Besatzung!$B$17&lt;&gt;"",1,0),(P8="x"))*(G8-IFERROR(H8,0))/IFERROR(IF(COUNTIF(J8:U8,"x")=0,COUNTA(Besatzung!$B$11:$B$22),COUNTIF(J8:U8,"x")),1)+IF(COUNTIF(J8:U8,"x")=0,(Besatzung!$F$17="x"),(P8="x")*(Besatzung!$F$17="x"))*IFERROR(H8,0)/IFERROR(IF(COUNTIF(J8:U8,"x")=0,SUMPRODUCT((Besatzung!$B$11:$B$22&lt;&gt;"")*(Besatzung!$F$11:$F$22="x")),SUMPRODUCT((J8:U8="x")*(Besatzung!$F$11:$F$22="x"))),1))))),0))))</f>
        <v/>
      </c>
      <c r="AC8" s="247">
        <f>IF(C8="Gutschrift","",IF(G8="","",IF(Besatzung!$B$18="","",IFERROR(IF(I8="Zeitanteilig",(Besatzung!$G$18*(G8-IFERROR(H8,0))+((Besatzung!$B$18&lt;&gt;"")*IF(B8="",1,(IF(Besatzung!$C$18="",Besatzung!$B$5,Besatzung!$C$18)&lt;=B8)*(IF(Besatzung!$D$18="",Besatzung!$B$6,Besatzung!$D$18)&gt;=B8)))*(Besatzung!$F$18="x")*IFERROR(H8,0)/IFERROR(SUMPRODUCT((Besatzung!$B$11:$B$22&lt;&gt;"")*(Besatzung!$F$11:$F$22="x")*(IF(Besatzung!$C$11:$C$22="",Besatzung!$B$5,Besatzung!$C$11:$C$22)&lt;=B8)*(IF(Besatzung!$D$11:$D$22="",Besatzung!$B$6,Besatzung!$D$11:$D$22)&gt;=B8)),1)),IF(I8="An Bord",(((Besatzung!$B$18&lt;&gt;"")*IF(B8="",1,(IF(Besatzung!$C$18="",Besatzung!$B$5,Besatzung!$C$18)&lt;=B8)*(IF(Besatzung!$D$18="",Besatzung!$B$6,Besatzung!$D$18)&gt;=B8)))*((G8-IFERROR(H8,0))/IFERROR(SUMPRODUCT((Besatzung!$B$11:$B$22&lt;&gt;"")*(IF(Besatzung!$C$11:$C$22="",Besatzung!$B$5,Besatzung!$C$11:$C$22)&lt;=B8)*(IF(Besatzung!$D$11:$D$22="",Besatzung!$B$6,Besatzung!$D$11:$D$22)&gt;=B8)),1)+(Besatzung!$F$18="x")*IFERROR(H8,0)/IFERROR(SUMPRODUCT((Besatzung!$B$11:$B$22&lt;&gt;"")*(Besatzung!$F$11:$F$22="x")*(IF(Besatzung!$C$11:$C$22="",Besatzung!$B$5,Besatzung!$C$11:$C$22)&lt;=B8)*(IF(Besatzung!$D$11:$D$22="",Besatzung!$B$6,Besatzung!$D$11:$D$22)&gt;=B8)),1))),IF(I8="Individuell",((Q8="x")*((G8-IFERROR(H8,0))/IFERROR(COUNTIF(J8:U8,"x"),1)+(Besatzung!$F$18="x")*IFERROR(H8,0)/IFERROR(SUMPRODUCT((J8:U8="x")*(Besatzung!$F$11:$F$22="x")),1))),(IF(COUNTIF(J8:U8,"x")=0,IF(Besatzung!$B$18&lt;&gt;"",1,0),(Q8="x"))*(G8-IFERROR(H8,0))/IFERROR(IF(COUNTIF(J8:U8,"x")=0,COUNTA(Besatzung!$B$11:$B$22),COUNTIF(J8:U8,"x")),1)+IF(COUNTIF(J8:U8,"x")=0,(Besatzung!$F$18="x"),(Q8="x")*(Besatzung!$F$18="x"))*IFERROR(H8,0)/IFERROR(IF(COUNTIF(J8:U8,"x")=0,SUMPRODUCT((Besatzung!$B$11:$B$22&lt;&gt;"")*(Besatzung!$F$11:$F$22="x")),SUMPRODUCT((J8:U8="x")*(Besatzung!$F$11:$F$22="x"))),1))))),0))))</f>
        <v/>
      </c>
      <c r="AD8" s="247">
        <f>IF(C8="Gutschrift","",IF(G8="","",IF(Besatzung!$B$19="","",IFERROR(IF(I8="Zeitanteilig",(Besatzung!$G$19*(G8-IFERROR(H8,0))+((Besatzung!$B$19&lt;&gt;"")*IF(B8="",1,(IF(Besatzung!$C$19="",Besatzung!$B$5,Besatzung!$C$19)&lt;=B8)*(IF(Besatzung!$D$19="",Besatzung!$B$6,Besatzung!$D$19)&gt;=B8)))*(Besatzung!$F$19="x")*IFERROR(H8,0)/IFERROR(SUMPRODUCT((Besatzung!$B$11:$B$22&lt;&gt;"")*(Besatzung!$F$11:$F$22="x")*(IF(Besatzung!$C$11:$C$22="",Besatzung!$B$5,Besatzung!$C$11:$C$22)&lt;=B8)*(IF(Besatzung!$D$11:$D$22="",Besatzung!$B$6,Besatzung!$D$11:$D$22)&gt;=B8)),1)),IF(I8="An Bord",(((Besatzung!$B$19&lt;&gt;"")*IF(B8="",1,(IF(Besatzung!$C$19="",Besatzung!$B$5,Besatzung!$C$19)&lt;=B8)*(IF(Besatzung!$D$19="",Besatzung!$B$6,Besatzung!$D$19)&gt;=B8)))*((G8-IFERROR(H8,0))/IFERROR(SUMPRODUCT((Besatzung!$B$11:$B$22&lt;&gt;"")*(IF(Besatzung!$C$11:$C$22="",Besatzung!$B$5,Besatzung!$C$11:$C$22)&lt;=B8)*(IF(Besatzung!$D$11:$D$22="",Besatzung!$B$6,Besatzung!$D$11:$D$22)&gt;=B8)),1)+(Besatzung!$F$19="x")*IFERROR(H8,0)/IFERROR(SUMPRODUCT((Besatzung!$B$11:$B$22&lt;&gt;"")*(Besatzung!$F$11:$F$22="x")*(IF(Besatzung!$C$11:$C$22="",Besatzung!$B$5,Besatzung!$C$11:$C$22)&lt;=B8)*(IF(Besatzung!$D$11:$D$22="",Besatzung!$B$6,Besatzung!$D$11:$D$22)&gt;=B8)),1))),IF(I8="Individuell",((R8="x")*((G8-IFERROR(H8,0))/IFERROR(COUNTIF(J8:U8,"x"),1)+(Besatzung!$F$19="x")*IFERROR(H8,0)/IFERROR(SUMPRODUCT((J8:U8="x")*(Besatzung!$F$11:$F$22="x")),1))),(IF(COUNTIF(J8:U8,"x")=0,IF(Besatzung!$B$19&lt;&gt;"",1,0),(R8="x"))*(G8-IFERROR(H8,0))/IFERROR(IF(COUNTIF(J8:U8,"x")=0,COUNTA(Besatzung!$B$11:$B$22),COUNTIF(J8:U8,"x")),1)+IF(COUNTIF(J8:U8,"x")=0,(Besatzung!$F$19="x"),(R8="x")*(Besatzung!$F$19="x"))*IFERROR(H8,0)/IFERROR(IF(COUNTIF(J8:U8,"x")=0,SUMPRODUCT((Besatzung!$B$11:$B$22&lt;&gt;"")*(Besatzung!$F$11:$F$22="x")),SUMPRODUCT((J8:U8="x")*(Besatzung!$F$11:$F$22="x"))),1))))),0))))</f>
        <v/>
      </c>
      <c r="AE8" s="247">
        <f>IF(C8="Gutschrift","",IF(G8="","",IF(Besatzung!$B$20="","",IFERROR(IF(I8="Zeitanteilig",(Besatzung!$G$20*(G8-IFERROR(H8,0))+((Besatzung!$B$20&lt;&gt;"")*IF(B8="",1,(IF(Besatzung!$C$20="",Besatzung!$B$5,Besatzung!$C$20)&lt;=B8)*(IF(Besatzung!$D$20="",Besatzung!$B$6,Besatzung!$D$20)&gt;=B8)))*(Besatzung!$F$20="x")*IFERROR(H8,0)/IFERROR(SUMPRODUCT((Besatzung!$B$11:$B$22&lt;&gt;"")*(Besatzung!$F$11:$F$22="x")*(IF(Besatzung!$C$11:$C$22="",Besatzung!$B$5,Besatzung!$C$11:$C$22)&lt;=B8)*(IF(Besatzung!$D$11:$D$22="",Besatzung!$B$6,Besatzung!$D$11:$D$22)&gt;=B8)),1)),IF(I8="An Bord",(((Besatzung!$B$20&lt;&gt;"")*IF(B8="",1,(IF(Besatzung!$C$20="",Besatzung!$B$5,Besatzung!$C$20)&lt;=B8)*(IF(Besatzung!$D$20="",Besatzung!$B$6,Besatzung!$D$20)&gt;=B8)))*((G8-IFERROR(H8,0))/IFERROR(SUMPRODUCT((Besatzung!$B$11:$B$22&lt;&gt;"")*(IF(Besatzung!$C$11:$C$22="",Besatzung!$B$5,Besatzung!$C$11:$C$22)&lt;=B8)*(IF(Besatzung!$D$11:$D$22="",Besatzung!$B$6,Besatzung!$D$11:$D$22)&gt;=B8)),1)+(Besatzung!$F$20="x")*IFERROR(H8,0)/IFERROR(SUMPRODUCT((Besatzung!$B$11:$B$22&lt;&gt;"")*(Besatzung!$F$11:$F$22="x")*(IF(Besatzung!$C$11:$C$22="",Besatzung!$B$5,Besatzung!$C$11:$C$22)&lt;=B8)*(IF(Besatzung!$D$11:$D$22="",Besatzung!$B$6,Besatzung!$D$11:$D$22)&gt;=B8)),1))),IF(I8="Individuell",((S8="x")*((G8-IFERROR(H8,0))/IFERROR(COUNTIF(J8:U8,"x"),1)+(Besatzung!$F$20="x")*IFERROR(H8,0)/IFERROR(SUMPRODUCT((J8:U8="x")*(Besatzung!$F$11:$F$22="x")),1))),(IF(COUNTIF(J8:U8,"x")=0,IF(Besatzung!$B$20&lt;&gt;"",1,0),(S8="x"))*(G8-IFERROR(H8,0))/IFERROR(IF(COUNTIF(J8:U8,"x")=0,COUNTA(Besatzung!$B$11:$B$22),COUNTIF(J8:U8,"x")),1)+IF(COUNTIF(J8:U8,"x")=0,(Besatzung!$F$20="x"),(S8="x")*(Besatzung!$F$20="x"))*IFERROR(H8,0)/IFERROR(IF(COUNTIF(J8:U8,"x")=0,SUMPRODUCT((Besatzung!$B$11:$B$22&lt;&gt;"")*(Besatzung!$F$11:$F$22="x")),SUMPRODUCT((J8:U8="x")*(Besatzung!$F$11:$F$22="x"))),1))))),0))))</f>
        <v/>
      </c>
      <c r="AF8" s="247">
        <f>IF(C8="Gutschrift","",IF(G8="","",IF(Besatzung!$B$21="","",IFERROR(IF(I8="Zeitanteilig",(Besatzung!$G$21*(G8-IFERROR(H8,0))+((Besatzung!$B$21&lt;&gt;"")*IF(B8="",1,(IF(Besatzung!$C$21="",Besatzung!$B$5,Besatzung!$C$21)&lt;=B8)*(IF(Besatzung!$D$21="",Besatzung!$B$6,Besatzung!$D$21)&gt;=B8)))*(Besatzung!$F$21="x")*IFERROR(H8,0)/IFERROR(SUMPRODUCT((Besatzung!$B$11:$B$22&lt;&gt;"")*(Besatzung!$F$11:$F$22="x")*(IF(Besatzung!$C$11:$C$22="",Besatzung!$B$5,Besatzung!$C$11:$C$22)&lt;=B8)*(IF(Besatzung!$D$11:$D$22="",Besatzung!$B$6,Besatzung!$D$11:$D$22)&gt;=B8)),1)),IF(I8="An Bord",(((Besatzung!$B$21&lt;&gt;"")*IF(B8="",1,(IF(Besatzung!$C$21="",Besatzung!$B$5,Besatzung!$C$21)&lt;=B8)*(IF(Besatzung!$D$21="",Besatzung!$B$6,Besatzung!$D$21)&gt;=B8)))*((G8-IFERROR(H8,0))/IFERROR(SUMPRODUCT((Besatzung!$B$11:$B$22&lt;&gt;"")*(IF(Besatzung!$C$11:$C$22="",Besatzung!$B$5,Besatzung!$C$11:$C$22)&lt;=B8)*(IF(Besatzung!$D$11:$D$22="",Besatzung!$B$6,Besatzung!$D$11:$D$22)&gt;=B8)),1)+(Besatzung!$F$21="x")*IFERROR(H8,0)/IFERROR(SUMPRODUCT((Besatzung!$B$11:$B$22&lt;&gt;"")*(Besatzung!$F$11:$F$22="x")*(IF(Besatzung!$C$11:$C$22="",Besatzung!$B$5,Besatzung!$C$11:$C$22)&lt;=B8)*(IF(Besatzung!$D$11:$D$22="",Besatzung!$B$6,Besatzung!$D$11:$D$22)&gt;=B8)),1))),IF(I8="Individuell",((T8="x")*((G8-IFERROR(H8,0))/IFERROR(COUNTIF(J8:U8,"x"),1)+(Besatzung!$F$21="x")*IFERROR(H8,0)/IFERROR(SUMPRODUCT((J8:U8="x")*(Besatzung!$F$11:$F$22="x")),1))),(IF(COUNTIF(J8:U8,"x")=0,IF(Besatzung!$B$21&lt;&gt;"",1,0),(T8="x"))*(G8-IFERROR(H8,0))/IFERROR(IF(COUNTIF(J8:U8,"x")=0,COUNTA(Besatzung!$B$11:$B$22),COUNTIF(J8:U8,"x")),1)+IF(COUNTIF(J8:U8,"x")=0,(Besatzung!$F$21="x"),(T8="x")*(Besatzung!$F$21="x"))*IFERROR(H8,0)/IFERROR(IF(COUNTIF(J8:U8,"x")=0,SUMPRODUCT((Besatzung!$B$11:$B$22&lt;&gt;"")*(Besatzung!$F$11:$F$22="x")),SUMPRODUCT((J8:U8="x")*(Besatzung!$F$11:$F$22="x"))),1))))),0))))</f>
        <v/>
      </c>
      <c r="AG8" s="247">
        <f>IF(C8="Gutschrift","",IF(G8="","",IF(Besatzung!$B$22="","",IFERROR(IF(I8="Zeitanteilig",(Besatzung!$G$22*(G8-IFERROR(H8,0))+((Besatzung!$B$22&lt;&gt;"")*IF(B8="",1,(IF(Besatzung!$C$22="",Besatzung!$B$5,Besatzung!$C$22)&lt;=B8)*(IF(Besatzung!$D$22="",Besatzung!$B$6,Besatzung!$D$22)&gt;=B8)))*(Besatzung!$F$22="x")*IFERROR(H8,0)/IFERROR(SUMPRODUCT((Besatzung!$B$11:$B$22&lt;&gt;"")*(Besatzung!$F$11:$F$22="x")*(IF(Besatzung!$C$11:$C$22="",Besatzung!$B$5,Besatzung!$C$11:$C$22)&lt;=B8)*(IF(Besatzung!$D$11:$D$22="",Besatzung!$B$6,Besatzung!$D$11:$D$22)&gt;=B8)),1)),IF(I8="An Bord",(((Besatzung!$B$22&lt;&gt;"")*IF(B8="",1,(IF(Besatzung!$C$22="",Besatzung!$B$5,Besatzung!$C$22)&lt;=B8)*(IF(Besatzung!$D$22="",Besatzung!$B$6,Besatzung!$D$22)&gt;=B8)))*((G8-IFERROR(H8,0))/IFERROR(SUMPRODUCT((Besatzung!$B$11:$B$22&lt;&gt;"")*(IF(Besatzung!$C$11:$C$22="",Besatzung!$B$5,Besatzung!$C$11:$C$22)&lt;=B8)*(IF(Besatzung!$D$11:$D$22="",Besatzung!$B$6,Besatzung!$D$11:$D$22)&gt;=B8)),1)+(Besatzung!$F$22="x")*IFERROR(H8,0)/IFERROR(SUMPRODUCT((Besatzung!$B$11:$B$22&lt;&gt;"")*(Besatzung!$F$11:$F$22="x")*(IF(Besatzung!$C$11:$C$22="",Besatzung!$B$5,Besatzung!$C$11:$C$22)&lt;=B8)*(IF(Besatzung!$D$11:$D$22="",Besatzung!$B$6,Besatzung!$D$11:$D$22)&gt;=B8)),1))),IF(I8="Individuell",((U8="x")*((G8-IFERROR(H8,0))/IFERROR(COUNTIF(J8:U8,"x"),1)+(Besatzung!$F$22="x")*IFERROR(H8,0)/IFERROR(SUMPRODUCT((J8:U8="x")*(Besatzung!$F$11:$F$22="x")),1))),(IF(COUNTIF(J8:U8,"x")=0,IF(Besatzung!$B$22&lt;&gt;"",1,0),(U8="x"))*(G8-IFERROR(H8,0))/IFERROR(IF(COUNTIF(J8:U8,"x")=0,COUNTA(Besatzung!$B$11:$B$22),COUNTIF(J8:U8,"x")),1)+IF(COUNTIF(J8:U8,"x")=0,(Besatzung!$F$22="x"),(U8="x")*(Besatzung!$F$22="x"))*IFERROR(H8,0)/IFERROR(IF(COUNTIF(J8:U8,"x")=0,SUMPRODUCT((Besatzung!$B$11:$B$22&lt;&gt;"")*(Besatzung!$F$11:$F$22="x")),SUMPRODUCT((J8:U8="x")*(Besatzung!$F$11:$F$22="x"))),1))))),0))))</f>
        <v/>
      </c>
      <c r="AH8" s="248" t="n"/>
      <c r="AI8" s="248" t="n"/>
    </row>
    <row r="9" ht="21.75" customHeight="1" s="154">
      <c r="A9" s="238">
        <f>IF(AND(D9="",C9=""),"",6)</f>
        <v/>
      </c>
      <c r="B9" s="206" t="n"/>
      <c r="C9" s="249" t="n"/>
      <c r="D9" s="250" t="n"/>
      <c r="E9" s="251" t="n"/>
      <c r="F9" s="252" t="n"/>
      <c r="G9" s="253" t="n"/>
      <c r="H9" s="254" t="n"/>
      <c r="I9" s="255" t="n"/>
      <c r="J9" s="256" t="n"/>
      <c r="K9" s="256" t="n"/>
      <c r="L9" s="256" t="n"/>
      <c r="M9" s="256" t="n"/>
      <c r="N9" s="256" t="n"/>
      <c r="O9" s="256" t="n"/>
      <c r="P9" s="256" t="n"/>
      <c r="Q9" s="256" t="n"/>
      <c r="R9" s="256" t="n"/>
      <c r="S9" s="256" t="n"/>
      <c r="T9" s="256" t="n"/>
      <c r="U9" s="256" t="n"/>
      <c r="V9" s="247">
        <f>IF(C9="Gutschrift","",IF(G9="","",IF(Besatzung!$B$11="","",IFERROR(IF(I9="Zeitanteilig",(Besatzung!$G$11*(G9-IFERROR(H9,0))+((Besatzung!$B$11&lt;&gt;"")*IF(B9="",1,(IF(Besatzung!$C$11="",Besatzung!$B$5,Besatzung!$C$11)&lt;=B9)*(IF(Besatzung!$D$11="",Besatzung!$B$6,Besatzung!$D$11)&gt;=B9)))*(Besatzung!$F$11="x")*IFERROR(H9,0)/IFERROR(SUMPRODUCT((Besatzung!$B$11:$B$22&lt;&gt;"")*(Besatzung!$F$11:$F$22="x")*(IF(Besatzung!$C$11:$C$22="",Besatzung!$B$5,Besatzung!$C$11:$C$22)&lt;=B9)*(IF(Besatzung!$D$11:$D$22="",Besatzung!$B$6,Besatzung!$D$11:$D$22)&gt;=B9)),1)),IF(I9="An Bord",(((Besatzung!$B$11&lt;&gt;"")*IF(B9="",1,(IF(Besatzung!$C$11="",Besatzung!$B$5,Besatzung!$C$11)&lt;=B9)*(IF(Besatzung!$D$11="",Besatzung!$B$6,Besatzung!$D$11)&gt;=B9)))*((G9-IFERROR(H9,0))/IFERROR(SUMPRODUCT((Besatzung!$B$11:$B$22&lt;&gt;"")*(IF(Besatzung!$C$11:$C$22="",Besatzung!$B$5,Besatzung!$C$11:$C$22)&lt;=B9)*(IF(Besatzung!$D$11:$D$22="",Besatzung!$B$6,Besatzung!$D$11:$D$22)&gt;=B9)),1)+(Besatzung!$F$11="x")*IFERROR(H9,0)/IFERROR(SUMPRODUCT((Besatzung!$B$11:$B$22&lt;&gt;"")*(Besatzung!$F$11:$F$22="x")*(IF(Besatzung!$C$11:$C$22="",Besatzung!$B$5,Besatzung!$C$11:$C$22)&lt;=B9)*(IF(Besatzung!$D$11:$D$22="",Besatzung!$B$6,Besatzung!$D$11:$D$22)&gt;=B9)),1))),IF(I9="Individuell",((J9="x")*((G9-IFERROR(H9,0))/IFERROR(COUNTIF(J9:U9,"x"),1)+(Besatzung!$F$11="x")*IFERROR(H9,0)/IFERROR(SUMPRODUCT((J9:U9="x")*(Besatzung!$F$11:$F$22="x")),1))),(IF(COUNTIF(J9:U9,"x")=0,IF(Besatzung!$B$11&lt;&gt;"",1,0),(J9="x"))*(G9-IFERROR(H9,0))/IFERROR(IF(COUNTIF(J9:U9,"x")=0,COUNTA(Besatzung!$B$11:$B$22),COUNTIF(J9:U9,"x")),1)+IF(COUNTIF(J9:U9,"x")=0,(Besatzung!$F$11="x"),(J9="x")*(Besatzung!$F$11="x"))*IFERROR(H9,0)/IFERROR(IF(COUNTIF(J9:U9,"x")=0,SUMPRODUCT((Besatzung!$B$11:$B$22&lt;&gt;"")*(Besatzung!$F$11:$F$22="x")),SUMPRODUCT((J9:U9="x")*(Besatzung!$F$11:$F$22="x"))),1))))),0))))</f>
        <v/>
      </c>
      <c r="W9" s="247">
        <f>IF(C9="Gutschrift","",IF(G9="","",IF(Besatzung!$B$12="","",IFERROR(IF(I9="Zeitanteilig",(Besatzung!$G$12*(G9-IFERROR(H9,0))+((Besatzung!$B$12&lt;&gt;"")*IF(B9="",1,(IF(Besatzung!$C$12="",Besatzung!$B$5,Besatzung!$C$12)&lt;=B9)*(IF(Besatzung!$D$12="",Besatzung!$B$6,Besatzung!$D$12)&gt;=B9)))*(Besatzung!$F$12="x")*IFERROR(H9,0)/IFERROR(SUMPRODUCT((Besatzung!$B$11:$B$22&lt;&gt;"")*(Besatzung!$F$11:$F$22="x")*(IF(Besatzung!$C$11:$C$22="",Besatzung!$B$5,Besatzung!$C$11:$C$22)&lt;=B9)*(IF(Besatzung!$D$11:$D$22="",Besatzung!$B$6,Besatzung!$D$11:$D$22)&gt;=B9)),1)),IF(I9="An Bord",(((Besatzung!$B$12&lt;&gt;"")*IF(B9="",1,(IF(Besatzung!$C$12="",Besatzung!$B$5,Besatzung!$C$12)&lt;=B9)*(IF(Besatzung!$D$12="",Besatzung!$B$6,Besatzung!$D$12)&gt;=B9)))*((G9-IFERROR(H9,0))/IFERROR(SUMPRODUCT((Besatzung!$B$11:$B$22&lt;&gt;"")*(IF(Besatzung!$C$11:$C$22="",Besatzung!$B$5,Besatzung!$C$11:$C$22)&lt;=B9)*(IF(Besatzung!$D$11:$D$22="",Besatzung!$B$6,Besatzung!$D$11:$D$22)&gt;=B9)),1)+(Besatzung!$F$12="x")*IFERROR(H9,0)/IFERROR(SUMPRODUCT((Besatzung!$B$11:$B$22&lt;&gt;"")*(Besatzung!$F$11:$F$22="x")*(IF(Besatzung!$C$11:$C$22="",Besatzung!$B$5,Besatzung!$C$11:$C$22)&lt;=B9)*(IF(Besatzung!$D$11:$D$22="",Besatzung!$B$6,Besatzung!$D$11:$D$22)&gt;=B9)),1))),IF(I9="Individuell",((K9="x")*((G9-IFERROR(H9,0))/IFERROR(COUNTIF(J9:U9,"x"),1)+(Besatzung!$F$12="x")*IFERROR(H9,0)/IFERROR(SUMPRODUCT((J9:U9="x")*(Besatzung!$F$11:$F$22="x")),1))),(IF(COUNTIF(J9:U9,"x")=0,IF(Besatzung!$B$12&lt;&gt;"",1,0),(K9="x"))*(G9-IFERROR(H9,0))/IFERROR(IF(COUNTIF(J9:U9,"x")=0,COUNTA(Besatzung!$B$11:$B$22),COUNTIF(J9:U9,"x")),1)+IF(COUNTIF(J9:U9,"x")=0,(Besatzung!$F$12="x"),(K9="x")*(Besatzung!$F$12="x"))*IFERROR(H9,0)/IFERROR(IF(COUNTIF(J9:U9,"x")=0,SUMPRODUCT((Besatzung!$B$11:$B$22&lt;&gt;"")*(Besatzung!$F$11:$F$22="x")),SUMPRODUCT((J9:U9="x")*(Besatzung!$F$11:$F$22="x"))),1))))),0))))</f>
        <v/>
      </c>
      <c r="X9" s="247">
        <f>IF(C9="Gutschrift","",IF(G9="","",IF(Besatzung!$B$13="","",IFERROR(IF(I9="Zeitanteilig",(Besatzung!$G$13*(G9-IFERROR(H9,0))+((Besatzung!$B$13&lt;&gt;"")*IF(B9="",1,(IF(Besatzung!$C$13="",Besatzung!$B$5,Besatzung!$C$13)&lt;=B9)*(IF(Besatzung!$D$13="",Besatzung!$B$6,Besatzung!$D$13)&gt;=B9)))*(Besatzung!$F$13="x")*IFERROR(H9,0)/IFERROR(SUMPRODUCT((Besatzung!$B$11:$B$22&lt;&gt;"")*(Besatzung!$F$11:$F$22="x")*(IF(Besatzung!$C$11:$C$22="",Besatzung!$B$5,Besatzung!$C$11:$C$22)&lt;=B9)*(IF(Besatzung!$D$11:$D$22="",Besatzung!$B$6,Besatzung!$D$11:$D$22)&gt;=B9)),1)),IF(I9="An Bord",(((Besatzung!$B$13&lt;&gt;"")*IF(B9="",1,(IF(Besatzung!$C$13="",Besatzung!$B$5,Besatzung!$C$13)&lt;=B9)*(IF(Besatzung!$D$13="",Besatzung!$B$6,Besatzung!$D$13)&gt;=B9)))*((G9-IFERROR(H9,0))/IFERROR(SUMPRODUCT((Besatzung!$B$11:$B$22&lt;&gt;"")*(IF(Besatzung!$C$11:$C$22="",Besatzung!$B$5,Besatzung!$C$11:$C$22)&lt;=B9)*(IF(Besatzung!$D$11:$D$22="",Besatzung!$B$6,Besatzung!$D$11:$D$22)&gt;=B9)),1)+(Besatzung!$F$13="x")*IFERROR(H9,0)/IFERROR(SUMPRODUCT((Besatzung!$B$11:$B$22&lt;&gt;"")*(Besatzung!$F$11:$F$22="x")*(IF(Besatzung!$C$11:$C$22="",Besatzung!$B$5,Besatzung!$C$11:$C$22)&lt;=B9)*(IF(Besatzung!$D$11:$D$22="",Besatzung!$B$6,Besatzung!$D$11:$D$22)&gt;=B9)),1))),IF(I9="Individuell",((K9="x")*((G9-IFERROR(H9,0))/IFERROR(COUNTIF(J9:U9,"x"),1)+(Besatzung!$F$13="x")*IFERROR(H9,0)/IFERROR(SUMPRODUCT((J9:U9="x")*(Besatzung!$F$11:$F$22="x")),1))),(IF(COUNTIF(J9:U9,"x")=0,IF(Besatzung!$B$13&lt;&gt;"",1,0),(K9="x"))*(G9-IFERROR(H9,0))/IFERROR(IF(COUNTIF(J9:U9,"x")=0,COUNTA(Besatzung!$B$11:$B$22),COUNTIF(J9:U9,"x")),1)+IF(COUNTIF(J9:U9,"x")=0,(Besatzung!$F$13="x"),(K9="x")*(Besatzung!$F$13="x"))*IFERROR(H9,0)/IFERROR(IF(COUNTIF(J9:U9,"x")=0,SUMPRODUCT((Besatzung!$B$11:$B$22&lt;&gt;"")*(Besatzung!$F$11:$F$22="x")),SUMPRODUCT((J9:U9="x")*(Besatzung!$F$11:$F$22="x"))),1))))),0))))</f>
        <v/>
      </c>
      <c r="Y9" s="247">
        <f>IF(C9="Gutschrift","",IF(G9="","",IF(Besatzung!$B$14="","",IFERROR(IF(I9="Zeitanteilig",(Besatzung!$G$14*(G9-IFERROR(H9,0))+((Besatzung!$B$14&lt;&gt;"")*IF(B9="",1,(IF(Besatzung!$C$14="",Besatzung!$B$5,Besatzung!$C$14)&lt;=B9)*(IF(Besatzung!$D$14="",Besatzung!$B$6,Besatzung!$D$14)&gt;=B9)))*(Besatzung!$F$14="x")*IFERROR(H9,0)/IFERROR(SUMPRODUCT((Besatzung!$B$11:$B$22&lt;&gt;"")*(Besatzung!$F$11:$F$22="x")*(IF(Besatzung!$C$11:$C$22="",Besatzung!$B$5,Besatzung!$C$11:$C$22)&lt;=B9)*(IF(Besatzung!$D$11:$D$22="",Besatzung!$B$6,Besatzung!$D$11:$D$22)&gt;=B9)),1)),IF(I9="An Bord",(((Besatzung!$B$14&lt;&gt;"")*IF(B9="",1,(IF(Besatzung!$C$14="",Besatzung!$B$5,Besatzung!$C$14)&lt;=B9)*(IF(Besatzung!$D$14="",Besatzung!$B$6,Besatzung!$D$14)&gt;=B9)))*((G9-IFERROR(H9,0))/IFERROR(SUMPRODUCT((Besatzung!$B$11:$B$22&lt;&gt;"")*(IF(Besatzung!$C$11:$C$22="",Besatzung!$B$5,Besatzung!$C$11:$C$22)&lt;=B9)*(IF(Besatzung!$D$11:$D$22="",Besatzung!$B$6,Besatzung!$D$11:$D$22)&gt;=B9)),1)+(Besatzung!$F$14="x")*IFERROR(H9,0)/IFERROR(SUMPRODUCT((Besatzung!$B$11:$B$22&lt;&gt;"")*(Besatzung!$F$11:$F$22="x")*(IF(Besatzung!$C$11:$C$22="",Besatzung!$B$5,Besatzung!$C$11:$C$22)&lt;=B9)*(IF(Besatzung!$D$11:$D$22="",Besatzung!$B$6,Besatzung!$D$11:$D$22)&gt;=B9)),1))),IF(I9="Individuell",((M9="x")*((G9-IFERROR(H9,0))/IFERROR(COUNTIF(J9:U9,"x"),1)+(Besatzung!$F$14="x")*IFERROR(H9,0)/IFERROR(SUMPRODUCT((J9:U9="x")*(Besatzung!$F$11:$F$22="x")),1))),(IF(COUNTIF(J9:U9,"x")=0,IF(Besatzung!$B$14&lt;&gt;"",1,0),(M9="x"))*(G9-IFERROR(H9,0))/IFERROR(IF(COUNTIF(J9:U9,"x")=0,COUNTA(Besatzung!$B$11:$B$22),COUNTIF(J9:U9,"x")),1)+IF(COUNTIF(J9:U9,"x")=0,(Besatzung!$F$14="x"),(M9="x")*(Besatzung!$F$14="x"))*IFERROR(H9,0)/IFERROR(IF(COUNTIF(J9:U9,"x")=0,SUMPRODUCT((Besatzung!$B$11:$B$22&lt;&gt;"")*(Besatzung!$F$11:$F$22="x")),SUMPRODUCT((J9:U9="x")*(Besatzung!$F$11:$F$22="x"))),1))))),0))))</f>
        <v/>
      </c>
      <c r="Z9" s="247">
        <f>IF(C9="Gutschrift","",IF(G9="","",IF(Besatzung!$B$13="","",IFERROR(IF(I9="Zeitanteilig",(Besatzung!$G$15*(G9-IFERROR(H9,0))+((Besatzung!$B$13&lt;&gt;"")*IF(B9="",1,(IF(Besatzung!$C$15="",Besatzung!$B$5,Besatzung!$C$15)&lt;=B9)*(IF(Besatzung!$D$15="",Besatzung!$B$6,Besatzung!$D$15)&gt;=B9)))*(Besatzung!$F$15="x")*IFERROR(H9,0)/IFERROR(SUMPRODUCT((Besatzung!$B$11:$B$22&lt;&gt;"")*(Besatzung!$F$11:$F$22="x")*(IF(Besatzung!$C$11:$C$22="",Besatzung!$B$5,Besatzung!$C$11:$C$22)&lt;=B9)*(IF(Besatzung!$D$11:$D$22="",Besatzung!$B$6,Besatzung!$D$11:$D$22)&gt;=B9)),1)),IF(I9="An Bord",(((Besatzung!$B$13&lt;&gt;"")*IF(B9="",1,(IF(Besatzung!$C$15="",Besatzung!$B$5,Besatzung!$C$15)&lt;=B9)*(IF(Besatzung!$D$15="",Besatzung!$B$6,Besatzung!$D$15)&gt;=B9)))*((G9-IFERROR(H9,0))/IFERROR(SUMPRODUCT((Besatzung!$B$11:$B$22&lt;&gt;"")*(IF(Besatzung!$C$11:$C$22="",Besatzung!$B$5,Besatzung!$C$11:$C$22)&lt;=B9)*(IF(Besatzung!$D$11:$D$22="",Besatzung!$B$6,Besatzung!$D$11:$D$22)&gt;=B9)),1)+(Besatzung!$F$15="x")*IFERROR(H9,0)/IFERROR(SUMPRODUCT((Besatzung!$B$11:$B$22&lt;&gt;"")*(Besatzung!$F$11:$F$22="x")*(IF(Besatzung!$C$11:$C$22="",Besatzung!$B$5,Besatzung!$C$11:$C$22)&lt;=B9)*(IF(Besatzung!$D$11:$D$22="",Besatzung!$B$6,Besatzung!$D$11:$D$22)&gt;=B9)),1))),IF(I9="Individuell",((N9="x")*((G9-IFERROR(H9,0))/IFERROR(COUNTIF(J9:U9,"x"),1)+(Besatzung!$F$15="x")*IFERROR(H9,0)/IFERROR(SUMPRODUCT((J9:U9="x")*(Besatzung!$F$11:$F$22="x")),1))),(IF(COUNTIF(J9:U9,"x")=0,IF(Besatzung!$B$13&lt;&gt;"",1,0),(N9="x"))*(G9-IFERROR(H9,0))/IFERROR(IF(COUNTIF(J9:U9,"x")=0,COUNTA(Besatzung!$B$11:$B$22),COUNTIF(J9:U9,"x")),1)+IF(COUNTIF(J9:U9,"x")=0,(Besatzung!$F$15="x"),(N9="x")*(Besatzung!$F$15="x"))*IFERROR(H9,0)/IFERROR(IF(COUNTIF(J9:U9,"x")=0,SUMPRODUCT((Besatzung!$B$11:$B$22&lt;&gt;"")*(Besatzung!$F$11:$F$22="x")),SUMPRODUCT((J9:U9="x")*(Besatzung!$F$11:$F$22="x"))),1))))),0))))</f>
        <v/>
      </c>
      <c r="AA9" s="247">
        <f>IF(C9="Gutschrift","",IF(G9="","",IF(Besatzung!$B$15="","",IFERROR(IF(I9="Zeitanteilig",(Besatzung!$G$16*(G9-IFERROR(H9,0))+((Besatzung!$B$15&lt;&gt;"")*IF(B9="",1,(IF(Besatzung!$C$16="",Besatzung!$B$5,Besatzung!$C$16)&lt;=B9)*(IF(Besatzung!$D$16="",Besatzung!$B$6,Besatzung!$D$16)&gt;=B9)))*(Besatzung!$F$16="x")*IFERROR(H9,0)/IFERROR(SUMPRODUCT((Besatzung!$B$11:$B$22&lt;&gt;"")*(Besatzung!$F$11:$F$22="x")*(IF(Besatzung!$C$11:$C$22="",Besatzung!$B$5,Besatzung!$C$11:$C$22)&lt;=B9)*(IF(Besatzung!$D$11:$D$22="",Besatzung!$B$6,Besatzung!$D$11:$D$22)&gt;=B9)),1)),IF(I9="An Bord",(((Besatzung!$B$15&lt;&gt;"")*IF(B9="",1,(IF(Besatzung!$C$16="",Besatzung!$B$5,Besatzung!$C$16)&lt;=B9)*(IF(Besatzung!$D$16="",Besatzung!$B$6,Besatzung!$D$16)&gt;=B9)))*((G9-IFERROR(H9,0))/IFERROR(SUMPRODUCT((Besatzung!$B$11:$B$22&lt;&gt;"")*(IF(Besatzung!$C$11:$C$22="",Besatzung!$B$5,Besatzung!$C$11:$C$22)&lt;=B9)*(IF(Besatzung!$D$11:$D$22="",Besatzung!$B$6,Besatzung!$D$11:$D$22)&gt;=B9)),1)+(Besatzung!$F$16="x")*IFERROR(H9,0)/IFERROR(SUMPRODUCT((Besatzung!$B$11:$B$22&lt;&gt;"")*(Besatzung!$F$11:$F$22="x")*(IF(Besatzung!$C$11:$C$22="",Besatzung!$B$5,Besatzung!$C$11:$C$22)&lt;=B9)*(IF(Besatzung!$D$11:$D$22="",Besatzung!$B$6,Besatzung!$D$11:$D$22)&gt;=B9)),1))),IF(I9="Individuell",((O9="x")*((G9-IFERROR(H9,0))/IFERROR(COUNTIF(J9:U9,"x"),1)+(Besatzung!$F$16="x")*IFERROR(H9,0)/IFERROR(SUMPRODUCT((J9:U9="x")*(Besatzung!$F$11:$F$22="x")),1))),(IF(COUNTIF(J9:U9,"x")=0,IF(Besatzung!$B$15&lt;&gt;"",1,0),(O9="x"))*(G9-IFERROR(H9,0))/IFERROR(IF(COUNTIF(J9:U9,"x")=0,COUNTA(Besatzung!$B$11:$B$22),COUNTIF(J9:U9,"x")),1)+IF(COUNTIF(J9:U9,"x")=0,(Besatzung!$F$16="x"),(O9="x")*(Besatzung!$F$16="x"))*IFERROR(H9,0)/IFERROR(IF(COUNTIF(J9:U9,"x")=0,SUMPRODUCT((Besatzung!$B$11:$B$22&lt;&gt;"")*(Besatzung!$F$11:$F$22="x")),SUMPRODUCT((J9:U9="x")*(Besatzung!$F$11:$F$22="x"))),1))))),0))))</f>
        <v/>
      </c>
      <c r="AB9" s="247">
        <f>IF(C9="Gutschrift","",IF(G9="","",IF(Besatzung!$B$17="","",IFERROR(IF(I9="Zeitanteilig",(Besatzung!$G$17*(G9-IFERROR(H9,0))+((Besatzung!$B$17&lt;&gt;"")*IF(B9="",1,(IF(Besatzung!$C$17="",Besatzung!$B$5,Besatzung!$C$17)&lt;=B9)*(IF(Besatzung!$D$17="",Besatzung!$B$6,Besatzung!$D$17)&gt;=B9)))*(Besatzung!$F$17="x")*IFERROR(H9,0)/IFERROR(SUMPRODUCT((Besatzung!$B$11:$B$22&lt;&gt;"")*(Besatzung!$F$11:$F$22="x")*(IF(Besatzung!$C$11:$C$22="",Besatzung!$B$5,Besatzung!$C$11:$C$22)&lt;=B9)*(IF(Besatzung!$D$11:$D$22="",Besatzung!$B$6,Besatzung!$D$11:$D$22)&gt;=B9)),1)),IF(I9="An Bord",(((Besatzung!$B$17&lt;&gt;"")*IF(B9="",1,(IF(Besatzung!$C$17="",Besatzung!$B$5,Besatzung!$C$17)&lt;=B9)*(IF(Besatzung!$D$17="",Besatzung!$B$6,Besatzung!$D$17)&gt;=B9)))*((G9-IFERROR(H9,0))/IFERROR(SUMPRODUCT((Besatzung!$B$11:$B$22&lt;&gt;"")*(IF(Besatzung!$C$11:$C$22="",Besatzung!$B$5,Besatzung!$C$11:$C$22)&lt;=B9)*(IF(Besatzung!$D$11:$D$22="",Besatzung!$B$6,Besatzung!$D$11:$D$22)&gt;=B9)),1)+(Besatzung!$F$17="x")*IFERROR(H9,0)/IFERROR(SUMPRODUCT((Besatzung!$B$11:$B$22&lt;&gt;"")*(Besatzung!$F$11:$F$22="x")*(IF(Besatzung!$C$11:$C$22="",Besatzung!$B$5,Besatzung!$C$11:$C$22)&lt;=B9)*(IF(Besatzung!$D$11:$D$22="",Besatzung!$B$6,Besatzung!$D$11:$D$22)&gt;=B9)),1))),IF(I9="Individuell",((P9="x")*((G9-IFERROR(H9,0))/IFERROR(COUNTIF(J9:U9,"x"),1)+(Besatzung!$F$17="x")*IFERROR(H9,0)/IFERROR(SUMPRODUCT((J9:U9="x")*(Besatzung!$F$11:$F$22="x")),1))),(IF(COUNTIF(J9:U9,"x")=0,IF(Besatzung!$B$17&lt;&gt;"",1,0),(P9="x"))*(G9-IFERROR(H9,0))/IFERROR(IF(COUNTIF(J9:U9,"x")=0,COUNTA(Besatzung!$B$11:$B$22),COUNTIF(J9:U9,"x")),1)+IF(COUNTIF(J9:U9,"x")=0,(Besatzung!$F$17="x"),(P9="x")*(Besatzung!$F$17="x"))*IFERROR(H9,0)/IFERROR(IF(COUNTIF(J9:U9,"x")=0,SUMPRODUCT((Besatzung!$B$11:$B$22&lt;&gt;"")*(Besatzung!$F$11:$F$22="x")),SUMPRODUCT((J9:U9="x")*(Besatzung!$F$11:$F$22="x"))),1))))),0))))</f>
        <v/>
      </c>
      <c r="AC9" s="247">
        <f>IF(C9="Gutschrift","",IF(G9="","",IF(Besatzung!$B$18="","",IFERROR(IF(I9="Zeitanteilig",(Besatzung!$G$18*(G9-IFERROR(H9,0))+((Besatzung!$B$18&lt;&gt;"")*IF(B9="",1,(IF(Besatzung!$C$18="",Besatzung!$B$5,Besatzung!$C$18)&lt;=B9)*(IF(Besatzung!$D$18="",Besatzung!$B$6,Besatzung!$D$18)&gt;=B9)))*(Besatzung!$F$18="x")*IFERROR(H9,0)/IFERROR(SUMPRODUCT((Besatzung!$B$11:$B$22&lt;&gt;"")*(Besatzung!$F$11:$F$22="x")*(IF(Besatzung!$C$11:$C$22="",Besatzung!$B$5,Besatzung!$C$11:$C$22)&lt;=B9)*(IF(Besatzung!$D$11:$D$22="",Besatzung!$B$6,Besatzung!$D$11:$D$22)&gt;=B9)),1)),IF(I9="An Bord",(((Besatzung!$B$18&lt;&gt;"")*IF(B9="",1,(IF(Besatzung!$C$18="",Besatzung!$B$5,Besatzung!$C$18)&lt;=B9)*(IF(Besatzung!$D$18="",Besatzung!$B$6,Besatzung!$D$18)&gt;=B9)))*((G9-IFERROR(H9,0))/IFERROR(SUMPRODUCT((Besatzung!$B$11:$B$22&lt;&gt;"")*(IF(Besatzung!$C$11:$C$22="",Besatzung!$B$5,Besatzung!$C$11:$C$22)&lt;=B9)*(IF(Besatzung!$D$11:$D$22="",Besatzung!$B$6,Besatzung!$D$11:$D$22)&gt;=B9)),1)+(Besatzung!$F$18="x")*IFERROR(H9,0)/IFERROR(SUMPRODUCT((Besatzung!$B$11:$B$22&lt;&gt;"")*(Besatzung!$F$11:$F$22="x")*(IF(Besatzung!$C$11:$C$22="",Besatzung!$B$5,Besatzung!$C$11:$C$22)&lt;=B9)*(IF(Besatzung!$D$11:$D$22="",Besatzung!$B$6,Besatzung!$D$11:$D$22)&gt;=B9)),1))),IF(I9="Individuell",((Q9="x")*((G9-IFERROR(H9,0))/IFERROR(COUNTIF(J9:U9,"x"),1)+(Besatzung!$F$18="x")*IFERROR(H9,0)/IFERROR(SUMPRODUCT((J9:U9="x")*(Besatzung!$F$11:$F$22="x")),1))),(IF(COUNTIF(J9:U9,"x")=0,IF(Besatzung!$B$18&lt;&gt;"",1,0),(Q9="x"))*(G9-IFERROR(H9,0))/IFERROR(IF(COUNTIF(J9:U9,"x")=0,COUNTA(Besatzung!$B$11:$B$22),COUNTIF(J9:U9,"x")),1)+IF(COUNTIF(J9:U9,"x")=0,(Besatzung!$F$18="x"),(Q9="x")*(Besatzung!$F$18="x"))*IFERROR(H9,0)/IFERROR(IF(COUNTIF(J9:U9,"x")=0,SUMPRODUCT((Besatzung!$B$11:$B$22&lt;&gt;"")*(Besatzung!$F$11:$F$22="x")),SUMPRODUCT((J9:U9="x")*(Besatzung!$F$11:$F$22="x"))),1))))),0))))</f>
        <v/>
      </c>
      <c r="AD9" s="247">
        <f>IF(C9="Gutschrift","",IF(G9="","",IF(Besatzung!$B$19="","",IFERROR(IF(I9="Zeitanteilig",(Besatzung!$G$19*(G9-IFERROR(H9,0))+((Besatzung!$B$19&lt;&gt;"")*IF(B9="",1,(IF(Besatzung!$C$19="",Besatzung!$B$5,Besatzung!$C$19)&lt;=B9)*(IF(Besatzung!$D$19="",Besatzung!$B$6,Besatzung!$D$19)&gt;=B9)))*(Besatzung!$F$19="x")*IFERROR(H9,0)/IFERROR(SUMPRODUCT((Besatzung!$B$11:$B$22&lt;&gt;"")*(Besatzung!$F$11:$F$22="x")*(IF(Besatzung!$C$11:$C$22="",Besatzung!$B$5,Besatzung!$C$11:$C$22)&lt;=B9)*(IF(Besatzung!$D$11:$D$22="",Besatzung!$B$6,Besatzung!$D$11:$D$22)&gt;=B9)),1)),IF(I9="An Bord",(((Besatzung!$B$19&lt;&gt;"")*IF(B9="",1,(IF(Besatzung!$C$19="",Besatzung!$B$5,Besatzung!$C$19)&lt;=B9)*(IF(Besatzung!$D$19="",Besatzung!$B$6,Besatzung!$D$19)&gt;=B9)))*((G9-IFERROR(H9,0))/IFERROR(SUMPRODUCT((Besatzung!$B$11:$B$22&lt;&gt;"")*(IF(Besatzung!$C$11:$C$22="",Besatzung!$B$5,Besatzung!$C$11:$C$22)&lt;=B9)*(IF(Besatzung!$D$11:$D$22="",Besatzung!$B$6,Besatzung!$D$11:$D$22)&gt;=B9)),1)+(Besatzung!$F$19="x")*IFERROR(H9,0)/IFERROR(SUMPRODUCT((Besatzung!$B$11:$B$22&lt;&gt;"")*(Besatzung!$F$11:$F$22="x")*(IF(Besatzung!$C$11:$C$22="",Besatzung!$B$5,Besatzung!$C$11:$C$22)&lt;=B9)*(IF(Besatzung!$D$11:$D$22="",Besatzung!$B$6,Besatzung!$D$11:$D$22)&gt;=B9)),1))),IF(I9="Individuell",((R9="x")*((G9-IFERROR(H9,0))/IFERROR(COUNTIF(J9:U9,"x"),1)+(Besatzung!$F$19="x")*IFERROR(H9,0)/IFERROR(SUMPRODUCT((J9:U9="x")*(Besatzung!$F$11:$F$22="x")),1))),(IF(COUNTIF(J9:U9,"x")=0,IF(Besatzung!$B$19&lt;&gt;"",1,0),(R9="x"))*(G9-IFERROR(H9,0))/IFERROR(IF(COUNTIF(J9:U9,"x")=0,COUNTA(Besatzung!$B$11:$B$22),COUNTIF(J9:U9,"x")),1)+IF(COUNTIF(J9:U9,"x")=0,(Besatzung!$F$19="x"),(R9="x")*(Besatzung!$F$19="x"))*IFERROR(H9,0)/IFERROR(IF(COUNTIF(J9:U9,"x")=0,SUMPRODUCT((Besatzung!$B$11:$B$22&lt;&gt;"")*(Besatzung!$F$11:$F$22="x")),SUMPRODUCT((J9:U9="x")*(Besatzung!$F$11:$F$22="x"))),1))))),0))))</f>
        <v/>
      </c>
      <c r="AE9" s="247">
        <f>IF(C9="Gutschrift","",IF(G9="","",IF(Besatzung!$B$20="","",IFERROR(IF(I9="Zeitanteilig",(Besatzung!$G$20*(G9-IFERROR(H9,0))+((Besatzung!$B$20&lt;&gt;"")*IF(B9="",1,(IF(Besatzung!$C$20="",Besatzung!$B$5,Besatzung!$C$20)&lt;=B9)*(IF(Besatzung!$D$20="",Besatzung!$B$6,Besatzung!$D$20)&gt;=B9)))*(Besatzung!$F$20="x")*IFERROR(H9,0)/IFERROR(SUMPRODUCT((Besatzung!$B$11:$B$22&lt;&gt;"")*(Besatzung!$F$11:$F$22="x")*(IF(Besatzung!$C$11:$C$22="",Besatzung!$B$5,Besatzung!$C$11:$C$22)&lt;=B9)*(IF(Besatzung!$D$11:$D$22="",Besatzung!$B$6,Besatzung!$D$11:$D$22)&gt;=B9)),1)),IF(I9="An Bord",(((Besatzung!$B$20&lt;&gt;"")*IF(B9="",1,(IF(Besatzung!$C$20="",Besatzung!$B$5,Besatzung!$C$20)&lt;=B9)*(IF(Besatzung!$D$20="",Besatzung!$B$6,Besatzung!$D$20)&gt;=B9)))*((G9-IFERROR(H9,0))/IFERROR(SUMPRODUCT((Besatzung!$B$11:$B$22&lt;&gt;"")*(IF(Besatzung!$C$11:$C$22="",Besatzung!$B$5,Besatzung!$C$11:$C$22)&lt;=B9)*(IF(Besatzung!$D$11:$D$22="",Besatzung!$B$6,Besatzung!$D$11:$D$22)&gt;=B9)),1)+(Besatzung!$F$20="x")*IFERROR(H9,0)/IFERROR(SUMPRODUCT((Besatzung!$B$11:$B$22&lt;&gt;"")*(Besatzung!$F$11:$F$22="x")*(IF(Besatzung!$C$11:$C$22="",Besatzung!$B$5,Besatzung!$C$11:$C$22)&lt;=B9)*(IF(Besatzung!$D$11:$D$22="",Besatzung!$B$6,Besatzung!$D$11:$D$22)&gt;=B9)),1))),IF(I9="Individuell",((S9="x")*((G9-IFERROR(H9,0))/IFERROR(COUNTIF(J9:U9,"x"),1)+(Besatzung!$F$20="x")*IFERROR(H9,0)/IFERROR(SUMPRODUCT((J9:U9="x")*(Besatzung!$F$11:$F$22="x")),1))),(IF(COUNTIF(J9:U9,"x")=0,IF(Besatzung!$B$20&lt;&gt;"",1,0),(S9="x"))*(G9-IFERROR(H9,0))/IFERROR(IF(COUNTIF(J9:U9,"x")=0,COUNTA(Besatzung!$B$11:$B$22),COUNTIF(J9:U9,"x")),1)+IF(COUNTIF(J9:U9,"x")=0,(Besatzung!$F$20="x"),(S9="x")*(Besatzung!$F$20="x"))*IFERROR(H9,0)/IFERROR(IF(COUNTIF(J9:U9,"x")=0,SUMPRODUCT((Besatzung!$B$11:$B$22&lt;&gt;"")*(Besatzung!$F$11:$F$22="x")),SUMPRODUCT((J9:U9="x")*(Besatzung!$F$11:$F$22="x"))),1))))),0))))</f>
        <v/>
      </c>
      <c r="AF9" s="247">
        <f>IF(C9="Gutschrift","",IF(G9="","",IF(Besatzung!$B$21="","",IFERROR(IF(I9="Zeitanteilig",(Besatzung!$G$21*(G9-IFERROR(H9,0))+((Besatzung!$B$21&lt;&gt;"")*IF(B9="",1,(IF(Besatzung!$C$21="",Besatzung!$B$5,Besatzung!$C$21)&lt;=B9)*(IF(Besatzung!$D$21="",Besatzung!$B$6,Besatzung!$D$21)&gt;=B9)))*(Besatzung!$F$21="x")*IFERROR(H9,0)/IFERROR(SUMPRODUCT((Besatzung!$B$11:$B$22&lt;&gt;"")*(Besatzung!$F$11:$F$22="x")*(IF(Besatzung!$C$11:$C$22="",Besatzung!$B$5,Besatzung!$C$11:$C$22)&lt;=B9)*(IF(Besatzung!$D$11:$D$22="",Besatzung!$B$6,Besatzung!$D$11:$D$22)&gt;=B9)),1)),IF(I9="An Bord",(((Besatzung!$B$21&lt;&gt;"")*IF(B9="",1,(IF(Besatzung!$C$21="",Besatzung!$B$5,Besatzung!$C$21)&lt;=B9)*(IF(Besatzung!$D$21="",Besatzung!$B$6,Besatzung!$D$21)&gt;=B9)))*((G9-IFERROR(H9,0))/IFERROR(SUMPRODUCT((Besatzung!$B$11:$B$22&lt;&gt;"")*(IF(Besatzung!$C$11:$C$22="",Besatzung!$B$5,Besatzung!$C$11:$C$22)&lt;=B9)*(IF(Besatzung!$D$11:$D$22="",Besatzung!$B$6,Besatzung!$D$11:$D$22)&gt;=B9)),1)+(Besatzung!$F$21="x")*IFERROR(H9,0)/IFERROR(SUMPRODUCT((Besatzung!$B$11:$B$22&lt;&gt;"")*(Besatzung!$F$11:$F$22="x")*(IF(Besatzung!$C$11:$C$22="",Besatzung!$B$5,Besatzung!$C$11:$C$22)&lt;=B9)*(IF(Besatzung!$D$11:$D$22="",Besatzung!$B$6,Besatzung!$D$11:$D$22)&gt;=B9)),1))),IF(I9="Individuell",((T9="x")*((G9-IFERROR(H9,0))/IFERROR(COUNTIF(J9:U9,"x"),1)+(Besatzung!$F$21="x")*IFERROR(H9,0)/IFERROR(SUMPRODUCT((J9:U9="x")*(Besatzung!$F$11:$F$22="x")),1))),(IF(COUNTIF(J9:U9,"x")=0,IF(Besatzung!$B$21&lt;&gt;"",1,0),(T9="x"))*(G9-IFERROR(H9,0))/IFERROR(IF(COUNTIF(J9:U9,"x")=0,COUNTA(Besatzung!$B$11:$B$22),COUNTIF(J9:U9,"x")),1)+IF(COUNTIF(J9:U9,"x")=0,(Besatzung!$F$21="x"),(T9="x")*(Besatzung!$F$21="x"))*IFERROR(H9,0)/IFERROR(IF(COUNTIF(J9:U9,"x")=0,SUMPRODUCT((Besatzung!$B$11:$B$22&lt;&gt;"")*(Besatzung!$F$11:$F$22="x")),SUMPRODUCT((J9:U9="x")*(Besatzung!$F$11:$F$22="x"))),1))))),0))))</f>
        <v/>
      </c>
      <c r="AG9" s="247">
        <f>IF(C9="Gutschrift","",IF(G9="","",IF(Besatzung!$B$22="","",IFERROR(IF(I9="Zeitanteilig",(Besatzung!$G$22*(G9-IFERROR(H9,0))+((Besatzung!$B$22&lt;&gt;"")*IF(B9="",1,(IF(Besatzung!$C$22="",Besatzung!$B$5,Besatzung!$C$22)&lt;=B9)*(IF(Besatzung!$D$22="",Besatzung!$B$6,Besatzung!$D$22)&gt;=B9)))*(Besatzung!$F$22="x")*IFERROR(H9,0)/IFERROR(SUMPRODUCT((Besatzung!$B$11:$B$22&lt;&gt;"")*(Besatzung!$F$11:$F$22="x")*(IF(Besatzung!$C$11:$C$22="",Besatzung!$B$5,Besatzung!$C$11:$C$22)&lt;=B9)*(IF(Besatzung!$D$11:$D$22="",Besatzung!$B$6,Besatzung!$D$11:$D$22)&gt;=B9)),1)),IF(I9="An Bord",(((Besatzung!$B$22&lt;&gt;"")*IF(B9="",1,(IF(Besatzung!$C$22="",Besatzung!$B$5,Besatzung!$C$22)&lt;=B9)*(IF(Besatzung!$D$22="",Besatzung!$B$6,Besatzung!$D$22)&gt;=B9)))*((G9-IFERROR(H9,0))/IFERROR(SUMPRODUCT((Besatzung!$B$11:$B$22&lt;&gt;"")*(IF(Besatzung!$C$11:$C$22="",Besatzung!$B$5,Besatzung!$C$11:$C$22)&lt;=B9)*(IF(Besatzung!$D$11:$D$22="",Besatzung!$B$6,Besatzung!$D$11:$D$22)&gt;=B9)),1)+(Besatzung!$F$22="x")*IFERROR(H9,0)/IFERROR(SUMPRODUCT((Besatzung!$B$11:$B$22&lt;&gt;"")*(Besatzung!$F$11:$F$22="x")*(IF(Besatzung!$C$11:$C$22="",Besatzung!$B$5,Besatzung!$C$11:$C$22)&lt;=B9)*(IF(Besatzung!$D$11:$D$22="",Besatzung!$B$6,Besatzung!$D$11:$D$22)&gt;=B9)),1))),IF(I9="Individuell",((U9="x")*((G9-IFERROR(H9,0))/IFERROR(COUNTIF(J9:U9,"x"),1)+(Besatzung!$F$22="x")*IFERROR(H9,0)/IFERROR(SUMPRODUCT((J9:U9="x")*(Besatzung!$F$11:$F$22="x")),1))),(IF(COUNTIF(J9:U9,"x")=0,IF(Besatzung!$B$22&lt;&gt;"",1,0),(U9="x"))*(G9-IFERROR(H9,0))/IFERROR(IF(COUNTIF(J9:U9,"x")=0,COUNTA(Besatzung!$B$11:$B$22),COUNTIF(J9:U9,"x")),1)+IF(COUNTIF(J9:U9,"x")=0,(Besatzung!$F$22="x"),(U9="x")*(Besatzung!$F$22="x"))*IFERROR(H9,0)/IFERROR(IF(COUNTIF(J9:U9,"x")=0,SUMPRODUCT((Besatzung!$B$11:$B$22&lt;&gt;"")*(Besatzung!$F$11:$F$22="x")),SUMPRODUCT((J9:U9="x")*(Besatzung!$F$11:$F$22="x"))),1))))),0))))</f>
        <v/>
      </c>
      <c r="AH9" s="248" t="n"/>
      <c r="AI9" s="248" t="n"/>
    </row>
    <row r="10" ht="21.75" customHeight="1" s="154">
      <c r="A10" s="238">
        <f>IF(AND(D10="",C10=""),"",7)</f>
        <v/>
      </c>
      <c r="B10" s="199" t="n"/>
      <c r="C10" s="239" t="n"/>
      <c r="D10" s="240" t="n"/>
      <c r="E10" s="241" t="n"/>
      <c r="F10" s="242" t="n"/>
      <c r="G10" s="243" t="n"/>
      <c r="H10" s="244" t="n"/>
      <c r="I10" s="245" t="n"/>
      <c r="J10" s="246" t="n"/>
      <c r="K10" s="246" t="n"/>
      <c r="L10" s="246" t="n"/>
      <c r="M10" s="246" t="n"/>
      <c r="N10" s="246" t="n"/>
      <c r="O10" s="246" t="n"/>
      <c r="P10" s="246" t="n"/>
      <c r="Q10" s="246" t="n"/>
      <c r="R10" s="246" t="n"/>
      <c r="S10" s="246" t="n"/>
      <c r="T10" s="246" t="n"/>
      <c r="U10" s="246" t="n"/>
      <c r="V10" s="247">
        <f>IF(C10="Gutschrift","",IF(G10="","",IF(Besatzung!$B$11="","",IFERROR(IF(I10="Zeitanteilig",(Besatzung!$G$11*(G10-IFERROR(H10,0))+((Besatzung!$B$11&lt;&gt;"")*IF(B10="",1,(IF(Besatzung!$C$11="",Besatzung!$B$5,Besatzung!$C$11)&lt;=B10)*(IF(Besatzung!$D$11="",Besatzung!$B$6,Besatzung!$D$11)&gt;=B10)))*(Besatzung!$F$11="x")*IFERROR(H10,0)/IFERROR(SUMPRODUCT((Besatzung!$B$11:$B$22&lt;&gt;"")*(Besatzung!$F$11:$F$22="x")*(IF(Besatzung!$C$11:$C$22="",Besatzung!$B$5,Besatzung!$C$11:$C$22)&lt;=B10)*(IF(Besatzung!$D$11:$D$22="",Besatzung!$B$6,Besatzung!$D$11:$D$22)&gt;=B10)),1)),IF(I10="An Bord",(((Besatzung!$B$11&lt;&gt;"")*IF(B10="",1,(IF(Besatzung!$C$11="",Besatzung!$B$5,Besatzung!$C$11)&lt;=B10)*(IF(Besatzung!$D$11="",Besatzung!$B$6,Besatzung!$D$11)&gt;=B10)))*((G10-IFERROR(H10,0))/IFERROR(SUMPRODUCT((Besatzung!$B$11:$B$22&lt;&gt;"")*(IF(Besatzung!$C$11:$C$22="",Besatzung!$B$5,Besatzung!$C$11:$C$22)&lt;=B10)*(IF(Besatzung!$D$11:$D$22="",Besatzung!$B$6,Besatzung!$D$11:$D$22)&gt;=B10)),1)+(Besatzung!$F$11="x")*IFERROR(H10,0)/IFERROR(SUMPRODUCT((Besatzung!$B$11:$B$22&lt;&gt;"")*(Besatzung!$F$11:$F$22="x")*(IF(Besatzung!$C$11:$C$22="",Besatzung!$B$5,Besatzung!$C$11:$C$22)&lt;=B10)*(IF(Besatzung!$D$11:$D$22="",Besatzung!$B$6,Besatzung!$D$11:$D$22)&gt;=B10)),1))),IF(I10="Individuell",((J10="x")*((G10-IFERROR(H10,0))/IFERROR(COUNTIF(J10:U10,"x"),1)+(Besatzung!$F$11="x")*IFERROR(H10,0)/IFERROR(SUMPRODUCT((J10:U10="x")*(Besatzung!$F$11:$F$22="x")),1))),(IF(COUNTIF(J10:U10,"x")=0,IF(Besatzung!$B$11&lt;&gt;"",1,0),(J10="x"))*(G10-IFERROR(H10,0))/IFERROR(IF(COUNTIF(J10:U10,"x")=0,COUNTA(Besatzung!$B$11:$B$22),COUNTIF(J10:U10,"x")),1)+IF(COUNTIF(J10:U10,"x")=0,(Besatzung!$F$11="x"),(J10="x")*(Besatzung!$F$11="x"))*IFERROR(H10,0)/IFERROR(IF(COUNTIF(J10:U10,"x")=0,SUMPRODUCT((Besatzung!$B$11:$B$22&lt;&gt;"")*(Besatzung!$F$11:$F$22="x")),SUMPRODUCT((J10:U10="x")*(Besatzung!$F$11:$F$22="x"))),1))))),0))))</f>
        <v/>
      </c>
      <c r="W10" s="247">
        <f>IF(C10="Gutschrift","",IF(G10="","",IF(Besatzung!$B$12="","",IFERROR(IF(I10="Zeitanteilig",(Besatzung!$G$12*(G10-IFERROR(H10,0))+((Besatzung!$B$12&lt;&gt;"")*IF(B10="",1,(IF(Besatzung!$C$12="",Besatzung!$B$5,Besatzung!$C$12)&lt;=B10)*(IF(Besatzung!$D$12="",Besatzung!$B$6,Besatzung!$D$12)&gt;=B10)))*(Besatzung!$F$12="x")*IFERROR(H10,0)/IFERROR(SUMPRODUCT((Besatzung!$B$11:$B$22&lt;&gt;"")*(Besatzung!$F$11:$F$22="x")*(IF(Besatzung!$C$11:$C$22="",Besatzung!$B$5,Besatzung!$C$11:$C$22)&lt;=B10)*(IF(Besatzung!$D$11:$D$22="",Besatzung!$B$6,Besatzung!$D$11:$D$22)&gt;=B10)),1)),IF(I10="An Bord",(((Besatzung!$B$12&lt;&gt;"")*IF(B10="",1,(IF(Besatzung!$C$12="",Besatzung!$B$5,Besatzung!$C$12)&lt;=B10)*(IF(Besatzung!$D$12="",Besatzung!$B$6,Besatzung!$D$12)&gt;=B10)))*((G10-IFERROR(H10,0))/IFERROR(SUMPRODUCT((Besatzung!$B$11:$B$22&lt;&gt;"")*(IF(Besatzung!$C$11:$C$22="",Besatzung!$B$5,Besatzung!$C$11:$C$22)&lt;=B10)*(IF(Besatzung!$D$11:$D$22="",Besatzung!$B$6,Besatzung!$D$11:$D$22)&gt;=B10)),1)+(Besatzung!$F$12="x")*IFERROR(H10,0)/IFERROR(SUMPRODUCT((Besatzung!$B$11:$B$22&lt;&gt;"")*(Besatzung!$F$11:$F$22="x")*(IF(Besatzung!$C$11:$C$22="",Besatzung!$B$5,Besatzung!$C$11:$C$22)&lt;=B10)*(IF(Besatzung!$D$11:$D$22="",Besatzung!$B$6,Besatzung!$D$11:$D$22)&gt;=B10)),1))),IF(I10="Individuell",((K10="x")*((G10-IFERROR(H10,0))/IFERROR(COUNTIF(J10:U10,"x"),1)+(Besatzung!$F$12="x")*IFERROR(H10,0)/IFERROR(SUMPRODUCT((J10:U10="x")*(Besatzung!$F$11:$F$22="x")),1))),(IF(COUNTIF(J10:U10,"x")=0,IF(Besatzung!$B$12&lt;&gt;"",1,0),(K10="x"))*(G10-IFERROR(H10,0))/IFERROR(IF(COUNTIF(J10:U10,"x")=0,COUNTA(Besatzung!$B$11:$B$22),COUNTIF(J10:U10,"x")),1)+IF(COUNTIF(J10:U10,"x")=0,(Besatzung!$F$12="x"),(K10="x")*(Besatzung!$F$12="x"))*IFERROR(H10,0)/IFERROR(IF(COUNTIF(J10:U10,"x")=0,SUMPRODUCT((Besatzung!$B$11:$B$22&lt;&gt;"")*(Besatzung!$F$11:$F$22="x")),SUMPRODUCT((J10:U10="x")*(Besatzung!$F$11:$F$22="x"))),1))))),0))))</f>
        <v/>
      </c>
      <c r="X10" s="247">
        <f>IF(C10="Gutschrift","",IF(G10="","",IF(Besatzung!$B$13="","",IFERROR(IF(I10="Zeitanteilig",(Besatzung!$G$13*(G10-IFERROR(H10,0))+((Besatzung!$B$13&lt;&gt;"")*IF(B10="",1,(IF(Besatzung!$C$13="",Besatzung!$B$5,Besatzung!$C$13)&lt;=B10)*(IF(Besatzung!$D$13="",Besatzung!$B$6,Besatzung!$D$13)&gt;=B10)))*(Besatzung!$F$13="x")*IFERROR(H10,0)/IFERROR(SUMPRODUCT((Besatzung!$B$11:$B$22&lt;&gt;"")*(Besatzung!$F$11:$F$22="x")*(IF(Besatzung!$C$11:$C$22="",Besatzung!$B$5,Besatzung!$C$11:$C$22)&lt;=B10)*(IF(Besatzung!$D$11:$D$22="",Besatzung!$B$6,Besatzung!$D$11:$D$22)&gt;=B10)),1)),IF(I10="An Bord",(((Besatzung!$B$13&lt;&gt;"")*IF(B10="",1,(IF(Besatzung!$C$13="",Besatzung!$B$5,Besatzung!$C$13)&lt;=B10)*(IF(Besatzung!$D$13="",Besatzung!$B$6,Besatzung!$D$13)&gt;=B10)))*((G10-IFERROR(H10,0))/IFERROR(SUMPRODUCT((Besatzung!$B$11:$B$22&lt;&gt;"")*(IF(Besatzung!$C$11:$C$22="",Besatzung!$B$5,Besatzung!$C$11:$C$22)&lt;=B10)*(IF(Besatzung!$D$11:$D$22="",Besatzung!$B$6,Besatzung!$D$11:$D$22)&gt;=B10)),1)+(Besatzung!$F$13="x")*IFERROR(H10,0)/IFERROR(SUMPRODUCT((Besatzung!$B$11:$B$22&lt;&gt;"")*(Besatzung!$F$11:$F$22="x")*(IF(Besatzung!$C$11:$C$22="",Besatzung!$B$5,Besatzung!$C$11:$C$22)&lt;=B10)*(IF(Besatzung!$D$11:$D$22="",Besatzung!$B$6,Besatzung!$D$11:$D$22)&gt;=B10)),1))),IF(I10="Individuell",((K10="x")*((G10-IFERROR(H10,0))/IFERROR(COUNTIF(J10:U10,"x"),1)+(Besatzung!$F$13="x")*IFERROR(H10,0)/IFERROR(SUMPRODUCT((J10:U10="x")*(Besatzung!$F$11:$F$22="x")),1))),(IF(COUNTIF(J10:U10,"x")=0,IF(Besatzung!$B$13&lt;&gt;"",1,0),(K10="x"))*(G10-IFERROR(H10,0))/IFERROR(IF(COUNTIF(J10:U10,"x")=0,COUNTA(Besatzung!$B$11:$B$22),COUNTIF(J10:U10,"x")),1)+IF(COUNTIF(J10:U10,"x")=0,(Besatzung!$F$13="x"),(K10="x")*(Besatzung!$F$13="x"))*IFERROR(H10,0)/IFERROR(IF(COUNTIF(J10:U10,"x")=0,SUMPRODUCT((Besatzung!$B$11:$B$22&lt;&gt;"")*(Besatzung!$F$11:$F$22="x")),SUMPRODUCT((J10:U10="x")*(Besatzung!$F$11:$F$22="x"))),1))))),0))))</f>
        <v/>
      </c>
      <c r="Y10" s="247">
        <f>IF(C10="Gutschrift","",IF(G10="","",IF(Besatzung!$B$14="","",IFERROR(IF(I10="Zeitanteilig",(Besatzung!$G$14*(G10-IFERROR(H10,0))+((Besatzung!$B$14&lt;&gt;"")*IF(B10="",1,(IF(Besatzung!$C$14="",Besatzung!$B$5,Besatzung!$C$14)&lt;=B10)*(IF(Besatzung!$D$14="",Besatzung!$B$6,Besatzung!$D$14)&gt;=B10)))*(Besatzung!$F$14="x")*IFERROR(H10,0)/IFERROR(SUMPRODUCT((Besatzung!$B$11:$B$22&lt;&gt;"")*(Besatzung!$F$11:$F$22="x")*(IF(Besatzung!$C$11:$C$22="",Besatzung!$B$5,Besatzung!$C$11:$C$22)&lt;=B10)*(IF(Besatzung!$D$11:$D$22="",Besatzung!$B$6,Besatzung!$D$11:$D$22)&gt;=B10)),1)),IF(I10="An Bord",(((Besatzung!$B$14&lt;&gt;"")*IF(B10="",1,(IF(Besatzung!$C$14="",Besatzung!$B$5,Besatzung!$C$14)&lt;=B10)*(IF(Besatzung!$D$14="",Besatzung!$B$6,Besatzung!$D$14)&gt;=B10)))*((G10-IFERROR(H10,0))/IFERROR(SUMPRODUCT((Besatzung!$B$11:$B$22&lt;&gt;"")*(IF(Besatzung!$C$11:$C$22="",Besatzung!$B$5,Besatzung!$C$11:$C$22)&lt;=B10)*(IF(Besatzung!$D$11:$D$22="",Besatzung!$B$6,Besatzung!$D$11:$D$22)&gt;=B10)),1)+(Besatzung!$F$14="x")*IFERROR(H10,0)/IFERROR(SUMPRODUCT((Besatzung!$B$11:$B$22&lt;&gt;"")*(Besatzung!$F$11:$F$22="x")*(IF(Besatzung!$C$11:$C$22="",Besatzung!$B$5,Besatzung!$C$11:$C$22)&lt;=B10)*(IF(Besatzung!$D$11:$D$22="",Besatzung!$B$6,Besatzung!$D$11:$D$22)&gt;=B10)),1))),IF(I10="Individuell",((M10="x")*((G10-IFERROR(H10,0))/IFERROR(COUNTIF(J10:U10,"x"),1)+(Besatzung!$F$14="x")*IFERROR(H10,0)/IFERROR(SUMPRODUCT((J10:U10="x")*(Besatzung!$F$11:$F$22="x")),1))),(IF(COUNTIF(J10:U10,"x")=0,IF(Besatzung!$B$14&lt;&gt;"",1,0),(M10="x"))*(G10-IFERROR(H10,0))/IFERROR(IF(COUNTIF(J10:U10,"x")=0,COUNTA(Besatzung!$B$11:$B$22),COUNTIF(J10:U10,"x")),1)+IF(COUNTIF(J10:U10,"x")=0,(Besatzung!$F$14="x"),(M10="x")*(Besatzung!$F$14="x"))*IFERROR(H10,0)/IFERROR(IF(COUNTIF(J10:U10,"x")=0,SUMPRODUCT((Besatzung!$B$11:$B$22&lt;&gt;"")*(Besatzung!$F$11:$F$22="x")),SUMPRODUCT((J10:U10="x")*(Besatzung!$F$11:$F$22="x"))),1))))),0))))</f>
        <v/>
      </c>
      <c r="Z10" s="247">
        <f>IF(C10="Gutschrift","",IF(G10="","",IF(Besatzung!$B$13="","",IFERROR(IF(I10="Zeitanteilig",(Besatzung!$G$15*(G10-IFERROR(H10,0))+((Besatzung!$B$13&lt;&gt;"")*IF(B10="",1,(IF(Besatzung!$C$15="",Besatzung!$B$5,Besatzung!$C$15)&lt;=B10)*(IF(Besatzung!$D$15="",Besatzung!$B$6,Besatzung!$D$15)&gt;=B10)))*(Besatzung!$F$15="x")*IFERROR(H10,0)/IFERROR(SUMPRODUCT((Besatzung!$B$11:$B$22&lt;&gt;"")*(Besatzung!$F$11:$F$22="x")*(IF(Besatzung!$C$11:$C$22="",Besatzung!$B$5,Besatzung!$C$11:$C$22)&lt;=B10)*(IF(Besatzung!$D$11:$D$22="",Besatzung!$B$6,Besatzung!$D$11:$D$22)&gt;=B10)),1)),IF(I10="An Bord",(((Besatzung!$B$13&lt;&gt;"")*IF(B10="",1,(IF(Besatzung!$C$15="",Besatzung!$B$5,Besatzung!$C$15)&lt;=B10)*(IF(Besatzung!$D$15="",Besatzung!$B$6,Besatzung!$D$15)&gt;=B10)))*((G10-IFERROR(H10,0))/IFERROR(SUMPRODUCT((Besatzung!$B$11:$B$22&lt;&gt;"")*(IF(Besatzung!$C$11:$C$22="",Besatzung!$B$5,Besatzung!$C$11:$C$22)&lt;=B10)*(IF(Besatzung!$D$11:$D$22="",Besatzung!$B$6,Besatzung!$D$11:$D$22)&gt;=B10)),1)+(Besatzung!$F$15="x")*IFERROR(H10,0)/IFERROR(SUMPRODUCT((Besatzung!$B$11:$B$22&lt;&gt;"")*(Besatzung!$F$11:$F$22="x")*(IF(Besatzung!$C$11:$C$22="",Besatzung!$B$5,Besatzung!$C$11:$C$22)&lt;=B10)*(IF(Besatzung!$D$11:$D$22="",Besatzung!$B$6,Besatzung!$D$11:$D$22)&gt;=B10)),1))),IF(I10="Individuell",((N10="x")*((G10-IFERROR(H10,0))/IFERROR(COUNTIF(J10:U10,"x"),1)+(Besatzung!$F$15="x")*IFERROR(H10,0)/IFERROR(SUMPRODUCT((J10:U10="x")*(Besatzung!$F$11:$F$22="x")),1))),(IF(COUNTIF(J10:U10,"x")=0,IF(Besatzung!$B$13&lt;&gt;"",1,0),(N10="x"))*(G10-IFERROR(H10,0))/IFERROR(IF(COUNTIF(J10:U10,"x")=0,COUNTA(Besatzung!$B$11:$B$22),COUNTIF(J10:U10,"x")),1)+IF(COUNTIF(J10:U10,"x")=0,(Besatzung!$F$15="x"),(N10="x")*(Besatzung!$F$15="x"))*IFERROR(H10,0)/IFERROR(IF(COUNTIF(J10:U10,"x")=0,SUMPRODUCT((Besatzung!$B$11:$B$22&lt;&gt;"")*(Besatzung!$F$11:$F$22="x")),SUMPRODUCT((J10:U10="x")*(Besatzung!$F$11:$F$22="x"))),1))))),0))))</f>
        <v/>
      </c>
      <c r="AA10" s="247">
        <f>IF(C10="Gutschrift","",IF(G10="","",IF(Besatzung!$B$15="","",IFERROR(IF(I10="Zeitanteilig",(Besatzung!$G$16*(G10-IFERROR(H10,0))+((Besatzung!$B$15&lt;&gt;"")*IF(B10="",1,(IF(Besatzung!$C$16="",Besatzung!$B$5,Besatzung!$C$16)&lt;=B10)*(IF(Besatzung!$D$16="",Besatzung!$B$6,Besatzung!$D$16)&gt;=B10)))*(Besatzung!$F$16="x")*IFERROR(H10,0)/IFERROR(SUMPRODUCT((Besatzung!$B$11:$B$22&lt;&gt;"")*(Besatzung!$F$11:$F$22="x")*(IF(Besatzung!$C$11:$C$22="",Besatzung!$B$5,Besatzung!$C$11:$C$22)&lt;=B10)*(IF(Besatzung!$D$11:$D$22="",Besatzung!$B$6,Besatzung!$D$11:$D$22)&gt;=B10)),1)),IF(I10="An Bord",(((Besatzung!$B$15&lt;&gt;"")*IF(B10="",1,(IF(Besatzung!$C$16="",Besatzung!$B$5,Besatzung!$C$16)&lt;=B10)*(IF(Besatzung!$D$16="",Besatzung!$B$6,Besatzung!$D$16)&gt;=B10)))*((G10-IFERROR(H10,0))/IFERROR(SUMPRODUCT((Besatzung!$B$11:$B$22&lt;&gt;"")*(IF(Besatzung!$C$11:$C$22="",Besatzung!$B$5,Besatzung!$C$11:$C$22)&lt;=B10)*(IF(Besatzung!$D$11:$D$22="",Besatzung!$B$6,Besatzung!$D$11:$D$22)&gt;=B10)),1)+(Besatzung!$F$16="x")*IFERROR(H10,0)/IFERROR(SUMPRODUCT((Besatzung!$B$11:$B$22&lt;&gt;"")*(Besatzung!$F$11:$F$22="x")*(IF(Besatzung!$C$11:$C$22="",Besatzung!$B$5,Besatzung!$C$11:$C$22)&lt;=B10)*(IF(Besatzung!$D$11:$D$22="",Besatzung!$B$6,Besatzung!$D$11:$D$22)&gt;=B10)),1))),IF(I10="Individuell",((O10="x")*((G10-IFERROR(H10,0))/IFERROR(COUNTIF(J10:U10,"x"),1)+(Besatzung!$F$16="x")*IFERROR(H10,0)/IFERROR(SUMPRODUCT((J10:U10="x")*(Besatzung!$F$11:$F$22="x")),1))),(IF(COUNTIF(J10:U10,"x")=0,IF(Besatzung!$B$15&lt;&gt;"",1,0),(O10="x"))*(G10-IFERROR(H10,0))/IFERROR(IF(COUNTIF(J10:U10,"x")=0,COUNTA(Besatzung!$B$11:$B$22),COUNTIF(J10:U10,"x")),1)+IF(COUNTIF(J10:U10,"x")=0,(Besatzung!$F$16="x"),(O10="x")*(Besatzung!$F$16="x"))*IFERROR(H10,0)/IFERROR(IF(COUNTIF(J10:U10,"x")=0,SUMPRODUCT((Besatzung!$B$11:$B$22&lt;&gt;"")*(Besatzung!$F$11:$F$22="x")),SUMPRODUCT((J10:U10="x")*(Besatzung!$F$11:$F$22="x"))),1))))),0))))</f>
        <v/>
      </c>
      <c r="AB10" s="247">
        <f>IF(C10="Gutschrift","",IF(G10="","",IF(Besatzung!$B$17="","",IFERROR(IF(I10="Zeitanteilig",(Besatzung!$G$17*(G10-IFERROR(H10,0))+((Besatzung!$B$17&lt;&gt;"")*IF(B10="",1,(IF(Besatzung!$C$17="",Besatzung!$B$5,Besatzung!$C$17)&lt;=B10)*(IF(Besatzung!$D$17="",Besatzung!$B$6,Besatzung!$D$17)&gt;=B10)))*(Besatzung!$F$17="x")*IFERROR(H10,0)/IFERROR(SUMPRODUCT((Besatzung!$B$11:$B$22&lt;&gt;"")*(Besatzung!$F$11:$F$22="x")*(IF(Besatzung!$C$11:$C$22="",Besatzung!$B$5,Besatzung!$C$11:$C$22)&lt;=B10)*(IF(Besatzung!$D$11:$D$22="",Besatzung!$B$6,Besatzung!$D$11:$D$22)&gt;=B10)),1)),IF(I10="An Bord",(((Besatzung!$B$17&lt;&gt;"")*IF(B10="",1,(IF(Besatzung!$C$17="",Besatzung!$B$5,Besatzung!$C$17)&lt;=B10)*(IF(Besatzung!$D$17="",Besatzung!$B$6,Besatzung!$D$17)&gt;=B10)))*((G10-IFERROR(H10,0))/IFERROR(SUMPRODUCT((Besatzung!$B$11:$B$22&lt;&gt;"")*(IF(Besatzung!$C$11:$C$22="",Besatzung!$B$5,Besatzung!$C$11:$C$22)&lt;=B10)*(IF(Besatzung!$D$11:$D$22="",Besatzung!$B$6,Besatzung!$D$11:$D$22)&gt;=B10)),1)+(Besatzung!$F$17="x")*IFERROR(H10,0)/IFERROR(SUMPRODUCT((Besatzung!$B$11:$B$22&lt;&gt;"")*(Besatzung!$F$11:$F$22="x")*(IF(Besatzung!$C$11:$C$22="",Besatzung!$B$5,Besatzung!$C$11:$C$22)&lt;=B10)*(IF(Besatzung!$D$11:$D$22="",Besatzung!$B$6,Besatzung!$D$11:$D$22)&gt;=B10)),1))),IF(I10="Individuell",((P10="x")*((G10-IFERROR(H10,0))/IFERROR(COUNTIF(J10:U10,"x"),1)+(Besatzung!$F$17="x")*IFERROR(H10,0)/IFERROR(SUMPRODUCT((J10:U10="x")*(Besatzung!$F$11:$F$22="x")),1))),(IF(COUNTIF(J10:U10,"x")=0,IF(Besatzung!$B$17&lt;&gt;"",1,0),(P10="x"))*(G10-IFERROR(H10,0))/IFERROR(IF(COUNTIF(J10:U10,"x")=0,COUNTA(Besatzung!$B$11:$B$22),COUNTIF(J10:U10,"x")),1)+IF(COUNTIF(J10:U10,"x")=0,(Besatzung!$F$17="x"),(P10="x")*(Besatzung!$F$17="x"))*IFERROR(H10,0)/IFERROR(IF(COUNTIF(J10:U10,"x")=0,SUMPRODUCT((Besatzung!$B$11:$B$22&lt;&gt;"")*(Besatzung!$F$11:$F$22="x")),SUMPRODUCT((J10:U10="x")*(Besatzung!$F$11:$F$22="x"))),1))))),0))))</f>
        <v/>
      </c>
      <c r="AC10" s="247">
        <f>IF(C10="Gutschrift","",IF(G10="","",IF(Besatzung!$B$18="","",IFERROR(IF(I10="Zeitanteilig",(Besatzung!$G$18*(G10-IFERROR(H10,0))+((Besatzung!$B$18&lt;&gt;"")*IF(B10="",1,(IF(Besatzung!$C$18="",Besatzung!$B$5,Besatzung!$C$18)&lt;=B10)*(IF(Besatzung!$D$18="",Besatzung!$B$6,Besatzung!$D$18)&gt;=B10)))*(Besatzung!$F$18="x")*IFERROR(H10,0)/IFERROR(SUMPRODUCT((Besatzung!$B$11:$B$22&lt;&gt;"")*(Besatzung!$F$11:$F$22="x")*(IF(Besatzung!$C$11:$C$22="",Besatzung!$B$5,Besatzung!$C$11:$C$22)&lt;=B10)*(IF(Besatzung!$D$11:$D$22="",Besatzung!$B$6,Besatzung!$D$11:$D$22)&gt;=B10)),1)),IF(I10="An Bord",(((Besatzung!$B$18&lt;&gt;"")*IF(B10="",1,(IF(Besatzung!$C$18="",Besatzung!$B$5,Besatzung!$C$18)&lt;=B10)*(IF(Besatzung!$D$18="",Besatzung!$B$6,Besatzung!$D$18)&gt;=B10)))*((G10-IFERROR(H10,0))/IFERROR(SUMPRODUCT((Besatzung!$B$11:$B$22&lt;&gt;"")*(IF(Besatzung!$C$11:$C$22="",Besatzung!$B$5,Besatzung!$C$11:$C$22)&lt;=B10)*(IF(Besatzung!$D$11:$D$22="",Besatzung!$B$6,Besatzung!$D$11:$D$22)&gt;=B10)),1)+(Besatzung!$F$18="x")*IFERROR(H10,0)/IFERROR(SUMPRODUCT((Besatzung!$B$11:$B$22&lt;&gt;"")*(Besatzung!$F$11:$F$22="x")*(IF(Besatzung!$C$11:$C$22="",Besatzung!$B$5,Besatzung!$C$11:$C$22)&lt;=B10)*(IF(Besatzung!$D$11:$D$22="",Besatzung!$B$6,Besatzung!$D$11:$D$22)&gt;=B10)),1))),IF(I10="Individuell",((Q10="x")*((G10-IFERROR(H10,0))/IFERROR(COUNTIF(J10:U10,"x"),1)+(Besatzung!$F$18="x")*IFERROR(H10,0)/IFERROR(SUMPRODUCT((J10:U10="x")*(Besatzung!$F$11:$F$22="x")),1))),(IF(COUNTIF(J10:U10,"x")=0,IF(Besatzung!$B$18&lt;&gt;"",1,0),(Q10="x"))*(G10-IFERROR(H10,0))/IFERROR(IF(COUNTIF(J10:U10,"x")=0,COUNTA(Besatzung!$B$11:$B$22),COUNTIF(J10:U10,"x")),1)+IF(COUNTIF(J10:U10,"x")=0,(Besatzung!$F$18="x"),(Q10="x")*(Besatzung!$F$18="x"))*IFERROR(H10,0)/IFERROR(IF(COUNTIF(J10:U10,"x")=0,SUMPRODUCT((Besatzung!$B$11:$B$22&lt;&gt;"")*(Besatzung!$F$11:$F$22="x")),SUMPRODUCT((J10:U10="x")*(Besatzung!$F$11:$F$22="x"))),1))))),0))))</f>
        <v/>
      </c>
      <c r="AD10" s="247">
        <f>IF(C10="Gutschrift","",IF(G10="","",IF(Besatzung!$B$19="","",IFERROR(IF(I10="Zeitanteilig",(Besatzung!$G$19*(G10-IFERROR(H10,0))+((Besatzung!$B$19&lt;&gt;"")*IF(B10="",1,(IF(Besatzung!$C$19="",Besatzung!$B$5,Besatzung!$C$19)&lt;=B10)*(IF(Besatzung!$D$19="",Besatzung!$B$6,Besatzung!$D$19)&gt;=B10)))*(Besatzung!$F$19="x")*IFERROR(H10,0)/IFERROR(SUMPRODUCT((Besatzung!$B$11:$B$22&lt;&gt;"")*(Besatzung!$F$11:$F$22="x")*(IF(Besatzung!$C$11:$C$22="",Besatzung!$B$5,Besatzung!$C$11:$C$22)&lt;=B10)*(IF(Besatzung!$D$11:$D$22="",Besatzung!$B$6,Besatzung!$D$11:$D$22)&gt;=B10)),1)),IF(I10="An Bord",(((Besatzung!$B$19&lt;&gt;"")*IF(B10="",1,(IF(Besatzung!$C$19="",Besatzung!$B$5,Besatzung!$C$19)&lt;=B10)*(IF(Besatzung!$D$19="",Besatzung!$B$6,Besatzung!$D$19)&gt;=B10)))*((G10-IFERROR(H10,0))/IFERROR(SUMPRODUCT((Besatzung!$B$11:$B$22&lt;&gt;"")*(IF(Besatzung!$C$11:$C$22="",Besatzung!$B$5,Besatzung!$C$11:$C$22)&lt;=B10)*(IF(Besatzung!$D$11:$D$22="",Besatzung!$B$6,Besatzung!$D$11:$D$22)&gt;=B10)),1)+(Besatzung!$F$19="x")*IFERROR(H10,0)/IFERROR(SUMPRODUCT((Besatzung!$B$11:$B$22&lt;&gt;"")*(Besatzung!$F$11:$F$22="x")*(IF(Besatzung!$C$11:$C$22="",Besatzung!$B$5,Besatzung!$C$11:$C$22)&lt;=B10)*(IF(Besatzung!$D$11:$D$22="",Besatzung!$B$6,Besatzung!$D$11:$D$22)&gt;=B10)),1))),IF(I10="Individuell",((R10="x")*((G10-IFERROR(H10,0))/IFERROR(COUNTIF(J10:U10,"x"),1)+(Besatzung!$F$19="x")*IFERROR(H10,0)/IFERROR(SUMPRODUCT((J10:U10="x")*(Besatzung!$F$11:$F$22="x")),1))),(IF(COUNTIF(J10:U10,"x")=0,IF(Besatzung!$B$19&lt;&gt;"",1,0),(R10="x"))*(G10-IFERROR(H10,0))/IFERROR(IF(COUNTIF(J10:U10,"x")=0,COUNTA(Besatzung!$B$11:$B$22),COUNTIF(J10:U10,"x")),1)+IF(COUNTIF(J10:U10,"x")=0,(Besatzung!$F$19="x"),(R10="x")*(Besatzung!$F$19="x"))*IFERROR(H10,0)/IFERROR(IF(COUNTIF(J10:U10,"x")=0,SUMPRODUCT((Besatzung!$B$11:$B$22&lt;&gt;"")*(Besatzung!$F$11:$F$22="x")),SUMPRODUCT((J10:U10="x")*(Besatzung!$F$11:$F$22="x"))),1))))),0))))</f>
        <v/>
      </c>
      <c r="AE10" s="247">
        <f>IF(C10="Gutschrift","",IF(G10="","",IF(Besatzung!$B$20="","",IFERROR(IF(I10="Zeitanteilig",(Besatzung!$G$20*(G10-IFERROR(H10,0))+((Besatzung!$B$20&lt;&gt;"")*IF(B10="",1,(IF(Besatzung!$C$20="",Besatzung!$B$5,Besatzung!$C$20)&lt;=B10)*(IF(Besatzung!$D$20="",Besatzung!$B$6,Besatzung!$D$20)&gt;=B10)))*(Besatzung!$F$20="x")*IFERROR(H10,0)/IFERROR(SUMPRODUCT((Besatzung!$B$11:$B$22&lt;&gt;"")*(Besatzung!$F$11:$F$22="x")*(IF(Besatzung!$C$11:$C$22="",Besatzung!$B$5,Besatzung!$C$11:$C$22)&lt;=B10)*(IF(Besatzung!$D$11:$D$22="",Besatzung!$B$6,Besatzung!$D$11:$D$22)&gt;=B10)),1)),IF(I10="An Bord",(((Besatzung!$B$20&lt;&gt;"")*IF(B10="",1,(IF(Besatzung!$C$20="",Besatzung!$B$5,Besatzung!$C$20)&lt;=B10)*(IF(Besatzung!$D$20="",Besatzung!$B$6,Besatzung!$D$20)&gt;=B10)))*((G10-IFERROR(H10,0))/IFERROR(SUMPRODUCT((Besatzung!$B$11:$B$22&lt;&gt;"")*(IF(Besatzung!$C$11:$C$22="",Besatzung!$B$5,Besatzung!$C$11:$C$22)&lt;=B10)*(IF(Besatzung!$D$11:$D$22="",Besatzung!$B$6,Besatzung!$D$11:$D$22)&gt;=B10)),1)+(Besatzung!$F$20="x")*IFERROR(H10,0)/IFERROR(SUMPRODUCT((Besatzung!$B$11:$B$22&lt;&gt;"")*(Besatzung!$F$11:$F$22="x")*(IF(Besatzung!$C$11:$C$22="",Besatzung!$B$5,Besatzung!$C$11:$C$22)&lt;=B10)*(IF(Besatzung!$D$11:$D$22="",Besatzung!$B$6,Besatzung!$D$11:$D$22)&gt;=B10)),1))),IF(I10="Individuell",((S10="x")*((G10-IFERROR(H10,0))/IFERROR(COUNTIF(J10:U10,"x"),1)+(Besatzung!$F$20="x")*IFERROR(H10,0)/IFERROR(SUMPRODUCT((J10:U10="x")*(Besatzung!$F$11:$F$22="x")),1))),(IF(COUNTIF(J10:U10,"x")=0,IF(Besatzung!$B$20&lt;&gt;"",1,0),(S10="x"))*(G10-IFERROR(H10,0))/IFERROR(IF(COUNTIF(J10:U10,"x")=0,COUNTA(Besatzung!$B$11:$B$22),COUNTIF(J10:U10,"x")),1)+IF(COUNTIF(J10:U10,"x")=0,(Besatzung!$F$20="x"),(S10="x")*(Besatzung!$F$20="x"))*IFERROR(H10,0)/IFERROR(IF(COUNTIF(J10:U10,"x")=0,SUMPRODUCT((Besatzung!$B$11:$B$22&lt;&gt;"")*(Besatzung!$F$11:$F$22="x")),SUMPRODUCT((J10:U10="x")*(Besatzung!$F$11:$F$22="x"))),1))))),0))))</f>
        <v/>
      </c>
      <c r="AF10" s="247">
        <f>IF(C10="Gutschrift","",IF(G10="","",IF(Besatzung!$B$21="","",IFERROR(IF(I10="Zeitanteilig",(Besatzung!$G$21*(G10-IFERROR(H10,0))+((Besatzung!$B$21&lt;&gt;"")*IF(B10="",1,(IF(Besatzung!$C$21="",Besatzung!$B$5,Besatzung!$C$21)&lt;=B10)*(IF(Besatzung!$D$21="",Besatzung!$B$6,Besatzung!$D$21)&gt;=B10)))*(Besatzung!$F$21="x")*IFERROR(H10,0)/IFERROR(SUMPRODUCT((Besatzung!$B$11:$B$22&lt;&gt;"")*(Besatzung!$F$11:$F$22="x")*(IF(Besatzung!$C$11:$C$22="",Besatzung!$B$5,Besatzung!$C$11:$C$22)&lt;=B10)*(IF(Besatzung!$D$11:$D$22="",Besatzung!$B$6,Besatzung!$D$11:$D$22)&gt;=B10)),1)),IF(I10="An Bord",(((Besatzung!$B$21&lt;&gt;"")*IF(B10="",1,(IF(Besatzung!$C$21="",Besatzung!$B$5,Besatzung!$C$21)&lt;=B10)*(IF(Besatzung!$D$21="",Besatzung!$B$6,Besatzung!$D$21)&gt;=B10)))*((G10-IFERROR(H10,0))/IFERROR(SUMPRODUCT((Besatzung!$B$11:$B$22&lt;&gt;"")*(IF(Besatzung!$C$11:$C$22="",Besatzung!$B$5,Besatzung!$C$11:$C$22)&lt;=B10)*(IF(Besatzung!$D$11:$D$22="",Besatzung!$B$6,Besatzung!$D$11:$D$22)&gt;=B10)),1)+(Besatzung!$F$21="x")*IFERROR(H10,0)/IFERROR(SUMPRODUCT((Besatzung!$B$11:$B$22&lt;&gt;"")*(Besatzung!$F$11:$F$22="x")*(IF(Besatzung!$C$11:$C$22="",Besatzung!$B$5,Besatzung!$C$11:$C$22)&lt;=B10)*(IF(Besatzung!$D$11:$D$22="",Besatzung!$B$6,Besatzung!$D$11:$D$22)&gt;=B10)),1))),IF(I10="Individuell",((T10="x")*((G10-IFERROR(H10,0))/IFERROR(COUNTIF(J10:U10,"x"),1)+(Besatzung!$F$21="x")*IFERROR(H10,0)/IFERROR(SUMPRODUCT((J10:U10="x")*(Besatzung!$F$11:$F$22="x")),1))),(IF(COUNTIF(J10:U10,"x")=0,IF(Besatzung!$B$21&lt;&gt;"",1,0),(T10="x"))*(G10-IFERROR(H10,0))/IFERROR(IF(COUNTIF(J10:U10,"x")=0,COUNTA(Besatzung!$B$11:$B$22),COUNTIF(J10:U10,"x")),1)+IF(COUNTIF(J10:U10,"x")=0,(Besatzung!$F$21="x"),(T10="x")*(Besatzung!$F$21="x"))*IFERROR(H10,0)/IFERROR(IF(COUNTIF(J10:U10,"x")=0,SUMPRODUCT((Besatzung!$B$11:$B$22&lt;&gt;"")*(Besatzung!$F$11:$F$22="x")),SUMPRODUCT((J10:U10="x")*(Besatzung!$F$11:$F$22="x"))),1))))),0))))</f>
        <v/>
      </c>
      <c r="AG10" s="247">
        <f>IF(C10="Gutschrift","",IF(G10="","",IF(Besatzung!$B$22="","",IFERROR(IF(I10="Zeitanteilig",(Besatzung!$G$22*(G10-IFERROR(H10,0))+((Besatzung!$B$22&lt;&gt;"")*IF(B10="",1,(IF(Besatzung!$C$22="",Besatzung!$B$5,Besatzung!$C$22)&lt;=B10)*(IF(Besatzung!$D$22="",Besatzung!$B$6,Besatzung!$D$22)&gt;=B10)))*(Besatzung!$F$22="x")*IFERROR(H10,0)/IFERROR(SUMPRODUCT((Besatzung!$B$11:$B$22&lt;&gt;"")*(Besatzung!$F$11:$F$22="x")*(IF(Besatzung!$C$11:$C$22="",Besatzung!$B$5,Besatzung!$C$11:$C$22)&lt;=B10)*(IF(Besatzung!$D$11:$D$22="",Besatzung!$B$6,Besatzung!$D$11:$D$22)&gt;=B10)),1)),IF(I10="An Bord",(((Besatzung!$B$22&lt;&gt;"")*IF(B10="",1,(IF(Besatzung!$C$22="",Besatzung!$B$5,Besatzung!$C$22)&lt;=B10)*(IF(Besatzung!$D$22="",Besatzung!$B$6,Besatzung!$D$22)&gt;=B10)))*((G10-IFERROR(H10,0))/IFERROR(SUMPRODUCT((Besatzung!$B$11:$B$22&lt;&gt;"")*(IF(Besatzung!$C$11:$C$22="",Besatzung!$B$5,Besatzung!$C$11:$C$22)&lt;=B10)*(IF(Besatzung!$D$11:$D$22="",Besatzung!$B$6,Besatzung!$D$11:$D$22)&gt;=B10)),1)+(Besatzung!$F$22="x")*IFERROR(H10,0)/IFERROR(SUMPRODUCT((Besatzung!$B$11:$B$22&lt;&gt;"")*(Besatzung!$F$11:$F$22="x")*(IF(Besatzung!$C$11:$C$22="",Besatzung!$B$5,Besatzung!$C$11:$C$22)&lt;=B10)*(IF(Besatzung!$D$11:$D$22="",Besatzung!$B$6,Besatzung!$D$11:$D$22)&gt;=B10)),1))),IF(I10="Individuell",((U10="x")*((G10-IFERROR(H10,0))/IFERROR(COUNTIF(J10:U10,"x"),1)+(Besatzung!$F$22="x")*IFERROR(H10,0)/IFERROR(SUMPRODUCT((J10:U10="x")*(Besatzung!$F$11:$F$22="x")),1))),(IF(COUNTIF(J10:U10,"x")=0,IF(Besatzung!$B$22&lt;&gt;"",1,0),(U10="x"))*(G10-IFERROR(H10,0))/IFERROR(IF(COUNTIF(J10:U10,"x")=0,COUNTA(Besatzung!$B$11:$B$22),COUNTIF(J10:U10,"x")),1)+IF(COUNTIF(J10:U10,"x")=0,(Besatzung!$F$22="x"),(U10="x")*(Besatzung!$F$22="x"))*IFERROR(H10,0)/IFERROR(IF(COUNTIF(J10:U10,"x")=0,SUMPRODUCT((Besatzung!$B$11:$B$22&lt;&gt;"")*(Besatzung!$F$11:$F$22="x")),SUMPRODUCT((J10:U10="x")*(Besatzung!$F$11:$F$22="x"))),1))))),0))))</f>
        <v/>
      </c>
      <c r="AH10" s="248" t="n"/>
      <c r="AI10" s="248" t="n"/>
    </row>
    <row r="11" ht="21.75" customHeight="1" s="154">
      <c r="A11" s="238">
        <f>IF(AND(D11="",C11=""),"",8)</f>
        <v/>
      </c>
      <c r="B11" s="206" t="n"/>
      <c r="C11" s="249" t="n"/>
      <c r="D11" s="250" t="n"/>
      <c r="E11" s="251" t="n"/>
      <c r="F11" s="252" t="n"/>
      <c r="G11" s="253" t="n"/>
      <c r="H11" s="254" t="n"/>
      <c r="I11" s="255" t="n"/>
      <c r="J11" s="256" t="n"/>
      <c r="K11" s="256" t="n"/>
      <c r="L11" s="256" t="n"/>
      <c r="M11" s="256" t="n"/>
      <c r="N11" s="256" t="n"/>
      <c r="O11" s="256" t="n"/>
      <c r="P11" s="256" t="n"/>
      <c r="Q11" s="256" t="n"/>
      <c r="R11" s="256" t="n"/>
      <c r="S11" s="256" t="n"/>
      <c r="T11" s="256" t="n"/>
      <c r="U11" s="256" t="n"/>
      <c r="V11" s="247">
        <f>IF(C11="Gutschrift","",IF(G11="","",IF(Besatzung!$B$11="","",IFERROR(IF(I11="Zeitanteilig",(Besatzung!$G$11*(G11-IFERROR(H11,0))+((Besatzung!$B$11&lt;&gt;"")*IF(B11="",1,(IF(Besatzung!$C$11="",Besatzung!$B$5,Besatzung!$C$11)&lt;=B11)*(IF(Besatzung!$D$11="",Besatzung!$B$6,Besatzung!$D$11)&gt;=B11)))*(Besatzung!$F$11="x")*IFERROR(H11,0)/IFERROR(SUMPRODUCT((Besatzung!$B$11:$B$22&lt;&gt;"")*(Besatzung!$F$11:$F$22="x")*(IF(Besatzung!$C$11:$C$22="",Besatzung!$B$5,Besatzung!$C$11:$C$22)&lt;=B11)*(IF(Besatzung!$D$11:$D$22="",Besatzung!$B$6,Besatzung!$D$11:$D$22)&gt;=B11)),1)),IF(I11="An Bord",(((Besatzung!$B$11&lt;&gt;"")*IF(B11="",1,(IF(Besatzung!$C$11="",Besatzung!$B$5,Besatzung!$C$11)&lt;=B11)*(IF(Besatzung!$D$11="",Besatzung!$B$6,Besatzung!$D$11)&gt;=B11)))*((G11-IFERROR(H11,0))/IFERROR(SUMPRODUCT((Besatzung!$B$11:$B$22&lt;&gt;"")*(IF(Besatzung!$C$11:$C$22="",Besatzung!$B$5,Besatzung!$C$11:$C$22)&lt;=B11)*(IF(Besatzung!$D$11:$D$22="",Besatzung!$B$6,Besatzung!$D$11:$D$22)&gt;=B11)),1)+(Besatzung!$F$11="x")*IFERROR(H11,0)/IFERROR(SUMPRODUCT((Besatzung!$B$11:$B$22&lt;&gt;"")*(Besatzung!$F$11:$F$22="x")*(IF(Besatzung!$C$11:$C$22="",Besatzung!$B$5,Besatzung!$C$11:$C$22)&lt;=B11)*(IF(Besatzung!$D$11:$D$22="",Besatzung!$B$6,Besatzung!$D$11:$D$22)&gt;=B11)),1))),IF(I11="Individuell",((J11="x")*((G11-IFERROR(H11,0))/IFERROR(COUNTIF(J11:U11,"x"),1)+(Besatzung!$F$11="x")*IFERROR(H11,0)/IFERROR(SUMPRODUCT((J11:U11="x")*(Besatzung!$F$11:$F$22="x")),1))),(IF(COUNTIF(J11:U11,"x")=0,IF(Besatzung!$B$11&lt;&gt;"",1,0),(J11="x"))*(G11-IFERROR(H11,0))/IFERROR(IF(COUNTIF(J11:U11,"x")=0,COUNTA(Besatzung!$B$11:$B$22),COUNTIF(J11:U11,"x")),1)+IF(COUNTIF(J11:U11,"x")=0,(Besatzung!$F$11="x"),(J11="x")*(Besatzung!$F$11="x"))*IFERROR(H11,0)/IFERROR(IF(COUNTIF(J11:U11,"x")=0,SUMPRODUCT((Besatzung!$B$11:$B$22&lt;&gt;"")*(Besatzung!$F$11:$F$22="x")),SUMPRODUCT((J11:U11="x")*(Besatzung!$F$11:$F$22="x"))),1))))),0))))</f>
        <v/>
      </c>
      <c r="W11" s="247">
        <f>IF(C11="Gutschrift","",IF(G11="","",IF(Besatzung!$B$12="","",IFERROR(IF(I11="Zeitanteilig",(Besatzung!$G$12*(G11-IFERROR(H11,0))+((Besatzung!$B$12&lt;&gt;"")*IF(B11="",1,(IF(Besatzung!$C$12="",Besatzung!$B$5,Besatzung!$C$12)&lt;=B11)*(IF(Besatzung!$D$12="",Besatzung!$B$6,Besatzung!$D$12)&gt;=B11)))*(Besatzung!$F$12="x")*IFERROR(H11,0)/IFERROR(SUMPRODUCT((Besatzung!$B$11:$B$22&lt;&gt;"")*(Besatzung!$F$11:$F$22="x")*(IF(Besatzung!$C$11:$C$22="",Besatzung!$B$5,Besatzung!$C$11:$C$22)&lt;=B11)*(IF(Besatzung!$D$11:$D$22="",Besatzung!$B$6,Besatzung!$D$11:$D$22)&gt;=B11)),1)),IF(I11="An Bord",(((Besatzung!$B$12&lt;&gt;"")*IF(B11="",1,(IF(Besatzung!$C$12="",Besatzung!$B$5,Besatzung!$C$12)&lt;=B11)*(IF(Besatzung!$D$12="",Besatzung!$B$6,Besatzung!$D$12)&gt;=B11)))*((G11-IFERROR(H11,0))/IFERROR(SUMPRODUCT((Besatzung!$B$11:$B$22&lt;&gt;"")*(IF(Besatzung!$C$11:$C$22="",Besatzung!$B$5,Besatzung!$C$11:$C$22)&lt;=B11)*(IF(Besatzung!$D$11:$D$22="",Besatzung!$B$6,Besatzung!$D$11:$D$22)&gt;=B11)),1)+(Besatzung!$F$12="x")*IFERROR(H11,0)/IFERROR(SUMPRODUCT((Besatzung!$B$11:$B$22&lt;&gt;"")*(Besatzung!$F$11:$F$22="x")*(IF(Besatzung!$C$11:$C$22="",Besatzung!$B$5,Besatzung!$C$11:$C$22)&lt;=B11)*(IF(Besatzung!$D$11:$D$22="",Besatzung!$B$6,Besatzung!$D$11:$D$22)&gt;=B11)),1))),IF(I11="Individuell",((K11="x")*((G11-IFERROR(H11,0))/IFERROR(COUNTIF(J11:U11,"x"),1)+(Besatzung!$F$12="x")*IFERROR(H11,0)/IFERROR(SUMPRODUCT((J11:U11="x")*(Besatzung!$F$11:$F$22="x")),1))),(IF(COUNTIF(J11:U11,"x")=0,IF(Besatzung!$B$12&lt;&gt;"",1,0),(K11="x"))*(G11-IFERROR(H11,0))/IFERROR(IF(COUNTIF(J11:U11,"x")=0,COUNTA(Besatzung!$B$11:$B$22),COUNTIF(J11:U11,"x")),1)+IF(COUNTIF(J11:U11,"x")=0,(Besatzung!$F$12="x"),(K11="x")*(Besatzung!$F$12="x"))*IFERROR(H11,0)/IFERROR(IF(COUNTIF(J11:U11,"x")=0,SUMPRODUCT((Besatzung!$B$11:$B$22&lt;&gt;"")*(Besatzung!$F$11:$F$22="x")),SUMPRODUCT((J11:U11="x")*(Besatzung!$F$11:$F$22="x"))),1))))),0))))</f>
        <v/>
      </c>
      <c r="X11" s="247">
        <f>IF(C11="Gutschrift","",IF(G11="","",IF(Besatzung!$B$13="","",IFERROR(IF(I11="Zeitanteilig",(Besatzung!$G$13*(G11-IFERROR(H11,0))+((Besatzung!$B$13&lt;&gt;"")*IF(B11="",1,(IF(Besatzung!$C$13="",Besatzung!$B$5,Besatzung!$C$13)&lt;=B11)*(IF(Besatzung!$D$13="",Besatzung!$B$6,Besatzung!$D$13)&gt;=B11)))*(Besatzung!$F$13="x")*IFERROR(H11,0)/IFERROR(SUMPRODUCT((Besatzung!$B$11:$B$22&lt;&gt;"")*(Besatzung!$F$11:$F$22="x")*(IF(Besatzung!$C$11:$C$22="",Besatzung!$B$5,Besatzung!$C$11:$C$22)&lt;=B11)*(IF(Besatzung!$D$11:$D$22="",Besatzung!$B$6,Besatzung!$D$11:$D$22)&gt;=B11)),1)),IF(I11="An Bord",(((Besatzung!$B$13&lt;&gt;"")*IF(B11="",1,(IF(Besatzung!$C$13="",Besatzung!$B$5,Besatzung!$C$13)&lt;=B11)*(IF(Besatzung!$D$13="",Besatzung!$B$6,Besatzung!$D$13)&gt;=B11)))*((G11-IFERROR(H11,0))/IFERROR(SUMPRODUCT((Besatzung!$B$11:$B$22&lt;&gt;"")*(IF(Besatzung!$C$11:$C$22="",Besatzung!$B$5,Besatzung!$C$11:$C$22)&lt;=B11)*(IF(Besatzung!$D$11:$D$22="",Besatzung!$B$6,Besatzung!$D$11:$D$22)&gt;=B11)),1)+(Besatzung!$F$13="x")*IFERROR(H11,0)/IFERROR(SUMPRODUCT((Besatzung!$B$11:$B$22&lt;&gt;"")*(Besatzung!$F$11:$F$22="x")*(IF(Besatzung!$C$11:$C$22="",Besatzung!$B$5,Besatzung!$C$11:$C$22)&lt;=B11)*(IF(Besatzung!$D$11:$D$22="",Besatzung!$B$6,Besatzung!$D$11:$D$22)&gt;=B11)),1))),IF(I11="Individuell",((K11="x")*((G11-IFERROR(H11,0))/IFERROR(COUNTIF(J11:U11,"x"),1)+(Besatzung!$F$13="x")*IFERROR(H11,0)/IFERROR(SUMPRODUCT((J11:U11="x")*(Besatzung!$F$11:$F$22="x")),1))),(IF(COUNTIF(J11:U11,"x")=0,IF(Besatzung!$B$13&lt;&gt;"",1,0),(K11="x"))*(G11-IFERROR(H11,0))/IFERROR(IF(COUNTIF(J11:U11,"x")=0,COUNTA(Besatzung!$B$11:$B$22),COUNTIF(J11:U11,"x")),1)+IF(COUNTIF(J11:U11,"x")=0,(Besatzung!$F$13="x"),(K11="x")*(Besatzung!$F$13="x"))*IFERROR(H11,0)/IFERROR(IF(COUNTIF(J11:U11,"x")=0,SUMPRODUCT((Besatzung!$B$11:$B$22&lt;&gt;"")*(Besatzung!$F$11:$F$22="x")),SUMPRODUCT((J11:U11="x")*(Besatzung!$F$11:$F$22="x"))),1))))),0))))</f>
        <v/>
      </c>
      <c r="Y11" s="247">
        <f>IF(C11="Gutschrift","",IF(G11="","",IF(Besatzung!$B$14="","",IFERROR(IF(I11="Zeitanteilig",(Besatzung!$G$14*(G11-IFERROR(H11,0))+((Besatzung!$B$14&lt;&gt;"")*IF(B11="",1,(IF(Besatzung!$C$14="",Besatzung!$B$5,Besatzung!$C$14)&lt;=B11)*(IF(Besatzung!$D$14="",Besatzung!$B$6,Besatzung!$D$14)&gt;=B11)))*(Besatzung!$F$14="x")*IFERROR(H11,0)/IFERROR(SUMPRODUCT((Besatzung!$B$11:$B$22&lt;&gt;"")*(Besatzung!$F$11:$F$22="x")*(IF(Besatzung!$C$11:$C$22="",Besatzung!$B$5,Besatzung!$C$11:$C$22)&lt;=B11)*(IF(Besatzung!$D$11:$D$22="",Besatzung!$B$6,Besatzung!$D$11:$D$22)&gt;=B11)),1)),IF(I11="An Bord",(((Besatzung!$B$14&lt;&gt;"")*IF(B11="",1,(IF(Besatzung!$C$14="",Besatzung!$B$5,Besatzung!$C$14)&lt;=B11)*(IF(Besatzung!$D$14="",Besatzung!$B$6,Besatzung!$D$14)&gt;=B11)))*((G11-IFERROR(H11,0))/IFERROR(SUMPRODUCT((Besatzung!$B$11:$B$22&lt;&gt;"")*(IF(Besatzung!$C$11:$C$22="",Besatzung!$B$5,Besatzung!$C$11:$C$22)&lt;=B11)*(IF(Besatzung!$D$11:$D$22="",Besatzung!$B$6,Besatzung!$D$11:$D$22)&gt;=B11)),1)+(Besatzung!$F$14="x")*IFERROR(H11,0)/IFERROR(SUMPRODUCT((Besatzung!$B$11:$B$22&lt;&gt;"")*(Besatzung!$F$11:$F$22="x")*(IF(Besatzung!$C$11:$C$22="",Besatzung!$B$5,Besatzung!$C$11:$C$22)&lt;=B11)*(IF(Besatzung!$D$11:$D$22="",Besatzung!$B$6,Besatzung!$D$11:$D$22)&gt;=B11)),1))),IF(I11="Individuell",((M11="x")*((G11-IFERROR(H11,0))/IFERROR(COUNTIF(J11:U11,"x"),1)+(Besatzung!$F$14="x")*IFERROR(H11,0)/IFERROR(SUMPRODUCT((J11:U11="x")*(Besatzung!$F$11:$F$22="x")),1))),(IF(COUNTIF(J11:U11,"x")=0,IF(Besatzung!$B$14&lt;&gt;"",1,0),(M11="x"))*(G11-IFERROR(H11,0))/IFERROR(IF(COUNTIF(J11:U11,"x")=0,COUNTA(Besatzung!$B$11:$B$22),COUNTIF(J11:U11,"x")),1)+IF(COUNTIF(J11:U11,"x")=0,(Besatzung!$F$14="x"),(M11="x")*(Besatzung!$F$14="x"))*IFERROR(H11,0)/IFERROR(IF(COUNTIF(J11:U11,"x")=0,SUMPRODUCT((Besatzung!$B$11:$B$22&lt;&gt;"")*(Besatzung!$F$11:$F$22="x")),SUMPRODUCT((J11:U11="x")*(Besatzung!$F$11:$F$22="x"))),1))))),0))))</f>
        <v/>
      </c>
      <c r="Z11" s="247">
        <f>IF(C11="Gutschrift","",IF(G11="","",IF(Besatzung!$B$13="","",IFERROR(IF(I11="Zeitanteilig",(Besatzung!$G$15*(G11-IFERROR(H11,0))+((Besatzung!$B$13&lt;&gt;"")*IF(B11="",1,(IF(Besatzung!$C$15="",Besatzung!$B$5,Besatzung!$C$15)&lt;=B11)*(IF(Besatzung!$D$15="",Besatzung!$B$6,Besatzung!$D$15)&gt;=B11)))*(Besatzung!$F$15="x")*IFERROR(H11,0)/IFERROR(SUMPRODUCT((Besatzung!$B$11:$B$22&lt;&gt;"")*(Besatzung!$F$11:$F$22="x")*(IF(Besatzung!$C$11:$C$22="",Besatzung!$B$5,Besatzung!$C$11:$C$22)&lt;=B11)*(IF(Besatzung!$D$11:$D$22="",Besatzung!$B$6,Besatzung!$D$11:$D$22)&gt;=B11)),1)),IF(I11="An Bord",(((Besatzung!$B$13&lt;&gt;"")*IF(B11="",1,(IF(Besatzung!$C$15="",Besatzung!$B$5,Besatzung!$C$15)&lt;=B11)*(IF(Besatzung!$D$15="",Besatzung!$B$6,Besatzung!$D$15)&gt;=B11)))*((G11-IFERROR(H11,0))/IFERROR(SUMPRODUCT((Besatzung!$B$11:$B$22&lt;&gt;"")*(IF(Besatzung!$C$11:$C$22="",Besatzung!$B$5,Besatzung!$C$11:$C$22)&lt;=B11)*(IF(Besatzung!$D$11:$D$22="",Besatzung!$B$6,Besatzung!$D$11:$D$22)&gt;=B11)),1)+(Besatzung!$F$15="x")*IFERROR(H11,0)/IFERROR(SUMPRODUCT((Besatzung!$B$11:$B$22&lt;&gt;"")*(Besatzung!$F$11:$F$22="x")*(IF(Besatzung!$C$11:$C$22="",Besatzung!$B$5,Besatzung!$C$11:$C$22)&lt;=B11)*(IF(Besatzung!$D$11:$D$22="",Besatzung!$B$6,Besatzung!$D$11:$D$22)&gt;=B11)),1))),IF(I11="Individuell",((N11="x")*((G11-IFERROR(H11,0))/IFERROR(COUNTIF(J11:U11,"x"),1)+(Besatzung!$F$15="x")*IFERROR(H11,0)/IFERROR(SUMPRODUCT((J11:U11="x")*(Besatzung!$F$11:$F$22="x")),1))),(IF(COUNTIF(J11:U11,"x")=0,IF(Besatzung!$B$13&lt;&gt;"",1,0),(N11="x"))*(G11-IFERROR(H11,0))/IFERROR(IF(COUNTIF(J11:U11,"x")=0,COUNTA(Besatzung!$B$11:$B$22),COUNTIF(J11:U11,"x")),1)+IF(COUNTIF(J11:U11,"x")=0,(Besatzung!$F$15="x"),(N11="x")*(Besatzung!$F$15="x"))*IFERROR(H11,0)/IFERROR(IF(COUNTIF(J11:U11,"x")=0,SUMPRODUCT((Besatzung!$B$11:$B$22&lt;&gt;"")*(Besatzung!$F$11:$F$22="x")),SUMPRODUCT((J11:U11="x")*(Besatzung!$F$11:$F$22="x"))),1))))),0))))</f>
        <v/>
      </c>
      <c r="AA11" s="247">
        <f>IF(C11="Gutschrift","",IF(G11="","",IF(Besatzung!$B$15="","",IFERROR(IF(I11="Zeitanteilig",(Besatzung!$G$16*(G11-IFERROR(H11,0))+((Besatzung!$B$15&lt;&gt;"")*IF(B11="",1,(IF(Besatzung!$C$16="",Besatzung!$B$5,Besatzung!$C$16)&lt;=B11)*(IF(Besatzung!$D$16="",Besatzung!$B$6,Besatzung!$D$16)&gt;=B11)))*(Besatzung!$F$16="x")*IFERROR(H11,0)/IFERROR(SUMPRODUCT((Besatzung!$B$11:$B$22&lt;&gt;"")*(Besatzung!$F$11:$F$22="x")*(IF(Besatzung!$C$11:$C$22="",Besatzung!$B$5,Besatzung!$C$11:$C$22)&lt;=B11)*(IF(Besatzung!$D$11:$D$22="",Besatzung!$B$6,Besatzung!$D$11:$D$22)&gt;=B11)),1)),IF(I11="An Bord",(((Besatzung!$B$15&lt;&gt;"")*IF(B11="",1,(IF(Besatzung!$C$16="",Besatzung!$B$5,Besatzung!$C$16)&lt;=B11)*(IF(Besatzung!$D$16="",Besatzung!$B$6,Besatzung!$D$16)&gt;=B11)))*((G11-IFERROR(H11,0))/IFERROR(SUMPRODUCT((Besatzung!$B$11:$B$22&lt;&gt;"")*(IF(Besatzung!$C$11:$C$22="",Besatzung!$B$5,Besatzung!$C$11:$C$22)&lt;=B11)*(IF(Besatzung!$D$11:$D$22="",Besatzung!$B$6,Besatzung!$D$11:$D$22)&gt;=B11)),1)+(Besatzung!$F$16="x")*IFERROR(H11,0)/IFERROR(SUMPRODUCT((Besatzung!$B$11:$B$22&lt;&gt;"")*(Besatzung!$F$11:$F$22="x")*(IF(Besatzung!$C$11:$C$22="",Besatzung!$B$5,Besatzung!$C$11:$C$22)&lt;=B11)*(IF(Besatzung!$D$11:$D$22="",Besatzung!$B$6,Besatzung!$D$11:$D$22)&gt;=B11)),1))),IF(I11="Individuell",((O11="x")*((G11-IFERROR(H11,0))/IFERROR(COUNTIF(J11:U11,"x"),1)+(Besatzung!$F$16="x")*IFERROR(H11,0)/IFERROR(SUMPRODUCT((J11:U11="x")*(Besatzung!$F$11:$F$22="x")),1))),(IF(COUNTIF(J11:U11,"x")=0,IF(Besatzung!$B$15&lt;&gt;"",1,0),(O11="x"))*(G11-IFERROR(H11,0))/IFERROR(IF(COUNTIF(J11:U11,"x")=0,COUNTA(Besatzung!$B$11:$B$22),COUNTIF(J11:U11,"x")),1)+IF(COUNTIF(J11:U11,"x")=0,(Besatzung!$F$16="x"),(O11="x")*(Besatzung!$F$16="x"))*IFERROR(H11,0)/IFERROR(IF(COUNTIF(J11:U11,"x")=0,SUMPRODUCT((Besatzung!$B$11:$B$22&lt;&gt;"")*(Besatzung!$F$11:$F$22="x")),SUMPRODUCT((J11:U11="x")*(Besatzung!$F$11:$F$22="x"))),1))))),0))))</f>
        <v/>
      </c>
      <c r="AB11" s="247">
        <f>IF(C11="Gutschrift","",IF(G11="","",IF(Besatzung!$B$17="","",IFERROR(IF(I11="Zeitanteilig",(Besatzung!$G$17*(G11-IFERROR(H11,0))+((Besatzung!$B$17&lt;&gt;"")*IF(B11="",1,(IF(Besatzung!$C$17="",Besatzung!$B$5,Besatzung!$C$17)&lt;=B11)*(IF(Besatzung!$D$17="",Besatzung!$B$6,Besatzung!$D$17)&gt;=B11)))*(Besatzung!$F$17="x")*IFERROR(H11,0)/IFERROR(SUMPRODUCT((Besatzung!$B$11:$B$22&lt;&gt;"")*(Besatzung!$F$11:$F$22="x")*(IF(Besatzung!$C$11:$C$22="",Besatzung!$B$5,Besatzung!$C$11:$C$22)&lt;=B11)*(IF(Besatzung!$D$11:$D$22="",Besatzung!$B$6,Besatzung!$D$11:$D$22)&gt;=B11)),1)),IF(I11="An Bord",(((Besatzung!$B$17&lt;&gt;"")*IF(B11="",1,(IF(Besatzung!$C$17="",Besatzung!$B$5,Besatzung!$C$17)&lt;=B11)*(IF(Besatzung!$D$17="",Besatzung!$B$6,Besatzung!$D$17)&gt;=B11)))*((G11-IFERROR(H11,0))/IFERROR(SUMPRODUCT((Besatzung!$B$11:$B$22&lt;&gt;"")*(IF(Besatzung!$C$11:$C$22="",Besatzung!$B$5,Besatzung!$C$11:$C$22)&lt;=B11)*(IF(Besatzung!$D$11:$D$22="",Besatzung!$B$6,Besatzung!$D$11:$D$22)&gt;=B11)),1)+(Besatzung!$F$17="x")*IFERROR(H11,0)/IFERROR(SUMPRODUCT((Besatzung!$B$11:$B$22&lt;&gt;"")*(Besatzung!$F$11:$F$22="x")*(IF(Besatzung!$C$11:$C$22="",Besatzung!$B$5,Besatzung!$C$11:$C$22)&lt;=B11)*(IF(Besatzung!$D$11:$D$22="",Besatzung!$B$6,Besatzung!$D$11:$D$22)&gt;=B11)),1))),IF(I11="Individuell",((P11="x")*((G11-IFERROR(H11,0))/IFERROR(COUNTIF(J11:U11,"x"),1)+(Besatzung!$F$17="x")*IFERROR(H11,0)/IFERROR(SUMPRODUCT((J11:U11="x")*(Besatzung!$F$11:$F$22="x")),1))),(IF(COUNTIF(J11:U11,"x")=0,IF(Besatzung!$B$17&lt;&gt;"",1,0),(P11="x"))*(G11-IFERROR(H11,0))/IFERROR(IF(COUNTIF(J11:U11,"x")=0,COUNTA(Besatzung!$B$11:$B$22),COUNTIF(J11:U11,"x")),1)+IF(COUNTIF(J11:U11,"x")=0,(Besatzung!$F$17="x"),(P11="x")*(Besatzung!$F$17="x"))*IFERROR(H11,0)/IFERROR(IF(COUNTIF(J11:U11,"x")=0,SUMPRODUCT((Besatzung!$B$11:$B$22&lt;&gt;"")*(Besatzung!$F$11:$F$22="x")),SUMPRODUCT((J11:U11="x")*(Besatzung!$F$11:$F$22="x"))),1))))),0))))</f>
        <v/>
      </c>
      <c r="AC11" s="247">
        <f>IF(C11="Gutschrift","",IF(G11="","",IF(Besatzung!$B$18="","",IFERROR(IF(I11="Zeitanteilig",(Besatzung!$G$18*(G11-IFERROR(H11,0))+((Besatzung!$B$18&lt;&gt;"")*IF(B11="",1,(IF(Besatzung!$C$18="",Besatzung!$B$5,Besatzung!$C$18)&lt;=B11)*(IF(Besatzung!$D$18="",Besatzung!$B$6,Besatzung!$D$18)&gt;=B11)))*(Besatzung!$F$18="x")*IFERROR(H11,0)/IFERROR(SUMPRODUCT((Besatzung!$B$11:$B$22&lt;&gt;"")*(Besatzung!$F$11:$F$22="x")*(IF(Besatzung!$C$11:$C$22="",Besatzung!$B$5,Besatzung!$C$11:$C$22)&lt;=B11)*(IF(Besatzung!$D$11:$D$22="",Besatzung!$B$6,Besatzung!$D$11:$D$22)&gt;=B11)),1)),IF(I11="An Bord",(((Besatzung!$B$18&lt;&gt;"")*IF(B11="",1,(IF(Besatzung!$C$18="",Besatzung!$B$5,Besatzung!$C$18)&lt;=B11)*(IF(Besatzung!$D$18="",Besatzung!$B$6,Besatzung!$D$18)&gt;=B11)))*((G11-IFERROR(H11,0))/IFERROR(SUMPRODUCT((Besatzung!$B$11:$B$22&lt;&gt;"")*(IF(Besatzung!$C$11:$C$22="",Besatzung!$B$5,Besatzung!$C$11:$C$22)&lt;=B11)*(IF(Besatzung!$D$11:$D$22="",Besatzung!$B$6,Besatzung!$D$11:$D$22)&gt;=B11)),1)+(Besatzung!$F$18="x")*IFERROR(H11,0)/IFERROR(SUMPRODUCT((Besatzung!$B$11:$B$22&lt;&gt;"")*(Besatzung!$F$11:$F$22="x")*(IF(Besatzung!$C$11:$C$22="",Besatzung!$B$5,Besatzung!$C$11:$C$22)&lt;=B11)*(IF(Besatzung!$D$11:$D$22="",Besatzung!$B$6,Besatzung!$D$11:$D$22)&gt;=B11)),1))),IF(I11="Individuell",((Q11="x")*((G11-IFERROR(H11,0))/IFERROR(COUNTIF(J11:U11,"x"),1)+(Besatzung!$F$18="x")*IFERROR(H11,0)/IFERROR(SUMPRODUCT((J11:U11="x")*(Besatzung!$F$11:$F$22="x")),1))),(IF(COUNTIF(J11:U11,"x")=0,IF(Besatzung!$B$18&lt;&gt;"",1,0),(Q11="x"))*(G11-IFERROR(H11,0))/IFERROR(IF(COUNTIF(J11:U11,"x")=0,COUNTA(Besatzung!$B$11:$B$22),COUNTIF(J11:U11,"x")),1)+IF(COUNTIF(J11:U11,"x")=0,(Besatzung!$F$18="x"),(Q11="x")*(Besatzung!$F$18="x"))*IFERROR(H11,0)/IFERROR(IF(COUNTIF(J11:U11,"x")=0,SUMPRODUCT((Besatzung!$B$11:$B$22&lt;&gt;"")*(Besatzung!$F$11:$F$22="x")),SUMPRODUCT((J11:U11="x")*(Besatzung!$F$11:$F$22="x"))),1))))),0))))</f>
        <v/>
      </c>
      <c r="AD11" s="247">
        <f>IF(C11="Gutschrift","",IF(G11="","",IF(Besatzung!$B$19="","",IFERROR(IF(I11="Zeitanteilig",(Besatzung!$G$19*(G11-IFERROR(H11,0))+((Besatzung!$B$19&lt;&gt;"")*IF(B11="",1,(IF(Besatzung!$C$19="",Besatzung!$B$5,Besatzung!$C$19)&lt;=B11)*(IF(Besatzung!$D$19="",Besatzung!$B$6,Besatzung!$D$19)&gt;=B11)))*(Besatzung!$F$19="x")*IFERROR(H11,0)/IFERROR(SUMPRODUCT((Besatzung!$B$11:$B$22&lt;&gt;"")*(Besatzung!$F$11:$F$22="x")*(IF(Besatzung!$C$11:$C$22="",Besatzung!$B$5,Besatzung!$C$11:$C$22)&lt;=B11)*(IF(Besatzung!$D$11:$D$22="",Besatzung!$B$6,Besatzung!$D$11:$D$22)&gt;=B11)),1)),IF(I11="An Bord",(((Besatzung!$B$19&lt;&gt;"")*IF(B11="",1,(IF(Besatzung!$C$19="",Besatzung!$B$5,Besatzung!$C$19)&lt;=B11)*(IF(Besatzung!$D$19="",Besatzung!$B$6,Besatzung!$D$19)&gt;=B11)))*((G11-IFERROR(H11,0))/IFERROR(SUMPRODUCT((Besatzung!$B$11:$B$22&lt;&gt;"")*(IF(Besatzung!$C$11:$C$22="",Besatzung!$B$5,Besatzung!$C$11:$C$22)&lt;=B11)*(IF(Besatzung!$D$11:$D$22="",Besatzung!$B$6,Besatzung!$D$11:$D$22)&gt;=B11)),1)+(Besatzung!$F$19="x")*IFERROR(H11,0)/IFERROR(SUMPRODUCT((Besatzung!$B$11:$B$22&lt;&gt;"")*(Besatzung!$F$11:$F$22="x")*(IF(Besatzung!$C$11:$C$22="",Besatzung!$B$5,Besatzung!$C$11:$C$22)&lt;=B11)*(IF(Besatzung!$D$11:$D$22="",Besatzung!$B$6,Besatzung!$D$11:$D$22)&gt;=B11)),1))),IF(I11="Individuell",((R11="x")*((G11-IFERROR(H11,0))/IFERROR(COUNTIF(J11:U11,"x"),1)+(Besatzung!$F$19="x")*IFERROR(H11,0)/IFERROR(SUMPRODUCT((J11:U11="x")*(Besatzung!$F$11:$F$22="x")),1))),(IF(COUNTIF(J11:U11,"x")=0,IF(Besatzung!$B$19&lt;&gt;"",1,0),(R11="x"))*(G11-IFERROR(H11,0))/IFERROR(IF(COUNTIF(J11:U11,"x")=0,COUNTA(Besatzung!$B$11:$B$22),COUNTIF(J11:U11,"x")),1)+IF(COUNTIF(J11:U11,"x")=0,(Besatzung!$F$19="x"),(R11="x")*(Besatzung!$F$19="x"))*IFERROR(H11,0)/IFERROR(IF(COUNTIF(J11:U11,"x")=0,SUMPRODUCT((Besatzung!$B$11:$B$22&lt;&gt;"")*(Besatzung!$F$11:$F$22="x")),SUMPRODUCT((J11:U11="x")*(Besatzung!$F$11:$F$22="x"))),1))))),0))))</f>
        <v/>
      </c>
      <c r="AE11" s="247">
        <f>IF(C11="Gutschrift","",IF(G11="","",IF(Besatzung!$B$20="","",IFERROR(IF(I11="Zeitanteilig",(Besatzung!$G$20*(G11-IFERROR(H11,0))+((Besatzung!$B$20&lt;&gt;"")*IF(B11="",1,(IF(Besatzung!$C$20="",Besatzung!$B$5,Besatzung!$C$20)&lt;=B11)*(IF(Besatzung!$D$20="",Besatzung!$B$6,Besatzung!$D$20)&gt;=B11)))*(Besatzung!$F$20="x")*IFERROR(H11,0)/IFERROR(SUMPRODUCT((Besatzung!$B$11:$B$22&lt;&gt;"")*(Besatzung!$F$11:$F$22="x")*(IF(Besatzung!$C$11:$C$22="",Besatzung!$B$5,Besatzung!$C$11:$C$22)&lt;=B11)*(IF(Besatzung!$D$11:$D$22="",Besatzung!$B$6,Besatzung!$D$11:$D$22)&gt;=B11)),1)),IF(I11="An Bord",(((Besatzung!$B$20&lt;&gt;"")*IF(B11="",1,(IF(Besatzung!$C$20="",Besatzung!$B$5,Besatzung!$C$20)&lt;=B11)*(IF(Besatzung!$D$20="",Besatzung!$B$6,Besatzung!$D$20)&gt;=B11)))*((G11-IFERROR(H11,0))/IFERROR(SUMPRODUCT((Besatzung!$B$11:$B$22&lt;&gt;"")*(IF(Besatzung!$C$11:$C$22="",Besatzung!$B$5,Besatzung!$C$11:$C$22)&lt;=B11)*(IF(Besatzung!$D$11:$D$22="",Besatzung!$B$6,Besatzung!$D$11:$D$22)&gt;=B11)),1)+(Besatzung!$F$20="x")*IFERROR(H11,0)/IFERROR(SUMPRODUCT((Besatzung!$B$11:$B$22&lt;&gt;"")*(Besatzung!$F$11:$F$22="x")*(IF(Besatzung!$C$11:$C$22="",Besatzung!$B$5,Besatzung!$C$11:$C$22)&lt;=B11)*(IF(Besatzung!$D$11:$D$22="",Besatzung!$B$6,Besatzung!$D$11:$D$22)&gt;=B11)),1))),IF(I11="Individuell",((S11="x")*((G11-IFERROR(H11,0))/IFERROR(COUNTIF(J11:U11,"x"),1)+(Besatzung!$F$20="x")*IFERROR(H11,0)/IFERROR(SUMPRODUCT((J11:U11="x")*(Besatzung!$F$11:$F$22="x")),1))),(IF(COUNTIF(J11:U11,"x")=0,IF(Besatzung!$B$20&lt;&gt;"",1,0),(S11="x"))*(G11-IFERROR(H11,0))/IFERROR(IF(COUNTIF(J11:U11,"x")=0,COUNTA(Besatzung!$B$11:$B$22),COUNTIF(J11:U11,"x")),1)+IF(COUNTIF(J11:U11,"x")=0,(Besatzung!$F$20="x"),(S11="x")*(Besatzung!$F$20="x"))*IFERROR(H11,0)/IFERROR(IF(COUNTIF(J11:U11,"x")=0,SUMPRODUCT((Besatzung!$B$11:$B$22&lt;&gt;"")*(Besatzung!$F$11:$F$22="x")),SUMPRODUCT((J11:U11="x")*(Besatzung!$F$11:$F$22="x"))),1))))),0))))</f>
        <v/>
      </c>
      <c r="AF11" s="247">
        <f>IF(C11="Gutschrift","",IF(G11="","",IF(Besatzung!$B$21="","",IFERROR(IF(I11="Zeitanteilig",(Besatzung!$G$21*(G11-IFERROR(H11,0))+((Besatzung!$B$21&lt;&gt;"")*IF(B11="",1,(IF(Besatzung!$C$21="",Besatzung!$B$5,Besatzung!$C$21)&lt;=B11)*(IF(Besatzung!$D$21="",Besatzung!$B$6,Besatzung!$D$21)&gt;=B11)))*(Besatzung!$F$21="x")*IFERROR(H11,0)/IFERROR(SUMPRODUCT((Besatzung!$B$11:$B$22&lt;&gt;"")*(Besatzung!$F$11:$F$22="x")*(IF(Besatzung!$C$11:$C$22="",Besatzung!$B$5,Besatzung!$C$11:$C$22)&lt;=B11)*(IF(Besatzung!$D$11:$D$22="",Besatzung!$B$6,Besatzung!$D$11:$D$22)&gt;=B11)),1)),IF(I11="An Bord",(((Besatzung!$B$21&lt;&gt;"")*IF(B11="",1,(IF(Besatzung!$C$21="",Besatzung!$B$5,Besatzung!$C$21)&lt;=B11)*(IF(Besatzung!$D$21="",Besatzung!$B$6,Besatzung!$D$21)&gt;=B11)))*((G11-IFERROR(H11,0))/IFERROR(SUMPRODUCT((Besatzung!$B$11:$B$22&lt;&gt;"")*(IF(Besatzung!$C$11:$C$22="",Besatzung!$B$5,Besatzung!$C$11:$C$22)&lt;=B11)*(IF(Besatzung!$D$11:$D$22="",Besatzung!$B$6,Besatzung!$D$11:$D$22)&gt;=B11)),1)+(Besatzung!$F$21="x")*IFERROR(H11,0)/IFERROR(SUMPRODUCT((Besatzung!$B$11:$B$22&lt;&gt;"")*(Besatzung!$F$11:$F$22="x")*(IF(Besatzung!$C$11:$C$22="",Besatzung!$B$5,Besatzung!$C$11:$C$22)&lt;=B11)*(IF(Besatzung!$D$11:$D$22="",Besatzung!$B$6,Besatzung!$D$11:$D$22)&gt;=B11)),1))),IF(I11="Individuell",((T11="x")*((G11-IFERROR(H11,0))/IFERROR(COUNTIF(J11:U11,"x"),1)+(Besatzung!$F$21="x")*IFERROR(H11,0)/IFERROR(SUMPRODUCT((J11:U11="x")*(Besatzung!$F$11:$F$22="x")),1))),(IF(COUNTIF(J11:U11,"x")=0,IF(Besatzung!$B$21&lt;&gt;"",1,0),(T11="x"))*(G11-IFERROR(H11,0))/IFERROR(IF(COUNTIF(J11:U11,"x")=0,COUNTA(Besatzung!$B$11:$B$22),COUNTIF(J11:U11,"x")),1)+IF(COUNTIF(J11:U11,"x")=0,(Besatzung!$F$21="x"),(T11="x")*(Besatzung!$F$21="x"))*IFERROR(H11,0)/IFERROR(IF(COUNTIF(J11:U11,"x")=0,SUMPRODUCT((Besatzung!$B$11:$B$22&lt;&gt;"")*(Besatzung!$F$11:$F$22="x")),SUMPRODUCT((J11:U11="x")*(Besatzung!$F$11:$F$22="x"))),1))))),0))))</f>
        <v/>
      </c>
      <c r="AG11" s="247">
        <f>IF(C11="Gutschrift","",IF(G11="","",IF(Besatzung!$B$22="","",IFERROR(IF(I11="Zeitanteilig",(Besatzung!$G$22*(G11-IFERROR(H11,0))+((Besatzung!$B$22&lt;&gt;"")*IF(B11="",1,(IF(Besatzung!$C$22="",Besatzung!$B$5,Besatzung!$C$22)&lt;=B11)*(IF(Besatzung!$D$22="",Besatzung!$B$6,Besatzung!$D$22)&gt;=B11)))*(Besatzung!$F$22="x")*IFERROR(H11,0)/IFERROR(SUMPRODUCT((Besatzung!$B$11:$B$22&lt;&gt;"")*(Besatzung!$F$11:$F$22="x")*(IF(Besatzung!$C$11:$C$22="",Besatzung!$B$5,Besatzung!$C$11:$C$22)&lt;=B11)*(IF(Besatzung!$D$11:$D$22="",Besatzung!$B$6,Besatzung!$D$11:$D$22)&gt;=B11)),1)),IF(I11="An Bord",(((Besatzung!$B$22&lt;&gt;"")*IF(B11="",1,(IF(Besatzung!$C$22="",Besatzung!$B$5,Besatzung!$C$22)&lt;=B11)*(IF(Besatzung!$D$22="",Besatzung!$B$6,Besatzung!$D$22)&gt;=B11)))*((G11-IFERROR(H11,0))/IFERROR(SUMPRODUCT((Besatzung!$B$11:$B$22&lt;&gt;"")*(IF(Besatzung!$C$11:$C$22="",Besatzung!$B$5,Besatzung!$C$11:$C$22)&lt;=B11)*(IF(Besatzung!$D$11:$D$22="",Besatzung!$B$6,Besatzung!$D$11:$D$22)&gt;=B11)),1)+(Besatzung!$F$22="x")*IFERROR(H11,0)/IFERROR(SUMPRODUCT((Besatzung!$B$11:$B$22&lt;&gt;"")*(Besatzung!$F$11:$F$22="x")*(IF(Besatzung!$C$11:$C$22="",Besatzung!$B$5,Besatzung!$C$11:$C$22)&lt;=B11)*(IF(Besatzung!$D$11:$D$22="",Besatzung!$B$6,Besatzung!$D$11:$D$22)&gt;=B11)),1))),IF(I11="Individuell",((U11="x")*((G11-IFERROR(H11,0))/IFERROR(COUNTIF(J11:U11,"x"),1)+(Besatzung!$F$22="x")*IFERROR(H11,0)/IFERROR(SUMPRODUCT((J11:U11="x")*(Besatzung!$F$11:$F$22="x")),1))),(IF(COUNTIF(J11:U11,"x")=0,IF(Besatzung!$B$22&lt;&gt;"",1,0),(U11="x"))*(G11-IFERROR(H11,0))/IFERROR(IF(COUNTIF(J11:U11,"x")=0,COUNTA(Besatzung!$B$11:$B$22),COUNTIF(J11:U11,"x")),1)+IF(COUNTIF(J11:U11,"x")=0,(Besatzung!$F$22="x"),(U11="x")*(Besatzung!$F$22="x"))*IFERROR(H11,0)/IFERROR(IF(COUNTIF(J11:U11,"x")=0,SUMPRODUCT((Besatzung!$B$11:$B$22&lt;&gt;"")*(Besatzung!$F$11:$F$22="x")),SUMPRODUCT((J11:U11="x")*(Besatzung!$F$11:$F$22="x"))),1))))),0))))</f>
        <v/>
      </c>
      <c r="AH11" s="248" t="n"/>
      <c r="AI11" s="248" t="n"/>
    </row>
    <row r="12" ht="21.75" customHeight="1" s="154">
      <c r="A12" s="238">
        <f>IF(AND(D12="",C12=""),"",9)</f>
        <v/>
      </c>
      <c r="B12" s="199" t="n"/>
      <c r="C12" s="239" t="n"/>
      <c r="D12" s="240" t="n"/>
      <c r="E12" s="241" t="n"/>
      <c r="F12" s="242" t="n"/>
      <c r="G12" s="243" t="n"/>
      <c r="H12" s="244" t="n"/>
      <c r="I12" s="245" t="n"/>
      <c r="J12" s="246" t="n"/>
      <c r="K12" s="246" t="n"/>
      <c r="L12" s="246" t="n"/>
      <c r="M12" s="246" t="n"/>
      <c r="N12" s="246" t="n"/>
      <c r="O12" s="246" t="n"/>
      <c r="P12" s="246" t="n"/>
      <c r="Q12" s="246" t="n"/>
      <c r="R12" s="246" t="n"/>
      <c r="S12" s="246" t="n"/>
      <c r="T12" s="246" t="n"/>
      <c r="U12" s="246" t="n"/>
      <c r="V12" s="247">
        <f>IF(C12="Gutschrift","",IF(G12="","",IF(Besatzung!$B$11="","",IFERROR(IF(I12="Zeitanteilig",(Besatzung!$G$11*(G12-IFERROR(H12,0))+((Besatzung!$B$11&lt;&gt;"")*IF(B12="",1,(IF(Besatzung!$C$11="",Besatzung!$B$5,Besatzung!$C$11)&lt;=B12)*(IF(Besatzung!$D$11="",Besatzung!$B$6,Besatzung!$D$11)&gt;=B12)))*(Besatzung!$F$11="x")*IFERROR(H12,0)/IFERROR(SUMPRODUCT((Besatzung!$B$11:$B$22&lt;&gt;"")*(Besatzung!$F$11:$F$22="x")*(IF(Besatzung!$C$11:$C$22="",Besatzung!$B$5,Besatzung!$C$11:$C$22)&lt;=B12)*(IF(Besatzung!$D$11:$D$22="",Besatzung!$B$6,Besatzung!$D$11:$D$22)&gt;=B12)),1)),IF(I12="An Bord",(((Besatzung!$B$11&lt;&gt;"")*IF(B12="",1,(IF(Besatzung!$C$11="",Besatzung!$B$5,Besatzung!$C$11)&lt;=B12)*(IF(Besatzung!$D$11="",Besatzung!$B$6,Besatzung!$D$11)&gt;=B12)))*((G12-IFERROR(H12,0))/IFERROR(SUMPRODUCT((Besatzung!$B$11:$B$22&lt;&gt;"")*(IF(Besatzung!$C$11:$C$22="",Besatzung!$B$5,Besatzung!$C$11:$C$22)&lt;=B12)*(IF(Besatzung!$D$11:$D$22="",Besatzung!$B$6,Besatzung!$D$11:$D$22)&gt;=B12)),1)+(Besatzung!$F$11="x")*IFERROR(H12,0)/IFERROR(SUMPRODUCT((Besatzung!$B$11:$B$22&lt;&gt;"")*(Besatzung!$F$11:$F$22="x")*(IF(Besatzung!$C$11:$C$22="",Besatzung!$B$5,Besatzung!$C$11:$C$22)&lt;=B12)*(IF(Besatzung!$D$11:$D$22="",Besatzung!$B$6,Besatzung!$D$11:$D$22)&gt;=B12)),1))),IF(I12="Individuell",((J12="x")*((G12-IFERROR(H12,0))/IFERROR(COUNTIF(J12:U12,"x"),1)+(Besatzung!$F$11="x")*IFERROR(H12,0)/IFERROR(SUMPRODUCT((J12:U12="x")*(Besatzung!$F$11:$F$22="x")),1))),(IF(COUNTIF(J12:U12,"x")=0,IF(Besatzung!$B$11&lt;&gt;"",1,0),(J12="x"))*(G12-IFERROR(H12,0))/IFERROR(IF(COUNTIF(J12:U12,"x")=0,COUNTA(Besatzung!$B$11:$B$22),COUNTIF(J12:U12,"x")),1)+IF(COUNTIF(J12:U12,"x")=0,(Besatzung!$F$11="x"),(J12="x")*(Besatzung!$F$11="x"))*IFERROR(H12,0)/IFERROR(IF(COUNTIF(J12:U12,"x")=0,SUMPRODUCT((Besatzung!$B$11:$B$22&lt;&gt;"")*(Besatzung!$F$11:$F$22="x")),SUMPRODUCT((J12:U12="x")*(Besatzung!$F$11:$F$22="x"))),1))))),0))))</f>
        <v/>
      </c>
      <c r="W12" s="247">
        <f>IF(C12="Gutschrift","",IF(G12="","",IF(Besatzung!$B$12="","",IFERROR(IF(I12="Zeitanteilig",(Besatzung!$G$12*(G12-IFERROR(H12,0))+((Besatzung!$B$12&lt;&gt;"")*IF(B12="",1,(IF(Besatzung!$C$12="",Besatzung!$B$5,Besatzung!$C$12)&lt;=B12)*(IF(Besatzung!$D$12="",Besatzung!$B$6,Besatzung!$D$12)&gt;=B12)))*(Besatzung!$F$12="x")*IFERROR(H12,0)/IFERROR(SUMPRODUCT((Besatzung!$B$11:$B$22&lt;&gt;"")*(Besatzung!$F$11:$F$22="x")*(IF(Besatzung!$C$11:$C$22="",Besatzung!$B$5,Besatzung!$C$11:$C$22)&lt;=B12)*(IF(Besatzung!$D$11:$D$22="",Besatzung!$B$6,Besatzung!$D$11:$D$22)&gt;=B12)),1)),IF(I12="An Bord",(((Besatzung!$B$12&lt;&gt;"")*IF(B12="",1,(IF(Besatzung!$C$12="",Besatzung!$B$5,Besatzung!$C$12)&lt;=B12)*(IF(Besatzung!$D$12="",Besatzung!$B$6,Besatzung!$D$12)&gt;=B12)))*((G12-IFERROR(H12,0))/IFERROR(SUMPRODUCT((Besatzung!$B$11:$B$22&lt;&gt;"")*(IF(Besatzung!$C$11:$C$22="",Besatzung!$B$5,Besatzung!$C$11:$C$22)&lt;=B12)*(IF(Besatzung!$D$11:$D$22="",Besatzung!$B$6,Besatzung!$D$11:$D$22)&gt;=B12)),1)+(Besatzung!$F$12="x")*IFERROR(H12,0)/IFERROR(SUMPRODUCT((Besatzung!$B$11:$B$22&lt;&gt;"")*(Besatzung!$F$11:$F$22="x")*(IF(Besatzung!$C$11:$C$22="",Besatzung!$B$5,Besatzung!$C$11:$C$22)&lt;=B12)*(IF(Besatzung!$D$11:$D$22="",Besatzung!$B$6,Besatzung!$D$11:$D$22)&gt;=B12)),1))),IF(I12="Individuell",((K12="x")*((G12-IFERROR(H12,0))/IFERROR(COUNTIF(J12:U12,"x"),1)+(Besatzung!$F$12="x")*IFERROR(H12,0)/IFERROR(SUMPRODUCT((J12:U12="x")*(Besatzung!$F$11:$F$22="x")),1))),(IF(COUNTIF(J12:U12,"x")=0,IF(Besatzung!$B$12&lt;&gt;"",1,0),(K12="x"))*(G12-IFERROR(H12,0))/IFERROR(IF(COUNTIF(J12:U12,"x")=0,COUNTA(Besatzung!$B$11:$B$22),COUNTIF(J12:U12,"x")),1)+IF(COUNTIF(J12:U12,"x")=0,(Besatzung!$F$12="x"),(K12="x")*(Besatzung!$F$12="x"))*IFERROR(H12,0)/IFERROR(IF(COUNTIF(J12:U12,"x")=0,SUMPRODUCT((Besatzung!$B$11:$B$22&lt;&gt;"")*(Besatzung!$F$11:$F$22="x")),SUMPRODUCT((J12:U12="x")*(Besatzung!$F$11:$F$22="x"))),1))))),0))))</f>
        <v/>
      </c>
      <c r="X12" s="247">
        <f>IF(C12="Gutschrift","",IF(G12="","",IF(Besatzung!$B$13="","",IFERROR(IF(I12="Zeitanteilig",(Besatzung!$G$13*(G12-IFERROR(H12,0))+((Besatzung!$B$13&lt;&gt;"")*IF(B12="",1,(IF(Besatzung!$C$13="",Besatzung!$B$5,Besatzung!$C$13)&lt;=B12)*(IF(Besatzung!$D$13="",Besatzung!$B$6,Besatzung!$D$13)&gt;=B12)))*(Besatzung!$F$13="x")*IFERROR(H12,0)/IFERROR(SUMPRODUCT((Besatzung!$B$11:$B$22&lt;&gt;"")*(Besatzung!$F$11:$F$22="x")*(IF(Besatzung!$C$11:$C$22="",Besatzung!$B$5,Besatzung!$C$11:$C$22)&lt;=B12)*(IF(Besatzung!$D$11:$D$22="",Besatzung!$B$6,Besatzung!$D$11:$D$22)&gt;=B12)),1)),IF(I12="An Bord",(((Besatzung!$B$13&lt;&gt;"")*IF(B12="",1,(IF(Besatzung!$C$13="",Besatzung!$B$5,Besatzung!$C$13)&lt;=B12)*(IF(Besatzung!$D$13="",Besatzung!$B$6,Besatzung!$D$13)&gt;=B12)))*((G12-IFERROR(H12,0))/IFERROR(SUMPRODUCT((Besatzung!$B$11:$B$22&lt;&gt;"")*(IF(Besatzung!$C$11:$C$22="",Besatzung!$B$5,Besatzung!$C$11:$C$22)&lt;=B12)*(IF(Besatzung!$D$11:$D$22="",Besatzung!$B$6,Besatzung!$D$11:$D$22)&gt;=B12)),1)+(Besatzung!$F$13="x")*IFERROR(H12,0)/IFERROR(SUMPRODUCT((Besatzung!$B$11:$B$22&lt;&gt;"")*(Besatzung!$F$11:$F$22="x")*(IF(Besatzung!$C$11:$C$22="",Besatzung!$B$5,Besatzung!$C$11:$C$22)&lt;=B12)*(IF(Besatzung!$D$11:$D$22="",Besatzung!$B$6,Besatzung!$D$11:$D$22)&gt;=B12)),1))),IF(I12="Individuell",((K12="x")*((G12-IFERROR(H12,0))/IFERROR(COUNTIF(J12:U12,"x"),1)+(Besatzung!$F$13="x")*IFERROR(H12,0)/IFERROR(SUMPRODUCT((J12:U12="x")*(Besatzung!$F$11:$F$22="x")),1))),(IF(COUNTIF(J12:U12,"x")=0,IF(Besatzung!$B$13&lt;&gt;"",1,0),(K12="x"))*(G12-IFERROR(H12,0))/IFERROR(IF(COUNTIF(J12:U12,"x")=0,COUNTA(Besatzung!$B$11:$B$22),COUNTIF(J12:U12,"x")),1)+IF(COUNTIF(J12:U12,"x")=0,(Besatzung!$F$13="x"),(K12="x")*(Besatzung!$F$13="x"))*IFERROR(H12,0)/IFERROR(IF(COUNTIF(J12:U12,"x")=0,SUMPRODUCT((Besatzung!$B$11:$B$22&lt;&gt;"")*(Besatzung!$F$11:$F$22="x")),SUMPRODUCT((J12:U12="x")*(Besatzung!$F$11:$F$22="x"))),1))))),0))))</f>
        <v/>
      </c>
      <c r="Y12" s="247">
        <f>IF(C12="Gutschrift","",IF(G12="","",IF(Besatzung!$B$14="","",IFERROR(IF(I12="Zeitanteilig",(Besatzung!$G$14*(G12-IFERROR(H12,0))+((Besatzung!$B$14&lt;&gt;"")*IF(B12="",1,(IF(Besatzung!$C$14="",Besatzung!$B$5,Besatzung!$C$14)&lt;=B12)*(IF(Besatzung!$D$14="",Besatzung!$B$6,Besatzung!$D$14)&gt;=B12)))*(Besatzung!$F$14="x")*IFERROR(H12,0)/IFERROR(SUMPRODUCT((Besatzung!$B$11:$B$22&lt;&gt;"")*(Besatzung!$F$11:$F$22="x")*(IF(Besatzung!$C$11:$C$22="",Besatzung!$B$5,Besatzung!$C$11:$C$22)&lt;=B12)*(IF(Besatzung!$D$11:$D$22="",Besatzung!$B$6,Besatzung!$D$11:$D$22)&gt;=B12)),1)),IF(I12="An Bord",(((Besatzung!$B$14&lt;&gt;"")*IF(B12="",1,(IF(Besatzung!$C$14="",Besatzung!$B$5,Besatzung!$C$14)&lt;=B12)*(IF(Besatzung!$D$14="",Besatzung!$B$6,Besatzung!$D$14)&gt;=B12)))*((G12-IFERROR(H12,0))/IFERROR(SUMPRODUCT((Besatzung!$B$11:$B$22&lt;&gt;"")*(IF(Besatzung!$C$11:$C$22="",Besatzung!$B$5,Besatzung!$C$11:$C$22)&lt;=B12)*(IF(Besatzung!$D$11:$D$22="",Besatzung!$B$6,Besatzung!$D$11:$D$22)&gt;=B12)),1)+(Besatzung!$F$14="x")*IFERROR(H12,0)/IFERROR(SUMPRODUCT((Besatzung!$B$11:$B$22&lt;&gt;"")*(Besatzung!$F$11:$F$22="x")*(IF(Besatzung!$C$11:$C$22="",Besatzung!$B$5,Besatzung!$C$11:$C$22)&lt;=B12)*(IF(Besatzung!$D$11:$D$22="",Besatzung!$B$6,Besatzung!$D$11:$D$22)&gt;=B12)),1))),IF(I12="Individuell",((M12="x")*((G12-IFERROR(H12,0))/IFERROR(COUNTIF(J12:U12,"x"),1)+(Besatzung!$F$14="x")*IFERROR(H12,0)/IFERROR(SUMPRODUCT((J12:U12="x")*(Besatzung!$F$11:$F$22="x")),1))),(IF(COUNTIF(J12:U12,"x")=0,IF(Besatzung!$B$14&lt;&gt;"",1,0),(M12="x"))*(G12-IFERROR(H12,0))/IFERROR(IF(COUNTIF(J12:U12,"x")=0,COUNTA(Besatzung!$B$11:$B$22),COUNTIF(J12:U12,"x")),1)+IF(COUNTIF(J12:U12,"x")=0,(Besatzung!$F$14="x"),(M12="x")*(Besatzung!$F$14="x"))*IFERROR(H12,0)/IFERROR(IF(COUNTIF(J12:U12,"x")=0,SUMPRODUCT((Besatzung!$B$11:$B$22&lt;&gt;"")*(Besatzung!$F$11:$F$22="x")),SUMPRODUCT((J12:U12="x")*(Besatzung!$F$11:$F$22="x"))),1))))),0))))</f>
        <v/>
      </c>
      <c r="Z12" s="247">
        <f>IF(C12="Gutschrift","",IF(G12="","",IF(Besatzung!$B$13="","",IFERROR(IF(I12="Zeitanteilig",(Besatzung!$G$15*(G12-IFERROR(H12,0))+((Besatzung!$B$13&lt;&gt;"")*IF(B12="",1,(IF(Besatzung!$C$15="",Besatzung!$B$5,Besatzung!$C$15)&lt;=B12)*(IF(Besatzung!$D$15="",Besatzung!$B$6,Besatzung!$D$15)&gt;=B12)))*(Besatzung!$F$15="x")*IFERROR(H12,0)/IFERROR(SUMPRODUCT((Besatzung!$B$11:$B$22&lt;&gt;"")*(Besatzung!$F$11:$F$22="x")*(IF(Besatzung!$C$11:$C$22="",Besatzung!$B$5,Besatzung!$C$11:$C$22)&lt;=B12)*(IF(Besatzung!$D$11:$D$22="",Besatzung!$B$6,Besatzung!$D$11:$D$22)&gt;=B12)),1)),IF(I12="An Bord",(((Besatzung!$B$13&lt;&gt;"")*IF(B12="",1,(IF(Besatzung!$C$15="",Besatzung!$B$5,Besatzung!$C$15)&lt;=B12)*(IF(Besatzung!$D$15="",Besatzung!$B$6,Besatzung!$D$15)&gt;=B12)))*((G12-IFERROR(H12,0))/IFERROR(SUMPRODUCT((Besatzung!$B$11:$B$22&lt;&gt;"")*(IF(Besatzung!$C$11:$C$22="",Besatzung!$B$5,Besatzung!$C$11:$C$22)&lt;=B12)*(IF(Besatzung!$D$11:$D$22="",Besatzung!$B$6,Besatzung!$D$11:$D$22)&gt;=B12)),1)+(Besatzung!$F$15="x")*IFERROR(H12,0)/IFERROR(SUMPRODUCT((Besatzung!$B$11:$B$22&lt;&gt;"")*(Besatzung!$F$11:$F$22="x")*(IF(Besatzung!$C$11:$C$22="",Besatzung!$B$5,Besatzung!$C$11:$C$22)&lt;=B12)*(IF(Besatzung!$D$11:$D$22="",Besatzung!$B$6,Besatzung!$D$11:$D$22)&gt;=B12)),1))),IF(I12="Individuell",((N12="x")*((G12-IFERROR(H12,0))/IFERROR(COUNTIF(J12:U12,"x"),1)+(Besatzung!$F$15="x")*IFERROR(H12,0)/IFERROR(SUMPRODUCT((J12:U12="x")*(Besatzung!$F$11:$F$22="x")),1))),(IF(COUNTIF(J12:U12,"x")=0,IF(Besatzung!$B$13&lt;&gt;"",1,0),(N12="x"))*(G12-IFERROR(H12,0))/IFERROR(IF(COUNTIF(J12:U12,"x")=0,COUNTA(Besatzung!$B$11:$B$22),COUNTIF(J12:U12,"x")),1)+IF(COUNTIF(J12:U12,"x")=0,(Besatzung!$F$15="x"),(N12="x")*(Besatzung!$F$15="x"))*IFERROR(H12,0)/IFERROR(IF(COUNTIF(J12:U12,"x")=0,SUMPRODUCT((Besatzung!$B$11:$B$22&lt;&gt;"")*(Besatzung!$F$11:$F$22="x")),SUMPRODUCT((J12:U12="x")*(Besatzung!$F$11:$F$22="x"))),1))))),0))))</f>
        <v/>
      </c>
      <c r="AA12" s="247">
        <f>IF(C12="Gutschrift","",IF(G12="","",IF(Besatzung!$B$15="","",IFERROR(IF(I12="Zeitanteilig",(Besatzung!$G$16*(G12-IFERROR(H12,0))+((Besatzung!$B$15&lt;&gt;"")*IF(B12="",1,(IF(Besatzung!$C$16="",Besatzung!$B$5,Besatzung!$C$16)&lt;=B12)*(IF(Besatzung!$D$16="",Besatzung!$B$6,Besatzung!$D$16)&gt;=B12)))*(Besatzung!$F$16="x")*IFERROR(H12,0)/IFERROR(SUMPRODUCT((Besatzung!$B$11:$B$22&lt;&gt;"")*(Besatzung!$F$11:$F$22="x")*(IF(Besatzung!$C$11:$C$22="",Besatzung!$B$5,Besatzung!$C$11:$C$22)&lt;=B12)*(IF(Besatzung!$D$11:$D$22="",Besatzung!$B$6,Besatzung!$D$11:$D$22)&gt;=B12)),1)),IF(I12="An Bord",(((Besatzung!$B$15&lt;&gt;"")*IF(B12="",1,(IF(Besatzung!$C$16="",Besatzung!$B$5,Besatzung!$C$16)&lt;=B12)*(IF(Besatzung!$D$16="",Besatzung!$B$6,Besatzung!$D$16)&gt;=B12)))*((G12-IFERROR(H12,0))/IFERROR(SUMPRODUCT((Besatzung!$B$11:$B$22&lt;&gt;"")*(IF(Besatzung!$C$11:$C$22="",Besatzung!$B$5,Besatzung!$C$11:$C$22)&lt;=B12)*(IF(Besatzung!$D$11:$D$22="",Besatzung!$B$6,Besatzung!$D$11:$D$22)&gt;=B12)),1)+(Besatzung!$F$16="x")*IFERROR(H12,0)/IFERROR(SUMPRODUCT((Besatzung!$B$11:$B$22&lt;&gt;"")*(Besatzung!$F$11:$F$22="x")*(IF(Besatzung!$C$11:$C$22="",Besatzung!$B$5,Besatzung!$C$11:$C$22)&lt;=B12)*(IF(Besatzung!$D$11:$D$22="",Besatzung!$B$6,Besatzung!$D$11:$D$22)&gt;=B12)),1))),IF(I12="Individuell",((O12="x")*((G12-IFERROR(H12,0))/IFERROR(COUNTIF(J12:U12,"x"),1)+(Besatzung!$F$16="x")*IFERROR(H12,0)/IFERROR(SUMPRODUCT((J12:U12="x")*(Besatzung!$F$11:$F$22="x")),1))),(IF(COUNTIF(J12:U12,"x")=0,IF(Besatzung!$B$15&lt;&gt;"",1,0),(O12="x"))*(G12-IFERROR(H12,0))/IFERROR(IF(COUNTIF(J12:U12,"x")=0,COUNTA(Besatzung!$B$11:$B$22),COUNTIF(J12:U12,"x")),1)+IF(COUNTIF(J12:U12,"x")=0,(Besatzung!$F$16="x"),(O12="x")*(Besatzung!$F$16="x"))*IFERROR(H12,0)/IFERROR(IF(COUNTIF(J12:U12,"x")=0,SUMPRODUCT((Besatzung!$B$11:$B$22&lt;&gt;"")*(Besatzung!$F$11:$F$22="x")),SUMPRODUCT((J12:U12="x")*(Besatzung!$F$11:$F$22="x"))),1))))),0))))</f>
        <v/>
      </c>
      <c r="AB12" s="247">
        <f>IF(C12="Gutschrift","",IF(G12="","",IF(Besatzung!$B$17="","",IFERROR(IF(I12="Zeitanteilig",(Besatzung!$G$17*(G12-IFERROR(H12,0))+((Besatzung!$B$17&lt;&gt;"")*IF(B12="",1,(IF(Besatzung!$C$17="",Besatzung!$B$5,Besatzung!$C$17)&lt;=B12)*(IF(Besatzung!$D$17="",Besatzung!$B$6,Besatzung!$D$17)&gt;=B12)))*(Besatzung!$F$17="x")*IFERROR(H12,0)/IFERROR(SUMPRODUCT((Besatzung!$B$11:$B$22&lt;&gt;"")*(Besatzung!$F$11:$F$22="x")*(IF(Besatzung!$C$11:$C$22="",Besatzung!$B$5,Besatzung!$C$11:$C$22)&lt;=B12)*(IF(Besatzung!$D$11:$D$22="",Besatzung!$B$6,Besatzung!$D$11:$D$22)&gt;=B12)),1)),IF(I12="An Bord",(((Besatzung!$B$17&lt;&gt;"")*IF(B12="",1,(IF(Besatzung!$C$17="",Besatzung!$B$5,Besatzung!$C$17)&lt;=B12)*(IF(Besatzung!$D$17="",Besatzung!$B$6,Besatzung!$D$17)&gt;=B12)))*((G12-IFERROR(H12,0))/IFERROR(SUMPRODUCT((Besatzung!$B$11:$B$22&lt;&gt;"")*(IF(Besatzung!$C$11:$C$22="",Besatzung!$B$5,Besatzung!$C$11:$C$22)&lt;=B12)*(IF(Besatzung!$D$11:$D$22="",Besatzung!$B$6,Besatzung!$D$11:$D$22)&gt;=B12)),1)+(Besatzung!$F$17="x")*IFERROR(H12,0)/IFERROR(SUMPRODUCT((Besatzung!$B$11:$B$22&lt;&gt;"")*(Besatzung!$F$11:$F$22="x")*(IF(Besatzung!$C$11:$C$22="",Besatzung!$B$5,Besatzung!$C$11:$C$22)&lt;=B12)*(IF(Besatzung!$D$11:$D$22="",Besatzung!$B$6,Besatzung!$D$11:$D$22)&gt;=B12)),1))),IF(I12="Individuell",((P12="x")*((G12-IFERROR(H12,0))/IFERROR(COUNTIF(J12:U12,"x"),1)+(Besatzung!$F$17="x")*IFERROR(H12,0)/IFERROR(SUMPRODUCT((J12:U12="x")*(Besatzung!$F$11:$F$22="x")),1))),(IF(COUNTIF(J12:U12,"x")=0,IF(Besatzung!$B$17&lt;&gt;"",1,0),(P12="x"))*(G12-IFERROR(H12,0))/IFERROR(IF(COUNTIF(J12:U12,"x")=0,COUNTA(Besatzung!$B$11:$B$22),COUNTIF(J12:U12,"x")),1)+IF(COUNTIF(J12:U12,"x")=0,(Besatzung!$F$17="x"),(P12="x")*(Besatzung!$F$17="x"))*IFERROR(H12,0)/IFERROR(IF(COUNTIF(J12:U12,"x")=0,SUMPRODUCT((Besatzung!$B$11:$B$22&lt;&gt;"")*(Besatzung!$F$11:$F$22="x")),SUMPRODUCT((J12:U12="x")*(Besatzung!$F$11:$F$22="x"))),1))))),0))))</f>
        <v/>
      </c>
      <c r="AC12" s="247">
        <f>IF(C12="Gutschrift","",IF(G12="","",IF(Besatzung!$B$18="","",IFERROR(IF(I12="Zeitanteilig",(Besatzung!$G$18*(G12-IFERROR(H12,0))+((Besatzung!$B$18&lt;&gt;"")*IF(B12="",1,(IF(Besatzung!$C$18="",Besatzung!$B$5,Besatzung!$C$18)&lt;=B12)*(IF(Besatzung!$D$18="",Besatzung!$B$6,Besatzung!$D$18)&gt;=B12)))*(Besatzung!$F$18="x")*IFERROR(H12,0)/IFERROR(SUMPRODUCT((Besatzung!$B$11:$B$22&lt;&gt;"")*(Besatzung!$F$11:$F$22="x")*(IF(Besatzung!$C$11:$C$22="",Besatzung!$B$5,Besatzung!$C$11:$C$22)&lt;=B12)*(IF(Besatzung!$D$11:$D$22="",Besatzung!$B$6,Besatzung!$D$11:$D$22)&gt;=B12)),1)),IF(I12="An Bord",(((Besatzung!$B$18&lt;&gt;"")*IF(B12="",1,(IF(Besatzung!$C$18="",Besatzung!$B$5,Besatzung!$C$18)&lt;=B12)*(IF(Besatzung!$D$18="",Besatzung!$B$6,Besatzung!$D$18)&gt;=B12)))*((G12-IFERROR(H12,0))/IFERROR(SUMPRODUCT((Besatzung!$B$11:$B$22&lt;&gt;"")*(IF(Besatzung!$C$11:$C$22="",Besatzung!$B$5,Besatzung!$C$11:$C$22)&lt;=B12)*(IF(Besatzung!$D$11:$D$22="",Besatzung!$B$6,Besatzung!$D$11:$D$22)&gt;=B12)),1)+(Besatzung!$F$18="x")*IFERROR(H12,0)/IFERROR(SUMPRODUCT((Besatzung!$B$11:$B$22&lt;&gt;"")*(Besatzung!$F$11:$F$22="x")*(IF(Besatzung!$C$11:$C$22="",Besatzung!$B$5,Besatzung!$C$11:$C$22)&lt;=B12)*(IF(Besatzung!$D$11:$D$22="",Besatzung!$B$6,Besatzung!$D$11:$D$22)&gt;=B12)),1))),IF(I12="Individuell",((Q12="x")*((G12-IFERROR(H12,0))/IFERROR(COUNTIF(J12:U12,"x"),1)+(Besatzung!$F$18="x")*IFERROR(H12,0)/IFERROR(SUMPRODUCT((J12:U12="x")*(Besatzung!$F$11:$F$22="x")),1))),(IF(COUNTIF(J12:U12,"x")=0,IF(Besatzung!$B$18&lt;&gt;"",1,0),(Q12="x"))*(G12-IFERROR(H12,0))/IFERROR(IF(COUNTIF(J12:U12,"x")=0,COUNTA(Besatzung!$B$11:$B$22),COUNTIF(J12:U12,"x")),1)+IF(COUNTIF(J12:U12,"x")=0,(Besatzung!$F$18="x"),(Q12="x")*(Besatzung!$F$18="x"))*IFERROR(H12,0)/IFERROR(IF(COUNTIF(J12:U12,"x")=0,SUMPRODUCT((Besatzung!$B$11:$B$22&lt;&gt;"")*(Besatzung!$F$11:$F$22="x")),SUMPRODUCT((J12:U12="x")*(Besatzung!$F$11:$F$22="x"))),1))))),0))))</f>
        <v/>
      </c>
      <c r="AD12" s="247">
        <f>IF(C12="Gutschrift","",IF(G12="","",IF(Besatzung!$B$19="","",IFERROR(IF(I12="Zeitanteilig",(Besatzung!$G$19*(G12-IFERROR(H12,0))+((Besatzung!$B$19&lt;&gt;"")*IF(B12="",1,(IF(Besatzung!$C$19="",Besatzung!$B$5,Besatzung!$C$19)&lt;=B12)*(IF(Besatzung!$D$19="",Besatzung!$B$6,Besatzung!$D$19)&gt;=B12)))*(Besatzung!$F$19="x")*IFERROR(H12,0)/IFERROR(SUMPRODUCT((Besatzung!$B$11:$B$22&lt;&gt;"")*(Besatzung!$F$11:$F$22="x")*(IF(Besatzung!$C$11:$C$22="",Besatzung!$B$5,Besatzung!$C$11:$C$22)&lt;=B12)*(IF(Besatzung!$D$11:$D$22="",Besatzung!$B$6,Besatzung!$D$11:$D$22)&gt;=B12)),1)),IF(I12="An Bord",(((Besatzung!$B$19&lt;&gt;"")*IF(B12="",1,(IF(Besatzung!$C$19="",Besatzung!$B$5,Besatzung!$C$19)&lt;=B12)*(IF(Besatzung!$D$19="",Besatzung!$B$6,Besatzung!$D$19)&gt;=B12)))*((G12-IFERROR(H12,0))/IFERROR(SUMPRODUCT((Besatzung!$B$11:$B$22&lt;&gt;"")*(IF(Besatzung!$C$11:$C$22="",Besatzung!$B$5,Besatzung!$C$11:$C$22)&lt;=B12)*(IF(Besatzung!$D$11:$D$22="",Besatzung!$B$6,Besatzung!$D$11:$D$22)&gt;=B12)),1)+(Besatzung!$F$19="x")*IFERROR(H12,0)/IFERROR(SUMPRODUCT((Besatzung!$B$11:$B$22&lt;&gt;"")*(Besatzung!$F$11:$F$22="x")*(IF(Besatzung!$C$11:$C$22="",Besatzung!$B$5,Besatzung!$C$11:$C$22)&lt;=B12)*(IF(Besatzung!$D$11:$D$22="",Besatzung!$B$6,Besatzung!$D$11:$D$22)&gt;=B12)),1))),IF(I12="Individuell",((R12="x")*((G12-IFERROR(H12,0))/IFERROR(COUNTIF(J12:U12,"x"),1)+(Besatzung!$F$19="x")*IFERROR(H12,0)/IFERROR(SUMPRODUCT((J12:U12="x")*(Besatzung!$F$11:$F$22="x")),1))),(IF(COUNTIF(J12:U12,"x")=0,IF(Besatzung!$B$19&lt;&gt;"",1,0),(R12="x"))*(G12-IFERROR(H12,0))/IFERROR(IF(COUNTIF(J12:U12,"x")=0,COUNTA(Besatzung!$B$11:$B$22),COUNTIF(J12:U12,"x")),1)+IF(COUNTIF(J12:U12,"x")=0,(Besatzung!$F$19="x"),(R12="x")*(Besatzung!$F$19="x"))*IFERROR(H12,0)/IFERROR(IF(COUNTIF(J12:U12,"x")=0,SUMPRODUCT((Besatzung!$B$11:$B$22&lt;&gt;"")*(Besatzung!$F$11:$F$22="x")),SUMPRODUCT((J12:U12="x")*(Besatzung!$F$11:$F$22="x"))),1))))),0))))</f>
        <v/>
      </c>
      <c r="AE12" s="247">
        <f>IF(C12="Gutschrift","",IF(G12="","",IF(Besatzung!$B$20="","",IFERROR(IF(I12="Zeitanteilig",(Besatzung!$G$20*(G12-IFERROR(H12,0))+((Besatzung!$B$20&lt;&gt;"")*IF(B12="",1,(IF(Besatzung!$C$20="",Besatzung!$B$5,Besatzung!$C$20)&lt;=B12)*(IF(Besatzung!$D$20="",Besatzung!$B$6,Besatzung!$D$20)&gt;=B12)))*(Besatzung!$F$20="x")*IFERROR(H12,0)/IFERROR(SUMPRODUCT((Besatzung!$B$11:$B$22&lt;&gt;"")*(Besatzung!$F$11:$F$22="x")*(IF(Besatzung!$C$11:$C$22="",Besatzung!$B$5,Besatzung!$C$11:$C$22)&lt;=B12)*(IF(Besatzung!$D$11:$D$22="",Besatzung!$B$6,Besatzung!$D$11:$D$22)&gt;=B12)),1)),IF(I12="An Bord",(((Besatzung!$B$20&lt;&gt;"")*IF(B12="",1,(IF(Besatzung!$C$20="",Besatzung!$B$5,Besatzung!$C$20)&lt;=B12)*(IF(Besatzung!$D$20="",Besatzung!$B$6,Besatzung!$D$20)&gt;=B12)))*((G12-IFERROR(H12,0))/IFERROR(SUMPRODUCT((Besatzung!$B$11:$B$22&lt;&gt;"")*(IF(Besatzung!$C$11:$C$22="",Besatzung!$B$5,Besatzung!$C$11:$C$22)&lt;=B12)*(IF(Besatzung!$D$11:$D$22="",Besatzung!$B$6,Besatzung!$D$11:$D$22)&gt;=B12)),1)+(Besatzung!$F$20="x")*IFERROR(H12,0)/IFERROR(SUMPRODUCT((Besatzung!$B$11:$B$22&lt;&gt;"")*(Besatzung!$F$11:$F$22="x")*(IF(Besatzung!$C$11:$C$22="",Besatzung!$B$5,Besatzung!$C$11:$C$22)&lt;=B12)*(IF(Besatzung!$D$11:$D$22="",Besatzung!$B$6,Besatzung!$D$11:$D$22)&gt;=B12)),1))),IF(I12="Individuell",((S12="x")*((G12-IFERROR(H12,0))/IFERROR(COUNTIF(J12:U12,"x"),1)+(Besatzung!$F$20="x")*IFERROR(H12,0)/IFERROR(SUMPRODUCT((J12:U12="x")*(Besatzung!$F$11:$F$22="x")),1))),(IF(COUNTIF(J12:U12,"x")=0,IF(Besatzung!$B$20&lt;&gt;"",1,0),(S12="x"))*(G12-IFERROR(H12,0))/IFERROR(IF(COUNTIF(J12:U12,"x")=0,COUNTA(Besatzung!$B$11:$B$22),COUNTIF(J12:U12,"x")),1)+IF(COUNTIF(J12:U12,"x")=0,(Besatzung!$F$20="x"),(S12="x")*(Besatzung!$F$20="x"))*IFERROR(H12,0)/IFERROR(IF(COUNTIF(J12:U12,"x")=0,SUMPRODUCT((Besatzung!$B$11:$B$22&lt;&gt;"")*(Besatzung!$F$11:$F$22="x")),SUMPRODUCT((J12:U12="x")*(Besatzung!$F$11:$F$22="x"))),1))))),0))))</f>
        <v/>
      </c>
      <c r="AF12" s="247">
        <f>IF(C12="Gutschrift","",IF(G12="","",IF(Besatzung!$B$21="","",IFERROR(IF(I12="Zeitanteilig",(Besatzung!$G$21*(G12-IFERROR(H12,0))+((Besatzung!$B$21&lt;&gt;"")*IF(B12="",1,(IF(Besatzung!$C$21="",Besatzung!$B$5,Besatzung!$C$21)&lt;=B12)*(IF(Besatzung!$D$21="",Besatzung!$B$6,Besatzung!$D$21)&gt;=B12)))*(Besatzung!$F$21="x")*IFERROR(H12,0)/IFERROR(SUMPRODUCT((Besatzung!$B$11:$B$22&lt;&gt;"")*(Besatzung!$F$11:$F$22="x")*(IF(Besatzung!$C$11:$C$22="",Besatzung!$B$5,Besatzung!$C$11:$C$22)&lt;=B12)*(IF(Besatzung!$D$11:$D$22="",Besatzung!$B$6,Besatzung!$D$11:$D$22)&gt;=B12)),1)),IF(I12="An Bord",(((Besatzung!$B$21&lt;&gt;"")*IF(B12="",1,(IF(Besatzung!$C$21="",Besatzung!$B$5,Besatzung!$C$21)&lt;=B12)*(IF(Besatzung!$D$21="",Besatzung!$B$6,Besatzung!$D$21)&gt;=B12)))*((G12-IFERROR(H12,0))/IFERROR(SUMPRODUCT((Besatzung!$B$11:$B$22&lt;&gt;"")*(IF(Besatzung!$C$11:$C$22="",Besatzung!$B$5,Besatzung!$C$11:$C$22)&lt;=B12)*(IF(Besatzung!$D$11:$D$22="",Besatzung!$B$6,Besatzung!$D$11:$D$22)&gt;=B12)),1)+(Besatzung!$F$21="x")*IFERROR(H12,0)/IFERROR(SUMPRODUCT((Besatzung!$B$11:$B$22&lt;&gt;"")*(Besatzung!$F$11:$F$22="x")*(IF(Besatzung!$C$11:$C$22="",Besatzung!$B$5,Besatzung!$C$11:$C$22)&lt;=B12)*(IF(Besatzung!$D$11:$D$22="",Besatzung!$B$6,Besatzung!$D$11:$D$22)&gt;=B12)),1))),IF(I12="Individuell",((T12="x")*((G12-IFERROR(H12,0))/IFERROR(COUNTIF(J12:U12,"x"),1)+(Besatzung!$F$21="x")*IFERROR(H12,0)/IFERROR(SUMPRODUCT((J12:U12="x")*(Besatzung!$F$11:$F$22="x")),1))),(IF(COUNTIF(J12:U12,"x")=0,IF(Besatzung!$B$21&lt;&gt;"",1,0),(T12="x"))*(G12-IFERROR(H12,0))/IFERROR(IF(COUNTIF(J12:U12,"x")=0,COUNTA(Besatzung!$B$11:$B$22),COUNTIF(J12:U12,"x")),1)+IF(COUNTIF(J12:U12,"x")=0,(Besatzung!$F$21="x"),(T12="x")*(Besatzung!$F$21="x"))*IFERROR(H12,0)/IFERROR(IF(COUNTIF(J12:U12,"x")=0,SUMPRODUCT((Besatzung!$B$11:$B$22&lt;&gt;"")*(Besatzung!$F$11:$F$22="x")),SUMPRODUCT((J12:U12="x")*(Besatzung!$F$11:$F$22="x"))),1))))),0))))</f>
        <v/>
      </c>
      <c r="AG12" s="247">
        <f>IF(C12="Gutschrift","",IF(G12="","",IF(Besatzung!$B$22="","",IFERROR(IF(I12="Zeitanteilig",(Besatzung!$G$22*(G12-IFERROR(H12,0))+((Besatzung!$B$22&lt;&gt;"")*IF(B12="",1,(IF(Besatzung!$C$22="",Besatzung!$B$5,Besatzung!$C$22)&lt;=B12)*(IF(Besatzung!$D$22="",Besatzung!$B$6,Besatzung!$D$22)&gt;=B12)))*(Besatzung!$F$22="x")*IFERROR(H12,0)/IFERROR(SUMPRODUCT((Besatzung!$B$11:$B$22&lt;&gt;"")*(Besatzung!$F$11:$F$22="x")*(IF(Besatzung!$C$11:$C$22="",Besatzung!$B$5,Besatzung!$C$11:$C$22)&lt;=B12)*(IF(Besatzung!$D$11:$D$22="",Besatzung!$B$6,Besatzung!$D$11:$D$22)&gt;=B12)),1)),IF(I12="An Bord",(((Besatzung!$B$22&lt;&gt;"")*IF(B12="",1,(IF(Besatzung!$C$22="",Besatzung!$B$5,Besatzung!$C$22)&lt;=B12)*(IF(Besatzung!$D$22="",Besatzung!$B$6,Besatzung!$D$22)&gt;=B12)))*((G12-IFERROR(H12,0))/IFERROR(SUMPRODUCT((Besatzung!$B$11:$B$22&lt;&gt;"")*(IF(Besatzung!$C$11:$C$22="",Besatzung!$B$5,Besatzung!$C$11:$C$22)&lt;=B12)*(IF(Besatzung!$D$11:$D$22="",Besatzung!$B$6,Besatzung!$D$11:$D$22)&gt;=B12)),1)+(Besatzung!$F$22="x")*IFERROR(H12,0)/IFERROR(SUMPRODUCT((Besatzung!$B$11:$B$22&lt;&gt;"")*(Besatzung!$F$11:$F$22="x")*(IF(Besatzung!$C$11:$C$22="",Besatzung!$B$5,Besatzung!$C$11:$C$22)&lt;=B12)*(IF(Besatzung!$D$11:$D$22="",Besatzung!$B$6,Besatzung!$D$11:$D$22)&gt;=B12)),1))),IF(I12="Individuell",((U12="x")*((G12-IFERROR(H12,0))/IFERROR(COUNTIF(J12:U12,"x"),1)+(Besatzung!$F$22="x")*IFERROR(H12,0)/IFERROR(SUMPRODUCT((J12:U12="x")*(Besatzung!$F$11:$F$22="x")),1))),(IF(COUNTIF(J12:U12,"x")=0,IF(Besatzung!$B$22&lt;&gt;"",1,0),(U12="x"))*(G12-IFERROR(H12,0))/IFERROR(IF(COUNTIF(J12:U12,"x")=0,COUNTA(Besatzung!$B$11:$B$22),COUNTIF(J12:U12,"x")),1)+IF(COUNTIF(J12:U12,"x")=0,(Besatzung!$F$22="x"),(U12="x")*(Besatzung!$F$22="x"))*IFERROR(H12,0)/IFERROR(IF(COUNTIF(J12:U12,"x")=0,SUMPRODUCT((Besatzung!$B$11:$B$22&lt;&gt;"")*(Besatzung!$F$11:$F$22="x")),SUMPRODUCT((J12:U12="x")*(Besatzung!$F$11:$F$22="x"))),1))))),0))))</f>
        <v/>
      </c>
      <c r="AH12" s="248" t="n"/>
      <c r="AI12" s="248" t="n"/>
    </row>
    <row r="13" ht="21.75" customHeight="1" s="154">
      <c r="A13" s="238">
        <f>IF(AND(D13="",C13=""),"",10)</f>
        <v/>
      </c>
      <c r="B13" s="206" t="n"/>
      <c r="C13" s="249" t="n"/>
      <c r="D13" s="250" t="n"/>
      <c r="E13" s="251" t="n"/>
      <c r="F13" s="252" t="n"/>
      <c r="G13" s="253" t="n"/>
      <c r="H13" s="254" t="n"/>
      <c r="I13" s="255" t="n"/>
      <c r="J13" s="256" t="n"/>
      <c r="K13" s="256" t="n"/>
      <c r="L13" s="256" t="n"/>
      <c r="M13" s="256" t="n"/>
      <c r="N13" s="256" t="n"/>
      <c r="O13" s="256" t="n"/>
      <c r="P13" s="256" t="n"/>
      <c r="Q13" s="256" t="n"/>
      <c r="R13" s="256" t="n"/>
      <c r="S13" s="256" t="n"/>
      <c r="T13" s="256" t="n"/>
      <c r="U13" s="256" t="n"/>
      <c r="V13" s="247">
        <f>IF(C13="Gutschrift","",IF(G13="","",IF(Besatzung!$B$11="","",IFERROR(IF(I13="Zeitanteilig",(Besatzung!$G$11*(G13-IFERROR(H13,0))+((Besatzung!$B$11&lt;&gt;"")*IF(B13="",1,(IF(Besatzung!$C$11="",Besatzung!$B$5,Besatzung!$C$11)&lt;=B13)*(IF(Besatzung!$D$11="",Besatzung!$B$6,Besatzung!$D$11)&gt;=B13)))*(Besatzung!$F$11="x")*IFERROR(H13,0)/IFERROR(SUMPRODUCT((Besatzung!$B$11:$B$22&lt;&gt;"")*(Besatzung!$F$11:$F$22="x")*(IF(Besatzung!$C$11:$C$22="",Besatzung!$B$5,Besatzung!$C$11:$C$22)&lt;=B13)*(IF(Besatzung!$D$11:$D$22="",Besatzung!$B$6,Besatzung!$D$11:$D$22)&gt;=B13)),1)),IF(I13="An Bord",(((Besatzung!$B$11&lt;&gt;"")*IF(B13="",1,(IF(Besatzung!$C$11="",Besatzung!$B$5,Besatzung!$C$11)&lt;=B13)*(IF(Besatzung!$D$11="",Besatzung!$B$6,Besatzung!$D$11)&gt;=B13)))*((G13-IFERROR(H13,0))/IFERROR(SUMPRODUCT((Besatzung!$B$11:$B$22&lt;&gt;"")*(IF(Besatzung!$C$11:$C$22="",Besatzung!$B$5,Besatzung!$C$11:$C$22)&lt;=B13)*(IF(Besatzung!$D$11:$D$22="",Besatzung!$B$6,Besatzung!$D$11:$D$22)&gt;=B13)),1)+(Besatzung!$F$11="x")*IFERROR(H13,0)/IFERROR(SUMPRODUCT((Besatzung!$B$11:$B$22&lt;&gt;"")*(Besatzung!$F$11:$F$22="x")*(IF(Besatzung!$C$11:$C$22="",Besatzung!$B$5,Besatzung!$C$11:$C$22)&lt;=B13)*(IF(Besatzung!$D$11:$D$22="",Besatzung!$B$6,Besatzung!$D$11:$D$22)&gt;=B13)),1))),IF(I13="Individuell",((J13="x")*((G13-IFERROR(H13,0))/IFERROR(COUNTIF(J13:U13,"x"),1)+(Besatzung!$F$11="x")*IFERROR(H13,0)/IFERROR(SUMPRODUCT((J13:U13="x")*(Besatzung!$F$11:$F$22="x")),1))),(IF(COUNTIF(J13:U13,"x")=0,IF(Besatzung!$B$11&lt;&gt;"",1,0),(J13="x"))*(G13-IFERROR(H13,0))/IFERROR(IF(COUNTIF(J13:U13,"x")=0,COUNTA(Besatzung!$B$11:$B$22),COUNTIF(J13:U13,"x")),1)+IF(COUNTIF(J13:U13,"x")=0,(Besatzung!$F$11="x"),(J13="x")*(Besatzung!$F$11="x"))*IFERROR(H13,0)/IFERROR(IF(COUNTIF(J13:U13,"x")=0,SUMPRODUCT((Besatzung!$B$11:$B$22&lt;&gt;"")*(Besatzung!$F$11:$F$22="x")),SUMPRODUCT((J13:U13="x")*(Besatzung!$F$11:$F$22="x"))),1))))),0))))</f>
        <v/>
      </c>
      <c r="W13" s="247">
        <f>IF(C13="Gutschrift","",IF(G13="","",IF(Besatzung!$B$12="","",IFERROR(IF(I13="Zeitanteilig",(Besatzung!$G$12*(G13-IFERROR(H13,0))+((Besatzung!$B$12&lt;&gt;"")*IF(B13="",1,(IF(Besatzung!$C$12="",Besatzung!$B$5,Besatzung!$C$12)&lt;=B13)*(IF(Besatzung!$D$12="",Besatzung!$B$6,Besatzung!$D$12)&gt;=B13)))*(Besatzung!$F$12="x")*IFERROR(H13,0)/IFERROR(SUMPRODUCT((Besatzung!$B$11:$B$22&lt;&gt;"")*(Besatzung!$F$11:$F$22="x")*(IF(Besatzung!$C$11:$C$22="",Besatzung!$B$5,Besatzung!$C$11:$C$22)&lt;=B13)*(IF(Besatzung!$D$11:$D$22="",Besatzung!$B$6,Besatzung!$D$11:$D$22)&gt;=B13)),1)),IF(I13="An Bord",(((Besatzung!$B$12&lt;&gt;"")*IF(B13="",1,(IF(Besatzung!$C$12="",Besatzung!$B$5,Besatzung!$C$12)&lt;=B13)*(IF(Besatzung!$D$12="",Besatzung!$B$6,Besatzung!$D$12)&gt;=B13)))*((G13-IFERROR(H13,0))/IFERROR(SUMPRODUCT((Besatzung!$B$11:$B$22&lt;&gt;"")*(IF(Besatzung!$C$11:$C$22="",Besatzung!$B$5,Besatzung!$C$11:$C$22)&lt;=B13)*(IF(Besatzung!$D$11:$D$22="",Besatzung!$B$6,Besatzung!$D$11:$D$22)&gt;=B13)),1)+(Besatzung!$F$12="x")*IFERROR(H13,0)/IFERROR(SUMPRODUCT((Besatzung!$B$11:$B$22&lt;&gt;"")*(Besatzung!$F$11:$F$22="x")*(IF(Besatzung!$C$11:$C$22="",Besatzung!$B$5,Besatzung!$C$11:$C$22)&lt;=B13)*(IF(Besatzung!$D$11:$D$22="",Besatzung!$B$6,Besatzung!$D$11:$D$22)&gt;=B13)),1))),IF(I13="Individuell",((K13="x")*((G13-IFERROR(H13,0))/IFERROR(COUNTIF(J13:U13,"x"),1)+(Besatzung!$F$12="x")*IFERROR(H13,0)/IFERROR(SUMPRODUCT((J13:U13="x")*(Besatzung!$F$11:$F$22="x")),1))),(IF(COUNTIF(J13:U13,"x")=0,IF(Besatzung!$B$12&lt;&gt;"",1,0),(K13="x"))*(G13-IFERROR(H13,0))/IFERROR(IF(COUNTIF(J13:U13,"x")=0,COUNTA(Besatzung!$B$11:$B$22),COUNTIF(J13:U13,"x")),1)+IF(COUNTIF(J13:U13,"x")=0,(Besatzung!$F$12="x"),(K13="x")*(Besatzung!$F$12="x"))*IFERROR(H13,0)/IFERROR(IF(COUNTIF(J13:U13,"x")=0,SUMPRODUCT((Besatzung!$B$11:$B$22&lt;&gt;"")*(Besatzung!$F$11:$F$22="x")),SUMPRODUCT((J13:U13="x")*(Besatzung!$F$11:$F$22="x"))),1))))),0))))</f>
        <v/>
      </c>
      <c r="X13" s="247">
        <f>IF(C13="Gutschrift","",IF(G13="","",IF(Besatzung!$B$13="","",IFERROR(IF(I13="Zeitanteilig",(Besatzung!$G$13*(G13-IFERROR(H13,0))+((Besatzung!$B$13&lt;&gt;"")*IF(B13="",1,(IF(Besatzung!$C$13="",Besatzung!$B$5,Besatzung!$C$13)&lt;=B13)*(IF(Besatzung!$D$13="",Besatzung!$B$6,Besatzung!$D$13)&gt;=B13)))*(Besatzung!$F$13="x")*IFERROR(H13,0)/IFERROR(SUMPRODUCT((Besatzung!$B$11:$B$22&lt;&gt;"")*(Besatzung!$F$11:$F$22="x")*(IF(Besatzung!$C$11:$C$22="",Besatzung!$B$5,Besatzung!$C$11:$C$22)&lt;=B13)*(IF(Besatzung!$D$11:$D$22="",Besatzung!$B$6,Besatzung!$D$11:$D$22)&gt;=B13)),1)),IF(I13="An Bord",(((Besatzung!$B$13&lt;&gt;"")*IF(B13="",1,(IF(Besatzung!$C$13="",Besatzung!$B$5,Besatzung!$C$13)&lt;=B13)*(IF(Besatzung!$D$13="",Besatzung!$B$6,Besatzung!$D$13)&gt;=B13)))*((G13-IFERROR(H13,0))/IFERROR(SUMPRODUCT((Besatzung!$B$11:$B$22&lt;&gt;"")*(IF(Besatzung!$C$11:$C$22="",Besatzung!$B$5,Besatzung!$C$11:$C$22)&lt;=B13)*(IF(Besatzung!$D$11:$D$22="",Besatzung!$B$6,Besatzung!$D$11:$D$22)&gt;=B13)),1)+(Besatzung!$F$13="x")*IFERROR(H13,0)/IFERROR(SUMPRODUCT((Besatzung!$B$11:$B$22&lt;&gt;"")*(Besatzung!$F$11:$F$22="x")*(IF(Besatzung!$C$11:$C$22="",Besatzung!$B$5,Besatzung!$C$11:$C$22)&lt;=B13)*(IF(Besatzung!$D$11:$D$22="",Besatzung!$B$6,Besatzung!$D$11:$D$22)&gt;=B13)),1))),IF(I13="Individuell",((K13="x")*((G13-IFERROR(H13,0))/IFERROR(COUNTIF(J13:U13,"x"),1)+(Besatzung!$F$13="x")*IFERROR(H13,0)/IFERROR(SUMPRODUCT((J13:U13="x")*(Besatzung!$F$11:$F$22="x")),1))),(IF(COUNTIF(J13:U13,"x")=0,IF(Besatzung!$B$13&lt;&gt;"",1,0),(K13="x"))*(G13-IFERROR(H13,0))/IFERROR(IF(COUNTIF(J13:U13,"x")=0,COUNTA(Besatzung!$B$11:$B$22),COUNTIF(J13:U13,"x")),1)+IF(COUNTIF(J13:U13,"x")=0,(Besatzung!$F$13="x"),(K13="x")*(Besatzung!$F$13="x"))*IFERROR(H13,0)/IFERROR(IF(COUNTIF(J13:U13,"x")=0,SUMPRODUCT((Besatzung!$B$11:$B$22&lt;&gt;"")*(Besatzung!$F$11:$F$22="x")),SUMPRODUCT((J13:U13="x")*(Besatzung!$F$11:$F$22="x"))),1))))),0))))</f>
        <v/>
      </c>
      <c r="Y13" s="247">
        <f>IF(C13="Gutschrift","",IF(G13="","",IF(Besatzung!$B$14="","",IFERROR(IF(I13="Zeitanteilig",(Besatzung!$G$14*(G13-IFERROR(H13,0))+((Besatzung!$B$14&lt;&gt;"")*IF(B13="",1,(IF(Besatzung!$C$14="",Besatzung!$B$5,Besatzung!$C$14)&lt;=B13)*(IF(Besatzung!$D$14="",Besatzung!$B$6,Besatzung!$D$14)&gt;=B13)))*(Besatzung!$F$14="x")*IFERROR(H13,0)/IFERROR(SUMPRODUCT((Besatzung!$B$11:$B$22&lt;&gt;"")*(Besatzung!$F$11:$F$22="x")*(IF(Besatzung!$C$11:$C$22="",Besatzung!$B$5,Besatzung!$C$11:$C$22)&lt;=B13)*(IF(Besatzung!$D$11:$D$22="",Besatzung!$B$6,Besatzung!$D$11:$D$22)&gt;=B13)),1)),IF(I13="An Bord",(((Besatzung!$B$14&lt;&gt;"")*IF(B13="",1,(IF(Besatzung!$C$14="",Besatzung!$B$5,Besatzung!$C$14)&lt;=B13)*(IF(Besatzung!$D$14="",Besatzung!$B$6,Besatzung!$D$14)&gt;=B13)))*((G13-IFERROR(H13,0))/IFERROR(SUMPRODUCT((Besatzung!$B$11:$B$22&lt;&gt;"")*(IF(Besatzung!$C$11:$C$22="",Besatzung!$B$5,Besatzung!$C$11:$C$22)&lt;=B13)*(IF(Besatzung!$D$11:$D$22="",Besatzung!$B$6,Besatzung!$D$11:$D$22)&gt;=B13)),1)+(Besatzung!$F$14="x")*IFERROR(H13,0)/IFERROR(SUMPRODUCT((Besatzung!$B$11:$B$22&lt;&gt;"")*(Besatzung!$F$11:$F$22="x")*(IF(Besatzung!$C$11:$C$22="",Besatzung!$B$5,Besatzung!$C$11:$C$22)&lt;=B13)*(IF(Besatzung!$D$11:$D$22="",Besatzung!$B$6,Besatzung!$D$11:$D$22)&gt;=B13)),1))),IF(I13="Individuell",((M13="x")*((G13-IFERROR(H13,0))/IFERROR(COUNTIF(J13:U13,"x"),1)+(Besatzung!$F$14="x")*IFERROR(H13,0)/IFERROR(SUMPRODUCT((J13:U13="x")*(Besatzung!$F$11:$F$22="x")),1))),(IF(COUNTIF(J13:U13,"x")=0,IF(Besatzung!$B$14&lt;&gt;"",1,0),(M13="x"))*(G13-IFERROR(H13,0))/IFERROR(IF(COUNTIF(J13:U13,"x")=0,COUNTA(Besatzung!$B$11:$B$22),COUNTIF(J13:U13,"x")),1)+IF(COUNTIF(J13:U13,"x")=0,(Besatzung!$F$14="x"),(M13="x")*(Besatzung!$F$14="x"))*IFERROR(H13,0)/IFERROR(IF(COUNTIF(J13:U13,"x")=0,SUMPRODUCT((Besatzung!$B$11:$B$22&lt;&gt;"")*(Besatzung!$F$11:$F$22="x")),SUMPRODUCT((J13:U13="x")*(Besatzung!$F$11:$F$22="x"))),1))))),0))))</f>
        <v/>
      </c>
      <c r="Z13" s="247">
        <f>IF(C13="Gutschrift","",IF(G13="","",IF(Besatzung!$B$13="","",IFERROR(IF(I13="Zeitanteilig",(Besatzung!$G$15*(G13-IFERROR(H13,0))+((Besatzung!$B$13&lt;&gt;"")*IF(B13="",1,(IF(Besatzung!$C$15="",Besatzung!$B$5,Besatzung!$C$15)&lt;=B13)*(IF(Besatzung!$D$15="",Besatzung!$B$6,Besatzung!$D$15)&gt;=B13)))*(Besatzung!$F$15="x")*IFERROR(H13,0)/IFERROR(SUMPRODUCT((Besatzung!$B$11:$B$22&lt;&gt;"")*(Besatzung!$F$11:$F$22="x")*(IF(Besatzung!$C$11:$C$22="",Besatzung!$B$5,Besatzung!$C$11:$C$22)&lt;=B13)*(IF(Besatzung!$D$11:$D$22="",Besatzung!$B$6,Besatzung!$D$11:$D$22)&gt;=B13)),1)),IF(I13="An Bord",(((Besatzung!$B$13&lt;&gt;"")*IF(B13="",1,(IF(Besatzung!$C$15="",Besatzung!$B$5,Besatzung!$C$15)&lt;=B13)*(IF(Besatzung!$D$15="",Besatzung!$B$6,Besatzung!$D$15)&gt;=B13)))*((G13-IFERROR(H13,0))/IFERROR(SUMPRODUCT((Besatzung!$B$11:$B$22&lt;&gt;"")*(IF(Besatzung!$C$11:$C$22="",Besatzung!$B$5,Besatzung!$C$11:$C$22)&lt;=B13)*(IF(Besatzung!$D$11:$D$22="",Besatzung!$B$6,Besatzung!$D$11:$D$22)&gt;=B13)),1)+(Besatzung!$F$15="x")*IFERROR(H13,0)/IFERROR(SUMPRODUCT((Besatzung!$B$11:$B$22&lt;&gt;"")*(Besatzung!$F$11:$F$22="x")*(IF(Besatzung!$C$11:$C$22="",Besatzung!$B$5,Besatzung!$C$11:$C$22)&lt;=B13)*(IF(Besatzung!$D$11:$D$22="",Besatzung!$B$6,Besatzung!$D$11:$D$22)&gt;=B13)),1))),IF(I13="Individuell",((N13="x")*((G13-IFERROR(H13,0))/IFERROR(COUNTIF(J13:U13,"x"),1)+(Besatzung!$F$15="x")*IFERROR(H13,0)/IFERROR(SUMPRODUCT((J13:U13="x")*(Besatzung!$F$11:$F$22="x")),1))),(IF(COUNTIF(J13:U13,"x")=0,IF(Besatzung!$B$13&lt;&gt;"",1,0),(N13="x"))*(G13-IFERROR(H13,0))/IFERROR(IF(COUNTIF(J13:U13,"x")=0,COUNTA(Besatzung!$B$11:$B$22),COUNTIF(J13:U13,"x")),1)+IF(COUNTIF(J13:U13,"x")=0,(Besatzung!$F$15="x"),(N13="x")*(Besatzung!$F$15="x"))*IFERROR(H13,0)/IFERROR(IF(COUNTIF(J13:U13,"x")=0,SUMPRODUCT((Besatzung!$B$11:$B$22&lt;&gt;"")*(Besatzung!$F$11:$F$22="x")),SUMPRODUCT((J13:U13="x")*(Besatzung!$F$11:$F$22="x"))),1))))),0))))</f>
        <v/>
      </c>
      <c r="AA13" s="247">
        <f>IF(C13="Gutschrift","",IF(G13="","",IF(Besatzung!$B$15="","",IFERROR(IF(I13="Zeitanteilig",(Besatzung!$G$16*(G13-IFERROR(H13,0))+((Besatzung!$B$15&lt;&gt;"")*IF(B13="",1,(IF(Besatzung!$C$16="",Besatzung!$B$5,Besatzung!$C$16)&lt;=B13)*(IF(Besatzung!$D$16="",Besatzung!$B$6,Besatzung!$D$16)&gt;=B13)))*(Besatzung!$F$16="x")*IFERROR(H13,0)/IFERROR(SUMPRODUCT((Besatzung!$B$11:$B$22&lt;&gt;"")*(Besatzung!$F$11:$F$22="x")*(IF(Besatzung!$C$11:$C$22="",Besatzung!$B$5,Besatzung!$C$11:$C$22)&lt;=B13)*(IF(Besatzung!$D$11:$D$22="",Besatzung!$B$6,Besatzung!$D$11:$D$22)&gt;=B13)),1)),IF(I13="An Bord",(((Besatzung!$B$15&lt;&gt;"")*IF(B13="",1,(IF(Besatzung!$C$16="",Besatzung!$B$5,Besatzung!$C$16)&lt;=B13)*(IF(Besatzung!$D$16="",Besatzung!$B$6,Besatzung!$D$16)&gt;=B13)))*((G13-IFERROR(H13,0))/IFERROR(SUMPRODUCT((Besatzung!$B$11:$B$22&lt;&gt;"")*(IF(Besatzung!$C$11:$C$22="",Besatzung!$B$5,Besatzung!$C$11:$C$22)&lt;=B13)*(IF(Besatzung!$D$11:$D$22="",Besatzung!$B$6,Besatzung!$D$11:$D$22)&gt;=B13)),1)+(Besatzung!$F$16="x")*IFERROR(H13,0)/IFERROR(SUMPRODUCT((Besatzung!$B$11:$B$22&lt;&gt;"")*(Besatzung!$F$11:$F$22="x")*(IF(Besatzung!$C$11:$C$22="",Besatzung!$B$5,Besatzung!$C$11:$C$22)&lt;=B13)*(IF(Besatzung!$D$11:$D$22="",Besatzung!$B$6,Besatzung!$D$11:$D$22)&gt;=B13)),1))),IF(I13="Individuell",((O13="x")*((G13-IFERROR(H13,0))/IFERROR(COUNTIF(J13:U13,"x"),1)+(Besatzung!$F$16="x")*IFERROR(H13,0)/IFERROR(SUMPRODUCT((J13:U13="x")*(Besatzung!$F$11:$F$22="x")),1))),(IF(COUNTIF(J13:U13,"x")=0,IF(Besatzung!$B$15&lt;&gt;"",1,0),(O13="x"))*(G13-IFERROR(H13,0))/IFERROR(IF(COUNTIF(J13:U13,"x")=0,COUNTA(Besatzung!$B$11:$B$22),COUNTIF(J13:U13,"x")),1)+IF(COUNTIF(J13:U13,"x")=0,(Besatzung!$F$16="x"),(O13="x")*(Besatzung!$F$16="x"))*IFERROR(H13,0)/IFERROR(IF(COUNTIF(J13:U13,"x")=0,SUMPRODUCT((Besatzung!$B$11:$B$22&lt;&gt;"")*(Besatzung!$F$11:$F$22="x")),SUMPRODUCT((J13:U13="x")*(Besatzung!$F$11:$F$22="x"))),1))))),0))))</f>
        <v/>
      </c>
      <c r="AB13" s="247">
        <f>IF(C13="Gutschrift","",IF(G13="","",IF(Besatzung!$B$17="","",IFERROR(IF(I13="Zeitanteilig",(Besatzung!$G$17*(G13-IFERROR(H13,0))+((Besatzung!$B$17&lt;&gt;"")*IF(B13="",1,(IF(Besatzung!$C$17="",Besatzung!$B$5,Besatzung!$C$17)&lt;=B13)*(IF(Besatzung!$D$17="",Besatzung!$B$6,Besatzung!$D$17)&gt;=B13)))*(Besatzung!$F$17="x")*IFERROR(H13,0)/IFERROR(SUMPRODUCT((Besatzung!$B$11:$B$22&lt;&gt;"")*(Besatzung!$F$11:$F$22="x")*(IF(Besatzung!$C$11:$C$22="",Besatzung!$B$5,Besatzung!$C$11:$C$22)&lt;=B13)*(IF(Besatzung!$D$11:$D$22="",Besatzung!$B$6,Besatzung!$D$11:$D$22)&gt;=B13)),1)),IF(I13="An Bord",(((Besatzung!$B$17&lt;&gt;"")*IF(B13="",1,(IF(Besatzung!$C$17="",Besatzung!$B$5,Besatzung!$C$17)&lt;=B13)*(IF(Besatzung!$D$17="",Besatzung!$B$6,Besatzung!$D$17)&gt;=B13)))*((G13-IFERROR(H13,0))/IFERROR(SUMPRODUCT((Besatzung!$B$11:$B$22&lt;&gt;"")*(IF(Besatzung!$C$11:$C$22="",Besatzung!$B$5,Besatzung!$C$11:$C$22)&lt;=B13)*(IF(Besatzung!$D$11:$D$22="",Besatzung!$B$6,Besatzung!$D$11:$D$22)&gt;=B13)),1)+(Besatzung!$F$17="x")*IFERROR(H13,0)/IFERROR(SUMPRODUCT((Besatzung!$B$11:$B$22&lt;&gt;"")*(Besatzung!$F$11:$F$22="x")*(IF(Besatzung!$C$11:$C$22="",Besatzung!$B$5,Besatzung!$C$11:$C$22)&lt;=B13)*(IF(Besatzung!$D$11:$D$22="",Besatzung!$B$6,Besatzung!$D$11:$D$22)&gt;=B13)),1))),IF(I13="Individuell",((P13="x")*((G13-IFERROR(H13,0))/IFERROR(COUNTIF(J13:U13,"x"),1)+(Besatzung!$F$17="x")*IFERROR(H13,0)/IFERROR(SUMPRODUCT((J13:U13="x")*(Besatzung!$F$11:$F$22="x")),1))),(IF(COUNTIF(J13:U13,"x")=0,IF(Besatzung!$B$17&lt;&gt;"",1,0),(P13="x"))*(G13-IFERROR(H13,0))/IFERROR(IF(COUNTIF(J13:U13,"x")=0,COUNTA(Besatzung!$B$11:$B$22),COUNTIF(J13:U13,"x")),1)+IF(COUNTIF(J13:U13,"x")=0,(Besatzung!$F$17="x"),(P13="x")*(Besatzung!$F$17="x"))*IFERROR(H13,0)/IFERROR(IF(COUNTIF(J13:U13,"x")=0,SUMPRODUCT((Besatzung!$B$11:$B$22&lt;&gt;"")*(Besatzung!$F$11:$F$22="x")),SUMPRODUCT((J13:U13="x")*(Besatzung!$F$11:$F$22="x"))),1))))),0))))</f>
        <v/>
      </c>
      <c r="AC13" s="247">
        <f>IF(C13="Gutschrift","",IF(G13="","",IF(Besatzung!$B$18="","",IFERROR(IF(I13="Zeitanteilig",(Besatzung!$G$18*(G13-IFERROR(H13,0))+((Besatzung!$B$18&lt;&gt;"")*IF(B13="",1,(IF(Besatzung!$C$18="",Besatzung!$B$5,Besatzung!$C$18)&lt;=B13)*(IF(Besatzung!$D$18="",Besatzung!$B$6,Besatzung!$D$18)&gt;=B13)))*(Besatzung!$F$18="x")*IFERROR(H13,0)/IFERROR(SUMPRODUCT((Besatzung!$B$11:$B$22&lt;&gt;"")*(Besatzung!$F$11:$F$22="x")*(IF(Besatzung!$C$11:$C$22="",Besatzung!$B$5,Besatzung!$C$11:$C$22)&lt;=B13)*(IF(Besatzung!$D$11:$D$22="",Besatzung!$B$6,Besatzung!$D$11:$D$22)&gt;=B13)),1)),IF(I13="An Bord",(((Besatzung!$B$18&lt;&gt;"")*IF(B13="",1,(IF(Besatzung!$C$18="",Besatzung!$B$5,Besatzung!$C$18)&lt;=B13)*(IF(Besatzung!$D$18="",Besatzung!$B$6,Besatzung!$D$18)&gt;=B13)))*((G13-IFERROR(H13,0))/IFERROR(SUMPRODUCT((Besatzung!$B$11:$B$22&lt;&gt;"")*(IF(Besatzung!$C$11:$C$22="",Besatzung!$B$5,Besatzung!$C$11:$C$22)&lt;=B13)*(IF(Besatzung!$D$11:$D$22="",Besatzung!$B$6,Besatzung!$D$11:$D$22)&gt;=B13)),1)+(Besatzung!$F$18="x")*IFERROR(H13,0)/IFERROR(SUMPRODUCT((Besatzung!$B$11:$B$22&lt;&gt;"")*(Besatzung!$F$11:$F$22="x")*(IF(Besatzung!$C$11:$C$22="",Besatzung!$B$5,Besatzung!$C$11:$C$22)&lt;=B13)*(IF(Besatzung!$D$11:$D$22="",Besatzung!$B$6,Besatzung!$D$11:$D$22)&gt;=B13)),1))),IF(I13="Individuell",((Q13="x")*((G13-IFERROR(H13,0))/IFERROR(COUNTIF(J13:U13,"x"),1)+(Besatzung!$F$18="x")*IFERROR(H13,0)/IFERROR(SUMPRODUCT((J13:U13="x")*(Besatzung!$F$11:$F$22="x")),1))),(IF(COUNTIF(J13:U13,"x")=0,IF(Besatzung!$B$18&lt;&gt;"",1,0),(Q13="x"))*(G13-IFERROR(H13,0))/IFERROR(IF(COUNTIF(J13:U13,"x")=0,COUNTA(Besatzung!$B$11:$B$22),COUNTIF(J13:U13,"x")),1)+IF(COUNTIF(J13:U13,"x")=0,(Besatzung!$F$18="x"),(Q13="x")*(Besatzung!$F$18="x"))*IFERROR(H13,0)/IFERROR(IF(COUNTIF(J13:U13,"x")=0,SUMPRODUCT((Besatzung!$B$11:$B$22&lt;&gt;"")*(Besatzung!$F$11:$F$22="x")),SUMPRODUCT((J13:U13="x")*(Besatzung!$F$11:$F$22="x"))),1))))),0))))</f>
        <v/>
      </c>
      <c r="AD13" s="247">
        <f>IF(C13="Gutschrift","",IF(G13="","",IF(Besatzung!$B$19="","",IFERROR(IF(I13="Zeitanteilig",(Besatzung!$G$19*(G13-IFERROR(H13,0))+((Besatzung!$B$19&lt;&gt;"")*IF(B13="",1,(IF(Besatzung!$C$19="",Besatzung!$B$5,Besatzung!$C$19)&lt;=B13)*(IF(Besatzung!$D$19="",Besatzung!$B$6,Besatzung!$D$19)&gt;=B13)))*(Besatzung!$F$19="x")*IFERROR(H13,0)/IFERROR(SUMPRODUCT((Besatzung!$B$11:$B$22&lt;&gt;"")*(Besatzung!$F$11:$F$22="x")*(IF(Besatzung!$C$11:$C$22="",Besatzung!$B$5,Besatzung!$C$11:$C$22)&lt;=B13)*(IF(Besatzung!$D$11:$D$22="",Besatzung!$B$6,Besatzung!$D$11:$D$22)&gt;=B13)),1)),IF(I13="An Bord",(((Besatzung!$B$19&lt;&gt;"")*IF(B13="",1,(IF(Besatzung!$C$19="",Besatzung!$B$5,Besatzung!$C$19)&lt;=B13)*(IF(Besatzung!$D$19="",Besatzung!$B$6,Besatzung!$D$19)&gt;=B13)))*((G13-IFERROR(H13,0))/IFERROR(SUMPRODUCT((Besatzung!$B$11:$B$22&lt;&gt;"")*(IF(Besatzung!$C$11:$C$22="",Besatzung!$B$5,Besatzung!$C$11:$C$22)&lt;=B13)*(IF(Besatzung!$D$11:$D$22="",Besatzung!$B$6,Besatzung!$D$11:$D$22)&gt;=B13)),1)+(Besatzung!$F$19="x")*IFERROR(H13,0)/IFERROR(SUMPRODUCT((Besatzung!$B$11:$B$22&lt;&gt;"")*(Besatzung!$F$11:$F$22="x")*(IF(Besatzung!$C$11:$C$22="",Besatzung!$B$5,Besatzung!$C$11:$C$22)&lt;=B13)*(IF(Besatzung!$D$11:$D$22="",Besatzung!$B$6,Besatzung!$D$11:$D$22)&gt;=B13)),1))),IF(I13="Individuell",((R13="x")*((G13-IFERROR(H13,0))/IFERROR(COUNTIF(J13:U13,"x"),1)+(Besatzung!$F$19="x")*IFERROR(H13,0)/IFERROR(SUMPRODUCT((J13:U13="x")*(Besatzung!$F$11:$F$22="x")),1))),(IF(COUNTIF(J13:U13,"x")=0,IF(Besatzung!$B$19&lt;&gt;"",1,0),(R13="x"))*(G13-IFERROR(H13,0))/IFERROR(IF(COUNTIF(J13:U13,"x")=0,COUNTA(Besatzung!$B$11:$B$22),COUNTIF(J13:U13,"x")),1)+IF(COUNTIF(J13:U13,"x")=0,(Besatzung!$F$19="x"),(R13="x")*(Besatzung!$F$19="x"))*IFERROR(H13,0)/IFERROR(IF(COUNTIF(J13:U13,"x")=0,SUMPRODUCT((Besatzung!$B$11:$B$22&lt;&gt;"")*(Besatzung!$F$11:$F$22="x")),SUMPRODUCT((J13:U13="x")*(Besatzung!$F$11:$F$22="x"))),1))))),0))))</f>
        <v/>
      </c>
      <c r="AE13" s="247">
        <f>IF(C13="Gutschrift","",IF(G13="","",IF(Besatzung!$B$20="","",IFERROR(IF(I13="Zeitanteilig",(Besatzung!$G$20*(G13-IFERROR(H13,0))+((Besatzung!$B$20&lt;&gt;"")*IF(B13="",1,(IF(Besatzung!$C$20="",Besatzung!$B$5,Besatzung!$C$20)&lt;=B13)*(IF(Besatzung!$D$20="",Besatzung!$B$6,Besatzung!$D$20)&gt;=B13)))*(Besatzung!$F$20="x")*IFERROR(H13,0)/IFERROR(SUMPRODUCT((Besatzung!$B$11:$B$22&lt;&gt;"")*(Besatzung!$F$11:$F$22="x")*(IF(Besatzung!$C$11:$C$22="",Besatzung!$B$5,Besatzung!$C$11:$C$22)&lt;=B13)*(IF(Besatzung!$D$11:$D$22="",Besatzung!$B$6,Besatzung!$D$11:$D$22)&gt;=B13)),1)),IF(I13="An Bord",(((Besatzung!$B$20&lt;&gt;"")*IF(B13="",1,(IF(Besatzung!$C$20="",Besatzung!$B$5,Besatzung!$C$20)&lt;=B13)*(IF(Besatzung!$D$20="",Besatzung!$B$6,Besatzung!$D$20)&gt;=B13)))*((G13-IFERROR(H13,0))/IFERROR(SUMPRODUCT((Besatzung!$B$11:$B$22&lt;&gt;"")*(IF(Besatzung!$C$11:$C$22="",Besatzung!$B$5,Besatzung!$C$11:$C$22)&lt;=B13)*(IF(Besatzung!$D$11:$D$22="",Besatzung!$B$6,Besatzung!$D$11:$D$22)&gt;=B13)),1)+(Besatzung!$F$20="x")*IFERROR(H13,0)/IFERROR(SUMPRODUCT((Besatzung!$B$11:$B$22&lt;&gt;"")*(Besatzung!$F$11:$F$22="x")*(IF(Besatzung!$C$11:$C$22="",Besatzung!$B$5,Besatzung!$C$11:$C$22)&lt;=B13)*(IF(Besatzung!$D$11:$D$22="",Besatzung!$B$6,Besatzung!$D$11:$D$22)&gt;=B13)),1))),IF(I13="Individuell",((S13="x")*((G13-IFERROR(H13,0))/IFERROR(COUNTIF(J13:U13,"x"),1)+(Besatzung!$F$20="x")*IFERROR(H13,0)/IFERROR(SUMPRODUCT((J13:U13="x")*(Besatzung!$F$11:$F$22="x")),1))),(IF(COUNTIF(J13:U13,"x")=0,IF(Besatzung!$B$20&lt;&gt;"",1,0),(S13="x"))*(G13-IFERROR(H13,0))/IFERROR(IF(COUNTIF(J13:U13,"x")=0,COUNTA(Besatzung!$B$11:$B$22),COUNTIF(J13:U13,"x")),1)+IF(COUNTIF(J13:U13,"x")=0,(Besatzung!$F$20="x"),(S13="x")*(Besatzung!$F$20="x"))*IFERROR(H13,0)/IFERROR(IF(COUNTIF(J13:U13,"x")=0,SUMPRODUCT((Besatzung!$B$11:$B$22&lt;&gt;"")*(Besatzung!$F$11:$F$22="x")),SUMPRODUCT((J13:U13="x")*(Besatzung!$F$11:$F$22="x"))),1))))),0))))</f>
        <v/>
      </c>
      <c r="AF13" s="247">
        <f>IF(C13="Gutschrift","",IF(G13="","",IF(Besatzung!$B$21="","",IFERROR(IF(I13="Zeitanteilig",(Besatzung!$G$21*(G13-IFERROR(H13,0))+((Besatzung!$B$21&lt;&gt;"")*IF(B13="",1,(IF(Besatzung!$C$21="",Besatzung!$B$5,Besatzung!$C$21)&lt;=B13)*(IF(Besatzung!$D$21="",Besatzung!$B$6,Besatzung!$D$21)&gt;=B13)))*(Besatzung!$F$21="x")*IFERROR(H13,0)/IFERROR(SUMPRODUCT((Besatzung!$B$11:$B$22&lt;&gt;"")*(Besatzung!$F$11:$F$22="x")*(IF(Besatzung!$C$11:$C$22="",Besatzung!$B$5,Besatzung!$C$11:$C$22)&lt;=B13)*(IF(Besatzung!$D$11:$D$22="",Besatzung!$B$6,Besatzung!$D$11:$D$22)&gt;=B13)),1)),IF(I13="An Bord",(((Besatzung!$B$21&lt;&gt;"")*IF(B13="",1,(IF(Besatzung!$C$21="",Besatzung!$B$5,Besatzung!$C$21)&lt;=B13)*(IF(Besatzung!$D$21="",Besatzung!$B$6,Besatzung!$D$21)&gt;=B13)))*((G13-IFERROR(H13,0))/IFERROR(SUMPRODUCT((Besatzung!$B$11:$B$22&lt;&gt;"")*(IF(Besatzung!$C$11:$C$22="",Besatzung!$B$5,Besatzung!$C$11:$C$22)&lt;=B13)*(IF(Besatzung!$D$11:$D$22="",Besatzung!$B$6,Besatzung!$D$11:$D$22)&gt;=B13)),1)+(Besatzung!$F$21="x")*IFERROR(H13,0)/IFERROR(SUMPRODUCT((Besatzung!$B$11:$B$22&lt;&gt;"")*(Besatzung!$F$11:$F$22="x")*(IF(Besatzung!$C$11:$C$22="",Besatzung!$B$5,Besatzung!$C$11:$C$22)&lt;=B13)*(IF(Besatzung!$D$11:$D$22="",Besatzung!$B$6,Besatzung!$D$11:$D$22)&gt;=B13)),1))),IF(I13="Individuell",((T13="x")*((G13-IFERROR(H13,0))/IFERROR(COUNTIF(J13:U13,"x"),1)+(Besatzung!$F$21="x")*IFERROR(H13,0)/IFERROR(SUMPRODUCT((J13:U13="x")*(Besatzung!$F$11:$F$22="x")),1))),(IF(COUNTIF(J13:U13,"x")=0,IF(Besatzung!$B$21&lt;&gt;"",1,0),(T13="x"))*(G13-IFERROR(H13,0))/IFERROR(IF(COUNTIF(J13:U13,"x")=0,COUNTA(Besatzung!$B$11:$B$22),COUNTIF(J13:U13,"x")),1)+IF(COUNTIF(J13:U13,"x")=0,(Besatzung!$F$21="x"),(T13="x")*(Besatzung!$F$21="x"))*IFERROR(H13,0)/IFERROR(IF(COUNTIF(J13:U13,"x")=0,SUMPRODUCT((Besatzung!$B$11:$B$22&lt;&gt;"")*(Besatzung!$F$11:$F$22="x")),SUMPRODUCT((J13:U13="x")*(Besatzung!$F$11:$F$22="x"))),1))))),0))))</f>
        <v/>
      </c>
      <c r="AG13" s="247">
        <f>IF(C13="Gutschrift","",IF(G13="","",IF(Besatzung!$B$22="","",IFERROR(IF(I13="Zeitanteilig",(Besatzung!$G$22*(G13-IFERROR(H13,0))+((Besatzung!$B$22&lt;&gt;"")*IF(B13="",1,(IF(Besatzung!$C$22="",Besatzung!$B$5,Besatzung!$C$22)&lt;=B13)*(IF(Besatzung!$D$22="",Besatzung!$B$6,Besatzung!$D$22)&gt;=B13)))*(Besatzung!$F$22="x")*IFERROR(H13,0)/IFERROR(SUMPRODUCT((Besatzung!$B$11:$B$22&lt;&gt;"")*(Besatzung!$F$11:$F$22="x")*(IF(Besatzung!$C$11:$C$22="",Besatzung!$B$5,Besatzung!$C$11:$C$22)&lt;=B13)*(IF(Besatzung!$D$11:$D$22="",Besatzung!$B$6,Besatzung!$D$11:$D$22)&gt;=B13)),1)),IF(I13="An Bord",(((Besatzung!$B$22&lt;&gt;"")*IF(B13="",1,(IF(Besatzung!$C$22="",Besatzung!$B$5,Besatzung!$C$22)&lt;=B13)*(IF(Besatzung!$D$22="",Besatzung!$B$6,Besatzung!$D$22)&gt;=B13)))*((G13-IFERROR(H13,0))/IFERROR(SUMPRODUCT((Besatzung!$B$11:$B$22&lt;&gt;"")*(IF(Besatzung!$C$11:$C$22="",Besatzung!$B$5,Besatzung!$C$11:$C$22)&lt;=B13)*(IF(Besatzung!$D$11:$D$22="",Besatzung!$B$6,Besatzung!$D$11:$D$22)&gt;=B13)),1)+(Besatzung!$F$22="x")*IFERROR(H13,0)/IFERROR(SUMPRODUCT((Besatzung!$B$11:$B$22&lt;&gt;"")*(Besatzung!$F$11:$F$22="x")*(IF(Besatzung!$C$11:$C$22="",Besatzung!$B$5,Besatzung!$C$11:$C$22)&lt;=B13)*(IF(Besatzung!$D$11:$D$22="",Besatzung!$B$6,Besatzung!$D$11:$D$22)&gt;=B13)),1))),IF(I13="Individuell",((U13="x")*((G13-IFERROR(H13,0))/IFERROR(COUNTIF(J13:U13,"x"),1)+(Besatzung!$F$22="x")*IFERROR(H13,0)/IFERROR(SUMPRODUCT((J13:U13="x")*(Besatzung!$F$11:$F$22="x")),1))),(IF(COUNTIF(J13:U13,"x")=0,IF(Besatzung!$B$22&lt;&gt;"",1,0),(U13="x"))*(G13-IFERROR(H13,0))/IFERROR(IF(COUNTIF(J13:U13,"x")=0,COUNTA(Besatzung!$B$11:$B$22),COUNTIF(J13:U13,"x")),1)+IF(COUNTIF(J13:U13,"x")=0,(Besatzung!$F$22="x"),(U13="x")*(Besatzung!$F$22="x"))*IFERROR(H13,0)/IFERROR(IF(COUNTIF(J13:U13,"x")=0,SUMPRODUCT((Besatzung!$B$11:$B$22&lt;&gt;"")*(Besatzung!$F$11:$F$22="x")),SUMPRODUCT((J13:U13="x")*(Besatzung!$F$11:$F$22="x"))),1))))),0))))</f>
        <v/>
      </c>
      <c r="AH13" s="248" t="n"/>
      <c r="AI13" s="248" t="n"/>
    </row>
    <row r="14" ht="21.75" customHeight="1" s="154">
      <c r="A14" s="238">
        <f>IF(AND(D14="",C14=""),"",11)</f>
        <v/>
      </c>
      <c r="B14" s="199" t="n"/>
      <c r="C14" s="239" t="n"/>
      <c r="D14" s="240" t="n"/>
      <c r="E14" s="241" t="n"/>
      <c r="F14" s="242" t="n"/>
      <c r="G14" s="243" t="n"/>
      <c r="H14" s="244" t="n"/>
      <c r="I14" s="245" t="n"/>
      <c r="J14" s="246" t="n"/>
      <c r="K14" s="246" t="n"/>
      <c r="L14" s="246" t="n"/>
      <c r="M14" s="246" t="n"/>
      <c r="N14" s="246" t="n"/>
      <c r="O14" s="246" t="n"/>
      <c r="P14" s="246" t="n"/>
      <c r="Q14" s="246" t="n"/>
      <c r="R14" s="246" t="n"/>
      <c r="S14" s="246" t="n"/>
      <c r="T14" s="246" t="n"/>
      <c r="U14" s="246" t="n"/>
      <c r="V14" s="247">
        <f>IF(C14="Gutschrift","",IF(G14="","",IF(Besatzung!$B$11="","",IFERROR(IF(I14="Zeitanteilig",(Besatzung!$G$11*(G14-IFERROR(H14,0))+((Besatzung!$B$11&lt;&gt;"")*IF(B14="",1,(IF(Besatzung!$C$11="",Besatzung!$B$5,Besatzung!$C$11)&lt;=B14)*(IF(Besatzung!$D$11="",Besatzung!$B$6,Besatzung!$D$11)&gt;=B14)))*(Besatzung!$F$11="x")*IFERROR(H14,0)/IFERROR(SUMPRODUCT((Besatzung!$B$11:$B$22&lt;&gt;"")*(Besatzung!$F$11:$F$22="x")*(IF(Besatzung!$C$11:$C$22="",Besatzung!$B$5,Besatzung!$C$11:$C$22)&lt;=B14)*(IF(Besatzung!$D$11:$D$22="",Besatzung!$B$6,Besatzung!$D$11:$D$22)&gt;=B14)),1)),IF(I14="An Bord",(((Besatzung!$B$11&lt;&gt;"")*IF(B14="",1,(IF(Besatzung!$C$11="",Besatzung!$B$5,Besatzung!$C$11)&lt;=B14)*(IF(Besatzung!$D$11="",Besatzung!$B$6,Besatzung!$D$11)&gt;=B14)))*((G14-IFERROR(H14,0))/IFERROR(SUMPRODUCT((Besatzung!$B$11:$B$22&lt;&gt;"")*(IF(Besatzung!$C$11:$C$22="",Besatzung!$B$5,Besatzung!$C$11:$C$22)&lt;=B14)*(IF(Besatzung!$D$11:$D$22="",Besatzung!$B$6,Besatzung!$D$11:$D$22)&gt;=B14)),1)+(Besatzung!$F$11="x")*IFERROR(H14,0)/IFERROR(SUMPRODUCT((Besatzung!$B$11:$B$22&lt;&gt;"")*(Besatzung!$F$11:$F$22="x")*(IF(Besatzung!$C$11:$C$22="",Besatzung!$B$5,Besatzung!$C$11:$C$22)&lt;=B14)*(IF(Besatzung!$D$11:$D$22="",Besatzung!$B$6,Besatzung!$D$11:$D$22)&gt;=B14)),1))),IF(I14="Individuell",((J14="x")*((G14-IFERROR(H14,0))/IFERROR(COUNTIF(J14:U14,"x"),1)+(Besatzung!$F$11="x")*IFERROR(H14,0)/IFERROR(SUMPRODUCT((J14:U14="x")*(Besatzung!$F$11:$F$22="x")),1))),(IF(COUNTIF(J14:U14,"x")=0,IF(Besatzung!$B$11&lt;&gt;"",1,0),(J14="x"))*(G14-IFERROR(H14,0))/IFERROR(IF(COUNTIF(J14:U14,"x")=0,COUNTA(Besatzung!$B$11:$B$22),COUNTIF(J14:U14,"x")),1)+IF(COUNTIF(J14:U14,"x")=0,(Besatzung!$F$11="x"),(J14="x")*(Besatzung!$F$11="x"))*IFERROR(H14,0)/IFERROR(IF(COUNTIF(J14:U14,"x")=0,SUMPRODUCT((Besatzung!$B$11:$B$22&lt;&gt;"")*(Besatzung!$F$11:$F$22="x")),SUMPRODUCT((J14:U14="x")*(Besatzung!$F$11:$F$22="x"))),1))))),0))))</f>
        <v/>
      </c>
      <c r="W14" s="247">
        <f>IF(C14="Gutschrift","",IF(G14="","",IF(Besatzung!$B$12="","",IFERROR(IF(I14="Zeitanteilig",(Besatzung!$G$12*(G14-IFERROR(H14,0))+((Besatzung!$B$12&lt;&gt;"")*IF(B14="",1,(IF(Besatzung!$C$12="",Besatzung!$B$5,Besatzung!$C$12)&lt;=B14)*(IF(Besatzung!$D$12="",Besatzung!$B$6,Besatzung!$D$12)&gt;=B14)))*(Besatzung!$F$12="x")*IFERROR(H14,0)/IFERROR(SUMPRODUCT((Besatzung!$B$11:$B$22&lt;&gt;"")*(Besatzung!$F$11:$F$22="x")*(IF(Besatzung!$C$11:$C$22="",Besatzung!$B$5,Besatzung!$C$11:$C$22)&lt;=B14)*(IF(Besatzung!$D$11:$D$22="",Besatzung!$B$6,Besatzung!$D$11:$D$22)&gt;=B14)),1)),IF(I14="An Bord",(((Besatzung!$B$12&lt;&gt;"")*IF(B14="",1,(IF(Besatzung!$C$12="",Besatzung!$B$5,Besatzung!$C$12)&lt;=B14)*(IF(Besatzung!$D$12="",Besatzung!$B$6,Besatzung!$D$12)&gt;=B14)))*((G14-IFERROR(H14,0))/IFERROR(SUMPRODUCT((Besatzung!$B$11:$B$22&lt;&gt;"")*(IF(Besatzung!$C$11:$C$22="",Besatzung!$B$5,Besatzung!$C$11:$C$22)&lt;=B14)*(IF(Besatzung!$D$11:$D$22="",Besatzung!$B$6,Besatzung!$D$11:$D$22)&gt;=B14)),1)+(Besatzung!$F$12="x")*IFERROR(H14,0)/IFERROR(SUMPRODUCT((Besatzung!$B$11:$B$22&lt;&gt;"")*(Besatzung!$F$11:$F$22="x")*(IF(Besatzung!$C$11:$C$22="",Besatzung!$B$5,Besatzung!$C$11:$C$22)&lt;=B14)*(IF(Besatzung!$D$11:$D$22="",Besatzung!$B$6,Besatzung!$D$11:$D$22)&gt;=B14)),1))),IF(I14="Individuell",((K14="x")*((G14-IFERROR(H14,0))/IFERROR(COUNTIF(J14:U14,"x"),1)+(Besatzung!$F$12="x")*IFERROR(H14,0)/IFERROR(SUMPRODUCT((J14:U14="x")*(Besatzung!$F$11:$F$22="x")),1))),(IF(COUNTIF(J14:U14,"x")=0,IF(Besatzung!$B$12&lt;&gt;"",1,0),(K14="x"))*(G14-IFERROR(H14,0))/IFERROR(IF(COUNTIF(J14:U14,"x")=0,COUNTA(Besatzung!$B$11:$B$22),COUNTIF(J14:U14,"x")),1)+IF(COUNTIF(J14:U14,"x")=0,(Besatzung!$F$12="x"),(K14="x")*(Besatzung!$F$12="x"))*IFERROR(H14,0)/IFERROR(IF(COUNTIF(J14:U14,"x")=0,SUMPRODUCT((Besatzung!$B$11:$B$22&lt;&gt;"")*(Besatzung!$F$11:$F$22="x")),SUMPRODUCT((J14:U14="x")*(Besatzung!$F$11:$F$22="x"))),1))))),0))))</f>
        <v/>
      </c>
      <c r="X14" s="247">
        <f>IF(C14="Gutschrift","",IF(G14="","",IF(Besatzung!$B$13="","",IFERROR(IF(I14="Zeitanteilig",(Besatzung!$G$13*(G14-IFERROR(H14,0))+((Besatzung!$B$13&lt;&gt;"")*IF(B14="",1,(IF(Besatzung!$C$13="",Besatzung!$B$5,Besatzung!$C$13)&lt;=B14)*(IF(Besatzung!$D$13="",Besatzung!$B$6,Besatzung!$D$13)&gt;=B14)))*(Besatzung!$F$13="x")*IFERROR(H14,0)/IFERROR(SUMPRODUCT((Besatzung!$B$11:$B$22&lt;&gt;"")*(Besatzung!$F$11:$F$22="x")*(IF(Besatzung!$C$11:$C$22="",Besatzung!$B$5,Besatzung!$C$11:$C$22)&lt;=B14)*(IF(Besatzung!$D$11:$D$22="",Besatzung!$B$6,Besatzung!$D$11:$D$22)&gt;=B14)),1)),IF(I14="An Bord",(((Besatzung!$B$13&lt;&gt;"")*IF(B14="",1,(IF(Besatzung!$C$13="",Besatzung!$B$5,Besatzung!$C$13)&lt;=B14)*(IF(Besatzung!$D$13="",Besatzung!$B$6,Besatzung!$D$13)&gt;=B14)))*((G14-IFERROR(H14,0))/IFERROR(SUMPRODUCT((Besatzung!$B$11:$B$22&lt;&gt;"")*(IF(Besatzung!$C$11:$C$22="",Besatzung!$B$5,Besatzung!$C$11:$C$22)&lt;=B14)*(IF(Besatzung!$D$11:$D$22="",Besatzung!$B$6,Besatzung!$D$11:$D$22)&gt;=B14)),1)+(Besatzung!$F$13="x")*IFERROR(H14,0)/IFERROR(SUMPRODUCT((Besatzung!$B$11:$B$22&lt;&gt;"")*(Besatzung!$F$11:$F$22="x")*(IF(Besatzung!$C$11:$C$22="",Besatzung!$B$5,Besatzung!$C$11:$C$22)&lt;=B14)*(IF(Besatzung!$D$11:$D$22="",Besatzung!$B$6,Besatzung!$D$11:$D$22)&gt;=B14)),1))),IF(I14="Individuell",((K14="x")*((G14-IFERROR(H14,0))/IFERROR(COUNTIF(J14:U14,"x"),1)+(Besatzung!$F$13="x")*IFERROR(H14,0)/IFERROR(SUMPRODUCT((J14:U14="x")*(Besatzung!$F$11:$F$22="x")),1))),(IF(COUNTIF(J14:U14,"x")=0,IF(Besatzung!$B$13&lt;&gt;"",1,0),(K14="x"))*(G14-IFERROR(H14,0))/IFERROR(IF(COUNTIF(J14:U14,"x")=0,COUNTA(Besatzung!$B$11:$B$22),COUNTIF(J14:U14,"x")),1)+IF(COUNTIF(J14:U14,"x")=0,(Besatzung!$F$13="x"),(K14="x")*(Besatzung!$F$13="x"))*IFERROR(H14,0)/IFERROR(IF(COUNTIF(J14:U14,"x")=0,SUMPRODUCT((Besatzung!$B$11:$B$22&lt;&gt;"")*(Besatzung!$F$11:$F$22="x")),SUMPRODUCT((J14:U14="x")*(Besatzung!$F$11:$F$22="x"))),1))))),0))))</f>
        <v/>
      </c>
      <c r="Y14" s="247">
        <f>IF(C14="Gutschrift","",IF(G14="","",IF(Besatzung!$B$14="","",IFERROR(IF(I14="Zeitanteilig",(Besatzung!$G$14*(G14-IFERROR(H14,0))+((Besatzung!$B$14&lt;&gt;"")*IF(B14="",1,(IF(Besatzung!$C$14="",Besatzung!$B$5,Besatzung!$C$14)&lt;=B14)*(IF(Besatzung!$D$14="",Besatzung!$B$6,Besatzung!$D$14)&gt;=B14)))*(Besatzung!$F$14="x")*IFERROR(H14,0)/IFERROR(SUMPRODUCT((Besatzung!$B$11:$B$22&lt;&gt;"")*(Besatzung!$F$11:$F$22="x")*(IF(Besatzung!$C$11:$C$22="",Besatzung!$B$5,Besatzung!$C$11:$C$22)&lt;=B14)*(IF(Besatzung!$D$11:$D$22="",Besatzung!$B$6,Besatzung!$D$11:$D$22)&gt;=B14)),1)),IF(I14="An Bord",(((Besatzung!$B$14&lt;&gt;"")*IF(B14="",1,(IF(Besatzung!$C$14="",Besatzung!$B$5,Besatzung!$C$14)&lt;=B14)*(IF(Besatzung!$D$14="",Besatzung!$B$6,Besatzung!$D$14)&gt;=B14)))*((G14-IFERROR(H14,0))/IFERROR(SUMPRODUCT((Besatzung!$B$11:$B$22&lt;&gt;"")*(IF(Besatzung!$C$11:$C$22="",Besatzung!$B$5,Besatzung!$C$11:$C$22)&lt;=B14)*(IF(Besatzung!$D$11:$D$22="",Besatzung!$B$6,Besatzung!$D$11:$D$22)&gt;=B14)),1)+(Besatzung!$F$14="x")*IFERROR(H14,0)/IFERROR(SUMPRODUCT((Besatzung!$B$11:$B$22&lt;&gt;"")*(Besatzung!$F$11:$F$22="x")*(IF(Besatzung!$C$11:$C$22="",Besatzung!$B$5,Besatzung!$C$11:$C$22)&lt;=B14)*(IF(Besatzung!$D$11:$D$22="",Besatzung!$B$6,Besatzung!$D$11:$D$22)&gt;=B14)),1))),IF(I14="Individuell",((M14="x")*((G14-IFERROR(H14,0))/IFERROR(COUNTIF(J14:U14,"x"),1)+(Besatzung!$F$14="x")*IFERROR(H14,0)/IFERROR(SUMPRODUCT((J14:U14="x")*(Besatzung!$F$11:$F$22="x")),1))),(IF(COUNTIF(J14:U14,"x")=0,IF(Besatzung!$B$14&lt;&gt;"",1,0),(M14="x"))*(G14-IFERROR(H14,0))/IFERROR(IF(COUNTIF(J14:U14,"x")=0,COUNTA(Besatzung!$B$11:$B$22),COUNTIF(J14:U14,"x")),1)+IF(COUNTIF(J14:U14,"x")=0,(Besatzung!$F$14="x"),(M14="x")*(Besatzung!$F$14="x"))*IFERROR(H14,0)/IFERROR(IF(COUNTIF(J14:U14,"x")=0,SUMPRODUCT((Besatzung!$B$11:$B$22&lt;&gt;"")*(Besatzung!$F$11:$F$22="x")),SUMPRODUCT((J14:U14="x")*(Besatzung!$F$11:$F$22="x"))),1))))),0))))</f>
        <v/>
      </c>
      <c r="Z14" s="247">
        <f>IF(C14="Gutschrift","",IF(G14="","",IF(Besatzung!$B$13="","",IFERROR(IF(I14="Zeitanteilig",(Besatzung!$G$15*(G14-IFERROR(H14,0))+((Besatzung!$B$13&lt;&gt;"")*IF(B14="",1,(IF(Besatzung!$C$15="",Besatzung!$B$5,Besatzung!$C$15)&lt;=B14)*(IF(Besatzung!$D$15="",Besatzung!$B$6,Besatzung!$D$15)&gt;=B14)))*(Besatzung!$F$15="x")*IFERROR(H14,0)/IFERROR(SUMPRODUCT((Besatzung!$B$11:$B$22&lt;&gt;"")*(Besatzung!$F$11:$F$22="x")*(IF(Besatzung!$C$11:$C$22="",Besatzung!$B$5,Besatzung!$C$11:$C$22)&lt;=B14)*(IF(Besatzung!$D$11:$D$22="",Besatzung!$B$6,Besatzung!$D$11:$D$22)&gt;=B14)),1)),IF(I14="An Bord",(((Besatzung!$B$13&lt;&gt;"")*IF(B14="",1,(IF(Besatzung!$C$15="",Besatzung!$B$5,Besatzung!$C$15)&lt;=B14)*(IF(Besatzung!$D$15="",Besatzung!$B$6,Besatzung!$D$15)&gt;=B14)))*((G14-IFERROR(H14,0))/IFERROR(SUMPRODUCT((Besatzung!$B$11:$B$22&lt;&gt;"")*(IF(Besatzung!$C$11:$C$22="",Besatzung!$B$5,Besatzung!$C$11:$C$22)&lt;=B14)*(IF(Besatzung!$D$11:$D$22="",Besatzung!$B$6,Besatzung!$D$11:$D$22)&gt;=B14)),1)+(Besatzung!$F$15="x")*IFERROR(H14,0)/IFERROR(SUMPRODUCT((Besatzung!$B$11:$B$22&lt;&gt;"")*(Besatzung!$F$11:$F$22="x")*(IF(Besatzung!$C$11:$C$22="",Besatzung!$B$5,Besatzung!$C$11:$C$22)&lt;=B14)*(IF(Besatzung!$D$11:$D$22="",Besatzung!$B$6,Besatzung!$D$11:$D$22)&gt;=B14)),1))),IF(I14="Individuell",((N14="x")*((G14-IFERROR(H14,0))/IFERROR(COUNTIF(J14:U14,"x"),1)+(Besatzung!$F$15="x")*IFERROR(H14,0)/IFERROR(SUMPRODUCT((J14:U14="x")*(Besatzung!$F$11:$F$22="x")),1))),(IF(COUNTIF(J14:U14,"x")=0,IF(Besatzung!$B$13&lt;&gt;"",1,0),(N14="x"))*(G14-IFERROR(H14,0))/IFERROR(IF(COUNTIF(J14:U14,"x")=0,COUNTA(Besatzung!$B$11:$B$22),COUNTIF(J14:U14,"x")),1)+IF(COUNTIF(J14:U14,"x")=0,(Besatzung!$F$15="x"),(N14="x")*(Besatzung!$F$15="x"))*IFERROR(H14,0)/IFERROR(IF(COUNTIF(J14:U14,"x")=0,SUMPRODUCT((Besatzung!$B$11:$B$22&lt;&gt;"")*(Besatzung!$F$11:$F$22="x")),SUMPRODUCT((J14:U14="x")*(Besatzung!$F$11:$F$22="x"))),1))))),0))))</f>
        <v/>
      </c>
      <c r="AA14" s="247">
        <f>IF(C14="Gutschrift","",IF(G14="","",IF(Besatzung!$B$15="","",IFERROR(IF(I14="Zeitanteilig",(Besatzung!$G$16*(G14-IFERROR(H14,0))+((Besatzung!$B$15&lt;&gt;"")*IF(B14="",1,(IF(Besatzung!$C$16="",Besatzung!$B$5,Besatzung!$C$16)&lt;=B14)*(IF(Besatzung!$D$16="",Besatzung!$B$6,Besatzung!$D$16)&gt;=B14)))*(Besatzung!$F$16="x")*IFERROR(H14,0)/IFERROR(SUMPRODUCT((Besatzung!$B$11:$B$22&lt;&gt;"")*(Besatzung!$F$11:$F$22="x")*(IF(Besatzung!$C$11:$C$22="",Besatzung!$B$5,Besatzung!$C$11:$C$22)&lt;=B14)*(IF(Besatzung!$D$11:$D$22="",Besatzung!$B$6,Besatzung!$D$11:$D$22)&gt;=B14)),1)),IF(I14="An Bord",(((Besatzung!$B$15&lt;&gt;"")*IF(B14="",1,(IF(Besatzung!$C$16="",Besatzung!$B$5,Besatzung!$C$16)&lt;=B14)*(IF(Besatzung!$D$16="",Besatzung!$B$6,Besatzung!$D$16)&gt;=B14)))*((G14-IFERROR(H14,0))/IFERROR(SUMPRODUCT((Besatzung!$B$11:$B$22&lt;&gt;"")*(IF(Besatzung!$C$11:$C$22="",Besatzung!$B$5,Besatzung!$C$11:$C$22)&lt;=B14)*(IF(Besatzung!$D$11:$D$22="",Besatzung!$B$6,Besatzung!$D$11:$D$22)&gt;=B14)),1)+(Besatzung!$F$16="x")*IFERROR(H14,0)/IFERROR(SUMPRODUCT((Besatzung!$B$11:$B$22&lt;&gt;"")*(Besatzung!$F$11:$F$22="x")*(IF(Besatzung!$C$11:$C$22="",Besatzung!$B$5,Besatzung!$C$11:$C$22)&lt;=B14)*(IF(Besatzung!$D$11:$D$22="",Besatzung!$B$6,Besatzung!$D$11:$D$22)&gt;=B14)),1))),IF(I14="Individuell",((O14="x")*((G14-IFERROR(H14,0))/IFERROR(COUNTIF(J14:U14,"x"),1)+(Besatzung!$F$16="x")*IFERROR(H14,0)/IFERROR(SUMPRODUCT((J14:U14="x")*(Besatzung!$F$11:$F$22="x")),1))),(IF(COUNTIF(J14:U14,"x")=0,IF(Besatzung!$B$15&lt;&gt;"",1,0),(O14="x"))*(G14-IFERROR(H14,0))/IFERROR(IF(COUNTIF(J14:U14,"x")=0,COUNTA(Besatzung!$B$11:$B$22),COUNTIF(J14:U14,"x")),1)+IF(COUNTIF(J14:U14,"x")=0,(Besatzung!$F$16="x"),(O14="x")*(Besatzung!$F$16="x"))*IFERROR(H14,0)/IFERROR(IF(COUNTIF(J14:U14,"x")=0,SUMPRODUCT((Besatzung!$B$11:$B$22&lt;&gt;"")*(Besatzung!$F$11:$F$22="x")),SUMPRODUCT((J14:U14="x")*(Besatzung!$F$11:$F$22="x"))),1))))),0))))</f>
        <v/>
      </c>
      <c r="AB14" s="247">
        <f>IF(C14="Gutschrift","",IF(G14="","",IF(Besatzung!$B$17="","",IFERROR(IF(I14="Zeitanteilig",(Besatzung!$G$17*(G14-IFERROR(H14,0))+((Besatzung!$B$17&lt;&gt;"")*IF(B14="",1,(IF(Besatzung!$C$17="",Besatzung!$B$5,Besatzung!$C$17)&lt;=B14)*(IF(Besatzung!$D$17="",Besatzung!$B$6,Besatzung!$D$17)&gt;=B14)))*(Besatzung!$F$17="x")*IFERROR(H14,0)/IFERROR(SUMPRODUCT((Besatzung!$B$11:$B$22&lt;&gt;"")*(Besatzung!$F$11:$F$22="x")*(IF(Besatzung!$C$11:$C$22="",Besatzung!$B$5,Besatzung!$C$11:$C$22)&lt;=B14)*(IF(Besatzung!$D$11:$D$22="",Besatzung!$B$6,Besatzung!$D$11:$D$22)&gt;=B14)),1)),IF(I14="An Bord",(((Besatzung!$B$17&lt;&gt;"")*IF(B14="",1,(IF(Besatzung!$C$17="",Besatzung!$B$5,Besatzung!$C$17)&lt;=B14)*(IF(Besatzung!$D$17="",Besatzung!$B$6,Besatzung!$D$17)&gt;=B14)))*((G14-IFERROR(H14,0))/IFERROR(SUMPRODUCT((Besatzung!$B$11:$B$22&lt;&gt;"")*(IF(Besatzung!$C$11:$C$22="",Besatzung!$B$5,Besatzung!$C$11:$C$22)&lt;=B14)*(IF(Besatzung!$D$11:$D$22="",Besatzung!$B$6,Besatzung!$D$11:$D$22)&gt;=B14)),1)+(Besatzung!$F$17="x")*IFERROR(H14,0)/IFERROR(SUMPRODUCT((Besatzung!$B$11:$B$22&lt;&gt;"")*(Besatzung!$F$11:$F$22="x")*(IF(Besatzung!$C$11:$C$22="",Besatzung!$B$5,Besatzung!$C$11:$C$22)&lt;=B14)*(IF(Besatzung!$D$11:$D$22="",Besatzung!$B$6,Besatzung!$D$11:$D$22)&gt;=B14)),1))),IF(I14="Individuell",((P14="x")*((G14-IFERROR(H14,0))/IFERROR(COUNTIF(J14:U14,"x"),1)+(Besatzung!$F$17="x")*IFERROR(H14,0)/IFERROR(SUMPRODUCT((J14:U14="x")*(Besatzung!$F$11:$F$22="x")),1))),(IF(COUNTIF(J14:U14,"x")=0,IF(Besatzung!$B$17&lt;&gt;"",1,0),(P14="x"))*(G14-IFERROR(H14,0))/IFERROR(IF(COUNTIF(J14:U14,"x")=0,COUNTA(Besatzung!$B$11:$B$22),COUNTIF(J14:U14,"x")),1)+IF(COUNTIF(J14:U14,"x")=0,(Besatzung!$F$17="x"),(P14="x")*(Besatzung!$F$17="x"))*IFERROR(H14,0)/IFERROR(IF(COUNTIF(J14:U14,"x")=0,SUMPRODUCT((Besatzung!$B$11:$B$22&lt;&gt;"")*(Besatzung!$F$11:$F$22="x")),SUMPRODUCT((J14:U14="x")*(Besatzung!$F$11:$F$22="x"))),1))))),0))))</f>
        <v/>
      </c>
      <c r="AC14" s="247">
        <f>IF(C14="Gutschrift","",IF(G14="","",IF(Besatzung!$B$18="","",IFERROR(IF(I14="Zeitanteilig",(Besatzung!$G$18*(G14-IFERROR(H14,0))+((Besatzung!$B$18&lt;&gt;"")*IF(B14="",1,(IF(Besatzung!$C$18="",Besatzung!$B$5,Besatzung!$C$18)&lt;=B14)*(IF(Besatzung!$D$18="",Besatzung!$B$6,Besatzung!$D$18)&gt;=B14)))*(Besatzung!$F$18="x")*IFERROR(H14,0)/IFERROR(SUMPRODUCT((Besatzung!$B$11:$B$22&lt;&gt;"")*(Besatzung!$F$11:$F$22="x")*(IF(Besatzung!$C$11:$C$22="",Besatzung!$B$5,Besatzung!$C$11:$C$22)&lt;=B14)*(IF(Besatzung!$D$11:$D$22="",Besatzung!$B$6,Besatzung!$D$11:$D$22)&gt;=B14)),1)),IF(I14="An Bord",(((Besatzung!$B$18&lt;&gt;"")*IF(B14="",1,(IF(Besatzung!$C$18="",Besatzung!$B$5,Besatzung!$C$18)&lt;=B14)*(IF(Besatzung!$D$18="",Besatzung!$B$6,Besatzung!$D$18)&gt;=B14)))*((G14-IFERROR(H14,0))/IFERROR(SUMPRODUCT((Besatzung!$B$11:$B$22&lt;&gt;"")*(IF(Besatzung!$C$11:$C$22="",Besatzung!$B$5,Besatzung!$C$11:$C$22)&lt;=B14)*(IF(Besatzung!$D$11:$D$22="",Besatzung!$B$6,Besatzung!$D$11:$D$22)&gt;=B14)),1)+(Besatzung!$F$18="x")*IFERROR(H14,0)/IFERROR(SUMPRODUCT((Besatzung!$B$11:$B$22&lt;&gt;"")*(Besatzung!$F$11:$F$22="x")*(IF(Besatzung!$C$11:$C$22="",Besatzung!$B$5,Besatzung!$C$11:$C$22)&lt;=B14)*(IF(Besatzung!$D$11:$D$22="",Besatzung!$B$6,Besatzung!$D$11:$D$22)&gt;=B14)),1))),IF(I14="Individuell",((Q14="x")*((G14-IFERROR(H14,0))/IFERROR(COUNTIF(J14:U14,"x"),1)+(Besatzung!$F$18="x")*IFERROR(H14,0)/IFERROR(SUMPRODUCT((J14:U14="x")*(Besatzung!$F$11:$F$22="x")),1))),(IF(COUNTIF(J14:U14,"x")=0,IF(Besatzung!$B$18&lt;&gt;"",1,0),(Q14="x"))*(G14-IFERROR(H14,0))/IFERROR(IF(COUNTIF(J14:U14,"x")=0,COUNTA(Besatzung!$B$11:$B$22),COUNTIF(J14:U14,"x")),1)+IF(COUNTIF(J14:U14,"x")=0,(Besatzung!$F$18="x"),(Q14="x")*(Besatzung!$F$18="x"))*IFERROR(H14,0)/IFERROR(IF(COUNTIF(J14:U14,"x")=0,SUMPRODUCT((Besatzung!$B$11:$B$22&lt;&gt;"")*(Besatzung!$F$11:$F$22="x")),SUMPRODUCT((J14:U14="x")*(Besatzung!$F$11:$F$22="x"))),1))))),0))))</f>
        <v/>
      </c>
      <c r="AD14" s="247">
        <f>IF(C14="Gutschrift","",IF(G14="","",IF(Besatzung!$B$19="","",IFERROR(IF(I14="Zeitanteilig",(Besatzung!$G$19*(G14-IFERROR(H14,0))+((Besatzung!$B$19&lt;&gt;"")*IF(B14="",1,(IF(Besatzung!$C$19="",Besatzung!$B$5,Besatzung!$C$19)&lt;=B14)*(IF(Besatzung!$D$19="",Besatzung!$B$6,Besatzung!$D$19)&gt;=B14)))*(Besatzung!$F$19="x")*IFERROR(H14,0)/IFERROR(SUMPRODUCT((Besatzung!$B$11:$B$22&lt;&gt;"")*(Besatzung!$F$11:$F$22="x")*(IF(Besatzung!$C$11:$C$22="",Besatzung!$B$5,Besatzung!$C$11:$C$22)&lt;=B14)*(IF(Besatzung!$D$11:$D$22="",Besatzung!$B$6,Besatzung!$D$11:$D$22)&gt;=B14)),1)),IF(I14="An Bord",(((Besatzung!$B$19&lt;&gt;"")*IF(B14="",1,(IF(Besatzung!$C$19="",Besatzung!$B$5,Besatzung!$C$19)&lt;=B14)*(IF(Besatzung!$D$19="",Besatzung!$B$6,Besatzung!$D$19)&gt;=B14)))*((G14-IFERROR(H14,0))/IFERROR(SUMPRODUCT((Besatzung!$B$11:$B$22&lt;&gt;"")*(IF(Besatzung!$C$11:$C$22="",Besatzung!$B$5,Besatzung!$C$11:$C$22)&lt;=B14)*(IF(Besatzung!$D$11:$D$22="",Besatzung!$B$6,Besatzung!$D$11:$D$22)&gt;=B14)),1)+(Besatzung!$F$19="x")*IFERROR(H14,0)/IFERROR(SUMPRODUCT((Besatzung!$B$11:$B$22&lt;&gt;"")*(Besatzung!$F$11:$F$22="x")*(IF(Besatzung!$C$11:$C$22="",Besatzung!$B$5,Besatzung!$C$11:$C$22)&lt;=B14)*(IF(Besatzung!$D$11:$D$22="",Besatzung!$B$6,Besatzung!$D$11:$D$22)&gt;=B14)),1))),IF(I14="Individuell",((R14="x")*((G14-IFERROR(H14,0))/IFERROR(COUNTIF(J14:U14,"x"),1)+(Besatzung!$F$19="x")*IFERROR(H14,0)/IFERROR(SUMPRODUCT((J14:U14="x")*(Besatzung!$F$11:$F$22="x")),1))),(IF(COUNTIF(J14:U14,"x")=0,IF(Besatzung!$B$19&lt;&gt;"",1,0),(R14="x"))*(G14-IFERROR(H14,0))/IFERROR(IF(COUNTIF(J14:U14,"x")=0,COUNTA(Besatzung!$B$11:$B$22),COUNTIF(J14:U14,"x")),1)+IF(COUNTIF(J14:U14,"x")=0,(Besatzung!$F$19="x"),(R14="x")*(Besatzung!$F$19="x"))*IFERROR(H14,0)/IFERROR(IF(COUNTIF(J14:U14,"x")=0,SUMPRODUCT((Besatzung!$B$11:$B$22&lt;&gt;"")*(Besatzung!$F$11:$F$22="x")),SUMPRODUCT((J14:U14="x")*(Besatzung!$F$11:$F$22="x"))),1))))),0))))</f>
        <v/>
      </c>
      <c r="AE14" s="247">
        <f>IF(C14="Gutschrift","",IF(G14="","",IF(Besatzung!$B$20="","",IFERROR(IF(I14="Zeitanteilig",(Besatzung!$G$20*(G14-IFERROR(H14,0))+((Besatzung!$B$20&lt;&gt;"")*IF(B14="",1,(IF(Besatzung!$C$20="",Besatzung!$B$5,Besatzung!$C$20)&lt;=B14)*(IF(Besatzung!$D$20="",Besatzung!$B$6,Besatzung!$D$20)&gt;=B14)))*(Besatzung!$F$20="x")*IFERROR(H14,0)/IFERROR(SUMPRODUCT((Besatzung!$B$11:$B$22&lt;&gt;"")*(Besatzung!$F$11:$F$22="x")*(IF(Besatzung!$C$11:$C$22="",Besatzung!$B$5,Besatzung!$C$11:$C$22)&lt;=B14)*(IF(Besatzung!$D$11:$D$22="",Besatzung!$B$6,Besatzung!$D$11:$D$22)&gt;=B14)),1)),IF(I14="An Bord",(((Besatzung!$B$20&lt;&gt;"")*IF(B14="",1,(IF(Besatzung!$C$20="",Besatzung!$B$5,Besatzung!$C$20)&lt;=B14)*(IF(Besatzung!$D$20="",Besatzung!$B$6,Besatzung!$D$20)&gt;=B14)))*((G14-IFERROR(H14,0))/IFERROR(SUMPRODUCT((Besatzung!$B$11:$B$22&lt;&gt;"")*(IF(Besatzung!$C$11:$C$22="",Besatzung!$B$5,Besatzung!$C$11:$C$22)&lt;=B14)*(IF(Besatzung!$D$11:$D$22="",Besatzung!$B$6,Besatzung!$D$11:$D$22)&gt;=B14)),1)+(Besatzung!$F$20="x")*IFERROR(H14,0)/IFERROR(SUMPRODUCT((Besatzung!$B$11:$B$22&lt;&gt;"")*(Besatzung!$F$11:$F$22="x")*(IF(Besatzung!$C$11:$C$22="",Besatzung!$B$5,Besatzung!$C$11:$C$22)&lt;=B14)*(IF(Besatzung!$D$11:$D$22="",Besatzung!$B$6,Besatzung!$D$11:$D$22)&gt;=B14)),1))),IF(I14="Individuell",((S14="x")*((G14-IFERROR(H14,0))/IFERROR(COUNTIF(J14:U14,"x"),1)+(Besatzung!$F$20="x")*IFERROR(H14,0)/IFERROR(SUMPRODUCT((J14:U14="x")*(Besatzung!$F$11:$F$22="x")),1))),(IF(COUNTIF(J14:U14,"x")=0,IF(Besatzung!$B$20&lt;&gt;"",1,0),(S14="x"))*(G14-IFERROR(H14,0))/IFERROR(IF(COUNTIF(J14:U14,"x")=0,COUNTA(Besatzung!$B$11:$B$22),COUNTIF(J14:U14,"x")),1)+IF(COUNTIF(J14:U14,"x")=0,(Besatzung!$F$20="x"),(S14="x")*(Besatzung!$F$20="x"))*IFERROR(H14,0)/IFERROR(IF(COUNTIF(J14:U14,"x")=0,SUMPRODUCT((Besatzung!$B$11:$B$22&lt;&gt;"")*(Besatzung!$F$11:$F$22="x")),SUMPRODUCT((J14:U14="x")*(Besatzung!$F$11:$F$22="x"))),1))))),0))))</f>
        <v/>
      </c>
      <c r="AF14" s="247">
        <f>IF(C14="Gutschrift","",IF(G14="","",IF(Besatzung!$B$21="","",IFERROR(IF(I14="Zeitanteilig",(Besatzung!$G$21*(G14-IFERROR(H14,0))+((Besatzung!$B$21&lt;&gt;"")*IF(B14="",1,(IF(Besatzung!$C$21="",Besatzung!$B$5,Besatzung!$C$21)&lt;=B14)*(IF(Besatzung!$D$21="",Besatzung!$B$6,Besatzung!$D$21)&gt;=B14)))*(Besatzung!$F$21="x")*IFERROR(H14,0)/IFERROR(SUMPRODUCT((Besatzung!$B$11:$B$22&lt;&gt;"")*(Besatzung!$F$11:$F$22="x")*(IF(Besatzung!$C$11:$C$22="",Besatzung!$B$5,Besatzung!$C$11:$C$22)&lt;=B14)*(IF(Besatzung!$D$11:$D$22="",Besatzung!$B$6,Besatzung!$D$11:$D$22)&gt;=B14)),1)),IF(I14="An Bord",(((Besatzung!$B$21&lt;&gt;"")*IF(B14="",1,(IF(Besatzung!$C$21="",Besatzung!$B$5,Besatzung!$C$21)&lt;=B14)*(IF(Besatzung!$D$21="",Besatzung!$B$6,Besatzung!$D$21)&gt;=B14)))*((G14-IFERROR(H14,0))/IFERROR(SUMPRODUCT((Besatzung!$B$11:$B$22&lt;&gt;"")*(IF(Besatzung!$C$11:$C$22="",Besatzung!$B$5,Besatzung!$C$11:$C$22)&lt;=B14)*(IF(Besatzung!$D$11:$D$22="",Besatzung!$B$6,Besatzung!$D$11:$D$22)&gt;=B14)),1)+(Besatzung!$F$21="x")*IFERROR(H14,0)/IFERROR(SUMPRODUCT((Besatzung!$B$11:$B$22&lt;&gt;"")*(Besatzung!$F$11:$F$22="x")*(IF(Besatzung!$C$11:$C$22="",Besatzung!$B$5,Besatzung!$C$11:$C$22)&lt;=B14)*(IF(Besatzung!$D$11:$D$22="",Besatzung!$B$6,Besatzung!$D$11:$D$22)&gt;=B14)),1))),IF(I14="Individuell",((T14="x")*((G14-IFERROR(H14,0))/IFERROR(COUNTIF(J14:U14,"x"),1)+(Besatzung!$F$21="x")*IFERROR(H14,0)/IFERROR(SUMPRODUCT((J14:U14="x")*(Besatzung!$F$11:$F$22="x")),1))),(IF(COUNTIF(J14:U14,"x")=0,IF(Besatzung!$B$21&lt;&gt;"",1,0),(T14="x"))*(G14-IFERROR(H14,0))/IFERROR(IF(COUNTIF(J14:U14,"x")=0,COUNTA(Besatzung!$B$11:$B$22),COUNTIF(J14:U14,"x")),1)+IF(COUNTIF(J14:U14,"x")=0,(Besatzung!$F$21="x"),(T14="x")*(Besatzung!$F$21="x"))*IFERROR(H14,0)/IFERROR(IF(COUNTIF(J14:U14,"x")=0,SUMPRODUCT((Besatzung!$B$11:$B$22&lt;&gt;"")*(Besatzung!$F$11:$F$22="x")),SUMPRODUCT((J14:U14="x")*(Besatzung!$F$11:$F$22="x"))),1))))),0))))</f>
        <v/>
      </c>
      <c r="AG14" s="247">
        <f>IF(C14="Gutschrift","",IF(G14="","",IF(Besatzung!$B$22="","",IFERROR(IF(I14="Zeitanteilig",(Besatzung!$G$22*(G14-IFERROR(H14,0))+((Besatzung!$B$22&lt;&gt;"")*IF(B14="",1,(IF(Besatzung!$C$22="",Besatzung!$B$5,Besatzung!$C$22)&lt;=B14)*(IF(Besatzung!$D$22="",Besatzung!$B$6,Besatzung!$D$22)&gt;=B14)))*(Besatzung!$F$22="x")*IFERROR(H14,0)/IFERROR(SUMPRODUCT((Besatzung!$B$11:$B$22&lt;&gt;"")*(Besatzung!$F$11:$F$22="x")*(IF(Besatzung!$C$11:$C$22="",Besatzung!$B$5,Besatzung!$C$11:$C$22)&lt;=B14)*(IF(Besatzung!$D$11:$D$22="",Besatzung!$B$6,Besatzung!$D$11:$D$22)&gt;=B14)),1)),IF(I14="An Bord",(((Besatzung!$B$22&lt;&gt;"")*IF(B14="",1,(IF(Besatzung!$C$22="",Besatzung!$B$5,Besatzung!$C$22)&lt;=B14)*(IF(Besatzung!$D$22="",Besatzung!$B$6,Besatzung!$D$22)&gt;=B14)))*((G14-IFERROR(H14,0))/IFERROR(SUMPRODUCT((Besatzung!$B$11:$B$22&lt;&gt;"")*(IF(Besatzung!$C$11:$C$22="",Besatzung!$B$5,Besatzung!$C$11:$C$22)&lt;=B14)*(IF(Besatzung!$D$11:$D$22="",Besatzung!$B$6,Besatzung!$D$11:$D$22)&gt;=B14)),1)+(Besatzung!$F$22="x")*IFERROR(H14,0)/IFERROR(SUMPRODUCT((Besatzung!$B$11:$B$22&lt;&gt;"")*(Besatzung!$F$11:$F$22="x")*(IF(Besatzung!$C$11:$C$22="",Besatzung!$B$5,Besatzung!$C$11:$C$22)&lt;=B14)*(IF(Besatzung!$D$11:$D$22="",Besatzung!$B$6,Besatzung!$D$11:$D$22)&gt;=B14)),1))),IF(I14="Individuell",((U14="x")*((G14-IFERROR(H14,0))/IFERROR(COUNTIF(J14:U14,"x"),1)+(Besatzung!$F$22="x")*IFERROR(H14,0)/IFERROR(SUMPRODUCT((J14:U14="x")*(Besatzung!$F$11:$F$22="x")),1))),(IF(COUNTIF(J14:U14,"x")=0,IF(Besatzung!$B$22&lt;&gt;"",1,0),(U14="x"))*(G14-IFERROR(H14,0))/IFERROR(IF(COUNTIF(J14:U14,"x")=0,COUNTA(Besatzung!$B$11:$B$22),COUNTIF(J14:U14,"x")),1)+IF(COUNTIF(J14:U14,"x")=0,(Besatzung!$F$22="x"),(U14="x")*(Besatzung!$F$22="x"))*IFERROR(H14,0)/IFERROR(IF(COUNTIF(J14:U14,"x")=0,SUMPRODUCT((Besatzung!$B$11:$B$22&lt;&gt;"")*(Besatzung!$F$11:$F$22="x")),SUMPRODUCT((J14:U14="x")*(Besatzung!$F$11:$F$22="x"))),1))))),0))))</f>
        <v/>
      </c>
      <c r="AH14" s="248" t="n"/>
      <c r="AI14" s="248" t="n"/>
    </row>
    <row r="15" ht="21.75" customHeight="1" s="154">
      <c r="A15" s="238">
        <f>IF(AND(D15="",C15=""),"",12)</f>
        <v/>
      </c>
      <c r="B15" s="206" t="n"/>
      <c r="C15" s="249" t="n"/>
      <c r="D15" s="250" t="n"/>
      <c r="E15" s="251" t="n"/>
      <c r="F15" s="252" t="n"/>
      <c r="G15" s="253" t="n"/>
      <c r="H15" s="254" t="n"/>
      <c r="I15" s="255" t="n"/>
      <c r="J15" s="256" t="n"/>
      <c r="K15" s="256" t="n"/>
      <c r="L15" s="256" t="n"/>
      <c r="M15" s="256" t="n"/>
      <c r="N15" s="256" t="n"/>
      <c r="O15" s="256" t="n"/>
      <c r="P15" s="256" t="n"/>
      <c r="Q15" s="256" t="n"/>
      <c r="R15" s="256" t="n"/>
      <c r="S15" s="256" t="n"/>
      <c r="T15" s="256" t="n"/>
      <c r="U15" s="256" t="n"/>
      <c r="V15" s="247">
        <f>IF(C15="Gutschrift","",IF(G15="","",IF(Besatzung!$B$11="","",IFERROR(IF(I15="Zeitanteilig",(Besatzung!$G$11*(G15-IFERROR(H15,0))+((Besatzung!$B$11&lt;&gt;"")*IF(B15="",1,(IF(Besatzung!$C$11="",Besatzung!$B$5,Besatzung!$C$11)&lt;=B15)*(IF(Besatzung!$D$11="",Besatzung!$B$6,Besatzung!$D$11)&gt;=B15)))*(Besatzung!$F$11="x")*IFERROR(H15,0)/IFERROR(SUMPRODUCT((Besatzung!$B$11:$B$22&lt;&gt;"")*(Besatzung!$F$11:$F$22="x")*(IF(Besatzung!$C$11:$C$22="",Besatzung!$B$5,Besatzung!$C$11:$C$22)&lt;=B15)*(IF(Besatzung!$D$11:$D$22="",Besatzung!$B$6,Besatzung!$D$11:$D$22)&gt;=B15)),1)),IF(I15="An Bord",(((Besatzung!$B$11&lt;&gt;"")*IF(B15="",1,(IF(Besatzung!$C$11="",Besatzung!$B$5,Besatzung!$C$11)&lt;=B15)*(IF(Besatzung!$D$11="",Besatzung!$B$6,Besatzung!$D$11)&gt;=B15)))*((G15-IFERROR(H15,0))/IFERROR(SUMPRODUCT((Besatzung!$B$11:$B$22&lt;&gt;"")*(IF(Besatzung!$C$11:$C$22="",Besatzung!$B$5,Besatzung!$C$11:$C$22)&lt;=B15)*(IF(Besatzung!$D$11:$D$22="",Besatzung!$B$6,Besatzung!$D$11:$D$22)&gt;=B15)),1)+(Besatzung!$F$11="x")*IFERROR(H15,0)/IFERROR(SUMPRODUCT((Besatzung!$B$11:$B$22&lt;&gt;"")*(Besatzung!$F$11:$F$22="x")*(IF(Besatzung!$C$11:$C$22="",Besatzung!$B$5,Besatzung!$C$11:$C$22)&lt;=B15)*(IF(Besatzung!$D$11:$D$22="",Besatzung!$B$6,Besatzung!$D$11:$D$22)&gt;=B15)),1))),IF(I15="Individuell",((J15="x")*((G15-IFERROR(H15,0))/IFERROR(COUNTIF(J15:U15,"x"),1)+(Besatzung!$F$11="x")*IFERROR(H15,0)/IFERROR(SUMPRODUCT((J15:U15="x")*(Besatzung!$F$11:$F$22="x")),1))),(IF(COUNTIF(J15:U15,"x")=0,IF(Besatzung!$B$11&lt;&gt;"",1,0),(J15="x"))*(G15-IFERROR(H15,0))/IFERROR(IF(COUNTIF(J15:U15,"x")=0,COUNTA(Besatzung!$B$11:$B$22),COUNTIF(J15:U15,"x")),1)+IF(COUNTIF(J15:U15,"x")=0,(Besatzung!$F$11="x"),(J15="x")*(Besatzung!$F$11="x"))*IFERROR(H15,0)/IFERROR(IF(COUNTIF(J15:U15,"x")=0,SUMPRODUCT((Besatzung!$B$11:$B$22&lt;&gt;"")*(Besatzung!$F$11:$F$22="x")),SUMPRODUCT((J15:U15="x")*(Besatzung!$F$11:$F$22="x"))),1))))),0))))</f>
        <v/>
      </c>
      <c r="W15" s="247">
        <f>IF(C15="Gutschrift","",IF(G15="","",IF(Besatzung!$B$12="","",IFERROR(IF(I15="Zeitanteilig",(Besatzung!$G$12*(G15-IFERROR(H15,0))+((Besatzung!$B$12&lt;&gt;"")*IF(B15="",1,(IF(Besatzung!$C$12="",Besatzung!$B$5,Besatzung!$C$12)&lt;=B15)*(IF(Besatzung!$D$12="",Besatzung!$B$6,Besatzung!$D$12)&gt;=B15)))*(Besatzung!$F$12="x")*IFERROR(H15,0)/IFERROR(SUMPRODUCT((Besatzung!$B$11:$B$22&lt;&gt;"")*(Besatzung!$F$11:$F$22="x")*(IF(Besatzung!$C$11:$C$22="",Besatzung!$B$5,Besatzung!$C$11:$C$22)&lt;=B15)*(IF(Besatzung!$D$11:$D$22="",Besatzung!$B$6,Besatzung!$D$11:$D$22)&gt;=B15)),1)),IF(I15="An Bord",(((Besatzung!$B$12&lt;&gt;"")*IF(B15="",1,(IF(Besatzung!$C$12="",Besatzung!$B$5,Besatzung!$C$12)&lt;=B15)*(IF(Besatzung!$D$12="",Besatzung!$B$6,Besatzung!$D$12)&gt;=B15)))*((G15-IFERROR(H15,0))/IFERROR(SUMPRODUCT((Besatzung!$B$11:$B$22&lt;&gt;"")*(IF(Besatzung!$C$11:$C$22="",Besatzung!$B$5,Besatzung!$C$11:$C$22)&lt;=B15)*(IF(Besatzung!$D$11:$D$22="",Besatzung!$B$6,Besatzung!$D$11:$D$22)&gt;=B15)),1)+(Besatzung!$F$12="x")*IFERROR(H15,0)/IFERROR(SUMPRODUCT((Besatzung!$B$11:$B$22&lt;&gt;"")*(Besatzung!$F$11:$F$22="x")*(IF(Besatzung!$C$11:$C$22="",Besatzung!$B$5,Besatzung!$C$11:$C$22)&lt;=B15)*(IF(Besatzung!$D$11:$D$22="",Besatzung!$B$6,Besatzung!$D$11:$D$22)&gt;=B15)),1))),IF(I15="Individuell",((K15="x")*((G15-IFERROR(H15,0))/IFERROR(COUNTIF(J15:U15,"x"),1)+(Besatzung!$F$12="x")*IFERROR(H15,0)/IFERROR(SUMPRODUCT((J15:U15="x")*(Besatzung!$F$11:$F$22="x")),1))),(IF(COUNTIF(J15:U15,"x")=0,IF(Besatzung!$B$12&lt;&gt;"",1,0),(K15="x"))*(G15-IFERROR(H15,0))/IFERROR(IF(COUNTIF(J15:U15,"x")=0,COUNTA(Besatzung!$B$11:$B$22),COUNTIF(J15:U15,"x")),1)+IF(COUNTIF(J15:U15,"x")=0,(Besatzung!$F$12="x"),(K15="x")*(Besatzung!$F$12="x"))*IFERROR(H15,0)/IFERROR(IF(COUNTIF(J15:U15,"x")=0,SUMPRODUCT((Besatzung!$B$11:$B$22&lt;&gt;"")*(Besatzung!$F$11:$F$22="x")),SUMPRODUCT((J15:U15="x")*(Besatzung!$F$11:$F$22="x"))),1))))),0))))</f>
        <v/>
      </c>
      <c r="X15" s="247">
        <f>IF(C15="Gutschrift","",IF(G15="","",IF(Besatzung!$B$13="","",IFERROR(IF(I15="Zeitanteilig",(Besatzung!$G$13*(G15-IFERROR(H15,0))+((Besatzung!$B$13&lt;&gt;"")*IF(B15="",1,(IF(Besatzung!$C$13="",Besatzung!$B$5,Besatzung!$C$13)&lt;=B15)*(IF(Besatzung!$D$13="",Besatzung!$B$6,Besatzung!$D$13)&gt;=B15)))*(Besatzung!$F$13="x")*IFERROR(H15,0)/IFERROR(SUMPRODUCT((Besatzung!$B$11:$B$22&lt;&gt;"")*(Besatzung!$F$11:$F$22="x")*(IF(Besatzung!$C$11:$C$22="",Besatzung!$B$5,Besatzung!$C$11:$C$22)&lt;=B15)*(IF(Besatzung!$D$11:$D$22="",Besatzung!$B$6,Besatzung!$D$11:$D$22)&gt;=B15)),1)),IF(I15="An Bord",(((Besatzung!$B$13&lt;&gt;"")*IF(B15="",1,(IF(Besatzung!$C$13="",Besatzung!$B$5,Besatzung!$C$13)&lt;=B15)*(IF(Besatzung!$D$13="",Besatzung!$B$6,Besatzung!$D$13)&gt;=B15)))*((G15-IFERROR(H15,0))/IFERROR(SUMPRODUCT((Besatzung!$B$11:$B$22&lt;&gt;"")*(IF(Besatzung!$C$11:$C$22="",Besatzung!$B$5,Besatzung!$C$11:$C$22)&lt;=B15)*(IF(Besatzung!$D$11:$D$22="",Besatzung!$B$6,Besatzung!$D$11:$D$22)&gt;=B15)),1)+(Besatzung!$F$13="x")*IFERROR(H15,0)/IFERROR(SUMPRODUCT((Besatzung!$B$11:$B$22&lt;&gt;"")*(Besatzung!$F$11:$F$22="x")*(IF(Besatzung!$C$11:$C$22="",Besatzung!$B$5,Besatzung!$C$11:$C$22)&lt;=B15)*(IF(Besatzung!$D$11:$D$22="",Besatzung!$B$6,Besatzung!$D$11:$D$22)&gt;=B15)),1))),IF(I15="Individuell",((K15="x")*((G15-IFERROR(H15,0))/IFERROR(COUNTIF(J15:U15,"x"),1)+(Besatzung!$F$13="x")*IFERROR(H15,0)/IFERROR(SUMPRODUCT((J15:U15="x")*(Besatzung!$F$11:$F$22="x")),1))),(IF(COUNTIF(J15:U15,"x")=0,IF(Besatzung!$B$13&lt;&gt;"",1,0),(K15="x"))*(G15-IFERROR(H15,0))/IFERROR(IF(COUNTIF(J15:U15,"x")=0,COUNTA(Besatzung!$B$11:$B$22),COUNTIF(J15:U15,"x")),1)+IF(COUNTIF(J15:U15,"x")=0,(Besatzung!$F$13="x"),(K15="x")*(Besatzung!$F$13="x"))*IFERROR(H15,0)/IFERROR(IF(COUNTIF(J15:U15,"x")=0,SUMPRODUCT((Besatzung!$B$11:$B$22&lt;&gt;"")*(Besatzung!$F$11:$F$22="x")),SUMPRODUCT((J15:U15="x")*(Besatzung!$F$11:$F$22="x"))),1))))),0))))</f>
        <v/>
      </c>
      <c r="Y15" s="247">
        <f>IF(C15="Gutschrift","",IF(G15="","",IF(Besatzung!$B$14="","",IFERROR(IF(I15="Zeitanteilig",(Besatzung!$G$14*(G15-IFERROR(H15,0))+((Besatzung!$B$14&lt;&gt;"")*IF(B15="",1,(IF(Besatzung!$C$14="",Besatzung!$B$5,Besatzung!$C$14)&lt;=B15)*(IF(Besatzung!$D$14="",Besatzung!$B$6,Besatzung!$D$14)&gt;=B15)))*(Besatzung!$F$14="x")*IFERROR(H15,0)/IFERROR(SUMPRODUCT((Besatzung!$B$11:$B$22&lt;&gt;"")*(Besatzung!$F$11:$F$22="x")*(IF(Besatzung!$C$11:$C$22="",Besatzung!$B$5,Besatzung!$C$11:$C$22)&lt;=B15)*(IF(Besatzung!$D$11:$D$22="",Besatzung!$B$6,Besatzung!$D$11:$D$22)&gt;=B15)),1)),IF(I15="An Bord",(((Besatzung!$B$14&lt;&gt;"")*IF(B15="",1,(IF(Besatzung!$C$14="",Besatzung!$B$5,Besatzung!$C$14)&lt;=B15)*(IF(Besatzung!$D$14="",Besatzung!$B$6,Besatzung!$D$14)&gt;=B15)))*((G15-IFERROR(H15,0))/IFERROR(SUMPRODUCT((Besatzung!$B$11:$B$22&lt;&gt;"")*(IF(Besatzung!$C$11:$C$22="",Besatzung!$B$5,Besatzung!$C$11:$C$22)&lt;=B15)*(IF(Besatzung!$D$11:$D$22="",Besatzung!$B$6,Besatzung!$D$11:$D$22)&gt;=B15)),1)+(Besatzung!$F$14="x")*IFERROR(H15,0)/IFERROR(SUMPRODUCT((Besatzung!$B$11:$B$22&lt;&gt;"")*(Besatzung!$F$11:$F$22="x")*(IF(Besatzung!$C$11:$C$22="",Besatzung!$B$5,Besatzung!$C$11:$C$22)&lt;=B15)*(IF(Besatzung!$D$11:$D$22="",Besatzung!$B$6,Besatzung!$D$11:$D$22)&gt;=B15)),1))),IF(I15="Individuell",((M15="x")*((G15-IFERROR(H15,0))/IFERROR(COUNTIF(J15:U15,"x"),1)+(Besatzung!$F$14="x")*IFERROR(H15,0)/IFERROR(SUMPRODUCT((J15:U15="x")*(Besatzung!$F$11:$F$22="x")),1))),(IF(COUNTIF(J15:U15,"x")=0,IF(Besatzung!$B$14&lt;&gt;"",1,0),(M15="x"))*(G15-IFERROR(H15,0))/IFERROR(IF(COUNTIF(J15:U15,"x")=0,COUNTA(Besatzung!$B$11:$B$22),COUNTIF(J15:U15,"x")),1)+IF(COUNTIF(J15:U15,"x")=0,(Besatzung!$F$14="x"),(M15="x")*(Besatzung!$F$14="x"))*IFERROR(H15,0)/IFERROR(IF(COUNTIF(J15:U15,"x")=0,SUMPRODUCT((Besatzung!$B$11:$B$22&lt;&gt;"")*(Besatzung!$F$11:$F$22="x")),SUMPRODUCT((J15:U15="x")*(Besatzung!$F$11:$F$22="x"))),1))))),0))))</f>
        <v/>
      </c>
      <c r="Z15" s="247">
        <f>IF(C15="Gutschrift","",IF(G15="","",IF(Besatzung!$B$13="","",IFERROR(IF(I15="Zeitanteilig",(Besatzung!$G$15*(G15-IFERROR(H15,0))+((Besatzung!$B$13&lt;&gt;"")*IF(B15="",1,(IF(Besatzung!$C$15="",Besatzung!$B$5,Besatzung!$C$15)&lt;=B15)*(IF(Besatzung!$D$15="",Besatzung!$B$6,Besatzung!$D$15)&gt;=B15)))*(Besatzung!$F$15="x")*IFERROR(H15,0)/IFERROR(SUMPRODUCT((Besatzung!$B$11:$B$22&lt;&gt;"")*(Besatzung!$F$11:$F$22="x")*(IF(Besatzung!$C$11:$C$22="",Besatzung!$B$5,Besatzung!$C$11:$C$22)&lt;=B15)*(IF(Besatzung!$D$11:$D$22="",Besatzung!$B$6,Besatzung!$D$11:$D$22)&gt;=B15)),1)),IF(I15="An Bord",(((Besatzung!$B$13&lt;&gt;"")*IF(B15="",1,(IF(Besatzung!$C$15="",Besatzung!$B$5,Besatzung!$C$15)&lt;=B15)*(IF(Besatzung!$D$15="",Besatzung!$B$6,Besatzung!$D$15)&gt;=B15)))*((G15-IFERROR(H15,0))/IFERROR(SUMPRODUCT((Besatzung!$B$11:$B$22&lt;&gt;"")*(IF(Besatzung!$C$11:$C$22="",Besatzung!$B$5,Besatzung!$C$11:$C$22)&lt;=B15)*(IF(Besatzung!$D$11:$D$22="",Besatzung!$B$6,Besatzung!$D$11:$D$22)&gt;=B15)),1)+(Besatzung!$F$15="x")*IFERROR(H15,0)/IFERROR(SUMPRODUCT((Besatzung!$B$11:$B$22&lt;&gt;"")*(Besatzung!$F$11:$F$22="x")*(IF(Besatzung!$C$11:$C$22="",Besatzung!$B$5,Besatzung!$C$11:$C$22)&lt;=B15)*(IF(Besatzung!$D$11:$D$22="",Besatzung!$B$6,Besatzung!$D$11:$D$22)&gt;=B15)),1))),IF(I15="Individuell",((N15="x")*((G15-IFERROR(H15,0))/IFERROR(COUNTIF(J15:U15,"x"),1)+(Besatzung!$F$15="x")*IFERROR(H15,0)/IFERROR(SUMPRODUCT((J15:U15="x")*(Besatzung!$F$11:$F$22="x")),1))),(IF(COUNTIF(J15:U15,"x")=0,IF(Besatzung!$B$13&lt;&gt;"",1,0),(N15="x"))*(G15-IFERROR(H15,0))/IFERROR(IF(COUNTIF(J15:U15,"x")=0,COUNTA(Besatzung!$B$11:$B$22),COUNTIF(J15:U15,"x")),1)+IF(COUNTIF(J15:U15,"x")=0,(Besatzung!$F$15="x"),(N15="x")*(Besatzung!$F$15="x"))*IFERROR(H15,0)/IFERROR(IF(COUNTIF(J15:U15,"x")=0,SUMPRODUCT((Besatzung!$B$11:$B$22&lt;&gt;"")*(Besatzung!$F$11:$F$22="x")),SUMPRODUCT((J15:U15="x")*(Besatzung!$F$11:$F$22="x"))),1))))),0))))</f>
        <v/>
      </c>
      <c r="AA15" s="247">
        <f>IF(C15="Gutschrift","",IF(G15="","",IF(Besatzung!$B$15="","",IFERROR(IF(I15="Zeitanteilig",(Besatzung!$G$16*(G15-IFERROR(H15,0))+((Besatzung!$B$15&lt;&gt;"")*IF(B15="",1,(IF(Besatzung!$C$16="",Besatzung!$B$5,Besatzung!$C$16)&lt;=B15)*(IF(Besatzung!$D$16="",Besatzung!$B$6,Besatzung!$D$16)&gt;=B15)))*(Besatzung!$F$16="x")*IFERROR(H15,0)/IFERROR(SUMPRODUCT((Besatzung!$B$11:$B$22&lt;&gt;"")*(Besatzung!$F$11:$F$22="x")*(IF(Besatzung!$C$11:$C$22="",Besatzung!$B$5,Besatzung!$C$11:$C$22)&lt;=B15)*(IF(Besatzung!$D$11:$D$22="",Besatzung!$B$6,Besatzung!$D$11:$D$22)&gt;=B15)),1)),IF(I15="An Bord",(((Besatzung!$B$15&lt;&gt;"")*IF(B15="",1,(IF(Besatzung!$C$16="",Besatzung!$B$5,Besatzung!$C$16)&lt;=B15)*(IF(Besatzung!$D$16="",Besatzung!$B$6,Besatzung!$D$16)&gt;=B15)))*((G15-IFERROR(H15,0))/IFERROR(SUMPRODUCT((Besatzung!$B$11:$B$22&lt;&gt;"")*(IF(Besatzung!$C$11:$C$22="",Besatzung!$B$5,Besatzung!$C$11:$C$22)&lt;=B15)*(IF(Besatzung!$D$11:$D$22="",Besatzung!$B$6,Besatzung!$D$11:$D$22)&gt;=B15)),1)+(Besatzung!$F$16="x")*IFERROR(H15,0)/IFERROR(SUMPRODUCT((Besatzung!$B$11:$B$22&lt;&gt;"")*(Besatzung!$F$11:$F$22="x")*(IF(Besatzung!$C$11:$C$22="",Besatzung!$B$5,Besatzung!$C$11:$C$22)&lt;=B15)*(IF(Besatzung!$D$11:$D$22="",Besatzung!$B$6,Besatzung!$D$11:$D$22)&gt;=B15)),1))),IF(I15="Individuell",((O15="x")*((G15-IFERROR(H15,0))/IFERROR(COUNTIF(J15:U15,"x"),1)+(Besatzung!$F$16="x")*IFERROR(H15,0)/IFERROR(SUMPRODUCT((J15:U15="x")*(Besatzung!$F$11:$F$22="x")),1))),(IF(COUNTIF(J15:U15,"x")=0,IF(Besatzung!$B$15&lt;&gt;"",1,0),(O15="x"))*(G15-IFERROR(H15,0))/IFERROR(IF(COUNTIF(J15:U15,"x")=0,COUNTA(Besatzung!$B$11:$B$22),COUNTIF(J15:U15,"x")),1)+IF(COUNTIF(J15:U15,"x")=0,(Besatzung!$F$16="x"),(O15="x")*(Besatzung!$F$16="x"))*IFERROR(H15,0)/IFERROR(IF(COUNTIF(J15:U15,"x")=0,SUMPRODUCT((Besatzung!$B$11:$B$22&lt;&gt;"")*(Besatzung!$F$11:$F$22="x")),SUMPRODUCT((J15:U15="x")*(Besatzung!$F$11:$F$22="x"))),1))))),0))))</f>
        <v/>
      </c>
      <c r="AB15" s="247">
        <f>IF(C15="Gutschrift","",IF(G15="","",IF(Besatzung!$B$17="","",IFERROR(IF(I15="Zeitanteilig",(Besatzung!$G$17*(G15-IFERROR(H15,0))+((Besatzung!$B$17&lt;&gt;"")*IF(B15="",1,(IF(Besatzung!$C$17="",Besatzung!$B$5,Besatzung!$C$17)&lt;=B15)*(IF(Besatzung!$D$17="",Besatzung!$B$6,Besatzung!$D$17)&gt;=B15)))*(Besatzung!$F$17="x")*IFERROR(H15,0)/IFERROR(SUMPRODUCT((Besatzung!$B$11:$B$22&lt;&gt;"")*(Besatzung!$F$11:$F$22="x")*(IF(Besatzung!$C$11:$C$22="",Besatzung!$B$5,Besatzung!$C$11:$C$22)&lt;=B15)*(IF(Besatzung!$D$11:$D$22="",Besatzung!$B$6,Besatzung!$D$11:$D$22)&gt;=B15)),1)),IF(I15="An Bord",(((Besatzung!$B$17&lt;&gt;"")*IF(B15="",1,(IF(Besatzung!$C$17="",Besatzung!$B$5,Besatzung!$C$17)&lt;=B15)*(IF(Besatzung!$D$17="",Besatzung!$B$6,Besatzung!$D$17)&gt;=B15)))*((G15-IFERROR(H15,0))/IFERROR(SUMPRODUCT((Besatzung!$B$11:$B$22&lt;&gt;"")*(IF(Besatzung!$C$11:$C$22="",Besatzung!$B$5,Besatzung!$C$11:$C$22)&lt;=B15)*(IF(Besatzung!$D$11:$D$22="",Besatzung!$B$6,Besatzung!$D$11:$D$22)&gt;=B15)),1)+(Besatzung!$F$17="x")*IFERROR(H15,0)/IFERROR(SUMPRODUCT((Besatzung!$B$11:$B$22&lt;&gt;"")*(Besatzung!$F$11:$F$22="x")*(IF(Besatzung!$C$11:$C$22="",Besatzung!$B$5,Besatzung!$C$11:$C$22)&lt;=B15)*(IF(Besatzung!$D$11:$D$22="",Besatzung!$B$6,Besatzung!$D$11:$D$22)&gt;=B15)),1))),IF(I15="Individuell",((P15="x")*((G15-IFERROR(H15,0))/IFERROR(COUNTIF(J15:U15,"x"),1)+(Besatzung!$F$17="x")*IFERROR(H15,0)/IFERROR(SUMPRODUCT((J15:U15="x")*(Besatzung!$F$11:$F$22="x")),1))),(IF(COUNTIF(J15:U15,"x")=0,IF(Besatzung!$B$17&lt;&gt;"",1,0),(P15="x"))*(G15-IFERROR(H15,0))/IFERROR(IF(COUNTIF(J15:U15,"x")=0,COUNTA(Besatzung!$B$11:$B$22),COUNTIF(J15:U15,"x")),1)+IF(COUNTIF(J15:U15,"x")=0,(Besatzung!$F$17="x"),(P15="x")*(Besatzung!$F$17="x"))*IFERROR(H15,0)/IFERROR(IF(COUNTIF(J15:U15,"x")=0,SUMPRODUCT((Besatzung!$B$11:$B$22&lt;&gt;"")*(Besatzung!$F$11:$F$22="x")),SUMPRODUCT((J15:U15="x")*(Besatzung!$F$11:$F$22="x"))),1))))),0))))</f>
        <v/>
      </c>
      <c r="AC15" s="247">
        <f>IF(C15="Gutschrift","",IF(G15="","",IF(Besatzung!$B$18="","",IFERROR(IF(I15="Zeitanteilig",(Besatzung!$G$18*(G15-IFERROR(H15,0))+((Besatzung!$B$18&lt;&gt;"")*IF(B15="",1,(IF(Besatzung!$C$18="",Besatzung!$B$5,Besatzung!$C$18)&lt;=B15)*(IF(Besatzung!$D$18="",Besatzung!$B$6,Besatzung!$D$18)&gt;=B15)))*(Besatzung!$F$18="x")*IFERROR(H15,0)/IFERROR(SUMPRODUCT((Besatzung!$B$11:$B$22&lt;&gt;"")*(Besatzung!$F$11:$F$22="x")*(IF(Besatzung!$C$11:$C$22="",Besatzung!$B$5,Besatzung!$C$11:$C$22)&lt;=B15)*(IF(Besatzung!$D$11:$D$22="",Besatzung!$B$6,Besatzung!$D$11:$D$22)&gt;=B15)),1)),IF(I15="An Bord",(((Besatzung!$B$18&lt;&gt;"")*IF(B15="",1,(IF(Besatzung!$C$18="",Besatzung!$B$5,Besatzung!$C$18)&lt;=B15)*(IF(Besatzung!$D$18="",Besatzung!$B$6,Besatzung!$D$18)&gt;=B15)))*((G15-IFERROR(H15,0))/IFERROR(SUMPRODUCT((Besatzung!$B$11:$B$22&lt;&gt;"")*(IF(Besatzung!$C$11:$C$22="",Besatzung!$B$5,Besatzung!$C$11:$C$22)&lt;=B15)*(IF(Besatzung!$D$11:$D$22="",Besatzung!$B$6,Besatzung!$D$11:$D$22)&gt;=B15)),1)+(Besatzung!$F$18="x")*IFERROR(H15,0)/IFERROR(SUMPRODUCT((Besatzung!$B$11:$B$22&lt;&gt;"")*(Besatzung!$F$11:$F$22="x")*(IF(Besatzung!$C$11:$C$22="",Besatzung!$B$5,Besatzung!$C$11:$C$22)&lt;=B15)*(IF(Besatzung!$D$11:$D$22="",Besatzung!$B$6,Besatzung!$D$11:$D$22)&gt;=B15)),1))),IF(I15="Individuell",((Q15="x")*((G15-IFERROR(H15,0))/IFERROR(COUNTIF(J15:U15,"x"),1)+(Besatzung!$F$18="x")*IFERROR(H15,0)/IFERROR(SUMPRODUCT((J15:U15="x")*(Besatzung!$F$11:$F$22="x")),1))),(IF(COUNTIF(J15:U15,"x")=0,IF(Besatzung!$B$18&lt;&gt;"",1,0),(Q15="x"))*(G15-IFERROR(H15,0))/IFERROR(IF(COUNTIF(J15:U15,"x")=0,COUNTA(Besatzung!$B$11:$B$22),COUNTIF(J15:U15,"x")),1)+IF(COUNTIF(J15:U15,"x")=0,(Besatzung!$F$18="x"),(Q15="x")*(Besatzung!$F$18="x"))*IFERROR(H15,0)/IFERROR(IF(COUNTIF(J15:U15,"x")=0,SUMPRODUCT((Besatzung!$B$11:$B$22&lt;&gt;"")*(Besatzung!$F$11:$F$22="x")),SUMPRODUCT((J15:U15="x")*(Besatzung!$F$11:$F$22="x"))),1))))),0))))</f>
        <v/>
      </c>
      <c r="AD15" s="247">
        <f>IF(C15="Gutschrift","",IF(G15="","",IF(Besatzung!$B$19="","",IFERROR(IF(I15="Zeitanteilig",(Besatzung!$G$19*(G15-IFERROR(H15,0))+((Besatzung!$B$19&lt;&gt;"")*IF(B15="",1,(IF(Besatzung!$C$19="",Besatzung!$B$5,Besatzung!$C$19)&lt;=B15)*(IF(Besatzung!$D$19="",Besatzung!$B$6,Besatzung!$D$19)&gt;=B15)))*(Besatzung!$F$19="x")*IFERROR(H15,0)/IFERROR(SUMPRODUCT((Besatzung!$B$11:$B$22&lt;&gt;"")*(Besatzung!$F$11:$F$22="x")*(IF(Besatzung!$C$11:$C$22="",Besatzung!$B$5,Besatzung!$C$11:$C$22)&lt;=B15)*(IF(Besatzung!$D$11:$D$22="",Besatzung!$B$6,Besatzung!$D$11:$D$22)&gt;=B15)),1)),IF(I15="An Bord",(((Besatzung!$B$19&lt;&gt;"")*IF(B15="",1,(IF(Besatzung!$C$19="",Besatzung!$B$5,Besatzung!$C$19)&lt;=B15)*(IF(Besatzung!$D$19="",Besatzung!$B$6,Besatzung!$D$19)&gt;=B15)))*((G15-IFERROR(H15,0))/IFERROR(SUMPRODUCT((Besatzung!$B$11:$B$22&lt;&gt;"")*(IF(Besatzung!$C$11:$C$22="",Besatzung!$B$5,Besatzung!$C$11:$C$22)&lt;=B15)*(IF(Besatzung!$D$11:$D$22="",Besatzung!$B$6,Besatzung!$D$11:$D$22)&gt;=B15)),1)+(Besatzung!$F$19="x")*IFERROR(H15,0)/IFERROR(SUMPRODUCT((Besatzung!$B$11:$B$22&lt;&gt;"")*(Besatzung!$F$11:$F$22="x")*(IF(Besatzung!$C$11:$C$22="",Besatzung!$B$5,Besatzung!$C$11:$C$22)&lt;=B15)*(IF(Besatzung!$D$11:$D$22="",Besatzung!$B$6,Besatzung!$D$11:$D$22)&gt;=B15)),1))),IF(I15="Individuell",((R15="x")*((G15-IFERROR(H15,0))/IFERROR(COUNTIF(J15:U15,"x"),1)+(Besatzung!$F$19="x")*IFERROR(H15,0)/IFERROR(SUMPRODUCT((J15:U15="x")*(Besatzung!$F$11:$F$22="x")),1))),(IF(COUNTIF(J15:U15,"x")=0,IF(Besatzung!$B$19&lt;&gt;"",1,0),(R15="x"))*(G15-IFERROR(H15,0))/IFERROR(IF(COUNTIF(J15:U15,"x")=0,COUNTA(Besatzung!$B$11:$B$22),COUNTIF(J15:U15,"x")),1)+IF(COUNTIF(J15:U15,"x")=0,(Besatzung!$F$19="x"),(R15="x")*(Besatzung!$F$19="x"))*IFERROR(H15,0)/IFERROR(IF(COUNTIF(J15:U15,"x")=0,SUMPRODUCT((Besatzung!$B$11:$B$22&lt;&gt;"")*(Besatzung!$F$11:$F$22="x")),SUMPRODUCT((J15:U15="x")*(Besatzung!$F$11:$F$22="x"))),1))))),0))))</f>
        <v/>
      </c>
      <c r="AE15" s="247">
        <f>IF(C15="Gutschrift","",IF(G15="","",IF(Besatzung!$B$20="","",IFERROR(IF(I15="Zeitanteilig",(Besatzung!$G$20*(G15-IFERROR(H15,0))+((Besatzung!$B$20&lt;&gt;"")*IF(B15="",1,(IF(Besatzung!$C$20="",Besatzung!$B$5,Besatzung!$C$20)&lt;=B15)*(IF(Besatzung!$D$20="",Besatzung!$B$6,Besatzung!$D$20)&gt;=B15)))*(Besatzung!$F$20="x")*IFERROR(H15,0)/IFERROR(SUMPRODUCT((Besatzung!$B$11:$B$22&lt;&gt;"")*(Besatzung!$F$11:$F$22="x")*(IF(Besatzung!$C$11:$C$22="",Besatzung!$B$5,Besatzung!$C$11:$C$22)&lt;=B15)*(IF(Besatzung!$D$11:$D$22="",Besatzung!$B$6,Besatzung!$D$11:$D$22)&gt;=B15)),1)),IF(I15="An Bord",(((Besatzung!$B$20&lt;&gt;"")*IF(B15="",1,(IF(Besatzung!$C$20="",Besatzung!$B$5,Besatzung!$C$20)&lt;=B15)*(IF(Besatzung!$D$20="",Besatzung!$B$6,Besatzung!$D$20)&gt;=B15)))*((G15-IFERROR(H15,0))/IFERROR(SUMPRODUCT((Besatzung!$B$11:$B$22&lt;&gt;"")*(IF(Besatzung!$C$11:$C$22="",Besatzung!$B$5,Besatzung!$C$11:$C$22)&lt;=B15)*(IF(Besatzung!$D$11:$D$22="",Besatzung!$B$6,Besatzung!$D$11:$D$22)&gt;=B15)),1)+(Besatzung!$F$20="x")*IFERROR(H15,0)/IFERROR(SUMPRODUCT((Besatzung!$B$11:$B$22&lt;&gt;"")*(Besatzung!$F$11:$F$22="x")*(IF(Besatzung!$C$11:$C$22="",Besatzung!$B$5,Besatzung!$C$11:$C$22)&lt;=B15)*(IF(Besatzung!$D$11:$D$22="",Besatzung!$B$6,Besatzung!$D$11:$D$22)&gt;=B15)),1))),IF(I15="Individuell",((S15="x")*((G15-IFERROR(H15,0))/IFERROR(COUNTIF(J15:U15,"x"),1)+(Besatzung!$F$20="x")*IFERROR(H15,0)/IFERROR(SUMPRODUCT((J15:U15="x")*(Besatzung!$F$11:$F$22="x")),1))),(IF(COUNTIF(J15:U15,"x")=0,IF(Besatzung!$B$20&lt;&gt;"",1,0),(S15="x"))*(G15-IFERROR(H15,0))/IFERROR(IF(COUNTIF(J15:U15,"x")=0,COUNTA(Besatzung!$B$11:$B$22),COUNTIF(J15:U15,"x")),1)+IF(COUNTIF(J15:U15,"x")=0,(Besatzung!$F$20="x"),(S15="x")*(Besatzung!$F$20="x"))*IFERROR(H15,0)/IFERROR(IF(COUNTIF(J15:U15,"x")=0,SUMPRODUCT((Besatzung!$B$11:$B$22&lt;&gt;"")*(Besatzung!$F$11:$F$22="x")),SUMPRODUCT((J15:U15="x")*(Besatzung!$F$11:$F$22="x"))),1))))),0))))</f>
        <v/>
      </c>
      <c r="AF15" s="247">
        <f>IF(C15="Gutschrift","",IF(G15="","",IF(Besatzung!$B$21="","",IFERROR(IF(I15="Zeitanteilig",(Besatzung!$G$21*(G15-IFERROR(H15,0))+((Besatzung!$B$21&lt;&gt;"")*IF(B15="",1,(IF(Besatzung!$C$21="",Besatzung!$B$5,Besatzung!$C$21)&lt;=B15)*(IF(Besatzung!$D$21="",Besatzung!$B$6,Besatzung!$D$21)&gt;=B15)))*(Besatzung!$F$21="x")*IFERROR(H15,0)/IFERROR(SUMPRODUCT((Besatzung!$B$11:$B$22&lt;&gt;"")*(Besatzung!$F$11:$F$22="x")*(IF(Besatzung!$C$11:$C$22="",Besatzung!$B$5,Besatzung!$C$11:$C$22)&lt;=B15)*(IF(Besatzung!$D$11:$D$22="",Besatzung!$B$6,Besatzung!$D$11:$D$22)&gt;=B15)),1)),IF(I15="An Bord",(((Besatzung!$B$21&lt;&gt;"")*IF(B15="",1,(IF(Besatzung!$C$21="",Besatzung!$B$5,Besatzung!$C$21)&lt;=B15)*(IF(Besatzung!$D$21="",Besatzung!$B$6,Besatzung!$D$21)&gt;=B15)))*((G15-IFERROR(H15,0))/IFERROR(SUMPRODUCT((Besatzung!$B$11:$B$22&lt;&gt;"")*(IF(Besatzung!$C$11:$C$22="",Besatzung!$B$5,Besatzung!$C$11:$C$22)&lt;=B15)*(IF(Besatzung!$D$11:$D$22="",Besatzung!$B$6,Besatzung!$D$11:$D$22)&gt;=B15)),1)+(Besatzung!$F$21="x")*IFERROR(H15,0)/IFERROR(SUMPRODUCT((Besatzung!$B$11:$B$22&lt;&gt;"")*(Besatzung!$F$11:$F$22="x")*(IF(Besatzung!$C$11:$C$22="",Besatzung!$B$5,Besatzung!$C$11:$C$22)&lt;=B15)*(IF(Besatzung!$D$11:$D$22="",Besatzung!$B$6,Besatzung!$D$11:$D$22)&gt;=B15)),1))),IF(I15="Individuell",((T15="x")*((G15-IFERROR(H15,0))/IFERROR(COUNTIF(J15:U15,"x"),1)+(Besatzung!$F$21="x")*IFERROR(H15,0)/IFERROR(SUMPRODUCT((J15:U15="x")*(Besatzung!$F$11:$F$22="x")),1))),(IF(COUNTIF(J15:U15,"x")=0,IF(Besatzung!$B$21&lt;&gt;"",1,0),(T15="x"))*(G15-IFERROR(H15,0))/IFERROR(IF(COUNTIF(J15:U15,"x")=0,COUNTA(Besatzung!$B$11:$B$22),COUNTIF(J15:U15,"x")),1)+IF(COUNTIF(J15:U15,"x")=0,(Besatzung!$F$21="x"),(T15="x")*(Besatzung!$F$21="x"))*IFERROR(H15,0)/IFERROR(IF(COUNTIF(J15:U15,"x")=0,SUMPRODUCT((Besatzung!$B$11:$B$22&lt;&gt;"")*(Besatzung!$F$11:$F$22="x")),SUMPRODUCT((J15:U15="x")*(Besatzung!$F$11:$F$22="x"))),1))))),0))))</f>
        <v/>
      </c>
      <c r="AG15" s="247">
        <f>IF(C15="Gutschrift","",IF(G15="","",IF(Besatzung!$B$22="","",IFERROR(IF(I15="Zeitanteilig",(Besatzung!$G$22*(G15-IFERROR(H15,0))+((Besatzung!$B$22&lt;&gt;"")*IF(B15="",1,(IF(Besatzung!$C$22="",Besatzung!$B$5,Besatzung!$C$22)&lt;=B15)*(IF(Besatzung!$D$22="",Besatzung!$B$6,Besatzung!$D$22)&gt;=B15)))*(Besatzung!$F$22="x")*IFERROR(H15,0)/IFERROR(SUMPRODUCT((Besatzung!$B$11:$B$22&lt;&gt;"")*(Besatzung!$F$11:$F$22="x")*(IF(Besatzung!$C$11:$C$22="",Besatzung!$B$5,Besatzung!$C$11:$C$22)&lt;=B15)*(IF(Besatzung!$D$11:$D$22="",Besatzung!$B$6,Besatzung!$D$11:$D$22)&gt;=B15)),1)),IF(I15="An Bord",(((Besatzung!$B$22&lt;&gt;"")*IF(B15="",1,(IF(Besatzung!$C$22="",Besatzung!$B$5,Besatzung!$C$22)&lt;=B15)*(IF(Besatzung!$D$22="",Besatzung!$B$6,Besatzung!$D$22)&gt;=B15)))*((G15-IFERROR(H15,0))/IFERROR(SUMPRODUCT((Besatzung!$B$11:$B$22&lt;&gt;"")*(IF(Besatzung!$C$11:$C$22="",Besatzung!$B$5,Besatzung!$C$11:$C$22)&lt;=B15)*(IF(Besatzung!$D$11:$D$22="",Besatzung!$B$6,Besatzung!$D$11:$D$22)&gt;=B15)),1)+(Besatzung!$F$22="x")*IFERROR(H15,0)/IFERROR(SUMPRODUCT((Besatzung!$B$11:$B$22&lt;&gt;"")*(Besatzung!$F$11:$F$22="x")*(IF(Besatzung!$C$11:$C$22="",Besatzung!$B$5,Besatzung!$C$11:$C$22)&lt;=B15)*(IF(Besatzung!$D$11:$D$22="",Besatzung!$B$6,Besatzung!$D$11:$D$22)&gt;=B15)),1))),IF(I15="Individuell",((U15="x")*((G15-IFERROR(H15,0))/IFERROR(COUNTIF(J15:U15,"x"),1)+(Besatzung!$F$22="x")*IFERROR(H15,0)/IFERROR(SUMPRODUCT((J15:U15="x")*(Besatzung!$F$11:$F$22="x")),1))),(IF(COUNTIF(J15:U15,"x")=0,IF(Besatzung!$B$22&lt;&gt;"",1,0),(U15="x"))*(G15-IFERROR(H15,0))/IFERROR(IF(COUNTIF(J15:U15,"x")=0,COUNTA(Besatzung!$B$11:$B$22),COUNTIF(J15:U15,"x")),1)+IF(COUNTIF(J15:U15,"x")=0,(Besatzung!$F$22="x"),(U15="x")*(Besatzung!$F$22="x"))*IFERROR(H15,0)/IFERROR(IF(COUNTIF(J15:U15,"x")=0,SUMPRODUCT((Besatzung!$B$11:$B$22&lt;&gt;"")*(Besatzung!$F$11:$F$22="x")),SUMPRODUCT((J15:U15="x")*(Besatzung!$F$11:$F$22="x"))),1))))),0))))</f>
        <v/>
      </c>
      <c r="AH15" s="248" t="n"/>
      <c r="AI15" s="248" t="n"/>
    </row>
    <row r="16" ht="21.75" customHeight="1" s="154">
      <c r="A16" s="238">
        <f>IF(AND(D16="",C16=""),"",13)</f>
        <v/>
      </c>
      <c r="B16" s="199" t="n"/>
      <c r="C16" s="239" t="n"/>
      <c r="D16" s="240" t="n"/>
      <c r="E16" s="241" t="n"/>
      <c r="F16" s="242" t="n"/>
      <c r="G16" s="243" t="n"/>
      <c r="H16" s="244" t="n"/>
      <c r="I16" s="245" t="n"/>
      <c r="J16" s="246" t="n"/>
      <c r="K16" s="246" t="n"/>
      <c r="L16" s="246" t="n"/>
      <c r="M16" s="246" t="n"/>
      <c r="N16" s="246" t="n"/>
      <c r="O16" s="246" t="n"/>
      <c r="P16" s="246" t="n"/>
      <c r="Q16" s="246" t="n"/>
      <c r="R16" s="246" t="n"/>
      <c r="S16" s="246" t="n"/>
      <c r="T16" s="246" t="n"/>
      <c r="U16" s="246" t="n"/>
      <c r="V16" s="247">
        <f>IF(C16="Gutschrift","",IF(G16="","",IF(Besatzung!$B$11="","",IFERROR(IF(I16="Zeitanteilig",(Besatzung!$G$11*(G16-IFERROR(H16,0))+((Besatzung!$B$11&lt;&gt;"")*IF(B16="",1,(IF(Besatzung!$C$11="",Besatzung!$B$5,Besatzung!$C$11)&lt;=B16)*(IF(Besatzung!$D$11="",Besatzung!$B$6,Besatzung!$D$11)&gt;=B16)))*(Besatzung!$F$11="x")*IFERROR(H16,0)/IFERROR(SUMPRODUCT((Besatzung!$B$11:$B$22&lt;&gt;"")*(Besatzung!$F$11:$F$22="x")*(IF(Besatzung!$C$11:$C$22="",Besatzung!$B$5,Besatzung!$C$11:$C$22)&lt;=B16)*(IF(Besatzung!$D$11:$D$22="",Besatzung!$B$6,Besatzung!$D$11:$D$22)&gt;=B16)),1)),IF(I16="An Bord",(((Besatzung!$B$11&lt;&gt;"")*IF(B16="",1,(IF(Besatzung!$C$11="",Besatzung!$B$5,Besatzung!$C$11)&lt;=B16)*(IF(Besatzung!$D$11="",Besatzung!$B$6,Besatzung!$D$11)&gt;=B16)))*((G16-IFERROR(H16,0))/IFERROR(SUMPRODUCT((Besatzung!$B$11:$B$22&lt;&gt;"")*(IF(Besatzung!$C$11:$C$22="",Besatzung!$B$5,Besatzung!$C$11:$C$22)&lt;=B16)*(IF(Besatzung!$D$11:$D$22="",Besatzung!$B$6,Besatzung!$D$11:$D$22)&gt;=B16)),1)+(Besatzung!$F$11="x")*IFERROR(H16,0)/IFERROR(SUMPRODUCT((Besatzung!$B$11:$B$22&lt;&gt;"")*(Besatzung!$F$11:$F$22="x")*(IF(Besatzung!$C$11:$C$22="",Besatzung!$B$5,Besatzung!$C$11:$C$22)&lt;=B16)*(IF(Besatzung!$D$11:$D$22="",Besatzung!$B$6,Besatzung!$D$11:$D$22)&gt;=B16)),1))),IF(I16="Individuell",((J16="x")*((G16-IFERROR(H16,0))/IFERROR(COUNTIF(J16:U16,"x"),1)+(Besatzung!$F$11="x")*IFERROR(H16,0)/IFERROR(SUMPRODUCT((J16:U16="x")*(Besatzung!$F$11:$F$22="x")),1))),(IF(COUNTIF(J16:U16,"x")=0,IF(Besatzung!$B$11&lt;&gt;"",1,0),(J16="x"))*(G16-IFERROR(H16,0))/IFERROR(IF(COUNTIF(J16:U16,"x")=0,COUNTA(Besatzung!$B$11:$B$22),COUNTIF(J16:U16,"x")),1)+IF(COUNTIF(J16:U16,"x")=0,(Besatzung!$F$11="x"),(J16="x")*(Besatzung!$F$11="x"))*IFERROR(H16,0)/IFERROR(IF(COUNTIF(J16:U16,"x")=0,SUMPRODUCT((Besatzung!$B$11:$B$22&lt;&gt;"")*(Besatzung!$F$11:$F$22="x")),SUMPRODUCT((J16:U16="x")*(Besatzung!$F$11:$F$22="x"))),1))))),0))))</f>
        <v/>
      </c>
      <c r="W16" s="247">
        <f>IF(C16="Gutschrift","",IF(G16="","",IF(Besatzung!$B$12="","",IFERROR(IF(I16="Zeitanteilig",(Besatzung!$G$12*(G16-IFERROR(H16,0))+((Besatzung!$B$12&lt;&gt;"")*IF(B16="",1,(IF(Besatzung!$C$12="",Besatzung!$B$5,Besatzung!$C$12)&lt;=B16)*(IF(Besatzung!$D$12="",Besatzung!$B$6,Besatzung!$D$12)&gt;=B16)))*(Besatzung!$F$12="x")*IFERROR(H16,0)/IFERROR(SUMPRODUCT((Besatzung!$B$11:$B$22&lt;&gt;"")*(Besatzung!$F$11:$F$22="x")*(IF(Besatzung!$C$11:$C$22="",Besatzung!$B$5,Besatzung!$C$11:$C$22)&lt;=B16)*(IF(Besatzung!$D$11:$D$22="",Besatzung!$B$6,Besatzung!$D$11:$D$22)&gt;=B16)),1)),IF(I16="An Bord",(((Besatzung!$B$12&lt;&gt;"")*IF(B16="",1,(IF(Besatzung!$C$12="",Besatzung!$B$5,Besatzung!$C$12)&lt;=B16)*(IF(Besatzung!$D$12="",Besatzung!$B$6,Besatzung!$D$12)&gt;=B16)))*((G16-IFERROR(H16,0))/IFERROR(SUMPRODUCT((Besatzung!$B$11:$B$22&lt;&gt;"")*(IF(Besatzung!$C$11:$C$22="",Besatzung!$B$5,Besatzung!$C$11:$C$22)&lt;=B16)*(IF(Besatzung!$D$11:$D$22="",Besatzung!$B$6,Besatzung!$D$11:$D$22)&gt;=B16)),1)+(Besatzung!$F$12="x")*IFERROR(H16,0)/IFERROR(SUMPRODUCT((Besatzung!$B$11:$B$22&lt;&gt;"")*(Besatzung!$F$11:$F$22="x")*(IF(Besatzung!$C$11:$C$22="",Besatzung!$B$5,Besatzung!$C$11:$C$22)&lt;=B16)*(IF(Besatzung!$D$11:$D$22="",Besatzung!$B$6,Besatzung!$D$11:$D$22)&gt;=B16)),1))),IF(I16="Individuell",((K16="x")*((G16-IFERROR(H16,0))/IFERROR(COUNTIF(J16:U16,"x"),1)+(Besatzung!$F$12="x")*IFERROR(H16,0)/IFERROR(SUMPRODUCT((J16:U16="x")*(Besatzung!$F$11:$F$22="x")),1))),(IF(COUNTIF(J16:U16,"x")=0,IF(Besatzung!$B$12&lt;&gt;"",1,0),(K16="x"))*(G16-IFERROR(H16,0))/IFERROR(IF(COUNTIF(J16:U16,"x")=0,COUNTA(Besatzung!$B$11:$B$22),COUNTIF(J16:U16,"x")),1)+IF(COUNTIF(J16:U16,"x")=0,(Besatzung!$F$12="x"),(K16="x")*(Besatzung!$F$12="x"))*IFERROR(H16,0)/IFERROR(IF(COUNTIF(J16:U16,"x")=0,SUMPRODUCT((Besatzung!$B$11:$B$22&lt;&gt;"")*(Besatzung!$F$11:$F$22="x")),SUMPRODUCT((J16:U16="x")*(Besatzung!$F$11:$F$22="x"))),1))))),0))))</f>
        <v/>
      </c>
      <c r="X16" s="247">
        <f>IF(C16="Gutschrift","",IF(G16="","",IF(Besatzung!$B$13="","",IFERROR(IF(I16="Zeitanteilig",(Besatzung!$G$13*(G16-IFERROR(H16,0))+((Besatzung!$B$13&lt;&gt;"")*IF(B16="",1,(IF(Besatzung!$C$13="",Besatzung!$B$5,Besatzung!$C$13)&lt;=B16)*(IF(Besatzung!$D$13="",Besatzung!$B$6,Besatzung!$D$13)&gt;=B16)))*(Besatzung!$F$13="x")*IFERROR(H16,0)/IFERROR(SUMPRODUCT((Besatzung!$B$11:$B$22&lt;&gt;"")*(Besatzung!$F$11:$F$22="x")*(IF(Besatzung!$C$11:$C$22="",Besatzung!$B$5,Besatzung!$C$11:$C$22)&lt;=B16)*(IF(Besatzung!$D$11:$D$22="",Besatzung!$B$6,Besatzung!$D$11:$D$22)&gt;=B16)),1)),IF(I16="An Bord",(((Besatzung!$B$13&lt;&gt;"")*IF(B16="",1,(IF(Besatzung!$C$13="",Besatzung!$B$5,Besatzung!$C$13)&lt;=B16)*(IF(Besatzung!$D$13="",Besatzung!$B$6,Besatzung!$D$13)&gt;=B16)))*((G16-IFERROR(H16,0))/IFERROR(SUMPRODUCT((Besatzung!$B$11:$B$22&lt;&gt;"")*(IF(Besatzung!$C$11:$C$22="",Besatzung!$B$5,Besatzung!$C$11:$C$22)&lt;=B16)*(IF(Besatzung!$D$11:$D$22="",Besatzung!$B$6,Besatzung!$D$11:$D$22)&gt;=B16)),1)+(Besatzung!$F$13="x")*IFERROR(H16,0)/IFERROR(SUMPRODUCT((Besatzung!$B$11:$B$22&lt;&gt;"")*(Besatzung!$F$11:$F$22="x")*(IF(Besatzung!$C$11:$C$22="",Besatzung!$B$5,Besatzung!$C$11:$C$22)&lt;=B16)*(IF(Besatzung!$D$11:$D$22="",Besatzung!$B$6,Besatzung!$D$11:$D$22)&gt;=B16)),1))),IF(I16="Individuell",((K16="x")*((G16-IFERROR(H16,0))/IFERROR(COUNTIF(J16:U16,"x"),1)+(Besatzung!$F$13="x")*IFERROR(H16,0)/IFERROR(SUMPRODUCT((J16:U16="x")*(Besatzung!$F$11:$F$22="x")),1))),(IF(COUNTIF(J16:U16,"x")=0,IF(Besatzung!$B$13&lt;&gt;"",1,0),(K16="x"))*(G16-IFERROR(H16,0))/IFERROR(IF(COUNTIF(J16:U16,"x")=0,COUNTA(Besatzung!$B$11:$B$22),COUNTIF(J16:U16,"x")),1)+IF(COUNTIF(J16:U16,"x")=0,(Besatzung!$F$13="x"),(K16="x")*(Besatzung!$F$13="x"))*IFERROR(H16,0)/IFERROR(IF(COUNTIF(J16:U16,"x")=0,SUMPRODUCT((Besatzung!$B$11:$B$22&lt;&gt;"")*(Besatzung!$F$11:$F$22="x")),SUMPRODUCT((J16:U16="x")*(Besatzung!$F$11:$F$22="x"))),1))))),0))))</f>
        <v/>
      </c>
      <c r="Y16" s="247">
        <f>IF(C16="Gutschrift","",IF(G16="","",IF(Besatzung!$B$14="","",IFERROR(IF(I16="Zeitanteilig",(Besatzung!$G$14*(G16-IFERROR(H16,0))+((Besatzung!$B$14&lt;&gt;"")*IF(B16="",1,(IF(Besatzung!$C$14="",Besatzung!$B$5,Besatzung!$C$14)&lt;=B16)*(IF(Besatzung!$D$14="",Besatzung!$B$6,Besatzung!$D$14)&gt;=B16)))*(Besatzung!$F$14="x")*IFERROR(H16,0)/IFERROR(SUMPRODUCT((Besatzung!$B$11:$B$22&lt;&gt;"")*(Besatzung!$F$11:$F$22="x")*(IF(Besatzung!$C$11:$C$22="",Besatzung!$B$5,Besatzung!$C$11:$C$22)&lt;=B16)*(IF(Besatzung!$D$11:$D$22="",Besatzung!$B$6,Besatzung!$D$11:$D$22)&gt;=B16)),1)),IF(I16="An Bord",(((Besatzung!$B$14&lt;&gt;"")*IF(B16="",1,(IF(Besatzung!$C$14="",Besatzung!$B$5,Besatzung!$C$14)&lt;=B16)*(IF(Besatzung!$D$14="",Besatzung!$B$6,Besatzung!$D$14)&gt;=B16)))*((G16-IFERROR(H16,0))/IFERROR(SUMPRODUCT((Besatzung!$B$11:$B$22&lt;&gt;"")*(IF(Besatzung!$C$11:$C$22="",Besatzung!$B$5,Besatzung!$C$11:$C$22)&lt;=B16)*(IF(Besatzung!$D$11:$D$22="",Besatzung!$B$6,Besatzung!$D$11:$D$22)&gt;=B16)),1)+(Besatzung!$F$14="x")*IFERROR(H16,0)/IFERROR(SUMPRODUCT((Besatzung!$B$11:$B$22&lt;&gt;"")*(Besatzung!$F$11:$F$22="x")*(IF(Besatzung!$C$11:$C$22="",Besatzung!$B$5,Besatzung!$C$11:$C$22)&lt;=B16)*(IF(Besatzung!$D$11:$D$22="",Besatzung!$B$6,Besatzung!$D$11:$D$22)&gt;=B16)),1))),IF(I16="Individuell",((M16="x")*((G16-IFERROR(H16,0))/IFERROR(COUNTIF(J16:U16,"x"),1)+(Besatzung!$F$14="x")*IFERROR(H16,0)/IFERROR(SUMPRODUCT((J16:U16="x")*(Besatzung!$F$11:$F$22="x")),1))),(IF(COUNTIF(J16:U16,"x")=0,IF(Besatzung!$B$14&lt;&gt;"",1,0),(M16="x"))*(G16-IFERROR(H16,0))/IFERROR(IF(COUNTIF(J16:U16,"x")=0,COUNTA(Besatzung!$B$11:$B$22),COUNTIF(J16:U16,"x")),1)+IF(COUNTIF(J16:U16,"x")=0,(Besatzung!$F$14="x"),(M16="x")*(Besatzung!$F$14="x"))*IFERROR(H16,0)/IFERROR(IF(COUNTIF(J16:U16,"x")=0,SUMPRODUCT((Besatzung!$B$11:$B$22&lt;&gt;"")*(Besatzung!$F$11:$F$22="x")),SUMPRODUCT((J16:U16="x")*(Besatzung!$F$11:$F$22="x"))),1))))),0))))</f>
        <v/>
      </c>
      <c r="Z16" s="247">
        <f>IF(C16="Gutschrift","",IF(G16="","",IF(Besatzung!$B$13="","",IFERROR(IF(I16="Zeitanteilig",(Besatzung!$G$15*(G16-IFERROR(H16,0))+((Besatzung!$B$13&lt;&gt;"")*IF(B16="",1,(IF(Besatzung!$C$15="",Besatzung!$B$5,Besatzung!$C$15)&lt;=B16)*(IF(Besatzung!$D$15="",Besatzung!$B$6,Besatzung!$D$15)&gt;=B16)))*(Besatzung!$F$15="x")*IFERROR(H16,0)/IFERROR(SUMPRODUCT((Besatzung!$B$11:$B$22&lt;&gt;"")*(Besatzung!$F$11:$F$22="x")*(IF(Besatzung!$C$11:$C$22="",Besatzung!$B$5,Besatzung!$C$11:$C$22)&lt;=B16)*(IF(Besatzung!$D$11:$D$22="",Besatzung!$B$6,Besatzung!$D$11:$D$22)&gt;=B16)),1)),IF(I16="An Bord",(((Besatzung!$B$13&lt;&gt;"")*IF(B16="",1,(IF(Besatzung!$C$15="",Besatzung!$B$5,Besatzung!$C$15)&lt;=B16)*(IF(Besatzung!$D$15="",Besatzung!$B$6,Besatzung!$D$15)&gt;=B16)))*((G16-IFERROR(H16,0))/IFERROR(SUMPRODUCT((Besatzung!$B$11:$B$22&lt;&gt;"")*(IF(Besatzung!$C$11:$C$22="",Besatzung!$B$5,Besatzung!$C$11:$C$22)&lt;=B16)*(IF(Besatzung!$D$11:$D$22="",Besatzung!$B$6,Besatzung!$D$11:$D$22)&gt;=B16)),1)+(Besatzung!$F$15="x")*IFERROR(H16,0)/IFERROR(SUMPRODUCT((Besatzung!$B$11:$B$22&lt;&gt;"")*(Besatzung!$F$11:$F$22="x")*(IF(Besatzung!$C$11:$C$22="",Besatzung!$B$5,Besatzung!$C$11:$C$22)&lt;=B16)*(IF(Besatzung!$D$11:$D$22="",Besatzung!$B$6,Besatzung!$D$11:$D$22)&gt;=B16)),1))),IF(I16="Individuell",((N16="x")*((G16-IFERROR(H16,0))/IFERROR(COUNTIF(J16:U16,"x"),1)+(Besatzung!$F$15="x")*IFERROR(H16,0)/IFERROR(SUMPRODUCT((J16:U16="x")*(Besatzung!$F$11:$F$22="x")),1))),(IF(COUNTIF(J16:U16,"x")=0,IF(Besatzung!$B$13&lt;&gt;"",1,0),(N16="x"))*(G16-IFERROR(H16,0))/IFERROR(IF(COUNTIF(J16:U16,"x")=0,COUNTA(Besatzung!$B$11:$B$22),COUNTIF(J16:U16,"x")),1)+IF(COUNTIF(J16:U16,"x")=0,(Besatzung!$F$15="x"),(N16="x")*(Besatzung!$F$15="x"))*IFERROR(H16,0)/IFERROR(IF(COUNTIF(J16:U16,"x")=0,SUMPRODUCT((Besatzung!$B$11:$B$22&lt;&gt;"")*(Besatzung!$F$11:$F$22="x")),SUMPRODUCT((J16:U16="x")*(Besatzung!$F$11:$F$22="x"))),1))))),0))))</f>
        <v/>
      </c>
      <c r="AA16" s="247">
        <f>IF(C16="Gutschrift","",IF(G16="","",IF(Besatzung!$B$15="","",IFERROR(IF(I16="Zeitanteilig",(Besatzung!$G$16*(G16-IFERROR(H16,0))+((Besatzung!$B$15&lt;&gt;"")*IF(B16="",1,(IF(Besatzung!$C$16="",Besatzung!$B$5,Besatzung!$C$16)&lt;=B16)*(IF(Besatzung!$D$16="",Besatzung!$B$6,Besatzung!$D$16)&gt;=B16)))*(Besatzung!$F$16="x")*IFERROR(H16,0)/IFERROR(SUMPRODUCT((Besatzung!$B$11:$B$22&lt;&gt;"")*(Besatzung!$F$11:$F$22="x")*(IF(Besatzung!$C$11:$C$22="",Besatzung!$B$5,Besatzung!$C$11:$C$22)&lt;=B16)*(IF(Besatzung!$D$11:$D$22="",Besatzung!$B$6,Besatzung!$D$11:$D$22)&gt;=B16)),1)),IF(I16="An Bord",(((Besatzung!$B$15&lt;&gt;"")*IF(B16="",1,(IF(Besatzung!$C$16="",Besatzung!$B$5,Besatzung!$C$16)&lt;=B16)*(IF(Besatzung!$D$16="",Besatzung!$B$6,Besatzung!$D$16)&gt;=B16)))*((G16-IFERROR(H16,0))/IFERROR(SUMPRODUCT((Besatzung!$B$11:$B$22&lt;&gt;"")*(IF(Besatzung!$C$11:$C$22="",Besatzung!$B$5,Besatzung!$C$11:$C$22)&lt;=B16)*(IF(Besatzung!$D$11:$D$22="",Besatzung!$B$6,Besatzung!$D$11:$D$22)&gt;=B16)),1)+(Besatzung!$F$16="x")*IFERROR(H16,0)/IFERROR(SUMPRODUCT((Besatzung!$B$11:$B$22&lt;&gt;"")*(Besatzung!$F$11:$F$22="x")*(IF(Besatzung!$C$11:$C$22="",Besatzung!$B$5,Besatzung!$C$11:$C$22)&lt;=B16)*(IF(Besatzung!$D$11:$D$22="",Besatzung!$B$6,Besatzung!$D$11:$D$22)&gt;=B16)),1))),IF(I16="Individuell",((O16="x")*((G16-IFERROR(H16,0))/IFERROR(COUNTIF(J16:U16,"x"),1)+(Besatzung!$F$16="x")*IFERROR(H16,0)/IFERROR(SUMPRODUCT((J16:U16="x")*(Besatzung!$F$11:$F$22="x")),1))),(IF(COUNTIF(J16:U16,"x")=0,IF(Besatzung!$B$15&lt;&gt;"",1,0),(O16="x"))*(G16-IFERROR(H16,0))/IFERROR(IF(COUNTIF(J16:U16,"x")=0,COUNTA(Besatzung!$B$11:$B$22),COUNTIF(J16:U16,"x")),1)+IF(COUNTIF(J16:U16,"x")=0,(Besatzung!$F$16="x"),(O16="x")*(Besatzung!$F$16="x"))*IFERROR(H16,0)/IFERROR(IF(COUNTIF(J16:U16,"x")=0,SUMPRODUCT((Besatzung!$B$11:$B$22&lt;&gt;"")*(Besatzung!$F$11:$F$22="x")),SUMPRODUCT((J16:U16="x")*(Besatzung!$F$11:$F$22="x"))),1))))),0))))</f>
        <v/>
      </c>
      <c r="AB16" s="247">
        <f>IF(C16="Gutschrift","",IF(G16="","",IF(Besatzung!$B$17="","",IFERROR(IF(I16="Zeitanteilig",(Besatzung!$G$17*(G16-IFERROR(H16,0))+((Besatzung!$B$17&lt;&gt;"")*IF(B16="",1,(IF(Besatzung!$C$17="",Besatzung!$B$5,Besatzung!$C$17)&lt;=B16)*(IF(Besatzung!$D$17="",Besatzung!$B$6,Besatzung!$D$17)&gt;=B16)))*(Besatzung!$F$17="x")*IFERROR(H16,0)/IFERROR(SUMPRODUCT((Besatzung!$B$11:$B$22&lt;&gt;"")*(Besatzung!$F$11:$F$22="x")*(IF(Besatzung!$C$11:$C$22="",Besatzung!$B$5,Besatzung!$C$11:$C$22)&lt;=B16)*(IF(Besatzung!$D$11:$D$22="",Besatzung!$B$6,Besatzung!$D$11:$D$22)&gt;=B16)),1)),IF(I16="An Bord",(((Besatzung!$B$17&lt;&gt;"")*IF(B16="",1,(IF(Besatzung!$C$17="",Besatzung!$B$5,Besatzung!$C$17)&lt;=B16)*(IF(Besatzung!$D$17="",Besatzung!$B$6,Besatzung!$D$17)&gt;=B16)))*((G16-IFERROR(H16,0))/IFERROR(SUMPRODUCT((Besatzung!$B$11:$B$22&lt;&gt;"")*(IF(Besatzung!$C$11:$C$22="",Besatzung!$B$5,Besatzung!$C$11:$C$22)&lt;=B16)*(IF(Besatzung!$D$11:$D$22="",Besatzung!$B$6,Besatzung!$D$11:$D$22)&gt;=B16)),1)+(Besatzung!$F$17="x")*IFERROR(H16,0)/IFERROR(SUMPRODUCT((Besatzung!$B$11:$B$22&lt;&gt;"")*(Besatzung!$F$11:$F$22="x")*(IF(Besatzung!$C$11:$C$22="",Besatzung!$B$5,Besatzung!$C$11:$C$22)&lt;=B16)*(IF(Besatzung!$D$11:$D$22="",Besatzung!$B$6,Besatzung!$D$11:$D$22)&gt;=B16)),1))),IF(I16="Individuell",((P16="x")*((G16-IFERROR(H16,0))/IFERROR(COUNTIF(J16:U16,"x"),1)+(Besatzung!$F$17="x")*IFERROR(H16,0)/IFERROR(SUMPRODUCT((J16:U16="x")*(Besatzung!$F$11:$F$22="x")),1))),(IF(COUNTIF(J16:U16,"x")=0,IF(Besatzung!$B$17&lt;&gt;"",1,0),(P16="x"))*(G16-IFERROR(H16,0))/IFERROR(IF(COUNTIF(J16:U16,"x")=0,COUNTA(Besatzung!$B$11:$B$22),COUNTIF(J16:U16,"x")),1)+IF(COUNTIF(J16:U16,"x")=0,(Besatzung!$F$17="x"),(P16="x")*(Besatzung!$F$17="x"))*IFERROR(H16,0)/IFERROR(IF(COUNTIF(J16:U16,"x")=0,SUMPRODUCT((Besatzung!$B$11:$B$22&lt;&gt;"")*(Besatzung!$F$11:$F$22="x")),SUMPRODUCT((J16:U16="x")*(Besatzung!$F$11:$F$22="x"))),1))))),0))))</f>
        <v/>
      </c>
      <c r="AC16" s="247">
        <f>IF(C16="Gutschrift","",IF(G16="","",IF(Besatzung!$B$18="","",IFERROR(IF(I16="Zeitanteilig",(Besatzung!$G$18*(G16-IFERROR(H16,0))+((Besatzung!$B$18&lt;&gt;"")*IF(B16="",1,(IF(Besatzung!$C$18="",Besatzung!$B$5,Besatzung!$C$18)&lt;=B16)*(IF(Besatzung!$D$18="",Besatzung!$B$6,Besatzung!$D$18)&gt;=B16)))*(Besatzung!$F$18="x")*IFERROR(H16,0)/IFERROR(SUMPRODUCT((Besatzung!$B$11:$B$22&lt;&gt;"")*(Besatzung!$F$11:$F$22="x")*(IF(Besatzung!$C$11:$C$22="",Besatzung!$B$5,Besatzung!$C$11:$C$22)&lt;=B16)*(IF(Besatzung!$D$11:$D$22="",Besatzung!$B$6,Besatzung!$D$11:$D$22)&gt;=B16)),1)),IF(I16="An Bord",(((Besatzung!$B$18&lt;&gt;"")*IF(B16="",1,(IF(Besatzung!$C$18="",Besatzung!$B$5,Besatzung!$C$18)&lt;=B16)*(IF(Besatzung!$D$18="",Besatzung!$B$6,Besatzung!$D$18)&gt;=B16)))*((G16-IFERROR(H16,0))/IFERROR(SUMPRODUCT((Besatzung!$B$11:$B$22&lt;&gt;"")*(IF(Besatzung!$C$11:$C$22="",Besatzung!$B$5,Besatzung!$C$11:$C$22)&lt;=B16)*(IF(Besatzung!$D$11:$D$22="",Besatzung!$B$6,Besatzung!$D$11:$D$22)&gt;=B16)),1)+(Besatzung!$F$18="x")*IFERROR(H16,0)/IFERROR(SUMPRODUCT((Besatzung!$B$11:$B$22&lt;&gt;"")*(Besatzung!$F$11:$F$22="x")*(IF(Besatzung!$C$11:$C$22="",Besatzung!$B$5,Besatzung!$C$11:$C$22)&lt;=B16)*(IF(Besatzung!$D$11:$D$22="",Besatzung!$B$6,Besatzung!$D$11:$D$22)&gt;=B16)),1))),IF(I16="Individuell",((Q16="x")*((G16-IFERROR(H16,0))/IFERROR(COUNTIF(J16:U16,"x"),1)+(Besatzung!$F$18="x")*IFERROR(H16,0)/IFERROR(SUMPRODUCT((J16:U16="x")*(Besatzung!$F$11:$F$22="x")),1))),(IF(COUNTIF(J16:U16,"x")=0,IF(Besatzung!$B$18&lt;&gt;"",1,0),(Q16="x"))*(G16-IFERROR(H16,0))/IFERROR(IF(COUNTIF(J16:U16,"x")=0,COUNTA(Besatzung!$B$11:$B$22),COUNTIF(J16:U16,"x")),1)+IF(COUNTIF(J16:U16,"x")=0,(Besatzung!$F$18="x"),(Q16="x")*(Besatzung!$F$18="x"))*IFERROR(H16,0)/IFERROR(IF(COUNTIF(J16:U16,"x")=0,SUMPRODUCT((Besatzung!$B$11:$B$22&lt;&gt;"")*(Besatzung!$F$11:$F$22="x")),SUMPRODUCT((J16:U16="x")*(Besatzung!$F$11:$F$22="x"))),1))))),0))))</f>
        <v/>
      </c>
      <c r="AD16" s="247">
        <f>IF(C16="Gutschrift","",IF(G16="","",IF(Besatzung!$B$19="","",IFERROR(IF(I16="Zeitanteilig",(Besatzung!$G$19*(G16-IFERROR(H16,0))+((Besatzung!$B$19&lt;&gt;"")*IF(B16="",1,(IF(Besatzung!$C$19="",Besatzung!$B$5,Besatzung!$C$19)&lt;=B16)*(IF(Besatzung!$D$19="",Besatzung!$B$6,Besatzung!$D$19)&gt;=B16)))*(Besatzung!$F$19="x")*IFERROR(H16,0)/IFERROR(SUMPRODUCT((Besatzung!$B$11:$B$22&lt;&gt;"")*(Besatzung!$F$11:$F$22="x")*(IF(Besatzung!$C$11:$C$22="",Besatzung!$B$5,Besatzung!$C$11:$C$22)&lt;=B16)*(IF(Besatzung!$D$11:$D$22="",Besatzung!$B$6,Besatzung!$D$11:$D$22)&gt;=B16)),1)),IF(I16="An Bord",(((Besatzung!$B$19&lt;&gt;"")*IF(B16="",1,(IF(Besatzung!$C$19="",Besatzung!$B$5,Besatzung!$C$19)&lt;=B16)*(IF(Besatzung!$D$19="",Besatzung!$B$6,Besatzung!$D$19)&gt;=B16)))*((G16-IFERROR(H16,0))/IFERROR(SUMPRODUCT((Besatzung!$B$11:$B$22&lt;&gt;"")*(IF(Besatzung!$C$11:$C$22="",Besatzung!$B$5,Besatzung!$C$11:$C$22)&lt;=B16)*(IF(Besatzung!$D$11:$D$22="",Besatzung!$B$6,Besatzung!$D$11:$D$22)&gt;=B16)),1)+(Besatzung!$F$19="x")*IFERROR(H16,0)/IFERROR(SUMPRODUCT((Besatzung!$B$11:$B$22&lt;&gt;"")*(Besatzung!$F$11:$F$22="x")*(IF(Besatzung!$C$11:$C$22="",Besatzung!$B$5,Besatzung!$C$11:$C$22)&lt;=B16)*(IF(Besatzung!$D$11:$D$22="",Besatzung!$B$6,Besatzung!$D$11:$D$22)&gt;=B16)),1))),IF(I16="Individuell",((R16="x")*((G16-IFERROR(H16,0))/IFERROR(COUNTIF(J16:U16,"x"),1)+(Besatzung!$F$19="x")*IFERROR(H16,0)/IFERROR(SUMPRODUCT((J16:U16="x")*(Besatzung!$F$11:$F$22="x")),1))),(IF(COUNTIF(J16:U16,"x")=0,IF(Besatzung!$B$19&lt;&gt;"",1,0),(R16="x"))*(G16-IFERROR(H16,0))/IFERROR(IF(COUNTIF(J16:U16,"x")=0,COUNTA(Besatzung!$B$11:$B$22),COUNTIF(J16:U16,"x")),1)+IF(COUNTIF(J16:U16,"x")=0,(Besatzung!$F$19="x"),(R16="x")*(Besatzung!$F$19="x"))*IFERROR(H16,0)/IFERROR(IF(COUNTIF(J16:U16,"x")=0,SUMPRODUCT((Besatzung!$B$11:$B$22&lt;&gt;"")*(Besatzung!$F$11:$F$22="x")),SUMPRODUCT((J16:U16="x")*(Besatzung!$F$11:$F$22="x"))),1))))),0))))</f>
        <v/>
      </c>
      <c r="AE16" s="247">
        <f>IF(C16="Gutschrift","",IF(G16="","",IF(Besatzung!$B$20="","",IFERROR(IF(I16="Zeitanteilig",(Besatzung!$G$20*(G16-IFERROR(H16,0))+((Besatzung!$B$20&lt;&gt;"")*IF(B16="",1,(IF(Besatzung!$C$20="",Besatzung!$B$5,Besatzung!$C$20)&lt;=B16)*(IF(Besatzung!$D$20="",Besatzung!$B$6,Besatzung!$D$20)&gt;=B16)))*(Besatzung!$F$20="x")*IFERROR(H16,0)/IFERROR(SUMPRODUCT((Besatzung!$B$11:$B$22&lt;&gt;"")*(Besatzung!$F$11:$F$22="x")*(IF(Besatzung!$C$11:$C$22="",Besatzung!$B$5,Besatzung!$C$11:$C$22)&lt;=B16)*(IF(Besatzung!$D$11:$D$22="",Besatzung!$B$6,Besatzung!$D$11:$D$22)&gt;=B16)),1)),IF(I16="An Bord",(((Besatzung!$B$20&lt;&gt;"")*IF(B16="",1,(IF(Besatzung!$C$20="",Besatzung!$B$5,Besatzung!$C$20)&lt;=B16)*(IF(Besatzung!$D$20="",Besatzung!$B$6,Besatzung!$D$20)&gt;=B16)))*((G16-IFERROR(H16,0))/IFERROR(SUMPRODUCT((Besatzung!$B$11:$B$22&lt;&gt;"")*(IF(Besatzung!$C$11:$C$22="",Besatzung!$B$5,Besatzung!$C$11:$C$22)&lt;=B16)*(IF(Besatzung!$D$11:$D$22="",Besatzung!$B$6,Besatzung!$D$11:$D$22)&gt;=B16)),1)+(Besatzung!$F$20="x")*IFERROR(H16,0)/IFERROR(SUMPRODUCT((Besatzung!$B$11:$B$22&lt;&gt;"")*(Besatzung!$F$11:$F$22="x")*(IF(Besatzung!$C$11:$C$22="",Besatzung!$B$5,Besatzung!$C$11:$C$22)&lt;=B16)*(IF(Besatzung!$D$11:$D$22="",Besatzung!$B$6,Besatzung!$D$11:$D$22)&gt;=B16)),1))),IF(I16="Individuell",((S16="x")*((G16-IFERROR(H16,0))/IFERROR(COUNTIF(J16:U16,"x"),1)+(Besatzung!$F$20="x")*IFERROR(H16,0)/IFERROR(SUMPRODUCT((J16:U16="x")*(Besatzung!$F$11:$F$22="x")),1))),(IF(COUNTIF(J16:U16,"x")=0,IF(Besatzung!$B$20&lt;&gt;"",1,0),(S16="x"))*(G16-IFERROR(H16,0))/IFERROR(IF(COUNTIF(J16:U16,"x")=0,COUNTA(Besatzung!$B$11:$B$22),COUNTIF(J16:U16,"x")),1)+IF(COUNTIF(J16:U16,"x")=0,(Besatzung!$F$20="x"),(S16="x")*(Besatzung!$F$20="x"))*IFERROR(H16,0)/IFERROR(IF(COUNTIF(J16:U16,"x")=0,SUMPRODUCT((Besatzung!$B$11:$B$22&lt;&gt;"")*(Besatzung!$F$11:$F$22="x")),SUMPRODUCT((J16:U16="x")*(Besatzung!$F$11:$F$22="x"))),1))))),0))))</f>
        <v/>
      </c>
      <c r="AF16" s="247">
        <f>IF(C16="Gutschrift","",IF(G16="","",IF(Besatzung!$B$21="","",IFERROR(IF(I16="Zeitanteilig",(Besatzung!$G$21*(G16-IFERROR(H16,0))+((Besatzung!$B$21&lt;&gt;"")*IF(B16="",1,(IF(Besatzung!$C$21="",Besatzung!$B$5,Besatzung!$C$21)&lt;=B16)*(IF(Besatzung!$D$21="",Besatzung!$B$6,Besatzung!$D$21)&gt;=B16)))*(Besatzung!$F$21="x")*IFERROR(H16,0)/IFERROR(SUMPRODUCT((Besatzung!$B$11:$B$22&lt;&gt;"")*(Besatzung!$F$11:$F$22="x")*(IF(Besatzung!$C$11:$C$22="",Besatzung!$B$5,Besatzung!$C$11:$C$22)&lt;=B16)*(IF(Besatzung!$D$11:$D$22="",Besatzung!$B$6,Besatzung!$D$11:$D$22)&gt;=B16)),1)),IF(I16="An Bord",(((Besatzung!$B$21&lt;&gt;"")*IF(B16="",1,(IF(Besatzung!$C$21="",Besatzung!$B$5,Besatzung!$C$21)&lt;=B16)*(IF(Besatzung!$D$21="",Besatzung!$B$6,Besatzung!$D$21)&gt;=B16)))*((G16-IFERROR(H16,0))/IFERROR(SUMPRODUCT((Besatzung!$B$11:$B$22&lt;&gt;"")*(IF(Besatzung!$C$11:$C$22="",Besatzung!$B$5,Besatzung!$C$11:$C$22)&lt;=B16)*(IF(Besatzung!$D$11:$D$22="",Besatzung!$B$6,Besatzung!$D$11:$D$22)&gt;=B16)),1)+(Besatzung!$F$21="x")*IFERROR(H16,0)/IFERROR(SUMPRODUCT((Besatzung!$B$11:$B$22&lt;&gt;"")*(Besatzung!$F$11:$F$22="x")*(IF(Besatzung!$C$11:$C$22="",Besatzung!$B$5,Besatzung!$C$11:$C$22)&lt;=B16)*(IF(Besatzung!$D$11:$D$22="",Besatzung!$B$6,Besatzung!$D$11:$D$22)&gt;=B16)),1))),IF(I16="Individuell",((T16="x")*((G16-IFERROR(H16,0))/IFERROR(COUNTIF(J16:U16,"x"),1)+(Besatzung!$F$21="x")*IFERROR(H16,0)/IFERROR(SUMPRODUCT((J16:U16="x")*(Besatzung!$F$11:$F$22="x")),1))),(IF(COUNTIF(J16:U16,"x")=0,IF(Besatzung!$B$21&lt;&gt;"",1,0),(T16="x"))*(G16-IFERROR(H16,0))/IFERROR(IF(COUNTIF(J16:U16,"x")=0,COUNTA(Besatzung!$B$11:$B$22),COUNTIF(J16:U16,"x")),1)+IF(COUNTIF(J16:U16,"x")=0,(Besatzung!$F$21="x"),(T16="x")*(Besatzung!$F$21="x"))*IFERROR(H16,0)/IFERROR(IF(COUNTIF(J16:U16,"x")=0,SUMPRODUCT((Besatzung!$B$11:$B$22&lt;&gt;"")*(Besatzung!$F$11:$F$22="x")),SUMPRODUCT((J16:U16="x")*(Besatzung!$F$11:$F$22="x"))),1))))),0))))</f>
        <v/>
      </c>
      <c r="AG16" s="247">
        <f>IF(C16="Gutschrift","",IF(G16="","",IF(Besatzung!$B$22="","",IFERROR(IF(I16="Zeitanteilig",(Besatzung!$G$22*(G16-IFERROR(H16,0))+((Besatzung!$B$22&lt;&gt;"")*IF(B16="",1,(IF(Besatzung!$C$22="",Besatzung!$B$5,Besatzung!$C$22)&lt;=B16)*(IF(Besatzung!$D$22="",Besatzung!$B$6,Besatzung!$D$22)&gt;=B16)))*(Besatzung!$F$22="x")*IFERROR(H16,0)/IFERROR(SUMPRODUCT((Besatzung!$B$11:$B$22&lt;&gt;"")*(Besatzung!$F$11:$F$22="x")*(IF(Besatzung!$C$11:$C$22="",Besatzung!$B$5,Besatzung!$C$11:$C$22)&lt;=B16)*(IF(Besatzung!$D$11:$D$22="",Besatzung!$B$6,Besatzung!$D$11:$D$22)&gt;=B16)),1)),IF(I16="An Bord",(((Besatzung!$B$22&lt;&gt;"")*IF(B16="",1,(IF(Besatzung!$C$22="",Besatzung!$B$5,Besatzung!$C$22)&lt;=B16)*(IF(Besatzung!$D$22="",Besatzung!$B$6,Besatzung!$D$22)&gt;=B16)))*((G16-IFERROR(H16,0))/IFERROR(SUMPRODUCT((Besatzung!$B$11:$B$22&lt;&gt;"")*(IF(Besatzung!$C$11:$C$22="",Besatzung!$B$5,Besatzung!$C$11:$C$22)&lt;=B16)*(IF(Besatzung!$D$11:$D$22="",Besatzung!$B$6,Besatzung!$D$11:$D$22)&gt;=B16)),1)+(Besatzung!$F$22="x")*IFERROR(H16,0)/IFERROR(SUMPRODUCT((Besatzung!$B$11:$B$22&lt;&gt;"")*(Besatzung!$F$11:$F$22="x")*(IF(Besatzung!$C$11:$C$22="",Besatzung!$B$5,Besatzung!$C$11:$C$22)&lt;=B16)*(IF(Besatzung!$D$11:$D$22="",Besatzung!$B$6,Besatzung!$D$11:$D$22)&gt;=B16)),1))),IF(I16="Individuell",((U16="x")*((G16-IFERROR(H16,0))/IFERROR(COUNTIF(J16:U16,"x"),1)+(Besatzung!$F$22="x")*IFERROR(H16,0)/IFERROR(SUMPRODUCT((J16:U16="x")*(Besatzung!$F$11:$F$22="x")),1))),(IF(COUNTIF(J16:U16,"x")=0,IF(Besatzung!$B$22&lt;&gt;"",1,0),(U16="x"))*(G16-IFERROR(H16,0))/IFERROR(IF(COUNTIF(J16:U16,"x")=0,COUNTA(Besatzung!$B$11:$B$22),COUNTIF(J16:U16,"x")),1)+IF(COUNTIF(J16:U16,"x")=0,(Besatzung!$F$22="x"),(U16="x")*(Besatzung!$F$22="x"))*IFERROR(H16,0)/IFERROR(IF(COUNTIF(J16:U16,"x")=0,SUMPRODUCT((Besatzung!$B$11:$B$22&lt;&gt;"")*(Besatzung!$F$11:$F$22="x")),SUMPRODUCT((J16:U16="x")*(Besatzung!$F$11:$F$22="x"))),1))))),0))))</f>
        <v/>
      </c>
      <c r="AH16" s="248" t="n"/>
      <c r="AI16" s="248" t="n"/>
    </row>
    <row r="17" ht="21.75" customHeight="1" s="154">
      <c r="A17" s="238">
        <f>IF(AND(D17="",C17=""),"",14)</f>
        <v/>
      </c>
      <c r="B17" s="206" t="n"/>
      <c r="C17" s="249" t="n"/>
      <c r="D17" s="250" t="n"/>
      <c r="E17" s="251" t="n"/>
      <c r="F17" s="252" t="n"/>
      <c r="G17" s="253" t="n"/>
      <c r="H17" s="254" t="n"/>
      <c r="I17" s="255" t="n"/>
      <c r="J17" s="256" t="n"/>
      <c r="K17" s="256" t="n"/>
      <c r="L17" s="256" t="n"/>
      <c r="M17" s="256" t="n"/>
      <c r="N17" s="256" t="n"/>
      <c r="O17" s="256" t="n"/>
      <c r="P17" s="256" t="n"/>
      <c r="Q17" s="256" t="n"/>
      <c r="R17" s="256" t="n"/>
      <c r="S17" s="256" t="n"/>
      <c r="T17" s="256" t="n"/>
      <c r="U17" s="256" t="n"/>
      <c r="V17" s="247">
        <f>IF(C17="Gutschrift","",IF(G17="","",IF(Besatzung!$B$11="","",IFERROR(IF(I17="Zeitanteilig",(Besatzung!$G$11*(G17-IFERROR(H17,0))+((Besatzung!$B$11&lt;&gt;"")*IF(B17="",1,(IF(Besatzung!$C$11="",Besatzung!$B$5,Besatzung!$C$11)&lt;=B17)*(IF(Besatzung!$D$11="",Besatzung!$B$6,Besatzung!$D$11)&gt;=B17)))*(Besatzung!$F$11="x")*IFERROR(H17,0)/IFERROR(SUMPRODUCT((Besatzung!$B$11:$B$22&lt;&gt;"")*(Besatzung!$F$11:$F$22="x")*(IF(Besatzung!$C$11:$C$22="",Besatzung!$B$5,Besatzung!$C$11:$C$22)&lt;=B17)*(IF(Besatzung!$D$11:$D$22="",Besatzung!$B$6,Besatzung!$D$11:$D$22)&gt;=B17)),1)),IF(I17="An Bord",(((Besatzung!$B$11&lt;&gt;"")*IF(B17="",1,(IF(Besatzung!$C$11="",Besatzung!$B$5,Besatzung!$C$11)&lt;=B17)*(IF(Besatzung!$D$11="",Besatzung!$B$6,Besatzung!$D$11)&gt;=B17)))*((G17-IFERROR(H17,0))/IFERROR(SUMPRODUCT((Besatzung!$B$11:$B$22&lt;&gt;"")*(IF(Besatzung!$C$11:$C$22="",Besatzung!$B$5,Besatzung!$C$11:$C$22)&lt;=B17)*(IF(Besatzung!$D$11:$D$22="",Besatzung!$B$6,Besatzung!$D$11:$D$22)&gt;=B17)),1)+(Besatzung!$F$11="x")*IFERROR(H17,0)/IFERROR(SUMPRODUCT((Besatzung!$B$11:$B$22&lt;&gt;"")*(Besatzung!$F$11:$F$22="x")*(IF(Besatzung!$C$11:$C$22="",Besatzung!$B$5,Besatzung!$C$11:$C$22)&lt;=B17)*(IF(Besatzung!$D$11:$D$22="",Besatzung!$B$6,Besatzung!$D$11:$D$22)&gt;=B17)),1))),IF(I17="Individuell",((J17="x")*((G17-IFERROR(H17,0))/IFERROR(COUNTIF(J17:U17,"x"),1)+(Besatzung!$F$11="x")*IFERROR(H17,0)/IFERROR(SUMPRODUCT((J17:U17="x")*(Besatzung!$F$11:$F$22="x")),1))),(IF(COUNTIF(J17:U17,"x")=0,IF(Besatzung!$B$11&lt;&gt;"",1,0),(J17="x"))*(G17-IFERROR(H17,0))/IFERROR(IF(COUNTIF(J17:U17,"x")=0,COUNTA(Besatzung!$B$11:$B$22),COUNTIF(J17:U17,"x")),1)+IF(COUNTIF(J17:U17,"x")=0,(Besatzung!$F$11="x"),(J17="x")*(Besatzung!$F$11="x"))*IFERROR(H17,0)/IFERROR(IF(COUNTIF(J17:U17,"x")=0,SUMPRODUCT((Besatzung!$B$11:$B$22&lt;&gt;"")*(Besatzung!$F$11:$F$22="x")),SUMPRODUCT((J17:U17="x")*(Besatzung!$F$11:$F$22="x"))),1))))),0))))</f>
        <v/>
      </c>
      <c r="W17" s="247">
        <f>IF(C17="Gutschrift","",IF(G17="","",IF(Besatzung!$B$12="","",IFERROR(IF(I17="Zeitanteilig",(Besatzung!$G$12*(G17-IFERROR(H17,0))+((Besatzung!$B$12&lt;&gt;"")*IF(B17="",1,(IF(Besatzung!$C$12="",Besatzung!$B$5,Besatzung!$C$12)&lt;=B17)*(IF(Besatzung!$D$12="",Besatzung!$B$6,Besatzung!$D$12)&gt;=B17)))*(Besatzung!$F$12="x")*IFERROR(H17,0)/IFERROR(SUMPRODUCT((Besatzung!$B$11:$B$22&lt;&gt;"")*(Besatzung!$F$11:$F$22="x")*(IF(Besatzung!$C$11:$C$22="",Besatzung!$B$5,Besatzung!$C$11:$C$22)&lt;=B17)*(IF(Besatzung!$D$11:$D$22="",Besatzung!$B$6,Besatzung!$D$11:$D$22)&gt;=B17)),1)),IF(I17="An Bord",(((Besatzung!$B$12&lt;&gt;"")*IF(B17="",1,(IF(Besatzung!$C$12="",Besatzung!$B$5,Besatzung!$C$12)&lt;=B17)*(IF(Besatzung!$D$12="",Besatzung!$B$6,Besatzung!$D$12)&gt;=B17)))*((G17-IFERROR(H17,0))/IFERROR(SUMPRODUCT((Besatzung!$B$11:$B$22&lt;&gt;"")*(IF(Besatzung!$C$11:$C$22="",Besatzung!$B$5,Besatzung!$C$11:$C$22)&lt;=B17)*(IF(Besatzung!$D$11:$D$22="",Besatzung!$B$6,Besatzung!$D$11:$D$22)&gt;=B17)),1)+(Besatzung!$F$12="x")*IFERROR(H17,0)/IFERROR(SUMPRODUCT((Besatzung!$B$11:$B$22&lt;&gt;"")*(Besatzung!$F$11:$F$22="x")*(IF(Besatzung!$C$11:$C$22="",Besatzung!$B$5,Besatzung!$C$11:$C$22)&lt;=B17)*(IF(Besatzung!$D$11:$D$22="",Besatzung!$B$6,Besatzung!$D$11:$D$22)&gt;=B17)),1))),IF(I17="Individuell",((K17="x")*((G17-IFERROR(H17,0))/IFERROR(COUNTIF(J17:U17,"x"),1)+(Besatzung!$F$12="x")*IFERROR(H17,0)/IFERROR(SUMPRODUCT((J17:U17="x")*(Besatzung!$F$11:$F$22="x")),1))),(IF(COUNTIF(J17:U17,"x")=0,IF(Besatzung!$B$12&lt;&gt;"",1,0),(K17="x"))*(G17-IFERROR(H17,0))/IFERROR(IF(COUNTIF(J17:U17,"x")=0,COUNTA(Besatzung!$B$11:$B$22),COUNTIF(J17:U17,"x")),1)+IF(COUNTIF(J17:U17,"x")=0,(Besatzung!$F$12="x"),(K17="x")*(Besatzung!$F$12="x"))*IFERROR(H17,0)/IFERROR(IF(COUNTIF(J17:U17,"x")=0,SUMPRODUCT((Besatzung!$B$11:$B$22&lt;&gt;"")*(Besatzung!$F$11:$F$22="x")),SUMPRODUCT((J17:U17="x")*(Besatzung!$F$11:$F$22="x"))),1))))),0))))</f>
        <v/>
      </c>
      <c r="X17" s="247">
        <f>IF(C17="Gutschrift","",IF(G17="","",IF(Besatzung!$B$13="","",IFERROR(IF(I17="Zeitanteilig",(Besatzung!$G$13*(G17-IFERROR(H17,0))+((Besatzung!$B$13&lt;&gt;"")*IF(B17="",1,(IF(Besatzung!$C$13="",Besatzung!$B$5,Besatzung!$C$13)&lt;=B17)*(IF(Besatzung!$D$13="",Besatzung!$B$6,Besatzung!$D$13)&gt;=B17)))*(Besatzung!$F$13="x")*IFERROR(H17,0)/IFERROR(SUMPRODUCT((Besatzung!$B$11:$B$22&lt;&gt;"")*(Besatzung!$F$11:$F$22="x")*(IF(Besatzung!$C$11:$C$22="",Besatzung!$B$5,Besatzung!$C$11:$C$22)&lt;=B17)*(IF(Besatzung!$D$11:$D$22="",Besatzung!$B$6,Besatzung!$D$11:$D$22)&gt;=B17)),1)),IF(I17="An Bord",(((Besatzung!$B$13&lt;&gt;"")*IF(B17="",1,(IF(Besatzung!$C$13="",Besatzung!$B$5,Besatzung!$C$13)&lt;=B17)*(IF(Besatzung!$D$13="",Besatzung!$B$6,Besatzung!$D$13)&gt;=B17)))*((G17-IFERROR(H17,0))/IFERROR(SUMPRODUCT((Besatzung!$B$11:$B$22&lt;&gt;"")*(IF(Besatzung!$C$11:$C$22="",Besatzung!$B$5,Besatzung!$C$11:$C$22)&lt;=B17)*(IF(Besatzung!$D$11:$D$22="",Besatzung!$B$6,Besatzung!$D$11:$D$22)&gt;=B17)),1)+(Besatzung!$F$13="x")*IFERROR(H17,0)/IFERROR(SUMPRODUCT((Besatzung!$B$11:$B$22&lt;&gt;"")*(Besatzung!$F$11:$F$22="x")*(IF(Besatzung!$C$11:$C$22="",Besatzung!$B$5,Besatzung!$C$11:$C$22)&lt;=B17)*(IF(Besatzung!$D$11:$D$22="",Besatzung!$B$6,Besatzung!$D$11:$D$22)&gt;=B17)),1))),IF(I17="Individuell",((K17="x")*((G17-IFERROR(H17,0))/IFERROR(COUNTIF(J17:U17,"x"),1)+(Besatzung!$F$13="x")*IFERROR(H17,0)/IFERROR(SUMPRODUCT((J17:U17="x")*(Besatzung!$F$11:$F$22="x")),1))),(IF(COUNTIF(J17:U17,"x")=0,IF(Besatzung!$B$13&lt;&gt;"",1,0),(K17="x"))*(G17-IFERROR(H17,0))/IFERROR(IF(COUNTIF(J17:U17,"x")=0,COUNTA(Besatzung!$B$11:$B$22),COUNTIF(J17:U17,"x")),1)+IF(COUNTIF(J17:U17,"x")=0,(Besatzung!$F$13="x"),(K17="x")*(Besatzung!$F$13="x"))*IFERROR(H17,0)/IFERROR(IF(COUNTIF(J17:U17,"x")=0,SUMPRODUCT((Besatzung!$B$11:$B$22&lt;&gt;"")*(Besatzung!$F$11:$F$22="x")),SUMPRODUCT((J17:U17="x")*(Besatzung!$F$11:$F$22="x"))),1))))),0))))</f>
        <v/>
      </c>
      <c r="Y17" s="247">
        <f>IF(C17="Gutschrift","",IF(G17="","",IF(Besatzung!$B$14="","",IFERROR(IF(I17="Zeitanteilig",(Besatzung!$G$14*(G17-IFERROR(H17,0))+((Besatzung!$B$14&lt;&gt;"")*IF(B17="",1,(IF(Besatzung!$C$14="",Besatzung!$B$5,Besatzung!$C$14)&lt;=B17)*(IF(Besatzung!$D$14="",Besatzung!$B$6,Besatzung!$D$14)&gt;=B17)))*(Besatzung!$F$14="x")*IFERROR(H17,0)/IFERROR(SUMPRODUCT((Besatzung!$B$11:$B$22&lt;&gt;"")*(Besatzung!$F$11:$F$22="x")*(IF(Besatzung!$C$11:$C$22="",Besatzung!$B$5,Besatzung!$C$11:$C$22)&lt;=B17)*(IF(Besatzung!$D$11:$D$22="",Besatzung!$B$6,Besatzung!$D$11:$D$22)&gt;=B17)),1)),IF(I17="An Bord",(((Besatzung!$B$14&lt;&gt;"")*IF(B17="",1,(IF(Besatzung!$C$14="",Besatzung!$B$5,Besatzung!$C$14)&lt;=B17)*(IF(Besatzung!$D$14="",Besatzung!$B$6,Besatzung!$D$14)&gt;=B17)))*((G17-IFERROR(H17,0))/IFERROR(SUMPRODUCT((Besatzung!$B$11:$B$22&lt;&gt;"")*(IF(Besatzung!$C$11:$C$22="",Besatzung!$B$5,Besatzung!$C$11:$C$22)&lt;=B17)*(IF(Besatzung!$D$11:$D$22="",Besatzung!$B$6,Besatzung!$D$11:$D$22)&gt;=B17)),1)+(Besatzung!$F$14="x")*IFERROR(H17,0)/IFERROR(SUMPRODUCT((Besatzung!$B$11:$B$22&lt;&gt;"")*(Besatzung!$F$11:$F$22="x")*(IF(Besatzung!$C$11:$C$22="",Besatzung!$B$5,Besatzung!$C$11:$C$22)&lt;=B17)*(IF(Besatzung!$D$11:$D$22="",Besatzung!$B$6,Besatzung!$D$11:$D$22)&gt;=B17)),1))),IF(I17="Individuell",((M17="x")*((G17-IFERROR(H17,0))/IFERROR(COUNTIF(J17:U17,"x"),1)+(Besatzung!$F$14="x")*IFERROR(H17,0)/IFERROR(SUMPRODUCT((J17:U17="x")*(Besatzung!$F$11:$F$22="x")),1))),(IF(COUNTIF(J17:U17,"x")=0,IF(Besatzung!$B$14&lt;&gt;"",1,0),(M17="x"))*(G17-IFERROR(H17,0))/IFERROR(IF(COUNTIF(J17:U17,"x")=0,COUNTA(Besatzung!$B$11:$B$22),COUNTIF(J17:U17,"x")),1)+IF(COUNTIF(J17:U17,"x")=0,(Besatzung!$F$14="x"),(M17="x")*(Besatzung!$F$14="x"))*IFERROR(H17,0)/IFERROR(IF(COUNTIF(J17:U17,"x")=0,SUMPRODUCT((Besatzung!$B$11:$B$22&lt;&gt;"")*(Besatzung!$F$11:$F$22="x")),SUMPRODUCT((J17:U17="x")*(Besatzung!$F$11:$F$22="x"))),1))))),0))))</f>
        <v/>
      </c>
      <c r="Z17" s="247">
        <f>IF(C17="Gutschrift","",IF(G17="","",IF(Besatzung!$B$13="","",IFERROR(IF(I17="Zeitanteilig",(Besatzung!$G$15*(G17-IFERROR(H17,0))+((Besatzung!$B$13&lt;&gt;"")*IF(B17="",1,(IF(Besatzung!$C$15="",Besatzung!$B$5,Besatzung!$C$15)&lt;=B17)*(IF(Besatzung!$D$15="",Besatzung!$B$6,Besatzung!$D$15)&gt;=B17)))*(Besatzung!$F$15="x")*IFERROR(H17,0)/IFERROR(SUMPRODUCT((Besatzung!$B$11:$B$22&lt;&gt;"")*(Besatzung!$F$11:$F$22="x")*(IF(Besatzung!$C$11:$C$22="",Besatzung!$B$5,Besatzung!$C$11:$C$22)&lt;=B17)*(IF(Besatzung!$D$11:$D$22="",Besatzung!$B$6,Besatzung!$D$11:$D$22)&gt;=B17)),1)),IF(I17="An Bord",(((Besatzung!$B$13&lt;&gt;"")*IF(B17="",1,(IF(Besatzung!$C$15="",Besatzung!$B$5,Besatzung!$C$15)&lt;=B17)*(IF(Besatzung!$D$15="",Besatzung!$B$6,Besatzung!$D$15)&gt;=B17)))*((G17-IFERROR(H17,0))/IFERROR(SUMPRODUCT((Besatzung!$B$11:$B$22&lt;&gt;"")*(IF(Besatzung!$C$11:$C$22="",Besatzung!$B$5,Besatzung!$C$11:$C$22)&lt;=B17)*(IF(Besatzung!$D$11:$D$22="",Besatzung!$B$6,Besatzung!$D$11:$D$22)&gt;=B17)),1)+(Besatzung!$F$15="x")*IFERROR(H17,0)/IFERROR(SUMPRODUCT((Besatzung!$B$11:$B$22&lt;&gt;"")*(Besatzung!$F$11:$F$22="x")*(IF(Besatzung!$C$11:$C$22="",Besatzung!$B$5,Besatzung!$C$11:$C$22)&lt;=B17)*(IF(Besatzung!$D$11:$D$22="",Besatzung!$B$6,Besatzung!$D$11:$D$22)&gt;=B17)),1))),IF(I17="Individuell",((N17="x")*((G17-IFERROR(H17,0))/IFERROR(COUNTIF(J17:U17,"x"),1)+(Besatzung!$F$15="x")*IFERROR(H17,0)/IFERROR(SUMPRODUCT((J17:U17="x")*(Besatzung!$F$11:$F$22="x")),1))),(IF(COUNTIF(J17:U17,"x")=0,IF(Besatzung!$B$13&lt;&gt;"",1,0),(N17="x"))*(G17-IFERROR(H17,0))/IFERROR(IF(COUNTIF(J17:U17,"x")=0,COUNTA(Besatzung!$B$11:$B$22),COUNTIF(J17:U17,"x")),1)+IF(COUNTIF(J17:U17,"x")=0,(Besatzung!$F$15="x"),(N17="x")*(Besatzung!$F$15="x"))*IFERROR(H17,0)/IFERROR(IF(COUNTIF(J17:U17,"x")=0,SUMPRODUCT((Besatzung!$B$11:$B$22&lt;&gt;"")*(Besatzung!$F$11:$F$22="x")),SUMPRODUCT((J17:U17="x")*(Besatzung!$F$11:$F$22="x"))),1))))),0))))</f>
        <v/>
      </c>
      <c r="AA17" s="247">
        <f>IF(C17="Gutschrift","",IF(G17="","",IF(Besatzung!$B$15="","",IFERROR(IF(I17="Zeitanteilig",(Besatzung!$G$16*(G17-IFERROR(H17,0))+((Besatzung!$B$15&lt;&gt;"")*IF(B17="",1,(IF(Besatzung!$C$16="",Besatzung!$B$5,Besatzung!$C$16)&lt;=B17)*(IF(Besatzung!$D$16="",Besatzung!$B$6,Besatzung!$D$16)&gt;=B17)))*(Besatzung!$F$16="x")*IFERROR(H17,0)/IFERROR(SUMPRODUCT((Besatzung!$B$11:$B$22&lt;&gt;"")*(Besatzung!$F$11:$F$22="x")*(IF(Besatzung!$C$11:$C$22="",Besatzung!$B$5,Besatzung!$C$11:$C$22)&lt;=B17)*(IF(Besatzung!$D$11:$D$22="",Besatzung!$B$6,Besatzung!$D$11:$D$22)&gt;=B17)),1)),IF(I17="An Bord",(((Besatzung!$B$15&lt;&gt;"")*IF(B17="",1,(IF(Besatzung!$C$16="",Besatzung!$B$5,Besatzung!$C$16)&lt;=B17)*(IF(Besatzung!$D$16="",Besatzung!$B$6,Besatzung!$D$16)&gt;=B17)))*((G17-IFERROR(H17,0))/IFERROR(SUMPRODUCT((Besatzung!$B$11:$B$22&lt;&gt;"")*(IF(Besatzung!$C$11:$C$22="",Besatzung!$B$5,Besatzung!$C$11:$C$22)&lt;=B17)*(IF(Besatzung!$D$11:$D$22="",Besatzung!$B$6,Besatzung!$D$11:$D$22)&gt;=B17)),1)+(Besatzung!$F$16="x")*IFERROR(H17,0)/IFERROR(SUMPRODUCT((Besatzung!$B$11:$B$22&lt;&gt;"")*(Besatzung!$F$11:$F$22="x")*(IF(Besatzung!$C$11:$C$22="",Besatzung!$B$5,Besatzung!$C$11:$C$22)&lt;=B17)*(IF(Besatzung!$D$11:$D$22="",Besatzung!$B$6,Besatzung!$D$11:$D$22)&gt;=B17)),1))),IF(I17="Individuell",((O17="x")*((G17-IFERROR(H17,0))/IFERROR(COUNTIF(J17:U17,"x"),1)+(Besatzung!$F$16="x")*IFERROR(H17,0)/IFERROR(SUMPRODUCT((J17:U17="x")*(Besatzung!$F$11:$F$22="x")),1))),(IF(COUNTIF(J17:U17,"x")=0,IF(Besatzung!$B$15&lt;&gt;"",1,0),(O17="x"))*(G17-IFERROR(H17,0))/IFERROR(IF(COUNTIF(J17:U17,"x")=0,COUNTA(Besatzung!$B$11:$B$22),COUNTIF(J17:U17,"x")),1)+IF(COUNTIF(J17:U17,"x")=0,(Besatzung!$F$16="x"),(O17="x")*(Besatzung!$F$16="x"))*IFERROR(H17,0)/IFERROR(IF(COUNTIF(J17:U17,"x")=0,SUMPRODUCT((Besatzung!$B$11:$B$22&lt;&gt;"")*(Besatzung!$F$11:$F$22="x")),SUMPRODUCT((J17:U17="x")*(Besatzung!$F$11:$F$22="x"))),1))))),0))))</f>
        <v/>
      </c>
      <c r="AB17" s="247">
        <f>IF(C17="Gutschrift","",IF(G17="","",IF(Besatzung!$B$17="","",IFERROR(IF(I17="Zeitanteilig",(Besatzung!$G$17*(G17-IFERROR(H17,0))+((Besatzung!$B$17&lt;&gt;"")*IF(B17="",1,(IF(Besatzung!$C$17="",Besatzung!$B$5,Besatzung!$C$17)&lt;=B17)*(IF(Besatzung!$D$17="",Besatzung!$B$6,Besatzung!$D$17)&gt;=B17)))*(Besatzung!$F$17="x")*IFERROR(H17,0)/IFERROR(SUMPRODUCT((Besatzung!$B$11:$B$22&lt;&gt;"")*(Besatzung!$F$11:$F$22="x")*(IF(Besatzung!$C$11:$C$22="",Besatzung!$B$5,Besatzung!$C$11:$C$22)&lt;=B17)*(IF(Besatzung!$D$11:$D$22="",Besatzung!$B$6,Besatzung!$D$11:$D$22)&gt;=B17)),1)),IF(I17="An Bord",(((Besatzung!$B$17&lt;&gt;"")*IF(B17="",1,(IF(Besatzung!$C$17="",Besatzung!$B$5,Besatzung!$C$17)&lt;=B17)*(IF(Besatzung!$D$17="",Besatzung!$B$6,Besatzung!$D$17)&gt;=B17)))*((G17-IFERROR(H17,0))/IFERROR(SUMPRODUCT((Besatzung!$B$11:$B$22&lt;&gt;"")*(IF(Besatzung!$C$11:$C$22="",Besatzung!$B$5,Besatzung!$C$11:$C$22)&lt;=B17)*(IF(Besatzung!$D$11:$D$22="",Besatzung!$B$6,Besatzung!$D$11:$D$22)&gt;=B17)),1)+(Besatzung!$F$17="x")*IFERROR(H17,0)/IFERROR(SUMPRODUCT((Besatzung!$B$11:$B$22&lt;&gt;"")*(Besatzung!$F$11:$F$22="x")*(IF(Besatzung!$C$11:$C$22="",Besatzung!$B$5,Besatzung!$C$11:$C$22)&lt;=B17)*(IF(Besatzung!$D$11:$D$22="",Besatzung!$B$6,Besatzung!$D$11:$D$22)&gt;=B17)),1))),IF(I17="Individuell",((P17="x")*((G17-IFERROR(H17,0))/IFERROR(COUNTIF(J17:U17,"x"),1)+(Besatzung!$F$17="x")*IFERROR(H17,0)/IFERROR(SUMPRODUCT((J17:U17="x")*(Besatzung!$F$11:$F$22="x")),1))),(IF(COUNTIF(J17:U17,"x")=0,IF(Besatzung!$B$17&lt;&gt;"",1,0),(P17="x"))*(G17-IFERROR(H17,0))/IFERROR(IF(COUNTIF(J17:U17,"x")=0,COUNTA(Besatzung!$B$11:$B$22),COUNTIF(J17:U17,"x")),1)+IF(COUNTIF(J17:U17,"x")=0,(Besatzung!$F$17="x"),(P17="x")*(Besatzung!$F$17="x"))*IFERROR(H17,0)/IFERROR(IF(COUNTIF(J17:U17,"x")=0,SUMPRODUCT((Besatzung!$B$11:$B$22&lt;&gt;"")*(Besatzung!$F$11:$F$22="x")),SUMPRODUCT((J17:U17="x")*(Besatzung!$F$11:$F$22="x"))),1))))),0))))</f>
        <v/>
      </c>
      <c r="AC17" s="247">
        <f>IF(C17="Gutschrift","",IF(G17="","",IF(Besatzung!$B$18="","",IFERROR(IF(I17="Zeitanteilig",(Besatzung!$G$18*(G17-IFERROR(H17,0))+((Besatzung!$B$18&lt;&gt;"")*IF(B17="",1,(IF(Besatzung!$C$18="",Besatzung!$B$5,Besatzung!$C$18)&lt;=B17)*(IF(Besatzung!$D$18="",Besatzung!$B$6,Besatzung!$D$18)&gt;=B17)))*(Besatzung!$F$18="x")*IFERROR(H17,0)/IFERROR(SUMPRODUCT((Besatzung!$B$11:$B$22&lt;&gt;"")*(Besatzung!$F$11:$F$22="x")*(IF(Besatzung!$C$11:$C$22="",Besatzung!$B$5,Besatzung!$C$11:$C$22)&lt;=B17)*(IF(Besatzung!$D$11:$D$22="",Besatzung!$B$6,Besatzung!$D$11:$D$22)&gt;=B17)),1)),IF(I17="An Bord",(((Besatzung!$B$18&lt;&gt;"")*IF(B17="",1,(IF(Besatzung!$C$18="",Besatzung!$B$5,Besatzung!$C$18)&lt;=B17)*(IF(Besatzung!$D$18="",Besatzung!$B$6,Besatzung!$D$18)&gt;=B17)))*((G17-IFERROR(H17,0))/IFERROR(SUMPRODUCT((Besatzung!$B$11:$B$22&lt;&gt;"")*(IF(Besatzung!$C$11:$C$22="",Besatzung!$B$5,Besatzung!$C$11:$C$22)&lt;=B17)*(IF(Besatzung!$D$11:$D$22="",Besatzung!$B$6,Besatzung!$D$11:$D$22)&gt;=B17)),1)+(Besatzung!$F$18="x")*IFERROR(H17,0)/IFERROR(SUMPRODUCT((Besatzung!$B$11:$B$22&lt;&gt;"")*(Besatzung!$F$11:$F$22="x")*(IF(Besatzung!$C$11:$C$22="",Besatzung!$B$5,Besatzung!$C$11:$C$22)&lt;=B17)*(IF(Besatzung!$D$11:$D$22="",Besatzung!$B$6,Besatzung!$D$11:$D$22)&gt;=B17)),1))),IF(I17="Individuell",((Q17="x")*((G17-IFERROR(H17,0))/IFERROR(COUNTIF(J17:U17,"x"),1)+(Besatzung!$F$18="x")*IFERROR(H17,0)/IFERROR(SUMPRODUCT((J17:U17="x")*(Besatzung!$F$11:$F$22="x")),1))),(IF(COUNTIF(J17:U17,"x")=0,IF(Besatzung!$B$18&lt;&gt;"",1,0),(Q17="x"))*(G17-IFERROR(H17,0))/IFERROR(IF(COUNTIF(J17:U17,"x")=0,COUNTA(Besatzung!$B$11:$B$22),COUNTIF(J17:U17,"x")),1)+IF(COUNTIF(J17:U17,"x")=0,(Besatzung!$F$18="x"),(Q17="x")*(Besatzung!$F$18="x"))*IFERROR(H17,0)/IFERROR(IF(COUNTIF(J17:U17,"x")=0,SUMPRODUCT((Besatzung!$B$11:$B$22&lt;&gt;"")*(Besatzung!$F$11:$F$22="x")),SUMPRODUCT((J17:U17="x")*(Besatzung!$F$11:$F$22="x"))),1))))),0))))</f>
        <v/>
      </c>
      <c r="AD17" s="247">
        <f>IF(C17="Gutschrift","",IF(G17="","",IF(Besatzung!$B$19="","",IFERROR(IF(I17="Zeitanteilig",(Besatzung!$G$19*(G17-IFERROR(H17,0))+((Besatzung!$B$19&lt;&gt;"")*IF(B17="",1,(IF(Besatzung!$C$19="",Besatzung!$B$5,Besatzung!$C$19)&lt;=B17)*(IF(Besatzung!$D$19="",Besatzung!$B$6,Besatzung!$D$19)&gt;=B17)))*(Besatzung!$F$19="x")*IFERROR(H17,0)/IFERROR(SUMPRODUCT((Besatzung!$B$11:$B$22&lt;&gt;"")*(Besatzung!$F$11:$F$22="x")*(IF(Besatzung!$C$11:$C$22="",Besatzung!$B$5,Besatzung!$C$11:$C$22)&lt;=B17)*(IF(Besatzung!$D$11:$D$22="",Besatzung!$B$6,Besatzung!$D$11:$D$22)&gt;=B17)),1)),IF(I17="An Bord",(((Besatzung!$B$19&lt;&gt;"")*IF(B17="",1,(IF(Besatzung!$C$19="",Besatzung!$B$5,Besatzung!$C$19)&lt;=B17)*(IF(Besatzung!$D$19="",Besatzung!$B$6,Besatzung!$D$19)&gt;=B17)))*((G17-IFERROR(H17,0))/IFERROR(SUMPRODUCT((Besatzung!$B$11:$B$22&lt;&gt;"")*(IF(Besatzung!$C$11:$C$22="",Besatzung!$B$5,Besatzung!$C$11:$C$22)&lt;=B17)*(IF(Besatzung!$D$11:$D$22="",Besatzung!$B$6,Besatzung!$D$11:$D$22)&gt;=B17)),1)+(Besatzung!$F$19="x")*IFERROR(H17,0)/IFERROR(SUMPRODUCT((Besatzung!$B$11:$B$22&lt;&gt;"")*(Besatzung!$F$11:$F$22="x")*(IF(Besatzung!$C$11:$C$22="",Besatzung!$B$5,Besatzung!$C$11:$C$22)&lt;=B17)*(IF(Besatzung!$D$11:$D$22="",Besatzung!$B$6,Besatzung!$D$11:$D$22)&gt;=B17)),1))),IF(I17="Individuell",((R17="x")*((G17-IFERROR(H17,0))/IFERROR(COUNTIF(J17:U17,"x"),1)+(Besatzung!$F$19="x")*IFERROR(H17,0)/IFERROR(SUMPRODUCT((J17:U17="x")*(Besatzung!$F$11:$F$22="x")),1))),(IF(COUNTIF(J17:U17,"x")=0,IF(Besatzung!$B$19&lt;&gt;"",1,0),(R17="x"))*(G17-IFERROR(H17,0))/IFERROR(IF(COUNTIF(J17:U17,"x")=0,COUNTA(Besatzung!$B$11:$B$22),COUNTIF(J17:U17,"x")),1)+IF(COUNTIF(J17:U17,"x")=0,(Besatzung!$F$19="x"),(R17="x")*(Besatzung!$F$19="x"))*IFERROR(H17,0)/IFERROR(IF(COUNTIF(J17:U17,"x")=0,SUMPRODUCT((Besatzung!$B$11:$B$22&lt;&gt;"")*(Besatzung!$F$11:$F$22="x")),SUMPRODUCT((J17:U17="x")*(Besatzung!$F$11:$F$22="x"))),1))))),0))))</f>
        <v/>
      </c>
      <c r="AE17" s="247">
        <f>IF(C17="Gutschrift","",IF(G17="","",IF(Besatzung!$B$20="","",IFERROR(IF(I17="Zeitanteilig",(Besatzung!$G$20*(G17-IFERROR(H17,0))+((Besatzung!$B$20&lt;&gt;"")*IF(B17="",1,(IF(Besatzung!$C$20="",Besatzung!$B$5,Besatzung!$C$20)&lt;=B17)*(IF(Besatzung!$D$20="",Besatzung!$B$6,Besatzung!$D$20)&gt;=B17)))*(Besatzung!$F$20="x")*IFERROR(H17,0)/IFERROR(SUMPRODUCT((Besatzung!$B$11:$B$22&lt;&gt;"")*(Besatzung!$F$11:$F$22="x")*(IF(Besatzung!$C$11:$C$22="",Besatzung!$B$5,Besatzung!$C$11:$C$22)&lt;=B17)*(IF(Besatzung!$D$11:$D$22="",Besatzung!$B$6,Besatzung!$D$11:$D$22)&gt;=B17)),1)),IF(I17="An Bord",(((Besatzung!$B$20&lt;&gt;"")*IF(B17="",1,(IF(Besatzung!$C$20="",Besatzung!$B$5,Besatzung!$C$20)&lt;=B17)*(IF(Besatzung!$D$20="",Besatzung!$B$6,Besatzung!$D$20)&gt;=B17)))*((G17-IFERROR(H17,0))/IFERROR(SUMPRODUCT((Besatzung!$B$11:$B$22&lt;&gt;"")*(IF(Besatzung!$C$11:$C$22="",Besatzung!$B$5,Besatzung!$C$11:$C$22)&lt;=B17)*(IF(Besatzung!$D$11:$D$22="",Besatzung!$B$6,Besatzung!$D$11:$D$22)&gt;=B17)),1)+(Besatzung!$F$20="x")*IFERROR(H17,0)/IFERROR(SUMPRODUCT((Besatzung!$B$11:$B$22&lt;&gt;"")*(Besatzung!$F$11:$F$22="x")*(IF(Besatzung!$C$11:$C$22="",Besatzung!$B$5,Besatzung!$C$11:$C$22)&lt;=B17)*(IF(Besatzung!$D$11:$D$22="",Besatzung!$B$6,Besatzung!$D$11:$D$22)&gt;=B17)),1))),IF(I17="Individuell",((S17="x")*((G17-IFERROR(H17,0))/IFERROR(COUNTIF(J17:U17,"x"),1)+(Besatzung!$F$20="x")*IFERROR(H17,0)/IFERROR(SUMPRODUCT((J17:U17="x")*(Besatzung!$F$11:$F$22="x")),1))),(IF(COUNTIF(J17:U17,"x")=0,IF(Besatzung!$B$20&lt;&gt;"",1,0),(S17="x"))*(G17-IFERROR(H17,0))/IFERROR(IF(COUNTIF(J17:U17,"x")=0,COUNTA(Besatzung!$B$11:$B$22),COUNTIF(J17:U17,"x")),1)+IF(COUNTIF(J17:U17,"x")=0,(Besatzung!$F$20="x"),(S17="x")*(Besatzung!$F$20="x"))*IFERROR(H17,0)/IFERROR(IF(COUNTIF(J17:U17,"x")=0,SUMPRODUCT((Besatzung!$B$11:$B$22&lt;&gt;"")*(Besatzung!$F$11:$F$22="x")),SUMPRODUCT((J17:U17="x")*(Besatzung!$F$11:$F$22="x"))),1))))),0))))</f>
        <v/>
      </c>
      <c r="AF17" s="247">
        <f>IF(C17="Gutschrift","",IF(G17="","",IF(Besatzung!$B$21="","",IFERROR(IF(I17="Zeitanteilig",(Besatzung!$G$21*(G17-IFERROR(H17,0))+((Besatzung!$B$21&lt;&gt;"")*IF(B17="",1,(IF(Besatzung!$C$21="",Besatzung!$B$5,Besatzung!$C$21)&lt;=B17)*(IF(Besatzung!$D$21="",Besatzung!$B$6,Besatzung!$D$21)&gt;=B17)))*(Besatzung!$F$21="x")*IFERROR(H17,0)/IFERROR(SUMPRODUCT((Besatzung!$B$11:$B$22&lt;&gt;"")*(Besatzung!$F$11:$F$22="x")*(IF(Besatzung!$C$11:$C$22="",Besatzung!$B$5,Besatzung!$C$11:$C$22)&lt;=B17)*(IF(Besatzung!$D$11:$D$22="",Besatzung!$B$6,Besatzung!$D$11:$D$22)&gt;=B17)),1)),IF(I17="An Bord",(((Besatzung!$B$21&lt;&gt;"")*IF(B17="",1,(IF(Besatzung!$C$21="",Besatzung!$B$5,Besatzung!$C$21)&lt;=B17)*(IF(Besatzung!$D$21="",Besatzung!$B$6,Besatzung!$D$21)&gt;=B17)))*((G17-IFERROR(H17,0))/IFERROR(SUMPRODUCT((Besatzung!$B$11:$B$22&lt;&gt;"")*(IF(Besatzung!$C$11:$C$22="",Besatzung!$B$5,Besatzung!$C$11:$C$22)&lt;=B17)*(IF(Besatzung!$D$11:$D$22="",Besatzung!$B$6,Besatzung!$D$11:$D$22)&gt;=B17)),1)+(Besatzung!$F$21="x")*IFERROR(H17,0)/IFERROR(SUMPRODUCT((Besatzung!$B$11:$B$22&lt;&gt;"")*(Besatzung!$F$11:$F$22="x")*(IF(Besatzung!$C$11:$C$22="",Besatzung!$B$5,Besatzung!$C$11:$C$22)&lt;=B17)*(IF(Besatzung!$D$11:$D$22="",Besatzung!$B$6,Besatzung!$D$11:$D$22)&gt;=B17)),1))),IF(I17="Individuell",((T17="x")*((G17-IFERROR(H17,0))/IFERROR(COUNTIF(J17:U17,"x"),1)+(Besatzung!$F$21="x")*IFERROR(H17,0)/IFERROR(SUMPRODUCT((J17:U17="x")*(Besatzung!$F$11:$F$22="x")),1))),(IF(COUNTIF(J17:U17,"x")=0,IF(Besatzung!$B$21&lt;&gt;"",1,0),(T17="x"))*(G17-IFERROR(H17,0))/IFERROR(IF(COUNTIF(J17:U17,"x")=0,COUNTA(Besatzung!$B$11:$B$22),COUNTIF(J17:U17,"x")),1)+IF(COUNTIF(J17:U17,"x")=0,(Besatzung!$F$21="x"),(T17="x")*(Besatzung!$F$21="x"))*IFERROR(H17,0)/IFERROR(IF(COUNTIF(J17:U17,"x")=0,SUMPRODUCT((Besatzung!$B$11:$B$22&lt;&gt;"")*(Besatzung!$F$11:$F$22="x")),SUMPRODUCT((J17:U17="x")*(Besatzung!$F$11:$F$22="x"))),1))))),0))))</f>
        <v/>
      </c>
      <c r="AG17" s="247">
        <f>IF(C17="Gutschrift","",IF(G17="","",IF(Besatzung!$B$22="","",IFERROR(IF(I17="Zeitanteilig",(Besatzung!$G$22*(G17-IFERROR(H17,0))+((Besatzung!$B$22&lt;&gt;"")*IF(B17="",1,(IF(Besatzung!$C$22="",Besatzung!$B$5,Besatzung!$C$22)&lt;=B17)*(IF(Besatzung!$D$22="",Besatzung!$B$6,Besatzung!$D$22)&gt;=B17)))*(Besatzung!$F$22="x")*IFERROR(H17,0)/IFERROR(SUMPRODUCT((Besatzung!$B$11:$B$22&lt;&gt;"")*(Besatzung!$F$11:$F$22="x")*(IF(Besatzung!$C$11:$C$22="",Besatzung!$B$5,Besatzung!$C$11:$C$22)&lt;=B17)*(IF(Besatzung!$D$11:$D$22="",Besatzung!$B$6,Besatzung!$D$11:$D$22)&gt;=B17)),1)),IF(I17="An Bord",(((Besatzung!$B$22&lt;&gt;"")*IF(B17="",1,(IF(Besatzung!$C$22="",Besatzung!$B$5,Besatzung!$C$22)&lt;=B17)*(IF(Besatzung!$D$22="",Besatzung!$B$6,Besatzung!$D$22)&gt;=B17)))*((G17-IFERROR(H17,0))/IFERROR(SUMPRODUCT((Besatzung!$B$11:$B$22&lt;&gt;"")*(IF(Besatzung!$C$11:$C$22="",Besatzung!$B$5,Besatzung!$C$11:$C$22)&lt;=B17)*(IF(Besatzung!$D$11:$D$22="",Besatzung!$B$6,Besatzung!$D$11:$D$22)&gt;=B17)),1)+(Besatzung!$F$22="x")*IFERROR(H17,0)/IFERROR(SUMPRODUCT((Besatzung!$B$11:$B$22&lt;&gt;"")*(Besatzung!$F$11:$F$22="x")*(IF(Besatzung!$C$11:$C$22="",Besatzung!$B$5,Besatzung!$C$11:$C$22)&lt;=B17)*(IF(Besatzung!$D$11:$D$22="",Besatzung!$B$6,Besatzung!$D$11:$D$22)&gt;=B17)),1))),IF(I17="Individuell",((U17="x")*((G17-IFERROR(H17,0))/IFERROR(COUNTIF(J17:U17,"x"),1)+(Besatzung!$F$22="x")*IFERROR(H17,0)/IFERROR(SUMPRODUCT((J17:U17="x")*(Besatzung!$F$11:$F$22="x")),1))),(IF(COUNTIF(J17:U17,"x")=0,IF(Besatzung!$B$22&lt;&gt;"",1,0),(U17="x"))*(G17-IFERROR(H17,0))/IFERROR(IF(COUNTIF(J17:U17,"x")=0,COUNTA(Besatzung!$B$11:$B$22),COUNTIF(J17:U17,"x")),1)+IF(COUNTIF(J17:U17,"x")=0,(Besatzung!$F$22="x"),(U17="x")*(Besatzung!$F$22="x"))*IFERROR(H17,0)/IFERROR(IF(COUNTIF(J17:U17,"x")=0,SUMPRODUCT((Besatzung!$B$11:$B$22&lt;&gt;"")*(Besatzung!$F$11:$F$22="x")),SUMPRODUCT((J17:U17="x")*(Besatzung!$F$11:$F$22="x"))),1))))),0))))</f>
        <v/>
      </c>
      <c r="AH17" s="248" t="n"/>
      <c r="AI17" s="248" t="n"/>
    </row>
    <row r="18" ht="21.75" customHeight="1" s="154">
      <c r="A18" s="238">
        <f>IF(AND(D18="",C18=""),"",15)</f>
        <v/>
      </c>
      <c r="B18" s="199" t="n"/>
      <c r="C18" s="239" t="n"/>
      <c r="D18" s="240" t="n"/>
      <c r="E18" s="241" t="n"/>
      <c r="F18" s="242" t="n"/>
      <c r="G18" s="243" t="n"/>
      <c r="H18" s="244" t="n"/>
      <c r="I18" s="245" t="n"/>
      <c r="J18" s="246" t="n"/>
      <c r="K18" s="246" t="n"/>
      <c r="L18" s="246" t="n"/>
      <c r="M18" s="246" t="n"/>
      <c r="N18" s="246" t="n"/>
      <c r="O18" s="246" t="n"/>
      <c r="P18" s="246" t="n"/>
      <c r="Q18" s="246" t="n"/>
      <c r="R18" s="246" t="n"/>
      <c r="S18" s="246" t="n"/>
      <c r="T18" s="246" t="n"/>
      <c r="U18" s="246" t="n"/>
      <c r="V18" s="247">
        <f>IF(C18="Gutschrift","",IF(G18="","",IF(Besatzung!$B$11="","",IFERROR(IF(I18="Zeitanteilig",(Besatzung!$G$11*(G18-IFERROR(H18,0))+((Besatzung!$B$11&lt;&gt;"")*IF(B18="",1,(IF(Besatzung!$C$11="",Besatzung!$B$5,Besatzung!$C$11)&lt;=B18)*(IF(Besatzung!$D$11="",Besatzung!$B$6,Besatzung!$D$11)&gt;=B18)))*(Besatzung!$F$11="x")*IFERROR(H18,0)/IFERROR(SUMPRODUCT((Besatzung!$B$11:$B$22&lt;&gt;"")*(Besatzung!$F$11:$F$22="x")*(IF(Besatzung!$C$11:$C$22="",Besatzung!$B$5,Besatzung!$C$11:$C$22)&lt;=B18)*(IF(Besatzung!$D$11:$D$22="",Besatzung!$B$6,Besatzung!$D$11:$D$22)&gt;=B18)),1)),IF(I18="An Bord",(((Besatzung!$B$11&lt;&gt;"")*IF(B18="",1,(IF(Besatzung!$C$11="",Besatzung!$B$5,Besatzung!$C$11)&lt;=B18)*(IF(Besatzung!$D$11="",Besatzung!$B$6,Besatzung!$D$11)&gt;=B18)))*((G18-IFERROR(H18,0))/IFERROR(SUMPRODUCT((Besatzung!$B$11:$B$22&lt;&gt;"")*(IF(Besatzung!$C$11:$C$22="",Besatzung!$B$5,Besatzung!$C$11:$C$22)&lt;=B18)*(IF(Besatzung!$D$11:$D$22="",Besatzung!$B$6,Besatzung!$D$11:$D$22)&gt;=B18)),1)+(Besatzung!$F$11="x")*IFERROR(H18,0)/IFERROR(SUMPRODUCT((Besatzung!$B$11:$B$22&lt;&gt;"")*(Besatzung!$F$11:$F$22="x")*(IF(Besatzung!$C$11:$C$22="",Besatzung!$B$5,Besatzung!$C$11:$C$22)&lt;=B18)*(IF(Besatzung!$D$11:$D$22="",Besatzung!$B$6,Besatzung!$D$11:$D$22)&gt;=B18)),1))),IF(I18="Individuell",((J18="x")*((G18-IFERROR(H18,0))/IFERROR(COUNTIF(J18:U18,"x"),1)+(Besatzung!$F$11="x")*IFERROR(H18,0)/IFERROR(SUMPRODUCT((J18:U18="x")*(Besatzung!$F$11:$F$22="x")),1))),(IF(COUNTIF(J18:U18,"x")=0,IF(Besatzung!$B$11&lt;&gt;"",1,0),(J18="x"))*(G18-IFERROR(H18,0))/IFERROR(IF(COUNTIF(J18:U18,"x")=0,COUNTA(Besatzung!$B$11:$B$22),COUNTIF(J18:U18,"x")),1)+IF(COUNTIF(J18:U18,"x")=0,(Besatzung!$F$11="x"),(J18="x")*(Besatzung!$F$11="x"))*IFERROR(H18,0)/IFERROR(IF(COUNTIF(J18:U18,"x")=0,SUMPRODUCT((Besatzung!$B$11:$B$22&lt;&gt;"")*(Besatzung!$F$11:$F$22="x")),SUMPRODUCT((J18:U18="x")*(Besatzung!$F$11:$F$22="x"))),1))))),0))))</f>
        <v/>
      </c>
      <c r="W18" s="247">
        <f>IF(C18="Gutschrift","",IF(G18="","",IF(Besatzung!$B$12="","",IFERROR(IF(I18="Zeitanteilig",(Besatzung!$G$12*(G18-IFERROR(H18,0))+((Besatzung!$B$12&lt;&gt;"")*IF(B18="",1,(IF(Besatzung!$C$12="",Besatzung!$B$5,Besatzung!$C$12)&lt;=B18)*(IF(Besatzung!$D$12="",Besatzung!$B$6,Besatzung!$D$12)&gt;=B18)))*(Besatzung!$F$12="x")*IFERROR(H18,0)/IFERROR(SUMPRODUCT((Besatzung!$B$11:$B$22&lt;&gt;"")*(Besatzung!$F$11:$F$22="x")*(IF(Besatzung!$C$11:$C$22="",Besatzung!$B$5,Besatzung!$C$11:$C$22)&lt;=B18)*(IF(Besatzung!$D$11:$D$22="",Besatzung!$B$6,Besatzung!$D$11:$D$22)&gt;=B18)),1)),IF(I18="An Bord",(((Besatzung!$B$12&lt;&gt;"")*IF(B18="",1,(IF(Besatzung!$C$12="",Besatzung!$B$5,Besatzung!$C$12)&lt;=B18)*(IF(Besatzung!$D$12="",Besatzung!$B$6,Besatzung!$D$12)&gt;=B18)))*((G18-IFERROR(H18,0))/IFERROR(SUMPRODUCT((Besatzung!$B$11:$B$22&lt;&gt;"")*(IF(Besatzung!$C$11:$C$22="",Besatzung!$B$5,Besatzung!$C$11:$C$22)&lt;=B18)*(IF(Besatzung!$D$11:$D$22="",Besatzung!$B$6,Besatzung!$D$11:$D$22)&gt;=B18)),1)+(Besatzung!$F$12="x")*IFERROR(H18,0)/IFERROR(SUMPRODUCT((Besatzung!$B$11:$B$22&lt;&gt;"")*(Besatzung!$F$11:$F$22="x")*(IF(Besatzung!$C$11:$C$22="",Besatzung!$B$5,Besatzung!$C$11:$C$22)&lt;=B18)*(IF(Besatzung!$D$11:$D$22="",Besatzung!$B$6,Besatzung!$D$11:$D$22)&gt;=B18)),1))),IF(I18="Individuell",((K18="x")*((G18-IFERROR(H18,0))/IFERROR(COUNTIF(J18:U18,"x"),1)+(Besatzung!$F$12="x")*IFERROR(H18,0)/IFERROR(SUMPRODUCT((J18:U18="x")*(Besatzung!$F$11:$F$22="x")),1))),(IF(COUNTIF(J18:U18,"x")=0,IF(Besatzung!$B$12&lt;&gt;"",1,0),(K18="x"))*(G18-IFERROR(H18,0))/IFERROR(IF(COUNTIF(J18:U18,"x")=0,COUNTA(Besatzung!$B$11:$B$22),COUNTIF(J18:U18,"x")),1)+IF(COUNTIF(J18:U18,"x")=0,(Besatzung!$F$12="x"),(K18="x")*(Besatzung!$F$12="x"))*IFERROR(H18,0)/IFERROR(IF(COUNTIF(J18:U18,"x")=0,SUMPRODUCT((Besatzung!$B$11:$B$22&lt;&gt;"")*(Besatzung!$F$11:$F$22="x")),SUMPRODUCT((J18:U18="x")*(Besatzung!$F$11:$F$22="x"))),1))))),0))))</f>
        <v/>
      </c>
      <c r="X18" s="247">
        <f>IF(C18="Gutschrift","",IF(G18="","",IF(Besatzung!$B$13="","",IFERROR(IF(I18="Zeitanteilig",(Besatzung!$G$13*(G18-IFERROR(H18,0))+((Besatzung!$B$13&lt;&gt;"")*IF(B18="",1,(IF(Besatzung!$C$13="",Besatzung!$B$5,Besatzung!$C$13)&lt;=B18)*(IF(Besatzung!$D$13="",Besatzung!$B$6,Besatzung!$D$13)&gt;=B18)))*(Besatzung!$F$13="x")*IFERROR(H18,0)/IFERROR(SUMPRODUCT((Besatzung!$B$11:$B$22&lt;&gt;"")*(Besatzung!$F$11:$F$22="x")*(IF(Besatzung!$C$11:$C$22="",Besatzung!$B$5,Besatzung!$C$11:$C$22)&lt;=B18)*(IF(Besatzung!$D$11:$D$22="",Besatzung!$B$6,Besatzung!$D$11:$D$22)&gt;=B18)),1)),IF(I18="An Bord",(((Besatzung!$B$13&lt;&gt;"")*IF(B18="",1,(IF(Besatzung!$C$13="",Besatzung!$B$5,Besatzung!$C$13)&lt;=B18)*(IF(Besatzung!$D$13="",Besatzung!$B$6,Besatzung!$D$13)&gt;=B18)))*((G18-IFERROR(H18,0))/IFERROR(SUMPRODUCT((Besatzung!$B$11:$B$22&lt;&gt;"")*(IF(Besatzung!$C$11:$C$22="",Besatzung!$B$5,Besatzung!$C$11:$C$22)&lt;=B18)*(IF(Besatzung!$D$11:$D$22="",Besatzung!$B$6,Besatzung!$D$11:$D$22)&gt;=B18)),1)+(Besatzung!$F$13="x")*IFERROR(H18,0)/IFERROR(SUMPRODUCT((Besatzung!$B$11:$B$22&lt;&gt;"")*(Besatzung!$F$11:$F$22="x")*(IF(Besatzung!$C$11:$C$22="",Besatzung!$B$5,Besatzung!$C$11:$C$22)&lt;=B18)*(IF(Besatzung!$D$11:$D$22="",Besatzung!$B$6,Besatzung!$D$11:$D$22)&gt;=B18)),1))),IF(I18="Individuell",((K18="x")*((G18-IFERROR(H18,0))/IFERROR(COUNTIF(J18:U18,"x"),1)+(Besatzung!$F$13="x")*IFERROR(H18,0)/IFERROR(SUMPRODUCT((J18:U18="x")*(Besatzung!$F$11:$F$22="x")),1))),(IF(COUNTIF(J18:U18,"x")=0,IF(Besatzung!$B$13&lt;&gt;"",1,0),(K18="x"))*(G18-IFERROR(H18,0))/IFERROR(IF(COUNTIF(J18:U18,"x")=0,COUNTA(Besatzung!$B$11:$B$22),COUNTIF(J18:U18,"x")),1)+IF(COUNTIF(J18:U18,"x")=0,(Besatzung!$F$13="x"),(K18="x")*(Besatzung!$F$13="x"))*IFERROR(H18,0)/IFERROR(IF(COUNTIF(J18:U18,"x")=0,SUMPRODUCT((Besatzung!$B$11:$B$22&lt;&gt;"")*(Besatzung!$F$11:$F$22="x")),SUMPRODUCT((J18:U18="x")*(Besatzung!$F$11:$F$22="x"))),1))))),0))))</f>
        <v/>
      </c>
      <c r="Y18" s="247">
        <f>IF(C18="Gutschrift","",IF(G18="","",IF(Besatzung!$B$14="","",IFERROR(IF(I18="Zeitanteilig",(Besatzung!$G$14*(G18-IFERROR(H18,0))+((Besatzung!$B$14&lt;&gt;"")*IF(B18="",1,(IF(Besatzung!$C$14="",Besatzung!$B$5,Besatzung!$C$14)&lt;=B18)*(IF(Besatzung!$D$14="",Besatzung!$B$6,Besatzung!$D$14)&gt;=B18)))*(Besatzung!$F$14="x")*IFERROR(H18,0)/IFERROR(SUMPRODUCT((Besatzung!$B$11:$B$22&lt;&gt;"")*(Besatzung!$F$11:$F$22="x")*(IF(Besatzung!$C$11:$C$22="",Besatzung!$B$5,Besatzung!$C$11:$C$22)&lt;=B18)*(IF(Besatzung!$D$11:$D$22="",Besatzung!$B$6,Besatzung!$D$11:$D$22)&gt;=B18)),1)),IF(I18="An Bord",(((Besatzung!$B$14&lt;&gt;"")*IF(B18="",1,(IF(Besatzung!$C$14="",Besatzung!$B$5,Besatzung!$C$14)&lt;=B18)*(IF(Besatzung!$D$14="",Besatzung!$B$6,Besatzung!$D$14)&gt;=B18)))*((G18-IFERROR(H18,0))/IFERROR(SUMPRODUCT((Besatzung!$B$11:$B$22&lt;&gt;"")*(IF(Besatzung!$C$11:$C$22="",Besatzung!$B$5,Besatzung!$C$11:$C$22)&lt;=B18)*(IF(Besatzung!$D$11:$D$22="",Besatzung!$B$6,Besatzung!$D$11:$D$22)&gt;=B18)),1)+(Besatzung!$F$14="x")*IFERROR(H18,0)/IFERROR(SUMPRODUCT((Besatzung!$B$11:$B$22&lt;&gt;"")*(Besatzung!$F$11:$F$22="x")*(IF(Besatzung!$C$11:$C$22="",Besatzung!$B$5,Besatzung!$C$11:$C$22)&lt;=B18)*(IF(Besatzung!$D$11:$D$22="",Besatzung!$B$6,Besatzung!$D$11:$D$22)&gt;=B18)),1))),IF(I18="Individuell",((M18="x")*((G18-IFERROR(H18,0))/IFERROR(COUNTIF(J18:U18,"x"),1)+(Besatzung!$F$14="x")*IFERROR(H18,0)/IFERROR(SUMPRODUCT((J18:U18="x")*(Besatzung!$F$11:$F$22="x")),1))),(IF(COUNTIF(J18:U18,"x")=0,IF(Besatzung!$B$14&lt;&gt;"",1,0),(M18="x"))*(G18-IFERROR(H18,0))/IFERROR(IF(COUNTIF(J18:U18,"x")=0,COUNTA(Besatzung!$B$11:$B$22),COUNTIF(J18:U18,"x")),1)+IF(COUNTIF(J18:U18,"x")=0,(Besatzung!$F$14="x"),(M18="x")*(Besatzung!$F$14="x"))*IFERROR(H18,0)/IFERROR(IF(COUNTIF(J18:U18,"x")=0,SUMPRODUCT((Besatzung!$B$11:$B$22&lt;&gt;"")*(Besatzung!$F$11:$F$22="x")),SUMPRODUCT((J18:U18="x")*(Besatzung!$F$11:$F$22="x"))),1))))),0))))</f>
        <v/>
      </c>
      <c r="Z18" s="247">
        <f>IF(C18="Gutschrift","",IF(G18="","",IF(Besatzung!$B$13="","",IFERROR(IF(I18="Zeitanteilig",(Besatzung!$G$15*(G18-IFERROR(H18,0))+((Besatzung!$B$13&lt;&gt;"")*IF(B18="",1,(IF(Besatzung!$C$15="",Besatzung!$B$5,Besatzung!$C$15)&lt;=B18)*(IF(Besatzung!$D$15="",Besatzung!$B$6,Besatzung!$D$15)&gt;=B18)))*(Besatzung!$F$15="x")*IFERROR(H18,0)/IFERROR(SUMPRODUCT((Besatzung!$B$11:$B$22&lt;&gt;"")*(Besatzung!$F$11:$F$22="x")*(IF(Besatzung!$C$11:$C$22="",Besatzung!$B$5,Besatzung!$C$11:$C$22)&lt;=B18)*(IF(Besatzung!$D$11:$D$22="",Besatzung!$B$6,Besatzung!$D$11:$D$22)&gt;=B18)),1)),IF(I18="An Bord",(((Besatzung!$B$13&lt;&gt;"")*IF(B18="",1,(IF(Besatzung!$C$15="",Besatzung!$B$5,Besatzung!$C$15)&lt;=B18)*(IF(Besatzung!$D$15="",Besatzung!$B$6,Besatzung!$D$15)&gt;=B18)))*((G18-IFERROR(H18,0))/IFERROR(SUMPRODUCT((Besatzung!$B$11:$B$22&lt;&gt;"")*(IF(Besatzung!$C$11:$C$22="",Besatzung!$B$5,Besatzung!$C$11:$C$22)&lt;=B18)*(IF(Besatzung!$D$11:$D$22="",Besatzung!$B$6,Besatzung!$D$11:$D$22)&gt;=B18)),1)+(Besatzung!$F$15="x")*IFERROR(H18,0)/IFERROR(SUMPRODUCT((Besatzung!$B$11:$B$22&lt;&gt;"")*(Besatzung!$F$11:$F$22="x")*(IF(Besatzung!$C$11:$C$22="",Besatzung!$B$5,Besatzung!$C$11:$C$22)&lt;=B18)*(IF(Besatzung!$D$11:$D$22="",Besatzung!$B$6,Besatzung!$D$11:$D$22)&gt;=B18)),1))),IF(I18="Individuell",((N18="x")*((G18-IFERROR(H18,0))/IFERROR(COUNTIF(J18:U18,"x"),1)+(Besatzung!$F$15="x")*IFERROR(H18,0)/IFERROR(SUMPRODUCT((J18:U18="x")*(Besatzung!$F$11:$F$22="x")),1))),(IF(COUNTIF(J18:U18,"x")=0,IF(Besatzung!$B$13&lt;&gt;"",1,0),(N18="x"))*(G18-IFERROR(H18,0))/IFERROR(IF(COUNTIF(J18:U18,"x")=0,COUNTA(Besatzung!$B$11:$B$22),COUNTIF(J18:U18,"x")),1)+IF(COUNTIF(J18:U18,"x")=0,(Besatzung!$F$15="x"),(N18="x")*(Besatzung!$F$15="x"))*IFERROR(H18,0)/IFERROR(IF(COUNTIF(J18:U18,"x")=0,SUMPRODUCT((Besatzung!$B$11:$B$22&lt;&gt;"")*(Besatzung!$F$11:$F$22="x")),SUMPRODUCT((J18:U18="x")*(Besatzung!$F$11:$F$22="x"))),1))))),0))))</f>
        <v/>
      </c>
      <c r="AA18" s="247">
        <f>IF(C18="Gutschrift","",IF(G18="","",IF(Besatzung!$B$15="","",IFERROR(IF(I18="Zeitanteilig",(Besatzung!$G$16*(G18-IFERROR(H18,0))+((Besatzung!$B$15&lt;&gt;"")*IF(B18="",1,(IF(Besatzung!$C$16="",Besatzung!$B$5,Besatzung!$C$16)&lt;=B18)*(IF(Besatzung!$D$16="",Besatzung!$B$6,Besatzung!$D$16)&gt;=B18)))*(Besatzung!$F$16="x")*IFERROR(H18,0)/IFERROR(SUMPRODUCT((Besatzung!$B$11:$B$22&lt;&gt;"")*(Besatzung!$F$11:$F$22="x")*(IF(Besatzung!$C$11:$C$22="",Besatzung!$B$5,Besatzung!$C$11:$C$22)&lt;=B18)*(IF(Besatzung!$D$11:$D$22="",Besatzung!$B$6,Besatzung!$D$11:$D$22)&gt;=B18)),1)),IF(I18="An Bord",(((Besatzung!$B$15&lt;&gt;"")*IF(B18="",1,(IF(Besatzung!$C$16="",Besatzung!$B$5,Besatzung!$C$16)&lt;=B18)*(IF(Besatzung!$D$16="",Besatzung!$B$6,Besatzung!$D$16)&gt;=B18)))*((G18-IFERROR(H18,0))/IFERROR(SUMPRODUCT((Besatzung!$B$11:$B$22&lt;&gt;"")*(IF(Besatzung!$C$11:$C$22="",Besatzung!$B$5,Besatzung!$C$11:$C$22)&lt;=B18)*(IF(Besatzung!$D$11:$D$22="",Besatzung!$B$6,Besatzung!$D$11:$D$22)&gt;=B18)),1)+(Besatzung!$F$16="x")*IFERROR(H18,0)/IFERROR(SUMPRODUCT((Besatzung!$B$11:$B$22&lt;&gt;"")*(Besatzung!$F$11:$F$22="x")*(IF(Besatzung!$C$11:$C$22="",Besatzung!$B$5,Besatzung!$C$11:$C$22)&lt;=B18)*(IF(Besatzung!$D$11:$D$22="",Besatzung!$B$6,Besatzung!$D$11:$D$22)&gt;=B18)),1))),IF(I18="Individuell",((O18="x")*((G18-IFERROR(H18,0))/IFERROR(COUNTIF(J18:U18,"x"),1)+(Besatzung!$F$16="x")*IFERROR(H18,0)/IFERROR(SUMPRODUCT((J18:U18="x")*(Besatzung!$F$11:$F$22="x")),1))),(IF(COUNTIF(J18:U18,"x")=0,IF(Besatzung!$B$15&lt;&gt;"",1,0),(O18="x"))*(G18-IFERROR(H18,0))/IFERROR(IF(COUNTIF(J18:U18,"x")=0,COUNTA(Besatzung!$B$11:$B$22),COUNTIF(J18:U18,"x")),1)+IF(COUNTIF(J18:U18,"x")=0,(Besatzung!$F$16="x"),(O18="x")*(Besatzung!$F$16="x"))*IFERROR(H18,0)/IFERROR(IF(COUNTIF(J18:U18,"x")=0,SUMPRODUCT((Besatzung!$B$11:$B$22&lt;&gt;"")*(Besatzung!$F$11:$F$22="x")),SUMPRODUCT((J18:U18="x")*(Besatzung!$F$11:$F$22="x"))),1))))),0))))</f>
        <v/>
      </c>
      <c r="AB18" s="247">
        <f>IF(C18="Gutschrift","",IF(G18="","",IF(Besatzung!$B$17="","",IFERROR(IF(I18="Zeitanteilig",(Besatzung!$G$17*(G18-IFERROR(H18,0))+((Besatzung!$B$17&lt;&gt;"")*IF(B18="",1,(IF(Besatzung!$C$17="",Besatzung!$B$5,Besatzung!$C$17)&lt;=B18)*(IF(Besatzung!$D$17="",Besatzung!$B$6,Besatzung!$D$17)&gt;=B18)))*(Besatzung!$F$17="x")*IFERROR(H18,0)/IFERROR(SUMPRODUCT((Besatzung!$B$11:$B$22&lt;&gt;"")*(Besatzung!$F$11:$F$22="x")*(IF(Besatzung!$C$11:$C$22="",Besatzung!$B$5,Besatzung!$C$11:$C$22)&lt;=B18)*(IF(Besatzung!$D$11:$D$22="",Besatzung!$B$6,Besatzung!$D$11:$D$22)&gt;=B18)),1)),IF(I18="An Bord",(((Besatzung!$B$17&lt;&gt;"")*IF(B18="",1,(IF(Besatzung!$C$17="",Besatzung!$B$5,Besatzung!$C$17)&lt;=B18)*(IF(Besatzung!$D$17="",Besatzung!$B$6,Besatzung!$D$17)&gt;=B18)))*((G18-IFERROR(H18,0))/IFERROR(SUMPRODUCT((Besatzung!$B$11:$B$22&lt;&gt;"")*(IF(Besatzung!$C$11:$C$22="",Besatzung!$B$5,Besatzung!$C$11:$C$22)&lt;=B18)*(IF(Besatzung!$D$11:$D$22="",Besatzung!$B$6,Besatzung!$D$11:$D$22)&gt;=B18)),1)+(Besatzung!$F$17="x")*IFERROR(H18,0)/IFERROR(SUMPRODUCT((Besatzung!$B$11:$B$22&lt;&gt;"")*(Besatzung!$F$11:$F$22="x")*(IF(Besatzung!$C$11:$C$22="",Besatzung!$B$5,Besatzung!$C$11:$C$22)&lt;=B18)*(IF(Besatzung!$D$11:$D$22="",Besatzung!$B$6,Besatzung!$D$11:$D$22)&gt;=B18)),1))),IF(I18="Individuell",((P18="x")*((G18-IFERROR(H18,0))/IFERROR(COUNTIF(J18:U18,"x"),1)+(Besatzung!$F$17="x")*IFERROR(H18,0)/IFERROR(SUMPRODUCT((J18:U18="x")*(Besatzung!$F$11:$F$22="x")),1))),(IF(COUNTIF(J18:U18,"x")=0,IF(Besatzung!$B$17&lt;&gt;"",1,0),(P18="x"))*(G18-IFERROR(H18,0))/IFERROR(IF(COUNTIF(J18:U18,"x")=0,COUNTA(Besatzung!$B$11:$B$22),COUNTIF(J18:U18,"x")),1)+IF(COUNTIF(J18:U18,"x")=0,(Besatzung!$F$17="x"),(P18="x")*(Besatzung!$F$17="x"))*IFERROR(H18,0)/IFERROR(IF(COUNTIF(J18:U18,"x")=0,SUMPRODUCT((Besatzung!$B$11:$B$22&lt;&gt;"")*(Besatzung!$F$11:$F$22="x")),SUMPRODUCT((J18:U18="x")*(Besatzung!$F$11:$F$22="x"))),1))))),0))))</f>
        <v/>
      </c>
      <c r="AC18" s="247">
        <f>IF(C18="Gutschrift","",IF(G18="","",IF(Besatzung!$B$18="","",IFERROR(IF(I18="Zeitanteilig",(Besatzung!$G$18*(G18-IFERROR(H18,0))+((Besatzung!$B$18&lt;&gt;"")*IF(B18="",1,(IF(Besatzung!$C$18="",Besatzung!$B$5,Besatzung!$C$18)&lt;=B18)*(IF(Besatzung!$D$18="",Besatzung!$B$6,Besatzung!$D$18)&gt;=B18)))*(Besatzung!$F$18="x")*IFERROR(H18,0)/IFERROR(SUMPRODUCT((Besatzung!$B$11:$B$22&lt;&gt;"")*(Besatzung!$F$11:$F$22="x")*(IF(Besatzung!$C$11:$C$22="",Besatzung!$B$5,Besatzung!$C$11:$C$22)&lt;=B18)*(IF(Besatzung!$D$11:$D$22="",Besatzung!$B$6,Besatzung!$D$11:$D$22)&gt;=B18)),1)),IF(I18="An Bord",(((Besatzung!$B$18&lt;&gt;"")*IF(B18="",1,(IF(Besatzung!$C$18="",Besatzung!$B$5,Besatzung!$C$18)&lt;=B18)*(IF(Besatzung!$D$18="",Besatzung!$B$6,Besatzung!$D$18)&gt;=B18)))*((G18-IFERROR(H18,0))/IFERROR(SUMPRODUCT((Besatzung!$B$11:$B$22&lt;&gt;"")*(IF(Besatzung!$C$11:$C$22="",Besatzung!$B$5,Besatzung!$C$11:$C$22)&lt;=B18)*(IF(Besatzung!$D$11:$D$22="",Besatzung!$B$6,Besatzung!$D$11:$D$22)&gt;=B18)),1)+(Besatzung!$F$18="x")*IFERROR(H18,0)/IFERROR(SUMPRODUCT((Besatzung!$B$11:$B$22&lt;&gt;"")*(Besatzung!$F$11:$F$22="x")*(IF(Besatzung!$C$11:$C$22="",Besatzung!$B$5,Besatzung!$C$11:$C$22)&lt;=B18)*(IF(Besatzung!$D$11:$D$22="",Besatzung!$B$6,Besatzung!$D$11:$D$22)&gt;=B18)),1))),IF(I18="Individuell",((Q18="x")*((G18-IFERROR(H18,0))/IFERROR(COUNTIF(J18:U18,"x"),1)+(Besatzung!$F$18="x")*IFERROR(H18,0)/IFERROR(SUMPRODUCT((J18:U18="x")*(Besatzung!$F$11:$F$22="x")),1))),(IF(COUNTIF(J18:U18,"x")=0,IF(Besatzung!$B$18&lt;&gt;"",1,0),(Q18="x"))*(G18-IFERROR(H18,0))/IFERROR(IF(COUNTIF(J18:U18,"x")=0,COUNTA(Besatzung!$B$11:$B$22),COUNTIF(J18:U18,"x")),1)+IF(COUNTIF(J18:U18,"x")=0,(Besatzung!$F$18="x"),(Q18="x")*(Besatzung!$F$18="x"))*IFERROR(H18,0)/IFERROR(IF(COUNTIF(J18:U18,"x")=0,SUMPRODUCT((Besatzung!$B$11:$B$22&lt;&gt;"")*(Besatzung!$F$11:$F$22="x")),SUMPRODUCT((J18:U18="x")*(Besatzung!$F$11:$F$22="x"))),1))))),0))))</f>
        <v/>
      </c>
      <c r="AD18" s="247">
        <f>IF(C18="Gutschrift","",IF(G18="","",IF(Besatzung!$B$19="","",IFERROR(IF(I18="Zeitanteilig",(Besatzung!$G$19*(G18-IFERROR(H18,0))+((Besatzung!$B$19&lt;&gt;"")*IF(B18="",1,(IF(Besatzung!$C$19="",Besatzung!$B$5,Besatzung!$C$19)&lt;=B18)*(IF(Besatzung!$D$19="",Besatzung!$B$6,Besatzung!$D$19)&gt;=B18)))*(Besatzung!$F$19="x")*IFERROR(H18,0)/IFERROR(SUMPRODUCT((Besatzung!$B$11:$B$22&lt;&gt;"")*(Besatzung!$F$11:$F$22="x")*(IF(Besatzung!$C$11:$C$22="",Besatzung!$B$5,Besatzung!$C$11:$C$22)&lt;=B18)*(IF(Besatzung!$D$11:$D$22="",Besatzung!$B$6,Besatzung!$D$11:$D$22)&gt;=B18)),1)),IF(I18="An Bord",(((Besatzung!$B$19&lt;&gt;"")*IF(B18="",1,(IF(Besatzung!$C$19="",Besatzung!$B$5,Besatzung!$C$19)&lt;=B18)*(IF(Besatzung!$D$19="",Besatzung!$B$6,Besatzung!$D$19)&gt;=B18)))*((G18-IFERROR(H18,0))/IFERROR(SUMPRODUCT((Besatzung!$B$11:$B$22&lt;&gt;"")*(IF(Besatzung!$C$11:$C$22="",Besatzung!$B$5,Besatzung!$C$11:$C$22)&lt;=B18)*(IF(Besatzung!$D$11:$D$22="",Besatzung!$B$6,Besatzung!$D$11:$D$22)&gt;=B18)),1)+(Besatzung!$F$19="x")*IFERROR(H18,0)/IFERROR(SUMPRODUCT((Besatzung!$B$11:$B$22&lt;&gt;"")*(Besatzung!$F$11:$F$22="x")*(IF(Besatzung!$C$11:$C$22="",Besatzung!$B$5,Besatzung!$C$11:$C$22)&lt;=B18)*(IF(Besatzung!$D$11:$D$22="",Besatzung!$B$6,Besatzung!$D$11:$D$22)&gt;=B18)),1))),IF(I18="Individuell",((R18="x")*((G18-IFERROR(H18,0))/IFERROR(COUNTIF(J18:U18,"x"),1)+(Besatzung!$F$19="x")*IFERROR(H18,0)/IFERROR(SUMPRODUCT((J18:U18="x")*(Besatzung!$F$11:$F$22="x")),1))),(IF(COUNTIF(J18:U18,"x")=0,IF(Besatzung!$B$19&lt;&gt;"",1,0),(R18="x"))*(G18-IFERROR(H18,0))/IFERROR(IF(COUNTIF(J18:U18,"x")=0,COUNTA(Besatzung!$B$11:$B$22),COUNTIF(J18:U18,"x")),1)+IF(COUNTIF(J18:U18,"x")=0,(Besatzung!$F$19="x"),(R18="x")*(Besatzung!$F$19="x"))*IFERROR(H18,0)/IFERROR(IF(COUNTIF(J18:U18,"x")=0,SUMPRODUCT((Besatzung!$B$11:$B$22&lt;&gt;"")*(Besatzung!$F$11:$F$22="x")),SUMPRODUCT((J18:U18="x")*(Besatzung!$F$11:$F$22="x"))),1))))),0))))</f>
        <v/>
      </c>
      <c r="AE18" s="247">
        <f>IF(C18="Gutschrift","",IF(G18="","",IF(Besatzung!$B$20="","",IFERROR(IF(I18="Zeitanteilig",(Besatzung!$G$20*(G18-IFERROR(H18,0))+((Besatzung!$B$20&lt;&gt;"")*IF(B18="",1,(IF(Besatzung!$C$20="",Besatzung!$B$5,Besatzung!$C$20)&lt;=B18)*(IF(Besatzung!$D$20="",Besatzung!$B$6,Besatzung!$D$20)&gt;=B18)))*(Besatzung!$F$20="x")*IFERROR(H18,0)/IFERROR(SUMPRODUCT((Besatzung!$B$11:$B$22&lt;&gt;"")*(Besatzung!$F$11:$F$22="x")*(IF(Besatzung!$C$11:$C$22="",Besatzung!$B$5,Besatzung!$C$11:$C$22)&lt;=B18)*(IF(Besatzung!$D$11:$D$22="",Besatzung!$B$6,Besatzung!$D$11:$D$22)&gt;=B18)),1)),IF(I18="An Bord",(((Besatzung!$B$20&lt;&gt;"")*IF(B18="",1,(IF(Besatzung!$C$20="",Besatzung!$B$5,Besatzung!$C$20)&lt;=B18)*(IF(Besatzung!$D$20="",Besatzung!$B$6,Besatzung!$D$20)&gt;=B18)))*((G18-IFERROR(H18,0))/IFERROR(SUMPRODUCT((Besatzung!$B$11:$B$22&lt;&gt;"")*(IF(Besatzung!$C$11:$C$22="",Besatzung!$B$5,Besatzung!$C$11:$C$22)&lt;=B18)*(IF(Besatzung!$D$11:$D$22="",Besatzung!$B$6,Besatzung!$D$11:$D$22)&gt;=B18)),1)+(Besatzung!$F$20="x")*IFERROR(H18,0)/IFERROR(SUMPRODUCT((Besatzung!$B$11:$B$22&lt;&gt;"")*(Besatzung!$F$11:$F$22="x")*(IF(Besatzung!$C$11:$C$22="",Besatzung!$B$5,Besatzung!$C$11:$C$22)&lt;=B18)*(IF(Besatzung!$D$11:$D$22="",Besatzung!$B$6,Besatzung!$D$11:$D$22)&gt;=B18)),1))),IF(I18="Individuell",((S18="x")*((G18-IFERROR(H18,0))/IFERROR(COUNTIF(J18:U18,"x"),1)+(Besatzung!$F$20="x")*IFERROR(H18,0)/IFERROR(SUMPRODUCT((J18:U18="x")*(Besatzung!$F$11:$F$22="x")),1))),(IF(COUNTIF(J18:U18,"x")=0,IF(Besatzung!$B$20&lt;&gt;"",1,0),(S18="x"))*(G18-IFERROR(H18,0))/IFERROR(IF(COUNTIF(J18:U18,"x")=0,COUNTA(Besatzung!$B$11:$B$22),COUNTIF(J18:U18,"x")),1)+IF(COUNTIF(J18:U18,"x")=0,(Besatzung!$F$20="x"),(S18="x")*(Besatzung!$F$20="x"))*IFERROR(H18,0)/IFERROR(IF(COUNTIF(J18:U18,"x")=0,SUMPRODUCT((Besatzung!$B$11:$B$22&lt;&gt;"")*(Besatzung!$F$11:$F$22="x")),SUMPRODUCT((J18:U18="x")*(Besatzung!$F$11:$F$22="x"))),1))))),0))))</f>
        <v/>
      </c>
      <c r="AF18" s="247">
        <f>IF(C18="Gutschrift","",IF(G18="","",IF(Besatzung!$B$21="","",IFERROR(IF(I18="Zeitanteilig",(Besatzung!$G$21*(G18-IFERROR(H18,0))+((Besatzung!$B$21&lt;&gt;"")*IF(B18="",1,(IF(Besatzung!$C$21="",Besatzung!$B$5,Besatzung!$C$21)&lt;=B18)*(IF(Besatzung!$D$21="",Besatzung!$B$6,Besatzung!$D$21)&gt;=B18)))*(Besatzung!$F$21="x")*IFERROR(H18,0)/IFERROR(SUMPRODUCT((Besatzung!$B$11:$B$22&lt;&gt;"")*(Besatzung!$F$11:$F$22="x")*(IF(Besatzung!$C$11:$C$22="",Besatzung!$B$5,Besatzung!$C$11:$C$22)&lt;=B18)*(IF(Besatzung!$D$11:$D$22="",Besatzung!$B$6,Besatzung!$D$11:$D$22)&gt;=B18)),1)),IF(I18="An Bord",(((Besatzung!$B$21&lt;&gt;"")*IF(B18="",1,(IF(Besatzung!$C$21="",Besatzung!$B$5,Besatzung!$C$21)&lt;=B18)*(IF(Besatzung!$D$21="",Besatzung!$B$6,Besatzung!$D$21)&gt;=B18)))*((G18-IFERROR(H18,0))/IFERROR(SUMPRODUCT((Besatzung!$B$11:$B$22&lt;&gt;"")*(IF(Besatzung!$C$11:$C$22="",Besatzung!$B$5,Besatzung!$C$11:$C$22)&lt;=B18)*(IF(Besatzung!$D$11:$D$22="",Besatzung!$B$6,Besatzung!$D$11:$D$22)&gt;=B18)),1)+(Besatzung!$F$21="x")*IFERROR(H18,0)/IFERROR(SUMPRODUCT((Besatzung!$B$11:$B$22&lt;&gt;"")*(Besatzung!$F$11:$F$22="x")*(IF(Besatzung!$C$11:$C$22="",Besatzung!$B$5,Besatzung!$C$11:$C$22)&lt;=B18)*(IF(Besatzung!$D$11:$D$22="",Besatzung!$B$6,Besatzung!$D$11:$D$22)&gt;=B18)),1))),IF(I18="Individuell",((T18="x")*((G18-IFERROR(H18,0))/IFERROR(COUNTIF(J18:U18,"x"),1)+(Besatzung!$F$21="x")*IFERROR(H18,0)/IFERROR(SUMPRODUCT((J18:U18="x")*(Besatzung!$F$11:$F$22="x")),1))),(IF(COUNTIF(J18:U18,"x")=0,IF(Besatzung!$B$21&lt;&gt;"",1,0),(T18="x"))*(G18-IFERROR(H18,0))/IFERROR(IF(COUNTIF(J18:U18,"x")=0,COUNTA(Besatzung!$B$11:$B$22),COUNTIF(J18:U18,"x")),1)+IF(COUNTIF(J18:U18,"x")=0,(Besatzung!$F$21="x"),(T18="x")*(Besatzung!$F$21="x"))*IFERROR(H18,0)/IFERROR(IF(COUNTIF(J18:U18,"x")=0,SUMPRODUCT((Besatzung!$B$11:$B$22&lt;&gt;"")*(Besatzung!$F$11:$F$22="x")),SUMPRODUCT((J18:U18="x")*(Besatzung!$F$11:$F$22="x"))),1))))),0))))</f>
        <v/>
      </c>
      <c r="AG18" s="247">
        <f>IF(C18="Gutschrift","",IF(G18="","",IF(Besatzung!$B$22="","",IFERROR(IF(I18="Zeitanteilig",(Besatzung!$G$22*(G18-IFERROR(H18,0))+((Besatzung!$B$22&lt;&gt;"")*IF(B18="",1,(IF(Besatzung!$C$22="",Besatzung!$B$5,Besatzung!$C$22)&lt;=B18)*(IF(Besatzung!$D$22="",Besatzung!$B$6,Besatzung!$D$22)&gt;=B18)))*(Besatzung!$F$22="x")*IFERROR(H18,0)/IFERROR(SUMPRODUCT((Besatzung!$B$11:$B$22&lt;&gt;"")*(Besatzung!$F$11:$F$22="x")*(IF(Besatzung!$C$11:$C$22="",Besatzung!$B$5,Besatzung!$C$11:$C$22)&lt;=B18)*(IF(Besatzung!$D$11:$D$22="",Besatzung!$B$6,Besatzung!$D$11:$D$22)&gt;=B18)),1)),IF(I18="An Bord",(((Besatzung!$B$22&lt;&gt;"")*IF(B18="",1,(IF(Besatzung!$C$22="",Besatzung!$B$5,Besatzung!$C$22)&lt;=B18)*(IF(Besatzung!$D$22="",Besatzung!$B$6,Besatzung!$D$22)&gt;=B18)))*((G18-IFERROR(H18,0))/IFERROR(SUMPRODUCT((Besatzung!$B$11:$B$22&lt;&gt;"")*(IF(Besatzung!$C$11:$C$22="",Besatzung!$B$5,Besatzung!$C$11:$C$22)&lt;=B18)*(IF(Besatzung!$D$11:$D$22="",Besatzung!$B$6,Besatzung!$D$11:$D$22)&gt;=B18)),1)+(Besatzung!$F$22="x")*IFERROR(H18,0)/IFERROR(SUMPRODUCT((Besatzung!$B$11:$B$22&lt;&gt;"")*(Besatzung!$F$11:$F$22="x")*(IF(Besatzung!$C$11:$C$22="",Besatzung!$B$5,Besatzung!$C$11:$C$22)&lt;=B18)*(IF(Besatzung!$D$11:$D$22="",Besatzung!$B$6,Besatzung!$D$11:$D$22)&gt;=B18)),1))),IF(I18="Individuell",((U18="x")*((G18-IFERROR(H18,0))/IFERROR(COUNTIF(J18:U18,"x"),1)+(Besatzung!$F$22="x")*IFERROR(H18,0)/IFERROR(SUMPRODUCT((J18:U18="x")*(Besatzung!$F$11:$F$22="x")),1))),(IF(COUNTIF(J18:U18,"x")=0,IF(Besatzung!$B$22&lt;&gt;"",1,0),(U18="x"))*(G18-IFERROR(H18,0))/IFERROR(IF(COUNTIF(J18:U18,"x")=0,COUNTA(Besatzung!$B$11:$B$22),COUNTIF(J18:U18,"x")),1)+IF(COUNTIF(J18:U18,"x")=0,(Besatzung!$F$22="x"),(U18="x")*(Besatzung!$F$22="x"))*IFERROR(H18,0)/IFERROR(IF(COUNTIF(J18:U18,"x")=0,SUMPRODUCT((Besatzung!$B$11:$B$22&lt;&gt;"")*(Besatzung!$F$11:$F$22="x")),SUMPRODUCT((J18:U18="x")*(Besatzung!$F$11:$F$22="x"))),1))))),0))))</f>
        <v/>
      </c>
      <c r="AH18" s="248" t="n"/>
      <c r="AI18" s="248" t="n"/>
    </row>
    <row r="19" ht="21.75" customHeight="1" s="154">
      <c r="A19" s="238">
        <f>IF(AND(D19="",C19=""),"",16)</f>
        <v/>
      </c>
      <c r="B19" s="206" t="n"/>
      <c r="C19" s="249" t="n"/>
      <c r="D19" s="250" t="n"/>
      <c r="E19" s="251" t="n"/>
      <c r="F19" s="252" t="n"/>
      <c r="G19" s="253" t="n"/>
      <c r="H19" s="254" t="n"/>
      <c r="I19" s="255" t="n"/>
      <c r="J19" s="256" t="n"/>
      <c r="K19" s="256" t="n"/>
      <c r="L19" s="256" t="n"/>
      <c r="M19" s="256" t="n"/>
      <c r="N19" s="256" t="n"/>
      <c r="O19" s="256" t="n"/>
      <c r="P19" s="256" t="n"/>
      <c r="Q19" s="256" t="n"/>
      <c r="R19" s="256" t="n"/>
      <c r="S19" s="256" t="n"/>
      <c r="T19" s="256" t="n"/>
      <c r="U19" s="256" t="n"/>
      <c r="V19" s="247">
        <f>IF(C19="Gutschrift","",IF(G19="","",IF(Besatzung!$B$11="","",IFERROR(IF(I19="Zeitanteilig",(Besatzung!$G$11*(G19-IFERROR(H19,0))+((Besatzung!$B$11&lt;&gt;"")*IF(B19="",1,(IF(Besatzung!$C$11="",Besatzung!$B$5,Besatzung!$C$11)&lt;=B19)*(IF(Besatzung!$D$11="",Besatzung!$B$6,Besatzung!$D$11)&gt;=B19)))*(Besatzung!$F$11="x")*IFERROR(H19,0)/IFERROR(SUMPRODUCT((Besatzung!$B$11:$B$22&lt;&gt;"")*(Besatzung!$F$11:$F$22="x")*(IF(Besatzung!$C$11:$C$22="",Besatzung!$B$5,Besatzung!$C$11:$C$22)&lt;=B19)*(IF(Besatzung!$D$11:$D$22="",Besatzung!$B$6,Besatzung!$D$11:$D$22)&gt;=B19)),1)),IF(I19="An Bord",(((Besatzung!$B$11&lt;&gt;"")*IF(B19="",1,(IF(Besatzung!$C$11="",Besatzung!$B$5,Besatzung!$C$11)&lt;=B19)*(IF(Besatzung!$D$11="",Besatzung!$B$6,Besatzung!$D$11)&gt;=B19)))*((G19-IFERROR(H19,0))/IFERROR(SUMPRODUCT((Besatzung!$B$11:$B$22&lt;&gt;"")*(IF(Besatzung!$C$11:$C$22="",Besatzung!$B$5,Besatzung!$C$11:$C$22)&lt;=B19)*(IF(Besatzung!$D$11:$D$22="",Besatzung!$B$6,Besatzung!$D$11:$D$22)&gt;=B19)),1)+(Besatzung!$F$11="x")*IFERROR(H19,0)/IFERROR(SUMPRODUCT((Besatzung!$B$11:$B$22&lt;&gt;"")*(Besatzung!$F$11:$F$22="x")*(IF(Besatzung!$C$11:$C$22="",Besatzung!$B$5,Besatzung!$C$11:$C$22)&lt;=B19)*(IF(Besatzung!$D$11:$D$22="",Besatzung!$B$6,Besatzung!$D$11:$D$22)&gt;=B19)),1))),IF(I19="Individuell",((J19="x")*((G19-IFERROR(H19,0))/IFERROR(COUNTIF(J19:U19,"x"),1)+(Besatzung!$F$11="x")*IFERROR(H19,0)/IFERROR(SUMPRODUCT((J19:U19="x")*(Besatzung!$F$11:$F$22="x")),1))),(IF(COUNTIF(J19:U19,"x")=0,IF(Besatzung!$B$11&lt;&gt;"",1,0),(J19="x"))*(G19-IFERROR(H19,0))/IFERROR(IF(COUNTIF(J19:U19,"x")=0,COUNTA(Besatzung!$B$11:$B$22),COUNTIF(J19:U19,"x")),1)+IF(COUNTIF(J19:U19,"x")=0,(Besatzung!$F$11="x"),(J19="x")*(Besatzung!$F$11="x"))*IFERROR(H19,0)/IFERROR(IF(COUNTIF(J19:U19,"x")=0,SUMPRODUCT((Besatzung!$B$11:$B$22&lt;&gt;"")*(Besatzung!$F$11:$F$22="x")),SUMPRODUCT((J19:U19="x")*(Besatzung!$F$11:$F$22="x"))),1))))),0))))</f>
        <v/>
      </c>
      <c r="W19" s="247">
        <f>IF(C19="Gutschrift","",IF(G19="","",IF(Besatzung!$B$12="","",IFERROR(IF(I19="Zeitanteilig",(Besatzung!$G$12*(G19-IFERROR(H19,0))+((Besatzung!$B$12&lt;&gt;"")*IF(B19="",1,(IF(Besatzung!$C$12="",Besatzung!$B$5,Besatzung!$C$12)&lt;=B19)*(IF(Besatzung!$D$12="",Besatzung!$B$6,Besatzung!$D$12)&gt;=B19)))*(Besatzung!$F$12="x")*IFERROR(H19,0)/IFERROR(SUMPRODUCT((Besatzung!$B$11:$B$22&lt;&gt;"")*(Besatzung!$F$11:$F$22="x")*(IF(Besatzung!$C$11:$C$22="",Besatzung!$B$5,Besatzung!$C$11:$C$22)&lt;=B19)*(IF(Besatzung!$D$11:$D$22="",Besatzung!$B$6,Besatzung!$D$11:$D$22)&gt;=B19)),1)),IF(I19="An Bord",(((Besatzung!$B$12&lt;&gt;"")*IF(B19="",1,(IF(Besatzung!$C$12="",Besatzung!$B$5,Besatzung!$C$12)&lt;=B19)*(IF(Besatzung!$D$12="",Besatzung!$B$6,Besatzung!$D$12)&gt;=B19)))*((G19-IFERROR(H19,0))/IFERROR(SUMPRODUCT((Besatzung!$B$11:$B$22&lt;&gt;"")*(IF(Besatzung!$C$11:$C$22="",Besatzung!$B$5,Besatzung!$C$11:$C$22)&lt;=B19)*(IF(Besatzung!$D$11:$D$22="",Besatzung!$B$6,Besatzung!$D$11:$D$22)&gt;=B19)),1)+(Besatzung!$F$12="x")*IFERROR(H19,0)/IFERROR(SUMPRODUCT((Besatzung!$B$11:$B$22&lt;&gt;"")*(Besatzung!$F$11:$F$22="x")*(IF(Besatzung!$C$11:$C$22="",Besatzung!$B$5,Besatzung!$C$11:$C$22)&lt;=B19)*(IF(Besatzung!$D$11:$D$22="",Besatzung!$B$6,Besatzung!$D$11:$D$22)&gt;=B19)),1))),IF(I19="Individuell",((K19="x")*((G19-IFERROR(H19,0))/IFERROR(COUNTIF(J19:U19,"x"),1)+(Besatzung!$F$12="x")*IFERROR(H19,0)/IFERROR(SUMPRODUCT((J19:U19="x")*(Besatzung!$F$11:$F$22="x")),1))),(IF(COUNTIF(J19:U19,"x")=0,IF(Besatzung!$B$12&lt;&gt;"",1,0),(K19="x"))*(G19-IFERROR(H19,0))/IFERROR(IF(COUNTIF(J19:U19,"x")=0,COUNTA(Besatzung!$B$11:$B$22),COUNTIF(J19:U19,"x")),1)+IF(COUNTIF(J19:U19,"x")=0,(Besatzung!$F$12="x"),(K19="x")*(Besatzung!$F$12="x"))*IFERROR(H19,0)/IFERROR(IF(COUNTIF(J19:U19,"x")=0,SUMPRODUCT((Besatzung!$B$11:$B$22&lt;&gt;"")*(Besatzung!$F$11:$F$22="x")),SUMPRODUCT((J19:U19="x")*(Besatzung!$F$11:$F$22="x"))),1))))),0))))</f>
        <v/>
      </c>
      <c r="X19" s="247">
        <f>IF(C19="Gutschrift","",IF(G19="","",IF(Besatzung!$B$13="","",IFERROR(IF(I19="Zeitanteilig",(Besatzung!$G$13*(G19-IFERROR(H19,0))+((Besatzung!$B$13&lt;&gt;"")*IF(B19="",1,(IF(Besatzung!$C$13="",Besatzung!$B$5,Besatzung!$C$13)&lt;=B19)*(IF(Besatzung!$D$13="",Besatzung!$B$6,Besatzung!$D$13)&gt;=B19)))*(Besatzung!$F$13="x")*IFERROR(H19,0)/IFERROR(SUMPRODUCT((Besatzung!$B$11:$B$22&lt;&gt;"")*(Besatzung!$F$11:$F$22="x")*(IF(Besatzung!$C$11:$C$22="",Besatzung!$B$5,Besatzung!$C$11:$C$22)&lt;=B19)*(IF(Besatzung!$D$11:$D$22="",Besatzung!$B$6,Besatzung!$D$11:$D$22)&gt;=B19)),1)),IF(I19="An Bord",(((Besatzung!$B$13&lt;&gt;"")*IF(B19="",1,(IF(Besatzung!$C$13="",Besatzung!$B$5,Besatzung!$C$13)&lt;=B19)*(IF(Besatzung!$D$13="",Besatzung!$B$6,Besatzung!$D$13)&gt;=B19)))*((G19-IFERROR(H19,0))/IFERROR(SUMPRODUCT((Besatzung!$B$11:$B$22&lt;&gt;"")*(IF(Besatzung!$C$11:$C$22="",Besatzung!$B$5,Besatzung!$C$11:$C$22)&lt;=B19)*(IF(Besatzung!$D$11:$D$22="",Besatzung!$B$6,Besatzung!$D$11:$D$22)&gt;=B19)),1)+(Besatzung!$F$13="x")*IFERROR(H19,0)/IFERROR(SUMPRODUCT((Besatzung!$B$11:$B$22&lt;&gt;"")*(Besatzung!$F$11:$F$22="x")*(IF(Besatzung!$C$11:$C$22="",Besatzung!$B$5,Besatzung!$C$11:$C$22)&lt;=B19)*(IF(Besatzung!$D$11:$D$22="",Besatzung!$B$6,Besatzung!$D$11:$D$22)&gt;=B19)),1))),IF(I19="Individuell",((K19="x")*((G19-IFERROR(H19,0))/IFERROR(COUNTIF(J19:U19,"x"),1)+(Besatzung!$F$13="x")*IFERROR(H19,0)/IFERROR(SUMPRODUCT((J19:U19="x")*(Besatzung!$F$11:$F$22="x")),1))),(IF(COUNTIF(J19:U19,"x")=0,IF(Besatzung!$B$13&lt;&gt;"",1,0),(K19="x"))*(G19-IFERROR(H19,0))/IFERROR(IF(COUNTIF(J19:U19,"x")=0,COUNTA(Besatzung!$B$11:$B$22),COUNTIF(J19:U19,"x")),1)+IF(COUNTIF(J19:U19,"x")=0,(Besatzung!$F$13="x"),(K19="x")*(Besatzung!$F$13="x"))*IFERROR(H19,0)/IFERROR(IF(COUNTIF(J19:U19,"x")=0,SUMPRODUCT((Besatzung!$B$11:$B$22&lt;&gt;"")*(Besatzung!$F$11:$F$22="x")),SUMPRODUCT((J19:U19="x")*(Besatzung!$F$11:$F$22="x"))),1))))),0))))</f>
        <v/>
      </c>
      <c r="Y19" s="247">
        <f>IF(C19="Gutschrift","",IF(G19="","",IF(Besatzung!$B$14="","",IFERROR(IF(I19="Zeitanteilig",(Besatzung!$G$14*(G19-IFERROR(H19,0))+((Besatzung!$B$14&lt;&gt;"")*IF(B19="",1,(IF(Besatzung!$C$14="",Besatzung!$B$5,Besatzung!$C$14)&lt;=B19)*(IF(Besatzung!$D$14="",Besatzung!$B$6,Besatzung!$D$14)&gt;=B19)))*(Besatzung!$F$14="x")*IFERROR(H19,0)/IFERROR(SUMPRODUCT((Besatzung!$B$11:$B$22&lt;&gt;"")*(Besatzung!$F$11:$F$22="x")*(IF(Besatzung!$C$11:$C$22="",Besatzung!$B$5,Besatzung!$C$11:$C$22)&lt;=B19)*(IF(Besatzung!$D$11:$D$22="",Besatzung!$B$6,Besatzung!$D$11:$D$22)&gt;=B19)),1)),IF(I19="An Bord",(((Besatzung!$B$14&lt;&gt;"")*IF(B19="",1,(IF(Besatzung!$C$14="",Besatzung!$B$5,Besatzung!$C$14)&lt;=B19)*(IF(Besatzung!$D$14="",Besatzung!$B$6,Besatzung!$D$14)&gt;=B19)))*((G19-IFERROR(H19,0))/IFERROR(SUMPRODUCT((Besatzung!$B$11:$B$22&lt;&gt;"")*(IF(Besatzung!$C$11:$C$22="",Besatzung!$B$5,Besatzung!$C$11:$C$22)&lt;=B19)*(IF(Besatzung!$D$11:$D$22="",Besatzung!$B$6,Besatzung!$D$11:$D$22)&gt;=B19)),1)+(Besatzung!$F$14="x")*IFERROR(H19,0)/IFERROR(SUMPRODUCT((Besatzung!$B$11:$B$22&lt;&gt;"")*(Besatzung!$F$11:$F$22="x")*(IF(Besatzung!$C$11:$C$22="",Besatzung!$B$5,Besatzung!$C$11:$C$22)&lt;=B19)*(IF(Besatzung!$D$11:$D$22="",Besatzung!$B$6,Besatzung!$D$11:$D$22)&gt;=B19)),1))),IF(I19="Individuell",((M19="x")*((G19-IFERROR(H19,0))/IFERROR(COUNTIF(J19:U19,"x"),1)+(Besatzung!$F$14="x")*IFERROR(H19,0)/IFERROR(SUMPRODUCT((J19:U19="x")*(Besatzung!$F$11:$F$22="x")),1))),(IF(COUNTIF(J19:U19,"x")=0,IF(Besatzung!$B$14&lt;&gt;"",1,0),(M19="x"))*(G19-IFERROR(H19,0))/IFERROR(IF(COUNTIF(J19:U19,"x")=0,COUNTA(Besatzung!$B$11:$B$22),COUNTIF(J19:U19,"x")),1)+IF(COUNTIF(J19:U19,"x")=0,(Besatzung!$F$14="x"),(M19="x")*(Besatzung!$F$14="x"))*IFERROR(H19,0)/IFERROR(IF(COUNTIF(J19:U19,"x")=0,SUMPRODUCT((Besatzung!$B$11:$B$22&lt;&gt;"")*(Besatzung!$F$11:$F$22="x")),SUMPRODUCT((J19:U19="x")*(Besatzung!$F$11:$F$22="x"))),1))))),0))))</f>
        <v/>
      </c>
      <c r="Z19" s="247">
        <f>IF(C19="Gutschrift","",IF(G19="","",IF(Besatzung!$B$13="","",IFERROR(IF(I19="Zeitanteilig",(Besatzung!$G$15*(G19-IFERROR(H19,0))+((Besatzung!$B$13&lt;&gt;"")*IF(B19="",1,(IF(Besatzung!$C$15="",Besatzung!$B$5,Besatzung!$C$15)&lt;=B19)*(IF(Besatzung!$D$15="",Besatzung!$B$6,Besatzung!$D$15)&gt;=B19)))*(Besatzung!$F$15="x")*IFERROR(H19,0)/IFERROR(SUMPRODUCT((Besatzung!$B$11:$B$22&lt;&gt;"")*(Besatzung!$F$11:$F$22="x")*(IF(Besatzung!$C$11:$C$22="",Besatzung!$B$5,Besatzung!$C$11:$C$22)&lt;=B19)*(IF(Besatzung!$D$11:$D$22="",Besatzung!$B$6,Besatzung!$D$11:$D$22)&gt;=B19)),1)),IF(I19="An Bord",(((Besatzung!$B$13&lt;&gt;"")*IF(B19="",1,(IF(Besatzung!$C$15="",Besatzung!$B$5,Besatzung!$C$15)&lt;=B19)*(IF(Besatzung!$D$15="",Besatzung!$B$6,Besatzung!$D$15)&gt;=B19)))*((G19-IFERROR(H19,0))/IFERROR(SUMPRODUCT((Besatzung!$B$11:$B$22&lt;&gt;"")*(IF(Besatzung!$C$11:$C$22="",Besatzung!$B$5,Besatzung!$C$11:$C$22)&lt;=B19)*(IF(Besatzung!$D$11:$D$22="",Besatzung!$B$6,Besatzung!$D$11:$D$22)&gt;=B19)),1)+(Besatzung!$F$15="x")*IFERROR(H19,0)/IFERROR(SUMPRODUCT((Besatzung!$B$11:$B$22&lt;&gt;"")*(Besatzung!$F$11:$F$22="x")*(IF(Besatzung!$C$11:$C$22="",Besatzung!$B$5,Besatzung!$C$11:$C$22)&lt;=B19)*(IF(Besatzung!$D$11:$D$22="",Besatzung!$B$6,Besatzung!$D$11:$D$22)&gt;=B19)),1))),IF(I19="Individuell",((N19="x")*((G19-IFERROR(H19,0))/IFERROR(COUNTIF(J19:U19,"x"),1)+(Besatzung!$F$15="x")*IFERROR(H19,0)/IFERROR(SUMPRODUCT((J19:U19="x")*(Besatzung!$F$11:$F$22="x")),1))),(IF(COUNTIF(J19:U19,"x")=0,IF(Besatzung!$B$13&lt;&gt;"",1,0),(N19="x"))*(G19-IFERROR(H19,0))/IFERROR(IF(COUNTIF(J19:U19,"x")=0,COUNTA(Besatzung!$B$11:$B$22),COUNTIF(J19:U19,"x")),1)+IF(COUNTIF(J19:U19,"x")=0,(Besatzung!$F$15="x"),(N19="x")*(Besatzung!$F$15="x"))*IFERROR(H19,0)/IFERROR(IF(COUNTIF(J19:U19,"x")=0,SUMPRODUCT((Besatzung!$B$11:$B$22&lt;&gt;"")*(Besatzung!$F$11:$F$22="x")),SUMPRODUCT((J19:U19="x")*(Besatzung!$F$11:$F$22="x"))),1))))),0))))</f>
        <v/>
      </c>
      <c r="AA19" s="247">
        <f>IF(C19="Gutschrift","",IF(G19="","",IF(Besatzung!$B$15="","",IFERROR(IF(I19="Zeitanteilig",(Besatzung!$G$16*(G19-IFERROR(H19,0))+((Besatzung!$B$15&lt;&gt;"")*IF(B19="",1,(IF(Besatzung!$C$16="",Besatzung!$B$5,Besatzung!$C$16)&lt;=B19)*(IF(Besatzung!$D$16="",Besatzung!$B$6,Besatzung!$D$16)&gt;=B19)))*(Besatzung!$F$16="x")*IFERROR(H19,0)/IFERROR(SUMPRODUCT((Besatzung!$B$11:$B$22&lt;&gt;"")*(Besatzung!$F$11:$F$22="x")*(IF(Besatzung!$C$11:$C$22="",Besatzung!$B$5,Besatzung!$C$11:$C$22)&lt;=B19)*(IF(Besatzung!$D$11:$D$22="",Besatzung!$B$6,Besatzung!$D$11:$D$22)&gt;=B19)),1)),IF(I19="An Bord",(((Besatzung!$B$15&lt;&gt;"")*IF(B19="",1,(IF(Besatzung!$C$16="",Besatzung!$B$5,Besatzung!$C$16)&lt;=B19)*(IF(Besatzung!$D$16="",Besatzung!$B$6,Besatzung!$D$16)&gt;=B19)))*((G19-IFERROR(H19,0))/IFERROR(SUMPRODUCT((Besatzung!$B$11:$B$22&lt;&gt;"")*(IF(Besatzung!$C$11:$C$22="",Besatzung!$B$5,Besatzung!$C$11:$C$22)&lt;=B19)*(IF(Besatzung!$D$11:$D$22="",Besatzung!$B$6,Besatzung!$D$11:$D$22)&gt;=B19)),1)+(Besatzung!$F$16="x")*IFERROR(H19,0)/IFERROR(SUMPRODUCT((Besatzung!$B$11:$B$22&lt;&gt;"")*(Besatzung!$F$11:$F$22="x")*(IF(Besatzung!$C$11:$C$22="",Besatzung!$B$5,Besatzung!$C$11:$C$22)&lt;=B19)*(IF(Besatzung!$D$11:$D$22="",Besatzung!$B$6,Besatzung!$D$11:$D$22)&gt;=B19)),1))),IF(I19="Individuell",((O19="x")*((G19-IFERROR(H19,0))/IFERROR(COUNTIF(J19:U19,"x"),1)+(Besatzung!$F$16="x")*IFERROR(H19,0)/IFERROR(SUMPRODUCT((J19:U19="x")*(Besatzung!$F$11:$F$22="x")),1))),(IF(COUNTIF(J19:U19,"x")=0,IF(Besatzung!$B$15&lt;&gt;"",1,0),(O19="x"))*(G19-IFERROR(H19,0))/IFERROR(IF(COUNTIF(J19:U19,"x")=0,COUNTA(Besatzung!$B$11:$B$22),COUNTIF(J19:U19,"x")),1)+IF(COUNTIF(J19:U19,"x")=0,(Besatzung!$F$16="x"),(O19="x")*(Besatzung!$F$16="x"))*IFERROR(H19,0)/IFERROR(IF(COUNTIF(J19:U19,"x")=0,SUMPRODUCT((Besatzung!$B$11:$B$22&lt;&gt;"")*(Besatzung!$F$11:$F$22="x")),SUMPRODUCT((J19:U19="x")*(Besatzung!$F$11:$F$22="x"))),1))))),0))))</f>
        <v/>
      </c>
      <c r="AB19" s="247">
        <f>IF(C19="Gutschrift","",IF(G19="","",IF(Besatzung!$B$17="","",IFERROR(IF(I19="Zeitanteilig",(Besatzung!$G$17*(G19-IFERROR(H19,0))+((Besatzung!$B$17&lt;&gt;"")*IF(B19="",1,(IF(Besatzung!$C$17="",Besatzung!$B$5,Besatzung!$C$17)&lt;=B19)*(IF(Besatzung!$D$17="",Besatzung!$B$6,Besatzung!$D$17)&gt;=B19)))*(Besatzung!$F$17="x")*IFERROR(H19,0)/IFERROR(SUMPRODUCT((Besatzung!$B$11:$B$22&lt;&gt;"")*(Besatzung!$F$11:$F$22="x")*(IF(Besatzung!$C$11:$C$22="",Besatzung!$B$5,Besatzung!$C$11:$C$22)&lt;=B19)*(IF(Besatzung!$D$11:$D$22="",Besatzung!$B$6,Besatzung!$D$11:$D$22)&gt;=B19)),1)),IF(I19="An Bord",(((Besatzung!$B$17&lt;&gt;"")*IF(B19="",1,(IF(Besatzung!$C$17="",Besatzung!$B$5,Besatzung!$C$17)&lt;=B19)*(IF(Besatzung!$D$17="",Besatzung!$B$6,Besatzung!$D$17)&gt;=B19)))*((G19-IFERROR(H19,0))/IFERROR(SUMPRODUCT((Besatzung!$B$11:$B$22&lt;&gt;"")*(IF(Besatzung!$C$11:$C$22="",Besatzung!$B$5,Besatzung!$C$11:$C$22)&lt;=B19)*(IF(Besatzung!$D$11:$D$22="",Besatzung!$B$6,Besatzung!$D$11:$D$22)&gt;=B19)),1)+(Besatzung!$F$17="x")*IFERROR(H19,0)/IFERROR(SUMPRODUCT((Besatzung!$B$11:$B$22&lt;&gt;"")*(Besatzung!$F$11:$F$22="x")*(IF(Besatzung!$C$11:$C$22="",Besatzung!$B$5,Besatzung!$C$11:$C$22)&lt;=B19)*(IF(Besatzung!$D$11:$D$22="",Besatzung!$B$6,Besatzung!$D$11:$D$22)&gt;=B19)),1))),IF(I19="Individuell",((P19="x")*((G19-IFERROR(H19,0))/IFERROR(COUNTIF(J19:U19,"x"),1)+(Besatzung!$F$17="x")*IFERROR(H19,0)/IFERROR(SUMPRODUCT((J19:U19="x")*(Besatzung!$F$11:$F$22="x")),1))),(IF(COUNTIF(J19:U19,"x")=0,IF(Besatzung!$B$17&lt;&gt;"",1,0),(P19="x"))*(G19-IFERROR(H19,0))/IFERROR(IF(COUNTIF(J19:U19,"x")=0,COUNTA(Besatzung!$B$11:$B$22),COUNTIF(J19:U19,"x")),1)+IF(COUNTIF(J19:U19,"x")=0,(Besatzung!$F$17="x"),(P19="x")*(Besatzung!$F$17="x"))*IFERROR(H19,0)/IFERROR(IF(COUNTIF(J19:U19,"x")=0,SUMPRODUCT((Besatzung!$B$11:$B$22&lt;&gt;"")*(Besatzung!$F$11:$F$22="x")),SUMPRODUCT((J19:U19="x")*(Besatzung!$F$11:$F$22="x"))),1))))),0))))</f>
        <v/>
      </c>
      <c r="AC19" s="247">
        <f>IF(C19="Gutschrift","",IF(G19="","",IF(Besatzung!$B$18="","",IFERROR(IF(I19="Zeitanteilig",(Besatzung!$G$18*(G19-IFERROR(H19,0))+((Besatzung!$B$18&lt;&gt;"")*IF(B19="",1,(IF(Besatzung!$C$18="",Besatzung!$B$5,Besatzung!$C$18)&lt;=B19)*(IF(Besatzung!$D$18="",Besatzung!$B$6,Besatzung!$D$18)&gt;=B19)))*(Besatzung!$F$18="x")*IFERROR(H19,0)/IFERROR(SUMPRODUCT((Besatzung!$B$11:$B$22&lt;&gt;"")*(Besatzung!$F$11:$F$22="x")*(IF(Besatzung!$C$11:$C$22="",Besatzung!$B$5,Besatzung!$C$11:$C$22)&lt;=B19)*(IF(Besatzung!$D$11:$D$22="",Besatzung!$B$6,Besatzung!$D$11:$D$22)&gt;=B19)),1)),IF(I19="An Bord",(((Besatzung!$B$18&lt;&gt;"")*IF(B19="",1,(IF(Besatzung!$C$18="",Besatzung!$B$5,Besatzung!$C$18)&lt;=B19)*(IF(Besatzung!$D$18="",Besatzung!$B$6,Besatzung!$D$18)&gt;=B19)))*((G19-IFERROR(H19,0))/IFERROR(SUMPRODUCT((Besatzung!$B$11:$B$22&lt;&gt;"")*(IF(Besatzung!$C$11:$C$22="",Besatzung!$B$5,Besatzung!$C$11:$C$22)&lt;=B19)*(IF(Besatzung!$D$11:$D$22="",Besatzung!$B$6,Besatzung!$D$11:$D$22)&gt;=B19)),1)+(Besatzung!$F$18="x")*IFERROR(H19,0)/IFERROR(SUMPRODUCT((Besatzung!$B$11:$B$22&lt;&gt;"")*(Besatzung!$F$11:$F$22="x")*(IF(Besatzung!$C$11:$C$22="",Besatzung!$B$5,Besatzung!$C$11:$C$22)&lt;=B19)*(IF(Besatzung!$D$11:$D$22="",Besatzung!$B$6,Besatzung!$D$11:$D$22)&gt;=B19)),1))),IF(I19="Individuell",((Q19="x")*((G19-IFERROR(H19,0))/IFERROR(COUNTIF(J19:U19,"x"),1)+(Besatzung!$F$18="x")*IFERROR(H19,0)/IFERROR(SUMPRODUCT((J19:U19="x")*(Besatzung!$F$11:$F$22="x")),1))),(IF(COUNTIF(J19:U19,"x")=0,IF(Besatzung!$B$18&lt;&gt;"",1,0),(Q19="x"))*(G19-IFERROR(H19,0))/IFERROR(IF(COUNTIF(J19:U19,"x")=0,COUNTA(Besatzung!$B$11:$B$22),COUNTIF(J19:U19,"x")),1)+IF(COUNTIF(J19:U19,"x")=0,(Besatzung!$F$18="x"),(Q19="x")*(Besatzung!$F$18="x"))*IFERROR(H19,0)/IFERROR(IF(COUNTIF(J19:U19,"x")=0,SUMPRODUCT((Besatzung!$B$11:$B$22&lt;&gt;"")*(Besatzung!$F$11:$F$22="x")),SUMPRODUCT((J19:U19="x")*(Besatzung!$F$11:$F$22="x"))),1))))),0))))</f>
        <v/>
      </c>
      <c r="AD19" s="247">
        <f>IF(C19="Gutschrift","",IF(G19="","",IF(Besatzung!$B$19="","",IFERROR(IF(I19="Zeitanteilig",(Besatzung!$G$19*(G19-IFERROR(H19,0))+((Besatzung!$B$19&lt;&gt;"")*IF(B19="",1,(IF(Besatzung!$C$19="",Besatzung!$B$5,Besatzung!$C$19)&lt;=B19)*(IF(Besatzung!$D$19="",Besatzung!$B$6,Besatzung!$D$19)&gt;=B19)))*(Besatzung!$F$19="x")*IFERROR(H19,0)/IFERROR(SUMPRODUCT((Besatzung!$B$11:$B$22&lt;&gt;"")*(Besatzung!$F$11:$F$22="x")*(IF(Besatzung!$C$11:$C$22="",Besatzung!$B$5,Besatzung!$C$11:$C$22)&lt;=B19)*(IF(Besatzung!$D$11:$D$22="",Besatzung!$B$6,Besatzung!$D$11:$D$22)&gt;=B19)),1)),IF(I19="An Bord",(((Besatzung!$B$19&lt;&gt;"")*IF(B19="",1,(IF(Besatzung!$C$19="",Besatzung!$B$5,Besatzung!$C$19)&lt;=B19)*(IF(Besatzung!$D$19="",Besatzung!$B$6,Besatzung!$D$19)&gt;=B19)))*((G19-IFERROR(H19,0))/IFERROR(SUMPRODUCT((Besatzung!$B$11:$B$22&lt;&gt;"")*(IF(Besatzung!$C$11:$C$22="",Besatzung!$B$5,Besatzung!$C$11:$C$22)&lt;=B19)*(IF(Besatzung!$D$11:$D$22="",Besatzung!$B$6,Besatzung!$D$11:$D$22)&gt;=B19)),1)+(Besatzung!$F$19="x")*IFERROR(H19,0)/IFERROR(SUMPRODUCT((Besatzung!$B$11:$B$22&lt;&gt;"")*(Besatzung!$F$11:$F$22="x")*(IF(Besatzung!$C$11:$C$22="",Besatzung!$B$5,Besatzung!$C$11:$C$22)&lt;=B19)*(IF(Besatzung!$D$11:$D$22="",Besatzung!$B$6,Besatzung!$D$11:$D$22)&gt;=B19)),1))),IF(I19="Individuell",((R19="x")*((G19-IFERROR(H19,0))/IFERROR(COUNTIF(J19:U19,"x"),1)+(Besatzung!$F$19="x")*IFERROR(H19,0)/IFERROR(SUMPRODUCT((J19:U19="x")*(Besatzung!$F$11:$F$22="x")),1))),(IF(COUNTIF(J19:U19,"x")=0,IF(Besatzung!$B$19&lt;&gt;"",1,0),(R19="x"))*(G19-IFERROR(H19,0))/IFERROR(IF(COUNTIF(J19:U19,"x")=0,COUNTA(Besatzung!$B$11:$B$22),COUNTIF(J19:U19,"x")),1)+IF(COUNTIF(J19:U19,"x")=0,(Besatzung!$F$19="x"),(R19="x")*(Besatzung!$F$19="x"))*IFERROR(H19,0)/IFERROR(IF(COUNTIF(J19:U19,"x")=0,SUMPRODUCT((Besatzung!$B$11:$B$22&lt;&gt;"")*(Besatzung!$F$11:$F$22="x")),SUMPRODUCT((J19:U19="x")*(Besatzung!$F$11:$F$22="x"))),1))))),0))))</f>
        <v/>
      </c>
      <c r="AE19" s="247">
        <f>IF(C19="Gutschrift","",IF(G19="","",IF(Besatzung!$B$20="","",IFERROR(IF(I19="Zeitanteilig",(Besatzung!$G$20*(G19-IFERROR(H19,0))+((Besatzung!$B$20&lt;&gt;"")*IF(B19="",1,(IF(Besatzung!$C$20="",Besatzung!$B$5,Besatzung!$C$20)&lt;=B19)*(IF(Besatzung!$D$20="",Besatzung!$B$6,Besatzung!$D$20)&gt;=B19)))*(Besatzung!$F$20="x")*IFERROR(H19,0)/IFERROR(SUMPRODUCT((Besatzung!$B$11:$B$22&lt;&gt;"")*(Besatzung!$F$11:$F$22="x")*(IF(Besatzung!$C$11:$C$22="",Besatzung!$B$5,Besatzung!$C$11:$C$22)&lt;=B19)*(IF(Besatzung!$D$11:$D$22="",Besatzung!$B$6,Besatzung!$D$11:$D$22)&gt;=B19)),1)),IF(I19="An Bord",(((Besatzung!$B$20&lt;&gt;"")*IF(B19="",1,(IF(Besatzung!$C$20="",Besatzung!$B$5,Besatzung!$C$20)&lt;=B19)*(IF(Besatzung!$D$20="",Besatzung!$B$6,Besatzung!$D$20)&gt;=B19)))*((G19-IFERROR(H19,0))/IFERROR(SUMPRODUCT((Besatzung!$B$11:$B$22&lt;&gt;"")*(IF(Besatzung!$C$11:$C$22="",Besatzung!$B$5,Besatzung!$C$11:$C$22)&lt;=B19)*(IF(Besatzung!$D$11:$D$22="",Besatzung!$B$6,Besatzung!$D$11:$D$22)&gt;=B19)),1)+(Besatzung!$F$20="x")*IFERROR(H19,0)/IFERROR(SUMPRODUCT((Besatzung!$B$11:$B$22&lt;&gt;"")*(Besatzung!$F$11:$F$22="x")*(IF(Besatzung!$C$11:$C$22="",Besatzung!$B$5,Besatzung!$C$11:$C$22)&lt;=B19)*(IF(Besatzung!$D$11:$D$22="",Besatzung!$B$6,Besatzung!$D$11:$D$22)&gt;=B19)),1))),IF(I19="Individuell",((S19="x")*((G19-IFERROR(H19,0))/IFERROR(COUNTIF(J19:U19,"x"),1)+(Besatzung!$F$20="x")*IFERROR(H19,0)/IFERROR(SUMPRODUCT((J19:U19="x")*(Besatzung!$F$11:$F$22="x")),1))),(IF(COUNTIF(J19:U19,"x")=0,IF(Besatzung!$B$20&lt;&gt;"",1,0),(S19="x"))*(G19-IFERROR(H19,0))/IFERROR(IF(COUNTIF(J19:U19,"x")=0,COUNTA(Besatzung!$B$11:$B$22),COUNTIF(J19:U19,"x")),1)+IF(COUNTIF(J19:U19,"x")=0,(Besatzung!$F$20="x"),(S19="x")*(Besatzung!$F$20="x"))*IFERROR(H19,0)/IFERROR(IF(COUNTIF(J19:U19,"x")=0,SUMPRODUCT((Besatzung!$B$11:$B$22&lt;&gt;"")*(Besatzung!$F$11:$F$22="x")),SUMPRODUCT((J19:U19="x")*(Besatzung!$F$11:$F$22="x"))),1))))),0))))</f>
        <v/>
      </c>
      <c r="AF19" s="247">
        <f>IF(C19="Gutschrift","",IF(G19="","",IF(Besatzung!$B$21="","",IFERROR(IF(I19="Zeitanteilig",(Besatzung!$G$21*(G19-IFERROR(H19,0))+((Besatzung!$B$21&lt;&gt;"")*IF(B19="",1,(IF(Besatzung!$C$21="",Besatzung!$B$5,Besatzung!$C$21)&lt;=B19)*(IF(Besatzung!$D$21="",Besatzung!$B$6,Besatzung!$D$21)&gt;=B19)))*(Besatzung!$F$21="x")*IFERROR(H19,0)/IFERROR(SUMPRODUCT((Besatzung!$B$11:$B$22&lt;&gt;"")*(Besatzung!$F$11:$F$22="x")*(IF(Besatzung!$C$11:$C$22="",Besatzung!$B$5,Besatzung!$C$11:$C$22)&lt;=B19)*(IF(Besatzung!$D$11:$D$22="",Besatzung!$B$6,Besatzung!$D$11:$D$22)&gt;=B19)),1)),IF(I19="An Bord",(((Besatzung!$B$21&lt;&gt;"")*IF(B19="",1,(IF(Besatzung!$C$21="",Besatzung!$B$5,Besatzung!$C$21)&lt;=B19)*(IF(Besatzung!$D$21="",Besatzung!$B$6,Besatzung!$D$21)&gt;=B19)))*((G19-IFERROR(H19,0))/IFERROR(SUMPRODUCT((Besatzung!$B$11:$B$22&lt;&gt;"")*(IF(Besatzung!$C$11:$C$22="",Besatzung!$B$5,Besatzung!$C$11:$C$22)&lt;=B19)*(IF(Besatzung!$D$11:$D$22="",Besatzung!$B$6,Besatzung!$D$11:$D$22)&gt;=B19)),1)+(Besatzung!$F$21="x")*IFERROR(H19,0)/IFERROR(SUMPRODUCT((Besatzung!$B$11:$B$22&lt;&gt;"")*(Besatzung!$F$11:$F$22="x")*(IF(Besatzung!$C$11:$C$22="",Besatzung!$B$5,Besatzung!$C$11:$C$22)&lt;=B19)*(IF(Besatzung!$D$11:$D$22="",Besatzung!$B$6,Besatzung!$D$11:$D$22)&gt;=B19)),1))),IF(I19="Individuell",((T19="x")*((G19-IFERROR(H19,0))/IFERROR(COUNTIF(J19:U19,"x"),1)+(Besatzung!$F$21="x")*IFERROR(H19,0)/IFERROR(SUMPRODUCT((J19:U19="x")*(Besatzung!$F$11:$F$22="x")),1))),(IF(COUNTIF(J19:U19,"x")=0,IF(Besatzung!$B$21&lt;&gt;"",1,0),(T19="x"))*(G19-IFERROR(H19,0))/IFERROR(IF(COUNTIF(J19:U19,"x")=0,COUNTA(Besatzung!$B$11:$B$22),COUNTIF(J19:U19,"x")),1)+IF(COUNTIF(J19:U19,"x")=0,(Besatzung!$F$21="x"),(T19="x")*(Besatzung!$F$21="x"))*IFERROR(H19,0)/IFERROR(IF(COUNTIF(J19:U19,"x")=0,SUMPRODUCT((Besatzung!$B$11:$B$22&lt;&gt;"")*(Besatzung!$F$11:$F$22="x")),SUMPRODUCT((J19:U19="x")*(Besatzung!$F$11:$F$22="x"))),1))))),0))))</f>
        <v/>
      </c>
      <c r="AG19" s="247">
        <f>IF(C19="Gutschrift","",IF(G19="","",IF(Besatzung!$B$22="","",IFERROR(IF(I19="Zeitanteilig",(Besatzung!$G$22*(G19-IFERROR(H19,0))+((Besatzung!$B$22&lt;&gt;"")*IF(B19="",1,(IF(Besatzung!$C$22="",Besatzung!$B$5,Besatzung!$C$22)&lt;=B19)*(IF(Besatzung!$D$22="",Besatzung!$B$6,Besatzung!$D$22)&gt;=B19)))*(Besatzung!$F$22="x")*IFERROR(H19,0)/IFERROR(SUMPRODUCT((Besatzung!$B$11:$B$22&lt;&gt;"")*(Besatzung!$F$11:$F$22="x")*(IF(Besatzung!$C$11:$C$22="",Besatzung!$B$5,Besatzung!$C$11:$C$22)&lt;=B19)*(IF(Besatzung!$D$11:$D$22="",Besatzung!$B$6,Besatzung!$D$11:$D$22)&gt;=B19)),1)),IF(I19="An Bord",(((Besatzung!$B$22&lt;&gt;"")*IF(B19="",1,(IF(Besatzung!$C$22="",Besatzung!$B$5,Besatzung!$C$22)&lt;=B19)*(IF(Besatzung!$D$22="",Besatzung!$B$6,Besatzung!$D$22)&gt;=B19)))*((G19-IFERROR(H19,0))/IFERROR(SUMPRODUCT((Besatzung!$B$11:$B$22&lt;&gt;"")*(IF(Besatzung!$C$11:$C$22="",Besatzung!$B$5,Besatzung!$C$11:$C$22)&lt;=B19)*(IF(Besatzung!$D$11:$D$22="",Besatzung!$B$6,Besatzung!$D$11:$D$22)&gt;=B19)),1)+(Besatzung!$F$22="x")*IFERROR(H19,0)/IFERROR(SUMPRODUCT((Besatzung!$B$11:$B$22&lt;&gt;"")*(Besatzung!$F$11:$F$22="x")*(IF(Besatzung!$C$11:$C$22="",Besatzung!$B$5,Besatzung!$C$11:$C$22)&lt;=B19)*(IF(Besatzung!$D$11:$D$22="",Besatzung!$B$6,Besatzung!$D$11:$D$22)&gt;=B19)),1))),IF(I19="Individuell",((U19="x")*((G19-IFERROR(H19,0))/IFERROR(COUNTIF(J19:U19,"x"),1)+(Besatzung!$F$22="x")*IFERROR(H19,0)/IFERROR(SUMPRODUCT((J19:U19="x")*(Besatzung!$F$11:$F$22="x")),1))),(IF(COUNTIF(J19:U19,"x")=0,IF(Besatzung!$B$22&lt;&gt;"",1,0),(U19="x"))*(G19-IFERROR(H19,0))/IFERROR(IF(COUNTIF(J19:U19,"x")=0,COUNTA(Besatzung!$B$11:$B$22),COUNTIF(J19:U19,"x")),1)+IF(COUNTIF(J19:U19,"x")=0,(Besatzung!$F$22="x"),(U19="x")*(Besatzung!$F$22="x"))*IFERROR(H19,0)/IFERROR(IF(COUNTIF(J19:U19,"x")=0,SUMPRODUCT((Besatzung!$B$11:$B$22&lt;&gt;"")*(Besatzung!$F$11:$F$22="x")),SUMPRODUCT((J19:U19="x")*(Besatzung!$F$11:$F$22="x"))),1))))),0))))</f>
        <v/>
      </c>
      <c r="AH19" s="248" t="n"/>
      <c r="AI19" s="248" t="n"/>
    </row>
    <row r="20" ht="21.75" customHeight="1" s="154">
      <c r="A20" s="238">
        <f>IF(AND(D20="",C20=""),"",17)</f>
        <v/>
      </c>
      <c r="B20" s="199" t="n"/>
      <c r="C20" s="239" t="n"/>
      <c r="D20" s="240" t="n"/>
      <c r="E20" s="241" t="n"/>
      <c r="F20" s="242" t="n"/>
      <c r="G20" s="243" t="n"/>
      <c r="H20" s="244" t="n"/>
      <c r="I20" s="245" t="n"/>
      <c r="J20" s="246" t="n"/>
      <c r="K20" s="246" t="n"/>
      <c r="L20" s="246" t="n"/>
      <c r="M20" s="246" t="n"/>
      <c r="N20" s="246" t="n"/>
      <c r="O20" s="246" t="n"/>
      <c r="P20" s="246" t="n"/>
      <c r="Q20" s="246" t="n"/>
      <c r="R20" s="246" t="n"/>
      <c r="S20" s="246" t="n"/>
      <c r="T20" s="246" t="n"/>
      <c r="U20" s="246" t="n"/>
      <c r="V20" s="247">
        <f>IF(C20="Gutschrift","",IF(G20="","",IF(Besatzung!$B$11="","",IFERROR(IF(I20="Zeitanteilig",(Besatzung!$G$11*(G20-IFERROR(H20,0))+((Besatzung!$B$11&lt;&gt;"")*IF(B20="",1,(IF(Besatzung!$C$11="",Besatzung!$B$5,Besatzung!$C$11)&lt;=B20)*(IF(Besatzung!$D$11="",Besatzung!$B$6,Besatzung!$D$11)&gt;=B20)))*(Besatzung!$F$11="x")*IFERROR(H20,0)/IFERROR(SUMPRODUCT((Besatzung!$B$11:$B$22&lt;&gt;"")*(Besatzung!$F$11:$F$22="x")*(IF(Besatzung!$C$11:$C$22="",Besatzung!$B$5,Besatzung!$C$11:$C$22)&lt;=B20)*(IF(Besatzung!$D$11:$D$22="",Besatzung!$B$6,Besatzung!$D$11:$D$22)&gt;=B20)),1)),IF(I20="An Bord",(((Besatzung!$B$11&lt;&gt;"")*IF(B20="",1,(IF(Besatzung!$C$11="",Besatzung!$B$5,Besatzung!$C$11)&lt;=B20)*(IF(Besatzung!$D$11="",Besatzung!$B$6,Besatzung!$D$11)&gt;=B20)))*((G20-IFERROR(H20,0))/IFERROR(SUMPRODUCT((Besatzung!$B$11:$B$22&lt;&gt;"")*(IF(Besatzung!$C$11:$C$22="",Besatzung!$B$5,Besatzung!$C$11:$C$22)&lt;=B20)*(IF(Besatzung!$D$11:$D$22="",Besatzung!$B$6,Besatzung!$D$11:$D$22)&gt;=B20)),1)+(Besatzung!$F$11="x")*IFERROR(H20,0)/IFERROR(SUMPRODUCT((Besatzung!$B$11:$B$22&lt;&gt;"")*(Besatzung!$F$11:$F$22="x")*(IF(Besatzung!$C$11:$C$22="",Besatzung!$B$5,Besatzung!$C$11:$C$22)&lt;=B20)*(IF(Besatzung!$D$11:$D$22="",Besatzung!$B$6,Besatzung!$D$11:$D$22)&gt;=B20)),1))),IF(I20="Individuell",((J20="x")*((G20-IFERROR(H20,0))/IFERROR(COUNTIF(J20:U20,"x"),1)+(Besatzung!$F$11="x")*IFERROR(H20,0)/IFERROR(SUMPRODUCT((J20:U20="x")*(Besatzung!$F$11:$F$22="x")),1))),(IF(COUNTIF(J20:U20,"x")=0,IF(Besatzung!$B$11&lt;&gt;"",1,0),(J20="x"))*(G20-IFERROR(H20,0))/IFERROR(IF(COUNTIF(J20:U20,"x")=0,COUNTA(Besatzung!$B$11:$B$22),COUNTIF(J20:U20,"x")),1)+IF(COUNTIF(J20:U20,"x")=0,(Besatzung!$F$11="x"),(J20="x")*(Besatzung!$F$11="x"))*IFERROR(H20,0)/IFERROR(IF(COUNTIF(J20:U20,"x")=0,SUMPRODUCT((Besatzung!$B$11:$B$22&lt;&gt;"")*(Besatzung!$F$11:$F$22="x")),SUMPRODUCT((J20:U20="x")*(Besatzung!$F$11:$F$22="x"))),1))))),0))))</f>
        <v/>
      </c>
      <c r="W20" s="247">
        <f>IF(C20="Gutschrift","",IF(G20="","",IF(Besatzung!$B$12="","",IFERROR(IF(I20="Zeitanteilig",(Besatzung!$G$12*(G20-IFERROR(H20,0))+((Besatzung!$B$12&lt;&gt;"")*IF(B20="",1,(IF(Besatzung!$C$12="",Besatzung!$B$5,Besatzung!$C$12)&lt;=B20)*(IF(Besatzung!$D$12="",Besatzung!$B$6,Besatzung!$D$12)&gt;=B20)))*(Besatzung!$F$12="x")*IFERROR(H20,0)/IFERROR(SUMPRODUCT((Besatzung!$B$11:$B$22&lt;&gt;"")*(Besatzung!$F$11:$F$22="x")*(IF(Besatzung!$C$11:$C$22="",Besatzung!$B$5,Besatzung!$C$11:$C$22)&lt;=B20)*(IF(Besatzung!$D$11:$D$22="",Besatzung!$B$6,Besatzung!$D$11:$D$22)&gt;=B20)),1)),IF(I20="An Bord",(((Besatzung!$B$12&lt;&gt;"")*IF(B20="",1,(IF(Besatzung!$C$12="",Besatzung!$B$5,Besatzung!$C$12)&lt;=B20)*(IF(Besatzung!$D$12="",Besatzung!$B$6,Besatzung!$D$12)&gt;=B20)))*((G20-IFERROR(H20,0))/IFERROR(SUMPRODUCT((Besatzung!$B$11:$B$22&lt;&gt;"")*(IF(Besatzung!$C$11:$C$22="",Besatzung!$B$5,Besatzung!$C$11:$C$22)&lt;=B20)*(IF(Besatzung!$D$11:$D$22="",Besatzung!$B$6,Besatzung!$D$11:$D$22)&gt;=B20)),1)+(Besatzung!$F$12="x")*IFERROR(H20,0)/IFERROR(SUMPRODUCT((Besatzung!$B$11:$B$22&lt;&gt;"")*(Besatzung!$F$11:$F$22="x")*(IF(Besatzung!$C$11:$C$22="",Besatzung!$B$5,Besatzung!$C$11:$C$22)&lt;=B20)*(IF(Besatzung!$D$11:$D$22="",Besatzung!$B$6,Besatzung!$D$11:$D$22)&gt;=B20)),1))),IF(I20="Individuell",((K20="x")*((G20-IFERROR(H20,0))/IFERROR(COUNTIF(J20:U20,"x"),1)+(Besatzung!$F$12="x")*IFERROR(H20,0)/IFERROR(SUMPRODUCT((J20:U20="x")*(Besatzung!$F$11:$F$22="x")),1))),(IF(COUNTIF(J20:U20,"x")=0,IF(Besatzung!$B$12&lt;&gt;"",1,0),(K20="x"))*(G20-IFERROR(H20,0))/IFERROR(IF(COUNTIF(J20:U20,"x")=0,COUNTA(Besatzung!$B$11:$B$22),COUNTIF(J20:U20,"x")),1)+IF(COUNTIF(J20:U20,"x")=0,(Besatzung!$F$12="x"),(K20="x")*(Besatzung!$F$12="x"))*IFERROR(H20,0)/IFERROR(IF(COUNTIF(J20:U20,"x")=0,SUMPRODUCT((Besatzung!$B$11:$B$22&lt;&gt;"")*(Besatzung!$F$11:$F$22="x")),SUMPRODUCT((J20:U20="x")*(Besatzung!$F$11:$F$22="x"))),1))))),0))))</f>
        <v/>
      </c>
      <c r="X20" s="247">
        <f>IF(C20="Gutschrift","",IF(G20="","",IF(Besatzung!$B$13="","",IFERROR(IF(I20="Zeitanteilig",(Besatzung!$G$13*(G20-IFERROR(H20,0))+((Besatzung!$B$13&lt;&gt;"")*IF(B20="",1,(IF(Besatzung!$C$13="",Besatzung!$B$5,Besatzung!$C$13)&lt;=B20)*(IF(Besatzung!$D$13="",Besatzung!$B$6,Besatzung!$D$13)&gt;=B20)))*(Besatzung!$F$13="x")*IFERROR(H20,0)/IFERROR(SUMPRODUCT((Besatzung!$B$11:$B$22&lt;&gt;"")*(Besatzung!$F$11:$F$22="x")*(IF(Besatzung!$C$11:$C$22="",Besatzung!$B$5,Besatzung!$C$11:$C$22)&lt;=B20)*(IF(Besatzung!$D$11:$D$22="",Besatzung!$B$6,Besatzung!$D$11:$D$22)&gt;=B20)),1)),IF(I20="An Bord",(((Besatzung!$B$13&lt;&gt;"")*IF(B20="",1,(IF(Besatzung!$C$13="",Besatzung!$B$5,Besatzung!$C$13)&lt;=B20)*(IF(Besatzung!$D$13="",Besatzung!$B$6,Besatzung!$D$13)&gt;=B20)))*((G20-IFERROR(H20,0))/IFERROR(SUMPRODUCT((Besatzung!$B$11:$B$22&lt;&gt;"")*(IF(Besatzung!$C$11:$C$22="",Besatzung!$B$5,Besatzung!$C$11:$C$22)&lt;=B20)*(IF(Besatzung!$D$11:$D$22="",Besatzung!$B$6,Besatzung!$D$11:$D$22)&gt;=B20)),1)+(Besatzung!$F$13="x")*IFERROR(H20,0)/IFERROR(SUMPRODUCT((Besatzung!$B$11:$B$22&lt;&gt;"")*(Besatzung!$F$11:$F$22="x")*(IF(Besatzung!$C$11:$C$22="",Besatzung!$B$5,Besatzung!$C$11:$C$22)&lt;=B20)*(IF(Besatzung!$D$11:$D$22="",Besatzung!$B$6,Besatzung!$D$11:$D$22)&gt;=B20)),1))),IF(I20="Individuell",((K20="x")*((G20-IFERROR(H20,0))/IFERROR(COUNTIF(J20:U20,"x"),1)+(Besatzung!$F$13="x")*IFERROR(H20,0)/IFERROR(SUMPRODUCT((J20:U20="x")*(Besatzung!$F$11:$F$22="x")),1))),(IF(COUNTIF(J20:U20,"x")=0,IF(Besatzung!$B$13&lt;&gt;"",1,0),(K20="x"))*(G20-IFERROR(H20,0))/IFERROR(IF(COUNTIF(J20:U20,"x")=0,COUNTA(Besatzung!$B$11:$B$22),COUNTIF(J20:U20,"x")),1)+IF(COUNTIF(J20:U20,"x")=0,(Besatzung!$F$13="x"),(K20="x")*(Besatzung!$F$13="x"))*IFERROR(H20,0)/IFERROR(IF(COUNTIF(J20:U20,"x")=0,SUMPRODUCT((Besatzung!$B$11:$B$22&lt;&gt;"")*(Besatzung!$F$11:$F$22="x")),SUMPRODUCT((J20:U20="x")*(Besatzung!$F$11:$F$22="x"))),1))))),0))))</f>
        <v/>
      </c>
      <c r="Y20" s="247">
        <f>IF(C20="Gutschrift","",IF(G20="","",IF(Besatzung!$B$14="","",IFERROR(IF(I20="Zeitanteilig",(Besatzung!$G$14*(G20-IFERROR(H20,0))+((Besatzung!$B$14&lt;&gt;"")*IF(B20="",1,(IF(Besatzung!$C$14="",Besatzung!$B$5,Besatzung!$C$14)&lt;=B20)*(IF(Besatzung!$D$14="",Besatzung!$B$6,Besatzung!$D$14)&gt;=B20)))*(Besatzung!$F$14="x")*IFERROR(H20,0)/IFERROR(SUMPRODUCT((Besatzung!$B$11:$B$22&lt;&gt;"")*(Besatzung!$F$11:$F$22="x")*(IF(Besatzung!$C$11:$C$22="",Besatzung!$B$5,Besatzung!$C$11:$C$22)&lt;=B20)*(IF(Besatzung!$D$11:$D$22="",Besatzung!$B$6,Besatzung!$D$11:$D$22)&gt;=B20)),1)),IF(I20="An Bord",(((Besatzung!$B$14&lt;&gt;"")*IF(B20="",1,(IF(Besatzung!$C$14="",Besatzung!$B$5,Besatzung!$C$14)&lt;=B20)*(IF(Besatzung!$D$14="",Besatzung!$B$6,Besatzung!$D$14)&gt;=B20)))*((G20-IFERROR(H20,0))/IFERROR(SUMPRODUCT((Besatzung!$B$11:$B$22&lt;&gt;"")*(IF(Besatzung!$C$11:$C$22="",Besatzung!$B$5,Besatzung!$C$11:$C$22)&lt;=B20)*(IF(Besatzung!$D$11:$D$22="",Besatzung!$B$6,Besatzung!$D$11:$D$22)&gt;=B20)),1)+(Besatzung!$F$14="x")*IFERROR(H20,0)/IFERROR(SUMPRODUCT((Besatzung!$B$11:$B$22&lt;&gt;"")*(Besatzung!$F$11:$F$22="x")*(IF(Besatzung!$C$11:$C$22="",Besatzung!$B$5,Besatzung!$C$11:$C$22)&lt;=B20)*(IF(Besatzung!$D$11:$D$22="",Besatzung!$B$6,Besatzung!$D$11:$D$22)&gt;=B20)),1))),IF(I20="Individuell",((M20="x")*((G20-IFERROR(H20,0))/IFERROR(COUNTIF(J20:U20,"x"),1)+(Besatzung!$F$14="x")*IFERROR(H20,0)/IFERROR(SUMPRODUCT((J20:U20="x")*(Besatzung!$F$11:$F$22="x")),1))),(IF(COUNTIF(J20:U20,"x")=0,IF(Besatzung!$B$14&lt;&gt;"",1,0),(M20="x"))*(G20-IFERROR(H20,0))/IFERROR(IF(COUNTIF(J20:U20,"x")=0,COUNTA(Besatzung!$B$11:$B$22),COUNTIF(J20:U20,"x")),1)+IF(COUNTIF(J20:U20,"x")=0,(Besatzung!$F$14="x"),(M20="x")*(Besatzung!$F$14="x"))*IFERROR(H20,0)/IFERROR(IF(COUNTIF(J20:U20,"x")=0,SUMPRODUCT((Besatzung!$B$11:$B$22&lt;&gt;"")*(Besatzung!$F$11:$F$22="x")),SUMPRODUCT((J20:U20="x")*(Besatzung!$F$11:$F$22="x"))),1))))),0))))</f>
        <v/>
      </c>
      <c r="Z20" s="247">
        <f>IF(C20="Gutschrift","",IF(G20="","",IF(Besatzung!$B$13="","",IFERROR(IF(I20="Zeitanteilig",(Besatzung!$G$15*(G20-IFERROR(H20,0))+((Besatzung!$B$13&lt;&gt;"")*IF(B20="",1,(IF(Besatzung!$C$15="",Besatzung!$B$5,Besatzung!$C$15)&lt;=B20)*(IF(Besatzung!$D$15="",Besatzung!$B$6,Besatzung!$D$15)&gt;=B20)))*(Besatzung!$F$15="x")*IFERROR(H20,0)/IFERROR(SUMPRODUCT((Besatzung!$B$11:$B$22&lt;&gt;"")*(Besatzung!$F$11:$F$22="x")*(IF(Besatzung!$C$11:$C$22="",Besatzung!$B$5,Besatzung!$C$11:$C$22)&lt;=B20)*(IF(Besatzung!$D$11:$D$22="",Besatzung!$B$6,Besatzung!$D$11:$D$22)&gt;=B20)),1)),IF(I20="An Bord",(((Besatzung!$B$13&lt;&gt;"")*IF(B20="",1,(IF(Besatzung!$C$15="",Besatzung!$B$5,Besatzung!$C$15)&lt;=B20)*(IF(Besatzung!$D$15="",Besatzung!$B$6,Besatzung!$D$15)&gt;=B20)))*((G20-IFERROR(H20,0))/IFERROR(SUMPRODUCT((Besatzung!$B$11:$B$22&lt;&gt;"")*(IF(Besatzung!$C$11:$C$22="",Besatzung!$B$5,Besatzung!$C$11:$C$22)&lt;=B20)*(IF(Besatzung!$D$11:$D$22="",Besatzung!$B$6,Besatzung!$D$11:$D$22)&gt;=B20)),1)+(Besatzung!$F$15="x")*IFERROR(H20,0)/IFERROR(SUMPRODUCT((Besatzung!$B$11:$B$22&lt;&gt;"")*(Besatzung!$F$11:$F$22="x")*(IF(Besatzung!$C$11:$C$22="",Besatzung!$B$5,Besatzung!$C$11:$C$22)&lt;=B20)*(IF(Besatzung!$D$11:$D$22="",Besatzung!$B$6,Besatzung!$D$11:$D$22)&gt;=B20)),1))),IF(I20="Individuell",((N20="x")*((G20-IFERROR(H20,0))/IFERROR(COUNTIF(J20:U20,"x"),1)+(Besatzung!$F$15="x")*IFERROR(H20,0)/IFERROR(SUMPRODUCT((J20:U20="x")*(Besatzung!$F$11:$F$22="x")),1))),(IF(COUNTIF(J20:U20,"x")=0,IF(Besatzung!$B$13&lt;&gt;"",1,0),(N20="x"))*(G20-IFERROR(H20,0))/IFERROR(IF(COUNTIF(J20:U20,"x")=0,COUNTA(Besatzung!$B$11:$B$22),COUNTIF(J20:U20,"x")),1)+IF(COUNTIF(J20:U20,"x")=0,(Besatzung!$F$15="x"),(N20="x")*(Besatzung!$F$15="x"))*IFERROR(H20,0)/IFERROR(IF(COUNTIF(J20:U20,"x")=0,SUMPRODUCT((Besatzung!$B$11:$B$22&lt;&gt;"")*(Besatzung!$F$11:$F$22="x")),SUMPRODUCT((J20:U20="x")*(Besatzung!$F$11:$F$22="x"))),1))))),0))))</f>
        <v/>
      </c>
      <c r="AA20" s="247">
        <f>IF(C20="Gutschrift","",IF(G20="","",IF(Besatzung!$B$15="","",IFERROR(IF(I20="Zeitanteilig",(Besatzung!$G$16*(G20-IFERROR(H20,0))+((Besatzung!$B$15&lt;&gt;"")*IF(B20="",1,(IF(Besatzung!$C$16="",Besatzung!$B$5,Besatzung!$C$16)&lt;=B20)*(IF(Besatzung!$D$16="",Besatzung!$B$6,Besatzung!$D$16)&gt;=B20)))*(Besatzung!$F$16="x")*IFERROR(H20,0)/IFERROR(SUMPRODUCT((Besatzung!$B$11:$B$22&lt;&gt;"")*(Besatzung!$F$11:$F$22="x")*(IF(Besatzung!$C$11:$C$22="",Besatzung!$B$5,Besatzung!$C$11:$C$22)&lt;=B20)*(IF(Besatzung!$D$11:$D$22="",Besatzung!$B$6,Besatzung!$D$11:$D$22)&gt;=B20)),1)),IF(I20="An Bord",(((Besatzung!$B$15&lt;&gt;"")*IF(B20="",1,(IF(Besatzung!$C$16="",Besatzung!$B$5,Besatzung!$C$16)&lt;=B20)*(IF(Besatzung!$D$16="",Besatzung!$B$6,Besatzung!$D$16)&gt;=B20)))*((G20-IFERROR(H20,0))/IFERROR(SUMPRODUCT((Besatzung!$B$11:$B$22&lt;&gt;"")*(IF(Besatzung!$C$11:$C$22="",Besatzung!$B$5,Besatzung!$C$11:$C$22)&lt;=B20)*(IF(Besatzung!$D$11:$D$22="",Besatzung!$B$6,Besatzung!$D$11:$D$22)&gt;=B20)),1)+(Besatzung!$F$16="x")*IFERROR(H20,0)/IFERROR(SUMPRODUCT((Besatzung!$B$11:$B$22&lt;&gt;"")*(Besatzung!$F$11:$F$22="x")*(IF(Besatzung!$C$11:$C$22="",Besatzung!$B$5,Besatzung!$C$11:$C$22)&lt;=B20)*(IF(Besatzung!$D$11:$D$22="",Besatzung!$B$6,Besatzung!$D$11:$D$22)&gt;=B20)),1))),IF(I20="Individuell",((O20="x")*((G20-IFERROR(H20,0))/IFERROR(COUNTIF(J20:U20,"x"),1)+(Besatzung!$F$16="x")*IFERROR(H20,0)/IFERROR(SUMPRODUCT((J20:U20="x")*(Besatzung!$F$11:$F$22="x")),1))),(IF(COUNTIF(J20:U20,"x")=0,IF(Besatzung!$B$15&lt;&gt;"",1,0),(O20="x"))*(G20-IFERROR(H20,0))/IFERROR(IF(COUNTIF(J20:U20,"x")=0,COUNTA(Besatzung!$B$11:$B$22),COUNTIF(J20:U20,"x")),1)+IF(COUNTIF(J20:U20,"x")=0,(Besatzung!$F$16="x"),(O20="x")*(Besatzung!$F$16="x"))*IFERROR(H20,0)/IFERROR(IF(COUNTIF(J20:U20,"x")=0,SUMPRODUCT((Besatzung!$B$11:$B$22&lt;&gt;"")*(Besatzung!$F$11:$F$22="x")),SUMPRODUCT((J20:U20="x")*(Besatzung!$F$11:$F$22="x"))),1))))),0))))</f>
        <v/>
      </c>
      <c r="AB20" s="247">
        <f>IF(C20="Gutschrift","",IF(G20="","",IF(Besatzung!$B$17="","",IFERROR(IF(I20="Zeitanteilig",(Besatzung!$G$17*(G20-IFERROR(H20,0))+((Besatzung!$B$17&lt;&gt;"")*IF(B20="",1,(IF(Besatzung!$C$17="",Besatzung!$B$5,Besatzung!$C$17)&lt;=B20)*(IF(Besatzung!$D$17="",Besatzung!$B$6,Besatzung!$D$17)&gt;=B20)))*(Besatzung!$F$17="x")*IFERROR(H20,0)/IFERROR(SUMPRODUCT((Besatzung!$B$11:$B$22&lt;&gt;"")*(Besatzung!$F$11:$F$22="x")*(IF(Besatzung!$C$11:$C$22="",Besatzung!$B$5,Besatzung!$C$11:$C$22)&lt;=B20)*(IF(Besatzung!$D$11:$D$22="",Besatzung!$B$6,Besatzung!$D$11:$D$22)&gt;=B20)),1)),IF(I20="An Bord",(((Besatzung!$B$17&lt;&gt;"")*IF(B20="",1,(IF(Besatzung!$C$17="",Besatzung!$B$5,Besatzung!$C$17)&lt;=B20)*(IF(Besatzung!$D$17="",Besatzung!$B$6,Besatzung!$D$17)&gt;=B20)))*((G20-IFERROR(H20,0))/IFERROR(SUMPRODUCT((Besatzung!$B$11:$B$22&lt;&gt;"")*(IF(Besatzung!$C$11:$C$22="",Besatzung!$B$5,Besatzung!$C$11:$C$22)&lt;=B20)*(IF(Besatzung!$D$11:$D$22="",Besatzung!$B$6,Besatzung!$D$11:$D$22)&gt;=B20)),1)+(Besatzung!$F$17="x")*IFERROR(H20,0)/IFERROR(SUMPRODUCT((Besatzung!$B$11:$B$22&lt;&gt;"")*(Besatzung!$F$11:$F$22="x")*(IF(Besatzung!$C$11:$C$22="",Besatzung!$B$5,Besatzung!$C$11:$C$22)&lt;=B20)*(IF(Besatzung!$D$11:$D$22="",Besatzung!$B$6,Besatzung!$D$11:$D$22)&gt;=B20)),1))),IF(I20="Individuell",((P20="x")*((G20-IFERROR(H20,0))/IFERROR(COUNTIF(J20:U20,"x"),1)+(Besatzung!$F$17="x")*IFERROR(H20,0)/IFERROR(SUMPRODUCT((J20:U20="x")*(Besatzung!$F$11:$F$22="x")),1))),(IF(COUNTIF(J20:U20,"x")=0,IF(Besatzung!$B$17&lt;&gt;"",1,0),(P20="x"))*(G20-IFERROR(H20,0))/IFERROR(IF(COUNTIF(J20:U20,"x")=0,COUNTA(Besatzung!$B$11:$B$22),COUNTIF(J20:U20,"x")),1)+IF(COUNTIF(J20:U20,"x")=0,(Besatzung!$F$17="x"),(P20="x")*(Besatzung!$F$17="x"))*IFERROR(H20,0)/IFERROR(IF(COUNTIF(J20:U20,"x")=0,SUMPRODUCT((Besatzung!$B$11:$B$22&lt;&gt;"")*(Besatzung!$F$11:$F$22="x")),SUMPRODUCT((J20:U20="x")*(Besatzung!$F$11:$F$22="x"))),1))))),0))))</f>
        <v/>
      </c>
      <c r="AC20" s="247">
        <f>IF(C20="Gutschrift","",IF(G20="","",IF(Besatzung!$B$18="","",IFERROR(IF(I20="Zeitanteilig",(Besatzung!$G$18*(G20-IFERROR(H20,0))+((Besatzung!$B$18&lt;&gt;"")*IF(B20="",1,(IF(Besatzung!$C$18="",Besatzung!$B$5,Besatzung!$C$18)&lt;=B20)*(IF(Besatzung!$D$18="",Besatzung!$B$6,Besatzung!$D$18)&gt;=B20)))*(Besatzung!$F$18="x")*IFERROR(H20,0)/IFERROR(SUMPRODUCT((Besatzung!$B$11:$B$22&lt;&gt;"")*(Besatzung!$F$11:$F$22="x")*(IF(Besatzung!$C$11:$C$22="",Besatzung!$B$5,Besatzung!$C$11:$C$22)&lt;=B20)*(IF(Besatzung!$D$11:$D$22="",Besatzung!$B$6,Besatzung!$D$11:$D$22)&gt;=B20)),1)),IF(I20="An Bord",(((Besatzung!$B$18&lt;&gt;"")*IF(B20="",1,(IF(Besatzung!$C$18="",Besatzung!$B$5,Besatzung!$C$18)&lt;=B20)*(IF(Besatzung!$D$18="",Besatzung!$B$6,Besatzung!$D$18)&gt;=B20)))*((G20-IFERROR(H20,0))/IFERROR(SUMPRODUCT((Besatzung!$B$11:$B$22&lt;&gt;"")*(IF(Besatzung!$C$11:$C$22="",Besatzung!$B$5,Besatzung!$C$11:$C$22)&lt;=B20)*(IF(Besatzung!$D$11:$D$22="",Besatzung!$B$6,Besatzung!$D$11:$D$22)&gt;=B20)),1)+(Besatzung!$F$18="x")*IFERROR(H20,0)/IFERROR(SUMPRODUCT((Besatzung!$B$11:$B$22&lt;&gt;"")*(Besatzung!$F$11:$F$22="x")*(IF(Besatzung!$C$11:$C$22="",Besatzung!$B$5,Besatzung!$C$11:$C$22)&lt;=B20)*(IF(Besatzung!$D$11:$D$22="",Besatzung!$B$6,Besatzung!$D$11:$D$22)&gt;=B20)),1))),IF(I20="Individuell",((Q20="x")*((G20-IFERROR(H20,0))/IFERROR(COUNTIF(J20:U20,"x"),1)+(Besatzung!$F$18="x")*IFERROR(H20,0)/IFERROR(SUMPRODUCT((J20:U20="x")*(Besatzung!$F$11:$F$22="x")),1))),(IF(COUNTIF(J20:U20,"x")=0,IF(Besatzung!$B$18&lt;&gt;"",1,0),(Q20="x"))*(G20-IFERROR(H20,0))/IFERROR(IF(COUNTIF(J20:U20,"x")=0,COUNTA(Besatzung!$B$11:$B$22),COUNTIF(J20:U20,"x")),1)+IF(COUNTIF(J20:U20,"x")=0,(Besatzung!$F$18="x"),(Q20="x")*(Besatzung!$F$18="x"))*IFERROR(H20,0)/IFERROR(IF(COUNTIF(J20:U20,"x")=0,SUMPRODUCT((Besatzung!$B$11:$B$22&lt;&gt;"")*(Besatzung!$F$11:$F$22="x")),SUMPRODUCT((J20:U20="x")*(Besatzung!$F$11:$F$22="x"))),1))))),0))))</f>
        <v/>
      </c>
      <c r="AD20" s="247">
        <f>IF(C20="Gutschrift","",IF(G20="","",IF(Besatzung!$B$19="","",IFERROR(IF(I20="Zeitanteilig",(Besatzung!$G$19*(G20-IFERROR(H20,0))+((Besatzung!$B$19&lt;&gt;"")*IF(B20="",1,(IF(Besatzung!$C$19="",Besatzung!$B$5,Besatzung!$C$19)&lt;=B20)*(IF(Besatzung!$D$19="",Besatzung!$B$6,Besatzung!$D$19)&gt;=B20)))*(Besatzung!$F$19="x")*IFERROR(H20,0)/IFERROR(SUMPRODUCT((Besatzung!$B$11:$B$22&lt;&gt;"")*(Besatzung!$F$11:$F$22="x")*(IF(Besatzung!$C$11:$C$22="",Besatzung!$B$5,Besatzung!$C$11:$C$22)&lt;=B20)*(IF(Besatzung!$D$11:$D$22="",Besatzung!$B$6,Besatzung!$D$11:$D$22)&gt;=B20)),1)),IF(I20="An Bord",(((Besatzung!$B$19&lt;&gt;"")*IF(B20="",1,(IF(Besatzung!$C$19="",Besatzung!$B$5,Besatzung!$C$19)&lt;=B20)*(IF(Besatzung!$D$19="",Besatzung!$B$6,Besatzung!$D$19)&gt;=B20)))*((G20-IFERROR(H20,0))/IFERROR(SUMPRODUCT((Besatzung!$B$11:$B$22&lt;&gt;"")*(IF(Besatzung!$C$11:$C$22="",Besatzung!$B$5,Besatzung!$C$11:$C$22)&lt;=B20)*(IF(Besatzung!$D$11:$D$22="",Besatzung!$B$6,Besatzung!$D$11:$D$22)&gt;=B20)),1)+(Besatzung!$F$19="x")*IFERROR(H20,0)/IFERROR(SUMPRODUCT((Besatzung!$B$11:$B$22&lt;&gt;"")*(Besatzung!$F$11:$F$22="x")*(IF(Besatzung!$C$11:$C$22="",Besatzung!$B$5,Besatzung!$C$11:$C$22)&lt;=B20)*(IF(Besatzung!$D$11:$D$22="",Besatzung!$B$6,Besatzung!$D$11:$D$22)&gt;=B20)),1))),IF(I20="Individuell",((R20="x")*((G20-IFERROR(H20,0))/IFERROR(COUNTIF(J20:U20,"x"),1)+(Besatzung!$F$19="x")*IFERROR(H20,0)/IFERROR(SUMPRODUCT((J20:U20="x")*(Besatzung!$F$11:$F$22="x")),1))),(IF(COUNTIF(J20:U20,"x")=0,IF(Besatzung!$B$19&lt;&gt;"",1,0),(R20="x"))*(G20-IFERROR(H20,0))/IFERROR(IF(COUNTIF(J20:U20,"x")=0,COUNTA(Besatzung!$B$11:$B$22),COUNTIF(J20:U20,"x")),1)+IF(COUNTIF(J20:U20,"x")=0,(Besatzung!$F$19="x"),(R20="x")*(Besatzung!$F$19="x"))*IFERROR(H20,0)/IFERROR(IF(COUNTIF(J20:U20,"x")=0,SUMPRODUCT((Besatzung!$B$11:$B$22&lt;&gt;"")*(Besatzung!$F$11:$F$22="x")),SUMPRODUCT((J20:U20="x")*(Besatzung!$F$11:$F$22="x"))),1))))),0))))</f>
        <v/>
      </c>
      <c r="AE20" s="247">
        <f>IF(C20="Gutschrift","",IF(G20="","",IF(Besatzung!$B$20="","",IFERROR(IF(I20="Zeitanteilig",(Besatzung!$G$20*(G20-IFERROR(H20,0))+((Besatzung!$B$20&lt;&gt;"")*IF(B20="",1,(IF(Besatzung!$C$20="",Besatzung!$B$5,Besatzung!$C$20)&lt;=B20)*(IF(Besatzung!$D$20="",Besatzung!$B$6,Besatzung!$D$20)&gt;=B20)))*(Besatzung!$F$20="x")*IFERROR(H20,0)/IFERROR(SUMPRODUCT((Besatzung!$B$11:$B$22&lt;&gt;"")*(Besatzung!$F$11:$F$22="x")*(IF(Besatzung!$C$11:$C$22="",Besatzung!$B$5,Besatzung!$C$11:$C$22)&lt;=B20)*(IF(Besatzung!$D$11:$D$22="",Besatzung!$B$6,Besatzung!$D$11:$D$22)&gt;=B20)),1)),IF(I20="An Bord",(((Besatzung!$B$20&lt;&gt;"")*IF(B20="",1,(IF(Besatzung!$C$20="",Besatzung!$B$5,Besatzung!$C$20)&lt;=B20)*(IF(Besatzung!$D$20="",Besatzung!$B$6,Besatzung!$D$20)&gt;=B20)))*((G20-IFERROR(H20,0))/IFERROR(SUMPRODUCT((Besatzung!$B$11:$B$22&lt;&gt;"")*(IF(Besatzung!$C$11:$C$22="",Besatzung!$B$5,Besatzung!$C$11:$C$22)&lt;=B20)*(IF(Besatzung!$D$11:$D$22="",Besatzung!$B$6,Besatzung!$D$11:$D$22)&gt;=B20)),1)+(Besatzung!$F$20="x")*IFERROR(H20,0)/IFERROR(SUMPRODUCT((Besatzung!$B$11:$B$22&lt;&gt;"")*(Besatzung!$F$11:$F$22="x")*(IF(Besatzung!$C$11:$C$22="",Besatzung!$B$5,Besatzung!$C$11:$C$22)&lt;=B20)*(IF(Besatzung!$D$11:$D$22="",Besatzung!$B$6,Besatzung!$D$11:$D$22)&gt;=B20)),1))),IF(I20="Individuell",((S20="x")*((G20-IFERROR(H20,0))/IFERROR(COUNTIF(J20:U20,"x"),1)+(Besatzung!$F$20="x")*IFERROR(H20,0)/IFERROR(SUMPRODUCT((J20:U20="x")*(Besatzung!$F$11:$F$22="x")),1))),(IF(COUNTIF(J20:U20,"x")=0,IF(Besatzung!$B$20&lt;&gt;"",1,0),(S20="x"))*(G20-IFERROR(H20,0))/IFERROR(IF(COUNTIF(J20:U20,"x")=0,COUNTA(Besatzung!$B$11:$B$22),COUNTIF(J20:U20,"x")),1)+IF(COUNTIF(J20:U20,"x")=0,(Besatzung!$F$20="x"),(S20="x")*(Besatzung!$F$20="x"))*IFERROR(H20,0)/IFERROR(IF(COUNTIF(J20:U20,"x")=0,SUMPRODUCT((Besatzung!$B$11:$B$22&lt;&gt;"")*(Besatzung!$F$11:$F$22="x")),SUMPRODUCT((J20:U20="x")*(Besatzung!$F$11:$F$22="x"))),1))))),0))))</f>
        <v/>
      </c>
      <c r="AF20" s="247">
        <f>IF(C20="Gutschrift","",IF(G20="","",IF(Besatzung!$B$21="","",IFERROR(IF(I20="Zeitanteilig",(Besatzung!$G$21*(G20-IFERROR(H20,0))+((Besatzung!$B$21&lt;&gt;"")*IF(B20="",1,(IF(Besatzung!$C$21="",Besatzung!$B$5,Besatzung!$C$21)&lt;=B20)*(IF(Besatzung!$D$21="",Besatzung!$B$6,Besatzung!$D$21)&gt;=B20)))*(Besatzung!$F$21="x")*IFERROR(H20,0)/IFERROR(SUMPRODUCT((Besatzung!$B$11:$B$22&lt;&gt;"")*(Besatzung!$F$11:$F$22="x")*(IF(Besatzung!$C$11:$C$22="",Besatzung!$B$5,Besatzung!$C$11:$C$22)&lt;=B20)*(IF(Besatzung!$D$11:$D$22="",Besatzung!$B$6,Besatzung!$D$11:$D$22)&gt;=B20)),1)),IF(I20="An Bord",(((Besatzung!$B$21&lt;&gt;"")*IF(B20="",1,(IF(Besatzung!$C$21="",Besatzung!$B$5,Besatzung!$C$21)&lt;=B20)*(IF(Besatzung!$D$21="",Besatzung!$B$6,Besatzung!$D$21)&gt;=B20)))*((G20-IFERROR(H20,0))/IFERROR(SUMPRODUCT((Besatzung!$B$11:$B$22&lt;&gt;"")*(IF(Besatzung!$C$11:$C$22="",Besatzung!$B$5,Besatzung!$C$11:$C$22)&lt;=B20)*(IF(Besatzung!$D$11:$D$22="",Besatzung!$B$6,Besatzung!$D$11:$D$22)&gt;=B20)),1)+(Besatzung!$F$21="x")*IFERROR(H20,0)/IFERROR(SUMPRODUCT((Besatzung!$B$11:$B$22&lt;&gt;"")*(Besatzung!$F$11:$F$22="x")*(IF(Besatzung!$C$11:$C$22="",Besatzung!$B$5,Besatzung!$C$11:$C$22)&lt;=B20)*(IF(Besatzung!$D$11:$D$22="",Besatzung!$B$6,Besatzung!$D$11:$D$22)&gt;=B20)),1))),IF(I20="Individuell",((T20="x")*((G20-IFERROR(H20,0))/IFERROR(COUNTIF(J20:U20,"x"),1)+(Besatzung!$F$21="x")*IFERROR(H20,0)/IFERROR(SUMPRODUCT((J20:U20="x")*(Besatzung!$F$11:$F$22="x")),1))),(IF(COUNTIF(J20:U20,"x")=0,IF(Besatzung!$B$21&lt;&gt;"",1,0),(T20="x"))*(G20-IFERROR(H20,0))/IFERROR(IF(COUNTIF(J20:U20,"x")=0,COUNTA(Besatzung!$B$11:$B$22),COUNTIF(J20:U20,"x")),1)+IF(COUNTIF(J20:U20,"x")=0,(Besatzung!$F$21="x"),(T20="x")*(Besatzung!$F$21="x"))*IFERROR(H20,0)/IFERROR(IF(COUNTIF(J20:U20,"x")=0,SUMPRODUCT((Besatzung!$B$11:$B$22&lt;&gt;"")*(Besatzung!$F$11:$F$22="x")),SUMPRODUCT((J20:U20="x")*(Besatzung!$F$11:$F$22="x"))),1))))),0))))</f>
        <v/>
      </c>
      <c r="AG20" s="247">
        <f>IF(C20="Gutschrift","",IF(G20="","",IF(Besatzung!$B$22="","",IFERROR(IF(I20="Zeitanteilig",(Besatzung!$G$22*(G20-IFERROR(H20,0))+((Besatzung!$B$22&lt;&gt;"")*IF(B20="",1,(IF(Besatzung!$C$22="",Besatzung!$B$5,Besatzung!$C$22)&lt;=B20)*(IF(Besatzung!$D$22="",Besatzung!$B$6,Besatzung!$D$22)&gt;=B20)))*(Besatzung!$F$22="x")*IFERROR(H20,0)/IFERROR(SUMPRODUCT((Besatzung!$B$11:$B$22&lt;&gt;"")*(Besatzung!$F$11:$F$22="x")*(IF(Besatzung!$C$11:$C$22="",Besatzung!$B$5,Besatzung!$C$11:$C$22)&lt;=B20)*(IF(Besatzung!$D$11:$D$22="",Besatzung!$B$6,Besatzung!$D$11:$D$22)&gt;=B20)),1)),IF(I20="An Bord",(((Besatzung!$B$22&lt;&gt;"")*IF(B20="",1,(IF(Besatzung!$C$22="",Besatzung!$B$5,Besatzung!$C$22)&lt;=B20)*(IF(Besatzung!$D$22="",Besatzung!$B$6,Besatzung!$D$22)&gt;=B20)))*((G20-IFERROR(H20,0))/IFERROR(SUMPRODUCT((Besatzung!$B$11:$B$22&lt;&gt;"")*(IF(Besatzung!$C$11:$C$22="",Besatzung!$B$5,Besatzung!$C$11:$C$22)&lt;=B20)*(IF(Besatzung!$D$11:$D$22="",Besatzung!$B$6,Besatzung!$D$11:$D$22)&gt;=B20)),1)+(Besatzung!$F$22="x")*IFERROR(H20,0)/IFERROR(SUMPRODUCT((Besatzung!$B$11:$B$22&lt;&gt;"")*(Besatzung!$F$11:$F$22="x")*(IF(Besatzung!$C$11:$C$22="",Besatzung!$B$5,Besatzung!$C$11:$C$22)&lt;=B20)*(IF(Besatzung!$D$11:$D$22="",Besatzung!$B$6,Besatzung!$D$11:$D$22)&gt;=B20)),1))),IF(I20="Individuell",((U20="x")*((G20-IFERROR(H20,0))/IFERROR(COUNTIF(J20:U20,"x"),1)+(Besatzung!$F$22="x")*IFERROR(H20,0)/IFERROR(SUMPRODUCT((J20:U20="x")*(Besatzung!$F$11:$F$22="x")),1))),(IF(COUNTIF(J20:U20,"x")=0,IF(Besatzung!$B$22&lt;&gt;"",1,0),(U20="x"))*(G20-IFERROR(H20,0))/IFERROR(IF(COUNTIF(J20:U20,"x")=0,COUNTA(Besatzung!$B$11:$B$22),COUNTIF(J20:U20,"x")),1)+IF(COUNTIF(J20:U20,"x")=0,(Besatzung!$F$22="x"),(U20="x")*(Besatzung!$F$22="x"))*IFERROR(H20,0)/IFERROR(IF(COUNTIF(J20:U20,"x")=0,SUMPRODUCT((Besatzung!$B$11:$B$22&lt;&gt;"")*(Besatzung!$F$11:$F$22="x")),SUMPRODUCT((J20:U20="x")*(Besatzung!$F$11:$F$22="x"))),1))))),0))))</f>
        <v/>
      </c>
      <c r="AH20" s="248" t="n"/>
      <c r="AI20" s="248" t="n"/>
    </row>
    <row r="21" ht="21.75" customHeight="1" s="154">
      <c r="A21" s="238">
        <f>IF(AND(D21="",C21=""),"",18)</f>
        <v/>
      </c>
      <c r="B21" s="206" t="n"/>
      <c r="C21" s="249" t="n"/>
      <c r="D21" s="250" t="n"/>
      <c r="E21" s="251" t="n"/>
      <c r="F21" s="252" t="n"/>
      <c r="G21" s="253" t="n"/>
      <c r="H21" s="254" t="n"/>
      <c r="I21" s="255" t="n"/>
      <c r="J21" s="256" t="n"/>
      <c r="K21" s="256" t="n"/>
      <c r="L21" s="256" t="n"/>
      <c r="M21" s="256" t="n"/>
      <c r="N21" s="256" t="n"/>
      <c r="O21" s="256" t="n"/>
      <c r="P21" s="256" t="n"/>
      <c r="Q21" s="256" t="n"/>
      <c r="R21" s="256" t="n"/>
      <c r="S21" s="256" t="n"/>
      <c r="T21" s="256" t="n"/>
      <c r="U21" s="256" t="n"/>
      <c r="V21" s="247">
        <f>IF(C21="Gutschrift","",IF(G21="","",IF(Besatzung!$B$11="","",IFERROR(IF(I21="Zeitanteilig",(Besatzung!$G$11*(G21-IFERROR(H21,0))+((Besatzung!$B$11&lt;&gt;"")*IF(B21="",1,(IF(Besatzung!$C$11="",Besatzung!$B$5,Besatzung!$C$11)&lt;=B21)*(IF(Besatzung!$D$11="",Besatzung!$B$6,Besatzung!$D$11)&gt;=B21)))*(Besatzung!$F$11="x")*IFERROR(H21,0)/IFERROR(SUMPRODUCT((Besatzung!$B$11:$B$22&lt;&gt;"")*(Besatzung!$F$11:$F$22="x")*(IF(Besatzung!$C$11:$C$22="",Besatzung!$B$5,Besatzung!$C$11:$C$22)&lt;=B21)*(IF(Besatzung!$D$11:$D$22="",Besatzung!$B$6,Besatzung!$D$11:$D$22)&gt;=B21)),1)),IF(I21="An Bord",(((Besatzung!$B$11&lt;&gt;"")*IF(B21="",1,(IF(Besatzung!$C$11="",Besatzung!$B$5,Besatzung!$C$11)&lt;=B21)*(IF(Besatzung!$D$11="",Besatzung!$B$6,Besatzung!$D$11)&gt;=B21)))*((G21-IFERROR(H21,0))/IFERROR(SUMPRODUCT((Besatzung!$B$11:$B$22&lt;&gt;"")*(IF(Besatzung!$C$11:$C$22="",Besatzung!$B$5,Besatzung!$C$11:$C$22)&lt;=B21)*(IF(Besatzung!$D$11:$D$22="",Besatzung!$B$6,Besatzung!$D$11:$D$22)&gt;=B21)),1)+(Besatzung!$F$11="x")*IFERROR(H21,0)/IFERROR(SUMPRODUCT((Besatzung!$B$11:$B$22&lt;&gt;"")*(Besatzung!$F$11:$F$22="x")*(IF(Besatzung!$C$11:$C$22="",Besatzung!$B$5,Besatzung!$C$11:$C$22)&lt;=B21)*(IF(Besatzung!$D$11:$D$22="",Besatzung!$B$6,Besatzung!$D$11:$D$22)&gt;=B21)),1))),IF(I21="Individuell",((J21="x")*((G21-IFERROR(H21,0))/IFERROR(COUNTIF(J21:U21,"x"),1)+(Besatzung!$F$11="x")*IFERROR(H21,0)/IFERROR(SUMPRODUCT((J21:U21="x")*(Besatzung!$F$11:$F$22="x")),1))),(IF(COUNTIF(J21:U21,"x")=0,IF(Besatzung!$B$11&lt;&gt;"",1,0),(J21="x"))*(G21-IFERROR(H21,0))/IFERROR(IF(COUNTIF(J21:U21,"x")=0,COUNTA(Besatzung!$B$11:$B$22),COUNTIF(J21:U21,"x")),1)+IF(COUNTIF(J21:U21,"x")=0,(Besatzung!$F$11="x"),(J21="x")*(Besatzung!$F$11="x"))*IFERROR(H21,0)/IFERROR(IF(COUNTIF(J21:U21,"x")=0,SUMPRODUCT((Besatzung!$B$11:$B$22&lt;&gt;"")*(Besatzung!$F$11:$F$22="x")),SUMPRODUCT((J21:U21="x")*(Besatzung!$F$11:$F$22="x"))),1))))),0))))</f>
        <v/>
      </c>
      <c r="W21" s="247">
        <f>IF(C21="Gutschrift","",IF(G21="","",IF(Besatzung!$B$12="","",IFERROR(IF(I21="Zeitanteilig",(Besatzung!$G$12*(G21-IFERROR(H21,0))+((Besatzung!$B$12&lt;&gt;"")*IF(B21="",1,(IF(Besatzung!$C$12="",Besatzung!$B$5,Besatzung!$C$12)&lt;=B21)*(IF(Besatzung!$D$12="",Besatzung!$B$6,Besatzung!$D$12)&gt;=B21)))*(Besatzung!$F$12="x")*IFERROR(H21,0)/IFERROR(SUMPRODUCT((Besatzung!$B$11:$B$22&lt;&gt;"")*(Besatzung!$F$11:$F$22="x")*(IF(Besatzung!$C$11:$C$22="",Besatzung!$B$5,Besatzung!$C$11:$C$22)&lt;=B21)*(IF(Besatzung!$D$11:$D$22="",Besatzung!$B$6,Besatzung!$D$11:$D$22)&gt;=B21)),1)),IF(I21="An Bord",(((Besatzung!$B$12&lt;&gt;"")*IF(B21="",1,(IF(Besatzung!$C$12="",Besatzung!$B$5,Besatzung!$C$12)&lt;=B21)*(IF(Besatzung!$D$12="",Besatzung!$B$6,Besatzung!$D$12)&gt;=B21)))*((G21-IFERROR(H21,0))/IFERROR(SUMPRODUCT((Besatzung!$B$11:$B$22&lt;&gt;"")*(IF(Besatzung!$C$11:$C$22="",Besatzung!$B$5,Besatzung!$C$11:$C$22)&lt;=B21)*(IF(Besatzung!$D$11:$D$22="",Besatzung!$B$6,Besatzung!$D$11:$D$22)&gt;=B21)),1)+(Besatzung!$F$12="x")*IFERROR(H21,0)/IFERROR(SUMPRODUCT((Besatzung!$B$11:$B$22&lt;&gt;"")*(Besatzung!$F$11:$F$22="x")*(IF(Besatzung!$C$11:$C$22="",Besatzung!$B$5,Besatzung!$C$11:$C$22)&lt;=B21)*(IF(Besatzung!$D$11:$D$22="",Besatzung!$B$6,Besatzung!$D$11:$D$22)&gt;=B21)),1))),IF(I21="Individuell",((K21="x")*((G21-IFERROR(H21,0))/IFERROR(COUNTIF(J21:U21,"x"),1)+(Besatzung!$F$12="x")*IFERROR(H21,0)/IFERROR(SUMPRODUCT((J21:U21="x")*(Besatzung!$F$11:$F$22="x")),1))),(IF(COUNTIF(J21:U21,"x")=0,IF(Besatzung!$B$12&lt;&gt;"",1,0),(K21="x"))*(G21-IFERROR(H21,0))/IFERROR(IF(COUNTIF(J21:U21,"x")=0,COUNTA(Besatzung!$B$11:$B$22),COUNTIF(J21:U21,"x")),1)+IF(COUNTIF(J21:U21,"x")=0,(Besatzung!$F$12="x"),(K21="x")*(Besatzung!$F$12="x"))*IFERROR(H21,0)/IFERROR(IF(COUNTIF(J21:U21,"x")=0,SUMPRODUCT((Besatzung!$B$11:$B$22&lt;&gt;"")*(Besatzung!$F$11:$F$22="x")),SUMPRODUCT((J21:U21="x")*(Besatzung!$F$11:$F$22="x"))),1))))),0))))</f>
        <v/>
      </c>
      <c r="X21" s="247">
        <f>IF(C21="Gutschrift","",IF(G21="","",IF(Besatzung!$B$13="","",IFERROR(IF(I21="Zeitanteilig",(Besatzung!$G$13*(G21-IFERROR(H21,0))+((Besatzung!$B$13&lt;&gt;"")*IF(B21="",1,(IF(Besatzung!$C$13="",Besatzung!$B$5,Besatzung!$C$13)&lt;=B21)*(IF(Besatzung!$D$13="",Besatzung!$B$6,Besatzung!$D$13)&gt;=B21)))*(Besatzung!$F$13="x")*IFERROR(H21,0)/IFERROR(SUMPRODUCT((Besatzung!$B$11:$B$22&lt;&gt;"")*(Besatzung!$F$11:$F$22="x")*(IF(Besatzung!$C$11:$C$22="",Besatzung!$B$5,Besatzung!$C$11:$C$22)&lt;=B21)*(IF(Besatzung!$D$11:$D$22="",Besatzung!$B$6,Besatzung!$D$11:$D$22)&gt;=B21)),1)),IF(I21="An Bord",(((Besatzung!$B$13&lt;&gt;"")*IF(B21="",1,(IF(Besatzung!$C$13="",Besatzung!$B$5,Besatzung!$C$13)&lt;=B21)*(IF(Besatzung!$D$13="",Besatzung!$B$6,Besatzung!$D$13)&gt;=B21)))*((G21-IFERROR(H21,0))/IFERROR(SUMPRODUCT((Besatzung!$B$11:$B$22&lt;&gt;"")*(IF(Besatzung!$C$11:$C$22="",Besatzung!$B$5,Besatzung!$C$11:$C$22)&lt;=B21)*(IF(Besatzung!$D$11:$D$22="",Besatzung!$B$6,Besatzung!$D$11:$D$22)&gt;=B21)),1)+(Besatzung!$F$13="x")*IFERROR(H21,0)/IFERROR(SUMPRODUCT((Besatzung!$B$11:$B$22&lt;&gt;"")*(Besatzung!$F$11:$F$22="x")*(IF(Besatzung!$C$11:$C$22="",Besatzung!$B$5,Besatzung!$C$11:$C$22)&lt;=B21)*(IF(Besatzung!$D$11:$D$22="",Besatzung!$B$6,Besatzung!$D$11:$D$22)&gt;=B21)),1))),IF(I21="Individuell",((K21="x")*((G21-IFERROR(H21,0))/IFERROR(COUNTIF(J21:U21,"x"),1)+(Besatzung!$F$13="x")*IFERROR(H21,0)/IFERROR(SUMPRODUCT((J21:U21="x")*(Besatzung!$F$11:$F$22="x")),1))),(IF(COUNTIF(J21:U21,"x")=0,IF(Besatzung!$B$13&lt;&gt;"",1,0),(K21="x"))*(G21-IFERROR(H21,0))/IFERROR(IF(COUNTIF(J21:U21,"x")=0,COUNTA(Besatzung!$B$11:$B$22),COUNTIF(J21:U21,"x")),1)+IF(COUNTIF(J21:U21,"x")=0,(Besatzung!$F$13="x"),(K21="x")*(Besatzung!$F$13="x"))*IFERROR(H21,0)/IFERROR(IF(COUNTIF(J21:U21,"x")=0,SUMPRODUCT((Besatzung!$B$11:$B$22&lt;&gt;"")*(Besatzung!$F$11:$F$22="x")),SUMPRODUCT((J21:U21="x")*(Besatzung!$F$11:$F$22="x"))),1))))),0))))</f>
        <v/>
      </c>
      <c r="Y21" s="247">
        <f>IF(C21="Gutschrift","",IF(G21="","",IF(Besatzung!$B$14="","",IFERROR(IF(I21="Zeitanteilig",(Besatzung!$G$14*(G21-IFERROR(H21,0))+((Besatzung!$B$14&lt;&gt;"")*IF(B21="",1,(IF(Besatzung!$C$14="",Besatzung!$B$5,Besatzung!$C$14)&lt;=B21)*(IF(Besatzung!$D$14="",Besatzung!$B$6,Besatzung!$D$14)&gt;=B21)))*(Besatzung!$F$14="x")*IFERROR(H21,0)/IFERROR(SUMPRODUCT((Besatzung!$B$11:$B$22&lt;&gt;"")*(Besatzung!$F$11:$F$22="x")*(IF(Besatzung!$C$11:$C$22="",Besatzung!$B$5,Besatzung!$C$11:$C$22)&lt;=B21)*(IF(Besatzung!$D$11:$D$22="",Besatzung!$B$6,Besatzung!$D$11:$D$22)&gt;=B21)),1)),IF(I21="An Bord",(((Besatzung!$B$14&lt;&gt;"")*IF(B21="",1,(IF(Besatzung!$C$14="",Besatzung!$B$5,Besatzung!$C$14)&lt;=B21)*(IF(Besatzung!$D$14="",Besatzung!$B$6,Besatzung!$D$14)&gt;=B21)))*((G21-IFERROR(H21,0))/IFERROR(SUMPRODUCT((Besatzung!$B$11:$B$22&lt;&gt;"")*(IF(Besatzung!$C$11:$C$22="",Besatzung!$B$5,Besatzung!$C$11:$C$22)&lt;=B21)*(IF(Besatzung!$D$11:$D$22="",Besatzung!$B$6,Besatzung!$D$11:$D$22)&gt;=B21)),1)+(Besatzung!$F$14="x")*IFERROR(H21,0)/IFERROR(SUMPRODUCT((Besatzung!$B$11:$B$22&lt;&gt;"")*(Besatzung!$F$11:$F$22="x")*(IF(Besatzung!$C$11:$C$22="",Besatzung!$B$5,Besatzung!$C$11:$C$22)&lt;=B21)*(IF(Besatzung!$D$11:$D$22="",Besatzung!$B$6,Besatzung!$D$11:$D$22)&gt;=B21)),1))),IF(I21="Individuell",((M21="x")*((G21-IFERROR(H21,0))/IFERROR(COUNTIF(J21:U21,"x"),1)+(Besatzung!$F$14="x")*IFERROR(H21,0)/IFERROR(SUMPRODUCT((J21:U21="x")*(Besatzung!$F$11:$F$22="x")),1))),(IF(COUNTIF(J21:U21,"x")=0,IF(Besatzung!$B$14&lt;&gt;"",1,0),(M21="x"))*(G21-IFERROR(H21,0))/IFERROR(IF(COUNTIF(J21:U21,"x")=0,COUNTA(Besatzung!$B$11:$B$22),COUNTIF(J21:U21,"x")),1)+IF(COUNTIF(J21:U21,"x")=0,(Besatzung!$F$14="x"),(M21="x")*(Besatzung!$F$14="x"))*IFERROR(H21,0)/IFERROR(IF(COUNTIF(J21:U21,"x")=0,SUMPRODUCT((Besatzung!$B$11:$B$22&lt;&gt;"")*(Besatzung!$F$11:$F$22="x")),SUMPRODUCT((J21:U21="x")*(Besatzung!$F$11:$F$22="x"))),1))))),0))))</f>
        <v/>
      </c>
      <c r="Z21" s="247">
        <f>IF(C21="Gutschrift","",IF(G21="","",IF(Besatzung!$B$13="","",IFERROR(IF(I21="Zeitanteilig",(Besatzung!$G$15*(G21-IFERROR(H21,0))+((Besatzung!$B$13&lt;&gt;"")*IF(B21="",1,(IF(Besatzung!$C$15="",Besatzung!$B$5,Besatzung!$C$15)&lt;=B21)*(IF(Besatzung!$D$15="",Besatzung!$B$6,Besatzung!$D$15)&gt;=B21)))*(Besatzung!$F$15="x")*IFERROR(H21,0)/IFERROR(SUMPRODUCT((Besatzung!$B$11:$B$22&lt;&gt;"")*(Besatzung!$F$11:$F$22="x")*(IF(Besatzung!$C$11:$C$22="",Besatzung!$B$5,Besatzung!$C$11:$C$22)&lt;=B21)*(IF(Besatzung!$D$11:$D$22="",Besatzung!$B$6,Besatzung!$D$11:$D$22)&gt;=B21)),1)),IF(I21="An Bord",(((Besatzung!$B$13&lt;&gt;"")*IF(B21="",1,(IF(Besatzung!$C$15="",Besatzung!$B$5,Besatzung!$C$15)&lt;=B21)*(IF(Besatzung!$D$15="",Besatzung!$B$6,Besatzung!$D$15)&gt;=B21)))*((G21-IFERROR(H21,0))/IFERROR(SUMPRODUCT((Besatzung!$B$11:$B$22&lt;&gt;"")*(IF(Besatzung!$C$11:$C$22="",Besatzung!$B$5,Besatzung!$C$11:$C$22)&lt;=B21)*(IF(Besatzung!$D$11:$D$22="",Besatzung!$B$6,Besatzung!$D$11:$D$22)&gt;=B21)),1)+(Besatzung!$F$15="x")*IFERROR(H21,0)/IFERROR(SUMPRODUCT((Besatzung!$B$11:$B$22&lt;&gt;"")*(Besatzung!$F$11:$F$22="x")*(IF(Besatzung!$C$11:$C$22="",Besatzung!$B$5,Besatzung!$C$11:$C$22)&lt;=B21)*(IF(Besatzung!$D$11:$D$22="",Besatzung!$B$6,Besatzung!$D$11:$D$22)&gt;=B21)),1))),IF(I21="Individuell",((N21="x")*((G21-IFERROR(H21,0))/IFERROR(COUNTIF(J21:U21,"x"),1)+(Besatzung!$F$15="x")*IFERROR(H21,0)/IFERROR(SUMPRODUCT((J21:U21="x")*(Besatzung!$F$11:$F$22="x")),1))),(IF(COUNTIF(J21:U21,"x")=0,IF(Besatzung!$B$13&lt;&gt;"",1,0),(N21="x"))*(G21-IFERROR(H21,0))/IFERROR(IF(COUNTIF(J21:U21,"x")=0,COUNTA(Besatzung!$B$11:$B$22),COUNTIF(J21:U21,"x")),1)+IF(COUNTIF(J21:U21,"x")=0,(Besatzung!$F$15="x"),(N21="x")*(Besatzung!$F$15="x"))*IFERROR(H21,0)/IFERROR(IF(COUNTIF(J21:U21,"x")=0,SUMPRODUCT((Besatzung!$B$11:$B$22&lt;&gt;"")*(Besatzung!$F$11:$F$22="x")),SUMPRODUCT((J21:U21="x")*(Besatzung!$F$11:$F$22="x"))),1))))),0))))</f>
        <v/>
      </c>
      <c r="AA21" s="247">
        <f>IF(C21="Gutschrift","",IF(G21="","",IF(Besatzung!$B$15="","",IFERROR(IF(I21="Zeitanteilig",(Besatzung!$G$16*(G21-IFERROR(H21,0))+((Besatzung!$B$15&lt;&gt;"")*IF(B21="",1,(IF(Besatzung!$C$16="",Besatzung!$B$5,Besatzung!$C$16)&lt;=B21)*(IF(Besatzung!$D$16="",Besatzung!$B$6,Besatzung!$D$16)&gt;=B21)))*(Besatzung!$F$16="x")*IFERROR(H21,0)/IFERROR(SUMPRODUCT((Besatzung!$B$11:$B$22&lt;&gt;"")*(Besatzung!$F$11:$F$22="x")*(IF(Besatzung!$C$11:$C$22="",Besatzung!$B$5,Besatzung!$C$11:$C$22)&lt;=B21)*(IF(Besatzung!$D$11:$D$22="",Besatzung!$B$6,Besatzung!$D$11:$D$22)&gt;=B21)),1)),IF(I21="An Bord",(((Besatzung!$B$15&lt;&gt;"")*IF(B21="",1,(IF(Besatzung!$C$16="",Besatzung!$B$5,Besatzung!$C$16)&lt;=B21)*(IF(Besatzung!$D$16="",Besatzung!$B$6,Besatzung!$D$16)&gt;=B21)))*((G21-IFERROR(H21,0))/IFERROR(SUMPRODUCT((Besatzung!$B$11:$B$22&lt;&gt;"")*(IF(Besatzung!$C$11:$C$22="",Besatzung!$B$5,Besatzung!$C$11:$C$22)&lt;=B21)*(IF(Besatzung!$D$11:$D$22="",Besatzung!$B$6,Besatzung!$D$11:$D$22)&gt;=B21)),1)+(Besatzung!$F$16="x")*IFERROR(H21,0)/IFERROR(SUMPRODUCT((Besatzung!$B$11:$B$22&lt;&gt;"")*(Besatzung!$F$11:$F$22="x")*(IF(Besatzung!$C$11:$C$22="",Besatzung!$B$5,Besatzung!$C$11:$C$22)&lt;=B21)*(IF(Besatzung!$D$11:$D$22="",Besatzung!$B$6,Besatzung!$D$11:$D$22)&gt;=B21)),1))),IF(I21="Individuell",((O21="x")*((G21-IFERROR(H21,0))/IFERROR(COUNTIF(J21:U21,"x"),1)+(Besatzung!$F$16="x")*IFERROR(H21,0)/IFERROR(SUMPRODUCT((J21:U21="x")*(Besatzung!$F$11:$F$22="x")),1))),(IF(COUNTIF(J21:U21,"x")=0,IF(Besatzung!$B$15&lt;&gt;"",1,0),(O21="x"))*(G21-IFERROR(H21,0))/IFERROR(IF(COUNTIF(J21:U21,"x")=0,COUNTA(Besatzung!$B$11:$B$22),COUNTIF(J21:U21,"x")),1)+IF(COUNTIF(J21:U21,"x")=0,(Besatzung!$F$16="x"),(O21="x")*(Besatzung!$F$16="x"))*IFERROR(H21,0)/IFERROR(IF(COUNTIF(J21:U21,"x")=0,SUMPRODUCT((Besatzung!$B$11:$B$22&lt;&gt;"")*(Besatzung!$F$11:$F$22="x")),SUMPRODUCT((J21:U21="x")*(Besatzung!$F$11:$F$22="x"))),1))))),0))))</f>
        <v/>
      </c>
      <c r="AB21" s="247">
        <f>IF(C21="Gutschrift","",IF(G21="","",IF(Besatzung!$B$17="","",IFERROR(IF(I21="Zeitanteilig",(Besatzung!$G$17*(G21-IFERROR(H21,0))+((Besatzung!$B$17&lt;&gt;"")*IF(B21="",1,(IF(Besatzung!$C$17="",Besatzung!$B$5,Besatzung!$C$17)&lt;=B21)*(IF(Besatzung!$D$17="",Besatzung!$B$6,Besatzung!$D$17)&gt;=B21)))*(Besatzung!$F$17="x")*IFERROR(H21,0)/IFERROR(SUMPRODUCT((Besatzung!$B$11:$B$22&lt;&gt;"")*(Besatzung!$F$11:$F$22="x")*(IF(Besatzung!$C$11:$C$22="",Besatzung!$B$5,Besatzung!$C$11:$C$22)&lt;=B21)*(IF(Besatzung!$D$11:$D$22="",Besatzung!$B$6,Besatzung!$D$11:$D$22)&gt;=B21)),1)),IF(I21="An Bord",(((Besatzung!$B$17&lt;&gt;"")*IF(B21="",1,(IF(Besatzung!$C$17="",Besatzung!$B$5,Besatzung!$C$17)&lt;=B21)*(IF(Besatzung!$D$17="",Besatzung!$B$6,Besatzung!$D$17)&gt;=B21)))*((G21-IFERROR(H21,0))/IFERROR(SUMPRODUCT((Besatzung!$B$11:$B$22&lt;&gt;"")*(IF(Besatzung!$C$11:$C$22="",Besatzung!$B$5,Besatzung!$C$11:$C$22)&lt;=B21)*(IF(Besatzung!$D$11:$D$22="",Besatzung!$B$6,Besatzung!$D$11:$D$22)&gt;=B21)),1)+(Besatzung!$F$17="x")*IFERROR(H21,0)/IFERROR(SUMPRODUCT((Besatzung!$B$11:$B$22&lt;&gt;"")*(Besatzung!$F$11:$F$22="x")*(IF(Besatzung!$C$11:$C$22="",Besatzung!$B$5,Besatzung!$C$11:$C$22)&lt;=B21)*(IF(Besatzung!$D$11:$D$22="",Besatzung!$B$6,Besatzung!$D$11:$D$22)&gt;=B21)),1))),IF(I21="Individuell",((P21="x")*((G21-IFERROR(H21,0))/IFERROR(COUNTIF(J21:U21,"x"),1)+(Besatzung!$F$17="x")*IFERROR(H21,0)/IFERROR(SUMPRODUCT((J21:U21="x")*(Besatzung!$F$11:$F$22="x")),1))),(IF(COUNTIF(J21:U21,"x")=0,IF(Besatzung!$B$17&lt;&gt;"",1,0),(P21="x"))*(G21-IFERROR(H21,0))/IFERROR(IF(COUNTIF(J21:U21,"x")=0,COUNTA(Besatzung!$B$11:$B$22),COUNTIF(J21:U21,"x")),1)+IF(COUNTIF(J21:U21,"x")=0,(Besatzung!$F$17="x"),(P21="x")*(Besatzung!$F$17="x"))*IFERROR(H21,0)/IFERROR(IF(COUNTIF(J21:U21,"x")=0,SUMPRODUCT((Besatzung!$B$11:$B$22&lt;&gt;"")*(Besatzung!$F$11:$F$22="x")),SUMPRODUCT((J21:U21="x")*(Besatzung!$F$11:$F$22="x"))),1))))),0))))</f>
        <v/>
      </c>
      <c r="AC21" s="247">
        <f>IF(C21="Gutschrift","",IF(G21="","",IF(Besatzung!$B$18="","",IFERROR(IF(I21="Zeitanteilig",(Besatzung!$G$18*(G21-IFERROR(H21,0))+((Besatzung!$B$18&lt;&gt;"")*IF(B21="",1,(IF(Besatzung!$C$18="",Besatzung!$B$5,Besatzung!$C$18)&lt;=B21)*(IF(Besatzung!$D$18="",Besatzung!$B$6,Besatzung!$D$18)&gt;=B21)))*(Besatzung!$F$18="x")*IFERROR(H21,0)/IFERROR(SUMPRODUCT((Besatzung!$B$11:$B$22&lt;&gt;"")*(Besatzung!$F$11:$F$22="x")*(IF(Besatzung!$C$11:$C$22="",Besatzung!$B$5,Besatzung!$C$11:$C$22)&lt;=B21)*(IF(Besatzung!$D$11:$D$22="",Besatzung!$B$6,Besatzung!$D$11:$D$22)&gt;=B21)),1)),IF(I21="An Bord",(((Besatzung!$B$18&lt;&gt;"")*IF(B21="",1,(IF(Besatzung!$C$18="",Besatzung!$B$5,Besatzung!$C$18)&lt;=B21)*(IF(Besatzung!$D$18="",Besatzung!$B$6,Besatzung!$D$18)&gt;=B21)))*((G21-IFERROR(H21,0))/IFERROR(SUMPRODUCT((Besatzung!$B$11:$B$22&lt;&gt;"")*(IF(Besatzung!$C$11:$C$22="",Besatzung!$B$5,Besatzung!$C$11:$C$22)&lt;=B21)*(IF(Besatzung!$D$11:$D$22="",Besatzung!$B$6,Besatzung!$D$11:$D$22)&gt;=B21)),1)+(Besatzung!$F$18="x")*IFERROR(H21,0)/IFERROR(SUMPRODUCT((Besatzung!$B$11:$B$22&lt;&gt;"")*(Besatzung!$F$11:$F$22="x")*(IF(Besatzung!$C$11:$C$22="",Besatzung!$B$5,Besatzung!$C$11:$C$22)&lt;=B21)*(IF(Besatzung!$D$11:$D$22="",Besatzung!$B$6,Besatzung!$D$11:$D$22)&gt;=B21)),1))),IF(I21="Individuell",((Q21="x")*((G21-IFERROR(H21,0))/IFERROR(COUNTIF(J21:U21,"x"),1)+(Besatzung!$F$18="x")*IFERROR(H21,0)/IFERROR(SUMPRODUCT((J21:U21="x")*(Besatzung!$F$11:$F$22="x")),1))),(IF(COUNTIF(J21:U21,"x")=0,IF(Besatzung!$B$18&lt;&gt;"",1,0),(Q21="x"))*(G21-IFERROR(H21,0))/IFERROR(IF(COUNTIF(J21:U21,"x")=0,COUNTA(Besatzung!$B$11:$B$22),COUNTIF(J21:U21,"x")),1)+IF(COUNTIF(J21:U21,"x")=0,(Besatzung!$F$18="x"),(Q21="x")*(Besatzung!$F$18="x"))*IFERROR(H21,0)/IFERROR(IF(COUNTIF(J21:U21,"x")=0,SUMPRODUCT((Besatzung!$B$11:$B$22&lt;&gt;"")*(Besatzung!$F$11:$F$22="x")),SUMPRODUCT((J21:U21="x")*(Besatzung!$F$11:$F$22="x"))),1))))),0))))</f>
        <v/>
      </c>
      <c r="AD21" s="247">
        <f>IF(C21="Gutschrift","",IF(G21="","",IF(Besatzung!$B$19="","",IFERROR(IF(I21="Zeitanteilig",(Besatzung!$G$19*(G21-IFERROR(H21,0))+((Besatzung!$B$19&lt;&gt;"")*IF(B21="",1,(IF(Besatzung!$C$19="",Besatzung!$B$5,Besatzung!$C$19)&lt;=B21)*(IF(Besatzung!$D$19="",Besatzung!$B$6,Besatzung!$D$19)&gt;=B21)))*(Besatzung!$F$19="x")*IFERROR(H21,0)/IFERROR(SUMPRODUCT((Besatzung!$B$11:$B$22&lt;&gt;"")*(Besatzung!$F$11:$F$22="x")*(IF(Besatzung!$C$11:$C$22="",Besatzung!$B$5,Besatzung!$C$11:$C$22)&lt;=B21)*(IF(Besatzung!$D$11:$D$22="",Besatzung!$B$6,Besatzung!$D$11:$D$22)&gt;=B21)),1)),IF(I21="An Bord",(((Besatzung!$B$19&lt;&gt;"")*IF(B21="",1,(IF(Besatzung!$C$19="",Besatzung!$B$5,Besatzung!$C$19)&lt;=B21)*(IF(Besatzung!$D$19="",Besatzung!$B$6,Besatzung!$D$19)&gt;=B21)))*((G21-IFERROR(H21,0))/IFERROR(SUMPRODUCT((Besatzung!$B$11:$B$22&lt;&gt;"")*(IF(Besatzung!$C$11:$C$22="",Besatzung!$B$5,Besatzung!$C$11:$C$22)&lt;=B21)*(IF(Besatzung!$D$11:$D$22="",Besatzung!$B$6,Besatzung!$D$11:$D$22)&gt;=B21)),1)+(Besatzung!$F$19="x")*IFERROR(H21,0)/IFERROR(SUMPRODUCT((Besatzung!$B$11:$B$22&lt;&gt;"")*(Besatzung!$F$11:$F$22="x")*(IF(Besatzung!$C$11:$C$22="",Besatzung!$B$5,Besatzung!$C$11:$C$22)&lt;=B21)*(IF(Besatzung!$D$11:$D$22="",Besatzung!$B$6,Besatzung!$D$11:$D$22)&gt;=B21)),1))),IF(I21="Individuell",((R21="x")*((G21-IFERROR(H21,0))/IFERROR(COUNTIF(J21:U21,"x"),1)+(Besatzung!$F$19="x")*IFERROR(H21,0)/IFERROR(SUMPRODUCT((J21:U21="x")*(Besatzung!$F$11:$F$22="x")),1))),(IF(COUNTIF(J21:U21,"x")=0,IF(Besatzung!$B$19&lt;&gt;"",1,0),(R21="x"))*(G21-IFERROR(H21,0))/IFERROR(IF(COUNTIF(J21:U21,"x")=0,COUNTA(Besatzung!$B$11:$B$22),COUNTIF(J21:U21,"x")),1)+IF(COUNTIF(J21:U21,"x")=0,(Besatzung!$F$19="x"),(R21="x")*(Besatzung!$F$19="x"))*IFERROR(H21,0)/IFERROR(IF(COUNTIF(J21:U21,"x")=0,SUMPRODUCT((Besatzung!$B$11:$B$22&lt;&gt;"")*(Besatzung!$F$11:$F$22="x")),SUMPRODUCT((J21:U21="x")*(Besatzung!$F$11:$F$22="x"))),1))))),0))))</f>
        <v/>
      </c>
      <c r="AE21" s="247">
        <f>IF(C21="Gutschrift","",IF(G21="","",IF(Besatzung!$B$20="","",IFERROR(IF(I21="Zeitanteilig",(Besatzung!$G$20*(G21-IFERROR(H21,0))+((Besatzung!$B$20&lt;&gt;"")*IF(B21="",1,(IF(Besatzung!$C$20="",Besatzung!$B$5,Besatzung!$C$20)&lt;=B21)*(IF(Besatzung!$D$20="",Besatzung!$B$6,Besatzung!$D$20)&gt;=B21)))*(Besatzung!$F$20="x")*IFERROR(H21,0)/IFERROR(SUMPRODUCT((Besatzung!$B$11:$B$22&lt;&gt;"")*(Besatzung!$F$11:$F$22="x")*(IF(Besatzung!$C$11:$C$22="",Besatzung!$B$5,Besatzung!$C$11:$C$22)&lt;=B21)*(IF(Besatzung!$D$11:$D$22="",Besatzung!$B$6,Besatzung!$D$11:$D$22)&gt;=B21)),1)),IF(I21="An Bord",(((Besatzung!$B$20&lt;&gt;"")*IF(B21="",1,(IF(Besatzung!$C$20="",Besatzung!$B$5,Besatzung!$C$20)&lt;=B21)*(IF(Besatzung!$D$20="",Besatzung!$B$6,Besatzung!$D$20)&gt;=B21)))*((G21-IFERROR(H21,0))/IFERROR(SUMPRODUCT((Besatzung!$B$11:$B$22&lt;&gt;"")*(IF(Besatzung!$C$11:$C$22="",Besatzung!$B$5,Besatzung!$C$11:$C$22)&lt;=B21)*(IF(Besatzung!$D$11:$D$22="",Besatzung!$B$6,Besatzung!$D$11:$D$22)&gt;=B21)),1)+(Besatzung!$F$20="x")*IFERROR(H21,0)/IFERROR(SUMPRODUCT((Besatzung!$B$11:$B$22&lt;&gt;"")*(Besatzung!$F$11:$F$22="x")*(IF(Besatzung!$C$11:$C$22="",Besatzung!$B$5,Besatzung!$C$11:$C$22)&lt;=B21)*(IF(Besatzung!$D$11:$D$22="",Besatzung!$B$6,Besatzung!$D$11:$D$22)&gt;=B21)),1))),IF(I21="Individuell",((S21="x")*((G21-IFERROR(H21,0))/IFERROR(COUNTIF(J21:U21,"x"),1)+(Besatzung!$F$20="x")*IFERROR(H21,0)/IFERROR(SUMPRODUCT((J21:U21="x")*(Besatzung!$F$11:$F$22="x")),1))),(IF(COUNTIF(J21:U21,"x")=0,IF(Besatzung!$B$20&lt;&gt;"",1,0),(S21="x"))*(G21-IFERROR(H21,0))/IFERROR(IF(COUNTIF(J21:U21,"x")=0,COUNTA(Besatzung!$B$11:$B$22),COUNTIF(J21:U21,"x")),1)+IF(COUNTIF(J21:U21,"x")=0,(Besatzung!$F$20="x"),(S21="x")*(Besatzung!$F$20="x"))*IFERROR(H21,0)/IFERROR(IF(COUNTIF(J21:U21,"x")=0,SUMPRODUCT((Besatzung!$B$11:$B$22&lt;&gt;"")*(Besatzung!$F$11:$F$22="x")),SUMPRODUCT((J21:U21="x")*(Besatzung!$F$11:$F$22="x"))),1))))),0))))</f>
        <v/>
      </c>
      <c r="AF21" s="247">
        <f>IF(C21="Gutschrift","",IF(G21="","",IF(Besatzung!$B$21="","",IFERROR(IF(I21="Zeitanteilig",(Besatzung!$G$21*(G21-IFERROR(H21,0))+((Besatzung!$B$21&lt;&gt;"")*IF(B21="",1,(IF(Besatzung!$C$21="",Besatzung!$B$5,Besatzung!$C$21)&lt;=B21)*(IF(Besatzung!$D$21="",Besatzung!$B$6,Besatzung!$D$21)&gt;=B21)))*(Besatzung!$F$21="x")*IFERROR(H21,0)/IFERROR(SUMPRODUCT((Besatzung!$B$11:$B$22&lt;&gt;"")*(Besatzung!$F$11:$F$22="x")*(IF(Besatzung!$C$11:$C$22="",Besatzung!$B$5,Besatzung!$C$11:$C$22)&lt;=B21)*(IF(Besatzung!$D$11:$D$22="",Besatzung!$B$6,Besatzung!$D$11:$D$22)&gt;=B21)),1)),IF(I21="An Bord",(((Besatzung!$B$21&lt;&gt;"")*IF(B21="",1,(IF(Besatzung!$C$21="",Besatzung!$B$5,Besatzung!$C$21)&lt;=B21)*(IF(Besatzung!$D$21="",Besatzung!$B$6,Besatzung!$D$21)&gt;=B21)))*((G21-IFERROR(H21,0))/IFERROR(SUMPRODUCT((Besatzung!$B$11:$B$22&lt;&gt;"")*(IF(Besatzung!$C$11:$C$22="",Besatzung!$B$5,Besatzung!$C$11:$C$22)&lt;=B21)*(IF(Besatzung!$D$11:$D$22="",Besatzung!$B$6,Besatzung!$D$11:$D$22)&gt;=B21)),1)+(Besatzung!$F$21="x")*IFERROR(H21,0)/IFERROR(SUMPRODUCT((Besatzung!$B$11:$B$22&lt;&gt;"")*(Besatzung!$F$11:$F$22="x")*(IF(Besatzung!$C$11:$C$22="",Besatzung!$B$5,Besatzung!$C$11:$C$22)&lt;=B21)*(IF(Besatzung!$D$11:$D$22="",Besatzung!$B$6,Besatzung!$D$11:$D$22)&gt;=B21)),1))),IF(I21="Individuell",((T21="x")*((G21-IFERROR(H21,0))/IFERROR(COUNTIF(J21:U21,"x"),1)+(Besatzung!$F$21="x")*IFERROR(H21,0)/IFERROR(SUMPRODUCT((J21:U21="x")*(Besatzung!$F$11:$F$22="x")),1))),(IF(COUNTIF(J21:U21,"x")=0,IF(Besatzung!$B$21&lt;&gt;"",1,0),(T21="x"))*(G21-IFERROR(H21,0))/IFERROR(IF(COUNTIF(J21:U21,"x")=0,COUNTA(Besatzung!$B$11:$B$22),COUNTIF(J21:U21,"x")),1)+IF(COUNTIF(J21:U21,"x")=0,(Besatzung!$F$21="x"),(T21="x")*(Besatzung!$F$21="x"))*IFERROR(H21,0)/IFERROR(IF(COUNTIF(J21:U21,"x")=0,SUMPRODUCT((Besatzung!$B$11:$B$22&lt;&gt;"")*(Besatzung!$F$11:$F$22="x")),SUMPRODUCT((J21:U21="x")*(Besatzung!$F$11:$F$22="x"))),1))))),0))))</f>
        <v/>
      </c>
      <c r="AG21" s="247">
        <f>IF(C21="Gutschrift","",IF(G21="","",IF(Besatzung!$B$22="","",IFERROR(IF(I21="Zeitanteilig",(Besatzung!$G$22*(G21-IFERROR(H21,0))+((Besatzung!$B$22&lt;&gt;"")*IF(B21="",1,(IF(Besatzung!$C$22="",Besatzung!$B$5,Besatzung!$C$22)&lt;=B21)*(IF(Besatzung!$D$22="",Besatzung!$B$6,Besatzung!$D$22)&gt;=B21)))*(Besatzung!$F$22="x")*IFERROR(H21,0)/IFERROR(SUMPRODUCT((Besatzung!$B$11:$B$22&lt;&gt;"")*(Besatzung!$F$11:$F$22="x")*(IF(Besatzung!$C$11:$C$22="",Besatzung!$B$5,Besatzung!$C$11:$C$22)&lt;=B21)*(IF(Besatzung!$D$11:$D$22="",Besatzung!$B$6,Besatzung!$D$11:$D$22)&gt;=B21)),1)),IF(I21="An Bord",(((Besatzung!$B$22&lt;&gt;"")*IF(B21="",1,(IF(Besatzung!$C$22="",Besatzung!$B$5,Besatzung!$C$22)&lt;=B21)*(IF(Besatzung!$D$22="",Besatzung!$B$6,Besatzung!$D$22)&gt;=B21)))*((G21-IFERROR(H21,0))/IFERROR(SUMPRODUCT((Besatzung!$B$11:$B$22&lt;&gt;"")*(IF(Besatzung!$C$11:$C$22="",Besatzung!$B$5,Besatzung!$C$11:$C$22)&lt;=B21)*(IF(Besatzung!$D$11:$D$22="",Besatzung!$B$6,Besatzung!$D$11:$D$22)&gt;=B21)),1)+(Besatzung!$F$22="x")*IFERROR(H21,0)/IFERROR(SUMPRODUCT((Besatzung!$B$11:$B$22&lt;&gt;"")*(Besatzung!$F$11:$F$22="x")*(IF(Besatzung!$C$11:$C$22="",Besatzung!$B$5,Besatzung!$C$11:$C$22)&lt;=B21)*(IF(Besatzung!$D$11:$D$22="",Besatzung!$B$6,Besatzung!$D$11:$D$22)&gt;=B21)),1))),IF(I21="Individuell",((U21="x")*((G21-IFERROR(H21,0))/IFERROR(COUNTIF(J21:U21,"x"),1)+(Besatzung!$F$22="x")*IFERROR(H21,0)/IFERROR(SUMPRODUCT((J21:U21="x")*(Besatzung!$F$11:$F$22="x")),1))),(IF(COUNTIF(J21:U21,"x")=0,IF(Besatzung!$B$22&lt;&gt;"",1,0),(U21="x"))*(G21-IFERROR(H21,0))/IFERROR(IF(COUNTIF(J21:U21,"x")=0,COUNTA(Besatzung!$B$11:$B$22),COUNTIF(J21:U21,"x")),1)+IF(COUNTIF(J21:U21,"x")=0,(Besatzung!$F$22="x"),(U21="x")*(Besatzung!$F$22="x"))*IFERROR(H21,0)/IFERROR(IF(COUNTIF(J21:U21,"x")=0,SUMPRODUCT((Besatzung!$B$11:$B$22&lt;&gt;"")*(Besatzung!$F$11:$F$22="x")),SUMPRODUCT((J21:U21="x")*(Besatzung!$F$11:$F$22="x"))),1))))),0))))</f>
        <v/>
      </c>
      <c r="AH21" s="248" t="n"/>
      <c r="AI21" s="248" t="n"/>
    </row>
    <row r="22" ht="21.75" customHeight="1" s="154">
      <c r="A22" s="238">
        <f>IF(AND(D22="",C22=""),"",19)</f>
        <v/>
      </c>
      <c r="B22" s="199" t="n"/>
      <c r="C22" s="239" t="n"/>
      <c r="D22" s="240" t="n"/>
      <c r="E22" s="241" t="n"/>
      <c r="F22" s="242" t="n"/>
      <c r="G22" s="243" t="n"/>
      <c r="H22" s="244" t="n"/>
      <c r="I22" s="245" t="n"/>
      <c r="J22" s="246" t="n"/>
      <c r="K22" s="246" t="n"/>
      <c r="L22" s="246" t="n"/>
      <c r="M22" s="246" t="n"/>
      <c r="N22" s="246" t="n"/>
      <c r="O22" s="246" t="n"/>
      <c r="P22" s="246" t="n"/>
      <c r="Q22" s="246" t="n"/>
      <c r="R22" s="246" t="n"/>
      <c r="S22" s="246" t="n"/>
      <c r="T22" s="246" t="n"/>
      <c r="U22" s="246" t="n"/>
      <c r="V22" s="247">
        <f>IF(C22="Gutschrift","",IF(G22="","",IF(Besatzung!$B$11="","",IFERROR(IF(I22="Zeitanteilig",(Besatzung!$G$11*(G22-IFERROR(H22,0))+((Besatzung!$B$11&lt;&gt;"")*IF(B22="",1,(IF(Besatzung!$C$11="",Besatzung!$B$5,Besatzung!$C$11)&lt;=B22)*(IF(Besatzung!$D$11="",Besatzung!$B$6,Besatzung!$D$11)&gt;=B22)))*(Besatzung!$F$11="x")*IFERROR(H22,0)/IFERROR(SUMPRODUCT((Besatzung!$B$11:$B$22&lt;&gt;"")*(Besatzung!$F$11:$F$22="x")*(IF(Besatzung!$C$11:$C$22="",Besatzung!$B$5,Besatzung!$C$11:$C$22)&lt;=B22)*(IF(Besatzung!$D$11:$D$22="",Besatzung!$B$6,Besatzung!$D$11:$D$22)&gt;=B22)),1)),IF(I22="An Bord",(((Besatzung!$B$11&lt;&gt;"")*IF(B22="",1,(IF(Besatzung!$C$11="",Besatzung!$B$5,Besatzung!$C$11)&lt;=B22)*(IF(Besatzung!$D$11="",Besatzung!$B$6,Besatzung!$D$11)&gt;=B22)))*((G22-IFERROR(H22,0))/IFERROR(SUMPRODUCT((Besatzung!$B$11:$B$22&lt;&gt;"")*(IF(Besatzung!$C$11:$C$22="",Besatzung!$B$5,Besatzung!$C$11:$C$22)&lt;=B22)*(IF(Besatzung!$D$11:$D$22="",Besatzung!$B$6,Besatzung!$D$11:$D$22)&gt;=B22)),1)+(Besatzung!$F$11="x")*IFERROR(H22,0)/IFERROR(SUMPRODUCT((Besatzung!$B$11:$B$22&lt;&gt;"")*(Besatzung!$F$11:$F$22="x")*(IF(Besatzung!$C$11:$C$22="",Besatzung!$B$5,Besatzung!$C$11:$C$22)&lt;=B22)*(IF(Besatzung!$D$11:$D$22="",Besatzung!$B$6,Besatzung!$D$11:$D$22)&gt;=B22)),1))),IF(I22="Individuell",((J22="x")*((G22-IFERROR(H22,0))/IFERROR(COUNTIF(J22:U22,"x"),1)+(Besatzung!$F$11="x")*IFERROR(H22,0)/IFERROR(SUMPRODUCT((J22:U22="x")*(Besatzung!$F$11:$F$22="x")),1))),(IF(COUNTIF(J22:U22,"x")=0,IF(Besatzung!$B$11&lt;&gt;"",1,0),(J22="x"))*(G22-IFERROR(H22,0))/IFERROR(IF(COUNTIF(J22:U22,"x")=0,COUNTA(Besatzung!$B$11:$B$22),COUNTIF(J22:U22,"x")),1)+IF(COUNTIF(J22:U22,"x")=0,(Besatzung!$F$11="x"),(J22="x")*(Besatzung!$F$11="x"))*IFERROR(H22,0)/IFERROR(IF(COUNTIF(J22:U22,"x")=0,SUMPRODUCT((Besatzung!$B$11:$B$22&lt;&gt;"")*(Besatzung!$F$11:$F$22="x")),SUMPRODUCT((J22:U22="x")*(Besatzung!$F$11:$F$22="x"))),1))))),0))))</f>
        <v/>
      </c>
      <c r="W22" s="247">
        <f>IF(C22="Gutschrift","",IF(G22="","",IF(Besatzung!$B$12="","",IFERROR(IF(I22="Zeitanteilig",(Besatzung!$G$12*(G22-IFERROR(H22,0))+((Besatzung!$B$12&lt;&gt;"")*IF(B22="",1,(IF(Besatzung!$C$12="",Besatzung!$B$5,Besatzung!$C$12)&lt;=B22)*(IF(Besatzung!$D$12="",Besatzung!$B$6,Besatzung!$D$12)&gt;=B22)))*(Besatzung!$F$12="x")*IFERROR(H22,0)/IFERROR(SUMPRODUCT((Besatzung!$B$11:$B$22&lt;&gt;"")*(Besatzung!$F$11:$F$22="x")*(IF(Besatzung!$C$11:$C$22="",Besatzung!$B$5,Besatzung!$C$11:$C$22)&lt;=B22)*(IF(Besatzung!$D$11:$D$22="",Besatzung!$B$6,Besatzung!$D$11:$D$22)&gt;=B22)),1)),IF(I22="An Bord",(((Besatzung!$B$12&lt;&gt;"")*IF(B22="",1,(IF(Besatzung!$C$12="",Besatzung!$B$5,Besatzung!$C$12)&lt;=B22)*(IF(Besatzung!$D$12="",Besatzung!$B$6,Besatzung!$D$12)&gt;=B22)))*((G22-IFERROR(H22,0))/IFERROR(SUMPRODUCT((Besatzung!$B$11:$B$22&lt;&gt;"")*(IF(Besatzung!$C$11:$C$22="",Besatzung!$B$5,Besatzung!$C$11:$C$22)&lt;=B22)*(IF(Besatzung!$D$11:$D$22="",Besatzung!$B$6,Besatzung!$D$11:$D$22)&gt;=B22)),1)+(Besatzung!$F$12="x")*IFERROR(H22,0)/IFERROR(SUMPRODUCT((Besatzung!$B$11:$B$22&lt;&gt;"")*(Besatzung!$F$11:$F$22="x")*(IF(Besatzung!$C$11:$C$22="",Besatzung!$B$5,Besatzung!$C$11:$C$22)&lt;=B22)*(IF(Besatzung!$D$11:$D$22="",Besatzung!$B$6,Besatzung!$D$11:$D$22)&gt;=B22)),1))),IF(I22="Individuell",((K22="x")*((G22-IFERROR(H22,0))/IFERROR(COUNTIF(J22:U22,"x"),1)+(Besatzung!$F$12="x")*IFERROR(H22,0)/IFERROR(SUMPRODUCT((J22:U22="x")*(Besatzung!$F$11:$F$22="x")),1))),(IF(COUNTIF(J22:U22,"x")=0,IF(Besatzung!$B$12&lt;&gt;"",1,0),(K22="x"))*(G22-IFERROR(H22,0))/IFERROR(IF(COUNTIF(J22:U22,"x")=0,COUNTA(Besatzung!$B$11:$B$22),COUNTIF(J22:U22,"x")),1)+IF(COUNTIF(J22:U22,"x")=0,(Besatzung!$F$12="x"),(K22="x")*(Besatzung!$F$12="x"))*IFERROR(H22,0)/IFERROR(IF(COUNTIF(J22:U22,"x")=0,SUMPRODUCT((Besatzung!$B$11:$B$22&lt;&gt;"")*(Besatzung!$F$11:$F$22="x")),SUMPRODUCT((J22:U22="x")*(Besatzung!$F$11:$F$22="x"))),1))))),0))))</f>
        <v/>
      </c>
      <c r="X22" s="247">
        <f>IF(C22="Gutschrift","",IF(G22="","",IF(Besatzung!$B$13="","",IFERROR(IF(I22="Zeitanteilig",(Besatzung!$G$13*(G22-IFERROR(H22,0))+((Besatzung!$B$13&lt;&gt;"")*IF(B22="",1,(IF(Besatzung!$C$13="",Besatzung!$B$5,Besatzung!$C$13)&lt;=B22)*(IF(Besatzung!$D$13="",Besatzung!$B$6,Besatzung!$D$13)&gt;=B22)))*(Besatzung!$F$13="x")*IFERROR(H22,0)/IFERROR(SUMPRODUCT((Besatzung!$B$11:$B$22&lt;&gt;"")*(Besatzung!$F$11:$F$22="x")*(IF(Besatzung!$C$11:$C$22="",Besatzung!$B$5,Besatzung!$C$11:$C$22)&lt;=B22)*(IF(Besatzung!$D$11:$D$22="",Besatzung!$B$6,Besatzung!$D$11:$D$22)&gt;=B22)),1)),IF(I22="An Bord",(((Besatzung!$B$13&lt;&gt;"")*IF(B22="",1,(IF(Besatzung!$C$13="",Besatzung!$B$5,Besatzung!$C$13)&lt;=B22)*(IF(Besatzung!$D$13="",Besatzung!$B$6,Besatzung!$D$13)&gt;=B22)))*((G22-IFERROR(H22,0))/IFERROR(SUMPRODUCT((Besatzung!$B$11:$B$22&lt;&gt;"")*(IF(Besatzung!$C$11:$C$22="",Besatzung!$B$5,Besatzung!$C$11:$C$22)&lt;=B22)*(IF(Besatzung!$D$11:$D$22="",Besatzung!$B$6,Besatzung!$D$11:$D$22)&gt;=B22)),1)+(Besatzung!$F$13="x")*IFERROR(H22,0)/IFERROR(SUMPRODUCT((Besatzung!$B$11:$B$22&lt;&gt;"")*(Besatzung!$F$11:$F$22="x")*(IF(Besatzung!$C$11:$C$22="",Besatzung!$B$5,Besatzung!$C$11:$C$22)&lt;=B22)*(IF(Besatzung!$D$11:$D$22="",Besatzung!$B$6,Besatzung!$D$11:$D$22)&gt;=B22)),1))),IF(I22="Individuell",((K22="x")*((G22-IFERROR(H22,0))/IFERROR(COUNTIF(J22:U22,"x"),1)+(Besatzung!$F$13="x")*IFERROR(H22,0)/IFERROR(SUMPRODUCT((J22:U22="x")*(Besatzung!$F$11:$F$22="x")),1))),(IF(COUNTIF(J22:U22,"x")=0,IF(Besatzung!$B$13&lt;&gt;"",1,0),(K22="x"))*(G22-IFERROR(H22,0))/IFERROR(IF(COUNTIF(J22:U22,"x")=0,COUNTA(Besatzung!$B$11:$B$22),COUNTIF(J22:U22,"x")),1)+IF(COUNTIF(J22:U22,"x")=0,(Besatzung!$F$13="x"),(K22="x")*(Besatzung!$F$13="x"))*IFERROR(H22,0)/IFERROR(IF(COUNTIF(J22:U22,"x")=0,SUMPRODUCT((Besatzung!$B$11:$B$22&lt;&gt;"")*(Besatzung!$F$11:$F$22="x")),SUMPRODUCT((J22:U22="x")*(Besatzung!$F$11:$F$22="x"))),1))))),0))))</f>
        <v/>
      </c>
      <c r="Y22" s="247">
        <f>IF(C22="Gutschrift","",IF(G22="","",IF(Besatzung!$B$14="","",IFERROR(IF(I22="Zeitanteilig",(Besatzung!$G$14*(G22-IFERROR(H22,0))+((Besatzung!$B$14&lt;&gt;"")*IF(B22="",1,(IF(Besatzung!$C$14="",Besatzung!$B$5,Besatzung!$C$14)&lt;=B22)*(IF(Besatzung!$D$14="",Besatzung!$B$6,Besatzung!$D$14)&gt;=B22)))*(Besatzung!$F$14="x")*IFERROR(H22,0)/IFERROR(SUMPRODUCT((Besatzung!$B$11:$B$22&lt;&gt;"")*(Besatzung!$F$11:$F$22="x")*(IF(Besatzung!$C$11:$C$22="",Besatzung!$B$5,Besatzung!$C$11:$C$22)&lt;=B22)*(IF(Besatzung!$D$11:$D$22="",Besatzung!$B$6,Besatzung!$D$11:$D$22)&gt;=B22)),1)),IF(I22="An Bord",(((Besatzung!$B$14&lt;&gt;"")*IF(B22="",1,(IF(Besatzung!$C$14="",Besatzung!$B$5,Besatzung!$C$14)&lt;=B22)*(IF(Besatzung!$D$14="",Besatzung!$B$6,Besatzung!$D$14)&gt;=B22)))*((G22-IFERROR(H22,0))/IFERROR(SUMPRODUCT((Besatzung!$B$11:$B$22&lt;&gt;"")*(IF(Besatzung!$C$11:$C$22="",Besatzung!$B$5,Besatzung!$C$11:$C$22)&lt;=B22)*(IF(Besatzung!$D$11:$D$22="",Besatzung!$B$6,Besatzung!$D$11:$D$22)&gt;=B22)),1)+(Besatzung!$F$14="x")*IFERROR(H22,0)/IFERROR(SUMPRODUCT((Besatzung!$B$11:$B$22&lt;&gt;"")*(Besatzung!$F$11:$F$22="x")*(IF(Besatzung!$C$11:$C$22="",Besatzung!$B$5,Besatzung!$C$11:$C$22)&lt;=B22)*(IF(Besatzung!$D$11:$D$22="",Besatzung!$B$6,Besatzung!$D$11:$D$22)&gt;=B22)),1))),IF(I22="Individuell",((M22="x")*((G22-IFERROR(H22,0))/IFERROR(COUNTIF(J22:U22,"x"),1)+(Besatzung!$F$14="x")*IFERROR(H22,0)/IFERROR(SUMPRODUCT((J22:U22="x")*(Besatzung!$F$11:$F$22="x")),1))),(IF(COUNTIF(J22:U22,"x")=0,IF(Besatzung!$B$14&lt;&gt;"",1,0),(M22="x"))*(G22-IFERROR(H22,0))/IFERROR(IF(COUNTIF(J22:U22,"x")=0,COUNTA(Besatzung!$B$11:$B$22),COUNTIF(J22:U22,"x")),1)+IF(COUNTIF(J22:U22,"x")=0,(Besatzung!$F$14="x"),(M22="x")*(Besatzung!$F$14="x"))*IFERROR(H22,0)/IFERROR(IF(COUNTIF(J22:U22,"x")=0,SUMPRODUCT((Besatzung!$B$11:$B$22&lt;&gt;"")*(Besatzung!$F$11:$F$22="x")),SUMPRODUCT((J22:U22="x")*(Besatzung!$F$11:$F$22="x"))),1))))),0))))</f>
        <v/>
      </c>
      <c r="Z22" s="247">
        <f>IF(C22="Gutschrift","",IF(G22="","",IF(Besatzung!$B$13="","",IFERROR(IF(I22="Zeitanteilig",(Besatzung!$G$15*(G22-IFERROR(H22,0))+((Besatzung!$B$13&lt;&gt;"")*IF(B22="",1,(IF(Besatzung!$C$15="",Besatzung!$B$5,Besatzung!$C$15)&lt;=B22)*(IF(Besatzung!$D$15="",Besatzung!$B$6,Besatzung!$D$15)&gt;=B22)))*(Besatzung!$F$15="x")*IFERROR(H22,0)/IFERROR(SUMPRODUCT((Besatzung!$B$11:$B$22&lt;&gt;"")*(Besatzung!$F$11:$F$22="x")*(IF(Besatzung!$C$11:$C$22="",Besatzung!$B$5,Besatzung!$C$11:$C$22)&lt;=B22)*(IF(Besatzung!$D$11:$D$22="",Besatzung!$B$6,Besatzung!$D$11:$D$22)&gt;=B22)),1)),IF(I22="An Bord",(((Besatzung!$B$13&lt;&gt;"")*IF(B22="",1,(IF(Besatzung!$C$15="",Besatzung!$B$5,Besatzung!$C$15)&lt;=B22)*(IF(Besatzung!$D$15="",Besatzung!$B$6,Besatzung!$D$15)&gt;=B22)))*((G22-IFERROR(H22,0))/IFERROR(SUMPRODUCT((Besatzung!$B$11:$B$22&lt;&gt;"")*(IF(Besatzung!$C$11:$C$22="",Besatzung!$B$5,Besatzung!$C$11:$C$22)&lt;=B22)*(IF(Besatzung!$D$11:$D$22="",Besatzung!$B$6,Besatzung!$D$11:$D$22)&gt;=B22)),1)+(Besatzung!$F$15="x")*IFERROR(H22,0)/IFERROR(SUMPRODUCT((Besatzung!$B$11:$B$22&lt;&gt;"")*(Besatzung!$F$11:$F$22="x")*(IF(Besatzung!$C$11:$C$22="",Besatzung!$B$5,Besatzung!$C$11:$C$22)&lt;=B22)*(IF(Besatzung!$D$11:$D$22="",Besatzung!$B$6,Besatzung!$D$11:$D$22)&gt;=B22)),1))),IF(I22="Individuell",((N22="x")*((G22-IFERROR(H22,0))/IFERROR(COUNTIF(J22:U22,"x"),1)+(Besatzung!$F$15="x")*IFERROR(H22,0)/IFERROR(SUMPRODUCT((J22:U22="x")*(Besatzung!$F$11:$F$22="x")),1))),(IF(COUNTIF(J22:U22,"x")=0,IF(Besatzung!$B$13&lt;&gt;"",1,0),(N22="x"))*(G22-IFERROR(H22,0))/IFERROR(IF(COUNTIF(J22:U22,"x")=0,COUNTA(Besatzung!$B$11:$B$22),COUNTIF(J22:U22,"x")),1)+IF(COUNTIF(J22:U22,"x")=0,(Besatzung!$F$15="x"),(N22="x")*(Besatzung!$F$15="x"))*IFERROR(H22,0)/IFERROR(IF(COUNTIF(J22:U22,"x")=0,SUMPRODUCT((Besatzung!$B$11:$B$22&lt;&gt;"")*(Besatzung!$F$11:$F$22="x")),SUMPRODUCT((J22:U22="x")*(Besatzung!$F$11:$F$22="x"))),1))))),0))))</f>
        <v/>
      </c>
      <c r="AA22" s="247">
        <f>IF(C22="Gutschrift","",IF(G22="","",IF(Besatzung!$B$15="","",IFERROR(IF(I22="Zeitanteilig",(Besatzung!$G$16*(G22-IFERROR(H22,0))+((Besatzung!$B$15&lt;&gt;"")*IF(B22="",1,(IF(Besatzung!$C$16="",Besatzung!$B$5,Besatzung!$C$16)&lt;=B22)*(IF(Besatzung!$D$16="",Besatzung!$B$6,Besatzung!$D$16)&gt;=B22)))*(Besatzung!$F$16="x")*IFERROR(H22,0)/IFERROR(SUMPRODUCT((Besatzung!$B$11:$B$22&lt;&gt;"")*(Besatzung!$F$11:$F$22="x")*(IF(Besatzung!$C$11:$C$22="",Besatzung!$B$5,Besatzung!$C$11:$C$22)&lt;=B22)*(IF(Besatzung!$D$11:$D$22="",Besatzung!$B$6,Besatzung!$D$11:$D$22)&gt;=B22)),1)),IF(I22="An Bord",(((Besatzung!$B$15&lt;&gt;"")*IF(B22="",1,(IF(Besatzung!$C$16="",Besatzung!$B$5,Besatzung!$C$16)&lt;=B22)*(IF(Besatzung!$D$16="",Besatzung!$B$6,Besatzung!$D$16)&gt;=B22)))*((G22-IFERROR(H22,0))/IFERROR(SUMPRODUCT((Besatzung!$B$11:$B$22&lt;&gt;"")*(IF(Besatzung!$C$11:$C$22="",Besatzung!$B$5,Besatzung!$C$11:$C$22)&lt;=B22)*(IF(Besatzung!$D$11:$D$22="",Besatzung!$B$6,Besatzung!$D$11:$D$22)&gt;=B22)),1)+(Besatzung!$F$16="x")*IFERROR(H22,0)/IFERROR(SUMPRODUCT((Besatzung!$B$11:$B$22&lt;&gt;"")*(Besatzung!$F$11:$F$22="x")*(IF(Besatzung!$C$11:$C$22="",Besatzung!$B$5,Besatzung!$C$11:$C$22)&lt;=B22)*(IF(Besatzung!$D$11:$D$22="",Besatzung!$B$6,Besatzung!$D$11:$D$22)&gt;=B22)),1))),IF(I22="Individuell",((O22="x")*((G22-IFERROR(H22,0))/IFERROR(COUNTIF(J22:U22,"x"),1)+(Besatzung!$F$16="x")*IFERROR(H22,0)/IFERROR(SUMPRODUCT((J22:U22="x")*(Besatzung!$F$11:$F$22="x")),1))),(IF(COUNTIF(J22:U22,"x")=0,IF(Besatzung!$B$15&lt;&gt;"",1,0),(O22="x"))*(G22-IFERROR(H22,0))/IFERROR(IF(COUNTIF(J22:U22,"x")=0,COUNTA(Besatzung!$B$11:$B$22),COUNTIF(J22:U22,"x")),1)+IF(COUNTIF(J22:U22,"x")=0,(Besatzung!$F$16="x"),(O22="x")*(Besatzung!$F$16="x"))*IFERROR(H22,0)/IFERROR(IF(COUNTIF(J22:U22,"x")=0,SUMPRODUCT((Besatzung!$B$11:$B$22&lt;&gt;"")*(Besatzung!$F$11:$F$22="x")),SUMPRODUCT((J22:U22="x")*(Besatzung!$F$11:$F$22="x"))),1))))),0))))</f>
        <v/>
      </c>
      <c r="AB22" s="247">
        <f>IF(C22="Gutschrift","",IF(G22="","",IF(Besatzung!$B$17="","",IFERROR(IF(I22="Zeitanteilig",(Besatzung!$G$17*(G22-IFERROR(H22,0))+((Besatzung!$B$17&lt;&gt;"")*IF(B22="",1,(IF(Besatzung!$C$17="",Besatzung!$B$5,Besatzung!$C$17)&lt;=B22)*(IF(Besatzung!$D$17="",Besatzung!$B$6,Besatzung!$D$17)&gt;=B22)))*(Besatzung!$F$17="x")*IFERROR(H22,0)/IFERROR(SUMPRODUCT((Besatzung!$B$11:$B$22&lt;&gt;"")*(Besatzung!$F$11:$F$22="x")*(IF(Besatzung!$C$11:$C$22="",Besatzung!$B$5,Besatzung!$C$11:$C$22)&lt;=B22)*(IF(Besatzung!$D$11:$D$22="",Besatzung!$B$6,Besatzung!$D$11:$D$22)&gt;=B22)),1)),IF(I22="An Bord",(((Besatzung!$B$17&lt;&gt;"")*IF(B22="",1,(IF(Besatzung!$C$17="",Besatzung!$B$5,Besatzung!$C$17)&lt;=B22)*(IF(Besatzung!$D$17="",Besatzung!$B$6,Besatzung!$D$17)&gt;=B22)))*((G22-IFERROR(H22,0))/IFERROR(SUMPRODUCT((Besatzung!$B$11:$B$22&lt;&gt;"")*(IF(Besatzung!$C$11:$C$22="",Besatzung!$B$5,Besatzung!$C$11:$C$22)&lt;=B22)*(IF(Besatzung!$D$11:$D$22="",Besatzung!$B$6,Besatzung!$D$11:$D$22)&gt;=B22)),1)+(Besatzung!$F$17="x")*IFERROR(H22,0)/IFERROR(SUMPRODUCT((Besatzung!$B$11:$B$22&lt;&gt;"")*(Besatzung!$F$11:$F$22="x")*(IF(Besatzung!$C$11:$C$22="",Besatzung!$B$5,Besatzung!$C$11:$C$22)&lt;=B22)*(IF(Besatzung!$D$11:$D$22="",Besatzung!$B$6,Besatzung!$D$11:$D$22)&gt;=B22)),1))),IF(I22="Individuell",((P22="x")*((G22-IFERROR(H22,0))/IFERROR(COUNTIF(J22:U22,"x"),1)+(Besatzung!$F$17="x")*IFERROR(H22,0)/IFERROR(SUMPRODUCT((J22:U22="x")*(Besatzung!$F$11:$F$22="x")),1))),(IF(COUNTIF(J22:U22,"x")=0,IF(Besatzung!$B$17&lt;&gt;"",1,0),(P22="x"))*(G22-IFERROR(H22,0))/IFERROR(IF(COUNTIF(J22:U22,"x")=0,COUNTA(Besatzung!$B$11:$B$22),COUNTIF(J22:U22,"x")),1)+IF(COUNTIF(J22:U22,"x")=0,(Besatzung!$F$17="x"),(P22="x")*(Besatzung!$F$17="x"))*IFERROR(H22,0)/IFERROR(IF(COUNTIF(J22:U22,"x")=0,SUMPRODUCT((Besatzung!$B$11:$B$22&lt;&gt;"")*(Besatzung!$F$11:$F$22="x")),SUMPRODUCT((J22:U22="x")*(Besatzung!$F$11:$F$22="x"))),1))))),0))))</f>
        <v/>
      </c>
      <c r="AC22" s="247">
        <f>IF(C22="Gutschrift","",IF(G22="","",IF(Besatzung!$B$18="","",IFERROR(IF(I22="Zeitanteilig",(Besatzung!$G$18*(G22-IFERROR(H22,0))+((Besatzung!$B$18&lt;&gt;"")*IF(B22="",1,(IF(Besatzung!$C$18="",Besatzung!$B$5,Besatzung!$C$18)&lt;=B22)*(IF(Besatzung!$D$18="",Besatzung!$B$6,Besatzung!$D$18)&gt;=B22)))*(Besatzung!$F$18="x")*IFERROR(H22,0)/IFERROR(SUMPRODUCT((Besatzung!$B$11:$B$22&lt;&gt;"")*(Besatzung!$F$11:$F$22="x")*(IF(Besatzung!$C$11:$C$22="",Besatzung!$B$5,Besatzung!$C$11:$C$22)&lt;=B22)*(IF(Besatzung!$D$11:$D$22="",Besatzung!$B$6,Besatzung!$D$11:$D$22)&gt;=B22)),1)),IF(I22="An Bord",(((Besatzung!$B$18&lt;&gt;"")*IF(B22="",1,(IF(Besatzung!$C$18="",Besatzung!$B$5,Besatzung!$C$18)&lt;=B22)*(IF(Besatzung!$D$18="",Besatzung!$B$6,Besatzung!$D$18)&gt;=B22)))*((G22-IFERROR(H22,0))/IFERROR(SUMPRODUCT((Besatzung!$B$11:$B$22&lt;&gt;"")*(IF(Besatzung!$C$11:$C$22="",Besatzung!$B$5,Besatzung!$C$11:$C$22)&lt;=B22)*(IF(Besatzung!$D$11:$D$22="",Besatzung!$B$6,Besatzung!$D$11:$D$22)&gt;=B22)),1)+(Besatzung!$F$18="x")*IFERROR(H22,0)/IFERROR(SUMPRODUCT((Besatzung!$B$11:$B$22&lt;&gt;"")*(Besatzung!$F$11:$F$22="x")*(IF(Besatzung!$C$11:$C$22="",Besatzung!$B$5,Besatzung!$C$11:$C$22)&lt;=B22)*(IF(Besatzung!$D$11:$D$22="",Besatzung!$B$6,Besatzung!$D$11:$D$22)&gt;=B22)),1))),IF(I22="Individuell",((Q22="x")*((G22-IFERROR(H22,0))/IFERROR(COUNTIF(J22:U22,"x"),1)+(Besatzung!$F$18="x")*IFERROR(H22,0)/IFERROR(SUMPRODUCT((J22:U22="x")*(Besatzung!$F$11:$F$22="x")),1))),(IF(COUNTIF(J22:U22,"x")=0,IF(Besatzung!$B$18&lt;&gt;"",1,0),(Q22="x"))*(G22-IFERROR(H22,0))/IFERROR(IF(COUNTIF(J22:U22,"x")=0,COUNTA(Besatzung!$B$11:$B$22),COUNTIF(J22:U22,"x")),1)+IF(COUNTIF(J22:U22,"x")=0,(Besatzung!$F$18="x"),(Q22="x")*(Besatzung!$F$18="x"))*IFERROR(H22,0)/IFERROR(IF(COUNTIF(J22:U22,"x")=0,SUMPRODUCT((Besatzung!$B$11:$B$22&lt;&gt;"")*(Besatzung!$F$11:$F$22="x")),SUMPRODUCT((J22:U22="x")*(Besatzung!$F$11:$F$22="x"))),1))))),0))))</f>
        <v/>
      </c>
      <c r="AD22" s="247">
        <f>IF(C22="Gutschrift","",IF(G22="","",IF(Besatzung!$B$19="","",IFERROR(IF(I22="Zeitanteilig",(Besatzung!$G$19*(G22-IFERROR(H22,0))+((Besatzung!$B$19&lt;&gt;"")*IF(B22="",1,(IF(Besatzung!$C$19="",Besatzung!$B$5,Besatzung!$C$19)&lt;=B22)*(IF(Besatzung!$D$19="",Besatzung!$B$6,Besatzung!$D$19)&gt;=B22)))*(Besatzung!$F$19="x")*IFERROR(H22,0)/IFERROR(SUMPRODUCT((Besatzung!$B$11:$B$22&lt;&gt;"")*(Besatzung!$F$11:$F$22="x")*(IF(Besatzung!$C$11:$C$22="",Besatzung!$B$5,Besatzung!$C$11:$C$22)&lt;=B22)*(IF(Besatzung!$D$11:$D$22="",Besatzung!$B$6,Besatzung!$D$11:$D$22)&gt;=B22)),1)),IF(I22="An Bord",(((Besatzung!$B$19&lt;&gt;"")*IF(B22="",1,(IF(Besatzung!$C$19="",Besatzung!$B$5,Besatzung!$C$19)&lt;=B22)*(IF(Besatzung!$D$19="",Besatzung!$B$6,Besatzung!$D$19)&gt;=B22)))*((G22-IFERROR(H22,0))/IFERROR(SUMPRODUCT((Besatzung!$B$11:$B$22&lt;&gt;"")*(IF(Besatzung!$C$11:$C$22="",Besatzung!$B$5,Besatzung!$C$11:$C$22)&lt;=B22)*(IF(Besatzung!$D$11:$D$22="",Besatzung!$B$6,Besatzung!$D$11:$D$22)&gt;=B22)),1)+(Besatzung!$F$19="x")*IFERROR(H22,0)/IFERROR(SUMPRODUCT((Besatzung!$B$11:$B$22&lt;&gt;"")*(Besatzung!$F$11:$F$22="x")*(IF(Besatzung!$C$11:$C$22="",Besatzung!$B$5,Besatzung!$C$11:$C$22)&lt;=B22)*(IF(Besatzung!$D$11:$D$22="",Besatzung!$B$6,Besatzung!$D$11:$D$22)&gt;=B22)),1))),IF(I22="Individuell",((R22="x")*((G22-IFERROR(H22,0))/IFERROR(COUNTIF(J22:U22,"x"),1)+(Besatzung!$F$19="x")*IFERROR(H22,0)/IFERROR(SUMPRODUCT((J22:U22="x")*(Besatzung!$F$11:$F$22="x")),1))),(IF(COUNTIF(J22:U22,"x")=0,IF(Besatzung!$B$19&lt;&gt;"",1,0),(R22="x"))*(G22-IFERROR(H22,0))/IFERROR(IF(COUNTIF(J22:U22,"x")=0,COUNTA(Besatzung!$B$11:$B$22),COUNTIF(J22:U22,"x")),1)+IF(COUNTIF(J22:U22,"x")=0,(Besatzung!$F$19="x"),(R22="x")*(Besatzung!$F$19="x"))*IFERROR(H22,0)/IFERROR(IF(COUNTIF(J22:U22,"x")=0,SUMPRODUCT((Besatzung!$B$11:$B$22&lt;&gt;"")*(Besatzung!$F$11:$F$22="x")),SUMPRODUCT((J22:U22="x")*(Besatzung!$F$11:$F$22="x"))),1))))),0))))</f>
        <v/>
      </c>
      <c r="AE22" s="247">
        <f>IF(C22="Gutschrift","",IF(G22="","",IF(Besatzung!$B$20="","",IFERROR(IF(I22="Zeitanteilig",(Besatzung!$G$20*(G22-IFERROR(H22,0))+((Besatzung!$B$20&lt;&gt;"")*IF(B22="",1,(IF(Besatzung!$C$20="",Besatzung!$B$5,Besatzung!$C$20)&lt;=B22)*(IF(Besatzung!$D$20="",Besatzung!$B$6,Besatzung!$D$20)&gt;=B22)))*(Besatzung!$F$20="x")*IFERROR(H22,0)/IFERROR(SUMPRODUCT((Besatzung!$B$11:$B$22&lt;&gt;"")*(Besatzung!$F$11:$F$22="x")*(IF(Besatzung!$C$11:$C$22="",Besatzung!$B$5,Besatzung!$C$11:$C$22)&lt;=B22)*(IF(Besatzung!$D$11:$D$22="",Besatzung!$B$6,Besatzung!$D$11:$D$22)&gt;=B22)),1)),IF(I22="An Bord",(((Besatzung!$B$20&lt;&gt;"")*IF(B22="",1,(IF(Besatzung!$C$20="",Besatzung!$B$5,Besatzung!$C$20)&lt;=B22)*(IF(Besatzung!$D$20="",Besatzung!$B$6,Besatzung!$D$20)&gt;=B22)))*((G22-IFERROR(H22,0))/IFERROR(SUMPRODUCT((Besatzung!$B$11:$B$22&lt;&gt;"")*(IF(Besatzung!$C$11:$C$22="",Besatzung!$B$5,Besatzung!$C$11:$C$22)&lt;=B22)*(IF(Besatzung!$D$11:$D$22="",Besatzung!$B$6,Besatzung!$D$11:$D$22)&gt;=B22)),1)+(Besatzung!$F$20="x")*IFERROR(H22,0)/IFERROR(SUMPRODUCT((Besatzung!$B$11:$B$22&lt;&gt;"")*(Besatzung!$F$11:$F$22="x")*(IF(Besatzung!$C$11:$C$22="",Besatzung!$B$5,Besatzung!$C$11:$C$22)&lt;=B22)*(IF(Besatzung!$D$11:$D$22="",Besatzung!$B$6,Besatzung!$D$11:$D$22)&gt;=B22)),1))),IF(I22="Individuell",((S22="x")*((G22-IFERROR(H22,0))/IFERROR(COUNTIF(J22:U22,"x"),1)+(Besatzung!$F$20="x")*IFERROR(H22,0)/IFERROR(SUMPRODUCT((J22:U22="x")*(Besatzung!$F$11:$F$22="x")),1))),(IF(COUNTIF(J22:U22,"x")=0,IF(Besatzung!$B$20&lt;&gt;"",1,0),(S22="x"))*(G22-IFERROR(H22,0))/IFERROR(IF(COUNTIF(J22:U22,"x")=0,COUNTA(Besatzung!$B$11:$B$22),COUNTIF(J22:U22,"x")),1)+IF(COUNTIF(J22:U22,"x")=0,(Besatzung!$F$20="x"),(S22="x")*(Besatzung!$F$20="x"))*IFERROR(H22,0)/IFERROR(IF(COUNTIF(J22:U22,"x")=0,SUMPRODUCT((Besatzung!$B$11:$B$22&lt;&gt;"")*(Besatzung!$F$11:$F$22="x")),SUMPRODUCT((J22:U22="x")*(Besatzung!$F$11:$F$22="x"))),1))))),0))))</f>
        <v/>
      </c>
      <c r="AF22" s="247">
        <f>IF(C22="Gutschrift","",IF(G22="","",IF(Besatzung!$B$21="","",IFERROR(IF(I22="Zeitanteilig",(Besatzung!$G$21*(G22-IFERROR(H22,0))+((Besatzung!$B$21&lt;&gt;"")*IF(B22="",1,(IF(Besatzung!$C$21="",Besatzung!$B$5,Besatzung!$C$21)&lt;=B22)*(IF(Besatzung!$D$21="",Besatzung!$B$6,Besatzung!$D$21)&gt;=B22)))*(Besatzung!$F$21="x")*IFERROR(H22,0)/IFERROR(SUMPRODUCT((Besatzung!$B$11:$B$22&lt;&gt;"")*(Besatzung!$F$11:$F$22="x")*(IF(Besatzung!$C$11:$C$22="",Besatzung!$B$5,Besatzung!$C$11:$C$22)&lt;=B22)*(IF(Besatzung!$D$11:$D$22="",Besatzung!$B$6,Besatzung!$D$11:$D$22)&gt;=B22)),1)),IF(I22="An Bord",(((Besatzung!$B$21&lt;&gt;"")*IF(B22="",1,(IF(Besatzung!$C$21="",Besatzung!$B$5,Besatzung!$C$21)&lt;=B22)*(IF(Besatzung!$D$21="",Besatzung!$B$6,Besatzung!$D$21)&gt;=B22)))*((G22-IFERROR(H22,0))/IFERROR(SUMPRODUCT((Besatzung!$B$11:$B$22&lt;&gt;"")*(IF(Besatzung!$C$11:$C$22="",Besatzung!$B$5,Besatzung!$C$11:$C$22)&lt;=B22)*(IF(Besatzung!$D$11:$D$22="",Besatzung!$B$6,Besatzung!$D$11:$D$22)&gt;=B22)),1)+(Besatzung!$F$21="x")*IFERROR(H22,0)/IFERROR(SUMPRODUCT((Besatzung!$B$11:$B$22&lt;&gt;"")*(Besatzung!$F$11:$F$22="x")*(IF(Besatzung!$C$11:$C$22="",Besatzung!$B$5,Besatzung!$C$11:$C$22)&lt;=B22)*(IF(Besatzung!$D$11:$D$22="",Besatzung!$B$6,Besatzung!$D$11:$D$22)&gt;=B22)),1))),IF(I22="Individuell",((T22="x")*((G22-IFERROR(H22,0))/IFERROR(COUNTIF(J22:U22,"x"),1)+(Besatzung!$F$21="x")*IFERROR(H22,0)/IFERROR(SUMPRODUCT((J22:U22="x")*(Besatzung!$F$11:$F$22="x")),1))),(IF(COUNTIF(J22:U22,"x")=0,IF(Besatzung!$B$21&lt;&gt;"",1,0),(T22="x"))*(G22-IFERROR(H22,0))/IFERROR(IF(COUNTIF(J22:U22,"x")=0,COUNTA(Besatzung!$B$11:$B$22),COUNTIF(J22:U22,"x")),1)+IF(COUNTIF(J22:U22,"x")=0,(Besatzung!$F$21="x"),(T22="x")*(Besatzung!$F$21="x"))*IFERROR(H22,0)/IFERROR(IF(COUNTIF(J22:U22,"x")=0,SUMPRODUCT((Besatzung!$B$11:$B$22&lt;&gt;"")*(Besatzung!$F$11:$F$22="x")),SUMPRODUCT((J22:U22="x")*(Besatzung!$F$11:$F$22="x"))),1))))),0))))</f>
        <v/>
      </c>
      <c r="AG22" s="247">
        <f>IF(C22="Gutschrift","",IF(G22="","",IF(Besatzung!$B$22="","",IFERROR(IF(I22="Zeitanteilig",(Besatzung!$G$22*(G22-IFERROR(H22,0))+((Besatzung!$B$22&lt;&gt;"")*IF(B22="",1,(IF(Besatzung!$C$22="",Besatzung!$B$5,Besatzung!$C$22)&lt;=B22)*(IF(Besatzung!$D$22="",Besatzung!$B$6,Besatzung!$D$22)&gt;=B22)))*(Besatzung!$F$22="x")*IFERROR(H22,0)/IFERROR(SUMPRODUCT((Besatzung!$B$11:$B$22&lt;&gt;"")*(Besatzung!$F$11:$F$22="x")*(IF(Besatzung!$C$11:$C$22="",Besatzung!$B$5,Besatzung!$C$11:$C$22)&lt;=B22)*(IF(Besatzung!$D$11:$D$22="",Besatzung!$B$6,Besatzung!$D$11:$D$22)&gt;=B22)),1)),IF(I22="An Bord",(((Besatzung!$B$22&lt;&gt;"")*IF(B22="",1,(IF(Besatzung!$C$22="",Besatzung!$B$5,Besatzung!$C$22)&lt;=B22)*(IF(Besatzung!$D$22="",Besatzung!$B$6,Besatzung!$D$22)&gt;=B22)))*((G22-IFERROR(H22,0))/IFERROR(SUMPRODUCT((Besatzung!$B$11:$B$22&lt;&gt;"")*(IF(Besatzung!$C$11:$C$22="",Besatzung!$B$5,Besatzung!$C$11:$C$22)&lt;=B22)*(IF(Besatzung!$D$11:$D$22="",Besatzung!$B$6,Besatzung!$D$11:$D$22)&gt;=B22)),1)+(Besatzung!$F$22="x")*IFERROR(H22,0)/IFERROR(SUMPRODUCT((Besatzung!$B$11:$B$22&lt;&gt;"")*(Besatzung!$F$11:$F$22="x")*(IF(Besatzung!$C$11:$C$22="",Besatzung!$B$5,Besatzung!$C$11:$C$22)&lt;=B22)*(IF(Besatzung!$D$11:$D$22="",Besatzung!$B$6,Besatzung!$D$11:$D$22)&gt;=B22)),1))),IF(I22="Individuell",((U22="x")*((G22-IFERROR(H22,0))/IFERROR(COUNTIF(J22:U22,"x"),1)+(Besatzung!$F$22="x")*IFERROR(H22,0)/IFERROR(SUMPRODUCT((J22:U22="x")*(Besatzung!$F$11:$F$22="x")),1))),(IF(COUNTIF(J22:U22,"x")=0,IF(Besatzung!$B$22&lt;&gt;"",1,0),(U22="x"))*(G22-IFERROR(H22,0))/IFERROR(IF(COUNTIF(J22:U22,"x")=0,COUNTA(Besatzung!$B$11:$B$22),COUNTIF(J22:U22,"x")),1)+IF(COUNTIF(J22:U22,"x")=0,(Besatzung!$F$22="x"),(U22="x")*(Besatzung!$F$22="x"))*IFERROR(H22,0)/IFERROR(IF(COUNTIF(J22:U22,"x")=0,SUMPRODUCT((Besatzung!$B$11:$B$22&lt;&gt;"")*(Besatzung!$F$11:$F$22="x")),SUMPRODUCT((J22:U22="x")*(Besatzung!$F$11:$F$22="x"))),1))))),0))))</f>
        <v/>
      </c>
      <c r="AH22" s="248" t="n"/>
      <c r="AI22" s="248" t="n"/>
    </row>
    <row r="23" ht="21.75" customHeight="1" s="154">
      <c r="A23" s="238">
        <f>IF(AND(D23="",C23=""),"",20)</f>
        <v/>
      </c>
      <c r="B23" s="206" t="n"/>
      <c r="C23" s="249" t="n"/>
      <c r="D23" s="250" t="n"/>
      <c r="E23" s="251" t="n"/>
      <c r="F23" s="252" t="n"/>
      <c r="G23" s="253" t="n"/>
      <c r="H23" s="254" t="n"/>
      <c r="I23" s="255" t="n"/>
      <c r="J23" s="256" t="n"/>
      <c r="K23" s="256" t="n"/>
      <c r="L23" s="256" t="n"/>
      <c r="M23" s="256" t="n"/>
      <c r="N23" s="256" t="n"/>
      <c r="O23" s="256" t="n"/>
      <c r="P23" s="256" t="n"/>
      <c r="Q23" s="256" t="n"/>
      <c r="R23" s="256" t="n"/>
      <c r="S23" s="256" t="n"/>
      <c r="T23" s="256" t="n"/>
      <c r="U23" s="256" t="n"/>
      <c r="V23" s="247">
        <f>IF(C23="Gutschrift","",IF(G23="","",IF(Besatzung!$B$11="","",IFERROR(IF(I23="Zeitanteilig",(Besatzung!$G$11*(G23-IFERROR(H23,0))+((Besatzung!$B$11&lt;&gt;"")*IF(B23="",1,(IF(Besatzung!$C$11="",Besatzung!$B$5,Besatzung!$C$11)&lt;=B23)*(IF(Besatzung!$D$11="",Besatzung!$B$6,Besatzung!$D$11)&gt;=B23)))*(Besatzung!$F$11="x")*IFERROR(H23,0)/IFERROR(SUMPRODUCT((Besatzung!$B$11:$B$22&lt;&gt;"")*(Besatzung!$F$11:$F$22="x")*(IF(Besatzung!$C$11:$C$22="",Besatzung!$B$5,Besatzung!$C$11:$C$22)&lt;=B23)*(IF(Besatzung!$D$11:$D$22="",Besatzung!$B$6,Besatzung!$D$11:$D$22)&gt;=B23)),1)),IF(I23="An Bord",(((Besatzung!$B$11&lt;&gt;"")*IF(B23="",1,(IF(Besatzung!$C$11="",Besatzung!$B$5,Besatzung!$C$11)&lt;=B23)*(IF(Besatzung!$D$11="",Besatzung!$B$6,Besatzung!$D$11)&gt;=B23)))*((G23-IFERROR(H23,0))/IFERROR(SUMPRODUCT((Besatzung!$B$11:$B$22&lt;&gt;"")*(IF(Besatzung!$C$11:$C$22="",Besatzung!$B$5,Besatzung!$C$11:$C$22)&lt;=B23)*(IF(Besatzung!$D$11:$D$22="",Besatzung!$B$6,Besatzung!$D$11:$D$22)&gt;=B23)),1)+(Besatzung!$F$11="x")*IFERROR(H23,0)/IFERROR(SUMPRODUCT((Besatzung!$B$11:$B$22&lt;&gt;"")*(Besatzung!$F$11:$F$22="x")*(IF(Besatzung!$C$11:$C$22="",Besatzung!$B$5,Besatzung!$C$11:$C$22)&lt;=B23)*(IF(Besatzung!$D$11:$D$22="",Besatzung!$B$6,Besatzung!$D$11:$D$22)&gt;=B23)),1))),IF(I23="Individuell",((J23="x")*((G23-IFERROR(H23,0))/IFERROR(COUNTIF(J23:U23,"x"),1)+(Besatzung!$F$11="x")*IFERROR(H23,0)/IFERROR(SUMPRODUCT((J23:U23="x")*(Besatzung!$F$11:$F$22="x")),1))),(IF(COUNTIF(J23:U23,"x")=0,IF(Besatzung!$B$11&lt;&gt;"",1,0),(J23="x"))*(G23-IFERROR(H23,0))/IFERROR(IF(COUNTIF(J23:U23,"x")=0,COUNTA(Besatzung!$B$11:$B$22),COUNTIF(J23:U23,"x")),1)+IF(COUNTIF(J23:U23,"x")=0,(Besatzung!$F$11="x"),(J23="x")*(Besatzung!$F$11="x"))*IFERROR(H23,0)/IFERROR(IF(COUNTIF(J23:U23,"x")=0,SUMPRODUCT((Besatzung!$B$11:$B$22&lt;&gt;"")*(Besatzung!$F$11:$F$22="x")),SUMPRODUCT((J23:U23="x")*(Besatzung!$F$11:$F$22="x"))),1))))),0))))</f>
        <v/>
      </c>
      <c r="W23" s="247">
        <f>IF(C23="Gutschrift","",IF(G23="","",IF(Besatzung!$B$12="","",IFERROR(IF(I23="Zeitanteilig",(Besatzung!$G$12*(G23-IFERROR(H23,0))+((Besatzung!$B$12&lt;&gt;"")*IF(B23="",1,(IF(Besatzung!$C$12="",Besatzung!$B$5,Besatzung!$C$12)&lt;=B23)*(IF(Besatzung!$D$12="",Besatzung!$B$6,Besatzung!$D$12)&gt;=B23)))*(Besatzung!$F$12="x")*IFERROR(H23,0)/IFERROR(SUMPRODUCT((Besatzung!$B$11:$B$22&lt;&gt;"")*(Besatzung!$F$11:$F$22="x")*(IF(Besatzung!$C$11:$C$22="",Besatzung!$B$5,Besatzung!$C$11:$C$22)&lt;=B23)*(IF(Besatzung!$D$11:$D$22="",Besatzung!$B$6,Besatzung!$D$11:$D$22)&gt;=B23)),1)),IF(I23="An Bord",(((Besatzung!$B$12&lt;&gt;"")*IF(B23="",1,(IF(Besatzung!$C$12="",Besatzung!$B$5,Besatzung!$C$12)&lt;=B23)*(IF(Besatzung!$D$12="",Besatzung!$B$6,Besatzung!$D$12)&gt;=B23)))*((G23-IFERROR(H23,0))/IFERROR(SUMPRODUCT((Besatzung!$B$11:$B$22&lt;&gt;"")*(IF(Besatzung!$C$11:$C$22="",Besatzung!$B$5,Besatzung!$C$11:$C$22)&lt;=B23)*(IF(Besatzung!$D$11:$D$22="",Besatzung!$B$6,Besatzung!$D$11:$D$22)&gt;=B23)),1)+(Besatzung!$F$12="x")*IFERROR(H23,0)/IFERROR(SUMPRODUCT((Besatzung!$B$11:$B$22&lt;&gt;"")*(Besatzung!$F$11:$F$22="x")*(IF(Besatzung!$C$11:$C$22="",Besatzung!$B$5,Besatzung!$C$11:$C$22)&lt;=B23)*(IF(Besatzung!$D$11:$D$22="",Besatzung!$B$6,Besatzung!$D$11:$D$22)&gt;=B23)),1))),IF(I23="Individuell",((K23="x")*((G23-IFERROR(H23,0))/IFERROR(COUNTIF(J23:U23,"x"),1)+(Besatzung!$F$12="x")*IFERROR(H23,0)/IFERROR(SUMPRODUCT((J23:U23="x")*(Besatzung!$F$11:$F$22="x")),1))),(IF(COUNTIF(J23:U23,"x")=0,IF(Besatzung!$B$12&lt;&gt;"",1,0),(K23="x"))*(G23-IFERROR(H23,0))/IFERROR(IF(COUNTIF(J23:U23,"x")=0,COUNTA(Besatzung!$B$11:$B$22),COUNTIF(J23:U23,"x")),1)+IF(COUNTIF(J23:U23,"x")=0,(Besatzung!$F$12="x"),(K23="x")*(Besatzung!$F$12="x"))*IFERROR(H23,0)/IFERROR(IF(COUNTIF(J23:U23,"x")=0,SUMPRODUCT((Besatzung!$B$11:$B$22&lt;&gt;"")*(Besatzung!$F$11:$F$22="x")),SUMPRODUCT((J23:U23="x")*(Besatzung!$F$11:$F$22="x"))),1))))),0))))</f>
        <v/>
      </c>
      <c r="X23" s="247">
        <f>IF(C23="Gutschrift","",IF(G23="","",IF(Besatzung!$B$13="","",IFERROR(IF(I23="Zeitanteilig",(Besatzung!$G$13*(G23-IFERROR(H23,0))+((Besatzung!$B$13&lt;&gt;"")*IF(B23="",1,(IF(Besatzung!$C$13="",Besatzung!$B$5,Besatzung!$C$13)&lt;=B23)*(IF(Besatzung!$D$13="",Besatzung!$B$6,Besatzung!$D$13)&gt;=B23)))*(Besatzung!$F$13="x")*IFERROR(H23,0)/IFERROR(SUMPRODUCT((Besatzung!$B$11:$B$22&lt;&gt;"")*(Besatzung!$F$11:$F$22="x")*(IF(Besatzung!$C$11:$C$22="",Besatzung!$B$5,Besatzung!$C$11:$C$22)&lt;=B23)*(IF(Besatzung!$D$11:$D$22="",Besatzung!$B$6,Besatzung!$D$11:$D$22)&gt;=B23)),1)),IF(I23="An Bord",(((Besatzung!$B$13&lt;&gt;"")*IF(B23="",1,(IF(Besatzung!$C$13="",Besatzung!$B$5,Besatzung!$C$13)&lt;=B23)*(IF(Besatzung!$D$13="",Besatzung!$B$6,Besatzung!$D$13)&gt;=B23)))*((G23-IFERROR(H23,0))/IFERROR(SUMPRODUCT((Besatzung!$B$11:$B$22&lt;&gt;"")*(IF(Besatzung!$C$11:$C$22="",Besatzung!$B$5,Besatzung!$C$11:$C$22)&lt;=B23)*(IF(Besatzung!$D$11:$D$22="",Besatzung!$B$6,Besatzung!$D$11:$D$22)&gt;=B23)),1)+(Besatzung!$F$13="x")*IFERROR(H23,0)/IFERROR(SUMPRODUCT((Besatzung!$B$11:$B$22&lt;&gt;"")*(Besatzung!$F$11:$F$22="x")*(IF(Besatzung!$C$11:$C$22="",Besatzung!$B$5,Besatzung!$C$11:$C$22)&lt;=B23)*(IF(Besatzung!$D$11:$D$22="",Besatzung!$B$6,Besatzung!$D$11:$D$22)&gt;=B23)),1))),IF(I23="Individuell",((K23="x")*((G23-IFERROR(H23,0))/IFERROR(COUNTIF(J23:U23,"x"),1)+(Besatzung!$F$13="x")*IFERROR(H23,0)/IFERROR(SUMPRODUCT((J23:U23="x")*(Besatzung!$F$11:$F$22="x")),1))),(IF(COUNTIF(J23:U23,"x")=0,IF(Besatzung!$B$13&lt;&gt;"",1,0),(K23="x"))*(G23-IFERROR(H23,0))/IFERROR(IF(COUNTIF(J23:U23,"x")=0,COUNTA(Besatzung!$B$11:$B$22),COUNTIF(J23:U23,"x")),1)+IF(COUNTIF(J23:U23,"x")=0,(Besatzung!$F$13="x"),(K23="x")*(Besatzung!$F$13="x"))*IFERROR(H23,0)/IFERROR(IF(COUNTIF(J23:U23,"x")=0,SUMPRODUCT((Besatzung!$B$11:$B$22&lt;&gt;"")*(Besatzung!$F$11:$F$22="x")),SUMPRODUCT((J23:U23="x")*(Besatzung!$F$11:$F$22="x"))),1))))),0))))</f>
        <v/>
      </c>
      <c r="Y23" s="247">
        <f>IF(C23="Gutschrift","",IF(G23="","",IF(Besatzung!$B$14="","",IFERROR(IF(I23="Zeitanteilig",(Besatzung!$G$14*(G23-IFERROR(H23,0))+((Besatzung!$B$14&lt;&gt;"")*IF(B23="",1,(IF(Besatzung!$C$14="",Besatzung!$B$5,Besatzung!$C$14)&lt;=B23)*(IF(Besatzung!$D$14="",Besatzung!$B$6,Besatzung!$D$14)&gt;=B23)))*(Besatzung!$F$14="x")*IFERROR(H23,0)/IFERROR(SUMPRODUCT((Besatzung!$B$11:$B$22&lt;&gt;"")*(Besatzung!$F$11:$F$22="x")*(IF(Besatzung!$C$11:$C$22="",Besatzung!$B$5,Besatzung!$C$11:$C$22)&lt;=B23)*(IF(Besatzung!$D$11:$D$22="",Besatzung!$B$6,Besatzung!$D$11:$D$22)&gt;=B23)),1)),IF(I23="An Bord",(((Besatzung!$B$14&lt;&gt;"")*IF(B23="",1,(IF(Besatzung!$C$14="",Besatzung!$B$5,Besatzung!$C$14)&lt;=B23)*(IF(Besatzung!$D$14="",Besatzung!$B$6,Besatzung!$D$14)&gt;=B23)))*((G23-IFERROR(H23,0))/IFERROR(SUMPRODUCT((Besatzung!$B$11:$B$22&lt;&gt;"")*(IF(Besatzung!$C$11:$C$22="",Besatzung!$B$5,Besatzung!$C$11:$C$22)&lt;=B23)*(IF(Besatzung!$D$11:$D$22="",Besatzung!$B$6,Besatzung!$D$11:$D$22)&gt;=B23)),1)+(Besatzung!$F$14="x")*IFERROR(H23,0)/IFERROR(SUMPRODUCT((Besatzung!$B$11:$B$22&lt;&gt;"")*(Besatzung!$F$11:$F$22="x")*(IF(Besatzung!$C$11:$C$22="",Besatzung!$B$5,Besatzung!$C$11:$C$22)&lt;=B23)*(IF(Besatzung!$D$11:$D$22="",Besatzung!$B$6,Besatzung!$D$11:$D$22)&gt;=B23)),1))),IF(I23="Individuell",((M23="x")*((G23-IFERROR(H23,0))/IFERROR(COUNTIF(J23:U23,"x"),1)+(Besatzung!$F$14="x")*IFERROR(H23,0)/IFERROR(SUMPRODUCT((J23:U23="x")*(Besatzung!$F$11:$F$22="x")),1))),(IF(COUNTIF(J23:U23,"x")=0,IF(Besatzung!$B$14&lt;&gt;"",1,0),(M23="x"))*(G23-IFERROR(H23,0))/IFERROR(IF(COUNTIF(J23:U23,"x")=0,COUNTA(Besatzung!$B$11:$B$22),COUNTIF(J23:U23,"x")),1)+IF(COUNTIF(J23:U23,"x")=0,(Besatzung!$F$14="x"),(M23="x")*(Besatzung!$F$14="x"))*IFERROR(H23,0)/IFERROR(IF(COUNTIF(J23:U23,"x")=0,SUMPRODUCT((Besatzung!$B$11:$B$22&lt;&gt;"")*(Besatzung!$F$11:$F$22="x")),SUMPRODUCT((J23:U23="x")*(Besatzung!$F$11:$F$22="x"))),1))))),0))))</f>
        <v/>
      </c>
      <c r="Z23" s="247">
        <f>IF(C23="Gutschrift","",IF(G23="","",IF(Besatzung!$B$13="","",IFERROR(IF(I23="Zeitanteilig",(Besatzung!$G$15*(G23-IFERROR(H23,0))+((Besatzung!$B$13&lt;&gt;"")*IF(B23="",1,(IF(Besatzung!$C$15="",Besatzung!$B$5,Besatzung!$C$15)&lt;=B23)*(IF(Besatzung!$D$15="",Besatzung!$B$6,Besatzung!$D$15)&gt;=B23)))*(Besatzung!$F$15="x")*IFERROR(H23,0)/IFERROR(SUMPRODUCT((Besatzung!$B$11:$B$22&lt;&gt;"")*(Besatzung!$F$11:$F$22="x")*(IF(Besatzung!$C$11:$C$22="",Besatzung!$B$5,Besatzung!$C$11:$C$22)&lt;=B23)*(IF(Besatzung!$D$11:$D$22="",Besatzung!$B$6,Besatzung!$D$11:$D$22)&gt;=B23)),1)),IF(I23="An Bord",(((Besatzung!$B$13&lt;&gt;"")*IF(B23="",1,(IF(Besatzung!$C$15="",Besatzung!$B$5,Besatzung!$C$15)&lt;=B23)*(IF(Besatzung!$D$15="",Besatzung!$B$6,Besatzung!$D$15)&gt;=B23)))*((G23-IFERROR(H23,0))/IFERROR(SUMPRODUCT((Besatzung!$B$11:$B$22&lt;&gt;"")*(IF(Besatzung!$C$11:$C$22="",Besatzung!$B$5,Besatzung!$C$11:$C$22)&lt;=B23)*(IF(Besatzung!$D$11:$D$22="",Besatzung!$B$6,Besatzung!$D$11:$D$22)&gt;=B23)),1)+(Besatzung!$F$15="x")*IFERROR(H23,0)/IFERROR(SUMPRODUCT((Besatzung!$B$11:$B$22&lt;&gt;"")*(Besatzung!$F$11:$F$22="x")*(IF(Besatzung!$C$11:$C$22="",Besatzung!$B$5,Besatzung!$C$11:$C$22)&lt;=B23)*(IF(Besatzung!$D$11:$D$22="",Besatzung!$B$6,Besatzung!$D$11:$D$22)&gt;=B23)),1))),IF(I23="Individuell",((N23="x")*((G23-IFERROR(H23,0))/IFERROR(COUNTIF(J23:U23,"x"),1)+(Besatzung!$F$15="x")*IFERROR(H23,0)/IFERROR(SUMPRODUCT((J23:U23="x")*(Besatzung!$F$11:$F$22="x")),1))),(IF(COUNTIF(J23:U23,"x")=0,IF(Besatzung!$B$13&lt;&gt;"",1,0),(N23="x"))*(G23-IFERROR(H23,0))/IFERROR(IF(COUNTIF(J23:U23,"x")=0,COUNTA(Besatzung!$B$11:$B$22),COUNTIF(J23:U23,"x")),1)+IF(COUNTIF(J23:U23,"x")=0,(Besatzung!$F$15="x"),(N23="x")*(Besatzung!$F$15="x"))*IFERROR(H23,0)/IFERROR(IF(COUNTIF(J23:U23,"x")=0,SUMPRODUCT((Besatzung!$B$11:$B$22&lt;&gt;"")*(Besatzung!$F$11:$F$22="x")),SUMPRODUCT((J23:U23="x")*(Besatzung!$F$11:$F$22="x"))),1))))),0))))</f>
        <v/>
      </c>
      <c r="AA23" s="247">
        <f>IF(C23="Gutschrift","",IF(G23="","",IF(Besatzung!$B$15="","",IFERROR(IF(I23="Zeitanteilig",(Besatzung!$G$16*(G23-IFERROR(H23,0))+((Besatzung!$B$15&lt;&gt;"")*IF(B23="",1,(IF(Besatzung!$C$16="",Besatzung!$B$5,Besatzung!$C$16)&lt;=B23)*(IF(Besatzung!$D$16="",Besatzung!$B$6,Besatzung!$D$16)&gt;=B23)))*(Besatzung!$F$16="x")*IFERROR(H23,0)/IFERROR(SUMPRODUCT((Besatzung!$B$11:$B$22&lt;&gt;"")*(Besatzung!$F$11:$F$22="x")*(IF(Besatzung!$C$11:$C$22="",Besatzung!$B$5,Besatzung!$C$11:$C$22)&lt;=B23)*(IF(Besatzung!$D$11:$D$22="",Besatzung!$B$6,Besatzung!$D$11:$D$22)&gt;=B23)),1)),IF(I23="An Bord",(((Besatzung!$B$15&lt;&gt;"")*IF(B23="",1,(IF(Besatzung!$C$16="",Besatzung!$B$5,Besatzung!$C$16)&lt;=B23)*(IF(Besatzung!$D$16="",Besatzung!$B$6,Besatzung!$D$16)&gt;=B23)))*((G23-IFERROR(H23,0))/IFERROR(SUMPRODUCT((Besatzung!$B$11:$B$22&lt;&gt;"")*(IF(Besatzung!$C$11:$C$22="",Besatzung!$B$5,Besatzung!$C$11:$C$22)&lt;=B23)*(IF(Besatzung!$D$11:$D$22="",Besatzung!$B$6,Besatzung!$D$11:$D$22)&gt;=B23)),1)+(Besatzung!$F$16="x")*IFERROR(H23,0)/IFERROR(SUMPRODUCT((Besatzung!$B$11:$B$22&lt;&gt;"")*(Besatzung!$F$11:$F$22="x")*(IF(Besatzung!$C$11:$C$22="",Besatzung!$B$5,Besatzung!$C$11:$C$22)&lt;=B23)*(IF(Besatzung!$D$11:$D$22="",Besatzung!$B$6,Besatzung!$D$11:$D$22)&gt;=B23)),1))),IF(I23="Individuell",((O23="x")*((G23-IFERROR(H23,0))/IFERROR(COUNTIF(J23:U23,"x"),1)+(Besatzung!$F$16="x")*IFERROR(H23,0)/IFERROR(SUMPRODUCT((J23:U23="x")*(Besatzung!$F$11:$F$22="x")),1))),(IF(COUNTIF(J23:U23,"x")=0,IF(Besatzung!$B$15&lt;&gt;"",1,0),(O23="x"))*(G23-IFERROR(H23,0))/IFERROR(IF(COUNTIF(J23:U23,"x")=0,COUNTA(Besatzung!$B$11:$B$22),COUNTIF(J23:U23,"x")),1)+IF(COUNTIF(J23:U23,"x")=0,(Besatzung!$F$16="x"),(O23="x")*(Besatzung!$F$16="x"))*IFERROR(H23,0)/IFERROR(IF(COUNTIF(J23:U23,"x")=0,SUMPRODUCT((Besatzung!$B$11:$B$22&lt;&gt;"")*(Besatzung!$F$11:$F$22="x")),SUMPRODUCT((J23:U23="x")*(Besatzung!$F$11:$F$22="x"))),1))))),0))))</f>
        <v/>
      </c>
      <c r="AB23" s="247">
        <f>IF(C23="Gutschrift","",IF(G23="","",IF(Besatzung!$B$17="","",IFERROR(IF(I23="Zeitanteilig",(Besatzung!$G$17*(G23-IFERROR(H23,0))+((Besatzung!$B$17&lt;&gt;"")*IF(B23="",1,(IF(Besatzung!$C$17="",Besatzung!$B$5,Besatzung!$C$17)&lt;=B23)*(IF(Besatzung!$D$17="",Besatzung!$B$6,Besatzung!$D$17)&gt;=B23)))*(Besatzung!$F$17="x")*IFERROR(H23,0)/IFERROR(SUMPRODUCT((Besatzung!$B$11:$B$22&lt;&gt;"")*(Besatzung!$F$11:$F$22="x")*(IF(Besatzung!$C$11:$C$22="",Besatzung!$B$5,Besatzung!$C$11:$C$22)&lt;=B23)*(IF(Besatzung!$D$11:$D$22="",Besatzung!$B$6,Besatzung!$D$11:$D$22)&gt;=B23)),1)),IF(I23="An Bord",(((Besatzung!$B$17&lt;&gt;"")*IF(B23="",1,(IF(Besatzung!$C$17="",Besatzung!$B$5,Besatzung!$C$17)&lt;=B23)*(IF(Besatzung!$D$17="",Besatzung!$B$6,Besatzung!$D$17)&gt;=B23)))*((G23-IFERROR(H23,0))/IFERROR(SUMPRODUCT((Besatzung!$B$11:$B$22&lt;&gt;"")*(IF(Besatzung!$C$11:$C$22="",Besatzung!$B$5,Besatzung!$C$11:$C$22)&lt;=B23)*(IF(Besatzung!$D$11:$D$22="",Besatzung!$B$6,Besatzung!$D$11:$D$22)&gt;=B23)),1)+(Besatzung!$F$17="x")*IFERROR(H23,0)/IFERROR(SUMPRODUCT((Besatzung!$B$11:$B$22&lt;&gt;"")*(Besatzung!$F$11:$F$22="x")*(IF(Besatzung!$C$11:$C$22="",Besatzung!$B$5,Besatzung!$C$11:$C$22)&lt;=B23)*(IF(Besatzung!$D$11:$D$22="",Besatzung!$B$6,Besatzung!$D$11:$D$22)&gt;=B23)),1))),IF(I23="Individuell",((P23="x")*((G23-IFERROR(H23,0))/IFERROR(COUNTIF(J23:U23,"x"),1)+(Besatzung!$F$17="x")*IFERROR(H23,0)/IFERROR(SUMPRODUCT((J23:U23="x")*(Besatzung!$F$11:$F$22="x")),1))),(IF(COUNTIF(J23:U23,"x")=0,IF(Besatzung!$B$17&lt;&gt;"",1,0),(P23="x"))*(G23-IFERROR(H23,0))/IFERROR(IF(COUNTIF(J23:U23,"x")=0,COUNTA(Besatzung!$B$11:$B$22),COUNTIF(J23:U23,"x")),1)+IF(COUNTIF(J23:U23,"x")=0,(Besatzung!$F$17="x"),(P23="x")*(Besatzung!$F$17="x"))*IFERROR(H23,0)/IFERROR(IF(COUNTIF(J23:U23,"x")=0,SUMPRODUCT((Besatzung!$B$11:$B$22&lt;&gt;"")*(Besatzung!$F$11:$F$22="x")),SUMPRODUCT((J23:U23="x")*(Besatzung!$F$11:$F$22="x"))),1))))),0))))</f>
        <v/>
      </c>
      <c r="AC23" s="247">
        <f>IF(C23="Gutschrift","",IF(G23="","",IF(Besatzung!$B$18="","",IFERROR(IF(I23="Zeitanteilig",(Besatzung!$G$18*(G23-IFERROR(H23,0))+((Besatzung!$B$18&lt;&gt;"")*IF(B23="",1,(IF(Besatzung!$C$18="",Besatzung!$B$5,Besatzung!$C$18)&lt;=B23)*(IF(Besatzung!$D$18="",Besatzung!$B$6,Besatzung!$D$18)&gt;=B23)))*(Besatzung!$F$18="x")*IFERROR(H23,0)/IFERROR(SUMPRODUCT((Besatzung!$B$11:$B$22&lt;&gt;"")*(Besatzung!$F$11:$F$22="x")*(IF(Besatzung!$C$11:$C$22="",Besatzung!$B$5,Besatzung!$C$11:$C$22)&lt;=B23)*(IF(Besatzung!$D$11:$D$22="",Besatzung!$B$6,Besatzung!$D$11:$D$22)&gt;=B23)),1)),IF(I23="An Bord",(((Besatzung!$B$18&lt;&gt;"")*IF(B23="",1,(IF(Besatzung!$C$18="",Besatzung!$B$5,Besatzung!$C$18)&lt;=B23)*(IF(Besatzung!$D$18="",Besatzung!$B$6,Besatzung!$D$18)&gt;=B23)))*((G23-IFERROR(H23,0))/IFERROR(SUMPRODUCT((Besatzung!$B$11:$B$22&lt;&gt;"")*(IF(Besatzung!$C$11:$C$22="",Besatzung!$B$5,Besatzung!$C$11:$C$22)&lt;=B23)*(IF(Besatzung!$D$11:$D$22="",Besatzung!$B$6,Besatzung!$D$11:$D$22)&gt;=B23)),1)+(Besatzung!$F$18="x")*IFERROR(H23,0)/IFERROR(SUMPRODUCT((Besatzung!$B$11:$B$22&lt;&gt;"")*(Besatzung!$F$11:$F$22="x")*(IF(Besatzung!$C$11:$C$22="",Besatzung!$B$5,Besatzung!$C$11:$C$22)&lt;=B23)*(IF(Besatzung!$D$11:$D$22="",Besatzung!$B$6,Besatzung!$D$11:$D$22)&gt;=B23)),1))),IF(I23="Individuell",((Q23="x")*((G23-IFERROR(H23,0))/IFERROR(COUNTIF(J23:U23,"x"),1)+(Besatzung!$F$18="x")*IFERROR(H23,0)/IFERROR(SUMPRODUCT((J23:U23="x")*(Besatzung!$F$11:$F$22="x")),1))),(IF(COUNTIF(J23:U23,"x")=0,IF(Besatzung!$B$18&lt;&gt;"",1,0),(Q23="x"))*(G23-IFERROR(H23,0))/IFERROR(IF(COUNTIF(J23:U23,"x")=0,COUNTA(Besatzung!$B$11:$B$22),COUNTIF(J23:U23,"x")),1)+IF(COUNTIF(J23:U23,"x")=0,(Besatzung!$F$18="x"),(Q23="x")*(Besatzung!$F$18="x"))*IFERROR(H23,0)/IFERROR(IF(COUNTIF(J23:U23,"x")=0,SUMPRODUCT((Besatzung!$B$11:$B$22&lt;&gt;"")*(Besatzung!$F$11:$F$22="x")),SUMPRODUCT((J23:U23="x")*(Besatzung!$F$11:$F$22="x"))),1))))),0))))</f>
        <v/>
      </c>
      <c r="AD23" s="247">
        <f>IF(C23="Gutschrift","",IF(G23="","",IF(Besatzung!$B$19="","",IFERROR(IF(I23="Zeitanteilig",(Besatzung!$G$19*(G23-IFERROR(H23,0))+((Besatzung!$B$19&lt;&gt;"")*IF(B23="",1,(IF(Besatzung!$C$19="",Besatzung!$B$5,Besatzung!$C$19)&lt;=B23)*(IF(Besatzung!$D$19="",Besatzung!$B$6,Besatzung!$D$19)&gt;=B23)))*(Besatzung!$F$19="x")*IFERROR(H23,0)/IFERROR(SUMPRODUCT((Besatzung!$B$11:$B$22&lt;&gt;"")*(Besatzung!$F$11:$F$22="x")*(IF(Besatzung!$C$11:$C$22="",Besatzung!$B$5,Besatzung!$C$11:$C$22)&lt;=B23)*(IF(Besatzung!$D$11:$D$22="",Besatzung!$B$6,Besatzung!$D$11:$D$22)&gt;=B23)),1)),IF(I23="An Bord",(((Besatzung!$B$19&lt;&gt;"")*IF(B23="",1,(IF(Besatzung!$C$19="",Besatzung!$B$5,Besatzung!$C$19)&lt;=B23)*(IF(Besatzung!$D$19="",Besatzung!$B$6,Besatzung!$D$19)&gt;=B23)))*((G23-IFERROR(H23,0))/IFERROR(SUMPRODUCT((Besatzung!$B$11:$B$22&lt;&gt;"")*(IF(Besatzung!$C$11:$C$22="",Besatzung!$B$5,Besatzung!$C$11:$C$22)&lt;=B23)*(IF(Besatzung!$D$11:$D$22="",Besatzung!$B$6,Besatzung!$D$11:$D$22)&gt;=B23)),1)+(Besatzung!$F$19="x")*IFERROR(H23,0)/IFERROR(SUMPRODUCT((Besatzung!$B$11:$B$22&lt;&gt;"")*(Besatzung!$F$11:$F$22="x")*(IF(Besatzung!$C$11:$C$22="",Besatzung!$B$5,Besatzung!$C$11:$C$22)&lt;=B23)*(IF(Besatzung!$D$11:$D$22="",Besatzung!$B$6,Besatzung!$D$11:$D$22)&gt;=B23)),1))),IF(I23="Individuell",((R23="x")*((G23-IFERROR(H23,0))/IFERROR(COUNTIF(J23:U23,"x"),1)+(Besatzung!$F$19="x")*IFERROR(H23,0)/IFERROR(SUMPRODUCT((J23:U23="x")*(Besatzung!$F$11:$F$22="x")),1))),(IF(COUNTIF(J23:U23,"x")=0,IF(Besatzung!$B$19&lt;&gt;"",1,0),(R23="x"))*(G23-IFERROR(H23,0))/IFERROR(IF(COUNTIF(J23:U23,"x")=0,COUNTA(Besatzung!$B$11:$B$22),COUNTIF(J23:U23,"x")),1)+IF(COUNTIF(J23:U23,"x")=0,(Besatzung!$F$19="x"),(R23="x")*(Besatzung!$F$19="x"))*IFERROR(H23,0)/IFERROR(IF(COUNTIF(J23:U23,"x")=0,SUMPRODUCT((Besatzung!$B$11:$B$22&lt;&gt;"")*(Besatzung!$F$11:$F$22="x")),SUMPRODUCT((J23:U23="x")*(Besatzung!$F$11:$F$22="x"))),1))))),0))))</f>
        <v/>
      </c>
      <c r="AE23" s="247">
        <f>IF(C23="Gutschrift","",IF(G23="","",IF(Besatzung!$B$20="","",IFERROR(IF(I23="Zeitanteilig",(Besatzung!$G$20*(G23-IFERROR(H23,0))+((Besatzung!$B$20&lt;&gt;"")*IF(B23="",1,(IF(Besatzung!$C$20="",Besatzung!$B$5,Besatzung!$C$20)&lt;=B23)*(IF(Besatzung!$D$20="",Besatzung!$B$6,Besatzung!$D$20)&gt;=B23)))*(Besatzung!$F$20="x")*IFERROR(H23,0)/IFERROR(SUMPRODUCT((Besatzung!$B$11:$B$22&lt;&gt;"")*(Besatzung!$F$11:$F$22="x")*(IF(Besatzung!$C$11:$C$22="",Besatzung!$B$5,Besatzung!$C$11:$C$22)&lt;=B23)*(IF(Besatzung!$D$11:$D$22="",Besatzung!$B$6,Besatzung!$D$11:$D$22)&gt;=B23)),1)),IF(I23="An Bord",(((Besatzung!$B$20&lt;&gt;"")*IF(B23="",1,(IF(Besatzung!$C$20="",Besatzung!$B$5,Besatzung!$C$20)&lt;=B23)*(IF(Besatzung!$D$20="",Besatzung!$B$6,Besatzung!$D$20)&gt;=B23)))*((G23-IFERROR(H23,0))/IFERROR(SUMPRODUCT((Besatzung!$B$11:$B$22&lt;&gt;"")*(IF(Besatzung!$C$11:$C$22="",Besatzung!$B$5,Besatzung!$C$11:$C$22)&lt;=B23)*(IF(Besatzung!$D$11:$D$22="",Besatzung!$B$6,Besatzung!$D$11:$D$22)&gt;=B23)),1)+(Besatzung!$F$20="x")*IFERROR(H23,0)/IFERROR(SUMPRODUCT((Besatzung!$B$11:$B$22&lt;&gt;"")*(Besatzung!$F$11:$F$22="x")*(IF(Besatzung!$C$11:$C$22="",Besatzung!$B$5,Besatzung!$C$11:$C$22)&lt;=B23)*(IF(Besatzung!$D$11:$D$22="",Besatzung!$B$6,Besatzung!$D$11:$D$22)&gt;=B23)),1))),IF(I23="Individuell",((S23="x")*((G23-IFERROR(H23,0))/IFERROR(COUNTIF(J23:U23,"x"),1)+(Besatzung!$F$20="x")*IFERROR(H23,0)/IFERROR(SUMPRODUCT((J23:U23="x")*(Besatzung!$F$11:$F$22="x")),1))),(IF(COUNTIF(J23:U23,"x")=0,IF(Besatzung!$B$20&lt;&gt;"",1,0),(S23="x"))*(G23-IFERROR(H23,0))/IFERROR(IF(COUNTIF(J23:U23,"x")=0,COUNTA(Besatzung!$B$11:$B$22),COUNTIF(J23:U23,"x")),1)+IF(COUNTIF(J23:U23,"x")=0,(Besatzung!$F$20="x"),(S23="x")*(Besatzung!$F$20="x"))*IFERROR(H23,0)/IFERROR(IF(COUNTIF(J23:U23,"x")=0,SUMPRODUCT((Besatzung!$B$11:$B$22&lt;&gt;"")*(Besatzung!$F$11:$F$22="x")),SUMPRODUCT((J23:U23="x")*(Besatzung!$F$11:$F$22="x"))),1))))),0))))</f>
        <v/>
      </c>
      <c r="AF23" s="247">
        <f>IF(C23="Gutschrift","",IF(G23="","",IF(Besatzung!$B$21="","",IFERROR(IF(I23="Zeitanteilig",(Besatzung!$G$21*(G23-IFERROR(H23,0))+((Besatzung!$B$21&lt;&gt;"")*IF(B23="",1,(IF(Besatzung!$C$21="",Besatzung!$B$5,Besatzung!$C$21)&lt;=B23)*(IF(Besatzung!$D$21="",Besatzung!$B$6,Besatzung!$D$21)&gt;=B23)))*(Besatzung!$F$21="x")*IFERROR(H23,0)/IFERROR(SUMPRODUCT((Besatzung!$B$11:$B$22&lt;&gt;"")*(Besatzung!$F$11:$F$22="x")*(IF(Besatzung!$C$11:$C$22="",Besatzung!$B$5,Besatzung!$C$11:$C$22)&lt;=B23)*(IF(Besatzung!$D$11:$D$22="",Besatzung!$B$6,Besatzung!$D$11:$D$22)&gt;=B23)),1)),IF(I23="An Bord",(((Besatzung!$B$21&lt;&gt;"")*IF(B23="",1,(IF(Besatzung!$C$21="",Besatzung!$B$5,Besatzung!$C$21)&lt;=B23)*(IF(Besatzung!$D$21="",Besatzung!$B$6,Besatzung!$D$21)&gt;=B23)))*((G23-IFERROR(H23,0))/IFERROR(SUMPRODUCT((Besatzung!$B$11:$B$22&lt;&gt;"")*(IF(Besatzung!$C$11:$C$22="",Besatzung!$B$5,Besatzung!$C$11:$C$22)&lt;=B23)*(IF(Besatzung!$D$11:$D$22="",Besatzung!$B$6,Besatzung!$D$11:$D$22)&gt;=B23)),1)+(Besatzung!$F$21="x")*IFERROR(H23,0)/IFERROR(SUMPRODUCT((Besatzung!$B$11:$B$22&lt;&gt;"")*(Besatzung!$F$11:$F$22="x")*(IF(Besatzung!$C$11:$C$22="",Besatzung!$B$5,Besatzung!$C$11:$C$22)&lt;=B23)*(IF(Besatzung!$D$11:$D$22="",Besatzung!$B$6,Besatzung!$D$11:$D$22)&gt;=B23)),1))),IF(I23="Individuell",((T23="x")*((G23-IFERROR(H23,0))/IFERROR(COUNTIF(J23:U23,"x"),1)+(Besatzung!$F$21="x")*IFERROR(H23,0)/IFERROR(SUMPRODUCT((J23:U23="x")*(Besatzung!$F$11:$F$22="x")),1))),(IF(COUNTIF(J23:U23,"x")=0,IF(Besatzung!$B$21&lt;&gt;"",1,0),(T23="x"))*(G23-IFERROR(H23,0))/IFERROR(IF(COUNTIF(J23:U23,"x")=0,COUNTA(Besatzung!$B$11:$B$22),COUNTIF(J23:U23,"x")),1)+IF(COUNTIF(J23:U23,"x")=0,(Besatzung!$F$21="x"),(T23="x")*(Besatzung!$F$21="x"))*IFERROR(H23,0)/IFERROR(IF(COUNTIF(J23:U23,"x")=0,SUMPRODUCT((Besatzung!$B$11:$B$22&lt;&gt;"")*(Besatzung!$F$11:$F$22="x")),SUMPRODUCT((J23:U23="x")*(Besatzung!$F$11:$F$22="x"))),1))))),0))))</f>
        <v/>
      </c>
      <c r="AG23" s="247">
        <f>IF(C23="Gutschrift","",IF(G23="","",IF(Besatzung!$B$22="","",IFERROR(IF(I23="Zeitanteilig",(Besatzung!$G$22*(G23-IFERROR(H23,0))+((Besatzung!$B$22&lt;&gt;"")*IF(B23="",1,(IF(Besatzung!$C$22="",Besatzung!$B$5,Besatzung!$C$22)&lt;=B23)*(IF(Besatzung!$D$22="",Besatzung!$B$6,Besatzung!$D$22)&gt;=B23)))*(Besatzung!$F$22="x")*IFERROR(H23,0)/IFERROR(SUMPRODUCT((Besatzung!$B$11:$B$22&lt;&gt;"")*(Besatzung!$F$11:$F$22="x")*(IF(Besatzung!$C$11:$C$22="",Besatzung!$B$5,Besatzung!$C$11:$C$22)&lt;=B23)*(IF(Besatzung!$D$11:$D$22="",Besatzung!$B$6,Besatzung!$D$11:$D$22)&gt;=B23)),1)),IF(I23="An Bord",(((Besatzung!$B$22&lt;&gt;"")*IF(B23="",1,(IF(Besatzung!$C$22="",Besatzung!$B$5,Besatzung!$C$22)&lt;=B23)*(IF(Besatzung!$D$22="",Besatzung!$B$6,Besatzung!$D$22)&gt;=B23)))*((G23-IFERROR(H23,0))/IFERROR(SUMPRODUCT((Besatzung!$B$11:$B$22&lt;&gt;"")*(IF(Besatzung!$C$11:$C$22="",Besatzung!$B$5,Besatzung!$C$11:$C$22)&lt;=B23)*(IF(Besatzung!$D$11:$D$22="",Besatzung!$B$6,Besatzung!$D$11:$D$22)&gt;=B23)),1)+(Besatzung!$F$22="x")*IFERROR(H23,0)/IFERROR(SUMPRODUCT((Besatzung!$B$11:$B$22&lt;&gt;"")*(Besatzung!$F$11:$F$22="x")*(IF(Besatzung!$C$11:$C$22="",Besatzung!$B$5,Besatzung!$C$11:$C$22)&lt;=B23)*(IF(Besatzung!$D$11:$D$22="",Besatzung!$B$6,Besatzung!$D$11:$D$22)&gt;=B23)),1))),IF(I23="Individuell",((U23="x")*((G23-IFERROR(H23,0))/IFERROR(COUNTIF(J23:U23,"x"),1)+(Besatzung!$F$22="x")*IFERROR(H23,0)/IFERROR(SUMPRODUCT((J23:U23="x")*(Besatzung!$F$11:$F$22="x")),1))),(IF(COUNTIF(J23:U23,"x")=0,IF(Besatzung!$B$22&lt;&gt;"",1,0),(U23="x"))*(G23-IFERROR(H23,0))/IFERROR(IF(COUNTIF(J23:U23,"x")=0,COUNTA(Besatzung!$B$11:$B$22),COUNTIF(J23:U23,"x")),1)+IF(COUNTIF(J23:U23,"x")=0,(Besatzung!$F$22="x"),(U23="x")*(Besatzung!$F$22="x"))*IFERROR(H23,0)/IFERROR(IF(COUNTIF(J23:U23,"x")=0,SUMPRODUCT((Besatzung!$B$11:$B$22&lt;&gt;"")*(Besatzung!$F$11:$F$22="x")),SUMPRODUCT((J23:U23="x")*(Besatzung!$F$11:$F$22="x"))),1))))),0))))</f>
        <v/>
      </c>
      <c r="AH23" s="248" t="n"/>
      <c r="AI23" s="248" t="n"/>
    </row>
    <row r="24" ht="21.75" customHeight="1" s="154">
      <c r="A24" s="238">
        <f>IF(AND(D24="",C24=""),"",21)</f>
        <v/>
      </c>
      <c r="B24" s="199" t="n"/>
      <c r="C24" s="239" t="n"/>
      <c r="D24" s="240" t="n"/>
      <c r="E24" s="241" t="n"/>
      <c r="F24" s="242" t="n"/>
      <c r="G24" s="243" t="n"/>
      <c r="H24" s="244" t="n"/>
      <c r="I24" s="245" t="n"/>
      <c r="J24" s="246" t="n"/>
      <c r="K24" s="246" t="n"/>
      <c r="L24" s="246" t="n"/>
      <c r="M24" s="246" t="n"/>
      <c r="N24" s="246" t="n"/>
      <c r="O24" s="246" t="n"/>
      <c r="P24" s="246" t="n"/>
      <c r="Q24" s="246" t="n"/>
      <c r="R24" s="246" t="n"/>
      <c r="S24" s="246" t="n"/>
      <c r="T24" s="246" t="n"/>
      <c r="U24" s="246" t="n"/>
      <c r="V24" s="247">
        <f>IF(C24="Gutschrift","",IF(G24="","",IF(Besatzung!$B$11="","",IFERROR(IF(I24="Zeitanteilig",(Besatzung!$G$11*(G24-IFERROR(H24,0))+((Besatzung!$B$11&lt;&gt;"")*IF(B24="",1,(IF(Besatzung!$C$11="",Besatzung!$B$5,Besatzung!$C$11)&lt;=B24)*(IF(Besatzung!$D$11="",Besatzung!$B$6,Besatzung!$D$11)&gt;=B24)))*(Besatzung!$F$11="x")*IFERROR(H24,0)/IFERROR(SUMPRODUCT((Besatzung!$B$11:$B$22&lt;&gt;"")*(Besatzung!$F$11:$F$22="x")*(IF(Besatzung!$C$11:$C$22="",Besatzung!$B$5,Besatzung!$C$11:$C$22)&lt;=B24)*(IF(Besatzung!$D$11:$D$22="",Besatzung!$B$6,Besatzung!$D$11:$D$22)&gt;=B24)),1)),IF(I24="An Bord",(((Besatzung!$B$11&lt;&gt;"")*IF(B24="",1,(IF(Besatzung!$C$11="",Besatzung!$B$5,Besatzung!$C$11)&lt;=B24)*(IF(Besatzung!$D$11="",Besatzung!$B$6,Besatzung!$D$11)&gt;=B24)))*((G24-IFERROR(H24,0))/IFERROR(SUMPRODUCT((Besatzung!$B$11:$B$22&lt;&gt;"")*(IF(Besatzung!$C$11:$C$22="",Besatzung!$B$5,Besatzung!$C$11:$C$22)&lt;=B24)*(IF(Besatzung!$D$11:$D$22="",Besatzung!$B$6,Besatzung!$D$11:$D$22)&gt;=B24)),1)+(Besatzung!$F$11="x")*IFERROR(H24,0)/IFERROR(SUMPRODUCT((Besatzung!$B$11:$B$22&lt;&gt;"")*(Besatzung!$F$11:$F$22="x")*(IF(Besatzung!$C$11:$C$22="",Besatzung!$B$5,Besatzung!$C$11:$C$22)&lt;=B24)*(IF(Besatzung!$D$11:$D$22="",Besatzung!$B$6,Besatzung!$D$11:$D$22)&gt;=B24)),1))),IF(I24="Individuell",((J24="x")*((G24-IFERROR(H24,0))/IFERROR(COUNTIF(J24:U24,"x"),1)+(Besatzung!$F$11="x")*IFERROR(H24,0)/IFERROR(SUMPRODUCT((J24:U24="x")*(Besatzung!$F$11:$F$22="x")),1))),(IF(COUNTIF(J24:U24,"x")=0,IF(Besatzung!$B$11&lt;&gt;"",1,0),(J24="x"))*(G24-IFERROR(H24,0))/IFERROR(IF(COUNTIF(J24:U24,"x")=0,COUNTA(Besatzung!$B$11:$B$22),COUNTIF(J24:U24,"x")),1)+IF(COUNTIF(J24:U24,"x")=0,(Besatzung!$F$11="x"),(J24="x")*(Besatzung!$F$11="x"))*IFERROR(H24,0)/IFERROR(IF(COUNTIF(J24:U24,"x")=0,SUMPRODUCT((Besatzung!$B$11:$B$22&lt;&gt;"")*(Besatzung!$F$11:$F$22="x")),SUMPRODUCT((J24:U24="x")*(Besatzung!$F$11:$F$22="x"))),1))))),0))))</f>
        <v/>
      </c>
      <c r="W24" s="247">
        <f>IF(C24="Gutschrift","",IF(G24="","",IF(Besatzung!$B$12="","",IFERROR(IF(I24="Zeitanteilig",(Besatzung!$G$12*(G24-IFERROR(H24,0))+((Besatzung!$B$12&lt;&gt;"")*IF(B24="",1,(IF(Besatzung!$C$12="",Besatzung!$B$5,Besatzung!$C$12)&lt;=B24)*(IF(Besatzung!$D$12="",Besatzung!$B$6,Besatzung!$D$12)&gt;=B24)))*(Besatzung!$F$12="x")*IFERROR(H24,0)/IFERROR(SUMPRODUCT((Besatzung!$B$11:$B$22&lt;&gt;"")*(Besatzung!$F$11:$F$22="x")*(IF(Besatzung!$C$11:$C$22="",Besatzung!$B$5,Besatzung!$C$11:$C$22)&lt;=B24)*(IF(Besatzung!$D$11:$D$22="",Besatzung!$B$6,Besatzung!$D$11:$D$22)&gt;=B24)),1)),IF(I24="An Bord",(((Besatzung!$B$12&lt;&gt;"")*IF(B24="",1,(IF(Besatzung!$C$12="",Besatzung!$B$5,Besatzung!$C$12)&lt;=B24)*(IF(Besatzung!$D$12="",Besatzung!$B$6,Besatzung!$D$12)&gt;=B24)))*((G24-IFERROR(H24,0))/IFERROR(SUMPRODUCT((Besatzung!$B$11:$B$22&lt;&gt;"")*(IF(Besatzung!$C$11:$C$22="",Besatzung!$B$5,Besatzung!$C$11:$C$22)&lt;=B24)*(IF(Besatzung!$D$11:$D$22="",Besatzung!$B$6,Besatzung!$D$11:$D$22)&gt;=B24)),1)+(Besatzung!$F$12="x")*IFERROR(H24,0)/IFERROR(SUMPRODUCT((Besatzung!$B$11:$B$22&lt;&gt;"")*(Besatzung!$F$11:$F$22="x")*(IF(Besatzung!$C$11:$C$22="",Besatzung!$B$5,Besatzung!$C$11:$C$22)&lt;=B24)*(IF(Besatzung!$D$11:$D$22="",Besatzung!$B$6,Besatzung!$D$11:$D$22)&gt;=B24)),1))),IF(I24="Individuell",((K24="x")*((G24-IFERROR(H24,0))/IFERROR(COUNTIF(J24:U24,"x"),1)+(Besatzung!$F$12="x")*IFERROR(H24,0)/IFERROR(SUMPRODUCT((J24:U24="x")*(Besatzung!$F$11:$F$22="x")),1))),(IF(COUNTIF(J24:U24,"x")=0,IF(Besatzung!$B$12&lt;&gt;"",1,0),(K24="x"))*(G24-IFERROR(H24,0))/IFERROR(IF(COUNTIF(J24:U24,"x")=0,COUNTA(Besatzung!$B$11:$B$22),COUNTIF(J24:U24,"x")),1)+IF(COUNTIF(J24:U24,"x")=0,(Besatzung!$F$12="x"),(K24="x")*(Besatzung!$F$12="x"))*IFERROR(H24,0)/IFERROR(IF(COUNTIF(J24:U24,"x")=0,SUMPRODUCT((Besatzung!$B$11:$B$22&lt;&gt;"")*(Besatzung!$F$11:$F$22="x")),SUMPRODUCT((J24:U24="x")*(Besatzung!$F$11:$F$22="x"))),1))))),0))))</f>
        <v/>
      </c>
      <c r="X24" s="247">
        <f>IF(C24="Gutschrift","",IF(G24="","",IF(Besatzung!$B$13="","",IFERROR(IF(I24="Zeitanteilig",(Besatzung!$G$13*(G24-IFERROR(H24,0))+((Besatzung!$B$13&lt;&gt;"")*IF(B24="",1,(IF(Besatzung!$C$13="",Besatzung!$B$5,Besatzung!$C$13)&lt;=B24)*(IF(Besatzung!$D$13="",Besatzung!$B$6,Besatzung!$D$13)&gt;=B24)))*(Besatzung!$F$13="x")*IFERROR(H24,0)/IFERROR(SUMPRODUCT((Besatzung!$B$11:$B$22&lt;&gt;"")*(Besatzung!$F$11:$F$22="x")*(IF(Besatzung!$C$11:$C$22="",Besatzung!$B$5,Besatzung!$C$11:$C$22)&lt;=B24)*(IF(Besatzung!$D$11:$D$22="",Besatzung!$B$6,Besatzung!$D$11:$D$22)&gt;=B24)),1)),IF(I24="An Bord",(((Besatzung!$B$13&lt;&gt;"")*IF(B24="",1,(IF(Besatzung!$C$13="",Besatzung!$B$5,Besatzung!$C$13)&lt;=B24)*(IF(Besatzung!$D$13="",Besatzung!$B$6,Besatzung!$D$13)&gt;=B24)))*((G24-IFERROR(H24,0))/IFERROR(SUMPRODUCT((Besatzung!$B$11:$B$22&lt;&gt;"")*(IF(Besatzung!$C$11:$C$22="",Besatzung!$B$5,Besatzung!$C$11:$C$22)&lt;=B24)*(IF(Besatzung!$D$11:$D$22="",Besatzung!$B$6,Besatzung!$D$11:$D$22)&gt;=B24)),1)+(Besatzung!$F$13="x")*IFERROR(H24,0)/IFERROR(SUMPRODUCT((Besatzung!$B$11:$B$22&lt;&gt;"")*(Besatzung!$F$11:$F$22="x")*(IF(Besatzung!$C$11:$C$22="",Besatzung!$B$5,Besatzung!$C$11:$C$22)&lt;=B24)*(IF(Besatzung!$D$11:$D$22="",Besatzung!$B$6,Besatzung!$D$11:$D$22)&gt;=B24)),1))),IF(I24="Individuell",((K24="x")*((G24-IFERROR(H24,0))/IFERROR(COUNTIF(J24:U24,"x"),1)+(Besatzung!$F$13="x")*IFERROR(H24,0)/IFERROR(SUMPRODUCT((J24:U24="x")*(Besatzung!$F$11:$F$22="x")),1))),(IF(COUNTIF(J24:U24,"x")=0,IF(Besatzung!$B$13&lt;&gt;"",1,0),(K24="x"))*(G24-IFERROR(H24,0))/IFERROR(IF(COUNTIF(J24:U24,"x")=0,COUNTA(Besatzung!$B$11:$B$22),COUNTIF(J24:U24,"x")),1)+IF(COUNTIF(J24:U24,"x")=0,(Besatzung!$F$13="x"),(K24="x")*(Besatzung!$F$13="x"))*IFERROR(H24,0)/IFERROR(IF(COUNTIF(J24:U24,"x")=0,SUMPRODUCT((Besatzung!$B$11:$B$22&lt;&gt;"")*(Besatzung!$F$11:$F$22="x")),SUMPRODUCT((J24:U24="x")*(Besatzung!$F$11:$F$22="x"))),1))))),0))))</f>
        <v/>
      </c>
      <c r="Y24" s="247">
        <f>IF(C24="Gutschrift","",IF(G24="","",IF(Besatzung!$B$14="","",IFERROR(IF(I24="Zeitanteilig",(Besatzung!$G$14*(G24-IFERROR(H24,0))+((Besatzung!$B$14&lt;&gt;"")*IF(B24="",1,(IF(Besatzung!$C$14="",Besatzung!$B$5,Besatzung!$C$14)&lt;=B24)*(IF(Besatzung!$D$14="",Besatzung!$B$6,Besatzung!$D$14)&gt;=B24)))*(Besatzung!$F$14="x")*IFERROR(H24,0)/IFERROR(SUMPRODUCT((Besatzung!$B$11:$B$22&lt;&gt;"")*(Besatzung!$F$11:$F$22="x")*(IF(Besatzung!$C$11:$C$22="",Besatzung!$B$5,Besatzung!$C$11:$C$22)&lt;=B24)*(IF(Besatzung!$D$11:$D$22="",Besatzung!$B$6,Besatzung!$D$11:$D$22)&gt;=B24)),1)),IF(I24="An Bord",(((Besatzung!$B$14&lt;&gt;"")*IF(B24="",1,(IF(Besatzung!$C$14="",Besatzung!$B$5,Besatzung!$C$14)&lt;=B24)*(IF(Besatzung!$D$14="",Besatzung!$B$6,Besatzung!$D$14)&gt;=B24)))*((G24-IFERROR(H24,0))/IFERROR(SUMPRODUCT((Besatzung!$B$11:$B$22&lt;&gt;"")*(IF(Besatzung!$C$11:$C$22="",Besatzung!$B$5,Besatzung!$C$11:$C$22)&lt;=B24)*(IF(Besatzung!$D$11:$D$22="",Besatzung!$B$6,Besatzung!$D$11:$D$22)&gt;=B24)),1)+(Besatzung!$F$14="x")*IFERROR(H24,0)/IFERROR(SUMPRODUCT((Besatzung!$B$11:$B$22&lt;&gt;"")*(Besatzung!$F$11:$F$22="x")*(IF(Besatzung!$C$11:$C$22="",Besatzung!$B$5,Besatzung!$C$11:$C$22)&lt;=B24)*(IF(Besatzung!$D$11:$D$22="",Besatzung!$B$6,Besatzung!$D$11:$D$22)&gt;=B24)),1))),IF(I24="Individuell",((M24="x")*((G24-IFERROR(H24,0))/IFERROR(COUNTIF(J24:U24,"x"),1)+(Besatzung!$F$14="x")*IFERROR(H24,0)/IFERROR(SUMPRODUCT((J24:U24="x")*(Besatzung!$F$11:$F$22="x")),1))),(IF(COUNTIF(J24:U24,"x")=0,IF(Besatzung!$B$14&lt;&gt;"",1,0),(M24="x"))*(G24-IFERROR(H24,0))/IFERROR(IF(COUNTIF(J24:U24,"x")=0,COUNTA(Besatzung!$B$11:$B$22),COUNTIF(J24:U24,"x")),1)+IF(COUNTIF(J24:U24,"x")=0,(Besatzung!$F$14="x"),(M24="x")*(Besatzung!$F$14="x"))*IFERROR(H24,0)/IFERROR(IF(COUNTIF(J24:U24,"x")=0,SUMPRODUCT((Besatzung!$B$11:$B$22&lt;&gt;"")*(Besatzung!$F$11:$F$22="x")),SUMPRODUCT((J24:U24="x")*(Besatzung!$F$11:$F$22="x"))),1))))),0))))</f>
        <v/>
      </c>
      <c r="Z24" s="247">
        <f>IF(C24="Gutschrift","",IF(G24="","",IF(Besatzung!$B$13="","",IFERROR(IF(I24="Zeitanteilig",(Besatzung!$G$15*(G24-IFERROR(H24,0))+((Besatzung!$B$13&lt;&gt;"")*IF(B24="",1,(IF(Besatzung!$C$15="",Besatzung!$B$5,Besatzung!$C$15)&lt;=B24)*(IF(Besatzung!$D$15="",Besatzung!$B$6,Besatzung!$D$15)&gt;=B24)))*(Besatzung!$F$15="x")*IFERROR(H24,0)/IFERROR(SUMPRODUCT((Besatzung!$B$11:$B$22&lt;&gt;"")*(Besatzung!$F$11:$F$22="x")*(IF(Besatzung!$C$11:$C$22="",Besatzung!$B$5,Besatzung!$C$11:$C$22)&lt;=B24)*(IF(Besatzung!$D$11:$D$22="",Besatzung!$B$6,Besatzung!$D$11:$D$22)&gt;=B24)),1)),IF(I24="An Bord",(((Besatzung!$B$13&lt;&gt;"")*IF(B24="",1,(IF(Besatzung!$C$15="",Besatzung!$B$5,Besatzung!$C$15)&lt;=B24)*(IF(Besatzung!$D$15="",Besatzung!$B$6,Besatzung!$D$15)&gt;=B24)))*((G24-IFERROR(H24,0))/IFERROR(SUMPRODUCT((Besatzung!$B$11:$B$22&lt;&gt;"")*(IF(Besatzung!$C$11:$C$22="",Besatzung!$B$5,Besatzung!$C$11:$C$22)&lt;=B24)*(IF(Besatzung!$D$11:$D$22="",Besatzung!$B$6,Besatzung!$D$11:$D$22)&gt;=B24)),1)+(Besatzung!$F$15="x")*IFERROR(H24,0)/IFERROR(SUMPRODUCT((Besatzung!$B$11:$B$22&lt;&gt;"")*(Besatzung!$F$11:$F$22="x")*(IF(Besatzung!$C$11:$C$22="",Besatzung!$B$5,Besatzung!$C$11:$C$22)&lt;=B24)*(IF(Besatzung!$D$11:$D$22="",Besatzung!$B$6,Besatzung!$D$11:$D$22)&gt;=B24)),1))),IF(I24="Individuell",((N24="x")*((G24-IFERROR(H24,0))/IFERROR(COUNTIF(J24:U24,"x"),1)+(Besatzung!$F$15="x")*IFERROR(H24,0)/IFERROR(SUMPRODUCT((J24:U24="x")*(Besatzung!$F$11:$F$22="x")),1))),(IF(COUNTIF(J24:U24,"x")=0,IF(Besatzung!$B$13&lt;&gt;"",1,0),(N24="x"))*(G24-IFERROR(H24,0))/IFERROR(IF(COUNTIF(J24:U24,"x")=0,COUNTA(Besatzung!$B$11:$B$22),COUNTIF(J24:U24,"x")),1)+IF(COUNTIF(J24:U24,"x")=0,(Besatzung!$F$15="x"),(N24="x")*(Besatzung!$F$15="x"))*IFERROR(H24,0)/IFERROR(IF(COUNTIF(J24:U24,"x")=0,SUMPRODUCT((Besatzung!$B$11:$B$22&lt;&gt;"")*(Besatzung!$F$11:$F$22="x")),SUMPRODUCT((J24:U24="x")*(Besatzung!$F$11:$F$22="x"))),1))))),0))))</f>
        <v/>
      </c>
      <c r="AA24" s="247">
        <f>IF(C24="Gutschrift","",IF(G24="","",IF(Besatzung!$B$15="","",IFERROR(IF(I24="Zeitanteilig",(Besatzung!$G$16*(G24-IFERROR(H24,0))+((Besatzung!$B$15&lt;&gt;"")*IF(B24="",1,(IF(Besatzung!$C$16="",Besatzung!$B$5,Besatzung!$C$16)&lt;=B24)*(IF(Besatzung!$D$16="",Besatzung!$B$6,Besatzung!$D$16)&gt;=B24)))*(Besatzung!$F$16="x")*IFERROR(H24,0)/IFERROR(SUMPRODUCT((Besatzung!$B$11:$B$22&lt;&gt;"")*(Besatzung!$F$11:$F$22="x")*(IF(Besatzung!$C$11:$C$22="",Besatzung!$B$5,Besatzung!$C$11:$C$22)&lt;=B24)*(IF(Besatzung!$D$11:$D$22="",Besatzung!$B$6,Besatzung!$D$11:$D$22)&gt;=B24)),1)),IF(I24="An Bord",(((Besatzung!$B$15&lt;&gt;"")*IF(B24="",1,(IF(Besatzung!$C$16="",Besatzung!$B$5,Besatzung!$C$16)&lt;=B24)*(IF(Besatzung!$D$16="",Besatzung!$B$6,Besatzung!$D$16)&gt;=B24)))*((G24-IFERROR(H24,0))/IFERROR(SUMPRODUCT((Besatzung!$B$11:$B$22&lt;&gt;"")*(IF(Besatzung!$C$11:$C$22="",Besatzung!$B$5,Besatzung!$C$11:$C$22)&lt;=B24)*(IF(Besatzung!$D$11:$D$22="",Besatzung!$B$6,Besatzung!$D$11:$D$22)&gt;=B24)),1)+(Besatzung!$F$16="x")*IFERROR(H24,0)/IFERROR(SUMPRODUCT((Besatzung!$B$11:$B$22&lt;&gt;"")*(Besatzung!$F$11:$F$22="x")*(IF(Besatzung!$C$11:$C$22="",Besatzung!$B$5,Besatzung!$C$11:$C$22)&lt;=B24)*(IF(Besatzung!$D$11:$D$22="",Besatzung!$B$6,Besatzung!$D$11:$D$22)&gt;=B24)),1))),IF(I24="Individuell",((O24="x")*((G24-IFERROR(H24,0))/IFERROR(COUNTIF(J24:U24,"x"),1)+(Besatzung!$F$16="x")*IFERROR(H24,0)/IFERROR(SUMPRODUCT((J24:U24="x")*(Besatzung!$F$11:$F$22="x")),1))),(IF(COUNTIF(J24:U24,"x")=0,IF(Besatzung!$B$15&lt;&gt;"",1,0),(O24="x"))*(G24-IFERROR(H24,0))/IFERROR(IF(COUNTIF(J24:U24,"x")=0,COUNTA(Besatzung!$B$11:$B$22),COUNTIF(J24:U24,"x")),1)+IF(COUNTIF(J24:U24,"x")=0,(Besatzung!$F$16="x"),(O24="x")*(Besatzung!$F$16="x"))*IFERROR(H24,0)/IFERROR(IF(COUNTIF(J24:U24,"x")=0,SUMPRODUCT((Besatzung!$B$11:$B$22&lt;&gt;"")*(Besatzung!$F$11:$F$22="x")),SUMPRODUCT((J24:U24="x")*(Besatzung!$F$11:$F$22="x"))),1))))),0))))</f>
        <v/>
      </c>
      <c r="AB24" s="247">
        <f>IF(C24="Gutschrift","",IF(G24="","",IF(Besatzung!$B$17="","",IFERROR(IF(I24="Zeitanteilig",(Besatzung!$G$17*(G24-IFERROR(H24,0))+((Besatzung!$B$17&lt;&gt;"")*IF(B24="",1,(IF(Besatzung!$C$17="",Besatzung!$B$5,Besatzung!$C$17)&lt;=B24)*(IF(Besatzung!$D$17="",Besatzung!$B$6,Besatzung!$D$17)&gt;=B24)))*(Besatzung!$F$17="x")*IFERROR(H24,0)/IFERROR(SUMPRODUCT((Besatzung!$B$11:$B$22&lt;&gt;"")*(Besatzung!$F$11:$F$22="x")*(IF(Besatzung!$C$11:$C$22="",Besatzung!$B$5,Besatzung!$C$11:$C$22)&lt;=B24)*(IF(Besatzung!$D$11:$D$22="",Besatzung!$B$6,Besatzung!$D$11:$D$22)&gt;=B24)),1)),IF(I24="An Bord",(((Besatzung!$B$17&lt;&gt;"")*IF(B24="",1,(IF(Besatzung!$C$17="",Besatzung!$B$5,Besatzung!$C$17)&lt;=B24)*(IF(Besatzung!$D$17="",Besatzung!$B$6,Besatzung!$D$17)&gt;=B24)))*((G24-IFERROR(H24,0))/IFERROR(SUMPRODUCT((Besatzung!$B$11:$B$22&lt;&gt;"")*(IF(Besatzung!$C$11:$C$22="",Besatzung!$B$5,Besatzung!$C$11:$C$22)&lt;=B24)*(IF(Besatzung!$D$11:$D$22="",Besatzung!$B$6,Besatzung!$D$11:$D$22)&gt;=B24)),1)+(Besatzung!$F$17="x")*IFERROR(H24,0)/IFERROR(SUMPRODUCT((Besatzung!$B$11:$B$22&lt;&gt;"")*(Besatzung!$F$11:$F$22="x")*(IF(Besatzung!$C$11:$C$22="",Besatzung!$B$5,Besatzung!$C$11:$C$22)&lt;=B24)*(IF(Besatzung!$D$11:$D$22="",Besatzung!$B$6,Besatzung!$D$11:$D$22)&gt;=B24)),1))),IF(I24="Individuell",((P24="x")*((G24-IFERROR(H24,0))/IFERROR(COUNTIF(J24:U24,"x"),1)+(Besatzung!$F$17="x")*IFERROR(H24,0)/IFERROR(SUMPRODUCT((J24:U24="x")*(Besatzung!$F$11:$F$22="x")),1))),(IF(COUNTIF(J24:U24,"x")=0,IF(Besatzung!$B$17&lt;&gt;"",1,0),(P24="x"))*(G24-IFERROR(H24,0))/IFERROR(IF(COUNTIF(J24:U24,"x")=0,COUNTA(Besatzung!$B$11:$B$22),COUNTIF(J24:U24,"x")),1)+IF(COUNTIF(J24:U24,"x")=0,(Besatzung!$F$17="x"),(P24="x")*(Besatzung!$F$17="x"))*IFERROR(H24,0)/IFERROR(IF(COUNTIF(J24:U24,"x")=0,SUMPRODUCT((Besatzung!$B$11:$B$22&lt;&gt;"")*(Besatzung!$F$11:$F$22="x")),SUMPRODUCT((J24:U24="x")*(Besatzung!$F$11:$F$22="x"))),1))))),0))))</f>
        <v/>
      </c>
      <c r="AC24" s="247">
        <f>IF(C24="Gutschrift","",IF(G24="","",IF(Besatzung!$B$18="","",IFERROR(IF(I24="Zeitanteilig",(Besatzung!$G$18*(G24-IFERROR(H24,0))+((Besatzung!$B$18&lt;&gt;"")*IF(B24="",1,(IF(Besatzung!$C$18="",Besatzung!$B$5,Besatzung!$C$18)&lt;=B24)*(IF(Besatzung!$D$18="",Besatzung!$B$6,Besatzung!$D$18)&gt;=B24)))*(Besatzung!$F$18="x")*IFERROR(H24,0)/IFERROR(SUMPRODUCT((Besatzung!$B$11:$B$22&lt;&gt;"")*(Besatzung!$F$11:$F$22="x")*(IF(Besatzung!$C$11:$C$22="",Besatzung!$B$5,Besatzung!$C$11:$C$22)&lt;=B24)*(IF(Besatzung!$D$11:$D$22="",Besatzung!$B$6,Besatzung!$D$11:$D$22)&gt;=B24)),1)),IF(I24="An Bord",(((Besatzung!$B$18&lt;&gt;"")*IF(B24="",1,(IF(Besatzung!$C$18="",Besatzung!$B$5,Besatzung!$C$18)&lt;=B24)*(IF(Besatzung!$D$18="",Besatzung!$B$6,Besatzung!$D$18)&gt;=B24)))*((G24-IFERROR(H24,0))/IFERROR(SUMPRODUCT((Besatzung!$B$11:$B$22&lt;&gt;"")*(IF(Besatzung!$C$11:$C$22="",Besatzung!$B$5,Besatzung!$C$11:$C$22)&lt;=B24)*(IF(Besatzung!$D$11:$D$22="",Besatzung!$B$6,Besatzung!$D$11:$D$22)&gt;=B24)),1)+(Besatzung!$F$18="x")*IFERROR(H24,0)/IFERROR(SUMPRODUCT((Besatzung!$B$11:$B$22&lt;&gt;"")*(Besatzung!$F$11:$F$22="x")*(IF(Besatzung!$C$11:$C$22="",Besatzung!$B$5,Besatzung!$C$11:$C$22)&lt;=B24)*(IF(Besatzung!$D$11:$D$22="",Besatzung!$B$6,Besatzung!$D$11:$D$22)&gt;=B24)),1))),IF(I24="Individuell",((Q24="x")*((G24-IFERROR(H24,0))/IFERROR(COUNTIF(J24:U24,"x"),1)+(Besatzung!$F$18="x")*IFERROR(H24,0)/IFERROR(SUMPRODUCT((J24:U24="x")*(Besatzung!$F$11:$F$22="x")),1))),(IF(COUNTIF(J24:U24,"x")=0,IF(Besatzung!$B$18&lt;&gt;"",1,0),(Q24="x"))*(G24-IFERROR(H24,0))/IFERROR(IF(COUNTIF(J24:U24,"x")=0,COUNTA(Besatzung!$B$11:$B$22),COUNTIF(J24:U24,"x")),1)+IF(COUNTIF(J24:U24,"x")=0,(Besatzung!$F$18="x"),(Q24="x")*(Besatzung!$F$18="x"))*IFERROR(H24,0)/IFERROR(IF(COUNTIF(J24:U24,"x")=0,SUMPRODUCT((Besatzung!$B$11:$B$22&lt;&gt;"")*(Besatzung!$F$11:$F$22="x")),SUMPRODUCT((J24:U24="x")*(Besatzung!$F$11:$F$22="x"))),1))))),0))))</f>
        <v/>
      </c>
      <c r="AD24" s="247">
        <f>IF(C24="Gutschrift","",IF(G24="","",IF(Besatzung!$B$19="","",IFERROR(IF(I24="Zeitanteilig",(Besatzung!$G$19*(G24-IFERROR(H24,0))+((Besatzung!$B$19&lt;&gt;"")*IF(B24="",1,(IF(Besatzung!$C$19="",Besatzung!$B$5,Besatzung!$C$19)&lt;=B24)*(IF(Besatzung!$D$19="",Besatzung!$B$6,Besatzung!$D$19)&gt;=B24)))*(Besatzung!$F$19="x")*IFERROR(H24,0)/IFERROR(SUMPRODUCT((Besatzung!$B$11:$B$22&lt;&gt;"")*(Besatzung!$F$11:$F$22="x")*(IF(Besatzung!$C$11:$C$22="",Besatzung!$B$5,Besatzung!$C$11:$C$22)&lt;=B24)*(IF(Besatzung!$D$11:$D$22="",Besatzung!$B$6,Besatzung!$D$11:$D$22)&gt;=B24)),1)),IF(I24="An Bord",(((Besatzung!$B$19&lt;&gt;"")*IF(B24="",1,(IF(Besatzung!$C$19="",Besatzung!$B$5,Besatzung!$C$19)&lt;=B24)*(IF(Besatzung!$D$19="",Besatzung!$B$6,Besatzung!$D$19)&gt;=B24)))*((G24-IFERROR(H24,0))/IFERROR(SUMPRODUCT((Besatzung!$B$11:$B$22&lt;&gt;"")*(IF(Besatzung!$C$11:$C$22="",Besatzung!$B$5,Besatzung!$C$11:$C$22)&lt;=B24)*(IF(Besatzung!$D$11:$D$22="",Besatzung!$B$6,Besatzung!$D$11:$D$22)&gt;=B24)),1)+(Besatzung!$F$19="x")*IFERROR(H24,0)/IFERROR(SUMPRODUCT((Besatzung!$B$11:$B$22&lt;&gt;"")*(Besatzung!$F$11:$F$22="x")*(IF(Besatzung!$C$11:$C$22="",Besatzung!$B$5,Besatzung!$C$11:$C$22)&lt;=B24)*(IF(Besatzung!$D$11:$D$22="",Besatzung!$B$6,Besatzung!$D$11:$D$22)&gt;=B24)),1))),IF(I24="Individuell",((R24="x")*((G24-IFERROR(H24,0))/IFERROR(COUNTIF(J24:U24,"x"),1)+(Besatzung!$F$19="x")*IFERROR(H24,0)/IFERROR(SUMPRODUCT((J24:U24="x")*(Besatzung!$F$11:$F$22="x")),1))),(IF(COUNTIF(J24:U24,"x")=0,IF(Besatzung!$B$19&lt;&gt;"",1,0),(R24="x"))*(G24-IFERROR(H24,0))/IFERROR(IF(COUNTIF(J24:U24,"x")=0,COUNTA(Besatzung!$B$11:$B$22),COUNTIF(J24:U24,"x")),1)+IF(COUNTIF(J24:U24,"x")=0,(Besatzung!$F$19="x"),(R24="x")*(Besatzung!$F$19="x"))*IFERROR(H24,0)/IFERROR(IF(COUNTIF(J24:U24,"x")=0,SUMPRODUCT((Besatzung!$B$11:$B$22&lt;&gt;"")*(Besatzung!$F$11:$F$22="x")),SUMPRODUCT((J24:U24="x")*(Besatzung!$F$11:$F$22="x"))),1))))),0))))</f>
        <v/>
      </c>
      <c r="AE24" s="247">
        <f>IF(C24="Gutschrift","",IF(G24="","",IF(Besatzung!$B$20="","",IFERROR(IF(I24="Zeitanteilig",(Besatzung!$G$20*(G24-IFERROR(H24,0))+((Besatzung!$B$20&lt;&gt;"")*IF(B24="",1,(IF(Besatzung!$C$20="",Besatzung!$B$5,Besatzung!$C$20)&lt;=B24)*(IF(Besatzung!$D$20="",Besatzung!$B$6,Besatzung!$D$20)&gt;=B24)))*(Besatzung!$F$20="x")*IFERROR(H24,0)/IFERROR(SUMPRODUCT((Besatzung!$B$11:$B$22&lt;&gt;"")*(Besatzung!$F$11:$F$22="x")*(IF(Besatzung!$C$11:$C$22="",Besatzung!$B$5,Besatzung!$C$11:$C$22)&lt;=B24)*(IF(Besatzung!$D$11:$D$22="",Besatzung!$B$6,Besatzung!$D$11:$D$22)&gt;=B24)),1)),IF(I24="An Bord",(((Besatzung!$B$20&lt;&gt;"")*IF(B24="",1,(IF(Besatzung!$C$20="",Besatzung!$B$5,Besatzung!$C$20)&lt;=B24)*(IF(Besatzung!$D$20="",Besatzung!$B$6,Besatzung!$D$20)&gt;=B24)))*((G24-IFERROR(H24,0))/IFERROR(SUMPRODUCT((Besatzung!$B$11:$B$22&lt;&gt;"")*(IF(Besatzung!$C$11:$C$22="",Besatzung!$B$5,Besatzung!$C$11:$C$22)&lt;=B24)*(IF(Besatzung!$D$11:$D$22="",Besatzung!$B$6,Besatzung!$D$11:$D$22)&gt;=B24)),1)+(Besatzung!$F$20="x")*IFERROR(H24,0)/IFERROR(SUMPRODUCT((Besatzung!$B$11:$B$22&lt;&gt;"")*(Besatzung!$F$11:$F$22="x")*(IF(Besatzung!$C$11:$C$22="",Besatzung!$B$5,Besatzung!$C$11:$C$22)&lt;=B24)*(IF(Besatzung!$D$11:$D$22="",Besatzung!$B$6,Besatzung!$D$11:$D$22)&gt;=B24)),1))),IF(I24="Individuell",((S24="x")*((G24-IFERROR(H24,0))/IFERROR(COUNTIF(J24:U24,"x"),1)+(Besatzung!$F$20="x")*IFERROR(H24,0)/IFERROR(SUMPRODUCT((J24:U24="x")*(Besatzung!$F$11:$F$22="x")),1))),(IF(COUNTIF(J24:U24,"x")=0,IF(Besatzung!$B$20&lt;&gt;"",1,0),(S24="x"))*(G24-IFERROR(H24,0))/IFERROR(IF(COUNTIF(J24:U24,"x")=0,COUNTA(Besatzung!$B$11:$B$22),COUNTIF(J24:U24,"x")),1)+IF(COUNTIF(J24:U24,"x")=0,(Besatzung!$F$20="x"),(S24="x")*(Besatzung!$F$20="x"))*IFERROR(H24,0)/IFERROR(IF(COUNTIF(J24:U24,"x")=0,SUMPRODUCT((Besatzung!$B$11:$B$22&lt;&gt;"")*(Besatzung!$F$11:$F$22="x")),SUMPRODUCT((J24:U24="x")*(Besatzung!$F$11:$F$22="x"))),1))))),0))))</f>
        <v/>
      </c>
      <c r="AF24" s="247">
        <f>IF(C24="Gutschrift","",IF(G24="","",IF(Besatzung!$B$21="","",IFERROR(IF(I24="Zeitanteilig",(Besatzung!$G$21*(G24-IFERROR(H24,0))+((Besatzung!$B$21&lt;&gt;"")*IF(B24="",1,(IF(Besatzung!$C$21="",Besatzung!$B$5,Besatzung!$C$21)&lt;=B24)*(IF(Besatzung!$D$21="",Besatzung!$B$6,Besatzung!$D$21)&gt;=B24)))*(Besatzung!$F$21="x")*IFERROR(H24,0)/IFERROR(SUMPRODUCT((Besatzung!$B$11:$B$22&lt;&gt;"")*(Besatzung!$F$11:$F$22="x")*(IF(Besatzung!$C$11:$C$22="",Besatzung!$B$5,Besatzung!$C$11:$C$22)&lt;=B24)*(IF(Besatzung!$D$11:$D$22="",Besatzung!$B$6,Besatzung!$D$11:$D$22)&gt;=B24)),1)),IF(I24="An Bord",(((Besatzung!$B$21&lt;&gt;"")*IF(B24="",1,(IF(Besatzung!$C$21="",Besatzung!$B$5,Besatzung!$C$21)&lt;=B24)*(IF(Besatzung!$D$21="",Besatzung!$B$6,Besatzung!$D$21)&gt;=B24)))*((G24-IFERROR(H24,0))/IFERROR(SUMPRODUCT((Besatzung!$B$11:$B$22&lt;&gt;"")*(IF(Besatzung!$C$11:$C$22="",Besatzung!$B$5,Besatzung!$C$11:$C$22)&lt;=B24)*(IF(Besatzung!$D$11:$D$22="",Besatzung!$B$6,Besatzung!$D$11:$D$22)&gt;=B24)),1)+(Besatzung!$F$21="x")*IFERROR(H24,0)/IFERROR(SUMPRODUCT((Besatzung!$B$11:$B$22&lt;&gt;"")*(Besatzung!$F$11:$F$22="x")*(IF(Besatzung!$C$11:$C$22="",Besatzung!$B$5,Besatzung!$C$11:$C$22)&lt;=B24)*(IF(Besatzung!$D$11:$D$22="",Besatzung!$B$6,Besatzung!$D$11:$D$22)&gt;=B24)),1))),IF(I24="Individuell",((T24="x")*((G24-IFERROR(H24,0))/IFERROR(COUNTIF(J24:U24,"x"),1)+(Besatzung!$F$21="x")*IFERROR(H24,0)/IFERROR(SUMPRODUCT((J24:U24="x")*(Besatzung!$F$11:$F$22="x")),1))),(IF(COUNTIF(J24:U24,"x")=0,IF(Besatzung!$B$21&lt;&gt;"",1,0),(T24="x"))*(G24-IFERROR(H24,0))/IFERROR(IF(COUNTIF(J24:U24,"x")=0,COUNTA(Besatzung!$B$11:$B$22),COUNTIF(J24:U24,"x")),1)+IF(COUNTIF(J24:U24,"x")=0,(Besatzung!$F$21="x"),(T24="x")*(Besatzung!$F$21="x"))*IFERROR(H24,0)/IFERROR(IF(COUNTIF(J24:U24,"x")=0,SUMPRODUCT((Besatzung!$B$11:$B$22&lt;&gt;"")*(Besatzung!$F$11:$F$22="x")),SUMPRODUCT((J24:U24="x")*(Besatzung!$F$11:$F$22="x"))),1))))),0))))</f>
        <v/>
      </c>
      <c r="AG24" s="247">
        <f>IF(C24="Gutschrift","",IF(G24="","",IF(Besatzung!$B$22="","",IFERROR(IF(I24="Zeitanteilig",(Besatzung!$G$22*(G24-IFERROR(H24,0))+((Besatzung!$B$22&lt;&gt;"")*IF(B24="",1,(IF(Besatzung!$C$22="",Besatzung!$B$5,Besatzung!$C$22)&lt;=B24)*(IF(Besatzung!$D$22="",Besatzung!$B$6,Besatzung!$D$22)&gt;=B24)))*(Besatzung!$F$22="x")*IFERROR(H24,0)/IFERROR(SUMPRODUCT((Besatzung!$B$11:$B$22&lt;&gt;"")*(Besatzung!$F$11:$F$22="x")*(IF(Besatzung!$C$11:$C$22="",Besatzung!$B$5,Besatzung!$C$11:$C$22)&lt;=B24)*(IF(Besatzung!$D$11:$D$22="",Besatzung!$B$6,Besatzung!$D$11:$D$22)&gt;=B24)),1)),IF(I24="An Bord",(((Besatzung!$B$22&lt;&gt;"")*IF(B24="",1,(IF(Besatzung!$C$22="",Besatzung!$B$5,Besatzung!$C$22)&lt;=B24)*(IF(Besatzung!$D$22="",Besatzung!$B$6,Besatzung!$D$22)&gt;=B24)))*((G24-IFERROR(H24,0))/IFERROR(SUMPRODUCT((Besatzung!$B$11:$B$22&lt;&gt;"")*(IF(Besatzung!$C$11:$C$22="",Besatzung!$B$5,Besatzung!$C$11:$C$22)&lt;=B24)*(IF(Besatzung!$D$11:$D$22="",Besatzung!$B$6,Besatzung!$D$11:$D$22)&gt;=B24)),1)+(Besatzung!$F$22="x")*IFERROR(H24,0)/IFERROR(SUMPRODUCT((Besatzung!$B$11:$B$22&lt;&gt;"")*(Besatzung!$F$11:$F$22="x")*(IF(Besatzung!$C$11:$C$22="",Besatzung!$B$5,Besatzung!$C$11:$C$22)&lt;=B24)*(IF(Besatzung!$D$11:$D$22="",Besatzung!$B$6,Besatzung!$D$11:$D$22)&gt;=B24)),1))),IF(I24="Individuell",((U24="x")*((G24-IFERROR(H24,0))/IFERROR(COUNTIF(J24:U24,"x"),1)+(Besatzung!$F$22="x")*IFERROR(H24,0)/IFERROR(SUMPRODUCT((J24:U24="x")*(Besatzung!$F$11:$F$22="x")),1))),(IF(COUNTIF(J24:U24,"x")=0,IF(Besatzung!$B$22&lt;&gt;"",1,0),(U24="x"))*(G24-IFERROR(H24,0))/IFERROR(IF(COUNTIF(J24:U24,"x")=0,COUNTA(Besatzung!$B$11:$B$22),COUNTIF(J24:U24,"x")),1)+IF(COUNTIF(J24:U24,"x")=0,(Besatzung!$F$22="x"),(U24="x")*(Besatzung!$F$22="x"))*IFERROR(H24,0)/IFERROR(IF(COUNTIF(J24:U24,"x")=0,SUMPRODUCT((Besatzung!$B$11:$B$22&lt;&gt;"")*(Besatzung!$F$11:$F$22="x")),SUMPRODUCT((J24:U24="x")*(Besatzung!$F$11:$F$22="x"))),1))))),0))))</f>
        <v/>
      </c>
      <c r="AH24" s="248" t="n"/>
      <c r="AI24" s="248" t="n"/>
    </row>
    <row r="25" ht="21.75" customHeight="1" s="154">
      <c r="A25" s="238">
        <f>IF(AND(D25="",C25=""),"",22)</f>
        <v/>
      </c>
      <c r="B25" s="206" t="n"/>
      <c r="C25" s="249" t="n"/>
      <c r="D25" s="250" t="n"/>
      <c r="E25" s="251" t="n"/>
      <c r="F25" s="252" t="n"/>
      <c r="G25" s="253" t="n"/>
      <c r="H25" s="254" t="n"/>
      <c r="I25" s="255" t="n"/>
      <c r="J25" s="256" t="n"/>
      <c r="K25" s="256" t="n"/>
      <c r="L25" s="256" t="n"/>
      <c r="M25" s="256" t="n"/>
      <c r="N25" s="256" t="n"/>
      <c r="O25" s="256" t="n"/>
      <c r="P25" s="256" t="n"/>
      <c r="Q25" s="256" t="n"/>
      <c r="R25" s="256" t="n"/>
      <c r="S25" s="256" t="n"/>
      <c r="T25" s="256" t="n"/>
      <c r="U25" s="256" t="n"/>
      <c r="V25" s="247">
        <f>IF(C25="Gutschrift","",IF(G25="","",IF(Besatzung!$B$11="","",IFERROR(IF(I25="Zeitanteilig",(Besatzung!$G$11*(G25-IFERROR(H25,0))+((Besatzung!$B$11&lt;&gt;"")*IF(B25="",1,(IF(Besatzung!$C$11="",Besatzung!$B$5,Besatzung!$C$11)&lt;=B25)*(IF(Besatzung!$D$11="",Besatzung!$B$6,Besatzung!$D$11)&gt;=B25)))*(Besatzung!$F$11="x")*IFERROR(H25,0)/IFERROR(SUMPRODUCT((Besatzung!$B$11:$B$22&lt;&gt;"")*(Besatzung!$F$11:$F$22="x")*(IF(Besatzung!$C$11:$C$22="",Besatzung!$B$5,Besatzung!$C$11:$C$22)&lt;=B25)*(IF(Besatzung!$D$11:$D$22="",Besatzung!$B$6,Besatzung!$D$11:$D$22)&gt;=B25)),1)),IF(I25="An Bord",(((Besatzung!$B$11&lt;&gt;"")*IF(B25="",1,(IF(Besatzung!$C$11="",Besatzung!$B$5,Besatzung!$C$11)&lt;=B25)*(IF(Besatzung!$D$11="",Besatzung!$B$6,Besatzung!$D$11)&gt;=B25)))*((G25-IFERROR(H25,0))/IFERROR(SUMPRODUCT((Besatzung!$B$11:$B$22&lt;&gt;"")*(IF(Besatzung!$C$11:$C$22="",Besatzung!$B$5,Besatzung!$C$11:$C$22)&lt;=B25)*(IF(Besatzung!$D$11:$D$22="",Besatzung!$B$6,Besatzung!$D$11:$D$22)&gt;=B25)),1)+(Besatzung!$F$11="x")*IFERROR(H25,0)/IFERROR(SUMPRODUCT((Besatzung!$B$11:$B$22&lt;&gt;"")*(Besatzung!$F$11:$F$22="x")*(IF(Besatzung!$C$11:$C$22="",Besatzung!$B$5,Besatzung!$C$11:$C$22)&lt;=B25)*(IF(Besatzung!$D$11:$D$22="",Besatzung!$B$6,Besatzung!$D$11:$D$22)&gt;=B25)),1))),IF(I25="Individuell",((J25="x")*((G25-IFERROR(H25,0))/IFERROR(COUNTIF(J25:U25,"x"),1)+(Besatzung!$F$11="x")*IFERROR(H25,0)/IFERROR(SUMPRODUCT((J25:U25="x")*(Besatzung!$F$11:$F$22="x")),1))),(IF(COUNTIF(J25:U25,"x")=0,IF(Besatzung!$B$11&lt;&gt;"",1,0),(J25="x"))*(G25-IFERROR(H25,0))/IFERROR(IF(COUNTIF(J25:U25,"x")=0,COUNTA(Besatzung!$B$11:$B$22),COUNTIF(J25:U25,"x")),1)+IF(COUNTIF(J25:U25,"x")=0,(Besatzung!$F$11="x"),(J25="x")*(Besatzung!$F$11="x"))*IFERROR(H25,0)/IFERROR(IF(COUNTIF(J25:U25,"x")=0,SUMPRODUCT((Besatzung!$B$11:$B$22&lt;&gt;"")*(Besatzung!$F$11:$F$22="x")),SUMPRODUCT((J25:U25="x")*(Besatzung!$F$11:$F$22="x"))),1))))),0))))</f>
        <v/>
      </c>
      <c r="W25" s="247">
        <f>IF(C25="Gutschrift","",IF(G25="","",IF(Besatzung!$B$12="","",IFERROR(IF(I25="Zeitanteilig",(Besatzung!$G$12*(G25-IFERROR(H25,0))+((Besatzung!$B$12&lt;&gt;"")*IF(B25="",1,(IF(Besatzung!$C$12="",Besatzung!$B$5,Besatzung!$C$12)&lt;=B25)*(IF(Besatzung!$D$12="",Besatzung!$B$6,Besatzung!$D$12)&gt;=B25)))*(Besatzung!$F$12="x")*IFERROR(H25,0)/IFERROR(SUMPRODUCT((Besatzung!$B$11:$B$22&lt;&gt;"")*(Besatzung!$F$11:$F$22="x")*(IF(Besatzung!$C$11:$C$22="",Besatzung!$B$5,Besatzung!$C$11:$C$22)&lt;=B25)*(IF(Besatzung!$D$11:$D$22="",Besatzung!$B$6,Besatzung!$D$11:$D$22)&gt;=B25)),1)),IF(I25="An Bord",(((Besatzung!$B$12&lt;&gt;"")*IF(B25="",1,(IF(Besatzung!$C$12="",Besatzung!$B$5,Besatzung!$C$12)&lt;=B25)*(IF(Besatzung!$D$12="",Besatzung!$B$6,Besatzung!$D$12)&gt;=B25)))*((G25-IFERROR(H25,0))/IFERROR(SUMPRODUCT((Besatzung!$B$11:$B$22&lt;&gt;"")*(IF(Besatzung!$C$11:$C$22="",Besatzung!$B$5,Besatzung!$C$11:$C$22)&lt;=B25)*(IF(Besatzung!$D$11:$D$22="",Besatzung!$B$6,Besatzung!$D$11:$D$22)&gt;=B25)),1)+(Besatzung!$F$12="x")*IFERROR(H25,0)/IFERROR(SUMPRODUCT((Besatzung!$B$11:$B$22&lt;&gt;"")*(Besatzung!$F$11:$F$22="x")*(IF(Besatzung!$C$11:$C$22="",Besatzung!$B$5,Besatzung!$C$11:$C$22)&lt;=B25)*(IF(Besatzung!$D$11:$D$22="",Besatzung!$B$6,Besatzung!$D$11:$D$22)&gt;=B25)),1))),IF(I25="Individuell",((K25="x")*((G25-IFERROR(H25,0))/IFERROR(COUNTIF(J25:U25,"x"),1)+(Besatzung!$F$12="x")*IFERROR(H25,0)/IFERROR(SUMPRODUCT((J25:U25="x")*(Besatzung!$F$11:$F$22="x")),1))),(IF(COUNTIF(J25:U25,"x")=0,IF(Besatzung!$B$12&lt;&gt;"",1,0),(K25="x"))*(G25-IFERROR(H25,0))/IFERROR(IF(COUNTIF(J25:U25,"x")=0,COUNTA(Besatzung!$B$11:$B$22),COUNTIF(J25:U25,"x")),1)+IF(COUNTIF(J25:U25,"x")=0,(Besatzung!$F$12="x"),(K25="x")*(Besatzung!$F$12="x"))*IFERROR(H25,0)/IFERROR(IF(COUNTIF(J25:U25,"x")=0,SUMPRODUCT((Besatzung!$B$11:$B$22&lt;&gt;"")*(Besatzung!$F$11:$F$22="x")),SUMPRODUCT((J25:U25="x")*(Besatzung!$F$11:$F$22="x"))),1))))),0))))</f>
        <v/>
      </c>
      <c r="X25" s="247">
        <f>IF(C25="Gutschrift","",IF(G25="","",IF(Besatzung!$B$13="","",IFERROR(IF(I25="Zeitanteilig",(Besatzung!$G$13*(G25-IFERROR(H25,0))+((Besatzung!$B$13&lt;&gt;"")*IF(B25="",1,(IF(Besatzung!$C$13="",Besatzung!$B$5,Besatzung!$C$13)&lt;=B25)*(IF(Besatzung!$D$13="",Besatzung!$B$6,Besatzung!$D$13)&gt;=B25)))*(Besatzung!$F$13="x")*IFERROR(H25,0)/IFERROR(SUMPRODUCT((Besatzung!$B$11:$B$22&lt;&gt;"")*(Besatzung!$F$11:$F$22="x")*(IF(Besatzung!$C$11:$C$22="",Besatzung!$B$5,Besatzung!$C$11:$C$22)&lt;=B25)*(IF(Besatzung!$D$11:$D$22="",Besatzung!$B$6,Besatzung!$D$11:$D$22)&gt;=B25)),1)),IF(I25="An Bord",(((Besatzung!$B$13&lt;&gt;"")*IF(B25="",1,(IF(Besatzung!$C$13="",Besatzung!$B$5,Besatzung!$C$13)&lt;=B25)*(IF(Besatzung!$D$13="",Besatzung!$B$6,Besatzung!$D$13)&gt;=B25)))*((G25-IFERROR(H25,0))/IFERROR(SUMPRODUCT((Besatzung!$B$11:$B$22&lt;&gt;"")*(IF(Besatzung!$C$11:$C$22="",Besatzung!$B$5,Besatzung!$C$11:$C$22)&lt;=B25)*(IF(Besatzung!$D$11:$D$22="",Besatzung!$B$6,Besatzung!$D$11:$D$22)&gt;=B25)),1)+(Besatzung!$F$13="x")*IFERROR(H25,0)/IFERROR(SUMPRODUCT((Besatzung!$B$11:$B$22&lt;&gt;"")*(Besatzung!$F$11:$F$22="x")*(IF(Besatzung!$C$11:$C$22="",Besatzung!$B$5,Besatzung!$C$11:$C$22)&lt;=B25)*(IF(Besatzung!$D$11:$D$22="",Besatzung!$B$6,Besatzung!$D$11:$D$22)&gt;=B25)),1))),IF(I25="Individuell",((K25="x")*((G25-IFERROR(H25,0))/IFERROR(COUNTIF(J25:U25,"x"),1)+(Besatzung!$F$13="x")*IFERROR(H25,0)/IFERROR(SUMPRODUCT((J25:U25="x")*(Besatzung!$F$11:$F$22="x")),1))),(IF(COUNTIF(J25:U25,"x")=0,IF(Besatzung!$B$13&lt;&gt;"",1,0),(K25="x"))*(G25-IFERROR(H25,0))/IFERROR(IF(COUNTIF(J25:U25,"x")=0,COUNTA(Besatzung!$B$11:$B$22),COUNTIF(J25:U25,"x")),1)+IF(COUNTIF(J25:U25,"x")=0,(Besatzung!$F$13="x"),(K25="x")*(Besatzung!$F$13="x"))*IFERROR(H25,0)/IFERROR(IF(COUNTIF(J25:U25,"x")=0,SUMPRODUCT((Besatzung!$B$11:$B$22&lt;&gt;"")*(Besatzung!$F$11:$F$22="x")),SUMPRODUCT((J25:U25="x")*(Besatzung!$F$11:$F$22="x"))),1))))),0))))</f>
        <v/>
      </c>
      <c r="Y25" s="247">
        <f>IF(C25="Gutschrift","",IF(G25="","",IF(Besatzung!$B$14="","",IFERROR(IF(I25="Zeitanteilig",(Besatzung!$G$14*(G25-IFERROR(H25,0))+((Besatzung!$B$14&lt;&gt;"")*IF(B25="",1,(IF(Besatzung!$C$14="",Besatzung!$B$5,Besatzung!$C$14)&lt;=B25)*(IF(Besatzung!$D$14="",Besatzung!$B$6,Besatzung!$D$14)&gt;=B25)))*(Besatzung!$F$14="x")*IFERROR(H25,0)/IFERROR(SUMPRODUCT((Besatzung!$B$11:$B$22&lt;&gt;"")*(Besatzung!$F$11:$F$22="x")*(IF(Besatzung!$C$11:$C$22="",Besatzung!$B$5,Besatzung!$C$11:$C$22)&lt;=B25)*(IF(Besatzung!$D$11:$D$22="",Besatzung!$B$6,Besatzung!$D$11:$D$22)&gt;=B25)),1)),IF(I25="An Bord",(((Besatzung!$B$14&lt;&gt;"")*IF(B25="",1,(IF(Besatzung!$C$14="",Besatzung!$B$5,Besatzung!$C$14)&lt;=B25)*(IF(Besatzung!$D$14="",Besatzung!$B$6,Besatzung!$D$14)&gt;=B25)))*((G25-IFERROR(H25,0))/IFERROR(SUMPRODUCT((Besatzung!$B$11:$B$22&lt;&gt;"")*(IF(Besatzung!$C$11:$C$22="",Besatzung!$B$5,Besatzung!$C$11:$C$22)&lt;=B25)*(IF(Besatzung!$D$11:$D$22="",Besatzung!$B$6,Besatzung!$D$11:$D$22)&gt;=B25)),1)+(Besatzung!$F$14="x")*IFERROR(H25,0)/IFERROR(SUMPRODUCT((Besatzung!$B$11:$B$22&lt;&gt;"")*(Besatzung!$F$11:$F$22="x")*(IF(Besatzung!$C$11:$C$22="",Besatzung!$B$5,Besatzung!$C$11:$C$22)&lt;=B25)*(IF(Besatzung!$D$11:$D$22="",Besatzung!$B$6,Besatzung!$D$11:$D$22)&gt;=B25)),1))),IF(I25="Individuell",((M25="x")*((G25-IFERROR(H25,0))/IFERROR(COUNTIF(J25:U25,"x"),1)+(Besatzung!$F$14="x")*IFERROR(H25,0)/IFERROR(SUMPRODUCT((J25:U25="x")*(Besatzung!$F$11:$F$22="x")),1))),(IF(COUNTIF(J25:U25,"x")=0,IF(Besatzung!$B$14&lt;&gt;"",1,0),(M25="x"))*(G25-IFERROR(H25,0))/IFERROR(IF(COUNTIF(J25:U25,"x")=0,COUNTA(Besatzung!$B$11:$B$22),COUNTIF(J25:U25,"x")),1)+IF(COUNTIF(J25:U25,"x")=0,(Besatzung!$F$14="x"),(M25="x")*(Besatzung!$F$14="x"))*IFERROR(H25,0)/IFERROR(IF(COUNTIF(J25:U25,"x")=0,SUMPRODUCT((Besatzung!$B$11:$B$22&lt;&gt;"")*(Besatzung!$F$11:$F$22="x")),SUMPRODUCT((J25:U25="x")*(Besatzung!$F$11:$F$22="x"))),1))))),0))))</f>
        <v/>
      </c>
      <c r="Z25" s="247">
        <f>IF(C25="Gutschrift","",IF(G25="","",IF(Besatzung!$B$13="","",IFERROR(IF(I25="Zeitanteilig",(Besatzung!$G$15*(G25-IFERROR(H25,0))+((Besatzung!$B$13&lt;&gt;"")*IF(B25="",1,(IF(Besatzung!$C$15="",Besatzung!$B$5,Besatzung!$C$15)&lt;=B25)*(IF(Besatzung!$D$15="",Besatzung!$B$6,Besatzung!$D$15)&gt;=B25)))*(Besatzung!$F$15="x")*IFERROR(H25,0)/IFERROR(SUMPRODUCT((Besatzung!$B$11:$B$22&lt;&gt;"")*(Besatzung!$F$11:$F$22="x")*(IF(Besatzung!$C$11:$C$22="",Besatzung!$B$5,Besatzung!$C$11:$C$22)&lt;=B25)*(IF(Besatzung!$D$11:$D$22="",Besatzung!$B$6,Besatzung!$D$11:$D$22)&gt;=B25)),1)),IF(I25="An Bord",(((Besatzung!$B$13&lt;&gt;"")*IF(B25="",1,(IF(Besatzung!$C$15="",Besatzung!$B$5,Besatzung!$C$15)&lt;=B25)*(IF(Besatzung!$D$15="",Besatzung!$B$6,Besatzung!$D$15)&gt;=B25)))*((G25-IFERROR(H25,0))/IFERROR(SUMPRODUCT((Besatzung!$B$11:$B$22&lt;&gt;"")*(IF(Besatzung!$C$11:$C$22="",Besatzung!$B$5,Besatzung!$C$11:$C$22)&lt;=B25)*(IF(Besatzung!$D$11:$D$22="",Besatzung!$B$6,Besatzung!$D$11:$D$22)&gt;=B25)),1)+(Besatzung!$F$15="x")*IFERROR(H25,0)/IFERROR(SUMPRODUCT((Besatzung!$B$11:$B$22&lt;&gt;"")*(Besatzung!$F$11:$F$22="x")*(IF(Besatzung!$C$11:$C$22="",Besatzung!$B$5,Besatzung!$C$11:$C$22)&lt;=B25)*(IF(Besatzung!$D$11:$D$22="",Besatzung!$B$6,Besatzung!$D$11:$D$22)&gt;=B25)),1))),IF(I25="Individuell",((N25="x")*((G25-IFERROR(H25,0))/IFERROR(COUNTIF(J25:U25,"x"),1)+(Besatzung!$F$15="x")*IFERROR(H25,0)/IFERROR(SUMPRODUCT((J25:U25="x")*(Besatzung!$F$11:$F$22="x")),1))),(IF(COUNTIF(J25:U25,"x")=0,IF(Besatzung!$B$13&lt;&gt;"",1,0),(N25="x"))*(G25-IFERROR(H25,0))/IFERROR(IF(COUNTIF(J25:U25,"x")=0,COUNTA(Besatzung!$B$11:$B$22),COUNTIF(J25:U25,"x")),1)+IF(COUNTIF(J25:U25,"x")=0,(Besatzung!$F$15="x"),(N25="x")*(Besatzung!$F$15="x"))*IFERROR(H25,0)/IFERROR(IF(COUNTIF(J25:U25,"x")=0,SUMPRODUCT((Besatzung!$B$11:$B$22&lt;&gt;"")*(Besatzung!$F$11:$F$22="x")),SUMPRODUCT((J25:U25="x")*(Besatzung!$F$11:$F$22="x"))),1))))),0))))</f>
        <v/>
      </c>
      <c r="AA25" s="247">
        <f>IF(C25="Gutschrift","",IF(G25="","",IF(Besatzung!$B$15="","",IFERROR(IF(I25="Zeitanteilig",(Besatzung!$G$16*(G25-IFERROR(H25,0))+((Besatzung!$B$15&lt;&gt;"")*IF(B25="",1,(IF(Besatzung!$C$16="",Besatzung!$B$5,Besatzung!$C$16)&lt;=B25)*(IF(Besatzung!$D$16="",Besatzung!$B$6,Besatzung!$D$16)&gt;=B25)))*(Besatzung!$F$16="x")*IFERROR(H25,0)/IFERROR(SUMPRODUCT((Besatzung!$B$11:$B$22&lt;&gt;"")*(Besatzung!$F$11:$F$22="x")*(IF(Besatzung!$C$11:$C$22="",Besatzung!$B$5,Besatzung!$C$11:$C$22)&lt;=B25)*(IF(Besatzung!$D$11:$D$22="",Besatzung!$B$6,Besatzung!$D$11:$D$22)&gt;=B25)),1)),IF(I25="An Bord",(((Besatzung!$B$15&lt;&gt;"")*IF(B25="",1,(IF(Besatzung!$C$16="",Besatzung!$B$5,Besatzung!$C$16)&lt;=B25)*(IF(Besatzung!$D$16="",Besatzung!$B$6,Besatzung!$D$16)&gt;=B25)))*((G25-IFERROR(H25,0))/IFERROR(SUMPRODUCT((Besatzung!$B$11:$B$22&lt;&gt;"")*(IF(Besatzung!$C$11:$C$22="",Besatzung!$B$5,Besatzung!$C$11:$C$22)&lt;=B25)*(IF(Besatzung!$D$11:$D$22="",Besatzung!$B$6,Besatzung!$D$11:$D$22)&gt;=B25)),1)+(Besatzung!$F$16="x")*IFERROR(H25,0)/IFERROR(SUMPRODUCT((Besatzung!$B$11:$B$22&lt;&gt;"")*(Besatzung!$F$11:$F$22="x")*(IF(Besatzung!$C$11:$C$22="",Besatzung!$B$5,Besatzung!$C$11:$C$22)&lt;=B25)*(IF(Besatzung!$D$11:$D$22="",Besatzung!$B$6,Besatzung!$D$11:$D$22)&gt;=B25)),1))),IF(I25="Individuell",((O25="x")*((G25-IFERROR(H25,0))/IFERROR(COUNTIF(J25:U25,"x"),1)+(Besatzung!$F$16="x")*IFERROR(H25,0)/IFERROR(SUMPRODUCT((J25:U25="x")*(Besatzung!$F$11:$F$22="x")),1))),(IF(COUNTIF(J25:U25,"x")=0,IF(Besatzung!$B$15&lt;&gt;"",1,0),(O25="x"))*(G25-IFERROR(H25,0))/IFERROR(IF(COUNTIF(J25:U25,"x")=0,COUNTA(Besatzung!$B$11:$B$22),COUNTIF(J25:U25,"x")),1)+IF(COUNTIF(J25:U25,"x")=0,(Besatzung!$F$16="x"),(O25="x")*(Besatzung!$F$16="x"))*IFERROR(H25,0)/IFERROR(IF(COUNTIF(J25:U25,"x")=0,SUMPRODUCT((Besatzung!$B$11:$B$22&lt;&gt;"")*(Besatzung!$F$11:$F$22="x")),SUMPRODUCT((J25:U25="x")*(Besatzung!$F$11:$F$22="x"))),1))))),0))))</f>
        <v/>
      </c>
      <c r="AB25" s="247">
        <f>IF(C25="Gutschrift","",IF(G25="","",IF(Besatzung!$B$17="","",IFERROR(IF(I25="Zeitanteilig",(Besatzung!$G$17*(G25-IFERROR(H25,0))+((Besatzung!$B$17&lt;&gt;"")*IF(B25="",1,(IF(Besatzung!$C$17="",Besatzung!$B$5,Besatzung!$C$17)&lt;=B25)*(IF(Besatzung!$D$17="",Besatzung!$B$6,Besatzung!$D$17)&gt;=B25)))*(Besatzung!$F$17="x")*IFERROR(H25,0)/IFERROR(SUMPRODUCT((Besatzung!$B$11:$B$22&lt;&gt;"")*(Besatzung!$F$11:$F$22="x")*(IF(Besatzung!$C$11:$C$22="",Besatzung!$B$5,Besatzung!$C$11:$C$22)&lt;=B25)*(IF(Besatzung!$D$11:$D$22="",Besatzung!$B$6,Besatzung!$D$11:$D$22)&gt;=B25)),1)),IF(I25="An Bord",(((Besatzung!$B$17&lt;&gt;"")*IF(B25="",1,(IF(Besatzung!$C$17="",Besatzung!$B$5,Besatzung!$C$17)&lt;=B25)*(IF(Besatzung!$D$17="",Besatzung!$B$6,Besatzung!$D$17)&gt;=B25)))*((G25-IFERROR(H25,0))/IFERROR(SUMPRODUCT((Besatzung!$B$11:$B$22&lt;&gt;"")*(IF(Besatzung!$C$11:$C$22="",Besatzung!$B$5,Besatzung!$C$11:$C$22)&lt;=B25)*(IF(Besatzung!$D$11:$D$22="",Besatzung!$B$6,Besatzung!$D$11:$D$22)&gt;=B25)),1)+(Besatzung!$F$17="x")*IFERROR(H25,0)/IFERROR(SUMPRODUCT((Besatzung!$B$11:$B$22&lt;&gt;"")*(Besatzung!$F$11:$F$22="x")*(IF(Besatzung!$C$11:$C$22="",Besatzung!$B$5,Besatzung!$C$11:$C$22)&lt;=B25)*(IF(Besatzung!$D$11:$D$22="",Besatzung!$B$6,Besatzung!$D$11:$D$22)&gt;=B25)),1))),IF(I25="Individuell",((P25="x")*((G25-IFERROR(H25,0))/IFERROR(COUNTIF(J25:U25,"x"),1)+(Besatzung!$F$17="x")*IFERROR(H25,0)/IFERROR(SUMPRODUCT((J25:U25="x")*(Besatzung!$F$11:$F$22="x")),1))),(IF(COUNTIF(J25:U25,"x")=0,IF(Besatzung!$B$17&lt;&gt;"",1,0),(P25="x"))*(G25-IFERROR(H25,0))/IFERROR(IF(COUNTIF(J25:U25,"x")=0,COUNTA(Besatzung!$B$11:$B$22),COUNTIF(J25:U25,"x")),1)+IF(COUNTIF(J25:U25,"x")=0,(Besatzung!$F$17="x"),(P25="x")*(Besatzung!$F$17="x"))*IFERROR(H25,0)/IFERROR(IF(COUNTIF(J25:U25,"x")=0,SUMPRODUCT((Besatzung!$B$11:$B$22&lt;&gt;"")*(Besatzung!$F$11:$F$22="x")),SUMPRODUCT((J25:U25="x")*(Besatzung!$F$11:$F$22="x"))),1))))),0))))</f>
        <v/>
      </c>
      <c r="AC25" s="247">
        <f>IF(C25="Gutschrift","",IF(G25="","",IF(Besatzung!$B$18="","",IFERROR(IF(I25="Zeitanteilig",(Besatzung!$G$18*(G25-IFERROR(H25,0))+((Besatzung!$B$18&lt;&gt;"")*IF(B25="",1,(IF(Besatzung!$C$18="",Besatzung!$B$5,Besatzung!$C$18)&lt;=B25)*(IF(Besatzung!$D$18="",Besatzung!$B$6,Besatzung!$D$18)&gt;=B25)))*(Besatzung!$F$18="x")*IFERROR(H25,0)/IFERROR(SUMPRODUCT((Besatzung!$B$11:$B$22&lt;&gt;"")*(Besatzung!$F$11:$F$22="x")*(IF(Besatzung!$C$11:$C$22="",Besatzung!$B$5,Besatzung!$C$11:$C$22)&lt;=B25)*(IF(Besatzung!$D$11:$D$22="",Besatzung!$B$6,Besatzung!$D$11:$D$22)&gt;=B25)),1)),IF(I25="An Bord",(((Besatzung!$B$18&lt;&gt;"")*IF(B25="",1,(IF(Besatzung!$C$18="",Besatzung!$B$5,Besatzung!$C$18)&lt;=B25)*(IF(Besatzung!$D$18="",Besatzung!$B$6,Besatzung!$D$18)&gt;=B25)))*((G25-IFERROR(H25,0))/IFERROR(SUMPRODUCT((Besatzung!$B$11:$B$22&lt;&gt;"")*(IF(Besatzung!$C$11:$C$22="",Besatzung!$B$5,Besatzung!$C$11:$C$22)&lt;=B25)*(IF(Besatzung!$D$11:$D$22="",Besatzung!$B$6,Besatzung!$D$11:$D$22)&gt;=B25)),1)+(Besatzung!$F$18="x")*IFERROR(H25,0)/IFERROR(SUMPRODUCT((Besatzung!$B$11:$B$22&lt;&gt;"")*(Besatzung!$F$11:$F$22="x")*(IF(Besatzung!$C$11:$C$22="",Besatzung!$B$5,Besatzung!$C$11:$C$22)&lt;=B25)*(IF(Besatzung!$D$11:$D$22="",Besatzung!$B$6,Besatzung!$D$11:$D$22)&gt;=B25)),1))),IF(I25="Individuell",((Q25="x")*((G25-IFERROR(H25,0))/IFERROR(COUNTIF(J25:U25,"x"),1)+(Besatzung!$F$18="x")*IFERROR(H25,0)/IFERROR(SUMPRODUCT((J25:U25="x")*(Besatzung!$F$11:$F$22="x")),1))),(IF(COUNTIF(J25:U25,"x")=0,IF(Besatzung!$B$18&lt;&gt;"",1,0),(Q25="x"))*(G25-IFERROR(H25,0))/IFERROR(IF(COUNTIF(J25:U25,"x")=0,COUNTA(Besatzung!$B$11:$B$22),COUNTIF(J25:U25,"x")),1)+IF(COUNTIF(J25:U25,"x")=0,(Besatzung!$F$18="x"),(Q25="x")*(Besatzung!$F$18="x"))*IFERROR(H25,0)/IFERROR(IF(COUNTIF(J25:U25,"x")=0,SUMPRODUCT((Besatzung!$B$11:$B$22&lt;&gt;"")*(Besatzung!$F$11:$F$22="x")),SUMPRODUCT((J25:U25="x")*(Besatzung!$F$11:$F$22="x"))),1))))),0))))</f>
        <v/>
      </c>
      <c r="AD25" s="247">
        <f>IF(C25="Gutschrift","",IF(G25="","",IF(Besatzung!$B$19="","",IFERROR(IF(I25="Zeitanteilig",(Besatzung!$G$19*(G25-IFERROR(H25,0))+((Besatzung!$B$19&lt;&gt;"")*IF(B25="",1,(IF(Besatzung!$C$19="",Besatzung!$B$5,Besatzung!$C$19)&lt;=B25)*(IF(Besatzung!$D$19="",Besatzung!$B$6,Besatzung!$D$19)&gt;=B25)))*(Besatzung!$F$19="x")*IFERROR(H25,0)/IFERROR(SUMPRODUCT((Besatzung!$B$11:$B$22&lt;&gt;"")*(Besatzung!$F$11:$F$22="x")*(IF(Besatzung!$C$11:$C$22="",Besatzung!$B$5,Besatzung!$C$11:$C$22)&lt;=B25)*(IF(Besatzung!$D$11:$D$22="",Besatzung!$B$6,Besatzung!$D$11:$D$22)&gt;=B25)),1)),IF(I25="An Bord",(((Besatzung!$B$19&lt;&gt;"")*IF(B25="",1,(IF(Besatzung!$C$19="",Besatzung!$B$5,Besatzung!$C$19)&lt;=B25)*(IF(Besatzung!$D$19="",Besatzung!$B$6,Besatzung!$D$19)&gt;=B25)))*((G25-IFERROR(H25,0))/IFERROR(SUMPRODUCT((Besatzung!$B$11:$B$22&lt;&gt;"")*(IF(Besatzung!$C$11:$C$22="",Besatzung!$B$5,Besatzung!$C$11:$C$22)&lt;=B25)*(IF(Besatzung!$D$11:$D$22="",Besatzung!$B$6,Besatzung!$D$11:$D$22)&gt;=B25)),1)+(Besatzung!$F$19="x")*IFERROR(H25,0)/IFERROR(SUMPRODUCT((Besatzung!$B$11:$B$22&lt;&gt;"")*(Besatzung!$F$11:$F$22="x")*(IF(Besatzung!$C$11:$C$22="",Besatzung!$B$5,Besatzung!$C$11:$C$22)&lt;=B25)*(IF(Besatzung!$D$11:$D$22="",Besatzung!$B$6,Besatzung!$D$11:$D$22)&gt;=B25)),1))),IF(I25="Individuell",((R25="x")*((G25-IFERROR(H25,0))/IFERROR(COUNTIF(J25:U25,"x"),1)+(Besatzung!$F$19="x")*IFERROR(H25,0)/IFERROR(SUMPRODUCT((J25:U25="x")*(Besatzung!$F$11:$F$22="x")),1))),(IF(COUNTIF(J25:U25,"x")=0,IF(Besatzung!$B$19&lt;&gt;"",1,0),(R25="x"))*(G25-IFERROR(H25,0))/IFERROR(IF(COUNTIF(J25:U25,"x")=0,COUNTA(Besatzung!$B$11:$B$22),COUNTIF(J25:U25,"x")),1)+IF(COUNTIF(J25:U25,"x")=0,(Besatzung!$F$19="x"),(R25="x")*(Besatzung!$F$19="x"))*IFERROR(H25,0)/IFERROR(IF(COUNTIF(J25:U25,"x")=0,SUMPRODUCT((Besatzung!$B$11:$B$22&lt;&gt;"")*(Besatzung!$F$11:$F$22="x")),SUMPRODUCT((J25:U25="x")*(Besatzung!$F$11:$F$22="x"))),1))))),0))))</f>
        <v/>
      </c>
      <c r="AE25" s="247">
        <f>IF(C25="Gutschrift","",IF(G25="","",IF(Besatzung!$B$20="","",IFERROR(IF(I25="Zeitanteilig",(Besatzung!$G$20*(G25-IFERROR(H25,0))+((Besatzung!$B$20&lt;&gt;"")*IF(B25="",1,(IF(Besatzung!$C$20="",Besatzung!$B$5,Besatzung!$C$20)&lt;=B25)*(IF(Besatzung!$D$20="",Besatzung!$B$6,Besatzung!$D$20)&gt;=B25)))*(Besatzung!$F$20="x")*IFERROR(H25,0)/IFERROR(SUMPRODUCT((Besatzung!$B$11:$B$22&lt;&gt;"")*(Besatzung!$F$11:$F$22="x")*(IF(Besatzung!$C$11:$C$22="",Besatzung!$B$5,Besatzung!$C$11:$C$22)&lt;=B25)*(IF(Besatzung!$D$11:$D$22="",Besatzung!$B$6,Besatzung!$D$11:$D$22)&gt;=B25)),1)),IF(I25="An Bord",(((Besatzung!$B$20&lt;&gt;"")*IF(B25="",1,(IF(Besatzung!$C$20="",Besatzung!$B$5,Besatzung!$C$20)&lt;=B25)*(IF(Besatzung!$D$20="",Besatzung!$B$6,Besatzung!$D$20)&gt;=B25)))*((G25-IFERROR(H25,0))/IFERROR(SUMPRODUCT((Besatzung!$B$11:$B$22&lt;&gt;"")*(IF(Besatzung!$C$11:$C$22="",Besatzung!$B$5,Besatzung!$C$11:$C$22)&lt;=B25)*(IF(Besatzung!$D$11:$D$22="",Besatzung!$B$6,Besatzung!$D$11:$D$22)&gt;=B25)),1)+(Besatzung!$F$20="x")*IFERROR(H25,0)/IFERROR(SUMPRODUCT((Besatzung!$B$11:$B$22&lt;&gt;"")*(Besatzung!$F$11:$F$22="x")*(IF(Besatzung!$C$11:$C$22="",Besatzung!$B$5,Besatzung!$C$11:$C$22)&lt;=B25)*(IF(Besatzung!$D$11:$D$22="",Besatzung!$B$6,Besatzung!$D$11:$D$22)&gt;=B25)),1))),IF(I25="Individuell",((S25="x")*((G25-IFERROR(H25,0))/IFERROR(COUNTIF(J25:U25,"x"),1)+(Besatzung!$F$20="x")*IFERROR(H25,0)/IFERROR(SUMPRODUCT((J25:U25="x")*(Besatzung!$F$11:$F$22="x")),1))),(IF(COUNTIF(J25:U25,"x")=0,IF(Besatzung!$B$20&lt;&gt;"",1,0),(S25="x"))*(G25-IFERROR(H25,0))/IFERROR(IF(COUNTIF(J25:U25,"x")=0,COUNTA(Besatzung!$B$11:$B$22),COUNTIF(J25:U25,"x")),1)+IF(COUNTIF(J25:U25,"x")=0,(Besatzung!$F$20="x"),(S25="x")*(Besatzung!$F$20="x"))*IFERROR(H25,0)/IFERROR(IF(COUNTIF(J25:U25,"x")=0,SUMPRODUCT((Besatzung!$B$11:$B$22&lt;&gt;"")*(Besatzung!$F$11:$F$22="x")),SUMPRODUCT((J25:U25="x")*(Besatzung!$F$11:$F$22="x"))),1))))),0))))</f>
        <v/>
      </c>
      <c r="AF25" s="247">
        <f>IF(C25="Gutschrift","",IF(G25="","",IF(Besatzung!$B$21="","",IFERROR(IF(I25="Zeitanteilig",(Besatzung!$G$21*(G25-IFERROR(H25,0))+((Besatzung!$B$21&lt;&gt;"")*IF(B25="",1,(IF(Besatzung!$C$21="",Besatzung!$B$5,Besatzung!$C$21)&lt;=B25)*(IF(Besatzung!$D$21="",Besatzung!$B$6,Besatzung!$D$21)&gt;=B25)))*(Besatzung!$F$21="x")*IFERROR(H25,0)/IFERROR(SUMPRODUCT((Besatzung!$B$11:$B$22&lt;&gt;"")*(Besatzung!$F$11:$F$22="x")*(IF(Besatzung!$C$11:$C$22="",Besatzung!$B$5,Besatzung!$C$11:$C$22)&lt;=B25)*(IF(Besatzung!$D$11:$D$22="",Besatzung!$B$6,Besatzung!$D$11:$D$22)&gt;=B25)),1)),IF(I25="An Bord",(((Besatzung!$B$21&lt;&gt;"")*IF(B25="",1,(IF(Besatzung!$C$21="",Besatzung!$B$5,Besatzung!$C$21)&lt;=B25)*(IF(Besatzung!$D$21="",Besatzung!$B$6,Besatzung!$D$21)&gt;=B25)))*((G25-IFERROR(H25,0))/IFERROR(SUMPRODUCT((Besatzung!$B$11:$B$22&lt;&gt;"")*(IF(Besatzung!$C$11:$C$22="",Besatzung!$B$5,Besatzung!$C$11:$C$22)&lt;=B25)*(IF(Besatzung!$D$11:$D$22="",Besatzung!$B$6,Besatzung!$D$11:$D$22)&gt;=B25)),1)+(Besatzung!$F$21="x")*IFERROR(H25,0)/IFERROR(SUMPRODUCT((Besatzung!$B$11:$B$22&lt;&gt;"")*(Besatzung!$F$11:$F$22="x")*(IF(Besatzung!$C$11:$C$22="",Besatzung!$B$5,Besatzung!$C$11:$C$22)&lt;=B25)*(IF(Besatzung!$D$11:$D$22="",Besatzung!$B$6,Besatzung!$D$11:$D$22)&gt;=B25)),1))),IF(I25="Individuell",((T25="x")*((G25-IFERROR(H25,0))/IFERROR(COUNTIF(J25:U25,"x"),1)+(Besatzung!$F$21="x")*IFERROR(H25,0)/IFERROR(SUMPRODUCT((J25:U25="x")*(Besatzung!$F$11:$F$22="x")),1))),(IF(COUNTIF(J25:U25,"x")=0,IF(Besatzung!$B$21&lt;&gt;"",1,0),(T25="x"))*(G25-IFERROR(H25,0))/IFERROR(IF(COUNTIF(J25:U25,"x")=0,COUNTA(Besatzung!$B$11:$B$22),COUNTIF(J25:U25,"x")),1)+IF(COUNTIF(J25:U25,"x")=0,(Besatzung!$F$21="x"),(T25="x")*(Besatzung!$F$21="x"))*IFERROR(H25,0)/IFERROR(IF(COUNTIF(J25:U25,"x")=0,SUMPRODUCT((Besatzung!$B$11:$B$22&lt;&gt;"")*(Besatzung!$F$11:$F$22="x")),SUMPRODUCT((J25:U25="x")*(Besatzung!$F$11:$F$22="x"))),1))))),0))))</f>
        <v/>
      </c>
      <c r="AG25" s="247">
        <f>IF(C25="Gutschrift","",IF(G25="","",IF(Besatzung!$B$22="","",IFERROR(IF(I25="Zeitanteilig",(Besatzung!$G$22*(G25-IFERROR(H25,0))+((Besatzung!$B$22&lt;&gt;"")*IF(B25="",1,(IF(Besatzung!$C$22="",Besatzung!$B$5,Besatzung!$C$22)&lt;=B25)*(IF(Besatzung!$D$22="",Besatzung!$B$6,Besatzung!$D$22)&gt;=B25)))*(Besatzung!$F$22="x")*IFERROR(H25,0)/IFERROR(SUMPRODUCT((Besatzung!$B$11:$B$22&lt;&gt;"")*(Besatzung!$F$11:$F$22="x")*(IF(Besatzung!$C$11:$C$22="",Besatzung!$B$5,Besatzung!$C$11:$C$22)&lt;=B25)*(IF(Besatzung!$D$11:$D$22="",Besatzung!$B$6,Besatzung!$D$11:$D$22)&gt;=B25)),1)),IF(I25="An Bord",(((Besatzung!$B$22&lt;&gt;"")*IF(B25="",1,(IF(Besatzung!$C$22="",Besatzung!$B$5,Besatzung!$C$22)&lt;=B25)*(IF(Besatzung!$D$22="",Besatzung!$B$6,Besatzung!$D$22)&gt;=B25)))*((G25-IFERROR(H25,0))/IFERROR(SUMPRODUCT((Besatzung!$B$11:$B$22&lt;&gt;"")*(IF(Besatzung!$C$11:$C$22="",Besatzung!$B$5,Besatzung!$C$11:$C$22)&lt;=B25)*(IF(Besatzung!$D$11:$D$22="",Besatzung!$B$6,Besatzung!$D$11:$D$22)&gt;=B25)),1)+(Besatzung!$F$22="x")*IFERROR(H25,0)/IFERROR(SUMPRODUCT((Besatzung!$B$11:$B$22&lt;&gt;"")*(Besatzung!$F$11:$F$22="x")*(IF(Besatzung!$C$11:$C$22="",Besatzung!$B$5,Besatzung!$C$11:$C$22)&lt;=B25)*(IF(Besatzung!$D$11:$D$22="",Besatzung!$B$6,Besatzung!$D$11:$D$22)&gt;=B25)),1))),IF(I25="Individuell",((U25="x")*((G25-IFERROR(H25,0))/IFERROR(COUNTIF(J25:U25,"x"),1)+(Besatzung!$F$22="x")*IFERROR(H25,0)/IFERROR(SUMPRODUCT((J25:U25="x")*(Besatzung!$F$11:$F$22="x")),1))),(IF(COUNTIF(J25:U25,"x")=0,IF(Besatzung!$B$22&lt;&gt;"",1,0),(U25="x"))*(G25-IFERROR(H25,0))/IFERROR(IF(COUNTIF(J25:U25,"x")=0,COUNTA(Besatzung!$B$11:$B$22),COUNTIF(J25:U25,"x")),1)+IF(COUNTIF(J25:U25,"x")=0,(Besatzung!$F$22="x"),(U25="x")*(Besatzung!$F$22="x"))*IFERROR(H25,0)/IFERROR(IF(COUNTIF(J25:U25,"x")=0,SUMPRODUCT((Besatzung!$B$11:$B$22&lt;&gt;"")*(Besatzung!$F$11:$F$22="x")),SUMPRODUCT((J25:U25="x")*(Besatzung!$F$11:$F$22="x"))),1))))),0))))</f>
        <v/>
      </c>
      <c r="AH25" s="248" t="n"/>
      <c r="AI25" s="248" t="n"/>
    </row>
    <row r="26" ht="21.75" customHeight="1" s="154">
      <c r="A26" s="238">
        <f>IF(AND(D26="",C26=""),"",23)</f>
        <v/>
      </c>
      <c r="B26" s="199" t="n"/>
      <c r="C26" s="239" t="n"/>
      <c r="D26" s="240" t="n"/>
      <c r="E26" s="241" t="n"/>
      <c r="F26" s="242" t="n"/>
      <c r="G26" s="243" t="n"/>
      <c r="H26" s="244" t="n"/>
      <c r="I26" s="245" t="n"/>
      <c r="J26" s="246" t="n"/>
      <c r="K26" s="246" t="n"/>
      <c r="L26" s="246" t="n"/>
      <c r="M26" s="246" t="n"/>
      <c r="N26" s="246" t="n"/>
      <c r="O26" s="246" t="n"/>
      <c r="P26" s="246" t="n"/>
      <c r="Q26" s="246" t="n"/>
      <c r="R26" s="246" t="n"/>
      <c r="S26" s="246" t="n"/>
      <c r="T26" s="246" t="n"/>
      <c r="U26" s="246" t="n"/>
      <c r="V26" s="247">
        <f>IF(C26="Gutschrift","",IF(G26="","",IF(Besatzung!$B$11="","",IFERROR(IF(I26="Zeitanteilig",(Besatzung!$G$11*(G26-IFERROR(H26,0))+((Besatzung!$B$11&lt;&gt;"")*IF(B26="",1,(IF(Besatzung!$C$11="",Besatzung!$B$5,Besatzung!$C$11)&lt;=B26)*(IF(Besatzung!$D$11="",Besatzung!$B$6,Besatzung!$D$11)&gt;=B26)))*(Besatzung!$F$11="x")*IFERROR(H26,0)/IFERROR(SUMPRODUCT((Besatzung!$B$11:$B$22&lt;&gt;"")*(Besatzung!$F$11:$F$22="x")*(IF(Besatzung!$C$11:$C$22="",Besatzung!$B$5,Besatzung!$C$11:$C$22)&lt;=B26)*(IF(Besatzung!$D$11:$D$22="",Besatzung!$B$6,Besatzung!$D$11:$D$22)&gt;=B26)),1)),IF(I26="An Bord",(((Besatzung!$B$11&lt;&gt;"")*IF(B26="",1,(IF(Besatzung!$C$11="",Besatzung!$B$5,Besatzung!$C$11)&lt;=B26)*(IF(Besatzung!$D$11="",Besatzung!$B$6,Besatzung!$D$11)&gt;=B26)))*((G26-IFERROR(H26,0))/IFERROR(SUMPRODUCT((Besatzung!$B$11:$B$22&lt;&gt;"")*(IF(Besatzung!$C$11:$C$22="",Besatzung!$B$5,Besatzung!$C$11:$C$22)&lt;=B26)*(IF(Besatzung!$D$11:$D$22="",Besatzung!$B$6,Besatzung!$D$11:$D$22)&gt;=B26)),1)+(Besatzung!$F$11="x")*IFERROR(H26,0)/IFERROR(SUMPRODUCT((Besatzung!$B$11:$B$22&lt;&gt;"")*(Besatzung!$F$11:$F$22="x")*(IF(Besatzung!$C$11:$C$22="",Besatzung!$B$5,Besatzung!$C$11:$C$22)&lt;=B26)*(IF(Besatzung!$D$11:$D$22="",Besatzung!$B$6,Besatzung!$D$11:$D$22)&gt;=B26)),1))),IF(I26="Individuell",((J26="x")*((G26-IFERROR(H26,0))/IFERROR(COUNTIF(J26:U26,"x"),1)+(Besatzung!$F$11="x")*IFERROR(H26,0)/IFERROR(SUMPRODUCT((J26:U26="x")*(Besatzung!$F$11:$F$22="x")),1))),(IF(COUNTIF(J26:U26,"x")=0,IF(Besatzung!$B$11&lt;&gt;"",1,0),(J26="x"))*(G26-IFERROR(H26,0))/IFERROR(IF(COUNTIF(J26:U26,"x")=0,COUNTA(Besatzung!$B$11:$B$22),COUNTIF(J26:U26,"x")),1)+IF(COUNTIF(J26:U26,"x")=0,(Besatzung!$F$11="x"),(J26="x")*(Besatzung!$F$11="x"))*IFERROR(H26,0)/IFERROR(IF(COUNTIF(J26:U26,"x")=0,SUMPRODUCT((Besatzung!$B$11:$B$22&lt;&gt;"")*(Besatzung!$F$11:$F$22="x")),SUMPRODUCT((J26:U26="x")*(Besatzung!$F$11:$F$22="x"))),1))))),0))))</f>
        <v/>
      </c>
      <c r="W26" s="247">
        <f>IF(C26="Gutschrift","",IF(G26="","",IF(Besatzung!$B$12="","",IFERROR(IF(I26="Zeitanteilig",(Besatzung!$G$12*(G26-IFERROR(H26,0))+((Besatzung!$B$12&lt;&gt;"")*IF(B26="",1,(IF(Besatzung!$C$12="",Besatzung!$B$5,Besatzung!$C$12)&lt;=B26)*(IF(Besatzung!$D$12="",Besatzung!$B$6,Besatzung!$D$12)&gt;=B26)))*(Besatzung!$F$12="x")*IFERROR(H26,0)/IFERROR(SUMPRODUCT((Besatzung!$B$11:$B$22&lt;&gt;"")*(Besatzung!$F$11:$F$22="x")*(IF(Besatzung!$C$11:$C$22="",Besatzung!$B$5,Besatzung!$C$11:$C$22)&lt;=B26)*(IF(Besatzung!$D$11:$D$22="",Besatzung!$B$6,Besatzung!$D$11:$D$22)&gt;=B26)),1)),IF(I26="An Bord",(((Besatzung!$B$12&lt;&gt;"")*IF(B26="",1,(IF(Besatzung!$C$12="",Besatzung!$B$5,Besatzung!$C$12)&lt;=B26)*(IF(Besatzung!$D$12="",Besatzung!$B$6,Besatzung!$D$12)&gt;=B26)))*((G26-IFERROR(H26,0))/IFERROR(SUMPRODUCT((Besatzung!$B$11:$B$22&lt;&gt;"")*(IF(Besatzung!$C$11:$C$22="",Besatzung!$B$5,Besatzung!$C$11:$C$22)&lt;=B26)*(IF(Besatzung!$D$11:$D$22="",Besatzung!$B$6,Besatzung!$D$11:$D$22)&gt;=B26)),1)+(Besatzung!$F$12="x")*IFERROR(H26,0)/IFERROR(SUMPRODUCT((Besatzung!$B$11:$B$22&lt;&gt;"")*(Besatzung!$F$11:$F$22="x")*(IF(Besatzung!$C$11:$C$22="",Besatzung!$B$5,Besatzung!$C$11:$C$22)&lt;=B26)*(IF(Besatzung!$D$11:$D$22="",Besatzung!$B$6,Besatzung!$D$11:$D$22)&gt;=B26)),1))),IF(I26="Individuell",((K26="x")*((G26-IFERROR(H26,0))/IFERROR(COUNTIF(J26:U26,"x"),1)+(Besatzung!$F$12="x")*IFERROR(H26,0)/IFERROR(SUMPRODUCT((J26:U26="x")*(Besatzung!$F$11:$F$22="x")),1))),(IF(COUNTIF(J26:U26,"x")=0,IF(Besatzung!$B$12&lt;&gt;"",1,0),(K26="x"))*(G26-IFERROR(H26,0))/IFERROR(IF(COUNTIF(J26:U26,"x")=0,COUNTA(Besatzung!$B$11:$B$22),COUNTIF(J26:U26,"x")),1)+IF(COUNTIF(J26:U26,"x")=0,(Besatzung!$F$12="x"),(K26="x")*(Besatzung!$F$12="x"))*IFERROR(H26,0)/IFERROR(IF(COUNTIF(J26:U26,"x")=0,SUMPRODUCT((Besatzung!$B$11:$B$22&lt;&gt;"")*(Besatzung!$F$11:$F$22="x")),SUMPRODUCT((J26:U26="x")*(Besatzung!$F$11:$F$22="x"))),1))))),0))))</f>
        <v/>
      </c>
      <c r="X26" s="247">
        <f>IF(C26="Gutschrift","",IF(G26="","",IF(Besatzung!$B$13="","",IFERROR(IF(I26="Zeitanteilig",(Besatzung!$G$13*(G26-IFERROR(H26,0))+((Besatzung!$B$13&lt;&gt;"")*IF(B26="",1,(IF(Besatzung!$C$13="",Besatzung!$B$5,Besatzung!$C$13)&lt;=B26)*(IF(Besatzung!$D$13="",Besatzung!$B$6,Besatzung!$D$13)&gt;=B26)))*(Besatzung!$F$13="x")*IFERROR(H26,0)/IFERROR(SUMPRODUCT((Besatzung!$B$11:$B$22&lt;&gt;"")*(Besatzung!$F$11:$F$22="x")*(IF(Besatzung!$C$11:$C$22="",Besatzung!$B$5,Besatzung!$C$11:$C$22)&lt;=B26)*(IF(Besatzung!$D$11:$D$22="",Besatzung!$B$6,Besatzung!$D$11:$D$22)&gt;=B26)),1)),IF(I26="An Bord",(((Besatzung!$B$13&lt;&gt;"")*IF(B26="",1,(IF(Besatzung!$C$13="",Besatzung!$B$5,Besatzung!$C$13)&lt;=B26)*(IF(Besatzung!$D$13="",Besatzung!$B$6,Besatzung!$D$13)&gt;=B26)))*((G26-IFERROR(H26,0))/IFERROR(SUMPRODUCT((Besatzung!$B$11:$B$22&lt;&gt;"")*(IF(Besatzung!$C$11:$C$22="",Besatzung!$B$5,Besatzung!$C$11:$C$22)&lt;=B26)*(IF(Besatzung!$D$11:$D$22="",Besatzung!$B$6,Besatzung!$D$11:$D$22)&gt;=B26)),1)+(Besatzung!$F$13="x")*IFERROR(H26,0)/IFERROR(SUMPRODUCT((Besatzung!$B$11:$B$22&lt;&gt;"")*(Besatzung!$F$11:$F$22="x")*(IF(Besatzung!$C$11:$C$22="",Besatzung!$B$5,Besatzung!$C$11:$C$22)&lt;=B26)*(IF(Besatzung!$D$11:$D$22="",Besatzung!$B$6,Besatzung!$D$11:$D$22)&gt;=B26)),1))),IF(I26="Individuell",((K26="x")*((G26-IFERROR(H26,0))/IFERROR(COUNTIF(J26:U26,"x"),1)+(Besatzung!$F$13="x")*IFERROR(H26,0)/IFERROR(SUMPRODUCT((J26:U26="x")*(Besatzung!$F$11:$F$22="x")),1))),(IF(COUNTIF(J26:U26,"x")=0,IF(Besatzung!$B$13&lt;&gt;"",1,0),(K26="x"))*(G26-IFERROR(H26,0))/IFERROR(IF(COUNTIF(J26:U26,"x")=0,COUNTA(Besatzung!$B$11:$B$22),COUNTIF(J26:U26,"x")),1)+IF(COUNTIF(J26:U26,"x")=0,(Besatzung!$F$13="x"),(K26="x")*(Besatzung!$F$13="x"))*IFERROR(H26,0)/IFERROR(IF(COUNTIF(J26:U26,"x")=0,SUMPRODUCT((Besatzung!$B$11:$B$22&lt;&gt;"")*(Besatzung!$F$11:$F$22="x")),SUMPRODUCT((J26:U26="x")*(Besatzung!$F$11:$F$22="x"))),1))))),0))))</f>
        <v/>
      </c>
      <c r="Y26" s="247">
        <f>IF(C26="Gutschrift","",IF(G26="","",IF(Besatzung!$B$14="","",IFERROR(IF(I26="Zeitanteilig",(Besatzung!$G$14*(G26-IFERROR(H26,0))+((Besatzung!$B$14&lt;&gt;"")*IF(B26="",1,(IF(Besatzung!$C$14="",Besatzung!$B$5,Besatzung!$C$14)&lt;=B26)*(IF(Besatzung!$D$14="",Besatzung!$B$6,Besatzung!$D$14)&gt;=B26)))*(Besatzung!$F$14="x")*IFERROR(H26,0)/IFERROR(SUMPRODUCT((Besatzung!$B$11:$B$22&lt;&gt;"")*(Besatzung!$F$11:$F$22="x")*(IF(Besatzung!$C$11:$C$22="",Besatzung!$B$5,Besatzung!$C$11:$C$22)&lt;=B26)*(IF(Besatzung!$D$11:$D$22="",Besatzung!$B$6,Besatzung!$D$11:$D$22)&gt;=B26)),1)),IF(I26="An Bord",(((Besatzung!$B$14&lt;&gt;"")*IF(B26="",1,(IF(Besatzung!$C$14="",Besatzung!$B$5,Besatzung!$C$14)&lt;=B26)*(IF(Besatzung!$D$14="",Besatzung!$B$6,Besatzung!$D$14)&gt;=B26)))*((G26-IFERROR(H26,0))/IFERROR(SUMPRODUCT((Besatzung!$B$11:$B$22&lt;&gt;"")*(IF(Besatzung!$C$11:$C$22="",Besatzung!$B$5,Besatzung!$C$11:$C$22)&lt;=B26)*(IF(Besatzung!$D$11:$D$22="",Besatzung!$B$6,Besatzung!$D$11:$D$22)&gt;=B26)),1)+(Besatzung!$F$14="x")*IFERROR(H26,0)/IFERROR(SUMPRODUCT((Besatzung!$B$11:$B$22&lt;&gt;"")*(Besatzung!$F$11:$F$22="x")*(IF(Besatzung!$C$11:$C$22="",Besatzung!$B$5,Besatzung!$C$11:$C$22)&lt;=B26)*(IF(Besatzung!$D$11:$D$22="",Besatzung!$B$6,Besatzung!$D$11:$D$22)&gt;=B26)),1))),IF(I26="Individuell",((M26="x")*((G26-IFERROR(H26,0))/IFERROR(COUNTIF(J26:U26,"x"),1)+(Besatzung!$F$14="x")*IFERROR(H26,0)/IFERROR(SUMPRODUCT((J26:U26="x")*(Besatzung!$F$11:$F$22="x")),1))),(IF(COUNTIF(J26:U26,"x")=0,IF(Besatzung!$B$14&lt;&gt;"",1,0),(M26="x"))*(G26-IFERROR(H26,0))/IFERROR(IF(COUNTIF(J26:U26,"x")=0,COUNTA(Besatzung!$B$11:$B$22),COUNTIF(J26:U26,"x")),1)+IF(COUNTIF(J26:U26,"x")=0,(Besatzung!$F$14="x"),(M26="x")*(Besatzung!$F$14="x"))*IFERROR(H26,0)/IFERROR(IF(COUNTIF(J26:U26,"x")=0,SUMPRODUCT((Besatzung!$B$11:$B$22&lt;&gt;"")*(Besatzung!$F$11:$F$22="x")),SUMPRODUCT((J26:U26="x")*(Besatzung!$F$11:$F$22="x"))),1))))),0))))</f>
        <v/>
      </c>
      <c r="Z26" s="247">
        <f>IF(C26="Gutschrift","",IF(G26="","",IF(Besatzung!$B$13="","",IFERROR(IF(I26="Zeitanteilig",(Besatzung!$G$15*(G26-IFERROR(H26,0))+((Besatzung!$B$13&lt;&gt;"")*IF(B26="",1,(IF(Besatzung!$C$15="",Besatzung!$B$5,Besatzung!$C$15)&lt;=B26)*(IF(Besatzung!$D$15="",Besatzung!$B$6,Besatzung!$D$15)&gt;=B26)))*(Besatzung!$F$15="x")*IFERROR(H26,0)/IFERROR(SUMPRODUCT((Besatzung!$B$11:$B$22&lt;&gt;"")*(Besatzung!$F$11:$F$22="x")*(IF(Besatzung!$C$11:$C$22="",Besatzung!$B$5,Besatzung!$C$11:$C$22)&lt;=B26)*(IF(Besatzung!$D$11:$D$22="",Besatzung!$B$6,Besatzung!$D$11:$D$22)&gt;=B26)),1)),IF(I26="An Bord",(((Besatzung!$B$13&lt;&gt;"")*IF(B26="",1,(IF(Besatzung!$C$15="",Besatzung!$B$5,Besatzung!$C$15)&lt;=B26)*(IF(Besatzung!$D$15="",Besatzung!$B$6,Besatzung!$D$15)&gt;=B26)))*((G26-IFERROR(H26,0))/IFERROR(SUMPRODUCT((Besatzung!$B$11:$B$22&lt;&gt;"")*(IF(Besatzung!$C$11:$C$22="",Besatzung!$B$5,Besatzung!$C$11:$C$22)&lt;=B26)*(IF(Besatzung!$D$11:$D$22="",Besatzung!$B$6,Besatzung!$D$11:$D$22)&gt;=B26)),1)+(Besatzung!$F$15="x")*IFERROR(H26,0)/IFERROR(SUMPRODUCT((Besatzung!$B$11:$B$22&lt;&gt;"")*(Besatzung!$F$11:$F$22="x")*(IF(Besatzung!$C$11:$C$22="",Besatzung!$B$5,Besatzung!$C$11:$C$22)&lt;=B26)*(IF(Besatzung!$D$11:$D$22="",Besatzung!$B$6,Besatzung!$D$11:$D$22)&gt;=B26)),1))),IF(I26="Individuell",((N26="x")*((G26-IFERROR(H26,0))/IFERROR(COUNTIF(J26:U26,"x"),1)+(Besatzung!$F$15="x")*IFERROR(H26,0)/IFERROR(SUMPRODUCT((J26:U26="x")*(Besatzung!$F$11:$F$22="x")),1))),(IF(COUNTIF(J26:U26,"x")=0,IF(Besatzung!$B$13&lt;&gt;"",1,0),(N26="x"))*(G26-IFERROR(H26,0))/IFERROR(IF(COUNTIF(J26:U26,"x")=0,COUNTA(Besatzung!$B$11:$B$22),COUNTIF(J26:U26,"x")),1)+IF(COUNTIF(J26:U26,"x")=0,(Besatzung!$F$15="x"),(N26="x")*(Besatzung!$F$15="x"))*IFERROR(H26,0)/IFERROR(IF(COUNTIF(J26:U26,"x")=0,SUMPRODUCT((Besatzung!$B$11:$B$22&lt;&gt;"")*(Besatzung!$F$11:$F$22="x")),SUMPRODUCT((J26:U26="x")*(Besatzung!$F$11:$F$22="x"))),1))))),0))))</f>
        <v/>
      </c>
      <c r="AA26" s="247">
        <f>IF(C26="Gutschrift","",IF(G26="","",IF(Besatzung!$B$15="","",IFERROR(IF(I26="Zeitanteilig",(Besatzung!$G$16*(G26-IFERROR(H26,0))+((Besatzung!$B$15&lt;&gt;"")*IF(B26="",1,(IF(Besatzung!$C$16="",Besatzung!$B$5,Besatzung!$C$16)&lt;=B26)*(IF(Besatzung!$D$16="",Besatzung!$B$6,Besatzung!$D$16)&gt;=B26)))*(Besatzung!$F$16="x")*IFERROR(H26,0)/IFERROR(SUMPRODUCT((Besatzung!$B$11:$B$22&lt;&gt;"")*(Besatzung!$F$11:$F$22="x")*(IF(Besatzung!$C$11:$C$22="",Besatzung!$B$5,Besatzung!$C$11:$C$22)&lt;=B26)*(IF(Besatzung!$D$11:$D$22="",Besatzung!$B$6,Besatzung!$D$11:$D$22)&gt;=B26)),1)),IF(I26="An Bord",(((Besatzung!$B$15&lt;&gt;"")*IF(B26="",1,(IF(Besatzung!$C$16="",Besatzung!$B$5,Besatzung!$C$16)&lt;=B26)*(IF(Besatzung!$D$16="",Besatzung!$B$6,Besatzung!$D$16)&gt;=B26)))*((G26-IFERROR(H26,0))/IFERROR(SUMPRODUCT((Besatzung!$B$11:$B$22&lt;&gt;"")*(IF(Besatzung!$C$11:$C$22="",Besatzung!$B$5,Besatzung!$C$11:$C$22)&lt;=B26)*(IF(Besatzung!$D$11:$D$22="",Besatzung!$B$6,Besatzung!$D$11:$D$22)&gt;=B26)),1)+(Besatzung!$F$16="x")*IFERROR(H26,0)/IFERROR(SUMPRODUCT((Besatzung!$B$11:$B$22&lt;&gt;"")*(Besatzung!$F$11:$F$22="x")*(IF(Besatzung!$C$11:$C$22="",Besatzung!$B$5,Besatzung!$C$11:$C$22)&lt;=B26)*(IF(Besatzung!$D$11:$D$22="",Besatzung!$B$6,Besatzung!$D$11:$D$22)&gt;=B26)),1))),IF(I26="Individuell",((O26="x")*((G26-IFERROR(H26,0))/IFERROR(COUNTIF(J26:U26,"x"),1)+(Besatzung!$F$16="x")*IFERROR(H26,0)/IFERROR(SUMPRODUCT((J26:U26="x")*(Besatzung!$F$11:$F$22="x")),1))),(IF(COUNTIF(J26:U26,"x")=0,IF(Besatzung!$B$15&lt;&gt;"",1,0),(O26="x"))*(G26-IFERROR(H26,0))/IFERROR(IF(COUNTIF(J26:U26,"x")=0,COUNTA(Besatzung!$B$11:$B$22),COUNTIF(J26:U26,"x")),1)+IF(COUNTIF(J26:U26,"x")=0,(Besatzung!$F$16="x"),(O26="x")*(Besatzung!$F$16="x"))*IFERROR(H26,0)/IFERROR(IF(COUNTIF(J26:U26,"x")=0,SUMPRODUCT((Besatzung!$B$11:$B$22&lt;&gt;"")*(Besatzung!$F$11:$F$22="x")),SUMPRODUCT((J26:U26="x")*(Besatzung!$F$11:$F$22="x"))),1))))),0))))</f>
        <v/>
      </c>
      <c r="AB26" s="247">
        <f>IF(C26="Gutschrift","",IF(G26="","",IF(Besatzung!$B$17="","",IFERROR(IF(I26="Zeitanteilig",(Besatzung!$G$17*(G26-IFERROR(H26,0))+((Besatzung!$B$17&lt;&gt;"")*IF(B26="",1,(IF(Besatzung!$C$17="",Besatzung!$B$5,Besatzung!$C$17)&lt;=B26)*(IF(Besatzung!$D$17="",Besatzung!$B$6,Besatzung!$D$17)&gt;=B26)))*(Besatzung!$F$17="x")*IFERROR(H26,0)/IFERROR(SUMPRODUCT((Besatzung!$B$11:$B$22&lt;&gt;"")*(Besatzung!$F$11:$F$22="x")*(IF(Besatzung!$C$11:$C$22="",Besatzung!$B$5,Besatzung!$C$11:$C$22)&lt;=B26)*(IF(Besatzung!$D$11:$D$22="",Besatzung!$B$6,Besatzung!$D$11:$D$22)&gt;=B26)),1)),IF(I26="An Bord",(((Besatzung!$B$17&lt;&gt;"")*IF(B26="",1,(IF(Besatzung!$C$17="",Besatzung!$B$5,Besatzung!$C$17)&lt;=B26)*(IF(Besatzung!$D$17="",Besatzung!$B$6,Besatzung!$D$17)&gt;=B26)))*((G26-IFERROR(H26,0))/IFERROR(SUMPRODUCT((Besatzung!$B$11:$B$22&lt;&gt;"")*(IF(Besatzung!$C$11:$C$22="",Besatzung!$B$5,Besatzung!$C$11:$C$22)&lt;=B26)*(IF(Besatzung!$D$11:$D$22="",Besatzung!$B$6,Besatzung!$D$11:$D$22)&gt;=B26)),1)+(Besatzung!$F$17="x")*IFERROR(H26,0)/IFERROR(SUMPRODUCT((Besatzung!$B$11:$B$22&lt;&gt;"")*(Besatzung!$F$11:$F$22="x")*(IF(Besatzung!$C$11:$C$22="",Besatzung!$B$5,Besatzung!$C$11:$C$22)&lt;=B26)*(IF(Besatzung!$D$11:$D$22="",Besatzung!$B$6,Besatzung!$D$11:$D$22)&gt;=B26)),1))),IF(I26="Individuell",((P26="x")*((G26-IFERROR(H26,0))/IFERROR(COUNTIF(J26:U26,"x"),1)+(Besatzung!$F$17="x")*IFERROR(H26,0)/IFERROR(SUMPRODUCT((J26:U26="x")*(Besatzung!$F$11:$F$22="x")),1))),(IF(COUNTIF(J26:U26,"x")=0,IF(Besatzung!$B$17&lt;&gt;"",1,0),(P26="x"))*(G26-IFERROR(H26,0))/IFERROR(IF(COUNTIF(J26:U26,"x")=0,COUNTA(Besatzung!$B$11:$B$22),COUNTIF(J26:U26,"x")),1)+IF(COUNTIF(J26:U26,"x")=0,(Besatzung!$F$17="x"),(P26="x")*(Besatzung!$F$17="x"))*IFERROR(H26,0)/IFERROR(IF(COUNTIF(J26:U26,"x")=0,SUMPRODUCT((Besatzung!$B$11:$B$22&lt;&gt;"")*(Besatzung!$F$11:$F$22="x")),SUMPRODUCT((J26:U26="x")*(Besatzung!$F$11:$F$22="x"))),1))))),0))))</f>
        <v/>
      </c>
      <c r="AC26" s="247">
        <f>IF(C26="Gutschrift","",IF(G26="","",IF(Besatzung!$B$18="","",IFERROR(IF(I26="Zeitanteilig",(Besatzung!$G$18*(G26-IFERROR(H26,0))+((Besatzung!$B$18&lt;&gt;"")*IF(B26="",1,(IF(Besatzung!$C$18="",Besatzung!$B$5,Besatzung!$C$18)&lt;=B26)*(IF(Besatzung!$D$18="",Besatzung!$B$6,Besatzung!$D$18)&gt;=B26)))*(Besatzung!$F$18="x")*IFERROR(H26,0)/IFERROR(SUMPRODUCT((Besatzung!$B$11:$B$22&lt;&gt;"")*(Besatzung!$F$11:$F$22="x")*(IF(Besatzung!$C$11:$C$22="",Besatzung!$B$5,Besatzung!$C$11:$C$22)&lt;=B26)*(IF(Besatzung!$D$11:$D$22="",Besatzung!$B$6,Besatzung!$D$11:$D$22)&gt;=B26)),1)),IF(I26="An Bord",(((Besatzung!$B$18&lt;&gt;"")*IF(B26="",1,(IF(Besatzung!$C$18="",Besatzung!$B$5,Besatzung!$C$18)&lt;=B26)*(IF(Besatzung!$D$18="",Besatzung!$B$6,Besatzung!$D$18)&gt;=B26)))*((G26-IFERROR(H26,0))/IFERROR(SUMPRODUCT((Besatzung!$B$11:$B$22&lt;&gt;"")*(IF(Besatzung!$C$11:$C$22="",Besatzung!$B$5,Besatzung!$C$11:$C$22)&lt;=B26)*(IF(Besatzung!$D$11:$D$22="",Besatzung!$B$6,Besatzung!$D$11:$D$22)&gt;=B26)),1)+(Besatzung!$F$18="x")*IFERROR(H26,0)/IFERROR(SUMPRODUCT((Besatzung!$B$11:$B$22&lt;&gt;"")*(Besatzung!$F$11:$F$22="x")*(IF(Besatzung!$C$11:$C$22="",Besatzung!$B$5,Besatzung!$C$11:$C$22)&lt;=B26)*(IF(Besatzung!$D$11:$D$22="",Besatzung!$B$6,Besatzung!$D$11:$D$22)&gt;=B26)),1))),IF(I26="Individuell",((Q26="x")*((G26-IFERROR(H26,0))/IFERROR(COUNTIF(J26:U26,"x"),1)+(Besatzung!$F$18="x")*IFERROR(H26,0)/IFERROR(SUMPRODUCT((J26:U26="x")*(Besatzung!$F$11:$F$22="x")),1))),(IF(COUNTIF(J26:U26,"x")=0,IF(Besatzung!$B$18&lt;&gt;"",1,0),(Q26="x"))*(G26-IFERROR(H26,0))/IFERROR(IF(COUNTIF(J26:U26,"x")=0,COUNTA(Besatzung!$B$11:$B$22),COUNTIF(J26:U26,"x")),1)+IF(COUNTIF(J26:U26,"x")=0,(Besatzung!$F$18="x"),(Q26="x")*(Besatzung!$F$18="x"))*IFERROR(H26,0)/IFERROR(IF(COUNTIF(J26:U26,"x")=0,SUMPRODUCT((Besatzung!$B$11:$B$22&lt;&gt;"")*(Besatzung!$F$11:$F$22="x")),SUMPRODUCT((J26:U26="x")*(Besatzung!$F$11:$F$22="x"))),1))))),0))))</f>
        <v/>
      </c>
      <c r="AD26" s="247">
        <f>IF(C26="Gutschrift","",IF(G26="","",IF(Besatzung!$B$19="","",IFERROR(IF(I26="Zeitanteilig",(Besatzung!$G$19*(G26-IFERROR(H26,0))+((Besatzung!$B$19&lt;&gt;"")*IF(B26="",1,(IF(Besatzung!$C$19="",Besatzung!$B$5,Besatzung!$C$19)&lt;=B26)*(IF(Besatzung!$D$19="",Besatzung!$B$6,Besatzung!$D$19)&gt;=B26)))*(Besatzung!$F$19="x")*IFERROR(H26,0)/IFERROR(SUMPRODUCT((Besatzung!$B$11:$B$22&lt;&gt;"")*(Besatzung!$F$11:$F$22="x")*(IF(Besatzung!$C$11:$C$22="",Besatzung!$B$5,Besatzung!$C$11:$C$22)&lt;=B26)*(IF(Besatzung!$D$11:$D$22="",Besatzung!$B$6,Besatzung!$D$11:$D$22)&gt;=B26)),1)),IF(I26="An Bord",(((Besatzung!$B$19&lt;&gt;"")*IF(B26="",1,(IF(Besatzung!$C$19="",Besatzung!$B$5,Besatzung!$C$19)&lt;=B26)*(IF(Besatzung!$D$19="",Besatzung!$B$6,Besatzung!$D$19)&gt;=B26)))*((G26-IFERROR(H26,0))/IFERROR(SUMPRODUCT((Besatzung!$B$11:$B$22&lt;&gt;"")*(IF(Besatzung!$C$11:$C$22="",Besatzung!$B$5,Besatzung!$C$11:$C$22)&lt;=B26)*(IF(Besatzung!$D$11:$D$22="",Besatzung!$B$6,Besatzung!$D$11:$D$22)&gt;=B26)),1)+(Besatzung!$F$19="x")*IFERROR(H26,0)/IFERROR(SUMPRODUCT((Besatzung!$B$11:$B$22&lt;&gt;"")*(Besatzung!$F$11:$F$22="x")*(IF(Besatzung!$C$11:$C$22="",Besatzung!$B$5,Besatzung!$C$11:$C$22)&lt;=B26)*(IF(Besatzung!$D$11:$D$22="",Besatzung!$B$6,Besatzung!$D$11:$D$22)&gt;=B26)),1))),IF(I26="Individuell",((R26="x")*((G26-IFERROR(H26,0))/IFERROR(COUNTIF(J26:U26,"x"),1)+(Besatzung!$F$19="x")*IFERROR(H26,0)/IFERROR(SUMPRODUCT((J26:U26="x")*(Besatzung!$F$11:$F$22="x")),1))),(IF(COUNTIF(J26:U26,"x")=0,IF(Besatzung!$B$19&lt;&gt;"",1,0),(R26="x"))*(G26-IFERROR(H26,0))/IFERROR(IF(COUNTIF(J26:U26,"x")=0,COUNTA(Besatzung!$B$11:$B$22),COUNTIF(J26:U26,"x")),1)+IF(COUNTIF(J26:U26,"x")=0,(Besatzung!$F$19="x"),(R26="x")*(Besatzung!$F$19="x"))*IFERROR(H26,0)/IFERROR(IF(COUNTIF(J26:U26,"x")=0,SUMPRODUCT((Besatzung!$B$11:$B$22&lt;&gt;"")*(Besatzung!$F$11:$F$22="x")),SUMPRODUCT((J26:U26="x")*(Besatzung!$F$11:$F$22="x"))),1))))),0))))</f>
        <v/>
      </c>
      <c r="AE26" s="247">
        <f>IF(C26="Gutschrift","",IF(G26="","",IF(Besatzung!$B$20="","",IFERROR(IF(I26="Zeitanteilig",(Besatzung!$G$20*(G26-IFERROR(H26,0))+((Besatzung!$B$20&lt;&gt;"")*IF(B26="",1,(IF(Besatzung!$C$20="",Besatzung!$B$5,Besatzung!$C$20)&lt;=B26)*(IF(Besatzung!$D$20="",Besatzung!$B$6,Besatzung!$D$20)&gt;=B26)))*(Besatzung!$F$20="x")*IFERROR(H26,0)/IFERROR(SUMPRODUCT((Besatzung!$B$11:$B$22&lt;&gt;"")*(Besatzung!$F$11:$F$22="x")*(IF(Besatzung!$C$11:$C$22="",Besatzung!$B$5,Besatzung!$C$11:$C$22)&lt;=B26)*(IF(Besatzung!$D$11:$D$22="",Besatzung!$B$6,Besatzung!$D$11:$D$22)&gt;=B26)),1)),IF(I26="An Bord",(((Besatzung!$B$20&lt;&gt;"")*IF(B26="",1,(IF(Besatzung!$C$20="",Besatzung!$B$5,Besatzung!$C$20)&lt;=B26)*(IF(Besatzung!$D$20="",Besatzung!$B$6,Besatzung!$D$20)&gt;=B26)))*((G26-IFERROR(H26,0))/IFERROR(SUMPRODUCT((Besatzung!$B$11:$B$22&lt;&gt;"")*(IF(Besatzung!$C$11:$C$22="",Besatzung!$B$5,Besatzung!$C$11:$C$22)&lt;=B26)*(IF(Besatzung!$D$11:$D$22="",Besatzung!$B$6,Besatzung!$D$11:$D$22)&gt;=B26)),1)+(Besatzung!$F$20="x")*IFERROR(H26,0)/IFERROR(SUMPRODUCT((Besatzung!$B$11:$B$22&lt;&gt;"")*(Besatzung!$F$11:$F$22="x")*(IF(Besatzung!$C$11:$C$22="",Besatzung!$B$5,Besatzung!$C$11:$C$22)&lt;=B26)*(IF(Besatzung!$D$11:$D$22="",Besatzung!$B$6,Besatzung!$D$11:$D$22)&gt;=B26)),1))),IF(I26="Individuell",((S26="x")*((G26-IFERROR(H26,0))/IFERROR(COUNTIF(J26:U26,"x"),1)+(Besatzung!$F$20="x")*IFERROR(H26,0)/IFERROR(SUMPRODUCT((J26:U26="x")*(Besatzung!$F$11:$F$22="x")),1))),(IF(COUNTIF(J26:U26,"x")=0,IF(Besatzung!$B$20&lt;&gt;"",1,0),(S26="x"))*(G26-IFERROR(H26,0))/IFERROR(IF(COUNTIF(J26:U26,"x")=0,COUNTA(Besatzung!$B$11:$B$22),COUNTIF(J26:U26,"x")),1)+IF(COUNTIF(J26:U26,"x")=0,(Besatzung!$F$20="x"),(S26="x")*(Besatzung!$F$20="x"))*IFERROR(H26,0)/IFERROR(IF(COUNTIF(J26:U26,"x")=0,SUMPRODUCT((Besatzung!$B$11:$B$22&lt;&gt;"")*(Besatzung!$F$11:$F$22="x")),SUMPRODUCT((J26:U26="x")*(Besatzung!$F$11:$F$22="x"))),1))))),0))))</f>
        <v/>
      </c>
      <c r="AF26" s="247">
        <f>IF(C26="Gutschrift","",IF(G26="","",IF(Besatzung!$B$21="","",IFERROR(IF(I26="Zeitanteilig",(Besatzung!$G$21*(G26-IFERROR(H26,0))+((Besatzung!$B$21&lt;&gt;"")*IF(B26="",1,(IF(Besatzung!$C$21="",Besatzung!$B$5,Besatzung!$C$21)&lt;=B26)*(IF(Besatzung!$D$21="",Besatzung!$B$6,Besatzung!$D$21)&gt;=B26)))*(Besatzung!$F$21="x")*IFERROR(H26,0)/IFERROR(SUMPRODUCT((Besatzung!$B$11:$B$22&lt;&gt;"")*(Besatzung!$F$11:$F$22="x")*(IF(Besatzung!$C$11:$C$22="",Besatzung!$B$5,Besatzung!$C$11:$C$22)&lt;=B26)*(IF(Besatzung!$D$11:$D$22="",Besatzung!$B$6,Besatzung!$D$11:$D$22)&gt;=B26)),1)),IF(I26="An Bord",(((Besatzung!$B$21&lt;&gt;"")*IF(B26="",1,(IF(Besatzung!$C$21="",Besatzung!$B$5,Besatzung!$C$21)&lt;=B26)*(IF(Besatzung!$D$21="",Besatzung!$B$6,Besatzung!$D$21)&gt;=B26)))*((G26-IFERROR(H26,0))/IFERROR(SUMPRODUCT((Besatzung!$B$11:$B$22&lt;&gt;"")*(IF(Besatzung!$C$11:$C$22="",Besatzung!$B$5,Besatzung!$C$11:$C$22)&lt;=B26)*(IF(Besatzung!$D$11:$D$22="",Besatzung!$B$6,Besatzung!$D$11:$D$22)&gt;=B26)),1)+(Besatzung!$F$21="x")*IFERROR(H26,0)/IFERROR(SUMPRODUCT((Besatzung!$B$11:$B$22&lt;&gt;"")*(Besatzung!$F$11:$F$22="x")*(IF(Besatzung!$C$11:$C$22="",Besatzung!$B$5,Besatzung!$C$11:$C$22)&lt;=B26)*(IF(Besatzung!$D$11:$D$22="",Besatzung!$B$6,Besatzung!$D$11:$D$22)&gt;=B26)),1))),IF(I26="Individuell",((T26="x")*((G26-IFERROR(H26,0))/IFERROR(COUNTIF(J26:U26,"x"),1)+(Besatzung!$F$21="x")*IFERROR(H26,0)/IFERROR(SUMPRODUCT((J26:U26="x")*(Besatzung!$F$11:$F$22="x")),1))),(IF(COUNTIF(J26:U26,"x")=0,IF(Besatzung!$B$21&lt;&gt;"",1,0),(T26="x"))*(G26-IFERROR(H26,0))/IFERROR(IF(COUNTIF(J26:U26,"x")=0,COUNTA(Besatzung!$B$11:$B$22),COUNTIF(J26:U26,"x")),1)+IF(COUNTIF(J26:U26,"x")=0,(Besatzung!$F$21="x"),(T26="x")*(Besatzung!$F$21="x"))*IFERROR(H26,0)/IFERROR(IF(COUNTIF(J26:U26,"x")=0,SUMPRODUCT((Besatzung!$B$11:$B$22&lt;&gt;"")*(Besatzung!$F$11:$F$22="x")),SUMPRODUCT((J26:U26="x")*(Besatzung!$F$11:$F$22="x"))),1))))),0))))</f>
        <v/>
      </c>
      <c r="AG26" s="247">
        <f>IF(C26="Gutschrift","",IF(G26="","",IF(Besatzung!$B$22="","",IFERROR(IF(I26="Zeitanteilig",(Besatzung!$G$22*(G26-IFERROR(H26,0))+((Besatzung!$B$22&lt;&gt;"")*IF(B26="",1,(IF(Besatzung!$C$22="",Besatzung!$B$5,Besatzung!$C$22)&lt;=B26)*(IF(Besatzung!$D$22="",Besatzung!$B$6,Besatzung!$D$22)&gt;=B26)))*(Besatzung!$F$22="x")*IFERROR(H26,0)/IFERROR(SUMPRODUCT((Besatzung!$B$11:$B$22&lt;&gt;"")*(Besatzung!$F$11:$F$22="x")*(IF(Besatzung!$C$11:$C$22="",Besatzung!$B$5,Besatzung!$C$11:$C$22)&lt;=B26)*(IF(Besatzung!$D$11:$D$22="",Besatzung!$B$6,Besatzung!$D$11:$D$22)&gt;=B26)),1)),IF(I26="An Bord",(((Besatzung!$B$22&lt;&gt;"")*IF(B26="",1,(IF(Besatzung!$C$22="",Besatzung!$B$5,Besatzung!$C$22)&lt;=B26)*(IF(Besatzung!$D$22="",Besatzung!$B$6,Besatzung!$D$22)&gt;=B26)))*((G26-IFERROR(H26,0))/IFERROR(SUMPRODUCT((Besatzung!$B$11:$B$22&lt;&gt;"")*(IF(Besatzung!$C$11:$C$22="",Besatzung!$B$5,Besatzung!$C$11:$C$22)&lt;=B26)*(IF(Besatzung!$D$11:$D$22="",Besatzung!$B$6,Besatzung!$D$11:$D$22)&gt;=B26)),1)+(Besatzung!$F$22="x")*IFERROR(H26,0)/IFERROR(SUMPRODUCT((Besatzung!$B$11:$B$22&lt;&gt;"")*(Besatzung!$F$11:$F$22="x")*(IF(Besatzung!$C$11:$C$22="",Besatzung!$B$5,Besatzung!$C$11:$C$22)&lt;=B26)*(IF(Besatzung!$D$11:$D$22="",Besatzung!$B$6,Besatzung!$D$11:$D$22)&gt;=B26)),1))),IF(I26="Individuell",((U26="x")*((G26-IFERROR(H26,0))/IFERROR(COUNTIF(J26:U26,"x"),1)+(Besatzung!$F$22="x")*IFERROR(H26,0)/IFERROR(SUMPRODUCT((J26:U26="x")*(Besatzung!$F$11:$F$22="x")),1))),(IF(COUNTIF(J26:U26,"x")=0,IF(Besatzung!$B$22&lt;&gt;"",1,0),(U26="x"))*(G26-IFERROR(H26,0))/IFERROR(IF(COUNTIF(J26:U26,"x")=0,COUNTA(Besatzung!$B$11:$B$22),COUNTIF(J26:U26,"x")),1)+IF(COUNTIF(J26:U26,"x")=0,(Besatzung!$F$22="x"),(U26="x")*(Besatzung!$F$22="x"))*IFERROR(H26,0)/IFERROR(IF(COUNTIF(J26:U26,"x")=0,SUMPRODUCT((Besatzung!$B$11:$B$22&lt;&gt;"")*(Besatzung!$F$11:$F$22="x")),SUMPRODUCT((J26:U26="x")*(Besatzung!$F$11:$F$22="x"))),1))))),0))))</f>
        <v/>
      </c>
      <c r="AH26" s="248" t="n"/>
      <c r="AI26" s="248" t="n"/>
    </row>
    <row r="27" ht="21.75" customHeight="1" s="154">
      <c r="A27" s="238">
        <f>IF(AND(D27="",C27=""),"",24)</f>
        <v/>
      </c>
      <c r="B27" s="206" t="n"/>
      <c r="C27" s="249" t="n"/>
      <c r="D27" s="250" t="n"/>
      <c r="E27" s="251" t="n"/>
      <c r="F27" s="252" t="n"/>
      <c r="G27" s="253" t="n"/>
      <c r="H27" s="254" t="n"/>
      <c r="I27" s="255" t="n"/>
      <c r="J27" s="256" t="n"/>
      <c r="K27" s="256" t="n"/>
      <c r="L27" s="256" t="n"/>
      <c r="M27" s="256" t="n"/>
      <c r="N27" s="256" t="n"/>
      <c r="O27" s="256" t="n"/>
      <c r="P27" s="256" t="n"/>
      <c r="Q27" s="256" t="n"/>
      <c r="R27" s="256" t="n"/>
      <c r="S27" s="256" t="n"/>
      <c r="T27" s="256" t="n"/>
      <c r="U27" s="256" t="n"/>
      <c r="V27" s="247">
        <f>IF(C27="Gutschrift","",IF(G27="","",IF(Besatzung!$B$11="","",IFERROR(IF(I27="Zeitanteilig",(Besatzung!$G$11*(G27-IFERROR(H27,0))+((Besatzung!$B$11&lt;&gt;"")*IF(B27="",1,(IF(Besatzung!$C$11="",Besatzung!$B$5,Besatzung!$C$11)&lt;=B27)*(IF(Besatzung!$D$11="",Besatzung!$B$6,Besatzung!$D$11)&gt;=B27)))*(Besatzung!$F$11="x")*IFERROR(H27,0)/IFERROR(SUMPRODUCT((Besatzung!$B$11:$B$22&lt;&gt;"")*(Besatzung!$F$11:$F$22="x")*(IF(Besatzung!$C$11:$C$22="",Besatzung!$B$5,Besatzung!$C$11:$C$22)&lt;=B27)*(IF(Besatzung!$D$11:$D$22="",Besatzung!$B$6,Besatzung!$D$11:$D$22)&gt;=B27)),1)),IF(I27="An Bord",(((Besatzung!$B$11&lt;&gt;"")*IF(B27="",1,(IF(Besatzung!$C$11="",Besatzung!$B$5,Besatzung!$C$11)&lt;=B27)*(IF(Besatzung!$D$11="",Besatzung!$B$6,Besatzung!$D$11)&gt;=B27)))*((G27-IFERROR(H27,0))/IFERROR(SUMPRODUCT((Besatzung!$B$11:$B$22&lt;&gt;"")*(IF(Besatzung!$C$11:$C$22="",Besatzung!$B$5,Besatzung!$C$11:$C$22)&lt;=B27)*(IF(Besatzung!$D$11:$D$22="",Besatzung!$B$6,Besatzung!$D$11:$D$22)&gt;=B27)),1)+(Besatzung!$F$11="x")*IFERROR(H27,0)/IFERROR(SUMPRODUCT((Besatzung!$B$11:$B$22&lt;&gt;"")*(Besatzung!$F$11:$F$22="x")*(IF(Besatzung!$C$11:$C$22="",Besatzung!$B$5,Besatzung!$C$11:$C$22)&lt;=B27)*(IF(Besatzung!$D$11:$D$22="",Besatzung!$B$6,Besatzung!$D$11:$D$22)&gt;=B27)),1))),IF(I27="Individuell",((J27="x")*((G27-IFERROR(H27,0))/IFERROR(COUNTIF(J27:U27,"x"),1)+(Besatzung!$F$11="x")*IFERROR(H27,0)/IFERROR(SUMPRODUCT((J27:U27="x")*(Besatzung!$F$11:$F$22="x")),1))),(IF(COUNTIF(J27:U27,"x")=0,IF(Besatzung!$B$11&lt;&gt;"",1,0),(J27="x"))*(G27-IFERROR(H27,0))/IFERROR(IF(COUNTIF(J27:U27,"x")=0,COUNTA(Besatzung!$B$11:$B$22),COUNTIF(J27:U27,"x")),1)+IF(COUNTIF(J27:U27,"x")=0,(Besatzung!$F$11="x"),(J27="x")*(Besatzung!$F$11="x"))*IFERROR(H27,0)/IFERROR(IF(COUNTIF(J27:U27,"x")=0,SUMPRODUCT((Besatzung!$B$11:$B$22&lt;&gt;"")*(Besatzung!$F$11:$F$22="x")),SUMPRODUCT((J27:U27="x")*(Besatzung!$F$11:$F$22="x"))),1))))),0))))</f>
        <v/>
      </c>
      <c r="W27" s="247">
        <f>IF(C27="Gutschrift","",IF(G27="","",IF(Besatzung!$B$12="","",IFERROR(IF(I27="Zeitanteilig",(Besatzung!$G$12*(G27-IFERROR(H27,0))+((Besatzung!$B$12&lt;&gt;"")*IF(B27="",1,(IF(Besatzung!$C$12="",Besatzung!$B$5,Besatzung!$C$12)&lt;=B27)*(IF(Besatzung!$D$12="",Besatzung!$B$6,Besatzung!$D$12)&gt;=B27)))*(Besatzung!$F$12="x")*IFERROR(H27,0)/IFERROR(SUMPRODUCT((Besatzung!$B$11:$B$22&lt;&gt;"")*(Besatzung!$F$11:$F$22="x")*(IF(Besatzung!$C$11:$C$22="",Besatzung!$B$5,Besatzung!$C$11:$C$22)&lt;=B27)*(IF(Besatzung!$D$11:$D$22="",Besatzung!$B$6,Besatzung!$D$11:$D$22)&gt;=B27)),1)),IF(I27="An Bord",(((Besatzung!$B$12&lt;&gt;"")*IF(B27="",1,(IF(Besatzung!$C$12="",Besatzung!$B$5,Besatzung!$C$12)&lt;=B27)*(IF(Besatzung!$D$12="",Besatzung!$B$6,Besatzung!$D$12)&gt;=B27)))*((G27-IFERROR(H27,0))/IFERROR(SUMPRODUCT((Besatzung!$B$11:$B$22&lt;&gt;"")*(IF(Besatzung!$C$11:$C$22="",Besatzung!$B$5,Besatzung!$C$11:$C$22)&lt;=B27)*(IF(Besatzung!$D$11:$D$22="",Besatzung!$B$6,Besatzung!$D$11:$D$22)&gt;=B27)),1)+(Besatzung!$F$12="x")*IFERROR(H27,0)/IFERROR(SUMPRODUCT((Besatzung!$B$11:$B$22&lt;&gt;"")*(Besatzung!$F$11:$F$22="x")*(IF(Besatzung!$C$11:$C$22="",Besatzung!$B$5,Besatzung!$C$11:$C$22)&lt;=B27)*(IF(Besatzung!$D$11:$D$22="",Besatzung!$B$6,Besatzung!$D$11:$D$22)&gt;=B27)),1))),IF(I27="Individuell",((K27="x")*((G27-IFERROR(H27,0))/IFERROR(COUNTIF(J27:U27,"x"),1)+(Besatzung!$F$12="x")*IFERROR(H27,0)/IFERROR(SUMPRODUCT((J27:U27="x")*(Besatzung!$F$11:$F$22="x")),1))),(IF(COUNTIF(J27:U27,"x")=0,IF(Besatzung!$B$12&lt;&gt;"",1,0),(K27="x"))*(G27-IFERROR(H27,0))/IFERROR(IF(COUNTIF(J27:U27,"x")=0,COUNTA(Besatzung!$B$11:$B$22),COUNTIF(J27:U27,"x")),1)+IF(COUNTIF(J27:U27,"x")=0,(Besatzung!$F$12="x"),(K27="x")*(Besatzung!$F$12="x"))*IFERROR(H27,0)/IFERROR(IF(COUNTIF(J27:U27,"x")=0,SUMPRODUCT((Besatzung!$B$11:$B$22&lt;&gt;"")*(Besatzung!$F$11:$F$22="x")),SUMPRODUCT((J27:U27="x")*(Besatzung!$F$11:$F$22="x"))),1))))),0))))</f>
        <v/>
      </c>
      <c r="X27" s="247">
        <f>IF(C27="Gutschrift","",IF(G27="","",IF(Besatzung!$B$13="","",IFERROR(IF(I27="Zeitanteilig",(Besatzung!$G$13*(G27-IFERROR(H27,0))+((Besatzung!$B$13&lt;&gt;"")*IF(B27="",1,(IF(Besatzung!$C$13="",Besatzung!$B$5,Besatzung!$C$13)&lt;=B27)*(IF(Besatzung!$D$13="",Besatzung!$B$6,Besatzung!$D$13)&gt;=B27)))*(Besatzung!$F$13="x")*IFERROR(H27,0)/IFERROR(SUMPRODUCT((Besatzung!$B$11:$B$22&lt;&gt;"")*(Besatzung!$F$11:$F$22="x")*(IF(Besatzung!$C$11:$C$22="",Besatzung!$B$5,Besatzung!$C$11:$C$22)&lt;=B27)*(IF(Besatzung!$D$11:$D$22="",Besatzung!$B$6,Besatzung!$D$11:$D$22)&gt;=B27)),1)),IF(I27="An Bord",(((Besatzung!$B$13&lt;&gt;"")*IF(B27="",1,(IF(Besatzung!$C$13="",Besatzung!$B$5,Besatzung!$C$13)&lt;=B27)*(IF(Besatzung!$D$13="",Besatzung!$B$6,Besatzung!$D$13)&gt;=B27)))*((G27-IFERROR(H27,0))/IFERROR(SUMPRODUCT((Besatzung!$B$11:$B$22&lt;&gt;"")*(IF(Besatzung!$C$11:$C$22="",Besatzung!$B$5,Besatzung!$C$11:$C$22)&lt;=B27)*(IF(Besatzung!$D$11:$D$22="",Besatzung!$B$6,Besatzung!$D$11:$D$22)&gt;=B27)),1)+(Besatzung!$F$13="x")*IFERROR(H27,0)/IFERROR(SUMPRODUCT((Besatzung!$B$11:$B$22&lt;&gt;"")*(Besatzung!$F$11:$F$22="x")*(IF(Besatzung!$C$11:$C$22="",Besatzung!$B$5,Besatzung!$C$11:$C$22)&lt;=B27)*(IF(Besatzung!$D$11:$D$22="",Besatzung!$B$6,Besatzung!$D$11:$D$22)&gt;=B27)),1))),IF(I27="Individuell",((K27="x")*((G27-IFERROR(H27,0))/IFERROR(COUNTIF(J27:U27,"x"),1)+(Besatzung!$F$13="x")*IFERROR(H27,0)/IFERROR(SUMPRODUCT((J27:U27="x")*(Besatzung!$F$11:$F$22="x")),1))),(IF(COUNTIF(J27:U27,"x")=0,IF(Besatzung!$B$13&lt;&gt;"",1,0),(K27="x"))*(G27-IFERROR(H27,0))/IFERROR(IF(COUNTIF(J27:U27,"x")=0,COUNTA(Besatzung!$B$11:$B$22),COUNTIF(J27:U27,"x")),1)+IF(COUNTIF(J27:U27,"x")=0,(Besatzung!$F$13="x"),(K27="x")*(Besatzung!$F$13="x"))*IFERROR(H27,0)/IFERROR(IF(COUNTIF(J27:U27,"x")=0,SUMPRODUCT((Besatzung!$B$11:$B$22&lt;&gt;"")*(Besatzung!$F$11:$F$22="x")),SUMPRODUCT((J27:U27="x")*(Besatzung!$F$11:$F$22="x"))),1))))),0))))</f>
        <v/>
      </c>
      <c r="Y27" s="247">
        <f>IF(C27="Gutschrift","",IF(G27="","",IF(Besatzung!$B$14="","",IFERROR(IF(I27="Zeitanteilig",(Besatzung!$G$14*(G27-IFERROR(H27,0))+((Besatzung!$B$14&lt;&gt;"")*IF(B27="",1,(IF(Besatzung!$C$14="",Besatzung!$B$5,Besatzung!$C$14)&lt;=B27)*(IF(Besatzung!$D$14="",Besatzung!$B$6,Besatzung!$D$14)&gt;=B27)))*(Besatzung!$F$14="x")*IFERROR(H27,0)/IFERROR(SUMPRODUCT((Besatzung!$B$11:$B$22&lt;&gt;"")*(Besatzung!$F$11:$F$22="x")*(IF(Besatzung!$C$11:$C$22="",Besatzung!$B$5,Besatzung!$C$11:$C$22)&lt;=B27)*(IF(Besatzung!$D$11:$D$22="",Besatzung!$B$6,Besatzung!$D$11:$D$22)&gt;=B27)),1)),IF(I27="An Bord",(((Besatzung!$B$14&lt;&gt;"")*IF(B27="",1,(IF(Besatzung!$C$14="",Besatzung!$B$5,Besatzung!$C$14)&lt;=B27)*(IF(Besatzung!$D$14="",Besatzung!$B$6,Besatzung!$D$14)&gt;=B27)))*((G27-IFERROR(H27,0))/IFERROR(SUMPRODUCT((Besatzung!$B$11:$B$22&lt;&gt;"")*(IF(Besatzung!$C$11:$C$22="",Besatzung!$B$5,Besatzung!$C$11:$C$22)&lt;=B27)*(IF(Besatzung!$D$11:$D$22="",Besatzung!$B$6,Besatzung!$D$11:$D$22)&gt;=B27)),1)+(Besatzung!$F$14="x")*IFERROR(H27,0)/IFERROR(SUMPRODUCT((Besatzung!$B$11:$B$22&lt;&gt;"")*(Besatzung!$F$11:$F$22="x")*(IF(Besatzung!$C$11:$C$22="",Besatzung!$B$5,Besatzung!$C$11:$C$22)&lt;=B27)*(IF(Besatzung!$D$11:$D$22="",Besatzung!$B$6,Besatzung!$D$11:$D$22)&gt;=B27)),1))),IF(I27="Individuell",((M27="x")*((G27-IFERROR(H27,0))/IFERROR(COUNTIF(J27:U27,"x"),1)+(Besatzung!$F$14="x")*IFERROR(H27,0)/IFERROR(SUMPRODUCT((J27:U27="x")*(Besatzung!$F$11:$F$22="x")),1))),(IF(COUNTIF(J27:U27,"x")=0,IF(Besatzung!$B$14&lt;&gt;"",1,0),(M27="x"))*(G27-IFERROR(H27,0))/IFERROR(IF(COUNTIF(J27:U27,"x")=0,COUNTA(Besatzung!$B$11:$B$22),COUNTIF(J27:U27,"x")),1)+IF(COUNTIF(J27:U27,"x")=0,(Besatzung!$F$14="x"),(M27="x")*(Besatzung!$F$14="x"))*IFERROR(H27,0)/IFERROR(IF(COUNTIF(J27:U27,"x")=0,SUMPRODUCT((Besatzung!$B$11:$B$22&lt;&gt;"")*(Besatzung!$F$11:$F$22="x")),SUMPRODUCT((J27:U27="x")*(Besatzung!$F$11:$F$22="x"))),1))))),0))))</f>
        <v/>
      </c>
      <c r="Z27" s="247">
        <f>IF(C27="Gutschrift","",IF(G27="","",IF(Besatzung!$B$13="","",IFERROR(IF(I27="Zeitanteilig",(Besatzung!$G$15*(G27-IFERROR(H27,0))+((Besatzung!$B$13&lt;&gt;"")*IF(B27="",1,(IF(Besatzung!$C$15="",Besatzung!$B$5,Besatzung!$C$15)&lt;=B27)*(IF(Besatzung!$D$15="",Besatzung!$B$6,Besatzung!$D$15)&gt;=B27)))*(Besatzung!$F$15="x")*IFERROR(H27,0)/IFERROR(SUMPRODUCT((Besatzung!$B$11:$B$22&lt;&gt;"")*(Besatzung!$F$11:$F$22="x")*(IF(Besatzung!$C$11:$C$22="",Besatzung!$B$5,Besatzung!$C$11:$C$22)&lt;=B27)*(IF(Besatzung!$D$11:$D$22="",Besatzung!$B$6,Besatzung!$D$11:$D$22)&gt;=B27)),1)),IF(I27="An Bord",(((Besatzung!$B$13&lt;&gt;"")*IF(B27="",1,(IF(Besatzung!$C$15="",Besatzung!$B$5,Besatzung!$C$15)&lt;=B27)*(IF(Besatzung!$D$15="",Besatzung!$B$6,Besatzung!$D$15)&gt;=B27)))*((G27-IFERROR(H27,0))/IFERROR(SUMPRODUCT((Besatzung!$B$11:$B$22&lt;&gt;"")*(IF(Besatzung!$C$11:$C$22="",Besatzung!$B$5,Besatzung!$C$11:$C$22)&lt;=B27)*(IF(Besatzung!$D$11:$D$22="",Besatzung!$B$6,Besatzung!$D$11:$D$22)&gt;=B27)),1)+(Besatzung!$F$15="x")*IFERROR(H27,0)/IFERROR(SUMPRODUCT((Besatzung!$B$11:$B$22&lt;&gt;"")*(Besatzung!$F$11:$F$22="x")*(IF(Besatzung!$C$11:$C$22="",Besatzung!$B$5,Besatzung!$C$11:$C$22)&lt;=B27)*(IF(Besatzung!$D$11:$D$22="",Besatzung!$B$6,Besatzung!$D$11:$D$22)&gt;=B27)),1))),IF(I27="Individuell",((N27="x")*((G27-IFERROR(H27,0))/IFERROR(COUNTIF(J27:U27,"x"),1)+(Besatzung!$F$15="x")*IFERROR(H27,0)/IFERROR(SUMPRODUCT((J27:U27="x")*(Besatzung!$F$11:$F$22="x")),1))),(IF(COUNTIF(J27:U27,"x")=0,IF(Besatzung!$B$13&lt;&gt;"",1,0),(N27="x"))*(G27-IFERROR(H27,0))/IFERROR(IF(COUNTIF(J27:U27,"x")=0,COUNTA(Besatzung!$B$11:$B$22),COUNTIF(J27:U27,"x")),1)+IF(COUNTIF(J27:U27,"x")=0,(Besatzung!$F$15="x"),(N27="x")*(Besatzung!$F$15="x"))*IFERROR(H27,0)/IFERROR(IF(COUNTIF(J27:U27,"x")=0,SUMPRODUCT((Besatzung!$B$11:$B$22&lt;&gt;"")*(Besatzung!$F$11:$F$22="x")),SUMPRODUCT((J27:U27="x")*(Besatzung!$F$11:$F$22="x"))),1))))),0))))</f>
        <v/>
      </c>
      <c r="AA27" s="247">
        <f>IF(C27="Gutschrift","",IF(G27="","",IF(Besatzung!$B$15="","",IFERROR(IF(I27="Zeitanteilig",(Besatzung!$G$16*(G27-IFERROR(H27,0))+((Besatzung!$B$15&lt;&gt;"")*IF(B27="",1,(IF(Besatzung!$C$16="",Besatzung!$B$5,Besatzung!$C$16)&lt;=B27)*(IF(Besatzung!$D$16="",Besatzung!$B$6,Besatzung!$D$16)&gt;=B27)))*(Besatzung!$F$16="x")*IFERROR(H27,0)/IFERROR(SUMPRODUCT((Besatzung!$B$11:$B$22&lt;&gt;"")*(Besatzung!$F$11:$F$22="x")*(IF(Besatzung!$C$11:$C$22="",Besatzung!$B$5,Besatzung!$C$11:$C$22)&lt;=B27)*(IF(Besatzung!$D$11:$D$22="",Besatzung!$B$6,Besatzung!$D$11:$D$22)&gt;=B27)),1)),IF(I27="An Bord",(((Besatzung!$B$15&lt;&gt;"")*IF(B27="",1,(IF(Besatzung!$C$16="",Besatzung!$B$5,Besatzung!$C$16)&lt;=B27)*(IF(Besatzung!$D$16="",Besatzung!$B$6,Besatzung!$D$16)&gt;=B27)))*((G27-IFERROR(H27,0))/IFERROR(SUMPRODUCT((Besatzung!$B$11:$B$22&lt;&gt;"")*(IF(Besatzung!$C$11:$C$22="",Besatzung!$B$5,Besatzung!$C$11:$C$22)&lt;=B27)*(IF(Besatzung!$D$11:$D$22="",Besatzung!$B$6,Besatzung!$D$11:$D$22)&gt;=B27)),1)+(Besatzung!$F$16="x")*IFERROR(H27,0)/IFERROR(SUMPRODUCT((Besatzung!$B$11:$B$22&lt;&gt;"")*(Besatzung!$F$11:$F$22="x")*(IF(Besatzung!$C$11:$C$22="",Besatzung!$B$5,Besatzung!$C$11:$C$22)&lt;=B27)*(IF(Besatzung!$D$11:$D$22="",Besatzung!$B$6,Besatzung!$D$11:$D$22)&gt;=B27)),1))),IF(I27="Individuell",((O27="x")*((G27-IFERROR(H27,0))/IFERROR(COUNTIF(J27:U27,"x"),1)+(Besatzung!$F$16="x")*IFERROR(H27,0)/IFERROR(SUMPRODUCT((J27:U27="x")*(Besatzung!$F$11:$F$22="x")),1))),(IF(COUNTIF(J27:U27,"x")=0,IF(Besatzung!$B$15&lt;&gt;"",1,0),(O27="x"))*(G27-IFERROR(H27,0))/IFERROR(IF(COUNTIF(J27:U27,"x")=0,COUNTA(Besatzung!$B$11:$B$22),COUNTIF(J27:U27,"x")),1)+IF(COUNTIF(J27:U27,"x")=0,(Besatzung!$F$16="x"),(O27="x")*(Besatzung!$F$16="x"))*IFERROR(H27,0)/IFERROR(IF(COUNTIF(J27:U27,"x")=0,SUMPRODUCT((Besatzung!$B$11:$B$22&lt;&gt;"")*(Besatzung!$F$11:$F$22="x")),SUMPRODUCT((J27:U27="x")*(Besatzung!$F$11:$F$22="x"))),1))))),0))))</f>
        <v/>
      </c>
      <c r="AB27" s="247">
        <f>IF(C27="Gutschrift","",IF(G27="","",IF(Besatzung!$B$17="","",IFERROR(IF(I27="Zeitanteilig",(Besatzung!$G$17*(G27-IFERROR(H27,0))+((Besatzung!$B$17&lt;&gt;"")*IF(B27="",1,(IF(Besatzung!$C$17="",Besatzung!$B$5,Besatzung!$C$17)&lt;=B27)*(IF(Besatzung!$D$17="",Besatzung!$B$6,Besatzung!$D$17)&gt;=B27)))*(Besatzung!$F$17="x")*IFERROR(H27,0)/IFERROR(SUMPRODUCT((Besatzung!$B$11:$B$22&lt;&gt;"")*(Besatzung!$F$11:$F$22="x")*(IF(Besatzung!$C$11:$C$22="",Besatzung!$B$5,Besatzung!$C$11:$C$22)&lt;=B27)*(IF(Besatzung!$D$11:$D$22="",Besatzung!$B$6,Besatzung!$D$11:$D$22)&gt;=B27)),1)),IF(I27="An Bord",(((Besatzung!$B$17&lt;&gt;"")*IF(B27="",1,(IF(Besatzung!$C$17="",Besatzung!$B$5,Besatzung!$C$17)&lt;=B27)*(IF(Besatzung!$D$17="",Besatzung!$B$6,Besatzung!$D$17)&gt;=B27)))*((G27-IFERROR(H27,0))/IFERROR(SUMPRODUCT((Besatzung!$B$11:$B$22&lt;&gt;"")*(IF(Besatzung!$C$11:$C$22="",Besatzung!$B$5,Besatzung!$C$11:$C$22)&lt;=B27)*(IF(Besatzung!$D$11:$D$22="",Besatzung!$B$6,Besatzung!$D$11:$D$22)&gt;=B27)),1)+(Besatzung!$F$17="x")*IFERROR(H27,0)/IFERROR(SUMPRODUCT((Besatzung!$B$11:$B$22&lt;&gt;"")*(Besatzung!$F$11:$F$22="x")*(IF(Besatzung!$C$11:$C$22="",Besatzung!$B$5,Besatzung!$C$11:$C$22)&lt;=B27)*(IF(Besatzung!$D$11:$D$22="",Besatzung!$B$6,Besatzung!$D$11:$D$22)&gt;=B27)),1))),IF(I27="Individuell",((P27="x")*((G27-IFERROR(H27,0))/IFERROR(COUNTIF(J27:U27,"x"),1)+(Besatzung!$F$17="x")*IFERROR(H27,0)/IFERROR(SUMPRODUCT((J27:U27="x")*(Besatzung!$F$11:$F$22="x")),1))),(IF(COUNTIF(J27:U27,"x")=0,IF(Besatzung!$B$17&lt;&gt;"",1,0),(P27="x"))*(G27-IFERROR(H27,0))/IFERROR(IF(COUNTIF(J27:U27,"x")=0,COUNTA(Besatzung!$B$11:$B$22),COUNTIF(J27:U27,"x")),1)+IF(COUNTIF(J27:U27,"x")=0,(Besatzung!$F$17="x"),(P27="x")*(Besatzung!$F$17="x"))*IFERROR(H27,0)/IFERROR(IF(COUNTIF(J27:U27,"x")=0,SUMPRODUCT((Besatzung!$B$11:$B$22&lt;&gt;"")*(Besatzung!$F$11:$F$22="x")),SUMPRODUCT((J27:U27="x")*(Besatzung!$F$11:$F$22="x"))),1))))),0))))</f>
        <v/>
      </c>
      <c r="AC27" s="247">
        <f>IF(C27="Gutschrift","",IF(G27="","",IF(Besatzung!$B$18="","",IFERROR(IF(I27="Zeitanteilig",(Besatzung!$G$18*(G27-IFERROR(H27,0))+((Besatzung!$B$18&lt;&gt;"")*IF(B27="",1,(IF(Besatzung!$C$18="",Besatzung!$B$5,Besatzung!$C$18)&lt;=B27)*(IF(Besatzung!$D$18="",Besatzung!$B$6,Besatzung!$D$18)&gt;=B27)))*(Besatzung!$F$18="x")*IFERROR(H27,0)/IFERROR(SUMPRODUCT((Besatzung!$B$11:$B$22&lt;&gt;"")*(Besatzung!$F$11:$F$22="x")*(IF(Besatzung!$C$11:$C$22="",Besatzung!$B$5,Besatzung!$C$11:$C$22)&lt;=B27)*(IF(Besatzung!$D$11:$D$22="",Besatzung!$B$6,Besatzung!$D$11:$D$22)&gt;=B27)),1)),IF(I27="An Bord",(((Besatzung!$B$18&lt;&gt;"")*IF(B27="",1,(IF(Besatzung!$C$18="",Besatzung!$B$5,Besatzung!$C$18)&lt;=B27)*(IF(Besatzung!$D$18="",Besatzung!$B$6,Besatzung!$D$18)&gt;=B27)))*((G27-IFERROR(H27,0))/IFERROR(SUMPRODUCT((Besatzung!$B$11:$B$22&lt;&gt;"")*(IF(Besatzung!$C$11:$C$22="",Besatzung!$B$5,Besatzung!$C$11:$C$22)&lt;=B27)*(IF(Besatzung!$D$11:$D$22="",Besatzung!$B$6,Besatzung!$D$11:$D$22)&gt;=B27)),1)+(Besatzung!$F$18="x")*IFERROR(H27,0)/IFERROR(SUMPRODUCT((Besatzung!$B$11:$B$22&lt;&gt;"")*(Besatzung!$F$11:$F$22="x")*(IF(Besatzung!$C$11:$C$22="",Besatzung!$B$5,Besatzung!$C$11:$C$22)&lt;=B27)*(IF(Besatzung!$D$11:$D$22="",Besatzung!$B$6,Besatzung!$D$11:$D$22)&gt;=B27)),1))),IF(I27="Individuell",((Q27="x")*((G27-IFERROR(H27,0))/IFERROR(COUNTIF(J27:U27,"x"),1)+(Besatzung!$F$18="x")*IFERROR(H27,0)/IFERROR(SUMPRODUCT((J27:U27="x")*(Besatzung!$F$11:$F$22="x")),1))),(IF(COUNTIF(J27:U27,"x")=0,IF(Besatzung!$B$18&lt;&gt;"",1,0),(Q27="x"))*(G27-IFERROR(H27,0))/IFERROR(IF(COUNTIF(J27:U27,"x")=0,COUNTA(Besatzung!$B$11:$B$22),COUNTIF(J27:U27,"x")),1)+IF(COUNTIF(J27:U27,"x")=0,(Besatzung!$F$18="x"),(Q27="x")*(Besatzung!$F$18="x"))*IFERROR(H27,0)/IFERROR(IF(COUNTIF(J27:U27,"x")=0,SUMPRODUCT((Besatzung!$B$11:$B$22&lt;&gt;"")*(Besatzung!$F$11:$F$22="x")),SUMPRODUCT((J27:U27="x")*(Besatzung!$F$11:$F$22="x"))),1))))),0))))</f>
        <v/>
      </c>
      <c r="AD27" s="247">
        <f>IF(C27="Gutschrift","",IF(G27="","",IF(Besatzung!$B$19="","",IFERROR(IF(I27="Zeitanteilig",(Besatzung!$G$19*(G27-IFERROR(H27,0))+((Besatzung!$B$19&lt;&gt;"")*IF(B27="",1,(IF(Besatzung!$C$19="",Besatzung!$B$5,Besatzung!$C$19)&lt;=B27)*(IF(Besatzung!$D$19="",Besatzung!$B$6,Besatzung!$D$19)&gt;=B27)))*(Besatzung!$F$19="x")*IFERROR(H27,0)/IFERROR(SUMPRODUCT((Besatzung!$B$11:$B$22&lt;&gt;"")*(Besatzung!$F$11:$F$22="x")*(IF(Besatzung!$C$11:$C$22="",Besatzung!$B$5,Besatzung!$C$11:$C$22)&lt;=B27)*(IF(Besatzung!$D$11:$D$22="",Besatzung!$B$6,Besatzung!$D$11:$D$22)&gt;=B27)),1)),IF(I27="An Bord",(((Besatzung!$B$19&lt;&gt;"")*IF(B27="",1,(IF(Besatzung!$C$19="",Besatzung!$B$5,Besatzung!$C$19)&lt;=B27)*(IF(Besatzung!$D$19="",Besatzung!$B$6,Besatzung!$D$19)&gt;=B27)))*((G27-IFERROR(H27,0))/IFERROR(SUMPRODUCT((Besatzung!$B$11:$B$22&lt;&gt;"")*(IF(Besatzung!$C$11:$C$22="",Besatzung!$B$5,Besatzung!$C$11:$C$22)&lt;=B27)*(IF(Besatzung!$D$11:$D$22="",Besatzung!$B$6,Besatzung!$D$11:$D$22)&gt;=B27)),1)+(Besatzung!$F$19="x")*IFERROR(H27,0)/IFERROR(SUMPRODUCT((Besatzung!$B$11:$B$22&lt;&gt;"")*(Besatzung!$F$11:$F$22="x")*(IF(Besatzung!$C$11:$C$22="",Besatzung!$B$5,Besatzung!$C$11:$C$22)&lt;=B27)*(IF(Besatzung!$D$11:$D$22="",Besatzung!$B$6,Besatzung!$D$11:$D$22)&gt;=B27)),1))),IF(I27="Individuell",((R27="x")*((G27-IFERROR(H27,0))/IFERROR(COUNTIF(J27:U27,"x"),1)+(Besatzung!$F$19="x")*IFERROR(H27,0)/IFERROR(SUMPRODUCT((J27:U27="x")*(Besatzung!$F$11:$F$22="x")),1))),(IF(COUNTIF(J27:U27,"x")=0,IF(Besatzung!$B$19&lt;&gt;"",1,0),(R27="x"))*(G27-IFERROR(H27,0))/IFERROR(IF(COUNTIF(J27:U27,"x")=0,COUNTA(Besatzung!$B$11:$B$22),COUNTIF(J27:U27,"x")),1)+IF(COUNTIF(J27:U27,"x")=0,(Besatzung!$F$19="x"),(R27="x")*(Besatzung!$F$19="x"))*IFERROR(H27,0)/IFERROR(IF(COUNTIF(J27:U27,"x")=0,SUMPRODUCT((Besatzung!$B$11:$B$22&lt;&gt;"")*(Besatzung!$F$11:$F$22="x")),SUMPRODUCT((J27:U27="x")*(Besatzung!$F$11:$F$22="x"))),1))))),0))))</f>
        <v/>
      </c>
      <c r="AE27" s="247">
        <f>IF(C27="Gutschrift","",IF(G27="","",IF(Besatzung!$B$20="","",IFERROR(IF(I27="Zeitanteilig",(Besatzung!$G$20*(G27-IFERROR(H27,0))+((Besatzung!$B$20&lt;&gt;"")*IF(B27="",1,(IF(Besatzung!$C$20="",Besatzung!$B$5,Besatzung!$C$20)&lt;=B27)*(IF(Besatzung!$D$20="",Besatzung!$B$6,Besatzung!$D$20)&gt;=B27)))*(Besatzung!$F$20="x")*IFERROR(H27,0)/IFERROR(SUMPRODUCT((Besatzung!$B$11:$B$22&lt;&gt;"")*(Besatzung!$F$11:$F$22="x")*(IF(Besatzung!$C$11:$C$22="",Besatzung!$B$5,Besatzung!$C$11:$C$22)&lt;=B27)*(IF(Besatzung!$D$11:$D$22="",Besatzung!$B$6,Besatzung!$D$11:$D$22)&gt;=B27)),1)),IF(I27="An Bord",(((Besatzung!$B$20&lt;&gt;"")*IF(B27="",1,(IF(Besatzung!$C$20="",Besatzung!$B$5,Besatzung!$C$20)&lt;=B27)*(IF(Besatzung!$D$20="",Besatzung!$B$6,Besatzung!$D$20)&gt;=B27)))*((G27-IFERROR(H27,0))/IFERROR(SUMPRODUCT((Besatzung!$B$11:$B$22&lt;&gt;"")*(IF(Besatzung!$C$11:$C$22="",Besatzung!$B$5,Besatzung!$C$11:$C$22)&lt;=B27)*(IF(Besatzung!$D$11:$D$22="",Besatzung!$B$6,Besatzung!$D$11:$D$22)&gt;=B27)),1)+(Besatzung!$F$20="x")*IFERROR(H27,0)/IFERROR(SUMPRODUCT((Besatzung!$B$11:$B$22&lt;&gt;"")*(Besatzung!$F$11:$F$22="x")*(IF(Besatzung!$C$11:$C$22="",Besatzung!$B$5,Besatzung!$C$11:$C$22)&lt;=B27)*(IF(Besatzung!$D$11:$D$22="",Besatzung!$B$6,Besatzung!$D$11:$D$22)&gt;=B27)),1))),IF(I27="Individuell",((S27="x")*((G27-IFERROR(H27,0))/IFERROR(COUNTIF(J27:U27,"x"),1)+(Besatzung!$F$20="x")*IFERROR(H27,0)/IFERROR(SUMPRODUCT((J27:U27="x")*(Besatzung!$F$11:$F$22="x")),1))),(IF(COUNTIF(J27:U27,"x")=0,IF(Besatzung!$B$20&lt;&gt;"",1,0),(S27="x"))*(G27-IFERROR(H27,0))/IFERROR(IF(COUNTIF(J27:U27,"x")=0,COUNTA(Besatzung!$B$11:$B$22),COUNTIF(J27:U27,"x")),1)+IF(COUNTIF(J27:U27,"x")=0,(Besatzung!$F$20="x"),(S27="x")*(Besatzung!$F$20="x"))*IFERROR(H27,0)/IFERROR(IF(COUNTIF(J27:U27,"x")=0,SUMPRODUCT((Besatzung!$B$11:$B$22&lt;&gt;"")*(Besatzung!$F$11:$F$22="x")),SUMPRODUCT((J27:U27="x")*(Besatzung!$F$11:$F$22="x"))),1))))),0))))</f>
        <v/>
      </c>
      <c r="AF27" s="247">
        <f>IF(C27="Gutschrift","",IF(G27="","",IF(Besatzung!$B$21="","",IFERROR(IF(I27="Zeitanteilig",(Besatzung!$G$21*(G27-IFERROR(H27,0))+((Besatzung!$B$21&lt;&gt;"")*IF(B27="",1,(IF(Besatzung!$C$21="",Besatzung!$B$5,Besatzung!$C$21)&lt;=B27)*(IF(Besatzung!$D$21="",Besatzung!$B$6,Besatzung!$D$21)&gt;=B27)))*(Besatzung!$F$21="x")*IFERROR(H27,0)/IFERROR(SUMPRODUCT((Besatzung!$B$11:$B$22&lt;&gt;"")*(Besatzung!$F$11:$F$22="x")*(IF(Besatzung!$C$11:$C$22="",Besatzung!$B$5,Besatzung!$C$11:$C$22)&lt;=B27)*(IF(Besatzung!$D$11:$D$22="",Besatzung!$B$6,Besatzung!$D$11:$D$22)&gt;=B27)),1)),IF(I27="An Bord",(((Besatzung!$B$21&lt;&gt;"")*IF(B27="",1,(IF(Besatzung!$C$21="",Besatzung!$B$5,Besatzung!$C$21)&lt;=B27)*(IF(Besatzung!$D$21="",Besatzung!$B$6,Besatzung!$D$21)&gt;=B27)))*((G27-IFERROR(H27,0))/IFERROR(SUMPRODUCT((Besatzung!$B$11:$B$22&lt;&gt;"")*(IF(Besatzung!$C$11:$C$22="",Besatzung!$B$5,Besatzung!$C$11:$C$22)&lt;=B27)*(IF(Besatzung!$D$11:$D$22="",Besatzung!$B$6,Besatzung!$D$11:$D$22)&gt;=B27)),1)+(Besatzung!$F$21="x")*IFERROR(H27,0)/IFERROR(SUMPRODUCT((Besatzung!$B$11:$B$22&lt;&gt;"")*(Besatzung!$F$11:$F$22="x")*(IF(Besatzung!$C$11:$C$22="",Besatzung!$B$5,Besatzung!$C$11:$C$22)&lt;=B27)*(IF(Besatzung!$D$11:$D$22="",Besatzung!$B$6,Besatzung!$D$11:$D$22)&gt;=B27)),1))),IF(I27="Individuell",((T27="x")*((G27-IFERROR(H27,0))/IFERROR(COUNTIF(J27:U27,"x"),1)+(Besatzung!$F$21="x")*IFERROR(H27,0)/IFERROR(SUMPRODUCT((J27:U27="x")*(Besatzung!$F$11:$F$22="x")),1))),(IF(COUNTIF(J27:U27,"x")=0,IF(Besatzung!$B$21&lt;&gt;"",1,0),(T27="x"))*(G27-IFERROR(H27,0))/IFERROR(IF(COUNTIF(J27:U27,"x")=0,COUNTA(Besatzung!$B$11:$B$22),COUNTIF(J27:U27,"x")),1)+IF(COUNTIF(J27:U27,"x")=0,(Besatzung!$F$21="x"),(T27="x")*(Besatzung!$F$21="x"))*IFERROR(H27,0)/IFERROR(IF(COUNTIF(J27:U27,"x")=0,SUMPRODUCT((Besatzung!$B$11:$B$22&lt;&gt;"")*(Besatzung!$F$11:$F$22="x")),SUMPRODUCT((J27:U27="x")*(Besatzung!$F$11:$F$22="x"))),1))))),0))))</f>
        <v/>
      </c>
      <c r="AG27" s="247">
        <f>IF(C27="Gutschrift","",IF(G27="","",IF(Besatzung!$B$22="","",IFERROR(IF(I27="Zeitanteilig",(Besatzung!$G$22*(G27-IFERROR(H27,0))+((Besatzung!$B$22&lt;&gt;"")*IF(B27="",1,(IF(Besatzung!$C$22="",Besatzung!$B$5,Besatzung!$C$22)&lt;=B27)*(IF(Besatzung!$D$22="",Besatzung!$B$6,Besatzung!$D$22)&gt;=B27)))*(Besatzung!$F$22="x")*IFERROR(H27,0)/IFERROR(SUMPRODUCT((Besatzung!$B$11:$B$22&lt;&gt;"")*(Besatzung!$F$11:$F$22="x")*(IF(Besatzung!$C$11:$C$22="",Besatzung!$B$5,Besatzung!$C$11:$C$22)&lt;=B27)*(IF(Besatzung!$D$11:$D$22="",Besatzung!$B$6,Besatzung!$D$11:$D$22)&gt;=B27)),1)),IF(I27="An Bord",(((Besatzung!$B$22&lt;&gt;"")*IF(B27="",1,(IF(Besatzung!$C$22="",Besatzung!$B$5,Besatzung!$C$22)&lt;=B27)*(IF(Besatzung!$D$22="",Besatzung!$B$6,Besatzung!$D$22)&gt;=B27)))*((G27-IFERROR(H27,0))/IFERROR(SUMPRODUCT((Besatzung!$B$11:$B$22&lt;&gt;"")*(IF(Besatzung!$C$11:$C$22="",Besatzung!$B$5,Besatzung!$C$11:$C$22)&lt;=B27)*(IF(Besatzung!$D$11:$D$22="",Besatzung!$B$6,Besatzung!$D$11:$D$22)&gt;=B27)),1)+(Besatzung!$F$22="x")*IFERROR(H27,0)/IFERROR(SUMPRODUCT((Besatzung!$B$11:$B$22&lt;&gt;"")*(Besatzung!$F$11:$F$22="x")*(IF(Besatzung!$C$11:$C$22="",Besatzung!$B$5,Besatzung!$C$11:$C$22)&lt;=B27)*(IF(Besatzung!$D$11:$D$22="",Besatzung!$B$6,Besatzung!$D$11:$D$22)&gt;=B27)),1))),IF(I27="Individuell",((U27="x")*((G27-IFERROR(H27,0))/IFERROR(COUNTIF(J27:U27,"x"),1)+(Besatzung!$F$22="x")*IFERROR(H27,0)/IFERROR(SUMPRODUCT((J27:U27="x")*(Besatzung!$F$11:$F$22="x")),1))),(IF(COUNTIF(J27:U27,"x")=0,IF(Besatzung!$B$22&lt;&gt;"",1,0),(U27="x"))*(G27-IFERROR(H27,0))/IFERROR(IF(COUNTIF(J27:U27,"x")=0,COUNTA(Besatzung!$B$11:$B$22),COUNTIF(J27:U27,"x")),1)+IF(COUNTIF(J27:U27,"x")=0,(Besatzung!$F$22="x"),(U27="x")*(Besatzung!$F$22="x"))*IFERROR(H27,0)/IFERROR(IF(COUNTIF(J27:U27,"x")=0,SUMPRODUCT((Besatzung!$B$11:$B$22&lt;&gt;"")*(Besatzung!$F$11:$F$22="x")),SUMPRODUCT((J27:U27="x")*(Besatzung!$F$11:$F$22="x"))),1))))),0))))</f>
        <v/>
      </c>
      <c r="AH27" s="248" t="n"/>
      <c r="AI27" s="248" t="n"/>
    </row>
    <row r="28" ht="21.75" customHeight="1" s="154">
      <c r="A28" s="238">
        <f>IF(AND(D28="",C28=""),"",25)</f>
        <v/>
      </c>
      <c r="B28" s="199" t="n"/>
      <c r="C28" s="239" t="n"/>
      <c r="D28" s="240" t="n"/>
      <c r="E28" s="241" t="n"/>
      <c r="F28" s="242" t="n"/>
      <c r="G28" s="243" t="n"/>
      <c r="H28" s="244" t="n"/>
      <c r="I28" s="245" t="n"/>
      <c r="J28" s="246" t="n"/>
      <c r="K28" s="246" t="n"/>
      <c r="L28" s="246" t="n"/>
      <c r="M28" s="246" t="n"/>
      <c r="N28" s="246" t="n"/>
      <c r="O28" s="246" t="n"/>
      <c r="P28" s="246" t="n"/>
      <c r="Q28" s="246" t="n"/>
      <c r="R28" s="246" t="n"/>
      <c r="S28" s="246" t="n"/>
      <c r="T28" s="246" t="n"/>
      <c r="U28" s="246" t="n"/>
      <c r="V28" s="247">
        <f>IF(C28="Gutschrift","",IF(G28="","",IF(Besatzung!$B$11="","",IFERROR(IF(I28="Zeitanteilig",(Besatzung!$G$11*(G28-IFERROR(H28,0))+((Besatzung!$B$11&lt;&gt;"")*IF(B28="",1,(IF(Besatzung!$C$11="",Besatzung!$B$5,Besatzung!$C$11)&lt;=B28)*(IF(Besatzung!$D$11="",Besatzung!$B$6,Besatzung!$D$11)&gt;=B28)))*(Besatzung!$F$11="x")*IFERROR(H28,0)/IFERROR(SUMPRODUCT((Besatzung!$B$11:$B$22&lt;&gt;"")*(Besatzung!$F$11:$F$22="x")*(IF(Besatzung!$C$11:$C$22="",Besatzung!$B$5,Besatzung!$C$11:$C$22)&lt;=B28)*(IF(Besatzung!$D$11:$D$22="",Besatzung!$B$6,Besatzung!$D$11:$D$22)&gt;=B28)),1)),IF(I28="An Bord",(((Besatzung!$B$11&lt;&gt;"")*IF(B28="",1,(IF(Besatzung!$C$11="",Besatzung!$B$5,Besatzung!$C$11)&lt;=B28)*(IF(Besatzung!$D$11="",Besatzung!$B$6,Besatzung!$D$11)&gt;=B28)))*((G28-IFERROR(H28,0))/IFERROR(SUMPRODUCT((Besatzung!$B$11:$B$22&lt;&gt;"")*(IF(Besatzung!$C$11:$C$22="",Besatzung!$B$5,Besatzung!$C$11:$C$22)&lt;=B28)*(IF(Besatzung!$D$11:$D$22="",Besatzung!$B$6,Besatzung!$D$11:$D$22)&gt;=B28)),1)+(Besatzung!$F$11="x")*IFERROR(H28,0)/IFERROR(SUMPRODUCT((Besatzung!$B$11:$B$22&lt;&gt;"")*(Besatzung!$F$11:$F$22="x")*(IF(Besatzung!$C$11:$C$22="",Besatzung!$B$5,Besatzung!$C$11:$C$22)&lt;=B28)*(IF(Besatzung!$D$11:$D$22="",Besatzung!$B$6,Besatzung!$D$11:$D$22)&gt;=B28)),1))),IF(I28="Individuell",((J28="x")*((G28-IFERROR(H28,0))/IFERROR(COUNTIF(J28:U28,"x"),1)+(Besatzung!$F$11="x")*IFERROR(H28,0)/IFERROR(SUMPRODUCT((J28:U28="x")*(Besatzung!$F$11:$F$22="x")),1))),(IF(COUNTIF(J28:U28,"x")=0,IF(Besatzung!$B$11&lt;&gt;"",1,0),(J28="x"))*(G28-IFERROR(H28,0))/IFERROR(IF(COUNTIF(J28:U28,"x")=0,COUNTA(Besatzung!$B$11:$B$22),COUNTIF(J28:U28,"x")),1)+IF(COUNTIF(J28:U28,"x")=0,(Besatzung!$F$11="x"),(J28="x")*(Besatzung!$F$11="x"))*IFERROR(H28,0)/IFERROR(IF(COUNTIF(J28:U28,"x")=0,SUMPRODUCT((Besatzung!$B$11:$B$22&lt;&gt;"")*(Besatzung!$F$11:$F$22="x")),SUMPRODUCT((J28:U28="x")*(Besatzung!$F$11:$F$22="x"))),1))))),0))))</f>
        <v/>
      </c>
      <c r="W28" s="247">
        <f>IF(C28="Gutschrift","",IF(G28="","",IF(Besatzung!$B$12="","",IFERROR(IF(I28="Zeitanteilig",(Besatzung!$G$12*(G28-IFERROR(H28,0))+((Besatzung!$B$12&lt;&gt;"")*IF(B28="",1,(IF(Besatzung!$C$12="",Besatzung!$B$5,Besatzung!$C$12)&lt;=B28)*(IF(Besatzung!$D$12="",Besatzung!$B$6,Besatzung!$D$12)&gt;=B28)))*(Besatzung!$F$12="x")*IFERROR(H28,0)/IFERROR(SUMPRODUCT((Besatzung!$B$11:$B$22&lt;&gt;"")*(Besatzung!$F$11:$F$22="x")*(IF(Besatzung!$C$11:$C$22="",Besatzung!$B$5,Besatzung!$C$11:$C$22)&lt;=B28)*(IF(Besatzung!$D$11:$D$22="",Besatzung!$B$6,Besatzung!$D$11:$D$22)&gt;=B28)),1)),IF(I28="An Bord",(((Besatzung!$B$12&lt;&gt;"")*IF(B28="",1,(IF(Besatzung!$C$12="",Besatzung!$B$5,Besatzung!$C$12)&lt;=B28)*(IF(Besatzung!$D$12="",Besatzung!$B$6,Besatzung!$D$12)&gt;=B28)))*((G28-IFERROR(H28,0))/IFERROR(SUMPRODUCT((Besatzung!$B$11:$B$22&lt;&gt;"")*(IF(Besatzung!$C$11:$C$22="",Besatzung!$B$5,Besatzung!$C$11:$C$22)&lt;=B28)*(IF(Besatzung!$D$11:$D$22="",Besatzung!$B$6,Besatzung!$D$11:$D$22)&gt;=B28)),1)+(Besatzung!$F$12="x")*IFERROR(H28,0)/IFERROR(SUMPRODUCT((Besatzung!$B$11:$B$22&lt;&gt;"")*(Besatzung!$F$11:$F$22="x")*(IF(Besatzung!$C$11:$C$22="",Besatzung!$B$5,Besatzung!$C$11:$C$22)&lt;=B28)*(IF(Besatzung!$D$11:$D$22="",Besatzung!$B$6,Besatzung!$D$11:$D$22)&gt;=B28)),1))),IF(I28="Individuell",((K28="x")*((G28-IFERROR(H28,0))/IFERROR(COUNTIF(J28:U28,"x"),1)+(Besatzung!$F$12="x")*IFERROR(H28,0)/IFERROR(SUMPRODUCT((J28:U28="x")*(Besatzung!$F$11:$F$22="x")),1))),(IF(COUNTIF(J28:U28,"x")=0,IF(Besatzung!$B$12&lt;&gt;"",1,0),(K28="x"))*(G28-IFERROR(H28,0))/IFERROR(IF(COUNTIF(J28:U28,"x")=0,COUNTA(Besatzung!$B$11:$B$22),COUNTIF(J28:U28,"x")),1)+IF(COUNTIF(J28:U28,"x")=0,(Besatzung!$F$12="x"),(K28="x")*(Besatzung!$F$12="x"))*IFERROR(H28,0)/IFERROR(IF(COUNTIF(J28:U28,"x")=0,SUMPRODUCT((Besatzung!$B$11:$B$22&lt;&gt;"")*(Besatzung!$F$11:$F$22="x")),SUMPRODUCT((J28:U28="x")*(Besatzung!$F$11:$F$22="x"))),1))))),0))))</f>
        <v/>
      </c>
      <c r="X28" s="247">
        <f>IF(C28="Gutschrift","",IF(G28="","",IF(Besatzung!$B$13="","",IFERROR(IF(I28="Zeitanteilig",(Besatzung!$G$13*(G28-IFERROR(H28,0))+((Besatzung!$B$13&lt;&gt;"")*IF(B28="",1,(IF(Besatzung!$C$13="",Besatzung!$B$5,Besatzung!$C$13)&lt;=B28)*(IF(Besatzung!$D$13="",Besatzung!$B$6,Besatzung!$D$13)&gt;=B28)))*(Besatzung!$F$13="x")*IFERROR(H28,0)/IFERROR(SUMPRODUCT((Besatzung!$B$11:$B$22&lt;&gt;"")*(Besatzung!$F$11:$F$22="x")*(IF(Besatzung!$C$11:$C$22="",Besatzung!$B$5,Besatzung!$C$11:$C$22)&lt;=B28)*(IF(Besatzung!$D$11:$D$22="",Besatzung!$B$6,Besatzung!$D$11:$D$22)&gt;=B28)),1)),IF(I28="An Bord",(((Besatzung!$B$13&lt;&gt;"")*IF(B28="",1,(IF(Besatzung!$C$13="",Besatzung!$B$5,Besatzung!$C$13)&lt;=B28)*(IF(Besatzung!$D$13="",Besatzung!$B$6,Besatzung!$D$13)&gt;=B28)))*((G28-IFERROR(H28,0))/IFERROR(SUMPRODUCT((Besatzung!$B$11:$B$22&lt;&gt;"")*(IF(Besatzung!$C$11:$C$22="",Besatzung!$B$5,Besatzung!$C$11:$C$22)&lt;=B28)*(IF(Besatzung!$D$11:$D$22="",Besatzung!$B$6,Besatzung!$D$11:$D$22)&gt;=B28)),1)+(Besatzung!$F$13="x")*IFERROR(H28,0)/IFERROR(SUMPRODUCT((Besatzung!$B$11:$B$22&lt;&gt;"")*(Besatzung!$F$11:$F$22="x")*(IF(Besatzung!$C$11:$C$22="",Besatzung!$B$5,Besatzung!$C$11:$C$22)&lt;=B28)*(IF(Besatzung!$D$11:$D$22="",Besatzung!$B$6,Besatzung!$D$11:$D$22)&gt;=B28)),1))),IF(I28="Individuell",((K28="x")*((G28-IFERROR(H28,0))/IFERROR(COUNTIF(J28:U28,"x"),1)+(Besatzung!$F$13="x")*IFERROR(H28,0)/IFERROR(SUMPRODUCT((J28:U28="x")*(Besatzung!$F$11:$F$22="x")),1))),(IF(COUNTIF(J28:U28,"x")=0,IF(Besatzung!$B$13&lt;&gt;"",1,0),(K28="x"))*(G28-IFERROR(H28,0))/IFERROR(IF(COUNTIF(J28:U28,"x")=0,COUNTA(Besatzung!$B$11:$B$22),COUNTIF(J28:U28,"x")),1)+IF(COUNTIF(J28:U28,"x")=0,(Besatzung!$F$13="x"),(K28="x")*(Besatzung!$F$13="x"))*IFERROR(H28,0)/IFERROR(IF(COUNTIF(J28:U28,"x")=0,SUMPRODUCT((Besatzung!$B$11:$B$22&lt;&gt;"")*(Besatzung!$F$11:$F$22="x")),SUMPRODUCT((J28:U28="x")*(Besatzung!$F$11:$F$22="x"))),1))))),0))))</f>
        <v/>
      </c>
      <c r="Y28" s="247">
        <f>IF(C28="Gutschrift","",IF(G28="","",IF(Besatzung!$B$14="","",IFERROR(IF(I28="Zeitanteilig",(Besatzung!$G$14*(G28-IFERROR(H28,0))+((Besatzung!$B$14&lt;&gt;"")*IF(B28="",1,(IF(Besatzung!$C$14="",Besatzung!$B$5,Besatzung!$C$14)&lt;=B28)*(IF(Besatzung!$D$14="",Besatzung!$B$6,Besatzung!$D$14)&gt;=B28)))*(Besatzung!$F$14="x")*IFERROR(H28,0)/IFERROR(SUMPRODUCT((Besatzung!$B$11:$B$22&lt;&gt;"")*(Besatzung!$F$11:$F$22="x")*(IF(Besatzung!$C$11:$C$22="",Besatzung!$B$5,Besatzung!$C$11:$C$22)&lt;=B28)*(IF(Besatzung!$D$11:$D$22="",Besatzung!$B$6,Besatzung!$D$11:$D$22)&gt;=B28)),1)),IF(I28="An Bord",(((Besatzung!$B$14&lt;&gt;"")*IF(B28="",1,(IF(Besatzung!$C$14="",Besatzung!$B$5,Besatzung!$C$14)&lt;=B28)*(IF(Besatzung!$D$14="",Besatzung!$B$6,Besatzung!$D$14)&gt;=B28)))*((G28-IFERROR(H28,0))/IFERROR(SUMPRODUCT((Besatzung!$B$11:$B$22&lt;&gt;"")*(IF(Besatzung!$C$11:$C$22="",Besatzung!$B$5,Besatzung!$C$11:$C$22)&lt;=B28)*(IF(Besatzung!$D$11:$D$22="",Besatzung!$B$6,Besatzung!$D$11:$D$22)&gt;=B28)),1)+(Besatzung!$F$14="x")*IFERROR(H28,0)/IFERROR(SUMPRODUCT((Besatzung!$B$11:$B$22&lt;&gt;"")*(Besatzung!$F$11:$F$22="x")*(IF(Besatzung!$C$11:$C$22="",Besatzung!$B$5,Besatzung!$C$11:$C$22)&lt;=B28)*(IF(Besatzung!$D$11:$D$22="",Besatzung!$B$6,Besatzung!$D$11:$D$22)&gt;=B28)),1))),IF(I28="Individuell",((M28="x")*((G28-IFERROR(H28,0))/IFERROR(COUNTIF(J28:U28,"x"),1)+(Besatzung!$F$14="x")*IFERROR(H28,0)/IFERROR(SUMPRODUCT((J28:U28="x")*(Besatzung!$F$11:$F$22="x")),1))),(IF(COUNTIF(J28:U28,"x")=0,IF(Besatzung!$B$14&lt;&gt;"",1,0),(M28="x"))*(G28-IFERROR(H28,0))/IFERROR(IF(COUNTIF(J28:U28,"x")=0,COUNTA(Besatzung!$B$11:$B$22),COUNTIF(J28:U28,"x")),1)+IF(COUNTIF(J28:U28,"x")=0,(Besatzung!$F$14="x"),(M28="x")*(Besatzung!$F$14="x"))*IFERROR(H28,0)/IFERROR(IF(COUNTIF(J28:U28,"x")=0,SUMPRODUCT((Besatzung!$B$11:$B$22&lt;&gt;"")*(Besatzung!$F$11:$F$22="x")),SUMPRODUCT((J28:U28="x")*(Besatzung!$F$11:$F$22="x"))),1))))),0))))</f>
        <v/>
      </c>
      <c r="Z28" s="247">
        <f>IF(C28="Gutschrift","",IF(G28="","",IF(Besatzung!$B$13="","",IFERROR(IF(I28="Zeitanteilig",(Besatzung!$G$15*(G28-IFERROR(H28,0))+((Besatzung!$B$13&lt;&gt;"")*IF(B28="",1,(IF(Besatzung!$C$15="",Besatzung!$B$5,Besatzung!$C$15)&lt;=B28)*(IF(Besatzung!$D$15="",Besatzung!$B$6,Besatzung!$D$15)&gt;=B28)))*(Besatzung!$F$15="x")*IFERROR(H28,0)/IFERROR(SUMPRODUCT((Besatzung!$B$11:$B$22&lt;&gt;"")*(Besatzung!$F$11:$F$22="x")*(IF(Besatzung!$C$11:$C$22="",Besatzung!$B$5,Besatzung!$C$11:$C$22)&lt;=B28)*(IF(Besatzung!$D$11:$D$22="",Besatzung!$B$6,Besatzung!$D$11:$D$22)&gt;=B28)),1)),IF(I28="An Bord",(((Besatzung!$B$13&lt;&gt;"")*IF(B28="",1,(IF(Besatzung!$C$15="",Besatzung!$B$5,Besatzung!$C$15)&lt;=B28)*(IF(Besatzung!$D$15="",Besatzung!$B$6,Besatzung!$D$15)&gt;=B28)))*((G28-IFERROR(H28,0))/IFERROR(SUMPRODUCT((Besatzung!$B$11:$B$22&lt;&gt;"")*(IF(Besatzung!$C$11:$C$22="",Besatzung!$B$5,Besatzung!$C$11:$C$22)&lt;=B28)*(IF(Besatzung!$D$11:$D$22="",Besatzung!$B$6,Besatzung!$D$11:$D$22)&gt;=B28)),1)+(Besatzung!$F$15="x")*IFERROR(H28,0)/IFERROR(SUMPRODUCT((Besatzung!$B$11:$B$22&lt;&gt;"")*(Besatzung!$F$11:$F$22="x")*(IF(Besatzung!$C$11:$C$22="",Besatzung!$B$5,Besatzung!$C$11:$C$22)&lt;=B28)*(IF(Besatzung!$D$11:$D$22="",Besatzung!$B$6,Besatzung!$D$11:$D$22)&gt;=B28)),1))),IF(I28="Individuell",((N28="x")*((G28-IFERROR(H28,0))/IFERROR(COUNTIF(J28:U28,"x"),1)+(Besatzung!$F$15="x")*IFERROR(H28,0)/IFERROR(SUMPRODUCT((J28:U28="x")*(Besatzung!$F$11:$F$22="x")),1))),(IF(COUNTIF(J28:U28,"x")=0,IF(Besatzung!$B$13&lt;&gt;"",1,0),(N28="x"))*(G28-IFERROR(H28,0))/IFERROR(IF(COUNTIF(J28:U28,"x")=0,COUNTA(Besatzung!$B$11:$B$22),COUNTIF(J28:U28,"x")),1)+IF(COUNTIF(J28:U28,"x")=0,(Besatzung!$F$15="x"),(N28="x")*(Besatzung!$F$15="x"))*IFERROR(H28,0)/IFERROR(IF(COUNTIF(J28:U28,"x")=0,SUMPRODUCT((Besatzung!$B$11:$B$22&lt;&gt;"")*(Besatzung!$F$11:$F$22="x")),SUMPRODUCT((J28:U28="x")*(Besatzung!$F$11:$F$22="x"))),1))))),0))))</f>
        <v/>
      </c>
      <c r="AA28" s="247">
        <f>IF(C28="Gutschrift","",IF(G28="","",IF(Besatzung!$B$15="","",IFERROR(IF(I28="Zeitanteilig",(Besatzung!$G$16*(G28-IFERROR(H28,0))+((Besatzung!$B$15&lt;&gt;"")*IF(B28="",1,(IF(Besatzung!$C$16="",Besatzung!$B$5,Besatzung!$C$16)&lt;=B28)*(IF(Besatzung!$D$16="",Besatzung!$B$6,Besatzung!$D$16)&gt;=B28)))*(Besatzung!$F$16="x")*IFERROR(H28,0)/IFERROR(SUMPRODUCT((Besatzung!$B$11:$B$22&lt;&gt;"")*(Besatzung!$F$11:$F$22="x")*(IF(Besatzung!$C$11:$C$22="",Besatzung!$B$5,Besatzung!$C$11:$C$22)&lt;=B28)*(IF(Besatzung!$D$11:$D$22="",Besatzung!$B$6,Besatzung!$D$11:$D$22)&gt;=B28)),1)),IF(I28="An Bord",(((Besatzung!$B$15&lt;&gt;"")*IF(B28="",1,(IF(Besatzung!$C$16="",Besatzung!$B$5,Besatzung!$C$16)&lt;=B28)*(IF(Besatzung!$D$16="",Besatzung!$B$6,Besatzung!$D$16)&gt;=B28)))*((G28-IFERROR(H28,0))/IFERROR(SUMPRODUCT((Besatzung!$B$11:$B$22&lt;&gt;"")*(IF(Besatzung!$C$11:$C$22="",Besatzung!$B$5,Besatzung!$C$11:$C$22)&lt;=B28)*(IF(Besatzung!$D$11:$D$22="",Besatzung!$B$6,Besatzung!$D$11:$D$22)&gt;=B28)),1)+(Besatzung!$F$16="x")*IFERROR(H28,0)/IFERROR(SUMPRODUCT((Besatzung!$B$11:$B$22&lt;&gt;"")*(Besatzung!$F$11:$F$22="x")*(IF(Besatzung!$C$11:$C$22="",Besatzung!$B$5,Besatzung!$C$11:$C$22)&lt;=B28)*(IF(Besatzung!$D$11:$D$22="",Besatzung!$B$6,Besatzung!$D$11:$D$22)&gt;=B28)),1))),IF(I28="Individuell",((O28="x")*((G28-IFERROR(H28,0))/IFERROR(COUNTIF(J28:U28,"x"),1)+(Besatzung!$F$16="x")*IFERROR(H28,0)/IFERROR(SUMPRODUCT((J28:U28="x")*(Besatzung!$F$11:$F$22="x")),1))),(IF(COUNTIF(J28:U28,"x")=0,IF(Besatzung!$B$15&lt;&gt;"",1,0),(O28="x"))*(G28-IFERROR(H28,0))/IFERROR(IF(COUNTIF(J28:U28,"x")=0,COUNTA(Besatzung!$B$11:$B$22),COUNTIF(J28:U28,"x")),1)+IF(COUNTIF(J28:U28,"x")=0,(Besatzung!$F$16="x"),(O28="x")*(Besatzung!$F$16="x"))*IFERROR(H28,0)/IFERROR(IF(COUNTIF(J28:U28,"x")=0,SUMPRODUCT((Besatzung!$B$11:$B$22&lt;&gt;"")*(Besatzung!$F$11:$F$22="x")),SUMPRODUCT((J28:U28="x")*(Besatzung!$F$11:$F$22="x"))),1))))),0))))</f>
        <v/>
      </c>
      <c r="AB28" s="247">
        <f>IF(C28="Gutschrift","",IF(G28="","",IF(Besatzung!$B$17="","",IFERROR(IF(I28="Zeitanteilig",(Besatzung!$G$17*(G28-IFERROR(H28,0))+((Besatzung!$B$17&lt;&gt;"")*IF(B28="",1,(IF(Besatzung!$C$17="",Besatzung!$B$5,Besatzung!$C$17)&lt;=B28)*(IF(Besatzung!$D$17="",Besatzung!$B$6,Besatzung!$D$17)&gt;=B28)))*(Besatzung!$F$17="x")*IFERROR(H28,0)/IFERROR(SUMPRODUCT((Besatzung!$B$11:$B$22&lt;&gt;"")*(Besatzung!$F$11:$F$22="x")*(IF(Besatzung!$C$11:$C$22="",Besatzung!$B$5,Besatzung!$C$11:$C$22)&lt;=B28)*(IF(Besatzung!$D$11:$D$22="",Besatzung!$B$6,Besatzung!$D$11:$D$22)&gt;=B28)),1)),IF(I28="An Bord",(((Besatzung!$B$17&lt;&gt;"")*IF(B28="",1,(IF(Besatzung!$C$17="",Besatzung!$B$5,Besatzung!$C$17)&lt;=B28)*(IF(Besatzung!$D$17="",Besatzung!$B$6,Besatzung!$D$17)&gt;=B28)))*((G28-IFERROR(H28,0))/IFERROR(SUMPRODUCT((Besatzung!$B$11:$B$22&lt;&gt;"")*(IF(Besatzung!$C$11:$C$22="",Besatzung!$B$5,Besatzung!$C$11:$C$22)&lt;=B28)*(IF(Besatzung!$D$11:$D$22="",Besatzung!$B$6,Besatzung!$D$11:$D$22)&gt;=B28)),1)+(Besatzung!$F$17="x")*IFERROR(H28,0)/IFERROR(SUMPRODUCT((Besatzung!$B$11:$B$22&lt;&gt;"")*(Besatzung!$F$11:$F$22="x")*(IF(Besatzung!$C$11:$C$22="",Besatzung!$B$5,Besatzung!$C$11:$C$22)&lt;=B28)*(IF(Besatzung!$D$11:$D$22="",Besatzung!$B$6,Besatzung!$D$11:$D$22)&gt;=B28)),1))),IF(I28="Individuell",((P28="x")*((G28-IFERROR(H28,0))/IFERROR(COUNTIF(J28:U28,"x"),1)+(Besatzung!$F$17="x")*IFERROR(H28,0)/IFERROR(SUMPRODUCT((J28:U28="x")*(Besatzung!$F$11:$F$22="x")),1))),(IF(COUNTIF(J28:U28,"x")=0,IF(Besatzung!$B$17&lt;&gt;"",1,0),(P28="x"))*(G28-IFERROR(H28,0))/IFERROR(IF(COUNTIF(J28:U28,"x")=0,COUNTA(Besatzung!$B$11:$B$22),COUNTIF(J28:U28,"x")),1)+IF(COUNTIF(J28:U28,"x")=0,(Besatzung!$F$17="x"),(P28="x")*(Besatzung!$F$17="x"))*IFERROR(H28,0)/IFERROR(IF(COUNTIF(J28:U28,"x")=0,SUMPRODUCT((Besatzung!$B$11:$B$22&lt;&gt;"")*(Besatzung!$F$11:$F$22="x")),SUMPRODUCT((J28:U28="x")*(Besatzung!$F$11:$F$22="x"))),1))))),0))))</f>
        <v/>
      </c>
      <c r="AC28" s="247">
        <f>IF(C28="Gutschrift","",IF(G28="","",IF(Besatzung!$B$18="","",IFERROR(IF(I28="Zeitanteilig",(Besatzung!$G$18*(G28-IFERROR(H28,0))+((Besatzung!$B$18&lt;&gt;"")*IF(B28="",1,(IF(Besatzung!$C$18="",Besatzung!$B$5,Besatzung!$C$18)&lt;=B28)*(IF(Besatzung!$D$18="",Besatzung!$B$6,Besatzung!$D$18)&gt;=B28)))*(Besatzung!$F$18="x")*IFERROR(H28,0)/IFERROR(SUMPRODUCT((Besatzung!$B$11:$B$22&lt;&gt;"")*(Besatzung!$F$11:$F$22="x")*(IF(Besatzung!$C$11:$C$22="",Besatzung!$B$5,Besatzung!$C$11:$C$22)&lt;=B28)*(IF(Besatzung!$D$11:$D$22="",Besatzung!$B$6,Besatzung!$D$11:$D$22)&gt;=B28)),1)),IF(I28="An Bord",(((Besatzung!$B$18&lt;&gt;"")*IF(B28="",1,(IF(Besatzung!$C$18="",Besatzung!$B$5,Besatzung!$C$18)&lt;=B28)*(IF(Besatzung!$D$18="",Besatzung!$B$6,Besatzung!$D$18)&gt;=B28)))*((G28-IFERROR(H28,0))/IFERROR(SUMPRODUCT((Besatzung!$B$11:$B$22&lt;&gt;"")*(IF(Besatzung!$C$11:$C$22="",Besatzung!$B$5,Besatzung!$C$11:$C$22)&lt;=B28)*(IF(Besatzung!$D$11:$D$22="",Besatzung!$B$6,Besatzung!$D$11:$D$22)&gt;=B28)),1)+(Besatzung!$F$18="x")*IFERROR(H28,0)/IFERROR(SUMPRODUCT((Besatzung!$B$11:$B$22&lt;&gt;"")*(Besatzung!$F$11:$F$22="x")*(IF(Besatzung!$C$11:$C$22="",Besatzung!$B$5,Besatzung!$C$11:$C$22)&lt;=B28)*(IF(Besatzung!$D$11:$D$22="",Besatzung!$B$6,Besatzung!$D$11:$D$22)&gt;=B28)),1))),IF(I28="Individuell",((Q28="x")*((G28-IFERROR(H28,0))/IFERROR(COUNTIF(J28:U28,"x"),1)+(Besatzung!$F$18="x")*IFERROR(H28,0)/IFERROR(SUMPRODUCT((J28:U28="x")*(Besatzung!$F$11:$F$22="x")),1))),(IF(COUNTIF(J28:U28,"x")=0,IF(Besatzung!$B$18&lt;&gt;"",1,0),(Q28="x"))*(G28-IFERROR(H28,0))/IFERROR(IF(COUNTIF(J28:U28,"x")=0,COUNTA(Besatzung!$B$11:$B$22),COUNTIF(J28:U28,"x")),1)+IF(COUNTIF(J28:U28,"x")=0,(Besatzung!$F$18="x"),(Q28="x")*(Besatzung!$F$18="x"))*IFERROR(H28,0)/IFERROR(IF(COUNTIF(J28:U28,"x")=0,SUMPRODUCT((Besatzung!$B$11:$B$22&lt;&gt;"")*(Besatzung!$F$11:$F$22="x")),SUMPRODUCT((J28:U28="x")*(Besatzung!$F$11:$F$22="x"))),1))))),0))))</f>
        <v/>
      </c>
      <c r="AD28" s="247">
        <f>IF(C28="Gutschrift","",IF(G28="","",IF(Besatzung!$B$19="","",IFERROR(IF(I28="Zeitanteilig",(Besatzung!$G$19*(G28-IFERROR(H28,0))+((Besatzung!$B$19&lt;&gt;"")*IF(B28="",1,(IF(Besatzung!$C$19="",Besatzung!$B$5,Besatzung!$C$19)&lt;=B28)*(IF(Besatzung!$D$19="",Besatzung!$B$6,Besatzung!$D$19)&gt;=B28)))*(Besatzung!$F$19="x")*IFERROR(H28,0)/IFERROR(SUMPRODUCT((Besatzung!$B$11:$B$22&lt;&gt;"")*(Besatzung!$F$11:$F$22="x")*(IF(Besatzung!$C$11:$C$22="",Besatzung!$B$5,Besatzung!$C$11:$C$22)&lt;=B28)*(IF(Besatzung!$D$11:$D$22="",Besatzung!$B$6,Besatzung!$D$11:$D$22)&gt;=B28)),1)),IF(I28="An Bord",(((Besatzung!$B$19&lt;&gt;"")*IF(B28="",1,(IF(Besatzung!$C$19="",Besatzung!$B$5,Besatzung!$C$19)&lt;=B28)*(IF(Besatzung!$D$19="",Besatzung!$B$6,Besatzung!$D$19)&gt;=B28)))*((G28-IFERROR(H28,0))/IFERROR(SUMPRODUCT((Besatzung!$B$11:$B$22&lt;&gt;"")*(IF(Besatzung!$C$11:$C$22="",Besatzung!$B$5,Besatzung!$C$11:$C$22)&lt;=B28)*(IF(Besatzung!$D$11:$D$22="",Besatzung!$B$6,Besatzung!$D$11:$D$22)&gt;=B28)),1)+(Besatzung!$F$19="x")*IFERROR(H28,0)/IFERROR(SUMPRODUCT((Besatzung!$B$11:$B$22&lt;&gt;"")*(Besatzung!$F$11:$F$22="x")*(IF(Besatzung!$C$11:$C$22="",Besatzung!$B$5,Besatzung!$C$11:$C$22)&lt;=B28)*(IF(Besatzung!$D$11:$D$22="",Besatzung!$B$6,Besatzung!$D$11:$D$22)&gt;=B28)),1))),IF(I28="Individuell",((R28="x")*((G28-IFERROR(H28,0))/IFERROR(COUNTIF(J28:U28,"x"),1)+(Besatzung!$F$19="x")*IFERROR(H28,0)/IFERROR(SUMPRODUCT((J28:U28="x")*(Besatzung!$F$11:$F$22="x")),1))),(IF(COUNTIF(J28:U28,"x")=0,IF(Besatzung!$B$19&lt;&gt;"",1,0),(R28="x"))*(G28-IFERROR(H28,0))/IFERROR(IF(COUNTIF(J28:U28,"x")=0,COUNTA(Besatzung!$B$11:$B$22),COUNTIF(J28:U28,"x")),1)+IF(COUNTIF(J28:U28,"x")=0,(Besatzung!$F$19="x"),(R28="x")*(Besatzung!$F$19="x"))*IFERROR(H28,0)/IFERROR(IF(COUNTIF(J28:U28,"x")=0,SUMPRODUCT((Besatzung!$B$11:$B$22&lt;&gt;"")*(Besatzung!$F$11:$F$22="x")),SUMPRODUCT((J28:U28="x")*(Besatzung!$F$11:$F$22="x"))),1))))),0))))</f>
        <v/>
      </c>
      <c r="AE28" s="247">
        <f>IF(C28="Gutschrift","",IF(G28="","",IF(Besatzung!$B$20="","",IFERROR(IF(I28="Zeitanteilig",(Besatzung!$G$20*(G28-IFERROR(H28,0))+((Besatzung!$B$20&lt;&gt;"")*IF(B28="",1,(IF(Besatzung!$C$20="",Besatzung!$B$5,Besatzung!$C$20)&lt;=B28)*(IF(Besatzung!$D$20="",Besatzung!$B$6,Besatzung!$D$20)&gt;=B28)))*(Besatzung!$F$20="x")*IFERROR(H28,0)/IFERROR(SUMPRODUCT((Besatzung!$B$11:$B$22&lt;&gt;"")*(Besatzung!$F$11:$F$22="x")*(IF(Besatzung!$C$11:$C$22="",Besatzung!$B$5,Besatzung!$C$11:$C$22)&lt;=B28)*(IF(Besatzung!$D$11:$D$22="",Besatzung!$B$6,Besatzung!$D$11:$D$22)&gt;=B28)),1)),IF(I28="An Bord",(((Besatzung!$B$20&lt;&gt;"")*IF(B28="",1,(IF(Besatzung!$C$20="",Besatzung!$B$5,Besatzung!$C$20)&lt;=B28)*(IF(Besatzung!$D$20="",Besatzung!$B$6,Besatzung!$D$20)&gt;=B28)))*((G28-IFERROR(H28,0))/IFERROR(SUMPRODUCT((Besatzung!$B$11:$B$22&lt;&gt;"")*(IF(Besatzung!$C$11:$C$22="",Besatzung!$B$5,Besatzung!$C$11:$C$22)&lt;=B28)*(IF(Besatzung!$D$11:$D$22="",Besatzung!$B$6,Besatzung!$D$11:$D$22)&gt;=B28)),1)+(Besatzung!$F$20="x")*IFERROR(H28,0)/IFERROR(SUMPRODUCT((Besatzung!$B$11:$B$22&lt;&gt;"")*(Besatzung!$F$11:$F$22="x")*(IF(Besatzung!$C$11:$C$22="",Besatzung!$B$5,Besatzung!$C$11:$C$22)&lt;=B28)*(IF(Besatzung!$D$11:$D$22="",Besatzung!$B$6,Besatzung!$D$11:$D$22)&gt;=B28)),1))),IF(I28="Individuell",((S28="x")*((G28-IFERROR(H28,0))/IFERROR(COUNTIF(J28:U28,"x"),1)+(Besatzung!$F$20="x")*IFERROR(H28,0)/IFERROR(SUMPRODUCT((J28:U28="x")*(Besatzung!$F$11:$F$22="x")),1))),(IF(COUNTIF(J28:U28,"x")=0,IF(Besatzung!$B$20&lt;&gt;"",1,0),(S28="x"))*(G28-IFERROR(H28,0))/IFERROR(IF(COUNTIF(J28:U28,"x")=0,COUNTA(Besatzung!$B$11:$B$22),COUNTIF(J28:U28,"x")),1)+IF(COUNTIF(J28:U28,"x")=0,(Besatzung!$F$20="x"),(S28="x")*(Besatzung!$F$20="x"))*IFERROR(H28,0)/IFERROR(IF(COUNTIF(J28:U28,"x")=0,SUMPRODUCT((Besatzung!$B$11:$B$22&lt;&gt;"")*(Besatzung!$F$11:$F$22="x")),SUMPRODUCT((J28:U28="x")*(Besatzung!$F$11:$F$22="x"))),1))))),0))))</f>
        <v/>
      </c>
      <c r="AF28" s="247">
        <f>IF(C28="Gutschrift","",IF(G28="","",IF(Besatzung!$B$21="","",IFERROR(IF(I28="Zeitanteilig",(Besatzung!$G$21*(G28-IFERROR(H28,0))+((Besatzung!$B$21&lt;&gt;"")*IF(B28="",1,(IF(Besatzung!$C$21="",Besatzung!$B$5,Besatzung!$C$21)&lt;=B28)*(IF(Besatzung!$D$21="",Besatzung!$B$6,Besatzung!$D$21)&gt;=B28)))*(Besatzung!$F$21="x")*IFERROR(H28,0)/IFERROR(SUMPRODUCT((Besatzung!$B$11:$B$22&lt;&gt;"")*(Besatzung!$F$11:$F$22="x")*(IF(Besatzung!$C$11:$C$22="",Besatzung!$B$5,Besatzung!$C$11:$C$22)&lt;=B28)*(IF(Besatzung!$D$11:$D$22="",Besatzung!$B$6,Besatzung!$D$11:$D$22)&gt;=B28)),1)),IF(I28="An Bord",(((Besatzung!$B$21&lt;&gt;"")*IF(B28="",1,(IF(Besatzung!$C$21="",Besatzung!$B$5,Besatzung!$C$21)&lt;=B28)*(IF(Besatzung!$D$21="",Besatzung!$B$6,Besatzung!$D$21)&gt;=B28)))*((G28-IFERROR(H28,0))/IFERROR(SUMPRODUCT((Besatzung!$B$11:$B$22&lt;&gt;"")*(IF(Besatzung!$C$11:$C$22="",Besatzung!$B$5,Besatzung!$C$11:$C$22)&lt;=B28)*(IF(Besatzung!$D$11:$D$22="",Besatzung!$B$6,Besatzung!$D$11:$D$22)&gt;=B28)),1)+(Besatzung!$F$21="x")*IFERROR(H28,0)/IFERROR(SUMPRODUCT((Besatzung!$B$11:$B$22&lt;&gt;"")*(Besatzung!$F$11:$F$22="x")*(IF(Besatzung!$C$11:$C$22="",Besatzung!$B$5,Besatzung!$C$11:$C$22)&lt;=B28)*(IF(Besatzung!$D$11:$D$22="",Besatzung!$B$6,Besatzung!$D$11:$D$22)&gt;=B28)),1))),IF(I28="Individuell",((T28="x")*((G28-IFERROR(H28,0))/IFERROR(COUNTIF(J28:U28,"x"),1)+(Besatzung!$F$21="x")*IFERROR(H28,0)/IFERROR(SUMPRODUCT((J28:U28="x")*(Besatzung!$F$11:$F$22="x")),1))),(IF(COUNTIF(J28:U28,"x")=0,IF(Besatzung!$B$21&lt;&gt;"",1,0),(T28="x"))*(G28-IFERROR(H28,0))/IFERROR(IF(COUNTIF(J28:U28,"x")=0,COUNTA(Besatzung!$B$11:$B$22),COUNTIF(J28:U28,"x")),1)+IF(COUNTIF(J28:U28,"x")=0,(Besatzung!$F$21="x"),(T28="x")*(Besatzung!$F$21="x"))*IFERROR(H28,0)/IFERROR(IF(COUNTIF(J28:U28,"x")=0,SUMPRODUCT((Besatzung!$B$11:$B$22&lt;&gt;"")*(Besatzung!$F$11:$F$22="x")),SUMPRODUCT((J28:U28="x")*(Besatzung!$F$11:$F$22="x"))),1))))),0))))</f>
        <v/>
      </c>
      <c r="AG28" s="247">
        <f>IF(C28="Gutschrift","",IF(G28="","",IF(Besatzung!$B$22="","",IFERROR(IF(I28="Zeitanteilig",(Besatzung!$G$22*(G28-IFERROR(H28,0))+((Besatzung!$B$22&lt;&gt;"")*IF(B28="",1,(IF(Besatzung!$C$22="",Besatzung!$B$5,Besatzung!$C$22)&lt;=B28)*(IF(Besatzung!$D$22="",Besatzung!$B$6,Besatzung!$D$22)&gt;=B28)))*(Besatzung!$F$22="x")*IFERROR(H28,0)/IFERROR(SUMPRODUCT((Besatzung!$B$11:$B$22&lt;&gt;"")*(Besatzung!$F$11:$F$22="x")*(IF(Besatzung!$C$11:$C$22="",Besatzung!$B$5,Besatzung!$C$11:$C$22)&lt;=B28)*(IF(Besatzung!$D$11:$D$22="",Besatzung!$B$6,Besatzung!$D$11:$D$22)&gt;=B28)),1)),IF(I28="An Bord",(((Besatzung!$B$22&lt;&gt;"")*IF(B28="",1,(IF(Besatzung!$C$22="",Besatzung!$B$5,Besatzung!$C$22)&lt;=B28)*(IF(Besatzung!$D$22="",Besatzung!$B$6,Besatzung!$D$22)&gt;=B28)))*((G28-IFERROR(H28,0))/IFERROR(SUMPRODUCT((Besatzung!$B$11:$B$22&lt;&gt;"")*(IF(Besatzung!$C$11:$C$22="",Besatzung!$B$5,Besatzung!$C$11:$C$22)&lt;=B28)*(IF(Besatzung!$D$11:$D$22="",Besatzung!$B$6,Besatzung!$D$11:$D$22)&gt;=B28)),1)+(Besatzung!$F$22="x")*IFERROR(H28,0)/IFERROR(SUMPRODUCT((Besatzung!$B$11:$B$22&lt;&gt;"")*(Besatzung!$F$11:$F$22="x")*(IF(Besatzung!$C$11:$C$22="",Besatzung!$B$5,Besatzung!$C$11:$C$22)&lt;=B28)*(IF(Besatzung!$D$11:$D$22="",Besatzung!$B$6,Besatzung!$D$11:$D$22)&gt;=B28)),1))),IF(I28="Individuell",((U28="x")*((G28-IFERROR(H28,0))/IFERROR(COUNTIF(J28:U28,"x"),1)+(Besatzung!$F$22="x")*IFERROR(H28,0)/IFERROR(SUMPRODUCT((J28:U28="x")*(Besatzung!$F$11:$F$22="x")),1))),(IF(COUNTIF(J28:U28,"x")=0,IF(Besatzung!$B$22&lt;&gt;"",1,0),(U28="x"))*(G28-IFERROR(H28,0))/IFERROR(IF(COUNTIF(J28:U28,"x")=0,COUNTA(Besatzung!$B$11:$B$22),COUNTIF(J28:U28,"x")),1)+IF(COUNTIF(J28:U28,"x")=0,(Besatzung!$F$22="x"),(U28="x")*(Besatzung!$F$22="x"))*IFERROR(H28,0)/IFERROR(IF(COUNTIF(J28:U28,"x")=0,SUMPRODUCT((Besatzung!$B$11:$B$22&lt;&gt;"")*(Besatzung!$F$11:$F$22="x")),SUMPRODUCT((J28:U28="x")*(Besatzung!$F$11:$F$22="x"))),1))))),0))))</f>
        <v/>
      </c>
      <c r="AH28" s="248" t="n"/>
      <c r="AI28" s="248" t="n"/>
    </row>
    <row r="29" ht="21.75" customHeight="1" s="154">
      <c r="A29" s="238">
        <f>IF(AND(D29="",C29=""),"",26)</f>
        <v/>
      </c>
      <c r="B29" s="206" t="n"/>
      <c r="C29" s="249" t="n"/>
      <c r="D29" s="250" t="n"/>
      <c r="E29" s="251" t="n"/>
      <c r="F29" s="252" t="n"/>
      <c r="G29" s="253" t="n"/>
      <c r="H29" s="254" t="n"/>
      <c r="I29" s="255" t="n"/>
      <c r="J29" s="256" t="n"/>
      <c r="K29" s="256" t="n"/>
      <c r="L29" s="256" t="n"/>
      <c r="M29" s="256" t="n"/>
      <c r="N29" s="256" t="n"/>
      <c r="O29" s="256" t="n"/>
      <c r="P29" s="256" t="n"/>
      <c r="Q29" s="256" t="n"/>
      <c r="R29" s="256" t="n"/>
      <c r="S29" s="256" t="n"/>
      <c r="T29" s="256" t="n"/>
      <c r="U29" s="256" t="n"/>
      <c r="V29" s="247">
        <f>IF(C29="Gutschrift","",IF(G29="","",IF(Besatzung!$B$11="","",IFERROR(IF(I29="Zeitanteilig",(Besatzung!$G$11*(G29-IFERROR(H29,0))+((Besatzung!$B$11&lt;&gt;"")*IF(B29="",1,(IF(Besatzung!$C$11="",Besatzung!$B$5,Besatzung!$C$11)&lt;=B29)*(IF(Besatzung!$D$11="",Besatzung!$B$6,Besatzung!$D$11)&gt;=B29)))*(Besatzung!$F$11="x")*IFERROR(H29,0)/IFERROR(SUMPRODUCT((Besatzung!$B$11:$B$22&lt;&gt;"")*(Besatzung!$F$11:$F$22="x")*(IF(Besatzung!$C$11:$C$22="",Besatzung!$B$5,Besatzung!$C$11:$C$22)&lt;=B29)*(IF(Besatzung!$D$11:$D$22="",Besatzung!$B$6,Besatzung!$D$11:$D$22)&gt;=B29)),1)),IF(I29="An Bord",(((Besatzung!$B$11&lt;&gt;"")*IF(B29="",1,(IF(Besatzung!$C$11="",Besatzung!$B$5,Besatzung!$C$11)&lt;=B29)*(IF(Besatzung!$D$11="",Besatzung!$B$6,Besatzung!$D$11)&gt;=B29)))*((G29-IFERROR(H29,0))/IFERROR(SUMPRODUCT((Besatzung!$B$11:$B$22&lt;&gt;"")*(IF(Besatzung!$C$11:$C$22="",Besatzung!$B$5,Besatzung!$C$11:$C$22)&lt;=B29)*(IF(Besatzung!$D$11:$D$22="",Besatzung!$B$6,Besatzung!$D$11:$D$22)&gt;=B29)),1)+(Besatzung!$F$11="x")*IFERROR(H29,0)/IFERROR(SUMPRODUCT((Besatzung!$B$11:$B$22&lt;&gt;"")*(Besatzung!$F$11:$F$22="x")*(IF(Besatzung!$C$11:$C$22="",Besatzung!$B$5,Besatzung!$C$11:$C$22)&lt;=B29)*(IF(Besatzung!$D$11:$D$22="",Besatzung!$B$6,Besatzung!$D$11:$D$22)&gt;=B29)),1))),IF(I29="Individuell",((J29="x")*((G29-IFERROR(H29,0))/IFERROR(COUNTIF(J29:U29,"x"),1)+(Besatzung!$F$11="x")*IFERROR(H29,0)/IFERROR(SUMPRODUCT((J29:U29="x")*(Besatzung!$F$11:$F$22="x")),1))),(IF(COUNTIF(J29:U29,"x")=0,IF(Besatzung!$B$11&lt;&gt;"",1,0),(J29="x"))*(G29-IFERROR(H29,0))/IFERROR(IF(COUNTIF(J29:U29,"x")=0,COUNTA(Besatzung!$B$11:$B$22),COUNTIF(J29:U29,"x")),1)+IF(COUNTIF(J29:U29,"x")=0,(Besatzung!$F$11="x"),(J29="x")*(Besatzung!$F$11="x"))*IFERROR(H29,0)/IFERROR(IF(COUNTIF(J29:U29,"x")=0,SUMPRODUCT((Besatzung!$B$11:$B$22&lt;&gt;"")*(Besatzung!$F$11:$F$22="x")),SUMPRODUCT((J29:U29="x")*(Besatzung!$F$11:$F$22="x"))),1))))),0))))</f>
        <v/>
      </c>
      <c r="W29" s="247">
        <f>IF(C29="Gutschrift","",IF(G29="","",IF(Besatzung!$B$12="","",IFERROR(IF(I29="Zeitanteilig",(Besatzung!$G$12*(G29-IFERROR(H29,0))+((Besatzung!$B$12&lt;&gt;"")*IF(B29="",1,(IF(Besatzung!$C$12="",Besatzung!$B$5,Besatzung!$C$12)&lt;=B29)*(IF(Besatzung!$D$12="",Besatzung!$B$6,Besatzung!$D$12)&gt;=B29)))*(Besatzung!$F$12="x")*IFERROR(H29,0)/IFERROR(SUMPRODUCT((Besatzung!$B$11:$B$22&lt;&gt;"")*(Besatzung!$F$11:$F$22="x")*(IF(Besatzung!$C$11:$C$22="",Besatzung!$B$5,Besatzung!$C$11:$C$22)&lt;=B29)*(IF(Besatzung!$D$11:$D$22="",Besatzung!$B$6,Besatzung!$D$11:$D$22)&gt;=B29)),1)),IF(I29="An Bord",(((Besatzung!$B$12&lt;&gt;"")*IF(B29="",1,(IF(Besatzung!$C$12="",Besatzung!$B$5,Besatzung!$C$12)&lt;=B29)*(IF(Besatzung!$D$12="",Besatzung!$B$6,Besatzung!$D$12)&gt;=B29)))*((G29-IFERROR(H29,0))/IFERROR(SUMPRODUCT((Besatzung!$B$11:$B$22&lt;&gt;"")*(IF(Besatzung!$C$11:$C$22="",Besatzung!$B$5,Besatzung!$C$11:$C$22)&lt;=B29)*(IF(Besatzung!$D$11:$D$22="",Besatzung!$B$6,Besatzung!$D$11:$D$22)&gt;=B29)),1)+(Besatzung!$F$12="x")*IFERROR(H29,0)/IFERROR(SUMPRODUCT((Besatzung!$B$11:$B$22&lt;&gt;"")*(Besatzung!$F$11:$F$22="x")*(IF(Besatzung!$C$11:$C$22="",Besatzung!$B$5,Besatzung!$C$11:$C$22)&lt;=B29)*(IF(Besatzung!$D$11:$D$22="",Besatzung!$B$6,Besatzung!$D$11:$D$22)&gt;=B29)),1))),IF(I29="Individuell",((K29="x")*((G29-IFERROR(H29,0))/IFERROR(COUNTIF(J29:U29,"x"),1)+(Besatzung!$F$12="x")*IFERROR(H29,0)/IFERROR(SUMPRODUCT((J29:U29="x")*(Besatzung!$F$11:$F$22="x")),1))),(IF(COUNTIF(J29:U29,"x")=0,IF(Besatzung!$B$12&lt;&gt;"",1,0),(K29="x"))*(G29-IFERROR(H29,0))/IFERROR(IF(COUNTIF(J29:U29,"x")=0,COUNTA(Besatzung!$B$11:$B$22),COUNTIF(J29:U29,"x")),1)+IF(COUNTIF(J29:U29,"x")=0,(Besatzung!$F$12="x"),(K29="x")*(Besatzung!$F$12="x"))*IFERROR(H29,0)/IFERROR(IF(COUNTIF(J29:U29,"x")=0,SUMPRODUCT((Besatzung!$B$11:$B$22&lt;&gt;"")*(Besatzung!$F$11:$F$22="x")),SUMPRODUCT((J29:U29="x")*(Besatzung!$F$11:$F$22="x"))),1))))),0))))</f>
        <v/>
      </c>
      <c r="X29" s="247">
        <f>IF(C29="Gutschrift","",IF(G29="","",IF(Besatzung!$B$13="","",IFERROR(IF(I29="Zeitanteilig",(Besatzung!$G$13*(G29-IFERROR(H29,0))+((Besatzung!$B$13&lt;&gt;"")*IF(B29="",1,(IF(Besatzung!$C$13="",Besatzung!$B$5,Besatzung!$C$13)&lt;=B29)*(IF(Besatzung!$D$13="",Besatzung!$B$6,Besatzung!$D$13)&gt;=B29)))*(Besatzung!$F$13="x")*IFERROR(H29,0)/IFERROR(SUMPRODUCT((Besatzung!$B$11:$B$22&lt;&gt;"")*(Besatzung!$F$11:$F$22="x")*(IF(Besatzung!$C$11:$C$22="",Besatzung!$B$5,Besatzung!$C$11:$C$22)&lt;=B29)*(IF(Besatzung!$D$11:$D$22="",Besatzung!$B$6,Besatzung!$D$11:$D$22)&gt;=B29)),1)),IF(I29="An Bord",(((Besatzung!$B$13&lt;&gt;"")*IF(B29="",1,(IF(Besatzung!$C$13="",Besatzung!$B$5,Besatzung!$C$13)&lt;=B29)*(IF(Besatzung!$D$13="",Besatzung!$B$6,Besatzung!$D$13)&gt;=B29)))*((G29-IFERROR(H29,0))/IFERROR(SUMPRODUCT((Besatzung!$B$11:$B$22&lt;&gt;"")*(IF(Besatzung!$C$11:$C$22="",Besatzung!$B$5,Besatzung!$C$11:$C$22)&lt;=B29)*(IF(Besatzung!$D$11:$D$22="",Besatzung!$B$6,Besatzung!$D$11:$D$22)&gt;=B29)),1)+(Besatzung!$F$13="x")*IFERROR(H29,0)/IFERROR(SUMPRODUCT((Besatzung!$B$11:$B$22&lt;&gt;"")*(Besatzung!$F$11:$F$22="x")*(IF(Besatzung!$C$11:$C$22="",Besatzung!$B$5,Besatzung!$C$11:$C$22)&lt;=B29)*(IF(Besatzung!$D$11:$D$22="",Besatzung!$B$6,Besatzung!$D$11:$D$22)&gt;=B29)),1))),IF(I29="Individuell",((K29="x")*((G29-IFERROR(H29,0))/IFERROR(COUNTIF(J29:U29,"x"),1)+(Besatzung!$F$13="x")*IFERROR(H29,0)/IFERROR(SUMPRODUCT((J29:U29="x")*(Besatzung!$F$11:$F$22="x")),1))),(IF(COUNTIF(J29:U29,"x")=0,IF(Besatzung!$B$13&lt;&gt;"",1,0),(K29="x"))*(G29-IFERROR(H29,0))/IFERROR(IF(COUNTIF(J29:U29,"x")=0,COUNTA(Besatzung!$B$11:$B$22),COUNTIF(J29:U29,"x")),1)+IF(COUNTIF(J29:U29,"x")=0,(Besatzung!$F$13="x"),(K29="x")*(Besatzung!$F$13="x"))*IFERROR(H29,0)/IFERROR(IF(COUNTIF(J29:U29,"x")=0,SUMPRODUCT((Besatzung!$B$11:$B$22&lt;&gt;"")*(Besatzung!$F$11:$F$22="x")),SUMPRODUCT((J29:U29="x")*(Besatzung!$F$11:$F$22="x"))),1))))),0))))</f>
        <v/>
      </c>
      <c r="Y29" s="247">
        <f>IF(C29="Gutschrift","",IF(G29="","",IF(Besatzung!$B$14="","",IFERROR(IF(I29="Zeitanteilig",(Besatzung!$G$14*(G29-IFERROR(H29,0))+((Besatzung!$B$14&lt;&gt;"")*IF(B29="",1,(IF(Besatzung!$C$14="",Besatzung!$B$5,Besatzung!$C$14)&lt;=B29)*(IF(Besatzung!$D$14="",Besatzung!$B$6,Besatzung!$D$14)&gt;=B29)))*(Besatzung!$F$14="x")*IFERROR(H29,0)/IFERROR(SUMPRODUCT((Besatzung!$B$11:$B$22&lt;&gt;"")*(Besatzung!$F$11:$F$22="x")*(IF(Besatzung!$C$11:$C$22="",Besatzung!$B$5,Besatzung!$C$11:$C$22)&lt;=B29)*(IF(Besatzung!$D$11:$D$22="",Besatzung!$B$6,Besatzung!$D$11:$D$22)&gt;=B29)),1)),IF(I29="An Bord",(((Besatzung!$B$14&lt;&gt;"")*IF(B29="",1,(IF(Besatzung!$C$14="",Besatzung!$B$5,Besatzung!$C$14)&lt;=B29)*(IF(Besatzung!$D$14="",Besatzung!$B$6,Besatzung!$D$14)&gt;=B29)))*((G29-IFERROR(H29,0))/IFERROR(SUMPRODUCT((Besatzung!$B$11:$B$22&lt;&gt;"")*(IF(Besatzung!$C$11:$C$22="",Besatzung!$B$5,Besatzung!$C$11:$C$22)&lt;=B29)*(IF(Besatzung!$D$11:$D$22="",Besatzung!$B$6,Besatzung!$D$11:$D$22)&gt;=B29)),1)+(Besatzung!$F$14="x")*IFERROR(H29,0)/IFERROR(SUMPRODUCT((Besatzung!$B$11:$B$22&lt;&gt;"")*(Besatzung!$F$11:$F$22="x")*(IF(Besatzung!$C$11:$C$22="",Besatzung!$B$5,Besatzung!$C$11:$C$22)&lt;=B29)*(IF(Besatzung!$D$11:$D$22="",Besatzung!$B$6,Besatzung!$D$11:$D$22)&gt;=B29)),1))),IF(I29="Individuell",((M29="x")*((G29-IFERROR(H29,0))/IFERROR(COUNTIF(J29:U29,"x"),1)+(Besatzung!$F$14="x")*IFERROR(H29,0)/IFERROR(SUMPRODUCT((J29:U29="x")*(Besatzung!$F$11:$F$22="x")),1))),(IF(COUNTIF(J29:U29,"x")=0,IF(Besatzung!$B$14&lt;&gt;"",1,0),(M29="x"))*(G29-IFERROR(H29,0))/IFERROR(IF(COUNTIF(J29:U29,"x")=0,COUNTA(Besatzung!$B$11:$B$22),COUNTIF(J29:U29,"x")),1)+IF(COUNTIF(J29:U29,"x")=0,(Besatzung!$F$14="x"),(M29="x")*(Besatzung!$F$14="x"))*IFERROR(H29,0)/IFERROR(IF(COUNTIF(J29:U29,"x")=0,SUMPRODUCT((Besatzung!$B$11:$B$22&lt;&gt;"")*(Besatzung!$F$11:$F$22="x")),SUMPRODUCT((J29:U29="x")*(Besatzung!$F$11:$F$22="x"))),1))))),0))))</f>
        <v/>
      </c>
      <c r="Z29" s="247">
        <f>IF(C29="Gutschrift","",IF(G29="","",IF(Besatzung!$B$13="","",IFERROR(IF(I29="Zeitanteilig",(Besatzung!$G$15*(G29-IFERROR(H29,0))+((Besatzung!$B$13&lt;&gt;"")*IF(B29="",1,(IF(Besatzung!$C$15="",Besatzung!$B$5,Besatzung!$C$15)&lt;=B29)*(IF(Besatzung!$D$15="",Besatzung!$B$6,Besatzung!$D$15)&gt;=B29)))*(Besatzung!$F$15="x")*IFERROR(H29,0)/IFERROR(SUMPRODUCT((Besatzung!$B$11:$B$22&lt;&gt;"")*(Besatzung!$F$11:$F$22="x")*(IF(Besatzung!$C$11:$C$22="",Besatzung!$B$5,Besatzung!$C$11:$C$22)&lt;=B29)*(IF(Besatzung!$D$11:$D$22="",Besatzung!$B$6,Besatzung!$D$11:$D$22)&gt;=B29)),1)),IF(I29="An Bord",(((Besatzung!$B$13&lt;&gt;"")*IF(B29="",1,(IF(Besatzung!$C$15="",Besatzung!$B$5,Besatzung!$C$15)&lt;=B29)*(IF(Besatzung!$D$15="",Besatzung!$B$6,Besatzung!$D$15)&gt;=B29)))*((G29-IFERROR(H29,0))/IFERROR(SUMPRODUCT((Besatzung!$B$11:$B$22&lt;&gt;"")*(IF(Besatzung!$C$11:$C$22="",Besatzung!$B$5,Besatzung!$C$11:$C$22)&lt;=B29)*(IF(Besatzung!$D$11:$D$22="",Besatzung!$B$6,Besatzung!$D$11:$D$22)&gt;=B29)),1)+(Besatzung!$F$15="x")*IFERROR(H29,0)/IFERROR(SUMPRODUCT((Besatzung!$B$11:$B$22&lt;&gt;"")*(Besatzung!$F$11:$F$22="x")*(IF(Besatzung!$C$11:$C$22="",Besatzung!$B$5,Besatzung!$C$11:$C$22)&lt;=B29)*(IF(Besatzung!$D$11:$D$22="",Besatzung!$B$6,Besatzung!$D$11:$D$22)&gt;=B29)),1))),IF(I29="Individuell",((N29="x")*((G29-IFERROR(H29,0))/IFERROR(COUNTIF(J29:U29,"x"),1)+(Besatzung!$F$15="x")*IFERROR(H29,0)/IFERROR(SUMPRODUCT((J29:U29="x")*(Besatzung!$F$11:$F$22="x")),1))),(IF(COUNTIF(J29:U29,"x")=0,IF(Besatzung!$B$13&lt;&gt;"",1,0),(N29="x"))*(G29-IFERROR(H29,0))/IFERROR(IF(COUNTIF(J29:U29,"x")=0,COUNTA(Besatzung!$B$11:$B$22),COUNTIF(J29:U29,"x")),1)+IF(COUNTIF(J29:U29,"x")=0,(Besatzung!$F$15="x"),(N29="x")*(Besatzung!$F$15="x"))*IFERROR(H29,0)/IFERROR(IF(COUNTIF(J29:U29,"x")=0,SUMPRODUCT((Besatzung!$B$11:$B$22&lt;&gt;"")*(Besatzung!$F$11:$F$22="x")),SUMPRODUCT((J29:U29="x")*(Besatzung!$F$11:$F$22="x"))),1))))),0))))</f>
        <v/>
      </c>
      <c r="AA29" s="247">
        <f>IF(C29="Gutschrift","",IF(G29="","",IF(Besatzung!$B$15="","",IFERROR(IF(I29="Zeitanteilig",(Besatzung!$G$16*(G29-IFERROR(H29,0))+((Besatzung!$B$15&lt;&gt;"")*IF(B29="",1,(IF(Besatzung!$C$16="",Besatzung!$B$5,Besatzung!$C$16)&lt;=B29)*(IF(Besatzung!$D$16="",Besatzung!$B$6,Besatzung!$D$16)&gt;=B29)))*(Besatzung!$F$16="x")*IFERROR(H29,0)/IFERROR(SUMPRODUCT((Besatzung!$B$11:$B$22&lt;&gt;"")*(Besatzung!$F$11:$F$22="x")*(IF(Besatzung!$C$11:$C$22="",Besatzung!$B$5,Besatzung!$C$11:$C$22)&lt;=B29)*(IF(Besatzung!$D$11:$D$22="",Besatzung!$B$6,Besatzung!$D$11:$D$22)&gt;=B29)),1)),IF(I29="An Bord",(((Besatzung!$B$15&lt;&gt;"")*IF(B29="",1,(IF(Besatzung!$C$16="",Besatzung!$B$5,Besatzung!$C$16)&lt;=B29)*(IF(Besatzung!$D$16="",Besatzung!$B$6,Besatzung!$D$16)&gt;=B29)))*((G29-IFERROR(H29,0))/IFERROR(SUMPRODUCT((Besatzung!$B$11:$B$22&lt;&gt;"")*(IF(Besatzung!$C$11:$C$22="",Besatzung!$B$5,Besatzung!$C$11:$C$22)&lt;=B29)*(IF(Besatzung!$D$11:$D$22="",Besatzung!$B$6,Besatzung!$D$11:$D$22)&gt;=B29)),1)+(Besatzung!$F$16="x")*IFERROR(H29,0)/IFERROR(SUMPRODUCT((Besatzung!$B$11:$B$22&lt;&gt;"")*(Besatzung!$F$11:$F$22="x")*(IF(Besatzung!$C$11:$C$22="",Besatzung!$B$5,Besatzung!$C$11:$C$22)&lt;=B29)*(IF(Besatzung!$D$11:$D$22="",Besatzung!$B$6,Besatzung!$D$11:$D$22)&gt;=B29)),1))),IF(I29="Individuell",((O29="x")*((G29-IFERROR(H29,0))/IFERROR(COUNTIF(J29:U29,"x"),1)+(Besatzung!$F$16="x")*IFERROR(H29,0)/IFERROR(SUMPRODUCT((J29:U29="x")*(Besatzung!$F$11:$F$22="x")),1))),(IF(COUNTIF(J29:U29,"x")=0,IF(Besatzung!$B$15&lt;&gt;"",1,0),(O29="x"))*(G29-IFERROR(H29,0))/IFERROR(IF(COUNTIF(J29:U29,"x")=0,COUNTA(Besatzung!$B$11:$B$22),COUNTIF(J29:U29,"x")),1)+IF(COUNTIF(J29:U29,"x")=0,(Besatzung!$F$16="x"),(O29="x")*(Besatzung!$F$16="x"))*IFERROR(H29,0)/IFERROR(IF(COUNTIF(J29:U29,"x")=0,SUMPRODUCT((Besatzung!$B$11:$B$22&lt;&gt;"")*(Besatzung!$F$11:$F$22="x")),SUMPRODUCT((J29:U29="x")*(Besatzung!$F$11:$F$22="x"))),1))))),0))))</f>
        <v/>
      </c>
      <c r="AB29" s="247">
        <f>IF(C29="Gutschrift","",IF(G29="","",IF(Besatzung!$B$17="","",IFERROR(IF(I29="Zeitanteilig",(Besatzung!$G$17*(G29-IFERROR(H29,0))+((Besatzung!$B$17&lt;&gt;"")*IF(B29="",1,(IF(Besatzung!$C$17="",Besatzung!$B$5,Besatzung!$C$17)&lt;=B29)*(IF(Besatzung!$D$17="",Besatzung!$B$6,Besatzung!$D$17)&gt;=B29)))*(Besatzung!$F$17="x")*IFERROR(H29,0)/IFERROR(SUMPRODUCT((Besatzung!$B$11:$B$22&lt;&gt;"")*(Besatzung!$F$11:$F$22="x")*(IF(Besatzung!$C$11:$C$22="",Besatzung!$B$5,Besatzung!$C$11:$C$22)&lt;=B29)*(IF(Besatzung!$D$11:$D$22="",Besatzung!$B$6,Besatzung!$D$11:$D$22)&gt;=B29)),1)),IF(I29="An Bord",(((Besatzung!$B$17&lt;&gt;"")*IF(B29="",1,(IF(Besatzung!$C$17="",Besatzung!$B$5,Besatzung!$C$17)&lt;=B29)*(IF(Besatzung!$D$17="",Besatzung!$B$6,Besatzung!$D$17)&gt;=B29)))*((G29-IFERROR(H29,0))/IFERROR(SUMPRODUCT((Besatzung!$B$11:$B$22&lt;&gt;"")*(IF(Besatzung!$C$11:$C$22="",Besatzung!$B$5,Besatzung!$C$11:$C$22)&lt;=B29)*(IF(Besatzung!$D$11:$D$22="",Besatzung!$B$6,Besatzung!$D$11:$D$22)&gt;=B29)),1)+(Besatzung!$F$17="x")*IFERROR(H29,0)/IFERROR(SUMPRODUCT((Besatzung!$B$11:$B$22&lt;&gt;"")*(Besatzung!$F$11:$F$22="x")*(IF(Besatzung!$C$11:$C$22="",Besatzung!$B$5,Besatzung!$C$11:$C$22)&lt;=B29)*(IF(Besatzung!$D$11:$D$22="",Besatzung!$B$6,Besatzung!$D$11:$D$22)&gt;=B29)),1))),IF(I29="Individuell",((P29="x")*((G29-IFERROR(H29,0))/IFERROR(COUNTIF(J29:U29,"x"),1)+(Besatzung!$F$17="x")*IFERROR(H29,0)/IFERROR(SUMPRODUCT((J29:U29="x")*(Besatzung!$F$11:$F$22="x")),1))),(IF(COUNTIF(J29:U29,"x")=0,IF(Besatzung!$B$17&lt;&gt;"",1,0),(P29="x"))*(G29-IFERROR(H29,0))/IFERROR(IF(COUNTIF(J29:U29,"x")=0,COUNTA(Besatzung!$B$11:$B$22),COUNTIF(J29:U29,"x")),1)+IF(COUNTIF(J29:U29,"x")=0,(Besatzung!$F$17="x"),(P29="x")*(Besatzung!$F$17="x"))*IFERROR(H29,0)/IFERROR(IF(COUNTIF(J29:U29,"x")=0,SUMPRODUCT((Besatzung!$B$11:$B$22&lt;&gt;"")*(Besatzung!$F$11:$F$22="x")),SUMPRODUCT((J29:U29="x")*(Besatzung!$F$11:$F$22="x"))),1))))),0))))</f>
        <v/>
      </c>
      <c r="AC29" s="247">
        <f>IF(C29="Gutschrift","",IF(G29="","",IF(Besatzung!$B$18="","",IFERROR(IF(I29="Zeitanteilig",(Besatzung!$G$18*(G29-IFERROR(H29,0))+((Besatzung!$B$18&lt;&gt;"")*IF(B29="",1,(IF(Besatzung!$C$18="",Besatzung!$B$5,Besatzung!$C$18)&lt;=B29)*(IF(Besatzung!$D$18="",Besatzung!$B$6,Besatzung!$D$18)&gt;=B29)))*(Besatzung!$F$18="x")*IFERROR(H29,0)/IFERROR(SUMPRODUCT((Besatzung!$B$11:$B$22&lt;&gt;"")*(Besatzung!$F$11:$F$22="x")*(IF(Besatzung!$C$11:$C$22="",Besatzung!$B$5,Besatzung!$C$11:$C$22)&lt;=B29)*(IF(Besatzung!$D$11:$D$22="",Besatzung!$B$6,Besatzung!$D$11:$D$22)&gt;=B29)),1)),IF(I29="An Bord",(((Besatzung!$B$18&lt;&gt;"")*IF(B29="",1,(IF(Besatzung!$C$18="",Besatzung!$B$5,Besatzung!$C$18)&lt;=B29)*(IF(Besatzung!$D$18="",Besatzung!$B$6,Besatzung!$D$18)&gt;=B29)))*((G29-IFERROR(H29,0))/IFERROR(SUMPRODUCT((Besatzung!$B$11:$B$22&lt;&gt;"")*(IF(Besatzung!$C$11:$C$22="",Besatzung!$B$5,Besatzung!$C$11:$C$22)&lt;=B29)*(IF(Besatzung!$D$11:$D$22="",Besatzung!$B$6,Besatzung!$D$11:$D$22)&gt;=B29)),1)+(Besatzung!$F$18="x")*IFERROR(H29,0)/IFERROR(SUMPRODUCT((Besatzung!$B$11:$B$22&lt;&gt;"")*(Besatzung!$F$11:$F$22="x")*(IF(Besatzung!$C$11:$C$22="",Besatzung!$B$5,Besatzung!$C$11:$C$22)&lt;=B29)*(IF(Besatzung!$D$11:$D$22="",Besatzung!$B$6,Besatzung!$D$11:$D$22)&gt;=B29)),1))),IF(I29="Individuell",((Q29="x")*((G29-IFERROR(H29,0))/IFERROR(COUNTIF(J29:U29,"x"),1)+(Besatzung!$F$18="x")*IFERROR(H29,0)/IFERROR(SUMPRODUCT((J29:U29="x")*(Besatzung!$F$11:$F$22="x")),1))),(IF(COUNTIF(J29:U29,"x")=0,IF(Besatzung!$B$18&lt;&gt;"",1,0),(Q29="x"))*(G29-IFERROR(H29,0))/IFERROR(IF(COUNTIF(J29:U29,"x")=0,COUNTA(Besatzung!$B$11:$B$22),COUNTIF(J29:U29,"x")),1)+IF(COUNTIF(J29:U29,"x")=0,(Besatzung!$F$18="x"),(Q29="x")*(Besatzung!$F$18="x"))*IFERROR(H29,0)/IFERROR(IF(COUNTIF(J29:U29,"x")=0,SUMPRODUCT((Besatzung!$B$11:$B$22&lt;&gt;"")*(Besatzung!$F$11:$F$22="x")),SUMPRODUCT((J29:U29="x")*(Besatzung!$F$11:$F$22="x"))),1))))),0))))</f>
        <v/>
      </c>
      <c r="AD29" s="247">
        <f>IF(C29="Gutschrift","",IF(G29="","",IF(Besatzung!$B$19="","",IFERROR(IF(I29="Zeitanteilig",(Besatzung!$G$19*(G29-IFERROR(H29,0))+((Besatzung!$B$19&lt;&gt;"")*IF(B29="",1,(IF(Besatzung!$C$19="",Besatzung!$B$5,Besatzung!$C$19)&lt;=B29)*(IF(Besatzung!$D$19="",Besatzung!$B$6,Besatzung!$D$19)&gt;=B29)))*(Besatzung!$F$19="x")*IFERROR(H29,0)/IFERROR(SUMPRODUCT((Besatzung!$B$11:$B$22&lt;&gt;"")*(Besatzung!$F$11:$F$22="x")*(IF(Besatzung!$C$11:$C$22="",Besatzung!$B$5,Besatzung!$C$11:$C$22)&lt;=B29)*(IF(Besatzung!$D$11:$D$22="",Besatzung!$B$6,Besatzung!$D$11:$D$22)&gt;=B29)),1)),IF(I29="An Bord",(((Besatzung!$B$19&lt;&gt;"")*IF(B29="",1,(IF(Besatzung!$C$19="",Besatzung!$B$5,Besatzung!$C$19)&lt;=B29)*(IF(Besatzung!$D$19="",Besatzung!$B$6,Besatzung!$D$19)&gt;=B29)))*((G29-IFERROR(H29,0))/IFERROR(SUMPRODUCT((Besatzung!$B$11:$B$22&lt;&gt;"")*(IF(Besatzung!$C$11:$C$22="",Besatzung!$B$5,Besatzung!$C$11:$C$22)&lt;=B29)*(IF(Besatzung!$D$11:$D$22="",Besatzung!$B$6,Besatzung!$D$11:$D$22)&gt;=B29)),1)+(Besatzung!$F$19="x")*IFERROR(H29,0)/IFERROR(SUMPRODUCT((Besatzung!$B$11:$B$22&lt;&gt;"")*(Besatzung!$F$11:$F$22="x")*(IF(Besatzung!$C$11:$C$22="",Besatzung!$B$5,Besatzung!$C$11:$C$22)&lt;=B29)*(IF(Besatzung!$D$11:$D$22="",Besatzung!$B$6,Besatzung!$D$11:$D$22)&gt;=B29)),1))),IF(I29="Individuell",((R29="x")*((G29-IFERROR(H29,0))/IFERROR(COUNTIF(J29:U29,"x"),1)+(Besatzung!$F$19="x")*IFERROR(H29,0)/IFERROR(SUMPRODUCT((J29:U29="x")*(Besatzung!$F$11:$F$22="x")),1))),(IF(COUNTIF(J29:U29,"x")=0,IF(Besatzung!$B$19&lt;&gt;"",1,0),(R29="x"))*(G29-IFERROR(H29,0))/IFERROR(IF(COUNTIF(J29:U29,"x")=0,COUNTA(Besatzung!$B$11:$B$22),COUNTIF(J29:U29,"x")),1)+IF(COUNTIF(J29:U29,"x")=0,(Besatzung!$F$19="x"),(R29="x")*(Besatzung!$F$19="x"))*IFERROR(H29,0)/IFERROR(IF(COUNTIF(J29:U29,"x")=0,SUMPRODUCT((Besatzung!$B$11:$B$22&lt;&gt;"")*(Besatzung!$F$11:$F$22="x")),SUMPRODUCT((J29:U29="x")*(Besatzung!$F$11:$F$22="x"))),1))))),0))))</f>
        <v/>
      </c>
      <c r="AE29" s="247">
        <f>IF(C29="Gutschrift","",IF(G29="","",IF(Besatzung!$B$20="","",IFERROR(IF(I29="Zeitanteilig",(Besatzung!$G$20*(G29-IFERROR(H29,0))+((Besatzung!$B$20&lt;&gt;"")*IF(B29="",1,(IF(Besatzung!$C$20="",Besatzung!$B$5,Besatzung!$C$20)&lt;=B29)*(IF(Besatzung!$D$20="",Besatzung!$B$6,Besatzung!$D$20)&gt;=B29)))*(Besatzung!$F$20="x")*IFERROR(H29,0)/IFERROR(SUMPRODUCT((Besatzung!$B$11:$B$22&lt;&gt;"")*(Besatzung!$F$11:$F$22="x")*(IF(Besatzung!$C$11:$C$22="",Besatzung!$B$5,Besatzung!$C$11:$C$22)&lt;=B29)*(IF(Besatzung!$D$11:$D$22="",Besatzung!$B$6,Besatzung!$D$11:$D$22)&gt;=B29)),1)),IF(I29="An Bord",(((Besatzung!$B$20&lt;&gt;"")*IF(B29="",1,(IF(Besatzung!$C$20="",Besatzung!$B$5,Besatzung!$C$20)&lt;=B29)*(IF(Besatzung!$D$20="",Besatzung!$B$6,Besatzung!$D$20)&gt;=B29)))*((G29-IFERROR(H29,0))/IFERROR(SUMPRODUCT((Besatzung!$B$11:$B$22&lt;&gt;"")*(IF(Besatzung!$C$11:$C$22="",Besatzung!$B$5,Besatzung!$C$11:$C$22)&lt;=B29)*(IF(Besatzung!$D$11:$D$22="",Besatzung!$B$6,Besatzung!$D$11:$D$22)&gt;=B29)),1)+(Besatzung!$F$20="x")*IFERROR(H29,0)/IFERROR(SUMPRODUCT((Besatzung!$B$11:$B$22&lt;&gt;"")*(Besatzung!$F$11:$F$22="x")*(IF(Besatzung!$C$11:$C$22="",Besatzung!$B$5,Besatzung!$C$11:$C$22)&lt;=B29)*(IF(Besatzung!$D$11:$D$22="",Besatzung!$B$6,Besatzung!$D$11:$D$22)&gt;=B29)),1))),IF(I29="Individuell",((S29="x")*((G29-IFERROR(H29,0))/IFERROR(COUNTIF(J29:U29,"x"),1)+(Besatzung!$F$20="x")*IFERROR(H29,0)/IFERROR(SUMPRODUCT((J29:U29="x")*(Besatzung!$F$11:$F$22="x")),1))),(IF(COUNTIF(J29:U29,"x")=0,IF(Besatzung!$B$20&lt;&gt;"",1,0),(S29="x"))*(G29-IFERROR(H29,0))/IFERROR(IF(COUNTIF(J29:U29,"x")=0,COUNTA(Besatzung!$B$11:$B$22),COUNTIF(J29:U29,"x")),1)+IF(COUNTIF(J29:U29,"x")=0,(Besatzung!$F$20="x"),(S29="x")*(Besatzung!$F$20="x"))*IFERROR(H29,0)/IFERROR(IF(COUNTIF(J29:U29,"x")=0,SUMPRODUCT((Besatzung!$B$11:$B$22&lt;&gt;"")*(Besatzung!$F$11:$F$22="x")),SUMPRODUCT((J29:U29="x")*(Besatzung!$F$11:$F$22="x"))),1))))),0))))</f>
        <v/>
      </c>
      <c r="AF29" s="247">
        <f>IF(C29="Gutschrift","",IF(G29="","",IF(Besatzung!$B$21="","",IFERROR(IF(I29="Zeitanteilig",(Besatzung!$G$21*(G29-IFERROR(H29,0))+((Besatzung!$B$21&lt;&gt;"")*IF(B29="",1,(IF(Besatzung!$C$21="",Besatzung!$B$5,Besatzung!$C$21)&lt;=B29)*(IF(Besatzung!$D$21="",Besatzung!$B$6,Besatzung!$D$21)&gt;=B29)))*(Besatzung!$F$21="x")*IFERROR(H29,0)/IFERROR(SUMPRODUCT((Besatzung!$B$11:$B$22&lt;&gt;"")*(Besatzung!$F$11:$F$22="x")*(IF(Besatzung!$C$11:$C$22="",Besatzung!$B$5,Besatzung!$C$11:$C$22)&lt;=B29)*(IF(Besatzung!$D$11:$D$22="",Besatzung!$B$6,Besatzung!$D$11:$D$22)&gt;=B29)),1)),IF(I29="An Bord",(((Besatzung!$B$21&lt;&gt;"")*IF(B29="",1,(IF(Besatzung!$C$21="",Besatzung!$B$5,Besatzung!$C$21)&lt;=B29)*(IF(Besatzung!$D$21="",Besatzung!$B$6,Besatzung!$D$21)&gt;=B29)))*((G29-IFERROR(H29,0))/IFERROR(SUMPRODUCT((Besatzung!$B$11:$B$22&lt;&gt;"")*(IF(Besatzung!$C$11:$C$22="",Besatzung!$B$5,Besatzung!$C$11:$C$22)&lt;=B29)*(IF(Besatzung!$D$11:$D$22="",Besatzung!$B$6,Besatzung!$D$11:$D$22)&gt;=B29)),1)+(Besatzung!$F$21="x")*IFERROR(H29,0)/IFERROR(SUMPRODUCT((Besatzung!$B$11:$B$22&lt;&gt;"")*(Besatzung!$F$11:$F$22="x")*(IF(Besatzung!$C$11:$C$22="",Besatzung!$B$5,Besatzung!$C$11:$C$22)&lt;=B29)*(IF(Besatzung!$D$11:$D$22="",Besatzung!$B$6,Besatzung!$D$11:$D$22)&gt;=B29)),1))),IF(I29="Individuell",((T29="x")*((G29-IFERROR(H29,0))/IFERROR(COUNTIF(J29:U29,"x"),1)+(Besatzung!$F$21="x")*IFERROR(H29,0)/IFERROR(SUMPRODUCT((J29:U29="x")*(Besatzung!$F$11:$F$22="x")),1))),(IF(COUNTIF(J29:U29,"x")=0,IF(Besatzung!$B$21&lt;&gt;"",1,0),(T29="x"))*(G29-IFERROR(H29,0))/IFERROR(IF(COUNTIF(J29:U29,"x")=0,COUNTA(Besatzung!$B$11:$B$22),COUNTIF(J29:U29,"x")),1)+IF(COUNTIF(J29:U29,"x")=0,(Besatzung!$F$21="x"),(T29="x")*(Besatzung!$F$21="x"))*IFERROR(H29,0)/IFERROR(IF(COUNTIF(J29:U29,"x")=0,SUMPRODUCT((Besatzung!$B$11:$B$22&lt;&gt;"")*(Besatzung!$F$11:$F$22="x")),SUMPRODUCT((J29:U29="x")*(Besatzung!$F$11:$F$22="x"))),1))))),0))))</f>
        <v/>
      </c>
      <c r="AG29" s="247">
        <f>IF(C29="Gutschrift","",IF(G29="","",IF(Besatzung!$B$22="","",IFERROR(IF(I29="Zeitanteilig",(Besatzung!$G$22*(G29-IFERROR(H29,0))+((Besatzung!$B$22&lt;&gt;"")*IF(B29="",1,(IF(Besatzung!$C$22="",Besatzung!$B$5,Besatzung!$C$22)&lt;=B29)*(IF(Besatzung!$D$22="",Besatzung!$B$6,Besatzung!$D$22)&gt;=B29)))*(Besatzung!$F$22="x")*IFERROR(H29,0)/IFERROR(SUMPRODUCT((Besatzung!$B$11:$B$22&lt;&gt;"")*(Besatzung!$F$11:$F$22="x")*(IF(Besatzung!$C$11:$C$22="",Besatzung!$B$5,Besatzung!$C$11:$C$22)&lt;=B29)*(IF(Besatzung!$D$11:$D$22="",Besatzung!$B$6,Besatzung!$D$11:$D$22)&gt;=B29)),1)),IF(I29="An Bord",(((Besatzung!$B$22&lt;&gt;"")*IF(B29="",1,(IF(Besatzung!$C$22="",Besatzung!$B$5,Besatzung!$C$22)&lt;=B29)*(IF(Besatzung!$D$22="",Besatzung!$B$6,Besatzung!$D$22)&gt;=B29)))*((G29-IFERROR(H29,0))/IFERROR(SUMPRODUCT((Besatzung!$B$11:$B$22&lt;&gt;"")*(IF(Besatzung!$C$11:$C$22="",Besatzung!$B$5,Besatzung!$C$11:$C$22)&lt;=B29)*(IF(Besatzung!$D$11:$D$22="",Besatzung!$B$6,Besatzung!$D$11:$D$22)&gt;=B29)),1)+(Besatzung!$F$22="x")*IFERROR(H29,0)/IFERROR(SUMPRODUCT((Besatzung!$B$11:$B$22&lt;&gt;"")*(Besatzung!$F$11:$F$22="x")*(IF(Besatzung!$C$11:$C$22="",Besatzung!$B$5,Besatzung!$C$11:$C$22)&lt;=B29)*(IF(Besatzung!$D$11:$D$22="",Besatzung!$B$6,Besatzung!$D$11:$D$22)&gt;=B29)),1))),IF(I29="Individuell",((U29="x")*((G29-IFERROR(H29,0))/IFERROR(COUNTIF(J29:U29,"x"),1)+(Besatzung!$F$22="x")*IFERROR(H29,0)/IFERROR(SUMPRODUCT((J29:U29="x")*(Besatzung!$F$11:$F$22="x")),1))),(IF(COUNTIF(J29:U29,"x")=0,IF(Besatzung!$B$22&lt;&gt;"",1,0),(U29="x"))*(G29-IFERROR(H29,0))/IFERROR(IF(COUNTIF(J29:U29,"x")=0,COUNTA(Besatzung!$B$11:$B$22),COUNTIF(J29:U29,"x")),1)+IF(COUNTIF(J29:U29,"x")=0,(Besatzung!$F$22="x"),(U29="x")*(Besatzung!$F$22="x"))*IFERROR(H29,0)/IFERROR(IF(COUNTIF(J29:U29,"x")=0,SUMPRODUCT((Besatzung!$B$11:$B$22&lt;&gt;"")*(Besatzung!$F$11:$F$22="x")),SUMPRODUCT((J29:U29="x")*(Besatzung!$F$11:$F$22="x"))),1))))),0))))</f>
        <v/>
      </c>
      <c r="AH29" s="248" t="n"/>
      <c r="AI29" s="248" t="n"/>
    </row>
    <row r="30" ht="21.75" customHeight="1" s="154">
      <c r="A30" s="238">
        <f>IF(AND(D30="",C30=""),"",27)</f>
        <v/>
      </c>
      <c r="B30" s="199" t="n"/>
      <c r="C30" s="239" t="n"/>
      <c r="D30" s="240" t="n"/>
      <c r="E30" s="241" t="n"/>
      <c r="F30" s="242" t="n"/>
      <c r="G30" s="243" t="n"/>
      <c r="H30" s="244" t="n"/>
      <c r="I30" s="245" t="n"/>
      <c r="J30" s="246" t="n"/>
      <c r="K30" s="246" t="n"/>
      <c r="L30" s="246" t="n"/>
      <c r="M30" s="246" t="n"/>
      <c r="N30" s="246" t="n"/>
      <c r="O30" s="246" t="n"/>
      <c r="P30" s="246" t="n"/>
      <c r="Q30" s="246" t="n"/>
      <c r="R30" s="246" t="n"/>
      <c r="S30" s="246" t="n"/>
      <c r="T30" s="246" t="n"/>
      <c r="U30" s="246" t="n"/>
      <c r="V30" s="247">
        <f>IF(C30="Gutschrift","",IF(G30="","",IF(Besatzung!$B$11="","",IFERROR(IF(I30="Zeitanteilig",(Besatzung!$G$11*(G30-IFERROR(H30,0))+((Besatzung!$B$11&lt;&gt;"")*IF(B30="",1,(IF(Besatzung!$C$11="",Besatzung!$B$5,Besatzung!$C$11)&lt;=B30)*(IF(Besatzung!$D$11="",Besatzung!$B$6,Besatzung!$D$11)&gt;=B30)))*(Besatzung!$F$11="x")*IFERROR(H30,0)/IFERROR(SUMPRODUCT((Besatzung!$B$11:$B$22&lt;&gt;"")*(Besatzung!$F$11:$F$22="x")*(IF(Besatzung!$C$11:$C$22="",Besatzung!$B$5,Besatzung!$C$11:$C$22)&lt;=B30)*(IF(Besatzung!$D$11:$D$22="",Besatzung!$B$6,Besatzung!$D$11:$D$22)&gt;=B30)),1)),IF(I30="An Bord",(((Besatzung!$B$11&lt;&gt;"")*IF(B30="",1,(IF(Besatzung!$C$11="",Besatzung!$B$5,Besatzung!$C$11)&lt;=B30)*(IF(Besatzung!$D$11="",Besatzung!$B$6,Besatzung!$D$11)&gt;=B30)))*((G30-IFERROR(H30,0))/IFERROR(SUMPRODUCT((Besatzung!$B$11:$B$22&lt;&gt;"")*(IF(Besatzung!$C$11:$C$22="",Besatzung!$B$5,Besatzung!$C$11:$C$22)&lt;=B30)*(IF(Besatzung!$D$11:$D$22="",Besatzung!$B$6,Besatzung!$D$11:$D$22)&gt;=B30)),1)+(Besatzung!$F$11="x")*IFERROR(H30,0)/IFERROR(SUMPRODUCT((Besatzung!$B$11:$B$22&lt;&gt;"")*(Besatzung!$F$11:$F$22="x")*(IF(Besatzung!$C$11:$C$22="",Besatzung!$B$5,Besatzung!$C$11:$C$22)&lt;=B30)*(IF(Besatzung!$D$11:$D$22="",Besatzung!$B$6,Besatzung!$D$11:$D$22)&gt;=B30)),1))),IF(I30="Individuell",((J30="x")*((G30-IFERROR(H30,0))/IFERROR(COUNTIF(J30:U30,"x"),1)+(Besatzung!$F$11="x")*IFERROR(H30,0)/IFERROR(SUMPRODUCT((J30:U30="x")*(Besatzung!$F$11:$F$22="x")),1))),(IF(COUNTIF(J30:U30,"x")=0,IF(Besatzung!$B$11&lt;&gt;"",1,0),(J30="x"))*(G30-IFERROR(H30,0))/IFERROR(IF(COUNTIF(J30:U30,"x")=0,COUNTA(Besatzung!$B$11:$B$22),COUNTIF(J30:U30,"x")),1)+IF(COUNTIF(J30:U30,"x")=0,(Besatzung!$F$11="x"),(J30="x")*(Besatzung!$F$11="x"))*IFERROR(H30,0)/IFERROR(IF(COUNTIF(J30:U30,"x")=0,SUMPRODUCT((Besatzung!$B$11:$B$22&lt;&gt;"")*(Besatzung!$F$11:$F$22="x")),SUMPRODUCT((J30:U30="x")*(Besatzung!$F$11:$F$22="x"))),1))))),0))))</f>
        <v/>
      </c>
      <c r="W30" s="247">
        <f>IF(C30="Gutschrift","",IF(G30="","",IF(Besatzung!$B$12="","",IFERROR(IF(I30="Zeitanteilig",(Besatzung!$G$12*(G30-IFERROR(H30,0))+((Besatzung!$B$12&lt;&gt;"")*IF(B30="",1,(IF(Besatzung!$C$12="",Besatzung!$B$5,Besatzung!$C$12)&lt;=B30)*(IF(Besatzung!$D$12="",Besatzung!$B$6,Besatzung!$D$12)&gt;=B30)))*(Besatzung!$F$12="x")*IFERROR(H30,0)/IFERROR(SUMPRODUCT((Besatzung!$B$11:$B$22&lt;&gt;"")*(Besatzung!$F$11:$F$22="x")*(IF(Besatzung!$C$11:$C$22="",Besatzung!$B$5,Besatzung!$C$11:$C$22)&lt;=B30)*(IF(Besatzung!$D$11:$D$22="",Besatzung!$B$6,Besatzung!$D$11:$D$22)&gt;=B30)),1)),IF(I30="An Bord",(((Besatzung!$B$12&lt;&gt;"")*IF(B30="",1,(IF(Besatzung!$C$12="",Besatzung!$B$5,Besatzung!$C$12)&lt;=B30)*(IF(Besatzung!$D$12="",Besatzung!$B$6,Besatzung!$D$12)&gt;=B30)))*((G30-IFERROR(H30,0))/IFERROR(SUMPRODUCT((Besatzung!$B$11:$B$22&lt;&gt;"")*(IF(Besatzung!$C$11:$C$22="",Besatzung!$B$5,Besatzung!$C$11:$C$22)&lt;=B30)*(IF(Besatzung!$D$11:$D$22="",Besatzung!$B$6,Besatzung!$D$11:$D$22)&gt;=B30)),1)+(Besatzung!$F$12="x")*IFERROR(H30,0)/IFERROR(SUMPRODUCT((Besatzung!$B$11:$B$22&lt;&gt;"")*(Besatzung!$F$11:$F$22="x")*(IF(Besatzung!$C$11:$C$22="",Besatzung!$B$5,Besatzung!$C$11:$C$22)&lt;=B30)*(IF(Besatzung!$D$11:$D$22="",Besatzung!$B$6,Besatzung!$D$11:$D$22)&gt;=B30)),1))),IF(I30="Individuell",((K30="x")*((G30-IFERROR(H30,0))/IFERROR(COUNTIF(J30:U30,"x"),1)+(Besatzung!$F$12="x")*IFERROR(H30,0)/IFERROR(SUMPRODUCT((J30:U30="x")*(Besatzung!$F$11:$F$22="x")),1))),(IF(COUNTIF(J30:U30,"x")=0,IF(Besatzung!$B$12&lt;&gt;"",1,0),(K30="x"))*(G30-IFERROR(H30,0))/IFERROR(IF(COUNTIF(J30:U30,"x")=0,COUNTA(Besatzung!$B$11:$B$22),COUNTIF(J30:U30,"x")),1)+IF(COUNTIF(J30:U30,"x")=0,(Besatzung!$F$12="x"),(K30="x")*(Besatzung!$F$12="x"))*IFERROR(H30,0)/IFERROR(IF(COUNTIF(J30:U30,"x")=0,SUMPRODUCT((Besatzung!$B$11:$B$22&lt;&gt;"")*(Besatzung!$F$11:$F$22="x")),SUMPRODUCT((J30:U30="x")*(Besatzung!$F$11:$F$22="x"))),1))))),0))))</f>
        <v/>
      </c>
      <c r="X30" s="247">
        <f>IF(C30="Gutschrift","",IF(G30="","",IF(Besatzung!$B$13="","",IFERROR(IF(I30="Zeitanteilig",(Besatzung!$G$13*(G30-IFERROR(H30,0))+((Besatzung!$B$13&lt;&gt;"")*IF(B30="",1,(IF(Besatzung!$C$13="",Besatzung!$B$5,Besatzung!$C$13)&lt;=B30)*(IF(Besatzung!$D$13="",Besatzung!$B$6,Besatzung!$D$13)&gt;=B30)))*(Besatzung!$F$13="x")*IFERROR(H30,0)/IFERROR(SUMPRODUCT((Besatzung!$B$11:$B$22&lt;&gt;"")*(Besatzung!$F$11:$F$22="x")*(IF(Besatzung!$C$11:$C$22="",Besatzung!$B$5,Besatzung!$C$11:$C$22)&lt;=B30)*(IF(Besatzung!$D$11:$D$22="",Besatzung!$B$6,Besatzung!$D$11:$D$22)&gt;=B30)),1)),IF(I30="An Bord",(((Besatzung!$B$13&lt;&gt;"")*IF(B30="",1,(IF(Besatzung!$C$13="",Besatzung!$B$5,Besatzung!$C$13)&lt;=B30)*(IF(Besatzung!$D$13="",Besatzung!$B$6,Besatzung!$D$13)&gt;=B30)))*((G30-IFERROR(H30,0))/IFERROR(SUMPRODUCT((Besatzung!$B$11:$B$22&lt;&gt;"")*(IF(Besatzung!$C$11:$C$22="",Besatzung!$B$5,Besatzung!$C$11:$C$22)&lt;=B30)*(IF(Besatzung!$D$11:$D$22="",Besatzung!$B$6,Besatzung!$D$11:$D$22)&gt;=B30)),1)+(Besatzung!$F$13="x")*IFERROR(H30,0)/IFERROR(SUMPRODUCT((Besatzung!$B$11:$B$22&lt;&gt;"")*(Besatzung!$F$11:$F$22="x")*(IF(Besatzung!$C$11:$C$22="",Besatzung!$B$5,Besatzung!$C$11:$C$22)&lt;=B30)*(IF(Besatzung!$D$11:$D$22="",Besatzung!$B$6,Besatzung!$D$11:$D$22)&gt;=B30)),1))),IF(I30="Individuell",((K30="x")*((G30-IFERROR(H30,0))/IFERROR(COUNTIF(J30:U30,"x"),1)+(Besatzung!$F$13="x")*IFERROR(H30,0)/IFERROR(SUMPRODUCT((J30:U30="x")*(Besatzung!$F$11:$F$22="x")),1))),(IF(COUNTIF(J30:U30,"x")=0,IF(Besatzung!$B$13&lt;&gt;"",1,0),(K30="x"))*(G30-IFERROR(H30,0))/IFERROR(IF(COUNTIF(J30:U30,"x")=0,COUNTA(Besatzung!$B$11:$B$22),COUNTIF(J30:U30,"x")),1)+IF(COUNTIF(J30:U30,"x")=0,(Besatzung!$F$13="x"),(K30="x")*(Besatzung!$F$13="x"))*IFERROR(H30,0)/IFERROR(IF(COUNTIF(J30:U30,"x")=0,SUMPRODUCT((Besatzung!$B$11:$B$22&lt;&gt;"")*(Besatzung!$F$11:$F$22="x")),SUMPRODUCT((J30:U30="x")*(Besatzung!$F$11:$F$22="x"))),1))))),0))))</f>
        <v/>
      </c>
      <c r="Y30" s="247">
        <f>IF(C30="Gutschrift","",IF(G30="","",IF(Besatzung!$B$14="","",IFERROR(IF(I30="Zeitanteilig",(Besatzung!$G$14*(G30-IFERROR(H30,0))+((Besatzung!$B$14&lt;&gt;"")*IF(B30="",1,(IF(Besatzung!$C$14="",Besatzung!$B$5,Besatzung!$C$14)&lt;=B30)*(IF(Besatzung!$D$14="",Besatzung!$B$6,Besatzung!$D$14)&gt;=B30)))*(Besatzung!$F$14="x")*IFERROR(H30,0)/IFERROR(SUMPRODUCT((Besatzung!$B$11:$B$22&lt;&gt;"")*(Besatzung!$F$11:$F$22="x")*(IF(Besatzung!$C$11:$C$22="",Besatzung!$B$5,Besatzung!$C$11:$C$22)&lt;=B30)*(IF(Besatzung!$D$11:$D$22="",Besatzung!$B$6,Besatzung!$D$11:$D$22)&gt;=B30)),1)),IF(I30="An Bord",(((Besatzung!$B$14&lt;&gt;"")*IF(B30="",1,(IF(Besatzung!$C$14="",Besatzung!$B$5,Besatzung!$C$14)&lt;=B30)*(IF(Besatzung!$D$14="",Besatzung!$B$6,Besatzung!$D$14)&gt;=B30)))*((G30-IFERROR(H30,0))/IFERROR(SUMPRODUCT((Besatzung!$B$11:$B$22&lt;&gt;"")*(IF(Besatzung!$C$11:$C$22="",Besatzung!$B$5,Besatzung!$C$11:$C$22)&lt;=B30)*(IF(Besatzung!$D$11:$D$22="",Besatzung!$B$6,Besatzung!$D$11:$D$22)&gt;=B30)),1)+(Besatzung!$F$14="x")*IFERROR(H30,0)/IFERROR(SUMPRODUCT((Besatzung!$B$11:$B$22&lt;&gt;"")*(Besatzung!$F$11:$F$22="x")*(IF(Besatzung!$C$11:$C$22="",Besatzung!$B$5,Besatzung!$C$11:$C$22)&lt;=B30)*(IF(Besatzung!$D$11:$D$22="",Besatzung!$B$6,Besatzung!$D$11:$D$22)&gt;=B30)),1))),IF(I30="Individuell",((M30="x")*((G30-IFERROR(H30,0))/IFERROR(COUNTIF(J30:U30,"x"),1)+(Besatzung!$F$14="x")*IFERROR(H30,0)/IFERROR(SUMPRODUCT((J30:U30="x")*(Besatzung!$F$11:$F$22="x")),1))),(IF(COUNTIF(J30:U30,"x")=0,IF(Besatzung!$B$14&lt;&gt;"",1,0),(M30="x"))*(G30-IFERROR(H30,0))/IFERROR(IF(COUNTIF(J30:U30,"x")=0,COUNTA(Besatzung!$B$11:$B$22),COUNTIF(J30:U30,"x")),1)+IF(COUNTIF(J30:U30,"x")=0,(Besatzung!$F$14="x"),(M30="x")*(Besatzung!$F$14="x"))*IFERROR(H30,0)/IFERROR(IF(COUNTIF(J30:U30,"x")=0,SUMPRODUCT((Besatzung!$B$11:$B$22&lt;&gt;"")*(Besatzung!$F$11:$F$22="x")),SUMPRODUCT((J30:U30="x")*(Besatzung!$F$11:$F$22="x"))),1))))),0))))</f>
        <v/>
      </c>
      <c r="Z30" s="247">
        <f>IF(C30="Gutschrift","",IF(G30="","",IF(Besatzung!$B$13="","",IFERROR(IF(I30="Zeitanteilig",(Besatzung!$G$15*(G30-IFERROR(H30,0))+((Besatzung!$B$13&lt;&gt;"")*IF(B30="",1,(IF(Besatzung!$C$15="",Besatzung!$B$5,Besatzung!$C$15)&lt;=B30)*(IF(Besatzung!$D$15="",Besatzung!$B$6,Besatzung!$D$15)&gt;=B30)))*(Besatzung!$F$15="x")*IFERROR(H30,0)/IFERROR(SUMPRODUCT((Besatzung!$B$11:$B$22&lt;&gt;"")*(Besatzung!$F$11:$F$22="x")*(IF(Besatzung!$C$11:$C$22="",Besatzung!$B$5,Besatzung!$C$11:$C$22)&lt;=B30)*(IF(Besatzung!$D$11:$D$22="",Besatzung!$B$6,Besatzung!$D$11:$D$22)&gt;=B30)),1)),IF(I30="An Bord",(((Besatzung!$B$13&lt;&gt;"")*IF(B30="",1,(IF(Besatzung!$C$15="",Besatzung!$B$5,Besatzung!$C$15)&lt;=B30)*(IF(Besatzung!$D$15="",Besatzung!$B$6,Besatzung!$D$15)&gt;=B30)))*((G30-IFERROR(H30,0))/IFERROR(SUMPRODUCT((Besatzung!$B$11:$B$22&lt;&gt;"")*(IF(Besatzung!$C$11:$C$22="",Besatzung!$B$5,Besatzung!$C$11:$C$22)&lt;=B30)*(IF(Besatzung!$D$11:$D$22="",Besatzung!$B$6,Besatzung!$D$11:$D$22)&gt;=B30)),1)+(Besatzung!$F$15="x")*IFERROR(H30,0)/IFERROR(SUMPRODUCT((Besatzung!$B$11:$B$22&lt;&gt;"")*(Besatzung!$F$11:$F$22="x")*(IF(Besatzung!$C$11:$C$22="",Besatzung!$B$5,Besatzung!$C$11:$C$22)&lt;=B30)*(IF(Besatzung!$D$11:$D$22="",Besatzung!$B$6,Besatzung!$D$11:$D$22)&gt;=B30)),1))),IF(I30="Individuell",((N30="x")*((G30-IFERROR(H30,0))/IFERROR(COUNTIF(J30:U30,"x"),1)+(Besatzung!$F$15="x")*IFERROR(H30,0)/IFERROR(SUMPRODUCT((J30:U30="x")*(Besatzung!$F$11:$F$22="x")),1))),(IF(COUNTIF(J30:U30,"x")=0,IF(Besatzung!$B$13&lt;&gt;"",1,0),(N30="x"))*(G30-IFERROR(H30,0))/IFERROR(IF(COUNTIF(J30:U30,"x")=0,COUNTA(Besatzung!$B$11:$B$22),COUNTIF(J30:U30,"x")),1)+IF(COUNTIF(J30:U30,"x")=0,(Besatzung!$F$15="x"),(N30="x")*(Besatzung!$F$15="x"))*IFERROR(H30,0)/IFERROR(IF(COUNTIF(J30:U30,"x")=0,SUMPRODUCT((Besatzung!$B$11:$B$22&lt;&gt;"")*(Besatzung!$F$11:$F$22="x")),SUMPRODUCT((J30:U30="x")*(Besatzung!$F$11:$F$22="x"))),1))))),0))))</f>
        <v/>
      </c>
      <c r="AA30" s="247">
        <f>IF(C30="Gutschrift","",IF(G30="","",IF(Besatzung!$B$15="","",IFERROR(IF(I30="Zeitanteilig",(Besatzung!$G$16*(G30-IFERROR(H30,0))+((Besatzung!$B$15&lt;&gt;"")*IF(B30="",1,(IF(Besatzung!$C$16="",Besatzung!$B$5,Besatzung!$C$16)&lt;=B30)*(IF(Besatzung!$D$16="",Besatzung!$B$6,Besatzung!$D$16)&gt;=B30)))*(Besatzung!$F$16="x")*IFERROR(H30,0)/IFERROR(SUMPRODUCT((Besatzung!$B$11:$B$22&lt;&gt;"")*(Besatzung!$F$11:$F$22="x")*(IF(Besatzung!$C$11:$C$22="",Besatzung!$B$5,Besatzung!$C$11:$C$22)&lt;=B30)*(IF(Besatzung!$D$11:$D$22="",Besatzung!$B$6,Besatzung!$D$11:$D$22)&gt;=B30)),1)),IF(I30="An Bord",(((Besatzung!$B$15&lt;&gt;"")*IF(B30="",1,(IF(Besatzung!$C$16="",Besatzung!$B$5,Besatzung!$C$16)&lt;=B30)*(IF(Besatzung!$D$16="",Besatzung!$B$6,Besatzung!$D$16)&gt;=B30)))*((G30-IFERROR(H30,0))/IFERROR(SUMPRODUCT((Besatzung!$B$11:$B$22&lt;&gt;"")*(IF(Besatzung!$C$11:$C$22="",Besatzung!$B$5,Besatzung!$C$11:$C$22)&lt;=B30)*(IF(Besatzung!$D$11:$D$22="",Besatzung!$B$6,Besatzung!$D$11:$D$22)&gt;=B30)),1)+(Besatzung!$F$16="x")*IFERROR(H30,0)/IFERROR(SUMPRODUCT((Besatzung!$B$11:$B$22&lt;&gt;"")*(Besatzung!$F$11:$F$22="x")*(IF(Besatzung!$C$11:$C$22="",Besatzung!$B$5,Besatzung!$C$11:$C$22)&lt;=B30)*(IF(Besatzung!$D$11:$D$22="",Besatzung!$B$6,Besatzung!$D$11:$D$22)&gt;=B30)),1))),IF(I30="Individuell",((O30="x")*((G30-IFERROR(H30,0))/IFERROR(COUNTIF(J30:U30,"x"),1)+(Besatzung!$F$16="x")*IFERROR(H30,0)/IFERROR(SUMPRODUCT((J30:U30="x")*(Besatzung!$F$11:$F$22="x")),1))),(IF(COUNTIF(J30:U30,"x")=0,IF(Besatzung!$B$15&lt;&gt;"",1,0),(O30="x"))*(G30-IFERROR(H30,0))/IFERROR(IF(COUNTIF(J30:U30,"x")=0,COUNTA(Besatzung!$B$11:$B$22),COUNTIF(J30:U30,"x")),1)+IF(COUNTIF(J30:U30,"x")=0,(Besatzung!$F$16="x"),(O30="x")*(Besatzung!$F$16="x"))*IFERROR(H30,0)/IFERROR(IF(COUNTIF(J30:U30,"x")=0,SUMPRODUCT((Besatzung!$B$11:$B$22&lt;&gt;"")*(Besatzung!$F$11:$F$22="x")),SUMPRODUCT((J30:U30="x")*(Besatzung!$F$11:$F$22="x"))),1))))),0))))</f>
        <v/>
      </c>
      <c r="AB30" s="247">
        <f>IF(C30="Gutschrift","",IF(G30="","",IF(Besatzung!$B$17="","",IFERROR(IF(I30="Zeitanteilig",(Besatzung!$G$17*(G30-IFERROR(H30,0))+((Besatzung!$B$17&lt;&gt;"")*IF(B30="",1,(IF(Besatzung!$C$17="",Besatzung!$B$5,Besatzung!$C$17)&lt;=B30)*(IF(Besatzung!$D$17="",Besatzung!$B$6,Besatzung!$D$17)&gt;=B30)))*(Besatzung!$F$17="x")*IFERROR(H30,0)/IFERROR(SUMPRODUCT((Besatzung!$B$11:$B$22&lt;&gt;"")*(Besatzung!$F$11:$F$22="x")*(IF(Besatzung!$C$11:$C$22="",Besatzung!$B$5,Besatzung!$C$11:$C$22)&lt;=B30)*(IF(Besatzung!$D$11:$D$22="",Besatzung!$B$6,Besatzung!$D$11:$D$22)&gt;=B30)),1)),IF(I30="An Bord",(((Besatzung!$B$17&lt;&gt;"")*IF(B30="",1,(IF(Besatzung!$C$17="",Besatzung!$B$5,Besatzung!$C$17)&lt;=B30)*(IF(Besatzung!$D$17="",Besatzung!$B$6,Besatzung!$D$17)&gt;=B30)))*((G30-IFERROR(H30,0))/IFERROR(SUMPRODUCT((Besatzung!$B$11:$B$22&lt;&gt;"")*(IF(Besatzung!$C$11:$C$22="",Besatzung!$B$5,Besatzung!$C$11:$C$22)&lt;=B30)*(IF(Besatzung!$D$11:$D$22="",Besatzung!$B$6,Besatzung!$D$11:$D$22)&gt;=B30)),1)+(Besatzung!$F$17="x")*IFERROR(H30,0)/IFERROR(SUMPRODUCT((Besatzung!$B$11:$B$22&lt;&gt;"")*(Besatzung!$F$11:$F$22="x")*(IF(Besatzung!$C$11:$C$22="",Besatzung!$B$5,Besatzung!$C$11:$C$22)&lt;=B30)*(IF(Besatzung!$D$11:$D$22="",Besatzung!$B$6,Besatzung!$D$11:$D$22)&gt;=B30)),1))),IF(I30="Individuell",((P30="x")*((G30-IFERROR(H30,0))/IFERROR(COUNTIF(J30:U30,"x"),1)+(Besatzung!$F$17="x")*IFERROR(H30,0)/IFERROR(SUMPRODUCT((J30:U30="x")*(Besatzung!$F$11:$F$22="x")),1))),(IF(COUNTIF(J30:U30,"x")=0,IF(Besatzung!$B$17&lt;&gt;"",1,0),(P30="x"))*(G30-IFERROR(H30,0))/IFERROR(IF(COUNTIF(J30:U30,"x")=0,COUNTA(Besatzung!$B$11:$B$22),COUNTIF(J30:U30,"x")),1)+IF(COUNTIF(J30:U30,"x")=0,(Besatzung!$F$17="x"),(P30="x")*(Besatzung!$F$17="x"))*IFERROR(H30,0)/IFERROR(IF(COUNTIF(J30:U30,"x")=0,SUMPRODUCT((Besatzung!$B$11:$B$22&lt;&gt;"")*(Besatzung!$F$11:$F$22="x")),SUMPRODUCT((J30:U30="x")*(Besatzung!$F$11:$F$22="x"))),1))))),0))))</f>
        <v/>
      </c>
      <c r="AC30" s="247">
        <f>IF(C30="Gutschrift","",IF(G30="","",IF(Besatzung!$B$18="","",IFERROR(IF(I30="Zeitanteilig",(Besatzung!$G$18*(G30-IFERROR(H30,0))+((Besatzung!$B$18&lt;&gt;"")*IF(B30="",1,(IF(Besatzung!$C$18="",Besatzung!$B$5,Besatzung!$C$18)&lt;=B30)*(IF(Besatzung!$D$18="",Besatzung!$B$6,Besatzung!$D$18)&gt;=B30)))*(Besatzung!$F$18="x")*IFERROR(H30,0)/IFERROR(SUMPRODUCT((Besatzung!$B$11:$B$22&lt;&gt;"")*(Besatzung!$F$11:$F$22="x")*(IF(Besatzung!$C$11:$C$22="",Besatzung!$B$5,Besatzung!$C$11:$C$22)&lt;=B30)*(IF(Besatzung!$D$11:$D$22="",Besatzung!$B$6,Besatzung!$D$11:$D$22)&gt;=B30)),1)),IF(I30="An Bord",(((Besatzung!$B$18&lt;&gt;"")*IF(B30="",1,(IF(Besatzung!$C$18="",Besatzung!$B$5,Besatzung!$C$18)&lt;=B30)*(IF(Besatzung!$D$18="",Besatzung!$B$6,Besatzung!$D$18)&gt;=B30)))*((G30-IFERROR(H30,0))/IFERROR(SUMPRODUCT((Besatzung!$B$11:$B$22&lt;&gt;"")*(IF(Besatzung!$C$11:$C$22="",Besatzung!$B$5,Besatzung!$C$11:$C$22)&lt;=B30)*(IF(Besatzung!$D$11:$D$22="",Besatzung!$B$6,Besatzung!$D$11:$D$22)&gt;=B30)),1)+(Besatzung!$F$18="x")*IFERROR(H30,0)/IFERROR(SUMPRODUCT((Besatzung!$B$11:$B$22&lt;&gt;"")*(Besatzung!$F$11:$F$22="x")*(IF(Besatzung!$C$11:$C$22="",Besatzung!$B$5,Besatzung!$C$11:$C$22)&lt;=B30)*(IF(Besatzung!$D$11:$D$22="",Besatzung!$B$6,Besatzung!$D$11:$D$22)&gt;=B30)),1))),IF(I30="Individuell",((Q30="x")*((G30-IFERROR(H30,0))/IFERROR(COUNTIF(J30:U30,"x"),1)+(Besatzung!$F$18="x")*IFERROR(H30,0)/IFERROR(SUMPRODUCT((J30:U30="x")*(Besatzung!$F$11:$F$22="x")),1))),(IF(COUNTIF(J30:U30,"x")=0,IF(Besatzung!$B$18&lt;&gt;"",1,0),(Q30="x"))*(G30-IFERROR(H30,0))/IFERROR(IF(COUNTIF(J30:U30,"x")=0,COUNTA(Besatzung!$B$11:$B$22),COUNTIF(J30:U30,"x")),1)+IF(COUNTIF(J30:U30,"x")=0,(Besatzung!$F$18="x"),(Q30="x")*(Besatzung!$F$18="x"))*IFERROR(H30,0)/IFERROR(IF(COUNTIF(J30:U30,"x")=0,SUMPRODUCT((Besatzung!$B$11:$B$22&lt;&gt;"")*(Besatzung!$F$11:$F$22="x")),SUMPRODUCT((J30:U30="x")*(Besatzung!$F$11:$F$22="x"))),1))))),0))))</f>
        <v/>
      </c>
      <c r="AD30" s="247">
        <f>IF(C30="Gutschrift","",IF(G30="","",IF(Besatzung!$B$19="","",IFERROR(IF(I30="Zeitanteilig",(Besatzung!$G$19*(G30-IFERROR(H30,0))+((Besatzung!$B$19&lt;&gt;"")*IF(B30="",1,(IF(Besatzung!$C$19="",Besatzung!$B$5,Besatzung!$C$19)&lt;=B30)*(IF(Besatzung!$D$19="",Besatzung!$B$6,Besatzung!$D$19)&gt;=B30)))*(Besatzung!$F$19="x")*IFERROR(H30,0)/IFERROR(SUMPRODUCT((Besatzung!$B$11:$B$22&lt;&gt;"")*(Besatzung!$F$11:$F$22="x")*(IF(Besatzung!$C$11:$C$22="",Besatzung!$B$5,Besatzung!$C$11:$C$22)&lt;=B30)*(IF(Besatzung!$D$11:$D$22="",Besatzung!$B$6,Besatzung!$D$11:$D$22)&gt;=B30)),1)),IF(I30="An Bord",(((Besatzung!$B$19&lt;&gt;"")*IF(B30="",1,(IF(Besatzung!$C$19="",Besatzung!$B$5,Besatzung!$C$19)&lt;=B30)*(IF(Besatzung!$D$19="",Besatzung!$B$6,Besatzung!$D$19)&gt;=B30)))*((G30-IFERROR(H30,0))/IFERROR(SUMPRODUCT((Besatzung!$B$11:$B$22&lt;&gt;"")*(IF(Besatzung!$C$11:$C$22="",Besatzung!$B$5,Besatzung!$C$11:$C$22)&lt;=B30)*(IF(Besatzung!$D$11:$D$22="",Besatzung!$B$6,Besatzung!$D$11:$D$22)&gt;=B30)),1)+(Besatzung!$F$19="x")*IFERROR(H30,0)/IFERROR(SUMPRODUCT((Besatzung!$B$11:$B$22&lt;&gt;"")*(Besatzung!$F$11:$F$22="x")*(IF(Besatzung!$C$11:$C$22="",Besatzung!$B$5,Besatzung!$C$11:$C$22)&lt;=B30)*(IF(Besatzung!$D$11:$D$22="",Besatzung!$B$6,Besatzung!$D$11:$D$22)&gt;=B30)),1))),IF(I30="Individuell",((R30="x")*((G30-IFERROR(H30,0))/IFERROR(COUNTIF(J30:U30,"x"),1)+(Besatzung!$F$19="x")*IFERROR(H30,0)/IFERROR(SUMPRODUCT((J30:U30="x")*(Besatzung!$F$11:$F$22="x")),1))),(IF(COUNTIF(J30:U30,"x")=0,IF(Besatzung!$B$19&lt;&gt;"",1,0),(R30="x"))*(G30-IFERROR(H30,0))/IFERROR(IF(COUNTIF(J30:U30,"x")=0,COUNTA(Besatzung!$B$11:$B$22),COUNTIF(J30:U30,"x")),1)+IF(COUNTIF(J30:U30,"x")=0,(Besatzung!$F$19="x"),(R30="x")*(Besatzung!$F$19="x"))*IFERROR(H30,0)/IFERROR(IF(COUNTIF(J30:U30,"x")=0,SUMPRODUCT((Besatzung!$B$11:$B$22&lt;&gt;"")*(Besatzung!$F$11:$F$22="x")),SUMPRODUCT((J30:U30="x")*(Besatzung!$F$11:$F$22="x"))),1))))),0))))</f>
        <v/>
      </c>
      <c r="AE30" s="247">
        <f>IF(C30="Gutschrift","",IF(G30="","",IF(Besatzung!$B$20="","",IFERROR(IF(I30="Zeitanteilig",(Besatzung!$G$20*(G30-IFERROR(H30,0))+((Besatzung!$B$20&lt;&gt;"")*IF(B30="",1,(IF(Besatzung!$C$20="",Besatzung!$B$5,Besatzung!$C$20)&lt;=B30)*(IF(Besatzung!$D$20="",Besatzung!$B$6,Besatzung!$D$20)&gt;=B30)))*(Besatzung!$F$20="x")*IFERROR(H30,0)/IFERROR(SUMPRODUCT((Besatzung!$B$11:$B$22&lt;&gt;"")*(Besatzung!$F$11:$F$22="x")*(IF(Besatzung!$C$11:$C$22="",Besatzung!$B$5,Besatzung!$C$11:$C$22)&lt;=B30)*(IF(Besatzung!$D$11:$D$22="",Besatzung!$B$6,Besatzung!$D$11:$D$22)&gt;=B30)),1)),IF(I30="An Bord",(((Besatzung!$B$20&lt;&gt;"")*IF(B30="",1,(IF(Besatzung!$C$20="",Besatzung!$B$5,Besatzung!$C$20)&lt;=B30)*(IF(Besatzung!$D$20="",Besatzung!$B$6,Besatzung!$D$20)&gt;=B30)))*((G30-IFERROR(H30,0))/IFERROR(SUMPRODUCT((Besatzung!$B$11:$B$22&lt;&gt;"")*(IF(Besatzung!$C$11:$C$22="",Besatzung!$B$5,Besatzung!$C$11:$C$22)&lt;=B30)*(IF(Besatzung!$D$11:$D$22="",Besatzung!$B$6,Besatzung!$D$11:$D$22)&gt;=B30)),1)+(Besatzung!$F$20="x")*IFERROR(H30,0)/IFERROR(SUMPRODUCT((Besatzung!$B$11:$B$22&lt;&gt;"")*(Besatzung!$F$11:$F$22="x")*(IF(Besatzung!$C$11:$C$22="",Besatzung!$B$5,Besatzung!$C$11:$C$22)&lt;=B30)*(IF(Besatzung!$D$11:$D$22="",Besatzung!$B$6,Besatzung!$D$11:$D$22)&gt;=B30)),1))),IF(I30="Individuell",((S30="x")*((G30-IFERROR(H30,0))/IFERROR(COUNTIF(J30:U30,"x"),1)+(Besatzung!$F$20="x")*IFERROR(H30,0)/IFERROR(SUMPRODUCT((J30:U30="x")*(Besatzung!$F$11:$F$22="x")),1))),(IF(COUNTIF(J30:U30,"x")=0,IF(Besatzung!$B$20&lt;&gt;"",1,0),(S30="x"))*(G30-IFERROR(H30,0))/IFERROR(IF(COUNTIF(J30:U30,"x")=0,COUNTA(Besatzung!$B$11:$B$22),COUNTIF(J30:U30,"x")),1)+IF(COUNTIF(J30:U30,"x")=0,(Besatzung!$F$20="x"),(S30="x")*(Besatzung!$F$20="x"))*IFERROR(H30,0)/IFERROR(IF(COUNTIF(J30:U30,"x")=0,SUMPRODUCT((Besatzung!$B$11:$B$22&lt;&gt;"")*(Besatzung!$F$11:$F$22="x")),SUMPRODUCT((J30:U30="x")*(Besatzung!$F$11:$F$22="x"))),1))))),0))))</f>
        <v/>
      </c>
      <c r="AF30" s="247">
        <f>IF(C30="Gutschrift","",IF(G30="","",IF(Besatzung!$B$21="","",IFERROR(IF(I30="Zeitanteilig",(Besatzung!$G$21*(G30-IFERROR(H30,0))+((Besatzung!$B$21&lt;&gt;"")*IF(B30="",1,(IF(Besatzung!$C$21="",Besatzung!$B$5,Besatzung!$C$21)&lt;=B30)*(IF(Besatzung!$D$21="",Besatzung!$B$6,Besatzung!$D$21)&gt;=B30)))*(Besatzung!$F$21="x")*IFERROR(H30,0)/IFERROR(SUMPRODUCT((Besatzung!$B$11:$B$22&lt;&gt;"")*(Besatzung!$F$11:$F$22="x")*(IF(Besatzung!$C$11:$C$22="",Besatzung!$B$5,Besatzung!$C$11:$C$22)&lt;=B30)*(IF(Besatzung!$D$11:$D$22="",Besatzung!$B$6,Besatzung!$D$11:$D$22)&gt;=B30)),1)),IF(I30="An Bord",(((Besatzung!$B$21&lt;&gt;"")*IF(B30="",1,(IF(Besatzung!$C$21="",Besatzung!$B$5,Besatzung!$C$21)&lt;=B30)*(IF(Besatzung!$D$21="",Besatzung!$B$6,Besatzung!$D$21)&gt;=B30)))*((G30-IFERROR(H30,0))/IFERROR(SUMPRODUCT((Besatzung!$B$11:$B$22&lt;&gt;"")*(IF(Besatzung!$C$11:$C$22="",Besatzung!$B$5,Besatzung!$C$11:$C$22)&lt;=B30)*(IF(Besatzung!$D$11:$D$22="",Besatzung!$B$6,Besatzung!$D$11:$D$22)&gt;=B30)),1)+(Besatzung!$F$21="x")*IFERROR(H30,0)/IFERROR(SUMPRODUCT((Besatzung!$B$11:$B$22&lt;&gt;"")*(Besatzung!$F$11:$F$22="x")*(IF(Besatzung!$C$11:$C$22="",Besatzung!$B$5,Besatzung!$C$11:$C$22)&lt;=B30)*(IF(Besatzung!$D$11:$D$22="",Besatzung!$B$6,Besatzung!$D$11:$D$22)&gt;=B30)),1))),IF(I30="Individuell",((T30="x")*((G30-IFERROR(H30,0))/IFERROR(COUNTIF(J30:U30,"x"),1)+(Besatzung!$F$21="x")*IFERROR(H30,0)/IFERROR(SUMPRODUCT((J30:U30="x")*(Besatzung!$F$11:$F$22="x")),1))),(IF(COUNTIF(J30:U30,"x")=0,IF(Besatzung!$B$21&lt;&gt;"",1,0),(T30="x"))*(G30-IFERROR(H30,0))/IFERROR(IF(COUNTIF(J30:U30,"x")=0,COUNTA(Besatzung!$B$11:$B$22),COUNTIF(J30:U30,"x")),1)+IF(COUNTIF(J30:U30,"x")=0,(Besatzung!$F$21="x"),(T30="x")*(Besatzung!$F$21="x"))*IFERROR(H30,0)/IFERROR(IF(COUNTIF(J30:U30,"x")=0,SUMPRODUCT((Besatzung!$B$11:$B$22&lt;&gt;"")*(Besatzung!$F$11:$F$22="x")),SUMPRODUCT((J30:U30="x")*(Besatzung!$F$11:$F$22="x"))),1))))),0))))</f>
        <v/>
      </c>
      <c r="AG30" s="247">
        <f>IF(C30="Gutschrift","",IF(G30="","",IF(Besatzung!$B$22="","",IFERROR(IF(I30="Zeitanteilig",(Besatzung!$G$22*(G30-IFERROR(H30,0))+((Besatzung!$B$22&lt;&gt;"")*IF(B30="",1,(IF(Besatzung!$C$22="",Besatzung!$B$5,Besatzung!$C$22)&lt;=B30)*(IF(Besatzung!$D$22="",Besatzung!$B$6,Besatzung!$D$22)&gt;=B30)))*(Besatzung!$F$22="x")*IFERROR(H30,0)/IFERROR(SUMPRODUCT((Besatzung!$B$11:$B$22&lt;&gt;"")*(Besatzung!$F$11:$F$22="x")*(IF(Besatzung!$C$11:$C$22="",Besatzung!$B$5,Besatzung!$C$11:$C$22)&lt;=B30)*(IF(Besatzung!$D$11:$D$22="",Besatzung!$B$6,Besatzung!$D$11:$D$22)&gt;=B30)),1)),IF(I30="An Bord",(((Besatzung!$B$22&lt;&gt;"")*IF(B30="",1,(IF(Besatzung!$C$22="",Besatzung!$B$5,Besatzung!$C$22)&lt;=B30)*(IF(Besatzung!$D$22="",Besatzung!$B$6,Besatzung!$D$22)&gt;=B30)))*((G30-IFERROR(H30,0))/IFERROR(SUMPRODUCT((Besatzung!$B$11:$B$22&lt;&gt;"")*(IF(Besatzung!$C$11:$C$22="",Besatzung!$B$5,Besatzung!$C$11:$C$22)&lt;=B30)*(IF(Besatzung!$D$11:$D$22="",Besatzung!$B$6,Besatzung!$D$11:$D$22)&gt;=B30)),1)+(Besatzung!$F$22="x")*IFERROR(H30,0)/IFERROR(SUMPRODUCT((Besatzung!$B$11:$B$22&lt;&gt;"")*(Besatzung!$F$11:$F$22="x")*(IF(Besatzung!$C$11:$C$22="",Besatzung!$B$5,Besatzung!$C$11:$C$22)&lt;=B30)*(IF(Besatzung!$D$11:$D$22="",Besatzung!$B$6,Besatzung!$D$11:$D$22)&gt;=B30)),1))),IF(I30="Individuell",((U30="x")*((G30-IFERROR(H30,0))/IFERROR(COUNTIF(J30:U30,"x"),1)+(Besatzung!$F$22="x")*IFERROR(H30,0)/IFERROR(SUMPRODUCT((J30:U30="x")*(Besatzung!$F$11:$F$22="x")),1))),(IF(COUNTIF(J30:U30,"x")=0,IF(Besatzung!$B$22&lt;&gt;"",1,0),(U30="x"))*(G30-IFERROR(H30,0))/IFERROR(IF(COUNTIF(J30:U30,"x")=0,COUNTA(Besatzung!$B$11:$B$22),COUNTIF(J30:U30,"x")),1)+IF(COUNTIF(J30:U30,"x")=0,(Besatzung!$F$22="x"),(U30="x")*(Besatzung!$F$22="x"))*IFERROR(H30,0)/IFERROR(IF(COUNTIF(J30:U30,"x")=0,SUMPRODUCT((Besatzung!$B$11:$B$22&lt;&gt;"")*(Besatzung!$F$11:$F$22="x")),SUMPRODUCT((J30:U30="x")*(Besatzung!$F$11:$F$22="x"))),1))))),0))))</f>
        <v/>
      </c>
      <c r="AH30" s="248" t="n"/>
      <c r="AI30" s="248" t="n"/>
    </row>
    <row r="31" ht="21.75" customHeight="1" s="154">
      <c r="A31" s="238">
        <f>IF(AND(D31="",C31=""),"",28)</f>
        <v/>
      </c>
      <c r="B31" s="206" t="n"/>
      <c r="C31" s="249" t="n"/>
      <c r="D31" s="250" t="n"/>
      <c r="E31" s="251" t="n"/>
      <c r="F31" s="252" t="n"/>
      <c r="G31" s="253" t="n"/>
      <c r="H31" s="254" t="n"/>
      <c r="I31" s="255" t="n"/>
      <c r="J31" s="256" t="n"/>
      <c r="K31" s="256" t="n"/>
      <c r="L31" s="256" t="n"/>
      <c r="M31" s="256" t="n"/>
      <c r="N31" s="256" t="n"/>
      <c r="O31" s="256" t="n"/>
      <c r="P31" s="256" t="n"/>
      <c r="Q31" s="256" t="n"/>
      <c r="R31" s="256" t="n"/>
      <c r="S31" s="256" t="n"/>
      <c r="T31" s="256" t="n"/>
      <c r="U31" s="256" t="n"/>
      <c r="V31" s="247">
        <f>IF(C31="Gutschrift","",IF(G31="","",IF(Besatzung!$B$11="","",IFERROR(IF(I31="Zeitanteilig",(Besatzung!$G$11*(G31-IFERROR(H31,0))+((Besatzung!$B$11&lt;&gt;"")*IF(B31="",1,(IF(Besatzung!$C$11="",Besatzung!$B$5,Besatzung!$C$11)&lt;=B31)*(IF(Besatzung!$D$11="",Besatzung!$B$6,Besatzung!$D$11)&gt;=B31)))*(Besatzung!$F$11="x")*IFERROR(H31,0)/IFERROR(SUMPRODUCT((Besatzung!$B$11:$B$22&lt;&gt;"")*(Besatzung!$F$11:$F$22="x")*(IF(Besatzung!$C$11:$C$22="",Besatzung!$B$5,Besatzung!$C$11:$C$22)&lt;=B31)*(IF(Besatzung!$D$11:$D$22="",Besatzung!$B$6,Besatzung!$D$11:$D$22)&gt;=B31)),1)),IF(I31="An Bord",(((Besatzung!$B$11&lt;&gt;"")*IF(B31="",1,(IF(Besatzung!$C$11="",Besatzung!$B$5,Besatzung!$C$11)&lt;=B31)*(IF(Besatzung!$D$11="",Besatzung!$B$6,Besatzung!$D$11)&gt;=B31)))*((G31-IFERROR(H31,0))/IFERROR(SUMPRODUCT((Besatzung!$B$11:$B$22&lt;&gt;"")*(IF(Besatzung!$C$11:$C$22="",Besatzung!$B$5,Besatzung!$C$11:$C$22)&lt;=B31)*(IF(Besatzung!$D$11:$D$22="",Besatzung!$B$6,Besatzung!$D$11:$D$22)&gt;=B31)),1)+(Besatzung!$F$11="x")*IFERROR(H31,0)/IFERROR(SUMPRODUCT((Besatzung!$B$11:$B$22&lt;&gt;"")*(Besatzung!$F$11:$F$22="x")*(IF(Besatzung!$C$11:$C$22="",Besatzung!$B$5,Besatzung!$C$11:$C$22)&lt;=B31)*(IF(Besatzung!$D$11:$D$22="",Besatzung!$B$6,Besatzung!$D$11:$D$22)&gt;=B31)),1))),IF(I31="Individuell",((J31="x")*((G31-IFERROR(H31,0))/IFERROR(COUNTIF(J31:U31,"x"),1)+(Besatzung!$F$11="x")*IFERROR(H31,0)/IFERROR(SUMPRODUCT((J31:U31="x")*(Besatzung!$F$11:$F$22="x")),1))),(IF(COUNTIF(J31:U31,"x")=0,IF(Besatzung!$B$11&lt;&gt;"",1,0),(J31="x"))*(G31-IFERROR(H31,0))/IFERROR(IF(COUNTIF(J31:U31,"x")=0,COUNTA(Besatzung!$B$11:$B$22),COUNTIF(J31:U31,"x")),1)+IF(COUNTIF(J31:U31,"x")=0,(Besatzung!$F$11="x"),(J31="x")*(Besatzung!$F$11="x"))*IFERROR(H31,0)/IFERROR(IF(COUNTIF(J31:U31,"x")=0,SUMPRODUCT((Besatzung!$B$11:$B$22&lt;&gt;"")*(Besatzung!$F$11:$F$22="x")),SUMPRODUCT((J31:U31="x")*(Besatzung!$F$11:$F$22="x"))),1))))),0))))</f>
        <v/>
      </c>
      <c r="W31" s="247">
        <f>IF(C31="Gutschrift","",IF(G31="","",IF(Besatzung!$B$12="","",IFERROR(IF(I31="Zeitanteilig",(Besatzung!$G$12*(G31-IFERROR(H31,0))+((Besatzung!$B$12&lt;&gt;"")*IF(B31="",1,(IF(Besatzung!$C$12="",Besatzung!$B$5,Besatzung!$C$12)&lt;=B31)*(IF(Besatzung!$D$12="",Besatzung!$B$6,Besatzung!$D$12)&gt;=B31)))*(Besatzung!$F$12="x")*IFERROR(H31,0)/IFERROR(SUMPRODUCT((Besatzung!$B$11:$B$22&lt;&gt;"")*(Besatzung!$F$11:$F$22="x")*(IF(Besatzung!$C$11:$C$22="",Besatzung!$B$5,Besatzung!$C$11:$C$22)&lt;=B31)*(IF(Besatzung!$D$11:$D$22="",Besatzung!$B$6,Besatzung!$D$11:$D$22)&gt;=B31)),1)),IF(I31="An Bord",(((Besatzung!$B$12&lt;&gt;"")*IF(B31="",1,(IF(Besatzung!$C$12="",Besatzung!$B$5,Besatzung!$C$12)&lt;=B31)*(IF(Besatzung!$D$12="",Besatzung!$B$6,Besatzung!$D$12)&gt;=B31)))*((G31-IFERROR(H31,0))/IFERROR(SUMPRODUCT((Besatzung!$B$11:$B$22&lt;&gt;"")*(IF(Besatzung!$C$11:$C$22="",Besatzung!$B$5,Besatzung!$C$11:$C$22)&lt;=B31)*(IF(Besatzung!$D$11:$D$22="",Besatzung!$B$6,Besatzung!$D$11:$D$22)&gt;=B31)),1)+(Besatzung!$F$12="x")*IFERROR(H31,0)/IFERROR(SUMPRODUCT((Besatzung!$B$11:$B$22&lt;&gt;"")*(Besatzung!$F$11:$F$22="x")*(IF(Besatzung!$C$11:$C$22="",Besatzung!$B$5,Besatzung!$C$11:$C$22)&lt;=B31)*(IF(Besatzung!$D$11:$D$22="",Besatzung!$B$6,Besatzung!$D$11:$D$22)&gt;=B31)),1))),IF(I31="Individuell",((K31="x")*((G31-IFERROR(H31,0))/IFERROR(COUNTIF(J31:U31,"x"),1)+(Besatzung!$F$12="x")*IFERROR(H31,0)/IFERROR(SUMPRODUCT((J31:U31="x")*(Besatzung!$F$11:$F$22="x")),1))),(IF(COUNTIF(J31:U31,"x")=0,IF(Besatzung!$B$12&lt;&gt;"",1,0),(K31="x"))*(G31-IFERROR(H31,0))/IFERROR(IF(COUNTIF(J31:U31,"x")=0,COUNTA(Besatzung!$B$11:$B$22),COUNTIF(J31:U31,"x")),1)+IF(COUNTIF(J31:U31,"x")=0,(Besatzung!$F$12="x"),(K31="x")*(Besatzung!$F$12="x"))*IFERROR(H31,0)/IFERROR(IF(COUNTIF(J31:U31,"x")=0,SUMPRODUCT((Besatzung!$B$11:$B$22&lt;&gt;"")*(Besatzung!$F$11:$F$22="x")),SUMPRODUCT((J31:U31="x")*(Besatzung!$F$11:$F$22="x"))),1))))),0))))</f>
        <v/>
      </c>
      <c r="X31" s="247">
        <f>IF(C31="Gutschrift","",IF(G31="","",IF(Besatzung!$B$13="","",IFERROR(IF(I31="Zeitanteilig",(Besatzung!$G$13*(G31-IFERROR(H31,0))+((Besatzung!$B$13&lt;&gt;"")*IF(B31="",1,(IF(Besatzung!$C$13="",Besatzung!$B$5,Besatzung!$C$13)&lt;=B31)*(IF(Besatzung!$D$13="",Besatzung!$B$6,Besatzung!$D$13)&gt;=B31)))*(Besatzung!$F$13="x")*IFERROR(H31,0)/IFERROR(SUMPRODUCT((Besatzung!$B$11:$B$22&lt;&gt;"")*(Besatzung!$F$11:$F$22="x")*(IF(Besatzung!$C$11:$C$22="",Besatzung!$B$5,Besatzung!$C$11:$C$22)&lt;=B31)*(IF(Besatzung!$D$11:$D$22="",Besatzung!$B$6,Besatzung!$D$11:$D$22)&gt;=B31)),1)),IF(I31="An Bord",(((Besatzung!$B$13&lt;&gt;"")*IF(B31="",1,(IF(Besatzung!$C$13="",Besatzung!$B$5,Besatzung!$C$13)&lt;=B31)*(IF(Besatzung!$D$13="",Besatzung!$B$6,Besatzung!$D$13)&gt;=B31)))*((G31-IFERROR(H31,0))/IFERROR(SUMPRODUCT((Besatzung!$B$11:$B$22&lt;&gt;"")*(IF(Besatzung!$C$11:$C$22="",Besatzung!$B$5,Besatzung!$C$11:$C$22)&lt;=B31)*(IF(Besatzung!$D$11:$D$22="",Besatzung!$B$6,Besatzung!$D$11:$D$22)&gt;=B31)),1)+(Besatzung!$F$13="x")*IFERROR(H31,0)/IFERROR(SUMPRODUCT((Besatzung!$B$11:$B$22&lt;&gt;"")*(Besatzung!$F$11:$F$22="x")*(IF(Besatzung!$C$11:$C$22="",Besatzung!$B$5,Besatzung!$C$11:$C$22)&lt;=B31)*(IF(Besatzung!$D$11:$D$22="",Besatzung!$B$6,Besatzung!$D$11:$D$22)&gt;=B31)),1))),IF(I31="Individuell",((K31="x")*((G31-IFERROR(H31,0))/IFERROR(COUNTIF(J31:U31,"x"),1)+(Besatzung!$F$13="x")*IFERROR(H31,0)/IFERROR(SUMPRODUCT((J31:U31="x")*(Besatzung!$F$11:$F$22="x")),1))),(IF(COUNTIF(J31:U31,"x")=0,IF(Besatzung!$B$13&lt;&gt;"",1,0),(K31="x"))*(G31-IFERROR(H31,0))/IFERROR(IF(COUNTIF(J31:U31,"x")=0,COUNTA(Besatzung!$B$11:$B$22),COUNTIF(J31:U31,"x")),1)+IF(COUNTIF(J31:U31,"x")=0,(Besatzung!$F$13="x"),(K31="x")*(Besatzung!$F$13="x"))*IFERROR(H31,0)/IFERROR(IF(COUNTIF(J31:U31,"x")=0,SUMPRODUCT((Besatzung!$B$11:$B$22&lt;&gt;"")*(Besatzung!$F$11:$F$22="x")),SUMPRODUCT((J31:U31="x")*(Besatzung!$F$11:$F$22="x"))),1))))),0))))</f>
        <v/>
      </c>
      <c r="Y31" s="247">
        <f>IF(C31="Gutschrift","",IF(G31="","",IF(Besatzung!$B$14="","",IFERROR(IF(I31="Zeitanteilig",(Besatzung!$G$14*(G31-IFERROR(H31,0))+((Besatzung!$B$14&lt;&gt;"")*IF(B31="",1,(IF(Besatzung!$C$14="",Besatzung!$B$5,Besatzung!$C$14)&lt;=B31)*(IF(Besatzung!$D$14="",Besatzung!$B$6,Besatzung!$D$14)&gt;=B31)))*(Besatzung!$F$14="x")*IFERROR(H31,0)/IFERROR(SUMPRODUCT((Besatzung!$B$11:$B$22&lt;&gt;"")*(Besatzung!$F$11:$F$22="x")*(IF(Besatzung!$C$11:$C$22="",Besatzung!$B$5,Besatzung!$C$11:$C$22)&lt;=B31)*(IF(Besatzung!$D$11:$D$22="",Besatzung!$B$6,Besatzung!$D$11:$D$22)&gt;=B31)),1)),IF(I31="An Bord",(((Besatzung!$B$14&lt;&gt;"")*IF(B31="",1,(IF(Besatzung!$C$14="",Besatzung!$B$5,Besatzung!$C$14)&lt;=B31)*(IF(Besatzung!$D$14="",Besatzung!$B$6,Besatzung!$D$14)&gt;=B31)))*((G31-IFERROR(H31,0))/IFERROR(SUMPRODUCT((Besatzung!$B$11:$B$22&lt;&gt;"")*(IF(Besatzung!$C$11:$C$22="",Besatzung!$B$5,Besatzung!$C$11:$C$22)&lt;=B31)*(IF(Besatzung!$D$11:$D$22="",Besatzung!$B$6,Besatzung!$D$11:$D$22)&gt;=B31)),1)+(Besatzung!$F$14="x")*IFERROR(H31,0)/IFERROR(SUMPRODUCT((Besatzung!$B$11:$B$22&lt;&gt;"")*(Besatzung!$F$11:$F$22="x")*(IF(Besatzung!$C$11:$C$22="",Besatzung!$B$5,Besatzung!$C$11:$C$22)&lt;=B31)*(IF(Besatzung!$D$11:$D$22="",Besatzung!$B$6,Besatzung!$D$11:$D$22)&gt;=B31)),1))),IF(I31="Individuell",((M31="x")*((G31-IFERROR(H31,0))/IFERROR(COUNTIF(J31:U31,"x"),1)+(Besatzung!$F$14="x")*IFERROR(H31,0)/IFERROR(SUMPRODUCT((J31:U31="x")*(Besatzung!$F$11:$F$22="x")),1))),(IF(COUNTIF(J31:U31,"x")=0,IF(Besatzung!$B$14&lt;&gt;"",1,0),(M31="x"))*(G31-IFERROR(H31,0))/IFERROR(IF(COUNTIF(J31:U31,"x")=0,COUNTA(Besatzung!$B$11:$B$22),COUNTIF(J31:U31,"x")),1)+IF(COUNTIF(J31:U31,"x")=0,(Besatzung!$F$14="x"),(M31="x")*(Besatzung!$F$14="x"))*IFERROR(H31,0)/IFERROR(IF(COUNTIF(J31:U31,"x")=0,SUMPRODUCT((Besatzung!$B$11:$B$22&lt;&gt;"")*(Besatzung!$F$11:$F$22="x")),SUMPRODUCT((J31:U31="x")*(Besatzung!$F$11:$F$22="x"))),1))))),0))))</f>
        <v/>
      </c>
      <c r="Z31" s="247">
        <f>IF(C31="Gutschrift","",IF(G31="","",IF(Besatzung!$B$13="","",IFERROR(IF(I31="Zeitanteilig",(Besatzung!$G$15*(G31-IFERROR(H31,0))+((Besatzung!$B$13&lt;&gt;"")*IF(B31="",1,(IF(Besatzung!$C$15="",Besatzung!$B$5,Besatzung!$C$15)&lt;=B31)*(IF(Besatzung!$D$15="",Besatzung!$B$6,Besatzung!$D$15)&gt;=B31)))*(Besatzung!$F$15="x")*IFERROR(H31,0)/IFERROR(SUMPRODUCT((Besatzung!$B$11:$B$22&lt;&gt;"")*(Besatzung!$F$11:$F$22="x")*(IF(Besatzung!$C$11:$C$22="",Besatzung!$B$5,Besatzung!$C$11:$C$22)&lt;=B31)*(IF(Besatzung!$D$11:$D$22="",Besatzung!$B$6,Besatzung!$D$11:$D$22)&gt;=B31)),1)),IF(I31="An Bord",(((Besatzung!$B$13&lt;&gt;"")*IF(B31="",1,(IF(Besatzung!$C$15="",Besatzung!$B$5,Besatzung!$C$15)&lt;=B31)*(IF(Besatzung!$D$15="",Besatzung!$B$6,Besatzung!$D$15)&gt;=B31)))*((G31-IFERROR(H31,0))/IFERROR(SUMPRODUCT((Besatzung!$B$11:$B$22&lt;&gt;"")*(IF(Besatzung!$C$11:$C$22="",Besatzung!$B$5,Besatzung!$C$11:$C$22)&lt;=B31)*(IF(Besatzung!$D$11:$D$22="",Besatzung!$B$6,Besatzung!$D$11:$D$22)&gt;=B31)),1)+(Besatzung!$F$15="x")*IFERROR(H31,0)/IFERROR(SUMPRODUCT((Besatzung!$B$11:$B$22&lt;&gt;"")*(Besatzung!$F$11:$F$22="x")*(IF(Besatzung!$C$11:$C$22="",Besatzung!$B$5,Besatzung!$C$11:$C$22)&lt;=B31)*(IF(Besatzung!$D$11:$D$22="",Besatzung!$B$6,Besatzung!$D$11:$D$22)&gt;=B31)),1))),IF(I31="Individuell",((N31="x")*((G31-IFERROR(H31,0))/IFERROR(COUNTIF(J31:U31,"x"),1)+(Besatzung!$F$15="x")*IFERROR(H31,0)/IFERROR(SUMPRODUCT((J31:U31="x")*(Besatzung!$F$11:$F$22="x")),1))),(IF(COUNTIF(J31:U31,"x")=0,IF(Besatzung!$B$13&lt;&gt;"",1,0),(N31="x"))*(G31-IFERROR(H31,0))/IFERROR(IF(COUNTIF(J31:U31,"x")=0,COUNTA(Besatzung!$B$11:$B$22),COUNTIF(J31:U31,"x")),1)+IF(COUNTIF(J31:U31,"x")=0,(Besatzung!$F$15="x"),(N31="x")*(Besatzung!$F$15="x"))*IFERROR(H31,0)/IFERROR(IF(COUNTIF(J31:U31,"x")=0,SUMPRODUCT((Besatzung!$B$11:$B$22&lt;&gt;"")*(Besatzung!$F$11:$F$22="x")),SUMPRODUCT((J31:U31="x")*(Besatzung!$F$11:$F$22="x"))),1))))),0))))</f>
        <v/>
      </c>
      <c r="AA31" s="247">
        <f>IF(C31="Gutschrift","",IF(G31="","",IF(Besatzung!$B$15="","",IFERROR(IF(I31="Zeitanteilig",(Besatzung!$G$16*(G31-IFERROR(H31,0))+((Besatzung!$B$15&lt;&gt;"")*IF(B31="",1,(IF(Besatzung!$C$16="",Besatzung!$B$5,Besatzung!$C$16)&lt;=B31)*(IF(Besatzung!$D$16="",Besatzung!$B$6,Besatzung!$D$16)&gt;=B31)))*(Besatzung!$F$16="x")*IFERROR(H31,0)/IFERROR(SUMPRODUCT((Besatzung!$B$11:$B$22&lt;&gt;"")*(Besatzung!$F$11:$F$22="x")*(IF(Besatzung!$C$11:$C$22="",Besatzung!$B$5,Besatzung!$C$11:$C$22)&lt;=B31)*(IF(Besatzung!$D$11:$D$22="",Besatzung!$B$6,Besatzung!$D$11:$D$22)&gt;=B31)),1)),IF(I31="An Bord",(((Besatzung!$B$15&lt;&gt;"")*IF(B31="",1,(IF(Besatzung!$C$16="",Besatzung!$B$5,Besatzung!$C$16)&lt;=B31)*(IF(Besatzung!$D$16="",Besatzung!$B$6,Besatzung!$D$16)&gt;=B31)))*((G31-IFERROR(H31,0))/IFERROR(SUMPRODUCT((Besatzung!$B$11:$B$22&lt;&gt;"")*(IF(Besatzung!$C$11:$C$22="",Besatzung!$B$5,Besatzung!$C$11:$C$22)&lt;=B31)*(IF(Besatzung!$D$11:$D$22="",Besatzung!$B$6,Besatzung!$D$11:$D$22)&gt;=B31)),1)+(Besatzung!$F$16="x")*IFERROR(H31,0)/IFERROR(SUMPRODUCT((Besatzung!$B$11:$B$22&lt;&gt;"")*(Besatzung!$F$11:$F$22="x")*(IF(Besatzung!$C$11:$C$22="",Besatzung!$B$5,Besatzung!$C$11:$C$22)&lt;=B31)*(IF(Besatzung!$D$11:$D$22="",Besatzung!$B$6,Besatzung!$D$11:$D$22)&gt;=B31)),1))),IF(I31="Individuell",((O31="x")*((G31-IFERROR(H31,0))/IFERROR(COUNTIF(J31:U31,"x"),1)+(Besatzung!$F$16="x")*IFERROR(H31,0)/IFERROR(SUMPRODUCT((J31:U31="x")*(Besatzung!$F$11:$F$22="x")),1))),(IF(COUNTIF(J31:U31,"x")=0,IF(Besatzung!$B$15&lt;&gt;"",1,0),(O31="x"))*(G31-IFERROR(H31,0))/IFERROR(IF(COUNTIF(J31:U31,"x")=0,COUNTA(Besatzung!$B$11:$B$22),COUNTIF(J31:U31,"x")),1)+IF(COUNTIF(J31:U31,"x")=0,(Besatzung!$F$16="x"),(O31="x")*(Besatzung!$F$16="x"))*IFERROR(H31,0)/IFERROR(IF(COUNTIF(J31:U31,"x")=0,SUMPRODUCT((Besatzung!$B$11:$B$22&lt;&gt;"")*(Besatzung!$F$11:$F$22="x")),SUMPRODUCT((J31:U31="x")*(Besatzung!$F$11:$F$22="x"))),1))))),0))))</f>
        <v/>
      </c>
      <c r="AB31" s="247">
        <f>IF(C31="Gutschrift","",IF(G31="","",IF(Besatzung!$B$17="","",IFERROR(IF(I31="Zeitanteilig",(Besatzung!$G$17*(G31-IFERROR(H31,0))+((Besatzung!$B$17&lt;&gt;"")*IF(B31="",1,(IF(Besatzung!$C$17="",Besatzung!$B$5,Besatzung!$C$17)&lt;=B31)*(IF(Besatzung!$D$17="",Besatzung!$B$6,Besatzung!$D$17)&gt;=B31)))*(Besatzung!$F$17="x")*IFERROR(H31,0)/IFERROR(SUMPRODUCT((Besatzung!$B$11:$B$22&lt;&gt;"")*(Besatzung!$F$11:$F$22="x")*(IF(Besatzung!$C$11:$C$22="",Besatzung!$B$5,Besatzung!$C$11:$C$22)&lt;=B31)*(IF(Besatzung!$D$11:$D$22="",Besatzung!$B$6,Besatzung!$D$11:$D$22)&gt;=B31)),1)),IF(I31="An Bord",(((Besatzung!$B$17&lt;&gt;"")*IF(B31="",1,(IF(Besatzung!$C$17="",Besatzung!$B$5,Besatzung!$C$17)&lt;=B31)*(IF(Besatzung!$D$17="",Besatzung!$B$6,Besatzung!$D$17)&gt;=B31)))*((G31-IFERROR(H31,0))/IFERROR(SUMPRODUCT((Besatzung!$B$11:$B$22&lt;&gt;"")*(IF(Besatzung!$C$11:$C$22="",Besatzung!$B$5,Besatzung!$C$11:$C$22)&lt;=B31)*(IF(Besatzung!$D$11:$D$22="",Besatzung!$B$6,Besatzung!$D$11:$D$22)&gt;=B31)),1)+(Besatzung!$F$17="x")*IFERROR(H31,0)/IFERROR(SUMPRODUCT((Besatzung!$B$11:$B$22&lt;&gt;"")*(Besatzung!$F$11:$F$22="x")*(IF(Besatzung!$C$11:$C$22="",Besatzung!$B$5,Besatzung!$C$11:$C$22)&lt;=B31)*(IF(Besatzung!$D$11:$D$22="",Besatzung!$B$6,Besatzung!$D$11:$D$22)&gt;=B31)),1))),IF(I31="Individuell",((P31="x")*((G31-IFERROR(H31,0))/IFERROR(COUNTIF(J31:U31,"x"),1)+(Besatzung!$F$17="x")*IFERROR(H31,0)/IFERROR(SUMPRODUCT((J31:U31="x")*(Besatzung!$F$11:$F$22="x")),1))),(IF(COUNTIF(J31:U31,"x")=0,IF(Besatzung!$B$17&lt;&gt;"",1,0),(P31="x"))*(G31-IFERROR(H31,0))/IFERROR(IF(COUNTIF(J31:U31,"x")=0,COUNTA(Besatzung!$B$11:$B$22),COUNTIF(J31:U31,"x")),1)+IF(COUNTIF(J31:U31,"x")=0,(Besatzung!$F$17="x"),(P31="x")*(Besatzung!$F$17="x"))*IFERROR(H31,0)/IFERROR(IF(COUNTIF(J31:U31,"x")=0,SUMPRODUCT((Besatzung!$B$11:$B$22&lt;&gt;"")*(Besatzung!$F$11:$F$22="x")),SUMPRODUCT((J31:U31="x")*(Besatzung!$F$11:$F$22="x"))),1))))),0))))</f>
        <v/>
      </c>
      <c r="AC31" s="247">
        <f>IF(C31="Gutschrift","",IF(G31="","",IF(Besatzung!$B$18="","",IFERROR(IF(I31="Zeitanteilig",(Besatzung!$G$18*(G31-IFERROR(H31,0))+((Besatzung!$B$18&lt;&gt;"")*IF(B31="",1,(IF(Besatzung!$C$18="",Besatzung!$B$5,Besatzung!$C$18)&lt;=B31)*(IF(Besatzung!$D$18="",Besatzung!$B$6,Besatzung!$D$18)&gt;=B31)))*(Besatzung!$F$18="x")*IFERROR(H31,0)/IFERROR(SUMPRODUCT((Besatzung!$B$11:$B$22&lt;&gt;"")*(Besatzung!$F$11:$F$22="x")*(IF(Besatzung!$C$11:$C$22="",Besatzung!$B$5,Besatzung!$C$11:$C$22)&lt;=B31)*(IF(Besatzung!$D$11:$D$22="",Besatzung!$B$6,Besatzung!$D$11:$D$22)&gt;=B31)),1)),IF(I31="An Bord",(((Besatzung!$B$18&lt;&gt;"")*IF(B31="",1,(IF(Besatzung!$C$18="",Besatzung!$B$5,Besatzung!$C$18)&lt;=B31)*(IF(Besatzung!$D$18="",Besatzung!$B$6,Besatzung!$D$18)&gt;=B31)))*((G31-IFERROR(H31,0))/IFERROR(SUMPRODUCT((Besatzung!$B$11:$B$22&lt;&gt;"")*(IF(Besatzung!$C$11:$C$22="",Besatzung!$B$5,Besatzung!$C$11:$C$22)&lt;=B31)*(IF(Besatzung!$D$11:$D$22="",Besatzung!$B$6,Besatzung!$D$11:$D$22)&gt;=B31)),1)+(Besatzung!$F$18="x")*IFERROR(H31,0)/IFERROR(SUMPRODUCT((Besatzung!$B$11:$B$22&lt;&gt;"")*(Besatzung!$F$11:$F$22="x")*(IF(Besatzung!$C$11:$C$22="",Besatzung!$B$5,Besatzung!$C$11:$C$22)&lt;=B31)*(IF(Besatzung!$D$11:$D$22="",Besatzung!$B$6,Besatzung!$D$11:$D$22)&gt;=B31)),1))),IF(I31="Individuell",((Q31="x")*((G31-IFERROR(H31,0))/IFERROR(COUNTIF(J31:U31,"x"),1)+(Besatzung!$F$18="x")*IFERROR(H31,0)/IFERROR(SUMPRODUCT((J31:U31="x")*(Besatzung!$F$11:$F$22="x")),1))),(IF(COUNTIF(J31:U31,"x")=0,IF(Besatzung!$B$18&lt;&gt;"",1,0),(Q31="x"))*(G31-IFERROR(H31,0))/IFERROR(IF(COUNTIF(J31:U31,"x")=0,COUNTA(Besatzung!$B$11:$B$22),COUNTIF(J31:U31,"x")),1)+IF(COUNTIF(J31:U31,"x")=0,(Besatzung!$F$18="x"),(Q31="x")*(Besatzung!$F$18="x"))*IFERROR(H31,0)/IFERROR(IF(COUNTIF(J31:U31,"x")=0,SUMPRODUCT((Besatzung!$B$11:$B$22&lt;&gt;"")*(Besatzung!$F$11:$F$22="x")),SUMPRODUCT((J31:U31="x")*(Besatzung!$F$11:$F$22="x"))),1))))),0))))</f>
        <v/>
      </c>
      <c r="AD31" s="247">
        <f>IF(C31="Gutschrift","",IF(G31="","",IF(Besatzung!$B$19="","",IFERROR(IF(I31="Zeitanteilig",(Besatzung!$G$19*(G31-IFERROR(H31,0))+((Besatzung!$B$19&lt;&gt;"")*IF(B31="",1,(IF(Besatzung!$C$19="",Besatzung!$B$5,Besatzung!$C$19)&lt;=B31)*(IF(Besatzung!$D$19="",Besatzung!$B$6,Besatzung!$D$19)&gt;=B31)))*(Besatzung!$F$19="x")*IFERROR(H31,0)/IFERROR(SUMPRODUCT((Besatzung!$B$11:$B$22&lt;&gt;"")*(Besatzung!$F$11:$F$22="x")*(IF(Besatzung!$C$11:$C$22="",Besatzung!$B$5,Besatzung!$C$11:$C$22)&lt;=B31)*(IF(Besatzung!$D$11:$D$22="",Besatzung!$B$6,Besatzung!$D$11:$D$22)&gt;=B31)),1)),IF(I31="An Bord",(((Besatzung!$B$19&lt;&gt;"")*IF(B31="",1,(IF(Besatzung!$C$19="",Besatzung!$B$5,Besatzung!$C$19)&lt;=B31)*(IF(Besatzung!$D$19="",Besatzung!$B$6,Besatzung!$D$19)&gt;=B31)))*((G31-IFERROR(H31,0))/IFERROR(SUMPRODUCT((Besatzung!$B$11:$B$22&lt;&gt;"")*(IF(Besatzung!$C$11:$C$22="",Besatzung!$B$5,Besatzung!$C$11:$C$22)&lt;=B31)*(IF(Besatzung!$D$11:$D$22="",Besatzung!$B$6,Besatzung!$D$11:$D$22)&gt;=B31)),1)+(Besatzung!$F$19="x")*IFERROR(H31,0)/IFERROR(SUMPRODUCT((Besatzung!$B$11:$B$22&lt;&gt;"")*(Besatzung!$F$11:$F$22="x")*(IF(Besatzung!$C$11:$C$22="",Besatzung!$B$5,Besatzung!$C$11:$C$22)&lt;=B31)*(IF(Besatzung!$D$11:$D$22="",Besatzung!$B$6,Besatzung!$D$11:$D$22)&gt;=B31)),1))),IF(I31="Individuell",((R31="x")*((G31-IFERROR(H31,0))/IFERROR(COUNTIF(J31:U31,"x"),1)+(Besatzung!$F$19="x")*IFERROR(H31,0)/IFERROR(SUMPRODUCT((J31:U31="x")*(Besatzung!$F$11:$F$22="x")),1))),(IF(COUNTIF(J31:U31,"x")=0,IF(Besatzung!$B$19&lt;&gt;"",1,0),(R31="x"))*(G31-IFERROR(H31,0))/IFERROR(IF(COUNTIF(J31:U31,"x")=0,COUNTA(Besatzung!$B$11:$B$22),COUNTIF(J31:U31,"x")),1)+IF(COUNTIF(J31:U31,"x")=0,(Besatzung!$F$19="x"),(R31="x")*(Besatzung!$F$19="x"))*IFERROR(H31,0)/IFERROR(IF(COUNTIF(J31:U31,"x")=0,SUMPRODUCT((Besatzung!$B$11:$B$22&lt;&gt;"")*(Besatzung!$F$11:$F$22="x")),SUMPRODUCT((J31:U31="x")*(Besatzung!$F$11:$F$22="x"))),1))))),0))))</f>
        <v/>
      </c>
      <c r="AE31" s="247">
        <f>IF(C31="Gutschrift","",IF(G31="","",IF(Besatzung!$B$20="","",IFERROR(IF(I31="Zeitanteilig",(Besatzung!$G$20*(G31-IFERROR(H31,0))+((Besatzung!$B$20&lt;&gt;"")*IF(B31="",1,(IF(Besatzung!$C$20="",Besatzung!$B$5,Besatzung!$C$20)&lt;=B31)*(IF(Besatzung!$D$20="",Besatzung!$B$6,Besatzung!$D$20)&gt;=B31)))*(Besatzung!$F$20="x")*IFERROR(H31,0)/IFERROR(SUMPRODUCT((Besatzung!$B$11:$B$22&lt;&gt;"")*(Besatzung!$F$11:$F$22="x")*(IF(Besatzung!$C$11:$C$22="",Besatzung!$B$5,Besatzung!$C$11:$C$22)&lt;=B31)*(IF(Besatzung!$D$11:$D$22="",Besatzung!$B$6,Besatzung!$D$11:$D$22)&gt;=B31)),1)),IF(I31="An Bord",(((Besatzung!$B$20&lt;&gt;"")*IF(B31="",1,(IF(Besatzung!$C$20="",Besatzung!$B$5,Besatzung!$C$20)&lt;=B31)*(IF(Besatzung!$D$20="",Besatzung!$B$6,Besatzung!$D$20)&gt;=B31)))*((G31-IFERROR(H31,0))/IFERROR(SUMPRODUCT((Besatzung!$B$11:$B$22&lt;&gt;"")*(IF(Besatzung!$C$11:$C$22="",Besatzung!$B$5,Besatzung!$C$11:$C$22)&lt;=B31)*(IF(Besatzung!$D$11:$D$22="",Besatzung!$B$6,Besatzung!$D$11:$D$22)&gt;=B31)),1)+(Besatzung!$F$20="x")*IFERROR(H31,0)/IFERROR(SUMPRODUCT((Besatzung!$B$11:$B$22&lt;&gt;"")*(Besatzung!$F$11:$F$22="x")*(IF(Besatzung!$C$11:$C$22="",Besatzung!$B$5,Besatzung!$C$11:$C$22)&lt;=B31)*(IF(Besatzung!$D$11:$D$22="",Besatzung!$B$6,Besatzung!$D$11:$D$22)&gt;=B31)),1))),IF(I31="Individuell",((S31="x")*((G31-IFERROR(H31,0))/IFERROR(COUNTIF(J31:U31,"x"),1)+(Besatzung!$F$20="x")*IFERROR(H31,0)/IFERROR(SUMPRODUCT((J31:U31="x")*(Besatzung!$F$11:$F$22="x")),1))),(IF(COUNTIF(J31:U31,"x")=0,IF(Besatzung!$B$20&lt;&gt;"",1,0),(S31="x"))*(G31-IFERROR(H31,0))/IFERROR(IF(COUNTIF(J31:U31,"x")=0,COUNTA(Besatzung!$B$11:$B$22),COUNTIF(J31:U31,"x")),1)+IF(COUNTIF(J31:U31,"x")=0,(Besatzung!$F$20="x"),(S31="x")*(Besatzung!$F$20="x"))*IFERROR(H31,0)/IFERROR(IF(COUNTIF(J31:U31,"x")=0,SUMPRODUCT((Besatzung!$B$11:$B$22&lt;&gt;"")*(Besatzung!$F$11:$F$22="x")),SUMPRODUCT((J31:U31="x")*(Besatzung!$F$11:$F$22="x"))),1))))),0))))</f>
        <v/>
      </c>
      <c r="AF31" s="247">
        <f>IF(C31="Gutschrift","",IF(G31="","",IF(Besatzung!$B$21="","",IFERROR(IF(I31="Zeitanteilig",(Besatzung!$G$21*(G31-IFERROR(H31,0))+((Besatzung!$B$21&lt;&gt;"")*IF(B31="",1,(IF(Besatzung!$C$21="",Besatzung!$B$5,Besatzung!$C$21)&lt;=B31)*(IF(Besatzung!$D$21="",Besatzung!$B$6,Besatzung!$D$21)&gt;=B31)))*(Besatzung!$F$21="x")*IFERROR(H31,0)/IFERROR(SUMPRODUCT((Besatzung!$B$11:$B$22&lt;&gt;"")*(Besatzung!$F$11:$F$22="x")*(IF(Besatzung!$C$11:$C$22="",Besatzung!$B$5,Besatzung!$C$11:$C$22)&lt;=B31)*(IF(Besatzung!$D$11:$D$22="",Besatzung!$B$6,Besatzung!$D$11:$D$22)&gt;=B31)),1)),IF(I31="An Bord",(((Besatzung!$B$21&lt;&gt;"")*IF(B31="",1,(IF(Besatzung!$C$21="",Besatzung!$B$5,Besatzung!$C$21)&lt;=B31)*(IF(Besatzung!$D$21="",Besatzung!$B$6,Besatzung!$D$21)&gt;=B31)))*((G31-IFERROR(H31,0))/IFERROR(SUMPRODUCT((Besatzung!$B$11:$B$22&lt;&gt;"")*(IF(Besatzung!$C$11:$C$22="",Besatzung!$B$5,Besatzung!$C$11:$C$22)&lt;=B31)*(IF(Besatzung!$D$11:$D$22="",Besatzung!$B$6,Besatzung!$D$11:$D$22)&gt;=B31)),1)+(Besatzung!$F$21="x")*IFERROR(H31,0)/IFERROR(SUMPRODUCT((Besatzung!$B$11:$B$22&lt;&gt;"")*(Besatzung!$F$11:$F$22="x")*(IF(Besatzung!$C$11:$C$22="",Besatzung!$B$5,Besatzung!$C$11:$C$22)&lt;=B31)*(IF(Besatzung!$D$11:$D$22="",Besatzung!$B$6,Besatzung!$D$11:$D$22)&gt;=B31)),1))),IF(I31="Individuell",((T31="x")*((G31-IFERROR(H31,0))/IFERROR(COUNTIF(J31:U31,"x"),1)+(Besatzung!$F$21="x")*IFERROR(H31,0)/IFERROR(SUMPRODUCT((J31:U31="x")*(Besatzung!$F$11:$F$22="x")),1))),(IF(COUNTIF(J31:U31,"x")=0,IF(Besatzung!$B$21&lt;&gt;"",1,0),(T31="x"))*(G31-IFERROR(H31,0))/IFERROR(IF(COUNTIF(J31:U31,"x")=0,COUNTA(Besatzung!$B$11:$B$22),COUNTIF(J31:U31,"x")),1)+IF(COUNTIF(J31:U31,"x")=0,(Besatzung!$F$21="x"),(T31="x")*(Besatzung!$F$21="x"))*IFERROR(H31,0)/IFERROR(IF(COUNTIF(J31:U31,"x")=0,SUMPRODUCT((Besatzung!$B$11:$B$22&lt;&gt;"")*(Besatzung!$F$11:$F$22="x")),SUMPRODUCT((J31:U31="x")*(Besatzung!$F$11:$F$22="x"))),1))))),0))))</f>
        <v/>
      </c>
      <c r="AG31" s="247">
        <f>IF(C31="Gutschrift","",IF(G31="","",IF(Besatzung!$B$22="","",IFERROR(IF(I31="Zeitanteilig",(Besatzung!$G$22*(G31-IFERROR(H31,0))+((Besatzung!$B$22&lt;&gt;"")*IF(B31="",1,(IF(Besatzung!$C$22="",Besatzung!$B$5,Besatzung!$C$22)&lt;=B31)*(IF(Besatzung!$D$22="",Besatzung!$B$6,Besatzung!$D$22)&gt;=B31)))*(Besatzung!$F$22="x")*IFERROR(H31,0)/IFERROR(SUMPRODUCT((Besatzung!$B$11:$B$22&lt;&gt;"")*(Besatzung!$F$11:$F$22="x")*(IF(Besatzung!$C$11:$C$22="",Besatzung!$B$5,Besatzung!$C$11:$C$22)&lt;=B31)*(IF(Besatzung!$D$11:$D$22="",Besatzung!$B$6,Besatzung!$D$11:$D$22)&gt;=B31)),1)),IF(I31="An Bord",(((Besatzung!$B$22&lt;&gt;"")*IF(B31="",1,(IF(Besatzung!$C$22="",Besatzung!$B$5,Besatzung!$C$22)&lt;=B31)*(IF(Besatzung!$D$22="",Besatzung!$B$6,Besatzung!$D$22)&gt;=B31)))*((G31-IFERROR(H31,0))/IFERROR(SUMPRODUCT((Besatzung!$B$11:$B$22&lt;&gt;"")*(IF(Besatzung!$C$11:$C$22="",Besatzung!$B$5,Besatzung!$C$11:$C$22)&lt;=B31)*(IF(Besatzung!$D$11:$D$22="",Besatzung!$B$6,Besatzung!$D$11:$D$22)&gt;=B31)),1)+(Besatzung!$F$22="x")*IFERROR(H31,0)/IFERROR(SUMPRODUCT((Besatzung!$B$11:$B$22&lt;&gt;"")*(Besatzung!$F$11:$F$22="x")*(IF(Besatzung!$C$11:$C$22="",Besatzung!$B$5,Besatzung!$C$11:$C$22)&lt;=B31)*(IF(Besatzung!$D$11:$D$22="",Besatzung!$B$6,Besatzung!$D$11:$D$22)&gt;=B31)),1))),IF(I31="Individuell",((U31="x")*((G31-IFERROR(H31,0))/IFERROR(COUNTIF(J31:U31,"x"),1)+(Besatzung!$F$22="x")*IFERROR(H31,0)/IFERROR(SUMPRODUCT((J31:U31="x")*(Besatzung!$F$11:$F$22="x")),1))),(IF(COUNTIF(J31:U31,"x")=0,IF(Besatzung!$B$22&lt;&gt;"",1,0),(U31="x"))*(G31-IFERROR(H31,0))/IFERROR(IF(COUNTIF(J31:U31,"x")=0,COUNTA(Besatzung!$B$11:$B$22),COUNTIF(J31:U31,"x")),1)+IF(COUNTIF(J31:U31,"x")=0,(Besatzung!$F$22="x"),(U31="x")*(Besatzung!$F$22="x"))*IFERROR(H31,0)/IFERROR(IF(COUNTIF(J31:U31,"x")=0,SUMPRODUCT((Besatzung!$B$11:$B$22&lt;&gt;"")*(Besatzung!$F$11:$F$22="x")),SUMPRODUCT((J31:U31="x")*(Besatzung!$F$11:$F$22="x"))),1))))),0))))</f>
        <v/>
      </c>
      <c r="AH31" s="248" t="n"/>
      <c r="AI31" s="248" t="n"/>
    </row>
    <row r="32" ht="21.75" customHeight="1" s="154">
      <c r="A32" s="238">
        <f>IF(AND(D32="",C32=""),"",29)</f>
        <v/>
      </c>
      <c r="B32" s="199" t="n"/>
      <c r="C32" s="239" t="n"/>
      <c r="D32" s="240" t="n"/>
      <c r="E32" s="241" t="n"/>
      <c r="F32" s="242" t="n"/>
      <c r="G32" s="243" t="n"/>
      <c r="H32" s="244" t="n"/>
      <c r="I32" s="245" t="n"/>
      <c r="J32" s="246" t="n"/>
      <c r="K32" s="246" t="n"/>
      <c r="L32" s="246" t="n"/>
      <c r="M32" s="246" t="n"/>
      <c r="N32" s="246" t="n"/>
      <c r="O32" s="246" t="n"/>
      <c r="P32" s="246" t="n"/>
      <c r="Q32" s="246" t="n"/>
      <c r="R32" s="246" t="n"/>
      <c r="S32" s="246" t="n"/>
      <c r="T32" s="246" t="n"/>
      <c r="U32" s="246" t="n"/>
      <c r="V32" s="247">
        <f>IF(C32="Gutschrift","",IF(G32="","",IF(Besatzung!$B$11="","",IFERROR(IF(I32="Zeitanteilig",(Besatzung!$G$11*(G32-IFERROR(H32,0))+((Besatzung!$B$11&lt;&gt;"")*IF(B32="",1,(IF(Besatzung!$C$11="",Besatzung!$B$5,Besatzung!$C$11)&lt;=B32)*(IF(Besatzung!$D$11="",Besatzung!$B$6,Besatzung!$D$11)&gt;=B32)))*(Besatzung!$F$11="x")*IFERROR(H32,0)/IFERROR(SUMPRODUCT((Besatzung!$B$11:$B$22&lt;&gt;"")*(Besatzung!$F$11:$F$22="x")*(IF(Besatzung!$C$11:$C$22="",Besatzung!$B$5,Besatzung!$C$11:$C$22)&lt;=B32)*(IF(Besatzung!$D$11:$D$22="",Besatzung!$B$6,Besatzung!$D$11:$D$22)&gt;=B32)),1)),IF(I32="An Bord",(((Besatzung!$B$11&lt;&gt;"")*IF(B32="",1,(IF(Besatzung!$C$11="",Besatzung!$B$5,Besatzung!$C$11)&lt;=B32)*(IF(Besatzung!$D$11="",Besatzung!$B$6,Besatzung!$D$11)&gt;=B32)))*((G32-IFERROR(H32,0))/IFERROR(SUMPRODUCT((Besatzung!$B$11:$B$22&lt;&gt;"")*(IF(Besatzung!$C$11:$C$22="",Besatzung!$B$5,Besatzung!$C$11:$C$22)&lt;=B32)*(IF(Besatzung!$D$11:$D$22="",Besatzung!$B$6,Besatzung!$D$11:$D$22)&gt;=B32)),1)+(Besatzung!$F$11="x")*IFERROR(H32,0)/IFERROR(SUMPRODUCT((Besatzung!$B$11:$B$22&lt;&gt;"")*(Besatzung!$F$11:$F$22="x")*(IF(Besatzung!$C$11:$C$22="",Besatzung!$B$5,Besatzung!$C$11:$C$22)&lt;=B32)*(IF(Besatzung!$D$11:$D$22="",Besatzung!$B$6,Besatzung!$D$11:$D$22)&gt;=B32)),1))),IF(I32="Individuell",((J32="x")*((G32-IFERROR(H32,0))/IFERROR(COUNTIF(J32:U32,"x"),1)+(Besatzung!$F$11="x")*IFERROR(H32,0)/IFERROR(SUMPRODUCT((J32:U32="x")*(Besatzung!$F$11:$F$22="x")),1))),(IF(COUNTIF(J32:U32,"x")=0,IF(Besatzung!$B$11&lt;&gt;"",1,0),(J32="x"))*(G32-IFERROR(H32,0))/IFERROR(IF(COUNTIF(J32:U32,"x")=0,COUNTA(Besatzung!$B$11:$B$22),COUNTIF(J32:U32,"x")),1)+IF(COUNTIF(J32:U32,"x")=0,(Besatzung!$F$11="x"),(J32="x")*(Besatzung!$F$11="x"))*IFERROR(H32,0)/IFERROR(IF(COUNTIF(J32:U32,"x")=0,SUMPRODUCT((Besatzung!$B$11:$B$22&lt;&gt;"")*(Besatzung!$F$11:$F$22="x")),SUMPRODUCT((J32:U32="x")*(Besatzung!$F$11:$F$22="x"))),1))))),0))))</f>
        <v/>
      </c>
      <c r="W32" s="247">
        <f>IF(C32="Gutschrift","",IF(G32="","",IF(Besatzung!$B$12="","",IFERROR(IF(I32="Zeitanteilig",(Besatzung!$G$12*(G32-IFERROR(H32,0))+((Besatzung!$B$12&lt;&gt;"")*IF(B32="",1,(IF(Besatzung!$C$12="",Besatzung!$B$5,Besatzung!$C$12)&lt;=B32)*(IF(Besatzung!$D$12="",Besatzung!$B$6,Besatzung!$D$12)&gt;=B32)))*(Besatzung!$F$12="x")*IFERROR(H32,0)/IFERROR(SUMPRODUCT((Besatzung!$B$11:$B$22&lt;&gt;"")*(Besatzung!$F$11:$F$22="x")*(IF(Besatzung!$C$11:$C$22="",Besatzung!$B$5,Besatzung!$C$11:$C$22)&lt;=B32)*(IF(Besatzung!$D$11:$D$22="",Besatzung!$B$6,Besatzung!$D$11:$D$22)&gt;=B32)),1)),IF(I32="An Bord",(((Besatzung!$B$12&lt;&gt;"")*IF(B32="",1,(IF(Besatzung!$C$12="",Besatzung!$B$5,Besatzung!$C$12)&lt;=B32)*(IF(Besatzung!$D$12="",Besatzung!$B$6,Besatzung!$D$12)&gt;=B32)))*((G32-IFERROR(H32,0))/IFERROR(SUMPRODUCT((Besatzung!$B$11:$B$22&lt;&gt;"")*(IF(Besatzung!$C$11:$C$22="",Besatzung!$B$5,Besatzung!$C$11:$C$22)&lt;=B32)*(IF(Besatzung!$D$11:$D$22="",Besatzung!$B$6,Besatzung!$D$11:$D$22)&gt;=B32)),1)+(Besatzung!$F$12="x")*IFERROR(H32,0)/IFERROR(SUMPRODUCT((Besatzung!$B$11:$B$22&lt;&gt;"")*(Besatzung!$F$11:$F$22="x")*(IF(Besatzung!$C$11:$C$22="",Besatzung!$B$5,Besatzung!$C$11:$C$22)&lt;=B32)*(IF(Besatzung!$D$11:$D$22="",Besatzung!$B$6,Besatzung!$D$11:$D$22)&gt;=B32)),1))),IF(I32="Individuell",((K32="x")*((G32-IFERROR(H32,0))/IFERROR(COUNTIF(J32:U32,"x"),1)+(Besatzung!$F$12="x")*IFERROR(H32,0)/IFERROR(SUMPRODUCT((J32:U32="x")*(Besatzung!$F$11:$F$22="x")),1))),(IF(COUNTIF(J32:U32,"x")=0,IF(Besatzung!$B$12&lt;&gt;"",1,0),(K32="x"))*(G32-IFERROR(H32,0))/IFERROR(IF(COUNTIF(J32:U32,"x")=0,COUNTA(Besatzung!$B$11:$B$22),COUNTIF(J32:U32,"x")),1)+IF(COUNTIF(J32:U32,"x")=0,(Besatzung!$F$12="x"),(K32="x")*(Besatzung!$F$12="x"))*IFERROR(H32,0)/IFERROR(IF(COUNTIF(J32:U32,"x")=0,SUMPRODUCT((Besatzung!$B$11:$B$22&lt;&gt;"")*(Besatzung!$F$11:$F$22="x")),SUMPRODUCT((J32:U32="x")*(Besatzung!$F$11:$F$22="x"))),1))))),0))))</f>
        <v/>
      </c>
      <c r="X32" s="247">
        <f>IF(C32="Gutschrift","",IF(G32="","",IF(Besatzung!$B$13="","",IFERROR(IF(I32="Zeitanteilig",(Besatzung!$G$13*(G32-IFERROR(H32,0))+((Besatzung!$B$13&lt;&gt;"")*IF(B32="",1,(IF(Besatzung!$C$13="",Besatzung!$B$5,Besatzung!$C$13)&lt;=B32)*(IF(Besatzung!$D$13="",Besatzung!$B$6,Besatzung!$D$13)&gt;=B32)))*(Besatzung!$F$13="x")*IFERROR(H32,0)/IFERROR(SUMPRODUCT((Besatzung!$B$11:$B$22&lt;&gt;"")*(Besatzung!$F$11:$F$22="x")*(IF(Besatzung!$C$11:$C$22="",Besatzung!$B$5,Besatzung!$C$11:$C$22)&lt;=B32)*(IF(Besatzung!$D$11:$D$22="",Besatzung!$B$6,Besatzung!$D$11:$D$22)&gt;=B32)),1)),IF(I32="An Bord",(((Besatzung!$B$13&lt;&gt;"")*IF(B32="",1,(IF(Besatzung!$C$13="",Besatzung!$B$5,Besatzung!$C$13)&lt;=B32)*(IF(Besatzung!$D$13="",Besatzung!$B$6,Besatzung!$D$13)&gt;=B32)))*((G32-IFERROR(H32,0))/IFERROR(SUMPRODUCT((Besatzung!$B$11:$B$22&lt;&gt;"")*(IF(Besatzung!$C$11:$C$22="",Besatzung!$B$5,Besatzung!$C$11:$C$22)&lt;=B32)*(IF(Besatzung!$D$11:$D$22="",Besatzung!$B$6,Besatzung!$D$11:$D$22)&gt;=B32)),1)+(Besatzung!$F$13="x")*IFERROR(H32,0)/IFERROR(SUMPRODUCT((Besatzung!$B$11:$B$22&lt;&gt;"")*(Besatzung!$F$11:$F$22="x")*(IF(Besatzung!$C$11:$C$22="",Besatzung!$B$5,Besatzung!$C$11:$C$22)&lt;=B32)*(IF(Besatzung!$D$11:$D$22="",Besatzung!$B$6,Besatzung!$D$11:$D$22)&gt;=B32)),1))),IF(I32="Individuell",((K32="x")*((G32-IFERROR(H32,0))/IFERROR(COUNTIF(J32:U32,"x"),1)+(Besatzung!$F$13="x")*IFERROR(H32,0)/IFERROR(SUMPRODUCT((J32:U32="x")*(Besatzung!$F$11:$F$22="x")),1))),(IF(COUNTIF(J32:U32,"x")=0,IF(Besatzung!$B$13&lt;&gt;"",1,0),(K32="x"))*(G32-IFERROR(H32,0))/IFERROR(IF(COUNTIF(J32:U32,"x")=0,COUNTA(Besatzung!$B$11:$B$22),COUNTIF(J32:U32,"x")),1)+IF(COUNTIF(J32:U32,"x")=0,(Besatzung!$F$13="x"),(K32="x")*(Besatzung!$F$13="x"))*IFERROR(H32,0)/IFERROR(IF(COUNTIF(J32:U32,"x")=0,SUMPRODUCT((Besatzung!$B$11:$B$22&lt;&gt;"")*(Besatzung!$F$11:$F$22="x")),SUMPRODUCT((J32:U32="x")*(Besatzung!$F$11:$F$22="x"))),1))))),0))))</f>
        <v/>
      </c>
      <c r="Y32" s="247">
        <f>IF(C32="Gutschrift","",IF(G32="","",IF(Besatzung!$B$14="","",IFERROR(IF(I32="Zeitanteilig",(Besatzung!$G$14*(G32-IFERROR(H32,0))+((Besatzung!$B$14&lt;&gt;"")*IF(B32="",1,(IF(Besatzung!$C$14="",Besatzung!$B$5,Besatzung!$C$14)&lt;=B32)*(IF(Besatzung!$D$14="",Besatzung!$B$6,Besatzung!$D$14)&gt;=B32)))*(Besatzung!$F$14="x")*IFERROR(H32,0)/IFERROR(SUMPRODUCT((Besatzung!$B$11:$B$22&lt;&gt;"")*(Besatzung!$F$11:$F$22="x")*(IF(Besatzung!$C$11:$C$22="",Besatzung!$B$5,Besatzung!$C$11:$C$22)&lt;=B32)*(IF(Besatzung!$D$11:$D$22="",Besatzung!$B$6,Besatzung!$D$11:$D$22)&gt;=B32)),1)),IF(I32="An Bord",(((Besatzung!$B$14&lt;&gt;"")*IF(B32="",1,(IF(Besatzung!$C$14="",Besatzung!$B$5,Besatzung!$C$14)&lt;=B32)*(IF(Besatzung!$D$14="",Besatzung!$B$6,Besatzung!$D$14)&gt;=B32)))*((G32-IFERROR(H32,0))/IFERROR(SUMPRODUCT((Besatzung!$B$11:$B$22&lt;&gt;"")*(IF(Besatzung!$C$11:$C$22="",Besatzung!$B$5,Besatzung!$C$11:$C$22)&lt;=B32)*(IF(Besatzung!$D$11:$D$22="",Besatzung!$B$6,Besatzung!$D$11:$D$22)&gt;=B32)),1)+(Besatzung!$F$14="x")*IFERROR(H32,0)/IFERROR(SUMPRODUCT((Besatzung!$B$11:$B$22&lt;&gt;"")*(Besatzung!$F$11:$F$22="x")*(IF(Besatzung!$C$11:$C$22="",Besatzung!$B$5,Besatzung!$C$11:$C$22)&lt;=B32)*(IF(Besatzung!$D$11:$D$22="",Besatzung!$B$6,Besatzung!$D$11:$D$22)&gt;=B32)),1))),IF(I32="Individuell",((M32="x")*((G32-IFERROR(H32,0))/IFERROR(COUNTIF(J32:U32,"x"),1)+(Besatzung!$F$14="x")*IFERROR(H32,0)/IFERROR(SUMPRODUCT((J32:U32="x")*(Besatzung!$F$11:$F$22="x")),1))),(IF(COUNTIF(J32:U32,"x")=0,IF(Besatzung!$B$14&lt;&gt;"",1,0),(M32="x"))*(G32-IFERROR(H32,0))/IFERROR(IF(COUNTIF(J32:U32,"x")=0,COUNTA(Besatzung!$B$11:$B$22),COUNTIF(J32:U32,"x")),1)+IF(COUNTIF(J32:U32,"x")=0,(Besatzung!$F$14="x"),(M32="x")*(Besatzung!$F$14="x"))*IFERROR(H32,0)/IFERROR(IF(COUNTIF(J32:U32,"x")=0,SUMPRODUCT((Besatzung!$B$11:$B$22&lt;&gt;"")*(Besatzung!$F$11:$F$22="x")),SUMPRODUCT((J32:U32="x")*(Besatzung!$F$11:$F$22="x"))),1))))),0))))</f>
        <v/>
      </c>
      <c r="Z32" s="247">
        <f>IF(C32="Gutschrift","",IF(G32="","",IF(Besatzung!$B$13="","",IFERROR(IF(I32="Zeitanteilig",(Besatzung!$G$15*(G32-IFERROR(H32,0))+((Besatzung!$B$13&lt;&gt;"")*IF(B32="",1,(IF(Besatzung!$C$15="",Besatzung!$B$5,Besatzung!$C$15)&lt;=B32)*(IF(Besatzung!$D$15="",Besatzung!$B$6,Besatzung!$D$15)&gt;=B32)))*(Besatzung!$F$15="x")*IFERROR(H32,0)/IFERROR(SUMPRODUCT((Besatzung!$B$11:$B$22&lt;&gt;"")*(Besatzung!$F$11:$F$22="x")*(IF(Besatzung!$C$11:$C$22="",Besatzung!$B$5,Besatzung!$C$11:$C$22)&lt;=B32)*(IF(Besatzung!$D$11:$D$22="",Besatzung!$B$6,Besatzung!$D$11:$D$22)&gt;=B32)),1)),IF(I32="An Bord",(((Besatzung!$B$13&lt;&gt;"")*IF(B32="",1,(IF(Besatzung!$C$15="",Besatzung!$B$5,Besatzung!$C$15)&lt;=B32)*(IF(Besatzung!$D$15="",Besatzung!$B$6,Besatzung!$D$15)&gt;=B32)))*((G32-IFERROR(H32,0))/IFERROR(SUMPRODUCT((Besatzung!$B$11:$B$22&lt;&gt;"")*(IF(Besatzung!$C$11:$C$22="",Besatzung!$B$5,Besatzung!$C$11:$C$22)&lt;=B32)*(IF(Besatzung!$D$11:$D$22="",Besatzung!$B$6,Besatzung!$D$11:$D$22)&gt;=B32)),1)+(Besatzung!$F$15="x")*IFERROR(H32,0)/IFERROR(SUMPRODUCT((Besatzung!$B$11:$B$22&lt;&gt;"")*(Besatzung!$F$11:$F$22="x")*(IF(Besatzung!$C$11:$C$22="",Besatzung!$B$5,Besatzung!$C$11:$C$22)&lt;=B32)*(IF(Besatzung!$D$11:$D$22="",Besatzung!$B$6,Besatzung!$D$11:$D$22)&gt;=B32)),1))),IF(I32="Individuell",((N32="x")*((G32-IFERROR(H32,0))/IFERROR(COUNTIF(J32:U32,"x"),1)+(Besatzung!$F$15="x")*IFERROR(H32,0)/IFERROR(SUMPRODUCT((J32:U32="x")*(Besatzung!$F$11:$F$22="x")),1))),(IF(COUNTIF(J32:U32,"x")=0,IF(Besatzung!$B$13&lt;&gt;"",1,0),(N32="x"))*(G32-IFERROR(H32,0))/IFERROR(IF(COUNTIF(J32:U32,"x")=0,COUNTA(Besatzung!$B$11:$B$22),COUNTIF(J32:U32,"x")),1)+IF(COUNTIF(J32:U32,"x")=0,(Besatzung!$F$15="x"),(N32="x")*(Besatzung!$F$15="x"))*IFERROR(H32,0)/IFERROR(IF(COUNTIF(J32:U32,"x")=0,SUMPRODUCT((Besatzung!$B$11:$B$22&lt;&gt;"")*(Besatzung!$F$11:$F$22="x")),SUMPRODUCT((J32:U32="x")*(Besatzung!$F$11:$F$22="x"))),1))))),0))))</f>
        <v/>
      </c>
      <c r="AA32" s="247">
        <f>IF(C32="Gutschrift","",IF(G32="","",IF(Besatzung!$B$15="","",IFERROR(IF(I32="Zeitanteilig",(Besatzung!$G$16*(G32-IFERROR(H32,0))+((Besatzung!$B$15&lt;&gt;"")*IF(B32="",1,(IF(Besatzung!$C$16="",Besatzung!$B$5,Besatzung!$C$16)&lt;=B32)*(IF(Besatzung!$D$16="",Besatzung!$B$6,Besatzung!$D$16)&gt;=B32)))*(Besatzung!$F$16="x")*IFERROR(H32,0)/IFERROR(SUMPRODUCT((Besatzung!$B$11:$B$22&lt;&gt;"")*(Besatzung!$F$11:$F$22="x")*(IF(Besatzung!$C$11:$C$22="",Besatzung!$B$5,Besatzung!$C$11:$C$22)&lt;=B32)*(IF(Besatzung!$D$11:$D$22="",Besatzung!$B$6,Besatzung!$D$11:$D$22)&gt;=B32)),1)),IF(I32="An Bord",(((Besatzung!$B$15&lt;&gt;"")*IF(B32="",1,(IF(Besatzung!$C$16="",Besatzung!$B$5,Besatzung!$C$16)&lt;=B32)*(IF(Besatzung!$D$16="",Besatzung!$B$6,Besatzung!$D$16)&gt;=B32)))*((G32-IFERROR(H32,0))/IFERROR(SUMPRODUCT((Besatzung!$B$11:$B$22&lt;&gt;"")*(IF(Besatzung!$C$11:$C$22="",Besatzung!$B$5,Besatzung!$C$11:$C$22)&lt;=B32)*(IF(Besatzung!$D$11:$D$22="",Besatzung!$B$6,Besatzung!$D$11:$D$22)&gt;=B32)),1)+(Besatzung!$F$16="x")*IFERROR(H32,0)/IFERROR(SUMPRODUCT((Besatzung!$B$11:$B$22&lt;&gt;"")*(Besatzung!$F$11:$F$22="x")*(IF(Besatzung!$C$11:$C$22="",Besatzung!$B$5,Besatzung!$C$11:$C$22)&lt;=B32)*(IF(Besatzung!$D$11:$D$22="",Besatzung!$B$6,Besatzung!$D$11:$D$22)&gt;=B32)),1))),IF(I32="Individuell",((O32="x")*((G32-IFERROR(H32,0))/IFERROR(COUNTIF(J32:U32,"x"),1)+(Besatzung!$F$16="x")*IFERROR(H32,0)/IFERROR(SUMPRODUCT((J32:U32="x")*(Besatzung!$F$11:$F$22="x")),1))),(IF(COUNTIF(J32:U32,"x")=0,IF(Besatzung!$B$15&lt;&gt;"",1,0),(O32="x"))*(G32-IFERROR(H32,0))/IFERROR(IF(COUNTIF(J32:U32,"x")=0,COUNTA(Besatzung!$B$11:$B$22),COUNTIF(J32:U32,"x")),1)+IF(COUNTIF(J32:U32,"x")=0,(Besatzung!$F$16="x"),(O32="x")*(Besatzung!$F$16="x"))*IFERROR(H32,0)/IFERROR(IF(COUNTIF(J32:U32,"x")=0,SUMPRODUCT((Besatzung!$B$11:$B$22&lt;&gt;"")*(Besatzung!$F$11:$F$22="x")),SUMPRODUCT((J32:U32="x")*(Besatzung!$F$11:$F$22="x"))),1))))),0))))</f>
        <v/>
      </c>
      <c r="AB32" s="247">
        <f>IF(C32="Gutschrift","",IF(G32="","",IF(Besatzung!$B$17="","",IFERROR(IF(I32="Zeitanteilig",(Besatzung!$G$17*(G32-IFERROR(H32,0))+((Besatzung!$B$17&lt;&gt;"")*IF(B32="",1,(IF(Besatzung!$C$17="",Besatzung!$B$5,Besatzung!$C$17)&lt;=B32)*(IF(Besatzung!$D$17="",Besatzung!$B$6,Besatzung!$D$17)&gt;=B32)))*(Besatzung!$F$17="x")*IFERROR(H32,0)/IFERROR(SUMPRODUCT((Besatzung!$B$11:$B$22&lt;&gt;"")*(Besatzung!$F$11:$F$22="x")*(IF(Besatzung!$C$11:$C$22="",Besatzung!$B$5,Besatzung!$C$11:$C$22)&lt;=B32)*(IF(Besatzung!$D$11:$D$22="",Besatzung!$B$6,Besatzung!$D$11:$D$22)&gt;=B32)),1)),IF(I32="An Bord",(((Besatzung!$B$17&lt;&gt;"")*IF(B32="",1,(IF(Besatzung!$C$17="",Besatzung!$B$5,Besatzung!$C$17)&lt;=B32)*(IF(Besatzung!$D$17="",Besatzung!$B$6,Besatzung!$D$17)&gt;=B32)))*((G32-IFERROR(H32,0))/IFERROR(SUMPRODUCT((Besatzung!$B$11:$B$22&lt;&gt;"")*(IF(Besatzung!$C$11:$C$22="",Besatzung!$B$5,Besatzung!$C$11:$C$22)&lt;=B32)*(IF(Besatzung!$D$11:$D$22="",Besatzung!$B$6,Besatzung!$D$11:$D$22)&gt;=B32)),1)+(Besatzung!$F$17="x")*IFERROR(H32,0)/IFERROR(SUMPRODUCT((Besatzung!$B$11:$B$22&lt;&gt;"")*(Besatzung!$F$11:$F$22="x")*(IF(Besatzung!$C$11:$C$22="",Besatzung!$B$5,Besatzung!$C$11:$C$22)&lt;=B32)*(IF(Besatzung!$D$11:$D$22="",Besatzung!$B$6,Besatzung!$D$11:$D$22)&gt;=B32)),1))),IF(I32="Individuell",((P32="x")*((G32-IFERROR(H32,0))/IFERROR(COUNTIF(J32:U32,"x"),1)+(Besatzung!$F$17="x")*IFERROR(H32,0)/IFERROR(SUMPRODUCT((J32:U32="x")*(Besatzung!$F$11:$F$22="x")),1))),(IF(COUNTIF(J32:U32,"x")=0,IF(Besatzung!$B$17&lt;&gt;"",1,0),(P32="x"))*(G32-IFERROR(H32,0))/IFERROR(IF(COUNTIF(J32:U32,"x")=0,COUNTA(Besatzung!$B$11:$B$22),COUNTIF(J32:U32,"x")),1)+IF(COUNTIF(J32:U32,"x")=0,(Besatzung!$F$17="x"),(P32="x")*(Besatzung!$F$17="x"))*IFERROR(H32,0)/IFERROR(IF(COUNTIF(J32:U32,"x")=0,SUMPRODUCT((Besatzung!$B$11:$B$22&lt;&gt;"")*(Besatzung!$F$11:$F$22="x")),SUMPRODUCT((J32:U32="x")*(Besatzung!$F$11:$F$22="x"))),1))))),0))))</f>
        <v/>
      </c>
      <c r="AC32" s="247">
        <f>IF(C32="Gutschrift","",IF(G32="","",IF(Besatzung!$B$18="","",IFERROR(IF(I32="Zeitanteilig",(Besatzung!$G$18*(G32-IFERROR(H32,0))+((Besatzung!$B$18&lt;&gt;"")*IF(B32="",1,(IF(Besatzung!$C$18="",Besatzung!$B$5,Besatzung!$C$18)&lt;=B32)*(IF(Besatzung!$D$18="",Besatzung!$B$6,Besatzung!$D$18)&gt;=B32)))*(Besatzung!$F$18="x")*IFERROR(H32,0)/IFERROR(SUMPRODUCT((Besatzung!$B$11:$B$22&lt;&gt;"")*(Besatzung!$F$11:$F$22="x")*(IF(Besatzung!$C$11:$C$22="",Besatzung!$B$5,Besatzung!$C$11:$C$22)&lt;=B32)*(IF(Besatzung!$D$11:$D$22="",Besatzung!$B$6,Besatzung!$D$11:$D$22)&gt;=B32)),1)),IF(I32="An Bord",(((Besatzung!$B$18&lt;&gt;"")*IF(B32="",1,(IF(Besatzung!$C$18="",Besatzung!$B$5,Besatzung!$C$18)&lt;=B32)*(IF(Besatzung!$D$18="",Besatzung!$B$6,Besatzung!$D$18)&gt;=B32)))*((G32-IFERROR(H32,0))/IFERROR(SUMPRODUCT((Besatzung!$B$11:$B$22&lt;&gt;"")*(IF(Besatzung!$C$11:$C$22="",Besatzung!$B$5,Besatzung!$C$11:$C$22)&lt;=B32)*(IF(Besatzung!$D$11:$D$22="",Besatzung!$B$6,Besatzung!$D$11:$D$22)&gt;=B32)),1)+(Besatzung!$F$18="x")*IFERROR(H32,0)/IFERROR(SUMPRODUCT((Besatzung!$B$11:$B$22&lt;&gt;"")*(Besatzung!$F$11:$F$22="x")*(IF(Besatzung!$C$11:$C$22="",Besatzung!$B$5,Besatzung!$C$11:$C$22)&lt;=B32)*(IF(Besatzung!$D$11:$D$22="",Besatzung!$B$6,Besatzung!$D$11:$D$22)&gt;=B32)),1))),IF(I32="Individuell",((Q32="x")*((G32-IFERROR(H32,0))/IFERROR(COUNTIF(J32:U32,"x"),1)+(Besatzung!$F$18="x")*IFERROR(H32,0)/IFERROR(SUMPRODUCT((J32:U32="x")*(Besatzung!$F$11:$F$22="x")),1))),(IF(COUNTIF(J32:U32,"x")=0,IF(Besatzung!$B$18&lt;&gt;"",1,0),(Q32="x"))*(G32-IFERROR(H32,0))/IFERROR(IF(COUNTIF(J32:U32,"x")=0,COUNTA(Besatzung!$B$11:$B$22),COUNTIF(J32:U32,"x")),1)+IF(COUNTIF(J32:U32,"x")=0,(Besatzung!$F$18="x"),(Q32="x")*(Besatzung!$F$18="x"))*IFERROR(H32,0)/IFERROR(IF(COUNTIF(J32:U32,"x")=0,SUMPRODUCT((Besatzung!$B$11:$B$22&lt;&gt;"")*(Besatzung!$F$11:$F$22="x")),SUMPRODUCT((J32:U32="x")*(Besatzung!$F$11:$F$22="x"))),1))))),0))))</f>
        <v/>
      </c>
      <c r="AD32" s="247">
        <f>IF(C32="Gutschrift","",IF(G32="","",IF(Besatzung!$B$19="","",IFERROR(IF(I32="Zeitanteilig",(Besatzung!$G$19*(G32-IFERROR(H32,0))+((Besatzung!$B$19&lt;&gt;"")*IF(B32="",1,(IF(Besatzung!$C$19="",Besatzung!$B$5,Besatzung!$C$19)&lt;=B32)*(IF(Besatzung!$D$19="",Besatzung!$B$6,Besatzung!$D$19)&gt;=B32)))*(Besatzung!$F$19="x")*IFERROR(H32,0)/IFERROR(SUMPRODUCT((Besatzung!$B$11:$B$22&lt;&gt;"")*(Besatzung!$F$11:$F$22="x")*(IF(Besatzung!$C$11:$C$22="",Besatzung!$B$5,Besatzung!$C$11:$C$22)&lt;=B32)*(IF(Besatzung!$D$11:$D$22="",Besatzung!$B$6,Besatzung!$D$11:$D$22)&gt;=B32)),1)),IF(I32="An Bord",(((Besatzung!$B$19&lt;&gt;"")*IF(B32="",1,(IF(Besatzung!$C$19="",Besatzung!$B$5,Besatzung!$C$19)&lt;=B32)*(IF(Besatzung!$D$19="",Besatzung!$B$6,Besatzung!$D$19)&gt;=B32)))*((G32-IFERROR(H32,0))/IFERROR(SUMPRODUCT((Besatzung!$B$11:$B$22&lt;&gt;"")*(IF(Besatzung!$C$11:$C$22="",Besatzung!$B$5,Besatzung!$C$11:$C$22)&lt;=B32)*(IF(Besatzung!$D$11:$D$22="",Besatzung!$B$6,Besatzung!$D$11:$D$22)&gt;=B32)),1)+(Besatzung!$F$19="x")*IFERROR(H32,0)/IFERROR(SUMPRODUCT((Besatzung!$B$11:$B$22&lt;&gt;"")*(Besatzung!$F$11:$F$22="x")*(IF(Besatzung!$C$11:$C$22="",Besatzung!$B$5,Besatzung!$C$11:$C$22)&lt;=B32)*(IF(Besatzung!$D$11:$D$22="",Besatzung!$B$6,Besatzung!$D$11:$D$22)&gt;=B32)),1))),IF(I32="Individuell",((R32="x")*((G32-IFERROR(H32,0))/IFERROR(COUNTIF(J32:U32,"x"),1)+(Besatzung!$F$19="x")*IFERROR(H32,0)/IFERROR(SUMPRODUCT((J32:U32="x")*(Besatzung!$F$11:$F$22="x")),1))),(IF(COUNTIF(J32:U32,"x")=0,IF(Besatzung!$B$19&lt;&gt;"",1,0),(R32="x"))*(G32-IFERROR(H32,0))/IFERROR(IF(COUNTIF(J32:U32,"x")=0,COUNTA(Besatzung!$B$11:$B$22),COUNTIF(J32:U32,"x")),1)+IF(COUNTIF(J32:U32,"x")=0,(Besatzung!$F$19="x"),(R32="x")*(Besatzung!$F$19="x"))*IFERROR(H32,0)/IFERROR(IF(COUNTIF(J32:U32,"x")=0,SUMPRODUCT((Besatzung!$B$11:$B$22&lt;&gt;"")*(Besatzung!$F$11:$F$22="x")),SUMPRODUCT((J32:U32="x")*(Besatzung!$F$11:$F$22="x"))),1))))),0))))</f>
        <v/>
      </c>
      <c r="AE32" s="247">
        <f>IF(C32="Gutschrift","",IF(G32="","",IF(Besatzung!$B$20="","",IFERROR(IF(I32="Zeitanteilig",(Besatzung!$G$20*(G32-IFERROR(H32,0))+((Besatzung!$B$20&lt;&gt;"")*IF(B32="",1,(IF(Besatzung!$C$20="",Besatzung!$B$5,Besatzung!$C$20)&lt;=B32)*(IF(Besatzung!$D$20="",Besatzung!$B$6,Besatzung!$D$20)&gt;=B32)))*(Besatzung!$F$20="x")*IFERROR(H32,0)/IFERROR(SUMPRODUCT((Besatzung!$B$11:$B$22&lt;&gt;"")*(Besatzung!$F$11:$F$22="x")*(IF(Besatzung!$C$11:$C$22="",Besatzung!$B$5,Besatzung!$C$11:$C$22)&lt;=B32)*(IF(Besatzung!$D$11:$D$22="",Besatzung!$B$6,Besatzung!$D$11:$D$22)&gt;=B32)),1)),IF(I32="An Bord",(((Besatzung!$B$20&lt;&gt;"")*IF(B32="",1,(IF(Besatzung!$C$20="",Besatzung!$B$5,Besatzung!$C$20)&lt;=B32)*(IF(Besatzung!$D$20="",Besatzung!$B$6,Besatzung!$D$20)&gt;=B32)))*((G32-IFERROR(H32,0))/IFERROR(SUMPRODUCT((Besatzung!$B$11:$B$22&lt;&gt;"")*(IF(Besatzung!$C$11:$C$22="",Besatzung!$B$5,Besatzung!$C$11:$C$22)&lt;=B32)*(IF(Besatzung!$D$11:$D$22="",Besatzung!$B$6,Besatzung!$D$11:$D$22)&gt;=B32)),1)+(Besatzung!$F$20="x")*IFERROR(H32,0)/IFERROR(SUMPRODUCT((Besatzung!$B$11:$B$22&lt;&gt;"")*(Besatzung!$F$11:$F$22="x")*(IF(Besatzung!$C$11:$C$22="",Besatzung!$B$5,Besatzung!$C$11:$C$22)&lt;=B32)*(IF(Besatzung!$D$11:$D$22="",Besatzung!$B$6,Besatzung!$D$11:$D$22)&gt;=B32)),1))),IF(I32="Individuell",((S32="x")*((G32-IFERROR(H32,0))/IFERROR(COUNTIF(J32:U32,"x"),1)+(Besatzung!$F$20="x")*IFERROR(H32,0)/IFERROR(SUMPRODUCT((J32:U32="x")*(Besatzung!$F$11:$F$22="x")),1))),(IF(COUNTIF(J32:U32,"x")=0,IF(Besatzung!$B$20&lt;&gt;"",1,0),(S32="x"))*(G32-IFERROR(H32,0))/IFERROR(IF(COUNTIF(J32:U32,"x")=0,COUNTA(Besatzung!$B$11:$B$22),COUNTIF(J32:U32,"x")),1)+IF(COUNTIF(J32:U32,"x")=0,(Besatzung!$F$20="x"),(S32="x")*(Besatzung!$F$20="x"))*IFERROR(H32,0)/IFERROR(IF(COUNTIF(J32:U32,"x")=0,SUMPRODUCT((Besatzung!$B$11:$B$22&lt;&gt;"")*(Besatzung!$F$11:$F$22="x")),SUMPRODUCT((J32:U32="x")*(Besatzung!$F$11:$F$22="x"))),1))))),0))))</f>
        <v/>
      </c>
      <c r="AF32" s="247">
        <f>IF(C32="Gutschrift","",IF(G32="","",IF(Besatzung!$B$21="","",IFERROR(IF(I32="Zeitanteilig",(Besatzung!$G$21*(G32-IFERROR(H32,0))+((Besatzung!$B$21&lt;&gt;"")*IF(B32="",1,(IF(Besatzung!$C$21="",Besatzung!$B$5,Besatzung!$C$21)&lt;=B32)*(IF(Besatzung!$D$21="",Besatzung!$B$6,Besatzung!$D$21)&gt;=B32)))*(Besatzung!$F$21="x")*IFERROR(H32,0)/IFERROR(SUMPRODUCT((Besatzung!$B$11:$B$22&lt;&gt;"")*(Besatzung!$F$11:$F$22="x")*(IF(Besatzung!$C$11:$C$22="",Besatzung!$B$5,Besatzung!$C$11:$C$22)&lt;=B32)*(IF(Besatzung!$D$11:$D$22="",Besatzung!$B$6,Besatzung!$D$11:$D$22)&gt;=B32)),1)),IF(I32="An Bord",(((Besatzung!$B$21&lt;&gt;"")*IF(B32="",1,(IF(Besatzung!$C$21="",Besatzung!$B$5,Besatzung!$C$21)&lt;=B32)*(IF(Besatzung!$D$21="",Besatzung!$B$6,Besatzung!$D$21)&gt;=B32)))*((G32-IFERROR(H32,0))/IFERROR(SUMPRODUCT((Besatzung!$B$11:$B$22&lt;&gt;"")*(IF(Besatzung!$C$11:$C$22="",Besatzung!$B$5,Besatzung!$C$11:$C$22)&lt;=B32)*(IF(Besatzung!$D$11:$D$22="",Besatzung!$B$6,Besatzung!$D$11:$D$22)&gt;=B32)),1)+(Besatzung!$F$21="x")*IFERROR(H32,0)/IFERROR(SUMPRODUCT((Besatzung!$B$11:$B$22&lt;&gt;"")*(Besatzung!$F$11:$F$22="x")*(IF(Besatzung!$C$11:$C$22="",Besatzung!$B$5,Besatzung!$C$11:$C$22)&lt;=B32)*(IF(Besatzung!$D$11:$D$22="",Besatzung!$B$6,Besatzung!$D$11:$D$22)&gt;=B32)),1))),IF(I32="Individuell",((T32="x")*((G32-IFERROR(H32,0))/IFERROR(COUNTIF(J32:U32,"x"),1)+(Besatzung!$F$21="x")*IFERROR(H32,0)/IFERROR(SUMPRODUCT((J32:U32="x")*(Besatzung!$F$11:$F$22="x")),1))),(IF(COUNTIF(J32:U32,"x")=0,IF(Besatzung!$B$21&lt;&gt;"",1,0),(T32="x"))*(G32-IFERROR(H32,0))/IFERROR(IF(COUNTIF(J32:U32,"x")=0,COUNTA(Besatzung!$B$11:$B$22),COUNTIF(J32:U32,"x")),1)+IF(COUNTIF(J32:U32,"x")=0,(Besatzung!$F$21="x"),(T32="x")*(Besatzung!$F$21="x"))*IFERROR(H32,0)/IFERROR(IF(COUNTIF(J32:U32,"x")=0,SUMPRODUCT((Besatzung!$B$11:$B$22&lt;&gt;"")*(Besatzung!$F$11:$F$22="x")),SUMPRODUCT((J32:U32="x")*(Besatzung!$F$11:$F$22="x"))),1))))),0))))</f>
        <v/>
      </c>
      <c r="AG32" s="247">
        <f>IF(C32="Gutschrift","",IF(G32="","",IF(Besatzung!$B$22="","",IFERROR(IF(I32="Zeitanteilig",(Besatzung!$G$22*(G32-IFERROR(H32,0))+((Besatzung!$B$22&lt;&gt;"")*IF(B32="",1,(IF(Besatzung!$C$22="",Besatzung!$B$5,Besatzung!$C$22)&lt;=B32)*(IF(Besatzung!$D$22="",Besatzung!$B$6,Besatzung!$D$22)&gt;=B32)))*(Besatzung!$F$22="x")*IFERROR(H32,0)/IFERROR(SUMPRODUCT((Besatzung!$B$11:$B$22&lt;&gt;"")*(Besatzung!$F$11:$F$22="x")*(IF(Besatzung!$C$11:$C$22="",Besatzung!$B$5,Besatzung!$C$11:$C$22)&lt;=B32)*(IF(Besatzung!$D$11:$D$22="",Besatzung!$B$6,Besatzung!$D$11:$D$22)&gt;=B32)),1)),IF(I32="An Bord",(((Besatzung!$B$22&lt;&gt;"")*IF(B32="",1,(IF(Besatzung!$C$22="",Besatzung!$B$5,Besatzung!$C$22)&lt;=B32)*(IF(Besatzung!$D$22="",Besatzung!$B$6,Besatzung!$D$22)&gt;=B32)))*((G32-IFERROR(H32,0))/IFERROR(SUMPRODUCT((Besatzung!$B$11:$B$22&lt;&gt;"")*(IF(Besatzung!$C$11:$C$22="",Besatzung!$B$5,Besatzung!$C$11:$C$22)&lt;=B32)*(IF(Besatzung!$D$11:$D$22="",Besatzung!$B$6,Besatzung!$D$11:$D$22)&gt;=B32)),1)+(Besatzung!$F$22="x")*IFERROR(H32,0)/IFERROR(SUMPRODUCT((Besatzung!$B$11:$B$22&lt;&gt;"")*(Besatzung!$F$11:$F$22="x")*(IF(Besatzung!$C$11:$C$22="",Besatzung!$B$5,Besatzung!$C$11:$C$22)&lt;=B32)*(IF(Besatzung!$D$11:$D$22="",Besatzung!$B$6,Besatzung!$D$11:$D$22)&gt;=B32)),1))),IF(I32="Individuell",((U32="x")*((G32-IFERROR(H32,0))/IFERROR(COUNTIF(J32:U32,"x"),1)+(Besatzung!$F$22="x")*IFERROR(H32,0)/IFERROR(SUMPRODUCT((J32:U32="x")*(Besatzung!$F$11:$F$22="x")),1))),(IF(COUNTIF(J32:U32,"x")=0,IF(Besatzung!$B$22&lt;&gt;"",1,0),(U32="x"))*(G32-IFERROR(H32,0))/IFERROR(IF(COUNTIF(J32:U32,"x")=0,COUNTA(Besatzung!$B$11:$B$22),COUNTIF(J32:U32,"x")),1)+IF(COUNTIF(J32:U32,"x")=0,(Besatzung!$F$22="x"),(U32="x")*(Besatzung!$F$22="x"))*IFERROR(H32,0)/IFERROR(IF(COUNTIF(J32:U32,"x")=0,SUMPRODUCT((Besatzung!$B$11:$B$22&lt;&gt;"")*(Besatzung!$F$11:$F$22="x")),SUMPRODUCT((J32:U32="x")*(Besatzung!$F$11:$F$22="x"))),1))))),0))))</f>
        <v/>
      </c>
      <c r="AH32" s="248" t="n"/>
      <c r="AI32" s="248" t="n"/>
    </row>
    <row r="33" ht="21.75" customHeight="1" s="154">
      <c r="A33" s="238">
        <f>IF(AND(D33="",C33=""),"",30)</f>
        <v/>
      </c>
      <c r="B33" s="206" t="n"/>
      <c r="C33" s="249" t="n"/>
      <c r="D33" s="250" t="n"/>
      <c r="E33" s="251" t="n"/>
      <c r="F33" s="252" t="n"/>
      <c r="G33" s="253" t="n"/>
      <c r="H33" s="254" t="n"/>
      <c r="I33" s="255" t="n"/>
      <c r="J33" s="256" t="n"/>
      <c r="K33" s="256" t="n"/>
      <c r="L33" s="256" t="n"/>
      <c r="M33" s="256" t="n"/>
      <c r="N33" s="256" t="n"/>
      <c r="O33" s="256" t="n"/>
      <c r="P33" s="256" t="n"/>
      <c r="Q33" s="256" t="n"/>
      <c r="R33" s="256" t="n"/>
      <c r="S33" s="256" t="n"/>
      <c r="T33" s="256" t="n"/>
      <c r="U33" s="256" t="n"/>
      <c r="V33" s="247">
        <f>IF(C33="Gutschrift","",IF(G33="","",IF(Besatzung!$B$11="","",IFERROR(IF(I33="Zeitanteilig",(Besatzung!$G$11*(G33-IFERROR(H33,0))+((Besatzung!$B$11&lt;&gt;"")*IF(B33="",1,(IF(Besatzung!$C$11="",Besatzung!$B$5,Besatzung!$C$11)&lt;=B33)*(IF(Besatzung!$D$11="",Besatzung!$B$6,Besatzung!$D$11)&gt;=B33)))*(Besatzung!$F$11="x")*IFERROR(H33,0)/IFERROR(SUMPRODUCT((Besatzung!$B$11:$B$22&lt;&gt;"")*(Besatzung!$F$11:$F$22="x")*(IF(Besatzung!$C$11:$C$22="",Besatzung!$B$5,Besatzung!$C$11:$C$22)&lt;=B33)*(IF(Besatzung!$D$11:$D$22="",Besatzung!$B$6,Besatzung!$D$11:$D$22)&gt;=B33)),1)),IF(I33="An Bord",(((Besatzung!$B$11&lt;&gt;"")*IF(B33="",1,(IF(Besatzung!$C$11="",Besatzung!$B$5,Besatzung!$C$11)&lt;=B33)*(IF(Besatzung!$D$11="",Besatzung!$B$6,Besatzung!$D$11)&gt;=B33)))*((G33-IFERROR(H33,0))/IFERROR(SUMPRODUCT((Besatzung!$B$11:$B$22&lt;&gt;"")*(IF(Besatzung!$C$11:$C$22="",Besatzung!$B$5,Besatzung!$C$11:$C$22)&lt;=B33)*(IF(Besatzung!$D$11:$D$22="",Besatzung!$B$6,Besatzung!$D$11:$D$22)&gt;=B33)),1)+(Besatzung!$F$11="x")*IFERROR(H33,0)/IFERROR(SUMPRODUCT((Besatzung!$B$11:$B$22&lt;&gt;"")*(Besatzung!$F$11:$F$22="x")*(IF(Besatzung!$C$11:$C$22="",Besatzung!$B$5,Besatzung!$C$11:$C$22)&lt;=B33)*(IF(Besatzung!$D$11:$D$22="",Besatzung!$B$6,Besatzung!$D$11:$D$22)&gt;=B33)),1))),IF(I33="Individuell",((J33="x")*((G33-IFERROR(H33,0))/IFERROR(COUNTIF(J33:U33,"x"),1)+(Besatzung!$F$11="x")*IFERROR(H33,0)/IFERROR(SUMPRODUCT((J33:U33="x")*(Besatzung!$F$11:$F$22="x")),1))),(IF(COUNTIF(J33:U33,"x")=0,IF(Besatzung!$B$11&lt;&gt;"",1,0),(J33="x"))*(G33-IFERROR(H33,0))/IFERROR(IF(COUNTIF(J33:U33,"x")=0,COUNTA(Besatzung!$B$11:$B$22),COUNTIF(J33:U33,"x")),1)+IF(COUNTIF(J33:U33,"x")=0,(Besatzung!$F$11="x"),(J33="x")*(Besatzung!$F$11="x"))*IFERROR(H33,0)/IFERROR(IF(COUNTIF(J33:U33,"x")=0,SUMPRODUCT((Besatzung!$B$11:$B$22&lt;&gt;"")*(Besatzung!$F$11:$F$22="x")),SUMPRODUCT((J33:U33="x")*(Besatzung!$F$11:$F$22="x"))),1))))),0))))</f>
        <v/>
      </c>
      <c r="W33" s="247">
        <f>IF(C33="Gutschrift","",IF(G33="","",IF(Besatzung!$B$12="","",IFERROR(IF(I33="Zeitanteilig",(Besatzung!$G$12*(G33-IFERROR(H33,0))+((Besatzung!$B$12&lt;&gt;"")*IF(B33="",1,(IF(Besatzung!$C$12="",Besatzung!$B$5,Besatzung!$C$12)&lt;=B33)*(IF(Besatzung!$D$12="",Besatzung!$B$6,Besatzung!$D$12)&gt;=B33)))*(Besatzung!$F$12="x")*IFERROR(H33,0)/IFERROR(SUMPRODUCT((Besatzung!$B$11:$B$22&lt;&gt;"")*(Besatzung!$F$11:$F$22="x")*(IF(Besatzung!$C$11:$C$22="",Besatzung!$B$5,Besatzung!$C$11:$C$22)&lt;=B33)*(IF(Besatzung!$D$11:$D$22="",Besatzung!$B$6,Besatzung!$D$11:$D$22)&gt;=B33)),1)),IF(I33="An Bord",(((Besatzung!$B$12&lt;&gt;"")*IF(B33="",1,(IF(Besatzung!$C$12="",Besatzung!$B$5,Besatzung!$C$12)&lt;=B33)*(IF(Besatzung!$D$12="",Besatzung!$B$6,Besatzung!$D$12)&gt;=B33)))*((G33-IFERROR(H33,0))/IFERROR(SUMPRODUCT((Besatzung!$B$11:$B$22&lt;&gt;"")*(IF(Besatzung!$C$11:$C$22="",Besatzung!$B$5,Besatzung!$C$11:$C$22)&lt;=B33)*(IF(Besatzung!$D$11:$D$22="",Besatzung!$B$6,Besatzung!$D$11:$D$22)&gt;=B33)),1)+(Besatzung!$F$12="x")*IFERROR(H33,0)/IFERROR(SUMPRODUCT((Besatzung!$B$11:$B$22&lt;&gt;"")*(Besatzung!$F$11:$F$22="x")*(IF(Besatzung!$C$11:$C$22="",Besatzung!$B$5,Besatzung!$C$11:$C$22)&lt;=B33)*(IF(Besatzung!$D$11:$D$22="",Besatzung!$B$6,Besatzung!$D$11:$D$22)&gt;=B33)),1))),IF(I33="Individuell",((K33="x")*((G33-IFERROR(H33,0))/IFERROR(COUNTIF(J33:U33,"x"),1)+(Besatzung!$F$12="x")*IFERROR(H33,0)/IFERROR(SUMPRODUCT((J33:U33="x")*(Besatzung!$F$11:$F$22="x")),1))),(IF(COUNTIF(J33:U33,"x")=0,IF(Besatzung!$B$12&lt;&gt;"",1,0),(K33="x"))*(G33-IFERROR(H33,0))/IFERROR(IF(COUNTIF(J33:U33,"x")=0,COUNTA(Besatzung!$B$11:$B$22),COUNTIF(J33:U33,"x")),1)+IF(COUNTIF(J33:U33,"x")=0,(Besatzung!$F$12="x"),(K33="x")*(Besatzung!$F$12="x"))*IFERROR(H33,0)/IFERROR(IF(COUNTIF(J33:U33,"x")=0,SUMPRODUCT((Besatzung!$B$11:$B$22&lt;&gt;"")*(Besatzung!$F$11:$F$22="x")),SUMPRODUCT((J33:U33="x")*(Besatzung!$F$11:$F$22="x"))),1))))),0))))</f>
        <v/>
      </c>
      <c r="X33" s="247">
        <f>IF(C33="Gutschrift","",IF(G33="","",IF(Besatzung!$B$13="","",IFERROR(IF(I33="Zeitanteilig",(Besatzung!$G$13*(G33-IFERROR(H33,0))+((Besatzung!$B$13&lt;&gt;"")*IF(B33="",1,(IF(Besatzung!$C$13="",Besatzung!$B$5,Besatzung!$C$13)&lt;=B33)*(IF(Besatzung!$D$13="",Besatzung!$B$6,Besatzung!$D$13)&gt;=B33)))*(Besatzung!$F$13="x")*IFERROR(H33,0)/IFERROR(SUMPRODUCT((Besatzung!$B$11:$B$22&lt;&gt;"")*(Besatzung!$F$11:$F$22="x")*(IF(Besatzung!$C$11:$C$22="",Besatzung!$B$5,Besatzung!$C$11:$C$22)&lt;=B33)*(IF(Besatzung!$D$11:$D$22="",Besatzung!$B$6,Besatzung!$D$11:$D$22)&gt;=B33)),1)),IF(I33="An Bord",(((Besatzung!$B$13&lt;&gt;"")*IF(B33="",1,(IF(Besatzung!$C$13="",Besatzung!$B$5,Besatzung!$C$13)&lt;=B33)*(IF(Besatzung!$D$13="",Besatzung!$B$6,Besatzung!$D$13)&gt;=B33)))*((G33-IFERROR(H33,0))/IFERROR(SUMPRODUCT((Besatzung!$B$11:$B$22&lt;&gt;"")*(IF(Besatzung!$C$11:$C$22="",Besatzung!$B$5,Besatzung!$C$11:$C$22)&lt;=B33)*(IF(Besatzung!$D$11:$D$22="",Besatzung!$B$6,Besatzung!$D$11:$D$22)&gt;=B33)),1)+(Besatzung!$F$13="x")*IFERROR(H33,0)/IFERROR(SUMPRODUCT((Besatzung!$B$11:$B$22&lt;&gt;"")*(Besatzung!$F$11:$F$22="x")*(IF(Besatzung!$C$11:$C$22="",Besatzung!$B$5,Besatzung!$C$11:$C$22)&lt;=B33)*(IF(Besatzung!$D$11:$D$22="",Besatzung!$B$6,Besatzung!$D$11:$D$22)&gt;=B33)),1))),IF(I33="Individuell",((K33="x")*((G33-IFERROR(H33,0))/IFERROR(COUNTIF(J33:U33,"x"),1)+(Besatzung!$F$13="x")*IFERROR(H33,0)/IFERROR(SUMPRODUCT((J33:U33="x")*(Besatzung!$F$11:$F$22="x")),1))),(IF(COUNTIF(J33:U33,"x")=0,IF(Besatzung!$B$13&lt;&gt;"",1,0),(K33="x"))*(G33-IFERROR(H33,0))/IFERROR(IF(COUNTIF(J33:U33,"x")=0,COUNTA(Besatzung!$B$11:$B$22),COUNTIF(J33:U33,"x")),1)+IF(COUNTIF(J33:U33,"x")=0,(Besatzung!$F$13="x"),(K33="x")*(Besatzung!$F$13="x"))*IFERROR(H33,0)/IFERROR(IF(COUNTIF(J33:U33,"x")=0,SUMPRODUCT((Besatzung!$B$11:$B$22&lt;&gt;"")*(Besatzung!$F$11:$F$22="x")),SUMPRODUCT((J33:U33="x")*(Besatzung!$F$11:$F$22="x"))),1))))),0))))</f>
        <v/>
      </c>
      <c r="Y33" s="247">
        <f>IF(C33="Gutschrift","",IF(G33="","",IF(Besatzung!$B$14="","",IFERROR(IF(I33="Zeitanteilig",(Besatzung!$G$14*(G33-IFERROR(H33,0))+((Besatzung!$B$14&lt;&gt;"")*IF(B33="",1,(IF(Besatzung!$C$14="",Besatzung!$B$5,Besatzung!$C$14)&lt;=B33)*(IF(Besatzung!$D$14="",Besatzung!$B$6,Besatzung!$D$14)&gt;=B33)))*(Besatzung!$F$14="x")*IFERROR(H33,0)/IFERROR(SUMPRODUCT((Besatzung!$B$11:$B$22&lt;&gt;"")*(Besatzung!$F$11:$F$22="x")*(IF(Besatzung!$C$11:$C$22="",Besatzung!$B$5,Besatzung!$C$11:$C$22)&lt;=B33)*(IF(Besatzung!$D$11:$D$22="",Besatzung!$B$6,Besatzung!$D$11:$D$22)&gt;=B33)),1)),IF(I33="An Bord",(((Besatzung!$B$14&lt;&gt;"")*IF(B33="",1,(IF(Besatzung!$C$14="",Besatzung!$B$5,Besatzung!$C$14)&lt;=B33)*(IF(Besatzung!$D$14="",Besatzung!$B$6,Besatzung!$D$14)&gt;=B33)))*((G33-IFERROR(H33,0))/IFERROR(SUMPRODUCT((Besatzung!$B$11:$B$22&lt;&gt;"")*(IF(Besatzung!$C$11:$C$22="",Besatzung!$B$5,Besatzung!$C$11:$C$22)&lt;=B33)*(IF(Besatzung!$D$11:$D$22="",Besatzung!$B$6,Besatzung!$D$11:$D$22)&gt;=B33)),1)+(Besatzung!$F$14="x")*IFERROR(H33,0)/IFERROR(SUMPRODUCT((Besatzung!$B$11:$B$22&lt;&gt;"")*(Besatzung!$F$11:$F$22="x")*(IF(Besatzung!$C$11:$C$22="",Besatzung!$B$5,Besatzung!$C$11:$C$22)&lt;=B33)*(IF(Besatzung!$D$11:$D$22="",Besatzung!$B$6,Besatzung!$D$11:$D$22)&gt;=B33)),1))),IF(I33="Individuell",((M33="x")*((G33-IFERROR(H33,0))/IFERROR(COUNTIF(J33:U33,"x"),1)+(Besatzung!$F$14="x")*IFERROR(H33,0)/IFERROR(SUMPRODUCT((J33:U33="x")*(Besatzung!$F$11:$F$22="x")),1))),(IF(COUNTIF(J33:U33,"x")=0,IF(Besatzung!$B$14&lt;&gt;"",1,0),(M33="x"))*(G33-IFERROR(H33,0))/IFERROR(IF(COUNTIF(J33:U33,"x")=0,COUNTA(Besatzung!$B$11:$B$22),COUNTIF(J33:U33,"x")),1)+IF(COUNTIF(J33:U33,"x")=0,(Besatzung!$F$14="x"),(M33="x")*(Besatzung!$F$14="x"))*IFERROR(H33,0)/IFERROR(IF(COUNTIF(J33:U33,"x")=0,SUMPRODUCT((Besatzung!$B$11:$B$22&lt;&gt;"")*(Besatzung!$F$11:$F$22="x")),SUMPRODUCT((J33:U33="x")*(Besatzung!$F$11:$F$22="x"))),1))))),0))))</f>
        <v/>
      </c>
      <c r="Z33" s="247">
        <f>IF(C33="Gutschrift","",IF(G33="","",IF(Besatzung!$B$13="","",IFERROR(IF(I33="Zeitanteilig",(Besatzung!$G$15*(G33-IFERROR(H33,0))+((Besatzung!$B$13&lt;&gt;"")*IF(B33="",1,(IF(Besatzung!$C$15="",Besatzung!$B$5,Besatzung!$C$15)&lt;=B33)*(IF(Besatzung!$D$15="",Besatzung!$B$6,Besatzung!$D$15)&gt;=B33)))*(Besatzung!$F$15="x")*IFERROR(H33,0)/IFERROR(SUMPRODUCT((Besatzung!$B$11:$B$22&lt;&gt;"")*(Besatzung!$F$11:$F$22="x")*(IF(Besatzung!$C$11:$C$22="",Besatzung!$B$5,Besatzung!$C$11:$C$22)&lt;=B33)*(IF(Besatzung!$D$11:$D$22="",Besatzung!$B$6,Besatzung!$D$11:$D$22)&gt;=B33)),1)),IF(I33="An Bord",(((Besatzung!$B$13&lt;&gt;"")*IF(B33="",1,(IF(Besatzung!$C$15="",Besatzung!$B$5,Besatzung!$C$15)&lt;=B33)*(IF(Besatzung!$D$15="",Besatzung!$B$6,Besatzung!$D$15)&gt;=B33)))*((G33-IFERROR(H33,0))/IFERROR(SUMPRODUCT((Besatzung!$B$11:$B$22&lt;&gt;"")*(IF(Besatzung!$C$11:$C$22="",Besatzung!$B$5,Besatzung!$C$11:$C$22)&lt;=B33)*(IF(Besatzung!$D$11:$D$22="",Besatzung!$B$6,Besatzung!$D$11:$D$22)&gt;=B33)),1)+(Besatzung!$F$15="x")*IFERROR(H33,0)/IFERROR(SUMPRODUCT((Besatzung!$B$11:$B$22&lt;&gt;"")*(Besatzung!$F$11:$F$22="x")*(IF(Besatzung!$C$11:$C$22="",Besatzung!$B$5,Besatzung!$C$11:$C$22)&lt;=B33)*(IF(Besatzung!$D$11:$D$22="",Besatzung!$B$6,Besatzung!$D$11:$D$22)&gt;=B33)),1))),IF(I33="Individuell",((N33="x")*((G33-IFERROR(H33,0))/IFERROR(COUNTIF(J33:U33,"x"),1)+(Besatzung!$F$15="x")*IFERROR(H33,0)/IFERROR(SUMPRODUCT((J33:U33="x")*(Besatzung!$F$11:$F$22="x")),1))),(IF(COUNTIF(J33:U33,"x")=0,IF(Besatzung!$B$13&lt;&gt;"",1,0),(N33="x"))*(G33-IFERROR(H33,0))/IFERROR(IF(COUNTIF(J33:U33,"x")=0,COUNTA(Besatzung!$B$11:$B$22),COUNTIF(J33:U33,"x")),1)+IF(COUNTIF(J33:U33,"x")=0,(Besatzung!$F$15="x"),(N33="x")*(Besatzung!$F$15="x"))*IFERROR(H33,0)/IFERROR(IF(COUNTIF(J33:U33,"x")=0,SUMPRODUCT((Besatzung!$B$11:$B$22&lt;&gt;"")*(Besatzung!$F$11:$F$22="x")),SUMPRODUCT((J33:U33="x")*(Besatzung!$F$11:$F$22="x"))),1))))),0))))</f>
        <v/>
      </c>
      <c r="AA33" s="247">
        <f>IF(C33="Gutschrift","",IF(G33="","",IF(Besatzung!$B$15="","",IFERROR(IF(I33="Zeitanteilig",(Besatzung!$G$16*(G33-IFERROR(H33,0))+((Besatzung!$B$15&lt;&gt;"")*IF(B33="",1,(IF(Besatzung!$C$16="",Besatzung!$B$5,Besatzung!$C$16)&lt;=B33)*(IF(Besatzung!$D$16="",Besatzung!$B$6,Besatzung!$D$16)&gt;=B33)))*(Besatzung!$F$16="x")*IFERROR(H33,0)/IFERROR(SUMPRODUCT((Besatzung!$B$11:$B$22&lt;&gt;"")*(Besatzung!$F$11:$F$22="x")*(IF(Besatzung!$C$11:$C$22="",Besatzung!$B$5,Besatzung!$C$11:$C$22)&lt;=B33)*(IF(Besatzung!$D$11:$D$22="",Besatzung!$B$6,Besatzung!$D$11:$D$22)&gt;=B33)),1)),IF(I33="An Bord",(((Besatzung!$B$15&lt;&gt;"")*IF(B33="",1,(IF(Besatzung!$C$16="",Besatzung!$B$5,Besatzung!$C$16)&lt;=B33)*(IF(Besatzung!$D$16="",Besatzung!$B$6,Besatzung!$D$16)&gt;=B33)))*((G33-IFERROR(H33,0))/IFERROR(SUMPRODUCT((Besatzung!$B$11:$B$22&lt;&gt;"")*(IF(Besatzung!$C$11:$C$22="",Besatzung!$B$5,Besatzung!$C$11:$C$22)&lt;=B33)*(IF(Besatzung!$D$11:$D$22="",Besatzung!$B$6,Besatzung!$D$11:$D$22)&gt;=B33)),1)+(Besatzung!$F$16="x")*IFERROR(H33,0)/IFERROR(SUMPRODUCT((Besatzung!$B$11:$B$22&lt;&gt;"")*(Besatzung!$F$11:$F$22="x")*(IF(Besatzung!$C$11:$C$22="",Besatzung!$B$5,Besatzung!$C$11:$C$22)&lt;=B33)*(IF(Besatzung!$D$11:$D$22="",Besatzung!$B$6,Besatzung!$D$11:$D$22)&gt;=B33)),1))),IF(I33="Individuell",((O33="x")*((G33-IFERROR(H33,0))/IFERROR(COUNTIF(J33:U33,"x"),1)+(Besatzung!$F$16="x")*IFERROR(H33,0)/IFERROR(SUMPRODUCT((J33:U33="x")*(Besatzung!$F$11:$F$22="x")),1))),(IF(COUNTIF(J33:U33,"x")=0,IF(Besatzung!$B$15&lt;&gt;"",1,0),(O33="x"))*(G33-IFERROR(H33,0))/IFERROR(IF(COUNTIF(J33:U33,"x")=0,COUNTA(Besatzung!$B$11:$B$22),COUNTIF(J33:U33,"x")),1)+IF(COUNTIF(J33:U33,"x")=0,(Besatzung!$F$16="x"),(O33="x")*(Besatzung!$F$16="x"))*IFERROR(H33,0)/IFERROR(IF(COUNTIF(J33:U33,"x")=0,SUMPRODUCT((Besatzung!$B$11:$B$22&lt;&gt;"")*(Besatzung!$F$11:$F$22="x")),SUMPRODUCT((J33:U33="x")*(Besatzung!$F$11:$F$22="x"))),1))))),0))))</f>
        <v/>
      </c>
      <c r="AB33" s="247">
        <f>IF(C33="Gutschrift","",IF(G33="","",IF(Besatzung!$B$17="","",IFERROR(IF(I33="Zeitanteilig",(Besatzung!$G$17*(G33-IFERROR(H33,0))+((Besatzung!$B$17&lt;&gt;"")*IF(B33="",1,(IF(Besatzung!$C$17="",Besatzung!$B$5,Besatzung!$C$17)&lt;=B33)*(IF(Besatzung!$D$17="",Besatzung!$B$6,Besatzung!$D$17)&gt;=B33)))*(Besatzung!$F$17="x")*IFERROR(H33,0)/IFERROR(SUMPRODUCT((Besatzung!$B$11:$B$22&lt;&gt;"")*(Besatzung!$F$11:$F$22="x")*(IF(Besatzung!$C$11:$C$22="",Besatzung!$B$5,Besatzung!$C$11:$C$22)&lt;=B33)*(IF(Besatzung!$D$11:$D$22="",Besatzung!$B$6,Besatzung!$D$11:$D$22)&gt;=B33)),1)),IF(I33="An Bord",(((Besatzung!$B$17&lt;&gt;"")*IF(B33="",1,(IF(Besatzung!$C$17="",Besatzung!$B$5,Besatzung!$C$17)&lt;=B33)*(IF(Besatzung!$D$17="",Besatzung!$B$6,Besatzung!$D$17)&gt;=B33)))*((G33-IFERROR(H33,0))/IFERROR(SUMPRODUCT((Besatzung!$B$11:$B$22&lt;&gt;"")*(IF(Besatzung!$C$11:$C$22="",Besatzung!$B$5,Besatzung!$C$11:$C$22)&lt;=B33)*(IF(Besatzung!$D$11:$D$22="",Besatzung!$B$6,Besatzung!$D$11:$D$22)&gt;=B33)),1)+(Besatzung!$F$17="x")*IFERROR(H33,0)/IFERROR(SUMPRODUCT((Besatzung!$B$11:$B$22&lt;&gt;"")*(Besatzung!$F$11:$F$22="x")*(IF(Besatzung!$C$11:$C$22="",Besatzung!$B$5,Besatzung!$C$11:$C$22)&lt;=B33)*(IF(Besatzung!$D$11:$D$22="",Besatzung!$B$6,Besatzung!$D$11:$D$22)&gt;=B33)),1))),IF(I33="Individuell",((P33="x")*((G33-IFERROR(H33,0))/IFERROR(COUNTIF(J33:U33,"x"),1)+(Besatzung!$F$17="x")*IFERROR(H33,0)/IFERROR(SUMPRODUCT((J33:U33="x")*(Besatzung!$F$11:$F$22="x")),1))),(IF(COUNTIF(J33:U33,"x")=0,IF(Besatzung!$B$17&lt;&gt;"",1,0),(P33="x"))*(G33-IFERROR(H33,0))/IFERROR(IF(COUNTIF(J33:U33,"x")=0,COUNTA(Besatzung!$B$11:$B$22),COUNTIF(J33:U33,"x")),1)+IF(COUNTIF(J33:U33,"x")=0,(Besatzung!$F$17="x"),(P33="x")*(Besatzung!$F$17="x"))*IFERROR(H33,0)/IFERROR(IF(COUNTIF(J33:U33,"x")=0,SUMPRODUCT((Besatzung!$B$11:$B$22&lt;&gt;"")*(Besatzung!$F$11:$F$22="x")),SUMPRODUCT((J33:U33="x")*(Besatzung!$F$11:$F$22="x"))),1))))),0))))</f>
        <v/>
      </c>
      <c r="AC33" s="247">
        <f>IF(C33="Gutschrift","",IF(G33="","",IF(Besatzung!$B$18="","",IFERROR(IF(I33="Zeitanteilig",(Besatzung!$G$18*(G33-IFERROR(H33,0))+((Besatzung!$B$18&lt;&gt;"")*IF(B33="",1,(IF(Besatzung!$C$18="",Besatzung!$B$5,Besatzung!$C$18)&lt;=B33)*(IF(Besatzung!$D$18="",Besatzung!$B$6,Besatzung!$D$18)&gt;=B33)))*(Besatzung!$F$18="x")*IFERROR(H33,0)/IFERROR(SUMPRODUCT((Besatzung!$B$11:$B$22&lt;&gt;"")*(Besatzung!$F$11:$F$22="x")*(IF(Besatzung!$C$11:$C$22="",Besatzung!$B$5,Besatzung!$C$11:$C$22)&lt;=B33)*(IF(Besatzung!$D$11:$D$22="",Besatzung!$B$6,Besatzung!$D$11:$D$22)&gt;=B33)),1)),IF(I33="An Bord",(((Besatzung!$B$18&lt;&gt;"")*IF(B33="",1,(IF(Besatzung!$C$18="",Besatzung!$B$5,Besatzung!$C$18)&lt;=B33)*(IF(Besatzung!$D$18="",Besatzung!$B$6,Besatzung!$D$18)&gt;=B33)))*((G33-IFERROR(H33,0))/IFERROR(SUMPRODUCT((Besatzung!$B$11:$B$22&lt;&gt;"")*(IF(Besatzung!$C$11:$C$22="",Besatzung!$B$5,Besatzung!$C$11:$C$22)&lt;=B33)*(IF(Besatzung!$D$11:$D$22="",Besatzung!$B$6,Besatzung!$D$11:$D$22)&gt;=B33)),1)+(Besatzung!$F$18="x")*IFERROR(H33,0)/IFERROR(SUMPRODUCT((Besatzung!$B$11:$B$22&lt;&gt;"")*(Besatzung!$F$11:$F$22="x")*(IF(Besatzung!$C$11:$C$22="",Besatzung!$B$5,Besatzung!$C$11:$C$22)&lt;=B33)*(IF(Besatzung!$D$11:$D$22="",Besatzung!$B$6,Besatzung!$D$11:$D$22)&gt;=B33)),1))),IF(I33="Individuell",((Q33="x")*((G33-IFERROR(H33,0))/IFERROR(COUNTIF(J33:U33,"x"),1)+(Besatzung!$F$18="x")*IFERROR(H33,0)/IFERROR(SUMPRODUCT((J33:U33="x")*(Besatzung!$F$11:$F$22="x")),1))),(IF(COUNTIF(J33:U33,"x")=0,IF(Besatzung!$B$18&lt;&gt;"",1,0),(Q33="x"))*(G33-IFERROR(H33,0))/IFERROR(IF(COUNTIF(J33:U33,"x")=0,COUNTA(Besatzung!$B$11:$B$22),COUNTIF(J33:U33,"x")),1)+IF(COUNTIF(J33:U33,"x")=0,(Besatzung!$F$18="x"),(Q33="x")*(Besatzung!$F$18="x"))*IFERROR(H33,0)/IFERROR(IF(COUNTIF(J33:U33,"x")=0,SUMPRODUCT((Besatzung!$B$11:$B$22&lt;&gt;"")*(Besatzung!$F$11:$F$22="x")),SUMPRODUCT((J33:U33="x")*(Besatzung!$F$11:$F$22="x"))),1))))),0))))</f>
        <v/>
      </c>
      <c r="AD33" s="247">
        <f>IF(C33="Gutschrift","",IF(G33="","",IF(Besatzung!$B$19="","",IFERROR(IF(I33="Zeitanteilig",(Besatzung!$G$19*(G33-IFERROR(H33,0))+((Besatzung!$B$19&lt;&gt;"")*IF(B33="",1,(IF(Besatzung!$C$19="",Besatzung!$B$5,Besatzung!$C$19)&lt;=B33)*(IF(Besatzung!$D$19="",Besatzung!$B$6,Besatzung!$D$19)&gt;=B33)))*(Besatzung!$F$19="x")*IFERROR(H33,0)/IFERROR(SUMPRODUCT((Besatzung!$B$11:$B$22&lt;&gt;"")*(Besatzung!$F$11:$F$22="x")*(IF(Besatzung!$C$11:$C$22="",Besatzung!$B$5,Besatzung!$C$11:$C$22)&lt;=B33)*(IF(Besatzung!$D$11:$D$22="",Besatzung!$B$6,Besatzung!$D$11:$D$22)&gt;=B33)),1)),IF(I33="An Bord",(((Besatzung!$B$19&lt;&gt;"")*IF(B33="",1,(IF(Besatzung!$C$19="",Besatzung!$B$5,Besatzung!$C$19)&lt;=B33)*(IF(Besatzung!$D$19="",Besatzung!$B$6,Besatzung!$D$19)&gt;=B33)))*((G33-IFERROR(H33,0))/IFERROR(SUMPRODUCT((Besatzung!$B$11:$B$22&lt;&gt;"")*(IF(Besatzung!$C$11:$C$22="",Besatzung!$B$5,Besatzung!$C$11:$C$22)&lt;=B33)*(IF(Besatzung!$D$11:$D$22="",Besatzung!$B$6,Besatzung!$D$11:$D$22)&gt;=B33)),1)+(Besatzung!$F$19="x")*IFERROR(H33,0)/IFERROR(SUMPRODUCT((Besatzung!$B$11:$B$22&lt;&gt;"")*(Besatzung!$F$11:$F$22="x")*(IF(Besatzung!$C$11:$C$22="",Besatzung!$B$5,Besatzung!$C$11:$C$22)&lt;=B33)*(IF(Besatzung!$D$11:$D$22="",Besatzung!$B$6,Besatzung!$D$11:$D$22)&gt;=B33)),1))),IF(I33="Individuell",((R33="x")*((G33-IFERROR(H33,0))/IFERROR(COUNTIF(J33:U33,"x"),1)+(Besatzung!$F$19="x")*IFERROR(H33,0)/IFERROR(SUMPRODUCT((J33:U33="x")*(Besatzung!$F$11:$F$22="x")),1))),(IF(COUNTIF(J33:U33,"x")=0,IF(Besatzung!$B$19&lt;&gt;"",1,0),(R33="x"))*(G33-IFERROR(H33,0))/IFERROR(IF(COUNTIF(J33:U33,"x")=0,COUNTA(Besatzung!$B$11:$B$22),COUNTIF(J33:U33,"x")),1)+IF(COUNTIF(J33:U33,"x")=0,(Besatzung!$F$19="x"),(R33="x")*(Besatzung!$F$19="x"))*IFERROR(H33,0)/IFERROR(IF(COUNTIF(J33:U33,"x")=0,SUMPRODUCT((Besatzung!$B$11:$B$22&lt;&gt;"")*(Besatzung!$F$11:$F$22="x")),SUMPRODUCT((J33:U33="x")*(Besatzung!$F$11:$F$22="x"))),1))))),0))))</f>
        <v/>
      </c>
      <c r="AE33" s="247">
        <f>IF(C33="Gutschrift","",IF(G33="","",IF(Besatzung!$B$20="","",IFERROR(IF(I33="Zeitanteilig",(Besatzung!$G$20*(G33-IFERROR(H33,0))+((Besatzung!$B$20&lt;&gt;"")*IF(B33="",1,(IF(Besatzung!$C$20="",Besatzung!$B$5,Besatzung!$C$20)&lt;=B33)*(IF(Besatzung!$D$20="",Besatzung!$B$6,Besatzung!$D$20)&gt;=B33)))*(Besatzung!$F$20="x")*IFERROR(H33,0)/IFERROR(SUMPRODUCT((Besatzung!$B$11:$B$22&lt;&gt;"")*(Besatzung!$F$11:$F$22="x")*(IF(Besatzung!$C$11:$C$22="",Besatzung!$B$5,Besatzung!$C$11:$C$22)&lt;=B33)*(IF(Besatzung!$D$11:$D$22="",Besatzung!$B$6,Besatzung!$D$11:$D$22)&gt;=B33)),1)),IF(I33="An Bord",(((Besatzung!$B$20&lt;&gt;"")*IF(B33="",1,(IF(Besatzung!$C$20="",Besatzung!$B$5,Besatzung!$C$20)&lt;=B33)*(IF(Besatzung!$D$20="",Besatzung!$B$6,Besatzung!$D$20)&gt;=B33)))*((G33-IFERROR(H33,0))/IFERROR(SUMPRODUCT((Besatzung!$B$11:$B$22&lt;&gt;"")*(IF(Besatzung!$C$11:$C$22="",Besatzung!$B$5,Besatzung!$C$11:$C$22)&lt;=B33)*(IF(Besatzung!$D$11:$D$22="",Besatzung!$B$6,Besatzung!$D$11:$D$22)&gt;=B33)),1)+(Besatzung!$F$20="x")*IFERROR(H33,0)/IFERROR(SUMPRODUCT((Besatzung!$B$11:$B$22&lt;&gt;"")*(Besatzung!$F$11:$F$22="x")*(IF(Besatzung!$C$11:$C$22="",Besatzung!$B$5,Besatzung!$C$11:$C$22)&lt;=B33)*(IF(Besatzung!$D$11:$D$22="",Besatzung!$B$6,Besatzung!$D$11:$D$22)&gt;=B33)),1))),IF(I33="Individuell",((S33="x")*((G33-IFERROR(H33,0))/IFERROR(COUNTIF(J33:U33,"x"),1)+(Besatzung!$F$20="x")*IFERROR(H33,0)/IFERROR(SUMPRODUCT((J33:U33="x")*(Besatzung!$F$11:$F$22="x")),1))),(IF(COUNTIF(J33:U33,"x")=0,IF(Besatzung!$B$20&lt;&gt;"",1,0),(S33="x"))*(G33-IFERROR(H33,0))/IFERROR(IF(COUNTIF(J33:U33,"x")=0,COUNTA(Besatzung!$B$11:$B$22),COUNTIF(J33:U33,"x")),1)+IF(COUNTIF(J33:U33,"x")=0,(Besatzung!$F$20="x"),(S33="x")*(Besatzung!$F$20="x"))*IFERROR(H33,0)/IFERROR(IF(COUNTIF(J33:U33,"x")=0,SUMPRODUCT((Besatzung!$B$11:$B$22&lt;&gt;"")*(Besatzung!$F$11:$F$22="x")),SUMPRODUCT((J33:U33="x")*(Besatzung!$F$11:$F$22="x"))),1))))),0))))</f>
        <v/>
      </c>
      <c r="AF33" s="247">
        <f>IF(C33="Gutschrift","",IF(G33="","",IF(Besatzung!$B$21="","",IFERROR(IF(I33="Zeitanteilig",(Besatzung!$G$21*(G33-IFERROR(H33,0))+((Besatzung!$B$21&lt;&gt;"")*IF(B33="",1,(IF(Besatzung!$C$21="",Besatzung!$B$5,Besatzung!$C$21)&lt;=B33)*(IF(Besatzung!$D$21="",Besatzung!$B$6,Besatzung!$D$21)&gt;=B33)))*(Besatzung!$F$21="x")*IFERROR(H33,0)/IFERROR(SUMPRODUCT((Besatzung!$B$11:$B$22&lt;&gt;"")*(Besatzung!$F$11:$F$22="x")*(IF(Besatzung!$C$11:$C$22="",Besatzung!$B$5,Besatzung!$C$11:$C$22)&lt;=B33)*(IF(Besatzung!$D$11:$D$22="",Besatzung!$B$6,Besatzung!$D$11:$D$22)&gt;=B33)),1)),IF(I33="An Bord",(((Besatzung!$B$21&lt;&gt;"")*IF(B33="",1,(IF(Besatzung!$C$21="",Besatzung!$B$5,Besatzung!$C$21)&lt;=B33)*(IF(Besatzung!$D$21="",Besatzung!$B$6,Besatzung!$D$21)&gt;=B33)))*((G33-IFERROR(H33,0))/IFERROR(SUMPRODUCT((Besatzung!$B$11:$B$22&lt;&gt;"")*(IF(Besatzung!$C$11:$C$22="",Besatzung!$B$5,Besatzung!$C$11:$C$22)&lt;=B33)*(IF(Besatzung!$D$11:$D$22="",Besatzung!$B$6,Besatzung!$D$11:$D$22)&gt;=B33)),1)+(Besatzung!$F$21="x")*IFERROR(H33,0)/IFERROR(SUMPRODUCT((Besatzung!$B$11:$B$22&lt;&gt;"")*(Besatzung!$F$11:$F$22="x")*(IF(Besatzung!$C$11:$C$22="",Besatzung!$B$5,Besatzung!$C$11:$C$22)&lt;=B33)*(IF(Besatzung!$D$11:$D$22="",Besatzung!$B$6,Besatzung!$D$11:$D$22)&gt;=B33)),1))),IF(I33="Individuell",((T33="x")*((G33-IFERROR(H33,0))/IFERROR(COUNTIF(J33:U33,"x"),1)+(Besatzung!$F$21="x")*IFERROR(H33,0)/IFERROR(SUMPRODUCT((J33:U33="x")*(Besatzung!$F$11:$F$22="x")),1))),(IF(COUNTIF(J33:U33,"x")=0,IF(Besatzung!$B$21&lt;&gt;"",1,0),(T33="x"))*(G33-IFERROR(H33,0))/IFERROR(IF(COUNTIF(J33:U33,"x")=0,COUNTA(Besatzung!$B$11:$B$22),COUNTIF(J33:U33,"x")),1)+IF(COUNTIF(J33:U33,"x")=0,(Besatzung!$F$21="x"),(T33="x")*(Besatzung!$F$21="x"))*IFERROR(H33,0)/IFERROR(IF(COUNTIF(J33:U33,"x")=0,SUMPRODUCT((Besatzung!$B$11:$B$22&lt;&gt;"")*(Besatzung!$F$11:$F$22="x")),SUMPRODUCT((J33:U33="x")*(Besatzung!$F$11:$F$22="x"))),1))))),0))))</f>
        <v/>
      </c>
      <c r="AG33" s="247">
        <f>IF(C33="Gutschrift","",IF(G33="","",IF(Besatzung!$B$22="","",IFERROR(IF(I33="Zeitanteilig",(Besatzung!$G$22*(G33-IFERROR(H33,0))+((Besatzung!$B$22&lt;&gt;"")*IF(B33="",1,(IF(Besatzung!$C$22="",Besatzung!$B$5,Besatzung!$C$22)&lt;=B33)*(IF(Besatzung!$D$22="",Besatzung!$B$6,Besatzung!$D$22)&gt;=B33)))*(Besatzung!$F$22="x")*IFERROR(H33,0)/IFERROR(SUMPRODUCT((Besatzung!$B$11:$B$22&lt;&gt;"")*(Besatzung!$F$11:$F$22="x")*(IF(Besatzung!$C$11:$C$22="",Besatzung!$B$5,Besatzung!$C$11:$C$22)&lt;=B33)*(IF(Besatzung!$D$11:$D$22="",Besatzung!$B$6,Besatzung!$D$11:$D$22)&gt;=B33)),1)),IF(I33="An Bord",(((Besatzung!$B$22&lt;&gt;"")*IF(B33="",1,(IF(Besatzung!$C$22="",Besatzung!$B$5,Besatzung!$C$22)&lt;=B33)*(IF(Besatzung!$D$22="",Besatzung!$B$6,Besatzung!$D$22)&gt;=B33)))*((G33-IFERROR(H33,0))/IFERROR(SUMPRODUCT((Besatzung!$B$11:$B$22&lt;&gt;"")*(IF(Besatzung!$C$11:$C$22="",Besatzung!$B$5,Besatzung!$C$11:$C$22)&lt;=B33)*(IF(Besatzung!$D$11:$D$22="",Besatzung!$B$6,Besatzung!$D$11:$D$22)&gt;=B33)),1)+(Besatzung!$F$22="x")*IFERROR(H33,0)/IFERROR(SUMPRODUCT((Besatzung!$B$11:$B$22&lt;&gt;"")*(Besatzung!$F$11:$F$22="x")*(IF(Besatzung!$C$11:$C$22="",Besatzung!$B$5,Besatzung!$C$11:$C$22)&lt;=B33)*(IF(Besatzung!$D$11:$D$22="",Besatzung!$B$6,Besatzung!$D$11:$D$22)&gt;=B33)),1))),IF(I33="Individuell",((U33="x")*((G33-IFERROR(H33,0))/IFERROR(COUNTIF(J33:U33,"x"),1)+(Besatzung!$F$22="x")*IFERROR(H33,0)/IFERROR(SUMPRODUCT((J33:U33="x")*(Besatzung!$F$11:$F$22="x")),1))),(IF(COUNTIF(J33:U33,"x")=0,IF(Besatzung!$B$22&lt;&gt;"",1,0),(U33="x"))*(G33-IFERROR(H33,0))/IFERROR(IF(COUNTIF(J33:U33,"x")=0,COUNTA(Besatzung!$B$11:$B$22),COUNTIF(J33:U33,"x")),1)+IF(COUNTIF(J33:U33,"x")=0,(Besatzung!$F$22="x"),(U33="x")*(Besatzung!$F$22="x"))*IFERROR(H33,0)/IFERROR(IF(COUNTIF(J33:U33,"x")=0,SUMPRODUCT((Besatzung!$B$11:$B$22&lt;&gt;"")*(Besatzung!$F$11:$F$22="x")),SUMPRODUCT((J33:U33="x")*(Besatzung!$F$11:$F$22="x"))),1))))),0))))</f>
        <v/>
      </c>
      <c r="AH33" s="248" t="n"/>
      <c r="AI33" s="248" t="n"/>
    </row>
    <row r="34" ht="21.75" customHeight="1" s="154">
      <c r="A34" s="238">
        <f>IF(AND(D34="",C34=""),"",31)</f>
        <v/>
      </c>
      <c r="B34" s="199" t="n"/>
      <c r="C34" s="239" t="n"/>
      <c r="D34" s="240" t="n"/>
      <c r="E34" s="241" t="n"/>
      <c r="F34" s="242" t="n"/>
      <c r="G34" s="243" t="n"/>
      <c r="H34" s="244" t="n"/>
      <c r="I34" s="245" t="n"/>
      <c r="J34" s="246" t="n"/>
      <c r="K34" s="246" t="n"/>
      <c r="L34" s="246" t="n"/>
      <c r="M34" s="246" t="n"/>
      <c r="N34" s="246" t="n"/>
      <c r="O34" s="246" t="n"/>
      <c r="P34" s="246" t="n"/>
      <c r="Q34" s="246" t="n"/>
      <c r="R34" s="246" t="n"/>
      <c r="S34" s="246" t="n"/>
      <c r="T34" s="246" t="n"/>
      <c r="U34" s="246" t="n"/>
      <c r="V34" s="247">
        <f>IF(C34="Gutschrift","",IF(G34="","",IF(Besatzung!$B$11="","",IFERROR(IF(I34="Zeitanteilig",(Besatzung!$G$11*(G34-IFERROR(H34,0))+((Besatzung!$B$11&lt;&gt;"")*IF(B34="",1,(IF(Besatzung!$C$11="",Besatzung!$B$5,Besatzung!$C$11)&lt;=B34)*(IF(Besatzung!$D$11="",Besatzung!$B$6,Besatzung!$D$11)&gt;=B34)))*(Besatzung!$F$11="x")*IFERROR(H34,0)/IFERROR(SUMPRODUCT((Besatzung!$B$11:$B$22&lt;&gt;"")*(Besatzung!$F$11:$F$22="x")*(IF(Besatzung!$C$11:$C$22="",Besatzung!$B$5,Besatzung!$C$11:$C$22)&lt;=B34)*(IF(Besatzung!$D$11:$D$22="",Besatzung!$B$6,Besatzung!$D$11:$D$22)&gt;=B34)),1)),IF(I34="An Bord",(((Besatzung!$B$11&lt;&gt;"")*IF(B34="",1,(IF(Besatzung!$C$11="",Besatzung!$B$5,Besatzung!$C$11)&lt;=B34)*(IF(Besatzung!$D$11="",Besatzung!$B$6,Besatzung!$D$11)&gt;=B34)))*((G34-IFERROR(H34,0))/IFERROR(SUMPRODUCT((Besatzung!$B$11:$B$22&lt;&gt;"")*(IF(Besatzung!$C$11:$C$22="",Besatzung!$B$5,Besatzung!$C$11:$C$22)&lt;=B34)*(IF(Besatzung!$D$11:$D$22="",Besatzung!$B$6,Besatzung!$D$11:$D$22)&gt;=B34)),1)+(Besatzung!$F$11="x")*IFERROR(H34,0)/IFERROR(SUMPRODUCT((Besatzung!$B$11:$B$22&lt;&gt;"")*(Besatzung!$F$11:$F$22="x")*(IF(Besatzung!$C$11:$C$22="",Besatzung!$B$5,Besatzung!$C$11:$C$22)&lt;=B34)*(IF(Besatzung!$D$11:$D$22="",Besatzung!$B$6,Besatzung!$D$11:$D$22)&gt;=B34)),1))),IF(I34="Individuell",((J34="x")*((G34-IFERROR(H34,0))/IFERROR(COUNTIF(J34:U34,"x"),1)+(Besatzung!$F$11="x")*IFERROR(H34,0)/IFERROR(SUMPRODUCT((J34:U34="x")*(Besatzung!$F$11:$F$22="x")),1))),(IF(COUNTIF(J34:U34,"x")=0,IF(Besatzung!$B$11&lt;&gt;"",1,0),(J34="x"))*(G34-IFERROR(H34,0))/IFERROR(IF(COUNTIF(J34:U34,"x")=0,COUNTA(Besatzung!$B$11:$B$22),COUNTIF(J34:U34,"x")),1)+IF(COUNTIF(J34:U34,"x")=0,(Besatzung!$F$11="x"),(J34="x")*(Besatzung!$F$11="x"))*IFERROR(H34,0)/IFERROR(IF(COUNTIF(J34:U34,"x")=0,SUMPRODUCT((Besatzung!$B$11:$B$22&lt;&gt;"")*(Besatzung!$F$11:$F$22="x")),SUMPRODUCT((J34:U34="x")*(Besatzung!$F$11:$F$22="x"))),1))))),0))))</f>
        <v/>
      </c>
      <c r="W34" s="247">
        <f>IF(C34="Gutschrift","",IF(G34="","",IF(Besatzung!$B$12="","",IFERROR(IF(I34="Zeitanteilig",(Besatzung!$G$12*(G34-IFERROR(H34,0))+((Besatzung!$B$12&lt;&gt;"")*IF(B34="",1,(IF(Besatzung!$C$12="",Besatzung!$B$5,Besatzung!$C$12)&lt;=B34)*(IF(Besatzung!$D$12="",Besatzung!$B$6,Besatzung!$D$12)&gt;=B34)))*(Besatzung!$F$12="x")*IFERROR(H34,0)/IFERROR(SUMPRODUCT((Besatzung!$B$11:$B$22&lt;&gt;"")*(Besatzung!$F$11:$F$22="x")*(IF(Besatzung!$C$11:$C$22="",Besatzung!$B$5,Besatzung!$C$11:$C$22)&lt;=B34)*(IF(Besatzung!$D$11:$D$22="",Besatzung!$B$6,Besatzung!$D$11:$D$22)&gt;=B34)),1)),IF(I34="An Bord",(((Besatzung!$B$12&lt;&gt;"")*IF(B34="",1,(IF(Besatzung!$C$12="",Besatzung!$B$5,Besatzung!$C$12)&lt;=B34)*(IF(Besatzung!$D$12="",Besatzung!$B$6,Besatzung!$D$12)&gt;=B34)))*((G34-IFERROR(H34,0))/IFERROR(SUMPRODUCT((Besatzung!$B$11:$B$22&lt;&gt;"")*(IF(Besatzung!$C$11:$C$22="",Besatzung!$B$5,Besatzung!$C$11:$C$22)&lt;=B34)*(IF(Besatzung!$D$11:$D$22="",Besatzung!$B$6,Besatzung!$D$11:$D$22)&gt;=B34)),1)+(Besatzung!$F$12="x")*IFERROR(H34,0)/IFERROR(SUMPRODUCT((Besatzung!$B$11:$B$22&lt;&gt;"")*(Besatzung!$F$11:$F$22="x")*(IF(Besatzung!$C$11:$C$22="",Besatzung!$B$5,Besatzung!$C$11:$C$22)&lt;=B34)*(IF(Besatzung!$D$11:$D$22="",Besatzung!$B$6,Besatzung!$D$11:$D$22)&gt;=B34)),1))),IF(I34="Individuell",((K34="x")*((G34-IFERROR(H34,0))/IFERROR(COUNTIF(J34:U34,"x"),1)+(Besatzung!$F$12="x")*IFERROR(H34,0)/IFERROR(SUMPRODUCT((J34:U34="x")*(Besatzung!$F$11:$F$22="x")),1))),(IF(COUNTIF(J34:U34,"x")=0,IF(Besatzung!$B$12&lt;&gt;"",1,0),(K34="x"))*(G34-IFERROR(H34,0))/IFERROR(IF(COUNTIF(J34:U34,"x")=0,COUNTA(Besatzung!$B$11:$B$22),COUNTIF(J34:U34,"x")),1)+IF(COUNTIF(J34:U34,"x")=0,(Besatzung!$F$12="x"),(K34="x")*(Besatzung!$F$12="x"))*IFERROR(H34,0)/IFERROR(IF(COUNTIF(J34:U34,"x")=0,SUMPRODUCT((Besatzung!$B$11:$B$22&lt;&gt;"")*(Besatzung!$F$11:$F$22="x")),SUMPRODUCT((J34:U34="x")*(Besatzung!$F$11:$F$22="x"))),1))))),0))))</f>
        <v/>
      </c>
      <c r="X34" s="247">
        <f>IF(C34="Gutschrift","",IF(G34="","",IF(Besatzung!$B$13="","",IFERROR(IF(I34="Zeitanteilig",(Besatzung!$G$13*(G34-IFERROR(H34,0))+((Besatzung!$B$13&lt;&gt;"")*IF(B34="",1,(IF(Besatzung!$C$13="",Besatzung!$B$5,Besatzung!$C$13)&lt;=B34)*(IF(Besatzung!$D$13="",Besatzung!$B$6,Besatzung!$D$13)&gt;=B34)))*(Besatzung!$F$13="x")*IFERROR(H34,0)/IFERROR(SUMPRODUCT((Besatzung!$B$11:$B$22&lt;&gt;"")*(Besatzung!$F$11:$F$22="x")*(IF(Besatzung!$C$11:$C$22="",Besatzung!$B$5,Besatzung!$C$11:$C$22)&lt;=B34)*(IF(Besatzung!$D$11:$D$22="",Besatzung!$B$6,Besatzung!$D$11:$D$22)&gt;=B34)),1)),IF(I34="An Bord",(((Besatzung!$B$13&lt;&gt;"")*IF(B34="",1,(IF(Besatzung!$C$13="",Besatzung!$B$5,Besatzung!$C$13)&lt;=B34)*(IF(Besatzung!$D$13="",Besatzung!$B$6,Besatzung!$D$13)&gt;=B34)))*((G34-IFERROR(H34,0))/IFERROR(SUMPRODUCT((Besatzung!$B$11:$B$22&lt;&gt;"")*(IF(Besatzung!$C$11:$C$22="",Besatzung!$B$5,Besatzung!$C$11:$C$22)&lt;=B34)*(IF(Besatzung!$D$11:$D$22="",Besatzung!$B$6,Besatzung!$D$11:$D$22)&gt;=B34)),1)+(Besatzung!$F$13="x")*IFERROR(H34,0)/IFERROR(SUMPRODUCT((Besatzung!$B$11:$B$22&lt;&gt;"")*(Besatzung!$F$11:$F$22="x")*(IF(Besatzung!$C$11:$C$22="",Besatzung!$B$5,Besatzung!$C$11:$C$22)&lt;=B34)*(IF(Besatzung!$D$11:$D$22="",Besatzung!$B$6,Besatzung!$D$11:$D$22)&gt;=B34)),1))),IF(I34="Individuell",((K34="x")*((G34-IFERROR(H34,0))/IFERROR(COUNTIF(J34:U34,"x"),1)+(Besatzung!$F$13="x")*IFERROR(H34,0)/IFERROR(SUMPRODUCT((J34:U34="x")*(Besatzung!$F$11:$F$22="x")),1))),(IF(COUNTIF(J34:U34,"x")=0,IF(Besatzung!$B$13&lt;&gt;"",1,0),(K34="x"))*(G34-IFERROR(H34,0))/IFERROR(IF(COUNTIF(J34:U34,"x")=0,COUNTA(Besatzung!$B$11:$B$22),COUNTIF(J34:U34,"x")),1)+IF(COUNTIF(J34:U34,"x")=0,(Besatzung!$F$13="x"),(K34="x")*(Besatzung!$F$13="x"))*IFERROR(H34,0)/IFERROR(IF(COUNTIF(J34:U34,"x")=0,SUMPRODUCT((Besatzung!$B$11:$B$22&lt;&gt;"")*(Besatzung!$F$11:$F$22="x")),SUMPRODUCT((J34:U34="x")*(Besatzung!$F$11:$F$22="x"))),1))))),0))))</f>
        <v/>
      </c>
      <c r="Y34" s="247">
        <f>IF(C34="Gutschrift","",IF(G34="","",IF(Besatzung!$B$14="","",IFERROR(IF(I34="Zeitanteilig",(Besatzung!$G$14*(G34-IFERROR(H34,0))+((Besatzung!$B$14&lt;&gt;"")*IF(B34="",1,(IF(Besatzung!$C$14="",Besatzung!$B$5,Besatzung!$C$14)&lt;=B34)*(IF(Besatzung!$D$14="",Besatzung!$B$6,Besatzung!$D$14)&gt;=B34)))*(Besatzung!$F$14="x")*IFERROR(H34,0)/IFERROR(SUMPRODUCT((Besatzung!$B$11:$B$22&lt;&gt;"")*(Besatzung!$F$11:$F$22="x")*(IF(Besatzung!$C$11:$C$22="",Besatzung!$B$5,Besatzung!$C$11:$C$22)&lt;=B34)*(IF(Besatzung!$D$11:$D$22="",Besatzung!$B$6,Besatzung!$D$11:$D$22)&gt;=B34)),1)),IF(I34="An Bord",(((Besatzung!$B$14&lt;&gt;"")*IF(B34="",1,(IF(Besatzung!$C$14="",Besatzung!$B$5,Besatzung!$C$14)&lt;=B34)*(IF(Besatzung!$D$14="",Besatzung!$B$6,Besatzung!$D$14)&gt;=B34)))*((G34-IFERROR(H34,0))/IFERROR(SUMPRODUCT((Besatzung!$B$11:$B$22&lt;&gt;"")*(IF(Besatzung!$C$11:$C$22="",Besatzung!$B$5,Besatzung!$C$11:$C$22)&lt;=B34)*(IF(Besatzung!$D$11:$D$22="",Besatzung!$B$6,Besatzung!$D$11:$D$22)&gt;=B34)),1)+(Besatzung!$F$14="x")*IFERROR(H34,0)/IFERROR(SUMPRODUCT((Besatzung!$B$11:$B$22&lt;&gt;"")*(Besatzung!$F$11:$F$22="x")*(IF(Besatzung!$C$11:$C$22="",Besatzung!$B$5,Besatzung!$C$11:$C$22)&lt;=B34)*(IF(Besatzung!$D$11:$D$22="",Besatzung!$B$6,Besatzung!$D$11:$D$22)&gt;=B34)),1))),IF(I34="Individuell",((M34="x")*((G34-IFERROR(H34,0))/IFERROR(COUNTIF(J34:U34,"x"),1)+(Besatzung!$F$14="x")*IFERROR(H34,0)/IFERROR(SUMPRODUCT((J34:U34="x")*(Besatzung!$F$11:$F$22="x")),1))),(IF(COUNTIF(J34:U34,"x")=0,IF(Besatzung!$B$14&lt;&gt;"",1,0),(M34="x"))*(G34-IFERROR(H34,0))/IFERROR(IF(COUNTIF(J34:U34,"x")=0,COUNTA(Besatzung!$B$11:$B$22),COUNTIF(J34:U34,"x")),1)+IF(COUNTIF(J34:U34,"x")=0,(Besatzung!$F$14="x"),(M34="x")*(Besatzung!$F$14="x"))*IFERROR(H34,0)/IFERROR(IF(COUNTIF(J34:U34,"x")=0,SUMPRODUCT((Besatzung!$B$11:$B$22&lt;&gt;"")*(Besatzung!$F$11:$F$22="x")),SUMPRODUCT((J34:U34="x")*(Besatzung!$F$11:$F$22="x"))),1))))),0))))</f>
        <v/>
      </c>
      <c r="Z34" s="247">
        <f>IF(C34="Gutschrift","",IF(G34="","",IF(Besatzung!$B$13="","",IFERROR(IF(I34="Zeitanteilig",(Besatzung!$G$15*(G34-IFERROR(H34,0))+((Besatzung!$B$13&lt;&gt;"")*IF(B34="",1,(IF(Besatzung!$C$15="",Besatzung!$B$5,Besatzung!$C$15)&lt;=B34)*(IF(Besatzung!$D$15="",Besatzung!$B$6,Besatzung!$D$15)&gt;=B34)))*(Besatzung!$F$15="x")*IFERROR(H34,0)/IFERROR(SUMPRODUCT((Besatzung!$B$11:$B$22&lt;&gt;"")*(Besatzung!$F$11:$F$22="x")*(IF(Besatzung!$C$11:$C$22="",Besatzung!$B$5,Besatzung!$C$11:$C$22)&lt;=B34)*(IF(Besatzung!$D$11:$D$22="",Besatzung!$B$6,Besatzung!$D$11:$D$22)&gt;=B34)),1)),IF(I34="An Bord",(((Besatzung!$B$13&lt;&gt;"")*IF(B34="",1,(IF(Besatzung!$C$15="",Besatzung!$B$5,Besatzung!$C$15)&lt;=B34)*(IF(Besatzung!$D$15="",Besatzung!$B$6,Besatzung!$D$15)&gt;=B34)))*((G34-IFERROR(H34,0))/IFERROR(SUMPRODUCT((Besatzung!$B$11:$B$22&lt;&gt;"")*(IF(Besatzung!$C$11:$C$22="",Besatzung!$B$5,Besatzung!$C$11:$C$22)&lt;=B34)*(IF(Besatzung!$D$11:$D$22="",Besatzung!$B$6,Besatzung!$D$11:$D$22)&gt;=B34)),1)+(Besatzung!$F$15="x")*IFERROR(H34,0)/IFERROR(SUMPRODUCT((Besatzung!$B$11:$B$22&lt;&gt;"")*(Besatzung!$F$11:$F$22="x")*(IF(Besatzung!$C$11:$C$22="",Besatzung!$B$5,Besatzung!$C$11:$C$22)&lt;=B34)*(IF(Besatzung!$D$11:$D$22="",Besatzung!$B$6,Besatzung!$D$11:$D$22)&gt;=B34)),1))),IF(I34="Individuell",((N34="x")*((G34-IFERROR(H34,0))/IFERROR(COUNTIF(J34:U34,"x"),1)+(Besatzung!$F$15="x")*IFERROR(H34,0)/IFERROR(SUMPRODUCT((J34:U34="x")*(Besatzung!$F$11:$F$22="x")),1))),(IF(COUNTIF(J34:U34,"x")=0,IF(Besatzung!$B$13&lt;&gt;"",1,0),(N34="x"))*(G34-IFERROR(H34,0))/IFERROR(IF(COUNTIF(J34:U34,"x")=0,COUNTA(Besatzung!$B$11:$B$22),COUNTIF(J34:U34,"x")),1)+IF(COUNTIF(J34:U34,"x")=0,(Besatzung!$F$15="x"),(N34="x")*(Besatzung!$F$15="x"))*IFERROR(H34,0)/IFERROR(IF(COUNTIF(J34:U34,"x")=0,SUMPRODUCT((Besatzung!$B$11:$B$22&lt;&gt;"")*(Besatzung!$F$11:$F$22="x")),SUMPRODUCT((J34:U34="x")*(Besatzung!$F$11:$F$22="x"))),1))))),0))))</f>
        <v/>
      </c>
      <c r="AA34" s="247">
        <f>IF(C34="Gutschrift","",IF(G34="","",IF(Besatzung!$B$15="","",IFERROR(IF(I34="Zeitanteilig",(Besatzung!$G$16*(G34-IFERROR(H34,0))+((Besatzung!$B$15&lt;&gt;"")*IF(B34="",1,(IF(Besatzung!$C$16="",Besatzung!$B$5,Besatzung!$C$16)&lt;=B34)*(IF(Besatzung!$D$16="",Besatzung!$B$6,Besatzung!$D$16)&gt;=B34)))*(Besatzung!$F$16="x")*IFERROR(H34,0)/IFERROR(SUMPRODUCT((Besatzung!$B$11:$B$22&lt;&gt;"")*(Besatzung!$F$11:$F$22="x")*(IF(Besatzung!$C$11:$C$22="",Besatzung!$B$5,Besatzung!$C$11:$C$22)&lt;=B34)*(IF(Besatzung!$D$11:$D$22="",Besatzung!$B$6,Besatzung!$D$11:$D$22)&gt;=B34)),1)),IF(I34="An Bord",(((Besatzung!$B$15&lt;&gt;"")*IF(B34="",1,(IF(Besatzung!$C$16="",Besatzung!$B$5,Besatzung!$C$16)&lt;=B34)*(IF(Besatzung!$D$16="",Besatzung!$B$6,Besatzung!$D$16)&gt;=B34)))*((G34-IFERROR(H34,0))/IFERROR(SUMPRODUCT((Besatzung!$B$11:$B$22&lt;&gt;"")*(IF(Besatzung!$C$11:$C$22="",Besatzung!$B$5,Besatzung!$C$11:$C$22)&lt;=B34)*(IF(Besatzung!$D$11:$D$22="",Besatzung!$B$6,Besatzung!$D$11:$D$22)&gt;=B34)),1)+(Besatzung!$F$16="x")*IFERROR(H34,0)/IFERROR(SUMPRODUCT((Besatzung!$B$11:$B$22&lt;&gt;"")*(Besatzung!$F$11:$F$22="x")*(IF(Besatzung!$C$11:$C$22="",Besatzung!$B$5,Besatzung!$C$11:$C$22)&lt;=B34)*(IF(Besatzung!$D$11:$D$22="",Besatzung!$B$6,Besatzung!$D$11:$D$22)&gt;=B34)),1))),IF(I34="Individuell",((O34="x")*((G34-IFERROR(H34,0))/IFERROR(COUNTIF(J34:U34,"x"),1)+(Besatzung!$F$16="x")*IFERROR(H34,0)/IFERROR(SUMPRODUCT((J34:U34="x")*(Besatzung!$F$11:$F$22="x")),1))),(IF(COUNTIF(J34:U34,"x")=0,IF(Besatzung!$B$15&lt;&gt;"",1,0),(O34="x"))*(G34-IFERROR(H34,0))/IFERROR(IF(COUNTIF(J34:U34,"x")=0,COUNTA(Besatzung!$B$11:$B$22),COUNTIF(J34:U34,"x")),1)+IF(COUNTIF(J34:U34,"x")=0,(Besatzung!$F$16="x"),(O34="x")*(Besatzung!$F$16="x"))*IFERROR(H34,0)/IFERROR(IF(COUNTIF(J34:U34,"x")=0,SUMPRODUCT((Besatzung!$B$11:$B$22&lt;&gt;"")*(Besatzung!$F$11:$F$22="x")),SUMPRODUCT((J34:U34="x")*(Besatzung!$F$11:$F$22="x"))),1))))),0))))</f>
        <v/>
      </c>
      <c r="AB34" s="247">
        <f>IF(C34="Gutschrift","",IF(G34="","",IF(Besatzung!$B$17="","",IFERROR(IF(I34="Zeitanteilig",(Besatzung!$G$17*(G34-IFERROR(H34,0))+((Besatzung!$B$17&lt;&gt;"")*IF(B34="",1,(IF(Besatzung!$C$17="",Besatzung!$B$5,Besatzung!$C$17)&lt;=B34)*(IF(Besatzung!$D$17="",Besatzung!$B$6,Besatzung!$D$17)&gt;=B34)))*(Besatzung!$F$17="x")*IFERROR(H34,0)/IFERROR(SUMPRODUCT((Besatzung!$B$11:$B$22&lt;&gt;"")*(Besatzung!$F$11:$F$22="x")*(IF(Besatzung!$C$11:$C$22="",Besatzung!$B$5,Besatzung!$C$11:$C$22)&lt;=B34)*(IF(Besatzung!$D$11:$D$22="",Besatzung!$B$6,Besatzung!$D$11:$D$22)&gt;=B34)),1)),IF(I34="An Bord",(((Besatzung!$B$17&lt;&gt;"")*IF(B34="",1,(IF(Besatzung!$C$17="",Besatzung!$B$5,Besatzung!$C$17)&lt;=B34)*(IF(Besatzung!$D$17="",Besatzung!$B$6,Besatzung!$D$17)&gt;=B34)))*((G34-IFERROR(H34,0))/IFERROR(SUMPRODUCT((Besatzung!$B$11:$B$22&lt;&gt;"")*(IF(Besatzung!$C$11:$C$22="",Besatzung!$B$5,Besatzung!$C$11:$C$22)&lt;=B34)*(IF(Besatzung!$D$11:$D$22="",Besatzung!$B$6,Besatzung!$D$11:$D$22)&gt;=B34)),1)+(Besatzung!$F$17="x")*IFERROR(H34,0)/IFERROR(SUMPRODUCT((Besatzung!$B$11:$B$22&lt;&gt;"")*(Besatzung!$F$11:$F$22="x")*(IF(Besatzung!$C$11:$C$22="",Besatzung!$B$5,Besatzung!$C$11:$C$22)&lt;=B34)*(IF(Besatzung!$D$11:$D$22="",Besatzung!$B$6,Besatzung!$D$11:$D$22)&gt;=B34)),1))),IF(I34="Individuell",((P34="x")*((G34-IFERROR(H34,0))/IFERROR(COUNTIF(J34:U34,"x"),1)+(Besatzung!$F$17="x")*IFERROR(H34,0)/IFERROR(SUMPRODUCT((J34:U34="x")*(Besatzung!$F$11:$F$22="x")),1))),(IF(COUNTIF(J34:U34,"x")=0,IF(Besatzung!$B$17&lt;&gt;"",1,0),(P34="x"))*(G34-IFERROR(H34,0))/IFERROR(IF(COUNTIF(J34:U34,"x")=0,COUNTA(Besatzung!$B$11:$B$22),COUNTIF(J34:U34,"x")),1)+IF(COUNTIF(J34:U34,"x")=0,(Besatzung!$F$17="x"),(P34="x")*(Besatzung!$F$17="x"))*IFERROR(H34,0)/IFERROR(IF(COUNTIF(J34:U34,"x")=0,SUMPRODUCT((Besatzung!$B$11:$B$22&lt;&gt;"")*(Besatzung!$F$11:$F$22="x")),SUMPRODUCT((J34:U34="x")*(Besatzung!$F$11:$F$22="x"))),1))))),0))))</f>
        <v/>
      </c>
      <c r="AC34" s="247">
        <f>IF(C34="Gutschrift","",IF(G34="","",IF(Besatzung!$B$18="","",IFERROR(IF(I34="Zeitanteilig",(Besatzung!$G$18*(G34-IFERROR(H34,0))+((Besatzung!$B$18&lt;&gt;"")*IF(B34="",1,(IF(Besatzung!$C$18="",Besatzung!$B$5,Besatzung!$C$18)&lt;=B34)*(IF(Besatzung!$D$18="",Besatzung!$B$6,Besatzung!$D$18)&gt;=B34)))*(Besatzung!$F$18="x")*IFERROR(H34,0)/IFERROR(SUMPRODUCT((Besatzung!$B$11:$B$22&lt;&gt;"")*(Besatzung!$F$11:$F$22="x")*(IF(Besatzung!$C$11:$C$22="",Besatzung!$B$5,Besatzung!$C$11:$C$22)&lt;=B34)*(IF(Besatzung!$D$11:$D$22="",Besatzung!$B$6,Besatzung!$D$11:$D$22)&gt;=B34)),1)),IF(I34="An Bord",(((Besatzung!$B$18&lt;&gt;"")*IF(B34="",1,(IF(Besatzung!$C$18="",Besatzung!$B$5,Besatzung!$C$18)&lt;=B34)*(IF(Besatzung!$D$18="",Besatzung!$B$6,Besatzung!$D$18)&gt;=B34)))*((G34-IFERROR(H34,0))/IFERROR(SUMPRODUCT((Besatzung!$B$11:$B$22&lt;&gt;"")*(IF(Besatzung!$C$11:$C$22="",Besatzung!$B$5,Besatzung!$C$11:$C$22)&lt;=B34)*(IF(Besatzung!$D$11:$D$22="",Besatzung!$B$6,Besatzung!$D$11:$D$22)&gt;=B34)),1)+(Besatzung!$F$18="x")*IFERROR(H34,0)/IFERROR(SUMPRODUCT((Besatzung!$B$11:$B$22&lt;&gt;"")*(Besatzung!$F$11:$F$22="x")*(IF(Besatzung!$C$11:$C$22="",Besatzung!$B$5,Besatzung!$C$11:$C$22)&lt;=B34)*(IF(Besatzung!$D$11:$D$22="",Besatzung!$B$6,Besatzung!$D$11:$D$22)&gt;=B34)),1))),IF(I34="Individuell",((Q34="x")*((G34-IFERROR(H34,0))/IFERROR(COUNTIF(J34:U34,"x"),1)+(Besatzung!$F$18="x")*IFERROR(H34,0)/IFERROR(SUMPRODUCT((J34:U34="x")*(Besatzung!$F$11:$F$22="x")),1))),(IF(COUNTIF(J34:U34,"x")=0,IF(Besatzung!$B$18&lt;&gt;"",1,0),(Q34="x"))*(G34-IFERROR(H34,0))/IFERROR(IF(COUNTIF(J34:U34,"x")=0,COUNTA(Besatzung!$B$11:$B$22),COUNTIF(J34:U34,"x")),1)+IF(COUNTIF(J34:U34,"x")=0,(Besatzung!$F$18="x"),(Q34="x")*(Besatzung!$F$18="x"))*IFERROR(H34,0)/IFERROR(IF(COUNTIF(J34:U34,"x")=0,SUMPRODUCT((Besatzung!$B$11:$B$22&lt;&gt;"")*(Besatzung!$F$11:$F$22="x")),SUMPRODUCT((J34:U34="x")*(Besatzung!$F$11:$F$22="x"))),1))))),0))))</f>
        <v/>
      </c>
      <c r="AD34" s="247">
        <f>IF(C34="Gutschrift","",IF(G34="","",IF(Besatzung!$B$19="","",IFERROR(IF(I34="Zeitanteilig",(Besatzung!$G$19*(G34-IFERROR(H34,0))+((Besatzung!$B$19&lt;&gt;"")*IF(B34="",1,(IF(Besatzung!$C$19="",Besatzung!$B$5,Besatzung!$C$19)&lt;=B34)*(IF(Besatzung!$D$19="",Besatzung!$B$6,Besatzung!$D$19)&gt;=B34)))*(Besatzung!$F$19="x")*IFERROR(H34,0)/IFERROR(SUMPRODUCT((Besatzung!$B$11:$B$22&lt;&gt;"")*(Besatzung!$F$11:$F$22="x")*(IF(Besatzung!$C$11:$C$22="",Besatzung!$B$5,Besatzung!$C$11:$C$22)&lt;=B34)*(IF(Besatzung!$D$11:$D$22="",Besatzung!$B$6,Besatzung!$D$11:$D$22)&gt;=B34)),1)),IF(I34="An Bord",(((Besatzung!$B$19&lt;&gt;"")*IF(B34="",1,(IF(Besatzung!$C$19="",Besatzung!$B$5,Besatzung!$C$19)&lt;=B34)*(IF(Besatzung!$D$19="",Besatzung!$B$6,Besatzung!$D$19)&gt;=B34)))*((G34-IFERROR(H34,0))/IFERROR(SUMPRODUCT((Besatzung!$B$11:$B$22&lt;&gt;"")*(IF(Besatzung!$C$11:$C$22="",Besatzung!$B$5,Besatzung!$C$11:$C$22)&lt;=B34)*(IF(Besatzung!$D$11:$D$22="",Besatzung!$B$6,Besatzung!$D$11:$D$22)&gt;=B34)),1)+(Besatzung!$F$19="x")*IFERROR(H34,0)/IFERROR(SUMPRODUCT((Besatzung!$B$11:$B$22&lt;&gt;"")*(Besatzung!$F$11:$F$22="x")*(IF(Besatzung!$C$11:$C$22="",Besatzung!$B$5,Besatzung!$C$11:$C$22)&lt;=B34)*(IF(Besatzung!$D$11:$D$22="",Besatzung!$B$6,Besatzung!$D$11:$D$22)&gt;=B34)),1))),IF(I34="Individuell",((R34="x")*((G34-IFERROR(H34,0))/IFERROR(COUNTIF(J34:U34,"x"),1)+(Besatzung!$F$19="x")*IFERROR(H34,0)/IFERROR(SUMPRODUCT((J34:U34="x")*(Besatzung!$F$11:$F$22="x")),1))),(IF(COUNTIF(J34:U34,"x")=0,IF(Besatzung!$B$19&lt;&gt;"",1,0),(R34="x"))*(G34-IFERROR(H34,0))/IFERROR(IF(COUNTIF(J34:U34,"x")=0,COUNTA(Besatzung!$B$11:$B$22),COUNTIF(J34:U34,"x")),1)+IF(COUNTIF(J34:U34,"x")=0,(Besatzung!$F$19="x"),(R34="x")*(Besatzung!$F$19="x"))*IFERROR(H34,0)/IFERROR(IF(COUNTIF(J34:U34,"x")=0,SUMPRODUCT((Besatzung!$B$11:$B$22&lt;&gt;"")*(Besatzung!$F$11:$F$22="x")),SUMPRODUCT((J34:U34="x")*(Besatzung!$F$11:$F$22="x"))),1))))),0))))</f>
        <v/>
      </c>
      <c r="AE34" s="247">
        <f>IF(C34="Gutschrift","",IF(G34="","",IF(Besatzung!$B$20="","",IFERROR(IF(I34="Zeitanteilig",(Besatzung!$G$20*(G34-IFERROR(H34,0))+((Besatzung!$B$20&lt;&gt;"")*IF(B34="",1,(IF(Besatzung!$C$20="",Besatzung!$B$5,Besatzung!$C$20)&lt;=B34)*(IF(Besatzung!$D$20="",Besatzung!$B$6,Besatzung!$D$20)&gt;=B34)))*(Besatzung!$F$20="x")*IFERROR(H34,0)/IFERROR(SUMPRODUCT((Besatzung!$B$11:$B$22&lt;&gt;"")*(Besatzung!$F$11:$F$22="x")*(IF(Besatzung!$C$11:$C$22="",Besatzung!$B$5,Besatzung!$C$11:$C$22)&lt;=B34)*(IF(Besatzung!$D$11:$D$22="",Besatzung!$B$6,Besatzung!$D$11:$D$22)&gt;=B34)),1)),IF(I34="An Bord",(((Besatzung!$B$20&lt;&gt;"")*IF(B34="",1,(IF(Besatzung!$C$20="",Besatzung!$B$5,Besatzung!$C$20)&lt;=B34)*(IF(Besatzung!$D$20="",Besatzung!$B$6,Besatzung!$D$20)&gt;=B34)))*((G34-IFERROR(H34,0))/IFERROR(SUMPRODUCT((Besatzung!$B$11:$B$22&lt;&gt;"")*(IF(Besatzung!$C$11:$C$22="",Besatzung!$B$5,Besatzung!$C$11:$C$22)&lt;=B34)*(IF(Besatzung!$D$11:$D$22="",Besatzung!$B$6,Besatzung!$D$11:$D$22)&gt;=B34)),1)+(Besatzung!$F$20="x")*IFERROR(H34,0)/IFERROR(SUMPRODUCT((Besatzung!$B$11:$B$22&lt;&gt;"")*(Besatzung!$F$11:$F$22="x")*(IF(Besatzung!$C$11:$C$22="",Besatzung!$B$5,Besatzung!$C$11:$C$22)&lt;=B34)*(IF(Besatzung!$D$11:$D$22="",Besatzung!$B$6,Besatzung!$D$11:$D$22)&gt;=B34)),1))),IF(I34="Individuell",((S34="x")*((G34-IFERROR(H34,0))/IFERROR(COUNTIF(J34:U34,"x"),1)+(Besatzung!$F$20="x")*IFERROR(H34,0)/IFERROR(SUMPRODUCT((J34:U34="x")*(Besatzung!$F$11:$F$22="x")),1))),(IF(COUNTIF(J34:U34,"x")=0,IF(Besatzung!$B$20&lt;&gt;"",1,0),(S34="x"))*(G34-IFERROR(H34,0))/IFERROR(IF(COUNTIF(J34:U34,"x")=0,COUNTA(Besatzung!$B$11:$B$22),COUNTIF(J34:U34,"x")),1)+IF(COUNTIF(J34:U34,"x")=0,(Besatzung!$F$20="x"),(S34="x")*(Besatzung!$F$20="x"))*IFERROR(H34,0)/IFERROR(IF(COUNTIF(J34:U34,"x")=0,SUMPRODUCT((Besatzung!$B$11:$B$22&lt;&gt;"")*(Besatzung!$F$11:$F$22="x")),SUMPRODUCT((J34:U34="x")*(Besatzung!$F$11:$F$22="x"))),1))))),0))))</f>
        <v/>
      </c>
      <c r="AF34" s="247">
        <f>IF(C34="Gutschrift","",IF(G34="","",IF(Besatzung!$B$21="","",IFERROR(IF(I34="Zeitanteilig",(Besatzung!$G$21*(G34-IFERROR(H34,0))+((Besatzung!$B$21&lt;&gt;"")*IF(B34="",1,(IF(Besatzung!$C$21="",Besatzung!$B$5,Besatzung!$C$21)&lt;=B34)*(IF(Besatzung!$D$21="",Besatzung!$B$6,Besatzung!$D$21)&gt;=B34)))*(Besatzung!$F$21="x")*IFERROR(H34,0)/IFERROR(SUMPRODUCT((Besatzung!$B$11:$B$22&lt;&gt;"")*(Besatzung!$F$11:$F$22="x")*(IF(Besatzung!$C$11:$C$22="",Besatzung!$B$5,Besatzung!$C$11:$C$22)&lt;=B34)*(IF(Besatzung!$D$11:$D$22="",Besatzung!$B$6,Besatzung!$D$11:$D$22)&gt;=B34)),1)),IF(I34="An Bord",(((Besatzung!$B$21&lt;&gt;"")*IF(B34="",1,(IF(Besatzung!$C$21="",Besatzung!$B$5,Besatzung!$C$21)&lt;=B34)*(IF(Besatzung!$D$21="",Besatzung!$B$6,Besatzung!$D$21)&gt;=B34)))*((G34-IFERROR(H34,0))/IFERROR(SUMPRODUCT((Besatzung!$B$11:$B$22&lt;&gt;"")*(IF(Besatzung!$C$11:$C$22="",Besatzung!$B$5,Besatzung!$C$11:$C$22)&lt;=B34)*(IF(Besatzung!$D$11:$D$22="",Besatzung!$B$6,Besatzung!$D$11:$D$22)&gt;=B34)),1)+(Besatzung!$F$21="x")*IFERROR(H34,0)/IFERROR(SUMPRODUCT((Besatzung!$B$11:$B$22&lt;&gt;"")*(Besatzung!$F$11:$F$22="x")*(IF(Besatzung!$C$11:$C$22="",Besatzung!$B$5,Besatzung!$C$11:$C$22)&lt;=B34)*(IF(Besatzung!$D$11:$D$22="",Besatzung!$B$6,Besatzung!$D$11:$D$22)&gt;=B34)),1))),IF(I34="Individuell",((T34="x")*((G34-IFERROR(H34,0))/IFERROR(COUNTIF(J34:U34,"x"),1)+(Besatzung!$F$21="x")*IFERROR(H34,0)/IFERROR(SUMPRODUCT((J34:U34="x")*(Besatzung!$F$11:$F$22="x")),1))),(IF(COUNTIF(J34:U34,"x")=0,IF(Besatzung!$B$21&lt;&gt;"",1,0),(T34="x"))*(G34-IFERROR(H34,0))/IFERROR(IF(COUNTIF(J34:U34,"x")=0,COUNTA(Besatzung!$B$11:$B$22),COUNTIF(J34:U34,"x")),1)+IF(COUNTIF(J34:U34,"x")=0,(Besatzung!$F$21="x"),(T34="x")*(Besatzung!$F$21="x"))*IFERROR(H34,0)/IFERROR(IF(COUNTIF(J34:U34,"x")=0,SUMPRODUCT((Besatzung!$B$11:$B$22&lt;&gt;"")*(Besatzung!$F$11:$F$22="x")),SUMPRODUCT((J34:U34="x")*(Besatzung!$F$11:$F$22="x"))),1))))),0))))</f>
        <v/>
      </c>
      <c r="AG34" s="247">
        <f>IF(C34="Gutschrift","",IF(G34="","",IF(Besatzung!$B$22="","",IFERROR(IF(I34="Zeitanteilig",(Besatzung!$G$22*(G34-IFERROR(H34,0))+((Besatzung!$B$22&lt;&gt;"")*IF(B34="",1,(IF(Besatzung!$C$22="",Besatzung!$B$5,Besatzung!$C$22)&lt;=B34)*(IF(Besatzung!$D$22="",Besatzung!$B$6,Besatzung!$D$22)&gt;=B34)))*(Besatzung!$F$22="x")*IFERROR(H34,0)/IFERROR(SUMPRODUCT((Besatzung!$B$11:$B$22&lt;&gt;"")*(Besatzung!$F$11:$F$22="x")*(IF(Besatzung!$C$11:$C$22="",Besatzung!$B$5,Besatzung!$C$11:$C$22)&lt;=B34)*(IF(Besatzung!$D$11:$D$22="",Besatzung!$B$6,Besatzung!$D$11:$D$22)&gt;=B34)),1)),IF(I34="An Bord",(((Besatzung!$B$22&lt;&gt;"")*IF(B34="",1,(IF(Besatzung!$C$22="",Besatzung!$B$5,Besatzung!$C$22)&lt;=B34)*(IF(Besatzung!$D$22="",Besatzung!$B$6,Besatzung!$D$22)&gt;=B34)))*((G34-IFERROR(H34,0))/IFERROR(SUMPRODUCT((Besatzung!$B$11:$B$22&lt;&gt;"")*(IF(Besatzung!$C$11:$C$22="",Besatzung!$B$5,Besatzung!$C$11:$C$22)&lt;=B34)*(IF(Besatzung!$D$11:$D$22="",Besatzung!$B$6,Besatzung!$D$11:$D$22)&gt;=B34)),1)+(Besatzung!$F$22="x")*IFERROR(H34,0)/IFERROR(SUMPRODUCT((Besatzung!$B$11:$B$22&lt;&gt;"")*(Besatzung!$F$11:$F$22="x")*(IF(Besatzung!$C$11:$C$22="",Besatzung!$B$5,Besatzung!$C$11:$C$22)&lt;=B34)*(IF(Besatzung!$D$11:$D$22="",Besatzung!$B$6,Besatzung!$D$11:$D$22)&gt;=B34)),1))),IF(I34="Individuell",((U34="x")*((G34-IFERROR(H34,0))/IFERROR(COUNTIF(J34:U34,"x"),1)+(Besatzung!$F$22="x")*IFERROR(H34,0)/IFERROR(SUMPRODUCT((J34:U34="x")*(Besatzung!$F$11:$F$22="x")),1))),(IF(COUNTIF(J34:U34,"x")=0,IF(Besatzung!$B$22&lt;&gt;"",1,0),(U34="x"))*(G34-IFERROR(H34,0))/IFERROR(IF(COUNTIF(J34:U34,"x")=0,COUNTA(Besatzung!$B$11:$B$22),COUNTIF(J34:U34,"x")),1)+IF(COUNTIF(J34:U34,"x")=0,(Besatzung!$F$22="x"),(U34="x")*(Besatzung!$F$22="x"))*IFERROR(H34,0)/IFERROR(IF(COUNTIF(J34:U34,"x")=0,SUMPRODUCT((Besatzung!$B$11:$B$22&lt;&gt;"")*(Besatzung!$F$11:$F$22="x")),SUMPRODUCT((J34:U34="x")*(Besatzung!$F$11:$F$22="x"))),1))))),0))))</f>
        <v/>
      </c>
      <c r="AH34" s="248" t="n"/>
      <c r="AI34" s="248" t="n"/>
    </row>
    <row r="35" ht="21.75" customHeight="1" s="154">
      <c r="A35" s="238">
        <f>IF(AND(D35="",C35=""),"",32)</f>
        <v/>
      </c>
      <c r="B35" s="206" t="n"/>
      <c r="C35" s="249" t="n"/>
      <c r="D35" s="250" t="n"/>
      <c r="E35" s="251" t="n"/>
      <c r="F35" s="252" t="n"/>
      <c r="G35" s="253" t="n"/>
      <c r="H35" s="254" t="n"/>
      <c r="I35" s="255" t="n"/>
      <c r="J35" s="256" t="n"/>
      <c r="K35" s="256" t="n"/>
      <c r="L35" s="256" t="n"/>
      <c r="M35" s="256" t="n"/>
      <c r="N35" s="256" t="n"/>
      <c r="O35" s="256" t="n"/>
      <c r="P35" s="256" t="n"/>
      <c r="Q35" s="256" t="n"/>
      <c r="R35" s="256" t="n"/>
      <c r="S35" s="256" t="n"/>
      <c r="T35" s="256" t="n"/>
      <c r="U35" s="256" t="n"/>
      <c r="V35" s="247">
        <f>IF(C35="Gutschrift","",IF(G35="","",IF(Besatzung!$B$11="","",IFERROR(IF(I35="Zeitanteilig",(Besatzung!$G$11*(G35-IFERROR(H35,0))+((Besatzung!$B$11&lt;&gt;"")*IF(B35="",1,(IF(Besatzung!$C$11="",Besatzung!$B$5,Besatzung!$C$11)&lt;=B35)*(IF(Besatzung!$D$11="",Besatzung!$B$6,Besatzung!$D$11)&gt;=B35)))*(Besatzung!$F$11="x")*IFERROR(H35,0)/IFERROR(SUMPRODUCT((Besatzung!$B$11:$B$22&lt;&gt;"")*(Besatzung!$F$11:$F$22="x")*(IF(Besatzung!$C$11:$C$22="",Besatzung!$B$5,Besatzung!$C$11:$C$22)&lt;=B35)*(IF(Besatzung!$D$11:$D$22="",Besatzung!$B$6,Besatzung!$D$11:$D$22)&gt;=B35)),1)),IF(I35="An Bord",(((Besatzung!$B$11&lt;&gt;"")*IF(B35="",1,(IF(Besatzung!$C$11="",Besatzung!$B$5,Besatzung!$C$11)&lt;=B35)*(IF(Besatzung!$D$11="",Besatzung!$B$6,Besatzung!$D$11)&gt;=B35)))*((G35-IFERROR(H35,0))/IFERROR(SUMPRODUCT((Besatzung!$B$11:$B$22&lt;&gt;"")*(IF(Besatzung!$C$11:$C$22="",Besatzung!$B$5,Besatzung!$C$11:$C$22)&lt;=B35)*(IF(Besatzung!$D$11:$D$22="",Besatzung!$B$6,Besatzung!$D$11:$D$22)&gt;=B35)),1)+(Besatzung!$F$11="x")*IFERROR(H35,0)/IFERROR(SUMPRODUCT((Besatzung!$B$11:$B$22&lt;&gt;"")*(Besatzung!$F$11:$F$22="x")*(IF(Besatzung!$C$11:$C$22="",Besatzung!$B$5,Besatzung!$C$11:$C$22)&lt;=B35)*(IF(Besatzung!$D$11:$D$22="",Besatzung!$B$6,Besatzung!$D$11:$D$22)&gt;=B35)),1))),IF(I35="Individuell",((J35="x")*((G35-IFERROR(H35,0))/IFERROR(COUNTIF(J35:U35,"x"),1)+(Besatzung!$F$11="x")*IFERROR(H35,0)/IFERROR(SUMPRODUCT((J35:U35="x")*(Besatzung!$F$11:$F$22="x")),1))),(IF(COUNTIF(J35:U35,"x")=0,IF(Besatzung!$B$11&lt;&gt;"",1,0),(J35="x"))*(G35-IFERROR(H35,0))/IFERROR(IF(COUNTIF(J35:U35,"x")=0,COUNTA(Besatzung!$B$11:$B$22),COUNTIF(J35:U35,"x")),1)+IF(COUNTIF(J35:U35,"x")=0,(Besatzung!$F$11="x"),(J35="x")*(Besatzung!$F$11="x"))*IFERROR(H35,0)/IFERROR(IF(COUNTIF(J35:U35,"x")=0,SUMPRODUCT((Besatzung!$B$11:$B$22&lt;&gt;"")*(Besatzung!$F$11:$F$22="x")),SUMPRODUCT((J35:U35="x")*(Besatzung!$F$11:$F$22="x"))),1))))),0))))</f>
        <v/>
      </c>
      <c r="W35" s="247">
        <f>IF(C35="Gutschrift","",IF(G35="","",IF(Besatzung!$B$12="","",IFERROR(IF(I35="Zeitanteilig",(Besatzung!$G$12*(G35-IFERROR(H35,0))+((Besatzung!$B$12&lt;&gt;"")*IF(B35="",1,(IF(Besatzung!$C$12="",Besatzung!$B$5,Besatzung!$C$12)&lt;=B35)*(IF(Besatzung!$D$12="",Besatzung!$B$6,Besatzung!$D$12)&gt;=B35)))*(Besatzung!$F$12="x")*IFERROR(H35,0)/IFERROR(SUMPRODUCT((Besatzung!$B$11:$B$22&lt;&gt;"")*(Besatzung!$F$11:$F$22="x")*(IF(Besatzung!$C$11:$C$22="",Besatzung!$B$5,Besatzung!$C$11:$C$22)&lt;=B35)*(IF(Besatzung!$D$11:$D$22="",Besatzung!$B$6,Besatzung!$D$11:$D$22)&gt;=B35)),1)),IF(I35="An Bord",(((Besatzung!$B$12&lt;&gt;"")*IF(B35="",1,(IF(Besatzung!$C$12="",Besatzung!$B$5,Besatzung!$C$12)&lt;=B35)*(IF(Besatzung!$D$12="",Besatzung!$B$6,Besatzung!$D$12)&gt;=B35)))*((G35-IFERROR(H35,0))/IFERROR(SUMPRODUCT((Besatzung!$B$11:$B$22&lt;&gt;"")*(IF(Besatzung!$C$11:$C$22="",Besatzung!$B$5,Besatzung!$C$11:$C$22)&lt;=B35)*(IF(Besatzung!$D$11:$D$22="",Besatzung!$B$6,Besatzung!$D$11:$D$22)&gt;=B35)),1)+(Besatzung!$F$12="x")*IFERROR(H35,0)/IFERROR(SUMPRODUCT((Besatzung!$B$11:$B$22&lt;&gt;"")*(Besatzung!$F$11:$F$22="x")*(IF(Besatzung!$C$11:$C$22="",Besatzung!$B$5,Besatzung!$C$11:$C$22)&lt;=B35)*(IF(Besatzung!$D$11:$D$22="",Besatzung!$B$6,Besatzung!$D$11:$D$22)&gt;=B35)),1))),IF(I35="Individuell",((K35="x")*((G35-IFERROR(H35,0))/IFERROR(COUNTIF(J35:U35,"x"),1)+(Besatzung!$F$12="x")*IFERROR(H35,0)/IFERROR(SUMPRODUCT((J35:U35="x")*(Besatzung!$F$11:$F$22="x")),1))),(IF(COUNTIF(J35:U35,"x")=0,IF(Besatzung!$B$12&lt;&gt;"",1,0),(K35="x"))*(G35-IFERROR(H35,0))/IFERROR(IF(COUNTIF(J35:U35,"x")=0,COUNTA(Besatzung!$B$11:$B$22),COUNTIF(J35:U35,"x")),1)+IF(COUNTIF(J35:U35,"x")=0,(Besatzung!$F$12="x"),(K35="x")*(Besatzung!$F$12="x"))*IFERROR(H35,0)/IFERROR(IF(COUNTIF(J35:U35,"x")=0,SUMPRODUCT((Besatzung!$B$11:$B$22&lt;&gt;"")*(Besatzung!$F$11:$F$22="x")),SUMPRODUCT((J35:U35="x")*(Besatzung!$F$11:$F$22="x"))),1))))),0))))</f>
        <v/>
      </c>
      <c r="X35" s="247">
        <f>IF(C35="Gutschrift","",IF(G35="","",IF(Besatzung!$B$13="","",IFERROR(IF(I35="Zeitanteilig",(Besatzung!$G$13*(G35-IFERROR(H35,0))+((Besatzung!$B$13&lt;&gt;"")*IF(B35="",1,(IF(Besatzung!$C$13="",Besatzung!$B$5,Besatzung!$C$13)&lt;=B35)*(IF(Besatzung!$D$13="",Besatzung!$B$6,Besatzung!$D$13)&gt;=B35)))*(Besatzung!$F$13="x")*IFERROR(H35,0)/IFERROR(SUMPRODUCT((Besatzung!$B$11:$B$22&lt;&gt;"")*(Besatzung!$F$11:$F$22="x")*(IF(Besatzung!$C$11:$C$22="",Besatzung!$B$5,Besatzung!$C$11:$C$22)&lt;=B35)*(IF(Besatzung!$D$11:$D$22="",Besatzung!$B$6,Besatzung!$D$11:$D$22)&gt;=B35)),1)),IF(I35="An Bord",(((Besatzung!$B$13&lt;&gt;"")*IF(B35="",1,(IF(Besatzung!$C$13="",Besatzung!$B$5,Besatzung!$C$13)&lt;=B35)*(IF(Besatzung!$D$13="",Besatzung!$B$6,Besatzung!$D$13)&gt;=B35)))*((G35-IFERROR(H35,0))/IFERROR(SUMPRODUCT((Besatzung!$B$11:$B$22&lt;&gt;"")*(IF(Besatzung!$C$11:$C$22="",Besatzung!$B$5,Besatzung!$C$11:$C$22)&lt;=B35)*(IF(Besatzung!$D$11:$D$22="",Besatzung!$B$6,Besatzung!$D$11:$D$22)&gt;=B35)),1)+(Besatzung!$F$13="x")*IFERROR(H35,0)/IFERROR(SUMPRODUCT((Besatzung!$B$11:$B$22&lt;&gt;"")*(Besatzung!$F$11:$F$22="x")*(IF(Besatzung!$C$11:$C$22="",Besatzung!$B$5,Besatzung!$C$11:$C$22)&lt;=B35)*(IF(Besatzung!$D$11:$D$22="",Besatzung!$B$6,Besatzung!$D$11:$D$22)&gt;=B35)),1))),IF(I35="Individuell",((K35="x")*((G35-IFERROR(H35,0))/IFERROR(COUNTIF(J35:U35,"x"),1)+(Besatzung!$F$13="x")*IFERROR(H35,0)/IFERROR(SUMPRODUCT((J35:U35="x")*(Besatzung!$F$11:$F$22="x")),1))),(IF(COUNTIF(J35:U35,"x")=0,IF(Besatzung!$B$13&lt;&gt;"",1,0),(K35="x"))*(G35-IFERROR(H35,0))/IFERROR(IF(COUNTIF(J35:U35,"x")=0,COUNTA(Besatzung!$B$11:$B$22),COUNTIF(J35:U35,"x")),1)+IF(COUNTIF(J35:U35,"x")=0,(Besatzung!$F$13="x"),(K35="x")*(Besatzung!$F$13="x"))*IFERROR(H35,0)/IFERROR(IF(COUNTIF(J35:U35,"x")=0,SUMPRODUCT((Besatzung!$B$11:$B$22&lt;&gt;"")*(Besatzung!$F$11:$F$22="x")),SUMPRODUCT((J35:U35="x")*(Besatzung!$F$11:$F$22="x"))),1))))),0))))</f>
        <v/>
      </c>
      <c r="Y35" s="247">
        <f>IF(C35="Gutschrift","",IF(G35="","",IF(Besatzung!$B$14="","",IFERROR(IF(I35="Zeitanteilig",(Besatzung!$G$14*(G35-IFERROR(H35,0))+((Besatzung!$B$14&lt;&gt;"")*IF(B35="",1,(IF(Besatzung!$C$14="",Besatzung!$B$5,Besatzung!$C$14)&lt;=B35)*(IF(Besatzung!$D$14="",Besatzung!$B$6,Besatzung!$D$14)&gt;=B35)))*(Besatzung!$F$14="x")*IFERROR(H35,0)/IFERROR(SUMPRODUCT((Besatzung!$B$11:$B$22&lt;&gt;"")*(Besatzung!$F$11:$F$22="x")*(IF(Besatzung!$C$11:$C$22="",Besatzung!$B$5,Besatzung!$C$11:$C$22)&lt;=B35)*(IF(Besatzung!$D$11:$D$22="",Besatzung!$B$6,Besatzung!$D$11:$D$22)&gt;=B35)),1)),IF(I35="An Bord",(((Besatzung!$B$14&lt;&gt;"")*IF(B35="",1,(IF(Besatzung!$C$14="",Besatzung!$B$5,Besatzung!$C$14)&lt;=B35)*(IF(Besatzung!$D$14="",Besatzung!$B$6,Besatzung!$D$14)&gt;=B35)))*((G35-IFERROR(H35,0))/IFERROR(SUMPRODUCT((Besatzung!$B$11:$B$22&lt;&gt;"")*(IF(Besatzung!$C$11:$C$22="",Besatzung!$B$5,Besatzung!$C$11:$C$22)&lt;=B35)*(IF(Besatzung!$D$11:$D$22="",Besatzung!$B$6,Besatzung!$D$11:$D$22)&gt;=B35)),1)+(Besatzung!$F$14="x")*IFERROR(H35,0)/IFERROR(SUMPRODUCT((Besatzung!$B$11:$B$22&lt;&gt;"")*(Besatzung!$F$11:$F$22="x")*(IF(Besatzung!$C$11:$C$22="",Besatzung!$B$5,Besatzung!$C$11:$C$22)&lt;=B35)*(IF(Besatzung!$D$11:$D$22="",Besatzung!$B$6,Besatzung!$D$11:$D$22)&gt;=B35)),1))),IF(I35="Individuell",((M35="x")*((G35-IFERROR(H35,0))/IFERROR(COUNTIF(J35:U35,"x"),1)+(Besatzung!$F$14="x")*IFERROR(H35,0)/IFERROR(SUMPRODUCT((J35:U35="x")*(Besatzung!$F$11:$F$22="x")),1))),(IF(COUNTIF(J35:U35,"x")=0,IF(Besatzung!$B$14&lt;&gt;"",1,0),(M35="x"))*(G35-IFERROR(H35,0))/IFERROR(IF(COUNTIF(J35:U35,"x")=0,COUNTA(Besatzung!$B$11:$B$22),COUNTIF(J35:U35,"x")),1)+IF(COUNTIF(J35:U35,"x")=0,(Besatzung!$F$14="x"),(M35="x")*(Besatzung!$F$14="x"))*IFERROR(H35,0)/IFERROR(IF(COUNTIF(J35:U35,"x")=0,SUMPRODUCT((Besatzung!$B$11:$B$22&lt;&gt;"")*(Besatzung!$F$11:$F$22="x")),SUMPRODUCT((J35:U35="x")*(Besatzung!$F$11:$F$22="x"))),1))))),0))))</f>
        <v/>
      </c>
      <c r="Z35" s="247">
        <f>IF(C35="Gutschrift","",IF(G35="","",IF(Besatzung!$B$13="","",IFERROR(IF(I35="Zeitanteilig",(Besatzung!$G$15*(G35-IFERROR(H35,0))+((Besatzung!$B$13&lt;&gt;"")*IF(B35="",1,(IF(Besatzung!$C$15="",Besatzung!$B$5,Besatzung!$C$15)&lt;=B35)*(IF(Besatzung!$D$15="",Besatzung!$B$6,Besatzung!$D$15)&gt;=B35)))*(Besatzung!$F$15="x")*IFERROR(H35,0)/IFERROR(SUMPRODUCT((Besatzung!$B$11:$B$22&lt;&gt;"")*(Besatzung!$F$11:$F$22="x")*(IF(Besatzung!$C$11:$C$22="",Besatzung!$B$5,Besatzung!$C$11:$C$22)&lt;=B35)*(IF(Besatzung!$D$11:$D$22="",Besatzung!$B$6,Besatzung!$D$11:$D$22)&gt;=B35)),1)),IF(I35="An Bord",(((Besatzung!$B$13&lt;&gt;"")*IF(B35="",1,(IF(Besatzung!$C$15="",Besatzung!$B$5,Besatzung!$C$15)&lt;=B35)*(IF(Besatzung!$D$15="",Besatzung!$B$6,Besatzung!$D$15)&gt;=B35)))*((G35-IFERROR(H35,0))/IFERROR(SUMPRODUCT((Besatzung!$B$11:$B$22&lt;&gt;"")*(IF(Besatzung!$C$11:$C$22="",Besatzung!$B$5,Besatzung!$C$11:$C$22)&lt;=B35)*(IF(Besatzung!$D$11:$D$22="",Besatzung!$B$6,Besatzung!$D$11:$D$22)&gt;=B35)),1)+(Besatzung!$F$15="x")*IFERROR(H35,0)/IFERROR(SUMPRODUCT((Besatzung!$B$11:$B$22&lt;&gt;"")*(Besatzung!$F$11:$F$22="x")*(IF(Besatzung!$C$11:$C$22="",Besatzung!$B$5,Besatzung!$C$11:$C$22)&lt;=B35)*(IF(Besatzung!$D$11:$D$22="",Besatzung!$B$6,Besatzung!$D$11:$D$22)&gt;=B35)),1))),IF(I35="Individuell",((N35="x")*((G35-IFERROR(H35,0))/IFERROR(COUNTIF(J35:U35,"x"),1)+(Besatzung!$F$15="x")*IFERROR(H35,0)/IFERROR(SUMPRODUCT((J35:U35="x")*(Besatzung!$F$11:$F$22="x")),1))),(IF(COUNTIF(J35:U35,"x")=0,IF(Besatzung!$B$13&lt;&gt;"",1,0),(N35="x"))*(G35-IFERROR(H35,0))/IFERROR(IF(COUNTIF(J35:U35,"x")=0,COUNTA(Besatzung!$B$11:$B$22),COUNTIF(J35:U35,"x")),1)+IF(COUNTIF(J35:U35,"x")=0,(Besatzung!$F$15="x"),(N35="x")*(Besatzung!$F$15="x"))*IFERROR(H35,0)/IFERROR(IF(COUNTIF(J35:U35,"x")=0,SUMPRODUCT((Besatzung!$B$11:$B$22&lt;&gt;"")*(Besatzung!$F$11:$F$22="x")),SUMPRODUCT((J35:U35="x")*(Besatzung!$F$11:$F$22="x"))),1))))),0))))</f>
        <v/>
      </c>
      <c r="AA35" s="247">
        <f>IF(C35="Gutschrift","",IF(G35="","",IF(Besatzung!$B$15="","",IFERROR(IF(I35="Zeitanteilig",(Besatzung!$G$16*(G35-IFERROR(H35,0))+((Besatzung!$B$15&lt;&gt;"")*IF(B35="",1,(IF(Besatzung!$C$16="",Besatzung!$B$5,Besatzung!$C$16)&lt;=B35)*(IF(Besatzung!$D$16="",Besatzung!$B$6,Besatzung!$D$16)&gt;=B35)))*(Besatzung!$F$16="x")*IFERROR(H35,0)/IFERROR(SUMPRODUCT((Besatzung!$B$11:$B$22&lt;&gt;"")*(Besatzung!$F$11:$F$22="x")*(IF(Besatzung!$C$11:$C$22="",Besatzung!$B$5,Besatzung!$C$11:$C$22)&lt;=B35)*(IF(Besatzung!$D$11:$D$22="",Besatzung!$B$6,Besatzung!$D$11:$D$22)&gt;=B35)),1)),IF(I35="An Bord",(((Besatzung!$B$15&lt;&gt;"")*IF(B35="",1,(IF(Besatzung!$C$16="",Besatzung!$B$5,Besatzung!$C$16)&lt;=B35)*(IF(Besatzung!$D$16="",Besatzung!$B$6,Besatzung!$D$16)&gt;=B35)))*((G35-IFERROR(H35,0))/IFERROR(SUMPRODUCT((Besatzung!$B$11:$B$22&lt;&gt;"")*(IF(Besatzung!$C$11:$C$22="",Besatzung!$B$5,Besatzung!$C$11:$C$22)&lt;=B35)*(IF(Besatzung!$D$11:$D$22="",Besatzung!$B$6,Besatzung!$D$11:$D$22)&gt;=B35)),1)+(Besatzung!$F$16="x")*IFERROR(H35,0)/IFERROR(SUMPRODUCT((Besatzung!$B$11:$B$22&lt;&gt;"")*(Besatzung!$F$11:$F$22="x")*(IF(Besatzung!$C$11:$C$22="",Besatzung!$B$5,Besatzung!$C$11:$C$22)&lt;=B35)*(IF(Besatzung!$D$11:$D$22="",Besatzung!$B$6,Besatzung!$D$11:$D$22)&gt;=B35)),1))),IF(I35="Individuell",((O35="x")*((G35-IFERROR(H35,0))/IFERROR(COUNTIF(J35:U35,"x"),1)+(Besatzung!$F$16="x")*IFERROR(H35,0)/IFERROR(SUMPRODUCT((J35:U35="x")*(Besatzung!$F$11:$F$22="x")),1))),(IF(COUNTIF(J35:U35,"x")=0,IF(Besatzung!$B$15&lt;&gt;"",1,0),(O35="x"))*(G35-IFERROR(H35,0))/IFERROR(IF(COUNTIF(J35:U35,"x")=0,COUNTA(Besatzung!$B$11:$B$22),COUNTIF(J35:U35,"x")),1)+IF(COUNTIF(J35:U35,"x")=0,(Besatzung!$F$16="x"),(O35="x")*(Besatzung!$F$16="x"))*IFERROR(H35,0)/IFERROR(IF(COUNTIF(J35:U35,"x")=0,SUMPRODUCT((Besatzung!$B$11:$B$22&lt;&gt;"")*(Besatzung!$F$11:$F$22="x")),SUMPRODUCT((J35:U35="x")*(Besatzung!$F$11:$F$22="x"))),1))))),0))))</f>
        <v/>
      </c>
      <c r="AB35" s="247">
        <f>IF(C35="Gutschrift","",IF(G35="","",IF(Besatzung!$B$17="","",IFERROR(IF(I35="Zeitanteilig",(Besatzung!$G$17*(G35-IFERROR(H35,0))+((Besatzung!$B$17&lt;&gt;"")*IF(B35="",1,(IF(Besatzung!$C$17="",Besatzung!$B$5,Besatzung!$C$17)&lt;=B35)*(IF(Besatzung!$D$17="",Besatzung!$B$6,Besatzung!$D$17)&gt;=B35)))*(Besatzung!$F$17="x")*IFERROR(H35,0)/IFERROR(SUMPRODUCT((Besatzung!$B$11:$B$22&lt;&gt;"")*(Besatzung!$F$11:$F$22="x")*(IF(Besatzung!$C$11:$C$22="",Besatzung!$B$5,Besatzung!$C$11:$C$22)&lt;=B35)*(IF(Besatzung!$D$11:$D$22="",Besatzung!$B$6,Besatzung!$D$11:$D$22)&gt;=B35)),1)),IF(I35="An Bord",(((Besatzung!$B$17&lt;&gt;"")*IF(B35="",1,(IF(Besatzung!$C$17="",Besatzung!$B$5,Besatzung!$C$17)&lt;=B35)*(IF(Besatzung!$D$17="",Besatzung!$B$6,Besatzung!$D$17)&gt;=B35)))*((G35-IFERROR(H35,0))/IFERROR(SUMPRODUCT((Besatzung!$B$11:$B$22&lt;&gt;"")*(IF(Besatzung!$C$11:$C$22="",Besatzung!$B$5,Besatzung!$C$11:$C$22)&lt;=B35)*(IF(Besatzung!$D$11:$D$22="",Besatzung!$B$6,Besatzung!$D$11:$D$22)&gt;=B35)),1)+(Besatzung!$F$17="x")*IFERROR(H35,0)/IFERROR(SUMPRODUCT((Besatzung!$B$11:$B$22&lt;&gt;"")*(Besatzung!$F$11:$F$22="x")*(IF(Besatzung!$C$11:$C$22="",Besatzung!$B$5,Besatzung!$C$11:$C$22)&lt;=B35)*(IF(Besatzung!$D$11:$D$22="",Besatzung!$B$6,Besatzung!$D$11:$D$22)&gt;=B35)),1))),IF(I35="Individuell",((P35="x")*((G35-IFERROR(H35,0))/IFERROR(COUNTIF(J35:U35,"x"),1)+(Besatzung!$F$17="x")*IFERROR(H35,0)/IFERROR(SUMPRODUCT((J35:U35="x")*(Besatzung!$F$11:$F$22="x")),1))),(IF(COUNTIF(J35:U35,"x")=0,IF(Besatzung!$B$17&lt;&gt;"",1,0),(P35="x"))*(G35-IFERROR(H35,0))/IFERROR(IF(COUNTIF(J35:U35,"x")=0,COUNTA(Besatzung!$B$11:$B$22),COUNTIF(J35:U35,"x")),1)+IF(COUNTIF(J35:U35,"x")=0,(Besatzung!$F$17="x"),(P35="x")*(Besatzung!$F$17="x"))*IFERROR(H35,0)/IFERROR(IF(COUNTIF(J35:U35,"x")=0,SUMPRODUCT((Besatzung!$B$11:$B$22&lt;&gt;"")*(Besatzung!$F$11:$F$22="x")),SUMPRODUCT((J35:U35="x")*(Besatzung!$F$11:$F$22="x"))),1))))),0))))</f>
        <v/>
      </c>
      <c r="AC35" s="247">
        <f>IF(C35="Gutschrift","",IF(G35="","",IF(Besatzung!$B$18="","",IFERROR(IF(I35="Zeitanteilig",(Besatzung!$G$18*(G35-IFERROR(H35,0))+((Besatzung!$B$18&lt;&gt;"")*IF(B35="",1,(IF(Besatzung!$C$18="",Besatzung!$B$5,Besatzung!$C$18)&lt;=B35)*(IF(Besatzung!$D$18="",Besatzung!$B$6,Besatzung!$D$18)&gt;=B35)))*(Besatzung!$F$18="x")*IFERROR(H35,0)/IFERROR(SUMPRODUCT((Besatzung!$B$11:$B$22&lt;&gt;"")*(Besatzung!$F$11:$F$22="x")*(IF(Besatzung!$C$11:$C$22="",Besatzung!$B$5,Besatzung!$C$11:$C$22)&lt;=B35)*(IF(Besatzung!$D$11:$D$22="",Besatzung!$B$6,Besatzung!$D$11:$D$22)&gt;=B35)),1)),IF(I35="An Bord",(((Besatzung!$B$18&lt;&gt;"")*IF(B35="",1,(IF(Besatzung!$C$18="",Besatzung!$B$5,Besatzung!$C$18)&lt;=B35)*(IF(Besatzung!$D$18="",Besatzung!$B$6,Besatzung!$D$18)&gt;=B35)))*((G35-IFERROR(H35,0))/IFERROR(SUMPRODUCT((Besatzung!$B$11:$B$22&lt;&gt;"")*(IF(Besatzung!$C$11:$C$22="",Besatzung!$B$5,Besatzung!$C$11:$C$22)&lt;=B35)*(IF(Besatzung!$D$11:$D$22="",Besatzung!$B$6,Besatzung!$D$11:$D$22)&gt;=B35)),1)+(Besatzung!$F$18="x")*IFERROR(H35,0)/IFERROR(SUMPRODUCT((Besatzung!$B$11:$B$22&lt;&gt;"")*(Besatzung!$F$11:$F$22="x")*(IF(Besatzung!$C$11:$C$22="",Besatzung!$B$5,Besatzung!$C$11:$C$22)&lt;=B35)*(IF(Besatzung!$D$11:$D$22="",Besatzung!$B$6,Besatzung!$D$11:$D$22)&gt;=B35)),1))),IF(I35="Individuell",((Q35="x")*((G35-IFERROR(H35,0))/IFERROR(COUNTIF(J35:U35,"x"),1)+(Besatzung!$F$18="x")*IFERROR(H35,0)/IFERROR(SUMPRODUCT((J35:U35="x")*(Besatzung!$F$11:$F$22="x")),1))),(IF(COUNTIF(J35:U35,"x")=0,IF(Besatzung!$B$18&lt;&gt;"",1,0),(Q35="x"))*(G35-IFERROR(H35,0))/IFERROR(IF(COUNTIF(J35:U35,"x")=0,COUNTA(Besatzung!$B$11:$B$22),COUNTIF(J35:U35,"x")),1)+IF(COUNTIF(J35:U35,"x")=0,(Besatzung!$F$18="x"),(Q35="x")*(Besatzung!$F$18="x"))*IFERROR(H35,0)/IFERROR(IF(COUNTIF(J35:U35,"x")=0,SUMPRODUCT((Besatzung!$B$11:$B$22&lt;&gt;"")*(Besatzung!$F$11:$F$22="x")),SUMPRODUCT((J35:U35="x")*(Besatzung!$F$11:$F$22="x"))),1))))),0))))</f>
        <v/>
      </c>
      <c r="AD35" s="247">
        <f>IF(C35="Gutschrift","",IF(G35="","",IF(Besatzung!$B$19="","",IFERROR(IF(I35="Zeitanteilig",(Besatzung!$G$19*(G35-IFERROR(H35,0))+((Besatzung!$B$19&lt;&gt;"")*IF(B35="",1,(IF(Besatzung!$C$19="",Besatzung!$B$5,Besatzung!$C$19)&lt;=B35)*(IF(Besatzung!$D$19="",Besatzung!$B$6,Besatzung!$D$19)&gt;=B35)))*(Besatzung!$F$19="x")*IFERROR(H35,0)/IFERROR(SUMPRODUCT((Besatzung!$B$11:$B$22&lt;&gt;"")*(Besatzung!$F$11:$F$22="x")*(IF(Besatzung!$C$11:$C$22="",Besatzung!$B$5,Besatzung!$C$11:$C$22)&lt;=B35)*(IF(Besatzung!$D$11:$D$22="",Besatzung!$B$6,Besatzung!$D$11:$D$22)&gt;=B35)),1)),IF(I35="An Bord",(((Besatzung!$B$19&lt;&gt;"")*IF(B35="",1,(IF(Besatzung!$C$19="",Besatzung!$B$5,Besatzung!$C$19)&lt;=B35)*(IF(Besatzung!$D$19="",Besatzung!$B$6,Besatzung!$D$19)&gt;=B35)))*((G35-IFERROR(H35,0))/IFERROR(SUMPRODUCT((Besatzung!$B$11:$B$22&lt;&gt;"")*(IF(Besatzung!$C$11:$C$22="",Besatzung!$B$5,Besatzung!$C$11:$C$22)&lt;=B35)*(IF(Besatzung!$D$11:$D$22="",Besatzung!$B$6,Besatzung!$D$11:$D$22)&gt;=B35)),1)+(Besatzung!$F$19="x")*IFERROR(H35,0)/IFERROR(SUMPRODUCT((Besatzung!$B$11:$B$22&lt;&gt;"")*(Besatzung!$F$11:$F$22="x")*(IF(Besatzung!$C$11:$C$22="",Besatzung!$B$5,Besatzung!$C$11:$C$22)&lt;=B35)*(IF(Besatzung!$D$11:$D$22="",Besatzung!$B$6,Besatzung!$D$11:$D$22)&gt;=B35)),1))),IF(I35="Individuell",((R35="x")*((G35-IFERROR(H35,0))/IFERROR(COUNTIF(J35:U35,"x"),1)+(Besatzung!$F$19="x")*IFERROR(H35,0)/IFERROR(SUMPRODUCT((J35:U35="x")*(Besatzung!$F$11:$F$22="x")),1))),(IF(COUNTIF(J35:U35,"x")=0,IF(Besatzung!$B$19&lt;&gt;"",1,0),(R35="x"))*(G35-IFERROR(H35,0))/IFERROR(IF(COUNTIF(J35:U35,"x")=0,COUNTA(Besatzung!$B$11:$B$22),COUNTIF(J35:U35,"x")),1)+IF(COUNTIF(J35:U35,"x")=0,(Besatzung!$F$19="x"),(R35="x")*(Besatzung!$F$19="x"))*IFERROR(H35,0)/IFERROR(IF(COUNTIF(J35:U35,"x")=0,SUMPRODUCT((Besatzung!$B$11:$B$22&lt;&gt;"")*(Besatzung!$F$11:$F$22="x")),SUMPRODUCT((J35:U35="x")*(Besatzung!$F$11:$F$22="x"))),1))))),0))))</f>
        <v/>
      </c>
      <c r="AE35" s="247">
        <f>IF(C35="Gutschrift","",IF(G35="","",IF(Besatzung!$B$20="","",IFERROR(IF(I35="Zeitanteilig",(Besatzung!$G$20*(G35-IFERROR(H35,0))+((Besatzung!$B$20&lt;&gt;"")*IF(B35="",1,(IF(Besatzung!$C$20="",Besatzung!$B$5,Besatzung!$C$20)&lt;=B35)*(IF(Besatzung!$D$20="",Besatzung!$B$6,Besatzung!$D$20)&gt;=B35)))*(Besatzung!$F$20="x")*IFERROR(H35,0)/IFERROR(SUMPRODUCT((Besatzung!$B$11:$B$22&lt;&gt;"")*(Besatzung!$F$11:$F$22="x")*(IF(Besatzung!$C$11:$C$22="",Besatzung!$B$5,Besatzung!$C$11:$C$22)&lt;=B35)*(IF(Besatzung!$D$11:$D$22="",Besatzung!$B$6,Besatzung!$D$11:$D$22)&gt;=B35)),1)),IF(I35="An Bord",(((Besatzung!$B$20&lt;&gt;"")*IF(B35="",1,(IF(Besatzung!$C$20="",Besatzung!$B$5,Besatzung!$C$20)&lt;=B35)*(IF(Besatzung!$D$20="",Besatzung!$B$6,Besatzung!$D$20)&gt;=B35)))*((G35-IFERROR(H35,0))/IFERROR(SUMPRODUCT((Besatzung!$B$11:$B$22&lt;&gt;"")*(IF(Besatzung!$C$11:$C$22="",Besatzung!$B$5,Besatzung!$C$11:$C$22)&lt;=B35)*(IF(Besatzung!$D$11:$D$22="",Besatzung!$B$6,Besatzung!$D$11:$D$22)&gt;=B35)),1)+(Besatzung!$F$20="x")*IFERROR(H35,0)/IFERROR(SUMPRODUCT((Besatzung!$B$11:$B$22&lt;&gt;"")*(Besatzung!$F$11:$F$22="x")*(IF(Besatzung!$C$11:$C$22="",Besatzung!$B$5,Besatzung!$C$11:$C$22)&lt;=B35)*(IF(Besatzung!$D$11:$D$22="",Besatzung!$B$6,Besatzung!$D$11:$D$22)&gt;=B35)),1))),IF(I35="Individuell",((S35="x")*((G35-IFERROR(H35,0))/IFERROR(COUNTIF(J35:U35,"x"),1)+(Besatzung!$F$20="x")*IFERROR(H35,0)/IFERROR(SUMPRODUCT((J35:U35="x")*(Besatzung!$F$11:$F$22="x")),1))),(IF(COUNTIF(J35:U35,"x")=0,IF(Besatzung!$B$20&lt;&gt;"",1,0),(S35="x"))*(G35-IFERROR(H35,0))/IFERROR(IF(COUNTIF(J35:U35,"x")=0,COUNTA(Besatzung!$B$11:$B$22),COUNTIF(J35:U35,"x")),1)+IF(COUNTIF(J35:U35,"x")=0,(Besatzung!$F$20="x"),(S35="x")*(Besatzung!$F$20="x"))*IFERROR(H35,0)/IFERROR(IF(COUNTIF(J35:U35,"x")=0,SUMPRODUCT((Besatzung!$B$11:$B$22&lt;&gt;"")*(Besatzung!$F$11:$F$22="x")),SUMPRODUCT((J35:U35="x")*(Besatzung!$F$11:$F$22="x"))),1))))),0))))</f>
        <v/>
      </c>
      <c r="AF35" s="247">
        <f>IF(C35="Gutschrift","",IF(G35="","",IF(Besatzung!$B$21="","",IFERROR(IF(I35="Zeitanteilig",(Besatzung!$G$21*(G35-IFERROR(H35,0))+((Besatzung!$B$21&lt;&gt;"")*IF(B35="",1,(IF(Besatzung!$C$21="",Besatzung!$B$5,Besatzung!$C$21)&lt;=B35)*(IF(Besatzung!$D$21="",Besatzung!$B$6,Besatzung!$D$21)&gt;=B35)))*(Besatzung!$F$21="x")*IFERROR(H35,0)/IFERROR(SUMPRODUCT((Besatzung!$B$11:$B$22&lt;&gt;"")*(Besatzung!$F$11:$F$22="x")*(IF(Besatzung!$C$11:$C$22="",Besatzung!$B$5,Besatzung!$C$11:$C$22)&lt;=B35)*(IF(Besatzung!$D$11:$D$22="",Besatzung!$B$6,Besatzung!$D$11:$D$22)&gt;=B35)),1)),IF(I35="An Bord",(((Besatzung!$B$21&lt;&gt;"")*IF(B35="",1,(IF(Besatzung!$C$21="",Besatzung!$B$5,Besatzung!$C$21)&lt;=B35)*(IF(Besatzung!$D$21="",Besatzung!$B$6,Besatzung!$D$21)&gt;=B35)))*((G35-IFERROR(H35,0))/IFERROR(SUMPRODUCT((Besatzung!$B$11:$B$22&lt;&gt;"")*(IF(Besatzung!$C$11:$C$22="",Besatzung!$B$5,Besatzung!$C$11:$C$22)&lt;=B35)*(IF(Besatzung!$D$11:$D$22="",Besatzung!$B$6,Besatzung!$D$11:$D$22)&gt;=B35)),1)+(Besatzung!$F$21="x")*IFERROR(H35,0)/IFERROR(SUMPRODUCT((Besatzung!$B$11:$B$22&lt;&gt;"")*(Besatzung!$F$11:$F$22="x")*(IF(Besatzung!$C$11:$C$22="",Besatzung!$B$5,Besatzung!$C$11:$C$22)&lt;=B35)*(IF(Besatzung!$D$11:$D$22="",Besatzung!$B$6,Besatzung!$D$11:$D$22)&gt;=B35)),1))),IF(I35="Individuell",((T35="x")*((G35-IFERROR(H35,0))/IFERROR(COUNTIF(J35:U35,"x"),1)+(Besatzung!$F$21="x")*IFERROR(H35,0)/IFERROR(SUMPRODUCT((J35:U35="x")*(Besatzung!$F$11:$F$22="x")),1))),(IF(COUNTIF(J35:U35,"x")=0,IF(Besatzung!$B$21&lt;&gt;"",1,0),(T35="x"))*(G35-IFERROR(H35,0))/IFERROR(IF(COUNTIF(J35:U35,"x")=0,COUNTA(Besatzung!$B$11:$B$22),COUNTIF(J35:U35,"x")),1)+IF(COUNTIF(J35:U35,"x")=0,(Besatzung!$F$21="x"),(T35="x")*(Besatzung!$F$21="x"))*IFERROR(H35,0)/IFERROR(IF(COUNTIF(J35:U35,"x")=0,SUMPRODUCT((Besatzung!$B$11:$B$22&lt;&gt;"")*(Besatzung!$F$11:$F$22="x")),SUMPRODUCT((J35:U35="x")*(Besatzung!$F$11:$F$22="x"))),1))))),0))))</f>
        <v/>
      </c>
      <c r="AG35" s="247">
        <f>IF(C35="Gutschrift","",IF(G35="","",IF(Besatzung!$B$22="","",IFERROR(IF(I35="Zeitanteilig",(Besatzung!$G$22*(G35-IFERROR(H35,0))+((Besatzung!$B$22&lt;&gt;"")*IF(B35="",1,(IF(Besatzung!$C$22="",Besatzung!$B$5,Besatzung!$C$22)&lt;=B35)*(IF(Besatzung!$D$22="",Besatzung!$B$6,Besatzung!$D$22)&gt;=B35)))*(Besatzung!$F$22="x")*IFERROR(H35,0)/IFERROR(SUMPRODUCT((Besatzung!$B$11:$B$22&lt;&gt;"")*(Besatzung!$F$11:$F$22="x")*(IF(Besatzung!$C$11:$C$22="",Besatzung!$B$5,Besatzung!$C$11:$C$22)&lt;=B35)*(IF(Besatzung!$D$11:$D$22="",Besatzung!$B$6,Besatzung!$D$11:$D$22)&gt;=B35)),1)),IF(I35="An Bord",(((Besatzung!$B$22&lt;&gt;"")*IF(B35="",1,(IF(Besatzung!$C$22="",Besatzung!$B$5,Besatzung!$C$22)&lt;=B35)*(IF(Besatzung!$D$22="",Besatzung!$B$6,Besatzung!$D$22)&gt;=B35)))*((G35-IFERROR(H35,0))/IFERROR(SUMPRODUCT((Besatzung!$B$11:$B$22&lt;&gt;"")*(IF(Besatzung!$C$11:$C$22="",Besatzung!$B$5,Besatzung!$C$11:$C$22)&lt;=B35)*(IF(Besatzung!$D$11:$D$22="",Besatzung!$B$6,Besatzung!$D$11:$D$22)&gt;=B35)),1)+(Besatzung!$F$22="x")*IFERROR(H35,0)/IFERROR(SUMPRODUCT((Besatzung!$B$11:$B$22&lt;&gt;"")*(Besatzung!$F$11:$F$22="x")*(IF(Besatzung!$C$11:$C$22="",Besatzung!$B$5,Besatzung!$C$11:$C$22)&lt;=B35)*(IF(Besatzung!$D$11:$D$22="",Besatzung!$B$6,Besatzung!$D$11:$D$22)&gt;=B35)),1))),IF(I35="Individuell",((U35="x")*((G35-IFERROR(H35,0))/IFERROR(COUNTIF(J35:U35,"x"),1)+(Besatzung!$F$22="x")*IFERROR(H35,0)/IFERROR(SUMPRODUCT((J35:U35="x")*(Besatzung!$F$11:$F$22="x")),1))),(IF(COUNTIF(J35:U35,"x")=0,IF(Besatzung!$B$22&lt;&gt;"",1,0),(U35="x"))*(G35-IFERROR(H35,0))/IFERROR(IF(COUNTIF(J35:U35,"x")=0,COUNTA(Besatzung!$B$11:$B$22),COUNTIF(J35:U35,"x")),1)+IF(COUNTIF(J35:U35,"x")=0,(Besatzung!$F$22="x"),(U35="x")*(Besatzung!$F$22="x"))*IFERROR(H35,0)/IFERROR(IF(COUNTIF(J35:U35,"x")=0,SUMPRODUCT((Besatzung!$B$11:$B$22&lt;&gt;"")*(Besatzung!$F$11:$F$22="x")),SUMPRODUCT((J35:U35="x")*(Besatzung!$F$11:$F$22="x"))),1))))),0))))</f>
        <v/>
      </c>
      <c r="AH35" s="248" t="n"/>
      <c r="AI35" s="248" t="n"/>
    </row>
    <row r="36" ht="21.75" customHeight="1" s="154">
      <c r="A36" s="238">
        <f>IF(AND(D36="",C36=""),"",33)</f>
        <v/>
      </c>
      <c r="B36" s="199" t="n"/>
      <c r="C36" s="239" t="n"/>
      <c r="D36" s="240" t="n"/>
      <c r="E36" s="241" t="n"/>
      <c r="F36" s="242" t="n"/>
      <c r="G36" s="243" t="n"/>
      <c r="H36" s="244" t="n"/>
      <c r="I36" s="245" t="n"/>
      <c r="J36" s="246" t="n"/>
      <c r="K36" s="246" t="n"/>
      <c r="L36" s="246" t="n"/>
      <c r="M36" s="246" t="n"/>
      <c r="N36" s="246" t="n"/>
      <c r="O36" s="246" t="n"/>
      <c r="P36" s="246" t="n"/>
      <c r="Q36" s="246" t="n"/>
      <c r="R36" s="246" t="n"/>
      <c r="S36" s="246" t="n"/>
      <c r="T36" s="246" t="n"/>
      <c r="U36" s="246" t="n"/>
      <c r="V36" s="247">
        <f>IF(C36="Gutschrift","",IF(G36="","",IF(Besatzung!$B$11="","",IFERROR(IF(I36="Zeitanteilig",(Besatzung!$G$11*(G36-IFERROR(H36,0))+((Besatzung!$B$11&lt;&gt;"")*IF(B36="",1,(IF(Besatzung!$C$11="",Besatzung!$B$5,Besatzung!$C$11)&lt;=B36)*(IF(Besatzung!$D$11="",Besatzung!$B$6,Besatzung!$D$11)&gt;=B36)))*(Besatzung!$F$11="x")*IFERROR(H36,0)/IFERROR(SUMPRODUCT((Besatzung!$B$11:$B$22&lt;&gt;"")*(Besatzung!$F$11:$F$22="x")*(IF(Besatzung!$C$11:$C$22="",Besatzung!$B$5,Besatzung!$C$11:$C$22)&lt;=B36)*(IF(Besatzung!$D$11:$D$22="",Besatzung!$B$6,Besatzung!$D$11:$D$22)&gt;=B36)),1)),IF(I36="An Bord",(((Besatzung!$B$11&lt;&gt;"")*IF(B36="",1,(IF(Besatzung!$C$11="",Besatzung!$B$5,Besatzung!$C$11)&lt;=B36)*(IF(Besatzung!$D$11="",Besatzung!$B$6,Besatzung!$D$11)&gt;=B36)))*((G36-IFERROR(H36,0))/IFERROR(SUMPRODUCT((Besatzung!$B$11:$B$22&lt;&gt;"")*(IF(Besatzung!$C$11:$C$22="",Besatzung!$B$5,Besatzung!$C$11:$C$22)&lt;=B36)*(IF(Besatzung!$D$11:$D$22="",Besatzung!$B$6,Besatzung!$D$11:$D$22)&gt;=B36)),1)+(Besatzung!$F$11="x")*IFERROR(H36,0)/IFERROR(SUMPRODUCT((Besatzung!$B$11:$B$22&lt;&gt;"")*(Besatzung!$F$11:$F$22="x")*(IF(Besatzung!$C$11:$C$22="",Besatzung!$B$5,Besatzung!$C$11:$C$22)&lt;=B36)*(IF(Besatzung!$D$11:$D$22="",Besatzung!$B$6,Besatzung!$D$11:$D$22)&gt;=B36)),1))),IF(I36="Individuell",((J36="x")*((G36-IFERROR(H36,0))/IFERROR(COUNTIF(J36:U36,"x"),1)+(Besatzung!$F$11="x")*IFERROR(H36,0)/IFERROR(SUMPRODUCT((J36:U36="x")*(Besatzung!$F$11:$F$22="x")),1))),(IF(COUNTIF(J36:U36,"x")=0,IF(Besatzung!$B$11&lt;&gt;"",1,0),(J36="x"))*(G36-IFERROR(H36,0))/IFERROR(IF(COUNTIF(J36:U36,"x")=0,COUNTA(Besatzung!$B$11:$B$22),COUNTIF(J36:U36,"x")),1)+IF(COUNTIF(J36:U36,"x")=0,(Besatzung!$F$11="x"),(J36="x")*(Besatzung!$F$11="x"))*IFERROR(H36,0)/IFERROR(IF(COUNTIF(J36:U36,"x")=0,SUMPRODUCT((Besatzung!$B$11:$B$22&lt;&gt;"")*(Besatzung!$F$11:$F$22="x")),SUMPRODUCT((J36:U36="x")*(Besatzung!$F$11:$F$22="x"))),1))))),0))))</f>
        <v/>
      </c>
      <c r="W36" s="247">
        <f>IF(C36="Gutschrift","",IF(G36="","",IF(Besatzung!$B$12="","",IFERROR(IF(I36="Zeitanteilig",(Besatzung!$G$12*(G36-IFERROR(H36,0))+((Besatzung!$B$12&lt;&gt;"")*IF(B36="",1,(IF(Besatzung!$C$12="",Besatzung!$B$5,Besatzung!$C$12)&lt;=B36)*(IF(Besatzung!$D$12="",Besatzung!$B$6,Besatzung!$D$12)&gt;=B36)))*(Besatzung!$F$12="x")*IFERROR(H36,0)/IFERROR(SUMPRODUCT((Besatzung!$B$11:$B$22&lt;&gt;"")*(Besatzung!$F$11:$F$22="x")*(IF(Besatzung!$C$11:$C$22="",Besatzung!$B$5,Besatzung!$C$11:$C$22)&lt;=B36)*(IF(Besatzung!$D$11:$D$22="",Besatzung!$B$6,Besatzung!$D$11:$D$22)&gt;=B36)),1)),IF(I36="An Bord",(((Besatzung!$B$12&lt;&gt;"")*IF(B36="",1,(IF(Besatzung!$C$12="",Besatzung!$B$5,Besatzung!$C$12)&lt;=B36)*(IF(Besatzung!$D$12="",Besatzung!$B$6,Besatzung!$D$12)&gt;=B36)))*((G36-IFERROR(H36,0))/IFERROR(SUMPRODUCT((Besatzung!$B$11:$B$22&lt;&gt;"")*(IF(Besatzung!$C$11:$C$22="",Besatzung!$B$5,Besatzung!$C$11:$C$22)&lt;=B36)*(IF(Besatzung!$D$11:$D$22="",Besatzung!$B$6,Besatzung!$D$11:$D$22)&gt;=B36)),1)+(Besatzung!$F$12="x")*IFERROR(H36,0)/IFERROR(SUMPRODUCT((Besatzung!$B$11:$B$22&lt;&gt;"")*(Besatzung!$F$11:$F$22="x")*(IF(Besatzung!$C$11:$C$22="",Besatzung!$B$5,Besatzung!$C$11:$C$22)&lt;=B36)*(IF(Besatzung!$D$11:$D$22="",Besatzung!$B$6,Besatzung!$D$11:$D$22)&gt;=B36)),1))),IF(I36="Individuell",((K36="x")*((G36-IFERROR(H36,0))/IFERROR(COUNTIF(J36:U36,"x"),1)+(Besatzung!$F$12="x")*IFERROR(H36,0)/IFERROR(SUMPRODUCT((J36:U36="x")*(Besatzung!$F$11:$F$22="x")),1))),(IF(COUNTIF(J36:U36,"x")=0,IF(Besatzung!$B$12&lt;&gt;"",1,0),(K36="x"))*(G36-IFERROR(H36,0))/IFERROR(IF(COUNTIF(J36:U36,"x")=0,COUNTA(Besatzung!$B$11:$B$22),COUNTIF(J36:U36,"x")),1)+IF(COUNTIF(J36:U36,"x")=0,(Besatzung!$F$12="x"),(K36="x")*(Besatzung!$F$12="x"))*IFERROR(H36,0)/IFERROR(IF(COUNTIF(J36:U36,"x")=0,SUMPRODUCT((Besatzung!$B$11:$B$22&lt;&gt;"")*(Besatzung!$F$11:$F$22="x")),SUMPRODUCT((J36:U36="x")*(Besatzung!$F$11:$F$22="x"))),1))))),0))))</f>
        <v/>
      </c>
      <c r="X36" s="247">
        <f>IF(C36="Gutschrift","",IF(G36="","",IF(Besatzung!$B$13="","",IFERROR(IF(I36="Zeitanteilig",(Besatzung!$G$13*(G36-IFERROR(H36,0))+((Besatzung!$B$13&lt;&gt;"")*IF(B36="",1,(IF(Besatzung!$C$13="",Besatzung!$B$5,Besatzung!$C$13)&lt;=B36)*(IF(Besatzung!$D$13="",Besatzung!$B$6,Besatzung!$D$13)&gt;=B36)))*(Besatzung!$F$13="x")*IFERROR(H36,0)/IFERROR(SUMPRODUCT((Besatzung!$B$11:$B$22&lt;&gt;"")*(Besatzung!$F$11:$F$22="x")*(IF(Besatzung!$C$11:$C$22="",Besatzung!$B$5,Besatzung!$C$11:$C$22)&lt;=B36)*(IF(Besatzung!$D$11:$D$22="",Besatzung!$B$6,Besatzung!$D$11:$D$22)&gt;=B36)),1)),IF(I36="An Bord",(((Besatzung!$B$13&lt;&gt;"")*IF(B36="",1,(IF(Besatzung!$C$13="",Besatzung!$B$5,Besatzung!$C$13)&lt;=B36)*(IF(Besatzung!$D$13="",Besatzung!$B$6,Besatzung!$D$13)&gt;=B36)))*((G36-IFERROR(H36,0))/IFERROR(SUMPRODUCT((Besatzung!$B$11:$B$22&lt;&gt;"")*(IF(Besatzung!$C$11:$C$22="",Besatzung!$B$5,Besatzung!$C$11:$C$22)&lt;=B36)*(IF(Besatzung!$D$11:$D$22="",Besatzung!$B$6,Besatzung!$D$11:$D$22)&gt;=B36)),1)+(Besatzung!$F$13="x")*IFERROR(H36,0)/IFERROR(SUMPRODUCT((Besatzung!$B$11:$B$22&lt;&gt;"")*(Besatzung!$F$11:$F$22="x")*(IF(Besatzung!$C$11:$C$22="",Besatzung!$B$5,Besatzung!$C$11:$C$22)&lt;=B36)*(IF(Besatzung!$D$11:$D$22="",Besatzung!$B$6,Besatzung!$D$11:$D$22)&gt;=B36)),1))),IF(I36="Individuell",((K36="x")*((G36-IFERROR(H36,0))/IFERROR(COUNTIF(J36:U36,"x"),1)+(Besatzung!$F$13="x")*IFERROR(H36,0)/IFERROR(SUMPRODUCT((J36:U36="x")*(Besatzung!$F$11:$F$22="x")),1))),(IF(COUNTIF(J36:U36,"x")=0,IF(Besatzung!$B$13&lt;&gt;"",1,0),(K36="x"))*(G36-IFERROR(H36,0))/IFERROR(IF(COUNTIF(J36:U36,"x")=0,COUNTA(Besatzung!$B$11:$B$22),COUNTIF(J36:U36,"x")),1)+IF(COUNTIF(J36:U36,"x")=0,(Besatzung!$F$13="x"),(K36="x")*(Besatzung!$F$13="x"))*IFERROR(H36,0)/IFERROR(IF(COUNTIF(J36:U36,"x")=0,SUMPRODUCT((Besatzung!$B$11:$B$22&lt;&gt;"")*(Besatzung!$F$11:$F$22="x")),SUMPRODUCT((J36:U36="x")*(Besatzung!$F$11:$F$22="x"))),1))))),0))))</f>
        <v/>
      </c>
      <c r="Y36" s="247">
        <f>IF(C36="Gutschrift","",IF(G36="","",IF(Besatzung!$B$14="","",IFERROR(IF(I36="Zeitanteilig",(Besatzung!$G$14*(G36-IFERROR(H36,0))+((Besatzung!$B$14&lt;&gt;"")*IF(B36="",1,(IF(Besatzung!$C$14="",Besatzung!$B$5,Besatzung!$C$14)&lt;=B36)*(IF(Besatzung!$D$14="",Besatzung!$B$6,Besatzung!$D$14)&gt;=B36)))*(Besatzung!$F$14="x")*IFERROR(H36,0)/IFERROR(SUMPRODUCT((Besatzung!$B$11:$B$22&lt;&gt;"")*(Besatzung!$F$11:$F$22="x")*(IF(Besatzung!$C$11:$C$22="",Besatzung!$B$5,Besatzung!$C$11:$C$22)&lt;=B36)*(IF(Besatzung!$D$11:$D$22="",Besatzung!$B$6,Besatzung!$D$11:$D$22)&gt;=B36)),1)),IF(I36="An Bord",(((Besatzung!$B$14&lt;&gt;"")*IF(B36="",1,(IF(Besatzung!$C$14="",Besatzung!$B$5,Besatzung!$C$14)&lt;=B36)*(IF(Besatzung!$D$14="",Besatzung!$B$6,Besatzung!$D$14)&gt;=B36)))*((G36-IFERROR(H36,0))/IFERROR(SUMPRODUCT((Besatzung!$B$11:$B$22&lt;&gt;"")*(IF(Besatzung!$C$11:$C$22="",Besatzung!$B$5,Besatzung!$C$11:$C$22)&lt;=B36)*(IF(Besatzung!$D$11:$D$22="",Besatzung!$B$6,Besatzung!$D$11:$D$22)&gt;=B36)),1)+(Besatzung!$F$14="x")*IFERROR(H36,0)/IFERROR(SUMPRODUCT((Besatzung!$B$11:$B$22&lt;&gt;"")*(Besatzung!$F$11:$F$22="x")*(IF(Besatzung!$C$11:$C$22="",Besatzung!$B$5,Besatzung!$C$11:$C$22)&lt;=B36)*(IF(Besatzung!$D$11:$D$22="",Besatzung!$B$6,Besatzung!$D$11:$D$22)&gt;=B36)),1))),IF(I36="Individuell",((M36="x")*((G36-IFERROR(H36,0))/IFERROR(COUNTIF(J36:U36,"x"),1)+(Besatzung!$F$14="x")*IFERROR(H36,0)/IFERROR(SUMPRODUCT((J36:U36="x")*(Besatzung!$F$11:$F$22="x")),1))),(IF(COUNTIF(J36:U36,"x")=0,IF(Besatzung!$B$14&lt;&gt;"",1,0),(M36="x"))*(G36-IFERROR(H36,0))/IFERROR(IF(COUNTIF(J36:U36,"x")=0,COUNTA(Besatzung!$B$11:$B$22),COUNTIF(J36:U36,"x")),1)+IF(COUNTIF(J36:U36,"x")=0,(Besatzung!$F$14="x"),(M36="x")*(Besatzung!$F$14="x"))*IFERROR(H36,0)/IFERROR(IF(COUNTIF(J36:U36,"x")=0,SUMPRODUCT((Besatzung!$B$11:$B$22&lt;&gt;"")*(Besatzung!$F$11:$F$22="x")),SUMPRODUCT((J36:U36="x")*(Besatzung!$F$11:$F$22="x"))),1))))),0))))</f>
        <v/>
      </c>
      <c r="Z36" s="247">
        <f>IF(C36="Gutschrift","",IF(G36="","",IF(Besatzung!$B$13="","",IFERROR(IF(I36="Zeitanteilig",(Besatzung!$G$15*(G36-IFERROR(H36,0))+((Besatzung!$B$13&lt;&gt;"")*IF(B36="",1,(IF(Besatzung!$C$15="",Besatzung!$B$5,Besatzung!$C$15)&lt;=B36)*(IF(Besatzung!$D$15="",Besatzung!$B$6,Besatzung!$D$15)&gt;=B36)))*(Besatzung!$F$15="x")*IFERROR(H36,0)/IFERROR(SUMPRODUCT((Besatzung!$B$11:$B$22&lt;&gt;"")*(Besatzung!$F$11:$F$22="x")*(IF(Besatzung!$C$11:$C$22="",Besatzung!$B$5,Besatzung!$C$11:$C$22)&lt;=B36)*(IF(Besatzung!$D$11:$D$22="",Besatzung!$B$6,Besatzung!$D$11:$D$22)&gt;=B36)),1)),IF(I36="An Bord",(((Besatzung!$B$13&lt;&gt;"")*IF(B36="",1,(IF(Besatzung!$C$15="",Besatzung!$B$5,Besatzung!$C$15)&lt;=B36)*(IF(Besatzung!$D$15="",Besatzung!$B$6,Besatzung!$D$15)&gt;=B36)))*((G36-IFERROR(H36,0))/IFERROR(SUMPRODUCT((Besatzung!$B$11:$B$22&lt;&gt;"")*(IF(Besatzung!$C$11:$C$22="",Besatzung!$B$5,Besatzung!$C$11:$C$22)&lt;=B36)*(IF(Besatzung!$D$11:$D$22="",Besatzung!$B$6,Besatzung!$D$11:$D$22)&gt;=B36)),1)+(Besatzung!$F$15="x")*IFERROR(H36,0)/IFERROR(SUMPRODUCT((Besatzung!$B$11:$B$22&lt;&gt;"")*(Besatzung!$F$11:$F$22="x")*(IF(Besatzung!$C$11:$C$22="",Besatzung!$B$5,Besatzung!$C$11:$C$22)&lt;=B36)*(IF(Besatzung!$D$11:$D$22="",Besatzung!$B$6,Besatzung!$D$11:$D$22)&gt;=B36)),1))),IF(I36="Individuell",((N36="x")*((G36-IFERROR(H36,0))/IFERROR(COUNTIF(J36:U36,"x"),1)+(Besatzung!$F$15="x")*IFERROR(H36,0)/IFERROR(SUMPRODUCT((J36:U36="x")*(Besatzung!$F$11:$F$22="x")),1))),(IF(COUNTIF(J36:U36,"x")=0,IF(Besatzung!$B$13&lt;&gt;"",1,0),(N36="x"))*(G36-IFERROR(H36,0))/IFERROR(IF(COUNTIF(J36:U36,"x")=0,COUNTA(Besatzung!$B$11:$B$22),COUNTIF(J36:U36,"x")),1)+IF(COUNTIF(J36:U36,"x")=0,(Besatzung!$F$15="x"),(N36="x")*(Besatzung!$F$15="x"))*IFERROR(H36,0)/IFERROR(IF(COUNTIF(J36:U36,"x")=0,SUMPRODUCT((Besatzung!$B$11:$B$22&lt;&gt;"")*(Besatzung!$F$11:$F$22="x")),SUMPRODUCT((J36:U36="x")*(Besatzung!$F$11:$F$22="x"))),1))))),0))))</f>
        <v/>
      </c>
      <c r="AA36" s="247">
        <f>IF(C36="Gutschrift","",IF(G36="","",IF(Besatzung!$B$15="","",IFERROR(IF(I36="Zeitanteilig",(Besatzung!$G$16*(G36-IFERROR(H36,0))+((Besatzung!$B$15&lt;&gt;"")*IF(B36="",1,(IF(Besatzung!$C$16="",Besatzung!$B$5,Besatzung!$C$16)&lt;=B36)*(IF(Besatzung!$D$16="",Besatzung!$B$6,Besatzung!$D$16)&gt;=B36)))*(Besatzung!$F$16="x")*IFERROR(H36,0)/IFERROR(SUMPRODUCT((Besatzung!$B$11:$B$22&lt;&gt;"")*(Besatzung!$F$11:$F$22="x")*(IF(Besatzung!$C$11:$C$22="",Besatzung!$B$5,Besatzung!$C$11:$C$22)&lt;=B36)*(IF(Besatzung!$D$11:$D$22="",Besatzung!$B$6,Besatzung!$D$11:$D$22)&gt;=B36)),1)),IF(I36="An Bord",(((Besatzung!$B$15&lt;&gt;"")*IF(B36="",1,(IF(Besatzung!$C$16="",Besatzung!$B$5,Besatzung!$C$16)&lt;=B36)*(IF(Besatzung!$D$16="",Besatzung!$B$6,Besatzung!$D$16)&gt;=B36)))*((G36-IFERROR(H36,0))/IFERROR(SUMPRODUCT((Besatzung!$B$11:$B$22&lt;&gt;"")*(IF(Besatzung!$C$11:$C$22="",Besatzung!$B$5,Besatzung!$C$11:$C$22)&lt;=B36)*(IF(Besatzung!$D$11:$D$22="",Besatzung!$B$6,Besatzung!$D$11:$D$22)&gt;=B36)),1)+(Besatzung!$F$16="x")*IFERROR(H36,0)/IFERROR(SUMPRODUCT((Besatzung!$B$11:$B$22&lt;&gt;"")*(Besatzung!$F$11:$F$22="x")*(IF(Besatzung!$C$11:$C$22="",Besatzung!$B$5,Besatzung!$C$11:$C$22)&lt;=B36)*(IF(Besatzung!$D$11:$D$22="",Besatzung!$B$6,Besatzung!$D$11:$D$22)&gt;=B36)),1))),IF(I36="Individuell",((O36="x")*((G36-IFERROR(H36,0))/IFERROR(COUNTIF(J36:U36,"x"),1)+(Besatzung!$F$16="x")*IFERROR(H36,0)/IFERROR(SUMPRODUCT((J36:U36="x")*(Besatzung!$F$11:$F$22="x")),1))),(IF(COUNTIF(J36:U36,"x")=0,IF(Besatzung!$B$15&lt;&gt;"",1,0),(O36="x"))*(G36-IFERROR(H36,0))/IFERROR(IF(COUNTIF(J36:U36,"x")=0,COUNTA(Besatzung!$B$11:$B$22),COUNTIF(J36:U36,"x")),1)+IF(COUNTIF(J36:U36,"x")=0,(Besatzung!$F$16="x"),(O36="x")*(Besatzung!$F$16="x"))*IFERROR(H36,0)/IFERROR(IF(COUNTIF(J36:U36,"x")=0,SUMPRODUCT((Besatzung!$B$11:$B$22&lt;&gt;"")*(Besatzung!$F$11:$F$22="x")),SUMPRODUCT((J36:U36="x")*(Besatzung!$F$11:$F$22="x"))),1))))),0))))</f>
        <v/>
      </c>
      <c r="AB36" s="247">
        <f>IF(C36="Gutschrift","",IF(G36="","",IF(Besatzung!$B$17="","",IFERROR(IF(I36="Zeitanteilig",(Besatzung!$G$17*(G36-IFERROR(H36,0))+((Besatzung!$B$17&lt;&gt;"")*IF(B36="",1,(IF(Besatzung!$C$17="",Besatzung!$B$5,Besatzung!$C$17)&lt;=B36)*(IF(Besatzung!$D$17="",Besatzung!$B$6,Besatzung!$D$17)&gt;=B36)))*(Besatzung!$F$17="x")*IFERROR(H36,0)/IFERROR(SUMPRODUCT((Besatzung!$B$11:$B$22&lt;&gt;"")*(Besatzung!$F$11:$F$22="x")*(IF(Besatzung!$C$11:$C$22="",Besatzung!$B$5,Besatzung!$C$11:$C$22)&lt;=B36)*(IF(Besatzung!$D$11:$D$22="",Besatzung!$B$6,Besatzung!$D$11:$D$22)&gt;=B36)),1)),IF(I36="An Bord",(((Besatzung!$B$17&lt;&gt;"")*IF(B36="",1,(IF(Besatzung!$C$17="",Besatzung!$B$5,Besatzung!$C$17)&lt;=B36)*(IF(Besatzung!$D$17="",Besatzung!$B$6,Besatzung!$D$17)&gt;=B36)))*((G36-IFERROR(H36,0))/IFERROR(SUMPRODUCT((Besatzung!$B$11:$B$22&lt;&gt;"")*(IF(Besatzung!$C$11:$C$22="",Besatzung!$B$5,Besatzung!$C$11:$C$22)&lt;=B36)*(IF(Besatzung!$D$11:$D$22="",Besatzung!$B$6,Besatzung!$D$11:$D$22)&gt;=B36)),1)+(Besatzung!$F$17="x")*IFERROR(H36,0)/IFERROR(SUMPRODUCT((Besatzung!$B$11:$B$22&lt;&gt;"")*(Besatzung!$F$11:$F$22="x")*(IF(Besatzung!$C$11:$C$22="",Besatzung!$B$5,Besatzung!$C$11:$C$22)&lt;=B36)*(IF(Besatzung!$D$11:$D$22="",Besatzung!$B$6,Besatzung!$D$11:$D$22)&gt;=B36)),1))),IF(I36="Individuell",((P36="x")*((G36-IFERROR(H36,0))/IFERROR(COUNTIF(J36:U36,"x"),1)+(Besatzung!$F$17="x")*IFERROR(H36,0)/IFERROR(SUMPRODUCT((J36:U36="x")*(Besatzung!$F$11:$F$22="x")),1))),(IF(COUNTIF(J36:U36,"x")=0,IF(Besatzung!$B$17&lt;&gt;"",1,0),(P36="x"))*(G36-IFERROR(H36,0))/IFERROR(IF(COUNTIF(J36:U36,"x")=0,COUNTA(Besatzung!$B$11:$B$22),COUNTIF(J36:U36,"x")),1)+IF(COUNTIF(J36:U36,"x")=0,(Besatzung!$F$17="x"),(P36="x")*(Besatzung!$F$17="x"))*IFERROR(H36,0)/IFERROR(IF(COUNTIF(J36:U36,"x")=0,SUMPRODUCT((Besatzung!$B$11:$B$22&lt;&gt;"")*(Besatzung!$F$11:$F$22="x")),SUMPRODUCT((J36:U36="x")*(Besatzung!$F$11:$F$22="x"))),1))))),0))))</f>
        <v/>
      </c>
      <c r="AC36" s="247">
        <f>IF(C36="Gutschrift","",IF(G36="","",IF(Besatzung!$B$18="","",IFERROR(IF(I36="Zeitanteilig",(Besatzung!$G$18*(G36-IFERROR(H36,0))+((Besatzung!$B$18&lt;&gt;"")*IF(B36="",1,(IF(Besatzung!$C$18="",Besatzung!$B$5,Besatzung!$C$18)&lt;=B36)*(IF(Besatzung!$D$18="",Besatzung!$B$6,Besatzung!$D$18)&gt;=B36)))*(Besatzung!$F$18="x")*IFERROR(H36,0)/IFERROR(SUMPRODUCT((Besatzung!$B$11:$B$22&lt;&gt;"")*(Besatzung!$F$11:$F$22="x")*(IF(Besatzung!$C$11:$C$22="",Besatzung!$B$5,Besatzung!$C$11:$C$22)&lt;=B36)*(IF(Besatzung!$D$11:$D$22="",Besatzung!$B$6,Besatzung!$D$11:$D$22)&gt;=B36)),1)),IF(I36="An Bord",(((Besatzung!$B$18&lt;&gt;"")*IF(B36="",1,(IF(Besatzung!$C$18="",Besatzung!$B$5,Besatzung!$C$18)&lt;=B36)*(IF(Besatzung!$D$18="",Besatzung!$B$6,Besatzung!$D$18)&gt;=B36)))*((G36-IFERROR(H36,0))/IFERROR(SUMPRODUCT((Besatzung!$B$11:$B$22&lt;&gt;"")*(IF(Besatzung!$C$11:$C$22="",Besatzung!$B$5,Besatzung!$C$11:$C$22)&lt;=B36)*(IF(Besatzung!$D$11:$D$22="",Besatzung!$B$6,Besatzung!$D$11:$D$22)&gt;=B36)),1)+(Besatzung!$F$18="x")*IFERROR(H36,0)/IFERROR(SUMPRODUCT((Besatzung!$B$11:$B$22&lt;&gt;"")*(Besatzung!$F$11:$F$22="x")*(IF(Besatzung!$C$11:$C$22="",Besatzung!$B$5,Besatzung!$C$11:$C$22)&lt;=B36)*(IF(Besatzung!$D$11:$D$22="",Besatzung!$B$6,Besatzung!$D$11:$D$22)&gt;=B36)),1))),IF(I36="Individuell",((Q36="x")*((G36-IFERROR(H36,0))/IFERROR(COUNTIF(J36:U36,"x"),1)+(Besatzung!$F$18="x")*IFERROR(H36,0)/IFERROR(SUMPRODUCT((J36:U36="x")*(Besatzung!$F$11:$F$22="x")),1))),(IF(COUNTIF(J36:U36,"x")=0,IF(Besatzung!$B$18&lt;&gt;"",1,0),(Q36="x"))*(G36-IFERROR(H36,0))/IFERROR(IF(COUNTIF(J36:U36,"x")=0,COUNTA(Besatzung!$B$11:$B$22),COUNTIF(J36:U36,"x")),1)+IF(COUNTIF(J36:U36,"x")=0,(Besatzung!$F$18="x"),(Q36="x")*(Besatzung!$F$18="x"))*IFERROR(H36,0)/IFERROR(IF(COUNTIF(J36:U36,"x")=0,SUMPRODUCT((Besatzung!$B$11:$B$22&lt;&gt;"")*(Besatzung!$F$11:$F$22="x")),SUMPRODUCT((J36:U36="x")*(Besatzung!$F$11:$F$22="x"))),1))))),0))))</f>
        <v/>
      </c>
      <c r="AD36" s="247">
        <f>IF(C36="Gutschrift","",IF(G36="","",IF(Besatzung!$B$19="","",IFERROR(IF(I36="Zeitanteilig",(Besatzung!$G$19*(G36-IFERROR(H36,0))+((Besatzung!$B$19&lt;&gt;"")*IF(B36="",1,(IF(Besatzung!$C$19="",Besatzung!$B$5,Besatzung!$C$19)&lt;=B36)*(IF(Besatzung!$D$19="",Besatzung!$B$6,Besatzung!$D$19)&gt;=B36)))*(Besatzung!$F$19="x")*IFERROR(H36,0)/IFERROR(SUMPRODUCT((Besatzung!$B$11:$B$22&lt;&gt;"")*(Besatzung!$F$11:$F$22="x")*(IF(Besatzung!$C$11:$C$22="",Besatzung!$B$5,Besatzung!$C$11:$C$22)&lt;=B36)*(IF(Besatzung!$D$11:$D$22="",Besatzung!$B$6,Besatzung!$D$11:$D$22)&gt;=B36)),1)),IF(I36="An Bord",(((Besatzung!$B$19&lt;&gt;"")*IF(B36="",1,(IF(Besatzung!$C$19="",Besatzung!$B$5,Besatzung!$C$19)&lt;=B36)*(IF(Besatzung!$D$19="",Besatzung!$B$6,Besatzung!$D$19)&gt;=B36)))*((G36-IFERROR(H36,0))/IFERROR(SUMPRODUCT((Besatzung!$B$11:$B$22&lt;&gt;"")*(IF(Besatzung!$C$11:$C$22="",Besatzung!$B$5,Besatzung!$C$11:$C$22)&lt;=B36)*(IF(Besatzung!$D$11:$D$22="",Besatzung!$B$6,Besatzung!$D$11:$D$22)&gt;=B36)),1)+(Besatzung!$F$19="x")*IFERROR(H36,0)/IFERROR(SUMPRODUCT((Besatzung!$B$11:$B$22&lt;&gt;"")*(Besatzung!$F$11:$F$22="x")*(IF(Besatzung!$C$11:$C$22="",Besatzung!$B$5,Besatzung!$C$11:$C$22)&lt;=B36)*(IF(Besatzung!$D$11:$D$22="",Besatzung!$B$6,Besatzung!$D$11:$D$22)&gt;=B36)),1))),IF(I36="Individuell",((R36="x")*((G36-IFERROR(H36,0))/IFERROR(COUNTIF(J36:U36,"x"),1)+(Besatzung!$F$19="x")*IFERROR(H36,0)/IFERROR(SUMPRODUCT((J36:U36="x")*(Besatzung!$F$11:$F$22="x")),1))),(IF(COUNTIF(J36:U36,"x")=0,IF(Besatzung!$B$19&lt;&gt;"",1,0),(R36="x"))*(G36-IFERROR(H36,0))/IFERROR(IF(COUNTIF(J36:U36,"x")=0,COUNTA(Besatzung!$B$11:$B$22),COUNTIF(J36:U36,"x")),1)+IF(COUNTIF(J36:U36,"x")=0,(Besatzung!$F$19="x"),(R36="x")*(Besatzung!$F$19="x"))*IFERROR(H36,0)/IFERROR(IF(COUNTIF(J36:U36,"x")=0,SUMPRODUCT((Besatzung!$B$11:$B$22&lt;&gt;"")*(Besatzung!$F$11:$F$22="x")),SUMPRODUCT((J36:U36="x")*(Besatzung!$F$11:$F$22="x"))),1))))),0))))</f>
        <v/>
      </c>
      <c r="AE36" s="247">
        <f>IF(C36="Gutschrift","",IF(G36="","",IF(Besatzung!$B$20="","",IFERROR(IF(I36="Zeitanteilig",(Besatzung!$G$20*(G36-IFERROR(H36,0))+((Besatzung!$B$20&lt;&gt;"")*IF(B36="",1,(IF(Besatzung!$C$20="",Besatzung!$B$5,Besatzung!$C$20)&lt;=B36)*(IF(Besatzung!$D$20="",Besatzung!$B$6,Besatzung!$D$20)&gt;=B36)))*(Besatzung!$F$20="x")*IFERROR(H36,0)/IFERROR(SUMPRODUCT((Besatzung!$B$11:$B$22&lt;&gt;"")*(Besatzung!$F$11:$F$22="x")*(IF(Besatzung!$C$11:$C$22="",Besatzung!$B$5,Besatzung!$C$11:$C$22)&lt;=B36)*(IF(Besatzung!$D$11:$D$22="",Besatzung!$B$6,Besatzung!$D$11:$D$22)&gt;=B36)),1)),IF(I36="An Bord",(((Besatzung!$B$20&lt;&gt;"")*IF(B36="",1,(IF(Besatzung!$C$20="",Besatzung!$B$5,Besatzung!$C$20)&lt;=B36)*(IF(Besatzung!$D$20="",Besatzung!$B$6,Besatzung!$D$20)&gt;=B36)))*((G36-IFERROR(H36,0))/IFERROR(SUMPRODUCT((Besatzung!$B$11:$B$22&lt;&gt;"")*(IF(Besatzung!$C$11:$C$22="",Besatzung!$B$5,Besatzung!$C$11:$C$22)&lt;=B36)*(IF(Besatzung!$D$11:$D$22="",Besatzung!$B$6,Besatzung!$D$11:$D$22)&gt;=B36)),1)+(Besatzung!$F$20="x")*IFERROR(H36,0)/IFERROR(SUMPRODUCT((Besatzung!$B$11:$B$22&lt;&gt;"")*(Besatzung!$F$11:$F$22="x")*(IF(Besatzung!$C$11:$C$22="",Besatzung!$B$5,Besatzung!$C$11:$C$22)&lt;=B36)*(IF(Besatzung!$D$11:$D$22="",Besatzung!$B$6,Besatzung!$D$11:$D$22)&gt;=B36)),1))),IF(I36="Individuell",((S36="x")*((G36-IFERROR(H36,0))/IFERROR(COUNTIF(J36:U36,"x"),1)+(Besatzung!$F$20="x")*IFERROR(H36,0)/IFERROR(SUMPRODUCT((J36:U36="x")*(Besatzung!$F$11:$F$22="x")),1))),(IF(COUNTIF(J36:U36,"x")=0,IF(Besatzung!$B$20&lt;&gt;"",1,0),(S36="x"))*(G36-IFERROR(H36,0))/IFERROR(IF(COUNTIF(J36:U36,"x")=0,COUNTA(Besatzung!$B$11:$B$22),COUNTIF(J36:U36,"x")),1)+IF(COUNTIF(J36:U36,"x")=0,(Besatzung!$F$20="x"),(S36="x")*(Besatzung!$F$20="x"))*IFERROR(H36,0)/IFERROR(IF(COUNTIF(J36:U36,"x")=0,SUMPRODUCT((Besatzung!$B$11:$B$22&lt;&gt;"")*(Besatzung!$F$11:$F$22="x")),SUMPRODUCT((J36:U36="x")*(Besatzung!$F$11:$F$22="x"))),1))))),0))))</f>
        <v/>
      </c>
      <c r="AF36" s="247">
        <f>IF(C36="Gutschrift","",IF(G36="","",IF(Besatzung!$B$21="","",IFERROR(IF(I36="Zeitanteilig",(Besatzung!$G$21*(G36-IFERROR(H36,0))+((Besatzung!$B$21&lt;&gt;"")*IF(B36="",1,(IF(Besatzung!$C$21="",Besatzung!$B$5,Besatzung!$C$21)&lt;=B36)*(IF(Besatzung!$D$21="",Besatzung!$B$6,Besatzung!$D$21)&gt;=B36)))*(Besatzung!$F$21="x")*IFERROR(H36,0)/IFERROR(SUMPRODUCT((Besatzung!$B$11:$B$22&lt;&gt;"")*(Besatzung!$F$11:$F$22="x")*(IF(Besatzung!$C$11:$C$22="",Besatzung!$B$5,Besatzung!$C$11:$C$22)&lt;=B36)*(IF(Besatzung!$D$11:$D$22="",Besatzung!$B$6,Besatzung!$D$11:$D$22)&gt;=B36)),1)),IF(I36="An Bord",(((Besatzung!$B$21&lt;&gt;"")*IF(B36="",1,(IF(Besatzung!$C$21="",Besatzung!$B$5,Besatzung!$C$21)&lt;=B36)*(IF(Besatzung!$D$21="",Besatzung!$B$6,Besatzung!$D$21)&gt;=B36)))*((G36-IFERROR(H36,0))/IFERROR(SUMPRODUCT((Besatzung!$B$11:$B$22&lt;&gt;"")*(IF(Besatzung!$C$11:$C$22="",Besatzung!$B$5,Besatzung!$C$11:$C$22)&lt;=B36)*(IF(Besatzung!$D$11:$D$22="",Besatzung!$B$6,Besatzung!$D$11:$D$22)&gt;=B36)),1)+(Besatzung!$F$21="x")*IFERROR(H36,0)/IFERROR(SUMPRODUCT((Besatzung!$B$11:$B$22&lt;&gt;"")*(Besatzung!$F$11:$F$22="x")*(IF(Besatzung!$C$11:$C$22="",Besatzung!$B$5,Besatzung!$C$11:$C$22)&lt;=B36)*(IF(Besatzung!$D$11:$D$22="",Besatzung!$B$6,Besatzung!$D$11:$D$22)&gt;=B36)),1))),IF(I36="Individuell",((T36="x")*((G36-IFERROR(H36,0))/IFERROR(COUNTIF(J36:U36,"x"),1)+(Besatzung!$F$21="x")*IFERROR(H36,0)/IFERROR(SUMPRODUCT((J36:U36="x")*(Besatzung!$F$11:$F$22="x")),1))),(IF(COUNTIF(J36:U36,"x")=0,IF(Besatzung!$B$21&lt;&gt;"",1,0),(T36="x"))*(G36-IFERROR(H36,0))/IFERROR(IF(COUNTIF(J36:U36,"x")=0,COUNTA(Besatzung!$B$11:$B$22),COUNTIF(J36:U36,"x")),1)+IF(COUNTIF(J36:U36,"x")=0,(Besatzung!$F$21="x"),(T36="x")*(Besatzung!$F$21="x"))*IFERROR(H36,0)/IFERROR(IF(COUNTIF(J36:U36,"x")=0,SUMPRODUCT((Besatzung!$B$11:$B$22&lt;&gt;"")*(Besatzung!$F$11:$F$22="x")),SUMPRODUCT((J36:U36="x")*(Besatzung!$F$11:$F$22="x"))),1))))),0))))</f>
        <v/>
      </c>
      <c r="AG36" s="247">
        <f>IF(C36="Gutschrift","",IF(G36="","",IF(Besatzung!$B$22="","",IFERROR(IF(I36="Zeitanteilig",(Besatzung!$G$22*(G36-IFERROR(H36,0))+((Besatzung!$B$22&lt;&gt;"")*IF(B36="",1,(IF(Besatzung!$C$22="",Besatzung!$B$5,Besatzung!$C$22)&lt;=B36)*(IF(Besatzung!$D$22="",Besatzung!$B$6,Besatzung!$D$22)&gt;=B36)))*(Besatzung!$F$22="x")*IFERROR(H36,0)/IFERROR(SUMPRODUCT((Besatzung!$B$11:$B$22&lt;&gt;"")*(Besatzung!$F$11:$F$22="x")*(IF(Besatzung!$C$11:$C$22="",Besatzung!$B$5,Besatzung!$C$11:$C$22)&lt;=B36)*(IF(Besatzung!$D$11:$D$22="",Besatzung!$B$6,Besatzung!$D$11:$D$22)&gt;=B36)),1)),IF(I36="An Bord",(((Besatzung!$B$22&lt;&gt;"")*IF(B36="",1,(IF(Besatzung!$C$22="",Besatzung!$B$5,Besatzung!$C$22)&lt;=B36)*(IF(Besatzung!$D$22="",Besatzung!$B$6,Besatzung!$D$22)&gt;=B36)))*((G36-IFERROR(H36,0))/IFERROR(SUMPRODUCT((Besatzung!$B$11:$B$22&lt;&gt;"")*(IF(Besatzung!$C$11:$C$22="",Besatzung!$B$5,Besatzung!$C$11:$C$22)&lt;=B36)*(IF(Besatzung!$D$11:$D$22="",Besatzung!$B$6,Besatzung!$D$11:$D$22)&gt;=B36)),1)+(Besatzung!$F$22="x")*IFERROR(H36,0)/IFERROR(SUMPRODUCT((Besatzung!$B$11:$B$22&lt;&gt;"")*(Besatzung!$F$11:$F$22="x")*(IF(Besatzung!$C$11:$C$22="",Besatzung!$B$5,Besatzung!$C$11:$C$22)&lt;=B36)*(IF(Besatzung!$D$11:$D$22="",Besatzung!$B$6,Besatzung!$D$11:$D$22)&gt;=B36)),1))),IF(I36="Individuell",((U36="x")*((G36-IFERROR(H36,0))/IFERROR(COUNTIF(J36:U36,"x"),1)+(Besatzung!$F$22="x")*IFERROR(H36,0)/IFERROR(SUMPRODUCT((J36:U36="x")*(Besatzung!$F$11:$F$22="x")),1))),(IF(COUNTIF(J36:U36,"x")=0,IF(Besatzung!$B$22&lt;&gt;"",1,0),(U36="x"))*(G36-IFERROR(H36,0))/IFERROR(IF(COUNTIF(J36:U36,"x")=0,COUNTA(Besatzung!$B$11:$B$22),COUNTIF(J36:U36,"x")),1)+IF(COUNTIF(J36:U36,"x")=0,(Besatzung!$F$22="x"),(U36="x")*(Besatzung!$F$22="x"))*IFERROR(H36,0)/IFERROR(IF(COUNTIF(J36:U36,"x")=0,SUMPRODUCT((Besatzung!$B$11:$B$22&lt;&gt;"")*(Besatzung!$F$11:$F$22="x")),SUMPRODUCT((J36:U36="x")*(Besatzung!$F$11:$F$22="x"))),1))))),0))))</f>
        <v/>
      </c>
      <c r="AH36" s="248" t="n"/>
      <c r="AI36" s="248" t="n"/>
    </row>
    <row r="37" ht="21.75" customHeight="1" s="154">
      <c r="A37" s="238">
        <f>IF(AND(D37="",C37=""),"",34)</f>
        <v/>
      </c>
      <c r="B37" s="206" t="n"/>
      <c r="C37" s="249" t="n"/>
      <c r="D37" s="250" t="n"/>
      <c r="E37" s="251" t="n"/>
      <c r="F37" s="252" t="n"/>
      <c r="G37" s="253" t="n"/>
      <c r="H37" s="254" t="n"/>
      <c r="I37" s="255" t="n"/>
      <c r="J37" s="256" t="n"/>
      <c r="K37" s="256" t="n"/>
      <c r="L37" s="256" t="n"/>
      <c r="M37" s="256" t="n"/>
      <c r="N37" s="256" t="n"/>
      <c r="O37" s="256" t="n"/>
      <c r="P37" s="256" t="n"/>
      <c r="Q37" s="256" t="n"/>
      <c r="R37" s="256" t="n"/>
      <c r="S37" s="256" t="n"/>
      <c r="T37" s="256" t="n"/>
      <c r="U37" s="256" t="n"/>
      <c r="V37" s="247">
        <f>IF(C37="Gutschrift","",IF(G37="","",IF(Besatzung!$B$11="","",IFERROR(IF(I37="Zeitanteilig",(Besatzung!$G$11*(G37-IFERROR(H37,0))+((Besatzung!$B$11&lt;&gt;"")*IF(B37="",1,(IF(Besatzung!$C$11="",Besatzung!$B$5,Besatzung!$C$11)&lt;=B37)*(IF(Besatzung!$D$11="",Besatzung!$B$6,Besatzung!$D$11)&gt;=B37)))*(Besatzung!$F$11="x")*IFERROR(H37,0)/IFERROR(SUMPRODUCT((Besatzung!$B$11:$B$22&lt;&gt;"")*(Besatzung!$F$11:$F$22="x")*(IF(Besatzung!$C$11:$C$22="",Besatzung!$B$5,Besatzung!$C$11:$C$22)&lt;=B37)*(IF(Besatzung!$D$11:$D$22="",Besatzung!$B$6,Besatzung!$D$11:$D$22)&gt;=B37)),1)),IF(I37="An Bord",(((Besatzung!$B$11&lt;&gt;"")*IF(B37="",1,(IF(Besatzung!$C$11="",Besatzung!$B$5,Besatzung!$C$11)&lt;=B37)*(IF(Besatzung!$D$11="",Besatzung!$B$6,Besatzung!$D$11)&gt;=B37)))*((G37-IFERROR(H37,0))/IFERROR(SUMPRODUCT((Besatzung!$B$11:$B$22&lt;&gt;"")*(IF(Besatzung!$C$11:$C$22="",Besatzung!$B$5,Besatzung!$C$11:$C$22)&lt;=B37)*(IF(Besatzung!$D$11:$D$22="",Besatzung!$B$6,Besatzung!$D$11:$D$22)&gt;=B37)),1)+(Besatzung!$F$11="x")*IFERROR(H37,0)/IFERROR(SUMPRODUCT((Besatzung!$B$11:$B$22&lt;&gt;"")*(Besatzung!$F$11:$F$22="x")*(IF(Besatzung!$C$11:$C$22="",Besatzung!$B$5,Besatzung!$C$11:$C$22)&lt;=B37)*(IF(Besatzung!$D$11:$D$22="",Besatzung!$B$6,Besatzung!$D$11:$D$22)&gt;=B37)),1))),IF(I37="Individuell",((J37="x")*((G37-IFERROR(H37,0))/IFERROR(COUNTIF(J37:U37,"x"),1)+(Besatzung!$F$11="x")*IFERROR(H37,0)/IFERROR(SUMPRODUCT((J37:U37="x")*(Besatzung!$F$11:$F$22="x")),1))),(IF(COUNTIF(J37:U37,"x")=0,IF(Besatzung!$B$11&lt;&gt;"",1,0),(J37="x"))*(G37-IFERROR(H37,0))/IFERROR(IF(COUNTIF(J37:U37,"x")=0,COUNTA(Besatzung!$B$11:$B$22),COUNTIF(J37:U37,"x")),1)+IF(COUNTIF(J37:U37,"x")=0,(Besatzung!$F$11="x"),(J37="x")*(Besatzung!$F$11="x"))*IFERROR(H37,0)/IFERROR(IF(COUNTIF(J37:U37,"x")=0,SUMPRODUCT((Besatzung!$B$11:$B$22&lt;&gt;"")*(Besatzung!$F$11:$F$22="x")),SUMPRODUCT((J37:U37="x")*(Besatzung!$F$11:$F$22="x"))),1))))),0))))</f>
        <v/>
      </c>
      <c r="W37" s="247">
        <f>IF(C37="Gutschrift","",IF(G37="","",IF(Besatzung!$B$12="","",IFERROR(IF(I37="Zeitanteilig",(Besatzung!$G$12*(G37-IFERROR(H37,0))+((Besatzung!$B$12&lt;&gt;"")*IF(B37="",1,(IF(Besatzung!$C$12="",Besatzung!$B$5,Besatzung!$C$12)&lt;=B37)*(IF(Besatzung!$D$12="",Besatzung!$B$6,Besatzung!$D$12)&gt;=B37)))*(Besatzung!$F$12="x")*IFERROR(H37,0)/IFERROR(SUMPRODUCT((Besatzung!$B$11:$B$22&lt;&gt;"")*(Besatzung!$F$11:$F$22="x")*(IF(Besatzung!$C$11:$C$22="",Besatzung!$B$5,Besatzung!$C$11:$C$22)&lt;=B37)*(IF(Besatzung!$D$11:$D$22="",Besatzung!$B$6,Besatzung!$D$11:$D$22)&gt;=B37)),1)),IF(I37="An Bord",(((Besatzung!$B$12&lt;&gt;"")*IF(B37="",1,(IF(Besatzung!$C$12="",Besatzung!$B$5,Besatzung!$C$12)&lt;=B37)*(IF(Besatzung!$D$12="",Besatzung!$B$6,Besatzung!$D$12)&gt;=B37)))*((G37-IFERROR(H37,0))/IFERROR(SUMPRODUCT((Besatzung!$B$11:$B$22&lt;&gt;"")*(IF(Besatzung!$C$11:$C$22="",Besatzung!$B$5,Besatzung!$C$11:$C$22)&lt;=B37)*(IF(Besatzung!$D$11:$D$22="",Besatzung!$B$6,Besatzung!$D$11:$D$22)&gt;=B37)),1)+(Besatzung!$F$12="x")*IFERROR(H37,0)/IFERROR(SUMPRODUCT((Besatzung!$B$11:$B$22&lt;&gt;"")*(Besatzung!$F$11:$F$22="x")*(IF(Besatzung!$C$11:$C$22="",Besatzung!$B$5,Besatzung!$C$11:$C$22)&lt;=B37)*(IF(Besatzung!$D$11:$D$22="",Besatzung!$B$6,Besatzung!$D$11:$D$22)&gt;=B37)),1))),IF(I37="Individuell",((K37="x")*((G37-IFERROR(H37,0))/IFERROR(COUNTIF(J37:U37,"x"),1)+(Besatzung!$F$12="x")*IFERROR(H37,0)/IFERROR(SUMPRODUCT((J37:U37="x")*(Besatzung!$F$11:$F$22="x")),1))),(IF(COUNTIF(J37:U37,"x")=0,IF(Besatzung!$B$12&lt;&gt;"",1,0),(K37="x"))*(G37-IFERROR(H37,0))/IFERROR(IF(COUNTIF(J37:U37,"x")=0,COUNTA(Besatzung!$B$11:$B$22),COUNTIF(J37:U37,"x")),1)+IF(COUNTIF(J37:U37,"x")=0,(Besatzung!$F$12="x"),(K37="x")*(Besatzung!$F$12="x"))*IFERROR(H37,0)/IFERROR(IF(COUNTIF(J37:U37,"x")=0,SUMPRODUCT((Besatzung!$B$11:$B$22&lt;&gt;"")*(Besatzung!$F$11:$F$22="x")),SUMPRODUCT((J37:U37="x")*(Besatzung!$F$11:$F$22="x"))),1))))),0))))</f>
        <v/>
      </c>
      <c r="X37" s="247">
        <f>IF(C37="Gutschrift","",IF(G37="","",IF(Besatzung!$B$13="","",IFERROR(IF(I37="Zeitanteilig",(Besatzung!$G$13*(G37-IFERROR(H37,0))+((Besatzung!$B$13&lt;&gt;"")*IF(B37="",1,(IF(Besatzung!$C$13="",Besatzung!$B$5,Besatzung!$C$13)&lt;=B37)*(IF(Besatzung!$D$13="",Besatzung!$B$6,Besatzung!$D$13)&gt;=B37)))*(Besatzung!$F$13="x")*IFERROR(H37,0)/IFERROR(SUMPRODUCT((Besatzung!$B$11:$B$22&lt;&gt;"")*(Besatzung!$F$11:$F$22="x")*(IF(Besatzung!$C$11:$C$22="",Besatzung!$B$5,Besatzung!$C$11:$C$22)&lt;=B37)*(IF(Besatzung!$D$11:$D$22="",Besatzung!$B$6,Besatzung!$D$11:$D$22)&gt;=B37)),1)),IF(I37="An Bord",(((Besatzung!$B$13&lt;&gt;"")*IF(B37="",1,(IF(Besatzung!$C$13="",Besatzung!$B$5,Besatzung!$C$13)&lt;=B37)*(IF(Besatzung!$D$13="",Besatzung!$B$6,Besatzung!$D$13)&gt;=B37)))*((G37-IFERROR(H37,0))/IFERROR(SUMPRODUCT((Besatzung!$B$11:$B$22&lt;&gt;"")*(IF(Besatzung!$C$11:$C$22="",Besatzung!$B$5,Besatzung!$C$11:$C$22)&lt;=B37)*(IF(Besatzung!$D$11:$D$22="",Besatzung!$B$6,Besatzung!$D$11:$D$22)&gt;=B37)),1)+(Besatzung!$F$13="x")*IFERROR(H37,0)/IFERROR(SUMPRODUCT((Besatzung!$B$11:$B$22&lt;&gt;"")*(Besatzung!$F$11:$F$22="x")*(IF(Besatzung!$C$11:$C$22="",Besatzung!$B$5,Besatzung!$C$11:$C$22)&lt;=B37)*(IF(Besatzung!$D$11:$D$22="",Besatzung!$B$6,Besatzung!$D$11:$D$22)&gt;=B37)),1))),IF(I37="Individuell",((K37="x")*((G37-IFERROR(H37,0))/IFERROR(COUNTIF(J37:U37,"x"),1)+(Besatzung!$F$13="x")*IFERROR(H37,0)/IFERROR(SUMPRODUCT((J37:U37="x")*(Besatzung!$F$11:$F$22="x")),1))),(IF(COUNTIF(J37:U37,"x")=0,IF(Besatzung!$B$13&lt;&gt;"",1,0),(K37="x"))*(G37-IFERROR(H37,0))/IFERROR(IF(COUNTIF(J37:U37,"x")=0,COUNTA(Besatzung!$B$11:$B$22),COUNTIF(J37:U37,"x")),1)+IF(COUNTIF(J37:U37,"x")=0,(Besatzung!$F$13="x"),(K37="x")*(Besatzung!$F$13="x"))*IFERROR(H37,0)/IFERROR(IF(COUNTIF(J37:U37,"x")=0,SUMPRODUCT((Besatzung!$B$11:$B$22&lt;&gt;"")*(Besatzung!$F$11:$F$22="x")),SUMPRODUCT((J37:U37="x")*(Besatzung!$F$11:$F$22="x"))),1))))),0))))</f>
        <v/>
      </c>
      <c r="Y37" s="247">
        <f>IF(C37="Gutschrift","",IF(G37="","",IF(Besatzung!$B$14="","",IFERROR(IF(I37="Zeitanteilig",(Besatzung!$G$14*(G37-IFERROR(H37,0))+((Besatzung!$B$14&lt;&gt;"")*IF(B37="",1,(IF(Besatzung!$C$14="",Besatzung!$B$5,Besatzung!$C$14)&lt;=B37)*(IF(Besatzung!$D$14="",Besatzung!$B$6,Besatzung!$D$14)&gt;=B37)))*(Besatzung!$F$14="x")*IFERROR(H37,0)/IFERROR(SUMPRODUCT((Besatzung!$B$11:$B$22&lt;&gt;"")*(Besatzung!$F$11:$F$22="x")*(IF(Besatzung!$C$11:$C$22="",Besatzung!$B$5,Besatzung!$C$11:$C$22)&lt;=B37)*(IF(Besatzung!$D$11:$D$22="",Besatzung!$B$6,Besatzung!$D$11:$D$22)&gt;=B37)),1)),IF(I37="An Bord",(((Besatzung!$B$14&lt;&gt;"")*IF(B37="",1,(IF(Besatzung!$C$14="",Besatzung!$B$5,Besatzung!$C$14)&lt;=B37)*(IF(Besatzung!$D$14="",Besatzung!$B$6,Besatzung!$D$14)&gt;=B37)))*((G37-IFERROR(H37,0))/IFERROR(SUMPRODUCT((Besatzung!$B$11:$B$22&lt;&gt;"")*(IF(Besatzung!$C$11:$C$22="",Besatzung!$B$5,Besatzung!$C$11:$C$22)&lt;=B37)*(IF(Besatzung!$D$11:$D$22="",Besatzung!$B$6,Besatzung!$D$11:$D$22)&gt;=B37)),1)+(Besatzung!$F$14="x")*IFERROR(H37,0)/IFERROR(SUMPRODUCT((Besatzung!$B$11:$B$22&lt;&gt;"")*(Besatzung!$F$11:$F$22="x")*(IF(Besatzung!$C$11:$C$22="",Besatzung!$B$5,Besatzung!$C$11:$C$22)&lt;=B37)*(IF(Besatzung!$D$11:$D$22="",Besatzung!$B$6,Besatzung!$D$11:$D$22)&gt;=B37)),1))),IF(I37="Individuell",((M37="x")*((G37-IFERROR(H37,0))/IFERROR(COUNTIF(J37:U37,"x"),1)+(Besatzung!$F$14="x")*IFERROR(H37,0)/IFERROR(SUMPRODUCT((J37:U37="x")*(Besatzung!$F$11:$F$22="x")),1))),(IF(COUNTIF(J37:U37,"x")=0,IF(Besatzung!$B$14&lt;&gt;"",1,0),(M37="x"))*(G37-IFERROR(H37,0))/IFERROR(IF(COUNTIF(J37:U37,"x")=0,COUNTA(Besatzung!$B$11:$B$22),COUNTIF(J37:U37,"x")),1)+IF(COUNTIF(J37:U37,"x")=0,(Besatzung!$F$14="x"),(M37="x")*(Besatzung!$F$14="x"))*IFERROR(H37,0)/IFERROR(IF(COUNTIF(J37:U37,"x")=0,SUMPRODUCT((Besatzung!$B$11:$B$22&lt;&gt;"")*(Besatzung!$F$11:$F$22="x")),SUMPRODUCT((J37:U37="x")*(Besatzung!$F$11:$F$22="x"))),1))))),0))))</f>
        <v/>
      </c>
      <c r="Z37" s="247">
        <f>IF(C37="Gutschrift","",IF(G37="","",IF(Besatzung!$B$13="","",IFERROR(IF(I37="Zeitanteilig",(Besatzung!$G$15*(G37-IFERROR(H37,0))+((Besatzung!$B$13&lt;&gt;"")*IF(B37="",1,(IF(Besatzung!$C$15="",Besatzung!$B$5,Besatzung!$C$15)&lt;=B37)*(IF(Besatzung!$D$15="",Besatzung!$B$6,Besatzung!$D$15)&gt;=B37)))*(Besatzung!$F$15="x")*IFERROR(H37,0)/IFERROR(SUMPRODUCT((Besatzung!$B$11:$B$22&lt;&gt;"")*(Besatzung!$F$11:$F$22="x")*(IF(Besatzung!$C$11:$C$22="",Besatzung!$B$5,Besatzung!$C$11:$C$22)&lt;=B37)*(IF(Besatzung!$D$11:$D$22="",Besatzung!$B$6,Besatzung!$D$11:$D$22)&gt;=B37)),1)),IF(I37="An Bord",(((Besatzung!$B$13&lt;&gt;"")*IF(B37="",1,(IF(Besatzung!$C$15="",Besatzung!$B$5,Besatzung!$C$15)&lt;=B37)*(IF(Besatzung!$D$15="",Besatzung!$B$6,Besatzung!$D$15)&gt;=B37)))*((G37-IFERROR(H37,0))/IFERROR(SUMPRODUCT((Besatzung!$B$11:$B$22&lt;&gt;"")*(IF(Besatzung!$C$11:$C$22="",Besatzung!$B$5,Besatzung!$C$11:$C$22)&lt;=B37)*(IF(Besatzung!$D$11:$D$22="",Besatzung!$B$6,Besatzung!$D$11:$D$22)&gt;=B37)),1)+(Besatzung!$F$15="x")*IFERROR(H37,0)/IFERROR(SUMPRODUCT((Besatzung!$B$11:$B$22&lt;&gt;"")*(Besatzung!$F$11:$F$22="x")*(IF(Besatzung!$C$11:$C$22="",Besatzung!$B$5,Besatzung!$C$11:$C$22)&lt;=B37)*(IF(Besatzung!$D$11:$D$22="",Besatzung!$B$6,Besatzung!$D$11:$D$22)&gt;=B37)),1))),IF(I37="Individuell",((N37="x")*((G37-IFERROR(H37,0))/IFERROR(COUNTIF(J37:U37,"x"),1)+(Besatzung!$F$15="x")*IFERROR(H37,0)/IFERROR(SUMPRODUCT((J37:U37="x")*(Besatzung!$F$11:$F$22="x")),1))),(IF(COUNTIF(J37:U37,"x")=0,IF(Besatzung!$B$13&lt;&gt;"",1,0),(N37="x"))*(G37-IFERROR(H37,0))/IFERROR(IF(COUNTIF(J37:U37,"x")=0,COUNTA(Besatzung!$B$11:$B$22),COUNTIF(J37:U37,"x")),1)+IF(COUNTIF(J37:U37,"x")=0,(Besatzung!$F$15="x"),(N37="x")*(Besatzung!$F$15="x"))*IFERROR(H37,0)/IFERROR(IF(COUNTIF(J37:U37,"x")=0,SUMPRODUCT((Besatzung!$B$11:$B$22&lt;&gt;"")*(Besatzung!$F$11:$F$22="x")),SUMPRODUCT((J37:U37="x")*(Besatzung!$F$11:$F$22="x"))),1))))),0))))</f>
        <v/>
      </c>
      <c r="AA37" s="247">
        <f>IF(C37="Gutschrift","",IF(G37="","",IF(Besatzung!$B$15="","",IFERROR(IF(I37="Zeitanteilig",(Besatzung!$G$16*(G37-IFERROR(H37,0))+((Besatzung!$B$15&lt;&gt;"")*IF(B37="",1,(IF(Besatzung!$C$16="",Besatzung!$B$5,Besatzung!$C$16)&lt;=B37)*(IF(Besatzung!$D$16="",Besatzung!$B$6,Besatzung!$D$16)&gt;=B37)))*(Besatzung!$F$16="x")*IFERROR(H37,0)/IFERROR(SUMPRODUCT((Besatzung!$B$11:$B$22&lt;&gt;"")*(Besatzung!$F$11:$F$22="x")*(IF(Besatzung!$C$11:$C$22="",Besatzung!$B$5,Besatzung!$C$11:$C$22)&lt;=B37)*(IF(Besatzung!$D$11:$D$22="",Besatzung!$B$6,Besatzung!$D$11:$D$22)&gt;=B37)),1)),IF(I37="An Bord",(((Besatzung!$B$15&lt;&gt;"")*IF(B37="",1,(IF(Besatzung!$C$16="",Besatzung!$B$5,Besatzung!$C$16)&lt;=B37)*(IF(Besatzung!$D$16="",Besatzung!$B$6,Besatzung!$D$16)&gt;=B37)))*((G37-IFERROR(H37,0))/IFERROR(SUMPRODUCT((Besatzung!$B$11:$B$22&lt;&gt;"")*(IF(Besatzung!$C$11:$C$22="",Besatzung!$B$5,Besatzung!$C$11:$C$22)&lt;=B37)*(IF(Besatzung!$D$11:$D$22="",Besatzung!$B$6,Besatzung!$D$11:$D$22)&gt;=B37)),1)+(Besatzung!$F$16="x")*IFERROR(H37,0)/IFERROR(SUMPRODUCT((Besatzung!$B$11:$B$22&lt;&gt;"")*(Besatzung!$F$11:$F$22="x")*(IF(Besatzung!$C$11:$C$22="",Besatzung!$B$5,Besatzung!$C$11:$C$22)&lt;=B37)*(IF(Besatzung!$D$11:$D$22="",Besatzung!$B$6,Besatzung!$D$11:$D$22)&gt;=B37)),1))),IF(I37="Individuell",((O37="x")*((G37-IFERROR(H37,0))/IFERROR(COUNTIF(J37:U37,"x"),1)+(Besatzung!$F$16="x")*IFERROR(H37,0)/IFERROR(SUMPRODUCT((J37:U37="x")*(Besatzung!$F$11:$F$22="x")),1))),(IF(COUNTIF(J37:U37,"x")=0,IF(Besatzung!$B$15&lt;&gt;"",1,0),(O37="x"))*(G37-IFERROR(H37,0))/IFERROR(IF(COUNTIF(J37:U37,"x")=0,COUNTA(Besatzung!$B$11:$B$22),COUNTIF(J37:U37,"x")),1)+IF(COUNTIF(J37:U37,"x")=0,(Besatzung!$F$16="x"),(O37="x")*(Besatzung!$F$16="x"))*IFERROR(H37,0)/IFERROR(IF(COUNTIF(J37:U37,"x")=0,SUMPRODUCT((Besatzung!$B$11:$B$22&lt;&gt;"")*(Besatzung!$F$11:$F$22="x")),SUMPRODUCT((J37:U37="x")*(Besatzung!$F$11:$F$22="x"))),1))))),0))))</f>
        <v/>
      </c>
      <c r="AB37" s="247">
        <f>IF(C37="Gutschrift","",IF(G37="","",IF(Besatzung!$B$17="","",IFERROR(IF(I37="Zeitanteilig",(Besatzung!$G$17*(G37-IFERROR(H37,0))+((Besatzung!$B$17&lt;&gt;"")*IF(B37="",1,(IF(Besatzung!$C$17="",Besatzung!$B$5,Besatzung!$C$17)&lt;=B37)*(IF(Besatzung!$D$17="",Besatzung!$B$6,Besatzung!$D$17)&gt;=B37)))*(Besatzung!$F$17="x")*IFERROR(H37,0)/IFERROR(SUMPRODUCT((Besatzung!$B$11:$B$22&lt;&gt;"")*(Besatzung!$F$11:$F$22="x")*(IF(Besatzung!$C$11:$C$22="",Besatzung!$B$5,Besatzung!$C$11:$C$22)&lt;=B37)*(IF(Besatzung!$D$11:$D$22="",Besatzung!$B$6,Besatzung!$D$11:$D$22)&gt;=B37)),1)),IF(I37="An Bord",(((Besatzung!$B$17&lt;&gt;"")*IF(B37="",1,(IF(Besatzung!$C$17="",Besatzung!$B$5,Besatzung!$C$17)&lt;=B37)*(IF(Besatzung!$D$17="",Besatzung!$B$6,Besatzung!$D$17)&gt;=B37)))*((G37-IFERROR(H37,0))/IFERROR(SUMPRODUCT((Besatzung!$B$11:$B$22&lt;&gt;"")*(IF(Besatzung!$C$11:$C$22="",Besatzung!$B$5,Besatzung!$C$11:$C$22)&lt;=B37)*(IF(Besatzung!$D$11:$D$22="",Besatzung!$B$6,Besatzung!$D$11:$D$22)&gt;=B37)),1)+(Besatzung!$F$17="x")*IFERROR(H37,0)/IFERROR(SUMPRODUCT((Besatzung!$B$11:$B$22&lt;&gt;"")*(Besatzung!$F$11:$F$22="x")*(IF(Besatzung!$C$11:$C$22="",Besatzung!$B$5,Besatzung!$C$11:$C$22)&lt;=B37)*(IF(Besatzung!$D$11:$D$22="",Besatzung!$B$6,Besatzung!$D$11:$D$22)&gt;=B37)),1))),IF(I37="Individuell",((P37="x")*((G37-IFERROR(H37,0))/IFERROR(COUNTIF(J37:U37,"x"),1)+(Besatzung!$F$17="x")*IFERROR(H37,0)/IFERROR(SUMPRODUCT((J37:U37="x")*(Besatzung!$F$11:$F$22="x")),1))),(IF(COUNTIF(J37:U37,"x")=0,IF(Besatzung!$B$17&lt;&gt;"",1,0),(P37="x"))*(G37-IFERROR(H37,0))/IFERROR(IF(COUNTIF(J37:U37,"x")=0,COUNTA(Besatzung!$B$11:$B$22),COUNTIF(J37:U37,"x")),1)+IF(COUNTIF(J37:U37,"x")=0,(Besatzung!$F$17="x"),(P37="x")*(Besatzung!$F$17="x"))*IFERROR(H37,0)/IFERROR(IF(COUNTIF(J37:U37,"x")=0,SUMPRODUCT((Besatzung!$B$11:$B$22&lt;&gt;"")*(Besatzung!$F$11:$F$22="x")),SUMPRODUCT((J37:U37="x")*(Besatzung!$F$11:$F$22="x"))),1))))),0))))</f>
        <v/>
      </c>
      <c r="AC37" s="247">
        <f>IF(C37="Gutschrift","",IF(G37="","",IF(Besatzung!$B$18="","",IFERROR(IF(I37="Zeitanteilig",(Besatzung!$G$18*(G37-IFERROR(H37,0))+((Besatzung!$B$18&lt;&gt;"")*IF(B37="",1,(IF(Besatzung!$C$18="",Besatzung!$B$5,Besatzung!$C$18)&lt;=B37)*(IF(Besatzung!$D$18="",Besatzung!$B$6,Besatzung!$D$18)&gt;=B37)))*(Besatzung!$F$18="x")*IFERROR(H37,0)/IFERROR(SUMPRODUCT((Besatzung!$B$11:$B$22&lt;&gt;"")*(Besatzung!$F$11:$F$22="x")*(IF(Besatzung!$C$11:$C$22="",Besatzung!$B$5,Besatzung!$C$11:$C$22)&lt;=B37)*(IF(Besatzung!$D$11:$D$22="",Besatzung!$B$6,Besatzung!$D$11:$D$22)&gt;=B37)),1)),IF(I37="An Bord",(((Besatzung!$B$18&lt;&gt;"")*IF(B37="",1,(IF(Besatzung!$C$18="",Besatzung!$B$5,Besatzung!$C$18)&lt;=B37)*(IF(Besatzung!$D$18="",Besatzung!$B$6,Besatzung!$D$18)&gt;=B37)))*((G37-IFERROR(H37,0))/IFERROR(SUMPRODUCT((Besatzung!$B$11:$B$22&lt;&gt;"")*(IF(Besatzung!$C$11:$C$22="",Besatzung!$B$5,Besatzung!$C$11:$C$22)&lt;=B37)*(IF(Besatzung!$D$11:$D$22="",Besatzung!$B$6,Besatzung!$D$11:$D$22)&gt;=B37)),1)+(Besatzung!$F$18="x")*IFERROR(H37,0)/IFERROR(SUMPRODUCT((Besatzung!$B$11:$B$22&lt;&gt;"")*(Besatzung!$F$11:$F$22="x")*(IF(Besatzung!$C$11:$C$22="",Besatzung!$B$5,Besatzung!$C$11:$C$22)&lt;=B37)*(IF(Besatzung!$D$11:$D$22="",Besatzung!$B$6,Besatzung!$D$11:$D$22)&gt;=B37)),1))),IF(I37="Individuell",((Q37="x")*((G37-IFERROR(H37,0))/IFERROR(COUNTIF(J37:U37,"x"),1)+(Besatzung!$F$18="x")*IFERROR(H37,0)/IFERROR(SUMPRODUCT((J37:U37="x")*(Besatzung!$F$11:$F$22="x")),1))),(IF(COUNTIF(J37:U37,"x")=0,IF(Besatzung!$B$18&lt;&gt;"",1,0),(Q37="x"))*(G37-IFERROR(H37,0))/IFERROR(IF(COUNTIF(J37:U37,"x")=0,COUNTA(Besatzung!$B$11:$B$22),COUNTIF(J37:U37,"x")),1)+IF(COUNTIF(J37:U37,"x")=0,(Besatzung!$F$18="x"),(Q37="x")*(Besatzung!$F$18="x"))*IFERROR(H37,0)/IFERROR(IF(COUNTIF(J37:U37,"x")=0,SUMPRODUCT((Besatzung!$B$11:$B$22&lt;&gt;"")*(Besatzung!$F$11:$F$22="x")),SUMPRODUCT((J37:U37="x")*(Besatzung!$F$11:$F$22="x"))),1))))),0))))</f>
        <v/>
      </c>
      <c r="AD37" s="247">
        <f>IF(C37="Gutschrift","",IF(G37="","",IF(Besatzung!$B$19="","",IFERROR(IF(I37="Zeitanteilig",(Besatzung!$G$19*(G37-IFERROR(H37,0))+((Besatzung!$B$19&lt;&gt;"")*IF(B37="",1,(IF(Besatzung!$C$19="",Besatzung!$B$5,Besatzung!$C$19)&lt;=B37)*(IF(Besatzung!$D$19="",Besatzung!$B$6,Besatzung!$D$19)&gt;=B37)))*(Besatzung!$F$19="x")*IFERROR(H37,0)/IFERROR(SUMPRODUCT((Besatzung!$B$11:$B$22&lt;&gt;"")*(Besatzung!$F$11:$F$22="x")*(IF(Besatzung!$C$11:$C$22="",Besatzung!$B$5,Besatzung!$C$11:$C$22)&lt;=B37)*(IF(Besatzung!$D$11:$D$22="",Besatzung!$B$6,Besatzung!$D$11:$D$22)&gt;=B37)),1)),IF(I37="An Bord",(((Besatzung!$B$19&lt;&gt;"")*IF(B37="",1,(IF(Besatzung!$C$19="",Besatzung!$B$5,Besatzung!$C$19)&lt;=B37)*(IF(Besatzung!$D$19="",Besatzung!$B$6,Besatzung!$D$19)&gt;=B37)))*((G37-IFERROR(H37,0))/IFERROR(SUMPRODUCT((Besatzung!$B$11:$B$22&lt;&gt;"")*(IF(Besatzung!$C$11:$C$22="",Besatzung!$B$5,Besatzung!$C$11:$C$22)&lt;=B37)*(IF(Besatzung!$D$11:$D$22="",Besatzung!$B$6,Besatzung!$D$11:$D$22)&gt;=B37)),1)+(Besatzung!$F$19="x")*IFERROR(H37,0)/IFERROR(SUMPRODUCT((Besatzung!$B$11:$B$22&lt;&gt;"")*(Besatzung!$F$11:$F$22="x")*(IF(Besatzung!$C$11:$C$22="",Besatzung!$B$5,Besatzung!$C$11:$C$22)&lt;=B37)*(IF(Besatzung!$D$11:$D$22="",Besatzung!$B$6,Besatzung!$D$11:$D$22)&gt;=B37)),1))),IF(I37="Individuell",((R37="x")*((G37-IFERROR(H37,0))/IFERROR(COUNTIF(J37:U37,"x"),1)+(Besatzung!$F$19="x")*IFERROR(H37,0)/IFERROR(SUMPRODUCT((J37:U37="x")*(Besatzung!$F$11:$F$22="x")),1))),(IF(COUNTIF(J37:U37,"x")=0,IF(Besatzung!$B$19&lt;&gt;"",1,0),(R37="x"))*(G37-IFERROR(H37,0))/IFERROR(IF(COUNTIF(J37:U37,"x")=0,COUNTA(Besatzung!$B$11:$B$22),COUNTIF(J37:U37,"x")),1)+IF(COUNTIF(J37:U37,"x")=0,(Besatzung!$F$19="x"),(R37="x")*(Besatzung!$F$19="x"))*IFERROR(H37,0)/IFERROR(IF(COUNTIF(J37:U37,"x")=0,SUMPRODUCT((Besatzung!$B$11:$B$22&lt;&gt;"")*(Besatzung!$F$11:$F$22="x")),SUMPRODUCT((J37:U37="x")*(Besatzung!$F$11:$F$22="x"))),1))))),0))))</f>
        <v/>
      </c>
      <c r="AE37" s="247">
        <f>IF(C37="Gutschrift","",IF(G37="","",IF(Besatzung!$B$20="","",IFERROR(IF(I37="Zeitanteilig",(Besatzung!$G$20*(G37-IFERROR(H37,0))+((Besatzung!$B$20&lt;&gt;"")*IF(B37="",1,(IF(Besatzung!$C$20="",Besatzung!$B$5,Besatzung!$C$20)&lt;=B37)*(IF(Besatzung!$D$20="",Besatzung!$B$6,Besatzung!$D$20)&gt;=B37)))*(Besatzung!$F$20="x")*IFERROR(H37,0)/IFERROR(SUMPRODUCT((Besatzung!$B$11:$B$22&lt;&gt;"")*(Besatzung!$F$11:$F$22="x")*(IF(Besatzung!$C$11:$C$22="",Besatzung!$B$5,Besatzung!$C$11:$C$22)&lt;=B37)*(IF(Besatzung!$D$11:$D$22="",Besatzung!$B$6,Besatzung!$D$11:$D$22)&gt;=B37)),1)),IF(I37="An Bord",(((Besatzung!$B$20&lt;&gt;"")*IF(B37="",1,(IF(Besatzung!$C$20="",Besatzung!$B$5,Besatzung!$C$20)&lt;=B37)*(IF(Besatzung!$D$20="",Besatzung!$B$6,Besatzung!$D$20)&gt;=B37)))*((G37-IFERROR(H37,0))/IFERROR(SUMPRODUCT((Besatzung!$B$11:$B$22&lt;&gt;"")*(IF(Besatzung!$C$11:$C$22="",Besatzung!$B$5,Besatzung!$C$11:$C$22)&lt;=B37)*(IF(Besatzung!$D$11:$D$22="",Besatzung!$B$6,Besatzung!$D$11:$D$22)&gt;=B37)),1)+(Besatzung!$F$20="x")*IFERROR(H37,0)/IFERROR(SUMPRODUCT((Besatzung!$B$11:$B$22&lt;&gt;"")*(Besatzung!$F$11:$F$22="x")*(IF(Besatzung!$C$11:$C$22="",Besatzung!$B$5,Besatzung!$C$11:$C$22)&lt;=B37)*(IF(Besatzung!$D$11:$D$22="",Besatzung!$B$6,Besatzung!$D$11:$D$22)&gt;=B37)),1))),IF(I37="Individuell",((S37="x")*((G37-IFERROR(H37,0))/IFERROR(COUNTIF(J37:U37,"x"),1)+(Besatzung!$F$20="x")*IFERROR(H37,0)/IFERROR(SUMPRODUCT((J37:U37="x")*(Besatzung!$F$11:$F$22="x")),1))),(IF(COUNTIF(J37:U37,"x")=0,IF(Besatzung!$B$20&lt;&gt;"",1,0),(S37="x"))*(G37-IFERROR(H37,0))/IFERROR(IF(COUNTIF(J37:U37,"x")=0,COUNTA(Besatzung!$B$11:$B$22),COUNTIF(J37:U37,"x")),1)+IF(COUNTIF(J37:U37,"x")=0,(Besatzung!$F$20="x"),(S37="x")*(Besatzung!$F$20="x"))*IFERROR(H37,0)/IFERROR(IF(COUNTIF(J37:U37,"x")=0,SUMPRODUCT((Besatzung!$B$11:$B$22&lt;&gt;"")*(Besatzung!$F$11:$F$22="x")),SUMPRODUCT((J37:U37="x")*(Besatzung!$F$11:$F$22="x"))),1))))),0))))</f>
        <v/>
      </c>
      <c r="AF37" s="247">
        <f>IF(C37="Gutschrift","",IF(G37="","",IF(Besatzung!$B$21="","",IFERROR(IF(I37="Zeitanteilig",(Besatzung!$G$21*(G37-IFERROR(H37,0))+((Besatzung!$B$21&lt;&gt;"")*IF(B37="",1,(IF(Besatzung!$C$21="",Besatzung!$B$5,Besatzung!$C$21)&lt;=B37)*(IF(Besatzung!$D$21="",Besatzung!$B$6,Besatzung!$D$21)&gt;=B37)))*(Besatzung!$F$21="x")*IFERROR(H37,0)/IFERROR(SUMPRODUCT((Besatzung!$B$11:$B$22&lt;&gt;"")*(Besatzung!$F$11:$F$22="x")*(IF(Besatzung!$C$11:$C$22="",Besatzung!$B$5,Besatzung!$C$11:$C$22)&lt;=B37)*(IF(Besatzung!$D$11:$D$22="",Besatzung!$B$6,Besatzung!$D$11:$D$22)&gt;=B37)),1)),IF(I37="An Bord",(((Besatzung!$B$21&lt;&gt;"")*IF(B37="",1,(IF(Besatzung!$C$21="",Besatzung!$B$5,Besatzung!$C$21)&lt;=B37)*(IF(Besatzung!$D$21="",Besatzung!$B$6,Besatzung!$D$21)&gt;=B37)))*((G37-IFERROR(H37,0))/IFERROR(SUMPRODUCT((Besatzung!$B$11:$B$22&lt;&gt;"")*(IF(Besatzung!$C$11:$C$22="",Besatzung!$B$5,Besatzung!$C$11:$C$22)&lt;=B37)*(IF(Besatzung!$D$11:$D$22="",Besatzung!$B$6,Besatzung!$D$11:$D$22)&gt;=B37)),1)+(Besatzung!$F$21="x")*IFERROR(H37,0)/IFERROR(SUMPRODUCT((Besatzung!$B$11:$B$22&lt;&gt;"")*(Besatzung!$F$11:$F$22="x")*(IF(Besatzung!$C$11:$C$22="",Besatzung!$B$5,Besatzung!$C$11:$C$22)&lt;=B37)*(IF(Besatzung!$D$11:$D$22="",Besatzung!$B$6,Besatzung!$D$11:$D$22)&gt;=B37)),1))),IF(I37="Individuell",((T37="x")*((G37-IFERROR(H37,0))/IFERROR(COUNTIF(J37:U37,"x"),1)+(Besatzung!$F$21="x")*IFERROR(H37,0)/IFERROR(SUMPRODUCT((J37:U37="x")*(Besatzung!$F$11:$F$22="x")),1))),(IF(COUNTIF(J37:U37,"x")=0,IF(Besatzung!$B$21&lt;&gt;"",1,0),(T37="x"))*(G37-IFERROR(H37,0))/IFERROR(IF(COUNTIF(J37:U37,"x")=0,COUNTA(Besatzung!$B$11:$B$22),COUNTIF(J37:U37,"x")),1)+IF(COUNTIF(J37:U37,"x")=0,(Besatzung!$F$21="x"),(T37="x")*(Besatzung!$F$21="x"))*IFERROR(H37,0)/IFERROR(IF(COUNTIF(J37:U37,"x")=0,SUMPRODUCT((Besatzung!$B$11:$B$22&lt;&gt;"")*(Besatzung!$F$11:$F$22="x")),SUMPRODUCT((J37:U37="x")*(Besatzung!$F$11:$F$22="x"))),1))))),0))))</f>
        <v/>
      </c>
      <c r="AG37" s="247">
        <f>IF(C37="Gutschrift","",IF(G37="","",IF(Besatzung!$B$22="","",IFERROR(IF(I37="Zeitanteilig",(Besatzung!$G$22*(G37-IFERROR(H37,0))+((Besatzung!$B$22&lt;&gt;"")*IF(B37="",1,(IF(Besatzung!$C$22="",Besatzung!$B$5,Besatzung!$C$22)&lt;=B37)*(IF(Besatzung!$D$22="",Besatzung!$B$6,Besatzung!$D$22)&gt;=B37)))*(Besatzung!$F$22="x")*IFERROR(H37,0)/IFERROR(SUMPRODUCT((Besatzung!$B$11:$B$22&lt;&gt;"")*(Besatzung!$F$11:$F$22="x")*(IF(Besatzung!$C$11:$C$22="",Besatzung!$B$5,Besatzung!$C$11:$C$22)&lt;=B37)*(IF(Besatzung!$D$11:$D$22="",Besatzung!$B$6,Besatzung!$D$11:$D$22)&gt;=B37)),1)),IF(I37="An Bord",(((Besatzung!$B$22&lt;&gt;"")*IF(B37="",1,(IF(Besatzung!$C$22="",Besatzung!$B$5,Besatzung!$C$22)&lt;=B37)*(IF(Besatzung!$D$22="",Besatzung!$B$6,Besatzung!$D$22)&gt;=B37)))*((G37-IFERROR(H37,0))/IFERROR(SUMPRODUCT((Besatzung!$B$11:$B$22&lt;&gt;"")*(IF(Besatzung!$C$11:$C$22="",Besatzung!$B$5,Besatzung!$C$11:$C$22)&lt;=B37)*(IF(Besatzung!$D$11:$D$22="",Besatzung!$B$6,Besatzung!$D$11:$D$22)&gt;=B37)),1)+(Besatzung!$F$22="x")*IFERROR(H37,0)/IFERROR(SUMPRODUCT((Besatzung!$B$11:$B$22&lt;&gt;"")*(Besatzung!$F$11:$F$22="x")*(IF(Besatzung!$C$11:$C$22="",Besatzung!$B$5,Besatzung!$C$11:$C$22)&lt;=B37)*(IF(Besatzung!$D$11:$D$22="",Besatzung!$B$6,Besatzung!$D$11:$D$22)&gt;=B37)),1))),IF(I37="Individuell",((U37="x")*((G37-IFERROR(H37,0))/IFERROR(COUNTIF(J37:U37,"x"),1)+(Besatzung!$F$22="x")*IFERROR(H37,0)/IFERROR(SUMPRODUCT((J37:U37="x")*(Besatzung!$F$11:$F$22="x")),1))),(IF(COUNTIF(J37:U37,"x")=0,IF(Besatzung!$B$22&lt;&gt;"",1,0),(U37="x"))*(G37-IFERROR(H37,0))/IFERROR(IF(COUNTIF(J37:U37,"x")=0,COUNTA(Besatzung!$B$11:$B$22),COUNTIF(J37:U37,"x")),1)+IF(COUNTIF(J37:U37,"x")=0,(Besatzung!$F$22="x"),(U37="x")*(Besatzung!$F$22="x"))*IFERROR(H37,0)/IFERROR(IF(COUNTIF(J37:U37,"x")=0,SUMPRODUCT((Besatzung!$B$11:$B$22&lt;&gt;"")*(Besatzung!$F$11:$F$22="x")),SUMPRODUCT((J37:U37="x")*(Besatzung!$F$11:$F$22="x"))),1))))),0))))</f>
        <v/>
      </c>
      <c r="AH37" s="248" t="n"/>
      <c r="AI37" s="248" t="n"/>
    </row>
    <row r="38" ht="21.75" customHeight="1" s="154">
      <c r="A38" s="238">
        <f>IF(AND(D38="",C38=""),"",35)</f>
        <v/>
      </c>
      <c r="B38" s="199" t="n"/>
      <c r="C38" s="239" t="n"/>
      <c r="D38" s="240" t="n"/>
      <c r="E38" s="241" t="n"/>
      <c r="F38" s="242" t="n"/>
      <c r="G38" s="243" t="n"/>
      <c r="H38" s="244" t="n"/>
      <c r="I38" s="245" t="n"/>
      <c r="J38" s="246" t="n"/>
      <c r="K38" s="246" t="n"/>
      <c r="L38" s="246" t="n"/>
      <c r="M38" s="246" t="n"/>
      <c r="N38" s="246" t="n"/>
      <c r="O38" s="246" t="n"/>
      <c r="P38" s="246" t="n"/>
      <c r="Q38" s="246" t="n"/>
      <c r="R38" s="246" t="n"/>
      <c r="S38" s="246" t="n"/>
      <c r="T38" s="246" t="n"/>
      <c r="U38" s="246" t="n"/>
      <c r="V38" s="247">
        <f>IF(C38="Gutschrift","",IF(G38="","",IF(Besatzung!$B$11="","",IFERROR(IF(I38="Zeitanteilig",(Besatzung!$G$11*(G38-IFERROR(H38,0))+((Besatzung!$B$11&lt;&gt;"")*IF(B38="",1,(IF(Besatzung!$C$11="",Besatzung!$B$5,Besatzung!$C$11)&lt;=B38)*(IF(Besatzung!$D$11="",Besatzung!$B$6,Besatzung!$D$11)&gt;=B38)))*(Besatzung!$F$11="x")*IFERROR(H38,0)/IFERROR(SUMPRODUCT((Besatzung!$B$11:$B$22&lt;&gt;"")*(Besatzung!$F$11:$F$22="x")*(IF(Besatzung!$C$11:$C$22="",Besatzung!$B$5,Besatzung!$C$11:$C$22)&lt;=B38)*(IF(Besatzung!$D$11:$D$22="",Besatzung!$B$6,Besatzung!$D$11:$D$22)&gt;=B38)),1)),IF(I38="An Bord",(((Besatzung!$B$11&lt;&gt;"")*IF(B38="",1,(IF(Besatzung!$C$11="",Besatzung!$B$5,Besatzung!$C$11)&lt;=B38)*(IF(Besatzung!$D$11="",Besatzung!$B$6,Besatzung!$D$11)&gt;=B38)))*((G38-IFERROR(H38,0))/IFERROR(SUMPRODUCT((Besatzung!$B$11:$B$22&lt;&gt;"")*(IF(Besatzung!$C$11:$C$22="",Besatzung!$B$5,Besatzung!$C$11:$C$22)&lt;=B38)*(IF(Besatzung!$D$11:$D$22="",Besatzung!$B$6,Besatzung!$D$11:$D$22)&gt;=B38)),1)+(Besatzung!$F$11="x")*IFERROR(H38,0)/IFERROR(SUMPRODUCT((Besatzung!$B$11:$B$22&lt;&gt;"")*(Besatzung!$F$11:$F$22="x")*(IF(Besatzung!$C$11:$C$22="",Besatzung!$B$5,Besatzung!$C$11:$C$22)&lt;=B38)*(IF(Besatzung!$D$11:$D$22="",Besatzung!$B$6,Besatzung!$D$11:$D$22)&gt;=B38)),1))),IF(I38="Individuell",((J38="x")*((G38-IFERROR(H38,0))/IFERROR(COUNTIF(J38:U38,"x"),1)+(Besatzung!$F$11="x")*IFERROR(H38,0)/IFERROR(SUMPRODUCT((J38:U38="x")*(Besatzung!$F$11:$F$22="x")),1))),(IF(COUNTIF(J38:U38,"x")=0,IF(Besatzung!$B$11&lt;&gt;"",1,0),(J38="x"))*(G38-IFERROR(H38,0))/IFERROR(IF(COUNTIF(J38:U38,"x")=0,COUNTA(Besatzung!$B$11:$B$22),COUNTIF(J38:U38,"x")),1)+IF(COUNTIF(J38:U38,"x")=0,(Besatzung!$F$11="x"),(J38="x")*(Besatzung!$F$11="x"))*IFERROR(H38,0)/IFERROR(IF(COUNTIF(J38:U38,"x")=0,SUMPRODUCT((Besatzung!$B$11:$B$22&lt;&gt;"")*(Besatzung!$F$11:$F$22="x")),SUMPRODUCT((J38:U38="x")*(Besatzung!$F$11:$F$22="x"))),1))))),0))))</f>
        <v/>
      </c>
      <c r="W38" s="247">
        <f>IF(C38="Gutschrift","",IF(G38="","",IF(Besatzung!$B$12="","",IFERROR(IF(I38="Zeitanteilig",(Besatzung!$G$12*(G38-IFERROR(H38,0))+((Besatzung!$B$12&lt;&gt;"")*IF(B38="",1,(IF(Besatzung!$C$12="",Besatzung!$B$5,Besatzung!$C$12)&lt;=B38)*(IF(Besatzung!$D$12="",Besatzung!$B$6,Besatzung!$D$12)&gt;=B38)))*(Besatzung!$F$12="x")*IFERROR(H38,0)/IFERROR(SUMPRODUCT((Besatzung!$B$11:$B$22&lt;&gt;"")*(Besatzung!$F$11:$F$22="x")*(IF(Besatzung!$C$11:$C$22="",Besatzung!$B$5,Besatzung!$C$11:$C$22)&lt;=B38)*(IF(Besatzung!$D$11:$D$22="",Besatzung!$B$6,Besatzung!$D$11:$D$22)&gt;=B38)),1)),IF(I38="An Bord",(((Besatzung!$B$12&lt;&gt;"")*IF(B38="",1,(IF(Besatzung!$C$12="",Besatzung!$B$5,Besatzung!$C$12)&lt;=B38)*(IF(Besatzung!$D$12="",Besatzung!$B$6,Besatzung!$D$12)&gt;=B38)))*((G38-IFERROR(H38,0))/IFERROR(SUMPRODUCT((Besatzung!$B$11:$B$22&lt;&gt;"")*(IF(Besatzung!$C$11:$C$22="",Besatzung!$B$5,Besatzung!$C$11:$C$22)&lt;=B38)*(IF(Besatzung!$D$11:$D$22="",Besatzung!$B$6,Besatzung!$D$11:$D$22)&gt;=B38)),1)+(Besatzung!$F$12="x")*IFERROR(H38,0)/IFERROR(SUMPRODUCT((Besatzung!$B$11:$B$22&lt;&gt;"")*(Besatzung!$F$11:$F$22="x")*(IF(Besatzung!$C$11:$C$22="",Besatzung!$B$5,Besatzung!$C$11:$C$22)&lt;=B38)*(IF(Besatzung!$D$11:$D$22="",Besatzung!$B$6,Besatzung!$D$11:$D$22)&gt;=B38)),1))),IF(I38="Individuell",((K38="x")*((G38-IFERROR(H38,0))/IFERROR(COUNTIF(J38:U38,"x"),1)+(Besatzung!$F$12="x")*IFERROR(H38,0)/IFERROR(SUMPRODUCT((J38:U38="x")*(Besatzung!$F$11:$F$22="x")),1))),(IF(COUNTIF(J38:U38,"x")=0,IF(Besatzung!$B$12&lt;&gt;"",1,0),(K38="x"))*(G38-IFERROR(H38,0))/IFERROR(IF(COUNTIF(J38:U38,"x")=0,COUNTA(Besatzung!$B$11:$B$22),COUNTIF(J38:U38,"x")),1)+IF(COUNTIF(J38:U38,"x")=0,(Besatzung!$F$12="x"),(K38="x")*(Besatzung!$F$12="x"))*IFERROR(H38,0)/IFERROR(IF(COUNTIF(J38:U38,"x")=0,SUMPRODUCT((Besatzung!$B$11:$B$22&lt;&gt;"")*(Besatzung!$F$11:$F$22="x")),SUMPRODUCT((J38:U38="x")*(Besatzung!$F$11:$F$22="x"))),1))))),0))))</f>
        <v/>
      </c>
      <c r="X38" s="247">
        <f>IF(C38="Gutschrift","",IF(G38="","",IF(Besatzung!$B$13="","",IFERROR(IF(I38="Zeitanteilig",(Besatzung!$G$13*(G38-IFERROR(H38,0))+((Besatzung!$B$13&lt;&gt;"")*IF(B38="",1,(IF(Besatzung!$C$13="",Besatzung!$B$5,Besatzung!$C$13)&lt;=B38)*(IF(Besatzung!$D$13="",Besatzung!$B$6,Besatzung!$D$13)&gt;=B38)))*(Besatzung!$F$13="x")*IFERROR(H38,0)/IFERROR(SUMPRODUCT((Besatzung!$B$11:$B$22&lt;&gt;"")*(Besatzung!$F$11:$F$22="x")*(IF(Besatzung!$C$11:$C$22="",Besatzung!$B$5,Besatzung!$C$11:$C$22)&lt;=B38)*(IF(Besatzung!$D$11:$D$22="",Besatzung!$B$6,Besatzung!$D$11:$D$22)&gt;=B38)),1)),IF(I38="An Bord",(((Besatzung!$B$13&lt;&gt;"")*IF(B38="",1,(IF(Besatzung!$C$13="",Besatzung!$B$5,Besatzung!$C$13)&lt;=B38)*(IF(Besatzung!$D$13="",Besatzung!$B$6,Besatzung!$D$13)&gt;=B38)))*((G38-IFERROR(H38,0))/IFERROR(SUMPRODUCT((Besatzung!$B$11:$B$22&lt;&gt;"")*(IF(Besatzung!$C$11:$C$22="",Besatzung!$B$5,Besatzung!$C$11:$C$22)&lt;=B38)*(IF(Besatzung!$D$11:$D$22="",Besatzung!$B$6,Besatzung!$D$11:$D$22)&gt;=B38)),1)+(Besatzung!$F$13="x")*IFERROR(H38,0)/IFERROR(SUMPRODUCT((Besatzung!$B$11:$B$22&lt;&gt;"")*(Besatzung!$F$11:$F$22="x")*(IF(Besatzung!$C$11:$C$22="",Besatzung!$B$5,Besatzung!$C$11:$C$22)&lt;=B38)*(IF(Besatzung!$D$11:$D$22="",Besatzung!$B$6,Besatzung!$D$11:$D$22)&gt;=B38)),1))),IF(I38="Individuell",((K38="x")*((G38-IFERROR(H38,0))/IFERROR(COUNTIF(J38:U38,"x"),1)+(Besatzung!$F$13="x")*IFERROR(H38,0)/IFERROR(SUMPRODUCT((J38:U38="x")*(Besatzung!$F$11:$F$22="x")),1))),(IF(COUNTIF(J38:U38,"x")=0,IF(Besatzung!$B$13&lt;&gt;"",1,0),(K38="x"))*(G38-IFERROR(H38,0))/IFERROR(IF(COUNTIF(J38:U38,"x")=0,COUNTA(Besatzung!$B$11:$B$22),COUNTIF(J38:U38,"x")),1)+IF(COUNTIF(J38:U38,"x")=0,(Besatzung!$F$13="x"),(K38="x")*(Besatzung!$F$13="x"))*IFERROR(H38,0)/IFERROR(IF(COUNTIF(J38:U38,"x")=0,SUMPRODUCT((Besatzung!$B$11:$B$22&lt;&gt;"")*(Besatzung!$F$11:$F$22="x")),SUMPRODUCT((J38:U38="x")*(Besatzung!$F$11:$F$22="x"))),1))))),0))))</f>
        <v/>
      </c>
      <c r="Y38" s="247">
        <f>IF(C38="Gutschrift","",IF(G38="","",IF(Besatzung!$B$14="","",IFERROR(IF(I38="Zeitanteilig",(Besatzung!$G$14*(G38-IFERROR(H38,0))+((Besatzung!$B$14&lt;&gt;"")*IF(B38="",1,(IF(Besatzung!$C$14="",Besatzung!$B$5,Besatzung!$C$14)&lt;=B38)*(IF(Besatzung!$D$14="",Besatzung!$B$6,Besatzung!$D$14)&gt;=B38)))*(Besatzung!$F$14="x")*IFERROR(H38,0)/IFERROR(SUMPRODUCT((Besatzung!$B$11:$B$22&lt;&gt;"")*(Besatzung!$F$11:$F$22="x")*(IF(Besatzung!$C$11:$C$22="",Besatzung!$B$5,Besatzung!$C$11:$C$22)&lt;=B38)*(IF(Besatzung!$D$11:$D$22="",Besatzung!$B$6,Besatzung!$D$11:$D$22)&gt;=B38)),1)),IF(I38="An Bord",(((Besatzung!$B$14&lt;&gt;"")*IF(B38="",1,(IF(Besatzung!$C$14="",Besatzung!$B$5,Besatzung!$C$14)&lt;=B38)*(IF(Besatzung!$D$14="",Besatzung!$B$6,Besatzung!$D$14)&gt;=B38)))*((G38-IFERROR(H38,0))/IFERROR(SUMPRODUCT((Besatzung!$B$11:$B$22&lt;&gt;"")*(IF(Besatzung!$C$11:$C$22="",Besatzung!$B$5,Besatzung!$C$11:$C$22)&lt;=B38)*(IF(Besatzung!$D$11:$D$22="",Besatzung!$B$6,Besatzung!$D$11:$D$22)&gt;=B38)),1)+(Besatzung!$F$14="x")*IFERROR(H38,0)/IFERROR(SUMPRODUCT((Besatzung!$B$11:$B$22&lt;&gt;"")*(Besatzung!$F$11:$F$22="x")*(IF(Besatzung!$C$11:$C$22="",Besatzung!$B$5,Besatzung!$C$11:$C$22)&lt;=B38)*(IF(Besatzung!$D$11:$D$22="",Besatzung!$B$6,Besatzung!$D$11:$D$22)&gt;=B38)),1))),IF(I38="Individuell",((M38="x")*((G38-IFERROR(H38,0))/IFERROR(COUNTIF(J38:U38,"x"),1)+(Besatzung!$F$14="x")*IFERROR(H38,0)/IFERROR(SUMPRODUCT((J38:U38="x")*(Besatzung!$F$11:$F$22="x")),1))),(IF(COUNTIF(J38:U38,"x")=0,IF(Besatzung!$B$14&lt;&gt;"",1,0),(M38="x"))*(G38-IFERROR(H38,0))/IFERROR(IF(COUNTIF(J38:U38,"x")=0,COUNTA(Besatzung!$B$11:$B$22),COUNTIF(J38:U38,"x")),1)+IF(COUNTIF(J38:U38,"x")=0,(Besatzung!$F$14="x"),(M38="x")*(Besatzung!$F$14="x"))*IFERROR(H38,0)/IFERROR(IF(COUNTIF(J38:U38,"x")=0,SUMPRODUCT((Besatzung!$B$11:$B$22&lt;&gt;"")*(Besatzung!$F$11:$F$22="x")),SUMPRODUCT((J38:U38="x")*(Besatzung!$F$11:$F$22="x"))),1))))),0))))</f>
        <v/>
      </c>
      <c r="Z38" s="247">
        <f>IF(C38="Gutschrift","",IF(G38="","",IF(Besatzung!$B$13="","",IFERROR(IF(I38="Zeitanteilig",(Besatzung!$G$15*(G38-IFERROR(H38,0))+((Besatzung!$B$13&lt;&gt;"")*IF(B38="",1,(IF(Besatzung!$C$15="",Besatzung!$B$5,Besatzung!$C$15)&lt;=B38)*(IF(Besatzung!$D$15="",Besatzung!$B$6,Besatzung!$D$15)&gt;=B38)))*(Besatzung!$F$15="x")*IFERROR(H38,0)/IFERROR(SUMPRODUCT((Besatzung!$B$11:$B$22&lt;&gt;"")*(Besatzung!$F$11:$F$22="x")*(IF(Besatzung!$C$11:$C$22="",Besatzung!$B$5,Besatzung!$C$11:$C$22)&lt;=B38)*(IF(Besatzung!$D$11:$D$22="",Besatzung!$B$6,Besatzung!$D$11:$D$22)&gt;=B38)),1)),IF(I38="An Bord",(((Besatzung!$B$13&lt;&gt;"")*IF(B38="",1,(IF(Besatzung!$C$15="",Besatzung!$B$5,Besatzung!$C$15)&lt;=B38)*(IF(Besatzung!$D$15="",Besatzung!$B$6,Besatzung!$D$15)&gt;=B38)))*((G38-IFERROR(H38,0))/IFERROR(SUMPRODUCT((Besatzung!$B$11:$B$22&lt;&gt;"")*(IF(Besatzung!$C$11:$C$22="",Besatzung!$B$5,Besatzung!$C$11:$C$22)&lt;=B38)*(IF(Besatzung!$D$11:$D$22="",Besatzung!$B$6,Besatzung!$D$11:$D$22)&gt;=B38)),1)+(Besatzung!$F$15="x")*IFERROR(H38,0)/IFERROR(SUMPRODUCT((Besatzung!$B$11:$B$22&lt;&gt;"")*(Besatzung!$F$11:$F$22="x")*(IF(Besatzung!$C$11:$C$22="",Besatzung!$B$5,Besatzung!$C$11:$C$22)&lt;=B38)*(IF(Besatzung!$D$11:$D$22="",Besatzung!$B$6,Besatzung!$D$11:$D$22)&gt;=B38)),1))),IF(I38="Individuell",((N38="x")*((G38-IFERROR(H38,0))/IFERROR(COUNTIF(J38:U38,"x"),1)+(Besatzung!$F$15="x")*IFERROR(H38,0)/IFERROR(SUMPRODUCT((J38:U38="x")*(Besatzung!$F$11:$F$22="x")),1))),(IF(COUNTIF(J38:U38,"x")=0,IF(Besatzung!$B$13&lt;&gt;"",1,0),(N38="x"))*(G38-IFERROR(H38,0))/IFERROR(IF(COUNTIF(J38:U38,"x")=0,COUNTA(Besatzung!$B$11:$B$22),COUNTIF(J38:U38,"x")),1)+IF(COUNTIF(J38:U38,"x")=0,(Besatzung!$F$15="x"),(N38="x")*(Besatzung!$F$15="x"))*IFERROR(H38,0)/IFERROR(IF(COUNTIF(J38:U38,"x")=0,SUMPRODUCT((Besatzung!$B$11:$B$22&lt;&gt;"")*(Besatzung!$F$11:$F$22="x")),SUMPRODUCT((J38:U38="x")*(Besatzung!$F$11:$F$22="x"))),1))))),0))))</f>
        <v/>
      </c>
      <c r="AA38" s="247">
        <f>IF(C38="Gutschrift","",IF(G38="","",IF(Besatzung!$B$15="","",IFERROR(IF(I38="Zeitanteilig",(Besatzung!$G$16*(G38-IFERROR(H38,0))+((Besatzung!$B$15&lt;&gt;"")*IF(B38="",1,(IF(Besatzung!$C$16="",Besatzung!$B$5,Besatzung!$C$16)&lt;=B38)*(IF(Besatzung!$D$16="",Besatzung!$B$6,Besatzung!$D$16)&gt;=B38)))*(Besatzung!$F$16="x")*IFERROR(H38,0)/IFERROR(SUMPRODUCT((Besatzung!$B$11:$B$22&lt;&gt;"")*(Besatzung!$F$11:$F$22="x")*(IF(Besatzung!$C$11:$C$22="",Besatzung!$B$5,Besatzung!$C$11:$C$22)&lt;=B38)*(IF(Besatzung!$D$11:$D$22="",Besatzung!$B$6,Besatzung!$D$11:$D$22)&gt;=B38)),1)),IF(I38="An Bord",(((Besatzung!$B$15&lt;&gt;"")*IF(B38="",1,(IF(Besatzung!$C$16="",Besatzung!$B$5,Besatzung!$C$16)&lt;=B38)*(IF(Besatzung!$D$16="",Besatzung!$B$6,Besatzung!$D$16)&gt;=B38)))*((G38-IFERROR(H38,0))/IFERROR(SUMPRODUCT((Besatzung!$B$11:$B$22&lt;&gt;"")*(IF(Besatzung!$C$11:$C$22="",Besatzung!$B$5,Besatzung!$C$11:$C$22)&lt;=B38)*(IF(Besatzung!$D$11:$D$22="",Besatzung!$B$6,Besatzung!$D$11:$D$22)&gt;=B38)),1)+(Besatzung!$F$16="x")*IFERROR(H38,0)/IFERROR(SUMPRODUCT((Besatzung!$B$11:$B$22&lt;&gt;"")*(Besatzung!$F$11:$F$22="x")*(IF(Besatzung!$C$11:$C$22="",Besatzung!$B$5,Besatzung!$C$11:$C$22)&lt;=B38)*(IF(Besatzung!$D$11:$D$22="",Besatzung!$B$6,Besatzung!$D$11:$D$22)&gt;=B38)),1))),IF(I38="Individuell",((O38="x")*((G38-IFERROR(H38,0))/IFERROR(COUNTIF(J38:U38,"x"),1)+(Besatzung!$F$16="x")*IFERROR(H38,0)/IFERROR(SUMPRODUCT((J38:U38="x")*(Besatzung!$F$11:$F$22="x")),1))),(IF(COUNTIF(J38:U38,"x")=0,IF(Besatzung!$B$15&lt;&gt;"",1,0),(O38="x"))*(G38-IFERROR(H38,0))/IFERROR(IF(COUNTIF(J38:U38,"x")=0,COUNTA(Besatzung!$B$11:$B$22),COUNTIF(J38:U38,"x")),1)+IF(COUNTIF(J38:U38,"x")=0,(Besatzung!$F$16="x"),(O38="x")*(Besatzung!$F$16="x"))*IFERROR(H38,0)/IFERROR(IF(COUNTIF(J38:U38,"x")=0,SUMPRODUCT((Besatzung!$B$11:$B$22&lt;&gt;"")*(Besatzung!$F$11:$F$22="x")),SUMPRODUCT((J38:U38="x")*(Besatzung!$F$11:$F$22="x"))),1))))),0))))</f>
        <v/>
      </c>
      <c r="AB38" s="247">
        <f>IF(C38="Gutschrift","",IF(G38="","",IF(Besatzung!$B$17="","",IFERROR(IF(I38="Zeitanteilig",(Besatzung!$G$17*(G38-IFERROR(H38,0))+((Besatzung!$B$17&lt;&gt;"")*IF(B38="",1,(IF(Besatzung!$C$17="",Besatzung!$B$5,Besatzung!$C$17)&lt;=B38)*(IF(Besatzung!$D$17="",Besatzung!$B$6,Besatzung!$D$17)&gt;=B38)))*(Besatzung!$F$17="x")*IFERROR(H38,0)/IFERROR(SUMPRODUCT((Besatzung!$B$11:$B$22&lt;&gt;"")*(Besatzung!$F$11:$F$22="x")*(IF(Besatzung!$C$11:$C$22="",Besatzung!$B$5,Besatzung!$C$11:$C$22)&lt;=B38)*(IF(Besatzung!$D$11:$D$22="",Besatzung!$B$6,Besatzung!$D$11:$D$22)&gt;=B38)),1)),IF(I38="An Bord",(((Besatzung!$B$17&lt;&gt;"")*IF(B38="",1,(IF(Besatzung!$C$17="",Besatzung!$B$5,Besatzung!$C$17)&lt;=B38)*(IF(Besatzung!$D$17="",Besatzung!$B$6,Besatzung!$D$17)&gt;=B38)))*((G38-IFERROR(H38,0))/IFERROR(SUMPRODUCT((Besatzung!$B$11:$B$22&lt;&gt;"")*(IF(Besatzung!$C$11:$C$22="",Besatzung!$B$5,Besatzung!$C$11:$C$22)&lt;=B38)*(IF(Besatzung!$D$11:$D$22="",Besatzung!$B$6,Besatzung!$D$11:$D$22)&gt;=B38)),1)+(Besatzung!$F$17="x")*IFERROR(H38,0)/IFERROR(SUMPRODUCT((Besatzung!$B$11:$B$22&lt;&gt;"")*(Besatzung!$F$11:$F$22="x")*(IF(Besatzung!$C$11:$C$22="",Besatzung!$B$5,Besatzung!$C$11:$C$22)&lt;=B38)*(IF(Besatzung!$D$11:$D$22="",Besatzung!$B$6,Besatzung!$D$11:$D$22)&gt;=B38)),1))),IF(I38="Individuell",((P38="x")*((G38-IFERROR(H38,0))/IFERROR(COUNTIF(J38:U38,"x"),1)+(Besatzung!$F$17="x")*IFERROR(H38,0)/IFERROR(SUMPRODUCT((J38:U38="x")*(Besatzung!$F$11:$F$22="x")),1))),(IF(COUNTIF(J38:U38,"x")=0,IF(Besatzung!$B$17&lt;&gt;"",1,0),(P38="x"))*(G38-IFERROR(H38,0))/IFERROR(IF(COUNTIF(J38:U38,"x")=0,COUNTA(Besatzung!$B$11:$B$22),COUNTIF(J38:U38,"x")),1)+IF(COUNTIF(J38:U38,"x")=0,(Besatzung!$F$17="x"),(P38="x")*(Besatzung!$F$17="x"))*IFERROR(H38,0)/IFERROR(IF(COUNTIF(J38:U38,"x")=0,SUMPRODUCT((Besatzung!$B$11:$B$22&lt;&gt;"")*(Besatzung!$F$11:$F$22="x")),SUMPRODUCT((J38:U38="x")*(Besatzung!$F$11:$F$22="x"))),1))))),0))))</f>
        <v/>
      </c>
      <c r="AC38" s="247">
        <f>IF(C38="Gutschrift","",IF(G38="","",IF(Besatzung!$B$18="","",IFERROR(IF(I38="Zeitanteilig",(Besatzung!$G$18*(G38-IFERROR(H38,0))+((Besatzung!$B$18&lt;&gt;"")*IF(B38="",1,(IF(Besatzung!$C$18="",Besatzung!$B$5,Besatzung!$C$18)&lt;=B38)*(IF(Besatzung!$D$18="",Besatzung!$B$6,Besatzung!$D$18)&gt;=B38)))*(Besatzung!$F$18="x")*IFERROR(H38,0)/IFERROR(SUMPRODUCT((Besatzung!$B$11:$B$22&lt;&gt;"")*(Besatzung!$F$11:$F$22="x")*(IF(Besatzung!$C$11:$C$22="",Besatzung!$B$5,Besatzung!$C$11:$C$22)&lt;=B38)*(IF(Besatzung!$D$11:$D$22="",Besatzung!$B$6,Besatzung!$D$11:$D$22)&gt;=B38)),1)),IF(I38="An Bord",(((Besatzung!$B$18&lt;&gt;"")*IF(B38="",1,(IF(Besatzung!$C$18="",Besatzung!$B$5,Besatzung!$C$18)&lt;=B38)*(IF(Besatzung!$D$18="",Besatzung!$B$6,Besatzung!$D$18)&gt;=B38)))*((G38-IFERROR(H38,0))/IFERROR(SUMPRODUCT((Besatzung!$B$11:$B$22&lt;&gt;"")*(IF(Besatzung!$C$11:$C$22="",Besatzung!$B$5,Besatzung!$C$11:$C$22)&lt;=B38)*(IF(Besatzung!$D$11:$D$22="",Besatzung!$B$6,Besatzung!$D$11:$D$22)&gt;=B38)),1)+(Besatzung!$F$18="x")*IFERROR(H38,0)/IFERROR(SUMPRODUCT((Besatzung!$B$11:$B$22&lt;&gt;"")*(Besatzung!$F$11:$F$22="x")*(IF(Besatzung!$C$11:$C$22="",Besatzung!$B$5,Besatzung!$C$11:$C$22)&lt;=B38)*(IF(Besatzung!$D$11:$D$22="",Besatzung!$B$6,Besatzung!$D$11:$D$22)&gt;=B38)),1))),IF(I38="Individuell",((Q38="x")*((G38-IFERROR(H38,0))/IFERROR(COUNTIF(J38:U38,"x"),1)+(Besatzung!$F$18="x")*IFERROR(H38,0)/IFERROR(SUMPRODUCT((J38:U38="x")*(Besatzung!$F$11:$F$22="x")),1))),(IF(COUNTIF(J38:U38,"x")=0,IF(Besatzung!$B$18&lt;&gt;"",1,0),(Q38="x"))*(G38-IFERROR(H38,0))/IFERROR(IF(COUNTIF(J38:U38,"x")=0,COUNTA(Besatzung!$B$11:$B$22),COUNTIF(J38:U38,"x")),1)+IF(COUNTIF(J38:U38,"x")=0,(Besatzung!$F$18="x"),(Q38="x")*(Besatzung!$F$18="x"))*IFERROR(H38,0)/IFERROR(IF(COUNTIF(J38:U38,"x")=0,SUMPRODUCT((Besatzung!$B$11:$B$22&lt;&gt;"")*(Besatzung!$F$11:$F$22="x")),SUMPRODUCT((J38:U38="x")*(Besatzung!$F$11:$F$22="x"))),1))))),0))))</f>
        <v/>
      </c>
      <c r="AD38" s="247">
        <f>IF(C38="Gutschrift","",IF(G38="","",IF(Besatzung!$B$19="","",IFERROR(IF(I38="Zeitanteilig",(Besatzung!$G$19*(G38-IFERROR(H38,0))+((Besatzung!$B$19&lt;&gt;"")*IF(B38="",1,(IF(Besatzung!$C$19="",Besatzung!$B$5,Besatzung!$C$19)&lt;=B38)*(IF(Besatzung!$D$19="",Besatzung!$B$6,Besatzung!$D$19)&gt;=B38)))*(Besatzung!$F$19="x")*IFERROR(H38,0)/IFERROR(SUMPRODUCT((Besatzung!$B$11:$B$22&lt;&gt;"")*(Besatzung!$F$11:$F$22="x")*(IF(Besatzung!$C$11:$C$22="",Besatzung!$B$5,Besatzung!$C$11:$C$22)&lt;=B38)*(IF(Besatzung!$D$11:$D$22="",Besatzung!$B$6,Besatzung!$D$11:$D$22)&gt;=B38)),1)),IF(I38="An Bord",(((Besatzung!$B$19&lt;&gt;"")*IF(B38="",1,(IF(Besatzung!$C$19="",Besatzung!$B$5,Besatzung!$C$19)&lt;=B38)*(IF(Besatzung!$D$19="",Besatzung!$B$6,Besatzung!$D$19)&gt;=B38)))*((G38-IFERROR(H38,0))/IFERROR(SUMPRODUCT((Besatzung!$B$11:$B$22&lt;&gt;"")*(IF(Besatzung!$C$11:$C$22="",Besatzung!$B$5,Besatzung!$C$11:$C$22)&lt;=B38)*(IF(Besatzung!$D$11:$D$22="",Besatzung!$B$6,Besatzung!$D$11:$D$22)&gt;=B38)),1)+(Besatzung!$F$19="x")*IFERROR(H38,0)/IFERROR(SUMPRODUCT((Besatzung!$B$11:$B$22&lt;&gt;"")*(Besatzung!$F$11:$F$22="x")*(IF(Besatzung!$C$11:$C$22="",Besatzung!$B$5,Besatzung!$C$11:$C$22)&lt;=B38)*(IF(Besatzung!$D$11:$D$22="",Besatzung!$B$6,Besatzung!$D$11:$D$22)&gt;=B38)),1))),IF(I38="Individuell",((R38="x")*((G38-IFERROR(H38,0))/IFERROR(COUNTIF(J38:U38,"x"),1)+(Besatzung!$F$19="x")*IFERROR(H38,0)/IFERROR(SUMPRODUCT((J38:U38="x")*(Besatzung!$F$11:$F$22="x")),1))),(IF(COUNTIF(J38:U38,"x")=0,IF(Besatzung!$B$19&lt;&gt;"",1,0),(R38="x"))*(G38-IFERROR(H38,0))/IFERROR(IF(COUNTIF(J38:U38,"x")=0,COUNTA(Besatzung!$B$11:$B$22),COUNTIF(J38:U38,"x")),1)+IF(COUNTIF(J38:U38,"x")=0,(Besatzung!$F$19="x"),(R38="x")*(Besatzung!$F$19="x"))*IFERROR(H38,0)/IFERROR(IF(COUNTIF(J38:U38,"x")=0,SUMPRODUCT((Besatzung!$B$11:$B$22&lt;&gt;"")*(Besatzung!$F$11:$F$22="x")),SUMPRODUCT((J38:U38="x")*(Besatzung!$F$11:$F$22="x"))),1))))),0))))</f>
        <v/>
      </c>
      <c r="AE38" s="247">
        <f>IF(C38="Gutschrift","",IF(G38="","",IF(Besatzung!$B$20="","",IFERROR(IF(I38="Zeitanteilig",(Besatzung!$G$20*(G38-IFERROR(H38,0))+((Besatzung!$B$20&lt;&gt;"")*IF(B38="",1,(IF(Besatzung!$C$20="",Besatzung!$B$5,Besatzung!$C$20)&lt;=B38)*(IF(Besatzung!$D$20="",Besatzung!$B$6,Besatzung!$D$20)&gt;=B38)))*(Besatzung!$F$20="x")*IFERROR(H38,0)/IFERROR(SUMPRODUCT((Besatzung!$B$11:$B$22&lt;&gt;"")*(Besatzung!$F$11:$F$22="x")*(IF(Besatzung!$C$11:$C$22="",Besatzung!$B$5,Besatzung!$C$11:$C$22)&lt;=B38)*(IF(Besatzung!$D$11:$D$22="",Besatzung!$B$6,Besatzung!$D$11:$D$22)&gt;=B38)),1)),IF(I38="An Bord",(((Besatzung!$B$20&lt;&gt;"")*IF(B38="",1,(IF(Besatzung!$C$20="",Besatzung!$B$5,Besatzung!$C$20)&lt;=B38)*(IF(Besatzung!$D$20="",Besatzung!$B$6,Besatzung!$D$20)&gt;=B38)))*((G38-IFERROR(H38,0))/IFERROR(SUMPRODUCT((Besatzung!$B$11:$B$22&lt;&gt;"")*(IF(Besatzung!$C$11:$C$22="",Besatzung!$B$5,Besatzung!$C$11:$C$22)&lt;=B38)*(IF(Besatzung!$D$11:$D$22="",Besatzung!$B$6,Besatzung!$D$11:$D$22)&gt;=B38)),1)+(Besatzung!$F$20="x")*IFERROR(H38,0)/IFERROR(SUMPRODUCT((Besatzung!$B$11:$B$22&lt;&gt;"")*(Besatzung!$F$11:$F$22="x")*(IF(Besatzung!$C$11:$C$22="",Besatzung!$B$5,Besatzung!$C$11:$C$22)&lt;=B38)*(IF(Besatzung!$D$11:$D$22="",Besatzung!$B$6,Besatzung!$D$11:$D$22)&gt;=B38)),1))),IF(I38="Individuell",((S38="x")*((G38-IFERROR(H38,0))/IFERROR(COUNTIF(J38:U38,"x"),1)+(Besatzung!$F$20="x")*IFERROR(H38,0)/IFERROR(SUMPRODUCT((J38:U38="x")*(Besatzung!$F$11:$F$22="x")),1))),(IF(COUNTIF(J38:U38,"x")=0,IF(Besatzung!$B$20&lt;&gt;"",1,0),(S38="x"))*(G38-IFERROR(H38,0))/IFERROR(IF(COUNTIF(J38:U38,"x")=0,COUNTA(Besatzung!$B$11:$B$22),COUNTIF(J38:U38,"x")),1)+IF(COUNTIF(J38:U38,"x")=0,(Besatzung!$F$20="x"),(S38="x")*(Besatzung!$F$20="x"))*IFERROR(H38,0)/IFERROR(IF(COUNTIF(J38:U38,"x")=0,SUMPRODUCT((Besatzung!$B$11:$B$22&lt;&gt;"")*(Besatzung!$F$11:$F$22="x")),SUMPRODUCT((J38:U38="x")*(Besatzung!$F$11:$F$22="x"))),1))))),0))))</f>
        <v/>
      </c>
      <c r="AF38" s="247">
        <f>IF(C38="Gutschrift","",IF(G38="","",IF(Besatzung!$B$21="","",IFERROR(IF(I38="Zeitanteilig",(Besatzung!$G$21*(G38-IFERROR(H38,0))+((Besatzung!$B$21&lt;&gt;"")*IF(B38="",1,(IF(Besatzung!$C$21="",Besatzung!$B$5,Besatzung!$C$21)&lt;=B38)*(IF(Besatzung!$D$21="",Besatzung!$B$6,Besatzung!$D$21)&gt;=B38)))*(Besatzung!$F$21="x")*IFERROR(H38,0)/IFERROR(SUMPRODUCT((Besatzung!$B$11:$B$22&lt;&gt;"")*(Besatzung!$F$11:$F$22="x")*(IF(Besatzung!$C$11:$C$22="",Besatzung!$B$5,Besatzung!$C$11:$C$22)&lt;=B38)*(IF(Besatzung!$D$11:$D$22="",Besatzung!$B$6,Besatzung!$D$11:$D$22)&gt;=B38)),1)),IF(I38="An Bord",(((Besatzung!$B$21&lt;&gt;"")*IF(B38="",1,(IF(Besatzung!$C$21="",Besatzung!$B$5,Besatzung!$C$21)&lt;=B38)*(IF(Besatzung!$D$21="",Besatzung!$B$6,Besatzung!$D$21)&gt;=B38)))*((G38-IFERROR(H38,0))/IFERROR(SUMPRODUCT((Besatzung!$B$11:$B$22&lt;&gt;"")*(IF(Besatzung!$C$11:$C$22="",Besatzung!$B$5,Besatzung!$C$11:$C$22)&lt;=B38)*(IF(Besatzung!$D$11:$D$22="",Besatzung!$B$6,Besatzung!$D$11:$D$22)&gt;=B38)),1)+(Besatzung!$F$21="x")*IFERROR(H38,0)/IFERROR(SUMPRODUCT((Besatzung!$B$11:$B$22&lt;&gt;"")*(Besatzung!$F$11:$F$22="x")*(IF(Besatzung!$C$11:$C$22="",Besatzung!$B$5,Besatzung!$C$11:$C$22)&lt;=B38)*(IF(Besatzung!$D$11:$D$22="",Besatzung!$B$6,Besatzung!$D$11:$D$22)&gt;=B38)),1))),IF(I38="Individuell",((T38="x")*((G38-IFERROR(H38,0))/IFERROR(COUNTIF(J38:U38,"x"),1)+(Besatzung!$F$21="x")*IFERROR(H38,0)/IFERROR(SUMPRODUCT((J38:U38="x")*(Besatzung!$F$11:$F$22="x")),1))),(IF(COUNTIF(J38:U38,"x")=0,IF(Besatzung!$B$21&lt;&gt;"",1,0),(T38="x"))*(G38-IFERROR(H38,0))/IFERROR(IF(COUNTIF(J38:U38,"x")=0,COUNTA(Besatzung!$B$11:$B$22),COUNTIF(J38:U38,"x")),1)+IF(COUNTIF(J38:U38,"x")=0,(Besatzung!$F$21="x"),(T38="x")*(Besatzung!$F$21="x"))*IFERROR(H38,0)/IFERROR(IF(COUNTIF(J38:U38,"x")=0,SUMPRODUCT((Besatzung!$B$11:$B$22&lt;&gt;"")*(Besatzung!$F$11:$F$22="x")),SUMPRODUCT((J38:U38="x")*(Besatzung!$F$11:$F$22="x"))),1))))),0))))</f>
        <v/>
      </c>
      <c r="AG38" s="247">
        <f>IF(C38="Gutschrift","",IF(G38="","",IF(Besatzung!$B$22="","",IFERROR(IF(I38="Zeitanteilig",(Besatzung!$G$22*(G38-IFERROR(H38,0))+((Besatzung!$B$22&lt;&gt;"")*IF(B38="",1,(IF(Besatzung!$C$22="",Besatzung!$B$5,Besatzung!$C$22)&lt;=B38)*(IF(Besatzung!$D$22="",Besatzung!$B$6,Besatzung!$D$22)&gt;=B38)))*(Besatzung!$F$22="x")*IFERROR(H38,0)/IFERROR(SUMPRODUCT((Besatzung!$B$11:$B$22&lt;&gt;"")*(Besatzung!$F$11:$F$22="x")*(IF(Besatzung!$C$11:$C$22="",Besatzung!$B$5,Besatzung!$C$11:$C$22)&lt;=B38)*(IF(Besatzung!$D$11:$D$22="",Besatzung!$B$6,Besatzung!$D$11:$D$22)&gt;=B38)),1)),IF(I38="An Bord",(((Besatzung!$B$22&lt;&gt;"")*IF(B38="",1,(IF(Besatzung!$C$22="",Besatzung!$B$5,Besatzung!$C$22)&lt;=B38)*(IF(Besatzung!$D$22="",Besatzung!$B$6,Besatzung!$D$22)&gt;=B38)))*((G38-IFERROR(H38,0))/IFERROR(SUMPRODUCT((Besatzung!$B$11:$B$22&lt;&gt;"")*(IF(Besatzung!$C$11:$C$22="",Besatzung!$B$5,Besatzung!$C$11:$C$22)&lt;=B38)*(IF(Besatzung!$D$11:$D$22="",Besatzung!$B$6,Besatzung!$D$11:$D$22)&gt;=B38)),1)+(Besatzung!$F$22="x")*IFERROR(H38,0)/IFERROR(SUMPRODUCT((Besatzung!$B$11:$B$22&lt;&gt;"")*(Besatzung!$F$11:$F$22="x")*(IF(Besatzung!$C$11:$C$22="",Besatzung!$B$5,Besatzung!$C$11:$C$22)&lt;=B38)*(IF(Besatzung!$D$11:$D$22="",Besatzung!$B$6,Besatzung!$D$11:$D$22)&gt;=B38)),1))),IF(I38="Individuell",((U38="x")*((G38-IFERROR(H38,0))/IFERROR(COUNTIF(J38:U38,"x"),1)+(Besatzung!$F$22="x")*IFERROR(H38,0)/IFERROR(SUMPRODUCT((J38:U38="x")*(Besatzung!$F$11:$F$22="x")),1))),(IF(COUNTIF(J38:U38,"x")=0,IF(Besatzung!$B$22&lt;&gt;"",1,0),(U38="x"))*(G38-IFERROR(H38,0))/IFERROR(IF(COUNTIF(J38:U38,"x")=0,COUNTA(Besatzung!$B$11:$B$22),COUNTIF(J38:U38,"x")),1)+IF(COUNTIF(J38:U38,"x")=0,(Besatzung!$F$22="x"),(U38="x")*(Besatzung!$F$22="x"))*IFERROR(H38,0)/IFERROR(IF(COUNTIF(J38:U38,"x")=0,SUMPRODUCT((Besatzung!$B$11:$B$22&lt;&gt;"")*(Besatzung!$F$11:$F$22="x")),SUMPRODUCT((J38:U38="x")*(Besatzung!$F$11:$F$22="x"))),1))))),0))))</f>
        <v/>
      </c>
      <c r="AH38" s="248" t="n"/>
      <c r="AI38" s="248" t="n"/>
    </row>
    <row r="39" ht="21.75" customHeight="1" s="154">
      <c r="A39" s="238">
        <f>IF(AND(D39="",C39=""),"",36)</f>
        <v/>
      </c>
      <c r="B39" s="206" t="n"/>
      <c r="C39" s="249" t="n"/>
      <c r="D39" s="250" t="n"/>
      <c r="E39" s="251" t="n"/>
      <c r="F39" s="252" t="n"/>
      <c r="G39" s="253" t="n"/>
      <c r="H39" s="254" t="n"/>
      <c r="I39" s="255" t="n"/>
      <c r="J39" s="256" t="n"/>
      <c r="K39" s="256" t="n"/>
      <c r="L39" s="256" t="n"/>
      <c r="M39" s="256" t="n"/>
      <c r="N39" s="256" t="n"/>
      <c r="O39" s="256" t="n"/>
      <c r="P39" s="256" t="n"/>
      <c r="Q39" s="256" t="n"/>
      <c r="R39" s="256" t="n"/>
      <c r="S39" s="256" t="n"/>
      <c r="T39" s="256" t="n"/>
      <c r="U39" s="256" t="n"/>
      <c r="V39" s="247">
        <f>IF(C39="Gutschrift","",IF(G39="","",IF(Besatzung!$B$11="","",IFERROR(IF(I39="Zeitanteilig",(Besatzung!$G$11*(G39-IFERROR(H39,0))+((Besatzung!$B$11&lt;&gt;"")*IF(B39="",1,(IF(Besatzung!$C$11="",Besatzung!$B$5,Besatzung!$C$11)&lt;=B39)*(IF(Besatzung!$D$11="",Besatzung!$B$6,Besatzung!$D$11)&gt;=B39)))*(Besatzung!$F$11="x")*IFERROR(H39,0)/IFERROR(SUMPRODUCT((Besatzung!$B$11:$B$22&lt;&gt;"")*(Besatzung!$F$11:$F$22="x")*(IF(Besatzung!$C$11:$C$22="",Besatzung!$B$5,Besatzung!$C$11:$C$22)&lt;=B39)*(IF(Besatzung!$D$11:$D$22="",Besatzung!$B$6,Besatzung!$D$11:$D$22)&gt;=B39)),1)),IF(I39="An Bord",(((Besatzung!$B$11&lt;&gt;"")*IF(B39="",1,(IF(Besatzung!$C$11="",Besatzung!$B$5,Besatzung!$C$11)&lt;=B39)*(IF(Besatzung!$D$11="",Besatzung!$B$6,Besatzung!$D$11)&gt;=B39)))*((G39-IFERROR(H39,0))/IFERROR(SUMPRODUCT((Besatzung!$B$11:$B$22&lt;&gt;"")*(IF(Besatzung!$C$11:$C$22="",Besatzung!$B$5,Besatzung!$C$11:$C$22)&lt;=B39)*(IF(Besatzung!$D$11:$D$22="",Besatzung!$B$6,Besatzung!$D$11:$D$22)&gt;=B39)),1)+(Besatzung!$F$11="x")*IFERROR(H39,0)/IFERROR(SUMPRODUCT((Besatzung!$B$11:$B$22&lt;&gt;"")*(Besatzung!$F$11:$F$22="x")*(IF(Besatzung!$C$11:$C$22="",Besatzung!$B$5,Besatzung!$C$11:$C$22)&lt;=B39)*(IF(Besatzung!$D$11:$D$22="",Besatzung!$B$6,Besatzung!$D$11:$D$22)&gt;=B39)),1))),IF(I39="Individuell",((J39="x")*((G39-IFERROR(H39,0))/IFERROR(COUNTIF(J39:U39,"x"),1)+(Besatzung!$F$11="x")*IFERROR(H39,0)/IFERROR(SUMPRODUCT((J39:U39="x")*(Besatzung!$F$11:$F$22="x")),1))),(IF(COUNTIF(J39:U39,"x")=0,IF(Besatzung!$B$11&lt;&gt;"",1,0),(J39="x"))*(G39-IFERROR(H39,0))/IFERROR(IF(COUNTIF(J39:U39,"x")=0,COUNTA(Besatzung!$B$11:$B$22),COUNTIF(J39:U39,"x")),1)+IF(COUNTIF(J39:U39,"x")=0,(Besatzung!$F$11="x"),(J39="x")*(Besatzung!$F$11="x"))*IFERROR(H39,0)/IFERROR(IF(COUNTIF(J39:U39,"x")=0,SUMPRODUCT((Besatzung!$B$11:$B$22&lt;&gt;"")*(Besatzung!$F$11:$F$22="x")),SUMPRODUCT((J39:U39="x")*(Besatzung!$F$11:$F$22="x"))),1))))),0))))</f>
        <v/>
      </c>
      <c r="W39" s="247">
        <f>IF(C39="Gutschrift","",IF(G39="","",IF(Besatzung!$B$12="","",IFERROR(IF(I39="Zeitanteilig",(Besatzung!$G$12*(G39-IFERROR(H39,0))+((Besatzung!$B$12&lt;&gt;"")*IF(B39="",1,(IF(Besatzung!$C$12="",Besatzung!$B$5,Besatzung!$C$12)&lt;=B39)*(IF(Besatzung!$D$12="",Besatzung!$B$6,Besatzung!$D$12)&gt;=B39)))*(Besatzung!$F$12="x")*IFERROR(H39,0)/IFERROR(SUMPRODUCT((Besatzung!$B$11:$B$22&lt;&gt;"")*(Besatzung!$F$11:$F$22="x")*(IF(Besatzung!$C$11:$C$22="",Besatzung!$B$5,Besatzung!$C$11:$C$22)&lt;=B39)*(IF(Besatzung!$D$11:$D$22="",Besatzung!$B$6,Besatzung!$D$11:$D$22)&gt;=B39)),1)),IF(I39="An Bord",(((Besatzung!$B$12&lt;&gt;"")*IF(B39="",1,(IF(Besatzung!$C$12="",Besatzung!$B$5,Besatzung!$C$12)&lt;=B39)*(IF(Besatzung!$D$12="",Besatzung!$B$6,Besatzung!$D$12)&gt;=B39)))*((G39-IFERROR(H39,0))/IFERROR(SUMPRODUCT((Besatzung!$B$11:$B$22&lt;&gt;"")*(IF(Besatzung!$C$11:$C$22="",Besatzung!$B$5,Besatzung!$C$11:$C$22)&lt;=B39)*(IF(Besatzung!$D$11:$D$22="",Besatzung!$B$6,Besatzung!$D$11:$D$22)&gt;=B39)),1)+(Besatzung!$F$12="x")*IFERROR(H39,0)/IFERROR(SUMPRODUCT((Besatzung!$B$11:$B$22&lt;&gt;"")*(Besatzung!$F$11:$F$22="x")*(IF(Besatzung!$C$11:$C$22="",Besatzung!$B$5,Besatzung!$C$11:$C$22)&lt;=B39)*(IF(Besatzung!$D$11:$D$22="",Besatzung!$B$6,Besatzung!$D$11:$D$22)&gt;=B39)),1))),IF(I39="Individuell",((K39="x")*((G39-IFERROR(H39,0))/IFERROR(COUNTIF(J39:U39,"x"),1)+(Besatzung!$F$12="x")*IFERROR(H39,0)/IFERROR(SUMPRODUCT((J39:U39="x")*(Besatzung!$F$11:$F$22="x")),1))),(IF(COUNTIF(J39:U39,"x")=0,IF(Besatzung!$B$12&lt;&gt;"",1,0),(K39="x"))*(G39-IFERROR(H39,0))/IFERROR(IF(COUNTIF(J39:U39,"x")=0,COUNTA(Besatzung!$B$11:$B$22),COUNTIF(J39:U39,"x")),1)+IF(COUNTIF(J39:U39,"x")=0,(Besatzung!$F$12="x"),(K39="x")*(Besatzung!$F$12="x"))*IFERROR(H39,0)/IFERROR(IF(COUNTIF(J39:U39,"x")=0,SUMPRODUCT((Besatzung!$B$11:$B$22&lt;&gt;"")*(Besatzung!$F$11:$F$22="x")),SUMPRODUCT((J39:U39="x")*(Besatzung!$F$11:$F$22="x"))),1))))),0))))</f>
        <v/>
      </c>
      <c r="X39" s="247">
        <f>IF(C39="Gutschrift","",IF(G39="","",IF(Besatzung!$B$13="","",IFERROR(IF(I39="Zeitanteilig",(Besatzung!$G$13*(G39-IFERROR(H39,0))+((Besatzung!$B$13&lt;&gt;"")*IF(B39="",1,(IF(Besatzung!$C$13="",Besatzung!$B$5,Besatzung!$C$13)&lt;=B39)*(IF(Besatzung!$D$13="",Besatzung!$B$6,Besatzung!$D$13)&gt;=B39)))*(Besatzung!$F$13="x")*IFERROR(H39,0)/IFERROR(SUMPRODUCT((Besatzung!$B$11:$B$22&lt;&gt;"")*(Besatzung!$F$11:$F$22="x")*(IF(Besatzung!$C$11:$C$22="",Besatzung!$B$5,Besatzung!$C$11:$C$22)&lt;=B39)*(IF(Besatzung!$D$11:$D$22="",Besatzung!$B$6,Besatzung!$D$11:$D$22)&gt;=B39)),1)),IF(I39="An Bord",(((Besatzung!$B$13&lt;&gt;"")*IF(B39="",1,(IF(Besatzung!$C$13="",Besatzung!$B$5,Besatzung!$C$13)&lt;=B39)*(IF(Besatzung!$D$13="",Besatzung!$B$6,Besatzung!$D$13)&gt;=B39)))*((G39-IFERROR(H39,0))/IFERROR(SUMPRODUCT((Besatzung!$B$11:$B$22&lt;&gt;"")*(IF(Besatzung!$C$11:$C$22="",Besatzung!$B$5,Besatzung!$C$11:$C$22)&lt;=B39)*(IF(Besatzung!$D$11:$D$22="",Besatzung!$B$6,Besatzung!$D$11:$D$22)&gt;=B39)),1)+(Besatzung!$F$13="x")*IFERROR(H39,0)/IFERROR(SUMPRODUCT((Besatzung!$B$11:$B$22&lt;&gt;"")*(Besatzung!$F$11:$F$22="x")*(IF(Besatzung!$C$11:$C$22="",Besatzung!$B$5,Besatzung!$C$11:$C$22)&lt;=B39)*(IF(Besatzung!$D$11:$D$22="",Besatzung!$B$6,Besatzung!$D$11:$D$22)&gt;=B39)),1))),IF(I39="Individuell",((K39="x")*((G39-IFERROR(H39,0))/IFERROR(COUNTIF(J39:U39,"x"),1)+(Besatzung!$F$13="x")*IFERROR(H39,0)/IFERROR(SUMPRODUCT((J39:U39="x")*(Besatzung!$F$11:$F$22="x")),1))),(IF(COUNTIF(J39:U39,"x")=0,IF(Besatzung!$B$13&lt;&gt;"",1,0),(K39="x"))*(G39-IFERROR(H39,0))/IFERROR(IF(COUNTIF(J39:U39,"x")=0,COUNTA(Besatzung!$B$11:$B$22),COUNTIF(J39:U39,"x")),1)+IF(COUNTIF(J39:U39,"x")=0,(Besatzung!$F$13="x"),(K39="x")*(Besatzung!$F$13="x"))*IFERROR(H39,0)/IFERROR(IF(COUNTIF(J39:U39,"x")=0,SUMPRODUCT((Besatzung!$B$11:$B$22&lt;&gt;"")*(Besatzung!$F$11:$F$22="x")),SUMPRODUCT((J39:U39="x")*(Besatzung!$F$11:$F$22="x"))),1))))),0))))</f>
        <v/>
      </c>
      <c r="Y39" s="247">
        <f>IF(C39="Gutschrift","",IF(G39="","",IF(Besatzung!$B$14="","",IFERROR(IF(I39="Zeitanteilig",(Besatzung!$G$14*(G39-IFERROR(H39,0))+((Besatzung!$B$14&lt;&gt;"")*IF(B39="",1,(IF(Besatzung!$C$14="",Besatzung!$B$5,Besatzung!$C$14)&lt;=B39)*(IF(Besatzung!$D$14="",Besatzung!$B$6,Besatzung!$D$14)&gt;=B39)))*(Besatzung!$F$14="x")*IFERROR(H39,0)/IFERROR(SUMPRODUCT((Besatzung!$B$11:$B$22&lt;&gt;"")*(Besatzung!$F$11:$F$22="x")*(IF(Besatzung!$C$11:$C$22="",Besatzung!$B$5,Besatzung!$C$11:$C$22)&lt;=B39)*(IF(Besatzung!$D$11:$D$22="",Besatzung!$B$6,Besatzung!$D$11:$D$22)&gt;=B39)),1)),IF(I39="An Bord",(((Besatzung!$B$14&lt;&gt;"")*IF(B39="",1,(IF(Besatzung!$C$14="",Besatzung!$B$5,Besatzung!$C$14)&lt;=B39)*(IF(Besatzung!$D$14="",Besatzung!$B$6,Besatzung!$D$14)&gt;=B39)))*((G39-IFERROR(H39,0))/IFERROR(SUMPRODUCT((Besatzung!$B$11:$B$22&lt;&gt;"")*(IF(Besatzung!$C$11:$C$22="",Besatzung!$B$5,Besatzung!$C$11:$C$22)&lt;=B39)*(IF(Besatzung!$D$11:$D$22="",Besatzung!$B$6,Besatzung!$D$11:$D$22)&gt;=B39)),1)+(Besatzung!$F$14="x")*IFERROR(H39,0)/IFERROR(SUMPRODUCT((Besatzung!$B$11:$B$22&lt;&gt;"")*(Besatzung!$F$11:$F$22="x")*(IF(Besatzung!$C$11:$C$22="",Besatzung!$B$5,Besatzung!$C$11:$C$22)&lt;=B39)*(IF(Besatzung!$D$11:$D$22="",Besatzung!$B$6,Besatzung!$D$11:$D$22)&gt;=B39)),1))),IF(I39="Individuell",((M39="x")*((G39-IFERROR(H39,0))/IFERROR(COUNTIF(J39:U39,"x"),1)+(Besatzung!$F$14="x")*IFERROR(H39,0)/IFERROR(SUMPRODUCT((J39:U39="x")*(Besatzung!$F$11:$F$22="x")),1))),(IF(COUNTIF(J39:U39,"x")=0,IF(Besatzung!$B$14&lt;&gt;"",1,0),(M39="x"))*(G39-IFERROR(H39,0))/IFERROR(IF(COUNTIF(J39:U39,"x")=0,COUNTA(Besatzung!$B$11:$B$22),COUNTIF(J39:U39,"x")),1)+IF(COUNTIF(J39:U39,"x")=0,(Besatzung!$F$14="x"),(M39="x")*(Besatzung!$F$14="x"))*IFERROR(H39,0)/IFERROR(IF(COUNTIF(J39:U39,"x")=0,SUMPRODUCT((Besatzung!$B$11:$B$22&lt;&gt;"")*(Besatzung!$F$11:$F$22="x")),SUMPRODUCT((J39:U39="x")*(Besatzung!$F$11:$F$22="x"))),1))))),0))))</f>
        <v/>
      </c>
      <c r="Z39" s="247">
        <f>IF(C39="Gutschrift","",IF(G39="","",IF(Besatzung!$B$13="","",IFERROR(IF(I39="Zeitanteilig",(Besatzung!$G$15*(G39-IFERROR(H39,0))+((Besatzung!$B$13&lt;&gt;"")*IF(B39="",1,(IF(Besatzung!$C$15="",Besatzung!$B$5,Besatzung!$C$15)&lt;=B39)*(IF(Besatzung!$D$15="",Besatzung!$B$6,Besatzung!$D$15)&gt;=B39)))*(Besatzung!$F$15="x")*IFERROR(H39,0)/IFERROR(SUMPRODUCT((Besatzung!$B$11:$B$22&lt;&gt;"")*(Besatzung!$F$11:$F$22="x")*(IF(Besatzung!$C$11:$C$22="",Besatzung!$B$5,Besatzung!$C$11:$C$22)&lt;=B39)*(IF(Besatzung!$D$11:$D$22="",Besatzung!$B$6,Besatzung!$D$11:$D$22)&gt;=B39)),1)),IF(I39="An Bord",(((Besatzung!$B$13&lt;&gt;"")*IF(B39="",1,(IF(Besatzung!$C$15="",Besatzung!$B$5,Besatzung!$C$15)&lt;=B39)*(IF(Besatzung!$D$15="",Besatzung!$B$6,Besatzung!$D$15)&gt;=B39)))*((G39-IFERROR(H39,0))/IFERROR(SUMPRODUCT((Besatzung!$B$11:$B$22&lt;&gt;"")*(IF(Besatzung!$C$11:$C$22="",Besatzung!$B$5,Besatzung!$C$11:$C$22)&lt;=B39)*(IF(Besatzung!$D$11:$D$22="",Besatzung!$B$6,Besatzung!$D$11:$D$22)&gt;=B39)),1)+(Besatzung!$F$15="x")*IFERROR(H39,0)/IFERROR(SUMPRODUCT((Besatzung!$B$11:$B$22&lt;&gt;"")*(Besatzung!$F$11:$F$22="x")*(IF(Besatzung!$C$11:$C$22="",Besatzung!$B$5,Besatzung!$C$11:$C$22)&lt;=B39)*(IF(Besatzung!$D$11:$D$22="",Besatzung!$B$6,Besatzung!$D$11:$D$22)&gt;=B39)),1))),IF(I39="Individuell",((N39="x")*((G39-IFERROR(H39,0))/IFERROR(COUNTIF(J39:U39,"x"),1)+(Besatzung!$F$15="x")*IFERROR(H39,0)/IFERROR(SUMPRODUCT((J39:U39="x")*(Besatzung!$F$11:$F$22="x")),1))),(IF(COUNTIF(J39:U39,"x")=0,IF(Besatzung!$B$13&lt;&gt;"",1,0),(N39="x"))*(G39-IFERROR(H39,0))/IFERROR(IF(COUNTIF(J39:U39,"x")=0,COUNTA(Besatzung!$B$11:$B$22),COUNTIF(J39:U39,"x")),1)+IF(COUNTIF(J39:U39,"x")=0,(Besatzung!$F$15="x"),(N39="x")*(Besatzung!$F$15="x"))*IFERROR(H39,0)/IFERROR(IF(COUNTIF(J39:U39,"x")=0,SUMPRODUCT((Besatzung!$B$11:$B$22&lt;&gt;"")*(Besatzung!$F$11:$F$22="x")),SUMPRODUCT((J39:U39="x")*(Besatzung!$F$11:$F$22="x"))),1))))),0))))</f>
        <v/>
      </c>
      <c r="AA39" s="247">
        <f>IF(C39="Gutschrift","",IF(G39="","",IF(Besatzung!$B$15="","",IFERROR(IF(I39="Zeitanteilig",(Besatzung!$G$16*(G39-IFERROR(H39,0))+((Besatzung!$B$15&lt;&gt;"")*IF(B39="",1,(IF(Besatzung!$C$16="",Besatzung!$B$5,Besatzung!$C$16)&lt;=B39)*(IF(Besatzung!$D$16="",Besatzung!$B$6,Besatzung!$D$16)&gt;=B39)))*(Besatzung!$F$16="x")*IFERROR(H39,0)/IFERROR(SUMPRODUCT((Besatzung!$B$11:$B$22&lt;&gt;"")*(Besatzung!$F$11:$F$22="x")*(IF(Besatzung!$C$11:$C$22="",Besatzung!$B$5,Besatzung!$C$11:$C$22)&lt;=B39)*(IF(Besatzung!$D$11:$D$22="",Besatzung!$B$6,Besatzung!$D$11:$D$22)&gt;=B39)),1)),IF(I39="An Bord",(((Besatzung!$B$15&lt;&gt;"")*IF(B39="",1,(IF(Besatzung!$C$16="",Besatzung!$B$5,Besatzung!$C$16)&lt;=B39)*(IF(Besatzung!$D$16="",Besatzung!$B$6,Besatzung!$D$16)&gt;=B39)))*((G39-IFERROR(H39,0))/IFERROR(SUMPRODUCT((Besatzung!$B$11:$B$22&lt;&gt;"")*(IF(Besatzung!$C$11:$C$22="",Besatzung!$B$5,Besatzung!$C$11:$C$22)&lt;=B39)*(IF(Besatzung!$D$11:$D$22="",Besatzung!$B$6,Besatzung!$D$11:$D$22)&gt;=B39)),1)+(Besatzung!$F$16="x")*IFERROR(H39,0)/IFERROR(SUMPRODUCT((Besatzung!$B$11:$B$22&lt;&gt;"")*(Besatzung!$F$11:$F$22="x")*(IF(Besatzung!$C$11:$C$22="",Besatzung!$B$5,Besatzung!$C$11:$C$22)&lt;=B39)*(IF(Besatzung!$D$11:$D$22="",Besatzung!$B$6,Besatzung!$D$11:$D$22)&gt;=B39)),1))),IF(I39="Individuell",((O39="x")*((G39-IFERROR(H39,0))/IFERROR(COUNTIF(J39:U39,"x"),1)+(Besatzung!$F$16="x")*IFERROR(H39,0)/IFERROR(SUMPRODUCT((J39:U39="x")*(Besatzung!$F$11:$F$22="x")),1))),(IF(COUNTIF(J39:U39,"x")=0,IF(Besatzung!$B$15&lt;&gt;"",1,0),(O39="x"))*(G39-IFERROR(H39,0))/IFERROR(IF(COUNTIF(J39:U39,"x")=0,COUNTA(Besatzung!$B$11:$B$22),COUNTIF(J39:U39,"x")),1)+IF(COUNTIF(J39:U39,"x")=0,(Besatzung!$F$16="x"),(O39="x")*(Besatzung!$F$16="x"))*IFERROR(H39,0)/IFERROR(IF(COUNTIF(J39:U39,"x")=0,SUMPRODUCT((Besatzung!$B$11:$B$22&lt;&gt;"")*(Besatzung!$F$11:$F$22="x")),SUMPRODUCT((J39:U39="x")*(Besatzung!$F$11:$F$22="x"))),1))))),0))))</f>
        <v/>
      </c>
      <c r="AB39" s="247">
        <f>IF(C39="Gutschrift","",IF(G39="","",IF(Besatzung!$B$17="","",IFERROR(IF(I39="Zeitanteilig",(Besatzung!$G$17*(G39-IFERROR(H39,0))+((Besatzung!$B$17&lt;&gt;"")*IF(B39="",1,(IF(Besatzung!$C$17="",Besatzung!$B$5,Besatzung!$C$17)&lt;=B39)*(IF(Besatzung!$D$17="",Besatzung!$B$6,Besatzung!$D$17)&gt;=B39)))*(Besatzung!$F$17="x")*IFERROR(H39,0)/IFERROR(SUMPRODUCT((Besatzung!$B$11:$B$22&lt;&gt;"")*(Besatzung!$F$11:$F$22="x")*(IF(Besatzung!$C$11:$C$22="",Besatzung!$B$5,Besatzung!$C$11:$C$22)&lt;=B39)*(IF(Besatzung!$D$11:$D$22="",Besatzung!$B$6,Besatzung!$D$11:$D$22)&gt;=B39)),1)),IF(I39="An Bord",(((Besatzung!$B$17&lt;&gt;"")*IF(B39="",1,(IF(Besatzung!$C$17="",Besatzung!$B$5,Besatzung!$C$17)&lt;=B39)*(IF(Besatzung!$D$17="",Besatzung!$B$6,Besatzung!$D$17)&gt;=B39)))*((G39-IFERROR(H39,0))/IFERROR(SUMPRODUCT((Besatzung!$B$11:$B$22&lt;&gt;"")*(IF(Besatzung!$C$11:$C$22="",Besatzung!$B$5,Besatzung!$C$11:$C$22)&lt;=B39)*(IF(Besatzung!$D$11:$D$22="",Besatzung!$B$6,Besatzung!$D$11:$D$22)&gt;=B39)),1)+(Besatzung!$F$17="x")*IFERROR(H39,0)/IFERROR(SUMPRODUCT((Besatzung!$B$11:$B$22&lt;&gt;"")*(Besatzung!$F$11:$F$22="x")*(IF(Besatzung!$C$11:$C$22="",Besatzung!$B$5,Besatzung!$C$11:$C$22)&lt;=B39)*(IF(Besatzung!$D$11:$D$22="",Besatzung!$B$6,Besatzung!$D$11:$D$22)&gt;=B39)),1))),IF(I39="Individuell",((P39="x")*((G39-IFERROR(H39,0))/IFERROR(COUNTIF(J39:U39,"x"),1)+(Besatzung!$F$17="x")*IFERROR(H39,0)/IFERROR(SUMPRODUCT((J39:U39="x")*(Besatzung!$F$11:$F$22="x")),1))),(IF(COUNTIF(J39:U39,"x")=0,IF(Besatzung!$B$17&lt;&gt;"",1,0),(P39="x"))*(G39-IFERROR(H39,0))/IFERROR(IF(COUNTIF(J39:U39,"x")=0,COUNTA(Besatzung!$B$11:$B$22),COUNTIF(J39:U39,"x")),1)+IF(COUNTIF(J39:U39,"x")=0,(Besatzung!$F$17="x"),(P39="x")*(Besatzung!$F$17="x"))*IFERROR(H39,0)/IFERROR(IF(COUNTIF(J39:U39,"x")=0,SUMPRODUCT((Besatzung!$B$11:$B$22&lt;&gt;"")*(Besatzung!$F$11:$F$22="x")),SUMPRODUCT((J39:U39="x")*(Besatzung!$F$11:$F$22="x"))),1))))),0))))</f>
        <v/>
      </c>
      <c r="AC39" s="247">
        <f>IF(C39="Gutschrift","",IF(G39="","",IF(Besatzung!$B$18="","",IFERROR(IF(I39="Zeitanteilig",(Besatzung!$G$18*(G39-IFERROR(H39,0))+((Besatzung!$B$18&lt;&gt;"")*IF(B39="",1,(IF(Besatzung!$C$18="",Besatzung!$B$5,Besatzung!$C$18)&lt;=B39)*(IF(Besatzung!$D$18="",Besatzung!$B$6,Besatzung!$D$18)&gt;=B39)))*(Besatzung!$F$18="x")*IFERROR(H39,0)/IFERROR(SUMPRODUCT((Besatzung!$B$11:$B$22&lt;&gt;"")*(Besatzung!$F$11:$F$22="x")*(IF(Besatzung!$C$11:$C$22="",Besatzung!$B$5,Besatzung!$C$11:$C$22)&lt;=B39)*(IF(Besatzung!$D$11:$D$22="",Besatzung!$B$6,Besatzung!$D$11:$D$22)&gt;=B39)),1)),IF(I39="An Bord",(((Besatzung!$B$18&lt;&gt;"")*IF(B39="",1,(IF(Besatzung!$C$18="",Besatzung!$B$5,Besatzung!$C$18)&lt;=B39)*(IF(Besatzung!$D$18="",Besatzung!$B$6,Besatzung!$D$18)&gt;=B39)))*((G39-IFERROR(H39,0))/IFERROR(SUMPRODUCT((Besatzung!$B$11:$B$22&lt;&gt;"")*(IF(Besatzung!$C$11:$C$22="",Besatzung!$B$5,Besatzung!$C$11:$C$22)&lt;=B39)*(IF(Besatzung!$D$11:$D$22="",Besatzung!$B$6,Besatzung!$D$11:$D$22)&gt;=B39)),1)+(Besatzung!$F$18="x")*IFERROR(H39,0)/IFERROR(SUMPRODUCT((Besatzung!$B$11:$B$22&lt;&gt;"")*(Besatzung!$F$11:$F$22="x")*(IF(Besatzung!$C$11:$C$22="",Besatzung!$B$5,Besatzung!$C$11:$C$22)&lt;=B39)*(IF(Besatzung!$D$11:$D$22="",Besatzung!$B$6,Besatzung!$D$11:$D$22)&gt;=B39)),1))),IF(I39="Individuell",((Q39="x")*((G39-IFERROR(H39,0))/IFERROR(COUNTIF(J39:U39,"x"),1)+(Besatzung!$F$18="x")*IFERROR(H39,0)/IFERROR(SUMPRODUCT((J39:U39="x")*(Besatzung!$F$11:$F$22="x")),1))),(IF(COUNTIF(J39:U39,"x")=0,IF(Besatzung!$B$18&lt;&gt;"",1,0),(Q39="x"))*(G39-IFERROR(H39,0))/IFERROR(IF(COUNTIF(J39:U39,"x")=0,COUNTA(Besatzung!$B$11:$B$22),COUNTIF(J39:U39,"x")),1)+IF(COUNTIF(J39:U39,"x")=0,(Besatzung!$F$18="x"),(Q39="x")*(Besatzung!$F$18="x"))*IFERROR(H39,0)/IFERROR(IF(COUNTIF(J39:U39,"x")=0,SUMPRODUCT((Besatzung!$B$11:$B$22&lt;&gt;"")*(Besatzung!$F$11:$F$22="x")),SUMPRODUCT((J39:U39="x")*(Besatzung!$F$11:$F$22="x"))),1))))),0))))</f>
        <v/>
      </c>
      <c r="AD39" s="247">
        <f>IF(C39="Gutschrift","",IF(G39="","",IF(Besatzung!$B$19="","",IFERROR(IF(I39="Zeitanteilig",(Besatzung!$G$19*(G39-IFERROR(H39,0))+((Besatzung!$B$19&lt;&gt;"")*IF(B39="",1,(IF(Besatzung!$C$19="",Besatzung!$B$5,Besatzung!$C$19)&lt;=B39)*(IF(Besatzung!$D$19="",Besatzung!$B$6,Besatzung!$D$19)&gt;=B39)))*(Besatzung!$F$19="x")*IFERROR(H39,0)/IFERROR(SUMPRODUCT((Besatzung!$B$11:$B$22&lt;&gt;"")*(Besatzung!$F$11:$F$22="x")*(IF(Besatzung!$C$11:$C$22="",Besatzung!$B$5,Besatzung!$C$11:$C$22)&lt;=B39)*(IF(Besatzung!$D$11:$D$22="",Besatzung!$B$6,Besatzung!$D$11:$D$22)&gt;=B39)),1)),IF(I39="An Bord",(((Besatzung!$B$19&lt;&gt;"")*IF(B39="",1,(IF(Besatzung!$C$19="",Besatzung!$B$5,Besatzung!$C$19)&lt;=B39)*(IF(Besatzung!$D$19="",Besatzung!$B$6,Besatzung!$D$19)&gt;=B39)))*((G39-IFERROR(H39,0))/IFERROR(SUMPRODUCT((Besatzung!$B$11:$B$22&lt;&gt;"")*(IF(Besatzung!$C$11:$C$22="",Besatzung!$B$5,Besatzung!$C$11:$C$22)&lt;=B39)*(IF(Besatzung!$D$11:$D$22="",Besatzung!$B$6,Besatzung!$D$11:$D$22)&gt;=B39)),1)+(Besatzung!$F$19="x")*IFERROR(H39,0)/IFERROR(SUMPRODUCT((Besatzung!$B$11:$B$22&lt;&gt;"")*(Besatzung!$F$11:$F$22="x")*(IF(Besatzung!$C$11:$C$22="",Besatzung!$B$5,Besatzung!$C$11:$C$22)&lt;=B39)*(IF(Besatzung!$D$11:$D$22="",Besatzung!$B$6,Besatzung!$D$11:$D$22)&gt;=B39)),1))),IF(I39="Individuell",((R39="x")*((G39-IFERROR(H39,0))/IFERROR(COUNTIF(J39:U39,"x"),1)+(Besatzung!$F$19="x")*IFERROR(H39,0)/IFERROR(SUMPRODUCT((J39:U39="x")*(Besatzung!$F$11:$F$22="x")),1))),(IF(COUNTIF(J39:U39,"x")=0,IF(Besatzung!$B$19&lt;&gt;"",1,0),(R39="x"))*(G39-IFERROR(H39,0))/IFERROR(IF(COUNTIF(J39:U39,"x")=0,COUNTA(Besatzung!$B$11:$B$22),COUNTIF(J39:U39,"x")),1)+IF(COUNTIF(J39:U39,"x")=0,(Besatzung!$F$19="x"),(R39="x")*(Besatzung!$F$19="x"))*IFERROR(H39,0)/IFERROR(IF(COUNTIF(J39:U39,"x")=0,SUMPRODUCT((Besatzung!$B$11:$B$22&lt;&gt;"")*(Besatzung!$F$11:$F$22="x")),SUMPRODUCT((J39:U39="x")*(Besatzung!$F$11:$F$22="x"))),1))))),0))))</f>
        <v/>
      </c>
      <c r="AE39" s="247">
        <f>IF(C39="Gutschrift","",IF(G39="","",IF(Besatzung!$B$20="","",IFERROR(IF(I39="Zeitanteilig",(Besatzung!$G$20*(G39-IFERROR(H39,0))+((Besatzung!$B$20&lt;&gt;"")*IF(B39="",1,(IF(Besatzung!$C$20="",Besatzung!$B$5,Besatzung!$C$20)&lt;=B39)*(IF(Besatzung!$D$20="",Besatzung!$B$6,Besatzung!$D$20)&gt;=B39)))*(Besatzung!$F$20="x")*IFERROR(H39,0)/IFERROR(SUMPRODUCT((Besatzung!$B$11:$B$22&lt;&gt;"")*(Besatzung!$F$11:$F$22="x")*(IF(Besatzung!$C$11:$C$22="",Besatzung!$B$5,Besatzung!$C$11:$C$22)&lt;=B39)*(IF(Besatzung!$D$11:$D$22="",Besatzung!$B$6,Besatzung!$D$11:$D$22)&gt;=B39)),1)),IF(I39="An Bord",(((Besatzung!$B$20&lt;&gt;"")*IF(B39="",1,(IF(Besatzung!$C$20="",Besatzung!$B$5,Besatzung!$C$20)&lt;=B39)*(IF(Besatzung!$D$20="",Besatzung!$B$6,Besatzung!$D$20)&gt;=B39)))*((G39-IFERROR(H39,0))/IFERROR(SUMPRODUCT((Besatzung!$B$11:$B$22&lt;&gt;"")*(IF(Besatzung!$C$11:$C$22="",Besatzung!$B$5,Besatzung!$C$11:$C$22)&lt;=B39)*(IF(Besatzung!$D$11:$D$22="",Besatzung!$B$6,Besatzung!$D$11:$D$22)&gt;=B39)),1)+(Besatzung!$F$20="x")*IFERROR(H39,0)/IFERROR(SUMPRODUCT((Besatzung!$B$11:$B$22&lt;&gt;"")*(Besatzung!$F$11:$F$22="x")*(IF(Besatzung!$C$11:$C$22="",Besatzung!$B$5,Besatzung!$C$11:$C$22)&lt;=B39)*(IF(Besatzung!$D$11:$D$22="",Besatzung!$B$6,Besatzung!$D$11:$D$22)&gt;=B39)),1))),IF(I39="Individuell",((S39="x")*((G39-IFERROR(H39,0))/IFERROR(COUNTIF(J39:U39,"x"),1)+(Besatzung!$F$20="x")*IFERROR(H39,0)/IFERROR(SUMPRODUCT((J39:U39="x")*(Besatzung!$F$11:$F$22="x")),1))),(IF(COUNTIF(J39:U39,"x")=0,IF(Besatzung!$B$20&lt;&gt;"",1,0),(S39="x"))*(G39-IFERROR(H39,0))/IFERROR(IF(COUNTIF(J39:U39,"x")=0,COUNTA(Besatzung!$B$11:$B$22),COUNTIF(J39:U39,"x")),1)+IF(COUNTIF(J39:U39,"x")=0,(Besatzung!$F$20="x"),(S39="x")*(Besatzung!$F$20="x"))*IFERROR(H39,0)/IFERROR(IF(COUNTIF(J39:U39,"x")=0,SUMPRODUCT((Besatzung!$B$11:$B$22&lt;&gt;"")*(Besatzung!$F$11:$F$22="x")),SUMPRODUCT((J39:U39="x")*(Besatzung!$F$11:$F$22="x"))),1))))),0))))</f>
        <v/>
      </c>
      <c r="AF39" s="247">
        <f>IF(C39="Gutschrift","",IF(G39="","",IF(Besatzung!$B$21="","",IFERROR(IF(I39="Zeitanteilig",(Besatzung!$G$21*(G39-IFERROR(H39,0))+((Besatzung!$B$21&lt;&gt;"")*IF(B39="",1,(IF(Besatzung!$C$21="",Besatzung!$B$5,Besatzung!$C$21)&lt;=B39)*(IF(Besatzung!$D$21="",Besatzung!$B$6,Besatzung!$D$21)&gt;=B39)))*(Besatzung!$F$21="x")*IFERROR(H39,0)/IFERROR(SUMPRODUCT((Besatzung!$B$11:$B$22&lt;&gt;"")*(Besatzung!$F$11:$F$22="x")*(IF(Besatzung!$C$11:$C$22="",Besatzung!$B$5,Besatzung!$C$11:$C$22)&lt;=B39)*(IF(Besatzung!$D$11:$D$22="",Besatzung!$B$6,Besatzung!$D$11:$D$22)&gt;=B39)),1)),IF(I39="An Bord",(((Besatzung!$B$21&lt;&gt;"")*IF(B39="",1,(IF(Besatzung!$C$21="",Besatzung!$B$5,Besatzung!$C$21)&lt;=B39)*(IF(Besatzung!$D$21="",Besatzung!$B$6,Besatzung!$D$21)&gt;=B39)))*((G39-IFERROR(H39,0))/IFERROR(SUMPRODUCT((Besatzung!$B$11:$B$22&lt;&gt;"")*(IF(Besatzung!$C$11:$C$22="",Besatzung!$B$5,Besatzung!$C$11:$C$22)&lt;=B39)*(IF(Besatzung!$D$11:$D$22="",Besatzung!$B$6,Besatzung!$D$11:$D$22)&gt;=B39)),1)+(Besatzung!$F$21="x")*IFERROR(H39,0)/IFERROR(SUMPRODUCT((Besatzung!$B$11:$B$22&lt;&gt;"")*(Besatzung!$F$11:$F$22="x")*(IF(Besatzung!$C$11:$C$22="",Besatzung!$B$5,Besatzung!$C$11:$C$22)&lt;=B39)*(IF(Besatzung!$D$11:$D$22="",Besatzung!$B$6,Besatzung!$D$11:$D$22)&gt;=B39)),1))),IF(I39="Individuell",((T39="x")*((G39-IFERROR(H39,0))/IFERROR(COUNTIF(J39:U39,"x"),1)+(Besatzung!$F$21="x")*IFERROR(H39,0)/IFERROR(SUMPRODUCT((J39:U39="x")*(Besatzung!$F$11:$F$22="x")),1))),(IF(COUNTIF(J39:U39,"x")=0,IF(Besatzung!$B$21&lt;&gt;"",1,0),(T39="x"))*(G39-IFERROR(H39,0))/IFERROR(IF(COUNTIF(J39:U39,"x")=0,COUNTA(Besatzung!$B$11:$B$22),COUNTIF(J39:U39,"x")),1)+IF(COUNTIF(J39:U39,"x")=0,(Besatzung!$F$21="x"),(T39="x")*(Besatzung!$F$21="x"))*IFERROR(H39,0)/IFERROR(IF(COUNTIF(J39:U39,"x")=0,SUMPRODUCT((Besatzung!$B$11:$B$22&lt;&gt;"")*(Besatzung!$F$11:$F$22="x")),SUMPRODUCT((J39:U39="x")*(Besatzung!$F$11:$F$22="x"))),1))))),0))))</f>
        <v/>
      </c>
      <c r="AG39" s="247">
        <f>IF(C39="Gutschrift","",IF(G39="","",IF(Besatzung!$B$22="","",IFERROR(IF(I39="Zeitanteilig",(Besatzung!$G$22*(G39-IFERROR(H39,0))+((Besatzung!$B$22&lt;&gt;"")*IF(B39="",1,(IF(Besatzung!$C$22="",Besatzung!$B$5,Besatzung!$C$22)&lt;=B39)*(IF(Besatzung!$D$22="",Besatzung!$B$6,Besatzung!$D$22)&gt;=B39)))*(Besatzung!$F$22="x")*IFERROR(H39,0)/IFERROR(SUMPRODUCT((Besatzung!$B$11:$B$22&lt;&gt;"")*(Besatzung!$F$11:$F$22="x")*(IF(Besatzung!$C$11:$C$22="",Besatzung!$B$5,Besatzung!$C$11:$C$22)&lt;=B39)*(IF(Besatzung!$D$11:$D$22="",Besatzung!$B$6,Besatzung!$D$11:$D$22)&gt;=B39)),1)),IF(I39="An Bord",(((Besatzung!$B$22&lt;&gt;"")*IF(B39="",1,(IF(Besatzung!$C$22="",Besatzung!$B$5,Besatzung!$C$22)&lt;=B39)*(IF(Besatzung!$D$22="",Besatzung!$B$6,Besatzung!$D$22)&gt;=B39)))*((G39-IFERROR(H39,0))/IFERROR(SUMPRODUCT((Besatzung!$B$11:$B$22&lt;&gt;"")*(IF(Besatzung!$C$11:$C$22="",Besatzung!$B$5,Besatzung!$C$11:$C$22)&lt;=B39)*(IF(Besatzung!$D$11:$D$22="",Besatzung!$B$6,Besatzung!$D$11:$D$22)&gt;=B39)),1)+(Besatzung!$F$22="x")*IFERROR(H39,0)/IFERROR(SUMPRODUCT((Besatzung!$B$11:$B$22&lt;&gt;"")*(Besatzung!$F$11:$F$22="x")*(IF(Besatzung!$C$11:$C$22="",Besatzung!$B$5,Besatzung!$C$11:$C$22)&lt;=B39)*(IF(Besatzung!$D$11:$D$22="",Besatzung!$B$6,Besatzung!$D$11:$D$22)&gt;=B39)),1))),IF(I39="Individuell",((U39="x")*((G39-IFERROR(H39,0))/IFERROR(COUNTIF(J39:U39,"x"),1)+(Besatzung!$F$22="x")*IFERROR(H39,0)/IFERROR(SUMPRODUCT((J39:U39="x")*(Besatzung!$F$11:$F$22="x")),1))),(IF(COUNTIF(J39:U39,"x")=0,IF(Besatzung!$B$22&lt;&gt;"",1,0),(U39="x"))*(G39-IFERROR(H39,0))/IFERROR(IF(COUNTIF(J39:U39,"x")=0,COUNTA(Besatzung!$B$11:$B$22),COUNTIF(J39:U39,"x")),1)+IF(COUNTIF(J39:U39,"x")=0,(Besatzung!$F$22="x"),(U39="x")*(Besatzung!$F$22="x"))*IFERROR(H39,0)/IFERROR(IF(COUNTIF(J39:U39,"x")=0,SUMPRODUCT((Besatzung!$B$11:$B$22&lt;&gt;"")*(Besatzung!$F$11:$F$22="x")),SUMPRODUCT((J39:U39="x")*(Besatzung!$F$11:$F$22="x"))),1))))),0))))</f>
        <v/>
      </c>
      <c r="AH39" s="248" t="n"/>
      <c r="AI39" s="248" t="n"/>
    </row>
    <row r="40" ht="21.75" customHeight="1" s="154">
      <c r="A40" s="238">
        <f>IF(AND(D40="",C40=""),"",37)</f>
        <v/>
      </c>
      <c r="B40" s="199" t="n"/>
      <c r="C40" s="239" t="n"/>
      <c r="D40" s="240" t="n"/>
      <c r="E40" s="241" t="n"/>
      <c r="F40" s="242" t="n"/>
      <c r="G40" s="243" t="n"/>
      <c r="H40" s="244" t="n"/>
      <c r="I40" s="245" t="n"/>
      <c r="J40" s="246" t="n"/>
      <c r="K40" s="246" t="n"/>
      <c r="L40" s="246" t="n"/>
      <c r="M40" s="246" t="n"/>
      <c r="N40" s="246" t="n"/>
      <c r="O40" s="246" t="n"/>
      <c r="P40" s="246" t="n"/>
      <c r="Q40" s="246" t="n"/>
      <c r="R40" s="246" t="n"/>
      <c r="S40" s="246" t="n"/>
      <c r="T40" s="246" t="n"/>
      <c r="U40" s="246" t="n"/>
      <c r="V40" s="247">
        <f>IF(C40="Gutschrift","",IF(G40="","",IF(Besatzung!$B$11="","",IFERROR(IF(I40="Zeitanteilig",(Besatzung!$G$11*(G40-IFERROR(H40,0))+((Besatzung!$B$11&lt;&gt;"")*IF(B40="",1,(IF(Besatzung!$C$11="",Besatzung!$B$5,Besatzung!$C$11)&lt;=B40)*(IF(Besatzung!$D$11="",Besatzung!$B$6,Besatzung!$D$11)&gt;=B40)))*(Besatzung!$F$11="x")*IFERROR(H40,0)/IFERROR(SUMPRODUCT((Besatzung!$B$11:$B$22&lt;&gt;"")*(Besatzung!$F$11:$F$22="x")*(IF(Besatzung!$C$11:$C$22="",Besatzung!$B$5,Besatzung!$C$11:$C$22)&lt;=B40)*(IF(Besatzung!$D$11:$D$22="",Besatzung!$B$6,Besatzung!$D$11:$D$22)&gt;=B40)),1)),IF(I40="An Bord",(((Besatzung!$B$11&lt;&gt;"")*IF(B40="",1,(IF(Besatzung!$C$11="",Besatzung!$B$5,Besatzung!$C$11)&lt;=B40)*(IF(Besatzung!$D$11="",Besatzung!$B$6,Besatzung!$D$11)&gt;=B40)))*((G40-IFERROR(H40,0))/IFERROR(SUMPRODUCT((Besatzung!$B$11:$B$22&lt;&gt;"")*(IF(Besatzung!$C$11:$C$22="",Besatzung!$B$5,Besatzung!$C$11:$C$22)&lt;=B40)*(IF(Besatzung!$D$11:$D$22="",Besatzung!$B$6,Besatzung!$D$11:$D$22)&gt;=B40)),1)+(Besatzung!$F$11="x")*IFERROR(H40,0)/IFERROR(SUMPRODUCT((Besatzung!$B$11:$B$22&lt;&gt;"")*(Besatzung!$F$11:$F$22="x")*(IF(Besatzung!$C$11:$C$22="",Besatzung!$B$5,Besatzung!$C$11:$C$22)&lt;=B40)*(IF(Besatzung!$D$11:$D$22="",Besatzung!$B$6,Besatzung!$D$11:$D$22)&gt;=B40)),1))),IF(I40="Individuell",((J40="x")*((G40-IFERROR(H40,0))/IFERROR(COUNTIF(J40:U40,"x"),1)+(Besatzung!$F$11="x")*IFERROR(H40,0)/IFERROR(SUMPRODUCT((J40:U40="x")*(Besatzung!$F$11:$F$22="x")),1))),(IF(COUNTIF(J40:U40,"x")=0,IF(Besatzung!$B$11&lt;&gt;"",1,0),(J40="x"))*(G40-IFERROR(H40,0))/IFERROR(IF(COUNTIF(J40:U40,"x")=0,COUNTA(Besatzung!$B$11:$B$22),COUNTIF(J40:U40,"x")),1)+IF(COUNTIF(J40:U40,"x")=0,(Besatzung!$F$11="x"),(J40="x")*(Besatzung!$F$11="x"))*IFERROR(H40,0)/IFERROR(IF(COUNTIF(J40:U40,"x")=0,SUMPRODUCT((Besatzung!$B$11:$B$22&lt;&gt;"")*(Besatzung!$F$11:$F$22="x")),SUMPRODUCT((J40:U40="x")*(Besatzung!$F$11:$F$22="x"))),1))))),0))))</f>
        <v/>
      </c>
      <c r="W40" s="247">
        <f>IF(C40="Gutschrift","",IF(G40="","",IF(Besatzung!$B$12="","",IFERROR(IF(I40="Zeitanteilig",(Besatzung!$G$12*(G40-IFERROR(H40,0))+((Besatzung!$B$12&lt;&gt;"")*IF(B40="",1,(IF(Besatzung!$C$12="",Besatzung!$B$5,Besatzung!$C$12)&lt;=B40)*(IF(Besatzung!$D$12="",Besatzung!$B$6,Besatzung!$D$12)&gt;=B40)))*(Besatzung!$F$12="x")*IFERROR(H40,0)/IFERROR(SUMPRODUCT((Besatzung!$B$11:$B$22&lt;&gt;"")*(Besatzung!$F$11:$F$22="x")*(IF(Besatzung!$C$11:$C$22="",Besatzung!$B$5,Besatzung!$C$11:$C$22)&lt;=B40)*(IF(Besatzung!$D$11:$D$22="",Besatzung!$B$6,Besatzung!$D$11:$D$22)&gt;=B40)),1)),IF(I40="An Bord",(((Besatzung!$B$12&lt;&gt;"")*IF(B40="",1,(IF(Besatzung!$C$12="",Besatzung!$B$5,Besatzung!$C$12)&lt;=B40)*(IF(Besatzung!$D$12="",Besatzung!$B$6,Besatzung!$D$12)&gt;=B40)))*((G40-IFERROR(H40,0))/IFERROR(SUMPRODUCT((Besatzung!$B$11:$B$22&lt;&gt;"")*(IF(Besatzung!$C$11:$C$22="",Besatzung!$B$5,Besatzung!$C$11:$C$22)&lt;=B40)*(IF(Besatzung!$D$11:$D$22="",Besatzung!$B$6,Besatzung!$D$11:$D$22)&gt;=B40)),1)+(Besatzung!$F$12="x")*IFERROR(H40,0)/IFERROR(SUMPRODUCT((Besatzung!$B$11:$B$22&lt;&gt;"")*(Besatzung!$F$11:$F$22="x")*(IF(Besatzung!$C$11:$C$22="",Besatzung!$B$5,Besatzung!$C$11:$C$22)&lt;=B40)*(IF(Besatzung!$D$11:$D$22="",Besatzung!$B$6,Besatzung!$D$11:$D$22)&gt;=B40)),1))),IF(I40="Individuell",((K40="x")*((G40-IFERROR(H40,0))/IFERROR(COUNTIF(J40:U40,"x"),1)+(Besatzung!$F$12="x")*IFERROR(H40,0)/IFERROR(SUMPRODUCT((J40:U40="x")*(Besatzung!$F$11:$F$22="x")),1))),(IF(COUNTIF(J40:U40,"x")=0,IF(Besatzung!$B$12&lt;&gt;"",1,0),(K40="x"))*(G40-IFERROR(H40,0))/IFERROR(IF(COUNTIF(J40:U40,"x")=0,COUNTA(Besatzung!$B$11:$B$22),COUNTIF(J40:U40,"x")),1)+IF(COUNTIF(J40:U40,"x")=0,(Besatzung!$F$12="x"),(K40="x")*(Besatzung!$F$12="x"))*IFERROR(H40,0)/IFERROR(IF(COUNTIF(J40:U40,"x")=0,SUMPRODUCT((Besatzung!$B$11:$B$22&lt;&gt;"")*(Besatzung!$F$11:$F$22="x")),SUMPRODUCT((J40:U40="x")*(Besatzung!$F$11:$F$22="x"))),1))))),0))))</f>
        <v/>
      </c>
      <c r="X40" s="247">
        <f>IF(C40="Gutschrift","",IF(G40="","",IF(Besatzung!$B$13="","",IFERROR(IF(I40="Zeitanteilig",(Besatzung!$G$13*(G40-IFERROR(H40,0))+((Besatzung!$B$13&lt;&gt;"")*IF(B40="",1,(IF(Besatzung!$C$13="",Besatzung!$B$5,Besatzung!$C$13)&lt;=B40)*(IF(Besatzung!$D$13="",Besatzung!$B$6,Besatzung!$D$13)&gt;=B40)))*(Besatzung!$F$13="x")*IFERROR(H40,0)/IFERROR(SUMPRODUCT((Besatzung!$B$11:$B$22&lt;&gt;"")*(Besatzung!$F$11:$F$22="x")*(IF(Besatzung!$C$11:$C$22="",Besatzung!$B$5,Besatzung!$C$11:$C$22)&lt;=B40)*(IF(Besatzung!$D$11:$D$22="",Besatzung!$B$6,Besatzung!$D$11:$D$22)&gt;=B40)),1)),IF(I40="An Bord",(((Besatzung!$B$13&lt;&gt;"")*IF(B40="",1,(IF(Besatzung!$C$13="",Besatzung!$B$5,Besatzung!$C$13)&lt;=B40)*(IF(Besatzung!$D$13="",Besatzung!$B$6,Besatzung!$D$13)&gt;=B40)))*((G40-IFERROR(H40,0))/IFERROR(SUMPRODUCT((Besatzung!$B$11:$B$22&lt;&gt;"")*(IF(Besatzung!$C$11:$C$22="",Besatzung!$B$5,Besatzung!$C$11:$C$22)&lt;=B40)*(IF(Besatzung!$D$11:$D$22="",Besatzung!$B$6,Besatzung!$D$11:$D$22)&gt;=B40)),1)+(Besatzung!$F$13="x")*IFERROR(H40,0)/IFERROR(SUMPRODUCT((Besatzung!$B$11:$B$22&lt;&gt;"")*(Besatzung!$F$11:$F$22="x")*(IF(Besatzung!$C$11:$C$22="",Besatzung!$B$5,Besatzung!$C$11:$C$22)&lt;=B40)*(IF(Besatzung!$D$11:$D$22="",Besatzung!$B$6,Besatzung!$D$11:$D$22)&gt;=B40)),1))),IF(I40="Individuell",((K40="x")*((G40-IFERROR(H40,0))/IFERROR(COUNTIF(J40:U40,"x"),1)+(Besatzung!$F$13="x")*IFERROR(H40,0)/IFERROR(SUMPRODUCT((J40:U40="x")*(Besatzung!$F$11:$F$22="x")),1))),(IF(COUNTIF(J40:U40,"x")=0,IF(Besatzung!$B$13&lt;&gt;"",1,0),(K40="x"))*(G40-IFERROR(H40,0))/IFERROR(IF(COUNTIF(J40:U40,"x")=0,COUNTA(Besatzung!$B$11:$B$22),COUNTIF(J40:U40,"x")),1)+IF(COUNTIF(J40:U40,"x")=0,(Besatzung!$F$13="x"),(K40="x")*(Besatzung!$F$13="x"))*IFERROR(H40,0)/IFERROR(IF(COUNTIF(J40:U40,"x")=0,SUMPRODUCT((Besatzung!$B$11:$B$22&lt;&gt;"")*(Besatzung!$F$11:$F$22="x")),SUMPRODUCT((J40:U40="x")*(Besatzung!$F$11:$F$22="x"))),1))))),0))))</f>
        <v/>
      </c>
      <c r="Y40" s="247">
        <f>IF(C40="Gutschrift","",IF(G40="","",IF(Besatzung!$B$14="","",IFERROR(IF(I40="Zeitanteilig",(Besatzung!$G$14*(G40-IFERROR(H40,0))+((Besatzung!$B$14&lt;&gt;"")*IF(B40="",1,(IF(Besatzung!$C$14="",Besatzung!$B$5,Besatzung!$C$14)&lt;=B40)*(IF(Besatzung!$D$14="",Besatzung!$B$6,Besatzung!$D$14)&gt;=B40)))*(Besatzung!$F$14="x")*IFERROR(H40,0)/IFERROR(SUMPRODUCT((Besatzung!$B$11:$B$22&lt;&gt;"")*(Besatzung!$F$11:$F$22="x")*(IF(Besatzung!$C$11:$C$22="",Besatzung!$B$5,Besatzung!$C$11:$C$22)&lt;=B40)*(IF(Besatzung!$D$11:$D$22="",Besatzung!$B$6,Besatzung!$D$11:$D$22)&gt;=B40)),1)),IF(I40="An Bord",(((Besatzung!$B$14&lt;&gt;"")*IF(B40="",1,(IF(Besatzung!$C$14="",Besatzung!$B$5,Besatzung!$C$14)&lt;=B40)*(IF(Besatzung!$D$14="",Besatzung!$B$6,Besatzung!$D$14)&gt;=B40)))*((G40-IFERROR(H40,0))/IFERROR(SUMPRODUCT((Besatzung!$B$11:$B$22&lt;&gt;"")*(IF(Besatzung!$C$11:$C$22="",Besatzung!$B$5,Besatzung!$C$11:$C$22)&lt;=B40)*(IF(Besatzung!$D$11:$D$22="",Besatzung!$B$6,Besatzung!$D$11:$D$22)&gt;=B40)),1)+(Besatzung!$F$14="x")*IFERROR(H40,0)/IFERROR(SUMPRODUCT((Besatzung!$B$11:$B$22&lt;&gt;"")*(Besatzung!$F$11:$F$22="x")*(IF(Besatzung!$C$11:$C$22="",Besatzung!$B$5,Besatzung!$C$11:$C$22)&lt;=B40)*(IF(Besatzung!$D$11:$D$22="",Besatzung!$B$6,Besatzung!$D$11:$D$22)&gt;=B40)),1))),IF(I40="Individuell",((M40="x")*((G40-IFERROR(H40,0))/IFERROR(COUNTIF(J40:U40,"x"),1)+(Besatzung!$F$14="x")*IFERROR(H40,0)/IFERROR(SUMPRODUCT((J40:U40="x")*(Besatzung!$F$11:$F$22="x")),1))),(IF(COUNTIF(J40:U40,"x")=0,IF(Besatzung!$B$14&lt;&gt;"",1,0),(M40="x"))*(G40-IFERROR(H40,0))/IFERROR(IF(COUNTIF(J40:U40,"x")=0,COUNTA(Besatzung!$B$11:$B$22),COUNTIF(J40:U40,"x")),1)+IF(COUNTIF(J40:U40,"x")=0,(Besatzung!$F$14="x"),(M40="x")*(Besatzung!$F$14="x"))*IFERROR(H40,0)/IFERROR(IF(COUNTIF(J40:U40,"x")=0,SUMPRODUCT((Besatzung!$B$11:$B$22&lt;&gt;"")*(Besatzung!$F$11:$F$22="x")),SUMPRODUCT((J40:U40="x")*(Besatzung!$F$11:$F$22="x"))),1))))),0))))</f>
        <v/>
      </c>
      <c r="Z40" s="247">
        <f>IF(C40="Gutschrift","",IF(G40="","",IF(Besatzung!$B$13="","",IFERROR(IF(I40="Zeitanteilig",(Besatzung!$G$15*(G40-IFERROR(H40,0))+((Besatzung!$B$13&lt;&gt;"")*IF(B40="",1,(IF(Besatzung!$C$15="",Besatzung!$B$5,Besatzung!$C$15)&lt;=B40)*(IF(Besatzung!$D$15="",Besatzung!$B$6,Besatzung!$D$15)&gt;=B40)))*(Besatzung!$F$15="x")*IFERROR(H40,0)/IFERROR(SUMPRODUCT((Besatzung!$B$11:$B$22&lt;&gt;"")*(Besatzung!$F$11:$F$22="x")*(IF(Besatzung!$C$11:$C$22="",Besatzung!$B$5,Besatzung!$C$11:$C$22)&lt;=B40)*(IF(Besatzung!$D$11:$D$22="",Besatzung!$B$6,Besatzung!$D$11:$D$22)&gt;=B40)),1)),IF(I40="An Bord",(((Besatzung!$B$13&lt;&gt;"")*IF(B40="",1,(IF(Besatzung!$C$15="",Besatzung!$B$5,Besatzung!$C$15)&lt;=B40)*(IF(Besatzung!$D$15="",Besatzung!$B$6,Besatzung!$D$15)&gt;=B40)))*((G40-IFERROR(H40,0))/IFERROR(SUMPRODUCT((Besatzung!$B$11:$B$22&lt;&gt;"")*(IF(Besatzung!$C$11:$C$22="",Besatzung!$B$5,Besatzung!$C$11:$C$22)&lt;=B40)*(IF(Besatzung!$D$11:$D$22="",Besatzung!$B$6,Besatzung!$D$11:$D$22)&gt;=B40)),1)+(Besatzung!$F$15="x")*IFERROR(H40,0)/IFERROR(SUMPRODUCT((Besatzung!$B$11:$B$22&lt;&gt;"")*(Besatzung!$F$11:$F$22="x")*(IF(Besatzung!$C$11:$C$22="",Besatzung!$B$5,Besatzung!$C$11:$C$22)&lt;=B40)*(IF(Besatzung!$D$11:$D$22="",Besatzung!$B$6,Besatzung!$D$11:$D$22)&gt;=B40)),1))),IF(I40="Individuell",((N40="x")*((G40-IFERROR(H40,0))/IFERROR(COUNTIF(J40:U40,"x"),1)+(Besatzung!$F$15="x")*IFERROR(H40,0)/IFERROR(SUMPRODUCT((J40:U40="x")*(Besatzung!$F$11:$F$22="x")),1))),(IF(COUNTIF(J40:U40,"x")=0,IF(Besatzung!$B$13&lt;&gt;"",1,0),(N40="x"))*(G40-IFERROR(H40,0))/IFERROR(IF(COUNTIF(J40:U40,"x")=0,COUNTA(Besatzung!$B$11:$B$22),COUNTIF(J40:U40,"x")),1)+IF(COUNTIF(J40:U40,"x")=0,(Besatzung!$F$15="x"),(N40="x")*(Besatzung!$F$15="x"))*IFERROR(H40,0)/IFERROR(IF(COUNTIF(J40:U40,"x")=0,SUMPRODUCT((Besatzung!$B$11:$B$22&lt;&gt;"")*(Besatzung!$F$11:$F$22="x")),SUMPRODUCT((J40:U40="x")*(Besatzung!$F$11:$F$22="x"))),1))))),0))))</f>
        <v/>
      </c>
      <c r="AA40" s="247">
        <f>IF(C40="Gutschrift","",IF(G40="","",IF(Besatzung!$B$15="","",IFERROR(IF(I40="Zeitanteilig",(Besatzung!$G$16*(G40-IFERROR(H40,0))+((Besatzung!$B$15&lt;&gt;"")*IF(B40="",1,(IF(Besatzung!$C$16="",Besatzung!$B$5,Besatzung!$C$16)&lt;=B40)*(IF(Besatzung!$D$16="",Besatzung!$B$6,Besatzung!$D$16)&gt;=B40)))*(Besatzung!$F$16="x")*IFERROR(H40,0)/IFERROR(SUMPRODUCT((Besatzung!$B$11:$B$22&lt;&gt;"")*(Besatzung!$F$11:$F$22="x")*(IF(Besatzung!$C$11:$C$22="",Besatzung!$B$5,Besatzung!$C$11:$C$22)&lt;=B40)*(IF(Besatzung!$D$11:$D$22="",Besatzung!$B$6,Besatzung!$D$11:$D$22)&gt;=B40)),1)),IF(I40="An Bord",(((Besatzung!$B$15&lt;&gt;"")*IF(B40="",1,(IF(Besatzung!$C$16="",Besatzung!$B$5,Besatzung!$C$16)&lt;=B40)*(IF(Besatzung!$D$16="",Besatzung!$B$6,Besatzung!$D$16)&gt;=B40)))*((G40-IFERROR(H40,0))/IFERROR(SUMPRODUCT((Besatzung!$B$11:$B$22&lt;&gt;"")*(IF(Besatzung!$C$11:$C$22="",Besatzung!$B$5,Besatzung!$C$11:$C$22)&lt;=B40)*(IF(Besatzung!$D$11:$D$22="",Besatzung!$B$6,Besatzung!$D$11:$D$22)&gt;=B40)),1)+(Besatzung!$F$16="x")*IFERROR(H40,0)/IFERROR(SUMPRODUCT((Besatzung!$B$11:$B$22&lt;&gt;"")*(Besatzung!$F$11:$F$22="x")*(IF(Besatzung!$C$11:$C$22="",Besatzung!$B$5,Besatzung!$C$11:$C$22)&lt;=B40)*(IF(Besatzung!$D$11:$D$22="",Besatzung!$B$6,Besatzung!$D$11:$D$22)&gt;=B40)),1))),IF(I40="Individuell",((O40="x")*((G40-IFERROR(H40,0))/IFERROR(COUNTIF(J40:U40,"x"),1)+(Besatzung!$F$16="x")*IFERROR(H40,0)/IFERROR(SUMPRODUCT((J40:U40="x")*(Besatzung!$F$11:$F$22="x")),1))),(IF(COUNTIF(J40:U40,"x")=0,IF(Besatzung!$B$15&lt;&gt;"",1,0),(O40="x"))*(G40-IFERROR(H40,0))/IFERROR(IF(COUNTIF(J40:U40,"x")=0,COUNTA(Besatzung!$B$11:$B$22),COUNTIF(J40:U40,"x")),1)+IF(COUNTIF(J40:U40,"x")=0,(Besatzung!$F$16="x"),(O40="x")*(Besatzung!$F$16="x"))*IFERROR(H40,0)/IFERROR(IF(COUNTIF(J40:U40,"x")=0,SUMPRODUCT((Besatzung!$B$11:$B$22&lt;&gt;"")*(Besatzung!$F$11:$F$22="x")),SUMPRODUCT((J40:U40="x")*(Besatzung!$F$11:$F$22="x"))),1))))),0))))</f>
        <v/>
      </c>
      <c r="AB40" s="247">
        <f>IF(C40="Gutschrift","",IF(G40="","",IF(Besatzung!$B$17="","",IFERROR(IF(I40="Zeitanteilig",(Besatzung!$G$17*(G40-IFERROR(H40,0))+((Besatzung!$B$17&lt;&gt;"")*IF(B40="",1,(IF(Besatzung!$C$17="",Besatzung!$B$5,Besatzung!$C$17)&lt;=B40)*(IF(Besatzung!$D$17="",Besatzung!$B$6,Besatzung!$D$17)&gt;=B40)))*(Besatzung!$F$17="x")*IFERROR(H40,0)/IFERROR(SUMPRODUCT((Besatzung!$B$11:$B$22&lt;&gt;"")*(Besatzung!$F$11:$F$22="x")*(IF(Besatzung!$C$11:$C$22="",Besatzung!$B$5,Besatzung!$C$11:$C$22)&lt;=B40)*(IF(Besatzung!$D$11:$D$22="",Besatzung!$B$6,Besatzung!$D$11:$D$22)&gt;=B40)),1)),IF(I40="An Bord",(((Besatzung!$B$17&lt;&gt;"")*IF(B40="",1,(IF(Besatzung!$C$17="",Besatzung!$B$5,Besatzung!$C$17)&lt;=B40)*(IF(Besatzung!$D$17="",Besatzung!$B$6,Besatzung!$D$17)&gt;=B40)))*((G40-IFERROR(H40,0))/IFERROR(SUMPRODUCT((Besatzung!$B$11:$B$22&lt;&gt;"")*(IF(Besatzung!$C$11:$C$22="",Besatzung!$B$5,Besatzung!$C$11:$C$22)&lt;=B40)*(IF(Besatzung!$D$11:$D$22="",Besatzung!$B$6,Besatzung!$D$11:$D$22)&gt;=B40)),1)+(Besatzung!$F$17="x")*IFERROR(H40,0)/IFERROR(SUMPRODUCT((Besatzung!$B$11:$B$22&lt;&gt;"")*(Besatzung!$F$11:$F$22="x")*(IF(Besatzung!$C$11:$C$22="",Besatzung!$B$5,Besatzung!$C$11:$C$22)&lt;=B40)*(IF(Besatzung!$D$11:$D$22="",Besatzung!$B$6,Besatzung!$D$11:$D$22)&gt;=B40)),1))),IF(I40="Individuell",((P40="x")*((G40-IFERROR(H40,0))/IFERROR(COUNTIF(J40:U40,"x"),1)+(Besatzung!$F$17="x")*IFERROR(H40,0)/IFERROR(SUMPRODUCT((J40:U40="x")*(Besatzung!$F$11:$F$22="x")),1))),(IF(COUNTIF(J40:U40,"x")=0,IF(Besatzung!$B$17&lt;&gt;"",1,0),(P40="x"))*(G40-IFERROR(H40,0))/IFERROR(IF(COUNTIF(J40:U40,"x")=0,COUNTA(Besatzung!$B$11:$B$22),COUNTIF(J40:U40,"x")),1)+IF(COUNTIF(J40:U40,"x")=0,(Besatzung!$F$17="x"),(P40="x")*(Besatzung!$F$17="x"))*IFERROR(H40,0)/IFERROR(IF(COUNTIF(J40:U40,"x")=0,SUMPRODUCT((Besatzung!$B$11:$B$22&lt;&gt;"")*(Besatzung!$F$11:$F$22="x")),SUMPRODUCT((J40:U40="x")*(Besatzung!$F$11:$F$22="x"))),1))))),0))))</f>
        <v/>
      </c>
      <c r="AC40" s="247">
        <f>IF(C40="Gutschrift","",IF(G40="","",IF(Besatzung!$B$18="","",IFERROR(IF(I40="Zeitanteilig",(Besatzung!$G$18*(G40-IFERROR(H40,0))+((Besatzung!$B$18&lt;&gt;"")*IF(B40="",1,(IF(Besatzung!$C$18="",Besatzung!$B$5,Besatzung!$C$18)&lt;=B40)*(IF(Besatzung!$D$18="",Besatzung!$B$6,Besatzung!$D$18)&gt;=B40)))*(Besatzung!$F$18="x")*IFERROR(H40,0)/IFERROR(SUMPRODUCT((Besatzung!$B$11:$B$22&lt;&gt;"")*(Besatzung!$F$11:$F$22="x")*(IF(Besatzung!$C$11:$C$22="",Besatzung!$B$5,Besatzung!$C$11:$C$22)&lt;=B40)*(IF(Besatzung!$D$11:$D$22="",Besatzung!$B$6,Besatzung!$D$11:$D$22)&gt;=B40)),1)),IF(I40="An Bord",(((Besatzung!$B$18&lt;&gt;"")*IF(B40="",1,(IF(Besatzung!$C$18="",Besatzung!$B$5,Besatzung!$C$18)&lt;=B40)*(IF(Besatzung!$D$18="",Besatzung!$B$6,Besatzung!$D$18)&gt;=B40)))*((G40-IFERROR(H40,0))/IFERROR(SUMPRODUCT((Besatzung!$B$11:$B$22&lt;&gt;"")*(IF(Besatzung!$C$11:$C$22="",Besatzung!$B$5,Besatzung!$C$11:$C$22)&lt;=B40)*(IF(Besatzung!$D$11:$D$22="",Besatzung!$B$6,Besatzung!$D$11:$D$22)&gt;=B40)),1)+(Besatzung!$F$18="x")*IFERROR(H40,0)/IFERROR(SUMPRODUCT((Besatzung!$B$11:$B$22&lt;&gt;"")*(Besatzung!$F$11:$F$22="x")*(IF(Besatzung!$C$11:$C$22="",Besatzung!$B$5,Besatzung!$C$11:$C$22)&lt;=B40)*(IF(Besatzung!$D$11:$D$22="",Besatzung!$B$6,Besatzung!$D$11:$D$22)&gt;=B40)),1))),IF(I40="Individuell",((Q40="x")*((G40-IFERROR(H40,0))/IFERROR(COUNTIF(J40:U40,"x"),1)+(Besatzung!$F$18="x")*IFERROR(H40,0)/IFERROR(SUMPRODUCT((J40:U40="x")*(Besatzung!$F$11:$F$22="x")),1))),(IF(COUNTIF(J40:U40,"x")=0,IF(Besatzung!$B$18&lt;&gt;"",1,0),(Q40="x"))*(G40-IFERROR(H40,0))/IFERROR(IF(COUNTIF(J40:U40,"x")=0,COUNTA(Besatzung!$B$11:$B$22),COUNTIF(J40:U40,"x")),1)+IF(COUNTIF(J40:U40,"x")=0,(Besatzung!$F$18="x"),(Q40="x")*(Besatzung!$F$18="x"))*IFERROR(H40,0)/IFERROR(IF(COUNTIF(J40:U40,"x")=0,SUMPRODUCT((Besatzung!$B$11:$B$22&lt;&gt;"")*(Besatzung!$F$11:$F$22="x")),SUMPRODUCT((J40:U40="x")*(Besatzung!$F$11:$F$22="x"))),1))))),0))))</f>
        <v/>
      </c>
      <c r="AD40" s="247">
        <f>IF(C40="Gutschrift","",IF(G40="","",IF(Besatzung!$B$19="","",IFERROR(IF(I40="Zeitanteilig",(Besatzung!$G$19*(G40-IFERROR(H40,0))+((Besatzung!$B$19&lt;&gt;"")*IF(B40="",1,(IF(Besatzung!$C$19="",Besatzung!$B$5,Besatzung!$C$19)&lt;=B40)*(IF(Besatzung!$D$19="",Besatzung!$B$6,Besatzung!$D$19)&gt;=B40)))*(Besatzung!$F$19="x")*IFERROR(H40,0)/IFERROR(SUMPRODUCT((Besatzung!$B$11:$B$22&lt;&gt;"")*(Besatzung!$F$11:$F$22="x")*(IF(Besatzung!$C$11:$C$22="",Besatzung!$B$5,Besatzung!$C$11:$C$22)&lt;=B40)*(IF(Besatzung!$D$11:$D$22="",Besatzung!$B$6,Besatzung!$D$11:$D$22)&gt;=B40)),1)),IF(I40="An Bord",(((Besatzung!$B$19&lt;&gt;"")*IF(B40="",1,(IF(Besatzung!$C$19="",Besatzung!$B$5,Besatzung!$C$19)&lt;=B40)*(IF(Besatzung!$D$19="",Besatzung!$B$6,Besatzung!$D$19)&gt;=B40)))*((G40-IFERROR(H40,0))/IFERROR(SUMPRODUCT((Besatzung!$B$11:$B$22&lt;&gt;"")*(IF(Besatzung!$C$11:$C$22="",Besatzung!$B$5,Besatzung!$C$11:$C$22)&lt;=B40)*(IF(Besatzung!$D$11:$D$22="",Besatzung!$B$6,Besatzung!$D$11:$D$22)&gt;=B40)),1)+(Besatzung!$F$19="x")*IFERROR(H40,0)/IFERROR(SUMPRODUCT((Besatzung!$B$11:$B$22&lt;&gt;"")*(Besatzung!$F$11:$F$22="x")*(IF(Besatzung!$C$11:$C$22="",Besatzung!$B$5,Besatzung!$C$11:$C$22)&lt;=B40)*(IF(Besatzung!$D$11:$D$22="",Besatzung!$B$6,Besatzung!$D$11:$D$22)&gt;=B40)),1))),IF(I40="Individuell",((R40="x")*((G40-IFERROR(H40,0))/IFERROR(COUNTIF(J40:U40,"x"),1)+(Besatzung!$F$19="x")*IFERROR(H40,0)/IFERROR(SUMPRODUCT((J40:U40="x")*(Besatzung!$F$11:$F$22="x")),1))),(IF(COUNTIF(J40:U40,"x")=0,IF(Besatzung!$B$19&lt;&gt;"",1,0),(R40="x"))*(G40-IFERROR(H40,0))/IFERROR(IF(COUNTIF(J40:U40,"x")=0,COUNTA(Besatzung!$B$11:$B$22),COUNTIF(J40:U40,"x")),1)+IF(COUNTIF(J40:U40,"x")=0,(Besatzung!$F$19="x"),(R40="x")*(Besatzung!$F$19="x"))*IFERROR(H40,0)/IFERROR(IF(COUNTIF(J40:U40,"x")=0,SUMPRODUCT((Besatzung!$B$11:$B$22&lt;&gt;"")*(Besatzung!$F$11:$F$22="x")),SUMPRODUCT((J40:U40="x")*(Besatzung!$F$11:$F$22="x"))),1))))),0))))</f>
        <v/>
      </c>
      <c r="AE40" s="247">
        <f>IF(C40="Gutschrift","",IF(G40="","",IF(Besatzung!$B$20="","",IFERROR(IF(I40="Zeitanteilig",(Besatzung!$G$20*(G40-IFERROR(H40,0))+((Besatzung!$B$20&lt;&gt;"")*IF(B40="",1,(IF(Besatzung!$C$20="",Besatzung!$B$5,Besatzung!$C$20)&lt;=B40)*(IF(Besatzung!$D$20="",Besatzung!$B$6,Besatzung!$D$20)&gt;=B40)))*(Besatzung!$F$20="x")*IFERROR(H40,0)/IFERROR(SUMPRODUCT((Besatzung!$B$11:$B$22&lt;&gt;"")*(Besatzung!$F$11:$F$22="x")*(IF(Besatzung!$C$11:$C$22="",Besatzung!$B$5,Besatzung!$C$11:$C$22)&lt;=B40)*(IF(Besatzung!$D$11:$D$22="",Besatzung!$B$6,Besatzung!$D$11:$D$22)&gt;=B40)),1)),IF(I40="An Bord",(((Besatzung!$B$20&lt;&gt;"")*IF(B40="",1,(IF(Besatzung!$C$20="",Besatzung!$B$5,Besatzung!$C$20)&lt;=B40)*(IF(Besatzung!$D$20="",Besatzung!$B$6,Besatzung!$D$20)&gt;=B40)))*((G40-IFERROR(H40,0))/IFERROR(SUMPRODUCT((Besatzung!$B$11:$B$22&lt;&gt;"")*(IF(Besatzung!$C$11:$C$22="",Besatzung!$B$5,Besatzung!$C$11:$C$22)&lt;=B40)*(IF(Besatzung!$D$11:$D$22="",Besatzung!$B$6,Besatzung!$D$11:$D$22)&gt;=B40)),1)+(Besatzung!$F$20="x")*IFERROR(H40,0)/IFERROR(SUMPRODUCT((Besatzung!$B$11:$B$22&lt;&gt;"")*(Besatzung!$F$11:$F$22="x")*(IF(Besatzung!$C$11:$C$22="",Besatzung!$B$5,Besatzung!$C$11:$C$22)&lt;=B40)*(IF(Besatzung!$D$11:$D$22="",Besatzung!$B$6,Besatzung!$D$11:$D$22)&gt;=B40)),1))),IF(I40="Individuell",((S40="x")*((G40-IFERROR(H40,0))/IFERROR(COUNTIF(J40:U40,"x"),1)+(Besatzung!$F$20="x")*IFERROR(H40,0)/IFERROR(SUMPRODUCT((J40:U40="x")*(Besatzung!$F$11:$F$22="x")),1))),(IF(COUNTIF(J40:U40,"x")=0,IF(Besatzung!$B$20&lt;&gt;"",1,0),(S40="x"))*(G40-IFERROR(H40,0))/IFERROR(IF(COUNTIF(J40:U40,"x")=0,COUNTA(Besatzung!$B$11:$B$22),COUNTIF(J40:U40,"x")),1)+IF(COUNTIF(J40:U40,"x")=0,(Besatzung!$F$20="x"),(S40="x")*(Besatzung!$F$20="x"))*IFERROR(H40,0)/IFERROR(IF(COUNTIF(J40:U40,"x")=0,SUMPRODUCT((Besatzung!$B$11:$B$22&lt;&gt;"")*(Besatzung!$F$11:$F$22="x")),SUMPRODUCT((J40:U40="x")*(Besatzung!$F$11:$F$22="x"))),1))))),0))))</f>
        <v/>
      </c>
      <c r="AF40" s="247">
        <f>IF(C40="Gutschrift","",IF(G40="","",IF(Besatzung!$B$21="","",IFERROR(IF(I40="Zeitanteilig",(Besatzung!$G$21*(G40-IFERROR(H40,0))+((Besatzung!$B$21&lt;&gt;"")*IF(B40="",1,(IF(Besatzung!$C$21="",Besatzung!$B$5,Besatzung!$C$21)&lt;=B40)*(IF(Besatzung!$D$21="",Besatzung!$B$6,Besatzung!$D$21)&gt;=B40)))*(Besatzung!$F$21="x")*IFERROR(H40,0)/IFERROR(SUMPRODUCT((Besatzung!$B$11:$B$22&lt;&gt;"")*(Besatzung!$F$11:$F$22="x")*(IF(Besatzung!$C$11:$C$22="",Besatzung!$B$5,Besatzung!$C$11:$C$22)&lt;=B40)*(IF(Besatzung!$D$11:$D$22="",Besatzung!$B$6,Besatzung!$D$11:$D$22)&gt;=B40)),1)),IF(I40="An Bord",(((Besatzung!$B$21&lt;&gt;"")*IF(B40="",1,(IF(Besatzung!$C$21="",Besatzung!$B$5,Besatzung!$C$21)&lt;=B40)*(IF(Besatzung!$D$21="",Besatzung!$B$6,Besatzung!$D$21)&gt;=B40)))*((G40-IFERROR(H40,0))/IFERROR(SUMPRODUCT((Besatzung!$B$11:$B$22&lt;&gt;"")*(IF(Besatzung!$C$11:$C$22="",Besatzung!$B$5,Besatzung!$C$11:$C$22)&lt;=B40)*(IF(Besatzung!$D$11:$D$22="",Besatzung!$B$6,Besatzung!$D$11:$D$22)&gt;=B40)),1)+(Besatzung!$F$21="x")*IFERROR(H40,0)/IFERROR(SUMPRODUCT((Besatzung!$B$11:$B$22&lt;&gt;"")*(Besatzung!$F$11:$F$22="x")*(IF(Besatzung!$C$11:$C$22="",Besatzung!$B$5,Besatzung!$C$11:$C$22)&lt;=B40)*(IF(Besatzung!$D$11:$D$22="",Besatzung!$B$6,Besatzung!$D$11:$D$22)&gt;=B40)),1))),IF(I40="Individuell",((T40="x")*((G40-IFERROR(H40,0))/IFERROR(COUNTIF(J40:U40,"x"),1)+(Besatzung!$F$21="x")*IFERROR(H40,0)/IFERROR(SUMPRODUCT((J40:U40="x")*(Besatzung!$F$11:$F$22="x")),1))),(IF(COUNTIF(J40:U40,"x")=0,IF(Besatzung!$B$21&lt;&gt;"",1,0),(T40="x"))*(G40-IFERROR(H40,0))/IFERROR(IF(COUNTIF(J40:U40,"x")=0,COUNTA(Besatzung!$B$11:$B$22),COUNTIF(J40:U40,"x")),1)+IF(COUNTIF(J40:U40,"x")=0,(Besatzung!$F$21="x"),(T40="x")*(Besatzung!$F$21="x"))*IFERROR(H40,0)/IFERROR(IF(COUNTIF(J40:U40,"x")=0,SUMPRODUCT((Besatzung!$B$11:$B$22&lt;&gt;"")*(Besatzung!$F$11:$F$22="x")),SUMPRODUCT((J40:U40="x")*(Besatzung!$F$11:$F$22="x"))),1))))),0))))</f>
        <v/>
      </c>
      <c r="AG40" s="247">
        <f>IF(C40="Gutschrift","",IF(G40="","",IF(Besatzung!$B$22="","",IFERROR(IF(I40="Zeitanteilig",(Besatzung!$G$22*(G40-IFERROR(H40,0))+((Besatzung!$B$22&lt;&gt;"")*IF(B40="",1,(IF(Besatzung!$C$22="",Besatzung!$B$5,Besatzung!$C$22)&lt;=B40)*(IF(Besatzung!$D$22="",Besatzung!$B$6,Besatzung!$D$22)&gt;=B40)))*(Besatzung!$F$22="x")*IFERROR(H40,0)/IFERROR(SUMPRODUCT((Besatzung!$B$11:$B$22&lt;&gt;"")*(Besatzung!$F$11:$F$22="x")*(IF(Besatzung!$C$11:$C$22="",Besatzung!$B$5,Besatzung!$C$11:$C$22)&lt;=B40)*(IF(Besatzung!$D$11:$D$22="",Besatzung!$B$6,Besatzung!$D$11:$D$22)&gt;=B40)),1)),IF(I40="An Bord",(((Besatzung!$B$22&lt;&gt;"")*IF(B40="",1,(IF(Besatzung!$C$22="",Besatzung!$B$5,Besatzung!$C$22)&lt;=B40)*(IF(Besatzung!$D$22="",Besatzung!$B$6,Besatzung!$D$22)&gt;=B40)))*((G40-IFERROR(H40,0))/IFERROR(SUMPRODUCT((Besatzung!$B$11:$B$22&lt;&gt;"")*(IF(Besatzung!$C$11:$C$22="",Besatzung!$B$5,Besatzung!$C$11:$C$22)&lt;=B40)*(IF(Besatzung!$D$11:$D$22="",Besatzung!$B$6,Besatzung!$D$11:$D$22)&gt;=B40)),1)+(Besatzung!$F$22="x")*IFERROR(H40,0)/IFERROR(SUMPRODUCT((Besatzung!$B$11:$B$22&lt;&gt;"")*(Besatzung!$F$11:$F$22="x")*(IF(Besatzung!$C$11:$C$22="",Besatzung!$B$5,Besatzung!$C$11:$C$22)&lt;=B40)*(IF(Besatzung!$D$11:$D$22="",Besatzung!$B$6,Besatzung!$D$11:$D$22)&gt;=B40)),1))),IF(I40="Individuell",((U40="x")*((G40-IFERROR(H40,0))/IFERROR(COUNTIF(J40:U40,"x"),1)+(Besatzung!$F$22="x")*IFERROR(H40,0)/IFERROR(SUMPRODUCT((J40:U40="x")*(Besatzung!$F$11:$F$22="x")),1))),(IF(COUNTIF(J40:U40,"x")=0,IF(Besatzung!$B$22&lt;&gt;"",1,0),(U40="x"))*(G40-IFERROR(H40,0))/IFERROR(IF(COUNTIF(J40:U40,"x")=0,COUNTA(Besatzung!$B$11:$B$22),COUNTIF(J40:U40,"x")),1)+IF(COUNTIF(J40:U40,"x")=0,(Besatzung!$F$22="x"),(U40="x")*(Besatzung!$F$22="x"))*IFERROR(H40,0)/IFERROR(IF(COUNTIF(J40:U40,"x")=0,SUMPRODUCT((Besatzung!$B$11:$B$22&lt;&gt;"")*(Besatzung!$F$11:$F$22="x")),SUMPRODUCT((J40:U40="x")*(Besatzung!$F$11:$F$22="x"))),1))))),0))))</f>
        <v/>
      </c>
      <c r="AH40" s="248" t="n"/>
      <c r="AI40" s="248" t="n"/>
    </row>
    <row r="41" ht="21.75" customHeight="1" s="154">
      <c r="A41" s="238">
        <f>IF(AND(D41="",C41=""),"",38)</f>
        <v/>
      </c>
      <c r="B41" s="206" t="n"/>
      <c r="C41" s="249" t="n"/>
      <c r="D41" s="250" t="n"/>
      <c r="E41" s="251" t="n"/>
      <c r="F41" s="252" t="n"/>
      <c r="G41" s="253" t="n"/>
      <c r="H41" s="254" t="n"/>
      <c r="I41" s="255" t="n"/>
      <c r="J41" s="256" t="n"/>
      <c r="K41" s="256" t="n"/>
      <c r="L41" s="256" t="n"/>
      <c r="M41" s="256" t="n"/>
      <c r="N41" s="256" t="n"/>
      <c r="O41" s="256" t="n"/>
      <c r="P41" s="256" t="n"/>
      <c r="Q41" s="256" t="n"/>
      <c r="R41" s="256" t="n"/>
      <c r="S41" s="256" t="n"/>
      <c r="T41" s="256" t="n"/>
      <c r="U41" s="256" t="n"/>
      <c r="V41" s="247">
        <f>IF(C41="Gutschrift","",IF(G41="","",IF(Besatzung!$B$11="","",IFERROR(IF(I41="Zeitanteilig",(Besatzung!$G$11*(G41-IFERROR(H41,0))+((Besatzung!$B$11&lt;&gt;"")*IF(B41="",1,(IF(Besatzung!$C$11="",Besatzung!$B$5,Besatzung!$C$11)&lt;=B41)*(IF(Besatzung!$D$11="",Besatzung!$B$6,Besatzung!$D$11)&gt;=B41)))*(Besatzung!$F$11="x")*IFERROR(H41,0)/IFERROR(SUMPRODUCT((Besatzung!$B$11:$B$22&lt;&gt;"")*(Besatzung!$F$11:$F$22="x")*(IF(Besatzung!$C$11:$C$22="",Besatzung!$B$5,Besatzung!$C$11:$C$22)&lt;=B41)*(IF(Besatzung!$D$11:$D$22="",Besatzung!$B$6,Besatzung!$D$11:$D$22)&gt;=B41)),1)),IF(I41="An Bord",(((Besatzung!$B$11&lt;&gt;"")*IF(B41="",1,(IF(Besatzung!$C$11="",Besatzung!$B$5,Besatzung!$C$11)&lt;=B41)*(IF(Besatzung!$D$11="",Besatzung!$B$6,Besatzung!$D$11)&gt;=B41)))*((G41-IFERROR(H41,0))/IFERROR(SUMPRODUCT((Besatzung!$B$11:$B$22&lt;&gt;"")*(IF(Besatzung!$C$11:$C$22="",Besatzung!$B$5,Besatzung!$C$11:$C$22)&lt;=B41)*(IF(Besatzung!$D$11:$D$22="",Besatzung!$B$6,Besatzung!$D$11:$D$22)&gt;=B41)),1)+(Besatzung!$F$11="x")*IFERROR(H41,0)/IFERROR(SUMPRODUCT((Besatzung!$B$11:$B$22&lt;&gt;"")*(Besatzung!$F$11:$F$22="x")*(IF(Besatzung!$C$11:$C$22="",Besatzung!$B$5,Besatzung!$C$11:$C$22)&lt;=B41)*(IF(Besatzung!$D$11:$D$22="",Besatzung!$B$6,Besatzung!$D$11:$D$22)&gt;=B41)),1))),IF(I41="Individuell",((J41="x")*((G41-IFERROR(H41,0))/IFERROR(COUNTIF(J41:U41,"x"),1)+(Besatzung!$F$11="x")*IFERROR(H41,0)/IFERROR(SUMPRODUCT((J41:U41="x")*(Besatzung!$F$11:$F$22="x")),1))),(IF(COUNTIF(J41:U41,"x")=0,IF(Besatzung!$B$11&lt;&gt;"",1,0),(J41="x"))*(G41-IFERROR(H41,0))/IFERROR(IF(COUNTIF(J41:U41,"x")=0,COUNTA(Besatzung!$B$11:$B$22),COUNTIF(J41:U41,"x")),1)+IF(COUNTIF(J41:U41,"x")=0,(Besatzung!$F$11="x"),(J41="x")*(Besatzung!$F$11="x"))*IFERROR(H41,0)/IFERROR(IF(COUNTIF(J41:U41,"x")=0,SUMPRODUCT((Besatzung!$B$11:$B$22&lt;&gt;"")*(Besatzung!$F$11:$F$22="x")),SUMPRODUCT((J41:U41="x")*(Besatzung!$F$11:$F$22="x"))),1))))),0))))</f>
        <v/>
      </c>
      <c r="W41" s="247">
        <f>IF(C41="Gutschrift","",IF(G41="","",IF(Besatzung!$B$12="","",IFERROR(IF(I41="Zeitanteilig",(Besatzung!$G$12*(G41-IFERROR(H41,0))+((Besatzung!$B$12&lt;&gt;"")*IF(B41="",1,(IF(Besatzung!$C$12="",Besatzung!$B$5,Besatzung!$C$12)&lt;=B41)*(IF(Besatzung!$D$12="",Besatzung!$B$6,Besatzung!$D$12)&gt;=B41)))*(Besatzung!$F$12="x")*IFERROR(H41,0)/IFERROR(SUMPRODUCT((Besatzung!$B$11:$B$22&lt;&gt;"")*(Besatzung!$F$11:$F$22="x")*(IF(Besatzung!$C$11:$C$22="",Besatzung!$B$5,Besatzung!$C$11:$C$22)&lt;=B41)*(IF(Besatzung!$D$11:$D$22="",Besatzung!$B$6,Besatzung!$D$11:$D$22)&gt;=B41)),1)),IF(I41="An Bord",(((Besatzung!$B$12&lt;&gt;"")*IF(B41="",1,(IF(Besatzung!$C$12="",Besatzung!$B$5,Besatzung!$C$12)&lt;=B41)*(IF(Besatzung!$D$12="",Besatzung!$B$6,Besatzung!$D$12)&gt;=B41)))*((G41-IFERROR(H41,0))/IFERROR(SUMPRODUCT((Besatzung!$B$11:$B$22&lt;&gt;"")*(IF(Besatzung!$C$11:$C$22="",Besatzung!$B$5,Besatzung!$C$11:$C$22)&lt;=B41)*(IF(Besatzung!$D$11:$D$22="",Besatzung!$B$6,Besatzung!$D$11:$D$22)&gt;=B41)),1)+(Besatzung!$F$12="x")*IFERROR(H41,0)/IFERROR(SUMPRODUCT((Besatzung!$B$11:$B$22&lt;&gt;"")*(Besatzung!$F$11:$F$22="x")*(IF(Besatzung!$C$11:$C$22="",Besatzung!$B$5,Besatzung!$C$11:$C$22)&lt;=B41)*(IF(Besatzung!$D$11:$D$22="",Besatzung!$B$6,Besatzung!$D$11:$D$22)&gt;=B41)),1))),IF(I41="Individuell",((K41="x")*((G41-IFERROR(H41,0))/IFERROR(COUNTIF(J41:U41,"x"),1)+(Besatzung!$F$12="x")*IFERROR(H41,0)/IFERROR(SUMPRODUCT((J41:U41="x")*(Besatzung!$F$11:$F$22="x")),1))),(IF(COUNTIF(J41:U41,"x")=0,IF(Besatzung!$B$12&lt;&gt;"",1,0),(K41="x"))*(G41-IFERROR(H41,0))/IFERROR(IF(COUNTIF(J41:U41,"x")=0,COUNTA(Besatzung!$B$11:$B$22),COUNTIF(J41:U41,"x")),1)+IF(COUNTIF(J41:U41,"x")=0,(Besatzung!$F$12="x"),(K41="x")*(Besatzung!$F$12="x"))*IFERROR(H41,0)/IFERROR(IF(COUNTIF(J41:U41,"x")=0,SUMPRODUCT((Besatzung!$B$11:$B$22&lt;&gt;"")*(Besatzung!$F$11:$F$22="x")),SUMPRODUCT((J41:U41="x")*(Besatzung!$F$11:$F$22="x"))),1))))),0))))</f>
        <v/>
      </c>
      <c r="X41" s="247">
        <f>IF(C41="Gutschrift","",IF(G41="","",IF(Besatzung!$B$13="","",IFERROR(IF(I41="Zeitanteilig",(Besatzung!$G$13*(G41-IFERROR(H41,0))+((Besatzung!$B$13&lt;&gt;"")*IF(B41="",1,(IF(Besatzung!$C$13="",Besatzung!$B$5,Besatzung!$C$13)&lt;=B41)*(IF(Besatzung!$D$13="",Besatzung!$B$6,Besatzung!$D$13)&gt;=B41)))*(Besatzung!$F$13="x")*IFERROR(H41,0)/IFERROR(SUMPRODUCT((Besatzung!$B$11:$B$22&lt;&gt;"")*(Besatzung!$F$11:$F$22="x")*(IF(Besatzung!$C$11:$C$22="",Besatzung!$B$5,Besatzung!$C$11:$C$22)&lt;=B41)*(IF(Besatzung!$D$11:$D$22="",Besatzung!$B$6,Besatzung!$D$11:$D$22)&gt;=B41)),1)),IF(I41="An Bord",(((Besatzung!$B$13&lt;&gt;"")*IF(B41="",1,(IF(Besatzung!$C$13="",Besatzung!$B$5,Besatzung!$C$13)&lt;=B41)*(IF(Besatzung!$D$13="",Besatzung!$B$6,Besatzung!$D$13)&gt;=B41)))*((G41-IFERROR(H41,0))/IFERROR(SUMPRODUCT((Besatzung!$B$11:$B$22&lt;&gt;"")*(IF(Besatzung!$C$11:$C$22="",Besatzung!$B$5,Besatzung!$C$11:$C$22)&lt;=B41)*(IF(Besatzung!$D$11:$D$22="",Besatzung!$B$6,Besatzung!$D$11:$D$22)&gt;=B41)),1)+(Besatzung!$F$13="x")*IFERROR(H41,0)/IFERROR(SUMPRODUCT((Besatzung!$B$11:$B$22&lt;&gt;"")*(Besatzung!$F$11:$F$22="x")*(IF(Besatzung!$C$11:$C$22="",Besatzung!$B$5,Besatzung!$C$11:$C$22)&lt;=B41)*(IF(Besatzung!$D$11:$D$22="",Besatzung!$B$6,Besatzung!$D$11:$D$22)&gt;=B41)),1))),IF(I41="Individuell",((K41="x")*((G41-IFERROR(H41,0))/IFERROR(COUNTIF(J41:U41,"x"),1)+(Besatzung!$F$13="x")*IFERROR(H41,0)/IFERROR(SUMPRODUCT((J41:U41="x")*(Besatzung!$F$11:$F$22="x")),1))),(IF(COUNTIF(J41:U41,"x")=0,IF(Besatzung!$B$13&lt;&gt;"",1,0),(K41="x"))*(G41-IFERROR(H41,0))/IFERROR(IF(COUNTIF(J41:U41,"x")=0,COUNTA(Besatzung!$B$11:$B$22),COUNTIF(J41:U41,"x")),1)+IF(COUNTIF(J41:U41,"x")=0,(Besatzung!$F$13="x"),(K41="x")*(Besatzung!$F$13="x"))*IFERROR(H41,0)/IFERROR(IF(COUNTIF(J41:U41,"x")=0,SUMPRODUCT((Besatzung!$B$11:$B$22&lt;&gt;"")*(Besatzung!$F$11:$F$22="x")),SUMPRODUCT((J41:U41="x")*(Besatzung!$F$11:$F$22="x"))),1))))),0))))</f>
        <v/>
      </c>
      <c r="Y41" s="247">
        <f>IF(C41="Gutschrift","",IF(G41="","",IF(Besatzung!$B$14="","",IFERROR(IF(I41="Zeitanteilig",(Besatzung!$G$14*(G41-IFERROR(H41,0))+((Besatzung!$B$14&lt;&gt;"")*IF(B41="",1,(IF(Besatzung!$C$14="",Besatzung!$B$5,Besatzung!$C$14)&lt;=B41)*(IF(Besatzung!$D$14="",Besatzung!$B$6,Besatzung!$D$14)&gt;=B41)))*(Besatzung!$F$14="x")*IFERROR(H41,0)/IFERROR(SUMPRODUCT((Besatzung!$B$11:$B$22&lt;&gt;"")*(Besatzung!$F$11:$F$22="x")*(IF(Besatzung!$C$11:$C$22="",Besatzung!$B$5,Besatzung!$C$11:$C$22)&lt;=B41)*(IF(Besatzung!$D$11:$D$22="",Besatzung!$B$6,Besatzung!$D$11:$D$22)&gt;=B41)),1)),IF(I41="An Bord",(((Besatzung!$B$14&lt;&gt;"")*IF(B41="",1,(IF(Besatzung!$C$14="",Besatzung!$B$5,Besatzung!$C$14)&lt;=B41)*(IF(Besatzung!$D$14="",Besatzung!$B$6,Besatzung!$D$14)&gt;=B41)))*((G41-IFERROR(H41,0))/IFERROR(SUMPRODUCT((Besatzung!$B$11:$B$22&lt;&gt;"")*(IF(Besatzung!$C$11:$C$22="",Besatzung!$B$5,Besatzung!$C$11:$C$22)&lt;=B41)*(IF(Besatzung!$D$11:$D$22="",Besatzung!$B$6,Besatzung!$D$11:$D$22)&gt;=B41)),1)+(Besatzung!$F$14="x")*IFERROR(H41,0)/IFERROR(SUMPRODUCT((Besatzung!$B$11:$B$22&lt;&gt;"")*(Besatzung!$F$11:$F$22="x")*(IF(Besatzung!$C$11:$C$22="",Besatzung!$B$5,Besatzung!$C$11:$C$22)&lt;=B41)*(IF(Besatzung!$D$11:$D$22="",Besatzung!$B$6,Besatzung!$D$11:$D$22)&gt;=B41)),1))),IF(I41="Individuell",((M41="x")*((G41-IFERROR(H41,0))/IFERROR(COUNTIF(J41:U41,"x"),1)+(Besatzung!$F$14="x")*IFERROR(H41,0)/IFERROR(SUMPRODUCT((J41:U41="x")*(Besatzung!$F$11:$F$22="x")),1))),(IF(COUNTIF(J41:U41,"x")=0,IF(Besatzung!$B$14&lt;&gt;"",1,0),(M41="x"))*(G41-IFERROR(H41,0))/IFERROR(IF(COUNTIF(J41:U41,"x")=0,COUNTA(Besatzung!$B$11:$B$22),COUNTIF(J41:U41,"x")),1)+IF(COUNTIF(J41:U41,"x")=0,(Besatzung!$F$14="x"),(M41="x")*(Besatzung!$F$14="x"))*IFERROR(H41,0)/IFERROR(IF(COUNTIF(J41:U41,"x")=0,SUMPRODUCT((Besatzung!$B$11:$B$22&lt;&gt;"")*(Besatzung!$F$11:$F$22="x")),SUMPRODUCT((J41:U41="x")*(Besatzung!$F$11:$F$22="x"))),1))))),0))))</f>
        <v/>
      </c>
      <c r="Z41" s="247">
        <f>IF(C41="Gutschrift","",IF(G41="","",IF(Besatzung!$B$13="","",IFERROR(IF(I41="Zeitanteilig",(Besatzung!$G$15*(G41-IFERROR(H41,0))+((Besatzung!$B$13&lt;&gt;"")*IF(B41="",1,(IF(Besatzung!$C$15="",Besatzung!$B$5,Besatzung!$C$15)&lt;=B41)*(IF(Besatzung!$D$15="",Besatzung!$B$6,Besatzung!$D$15)&gt;=B41)))*(Besatzung!$F$15="x")*IFERROR(H41,0)/IFERROR(SUMPRODUCT((Besatzung!$B$11:$B$22&lt;&gt;"")*(Besatzung!$F$11:$F$22="x")*(IF(Besatzung!$C$11:$C$22="",Besatzung!$B$5,Besatzung!$C$11:$C$22)&lt;=B41)*(IF(Besatzung!$D$11:$D$22="",Besatzung!$B$6,Besatzung!$D$11:$D$22)&gt;=B41)),1)),IF(I41="An Bord",(((Besatzung!$B$13&lt;&gt;"")*IF(B41="",1,(IF(Besatzung!$C$15="",Besatzung!$B$5,Besatzung!$C$15)&lt;=B41)*(IF(Besatzung!$D$15="",Besatzung!$B$6,Besatzung!$D$15)&gt;=B41)))*((G41-IFERROR(H41,0))/IFERROR(SUMPRODUCT((Besatzung!$B$11:$B$22&lt;&gt;"")*(IF(Besatzung!$C$11:$C$22="",Besatzung!$B$5,Besatzung!$C$11:$C$22)&lt;=B41)*(IF(Besatzung!$D$11:$D$22="",Besatzung!$B$6,Besatzung!$D$11:$D$22)&gt;=B41)),1)+(Besatzung!$F$15="x")*IFERROR(H41,0)/IFERROR(SUMPRODUCT((Besatzung!$B$11:$B$22&lt;&gt;"")*(Besatzung!$F$11:$F$22="x")*(IF(Besatzung!$C$11:$C$22="",Besatzung!$B$5,Besatzung!$C$11:$C$22)&lt;=B41)*(IF(Besatzung!$D$11:$D$22="",Besatzung!$B$6,Besatzung!$D$11:$D$22)&gt;=B41)),1))),IF(I41="Individuell",((N41="x")*((G41-IFERROR(H41,0))/IFERROR(COUNTIF(J41:U41,"x"),1)+(Besatzung!$F$15="x")*IFERROR(H41,0)/IFERROR(SUMPRODUCT((J41:U41="x")*(Besatzung!$F$11:$F$22="x")),1))),(IF(COUNTIF(J41:U41,"x")=0,IF(Besatzung!$B$13&lt;&gt;"",1,0),(N41="x"))*(G41-IFERROR(H41,0))/IFERROR(IF(COUNTIF(J41:U41,"x")=0,COUNTA(Besatzung!$B$11:$B$22),COUNTIF(J41:U41,"x")),1)+IF(COUNTIF(J41:U41,"x")=0,(Besatzung!$F$15="x"),(N41="x")*(Besatzung!$F$15="x"))*IFERROR(H41,0)/IFERROR(IF(COUNTIF(J41:U41,"x")=0,SUMPRODUCT((Besatzung!$B$11:$B$22&lt;&gt;"")*(Besatzung!$F$11:$F$22="x")),SUMPRODUCT((J41:U41="x")*(Besatzung!$F$11:$F$22="x"))),1))))),0))))</f>
        <v/>
      </c>
      <c r="AA41" s="247">
        <f>IF(C41="Gutschrift","",IF(G41="","",IF(Besatzung!$B$15="","",IFERROR(IF(I41="Zeitanteilig",(Besatzung!$G$16*(G41-IFERROR(H41,0))+((Besatzung!$B$15&lt;&gt;"")*IF(B41="",1,(IF(Besatzung!$C$16="",Besatzung!$B$5,Besatzung!$C$16)&lt;=B41)*(IF(Besatzung!$D$16="",Besatzung!$B$6,Besatzung!$D$16)&gt;=B41)))*(Besatzung!$F$16="x")*IFERROR(H41,0)/IFERROR(SUMPRODUCT((Besatzung!$B$11:$B$22&lt;&gt;"")*(Besatzung!$F$11:$F$22="x")*(IF(Besatzung!$C$11:$C$22="",Besatzung!$B$5,Besatzung!$C$11:$C$22)&lt;=B41)*(IF(Besatzung!$D$11:$D$22="",Besatzung!$B$6,Besatzung!$D$11:$D$22)&gt;=B41)),1)),IF(I41="An Bord",(((Besatzung!$B$15&lt;&gt;"")*IF(B41="",1,(IF(Besatzung!$C$16="",Besatzung!$B$5,Besatzung!$C$16)&lt;=B41)*(IF(Besatzung!$D$16="",Besatzung!$B$6,Besatzung!$D$16)&gt;=B41)))*((G41-IFERROR(H41,0))/IFERROR(SUMPRODUCT((Besatzung!$B$11:$B$22&lt;&gt;"")*(IF(Besatzung!$C$11:$C$22="",Besatzung!$B$5,Besatzung!$C$11:$C$22)&lt;=B41)*(IF(Besatzung!$D$11:$D$22="",Besatzung!$B$6,Besatzung!$D$11:$D$22)&gt;=B41)),1)+(Besatzung!$F$16="x")*IFERROR(H41,0)/IFERROR(SUMPRODUCT((Besatzung!$B$11:$B$22&lt;&gt;"")*(Besatzung!$F$11:$F$22="x")*(IF(Besatzung!$C$11:$C$22="",Besatzung!$B$5,Besatzung!$C$11:$C$22)&lt;=B41)*(IF(Besatzung!$D$11:$D$22="",Besatzung!$B$6,Besatzung!$D$11:$D$22)&gt;=B41)),1))),IF(I41="Individuell",((O41="x")*((G41-IFERROR(H41,0))/IFERROR(COUNTIF(J41:U41,"x"),1)+(Besatzung!$F$16="x")*IFERROR(H41,0)/IFERROR(SUMPRODUCT((J41:U41="x")*(Besatzung!$F$11:$F$22="x")),1))),(IF(COUNTIF(J41:U41,"x")=0,IF(Besatzung!$B$15&lt;&gt;"",1,0),(O41="x"))*(G41-IFERROR(H41,0))/IFERROR(IF(COUNTIF(J41:U41,"x")=0,COUNTA(Besatzung!$B$11:$B$22),COUNTIF(J41:U41,"x")),1)+IF(COUNTIF(J41:U41,"x")=0,(Besatzung!$F$16="x"),(O41="x")*(Besatzung!$F$16="x"))*IFERROR(H41,0)/IFERROR(IF(COUNTIF(J41:U41,"x")=0,SUMPRODUCT((Besatzung!$B$11:$B$22&lt;&gt;"")*(Besatzung!$F$11:$F$22="x")),SUMPRODUCT((J41:U41="x")*(Besatzung!$F$11:$F$22="x"))),1))))),0))))</f>
        <v/>
      </c>
      <c r="AB41" s="247">
        <f>IF(C41="Gutschrift","",IF(G41="","",IF(Besatzung!$B$17="","",IFERROR(IF(I41="Zeitanteilig",(Besatzung!$G$17*(G41-IFERROR(H41,0))+((Besatzung!$B$17&lt;&gt;"")*IF(B41="",1,(IF(Besatzung!$C$17="",Besatzung!$B$5,Besatzung!$C$17)&lt;=B41)*(IF(Besatzung!$D$17="",Besatzung!$B$6,Besatzung!$D$17)&gt;=B41)))*(Besatzung!$F$17="x")*IFERROR(H41,0)/IFERROR(SUMPRODUCT((Besatzung!$B$11:$B$22&lt;&gt;"")*(Besatzung!$F$11:$F$22="x")*(IF(Besatzung!$C$11:$C$22="",Besatzung!$B$5,Besatzung!$C$11:$C$22)&lt;=B41)*(IF(Besatzung!$D$11:$D$22="",Besatzung!$B$6,Besatzung!$D$11:$D$22)&gt;=B41)),1)),IF(I41="An Bord",(((Besatzung!$B$17&lt;&gt;"")*IF(B41="",1,(IF(Besatzung!$C$17="",Besatzung!$B$5,Besatzung!$C$17)&lt;=B41)*(IF(Besatzung!$D$17="",Besatzung!$B$6,Besatzung!$D$17)&gt;=B41)))*((G41-IFERROR(H41,0))/IFERROR(SUMPRODUCT((Besatzung!$B$11:$B$22&lt;&gt;"")*(IF(Besatzung!$C$11:$C$22="",Besatzung!$B$5,Besatzung!$C$11:$C$22)&lt;=B41)*(IF(Besatzung!$D$11:$D$22="",Besatzung!$B$6,Besatzung!$D$11:$D$22)&gt;=B41)),1)+(Besatzung!$F$17="x")*IFERROR(H41,0)/IFERROR(SUMPRODUCT((Besatzung!$B$11:$B$22&lt;&gt;"")*(Besatzung!$F$11:$F$22="x")*(IF(Besatzung!$C$11:$C$22="",Besatzung!$B$5,Besatzung!$C$11:$C$22)&lt;=B41)*(IF(Besatzung!$D$11:$D$22="",Besatzung!$B$6,Besatzung!$D$11:$D$22)&gt;=B41)),1))),IF(I41="Individuell",((P41="x")*((G41-IFERROR(H41,0))/IFERROR(COUNTIF(J41:U41,"x"),1)+(Besatzung!$F$17="x")*IFERROR(H41,0)/IFERROR(SUMPRODUCT((J41:U41="x")*(Besatzung!$F$11:$F$22="x")),1))),(IF(COUNTIF(J41:U41,"x")=0,IF(Besatzung!$B$17&lt;&gt;"",1,0),(P41="x"))*(G41-IFERROR(H41,0))/IFERROR(IF(COUNTIF(J41:U41,"x")=0,COUNTA(Besatzung!$B$11:$B$22),COUNTIF(J41:U41,"x")),1)+IF(COUNTIF(J41:U41,"x")=0,(Besatzung!$F$17="x"),(P41="x")*(Besatzung!$F$17="x"))*IFERROR(H41,0)/IFERROR(IF(COUNTIF(J41:U41,"x")=0,SUMPRODUCT((Besatzung!$B$11:$B$22&lt;&gt;"")*(Besatzung!$F$11:$F$22="x")),SUMPRODUCT((J41:U41="x")*(Besatzung!$F$11:$F$22="x"))),1))))),0))))</f>
        <v/>
      </c>
      <c r="AC41" s="247">
        <f>IF(C41="Gutschrift","",IF(G41="","",IF(Besatzung!$B$18="","",IFERROR(IF(I41="Zeitanteilig",(Besatzung!$G$18*(G41-IFERROR(H41,0))+((Besatzung!$B$18&lt;&gt;"")*IF(B41="",1,(IF(Besatzung!$C$18="",Besatzung!$B$5,Besatzung!$C$18)&lt;=B41)*(IF(Besatzung!$D$18="",Besatzung!$B$6,Besatzung!$D$18)&gt;=B41)))*(Besatzung!$F$18="x")*IFERROR(H41,0)/IFERROR(SUMPRODUCT((Besatzung!$B$11:$B$22&lt;&gt;"")*(Besatzung!$F$11:$F$22="x")*(IF(Besatzung!$C$11:$C$22="",Besatzung!$B$5,Besatzung!$C$11:$C$22)&lt;=B41)*(IF(Besatzung!$D$11:$D$22="",Besatzung!$B$6,Besatzung!$D$11:$D$22)&gt;=B41)),1)),IF(I41="An Bord",(((Besatzung!$B$18&lt;&gt;"")*IF(B41="",1,(IF(Besatzung!$C$18="",Besatzung!$B$5,Besatzung!$C$18)&lt;=B41)*(IF(Besatzung!$D$18="",Besatzung!$B$6,Besatzung!$D$18)&gt;=B41)))*((G41-IFERROR(H41,0))/IFERROR(SUMPRODUCT((Besatzung!$B$11:$B$22&lt;&gt;"")*(IF(Besatzung!$C$11:$C$22="",Besatzung!$B$5,Besatzung!$C$11:$C$22)&lt;=B41)*(IF(Besatzung!$D$11:$D$22="",Besatzung!$B$6,Besatzung!$D$11:$D$22)&gt;=B41)),1)+(Besatzung!$F$18="x")*IFERROR(H41,0)/IFERROR(SUMPRODUCT((Besatzung!$B$11:$B$22&lt;&gt;"")*(Besatzung!$F$11:$F$22="x")*(IF(Besatzung!$C$11:$C$22="",Besatzung!$B$5,Besatzung!$C$11:$C$22)&lt;=B41)*(IF(Besatzung!$D$11:$D$22="",Besatzung!$B$6,Besatzung!$D$11:$D$22)&gt;=B41)),1))),IF(I41="Individuell",((Q41="x")*((G41-IFERROR(H41,0))/IFERROR(COUNTIF(J41:U41,"x"),1)+(Besatzung!$F$18="x")*IFERROR(H41,0)/IFERROR(SUMPRODUCT((J41:U41="x")*(Besatzung!$F$11:$F$22="x")),1))),(IF(COUNTIF(J41:U41,"x")=0,IF(Besatzung!$B$18&lt;&gt;"",1,0),(Q41="x"))*(G41-IFERROR(H41,0))/IFERROR(IF(COUNTIF(J41:U41,"x")=0,COUNTA(Besatzung!$B$11:$B$22),COUNTIF(J41:U41,"x")),1)+IF(COUNTIF(J41:U41,"x")=0,(Besatzung!$F$18="x"),(Q41="x")*(Besatzung!$F$18="x"))*IFERROR(H41,0)/IFERROR(IF(COUNTIF(J41:U41,"x")=0,SUMPRODUCT((Besatzung!$B$11:$B$22&lt;&gt;"")*(Besatzung!$F$11:$F$22="x")),SUMPRODUCT((J41:U41="x")*(Besatzung!$F$11:$F$22="x"))),1))))),0))))</f>
        <v/>
      </c>
      <c r="AD41" s="247">
        <f>IF(C41="Gutschrift","",IF(G41="","",IF(Besatzung!$B$19="","",IFERROR(IF(I41="Zeitanteilig",(Besatzung!$G$19*(G41-IFERROR(H41,0))+((Besatzung!$B$19&lt;&gt;"")*IF(B41="",1,(IF(Besatzung!$C$19="",Besatzung!$B$5,Besatzung!$C$19)&lt;=B41)*(IF(Besatzung!$D$19="",Besatzung!$B$6,Besatzung!$D$19)&gt;=B41)))*(Besatzung!$F$19="x")*IFERROR(H41,0)/IFERROR(SUMPRODUCT((Besatzung!$B$11:$B$22&lt;&gt;"")*(Besatzung!$F$11:$F$22="x")*(IF(Besatzung!$C$11:$C$22="",Besatzung!$B$5,Besatzung!$C$11:$C$22)&lt;=B41)*(IF(Besatzung!$D$11:$D$22="",Besatzung!$B$6,Besatzung!$D$11:$D$22)&gt;=B41)),1)),IF(I41="An Bord",(((Besatzung!$B$19&lt;&gt;"")*IF(B41="",1,(IF(Besatzung!$C$19="",Besatzung!$B$5,Besatzung!$C$19)&lt;=B41)*(IF(Besatzung!$D$19="",Besatzung!$B$6,Besatzung!$D$19)&gt;=B41)))*((G41-IFERROR(H41,0))/IFERROR(SUMPRODUCT((Besatzung!$B$11:$B$22&lt;&gt;"")*(IF(Besatzung!$C$11:$C$22="",Besatzung!$B$5,Besatzung!$C$11:$C$22)&lt;=B41)*(IF(Besatzung!$D$11:$D$22="",Besatzung!$B$6,Besatzung!$D$11:$D$22)&gt;=B41)),1)+(Besatzung!$F$19="x")*IFERROR(H41,0)/IFERROR(SUMPRODUCT((Besatzung!$B$11:$B$22&lt;&gt;"")*(Besatzung!$F$11:$F$22="x")*(IF(Besatzung!$C$11:$C$22="",Besatzung!$B$5,Besatzung!$C$11:$C$22)&lt;=B41)*(IF(Besatzung!$D$11:$D$22="",Besatzung!$B$6,Besatzung!$D$11:$D$22)&gt;=B41)),1))),IF(I41="Individuell",((R41="x")*((G41-IFERROR(H41,0))/IFERROR(COUNTIF(J41:U41,"x"),1)+(Besatzung!$F$19="x")*IFERROR(H41,0)/IFERROR(SUMPRODUCT((J41:U41="x")*(Besatzung!$F$11:$F$22="x")),1))),(IF(COUNTIF(J41:U41,"x")=0,IF(Besatzung!$B$19&lt;&gt;"",1,0),(R41="x"))*(G41-IFERROR(H41,0))/IFERROR(IF(COUNTIF(J41:U41,"x")=0,COUNTA(Besatzung!$B$11:$B$22),COUNTIF(J41:U41,"x")),1)+IF(COUNTIF(J41:U41,"x")=0,(Besatzung!$F$19="x"),(R41="x")*(Besatzung!$F$19="x"))*IFERROR(H41,0)/IFERROR(IF(COUNTIF(J41:U41,"x")=0,SUMPRODUCT((Besatzung!$B$11:$B$22&lt;&gt;"")*(Besatzung!$F$11:$F$22="x")),SUMPRODUCT((J41:U41="x")*(Besatzung!$F$11:$F$22="x"))),1))))),0))))</f>
        <v/>
      </c>
      <c r="AE41" s="247">
        <f>IF(C41="Gutschrift","",IF(G41="","",IF(Besatzung!$B$20="","",IFERROR(IF(I41="Zeitanteilig",(Besatzung!$G$20*(G41-IFERROR(H41,0))+((Besatzung!$B$20&lt;&gt;"")*IF(B41="",1,(IF(Besatzung!$C$20="",Besatzung!$B$5,Besatzung!$C$20)&lt;=B41)*(IF(Besatzung!$D$20="",Besatzung!$B$6,Besatzung!$D$20)&gt;=B41)))*(Besatzung!$F$20="x")*IFERROR(H41,0)/IFERROR(SUMPRODUCT((Besatzung!$B$11:$B$22&lt;&gt;"")*(Besatzung!$F$11:$F$22="x")*(IF(Besatzung!$C$11:$C$22="",Besatzung!$B$5,Besatzung!$C$11:$C$22)&lt;=B41)*(IF(Besatzung!$D$11:$D$22="",Besatzung!$B$6,Besatzung!$D$11:$D$22)&gt;=B41)),1)),IF(I41="An Bord",(((Besatzung!$B$20&lt;&gt;"")*IF(B41="",1,(IF(Besatzung!$C$20="",Besatzung!$B$5,Besatzung!$C$20)&lt;=B41)*(IF(Besatzung!$D$20="",Besatzung!$B$6,Besatzung!$D$20)&gt;=B41)))*((G41-IFERROR(H41,0))/IFERROR(SUMPRODUCT((Besatzung!$B$11:$B$22&lt;&gt;"")*(IF(Besatzung!$C$11:$C$22="",Besatzung!$B$5,Besatzung!$C$11:$C$22)&lt;=B41)*(IF(Besatzung!$D$11:$D$22="",Besatzung!$B$6,Besatzung!$D$11:$D$22)&gt;=B41)),1)+(Besatzung!$F$20="x")*IFERROR(H41,0)/IFERROR(SUMPRODUCT((Besatzung!$B$11:$B$22&lt;&gt;"")*(Besatzung!$F$11:$F$22="x")*(IF(Besatzung!$C$11:$C$22="",Besatzung!$B$5,Besatzung!$C$11:$C$22)&lt;=B41)*(IF(Besatzung!$D$11:$D$22="",Besatzung!$B$6,Besatzung!$D$11:$D$22)&gt;=B41)),1))),IF(I41="Individuell",((S41="x")*((G41-IFERROR(H41,0))/IFERROR(COUNTIF(J41:U41,"x"),1)+(Besatzung!$F$20="x")*IFERROR(H41,0)/IFERROR(SUMPRODUCT((J41:U41="x")*(Besatzung!$F$11:$F$22="x")),1))),(IF(COUNTIF(J41:U41,"x")=0,IF(Besatzung!$B$20&lt;&gt;"",1,0),(S41="x"))*(G41-IFERROR(H41,0))/IFERROR(IF(COUNTIF(J41:U41,"x")=0,COUNTA(Besatzung!$B$11:$B$22),COUNTIF(J41:U41,"x")),1)+IF(COUNTIF(J41:U41,"x")=0,(Besatzung!$F$20="x"),(S41="x")*(Besatzung!$F$20="x"))*IFERROR(H41,0)/IFERROR(IF(COUNTIF(J41:U41,"x")=0,SUMPRODUCT((Besatzung!$B$11:$B$22&lt;&gt;"")*(Besatzung!$F$11:$F$22="x")),SUMPRODUCT((J41:U41="x")*(Besatzung!$F$11:$F$22="x"))),1))))),0))))</f>
        <v/>
      </c>
      <c r="AF41" s="247">
        <f>IF(C41="Gutschrift","",IF(G41="","",IF(Besatzung!$B$21="","",IFERROR(IF(I41="Zeitanteilig",(Besatzung!$G$21*(G41-IFERROR(H41,0))+((Besatzung!$B$21&lt;&gt;"")*IF(B41="",1,(IF(Besatzung!$C$21="",Besatzung!$B$5,Besatzung!$C$21)&lt;=B41)*(IF(Besatzung!$D$21="",Besatzung!$B$6,Besatzung!$D$21)&gt;=B41)))*(Besatzung!$F$21="x")*IFERROR(H41,0)/IFERROR(SUMPRODUCT((Besatzung!$B$11:$B$22&lt;&gt;"")*(Besatzung!$F$11:$F$22="x")*(IF(Besatzung!$C$11:$C$22="",Besatzung!$B$5,Besatzung!$C$11:$C$22)&lt;=B41)*(IF(Besatzung!$D$11:$D$22="",Besatzung!$B$6,Besatzung!$D$11:$D$22)&gt;=B41)),1)),IF(I41="An Bord",(((Besatzung!$B$21&lt;&gt;"")*IF(B41="",1,(IF(Besatzung!$C$21="",Besatzung!$B$5,Besatzung!$C$21)&lt;=B41)*(IF(Besatzung!$D$21="",Besatzung!$B$6,Besatzung!$D$21)&gt;=B41)))*((G41-IFERROR(H41,0))/IFERROR(SUMPRODUCT((Besatzung!$B$11:$B$22&lt;&gt;"")*(IF(Besatzung!$C$11:$C$22="",Besatzung!$B$5,Besatzung!$C$11:$C$22)&lt;=B41)*(IF(Besatzung!$D$11:$D$22="",Besatzung!$B$6,Besatzung!$D$11:$D$22)&gt;=B41)),1)+(Besatzung!$F$21="x")*IFERROR(H41,0)/IFERROR(SUMPRODUCT((Besatzung!$B$11:$B$22&lt;&gt;"")*(Besatzung!$F$11:$F$22="x")*(IF(Besatzung!$C$11:$C$22="",Besatzung!$B$5,Besatzung!$C$11:$C$22)&lt;=B41)*(IF(Besatzung!$D$11:$D$22="",Besatzung!$B$6,Besatzung!$D$11:$D$22)&gt;=B41)),1))),IF(I41="Individuell",((T41="x")*((G41-IFERROR(H41,0))/IFERROR(COUNTIF(J41:U41,"x"),1)+(Besatzung!$F$21="x")*IFERROR(H41,0)/IFERROR(SUMPRODUCT((J41:U41="x")*(Besatzung!$F$11:$F$22="x")),1))),(IF(COUNTIF(J41:U41,"x")=0,IF(Besatzung!$B$21&lt;&gt;"",1,0),(T41="x"))*(G41-IFERROR(H41,0))/IFERROR(IF(COUNTIF(J41:U41,"x")=0,COUNTA(Besatzung!$B$11:$B$22),COUNTIF(J41:U41,"x")),1)+IF(COUNTIF(J41:U41,"x")=0,(Besatzung!$F$21="x"),(T41="x")*(Besatzung!$F$21="x"))*IFERROR(H41,0)/IFERROR(IF(COUNTIF(J41:U41,"x")=0,SUMPRODUCT((Besatzung!$B$11:$B$22&lt;&gt;"")*(Besatzung!$F$11:$F$22="x")),SUMPRODUCT((J41:U41="x")*(Besatzung!$F$11:$F$22="x"))),1))))),0))))</f>
        <v/>
      </c>
      <c r="AG41" s="247">
        <f>IF(C41="Gutschrift","",IF(G41="","",IF(Besatzung!$B$22="","",IFERROR(IF(I41="Zeitanteilig",(Besatzung!$G$22*(G41-IFERROR(H41,0))+((Besatzung!$B$22&lt;&gt;"")*IF(B41="",1,(IF(Besatzung!$C$22="",Besatzung!$B$5,Besatzung!$C$22)&lt;=B41)*(IF(Besatzung!$D$22="",Besatzung!$B$6,Besatzung!$D$22)&gt;=B41)))*(Besatzung!$F$22="x")*IFERROR(H41,0)/IFERROR(SUMPRODUCT((Besatzung!$B$11:$B$22&lt;&gt;"")*(Besatzung!$F$11:$F$22="x")*(IF(Besatzung!$C$11:$C$22="",Besatzung!$B$5,Besatzung!$C$11:$C$22)&lt;=B41)*(IF(Besatzung!$D$11:$D$22="",Besatzung!$B$6,Besatzung!$D$11:$D$22)&gt;=B41)),1)),IF(I41="An Bord",(((Besatzung!$B$22&lt;&gt;"")*IF(B41="",1,(IF(Besatzung!$C$22="",Besatzung!$B$5,Besatzung!$C$22)&lt;=B41)*(IF(Besatzung!$D$22="",Besatzung!$B$6,Besatzung!$D$22)&gt;=B41)))*((G41-IFERROR(H41,0))/IFERROR(SUMPRODUCT((Besatzung!$B$11:$B$22&lt;&gt;"")*(IF(Besatzung!$C$11:$C$22="",Besatzung!$B$5,Besatzung!$C$11:$C$22)&lt;=B41)*(IF(Besatzung!$D$11:$D$22="",Besatzung!$B$6,Besatzung!$D$11:$D$22)&gt;=B41)),1)+(Besatzung!$F$22="x")*IFERROR(H41,0)/IFERROR(SUMPRODUCT((Besatzung!$B$11:$B$22&lt;&gt;"")*(Besatzung!$F$11:$F$22="x")*(IF(Besatzung!$C$11:$C$22="",Besatzung!$B$5,Besatzung!$C$11:$C$22)&lt;=B41)*(IF(Besatzung!$D$11:$D$22="",Besatzung!$B$6,Besatzung!$D$11:$D$22)&gt;=B41)),1))),IF(I41="Individuell",((U41="x")*((G41-IFERROR(H41,0))/IFERROR(COUNTIF(J41:U41,"x"),1)+(Besatzung!$F$22="x")*IFERROR(H41,0)/IFERROR(SUMPRODUCT((J41:U41="x")*(Besatzung!$F$11:$F$22="x")),1))),(IF(COUNTIF(J41:U41,"x")=0,IF(Besatzung!$B$22&lt;&gt;"",1,0),(U41="x"))*(G41-IFERROR(H41,0))/IFERROR(IF(COUNTIF(J41:U41,"x")=0,COUNTA(Besatzung!$B$11:$B$22),COUNTIF(J41:U41,"x")),1)+IF(COUNTIF(J41:U41,"x")=0,(Besatzung!$F$22="x"),(U41="x")*(Besatzung!$F$22="x"))*IFERROR(H41,0)/IFERROR(IF(COUNTIF(J41:U41,"x")=0,SUMPRODUCT((Besatzung!$B$11:$B$22&lt;&gt;"")*(Besatzung!$F$11:$F$22="x")),SUMPRODUCT((J41:U41="x")*(Besatzung!$F$11:$F$22="x"))),1))))),0))))</f>
        <v/>
      </c>
      <c r="AH41" s="248" t="n"/>
      <c r="AI41" s="248" t="n"/>
    </row>
    <row r="42" ht="21.75" customHeight="1" s="154">
      <c r="A42" s="238">
        <f>IF(AND(D42="",C42=""),"",39)</f>
        <v/>
      </c>
      <c r="B42" s="199" t="n"/>
      <c r="C42" s="239" t="n"/>
      <c r="D42" s="240" t="n"/>
      <c r="E42" s="241" t="n"/>
      <c r="F42" s="242" t="n"/>
      <c r="G42" s="243" t="n"/>
      <c r="H42" s="244" t="n"/>
      <c r="I42" s="245" t="n"/>
      <c r="J42" s="246" t="n"/>
      <c r="K42" s="246" t="n"/>
      <c r="L42" s="246" t="n"/>
      <c r="M42" s="246" t="n"/>
      <c r="N42" s="246" t="n"/>
      <c r="O42" s="246" t="n"/>
      <c r="P42" s="246" t="n"/>
      <c r="Q42" s="246" t="n"/>
      <c r="R42" s="246" t="n"/>
      <c r="S42" s="246" t="n"/>
      <c r="T42" s="246" t="n"/>
      <c r="U42" s="246" t="n"/>
      <c r="V42" s="247">
        <f>IF(C42="Gutschrift","",IF(G42="","",IF(Besatzung!$B$11="","",IFERROR(IF(I42="Zeitanteilig",(Besatzung!$G$11*(G42-IFERROR(H42,0))+((Besatzung!$B$11&lt;&gt;"")*IF(B42="",1,(IF(Besatzung!$C$11="",Besatzung!$B$5,Besatzung!$C$11)&lt;=B42)*(IF(Besatzung!$D$11="",Besatzung!$B$6,Besatzung!$D$11)&gt;=B42)))*(Besatzung!$F$11="x")*IFERROR(H42,0)/IFERROR(SUMPRODUCT((Besatzung!$B$11:$B$22&lt;&gt;"")*(Besatzung!$F$11:$F$22="x")*(IF(Besatzung!$C$11:$C$22="",Besatzung!$B$5,Besatzung!$C$11:$C$22)&lt;=B42)*(IF(Besatzung!$D$11:$D$22="",Besatzung!$B$6,Besatzung!$D$11:$D$22)&gt;=B42)),1)),IF(I42="An Bord",(((Besatzung!$B$11&lt;&gt;"")*IF(B42="",1,(IF(Besatzung!$C$11="",Besatzung!$B$5,Besatzung!$C$11)&lt;=B42)*(IF(Besatzung!$D$11="",Besatzung!$B$6,Besatzung!$D$11)&gt;=B42)))*((G42-IFERROR(H42,0))/IFERROR(SUMPRODUCT((Besatzung!$B$11:$B$22&lt;&gt;"")*(IF(Besatzung!$C$11:$C$22="",Besatzung!$B$5,Besatzung!$C$11:$C$22)&lt;=B42)*(IF(Besatzung!$D$11:$D$22="",Besatzung!$B$6,Besatzung!$D$11:$D$22)&gt;=B42)),1)+(Besatzung!$F$11="x")*IFERROR(H42,0)/IFERROR(SUMPRODUCT((Besatzung!$B$11:$B$22&lt;&gt;"")*(Besatzung!$F$11:$F$22="x")*(IF(Besatzung!$C$11:$C$22="",Besatzung!$B$5,Besatzung!$C$11:$C$22)&lt;=B42)*(IF(Besatzung!$D$11:$D$22="",Besatzung!$B$6,Besatzung!$D$11:$D$22)&gt;=B42)),1))),IF(I42="Individuell",((J42="x")*((G42-IFERROR(H42,0))/IFERROR(COUNTIF(J42:U42,"x"),1)+(Besatzung!$F$11="x")*IFERROR(H42,0)/IFERROR(SUMPRODUCT((J42:U42="x")*(Besatzung!$F$11:$F$22="x")),1))),(IF(COUNTIF(J42:U42,"x")=0,IF(Besatzung!$B$11&lt;&gt;"",1,0),(J42="x"))*(G42-IFERROR(H42,0))/IFERROR(IF(COUNTIF(J42:U42,"x")=0,COUNTA(Besatzung!$B$11:$B$22),COUNTIF(J42:U42,"x")),1)+IF(COUNTIF(J42:U42,"x")=0,(Besatzung!$F$11="x"),(J42="x")*(Besatzung!$F$11="x"))*IFERROR(H42,0)/IFERROR(IF(COUNTIF(J42:U42,"x")=0,SUMPRODUCT((Besatzung!$B$11:$B$22&lt;&gt;"")*(Besatzung!$F$11:$F$22="x")),SUMPRODUCT((J42:U42="x")*(Besatzung!$F$11:$F$22="x"))),1))))),0))))</f>
        <v/>
      </c>
      <c r="W42" s="247">
        <f>IF(C42="Gutschrift","",IF(G42="","",IF(Besatzung!$B$12="","",IFERROR(IF(I42="Zeitanteilig",(Besatzung!$G$12*(G42-IFERROR(H42,0))+((Besatzung!$B$12&lt;&gt;"")*IF(B42="",1,(IF(Besatzung!$C$12="",Besatzung!$B$5,Besatzung!$C$12)&lt;=B42)*(IF(Besatzung!$D$12="",Besatzung!$B$6,Besatzung!$D$12)&gt;=B42)))*(Besatzung!$F$12="x")*IFERROR(H42,0)/IFERROR(SUMPRODUCT((Besatzung!$B$11:$B$22&lt;&gt;"")*(Besatzung!$F$11:$F$22="x")*(IF(Besatzung!$C$11:$C$22="",Besatzung!$B$5,Besatzung!$C$11:$C$22)&lt;=B42)*(IF(Besatzung!$D$11:$D$22="",Besatzung!$B$6,Besatzung!$D$11:$D$22)&gt;=B42)),1)),IF(I42="An Bord",(((Besatzung!$B$12&lt;&gt;"")*IF(B42="",1,(IF(Besatzung!$C$12="",Besatzung!$B$5,Besatzung!$C$12)&lt;=B42)*(IF(Besatzung!$D$12="",Besatzung!$B$6,Besatzung!$D$12)&gt;=B42)))*((G42-IFERROR(H42,0))/IFERROR(SUMPRODUCT((Besatzung!$B$11:$B$22&lt;&gt;"")*(IF(Besatzung!$C$11:$C$22="",Besatzung!$B$5,Besatzung!$C$11:$C$22)&lt;=B42)*(IF(Besatzung!$D$11:$D$22="",Besatzung!$B$6,Besatzung!$D$11:$D$22)&gt;=B42)),1)+(Besatzung!$F$12="x")*IFERROR(H42,0)/IFERROR(SUMPRODUCT((Besatzung!$B$11:$B$22&lt;&gt;"")*(Besatzung!$F$11:$F$22="x")*(IF(Besatzung!$C$11:$C$22="",Besatzung!$B$5,Besatzung!$C$11:$C$22)&lt;=B42)*(IF(Besatzung!$D$11:$D$22="",Besatzung!$B$6,Besatzung!$D$11:$D$22)&gt;=B42)),1))),IF(I42="Individuell",((K42="x")*((G42-IFERROR(H42,0))/IFERROR(COUNTIF(J42:U42,"x"),1)+(Besatzung!$F$12="x")*IFERROR(H42,0)/IFERROR(SUMPRODUCT((J42:U42="x")*(Besatzung!$F$11:$F$22="x")),1))),(IF(COUNTIF(J42:U42,"x")=0,IF(Besatzung!$B$12&lt;&gt;"",1,0),(K42="x"))*(G42-IFERROR(H42,0))/IFERROR(IF(COUNTIF(J42:U42,"x")=0,COUNTA(Besatzung!$B$11:$B$22),COUNTIF(J42:U42,"x")),1)+IF(COUNTIF(J42:U42,"x")=0,(Besatzung!$F$12="x"),(K42="x")*(Besatzung!$F$12="x"))*IFERROR(H42,0)/IFERROR(IF(COUNTIF(J42:U42,"x")=0,SUMPRODUCT((Besatzung!$B$11:$B$22&lt;&gt;"")*(Besatzung!$F$11:$F$22="x")),SUMPRODUCT((J42:U42="x")*(Besatzung!$F$11:$F$22="x"))),1))))),0))))</f>
        <v/>
      </c>
      <c r="X42" s="247">
        <f>IF(C42="Gutschrift","",IF(G42="","",IF(Besatzung!$B$13="","",IFERROR(IF(I42="Zeitanteilig",(Besatzung!$G$13*(G42-IFERROR(H42,0))+((Besatzung!$B$13&lt;&gt;"")*IF(B42="",1,(IF(Besatzung!$C$13="",Besatzung!$B$5,Besatzung!$C$13)&lt;=B42)*(IF(Besatzung!$D$13="",Besatzung!$B$6,Besatzung!$D$13)&gt;=B42)))*(Besatzung!$F$13="x")*IFERROR(H42,0)/IFERROR(SUMPRODUCT((Besatzung!$B$11:$B$22&lt;&gt;"")*(Besatzung!$F$11:$F$22="x")*(IF(Besatzung!$C$11:$C$22="",Besatzung!$B$5,Besatzung!$C$11:$C$22)&lt;=B42)*(IF(Besatzung!$D$11:$D$22="",Besatzung!$B$6,Besatzung!$D$11:$D$22)&gt;=B42)),1)),IF(I42="An Bord",(((Besatzung!$B$13&lt;&gt;"")*IF(B42="",1,(IF(Besatzung!$C$13="",Besatzung!$B$5,Besatzung!$C$13)&lt;=B42)*(IF(Besatzung!$D$13="",Besatzung!$B$6,Besatzung!$D$13)&gt;=B42)))*((G42-IFERROR(H42,0))/IFERROR(SUMPRODUCT((Besatzung!$B$11:$B$22&lt;&gt;"")*(IF(Besatzung!$C$11:$C$22="",Besatzung!$B$5,Besatzung!$C$11:$C$22)&lt;=B42)*(IF(Besatzung!$D$11:$D$22="",Besatzung!$B$6,Besatzung!$D$11:$D$22)&gt;=B42)),1)+(Besatzung!$F$13="x")*IFERROR(H42,0)/IFERROR(SUMPRODUCT((Besatzung!$B$11:$B$22&lt;&gt;"")*(Besatzung!$F$11:$F$22="x")*(IF(Besatzung!$C$11:$C$22="",Besatzung!$B$5,Besatzung!$C$11:$C$22)&lt;=B42)*(IF(Besatzung!$D$11:$D$22="",Besatzung!$B$6,Besatzung!$D$11:$D$22)&gt;=B42)),1))),IF(I42="Individuell",((K42="x")*((G42-IFERROR(H42,0))/IFERROR(COUNTIF(J42:U42,"x"),1)+(Besatzung!$F$13="x")*IFERROR(H42,0)/IFERROR(SUMPRODUCT((J42:U42="x")*(Besatzung!$F$11:$F$22="x")),1))),(IF(COUNTIF(J42:U42,"x")=0,IF(Besatzung!$B$13&lt;&gt;"",1,0),(K42="x"))*(G42-IFERROR(H42,0))/IFERROR(IF(COUNTIF(J42:U42,"x")=0,COUNTA(Besatzung!$B$11:$B$22),COUNTIF(J42:U42,"x")),1)+IF(COUNTIF(J42:U42,"x")=0,(Besatzung!$F$13="x"),(K42="x")*(Besatzung!$F$13="x"))*IFERROR(H42,0)/IFERROR(IF(COUNTIF(J42:U42,"x")=0,SUMPRODUCT((Besatzung!$B$11:$B$22&lt;&gt;"")*(Besatzung!$F$11:$F$22="x")),SUMPRODUCT((J42:U42="x")*(Besatzung!$F$11:$F$22="x"))),1))))),0))))</f>
        <v/>
      </c>
      <c r="Y42" s="247">
        <f>IF(C42="Gutschrift","",IF(G42="","",IF(Besatzung!$B$14="","",IFERROR(IF(I42="Zeitanteilig",(Besatzung!$G$14*(G42-IFERROR(H42,0))+((Besatzung!$B$14&lt;&gt;"")*IF(B42="",1,(IF(Besatzung!$C$14="",Besatzung!$B$5,Besatzung!$C$14)&lt;=B42)*(IF(Besatzung!$D$14="",Besatzung!$B$6,Besatzung!$D$14)&gt;=B42)))*(Besatzung!$F$14="x")*IFERROR(H42,0)/IFERROR(SUMPRODUCT((Besatzung!$B$11:$B$22&lt;&gt;"")*(Besatzung!$F$11:$F$22="x")*(IF(Besatzung!$C$11:$C$22="",Besatzung!$B$5,Besatzung!$C$11:$C$22)&lt;=B42)*(IF(Besatzung!$D$11:$D$22="",Besatzung!$B$6,Besatzung!$D$11:$D$22)&gt;=B42)),1)),IF(I42="An Bord",(((Besatzung!$B$14&lt;&gt;"")*IF(B42="",1,(IF(Besatzung!$C$14="",Besatzung!$B$5,Besatzung!$C$14)&lt;=B42)*(IF(Besatzung!$D$14="",Besatzung!$B$6,Besatzung!$D$14)&gt;=B42)))*((G42-IFERROR(H42,0))/IFERROR(SUMPRODUCT((Besatzung!$B$11:$B$22&lt;&gt;"")*(IF(Besatzung!$C$11:$C$22="",Besatzung!$B$5,Besatzung!$C$11:$C$22)&lt;=B42)*(IF(Besatzung!$D$11:$D$22="",Besatzung!$B$6,Besatzung!$D$11:$D$22)&gt;=B42)),1)+(Besatzung!$F$14="x")*IFERROR(H42,0)/IFERROR(SUMPRODUCT((Besatzung!$B$11:$B$22&lt;&gt;"")*(Besatzung!$F$11:$F$22="x")*(IF(Besatzung!$C$11:$C$22="",Besatzung!$B$5,Besatzung!$C$11:$C$22)&lt;=B42)*(IF(Besatzung!$D$11:$D$22="",Besatzung!$B$6,Besatzung!$D$11:$D$22)&gt;=B42)),1))),IF(I42="Individuell",((M42="x")*((G42-IFERROR(H42,0))/IFERROR(COUNTIF(J42:U42,"x"),1)+(Besatzung!$F$14="x")*IFERROR(H42,0)/IFERROR(SUMPRODUCT((J42:U42="x")*(Besatzung!$F$11:$F$22="x")),1))),(IF(COUNTIF(J42:U42,"x")=0,IF(Besatzung!$B$14&lt;&gt;"",1,0),(M42="x"))*(G42-IFERROR(H42,0))/IFERROR(IF(COUNTIF(J42:U42,"x")=0,COUNTA(Besatzung!$B$11:$B$22),COUNTIF(J42:U42,"x")),1)+IF(COUNTIF(J42:U42,"x")=0,(Besatzung!$F$14="x"),(M42="x")*(Besatzung!$F$14="x"))*IFERROR(H42,0)/IFERROR(IF(COUNTIF(J42:U42,"x")=0,SUMPRODUCT((Besatzung!$B$11:$B$22&lt;&gt;"")*(Besatzung!$F$11:$F$22="x")),SUMPRODUCT((J42:U42="x")*(Besatzung!$F$11:$F$22="x"))),1))))),0))))</f>
        <v/>
      </c>
      <c r="Z42" s="247">
        <f>IF(C42="Gutschrift","",IF(G42="","",IF(Besatzung!$B$13="","",IFERROR(IF(I42="Zeitanteilig",(Besatzung!$G$15*(G42-IFERROR(H42,0))+((Besatzung!$B$13&lt;&gt;"")*IF(B42="",1,(IF(Besatzung!$C$15="",Besatzung!$B$5,Besatzung!$C$15)&lt;=B42)*(IF(Besatzung!$D$15="",Besatzung!$B$6,Besatzung!$D$15)&gt;=B42)))*(Besatzung!$F$15="x")*IFERROR(H42,0)/IFERROR(SUMPRODUCT((Besatzung!$B$11:$B$22&lt;&gt;"")*(Besatzung!$F$11:$F$22="x")*(IF(Besatzung!$C$11:$C$22="",Besatzung!$B$5,Besatzung!$C$11:$C$22)&lt;=B42)*(IF(Besatzung!$D$11:$D$22="",Besatzung!$B$6,Besatzung!$D$11:$D$22)&gt;=B42)),1)),IF(I42="An Bord",(((Besatzung!$B$13&lt;&gt;"")*IF(B42="",1,(IF(Besatzung!$C$15="",Besatzung!$B$5,Besatzung!$C$15)&lt;=B42)*(IF(Besatzung!$D$15="",Besatzung!$B$6,Besatzung!$D$15)&gt;=B42)))*((G42-IFERROR(H42,0))/IFERROR(SUMPRODUCT((Besatzung!$B$11:$B$22&lt;&gt;"")*(IF(Besatzung!$C$11:$C$22="",Besatzung!$B$5,Besatzung!$C$11:$C$22)&lt;=B42)*(IF(Besatzung!$D$11:$D$22="",Besatzung!$B$6,Besatzung!$D$11:$D$22)&gt;=B42)),1)+(Besatzung!$F$15="x")*IFERROR(H42,0)/IFERROR(SUMPRODUCT((Besatzung!$B$11:$B$22&lt;&gt;"")*(Besatzung!$F$11:$F$22="x")*(IF(Besatzung!$C$11:$C$22="",Besatzung!$B$5,Besatzung!$C$11:$C$22)&lt;=B42)*(IF(Besatzung!$D$11:$D$22="",Besatzung!$B$6,Besatzung!$D$11:$D$22)&gt;=B42)),1))),IF(I42="Individuell",((N42="x")*((G42-IFERROR(H42,0))/IFERROR(COUNTIF(J42:U42,"x"),1)+(Besatzung!$F$15="x")*IFERROR(H42,0)/IFERROR(SUMPRODUCT((J42:U42="x")*(Besatzung!$F$11:$F$22="x")),1))),(IF(COUNTIF(J42:U42,"x")=0,IF(Besatzung!$B$13&lt;&gt;"",1,0),(N42="x"))*(G42-IFERROR(H42,0))/IFERROR(IF(COUNTIF(J42:U42,"x")=0,COUNTA(Besatzung!$B$11:$B$22),COUNTIF(J42:U42,"x")),1)+IF(COUNTIF(J42:U42,"x")=0,(Besatzung!$F$15="x"),(N42="x")*(Besatzung!$F$15="x"))*IFERROR(H42,0)/IFERROR(IF(COUNTIF(J42:U42,"x")=0,SUMPRODUCT((Besatzung!$B$11:$B$22&lt;&gt;"")*(Besatzung!$F$11:$F$22="x")),SUMPRODUCT((J42:U42="x")*(Besatzung!$F$11:$F$22="x"))),1))))),0))))</f>
        <v/>
      </c>
      <c r="AA42" s="247">
        <f>IF(C42="Gutschrift","",IF(G42="","",IF(Besatzung!$B$15="","",IFERROR(IF(I42="Zeitanteilig",(Besatzung!$G$16*(G42-IFERROR(H42,0))+((Besatzung!$B$15&lt;&gt;"")*IF(B42="",1,(IF(Besatzung!$C$16="",Besatzung!$B$5,Besatzung!$C$16)&lt;=B42)*(IF(Besatzung!$D$16="",Besatzung!$B$6,Besatzung!$D$16)&gt;=B42)))*(Besatzung!$F$16="x")*IFERROR(H42,0)/IFERROR(SUMPRODUCT((Besatzung!$B$11:$B$22&lt;&gt;"")*(Besatzung!$F$11:$F$22="x")*(IF(Besatzung!$C$11:$C$22="",Besatzung!$B$5,Besatzung!$C$11:$C$22)&lt;=B42)*(IF(Besatzung!$D$11:$D$22="",Besatzung!$B$6,Besatzung!$D$11:$D$22)&gt;=B42)),1)),IF(I42="An Bord",(((Besatzung!$B$15&lt;&gt;"")*IF(B42="",1,(IF(Besatzung!$C$16="",Besatzung!$B$5,Besatzung!$C$16)&lt;=B42)*(IF(Besatzung!$D$16="",Besatzung!$B$6,Besatzung!$D$16)&gt;=B42)))*((G42-IFERROR(H42,0))/IFERROR(SUMPRODUCT((Besatzung!$B$11:$B$22&lt;&gt;"")*(IF(Besatzung!$C$11:$C$22="",Besatzung!$B$5,Besatzung!$C$11:$C$22)&lt;=B42)*(IF(Besatzung!$D$11:$D$22="",Besatzung!$B$6,Besatzung!$D$11:$D$22)&gt;=B42)),1)+(Besatzung!$F$16="x")*IFERROR(H42,0)/IFERROR(SUMPRODUCT((Besatzung!$B$11:$B$22&lt;&gt;"")*(Besatzung!$F$11:$F$22="x")*(IF(Besatzung!$C$11:$C$22="",Besatzung!$B$5,Besatzung!$C$11:$C$22)&lt;=B42)*(IF(Besatzung!$D$11:$D$22="",Besatzung!$B$6,Besatzung!$D$11:$D$22)&gt;=B42)),1))),IF(I42="Individuell",((O42="x")*((G42-IFERROR(H42,0))/IFERROR(COUNTIF(J42:U42,"x"),1)+(Besatzung!$F$16="x")*IFERROR(H42,0)/IFERROR(SUMPRODUCT((J42:U42="x")*(Besatzung!$F$11:$F$22="x")),1))),(IF(COUNTIF(J42:U42,"x")=0,IF(Besatzung!$B$15&lt;&gt;"",1,0),(O42="x"))*(G42-IFERROR(H42,0))/IFERROR(IF(COUNTIF(J42:U42,"x")=0,COUNTA(Besatzung!$B$11:$B$22),COUNTIF(J42:U42,"x")),1)+IF(COUNTIF(J42:U42,"x")=0,(Besatzung!$F$16="x"),(O42="x")*(Besatzung!$F$16="x"))*IFERROR(H42,0)/IFERROR(IF(COUNTIF(J42:U42,"x")=0,SUMPRODUCT((Besatzung!$B$11:$B$22&lt;&gt;"")*(Besatzung!$F$11:$F$22="x")),SUMPRODUCT((J42:U42="x")*(Besatzung!$F$11:$F$22="x"))),1))))),0))))</f>
        <v/>
      </c>
      <c r="AB42" s="247">
        <f>IF(C42="Gutschrift","",IF(G42="","",IF(Besatzung!$B$17="","",IFERROR(IF(I42="Zeitanteilig",(Besatzung!$G$17*(G42-IFERROR(H42,0))+((Besatzung!$B$17&lt;&gt;"")*IF(B42="",1,(IF(Besatzung!$C$17="",Besatzung!$B$5,Besatzung!$C$17)&lt;=B42)*(IF(Besatzung!$D$17="",Besatzung!$B$6,Besatzung!$D$17)&gt;=B42)))*(Besatzung!$F$17="x")*IFERROR(H42,0)/IFERROR(SUMPRODUCT((Besatzung!$B$11:$B$22&lt;&gt;"")*(Besatzung!$F$11:$F$22="x")*(IF(Besatzung!$C$11:$C$22="",Besatzung!$B$5,Besatzung!$C$11:$C$22)&lt;=B42)*(IF(Besatzung!$D$11:$D$22="",Besatzung!$B$6,Besatzung!$D$11:$D$22)&gt;=B42)),1)),IF(I42="An Bord",(((Besatzung!$B$17&lt;&gt;"")*IF(B42="",1,(IF(Besatzung!$C$17="",Besatzung!$B$5,Besatzung!$C$17)&lt;=B42)*(IF(Besatzung!$D$17="",Besatzung!$B$6,Besatzung!$D$17)&gt;=B42)))*((G42-IFERROR(H42,0))/IFERROR(SUMPRODUCT((Besatzung!$B$11:$B$22&lt;&gt;"")*(IF(Besatzung!$C$11:$C$22="",Besatzung!$B$5,Besatzung!$C$11:$C$22)&lt;=B42)*(IF(Besatzung!$D$11:$D$22="",Besatzung!$B$6,Besatzung!$D$11:$D$22)&gt;=B42)),1)+(Besatzung!$F$17="x")*IFERROR(H42,0)/IFERROR(SUMPRODUCT((Besatzung!$B$11:$B$22&lt;&gt;"")*(Besatzung!$F$11:$F$22="x")*(IF(Besatzung!$C$11:$C$22="",Besatzung!$B$5,Besatzung!$C$11:$C$22)&lt;=B42)*(IF(Besatzung!$D$11:$D$22="",Besatzung!$B$6,Besatzung!$D$11:$D$22)&gt;=B42)),1))),IF(I42="Individuell",((P42="x")*((G42-IFERROR(H42,0))/IFERROR(COUNTIF(J42:U42,"x"),1)+(Besatzung!$F$17="x")*IFERROR(H42,0)/IFERROR(SUMPRODUCT((J42:U42="x")*(Besatzung!$F$11:$F$22="x")),1))),(IF(COUNTIF(J42:U42,"x")=0,IF(Besatzung!$B$17&lt;&gt;"",1,0),(P42="x"))*(G42-IFERROR(H42,0))/IFERROR(IF(COUNTIF(J42:U42,"x")=0,COUNTA(Besatzung!$B$11:$B$22),COUNTIF(J42:U42,"x")),1)+IF(COUNTIF(J42:U42,"x")=0,(Besatzung!$F$17="x"),(P42="x")*(Besatzung!$F$17="x"))*IFERROR(H42,0)/IFERROR(IF(COUNTIF(J42:U42,"x")=0,SUMPRODUCT((Besatzung!$B$11:$B$22&lt;&gt;"")*(Besatzung!$F$11:$F$22="x")),SUMPRODUCT((J42:U42="x")*(Besatzung!$F$11:$F$22="x"))),1))))),0))))</f>
        <v/>
      </c>
      <c r="AC42" s="247">
        <f>IF(C42="Gutschrift","",IF(G42="","",IF(Besatzung!$B$18="","",IFERROR(IF(I42="Zeitanteilig",(Besatzung!$G$18*(G42-IFERROR(H42,0))+((Besatzung!$B$18&lt;&gt;"")*IF(B42="",1,(IF(Besatzung!$C$18="",Besatzung!$B$5,Besatzung!$C$18)&lt;=B42)*(IF(Besatzung!$D$18="",Besatzung!$B$6,Besatzung!$D$18)&gt;=B42)))*(Besatzung!$F$18="x")*IFERROR(H42,0)/IFERROR(SUMPRODUCT((Besatzung!$B$11:$B$22&lt;&gt;"")*(Besatzung!$F$11:$F$22="x")*(IF(Besatzung!$C$11:$C$22="",Besatzung!$B$5,Besatzung!$C$11:$C$22)&lt;=B42)*(IF(Besatzung!$D$11:$D$22="",Besatzung!$B$6,Besatzung!$D$11:$D$22)&gt;=B42)),1)),IF(I42="An Bord",(((Besatzung!$B$18&lt;&gt;"")*IF(B42="",1,(IF(Besatzung!$C$18="",Besatzung!$B$5,Besatzung!$C$18)&lt;=B42)*(IF(Besatzung!$D$18="",Besatzung!$B$6,Besatzung!$D$18)&gt;=B42)))*((G42-IFERROR(H42,0))/IFERROR(SUMPRODUCT((Besatzung!$B$11:$B$22&lt;&gt;"")*(IF(Besatzung!$C$11:$C$22="",Besatzung!$B$5,Besatzung!$C$11:$C$22)&lt;=B42)*(IF(Besatzung!$D$11:$D$22="",Besatzung!$B$6,Besatzung!$D$11:$D$22)&gt;=B42)),1)+(Besatzung!$F$18="x")*IFERROR(H42,0)/IFERROR(SUMPRODUCT((Besatzung!$B$11:$B$22&lt;&gt;"")*(Besatzung!$F$11:$F$22="x")*(IF(Besatzung!$C$11:$C$22="",Besatzung!$B$5,Besatzung!$C$11:$C$22)&lt;=B42)*(IF(Besatzung!$D$11:$D$22="",Besatzung!$B$6,Besatzung!$D$11:$D$22)&gt;=B42)),1))),IF(I42="Individuell",((Q42="x")*((G42-IFERROR(H42,0))/IFERROR(COUNTIF(J42:U42,"x"),1)+(Besatzung!$F$18="x")*IFERROR(H42,0)/IFERROR(SUMPRODUCT((J42:U42="x")*(Besatzung!$F$11:$F$22="x")),1))),(IF(COUNTIF(J42:U42,"x")=0,IF(Besatzung!$B$18&lt;&gt;"",1,0),(Q42="x"))*(G42-IFERROR(H42,0))/IFERROR(IF(COUNTIF(J42:U42,"x")=0,COUNTA(Besatzung!$B$11:$B$22),COUNTIF(J42:U42,"x")),1)+IF(COUNTIF(J42:U42,"x")=0,(Besatzung!$F$18="x"),(Q42="x")*(Besatzung!$F$18="x"))*IFERROR(H42,0)/IFERROR(IF(COUNTIF(J42:U42,"x")=0,SUMPRODUCT((Besatzung!$B$11:$B$22&lt;&gt;"")*(Besatzung!$F$11:$F$22="x")),SUMPRODUCT((J42:U42="x")*(Besatzung!$F$11:$F$22="x"))),1))))),0))))</f>
        <v/>
      </c>
      <c r="AD42" s="247">
        <f>IF(C42="Gutschrift","",IF(G42="","",IF(Besatzung!$B$19="","",IFERROR(IF(I42="Zeitanteilig",(Besatzung!$G$19*(G42-IFERROR(H42,0))+((Besatzung!$B$19&lt;&gt;"")*IF(B42="",1,(IF(Besatzung!$C$19="",Besatzung!$B$5,Besatzung!$C$19)&lt;=B42)*(IF(Besatzung!$D$19="",Besatzung!$B$6,Besatzung!$D$19)&gt;=B42)))*(Besatzung!$F$19="x")*IFERROR(H42,0)/IFERROR(SUMPRODUCT((Besatzung!$B$11:$B$22&lt;&gt;"")*(Besatzung!$F$11:$F$22="x")*(IF(Besatzung!$C$11:$C$22="",Besatzung!$B$5,Besatzung!$C$11:$C$22)&lt;=B42)*(IF(Besatzung!$D$11:$D$22="",Besatzung!$B$6,Besatzung!$D$11:$D$22)&gt;=B42)),1)),IF(I42="An Bord",(((Besatzung!$B$19&lt;&gt;"")*IF(B42="",1,(IF(Besatzung!$C$19="",Besatzung!$B$5,Besatzung!$C$19)&lt;=B42)*(IF(Besatzung!$D$19="",Besatzung!$B$6,Besatzung!$D$19)&gt;=B42)))*((G42-IFERROR(H42,0))/IFERROR(SUMPRODUCT((Besatzung!$B$11:$B$22&lt;&gt;"")*(IF(Besatzung!$C$11:$C$22="",Besatzung!$B$5,Besatzung!$C$11:$C$22)&lt;=B42)*(IF(Besatzung!$D$11:$D$22="",Besatzung!$B$6,Besatzung!$D$11:$D$22)&gt;=B42)),1)+(Besatzung!$F$19="x")*IFERROR(H42,0)/IFERROR(SUMPRODUCT((Besatzung!$B$11:$B$22&lt;&gt;"")*(Besatzung!$F$11:$F$22="x")*(IF(Besatzung!$C$11:$C$22="",Besatzung!$B$5,Besatzung!$C$11:$C$22)&lt;=B42)*(IF(Besatzung!$D$11:$D$22="",Besatzung!$B$6,Besatzung!$D$11:$D$22)&gt;=B42)),1))),IF(I42="Individuell",((R42="x")*((G42-IFERROR(H42,0))/IFERROR(COUNTIF(J42:U42,"x"),1)+(Besatzung!$F$19="x")*IFERROR(H42,0)/IFERROR(SUMPRODUCT((J42:U42="x")*(Besatzung!$F$11:$F$22="x")),1))),(IF(COUNTIF(J42:U42,"x")=0,IF(Besatzung!$B$19&lt;&gt;"",1,0),(R42="x"))*(G42-IFERROR(H42,0))/IFERROR(IF(COUNTIF(J42:U42,"x")=0,COUNTA(Besatzung!$B$11:$B$22),COUNTIF(J42:U42,"x")),1)+IF(COUNTIF(J42:U42,"x")=0,(Besatzung!$F$19="x"),(R42="x")*(Besatzung!$F$19="x"))*IFERROR(H42,0)/IFERROR(IF(COUNTIF(J42:U42,"x")=0,SUMPRODUCT((Besatzung!$B$11:$B$22&lt;&gt;"")*(Besatzung!$F$11:$F$22="x")),SUMPRODUCT((J42:U42="x")*(Besatzung!$F$11:$F$22="x"))),1))))),0))))</f>
        <v/>
      </c>
      <c r="AE42" s="247">
        <f>IF(C42="Gutschrift","",IF(G42="","",IF(Besatzung!$B$20="","",IFERROR(IF(I42="Zeitanteilig",(Besatzung!$G$20*(G42-IFERROR(H42,0))+((Besatzung!$B$20&lt;&gt;"")*IF(B42="",1,(IF(Besatzung!$C$20="",Besatzung!$B$5,Besatzung!$C$20)&lt;=B42)*(IF(Besatzung!$D$20="",Besatzung!$B$6,Besatzung!$D$20)&gt;=B42)))*(Besatzung!$F$20="x")*IFERROR(H42,0)/IFERROR(SUMPRODUCT((Besatzung!$B$11:$B$22&lt;&gt;"")*(Besatzung!$F$11:$F$22="x")*(IF(Besatzung!$C$11:$C$22="",Besatzung!$B$5,Besatzung!$C$11:$C$22)&lt;=B42)*(IF(Besatzung!$D$11:$D$22="",Besatzung!$B$6,Besatzung!$D$11:$D$22)&gt;=B42)),1)),IF(I42="An Bord",(((Besatzung!$B$20&lt;&gt;"")*IF(B42="",1,(IF(Besatzung!$C$20="",Besatzung!$B$5,Besatzung!$C$20)&lt;=B42)*(IF(Besatzung!$D$20="",Besatzung!$B$6,Besatzung!$D$20)&gt;=B42)))*((G42-IFERROR(H42,0))/IFERROR(SUMPRODUCT((Besatzung!$B$11:$B$22&lt;&gt;"")*(IF(Besatzung!$C$11:$C$22="",Besatzung!$B$5,Besatzung!$C$11:$C$22)&lt;=B42)*(IF(Besatzung!$D$11:$D$22="",Besatzung!$B$6,Besatzung!$D$11:$D$22)&gt;=B42)),1)+(Besatzung!$F$20="x")*IFERROR(H42,0)/IFERROR(SUMPRODUCT((Besatzung!$B$11:$B$22&lt;&gt;"")*(Besatzung!$F$11:$F$22="x")*(IF(Besatzung!$C$11:$C$22="",Besatzung!$B$5,Besatzung!$C$11:$C$22)&lt;=B42)*(IF(Besatzung!$D$11:$D$22="",Besatzung!$B$6,Besatzung!$D$11:$D$22)&gt;=B42)),1))),IF(I42="Individuell",((S42="x")*((G42-IFERROR(H42,0))/IFERROR(COUNTIF(J42:U42,"x"),1)+(Besatzung!$F$20="x")*IFERROR(H42,0)/IFERROR(SUMPRODUCT((J42:U42="x")*(Besatzung!$F$11:$F$22="x")),1))),(IF(COUNTIF(J42:U42,"x")=0,IF(Besatzung!$B$20&lt;&gt;"",1,0),(S42="x"))*(G42-IFERROR(H42,0))/IFERROR(IF(COUNTIF(J42:U42,"x")=0,COUNTA(Besatzung!$B$11:$B$22),COUNTIF(J42:U42,"x")),1)+IF(COUNTIF(J42:U42,"x")=0,(Besatzung!$F$20="x"),(S42="x")*(Besatzung!$F$20="x"))*IFERROR(H42,0)/IFERROR(IF(COUNTIF(J42:U42,"x")=0,SUMPRODUCT((Besatzung!$B$11:$B$22&lt;&gt;"")*(Besatzung!$F$11:$F$22="x")),SUMPRODUCT((J42:U42="x")*(Besatzung!$F$11:$F$22="x"))),1))))),0))))</f>
        <v/>
      </c>
      <c r="AF42" s="247">
        <f>IF(C42="Gutschrift","",IF(G42="","",IF(Besatzung!$B$21="","",IFERROR(IF(I42="Zeitanteilig",(Besatzung!$G$21*(G42-IFERROR(H42,0))+((Besatzung!$B$21&lt;&gt;"")*IF(B42="",1,(IF(Besatzung!$C$21="",Besatzung!$B$5,Besatzung!$C$21)&lt;=B42)*(IF(Besatzung!$D$21="",Besatzung!$B$6,Besatzung!$D$21)&gt;=B42)))*(Besatzung!$F$21="x")*IFERROR(H42,0)/IFERROR(SUMPRODUCT((Besatzung!$B$11:$B$22&lt;&gt;"")*(Besatzung!$F$11:$F$22="x")*(IF(Besatzung!$C$11:$C$22="",Besatzung!$B$5,Besatzung!$C$11:$C$22)&lt;=B42)*(IF(Besatzung!$D$11:$D$22="",Besatzung!$B$6,Besatzung!$D$11:$D$22)&gt;=B42)),1)),IF(I42="An Bord",(((Besatzung!$B$21&lt;&gt;"")*IF(B42="",1,(IF(Besatzung!$C$21="",Besatzung!$B$5,Besatzung!$C$21)&lt;=B42)*(IF(Besatzung!$D$21="",Besatzung!$B$6,Besatzung!$D$21)&gt;=B42)))*((G42-IFERROR(H42,0))/IFERROR(SUMPRODUCT((Besatzung!$B$11:$B$22&lt;&gt;"")*(IF(Besatzung!$C$11:$C$22="",Besatzung!$B$5,Besatzung!$C$11:$C$22)&lt;=B42)*(IF(Besatzung!$D$11:$D$22="",Besatzung!$B$6,Besatzung!$D$11:$D$22)&gt;=B42)),1)+(Besatzung!$F$21="x")*IFERROR(H42,0)/IFERROR(SUMPRODUCT((Besatzung!$B$11:$B$22&lt;&gt;"")*(Besatzung!$F$11:$F$22="x")*(IF(Besatzung!$C$11:$C$22="",Besatzung!$B$5,Besatzung!$C$11:$C$22)&lt;=B42)*(IF(Besatzung!$D$11:$D$22="",Besatzung!$B$6,Besatzung!$D$11:$D$22)&gt;=B42)),1))),IF(I42="Individuell",((T42="x")*((G42-IFERROR(H42,0))/IFERROR(COUNTIF(J42:U42,"x"),1)+(Besatzung!$F$21="x")*IFERROR(H42,0)/IFERROR(SUMPRODUCT((J42:U42="x")*(Besatzung!$F$11:$F$22="x")),1))),(IF(COUNTIF(J42:U42,"x")=0,IF(Besatzung!$B$21&lt;&gt;"",1,0),(T42="x"))*(G42-IFERROR(H42,0))/IFERROR(IF(COUNTIF(J42:U42,"x")=0,COUNTA(Besatzung!$B$11:$B$22),COUNTIF(J42:U42,"x")),1)+IF(COUNTIF(J42:U42,"x")=0,(Besatzung!$F$21="x"),(T42="x")*(Besatzung!$F$21="x"))*IFERROR(H42,0)/IFERROR(IF(COUNTIF(J42:U42,"x")=0,SUMPRODUCT((Besatzung!$B$11:$B$22&lt;&gt;"")*(Besatzung!$F$11:$F$22="x")),SUMPRODUCT((J42:U42="x")*(Besatzung!$F$11:$F$22="x"))),1))))),0))))</f>
        <v/>
      </c>
      <c r="AG42" s="247">
        <f>IF(C42="Gutschrift","",IF(G42="","",IF(Besatzung!$B$22="","",IFERROR(IF(I42="Zeitanteilig",(Besatzung!$G$22*(G42-IFERROR(H42,0))+((Besatzung!$B$22&lt;&gt;"")*IF(B42="",1,(IF(Besatzung!$C$22="",Besatzung!$B$5,Besatzung!$C$22)&lt;=B42)*(IF(Besatzung!$D$22="",Besatzung!$B$6,Besatzung!$D$22)&gt;=B42)))*(Besatzung!$F$22="x")*IFERROR(H42,0)/IFERROR(SUMPRODUCT((Besatzung!$B$11:$B$22&lt;&gt;"")*(Besatzung!$F$11:$F$22="x")*(IF(Besatzung!$C$11:$C$22="",Besatzung!$B$5,Besatzung!$C$11:$C$22)&lt;=B42)*(IF(Besatzung!$D$11:$D$22="",Besatzung!$B$6,Besatzung!$D$11:$D$22)&gt;=B42)),1)),IF(I42="An Bord",(((Besatzung!$B$22&lt;&gt;"")*IF(B42="",1,(IF(Besatzung!$C$22="",Besatzung!$B$5,Besatzung!$C$22)&lt;=B42)*(IF(Besatzung!$D$22="",Besatzung!$B$6,Besatzung!$D$22)&gt;=B42)))*((G42-IFERROR(H42,0))/IFERROR(SUMPRODUCT((Besatzung!$B$11:$B$22&lt;&gt;"")*(IF(Besatzung!$C$11:$C$22="",Besatzung!$B$5,Besatzung!$C$11:$C$22)&lt;=B42)*(IF(Besatzung!$D$11:$D$22="",Besatzung!$B$6,Besatzung!$D$11:$D$22)&gt;=B42)),1)+(Besatzung!$F$22="x")*IFERROR(H42,0)/IFERROR(SUMPRODUCT((Besatzung!$B$11:$B$22&lt;&gt;"")*(Besatzung!$F$11:$F$22="x")*(IF(Besatzung!$C$11:$C$22="",Besatzung!$B$5,Besatzung!$C$11:$C$22)&lt;=B42)*(IF(Besatzung!$D$11:$D$22="",Besatzung!$B$6,Besatzung!$D$11:$D$22)&gt;=B42)),1))),IF(I42="Individuell",((U42="x")*((G42-IFERROR(H42,0))/IFERROR(COUNTIF(J42:U42,"x"),1)+(Besatzung!$F$22="x")*IFERROR(H42,0)/IFERROR(SUMPRODUCT((J42:U42="x")*(Besatzung!$F$11:$F$22="x")),1))),(IF(COUNTIF(J42:U42,"x")=0,IF(Besatzung!$B$22&lt;&gt;"",1,0),(U42="x"))*(G42-IFERROR(H42,0))/IFERROR(IF(COUNTIF(J42:U42,"x")=0,COUNTA(Besatzung!$B$11:$B$22),COUNTIF(J42:U42,"x")),1)+IF(COUNTIF(J42:U42,"x")=0,(Besatzung!$F$22="x"),(U42="x")*(Besatzung!$F$22="x"))*IFERROR(H42,0)/IFERROR(IF(COUNTIF(J42:U42,"x")=0,SUMPRODUCT((Besatzung!$B$11:$B$22&lt;&gt;"")*(Besatzung!$F$11:$F$22="x")),SUMPRODUCT((J42:U42="x")*(Besatzung!$F$11:$F$22="x"))),1))))),0))))</f>
        <v/>
      </c>
      <c r="AH42" s="248" t="n"/>
      <c r="AI42" s="248" t="n"/>
    </row>
    <row r="43" ht="21.75" customHeight="1" s="154">
      <c r="A43" s="238">
        <f>IF(AND(D43="",C43=""),"",40)</f>
        <v/>
      </c>
      <c r="B43" s="206" t="n"/>
      <c r="C43" s="249" t="n"/>
      <c r="D43" s="250" t="n"/>
      <c r="E43" s="251" t="n"/>
      <c r="F43" s="252" t="n"/>
      <c r="G43" s="253" t="n"/>
      <c r="H43" s="254" t="n"/>
      <c r="I43" s="255" t="n"/>
      <c r="J43" s="256" t="n"/>
      <c r="K43" s="256" t="n"/>
      <c r="L43" s="256" t="n"/>
      <c r="M43" s="256" t="n"/>
      <c r="N43" s="256" t="n"/>
      <c r="O43" s="256" t="n"/>
      <c r="P43" s="256" t="n"/>
      <c r="Q43" s="256" t="n"/>
      <c r="R43" s="256" t="n"/>
      <c r="S43" s="256" t="n"/>
      <c r="T43" s="256" t="n"/>
      <c r="U43" s="256" t="n"/>
      <c r="V43" s="247">
        <f>IF(C43="Gutschrift","",IF(G43="","",IF(Besatzung!$B$11="","",IFERROR(IF(I43="Zeitanteilig",(Besatzung!$G$11*(G43-IFERROR(H43,0))+((Besatzung!$B$11&lt;&gt;"")*IF(B43="",1,(IF(Besatzung!$C$11="",Besatzung!$B$5,Besatzung!$C$11)&lt;=B43)*(IF(Besatzung!$D$11="",Besatzung!$B$6,Besatzung!$D$11)&gt;=B43)))*(Besatzung!$F$11="x")*IFERROR(H43,0)/IFERROR(SUMPRODUCT((Besatzung!$B$11:$B$22&lt;&gt;"")*(Besatzung!$F$11:$F$22="x")*(IF(Besatzung!$C$11:$C$22="",Besatzung!$B$5,Besatzung!$C$11:$C$22)&lt;=B43)*(IF(Besatzung!$D$11:$D$22="",Besatzung!$B$6,Besatzung!$D$11:$D$22)&gt;=B43)),1)),IF(I43="An Bord",(((Besatzung!$B$11&lt;&gt;"")*IF(B43="",1,(IF(Besatzung!$C$11="",Besatzung!$B$5,Besatzung!$C$11)&lt;=B43)*(IF(Besatzung!$D$11="",Besatzung!$B$6,Besatzung!$D$11)&gt;=B43)))*((G43-IFERROR(H43,0))/IFERROR(SUMPRODUCT((Besatzung!$B$11:$B$22&lt;&gt;"")*(IF(Besatzung!$C$11:$C$22="",Besatzung!$B$5,Besatzung!$C$11:$C$22)&lt;=B43)*(IF(Besatzung!$D$11:$D$22="",Besatzung!$B$6,Besatzung!$D$11:$D$22)&gt;=B43)),1)+(Besatzung!$F$11="x")*IFERROR(H43,0)/IFERROR(SUMPRODUCT((Besatzung!$B$11:$B$22&lt;&gt;"")*(Besatzung!$F$11:$F$22="x")*(IF(Besatzung!$C$11:$C$22="",Besatzung!$B$5,Besatzung!$C$11:$C$22)&lt;=B43)*(IF(Besatzung!$D$11:$D$22="",Besatzung!$B$6,Besatzung!$D$11:$D$22)&gt;=B43)),1))),IF(I43="Individuell",((J43="x")*((G43-IFERROR(H43,0))/IFERROR(COUNTIF(J43:U43,"x"),1)+(Besatzung!$F$11="x")*IFERROR(H43,0)/IFERROR(SUMPRODUCT((J43:U43="x")*(Besatzung!$F$11:$F$22="x")),1))),(IF(COUNTIF(J43:U43,"x")=0,IF(Besatzung!$B$11&lt;&gt;"",1,0),(J43="x"))*(G43-IFERROR(H43,0))/IFERROR(IF(COUNTIF(J43:U43,"x")=0,COUNTA(Besatzung!$B$11:$B$22),COUNTIF(J43:U43,"x")),1)+IF(COUNTIF(J43:U43,"x")=0,(Besatzung!$F$11="x"),(J43="x")*(Besatzung!$F$11="x"))*IFERROR(H43,0)/IFERROR(IF(COUNTIF(J43:U43,"x")=0,SUMPRODUCT((Besatzung!$B$11:$B$22&lt;&gt;"")*(Besatzung!$F$11:$F$22="x")),SUMPRODUCT((J43:U43="x")*(Besatzung!$F$11:$F$22="x"))),1))))),0))))</f>
        <v/>
      </c>
      <c r="W43" s="247">
        <f>IF(C43="Gutschrift","",IF(G43="","",IF(Besatzung!$B$12="","",IFERROR(IF(I43="Zeitanteilig",(Besatzung!$G$12*(G43-IFERROR(H43,0))+((Besatzung!$B$12&lt;&gt;"")*IF(B43="",1,(IF(Besatzung!$C$12="",Besatzung!$B$5,Besatzung!$C$12)&lt;=B43)*(IF(Besatzung!$D$12="",Besatzung!$B$6,Besatzung!$D$12)&gt;=B43)))*(Besatzung!$F$12="x")*IFERROR(H43,0)/IFERROR(SUMPRODUCT((Besatzung!$B$11:$B$22&lt;&gt;"")*(Besatzung!$F$11:$F$22="x")*(IF(Besatzung!$C$11:$C$22="",Besatzung!$B$5,Besatzung!$C$11:$C$22)&lt;=B43)*(IF(Besatzung!$D$11:$D$22="",Besatzung!$B$6,Besatzung!$D$11:$D$22)&gt;=B43)),1)),IF(I43="An Bord",(((Besatzung!$B$12&lt;&gt;"")*IF(B43="",1,(IF(Besatzung!$C$12="",Besatzung!$B$5,Besatzung!$C$12)&lt;=B43)*(IF(Besatzung!$D$12="",Besatzung!$B$6,Besatzung!$D$12)&gt;=B43)))*((G43-IFERROR(H43,0))/IFERROR(SUMPRODUCT((Besatzung!$B$11:$B$22&lt;&gt;"")*(IF(Besatzung!$C$11:$C$22="",Besatzung!$B$5,Besatzung!$C$11:$C$22)&lt;=B43)*(IF(Besatzung!$D$11:$D$22="",Besatzung!$B$6,Besatzung!$D$11:$D$22)&gt;=B43)),1)+(Besatzung!$F$12="x")*IFERROR(H43,0)/IFERROR(SUMPRODUCT((Besatzung!$B$11:$B$22&lt;&gt;"")*(Besatzung!$F$11:$F$22="x")*(IF(Besatzung!$C$11:$C$22="",Besatzung!$B$5,Besatzung!$C$11:$C$22)&lt;=B43)*(IF(Besatzung!$D$11:$D$22="",Besatzung!$B$6,Besatzung!$D$11:$D$22)&gt;=B43)),1))),IF(I43="Individuell",((K43="x")*((G43-IFERROR(H43,0))/IFERROR(COUNTIF(J43:U43,"x"),1)+(Besatzung!$F$12="x")*IFERROR(H43,0)/IFERROR(SUMPRODUCT((J43:U43="x")*(Besatzung!$F$11:$F$22="x")),1))),(IF(COUNTIF(J43:U43,"x")=0,IF(Besatzung!$B$12&lt;&gt;"",1,0),(K43="x"))*(G43-IFERROR(H43,0))/IFERROR(IF(COUNTIF(J43:U43,"x")=0,COUNTA(Besatzung!$B$11:$B$22),COUNTIF(J43:U43,"x")),1)+IF(COUNTIF(J43:U43,"x")=0,(Besatzung!$F$12="x"),(K43="x")*(Besatzung!$F$12="x"))*IFERROR(H43,0)/IFERROR(IF(COUNTIF(J43:U43,"x")=0,SUMPRODUCT((Besatzung!$B$11:$B$22&lt;&gt;"")*(Besatzung!$F$11:$F$22="x")),SUMPRODUCT((J43:U43="x")*(Besatzung!$F$11:$F$22="x"))),1))))),0))))</f>
        <v/>
      </c>
      <c r="X43" s="247">
        <f>IF(C43="Gutschrift","",IF(G43="","",IF(Besatzung!$B$13="","",IFERROR(IF(I43="Zeitanteilig",(Besatzung!$G$13*(G43-IFERROR(H43,0))+((Besatzung!$B$13&lt;&gt;"")*IF(B43="",1,(IF(Besatzung!$C$13="",Besatzung!$B$5,Besatzung!$C$13)&lt;=B43)*(IF(Besatzung!$D$13="",Besatzung!$B$6,Besatzung!$D$13)&gt;=B43)))*(Besatzung!$F$13="x")*IFERROR(H43,0)/IFERROR(SUMPRODUCT((Besatzung!$B$11:$B$22&lt;&gt;"")*(Besatzung!$F$11:$F$22="x")*(IF(Besatzung!$C$11:$C$22="",Besatzung!$B$5,Besatzung!$C$11:$C$22)&lt;=B43)*(IF(Besatzung!$D$11:$D$22="",Besatzung!$B$6,Besatzung!$D$11:$D$22)&gt;=B43)),1)),IF(I43="An Bord",(((Besatzung!$B$13&lt;&gt;"")*IF(B43="",1,(IF(Besatzung!$C$13="",Besatzung!$B$5,Besatzung!$C$13)&lt;=B43)*(IF(Besatzung!$D$13="",Besatzung!$B$6,Besatzung!$D$13)&gt;=B43)))*((G43-IFERROR(H43,0))/IFERROR(SUMPRODUCT((Besatzung!$B$11:$B$22&lt;&gt;"")*(IF(Besatzung!$C$11:$C$22="",Besatzung!$B$5,Besatzung!$C$11:$C$22)&lt;=B43)*(IF(Besatzung!$D$11:$D$22="",Besatzung!$B$6,Besatzung!$D$11:$D$22)&gt;=B43)),1)+(Besatzung!$F$13="x")*IFERROR(H43,0)/IFERROR(SUMPRODUCT((Besatzung!$B$11:$B$22&lt;&gt;"")*(Besatzung!$F$11:$F$22="x")*(IF(Besatzung!$C$11:$C$22="",Besatzung!$B$5,Besatzung!$C$11:$C$22)&lt;=B43)*(IF(Besatzung!$D$11:$D$22="",Besatzung!$B$6,Besatzung!$D$11:$D$22)&gt;=B43)),1))),IF(I43="Individuell",((K43="x")*((G43-IFERROR(H43,0))/IFERROR(COUNTIF(J43:U43,"x"),1)+(Besatzung!$F$13="x")*IFERROR(H43,0)/IFERROR(SUMPRODUCT((J43:U43="x")*(Besatzung!$F$11:$F$22="x")),1))),(IF(COUNTIF(J43:U43,"x")=0,IF(Besatzung!$B$13&lt;&gt;"",1,0),(K43="x"))*(G43-IFERROR(H43,0))/IFERROR(IF(COUNTIF(J43:U43,"x")=0,COUNTA(Besatzung!$B$11:$B$22),COUNTIF(J43:U43,"x")),1)+IF(COUNTIF(J43:U43,"x")=0,(Besatzung!$F$13="x"),(K43="x")*(Besatzung!$F$13="x"))*IFERROR(H43,0)/IFERROR(IF(COUNTIF(J43:U43,"x")=0,SUMPRODUCT((Besatzung!$B$11:$B$22&lt;&gt;"")*(Besatzung!$F$11:$F$22="x")),SUMPRODUCT((J43:U43="x")*(Besatzung!$F$11:$F$22="x"))),1))))),0))))</f>
        <v/>
      </c>
      <c r="Y43" s="247">
        <f>IF(C43="Gutschrift","",IF(G43="","",IF(Besatzung!$B$14="","",IFERROR(IF(I43="Zeitanteilig",(Besatzung!$G$14*(G43-IFERROR(H43,0))+((Besatzung!$B$14&lt;&gt;"")*IF(B43="",1,(IF(Besatzung!$C$14="",Besatzung!$B$5,Besatzung!$C$14)&lt;=B43)*(IF(Besatzung!$D$14="",Besatzung!$B$6,Besatzung!$D$14)&gt;=B43)))*(Besatzung!$F$14="x")*IFERROR(H43,0)/IFERROR(SUMPRODUCT((Besatzung!$B$11:$B$22&lt;&gt;"")*(Besatzung!$F$11:$F$22="x")*(IF(Besatzung!$C$11:$C$22="",Besatzung!$B$5,Besatzung!$C$11:$C$22)&lt;=B43)*(IF(Besatzung!$D$11:$D$22="",Besatzung!$B$6,Besatzung!$D$11:$D$22)&gt;=B43)),1)),IF(I43="An Bord",(((Besatzung!$B$14&lt;&gt;"")*IF(B43="",1,(IF(Besatzung!$C$14="",Besatzung!$B$5,Besatzung!$C$14)&lt;=B43)*(IF(Besatzung!$D$14="",Besatzung!$B$6,Besatzung!$D$14)&gt;=B43)))*((G43-IFERROR(H43,0))/IFERROR(SUMPRODUCT((Besatzung!$B$11:$B$22&lt;&gt;"")*(IF(Besatzung!$C$11:$C$22="",Besatzung!$B$5,Besatzung!$C$11:$C$22)&lt;=B43)*(IF(Besatzung!$D$11:$D$22="",Besatzung!$B$6,Besatzung!$D$11:$D$22)&gt;=B43)),1)+(Besatzung!$F$14="x")*IFERROR(H43,0)/IFERROR(SUMPRODUCT((Besatzung!$B$11:$B$22&lt;&gt;"")*(Besatzung!$F$11:$F$22="x")*(IF(Besatzung!$C$11:$C$22="",Besatzung!$B$5,Besatzung!$C$11:$C$22)&lt;=B43)*(IF(Besatzung!$D$11:$D$22="",Besatzung!$B$6,Besatzung!$D$11:$D$22)&gt;=B43)),1))),IF(I43="Individuell",((M43="x")*((G43-IFERROR(H43,0))/IFERROR(COUNTIF(J43:U43,"x"),1)+(Besatzung!$F$14="x")*IFERROR(H43,0)/IFERROR(SUMPRODUCT((J43:U43="x")*(Besatzung!$F$11:$F$22="x")),1))),(IF(COUNTIF(J43:U43,"x")=0,IF(Besatzung!$B$14&lt;&gt;"",1,0),(M43="x"))*(G43-IFERROR(H43,0))/IFERROR(IF(COUNTIF(J43:U43,"x")=0,COUNTA(Besatzung!$B$11:$B$22),COUNTIF(J43:U43,"x")),1)+IF(COUNTIF(J43:U43,"x")=0,(Besatzung!$F$14="x"),(M43="x")*(Besatzung!$F$14="x"))*IFERROR(H43,0)/IFERROR(IF(COUNTIF(J43:U43,"x")=0,SUMPRODUCT((Besatzung!$B$11:$B$22&lt;&gt;"")*(Besatzung!$F$11:$F$22="x")),SUMPRODUCT((J43:U43="x")*(Besatzung!$F$11:$F$22="x"))),1))))),0))))</f>
        <v/>
      </c>
      <c r="Z43" s="247">
        <f>IF(C43="Gutschrift","",IF(G43="","",IF(Besatzung!$B$13="","",IFERROR(IF(I43="Zeitanteilig",(Besatzung!$G$15*(G43-IFERROR(H43,0))+((Besatzung!$B$13&lt;&gt;"")*IF(B43="",1,(IF(Besatzung!$C$15="",Besatzung!$B$5,Besatzung!$C$15)&lt;=B43)*(IF(Besatzung!$D$15="",Besatzung!$B$6,Besatzung!$D$15)&gt;=B43)))*(Besatzung!$F$15="x")*IFERROR(H43,0)/IFERROR(SUMPRODUCT((Besatzung!$B$11:$B$22&lt;&gt;"")*(Besatzung!$F$11:$F$22="x")*(IF(Besatzung!$C$11:$C$22="",Besatzung!$B$5,Besatzung!$C$11:$C$22)&lt;=B43)*(IF(Besatzung!$D$11:$D$22="",Besatzung!$B$6,Besatzung!$D$11:$D$22)&gt;=B43)),1)),IF(I43="An Bord",(((Besatzung!$B$13&lt;&gt;"")*IF(B43="",1,(IF(Besatzung!$C$15="",Besatzung!$B$5,Besatzung!$C$15)&lt;=B43)*(IF(Besatzung!$D$15="",Besatzung!$B$6,Besatzung!$D$15)&gt;=B43)))*((G43-IFERROR(H43,0))/IFERROR(SUMPRODUCT((Besatzung!$B$11:$B$22&lt;&gt;"")*(IF(Besatzung!$C$11:$C$22="",Besatzung!$B$5,Besatzung!$C$11:$C$22)&lt;=B43)*(IF(Besatzung!$D$11:$D$22="",Besatzung!$B$6,Besatzung!$D$11:$D$22)&gt;=B43)),1)+(Besatzung!$F$15="x")*IFERROR(H43,0)/IFERROR(SUMPRODUCT((Besatzung!$B$11:$B$22&lt;&gt;"")*(Besatzung!$F$11:$F$22="x")*(IF(Besatzung!$C$11:$C$22="",Besatzung!$B$5,Besatzung!$C$11:$C$22)&lt;=B43)*(IF(Besatzung!$D$11:$D$22="",Besatzung!$B$6,Besatzung!$D$11:$D$22)&gt;=B43)),1))),IF(I43="Individuell",((N43="x")*((G43-IFERROR(H43,0))/IFERROR(COUNTIF(J43:U43,"x"),1)+(Besatzung!$F$15="x")*IFERROR(H43,0)/IFERROR(SUMPRODUCT((J43:U43="x")*(Besatzung!$F$11:$F$22="x")),1))),(IF(COUNTIF(J43:U43,"x")=0,IF(Besatzung!$B$13&lt;&gt;"",1,0),(N43="x"))*(G43-IFERROR(H43,0))/IFERROR(IF(COUNTIF(J43:U43,"x")=0,COUNTA(Besatzung!$B$11:$B$22),COUNTIF(J43:U43,"x")),1)+IF(COUNTIF(J43:U43,"x")=0,(Besatzung!$F$15="x"),(N43="x")*(Besatzung!$F$15="x"))*IFERROR(H43,0)/IFERROR(IF(COUNTIF(J43:U43,"x")=0,SUMPRODUCT((Besatzung!$B$11:$B$22&lt;&gt;"")*(Besatzung!$F$11:$F$22="x")),SUMPRODUCT((J43:U43="x")*(Besatzung!$F$11:$F$22="x"))),1))))),0))))</f>
        <v/>
      </c>
      <c r="AA43" s="247">
        <f>IF(C43="Gutschrift","",IF(G43="","",IF(Besatzung!$B$15="","",IFERROR(IF(I43="Zeitanteilig",(Besatzung!$G$16*(G43-IFERROR(H43,0))+((Besatzung!$B$15&lt;&gt;"")*IF(B43="",1,(IF(Besatzung!$C$16="",Besatzung!$B$5,Besatzung!$C$16)&lt;=B43)*(IF(Besatzung!$D$16="",Besatzung!$B$6,Besatzung!$D$16)&gt;=B43)))*(Besatzung!$F$16="x")*IFERROR(H43,0)/IFERROR(SUMPRODUCT((Besatzung!$B$11:$B$22&lt;&gt;"")*(Besatzung!$F$11:$F$22="x")*(IF(Besatzung!$C$11:$C$22="",Besatzung!$B$5,Besatzung!$C$11:$C$22)&lt;=B43)*(IF(Besatzung!$D$11:$D$22="",Besatzung!$B$6,Besatzung!$D$11:$D$22)&gt;=B43)),1)),IF(I43="An Bord",(((Besatzung!$B$15&lt;&gt;"")*IF(B43="",1,(IF(Besatzung!$C$16="",Besatzung!$B$5,Besatzung!$C$16)&lt;=B43)*(IF(Besatzung!$D$16="",Besatzung!$B$6,Besatzung!$D$16)&gt;=B43)))*((G43-IFERROR(H43,0))/IFERROR(SUMPRODUCT((Besatzung!$B$11:$B$22&lt;&gt;"")*(IF(Besatzung!$C$11:$C$22="",Besatzung!$B$5,Besatzung!$C$11:$C$22)&lt;=B43)*(IF(Besatzung!$D$11:$D$22="",Besatzung!$B$6,Besatzung!$D$11:$D$22)&gt;=B43)),1)+(Besatzung!$F$16="x")*IFERROR(H43,0)/IFERROR(SUMPRODUCT((Besatzung!$B$11:$B$22&lt;&gt;"")*(Besatzung!$F$11:$F$22="x")*(IF(Besatzung!$C$11:$C$22="",Besatzung!$B$5,Besatzung!$C$11:$C$22)&lt;=B43)*(IF(Besatzung!$D$11:$D$22="",Besatzung!$B$6,Besatzung!$D$11:$D$22)&gt;=B43)),1))),IF(I43="Individuell",((O43="x")*((G43-IFERROR(H43,0))/IFERROR(COUNTIF(J43:U43,"x"),1)+(Besatzung!$F$16="x")*IFERROR(H43,0)/IFERROR(SUMPRODUCT((J43:U43="x")*(Besatzung!$F$11:$F$22="x")),1))),(IF(COUNTIF(J43:U43,"x")=0,IF(Besatzung!$B$15&lt;&gt;"",1,0),(O43="x"))*(G43-IFERROR(H43,0))/IFERROR(IF(COUNTIF(J43:U43,"x")=0,COUNTA(Besatzung!$B$11:$B$22),COUNTIF(J43:U43,"x")),1)+IF(COUNTIF(J43:U43,"x")=0,(Besatzung!$F$16="x"),(O43="x")*(Besatzung!$F$16="x"))*IFERROR(H43,0)/IFERROR(IF(COUNTIF(J43:U43,"x")=0,SUMPRODUCT((Besatzung!$B$11:$B$22&lt;&gt;"")*(Besatzung!$F$11:$F$22="x")),SUMPRODUCT((J43:U43="x")*(Besatzung!$F$11:$F$22="x"))),1))))),0))))</f>
        <v/>
      </c>
      <c r="AB43" s="247">
        <f>IF(C43="Gutschrift","",IF(G43="","",IF(Besatzung!$B$17="","",IFERROR(IF(I43="Zeitanteilig",(Besatzung!$G$17*(G43-IFERROR(H43,0))+((Besatzung!$B$17&lt;&gt;"")*IF(B43="",1,(IF(Besatzung!$C$17="",Besatzung!$B$5,Besatzung!$C$17)&lt;=B43)*(IF(Besatzung!$D$17="",Besatzung!$B$6,Besatzung!$D$17)&gt;=B43)))*(Besatzung!$F$17="x")*IFERROR(H43,0)/IFERROR(SUMPRODUCT((Besatzung!$B$11:$B$22&lt;&gt;"")*(Besatzung!$F$11:$F$22="x")*(IF(Besatzung!$C$11:$C$22="",Besatzung!$B$5,Besatzung!$C$11:$C$22)&lt;=B43)*(IF(Besatzung!$D$11:$D$22="",Besatzung!$B$6,Besatzung!$D$11:$D$22)&gt;=B43)),1)),IF(I43="An Bord",(((Besatzung!$B$17&lt;&gt;"")*IF(B43="",1,(IF(Besatzung!$C$17="",Besatzung!$B$5,Besatzung!$C$17)&lt;=B43)*(IF(Besatzung!$D$17="",Besatzung!$B$6,Besatzung!$D$17)&gt;=B43)))*((G43-IFERROR(H43,0))/IFERROR(SUMPRODUCT((Besatzung!$B$11:$B$22&lt;&gt;"")*(IF(Besatzung!$C$11:$C$22="",Besatzung!$B$5,Besatzung!$C$11:$C$22)&lt;=B43)*(IF(Besatzung!$D$11:$D$22="",Besatzung!$B$6,Besatzung!$D$11:$D$22)&gt;=B43)),1)+(Besatzung!$F$17="x")*IFERROR(H43,0)/IFERROR(SUMPRODUCT((Besatzung!$B$11:$B$22&lt;&gt;"")*(Besatzung!$F$11:$F$22="x")*(IF(Besatzung!$C$11:$C$22="",Besatzung!$B$5,Besatzung!$C$11:$C$22)&lt;=B43)*(IF(Besatzung!$D$11:$D$22="",Besatzung!$B$6,Besatzung!$D$11:$D$22)&gt;=B43)),1))),IF(I43="Individuell",((P43="x")*((G43-IFERROR(H43,0))/IFERROR(COUNTIF(J43:U43,"x"),1)+(Besatzung!$F$17="x")*IFERROR(H43,0)/IFERROR(SUMPRODUCT((J43:U43="x")*(Besatzung!$F$11:$F$22="x")),1))),(IF(COUNTIF(J43:U43,"x")=0,IF(Besatzung!$B$17&lt;&gt;"",1,0),(P43="x"))*(G43-IFERROR(H43,0))/IFERROR(IF(COUNTIF(J43:U43,"x")=0,COUNTA(Besatzung!$B$11:$B$22),COUNTIF(J43:U43,"x")),1)+IF(COUNTIF(J43:U43,"x")=0,(Besatzung!$F$17="x"),(P43="x")*(Besatzung!$F$17="x"))*IFERROR(H43,0)/IFERROR(IF(COUNTIF(J43:U43,"x")=0,SUMPRODUCT((Besatzung!$B$11:$B$22&lt;&gt;"")*(Besatzung!$F$11:$F$22="x")),SUMPRODUCT((J43:U43="x")*(Besatzung!$F$11:$F$22="x"))),1))))),0))))</f>
        <v/>
      </c>
      <c r="AC43" s="247">
        <f>IF(C43="Gutschrift","",IF(G43="","",IF(Besatzung!$B$18="","",IFERROR(IF(I43="Zeitanteilig",(Besatzung!$G$18*(G43-IFERROR(H43,0))+((Besatzung!$B$18&lt;&gt;"")*IF(B43="",1,(IF(Besatzung!$C$18="",Besatzung!$B$5,Besatzung!$C$18)&lt;=B43)*(IF(Besatzung!$D$18="",Besatzung!$B$6,Besatzung!$D$18)&gt;=B43)))*(Besatzung!$F$18="x")*IFERROR(H43,0)/IFERROR(SUMPRODUCT((Besatzung!$B$11:$B$22&lt;&gt;"")*(Besatzung!$F$11:$F$22="x")*(IF(Besatzung!$C$11:$C$22="",Besatzung!$B$5,Besatzung!$C$11:$C$22)&lt;=B43)*(IF(Besatzung!$D$11:$D$22="",Besatzung!$B$6,Besatzung!$D$11:$D$22)&gt;=B43)),1)),IF(I43="An Bord",(((Besatzung!$B$18&lt;&gt;"")*IF(B43="",1,(IF(Besatzung!$C$18="",Besatzung!$B$5,Besatzung!$C$18)&lt;=B43)*(IF(Besatzung!$D$18="",Besatzung!$B$6,Besatzung!$D$18)&gt;=B43)))*((G43-IFERROR(H43,0))/IFERROR(SUMPRODUCT((Besatzung!$B$11:$B$22&lt;&gt;"")*(IF(Besatzung!$C$11:$C$22="",Besatzung!$B$5,Besatzung!$C$11:$C$22)&lt;=B43)*(IF(Besatzung!$D$11:$D$22="",Besatzung!$B$6,Besatzung!$D$11:$D$22)&gt;=B43)),1)+(Besatzung!$F$18="x")*IFERROR(H43,0)/IFERROR(SUMPRODUCT((Besatzung!$B$11:$B$22&lt;&gt;"")*(Besatzung!$F$11:$F$22="x")*(IF(Besatzung!$C$11:$C$22="",Besatzung!$B$5,Besatzung!$C$11:$C$22)&lt;=B43)*(IF(Besatzung!$D$11:$D$22="",Besatzung!$B$6,Besatzung!$D$11:$D$22)&gt;=B43)),1))),IF(I43="Individuell",((Q43="x")*((G43-IFERROR(H43,0))/IFERROR(COUNTIF(J43:U43,"x"),1)+(Besatzung!$F$18="x")*IFERROR(H43,0)/IFERROR(SUMPRODUCT((J43:U43="x")*(Besatzung!$F$11:$F$22="x")),1))),(IF(COUNTIF(J43:U43,"x")=0,IF(Besatzung!$B$18&lt;&gt;"",1,0),(Q43="x"))*(G43-IFERROR(H43,0))/IFERROR(IF(COUNTIF(J43:U43,"x")=0,COUNTA(Besatzung!$B$11:$B$22),COUNTIF(J43:U43,"x")),1)+IF(COUNTIF(J43:U43,"x")=0,(Besatzung!$F$18="x"),(Q43="x")*(Besatzung!$F$18="x"))*IFERROR(H43,0)/IFERROR(IF(COUNTIF(J43:U43,"x")=0,SUMPRODUCT((Besatzung!$B$11:$B$22&lt;&gt;"")*(Besatzung!$F$11:$F$22="x")),SUMPRODUCT((J43:U43="x")*(Besatzung!$F$11:$F$22="x"))),1))))),0))))</f>
        <v/>
      </c>
      <c r="AD43" s="247">
        <f>IF(C43="Gutschrift","",IF(G43="","",IF(Besatzung!$B$19="","",IFERROR(IF(I43="Zeitanteilig",(Besatzung!$G$19*(G43-IFERROR(H43,0))+((Besatzung!$B$19&lt;&gt;"")*IF(B43="",1,(IF(Besatzung!$C$19="",Besatzung!$B$5,Besatzung!$C$19)&lt;=B43)*(IF(Besatzung!$D$19="",Besatzung!$B$6,Besatzung!$D$19)&gt;=B43)))*(Besatzung!$F$19="x")*IFERROR(H43,0)/IFERROR(SUMPRODUCT((Besatzung!$B$11:$B$22&lt;&gt;"")*(Besatzung!$F$11:$F$22="x")*(IF(Besatzung!$C$11:$C$22="",Besatzung!$B$5,Besatzung!$C$11:$C$22)&lt;=B43)*(IF(Besatzung!$D$11:$D$22="",Besatzung!$B$6,Besatzung!$D$11:$D$22)&gt;=B43)),1)),IF(I43="An Bord",(((Besatzung!$B$19&lt;&gt;"")*IF(B43="",1,(IF(Besatzung!$C$19="",Besatzung!$B$5,Besatzung!$C$19)&lt;=B43)*(IF(Besatzung!$D$19="",Besatzung!$B$6,Besatzung!$D$19)&gt;=B43)))*((G43-IFERROR(H43,0))/IFERROR(SUMPRODUCT((Besatzung!$B$11:$B$22&lt;&gt;"")*(IF(Besatzung!$C$11:$C$22="",Besatzung!$B$5,Besatzung!$C$11:$C$22)&lt;=B43)*(IF(Besatzung!$D$11:$D$22="",Besatzung!$B$6,Besatzung!$D$11:$D$22)&gt;=B43)),1)+(Besatzung!$F$19="x")*IFERROR(H43,0)/IFERROR(SUMPRODUCT((Besatzung!$B$11:$B$22&lt;&gt;"")*(Besatzung!$F$11:$F$22="x")*(IF(Besatzung!$C$11:$C$22="",Besatzung!$B$5,Besatzung!$C$11:$C$22)&lt;=B43)*(IF(Besatzung!$D$11:$D$22="",Besatzung!$B$6,Besatzung!$D$11:$D$22)&gt;=B43)),1))),IF(I43="Individuell",((R43="x")*((G43-IFERROR(H43,0))/IFERROR(COUNTIF(J43:U43,"x"),1)+(Besatzung!$F$19="x")*IFERROR(H43,0)/IFERROR(SUMPRODUCT((J43:U43="x")*(Besatzung!$F$11:$F$22="x")),1))),(IF(COUNTIF(J43:U43,"x")=0,IF(Besatzung!$B$19&lt;&gt;"",1,0),(R43="x"))*(G43-IFERROR(H43,0))/IFERROR(IF(COUNTIF(J43:U43,"x")=0,COUNTA(Besatzung!$B$11:$B$22),COUNTIF(J43:U43,"x")),1)+IF(COUNTIF(J43:U43,"x")=0,(Besatzung!$F$19="x"),(R43="x")*(Besatzung!$F$19="x"))*IFERROR(H43,0)/IFERROR(IF(COUNTIF(J43:U43,"x")=0,SUMPRODUCT((Besatzung!$B$11:$B$22&lt;&gt;"")*(Besatzung!$F$11:$F$22="x")),SUMPRODUCT((J43:U43="x")*(Besatzung!$F$11:$F$22="x"))),1))))),0))))</f>
        <v/>
      </c>
      <c r="AE43" s="247">
        <f>IF(C43="Gutschrift","",IF(G43="","",IF(Besatzung!$B$20="","",IFERROR(IF(I43="Zeitanteilig",(Besatzung!$G$20*(G43-IFERROR(H43,0))+((Besatzung!$B$20&lt;&gt;"")*IF(B43="",1,(IF(Besatzung!$C$20="",Besatzung!$B$5,Besatzung!$C$20)&lt;=B43)*(IF(Besatzung!$D$20="",Besatzung!$B$6,Besatzung!$D$20)&gt;=B43)))*(Besatzung!$F$20="x")*IFERROR(H43,0)/IFERROR(SUMPRODUCT((Besatzung!$B$11:$B$22&lt;&gt;"")*(Besatzung!$F$11:$F$22="x")*(IF(Besatzung!$C$11:$C$22="",Besatzung!$B$5,Besatzung!$C$11:$C$22)&lt;=B43)*(IF(Besatzung!$D$11:$D$22="",Besatzung!$B$6,Besatzung!$D$11:$D$22)&gt;=B43)),1)),IF(I43="An Bord",(((Besatzung!$B$20&lt;&gt;"")*IF(B43="",1,(IF(Besatzung!$C$20="",Besatzung!$B$5,Besatzung!$C$20)&lt;=B43)*(IF(Besatzung!$D$20="",Besatzung!$B$6,Besatzung!$D$20)&gt;=B43)))*((G43-IFERROR(H43,0))/IFERROR(SUMPRODUCT((Besatzung!$B$11:$B$22&lt;&gt;"")*(IF(Besatzung!$C$11:$C$22="",Besatzung!$B$5,Besatzung!$C$11:$C$22)&lt;=B43)*(IF(Besatzung!$D$11:$D$22="",Besatzung!$B$6,Besatzung!$D$11:$D$22)&gt;=B43)),1)+(Besatzung!$F$20="x")*IFERROR(H43,0)/IFERROR(SUMPRODUCT((Besatzung!$B$11:$B$22&lt;&gt;"")*(Besatzung!$F$11:$F$22="x")*(IF(Besatzung!$C$11:$C$22="",Besatzung!$B$5,Besatzung!$C$11:$C$22)&lt;=B43)*(IF(Besatzung!$D$11:$D$22="",Besatzung!$B$6,Besatzung!$D$11:$D$22)&gt;=B43)),1))),IF(I43="Individuell",((S43="x")*((G43-IFERROR(H43,0))/IFERROR(COUNTIF(J43:U43,"x"),1)+(Besatzung!$F$20="x")*IFERROR(H43,0)/IFERROR(SUMPRODUCT((J43:U43="x")*(Besatzung!$F$11:$F$22="x")),1))),(IF(COUNTIF(J43:U43,"x")=0,IF(Besatzung!$B$20&lt;&gt;"",1,0),(S43="x"))*(G43-IFERROR(H43,0))/IFERROR(IF(COUNTIF(J43:U43,"x")=0,COUNTA(Besatzung!$B$11:$B$22),COUNTIF(J43:U43,"x")),1)+IF(COUNTIF(J43:U43,"x")=0,(Besatzung!$F$20="x"),(S43="x")*(Besatzung!$F$20="x"))*IFERROR(H43,0)/IFERROR(IF(COUNTIF(J43:U43,"x")=0,SUMPRODUCT((Besatzung!$B$11:$B$22&lt;&gt;"")*(Besatzung!$F$11:$F$22="x")),SUMPRODUCT((J43:U43="x")*(Besatzung!$F$11:$F$22="x"))),1))))),0))))</f>
        <v/>
      </c>
      <c r="AF43" s="247">
        <f>IF(C43="Gutschrift","",IF(G43="","",IF(Besatzung!$B$21="","",IFERROR(IF(I43="Zeitanteilig",(Besatzung!$G$21*(G43-IFERROR(H43,0))+((Besatzung!$B$21&lt;&gt;"")*IF(B43="",1,(IF(Besatzung!$C$21="",Besatzung!$B$5,Besatzung!$C$21)&lt;=B43)*(IF(Besatzung!$D$21="",Besatzung!$B$6,Besatzung!$D$21)&gt;=B43)))*(Besatzung!$F$21="x")*IFERROR(H43,0)/IFERROR(SUMPRODUCT((Besatzung!$B$11:$B$22&lt;&gt;"")*(Besatzung!$F$11:$F$22="x")*(IF(Besatzung!$C$11:$C$22="",Besatzung!$B$5,Besatzung!$C$11:$C$22)&lt;=B43)*(IF(Besatzung!$D$11:$D$22="",Besatzung!$B$6,Besatzung!$D$11:$D$22)&gt;=B43)),1)),IF(I43="An Bord",(((Besatzung!$B$21&lt;&gt;"")*IF(B43="",1,(IF(Besatzung!$C$21="",Besatzung!$B$5,Besatzung!$C$21)&lt;=B43)*(IF(Besatzung!$D$21="",Besatzung!$B$6,Besatzung!$D$21)&gt;=B43)))*((G43-IFERROR(H43,0))/IFERROR(SUMPRODUCT((Besatzung!$B$11:$B$22&lt;&gt;"")*(IF(Besatzung!$C$11:$C$22="",Besatzung!$B$5,Besatzung!$C$11:$C$22)&lt;=B43)*(IF(Besatzung!$D$11:$D$22="",Besatzung!$B$6,Besatzung!$D$11:$D$22)&gt;=B43)),1)+(Besatzung!$F$21="x")*IFERROR(H43,0)/IFERROR(SUMPRODUCT((Besatzung!$B$11:$B$22&lt;&gt;"")*(Besatzung!$F$11:$F$22="x")*(IF(Besatzung!$C$11:$C$22="",Besatzung!$B$5,Besatzung!$C$11:$C$22)&lt;=B43)*(IF(Besatzung!$D$11:$D$22="",Besatzung!$B$6,Besatzung!$D$11:$D$22)&gt;=B43)),1))),IF(I43="Individuell",((T43="x")*((G43-IFERROR(H43,0))/IFERROR(COUNTIF(J43:U43,"x"),1)+(Besatzung!$F$21="x")*IFERROR(H43,0)/IFERROR(SUMPRODUCT((J43:U43="x")*(Besatzung!$F$11:$F$22="x")),1))),(IF(COUNTIF(J43:U43,"x")=0,IF(Besatzung!$B$21&lt;&gt;"",1,0),(T43="x"))*(G43-IFERROR(H43,0))/IFERROR(IF(COUNTIF(J43:U43,"x")=0,COUNTA(Besatzung!$B$11:$B$22),COUNTIF(J43:U43,"x")),1)+IF(COUNTIF(J43:U43,"x")=0,(Besatzung!$F$21="x"),(T43="x")*(Besatzung!$F$21="x"))*IFERROR(H43,0)/IFERROR(IF(COUNTIF(J43:U43,"x")=0,SUMPRODUCT((Besatzung!$B$11:$B$22&lt;&gt;"")*(Besatzung!$F$11:$F$22="x")),SUMPRODUCT((J43:U43="x")*(Besatzung!$F$11:$F$22="x"))),1))))),0))))</f>
        <v/>
      </c>
      <c r="AG43" s="247">
        <f>IF(C43="Gutschrift","",IF(G43="","",IF(Besatzung!$B$22="","",IFERROR(IF(I43="Zeitanteilig",(Besatzung!$G$22*(G43-IFERROR(H43,0))+((Besatzung!$B$22&lt;&gt;"")*IF(B43="",1,(IF(Besatzung!$C$22="",Besatzung!$B$5,Besatzung!$C$22)&lt;=B43)*(IF(Besatzung!$D$22="",Besatzung!$B$6,Besatzung!$D$22)&gt;=B43)))*(Besatzung!$F$22="x")*IFERROR(H43,0)/IFERROR(SUMPRODUCT((Besatzung!$B$11:$B$22&lt;&gt;"")*(Besatzung!$F$11:$F$22="x")*(IF(Besatzung!$C$11:$C$22="",Besatzung!$B$5,Besatzung!$C$11:$C$22)&lt;=B43)*(IF(Besatzung!$D$11:$D$22="",Besatzung!$B$6,Besatzung!$D$11:$D$22)&gt;=B43)),1)),IF(I43="An Bord",(((Besatzung!$B$22&lt;&gt;"")*IF(B43="",1,(IF(Besatzung!$C$22="",Besatzung!$B$5,Besatzung!$C$22)&lt;=B43)*(IF(Besatzung!$D$22="",Besatzung!$B$6,Besatzung!$D$22)&gt;=B43)))*((G43-IFERROR(H43,0))/IFERROR(SUMPRODUCT((Besatzung!$B$11:$B$22&lt;&gt;"")*(IF(Besatzung!$C$11:$C$22="",Besatzung!$B$5,Besatzung!$C$11:$C$22)&lt;=B43)*(IF(Besatzung!$D$11:$D$22="",Besatzung!$B$6,Besatzung!$D$11:$D$22)&gt;=B43)),1)+(Besatzung!$F$22="x")*IFERROR(H43,0)/IFERROR(SUMPRODUCT((Besatzung!$B$11:$B$22&lt;&gt;"")*(Besatzung!$F$11:$F$22="x")*(IF(Besatzung!$C$11:$C$22="",Besatzung!$B$5,Besatzung!$C$11:$C$22)&lt;=B43)*(IF(Besatzung!$D$11:$D$22="",Besatzung!$B$6,Besatzung!$D$11:$D$22)&gt;=B43)),1))),IF(I43="Individuell",((U43="x")*((G43-IFERROR(H43,0))/IFERROR(COUNTIF(J43:U43,"x"),1)+(Besatzung!$F$22="x")*IFERROR(H43,0)/IFERROR(SUMPRODUCT((J43:U43="x")*(Besatzung!$F$11:$F$22="x")),1))),(IF(COUNTIF(J43:U43,"x")=0,IF(Besatzung!$B$22&lt;&gt;"",1,0),(U43="x"))*(G43-IFERROR(H43,0))/IFERROR(IF(COUNTIF(J43:U43,"x")=0,COUNTA(Besatzung!$B$11:$B$22),COUNTIF(J43:U43,"x")),1)+IF(COUNTIF(J43:U43,"x")=0,(Besatzung!$F$22="x"),(U43="x")*(Besatzung!$F$22="x"))*IFERROR(H43,0)/IFERROR(IF(COUNTIF(J43:U43,"x")=0,SUMPRODUCT((Besatzung!$B$11:$B$22&lt;&gt;"")*(Besatzung!$F$11:$F$22="x")),SUMPRODUCT((J43:U43="x")*(Besatzung!$F$11:$F$22="x"))),1))))),0))))</f>
        <v/>
      </c>
      <c r="AH43" s="248" t="n"/>
      <c r="AI43" s="248" t="n"/>
    </row>
    <row r="44" ht="21.75" customHeight="1" s="154">
      <c r="A44" s="238">
        <f>IF(AND(D44="",C44=""),"",41)</f>
        <v/>
      </c>
      <c r="B44" s="199" t="n"/>
      <c r="C44" s="239" t="n"/>
      <c r="D44" s="240" t="n"/>
      <c r="E44" s="241" t="n"/>
      <c r="F44" s="242" t="n"/>
      <c r="G44" s="243" t="n"/>
      <c r="H44" s="244" t="n"/>
      <c r="I44" s="245" t="n"/>
      <c r="J44" s="246" t="n"/>
      <c r="K44" s="246" t="n"/>
      <c r="L44" s="246" t="n"/>
      <c r="M44" s="246" t="n"/>
      <c r="N44" s="246" t="n"/>
      <c r="O44" s="246" t="n"/>
      <c r="P44" s="246" t="n"/>
      <c r="Q44" s="246" t="n"/>
      <c r="R44" s="246" t="n"/>
      <c r="S44" s="246" t="n"/>
      <c r="T44" s="246" t="n"/>
      <c r="U44" s="246" t="n"/>
      <c r="V44" s="247">
        <f>IF(C44="Gutschrift","",IF(G44="","",IF(Besatzung!$B$11="","",IFERROR(IF(I44="Zeitanteilig",(Besatzung!$G$11*(G44-IFERROR(H44,0))+((Besatzung!$B$11&lt;&gt;"")*IF(B44="",1,(IF(Besatzung!$C$11="",Besatzung!$B$5,Besatzung!$C$11)&lt;=B44)*(IF(Besatzung!$D$11="",Besatzung!$B$6,Besatzung!$D$11)&gt;=B44)))*(Besatzung!$F$11="x")*IFERROR(H44,0)/IFERROR(SUMPRODUCT((Besatzung!$B$11:$B$22&lt;&gt;"")*(Besatzung!$F$11:$F$22="x")*(IF(Besatzung!$C$11:$C$22="",Besatzung!$B$5,Besatzung!$C$11:$C$22)&lt;=B44)*(IF(Besatzung!$D$11:$D$22="",Besatzung!$B$6,Besatzung!$D$11:$D$22)&gt;=B44)),1)),IF(I44="An Bord",(((Besatzung!$B$11&lt;&gt;"")*IF(B44="",1,(IF(Besatzung!$C$11="",Besatzung!$B$5,Besatzung!$C$11)&lt;=B44)*(IF(Besatzung!$D$11="",Besatzung!$B$6,Besatzung!$D$11)&gt;=B44)))*((G44-IFERROR(H44,0))/IFERROR(SUMPRODUCT((Besatzung!$B$11:$B$22&lt;&gt;"")*(IF(Besatzung!$C$11:$C$22="",Besatzung!$B$5,Besatzung!$C$11:$C$22)&lt;=B44)*(IF(Besatzung!$D$11:$D$22="",Besatzung!$B$6,Besatzung!$D$11:$D$22)&gt;=B44)),1)+(Besatzung!$F$11="x")*IFERROR(H44,0)/IFERROR(SUMPRODUCT((Besatzung!$B$11:$B$22&lt;&gt;"")*(Besatzung!$F$11:$F$22="x")*(IF(Besatzung!$C$11:$C$22="",Besatzung!$B$5,Besatzung!$C$11:$C$22)&lt;=B44)*(IF(Besatzung!$D$11:$D$22="",Besatzung!$B$6,Besatzung!$D$11:$D$22)&gt;=B44)),1))),IF(I44="Individuell",((J44="x")*((G44-IFERROR(H44,0))/IFERROR(COUNTIF(J44:U44,"x"),1)+(Besatzung!$F$11="x")*IFERROR(H44,0)/IFERROR(SUMPRODUCT((J44:U44="x")*(Besatzung!$F$11:$F$22="x")),1))),(IF(COUNTIF(J44:U44,"x")=0,IF(Besatzung!$B$11&lt;&gt;"",1,0),(J44="x"))*(G44-IFERROR(H44,0))/IFERROR(IF(COUNTIF(J44:U44,"x")=0,COUNTA(Besatzung!$B$11:$B$22),COUNTIF(J44:U44,"x")),1)+IF(COUNTIF(J44:U44,"x")=0,(Besatzung!$F$11="x"),(J44="x")*(Besatzung!$F$11="x"))*IFERROR(H44,0)/IFERROR(IF(COUNTIF(J44:U44,"x")=0,SUMPRODUCT((Besatzung!$B$11:$B$22&lt;&gt;"")*(Besatzung!$F$11:$F$22="x")),SUMPRODUCT((J44:U44="x")*(Besatzung!$F$11:$F$22="x"))),1))))),0))))</f>
        <v/>
      </c>
      <c r="W44" s="247">
        <f>IF(C44="Gutschrift","",IF(G44="","",IF(Besatzung!$B$12="","",IFERROR(IF(I44="Zeitanteilig",(Besatzung!$G$12*(G44-IFERROR(H44,0))+((Besatzung!$B$12&lt;&gt;"")*IF(B44="",1,(IF(Besatzung!$C$12="",Besatzung!$B$5,Besatzung!$C$12)&lt;=B44)*(IF(Besatzung!$D$12="",Besatzung!$B$6,Besatzung!$D$12)&gt;=B44)))*(Besatzung!$F$12="x")*IFERROR(H44,0)/IFERROR(SUMPRODUCT((Besatzung!$B$11:$B$22&lt;&gt;"")*(Besatzung!$F$11:$F$22="x")*(IF(Besatzung!$C$11:$C$22="",Besatzung!$B$5,Besatzung!$C$11:$C$22)&lt;=B44)*(IF(Besatzung!$D$11:$D$22="",Besatzung!$B$6,Besatzung!$D$11:$D$22)&gt;=B44)),1)),IF(I44="An Bord",(((Besatzung!$B$12&lt;&gt;"")*IF(B44="",1,(IF(Besatzung!$C$12="",Besatzung!$B$5,Besatzung!$C$12)&lt;=B44)*(IF(Besatzung!$D$12="",Besatzung!$B$6,Besatzung!$D$12)&gt;=B44)))*((G44-IFERROR(H44,0))/IFERROR(SUMPRODUCT((Besatzung!$B$11:$B$22&lt;&gt;"")*(IF(Besatzung!$C$11:$C$22="",Besatzung!$B$5,Besatzung!$C$11:$C$22)&lt;=B44)*(IF(Besatzung!$D$11:$D$22="",Besatzung!$B$6,Besatzung!$D$11:$D$22)&gt;=B44)),1)+(Besatzung!$F$12="x")*IFERROR(H44,0)/IFERROR(SUMPRODUCT((Besatzung!$B$11:$B$22&lt;&gt;"")*(Besatzung!$F$11:$F$22="x")*(IF(Besatzung!$C$11:$C$22="",Besatzung!$B$5,Besatzung!$C$11:$C$22)&lt;=B44)*(IF(Besatzung!$D$11:$D$22="",Besatzung!$B$6,Besatzung!$D$11:$D$22)&gt;=B44)),1))),IF(I44="Individuell",((K44="x")*((G44-IFERROR(H44,0))/IFERROR(COUNTIF(J44:U44,"x"),1)+(Besatzung!$F$12="x")*IFERROR(H44,0)/IFERROR(SUMPRODUCT((J44:U44="x")*(Besatzung!$F$11:$F$22="x")),1))),(IF(COUNTIF(J44:U44,"x")=0,IF(Besatzung!$B$12&lt;&gt;"",1,0),(K44="x"))*(G44-IFERROR(H44,0))/IFERROR(IF(COUNTIF(J44:U44,"x")=0,COUNTA(Besatzung!$B$11:$B$22),COUNTIF(J44:U44,"x")),1)+IF(COUNTIF(J44:U44,"x")=0,(Besatzung!$F$12="x"),(K44="x")*(Besatzung!$F$12="x"))*IFERROR(H44,0)/IFERROR(IF(COUNTIF(J44:U44,"x")=0,SUMPRODUCT((Besatzung!$B$11:$B$22&lt;&gt;"")*(Besatzung!$F$11:$F$22="x")),SUMPRODUCT((J44:U44="x")*(Besatzung!$F$11:$F$22="x"))),1))))),0))))</f>
        <v/>
      </c>
      <c r="X44" s="247">
        <f>IF(C44="Gutschrift","",IF(G44="","",IF(Besatzung!$B$13="","",IFERROR(IF(I44="Zeitanteilig",(Besatzung!$G$13*(G44-IFERROR(H44,0))+((Besatzung!$B$13&lt;&gt;"")*IF(B44="",1,(IF(Besatzung!$C$13="",Besatzung!$B$5,Besatzung!$C$13)&lt;=B44)*(IF(Besatzung!$D$13="",Besatzung!$B$6,Besatzung!$D$13)&gt;=B44)))*(Besatzung!$F$13="x")*IFERROR(H44,0)/IFERROR(SUMPRODUCT((Besatzung!$B$11:$B$22&lt;&gt;"")*(Besatzung!$F$11:$F$22="x")*(IF(Besatzung!$C$11:$C$22="",Besatzung!$B$5,Besatzung!$C$11:$C$22)&lt;=B44)*(IF(Besatzung!$D$11:$D$22="",Besatzung!$B$6,Besatzung!$D$11:$D$22)&gt;=B44)),1)),IF(I44="An Bord",(((Besatzung!$B$13&lt;&gt;"")*IF(B44="",1,(IF(Besatzung!$C$13="",Besatzung!$B$5,Besatzung!$C$13)&lt;=B44)*(IF(Besatzung!$D$13="",Besatzung!$B$6,Besatzung!$D$13)&gt;=B44)))*((G44-IFERROR(H44,0))/IFERROR(SUMPRODUCT((Besatzung!$B$11:$B$22&lt;&gt;"")*(IF(Besatzung!$C$11:$C$22="",Besatzung!$B$5,Besatzung!$C$11:$C$22)&lt;=B44)*(IF(Besatzung!$D$11:$D$22="",Besatzung!$B$6,Besatzung!$D$11:$D$22)&gt;=B44)),1)+(Besatzung!$F$13="x")*IFERROR(H44,0)/IFERROR(SUMPRODUCT((Besatzung!$B$11:$B$22&lt;&gt;"")*(Besatzung!$F$11:$F$22="x")*(IF(Besatzung!$C$11:$C$22="",Besatzung!$B$5,Besatzung!$C$11:$C$22)&lt;=B44)*(IF(Besatzung!$D$11:$D$22="",Besatzung!$B$6,Besatzung!$D$11:$D$22)&gt;=B44)),1))),IF(I44="Individuell",((K44="x")*((G44-IFERROR(H44,0))/IFERROR(COUNTIF(J44:U44,"x"),1)+(Besatzung!$F$13="x")*IFERROR(H44,0)/IFERROR(SUMPRODUCT((J44:U44="x")*(Besatzung!$F$11:$F$22="x")),1))),(IF(COUNTIF(J44:U44,"x")=0,IF(Besatzung!$B$13&lt;&gt;"",1,0),(K44="x"))*(G44-IFERROR(H44,0))/IFERROR(IF(COUNTIF(J44:U44,"x")=0,COUNTA(Besatzung!$B$11:$B$22),COUNTIF(J44:U44,"x")),1)+IF(COUNTIF(J44:U44,"x")=0,(Besatzung!$F$13="x"),(K44="x")*(Besatzung!$F$13="x"))*IFERROR(H44,0)/IFERROR(IF(COUNTIF(J44:U44,"x")=0,SUMPRODUCT((Besatzung!$B$11:$B$22&lt;&gt;"")*(Besatzung!$F$11:$F$22="x")),SUMPRODUCT((J44:U44="x")*(Besatzung!$F$11:$F$22="x"))),1))))),0))))</f>
        <v/>
      </c>
      <c r="Y44" s="247">
        <f>IF(C44="Gutschrift","",IF(G44="","",IF(Besatzung!$B$14="","",IFERROR(IF(I44="Zeitanteilig",(Besatzung!$G$14*(G44-IFERROR(H44,0))+((Besatzung!$B$14&lt;&gt;"")*IF(B44="",1,(IF(Besatzung!$C$14="",Besatzung!$B$5,Besatzung!$C$14)&lt;=B44)*(IF(Besatzung!$D$14="",Besatzung!$B$6,Besatzung!$D$14)&gt;=B44)))*(Besatzung!$F$14="x")*IFERROR(H44,0)/IFERROR(SUMPRODUCT((Besatzung!$B$11:$B$22&lt;&gt;"")*(Besatzung!$F$11:$F$22="x")*(IF(Besatzung!$C$11:$C$22="",Besatzung!$B$5,Besatzung!$C$11:$C$22)&lt;=B44)*(IF(Besatzung!$D$11:$D$22="",Besatzung!$B$6,Besatzung!$D$11:$D$22)&gt;=B44)),1)),IF(I44="An Bord",(((Besatzung!$B$14&lt;&gt;"")*IF(B44="",1,(IF(Besatzung!$C$14="",Besatzung!$B$5,Besatzung!$C$14)&lt;=B44)*(IF(Besatzung!$D$14="",Besatzung!$B$6,Besatzung!$D$14)&gt;=B44)))*((G44-IFERROR(H44,0))/IFERROR(SUMPRODUCT((Besatzung!$B$11:$B$22&lt;&gt;"")*(IF(Besatzung!$C$11:$C$22="",Besatzung!$B$5,Besatzung!$C$11:$C$22)&lt;=B44)*(IF(Besatzung!$D$11:$D$22="",Besatzung!$B$6,Besatzung!$D$11:$D$22)&gt;=B44)),1)+(Besatzung!$F$14="x")*IFERROR(H44,0)/IFERROR(SUMPRODUCT((Besatzung!$B$11:$B$22&lt;&gt;"")*(Besatzung!$F$11:$F$22="x")*(IF(Besatzung!$C$11:$C$22="",Besatzung!$B$5,Besatzung!$C$11:$C$22)&lt;=B44)*(IF(Besatzung!$D$11:$D$22="",Besatzung!$B$6,Besatzung!$D$11:$D$22)&gt;=B44)),1))),IF(I44="Individuell",((M44="x")*((G44-IFERROR(H44,0))/IFERROR(COUNTIF(J44:U44,"x"),1)+(Besatzung!$F$14="x")*IFERROR(H44,0)/IFERROR(SUMPRODUCT((J44:U44="x")*(Besatzung!$F$11:$F$22="x")),1))),(IF(COUNTIF(J44:U44,"x")=0,IF(Besatzung!$B$14&lt;&gt;"",1,0),(M44="x"))*(G44-IFERROR(H44,0))/IFERROR(IF(COUNTIF(J44:U44,"x")=0,COUNTA(Besatzung!$B$11:$B$22),COUNTIF(J44:U44,"x")),1)+IF(COUNTIF(J44:U44,"x")=0,(Besatzung!$F$14="x"),(M44="x")*(Besatzung!$F$14="x"))*IFERROR(H44,0)/IFERROR(IF(COUNTIF(J44:U44,"x")=0,SUMPRODUCT((Besatzung!$B$11:$B$22&lt;&gt;"")*(Besatzung!$F$11:$F$22="x")),SUMPRODUCT((J44:U44="x")*(Besatzung!$F$11:$F$22="x"))),1))))),0))))</f>
        <v/>
      </c>
      <c r="Z44" s="247">
        <f>IF(C44="Gutschrift","",IF(G44="","",IF(Besatzung!$B$13="","",IFERROR(IF(I44="Zeitanteilig",(Besatzung!$G$15*(G44-IFERROR(H44,0))+((Besatzung!$B$13&lt;&gt;"")*IF(B44="",1,(IF(Besatzung!$C$15="",Besatzung!$B$5,Besatzung!$C$15)&lt;=B44)*(IF(Besatzung!$D$15="",Besatzung!$B$6,Besatzung!$D$15)&gt;=B44)))*(Besatzung!$F$15="x")*IFERROR(H44,0)/IFERROR(SUMPRODUCT((Besatzung!$B$11:$B$22&lt;&gt;"")*(Besatzung!$F$11:$F$22="x")*(IF(Besatzung!$C$11:$C$22="",Besatzung!$B$5,Besatzung!$C$11:$C$22)&lt;=B44)*(IF(Besatzung!$D$11:$D$22="",Besatzung!$B$6,Besatzung!$D$11:$D$22)&gt;=B44)),1)),IF(I44="An Bord",(((Besatzung!$B$13&lt;&gt;"")*IF(B44="",1,(IF(Besatzung!$C$15="",Besatzung!$B$5,Besatzung!$C$15)&lt;=B44)*(IF(Besatzung!$D$15="",Besatzung!$B$6,Besatzung!$D$15)&gt;=B44)))*((G44-IFERROR(H44,0))/IFERROR(SUMPRODUCT((Besatzung!$B$11:$B$22&lt;&gt;"")*(IF(Besatzung!$C$11:$C$22="",Besatzung!$B$5,Besatzung!$C$11:$C$22)&lt;=B44)*(IF(Besatzung!$D$11:$D$22="",Besatzung!$B$6,Besatzung!$D$11:$D$22)&gt;=B44)),1)+(Besatzung!$F$15="x")*IFERROR(H44,0)/IFERROR(SUMPRODUCT((Besatzung!$B$11:$B$22&lt;&gt;"")*(Besatzung!$F$11:$F$22="x")*(IF(Besatzung!$C$11:$C$22="",Besatzung!$B$5,Besatzung!$C$11:$C$22)&lt;=B44)*(IF(Besatzung!$D$11:$D$22="",Besatzung!$B$6,Besatzung!$D$11:$D$22)&gt;=B44)),1))),IF(I44="Individuell",((N44="x")*((G44-IFERROR(H44,0))/IFERROR(COUNTIF(J44:U44,"x"),1)+(Besatzung!$F$15="x")*IFERROR(H44,0)/IFERROR(SUMPRODUCT((J44:U44="x")*(Besatzung!$F$11:$F$22="x")),1))),(IF(COUNTIF(J44:U44,"x")=0,IF(Besatzung!$B$13&lt;&gt;"",1,0),(N44="x"))*(G44-IFERROR(H44,0))/IFERROR(IF(COUNTIF(J44:U44,"x")=0,COUNTA(Besatzung!$B$11:$B$22),COUNTIF(J44:U44,"x")),1)+IF(COUNTIF(J44:U44,"x")=0,(Besatzung!$F$15="x"),(N44="x")*(Besatzung!$F$15="x"))*IFERROR(H44,0)/IFERROR(IF(COUNTIF(J44:U44,"x")=0,SUMPRODUCT((Besatzung!$B$11:$B$22&lt;&gt;"")*(Besatzung!$F$11:$F$22="x")),SUMPRODUCT((J44:U44="x")*(Besatzung!$F$11:$F$22="x"))),1))))),0))))</f>
        <v/>
      </c>
      <c r="AA44" s="247">
        <f>IF(C44="Gutschrift","",IF(G44="","",IF(Besatzung!$B$15="","",IFERROR(IF(I44="Zeitanteilig",(Besatzung!$G$16*(G44-IFERROR(H44,0))+((Besatzung!$B$15&lt;&gt;"")*IF(B44="",1,(IF(Besatzung!$C$16="",Besatzung!$B$5,Besatzung!$C$16)&lt;=B44)*(IF(Besatzung!$D$16="",Besatzung!$B$6,Besatzung!$D$16)&gt;=B44)))*(Besatzung!$F$16="x")*IFERROR(H44,0)/IFERROR(SUMPRODUCT((Besatzung!$B$11:$B$22&lt;&gt;"")*(Besatzung!$F$11:$F$22="x")*(IF(Besatzung!$C$11:$C$22="",Besatzung!$B$5,Besatzung!$C$11:$C$22)&lt;=B44)*(IF(Besatzung!$D$11:$D$22="",Besatzung!$B$6,Besatzung!$D$11:$D$22)&gt;=B44)),1)),IF(I44="An Bord",(((Besatzung!$B$15&lt;&gt;"")*IF(B44="",1,(IF(Besatzung!$C$16="",Besatzung!$B$5,Besatzung!$C$16)&lt;=B44)*(IF(Besatzung!$D$16="",Besatzung!$B$6,Besatzung!$D$16)&gt;=B44)))*((G44-IFERROR(H44,0))/IFERROR(SUMPRODUCT((Besatzung!$B$11:$B$22&lt;&gt;"")*(IF(Besatzung!$C$11:$C$22="",Besatzung!$B$5,Besatzung!$C$11:$C$22)&lt;=B44)*(IF(Besatzung!$D$11:$D$22="",Besatzung!$B$6,Besatzung!$D$11:$D$22)&gt;=B44)),1)+(Besatzung!$F$16="x")*IFERROR(H44,0)/IFERROR(SUMPRODUCT((Besatzung!$B$11:$B$22&lt;&gt;"")*(Besatzung!$F$11:$F$22="x")*(IF(Besatzung!$C$11:$C$22="",Besatzung!$B$5,Besatzung!$C$11:$C$22)&lt;=B44)*(IF(Besatzung!$D$11:$D$22="",Besatzung!$B$6,Besatzung!$D$11:$D$22)&gt;=B44)),1))),IF(I44="Individuell",((O44="x")*((G44-IFERROR(H44,0))/IFERROR(COUNTIF(J44:U44,"x"),1)+(Besatzung!$F$16="x")*IFERROR(H44,0)/IFERROR(SUMPRODUCT((J44:U44="x")*(Besatzung!$F$11:$F$22="x")),1))),(IF(COUNTIF(J44:U44,"x")=0,IF(Besatzung!$B$15&lt;&gt;"",1,0),(O44="x"))*(G44-IFERROR(H44,0))/IFERROR(IF(COUNTIF(J44:U44,"x")=0,COUNTA(Besatzung!$B$11:$B$22),COUNTIF(J44:U44,"x")),1)+IF(COUNTIF(J44:U44,"x")=0,(Besatzung!$F$16="x"),(O44="x")*(Besatzung!$F$16="x"))*IFERROR(H44,0)/IFERROR(IF(COUNTIF(J44:U44,"x")=0,SUMPRODUCT((Besatzung!$B$11:$B$22&lt;&gt;"")*(Besatzung!$F$11:$F$22="x")),SUMPRODUCT((J44:U44="x")*(Besatzung!$F$11:$F$22="x"))),1))))),0))))</f>
        <v/>
      </c>
      <c r="AB44" s="247">
        <f>IF(C44="Gutschrift","",IF(G44="","",IF(Besatzung!$B$17="","",IFERROR(IF(I44="Zeitanteilig",(Besatzung!$G$17*(G44-IFERROR(H44,0))+((Besatzung!$B$17&lt;&gt;"")*IF(B44="",1,(IF(Besatzung!$C$17="",Besatzung!$B$5,Besatzung!$C$17)&lt;=B44)*(IF(Besatzung!$D$17="",Besatzung!$B$6,Besatzung!$D$17)&gt;=B44)))*(Besatzung!$F$17="x")*IFERROR(H44,0)/IFERROR(SUMPRODUCT((Besatzung!$B$11:$B$22&lt;&gt;"")*(Besatzung!$F$11:$F$22="x")*(IF(Besatzung!$C$11:$C$22="",Besatzung!$B$5,Besatzung!$C$11:$C$22)&lt;=B44)*(IF(Besatzung!$D$11:$D$22="",Besatzung!$B$6,Besatzung!$D$11:$D$22)&gt;=B44)),1)),IF(I44="An Bord",(((Besatzung!$B$17&lt;&gt;"")*IF(B44="",1,(IF(Besatzung!$C$17="",Besatzung!$B$5,Besatzung!$C$17)&lt;=B44)*(IF(Besatzung!$D$17="",Besatzung!$B$6,Besatzung!$D$17)&gt;=B44)))*((G44-IFERROR(H44,0))/IFERROR(SUMPRODUCT((Besatzung!$B$11:$B$22&lt;&gt;"")*(IF(Besatzung!$C$11:$C$22="",Besatzung!$B$5,Besatzung!$C$11:$C$22)&lt;=B44)*(IF(Besatzung!$D$11:$D$22="",Besatzung!$B$6,Besatzung!$D$11:$D$22)&gt;=B44)),1)+(Besatzung!$F$17="x")*IFERROR(H44,0)/IFERROR(SUMPRODUCT((Besatzung!$B$11:$B$22&lt;&gt;"")*(Besatzung!$F$11:$F$22="x")*(IF(Besatzung!$C$11:$C$22="",Besatzung!$B$5,Besatzung!$C$11:$C$22)&lt;=B44)*(IF(Besatzung!$D$11:$D$22="",Besatzung!$B$6,Besatzung!$D$11:$D$22)&gt;=B44)),1))),IF(I44="Individuell",((P44="x")*((G44-IFERROR(H44,0))/IFERROR(COUNTIF(J44:U44,"x"),1)+(Besatzung!$F$17="x")*IFERROR(H44,0)/IFERROR(SUMPRODUCT((J44:U44="x")*(Besatzung!$F$11:$F$22="x")),1))),(IF(COUNTIF(J44:U44,"x")=0,IF(Besatzung!$B$17&lt;&gt;"",1,0),(P44="x"))*(G44-IFERROR(H44,0))/IFERROR(IF(COUNTIF(J44:U44,"x")=0,COUNTA(Besatzung!$B$11:$B$22),COUNTIF(J44:U44,"x")),1)+IF(COUNTIF(J44:U44,"x")=0,(Besatzung!$F$17="x"),(P44="x")*(Besatzung!$F$17="x"))*IFERROR(H44,0)/IFERROR(IF(COUNTIF(J44:U44,"x")=0,SUMPRODUCT((Besatzung!$B$11:$B$22&lt;&gt;"")*(Besatzung!$F$11:$F$22="x")),SUMPRODUCT((J44:U44="x")*(Besatzung!$F$11:$F$22="x"))),1))))),0))))</f>
        <v/>
      </c>
      <c r="AC44" s="247">
        <f>IF(C44="Gutschrift","",IF(G44="","",IF(Besatzung!$B$18="","",IFERROR(IF(I44="Zeitanteilig",(Besatzung!$G$18*(G44-IFERROR(H44,0))+((Besatzung!$B$18&lt;&gt;"")*IF(B44="",1,(IF(Besatzung!$C$18="",Besatzung!$B$5,Besatzung!$C$18)&lt;=B44)*(IF(Besatzung!$D$18="",Besatzung!$B$6,Besatzung!$D$18)&gt;=B44)))*(Besatzung!$F$18="x")*IFERROR(H44,0)/IFERROR(SUMPRODUCT((Besatzung!$B$11:$B$22&lt;&gt;"")*(Besatzung!$F$11:$F$22="x")*(IF(Besatzung!$C$11:$C$22="",Besatzung!$B$5,Besatzung!$C$11:$C$22)&lt;=B44)*(IF(Besatzung!$D$11:$D$22="",Besatzung!$B$6,Besatzung!$D$11:$D$22)&gt;=B44)),1)),IF(I44="An Bord",(((Besatzung!$B$18&lt;&gt;"")*IF(B44="",1,(IF(Besatzung!$C$18="",Besatzung!$B$5,Besatzung!$C$18)&lt;=B44)*(IF(Besatzung!$D$18="",Besatzung!$B$6,Besatzung!$D$18)&gt;=B44)))*((G44-IFERROR(H44,0))/IFERROR(SUMPRODUCT((Besatzung!$B$11:$B$22&lt;&gt;"")*(IF(Besatzung!$C$11:$C$22="",Besatzung!$B$5,Besatzung!$C$11:$C$22)&lt;=B44)*(IF(Besatzung!$D$11:$D$22="",Besatzung!$B$6,Besatzung!$D$11:$D$22)&gt;=B44)),1)+(Besatzung!$F$18="x")*IFERROR(H44,0)/IFERROR(SUMPRODUCT((Besatzung!$B$11:$B$22&lt;&gt;"")*(Besatzung!$F$11:$F$22="x")*(IF(Besatzung!$C$11:$C$22="",Besatzung!$B$5,Besatzung!$C$11:$C$22)&lt;=B44)*(IF(Besatzung!$D$11:$D$22="",Besatzung!$B$6,Besatzung!$D$11:$D$22)&gt;=B44)),1))),IF(I44="Individuell",((Q44="x")*((G44-IFERROR(H44,0))/IFERROR(COUNTIF(J44:U44,"x"),1)+(Besatzung!$F$18="x")*IFERROR(H44,0)/IFERROR(SUMPRODUCT((J44:U44="x")*(Besatzung!$F$11:$F$22="x")),1))),(IF(COUNTIF(J44:U44,"x")=0,IF(Besatzung!$B$18&lt;&gt;"",1,0),(Q44="x"))*(G44-IFERROR(H44,0))/IFERROR(IF(COUNTIF(J44:U44,"x")=0,COUNTA(Besatzung!$B$11:$B$22),COUNTIF(J44:U44,"x")),1)+IF(COUNTIF(J44:U44,"x")=0,(Besatzung!$F$18="x"),(Q44="x")*(Besatzung!$F$18="x"))*IFERROR(H44,0)/IFERROR(IF(COUNTIF(J44:U44,"x")=0,SUMPRODUCT((Besatzung!$B$11:$B$22&lt;&gt;"")*(Besatzung!$F$11:$F$22="x")),SUMPRODUCT((J44:U44="x")*(Besatzung!$F$11:$F$22="x"))),1))))),0))))</f>
        <v/>
      </c>
      <c r="AD44" s="247">
        <f>IF(C44="Gutschrift","",IF(G44="","",IF(Besatzung!$B$19="","",IFERROR(IF(I44="Zeitanteilig",(Besatzung!$G$19*(G44-IFERROR(H44,0))+((Besatzung!$B$19&lt;&gt;"")*IF(B44="",1,(IF(Besatzung!$C$19="",Besatzung!$B$5,Besatzung!$C$19)&lt;=B44)*(IF(Besatzung!$D$19="",Besatzung!$B$6,Besatzung!$D$19)&gt;=B44)))*(Besatzung!$F$19="x")*IFERROR(H44,0)/IFERROR(SUMPRODUCT((Besatzung!$B$11:$B$22&lt;&gt;"")*(Besatzung!$F$11:$F$22="x")*(IF(Besatzung!$C$11:$C$22="",Besatzung!$B$5,Besatzung!$C$11:$C$22)&lt;=B44)*(IF(Besatzung!$D$11:$D$22="",Besatzung!$B$6,Besatzung!$D$11:$D$22)&gt;=B44)),1)),IF(I44="An Bord",(((Besatzung!$B$19&lt;&gt;"")*IF(B44="",1,(IF(Besatzung!$C$19="",Besatzung!$B$5,Besatzung!$C$19)&lt;=B44)*(IF(Besatzung!$D$19="",Besatzung!$B$6,Besatzung!$D$19)&gt;=B44)))*((G44-IFERROR(H44,0))/IFERROR(SUMPRODUCT((Besatzung!$B$11:$B$22&lt;&gt;"")*(IF(Besatzung!$C$11:$C$22="",Besatzung!$B$5,Besatzung!$C$11:$C$22)&lt;=B44)*(IF(Besatzung!$D$11:$D$22="",Besatzung!$B$6,Besatzung!$D$11:$D$22)&gt;=B44)),1)+(Besatzung!$F$19="x")*IFERROR(H44,0)/IFERROR(SUMPRODUCT((Besatzung!$B$11:$B$22&lt;&gt;"")*(Besatzung!$F$11:$F$22="x")*(IF(Besatzung!$C$11:$C$22="",Besatzung!$B$5,Besatzung!$C$11:$C$22)&lt;=B44)*(IF(Besatzung!$D$11:$D$22="",Besatzung!$B$6,Besatzung!$D$11:$D$22)&gt;=B44)),1))),IF(I44="Individuell",((R44="x")*((G44-IFERROR(H44,0))/IFERROR(COUNTIF(J44:U44,"x"),1)+(Besatzung!$F$19="x")*IFERROR(H44,0)/IFERROR(SUMPRODUCT((J44:U44="x")*(Besatzung!$F$11:$F$22="x")),1))),(IF(COUNTIF(J44:U44,"x")=0,IF(Besatzung!$B$19&lt;&gt;"",1,0),(R44="x"))*(G44-IFERROR(H44,0))/IFERROR(IF(COUNTIF(J44:U44,"x")=0,COUNTA(Besatzung!$B$11:$B$22),COUNTIF(J44:U44,"x")),1)+IF(COUNTIF(J44:U44,"x")=0,(Besatzung!$F$19="x"),(R44="x")*(Besatzung!$F$19="x"))*IFERROR(H44,0)/IFERROR(IF(COUNTIF(J44:U44,"x")=0,SUMPRODUCT((Besatzung!$B$11:$B$22&lt;&gt;"")*(Besatzung!$F$11:$F$22="x")),SUMPRODUCT((J44:U44="x")*(Besatzung!$F$11:$F$22="x"))),1))))),0))))</f>
        <v/>
      </c>
      <c r="AE44" s="247">
        <f>IF(C44="Gutschrift","",IF(G44="","",IF(Besatzung!$B$20="","",IFERROR(IF(I44="Zeitanteilig",(Besatzung!$G$20*(G44-IFERROR(H44,0))+((Besatzung!$B$20&lt;&gt;"")*IF(B44="",1,(IF(Besatzung!$C$20="",Besatzung!$B$5,Besatzung!$C$20)&lt;=B44)*(IF(Besatzung!$D$20="",Besatzung!$B$6,Besatzung!$D$20)&gt;=B44)))*(Besatzung!$F$20="x")*IFERROR(H44,0)/IFERROR(SUMPRODUCT((Besatzung!$B$11:$B$22&lt;&gt;"")*(Besatzung!$F$11:$F$22="x")*(IF(Besatzung!$C$11:$C$22="",Besatzung!$B$5,Besatzung!$C$11:$C$22)&lt;=B44)*(IF(Besatzung!$D$11:$D$22="",Besatzung!$B$6,Besatzung!$D$11:$D$22)&gt;=B44)),1)),IF(I44="An Bord",(((Besatzung!$B$20&lt;&gt;"")*IF(B44="",1,(IF(Besatzung!$C$20="",Besatzung!$B$5,Besatzung!$C$20)&lt;=B44)*(IF(Besatzung!$D$20="",Besatzung!$B$6,Besatzung!$D$20)&gt;=B44)))*((G44-IFERROR(H44,0))/IFERROR(SUMPRODUCT((Besatzung!$B$11:$B$22&lt;&gt;"")*(IF(Besatzung!$C$11:$C$22="",Besatzung!$B$5,Besatzung!$C$11:$C$22)&lt;=B44)*(IF(Besatzung!$D$11:$D$22="",Besatzung!$B$6,Besatzung!$D$11:$D$22)&gt;=B44)),1)+(Besatzung!$F$20="x")*IFERROR(H44,0)/IFERROR(SUMPRODUCT((Besatzung!$B$11:$B$22&lt;&gt;"")*(Besatzung!$F$11:$F$22="x")*(IF(Besatzung!$C$11:$C$22="",Besatzung!$B$5,Besatzung!$C$11:$C$22)&lt;=B44)*(IF(Besatzung!$D$11:$D$22="",Besatzung!$B$6,Besatzung!$D$11:$D$22)&gt;=B44)),1))),IF(I44="Individuell",((S44="x")*((G44-IFERROR(H44,0))/IFERROR(COUNTIF(J44:U44,"x"),1)+(Besatzung!$F$20="x")*IFERROR(H44,0)/IFERROR(SUMPRODUCT((J44:U44="x")*(Besatzung!$F$11:$F$22="x")),1))),(IF(COUNTIF(J44:U44,"x")=0,IF(Besatzung!$B$20&lt;&gt;"",1,0),(S44="x"))*(G44-IFERROR(H44,0))/IFERROR(IF(COUNTIF(J44:U44,"x")=0,COUNTA(Besatzung!$B$11:$B$22),COUNTIF(J44:U44,"x")),1)+IF(COUNTIF(J44:U44,"x")=0,(Besatzung!$F$20="x"),(S44="x")*(Besatzung!$F$20="x"))*IFERROR(H44,0)/IFERROR(IF(COUNTIF(J44:U44,"x")=0,SUMPRODUCT((Besatzung!$B$11:$B$22&lt;&gt;"")*(Besatzung!$F$11:$F$22="x")),SUMPRODUCT((J44:U44="x")*(Besatzung!$F$11:$F$22="x"))),1))))),0))))</f>
        <v/>
      </c>
      <c r="AF44" s="247">
        <f>IF(C44="Gutschrift","",IF(G44="","",IF(Besatzung!$B$21="","",IFERROR(IF(I44="Zeitanteilig",(Besatzung!$G$21*(G44-IFERROR(H44,0))+((Besatzung!$B$21&lt;&gt;"")*IF(B44="",1,(IF(Besatzung!$C$21="",Besatzung!$B$5,Besatzung!$C$21)&lt;=B44)*(IF(Besatzung!$D$21="",Besatzung!$B$6,Besatzung!$D$21)&gt;=B44)))*(Besatzung!$F$21="x")*IFERROR(H44,0)/IFERROR(SUMPRODUCT((Besatzung!$B$11:$B$22&lt;&gt;"")*(Besatzung!$F$11:$F$22="x")*(IF(Besatzung!$C$11:$C$22="",Besatzung!$B$5,Besatzung!$C$11:$C$22)&lt;=B44)*(IF(Besatzung!$D$11:$D$22="",Besatzung!$B$6,Besatzung!$D$11:$D$22)&gt;=B44)),1)),IF(I44="An Bord",(((Besatzung!$B$21&lt;&gt;"")*IF(B44="",1,(IF(Besatzung!$C$21="",Besatzung!$B$5,Besatzung!$C$21)&lt;=B44)*(IF(Besatzung!$D$21="",Besatzung!$B$6,Besatzung!$D$21)&gt;=B44)))*((G44-IFERROR(H44,0))/IFERROR(SUMPRODUCT((Besatzung!$B$11:$B$22&lt;&gt;"")*(IF(Besatzung!$C$11:$C$22="",Besatzung!$B$5,Besatzung!$C$11:$C$22)&lt;=B44)*(IF(Besatzung!$D$11:$D$22="",Besatzung!$B$6,Besatzung!$D$11:$D$22)&gt;=B44)),1)+(Besatzung!$F$21="x")*IFERROR(H44,0)/IFERROR(SUMPRODUCT((Besatzung!$B$11:$B$22&lt;&gt;"")*(Besatzung!$F$11:$F$22="x")*(IF(Besatzung!$C$11:$C$22="",Besatzung!$B$5,Besatzung!$C$11:$C$22)&lt;=B44)*(IF(Besatzung!$D$11:$D$22="",Besatzung!$B$6,Besatzung!$D$11:$D$22)&gt;=B44)),1))),IF(I44="Individuell",((T44="x")*((G44-IFERROR(H44,0))/IFERROR(COUNTIF(J44:U44,"x"),1)+(Besatzung!$F$21="x")*IFERROR(H44,0)/IFERROR(SUMPRODUCT((J44:U44="x")*(Besatzung!$F$11:$F$22="x")),1))),(IF(COUNTIF(J44:U44,"x")=0,IF(Besatzung!$B$21&lt;&gt;"",1,0),(T44="x"))*(G44-IFERROR(H44,0))/IFERROR(IF(COUNTIF(J44:U44,"x")=0,COUNTA(Besatzung!$B$11:$B$22),COUNTIF(J44:U44,"x")),1)+IF(COUNTIF(J44:U44,"x")=0,(Besatzung!$F$21="x"),(T44="x")*(Besatzung!$F$21="x"))*IFERROR(H44,0)/IFERROR(IF(COUNTIF(J44:U44,"x")=0,SUMPRODUCT((Besatzung!$B$11:$B$22&lt;&gt;"")*(Besatzung!$F$11:$F$22="x")),SUMPRODUCT((J44:U44="x")*(Besatzung!$F$11:$F$22="x"))),1))))),0))))</f>
        <v/>
      </c>
      <c r="AG44" s="247">
        <f>IF(C44="Gutschrift","",IF(G44="","",IF(Besatzung!$B$22="","",IFERROR(IF(I44="Zeitanteilig",(Besatzung!$G$22*(G44-IFERROR(H44,0))+((Besatzung!$B$22&lt;&gt;"")*IF(B44="",1,(IF(Besatzung!$C$22="",Besatzung!$B$5,Besatzung!$C$22)&lt;=B44)*(IF(Besatzung!$D$22="",Besatzung!$B$6,Besatzung!$D$22)&gt;=B44)))*(Besatzung!$F$22="x")*IFERROR(H44,0)/IFERROR(SUMPRODUCT((Besatzung!$B$11:$B$22&lt;&gt;"")*(Besatzung!$F$11:$F$22="x")*(IF(Besatzung!$C$11:$C$22="",Besatzung!$B$5,Besatzung!$C$11:$C$22)&lt;=B44)*(IF(Besatzung!$D$11:$D$22="",Besatzung!$B$6,Besatzung!$D$11:$D$22)&gt;=B44)),1)),IF(I44="An Bord",(((Besatzung!$B$22&lt;&gt;"")*IF(B44="",1,(IF(Besatzung!$C$22="",Besatzung!$B$5,Besatzung!$C$22)&lt;=B44)*(IF(Besatzung!$D$22="",Besatzung!$B$6,Besatzung!$D$22)&gt;=B44)))*((G44-IFERROR(H44,0))/IFERROR(SUMPRODUCT((Besatzung!$B$11:$B$22&lt;&gt;"")*(IF(Besatzung!$C$11:$C$22="",Besatzung!$B$5,Besatzung!$C$11:$C$22)&lt;=B44)*(IF(Besatzung!$D$11:$D$22="",Besatzung!$B$6,Besatzung!$D$11:$D$22)&gt;=B44)),1)+(Besatzung!$F$22="x")*IFERROR(H44,0)/IFERROR(SUMPRODUCT((Besatzung!$B$11:$B$22&lt;&gt;"")*(Besatzung!$F$11:$F$22="x")*(IF(Besatzung!$C$11:$C$22="",Besatzung!$B$5,Besatzung!$C$11:$C$22)&lt;=B44)*(IF(Besatzung!$D$11:$D$22="",Besatzung!$B$6,Besatzung!$D$11:$D$22)&gt;=B44)),1))),IF(I44="Individuell",((U44="x")*((G44-IFERROR(H44,0))/IFERROR(COUNTIF(J44:U44,"x"),1)+(Besatzung!$F$22="x")*IFERROR(H44,0)/IFERROR(SUMPRODUCT((J44:U44="x")*(Besatzung!$F$11:$F$22="x")),1))),(IF(COUNTIF(J44:U44,"x")=0,IF(Besatzung!$B$22&lt;&gt;"",1,0),(U44="x"))*(G44-IFERROR(H44,0))/IFERROR(IF(COUNTIF(J44:U44,"x")=0,COUNTA(Besatzung!$B$11:$B$22),COUNTIF(J44:U44,"x")),1)+IF(COUNTIF(J44:U44,"x")=0,(Besatzung!$F$22="x"),(U44="x")*(Besatzung!$F$22="x"))*IFERROR(H44,0)/IFERROR(IF(COUNTIF(J44:U44,"x")=0,SUMPRODUCT((Besatzung!$B$11:$B$22&lt;&gt;"")*(Besatzung!$F$11:$F$22="x")),SUMPRODUCT((J44:U44="x")*(Besatzung!$F$11:$F$22="x"))),1))))),0))))</f>
        <v/>
      </c>
      <c r="AH44" s="248" t="n"/>
      <c r="AI44" s="248" t="n"/>
    </row>
    <row r="45" ht="21.75" customHeight="1" s="154">
      <c r="A45" s="238">
        <f>IF(AND(D45="",C45=""),"",42)</f>
        <v/>
      </c>
      <c r="B45" s="206" t="n"/>
      <c r="C45" s="249" t="n"/>
      <c r="D45" s="250" t="n"/>
      <c r="E45" s="251" t="n"/>
      <c r="F45" s="252" t="n"/>
      <c r="G45" s="253" t="n"/>
      <c r="H45" s="254" t="n"/>
      <c r="I45" s="255" t="n"/>
      <c r="J45" s="256" t="n"/>
      <c r="K45" s="256" t="n"/>
      <c r="L45" s="256" t="n"/>
      <c r="M45" s="256" t="n"/>
      <c r="N45" s="256" t="n"/>
      <c r="O45" s="256" t="n"/>
      <c r="P45" s="256" t="n"/>
      <c r="Q45" s="256" t="n"/>
      <c r="R45" s="256" t="n"/>
      <c r="S45" s="256" t="n"/>
      <c r="T45" s="256" t="n"/>
      <c r="U45" s="256" t="n"/>
      <c r="V45" s="247">
        <f>IF(C45="Gutschrift","",IF(G45="","",IF(Besatzung!$B$11="","",IFERROR(IF(I45="Zeitanteilig",(Besatzung!$G$11*(G45-IFERROR(H45,0))+((Besatzung!$B$11&lt;&gt;"")*IF(B45="",1,(IF(Besatzung!$C$11="",Besatzung!$B$5,Besatzung!$C$11)&lt;=B45)*(IF(Besatzung!$D$11="",Besatzung!$B$6,Besatzung!$D$11)&gt;=B45)))*(Besatzung!$F$11="x")*IFERROR(H45,0)/IFERROR(SUMPRODUCT((Besatzung!$B$11:$B$22&lt;&gt;"")*(Besatzung!$F$11:$F$22="x")*(IF(Besatzung!$C$11:$C$22="",Besatzung!$B$5,Besatzung!$C$11:$C$22)&lt;=B45)*(IF(Besatzung!$D$11:$D$22="",Besatzung!$B$6,Besatzung!$D$11:$D$22)&gt;=B45)),1)),IF(I45="An Bord",(((Besatzung!$B$11&lt;&gt;"")*IF(B45="",1,(IF(Besatzung!$C$11="",Besatzung!$B$5,Besatzung!$C$11)&lt;=B45)*(IF(Besatzung!$D$11="",Besatzung!$B$6,Besatzung!$D$11)&gt;=B45)))*((G45-IFERROR(H45,0))/IFERROR(SUMPRODUCT((Besatzung!$B$11:$B$22&lt;&gt;"")*(IF(Besatzung!$C$11:$C$22="",Besatzung!$B$5,Besatzung!$C$11:$C$22)&lt;=B45)*(IF(Besatzung!$D$11:$D$22="",Besatzung!$B$6,Besatzung!$D$11:$D$22)&gt;=B45)),1)+(Besatzung!$F$11="x")*IFERROR(H45,0)/IFERROR(SUMPRODUCT((Besatzung!$B$11:$B$22&lt;&gt;"")*(Besatzung!$F$11:$F$22="x")*(IF(Besatzung!$C$11:$C$22="",Besatzung!$B$5,Besatzung!$C$11:$C$22)&lt;=B45)*(IF(Besatzung!$D$11:$D$22="",Besatzung!$B$6,Besatzung!$D$11:$D$22)&gt;=B45)),1))),IF(I45="Individuell",((J45="x")*((G45-IFERROR(H45,0))/IFERROR(COUNTIF(J45:U45,"x"),1)+(Besatzung!$F$11="x")*IFERROR(H45,0)/IFERROR(SUMPRODUCT((J45:U45="x")*(Besatzung!$F$11:$F$22="x")),1))),(IF(COUNTIF(J45:U45,"x")=0,IF(Besatzung!$B$11&lt;&gt;"",1,0),(J45="x"))*(G45-IFERROR(H45,0))/IFERROR(IF(COUNTIF(J45:U45,"x")=0,COUNTA(Besatzung!$B$11:$B$22),COUNTIF(J45:U45,"x")),1)+IF(COUNTIF(J45:U45,"x")=0,(Besatzung!$F$11="x"),(J45="x")*(Besatzung!$F$11="x"))*IFERROR(H45,0)/IFERROR(IF(COUNTIF(J45:U45,"x")=0,SUMPRODUCT((Besatzung!$B$11:$B$22&lt;&gt;"")*(Besatzung!$F$11:$F$22="x")),SUMPRODUCT((J45:U45="x")*(Besatzung!$F$11:$F$22="x"))),1))))),0))))</f>
        <v/>
      </c>
      <c r="W45" s="247">
        <f>IF(C45="Gutschrift","",IF(G45="","",IF(Besatzung!$B$12="","",IFERROR(IF(I45="Zeitanteilig",(Besatzung!$G$12*(G45-IFERROR(H45,0))+((Besatzung!$B$12&lt;&gt;"")*IF(B45="",1,(IF(Besatzung!$C$12="",Besatzung!$B$5,Besatzung!$C$12)&lt;=B45)*(IF(Besatzung!$D$12="",Besatzung!$B$6,Besatzung!$D$12)&gt;=B45)))*(Besatzung!$F$12="x")*IFERROR(H45,0)/IFERROR(SUMPRODUCT((Besatzung!$B$11:$B$22&lt;&gt;"")*(Besatzung!$F$11:$F$22="x")*(IF(Besatzung!$C$11:$C$22="",Besatzung!$B$5,Besatzung!$C$11:$C$22)&lt;=B45)*(IF(Besatzung!$D$11:$D$22="",Besatzung!$B$6,Besatzung!$D$11:$D$22)&gt;=B45)),1)),IF(I45="An Bord",(((Besatzung!$B$12&lt;&gt;"")*IF(B45="",1,(IF(Besatzung!$C$12="",Besatzung!$B$5,Besatzung!$C$12)&lt;=B45)*(IF(Besatzung!$D$12="",Besatzung!$B$6,Besatzung!$D$12)&gt;=B45)))*((G45-IFERROR(H45,0))/IFERROR(SUMPRODUCT((Besatzung!$B$11:$B$22&lt;&gt;"")*(IF(Besatzung!$C$11:$C$22="",Besatzung!$B$5,Besatzung!$C$11:$C$22)&lt;=B45)*(IF(Besatzung!$D$11:$D$22="",Besatzung!$B$6,Besatzung!$D$11:$D$22)&gt;=B45)),1)+(Besatzung!$F$12="x")*IFERROR(H45,0)/IFERROR(SUMPRODUCT((Besatzung!$B$11:$B$22&lt;&gt;"")*(Besatzung!$F$11:$F$22="x")*(IF(Besatzung!$C$11:$C$22="",Besatzung!$B$5,Besatzung!$C$11:$C$22)&lt;=B45)*(IF(Besatzung!$D$11:$D$22="",Besatzung!$B$6,Besatzung!$D$11:$D$22)&gt;=B45)),1))),IF(I45="Individuell",((K45="x")*((G45-IFERROR(H45,0))/IFERROR(COUNTIF(J45:U45,"x"),1)+(Besatzung!$F$12="x")*IFERROR(H45,0)/IFERROR(SUMPRODUCT((J45:U45="x")*(Besatzung!$F$11:$F$22="x")),1))),(IF(COUNTIF(J45:U45,"x")=0,IF(Besatzung!$B$12&lt;&gt;"",1,0),(K45="x"))*(G45-IFERROR(H45,0))/IFERROR(IF(COUNTIF(J45:U45,"x")=0,COUNTA(Besatzung!$B$11:$B$22),COUNTIF(J45:U45,"x")),1)+IF(COUNTIF(J45:U45,"x")=0,(Besatzung!$F$12="x"),(K45="x")*(Besatzung!$F$12="x"))*IFERROR(H45,0)/IFERROR(IF(COUNTIF(J45:U45,"x")=0,SUMPRODUCT((Besatzung!$B$11:$B$22&lt;&gt;"")*(Besatzung!$F$11:$F$22="x")),SUMPRODUCT((J45:U45="x")*(Besatzung!$F$11:$F$22="x"))),1))))),0))))</f>
        <v/>
      </c>
      <c r="X45" s="247">
        <f>IF(C45="Gutschrift","",IF(G45="","",IF(Besatzung!$B$13="","",IFERROR(IF(I45="Zeitanteilig",(Besatzung!$G$13*(G45-IFERROR(H45,0))+((Besatzung!$B$13&lt;&gt;"")*IF(B45="",1,(IF(Besatzung!$C$13="",Besatzung!$B$5,Besatzung!$C$13)&lt;=B45)*(IF(Besatzung!$D$13="",Besatzung!$B$6,Besatzung!$D$13)&gt;=B45)))*(Besatzung!$F$13="x")*IFERROR(H45,0)/IFERROR(SUMPRODUCT((Besatzung!$B$11:$B$22&lt;&gt;"")*(Besatzung!$F$11:$F$22="x")*(IF(Besatzung!$C$11:$C$22="",Besatzung!$B$5,Besatzung!$C$11:$C$22)&lt;=B45)*(IF(Besatzung!$D$11:$D$22="",Besatzung!$B$6,Besatzung!$D$11:$D$22)&gt;=B45)),1)),IF(I45="An Bord",(((Besatzung!$B$13&lt;&gt;"")*IF(B45="",1,(IF(Besatzung!$C$13="",Besatzung!$B$5,Besatzung!$C$13)&lt;=B45)*(IF(Besatzung!$D$13="",Besatzung!$B$6,Besatzung!$D$13)&gt;=B45)))*((G45-IFERROR(H45,0))/IFERROR(SUMPRODUCT((Besatzung!$B$11:$B$22&lt;&gt;"")*(IF(Besatzung!$C$11:$C$22="",Besatzung!$B$5,Besatzung!$C$11:$C$22)&lt;=B45)*(IF(Besatzung!$D$11:$D$22="",Besatzung!$B$6,Besatzung!$D$11:$D$22)&gt;=B45)),1)+(Besatzung!$F$13="x")*IFERROR(H45,0)/IFERROR(SUMPRODUCT((Besatzung!$B$11:$B$22&lt;&gt;"")*(Besatzung!$F$11:$F$22="x")*(IF(Besatzung!$C$11:$C$22="",Besatzung!$B$5,Besatzung!$C$11:$C$22)&lt;=B45)*(IF(Besatzung!$D$11:$D$22="",Besatzung!$B$6,Besatzung!$D$11:$D$22)&gt;=B45)),1))),IF(I45="Individuell",((K45="x")*((G45-IFERROR(H45,0))/IFERROR(COUNTIF(J45:U45,"x"),1)+(Besatzung!$F$13="x")*IFERROR(H45,0)/IFERROR(SUMPRODUCT((J45:U45="x")*(Besatzung!$F$11:$F$22="x")),1))),(IF(COUNTIF(J45:U45,"x")=0,IF(Besatzung!$B$13&lt;&gt;"",1,0),(K45="x"))*(G45-IFERROR(H45,0))/IFERROR(IF(COUNTIF(J45:U45,"x")=0,COUNTA(Besatzung!$B$11:$B$22),COUNTIF(J45:U45,"x")),1)+IF(COUNTIF(J45:U45,"x")=0,(Besatzung!$F$13="x"),(K45="x")*(Besatzung!$F$13="x"))*IFERROR(H45,0)/IFERROR(IF(COUNTIF(J45:U45,"x")=0,SUMPRODUCT((Besatzung!$B$11:$B$22&lt;&gt;"")*(Besatzung!$F$11:$F$22="x")),SUMPRODUCT((J45:U45="x")*(Besatzung!$F$11:$F$22="x"))),1))))),0))))</f>
        <v/>
      </c>
      <c r="Y45" s="247">
        <f>IF(C45="Gutschrift","",IF(G45="","",IF(Besatzung!$B$14="","",IFERROR(IF(I45="Zeitanteilig",(Besatzung!$G$14*(G45-IFERROR(H45,0))+((Besatzung!$B$14&lt;&gt;"")*IF(B45="",1,(IF(Besatzung!$C$14="",Besatzung!$B$5,Besatzung!$C$14)&lt;=B45)*(IF(Besatzung!$D$14="",Besatzung!$B$6,Besatzung!$D$14)&gt;=B45)))*(Besatzung!$F$14="x")*IFERROR(H45,0)/IFERROR(SUMPRODUCT((Besatzung!$B$11:$B$22&lt;&gt;"")*(Besatzung!$F$11:$F$22="x")*(IF(Besatzung!$C$11:$C$22="",Besatzung!$B$5,Besatzung!$C$11:$C$22)&lt;=B45)*(IF(Besatzung!$D$11:$D$22="",Besatzung!$B$6,Besatzung!$D$11:$D$22)&gt;=B45)),1)),IF(I45="An Bord",(((Besatzung!$B$14&lt;&gt;"")*IF(B45="",1,(IF(Besatzung!$C$14="",Besatzung!$B$5,Besatzung!$C$14)&lt;=B45)*(IF(Besatzung!$D$14="",Besatzung!$B$6,Besatzung!$D$14)&gt;=B45)))*((G45-IFERROR(H45,0))/IFERROR(SUMPRODUCT((Besatzung!$B$11:$B$22&lt;&gt;"")*(IF(Besatzung!$C$11:$C$22="",Besatzung!$B$5,Besatzung!$C$11:$C$22)&lt;=B45)*(IF(Besatzung!$D$11:$D$22="",Besatzung!$B$6,Besatzung!$D$11:$D$22)&gt;=B45)),1)+(Besatzung!$F$14="x")*IFERROR(H45,0)/IFERROR(SUMPRODUCT((Besatzung!$B$11:$B$22&lt;&gt;"")*(Besatzung!$F$11:$F$22="x")*(IF(Besatzung!$C$11:$C$22="",Besatzung!$B$5,Besatzung!$C$11:$C$22)&lt;=B45)*(IF(Besatzung!$D$11:$D$22="",Besatzung!$B$6,Besatzung!$D$11:$D$22)&gt;=B45)),1))),IF(I45="Individuell",((M45="x")*((G45-IFERROR(H45,0))/IFERROR(COUNTIF(J45:U45,"x"),1)+(Besatzung!$F$14="x")*IFERROR(H45,0)/IFERROR(SUMPRODUCT((J45:U45="x")*(Besatzung!$F$11:$F$22="x")),1))),(IF(COUNTIF(J45:U45,"x")=0,IF(Besatzung!$B$14&lt;&gt;"",1,0),(M45="x"))*(G45-IFERROR(H45,0))/IFERROR(IF(COUNTIF(J45:U45,"x")=0,COUNTA(Besatzung!$B$11:$B$22),COUNTIF(J45:U45,"x")),1)+IF(COUNTIF(J45:U45,"x")=0,(Besatzung!$F$14="x"),(M45="x")*(Besatzung!$F$14="x"))*IFERROR(H45,0)/IFERROR(IF(COUNTIF(J45:U45,"x")=0,SUMPRODUCT((Besatzung!$B$11:$B$22&lt;&gt;"")*(Besatzung!$F$11:$F$22="x")),SUMPRODUCT((J45:U45="x")*(Besatzung!$F$11:$F$22="x"))),1))))),0))))</f>
        <v/>
      </c>
      <c r="Z45" s="247">
        <f>IF(C45="Gutschrift","",IF(G45="","",IF(Besatzung!$B$13="","",IFERROR(IF(I45="Zeitanteilig",(Besatzung!$G$15*(G45-IFERROR(H45,0))+((Besatzung!$B$13&lt;&gt;"")*IF(B45="",1,(IF(Besatzung!$C$15="",Besatzung!$B$5,Besatzung!$C$15)&lt;=B45)*(IF(Besatzung!$D$15="",Besatzung!$B$6,Besatzung!$D$15)&gt;=B45)))*(Besatzung!$F$15="x")*IFERROR(H45,0)/IFERROR(SUMPRODUCT((Besatzung!$B$11:$B$22&lt;&gt;"")*(Besatzung!$F$11:$F$22="x")*(IF(Besatzung!$C$11:$C$22="",Besatzung!$B$5,Besatzung!$C$11:$C$22)&lt;=B45)*(IF(Besatzung!$D$11:$D$22="",Besatzung!$B$6,Besatzung!$D$11:$D$22)&gt;=B45)),1)),IF(I45="An Bord",(((Besatzung!$B$13&lt;&gt;"")*IF(B45="",1,(IF(Besatzung!$C$15="",Besatzung!$B$5,Besatzung!$C$15)&lt;=B45)*(IF(Besatzung!$D$15="",Besatzung!$B$6,Besatzung!$D$15)&gt;=B45)))*((G45-IFERROR(H45,0))/IFERROR(SUMPRODUCT((Besatzung!$B$11:$B$22&lt;&gt;"")*(IF(Besatzung!$C$11:$C$22="",Besatzung!$B$5,Besatzung!$C$11:$C$22)&lt;=B45)*(IF(Besatzung!$D$11:$D$22="",Besatzung!$B$6,Besatzung!$D$11:$D$22)&gt;=B45)),1)+(Besatzung!$F$15="x")*IFERROR(H45,0)/IFERROR(SUMPRODUCT((Besatzung!$B$11:$B$22&lt;&gt;"")*(Besatzung!$F$11:$F$22="x")*(IF(Besatzung!$C$11:$C$22="",Besatzung!$B$5,Besatzung!$C$11:$C$22)&lt;=B45)*(IF(Besatzung!$D$11:$D$22="",Besatzung!$B$6,Besatzung!$D$11:$D$22)&gt;=B45)),1))),IF(I45="Individuell",((N45="x")*((G45-IFERROR(H45,0))/IFERROR(COUNTIF(J45:U45,"x"),1)+(Besatzung!$F$15="x")*IFERROR(H45,0)/IFERROR(SUMPRODUCT((J45:U45="x")*(Besatzung!$F$11:$F$22="x")),1))),(IF(COUNTIF(J45:U45,"x")=0,IF(Besatzung!$B$13&lt;&gt;"",1,0),(N45="x"))*(G45-IFERROR(H45,0))/IFERROR(IF(COUNTIF(J45:U45,"x")=0,COUNTA(Besatzung!$B$11:$B$22),COUNTIF(J45:U45,"x")),1)+IF(COUNTIF(J45:U45,"x")=0,(Besatzung!$F$15="x"),(N45="x")*(Besatzung!$F$15="x"))*IFERROR(H45,0)/IFERROR(IF(COUNTIF(J45:U45,"x")=0,SUMPRODUCT((Besatzung!$B$11:$B$22&lt;&gt;"")*(Besatzung!$F$11:$F$22="x")),SUMPRODUCT((J45:U45="x")*(Besatzung!$F$11:$F$22="x"))),1))))),0))))</f>
        <v/>
      </c>
      <c r="AA45" s="247">
        <f>IF(C45="Gutschrift","",IF(G45="","",IF(Besatzung!$B$15="","",IFERROR(IF(I45="Zeitanteilig",(Besatzung!$G$16*(G45-IFERROR(H45,0))+((Besatzung!$B$15&lt;&gt;"")*IF(B45="",1,(IF(Besatzung!$C$16="",Besatzung!$B$5,Besatzung!$C$16)&lt;=B45)*(IF(Besatzung!$D$16="",Besatzung!$B$6,Besatzung!$D$16)&gt;=B45)))*(Besatzung!$F$16="x")*IFERROR(H45,0)/IFERROR(SUMPRODUCT((Besatzung!$B$11:$B$22&lt;&gt;"")*(Besatzung!$F$11:$F$22="x")*(IF(Besatzung!$C$11:$C$22="",Besatzung!$B$5,Besatzung!$C$11:$C$22)&lt;=B45)*(IF(Besatzung!$D$11:$D$22="",Besatzung!$B$6,Besatzung!$D$11:$D$22)&gt;=B45)),1)),IF(I45="An Bord",(((Besatzung!$B$15&lt;&gt;"")*IF(B45="",1,(IF(Besatzung!$C$16="",Besatzung!$B$5,Besatzung!$C$16)&lt;=B45)*(IF(Besatzung!$D$16="",Besatzung!$B$6,Besatzung!$D$16)&gt;=B45)))*((G45-IFERROR(H45,0))/IFERROR(SUMPRODUCT((Besatzung!$B$11:$B$22&lt;&gt;"")*(IF(Besatzung!$C$11:$C$22="",Besatzung!$B$5,Besatzung!$C$11:$C$22)&lt;=B45)*(IF(Besatzung!$D$11:$D$22="",Besatzung!$B$6,Besatzung!$D$11:$D$22)&gt;=B45)),1)+(Besatzung!$F$16="x")*IFERROR(H45,0)/IFERROR(SUMPRODUCT((Besatzung!$B$11:$B$22&lt;&gt;"")*(Besatzung!$F$11:$F$22="x")*(IF(Besatzung!$C$11:$C$22="",Besatzung!$B$5,Besatzung!$C$11:$C$22)&lt;=B45)*(IF(Besatzung!$D$11:$D$22="",Besatzung!$B$6,Besatzung!$D$11:$D$22)&gt;=B45)),1))),IF(I45="Individuell",((O45="x")*((G45-IFERROR(H45,0))/IFERROR(COUNTIF(J45:U45,"x"),1)+(Besatzung!$F$16="x")*IFERROR(H45,0)/IFERROR(SUMPRODUCT((J45:U45="x")*(Besatzung!$F$11:$F$22="x")),1))),(IF(COUNTIF(J45:U45,"x")=0,IF(Besatzung!$B$15&lt;&gt;"",1,0),(O45="x"))*(G45-IFERROR(H45,0))/IFERROR(IF(COUNTIF(J45:U45,"x")=0,COUNTA(Besatzung!$B$11:$B$22),COUNTIF(J45:U45,"x")),1)+IF(COUNTIF(J45:U45,"x")=0,(Besatzung!$F$16="x"),(O45="x")*(Besatzung!$F$16="x"))*IFERROR(H45,0)/IFERROR(IF(COUNTIF(J45:U45,"x")=0,SUMPRODUCT((Besatzung!$B$11:$B$22&lt;&gt;"")*(Besatzung!$F$11:$F$22="x")),SUMPRODUCT((J45:U45="x")*(Besatzung!$F$11:$F$22="x"))),1))))),0))))</f>
        <v/>
      </c>
      <c r="AB45" s="247">
        <f>IF(C45="Gutschrift","",IF(G45="","",IF(Besatzung!$B$17="","",IFERROR(IF(I45="Zeitanteilig",(Besatzung!$G$17*(G45-IFERROR(H45,0))+((Besatzung!$B$17&lt;&gt;"")*IF(B45="",1,(IF(Besatzung!$C$17="",Besatzung!$B$5,Besatzung!$C$17)&lt;=B45)*(IF(Besatzung!$D$17="",Besatzung!$B$6,Besatzung!$D$17)&gt;=B45)))*(Besatzung!$F$17="x")*IFERROR(H45,0)/IFERROR(SUMPRODUCT((Besatzung!$B$11:$B$22&lt;&gt;"")*(Besatzung!$F$11:$F$22="x")*(IF(Besatzung!$C$11:$C$22="",Besatzung!$B$5,Besatzung!$C$11:$C$22)&lt;=B45)*(IF(Besatzung!$D$11:$D$22="",Besatzung!$B$6,Besatzung!$D$11:$D$22)&gt;=B45)),1)),IF(I45="An Bord",(((Besatzung!$B$17&lt;&gt;"")*IF(B45="",1,(IF(Besatzung!$C$17="",Besatzung!$B$5,Besatzung!$C$17)&lt;=B45)*(IF(Besatzung!$D$17="",Besatzung!$B$6,Besatzung!$D$17)&gt;=B45)))*((G45-IFERROR(H45,0))/IFERROR(SUMPRODUCT((Besatzung!$B$11:$B$22&lt;&gt;"")*(IF(Besatzung!$C$11:$C$22="",Besatzung!$B$5,Besatzung!$C$11:$C$22)&lt;=B45)*(IF(Besatzung!$D$11:$D$22="",Besatzung!$B$6,Besatzung!$D$11:$D$22)&gt;=B45)),1)+(Besatzung!$F$17="x")*IFERROR(H45,0)/IFERROR(SUMPRODUCT((Besatzung!$B$11:$B$22&lt;&gt;"")*(Besatzung!$F$11:$F$22="x")*(IF(Besatzung!$C$11:$C$22="",Besatzung!$B$5,Besatzung!$C$11:$C$22)&lt;=B45)*(IF(Besatzung!$D$11:$D$22="",Besatzung!$B$6,Besatzung!$D$11:$D$22)&gt;=B45)),1))),IF(I45="Individuell",((P45="x")*((G45-IFERROR(H45,0))/IFERROR(COUNTIF(J45:U45,"x"),1)+(Besatzung!$F$17="x")*IFERROR(H45,0)/IFERROR(SUMPRODUCT((J45:U45="x")*(Besatzung!$F$11:$F$22="x")),1))),(IF(COUNTIF(J45:U45,"x")=0,IF(Besatzung!$B$17&lt;&gt;"",1,0),(P45="x"))*(G45-IFERROR(H45,0))/IFERROR(IF(COUNTIF(J45:U45,"x")=0,COUNTA(Besatzung!$B$11:$B$22),COUNTIF(J45:U45,"x")),1)+IF(COUNTIF(J45:U45,"x")=0,(Besatzung!$F$17="x"),(P45="x")*(Besatzung!$F$17="x"))*IFERROR(H45,0)/IFERROR(IF(COUNTIF(J45:U45,"x")=0,SUMPRODUCT((Besatzung!$B$11:$B$22&lt;&gt;"")*(Besatzung!$F$11:$F$22="x")),SUMPRODUCT((J45:U45="x")*(Besatzung!$F$11:$F$22="x"))),1))))),0))))</f>
        <v/>
      </c>
      <c r="AC45" s="247">
        <f>IF(C45="Gutschrift","",IF(G45="","",IF(Besatzung!$B$18="","",IFERROR(IF(I45="Zeitanteilig",(Besatzung!$G$18*(G45-IFERROR(H45,0))+((Besatzung!$B$18&lt;&gt;"")*IF(B45="",1,(IF(Besatzung!$C$18="",Besatzung!$B$5,Besatzung!$C$18)&lt;=B45)*(IF(Besatzung!$D$18="",Besatzung!$B$6,Besatzung!$D$18)&gt;=B45)))*(Besatzung!$F$18="x")*IFERROR(H45,0)/IFERROR(SUMPRODUCT((Besatzung!$B$11:$B$22&lt;&gt;"")*(Besatzung!$F$11:$F$22="x")*(IF(Besatzung!$C$11:$C$22="",Besatzung!$B$5,Besatzung!$C$11:$C$22)&lt;=B45)*(IF(Besatzung!$D$11:$D$22="",Besatzung!$B$6,Besatzung!$D$11:$D$22)&gt;=B45)),1)),IF(I45="An Bord",(((Besatzung!$B$18&lt;&gt;"")*IF(B45="",1,(IF(Besatzung!$C$18="",Besatzung!$B$5,Besatzung!$C$18)&lt;=B45)*(IF(Besatzung!$D$18="",Besatzung!$B$6,Besatzung!$D$18)&gt;=B45)))*((G45-IFERROR(H45,0))/IFERROR(SUMPRODUCT((Besatzung!$B$11:$B$22&lt;&gt;"")*(IF(Besatzung!$C$11:$C$22="",Besatzung!$B$5,Besatzung!$C$11:$C$22)&lt;=B45)*(IF(Besatzung!$D$11:$D$22="",Besatzung!$B$6,Besatzung!$D$11:$D$22)&gt;=B45)),1)+(Besatzung!$F$18="x")*IFERROR(H45,0)/IFERROR(SUMPRODUCT((Besatzung!$B$11:$B$22&lt;&gt;"")*(Besatzung!$F$11:$F$22="x")*(IF(Besatzung!$C$11:$C$22="",Besatzung!$B$5,Besatzung!$C$11:$C$22)&lt;=B45)*(IF(Besatzung!$D$11:$D$22="",Besatzung!$B$6,Besatzung!$D$11:$D$22)&gt;=B45)),1))),IF(I45="Individuell",((Q45="x")*((G45-IFERROR(H45,0))/IFERROR(COUNTIF(J45:U45,"x"),1)+(Besatzung!$F$18="x")*IFERROR(H45,0)/IFERROR(SUMPRODUCT((J45:U45="x")*(Besatzung!$F$11:$F$22="x")),1))),(IF(COUNTIF(J45:U45,"x")=0,IF(Besatzung!$B$18&lt;&gt;"",1,0),(Q45="x"))*(G45-IFERROR(H45,0))/IFERROR(IF(COUNTIF(J45:U45,"x")=0,COUNTA(Besatzung!$B$11:$B$22),COUNTIF(J45:U45,"x")),1)+IF(COUNTIF(J45:U45,"x")=0,(Besatzung!$F$18="x"),(Q45="x")*(Besatzung!$F$18="x"))*IFERROR(H45,0)/IFERROR(IF(COUNTIF(J45:U45,"x")=0,SUMPRODUCT((Besatzung!$B$11:$B$22&lt;&gt;"")*(Besatzung!$F$11:$F$22="x")),SUMPRODUCT((J45:U45="x")*(Besatzung!$F$11:$F$22="x"))),1))))),0))))</f>
        <v/>
      </c>
      <c r="AD45" s="247">
        <f>IF(C45="Gutschrift","",IF(G45="","",IF(Besatzung!$B$19="","",IFERROR(IF(I45="Zeitanteilig",(Besatzung!$G$19*(G45-IFERROR(H45,0))+((Besatzung!$B$19&lt;&gt;"")*IF(B45="",1,(IF(Besatzung!$C$19="",Besatzung!$B$5,Besatzung!$C$19)&lt;=B45)*(IF(Besatzung!$D$19="",Besatzung!$B$6,Besatzung!$D$19)&gt;=B45)))*(Besatzung!$F$19="x")*IFERROR(H45,0)/IFERROR(SUMPRODUCT((Besatzung!$B$11:$B$22&lt;&gt;"")*(Besatzung!$F$11:$F$22="x")*(IF(Besatzung!$C$11:$C$22="",Besatzung!$B$5,Besatzung!$C$11:$C$22)&lt;=B45)*(IF(Besatzung!$D$11:$D$22="",Besatzung!$B$6,Besatzung!$D$11:$D$22)&gt;=B45)),1)),IF(I45="An Bord",(((Besatzung!$B$19&lt;&gt;"")*IF(B45="",1,(IF(Besatzung!$C$19="",Besatzung!$B$5,Besatzung!$C$19)&lt;=B45)*(IF(Besatzung!$D$19="",Besatzung!$B$6,Besatzung!$D$19)&gt;=B45)))*((G45-IFERROR(H45,0))/IFERROR(SUMPRODUCT((Besatzung!$B$11:$B$22&lt;&gt;"")*(IF(Besatzung!$C$11:$C$22="",Besatzung!$B$5,Besatzung!$C$11:$C$22)&lt;=B45)*(IF(Besatzung!$D$11:$D$22="",Besatzung!$B$6,Besatzung!$D$11:$D$22)&gt;=B45)),1)+(Besatzung!$F$19="x")*IFERROR(H45,0)/IFERROR(SUMPRODUCT((Besatzung!$B$11:$B$22&lt;&gt;"")*(Besatzung!$F$11:$F$22="x")*(IF(Besatzung!$C$11:$C$22="",Besatzung!$B$5,Besatzung!$C$11:$C$22)&lt;=B45)*(IF(Besatzung!$D$11:$D$22="",Besatzung!$B$6,Besatzung!$D$11:$D$22)&gt;=B45)),1))),IF(I45="Individuell",((R45="x")*((G45-IFERROR(H45,0))/IFERROR(COUNTIF(J45:U45,"x"),1)+(Besatzung!$F$19="x")*IFERROR(H45,0)/IFERROR(SUMPRODUCT((J45:U45="x")*(Besatzung!$F$11:$F$22="x")),1))),(IF(COUNTIF(J45:U45,"x")=0,IF(Besatzung!$B$19&lt;&gt;"",1,0),(R45="x"))*(G45-IFERROR(H45,0))/IFERROR(IF(COUNTIF(J45:U45,"x")=0,COUNTA(Besatzung!$B$11:$B$22),COUNTIF(J45:U45,"x")),1)+IF(COUNTIF(J45:U45,"x")=0,(Besatzung!$F$19="x"),(R45="x")*(Besatzung!$F$19="x"))*IFERROR(H45,0)/IFERROR(IF(COUNTIF(J45:U45,"x")=0,SUMPRODUCT((Besatzung!$B$11:$B$22&lt;&gt;"")*(Besatzung!$F$11:$F$22="x")),SUMPRODUCT((J45:U45="x")*(Besatzung!$F$11:$F$22="x"))),1))))),0))))</f>
        <v/>
      </c>
      <c r="AE45" s="247">
        <f>IF(C45="Gutschrift","",IF(G45="","",IF(Besatzung!$B$20="","",IFERROR(IF(I45="Zeitanteilig",(Besatzung!$G$20*(G45-IFERROR(H45,0))+((Besatzung!$B$20&lt;&gt;"")*IF(B45="",1,(IF(Besatzung!$C$20="",Besatzung!$B$5,Besatzung!$C$20)&lt;=B45)*(IF(Besatzung!$D$20="",Besatzung!$B$6,Besatzung!$D$20)&gt;=B45)))*(Besatzung!$F$20="x")*IFERROR(H45,0)/IFERROR(SUMPRODUCT((Besatzung!$B$11:$B$22&lt;&gt;"")*(Besatzung!$F$11:$F$22="x")*(IF(Besatzung!$C$11:$C$22="",Besatzung!$B$5,Besatzung!$C$11:$C$22)&lt;=B45)*(IF(Besatzung!$D$11:$D$22="",Besatzung!$B$6,Besatzung!$D$11:$D$22)&gt;=B45)),1)),IF(I45="An Bord",(((Besatzung!$B$20&lt;&gt;"")*IF(B45="",1,(IF(Besatzung!$C$20="",Besatzung!$B$5,Besatzung!$C$20)&lt;=B45)*(IF(Besatzung!$D$20="",Besatzung!$B$6,Besatzung!$D$20)&gt;=B45)))*((G45-IFERROR(H45,0))/IFERROR(SUMPRODUCT((Besatzung!$B$11:$B$22&lt;&gt;"")*(IF(Besatzung!$C$11:$C$22="",Besatzung!$B$5,Besatzung!$C$11:$C$22)&lt;=B45)*(IF(Besatzung!$D$11:$D$22="",Besatzung!$B$6,Besatzung!$D$11:$D$22)&gt;=B45)),1)+(Besatzung!$F$20="x")*IFERROR(H45,0)/IFERROR(SUMPRODUCT((Besatzung!$B$11:$B$22&lt;&gt;"")*(Besatzung!$F$11:$F$22="x")*(IF(Besatzung!$C$11:$C$22="",Besatzung!$B$5,Besatzung!$C$11:$C$22)&lt;=B45)*(IF(Besatzung!$D$11:$D$22="",Besatzung!$B$6,Besatzung!$D$11:$D$22)&gt;=B45)),1))),IF(I45="Individuell",((S45="x")*((G45-IFERROR(H45,0))/IFERROR(COUNTIF(J45:U45,"x"),1)+(Besatzung!$F$20="x")*IFERROR(H45,0)/IFERROR(SUMPRODUCT((J45:U45="x")*(Besatzung!$F$11:$F$22="x")),1))),(IF(COUNTIF(J45:U45,"x")=0,IF(Besatzung!$B$20&lt;&gt;"",1,0),(S45="x"))*(G45-IFERROR(H45,0))/IFERROR(IF(COUNTIF(J45:U45,"x")=0,COUNTA(Besatzung!$B$11:$B$22),COUNTIF(J45:U45,"x")),1)+IF(COUNTIF(J45:U45,"x")=0,(Besatzung!$F$20="x"),(S45="x")*(Besatzung!$F$20="x"))*IFERROR(H45,0)/IFERROR(IF(COUNTIF(J45:U45,"x")=0,SUMPRODUCT((Besatzung!$B$11:$B$22&lt;&gt;"")*(Besatzung!$F$11:$F$22="x")),SUMPRODUCT((J45:U45="x")*(Besatzung!$F$11:$F$22="x"))),1))))),0))))</f>
        <v/>
      </c>
      <c r="AF45" s="247">
        <f>IF(C45="Gutschrift","",IF(G45="","",IF(Besatzung!$B$21="","",IFERROR(IF(I45="Zeitanteilig",(Besatzung!$G$21*(G45-IFERROR(H45,0))+((Besatzung!$B$21&lt;&gt;"")*IF(B45="",1,(IF(Besatzung!$C$21="",Besatzung!$B$5,Besatzung!$C$21)&lt;=B45)*(IF(Besatzung!$D$21="",Besatzung!$B$6,Besatzung!$D$21)&gt;=B45)))*(Besatzung!$F$21="x")*IFERROR(H45,0)/IFERROR(SUMPRODUCT((Besatzung!$B$11:$B$22&lt;&gt;"")*(Besatzung!$F$11:$F$22="x")*(IF(Besatzung!$C$11:$C$22="",Besatzung!$B$5,Besatzung!$C$11:$C$22)&lt;=B45)*(IF(Besatzung!$D$11:$D$22="",Besatzung!$B$6,Besatzung!$D$11:$D$22)&gt;=B45)),1)),IF(I45="An Bord",(((Besatzung!$B$21&lt;&gt;"")*IF(B45="",1,(IF(Besatzung!$C$21="",Besatzung!$B$5,Besatzung!$C$21)&lt;=B45)*(IF(Besatzung!$D$21="",Besatzung!$B$6,Besatzung!$D$21)&gt;=B45)))*((G45-IFERROR(H45,0))/IFERROR(SUMPRODUCT((Besatzung!$B$11:$B$22&lt;&gt;"")*(IF(Besatzung!$C$11:$C$22="",Besatzung!$B$5,Besatzung!$C$11:$C$22)&lt;=B45)*(IF(Besatzung!$D$11:$D$22="",Besatzung!$B$6,Besatzung!$D$11:$D$22)&gt;=B45)),1)+(Besatzung!$F$21="x")*IFERROR(H45,0)/IFERROR(SUMPRODUCT((Besatzung!$B$11:$B$22&lt;&gt;"")*(Besatzung!$F$11:$F$22="x")*(IF(Besatzung!$C$11:$C$22="",Besatzung!$B$5,Besatzung!$C$11:$C$22)&lt;=B45)*(IF(Besatzung!$D$11:$D$22="",Besatzung!$B$6,Besatzung!$D$11:$D$22)&gt;=B45)),1))),IF(I45="Individuell",((T45="x")*((G45-IFERROR(H45,0))/IFERROR(COUNTIF(J45:U45,"x"),1)+(Besatzung!$F$21="x")*IFERROR(H45,0)/IFERROR(SUMPRODUCT((J45:U45="x")*(Besatzung!$F$11:$F$22="x")),1))),(IF(COUNTIF(J45:U45,"x")=0,IF(Besatzung!$B$21&lt;&gt;"",1,0),(T45="x"))*(G45-IFERROR(H45,0))/IFERROR(IF(COUNTIF(J45:U45,"x")=0,COUNTA(Besatzung!$B$11:$B$22),COUNTIF(J45:U45,"x")),1)+IF(COUNTIF(J45:U45,"x")=0,(Besatzung!$F$21="x"),(T45="x")*(Besatzung!$F$21="x"))*IFERROR(H45,0)/IFERROR(IF(COUNTIF(J45:U45,"x")=0,SUMPRODUCT((Besatzung!$B$11:$B$22&lt;&gt;"")*(Besatzung!$F$11:$F$22="x")),SUMPRODUCT((J45:U45="x")*(Besatzung!$F$11:$F$22="x"))),1))))),0))))</f>
        <v/>
      </c>
      <c r="AG45" s="247">
        <f>IF(C45="Gutschrift","",IF(G45="","",IF(Besatzung!$B$22="","",IFERROR(IF(I45="Zeitanteilig",(Besatzung!$G$22*(G45-IFERROR(H45,0))+((Besatzung!$B$22&lt;&gt;"")*IF(B45="",1,(IF(Besatzung!$C$22="",Besatzung!$B$5,Besatzung!$C$22)&lt;=B45)*(IF(Besatzung!$D$22="",Besatzung!$B$6,Besatzung!$D$22)&gt;=B45)))*(Besatzung!$F$22="x")*IFERROR(H45,0)/IFERROR(SUMPRODUCT((Besatzung!$B$11:$B$22&lt;&gt;"")*(Besatzung!$F$11:$F$22="x")*(IF(Besatzung!$C$11:$C$22="",Besatzung!$B$5,Besatzung!$C$11:$C$22)&lt;=B45)*(IF(Besatzung!$D$11:$D$22="",Besatzung!$B$6,Besatzung!$D$11:$D$22)&gt;=B45)),1)),IF(I45="An Bord",(((Besatzung!$B$22&lt;&gt;"")*IF(B45="",1,(IF(Besatzung!$C$22="",Besatzung!$B$5,Besatzung!$C$22)&lt;=B45)*(IF(Besatzung!$D$22="",Besatzung!$B$6,Besatzung!$D$22)&gt;=B45)))*((G45-IFERROR(H45,0))/IFERROR(SUMPRODUCT((Besatzung!$B$11:$B$22&lt;&gt;"")*(IF(Besatzung!$C$11:$C$22="",Besatzung!$B$5,Besatzung!$C$11:$C$22)&lt;=B45)*(IF(Besatzung!$D$11:$D$22="",Besatzung!$B$6,Besatzung!$D$11:$D$22)&gt;=B45)),1)+(Besatzung!$F$22="x")*IFERROR(H45,0)/IFERROR(SUMPRODUCT((Besatzung!$B$11:$B$22&lt;&gt;"")*(Besatzung!$F$11:$F$22="x")*(IF(Besatzung!$C$11:$C$22="",Besatzung!$B$5,Besatzung!$C$11:$C$22)&lt;=B45)*(IF(Besatzung!$D$11:$D$22="",Besatzung!$B$6,Besatzung!$D$11:$D$22)&gt;=B45)),1))),IF(I45="Individuell",((U45="x")*((G45-IFERROR(H45,0))/IFERROR(COUNTIF(J45:U45,"x"),1)+(Besatzung!$F$22="x")*IFERROR(H45,0)/IFERROR(SUMPRODUCT((J45:U45="x")*(Besatzung!$F$11:$F$22="x")),1))),(IF(COUNTIF(J45:U45,"x")=0,IF(Besatzung!$B$22&lt;&gt;"",1,0),(U45="x"))*(G45-IFERROR(H45,0))/IFERROR(IF(COUNTIF(J45:U45,"x")=0,COUNTA(Besatzung!$B$11:$B$22),COUNTIF(J45:U45,"x")),1)+IF(COUNTIF(J45:U45,"x")=0,(Besatzung!$F$22="x"),(U45="x")*(Besatzung!$F$22="x"))*IFERROR(H45,0)/IFERROR(IF(COUNTIF(J45:U45,"x")=0,SUMPRODUCT((Besatzung!$B$11:$B$22&lt;&gt;"")*(Besatzung!$F$11:$F$22="x")),SUMPRODUCT((J45:U45="x")*(Besatzung!$F$11:$F$22="x"))),1))))),0))))</f>
        <v/>
      </c>
      <c r="AH45" s="248" t="n"/>
      <c r="AI45" s="248" t="n"/>
    </row>
    <row r="46" ht="21.75" customHeight="1" s="154">
      <c r="A46" s="238">
        <f>IF(AND(D46="",C46=""),"",43)</f>
        <v/>
      </c>
      <c r="B46" s="199" t="n"/>
      <c r="C46" s="239" t="n"/>
      <c r="D46" s="240" t="n"/>
      <c r="E46" s="241" t="n"/>
      <c r="F46" s="242" t="n"/>
      <c r="G46" s="243" t="n"/>
      <c r="H46" s="244" t="n"/>
      <c r="I46" s="245" t="n"/>
      <c r="J46" s="246" t="n"/>
      <c r="K46" s="246" t="n"/>
      <c r="L46" s="246" t="n"/>
      <c r="M46" s="246" t="n"/>
      <c r="N46" s="246" t="n"/>
      <c r="O46" s="246" t="n"/>
      <c r="P46" s="246" t="n"/>
      <c r="Q46" s="246" t="n"/>
      <c r="R46" s="246" t="n"/>
      <c r="S46" s="246" t="n"/>
      <c r="T46" s="246" t="n"/>
      <c r="U46" s="246" t="n"/>
      <c r="V46" s="247">
        <f>IF(C46="Gutschrift","",IF(G46="","",IF(Besatzung!$B$11="","",IFERROR(IF(I46="Zeitanteilig",(Besatzung!$G$11*(G46-IFERROR(H46,0))+((Besatzung!$B$11&lt;&gt;"")*IF(B46="",1,(IF(Besatzung!$C$11="",Besatzung!$B$5,Besatzung!$C$11)&lt;=B46)*(IF(Besatzung!$D$11="",Besatzung!$B$6,Besatzung!$D$11)&gt;=B46)))*(Besatzung!$F$11="x")*IFERROR(H46,0)/IFERROR(SUMPRODUCT((Besatzung!$B$11:$B$22&lt;&gt;"")*(Besatzung!$F$11:$F$22="x")*(IF(Besatzung!$C$11:$C$22="",Besatzung!$B$5,Besatzung!$C$11:$C$22)&lt;=B46)*(IF(Besatzung!$D$11:$D$22="",Besatzung!$B$6,Besatzung!$D$11:$D$22)&gt;=B46)),1)),IF(I46="An Bord",(((Besatzung!$B$11&lt;&gt;"")*IF(B46="",1,(IF(Besatzung!$C$11="",Besatzung!$B$5,Besatzung!$C$11)&lt;=B46)*(IF(Besatzung!$D$11="",Besatzung!$B$6,Besatzung!$D$11)&gt;=B46)))*((G46-IFERROR(H46,0))/IFERROR(SUMPRODUCT((Besatzung!$B$11:$B$22&lt;&gt;"")*(IF(Besatzung!$C$11:$C$22="",Besatzung!$B$5,Besatzung!$C$11:$C$22)&lt;=B46)*(IF(Besatzung!$D$11:$D$22="",Besatzung!$B$6,Besatzung!$D$11:$D$22)&gt;=B46)),1)+(Besatzung!$F$11="x")*IFERROR(H46,0)/IFERROR(SUMPRODUCT((Besatzung!$B$11:$B$22&lt;&gt;"")*(Besatzung!$F$11:$F$22="x")*(IF(Besatzung!$C$11:$C$22="",Besatzung!$B$5,Besatzung!$C$11:$C$22)&lt;=B46)*(IF(Besatzung!$D$11:$D$22="",Besatzung!$B$6,Besatzung!$D$11:$D$22)&gt;=B46)),1))),IF(I46="Individuell",((J46="x")*((G46-IFERROR(H46,0))/IFERROR(COUNTIF(J46:U46,"x"),1)+(Besatzung!$F$11="x")*IFERROR(H46,0)/IFERROR(SUMPRODUCT((J46:U46="x")*(Besatzung!$F$11:$F$22="x")),1))),(IF(COUNTIF(J46:U46,"x")=0,IF(Besatzung!$B$11&lt;&gt;"",1,0),(J46="x"))*(G46-IFERROR(H46,0))/IFERROR(IF(COUNTIF(J46:U46,"x")=0,COUNTA(Besatzung!$B$11:$B$22),COUNTIF(J46:U46,"x")),1)+IF(COUNTIF(J46:U46,"x")=0,(Besatzung!$F$11="x"),(J46="x")*(Besatzung!$F$11="x"))*IFERROR(H46,0)/IFERROR(IF(COUNTIF(J46:U46,"x")=0,SUMPRODUCT((Besatzung!$B$11:$B$22&lt;&gt;"")*(Besatzung!$F$11:$F$22="x")),SUMPRODUCT((J46:U46="x")*(Besatzung!$F$11:$F$22="x"))),1))))),0))))</f>
        <v/>
      </c>
      <c r="W46" s="247">
        <f>IF(C46="Gutschrift","",IF(G46="","",IF(Besatzung!$B$12="","",IFERROR(IF(I46="Zeitanteilig",(Besatzung!$G$12*(G46-IFERROR(H46,0))+((Besatzung!$B$12&lt;&gt;"")*IF(B46="",1,(IF(Besatzung!$C$12="",Besatzung!$B$5,Besatzung!$C$12)&lt;=B46)*(IF(Besatzung!$D$12="",Besatzung!$B$6,Besatzung!$D$12)&gt;=B46)))*(Besatzung!$F$12="x")*IFERROR(H46,0)/IFERROR(SUMPRODUCT((Besatzung!$B$11:$B$22&lt;&gt;"")*(Besatzung!$F$11:$F$22="x")*(IF(Besatzung!$C$11:$C$22="",Besatzung!$B$5,Besatzung!$C$11:$C$22)&lt;=B46)*(IF(Besatzung!$D$11:$D$22="",Besatzung!$B$6,Besatzung!$D$11:$D$22)&gt;=B46)),1)),IF(I46="An Bord",(((Besatzung!$B$12&lt;&gt;"")*IF(B46="",1,(IF(Besatzung!$C$12="",Besatzung!$B$5,Besatzung!$C$12)&lt;=B46)*(IF(Besatzung!$D$12="",Besatzung!$B$6,Besatzung!$D$12)&gt;=B46)))*((G46-IFERROR(H46,0))/IFERROR(SUMPRODUCT((Besatzung!$B$11:$B$22&lt;&gt;"")*(IF(Besatzung!$C$11:$C$22="",Besatzung!$B$5,Besatzung!$C$11:$C$22)&lt;=B46)*(IF(Besatzung!$D$11:$D$22="",Besatzung!$B$6,Besatzung!$D$11:$D$22)&gt;=B46)),1)+(Besatzung!$F$12="x")*IFERROR(H46,0)/IFERROR(SUMPRODUCT((Besatzung!$B$11:$B$22&lt;&gt;"")*(Besatzung!$F$11:$F$22="x")*(IF(Besatzung!$C$11:$C$22="",Besatzung!$B$5,Besatzung!$C$11:$C$22)&lt;=B46)*(IF(Besatzung!$D$11:$D$22="",Besatzung!$B$6,Besatzung!$D$11:$D$22)&gt;=B46)),1))),IF(I46="Individuell",((K46="x")*((G46-IFERROR(H46,0))/IFERROR(COUNTIF(J46:U46,"x"),1)+(Besatzung!$F$12="x")*IFERROR(H46,0)/IFERROR(SUMPRODUCT((J46:U46="x")*(Besatzung!$F$11:$F$22="x")),1))),(IF(COUNTIF(J46:U46,"x")=0,IF(Besatzung!$B$12&lt;&gt;"",1,0),(K46="x"))*(G46-IFERROR(H46,0))/IFERROR(IF(COUNTIF(J46:U46,"x")=0,COUNTA(Besatzung!$B$11:$B$22),COUNTIF(J46:U46,"x")),1)+IF(COUNTIF(J46:U46,"x")=0,(Besatzung!$F$12="x"),(K46="x")*(Besatzung!$F$12="x"))*IFERROR(H46,0)/IFERROR(IF(COUNTIF(J46:U46,"x")=0,SUMPRODUCT((Besatzung!$B$11:$B$22&lt;&gt;"")*(Besatzung!$F$11:$F$22="x")),SUMPRODUCT((J46:U46="x")*(Besatzung!$F$11:$F$22="x"))),1))))),0))))</f>
        <v/>
      </c>
      <c r="X46" s="247">
        <f>IF(C46="Gutschrift","",IF(G46="","",IF(Besatzung!$B$13="","",IFERROR(IF(I46="Zeitanteilig",(Besatzung!$G$13*(G46-IFERROR(H46,0))+((Besatzung!$B$13&lt;&gt;"")*IF(B46="",1,(IF(Besatzung!$C$13="",Besatzung!$B$5,Besatzung!$C$13)&lt;=B46)*(IF(Besatzung!$D$13="",Besatzung!$B$6,Besatzung!$D$13)&gt;=B46)))*(Besatzung!$F$13="x")*IFERROR(H46,0)/IFERROR(SUMPRODUCT((Besatzung!$B$11:$B$22&lt;&gt;"")*(Besatzung!$F$11:$F$22="x")*(IF(Besatzung!$C$11:$C$22="",Besatzung!$B$5,Besatzung!$C$11:$C$22)&lt;=B46)*(IF(Besatzung!$D$11:$D$22="",Besatzung!$B$6,Besatzung!$D$11:$D$22)&gt;=B46)),1)),IF(I46="An Bord",(((Besatzung!$B$13&lt;&gt;"")*IF(B46="",1,(IF(Besatzung!$C$13="",Besatzung!$B$5,Besatzung!$C$13)&lt;=B46)*(IF(Besatzung!$D$13="",Besatzung!$B$6,Besatzung!$D$13)&gt;=B46)))*((G46-IFERROR(H46,0))/IFERROR(SUMPRODUCT((Besatzung!$B$11:$B$22&lt;&gt;"")*(IF(Besatzung!$C$11:$C$22="",Besatzung!$B$5,Besatzung!$C$11:$C$22)&lt;=B46)*(IF(Besatzung!$D$11:$D$22="",Besatzung!$B$6,Besatzung!$D$11:$D$22)&gt;=B46)),1)+(Besatzung!$F$13="x")*IFERROR(H46,0)/IFERROR(SUMPRODUCT((Besatzung!$B$11:$B$22&lt;&gt;"")*(Besatzung!$F$11:$F$22="x")*(IF(Besatzung!$C$11:$C$22="",Besatzung!$B$5,Besatzung!$C$11:$C$22)&lt;=B46)*(IF(Besatzung!$D$11:$D$22="",Besatzung!$B$6,Besatzung!$D$11:$D$22)&gt;=B46)),1))),IF(I46="Individuell",((K46="x")*((G46-IFERROR(H46,0))/IFERROR(COUNTIF(J46:U46,"x"),1)+(Besatzung!$F$13="x")*IFERROR(H46,0)/IFERROR(SUMPRODUCT((J46:U46="x")*(Besatzung!$F$11:$F$22="x")),1))),(IF(COUNTIF(J46:U46,"x")=0,IF(Besatzung!$B$13&lt;&gt;"",1,0),(K46="x"))*(G46-IFERROR(H46,0))/IFERROR(IF(COUNTIF(J46:U46,"x")=0,COUNTA(Besatzung!$B$11:$B$22),COUNTIF(J46:U46,"x")),1)+IF(COUNTIF(J46:U46,"x")=0,(Besatzung!$F$13="x"),(K46="x")*(Besatzung!$F$13="x"))*IFERROR(H46,0)/IFERROR(IF(COUNTIF(J46:U46,"x")=0,SUMPRODUCT((Besatzung!$B$11:$B$22&lt;&gt;"")*(Besatzung!$F$11:$F$22="x")),SUMPRODUCT((J46:U46="x")*(Besatzung!$F$11:$F$22="x"))),1))))),0))))</f>
        <v/>
      </c>
      <c r="Y46" s="247">
        <f>IF(C46="Gutschrift","",IF(G46="","",IF(Besatzung!$B$14="","",IFERROR(IF(I46="Zeitanteilig",(Besatzung!$G$14*(G46-IFERROR(H46,0))+((Besatzung!$B$14&lt;&gt;"")*IF(B46="",1,(IF(Besatzung!$C$14="",Besatzung!$B$5,Besatzung!$C$14)&lt;=B46)*(IF(Besatzung!$D$14="",Besatzung!$B$6,Besatzung!$D$14)&gt;=B46)))*(Besatzung!$F$14="x")*IFERROR(H46,0)/IFERROR(SUMPRODUCT((Besatzung!$B$11:$B$22&lt;&gt;"")*(Besatzung!$F$11:$F$22="x")*(IF(Besatzung!$C$11:$C$22="",Besatzung!$B$5,Besatzung!$C$11:$C$22)&lt;=B46)*(IF(Besatzung!$D$11:$D$22="",Besatzung!$B$6,Besatzung!$D$11:$D$22)&gt;=B46)),1)),IF(I46="An Bord",(((Besatzung!$B$14&lt;&gt;"")*IF(B46="",1,(IF(Besatzung!$C$14="",Besatzung!$B$5,Besatzung!$C$14)&lt;=B46)*(IF(Besatzung!$D$14="",Besatzung!$B$6,Besatzung!$D$14)&gt;=B46)))*((G46-IFERROR(H46,0))/IFERROR(SUMPRODUCT((Besatzung!$B$11:$B$22&lt;&gt;"")*(IF(Besatzung!$C$11:$C$22="",Besatzung!$B$5,Besatzung!$C$11:$C$22)&lt;=B46)*(IF(Besatzung!$D$11:$D$22="",Besatzung!$B$6,Besatzung!$D$11:$D$22)&gt;=B46)),1)+(Besatzung!$F$14="x")*IFERROR(H46,0)/IFERROR(SUMPRODUCT((Besatzung!$B$11:$B$22&lt;&gt;"")*(Besatzung!$F$11:$F$22="x")*(IF(Besatzung!$C$11:$C$22="",Besatzung!$B$5,Besatzung!$C$11:$C$22)&lt;=B46)*(IF(Besatzung!$D$11:$D$22="",Besatzung!$B$6,Besatzung!$D$11:$D$22)&gt;=B46)),1))),IF(I46="Individuell",((M46="x")*((G46-IFERROR(H46,0))/IFERROR(COUNTIF(J46:U46,"x"),1)+(Besatzung!$F$14="x")*IFERROR(H46,0)/IFERROR(SUMPRODUCT((J46:U46="x")*(Besatzung!$F$11:$F$22="x")),1))),(IF(COUNTIF(J46:U46,"x")=0,IF(Besatzung!$B$14&lt;&gt;"",1,0),(M46="x"))*(G46-IFERROR(H46,0))/IFERROR(IF(COUNTIF(J46:U46,"x")=0,COUNTA(Besatzung!$B$11:$B$22),COUNTIF(J46:U46,"x")),1)+IF(COUNTIF(J46:U46,"x")=0,(Besatzung!$F$14="x"),(M46="x")*(Besatzung!$F$14="x"))*IFERROR(H46,0)/IFERROR(IF(COUNTIF(J46:U46,"x")=0,SUMPRODUCT((Besatzung!$B$11:$B$22&lt;&gt;"")*(Besatzung!$F$11:$F$22="x")),SUMPRODUCT((J46:U46="x")*(Besatzung!$F$11:$F$22="x"))),1))))),0))))</f>
        <v/>
      </c>
      <c r="Z46" s="247">
        <f>IF(C46="Gutschrift","",IF(G46="","",IF(Besatzung!$B$13="","",IFERROR(IF(I46="Zeitanteilig",(Besatzung!$G$15*(G46-IFERROR(H46,0))+((Besatzung!$B$13&lt;&gt;"")*IF(B46="",1,(IF(Besatzung!$C$15="",Besatzung!$B$5,Besatzung!$C$15)&lt;=B46)*(IF(Besatzung!$D$15="",Besatzung!$B$6,Besatzung!$D$15)&gt;=B46)))*(Besatzung!$F$15="x")*IFERROR(H46,0)/IFERROR(SUMPRODUCT((Besatzung!$B$11:$B$22&lt;&gt;"")*(Besatzung!$F$11:$F$22="x")*(IF(Besatzung!$C$11:$C$22="",Besatzung!$B$5,Besatzung!$C$11:$C$22)&lt;=B46)*(IF(Besatzung!$D$11:$D$22="",Besatzung!$B$6,Besatzung!$D$11:$D$22)&gt;=B46)),1)),IF(I46="An Bord",(((Besatzung!$B$13&lt;&gt;"")*IF(B46="",1,(IF(Besatzung!$C$15="",Besatzung!$B$5,Besatzung!$C$15)&lt;=B46)*(IF(Besatzung!$D$15="",Besatzung!$B$6,Besatzung!$D$15)&gt;=B46)))*((G46-IFERROR(H46,0))/IFERROR(SUMPRODUCT((Besatzung!$B$11:$B$22&lt;&gt;"")*(IF(Besatzung!$C$11:$C$22="",Besatzung!$B$5,Besatzung!$C$11:$C$22)&lt;=B46)*(IF(Besatzung!$D$11:$D$22="",Besatzung!$B$6,Besatzung!$D$11:$D$22)&gt;=B46)),1)+(Besatzung!$F$15="x")*IFERROR(H46,0)/IFERROR(SUMPRODUCT((Besatzung!$B$11:$B$22&lt;&gt;"")*(Besatzung!$F$11:$F$22="x")*(IF(Besatzung!$C$11:$C$22="",Besatzung!$B$5,Besatzung!$C$11:$C$22)&lt;=B46)*(IF(Besatzung!$D$11:$D$22="",Besatzung!$B$6,Besatzung!$D$11:$D$22)&gt;=B46)),1))),IF(I46="Individuell",((N46="x")*((G46-IFERROR(H46,0))/IFERROR(COUNTIF(J46:U46,"x"),1)+(Besatzung!$F$15="x")*IFERROR(H46,0)/IFERROR(SUMPRODUCT((J46:U46="x")*(Besatzung!$F$11:$F$22="x")),1))),(IF(COUNTIF(J46:U46,"x")=0,IF(Besatzung!$B$13&lt;&gt;"",1,0),(N46="x"))*(G46-IFERROR(H46,0))/IFERROR(IF(COUNTIF(J46:U46,"x")=0,COUNTA(Besatzung!$B$11:$B$22),COUNTIF(J46:U46,"x")),1)+IF(COUNTIF(J46:U46,"x")=0,(Besatzung!$F$15="x"),(N46="x")*(Besatzung!$F$15="x"))*IFERROR(H46,0)/IFERROR(IF(COUNTIF(J46:U46,"x")=0,SUMPRODUCT((Besatzung!$B$11:$B$22&lt;&gt;"")*(Besatzung!$F$11:$F$22="x")),SUMPRODUCT((J46:U46="x")*(Besatzung!$F$11:$F$22="x"))),1))))),0))))</f>
        <v/>
      </c>
      <c r="AA46" s="247">
        <f>IF(C46="Gutschrift","",IF(G46="","",IF(Besatzung!$B$15="","",IFERROR(IF(I46="Zeitanteilig",(Besatzung!$G$16*(G46-IFERROR(H46,0))+((Besatzung!$B$15&lt;&gt;"")*IF(B46="",1,(IF(Besatzung!$C$16="",Besatzung!$B$5,Besatzung!$C$16)&lt;=B46)*(IF(Besatzung!$D$16="",Besatzung!$B$6,Besatzung!$D$16)&gt;=B46)))*(Besatzung!$F$16="x")*IFERROR(H46,0)/IFERROR(SUMPRODUCT((Besatzung!$B$11:$B$22&lt;&gt;"")*(Besatzung!$F$11:$F$22="x")*(IF(Besatzung!$C$11:$C$22="",Besatzung!$B$5,Besatzung!$C$11:$C$22)&lt;=B46)*(IF(Besatzung!$D$11:$D$22="",Besatzung!$B$6,Besatzung!$D$11:$D$22)&gt;=B46)),1)),IF(I46="An Bord",(((Besatzung!$B$15&lt;&gt;"")*IF(B46="",1,(IF(Besatzung!$C$16="",Besatzung!$B$5,Besatzung!$C$16)&lt;=B46)*(IF(Besatzung!$D$16="",Besatzung!$B$6,Besatzung!$D$16)&gt;=B46)))*((G46-IFERROR(H46,0))/IFERROR(SUMPRODUCT((Besatzung!$B$11:$B$22&lt;&gt;"")*(IF(Besatzung!$C$11:$C$22="",Besatzung!$B$5,Besatzung!$C$11:$C$22)&lt;=B46)*(IF(Besatzung!$D$11:$D$22="",Besatzung!$B$6,Besatzung!$D$11:$D$22)&gt;=B46)),1)+(Besatzung!$F$16="x")*IFERROR(H46,0)/IFERROR(SUMPRODUCT((Besatzung!$B$11:$B$22&lt;&gt;"")*(Besatzung!$F$11:$F$22="x")*(IF(Besatzung!$C$11:$C$22="",Besatzung!$B$5,Besatzung!$C$11:$C$22)&lt;=B46)*(IF(Besatzung!$D$11:$D$22="",Besatzung!$B$6,Besatzung!$D$11:$D$22)&gt;=B46)),1))),IF(I46="Individuell",((O46="x")*((G46-IFERROR(H46,0))/IFERROR(COUNTIF(J46:U46,"x"),1)+(Besatzung!$F$16="x")*IFERROR(H46,0)/IFERROR(SUMPRODUCT((J46:U46="x")*(Besatzung!$F$11:$F$22="x")),1))),(IF(COUNTIF(J46:U46,"x")=0,IF(Besatzung!$B$15&lt;&gt;"",1,0),(O46="x"))*(G46-IFERROR(H46,0))/IFERROR(IF(COUNTIF(J46:U46,"x")=0,COUNTA(Besatzung!$B$11:$B$22),COUNTIF(J46:U46,"x")),1)+IF(COUNTIF(J46:U46,"x")=0,(Besatzung!$F$16="x"),(O46="x")*(Besatzung!$F$16="x"))*IFERROR(H46,0)/IFERROR(IF(COUNTIF(J46:U46,"x")=0,SUMPRODUCT((Besatzung!$B$11:$B$22&lt;&gt;"")*(Besatzung!$F$11:$F$22="x")),SUMPRODUCT((J46:U46="x")*(Besatzung!$F$11:$F$22="x"))),1))))),0))))</f>
        <v/>
      </c>
      <c r="AB46" s="247">
        <f>IF(C46="Gutschrift","",IF(G46="","",IF(Besatzung!$B$17="","",IFERROR(IF(I46="Zeitanteilig",(Besatzung!$G$17*(G46-IFERROR(H46,0))+((Besatzung!$B$17&lt;&gt;"")*IF(B46="",1,(IF(Besatzung!$C$17="",Besatzung!$B$5,Besatzung!$C$17)&lt;=B46)*(IF(Besatzung!$D$17="",Besatzung!$B$6,Besatzung!$D$17)&gt;=B46)))*(Besatzung!$F$17="x")*IFERROR(H46,0)/IFERROR(SUMPRODUCT((Besatzung!$B$11:$B$22&lt;&gt;"")*(Besatzung!$F$11:$F$22="x")*(IF(Besatzung!$C$11:$C$22="",Besatzung!$B$5,Besatzung!$C$11:$C$22)&lt;=B46)*(IF(Besatzung!$D$11:$D$22="",Besatzung!$B$6,Besatzung!$D$11:$D$22)&gt;=B46)),1)),IF(I46="An Bord",(((Besatzung!$B$17&lt;&gt;"")*IF(B46="",1,(IF(Besatzung!$C$17="",Besatzung!$B$5,Besatzung!$C$17)&lt;=B46)*(IF(Besatzung!$D$17="",Besatzung!$B$6,Besatzung!$D$17)&gt;=B46)))*((G46-IFERROR(H46,0))/IFERROR(SUMPRODUCT((Besatzung!$B$11:$B$22&lt;&gt;"")*(IF(Besatzung!$C$11:$C$22="",Besatzung!$B$5,Besatzung!$C$11:$C$22)&lt;=B46)*(IF(Besatzung!$D$11:$D$22="",Besatzung!$B$6,Besatzung!$D$11:$D$22)&gt;=B46)),1)+(Besatzung!$F$17="x")*IFERROR(H46,0)/IFERROR(SUMPRODUCT((Besatzung!$B$11:$B$22&lt;&gt;"")*(Besatzung!$F$11:$F$22="x")*(IF(Besatzung!$C$11:$C$22="",Besatzung!$B$5,Besatzung!$C$11:$C$22)&lt;=B46)*(IF(Besatzung!$D$11:$D$22="",Besatzung!$B$6,Besatzung!$D$11:$D$22)&gt;=B46)),1))),IF(I46="Individuell",((P46="x")*((G46-IFERROR(H46,0))/IFERROR(COUNTIF(J46:U46,"x"),1)+(Besatzung!$F$17="x")*IFERROR(H46,0)/IFERROR(SUMPRODUCT((J46:U46="x")*(Besatzung!$F$11:$F$22="x")),1))),(IF(COUNTIF(J46:U46,"x")=0,IF(Besatzung!$B$17&lt;&gt;"",1,0),(P46="x"))*(G46-IFERROR(H46,0))/IFERROR(IF(COUNTIF(J46:U46,"x")=0,COUNTA(Besatzung!$B$11:$B$22),COUNTIF(J46:U46,"x")),1)+IF(COUNTIF(J46:U46,"x")=0,(Besatzung!$F$17="x"),(P46="x")*(Besatzung!$F$17="x"))*IFERROR(H46,0)/IFERROR(IF(COUNTIF(J46:U46,"x")=0,SUMPRODUCT((Besatzung!$B$11:$B$22&lt;&gt;"")*(Besatzung!$F$11:$F$22="x")),SUMPRODUCT((J46:U46="x")*(Besatzung!$F$11:$F$22="x"))),1))))),0))))</f>
        <v/>
      </c>
      <c r="AC46" s="247">
        <f>IF(C46="Gutschrift","",IF(G46="","",IF(Besatzung!$B$18="","",IFERROR(IF(I46="Zeitanteilig",(Besatzung!$G$18*(G46-IFERROR(H46,0))+((Besatzung!$B$18&lt;&gt;"")*IF(B46="",1,(IF(Besatzung!$C$18="",Besatzung!$B$5,Besatzung!$C$18)&lt;=B46)*(IF(Besatzung!$D$18="",Besatzung!$B$6,Besatzung!$D$18)&gt;=B46)))*(Besatzung!$F$18="x")*IFERROR(H46,0)/IFERROR(SUMPRODUCT((Besatzung!$B$11:$B$22&lt;&gt;"")*(Besatzung!$F$11:$F$22="x")*(IF(Besatzung!$C$11:$C$22="",Besatzung!$B$5,Besatzung!$C$11:$C$22)&lt;=B46)*(IF(Besatzung!$D$11:$D$22="",Besatzung!$B$6,Besatzung!$D$11:$D$22)&gt;=B46)),1)),IF(I46="An Bord",(((Besatzung!$B$18&lt;&gt;"")*IF(B46="",1,(IF(Besatzung!$C$18="",Besatzung!$B$5,Besatzung!$C$18)&lt;=B46)*(IF(Besatzung!$D$18="",Besatzung!$B$6,Besatzung!$D$18)&gt;=B46)))*((G46-IFERROR(H46,0))/IFERROR(SUMPRODUCT((Besatzung!$B$11:$B$22&lt;&gt;"")*(IF(Besatzung!$C$11:$C$22="",Besatzung!$B$5,Besatzung!$C$11:$C$22)&lt;=B46)*(IF(Besatzung!$D$11:$D$22="",Besatzung!$B$6,Besatzung!$D$11:$D$22)&gt;=B46)),1)+(Besatzung!$F$18="x")*IFERROR(H46,0)/IFERROR(SUMPRODUCT((Besatzung!$B$11:$B$22&lt;&gt;"")*(Besatzung!$F$11:$F$22="x")*(IF(Besatzung!$C$11:$C$22="",Besatzung!$B$5,Besatzung!$C$11:$C$22)&lt;=B46)*(IF(Besatzung!$D$11:$D$22="",Besatzung!$B$6,Besatzung!$D$11:$D$22)&gt;=B46)),1))),IF(I46="Individuell",((Q46="x")*((G46-IFERROR(H46,0))/IFERROR(COUNTIF(J46:U46,"x"),1)+(Besatzung!$F$18="x")*IFERROR(H46,0)/IFERROR(SUMPRODUCT((J46:U46="x")*(Besatzung!$F$11:$F$22="x")),1))),(IF(COUNTIF(J46:U46,"x")=0,IF(Besatzung!$B$18&lt;&gt;"",1,0),(Q46="x"))*(G46-IFERROR(H46,0))/IFERROR(IF(COUNTIF(J46:U46,"x")=0,COUNTA(Besatzung!$B$11:$B$22),COUNTIF(J46:U46,"x")),1)+IF(COUNTIF(J46:U46,"x")=0,(Besatzung!$F$18="x"),(Q46="x")*(Besatzung!$F$18="x"))*IFERROR(H46,0)/IFERROR(IF(COUNTIF(J46:U46,"x")=0,SUMPRODUCT((Besatzung!$B$11:$B$22&lt;&gt;"")*(Besatzung!$F$11:$F$22="x")),SUMPRODUCT((J46:U46="x")*(Besatzung!$F$11:$F$22="x"))),1))))),0))))</f>
        <v/>
      </c>
      <c r="AD46" s="247">
        <f>IF(C46="Gutschrift","",IF(G46="","",IF(Besatzung!$B$19="","",IFERROR(IF(I46="Zeitanteilig",(Besatzung!$G$19*(G46-IFERROR(H46,0))+((Besatzung!$B$19&lt;&gt;"")*IF(B46="",1,(IF(Besatzung!$C$19="",Besatzung!$B$5,Besatzung!$C$19)&lt;=B46)*(IF(Besatzung!$D$19="",Besatzung!$B$6,Besatzung!$D$19)&gt;=B46)))*(Besatzung!$F$19="x")*IFERROR(H46,0)/IFERROR(SUMPRODUCT((Besatzung!$B$11:$B$22&lt;&gt;"")*(Besatzung!$F$11:$F$22="x")*(IF(Besatzung!$C$11:$C$22="",Besatzung!$B$5,Besatzung!$C$11:$C$22)&lt;=B46)*(IF(Besatzung!$D$11:$D$22="",Besatzung!$B$6,Besatzung!$D$11:$D$22)&gt;=B46)),1)),IF(I46="An Bord",(((Besatzung!$B$19&lt;&gt;"")*IF(B46="",1,(IF(Besatzung!$C$19="",Besatzung!$B$5,Besatzung!$C$19)&lt;=B46)*(IF(Besatzung!$D$19="",Besatzung!$B$6,Besatzung!$D$19)&gt;=B46)))*((G46-IFERROR(H46,0))/IFERROR(SUMPRODUCT((Besatzung!$B$11:$B$22&lt;&gt;"")*(IF(Besatzung!$C$11:$C$22="",Besatzung!$B$5,Besatzung!$C$11:$C$22)&lt;=B46)*(IF(Besatzung!$D$11:$D$22="",Besatzung!$B$6,Besatzung!$D$11:$D$22)&gt;=B46)),1)+(Besatzung!$F$19="x")*IFERROR(H46,0)/IFERROR(SUMPRODUCT((Besatzung!$B$11:$B$22&lt;&gt;"")*(Besatzung!$F$11:$F$22="x")*(IF(Besatzung!$C$11:$C$22="",Besatzung!$B$5,Besatzung!$C$11:$C$22)&lt;=B46)*(IF(Besatzung!$D$11:$D$22="",Besatzung!$B$6,Besatzung!$D$11:$D$22)&gt;=B46)),1))),IF(I46="Individuell",((R46="x")*((G46-IFERROR(H46,0))/IFERROR(COUNTIF(J46:U46,"x"),1)+(Besatzung!$F$19="x")*IFERROR(H46,0)/IFERROR(SUMPRODUCT((J46:U46="x")*(Besatzung!$F$11:$F$22="x")),1))),(IF(COUNTIF(J46:U46,"x")=0,IF(Besatzung!$B$19&lt;&gt;"",1,0),(R46="x"))*(G46-IFERROR(H46,0))/IFERROR(IF(COUNTIF(J46:U46,"x")=0,COUNTA(Besatzung!$B$11:$B$22),COUNTIF(J46:U46,"x")),1)+IF(COUNTIF(J46:U46,"x")=0,(Besatzung!$F$19="x"),(R46="x")*(Besatzung!$F$19="x"))*IFERROR(H46,0)/IFERROR(IF(COUNTIF(J46:U46,"x")=0,SUMPRODUCT((Besatzung!$B$11:$B$22&lt;&gt;"")*(Besatzung!$F$11:$F$22="x")),SUMPRODUCT((J46:U46="x")*(Besatzung!$F$11:$F$22="x"))),1))))),0))))</f>
        <v/>
      </c>
      <c r="AE46" s="247">
        <f>IF(C46="Gutschrift","",IF(G46="","",IF(Besatzung!$B$20="","",IFERROR(IF(I46="Zeitanteilig",(Besatzung!$G$20*(G46-IFERROR(H46,0))+((Besatzung!$B$20&lt;&gt;"")*IF(B46="",1,(IF(Besatzung!$C$20="",Besatzung!$B$5,Besatzung!$C$20)&lt;=B46)*(IF(Besatzung!$D$20="",Besatzung!$B$6,Besatzung!$D$20)&gt;=B46)))*(Besatzung!$F$20="x")*IFERROR(H46,0)/IFERROR(SUMPRODUCT((Besatzung!$B$11:$B$22&lt;&gt;"")*(Besatzung!$F$11:$F$22="x")*(IF(Besatzung!$C$11:$C$22="",Besatzung!$B$5,Besatzung!$C$11:$C$22)&lt;=B46)*(IF(Besatzung!$D$11:$D$22="",Besatzung!$B$6,Besatzung!$D$11:$D$22)&gt;=B46)),1)),IF(I46="An Bord",(((Besatzung!$B$20&lt;&gt;"")*IF(B46="",1,(IF(Besatzung!$C$20="",Besatzung!$B$5,Besatzung!$C$20)&lt;=B46)*(IF(Besatzung!$D$20="",Besatzung!$B$6,Besatzung!$D$20)&gt;=B46)))*((G46-IFERROR(H46,0))/IFERROR(SUMPRODUCT((Besatzung!$B$11:$B$22&lt;&gt;"")*(IF(Besatzung!$C$11:$C$22="",Besatzung!$B$5,Besatzung!$C$11:$C$22)&lt;=B46)*(IF(Besatzung!$D$11:$D$22="",Besatzung!$B$6,Besatzung!$D$11:$D$22)&gt;=B46)),1)+(Besatzung!$F$20="x")*IFERROR(H46,0)/IFERROR(SUMPRODUCT((Besatzung!$B$11:$B$22&lt;&gt;"")*(Besatzung!$F$11:$F$22="x")*(IF(Besatzung!$C$11:$C$22="",Besatzung!$B$5,Besatzung!$C$11:$C$22)&lt;=B46)*(IF(Besatzung!$D$11:$D$22="",Besatzung!$B$6,Besatzung!$D$11:$D$22)&gt;=B46)),1))),IF(I46="Individuell",((S46="x")*((G46-IFERROR(H46,0))/IFERROR(COUNTIF(J46:U46,"x"),1)+(Besatzung!$F$20="x")*IFERROR(H46,0)/IFERROR(SUMPRODUCT((J46:U46="x")*(Besatzung!$F$11:$F$22="x")),1))),(IF(COUNTIF(J46:U46,"x")=0,IF(Besatzung!$B$20&lt;&gt;"",1,0),(S46="x"))*(G46-IFERROR(H46,0))/IFERROR(IF(COUNTIF(J46:U46,"x")=0,COUNTA(Besatzung!$B$11:$B$22),COUNTIF(J46:U46,"x")),1)+IF(COUNTIF(J46:U46,"x")=0,(Besatzung!$F$20="x"),(S46="x")*(Besatzung!$F$20="x"))*IFERROR(H46,0)/IFERROR(IF(COUNTIF(J46:U46,"x")=0,SUMPRODUCT((Besatzung!$B$11:$B$22&lt;&gt;"")*(Besatzung!$F$11:$F$22="x")),SUMPRODUCT((J46:U46="x")*(Besatzung!$F$11:$F$22="x"))),1))))),0))))</f>
        <v/>
      </c>
      <c r="AF46" s="247">
        <f>IF(C46="Gutschrift","",IF(G46="","",IF(Besatzung!$B$21="","",IFERROR(IF(I46="Zeitanteilig",(Besatzung!$G$21*(G46-IFERROR(H46,0))+((Besatzung!$B$21&lt;&gt;"")*IF(B46="",1,(IF(Besatzung!$C$21="",Besatzung!$B$5,Besatzung!$C$21)&lt;=B46)*(IF(Besatzung!$D$21="",Besatzung!$B$6,Besatzung!$D$21)&gt;=B46)))*(Besatzung!$F$21="x")*IFERROR(H46,0)/IFERROR(SUMPRODUCT((Besatzung!$B$11:$B$22&lt;&gt;"")*(Besatzung!$F$11:$F$22="x")*(IF(Besatzung!$C$11:$C$22="",Besatzung!$B$5,Besatzung!$C$11:$C$22)&lt;=B46)*(IF(Besatzung!$D$11:$D$22="",Besatzung!$B$6,Besatzung!$D$11:$D$22)&gt;=B46)),1)),IF(I46="An Bord",(((Besatzung!$B$21&lt;&gt;"")*IF(B46="",1,(IF(Besatzung!$C$21="",Besatzung!$B$5,Besatzung!$C$21)&lt;=B46)*(IF(Besatzung!$D$21="",Besatzung!$B$6,Besatzung!$D$21)&gt;=B46)))*((G46-IFERROR(H46,0))/IFERROR(SUMPRODUCT((Besatzung!$B$11:$B$22&lt;&gt;"")*(IF(Besatzung!$C$11:$C$22="",Besatzung!$B$5,Besatzung!$C$11:$C$22)&lt;=B46)*(IF(Besatzung!$D$11:$D$22="",Besatzung!$B$6,Besatzung!$D$11:$D$22)&gt;=B46)),1)+(Besatzung!$F$21="x")*IFERROR(H46,0)/IFERROR(SUMPRODUCT((Besatzung!$B$11:$B$22&lt;&gt;"")*(Besatzung!$F$11:$F$22="x")*(IF(Besatzung!$C$11:$C$22="",Besatzung!$B$5,Besatzung!$C$11:$C$22)&lt;=B46)*(IF(Besatzung!$D$11:$D$22="",Besatzung!$B$6,Besatzung!$D$11:$D$22)&gt;=B46)),1))),IF(I46="Individuell",((T46="x")*((G46-IFERROR(H46,0))/IFERROR(COUNTIF(J46:U46,"x"),1)+(Besatzung!$F$21="x")*IFERROR(H46,0)/IFERROR(SUMPRODUCT((J46:U46="x")*(Besatzung!$F$11:$F$22="x")),1))),(IF(COUNTIF(J46:U46,"x")=0,IF(Besatzung!$B$21&lt;&gt;"",1,0),(T46="x"))*(G46-IFERROR(H46,0))/IFERROR(IF(COUNTIF(J46:U46,"x")=0,COUNTA(Besatzung!$B$11:$B$22),COUNTIF(J46:U46,"x")),1)+IF(COUNTIF(J46:U46,"x")=0,(Besatzung!$F$21="x"),(T46="x")*(Besatzung!$F$21="x"))*IFERROR(H46,0)/IFERROR(IF(COUNTIF(J46:U46,"x")=0,SUMPRODUCT((Besatzung!$B$11:$B$22&lt;&gt;"")*(Besatzung!$F$11:$F$22="x")),SUMPRODUCT((J46:U46="x")*(Besatzung!$F$11:$F$22="x"))),1))))),0))))</f>
        <v/>
      </c>
      <c r="AG46" s="247">
        <f>IF(C46="Gutschrift","",IF(G46="","",IF(Besatzung!$B$22="","",IFERROR(IF(I46="Zeitanteilig",(Besatzung!$G$22*(G46-IFERROR(H46,0))+((Besatzung!$B$22&lt;&gt;"")*IF(B46="",1,(IF(Besatzung!$C$22="",Besatzung!$B$5,Besatzung!$C$22)&lt;=B46)*(IF(Besatzung!$D$22="",Besatzung!$B$6,Besatzung!$D$22)&gt;=B46)))*(Besatzung!$F$22="x")*IFERROR(H46,0)/IFERROR(SUMPRODUCT((Besatzung!$B$11:$B$22&lt;&gt;"")*(Besatzung!$F$11:$F$22="x")*(IF(Besatzung!$C$11:$C$22="",Besatzung!$B$5,Besatzung!$C$11:$C$22)&lt;=B46)*(IF(Besatzung!$D$11:$D$22="",Besatzung!$B$6,Besatzung!$D$11:$D$22)&gt;=B46)),1)),IF(I46="An Bord",(((Besatzung!$B$22&lt;&gt;"")*IF(B46="",1,(IF(Besatzung!$C$22="",Besatzung!$B$5,Besatzung!$C$22)&lt;=B46)*(IF(Besatzung!$D$22="",Besatzung!$B$6,Besatzung!$D$22)&gt;=B46)))*((G46-IFERROR(H46,0))/IFERROR(SUMPRODUCT((Besatzung!$B$11:$B$22&lt;&gt;"")*(IF(Besatzung!$C$11:$C$22="",Besatzung!$B$5,Besatzung!$C$11:$C$22)&lt;=B46)*(IF(Besatzung!$D$11:$D$22="",Besatzung!$B$6,Besatzung!$D$11:$D$22)&gt;=B46)),1)+(Besatzung!$F$22="x")*IFERROR(H46,0)/IFERROR(SUMPRODUCT((Besatzung!$B$11:$B$22&lt;&gt;"")*(Besatzung!$F$11:$F$22="x")*(IF(Besatzung!$C$11:$C$22="",Besatzung!$B$5,Besatzung!$C$11:$C$22)&lt;=B46)*(IF(Besatzung!$D$11:$D$22="",Besatzung!$B$6,Besatzung!$D$11:$D$22)&gt;=B46)),1))),IF(I46="Individuell",((U46="x")*((G46-IFERROR(H46,0))/IFERROR(COUNTIF(J46:U46,"x"),1)+(Besatzung!$F$22="x")*IFERROR(H46,0)/IFERROR(SUMPRODUCT((J46:U46="x")*(Besatzung!$F$11:$F$22="x")),1))),(IF(COUNTIF(J46:U46,"x")=0,IF(Besatzung!$B$22&lt;&gt;"",1,0),(U46="x"))*(G46-IFERROR(H46,0))/IFERROR(IF(COUNTIF(J46:U46,"x")=0,COUNTA(Besatzung!$B$11:$B$22),COUNTIF(J46:U46,"x")),1)+IF(COUNTIF(J46:U46,"x")=0,(Besatzung!$F$22="x"),(U46="x")*(Besatzung!$F$22="x"))*IFERROR(H46,0)/IFERROR(IF(COUNTIF(J46:U46,"x")=0,SUMPRODUCT((Besatzung!$B$11:$B$22&lt;&gt;"")*(Besatzung!$F$11:$F$22="x")),SUMPRODUCT((J46:U46="x")*(Besatzung!$F$11:$F$22="x"))),1))))),0))))</f>
        <v/>
      </c>
      <c r="AH46" s="248" t="n"/>
      <c r="AI46" s="248" t="n"/>
    </row>
    <row r="47" ht="21.75" customHeight="1" s="154">
      <c r="A47" s="238">
        <f>IF(AND(D47="",C47=""),"",44)</f>
        <v/>
      </c>
      <c r="B47" s="206" t="n"/>
      <c r="C47" s="249" t="n"/>
      <c r="D47" s="250" t="n"/>
      <c r="E47" s="251" t="n"/>
      <c r="F47" s="252" t="n"/>
      <c r="G47" s="253" t="n"/>
      <c r="H47" s="254" t="n"/>
      <c r="I47" s="255" t="n"/>
      <c r="J47" s="256" t="n"/>
      <c r="K47" s="256" t="n"/>
      <c r="L47" s="256" t="n"/>
      <c r="M47" s="256" t="n"/>
      <c r="N47" s="256" t="n"/>
      <c r="O47" s="256" t="n"/>
      <c r="P47" s="256" t="n"/>
      <c r="Q47" s="256" t="n"/>
      <c r="R47" s="256" t="n"/>
      <c r="S47" s="256" t="n"/>
      <c r="T47" s="256" t="n"/>
      <c r="U47" s="256" t="n"/>
      <c r="V47" s="247">
        <f>IF(C47="Gutschrift","",IF(G47="","",IF(Besatzung!$B$11="","",IFERROR(IF(I47="Zeitanteilig",(Besatzung!$G$11*(G47-IFERROR(H47,0))+((Besatzung!$B$11&lt;&gt;"")*IF(B47="",1,(IF(Besatzung!$C$11="",Besatzung!$B$5,Besatzung!$C$11)&lt;=B47)*(IF(Besatzung!$D$11="",Besatzung!$B$6,Besatzung!$D$11)&gt;=B47)))*(Besatzung!$F$11="x")*IFERROR(H47,0)/IFERROR(SUMPRODUCT((Besatzung!$B$11:$B$22&lt;&gt;"")*(Besatzung!$F$11:$F$22="x")*(IF(Besatzung!$C$11:$C$22="",Besatzung!$B$5,Besatzung!$C$11:$C$22)&lt;=B47)*(IF(Besatzung!$D$11:$D$22="",Besatzung!$B$6,Besatzung!$D$11:$D$22)&gt;=B47)),1)),IF(I47="An Bord",(((Besatzung!$B$11&lt;&gt;"")*IF(B47="",1,(IF(Besatzung!$C$11="",Besatzung!$B$5,Besatzung!$C$11)&lt;=B47)*(IF(Besatzung!$D$11="",Besatzung!$B$6,Besatzung!$D$11)&gt;=B47)))*((G47-IFERROR(H47,0))/IFERROR(SUMPRODUCT((Besatzung!$B$11:$B$22&lt;&gt;"")*(IF(Besatzung!$C$11:$C$22="",Besatzung!$B$5,Besatzung!$C$11:$C$22)&lt;=B47)*(IF(Besatzung!$D$11:$D$22="",Besatzung!$B$6,Besatzung!$D$11:$D$22)&gt;=B47)),1)+(Besatzung!$F$11="x")*IFERROR(H47,0)/IFERROR(SUMPRODUCT((Besatzung!$B$11:$B$22&lt;&gt;"")*(Besatzung!$F$11:$F$22="x")*(IF(Besatzung!$C$11:$C$22="",Besatzung!$B$5,Besatzung!$C$11:$C$22)&lt;=B47)*(IF(Besatzung!$D$11:$D$22="",Besatzung!$B$6,Besatzung!$D$11:$D$22)&gt;=B47)),1))),IF(I47="Individuell",((J47="x")*((G47-IFERROR(H47,0))/IFERROR(COUNTIF(J47:U47,"x"),1)+(Besatzung!$F$11="x")*IFERROR(H47,0)/IFERROR(SUMPRODUCT((J47:U47="x")*(Besatzung!$F$11:$F$22="x")),1))),(IF(COUNTIF(J47:U47,"x")=0,IF(Besatzung!$B$11&lt;&gt;"",1,0),(J47="x"))*(G47-IFERROR(H47,0))/IFERROR(IF(COUNTIF(J47:U47,"x")=0,COUNTA(Besatzung!$B$11:$B$22),COUNTIF(J47:U47,"x")),1)+IF(COUNTIF(J47:U47,"x")=0,(Besatzung!$F$11="x"),(J47="x")*(Besatzung!$F$11="x"))*IFERROR(H47,0)/IFERROR(IF(COUNTIF(J47:U47,"x")=0,SUMPRODUCT((Besatzung!$B$11:$B$22&lt;&gt;"")*(Besatzung!$F$11:$F$22="x")),SUMPRODUCT((J47:U47="x")*(Besatzung!$F$11:$F$22="x"))),1))))),0))))</f>
        <v/>
      </c>
      <c r="W47" s="247">
        <f>IF(C47="Gutschrift","",IF(G47="","",IF(Besatzung!$B$12="","",IFERROR(IF(I47="Zeitanteilig",(Besatzung!$G$12*(G47-IFERROR(H47,0))+((Besatzung!$B$12&lt;&gt;"")*IF(B47="",1,(IF(Besatzung!$C$12="",Besatzung!$B$5,Besatzung!$C$12)&lt;=B47)*(IF(Besatzung!$D$12="",Besatzung!$B$6,Besatzung!$D$12)&gt;=B47)))*(Besatzung!$F$12="x")*IFERROR(H47,0)/IFERROR(SUMPRODUCT((Besatzung!$B$11:$B$22&lt;&gt;"")*(Besatzung!$F$11:$F$22="x")*(IF(Besatzung!$C$11:$C$22="",Besatzung!$B$5,Besatzung!$C$11:$C$22)&lt;=B47)*(IF(Besatzung!$D$11:$D$22="",Besatzung!$B$6,Besatzung!$D$11:$D$22)&gt;=B47)),1)),IF(I47="An Bord",(((Besatzung!$B$12&lt;&gt;"")*IF(B47="",1,(IF(Besatzung!$C$12="",Besatzung!$B$5,Besatzung!$C$12)&lt;=B47)*(IF(Besatzung!$D$12="",Besatzung!$B$6,Besatzung!$D$12)&gt;=B47)))*((G47-IFERROR(H47,0))/IFERROR(SUMPRODUCT((Besatzung!$B$11:$B$22&lt;&gt;"")*(IF(Besatzung!$C$11:$C$22="",Besatzung!$B$5,Besatzung!$C$11:$C$22)&lt;=B47)*(IF(Besatzung!$D$11:$D$22="",Besatzung!$B$6,Besatzung!$D$11:$D$22)&gt;=B47)),1)+(Besatzung!$F$12="x")*IFERROR(H47,0)/IFERROR(SUMPRODUCT((Besatzung!$B$11:$B$22&lt;&gt;"")*(Besatzung!$F$11:$F$22="x")*(IF(Besatzung!$C$11:$C$22="",Besatzung!$B$5,Besatzung!$C$11:$C$22)&lt;=B47)*(IF(Besatzung!$D$11:$D$22="",Besatzung!$B$6,Besatzung!$D$11:$D$22)&gt;=B47)),1))),IF(I47="Individuell",((K47="x")*((G47-IFERROR(H47,0))/IFERROR(COUNTIF(J47:U47,"x"),1)+(Besatzung!$F$12="x")*IFERROR(H47,0)/IFERROR(SUMPRODUCT((J47:U47="x")*(Besatzung!$F$11:$F$22="x")),1))),(IF(COUNTIF(J47:U47,"x")=0,IF(Besatzung!$B$12&lt;&gt;"",1,0),(K47="x"))*(G47-IFERROR(H47,0))/IFERROR(IF(COUNTIF(J47:U47,"x")=0,COUNTA(Besatzung!$B$11:$B$22),COUNTIF(J47:U47,"x")),1)+IF(COUNTIF(J47:U47,"x")=0,(Besatzung!$F$12="x"),(K47="x")*(Besatzung!$F$12="x"))*IFERROR(H47,0)/IFERROR(IF(COUNTIF(J47:U47,"x")=0,SUMPRODUCT((Besatzung!$B$11:$B$22&lt;&gt;"")*(Besatzung!$F$11:$F$22="x")),SUMPRODUCT((J47:U47="x")*(Besatzung!$F$11:$F$22="x"))),1))))),0))))</f>
        <v/>
      </c>
      <c r="X47" s="247">
        <f>IF(C47="Gutschrift","",IF(G47="","",IF(Besatzung!$B$13="","",IFERROR(IF(I47="Zeitanteilig",(Besatzung!$G$13*(G47-IFERROR(H47,0))+((Besatzung!$B$13&lt;&gt;"")*IF(B47="",1,(IF(Besatzung!$C$13="",Besatzung!$B$5,Besatzung!$C$13)&lt;=B47)*(IF(Besatzung!$D$13="",Besatzung!$B$6,Besatzung!$D$13)&gt;=B47)))*(Besatzung!$F$13="x")*IFERROR(H47,0)/IFERROR(SUMPRODUCT((Besatzung!$B$11:$B$22&lt;&gt;"")*(Besatzung!$F$11:$F$22="x")*(IF(Besatzung!$C$11:$C$22="",Besatzung!$B$5,Besatzung!$C$11:$C$22)&lt;=B47)*(IF(Besatzung!$D$11:$D$22="",Besatzung!$B$6,Besatzung!$D$11:$D$22)&gt;=B47)),1)),IF(I47="An Bord",(((Besatzung!$B$13&lt;&gt;"")*IF(B47="",1,(IF(Besatzung!$C$13="",Besatzung!$B$5,Besatzung!$C$13)&lt;=B47)*(IF(Besatzung!$D$13="",Besatzung!$B$6,Besatzung!$D$13)&gt;=B47)))*((G47-IFERROR(H47,0))/IFERROR(SUMPRODUCT((Besatzung!$B$11:$B$22&lt;&gt;"")*(IF(Besatzung!$C$11:$C$22="",Besatzung!$B$5,Besatzung!$C$11:$C$22)&lt;=B47)*(IF(Besatzung!$D$11:$D$22="",Besatzung!$B$6,Besatzung!$D$11:$D$22)&gt;=B47)),1)+(Besatzung!$F$13="x")*IFERROR(H47,0)/IFERROR(SUMPRODUCT((Besatzung!$B$11:$B$22&lt;&gt;"")*(Besatzung!$F$11:$F$22="x")*(IF(Besatzung!$C$11:$C$22="",Besatzung!$B$5,Besatzung!$C$11:$C$22)&lt;=B47)*(IF(Besatzung!$D$11:$D$22="",Besatzung!$B$6,Besatzung!$D$11:$D$22)&gt;=B47)),1))),IF(I47="Individuell",((K47="x")*((G47-IFERROR(H47,0))/IFERROR(COUNTIF(J47:U47,"x"),1)+(Besatzung!$F$13="x")*IFERROR(H47,0)/IFERROR(SUMPRODUCT((J47:U47="x")*(Besatzung!$F$11:$F$22="x")),1))),(IF(COUNTIF(J47:U47,"x")=0,IF(Besatzung!$B$13&lt;&gt;"",1,0),(K47="x"))*(G47-IFERROR(H47,0))/IFERROR(IF(COUNTIF(J47:U47,"x")=0,COUNTA(Besatzung!$B$11:$B$22),COUNTIF(J47:U47,"x")),1)+IF(COUNTIF(J47:U47,"x")=0,(Besatzung!$F$13="x"),(K47="x")*(Besatzung!$F$13="x"))*IFERROR(H47,0)/IFERROR(IF(COUNTIF(J47:U47,"x")=0,SUMPRODUCT((Besatzung!$B$11:$B$22&lt;&gt;"")*(Besatzung!$F$11:$F$22="x")),SUMPRODUCT((J47:U47="x")*(Besatzung!$F$11:$F$22="x"))),1))))),0))))</f>
        <v/>
      </c>
      <c r="Y47" s="247">
        <f>IF(C47="Gutschrift","",IF(G47="","",IF(Besatzung!$B$14="","",IFERROR(IF(I47="Zeitanteilig",(Besatzung!$G$14*(G47-IFERROR(H47,0))+((Besatzung!$B$14&lt;&gt;"")*IF(B47="",1,(IF(Besatzung!$C$14="",Besatzung!$B$5,Besatzung!$C$14)&lt;=B47)*(IF(Besatzung!$D$14="",Besatzung!$B$6,Besatzung!$D$14)&gt;=B47)))*(Besatzung!$F$14="x")*IFERROR(H47,0)/IFERROR(SUMPRODUCT((Besatzung!$B$11:$B$22&lt;&gt;"")*(Besatzung!$F$11:$F$22="x")*(IF(Besatzung!$C$11:$C$22="",Besatzung!$B$5,Besatzung!$C$11:$C$22)&lt;=B47)*(IF(Besatzung!$D$11:$D$22="",Besatzung!$B$6,Besatzung!$D$11:$D$22)&gt;=B47)),1)),IF(I47="An Bord",(((Besatzung!$B$14&lt;&gt;"")*IF(B47="",1,(IF(Besatzung!$C$14="",Besatzung!$B$5,Besatzung!$C$14)&lt;=B47)*(IF(Besatzung!$D$14="",Besatzung!$B$6,Besatzung!$D$14)&gt;=B47)))*((G47-IFERROR(H47,0))/IFERROR(SUMPRODUCT((Besatzung!$B$11:$B$22&lt;&gt;"")*(IF(Besatzung!$C$11:$C$22="",Besatzung!$B$5,Besatzung!$C$11:$C$22)&lt;=B47)*(IF(Besatzung!$D$11:$D$22="",Besatzung!$B$6,Besatzung!$D$11:$D$22)&gt;=B47)),1)+(Besatzung!$F$14="x")*IFERROR(H47,0)/IFERROR(SUMPRODUCT((Besatzung!$B$11:$B$22&lt;&gt;"")*(Besatzung!$F$11:$F$22="x")*(IF(Besatzung!$C$11:$C$22="",Besatzung!$B$5,Besatzung!$C$11:$C$22)&lt;=B47)*(IF(Besatzung!$D$11:$D$22="",Besatzung!$B$6,Besatzung!$D$11:$D$22)&gt;=B47)),1))),IF(I47="Individuell",((M47="x")*((G47-IFERROR(H47,0))/IFERROR(COUNTIF(J47:U47,"x"),1)+(Besatzung!$F$14="x")*IFERROR(H47,0)/IFERROR(SUMPRODUCT((J47:U47="x")*(Besatzung!$F$11:$F$22="x")),1))),(IF(COUNTIF(J47:U47,"x")=0,IF(Besatzung!$B$14&lt;&gt;"",1,0),(M47="x"))*(G47-IFERROR(H47,0))/IFERROR(IF(COUNTIF(J47:U47,"x")=0,COUNTA(Besatzung!$B$11:$B$22),COUNTIF(J47:U47,"x")),1)+IF(COUNTIF(J47:U47,"x")=0,(Besatzung!$F$14="x"),(M47="x")*(Besatzung!$F$14="x"))*IFERROR(H47,0)/IFERROR(IF(COUNTIF(J47:U47,"x")=0,SUMPRODUCT((Besatzung!$B$11:$B$22&lt;&gt;"")*(Besatzung!$F$11:$F$22="x")),SUMPRODUCT((J47:U47="x")*(Besatzung!$F$11:$F$22="x"))),1))))),0))))</f>
        <v/>
      </c>
      <c r="Z47" s="247">
        <f>IF(C47="Gutschrift","",IF(G47="","",IF(Besatzung!$B$13="","",IFERROR(IF(I47="Zeitanteilig",(Besatzung!$G$15*(G47-IFERROR(H47,0))+((Besatzung!$B$13&lt;&gt;"")*IF(B47="",1,(IF(Besatzung!$C$15="",Besatzung!$B$5,Besatzung!$C$15)&lt;=B47)*(IF(Besatzung!$D$15="",Besatzung!$B$6,Besatzung!$D$15)&gt;=B47)))*(Besatzung!$F$15="x")*IFERROR(H47,0)/IFERROR(SUMPRODUCT((Besatzung!$B$11:$B$22&lt;&gt;"")*(Besatzung!$F$11:$F$22="x")*(IF(Besatzung!$C$11:$C$22="",Besatzung!$B$5,Besatzung!$C$11:$C$22)&lt;=B47)*(IF(Besatzung!$D$11:$D$22="",Besatzung!$B$6,Besatzung!$D$11:$D$22)&gt;=B47)),1)),IF(I47="An Bord",(((Besatzung!$B$13&lt;&gt;"")*IF(B47="",1,(IF(Besatzung!$C$15="",Besatzung!$B$5,Besatzung!$C$15)&lt;=B47)*(IF(Besatzung!$D$15="",Besatzung!$B$6,Besatzung!$D$15)&gt;=B47)))*((G47-IFERROR(H47,0))/IFERROR(SUMPRODUCT((Besatzung!$B$11:$B$22&lt;&gt;"")*(IF(Besatzung!$C$11:$C$22="",Besatzung!$B$5,Besatzung!$C$11:$C$22)&lt;=B47)*(IF(Besatzung!$D$11:$D$22="",Besatzung!$B$6,Besatzung!$D$11:$D$22)&gt;=B47)),1)+(Besatzung!$F$15="x")*IFERROR(H47,0)/IFERROR(SUMPRODUCT((Besatzung!$B$11:$B$22&lt;&gt;"")*(Besatzung!$F$11:$F$22="x")*(IF(Besatzung!$C$11:$C$22="",Besatzung!$B$5,Besatzung!$C$11:$C$22)&lt;=B47)*(IF(Besatzung!$D$11:$D$22="",Besatzung!$B$6,Besatzung!$D$11:$D$22)&gt;=B47)),1))),IF(I47="Individuell",((N47="x")*((G47-IFERROR(H47,0))/IFERROR(COUNTIF(J47:U47,"x"),1)+(Besatzung!$F$15="x")*IFERROR(H47,0)/IFERROR(SUMPRODUCT((J47:U47="x")*(Besatzung!$F$11:$F$22="x")),1))),(IF(COUNTIF(J47:U47,"x")=0,IF(Besatzung!$B$13&lt;&gt;"",1,0),(N47="x"))*(G47-IFERROR(H47,0))/IFERROR(IF(COUNTIF(J47:U47,"x")=0,COUNTA(Besatzung!$B$11:$B$22),COUNTIF(J47:U47,"x")),1)+IF(COUNTIF(J47:U47,"x")=0,(Besatzung!$F$15="x"),(N47="x")*(Besatzung!$F$15="x"))*IFERROR(H47,0)/IFERROR(IF(COUNTIF(J47:U47,"x")=0,SUMPRODUCT((Besatzung!$B$11:$B$22&lt;&gt;"")*(Besatzung!$F$11:$F$22="x")),SUMPRODUCT((J47:U47="x")*(Besatzung!$F$11:$F$22="x"))),1))))),0))))</f>
        <v/>
      </c>
      <c r="AA47" s="247">
        <f>IF(C47="Gutschrift","",IF(G47="","",IF(Besatzung!$B$15="","",IFERROR(IF(I47="Zeitanteilig",(Besatzung!$G$16*(G47-IFERROR(H47,0))+((Besatzung!$B$15&lt;&gt;"")*IF(B47="",1,(IF(Besatzung!$C$16="",Besatzung!$B$5,Besatzung!$C$16)&lt;=B47)*(IF(Besatzung!$D$16="",Besatzung!$B$6,Besatzung!$D$16)&gt;=B47)))*(Besatzung!$F$16="x")*IFERROR(H47,0)/IFERROR(SUMPRODUCT((Besatzung!$B$11:$B$22&lt;&gt;"")*(Besatzung!$F$11:$F$22="x")*(IF(Besatzung!$C$11:$C$22="",Besatzung!$B$5,Besatzung!$C$11:$C$22)&lt;=B47)*(IF(Besatzung!$D$11:$D$22="",Besatzung!$B$6,Besatzung!$D$11:$D$22)&gt;=B47)),1)),IF(I47="An Bord",(((Besatzung!$B$15&lt;&gt;"")*IF(B47="",1,(IF(Besatzung!$C$16="",Besatzung!$B$5,Besatzung!$C$16)&lt;=B47)*(IF(Besatzung!$D$16="",Besatzung!$B$6,Besatzung!$D$16)&gt;=B47)))*((G47-IFERROR(H47,0))/IFERROR(SUMPRODUCT((Besatzung!$B$11:$B$22&lt;&gt;"")*(IF(Besatzung!$C$11:$C$22="",Besatzung!$B$5,Besatzung!$C$11:$C$22)&lt;=B47)*(IF(Besatzung!$D$11:$D$22="",Besatzung!$B$6,Besatzung!$D$11:$D$22)&gt;=B47)),1)+(Besatzung!$F$16="x")*IFERROR(H47,0)/IFERROR(SUMPRODUCT((Besatzung!$B$11:$B$22&lt;&gt;"")*(Besatzung!$F$11:$F$22="x")*(IF(Besatzung!$C$11:$C$22="",Besatzung!$B$5,Besatzung!$C$11:$C$22)&lt;=B47)*(IF(Besatzung!$D$11:$D$22="",Besatzung!$B$6,Besatzung!$D$11:$D$22)&gt;=B47)),1))),IF(I47="Individuell",((O47="x")*((G47-IFERROR(H47,0))/IFERROR(COUNTIF(J47:U47,"x"),1)+(Besatzung!$F$16="x")*IFERROR(H47,0)/IFERROR(SUMPRODUCT((J47:U47="x")*(Besatzung!$F$11:$F$22="x")),1))),(IF(COUNTIF(J47:U47,"x")=0,IF(Besatzung!$B$15&lt;&gt;"",1,0),(O47="x"))*(G47-IFERROR(H47,0))/IFERROR(IF(COUNTIF(J47:U47,"x")=0,COUNTA(Besatzung!$B$11:$B$22),COUNTIF(J47:U47,"x")),1)+IF(COUNTIF(J47:U47,"x")=0,(Besatzung!$F$16="x"),(O47="x")*(Besatzung!$F$16="x"))*IFERROR(H47,0)/IFERROR(IF(COUNTIF(J47:U47,"x")=0,SUMPRODUCT((Besatzung!$B$11:$B$22&lt;&gt;"")*(Besatzung!$F$11:$F$22="x")),SUMPRODUCT((J47:U47="x")*(Besatzung!$F$11:$F$22="x"))),1))))),0))))</f>
        <v/>
      </c>
      <c r="AB47" s="247">
        <f>IF(C47="Gutschrift","",IF(G47="","",IF(Besatzung!$B$17="","",IFERROR(IF(I47="Zeitanteilig",(Besatzung!$G$17*(G47-IFERROR(H47,0))+((Besatzung!$B$17&lt;&gt;"")*IF(B47="",1,(IF(Besatzung!$C$17="",Besatzung!$B$5,Besatzung!$C$17)&lt;=B47)*(IF(Besatzung!$D$17="",Besatzung!$B$6,Besatzung!$D$17)&gt;=B47)))*(Besatzung!$F$17="x")*IFERROR(H47,0)/IFERROR(SUMPRODUCT((Besatzung!$B$11:$B$22&lt;&gt;"")*(Besatzung!$F$11:$F$22="x")*(IF(Besatzung!$C$11:$C$22="",Besatzung!$B$5,Besatzung!$C$11:$C$22)&lt;=B47)*(IF(Besatzung!$D$11:$D$22="",Besatzung!$B$6,Besatzung!$D$11:$D$22)&gt;=B47)),1)),IF(I47="An Bord",(((Besatzung!$B$17&lt;&gt;"")*IF(B47="",1,(IF(Besatzung!$C$17="",Besatzung!$B$5,Besatzung!$C$17)&lt;=B47)*(IF(Besatzung!$D$17="",Besatzung!$B$6,Besatzung!$D$17)&gt;=B47)))*((G47-IFERROR(H47,0))/IFERROR(SUMPRODUCT((Besatzung!$B$11:$B$22&lt;&gt;"")*(IF(Besatzung!$C$11:$C$22="",Besatzung!$B$5,Besatzung!$C$11:$C$22)&lt;=B47)*(IF(Besatzung!$D$11:$D$22="",Besatzung!$B$6,Besatzung!$D$11:$D$22)&gt;=B47)),1)+(Besatzung!$F$17="x")*IFERROR(H47,0)/IFERROR(SUMPRODUCT((Besatzung!$B$11:$B$22&lt;&gt;"")*(Besatzung!$F$11:$F$22="x")*(IF(Besatzung!$C$11:$C$22="",Besatzung!$B$5,Besatzung!$C$11:$C$22)&lt;=B47)*(IF(Besatzung!$D$11:$D$22="",Besatzung!$B$6,Besatzung!$D$11:$D$22)&gt;=B47)),1))),IF(I47="Individuell",((P47="x")*((G47-IFERROR(H47,0))/IFERROR(COUNTIF(J47:U47,"x"),1)+(Besatzung!$F$17="x")*IFERROR(H47,0)/IFERROR(SUMPRODUCT((J47:U47="x")*(Besatzung!$F$11:$F$22="x")),1))),(IF(COUNTIF(J47:U47,"x")=0,IF(Besatzung!$B$17&lt;&gt;"",1,0),(P47="x"))*(G47-IFERROR(H47,0))/IFERROR(IF(COUNTIF(J47:U47,"x")=0,COUNTA(Besatzung!$B$11:$B$22),COUNTIF(J47:U47,"x")),1)+IF(COUNTIF(J47:U47,"x")=0,(Besatzung!$F$17="x"),(P47="x")*(Besatzung!$F$17="x"))*IFERROR(H47,0)/IFERROR(IF(COUNTIF(J47:U47,"x")=0,SUMPRODUCT((Besatzung!$B$11:$B$22&lt;&gt;"")*(Besatzung!$F$11:$F$22="x")),SUMPRODUCT((J47:U47="x")*(Besatzung!$F$11:$F$22="x"))),1))))),0))))</f>
        <v/>
      </c>
      <c r="AC47" s="247">
        <f>IF(C47="Gutschrift","",IF(G47="","",IF(Besatzung!$B$18="","",IFERROR(IF(I47="Zeitanteilig",(Besatzung!$G$18*(G47-IFERROR(H47,0))+((Besatzung!$B$18&lt;&gt;"")*IF(B47="",1,(IF(Besatzung!$C$18="",Besatzung!$B$5,Besatzung!$C$18)&lt;=B47)*(IF(Besatzung!$D$18="",Besatzung!$B$6,Besatzung!$D$18)&gt;=B47)))*(Besatzung!$F$18="x")*IFERROR(H47,0)/IFERROR(SUMPRODUCT((Besatzung!$B$11:$B$22&lt;&gt;"")*(Besatzung!$F$11:$F$22="x")*(IF(Besatzung!$C$11:$C$22="",Besatzung!$B$5,Besatzung!$C$11:$C$22)&lt;=B47)*(IF(Besatzung!$D$11:$D$22="",Besatzung!$B$6,Besatzung!$D$11:$D$22)&gt;=B47)),1)),IF(I47="An Bord",(((Besatzung!$B$18&lt;&gt;"")*IF(B47="",1,(IF(Besatzung!$C$18="",Besatzung!$B$5,Besatzung!$C$18)&lt;=B47)*(IF(Besatzung!$D$18="",Besatzung!$B$6,Besatzung!$D$18)&gt;=B47)))*((G47-IFERROR(H47,0))/IFERROR(SUMPRODUCT((Besatzung!$B$11:$B$22&lt;&gt;"")*(IF(Besatzung!$C$11:$C$22="",Besatzung!$B$5,Besatzung!$C$11:$C$22)&lt;=B47)*(IF(Besatzung!$D$11:$D$22="",Besatzung!$B$6,Besatzung!$D$11:$D$22)&gt;=B47)),1)+(Besatzung!$F$18="x")*IFERROR(H47,0)/IFERROR(SUMPRODUCT((Besatzung!$B$11:$B$22&lt;&gt;"")*(Besatzung!$F$11:$F$22="x")*(IF(Besatzung!$C$11:$C$22="",Besatzung!$B$5,Besatzung!$C$11:$C$22)&lt;=B47)*(IF(Besatzung!$D$11:$D$22="",Besatzung!$B$6,Besatzung!$D$11:$D$22)&gt;=B47)),1))),IF(I47="Individuell",((Q47="x")*((G47-IFERROR(H47,0))/IFERROR(COUNTIF(J47:U47,"x"),1)+(Besatzung!$F$18="x")*IFERROR(H47,0)/IFERROR(SUMPRODUCT((J47:U47="x")*(Besatzung!$F$11:$F$22="x")),1))),(IF(COUNTIF(J47:U47,"x")=0,IF(Besatzung!$B$18&lt;&gt;"",1,0),(Q47="x"))*(G47-IFERROR(H47,0))/IFERROR(IF(COUNTIF(J47:U47,"x")=0,COUNTA(Besatzung!$B$11:$B$22),COUNTIF(J47:U47,"x")),1)+IF(COUNTIF(J47:U47,"x")=0,(Besatzung!$F$18="x"),(Q47="x")*(Besatzung!$F$18="x"))*IFERROR(H47,0)/IFERROR(IF(COUNTIF(J47:U47,"x")=0,SUMPRODUCT((Besatzung!$B$11:$B$22&lt;&gt;"")*(Besatzung!$F$11:$F$22="x")),SUMPRODUCT((J47:U47="x")*(Besatzung!$F$11:$F$22="x"))),1))))),0))))</f>
        <v/>
      </c>
      <c r="AD47" s="247">
        <f>IF(C47="Gutschrift","",IF(G47="","",IF(Besatzung!$B$19="","",IFERROR(IF(I47="Zeitanteilig",(Besatzung!$G$19*(G47-IFERROR(H47,0))+((Besatzung!$B$19&lt;&gt;"")*IF(B47="",1,(IF(Besatzung!$C$19="",Besatzung!$B$5,Besatzung!$C$19)&lt;=B47)*(IF(Besatzung!$D$19="",Besatzung!$B$6,Besatzung!$D$19)&gt;=B47)))*(Besatzung!$F$19="x")*IFERROR(H47,0)/IFERROR(SUMPRODUCT((Besatzung!$B$11:$B$22&lt;&gt;"")*(Besatzung!$F$11:$F$22="x")*(IF(Besatzung!$C$11:$C$22="",Besatzung!$B$5,Besatzung!$C$11:$C$22)&lt;=B47)*(IF(Besatzung!$D$11:$D$22="",Besatzung!$B$6,Besatzung!$D$11:$D$22)&gt;=B47)),1)),IF(I47="An Bord",(((Besatzung!$B$19&lt;&gt;"")*IF(B47="",1,(IF(Besatzung!$C$19="",Besatzung!$B$5,Besatzung!$C$19)&lt;=B47)*(IF(Besatzung!$D$19="",Besatzung!$B$6,Besatzung!$D$19)&gt;=B47)))*((G47-IFERROR(H47,0))/IFERROR(SUMPRODUCT((Besatzung!$B$11:$B$22&lt;&gt;"")*(IF(Besatzung!$C$11:$C$22="",Besatzung!$B$5,Besatzung!$C$11:$C$22)&lt;=B47)*(IF(Besatzung!$D$11:$D$22="",Besatzung!$B$6,Besatzung!$D$11:$D$22)&gt;=B47)),1)+(Besatzung!$F$19="x")*IFERROR(H47,0)/IFERROR(SUMPRODUCT((Besatzung!$B$11:$B$22&lt;&gt;"")*(Besatzung!$F$11:$F$22="x")*(IF(Besatzung!$C$11:$C$22="",Besatzung!$B$5,Besatzung!$C$11:$C$22)&lt;=B47)*(IF(Besatzung!$D$11:$D$22="",Besatzung!$B$6,Besatzung!$D$11:$D$22)&gt;=B47)),1))),IF(I47="Individuell",((R47="x")*((G47-IFERROR(H47,0))/IFERROR(COUNTIF(J47:U47,"x"),1)+(Besatzung!$F$19="x")*IFERROR(H47,0)/IFERROR(SUMPRODUCT((J47:U47="x")*(Besatzung!$F$11:$F$22="x")),1))),(IF(COUNTIF(J47:U47,"x")=0,IF(Besatzung!$B$19&lt;&gt;"",1,0),(R47="x"))*(G47-IFERROR(H47,0))/IFERROR(IF(COUNTIF(J47:U47,"x")=0,COUNTA(Besatzung!$B$11:$B$22),COUNTIF(J47:U47,"x")),1)+IF(COUNTIF(J47:U47,"x")=0,(Besatzung!$F$19="x"),(R47="x")*(Besatzung!$F$19="x"))*IFERROR(H47,0)/IFERROR(IF(COUNTIF(J47:U47,"x")=0,SUMPRODUCT((Besatzung!$B$11:$B$22&lt;&gt;"")*(Besatzung!$F$11:$F$22="x")),SUMPRODUCT((J47:U47="x")*(Besatzung!$F$11:$F$22="x"))),1))))),0))))</f>
        <v/>
      </c>
      <c r="AE47" s="247">
        <f>IF(C47="Gutschrift","",IF(G47="","",IF(Besatzung!$B$20="","",IFERROR(IF(I47="Zeitanteilig",(Besatzung!$G$20*(G47-IFERROR(H47,0))+((Besatzung!$B$20&lt;&gt;"")*IF(B47="",1,(IF(Besatzung!$C$20="",Besatzung!$B$5,Besatzung!$C$20)&lt;=B47)*(IF(Besatzung!$D$20="",Besatzung!$B$6,Besatzung!$D$20)&gt;=B47)))*(Besatzung!$F$20="x")*IFERROR(H47,0)/IFERROR(SUMPRODUCT((Besatzung!$B$11:$B$22&lt;&gt;"")*(Besatzung!$F$11:$F$22="x")*(IF(Besatzung!$C$11:$C$22="",Besatzung!$B$5,Besatzung!$C$11:$C$22)&lt;=B47)*(IF(Besatzung!$D$11:$D$22="",Besatzung!$B$6,Besatzung!$D$11:$D$22)&gt;=B47)),1)),IF(I47="An Bord",(((Besatzung!$B$20&lt;&gt;"")*IF(B47="",1,(IF(Besatzung!$C$20="",Besatzung!$B$5,Besatzung!$C$20)&lt;=B47)*(IF(Besatzung!$D$20="",Besatzung!$B$6,Besatzung!$D$20)&gt;=B47)))*((G47-IFERROR(H47,0))/IFERROR(SUMPRODUCT((Besatzung!$B$11:$B$22&lt;&gt;"")*(IF(Besatzung!$C$11:$C$22="",Besatzung!$B$5,Besatzung!$C$11:$C$22)&lt;=B47)*(IF(Besatzung!$D$11:$D$22="",Besatzung!$B$6,Besatzung!$D$11:$D$22)&gt;=B47)),1)+(Besatzung!$F$20="x")*IFERROR(H47,0)/IFERROR(SUMPRODUCT((Besatzung!$B$11:$B$22&lt;&gt;"")*(Besatzung!$F$11:$F$22="x")*(IF(Besatzung!$C$11:$C$22="",Besatzung!$B$5,Besatzung!$C$11:$C$22)&lt;=B47)*(IF(Besatzung!$D$11:$D$22="",Besatzung!$B$6,Besatzung!$D$11:$D$22)&gt;=B47)),1))),IF(I47="Individuell",((S47="x")*((G47-IFERROR(H47,0))/IFERROR(COUNTIF(J47:U47,"x"),1)+(Besatzung!$F$20="x")*IFERROR(H47,0)/IFERROR(SUMPRODUCT((J47:U47="x")*(Besatzung!$F$11:$F$22="x")),1))),(IF(COUNTIF(J47:U47,"x")=0,IF(Besatzung!$B$20&lt;&gt;"",1,0),(S47="x"))*(G47-IFERROR(H47,0))/IFERROR(IF(COUNTIF(J47:U47,"x")=0,COUNTA(Besatzung!$B$11:$B$22),COUNTIF(J47:U47,"x")),1)+IF(COUNTIF(J47:U47,"x")=0,(Besatzung!$F$20="x"),(S47="x")*(Besatzung!$F$20="x"))*IFERROR(H47,0)/IFERROR(IF(COUNTIF(J47:U47,"x")=0,SUMPRODUCT((Besatzung!$B$11:$B$22&lt;&gt;"")*(Besatzung!$F$11:$F$22="x")),SUMPRODUCT((J47:U47="x")*(Besatzung!$F$11:$F$22="x"))),1))))),0))))</f>
        <v/>
      </c>
      <c r="AF47" s="247">
        <f>IF(C47="Gutschrift","",IF(G47="","",IF(Besatzung!$B$21="","",IFERROR(IF(I47="Zeitanteilig",(Besatzung!$G$21*(G47-IFERROR(H47,0))+((Besatzung!$B$21&lt;&gt;"")*IF(B47="",1,(IF(Besatzung!$C$21="",Besatzung!$B$5,Besatzung!$C$21)&lt;=B47)*(IF(Besatzung!$D$21="",Besatzung!$B$6,Besatzung!$D$21)&gt;=B47)))*(Besatzung!$F$21="x")*IFERROR(H47,0)/IFERROR(SUMPRODUCT((Besatzung!$B$11:$B$22&lt;&gt;"")*(Besatzung!$F$11:$F$22="x")*(IF(Besatzung!$C$11:$C$22="",Besatzung!$B$5,Besatzung!$C$11:$C$22)&lt;=B47)*(IF(Besatzung!$D$11:$D$22="",Besatzung!$B$6,Besatzung!$D$11:$D$22)&gt;=B47)),1)),IF(I47="An Bord",(((Besatzung!$B$21&lt;&gt;"")*IF(B47="",1,(IF(Besatzung!$C$21="",Besatzung!$B$5,Besatzung!$C$21)&lt;=B47)*(IF(Besatzung!$D$21="",Besatzung!$B$6,Besatzung!$D$21)&gt;=B47)))*((G47-IFERROR(H47,0))/IFERROR(SUMPRODUCT((Besatzung!$B$11:$B$22&lt;&gt;"")*(IF(Besatzung!$C$11:$C$22="",Besatzung!$B$5,Besatzung!$C$11:$C$22)&lt;=B47)*(IF(Besatzung!$D$11:$D$22="",Besatzung!$B$6,Besatzung!$D$11:$D$22)&gt;=B47)),1)+(Besatzung!$F$21="x")*IFERROR(H47,0)/IFERROR(SUMPRODUCT((Besatzung!$B$11:$B$22&lt;&gt;"")*(Besatzung!$F$11:$F$22="x")*(IF(Besatzung!$C$11:$C$22="",Besatzung!$B$5,Besatzung!$C$11:$C$22)&lt;=B47)*(IF(Besatzung!$D$11:$D$22="",Besatzung!$B$6,Besatzung!$D$11:$D$22)&gt;=B47)),1))),IF(I47="Individuell",((T47="x")*((G47-IFERROR(H47,0))/IFERROR(COUNTIF(J47:U47,"x"),1)+(Besatzung!$F$21="x")*IFERROR(H47,0)/IFERROR(SUMPRODUCT((J47:U47="x")*(Besatzung!$F$11:$F$22="x")),1))),(IF(COUNTIF(J47:U47,"x")=0,IF(Besatzung!$B$21&lt;&gt;"",1,0),(T47="x"))*(G47-IFERROR(H47,0))/IFERROR(IF(COUNTIF(J47:U47,"x")=0,COUNTA(Besatzung!$B$11:$B$22),COUNTIF(J47:U47,"x")),1)+IF(COUNTIF(J47:U47,"x")=0,(Besatzung!$F$21="x"),(T47="x")*(Besatzung!$F$21="x"))*IFERROR(H47,0)/IFERROR(IF(COUNTIF(J47:U47,"x")=0,SUMPRODUCT((Besatzung!$B$11:$B$22&lt;&gt;"")*(Besatzung!$F$11:$F$22="x")),SUMPRODUCT((J47:U47="x")*(Besatzung!$F$11:$F$22="x"))),1))))),0))))</f>
        <v/>
      </c>
      <c r="AG47" s="247">
        <f>IF(C47="Gutschrift","",IF(G47="","",IF(Besatzung!$B$22="","",IFERROR(IF(I47="Zeitanteilig",(Besatzung!$G$22*(G47-IFERROR(H47,0))+((Besatzung!$B$22&lt;&gt;"")*IF(B47="",1,(IF(Besatzung!$C$22="",Besatzung!$B$5,Besatzung!$C$22)&lt;=B47)*(IF(Besatzung!$D$22="",Besatzung!$B$6,Besatzung!$D$22)&gt;=B47)))*(Besatzung!$F$22="x")*IFERROR(H47,0)/IFERROR(SUMPRODUCT((Besatzung!$B$11:$B$22&lt;&gt;"")*(Besatzung!$F$11:$F$22="x")*(IF(Besatzung!$C$11:$C$22="",Besatzung!$B$5,Besatzung!$C$11:$C$22)&lt;=B47)*(IF(Besatzung!$D$11:$D$22="",Besatzung!$B$6,Besatzung!$D$11:$D$22)&gt;=B47)),1)),IF(I47="An Bord",(((Besatzung!$B$22&lt;&gt;"")*IF(B47="",1,(IF(Besatzung!$C$22="",Besatzung!$B$5,Besatzung!$C$22)&lt;=B47)*(IF(Besatzung!$D$22="",Besatzung!$B$6,Besatzung!$D$22)&gt;=B47)))*((G47-IFERROR(H47,0))/IFERROR(SUMPRODUCT((Besatzung!$B$11:$B$22&lt;&gt;"")*(IF(Besatzung!$C$11:$C$22="",Besatzung!$B$5,Besatzung!$C$11:$C$22)&lt;=B47)*(IF(Besatzung!$D$11:$D$22="",Besatzung!$B$6,Besatzung!$D$11:$D$22)&gt;=B47)),1)+(Besatzung!$F$22="x")*IFERROR(H47,0)/IFERROR(SUMPRODUCT((Besatzung!$B$11:$B$22&lt;&gt;"")*(Besatzung!$F$11:$F$22="x")*(IF(Besatzung!$C$11:$C$22="",Besatzung!$B$5,Besatzung!$C$11:$C$22)&lt;=B47)*(IF(Besatzung!$D$11:$D$22="",Besatzung!$B$6,Besatzung!$D$11:$D$22)&gt;=B47)),1))),IF(I47="Individuell",((U47="x")*((G47-IFERROR(H47,0))/IFERROR(COUNTIF(J47:U47,"x"),1)+(Besatzung!$F$22="x")*IFERROR(H47,0)/IFERROR(SUMPRODUCT((J47:U47="x")*(Besatzung!$F$11:$F$22="x")),1))),(IF(COUNTIF(J47:U47,"x")=0,IF(Besatzung!$B$22&lt;&gt;"",1,0),(U47="x"))*(G47-IFERROR(H47,0))/IFERROR(IF(COUNTIF(J47:U47,"x")=0,COUNTA(Besatzung!$B$11:$B$22),COUNTIF(J47:U47,"x")),1)+IF(COUNTIF(J47:U47,"x")=0,(Besatzung!$F$22="x"),(U47="x")*(Besatzung!$F$22="x"))*IFERROR(H47,0)/IFERROR(IF(COUNTIF(J47:U47,"x")=0,SUMPRODUCT((Besatzung!$B$11:$B$22&lt;&gt;"")*(Besatzung!$F$11:$F$22="x")),SUMPRODUCT((J47:U47="x")*(Besatzung!$F$11:$F$22="x"))),1))))),0))))</f>
        <v/>
      </c>
      <c r="AH47" s="248" t="n"/>
      <c r="AI47" s="248" t="n"/>
    </row>
    <row r="48" ht="21.75" customHeight="1" s="154">
      <c r="A48" s="238">
        <f>IF(AND(D48="",C48=""),"",45)</f>
        <v/>
      </c>
      <c r="B48" s="199" t="n"/>
      <c r="C48" s="239" t="n"/>
      <c r="D48" s="240" t="n"/>
      <c r="E48" s="241" t="n"/>
      <c r="F48" s="242" t="n"/>
      <c r="G48" s="243" t="n"/>
      <c r="H48" s="244" t="n"/>
      <c r="I48" s="245" t="n"/>
      <c r="J48" s="246" t="n"/>
      <c r="K48" s="246" t="n"/>
      <c r="L48" s="246" t="n"/>
      <c r="M48" s="246" t="n"/>
      <c r="N48" s="246" t="n"/>
      <c r="O48" s="246" t="n"/>
      <c r="P48" s="246" t="n"/>
      <c r="Q48" s="246" t="n"/>
      <c r="R48" s="246" t="n"/>
      <c r="S48" s="246" t="n"/>
      <c r="T48" s="246" t="n"/>
      <c r="U48" s="246" t="n"/>
      <c r="V48" s="247">
        <f>IF(C48="Gutschrift","",IF(G48="","",IF(Besatzung!$B$11="","",IFERROR(IF(I48="Zeitanteilig",(Besatzung!$G$11*(G48-IFERROR(H48,0))+((Besatzung!$B$11&lt;&gt;"")*IF(B48="",1,(IF(Besatzung!$C$11="",Besatzung!$B$5,Besatzung!$C$11)&lt;=B48)*(IF(Besatzung!$D$11="",Besatzung!$B$6,Besatzung!$D$11)&gt;=B48)))*(Besatzung!$F$11="x")*IFERROR(H48,0)/IFERROR(SUMPRODUCT((Besatzung!$B$11:$B$22&lt;&gt;"")*(Besatzung!$F$11:$F$22="x")*(IF(Besatzung!$C$11:$C$22="",Besatzung!$B$5,Besatzung!$C$11:$C$22)&lt;=B48)*(IF(Besatzung!$D$11:$D$22="",Besatzung!$B$6,Besatzung!$D$11:$D$22)&gt;=B48)),1)),IF(I48="An Bord",(((Besatzung!$B$11&lt;&gt;"")*IF(B48="",1,(IF(Besatzung!$C$11="",Besatzung!$B$5,Besatzung!$C$11)&lt;=B48)*(IF(Besatzung!$D$11="",Besatzung!$B$6,Besatzung!$D$11)&gt;=B48)))*((G48-IFERROR(H48,0))/IFERROR(SUMPRODUCT((Besatzung!$B$11:$B$22&lt;&gt;"")*(IF(Besatzung!$C$11:$C$22="",Besatzung!$B$5,Besatzung!$C$11:$C$22)&lt;=B48)*(IF(Besatzung!$D$11:$D$22="",Besatzung!$B$6,Besatzung!$D$11:$D$22)&gt;=B48)),1)+(Besatzung!$F$11="x")*IFERROR(H48,0)/IFERROR(SUMPRODUCT((Besatzung!$B$11:$B$22&lt;&gt;"")*(Besatzung!$F$11:$F$22="x")*(IF(Besatzung!$C$11:$C$22="",Besatzung!$B$5,Besatzung!$C$11:$C$22)&lt;=B48)*(IF(Besatzung!$D$11:$D$22="",Besatzung!$B$6,Besatzung!$D$11:$D$22)&gt;=B48)),1))),IF(I48="Individuell",((J48="x")*((G48-IFERROR(H48,0))/IFERROR(COUNTIF(J48:U48,"x"),1)+(Besatzung!$F$11="x")*IFERROR(H48,0)/IFERROR(SUMPRODUCT((J48:U48="x")*(Besatzung!$F$11:$F$22="x")),1))),(IF(COUNTIF(J48:U48,"x")=0,IF(Besatzung!$B$11&lt;&gt;"",1,0),(J48="x"))*(G48-IFERROR(H48,0))/IFERROR(IF(COUNTIF(J48:U48,"x")=0,COUNTA(Besatzung!$B$11:$B$22),COUNTIF(J48:U48,"x")),1)+IF(COUNTIF(J48:U48,"x")=0,(Besatzung!$F$11="x"),(J48="x")*(Besatzung!$F$11="x"))*IFERROR(H48,0)/IFERROR(IF(COUNTIF(J48:U48,"x")=0,SUMPRODUCT((Besatzung!$B$11:$B$22&lt;&gt;"")*(Besatzung!$F$11:$F$22="x")),SUMPRODUCT((J48:U48="x")*(Besatzung!$F$11:$F$22="x"))),1))))),0))))</f>
        <v/>
      </c>
      <c r="W48" s="247">
        <f>IF(C48="Gutschrift","",IF(G48="","",IF(Besatzung!$B$12="","",IFERROR(IF(I48="Zeitanteilig",(Besatzung!$G$12*(G48-IFERROR(H48,0))+((Besatzung!$B$12&lt;&gt;"")*IF(B48="",1,(IF(Besatzung!$C$12="",Besatzung!$B$5,Besatzung!$C$12)&lt;=B48)*(IF(Besatzung!$D$12="",Besatzung!$B$6,Besatzung!$D$12)&gt;=B48)))*(Besatzung!$F$12="x")*IFERROR(H48,0)/IFERROR(SUMPRODUCT((Besatzung!$B$11:$B$22&lt;&gt;"")*(Besatzung!$F$11:$F$22="x")*(IF(Besatzung!$C$11:$C$22="",Besatzung!$B$5,Besatzung!$C$11:$C$22)&lt;=B48)*(IF(Besatzung!$D$11:$D$22="",Besatzung!$B$6,Besatzung!$D$11:$D$22)&gt;=B48)),1)),IF(I48="An Bord",(((Besatzung!$B$12&lt;&gt;"")*IF(B48="",1,(IF(Besatzung!$C$12="",Besatzung!$B$5,Besatzung!$C$12)&lt;=B48)*(IF(Besatzung!$D$12="",Besatzung!$B$6,Besatzung!$D$12)&gt;=B48)))*((G48-IFERROR(H48,0))/IFERROR(SUMPRODUCT((Besatzung!$B$11:$B$22&lt;&gt;"")*(IF(Besatzung!$C$11:$C$22="",Besatzung!$B$5,Besatzung!$C$11:$C$22)&lt;=B48)*(IF(Besatzung!$D$11:$D$22="",Besatzung!$B$6,Besatzung!$D$11:$D$22)&gt;=B48)),1)+(Besatzung!$F$12="x")*IFERROR(H48,0)/IFERROR(SUMPRODUCT((Besatzung!$B$11:$B$22&lt;&gt;"")*(Besatzung!$F$11:$F$22="x")*(IF(Besatzung!$C$11:$C$22="",Besatzung!$B$5,Besatzung!$C$11:$C$22)&lt;=B48)*(IF(Besatzung!$D$11:$D$22="",Besatzung!$B$6,Besatzung!$D$11:$D$22)&gt;=B48)),1))),IF(I48="Individuell",((K48="x")*((G48-IFERROR(H48,0))/IFERROR(COUNTIF(J48:U48,"x"),1)+(Besatzung!$F$12="x")*IFERROR(H48,0)/IFERROR(SUMPRODUCT((J48:U48="x")*(Besatzung!$F$11:$F$22="x")),1))),(IF(COUNTIF(J48:U48,"x")=0,IF(Besatzung!$B$12&lt;&gt;"",1,0),(K48="x"))*(G48-IFERROR(H48,0))/IFERROR(IF(COUNTIF(J48:U48,"x")=0,COUNTA(Besatzung!$B$11:$B$22),COUNTIF(J48:U48,"x")),1)+IF(COUNTIF(J48:U48,"x")=0,(Besatzung!$F$12="x"),(K48="x")*(Besatzung!$F$12="x"))*IFERROR(H48,0)/IFERROR(IF(COUNTIF(J48:U48,"x")=0,SUMPRODUCT((Besatzung!$B$11:$B$22&lt;&gt;"")*(Besatzung!$F$11:$F$22="x")),SUMPRODUCT((J48:U48="x")*(Besatzung!$F$11:$F$22="x"))),1))))),0))))</f>
        <v/>
      </c>
      <c r="X48" s="247">
        <f>IF(C48="Gutschrift","",IF(G48="","",IF(Besatzung!$B$13="","",IFERROR(IF(I48="Zeitanteilig",(Besatzung!$G$13*(G48-IFERROR(H48,0))+((Besatzung!$B$13&lt;&gt;"")*IF(B48="",1,(IF(Besatzung!$C$13="",Besatzung!$B$5,Besatzung!$C$13)&lt;=B48)*(IF(Besatzung!$D$13="",Besatzung!$B$6,Besatzung!$D$13)&gt;=B48)))*(Besatzung!$F$13="x")*IFERROR(H48,0)/IFERROR(SUMPRODUCT((Besatzung!$B$11:$B$22&lt;&gt;"")*(Besatzung!$F$11:$F$22="x")*(IF(Besatzung!$C$11:$C$22="",Besatzung!$B$5,Besatzung!$C$11:$C$22)&lt;=B48)*(IF(Besatzung!$D$11:$D$22="",Besatzung!$B$6,Besatzung!$D$11:$D$22)&gt;=B48)),1)),IF(I48="An Bord",(((Besatzung!$B$13&lt;&gt;"")*IF(B48="",1,(IF(Besatzung!$C$13="",Besatzung!$B$5,Besatzung!$C$13)&lt;=B48)*(IF(Besatzung!$D$13="",Besatzung!$B$6,Besatzung!$D$13)&gt;=B48)))*((G48-IFERROR(H48,0))/IFERROR(SUMPRODUCT((Besatzung!$B$11:$B$22&lt;&gt;"")*(IF(Besatzung!$C$11:$C$22="",Besatzung!$B$5,Besatzung!$C$11:$C$22)&lt;=B48)*(IF(Besatzung!$D$11:$D$22="",Besatzung!$B$6,Besatzung!$D$11:$D$22)&gt;=B48)),1)+(Besatzung!$F$13="x")*IFERROR(H48,0)/IFERROR(SUMPRODUCT((Besatzung!$B$11:$B$22&lt;&gt;"")*(Besatzung!$F$11:$F$22="x")*(IF(Besatzung!$C$11:$C$22="",Besatzung!$B$5,Besatzung!$C$11:$C$22)&lt;=B48)*(IF(Besatzung!$D$11:$D$22="",Besatzung!$B$6,Besatzung!$D$11:$D$22)&gt;=B48)),1))),IF(I48="Individuell",((K48="x")*((G48-IFERROR(H48,0))/IFERROR(COUNTIF(J48:U48,"x"),1)+(Besatzung!$F$13="x")*IFERROR(H48,0)/IFERROR(SUMPRODUCT((J48:U48="x")*(Besatzung!$F$11:$F$22="x")),1))),(IF(COUNTIF(J48:U48,"x")=0,IF(Besatzung!$B$13&lt;&gt;"",1,0),(K48="x"))*(G48-IFERROR(H48,0))/IFERROR(IF(COUNTIF(J48:U48,"x")=0,COUNTA(Besatzung!$B$11:$B$22),COUNTIF(J48:U48,"x")),1)+IF(COUNTIF(J48:U48,"x")=0,(Besatzung!$F$13="x"),(K48="x")*(Besatzung!$F$13="x"))*IFERROR(H48,0)/IFERROR(IF(COUNTIF(J48:U48,"x")=0,SUMPRODUCT((Besatzung!$B$11:$B$22&lt;&gt;"")*(Besatzung!$F$11:$F$22="x")),SUMPRODUCT((J48:U48="x")*(Besatzung!$F$11:$F$22="x"))),1))))),0))))</f>
        <v/>
      </c>
      <c r="Y48" s="247">
        <f>IF(C48="Gutschrift","",IF(G48="","",IF(Besatzung!$B$14="","",IFERROR(IF(I48="Zeitanteilig",(Besatzung!$G$14*(G48-IFERROR(H48,0))+((Besatzung!$B$14&lt;&gt;"")*IF(B48="",1,(IF(Besatzung!$C$14="",Besatzung!$B$5,Besatzung!$C$14)&lt;=B48)*(IF(Besatzung!$D$14="",Besatzung!$B$6,Besatzung!$D$14)&gt;=B48)))*(Besatzung!$F$14="x")*IFERROR(H48,0)/IFERROR(SUMPRODUCT((Besatzung!$B$11:$B$22&lt;&gt;"")*(Besatzung!$F$11:$F$22="x")*(IF(Besatzung!$C$11:$C$22="",Besatzung!$B$5,Besatzung!$C$11:$C$22)&lt;=B48)*(IF(Besatzung!$D$11:$D$22="",Besatzung!$B$6,Besatzung!$D$11:$D$22)&gt;=B48)),1)),IF(I48="An Bord",(((Besatzung!$B$14&lt;&gt;"")*IF(B48="",1,(IF(Besatzung!$C$14="",Besatzung!$B$5,Besatzung!$C$14)&lt;=B48)*(IF(Besatzung!$D$14="",Besatzung!$B$6,Besatzung!$D$14)&gt;=B48)))*((G48-IFERROR(H48,0))/IFERROR(SUMPRODUCT((Besatzung!$B$11:$B$22&lt;&gt;"")*(IF(Besatzung!$C$11:$C$22="",Besatzung!$B$5,Besatzung!$C$11:$C$22)&lt;=B48)*(IF(Besatzung!$D$11:$D$22="",Besatzung!$B$6,Besatzung!$D$11:$D$22)&gt;=B48)),1)+(Besatzung!$F$14="x")*IFERROR(H48,0)/IFERROR(SUMPRODUCT((Besatzung!$B$11:$B$22&lt;&gt;"")*(Besatzung!$F$11:$F$22="x")*(IF(Besatzung!$C$11:$C$22="",Besatzung!$B$5,Besatzung!$C$11:$C$22)&lt;=B48)*(IF(Besatzung!$D$11:$D$22="",Besatzung!$B$6,Besatzung!$D$11:$D$22)&gt;=B48)),1))),IF(I48="Individuell",((M48="x")*((G48-IFERROR(H48,0))/IFERROR(COUNTIF(J48:U48,"x"),1)+(Besatzung!$F$14="x")*IFERROR(H48,0)/IFERROR(SUMPRODUCT((J48:U48="x")*(Besatzung!$F$11:$F$22="x")),1))),(IF(COUNTIF(J48:U48,"x")=0,IF(Besatzung!$B$14&lt;&gt;"",1,0),(M48="x"))*(G48-IFERROR(H48,0))/IFERROR(IF(COUNTIF(J48:U48,"x")=0,COUNTA(Besatzung!$B$11:$B$22),COUNTIF(J48:U48,"x")),1)+IF(COUNTIF(J48:U48,"x")=0,(Besatzung!$F$14="x"),(M48="x")*(Besatzung!$F$14="x"))*IFERROR(H48,0)/IFERROR(IF(COUNTIF(J48:U48,"x")=0,SUMPRODUCT((Besatzung!$B$11:$B$22&lt;&gt;"")*(Besatzung!$F$11:$F$22="x")),SUMPRODUCT((J48:U48="x")*(Besatzung!$F$11:$F$22="x"))),1))))),0))))</f>
        <v/>
      </c>
      <c r="Z48" s="247">
        <f>IF(C48="Gutschrift","",IF(G48="","",IF(Besatzung!$B$13="","",IFERROR(IF(I48="Zeitanteilig",(Besatzung!$G$15*(G48-IFERROR(H48,0))+((Besatzung!$B$13&lt;&gt;"")*IF(B48="",1,(IF(Besatzung!$C$15="",Besatzung!$B$5,Besatzung!$C$15)&lt;=B48)*(IF(Besatzung!$D$15="",Besatzung!$B$6,Besatzung!$D$15)&gt;=B48)))*(Besatzung!$F$15="x")*IFERROR(H48,0)/IFERROR(SUMPRODUCT((Besatzung!$B$11:$B$22&lt;&gt;"")*(Besatzung!$F$11:$F$22="x")*(IF(Besatzung!$C$11:$C$22="",Besatzung!$B$5,Besatzung!$C$11:$C$22)&lt;=B48)*(IF(Besatzung!$D$11:$D$22="",Besatzung!$B$6,Besatzung!$D$11:$D$22)&gt;=B48)),1)),IF(I48="An Bord",(((Besatzung!$B$13&lt;&gt;"")*IF(B48="",1,(IF(Besatzung!$C$15="",Besatzung!$B$5,Besatzung!$C$15)&lt;=B48)*(IF(Besatzung!$D$15="",Besatzung!$B$6,Besatzung!$D$15)&gt;=B48)))*((G48-IFERROR(H48,0))/IFERROR(SUMPRODUCT((Besatzung!$B$11:$B$22&lt;&gt;"")*(IF(Besatzung!$C$11:$C$22="",Besatzung!$B$5,Besatzung!$C$11:$C$22)&lt;=B48)*(IF(Besatzung!$D$11:$D$22="",Besatzung!$B$6,Besatzung!$D$11:$D$22)&gt;=B48)),1)+(Besatzung!$F$15="x")*IFERROR(H48,0)/IFERROR(SUMPRODUCT((Besatzung!$B$11:$B$22&lt;&gt;"")*(Besatzung!$F$11:$F$22="x")*(IF(Besatzung!$C$11:$C$22="",Besatzung!$B$5,Besatzung!$C$11:$C$22)&lt;=B48)*(IF(Besatzung!$D$11:$D$22="",Besatzung!$B$6,Besatzung!$D$11:$D$22)&gt;=B48)),1))),IF(I48="Individuell",((N48="x")*((G48-IFERROR(H48,0))/IFERROR(COUNTIF(J48:U48,"x"),1)+(Besatzung!$F$15="x")*IFERROR(H48,0)/IFERROR(SUMPRODUCT((J48:U48="x")*(Besatzung!$F$11:$F$22="x")),1))),(IF(COUNTIF(J48:U48,"x")=0,IF(Besatzung!$B$13&lt;&gt;"",1,0),(N48="x"))*(G48-IFERROR(H48,0))/IFERROR(IF(COUNTIF(J48:U48,"x")=0,COUNTA(Besatzung!$B$11:$B$22),COUNTIF(J48:U48,"x")),1)+IF(COUNTIF(J48:U48,"x")=0,(Besatzung!$F$15="x"),(N48="x")*(Besatzung!$F$15="x"))*IFERROR(H48,0)/IFERROR(IF(COUNTIF(J48:U48,"x")=0,SUMPRODUCT((Besatzung!$B$11:$B$22&lt;&gt;"")*(Besatzung!$F$11:$F$22="x")),SUMPRODUCT((J48:U48="x")*(Besatzung!$F$11:$F$22="x"))),1))))),0))))</f>
        <v/>
      </c>
      <c r="AA48" s="247">
        <f>IF(C48="Gutschrift","",IF(G48="","",IF(Besatzung!$B$15="","",IFERROR(IF(I48="Zeitanteilig",(Besatzung!$G$16*(G48-IFERROR(H48,0))+((Besatzung!$B$15&lt;&gt;"")*IF(B48="",1,(IF(Besatzung!$C$16="",Besatzung!$B$5,Besatzung!$C$16)&lt;=B48)*(IF(Besatzung!$D$16="",Besatzung!$B$6,Besatzung!$D$16)&gt;=B48)))*(Besatzung!$F$16="x")*IFERROR(H48,0)/IFERROR(SUMPRODUCT((Besatzung!$B$11:$B$22&lt;&gt;"")*(Besatzung!$F$11:$F$22="x")*(IF(Besatzung!$C$11:$C$22="",Besatzung!$B$5,Besatzung!$C$11:$C$22)&lt;=B48)*(IF(Besatzung!$D$11:$D$22="",Besatzung!$B$6,Besatzung!$D$11:$D$22)&gt;=B48)),1)),IF(I48="An Bord",(((Besatzung!$B$15&lt;&gt;"")*IF(B48="",1,(IF(Besatzung!$C$16="",Besatzung!$B$5,Besatzung!$C$16)&lt;=B48)*(IF(Besatzung!$D$16="",Besatzung!$B$6,Besatzung!$D$16)&gt;=B48)))*((G48-IFERROR(H48,0))/IFERROR(SUMPRODUCT((Besatzung!$B$11:$B$22&lt;&gt;"")*(IF(Besatzung!$C$11:$C$22="",Besatzung!$B$5,Besatzung!$C$11:$C$22)&lt;=B48)*(IF(Besatzung!$D$11:$D$22="",Besatzung!$B$6,Besatzung!$D$11:$D$22)&gt;=B48)),1)+(Besatzung!$F$16="x")*IFERROR(H48,0)/IFERROR(SUMPRODUCT((Besatzung!$B$11:$B$22&lt;&gt;"")*(Besatzung!$F$11:$F$22="x")*(IF(Besatzung!$C$11:$C$22="",Besatzung!$B$5,Besatzung!$C$11:$C$22)&lt;=B48)*(IF(Besatzung!$D$11:$D$22="",Besatzung!$B$6,Besatzung!$D$11:$D$22)&gt;=B48)),1))),IF(I48="Individuell",((O48="x")*((G48-IFERROR(H48,0))/IFERROR(COUNTIF(J48:U48,"x"),1)+(Besatzung!$F$16="x")*IFERROR(H48,0)/IFERROR(SUMPRODUCT((J48:U48="x")*(Besatzung!$F$11:$F$22="x")),1))),(IF(COUNTIF(J48:U48,"x")=0,IF(Besatzung!$B$15&lt;&gt;"",1,0),(O48="x"))*(G48-IFERROR(H48,0))/IFERROR(IF(COUNTIF(J48:U48,"x")=0,COUNTA(Besatzung!$B$11:$B$22),COUNTIF(J48:U48,"x")),1)+IF(COUNTIF(J48:U48,"x")=0,(Besatzung!$F$16="x"),(O48="x")*(Besatzung!$F$16="x"))*IFERROR(H48,0)/IFERROR(IF(COUNTIF(J48:U48,"x")=0,SUMPRODUCT((Besatzung!$B$11:$B$22&lt;&gt;"")*(Besatzung!$F$11:$F$22="x")),SUMPRODUCT((J48:U48="x")*(Besatzung!$F$11:$F$22="x"))),1))))),0))))</f>
        <v/>
      </c>
      <c r="AB48" s="247">
        <f>IF(C48="Gutschrift","",IF(G48="","",IF(Besatzung!$B$17="","",IFERROR(IF(I48="Zeitanteilig",(Besatzung!$G$17*(G48-IFERROR(H48,0))+((Besatzung!$B$17&lt;&gt;"")*IF(B48="",1,(IF(Besatzung!$C$17="",Besatzung!$B$5,Besatzung!$C$17)&lt;=B48)*(IF(Besatzung!$D$17="",Besatzung!$B$6,Besatzung!$D$17)&gt;=B48)))*(Besatzung!$F$17="x")*IFERROR(H48,0)/IFERROR(SUMPRODUCT((Besatzung!$B$11:$B$22&lt;&gt;"")*(Besatzung!$F$11:$F$22="x")*(IF(Besatzung!$C$11:$C$22="",Besatzung!$B$5,Besatzung!$C$11:$C$22)&lt;=B48)*(IF(Besatzung!$D$11:$D$22="",Besatzung!$B$6,Besatzung!$D$11:$D$22)&gt;=B48)),1)),IF(I48="An Bord",(((Besatzung!$B$17&lt;&gt;"")*IF(B48="",1,(IF(Besatzung!$C$17="",Besatzung!$B$5,Besatzung!$C$17)&lt;=B48)*(IF(Besatzung!$D$17="",Besatzung!$B$6,Besatzung!$D$17)&gt;=B48)))*((G48-IFERROR(H48,0))/IFERROR(SUMPRODUCT((Besatzung!$B$11:$B$22&lt;&gt;"")*(IF(Besatzung!$C$11:$C$22="",Besatzung!$B$5,Besatzung!$C$11:$C$22)&lt;=B48)*(IF(Besatzung!$D$11:$D$22="",Besatzung!$B$6,Besatzung!$D$11:$D$22)&gt;=B48)),1)+(Besatzung!$F$17="x")*IFERROR(H48,0)/IFERROR(SUMPRODUCT((Besatzung!$B$11:$B$22&lt;&gt;"")*(Besatzung!$F$11:$F$22="x")*(IF(Besatzung!$C$11:$C$22="",Besatzung!$B$5,Besatzung!$C$11:$C$22)&lt;=B48)*(IF(Besatzung!$D$11:$D$22="",Besatzung!$B$6,Besatzung!$D$11:$D$22)&gt;=B48)),1))),IF(I48="Individuell",((P48="x")*((G48-IFERROR(H48,0))/IFERROR(COUNTIF(J48:U48,"x"),1)+(Besatzung!$F$17="x")*IFERROR(H48,0)/IFERROR(SUMPRODUCT((J48:U48="x")*(Besatzung!$F$11:$F$22="x")),1))),(IF(COUNTIF(J48:U48,"x")=0,IF(Besatzung!$B$17&lt;&gt;"",1,0),(P48="x"))*(G48-IFERROR(H48,0))/IFERROR(IF(COUNTIF(J48:U48,"x")=0,COUNTA(Besatzung!$B$11:$B$22),COUNTIF(J48:U48,"x")),1)+IF(COUNTIF(J48:U48,"x")=0,(Besatzung!$F$17="x"),(P48="x")*(Besatzung!$F$17="x"))*IFERROR(H48,0)/IFERROR(IF(COUNTIF(J48:U48,"x")=0,SUMPRODUCT((Besatzung!$B$11:$B$22&lt;&gt;"")*(Besatzung!$F$11:$F$22="x")),SUMPRODUCT((J48:U48="x")*(Besatzung!$F$11:$F$22="x"))),1))))),0))))</f>
        <v/>
      </c>
      <c r="AC48" s="247">
        <f>IF(C48="Gutschrift","",IF(G48="","",IF(Besatzung!$B$18="","",IFERROR(IF(I48="Zeitanteilig",(Besatzung!$G$18*(G48-IFERROR(H48,0))+((Besatzung!$B$18&lt;&gt;"")*IF(B48="",1,(IF(Besatzung!$C$18="",Besatzung!$B$5,Besatzung!$C$18)&lt;=B48)*(IF(Besatzung!$D$18="",Besatzung!$B$6,Besatzung!$D$18)&gt;=B48)))*(Besatzung!$F$18="x")*IFERROR(H48,0)/IFERROR(SUMPRODUCT((Besatzung!$B$11:$B$22&lt;&gt;"")*(Besatzung!$F$11:$F$22="x")*(IF(Besatzung!$C$11:$C$22="",Besatzung!$B$5,Besatzung!$C$11:$C$22)&lt;=B48)*(IF(Besatzung!$D$11:$D$22="",Besatzung!$B$6,Besatzung!$D$11:$D$22)&gt;=B48)),1)),IF(I48="An Bord",(((Besatzung!$B$18&lt;&gt;"")*IF(B48="",1,(IF(Besatzung!$C$18="",Besatzung!$B$5,Besatzung!$C$18)&lt;=B48)*(IF(Besatzung!$D$18="",Besatzung!$B$6,Besatzung!$D$18)&gt;=B48)))*((G48-IFERROR(H48,0))/IFERROR(SUMPRODUCT((Besatzung!$B$11:$B$22&lt;&gt;"")*(IF(Besatzung!$C$11:$C$22="",Besatzung!$B$5,Besatzung!$C$11:$C$22)&lt;=B48)*(IF(Besatzung!$D$11:$D$22="",Besatzung!$B$6,Besatzung!$D$11:$D$22)&gt;=B48)),1)+(Besatzung!$F$18="x")*IFERROR(H48,0)/IFERROR(SUMPRODUCT((Besatzung!$B$11:$B$22&lt;&gt;"")*(Besatzung!$F$11:$F$22="x")*(IF(Besatzung!$C$11:$C$22="",Besatzung!$B$5,Besatzung!$C$11:$C$22)&lt;=B48)*(IF(Besatzung!$D$11:$D$22="",Besatzung!$B$6,Besatzung!$D$11:$D$22)&gt;=B48)),1))),IF(I48="Individuell",((Q48="x")*((G48-IFERROR(H48,0))/IFERROR(COUNTIF(J48:U48,"x"),1)+(Besatzung!$F$18="x")*IFERROR(H48,0)/IFERROR(SUMPRODUCT((J48:U48="x")*(Besatzung!$F$11:$F$22="x")),1))),(IF(COUNTIF(J48:U48,"x")=0,IF(Besatzung!$B$18&lt;&gt;"",1,0),(Q48="x"))*(G48-IFERROR(H48,0))/IFERROR(IF(COUNTIF(J48:U48,"x")=0,COUNTA(Besatzung!$B$11:$B$22),COUNTIF(J48:U48,"x")),1)+IF(COUNTIF(J48:U48,"x")=0,(Besatzung!$F$18="x"),(Q48="x")*(Besatzung!$F$18="x"))*IFERROR(H48,0)/IFERROR(IF(COUNTIF(J48:U48,"x")=0,SUMPRODUCT((Besatzung!$B$11:$B$22&lt;&gt;"")*(Besatzung!$F$11:$F$22="x")),SUMPRODUCT((J48:U48="x")*(Besatzung!$F$11:$F$22="x"))),1))))),0))))</f>
        <v/>
      </c>
      <c r="AD48" s="247">
        <f>IF(C48="Gutschrift","",IF(G48="","",IF(Besatzung!$B$19="","",IFERROR(IF(I48="Zeitanteilig",(Besatzung!$G$19*(G48-IFERROR(H48,0))+((Besatzung!$B$19&lt;&gt;"")*IF(B48="",1,(IF(Besatzung!$C$19="",Besatzung!$B$5,Besatzung!$C$19)&lt;=B48)*(IF(Besatzung!$D$19="",Besatzung!$B$6,Besatzung!$D$19)&gt;=B48)))*(Besatzung!$F$19="x")*IFERROR(H48,0)/IFERROR(SUMPRODUCT((Besatzung!$B$11:$B$22&lt;&gt;"")*(Besatzung!$F$11:$F$22="x")*(IF(Besatzung!$C$11:$C$22="",Besatzung!$B$5,Besatzung!$C$11:$C$22)&lt;=B48)*(IF(Besatzung!$D$11:$D$22="",Besatzung!$B$6,Besatzung!$D$11:$D$22)&gt;=B48)),1)),IF(I48="An Bord",(((Besatzung!$B$19&lt;&gt;"")*IF(B48="",1,(IF(Besatzung!$C$19="",Besatzung!$B$5,Besatzung!$C$19)&lt;=B48)*(IF(Besatzung!$D$19="",Besatzung!$B$6,Besatzung!$D$19)&gt;=B48)))*((G48-IFERROR(H48,0))/IFERROR(SUMPRODUCT((Besatzung!$B$11:$B$22&lt;&gt;"")*(IF(Besatzung!$C$11:$C$22="",Besatzung!$B$5,Besatzung!$C$11:$C$22)&lt;=B48)*(IF(Besatzung!$D$11:$D$22="",Besatzung!$B$6,Besatzung!$D$11:$D$22)&gt;=B48)),1)+(Besatzung!$F$19="x")*IFERROR(H48,0)/IFERROR(SUMPRODUCT((Besatzung!$B$11:$B$22&lt;&gt;"")*(Besatzung!$F$11:$F$22="x")*(IF(Besatzung!$C$11:$C$22="",Besatzung!$B$5,Besatzung!$C$11:$C$22)&lt;=B48)*(IF(Besatzung!$D$11:$D$22="",Besatzung!$B$6,Besatzung!$D$11:$D$22)&gt;=B48)),1))),IF(I48="Individuell",((R48="x")*((G48-IFERROR(H48,0))/IFERROR(COUNTIF(J48:U48,"x"),1)+(Besatzung!$F$19="x")*IFERROR(H48,0)/IFERROR(SUMPRODUCT((J48:U48="x")*(Besatzung!$F$11:$F$22="x")),1))),(IF(COUNTIF(J48:U48,"x")=0,IF(Besatzung!$B$19&lt;&gt;"",1,0),(R48="x"))*(G48-IFERROR(H48,0))/IFERROR(IF(COUNTIF(J48:U48,"x")=0,COUNTA(Besatzung!$B$11:$B$22),COUNTIF(J48:U48,"x")),1)+IF(COUNTIF(J48:U48,"x")=0,(Besatzung!$F$19="x"),(R48="x")*(Besatzung!$F$19="x"))*IFERROR(H48,0)/IFERROR(IF(COUNTIF(J48:U48,"x")=0,SUMPRODUCT((Besatzung!$B$11:$B$22&lt;&gt;"")*(Besatzung!$F$11:$F$22="x")),SUMPRODUCT((J48:U48="x")*(Besatzung!$F$11:$F$22="x"))),1))))),0))))</f>
        <v/>
      </c>
      <c r="AE48" s="247">
        <f>IF(C48="Gutschrift","",IF(G48="","",IF(Besatzung!$B$20="","",IFERROR(IF(I48="Zeitanteilig",(Besatzung!$G$20*(G48-IFERROR(H48,0))+((Besatzung!$B$20&lt;&gt;"")*IF(B48="",1,(IF(Besatzung!$C$20="",Besatzung!$B$5,Besatzung!$C$20)&lt;=B48)*(IF(Besatzung!$D$20="",Besatzung!$B$6,Besatzung!$D$20)&gt;=B48)))*(Besatzung!$F$20="x")*IFERROR(H48,0)/IFERROR(SUMPRODUCT((Besatzung!$B$11:$B$22&lt;&gt;"")*(Besatzung!$F$11:$F$22="x")*(IF(Besatzung!$C$11:$C$22="",Besatzung!$B$5,Besatzung!$C$11:$C$22)&lt;=B48)*(IF(Besatzung!$D$11:$D$22="",Besatzung!$B$6,Besatzung!$D$11:$D$22)&gt;=B48)),1)),IF(I48="An Bord",(((Besatzung!$B$20&lt;&gt;"")*IF(B48="",1,(IF(Besatzung!$C$20="",Besatzung!$B$5,Besatzung!$C$20)&lt;=B48)*(IF(Besatzung!$D$20="",Besatzung!$B$6,Besatzung!$D$20)&gt;=B48)))*((G48-IFERROR(H48,0))/IFERROR(SUMPRODUCT((Besatzung!$B$11:$B$22&lt;&gt;"")*(IF(Besatzung!$C$11:$C$22="",Besatzung!$B$5,Besatzung!$C$11:$C$22)&lt;=B48)*(IF(Besatzung!$D$11:$D$22="",Besatzung!$B$6,Besatzung!$D$11:$D$22)&gt;=B48)),1)+(Besatzung!$F$20="x")*IFERROR(H48,0)/IFERROR(SUMPRODUCT((Besatzung!$B$11:$B$22&lt;&gt;"")*(Besatzung!$F$11:$F$22="x")*(IF(Besatzung!$C$11:$C$22="",Besatzung!$B$5,Besatzung!$C$11:$C$22)&lt;=B48)*(IF(Besatzung!$D$11:$D$22="",Besatzung!$B$6,Besatzung!$D$11:$D$22)&gt;=B48)),1))),IF(I48="Individuell",((S48="x")*((G48-IFERROR(H48,0))/IFERROR(COUNTIF(J48:U48,"x"),1)+(Besatzung!$F$20="x")*IFERROR(H48,0)/IFERROR(SUMPRODUCT((J48:U48="x")*(Besatzung!$F$11:$F$22="x")),1))),(IF(COUNTIF(J48:U48,"x")=0,IF(Besatzung!$B$20&lt;&gt;"",1,0),(S48="x"))*(G48-IFERROR(H48,0))/IFERROR(IF(COUNTIF(J48:U48,"x")=0,COUNTA(Besatzung!$B$11:$B$22),COUNTIF(J48:U48,"x")),1)+IF(COUNTIF(J48:U48,"x")=0,(Besatzung!$F$20="x"),(S48="x")*(Besatzung!$F$20="x"))*IFERROR(H48,0)/IFERROR(IF(COUNTIF(J48:U48,"x")=0,SUMPRODUCT((Besatzung!$B$11:$B$22&lt;&gt;"")*(Besatzung!$F$11:$F$22="x")),SUMPRODUCT((J48:U48="x")*(Besatzung!$F$11:$F$22="x"))),1))))),0))))</f>
        <v/>
      </c>
      <c r="AF48" s="247">
        <f>IF(C48="Gutschrift","",IF(G48="","",IF(Besatzung!$B$21="","",IFERROR(IF(I48="Zeitanteilig",(Besatzung!$G$21*(G48-IFERROR(H48,0))+((Besatzung!$B$21&lt;&gt;"")*IF(B48="",1,(IF(Besatzung!$C$21="",Besatzung!$B$5,Besatzung!$C$21)&lt;=B48)*(IF(Besatzung!$D$21="",Besatzung!$B$6,Besatzung!$D$21)&gt;=B48)))*(Besatzung!$F$21="x")*IFERROR(H48,0)/IFERROR(SUMPRODUCT((Besatzung!$B$11:$B$22&lt;&gt;"")*(Besatzung!$F$11:$F$22="x")*(IF(Besatzung!$C$11:$C$22="",Besatzung!$B$5,Besatzung!$C$11:$C$22)&lt;=B48)*(IF(Besatzung!$D$11:$D$22="",Besatzung!$B$6,Besatzung!$D$11:$D$22)&gt;=B48)),1)),IF(I48="An Bord",(((Besatzung!$B$21&lt;&gt;"")*IF(B48="",1,(IF(Besatzung!$C$21="",Besatzung!$B$5,Besatzung!$C$21)&lt;=B48)*(IF(Besatzung!$D$21="",Besatzung!$B$6,Besatzung!$D$21)&gt;=B48)))*((G48-IFERROR(H48,0))/IFERROR(SUMPRODUCT((Besatzung!$B$11:$B$22&lt;&gt;"")*(IF(Besatzung!$C$11:$C$22="",Besatzung!$B$5,Besatzung!$C$11:$C$22)&lt;=B48)*(IF(Besatzung!$D$11:$D$22="",Besatzung!$B$6,Besatzung!$D$11:$D$22)&gt;=B48)),1)+(Besatzung!$F$21="x")*IFERROR(H48,0)/IFERROR(SUMPRODUCT((Besatzung!$B$11:$B$22&lt;&gt;"")*(Besatzung!$F$11:$F$22="x")*(IF(Besatzung!$C$11:$C$22="",Besatzung!$B$5,Besatzung!$C$11:$C$22)&lt;=B48)*(IF(Besatzung!$D$11:$D$22="",Besatzung!$B$6,Besatzung!$D$11:$D$22)&gt;=B48)),1))),IF(I48="Individuell",((T48="x")*((G48-IFERROR(H48,0))/IFERROR(COUNTIF(J48:U48,"x"),1)+(Besatzung!$F$21="x")*IFERROR(H48,0)/IFERROR(SUMPRODUCT((J48:U48="x")*(Besatzung!$F$11:$F$22="x")),1))),(IF(COUNTIF(J48:U48,"x")=0,IF(Besatzung!$B$21&lt;&gt;"",1,0),(T48="x"))*(G48-IFERROR(H48,0))/IFERROR(IF(COUNTIF(J48:U48,"x")=0,COUNTA(Besatzung!$B$11:$B$22),COUNTIF(J48:U48,"x")),1)+IF(COUNTIF(J48:U48,"x")=0,(Besatzung!$F$21="x"),(T48="x")*(Besatzung!$F$21="x"))*IFERROR(H48,0)/IFERROR(IF(COUNTIF(J48:U48,"x")=0,SUMPRODUCT((Besatzung!$B$11:$B$22&lt;&gt;"")*(Besatzung!$F$11:$F$22="x")),SUMPRODUCT((J48:U48="x")*(Besatzung!$F$11:$F$22="x"))),1))))),0))))</f>
        <v/>
      </c>
      <c r="AG48" s="247">
        <f>IF(C48="Gutschrift","",IF(G48="","",IF(Besatzung!$B$22="","",IFERROR(IF(I48="Zeitanteilig",(Besatzung!$G$22*(G48-IFERROR(H48,0))+((Besatzung!$B$22&lt;&gt;"")*IF(B48="",1,(IF(Besatzung!$C$22="",Besatzung!$B$5,Besatzung!$C$22)&lt;=B48)*(IF(Besatzung!$D$22="",Besatzung!$B$6,Besatzung!$D$22)&gt;=B48)))*(Besatzung!$F$22="x")*IFERROR(H48,0)/IFERROR(SUMPRODUCT((Besatzung!$B$11:$B$22&lt;&gt;"")*(Besatzung!$F$11:$F$22="x")*(IF(Besatzung!$C$11:$C$22="",Besatzung!$B$5,Besatzung!$C$11:$C$22)&lt;=B48)*(IF(Besatzung!$D$11:$D$22="",Besatzung!$B$6,Besatzung!$D$11:$D$22)&gt;=B48)),1)),IF(I48="An Bord",(((Besatzung!$B$22&lt;&gt;"")*IF(B48="",1,(IF(Besatzung!$C$22="",Besatzung!$B$5,Besatzung!$C$22)&lt;=B48)*(IF(Besatzung!$D$22="",Besatzung!$B$6,Besatzung!$D$22)&gt;=B48)))*((G48-IFERROR(H48,0))/IFERROR(SUMPRODUCT((Besatzung!$B$11:$B$22&lt;&gt;"")*(IF(Besatzung!$C$11:$C$22="",Besatzung!$B$5,Besatzung!$C$11:$C$22)&lt;=B48)*(IF(Besatzung!$D$11:$D$22="",Besatzung!$B$6,Besatzung!$D$11:$D$22)&gt;=B48)),1)+(Besatzung!$F$22="x")*IFERROR(H48,0)/IFERROR(SUMPRODUCT((Besatzung!$B$11:$B$22&lt;&gt;"")*(Besatzung!$F$11:$F$22="x")*(IF(Besatzung!$C$11:$C$22="",Besatzung!$B$5,Besatzung!$C$11:$C$22)&lt;=B48)*(IF(Besatzung!$D$11:$D$22="",Besatzung!$B$6,Besatzung!$D$11:$D$22)&gt;=B48)),1))),IF(I48="Individuell",((U48="x")*((G48-IFERROR(H48,0))/IFERROR(COUNTIF(J48:U48,"x"),1)+(Besatzung!$F$22="x")*IFERROR(H48,0)/IFERROR(SUMPRODUCT((J48:U48="x")*(Besatzung!$F$11:$F$22="x")),1))),(IF(COUNTIF(J48:U48,"x")=0,IF(Besatzung!$B$22&lt;&gt;"",1,0),(U48="x"))*(G48-IFERROR(H48,0))/IFERROR(IF(COUNTIF(J48:U48,"x")=0,COUNTA(Besatzung!$B$11:$B$22),COUNTIF(J48:U48,"x")),1)+IF(COUNTIF(J48:U48,"x")=0,(Besatzung!$F$22="x"),(U48="x")*(Besatzung!$F$22="x"))*IFERROR(H48,0)/IFERROR(IF(COUNTIF(J48:U48,"x")=0,SUMPRODUCT((Besatzung!$B$11:$B$22&lt;&gt;"")*(Besatzung!$F$11:$F$22="x")),SUMPRODUCT((J48:U48="x")*(Besatzung!$F$11:$F$22="x"))),1))))),0))))</f>
        <v/>
      </c>
      <c r="AH48" s="248" t="n"/>
      <c r="AI48" s="248" t="n"/>
    </row>
    <row r="49" ht="21.75" customHeight="1" s="154">
      <c r="A49" s="238">
        <f>IF(AND(D49="",C49=""),"",46)</f>
        <v/>
      </c>
      <c r="B49" s="206" t="n"/>
      <c r="C49" s="249" t="n"/>
      <c r="D49" s="250" t="n"/>
      <c r="E49" s="251" t="n"/>
      <c r="F49" s="252" t="n"/>
      <c r="G49" s="253" t="n"/>
      <c r="H49" s="254" t="n"/>
      <c r="I49" s="255" t="n"/>
      <c r="J49" s="256" t="n"/>
      <c r="K49" s="256" t="n"/>
      <c r="L49" s="256" t="n"/>
      <c r="M49" s="256" t="n"/>
      <c r="N49" s="256" t="n"/>
      <c r="O49" s="256" t="n"/>
      <c r="P49" s="256" t="n"/>
      <c r="Q49" s="256" t="n"/>
      <c r="R49" s="256" t="n"/>
      <c r="S49" s="256" t="n"/>
      <c r="T49" s="256" t="n"/>
      <c r="U49" s="256" t="n"/>
      <c r="V49" s="247">
        <f>IF(C49="Gutschrift","",IF(G49="","",IF(Besatzung!$B$11="","",IFERROR(IF(I49="Zeitanteilig",(Besatzung!$G$11*(G49-IFERROR(H49,0))+((Besatzung!$B$11&lt;&gt;"")*IF(B49="",1,(IF(Besatzung!$C$11="",Besatzung!$B$5,Besatzung!$C$11)&lt;=B49)*(IF(Besatzung!$D$11="",Besatzung!$B$6,Besatzung!$D$11)&gt;=B49)))*(Besatzung!$F$11="x")*IFERROR(H49,0)/IFERROR(SUMPRODUCT((Besatzung!$B$11:$B$22&lt;&gt;"")*(Besatzung!$F$11:$F$22="x")*(IF(Besatzung!$C$11:$C$22="",Besatzung!$B$5,Besatzung!$C$11:$C$22)&lt;=B49)*(IF(Besatzung!$D$11:$D$22="",Besatzung!$B$6,Besatzung!$D$11:$D$22)&gt;=B49)),1)),IF(I49="An Bord",(((Besatzung!$B$11&lt;&gt;"")*IF(B49="",1,(IF(Besatzung!$C$11="",Besatzung!$B$5,Besatzung!$C$11)&lt;=B49)*(IF(Besatzung!$D$11="",Besatzung!$B$6,Besatzung!$D$11)&gt;=B49)))*((G49-IFERROR(H49,0))/IFERROR(SUMPRODUCT((Besatzung!$B$11:$B$22&lt;&gt;"")*(IF(Besatzung!$C$11:$C$22="",Besatzung!$B$5,Besatzung!$C$11:$C$22)&lt;=B49)*(IF(Besatzung!$D$11:$D$22="",Besatzung!$B$6,Besatzung!$D$11:$D$22)&gt;=B49)),1)+(Besatzung!$F$11="x")*IFERROR(H49,0)/IFERROR(SUMPRODUCT((Besatzung!$B$11:$B$22&lt;&gt;"")*(Besatzung!$F$11:$F$22="x")*(IF(Besatzung!$C$11:$C$22="",Besatzung!$B$5,Besatzung!$C$11:$C$22)&lt;=B49)*(IF(Besatzung!$D$11:$D$22="",Besatzung!$B$6,Besatzung!$D$11:$D$22)&gt;=B49)),1))),IF(I49="Individuell",((J49="x")*((G49-IFERROR(H49,0))/IFERROR(COUNTIF(J49:U49,"x"),1)+(Besatzung!$F$11="x")*IFERROR(H49,0)/IFERROR(SUMPRODUCT((J49:U49="x")*(Besatzung!$F$11:$F$22="x")),1))),(IF(COUNTIF(J49:U49,"x")=0,IF(Besatzung!$B$11&lt;&gt;"",1,0),(J49="x"))*(G49-IFERROR(H49,0))/IFERROR(IF(COUNTIF(J49:U49,"x")=0,COUNTA(Besatzung!$B$11:$B$22),COUNTIF(J49:U49,"x")),1)+IF(COUNTIF(J49:U49,"x")=0,(Besatzung!$F$11="x"),(J49="x")*(Besatzung!$F$11="x"))*IFERROR(H49,0)/IFERROR(IF(COUNTIF(J49:U49,"x")=0,SUMPRODUCT((Besatzung!$B$11:$B$22&lt;&gt;"")*(Besatzung!$F$11:$F$22="x")),SUMPRODUCT((J49:U49="x")*(Besatzung!$F$11:$F$22="x"))),1))))),0))))</f>
        <v/>
      </c>
      <c r="W49" s="247">
        <f>IF(C49="Gutschrift","",IF(G49="","",IF(Besatzung!$B$12="","",IFERROR(IF(I49="Zeitanteilig",(Besatzung!$G$12*(G49-IFERROR(H49,0))+((Besatzung!$B$12&lt;&gt;"")*IF(B49="",1,(IF(Besatzung!$C$12="",Besatzung!$B$5,Besatzung!$C$12)&lt;=B49)*(IF(Besatzung!$D$12="",Besatzung!$B$6,Besatzung!$D$12)&gt;=B49)))*(Besatzung!$F$12="x")*IFERROR(H49,0)/IFERROR(SUMPRODUCT((Besatzung!$B$11:$B$22&lt;&gt;"")*(Besatzung!$F$11:$F$22="x")*(IF(Besatzung!$C$11:$C$22="",Besatzung!$B$5,Besatzung!$C$11:$C$22)&lt;=B49)*(IF(Besatzung!$D$11:$D$22="",Besatzung!$B$6,Besatzung!$D$11:$D$22)&gt;=B49)),1)),IF(I49="An Bord",(((Besatzung!$B$12&lt;&gt;"")*IF(B49="",1,(IF(Besatzung!$C$12="",Besatzung!$B$5,Besatzung!$C$12)&lt;=B49)*(IF(Besatzung!$D$12="",Besatzung!$B$6,Besatzung!$D$12)&gt;=B49)))*((G49-IFERROR(H49,0))/IFERROR(SUMPRODUCT((Besatzung!$B$11:$B$22&lt;&gt;"")*(IF(Besatzung!$C$11:$C$22="",Besatzung!$B$5,Besatzung!$C$11:$C$22)&lt;=B49)*(IF(Besatzung!$D$11:$D$22="",Besatzung!$B$6,Besatzung!$D$11:$D$22)&gt;=B49)),1)+(Besatzung!$F$12="x")*IFERROR(H49,0)/IFERROR(SUMPRODUCT((Besatzung!$B$11:$B$22&lt;&gt;"")*(Besatzung!$F$11:$F$22="x")*(IF(Besatzung!$C$11:$C$22="",Besatzung!$B$5,Besatzung!$C$11:$C$22)&lt;=B49)*(IF(Besatzung!$D$11:$D$22="",Besatzung!$B$6,Besatzung!$D$11:$D$22)&gt;=B49)),1))),IF(I49="Individuell",((K49="x")*((G49-IFERROR(H49,0))/IFERROR(COUNTIF(J49:U49,"x"),1)+(Besatzung!$F$12="x")*IFERROR(H49,0)/IFERROR(SUMPRODUCT((J49:U49="x")*(Besatzung!$F$11:$F$22="x")),1))),(IF(COUNTIF(J49:U49,"x")=0,IF(Besatzung!$B$12&lt;&gt;"",1,0),(K49="x"))*(G49-IFERROR(H49,0))/IFERROR(IF(COUNTIF(J49:U49,"x")=0,COUNTA(Besatzung!$B$11:$B$22),COUNTIF(J49:U49,"x")),1)+IF(COUNTIF(J49:U49,"x")=0,(Besatzung!$F$12="x"),(K49="x")*(Besatzung!$F$12="x"))*IFERROR(H49,0)/IFERROR(IF(COUNTIF(J49:U49,"x")=0,SUMPRODUCT((Besatzung!$B$11:$B$22&lt;&gt;"")*(Besatzung!$F$11:$F$22="x")),SUMPRODUCT((J49:U49="x")*(Besatzung!$F$11:$F$22="x"))),1))))),0))))</f>
        <v/>
      </c>
      <c r="X49" s="247">
        <f>IF(C49="Gutschrift","",IF(G49="","",IF(Besatzung!$B$13="","",IFERROR(IF(I49="Zeitanteilig",(Besatzung!$G$13*(G49-IFERROR(H49,0))+((Besatzung!$B$13&lt;&gt;"")*IF(B49="",1,(IF(Besatzung!$C$13="",Besatzung!$B$5,Besatzung!$C$13)&lt;=B49)*(IF(Besatzung!$D$13="",Besatzung!$B$6,Besatzung!$D$13)&gt;=B49)))*(Besatzung!$F$13="x")*IFERROR(H49,0)/IFERROR(SUMPRODUCT((Besatzung!$B$11:$B$22&lt;&gt;"")*(Besatzung!$F$11:$F$22="x")*(IF(Besatzung!$C$11:$C$22="",Besatzung!$B$5,Besatzung!$C$11:$C$22)&lt;=B49)*(IF(Besatzung!$D$11:$D$22="",Besatzung!$B$6,Besatzung!$D$11:$D$22)&gt;=B49)),1)),IF(I49="An Bord",(((Besatzung!$B$13&lt;&gt;"")*IF(B49="",1,(IF(Besatzung!$C$13="",Besatzung!$B$5,Besatzung!$C$13)&lt;=B49)*(IF(Besatzung!$D$13="",Besatzung!$B$6,Besatzung!$D$13)&gt;=B49)))*((G49-IFERROR(H49,0))/IFERROR(SUMPRODUCT((Besatzung!$B$11:$B$22&lt;&gt;"")*(IF(Besatzung!$C$11:$C$22="",Besatzung!$B$5,Besatzung!$C$11:$C$22)&lt;=B49)*(IF(Besatzung!$D$11:$D$22="",Besatzung!$B$6,Besatzung!$D$11:$D$22)&gt;=B49)),1)+(Besatzung!$F$13="x")*IFERROR(H49,0)/IFERROR(SUMPRODUCT((Besatzung!$B$11:$B$22&lt;&gt;"")*(Besatzung!$F$11:$F$22="x")*(IF(Besatzung!$C$11:$C$22="",Besatzung!$B$5,Besatzung!$C$11:$C$22)&lt;=B49)*(IF(Besatzung!$D$11:$D$22="",Besatzung!$B$6,Besatzung!$D$11:$D$22)&gt;=B49)),1))),IF(I49="Individuell",((K49="x")*((G49-IFERROR(H49,0))/IFERROR(COUNTIF(J49:U49,"x"),1)+(Besatzung!$F$13="x")*IFERROR(H49,0)/IFERROR(SUMPRODUCT((J49:U49="x")*(Besatzung!$F$11:$F$22="x")),1))),(IF(COUNTIF(J49:U49,"x")=0,IF(Besatzung!$B$13&lt;&gt;"",1,0),(K49="x"))*(G49-IFERROR(H49,0))/IFERROR(IF(COUNTIF(J49:U49,"x")=0,COUNTA(Besatzung!$B$11:$B$22),COUNTIF(J49:U49,"x")),1)+IF(COUNTIF(J49:U49,"x")=0,(Besatzung!$F$13="x"),(K49="x")*(Besatzung!$F$13="x"))*IFERROR(H49,0)/IFERROR(IF(COUNTIF(J49:U49,"x")=0,SUMPRODUCT((Besatzung!$B$11:$B$22&lt;&gt;"")*(Besatzung!$F$11:$F$22="x")),SUMPRODUCT((J49:U49="x")*(Besatzung!$F$11:$F$22="x"))),1))))),0))))</f>
        <v/>
      </c>
      <c r="Y49" s="247">
        <f>IF(C49="Gutschrift","",IF(G49="","",IF(Besatzung!$B$14="","",IFERROR(IF(I49="Zeitanteilig",(Besatzung!$G$14*(G49-IFERROR(H49,0))+((Besatzung!$B$14&lt;&gt;"")*IF(B49="",1,(IF(Besatzung!$C$14="",Besatzung!$B$5,Besatzung!$C$14)&lt;=B49)*(IF(Besatzung!$D$14="",Besatzung!$B$6,Besatzung!$D$14)&gt;=B49)))*(Besatzung!$F$14="x")*IFERROR(H49,0)/IFERROR(SUMPRODUCT((Besatzung!$B$11:$B$22&lt;&gt;"")*(Besatzung!$F$11:$F$22="x")*(IF(Besatzung!$C$11:$C$22="",Besatzung!$B$5,Besatzung!$C$11:$C$22)&lt;=B49)*(IF(Besatzung!$D$11:$D$22="",Besatzung!$B$6,Besatzung!$D$11:$D$22)&gt;=B49)),1)),IF(I49="An Bord",(((Besatzung!$B$14&lt;&gt;"")*IF(B49="",1,(IF(Besatzung!$C$14="",Besatzung!$B$5,Besatzung!$C$14)&lt;=B49)*(IF(Besatzung!$D$14="",Besatzung!$B$6,Besatzung!$D$14)&gt;=B49)))*((G49-IFERROR(H49,0))/IFERROR(SUMPRODUCT((Besatzung!$B$11:$B$22&lt;&gt;"")*(IF(Besatzung!$C$11:$C$22="",Besatzung!$B$5,Besatzung!$C$11:$C$22)&lt;=B49)*(IF(Besatzung!$D$11:$D$22="",Besatzung!$B$6,Besatzung!$D$11:$D$22)&gt;=B49)),1)+(Besatzung!$F$14="x")*IFERROR(H49,0)/IFERROR(SUMPRODUCT((Besatzung!$B$11:$B$22&lt;&gt;"")*(Besatzung!$F$11:$F$22="x")*(IF(Besatzung!$C$11:$C$22="",Besatzung!$B$5,Besatzung!$C$11:$C$22)&lt;=B49)*(IF(Besatzung!$D$11:$D$22="",Besatzung!$B$6,Besatzung!$D$11:$D$22)&gt;=B49)),1))),IF(I49="Individuell",((M49="x")*((G49-IFERROR(H49,0))/IFERROR(COUNTIF(J49:U49,"x"),1)+(Besatzung!$F$14="x")*IFERROR(H49,0)/IFERROR(SUMPRODUCT((J49:U49="x")*(Besatzung!$F$11:$F$22="x")),1))),(IF(COUNTIF(J49:U49,"x")=0,IF(Besatzung!$B$14&lt;&gt;"",1,0),(M49="x"))*(G49-IFERROR(H49,0))/IFERROR(IF(COUNTIF(J49:U49,"x")=0,COUNTA(Besatzung!$B$11:$B$22),COUNTIF(J49:U49,"x")),1)+IF(COUNTIF(J49:U49,"x")=0,(Besatzung!$F$14="x"),(M49="x")*(Besatzung!$F$14="x"))*IFERROR(H49,0)/IFERROR(IF(COUNTIF(J49:U49,"x")=0,SUMPRODUCT((Besatzung!$B$11:$B$22&lt;&gt;"")*(Besatzung!$F$11:$F$22="x")),SUMPRODUCT((J49:U49="x")*(Besatzung!$F$11:$F$22="x"))),1))))),0))))</f>
        <v/>
      </c>
      <c r="Z49" s="247">
        <f>IF(C49="Gutschrift","",IF(G49="","",IF(Besatzung!$B$13="","",IFERROR(IF(I49="Zeitanteilig",(Besatzung!$G$15*(G49-IFERROR(H49,0))+((Besatzung!$B$13&lt;&gt;"")*IF(B49="",1,(IF(Besatzung!$C$15="",Besatzung!$B$5,Besatzung!$C$15)&lt;=B49)*(IF(Besatzung!$D$15="",Besatzung!$B$6,Besatzung!$D$15)&gt;=B49)))*(Besatzung!$F$15="x")*IFERROR(H49,0)/IFERROR(SUMPRODUCT((Besatzung!$B$11:$B$22&lt;&gt;"")*(Besatzung!$F$11:$F$22="x")*(IF(Besatzung!$C$11:$C$22="",Besatzung!$B$5,Besatzung!$C$11:$C$22)&lt;=B49)*(IF(Besatzung!$D$11:$D$22="",Besatzung!$B$6,Besatzung!$D$11:$D$22)&gt;=B49)),1)),IF(I49="An Bord",(((Besatzung!$B$13&lt;&gt;"")*IF(B49="",1,(IF(Besatzung!$C$15="",Besatzung!$B$5,Besatzung!$C$15)&lt;=B49)*(IF(Besatzung!$D$15="",Besatzung!$B$6,Besatzung!$D$15)&gt;=B49)))*((G49-IFERROR(H49,0))/IFERROR(SUMPRODUCT((Besatzung!$B$11:$B$22&lt;&gt;"")*(IF(Besatzung!$C$11:$C$22="",Besatzung!$B$5,Besatzung!$C$11:$C$22)&lt;=B49)*(IF(Besatzung!$D$11:$D$22="",Besatzung!$B$6,Besatzung!$D$11:$D$22)&gt;=B49)),1)+(Besatzung!$F$15="x")*IFERROR(H49,0)/IFERROR(SUMPRODUCT((Besatzung!$B$11:$B$22&lt;&gt;"")*(Besatzung!$F$11:$F$22="x")*(IF(Besatzung!$C$11:$C$22="",Besatzung!$B$5,Besatzung!$C$11:$C$22)&lt;=B49)*(IF(Besatzung!$D$11:$D$22="",Besatzung!$B$6,Besatzung!$D$11:$D$22)&gt;=B49)),1))),IF(I49="Individuell",((N49="x")*((G49-IFERROR(H49,0))/IFERROR(COUNTIF(J49:U49,"x"),1)+(Besatzung!$F$15="x")*IFERROR(H49,0)/IFERROR(SUMPRODUCT((J49:U49="x")*(Besatzung!$F$11:$F$22="x")),1))),(IF(COUNTIF(J49:U49,"x")=0,IF(Besatzung!$B$13&lt;&gt;"",1,0),(N49="x"))*(G49-IFERROR(H49,0))/IFERROR(IF(COUNTIF(J49:U49,"x")=0,COUNTA(Besatzung!$B$11:$B$22),COUNTIF(J49:U49,"x")),1)+IF(COUNTIF(J49:U49,"x")=0,(Besatzung!$F$15="x"),(N49="x")*(Besatzung!$F$15="x"))*IFERROR(H49,0)/IFERROR(IF(COUNTIF(J49:U49,"x")=0,SUMPRODUCT((Besatzung!$B$11:$B$22&lt;&gt;"")*(Besatzung!$F$11:$F$22="x")),SUMPRODUCT((J49:U49="x")*(Besatzung!$F$11:$F$22="x"))),1))))),0))))</f>
        <v/>
      </c>
      <c r="AA49" s="247">
        <f>IF(C49="Gutschrift","",IF(G49="","",IF(Besatzung!$B$15="","",IFERROR(IF(I49="Zeitanteilig",(Besatzung!$G$16*(G49-IFERROR(H49,0))+((Besatzung!$B$15&lt;&gt;"")*IF(B49="",1,(IF(Besatzung!$C$16="",Besatzung!$B$5,Besatzung!$C$16)&lt;=B49)*(IF(Besatzung!$D$16="",Besatzung!$B$6,Besatzung!$D$16)&gt;=B49)))*(Besatzung!$F$16="x")*IFERROR(H49,0)/IFERROR(SUMPRODUCT((Besatzung!$B$11:$B$22&lt;&gt;"")*(Besatzung!$F$11:$F$22="x")*(IF(Besatzung!$C$11:$C$22="",Besatzung!$B$5,Besatzung!$C$11:$C$22)&lt;=B49)*(IF(Besatzung!$D$11:$D$22="",Besatzung!$B$6,Besatzung!$D$11:$D$22)&gt;=B49)),1)),IF(I49="An Bord",(((Besatzung!$B$15&lt;&gt;"")*IF(B49="",1,(IF(Besatzung!$C$16="",Besatzung!$B$5,Besatzung!$C$16)&lt;=B49)*(IF(Besatzung!$D$16="",Besatzung!$B$6,Besatzung!$D$16)&gt;=B49)))*((G49-IFERROR(H49,0))/IFERROR(SUMPRODUCT((Besatzung!$B$11:$B$22&lt;&gt;"")*(IF(Besatzung!$C$11:$C$22="",Besatzung!$B$5,Besatzung!$C$11:$C$22)&lt;=B49)*(IF(Besatzung!$D$11:$D$22="",Besatzung!$B$6,Besatzung!$D$11:$D$22)&gt;=B49)),1)+(Besatzung!$F$16="x")*IFERROR(H49,0)/IFERROR(SUMPRODUCT((Besatzung!$B$11:$B$22&lt;&gt;"")*(Besatzung!$F$11:$F$22="x")*(IF(Besatzung!$C$11:$C$22="",Besatzung!$B$5,Besatzung!$C$11:$C$22)&lt;=B49)*(IF(Besatzung!$D$11:$D$22="",Besatzung!$B$6,Besatzung!$D$11:$D$22)&gt;=B49)),1))),IF(I49="Individuell",((O49="x")*((G49-IFERROR(H49,0))/IFERROR(COUNTIF(J49:U49,"x"),1)+(Besatzung!$F$16="x")*IFERROR(H49,0)/IFERROR(SUMPRODUCT((J49:U49="x")*(Besatzung!$F$11:$F$22="x")),1))),(IF(COUNTIF(J49:U49,"x")=0,IF(Besatzung!$B$15&lt;&gt;"",1,0),(O49="x"))*(G49-IFERROR(H49,0))/IFERROR(IF(COUNTIF(J49:U49,"x")=0,COUNTA(Besatzung!$B$11:$B$22),COUNTIF(J49:U49,"x")),1)+IF(COUNTIF(J49:U49,"x")=0,(Besatzung!$F$16="x"),(O49="x")*(Besatzung!$F$16="x"))*IFERROR(H49,0)/IFERROR(IF(COUNTIF(J49:U49,"x")=0,SUMPRODUCT((Besatzung!$B$11:$B$22&lt;&gt;"")*(Besatzung!$F$11:$F$22="x")),SUMPRODUCT((J49:U49="x")*(Besatzung!$F$11:$F$22="x"))),1))))),0))))</f>
        <v/>
      </c>
      <c r="AB49" s="247">
        <f>IF(C49="Gutschrift","",IF(G49="","",IF(Besatzung!$B$17="","",IFERROR(IF(I49="Zeitanteilig",(Besatzung!$G$17*(G49-IFERROR(H49,0))+((Besatzung!$B$17&lt;&gt;"")*IF(B49="",1,(IF(Besatzung!$C$17="",Besatzung!$B$5,Besatzung!$C$17)&lt;=B49)*(IF(Besatzung!$D$17="",Besatzung!$B$6,Besatzung!$D$17)&gt;=B49)))*(Besatzung!$F$17="x")*IFERROR(H49,0)/IFERROR(SUMPRODUCT((Besatzung!$B$11:$B$22&lt;&gt;"")*(Besatzung!$F$11:$F$22="x")*(IF(Besatzung!$C$11:$C$22="",Besatzung!$B$5,Besatzung!$C$11:$C$22)&lt;=B49)*(IF(Besatzung!$D$11:$D$22="",Besatzung!$B$6,Besatzung!$D$11:$D$22)&gt;=B49)),1)),IF(I49="An Bord",(((Besatzung!$B$17&lt;&gt;"")*IF(B49="",1,(IF(Besatzung!$C$17="",Besatzung!$B$5,Besatzung!$C$17)&lt;=B49)*(IF(Besatzung!$D$17="",Besatzung!$B$6,Besatzung!$D$17)&gt;=B49)))*((G49-IFERROR(H49,0))/IFERROR(SUMPRODUCT((Besatzung!$B$11:$B$22&lt;&gt;"")*(IF(Besatzung!$C$11:$C$22="",Besatzung!$B$5,Besatzung!$C$11:$C$22)&lt;=B49)*(IF(Besatzung!$D$11:$D$22="",Besatzung!$B$6,Besatzung!$D$11:$D$22)&gt;=B49)),1)+(Besatzung!$F$17="x")*IFERROR(H49,0)/IFERROR(SUMPRODUCT((Besatzung!$B$11:$B$22&lt;&gt;"")*(Besatzung!$F$11:$F$22="x")*(IF(Besatzung!$C$11:$C$22="",Besatzung!$B$5,Besatzung!$C$11:$C$22)&lt;=B49)*(IF(Besatzung!$D$11:$D$22="",Besatzung!$B$6,Besatzung!$D$11:$D$22)&gt;=B49)),1))),IF(I49="Individuell",((P49="x")*((G49-IFERROR(H49,0))/IFERROR(COUNTIF(J49:U49,"x"),1)+(Besatzung!$F$17="x")*IFERROR(H49,0)/IFERROR(SUMPRODUCT((J49:U49="x")*(Besatzung!$F$11:$F$22="x")),1))),(IF(COUNTIF(J49:U49,"x")=0,IF(Besatzung!$B$17&lt;&gt;"",1,0),(P49="x"))*(G49-IFERROR(H49,0))/IFERROR(IF(COUNTIF(J49:U49,"x")=0,COUNTA(Besatzung!$B$11:$B$22),COUNTIF(J49:U49,"x")),1)+IF(COUNTIF(J49:U49,"x")=0,(Besatzung!$F$17="x"),(P49="x")*(Besatzung!$F$17="x"))*IFERROR(H49,0)/IFERROR(IF(COUNTIF(J49:U49,"x")=0,SUMPRODUCT((Besatzung!$B$11:$B$22&lt;&gt;"")*(Besatzung!$F$11:$F$22="x")),SUMPRODUCT((J49:U49="x")*(Besatzung!$F$11:$F$22="x"))),1))))),0))))</f>
        <v/>
      </c>
      <c r="AC49" s="247">
        <f>IF(C49="Gutschrift","",IF(G49="","",IF(Besatzung!$B$18="","",IFERROR(IF(I49="Zeitanteilig",(Besatzung!$G$18*(G49-IFERROR(H49,0))+((Besatzung!$B$18&lt;&gt;"")*IF(B49="",1,(IF(Besatzung!$C$18="",Besatzung!$B$5,Besatzung!$C$18)&lt;=B49)*(IF(Besatzung!$D$18="",Besatzung!$B$6,Besatzung!$D$18)&gt;=B49)))*(Besatzung!$F$18="x")*IFERROR(H49,0)/IFERROR(SUMPRODUCT((Besatzung!$B$11:$B$22&lt;&gt;"")*(Besatzung!$F$11:$F$22="x")*(IF(Besatzung!$C$11:$C$22="",Besatzung!$B$5,Besatzung!$C$11:$C$22)&lt;=B49)*(IF(Besatzung!$D$11:$D$22="",Besatzung!$B$6,Besatzung!$D$11:$D$22)&gt;=B49)),1)),IF(I49="An Bord",(((Besatzung!$B$18&lt;&gt;"")*IF(B49="",1,(IF(Besatzung!$C$18="",Besatzung!$B$5,Besatzung!$C$18)&lt;=B49)*(IF(Besatzung!$D$18="",Besatzung!$B$6,Besatzung!$D$18)&gt;=B49)))*((G49-IFERROR(H49,0))/IFERROR(SUMPRODUCT((Besatzung!$B$11:$B$22&lt;&gt;"")*(IF(Besatzung!$C$11:$C$22="",Besatzung!$B$5,Besatzung!$C$11:$C$22)&lt;=B49)*(IF(Besatzung!$D$11:$D$22="",Besatzung!$B$6,Besatzung!$D$11:$D$22)&gt;=B49)),1)+(Besatzung!$F$18="x")*IFERROR(H49,0)/IFERROR(SUMPRODUCT((Besatzung!$B$11:$B$22&lt;&gt;"")*(Besatzung!$F$11:$F$22="x")*(IF(Besatzung!$C$11:$C$22="",Besatzung!$B$5,Besatzung!$C$11:$C$22)&lt;=B49)*(IF(Besatzung!$D$11:$D$22="",Besatzung!$B$6,Besatzung!$D$11:$D$22)&gt;=B49)),1))),IF(I49="Individuell",((Q49="x")*((G49-IFERROR(H49,0))/IFERROR(COUNTIF(J49:U49,"x"),1)+(Besatzung!$F$18="x")*IFERROR(H49,0)/IFERROR(SUMPRODUCT((J49:U49="x")*(Besatzung!$F$11:$F$22="x")),1))),(IF(COUNTIF(J49:U49,"x")=0,IF(Besatzung!$B$18&lt;&gt;"",1,0),(Q49="x"))*(G49-IFERROR(H49,0))/IFERROR(IF(COUNTIF(J49:U49,"x")=0,COUNTA(Besatzung!$B$11:$B$22),COUNTIF(J49:U49,"x")),1)+IF(COUNTIF(J49:U49,"x")=0,(Besatzung!$F$18="x"),(Q49="x")*(Besatzung!$F$18="x"))*IFERROR(H49,0)/IFERROR(IF(COUNTIF(J49:U49,"x")=0,SUMPRODUCT((Besatzung!$B$11:$B$22&lt;&gt;"")*(Besatzung!$F$11:$F$22="x")),SUMPRODUCT((J49:U49="x")*(Besatzung!$F$11:$F$22="x"))),1))))),0))))</f>
        <v/>
      </c>
      <c r="AD49" s="247">
        <f>IF(C49="Gutschrift","",IF(G49="","",IF(Besatzung!$B$19="","",IFERROR(IF(I49="Zeitanteilig",(Besatzung!$G$19*(G49-IFERROR(H49,0))+((Besatzung!$B$19&lt;&gt;"")*IF(B49="",1,(IF(Besatzung!$C$19="",Besatzung!$B$5,Besatzung!$C$19)&lt;=B49)*(IF(Besatzung!$D$19="",Besatzung!$B$6,Besatzung!$D$19)&gt;=B49)))*(Besatzung!$F$19="x")*IFERROR(H49,0)/IFERROR(SUMPRODUCT((Besatzung!$B$11:$B$22&lt;&gt;"")*(Besatzung!$F$11:$F$22="x")*(IF(Besatzung!$C$11:$C$22="",Besatzung!$B$5,Besatzung!$C$11:$C$22)&lt;=B49)*(IF(Besatzung!$D$11:$D$22="",Besatzung!$B$6,Besatzung!$D$11:$D$22)&gt;=B49)),1)),IF(I49="An Bord",(((Besatzung!$B$19&lt;&gt;"")*IF(B49="",1,(IF(Besatzung!$C$19="",Besatzung!$B$5,Besatzung!$C$19)&lt;=B49)*(IF(Besatzung!$D$19="",Besatzung!$B$6,Besatzung!$D$19)&gt;=B49)))*((G49-IFERROR(H49,0))/IFERROR(SUMPRODUCT((Besatzung!$B$11:$B$22&lt;&gt;"")*(IF(Besatzung!$C$11:$C$22="",Besatzung!$B$5,Besatzung!$C$11:$C$22)&lt;=B49)*(IF(Besatzung!$D$11:$D$22="",Besatzung!$B$6,Besatzung!$D$11:$D$22)&gt;=B49)),1)+(Besatzung!$F$19="x")*IFERROR(H49,0)/IFERROR(SUMPRODUCT((Besatzung!$B$11:$B$22&lt;&gt;"")*(Besatzung!$F$11:$F$22="x")*(IF(Besatzung!$C$11:$C$22="",Besatzung!$B$5,Besatzung!$C$11:$C$22)&lt;=B49)*(IF(Besatzung!$D$11:$D$22="",Besatzung!$B$6,Besatzung!$D$11:$D$22)&gt;=B49)),1))),IF(I49="Individuell",((R49="x")*((G49-IFERROR(H49,0))/IFERROR(COUNTIF(J49:U49,"x"),1)+(Besatzung!$F$19="x")*IFERROR(H49,0)/IFERROR(SUMPRODUCT((J49:U49="x")*(Besatzung!$F$11:$F$22="x")),1))),(IF(COUNTIF(J49:U49,"x")=0,IF(Besatzung!$B$19&lt;&gt;"",1,0),(R49="x"))*(G49-IFERROR(H49,0))/IFERROR(IF(COUNTIF(J49:U49,"x")=0,COUNTA(Besatzung!$B$11:$B$22),COUNTIF(J49:U49,"x")),1)+IF(COUNTIF(J49:U49,"x")=0,(Besatzung!$F$19="x"),(R49="x")*(Besatzung!$F$19="x"))*IFERROR(H49,0)/IFERROR(IF(COUNTIF(J49:U49,"x")=0,SUMPRODUCT((Besatzung!$B$11:$B$22&lt;&gt;"")*(Besatzung!$F$11:$F$22="x")),SUMPRODUCT((J49:U49="x")*(Besatzung!$F$11:$F$22="x"))),1))))),0))))</f>
        <v/>
      </c>
      <c r="AE49" s="247">
        <f>IF(C49="Gutschrift","",IF(G49="","",IF(Besatzung!$B$20="","",IFERROR(IF(I49="Zeitanteilig",(Besatzung!$G$20*(G49-IFERROR(H49,0))+((Besatzung!$B$20&lt;&gt;"")*IF(B49="",1,(IF(Besatzung!$C$20="",Besatzung!$B$5,Besatzung!$C$20)&lt;=B49)*(IF(Besatzung!$D$20="",Besatzung!$B$6,Besatzung!$D$20)&gt;=B49)))*(Besatzung!$F$20="x")*IFERROR(H49,0)/IFERROR(SUMPRODUCT((Besatzung!$B$11:$B$22&lt;&gt;"")*(Besatzung!$F$11:$F$22="x")*(IF(Besatzung!$C$11:$C$22="",Besatzung!$B$5,Besatzung!$C$11:$C$22)&lt;=B49)*(IF(Besatzung!$D$11:$D$22="",Besatzung!$B$6,Besatzung!$D$11:$D$22)&gt;=B49)),1)),IF(I49="An Bord",(((Besatzung!$B$20&lt;&gt;"")*IF(B49="",1,(IF(Besatzung!$C$20="",Besatzung!$B$5,Besatzung!$C$20)&lt;=B49)*(IF(Besatzung!$D$20="",Besatzung!$B$6,Besatzung!$D$20)&gt;=B49)))*((G49-IFERROR(H49,0))/IFERROR(SUMPRODUCT((Besatzung!$B$11:$B$22&lt;&gt;"")*(IF(Besatzung!$C$11:$C$22="",Besatzung!$B$5,Besatzung!$C$11:$C$22)&lt;=B49)*(IF(Besatzung!$D$11:$D$22="",Besatzung!$B$6,Besatzung!$D$11:$D$22)&gt;=B49)),1)+(Besatzung!$F$20="x")*IFERROR(H49,0)/IFERROR(SUMPRODUCT((Besatzung!$B$11:$B$22&lt;&gt;"")*(Besatzung!$F$11:$F$22="x")*(IF(Besatzung!$C$11:$C$22="",Besatzung!$B$5,Besatzung!$C$11:$C$22)&lt;=B49)*(IF(Besatzung!$D$11:$D$22="",Besatzung!$B$6,Besatzung!$D$11:$D$22)&gt;=B49)),1))),IF(I49="Individuell",((S49="x")*((G49-IFERROR(H49,0))/IFERROR(COUNTIF(J49:U49,"x"),1)+(Besatzung!$F$20="x")*IFERROR(H49,0)/IFERROR(SUMPRODUCT((J49:U49="x")*(Besatzung!$F$11:$F$22="x")),1))),(IF(COUNTIF(J49:U49,"x")=0,IF(Besatzung!$B$20&lt;&gt;"",1,0),(S49="x"))*(G49-IFERROR(H49,0))/IFERROR(IF(COUNTIF(J49:U49,"x")=0,COUNTA(Besatzung!$B$11:$B$22),COUNTIF(J49:U49,"x")),1)+IF(COUNTIF(J49:U49,"x")=0,(Besatzung!$F$20="x"),(S49="x")*(Besatzung!$F$20="x"))*IFERROR(H49,0)/IFERROR(IF(COUNTIF(J49:U49,"x")=0,SUMPRODUCT((Besatzung!$B$11:$B$22&lt;&gt;"")*(Besatzung!$F$11:$F$22="x")),SUMPRODUCT((J49:U49="x")*(Besatzung!$F$11:$F$22="x"))),1))))),0))))</f>
        <v/>
      </c>
      <c r="AF49" s="247">
        <f>IF(C49="Gutschrift","",IF(G49="","",IF(Besatzung!$B$21="","",IFERROR(IF(I49="Zeitanteilig",(Besatzung!$G$21*(G49-IFERROR(H49,0))+((Besatzung!$B$21&lt;&gt;"")*IF(B49="",1,(IF(Besatzung!$C$21="",Besatzung!$B$5,Besatzung!$C$21)&lt;=B49)*(IF(Besatzung!$D$21="",Besatzung!$B$6,Besatzung!$D$21)&gt;=B49)))*(Besatzung!$F$21="x")*IFERROR(H49,0)/IFERROR(SUMPRODUCT((Besatzung!$B$11:$B$22&lt;&gt;"")*(Besatzung!$F$11:$F$22="x")*(IF(Besatzung!$C$11:$C$22="",Besatzung!$B$5,Besatzung!$C$11:$C$22)&lt;=B49)*(IF(Besatzung!$D$11:$D$22="",Besatzung!$B$6,Besatzung!$D$11:$D$22)&gt;=B49)),1)),IF(I49="An Bord",(((Besatzung!$B$21&lt;&gt;"")*IF(B49="",1,(IF(Besatzung!$C$21="",Besatzung!$B$5,Besatzung!$C$21)&lt;=B49)*(IF(Besatzung!$D$21="",Besatzung!$B$6,Besatzung!$D$21)&gt;=B49)))*((G49-IFERROR(H49,0))/IFERROR(SUMPRODUCT((Besatzung!$B$11:$B$22&lt;&gt;"")*(IF(Besatzung!$C$11:$C$22="",Besatzung!$B$5,Besatzung!$C$11:$C$22)&lt;=B49)*(IF(Besatzung!$D$11:$D$22="",Besatzung!$B$6,Besatzung!$D$11:$D$22)&gt;=B49)),1)+(Besatzung!$F$21="x")*IFERROR(H49,0)/IFERROR(SUMPRODUCT((Besatzung!$B$11:$B$22&lt;&gt;"")*(Besatzung!$F$11:$F$22="x")*(IF(Besatzung!$C$11:$C$22="",Besatzung!$B$5,Besatzung!$C$11:$C$22)&lt;=B49)*(IF(Besatzung!$D$11:$D$22="",Besatzung!$B$6,Besatzung!$D$11:$D$22)&gt;=B49)),1))),IF(I49="Individuell",((T49="x")*((G49-IFERROR(H49,0))/IFERROR(COUNTIF(J49:U49,"x"),1)+(Besatzung!$F$21="x")*IFERROR(H49,0)/IFERROR(SUMPRODUCT((J49:U49="x")*(Besatzung!$F$11:$F$22="x")),1))),(IF(COUNTIF(J49:U49,"x")=0,IF(Besatzung!$B$21&lt;&gt;"",1,0),(T49="x"))*(G49-IFERROR(H49,0))/IFERROR(IF(COUNTIF(J49:U49,"x")=0,COUNTA(Besatzung!$B$11:$B$22),COUNTIF(J49:U49,"x")),1)+IF(COUNTIF(J49:U49,"x")=0,(Besatzung!$F$21="x"),(T49="x")*(Besatzung!$F$21="x"))*IFERROR(H49,0)/IFERROR(IF(COUNTIF(J49:U49,"x")=0,SUMPRODUCT((Besatzung!$B$11:$B$22&lt;&gt;"")*(Besatzung!$F$11:$F$22="x")),SUMPRODUCT((J49:U49="x")*(Besatzung!$F$11:$F$22="x"))),1))))),0))))</f>
        <v/>
      </c>
      <c r="AG49" s="247">
        <f>IF(C49="Gutschrift","",IF(G49="","",IF(Besatzung!$B$22="","",IFERROR(IF(I49="Zeitanteilig",(Besatzung!$G$22*(G49-IFERROR(H49,0))+((Besatzung!$B$22&lt;&gt;"")*IF(B49="",1,(IF(Besatzung!$C$22="",Besatzung!$B$5,Besatzung!$C$22)&lt;=B49)*(IF(Besatzung!$D$22="",Besatzung!$B$6,Besatzung!$D$22)&gt;=B49)))*(Besatzung!$F$22="x")*IFERROR(H49,0)/IFERROR(SUMPRODUCT((Besatzung!$B$11:$B$22&lt;&gt;"")*(Besatzung!$F$11:$F$22="x")*(IF(Besatzung!$C$11:$C$22="",Besatzung!$B$5,Besatzung!$C$11:$C$22)&lt;=B49)*(IF(Besatzung!$D$11:$D$22="",Besatzung!$B$6,Besatzung!$D$11:$D$22)&gt;=B49)),1)),IF(I49="An Bord",(((Besatzung!$B$22&lt;&gt;"")*IF(B49="",1,(IF(Besatzung!$C$22="",Besatzung!$B$5,Besatzung!$C$22)&lt;=B49)*(IF(Besatzung!$D$22="",Besatzung!$B$6,Besatzung!$D$22)&gt;=B49)))*((G49-IFERROR(H49,0))/IFERROR(SUMPRODUCT((Besatzung!$B$11:$B$22&lt;&gt;"")*(IF(Besatzung!$C$11:$C$22="",Besatzung!$B$5,Besatzung!$C$11:$C$22)&lt;=B49)*(IF(Besatzung!$D$11:$D$22="",Besatzung!$B$6,Besatzung!$D$11:$D$22)&gt;=B49)),1)+(Besatzung!$F$22="x")*IFERROR(H49,0)/IFERROR(SUMPRODUCT((Besatzung!$B$11:$B$22&lt;&gt;"")*(Besatzung!$F$11:$F$22="x")*(IF(Besatzung!$C$11:$C$22="",Besatzung!$B$5,Besatzung!$C$11:$C$22)&lt;=B49)*(IF(Besatzung!$D$11:$D$22="",Besatzung!$B$6,Besatzung!$D$11:$D$22)&gt;=B49)),1))),IF(I49="Individuell",((U49="x")*((G49-IFERROR(H49,0))/IFERROR(COUNTIF(J49:U49,"x"),1)+(Besatzung!$F$22="x")*IFERROR(H49,0)/IFERROR(SUMPRODUCT((J49:U49="x")*(Besatzung!$F$11:$F$22="x")),1))),(IF(COUNTIF(J49:U49,"x")=0,IF(Besatzung!$B$22&lt;&gt;"",1,0),(U49="x"))*(G49-IFERROR(H49,0))/IFERROR(IF(COUNTIF(J49:U49,"x")=0,COUNTA(Besatzung!$B$11:$B$22),COUNTIF(J49:U49,"x")),1)+IF(COUNTIF(J49:U49,"x")=0,(Besatzung!$F$22="x"),(U49="x")*(Besatzung!$F$22="x"))*IFERROR(H49,0)/IFERROR(IF(COUNTIF(J49:U49,"x")=0,SUMPRODUCT((Besatzung!$B$11:$B$22&lt;&gt;"")*(Besatzung!$F$11:$F$22="x")),SUMPRODUCT((J49:U49="x")*(Besatzung!$F$11:$F$22="x"))),1))))),0))))</f>
        <v/>
      </c>
      <c r="AH49" s="248" t="n"/>
      <c r="AI49" s="248" t="n"/>
    </row>
    <row r="50" ht="21.75" customHeight="1" s="154">
      <c r="A50" s="238">
        <f>IF(AND(D50="",C50=""),"",47)</f>
        <v/>
      </c>
      <c r="B50" s="199" t="n"/>
      <c r="C50" s="239" t="n"/>
      <c r="D50" s="240" t="n"/>
      <c r="E50" s="241" t="n"/>
      <c r="F50" s="242" t="n"/>
      <c r="G50" s="243" t="n"/>
      <c r="H50" s="244" t="n"/>
      <c r="I50" s="245" t="n"/>
      <c r="J50" s="246" t="n"/>
      <c r="K50" s="246" t="n"/>
      <c r="L50" s="246" t="n"/>
      <c r="M50" s="246" t="n"/>
      <c r="N50" s="246" t="n"/>
      <c r="O50" s="246" t="n"/>
      <c r="P50" s="246" t="n"/>
      <c r="Q50" s="246" t="n"/>
      <c r="R50" s="246" t="n"/>
      <c r="S50" s="246" t="n"/>
      <c r="T50" s="246" t="n"/>
      <c r="U50" s="246" t="n"/>
      <c r="V50" s="247">
        <f>IF(C50="Gutschrift","",IF(G50="","",IF(Besatzung!$B$11="","",IFERROR(IF(I50="Zeitanteilig",(Besatzung!$G$11*(G50-IFERROR(H50,0))+((Besatzung!$B$11&lt;&gt;"")*IF(B50="",1,(IF(Besatzung!$C$11="",Besatzung!$B$5,Besatzung!$C$11)&lt;=B50)*(IF(Besatzung!$D$11="",Besatzung!$B$6,Besatzung!$D$11)&gt;=B50)))*(Besatzung!$F$11="x")*IFERROR(H50,0)/IFERROR(SUMPRODUCT((Besatzung!$B$11:$B$22&lt;&gt;"")*(Besatzung!$F$11:$F$22="x")*(IF(Besatzung!$C$11:$C$22="",Besatzung!$B$5,Besatzung!$C$11:$C$22)&lt;=B50)*(IF(Besatzung!$D$11:$D$22="",Besatzung!$B$6,Besatzung!$D$11:$D$22)&gt;=B50)),1)),IF(I50="An Bord",(((Besatzung!$B$11&lt;&gt;"")*IF(B50="",1,(IF(Besatzung!$C$11="",Besatzung!$B$5,Besatzung!$C$11)&lt;=B50)*(IF(Besatzung!$D$11="",Besatzung!$B$6,Besatzung!$D$11)&gt;=B50)))*((G50-IFERROR(H50,0))/IFERROR(SUMPRODUCT((Besatzung!$B$11:$B$22&lt;&gt;"")*(IF(Besatzung!$C$11:$C$22="",Besatzung!$B$5,Besatzung!$C$11:$C$22)&lt;=B50)*(IF(Besatzung!$D$11:$D$22="",Besatzung!$B$6,Besatzung!$D$11:$D$22)&gt;=B50)),1)+(Besatzung!$F$11="x")*IFERROR(H50,0)/IFERROR(SUMPRODUCT((Besatzung!$B$11:$B$22&lt;&gt;"")*(Besatzung!$F$11:$F$22="x")*(IF(Besatzung!$C$11:$C$22="",Besatzung!$B$5,Besatzung!$C$11:$C$22)&lt;=B50)*(IF(Besatzung!$D$11:$D$22="",Besatzung!$B$6,Besatzung!$D$11:$D$22)&gt;=B50)),1))),IF(I50="Individuell",((J50="x")*((G50-IFERROR(H50,0))/IFERROR(COUNTIF(J50:U50,"x"),1)+(Besatzung!$F$11="x")*IFERROR(H50,0)/IFERROR(SUMPRODUCT((J50:U50="x")*(Besatzung!$F$11:$F$22="x")),1))),(IF(COUNTIF(J50:U50,"x")=0,IF(Besatzung!$B$11&lt;&gt;"",1,0),(J50="x"))*(G50-IFERROR(H50,0))/IFERROR(IF(COUNTIF(J50:U50,"x")=0,COUNTA(Besatzung!$B$11:$B$22),COUNTIF(J50:U50,"x")),1)+IF(COUNTIF(J50:U50,"x")=0,(Besatzung!$F$11="x"),(J50="x")*(Besatzung!$F$11="x"))*IFERROR(H50,0)/IFERROR(IF(COUNTIF(J50:U50,"x")=0,SUMPRODUCT((Besatzung!$B$11:$B$22&lt;&gt;"")*(Besatzung!$F$11:$F$22="x")),SUMPRODUCT((J50:U50="x")*(Besatzung!$F$11:$F$22="x"))),1))))),0))))</f>
        <v/>
      </c>
      <c r="W50" s="247">
        <f>IF(C50="Gutschrift","",IF(G50="","",IF(Besatzung!$B$12="","",IFERROR(IF(I50="Zeitanteilig",(Besatzung!$G$12*(G50-IFERROR(H50,0))+((Besatzung!$B$12&lt;&gt;"")*IF(B50="",1,(IF(Besatzung!$C$12="",Besatzung!$B$5,Besatzung!$C$12)&lt;=B50)*(IF(Besatzung!$D$12="",Besatzung!$B$6,Besatzung!$D$12)&gt;=B50)))*(Besatzung!$F$12="x")*IFERROR(H50,0)/IFERROR(SUMPRODUCT((Besatzung!$B$11:$B$22&lt;&gt;"")*(Besatzung!$F$11:$F$22="x")*(IF(Besatzung!$C$11:$C$22="",Besatzung!$B$5,Besatzung!$C$11:$C$22)&lt;=B50)*(IF(Besatzung!$D$11:$D$22="",Besatzung!$B$6,Besatzung!$D$11:$D$22)&gt;=B50)),1)),IF(I50="An Bord",(((Besatzung!$B$12&lt;&gt;"")*IF(B50="",1,(IF(Besatzung!$C$12="",Besatzung!$B$5,Besatzung!$C$12)&lt;=B50)*(IF(Besatzung!$D$12="",Besatzung!$B$6,Besatzung!$D$12)&gt;=B50)))*((G50-IFERROR(H50,0))/IFERROR(SUMPRODUCT((Besatzung!$B$11:$B$22&lt;&gt;"")*(IF(Besatzung!$C$11:$C$22="",Besatzung!$B$5,Besatzung!$C$11:$C$22)&lt;=B50)*(IF(Besatzung!$D$11:$D$22="",Besatzung!$B$6,Besatzung!$D$11:$D$22)&gt;=B50)),1)+(Besatzung!$F$12="x")*IFERROR(H50,0)/IFERROR(SUMPRODUCT((Besatzung!$B$11:$B$22&lt;&gt;"")*(Besatzung!$F$11:$F$22="x")*(IF(Besatzung!$C$11:$C$22="",Besatzung!$B$5,Besatzung!$C$11:$C$22)&lt;=B50)*(IF(Besatzung!$D$11:$D$22="",Besatzung!$B$6,Besatzung!$D$11:$D$22)&gt;=B50)),1))),IF(I50="Individuell",((K50="x")*((G50-IFERROR(H50,0))/IFERROR(COUNTIF(J50:U50,"x"),1)+(Besatzung!$F$12="x")*IFERROR(H50,0)/IFERROR(SUMPRODUCT((J50:U50="x")*(Besatzung!$F$11:$F$22="x")),1))),(IF(COUNTIF(J50:U50,"x")=0,IF(Besatzung!$B$12&lt;&gt;"",1,0),(K50="x"))*(G50-IFERROR(H50,0))/IFERROR(IF(COUNTIF(J50:U50,"x")=0,COUNTA(Besatzung!$B$11:$B$22),COUNTIF(J50:U50,"x")),1)+IF(COUNTIF(J50:U50,"x")=0,(Besatzung!$F$12="x"),(K50="x")*(Besatzung!$F$12="x"))*IFERROR(H50,0)/IFERROR(IF(COUNTIF(J50:U50,"x")=0,SUMPRODUCT((Besatzung!$B$11:$B$22&lt;&gt;"")*(Besatzung!$F$11:$F$22="x")),SUMPRODUCT((J50:U50="x")*(Besatzung!$F$11:$F$22="x"))),1))))),0))))</f>
        <v/>
      </c>
      <c r="X50" s="247">
        <f>IF(C50="Gutschrift","",IF(G50="","",IF(Besatzung!$B$13="","",IFERROR(IF(I50="Zeitanteilig",(Besatzung!$G$13*(G50-IFERROR(H50,0))+((Besatzung!$B$13&lt;&gt;"")*IF(B50="",1,(IF(Besatzung!$C$13="",Besatzung!$B$5,Besatzung!$C$13)&lt;=B50)*(IF(Besatzung!$D$13="",Besatzung!$B$6,Besatzung!$D$13)&gt;=B50)))*(Besatzung!$F$13="x")*IFERROR(H50,0)/IFERROR(SUMPRODUCT((Besatzung!$B$11:$B$22&lt;&gt;"")*(Besatzung!$F$11:$F$22="x")*(IF(Besatzung!$C$11:$C$22="",Besatzung!$B$5,Besatzung!$C$11:$C$22)&lt;=B50)*(IF(Besatzung!$D$11:$D$22="",Besatzung!$B$6,Besatzung!$D$11:$D$22)&gt;=B50)),1)),IF(I50="An Bord",(((Besatzung!$B$13&lt;&gt;"")*IF(B50="",1,(IF(Besatzung!$C$13="",Besatzung!$B$5,Besatzung!$C$13)&lt;=B50)*(IF(Besatzung!$D$13="",Besatzung!$B$6,Besatzung!$D$13)&gt;=B50)))*((G50-IFERROR(H50,0))/IFERROR(SUMPRODUCT((Besatzung!$B$11:$B$22&lt;&gt;"")*(IF(Besatzung!$C$11:$C$22="",Besatzung!$B$5,Besatzung!$C$11:$C$22)&lt;=B50)*(IF(Besatzung!$D$11:$D$22="",Besatzung!$B$6,Besatzung!$D$11:$D$22)&gt;=B50)),1)+(Besatzung!$F$13="x")*IFERROR(H50,0)/IFERROR(SUMPRODUCT((Besatzung!$B$11:$B$22&lt;&gt;"")*(Besatzung!$F$11:$F$22="x")*(IF(Besatzung!$C$11:$C$22="",Besatzung!$B$5,Besatzung!$C$11:$C$22)&lt;=B50)*(IF(Besatzung!$D$11:$D$22="",Besatzung!$B$6,Besatzung!$D$11:$D$22)&gt;=B50)),1))),IF(I50="Individuell",((K50="x")*((G50-IFERROR(H50,0))/IFERROR(COUNTIF(J50:U50,"x"),1)+(Besatzung!$F$13="x")*IFERROR(H50,0)/IFERROR(SUMPRODUCT((J50:U50="x")*(Besatzung!$F$11:$F$22="x")),1))),(IF(COUNTIF(J50:U50,"x")=0,IF(Besatzung!$B$13&lt;&gt;"",1,0),(K50="x"))*(G50-IFERROR(H50,0))/IFERROR(IF(COUNTIF(J50:U50,"x")=0,COUNTA(Besatzung!$B$11:$B$22),COUNTIF(J50:U50,"x")),1)+IF(COUNTIF(J50:U50,"x")=0,(Besatzung!$F$13="x"),(K50="x")*(Besatzung!$F$13="x"))*IFERROR(H50,0)/IFERROR(IF(COUNTIF(J50:U50,"x")=0,SUMPRODUCT((Besatzung!$B$11:$B$22&lt;&gt;"")*(Besatzung!$F$11:$F$22="x")),SUMPRODUCT((J50:U50="x")*(Besatzung!$F$11:$F$22="x"))),1))))),0))))</f>
        <v/>
      </c>
      <c r="Y50" s="247">
        <f>IF(C50="Gutschrift","",IF(G50="","",IF(Besatzung!$B$14="","",IFERROR(IF(I50="Zeitanteilig",(Besatzung!$G$14*(G50-IFERROR(H50,0))+((Besatzung!$B$14&lt;&gt;"")*IF(B50="",1,(IF(Besatzung!$C$14="",Besatzung!$B$5,Besatzung!$C$14)&lt;=B50)*(IF(Besatzung!$D$14="",Besatzung!$B$6,Besatzung!$D$14)&gt;=B50)))*(Besatzung!$F$14="x")*IFERROR(H50,0)/IFERROR(SUMPRODUCT((Besatzung!$B$11:$B$22&lt;&gt;"")*(Besatzung!$F$11:$F$22="x")*(IF(Besatzung!$C$11:$C$22="",Besatzung!$B$5,Besatzung!$C$11:$C$22)&lt;=B50)*(IF(Besatzung!$D$11:$D$22="",Besatzung!$B$6,Besatzung!$D$11:$D$22)&gt;=B50)),1)),IF(I50="An Bord",(((Besatzung!$B$14&lt;&gt;"")*IF(B50="",1,(IF(Besatzung!$C$14="",Besatzung!$B$5,Besatzung!$C$14)&lt;=B50)*(IF(Besatzung!$D$14="",Besatzung!$B$6,Besatzung!$D$14)&gt;=B50)))*((G50-IFERROR(H50,0))/IFERROR(SUMPRODUCT((Besatzung!$B$11:$B$22&lt;&gt;"")*(IF(Besatzung!$C$11:$C$22="",Besatzung!$B$5,Besatzung!$C$11:$C$22)&lt;=B50)*(IF(Besatzung!$D$11:$D$22="",Besatzung!$B$6,Besatzung!$D$11:$D$22)&gt;=B50)),1)+(Besatzung!$F$14="x")*IFERROR(H50,0)/IFERROR(SUMPRODUCT((Besatzung!$B$11:$B$22&lt;&gt;"")*(Besatzung!$F$11:$F$22="x")*(IF(Besatzung!$C$11:$C$22="",Besatzung!$B$5,Besatzung!$C$11:$C$22)&lt;=B50)*(IF(Besatzung!$D$11:$D$22="",Besatzung!$B$6,Besatzung!$D$11:$D$22)&gt;=B50)),1))),IF(I50="Individuell",((M50="x")*((G50-IFERROR(H50,0))/IFERROR(COUNTIF(J50:U50,"x"),1)+(Besatzung!$F$14="x")*IFERROR(H50,0)/IFERROR(SUMPRODUCT((J50:U50="x")*(Besatzung!$F$11:$F$22="x")),1))),(IF(COUNTIF(J50:U50,"x")=0,IF(Besatzung!$B$14&lt;&gt;"",1,0),(M50="x"))*(G50-IFERROR(H50,0))/IFERROR(IF(COUNTIF(J50:U50,"x")=0,COUNTA(Besatzung!$B$11:$B$22),COUNTIF(J50:U50,"x")),1)+IF(COUNTIF(J50:U50,"x")=0,(Besatzung!$F$14="x"),(M50="x")*(Besatzung!$F$14="x"))*IFERROR(H50,0)/IFERROR(IF(COUNTIF(J50:U50,"x")=0,SUMPRODUCT((Besatzung!$B$11:$B$22&lt;&gt;"")*(Besatzung!$F$11:$F$22="x")),SUMPRODUCT((J50:U50="x")*(Besatzung!$F$11:$F$22="x"))),1))))),0))))</f>
        <v/>
      </c>
      <c r="Z50" s="247">
        <f>IF(C50="Gutschrift","",IF(G50="","",IF(Besatzung!$B$13="","",IFERROR(IF(I50="Zeitanteilig",(Besatzung!$G$15*(G50-IFERROR(H50,0))+((Besatzung!$B$13&lt;&gt;"")*IF(B50="",1,(IF(Besatzung!$C$15="",Besatzung!$B$5,Besatzung!$C$15)&lt;=B50)*(IF(Besatzung!$D$15="",Besatzung!$B$6,Besatzung!$D$15)&gt;=B50)))*(Besatzung!$F$15="x")*IFERROR(H50,0)/IFERROR(SUMPRODUCT((Besatzung!$B$11:$B$22&lt;&gt;"")*(Besatzung!$F$11:$F$22="x")*(IF(Besatzung!$C$11:$C$22="",Besatzung!$B$5,Besatzung!$C$11:$C$22)&lt;=B50)*(IF(Besatzung!$D$11:$D$22="",Besatzung!$B$6,Besatzung!$D$11:$D$22)&gt;=B50)),1)),IF(I50="An Bord",(((Besatzung!$B$13&lt;&gt;"")*IF(B50="",1,(IF(Besatzung!$C$15="",Besatzung!$B$5,Besatzung!$C$15)&lt;=B50)*(IF(Besatzung!$D$15="",Besatzung!$B$6,Besatzung!$D$15)&gt;=B50)))*((G50-IFERROR(H50,0))/IFERROR(SUMPRODUCT((Besatzung!$B$11:$B$22&lt;&gt;"")*(IF(Besatzung!$C$11:$C$22="",Besatzung!$B$5,Besatzung!$C$11:$C$22)&lt;=B50)*(IF(Besatzung!$D$11:$D$22="",Besatzung!$B$6,Besatzung!$D$11:$D$22)&gt;=B50)),1)+(Besatzung!$F$15="x")*IFERROR(H50,0)/IFERROR(SUMPRODUCT((Besatzung!$B$11:$B$22&lt;&gt;"")*(Besatzung!$F$11:$F$22="x")*(IF(Besatzung!$C$11:$C$22="",Besatzung!$B$5,Besatzung!$C$11:$C$22)&lt;=B50)*(IF(Besatzung!$D$11:$D$22="",Besatzung!$B$6,Besatzung!$D$11:$D$22)&gt;=B50)),1))),IF(I50="Individuell",((N50="x")*((G50-IFERROR(H50,0))/IFERROR(COUNTIF(J50:U50,"x"),1)+(Besatzung!$F$15="x")*IFERROR(H50,0)/IFERROR(SUMPRODUCT((J50:U50="x")*(Besatzung!$F$11:$F$22="x")),1))),(IF(COUNTIF(J50:U50,"x")=0,IF(Besatzung!$B$13&lt;&gt;"",1,0),(N50="x"))*(G50-IFERROR(H50,0))/IFERROR(IF(COUNTIF(J50:U50,"x")=0,COUNTA(Besatzung!$B$11:$B$22),COUNTIF(J50:U50,"x")),1)+IF(COUNTIF(J50:U50,"x")=0,(Besatzung!$F$15="x"),(N50="x")*(Besatzung!$F$15="x"))*IFERROR(H50,0)/IFERROR(IF(COUNTIF(J50:U50,"x")=0,SUMPRODUCT((Besatzung!$B$11:$B$22&lt;&gt;"")*(Besatzung!$F$11:$F$22="x")),SUMPRODUCT((J50:U50="x")*(Besatzung!$F$11:$F$22="x"))),1))))),0))))</f>
        <v/>
      </c>
      <c r="AA50" s="247">
        <f>IF(C50="Gutschrift","",IF(G50="","",IF(Besatzung!$B$15="","",IFERROR(IF(I50="Zeitanteilig",(Besatzung!$G$16*(G50-IFERROR(H50,0))+((Besatzung!$B$15&lt;&gt;"")*IF(B50="",1,(IF(Besatzung!$C$16="",Besatzung!$B$5,Besatzung!$C$16)&lt;=B50)*(IF(Besatzung!$D$16="",Besatzung!$B$6,Besatzung!$D$16)&gt;=B50)))*(Besatzung!$F$16="x")*IFERROR(H50,0)/IFERROR(SUMPRODUCT((Besatzung!$B$11:$B$22&lt;&gt;"")*(Besatzung!$F$11:$F$22="x")*(IF(Besatzung!$C$11:$C$22="",Besatzung!$B$5,Besatzung!$C$11:$C$22)&lt;=B50)*(IF(Besatzung!$D$11:$D$22="",Besatzung!$B$6,Besatzung!$D$11:$D$22)&gt;=B50)),1)),IF(I50="An Bord",(((Besatzung!$B$15&lt;&gt;"")*IF(B50="",1,(IF(Besatzung!$C$16="",Besatzung!$B$5,Besatzung!$C$16)&lt;=B50)*(IF(Besatzung!$D$16="",Besatzung!$B$6,Besatzung!$D$16)&gt;=B50)))*((G50-IFERROR(H50,0))/IFERROR(SUMPRODUCT((Besatzung!$B$11:$B$22&lt;&gt;"")*(IF(Besatzung!$C$11:$C$22="",Besatzung!$B$5,Besatzung!$C$11:$C$22)&lt;=B50)*(IF(Besatzung!$D$11:$D$22="",Besatzung!$B$6,Besatzung!$D$11:$D$22)&gt;=B50)),1)+(Besatzung!$F$16="x")*IFERROR(H50,0)/IFERROR(SUMPRODUCT((Besatzung!$B$11:$B$22&lt;&gt;"")*(Besatzung!$F$11:$F$22="x")*(IF(Besatzung!$C$11:$C$22="",Besatzung!$B$5,Besatzung!$C$11:$C$22)&lt;=B50)*(IF(Besatzung!$D$11:$D$22="",Besatzung!$B$6,Besatzung!$D$11:$D$22)&gt;=B50)),1))),IF(I50="Individuell",((O50="x")*((G50-IFERROR(H50,0))/IFERROR(COUNTIF(J50:U50,"x"),1)+(Besatzung!$F$16="x")*IFERROR(H50,0)/IFERROR(SUMPRODUCT((J50:U50="x")*(Besatzung!$F$11:$F$22="x")),1))),(IF(COUNTIF(J50:U50,"x")=0,IF(Besatzung!$B$15&lt;&gt;"",1,0),(O50="x"))*(G50-IFERROR(H50,0))/IFERROR(IF(COUNTIF(J50:U50,"x")=0,COUNTA(Besatzung!$B$11:$B$22),COUNTIF(J50:U50,"x")),1)+IF(COUNTIF(J50:U50,"x")=0,(Besatzung!$F$16="x"),(O50="x")*(Besatzung!$F$16="x"))*IFERROR(H50,0)/IFERROR(IF(COUNTIF(J50:U50,"x")=0,SUMPRODUCT((Besatzung!$B$11:$B$22&lt;&gt;"")*(Besatzung!$F$11:$F$22="x")),SUMPRODUCT((J50:U50="x")*(Besatzung!$F$11:$F$22="x"))),1))))),0))))</f>
        <v/>
      </c>
      <c r="AB50" s="247">
        <f>IF(C50="Gutschrift","",IF(G50="","",IF(Besatzung!$B$17="","",IFERROR(IF(I50="Zeitanteilig",(Besatzung!$G$17*(G50-IFERROR(H50,0))+((Besatzung!$B$17&lt;&gt;"")*IF(B50="",1,(IF(Besatzung!$C$17="",Besatzung!$B$5,Besatzung!$C$17)&lt;=B50)*(IF(Besatzung!$D$17="",Besatzung!$B$6,Besatzung!$D$17)&gt;=B50)))*(Besatzung!$F$17="x")*IFERROR(H50,0)/IFERROR(SUMPRODUCT((Besatzung!$B$11:$B$22&lt;&gt;"")*(Besatzung!$F$11:$F$22="x")*(IF(Besatzung!$C$11:$C$22="",Besatzung!$B$5,Besatzung!$C$11:$C$22)&lt;=B50)*(IF(Besatzung!$D$11:$D$22="",Besatzung!$B$6,Besatzung!$D$11:$D$22)&gt;=B50)),1)),IF(I50="An Bord",(((Besatzung!$B$17&lt;&gt;"")*IF(B50="",1,(IF(Besatzung!$C$17="",Besatzung!$B$5,Besatzung!$C$17)&lt;=B50)*(IF(Besatzung!$D$17="",Besatzung!$B$6,Besatzung!$D$17)&gt;=B50)))*((G50-IFERROR(H50,0))/IFERROR(SUMPRODUCT((Besatzung!$B$11:$B$22&lt;&gt;"")*(IF(Besatzung!$C$11:$C$22="",Besatzung!$B$5,Besatzung!$C$11:$C$22)&lt;=B50)*(IF(Besatzung!$D$11:$D$22="",Besatzung!$B$6,Besatzung!$D$11:$D$22)&gt;=B50)),1)+(Besatzung!$F$17="x")*IFERROR(H50,0)/IFERROR(SUMPRODUCT((Besatzung!$B$11:$B$22&lt;&gt;"")*(Besatzung!$F$11:$F$22="x")*(IF(Besatzung!$C$11:$C$22="",Besatzung!$B$5,Besatzung!$C$11:$C$22)&lt;=B50)*(IF(Besatzung!$D$11:$D$22="",Besatzung!$B$6,Besatzung!$D$11:$D$22)&gt;=B50)),1))),IF(I50="Individuell",((P50="x")*((G50-IFERROR(H50,0))/IFERROR(COUNTIF(J50:U50,"x"),1)+(Besatzung!$F$17="x")*IFERROR(H50,0)/IFERROR(SUMPRODUCT((J50:U50="x")*(Besatzung!$F$11:$F$22="x")),1))),(IF(COUNTIF(J50:U50,"x")=0,IF(Besatzung!$B$17&lt;&gt;"",1,0),(P50="x"))*(G50-IFERROR(H50,0))/IFERROR(IF(COUNTIF(J50:U50,"x")=0,COUNTA(Besatzung!$B$11:$B$22),COUNTIF(J50:U50,"x")),1)+IF(COUNTIF(J50:U50,"x")=0,(Besatzung!$F$17="x"),(P50="x")*(Besatzung!$F$17="x"))*IFERROR(H50,0)/IFERROR(IF(COUNTIF(J50:U50,"x")=0,SUMPRODUCT((Besatzung!$B$11:$B$22&lt;&gt;"")*(Besatzung!$F$11:$F$22="x")),SUMPRODUCT((J50:U50="x")*(Besatzung!$F$11:$F$22="x"))),1))))),0))))</f>
        <v/>
      </c>
      <c r="AC50" s="247">
        <f>IF(C50="Gutschrift","",IF(G50="","",IF(Besatzung!$B$18="","",IFERROR(IF(I50="Zeitanteilig",(Besatzung!$G$18*(G50-IFERROR(H50,0))+((Besatzung!$B$18&lt;&gt;"")*IF(B50="",1,(IF(Besatzung!$C$18="",Besatzung!$B$5,Besatzung!$C$18)&lt;=B50)*(IF(Besatzung!$D$18="",Besatzung!$B$6,Besatzung!$D$18)&gt;=B50)))*(Besatzung!$F$18="x")*IFERROR(H50,0)/IFERROR(SUMPRODUCT((Besatzung!$B$11:$B$22&lt;&gt;"")*(Besatzung!$F$11:$F$22="x")*(IF(Besatzung!$C$11:$C$22="",Besatzung!$B$5,Besatzung!$C$11:$C$22)&lt;=B50)*(IF(Besatzung!$D$11:$D$22="",Besatzung!$B$6,Besatzung!$D$11:$D$22)&gt;=B50)),1)),IF(I50="An Bord",(((Besatzung!$B$18&lt;&gt;"")*IF(B50="",1,(IF(Besatzung!$C$18="",Besatzung!$B$5,Besatzung!$C$18)&lt;=B50)*(IF(Besatzung!$D$18="",Besatzung!$B$6,Besatzung!$D$18)&gt;=B50)))*((G50-IFERROR(H50,0))/IFERROR(SUMPRODUCT((Besatzung!$B$11:$B$22&lt;&gt;"")*(IF(Besatzung!$C$11:$C$22="",Besatzung!$B$5,Besatzung!$C$11:$C$22)&lt;=B50)*(IF(Besatzung!$D$11:$D$22="",Besatzung!$B$6,Besatzung!$D$11:$D$22)&gt;=B50)),1)+(Besatzung!$F$18="x")*IFERROR(H50,0)/IFERROR(SUMPRODUCT((Besatzung!$B$11:$B$22&lt;&gt;"")*(Besatzung!$F$11:$F$22="x")*(IF(Besatzung!$C$11:$C$22="",Besatzung!$B$5,Besatzung!$C$11:$C$22)&lt;=B50)*(IF(Besatzung!$D$11:$D$22="",Besatzung!$B$6,Besatzung!$D$11:$D$22)&gt;=B50)),1))),IF(I50="Individuell",((Q50="x")*((G50-IFERROR(H50,0))/IFERROR(COUNTIF(J50:U50,"x"),1)+(Besatzung!$F$18="x")*IFERROR(H50,0)/IFERROR(SUMPRODUCT((J50:U50="x")*(Besatzung!$F$11:$F$22="x")),1))),(IF(COUNTIF(J50:U50,"x")=0,IF(Besatzung!$B$18&lt;&gt;"",1,0),(Q50="x"))*(G50-IFERROR(H50,0))/IFERROR(IF(COUNTIF(J50:U50,"x")=0,COUNTA(Besatzung!$B$11:$B$22),COUNTIF(J50:U50,"x")),1)+IF(COUNTIF(J50:U50,"x")=0,(Besatzung!$F$18="x"),(Q50="x")*(Besatzung!$F$18="x"))*IFERROR(H50,0)/IFERROR(IF(COUNTIF(J50:U50,"x")=0,SUMPRODUCT((Besatzung!$B$11:$B$22&lt;&gt;"")*(Besatzung!$F$11:$F$22="x")),SUMPRODUCT((J50:U50="x")*(Besatzung!$F$11:$F$22="x"))),1))))),0))))</f>
        <v/>
      </c>
      <c r="AD50" s="247">
        <f>IF(C50="Gutschrift","",IF(G50="","",IF(Besatzung!$B$19="","",IFERROR(IF(I50="Zeitanteilig",(Besatzung!$G$19*(G50-IFERROR(H50,0))+((Besatzung!$B$19&lt;&gt;"")*IF(B50="",1,(IF(Besatzung!$C$19="",Besatzung!$B$5,Besatzung!$C$19)&lt;=B50)*(IF(Besatzung!$D$19="",Besatzung!$B$6,Besatzung!$D$19)&gt;=B50)))*(Besatzung!$F$19="x")*IFERROR(H50,0)/IFERROR(SUMPRODUCT((Besatzung!$B$11:$B$22&lt;&gt;"")*(Besatzung!$F$11:$F$22="x")*(IF(Besatzung!$C$11:$C$22="",Besatzung!$B$5,Besatzung!$C$11:$C$22)&lt;=B50)*(IF(Besatzung!$D$11:$D$22="",Besatzung!$B$6,Besatzung!$D$11:$D$22)&gt;=B50)),1)),IF(I50="An Bord",(((Besatzung!$B$19&lt;&gt;"")*IF(B50="",1,(IF(Besatzung!$C$19="",Besatzung!$B$5,Besatzung!$C$19)&lt;=B50)*(IF(Besatzung!$D$19="",Besatzung!$B$6,Besatzung!$D$19)&gt;=B50)))*((G50-IFERROR(H50,0))/IFERROR(SUMPRODUCT((Besatzung!$B$11:$B$22&lt;&gt;"")*(IF(Besatzung!$C$11:$C$22="",Besatzung!$B$5,Besatzung!$C$11:$C$22)&lt;=B50)*(IF(Besatzung!$D$11:$D$22="",Besatzung!$B$6,Besatzung!$D$11:$D$22)&gt;=B50)),1)+(Besatzung!$F$19="x")*IFERROR(H50,0)/IFERROR(SUMPRODUCT((Besatzung!$B$11:$B$22&lt;&gt;"")*(Besatzung!$F$11:$F$22="x")*(IF(Besatzung!$C$11:$C$22="",Besatzung!$B$5,Besatzung!$C$11:$C$22)&lt;=B50)*(IF(Besatzung!$D$11:$D$22="",Besatzung!$B$6,Besatzung!$D$11:$D$22)&gt;=B50)),1))),IF(I50="Individuell",((R50="x")*((G50-IFERROR(H50,0))/IFERROR(COUNTIF(J50:U50,"x"),1)+(Besatzung!$F$19="x")*IFERROR(H50,0)/IFERROR(SUMPRODUCT((J50:U50="x")*(Besatzung!$F$11:$F$22="x")),1))),(IF(COUNTIF(J50:U50,"x")=0,IF(Besatzung!$B$19&lt;&gt;"",1,0),(R50="x"))*(G50-IFERROR(H50,0))/IFERROR(IF(COUNTIF(J50:U50,"x")=0,COUNTA(Besatzung!$B$11:$B$22),COUNTIF(J50:U50,"x")),1)+IF(COUNTIF(J50:U50,"x")=0,(Besatzung!$F$19="x"),(R50="x")*(Besatzung!$F$19="x"))*IFERROR(H50,0)/IFERROR(IF(COUNTIF(J50:U50,"x")=0,SUMPRODUCT((Besatzung!$B$11:$B$22&lt;&gt;"")*(Besatzung!$F$11:$F$22="x")),SUMPRODUCT((J50:U50="x")*(Besatzung!$F$11:$F$22="x"))),1))))),0))))</f>
        <v/>
      </c>
      <c r="AE50" s="247">
        <f>IF(C50="Gutschrift","",IF(G50="","",IF(Besatzung!$B$20="","",IFERROR(IF(I50="Zeitanteilig",(Besatzung!$G$20*(G50-IFERROR(H50,0))+((Besatzung!$B$20&lt;&gt;"")*IF(B50="",1,(IF(Besatzung!$C$20="",Besatzung!$B$5,Besatzung!$C$20)&lt;=B50)*(IF(Besatzung!$D$20="",Besatzung!$B$6,Besatzung!$D$20)&gt;=B50)))*(Besatzung!$F$20="x")*IFERROR(H50,0)/IFERROR(SUMPRODUCT((Besatzung!$B$11:$B$22&lt;&gt;"")*(Besatzung!$F$11:$F$22="x")*(IF(Besatzung!$C$11:$C$22="",Besatzung!$B$5,Besatzung!$C$11:$C$22)&lt;=B50)*(IF(Besatzung!$D$11:$D$22="",Besatzung!$B$6,Besatzung!$D$11:$D$22)&gt;=B50)),1)),IF(I50="An Bord",(((Besatzung!$B$20&lt;&gt;"")*IF(B50="",1,(IF(Besatzung!$C$20="",Besatzung!$B$5,Besatzung!$C$20)&lt;=B50)*(IF(Besatzung!$D$20="",Besatzung!$B$6,Besatzung!$D$20)&gt;=B50)))*((G50-IFERROR(H50,0))/IFERROR(SUMPRODUCT((Besatzung!$B$11:$B$22&lt;&gt;"")*(IF(Besatzung!$C$11:$C$22="",Besatzung!$B$5,Besatzung!$C$11:$C$22)&lt;=B50)*(IF(Besatzung!$D$11:$D$22="",Besatzung!$B$6,Besatzung!$D$11:$D$22)&gt;=B50)),1)+(Besatzung!$F$20="x")*IFERROR(H50,0)/IFERROR(SUMPRODUCT((Besatzung!$B$11:$B$22&lt;&gt;"")*(Besatzung!$F$11:$F$22="x")*(IF(Besatzung!$C$11:$C$22="",Besatzung!$B$5,Besatzung!$C$11:$C$22)&lt;=B50)*(IF(Besatzung!$D$11:$D$22="",Besatzung!$B$6,Besatzung!$D$11:$D$22)&gt;=B50)),1))),IF(I50="Individuell",((S50="x")*((G50-IFERROR(H50,0))/IFERROR(COUNTIF(J50:U50,"x"),1)+(Besatzung!$F$20="x")*IFERROR(H50,0)/IFERROR(SUMPRODUCT((J50:U50="x")*(Besatzung!$F$11:$F$22="x")),1))),(IF(COUNTIF(J50:U50,"x")=0,IF(Besatzung!$B$20&lt;&gt;"",1,0),(S50="x"))*(G50-IFERROR(H50,0))/IFERROR(IF(COUNTIF(J50:U50,"x")=0,COUNTA(Besatzung!$B$11:$B$22),COUNTIF(J50:U50,"x")),1)+IF(COUNTIF(J50:U50,"x")=0,(Besatzung!$F$20="x"),(S50="x")*(Besatzung!$F$20="x"))*IFERROR(H50,0)/IFERROR(IF(COUNTIF(J50:U50,"x")=0,SUMPRODUCT((Besatzung!$B$11:$B$22&lt;&gt;"")*(Besatzung!$F$11:$F$22="x")),SUMPRODUCT((J50:U50="x")*(Besatzung!$F$11:$F$22="x"))),1))))),0))))</f>
        <v/>
      </c>
      <c r="AF50" s="247">
        <f>IF(C50="Gutschrift","",IF(G50="","",IF(Besatzung!$B$21="","",IFERROR(IF(I50="Zeitanteilig",(Besatzung!$G$21*(G50-IFERROR(H50,0))+((Besatzung!$B$21&lt;&gt;"")*IF(B50="",1,(IF(Besatzung!$C$21="",Besatzung!$B$5,Besatzung!$C$21)&lt;=B50)*(IF(Besatzung!$D$21="",Besatzung!$B$6,Besatzung!$D$21)&gt;=B50)))*(Besatzung!$F$21="x")*IFERROR(H50,0)/IFERROR(SUMPRODUCT((Besatzung!$B$11:$B$22&lt;&gt;"")*(Besatzung!$F$11:$F$22="x")*(IF(Besatzung!$C$11:$C$22="",Besatzung!$B$5,Besatzung!$C$11:$C$22)&lt;=B50)*(IF(Besatzung!$D$11:$D$22="",Besatzung!$B$6,Besatzung!$D$11:$D$22)&gt;=B50)),1)),IF(I50="An Bord",(((Besatzung!$B$21&lt;&gt;"")*IF(B50="",1,(IF(Besatzung!$C$21="",Besatzung!$B$5,Besatzung!$C$21)&lt;=B50)*(IF(Besatzung!$D$21="",Besatzung!$B$6,Besatzung!$D$21)&gt;=B50)))*((G50-IFERROR(H50,0))/IFERROR(SUMPRODUCT((Besatzung!$B$11:$B$22&lt;&gt;"")*(IF(Besatzung!$C$11:$C$22="",Besatzung!$B$5,Besatzung!$C$11:$C$22)&lt;=B50)*(IF(Besatzung!$D$11:$D$22="",Besatzung!$B$6,Besatzung!$D$11:$D$22)&gt;=B50)),1)+(Besatzung!$F$21="x")*IFERROR(H50,0)/IFERROR(SUMPRODUCT((Besatzung!$B$11:$B$22&lt;&gt;"")*(Besatzung!$F$11:$F$22="x")*(IF(Besatzung!$C$11:$C$22="",Besatzung!$B$5,Besatzung!$C$11:$C$22)&lt;=B50)*(IF(Besatzung!$D$11:$D$22="",Besatzung!$B$6,Besatzung!$D$11:$D$22)&gt;=B50)),1))),IF(I50="Individuell",((T50="x")*((G50-IFERROR(H50,0))/IFERROR(COUNTIF(J50:U50,"x"),1)+(Besatzung!$F$21="x")*IFERROR(H50,0)/IFERROR(SUMPRODUCT((J50:U50="x")*(Besatzung!$F$11:$F$22="x")),1))),(IF(COUNTIF(J50:U50,"x")=0,IF(Besatzung!$B$21&lt;&gt;"",1,0),(T50="x"))*(G50-IFERROR(H50,0))/IFERROR(IF(COUNTIF(J50:U50,"x")=0,COUNTA(Besatzung!$B$11:$B$22),COUNTIF(J50:U50,"x")),1)+IF(COUNTIF(J50:U50,"x")=0,(Besatzung!$F$21="x"),(T50="x")*(Besatzung!$F$21="x"))*IFERROR(H50,0)/IFERROR(IF(COUNTIF(J50:U50,"x")=0,SUMPRODUCT((Besatzung!$B$11:$B$22&lt;&gt;"")*(Besatzung!$F$11:$F$22="x")),SUMPRODUCT((J50:U50="x")*(Besatzung!$F$11:$F$22="x"))),1))))),0))))</f>
        <v/>
      </c>
      <c r="AG50" s="247">
        <f>IF(C50="Gutschrift","",IF(G50="","",IF(Besatzung!$B$22="","",IFERROR(IF(I50="Zeitanteilig",(Besatzung!$G$22*(G50-IFERROR(H50,0))+((Besatzung!$B$22&lt;&gt;"")*IF(B50="",1,(IF(Besatzung!$C$22="",Besatzung!$B$5,Besatzung!$C$22)&lt;=B50)*(IF(Besatzung!$D$22="",Besatzung!$B$6,Besatzung!$D$22)&gt;=B50)))*(Besatzung!$F$22="x")*IFERROR(H50,0)/IFERROR(SUMPRODUCT((Besatzung!$B$11:$B$22&lt;&gt;"")*(Besatzung!$F$11:$F$22="x")*(IF(Besatzung!$C$11:$C$22="",Besatzung!$B$5,Besatzung!$C$11:$C$22)&lt;=B50)*(IF(Besatzung!$D$11:$D$22="",Besatzung!$B$6,Besatzung!$D$11:$D$22)&gt;=B50)),1)),IF(I50="An Bord",(((Besatzung!$B$22&lt;&gt;"")*IF(B50="",1,(IF(Besatzung!$C$22="",Besatzung!$B$5,Besatzung!$C$22)&lt;=B50)*(IF(Besatzung!$D$22="",Besatzung!$B$6,Besatzung!$D$22)&gt;=B50)))*((G50-IFERROR(H50,0))/IFERROR(SUMPRODUCT((Besatzung!$B$11:$B$22&lt;&gt;"")*(IF(Besatzung!$C$11:$C$22="",Besatzung!$B$5,Besatzung!$C$11:$C$22)&lt;=B50)*(IF(Besatzung!$D$11:$D$22="",Besatzung!$B$6,Besatzung!$D$11:$D$22)&gt;=B50)),1)+(Besatzung!$F$22="x")*IFERROR(H50,0)/IFERROR(SUMPRODUCT((Besatzung!$B$11:$B$22&lt;&gt;"")*(Besatzung!$F$11:$F$22="x")*(IF(Besatzung!$C$11:$C$22="",Besatzung!$B$5,Besatzung!$C$11:$C$22)&lt;=B50)*(IF(Besatzung!$D$11:$D$22="",Besatzung!$B$6,Besatzung!$D$11:$D$22)&gt;=B50)),1))),IF(I50="Individuell",((U50="x")*((G50-IFERROR(H50,0))/IFERROR(COUNTIF(J50:U50,"x"),1)+(Besatzung!$F$22="x")*IFERROR(H50,0)/IFERROR(SUMPRODUCT((J50:U50="x")*(Besatzung!$F$11:$F$22="x")),1))),(IF(COUNTIF(J50:U50,"x")=0,IF(Besatzung!$B$22&lt;&gt;"",1,0),(U50="x"))*(G50-IFERROR(H50,0))/IFERROR(IF(COUNTIF(J50:U50,"x")=0,COUNTA(Besatzung!$B$11:$B$22),COUNTIF(J50:U50,"x")),1)+IF(COUNTIF(J50:U50,"x")=0,(Besatzung!$F$22="x"),(U50="x")*(Besatzung!$F$22="x"))*IFERROR(H50,0)/IFERROR(IF(COUNTIF(J50:U50,"x")=0,SUMPRODUCT((Besatzung!$B$11:$B$22&lt;&gt;"")*(Besatzung!$F$11:$F$22="x")),SUMPRODUCT((J50:U50="x")*(Besatzung!$F$11:$F$22="x"))),1))))),0))))</f>
        <v/>
      </c>
      <c r="AH50" s="248" t="n"/>
      <c r="AI50" s="248" t="n"/>
    </row>
    <row r="51" ht="21.75" customHeight="1" s="154">
      <c r="A51" s="238">
        <f>IF(AND(D51="",C51=""),"",48)</f>
        <v/>
      </c>
      <c r="B51" s="206" t="n"/>
      <c r="C51" s="249" t="n"/>
      <c r="D51" s="250" t="n"/>
      <c r="E51" s="251" t="n"/>
      <c r="F51" s="252" t="n"/>
      <c r="G51" s="253" t="n"/>
      <c r="H51" s="254" t="n"/>
      <c r="I51" s="255" t="n"/>
      <c r="J51" s="256" t="n"/>
      <c r="K51" s="256" t="n"/>
      <c r="L51" s="256" t="n"/>
      <c r="M51" s="256" t="n"/>
      <c r="N51" s="256" t="n"/>
      <c r="O51" s="256" t="n"/>
      <c r="P51" s="256" t="n"/>
      <c r="Q51" s="256" t="n"/>
      <c r="R51" s="256" t="n"/>
      <c r="S51" s="256" t="n"/>
      <c r="T51" s="256" t="n"/>
      <c r="U51" s="256" t="n"/>
      <c r="V51" s="247">
        <f>IF(C51="Gutschrift","",IF(G51="","",IF(Besatzung!$B$11="","",IFERROR(IF(I51="Zeitanteilig",(Besatzung!$G$11*(G51-IFERROR(H51,0))+((Besatzung!$B$11&lt;&gt;"")*IF(B51="",1,(IF(Besatzung!$C$11="",Besatzung!$B$5,Besatzung!$C$11)&lt;=B51)*(IF(Besatzung!$D$11="",Besatzung!$B$6,Besatzung!$D$11)&gt;=B51)))*(Besatzung!$F$11="x")*IFERROR(H51,0)/IFERROR(SUMPRODUCT((Besatzung!$B$11:$B$22&lt;&gt;"")*(Besatzung!$F$11:$F$22="x")*(IF(Besatzung!$C$11:$C$22="",Besatzung!$B$5,Besatzung!$C$11:$C$22)&lt;=B51)*(IF(Besatzung!$D$11:$D$22="",Besatzung!$B$6,Besatzung!$D$11:$D$22)&gt;=B51)),1)),IF(I51="An Bord",(((Besatzung!$B$11&lt;&gt;"")*IF(B51="",1,(IF(Besatzung!$C$11="",Besatzung!$B$5,Besatzung!$C$11)&lt;=B51)*(IF(Besatzung!$D$11="",Besatzung!$B$6,Besatzung!$D$11)&gt;=B51)))*((G51-IFERROR(H51,0))/IFERROR(SUMPRODUCT((Besatzung!$B$11:$B$22&lt;&gt;"")*(IF(Besatzung!$C$11:$C$22="",Besatzung!$B$5,Besatzung!$C$11:$C$22)&lt;=B51)*(IF(Besatzung!$D$11:$D$22="",Besatzung!$B$6,Besatzung!$D$11:$D$22)&gt;=B51)),1)+(Besatzung!$F$11="x")*IFERROR(H51,0)/IFERROR(SUMPRODUCT((Besatzung!$B$11:$B$22&lt;&gt;"")*(Besatzung!$F$11:$F$22="x")*(IF(Besatzung!$C$11:$C$22="",Besatzung!$B$5,Besatzung!$C$11:$C$22)&lt;=B51)*(IF(Besatzung!$D$11:$D$22="",Besatzung!$B$6,Besatzung!$D$11:$D$22)&gt;=B51)),1))),IF(I51="Individuell",((J51="x")*((G51-IFERROR(H51,0))/IFERROR(COUNTIF(J51:U51,"x"),1)+(Besatzung!$F$11="x")*IFERROR(H51,0)/IFERROR(SUMPRODUCT((J51:U51="x")*(Besatzung!$F$11:$F$22="x")),1))),(IF(COUNTIF(J51:U51,"x")=0,IF(Besatzung!$B$11&lt;&gt;"",1,0),(J51="x"))*(G51-IFERROR(H51,0))/IFERROR(IF(COUNTIF(J51:U51,"x")=0,COUNTA(Besatzung!$B$11:$B$22),COUNTIF(J51:U51,"x")),1)+IF(COUNTIF(J51:U51,"x")=0,(Besatzung!$F$11="x"),(J51="x")*(Besatzung!$F$11="x"))*IFERROR(H51,0)/IFERROR(IF(COUNTIF(J51:U51,"x")=0,SUMPRODUCT((Besatzung!$B$11:$B$22&lt;&gt;"")*(Besatzung!$F$11:$F$22="x")),SUMPRODUCT((J51:U51="x")*(Besatzung!$F$11:$F$22="x"))),1))))),0))))</f>
        <v/>
      </c>
      <c r="W51" s="247">
        <f>IF(C51="Gutschrift","",IF(G51="","",IF(Besatzung!$B$12="","",IFERROR(IF(I51="Zeitanteilig",(Besatzung!$G$12*(G51-IFERROR(H51,0))+((Besatzung!$B$12&lt;&gt;"")*IF(B51="",1,(IF(Besatzung!$C$12="",Besatzung!$B$5,Besatzung!$C$12)&lt;=B51)*(IF(Besatzung!$D$12="",Besatzung!$B$6,Besatzung!$D$12)&gt;=B51)))*(Besatzung!$F$12="x")*IFERROR(H51,0)/IFERROR(SUMPRODUCT((Besatzung!$B$11:$B$22&lt;&gt;"")*(Besatzung!$F$11:$F$22="x")*(IF(Besatzung!$C$11:$C$22="",Besatzung!$B$5,Besatzung!$C$11:$C$22)&lt;=B51)*(IF(Besatzung!$D$11:$D$22="",Besatzung!$B$6,Besatzung!$D$11:$D$22)&gt;=B51)),1)),IF(I51="An Bord",(((Besatzung!$B$12&lt;&gt;"")*IF(B51="",1,(IF(Besatzung!$C$12="",Besatzung!$B$5,Besatzung!$C$12)&lt;=B51)*(IF(Besatzung!$D$12="",Besatzung!$B$6,Besatzung!$D$12)&gt;=B51)))*((G51-IFERROR(H51,0))/IFERROR(SUMPRODUCT((Besatzung!$B$11:$B$22&lt;&gt;"")*(IF(Besatzung!$C$11:$C$22="",Besatzung!$B$5,Besatzung!$C$11:$C$22)&lt;=B51)*(IF(Besatzung!$D$11:$D$22="",Besatzung!$B$6,Besatzung!$D$11:$D$22)&gt;=B51)),1)+(Besatzung!$F$12="x")*IFERROR(H51,0)/IFERROR(SUMPRODUCT((Besatzung!$B$11:$B$22&lt;&gt;"")*(Besatzung!$F$11:$F$22="x")*(IF(Besatzung!$C$11:$C$22="",Besatzung!$B$5,Besatzung!$C$11:$C$22)&lt;=B51)*(IF(Besatzung!$D$11:$D$22="",Besatzung!$B$6,Besatzung!$D$11:$D$22)&gt;=B51)),1))),IF(I51="Individuell",((K51="x")*((G51-IFERROR(H51,0))/IFERROR(COUNTIF(J51:U51,"x"),1)+(Besatzung!$F$12="x")*IFERROR(H51,0)/IFERROR(SUMPRODUCT((J51:U51="x")*(Besatzung!$F$11:$F$22="x")),1))),(IF(COUNTIF(J51:U51,"x")=0,IF(Besatzung!$B$12&lt;&gt;"",1,0),(K51="x"))*(G51-IFERROR(H51,0))/IFERROR(IF(COUNTIF(J51:U51,"x")=0,COUNTA(Besatzung!$B$11:$B$22),COUNTIF(J51:U51,"x")),1)+IF(COUNTIF(J51:U51,"x")=0,(Besatzung!$F$12="x"),(K51="x")*(Besatzung!$F$12="x"))*IFERROR(H51,0)/IFERROR(IF(COUNTIF(J51:U51,"x")=0,SUMPRODUCT((Besatzung!$B$11:$B$22&lt;&gt;"")*(Besatzung!$F$11:$F$22="x")),SUMPRODUCT((J51:U51="x")*(Besatzung!$F$11:$F$22="x"))),1))))),0))))</f>
        <v/>
      </c>
      <c r="X51" s="247">
        <f>IF(C51="Gutschrift","",IF(G51="","",IF(Besatzung!$B$13="","",IFERROR(IF(I51="Zeitanteilig",(Besatzung!$G$13*(G51-IFERROR(H51,0))+((Besatzung!$B$13&lt;&gt;"")*IF(B51="",1,(IF(Besatzung!$C$13="",Besatzung!$B$5,Besatzung!$C$13)&lt;=B51)*(IF(Besatzung!$D$13="",Besatzung!$B$6,Besatzung!$D$13)&gt;=B51)))*(Besatzung!$F$13="x")*IFERROR(H51,0)/IFERROR(SUMPRODUCT((Besatzung!$B$11:$B$22&lt;&gt;"")*(Besatzung!$F$11:$F$22="x")*(IF(Besatzung!$C$11:$C$22="",Besatzung!$B$5,Besatzung!$C$11:$C$22)&lt;=B51)*(IF(Besatzung!$D$11:$D$22="",Besatzung!$B$6,Besatzung!$D$11:$D$22)&gt;=B51)),1)),IF(I51="An Bord",(((Besatzung!$B$13&lt;&gt;"")*IF(B51="",1,(IF(Besatzung!$C$13="",Besatzung!$B$5,Besatzung!$C$13)&lt;=B51)*(IF(Besatzung!$D$13="",Besatzung!$B$6,Besatzung!$D$13)&gt;=B51)))*((G51-IFERROR(H51,0))/IFERROR(SUMPRODUCT((Besatzung!$B$11:$B$22&lt;&gt;"")*(IF(Besatzung!$C$11:$C$22="",Besatzung!$B$5,Besatzung!$C$11:$C$22)&lt;=B51)*(IF(Besatzung!$D$11:$D$22="",Besatzung!$B$6,Besatzung!$D$11:$D$22)&gt;=B51)),1)+(Besatzung!$F$13="x")*IFERROR(H51,0)/IFERROR(SUMPRODUCT((Besatzung!$B$11:$B$22&lt;&gt;"")*(Besatzung!$F$11:$F$22="x")*(IF(Besatzung!$C$11:$C$22="",Besatzung!$B$5,Besatzung!$C$11:$C$22)&lt;=B51)*(IF(Besatzung!$D$11:$D$22="",Besatzung!$B$6,Besatzung!$D$11:$D$22)&gt;=B51)),1))),IF(I51="Individuell",((K51="x")*((G51-IFERROR(H51,0))/IFERROR(COUNTIF(J51:U51,"x"),1)+(Besatzung!$F$13="x")*IFERROR(H51,0)/IFERROR(SUMPRODUCT((J51:U51="x")*(Besatzung!$F$11:$F$22="x")),1))),(IF(COUNTIF(J51:U51,"x")=0,IF(Besatzung!$B$13&lt;&gt;"",1,0),(K51="x"))*(G51-IFERROR(H51,0))/IFERROR(IF(COUNTIF(J51:U51,"x")=0,COUNTA(Besatzung!$B$11:$B$22),COUNTIF(J51:U51,"x")),1)+IF(COUNTIF(J51:U51,"x")=0,(Besatzung!$F$13="x"),(K51="x")*(Besatzung!$F$13="x"))*IFERROR(H51,0)/IFERROR(IF(COUNTIF(J51:U51,"x")=0,SUMPRODUCT((Besatzung!$B$11:$B$22&lt;&gt;"")*(Besatzung!$F$11:$F$22="x")),SUMPRODUCT((J51:U51="x")*(Besatzung!$F$11:$F$22="x"))),1))))),0))))</f>
        <v/>
      </c>
      <c r="Y51" s="247">
        <f>IF(C51="Gutschrift","",IF(G51="","",IF(Besatzung!$B$14="","",IFERROR(IF(I51="Zeitanteilig",(Besatzung!$G$14*(G51-IFERROR(H51,0))+((Besatzung!$B$14&lt;&gt;"")*IF(B51="",1,(IF(Besatzung!$C$14="",Besatzung!$B$5,Besatzung!$C$14)&lt;=B51)*(IF(Besatzung!$D$14="",Besatzung!$B$6,Besatzung!$D$14)&gt;=B51)))*(Besatzung!$F$14="x")*IFERROR(H51,0)/IFERROR(SUMPRODUCT((Besatzung!$B$11:$B$22&lt;&gt;"")*(Besatzung!$F$11:$F$22="x")*(IF(Besatzung!$C$11:$C$22="",Besatzung!$B$5,Besatzung!$C$11:$C$22)&lt;=B51)*(IF(Besatzung!$D$11:$D$22="",Besatzung!$B$6,Besatzung!$D$11:$D$22)&gt;=B51)),1)),IF(I51="An Bord",(((Besatzung!$B$14&lt;&gt;"")*IF(B51="",1,(IF(Besatzung!$C$14="",Besatzung!$B$5,Besatzung!$C$14)&lt;=B51)*(IF(Besatzung!$D$14="",Besatzung!$B$6,Besatzung!$D$14)&gt;=B51)))*((G51-IFERROR(H51,0))/IFERROR(SUMPRODUCT((Besatzung!$B$11:$B$22&lt;&gt;"")*(IF(Besatzung!$C$11:$C$22="",Besatzung!$B$5,Besatzung!$C$11:$C$22)&lt;=B51)*(IF(Besatzung!$D$11:$D$22="",Besatzung!$B$6,Besatzung!$D$11:$D$22)&gt;=B51)),1)+(Besatzung!$F$14="x")*IFERROR(H51,0)/IFERROR(SUMPRODUCT((Besatzung!$B$11:$B$22&lt;&gt;"")*(Besatzung!$F$11:$F$22="x")*(IF(Besatzung!$C$11:$C$22="",Besatzung!$B$5,Besatzung!$C$11:$C$22)&lt;=B51)*(IF(Besatzung!$D$11:$D$22="",Besatzung!$B$6,Besatzung!$D$11:$D$22)&gt;=B51)),1))),IF(I51="Individuell",((M51="x")*((G51-IFERROR(H51,0))/IFERROR(COUNTIF(J51:U51,"x"),1)+(Besatzung!$F$14="x")*IFERROR(H51,0)/IFERROR(SUMPRODUCT((J51:U51="x")*(Besatzung!$F$11:$F$22="x")),1))),(IF(COUNTIF(J51:U51,"x")=0,IF(Besatzung!$B$14&lt;&gt;"",1,0),(M51="x"))*(G51-IFERROR(H51,0))/IFERROR(IF(COUNTIF(J51:U51,"x")=0,COUNTA(Besatzung!$B$11:$B$22),COUNTIF(J51:U51,"x")),1)+IF(COUNTIF(J51:U51,"x")=0,(Besatzung!$F$14="x"),(M51="x")*(Besatzung!$F$14="x"))*IFERROR(H51,0)/IFERROR(IF(COUNTIF(J51:U51,"x")=0,SUMPRODUCT((Besatzung!$B$11:$B$22&lt;&gt;"")*(Besatzung!$F$11:$F$22="x")),SUMPRODUCT((J51:U51="x")*(Besatzung!$F$11:$F$22="x"))),1))))),0))))</f>
        <v/>
      </c>
      <c r="Z51" s="247">
        <f>IF(C51="Gutschrift","",IF(G51="","",IF(Besatzung!$B$13="","",IFERROR(IF(I51="Zeitanteilig",(Besatzung!$G$15*(G51-IFERROR(H51,0))+((Besatzung!$B$13&lt;&gt;"")*IF(B51="",1,(IF(Besatzung!$C$15="",Besatzung!$B$5,Besatzung!$C$15)&lt;=B51)*(IF(Besatzung!$D$15="",Besatzung!$B$6,Besatzung!$D$15)&gt;=B51)))*(Besatzung!$F$15="x")*IFERROR(H51,0)/IFERROR(SUMPRODUCT((Besatzung!$B$11:$B$22&lt;&gt;"")*(Besatzung!$F$11:$F$22="x")*(IF(Besatzung!$C$11:$C$22="",Besatzung!$B$5,Besatzung!$C$11:$C$22)&lt;=B51)*(IF(Besatzung!$D$11:$D$22="",Besatzung!$B$6,Besatzung!$D$11:$D$22)&gt;=B51)),1)),IF(I51="An Bord",(((Besatzung!$B$13&lt;&gt;"")*IF(B51="",1,(IF(Besatzung!$C$15="",Besatzung!$B$5,Besatzung!$C$15)&lt;=B51)*(IF(Besatzung!$D$15="",Besatzung!$B$6,Besatzung!$D$15)&gt;=B51)))*((G51-IFERROR(H51,0))/IFERROR(SUMPRODUCT((Besatzung!$B$11:$B$22&lt;&gt;"")*(IF(Besatzung!$C$11:$C$22="",Besatzung!$B$5,Besatzung!$C$11:$C$22)&lt;=B51)*(IF(Besatzung!$D$11:$D$22="",Besatzung!$B$6,Besatzung!$D$11:$D$22)&gt;=B51)),1)+(Besatzung!$F$15="x")*IFERROR(H51,0)/IFERROR(SUMPRODUCT((Besatzung!$B$11:$B$22&lt;&gt;"")*(Besatzung!$F$11:$F$22="x")*(IF(Besatzung!$C$11:$C$22="",Besatzung!$B$5,Besatzung!$C$11:$C$22)&lt;=B51)*(IF(Besatzung!$D$11:$D$22="",Besatzung!$B$6,Besatzung!$D$11:$D$22)&gt;=B51)),1))),IF(I51="Individuell",((N51="x")*((G51-IFERROR(H51,0))/IFERROR(COUNTIF(J51:U51,"x"),1)+(Besatzung!$F$15="x")*IFERROR(H51,0)/IFERROR(SUMPRODUCT((J51:U51="x")*(Besatzung!$F$11:$F$22="x")),1))),(IF(COUNTIF(J51:U51,"x")=0,IF(Besatzung!$B$13&lt;&gt;"",1,0),(N51="x"))*(G51-IFERROR(H51,0))/IFERROR(IF(COUNTIF(J51:U51,"x")=0,COUNTA(Besatzung!$B$11:$B$22),COUNTIF(J51:U51,"x")),1)+IF(COUNTIF(J51:U51,"x")=0,(Besatzung!$F$15="x"),(N51="x")*(Besatzung!$F$15="x"))*IFERROR(H51,0)/IFERROR(IF(COUNTIF(J51:U51,"x")=0,SUMPRODUCT((Besatzung!$B$11:$B$22&lt;&gt;"")*(Besatzung!$F$11:$F$22="x")),SUMPRODUCT((J51:U51="x")*(Besatzung!$F$11:$F$22="x"))),1))))),0))))</f>
        <v/>
      </c>
      <c r="AA51" s="247">
        <f>IF(C51="Gutschrift","",IF(G51="","",IF(Besatzung!$B$15="","",IFERROR(IF(I51="Zeitanteilig",(Besatzung!$G$16*(G51-IFERROR(H51,0))+((Besatzung!$B$15&lt;&gt;"")*IF(B51="",1,(IF(Besatzung!$C$16="",Besatzung!$B$5,Besatzung!$C$16)&lt;=B51)*(IF(Besatzung!$D$16="",Besatzung!$B$6,Besatzung!$D$16)&gt;=B51)))*(Besatzung!$F$16="x")*IFERROR(H51,0)/IFERROR(SUMPRODUCT((Besatzung!$B$11:$B$22&lt;&gt;"")*(Besatzung!$F$11:$F$22="x")*(IF(Besatzung!$C$11:$C$22="",Besatzung!$B$5,Besatzung!$C$11:$C$22)&lt;=B51)*(IF(Besatzung!$D$11:$D$22="",Besatzung!$B$6,Besatzung!$D$11:$D$22)&gt;=B51)),1)),IF(I51="An Bord",(((Besatzung!$B$15&lt;&gt;"")*IF(B51="",1,(IF(Besatzung!$C$16="",Besatzung!$B$5,Besatzung!$C$16)&lt;=B51)*(IF(Besatzung!$D$16="",Besatzung!$B$6,Besatzung!$D$16)&gt;=B51)))*((G51-IFERROR(H51,0))/IFERROR(SUMPRODUCT((Besatzung!$B$11:$B$22&lt;&gt;"")*(IF(Besatzung!$C$11:$C$22="",Besatzung!$B$5,Besatzung!$C$11:$C$22)&lt;=B51)*(IF(Besatzung!$D$11:$D$22="",Besatzung!$B$6,Besatzung!$D$11:$D$22)&gt;=B51)),1)+(Besatzung!$F$16="x")*IFERROR(H51,0)/IFERROR(SUMPRODUCT((Besatzung!$B$11:$B$22&lt;&gt;"")*(Besatzung!$F$11:$F$22="x")*(IF(Besatzung!$C$11:$C$22="",Besatzung!$B$5,Besatzung!$C$11:$C$22)&lt;=B51)*(IF(Besatzung!$D$11:$D$22="",Besatzung!$B$6,Besatzung!$D$11:$D$22)&gt;=B51)),1))),IF(I51="Individuell",((O51="x")*((G51-IFERROR(H51,0))/IFERROR(COUNTIF(J51:U51,"x"),1)+(Besatzung!$F$16="x")*IFERROR(H51,0)/IFERROR(SUMPRODUCT((J51:U51="x")*(Besatzung!$F$11:$F$22="x")),1))),(IF(COUNTIF(J51:U51,"x")=0,IF(Besatzung!$B$15&lt;&gt;"",1,0),(O51="x"))*(G51-IFERROR(H51,0))/IFERROR(IF(COUNTIF(J51:U51,"x")=0,COUNTA(Besatzung!$B$11:$B$22),COUNTIF(J51:U51,"x")),1)+IF(COUNTIF(J51:U51,"x")=0,(Besatzung!$F$16="x"),(O51="x")*(Besatzung!$F$16="x"))*IFERROR(H51,0)/IFERROR(IF(COUNTIF(J51:U51,"x")=0,SUMPRODUCT((Besatzung!$B$11:$B$22&lt;&gt;"")*(Besatzung!$F$11:$F$22="x")),SUMPRODUCT((J51:U51="x")*(Besatzung!$F$11:$F$22="x"))),1))))),0))))</f>
        <v/>
      </c>
      <c r="AB51" s="247">
        <f>IF(C51="Gutschrift","",IF(G51="","",IF(Besatzung!$B$17="","",IFERROR(IF(I51="Zeitanteilig",(Besatzung!$G$17*(G51-IFERROR(H51,0))+((Besatzung!$B$17&lt;&gt;"")*IF(B51="",1,(IF(Besatzung!$C$17="",Besatzung!$B$5,Besatzung!$C$17)&lt;=B51)*(IF(Besatzung!$D$17="",Besatzung!$B$6,Besatzung!$D$17)&gt;=B51)))*(Besatzung!$F$17="x")*IFERROR(H51,0)/IFERROR(SUMPRODUCT((Besatzung!$B$11:$B$22&lt;&gt;"")*(Besatzung!$F$11:$F$22="x")*(IF(Besatzung!$C$11:$C$22="",Besatzung!$B$5,Besatzung!$C$11:$C$22)&lt;=B51)*(IF(Besatzung!$D$11:$D$22="",Besatzung!$B$6,Besatzung!$D$11:$D$22)&gt;=B51)),1)),IF(I51="An Bord",(((Besatzung!$B$17&lt;&gt;"")*IF(B51="",1,(IF(Besatzung!$C$17="",Besatzung!$B$5,Besatzung!$C$17)&lt;=B51)*(IF(Besatzung!$D$17="",Besatzung!$B$6,Besatzung!$D$17)&gt;=B51)))*((G51-IFERROR(H51,0))/IFERROR(SUMPRODUCT((Besatzung!$B$11:$B$22&lt;&gt;"")*(IF(Besatzung!$C$11:$C$22="",Besatzung!$B$5,Besatzung!$C$11:$C$22)&lt;=B51)*(IF(Besatzung!$D$11:$D$22="",Besatzung!$B$6,Besatzung!$D$11:$D$22)&gt;=B51)),1)+(Besatzung!$F$17="x")*IFERROR(H51,0)/IFERROR(SUMPRODUCT((Besatzung!$B$11:$B$22&lt;&gt;"")*(Besatzung!$F$11:$F$22="x")*(IF(Besatzung!$C$11:$C$22="",Besatzung!$B$5,Besatzung!$C$11:$C$22)&lt;=B51)*(IF(Besatzung!$D$11:$D$22="",Besatzung!$B$6,Besatzung!$D$11:$D$22)&gt;=B51)),1))),IF(I51="Individuell",((P51="x")*((G51-IFERROR(H51,0))/IFERROR(COUNTIF(J51:U51,"x"),1)+(Besatzung!$F$17="x")*IFERROR(H51,0)/IFERROR(SUMPRODUCT((J51:U51="x")*(Besatzung!$F$11:$F$22="x")),1))),(IF(COUNTIF(J51:U51,"x")=0,IF(Besatzung!$B$17&lt;&gt;"",1,0),(P51="x"))*(G51-IFERROR(H51,0))/IFERROR(IF(COUNTIF(J51:U51,"x")=0,COUNTA(Besatzung!$B$11:$B$22),COUNTIF(J51:U51,"x")),1)+IF(COUNTIF(J51:U51,"x")=0,(Besatzung!$F$17="x"),(P51="x")*(Besatzung!$F$17="x"))*IFERROR(H51,0)/IFERROR(IF(COUNTIF(J51:U51,"x")=0,SUMPRODUCT((Besatzung!$B$11:$B$22&lt;&gt;"")*(Besatzung!$F$11:$F$22="x")),SUMPRODUCT((J51:U51="x")*(Besatzung!$F$11:$F$22="x"))),1))))),0))))</f>
        <v/>
      </c>
      <c r="AC51" s="247">
        <f>IF(C51="Gutschrift","",IF(G51="","",IF(Besatzung!$B$18="","",IFERROR(IF(I51="Zeitanteilig",(Besatzung!$G$18*(G51-IFERROR(H51,0))+((Besatzung!$B$18&lt;&gt;"")*IF(B51="",1,(IF(Besatzung!$C$18="",Besatzung!$B$5,Besatzung!$C$18)&lt;=B51)*(IF(Besatzung!$D$18="",Besatzung!$B$6,Besatzung!$D$18)&gt;=B51)))*(Besatzung!$F$18="x")*IFERROR(H51,0)/IFERROR(SUMPRODUCT((Besatzung!$B$11:$B$22&lt;&gt;"")*(Besatzung!$F$11:$F$22="x")*(IF(Besatzung!$C$11:$C$22="",Besatzung!$B$5,Besatzung!$C$11:$C$22)&lt;=B51)*(IF(Besatzung!$D$11:$D$22="",Besatzung!$B$6,Besatzung!$D$11:$D$22)&gt;=B51)),1)),IF(I51="An Bord",(((Besatzung!$B$18&lt;&gt;"")*IF(B51="",1,(IF(Besatzung!$C$18="",Besatzung!$B$5,Besatzung!$C$18)&lt;=B51)*(IF(Besatzung!$D$18="",Besatzung!$B$6,Besatzung!$D$18)&gt;=B51)))*((G51-IFERROR(H51,0))/IFERROR(SUMPRODUCT((Besatzung!$B$11:$B$22&lt;&gt;"")*(IF(Besatzung!$C$11:$C$22="",Besatzung!$B$5,Besatzung!$C$11:$C$22)&lt;=B51)*(IF(Besatzung!$D$11:$D$22="",Besatzung!$B$6,Besatzung!$D$11:$D$22)&gt;=B51)),1)+(Besatzung!$F$18="x")*IFERROR(H51,0)/IFERROR(SUMPRODUCT((Besatzung!$B$11:$B$22&lt;&gt;"")*(Besatzung!$F$11:$F$22="x")*(IF(Besatzung!$C$11:$C$22="",Besatzung!$B$5,Besatzung!$C$11:$C$22)&lt;=B51)*(IF(Besatzung!$D$11:$D$22="",Besatzung!$B$6,Besatzung!$D$11:$D$22)&gt;=B51)),1))),IF(I51="Individuell",((Q51="x")*((G51-IFERROR(H51,0))/IFERROR(COUNTIF(J51:U51,"x"),1)+(Besatzung!$F$18="x")*IFERROR(H51,0)/IFERROR(SUMPRODUCT((J51:U51="x")*(Besatzung!$F$11:$F$22="x")),1))),(IF(COUNTIF(J51:U51,"x")=0,IF(Besatzung!$B$18&lt;&gt;"",1,0),(Q51="x"))*(G51-IFERROR(H51,0))/IFERROR(IF(COUNTIF(J51:U51,"x")=0,COUNTA(Besatzung!$B$11:$B$22),COUNTIF(J51:U51,"x")),1)+IF(COUNTIF(J51:U51,"x")=0,(Besatzung!$F$18="x"),(Q51="x")*(Besatzung!$F$18="x"))*IFERROR(H51,0)/IFERROR(IF(COUNTIF(J51:U51,"x")=0,SUMPRODUCT((Besatzung!$B$11:$B$22&lt;&gt;"")*(Besatzung!$F$11:$F$22="x")),SUMPRODUCT((J51:U51="x")*(Besatzung!$F$11:$F$22="x"))),1))))),0))))</f>
        <v/>
      </c>
      <c r="AD51" s="247">
        <f>IF(C51="Gutschrift","",IF(G51="","",IF(Besatzung!$B$19="","",IFERROR(IF(I51="Zeitanteilig",(Besatzung!$G$19*(G51-IFERROR(H51,0))+((Besatzung!$B$19&lt;&gt;"")*IF(B51="",1,(IF(Besatzung!$C$19="",Besatzung!$B$5,Besatzung!$C$19)&lt;=B51)*(IF(Besatzung!$D$19="",Besatzung!$B$6,Besatzung!$D$19)&gt;=B51)))*(Besatzung!$F$19="x")*IFERROR(H51,0)/IFERROR(SUMPRODUCT((Besatzung!$B$11:$B$22&lt;&gt;"")*(Besatzung!$F$11:$F$22="x")*(IF(Besatzung!$C$11:$C$22="",Besatzung!$B$5,Besatzung!$C$11:$C$22)&lt;=B51)*(IF(Besatzung!$D$11:$D$22="",Besatzung!$B$6,Besatzung!$D$11:$D$22)&gt;=B51)),1)),IF(I51="An Bord",(((Besatzung!$B$19&lt;&gt;"")*IF(B51="",1,(IF(Besatzung!$C$19="",Besatzung!$B$5,Besatzung!$C$19)&lt;=B51)*(IF(Besatzung!$D$19="",Besatzung!$B$6,Besatzung!$D$19)&gt;=B51)))*((G51-IFERROR(H51,0))/IFERROR(SUMPRODUCT((Besatzung!$B$11:$B$22&lt;&gt;"")*(IF(Besatzung!$C$11:$C$22="",Besatzung!$B$5,Besatzung!$C$11:$C$22)&lt;=B51)*(IF(Besatzung!$D$11:$D$22="",Besatzung!$B$6,Besatzung!$D$11:$D$22)&gt;=B51)),1)+(Besatzung!$F$19="x")*IFERROR(H51,0)/IFERROR(SUMPRODUCT((Besatzung!$B$11:$B$22&lt;&gt;"")*(Besatzung!$F$11:$F$22="x")*(IF(Besatzung!$C$11:$C$22="",Besatzung!$B$5,Besatzung!$C$11:$C$22)&lt;=B51)*(IF(Besatzung!$D$11:$D$22="",Besatzung!$B$6,Besatzung!$D$11:$D$22)&gt;=B51)),1))),IF(I51="Individuell",((R51="x")*((G51-IFERROR(H51,0))/IFERROR(COUNTIF(J51:U51,"x"),1)+(Besatzung!$F$19="x")*IFERROR(H51,0)/IFERROR(SUMPRODUCT((J51:U51="x")*(Besatzung!$F$11:$F$22="x")),1))),(IF(COUNTIF(J51:U51,"x")=0,IF(Besatzung!$B$19&lt;&gt;"",1,0),(R51="x"))*(G51-IFERROR(H51,0))/IFERROR(IF(COUNTIF(J51:U51,"x")=0,COUNTA(Besatzung!$B$11:$B$22),COUNTIF(J51:U51,"x")),1)+IF(COUNTIF(J51:U51,"x")=0,(Besatzung!$F$19="x"),(R51="x")*(Besatzung!$F$19="x"))*IFERROR(H51,0)/IFERROR(IF(COUNTIF(J51:U51,"x")=0,SUMPRODUCT((Besatzung!$B$11:$B$22&lt;&gt;"")*(Besatzung!$F$11:$F$22="x")),SUMPRODUCT((J51:U51="x")*(Besatzung!$F$11:$F$22="x"))),1))))),0))))</f>
        <v/>
      </c>
      <c r="AE51" s="247">
        <f>IF(C51="Gutschrift","",IF(G51="","",IF(Besatzung!$B$20="","",IFERROR(IF(I51="Zeitanteilig",(Besatzung!$G$20*(G51-IFERROR(H51,0))+((Besatzung!$B$20&lt;&gt;"")*IF(B51="",1,(IF(Besatzung!$C$20="",Besatzung!$B$5,Besatzung!$C$20)&lt;=B51)*(IF(Besatzung!$D$20="",Besatzung!$B$6,Besatzung!$D$20)&gt;=B51)))*(Besatzung!$F$20="x")*IFERROR(H51,0)/IFERROR(SUMPRODUCT((Besatzung!$B$11:$B$22&lt;&gt;"")*(Besatzung!$F$11:$F$22="x")*(IF(Besatzung!$C$11:$C$22="",Besatzung!$B$5,Besatzung!$C$11:$C$22)&lt;=B51)*(IF(Besatzung!$D$11:$D$22="",Besatzung!$B$6,Besatzung!$D$11:$D$22)&gt;=B51)),1)),IF(I51="An Bord",(((Besatzung!$B$20&lt;&gt;"")*IF(B51="",1,(IF(Besatzung!$C$20="",Besatzung!$B$5,Besatzung!$C$20)&lt;=B51)*(IF(Besatzung!$D$20="",Besatzung!$B$6,Besatzung!$D$20)&gt;=B51)))*((G51-IFERROR(H51,0))/IFERROR(SUMPRODUCT((Besatzung!$B$11:$B$22&lt;&gt;"")*(IF(Besatzung!$C$11:$C$22="",Besatzung!$B$5,Besatzung!$C$11:$C$22)&lt;=B51)*(IF(Besatzung!$D$11:$D$22="",Besatzung!$B$6,Besatzung!$D$11:$D$22)&gt;=B51)),1)+(Besatzung!$F$20="x")*IFERROR(H51,0)/IFERROR(SUMPRODUCT((Besatzung!$B$11:$B$22&lt;&gt;"")*(Besatzung!$F$11:$F$22="x")*(IF(Besatzung!$C$11:$C$22="",Besatzung!$B$5,Besatzung!$C$11:$C$22)&lt;=B51)*(IF(Besatzung!$D$11:$D$22="",Besatzung!$B$6,Besatzung!$D$11:$D$22)&gt;=B51)),1))),IF(I51="Individuell",((S51="x")*((G51-IFERROR(H51,0))/IFERROR(COUNTIF(J51:U51,"x"),1)+(Besatzung!$F$20="x")*IFERROR(H51,0)/IFERROR(SUMPRODUCT((J51:U51="x")*(Besatzung!$F$11:$F$22="x")),1))),(IF(COUNTIF(J51:U51,"x")=0,IF(Besatzung!$B$20&lt;&gt;"",1,0),(S51="x"))*(G51-IFERROR(H51,0))/IFERROR(IF(COUNTIF(J51:U51,"x")=0,COUNTA(Besatzung!$B$11:$B$22),COUNTIF(J51:U51,"x")),1)+IF(COUNTIF(J51:U51,"x")=0,(Besatzung!$F$20="x"),(S51="x")*(Besatzung!$F$20="x"))*IFERROR(H51,0)/IFERROR(IF(COUNTIF(J51:U51,"x")=0,SUMPRODUCT((Besatzung!$B$11:$B$22&lt;&gt;"")*(Besatzung!$F$11:$F$22="x")),SUMPRODUCT((J51:U51="x")*(Besatzung!$F$11:$F$22="x"))),1))))),0))))</f>
        <v/>
      </c>
      <c r="AF51" s="247">
        <f>IF(C51="Gutschrift","",IF(G51="","",IF(Besatzung!$B$21="","",IFERROR(IF(I51="Zeitanteilig",(Besatzung!$G$21*(G51-IFERROR(H51,0))+((Besatzung!$B$21&lt;&gt;"")*IF(B51="",1,(IF(Besatzung!$C$21="",Besatzung!$B$5,Besatzung!$C$21)&lt;=B51)*(IF(Besatzung!$D$21="",Besatzung!$B$6,Besatzung!$D$21)&gt;=B51)))*(Besatzung!$F$21="x")*IFERROR(H51,0)/IFERROR(SUMPRODUCT((Besatzung!$B$11:$B$22&lt;&gt;"")*(Besatzung!$F$11:$F$22="x")*(IF(Besatzung!$C$11:$C$22="",Besatzung!$B$5,Besatzung!$C$11:$C$22)&lt;=B51)*(IF(Besatzung!$D$11:$D$22="",Besatzung!$B$6,Besatzung!$D$11:$D$22)&gt;=B51)),1)),IF(I51="An Bord",(((Besatzung!$B$21&lt;&gt;"")*IF(B51="",1,(IF(Besatzung!$C$21="",Besatzung!$B$5,Besatzung!$C$21)&lt;=B51)*(IF(Besatzung!$D$21="",Besatzung!$B$6,Besatzung!$D$21)&gt;=B51)))*((G51-IFERROR(H51,0))/IFERROR(SUMPRODUCT((Besatzung!$B$11:$B$22&lt;&gt;"")*(IF(Besatzung!$C$11:$C$22="",Besatzung!$B$5,Besatzung!$C$11:$C$22)&lt;=B51)*(IF(Besatzung!$D$11:$D$22="",Besatzung!$B$6,Besatzung!$D$11:$D$22)&gt;=B51)),1)+(Besatzung!$F$21="x")*IFERROR(H51,0)/IFERROR(SUMPRODUCT((Besatzung!$B$11:$B$22&lt;&gt;"")*(Besatzung!$F$11:$F$22="x")*(IF(Besatzung!$C$11:$C$22="",Besatzung!$B$5,Besatzung!$C$11:$C$22)&lt;=B51)*(IF(Besatzung!$D$11:$D$22="",Besatzung!$B$6,Besatzung!$D$11:$D$22)&gt;=B51)),1))),IF(I51="Individuell",((T51="x")*((G51-IFERROR(H51,0))/IFERROR(COUNTIF(J51:U51,"x"),1)+(Besatzung!$F$21="x")*IFERROR(H51,0)/IFERROR(SUMPRODUCT((J51:U51="x")*(Besatzung!$F$11:$F$22="x")),1))),(IF(COUNTIF(J51:U51,"x")=0,IF(Besatzung!$B$21&lt;&gt;"",1,0),(T51="x"))*(G51-IFERROR(H51,0))/IFERROR(IF(COUNTIF(J51:U51,"x")=0,COUNTA(Besatzung!$B$11:$B$22),COUNTIF(J51:U51,"x")),1)+IF(COUNTIF(J51:U51,"x")=0,(Besatzung!$F$21="x"),(T51="x")*(Besatzung!$F$21="x"))*IFERROR(H51,0)/IFERROR(IF(COUNTIF(J51:U51,"x")=0,SUMPRODUCT((Besatzung!$B$11:$B$22&lt;&gt;"")*(Besatzung!$F$11:$F$22="x")),SUMPRODUCT((J51:U51="x")*(Besatzung!$F$11:$F$22="x"))),1))))),0))))</f>
        <v/>
      </c>
      <c r="AG51" s="247">
        <f>IF(C51="Gutschrift","",IF(G51="","",IF(Besatzung!$B$22="","",IFERROR(IF(I51="Zeitanteilig",(Besatzung!$G$22*(G51-IFERROR(H51,0))+((Besatzung!$B$22&lt;&gt;"")*IF(B51="",1,(IF(Besatzung!$C$22="",Besatzung!$B$5,Besatzung!$C$22)&lt;=B51)*(IF(Besatzung!$D$22="",Besatzung!$B$6,Besatzung!$D$22)&gt;=B51)))*(Besatzung!$F$22="x")*IFERROR(H51,0)/IFERROR(SUMPRODUCT((Besatzung!$B$11:$B$22&lt;&gt;"")*(Besatzung!$F$11:$F$22="x")*(IF(Besatzung!$C$11:$C$22="",Besatzung!$B$5,Besatzung!$C$11:$C$22)&lt;=B51)*(IF(Besatzung!$D$11:$D$22="",Besatzung!$B$6,Besatzung!$D$11:$D$22)&gt;=B51)),1)),IF(I51="An Bord",(((Besatzung!$B$22&lt;&gt;"")*IF(B51="",1,(IF(Besatzung!$C$22="",Besatzung!$B$5,Besatzung!$C$22)&lt;=B51)*(IF(Besatzung!$D$22="",Besatzung!$B$6,Besatzung!$D$22)&gt;=B51)))*((G51-IFERROR(H51,0))/IFERROR(SUMPRODUCT((Besatzung!$B$11:$B$22&lt;&gt;"")*(IF(Besatzung!$C$11:$C$22="",Besatzung!$B$5,Besatzung!$C$11:$C$22)&lt;=B51)*(IF(Besatzung!$D$11:$D$22="",Besatzung!$B$6,Besatzung!$D$11:$D$22)&gt;=B51)),1)+(Besatzung!$F$22="x")*IFERROR(H51,0)/IFERROR(SUMPRODUCT((Besatzung!$B$11:$B$22&lt;&gt;"")*(Besatzung!$F$11:$F$22="x")*(IF(Besatzung!$C$11:$C$22="",Besatzung!$B$5,Besatzung!$C$11:$C$22)&lt;=B51)*(IF(Besatzung!$D$11:$D$22="",Besatzung!$B$6,Besatzung!$D$11:$D$22)&gt;=B51)),1))),IF(I51="Individuell",((U51="x")*((G51-IFERROR(H51,0))/IFERROR(COUNTIF(J51:U51,"x"),1)+(Besatzung!$F$22="x")*IFERROR(H51,0)/IFERROR(SUMPRODUCT((J51:U51="x")*(Besatzung!$F$11:$F$22="x")),1))),(IF(COUNTIF(J51:U51,"x")=0,IF(Besatzung!$B$22&lt;&gt;"",1,0),(U51="x"))*(G51-IFERROR(H51,0))/IFERROR(IF(COUNTIF(J51:U51,"x")=0,COUNTA(Besatzung!$B$11:$B$22),COUNTIF(J51:U51,"x")),1)+IF(COUNTIF(J51:U51,"x")=0,(Besatzung!$F$22="x"),(U51="x")*(Besatzung!$F$22="x"))*IFERROR(H51,0)/IFERROR(IF(COUNTIF(J51:U51,"x")=0,SUMPRODUCT((Besatzung!$B$11:$B$22&lt;&gt;"")*(Besatzung!$F$11:$F$22="x")),SUMPRODUCT((J51:U51="x")*(Besatzung!$F$11:$F$22="x"))),1))))),0))))</f>
        <v/>
      </c>
      <c r="AH51" s="248" t="n"/>
      <c r="AI51" s="248" t="n"/>
    </row>
    <row r="52" ht="21.75" customHeight="1" s="154">
      <c r="A52" s="238">
        <f>IF(AND(D52="",C52=""),"",49)</f>
        <v/>
      </c>
      <c r="B52" s="199" t="n"/>
      <c r="C52" s="239" t="n"/>
      <c r="D52" s="240" t="n"/>
      <c r="E52" s="241" t="n"/>
      <c r="F52" s="242" t="n"/>
      <c r="G52" s="243" t="n"/>
      <c r="H52" s="244" t="n"/>
      <c r="I52" s="245" t="n"/>
      <c r="J52" s="246" t="n"/>
      <c r="K52" s="246" t="n"/>
      <c r="L52" s="246" t="n"/>
      <c r="M52" s="246" t="n"/>
      <c r="N52" s="246" t="n"/>
      <c r="O52" s="246" t="n"/>
      <c r="P52" s="246" t="n"/>
      <c r="Q52" s="246" t="n"/>
      <c r="R52" s="246" t="n"/>
      <c r="S52" s="246" t="n"/>
      <c r="T52" s="246" t="n"/>
      <c r="U52" s="246" t="n"/>
      <c r="V52" s="247">
        <f>IF(C52="Gutschrift","",IF(G52="","",IF(Besatzung!$B$11="","",IFERROR(IF(I52="Zeitanteilig",(Besatzung!$G$11*(G52-IFERROR(H52,0))+((Besatzung!$B$11&lt;&gt;"")*IF(B52="",1,(IF(Besatzung!$C$11="",Besatzung!$B$5,Besatzung!$C$11)&lt;=B52)*(IF(Besatzung!$D$11="",Besatzung!$B$6,Besatzung!$D$11)&gt;=B52)))*(Besatzung!$F$11="x")*IFERROR(H52,0)/IFERROR(SUMPRODUCT((Besatzung!$B$11:$B$22&lt;&gt;"")*(Besatzung!$F$11:$F$22="x")*(IF(Besatzung!$C$11:$C$22="",Besatzung!$B$5,Besatzung!$C$11:$C$22)&lt;=B52)*(IF(Besatzung!$D$11:$D$22="",Besatzung!$B$6,Besatzung!$D$11:$D$22)&gt;=B52)),1)),IF(I52="An Bord",(((Besatzung!$B$11&lt;&gt;"")*IF(B52="",1,(IF(Besatzung!$C$11="",Besatzung!$B$5,Besatzung!$C$11)&lt;=B52)*(IF(Besatzung!$D$11="",Besatzung!$B$6,Besatzung!$D$11)&gt;=B52)))*((G52-IFERROR(H52,0))/IFERROR(SUMPRODUCT((Besatzung!$B$11:$B$22&lt;&gt;"")*(IF(Besatzung!$C$11:$C$22="",Besatzung!$B$5,Besatzung!$C$11:$C$22)&lt;=B52)*(IF(Besatzung!$D$11:$D$22="",Besatzung!$B$6,Besatzung!$D$11:$D$22)&gt;=B52)),1)+(Besatzung!$F$11="x")*IFERROR(H52,0)/IFERROR(SUMPRODUCT((Besatzung!$B$11:$B$22&lt;&gt;"")*(Besatzung!$F$11:$F$22="x")*(IF(Besatzung!$C$11:$C$22="",Besatzung!$B$5,Besatzung!$C$11:$C$22)&lt;=B52)*(IF(Besatzung!$D$11:$D$22="",Besatzung!$B$6,Besatzung!$D$11:$D$22)&gt;=B52)),1))),IF(I52="Individuell",((J52="x")*((G52-IFERROR(H52,0))/IFERROR(COUNTIF(J52:U52,"x"),1)+(Besatzung!$F$11="x")*IFERROR(H52,0)/IFERROR(SUMPRODUCT((J52:U52="x")*(Besatzung!$F$11:$F$22="x")),1))),(IF(COUNTIF(J52:U52,"x")=0,IF(Besatzung!$B$11&lt;&gt;"",1,0),(J52="x"))*(G52-IFERROR(H52,0))/IFERROR(IF(COUNTIF(J52:U52,"x")=0,COUNTA(Besatzung!$B$11:$B$22),COUNTIF(J52:U52,"x")),1)+IF(COUNTIF(J52:U52,"x")=0,(Besatzung!$F$11="x"),(J52="x")*(Besatzung!$F$11="x"))*IFERROR(H52,0)/IFERROR(IF(COUNTIF(J52:U52,"x")=0,SUMPRODUCT((Besatzung!$B$11:$B$22&lt;&gt;"")*(Besatzung!$F$11:$F$22="x")),SUMPRODUCT((J52:U52="x")*(Besatzung!$F$11:$F$22="x"))),1))))),0))))</f>
        <v/>
      </c>
      <c r="W52" s="247">
        <f>IF(C52="Gutschrift","",IF(G52="","",IF(Besatzung!$B$12="","",IFERROR(IF(I52="Zeitanteilig",(Besatzung!$G$12*(G52-IFERROR(H52,0))+((Besatzung!$B$12&lt;&gt;"")*IF(B52="",1,(IF(Besatzung!$C$12="",Besatzung!$B$5,Besatzung!$C$12)&lt;=B52)*(IF(Besatzung!$D$12="",Besatzung!$B$6,Besatzung!$D$12)&gt;=B52)))*(Besatzung!$F$12="x")*IFERROR(H52,0)/IFERROR(SUMPRODUCT((Besatzung!$B$11:$B$22&lt;&gt;"")*(Besatzung!$F$11:$F$22="x")*(IF(Besatzung!$C$11:$C$22="",Besatzung!$B$5,Besatzung!$C$11:$C$22)&lt;=B52)*(IF(Besatzung!$D$11:$D$22="",Besatzung!$B$6,Besatzung!$D$11:$D$22)&gt;=B52)),1)),IF(I52="An Bord",(((Besatzung!$B$12&lt;&gt;"")*IF(B52="",1,(IF(Besatzung!$C$12="",Besatzung!$B$5,Besatzung!$C$12)&lt;=B52)*(IF(Besatzung!$D$12="",Besatzung!$B$6,Besatzung!$D$12)&gt;=B52)))*((G52-IFERROR(H52,0))/IFERROR(SUMPRODUCT((Besatzung!$B$11:$B$22&lt;&gt;"")*(IF(Besatzung!$C$11:$C$22="",Besatzung!$B$5,Besatzung!$C$11:$C$22)&lt;=B52)*(IF(Besatzung!$D$11:$D$22="",Besatzung!$B$6,Besatzung!$D$11:$D$22)&gt;=B52)),1)+(Besatzung!$F$12="x")*IFERROR(H52,0)/IFERROR(SUMPRODUCT((Besatzung!$B$11:$B$22&lt;&gt;"")*(Besatzung!$F$11:$F$22="x")*(IF(Besatzung!$C$11:$C$22="",Besatzung!$B$5,Besatzung!$C$11:$C$22)&lt;=B52)*(IF(Besatzung!$D$11:$D$22="",Besatzung!$B$6,Besatzung!$D$11:$D$22)&gt;=B52)),1))),IF(I52="Individuell",((K52="x")*((G52-IFERROR(H52,0))/IFERROR(COUNTIF(J52:U52,"x"),1)+(Besatzung!$F$12="x")*IFERROR(H52,0)/IFERROR(SUMPRODUCT((J52:U52="x")*(Besatzung!$F$11:$F$22="x")),1))),(IF(COUNTIF(J52:U52,"x")=0,IF(Besatzung!$B$12&lt;&gt;"",1,0),(K52="x"))*(G52-IFERROR(H52,0))/IFERROR(IF(COUNTIF(J52:U52,"x")=0,COUNTA(Besatzung!$B$11:$B$22),COUNTIF(J52:U52,"x")),1)+IF(COUNTIF(J52:U52,"x")=0,(Besatzung!$F$12="x"),(K52="x")*(Besatzung!$F$12="x"))*IFERROR(H52,0)/IFERROR(IF(COUNTIF(J52:U52,"x")=0,SUMPRODUCT((Besatzung!$B$11:$B$22&lt;&gt;"")*(Besatzung!$F$11:$F$22="x")),SUMPRODUCT((J52:U52="x")*(Besatzung!$F$11:$F$22="x"))),1))))),0))))</f>
        <v/>
      </c>
      <c r="X52" s="247">
        <f>IF(C52="Gutschrift","",IF(G52="","",IF(Besatzung!$B$13="","",IFERROR(IF(I52="Zeitanteilig",(Besatzung!$G$13*(G52-IFERROR(H52,0))+((Besatzung!$B$13&lt;&gt;"")*IF(B52="",1,(IF(Besatzung!$C$13="",Besatzung!$B$5,Besatzung!$C$13)&lt;=B52)*(IF(Besatzung!$D$13="",Besatzung!$B$6,Besatzung!$D$13)&gt;=B52)))*(Besatzung!$F$13="x")*IFERROR(H52,0)/IFERROR(SUMPRODUCT((Besatzung!$B$11:$B$22&lt;&gt;"")*(Besatzung!$F$11:$F$22="x")*(IF(Besatzung!$C$11:$C$22="",Besatzung!$B$5,Besatzung!$C$11:$C$22)&lt;=B52)*(IF(Besatzung!$D$11:$D$22="",Besatzung!$B$6,Besatzung!$D$11:$D$22)&gt;=B52)),1)),IF(I52="An Bord",(((Besatzung!$B$13&lt;&gt;"")*IF(B52="",1,(IF(Besatzung!$C$13="",Besatzung!$B$5,Besatzung!$C$13)&lt;=B52)*(IF(Besatzung!$D$13="",Besatzung!$B$6,Besatzung!$D$13)&gt;=B52)))*((G52-IFERROR(H52,0))/IFERROR(SUMPRODUCT((Besatzung!$B$11:$B$22&lt;&gt;"")*(IF(Besatzung!$C$11:$C$22="",Besatzung!$B$5,Besatzung!$C$11:$C$22)&lt;=B52)*(IF(Besatzung!$D$11:$D$22="",Besatzung!$B$6,Besatzung!$D$11:$D$22)&gt;=B52)),1)+(Besatzung!$F$13="x")*IFERROR(H52,0)/IFERROR(SUMPRODUCT((Besatzung!$B$11:$B$22&lt;&gt;"")*(Besatzung!$F$11:$F$22="x")*(IF(Besatzung!$C$11:$C$22="",Besatzung!$B$5,Besatzung!$C$11:$C$22)&lt;=B52)*(IF(Besatzung!$D$11:$D$22="",Besatzung!$B$6,Besatzung!$D$11:$D$22)&gt;=B52)),1))),IF(I52="Individuell",((K52="x")*((G52-IFERROR(H52,0))/IFERROR(COUNTIF(J52:U52,"x"),1)+(Besatzung!$F$13="x")*IFERROR(H52,0)/IFERROR(SUMPRODUCT((J52:U52="x")*(Besatzung!$F$11:$F$22="x")),1))),(IF(COUNTIF(J52:U52,"x")=0,IF(Besatzung!$B$13&lt;&gt;"",1,0),(K52="x"))*(G52-IFERROR(H52,0))/IFERROR(IF(COUNTIF(J52:U52,"x")=0,COUNTA(Besatzung!$B$11:$B$22),COUNTIF(J52:U52,"x")),1)+IF(COUNTIF(J52:U52,"x")=0,(Besatzung!$F$13="x"),(K52="x")*(Besatzung!$F$13="x"))*IFERROR(H52,0)/IFERROR(IF(COUNTIF(J52:U52,"x")=0,SUMPRODUCT((Besatzung!$B$11:$B$22&lt;&gt;"")*(Besatzung!$F$11:$F$22="x")),SUMPRODUCT((J52:U52="x")*(Besatzung!$F$11:$F$22="x"))),1))))),0))))</f>
        <v/>
      </c>
      <c r="Y52" s="247">
        <f>IF(C52="Gutschrift","",IF(G52="","",IF(Besatzung!$B$14="","",IFERROR(IF(I52="Zeitanteilig",(Besatzung!$G$14*(G52-IFERROR(H52,0))+((Besatzung!$B$14&lt;&gt;"")*IF(B52="",1,(IF(Besatzung!$C$14="",Besatzung!$B$5,Besatzung!$C$14)&lt;=B52)*(IF(Besatzung!$D$14="",Besatzung!$B$6,Besatzung!$D$14)&gt;=B52)))*(Besatzung!$F$14="x")*IFERROR(H52,0)/IFERROR(SUMPRODUCT((Besatzung!$B$11:$B$22&lt;&gt;"")*(Besatzung!$F$11:$F$22="x")*(IF(Besatzung!$C$11:$C$22="",Besatzung!$B$5,Besatzung!$C$11:$C$22)&lt;=B52)*(IF(Besatzung!$D$11:$D$22="",Besatzung!$B$6,Besatzung!$D$11:$D$22)&gt;=B52)),1)),IF(I52="An Bord",(((Besatzung!$B$14&lt;&gt;"")*IF(B52="",1,(IF(Besatzung!$C$14="",Besatzung!$B$5,Besatzung!$C$14)&lt;=B52)*(IF(Besatzung!$D$14="",Besatzung!$B$6,Besatzung!$D$14)&gt;=B52)))*((G52-IFERROR(H52,0))/IFERROR(SUMPRODUCT((Besatzung!$B$11:$B$22&lt;&gt;"")*(IF(Besatzung!$C$11:$C$22="",Besatzung!$B$5,Besatzung!$C$11:$C$22)&lt;=B52)*(IF(Besatzung!$D$11:$D$22="",Besatzung!$B$6,Besatzung!$D$11:$D$22)&gt;=B52)),1)+(Besatzung!$F$14="x")*IFERROR(H52,0)/IFERROR(SUMPRODUCT((Besatzung!$B$11:$B$22&lt;&gt;"")*(Besatzung!$F$11:$F$22="x")*(IF(Besatzung!$C$11:$C$22="",Besatzung!$B$5,Besatzung!$C$11:$C$22)&lt;=B52)*(IF(Besatzung!$D$11:$D$22="",Besatzung!$B$6,Besatzung!$D$11:$D$22)&gt;=B52)),1))),IF(I52="Individuell",((M52="x")*((G52-IFERROR(H52,0))/IFERROR(COUNTIF(J52:U52,"x"),1)+(Besatzung!$F$14="x")*IFERROR(H52,0)/IFERROR(SUMPRODUCT((J52:U52="x")*(Besatzung!$F$11:$F$22="x")),1))),(IF(COUNTIF(J52:U52,"x")=0,IF(Besatzung!$B$14&lt;&gt;"",1,0),(M52="x"))*(G52-IFERROR(H52,0))/IFERROR(IF(COUNTIF(J52:U52,"x")=0,COUNTA(Besatzung!$B$11:$B$22),COUNTIF(J52:U52,"x")),1)+IF(COUNTIF(J52:U52,"x")=0,(Besatzung!$F$14="x"),(M52="x")*(Besatzung!$F$14="x"))*IFERROR(H52,0)/IFERROR(IF(COUNTIF(J52:U52,"x")=0,SUMPRODUCT((Besatzung!$B$11:$B$22&lt;&gt;"")*(Besatzung!$F$11:$F$22="x")),SUMPRODUCT((J52:U52="x")*(Besatzung!$F$11:$F$22="x"))),1))))),0))))</f>
        <v/>
      </c>
      <c r="Z52" s="247">
        <f>IF(C52="Gutschrift","",IF(G52="","",IF(Besatzung!$B$13="","",IFERROR(IF(I52="Zeitanteilig",(Besatzung!$G$15*(G52-IFERROR(H52,0))+((Besatzung!$B$13&lt;&gt;"")*IF(B52="",1,(IF(Besatzung!$C$15="",Besatzung!$B$5,Besatzung!$C$15)&lt;=B52)*(IF(Besatzung!$D$15="",Besatzung!$B$6,Besatzung!$D$15)&gt;=B52)))*(Besatzung!$F$15="x")*IFERROR(H52,0)/IFERROR(SUMPRODUCT((Besatzung!$B$11:$B$22&lt;&gt;"")*(Besatzung!$F$11:$F$22="x")*(IF(Besatzung!$C$11:$C$22="",Besatzung!$B$5,Besatzung!$C$11:$C$22)&lt;=B52)*(IF(Besatzung!$D$11:$D$22="",Besatzung!$B$6,Besatzung!$D$11:$D$22)&gt;=B52)),1)),IF(I52="An Bord",(((Besatzung!$B$13&lt;&gt;"")*IF(B52="",1,(IF(Besatzung!$C$15="",Besatzung!$B$5,Besatzung!$C$15)&lt;=B52)*(IF(Besatzung!$D$15="",Besatzung!$B$6,Besatzung!$D$15)&gt;=B52)))*((G52-IFERROR(H52,0))/IFERROR(SUMPRODUCT((Besatzung!$B$11:$B$22&lt;&gt;"")*(IF(Besatzung!$C$11:$C$22="",Besatzung!$B$5,Besatzung!$C$11:$C$22)&lt;=B52)*(IF(Besatzung!$D$11:$D$22="",Besatzung!$B$6,Besatzung!$D$11:$D$22)&gt;=B52)),1)+(Besatzung!$F$15="x")*IFERROR(H52,0)/IFERROR(SUMPRODUCT((Besatzung!$B$11:$B$22&lt;&gt;"")*(Besatzung!$F$11:$F$22="x")*(IF(Besatzung!$C$11:$C$22="",Besatzung!$B$5,Besatzung!$C$11:$C$22)&lt;=B52)*(IF(Besatzung!$D$11:$D$22="",Besatzung!$B$6,Besatzung!$D$11:$D$22)&gt;=B52)),1))),IF(I52="Individuell",((N52="x")*((G52-IFERROR(H52,0))/IFERROR(COUNTIF(J52:U52,"x"),1)+(Besatzung!$F$15="x")*IFERROR(H52,0)/IFERROR(SUMPRODUCT((J52:U52="x")*(Besatzung!$F$11:$F$22="x")),1))),(IF(COUNTIF(J52:U52,"x")=0,IF(Besatzung!$B$13&lt;&gt;"",1,0),(N52="x"))*(G52-IFERROR(H52,0))/IFERROR(IF(COUNTIF(J52:U52,"x")=0,COUNTA(Besatzung!$B$11:$B$22),COUNTIF(J52:U52,"x")),1)+IF(COUNTIF(J52:U52,"x")=0,(Besatzung!$F$15="x"),(N52="x")*(Besatzung!$F$15="x"))*IFERROR(H52,0)/IFERROR(IF(COUNTIF(J52:U52,"x")=0,SUMPRODUCT((Besatzung!$B$11:$B$22&lt;&gt;"")*(Besatzung!$F$11:$F$22="x")),SUMPRODUCT((J52:U52="x")*(Besatzung!$F$11:$F$22="x"))),1))))),0))))</f>
        <v/>
      </c>
      <c r="AA52" s="247">
        <f>IF(C52="Gutschrift","",IF(G52="","",IF(Besatzung!$B$15="","",IFERROR(IF(I52="Zeitanteilig",(Besatzung!$G$16*(G52-IFERROR(H52,0))+((Besatzung!$B$15&lt;&gt;"")*IF(B52="",1,(IF(Besatzung!$C$16="",Besatzung!$B$5,Besatzung!$C$16)&lt;=B52)*(IF(Besatzung!$D$16="",Besatzung!$B$6,Besatzung!$D$16)&gt;=B52)))*(Besatzung!$F$16="x")*IFERROR(H52,0)/IFERROR(SUMPRODUCT((Besatzung!$B$11:$B$22&lt;&gt;"")*(Besatzung!$F$11:$F$22="x")*(IF(Besatzung!$C$11:$C$22="",Besatzung!$B$5,Besatzung!$C$11:$C$22)&lt;=B52)*(IF(Besatzung!$D$11:$D$22="",Besatzung!$B$6,Besatzung!$D$11:$D$22)&gt;=B52)),1)),IF(I52="An Bord",(((Besatzung!$B$15&lt;&gt;"")*IF(B52="",1,(IF(Besatzung!$C$16="",Besatzung!$B$5,Besatzung!$C$16)&lt;=B52)*(IF(Besatzung!$D$16="",Besatzung!$B$6,Besatzung!$D$16)&gt;=B52)))*((G52-IFERROR(H52,0))/IFERROR(SUMPRODUCT((Besatzung!$B$11:$B$22&lt;&gt;"")*(IF(Besatzung!$C$11:$C$22="",Besatzung!$B$5,Besatzung!$C$11:$C$22)&lt;=B52)*(IF(Besatzung!$D$11:$D$22="",Besatzung!$B$6,Besatzung!$D$11:$D$22)&gt;=B52)),1)+(Besatzung!$F$16="x")*IFERROR(H52,0)/IFERROR(SUMPRODUCT((Besatzung!$B$11:$B$22&lt;&gt;"")*(Besatzung!$F$11:$F$22="x")*(IF(Besatzung!$C$11:$C$22="",Besatzung!$B$5,Besatzung!$C$11:$C$22)&lt;=B52)*(IF(Besatzung!$D$11:$D$22="",Besatzung!$B$6,Besatzung!$D$11:$D$22)&gt;=B52)),1))),IF(I52="Individuell",((O52="x")*((G52-IFERROR(H52,0))/IFERROR(COUNTIF(J52:U52,"x"),1)+(Besatzung!$F$16="x")*IFERROR(H52,0)/IFERROR(SUMPRODUCT((J52:U52="x")*(Besatzung!$F$11:$F$22="x")),1))),(IF(COUNTIF(J52:U52,"x")=0,IF(Besatzung!$B$15&lt;&gt;"",1,0),(O52="x"))*(G52-IFERROR(H52,0))/IFERROR(IF(COUNTIF(J52:U52,"x")=0,COUNTA(Besatzung!$B$11:$B$22),COUNTIF(J52:U52,"x")),1)+IF(COUNTIF(J52:U52,"x")=0,(Besatzung!$F$16="x"),(O52="x")*(Besatzung!$F$16="x"))*IFERROR(H52,0)/IFERROR(IF(COUNTIF(J52:U52,"x")=0,SUMPRODUCT((Besatzung!$B$11:$B$22&lt;&gt;"")*(Besatzung!$F$11:$F$22="x")),SUMPRODUCT((J52:U52="x")*(Besatzung!$F$11:$F$22="x"))),1))))),0))))</f>
        <v/>
      </c>
      <c r="AB52" s="247">
        <f>IF(C52="Gutschrift","",IF(G52="","",IF(Besatzung!$B$17="","",IFERROR(IF(I52="Zeitanteilig",(Besatzung!$G$17*(G52-IFERROR(H52,0))+((Besatzung!$B$17&lt;&gt;"")*IF(B52="",1,(IF(Besatzung!$C$17="",Besatzung!$B$5,Besatzung!$C$17)&lt;=B52)*(IF(Besatzung!$D$17="",Besatzung!$B$6,Besatzung!$D$17)&gt;=B52)))*(Besatzung!$F$17="x")*IFERROR(H52,0)/IFERROR(SUMPRODUCT((Besatzung!$B$11:$B$22&lt;&gt;"")*(Besatzung!$F$11:$F$22="x")*(IF(Besatzung!$C$11:$C$22="",Besatzung!$B$5,Besatzung!$C$11:$C$22)&lt;=B52)*(IF(Besatzung!$D$11:$D$22="",Besatzung!$B$6,Besatzung!$D$11:$D$22)&gt;=B52)),1)),IF(I52="An Bord",(((Besatzung!$B$17&lt;&gt;"")*IF(B52="",1,(IF(Besatzung!$C$17="",Besatzung!$B$5,Besatzung!$C$17)&lt;=B52)*(IF(Besatzung!$D$17="",Besatzung!$B$6,Besatzung!$D$17)&gt;=B52)))*((G52-IFERROR(H52,0))/IFERROR(SUMPRODUCT((Besatzung!$B$11:$B$22&lt;&gt;"")*(IF(Besatzung!$C$11:$C$22="",Besatzung!$B$5,Besatzung!$C$11:$C$22)&lt;=B52)*(IF(Besatzung!$D$11:$D$22="",Besatzung!$B$6,Besatzung!$D$11:$D$22)&gt;=B52)),1)+(Besatzung!$F$17="x")*IFERROR(H52,0)/IFERROR(SUMPRODUCT((Besatzung!$B$11:$B$22&lt;&gt;"")*(Besatzung!$F$11:$F$22="x")*(IF(Besatzung!$C$11:$C$22="",Besatzung!$B$5,Besatzung!$C$11:$C$22)&lt;=B52)*(IF(Besatzung!$D$11:$D$22="",Besatzung!$B$6,Besatzung!$D$11:$D$22)&gt;=B52)),1))),IF(I52="Individuell",((P52="x")*((G52-IFERROR(H52,0))/IFERROR(COUNTIF(J52:U52,"x"),1)+(Besatzung!$F$17="x")*IFERROR(H52,0)/IFERROR(SUMPRODUCT((J52:U52="x")*(Besatzung!$F$11:$F$22="x")),1))),(IF(COUNTIF(J52:U52,"x")=0,IF(Besatzung!$B$17&lt;&gt;"",1,0),(P52="x"))*(G52-IFERROR(H52,0))/IFERROR(IF(COUNTIF(J52:U52,"x")=0,COUNTA(Besatzung!$B$11:$B$22),COUNTIF(J52:U52,"x")),1)+IF(COUNTIF(J52:U52,"x")=0,(Besatzung!$F$17="x"),(P52="x")*(Besatzung!$F$17="x"))*IFERROR(H52,0)/IFERROR(IF(COUNTIF(J52:U52,"x")=0,SUMPRODUCT((Besatzung!$B$11:$B$22&lt;&gt;"")*(Besatzung!$F$11:$F$22="x")),SUMPRODUCT((J52:U52="x")*(Besatzung!$F$11:$F$22="x"))),1))))),0))))</f>
        <v/>
      </c>
      <c r="AC52" s="247">
        <f>IF(C52="Gutschrift","",IF(G52="","",IF(Besatzung!$B$18="","",IFERROR(IF(I52="Zeitanteilig",(Besatzung!$G$18*(G52-IFERROR(H52,0))+((Besatzung!$B$18&lt;&gt;"")*IF(B52="",1,(IF(Besatzung!$C$18="",Besatzung!$B$5,Besatzung!$C$18)&lt;=B52)*(IF(Besatzung!$D$18="",Besatzung!$B$6,Besatzung!$D$18)&gt;=B52)))*(Besatzung!$F$18="x")*IFERROR(H52,0)/IFERROR(SUMPRODUCT((Besatzung!$B$11:$B$22&lt;&gt;"")*(Besatzung!$F$11:$F$22="x")*(IF(Besatzung!$C$11:$C$22="",Besatzung!$B$5,Besatzung!$C$11:$C$22)&lt;=B52)*(IF(Besatzung!$D$11:$D$22="",Besatzung!$B$6,Besatzung!$D$11:$D$22)&gt;=B52)),1)),IF(I52="An Bord",(((Besatzung!$B$18&lt;&gt;"")*IF(B52="",1,(IF(Besatzung!$C$18="",Besatzung!$B$5,Besatzung!$C$18)&lt;=B52)*(IF(Besatzung!$D$18="",Besatzung!$B$6,Besatzung!$D$18)&gt;=B52)))*((G52-IFERROR(H52,0))/IFERROR(SUMPRODUCT((Besatzung!$B$11:$B$22&lt;&gt;"")*(IF(Besatzung!$C$11:$C$22="",Besatzung!$B$5,Besatzung!$C$11:$C$22)&lt;=B52)*(IF(Besatzung!$D$11:$D$22="",Besatzung!$B$6,Besatzung!$D$11:$D$22)&gt;=B52)),1)+(Besatzung!$F$18="x")*IFERROR(H52,0)/IFERROR(SUMPRODUCT((Besatzung!$B$11:$B$22&lt;&gt;"")*(Besatzung!$F$11:$F$22="x")*(IF(Besatzung!$C$11:$C$22="",Besatzung!$B$5,Besatzung!$C$11:$C$22)&lt;=B52)*(IF(Besatzung!$D$11:$D$22="",Besatzung!$B$6,Besatzung!$D$11:$D$22)&gt;=B52)),1))),IF(I52="Individuell",((Q52="x")*((G52-IFERROR(H52,0))/IFERROR(COUNTIF(J52:U52,"x"),1)+(Besatzung!$F$18="x")*IFERROR(H52,0)/IFERROR(SUMPRODUCT((J52:U52="x")*(Besatzung!$F$11:$F$22="x")),1))),(IF(COUNTIF(J52:U52,"x")=0,IF(Besatzung!$B$18&lt;&gt;"",1,0),(Q52="x"))*(G52-IFERROR(H52,0))/IFERROR(IF(COUNTIF(J52:U52,"x")=0,COUNTA(Besatzung!$B$11:$B$22),COUNTIF(J52:U52,"x")),1)+IF(COUNTIF(J52:U52,"x")=0,(Besatzung!$F$18="x"),(Q52="x")*(Besatzung!$F$18="x"))*IFERROR(H52,0)/IFERROR(IF(COUNTIF(J52:U52,"x")=0,SUMPRODUCT((Besatzung!$B$11:$B$22&lt;&gt;"")*(Besatzung!$F$11:$F$22="x")),SUMPRODUCT((J52:U52="x")*(Besatzung!$F$11:$F$22="x"))),1))))),0))))</f>
        <v/>
      </c>
      <c r="AD52" s="247">
        <f>IF(C52="Gutschrift","",IF(G52="","",IF(Besatzung!$B$19="","",IFERROR(IF(I52="Zeitanteilig",(Besatzung!$G$19*(G52-IFERROR(H52,0))+((Besatzung!$B$19&lt;&gt;"")*IF(B52="",1,(IF(Besatzung!$C$19="",Besatzung!$B$5,Besatzung!$C$19)&lt;=B52)*(IF(Besatzung!$D$19="",Besatzung!$B$6,Besatzung!$D$19)&gt;=B52)))*(Besatzung!$F$19="x")*IFERROR(H52,0)/IFERROR(SUMPRODUCT((Besatzung!$B$11:$B$22&lt;&gt;"")*(Besatzung!$F$11:$F$22="x")*(IF(Besatzung!$C$11:$C$22="",Besatzung!$B$5,Besatzung!$C$11:$C$22)&lt;=B52)*(IF(Besatzung!$D$11:$D$22="",Besatzung!$B$6,Besatzung!$D$11:$D$22)&gt;=B52)),1)),IF(I52="An Bord",(((Besatzung!$B$19&lt;&gt;"")*IF(B52="",1,(IF(Besatzung!$C$19="",Besatzung!$B$5,Besatzung!$C$19)&lt;=B52)*(IF(Besatzung!$D$19="",Besatzung!$B$6,Besatzung!$D$19)&gt;=B52)))*((G52-IFERROR(H52,0))/IFERROR(SUMPRODUCT((Besatzung!$B$11:$B$22&lt;&gt;"")*(IF(Besatzung!$C$11:$C$22="",Besatzung!$B$5,Besatzung!$C$11:$C$22)&lt;=B52)*(IF(Besatzung!$D$11:$D$22="",Besatzung!$B$6,Besatzung!$D$11:$D$22)&gt;=B52)),1)+(Besatzung!$F$19="x")*IFERROR(H52,0)/IFERROR(SUMPRODUCT((Besatzung!$B$11:$B$22&lt;&gt;"")*(Besatzung!$F$11:$F$22="x")*(IF(Besatzung!$C$11:$C$22="",Besatzung!$B$5,Besatzung!$C$11:$C$22)&lt;=B52)*(IF(Besatzung!$D$11:$D$22="",Besatzung!$B$6,Besatzung!$D$11:$D$22)&gt;=B52)),1))),IF(I52="Individuell",((R52="x")*((G52-IFERROR(H52,0))/IFERROR(COUNTIF(J52:U52,"x"),1)+(Besatzung!$F$19="x")*IFERROR(H52,0)/IFERROR(SUMPRODUCT((J52:U52="x")*(Besatzung!$F$11:$F$22="x")),1))),(IF(COUNTIF(J52:U52,"x")=0,IF(Besatzung!$B$19&lt;&gt;"",1,0),(R52="x"))*(G52-IFERROR(H52,0))/IFERROR(IF(COUNTIF(J52:U52,"x")=0,COUNTA(Besatzung!$B$11:$B$22),COUNTIF(J52:U52,"x")),1)+IF(COUNTIF(J52:U52,"x")=0,(Besatzung!$F$19="x"),(R52="x")*(Besatzung!$F$19="x"))*IFERROR(H52,0)/IFERROR(IF(COUNTIF(J52:U52,"x")=0,SUMPRODUCT((Besatzung!$B$11:$B$22&lt;&gt;"")*(Besatzung!$F$11:$F$22="x")),SUMPRODUCT((J52:U52="x")*(Besatzung!$F$11:$F$22="x"))),1))))),0))))</f>
        <v/>
      </c>
      <c r="AE52" s="247">
        <f>IF(C52="Gutschrift","",IF(G52="","",IF(Besatzung!$B$20="","",IFERROR(IF(I52="Zeitanteilig",(Besatzung!$G$20*(G52-IFERROR(H52,0))+((Besatzung!$B$20&lt;&gt;"")*IF(B52="",1,(IF(Besatzung!$C$20="",Besatzung!$B$5,Besatzung!$C$20)&lt;=B52)*(IF(Besatzung!$D$20="",Besatzung!$B$6,Besatzung!$D$20)&gt;=B52)))*(Besatzung!$F$20="x")*IFERROR(H52,0)/IFERROR(SUMPRODUCT((Besatzung!$B$11:$B$22&lt;&gt;"")*(Besatzung!$F$11:$F$22="x")*(IF(Besatzung!$C$11:$C$22="",Besatzung!$B$5,Besatzung!$C$11:$C$22)&lt;=B52)*(IF(Besatzung!$D$11:$D$22="",Besatzung!$B$6,Besatzung!$D$11:$D$22)&gt;=B52)),1)),IF(I52="An Bord",(((Besatzung!$B$20&lt;&gt;"")*IF(B52="",1,(IF(Besatzung!$C$20="",Besatzung!$B$5,Besatzung!$C$20)&lt;=B52)*(IF(Besatzung!$D$20="",Besatzung!$B$6,Besatzung!$D$20)&gt;=B52)))*((G52-IFERROR(H52,0))/IFERROR(SUMPRODUCT((Besatzung!$B$11:$B$22&lt;&gt;"")*(IF(Besatzung!$C$11:$C$22="",Besatzung!$B$5,Besatzung!$C$11:$C$22)&lt;=B52)*(IF(Besatzung!$D$11:$D$22="",Besatzung!$B$6,Besatzung!$D$11:$D$22)&gt;=B52)),1)+(Besatzung!$F$20="x")*IFERROR(H52,0)/IFERROR(SUMPRODUCT((Besatzung!$B$11:$B$22&lt;&gt;"")*(Besatzung!$F$11:$F$22="x")*(IF(Besatzung!$C$11:$C$22="",Besatzung!$B$5,Besatzung!$C$11:$C$22)&lt;=B52)*(IF(Besatzung!$D$11:$D$22="",Besatzung!$B$6,Besatzung!$D$11:$D$22)&gt;=B52)),1))),IF(I52="Individuell",((S52="x")*((G52-IFERROR(H52,0))/IFERROR(COUNTIF(J52:U52,"x"),1)+(Besatzung!$F$20="x")*IFERROR(H52,0)/IFERROR(SUMPRODUCT((J52:U52="x")*(Besatzung!$F$11:$F$22="x")),1))),(IF(COUNTIF(J52:U52,"x")=0,IF(Besatzung!$B$20&lt;&gt;"",1,0),(S52="x"))*(G52-IFERROR(H52,0))/IFERROR(IF(COUNTIF(J52:U52,"x")=0,COUNTA(Besatzung!$B$11:$B$22),COUNTIF(J52:U52,"x")),1)+IF(COUNTIF(J52:U52,"x")=0,(Besatzung!$F$20="x"),(S52="x")*(Besatzung!$F$20="x"))*IFERROR(H52,0)/IFERROR(IF(COUNTIF(J52:U52,"x")=0,SUMPRODUCT((Besatzung!$B$11:$B$22&lt;&gt;"")*(Besatzung!$F$11:$F$22="x")),SUMPRODUCT((J52:U52="x")*(Besatzung!$F$11:$F$22="x"))),1))))),0))))</f>
        <v/>
      </c>
      <c r="AF52" s="247">
        <f>IF(C52="Gutschrift","",IF(G52="","",IF(Besatzung!$B$21="","",IFERROR(IF(I52="Zeitanteilig",(Besatzung!$G$21*(G52-IFERROR(H52,0))+((Besatzung!$B$21&lt;&gt;"")*IF(B52="",1,(IF(Besatzung!$C$21="",Besatzung!$B$5,Besatzung!$C$21)&lt;=B52)*(IF(Besatzung!$D$21="",Besatzung!$B$6,Besatzung!$D$21)&gt;=B52)))*(Besatzung!$F$21="x")*IFERROR(H52,0)/IFERROR(SUMPRODUCT((Besatzung!$B$11:$B$22&lt;&gt;"")*(Besatzung!$F$11:$F$22="x")*(IF(Besatzung!$C$11:$C$22="",Besatzung!$B$5,Besatzung!$C$11:$C$22)&lt;=B52)*(IF(Besatzung!$D$11:$D$22="",Besatzung!$B$6,Besatzung!$D$11:$D$22)&gt;=B52)),1)),IF(I52="An Bord",(((Besatzung!$B$21&lt;&gt;"")*IF(B52="",1,(IF(Besatzung!$C$21="",Besatzung!$B$5,Besatzung!$C$21)&lt;=B52)*(IF(Besatzung!$D$21="",Besatzung!$B$6,Besatzung!$D$21)&gt;=B52)))*((G52-IFERROR(H52,0))/IFERROR(SUMPRODUCT((Besatzung!$B$11:$B$22&lt;&gt;"")*(IF(Besatzung!$C$11:$C$22="",Besatzung!$B$5,Besatzung!$C$11:$C$22)&lt;=B52)*(IF(Besatzung!$D$11:$D$22="",Besatzung!$B$6,Besatzung!$D$11:$D$22)&gt;=B52)),1)+(Besatzung!$F$21="x")*IFERROR(H52,0)/IFERROR(SUMPRODUCT((Besatzung!$B$11:$B$22&lt;&gt;"")*(Besatzung!$F$11:$F$22="x")*(IF(Besatzung!$C$11:$C$22="",Besatzung!$B$5,Besatzung!$C$11:$C$22)&lt;=B52)*(IF(Besatzung!$D$11:$D$22="",Besatzung!$B$6,Besatzung!$D$11:$D$22)&gt;=B52)),1))),IF(I52="Individuell",((T52="x")*((G52-IFERROR(H52,0))/IFERROR(COUNTIF(J52:U52,"x"),1)+(Besatzung!$F$21="x")*IFERROR(H52,0)/IFERROR(SUMPRODUCT((J52:U52="x")*(Besatzung!$F$11:$F$22="x")),1))),(IF(COUNTIF(J52:U52,"x")=0,IF(Besatzung!$B$21&lt;&gt;"",1,0),(T52="x"))*(G52-IFERROR(H52,0))/IFERROR(IF(COUNTIF(J52:U52,"x")=0,COUNTA(Besatzung!$B$11:$B$22),COUNTIF(J52:U52,"x")),1)+IF(COUNTIF(J52:U52,"x")=0,(Besatzung!$F$21="x"),(T52="x")*(Besatzung!$F$21="x"))*IFERROR(H52,0)/IFERROR(IF(COUNTIF(J52:U52,"x")=0,SUMPRODUCT((Besatzung!$B$11:$B$22&lt;&gt;"")*(Besatzung!$F$11:$F$22="x")),SUMPRODUCT((J52:U52="x")*(Besatzung!$F$11:$F$22="x"))),1))))),0))))</f>
        <v/>
      </c>
      <c r="AG52" s="247">
        <f>IF(C52="Gutschrift","",IF(G52="","",IF(Besatzung!$B$22="","",IFERROR(IF(I52="Zeitanteilig",(Besatzung!$G$22*(G52-IFERROR(H52,0))+((Besatzung!$B$22&lt;&gt;"")*IF(B52="",1,(IF(Besatzung!$C$22="",Besatzung!$B$5,Besatzung!$C$22)&lt;=B52)*(IF(Besatzung!$D$22="",Besatzung!$B$6,Besatzung!$D$22)&gt;=B52)))*(Besatzung!$F$22="x")*IFERROR(H52,0)/IFERROR(SUMPRODUCT((Besatzung!$B$11:$B$22&lt;&gt;"")*(Besatzung!$F$11:$F$22="x")*(IF(Besatzung!$C$11:$C$22="",Besatzung!$B$5,Besatzung!$C$11:$C$22)&lt;=B52)*(IF(Besatzung!$D$11:$D$22="",Besatzung!$B$6,Besatzung!$D$11:$D$22)&gt;=B52)),1)),IF(I52="An Bord",(((Besatzung!$B$22&lt;&gt;"")*IF(B52="",1,(IF(Besatzung!$C$22="",Besatzung!$B$5,Besatzung!$C$22)&lt;=B52)*(IF(Besatzung!$D$22="",Besatzung!$B$6,Besatzung!$D$22)&gt;=B52)))*((G52-IFERROR(H52,0))/IFERROR(SUMPRODUCT((Besatzung!$B$11:$B$22&lt;&gt;"")*(IF(Besatzung!$C$11:$C$22="",Besatzung!$B$5,Besatzung!$C$11:$C$22)&lt;=B52)*(IF(Besatzung!$D$11:$D$22="",Besatzung!$B$6,Besatzung!$D$11:$D$22)&gt;=B52)),1)+(Besatzung!$F$22="x")*IFERROR(H52,0)/IFERROR(SUMPRODUCT((Besatzung!$B$11:$B$22&lt;&gt;"")*(Besatzung!$F$11:$F$22="x")*(IF(Besatzung!$C$11:$C$22="",Besatzung!$B$5,Besatzung!$C$11:$C$22)&lt;=B52)*(IF(Besatzung!$D$11:$D$22="",Besatzung!$B$6,Besatzung!$D$11:$D$22)&gt;=B52)),1))),IF(I52="Individuell",((U52="x")*((G52-IFERROR(H52,0))/IFERROR(COUNTIF(J52:U52,"x"),1)+(Besatzung!$F$22="x")*IFERROR(H52,0)/IFERROR(SUMPRODUCT((J52:U52="x")*(Besatzung!$F$11:$F$22="x")),1))),(IF(COUNTIF(J52:U52,"x")=0,IF(Besatzung!$B$22&lt;&gt;"",1,0),(U52="x"))*(G52-IFERROR(H52,0))/IFERROR(IF(COUNTIF(J52:U52,"x")=0,COUNTA(Besatzung!$B$11:$B$22),COUNTIF(J52:U52,"x")),1)+IF(COUNTIF(J52:U52,"x")=0,(Besatzung!$F$22="x"),(U52="x")*(Besatzung!$F$22="x"))*IFERROR(H52,0)/IFERROR(IF(COUNTIF(J52:U52,"x")=0,SUMPRODUCT((Besatzung!$B$11:$B$22&lt;&gt;"")*(Besatzung!$F$11:$F$22="x")),SUMPRODUCT((J52:U52="x")*(Besatzung!$F$11:$F$22="x"))),1))))),0))))</f>
        <v/>
      </c>
      <c r="AH52" s="248" t="n"/>
      <c r="AI52" s="248" t="n"/>
    </row>
    <row r="53" ht="21.75" customHeight="1" s="154">
      <c r="A53" s="238">
        <f>IF(AND(D53="",C53=""),"",50)</f>
        <v/>
      </c>
      <c r="B53" s="206" t="n"/>
      <c r="C53" s="249" t="n"/>
      <c r="D53" s="250" t="n"/>
      <c r="E53" s="251" t="n"/>
      <c r="F53" s="252" t="n"/>
      <c r="G53" s="253" t="n"/>
      <c r="H53" s="254" t="n"/>
      <c r="I53" s="255" t="n"/>
      <c r="J53" s="256" t="n"/>
      <c r="K53" s="256" t="n"/>
      <c r="L53" s="256" t="n"/>
      <c r="M53" s="256" t="n"/>
      <c r="N53" s="256" t="n"/>
      <c r="O53" s="256" t="n"/>
      <c r="P53" s="256" t="n"/>
      <c r="Q53" s="256" t="n"/>
      <c r="R53" s="256" t="n"/>
      <c r="S53" s="256" t="n"/>
      <c r="T53" s="256" t="n"/>
      <c r="U53" s="256" t="n"/>
      <c r="V53" s="247">
        <f>IF(C53="Gutschrift","",IF(G53="","",IF(Besatzung!$B$11="","",IFERROR(IF(I53="Zeitanteilig",(Besatzung!$G$11*(G53-IFERROR(H53,0))+((Besatzung!$B$11&lt;&gt;"")*IF(B53="",1,(IF(Besatzung!$C$11="",Besatzung!$B$5,Besatzung!$C$11)&lt;=B53)*(IF(Besatzung!$D$11="",Besatzung!$B$6,Besatzung!$D$11)&gt;=B53)))*(Besatzung!$F$11="x")*IFERROR(H53,0)/IFERROR(SUMPRODUCT((Besatzung!$B$11:$B$22&lt;&gt;"")*(Besatzung!$F$11:$F$22="x")*(IF(Besatzung!$C$11:$C$22="",Besatzung!$B$5,Besatzung!$C$11:$C$22)&lt;=B53)*(IF(Besatzung!$D$11:$D$22="",Besatzung!$B$6,Besatzung!$D$11:$D$22)&gt;=B53)),1)),IF(I53="An Bord",(((Besatzung!$B$11&lt;&gt;"")*IF(B53="",1,(IF(Besatzung!$C$11="",Besatzung!$B$5,Besatzung!$C$11)&lt;=B53)*(IF(Besatzung!$D$11="",Besatzung!$B$6,Besatzung!$D$11)&gt;=B53)))*((G53-IFERROR(H53,0))/IFERROR(SUMPRODUCT((Besatzung!$B$11:$B$22&lt;&gt;"")*(IF(Besatzung!$C$11:$C$22="",Besatzung!$B$5,Besatzung!$C$11:$C$22)&lt;=B53)*(IF(Besatzung!$D$11:$D$22="",Besatzung!$B$6,Besatzung!$D$11:$D$22)&gt;=B53)),1)+(Besatzung!$F$11="x")*IFERROR(H53,0)/IFERROR(SUMPRODUCT((Besatzung!$B$11:$B$22&lt;&gt;"")*(Besatzung!$F$11:$F$22="x")*(IF(Besatzung!$C$11:$C$22="",Besatzung!$B$5,Besatzung!$C$11:$C$22)&lt;=B53)*(IF(Besatzung!$D$11:$D$22="",Besatzung!$B$6,Besatzung!$D$11:$D$22)&gt;=B53)),1))),IF(I53="Individuell",((J53="x")*((G53-IFERROR(H53,0))/IFERROR(COUNTIF(J53:U53,"x"),1)+(Besatzung!$F$11="x")*IFERROR(H53,0)/IFERROR(SUMPRODUCT((J53:U53="x")*(Besatzung!$F$11:$F$22="x")),1))),(IF(COUNTIF(J53:U53,"x")=0,IF(Besatzung!$B$11&lt;&gt;"",1,0),(J53="x"))*(G53-IFERROR(H53,0))/IFERROR(IF(COUNTIF(J53:U53,"x")=0,COUNTA(Besatzung!$B$11:$B$22),COUNTIF(J53:U53,"x")),1)+IF(COUNTIF(J53:U53,"x")=0,(Besatzung!$F$11="x"),(J53="x")*(Besatzung!$F$11="x"))*IFERROR(H53,0)/IFERROR(IF(COUNTIF(J53:U53,"x")=0,SUMPRODUCT((Besatzung!$B$11:$B$22&lt;&gt;"")*(Besatzung!$F$11:$F$22="x")),SUMPRODUCT((J53:U53="x")*(Besatzung!$F$11:$F$22="x"))),1))))),0))))</f>
        <v/>
      </c>
      <c r="W53" s="247">
        <f>IF(C53="Gutschrift","",IF(G53="","",IF(Besatzung!$B$12="","",IFERROR(IF(I53="Zeitanteilig",(Besatzung!$G$12*(G53-IFERROR(H53,0))+((Besatzung!$B$12&lt;&gt;"")*IF(B53="",1,(IF(Besatzung!$C$12="",Besatzung!$B$5,Besatzung!$C$12)&lt;=B53)*(IF(Besatzung!$D$12="",Besatzung!$B$6,Besatzung!$D$12)&gt;=B53)))*(Besatzung!$F$12="x")*IFERROR(H53,0)/IFERROR(SUMPRODUCT((Besatzung!$B$11:$B$22&lt;&gt;"")*(Besatzung!$F$11:$F$22="x")*(IF(Besatzung!$C$11:$C$22="",Besatzung!$B$5,Besatzung!$C$11:$C$22)&lt;=B53)*(IF(Besatzung!$D$11:$D$22="",Besatzung!$B$6,Besatzung!$D$11:$D$22)&gt;=B53)),1)),IF(I53="An Bord",(((Besatzung!$B$12&lt;&gt;"")*IF(B53="",1,(IF(Besatzung!$C$12="",Besatzung!$B$5,Besatzung!$C$12)&lt;=B53)*(IF(Besatzung!$D$12="",Besatzung!$B$6,Besatzung!$D$12)&gt;=B53)))*((G53-IFERROR(H53,0))/IFERROR(SUMPRODUCT((Besatzung!$B$11:$B$22&lt;&gt;"")*(IF(Besatzung!$C$11:$C$22="",Besatzung!$B$5,Besatzung!$C$11:$C$22)&lt;=B53)*(IF(Besatzung!$D$11:$D$22="",Besatzung!$B$6,Besatzung!$D$11:$D$22)&gt;=B53)),1)+(Besatzung!$F$12="x")*IFERROR(H53,0)/IFERROR(SUMPRODUCT((Besatzung!$B$11:$B$22&lt;&gt;"")*(Besatzung!$F$11:$F$22="x")*(IF(Besatzung!$C$11:$C$22="",Besatzung!$B$5,Besatzung!$C$11:$C$22)&lt;=B53)*(IF(Besatzung!$D$11:$D$22="",Besatzung!$B$6,Besatzung!$D$11:$D$22)&gt;=B53)),1))),IF(I53="Individuell",((K53="x")*((G53-IFERROR(H53,0))/IFERROR(COUNTIF(J53:U53,"x"),1)+(Besatzung!$F$12="x")*IFERROR(H53,0)/IFERROR(SUMPRODUCT((J53:U53="x")*(Besatzung!$F$11:$F$22="x")),1))),(IF(COUNTIF(J53:U53,"x")=0,IF(Besatzung!$B$12&lt;&gt;"",1,0),(K53="x"))*(G53-IFERROR(H53,0))/IFERROR(IF(COUNTIF(J53:U53,"x")=0,COUNTA(Besatzung!$B$11:$B$22),COUNTIF(J53:U53,"x")),1)+IF(COUNTIF(J53:U53,"x")=0,(Besatzung!$F$12="x"),(K53="x")*(Besatzung!$F$12="x"))*IFERROR(H53,0)/IFERROR(IF(COUNTIF(J53:U53,"x")=0,SUMPRODUCT((Besatzung!$B$11:$B$22&lt;&gt;"")*(Besatzung!$F$11:$F$22="x")),SUMPRODUCT((J53:U53="x")*(Besatzung!$F$11:$F$22="x"))),1))))),0))))</f>
        <v/>
      </c>
      <c r="X53" s="247">
        <f>IF(C53="Gutschrift","",IF(G53="","",IF(Besatzung!$B$13="","",IFERROR(IF(I53="Zeitanteilig",(Besatzung!$G$13*(G53-IFERROR(H53,0))+((Besatzung!$B$13&lt;&gt;"")*IF(B53="",1,(IF(Besatzung!$C$13="",Besatzung!$B$5,Besatzung!$C$13)&lt;=B53)*(IF(Besatzung!$D$13="",Besatzung!$B$6,Besatzung!$D$13)&gt;=B53)))*(Besatzung!$F$13="x")*IFERROR(H53,0)/IFERROR(SUMPRODUCT((Besatzung!$B$11:$B$22&lt;&gt;"")*(Besatzung!$F$11:$F$22="x")*(IF(Besatzung!$C$11:$C$22="",Besatzung!$B$5,Besatzung!$C$11:$C$22)&lt;=B53)*(IF(Besatzung!$D$11:$D$22="",Besatzung!$B$6,Besatzung!$D$11:$D$22)&gt;=B53)),1)),IF(I53="An Bord",(((Besatzung!$B$13&lt;&gt;"")*IF(B53="",1,(IF(Besatzung!$C$13="",Besatzung!$B$5,Besatzung!$C$13)&lt;=B53)*(IF(Besatzung!$D$13="",Besatzung!$B$6,Besatzung!$D$13)&gt;=B53)))*((G53-IFERROR(H53,0))/IFERROR(SUMPRODUCT((Besatzung!$B$11:$B$22&lt;&gt;"")*(IF(Besatzung!$C$11:$C$22="",Besatzung!$B$5,Besatzung!$C$11:$C$22)&lt;=B53)*(IF(Besatzung!$D$11:$D$22="",Besatzung!$B$6,Besatzung!$D$11:$D$22)&gt;=B53)),1)+(Besatzung!$F$13="x")*IFERROR(H53,0)/IFERROR(SUMPRODUCT((Besatzung!$B$11:$B$22&lt;&gt;"")*(Besatzung!$F$11:$F$22="x")*(IF(Besatzung!$C$11:$C$22="",Besatzung!$B$5,Besatzung!$C$11:$C$22)&lt;=B53)*(IF(Besatzung!$D$11:$D$22="",Besatzung!$B$6,Besatzung!$D$11:$D$22)&gt;=B53)),1))),IF(I53="Individuell",((K53="x")*((G53-IFERROR(H53,0))/IFERROR(COUNTIF(J53:U53,"x"),1)+(Besatzung!$F$13="x")*IFERROR(H53,0)/IFERROR(SUMPRODUCT((J53:U53="x")*(Besatzung!$F$11:$F$22="x")),1))),(IF(COUNTIF(J53:U53,"x")=0,IF(Besatzung!$B$13&lt;&gt;"",1,0),(K53="x"))*(G53-IFERROR(H53,0))/IFERROR(IF(COUNTIF(J53:U53,"x")=0,COUNTA(Besatzung!$B$11:$B$22),COUNTIF(J53:U53,"x")),1)+IF(COUNTIF(J53:U53,"x")=0,(Besatzung!$F$13="x"),(K53="x")*(Besatzung!$F$13="x"))*IFERROR(H53,0)/IFERROR(IF(COUNTIF(J53:U53,"x")=0,SUMPRODUCT((Besatzung!$B$11:$B$22&lt;&gt;"")*(Besatzung!$F$11:$F$22="x")),SUMPRODUCT((J53:U53="x")*(Besatzung!$F$11:$F$22="x"))),1))))),0))))</f>
        <v/>
      </c>
      <c r="Y53" s="247">
        <f>IF(C53="Gutschrift","",IF(G53="","",IF(Besatzung!$B$14="","",IFERROR(IF(I53="Zeitanteilig",(Besatzung!$G$14*(G53-IFERROR(H53,0))+((Besatzung!$B$14&lt;&gt;"")*IF(B53="",1,(IF(Besatzung!$C$14="",Besatzung!$B$5,Besatzung!$C$14)&lt;=B53)*(IF(Besatzung!$D$14="",Besatzung!$B$6,Besatzung!$D$14)&gt;=B53)))*(Besatzung!$F$14="x")*IFERROR(H53,0)/IFERROR(SUMPRODUCT((Besatzung!$B$11:$B$22&lt;&gt;"")*(Besatzung!$F$11:$F$22="x")*(IF(Besatzung!$C$11:$C$22="",Besatzung!$B$5,Besatzung!$C$11:$C$22)&lt;=B53)*(IF(Besatzung!$D$11:$D$22="",Besatzung!$B$6,Besatzung!$D$11:$D$22)&gt;=B53)),1)),IF(I53="An Bord",(((Besatzung!$B$14&lt;&gt;"")*IF(B53="",1,(IF(Besatzung!$C$14="",Besatzung!$B$5,Besatzung!$C$14)&lt;=B53)*(IF(Besatzung!$D$14="",Besatzung!$B$6,Besatzung!$D$14)&gt;=B53)))*((G53-IFERROR(H53,0))/IFERROR(SUMPRODUCT((Besatzung!$B$11:$B$22&lt;&gt;"")*(IF(Besatzung!$C$11:$C$22="",Besatzung!$B$5,Besatzung!$C$11:$C$22)&lt;=B53)*(IF(Besatzung!$D$11:$D$22="",Besatzung!$B$6,Besatzung!$D$11:$D$22)&gt;=B53)),1)+(Besatzung!$F$14="x")*IFERROR(H53,0)/IFERROR(SUMPRODUCT((Besatzung!$B$11:$B$22&lt;&gt;"")*(Besatzung!$F$11:$F$22="x")*(IF(Besatzung!$C$11:$C$22="",Besatzung!$B$5,Besatzung!$C$11:$C$22)&lt;=B53)*(IF(Besatzung!$D$11:$D$22="",Besatzung!$B$6,Besatzung!$D$11:$D$22)&gt;=B53)),1))),IF(I53="Individuell",((M53="x")*((G53-IFERROR(H53,0))/IFERROR(COUNTIF(J53:U53,"x"),1)+(Besatzung!$F$14="x")*IFERROR(H53,0)/IFERROR(SUMPRODUCT((J53:U53="x")*(Besatzung!$F$11:$F$22="x")),1))),(IF(COUNTIF(J53:U53,"x")=0,IF(Besatzung!$B$14&lt;&gt;"",1,0),(M53="x"))*(G53-IFERROR(H53,0))/IFERROR(IF(COUNTIF(J53:U53,"x")=0,COUNTA(Besatzung!$B$11:$B$22),COUNTIF(J53:U53,"x")),1)+IF(COUNTIF(J53:U53,"x")=0,(Besatzung!$F$14="x"),(M53="x")*(Besatzung!$F$14="x"))*IFERROR(H53,0)/IFERROR(IF(COUNTIF(J53:U53,"x")=0,SUMPRODUCT((Besatzung!$B$11:$B$22&lt;&gt;"")*(Besatzung!$F$11:$F$22="x")),SUMPRODUCT((J53:U53="x")*(Besatzung!$F$11:$F$22="x"))),1))))),0))))</f>
        <v/>
      </c>
      <c r="Z53" s="247">
        <f>IF(C53="Gutschrift","",IF(G53="","",IF(Besatzung!$B$13="","",IFERROR(IF(I53="Zeitanteilig",(Besatzung!$G$15*(G53-IFERROR(H53,0))+((Besatzung!$B$13&lt;&gt;"")*IF(B53="",1,(IF(Besatzung!$C$15="",Besatzung!$B$5,Besatzung!$C$15)&lt;=B53)*(IF(Besatzung!$D$15="",Besatzung!$B$6,Besatzung!$D$15)&gt;=B53)))*(Besatzung!$F$15="x")*IFERROR(H53,0)/IFERROR(SUMPRODUCT((Besatzung!$B$11:$B$22&lt;&gt;"")*(Besatzung!$F$11:$F$22="x")*(IF(Besatzung!$C$11:$C$22="",Besatzung!$B$5,Besatzung!$C$11:$C$22)&lt;=B53)*(IF(Besatzung!$D$11:$D$22="",Besatzung!$B$6,Besatzung!$D$11:$D$22)&gt;=B53)),1)),IF(I53="An Bord",(((Besatzung!$B$13&lt;&gt;"")*IF(B53="",1,(IF(Besatzung!$C$15="",Besatzung!$B$5,Besatzung!$C$15)&lt;=B53)*(IF(Besatzung!$D$15="",Besatzung!$B$6,Besatzung!$D$15)&gt;=B53)))*((G53-IFERROR(H53,0))/IFERROR(SUMPRODUCT((Besatzung!$B$11:$B$22&lt;&gt;"")*(IF(Besatzung!$C$11:$C$22="",Besatzung!$B$5,Besatzung!$C$11:$C$22)&lt;=B53)*(IF(Besatzung!$D$11:$D$22="",Besatzung!$B$6,Besatzung!$D$11:$D$22)&gt;=B53)),1)+(Besatzung!$F$15="x")*IFERROR(H53,0)/IFERROR(SUMPRODUCT((Besatzung!$B$11:$B$22&lt;&gt;"")*(Besatzung!$F$11:$F$22="x")*(IF(Besatzung!$C$11:$C$22="",Besatzung!$B$5,Besatzung!$C$11:$C$22)&lt;=B53)*(IF(Besatzung!$D$11:$D$22="",Besatzung!$B$6,Besatzung!$D$11:$D$22)&gt;=B53)),1))),IF(I53="Individuell",((N53="x")*((G53-IFERROR(H53,0))/IFERROR(COUNTIF(J53:U53,"x"),1)+(Besatzung!$F$15="x")*IFERROR(H53,0)/IFERROR(SUMPRODUCT((J53:U53="x")*(Besatzung!$F$11:$F$22="x")),1))),(IF(COUNTIF(J53:U53,"x")=0,IF(Besatzung!$B$13&lt;&gt;"",1,0),(N53="x"))*(G53-IFERROR(H53,0))/IFERROR(IF(COUNTIF(J53:U53,"x")=0,COUNTA(Besatzung!$B$11:$B$22),COUNTIF(J53:U53,"x")),1)+IF(COUNTIF(J53:U53,"x")=0,(Besatzung!$F$15="x"),(N53="x")*(Besatzung!$F$15="x"))*IFERROR(H53,0)/IFERROR(IF(COUNTIF(J53:U53,"x")=0,SUMPRODUCT((Besatzung!$B$11:$B$22&lt;&gt;"")*(Besatzung!$F$11:$F$22="x")),SUMPRODUCT((J53:U53="x")*(Besatzung!$F$11:$F$22="x"))),1))))),0))))</f>
        <v/>
      </c>
      <c r="AA53" s="247">
        <f>IF(C53="Gutschrift","",IF(G53="","",IF(Besatzung!$B$15="","",IFERROR(IF(I53="Zeitanteilig",(Besatzung!$G$16*(G53-IFERROR(H53,0))+((Besatzung!$B$15&lt;&gt;"")*IF(B53="",1,(IF(Besatzung!$C$16="",Besatzung!$B$5,Besatzung!$C$16)&lt;=B53)*(IF(Besatzung!$D$16="",Besatzung!$B$6,Besatzung!$D$16)&gt;=B53)))*(Besatzung!$F$16="x")*IFERROR(H53,0)/IFERROR(SUMPRODUCT((Besatzung!$B$11:$B$22&lt;&gt;"")*(Besatzung!$F$11:$F$22="x")*(IF(Besatzung!$C$11:$C$22="",Besatzung!$B$5,Besatzung!$C$11:$C$22)&lt;=B53)*(IF(Besatzung!$D$11:$D$22="",Besatzung!$B$6,Besatzung!$D$11:$D$22)&gt;=B53)),1)),IF(I53="An Bord",(((Besatzung!$B$15&lt;&gt;"")*IF(B53="",1,(IF(Besatzung!$C$16="",Besatzung!$B$5,Besatzung!$C$16)&lt;=B53)*(IF(Besatzung!$D$16="",Besatzung!$B$6,Besatzung!$D$16)&gt;=B53)))*((G53-IFERROR(H53,0))/IFERROR(SUMPRODUCT((Besatzung!$B$11:$B$22&lt;&gt;"")*(IF(Besatzung!$C$11:$C$22="",Besatzung!$B$5,Besatzung!$C$11:$C$22)&lt;=B53)*(IF(Besatzung!$D$11:$D$22="",Besatzung!$B$6,Besatzung!$D$11:$D$22)&gt;=B53)),1)+(Besatzung!$F$16="x")*IFERROR(H53,0)/IFERROR(SUMPRODUCT((Besatzung!$B$11:$B$22&lt;&gt;"")*(Besatzung!$F$11:$F$22="x")*(IF(Besatzung!$C$11:$C$22="",Besatzung!$B$5,Besatzung!$C$11:$C$22)&lt;=B53)*(IF(Besatzung!$D$11:$D$22="",Besatzung!$B$6,Besatzung!$D$11:$D$22)&gt;=B53)),1))),IF(I53="Individuell",((O53="x")*((G53-IFERROR(H53,0))/IFERROR(COUNTIF(J53:U53,"x"),1)+(Besatzung!$F$16="x")*IFERROR(H53,0)/IFERROR(SUMPRODUCT((J53:U53="x")*(Besatzung!$F$11:$F$22="x")),1))),(IF(COUNTIF(J53:U53,"x")=0,IF(Besatzung!$B$15&lt;&gt;"",1,0),(O53="x"))*(G53-IFERROR(H53,0))/IFERROR(IF(COUNTIF(J53:U53,"x")=0,COUNTA(Besatzung!$B$11:$B$22),COUNTIF(J53:U53,"x")),1)+IF(COUNTIF(J53:U53,"x")=0,(Besatzung!$F$16="x"),(O53="x")*(Besatzung!$F$16="x"))*IFERROR(H53,0)/IFERROR(IF(COUNTIF(J53:U53,"x")=0,SUMPRODUCT((Besatzung!$B$11:$B$22&lt;&gt;"")*(Besatzung!$F$11:$F$22="x")),SUMPRODUCT((J53:U53="x")*(Besatzung!$F$11:$F$22="x"))),1))))),0))))</f>
        <v/>
      </c>
      <c r="AB53" s="247">
        <f>IF(C53="Gutschrift","",IF(G53="","",IF(Besatzung!$B$17="","",IFERROR(IF(I53="Zeitanteilig",(Besatzung!$G$17*(G53-IFERROR(H53,0))+((Besatzung!$B$17&lt;&gt;"")*IF(B53="",1,(IF(Besatzung!$C$17="",Besatzung!$B$5,Besatzung!$C$17)&lt;=B53)*(IF(Besatzung!$D$17="",Besatzung!$B$6,Besatzung!$D$17)&gt;=B53)))*(Besatzung!$F$17="x")*IFERROR(H53,0)/IFERROR(SUMPRODUCT((Besatzung!$B$11:$B$22&lt;&gt;"")*(Besatzung!$F$11:$F$22="x")*(IF(Besatzung!$C$11:$C$22="",Besatzung!$B$5,Besatzung!$C$11:$C$22)&lt;=B53)*(IF(Besatzung!$D$11:$D$22="",Besatzung!$B$6,Besatzung!$D$11:$D$22)&gt;=B53)),1)),IF(I53="An Bord",(((Besatzung!$B$17&lt;&gt;"")*IF(B53="",1,(IF(Besatzung!$C$17="",Besatzung!$B$5,Besatzung!$C$17)&lt;=B53)*(IF(Besatzung!$D$17="",Besatzung!$B$6,Besatzung!$D$17)&gt;=B53)))*((G53-IFERROR(H53,0))/IFERROR(SUMPRODUCT((Besatzung!$B$11:$B$22&lt;&gt;"")*(IF(Besatzung!$C$11:$C$22="",Besatzung!$B$5,Besatzung!$C$11:$C$22)&lt;=B53)*(IF(Besatzung!$D$11:$D$22="",Besatzung!$B$6,Besatzung!$D$11:$D$22)&gt;=B53)),1)+(Besatzung!$F$17="x")*IFERROR(H53,0)/IFERROR(SUMPRODUCT((Besatzung!$B$11:$B$22&lt;&gt;"")*(Besatzung!$F$11:$F$22="x")*(IF(Besatzung!$C$11:$C$22="",Besatzung!$B$5,Besatzung!$C$11:$C$22)&lt;=B53)*(IF(Besatzung!$D$11:$D$22="",Besatzung!$B$6,Besatzung!$D$11:$D$22)&gt;=B53)),1))),IF(I53="Individuell",((P53="x")*((G53-IFERROR(H53,0))/IFERROR(COUNTIF(J53:U53,"x"),1)+(Besatzung!$F$17="x")*IFERROR(H53,0)/IFERROR(SUMPRODUCT((J53:U53="x")*(Besatzung!$F$11:$F$22="x")),1))),(IF(COUNTIF(J53:U53,"x")=0,IF(Besatzung!$B$17&lt;&gt;"",1,0),(P53="x"))*(G53-IFERROR(H53,0))/IFERROR(IF(COUNTIF(J53:U53,"x")=0,COUNTA(Besatzung!$B$11:$B$22),COUNTIF(J53:U53,"x")),1)+IF(COUNTIF(J53:U53,"x")=0,(Besatzung!$F$17="x"),(P53="x")*(Besatzung!$F$17="x"))*IFERROR(H53,0)/IFERROR(IF(COUNTIF(J53:U53,"x")=0,SUMPRODUCT((Besatzung!$B$11:$B$22&lt;&gt;"")*(Besatzung!$F$11:$F$22="x")),SUMPRODUCT((J53:U53="x")*(Besatzung!$F$11:$F$22="x"))),1))))),0))))</f>
        <v/>
      </c>
      <c r="AC53" s="247">
        <f>IF(C53="Gutschrift","",IF(G53="","",IF(Besatzung!$B$18="","",IFERROR(IF(I53="Zeitanteilig",(Besatzung!$G$18*(G53-IFERROR(H53,0))+((Besatzung!$B$18&lt;&gt;"")*IF(B53="",1,(IF(Besatzung!$C$18="",Besatzung!$B$5,Besatzung!$C$18)&lt;=B53)*(IF(Besatzung!$D$18="",Besatzung!$B$6,Besatzung!$D$18)&gt;=B53)))*(Besatzung!$F$18="x")*IFERROR(H53,0)/IFERROR(SUMPRODUCT((Besatzung!$B$11:$B$22&lt;&gt;"")*(Besatzung!$F$11:$F$22="x")*(IF(Besatzung!$C$11:$C$22="",Besatzung!$B$5,Besatzung!$C$11:$C$22)&lt;=B53)*(IF(Besatzung!$D$11:$D$22="",Besatzung!$B$6,Besatzung!$D$11:$D$22)&gt;=B53)),1)),IF(I53="An Bord",(((Besatzung!$B$18&lt;&gt;"")*IF(B53="",1,(IF(Besatzung!$C$18="",Besatzung!$B$5,Besatzung!$C$18)&lt;=B53)*(IF(Besatzung!$D$18="",Besatzung!$B$6,Besatzung!$D$18)&gt;=B53)))*((G53-IFERROR(H53,0))/IFERROR(SUMPRODUCT((Besatzung!$B$11:$B$22&lt;&gt;"")*(IF(Besatzung!$C$11:$C$22="",Besatzung!$B$5,Besatzung!$C$11:$C$22)&lt;=B53)*(IF(Besatzung!$D$11:$D$22="",Besatzung!$B$6,Besatzung!$D$11:$D$22)&gt;=B53)),1)+(Besatzung!$F$18="x")*IFERROR(H53,0)/IFERROR(SUMPRODUCT((Besatzung!$B$11:$B$22&lt;&gt;"")*(Besatzung!$F$11:$F$22="x")*(IF(Besatzung!$C$11:$C$22="",Besatzung!$B$5,Besatzung!$C$11:$C$22)&lt;=B53)*(IF(Besatzung!$D$11:$D$22="",Besatzung!$B$6,Besatzung!$D$11:$D$22)&gt;=B53)),1))),IF(I53="Individuell",((Q53="x")*((G53-IFERROR(H53,0))/IFERROR(COUNTIF(J53:U53,"x"),1)+(Besatzung!$F$18="x")*IFERROR(H53,0)/IFERROR(SUMPRODUCT((J53:U53="x")*(Besatzung!$F$11:$F$22="x")),1))),(IF(COUNTIF(J53:U53,"x")=0,IF(Besatzung!$B$18&lt;&gt;"",1,0),(Q53="x"))*(G53-IFERROR(H53,0))/IFERROR(IF(COUNTIF(J53:U53,"x")=0,COUNTA(Besatzung!$B$11:$B$22),COUNTIF(J53:U53,"x")),1)+IF(COUNTIF(J53:U53,"x")=0,(Besatzung!$F$18="x"),(Q53="x")*(Besatzung!$F$18="x"))*IFERROR(H53,0)/IFERROR(IF(COUNTIF(J53:U53,"x")=0,SUMPRODUCT((Besatzung!$B$11:$B$22&lt;&gt;"")*(Besatzung!$F$11:$F$22="x")),SUMPRODUCT((J53:U53="x")*(Besatzung!$F$11:$F$22="x"))),1))))),0))))</f>
        <v/>
      </c>
      <c r="AD53" s="247">
        <f>IF(C53="Gutschrift","",IF(G53="","",IF(Besatzung!$B$19="","",IFERROR(IF(I53="Zeitanteilig",(Besatzung!$G$19*(G53-IFERROR(H53,0))+((Besatzung!$B$19&lt;&gt;"")*IF(B53="",1,(IF(Besatzung!$C$19="",Besatzung!$B$5,Besatzung!$C$19)&lt;=B53)*(IF(Besatzung!$D$19="",Besatzung!$B$6,Besatzung!$D$19)&gt;=B53)))*(Besatzung!$F$19="x")*IFERROR(H53,0)/IFERROR(SUMPRODUCT((Besatzung!$B$11:$B$22&lt;&gt;"")*(Besatzung!$F$11:$F$22="x")*(IF(Besatzung!$C$11:$C$22="",Besatzung!$B$5,Besatzung!$C$11:$C$22)&lt;=B53)*(IF(Besatzung!$D$11:$D$22="",Besatzung!$B$6,Besatzung!$D$11:$D$22)&gt;=B53)),1)),IF(I53="An Bord",(((Besatzung!$B$19&lt;&gt;"")*IF(B53="",1,(IF(Besatzung!$C$19="",Besatzung!$B$5,Besatzung!$C$19)&lt;=B53)*(IF(Besatzung!$D$19="",Besatzung!$B$6,Besatzung!$D$19)&gt;=B53)))*((G53-IFERROR(H53,0))/IFERROR(SUMPRODUCT((Besatzung!$B$11:$B$22&lt;&gt;"")*(IF(Besatzung!$C$11:$C$22="",Besatzung!$B$5,Besatzung!$C$11:$C$22)&lt;=B53)*(IF(Besatzung!$D$11:$D$22="",Besatzung!$B$6,Besatzung!$D$11:$D$22)&gt;=B53)),1)+(Besatzung!$F$19="x")*IFERROR(H53,0)/IFERROR(SUMPRODUCT((Besatzung!$B$11:$B$22&lt;&gt;"")*(Besatzung!$F$11:$F$22="x")*(IF(Besatzung!$C$11:$C$22="",Besatzung!$B$5,Besatzung!$C$11:$C$22)&lt;=B53)*(IF(Besatzung!$D$11:$D$22="",Besatzung!$B$6,Besatzung!$D$11:$D$22)&gt;=B53)),1))),IF(I53="Individuell",((R53="x")*((G53-IFERROR(H53,0))/IFERROR(COUNTIF(J53:U53,"x"),1)+(Besatzung!$F$19="x")*IFERROR(H53,0)/IFERROR(SUMPRODUCT((J53:U53="x")*(Besatzung!$F$11:$F$22="x")),1))),(IF(COUNTIF(J53:U53,"x")=0,IF(Besatzung!$B$19&lt;&gt;"",1,0),(R53="x"))*(G53-IFERROR(H53,0))/IFERROR(IF(COUNTIF(J53:U53,"x")=0,COUNTA(Besatzung!$B$11:$B$22),COUNTIF(J53:U53,"x")),1)+IF(COUNTIF(J53:U53,"x")=0,(Besatzung!$F$19="x"),(R53="x")*(Besatzung!$F$19="x"))*IFERROR(H53,0)/IFERROR(IF(COUNTIF(J53:U53,"x")=0,SUMPRODUCT((Besatzung!$B$11:$B$22&lt;&gt;"")*(Besatzung!$F$11:$F$22="x")),SUMPRODUCT((J53:U53="x")*(Besatzung!$F$11:$F$22="x"))),1))))),0))))</f>
        <v/>
      </c>
      <c r="AE53" s="247">
        <f>IF(C53="Gutschrift","",IF(G53="","",IF(Besatzung!$B$20="","",IFERROR(IF(I53="Zeitanteilig",(Besatzung!$G$20*(G53-IFERROR(H53,0))+((Besatzung!$B$20&lt;&gt;"")*IF(B53="",1,(IF(Besatzung!$C$20="",Besatzung!$B$5,Besatzung!$C$20)&lt;=B53)*(IF(Besatzung!$D$20="",Besatzung!$B$6,Besatzung!$D$20)&gt;=B53)))*(Besatzung!$F$20="x")*IFERROR(H53,0)/IFERROR(SUMPRODUCT((Besatzung!$B$11:$B$22&lt;&gt;"")*(Besatzung!$F$11:$F$22="x")*(IF(Besatzung!$C$11:$C$22="",Besatzung!$B$5,Besatzung!$C$11:$C$22)&lt;=B53)*(IF(Besatzung!$D$11:$D$22="",Besatzung!$B$6,Besatzung!$D$11:$D$22)&gt;=B53)),1)),IF(I53="An Bord",(((Besatzung!$B$20&lt;&gt;"")*IF(B53="",1,(IF(Besatzung!$C$20="",Besatzung!$B$5,Besatzung!$C$20)&lt;=B53)*(IF(Besatzung!$D$20="",Besatzung!$B$6,Besatzung!$D$20)&gt;=B53)))*((G53-IFERROR(H53,0))/IFERROR(SUMPRODUCT((Besatzung!$B$11:$B$22&lt;&gt;"")*(IF(Besatzung!$C$11:$C$22="",Besatzung!$B$5,Besatzung!$C$11:$C$22)&lt;=B53)*(IF(Besatzung!$D$11:$D$22="",Besatzung!$B$6,Besatzung!$D$11:$D$22)&gt;=B53)),1)+(Besatzung!$F$20="x")*IFERROR(H53,0)/IFERROR(SUMPRODUCT((Besatzung!$B$11:$B$22&lt;&gt;"")*(Besatzung!$F$11:$F$22="x")*(IF(Besatzung!$C$11:$C$22="",Besatzung!$B$5,Besatzung!$C$11:$C$22)&lt;=B53)*(IF(Besatzung!$D$11:$D$22="",Besatzung!$B$6,Besatzung!$D$11:$D$22)&gt;=B53)),1))),IF(I53="Individuell",((S53="x")*((G53-IFERROR(H53,0))/IFERROR(COUNTIF(J53:U53,"x"),1)+(Besatzung!$F$20="x")*IFERROR(H53,0)/IFERROR(SUMPRODUCT((J53:U53="x")*(Besatzung!$F$11:$F$22="x")),1))),(IF(COUNTIF(J53:U53,"x")=0,IF(Besatzung!$B$20&lt;&gt;"",1,0),(S53="x"))*(G53-IFERROR(H53,0))/IFERROR(IF(COUNTIF(J53:U53,"x")=0,COUNTA(Besatzung!$B$11:$B$22),COUNTIF(J53:U53,"x")),1)+IF(COUNTIF(J53:U53,"x")=0,(Besatzung!$F$20="x"),(S53="x")*(Besatzung!$F$20="x"))*IFERROR(H53,0)/IFERROR(IF(COUNTIF(J53:U53,"x")=0,SUMPRODUCT((Besatzung!$B$11:$B$22&lt;&gt;"")*(Besatzung!$F$11:$F$22="x")),SUMPRODUCT((J53:U53="x")*(Besatzung!$F$11:$F$22="x"))),1))))),0))))</f>
        <v/>
      </c>
      <c r="AF53" s="247">
        <f>IF(C53="Gutschrift","",IF(G53="","",IF(Besatzung!$B$21="","",IFERROR(IF(I53="Zeitanteilig",(Besatzung!$G$21*(G53-IFERROR(H53,0))+((Besatzung!$B$21&lt;&gt;"")*IF(B53="",1,(IF(Besatzung!$C$21="",Besatzung!$B$5,Besatzung!$C$21)&lt;=B53)*(IF(Besatzung!$D$21="",Besatzung!$B$6,Besatzung!$D$21)&gt;=B53)))*(Besatzung!$F$21="x")*IFERROR(H53,0)/IFERROR(SUMPRODUCT((Besatzung!$B$11:$B$22&lt;&gt;"")*(Besatzung!$F$11:$F$22="x")*(IF(Besatzung!$C$11:$C$22="",Besatzung!$B$5,Besatzung!$C$11:$C$22)&lt;=B53)*(IF(Besatzung!$D$11:$D$22="",Besatzung!$B$6,Besatzung!$D$11:$D$22)&gt;=B53)),1)),IF(I53="An Bord",(((Besatzung!$B$21&lt;&gt;"")*IF(B53="",1,(IF(Besatzung!$C$21="",Besatzung!$B$5,Besatzung!$C$21)&lt;=B53)*(IF(Besatzung!$D$21="",Besatzung!$B$6,Besatzung!$D$21)&gt;=B53)))*((G53-IFERROR(H53,0))/IFERROR(SUMPRODUCT((Besatzung!$B$11:$B$22&lt;&gt;"")*(IF(Besatzung!$C$11:$C$22="",Besatzung!$B$5,Besatzung!$C$11:$C$22)&lt;=B53)*(IF(Besatzung!$D$11:$D$22="",Besatzung!$B$6,Besatzung!$D$11:$D$22)&gt;=B53)),1)+(Besatzung!$F$21="x")*IFERROR(H53,0)/IFERROR(SUMPRODUCT((Besatzung!$B$11:$B$22&lt;&gt;"")*(Besatzung!$F$11:$F$22="x")*(IF(Besatzung!$C$11:$C$22="",Besatzung!$B$5,Besatzung!$C$11:$C$22)&lt;=B53)*(IF(Besatzung!$D$11:$D$22="",Besatzung!$B$6,Besatzung!$D$11:$D$22)&gt;=B53)),1))),IF(I53="Individuell",((T53="x")*((G53-IFERROR(H53,0))/IFERROR(COUNTIF(J53:U53,"x"),1)+(Besatzung!$F$21="x")*IFERROR(H53,0)/IFERROR(SUMPRODUCT((J53:U53="x")*(Besatzung!$F$11:$F$22="x")),1))),(IF(COUNTIF(J53:U53,"x")=0,IF(Besatzung!$B$21&lt;&gt;"",1,0),(T53="x"))*(G53-IFERROR(H53,0))/IFERROR(IF(COUNTIF(J53:U53,"x")=0,COUNTA(Besatzung!$B$11:$B$22),COUNTIF(J53:U53,"x")),1)+IF(COUNTIF(J53:U53,"x")=0,(Besatzung!$F$21="x"),(T53="x")*(Besatzung!$F$21="x"))*IFERROR(H53,0)/IFERROR(IF(COUNTIF(J53:U53,"x")=0,SUMPRODUCT((Besatzung!$B$11:$B$22&lt;&gt;"")*(Besatzung!$F$11:$F$22="x")),SUMPRODUCT((J53:U53="x")*(Besatzung!$F$11:$F$22="x"))),1))))),0))))</f>
        <v/>
      </c>
      <c r="AG53" s="247">
        <f>IF(C53="Gutschrift","",IF(G53="","",IF(Besatzung!$B$22="","",IFERROR(IF(I53="Zeitanteilig",(Besatzung!$G$22*(G53-IFERROR(H53,0))+((Besatzung!$B$22&lt;&gt;"")*IF(B53="",1,(IF(Besatzung!$C$22="",Besatzung!$B$5,Besatzung!$C$22)&lt;=B53)*(IF(Besatzung!$D$22="",Besatzung!$B$6,Besatzung!$D$22)&gt;=B53)))*(Besatzung!$F$22="x")*IFERROR(H53,0)/IFERROR(SUMPRODUCT((Besatzung!$B$11:$B$22&lt;&gt;"")*(Besatzung!$F$11:$F$22="x")*(IF(Besatzung!$C$11:$C$22="",Besatzung!$B$5,Besatzung!$C$11:$C$22)&lt;=B53)*(IF(Besatzung!$D$11:$D$22="",Besatzung!$B$6,Besatzung!$D$11:$D$22)&gt;=B53)),1)),IF(I53="An Bord",(((Besatzung!$B$22&lt;&gt;"")*IF(B53="",1,(IF(Besatzung!$C$22="",Besatzung!$B$5,Besatzung!$C$22)&lt;=B53)*(IF(Besatzung!$D$22="",Besatzung!$B$6,Besatzung!$D$22)&gt;=B53)))*((G53-IFERROR(H53,0))/IFERROR(SUMPRODUCT((Besatzung!$B$11:$B$22&lt;&gt;"")*(IF(Besatzung!$C$11:$C$22="",Besatzung!$B$5,Besatzung!$C$11:$C$22)&lt;=B53)*(IF(Besatzung!$D$11:$D$22="",Besatzung!$B$6,Besatzung!$D$11:$D$22)&gt;=B53)),1)+(Besatzung!$F$22="x")*IFERROR(H53,0)/IFERROR(SUMPRODUCT((Besatzung!$B$11:$B$22&lt;&gt;"")*(Besatzung!$F$11:$F$22="x")*(IF(Besatzung!$C$11:$C$22="",Besatzung!$B$5,Besatzung!$C$11:$C$22)&lt;=B53)*(IF(Besatzung!$D$11:$D$22="",Besatzung!$B$6,Besatzung!$D$11:$D$22)&gt;=B53)),1))),IF(I53="Individuell",((U53="x")*((G53-IFERROR(H53,0))/IFERROR(COUNTIF(J53:U53,"x"),1)+(Besatzung!$F$22="x")*IFERROR(H53,0)/IFERROR(SUMPRODUCT((J53:U53="x")*(Besatzung!$F$11:$F$22="x")),1))),(IF(COUNTIF(J53:U53,"x")=0,IF(Besatzung!$B$22&lt;&gt;"",1,0),(U53="x"))*(G53-IFERROR(H53,0))/IFERROR(IF(COUNTIF(J53:U53,"x")=0,COUNTA(Besatzung!$B$11:$B$22),COUNTIF(J53:U53,"x")),1)+IF(COUNTIF(J53:U53,"x")=0,(Besatzung!$F$22="x"),(U53="x")*(Besatzung!$F$22="x"))*IFERROR(H53,0)/IFERROR(IF(COUNTIF(J53:U53,"x")=0,SUMPRODUCT((Besatzung!$B$11:$B$22&lt;&gt;"")*(Besatzung!$F$11:$F$22="x")),SUMPRODUCT((J53:U53="x")*(Besatzung!$F$11:$F$22="x"))),1))))),0))))</f>
        <v/>
      </c>
      <c r="AH53" s="248" t="n"/>
      <c r="AI53" s="248" t="n"/>
    </row>
    <row r="54" ht="21.75" customHeight="1" s="154">
      <c r="A54" s="238">
        <f>IF(AND(D54="",C54=""),"",51)</f>
        <v/>
      </c>
      <c r="B54" s="199" t="n"/>
      <c r="C54" s="239" t="n"/>
      <c r="D54" s="240" t="n"/>
      <c r="E54" s="241" t="n"/>
      <c r="F54" s="242" t="n"/>
      <c r="G54" s="243" t="n"/>
      <c r="H54" s="244" t="n"/>
      <c r="I54" s="245" t="n"/>
      <c r="J54" s="246" t="n"/>
      <c r="K54" s="246" t="n"/>
      <c r="L54" s="246" t="n"/>
      <c r="M54" s="246" t="n"/>
      <c r="N54" s="246" t="n"/>
      <c r="O54" s="246" t="n"/>
      <c r="P54" s="246" t="n"/>
      <c r="Q54" s="246" t="n"/>
      <c r="R54" s="246" t="n"/>
      <c r="S54" s="246" t="n"/>
      <c r="T54" s="246" t="n"/>
      <c r="U54" s="246" t="n"/>
      <c r="V54" s="247">
        <f>IF(C54="Gutschrift","",IF(G54="","",IF(Besatzung!$B$11="","",IFERROR(IF(I54="Zeitanteilig",(Besatzung!$G$11*(G54-IFERROR(H54,0))+((Besatzung!$B$11&lt;&gt;"")*IF(B54="",1,(IF(Besatzung!$C$11="",Besatzung!$B$5,Besatzung!$C$11)&lt;=B54)*(IF(Besatzung!$D$11="",Besatzung!$B$6,Besatzung!$D$11)&gt;=B54)))*(Besatzung!$F$11="x")*IFERROR(H54,0)/IFERROR(SUMPRODUCT((Besatzung!$B$11:$B$22&lt;&gt;"")*(Besatzung!$F$11:$F$22="x")*(IF(Besatzung!$C$11:$C$22="",Besatzung!$B$5,Besatzung!$C$11:$C$22)&lt;=B54)*(IF(Besatzung!$D$11:$D$22="",Besatzung!$B$6,Besatzung!$D$11:$D$22)&gt;=B54)),1)),IF(I54="An Bord",(((Besatzung!$B$11&lt;&gt;"")*IF(B54="",1,(IF(Besatzung!$C$11="",Besatzung!$B$5,Besatzung!$C$11)&lt;=B54)*(IF(Besatzung!$D$11="",Besatzung!$B$6,Besatzung!$D$11)&gt;=B54)))*((G54-IFERROR(H54,0))/IFERROR(SUMPRODUCT((Besatzung!$B$11:$B$22&lt;&gt;"")*(IF(Besatzung!$C$11:$C$22="",Besatzung!$B$5,Besatzung!$C$11:$C$22)&lt;=B54)*(IF(Besatzung!$D$11:$D$22="",Besatzung!$B$6,Besatzung!$D$11:$D$22)&gt;=B54)),1)+(Besatzung!$F$11="x")*IFERROR(H54,0)/IFERROR(SUMPRODUCT((Besatzung!$B$11:$B$22&lt;&gt;"")*(Besatzung!$F$11:$F$22="x")*(IF(Besatzung!$C$11:$C$22="",Besatzung!$B$5,Besatzung!$C$11:$C$22)&lt;=B54)*(IF(Besatzung!$D$11:$D$22="",Besatzung!$B$6,Besatzung!$D$11:$D$22)&gt;=B54)),1))),IF(I54="Individuell",((J54="x")*((G54-IFERROR(H54,0))/IFERROR(COUNTIF(J54:U54,"x"),1)+(Besatzung!$F$11="x")*IFERROR(H54,0)/IFERROR(SUMPRODUCT((J54:U54="x")*(Besatzung!$F$11:$F$22="x")),1))),(IF(COUNTIF(J54:U54,"x")=0,IF(Besatzung!$B$11&lt;&gt;"",1,0),(J54="x"))*(G54-IFERROR(H54,0))/IFERROR(IF(COUNTIF(J54:U54,"x")=0,COUNTA(Besatzung!$B$11:$B$22),COUNTIF(J54:U54,"x")),1)+IF(COUNTIF(J54:U54,"x")=0,(Besatzung!$F$11="x"),(J54="x")*(Besatzung!$F$11="x"))*IFERROR(H54,0)/IFERROR(IF(COUNTIF(J54:U54,"x")=0,SUMPRODUCT((Besatzung!$B$11:$B$22&lt;&gt;"")*(Besatzung!$F$11:$F$22="x")),SUMPRODUCT((J54:U54="x")*(Besatzung!$F$11:$F$22="x"))),1))))),0))))</f>
        <v/>
      </c>
      <c r="W54" s="247">
        <f>IF(C54="Gutschrift","",IF(G54="","",IF(Besatzung!$B$12="","",IFERROR(IF(I54="Zeitanteilig",(Besatzung!$G$12*(G54-IFERROR(H54,0))+((Besatzung!$B$12&lt;&gt;"")*IF(B54="",1,(IF(Besatzung!$C$12="",Besatzung!$B$5,Besatzung!$C$12)&lt;=B54)*(IF(Besatzung!$D$12="",Besatzung!$B$6,Besatzung!$D$12)&gt;=B54)))*(Besatzung!$F$12="x")*IFERROR(H54,0)/IFERROR(SUMPRODUCT((Besatzung!$B$11:$B$22&lt;&gt;"")*(Besatzung!$F$11:$F$22="x")*(IF(Besatzung!$C$11:$C$22="",Besatzung!$B$5,Besatzung!$C$11:$C$22)&lt;=B54)*(IF(Besatzung!$D$11:$D$22="",Besatzung!$B$6,Besatzung!$D$11:$D$22)&gt;=B54)),1)),IF(I54="An Bord",(((Besatzung!$B$12&lt;&gt;"")*IF(B54="",1,(IF(Besatzung!$C$12="",Besatzung!$B$5,Besatzung!$C$12)&lt;=B54)*(IF(Besatzung!$D$12="",Besatzung!$B$6,Besatzung!$D$12)&gt;=B54)))*((G54-IFERROR(H54,0))/IFERROR(SUMPRODUCT((Besatzung!$B$11:$B$22&lt;&gt;"")*(IF(Besatzung!$C$11:$C$22="",Besatzung!$B$5,Besatzung!$C$11:$C$22)&lt;=B54)*(IF(Besatzung!$D$11:$D$22="",Besatzung!$B$6,Besatzung!$D$11:$D$22)&gt;=B54)),1)+(Besatzung!$F$12="x")*IFERROR(H54,0)/IFERROR(SUMPRODUCT((Besatzung!$B$11:$B$22&lt;&gt;"")*(Besatzung!$F$11:$F$22="x")*(IF(Besatzung!$C$11:$C$22="",Besatzung!$B$5,Besatzung!$C$11:$C$22)&lt;=B54)*(IF(Besatzung!$D$11:$D$22="",Besatzung!$B$6,Besatzung!$D$11:$D$22)&gt;=B54)),1))),IF(I54="Individuell",((K54="x")*((G54-IFERROR(H54,0))/IFERROR(COUNTIF(J54:U54,"x"),1)+(Besatzung!$F$12="x")*IFERROR(H54,0)/IFERROR(SUMPRODUCT((J54:U54="x")*(Besatzung!$F$11:$F$22="x")),1))),(IF(COUNTIF(J54:U54,"x")=0,IF(Besatzung!$B$12&lt;&gt;"",1,0),(K54="x"))*(G54-IFERROR(H54,0))/IFERROR(IF(COUNTIF(J54:U54,"x")=0,COUNTA(Besatzung!$B$11:$B$22),COUNTIF(J54:U54,"x")),1)+IF(COUNTIF(J54:U54,"x")=0,(Besatzung!$F$12="x"),(K54="x")*(Besatzung!$F$12="x"))*IFERROR(H54,0)/IFERROR(IF(COUNTIF(J54:U54,"x")=0,SUMPRODUCT((Besatzung!$B$11:$B$22&lt;&gt;"")*(Besatzung!$F$11:$F$22="x")),SUMPRODUCT((J54:U54="x")*(Besatzung!$F$11:$F$22="x"))),1))))),0))))</f>
        <v/>
      </c>
      <c r="X54" s="247">
        <f>IF(C54="Gutschrift","",IF(G54="","",IF(Besatzung!$B$13="","",IFERROR(IF(I54="Zeitanteilig",(Besatzung!$G$13*(G54-IFERROR(H54,0))+((Besatzung!$B$13&lt;&gt;"")*IF(B54="",1,(IF(Besatzung!$C$13="",Besatzung!$B$5,Besatzung!$C$13)&lt;=B54)*(IF(Besatzung!$D$13="",Besatzung!$B$6,Besatzung!$D$13)&gt;=B54)))*(Besatzung!$F$13="x")*IFERROR(H54,0)/IFERROR(SUMPRODUCT((Besatzung!$B$11:$B$22&lt;&gt;"")*(Besatzung!$F$11:$F$22="x")*(IF(Besatzung!$C$11:$C$22="",Besatzung!$B$5,Besatzung!$C$11:$C$22)&lt;=B54)*(IF(Besatzung!$D$11:$D$22="",Besatzung!$B$6,Besatzung!$D$11:$D$22)&gt;=B54)),1)),IF(I54="An Bord",(((Besatzung!$B$13&lt;&gt;"")*IF(B54="",1,(IF(Besatzung!$C$13="",Besatzung!$B$5,Besatzung!$C$13)&lt;=B54)*(IF(Besatzung!$D$13="",Besatzung!$B$6,Besatzung!$D$13)&gt;=B54)))*((G54-IFERROR(H54,0))/IFERROR(SUMPRODUCT((Besatzung!$B$11:$B$22&lt;&gt;"")*(IF(Besatzung!$C$11:$C$22="",Besatzung!$B$5,Besatzung!$C$11:$C$22)&lt;=B54)*(IF(Besatzung!$D$11:$D$22="",Besatzung!$B$6,Besatzung!$D$11:$D$22)&gt;=B54)),1)+(Besatzung!$F$13="x")*IFERROR(H54,0)/IFERROR(SUMPRODUCT((Besatzung!$B$11:$B$22&lt;&gt;"")*(Besatzung!$F$11:$F$22="x")*(IF(Besatzung!$C$11:$C$22="",Besatzung!$B$5,Besatzung!$C$11:$C$22)&lt;=B54)*(IF(Besatzung!$D$11:$D$22="",Besatzung!$B$6,Besatzung!$D$11:$D$22)&gt;=B54)),1))),IF(I54="Individuell",((K54="x")*((G54-IFERROR(H54,0))/IFERROR(COUNTIF(J54:U54,"x"),1)+(Besatzung!$F$13="x")*IFERROR(H54,0)/IFERROR(SUMPRODUCT((J54:U54="x")*(Besatzung!$F$11:$F$22="x")),1))),(IF(COUNTIF(J54:U54,"x")=0,IF(Besatzung!$B$13&lt;&gt;"",1,0),(K54="x"))*(G54-IFERROR(H54,0))/IFERROR(IF(COUNTIF(J54:U54,"x")=0,COUNTA(Besatzung!$B$11:$B$22),COUNTIF(J54:U54,"x")),1)+IF(COUNTIF(J54:U54,"x")=0,(Besatzung!$F$13="x"),(K54="x")*(Besatzung!$F$13="x"))*IFERROR(H54,0)/IFERROR(IF(COUNTIF(J54:U54,"x")=0,SUMPRODUCT((Besatzung!$B$11:$B$22&lt;&gt;"")*(Besatzung!$F$11:$F$22="x")),SUMPRODUCT((J54:U54="x")*(Besatzung!$F$11:$F$22="x"))),1))))),0))))</f>
        <v/>
      </c>
      <c r="Y54" s="247">
        <f>IF(C54="Gutschrift","",IF(G54="","",IF(Besatzung!$B$14="","",IFERROR(IF(I54="Zeitanteilig",(Besatzung!$G$14*(G54-IFERROR(H54,0))+((Besatzung!$B$14&lt;&gt;"")*IF(B54="",1,(IF(Besatzung!$C$14="",Besatzung!$B$5,Besatzung!$C$14)&lt;=B54)*(IF(Besatzung!$D$14="",Besatzung!$B$6,Besatzung!$D$14)&gt;=B54)))*(Besatzung!$F$14="x")*IFERROR(H54,0)/IFERROR(SUMPRODUCT((Besatzung!$B$11:$B$22&lt;&gt;"")*(Besatzung!$F$11:$F$22="x")*(IF(Besatzung!$C$11:$C$22="",Besatzung!$B$5,Besatzung!$C$11:$C$22)&lt;=B54)*(IF(Besatzung!$D$11:$D$22="",Besatzung!$B$6,Besatzung!$D$11:$D$22)&gt;=B54)),1)),IF(I54="An Bord",(((Besatzung!$B$14&lt;&gt;"")*IF(B54="",1,(IF(Besatzung!$C$14="",Besatzung!$B$5,Besatzung!$C$14)&lt;=B54)*(IF(Besatzung!$D$14="",Besatzung!$B$6,Besatzung!$D$14)&gt;=B54)))*((G54-IFERROR(H54,0))/IFERROR(SUMPRODUCT((Besatzung!$B$11:$B$22&lt;&gt;"")*(IF(Besatzung!$C$11:$C$22="",Besatzung!$B$5,Besatzung!$C$11:$C$22)&lt;=B54)*(IF(Besatzung!$D$11:$D$22="",Besatzung!$B$6,Besatzung!$D$11:$D$22)&gt;=B54)),1)+(Besatzung!$F$14="x")*IFERROR(H54,0)/IFERROR(SUMPRODUCT((Besatzung!$B$11:$B$22&lt;&gt;"")*(Besatzung!$F$11:$F$22="x")*(IF(Besatzung!$C$11:$C$22="",Besatzung!$B$5,Besatzung!$C$11:$C$22)&lt;=B54)*(IF(Besatzung!$D$11:$D$22="",Besatzung!$B$6,Besatzung!$D$11:$D$22)&gt;=B54)),1))),IF(I54="Individuell",((M54="x")*((G54-IFERROR(H54,0))/IFERROR(COUNTIF(J54:U54,"x"),1)+(Besatzung!$F$14="x")*IFERROR(H54,0)/IFERROR(SUMPRODUCT((J54:U54="x")*(Besatzung!$F$11:$F$22="x")),1))),(IF(COUNTIF(J54:U54,"x")=0,IF(Besatzung!$B$14&lt;&gt;"",1,0),(M54="x"))*(G54-IFERROR(H54,0))/IFERROR(IF(COUNTIF(J54:U54,"x")=0,COUNTA(Besatzung!$B$11:$B$22),COUNTIF(J54:U54,"x")),1)+IF(COUNTIF(J54:U54,"x")=0,(Besatzung!$F$14="x"),(M54="x")*(Besatzung!$F$14="x"))*IFERROR(H54,0)/IFERROR(IF(COUNTIF(J54:U54,"x")=0,SUMPRODUCT((Besatzung!$B$11:$B$22&lt;&gt;"")*(Besatzung!$F$11:$F$22="x")),SUMPRODUCT((J54:U54="x")*(Besatzung!$F$11:$F$22="x"))),1))))),0))))</f>
        <v/>
      </c>
      <c r="Z54" s="247">
        <f>IF(C54="Gutschrift","",IF(G54="","",IF(Besatzung!$B$13="","",IFERROR(IF(I54="Zeitanteilig",(Besatzung!$G$15*(G54-IFERROR(H54,0))+((Besatzung!$B$13&lt;&gt;"")*IF(B54="",1,(IF(Besatzung!$C$15="",Besatzung!$B$5,Besatzung!$C$15)&lt;=B54)*(IF(Besatzung!$D$15="",Besatzung!$B$6,Besatzung!$D$15)&gt;=B54)))*(Besatzung!$F$15="x")*IFERROR(H54,0)/IFERROR(SUMPRODUCT((Besatzung!$B$11:$B$22&lt;&gt;"")*(Besatzung!$F$11:$F$22="x")*(IF(Besatzung!$C$11:$C$22="",Besatzung!$B$5,Besatzung!$C$11:$C$22)&lt;=B54)*(IF(Besatzung!$D$11:$D$22="",Besatzung!$B$6,Besatzung!$D$11:$D$22)&gt;=B54)),1)),IF(I54="An Bord",(((Besatzung!$B$13&lt;&gt;"")*IF(B54="",1,(IF(Besatzung!$C$15="",Besatzung!$B$5,Besatzung!$C$15)&lt;=B54)*(IF(Besatzung!$D$15="",Besatzung!$B$6,Besatzung!$D$15)&gt;=B54)))*((G54-IFERROR(H54,0))/IFERROR(SUMPRODUCT((Besatzung!$B$11:$B$22&lt;&gt;"")*(IF(Besatzung!$C$11:$C$22="",Besatzung!$B$5,Besatzung!$C$11:$C$22)&lt;=B54)*(IF(Besatzung!$D$11:$D$22="",Besatzung!$B$6,Besatzung!$D$11:$D$22)&gt;=B54)),1)+(Besatzung!$F$15="x")*IFERROR(H54,0)/IFERROR(SUMPRODUCT((Besatzung!$B$11:$B$22&lt;&gt;"")*(Besatzung!$F$11:$F$22="x")*(IF(Besatzung!$C$11:$C$22="",Besatzung!$B$5,Besatzung!$C$11:$C$22)&lt;=B54)*(IF(Besatzung!$D$11:$D$22="",Besatzung!$B$6,Besatzung!$D$11:$D$22)&gt;=B54)),1))),IF(I54="Individuell",((N54="x")*((G54-IFERROR(H54,0))/IFERROR(COUNTIF(J54:U54,"x"),1)+(Besatzung!$F$15="x")*IFERROR(H54,0)/IFERROR(SUMPRODUCT((J54:U54="x")*(Besatzung!$F$11:$F$22="x")),1))),(IF(COUNTIF(J54:U54,"x")=0,IF(Besatzung!$B$13&lt;&gt;"",1,0),(N54="x"))*(G54-IFERROR(H54,0))/IFERROR(IF(COUNTIF(J54:U54,"x")=0,COUNTA(Besatzung!$B$11:$B$22),COUNTIF(J54:U54,"x")),1)+IF(COUNTIF(J54:U54,"x")=0,(Besatzung!$F$15="x"),(N54="x")*(Besatzung!$F$15="x"))*IFERROR(H54,0)/IFERROR(IF(COUNTIF(J54:U54,"x")=0,SUMPRODUCT((Besatzung!$B$11:$B$22&lt;&gt;"")*(Besatzung!$F$11:$F$22="x")),SUMPRODUCT((J54:U54="x")*(Besatzung!$F$11:$F$22="x"))),1))))),0))))</f>
        <v/>
      </c>
      <c r="AA54" s="247">
        <f>IF(C54="Gutschrift","",IF(G54="","",IF(Besatzung!$B$15="","",IFERROR(IF(I54="Zeitanteilig",(Besatzung!$G$16*(G54-IFERROR(H54,0))+((Besatzung!$B$15&lt;&gt;"")*IF(B54="",1,(IF(Besatzung!$C$16="",Besatzung!$B$5,Besatzung!$C$16)&lt;=B54)*(IF(Besatzung!$D$16="",Besatzung!$B$6,Besatzung!$D$16)&gt;=B54)))*(Besatzung!$F$16="x")*IFERROR(H54,0)/IFERROR(SUMPRODUCT((Besatzung!$B$11:$B$22&lt;&gt;"")*(Besatzung!$F$11:$F$22="x")*(IF(Besatzung!$C$11:$C$22="",Besatzung!$B$5,Besatzung!$C$11:$C$22)&lt;=B54)*(IF(Besatzung!$D$11:$D$22="",Besatzung!$B$6,Besatzung!$D$11:$D$22)&gt;=B54)),1)),IF(I54="An Bord",(((Besatzung!$B$15&lt;&gt;"")*IF(B54="",1,(IF(Besatzung!$C$16="",Besatzung!$B$5,Besatzung!$C$16)&lt;=B54)*(IF(Besatzung!$D$16="",Besatzung!$B$6,Besatzung!$D$16)&gt;=B54)))*((G54-IFERROR(H54,0))/IFERROR(SUMPRODUCT((Besatzung!$B$11:$B$22&lt;&gt;"")*(IF(Besatzung!$C$11:$C$22="",Besatzung!$B$5,Besatzung!$C$11:$C$22)&lt;=B54)*(IF(Besatzung!$D$11:$D$22="",Besatzung!$B$6,Besatzung!$D$11:$D$22)&gt;=B54)),1)+(Besatzung!$F$16="x")*IFERROR(H54,0)/IFERROR(SUMPRODUCT((Besatzung!$B$11:$B$22&lt;&gt;"")*(Besatzung!$F$11:$F$22="x")*(IF(Besatzung!$C$11:$C$22="",Besatzung!$B$5,Besatzung!$C$11:$C$22)&lt;=B54)*(IF(Besatzung!$D$11:$D$22="",Besatzung!$B$6,Besatzung!$D$11:$D$22)&gt;=B54)),1))),IF(I54="Individuell",((O54="x")*((G54-IFERROR(H54,0))/IFERROR(COUNTIF(J54:U54,"x"),1)+(Besatzung!$F$16="x")*IFERROR(H54,0)/IFERROR(SUMPRODUCT((J54:U54="x")*(Besatzung!$F$11:$F$22="x")),1))),(IF(COUNTIF(J54:U54,"x")=0,IF(Besatzung!$B$15&lt;&gt;"",1,0),(O54="x"))*(G54-IFERROR(H54,0))/IFERROR(IF(COUNTIF(J54:U54,"x")=0,COUNTA(Besatzung!$B$11:$B$22),COUNTIF(J54:U54,"x")),1)+IF(COUNTIF(J54:U54,"x")=0,(Besatzung!$F$16="x"),(O54="x")*(Besatzung!$F$16="x"))*IFERROR(H54,0)/IFERROR(IF(COUNTIF(J54:U54,"x")=0,SUMPRODUCT((Besatzung!$B$11:$B$22&lt;&gt;"")*(Besatzung!$F$11:$F$22="x")),SUMPRODUCT((J54:U54="x")*(Besatzung!$F$11:$F$22="x"))),1))))),0))))</f>
        <v/>
      </c>
      <c r="AB54" s="247">
        <f>IF(C54="Gutschrift","",IF(G54="","",IF(Besatzung!$B$17="","",IFERROR(IF(I54="Zeitanteilig",(Besatzung!$G$17*(G54-IFERROR(H54,0))+((Besatzung!$B$17&lt;&gt;"")*IF(B54="",1,(IF(Besatzung!$C$17="",Besatzung!$B$5,Besatzung!$C$17)&lt;=B54)*(IF(Besatzung!$D$17="",Besatzung!$B$6,Besatzung!$D$17)&gt;=B54)))*(Besatzung!$F$17="x")*IFERROR(H54,0)/IFERROR(SUMPRODUCT((Besatzung!$B$11:$B$22&lt;&gt;"")*(Besatzung!$F$11:$F$22="x")*(IF(Besatzung!$C$11:$C$22="",Besatzung!$B$5,Besatzung!$C$11:$C$22)&lt;=B54)*(IF(Besatzung!$D$11:$D$22="",Besatzung!$B$6,Besatzung!$D$11:$D$22)&gt;=B54)),1)),IF(I54="An Bord",(((Besatzung!$B$17&lt;&gt;"")*IF(B54="",1,(IF(Besatzung!$C$17="",Besatzung!$B$5,Besatzung!$C$17)&lt;=B54)*(IF(Besatzung!$D$17="",Besatzung!$B$6,Besatzung!$D$17)&gt;=B54)))*((G54-IFERROR(H54,0))/IFERROR(SUMPRODUCT((Besatzung!$B$11:$B$22&lt;&gt;"")*(IF(Besatzung!$C$11:$C$22="",Besatzung!$B$5,Besatzung!$C$11:$C$22)&lt;=B54)*(IF(Besatzung!$D$11:$D$22="",Besatzung!$B$6,Besatzung!$D$11:$D$22)&gt;=B54)),1)+(Besatzung!$F$17="x")*IFERROR(H54,0)/IFERROR(SUMPRODUCT((Besatzung!$B$11:$B$22&lt;&gt;"")*(Besatzung!$F$11:$F$22="x")*(IF(Besatzung!$C$11:$C$22="",Besatzung!$B$5,Besatzung!$C$11:$C$22)&lt;=B54)*(IF(Besatzung!$D$11:$D$22="",Besatzung!$B$6,Besatzung!$D$11:$D$22)&gt;=B54)),1))),IF(I54="Individuell",((P54="x")*((G54-IFERROR(H54,0))/IFERROR(COUNTIF(J54:U54,"x"),1)+(Besatzung!$F$17="x")*IFERROR(H54,0)/IFERROR(SUMPRODUCT((J54:U54="x")*(Besatzung!$F$11:$F$22="x")),1))),(IF(COUNTIF(J54:U54,"x")=0,IF(Besatzung!$B$17&lt;&gt;"",1,0),(P54="x"))*(G54-IFERROR(H54,0))/IFERROR(IF(COUNTIF(J54:U54,"x")=0,COUNTA(Besatzung!$B$11:$B$22),COUNTIF(J54:U54,"x")),1)+IF(COUNTIF(J54:U54,"x")=0,(Besatzung!$F$17="x"),(P54="x")*(Besatzung!$F$17="x"))*IFERROR(H54,0)/IFERROR(IF(COUNTIF(J54:U54,"x")=0,SUMPRODUCT((Besatzung!$B$11:$B$22&lt;&gt;"")*(Besatzung!$F$11:$F$22="x")),SUMPRODUCT((J54:U54="x")*(Besatzung!$F$11:$F$22="x"))),1))))),0))))</f>
        <v/>
      </c>
      <c r="AC54" s="247">
        <f>IF(C54="Gutschrift","",IF(G54="","",IF(Besatzung!$B$18="","",IFERROR(IF(I54="Zeitanteilig",(Besatzung!$G$18*(G54-IFERROR(H54,0))+((Besatzung!$B$18&lt;&gt;"")*IF(B54="",1,(IF(Besatzung!$C$18="",Besatzung!$B$5,Besatzung!$C$18)&lt;=B54)*(IF(Besatzung!$D$18="",Besatzung!$B$6,Besatzung!$D$18)&gt;=B54)))*(Besatzung!$F$18="x")*IFERROR(H54,0)/IFERROR(SUMPRODUCT((Besatzung!$B$11:$B$22&lt;&gt;"")*(Besatzung!$F$11:$F$22="x")*(IF(Besatzung!$C$11:$C$22="",Besatzung!$B$5,Besatzung!$C$11:$C$22)&lt;=B54)*(IF(Besatzung!$D$11:$D$22="",Besatzung!$B$6,Besatzung!$D$11:$D$22)&gt;=B54)),1)),IF(I54="An Bord",(((Besatzung!$B$18&lt;&gt;"")*IF(B54="",1,(IF(Besatzung!$C$18="",Besatzung!$B$5,Besatzung!$C$18)&lt;=B54)*(IF(Besatzung!$D$18="",Besatzung!$B$6,Besatzung!$D$18)&gt;=B54)))*((G54-IFERROR(H54,0))/IFERROR(SUMPRODUCT((Besatzung!$B$11:$B$22&lt;&gt;"")*(IF(Besatzung!$C$11:$C$22="",Besatzung!$B$5,Besatzung!$C$11:$C$22)&lt;=B54)*(IF(Besatzung!$D$11:$D$22="",Besatzung!$B$6,Besatzung!$D$11:$D$22)&gt;=B54)),1)+(Besatzung!$F$18="x")*IFERROR(H54,0)/IFERROR(SUMPRODUCT((Besatzung!$B$11:$B$22&lt;&gt;"")*(Besatzung!$F$11:$F$22="x")*(IF(Besatzung!$C$11:$C$22="",Besatzung!$B$5,Besatzung!$C$11:$C$22)&lt;=B54)*(IF(Besatzung!$D$11:$D$22="",Besatzung!$B$6,Besatzung!$D$11:$D$22)&gt;=B54)),1))),IF(I54="Individuell",((Q54="x")*((G54-IFERROR(H54,0))/IFERROR(COUNTIF(J54:U54,"x"),1)+(Besatzung!$F$18="x")*IFERROR(H54,0)/IFERROR(SUMPRODUCT((J54:U54="x")*(Besatzung!$F$11:$F$22="x")),1))),(IF(COUNTIF(J54:U54,"x")=0,IF(Besatzung!$B$18&lt;&gt;"",1,0),(Q54="x"))*(G54-IFERROR(H54,0))/IFERROR(IF(COUNTIF(J54:U54,"x")=0,COUNTA(Besatzung!$B$11:$B$22),COUNTIF(J54:U54,"x")),1)+IF(COUNTIF(J54:U54,"x")=0,(Besatzung!$F$18="x"),(Q54="x")*(Besatzung!$F$18="x"))*IFERROR(H54,0)/IFERROR(IF(COUNTIF(J54:U54,"x")=0,SUMPRODUCT((Besatzung!$B$11:$B$22&lt;&gt;"")*(Besatzung!$F$11:$F$22="x")),SUMPRODUCT((J54:U54="x")*(Besatzung!$F$11:$F$22="x"))),1))))),0))))</f>
        <v/>
      </c>
      <c r="AD54" s="247">
        <f>IF(C54="Gutschrift","",IF(G54="","",IF(Besatzung!$B$19="","",IFERROR(IF(I54="Zeitanteilig",(Besatzung!$G$19*(G54-IFERROR(H54,0))+((Besatzung!$B$19&lt;&gt;"")*IF(B54="",1,(IF(Besatzung!$C$19="",Besatzung!$B$5,Besatzung!$C$19)&lt;=B54)*(IF(Besatzung!$D$19="",Besatzung!$B$6,Besatzung!$D$19)&gt;=B54)))*(Besatzung!$F$19="x")*IFERROR(H54,0)/IFERROR(SUMPRODUCT((Besatzung!$B$11:$B$22&lt;&gt;"")*(Besatzung!$F$11:$F$22="x")*(IF(Besatzung!$C$11:$C$22="",Besatzung!$B$5,Besatzung!$C$11:$C$22)&lt;=B54)*(IF(Besatzung!$D$11:$D$22="",Besatzung!$B$6,Besatzung!$D$11:$D$22)&gt;=B54)),1)),IF(I54="An Bord",(((Besatzung!$B$19&lt;&gt;"")*IF(B54="",1,(IF(Besatzung!$C$19="",Besatzung!$B$5,Besatzung!$C$19)&lt;=B54)*(IF(Besatzung!$D$19="",Besatzung!$B$6,Besatzung!$D$19)&gt;=B54)))*((G54-IFERROR(H54,0))/IFERROR(SUMPRODUCT((Besatzung!$B$11:$B$22&lt;&gt;"")*(IF(Besatzung!$C$11:$C$22="",Besatzung!$B$5,Besatzung!$C$11:$C$22)&lt;=B54)*(IF(Besatzung!$D$11:$D$22="",Besatzung!$B$6,Besatzung!$D$11:$D$22)&gt;=B54)),1)+(Besatzung!$F$19="x")*IFERROR(H54,0)/IFERROR(SUMPRODUCT((Besatzung!$B$11:$B$22&lt;&gt;"")*(Besatzung!$F$11:$F$22="x")*(IF(Besatzung!$C$11:$C$22="",Besatzung!$B$5,Besatzung!$C$11:$C$22)&lt;=B54)*(IF(Besatzung!$D$11:$D$22="",Besatzung!$B$6,Besatzung!$D$11:$D$22)&gt;=B54)),1))),IF(I54="Individuell",((R54="x")*((G54-IFERROR(H54,0))/IFERROR(COUNTIF(J54:U54,"x"),1)+(Besatzung!$F$19="x")*IFERROR(H54,0)/IFERROR(SUMPRODUCT((J54:U54="x")*(Besatzung!$F$11:$F$22="x")),1))),(IF(COUNTIF(J54:U54,"x")=0,IF(Besatzung!$B$19&lt;&gt;"",1,0),(R54="x"))*(G54-IFERROR(H54,0))/IFERROR(IF(COUNTIF(J54:U54,"x")=0,COUNTA(Besatzung!$B$11:$B$22),COUNTIF(J54:U54,"x")),1)+IF(COUNTIF(J54:U54,"x")=0,(Besatzung!$F$19="x"),(R54="x")*(Besatzung!$F$19="x"))*IFERROR(H54,0)/IFERROR(IF(COUNTIF(J54:U54,"x")=0,SUMPRODUCT((Besatzung!$B$11:$B$22&lt;&gt;"")*(Besatzung!$F$11:$F$22="x")),SUMPRODUCT((J54:U54="x")*(Besatzung!$F$11:$F$22="x"))),1))))),0))))</f>
        <v/>
      </c>
      <c r="AE54" s="247">
        <f>IF(C54="Gutschrift","",IF(G54="","",IF(Besatzung!$B$20="","",IFERROR(IF(I54="Zeitanteilig",(Besatzung!$G$20*(G54-IFERROR(H54,0))+((Besatzung!$B$20&lt;&gt;"")*IF(B54="",1,(IF(Besatzung!$C$20="",Besatzung!$B$5,Besatzung!$C$20)&lt;=B54)*(IF(Besatzung!$D$20="",Besatzung!$B$6,Besatzung!$D$20)&gt;=B54)))*(Besatzung!$F$20="x")*IFERROR(H54,0)/IFERROR(SUMPRODUCT((Besatzung!$B$11:$B$22&lt;&gt;"")*(Besatzung!$F$11:$F$22="x")*(IF(Besatzung!$C$11:$C$22="",Besatzung!$B$5,Besatzung!$C$11:$C$22)&lt;=B54)*(IF(Besatzung!$D$11:$D$22="",Besatzung!$B$6,Besatzung!$D$11:$D$22)&gt;=B54)),1)),IF(I54="An Bord",(((Besatzung!$B$20&lt;&gt;"")*IF(B54="",1,(IF(Besatzung!$C$20="",Besatzung!$B$5,Besatzung!$C$20)&lt;=B54)*(IF(Besatzung!$D$20="",Besatzung!$B$6,Besatzung!$D$20)&gt;=B54)))*((G54-IFERROR(H54,0))/IFERROR(SUMPRODUCT((Besatzung!$B$11:$B$22&lt;&gt;"")*(IF(Besatzung!$C$11:$C$22="",Besatzung!$B$5,Besatzung!$C$11:$C$22)&lt;=B54)*(IF(Besatzung!$D$11:$D$22="",Besatzung!$B$6,Besatzung!$D$11:$D$22)&gt;=B54)),1)+(Besatzung!$F$20="x")*IFERROR(H54,0)/IFERROR(SUMPRODUCT((Besatzung!$B$11:$B$22&lt;&gt;"")*(Besatzung!$F$11:$F$22="x")*(IF(Besatzung!$C$11:$C$22="",Besatzung!$B$5,Besatzung!$C$11:$C$22)&lt;=B54)*(IF(Besatzung!$D$11:$D$22="",Besatzung!$B$6,Besatzung!$D$11:$D$22)&gt;=B54)),1))),IF(I54="Individuell",((S54="x")*((G54-IFERROR(H54,0))/IFERROR(COUNTIF(J54:U54,"x"),1)+(Besatzung!$F$20="x")*IFERROR(H54,0)/IFERROR(SUMPRODUCT((J54:U54="x")*(Besatzung!$F$11:$F$22="x")),1))),(IF(COUNTIF(J54:U54,"x")=0,IF(Besatzung!$B$20&lt;&gt;"",1,0),(S54="x"))*(G54-IFERROR(H54,0))/IFERROR(IF(COUNTIF(J54:U54,"x")=0,COUNTA(Besatzung!$B$11:$B$22),COUNTIF(J54:U54,"x")),1)+IF(COUNTIF(J54:U54,"x")=0,(Besatzung!$F$20="x"),(S54="x")*(Besatzung!$F$20="x"))*IFERROR(H54,0)/IFERROR(IF(COUNTIF(J54:U54,"x")=0,SUMPRODUCT((Besatzung!$B$11:$B$22&lt;&gt;"")*(Besatzung!$F$11:$F$22="x")),SUMPRODUCT((J54:U54="x")*(Besatzung!$F$11:$F$22="x"))),1))))),0))))</f>
        <v/>
      </c>
      <c r="AF54" s="247">
        <f>IF(C54="Gutschrift","",IF(G54="","",IF(Besatzung!$B$21="","",IFERROR(IF(I54="Zeitanteilig",(Besatzung!$G$21*(G54-IFERROR(H54,0))+((Besatzung!$B$21&lt;&gt;"")*IF(B54="",1,(IF(Besatzung!$C$21="",Besatzung!$B$5,Besatzung!$C$21)&lt;=B54)*(IF(Besatzung!$D$21="",Besatzung!$B$6,Besatzung!$D$21)&gt;=B54)))*(Besatzung!$F$21="x")*IFERROR(H54,0)/IFERROR(SUMPRODUCT((Besatzung!$B$11:$B$22&lt;&gt;"")*(Besatzung!$F$11:$F$22="x")*(IF(Besatzung!$C$11:$C$22="",Besatzung!$B$5,Besatzung!$C$11:$C$22)&lt;=B54)*(IF(Besatzung!$D$11:$D$22="",Besatzung!$B$6,Besatzung!$D$11:$D$22)&gt;=B54)),1)),IF(I54="An Bord",(((Besatzung!$B$21&lt;&gt;"")*IF(B54="",1,(IF(Besatzung!$C$21="",Besatzung!$B$5,Besatzung!$C$21)&lt;=B54)*(IF(Besatzung!$D$21="",Besatzung!$B$6,Besatzung!$D$21)&gt;=B54)))*((G54-IFERROR(H54,0))/IFERROR(SUMPRODUCT((Besatzung!$B$11:$B$22&lt;&gt;"")*(IF(Besatzung!$C$11:$C$22="",Besatzung!$B$5,Besatzung!$C$11:$C$22)&lt;=B54)*(IF(Besatzung!$D$11:$D$22="",Besatzung!$B$6,Besatzung!$D$11:$D$22)&gt;=B54)),1)+(Besatzung!$F$21="x")*IFERROR(H54,0)/IFERROR(SUMPRODUCT((Besatzung!$B$11:$B$22&lt;&gt;"")*(Besatzung!$F$11:$F$22="x")*(IF(Besatzung!$C$11:$C$22="",Besatzung!$B$5,Besatzung!$C$11:$C$22)&lt;=B54)*(IF(Besatzung!$D$11:$D$22="",Besatzung!$B$6,Besatzung!$D$11:$D$22)&gt;=B54)),1))),IF(I54="Individuell",((T54="x")*((G54-IFERROR(H54,0))/IFERROR(COUNTIF(J54:U54,"x"),1)+(Besatzung!$F$21="x")*IFERROR(H54,0)/IFERROR(SUMPRODUCT((J54:U54="x")*(Besatzung!$F$11:$F$22="x")),1))),(IF(COUNTIF(J54:U54,"x")=0,IF(Besatzung!$B$21&lt;&gt;"",1,0),(T54="x"))*(G54-IFERROR(H54,0))/IFERROR(IF(COUNTIF(J54:U54,"x")=0,COUNTA(Besatzung!$B$11:$B$22),COUNTIF(J54:U54,"x")),1)+IF(COUNTIF(J54:U54,"x")=0,(Besatzung!$F$21="x"),(T54="x")*(Besatzung!$F$21="x"))*IFERROR(H54,0)/IFERROR(IF(COUNTIF(J54:U54,"x")=0,SUMPRODUCT((Besatzung!$B$11:$B$22&lt;&gt;"")*(Besatzung!$F$11:$F$22="x")),SUMPRODUCT((J54:U54="x")*(Besatzung!$F$11:$F$22="x"))),1))))),0))))</f>
        <v/>
      </c>
      <c r="AG54" s="247">
        <f>IF(C54="Gutschrift","",IF(G54="","",IF(Besatzung!$B$22="","",IFERROR(IF(I54="Zeitanteilig",(Besatzung!$G$22*(G54-IFERROR(H54,0))+((Besatzung!$B$22&lt;&gt;"")*IF(B54="",1,(IF(Besatzung!$C$22="",Besatzung!$B$5,Besatzung!$C$22)&lt;=B54)*(IF(Besatzung!$D$22="",Besatzung!$B$6,Besatzung!$D$22)&gt;=B54)))*(Besatzung!$F$22="x")*IFERROR(H54,0)/IFERROR(SUMPRODUCT((Besatzung!$B$11:$B$22&lt;&gt;"")*(Besatzung!$F$11:$F$22="x")*(IF(Besatzung!$C$11:$C$22="",Besatzung!$B$5,Besatzung!$C$11:$C$22)&lt;=B54)*(IF(Besatzung!$D$11:$D$22="",Besatzung!$B$6,Besatzung!$D$11:$D$22)&gt;=B54)),1)),IF(I54="An Bord",(((Besatzung!$B$22&lt;&gt;"")*IF(B54="",1,(IF(Besatzung!$C$22="",Besatzung!$B$5,Besatzung!$C$22)&lt;=B54)*(IF(Besatzung!$D$22="",Besatzung!$B$6,Besatzung!$D$22)&gt;=B54)))*((G54-IFERROR(H54,0))/IFERROR(SUMPRODUCT((Besatzung!$B$11:$B$22&lt;&gt;"")*(IF(Besatzung!$C$11:$C$22="",Besatzung!$B$5,Besatzung!$C$11:$C$22)&lt;=B54)*(IF(Besatzung!$D$11:$D$22="",Besatzung!$B$6,Besatzung!$D$11:$D$22)&gt;=B54)),1)+(Besatzung!$F$22="x")*IFERROR(H54,0)/IFERROR(SUMPRODUCT((Besatzung!$B$11:$B$22&lt;&gt;"")*(Besatzung!$F$11:$F$22="x")*(IF(Besatzung!$C$11:$C$22="",Besatzung!$B$5,Besatzung!$C$11:$C$22)&lt;=B54)*(IF(Besatzung!$D$11:$D$22="",Besatzung!$B$6,Besatzung!$D$11:$D$22)&gt;=B54)),1))),IF(I54="Individuell",((U54="x")*((G54-IFERROR(H54,0))/IFERROR(COUNTIF(J54:U54,"x"),1)+(Besatzung!$F$22="x")*IFERROR(H54,0)/IFERROR(SUMPRODUCT((J54:U54="x")*(Besatzung!$F$11:$F$22="x")),1))),(IF(COUNTIF(J54:U54,"x")=0,IF(Besatzung!$B$22&lt;&gt;"",1,0),(U54="x"))*(G54-IFERROR(H54,0))/IFERROR(IF(COUNTIF(J54:U54,"x")=0,COUNTA(Besatzung!$B$11:$B$22),COUNTIF(J54:U54,"x")),1)+IF(COUNTIF(J54:U54,"x")=0,(Besatzung!$F$22="x"),(U54="x")*(Besatzung!$F$22="x"))*IFERROR(H54,0)/IFERROR(IF(COUNTIF(J54:U54,"x")=0,SUMPRODUCT((Besatzung!$B$11:$B$22&lt;&gt;"")*(Besatzung!$F$11:$F$22="x")),SUMPRODUCT((J54:U54="x")*(Besatzung!$F$11:$F$22="x"))),1))))),0))))</f>
        <v/>
      </c>
      <c r="AH54" s="248" t="n"/>
      <c r="AI54" s="248" t="n"/>
    </row>
    <row r="55" ht="21.75" customHeight="1" s="154">
      <c r="A55" s="238">
        <f>IF(AND(D55="",C55=""),"",52)</f>
        <v/>
      </c>
      <c r="B55" s="206" t="n"/>
      <c r="C55" s="249" t="n"/>
      <c r="D55" s="250" t="n"/>
      <c r="E55" s="251" t="n"/>
      <c r="F55" s="252" t="n"/>
      <c r="G55" s="253" t="n"/>
      <c r="H55" s="254" t="n"/>
      <c r="I55" s="255" t="n"/>
      <c r="J55" s="256" t="n"/>
      <c r="K55" s="256" t="n"/>
      <c r="L55" s="256" t="n"/>
      <c r="M55" s="256" t="n"/>
      <c r="N55" s="256" t="n"/>
      <c r="O55" s="256" t="n"/>
      <c r="P55" s="256" t="n"/>
      <c r="Q55" s="256" t="n"/>
      <c r="R55" s="256" t="n"/>
      <c r="S55" s="256" t="n"/>
      <c r="T55" s="256" t="n"/>
      <c r="U55" s="256" t="n"/>
      <c r="V55" s="247">
        <f>IF(C55="Gutschrift","",IF(G55="","",IF(Besatzung!$B$11="","",IFERROR(IF(I55="Zeitanteilig",(Besatzung!$G$11*(G55-IFERROR(H55,0))+((Besatzung!$B$11&lt;&gt;"")*IF(B55="",1,(IF(Besatzung!$C$11="",Besatzung!$B$5,Besatzung!$C$11)&lt;=B55)*(IF(Besatzung!$D$11="",Besatzung!$B$6,Besatzung!$D$11)&gt;=B55)))*(Besatzung!$F$11="x")*IFERROR(H55,0)/IFERROR(SUMPRODUCT((Besatzung!$B$11:$B$22&lt;&gt;"")*(Besatzung!$F$11:$F$22="x")*(IF(Besatzung!$C$11:$C$22="",Besatzung!$B$5,Besatzung!$C$11:$C$22)&lt;=B55)*(IF(Besatzung!$D$11:$D$22="",Besatzung!$B$6,Besatzung!$D$11:$D$22)&gt;=B55)),1)),IF(I55="An Bord",(((Besatzung!$B$11&lt;&gt;"")*IF(B55="",1,(IF(Besatzung!$C$11="",Besatzung!$B$5,Besatzung!$C$11)&lt;=B55)*(IF(Besatzung!$D$11="",Besatzung!$B$6,Besatzung!$D$11)&gt;=B55)))*((G55-IFERROR(H55,0))/IFERROR(SUMPRODUCT((Besatzung!$B$11:$B$22&lt;&gt;"")*(IF(Besatzung!$C$11:$C$22="",Besatzung!$B$5,Besatzung!$C$11:$C$22)&lt;=B55)*(IF(Besatzung!$D$11:$D$22="",Besatzung!$B$6,Besatzung!$D$11:$D$22)&gt;=B55)),1)+(Besatzung!$F$11="x")*IFERROR(H55,0)/IFERROR(SUMPRODUCT((Besatzung!$B$11:$B$22&lt;&gt;"")*(Besatzung!$F$11:$F$22="x")*(IF(Besatzung!$C$11:$C$22="",Besatzung!$B$5,Besatzung!$C$11:$C$22)&lt;=B55)*(IF(Besatzung!$D$11:$D$22="",Besatzung!$B$6,Besatzung!$D$11:$D$22)&gt;=B55)),1))),IF(I55="Individuell",((J55="x")*((G55-IFERROR(H55,0))/IFERROR(COUNTIF(J55:U55,"x"),1)+(Besatzung!$F$11="x")*IFERROR(H55,0)/IFERROR(SUMPRODUCT((J55:U55="x")*(Besatzung!$F$11:$F$22="x")),1))),(IF(COUNTIF(J55:U55,"x")=0,IF(Besatzung!$B$11&lt;&gt;"",1,0),(J55="x"))*(G55-IFERROR(H55,0))/IFERROR(IF(COUNTIF(J55:U55,"x")=0,COUNTA(Besatzung!$B$11:$B$22),COUNTIF(J55:U55,"x")),1)+IF(COUNTIF(J55:U55,"x")=0,(Besatzung!$F$11="x"),(J55="x")*(Besatzung!$F$11="x"))*IFERROR(H55,0)/IFERROR(IF(COUNTIF(J55:U55,"x")=0,SUMPRODUCT((Besatzung!$B$11:$B$22&lt;&gt;"")*(Besatzung!$F$11:$F$22="x")),SUMPRODUCT((J55:U55="x")*(Besatzung!$F$11:$F$22="x"))),1))))),0))))</f>
        <v/>
      </c>
      <c r="W55" s="247">
        <f>IF(C55="Gutschrift","",IF(G55="","",IF(Besatzung!$B$12="","",IFERROR(IF(I55="Zeitanteilig",(Besatzung!$G$12*(G55-IFERROR(H55,0))+((Besatzung!$B$12&lt;&gt;"")*IF(B55="",1,(IF(Besatzung!$C$12="",Besatzung!$B$5,Besatzung!$C$12)&lt;=B55)*(IF(Besatzung!$D$12="",Besatzung!$B$6,Besatzung!$D$12)&gt;=B55)))*(Besatzung!$F$12="x")*IFERROR(H55,0)/IFERROR(SUMPRODUCT((Besatzung!$B$11:$B$22&lt;&gt;"")*(Besatzung!$F$11:$F$22="x")*(IF(Besatzung!$C$11:$C$22="",Besatzung!$B$5,Besatzung!$C$11:$C$22)&lt;=B55)*(IF(Besatzung!$D$11:$D$22="",Besatzung!$B$6,Besatzung!$D$11:$D$22)&gt;=B55)),1)),IF(I55="An Bord",(((Besatzung!$B$12&lt;&gt;"")*IF(B55="",1,(IF(Besatzung!$C$12="",Besatzung!$B$5,Besatzung!$C$12)&lt;=B55)*(IF(Besatzung!$D$12="",Besatzung!$B$6,Besatzung!$D$12)&gt;=B55)))*((G55-IFERROR(H55,0))/IFERROR(SUMPRODUCT((Besatzung!$B$11:$B$22&lt;&gt;"")*(IF(Besatzung!$C$11:$C$22="",Besatzung!$B$5,Besatzung!$C$11:$C$22)&lt;=B55)*(IF(Besatzung!$D$11:$D$22="",Besatzung!$B$6,Besatzung!$D$11:$D$22)&gt;=B55)),1)+(Besatzung!$F$12="x")*IFERROR(H55,0)/IFERROR(SUMPRODUCT((Besatzung!$B$11:$B$22&lt;&gt;"")*(Besatzung!$F$11:$F$22="x")*(IF(Besatzung!$C$11:$C$22="",Besatzung!$B$5,Besatzung!$C$11:$C$22)&lt;=B55)*(IF(Besatzung!$D$11:$D$22="",Besatzung!$B$6,Besatzung!$D$11:$D$22)&gt;=B55)),1))),IF(I55="Individuell",((K55="x")*((G55-IFERROR(H55,0))/IFERROR(COUNTIF(J55:U55,"x"),1)+(Besatzung!$F$12="x")*IFERROR(H55,0)/IFERROR(SUMPRODUCT((J55:U55="x")*(Besatzung!$F$11:$F$22="x")),1))),(IF(COUNTIF(J55:U55,"x")=0,IF(Besatzung!$B$12&lt;&gt;"",1,0),(K55="x"))*(G55-IFERROR(H55,0))/IFERROR(IF(COUNTIF(J55:U55,"x")=0,COUNTA(Besatzung!$B$11:$B$22),COUNTIF(J55:U55,"x")),1)+IF(COUNTIF(J55:U55,"x")=0,(Besatzung!$F$12="x"),(K55="x")*(Besatzung!$F$12="x"))*IFERROR(H55,0)/IFERROR(IF(COUNTIF(J55:U55,"x")=0,SUMPRODUCT((Besatzung!$B$11:$B$22&lt;&gt;"")*(Besatzung!$F$11:$F$22="x")),SUMPRODUCT((J55:U55="x")*(Besatzung!$F$11:$F$22="x"))),1))))),0))))</f>
        <v/>
      </c>
      <c r="X55" s="247">
        <f>IF(C55="Gutschrift","",IF(G55="","",IF(Besatzung!$B$13="","",IFERROR(IF(I55="Zeitanteilig",(Besatzung!$G$13*(G55-IFERROR(H55,0))+((Besatzung!$B$13&lt;&gt;"")*IF(B55="",1,(IF(Besatzung!$C$13="",Besatzung!$B$5,Besatzung!$C$13)&lt;=B55)*(IF(Besatzung!$D$13="",Besatzung!$B$6,Besatzung!$D$13)&gt;=B55)))*(Besatzung!$F$13="x")*IFERROR(H55,0)/IFERROR(SUMPRODUCT((Besatzung!$B$11:$B$22&lt;&gt;"")*(Besatzung!$F$11:$F$22="x")*(IF(Besatzung!$C$11:$C$22="",Besatzung!$B$5,Besatzung!$C$11:$C$22)&lt;=B55)*(IF(Besatzung!$D$11:$D$22="",Besatzung!$B$6,Besatzung!$D$11:$D$22)&gt;=B55)),1)),IF(I55="An Bord",(((Besatzung!$B$13&lt;&gt;"")*IF(B55="",1,(IF(Besatzung!$C$13="",Besatzung!$B$5,Besatzung!$C$13)&lt;=B55)*(IF(Besatzung!$D$13="",Besatzung!$B$6,Besatzung!$D$13)&gt;=B55)))*((G55-IFERROR(H55,0))/IFERROR(SUMPRODUCT((Besatzung!$B$11:$B$22&lt;&gt;"")*(IF(Besatzung!$C$11:$C$22="",Besatzung!$B$5,Besatzung!$C$11:$C$22)&lt;=B55)*(IF(Besatzung!$D$11:$D$22="",Besatzung!$B$6,Besatzung!$D$11:$D$22)&gt;=B55)),1)+(Besatzung!$F$13="x")*IFERROR(H55,0)/IFERROR(SUMPRODUCT((Besatzung!$B$11:$B$22&lt;&gt;"")*(Besatzung!$F$11:$F$22="x")*(IF(Besatzung!$C$11:$C$22="",Besatzung!$B$5,Besatzung!$C$11:$C$22)&lt;=B55)*(IF(Besatzung!$D$11:$D$22="",Besatzung!$B$6,Besatzung!$D$11:$D$22)&gt;=B55)),1))),IF(I55="Individuell",((K55="x")*((G55-IFERROR(H55,0))/IFERROR(COUNTIF(J55:U55,"x"),1)+(Besatzung!$F$13="x")*IFERROR(H55,0)/IFERROR(SUMPRODUCT((J55:U55="x")*(Besatzung!$F$11:$F$22="x")),1))),(IF(COUNTIF(J55:U55,"x")=0,IF(Besatzung!$B$13&lt;&gt;"",1,0),(K55="x"))*(G55-IFERROR(H55,0))/IFERROR(IF(COUNTIF(J55:U55,"x")=0,COUNTA(Besatzung!$B$11:$B$22),COUNTIF(J55:U55,"x")),1)+IF(COUNTIF(J55:U55,"x")=0,(Besatzung!$F$13="x"),(K55="x")*(Besatzung!$F$13="x"))*IFERROR(H55,0)/IFERROR(IF(COUNTIF(J55:U55,"x")=0,SUMPRODUCT((Besatzung!$B$11:$B$22&lt;&gt;"")*(Besatzung!$F$11:$F$22="x")),SUMPRODUCT((J55:U55="x")*(Besatzung!$F$11:$F$22="x"))),1))))),0))))</f>
        <v/>
      </c>
      <c r="Y55" s="247">
        <f>IF(C55="Gutschrift","",IF(G55="","",IF(Besatzung!$B$14="","",IFERROR(IF(I55="Zeitanteilig",(Besatzung!$G$14*(G55-IFERROR(H55,0))+((Besatzung!$B$14&lt;&gt;"")*IF(B55="",1,(IF(Besatzung!$C$14="",Besatzung!$B$5,Besatzung!$C$14)&lt;=B55)*(IF(Besatzung!$D$14="",Besatzung!$B$6,Besatzung!$D$14)&gt;=B55)))*(Besatzung!$F$14="x")*IFERROR(H55,0)/IFERROR(SUMPRODUCT((Besatzung!$B$11:$B$22&lt;&gt;"")*(Besatzung!$F$11:$F$22="x")*(IF(Besatzung!$C$11:$C$22="",Besatzung!$B$5,Besatzung!$C$11:$C$22)&lt;=B55)*(IF(Besatzung!$D$11:$D$22="",Besatzung!$B$6,Besatzung!$D$11:$D$22)&gt;=B55)),1)),IF(I55="An Bord",(((Besatzung!$B$14&lt;&gt;"")*IF(B55="",1,(IF(Besatzung!$C$14="",Besatzung!$B$5,Besatzung!$C$14)&lt;=B55)*(IF(Besatzung!$D$14="",Besatzung!$B$6,Besatzung!$D$14)&gt;=B55)))*((G55-IFERROR(H55,0))/IFERROR(SUMPRODUCT((Besatzung!$B$11:$B$22&lt;&gt;"")*(IF(Besatzung!$C$11:$C$22="",Besatzung!$B$5,Besatzung!$C$11:$C$22)&lt;=B55)*(IF(Besatzung!$D$11:$D$22="",Besatzung!$B$6,Besatzung!$D$11:$D$22)&gt;=B55)),1)+(Besatzung!$F$14="x")*IFERROR(H55,0)/IFERROR(SUMPRODUCT((Besatzung!$B$11:$B$22&lt;&gt;"")*(Besatzung!$F$11:$F$22="x")*(IF(Besatzung!$C$11:$C$22="",Besatzung!$B$5,Besatzung!$C$11:$C$22)&lt;=B55)*(IF(Besatzung!$D$11:$D$22="",Besatzung!$B$6,Besatzung!$D$11:$D$22)&gt;=B55)),1))),IF(I55="Individuell",((M55="x")*((G55-IFERROR(H55,0))/IFERROR(COUNTIF(J55:U55,"x"),1)+(Besatzung!$F$14="x")*IFERROR(H55,0)/IFERROR(SUMPRODUCT((J55:U55="x")*(Besatzung!$F$11:$F$22="x")),1))),(IF(COUNTIF(J55:U55,"x")=0,IF(Besatzung!$B$14&lt;&gt;"",1,0),(M55="x"))*(G55-IFERROR(H55,0))/IFERROR(IF(COUNTIF(J55:U55,"x")=0,COUNTA(Besatzung!$B$11:$B$22),COUNTIF(J55:U55,"x")),1)+IF(COUNTIF(J55:U55,"x")=0,(Besatzung!$F$14="x"),(M55="x")*(Besatzung!$F$14="x"))*IFERROR(H55,0)/IFERROR(IF(COUNTIF(J55:U55,"x")=0,SUMPRODUCT((Besatzung!$B$11:$B$22&lt;&gt;"")*(Besatzung!$F$11:$F$22="x")),SUMPRODUCT((J55:U55="x")*(Besatzung!$F$11:$F$22="x"))),1))))),0))))</f>
        <v/>
      </c>
      <c r="Z55" s="247">
        <f>IF(C55="Gutschrift","",IF(G55="","",IF(Besatzung!$B$13="","",IFERROR(IF(I55="Zeitanteilig",(Besatzung!$G$15*(G55-IFERROR(H55,0))+((Besatzung!$B$13&lt;&gt;"")*IF(B55="",1,(IF(Besatzung!$C$15="",Besatzung!$B$5,Besatzung!$C$15)&lt;=B55)*(IF(Besatzung!$D$15="",Besatzung!$B$6,Besatzung!$D$15)&gt;=B55)))*(Besatzung!$F$15="x")*IFERROR(H55,0)/IFERROR(SUMPRODUCT((Besatzung!$B$11:$B$22&lt;&gt;"")*(Besatzung!$F$11:$F$22="x")*(IF(Besatzung!$C$11:$C$22="",Besatzung!$B$5,Besatzung!$C$11:$C$22)&lt;=B55)*(IF(Besatzung!$D$11:$D$22="",Besatzung!$B$6,Besatzung!$D$11:$D$22)&gt;=B55)),1)),IF(I55="An Bord",(((Besatzung!$B$13&lt;&gt;"")*IF(B55="",1,(IF(Besatzung!$C$15="",Besatzung!$B$5,Besatzung!$C$15)&lt;=B55)*(IF(Besatzung!$D$15="",Besatzung!$B$6,Besatzung!$D$15)&gt;=B55)))*((G55-IFERROR(H55,0))/IFERROR(SUMPRODUCT((Besatzung!$B$11:$B$22&lt;&gt;"")*(IF(Besatzung!$C$11:$C$22="",Besatzung!$B$5,Besatzung!$C$11:$C$22)&lt;=B55)*(IF(Besatzung!$D$11:$D$22="",Besatzung!$B$6,Besatzung!$D$11:$D$22)&gt;=B55)),1)+(Besatzung!$F$15="x")*IFERROR(H55,0)/IFERROR(SUMPRODUCT((Besatzung!$B$11:$B$22&lt;&gt;"")*(Besatzung!$F$11:$F$22="x")*(IF(Besatzung!$C$11:$C$22="",Besatzung!$B$5,Besatzung!$C$11:$C$22)&lt;=B55)*(IF(Besatzung!$D$11:$D$22="",Besatzung!$B$6,Besatzung!$D$11:$D$22)&gt;=B55)),1))),IF(I55="Individuell",((N55="x")*((G55-IFERROR(H55,0))/IFERROR(COUNTIF(J55:U55,"x"),1)+(Besatzung!$F$15="x")*IFERROR(H55,0)/IFERROR(SUMPRODUCT((J55:U55="x")*(Besatzung!$F$11:$F$22="x")),1))),(IF(COUNTIF(J55:U55,"x")=0,IF(Besatzung!$B$13&lt;&gt;"",1,0),(N55="x"))*(G55-IFERROR(H55,0))/IFERROR(IF(COUNTIF(J55:U55,"x")=0,COUNTA(Besatzung!$B$11:$B$22),COUNTIF(J55:U55,"x")),1)+IF(COUNTIF(J55:U55,"x")=0,(Besatzung!$F$15="x"),(N55="x")*(Besatzung!$F$15="x"))*IFERROR(H55,0)/IFERROR(IF(COUNTIF(J55:U55,"x")=0,SUMPRODUCT((Besatzung!$B$11:$B$22&lt;&gt;"")*(Besatzung!$F$11:$F$22="x")),SUMPRODUCT((J55:U55="x")*(Besatzung!$F$11:$F$22="x"))),1))))),0))))</f>
        <v/>
      </c>
      <c r="AA55" s="247">
        <f>IF(C55="Gutschrift","",IF(G55="","",IF(Besatzung!$B$15="","",IFERROR(IF(I55="Zeitanteilig",(Besatzung!$G$16*(G55-IFERROR(H55,0))+((Besatzung!$B$15&lt;&gt;"")*IF(B55="",1,(IF(Besatzung!$C$16="",Besatzung!$B$5,Besatzung!$C$16)&lt;=B55)*(IF(Besatzung!$D$16="",Besatzung!$B$6,Besatzung!$D$16)&gt;=B55)))*(Besatzung!$F$16="x")*IFERROR(H55,0)/IFERROR(SUMPRODUCT((Besatzung!$B$11:$B$22&lt;&gt;"")*(Besatzung!$F$11:$F$22="x")*(IF(Besatzung!$C$11:$C$22="",Besatzung!$B$5,Besatzung!$C$11:$C$22)&lt;=B55)*(IF(Besatzung!$D$11:$D$22="",Besatzung!$B$6,Besatzung!$D$11:$D$22)&gt;=B55)),1)),IF(I55="An Bord",(((Besatzung!$B$15&lt;&gt;"")*IF(B55="",1,(IF(Besatzung!$C$16="",Besatzung!$B$5,Besatzung!$C$16)&lt;=B55)*(IF(Besatzung!$D$16="",Besatzung!$B$6,Besatzung!$D$16)&gt;=B55)))*((G55-IFERROR(H55,0))/IFERROR(SUMPRODUCT((Besatzung!$B$11:$B$22&lt;&gt;"")*(IF(Besatzung!$C$11:$C$22="",Besatzung!$B$5,Besatzung!$C$11:$C$22)&lt;=B55)*(IF(Besatzung!$D$11:$D$22="",Besatzung!$B$6,Besatzung!$D$11:$D$22)&gt;=B55)),1)+(Besatzung!$F$16="x")*IFERROR(H55,0)/IFERROR(SUMPRODUCT((Besatzung!$B$11:$B$22&lt;&gt;"")*(Besatzung!$F$11:$F$22="x")*(IF(Besatzung!$C$11:$C$22="",Besatzung!$B$5,Besatzung!$C$11:$C$22)&lt;=B55)*(IF(Besatzung!$D$11:$D$22="",Besatzung!$B$6,Besatzung!$D$11:$D$22)&gt;=B55)),1))),IF(I55="Individuell",((O55="x")*((G55-IFERROR(H55,0))/IFERROR(COUNTIF(J55:U55,"x"),1)+(Besatzung!$F$16="x")*IFERROR(H55,0)/IFERROR(SUMPRODUCT((J55:U55="x")*(Besatzung!$F$11:$F$22="x")),1))),(IF(COUNTIF(J55:U55,"x")=0,IF(Besatzung!$B$15&lt;&gt;"",1,0),(O55="x"))*(G55-IFERROR(H55,0))/IFERROR(IF(COUNTIF(J55:U55,"x")=0,COUNTA(Besatzung!$B$11:$B$22),COUNTIF(J55:U55,"x")),1)+IF(COUNTIF(J55:U55,"x")=0,(Besatzung!$F$16="x"),(O55="x")*(Besatzung!$F$16="x"))*IFERROR(H55,0)/IFERROR(IF(COUNTIF(J55:U55,"x")=0,SUMPRODUCT((Besatzung!$B$11:$B$22&lt;&gt;"")*(Besatzung!$F$11:$F$22="x")),SUMPRODUCT((J55:U55="x")*(Besatzung!$F$11:$F$22="x"))),1))))),0))))</f>
        <v/>
      </c>
      <c r="AB55" s="247">
        <f>IF(C55="Gutschrift","",IF(G55="","",IF(Besatzung!$B$17="","",IFERROR(IF(I55="Zeitanteilig",(Besatzung!$G$17*(G55-IFERROR(H55,0))+((Besatzung!$B$17&lt;&gt;"")*IF(B55="",1,(IF(Besatzung!$C$17="",Besatzung!$B$5,Besatzung!$C$17)&lt;=B55)*(IF(Besatzung!$D$17="",Besatzung!$B$6,Besatzung!$D$17)&gt;=B55)))*(Besatzung!$F$17="x")*IFERROR(H55,0)/IFERROR(SUMPRODUCT((Besatzung!$B$11:$B$22&lt;&gt;"")*(Besatzung!$F$11:$F$22="x")*(IF(Besatzung!$C$11:$C$22="",Besatzung!$B$5,Besatzung!$C$11:$C$22)&lt;=B55)*(IF(Besatzung!$D$11:$D$22="",Besatzung!$B$6,Besatzung!$D$11:$D$22)&gt;=B55)),1)),IF(I55="An Bord",(((Besatzung!$B$17&lt;&gt;"")*IF(B55="",1,(IF(Besatzung!$C$17="",Besatzung!$B$5,Besatzung!$C$17)&lt;=B55)*(IF(Besatzung!$D$17="",Besatzung!$B$6,Besatzung!$D$17)&gt;=B55)))*((G55-IFERROR(H55,0))/IFERROR(SUMPRODUCT((Besatzung!$B$11:$B$22&lt;&gt;"")*(IF(Besatzung!$C$11:$C$22="",Besatzung!$B$5,Besatzung!$C$11:$C$22)&lt;=B55)*(IF(Besatzung!$D$11:$D$22="",Besatzung!$B$6,Besatzung!$D$11:$D$22)&gt;=B55)),1)+(Besatzung!$F$17="x")*IFERROR(H55,0)/IFERROR(SUMPRODUCT((Besatzung!$B$11:$B$22&lt;&gt;"")*(Besatzung!$F$11:$F$22="x")*(IF(Besatzung!$C$11:$C$22="",Besatzung!$B$5,Besatzung!$C$11:$C$22)&lt;=B55)*(IF(Besatzung!$D$11:$D$22="",Besatzung!$B$6,Besatzung!$D$11:$D$22)&gt;=B55)),1))),IF(I55="Individuell",((P55="x")*((G55-IFERROR(H55,0))/IFERROR(COUNTIF(J55:U55,"x"),1)+(Besatzung!$F$17="x")*IFERROR(H55,0)/IFERROR(SUMPRODUCT((J55:U55="x")*(Besatzung!$F$11:$F$22="x")),1))),(IF(COUNTIF(J55:U55,"x")=0,IF(Besatzung!$B$17&lt;&gt;"",1,0),(P55="x"))*(G55-IFERROR(H55,0))/IFERROR(IF(COUNTIF(J55:U55,"x")=0,COUNTA(Besatzung!$B$11:$B$22),COUNTIF(J55:U55,"x")),1)+IF(COUNTIF(J55:U55,"x")=0,(Besatzung!$F$17="x"),(P55="x")*(Besatzung!$F$17="x"))*IFERROR(H55,0)/IFERROR(IF(COUNTIF(J55:U55,"x")=0,SUMPRODUCT((Besatzung!$B$11:$B$22&lt;&gt;"")*(Besatzung!$F$11:$F$22="x")),SUMPRODUCT((J55:U55="x")*(Besatzung!$F$11:$F$22="x"))),1))))),0))))</f>
        <v/>
      </c>
      <c r="AC55" s="247">
        <f>IF(C55="Gutschrift","",IF(G55="","",IF(Besatzung!$B$18="","",IFERROR(IF(I55="Zeitanteilig",(Besatzung!$G$18*(G55-IFERROR(H55,0))+((Besatzung!$B$18&lt;&gt;"")*IF(B55="",1,(IF(Besatzung!$C$18="",Besatzung!$B$5,Besatzung!$C$18)&lt;=B55)*(IF(Besatzung!$D$18="",Besatzung!$B$6,Besatzung!$D$18)&gt;=B55)))*(Besatzung!$F$18="x")*IFERROR(H55,0)/IFERROR(SUMPRODUCT((Besatzung!$B$11:$B$22&lt;&gt;"")*(Besatzung!$F$11:$F$22="x")*(IF(Besatzung!$C$11:$C$22="",Besatzung!$B$5,Besatzung!$C$11:$C$22)&lt;=B55)*(IF(Besatzung!$D$11:$D$22="",Besatzung!$B$6,Besatzung!$D$11:$D$22)&gt;=B55)),1)),IF(I55="An Bord",(((Besatzung!$B$18&lt;&gt;"")*IF(B55="",1,(IF(Besatzung!$C$18="",Besatzung!$B$5,Besatzung!$C$18)&lt;=B55)*(IF(Besatzung!$D$18="",Besatzung!$B$6,Besatzung!$D$18)&gt;=B55)))*((G55-IFERROR(H55,0))/IFERROR(SUMPRODUCT((Besatzung!$B$11:$B$22&lt;&gt;"")*(IF(Besatzung!$C$11:$C$22="",Besatzung!$B$5,Besatzung!$C$11:$C$22)&lt;=B55)*(IF(Besatzung!$D$11:$D$22="",Besatzung!$B$6,Besatzung!$D$11:$D$22)&gt;=B55)),1)+(Besatzung!$F$18="x")*IFERROR(H55,0)/IFERROR(SUMPRODUCT((Besatzung!$B$11:$B$22&lt;&gt;"")*(Besatzung!$F$11:$F$22="x")*(IF(Besatzung!$C$11:$C$22="",Besatzung!$B$5,Besatzung!$C$11:$C$22)&lt;=B55)*(IF(Besatzung!$D$11:$D$22="",Besatzung!$B$6,Besatzung!$D$11:$D$22)&gt;=B55)),1))),IF(I55="Individuell",((Q55="x")*((G55-IFERROR(H55,0))/IFERROR(COUNTIF(J55:U55,"x"),1)+(Besatzung!$F$18="x")*IFERROR(H55,0)/IFERROR(SUMPRODUCT((J55:U55="x")*(Besatzung!$F$11:$F$22="x")),1))),(IF(COUNTIF(J55:U55,"x")=0,IF(Besatzung!$B$18&lt;&gt;"",1,0),(Q55="x"))*(G55-IFERROR(H55,0))/IFERROR(IF(COUNTIF(J55:U55,"x")=0,COUNTA(Besatzung!$B$11:$B$22),COUNTIF(J55:U55,"x")),1)+IF(COUNTIF(J55:U55,"x")=0,(Besatzung!$F$18="x"),(Q55="x")*(Besatzung!$F$18="x"))*IFERROR(H55,0)/IFERROR(IF(COUNTIF(J55:U55,"x")=0,SUMPRODUCT((Besatzung!$B$11:$B$22&lt;&gt;"")*(Besatzung!$F$11:$F$22="x")),SUMPRODUCT((J55:U55="x")*(Besatzung!$F$11:$F$22="x"))),1))))),0))))</f>
        <v/>
      </c>
      <c r="AD55" s="247">
        <f>IF(C55="Gutschrift","",IF(G55="","",IF(Besatzung!$B$19="","",IFERROR(IF(I55="Zeitanteilig",(Besatzung!$G$19*(G55-IFERROR(H55,0))+((Besatzung!$B$19&lt;&gt;"")*IF(B55="",1,(IF(Besatzung!$C$19="",Besatzung!$B$5,Besatzung!$C$19)&lt;=B55)*(IF(Besatzung!$D$19="",Besatzung!$B$6,Besatzung!$D$19)&gt;=B55)))*(Besatzung!$F$19="x")*IFERROR(H55,0)/IFERROR(SUMPRODUCT((Besatzung!$B$11:$B$22&lt;&gt;"")*(Besatzung!$F$11:$F$22="x")*(IF(Besatzung!$C$11:$C$22="",Besatzung!$B$5,Besatzung!$C$11:$C$22)&lt;=B55)*(IF(Besatzung!$D$11:$D$22="",Besatzung!$B$6,Besatzung!$D$11:$D$22)&gt;=B55)),1)),IF(I55="An Bord",(((Besatzung!$B$19&lt;&gt;"")*IF(B55="",1,(IF(Besatzung!$C$19="",Besatzung!$B$5,Besatzung!$C$19)&lt;=B55)*(IF(Besatzung!$D$19="",Besatzung!$B$6,Besatzung!$D$19)&gt;=B55)))*((G55-IFERROR(H55,0))/IFERROR(SUMPRODUCT((Besatzung!$B$11:$B$22&lt;&gt;"")*(IF(Besatzung!$C$11:$C$22="",Besatzung!$B$5,Besatzung!$C$11:$C$22)&lt;=B55)*(IF(Besatzung!$D$11:$D$22="",Besatzung!$B$6,Besatzung!$D$11:$D$22)&gt;=B55)),1)+(Besatzung!$F$19="x")*IFERROR(H55,0)/IFERROR(SUMPRODUCT((Besatzung!$B$11:$B$22&lt;&gt;"")*(Besatzung!$F$11:$F$22="x")*(IF(Besatzung!$C$11:$C$22="",Besatzung!$B$5,Besatzung!$C$11:$C$22)&lt;=B55)*(IF(Besatzung!$D$11:$D$22="",Besatzung!$B$6,Besatzung!$D$11:$D$22)&gt;=B55)),1))),IF(I55="Individuell",((R55="x")*((G55-IFERROR(H55,0))/IFERROR(COUNTIF(J55:U55,"x"),1)+(Besatzung!$F$19="x")*IFERROR(H55,0)/IFERROR(SUMPRODUCT((J55:U55="x")*(Besatzung!$F$11:$F$22="x")),1))),(IF(COUNTIF(J55:U55,"x")=0,IF(Besatzung!$B$19&lt;&gt;"",1,0),(R55="x"))*(G55-IFERROR(H55,0))/IFERROR(IF(COUNTIF(J55:U55,"x")=0,COUNTA(Besatzung!$B$11:$B$22),COUNTIF(J55:U55,"x")),1)+IF(COUNTIF(J55:U55,"x")=0,(Besatzung!$F$19="x"),(R55="x")*(Besatzung!$F$19="x"))*IFERROR(H55,0)/IFERROR(IF(COUNTIF(J55:U55,"x")=0,SUMPRODUCT((Besatzung!$B$11:$B$22&lt;&gt;"")*(Besatzung!$F$11:$F$22="x")),SUMPRODUCT((J55:U55="x")*(Besatzung!$F$11:$F$22="x"))),1))))),0))))</f>
        <v/>
      </c>
      <c r="AE55" s="247">
        <f>IF(C55="Gutschrift","",IF(G55="","",IF(Besatzung!$B$20="","",IFERROR(IF(I55="Zeitanteilig",(Besatzung!$G$20*(G55-IFERROR(H55,0))+((Besatzung!$B$20&lt;&gt;"")*IF(B55="",1,(IF(Besatzung!$C$20="",Besatzung!$B$5,Besatzung!$C$20)&lt;=B55)*(IF(Besatzung!$D$20="",Besatzung!$B$6,Besatzung!$D$20)&gt;=B55)))*(Besatzung!$F$20="x")*IFERROR(H55,0)/IFERROR(SUMPRODUCT((Besatzung!$B$11:$B$22&lt;&gt;"")*(Besatzung!$F$11:$F$22="x")*(IF(Besatzung!$C$11:$C$22="",Besatzung!$B$5,Besatzung!$C$11:$C$22)&lt;=B55)*(IF(Besatzung!$D$11:$D$22="",Besatzung!$B$6,Besatzung!$D$11:$D$22)&gt;=B55)),1)),IF(I55="An Bord",(((Besatzung!$B$20&lt;&gt;"")*IF(B55="",1,(IF(Besatzung!$C$20="",Besatzung!$B$5,Besatzung!$C$20)&lt;=B55)*(IF(Besatzung!$D$20="",Besatzung!$B$6,Besatzung!$D$20)&gt;=B55)))*((G55-IFERROR(H55,0))/IFERROR(SUMPRODUCT((Besatzung!$B$11:$B$22&lt;&gt;"")*(IF(Besatzung!$C$11:$C$22="",Besatzung!$B$5,Besatzung!$C$11:$C$22)&lt;=B55)*(IF(Besatzung!$D$11:$D$22="",Besatzung!$B$6,Besatzung!$D$11:$D$22)&gt;=B55)),1)+(Besatzung!$F$20="x")*IFERROR(H55,0)/IFERROR(SUMPRODUCT((Besatzung!$B$11:$B$22&lt;&gt;"")*(Besatzung!$F$11:$F$22="x")*(IF(Besatzung!$C$11:$C$22="",Besatzung!$B$5,Besatzung!$C$11:$C$22)&lt;=B55)*(IF(Besatzung!$D$11:$D$22="",Besatzung!$B$6,Besatzung!$D$11:$D$22)&gt;=B55)),1))),IF(I55="Individuell",((S55="x")*((G55-IFERROR(H55,0))/IFERROR(COUNTIF(J55:U55,"x"),1)+(Besatzung!$F$20="x")*IFERROR(H55,0)/IFERROR(SUMPRODUCT((J55:U55="x")*(Besatzung!$F$11:$F$22="x")),1))),(IF(COUNTIF(J55:U55,"x")=0,IF(Besatzung!$B$20&lt;&gt;"",1,0),(S55="x"))*(G55-IFERROR(H55,0))/IFERROR(IF(COUNTIF(J55:U55,"x")=0,COUNTA(Besatzung!$B$11:$B$22),COUNTIF(J55:U55,"x")),1)+IF(COUNTIF(J55:U55,"x")=0,(Besatzung!$F$20="x"),(S55="x")*(Besatzung!$F$20="x"))*IFERROR(H55,0)/IFERROR(IF(COUNTIF(J55:U55,"x")=0,SUMPRODUCT((Besatzung!$B$11:$B$22&lt;&gt;"")*(Besatzung!$F$11:$F$22="x")),SUMPRODUCT((J55:U55="x")*(Besatzung!$F$11:$F$22="x"))),1))))),0))))</f>
        <v/>
      </c>
      <c r="AF55" s="247">
        <f>IF(C55="Gutschrift","",IF(G55="","",IF(Besatzung!$B$21="","",IFERROR(IF(I55="Zeitanteilig",(Besatzung!$G$21*(G55-IFERROR(H55,0))+((Besatzung!$B$21&lt;&gt;"")*IF(B55="",1,(IF(Besatzung!$C$21="",Besatzung!$B$5,Besatzung!$C$21)&lt;=B55)*(IF(Besatzung!$D$21="",Besatzung!$B$6,Besatzung!$D$21)&gt;=B55)))*(Besatzung!$F$21="x")*IFERROR(H55,0)/IFERROR(SUMPRODUCT((Besatzung!$B$11:$B$22&lt;&gt;"")*(Besatzung!$F$11:$F$22="x")*(IF(Besatzung!$C$11:$C$22="",Besatzung!$B$5,Besatzung!$C$11:$C$22)&lt;=B55)*(IF(Besatzung!$D$11:$D$22="",Besatzung!$B$6,Besatzung!$D$11:$D$22)&gt;=B55)),1)),IF(I55="An Bord",(((Besatzung!$B$21&lt;&gt;"")*IF(B55="",1,(IF(Besatzung!$C$21="",Besatzung!$B$5,Besatzung!$C$21)&lt;=B55)*(IF(Besatzung!$D$21="",Besatzung!$B$6,Besatzung!$D$21)&gt;=B55)))*((G55-IFERROR(H55,0))/IFERROR(SUMPRODUCT((Besatzung!$B$11:$B$22&lt;&gt;"")*(IF(Besatzung!$C$11:$C$22="",Besatzung!$B$5,Besatzung!$C$11:$C$22)&lt;=B55)*(IF(Besatzung!$D$11:$D$22="",Besatzung!$B$6,Besatzung!$D$11:$D$22)&gt;=B55)),1)+(Besatzung!$F$21="x")*IFERROR(H55,0)/IFERROR(SUMPRODUCT((Besatzung!$B$11:$B$22&lt;&gt;"")*(Besatzung!$F$11:$F$22="x")*(IF(Besatzung!$C$11:$C$22="",Besatzung!$B$5,Besatzung!$C$11:$C$22)&lt;=B55)*(IF(Besatzung!$D$11:$D$22="",Besatzung!$B$6,Besatzung!$D$11:$D$22)&gt;=B55)),1))),IF(I55="Individuell",((T55="x")*((G55-IFERROR(H55,0))/IFERROR(COUNTIF(J55:U55,"x"),1)+(Besatzung!$F$21="x")*IFERROR(H55,0)/IFERROR(SUMPRODUCT((J55:U55="x")*(Besatzung!$F$11:$F$22="x")),1))),(IF(COUNTIF(J55:U55,"x")=0,IF(Besatzung!$B$21&lt;&gt;"",1,0),(T55="x"))*(G55-IFERROR(H55,0))/IFERROR(IF(COUNTIF(J55:U55,"x")=0,COUNTA(Besatzung!$B$11:$B$22),COUNTIF(J55:U55,"x")),1)+IF(COUNTIF(J55:U55,"x")=0,(Besatzung!$F$21="x"),(T55="x")*(Besatzung!$F$21="x"))*IFERROR(H55,0)/IFERROR(IF(COUNTIF(J55:U55,"x")=0,SUMPRODUCT((Besatzung!$B$11:$B$22&lt;&gt;"")*(Besatzung!$F$11:$F$22="x")),SUMPRODUCT((J55:U55="x")*(Besatzung!$F$11:$F$22="x"))),1))))),0))))</f>
        <v/>
      </c>
      <c r="AG55" s="247">
        <f>IF(C55="Gutschrift","",IF(G55="","",IF(Besatzung!$B$22="","",IFERROR(IF(I55="Zeitanteilig",(Besatzung!$G$22*(G55-IFERROR(H55,0))+((Besatzung!$B$22&lt;&gt;"")*IF(B55="",1,(IF(Besatzung!$C$22="",Besatzung!$B$5,Besatzung!$C$22)&lt;=B55)*(IF(Besatzung!$D$22="",Besatzung!$B$6,Besatzung!$D$22)&gt;=B55)))*(Besatzung!$F$22="x")*IFERROR(H55,0)/IFERROR(SUMPRODUCT((Besatzung!$B$11:$B$22&lt;&gt;"")*(Besatzung!$F$11:$F$22="x")*(IF(Besatzung!$C$11:$C$22="",Besatzung!$B$5,Besatzung!$C$11:$C$22)&lt;=B55)*(IF(Besatzung!$D$11:$D$22="",Besatzung!$B$6,Besatzung!$D$11:$D$22)&gt;=B55)),1)),IF(I55="An Bord",(((Besatzung!$B$22&lt;&gt;"")*IF(B55="",1,(IF(Besatzung!$C$22="",Besatzung!$B$5,Besatzung!$C$22)&lt;=B55)*(IF(Besatzung!$D$22="",Besatzung!$B$6,Besatzung!$D$22)&gt;=B55)))*((G55-IFERROR(H55,0))/IFERROR(SUMPRODUCT((Besatzung!$B$11:$B$22&lt;&gt;"")*(IF(Besatzung!$C$11:$C$22="",Besatzung!$B$5,Besatzung!$C$11:$C$22)&lt;=B55)*(IF(Besatzung!$D$11:$D$22="",Besatzung!$B$6,Besatzung!$D$11:$D$22)&gt;=B55)),1)+(Besatzung!$F$22="x")*IFERROR(H55,0)/IFERROR(SUMPRODUCT((Besatzung!$B$11:$B$22&lt;&gt;"")*(Besatzung!$F$11:$F$22="x")*(IF(Besatzung!$C$11:$C$22="",Besatzung!$B$5,Besatzung!$C$11:$C$22)&lt;=B55)*(IF(Besatzung!$D$11:$D$22="",Besatzung!$B$6,Besatzung!$D$11:$D$22)&gt;=B55)),1))),IF(I55="Individuell",((U55="x")*((G55-IFERROR(H55,0))/IFERROR(COUNTIF(J55:U55,"x"),1)+(Besatzung!$F$22="x")*IFERROR(H55,0)/IFERROR(SUMPRODUCT((J55:U55="x")*(Besatzung!$F$11:$F$22="x")),1))),(IF(COUNTIF(J55:U55,"x")=0,IF(Besatzung!$B$22&lt;&gt;"",1,0),(U55="x"))*(G55-IFERROR(H55,0))/IFERROR(IF(COUNTIF(J55:U55,"x")=0,COUNTA(Besatzung!$B$11:$B$22),COUNTIF(J55:U55,"x")),1)+IF(COUNTIF(J55:U55,"x")=0,(Besatzung!$F$22="x"),(U55="x")*(Besatzung!$F$22="x"))*IFERROR(H55,0)/IFERROR(IF(COUNTIF(J55:U55,"x")=0,SUMPRODUCT((Besatzung!$B$11:$B$22&lt;&gt;"")*(Besatzung!$F$11:$F$22="x")),SUMPRODUCT((J55:U55="x")*(Besatzung!$F$11:$F$22="x"))),1))))),0))))</f>
        <v/>
      </c>
      <c r="AH55" s="248" t="n"/>
      <c r="AI55" s="248" t="n"/>
    </row>
    <row r="56" ht="21.75" customHeight="1" s="154">
      <c r="A56" s="238">
        <f>IF(AND(D56="",C56=""),"",53)</f>
        <v/>
      </c>
      <c r="B56" s="199" t="n"/>
      <c r="C56" s="239" t="n"/>
      <c r="D56" s="240" t="n"/>
      <c r="E56" s="241" t="n"/>
      <c r="F56" s="242" t="n"/>
      <c r="G56" s="243" t="n"/>
      <c r="H56" s="244" t="n"/>
      <c r="I56" s="245" t="n"/>
      <c r="J56" s="246" t="n"/>
      <c r="K56" s="246" t="n"/>
      <c r="L56" s="246" t="n"/>
      <c r="M56" s="246" t="n"/>
      <c r="N56" s="246" t="n"/>
      <c r="O56" s="246" t="n"/>
      <c r="P56" s="246" t="n"/>
      <c r="Q56" s="246" t="n"/>
      <c r="R56" s="246" t="n"/>
      <c r="S56" s="246" t="n"/>
      <c r="T56" s="246" t="n"/>
      <c r="U56" s="246" t="n"/>
      <c r="V56" s="247">
        <f>IF(C56="Gutschrift","",IF(G56="","",IF(Besatzung!$B$11="","",IFERROR(IF(I56="Zeitanteilig",(Besatzung!$G$11*(G56-IFERROR(H56,0))+((Besatzung!$B$11&lt;&gt;"")*IF(B56="",1,(IF(Besatzung!$C$11="",Besatzung!$B$5,Besatzung!$C$11)&lt;=B56)*(IF(Besatzung!$D$11="",Besatzung!$B$6,Besatzung!$D$11)&gt;=B56)))*(Besatzung!$F$11="x")*IFERROR(H56,0)/IFERROR(SUMPRODUCT((Besatzung!$B$11:$B$22&lt;&gt;"")*(Besatzung!$F$11:$F$22="x")*(IF(Besatzung!$C$11:$C$22="",Besatzung!$B$5,Besatzung!$C$11:$C$22)&lt;=B56)*(IF(Besatzung!$D$11:$D$22="",Besatzung!$B$6,Besatzung!$D$11:$D$22)&gt;=B56)),1)),IF(I56="An Bord",(((Besatzung!$B$11&lt;&gt;"")*IF(B56="",1,(IF(Besatzung!$C$11="",Besatzung!$B$5,Besatzung!$C$11)&lt;=B56)*(IF(Besatzung!$D$11="",Besatzung!$B$6,Besatzung!$D$11)&gt;=B56)))*((G56-IFERROR(H56,0))/IFERROR(SUMPRODUCT((Besatzung!$B$11:$B$22&lt;&gt;"")*(IF(Besatzung!$C$11:$C$22="",Besatzung!$B$5,Besatzung!$C$11:$C$22)&lt;=B56)*(IF(Besatzung!$D$11:$D$22="",Besatzung!$B$6,Besatzung!$D$11:$D$22)&gt;=B56)),1)+(Besatzung!$F$11="x")*IFERROR(H56,0)/IFERROR(SUMPRODUCT((Besatzung!$B$11:$B$22&lt;&gt;"")*(Besatzung!$F$11:$F$22="x")*(IF(Besatzung!$C$11:$C$22="",Besatzung!$B$5,Besatzung!$C$11:$C$22)&lt;=B56)*(IF(Besatzung!$D$11:$D$22="",Besatzung!$B$6,Besatzung!$D$11:$D$22)&gt;=B56)),1))),IF(I56="Individuell",((J56="x")*((G56-IFERROR(H56,0))/IFERROR(COUNTIF(J56:U56,"x"),1)+(Besatzung!$F$11="x")*IFERROR(H56,0)/IFERROR(SUMPRODUCT((J56:U56="x")*(Besatzung!$F$11:$F$22="x")),1))),(IF(COUNTIF(J56:U56,"x")=0,IF(Besatzung!$B$11&lt;&gt;"",1,0),(J56="x"))*(G56-IFERROR(H56,0))/IFERROR(IF(COUNTIF(J56:U56,"x")=0,COUNTA(Besatzung!$B$11:$B$22),COUNTIF(J56:U56,"x")),1)+IF(COUNTIF(J56:U56,"x")=0,(Besatzung!$F$11="x"),(J56="x")*(Besatzung!$F$11="x"))*IFERROR(H56,0)/IFERROR(IF(COUNTIF(J56:U56,"x")=0,SUMPRODUCT((Besatzung!$B$11:$B$22&lt;&gt;"")*(Besatzung!$F$11:$F$22="x")),SUMPRODUCT((J56:U56="x")*(Besatzung!$F$11:$F$22="x"))),1))))),0))))</f>
        <v/>
      </c>
      <c r="W56" s="247">
        <f>IF(C56="Gutschrift","",IF(G56="","",IF(Besatzung!$B$12="","",IFERROR(IF(I56="Zeitanteilig",(Besatzung!$G$12*(G56-IFERROR(H56,0))+((Besatzung!$B$12&lt;&gt;"")*IF(B56="",1,(IF(Besatzung!$C$12="",Besatzung!$B$5,Besatzung!$C$12)&lt;=B56)*(IF(Besatzung!$D$12="",Besatzung!$B$6,Besatzung!$D$12)&gt;=B56)))*(Besatzung!$F$12="x")*IFERROR(H56,0)/IFERROR(SUMPRODUCT((Besatzung!$B$11:$B$22&lt;&gt;"")*(Besatzung!$F$11:$F$22="x")*(IF(Besatzung!$C$11:$C$22="",Besatzung!$B$5,Besatzung!$C$11:$C$22)&lt;=B56)*(IF(Besatzung!$D$11:$D$22="",Besatzung!$B$6,Besatzung!$D$11:$D$22)&gt;=B56)),1)),IF(I56="An Bord",(((Besatzung!$B$12&lt;&gt;"")*IF(B56="",1,(IF(Besatzung!$C$12="",Besatzung!$B$5,Besatzung!$C$12)&lt;=B56)*(IF(Besatzung!$D$12="",Besatzung!$B$6,Besatzung!$D$12)&gt;=B56)))*((G56-IFERROR(H56,0))/IFERROR(SUMPRODUCT((Besatzung!$B$11:$B$22&lt;&gt;"")*(IF(Besatzung!$C$11:$C$22="",Besatzung!$B$5,Besatzung!$C$11:$C$22)&lt;=B56)*(IF(Besatzung!$D$11:$D$22="",Besatzung!$B$6,Besatzung!$D$11:$D$22)&gt;=B56)),1)+(Besatzung!$F$12="x")*IFERROR(H56,0)/IFERROR(SUMPRODUCT((Besatzung!$B$11:$B$22&lt;&gt;"")*(Besatzung!$F$11:$F$22="x")*(IF(Besatzung!$C$11:$C$22="",Besatzung!$B$5,Besatzung!$C$11:$C$22)&lt;=B56)*(IF(Besatzung!$D$11:$D$22="",Besatzung!$B$6,Besatzung!$D$11:$D$22)&gt;=B56)),1))),IF(I56="Individuell",((K56="x")*((G56-IFERROR(H56,0))/IFERROR(COUNTIF(J56:U56,"x"),1)+(Besatzung!$F$12="x")*IFERROR(H56,0)/IFERROR(SUMPRODUCT((J56:U56="x")*(Besatzung!$F$11:$F$22="x")),1))),(IF(COUNTIF(J56:U56,"x")=0,IF(Besatzung!$B$12&lt;&gt;"",1,0),(K56="x"))*(G56-IFERROR(H56,0))/IFERROR(IF(COUNTIF(J56:U56,"x")=0,COUNTA(Besatzung!$B$11:$B$22),COUNTIF(J56:U56,"x")),1)+IF(COUNTIF(J56:U56,"x")=0,(Besatzung!$F$12="x"),(K56="x")*(Besatzung!$F$12="x"))*IFERROR(H56,0)/IFERROR(IF(COUNTIF(J56:U56,"x")=0,SUMPRODUCT((Besatzung!$B$11:$B$22&lt;&gt;"")*(Besatzung!$F$11:$F$22="x")),SUMPRODUCT((J56:U56="x")*(Besatzung!$F$11:$F$22="x"))),1))))),0))))</f>
        <v/>
      </c>
      <c r="X56" s="247">
        <f>IF(C56="Gutschrift","",IF(G56="","",IF(Besatzung!$B$13="","",IFERROR(IF(I56="Zeitanteilig",(Besatzung!$G$13*(G56-IFERROR(H56,0))+((Besatzung!$B$13&lt;&gt;"")*IF(B56="",1,(IF(Besatzung!$C$13="",Besatzung!$B$5,Besatzung!$C$13)&lt;=B56)*(IF(Besatzung!$D$13="",Besatzung!$B$6,Besatzung!$D$13)&gt;=B56)))*(Besatzung!$F$13="x")*IFERROR(H56,0)/IFERROR(SUMPRODUCT((Besatzung!$B$11:$B$22&lt;&gt;"")*(Besatzung!$F$11:$F$22="x")*(IF(Besatzung!$C$11:$C$22="",Besatzung!$B$5,Besatzung!$C$11:$C$22)&lt;=B56)*(IF(Besatzung!$D$11:$D$22="",Besatzung!$B$6,Besatzung!$D$11:$D$22)&gt;=B56)),1)),IF(I56="An Bord",(((Besatzung!$B$13&lt;&gt;"")*IF(B56="",1,(IF(Besatzung!$C$13="",Besatzung!$B$5,Besatzung!$C$13)&lt;=B56)*(IF(Besatzung!$D$13="",Besatzung!$B$6,Besatzung!$D$13)&gt;=B56)))*((G56-IFERROR(H56,0))/IFERROR(SUMPRODUCT((Besatzung!$B$11:$B$22&lt;&gt;"")*(IF(Besatzung!$C$11:$C$22="",Besatzung!$B$5,Besatzung!$C$11:$C$22)&lt;=B56)*(IF(Besatzung!$D$11:$D$22="",Besatzung!$B$6,Besatzung!$D$11:$D$22)&gt;=B56)),1)+(Besatzung!$F$13="x")*IFERROR(H56,0)/IFERROR(SUMPRODUCT((Besatzung!$B$11:$B$22&lt;&gt;"")*(Besatzung!$F$11:$F$22="x")*(IF(Besatzung!$C$11:$C$22="",Besatzung!$B$5,Besatzung!$C$11:$C$22)&lt;=B56)*(IF(Besatzung!$D$11:$D$22="",Besatzung!$B$6,Besatzung!$D$11:$D$22)&gt;=B56)),1))),IF(I56="Individuell",((K56="x")*((G56-IFERROR(H56,0))/IFERROR(COUNTIF(J56:U56,"x"),1)+(Besatzung!$F$13="x")*IFERROR(H56,0)/IFERROR(SUMPRODUCT((J56:U56="x")*(Besatzung!$F$11:$F$22="x")),1))),(IF(COUNTIF(J56:U56,"x")=0,IF(Besatzung!$B$13&lt;&gt;"",1,0),(K56="x"))*(G56-IFERROR(H56,0))/IFERROR(IF(COUNTIF(J56:U56,"x")=0,COUNTA(Besatzung!$B$11:$B$22),COUNTIF(J56:U56,"x")),1)+IF(COUNTIF(J56:U56,"x")=0,(Besatzung!$F$13="x"),(K56="x")*(Besatzung!$F$13="x"))*IFERROR(H56,0)/IFERROR(IF(COUNTIF(J56:U56,"x")=0,SUMPRODUCT((Besatzung!$B$11:$B$22&lt;&gt;"")*(Besatzung!$F$11:$F$22="x")),SUMPRODUCT((J56:U56="x")*(Besatzung!$F$11:$F$22="x"))),1))))),0))))</f>
        <v/>
      </c>
      <c r="Y56" s="247">
        <f>IF(C56="Gutschrift","",IF(G56="","",IF(Besatzung!$B$14="","",IFERROR(IF(I56="Zeitanteilig",(Besatzung!$G$14*(G56-IFERROR(H56,0))+((Besatzung!$B$14&lt;&gt;"")*IF(B56="",1,(IF(Besatzung!$C$14="",Besatzung!$B$5,Besatzung!$C$14)&lt;=B56)*(IF(Besatzung!$D$14="",Besatzung!$B$6,Besatzung!$D$14)&gt;=B56)))*(Besatzung!$F$14="x")*IFERROR(H56,0)/IFERROR(SUMPRODUCT((Besatzung!$B$11:$B$22&lt;&gt;"")*(Besatzung!$F$11:$F$22="x")*(IF(Besatzung!$C$11:$C$22="",Besatzung!$B$5,Besatzung!$C$11:$C$22)&lt;=B56)*(IF(Besatzung!$D$11:$D$22="",Besatzung!$B$6,Besatzung!$D$11:$D$22)&gt;=B56)),1)),IF(I56="An Bord",(((Besatzung!$B$14&lt;&gt;"")*IF(B56="",1,(IF(Besatzung!$C$14="",Besatzung!$B$5,Besatzung!$C$14)&lt;=B56)*(IF(Besatzung!$D$14="",Besatzung!$B$6,Besatzung!$D$14)&gt;=B56)))*((G56-IFERROR(H56,0))/IFERROR(SUMPRODUCT((Besatzung!$B$11:$B$22&lt;&gt;"")*(IF(Besatzung!$C$11:$C$22="",Besatzung!$B$5,Besatzung!$C$11:$C$22)&lt;=B56)*(IF(Besatzung!$D$11:$D$22="",Besatzung!$B$6,Besatzung!$D$11:$D$22)&gt;=B56)),1)+(Besatzung!$F$14="x")*IFERROR(H56,0)/IFERROR(SUMPRODUCT((Besatzung!$B$11:$B$22&lt;&gt;"")*(Besatzung!$F$11:$F$22="x")*(IF(Besatzung!$C$11:$C$22="",Besatzung!$B$5,Besatzung!$C$11:$C$22)&lt;=B56)*(IF(Besatzung!$D$11:$D$22="",Besatzung!$B$6,Besatzung!$D$11:$D$22)&gt;=B56)),1))),IF(I56="Individuell",((M56="x")*((G56-IFERROR(H56,0))/IFERROR(COUNTIF(J56:U56,"x"),1)+(Besatzung!$F$14="x")*IFERROR(H56,0)/IFERROR(SUMPRODUCT((J56:U56="x")*(Besatzung!$F$11:$F$22="x")),1))),(IF(COUNTIF(J56:U56,"x")=0,IF(Besatzung!$B$14&lt;&gt;"",1,0),(M56="x"))*(G56-IFERROR(H56,0))/IFERROR(IF(COUNTIF(J56:U56,"x")=0,COUNTA(Besatzung!$B$11:$B$22),COUNTIF(J56:U56,"x")),1)+IF(COUNTIF(J56:U56,"x")=0,(Besatzung!$F$14="x"),(M56="x")*(Besatzung!$F$14="x"))*IFERROR(H56,0)/IFERROR(IF(COUNTIF(J56:U56,"x")=0,SUMPRODUCT((Besatzung!$B$11:$B$22&lt;&gt;"")*(Besatzung!$F$11:$F$22="x")),SUMPRODUCT((J56:U56="x")*(Besatzung!$F$11:$F$22="x"))),1))))),0))))</f>
        <v/>
      </c>
      <c r="Z56" s="247">
        <f>IF(C56="Gutschrift","",IF(G56="","",IF(Besatzung!$B$13="","",IFERROR(IF(I56="Zeitanteilig",(Besatzung!$G$15*(G56-IFERROR(H56,0))+((Besatzung!$B$13&lt;&gt;"")*IF(B56="",1,(IF(Besatzung!$C$15="",Besatzung!$B$5,Besatzung!$C$15)&lt;=B56)*(IF(Besatzung!$D$15="",Besatzung!$B$6,Besatzung!$D$15)&gt;=B56)))*(Besatzung!$F$15="x")*IFERROR(H56,0)/IFERROR(SUMPRODUCT((Besatzung!$B$11:$B$22&lt;&gt;"")*(Besatzung!$F$11:$F$22="x")*(IF(Besatzung!$C$11:$C$22="",Besatzung!$B$5,Besatzung!$C$11:$C$22)&lt;=B56)*(IF(Besatzung!$D$11:$D$22="",Besatzung!$B$6,Besatzung!$D$11:$D$22)&gt;=B56)),1)),IF(I56="An Bord",(((Besatzung!$B$13&lt;&gt;"")*IF(B56="",1,(IF(Besatzung!$C$15="",Besatzung!$B$5,Besatzung!$C$15)&lt;=B56)*(IF(Besatzung!$D$15="",Besatzung!$B$6,Besatzung!$D$15)&gt;=B56)))*((G56-IFERROR(H56,0))/IFERROR(SUMPRODUCT((Besatzung!$B$11:$B$22&lt;&gt;"")*(IF(Besatzung!$C$11:$C$22="",Besatzung!$B$5,Besatzung!$C$11:$C$22)&lt;=B56)*(IF(Besatzung!$D$11:$D$22="",Besatzung!$B$6,Besatzung!$D$11:$D$22)&gt;=B56)),1)+(Besatzung!$F$15="x")*IFERROR(H56,0)/IFERROR(SUMPRODUCT((Besatzung!$B$11:$B$22&lt;&gt;"")*(Besatzung!$F$11:$F$22="x")*(IF(Besatzung!$C$11:$C$22="",Besatzung!$B$5,Besatzung!$C$11:$C$22)&lt;=B56)*(IF(Besatzung!$D$11:$D$22="",Besatzung!$B$6,Besatzung!$D$11:$D$22)&gt;=B56)),1))),IF(I56="Individuell",((N56="x")*((G56-IFERROR(H56,0))/IFERROR(COUNTIF(J56:U56,"x"),1)+(Besatzung!$F$15="x")*IFERROR(H56,0)/IFERROR(SUMPRODUCT((J56:U56="x")*(Besatzung!$F$11:$F$22="x")),1))),(IF(COUNTIF(J56:U56,"x")=0,IF(Besatzung!$B$13&lt;&gt;"",1,0),(N56="x"))*(G56-IFERROR(H56,0))/IFERROR(IF(COUNTIF(J56:U56,"x")=0,COUNTA(Besatzung!$B$11:$B$22),COUNTIF(J56:U56,"x")),1)+IF(COUNTIF(J56:U56,"x")=0,(Besatzung!$F$15="x"),(N56="x")*(Besatzung!$F$15="x"))*IFERROR(H56,0)/IFERROR(IF(COUNTIF(J56:U56,"x")=0,SUMPRODUCT((Besatzung!$B$11:$B$22&lt;&gt;"")*(Besatzung!$F$11:$F$22="x")),SUMPRODUCT((J56:U56="x")*(Besatzung!$F$11:$F$22="x"))),1))))),0))))</f>
        <v/>
      </c>
      <c r="AA56" s="247">
        <f>IF(C56="Gutschrift","",IF(G56="","",IF(Besatzung!$B$15="","",IFERROR(IF(I56="Zeitanteilig",(Besatzung!$G$16*(G56-IFERROR(H56,0))+((Besatzung!$B$15&lt;&gt;"")*IF(B56="",1,(IF(Besatzung!$C$16="",Besatzung!$B$5,Besatzung!$C$16)&lt;=B56)*(IF(Besatzung!$D$16="",Besatzung!$B$6,Besatzung!$D$16)&gt;=B56)))*(Besatzung!$F$16="x")*IFERROR(H56,0)/IFERROR(SUMPRODUCT((Besatzung!$B$11:$B$22&lt;&gt;"")*(Besatzung!$F$11:$F$22="x")*(IF(Besatzung!$C$11:$C$22="",Besatzung!$B$5,Besatzung!$C$11:$C$22)&lt;=B56)*(IF(Besatzung!$D$11:$D$22="",Besatzung!$B$6,Besatzung!$D$11:$D$22)&gt;=B56)),1)),IF(I56="An Bord",(((Besatzung!$B$15&lt;&gt;"")*IF(B56="",1,(IF(Besatzung!$C$16="",Besatzung!$B$5,Besatzung!$C$16)&lt;=B56)*(IF(Besatzung!$D$16="",Besatzung!$B$6,Besatzung!$D$16)&gt;=B56)))*((G56-IFERROR(H56,0))/IFERROR(SUMPRODUCT((Besatzung!$B$11:$B$22&lt;&gt;"")*(IF(Besatzung!$C$11:$C$22="",Besatzung!$B$5,Besatzung!$C$11:$C$22)&lt;=B56)*(IF(Besatzung!$D$11:$D$22="",Besatzung!$B$6,Besatzung!$D$11:$D$22)&gt;=B56)),1)+(Besatzung!$F$16="x")*IFERROR(H56,0)/IFERROR(SUMPRODUCT((Besatzung!$B$11:$B$22&lt;&gt;"")*(Besatzung!$F$11:$F$22="x")*(IF(Besatzung!$C$11:$C$22="",Besatzung!$B$5,Besatzung!$C$11:$C$22)&lt;=B56)*(IF(Besatzung!$D$11:$D$22="",Besatzung!$B$6,Besatzung!$D$11:$D$22)&gt;=B56)),1))),IF(I56="Individuell",((O56="x")*((G56-IFERROR(H56,0))/IFERROR(COUNTIF(J56:U56,"x"),1)+(Besatzung!$F$16="x")*IFERROR(H56,0)/IFERROR(SUMPRODUCT((J56:U56="x")*(Besatzung!$F$11:$F$22="x")),1))),(IF(COUNTIF(J56:U56,"x")=0,IF(Besatzung!$B$15&lt;&gt;"",1,0),(O56="x"))*(G56-IFERROR(H56,0))/IFERROR(IF(COUNTIF(J56:U56,"x")=0,COUNTA(Besatzung!$B$11:$B$22),COUNTIF(J56:U56,"x")),1)+IF(COUNTIF(J56:U56,"x")=0,(Besatzung!$F$16="x"),(O56="x")*(Besatzung!$F$16="x"))*IFERROR(H56,0)/IFERROR(IF(COUNTIF(J56:U56,"x")=0,SUMPRODUCT((Besatzung!$B$11:$B$22&lt;&gt;"")*(Besatzung!$F$11:$F$22="x")),SUMPRODUCT((J56:U56="x")*(Besatzung!$F$11:$F$22="x"))),1))))),0))))</f>
        <v/>
      </c>
      <c r="AB56" s="247">
        <f>IF(C56="Gutschrift","",IF(G56="","",IF(Besatzung!$B$17="","",IFERROR(IF(I56="Zeitanteilig",(Besatzung!$G$17*(G56-IFERROR(H56,0))+((Besatzung!$B$17&lt;&gt;"")*IF(B56="",1,(IF(Besatzung!$C$17="",Besatzung!$B$5,Besatzung!$C$17)&lt;=B56)*(IF(Besatzung!$D$17="",Besatzung!$B$6,Besatzung!$D$17)&gt;=B56)))*(Besatzung!$F$17="x")*IFERROR(H56,0)/IFERROR(SUMPRODUCT((Besatzung!$B$11:$B$22&lt;&gt;"")*(Besatzung!$F$11:$F$22="x")*(IF(Besatzung!$C$11:$C$22="",Besatzung!$B$5,Besatzung!$C$11:$C$22)&lt;=B56)*(IF(Besatzung!$D$11:$D$22="",Besatzung!$B$6,Besatzung!$D$11:$D$22)&gt;=B56)),1)),IF(I56="An Bord",(((Besatzung!$B$17&lt;&gt;"")*IF(B56="",1,(IF(Besatzung!$C$17="",Besatzung!$B$5,Besatzung!$C$17)&lt;=B56)*(IF(Besatzung!$D$17="",Besatzung!$B$6,Besatzung!$D$17)&gt;=B56)))*((G56-IFERROR(H56,0))/IFERROR(SUMPRODUCT((Besatzung!$B$11:$B$22&lt;&gt;"")*(IF(Besatzung!$C$11:$C$22="",Besatzung!$B$5,Besatzung!$C$11:$C$22)&lt;=B56)*(IF(Besatzung!$D$11:$D$22="",Besatzung!$B$6,Besatzung!$D$11:$D$22)&gt;=B56)),1)+(Besatzung!$F$17="x")*IFERROR(H56,0)/IFERROR(SUMPRODUCT((Besatzung!$B$11:$B$22&lt;&gt;"")*(Besatzung!$F$11:$F$22="x")*(IF(Besatzung!$C$11:$C$22="",Besatzung!$B$5,Besatzung!$C$11:$C$22)&lt;=B56)*(IF(Besatzung!$D$11:$D$22="",Besatzung!$B$6,Besatzung!$D$11:$D$22)&gt;=B56)),1))),IF(I56="Individuell",((P56="x")*((G56-IFERROR(H56,0))/IFERROR(COUNTIF(J56:U56,"x"),1)+(Besatzung!$F$17="x")*IFERROR(H56,0)/IFERROR(SUMPRODUCT((J56:U56="x")*(Besatzung!$F$11:$F$22="x")),1))),(IF(COUNTIF(J56:U56,"x")=0,IF(Besatzung!$B$17&lt;&gt;"",1,0),(P56="x"))*(G56-IFERROR(H56,0))/IFERROR(IF(COUNTIF(J56:U56,"x")=0,COUNTA(Besatzung!$B$11:$B$22),COUNTIF(J56:U56,"x")),1)+IF(COUNTIF(J56:U56,"x")=0,(Besatzung!$F$17="x"),(P56="x")*(Besatzung!$F$17="x"))*IFERROR(H56,0)/IFERROR(IF(COUNTIF(J56:U56,"x")=0,SUMPRODUCT((Besatzung!$B$11:$B$22&lt;&gt;"")*(Besatzung!$F$11:$F$22="x")),SUMPRODUCT((J56:U56="x")*(Besatzung!$F$11:$F$22="x"))),1))))),0))))</f>
        <v/>
      </c>
      <c r="AC56" s="247">
        <f>IF(C56="Gutschrift","",IF(G56="","",IF(Besatzung!$B$18="","",IFERROR(IF(I56="Zeitanteilig",(Besatzung!$G$18*(G56-IFERROR(H56,0))+((Besatzung!$B$18&lt;&gt;"")*IF(B56="",1,(IF(Besatzung!$C$18="",Besatzung!$B$5,Besatzung!$C$18)&lt;=B56)*(IF(Besatzung!$D$18="",Besatzung!$B$6,Besatzung!$D$18)&gt;=B56)))*(Besatzung!$F$18="x")*IFERROR(H56,0)/IFERROR(SUMPRODUCT((Besatzung!$B$11:$B$22&lt;&gt;"")*(Besatzung!$F$11:$F$22="x")*(IF(Besatzung!$C$11:$C$22="",Besatzung!$B$5,Besatzung!$C$11:$C$22)&lt;=B56)*(IF(Besatzung!$D$11:$D$22="",Besatzung!$B$6,Besatzung!$D$11:$D$22)&gt;=B56)),1)),IF(I56="An Bord",(((Besatzung!$B$18&lt;&gt;"")*IF(B56="",1,(IF(Besatzung!$C$18="",Besatzung!$B$5,Besatzung!$C$18)&lt;=B56)*(IF(Besatzung!$D$18="",Besatzung!$B$6,Besatzung!$D$18)&gt;=B56)))*((G56-IFERROR(H56,0))/IFERROR(SUMPRODUCT((Besatzung!$B$11:$B$22&lt;&gt;"")*(IF(Besatzung!$C$11:$C$22="",Besatzung!$B$5,Besatzung!$C$11:$C$22)&lt;=B56)*(IF(Besatzung!$D$11:$D$22="",Besatzung!$B$6,Besatzung!$D$11:$D$22)&gt;=B56)),1)+(Besatzung!$F$18="x")*IFERROR(H56,0)/IFERROR(SUMPRODUCT((Besatzung!$B$11:$B$22&lt;&gt;"")*(Besatzung!$F$11:$F$22="x")*(IF(Besatzung!$C$11:$C$22="",Besatzung!$B$5,Besatzung!$C$11:$C$22)&lt;=B56)*(IF(Besatzung!$D$11:$D$22="",Besatzung!$B$6,Besatzung!$D$11:$D$22)&gt;=B56)),1))),IF(I56="Individuell",((Q56="x")*((G56-IFERROR(H56,0))/IFERROR(COUNTIF(J56:U56,"x"),1)+(Besatzung!$F$18="x")*IFERROR(H56,0)/IFERROR(SUMPRODUCT((J56:U56="x")*(Besatzung!$F$11:$F$22="x")),1))),(IF(COUNTIF(J56:U56,"x")=0,IF(Besatzung!$B$18&lt;&gt;"",1,0),(Q56="x"))*(G56-IFERROR(H56,0))/IFERROR(IF(COUNTIF(J56:U56,"x")=0,COUNTA(Besatzung!$B$11:$B$22),COUNTIF(J56:U56,"x")),1)+IF(COUNTIF(J56:U56,"x")=0,(Besatzung!$F$18="x"),(Q56="x")*(Besatzung!$F$18="x"))*IFERROR(H56,0)/IFERROR(IF(COUNTIF(J56:U56,"x")=0,SUMPRODUCT((Besatzung!$B$11:$B$22&lt;&gt;"")*(Besatzung!$F$11:$F$22="x")),SUMPRODUCT((J56:U56="x")*(Besatzung!$F$11:$F$22="x"))),1))))),0))))</f>
        <v/>
      </c>
      <c r="AD56" s="247">
        <f>IF(C56="Gutschrift","",IF(G56="","",IF(Besatzung!$B$19="","",IFERROR(IF(I56="Zeitanteilig",(Besatzung!$G$19*(G56-IFERROR(H56,0))+((Besatzung!$B$19&lt;&gt;"")*IF(B56="",1,(IF(Besatzung!$C$19="",Besatzung!$B$5,Besatzung!$C$19)&lt;=B56)*(IF(Besatzung!$D$19="",Besatzung!$B$6,Besatzung!$D$19)&gt;=B56)))*(Besatzung!$F$19="x")*IFERROR(H56,0)/IFERROR(SUMPRODUCT((Besatzung!$B$11:$B$22&lt;&gt;"")*(Besatzung!$F$11:$F$22="x")*(IF(Besatzung!$C$11:$C$22="",Besatzung!$B$5,Besatzung!$C$11:$C$22)&lt;=B56)*(IF(Besatzung!$D$11:$D$22="",Besatzung!$B$6,Besatzung!$D$11:$D$22)&gt;=B56)),1)),IF(I56="An Bord",(((Besatzung!$B$19&lt;&gt;"")*IF(B56="",1,(IF(Besatzung!$C$19="",Besatzung!$B$5,Besatzung!$C$19)&lt;=B56)*(IF(Besatzung!$D$19="",Besatzung!$B$6,Besatzung!$D$19)&gt;=B56)))*((G56-IFERROR(H56,0))/IFERROR(SUMPRODUCT((Besatzung!$B$11:$B$22&lt;&gt;"")*(IF(Besatzung!$C$11:$C$22="",Besatzung!$B$5,Besatzung!$C$11:$C$22)&lt;=B56)*(IF(Besatzung!$D$11:$D$22="",Besatzung!$B$6,Besatzung!$D$11:$D$22)&gt;=B56)),1)+(Besatzung!$F$19="x")*IFERROR(H56,0)/IFERROR(SUMPRODUCT((Besatzung!$B$11:$B$22&lt;&gt;"")*(Besatzung!$F$11:$F$22="x")*(IF(Besatzung!$C$11:$C$22="",Besatzung!$B$5,Besatzung!$C$11:$C$22)&lt;=B56)*(IF(Besatzung!$D$11:$D$22="",Besatzung!$B$6,Besatzung!$D$11:$D$22)&gt;=B56)),1))),IF(I56="Individuell",((R56="x")*((G56-IFERROR(H56,0))/IFERROR(COUNTIF(J56:U56,"x"),1)+(Besatzung!$F$19="x")*IFERROR(H56,0)/IFERROR(SUMPRODUCT((J56:U56="x")*(Besatzung!$F$11:$F$22="x")),1))),(IF(COUNTIF(J56:U56,"x")=0,IF(Besatzung!$B$19&lt;&gt;"",1,0),(R56="x"))*(G56-IFERROR(H56,0))/IFERROR(IF(COUNTIF(J56:U56,"x")=0,COUNTA(Besatzung!$B$11:$B$22),COUNTIF(J56:U56,"x")),1)+IF(COUNTIF(J56:U56,"x")=0,(Besatzung!$F$19="x"),(R56="x")*(Besatzung!$F$19="x"))*IFERROR(H56,0)/IFERROR(IF(COUNTIF(J56:U56,"x")=0,SUMPRODUCT((Besatzung!$B$11:$B$22&lt;&gt;"")*(Besatzung!$F$11:$F$22="x")),SUMPRODUCT((J56:U56="x")*(Besatzung!$F$11:$F$22="x"))),1))))),0))))</f>
        <v/>
      </c>
      <c r="AE56" s="247">
        <f>IF(C56="Gutschrift","",IF(G56="","",IF(Besatzung!$B$20="","",IFERROR(IF(I56="Zeitanteilig",(Besatzung!$G$20*(G56-IFERROR(H56,0))+((Besatzung!$B$20&lt;&gt;"")*IF(B56="",1,(IF(Besatzung!$C$20="",Besatzung!$B$5,Besatzung!$C$20)&lt;=B56)*(IF(Besatzung!$D$20="",Besatzung!$B$6,Besatzung!$D$20)&gt;=B56)))*(Besatzung!$F$20="x")*IFERROR(H56,0)/IFERROR(SUMPRODUCT((Besatzung!$B$11:$B$22&lt;&gt;"")*(Besatzung!$F$11:$F$22="x")*(IF(Besatzung!$C$11:$C$22="",Besatzung!$B$5,Besatzung!$C$11:$C$22)&lt;=B56)*(IF(Besatzung!$D$11:$D$22="",Besatzung!$B$6,Besatzung!$D$11:$D$22)&gt;=B56)),1)),IF(I56="An Bord",(((Besatzung!$B$20&lt;&gt;"")*IF(B56="",1,(IF(Besatzung!$C$20="",Besatzung!$B$5,Besatzung!$C$20)&lt;=B56)*(IF(Besatzung!$D$20="",Besatzung!$B$6,Besatzung!$D$20)&gt;=B56)))*((G56-IFERROR(H56,0))/IFERROR(SUMPRODUCT((Besatzung!$B$11:$B$22&lt;&gt;"")*(IF(Besatzung!$C$11:$C$22="",Besatzung!$B$5,Besatzung!$C$11:$C$22)&lt;=B56)*(IF(Besatzung!$D$11:$D$22="",Besatzung!$B$6,Besatzung!$D$11:$D$22)&gt;=B56)),1)+(Besatzung!$F$20="x")*IFERROR(H56,0)/IFERROR(SUMPRODUCT((Besatzung!$B$11:$B$22&lt;&gt;"")*(Besatzung!$F$11:$F$22="x")*(IF(Besatzung!$C$11:$C$22="",Besatzung!$B$5,Besatzung!$C$11:$C$22)&lt;=B56)*(IF(Besatzung!$D$11:$D$22="",Besatzung!$B$6,Besatzung!$D$11:$D$22)&gt;=B56)),1))),IF(I56="Individuell",((S56="x")*((G56-IFERROR(H56,0))/IFERROR(COUNTIF(J56:U56,"x"),1)+(Besatzung!$F$20="x")*IFERROR(H56,0)/IFERROR(SUMPRODUCT((J56:U56="x")*(Besatzung!$F$11:$F$22="x")),1))),(IF(COUNTIF(J56:U56,"x")=0,IF(Besatzung!$B$20&lt;&gt;"",1,0),(S56="x"))*(G56-IFERROR(H56,0))/IFERROR(IF(COUNTIF(J56:U56,"x")=0,COUNTA(Besatzung!$B$11:$B$22),COUNTIF(J56:U56,"x")),1)+IF(COUNTIF(J56:U56,"x")=0,(Besatzung!$F$20="x"),(S56="x")*(Besatzung!$F$20="x"))*IFERROR(H56,0)/IFERROR(IF(COUNTIF(J56:U56,"x")=0,SUMPRODUCT((Besatzung!$B$11:$B$22&lt;&gt;"")*(Besatzung!$F$11:$F$22="x")),SUMPRODUCT((J56:U56="x")*(Besatzung!$F$11:$F$22="x"))),1))))),0))))</f>
        <v/>
      </c>
      <c r="AF56" s="247">
        <f>IF(C56="Gutschrift","",IF(G56="","",IF(Besatzung!$B$21="","",IFERROR(IF(I56="Zeitanteilig",(Besatzung!$G$21*(G56-IFERROR(H56,0))+((Besatzung!$B$21&lt;&gt;"")*IF(B56="",1,(IF(Besatzung!$C$21="",Besatzung!$B$5,Besatzung!$C$21)&lt;=B56)*(IF(Besatzung!$D$21="",Besatzung!$B$6,Besatzung!$D$21)&gt;=B56)))*(Besatzung!$F$21="x")*IFERROR(H56,0)/IFERROR(SUMPRODUCT((Besatzung!$B$11:$B$22&lt;&gt;"")*(Besatzung!$F$11:$F$22="x")*(IF(Besatzung!$C$11:$C$22="",Besatzung!$B$5,Besatzung!$C$11:$C$22)&lt;=B56)*(IF(Besatzung!$D$11:$D$22="",Besatzung!$B$6,Besatzung!$D$11:$D$22)&gt;=B56)),1)),IF(I56="An Bord",(((Besatzung!$B$21&lt;&gt;"")*IF(B56="",1,(IF(Besatzung!$C$21="",Besatzung!$B$5,Besatzung!$C$21)&lt;=B56)*(IF(Besatzung!$D$21="",Besatzung!$B$6,Besatzung!$D$21)&gt;=B56)))*((G56-IFERROR(H56,0))/IFERROR(SUMPRODUCT((Besatzung!$B$11:$B$22&lt;&gt;"")*(IF(Besatzung!$C$11:$C$22="",Besatzung!$B$5,Besatzung!$C$11:$C$22)&lt;=B56)*(IF(Besatzung!$D$11:$D$22="",Besatzung!$B$6,Besatzung!$D$11:$D$22)&gt;=B56)),1)+(Besatzung!$F$21="x")*IFERROR(H56,0)/IFERROR(SUMPRODUCT((Besatzung!$B$11:$B$22&lt;&gt;"")*(Besatzung!$F$11:$F$22="x")*(IF(Besatzung!$C$11:$C$22="",Besatzung!$B$5,Besatzung!$C$11:$C$22)&lt;=B56)*(IF(Besatzung!$D$11:$D$22="",Besatzung!$B$6,Besatzung!$D$11:$D$22)&gt;=B56)),1))),IF(I56="Individuell",((T56="x")*((G56-IFERROR(H56,0))/IFERROR(COUNTIF(J56:U56,"x"),1)+(Besatzung!$F$21="x")*IFERROR(H56,0)/IFERROR(SUMPRODUCT((J56:U56="x")*(Besatzung!$F$11:$F$22="x")),1))),(IF(COUNTIF(J56:U56,"x")=0,IF(Besatzung!$B$21&lt;&gt;"",1,0),(T56="x"))*(G56-IFERROR(H56,0))/IFERROR(IF(COUNTIF(J56:U56,"x")=0,COUNTA(Besatzung!$B$11:$B$22),COUNTIF(J56:U56,"x")),1)+IF(COUNTIF(J56:U56,"x")=0,(Besatzung!$F$21="x"),(T56="x")*(Besatzung!$F$21="x"))*IFERROR(H56,0)/IFERROR(IF(COUNTIF(J56:U56,"x")=0,SUMPRODUCT((Besatzung!$B$11:$B$22&lt;&gt;"")*(Besatzung!$F$11:$F$22="x")),SUMPRODUCT((J56:U56="x")*(Besatzung!$F$11:$F$22="x"))),1))))),0))))</f>
        <v/>
      </c>
      <c r="AG56" s="247">
        <f>IF(C56="Gutschrift","",IF(G56="","",IF(Besatzung!$B$22="","",IFERROR(IF(I56="Zeitanteilig",(Besatzung!$G$22*(G56-IFERROR(H56,0))+((Besatzung!$B$22&lt;&gt;"")*IF(B56="",1,(IF(Besatzung!$C$22="",Besatzung!$B$5,Besatzung!$C$22)&lt;=B56)*(IF(Besatzung!$D$22="",Besatzung!$B$6,Besatzung!$D$22)&gt;=B56)))*(Besatzung!$F$22="x")*IFERROR(H56,0)/IFERROR(SUMPRODUCT((Besatzung!$B$11:$B$22&lt;&gt;"")*(Besatzung!$F$11:$F$22="x")*(IF(Besatzung!$C$11:$C$22="",Besatzung!$B$5,Besatzung!$C$11:$C$22)&lt;=B56)*(IF(Besatzung!$D$11:$D$22="",Besatzung!$B$6,Besatzung!$D$11:$D$22)&gt;=B56)),1)),IF(I56="An Bord",(((Besatzung!$B$22&lt;&gt;"")*IF(B56="",1,(IF(Besatzung!$C$22="",Besatzung!$B$5,Besatzung!$C$22)&lt;=B56)*(IF(Besatzung!$D$22="",Besatzung!$B$6,Besatzung!$D$22)&gt;=B56)))*((G56-IFERROR(H56,0))/IFERROR(SUMPRODUCT((Besatzung!$B$11:$B$22&lt;&gt;"")*(IF(Besatzung!$C$11:$C$22="",Besatzung!$B$5,Besatzung!$C$11:$C$22)&lt;=B56)*(IF(Besatzung!$D$11:$D$22="",Besatzung!$B$6,Besatzung!$D$11:$D$22)&gt;=B56)),1)+(Besatzung!$F$22="x")*IFERROR(H56,0)/IFERROR(SUMPRODUCT((Besatzung!$B$11:$B$22&lt;&gt;"")*(Besatzung!$F$11:$F$22="x")*(IF(Besatzung!$C$11:$C$22="",Besatzung!$B$5,Besatzung!$C$11:$C$22)&lt;=B56)*(IF(Besatzung!$D$11:$D$22="",Besatzung!$B$6,Besatzung!$D$11:$D$22)&gt;=B56)),1))),IF(I56="Individuell",((U56="x")*((G56-IFERROR(H56,0))/IFERROR(COUNTIF(J56:U56,"x"),1)+(Besatzung!$F$22="x")*IFERROR(H56,0)/IFERROR(SUMPRODUCT((J56:U56="x")*(Besatzung!$F$11:$F$22="x")),1))),(IF(COUNTIF(J56:U56,"x")=0,IF(Besatzung!$B$22&lt;&gt;"",1,0),(U56="x"))*(G56-IFERROR(H56,0))/IFERROR(IF(COUNTIF(J56:U56,"x")=0,COUNTA(Besatzung!$B$11:$B$22),COUNTIF(J56:U56,"x")),1)+IF(COUNTIF(J56:U56,"x")=0,(Besatzung!$F$22="x"),(U56="x")*(Besatzung!$F$22="x"))*IFERROR(H56,0)/IFERROR(IF(COUNTIF(J56:U56,"x")=0,SUMPRODUCT((Besatzung!$B$11:$B$22&lt;&gt;"")*(Besatzung!$F$11:$F$22="x")),SUMPRODUCT((J56:U56="x")*(Besatzung!$F$11:$F$22="x"))),1))))),0))))</f>
        <v/>
      </c>
      <c r="AH56" s="248" t="n"/>
      <c r="AI56" s="248" t="n"/>
    </row>
    <row r="57" ht="21.75" customHeight="1" s="154">
      <c r="A57" s="238">
        <f>IF(AND(D57="",C57=""),"",54)</f>
        <v/>
      </c>
      <c r="B57" s="206" t="n"/>
      <c r="C57" s="249" t="n"/>
      <c r="D57" s="250" t="n"/>
      <c r="E57" s="251" t="n"/>
      <c r="F57" s="252" t="n"/>
      <c r="G57" s="253" t="n"/>
      <c r="H57" s="254" t="n"/>
      <c r="I57" s="255" t="n"/>
      <c r="J57" s="256" t="n"/>
      <c r="K57" s="256" t="n"/>
      <c r="L57" s="256" t="n"/>
      <c r="M57" s="256" t="n"/>
      <c r="N57" s="256" t="n"/>
      <c r="O57" s="256" t="n"/>
      <c r="P57" s="256" t="n"/>
      <c r="Q57" s="256" t="n"/>
      <c r="R57" s="256" t="n"/>
      <c r="S57" s="256" t="n"/>
      <c r="T57" s="256" t="n"/>
      <c r="U57" s="256" t="n"/>
      <c r="V57" s="247">
        <f>IF(C57="Gutschrift","",IF(G57="","",IF(Besatzung!$B$11="","",IFERROR(IF(I57="Zeitanteilig",(Besatzung!$G$11*(G57-IFERROR(H57,0))+((Besatzung!$B$11&lt;&gt;"")*IF(B57="",1,(IF(Besatzung!$C$11="",Besatzung!$B$5,Besatzung!$C$11)&lt;=B57)*(IF(Besatzung!$D$11="",Besatzung!$B$6,Besatzung!$D$11)&gt;=B57)))*(Besatzung!$F$11="x")*IFERROR(H57,0)/IFERROR(SUMPRODUCT((Besatzung!$B$11:$B$22&lt;&gt;"")*(Besatzung!$F$11:$F$22="x")*(IF(Besatzung!$C$11:$C$22="",Besatzung!$B$5,Besatzung!$C$11:$C$22)&lt;=B57)*(IF(Besatzung!$D$11:$D$22="",Besatzung!$B$6,Besatzung!$D$11:$D$22)&gt;=B57)),1)),IF(I57="An Bord",(((Besatzung!$B$11&lt;&gt;"")*IF(B57="",1,(IF(Besatzung!$C$11="",Besatzung!$B$5,Besatzung!$C$11)&lt;=B57)*(IF(Besatzung!$D$11="",Besatzung!$B$6,Besatzung!$D$11)&gt;=B57)))*((G57-IFERROR(H57,0))/IFERROR(SUMPRODUCT((Besatzung!$B$11:$B$22&lt;&gt;"")*(IF(Besatzung!$C$11:$C$22="",Besatzung!$B$5,Besatzung!$C$11:$C$22)&lt;=B57)*(IF(Besatzung!$D$11:$D$22="",Besatzung!$B$6,Besatzung!$D$11:$D$22)&gt;=B57)),1)+(Besatzung!$F$11="x")*IFERROR(H57,0)/IFERROR(SUMPRODUCT((Besatzung!$B$11:$B$22&lt;&gt;"")*(Besatzung!$F$11:$F$22="x")*(IF(Besatzung!$C$11:$C$22="",Besatzung!$B$5,Besatzung!$C$11:$C$22)&lt;=B57)*(IF(Besatzung!$D$11:$D$22="",Besatzung!$B$6,Besatzung!$D$11:$D$22)&gt;=B57)),1))),IF(I57="Individuell",((J57="x")*((G57-IFERROR(H57,0))/IFERROR(COUNTIF(J57:U57,"x"),1)+(Besatzung!$F$11="x")*IFERROR(H57,0)/IFERROR(SUMPRODUCT((J57:U57="x")*(Besatzung!$F$11:$F$22="x")),1))),(IF(COUNTIF(J57:U57,"x")=0,IF(Besatzung!$B$11&lt;&gt;"",1,0),(J57="x"))*(G57-IFERROR(H57,0))/IFERROR(IF(COUNTIF(J57:U57,"x")=0,COUNTA(Besatzung!$B$11:$B$22),COUNTIF(J57:U57,"x")),1)+IF(COUNTIF(J57:U57,"x")=0,(Besatzung!$F$11="x"),(J57="x")*(Besatzung!$F$11="x"))*IFERROR(H57,0)/IFERROR(IF(COUNTIF(J57:U57,"x")=0,SUMPRODUCT((Besatzung!$B$11:$B$22&lt;&gt;"")*(Besatzung!$F$11:$F$22="x")),SUMPRODUCT((J57:U57="x")*(Besatzung!$F$11:$F$22="x"))),1))))),0))))</f>
        <v/>
      </c>
      <c r="W57" s="247">
        <f>IF(C57="Gutschrift","",IF(G57="","",IF(Besatzung!$B$12="","",IFERROR(IF(I57="Zeitanteilig",(Besatzung!$G$12*(G57-IFERROR(H57,0))+((Besatzung!$B$12&lt;&gt;"")*IF(B57="",1,(IF(Besatzung!$C$12="",Besatzung!$B$5,Besatzung!$C$12)&lt;=B57)*(IF(Besatzung!$D$12="",Besatzung!$B$6,Besatzung!$D$12)&gt;=B57)))*(Besatzung!$F$12="x")*IFERROR(H57,0)/IFERROR(SUMPRODUCT((Besatzung!$B$11:$B$22&lt;&gt;"")*(Besatzung!$F$11:$F$22="x")*(IF(Besatzung!$C$11:$C$22="",Besatzung!$B$5,Besatzung!$C$11:$C$22)&lt;=B57)*(IF(Besatzung!$D$11:$D$22="",Besatzung!$B$6,Besatzung!$D$11:$D$22)&gt;=B57)),1)),IF(I57="An Bord",(((Besatzung!$B$12&lt;&gt;"")*IF(B57="",1,(IF(Besatzung!$C$12="",Besatzung!$B$5,Besatzung!$C$12)&lt;=B57)*(IF(Besatzung!$D$12="",Besatzung!$B$6,Besatzung!$D$12)&gt;=B57)))*((G57-IFERROR(H57,0))/IFERROR(SUMPRODUCT((Besatzung!$B$11:$B$22&lt;&gt;"")*(IF(Besatzung!$C$11:$C$22="",Besatzung!$B$5,Besatzung!$C$11:$C$22)&lt;=B57)*(IF(Besatzung!$D$11:$D$22="",Besatzung!$B$6,Besatzung!$D$11:$D$22)&gt;=B57)),1)+(Besatzung!$F$12="x")*IFERROR(H57,0)/IFERROR(SUMPRODUCT((Besatzung!$B$11:$B$22&lt;&gt;"")*(Besatzung!$F$11:$F$22="x")*(IF(Besatzung!$C$11:$C$22="",Besatzung!$B$5,Besatzung!$C$11:$C$22)&lt;=B57)*(IF(Besatzung!$D$11:$D$22="",Besatzung!$B$6,Besatzung!$D$11:$D$22)&gt;=B57)),1))),IF(I57="Individuell",((K57="x")*((G57-IFERROR(H57,0))/IFERROR(COUNTIF(J57:U57,"x"),1)+(Besatzung!$F$12="x")*IFERROR(H57,0)/IFERROR(SUMPRODUCT((J57:U57="x")*(Besatzung!$F$11:$F$22="x")),1))),(IF(COUNTIF(J57:U57,"x")=0,IF(Besatzung!$B$12&lt;&gt;"",1,0),(K57="x"))*(G57-IFERROR(H57,0))/IFERROR(IF(COUNTIF(J57:U57,"x")=0,COUNTA(Besatzung!$B$11:$B$22),COUNTIF(J57:U57,"x")),1)+IF(COUNTIF(J57:U57,"x")=0,(Besatzung!$F$12="x"),(K57="x")*(Besatzung!$F$12="x"))*IFERROR(H57,0)/IFERROR(IF(COUNTIF(J57:U57,"x")=0,SUMPRODUCT((Besatzung!$B$11:$B$22&lt;&gt;"")*(Besatzung!$F$11:$F$22="x")),SUMPRODUCT((J57:U57="x")*(Besatzung!$F$11:$F$22="x"))),1))))),0))))</f>
        <v/>
      </c>
      <c r="X57" s="247">
        <f>IF(C57="Gutschrift","",IF(G57="","",IF(Besatzung!$B$13="","",IFERROR(IF(I57="Zeitanteilig",(Besatzung!$G$13*(G57-IFERROR(H57,0))+((Besatzung!$B$13&lt;&gt;"")*IF(B57="",1,(IF(Besatzung!$C$13="",Besatzung!$B$5,Besatzung!$C$13)&lt;=B57)*(IF(Besatzung!$D$13="",Besatzung!$B$6,Besatzung!$D$13)&gt;=B57)))*(Besatzung!$F$13="x")*IFERROR(H57,0)/IFERROR(SUMPRODUCT((Besatzung!$B$11:$B$22&lt;&gt;"")*(Besatzung!$F$11:$F$22="x")*(IF(Besatzung!$C$11:$C$22="",Besatzung!$B$5,Besatzung!$C$11:$C$22)&lt;=B57)*(IF(Besatzung!$D$11:$D$22="",Besatzung!$B$6,Besatzung!$D$11:$D$22)&gt;=B57)),1)),IF(I57="An Bord",(((Besatzung!$B$13&lt;&gt;"")*IF(B57="",1,(IF(Besatzung!$C$13="",Besatzung!$B$5,Besatzung!$C$13)&lt;=B57)*(IF(Besatzung!$D$13="",Besatzung!$B$6,Besatzung!$D$13)&gt;=B57)))*((G57-IFERROR(H57,0))/IFERROR(SUMPRODUCT((Besatzung!$B$11:$B$22&lt;&gt;"")*(IF(Besatzung!$C$11:$C$22="",Besatzung!$B$5,Besatzung!$C$11:$C$22)&lt;=B57)*(IF(Besatzung!$D$11:$D$22="",Besatzung!$B$6,Besatzung!$D$11:$D$22)&gt;=B57)),1)+(Besatzung!$F$13="x")*IFERROR(H57,0)/IFERROR(SUMPRODUCT((Besatzung!$B$11:$B$22&lt;&gt;"")*(Besatzung!$F$11:$F$22="x")*(IF(Besatzung!$C$11:$C$22="",Besatzung!$B$5,Besatzung!$C$11:$C$22)&lt;=B57)*(IF(Besatzung!$D$11:$D$22="",Besatzung!$B$6,Besatzung!$D$11:$D$22)&gt;=B57)),1))),IF(I57="Individuell",((K57="x")*((G57-IFERROR(H57,0))/IFERROR(COUNTIF(J57:U57,"x"),1)+(Besatzung!$F$13="x")*IFERROR(H57,0)/IFERROR(SUMPRODUCT((J57:U57="x")*(Besatzung!$F$11:$F$22="x")),1))),(IF(COUNTIF(J57:U57,"x")=0,IF(Besatzung!$B$13&lt;&gt;"",1,0),(K57="x"))*(G57-IFERROR(H57,0))/IFERROR(IF(COUNTIF(J57:U57,"x")=0,COUNTA(Besatzung!$B$11:$B$22),COUNTIF(J57:U57,"x")),1)+IF(COUNTIF(J57:U57,"x")=0,(Besatzung!$F$13="x"),(K57="x")*(Besatzung!$F$13="x"))*IFERROR(H57,0)/IFERROR(IF(COUNTIF(J57:U57,"x")=0,SUMPRODUCT((Besatzung!$B$11:$B$22&lt;&gt;"")*(Besatzung!$F$11:$F$22="x")),SUMPRODUCT((J57:U57="x")*(Besatzung!$F$11:$F$22="x"))),1))))),0))))</f>
        <v/>
      </c>
      <c r="Y57" s="247">
        <f>IF(C57="Gutschrift","",IF(G57="","",IF(Besatzung!$B$14="","",IFERROR(IF(I57="Zeitanteilig",(Besatzung!$G$14*(G57-IFERROR(H57,0))+((Besatzung!$B$14&lt;&gt;"")*IF(B57="",1,(IF(Besatzung!$C$14="",Besatzung!$B$5,Besatzung!$C$14)&lt;=B57)*(IF(Besatzung!$D$14="",Besatzung!$B$6,Besatzung!$D$14)&gt;=B57)))*(Besatzung!$F$14="x")*IFERROR(H57,0)/IFERROR(SUMPRODUCT((Besatzung!$B$11:$B$22&lt;&gt;"")*(Besatzung!$F$11:$F$22="x")*(IF(Besatzung!$C$11:$C$22="",Besatzung!$B$5,Besatzung!$C$11:$C$22)&lt;=B57)*(IF(Besatzung!$D$11:$D$22="",Besatzung!$B$6,Besatzung!$D$11:$D$22)&gt;=B57)),1)),IF(I57="An Bord",(((Besatzung!$B$14&lt;&gt;"")*IF(B57="",1,(IF(Besatzung!$C$14="",Besatzung!$B$5,Besatzung!$C$14)&lt;=B57)*(IF(Besatzung!$D$14="",Besatzung!$B$6,Besatzung!$D$14)&gt;=B57)))*((G57-IFERROR(H57,0))/IFERROR(SUMPRODUCT((Besatzung!$B$11:$B$22&lt;&gt;"")*(IF(Besatzung!$C$11:$C$22="",Besatzung!$B$5,Besatzung!$C$11:$C$22)&lt;=B57)*(IF(Besatzung!$D$11:$D$22="",Besatzung!$B$6,Besatzung!$D$11:$D$22)&gt;=B57)),1)+(Besatzung!$F$14="x")*IFERROR(H57,0)/IFERROR(SUMPRODUCT((Besatzung!$B$11:$B$22&lt;&gt;"")*(Besatzung!$F$11:$F$22="x")*(IF(Besatzung!$C$11:$C$22="",Besatzung!$B$5,Besatzung!$C$11:$C$22)&lt;=B57)*(IF(Besatzung!$D$11:$D$22="",Besatzung!$B$6,Besatzung!$D$11:$D$22)&gt;=B57)),1))),IF(I57="Individuell",((M57="x")*((G57-IFERROR(H57,0))/IFERROR(COUNTIF(J57:U57,"x"),1)+(Besatzung!$F$14="x")*IFERROR(H57,0)/IFERROR(SUMPRODUCT((J57:U57="x")*(Besatzung!$F$11:$F$22="x")),1))),(IF(COUNTIF(J57:U57,"x")=0,IF(Besatzung!$B$14&lt;&gt;"",1,0),(M57="x"))*(G57-IFERROR(H57,0))/IFERROR(IF(COUNTIF(J57:U57,"x")=0,COUNTA(Besatzung!$B$11:$B$22),COUNTIF(J57:U57,"x")),1)+IF(COUNTIF(J57:U57,"x")=0,(Besatzung!$F$14="x"),(M57="x")*(Besatzung!$F$14="x"))*IFERROR(H57,0)/IFERROR(IF(COUNTIF(J57:U57,"x")=0,SUMPRODUCT((Besatzung!$B$11:$B$22&lt;&gt;"")*(Besatzung!$F$11:$F$22="x")),SUMPRODUCT((J57:U57="x")*(Besatzung!$F$11:$F$22="x"))),1))))),0))))</f>
        <v/>
      </c>
      <c r="Z57" s="247">
        <f>IF(C57="Gutschrift","",IF(G57="","",IF(Besatzung!$B$13="","",IFERROR(IF(I57="Zeitanteilig",(Besatzung!$G$15*(G57-IFERROR(H57,0))+((Besatzung!$B$13&lt;&gt;"")*IF(B57="",1,(IF(Besatzung!$C$15="",Besatzung!$B$5,Besatzung!$C$15)&lt;=B57)*(IF(Besatzung!$D$15="",Besatzung!$B$6,Besatzung!$D$15)&gt;=B57)))*(Besatzung!$F$15="x")*IFERROR(H57,0)/IFERROR(SUMPRODUCT((Besatzung!$B$11:$B$22&lt;&gt;"")*(Besatzung!$F$11:$F$22="x")*(IF(Besatzung!$C$11:$C$22="",Besatzung!$B$5,Besatzung!$C$11:$C$22)&lt;=B57)*(IF(Besatzung!$D$11:$D$22="",Besatzung!$B$6,Besatzung!$D$11:$D$22)&gt;=B57)),1)),IF(I57="An Bord",(((Besatzung!$B$13&lt;&gt;"")*IF(B57="",1,(IF(Besatzung!$C$15="",Besatzung!$B$5,Besatzung!$C$15)&lt;=B57)*(IF(Besatzung!$D$15="",Besatzung!$B$6,Besatzung!$D$15)&gt;=B57)))*((G57-IFERROR(H57,0))/IFERROR(SUMPRODUCT((Besatzung!$B$11:$B$22&lt;&gt;"")*(IF(Besatzung!$C$11:$C$22="",Besatzung!$B$5,Besatzung!$C$11:$C$22)&lt;=B57)*(IF(Besatzung!$D$11:$D$22="",Besatzung!$B$6,Besatzung!$D$11:$D$22)&gt;=B57)),1)+(Besatzung!$F$15="x")*IFERROR(H57,0)/IFERROR(SUMPRODUCT((Besatzung!$B$11:$B$22&lt;&gt;"")*(Besatzung!$F$11:$F$22="x")*(IF(Besatzung!$C$11:$C$22="",Besatzung!$B$5,Besatzung!$C$11:$C$22)&lt;=B57)*(IF(Besatzung!$D$11:$D$22="",Besatzung!$B$6,Besatzung!$D$11:$D$22)&gt;=B57)),1))),IF(I57="Individuell",((N57="x")*((G57-IFERROR(H57,0))/IFERROR(COUNTIF(J57:U57,"x"),1)+(Besatzung!$F$15="x")*IFERROR(H57,0)/IFERROR(SUMPRODUCT((J57:U57="x")*(Besatzung!$F$11:$F$22="x")),1))),(IF(COUNTIF(J57:U57,"x")=0,IF(Besatzung!$B$13&lt;&gt;"",1,0),(N57="x"))*(G57-IFERROR(H57,0))/IFERROR(IF(COUNTIF(J57:U57,"x")=0,COUNTA(Besatzung!$B$11:$B$22),COUNTIF(J57:U57,"x")),1)+IF(COUNTIF(J57:U57,"x")=0,(Besatzung!$F$15="x"),(N57="x")*(Besatzung!$F$15="x"))*IFERROR(H57,0)/IFERROR(IF(COUNTIF(J57:U57,"x")=0,SUMPRODUCT((Besatzung!$B$11:$B$22&lt;&gt;"")*(Besatzung!$F$11:$F$22="x")),SUMPRODUCT((J57:U57="x")*(Besatzung!$F$11:$F$22="x"))),1))))),0))))</f>
        <v/>
      </c>
      <c r="AA57" s="247">
        <f>IF(C57="Gutschrift","",IF(G57="","",IF(Besatzung!$B$15="","",IFERROR(IF(I57="Zeitanteilig",(Besatzung!$G$16*(G57-IFERROR(H57,0))+((Besatzung!$B$15&lt;&gt;"")*IF(B57="",1,(IF(Besatzung!$C$16="",Besatzung!$B$5,Besatzung!$C$16)&lt;=B57)*(IF(Besatzung!$D$16="",Besatzung!$B$6,Besatzung!$D$16)&gt;=B57)))*(Besatzung!$F$16="x")*IFERROR(H57,0)/IFERROR(SUMPRODUCT((Besatzung!$B$11:$B$22&lt;&gt;"")*(Besatzung!$F$11:$F$22="x")*(IF(Besatzung!$C$11:$C$22="",Besatzung!$B$5,Besatzung!$C$11:$C$22)&lt;=B57)*(IF(Besatzung!$D$11:$D$22="",Besatzung!$B$6,Besatzung!$D$11:$D$22)&gt;=B57)),1)),IF(I57="An Bord",(((Besatzung!$B$15&lt;&gt;"")*IF(B57="",1,(IF(Besatzung!$C$16="",Besatzung!$B$5,Besatzung!$C$16)&lt;=B57)*(IF(Besatzung!$D$16="",Besatzung!$B$6,Besatzung!$D$16)&gt;=B57)))*((G57-IFERROR(H57,0))/IFERROR(SUMPRODUCT((Besatzung!$B$11:$B$22&lt;&gt;"")*(IF(Besatzung!$C$11:$C$22="",Besatzung!$B$5,Besatzung!$C$11:$C$22)&lt;=B57)*(IF(Besatzung!$D$11:$D$22="",Besatzung!$B$6,Besatzung!$D$11:$D$22)&gt;=B57)),1)+(Besatzung!$F$16="x")*IFERROR(H57,0)/IFERROR(SUMPRODUCT((Besatzung!$B$11:$B$22&lt;&gt;"")*(Besatzung!$F$11:$F$22="x")*(IF(Besatzung!$C$11:$C$22="",Besatzung!$B$5,Besatzung!$C$11:$C$22)&lt;=B57)*(IF(Besatzung!$D$11:$D$22="",Besatzung!$B$6,Besatzung!$D$11:$D$22)&gt;=B57)),1))),IF(I57="Individuell",((O57="x")*((G57-IFERROR(H57,0))/IFERROR(COUNTIF(J57:U57,"x"),1)+(Besatzung!$F$16="x")*IFERROR(H57,0)/IFERROR(SUMPRODUCT((J57:U57="x")*(Besatzung!$F$11:$F$22="x")),1))),(IF(COUNTIF(J57:U57,"x")=0,IF(Besatzung!$B$15&lt;&gt;"",1,0),(O57="x"))*(G57-IFERROR(H57,0))/IFERROR(IF(COUNTIF(J57:U57,"x")=0,COUNTA(Besatzung!$B$11:$B$22),COUNTIF(J57:U57,"x")),1)+IF(COUNTIF(J57:U57,"x")=0,(Besatzung!$F$16="x"),(O57="x")*(Besatzung!$F$16="x"))*IFERROR(H57,0)/IFERROR(IF(COUNTIF(J57:U57,"x")=0,SUMPRODUCT((Besatzung!$B$11:$B$22&lt;&gt;"")*(Besatzung!$F$11:$F$22="x")),SUMPRODUCT((J57:U57="x")*(Besatzung!$F$11:$F$22="x"))),1))))),0))))</f>
        <v/>
      </c>
      <c r="AB57" s="247">
        <f>IF(C57="Gutschrift","",IF(G57="","",IF(Besatzung!$B$17="","",IFERROR(IF(I57="Zeitanteilig",(Besatzung!$G$17*(G57-IFERROR(H57,0))+((Besatzung!$B$17&lt;&gt;"")*IF(B57="",1,(IF(Besatzung!$C$17="",Besatzung!$B$5,Besatzung!$C$17)&lt;=B57)*(IF(Besatzung!$D$17="",Besatzung!$B$6,Besatzung!$D$17)&gt;=B57)))*(Besatzung!$F$17="x")*IFERROR(H57,0)/IFERROR(SUMPRODUCT((Besatzung!$B$11:$B$22&lt;&gt;"")*(Besatzung!$F$11:$F$22="x")*(IF(Besatzung!$C$11:$C$22="",Besatzung!$B$5,Besatzung!$C$11:$C$22)&lt;=B57)*(IF(Besatzung!$D$11:$D$22="",Besatzung!$B$6,Besatzung!$D$11:$D$22)&gt;=B57)),1)),IF(I57="An Bord",(((Besatzung!$B$17&lt;&gt;"")*IF(B57="",1,(IF(Besatzung!$C$17="",Besatzung!$B$5,Besatzung!$C$17)&lt;=B57)*(IF(Besatzung!$D$17="",Besatzung!$B$6,Besatzung!$D$17)&gt;=B57)))*((G57-IFERROR(H57,0))/IFERROR(SUMPRODUCT((Besatzung!$B$11:$B$22&lt;&gt;"")*(IF(Besatzung!$C$11:$C$22="",Besatzung!$B$5,Besatzung!$C$11:$C$22)&lt;=B57)*(IF(Besatzung!$D$11:$D$22="",Besatzung!$B$6,Besatzung!$D$11:$D$22)&gt;=B57)),1)+(Besatzung!$F$17="x")*IFERROR(H57,0)/IFERROR(SUMPRODUCT((Besatzung!$B$11:$B$22&lt;&gt;"")*(Besatzung!$F$11:$F$22="x")*(IF(Besatzung!$C$11:$C$22="",Besatzung!$B$5,Besatzung!$C$11:$C$22)&lt;=B57)*(IF(Besatzung!$D$11:$D$22="",Besatzung!$B$6,Besatzung!$D$11:$D$22)&gt;=B57)),1))),IF(I57="Individuell",((P57="x")*((G57-IFERROR(H57,0))/IFERROR(COUNTIF(J57:U57,"x"),1)+(Besatzung!$F$17="x")*IFERROR(H57,0)/IFERROR(SUMPRODUCT((J57:U57="x")*(Besatzung!$F$11:$F$22="x")),1))),(IF(COUNTIF(J57:U57,"x")=0,IF(Besatzung!$B$17&lt;&gt;"",1,0),(P57="x"))*(G57-IFERROR(H57,0))/IFERROR(IF(COUNTIF(J57:U57,"x")=0,COUNTA(Besatzung!$B$11:$B$22),COUNTIF(J57:U57,"x")),1)+IF(COUNTIF(J57:U57,"x")=0,(Besatzung!$F$17="x"),(P57="x")*(Besatzung!$F$17="x"))*IFERROR(H57,0)/IFERROR(IF(COUNTIF(J57:U57,"x")=0,SUMPRODUCT((Besatzung!$B$11:$B$22&lt;&gt;"")*(Besatzung!$F$11:$F$22="x")),SUMPRODUCT((J57:U57="x")*(Besatzung!$F$11:$F$22="x"))),1))))),0))))</f>
        <v/>
      </c>
      <c r="AC57" s="247">
        <f>IF(C57="Gutschrift","",IF(G57="","",IF(Besatzung!$B$18="","",IFERROR(IF(I57="Zeitanteilig",(Besatzung!$G$18*(G57-IFERROR(H57,0))+((Besatzung!$B$18&lt;&gt;"")*IF(B57="",1,(IF(Besatzung!$C$18="",Besatzung!$B$5,Besatzung!$C$18)&lt;=B57)*(IF(Besatzung!$D$18="",Besatzung!$B$6,Besatzung!$D$18)&gt;=B57)))*(Besatzung!$F$18="x")*IFERROR(H57,0)/IFERROR(SUMPRODUCT((Besatzung!$B$11:$B$22&lt;&gt;"")*(Besatzung!$F$11:$F$22="x")*(IF(Besatzung!$C$11:$C$22="",Besatzung!$B$5,Besatzung!$C$11:$C$22)&lt;=B57)*(IF(Besatzung!$D$11:$D$22="",Besatzung!$B$6,Besatzung!$D$11:$D$22)&gt;=B57)),1)),IF(I57="An Bord",(((Besatzung!$B$18&lt;&gt;"")*IF(B57="",1,(IF(Besatzung!$C$18="",Besatzung!$B$5,Besatzung!$C$18)&lt;=B57)*(IF(Besatzung!$D$18="",Besatzung!$B$6,Besatzung!$D$18)&gt;=B57)))*((G57-IFERROR(H57,0))/IFERROR(SUMPRODUCT((Besatzung!$B$11:$B$22&lt;&gt;"")*(IF(Besatzung!$C$11:$C$22="",Besatzung!$B$5,Besatzung!$C$11:$C$22)&lt;=B57)*(IF(Besatzung!$D$11:$D$22="",Besatzung!$B$6,Besatzung!$D$11:$D$22)&gt;=B57)),1)+(Besatzung!$F$18="x")*IFERROR(H57,0)/IFERROR(SUMPRODUCT((Besatzung!$B$11:$B$22&lt;&gt;"")*(Besatzung!$F$11:$F$22="x")*(IF(Besatzung!$C$11:$C$22="",Besatzung!$B$5,Besatzung!$C$11:$C$22)&lt;=B57)*(IF(Besatzung!$D$11:$D$22="",Besatzung!$B$6,Besatzung!$D$11:$D$22)&gt;=B57)),1))),IF(I57="Individuell",((Q57="x")*((G57-IFERROR(H57,0))/IFERROR(COUNTIF(J57:U57,"x"),1)+(Besatzung!$F$18="x")*IFERROR(H57,0)/IFERROR(SUMPRODUCT((J57:U57="x")*(Besatzung!$F$11:$F$22="x")),1))),(IF(COUNTIF(J57:U57,"x")=0,IF(Besatzung!$B$18&lt;&gt;"",1,0),(Q57="x"))*(G57-IFERROR(H57,0))/IFERROR(IF(COUNTIF(J57:U57,"x")=0,COUNTA(Besatzung!$B$11:$B$22),COUNTIF(J57:U57,"x")),1)+IF(COUNTIF(J57:U57,"x")=0,(Besatzung!$F$18="x"),(Q57="x")*(Besatzung!$F$18="x"))*IFERROR(H57,0)/IFERROR(IF(COUNTIF(J57:U57,"x")=0,SUMPRODUCT((Besatzung!$B$11:$B$22&lt;&gt;"")*(Besatzung!$F$11:$F$22="x")),SUMPRODUCT((J57:U57="x")*(Besatzung!$F$11:$F$22="x"))),1))))),0))))</f>
        <v/>
      </c>
      <c r="AD57" s="247">
        <f>IF(C57="Gutschrift","",IF(G57="","",IF(Besatzung!$B$19="","",IFERROR(IF(I57="Zeitanteilig",(Besatzung!$G$19*(G57-IFERROR(H57,0))+((Besatzung!$B$19&lt;&gt;"")*IF(B57="",1,(IF(Besatzung!$C$19="",Besatzung!$B$5,Besatzung!$C$19)&lt;=B57)*(IF(Besatzung!$D$19="",Besatzung!$B$6,Besatzung!$D$19)&gt;=B57)))*(Besatzung!$F$19="x")*IFERROR(H57,0)/IFERROR(SUMPRODUCT((Besatzung!$B$11:$B$22&lt;&gt;"")*(Besatzung!$F$11:$F$22="x")*(IF(Besatzung!$C$11:$C$22="",Besatzung!$B$5,Besatzung!$C$11:$C$22)&lt;=B57)*(IF(Besatzung!$D$11:$D$22="",Besatzung!$B$6,Besatzung!$D$11:$D$22)&gt;=B57)),1)),IF(I57="An Bord",(((Besatzung!$B$19&lt;&gt;"")*IF(B57="",1,(IF(Besatzung!$C$19="",Besatzung!$B$5,Besatzung!$C$19)&lt;=B57)*(IF(Besatzung!$D$19="",Besatzung!$B$6,Besatzung!$D$19)&gt;=B57)))*((G57-IFERROR(H57,0))/IFERROR(SUMPRODUCT((Besatzung!$B$11:$B$22&lt;&gt;"")*(IF(Besatzung!$C$11:$C$22="",Besatzung!$B$5,Besatzung!$C$11:$C$22)&lt;=B57)*(IF(Besatzung!$D$11:$D$22="",Besatzung!$B$6,Besatzung!$D$11:$D$22)&gt;=B57)),1)+(Besatzung!$F$19="x")*IFERROR(H57,0)/IFERROR(SUMPRODUCT((Besatzung!$B$11:$B$22&lt;&gt;"")*(Besatzung!$F$11:$F$22="x")*(IF(Besatzung!$C$11:$C$22="",Besatzung!$B$5,Besatzung!$C$11:$C$22)&lt;=B57)*(IF(Besatzung!$D$11:$D$22="",Besatzung!$B$6,Besatzung!$D$11:$D$22)&gt;=B57)),1))),IF(I57="Individuell",((R57="x")*((G57-IFERROR(H57,0))/IFERROR(COUNTIF(J57:U57,"x"),1)+(Besatzung!$F$19="x")*IFERROR(H57,0)/IFERROR(SUMPRODUCT((J57:U57="x")*(Besatzung!$F$11:$F$22="x")),1))),(IF(COUNTIF(J57:U57,"x")=0,IF(Besatzung!$B$19&lt;&gt;"",1,0),(R57="x"))*(G57-IFERROR(H57,0))/IFERROR(IF(COUNTIF(J57:U57,"x")=0,COUNTA(Besatzung!$B$11:$B$22),COUNTIF(J57:U57,"x")),1)+IF(COUNTIF(J57:U57,"x")=0,(Besatzung!$F$19="x"),(R57="x")*(Besatzung!$F$19="x"))*IFERROR(H57,0)/IFERROR(IF(COUNTIF(J57:U57,"x")=0,SUMPRODUCT((Besatzung!$B$11:$B$22&lt;&gt;"")*(Besatzung!$F$11:$F$22="x")),SUMPRODUCT((J57:U57="x")*(Besatzung!$F$11:$F$22="x"))),1))))),0))))</f>
        <v/>
      </c>
      <c r="AE57" s="247">
        <f>IF(C57="Gutschrift","",IF(G57="","",IF(Besatzung!$B$20="","",IFERROR(IF(I57="Zeitanteilig",(Besatzung!$G$20*(G57-IFERROR(H57,0))+((Besatzung!$B$20&lt;&gt;"")*IF(B57="",1,(IF(Besatzung!$C$20="",Besatzung!$B$5,Besatzung!$C$20)&lt;=B57)*(IF(Besatzung!$D$20="",Besatzung!$B$6,Besatzung!$D$20)&gt;=B57)))*(Besatzung!$F$20="x")*IFERROR(H57,0)/IFERROR(SUMPRODUCT((Besatzung!$B$11:$B$22&lt;&gt;"")*(Besatzung!$F$11:$F$22="x")*(IF(Besatzung!$C$11:$C$22="",Besatzung!$B$5,Besatzung!$C$11:$C$22)&lt;=B57)*(IF(Besatzung!$D$11:$D$22="",Besatzung!$B$6,Besatzung!$D$11:$D$22)&gt;=B57)),1)),IF(I57="An Bord",(((Besatzung!$B$20&lt;&gt;"")*IF(B57="",1,(IF(Besatzung!$C$20="",Besatzung!$B$5,Besatzung!$C$20)&lt;=B57)*(IF(Besatzung!$D$20="",Besatzung!$B$6,Besatzung!$D$20)&gt;=B57)))*((G57-IFERROR(H57,0))/IFERROR(SUMPRODUCT((Besatzung!$B$11:$B$22&lt;&gt;"")*(IF(Besatzung!$C$11:$C$22="",Besatzung!$B$5,Besatzung!$C$11:$C$22)&lt;=B57)*(IF(Besatzung!$D$11:$D$22="",Besatzung!$B$6,Besatzung!$D$11:$D$22)&gt;=B57)),1)+(Besatzung!$F$20="x")*IFERROR(H57,0)/IFERROR(SUMPRODUCT((Besatzung!$B$11:$B$22&lt;&gt;"")*(Besatzung!$F$11:$F$22="x")*(IF(Besatzung!$C$11:$C$22="",Besatzung!$B$5,Besatzung!$C$11:$C$22)&lt;=B57)*(IF(Besatzung!$D$11:$D$22="",Besatzung!$B$6,Besatzung!$D$11:$D$22)&gt;=B57)),1))),IF(I57="Individuell",((S57="x")*((G57-IFERROR(H57,0))/IFERROR(COUNTIF(J57:U57,"x"),1)+(Besatzung!$F$20="x")*IFERROR(H57,0)/IFERROR(SUMPRODUCT((J57:U57="x")*(Besatzung!$F$11:$F$22="x")),1))),(IF(COUNTIF(J57:U57,"x")=0,IF(Besatzung!$B$20&lt;&gt;"",1,0),(S57="x"))*(G57-IFERROR(H57,0))/IFERROR(IF(COUNTIF(J57:U57,"x")=0,COUNTA(Besatzung!$B$11:$B$22),COUNTIF(J57:U57,"x")),1)+IF(COUNTIF(J57:U57,"x")=0,(Besatzung!$F$20="x"),(S57="x")*(Besatzung!$F$20="x"))*IFERROR(H57,0)/IFERROR(IF(COUNTIF(J57:U57,"x")=0,SUMPRODUCT((Besatzung!$B$11:$B$22&lt;&gt;"")*(Besatzung!$F$11:$F$22="x")),SUMPRODUCT((J57:U57="x")*(Besatzung!$F$11:$F$22="x"))),1))))),0))))</f>
        <v/>
      </c>
      <c r="AF57" s="247">
        <f>IF(C57="Gutschrift","",IF(G57="","",IF(Besatzung!$B$21="","",IFERROR(IF(I57="Zeitanteilig",(Besatzung!$G$21*(G57-IFERROR(H57,0))+((Besatzung!$B$21&lt;&gt;"")*IF(B57="",1,(IF(Besatzung!$C$21="",Besatzung!$B$5,Besatzung!$C$21)&lt;=B57)*(IF(Besatzung!$D$21="",Besatzung!$B$6,Besatzung!$D$21)&gt;=B57)))*(Besatzung!$F$21="x")*IFERROR(H57,0)/IFERROR(SUMPRODUCT((Besatzung!$B$11:$B$22&lt;&gt;"")*(Besatzung!$F$11:$F$22="x")*(IF(Besatzung!$C$11:$C$22="",Besatzung!$B$5,Besatzung!$C$11:$C$22)&lt;=B57)*(IF(Besatzung!$D$11:$D$22="",Besatzung!$B$6,Besatzung!$D$11:$D$22)&gt;=B57)),1)),IF(I57="An Bord",(((Besatzung!$B$21&lt;&gt;"")*IF(B57="",1,(IF(Besatzung!$C$21="",Besatzung!$B$5,Besatzung!$C$21)&lt;=B57)*(IF(Besatzung!$D$21="",Besatzung!$B$6,Besatzung!$D$21)&gt;=B57)))*((G57-IFERROR(H57,0))/IFERROR(SUMPRODUCT((Besatzung!$B$11:$B$22&lt;&gt;"")*(IF(Besatzung!$C$11:$C$22="",Besatzung!$B$5,Besatzung!$C$11:$C$22)&lt;=B57)*(IF(Besatzung!$D$11:$D$22="",Besatzung!$B$6,Besatzung!$D$11:$D$22)&gt;=B57)),1)+(Besatzung!$F$21="x")*IFERROR(H57,0)/IFERROR(SUMPRODUCT((Besatzung!$B$11:$B$22&lt;&gt;"")*(Besatzung!$F$11:$F$22="x")*(IF(Besatzung!$C$11:$C$22="",Besatzung!$B$5,Besatzung!$C$11:$C$22)&lt;=B57)*(IF(Besatzung!$D$11:$D$22="",Besatzung!$B$6,Besatzung!$D$11:$D$22)&gt;=B57)),1))),IF(I57="Individuell",((T57="x")*((G57-IFERROR(H57,0))/IFERROR(COUNTIF(J57:U57,"x"),1)+(Besatzung!$F$21="x")*IFERROR(H57,0)/IFERROR(SUMPRODUCT((J57:U57="x")*(Besatzung!$F$11:$F$22="x")),1))),(IF(COUNTIF(J57:U57,"x")=0,IF(Besatzung!$B$21&lt;&gt;"",1,0),(T57="x"))*(G57-IFERROR(H57,0))/IFERROR(IF(COUNTIF(J57:U57,"x")=0,COUNTA(Besatzung!$B$11:$B$22),COUNTIF(J57:U57,"x")),1)+IF(COUNTIF(J57:U57,"x")=0,(Besatzung!$F$21="x"),(T57="x")*(Besatzung!$F$21="x"))*IFERROR(H57,0)/IFERROR(IF(COUNTIF(J57:U57,"x")=0,SUMPRODUCT((Besatzung!$B$11:$B$22&lt;&gt;"")*(Besatzung!$F$11:$F$22="x")),SUMPRODUCT((J57:U57="x")*(Besatzung!$F$11:$F$22="x"))),1))))),0))))</f>
        <v/>
      </c>
      <c r="AG57" s="247">
        <f>IF(C57="Gutschrift","",IF(G57="","",IF(Besatzung!$B$22="","",IFERROR(IF(I57="Zeitanteilig",(Besatzung!$G$22*(G57-IFERROR(H57,0))+((Besatzung!$B$22&lt;&gt;"")*IF(B57="",1,(IF(Besatzung!$C$22="",Besatzung!$B$5,Besatzung!$C$22)&lt;=B57)*(IF(Besatzung!$D$22="",Besatzung!$B$6,Besatzung!$D$22)&gt;=B57)))*(Besatzung!$F$22="x")*IFERROR(H57,0)/IFERROR(SUMPRODUCT((Besatzung!$B$11:$B$22&lt;&gt;"")*(Besatzung!$F$11:$F$22="x")*(IF(Besatzung!$C$11:$C$22="",Besatzung!$B$5,Besatzung!$C$11:$C$22)&lt;=B57)*(IF(Besatzung!$D$11:$D$22="",Besatzung!$B$6,Besatzung!$D$11:$D$22)&gt;=B57)),1)),IF(I57="An Bord",(((Besatzung!$B$22&lt;&gt;"")*IF(B57="",1,(IF(Besatzung!$C$22="",Besatzung!$B$5,Besatzung!$C$22)&lt;=B57)*(IF(Besatzung!$D$22="",Besatzung!$B$6,Besatzung!$D$22)&gt;=B57)))*((G57-IFERROR(H57,0))/IFERROR(SUMPRODUCT((Besatzung!$B$11:$B$22&lt;&gt;"")*(IF(Besatzung!$C$11:$C$22="",Besatzung!$B$5,Besatzung!$C$11:$C$22)&lt;=B57)*(IF(Besatzung!$D$11:$D$22="",Besatzung!$B$6,Besatzung!$D$11:$D$22)&gt;=B57)),1)+(Besatzung!$F$22="x")*IFERROR(H57,0)/IFERROR(SUMPRODUCT((Besatzung!$B$11:$B$22&lt;&gt;"")*(Besatzung!$F$11:$F$22="x")*(IF(Besatzung!$C$11:$C$22="",Besatzung!$B$5,Besatzung!$C$11:$C$22)&lt;=B57)*(IF(Besatzung!$D$11:$D$22="",Besatzung!$B$6,Besatzung!$D$11:$D$22)&gt;=B57)),1))),IF(I57="Individuell",((U57="x")*((G57-IFERROR(H57,0))/IFERROR(COUNTIF(J57:U57,"x"),1)+(Besatzung!$F$22="x")*IFERROR(H57,0)/IFERROR(SUMPRODUCT((J57:U57="x")*(Besatzung!$F$11:$F$22="x")),1))),(IF(COUNTIF(J57:U57,"x")=0,IF(Besatzung!$B$22&lt;&gt;"",1,0),(U57="x"))*(G57-IFERROR(H57,0))/IFERROR(IF(COUNTIF(J57:U57,"x")=0,COUNTA(Besatzung!$B$11:$B$22),COUNTIF(J57:U57,"x")),1)+IF(COUNTIF(J57:U57,"x")=0,(Besatzung!$F$22="x"),(U57="x")*(Besatzung!$F$22="x"))*IFERROR(H57,0)/IFERROR(IF(COUNTIF(J57:U57,"x")=0,SUMPRODUCT((Besatzung!$B$11:$B$22&lt;&gt;"")*(Besatzung!$F$11:$F$22="x")),SUMPRODUCT((J57:U57="x")*(Besatzung!$F$11:$F$22="x"))),1))))),0))))</f>
        <v/>
      </c>
      <c r="AH57" s="248" t="n"/>
      <c r="AI57" s="248" t="n"/>
    </row>
    <row r="58" ht="21.75" customHeight="1" s="154">
      <c r="A58" s="238">
        <f>IF(AND(D58="",C58=""),"",55)</f>
        <v/>
      </c>
      <c r="B58" s="199" t="n"/>
      <c r="C58" s="239" t="n"/>
      <c r="D58" s="240" t="n"/>
      <c r="E58" s="241" t="n"/>
      <c r="F58" s="242" t="n"/>
      <c r="G58" s="243" t="n"/>
      <c r="H58" s="244" t="n"/>
      <c r="I58" s="245" t="n"/>
      <c r="J58" s="246" t="n"/>
      <c r="K58" s="246" t="n"/>
      <c r="L58" s="246" t="n"/>
      <c r="M58" s="246" t="n"/>
      <c r="N58" s="246" t="n"/>
      <c r="O58" s="246" t="n"/>
      <c r="P58" s="246" t="n"/>
      <c r="Q58" s="246" t="n"/>
      <c r="R58" s="246" t="n"/>
      <c r="S58" s="246" t="n"/>
      <c r="T58" s="246" t="n"/>
      <c r="U58" s="246" t="n"/>
      <c r="V58" s="247">
        <f>IF(C58="Gutschrift","",IF(G58="","",IF(Besatzung!$B$11="","",IFERROR(IF(I58="Zeitanteilig",(Besatzung!$G$11*(G58-IFERROR(H58,0))+((Besatzung!$B$11&lt;&gt;"")*IF(B58="",1,(IF(Besatzung!$C$11="",Besatzung!$B$5,Besatzung!$C$11)&lt;=B58)*(IF(Besatzung!$D$11="",Besatzung!$B$6,Besatzung!$D$11)&gt;=B58)))*(Besatzung!$F$11="x")*IFERROR(H58,0)/IFERROR(SUMPRODUCT((Besatzung!$B$11:$B$22&lt;&gt;"")*(Besatzung!$F$11:$F$22="x")*(IF(Besatzung!$C$11:$C$22="",Besatzung!$B$5,Besatzung!$C$11:$C$22)&lt;=B58)*(IF(Besatzung!$D$11:$D$22="",Besatzung!$B$6,Besatzung!$D$11:$D$22)&gt;=B58)),1)),IF(I58="An Bord",(((Besatzung!$B$11&lt;&gt;"")*IF(B58="",1,(IF(Besatzung!$C$11="",Besatzung!$B$5,Besatzung!$C$11)&lt;=B58)*(IF(Besatzung!$D$11="",Besatzung!$B$6,Besatzung!$D$11)&gt;=B58)))*((G58-IFERROR(H58,0))/IFERROR(SUMPRODUCT((Besatzung!$B$11:$B$22&lt;&gt;"")*(IF(Besatzung!$C$11:$C$22="",Besatzung!$B$5,Besatzung!$C$11:$C$22)&lt;=B58)*(IF(Besatzung!$D$11:$D$22="",Besatzung!$B$6,Besatzung!$D$11:$D$22)&gt;=B58)),1)+(Besatzung!$F$11="x")*IFERROR(H58,0)/IFERROR(SUMPRODUCT((Besatzung!$B$11:$B$22&lt;&gt;"")*(Besatzung!$F$11:$F$22="x")*(IF(Besatzung!$C$11:$C$22="",Besatzung!$B$5,Besatzung!$C$11:$C$22)&lt;=B58)*(IF(Besatzung!$D$11:$D$22="",Besatzung!$B$6,Besatzung!$D$11:$D$22)&gt;=B58)),1))),IF(I58="Individuell",((J58="x")*((G58-IFERROR(H58,0))/IFERROR(COUNTIF(J58:U58,"x"),1)+(Besatzung!$F$11="x")*IFERROR(H58,0)/IFERROR(SUMPRODUCT((J58:U58="x")*(Besatzung!$F$11:$F$22="x")),1))),(IF(COUNTIF(J58:U58,"x")=0,IF(Besatzung!$B$11&lt;&gt;"",1,0),(J58="x"))*(G58-IFERROR(H58,0))/IFERROR(IF(COUNTIF(J58:U58,"x")=0,COUNTA(Besatzung!$B$11:$B$22),COUNTIF(J58:U58,"x")),1)+IF(COUNTIF(J58:U58,"x")=0,(Besatzung!$F$11="x"),(J58="x")*(Besatzung!$F$11="x"))*IFERROR(H58,0)/IFERROR(IF(COUNTIF(J58:U58,"x")=0,SUMPRODUCT((Besatzung!$B$11:$B$22&lt;&gt;"")*(Besatzung!$F$11:$F$22="x")),SUMPRODUCT((J58:U58="x")*(Besatzung!$F$11:$F$22="x"))),1))))),0))))</f>
        <v/>
      </c>
      <c r="W58" s="247">
        <f>IF(C58="Gutschrift","",IF(G58="","",IF(Besatzung!$B$12="","",IFERROR(IF(I58="Zeitanteilig",(Besatzung!$G$12*(G58-IFERROR(H58,0))+((Besatzung!$B$12&lt;&gt;"")*IF(B58="",1,(IF(Besatzung!$C$12="",Besatzung!$B$5,Besatzung!$C$12)&lt;=B58)*(IF(Besatzung!$D$12="",Besatzung!$B$6,Besatzung!$D$12)&gt;=B58)))*(Besatzung!$F$12="x")*IFERROR(H58,0)/IFERROR(SUMPRODUCT((Besatzung!$B$11:$B$22&lt;&gt;"")*(Besatzung!$F$11:$F$22="x")*(IF(Besatzung!$C$11:$C$22="",Besatzung!$B$5,Besatzung!$C$11:$C$22)&lt;=B58)*(IF(Besatzung!$D$11:$D$22="",Besatzung!$B$6,Besatzung!$D$11:$D$22)&gt;=B58)),1)),IF(I58="An Bord",(((Besatzung!$B$12&lt;&gt;"")*IF(B58="",1,(IF(Besatzung!$C$12="",Besatzung!$B$5,Besatzung!$C$12)&lt;=B58)*(IF(Besatzung!$D$12="",Besatzung!$B$6,Besatzung!$D$12)&gt;=B58)))*((G58-IFERROR(H58,0))/IFERROR(SUMPRODUCT((Besatzung!$B$11:$B$22&lt;&gt;"")*(IF(Besatzung!$C$11:$C$22="",Besatzung!$B$5,Besatzung!$C$11:$C$22)&lt;=B58)*(IF(Besatzung!$D$11:$D$22="",Besatzung!$B$6,Besatzung!$D$11:$D$22)&gt;=B58)),1)+(Besatzung!$F$12="x")*IFERROR(H58,0)/IFERROR(SUMPRODUCT((Besatzung!$B$11:$B$22&lt;&gt;"")*(Besatzung!$F$11:$F$22="x")*(IF(Besatzung!$C$11:$C$22="",Besatzung!$B$5,Besatzung!$C$11:$C$22)&lt;=B58)*(IF(Besatzung!$D$11:$D$22="",Besatzung!$B$6,Besatzung!$D$11:$D$22)&gt;=B58)),1))),IF(I58="Individuell",((K58="x")*((G58-IFERROR(H58,0))/IFERROR(COUNTIF(J58:U58,"x"),1)+(Besatzung!$F$12="x")*IFERROR(H58,0)/IFERROR(SUMPRODUCT((J58:U58="x")*(Besatzung!$F$11:$F$22="x")),1))),(IF(COUNTIF(J58:U58,"x")=0,IF(Besatzung!$B$12&lt;&gt;"",1,0),(K58="x"))*(G58-IFERROR(H58,0))/IFERROR(IF(COUNTIF(J58:U58,"x")=0,COUNTA(Besatzung!$B$11:$B$22),COUNTIF(J58:U58,"x")),1)+IF(COUNTIF(J58:U58,"x")=0,(Besatzung!$F$12="x"),(K58="x")*(Besatzung!$F$12="x"))*IFERROR(H58,0)/IFERROR(IF(COUNTIF(J58:U58,"x")=0,SUMPRODUCT((Besatzung!$B$11:$B$22&lt;&gt;"")*(Besatzung!$F$11:$F$22="x")),SUMPRODUCT((J58:U58="x")*(Besatzung!$F$11:$F$22="x"))),1))))),0))))</f>
        <v/>
      </c>
      <c r="X58" s="247">
        <f>IF(C58="Gutschrift","",IF(G58="","",IF(Besatzung!$B$13="","",IFERROR(IF(I58="Zeitanteilig",(Besatzung!$G$13*(G58-IFERROR(H58,0))+((Besatzung!$B$13&lt;&gt;"")*IF(B58="",1,(IF(Besatzung!$C$13="",Besatzung!$B$5,Besatzung!$C$13)&lt;=B58)*(IF(Besatzung!$D$13="",Besatzung!$B$6,Besatzung!$D$13)&gt;=B58)))*(Besatzung!$F$13="x")*IFERROR(H58,0)/IFERROR(SUMPRODUCT((Besatzung!$B$11:$B$22&lt;&gt;"")*(Besatzung!$F$11:$F$22="x")*(IF(Besatzung!$C$11:$C$22="",Besatzung!$B$5,Besatzung!$C$11:$C$22)&lt;=B58)*(IF(Besatzung!$D$11:$D$22="",Besatzung!$B$6,Besatzung!$D$11:$D$22)&gt;=B58)),1)),IF(I58="An Bord",(((Besatzung!$B$13&lt;&gt;"")*IF(B58="",1,(IF(Besatzung!$C$13="",Besatzung!$B$5,Besatzung!$C$13)&lt;=B58)*(IF(Besatzung!$D$13="",Besatzung!$B$6,Besatzung!$D$13)&gt;=B58)))*((G58-IFERROR(H58,0))/IFERROR(SUMPRODUCT((Besatzung!$B$11:$B$22&lt;&gt;"")*(IF(Besatzung!$C$11:$C$22="",Besatzung!$B$5,Besatzung!$C$11:$C$22)&lt;=B58)*(IF(Besatzung!$D$11:$D$22="",Besatzung!$B$6,Besatzung!$D$11:$D$22)&gt;=B58)),1)+(Besatzung!$F$13="x")*IFERROR(H58,0)/IFERROR(SUMPRODUCT((Besatzung!$B$11:$B$22&lt;&gt;"")*(Besatzung!$F$11:$F$22="x")*(IF(Besatzung!$C$11:$C$22="",Besatzung!$B$5,Besatzung!$C$11:$C$22)&lt;=B58)*(IF(Besatzung!$D$11:$D$22="",Besatzung!$B$6,Besatzung!$D$11:$D$22)&gt;=B58)),1))),IF(I58="Individuell",((K58="x")*((G58-IFERROR(H58,0))/IFERROR(COUNTIF(J58:U58,"x"),1)+(Besatzung!$F$13="x")*IFERROR(H58,0)/IFERROR(SUMPRODUCT((J58:U58="x")*(Besatzung!$F$11:$F$22="x")),1))),(IF(COUNTIF(J58:U58,"x")=0,IF(Besatzung!$B$13&lt;&gt;"",1,0),(K58="x"))*(G58-IFERROR(H58,0))/IFERROR(IF(COUNTIF(J58:U58,"x")=0,COUNTA(Besatzung!$B$11:$B$22),COUNTIF(J58:U58,"x")),1)+IF(COUNTIF(J58:U58,"x")=0,(Besatzung!$F$13="x"),(K58="x")*(Besatzung!$F$13="x"))*IFERROR(H58,0)/IFERROR(IF(COUNTIF(J58:U58,"x")=0,SUMPRODUCT((Besatzung!$B$11:$B$22&lt;&gt;"")*(Besatzung!$F$11:$F$22="x")),SUMPRODUCT((J58:U58="x")*(Besatzung!$F$11:$F$22="x"))),1))))),0))))</f>
        <v/>
      </c>
      <c r="Y58" s="247">
        <f>IF(C58="Gutschrift","",IF(G58="","",IF(Besatzung!$B$14="","",IFERROR(IF(I58="Zeitanteilig",(Besatzung!$G$14*(G58-IFERROR(H58,0))+((Besatzung!$B$14&lt;&gt;"")*IF(B58="",1,(IF(Besatzung!$C$14="",Besatzung!$B$5,Besatzung!$C$14)&lt;=B58)*(IF(Besatzung!$D$14="",Besatzung!$B$6,Besatzung!$D$14)&gt;=B58)))*(Besatzung!$F$14="x")*IFERROR(H58,0)/IFERROR(SUMPRODUCT((Besatzung!$B$11:$B$22&lt;&gt;"")*(Besatzung!$F$11:$F$22="x")*(IF(Besatzung!$C$11:$C$22="",Besatzung!$B$5,Besatzung!$C$11:$C$22)&lt;=B58)*(IF(Besatzung!$D$11:$D$22="",Besatzung!$B$6,Besatzung!$D$11:$D$22)&gt;=B58)),1)),IF(I58="An Bord",(((Besatzung!$B$14&lt;&gt;"")*IF(B58="",1,(IF(Besatzung!$C$14="",Besatzung!$B$5,Besatzung!$C$14)&lt;=B58)*(IF(Besatzung!$D$14="",Besatzung!$B$6,Besatzung!$D$14)&gt;=B58)))*((G58-IFERROR(H58,0))/IFERROR(SUMPRODUCT((Besatzung!$B$11:$B$22&lt;&gt;"")*(IF(Besatzung!$C$11:$C$22="",Besatzung!$B$5,Besatzung!$C$11:$C$22)&lt;=B58)*(IF(Besatzung!$D$11:$D$22="",Besatzung!$B$6,Besatzung!$D$11:$D$22)&gt;=B58)),1)+(Besatzung!$F$14="x")*IFERROR(H58,0)/IFERROR(SUMPRODUCT((Besatzung!$B$11:$B$22&lt;&gt;"")*(Besatzung!$F$11:$F$22="x")*(IF(Besatzung!$C$11:$C$22="",Besatzung!$B$5,Besatzung!$C$11:$C$22)&lt;=B58)*(IF(Besatzung!$D$11:$D$22="",Besatzung!$B$6,Besatzung!$D$11:$D$22)&gt;=B58)),1))),IF(I58="Individuell",((M58="x")*((G58-IFERROR(H58,0))/IFERROR(COUNTIF(J58:U58,"x"),1)+(Besatzung!$F$14="x")*IFERROR(H58,0)/IFERROR(SUMPRODUCT((J58:U58="x")*(Besatzung!$F$11:$F$22="x")),1))),(IF(COUNTIF(J58:U58,"x")=0,IF(Besatzung!$B$14&lt;&gt;"",1,0),(M58="x"))*(G58-IFERROR(H58,0))/IFERROR(IF(COUNTIF(J58:U58,"x")=0,COUNTA(Besatzung!$B$11:$B$22),COUNTIF(J58:U58,"x")),1)+IF(COUNTIF(J58:U58,"x")=0,(Besatzung!$F$14="x"),(M58="x")*(Besatzung!$F$14="x"))*IFERROR(H58,0)/IFERROR(IF(COUNTIF(J58:U58,"x")=0,SUMPRODUCT((Besatzung!$B$11:$B$22&lt;&gt;"")*(Besatzung!$F$11:$F$22="x")),SUMPRODUCT((J58:U58="x")*(Besatzung!$F$11:$F$22="x"))),1))))),0))))</f>
        <v/>
      </c>
      <c r="Z58" s="247">
        <f>IF(C58="Gutschrift","",IF(G58="","",IF(Besatzung!$B$13="","",IFERROR(IF(I58="Zeitanteilig",(Besatzung!$G$15*(G58-IFERROR(H58,0))+((Besatzung!$B$13&lt;&gt;"")*IF(B58="",1,(IF(Besatzung!$C$15="",Besatzung!$B$5,Besatzung!$C$15)&lt;=B58)*(IF(Besatzung!$D$15="",Besatzung!$B$6,Besatzung!$D$15)&gt;=B58)))*(Besatzung!$F$15="x")*IFERROR(H58,0)/IFERROR(SUMPRODUCT((Besatzung!$B$11:$B$22&lt;&gt;"")*(Besatzung!$F$11:$F$22="x")*(IF(Besatzung!$C$11:$C$22="",Besatzung!$B$5,Besatzung!$C$11:$C$22)&lt;=B58)*(IF(Besatzung!$D$11:$D$22="",Besatzung!$B$6,Besatzung!$D$11:$D$22)&gt;=B58)),1)),IF(I58="An Bord",(((Besatzung!$B$13&lt;&gt;"")*IF(B58="",1,(IF(Besatzung!$C$15="",Besatzung!$B$5,Besatzung!$C$15)&lt;=B58)*(IF(Besatzung!$D$15="",Besatzung!$B$6,Besatzung!$D$15)&gt;=B58)))*((G58-IFERROR(H58,0))/IFERROR(SUMPRODUCT((Besatzung!$B$11:$B$22&lt;&gt;"")*(IF(Besatzung!$C$11:$C$22="",Besatzung!$B$5,Besatzung!$C$11:$C$22)&lt;=B58)*(IF(Besatzung!$D$11:$D$22="",Besatzung!$B$6,Besatzung!$D$11:$D$22)&gt;=B58)),1)+(Besatzung!$F$15="x")*IFERROR(H58,0)/IFERROR(SUMPRODUCT((Besatzung!$B$11:$B$22&lt;&gt;"")*(Besatzung!$F$11:$F$22="x")*(IF(Besatzung!$C$11:$C$22="",Besatzung!$B$5,Besatzung!$C$11:$C$22)&lt;=B58)*(IF(Besatzung!$D$11:$D$22="",Besatzung!$B$6,Besatzung!$D$11:$D$22)&gt;=B58)),1))),IF(I58="Individuell",((N58="x")*((G58-IFERROR(H58,0))/IFERROR(COUNTIF(J58:U58,"x"),1)+(Besatzung!$F$15="x")*IFERROR(H58,0)/IFERROR(SUMPRODUCT((J58:U58="x")*(Besatzung!$F$11:$F$22="x")),1))),(IF(COUNTIF(J58:U58,"x")=0,IF(Besatzung!$B$13&lt;&gt;"",1,0),(N58="x"))*(G58-IFERROR(H58,0))/IFERROR(IF(COUNTIF(J58:U58,"x")=0,COUNTA(Besatzung!$B$11:$B$22),COUNTIF(J58:U58,"x")),1)+IF(COUNTIF(J58:U58,"x")=0,(Besatzung!$F$15="x"),(N58="x")*(Besatzung!$F$15="x"))*IFERROR(H58,0)/IFERROR(IF(COUNTIF(J58:U58,"x")=0,SUMPRODUCT((Besatzung!$B$11:$B$22&lt;&gt;"")*(Besatzung!$F$11:$F$22="x")),SUMPRODUCT((J58:U58="x")*(Besatzung!$F$11:$F$22="x"))),1))))),0))))</f>
        <v/>
      </c>
      <c r="AA58" s="247">
        <f>IF(C58="Gutschrift","",IF(G58="","",IF(Besatzung!$B$15="","",IFERROR(IF(I58="Zeitanteilig",(Besatzung!$G$16*(G58-IFERROR(H58,0))+((Besatzung!$B$15&lt;&gt;"")*IF(B58="",1,(IF(Besatzung!$C$16="",Besatzung!$B$5,Besatzung!$C$16)&lt;=B58)*(IF(Besatzung!$D$16="",Besatzung!$B$6,Besatzung!$D$16)&gt;=B58)))*(Besatzung!$F$16="x")*IFERROR(H58,0)/IFERROR(SUMPRODUCT((Besatzung!$B$11:$B$22&lt;&gt;"")*(Besatzung!$F$11:$F$22="x")*(IF(Besatzung!$C$11:$C$22="",Besatzung!$B$5,Besatzung!$C$11:$C$22)&lt;=B58)*(IF(Besatzung!$D$11:$D$22="",Besatzung!$B$6,Besatzung!$D$11:$D$22)&gt;=B58)),1)),IF(I58="An Bord",(((Besatzung!$B$15&lt;&gt;"")*IF(B58="",1,(IF(Besatzung!$C$16="",Besatzung!$B$5,Besatzung!$C$16)&lt;=B58)*(IF(Besatzung!$D$16="",Besatzung!$B$6,Besatzung!$D$16)&gt;=B58)))*((G58-IFERROR(H58,0))/IFERROR(SUMPRODUCT((Besatzung!$B$11:$B$22&lt;&gt;"")*(IF(Besatzung!$C$11:$C$22="",Besatzung!$B$5,Besatzung!$C$11:$C$22)&lt;=B58)*(IF(Besatzung!$D$11:$D$22="",Besatzung!$B$6,Besatzung!$D$11:$D$22)&gt;=B58)),1)+(Besatzung!$F$16="x")*IFERROR(H58,0)/IFERROR(SUMPRODUCT((Besatzung!$B$11:$B$22&lt;&gt;"")*(Besatzung!$F$11:$F$22="x")*(IF(Besatzung!$C$11:$C$22="",Besatzung!$B$5,Besatzung!$C$11:$C$22)&lt;=B58)*(IF(Besatzung!$D$11:$D$22="",Besatzung!$B$6,Besatzung!$D$11:$D$22)&gt;=B58)),1))),IF(I58="Individuell",((O58="x")*((G58-IFERROR(H58,0))/IFERROR(COUNTIF(J58:U58,"x"),1)+(Besatzung!$F$16="x")*IFERROR(H58,0)/IFERROR(SUMPRODUCT((J58:U58="x")*(Besatzung!$F$11:$F$22="x")),1))),(IF(COUNTIF(J58:U58,"x")=0,IF(Besatzung!$B$15&lt;&gt;"",1,0),(O58="x"))*(G58-IFERROR(H58,0))/IFERROR(IF(COUNTIF(J58:U58,"x")=0,COUNTA(Besatzung!$B$11:$B$22),COUNTIF(J58:U58,"x")),1)+IF(COUNTIF(J58:U58,"x")=0,(Besatzung!$F$16="x"),(O58="x")*(Besatzung!$F$16="x"))*IFERROR(H58,0)/IFERROR(IF(COUNTIF(J58:U58,"x")=0,SUMPRODUCT((Besatzung!$B$11:$B$22&lt;&gt;"")*(Besatzung!$F$11:$F$22="x")),SUMPRODUCT((J58:U58="x")*(Besatzung!$F$11:$F$22="x"))),1))))),0))))</f>
        <v/>
      </c>
      <c r="AB58" s="247">
        <f>IF(C58="Gutschrift","",IF(G58="","",IF(Besatzung!$B$17="","",IFERROR(IF(I58="Zeitanteilig",(Besatzung!$G$17*(G58-IFERROR(H58,0))+((Besatzung!$B$17&lt;&gt;"")*IF(B58="",1,(IF(Besatzung!$C$17="",Besatzung!$B$5,Besatzung!$C$17)&lt;=B58)*(IF(Besatzung!$D$17="",Besatzung!$B$6,Besatzung!$D$17)&gt;=B58)))*(Besatzung!$F$17="x")*IFERROR(H58,0)/IFERROR(SUMPRODUCT((Besatzung!$B$11:$B$22&lt;&gt;"")*(Besatzung!$F$11:$F$22="x")*(IF(Besatzung!$C$11:$C$22="",Besatzung!$B$5,Besatzung!$C$11:$C$22)&lt;=B58)*(IF(Besatzung!$D$11:$D$22="",Besatzung!$B$6,Besatzung!$D$11:$D$22)&gt;=B58)),1)),IF(I58="An Bord",(((Besatzung!$B$17&lt;&gt;"")*IF(B58="",1,(IF(Besatzung!$C$17="",Besatzung!$B$5,Besatzung!$C$17)&lt;=B58)*(IF(Besatzung!$D$17="",Besatzung!$B$6,Besatzung!$D$17)&gt;=B58)))*((G58-IFERROR(H58,0))/IFERROR(SUMPRODUCT((Besatzung!$B$11:$B$22&lt;&gt;"")*(IF(Besatzung!$C$11:$C$22="",Besatzung!$B$5,Besatzung!$C$11:$C$22)&lt;=B58)*(IF(Besatzung!$D$11:$D$22="",Besatzung!$B$6,Besatzung!$D$11:$D$22)&gt;=B58)),1)+(Besatzung!$F$17="x")*IFERROR(H58,0)/IFERROR(SUMPRODUCT((Besatzung!$B$11:$B$22&lt;&gt;"")*(Besatzung!$F$11:$F$22="x")*(IF(Besatzung!$C$11:$C$22="",Besatzung!$B$5,Besatzung!$C$11:$C$22)&lt;=B58)*(IF(Besatzung!$D$11:$D$22="",Besatzung!$B$6,Besatzung!$D$11:$D$22)&gt;=B58)),1))),IF(I58="Individuell",((P58="x")*((G58-IFERROR(H58,0))/IFERROR(COUNTIF(J58:U58,"x"),1)+(Besatzung!$F$17="x")*IFERROR(H58,0)/IFERROR(SUMPRODUCT((J58:U58="x")*(Besatzung!$F$11:$F$22="x")),1))),(IF(COUNTIF(J58:U58,"x")=0,IF(Besatzung!$B$17&lt;&gt;"",1,0),(P58="x"))*(G58-IFERROR(H58,0))/IFERROR(IF(COUNTIF(J58:U58,"x")=0,COUNTA(Besatzung!$B$11:$B$22),COUNTIF(J58:U58,"x")),1)+IF(COUNTIF(J58:U58,"x")=0,(Besatzung!$F$17="x"),(P58="x")*(Besatzung!$F$17="x"))*IFERROR(H58,0)/IFERROR(IF(COUNTIF(J58:U58,"x")=0,SUMPRODUCT((Besatzung!$B$11:$B$22&lt;&gt;"")*(Besatzung!$F$11:$F$22="x")),SUMPRODUCT((J58:U58="x")*(Besatzung!$F$11:$F$22="x"))),1))))),0))))</f>
        <v/>
      </c>
      <c r="AC58" s="247">
        <f>IF(C58="Gutschrift","",IF(G58="","",IF(Besatzung!$B$18="","",IFERROR(IF(I58="Zeitanteilig",(Besatzung!$G$18*(G58-IFERROR(H58,0))+((Besatzung!$B$18&lt;&gt;"")*IF(B58="",1,(IF(Besatzung!$C$18="",Besatzung!$B$5,Besatzung!$C$18)&lt;=B58)*(IF(Besatzung!$D$18="",Besatzung!$B$6,Besatzung!$D$18)&gt;=B58)))*(Besatzung!$F$18="x")*IFERROR(H58,0)/IFERROR(SUMPRODUCT((Besatzung!$B$11:$B$22&lt;&gt;"")*(Besatzung!$F$11:$F$22="x")*(IF(Besatzung!$C$11:$C$22="",Besatzung!$B$5,Besatzung!$C$11:$C$22)&lt;=B58)*(IF(Besatzung!$D$11:$D$22="",Besatzung!$B$6,Besatzung!$D$11:$D$22)&gt;=B58)),1)),IF(I58="An Bord",(((Besatzung!$B$18&lt;&gt;"")*IF(B58="",1,(IF(Besatzung!$C$18="",Besatzung!$B$5,Besatzung!$C$18)&lt;=B58)*(IF(Besatzung!$D$18="",Besatzung!$B$6,Besatzung!$D$18)&gt;=B58)))*((G58-IFERROR(H58,0))/IFERROR(SUMPRODUCT((Besatzung!$B$11:$B$22&lt;&gt;"")*(IF(Besatzung!$C$11:$C$22="",Besatzung!$B$5,Besatzung!$C$11:$C$22)&lt;=B58)*(IF(Besatzung!$D$11:$D$22="",Besatzung!$B$6,Besatzung!$D$11:$D$22)&gt;=B58)),1)+(Besatzung!$F$18="x")*IFERROR(H58,0)/IFERROR(SUMPRODUCT((Besatzung!$B$11:$B$22&lt;&gt;"")*(Besatzung!$F$11:$F$22="x")*(IF(Besatzung!$C$11:$C$22="",Besatzung!$B$5,Besatzung!$C$11:$C$22)&lt;=B58)*(IF(Besatzung!$D$11:$D$22="",Besatzung!$B$6,Besatzung!$D$11:$D$22)&gt;=B58)),1))),IF(I58="Individuell",((Q58="x")*((G58-IFERROR(H58,0))/IFERROR(COUNTIF(J58:U58,"x"),1)+(Besatzung!$F$18="x")*IFERROR(H58,0)/IFERROR(SUMPRODUCT((J58:U58="x")*(Besatzung!$F$11:$F$22="x")),1))),(IF(COUNTIF(J58:U58,"x")=0,IF(Besatzung!$B$18&lt;&gt;"",1,0),(Q58="x"))*(G58-IFERROR(H58,0))/IFERROR(IF(COUNTIF(J58:U58,"x")=0,COUNTA(Besatzung!$B$11:$B$22),COUNTIF(J58:U58,"x")),1)+IF(COUNTIF(J58:U58,"x")=0,(Besatzung!$F$18="x"),(Q58="x")*(Besatzung!$F$18="x"))*IFERROR(H58,0)/IFERROR(IF(COUNTIF(J58:U58,"x")=0,SUMPRODUCT((Besatzung!$B$11:$B$22&lt;&gt;"")*(Besatzung!$F$11:$F$22="x")),SUMPRODUCT((J58:U58="x")*(Besatzung!$F$11:$F$22="x"))),1))))),0))))</f>
        <v/>
      </c>
      <c r="AD58" s="247">
        <f>IF(C58="Gutschrift","",IF(G58="","",IF(Besatzung!$B$19="","",IFERROR(IF(I58="Zeitanteilig",(Besatzung!$G$19*(G58-IFERROR(H58,0))+((Besatzung!$B$19&lt;&gt;"")*IF(B58="",1,(IF(Besatzung!$C$19="",Besatzung!$B$5,Besatzung!$C$19)&lt;=B58)*(IF(Besatzung!$D$19="",Besatzung!$B$6,Besatzung!$D$19)&gt;=B58)))*(Besatzung!$F$19="x")*IFERROR(H58,0)/IFERROR(SUMPRODUCT((Besatzung!$B$11:$B$22&lt;&gt;"")*(Besatzung!$F$11:$F$22="x")*(IF(Besatzung!$C$11:$C$22="",Besatzung!$B$5,Besatzung!$C$11:$C$22)&lt;=B58)*(IF(Besatzung!$D$11:$D$22="",Besatzung!$B$6,Besatzung!$D$11:$D$22)&gt;=B58)),1)),IF(I58="An Bord",(((Besatzung!$B$19&lt;&gt;"")*IF(B58="",1,(IF(Besatzung!$C$19="",Besatzung!$B$5,Besatzung!$C$19)&lt;=B58)*(IF(Besatzung!$D$19="",Besatzung!$B$6,Besatzung!$D$19)&gt;=B58)))*((G58-IFERROR(H58,0))/IFERROR(SUMPRODUCT((Besatzung!$B$11:$B$22&lt;&gt;"")*(IF(Besatzung!$C$11:$C$22="",Besatzung!$B$5,Besatzung!$C$11:$C$22)&lt;=B58)*(IF(Besatzung!$D$11:$D$22="",Besatzung!$B$6,Besatzung!$D$11:$D$22)&gt;=B58)),1)+(Besatzung!$F$19="x")*IFERROR(H58,0)/IFERROR(SUMPRODUCT((Besatzung!$B$11:$B$22&lt;&gt;"")*(Besatzung!$F$11:$F$22="x")*(IF(Besatzung!$C$11:$C$22="",Besatzung!$B$5,Besatzung!$C$11:$C$22)&lt;=B58)*(IF(Besatzung!$D$11:$D$22="",Besatzung!$B$6,Besatzung!$D$11:$D$22)&gt;=B58)),1))),IF(I58="Individuell",((R58="x")*((G58-IFERROR(H58,0))/IFERROR(COUNTIF(J58:U58,"x"),1)+(Besatzung!$F$19="x")*IFERROR(H58,0)/IFERROR(SUMPRODUCT((J58:U58="x")*(Besatzung!$F$11:$F$22="x")),1))),(IF(COUNTIF(J58:U58,"x")=0,IF(Besatzung!$B$19&lt;&gt;"",1,0),(R58="x"))*(G58-IFERROR(H58,0))/IFERROR(IF(COUNTIF(J58:U58,"x")=0,COUNTA(Besatzung!$B$11:$B$22),COUNTIF(J58:U58,"x")),1)+IF(COUNTIF(J58:U58,"x")=0,(Besatzung!$F$19="x"),(R58="x")*(Besatzung!$F$19="x"))*IFERROR(H58,0)/IFERROR(IF(COUNTIF(J58:U58,"x")=0,SUMPRODUCT((Besatzung!$B$11:$B$22&lt;&gt;"")*(Besatzung!$F$11:$F$22="x")),SUMPRODUCT((J58:U58="x")*(Besatzung!$F$11:$F$22="x"))),1))))),0))))</f>
        <v/>
      </c>
      <c r="AE58" s="247">
        <f>IF(C58="Gutschrift","",IF(G58="","",IF(Besatzung!$B$20="","",IFERROR(IF(I58="Zeitanteilig",(Besatzung!$G$20*(G58-IFERROR(H58,0))+((Besatzung!$B$20&lt;&gt;"")*IF(B58="",1,(IF(Besatzung!$C$20="",Besatzung!$B$5,Besatzung!$C$20)&lt;=B58)*(IF(Besatzung!$D$20="",Besatzung!$B$6,Besatzung!$D$20)&gt;=B58)))*(Besatzung!$F$20="x")*IFERROR(H58,0)/IFERROR(SUMPRODUCT((Besatzung!$B$11:$B$22&lt;&gt;"")*(Besatzung!$F$11:$F$22="x")*(IF(Besatzung!$C$11:$C$22="",Besatzung!$B$5,Besatzung!$C$11:$C$22)&lt;=B58)*(IF(Besatzung!$D$11:$D$22="",Besatzung!$B$6,Besatzung!$D$11:$D$22)&gt;=B58)),1)),IF(I58="An Bord",(((Besatzung!$B$20&lt;&gt;"")*IF(B58="",1,(IF(Besatzung!$C$20="",Besatzung!$B$5,Besatzung!$C$20)&lt;=B58)*(IF(Besatzung!$D$20="",Besatzung!$B$6,Besatzung!$D$20)&gt;=B58)))*((G58-IFERROR(H58,0))/IFERROR(SUMPRODUCT((Besatzung!$B$11:$B$22&lt;&gt;"")*(IF(Besatzung!$C$11:$C$22="",Besatzung!$B$5,Besatzung!$C$11:$C$22)&lt;=B58)*(IF(Besatzung!$D$11:$D$22="",Besatzung!$B$6,Besatzung!$D$11:$D$22)&gt;=B58)),1)+(Besatzung!$F$20="x")*IFERROR(H58,0)/IFERROR(SUMPRODUCT((Besatzung!$B$11:$B$22&lt;&gt;"")*(Besatzung!$F$11:$F$22="x")*(IF(Besatzung!$C$11:$C$22="",Besatzung!$B$5,Besatzung!$C$11:$C$22)&lt;=B58)*(IF(Besatzung!$D$11:$D$22="",Besatzung!$B$6,Besatzung!$D$11:$D$22)&gt;=B58)),1))),IF(I58="Individuell",((S58="x")*((G58-IFERROR(H58,0))/IFERROR(COUNTIF(J58:U58,"x"),1)+(Besatzung!$F$20="x")*IFERROR(H58,0)/IFERROR(SUMPRODUCT((J58:U58="x")*(Besatzung!$F$11:$F$22="x")),1))),(IF(COUNTIF(J58:U58,"x")=0,IF(Besatzung!$B$20&lt;&gt;"",1,0),(S58="x"))*(G58-IFERROR(H58,0))/IFERROR(IF(COUNTIF(J58:U58,"x")=0,COUNTA(Besatzung!$B$11:$B$22),COUNTIF(J58:U58,"x")),1)+IF(COUNTIF(J58:U58,"x")=0,(Besatzung!$F$20="x"),(S58="x")*(Besatzung!$F$20="x"))*IFERROR(H58,0)/IFERROR(IF(COUNTIF(J58:U58,"x")=0,SUMPRODUCT((Besatzung!$B$11:$B$22&lt;&gt;"")*(Besatzung!$F$11:$F$22="x")),SUMPRODUCT((J58:U58="x")*(Besatzung!$F$11:$F$22="x"))),1))))),0))))</f>
        <v/>
      </c>
      <c r="AF58" s="247">
        <f>IF(C58="Gutschrift","",IF(G58="","",IF(Besatzung!$B$21="","",IFERROR(IF(I58="Zeitanteilig",(Besatzung!$G$21*(G58-IFERROR(H58,0))+((Besatzung!$B$21&lt;&gt;"")*IF(B58="",1,(IF(Besatzung!$C$21="",Besatzung!$B$5,Besatzung!$C$21)&lt;=B58)*(IF(Besatzung!$D$21="",Besatzung!$B$6,Besatzung!$D$21)&gt;=B58)))*(Besatzung!$F$21="x")*IFERROR(H58,0)/IFERROR(SUMPRODUCT((Besatzung!$B$11:$B$22&lt;&gt;"")*(Besatzung!$F$11:$F$22="x")*(IF(Besatzung!$C$11:$C$22="",Besatzung!$B$5,Besatzung!$C$11:$C$22)&lt;=B58)*(IF(Besatzung!$D$11:$D$22="",Besatzung!$B$6,Besatzung!$D$11:$D$22)&gt;=B58)),1)),IF(I58="An Bord",(((Besatzung!$B$21&lt;&gt;"")*IF(B58="",1,(IF(Besatzung!$C$21="",Besatzung!$B$5,Besatzung!$C$21)&lt;=B58)*(IF(Besatzung!$D$21="",Besatzung!$B$6,Besatzung!$D$21)&gt;=B58)))*((G58-IFERROR(H58,0))/IFERROR(SUMPRODUCT((Besatzung!$B$11:$B$22&lt;&gt;"")*(IF(Besatzung!$C$11:$C$22="",Besatzung!$B$5,Besatzung!$C$11:$C$22)&lt;=B58)*(IF(Besatzung!$D$11:$D$22="",Besatzung!$B$6,Besatzung!$D$11:$D$22)&gt;=B58)),1)+(Besatzung!$F$21="x")*IFERROR(H58,0)/IFERROR(SUMPRODUCT((Besatzung!$B$11:$B$22&lt;&gt;"")*(Besatzung!$F$11:$F$22="x")*(IF(Besatzung!$C$11:$C$22="",Besatzung!$B$5,Besatzung!$C$11:$C$22)&lt;=B58)*(IF(Besatzung!$D$11:$D$22="",Besatzung!$B$6,Besatzung!$D$11:$D$22)&gt;=B58)),1))),IF(I58="Individuell",((T58="x")*((G58-IFERROR(H58,0))/IFERROR(COUNTIF(J58:U58,"x"),1)+(Besatzung!$F$21="x")*IFERROR(H58,0)/IFERROR(SUMPRODUCT((J58:U58="x")*(Besatzung!$F$11:$F$22="x")),1))),(IF(COUNTIF(J58:U58,"x")=0,IF(Besatzung!$B$21&lt;&gt;"",1,0),(T58="x"))*(G58-IFERROR(H58,0))/IFERROR(IF(COUNTIF(J58:U58,"x")=0,COUNTA(Besatzung!$B$11:$B$22),COUNTIF(J58:U58,"x")),1)+IF(COUNTIF(J58:U58,"x")=0,(Besatzung!$F$21="x"),(T58="x")*(Besatzung!$F$21="x"))*IFERROR(H58,0)/IFERROR(IF(COUNTIF(J58:U58,"x")=0,SUMPRODUCT((Besatzung!$B$11:$B$22&lt;&gt;"")*(Besatzung!$F$11:$F$22="x")),SUMPRODUCT((J58:U58="x")*(Besatzung!$F$11:$F$22="x"))),1))))),0))))</f>
        <v/>
      </c>
      <c r="AG58" s="247">
        <f>IF(C58="Gutschrift","",IF(G58="","",IF(Besatzung!$B$22="","",IFERROR(IF(I58="Zeitanteilig",(Besatzung!$G$22*(G58-IFERROR(H58,0))+((Besatzung!$B$22&lt;&gt;"")*IF(B58="",1,(IF(Besatzung!$C$22="",Besatzung!$B$5,Besatzung!$C$22)&lt;=B58)*(IF(Besatzung!$D$22="",Besatzung!$B$6,Besatzung!$D$22)&gt;=B58)))*(Besatzung!$F$22="x")*IFERROR(H58,0)/IFERROR(SUMPRODUCT((Besatzung!$B$11:$B$22&lt;&gt;"")*(Besatzung!$F$11:$F$22="x")*(IF(Besatzung!$C$11:$C$22="",Besatzung!$B$5,Besatzung!$C$11:$C$22)&lt;=B58)*(IF(Besatzung!$D$11:$D$22="",Besatzung!$B$6,Besatzung!$D$11:$D$22)&gt;=B58)),1)),IF(I58="An Bord",(((Besatzung!$B$22&lt;&gt;"")*IF(B58="",1,(IF(Besatzung!$C$22="",Besatzung!$B$5,Besatzung!$C$22)&lt;=B58)*(IF(Besatzung!$D$22="",Besatzung!$B$6,Besatzung!$D$22)&gt;=B58)))*((G58-IFERROR(H58,0))/IFERROR(SUMPRODUCT((Besatzung!$B$11:$B$22&lt;&gt;"")*(IF(Besatzung!$C$11:$C$22="",Besatzung!$B$5,Besatzung!$C$11:$C$22)&lt;=B58)*(IF(Besatzung!$D$11:$D$22="",Besatzung!$B$6,Besatzung!$D$11:$D$22)&gt;=B58)),1)+(Besatzung!$F$22="x")*IFERROR(H58,0)/IFERROR(SUMPRODUCT((Besatzung!$B$11:$B$22&lt;&gt;"")*(Besatzung!$F$11:$F$22="x")*(IF(Besatzung!$C$11:$C$22="",Besatzung!$B$5,Besatzung!$C$11:$C$22)&lt;=B58)*(IF(Besatzung!$D$11:$D$22="",Besatzung!$B$6,Besatzung!$D$11:$D$22)&gt;=B58)),1))),IF(I58="Individuell",((U58="x")*((G58-IFERROR(H58,0))/IFERROR(COUNTIF(J58:U58,"x"),1)+(Besatzung!$F$22="x")*IFERROR(H58,0)/IFERROR(SUMPRODUCT((J58:U58="x")*(Besatzung!$F$11:$F$22="x")),1))),(IF(COUNTIF(J58:U58,"x")=0,IF(Besatzung!$B$22&lt;&gt;"",1,0),(U58="x"))*(G58-IFERROR(H58,0))/IFERROR(IF(COUNTIF(J58:U58,"x")=0,COUNTA(Besatzung!$B$11:$B$22),COUNTIF(J58:U58,"x")),1)+IF(COUNTIF(J58:U58,"x")=0,(Besatzung!$F$22="x"),(U58="x")*(Besatzung!$F$22="x"))*IFERROR(H58,0)/IFERROR(IF(COUNTIF(J58:U58,"x")=0,SUMPRODUCT((Besatzung!$B$11:$B$22&lt;&gt;"")*(Besatzung!$F$11:$F$22="x")),SUMPRODUCT((J58:U58="x")*(Besatzung!$F$11:$F$22="x"))),1))))),0))))</f>
        <v/>
      </c>
      <c r="AH58" s="248" t="n"/>
      <c r="AI58" s="248" t="n"/>
    </row>
    <row r="59" ht="21.75" customHeight="1" s="154">
      <c r="A59" s="238">
        <f>IF(AND(D59="",C59=""),"",56)</f>
        <v/>
      </c>
      <c r="B59" s="206" t="n"/>
      <c r="C59" s="249" t="n"/>
      <c r="D59" s="250" t="n"/>
      <c r="E59" s="251" t="n"/>
      <c r="F59" s="252" t="n"/>
      <c r="G59" s="253" t="n"/>
      <c r="H59" s="254" t="n"/>
      <c r="I59" s="255" t="n"/>
      <c r="J59" s="256" t="n"/>
      <c r="K59" s="256" t="n"/>
      <c r="L59" s="256" t="n"/>
      <c r="M59" s="256" t="n"/>
      <c r="N59" s="256" t="n"/>
      <c r="O59" s="256" t="n"/>
      <c r="P59" s="256" t="n"/>
      <c r="Q59" s="256" t="n"/>
      <c r="R59" s="256" t="n"/>
      <c r="S59" s="256" t="n"/>
      <c r="T59" s="256" t="n"/>
      <c r="U59" s="256" t="n"/>
      <c r="V59" s="247">
        <f>IF(C59="Gutschrift","",IF(G59="","",IF(Besatzung!$B$11="","",IFERROR(IF(I59="Zeitanteilig",(Besatzung!$G$11*(G59-IFERROR(H59,0))+((Besatzung!$B$11&lt;&gt;"")*IF(B59="",1,(IF(Besatzung!$C$11="",Besatzung!$B$5,Besatzung!$C$11)&lt;=B59)*(IF(Besatzung!$D$11="",Besatzung!$B$6,Besatzung!$D$11)&gt;=B59)))*(Besatzung!$F$11="x")*IFERROR(H59,0)/IFERROR(SUMPRODUCT((Besatzung!$B$11:$B$22&lt;&gt;"")*(Besatzung!$F$11:$F$22="x")*(IF(Besatzung!$C$11:$C$22="",Besatzung!$B$5,Besatzung!$C$11:$C$22)&lt;=B59)*(IF(Besatzung!$D$11:$D$22="",Besatzung!$B$6,Besatzung!$D$11:$D$22)&gt;=B59)),1)),IF(I59="An Bord",(((Besatzung!$B$11&lt;&gt;"")*IF(B59="",1,(IF(Besatzung!$C$11="",Besatzung!$B$5,Besatzung!$C$11)&lt;=B59)*(IF(Besatzung!$D$11="",Besatzung!$B$6,Besatzung!$D$11)&gt;=B59)))*((G59-IFERROR(H59,0))/IFERROR(SUMPRODUCT((Besatzung!$B$11:$B$22&lt;&gt;"")*(IF(Besatzung!$C$11:$C$22="",Besatzung!$B$5,Besatzung!$C$11:$C$22)&lt;=B59)*(IF(Besatzung!$D$11:$D$22="",Besatzung!$B$6,Besatzung!$D$11:$D$22)&gt;=B59)),1)+(Besatzung!$F$11="x")*IFERROR(H59,0)/IFERROR(SUMPRODUCT((Besatzung!$B$11:$B$22&lt;&gt;"")*(Besatzung!$F$11:$F$22="x")*(IF(Besatzung!$C$11:$C$22="",Besatzung!$B$5,Besatzung!$C$11:$C$22)&lt;=B59)*(IF(Besatzung!$D$11:$D$22="",Besatzung!$B$6,Besatzung!$D$11:$D$22)&gt;=B59)),1))),IF(I59="Individuell",((J59="x")*((G59-IFERROR(H59,0))/IFERROR(COUNTIF(J59:U59,"x"),1)+(Besatzung!$F$11="x")*IFERROR(H59,0)/IFERROR(SUMPRODUCT((J59:U59="x")*(Besatzung!$F$11:$F$22="x")),1))),(IF(COUNTIF(J59:U59,"x")=0,IF(Besatzung!$B$11&lt;&gt;"",1,0),(J59="x"))*(G59-IFERROR(H59,0))/IFERROR(IF(COUNTIF(J59:U59,"x")=0,COUNTA(Besatzung!$B$11:$B$22),COUNTIF(J59:U59,"x")),1)+IF(COUNTIF(J59:U59,"x")=0,(Besatzung!$F$11="x"),(J59="x")*(Besatzung!$F$11="x"))*IFERROR(H59,0)/IFERROR(IF(COUNTIF(J59:U59,"x")=0,SUMPRODUCT((Besatzung!$B$11:$B$22&lt;&gt;"")*(Besatzung!$F$11:$F$22="x")),SUMPRODUCT((J59:U59="x")*(Besatzung!$F$11:$F$22="x"))),1))))),0))))</f>
        <v/>
      </c>
      <c r="W59" s="247">
        <f>IF(C59="Gutschrift","",IF(G59="","",IF(Besatzung!$B$12="","",IFERROR(IF(I59="Zeitanteilig",(Besatzung!$G$12*(G59-IFERROR(H59,0))+((Besatzung!$B$12&lt;&gt;"")*IF(B59="",1,(IF(Besatzung!$C$12="",Besatzung!$B$5,Besatzung!$C$12)&lt;=B59)*(IF(Besatzung!$D$12="",Besatzung!$B$6,Besatzung!$D$12)&gt;=B59)))*(Besatzung!$F$12="x")*IFERROR(H59,0)/IFERROR(SUMPRODUCT((Besatzung!$B$11:$B$22&lt;&gt;"")*(Besatzung!$F$11:$F$22="x")*(IF(Besatzung!$C$11:$C$22="",Besatzung!$B$5,Besatzung!$C$11:$C$22)&lt;=B59)*(IF(Besatzung!$D$11:$D$22="",Besatzung!$B$6,Besatzung!$D$11:$D$22)&gt;=B59)),1)),IF(I59="An Bord",(((Besatzung!$B$12&lt;&gt;"")*IF(B59="",1,(IF(Besatzung!$C$12="",Besatzung!$B$5,Besatzung!$C$12)&lt;=B59)*(IF(Besatzung!$D$12="",Besatzung!$B$6,Besatzung!$D$12)&gt;=B59)))*((G59-IFERROR(H59,0))/IFERROR(SUMPRODUCT((Besatzung!$B$11:$B$22&lt;&gt;"")*(IF(Besatzung!$C$11:$C$22="",Besatzung!$B$5,Besatzung!$C$11:$C$22)&lt;=B59)*(IF(Besatzung!$D$11:$D$22="",Besatzung!$B$6,Besatzung!$D$11:$D$22)&gt;=B59)),1)+(Besatzung!$F$12="x")*IFERROR(H59,0)/IFERROR(SUMPRODUCT((Besatzung!$B$11:$B$22&lt;&gt;"")*(Besatzung!$F$11:$F$22="x")*(IF(Besatzung!$C$11:$C$22="",Besatzung!$B$5,Besatzung!$C$11:$C$22)&lt;=B59)*(IF(Besatzung!$D$11:$D$22="",Besatzung!$B$6,Besatzung!$D$11:$D$22)&gt;=B59)),1))),IF(I59="Individuell",((K59="x")*((G59-IFERROR(H59,0))/IFERROR(COUNTIF(J59:U59,"x"),1)+(Besatzung!$F$12="x")*IFERROR(H59,0)/IFERROR(SUMPRODUCT((J59:U59="x")*(Besatzung!$F$11:$F$22="x")),1))),(IF(COUNTIF(J59:U59,"x")=0,IF(Besatzung!$B$12&lt;&gt;"",1,0),(K59="x"))*(G59-IFERROR(H59,0))/IFERROR(IF(COUNTIF(J59:U59,"x")=0,COUNTA(Besatzung!$B$11:$B$22),COUNTIF(J59:U59,"x")),1)+IF(COUNTIF(J59:U59,"x")=0,(Besatzung!$F$12="x"),(K59="x")*(Besatzung!$F$12="x"))*IFERROR(H59,0)/IFERROR(IF(COUNTIF(J59:U59,"x")=0,SUMPRODUCT((Besatzung!$B$11:$B$22&lt;&gt;"")*(Besatzung!$F$11:$F$22="x")),SUMPRODUCT((J59:U59="x")*(Besatzung!$F$11:$F$22="x"))),1))))),0))))</f>
        <v/>
      </c>
      <c r="X59" s="247">
        <f>IF(C59="Gutschrift","",IF(G59="","",IF(Besatzung!$B$13="","",IFERROR(IF(I59="Zeitanteilig",(Besatzung!$G$13*(G59-IFERROR(H59,0))+((Besatzung!$B$13&lt;&gt;"")*IF(B59="",1,(IF(Besatzung!$C$13="",Besatzung!$B$5,Besatzung!$C$13)&lt;=B59)*(IF(Besatzung!$D$13="",Besatzung!$B$6,Besatzung!$D$13)&gt;=B59)))*(Besatzung!$F$13="x")*IFERROR(H59,0)/IFERROR(SUMPRODUCT((Besatzung!$B$11:$B$22&lt;&gt;"")*(Besatzung!$F$11:$F$22="x")*(IF(Besatzung!$C$11:$C$22="",Besatzung!$B$5,Besatzung!$C$11:$C$22)&lt;=B59)*(IF(Besatzung!$D$11:$D$22="",Besatzung!$B$6,Besatzung!$D$11:$D$22)&gt;=B59)),1)),IF(I59="An Bord",(((Besatzung!$B$13&lt;&gt;"")*IF(B59="",1,(IF(Besatzung!$C$13="",Besatzung!$B$5,Besatzung!$C$13)&lt;=B59)*(IF(Besatzung!$D$13="",Besatzung!$B$6,Besatzung!$D$13)&gt;=B59)))*((G59-IFERROR(H59,0))/IFERROR(SUMPRODUCT((Besatzung!$B$11:$B$22&lt;&gt;"")*(IF(Besatzung!$C$11:$C$22="",Besatzung!$B$5,Besatzung!$C$11:$C$22)&lt;=B59)*(IF(Besatzung!$D$11:$D$22="",Besatzung!$B$6,Besatzung!$D$11:$D$22)&gt;=B59)),1)+(Besatzung!$F$13="x")*IFERROR(H59,0)/IFERROR(SUMPRODUCT((Besatzung!$B$11:$B$22&lt;&gt;"")*(Besatzung!$F$11:$F$22="x")*(IF(Besatzung!$C$11:$C$22="",Besatzung!$B$5,Besatzung!$C$11:$C$22)&lt;=B59)*(IF(Besatzung!$D$11:$D$22="",Besatzung!$B$6,Besatzung!$D$11:$D$22)&gt;=B59)),1))),IF(I59="Individuell",((K59="x")*((G59-IFERROR(H59,0))/IFERROR(COUNTIF(J59:U59,"x"),1)+(Besatzung!$F$13="x")*IFERROR(H59,0)/IFERROR(SUMPRODUCT((J59:U59="x")*(Besatzung!$F$11:$F$22="x")),1))),(IF(COUNTIF(J59:U59,"x")=0,IF(Besatzung!$B$13&lt;&gt;"",1,0),(K59="x"))*(G59-IFERROR(H59,0))/IFERROR(IF(COUNTIF(J59:U59,"x")=0,COUNTA(Besatzung!$B$11:$B$22),COUNTIF(J59:U59,"x")),1)+IF(COUNTIF(J59:U59,"x")=0,(Besatzung!$F$13="x"),(K59="x")*(Besatzung!$F$13="x"))*IFERROR(H59,0)/IFERROR(IF(COUNTIF(J59:U59,"x")=0,SUMPRODUCT((Besatzung!$B$11:$B$22&lt;&gt;"")*(Besatzung!$F$11:$F$22="x")),SUMPRODUCT((J59:U59="x")*(Besatzung!$F$11:$F$22="x"))),1))))),0))))</f>
        <v/>
      </c>
      <c r="Y59" s="247">
        <f>IF(C59="Gutschrift","",IF(G59="","",IF(Besatzung!$B$14="","",IFERROR(IF(I59="Zeitanteilig",(Besatzung!$G$14*(G59-IFERROR(H59,0))+((Besatzung!$B$14&lt;&gt;"")*IF(B59="",1,(IF(Besatzung!$C$14="",Besatzung!$B$5,Besatzung!$C$14)&lt;=B59)*(IF(Besatzung!$D$14="",Besatzung!$B$6,Besatzung!$D$14)&gt;=B59)))*(Besatzung!$F$14="x")*IFERROR(H59,0)/IFERROR(SUMPRODUCT((Besatzung!$B$11:$B$22&lt;&gt;"")*(Besatzung!$F$11:$F$22="x")*(IF(Besatzung!$C$11:$C$22="",Besatzung!$B$5,Besatzung!$C$11:$C$22)&lt;=B59)*(IF(Besatzung!$D$11:$D$22="",Besatzung!$B$6,Besatzung!$D$11:$D$22)&gt;=B59)),1)),IF(I59="An Bord",(((Besatzung!$B$14&lt;&gt;"")*IF(B59="",1,(IF(Besatzung!$C$14="",Besatzung!$B$5,Besatzung!$C$14)&lt;=B59)*(IF(Besatzung!$D$14="",Besatzung!$B$6,Besatzung!$D$14)&gt;=B59)))*((G59-IFERROR(H59,0))/IFERROR(SUMPRODUCT((Besatzung!$B$11:$B$22&lt;&gt;"")*(IF(Besatzung!$C$11:$C$22="",Besatzung!$B$5,Besatzung!$C$11:$C$22)&lt;=B59)*(IF(Besatzung!$D$11:$D$22="",Besatzung!$B$6,Besatzung!$D$11:$D$22)&gt;=B59)),1)+(Besatzung!$F$14="x")*IFERROR(H59,0)/IFERROR(SUMPRODUCT((Besatzung!$B$11:$B$22&lt;&gt;"")*(Besatzung!$F$11:$F$22="x")*(IF(Besatzung!$C$11:$C$22="",Besatzung!$B$5,Besatzung!$C$11:$C$22)&lt;=B59)*(IF(Besatzung!$D$11:$D$22="",Besatzung!$B$6,Besatzung!$D$11:$D$22)&gt;=B59)),1))),IF(I59="Individuell",((M59="x")*((G59-IFERROR(H59,0))/IFERROR(COUNTIF(J59:U59,"x"),1)+(Besatzung!$F$14="x")*IFERROR(H59,0)/IFERROR(SUMPRODUCT((J59:U59="x")*(Besatzung!$F$11:$F$22="x")),1))),(IF(COUNTIF(J59:U59,"x")=0,IF(Besatzung!$B$14&lt;&gt;"",1,0),(M59="x"))*(G59-IFERROR(H59,0))/IFERROR(IF(COUNTIF(J59:U59,"x")=0,COUNTA(Besatzung!$B$11:$B$22),COUNTIF(J59:U59,"x")),1)+IF(COUNTIF(J59:U59,"x")=0,(Besatzung!$F$14="x"),(M59="x")*(Besatzung!$F$14="x"))*IFERROR(H59,0)/IFERROR(IF(COUNTIF(J59:U59,"x")=0,SUMPRODUCT((Besatzung!$B$11:$B$22&lt;&gt;"")*(Besatzung!$F$11:$F$22="x")),SUMPRODUCT((J59:U59="x")*(Besatzung!$F$11:$F$22="x"))),1))))),0))))</f>
        <v/>
      </c>
      <c r="Z59" s="247">
        <f>IF(C59="Gutschrift","",IF(G59="","",IF(Besatzung!$B$13="","",IFERROR(IF(I59="Zeitanteilig",(Besatzung!$G$15*(G59-IFERROR(H59,0))+((Besatzung!$B$13&lt;&gt;"")*IF(B59="",1,(IF(Besatzung!$C$15="",Besatzung!$B$5,Besatzung!$C$15)&lt;=B59)*(IF(Besatzung!$D$15="",Besatzung!$B$6,Besatzung!$D$15)&gt;=B59)))*(Besatzung!$F$15="x")*IFERROR(H59,0)/IFERROR(SUMPRODUCT((Besatzung!$B$11:$B$22&lt;&gt;"")*(Besatzung!$F$11:$F$22="x")*(IF(Besatzung!$C$11:$C$22="",Besatzung!$B$5,Besatzung!$C$11:$C$22)&lt;=B59)*(IF(Besatzung!$D$11:$D$22="",Besatzung!$B$6,Besatzung!$D$11:$D$22)&gt;=B59)),1)),IF(I59="An Bord",(((Besatzung!$B$13&lt;&gt;"")*IF(B59="",1,(IF(Besatzung!$C$15="",Besatzung!$B$5,Besatzung!$C$15)&lt;=B59)*(IF(Besatzung!$D$15="",Besatzung!$B$6,Besatzung!$D$15)&gt;=B59)))*((G59-IFERROR(H59,0))/IFERROR(SUMPRODUCT((Besatzung!$B$11:$B$22&lt;&gt;"")*(IF(Besatzung!$C$11:$C$22="",Besatzung!$B$5,Besatzung!$C$11:$C$22)&lt;=B59)*(IF(Besatzung!$D$11:$D$22="",Besatzung!$B$6,Besatzung!$D$11:$D$22)&gt;=B59)),1)+(Besatzung!$F$15="x")*IFERROR(H59,0)/IFERROR(SUMPRODUCT((Besatzung!$B$11:$B$22&lt;&gt;"")*(Besatzung!$F$11:$F$22="x")*(IF(Besatzung!$C$11:$C$22="",Besatzung!$B$5,Besatzung!$C$11:$C$22)&lt;=B59)*(IF(Besatzung!$D$11:$D$22="",Besatzung!$B$6,Besatzung!$D$11:$D$22)&gt;=B59)),1))),IF(I59="Individuell",((N59="x")*((G59-IFERROR(H59,0))/IFERROR(COUNTIF(J59:U59,"x"),1)+(Besatzung!$F$15="x")*IFERROR(H59,0)/IFERROR(SUMPRODUCT((J59:U59="x")*(Besatzung!$F$11:$F$22="x")),1))),(IF(COUNTIF(J59:U59,"x")=0,IF(Besatzung!$B$13&lt;&gt;"",1,0),(N59="x"))*(G59-IFERROR(H59,0))/IFERROR(IF(COUNTIF(J59:U59,"x")=0,COUNTA(Besatzung!$B$11:$B$22),COUNTIF(J59:U59,"x")),1)+IF(COUNTIF(J59:U59,"x")=0,(Besatzung!$F$15="x"),(N59="x")*(Besatzung!$F$15="x"))*IFERROR(H59,0)/IFERROR(IF(COUNTIF(J59:U59,"x")=0,SUMPRODUCT((Besatzung!$B$11:$B$22&lt;&gt;"")*(Besatzung!$F$11:$F$22="x")),SUMPRODUCT((J59:U59="x")*(Besatzung!$F$11:$F$22="x"))),1))))),0))))</f>
        <v/>
      </c>
      <c r="AA59" s="247">
        <f>IF(C59="Gutschrift","",IF(G59="","",IF(Besatzung!$B$15="","",IFERROR(IF(I59="Zeitanteilig",(Besatzung!$G$16*(G59-IFERROR(H59,0))+((Besatzung!$B$15&lt;&gt;"")*IF(B59="",1,(IF(Besatzung!$C$16="",Besatzung!$B$5,Besatzung!$C$16)&lt;=B59)*(IF(Besatzung!$D$16="",Besatzung!$B$6,Besatzung!$D$16)&gt;=B59)))*(Besatzung!$F$16="x")*IFERROR(H59,0)/IFERROR(SUMPRODUCT((Besatzung!$B$11:$B$22&lt;&gt;"")*(Besatzung!$F$11:$F$22="x")*(IF(Besatzung!$C$11:$C$22="",Besatzung!$B$5,Besatzung!$C$11:$C$22)&lt;=B59)*(IF(Besatzung!$D$11:$D$22="",Besatzung!$B$6,Besatzung!$D$11:$D$22)&gt;=B59)),1)),IF(I59="An Bord",(((Besatzung!$B$15&lt;&gt;"")*IF(B59="",1,(IF(Besatzung!$C$16="",Besatzung!$B$5,Besatzung!$C$16)&lt;=B59)*(IF(Besatzung!$D$16="",Besatzung!$B$6,Besatzung!$D$16)&gt;=B59)))*((G59-IFERROR(H59,0))/IFERROR(SUMPRODUCT((Besatzung!$B$11:$B$22&lt;&gt;"")*(IF(Besatzung!$C$11:$C$22="",Besatzung!$B$5,Besatzung!$C$11:$C$22)&lt;=B59)*(IF(Besatzung!$D$11:$D$22="",Besatzung!$B$6,Besatzung!$D$11:$D$22)&gt;=B59)),1)+(Besatzung!$F$16="x")*IFERROR(H59,0)/IFERROR(SUMPRODUCT((Besatzung!$B$11:$B$22&lt;&gt;"")*(Besatzung!$F$11:$F$22="x")*(IF(Besatzung!$C$11:$C$22="",Besatzung!$B$5,Besatzung!$C$11:$C$22)&lt;=B59)*(IF(Besatzung!$D$11:$D$22="",Besatzung!$B$6,Besatzung!$D$11:$D$22)&gt;=B59)),1))),IF(I59="Individuell",((O59="x")*((G59-IFERROR(H59,0))/IFERROR(COUNTIF(J59:U59,"x"),1)+(Besatzung!$F$16="x")*IFERROR(H59,0)/IFERROR(SUMPRODUCT((J59:U59="x")*(Besatzung!$F$11:$F$22="x")),1))),(IF(COUNTIF(J59:U59,"x")=0,IF(Besatzung!$B$15&lt;&gt;"",1,0),(O59="x"))*(G59-IFERROR(H59,0))/IFERROR(IF(COUNTIF(J59:U59,"x")=0,COUNTA(Besatzung!$B$11:$B$22),COUNTIF(J59:U59,"x")),1)+IF(COUNTIF(J59:U59,"x")=0,(Besatzung!$F$16="x"),(O59="x")*(Besatzung!$F$16="x"))*IFERROR(H59,0)/IFERROR(IF(COUNTIF(J59:U59,"x")=0,SUMPRODUCT((Besatzung!$B$11:$B$22&lt;&gt;"")*(Besatzung!$F$11:$F$22="x")),SUMPRODUCT((J59:U59="x")*(Besatzung!$F$11:$F$22="x"))),1))))),0))))</f>
        <v/>
      </c>
      <c r="AB59" s="247">
        <f>IF(C59="Gutschrift","",IF(G59="","",IF(Besatzung!$B$17="","",IFERROR(IF(I59="Zeitanteilig",(Besatzung!$G$17*(G59-IFERROR(H59,0))+((Besatzung!$B$17&lt;&gt;"")*IF(B59="",1,(IF(Besatzung!$C$17="",Besatzung!$B$5,Besatzung!$C$17)&lt;=B59)*(IF(Besatzung!$D$17="",Besatzung!$B$6,Besatzung!$D$17)&gt;=B59)))*(Besatzung!$F$17="x")*IFERROR(H59,0)/IFERROR(SUMPRODUCT((Besatzung!$B$11:$B$22&lt;&gt;"")*(Besatzung!$F$11:$F$22="x")*(IF(Besatzung!$C$11:$C$22="",Besatzung!$B$5,Besatzung!$C$11:$C$22)&lt;=B59)*(IF(Besatzung!$D$11:$D$22="",Besatzung!$B$6,Besatzung!$D$11:$D$22)&gt;=B59)),1)),IF(I59="An Bord",(((Besatzung!$B$17&lt;&gt;"")*IF(B59="",1,(IF(Besatzung!$C$17="",Besatzung!$B$5,Besatzung!$C$17)&lt;=B59)*(IF(Besatzung!$D$17="",Besatzung!$B$6,Besatzung!$D$17)&gt;=B59)))*((G59-IFERROR(H59,0))/IFERROR(SUMPRODUCT((Besatzung!$B$11:$B$22&lt;&gt;"")*(IF(Besatzung!$C$11:$C$22="",Besatzung!$B$5,Besatzung!$C$11:$C$22)&lt;=B59)*(IF(Besatzung!$D$11:$D$22="",Besatzung!$B$6,Besatzung!$D$11:$D$22)&gt;=B59)),1)+(Besatzung!$F$17="x")*IFERROR(H59,0)/IFERROR(SUMPRODUCT((Besatzung!$B$11:$B$22&lt;&gt;"")*(Besatzung!$F$11:$F$22="x")*(IF(Besatzung!$C$11:$C$22="",Besatzung!$B$5,Besatzung!$C$11:$C$22)&lt;=B59)*(IF(Besatzung!$D$11:$D$22="",Besatzung!$B$6,Besatzung!$D$11:$D$22)&gt;=B59)),1))),IF(I59="Individuell",((P59="x")*((G59-IFERROR(H59,0))/IFERROR(COUNTIF(J59:U59,"x"),1)+(Besatzung!$F$17="x")*IFERROR(H59,0)/IFERROR(SUMPRODUCT((J59:U59="x")*(Besatzung!$F$11:$F$22="x")),1))),(IF(COUNTIF(J59:U59,"x")=0,IF(Besatzung!$B$17&lt;&gt;"",1,0),(P59="x"))*(G59-IFERROR(H59,0))/IFERROR(IF(COUNTIF(J59:U59,"x")=0,COUNTA(Besatzung!$B$11:$B$22),COUNTIF(J59:U59,"x")),1)+IF(COUNTIF(J59:U59,"x")=0,(Besatzung!$F$17="x"),(P59="x")*(Besatzung!$F$17="x"))*IFERROR(H59,0)/IFERROR(IF(COUNTIF(J59:U59,"x")=0,SUMPRODUCT((Besatzung!$B$11:$B$22&lt;&gt;"")*(Besatzung!$F$11:$F$22="x")),SUMPRODUCT((J59:U59="x")*(Besatzung!$F$11:$F$22="x"))),1))))),0))))</f>
        <v/>
      </c>
      <c r="AC59" s="247">
        <f>IF(C59="Gutschrift","",IF(G59="","",IF(Besatzung!$B$18="","",IFERROR(IF(I59="Zeitanteilig",(Besatzung!$G$18*(G59-IFERROR(H59,0))+((Besatzung!$B$18&lt;&gt;"")*IF(B59="",1,(IF(Besatzung!$C$18="",Besatzung!$B$5,Besatzung!$C$18)&lt;=B59)*(IF(Besatzung!$D$18="",Besatzung!$B$6,Besatzung!$D$18)&gt;=B59)))*(Besatzung!$F$18="x")*IFERROR(H59,0)/IFERROR(SUMPRODUCT((Besatzung!$B$11:$B$22&lt;&gt;"")*(Besatzung!$F$11:$F$22="x")*(IF(Besatzung!$C$11:$C$22="",Besatzung!$B$5,Besatzung!$C$11:$C$22)&lt;=B59)*(IF(Besatzung!$D$11:$D$22="",Besatzung!$B$6,Besatzung!$D$11:$D$22)&gt;=B59)),1)),IF(I59="An Bord",(((Besatzung!$B$18&lt;&gt;"")*IF(B59="",1,(IF(Besatzung!$C$18="",Besatzung!$B$5,Besatzung!$C$18)&lt;=B59)*(IF(Besatzung!$D$18="",Besatzung!$B$6,Besatzung!$D$18)&gt;=B59)))*((G59-IFERROR(H59,0))/IFERROR(SUMPRODUCT((Besatzung!$B$11:$B$22&lt;&gt;"")*(IF(Besatzung!$C$11:$C$22="",Besatzung!$B$5,Besatzung!$C$11:$C$22)&lt;=B59)*(IF(Besatzung!$D$11:$D$22="",Besatzung!$B$6,Besatzung!$D$11:$D$22)&gt;=B59)),1)+(Besatzung!$F$18="x")*IFERROR(H59,0)/IFERROR(SUMPRODUCT((Besatzung!$B$11:$B$22&lt;&gt;"")*(Besatzung!$F$11:$F$22="x")*(IF(Besatzung!$C$11:$C$22="",Besatzung!$B$5,Besatzung!$C$11:$C$22)&lt;=B59)*(IF(Besatzung!$D$11:$D$22="",Besatzung!$B$6,Besatzung!$D$11:$D$22)&gt;=B59)),1))),IF(I59="Individuell",((Q59="x")*((G59-IFERROR(H59,0))/IFERROR(COUNTIF(J59:U59,"x"),1)+(Besatzung!$F$18="x")*IFERROR(H59,0)/IFERROR(SUMPRODUCT((J59:U59="x")*(Besatzung!$F$11:$F$22="x")),1))),(IF(COUNTIF(J59:U59,"x")=0,IF(Besatzung!$B$18&lt;&gt;"",1,0),(Q59="x"))*(G59-IFERROR(H59,0))/IFERROR(IF(COUNTIF(J59:U59,"x")=0,COUNTA(Besatzung!$B$11:$B$22),COUNTIF(J59:U59,"x")),1)+IF(COUNTIF(J59:U59,"x")=0,(Besatzung!$F$18="x"),(Q59="x")*(Besatzung!$F$18="x"))*IFERROR(H59,0)/IFERROR(IF(COUNTIF(J59:U59,"x")=0,SUMPRODUCT((Besatzung!$B$11:$B$22&lt;&gt;"")*(Besatzung!$F$11:$F$22="x")),SUMPRODUCT((J59:U59="x")*(Besatzung!$F$11:$F$22="x"))),1))))),0))))</f>
        <v/>
      </c>
      <c r="AD59" s="247">
        <f>IF(C59="Gutschrift","",IF(G59="","",IF(Besatzung!$B$19="","",IFERROR(IF(I59="Zeitanteilig",(Besatzung!$G$19*(G59-IFERROR(H59,0))+((Besatzung!$B$19&lt;&gt;"")*IF(B59="",1,(IF(Besatzung!$C$19="",Besatzung!$B$5,Besatzung!$C$19)&lt;=B59)*(IF(Besatzung!$D$19="",Besatzung!$B$6,Besatzung!$D$19)&gt;=B59)))*(Besatzung!$F$19="x")*IFERROR(H59,0)/IFERROR(SUMPRODUCT((Besatzung!$B$11:$B$22&lt;&gt;"")*(Besatzung!$F$11:$F$22="x")*(IF(Besatzung!$C$11:$C$22="",Besatzung!$B$5,Besatzung!$C$11:$C$22)&lt;=B59)*(IF(Besatzung!$D$11:$D$22="",Besatzung!$B$6,Besatzung!$D$11:$D$22)&gt;=B59)),1)),IF(I59="An Bord",(((Besatzung!$B$19&lt;&gt;"")*IF(B59="",1,(IF(Besatzung!$C$19="",Besatzung!$B$5,Besatzung!$C$19)&lt;=B59)*(IF(Besatzung!$D$19="",Besatzung!$B$6,Besatzung!$D$19)&gt;=B59)))*((G59-IFERROR(H59,0))/IFERROR(SUMPRODUCT((Besatzung!$B$11:$B$22&lt;&gt;"")*(IF(Besatzung!$C$11:$C$22="",Besatzung!$B$5,Besatzung!$C$11:$C$22)&lt;=B59)*(IF(Besatzung!$D$11:$D$22="",Besatzung!$B$6,Besatzung!$D$11:$D$22)&gt;=B59)),1)+(Besatzung!$F$19="x")*IFERROR(H59,0)/IFERROR(SUMPRODUCT((Besatzung!$B$11:$B$22&lt;&gt;"")*(Besatzung!$F$11:$F$22="x")*(IF(Besatzung!$C$11:$C$22="",Besatzung!$B$5,Besatzung!$C$11:$C$22)&lt;=B59)*(IF(Besatzung!$D$11:$D$22="",Besatzung!$B$6,Besatzung!$D$11:$D$22)&gt;=B59)),1))),IF(I59="Individuell",((R59="x")*((G59-IFERROR(H59,0))/IFERROR(COUNTIF(J59:U59,"x"),1)+(Besatzung!$F$19="x")*IFERROR(H59,0)/IFERROR(SUMPRODUCT((J59:U59="x")*(Besatzung!$F$11:$F$22="x")),1))),(IF(COUNTIF(J59:U59,"x")=0,IF(Besatzung!$B$19&lt;&gt;"",1,0),(R59="x"))*(G59-IFERROR(H59,0))/IFERROR(IF(COUNTIF(J59:U59,"x")=0,COUNTA(Besatzung!$B$11:$B$22),COUNTIF(J59:U59,"x")),1)+IF(COUNTIF(J59:U59,"x")=0,(Besatzung!$F$19="x"),(R59="x")*(Besatzung!$F$19="x"))*IFERROR(H59,0)/IFERROR(IF(COUNTIF(J59:U59,"x")=0,SUMPRODUCT((Besatzung!$B$11:$B$22&lt;&gt;"")*(Besatzung!$F$11:$F$22="x")),SUMPRODUCT((J59:U59="x")*(Besatzung!$F$11:$F$22="x"))),1))))),0))))</f>
        <v/>
      </c>
      <c r="AE59" s="247">
        <f>IF(C59="Gutschrift","",IF(G59="","",IF(Besatzung!$B$20="","",IFERROR(IF(I59="Zeitanteilig",(Besatzung!$G$20*(G59-IFERROR(H59,0))+((Besatzung!$B$20&lt;&gt;"")*IF(B59="",1,(IF(Besatzung!$C$20="",Besatzung!$B$5,Besatzung!$C$20)&lt;=B59)*(IF(Besatzung!$D$20="",Besatzung!$B$6,Besatzung!$D$20)&gt;=B59)))*(Besatzung!$F$20="x")*IFERROR(H59,0)/IFERROR(SUMPRODUCT((Besatzung!$B$11:$B$22&lt;&gt;"")*(Besatzung!$F$11:$F$22="x")*(IF(Besatzung!$C$11:$C$22="",Besatzung!$B$5,Besatzung!$C$11:$C$22)&lt;=B59)*(IF(Besatzung!$D$11:$D$22="",Besatzung!$B$6,Besatzung!$D$11:$D$22)&gt;=B59)),1)),IF(I59="An Bord",(((Besatzung!$B$20&lt;&gt;"")*IF(B59="",1,(IF(Besatzung!$C$20="",Besatzung!$B$5,Besatzung!$C$20)&lt;=B59)*(IF(Besatzung!$D$20="",Besatzung!$B$6,Besatzung!$D$20)&gt;=B59)))*((G59-IFERROR(H59,0))/IFERROR(SUMPRODUCT((Besatzung!$B$11:$B$22&lt;&gt;"")*(IF(Besatzung!$C$11:$C$22="",Besatzung!$B$5,Besatzung!$C$11:$C$22)&lt;=B59)*(IF(Besatzung!$D$11:$D$22="",Besatzung!$B$6,Besatzung!$D$11:$D$22)&gt;=B59)),1)+(Besatzung!$F$20="x")*IFERROR(H59,0)/IFERROR(SUMPRODUCT((Besatzung!$B$11:$B$22&lt;&gt;"")*(Besatzung!$F$11:$F$22="x")*(IF(Besatzung!$C$11:$C$22="",Besatzung!$B$5,Besatzung!$C$11:$C$22)&lt;=B59)*(IF(Besatzung!$D$11:$D$22="",Besatzung!$B$6,Besatzung!$D$11:$D$22)&gt;=B59)),1))),IF(I59="Individuell",((S59="x")*((G59-IFERROR(H59,0))/IFERROR(COUNTIF(J59:U59,"x"),1)+(Besatzung!$F$20="x")*IFERROR(H59,0)/IFERROR(SUMPRODUCT((J59:U59="x")*(Besatzung!$F$11:$F$22="x")),1))),(IF(COUNTIF(J59:U59,"x")=0,IF(Besatzung!$B$20&lt;&gt;"",1,0),(S59="x"))*(G59-IFERROR(H59,0))/IFERROR(IF(COUNTIF(J59:U59,"x")=0,COUNTA(Besatzung!$B$11:$B$22),COUNTIF(J59:U59,"x")),1)+IF(COUNTIF(J59:U59,"x")=0,(Besatzung!$F$20="x"),(S59="x")*(Besatzung!$F$20="x"))*IFERROR(H59,0)/IFERROR(IF(COUNTIF(J59:U59,"x")=0,SUMPRODUCT((Besatzung!$B$11:$B$22&lt;&gt;"")*(Besatzung!$F$11:$F$22="x")),SUMPRODUCT((J59:U59="x")*(Besatzung!$F$11:$F$22="x"))),1))))),0))))</f>
        <v/>
      </c>
      <c r="AF59" s="247">
        <f>IF(C59="Gutschrift","",IF(G59="","",IF(Besatzung!$B$21="","",IFERROR(IF(I59="Zeitanteilig",(Besatzung!$G$21*(G59-IFERROR(H59,0))+((Besatzung!$B$21&lt;&gt;"")*IF(B59="",1,(IF(Besatzung!$C$21="",Besatzung!$B$5,Besatzung!$C$21)&lt;=B59)*(IF(Besatzung!$D$21="",Besatzung!$B$6,Besatzung!$D$21)&gt;=B59)))*(Besatzung!$F$21="x")*IFERROR(H59,0)/IFERROR(SUMPRODUCT((Besatzung!$B$11:$B$22&lt;&gt;"")*(Besatzung!$F$11:$F$22="x")*(IF(Besatzung!$C$11:$C$22="",Besatzung!$B$5,Besatzung!$C$11:$C$22)&lt;=B59)*(IF(Besatzung!$D$11:$D$22="",Besatzung!$B$6,Besatzung!$D$11:$D$22)&gt;=B59)),1)),IF(I59="An Bord",(((Besatzung!$B$21&lt;&gt;"")*IF(B59="",1,(IF(Besatzung!$C$21="",Besatzung!$B$5,Besatzung!$C$21)&lt;=B59)*(IF(Besatzung!$D$21="",Besatzung!$B$6,Besatzung!$D$21)&gt;=B59)))*((G59-IFERROR(H59,0))/IFERROR(SUMPRODUCT((Besatzung!$B$11:$B$22&lt;&gt;"")*(IF(Besatzung!$C$11:$C$22="",Besatzung!$B$5,Besatzung!$C$11:$C$22)&lt;=B59)*(IF(Besatzung!$D$11:$D$22="",Besatzung!$B$6,Besatzung!$D$11:$D$22)&gt;=B59)),1)+(Besatzung!$F$21="x")*IFERROR(H59,0)/IFERROR(SUMPRODUCT((Besatzung!$B$11:$B$22&lt;&gt;"")*(Besatzung!$F$11:$F$22="x")*(IF(Besatzung!$C$11:$C$22="",Besatzung!$B$5,Besatzung!$C$11:$C$22)&lt;=B59)*(IF(Besatzung!$D$11:$D$22="",Besatzung!$B$6,Besatzung!$D$11:$D$22)&gt;=B59)),1))),IF(I59="Individuell",((T59="x")*((G59-IFERROR(H59,0))/IFERROR(COUNTIF(J59:U59,"x"),1)+(Besatzung!$F$21="x")*IFERROR(H59,0)/IFERROR(SUMPRODUCT((J59:U59="x")*(Besatzung!$F$11:$F$22="x")),1))),(IF(COUNTIF(J59:U59,"x")=0,IF(Besatzung!$B$21&lt;&gt;"",1,0),(T59="x"))*(G59-IFERROR(H59,0))/IFERROR(IF(COUNTIF(J59:U59,"x")=0,COUNTA(Besatzung!$B$11:$B$22),COUNTIF(J59:U59,"x")),1)+IF(COUNTIF(J59:U59,"x")=0,(Besatzung!$F$21="x"),(T59="x")*(Besatzung!$F$21="x"))*IFERROR(H59,0)/IFERROR(IF(COUNTIF(J59:U59,"x")=0,SUMPRODUCT((Besatzung!$B$11:$B$22&lt;&gt;"")*(Besatzung!$F$11:$F$22="x")),SUMPRODUCT((J59:U59="x")*(Besatzung!$F$11:$F$22="x"))),1))))),0))))</f>
        <v/>
      </c>
      <c r="AG59" s="247">
        <f>IF(C59="Gutschrift","",IF(G59="","",IF(Besatzung!$B$22="","",IFERROR(IF(I59="Zeitanteilig",(Besatzung!$G$22*(G59-IFERROR(H59,0))+((Besatzung!$B$22&lt;&gt;"")*IF(B59="",1,(IF(Besatzung!$C$22="",Besatzung!$B$5,Besatzung!$C$22)&lt;=B59)*(IF(Besatzung!$D$22="",Besatzung!$B$6,Besatzung!$D$22)&gt;=B59)))*(Besatzung!$F$22="x")*IFERROR(H59,0)/IFERROR(SUMPRODUCT((Besatzung!$B$11:$B$22&lt;&gt;"")*(Besatzung!$F$11:$F$22="x")*(IF(Besatzung!$C$11:$C$22="",Besatzung!$B$5,Besatzung!$C$11:$C$22)&lt;=B59)*(IF(Besatzung!$D$11:$D$22="",Besatzung!$B$6,Besatzung!$D$11:$D$22)&gt;=B59)),1)),IF(I59="An Bord",(((Besatzung!$B$22&lt;&gt;"")*IF(B59="",1,(IF(Besatzung!$C$22="",Besatzung!$B$5,Besatzung!$C$22)&lt;=B59)*(IF(Besatzung!$D$22="",Besatzung!$B$6,Besatzung!$D$22)&gt;=B59)))*((G59-IFERROR(H59,0))/IFERROR(SUMPRODUCT((Besatzung!$B$11:$B$22&lt;&gt;"")*(IF(Besatzung!$C$11:$C$22="",Besatzung!$B$5,Besatzung!$C$11:$C$22)&lt;=B59)*(IF(Besatzung!$D$11:$D$22="",Besatzung!$B$6,Besatzung!$D$11:$D$22)&gt;=B59)),1)+(Besatzung!$F$22="x")*IFERROR(H59,0)/IFERROR(SUMPRODUCT((Besatzung!$B$11:$B$22&lt;&gt;"")*(Besatzung!$F$11:$F$22="x")*(IF(Besatzung!$C$11:$C$22="",Besatzung!$B$5,Besatzung!$C$11:$C$22)&lt;=B59)*(IF(Besatzung!$D$11:$D$22="",Besatzung!$B$6,Besatzung!$D$11:$D$22)&gt;=B59)),1))),IF(I59="Individuell",((U59="x")*((G59-IFERROR(H59,0))/IFERROR(COUNTIF(J59:U59,"x"),1)+(Besatzung!$F$22="x")*IFERROR(H59,0)/IFERROR(SUMPRODUCT((J59:U59="x")*(Besatzung!$F$11:$F$22="x")),1))),(IF(COUNTIF(J59:U59,"x")=0,IF(Besatzung!$B$22&lt;&gt;"",1,0),(U59="x"))*(G59-IFERROR(H59,0))/IFERROR(IF(COUNTIF(J59:U59,"x")=0,COUNTA(Besatzung!$B$11:$B$22),COUNTIF(J59:U59,"x")),1)+IF(COUNTIF(J59:U59,"x")=0,(Besatzung!$F$22="x"),(U59="x")*(Besatzung!$F$22="x"))*IFERROR(H59,0)/IFERROR(IF(COUNTIF(J59:U59,"x")=0,SUMPRODUCT((Besatzung!$B$11:$B$22&lt;&gt;"")*(Besatzung!$F$11:$F$22="x")),SUMPRODUCT((J59:U59="x")*(Besatzung!$F$11:$F$22="x"))),1))))),0))))</f>
        <v/>
      </c>
      <c r="AH59" s="248" t="n"/>
      <c r="AI59" s="248" t="n"/>
    </row>
    <row r="60" ht="21.75" customHeight="1" s="154">
      <c r="A60" s="238">
        <f>IF(AND(D60="",C60=""),"",57)</f>
        <v/>
      </c>
      <c r="B60" s="199" t="n"/>
      <c r="C60" s="239" t="n"/>
      <c r="D60" s="240" t="n"/>
      <c r="E60" s="241" t="n"/>
      <c r="F60" s="242" t="n"/>
      <c r="G60" s="243" t="n"/>
      <c r="H60" s="244" t="n"/>
      <c r="I60" s="245" t="n"/>
      <c r="J60" s="246" t="n"/>
      <c r="K60" s="246" t="n"/>
      <c r="L60" s="246" t="n"/>
      <c r="M60" s="246" t="n"/>
      <c r="N60" s="246" t="n"/>
      <c r="O60" s="246" t="n"/>
      <c r="P60" s="246" t="n"/>
      <c r="Q60" s="246" t="n"/>
      <c r="R60" s="246" t="n"/>
      <c r="S60" s="246" t="n"/>
      <c r="T60" s="246" t="n"/>
      <c r="U60" s="246" t="n"/>
      <c r="V60" s="247">
        <f>IF(C60="Gutschrift","",IF(G60="","",IF(Besatzung!$B$11="","",IFERROR(IF(I60="Zeitanteilig",(Besatzung!$G$11*(G60-IFERROR(H60,0))+((Besatzung!$B$11&lt;&gt;"")*IF(B60="",1,(IF(Besatzung!$C$11="",Besatzung!$B$5,Besatzung!$C$11)&lt;=B60)*(IF(Besatzung!$D$11="",Besatzung!$B$6,Besatzung!$D$11)&gt;=B60)))*(Besatzung!$F$11="x")*IFERROR(H60,0)/IFERROR(SUMPRODUCT((Besatzung!$B$11:$B$22&lt;&gt;"")*(Besatzung!$F$11:$F$22="x")*(IF(Besatzung!$C$11:$C$22="",Besatzung!$B$5,Besatzung!$C$11:$C$22)&lt;=B60)*(IF(Besatzung!$D$11:$D$22="",Besatzung!$B$6,Besatzung!$D$11:$D$22)&gt;=B60)),1)),IF(I60="An Bord",(((Besatzung!$B$11&lt;&gt;"")*IF(B60="",1,(IF(Besatzung!$C$11="",Besatzung!$B$5,Besatzung!$C$11)&lt;=B60)*(IF(Besatzung!$D$11="",Besatzung!$B$6,Besatzung!$D$11)&gt;=B60)))*((G60-IFERROR(H60,0))/IFERROR(SUMPRODUCT((Besatzung!$B$11:$B$22&lt;&gt;"")*(IF(Besatzung!$C$11:$C$22="",Besatzung!$B$5,Besatzung!$C$11:$C$22)&lt;=B60)*(IF(Besatzung!$D$11:$D$22="",Besatzung!$B$6,Besatzung!$D$11:$D$22)&gt;=B60)),1)+(Besatzung!$F$11="x")*IFERROR(H60,0)/IFERROR(SUMPRODUCT((Besatzung!$B$11:$B$22&lt;&gt;"")*(Besatzung!$F$11:$F$22="x")*(IF(Besatzung!$C$11:$C$22="",Besatzung!$B$5,Besatzung!$C$11:$C$22)&lt;=B60)*(IF(Besatzung!$D$11:$D$22="",Besatzung!$B$6,Besatzung!$D$11:$D$22)&gt;=B60)),1))),IF(I60="Individuell",((J60="x")*((G60-IFERROR(H60,0))/IFERROR(COUNTIF(J60:U60,"x"),1)+(Besatzung!$F$11="x")*IFERROR(H60,0)/IFERROR(SUMPRODUCT((J60:U60="x")*(Besatzung!$F$11:$F$22="x")),1))),(IF(COUNTIF(J60:U60,"x")=0,IF(Besatzung!$B$11&lt;&gt;"",1,0),(J60="x"))*(G60-IFERROR(H60,0))/IFERROR(IF(COUNTIF(J60:U60,"x")=0,COUNTA(Besatzung!$B$11:$B$22),COUNTIF(J60:U60,"x")),1)+IF(COUNTIF(J60:U60,"x")=0,(Besatzung!$F$11="x"),(J60="x")*(Besatzung!$F$11="x"))*IFERROR(H60,0)/IFERROR(IF(COUNTIF(J60:U60,"x")=0,SUMPRODUCT((Besatzung!$B$11:$B$22&lt;&gt;"")*(Besatzung!$F$11:$F$22="x")),SUMPRODUCT((J60:U60="x")*(Besatzung!$F$11:$F$22="x"))),1))))),0))))</f>
        <v/>
      </c>
      <c r="W60" s="247">
        <f>IF(C60="Gutschrift","",IF(G60="","",IF(Besatzung!$B$12="","",IFERROR(IF(I60="Zeitanteilig",(Besatzung!$G$12*(G60-IFERROR(H60,0))+((Besatzung!$B$12&lt;&gt;"")*IF(B60="",1,(IF(Besatzung!$C$12="",Besatzung!$B$5,Besatzung!$C$12)&lt;=B60)*(IF(Besatzung!$D$12="",Besatzung!$B$6,Besatzung!$D$12)&gt;=B60)))*(Besatzung!$F$12="x")*IFERROR(H60,0)/IFERROR(SUMPRODUCT((Besatzung!$B$11:$B$22&lt;&gt;"")*(Besatzung!$F$11:$F$22="x")*(IF(Besatzung!$C$11:$C$22="",Besatzung!$B$5,Besatzung!$C$11:$C$22)&lt;=B60)*(IF(Besatzung!$D$11:$D$22="",Besatzung!$B$6,Besatzung!$D$11:$D$22)&gt;=B60)),1)),IF(I60="An Bord",(((Besatzung!$B$12&lt;&gt;"")*IF(B60="",1,(IF(Besatzung!$C$12="",Besatzung!$B$5,Besatzung!$C$12)&lt;=B60)*(IF(Besatzung!$D$12="",Besatzung!$B$6,Besatzung!$D$12)&gt;=B60)))*((G60-IFERROR(H60,0))/IFERROR(SUMPRODUCT((Besatzung!$B$11:$B$22&lt;&gt;"")*(IF(Besatzung!$C$11:$C$22="",Besatzung!$B$5,Besatzung!$C$11:$C$22)&lt;=B60)*(IF(Besatzung!$D$11:$D$22="",Besatzung!$B$6,Besatzung!$D$11:$D$22)&gt;=B60)),1)+(Besatzung!$F$12="x")*IFERROR(H60,0)/IFERROR(SUMPRODUCT((Besatzung!$B$11:$B$22&lt;&gt;"")*(Besatzung!$F$11:$F$22="x")*(IF(Besatzung!$C$11:$C$22="",Besatzung!$B$5,Besatzung!$C$11:$C$22)&lt;=B60)*(IF(Besatzung!$D$11:$D$22="",Besatzung!$B$6,Besatzung!$D$11:$D$22)&gt;=B60)),1))),IF(I60="Individuell",((K60="x")*((G60-IFERROR(H60,0))/IFERROR(COUNTIF(J60:U60,"x"),1)+(Besatzung!$F$12="x")*IFERROR(H60,0)/IFERROR(SUMPRODUCT((J60:U60="x")*(Besatzung!$F$11:$F$22="x")),1))),(IF(COUNTIF(J60:U60,"x")=0,IF(Besatzung!$B$12&lt;&gt;"",1,0),(K60="x"))*(G60-IFERROR(H60,0))/IFERROR(IF(COUNTIF(J60:U60,"x")=0,COUNTA(Besatzung!$B$11:$B$22),COUNTIF(J60:U60,"x")),1)+IF(COUNTIF(J60:U60,"x")=0,(Besatzung!$F$12="x"),(K60="x")*(Besatzung!$F$12="x"))*IFERROR(H60,0)/IFERROR(IF(COUNTIF(J60:U60,"x")=0,SUMPRODUCT((Besatzung!$B$11:$B$22&lt;&gt;"")*(Besatzung!$F$11:$F$22="x")),SUMPRODUCT((J60:U60="x")*(Besatzung!$F$11:$F$22="x"))),1))))),0))))</f>
        <v/>
      </c>
      <c r="X60" s="247">
        <f>IF(C60="Gutschrift","",IF(G60="","",IF(Besatzung!$B$13="","",IFERROR(IF(I60="Zeitanteilig",(Besatzung!$G$13*(G60-IFERROR(H60,0))+((Besatzung!$B$13&lt;&gt;"")*IF(B60="",1,(IF(Besatzung!$C$13="",Besatzung!$B$5,Besatzung!$C$13)&lt;=B60)*(IF(Besatzung!$D$13="",Besatzung!$B$6,Besatzung!$D$13)&gt;=B60)))*(Besatzung!$F$13="x")*IFERROR(H60,0)/IFERROR(SUMPRODUCT((Besatzung!$B$11:$B$22&lt;&gt;"")*(Besatzung!$F$11:$F$22="x")*(IF(Besatzung!$C$11:$C$22="",Besatzung!$B$5,Besatzung!$C$11:$C$22)&lt;=B60)*(IF(Besatzung!$D$11:$D$22="",Besatzung!$B$6,Besatzung!$D$11:$D$22)&gt;=B60)),1)),IF(I60="An Bord",(((Besatzung!$B$13&lt;&gt;"")*IF(B60="",1,(IF(Besatzung!$C$13="",Besatzung!$B$5,Besatzung!$C$13)&lt;=B60)*(IF(Besatzung!$D$13="",Besatzung!$B$6,Besatzung!$D$13)&gt;=B60)))*((G60-IFERROR(H60,0))/IFERROR(SUMPRODUCT((Besatzung!$B$11:$B$22&lt;&gt;"")*(IF(Besatzung!$C$11:$C$22="",Besatzung!$B$5,Besatzung!$C$11:$C$22)&lt;=B60)*(IF(Besatzung!$D$11:$D$22="",Besatzung!$B$6,Besatzung!$D$11:$D$22)&gt;=B60)),1)+(Besatzung!$F$13="x")*IFERROR(H60,0)/IFERROR(SUMPRODUCT((Besatzung!$B$11:$B$22&lt;&gt;"")*(Besatzung!$F$11:$F$22="x")*(IF(Besatzung!$C$11:$C$22="",Besatzung!$B$5,Besatzung!$C$11:$C$22)&lt;=B60)*(IF(Besatzung!$D$11:$D$22="",Besatzung!$B$6,Besatzung!$D$11:$D$22)&gt;=B60)),1))),IF(I60="Individuell",((K60="x")*((G60-IFERROR(H60,0))/IFERROR(COUNTIF(J60:U60,"x"),1)+(Besatzung!$F$13="x")*IFERROR(H60,0)/IFERROR(SUMPRODUCT((J60:U60="x")*(Besatzung!$F$11:$F$22="x")),1))),(IF(COUNTIF(J60:U60,"x")=0,IF(Besatzung!$B$13&lt;&gt;"",1,0),(K60="x"))*(G60-IFERROR(H60,0))/IFERROR(IF(COUNTIF(J60:U60,"x")=0,COUNTA(Besatzung!$B$11:$B$22),COUNTIF(J60:U60,"x")),1)+IF(COUNTIF(J60:U60,"x")=0,(Besatzung!$F$13="x"),(K60="x")*(Besatzung!$F$13="x"))*IFERROR(H60,0)/IFERROR(IF(COUNTIF(J60:U60,"x")=0,SUMPRODUCT((Besatzung!$B$11:$B$22&lt;&gt;"")*(Besatzung!$F$11:$F$22="x")),SUMPRODUCT((J60:U60="x")*(Besatzung!$F$11:$F$22="x"))),1))))),0))))</f>
        <v/>
      </c>
      <c r="Y60" s="247">
        <f>IF(C60="Gutschrift","",IF(G60="","",IF(Besatzung!$B$14="","",IFERROR(IF(I60="Zeitanteilig",(Besatzung!$G$14*(G60-IFERROR(H60,0))+((Besatzung!$B$14&lt;&gt;"")*IF(B60="",1,(IF(Besatzung!$C$14="",Besatzung!$B$5,Besatzung!$C$14)&lt;=B60)*(IF(Besatzung!$D$14="",Besatzung!$B$6,Besatzung!$D$14)&gt;=B60)))*(Besatzung!$F$14="x")*IFERROR(H60,0)/IFERROR(SUMPRODUCT((Besatzung!$B$11:$B$22&lt;&gt;"")*(Besatzung!$F$11:$F$22="x")*(IF(Besatzung!$C$11:$C$22="",Besatzung!$B$5,Besatzung!$C$11:$C$22)&lt;=B60)*(IF(Besatzung!$D$11:$D$22="",Besatzung!$B$6,Besatzung!$D$11:$D$22)&gt;=B60)),1)),IF(I60="An Bord",(((Besatzung!$B$14&lt;&gt;"")*IF(B60="",1,(IF(Besatzung!$C$14="",Besatzung!$B$5,Besatzung!$C$14)&lt;=B60)*(IF(Besatzung!$D$14="",Besatzung!$B$6,Besatzung!$D$14)&gt;=B60)))*((G60-IFERROR(H60,0))/IFERROR(SUMPRODUCT((Besatzung!$B$11:$B$22&lt;&gt;"")*(IF(Besatzung!$C$11:$C$22="",Besatzung!$B$5,Besatzung!$C$11:$C$22)&lt;=B60)*(IF(Besatzung!$D$11:$D$22="",Besatzung!$B$6,Besatzung!$D$11:$D$22)&gt;=B60)),1)+(Besatzung!$F$14="x")*IFERROR(H60,0)/IFERROR(SUMPRODUCT((Besatzung!$B$11:$B$22&lt;&gt;"")*(Besatzung!$F$11:$F$22="x")*(IF(Besatzung!$C$11:$C$22="",Besatzung!$B$5,Besatzung!$C$11:$C$22)&lt;=B60)*(IF(Besatzung!$D$11:$D$22="",Besatzung!$B$6,Besatzung!$D$11:$D$22)&gt;=B60)),1))),IF(I60="Individuell",((M60="x")*((G60-IFERROR(H60,0))/IFERROR(COUNTIF(J60:U60,"x"),1)+(Besatzung!$F$14="x")*IFERROR(H60,0)/IFERROR(SUMPRODUCT((J60:U60="x")*(Besatzung!$F$11:$F$22="x")),1))),(IF(COUNTIF(J60:U60,"x")=0,IF(Besatzung!$B$14&lt;&gt;"",1,0),(M60="x"))*(G60-IFERROR(H60,0))/IFERROR(IF(COUNTIF(J60:U60,"x")=0,COUNTA(Besatzung!$B$11:$B$22),COUNTIF(J60:U60,"x")),1)+IF(COUNTIF(J60:U60,"x")=0,(Besatzung!$F$14="x"),(M60="x")*(Besatzung!$F$14="x"))*IFERROR(H60,0)/IFERROR(IF(COUNTIF(J60:U60,"x")=0,SUMPRODUCT((Besatzung!$B$11:$B$22&lt;&gt;"")*(Besatzung!$F$11:$F$22="x")),SUMPRODUCT((J60:U60="x")*(Besatzung!$F$11:$F$22="x"))),1))))),0))))</f>
        <v/>
      </c>
      <c r="Z60" s="247">
        <f>IF(C60="Gutschrift","",IF(G60="","",IF(Besatzung!$B$13="","",IFERROR(IF(I60="Zeitanteilig",(Besatzung!$G$15*(G60-IFERROR(H60,0))+((Besatzung!$B$13&lt;&gt;"")*IF(B60="",1,(IF(Besatzung!$C$15="",Besatzung!$B$5,Besatzung!$C$15)&lt;=B60)*(IF(Besatzung!$D$15="",Besatzung!$B$6,Besatzung!$D$15)&gt;=B60)))*(Besatzung!$F$15="x")*IFERROR(H60,0)/IFERROR(SUMPRODUCT((Besatzung!$B$11:$B$22&lt;&gt;"")*(Besatzung!$F$11:$F$22="x")*(IF(Besatzung!$C$11:$C$22="",Besatzung!$B$5,Besatzung!$C$11:$C$22)&lt;=B60)*(IF(Besatzung!$D$11:$D$22="",Besatzung!$B$6,Besatzung!$D$11:$D$22)&gt;=B60)),1)),IF(I60="An Bord",(((Besatzung!$B$13&lt;&gt;"")*IF(B60="",1,(IF(Besatzung!$C$15="",Besatzung!$B$5,Besatzung!$C$15)&lt;=B60)*(IF(Besatzung!$D$15="",Besatzung!$B$6,Besatzung!$D$15)&gt;=B60)))*((G60-IFERROR(H60,0))/IFERROR(SUMPRODUCT((Besatzung!$B$11:$B$22&lt;&gt;"")*(IF(Besatzung!$C$11:$C$22="",Besatzung!$B$5,Besatzung!$C$11:$C$22)&lt;=B60)*(IF(Besatzung!$D$11:$D$22="",Besatzung!$B$6,Besatzung!$D$11:$D$22)&gt;=B60)),1)+(Besatzung!$F$15="x")*IFERROR(H60,0)/IFERROR(SUMPRODUCT((Besatzung!$B$11:$B$22&lt;&gt;"")*(Besatzung!$F$11:$F$22="x")*(IF(Besatzung!$C$11:$C$22="",Besatzung!$B$5,Besatzung!$C$11:$C$22)&lt;=B60)*(IF(Besatzung!$D$11:$D$22="",Besatzung!$B$6,Besatzung!$D$11:$D$22)&gt;=B60)),1))),IF(I60="Individuell",((N60="x")*((G60-IFERROR(H60,0))/IFERROR(COUNTIF(J60:U60,"x"),1)+(Besatzung!$F$15="x")*IFERROR(H60,0)/IFERROR(SUMPRODUCT((J60:U60="x")*(Besatzung!$F$11:$F$22="x")),1))),(IF(COUNTIF(J60:U60,"x")=0,IF(Besatzung!$B$13&lt;&gt;"",1,0),(N60="x"))*(G60-IFERROR(H60,0))/IFERROR(IF(COUNTIF(J60:U60,"x")=0,COUNTA(Besatzung!$B$11:$B$22),COUNTIF(J60:U60,"x")),1)+IF(COUNTIF(J60:U60,"x")=0,(Besatzung!$F$15="x"),(N60="x")*(Besatzung!$F$15="x"))*IFERROR(H60,0)/IFERROR(IF(COUNTIF(J60:U60,"x")=0,SUMPRODUCT((Besatzung!$B$11:$B$22&lt;&gt;"")*(Besatzung!$F$11:$F$22="x")),SUMPRODUCT((J60:U60="x")*(Besatzung!$F$11:$F$22="x"))),1))))),0))))</f>
        <v/>
      </c>
      <c r="AA60" s="247">
        <f>IF(C60="Gutschrift","",IF(G60="","",IF(Besatzung!$B$15="","",IFERROR(IF(I60="Zeitanteilig",(Besatzung!$G$16*(G60-IFERROR(H60,0))+((Besatzung!$B$15&lt;&gt;"")*IF(B60="",1,(IF(Besatzung!$C$16="",Besatzung!$B$5,Besatzung!$C$16)&lt;=B60)*(IF(Besatzung!$D$16="",Besatzung!$B$6,Besatzung!$D$16)&gt;=B60)))*(Besatzung!$F$16="x")*IFERROR(H60,0)/IFERROR(SUMPRODUCT((Besatzung!$B$11:$B$22&lt;&gt;"")*(Besatzung!$F$11:$F$22="x")*(IF(Besatzung!$C$11:$C$22="",Besatzung!$B$5,Besatzung!$C$11:$C$22)&lt;=B60)*(IF(Besatzung!$D$11:$D$22="",Besatzung!$B$6,Besatzung!$D$11:$D$22)&gt;=B60)),1)),IF(I60="An Bord",(((Besatzung!$B$15&lt;&gt;"")*IF(B60="",1,(IF(Besatzung!$C$16="",Besatzung!$B$5,Besatzung!$C$16)&lt;=B60)*(IF(Besatzung!$D$16="",Besatzung!$B$6,Besatzung!$D$16)&gt;=B60)))*((G60-IFERROR(H60,0))/IFERROR(SUMPRODUCT((Besatzung!$B$11:$B$22&lt;&gt;"")*(IF(Besatzung!$C$11:$C$22="",Besatzung!$B$5,Besatzung!$C$11:$C$22)&lt;=B60)*(IF(Besatzung!$D$11:$D$22="",Besatzung!$B$6,Besatzung!$D$11:$D$22)&gt;=B60)),1)+(Besatzung!$F$16="x")*IFERROR(H60,0)/IFERROR(SUMPRODUCT((Besatzung!$B$11:$B$22&lt;&gt;"")*(Besatzung!$F$11:$F$22="x")*(IF(Besatzung!$C$11:$C$22="",Besatzung!$B$5,Besatzung!$C$11:$C$22)&lt;=B60)*(IF(Besatzung!$D$11:$D$22="",Besatzung!$B$6,Besatzung!$D$11:$D$22)&gt;=B60)),1))),IF(I60="Individuell",((O60="x")*((G60-IFERROR(H60,0))/IFERROR(COUNTIF(J60:U60,"x"),1)+(Besatzung!$F$16="x")*IFERROR(H60,0)/IFERROR(SUMPRODUCT((J60:U60="x")*(Besatzung!$F$11:$F$22="x")),1))),(IF(COUNTIF(J60:U60,"x")=0,IF(Besatzung!$B$15&lt;&gt;"",1,0),(O60="x"))*(G60-IFERROR(H60,0))/IFERROR(IF(COUNTIF(J60:U60,"x")=0,COUNTA(Besatzung!$B$11:$B$22),COUNTIF(J60:U60,"x")),1)+IF(COUNTIF(J60:U60,"x")=0,(Besatzung!$F$16="x"),(O60="x")*(Besatzung!$F$16="x"))*IFERROR(H60,0)/IFERROR(IF(COUNTIF(J60:U60,"x")=0,SUMPRODUCT((Besatzung!$B$11:$B$22&lt;&gt;"")*(Besatzung!$F$11:$F$22="x")),SUMPRODUCT((J60:U60="x")*(Besatzung!$F$11:$F$22="x"))),1))))),0))))</f>
        <v/>
      </c>
      <c r="AB60" s="247">
        <f>IF(C60="Gutschrift","",IF(G60="","",IF(Besatzung!$B$17="","",IFERROR(IF(I60="Zeitanteilig",(Besatzung!$G$17*(G60-IFERROR(H60,0))+((Besatzung!$B$17&lt;&gt;"")*IF(B60="",1,(IF(Besatzung!$C$17="",Besatzung!$B$5,Besatzung!$C$17)&lt;=B60)*(IF(Besatzung!$D$17="",Besatzung!$B$6,Besatzung!$D$17)&gt;=B60)))*(Besatzung!$F$17="x")*IFERROR(H60,0)/IFERROR(SUMPRODUCT((Besatzung!$B$11:$B$22&lt;&gt;"")*(Besatzung!$F$11:$F$22="x")*(IF(Besatzung!$C$11:$C$22="",Besatzung!$B$5,Besatzung!$C$11:$C$22)&lt;=B60)*(IF(Besatzung!$D$11:$D$22="",Besatzung!$B$6,Besatzung!$D$11:$D$22)&gt;=B60)),1)),IF(I60="An Bord",(((Besatzung!$B$17&lt;&gt;"")*IF(B60="",1,(IF(Besatzung!$C$17="",Besatzung!$B$5,Besatzung!$C$17)&lt;=B60)*(IF(Besatzung!$D$17="",Besatzung!$B$6,Besatzung!$D$17)&gt;=B60)))*((G60-IFERROR(H60,0))/IFERROR(SUMPRODUCT((Besatzung!$B$11:$B$22&lt;&gt;"")*(IF(Besatzung!$C$11:$C$22="",Besatzung!$B$5,Besatzung!$C$11:$C$22)&lt;=B60)*(IF(Besatzung!$D$11:$D$22="",Besatzung!$B$6,Besatzung!$D$11:$D$22)&gt;=B60)),1)+(Besatzung!$F$17="x")*IFERROR(H60,0)/IFERROR(SUMPRODUCT((Besatzung!$B$11:$B$22&lt;&gt;"")*(Besatzung!$F$11:$F$22="x")*(IF(Besatzung!$C$11:$C$22="",Besatzung!$B$5,Besatzung!$C$11:$C$22)&lt;=B60)*(IF(Besatzung!$D$11:$D$22="",Besatzung!$B$6,Besatzung!$D$11:$D$22)&gt;=B60)),1))),IF(I60="Individuell",((P60="x")*((G60-IFERROR(H60,0))/IFERROR(COUNTIF(J60:U60,"x"),1)+(Besatzung!$F$17="x")*IFERROR(H60,0)/IFERROR(SUMPRODUCT((J60:U60="x")*(Besatzung!$F$11:$F$22="x")),1))),(IF(COUNTIF(J60:U60,"x")=0,IF(Besatzung!$B$17&lt;&gt;"",1,0),(P60="x"))*(G60-IFERROR(H60,0))/IFERROR(IF(COUNTIF(J60:U60,"x")=0,COUNTA(Besatzung!$B$11:$B$22),COUNTIF(J60:U60,"x")),1)+IF(COUNTIF(J60:U60,"x")=0,(Besatzung!$F$17="x"),(P60="x")*(Besatzung!$F$17="x"))*IFERROR(H60,0)/IFERROR(IF(COUNTIF(J60:U60,"x")=0,SUMPRODUCT((Besatzung!$B$11:$B$22&lt;&gt;"")*(Besatzung!$F$11:$F$22="x")),SUMPRODUCT((J60:U60="x")*(Besatzung!$F$11:$F$22="x"))),1))))),0))))</f>
        <v/>
      </c>
      <c r="AC60" s="247">
        <f>IF(C60="Gutschrift","",IF(G60="","",IF(Besatzung!$B$18="","",IFERROR(IF(I60="Zeitanteilig",(Besatzung!$G$18*(G60-IFERROR(H60,0))+((Besatzung!$B$18&lt;&gt;"")*IF(B60="",1,(IF(Besatzung!$C$18="",Besatzung!$B$5,Besatzung!$C$18)&lt;=B60)*(IF(Besatzung!$D$18="",Besatzung!$B$6,Besatzung!$D$18)&gt;=B60)))*(Besatzung!$F$18="x")*IFERROR(H60,0)/IFERROR(SUMPRODUCT((Besatzung!$B$11:$B$22&lt;&gt;"")*(Besatzung!$F$11:$F$22="x")*(IF(Besatzung!$C$11:$C$22="",Besatzung!$B$5,Besatzung!$C$11:$C$22)&lt;=B60)*(IF(Besatzung!$D$11:$D$22="",Besatzung!$B$6,Besatzung!$D$11:$D$22)&gt;=B60)),1)),IF(I60="An Bord",(((Besatzung!$B$18&lt;&gt;"")*IF(B60="",1,(IF(Besatzung!$C$18="",Besatzung!$B$5,Besatzung!$C$18)&lt;=B60)*(IF(Besatzung!$D$18="",Besatzung!$B$6,Besatzung!$D$18)&gt;=B60)))*((G60-IFERROR(H60,0))/IFERROR(SUMPRODUCT((Besatzung!$B$11:$B$22&lt;&gt;"")*(IF(Besatzung!$C$11:$C$22="",Besatzung!$B$5,Besatzung!$C$11:$C$22)&lt;=B60)*(IF(Besatzung!$D$11:$D$22="",Besatzung!$B$6,Besatzung!$D$11:$D$22)&gt;=B60)),1)+(Besatzung!$F$18="x")*IFERROR(H60,0)/IFERROR(SUMPRODUCT((Besatzung!$B$11:$B$22&lt;&gt;"")*(Besatzung!$F$11:$F$22="x")*(IF(Besatzung!$C$11:$C$22="",Besatzung!$B$5,Besatzung!$C$11:$C$22)&lt;=B60)*(IF(Besatzung!$D$11:$D$22="",Besatzung!$B$6,Besatzung!$D$11:$D$22)&gt;=B60)),1))),IF(I60="Individuell",((Q60="x")*((G60-IFERROR(H60,0))/IFERROR(COUNTIF(J60:U60,"x"),1)+(Besatzung!$F$18="x")*IFERROR(H60,0)/IFERROR(SUMPRODUCT((J60:U60="x")*(Besatzung!$F$11:$F$22="x")),1))),(IF(COUNTIF(J60:U60,"x")=0,IF(Besatzung!$B$18&lt;&gt;"",1,0),(Q60="x"))*(G60-IFERROR(H60,0))/IFERROR(IF(COUNTIF(J60:U60,"x")=0,COUNTA(Besatzung!$B$11:$B$22),COUNTIF(J60:U60,"x")),1)+IF(COUNTIF(J60:U60,"x")=0,(Besatzung!$F$18="x"),(Q60="x")*(Besatzung!$F$18="x"))*IFERROR(H60,0)/IFERROR(IF(COUNTIF(J60:U60,"x")=0,SUMPRODUCT((Besatzung!$B$11:$B$22&lt;&gt;"")*(Besatzung!$F$11:$F$22="x")),SUMPRODUCT((J60:U60="x")*(Besatzung!$F$11:$F$22="x"))),1))))),0))))</f>
        <v/>
      </c>
      <c r="AD60" s="247">
        <f>IF(C60="Gutschrift","",IF(G60="","",IF(Besatzung!$B$19="","",IFERROR(IF(I60="Zeitanteilig",(Besatzung!$G$19*(G60-IFERROR(H60,0))+((Besatzung!$B$19&lt;&gt;"")*IF(B60="",1,(IF(Besatzung!$C$19="",Besatzung!$B$5,Besatzung!$C$19)&lt;=B60)*(IF(Besatzung!$D$19="",Besatzung!$B$6,Besatzung!$D$19)&gt;=B60)))*(Besatzung!$F$19="x")*IFERROR(H60,0)/IFERROR(SUMPRODUCT((Besatzung!$B$11:$B$22&lt;&gt;"")*(Besatzung!$F$11:$F$22="x")*(IF(Besatzung!$C$11:$C$22="",Besatzung!$B$5,Besatzung!$C$11:$C$22)&lt;=B60)*(IF(Besatzung!$D$11:$D$22="",Besatzung!$B$6,Besatzung!$D$11:$D$22)&gt;=B60)),1)),IF(I60="An Bord",(((Besatzung!$B$19&lt;&gt;"")*IF(B60="",1,(IF(Besatzung!$C$19="",Besatzung!$B$5,Besatzung!$C$19)&lt;=B60)*(IF(Besatzung!$D$19="",Besatzung!$B$6,Besatzung!$D$19)&gt;=B60)))*((G60-IFERROR(H60,0))/IFERROR(SUMPRODUCT((Besatzung!$B$11:$B$22&lt;&gt;"")*(IF(Besatzung!$C$11:$C$22="",Besatzung!$B$5,Besatzung!$C$11:$C$22)&lt;=B60)*(IF(Besatzung!$D$11:$D$22="",Besatzung!$B$6,Besatzung!$D$11:$D$22)&gt;=B60)),1)+(Besatzung!$F$19="x")*IFERROR(H60,0)/IFERROR(SUMPRODUCT((Besatzung!$B$11:$B$22&lt;&gt;"")*(Besatzung!$F$11:$F$22="x")*(IF(Besatzung!$C$11:$C$22="",Besatzung!$B$5,Besatzung!$C$11:$C$22)&lt;=B60)*(IF(Besatzung!$D$11:$D$22="",Besatzung!$B$6,Besatzung!$D$11:$D$22)&gt;=B60)),1))),IF(I60="Individuell",((R60="x")*((G60-IFERROR(H60,0))/IFERROR(COUNTIF(J60:U60,"x"),1)+(Besatzung!$F$19="x")*IFERROR(H60,0)/IFERROR(SUMPRODUCT((J60:U60="x")*(Besatzung!$F$11:$F$22="x")),1))),(IF(COUNTIF(J60:U60,"x")=0,IF(Besatzung!$B$19&lt;&gt;"",1,0),(R60="x"))*(G60-IFERROR(H60,0))/IFERROR(IF(COUNTIF(J60:U60,"x")=0,COUNTA(Besatzung!$B$11:$B$22),COUNTIF(J60:U60,"x")),1)+IF(COUNTIF(J60:U60,"x")=0,(Besatzung!$F$19="x"),(R60="x")*(Besatzung!$F$19="x"))*IFERROR(H60,0)/IFERROR(IF(COUNTIF(J60:U60,"x")=0,SUMPRODUCT((Besatzung!$B$11:$B$22&lt;&gt;"")*(Besatzung!$F$11:$F$22="x")),SUMPRODUCT((J60:U60="x")*(Besatzung!$F$11:$F$22="x"))),1))))),0))))</f>
        <v/>
      </c>
      <c r="AE60" s="247">
        <f>IF(C60="Gutschrift","",IF(G60="","",IF(Besatzung!$B$20="","",IFERROR(IF(I60="Zeitanteilig",(Besatzung!$G$20*(G60-IFERROR(H60,0))+((Besatzung!$B$20&lt;&gt;"")*IF(B60="",1,(IF(Besatzung!$C$20="",Besatzung!$B$5,Besatzung!$C$20)&lt;=B60)*(IF(Besatzung!$D$20="",Besatzung!$B$6,Besatzung!$D$20)&gt;=B60)))*(Besatzung!$F$20="x")*IFERROR(H60,0)/IFERROR(SUMPRODUCT((Besatzung!$B$11:$B$22&lt;&gt;"")*(Besatzung!$F$11:$F$22="x")*(IF(Besatzung!$C$11:$C$22="",Besatzung!$B$5,Besatzung!$C$11:$C$22)&lt;=B60)*(IF(Besatzung!$D$11:$D$22="",Besatzung!$B$6,Besatzung!$D$11:$D$22)&gt;=B60)),1)),IF(I60="An Bord",(((Besatzung!$B$20&lt;&gt;"")*IF(B60="",1,(IF(Besatzung!$C$20="",Besatzung!$B$5,Besatzung!$C$20)&lt;=B60)*(IF(Besatzung!$D$20="",Besatzung!$B$6,Besatzung!$D$20)&gt;=B60)))*((G60-IFERROR(H60,0))/IFERROR(SUMPRODUCT((Besatzung!$B$11:$B$22&lt;&gt;"")*(IF(Besatzung!$C$11:$C$22="",Besatzung!$B$5,Besatzung!$C$11:$C$22)&lt;=B60)*(IF(Besatzung!$D$11:$D$22="",Besatzung!$B$6,Besatzung!$D$11:$D$22)&gt;=B60)),1)+(Besatzung!$F$20="x")*IFERROR(H60,0)/IFERROR(SUMPRODUCT((Besatzung!$B$11:$B$22&lt;&gt;"")*(Besatzung!$F$11:$F$22="x")*(IF(Besatzung!$C$11:$C$22="",Besatzung!$B$5,Besatzung!$C$11:$C$22)&lt;=B60)*(IF(Besatzung!$D$11:$D$22="",Besatzung!$B$6,Besatzung!$D$11:$D$22)&gt;=B60)),1))),IF(I60="Individuell",((S60="x")*((G60-IFERROR(H60,0))/IFERROR(COUNTIF(J60:U60,"x"),1)+(Besatzung!$F$20="x")*IFERROR(H60,0)/IFERROR(SUMPRODUCT((J60:U60="x")*(Besatzung!$F$11:$F$22="x")),1))),(IF(COUNTIF(J60:U60,"x")=0,IF(Besatzung!$B$20&lt;&gt;"",1,0),(S60="x"))*(G60-IFERROR(H60,0))/IFERROR(IF(COUNTIF(J60:U60,"x")=0,COUNTA(Besatzung!$B$11:$B$22),COUNTIF(J60:U60,"x")),1)+IF(COUNTIF(J60:U60,"x")=0,(Besatzung!$F$20="x"),(S60="x")*(Besatzung!$F$20="x"))*IFERROR(H60,0)/IFERROR(IF(COUNTIF(J60:U60,"x")=0,SUMPRODUCT((Besatzung!$B$11:$B$22&lt;&gt;"")*(Besatzung!$F$11:$F$22="x")),SUMPRODUCT((J60:U60="x")*(Besatzung!$F$11:$F$22="x"))),1))))),0))))</f>
        <v/>
      </c>
      <c r="AF60" s="247">
        <f>IF(C60="Gutschrift","",IF(G60="","",IF(Besatzung!$B$21="","",IFERROR(IF(I60="Zeitanteilig",(Besatzung!$G$21*(G60-IFERROR(H60,0))+((Besatzung!$B$21&lt;&gt;"")*IF(B60="",1,(IF(Besatzung!$C$21="",Besatzung!$B$5,Besatzung!$C$21)&lt;=B60)*(IF(Besatzung!$D$21="",Besatzung!$B$6,Besatzung!$D$21)&gt;=B60)))*(Besatzung!$F$21="x")*IFERROR(H60,0)/IFERROR(SUMPRODUCT((Besatzung!$B$11:$B$22&lt;&gt;"")*(Besatzung!$F$11:$F$22="x")*(IF(Besatzung!$C$11:$C$22="",Besatzung!$B$5,Besatzung!$C$11:$C$22)&lt;=B60)*(IF(Besatzung!$D$11:$D$22="",Besatzung!$B$6,Besatzung!$D$11:$D$22)&gt;=B60)),1)),IF(I60="An Bord",(((Besatzung!$B$21&lt;&gt;"")*IF(B60="",1,(IF(Besatzung!$C$21="",Besatzung!$B$5,Besatzung!$C$21)&lt;=B60)*(IF(Besatzung!$D$21="",Besatzung!$B$6,Besatzung!$D$21)&gt;=B60)))*((G60-IFERROR(H60,0))/IFERROR(SUMPRODUCT((Besatzung!$B$11:$B$22&lt;&gt;"")*(IF(Besatzung!$C$11:$C$22="",Besatzung!$B$5,Besatzung!$C$11:$C$22)&lt;=B60)*(IF(Besatzung!$D$11:$D$22="",Besatzung!$B$6,Besatzung!$D$11:$D$22)&gt;=B60)),1)+(Besatzung!$F$21="x")*IFERROR(H60,0)/IFERROR(SUMPRODUCT((Besatzung!$B$11:$B$22&lt;&gt;"")*(Besatzung!$F$11:$F$22="x")*(IF(Besatzung!$C$11:$C$22="",Besatzung!$B$5,Besatzung!$C$11:$C$22)&lt;=B60)*(IF(Besatzung!$D$11:$D$22="",Besatzung!$B$6,Besatzung!$D$11:$D$22)&gt;=B60)),1))),IF(I60="Individuell",((T60="x")*((G60-IFERROR(H60,0))/IFERROR(COUNTIF(J60:U60,"x"),1)+(Besatzung!$F$21="x")*IFERROR(H60,0)/IFERROR(SUMPRODUCT((J60:U60="x")*(Besatzung!$F$11:$F$22="x")),1))),(IF(COUNTIF(J60:U60,"x")=0,IF(Besatzung!$B$21&lt;&gt;"",1,0),(T60="x"))*(G60-IFERROR(H60,0))/IFERROR(IF(COUNTIF(J60:U60,"x")=0,COUNTA(Besatzung!$B$11:$B$22),COUNTIF(J60:U60,"x")),1)+IF(COUNTIF(J60:U60,"x")=0,(Besatzung!$F$21="x"),(T60="x")*(Besatzung!$F$21="x"))*IFERROR(H60,0)/IFERROR(IF(COUNTIF(J60:U60,"x")=0,SUMPRODUCT((Besatzung!$B$11:$B$22&lt;&gt;"")*(Besatzung!$F$11:$F$22="x")),SUMPRODUCT((J60:U60="x")*(Besatzung!$F$11:$F$22="x"))),1))))),0))))</f>
        <v/>
      </c>
      <c r="AG60" s="247">
        <f>IF(C60="Gutschrift","",IF(G60="","",IF(Besatzung!$B$22="","",IFERROR(IF(I60="Zeitanteilig",(Besatzung!$G$22*(G60-IFERROR(H60,0))+((Besatzung!$B$22&lt;&gt;"")*IF(B60="",1,(IF(Besatzung!$C$22="",Besatzung!$B$5,Besatzung!$C$22)&lt;=B60)*(IF(Besatzung!$D$22="",Besatzung!$B$6,Besatzung!$D$22)&gt;=B60)))*(Besatzung!$F$22="x")*IFERROR(H60,0)/IFERROR(SUMPRODUCT((Besatzung!$B$11:$B$22&lt;&gt;"")*(Besatzung!$F$11:$F$22="x")*(IF(Besatzung!$C$11:$C$22="",Besatzung!$B$5,Besatzung!$C$11:$C$22)&lt;=B60)*(IF(Besatzung!$D$11:$D$22="",Besatzung!$B$6,Besatzung!$D$11:$D$22)&gt;=B60)),1)),IF(I60="An Bord",(((Besatzung!$B$22&lt;&gt;"")*IF(B60="",1,(IF(Besatzung!$C$22="",Besatzung!$B$5,Besatzung!$C$22)&lt;=B60)*(IF(Besatzung!$D$22="",Besatzung!$B$6,Besatzung!$D$22)&gt;=B60)))*((G60-IFERROR(H60,0))/IFERROR(SUMPRODUCT((Besatzung!$B$11:$B$22&lt;&gt;"")*(IF(Besatzung!$C$11:$C$22="",Besatzung!$B$5,Besatzung!$C$11:$C$22)&lt;=B60)*(IF(Besatzung!$D$11:$D$22="",Besatzung!$B$6,Besatzung!$D$11:$D$22)&gt;=B60)),1)+(Besatzung!$F$22="x")*IFERROR(H60,0)/IFERROR(SUMPRODUCT((Besatzung!$B$11:$B$22&lt;&gt;"")*(Besatzung!$F$11:$F$22="x")*(IF(Besatzung!$C$11:$C$22="",Besatzung!$B$5,Besatzung!$C$11:$C$22)&lt;=B60)*(IF(Besatzung!$D$11:$D$22="",Besatzung!$B$6,Besatzung!$D$11:$D$22)&gt;=B60)),1))),IF(I60="Individuell",((U60="x")*((G60-IFERROR(H60,0))/IFERROR(COUNTIF(J60:U60,"x"),1)+(Besatzung!$F$22="x")*IFERROR(H60,0)/IFERROR(SUMPRODUCT((J60:U60="x")*(Besatzung!$F$11:$F$22="x")),1))),(IF(COUNTIF(J60:U60,"x")=0,IF(Besatzung!$B$22&lt;&gt;"",1,0),(U60="x"))*(G60-IFERROR(H60,0))/IFERROR(IF(COUNTIF(J60:U60,"x")=0,COUNTA(Besatzung!$B$11:$B$22),COUNTIF(J60:U60,"x")),1)+IF(COUNTIF(J60:U60,"x")=0,(Besatzung!$F$22="x"),(U60="x")*(Besatzung!$F$22="x"))*IFERROR(H60,0)/IFERROR(IF(COUNTIF(J60:U60,"x")=0,SUMPRODUCT((Besatzung!$B$11:$B$22&lt;&gt;"")*(Besatzung!$F$11:$F$22="x")),SUMPRODUCT((J60:U60="x")*(Besatzung!$F$11:$F$22="x"))),1))))),0))))</f>
        <v/>
      </c>
      <c r="AH60" s="248" t="n"/>
      <c r="AI60" s="248" t="n"/>
    </row>
    <row r="61" ht="21.75" customHeight="1" s="154">
      <c r="A61" s="238">
        <f>IF(AND(D61="",C61=""),"",58)</f>
        <v/>
      </c>
      <c r="B61" s="206" t="n"/>
      <c r="C61" s="249" t="n"/>
      <c r="D61" s="250" t="n"/>
      <c r="E61" s="251" t="n"/>
      <c r="F61" s="252" t="n"/>
      <c r="G61" s="253" t="n"/>
      <c r="H61" s="254" t="n"/>
      <c r="I61" s="255" t="n"/>
      <c r="J61" s="256" t="n"/>
      <c r="K61" s="256" t="n"/>
      <c r="L61" s="256" t="n"/>
      <c r="M61" s="256" t="n"/>
      <c r="N61" s="256" t="n"/>
      <c r="O61" s="256" t="n"/>
      <c r="P61" s="256" t="n"/>
      <c r="Q61" s="256" t="n"/>
      <c r="R61" s="256" t="n"/>
      <c r="S61" s="256" t="n"/>
      <c r="T61" s="256" t="n"/>
      <c r="U61" s="256" t="n"/>
      <c r="V61" s="247">
        <f>IF(C61="Gutschrift","",IF(G61="","",IF(Besatzung!$B$11="","",IFERROR(IF(I61="Zeitanteilig",(Besatzung!$G$11*(G61-IFERROR(H61,0))+((Besatzung!$B$11&lt;&gt;"")*IF(B61="",1,(IF(Besatzung!$C$11="",Besatzung!$B$5,Besatzung!$C$11)&lt;=B61)*(IF(Besatzung!$D$11="",Besatzung!$B$6,Besatzung!$D$11)&gt;=B61)))*(Besatzung!$F$11="x")*IFERROR(H61,0)/IFERROR(SUMPRODUCT((Besatzung!$B$11:$B$22&lt;&gt;"")*(Besatzung!$F$11:$F$22="x")*(IF(Besatzung!$C$11:$C$22="",Besatzung!$B$5,Besatzung!$C$11:$C$22)&lt;=B61)*(IF(Besatzung!$D$11:$D$22="",Besatzung!$B$6,Besatzung!$D$11:$D$22)&gt;=B61)),1)),IF(I61="An Bord",(((Besatzung!$B$11&lt;&gt;"")*IF(B61="",1,(IF(Besatzung!$C$11="",Besatzung!$B$5,Besatzung!$C$11)&lt;=B61)*(IF(Besatzung!$D$11="",Besatzung!$B$6,Besatzung!$D$11)&gt;=B61)))*((G61-IFERROR(H61,0))/IFERROR(SUMPRODUCT((Besatzung!$B$11:$B$22&lt;&gt;"")*(IF(Besatzung!$C$11:$C$22="",Besatzung!$B$5,Besatzung!$C$11:$C$22)&lt;=B61)*(IF(Besatzung!$D$11:$D$22="",Besatzung!$B$6,Besatzung!$D$11:$D$22)&gt;=B61)),1)+(Besatzung!$F$11="x")*IFERROR(H61,0)/IFERROR(SUMPRODUCT((Besatzung!$B$11:$B$22&lt;&gt;"")*(Besatzung!$F$11:$F$22="x")*(IF(Besatzung!$C$11:$C$22="",Besatzung!$B$5,Besatzung!$C$11:$C$22)&lt;=B61)*(IF(Besatzung!$D$11:$D$22="",Besatzung!$B$6,Besatzung!$D$11:$D$22)&gt;=B61)),1))),IF(I61="Individuell",((J61="x")*((G61-IFERROR(H61,0))/IFERROR(COUNTIF(J61:U61,"x"),1)+(Besatzung!$F$11="x")*IFERROR(H61,0)/IFERROR(SUMPRODUCT((J61:U61="x")*(Besatzung!$F$11:$F$22="x")),1))),(IF(COUNTIF(J61:U61,"x")=0,IF(Besatzung!$B$11&lt;&gt;"",1,0),(J61="x"))*(G61-IFERROR(H61,0))/IFERROR(IF(COUNTIF(J61:U61,"x")=0,COUNTA(Besatzung!$B$11:$B$22),COUNTIF(J61:U61,"x")),1)+IF(COUNTIF(J61:U61,"x")=0,(Besatzung!$F$11="x"),(J61="x")*(Besatzung!$F$11="x"))*IFERROR(H61,0)/IFERROR(IF(COUNTIF(J61:U61,"x")=0,SUMPRODUCT((Besatzung!$B$11:$B$22&lt;&gt;"")*(Besatzung!$F$11:$F$22="x")),SUMPRODUCT((J61:U61="x")*(Besatzung!$F$11:$F$22="x"))),1))))),0))))</f>
        <v/>
      </c>
      <c r="W61" s="247">
        <f>IF(C61="Gutschrift","",IF(G61="","",IF(Besatzung!$B$12="","",IFERROR(IF(I61="Zeitanteilig",(Besatzung!$G$12*(G61-IFERROR(H61,0))+((Besatzung!$B$12&lt;&gt;"")*IF(B61="",1,(IF(Besatzung!$C$12="",Besatzung!$B$5,Besatzung!$C$12)&lt;=B61)*(IF(Besatzung!$D$12="",Besatzung!$B$6,Besatzung!$D$12)&gt;=B61)))*(Besatzung!$F$12="x")*IFERROR(H61,0)/IFERROR(SUMPRODUCT((Besatzung!$B$11:$B$22&lt;&gt;"")*(Besatzung!$F$11:$F$22="x")*(IF(Besatzung!$C$11:$C$22="",Besatzung!$B$5,Besatzung!$C$11:$C$22)&lt;=B61)*(IF(Besatzung!$D$11:$D$22="",Besatzung!$B$6,Besatzung!$D$11:$D$22)&gt;=B61)),1)),IF(I61="An Bord",(((Besatzung!$B$12&lt;&gt;"")*IF(B61="",1,(IF(Besatzung!$C$12="",Besatzung!$B$5,Besatzung!$C$12)&lt;=B61)*(IF(Besatzung!$D$12="",Besatzung!$B$6,Besatzung!$D$12)&gt;=B61)))*((G61-IFERROR(H61,0))/IFERROR(SUMPRODUCT((Besatzung!$B$11:$B$22&lt;&gt;"")*(IF(Besatzung!$C$11:$C$22="",Besatzung!$B$5,Besatzung!$C$11:$C$22)&lt;=B61)*(IF(Besatzung!$D$11:$D$22="",Besatzung!$B$6,Besatzung!$D$11:$D$22)&gt;=B61)),1)+(Besatzung!$F$12="x")*IFERROR(H61,0)/IFERROR(SUMPRODUCT((Besatzung!$B$11:$B$22&lt;&gt;"")*(Besatzung!$F$11:$F$22="x")*(IF(Besatzung!$C$11:$C$22="",Besatzung!$B$5,Besatzung!$C$11:$C$22)&lt;=B61)*(IF(Besatzung!$D$11:$D$22="",Besatzung!$B$6,Besatzung!$D$11:$D$22)&gt;=B61)),1))),IF(I61="Individuell",((K61="x")*((G61-IFERROR(H61,0))/IFERROR(COUNTIF(J61:U61,"x"),1)+(Besatzung!$F$12="x")*IFERROR(H61,0)/IFERROR(SUMPRODUCT((J61:U61="x")*(Besatzung!$F$11:$F$22="x")),1))),(IF(COUNTIF(J61:U61,"x")=0,IF(Besatzung!$B$12&lt;&gt;"",1,0),(K61="x"))*(G61-IFERROR(H61,0))/IFERROR(IF(COUNTIF(J61:U61,"x")=0,COUNTA(Besatzung!$B$11:$B$22),COUNTIF(J61:U61,"x")),1)+IF(COUNTIF(J61:U61,"x")=0,(Besatzung!$F$12="x"),(K61="x")*(Besatzung!$F$12="x"))*IFERROR(H61,0)/IFERROR(IF(COUNTIF(J61:U61,"x")=0,SUMPRODUCT((Besatzung!$B$11:$B$22&lt;&gt;"")*(Besatzung!$F$11:$F$22="x")),SUMPRODUCT((J61:U61="x")*(Besatzung!$F$11:$F$22="x"))),1))))),0))))</f>
        <v/>
      </c>
      <c r="X61" s="247">
        <f>IF(C61="Gutschrift","",IF(G61="","",IF(Besatzung!$B$13="","",IFERROR(IF(I61="Zeitanteilig",(Besatzung!$G$13*(G61-IFERROR(H61,0))+((Besatzung!$B$13&lt;&gt;"")*IF(B61="",1,(IF(Besatzung!$C$13="",Besatzung!$B$5,Besatzung!$C$13)&lt;=B61)*(IF(Besatzung!$D$13="",Besatzung!$B$6,Besatzung!$D$13)&gt;=B61)))*(Besatzung!$F$13="x")*IFERROR(H61,0)/IFERROR(SUMPRODUCT((Besatzung!$B$11:$B$22&lt;&gt;"")*(Besatzung!$F$11:$F$22="x")*(IF(Besatzung!$C$11:$C$22="",Besatzung!$B$5,Besatzung!$C$11:$C$22)&lt;=B61)*(IF(Besatzung!$D$11:$D$22="",Besatzung!$B$6,Besatzung!$D$11:$D$22)&gt;=B61)),1)),IF(I61="An Bord",(((Besatzung!$B$13&lt;&gt;"")*IF(B61="",1,(IF(Besatzung!$C$13="",Besatzung!$B$5,Besatzung!$C$13)&lt;=B61)*(IF(Besatzung!$D$13="",Besatzung!$B$6,Besatzung!$D$13)&gt;=B61)))*((G61-IFERROR(H61,0))/IFERROR(SUMPRODUCT((Besatzung!$B$11:$B$22&lt;&gt;"")*(IF(Besatzung!$C$11:$C$22="",Besatzung!$B$5,Besatzung!$C$11:$C$22)&lt;=B61)*(IF(Besatzung!$D$11:$D$22="",Besatzung!$B$6,Besatzung!$D$11:$D$22)&gt;=B61)),1)+(Besatzung!$F$13="x")*IFERROR(H61,0)/IFERROR(SUMPRODUCT((Besatzung!$B$11:$B$22&lt;&gt;"")*(Besatzung!$F$11:$F$22="x")*(IF(Besatzung!$C$11:$C$22="",Besatzung!$B$5,Besatzung!$C$11:$C$22)&lt;=B61)*(IF(Besatzung!$D$11:$D$22="",Besatzung!$B$6,Besatzung!$D$11:$D$22)&gt;=B61)),1))),IF(I61="Individuell",((K61="x")*((G61-IFERROR(H61,0))/IFERROR(COUNTIF(J61:U61,"x"),1)+(Besatzung!$F$13="x")*IFERROR(H61,0)/IFERROR(SUMPRODUCT((J61:U61="x")*(Besatzung!$F$11:$F$22="x")),1))),(IF(COUNTIF(J61:U61,"x")=0,IF(Besatzung!$B$13&lt;&gt;"",1,0),(K61="x"))*(G61-IFERROR(H61,0))/IFERROR(IF(COUNTIF(J61:U61,"x")=0,COUNTA(Besatzung!$B$11:$B$22),COUNTIF(J61:U61,"x")),1)+IF(COUNTIF(J61:U61,"x")=0,(Besatzung!$F$13="x"),(K61="x")*(Besatzung!$F$13="x"))*IFERROR(H61,0)/IFERROR(IF(COUNTIF(J61:U61,"x")=0,SUMPRODUCT((Besatzung!$B$11:$B$22&lt;&gt;"")*(Besatzung!$F$11:$F$22="x")),SUMPRODUCT((J61:U61="x")*(Besatzung!$F$11:$F$22="x"))),1))))),0))))</f>
        <v/>
      </c>
      <c r="Y61" s="247">
        <f>IF(C61="Gutschrift","",IF(G61="","",IF(Besatzung!$B$14="","",IFERROR(IF(I61="Zeitanteilig",(Besatzung!$G$14*(G61-IFERROR(H61,0))+((Besatzung!$B$14&lt;&gt;"")*IF(B61="",1,(IF(Besatzung!$C$14="",Besatzung!$B$5,Besatzung!$C$14)&lt;=B61)*(IF(Besatzung!$D$14="",Besatzung!$B$6,Besatzung!$D$14)&gt;=B61)))*(Besatzung!$F$14="x")*IFERROR(H61,0)/IFERROR(SUMPRODUCT((Besatzung!$B$11:$B$22&lt;&gt;"")*(Besatzung!$F$11:$F$22="x")*(IF(Besatzung!$C$11:$C$22="",Besatzung!$B$5,Besatzung!$C$11:$C$22)&lt;=B61)*(IF(Besatzung!$D$11:$D$22="",Besatzung!$B$6,Besatzung!$D$11:$D$22)&gt;=B61)),1)),IF(I61="An Bord",(((Besatzung!$B$14&lt;&gt;"")*IF(B61="",1,(IF(Besatzung!$C$14="",Besatzung!$B$5,Besatzung!$C$14)&lt;=B61)*(IF(Besatzung!$D$14="",Besatzung!$B$6,Besatzung!$D$14)&gt;=B61)))*((G61-IFERROR(H61,0))/IFERROR(SUMPRODUCT((Besatzung!$B$11:$B$22&lt;&gt;"")*(IF(Besatzung!$C$11:$C$22="",Besatzung!$B$5,Besatzung!$C$11:$C$22)&lt;=B61)*(IF(Besatzung!$D$11:$D$22="",Besatzung!$B$6,Besatzung!$D$11:$D$22)&gt;=B61)),1)+(Besatzung!$F$14="x")*IFERROR(H61,0)/IFERROR(SUMPRODUCT((Besatzung!$B$11:$B$22&lt;&gt;"")*(Besatzung!$F$11:$F$22="x")*(IF(Besatzung!$C$11:$C$22="",Besatzung!$B$5,Besatzung!$C$11:$C$22)&lt;=B61)*(IF(Besatzung!$D$11:$D$22="",Besatzung!$B$6,Besatzung!$D$11:$D$22)&gt;=B61)),1))),IF(I61="Individuell",((M61="x")*((G61-IFERROR(H61,0))/IFERROR(COUNTIF(J61:U61,"x"),1)+(Besatzung!$F$14="x")*IFERROR(H61,0)/IFERROR(SUMPRODUCT((J61:U61="x")*(Besatzung!$F$11:$F$22="x")),1))),(IF(COUNTIF(J61:U61,"x")=0,IF(Besatzung!$B$14&lt;&gt;"",1,0),(M61="x"))*(G61-IFERROR(H61,0))/IFERROR(IF(COUNTIF(J61:U61,"x")=0,COUNTA(Besatzung!$B$11:$B$22),COUNTIF(J61:U61,"x")),1)+IF(COUNTIF(J61:U61,"x")=0,(Besatzung!$F$14="x"),(M61="x")*(Besatzung!$F$14="x"))*IFERROR(H61,0)/IFERROR(IF(COUNTIF(J61:U61,"x")=0,SUMPRODUCT((Besatzung!$B$11:$B$22&lt;&gt;"")*(Besatzung!$F$11:$F$22="x")),SUMPRODUCT((J61:U61="x")*(Besatzung!$F$11:$F$22="x"))),1))))),0))))</f>
        <v/>
      </c>
      <c r="Z61" s="247">
        <f>IF(C61="Gutschrift","",IF(G61="","",IF(Besatzung!$B$13="","",IFERROR(IF(I61="Zeitanteilig",(Besatzung!$G$15*(G61-IFERROR(H61,0))+((Besatzung!$B$13&lt;&gt;"")*IF(B61="",1,(IF(Besatzung!$C$15="",Besatzung!$B$5,Besatzung!$C$15)&lt;=B61)*(IF(Besatzung!$D$15="",Besatzung!$B$6,Besatzung!$D$15)&gt;=B61)))*(Besatzung!$F$15="x")*IFERROR(H61,0)/IFERROR(SUMPRODUCT((Besatzung!$B$11:$B$22&lt;&gt;"")*(Besatzung!$F$11:$F$22="x")*(IF(Besatzung!$C$11:$C$22="",Besatzung!$B$5,Besatzung!$C$11:$C$22)&lt;=B61)*(IF(Besatzung!$D$11:$D$22="",Besatzung!$B$6,Besatzung!$D$11:$D$22)&gt;=B61)),1)),IF(I61="An Bord",(((Besatzung!$B$13&lt;&gt;"")*IF(B61="",1,(IF(Besatzung!$C$15="",Besatzung!$B$5,Besatzung!$C$15)&lt;=B61)*(IF(Besatzung!$D$15="",Besatzung!$B$6,Besatzung!$D$15)&gt;=B61)))*((G61-IFERROR(H61,0))/IFERROR(SUMPRODUCT((Besatzung!$B$11:$B$22&lt;&gt;"")*(IF(Besatzung!$C$11:$C$22="",Besatzung!$B$5,Besatzung!$C$11:$C$22)&lt;=B61)*(IF(Besatzung!$D$11:$D$22="",Besatzung!$B$6,Besatzung!$D$11:$D$22)&gt;=B61)),1)+(Besatzung!$F$15="x")*IFERROR(H61,0)/IFERROR(SUMPRODUCT((Besatzung!$B$11:$B$22&lt;&gt;"")*(Besatzung!$F$11:$F$22="x")*(IF(Besatzung!$C$11:$C$22="",Besatzung!$B$5,Besatzung!$C$11:$C$22)&lt;=B61)*(IF(Besatzung!$D$11:$D$22="",Besatzung!$B$6,Besatzung!$D$11:$D$22)&gt;=B61)),1))),IF(I61="Individuell",((N61="x")*((G61-IFERROR(H61,0))/IFERROR(COUNTIF(J61:U61,"x"),1)+(Besatzung!$F$15="x")*IFERROR(H61,0)/IFERROR(SUMPRODUCT((J61:U61="x")*(Besatzung!$F$11:$F$22="x")),1))),(IF(COUNTIF(J61:U61,"x")=0,IF(Besatzung!$B$13&lt;&gt;"",1,0),(N61="x"))*(G61-IFERROR(H61,0))/IFERROR(IF(COUNTIF(J61:U61,"x")=0,COUNTA(Besatzung!$B$11:$B$22),COUNTIF(J61:U61,"x")),1)+IF(COUNTIF(J61:U61,"x")=0,(Besatzung!$F$15="x"),(N61="x")*(Besatzung!$F$15="x"))*IFERROR(H61,0)/IFERROR(IF(COUNTIF(J61:U61,"x")=0,SUMPRODUCT((Besatzung!$B$11:$B$22&lt;&gt;"")*(Besatzung!$F$11:$F$22="x")),SUMPRODUCT((J61:U61="x")*(Besatzung!$F$11:$F$22="x"))),1))))),0))))</f>
        <v/>
      </c>
      <c r="AA61" s="247">
        <f>IF(C61="Gutschrift","",IF(G61="","",IF(Besatzung!$B$15="","",IFERROR(IF(I61="Zeitanteilig",(Besatzung!$G$16*(G61-IFERROR(H61,0))+((Besatzung!$B$15&lt;&gt;"")*IF(B61="",1,(IF(Besatzung!$C$16="",Besatzung!$B$5,Besatzung!$C$16)&lt;=B61)*(IF(Besatzung!$D$16="",Besatzung!$B$6,Besatzung!$D$16)&gt;=B61)))*(Besatzung!$F$16="x")*IFERROR(H61,0)/IFERROR(SUMPRODUCT((Besatzung!$B$11:$B$22&lt;&gt;"")*(Besatzung!$F$11:$F$22="x")*(IF(Besatzung!$C$11:$C$22="",Besatzung!$B$5,Besatzung!$C$11:$C$22)&lt;=B61)*(IF(Besatzung!$D$11:$D$22="",Besatzung!$B$6,Besatzung!$D$11:$D$22)&gt;=B61)),1)),IF(I61="An Bord",(((Besatzung!$B$15&lt;&gt;"")*IF(B61="",1,(IF(Besatzung!$C$16="",Besatzung!$B$5,Besatzung!$C$16)&lt;=B61)*(IF(Besatzung!$D$16="",Besatzung!$B$6,Besatzung!$D$16)&gt;=B61)))*((G61-IFERROR(H61,0))/IFERROR(SUMPRODUCT((Besatzung!$B$11:$B$22&lt;&gt;"")*(IF(Besatzung!$C$11:$C$22="",Besatzung!$B$5,Besatzung!$C$11:$C$22)&lt;=B61)*(IF(Besatzung!$D$11:$D$22="",Besatzung!$B$6,Besatzung!$D$11:$D$22)&gt;=B61)),1)+(Besatzung!$F$16="x")*IFERROR(H61,0)/IFERROR(SUMPRODUCT((Besatzung!$B$11:$B$22&lt;&gt;"")*(Besatzung!$F$11:$F$22="x")*(IF(Besatzung!$C$11:$C$22="",Besatzung!$B$5,Besatzung!$C$11:$C$22)&lt;=B61)*(IF(Besatzung!$D$11:$D$22="",Besatzung!$B$6,Besatzung!$D$11:$D$22)&gt;=B61)),1))),IF(I61="Individuell",((O61="x")*((G61-IFERROR(H61,0))/IFERROR(COUNTIF(J61:U61,"x"),1)+(Besatzung!$F$16="x")*IFERROR(H61,0)/IFERROR(SUMPRODUCT((J61:U61="x")*(Besatzung!$F$11:$F$22="x")),1))),(IF(COUNTIF(J61:U61,"x")=0,IF(Besatzung!$B$15&lt;&gt;"",1,0),(O61="x"))*(G61-IFERROR(H61,0))/IFERROR(IF(COUNTIF(J61:U61,"x")=0,COUNTA(Besatzung!$B$11:$B$22),COUNTIF(J61:U61,"x")),1)+IF(COUNTIF(J61:U61,"x")=0,(Besatzung!$F$16="x"),(O61="x")*(Besatzung!$F$16="x"))*IFERROR(H61,0)/IFERROR(IF(COUNTIF(J61:U61,"x")=0,SUMPRODUCT((Besatzung!$B$11:$B$22&lt;&gt;"")*(Besatzung!$F$11:$F$22="x")),SUMPRODUCT((J61:U61="x")*(Besatzung!$F$11:$F$22="x"))),1))))),0))))</f>
        <v/>
      </c>
      <c r="AB61" s="247">
        <f>IF(C61="Gutschrift","",IF(G61="","",IF(Besatzung!$B$17="","",IFERROR(IF(I61="Zeitanteilig",(Besatzung!$G$17*(G61-IFERROR(H61,0))+((Besatzung!$B$17&lt;&gt;"")*IF(B61="",1,(IF(Besatzung!$C$17="",Besatzung!$B$5,Besatzung!$C$17)&lt;=B61)*(IF(Besatzung!$D$17="",Besatzung!$B$6,Besatzung!$D$17)&gt;=B61)))*(Besatzung!$F$17="x")*IFERROR(H61,0)/IFERROR(SUMPRODUCT((Besatzung!$B$11:$B$22&lt;&gt;"")*(Besatzung!$F$11:$F$22="x")*(IF(Besatzung!$C$11:$C$22="",Besatzung!$B$5,Besatzung!$C$11:$C$22)&lt;=B61)*(IF(Besatzung!$D$11:$D$22="",Besatzung!$B$6,Besatzung!$D$11:$D$22)&gt;=B61)),1)),IF(I61="An Bord",(((Besatzung!$B$17&lt;&gt;"")*IF(B61="",1,(IF(Besatzung!$C$17="",Besatzung!$B$5,Besatzung!$C$17)&lt;=B61)*(IF(Besatzung!$D$17="",Besatzung!$B$6,Besatzung!$D$17)&gt;=B61)))*((G61-IFERROR(H61,0))/IFERROR(SUMPRODUCT((Besatzung!$B$11:$B$22&lt;&gt;"")*(IF(Besatzung!$C$11:$C$22="",Besatzung!$B$5,Besatzung!$C$11:$C$22)&lt;=B61)*(IF(Besatzung!$D$11:$D$22="",Besatzung!$B$6,Besatzung!$D$11:$D$22)&gt;=B61)),1)+(Besatzung!$F$17="x")*IFERROR(H61,0)/IFERROR(SUMPRODUCT((Besatzung!$B$11:$B$22&lt;&gt;"")*(Besatzung!$F$11:$F$22="x")*(IF(Besatzung!$C$11:$C$22="",Besatzung!$B$5,Besatzung!$C$11:$C$22)&lt;=B61)*(IF(Besatzung!$D$11:$D$22="",Besatzung!$B$6,Besatzung!$D$11:$D$22)&gt;=B61)),1))),IF(I61="Individuell",((P61="x")*((G61-IFERROR(H61,0))/IFERROR(COUNTIF(J61:U61,"x"),1)+(Besatzung!$F$17="x")*IFERROR(H61,0)/IFERROR(SUMPRODUCT((J61:U61="x")*(Besatzung!$F$11:$F$22="x")),1))),(IF(COUNTIF(J61:U61,"x")=0,IF(Besatzung!$B$17&lt;&gt;"",1,0),(P61="x"))*(G61-IFERROR(H61,0))/IFERROR(IF(COUNTIF(J61:U61,"x")=0,COUNTA(Besatzung!$B$11:$B$22),COUNTIF(J61:U61,"x")),1)+IF(COUNTIF(J61:U61,"x")=0,(Besatzung!$F$17="x"),(P61="x")*(Besatzung!$F$17="x"))*IFERROR(H61,0)/IFERROR(IF(COUNTIF(J61:U61,"x")=0,SUMPRODUCT((Besatzung!$B$11:$B$22&lt;&gt;"")*(Besatzung!$F$11:$F$22="x")),SUMPRODUCT((J61:U61="x")*(Besatzung!$F$11:$F$22="x"))),1))))),0))))</f>
        <v/>
      </c>
      <c r="AC61" s="247">
        <f>IF(C61="Gutschrift","",IF(G61="","",IF(Besatzung!$B$18="","",IFERROR(IF(I61="Zeitanteilig",(Besatzung!$G$18*(G61-IFERROR(H61,0))+((Besatzung!$B$18&lt;&gt;"")*IF(B61="",1,(IF(Besatzung!$C$18="",Besatzung!$B$5,Besatzung!$C$18)&lt;=B61)*(IF(Besatzung!$D$18="",Besatzung!$B$6,Besatzung!$D$18)&gt;=B61)))*(Besatzung!$F$18="x")*IFERROR(H61,0)/IFERROR(SUMPRODUCT((Besatzung!$B$11:$B$22&lt;&gt;"")*(Besatzung!$F$11:$F$22="x")*(IF(Besatzung!$C$11:$C$22="",Besatzung!$B$5,Besatzung!$C$11:$C$22)&lt;=B61)*(IF(Besatzung!$D$11:$D$22="",Besatzung!$B$6,Besatzung!$D$11:$D$22)&gt;=B61)),1)),IF(I61="An Bord",(((Besatzung!$B$18&lt;&gt;"")*IF(B61="",1,(IF(Besatzung!$C$18="",Besatzung!$B$5,Besatzung!$C$18)&lt;=B61)*(IF(Besatzung!$D$18="",Besatzung!$B$6,Besatzung!$D$18)&gt;=B61)))*((G61-IFERROR(H61,0))/IFERROR(SUMPRODUCT((Besatzung!$B$11:$B$22&lt;&gt;"")*(IF(Besatzung!$C$11:$C$22="",Besatzung!$B$5,Besatzung!$C$11:$C$22)&lt;=B61)*(IF(Besatzung!$D$11:$D$22="",Besatzung!$B$6,Besatzung!$D$11:$D$22)&gt;=B61)),1)+(Besatzung!$F$18="x")*IFERROR(H61,0)/IFERROR(SUMPRODUCT((Besatzung!$B$11:$B$22&lt;&gt;"")*(Besatzung!$F$11:$F$22="x")*(IF(Besatzung!$C$11:$C$22="",Besatzung!$B$5,Besatzung!$C$11:$C$22)&lt;=B61)*(IF(Besatzung!$D$11:$D$22="",Besatzung!$B$6,Besatzung!$D$11:$D$22)&gt;=B61)),1))),IF(I61="Individuell",((Q61="x")*((G61-IFERROR(H61,0))/IFERROR(COUNTIF(J61:U61,"x"),1)+(Besatzung!$F$18="x")*IFERROR(H61,0)/IFERROR(SUMPRODUCT((J61:U61="x")*(Besatzung!$F$11:$F$22="x")),1))),(IF(COUNTIF(J61:U61,"x")=0,IF(Besatzung!$B$18&lt;&gt;"",1,0),(Q61="x"))*(G61-IFERROR(H61,0))/IFERROR(IF(COUNTIF(J61:U61,"x")=0,COUNTA(Besatzung!$B$11:$B$22),COUNTIF(J61:U61,"x")),1)+IF(COUNTIF(J61:U61,"x")=0,(Besatzung!$F$18="x"),(Q61="x")*(Besatzung!$F$18="x"))*IFERROR(H61,0)/IFERROR(IF(COUNTIF(J61:U61,"x")=0,SUMPRODUCT((Besatzung!$B$11:$B$22&lt;&gt;"")*(Besatzung!$F$11:$F$22="x")),SUMPRODUCT((J61:U61="x")*(Besatzung!$F$11:$F$22="x"))),1))))),0))))</f>
        <v/>
      </c>
      <c r="AD61" s="247">
        <f>IF(C61="Gutschrift","",IF(G61="","",IF(Besatzung!$B$19="","",IFERROR(IF(I61="Zeitanteilig",(Besatzung!$G$19*(G61-IFERROR(H61,0))+((Besatzung!$B$19&lt;&gt;"")*IF(B61="",1,(IF(Besatzung!$C$19="",Besatzung!$B$5,Besatzung!$C$19)&lt;=B61)*(IF(Besatzung!$D$19="",Besatzung!$B$6,Besatzung!$D$19)&gt;=B61)))*(Besatzung!$F$19="x")*IFERROR(H61,0)/IFERROR(SUMPRODUCT((Besatzung!$B$11:$B$22&lt;&gt;"")*(Besatzung!$F$11:$F$22="x")*(IF(Besatzung!$C$11:$C$22="",Besatzung!$B$5,Besatzung!$C$11:$C$22)&lt;=B61)*(IF(Besatzung!$D$11:$D$22="",Besatzung!$B$6,Besatzung!$D$11:$D$22)&gt;=B61)),1)),IF(I61="An Bord",(((Besatzung!$B$19&lt;&gt;"")*IF(B61="",1,(IF(Besatzung!$C$19="",Besatzung!$B$5,Besatzung!$C$19)&lt;=B61)*(IF(Besatzung!$D$19="",Besatzung!$B$6,Besatzung!$D$19)&gt;=B61)))*((G61-IFERROR(H61,0))/IFERROR(SUMPRODUCT((Besatzung!$B$11:$B$22&lt;&gt;"")*(IF(Besatzung!$C$11:$C$22="",Besatzung!$B$5,Besatzung!$C$11:$C$22)&lt;=B61)*(IF(Besatzung!$D$11:$D$22="",Besatzung!$B$6,Besatzung!$D$11:$D$22)&gt;=B61)),1)+(Besatzung!$F$19="x")*IFERROR(H61,0)/IFERROR(SUMPRODUCT((Besatzung!$B$11:$B$22&lt;&gt;"")*(Besatzung!$F$11:$F$22="x")*(IF(Besatzung!$C$11:$C$22="",Besatzung!$B$5,Besatzung!$C$11:$C$22)&lt;=B61)*(IF(Besatzung!$D$11:$D$22="",Besatzung!$B$6,Besatzung!$D$11:$D$22)&gt;=B61)),1))),IF(I61="Individuell",((R61="x")*((G61-IFERROR(H61,0))/IFERROR(COUNTIF(J61:U61,"x"),1)+(Besatzung!$F$19="x")*IFERROR(H61,0)/IFERROR(SUMPRODUCT((J61:U61="x")*(Besatzung!$F$11:$F$22="x")),1))),(IF(COUNTIF(J61:U61,"x")=0,IF(Besatzung!$B$19&lt;&gt;"",1,0),(R61="x"))*(G61-IFERROR(H61,0))/IFERROR(IF(COUNTIF(J61:U61,"x")=0,COUNTA(Besatzung!$B$11:$B$22),COUNTIF(J61:U61,"x")),1)+IF(COUNTIF(J61:U61,"x")=0,(Besatzung!$F$19="x"),(R61="x")*(Besatzung!$F$19="x"))*IFERROR(H61,0)/IFERROR(IF(COUNTIF(J61:U61,"x")=0,SUMPRODUCT((Besatzung!$B$11:$B$22&lt;&gt;"")*(Besatzung!$F$11:$F$22="x")),SUMPRODUCT((J61:U61="x")*(Besatzung!$F$11:$F$22="x"))),1))))),0))))</f>
        <v/>
      </c>
      <c r="AE61" s="247">
        <f>IF(C61="Gutschrift","",IF(G61="","",IF(Besatzung!$B$20="","",IFERROR(IF(I61="Zeitanteilig",(Besatzung!$G$20*(G61-IFERROR(H61,0))+((Besatzung!$B$20&lt;&gt;"")*IF(B61="",1,(IF(Besatzung!$C$20="",Besatzung!$B$5,Besatzung!$C$20)&lt;=B61)*(IF(Besatzung!$D$20="",Besatzung!$B$6,Besatzung!$D$20)&gt;=B61)))*(Besatzung!$F$20="x")*IFERROR(H61,0)/IFERROR(SUMPRODUCT((Besatzung!$B$11:$B$22&lt;&gt;"")*(Besatzung!$F$11:$F$22="x")*(IF(Besatzung!$C$11:$C$22="",Besatzung!$B$5,Besatzung!$C$11:$C$22)&lt;=B61)*(IF(Besatzung!$D$11:$D$22="",Besatzung!$B$6,Besatzung!$D$11:$D$22)&gt;=B61)),1)),IF(I61="An Bord",(((Besatzung!$B$20&lt;&gt;"")*IF(B61="",1,(IF(Besatzung!$C$20="",Besatzung!$B$5,Besatzung!$C$20)&lt;=B61)*(IF(Besatzung!$D$20="",Besatzung!$B$6,Besatzung!$D$20)&gt;=B61)))*((G61-IFERROR(H61,0))/IFERROR(SUMPRODUCT((Besatzung!$B$11:$B$22&lt;&gt;"")*(IF(Besatzung!$C$11:$C$22="",Besatzung!$B$5,Besatzung!$C$11:$C$22)&lt;=B61)*(IF(Besatzung!$D$11:$D$22="",Besatzung!$B$6,Besatzung!$D$11:$D$22)&gt;=B61)),1)+(Besatzung!$F$20="x")*IFERROR(H61,0)/IFERROR(SUMPRODUCT((Besatzung!$B$11:$B$22&lt;&gt;"")*(Besatzung!$F$11:$F$22="x")*(IF(Besatzung!$C$11:$C$22="",Besatzung!$B$5,Besatzung!$C$11:$C$22)&lt;=B61)*(IF(Besatzung!$D$11:$D$22="",Besatzung!$B$6,Besatzung!$D$11:$D$22)&gt;=B61)),1))),IF(I61="Individuell",((S61="x")*((G61-IFERROR(H61,0))/IFERROR(COUNTIF(J61:U61,"x"),1)+(Besatzung!$F$20="x")*IFERROR(H61,0)/IFERROR(SUMPRODUCT((J61:U61="x")*(Besatzung!$F$11:$F$22="x")),1))),(IF(COUNTIF(J61:U61,"x")=0,IF(Besatzung!$B$20&lt;&gt;"",1,0),(S61="x"))*(G61-IFERROR(H61,0))/IFERROR(IF(COUNTIF(J61:U61,"x")=0,COUNTA(Besatzung!$B$11:$B$22),COUNTIF(J61:U61,"x")),1)+IF(COUNTIF(J61:U61,"x")=0,(Besatzung!$F$20="x"),(S61="x")*(Besatzung!$F$20="x"))*IFERROR(H61,0)/IFERROR(IF(COUNTIF(J61:U61,"x")=0,SUMPRODUCT((Besatzung!$B$11:$B$22&lt;&gt;"")*(Besatzung!$F$11:$F$22="x")),SUMPRODUCT((J61:U61="x")*(Besatzung!$F$11:$F$22="x"))),1))))),0))))</f>
        <v/>
      </c>
      <c r="AF61" s="247">
        <f>IF(C61="Gutschrift","",IF(G61="","",IF(Besatzung!$B$21="","",IFERROR(IF(I61="Zeitanteilig",(Besatzung!$G$21*(G61-IFERROR(H61,0))+((Besatzung!$B$21&lt;&gt;"")*IF(B61="",1,(IF(Besatzung!$C$21="",Besatzung!$B$5,Besatzung!$C$21)&lt;=B61)*(IF(Besatzung!$D$21="",Besatzung!$B$6,Besatzung!$D$21)&gt;=B61)))*(Besatzung!$F$21="x")*IFERROR(H61,0)/IFERROR(SUMPRODUCT((Besatzung!$B$11:$B$22&lt;&gt;"")*(Besatzung!$F$11:$F$22="x")*(IF(Besatzung!$C$11:$C$22="",Besatzung!$B$5,Besatzung!$C$11:$C$22)&lt;=B61)*(IF(Besatzung!$D$11:$D$22="",Besatzung!$B$6,Besatzung!$D$11:$D$22)&gt;=B61)),1)),IF(I61="An Bord",(((Besatzung!$B$21&lt;&gt;"")*IF(B61="",1,(IF(Besatzung!$C$21="",Besatzung!$B$5,Besatzung!$C$21)&lt;=B61)*(IF(Besatzung!$D$21="",Besatzung!$B$6,Besatzung!$D$21)&gt;=B61)))*((G61-IFERROR(H61,0))/IFERROR(SUMPRODUCT((Besatzung!$B$11:$B$22&lt;&gt;"")*(IF(Besatzung!$C$11:$C$22="",Besatzung!$B$5,Besatzung!$C$11:$C$22)&lt;=B61)*(IF(Besatzung!$D$11:$D$22="",Besatzung!$B$6,Besatzung!$D$11:$D$22)&gt;=B61)),1)+(Besatzung!$F$21="x")*IFERROR(H61,0)/IFERROR(SUMPRODUCT((Besatzung!$B$11:$B$22&lt;&gt;"")*(Besatzung!$F$11:$F$22="x")*(IF(Besatzung!$C$11:$C$22="",Besatzung!$B$5,Besatzung!$C$11:$C$22)&lt;=B61)*(IF(Besatzung!$D$11:$D$22="",Besatzung!$B$6,Besatzung!$D$11:$D$22)&gt;=B61)),1))),IF(I61="Individuell",((T61="x")*((G61-IFERROR(H61,0))/IFERROR(COUNTIF(J61:U61,"x"),1)+(Besatzung!$F$21="x")*IFERROR(H61,0)/IFERROR(SUMPRODUCT((J61:U61="x")*(Besatzung!$F$11:$F$22="x")),1))),(IF(COUNTIF(J61:U61,"x")=0,IF(Besatzung!$B$21&lt;&gt;"",1,0),(T61="x"))*(G61-IFERROR(H61,0))/IFERROR(IF(COUNTIF(J61:U61,"x")=0,COUNTA(Besatzung!$B$11:$B$22),COUNTIF(J61:U61,"x")),1)+IF(COUNTIF(J61:U61,"x")=0,(Besatzung!$F$21="x"),(T61="x")*(Besatzung!$F$21="x"))*IFERROR(H61,0)/IFERROR(IF(COUNTIF(J61:U61,"x")=0,SUMPRODUCT((Besatzung!$B$11:$B$22&lt;&gt;"")*(Besatzung!$F$11:$F$22="x")),SUMPRODUCT((J61:U61="x")*(Besatzung!$F$11:$F$22="x"))),1))))),0))))</f>
        <v/>
      </c>
      <c r="AG61" s="247">
        <f>IF(C61="Gutschrift","",IF(G61="","",IF(Besatzung!$B$22="","",IFERROR(IF(I61="Zeitanteilig",(Besatzung!$G$22*(G61-IFERROR(H61,0))+((Besatzung!$B$22&lt;&gt;"")*IF(B61="",1,(IF(Besatzung!$C$22="",Besatzung!$B$5,Besatzung!$C$22)&lt;=B61)*(IF(Besatzung!$D$22="",Besatzung!$B$6,Besatzung!$D$22)&gt;=B61)))*(Besatzung!$F$22="x")*IFERROR(H61,0)/IFERROR(SUMPRODUCT((Besatzung!$B$11:$B$22&lt;&gt;"")*(Besatzung!$F$11:$F$22="x")*(IF(Besatzung!$C$11:$C$22="",Besatzung!$B$5,Besatzung!$C$11:$C$22)&lt;=B61)*(IF(Besatzung!$D$11:$D$22="",Besatzung!$B$6,Besatzung!$D$11:$D$22)&gt;=B61)),1)),IF(I61="An Bord",(((Besatzung!$B$22&lt;&gt;"")*IF(B61="",1,(IF(Besatzung!$C$22="",Besatzung!$B$5,Besatzung!$C$22)&lt;=B61)*(IF(Besatzung!$D$22="",Besatzung!$B$6,Besatzung!$D$22)&gt;=B61)))*((G61-IFERROR(H61,0))/IFERROR(SUMPRODUCT((Besatzung!$B$11:$B$22&lt;&gt;"")*(IF(Besatzung!$C$11:$C$22="",Besatzung!$B$5,Besatzung!$C$11:$C$22)&lt;=B61)*(IF(Besatzung!$D$11:$D$22="",Besatzung!$B$6,Besatzung!$D$11:$D$22)&gt;=B61)),1)+(Besatzung!$F$22="x")*IFERROR(H61,0)/IFERROR(SUMPRODUCT((Besatzung!$B$11:$B$22&lt;&gt;"")*(Besatzung!$F$11:$F$22="x")*(IF(Besatzung!$C$11:$C$22="",Besatzung!$B$5,Besatzung!$C$11:$C$22)&lt;=B61)*(IF(Besatzung!$D$11:$D$22="",Besatzung!$B$6,Besatzung!$D$11:$D$22)&gt;=B61)),1))),IF(I61="Individuell",((U61="x")*((G61-IFERROR(H61,0))/IFERROR(COUNTIF(J61:U61,"x"),1)+(Besatzung!$F$22="x")*IFERROR(H61,0)/IFERROR(SUMPRODUCT((J61:U61="x")*(Besatzung!$F$11:$F$22="x")),1))),(IF(COUNTIF(J61:U61,"x")=0,IF(Besatzung!$B$22&lt;&gt;"",1,0),(U61="x"))*(G61-IFERROR(H61,0))/IFERROR(IF(COUNTIF(J61:U61,"x")=0,COUNTA(Besatzung!$B$11:$B$22),COUNTIF(J61:U61,"x")),1)+IF(COUNTIF(J61:U61,"x")=0,(Besatzung!$F$22="x"),(U61="x")*(Besatzung!$F$22="x"))*IFERROR(H61,0)/IFERROR(IF(COUNTIF(J61:U61,"x")=0,SUMPRODUCT((Besatzung!$B$11:$B$22&lt;&gt;"")*(Besatzung!$F$11:$F$22="x")),SUMPRODUCT((J61:U61="x")*(Besatzung!$F$11:$F$22="x"))),1))))),0))))</f>
        <v/>
      </c>
      <c r="AH61" s="248" t="n"/>
      <c r="AI61" s="248" t="n"/>
    </row>
    <row r="62" ht="21.75" customHeight="1" s="154">
      <c r="A62" s="238">
        <f>IF(AND(D62="",C62=""),"",59)</f>
        <v/>
      </c>
      <c r="B62" s="199" t="n"/>
      <c r="C62" s="239" t="n"/>
      <c r="D62" s="240" t="n"/>
      <c r="E62" s="241" t="n"/>
      <c r="F62" s="242" t="n"/>
      <c r="G62" s="243" t="n"/>
      <c r="H62" s="244" t="n"/>
      <c r="I62" s="245" t="n"/>
      <c r="J62" s="246" t="n"/>
      <c r="K62" s="246" t="n"/>
      <c r="L62" s="246" t="n"/>
      <c r="M62" s="246" t="n"/>
      <c r="N62" s="246" t="n"/>
      <c r="O62" s="246" t="n"/>
      <c r="P62" s="246" t="n"/>
      <c r="Q62" s="246" t="n"/>
      <c r="R62" s="246" t="n"/>
      <c r="S62" s="246" t="n"/>
      <c r="T62" s="246" t="n"/>
      <c r="U62" s="246" t="n"/>
      <c r="V62" s="247">
        <f>IF(C62="Gutschrift","",IF(G62="","",IF(Besatzung!$B$11="","",IFERROR(IF(I62="Zeitanteilig",(Besatzung!$G$11*(G62-IFERROR(H62,0))+((Besatzung!$B$11&lt;&gt;"")*IF(B62="",1,(IF(Besatzung!$C$11="",Besatzung!$B$5,Besatzung!$C$11)&lt;=B62)*(IF(Besatzung!$D$11="",Besatzung!$B$6,Besatzung!$D$11)&gt;=B62)))*(Besatzung!$F$11="x")*IFERROR(H62,0)/IFERROR(SUMPRODUCT((Besatzung!$B$11:$B$22&lt;&gt;"")*(Besatzung!$F$11:$F$22="x")*(IF(Besatzung!$C$11:$C$22="",Besatzung!$B$5,Besatzung!$C$11:$C$22)&lt;=B62)*(IF(Besatzung!$D$11:$D$22="",Besatzung!$B$6,Besatzung!$D$11:$D$22)&gt;=B62)),1)),IF(I62="An Bord",(((Besatzung!$B$11&lt;&gt;"")*IF(B62="",1,(IF(Besatzung!$C$11="",Besatzung!$B$5,Besatzung!$C$11)&lt;=B62)*(IF(Besatzung!$D$11="",Besatzung!$B$6,Besatzung!$D$11)&gt;=B62)))*((G62-IFERROR(H62,0))/IFERROR(SUMPRODUCT((Besatzung!$B$11:$B$22&lt;&gt;"")*(IF(Besatzung!$C$11:$C$22="",Besatzung!$B$5,Besatzung!$C$11:$C$22)&lt;=B62)*(IF(Besatzung!$D$11:$D$22="",Besatzung!$B$6,Besatzung!$D$11:$D$22)&gt;=B62)),1)+(Besatzung!$F$11="x")*IFERROR(H62,0)/IFERROR(SUMPRODUCT((Besatzung!$B$11:$B$22&lt;&gt;"")*(Besatzung!$F$11:$F$22="x")*(IF(Besatzung!$C$11:$C$22="",Besatzung!$B$5,Besatzung!$C$11:$C$22)&lt;=B62)*(IF(Besatzung!$D$11:$D$22="",Besatzung!$B$6,Besatzung!$D$11:$D$22)&gt;=B62)),1))),IF(I62="Individuell",((J62="x")*((G62-IFERROR(H62,0))/IFERROR(COUNTIF(J62:U62,"x"),1)+(Besatzung!$F$11="x")*IFERROR(H62,0)/IFERROR(SUMPRODUCT((J62:U62="x")*(Besatzung!$F$11:$F$22="x")),1))),(IF(COUNTIF(J62:U62,"x")=0,IF(Besatzung!$B$11&lt;&gt;"",1,0),(J62="x"))*(G62-IFERROR(H62,0))/IFERROR(IF(COUNTIF(J62:U62,"x")=0,COUNTA(Besatzung!$B$11:$B$22),COUNTIF(J62:U62,"x")),1)+IF(COUNTIF(J62:U62,"x")=0,(Besatzung!$F$11="x"),(J62="x")*(Besatzung!$F$11="x"))*IFERROR(H62,0)/IFERROR(IF(COUNTIF(J62:U62,"x")=0,SUMPRODUCT((Besatzung!$B$11:$B$22&lt;&gt;"")*(Besatzung!$F$11:$F$22="x")),SUMPRODUCT((J62:U62="x")*(Besatzung!$F$11:$F$22="x"))),1))))),0))))</f>
        <v/>
      </c>
      <c r="W62" s="247">
        <f>IF(C62="Gutschrift","",IF(G62="","",IF(Besatzung!$B$12="","",IFERROR(IF(I62="Zeitanteilig",(Besatzung!$G$12*(G62-IFERROR(H62,0))+((Besatzung!$B$12&lt;&gt;"")*IF(B62="",1,(IF(Besatzung!$C$12="",Besatzung!$B$5,Besatzung!$C$12)&lt;=B62)*(IF(Besatzung!$D$12="",Besatzung!$B$6,Besatzung!$D$12)&gt;=B62)))*(Besatzung!$F$12="x")*IFERROR(H62,0)/IFERROR(SUMPRODUCT((Besatzung!$B$11:$B$22&lt;&gt;"")*(Besatzung!$F$11:$F$22="x")*(IF(Besatzung!$C$11:$C$22="",Besatzung!$B$5,Besatzung!$C$11:$C$22)&lt;=B62)*(IF(Besatzung!$D$11:$D$22="",Besatzung!$B$6,Besatzung!$D$11:$D$22)&gt;=B62)),1)),IF(I62="An Bord",(((Besatzung!$B$12&lt;&gt;"")*IF(B62="",1,(IF(Besatzung!$C$12="",Besatzung!$B$5,Besatzung!$C$12)&lt;=B62)*(IF(Besatzung!$D$12="",Besatzung!$B$6,Besatzung!$D$12)&gt;=B62)))*((G62-IFERROR(H62,0))/IFERROR(SUMPRODUCT((Besatzung!$B$11:$B$22&lt;&gt;"")*(IF(Besatzung!$C$11:$C$22="",Besatzung!$B$5,Besatzung!$C$11:$C$22)&lt;=B62)*(IF(Besatzung!$D$11:$D$22="",Besatzung!$B$6,Besatzung!$D$11:$D$22)&gt;=B62)),1)+(Besatzung!$F$12="x")*IFERROR(H62,0)/IFERROR(SUMPRODUCT((Besatzung!$B$11:$B$22&lt;&gt;"")*(Besatzung!$F$11:$F$22="x")*(IF(Besatzung!$C$11:$C$22="",Besatzung!$B$5,Besatzung!$C$11:$C$22)&lt;=B62)*(IF(Besatzung!$D$11:$D$22="",Besatzung!$B$6,Besatzung!$D$11:$D$22)&gt;=B62)),1))),IF(I62="Individuell",((K62="x")*((G62-IFERROR(H62,0))/IFERROR(COUNTIF(J62:U62,"x"),1)+(Besatzung!$F$12="x")*IFERROR(H62,0)/IFERROR(SUMPRODUCT((J62:U62="x")*(Besatzung!$F$11:$F$22="x")),1))),(IF(COUNTIF(J62:U62,"x")=0,IF(Besatzung!$B$12&lt;&gt;"",1,0),(K62="x"))*(G62-IFERROR(H62,0))/IFERROR(IF(COUNTIF(J62:U62,"x")=0,COUNTA(Besatzung!$B$11:$B$22),COUNTIF(J62:U62,"x")),1)+IF(COUNTIF(J62:U62,"x")=0,(Besatzung!$F$12="x"),(K62="x")*(Besatzung!$F$12="x"))*IFERROR(H62,0)/IFERROR(IF(COUNTIF(J62:U62,"x")=0,SUMPRODUCT((Besatzung!$B$11:$B$22&lt;&gt;"")*(Besatzung!$F$11:$F$22="x")),SUMPRODUCT((J62:U62="x")*(Besatzung!$F$11:$F$22="x"))),1))))),0))))</f>
        <v/>
      </c>
      <c r="X62" s="247">
        <f>IF(C62="Gutschrift","",IF(G62="","",IF(Besatzung!$B$13="","",IFERROR(IF(I62="Zeitanteilig",(Besatzung!$G$13*(G62-IFERROR(H62,0))+((Besatzung!$B$13&lt;&gt;"")*IF(B62="",1,(IF(Besatzung!$C$13="",Besatzung!$B$5,Besatzung!$C$13)&lt;=B62)*(IF(Besatzung!$D$13="",Besatzung!$B$6,Besatzung!$D$13)&gt;=B62)))*(Besatzung!$F$13="x")*IFERROR(H62,0)/IFERROR(SUMPRODUCT((Besatzung!$B$11:$B$22&lt;&gt;"")*(Besatzung!$F$11:$F$22="x")*(IF(Besatzung!$C$11:$C$22="",Besatzung!$B$5,Besatzung!$C$11:$C$22)&lt;=B62)*(IF(Besatzung!$D$11:$D$22="",Besatzung!$B$6,Besatzung!$D$11:$D$22)&gt;=B62)),1)),IF(I62="An Bord",(((Besatzung!$B$13&lt;&gt;"")*IF(B62="",1,(IF(Besatzung!$C$13="",Besatzung!$B$5,Besatzung!$C$13)&lt;=B62)*(IF(Besatzung!$D$13="",Besatzung!$B$6,Besatzung!$D$13)&gt;=B62)))*((G62-IFERROR(H62,0))/IFERROR(SUMPRODUCT((Besatzung!$B$11:$B$22&lt;&gt;"")*(IF(Besatzung!$C$11:$C$22="",Besatzung!$B$5,Besatzung!$C$11:$C$22)&lt;=B62)*(IF(Besatzung!$D$11:$D$22="",Besatzung!$B$6,Besatzung!$D$11:$D$22)&gt;=B62)),1)+(Besatzung!$F$13="x")*IFERROR(H62,0)/IFERROR(SUMPRODUCT((Besatzung!$B$11:$B$22&lt;&gt;"")*(Besatzung!$F$11:$F$22="x")*(IF(Besatzung!$C$11:$C$22="",Besatzung!$B$5,Besatzung!$C$11:$C$22)&lt;=B62)*(IF(Besatzung!$D$11:$D$22="",Besatzung!$B$6,Besatzung!$D$11:$D$22)&gt;=B62)),1))),IF(I62="Individuell",((K62="x")*((G62-IFERROR(H62,0))/IFERROR(COUNTIF(J62:U62,"x"),1)+(Besatzung!$F$13="x")*IFERROR(H62,0)/IFERROR(SUMPRODUCT((J62:U62="x")*(Besatzung!$F$11:$F$22="x")),1))),(IF(COUNTIF(J62:U62,"x")=0,IF(Besatzung!$B$13&lt;&gt;"",1,0),(K62="x"))*(G62-IFERROR(H62,0))/IFERROR(IF(COUNTIF(J62:U62,"x")=0,COUNTA(Besatzung!$B$11:$B$22),COUNTIF(J62:U62,"x")),1)+IF(COUNTIF(J62:U62,"x")=0,(Besatzung!$F$13="x"),(K62="x")*(Besatzung!$F$13="x"))*IFERROR(H62,0)/IFERROR(IF(COUNTIF(J62:U62,"x")=0,SUMPRODUCT((Besatzung!$B$11:$B$22&lt;&gt;"")*(Besatzung!$F$11:$F$22="x")),SUMPRODUCT((J62:U62="x")*(Besatzung!$F$11:$F$22="x"))),1))))),0))))</f>
        <v/>
      </c>
      <c r="Y62" s="247">
        <f>IF(C62="Gutschrift","",IF(G62="","",IF(Besatzung!$B$14="","",IFERROR(IF(I62="Zeitanteilig",(Besatzung!$G$14*(G62-IFERROR(H62,0))+((Besatzung!$B$14&lt;&gt;"")*IF(B62="",1,(IF(Besatzung!$C$14="",Besatzung!$B$5,Besatzung!$C$14)&lt;=B62)*(IF(Besatzung!$D$14="",Besatzung!$B$6,Besatzung!$D$14)&gt;=B62)))*(Besatzung!$F$14="x")*IFERROR(H62,0)/IFERROR(SUMPRODUCT((Besatzung!$B$11:$B$22&lt;&gt;"")*(Besatzung!$F$11:$F$22="x")*(IF(Besatzung!$C$11:$C$22="",Besatzung!$B$5,Besatzung!$C$11:$C$22)&lt;=B62)*(IF(Besatzung!$D$11:$D$22="",Besatzung!$B$6,Besatzung!$D$11:$D$22)&gt;=B62)),1)),IF(I62="An Bord",(((Besatzung!$B$14&lt;&gt;"")*IF(B62="",1,(IF(Besatzung!$C$14="",Besatzung!$B$5,Besatzung!$C$14)&lt;=B62)*(IF(Besatzung!$D$14="",Besatzung!$B$6,Besatzung!$D$14)&gt;=B62)))*((G62-IFERROR(H62,0))/IFERROR(SUMPRODUCT((Besatzung!$B$11:$B$22&lt;&gt;"")*(IF(Besatzung!$C$11:$C$22="",Besatzung!$B$5,Besatzung!$C$11:$C$22)&lt;=B62)*(IF(Besatzung!$D$11:$D$22="",Besatzung!$B$6,Besatzung!$D$11:$D$22)&gt;=B62)),1)+(Besatzung!$F$14="x")*IFERROR(H62,0)/IFERROR(SUMPRODUCT((Besatzung!$B$11:$B$22&lt;&gt;"")*(Besatzung!$F$11:$F$22="x")*(IF(Besatzung!$C$11:$C$22="",Besatzung!$B$5,Besatzung!$C$11:$C$22)&lt;=B62)*(IF(Besatzung!$D$11:$D$22="",Besatzung!$B$6,Besatzung!$D$11:$D$22)&gt;=B62)),1))),IF(I62="Individuell",((M62="x")*((G62-IFERROR(H62,0))/IFERROR(COUNTIF(J62:U62,"x"),1)+(Besatzung!$F$14="x")*IFERROR(H62,0)/IFERROR(SUMPRODUCT((J62:U62="x")*(Besatzung!$F$11:$F$22="x")),1))),(IF(COUNTIF(J62:U62,"x")=0,IF(Besatzung!$B$14&lt;&gt;"",1,0),(M62="x"))*(G62-IFERROR(H62,0))/IFERROR(IF(COUNTIF(J62:U62,"x")=0,COUNTA(Besatzung!$B$11:$B$22),COUNTIF(J62:U62,"x")),1)+IF(COUNTIF(J62:U62,"x")=0,(Besatzung!$F$14="x"),(M62="x")*(Besatzung!$F$14="x"))*IFERROR(H62,0)/IFERROR(IF(COUNTIF(J62:U62,"x")=0,SUMPRODUCT((Besatzung!$B$11:$B$22&lt;&gt;"")*(Besatzung!$F$11:$F$22="x")),SUMPRODUCT((J62:U62="x")*(Besatzung!$F$11:$F$22="x"))),1))))),0))))</f>
        <v/>
      </c>
      <c r="Z62" s="247">
        <f>IF(C62="Gutschrift","",IF(G62="","",IF(Besatzung!$B$13="","",IFERROR(IF(I62="Zeitanteilig",(Besatzung!$G$15*(G62-IFERROR(H62,0))+((Besatzung!$B$13&lt;&gt;"")*IF(B62="",1,(IF(Besatzung!$C$15="",Besatzung!$B$5,Besatzung!$C$15)&lt;=B62)*(IF(Besatzung!$D$15="",Besatzung!$B$6,Besatzung!$D$15)&gt;=B62)))*(Besatzung!$F$15="x")*IFERROR(H62,0)/IFERROR(SUMPRODUCT((Besatzung!$B$11:$B$22&lt;&gt;"")*(Besatzung!$F$11:$F$22="x")*(IF(Besatzung!$C$11:$C$22="",Besatzung!$B$5,Besatzung!$C$11:$C$22)&lt;=B62)*(IF(Besatzung!$D$11:$D$22="",Besatzung!$B$6,Besatzung!$D$11:$D$22)&gt;=B62)),1)),IF(I62="An Bord",(((Besatzung!$B$13&lt;&gt;"")*IF(B62="",1,(IF(Besatzung!$C$15="",Besatzung!$B$5,Besatzung!$C$15)&lt;=B62)*(IF(Besatzung!$D$15="",Besatzung!$B$6,Besatzung!$D$15)&gt;=B62)))*((G62-IFERROR(H62,0))/IFERROR(SUMPRODUCT((Besatzung!$B$11:$B$22&lt;&gt;"")*(IF(Besatzung!$C$11:$C$22="",Besatzung!$B$5,Besatzung!$C$11:$C$22)&lt;=B62)*(IF(Besatzung!$D$11:$D$22="",Besatzung!$B$6,Besatzung!$D$11:$D$22)&gt;=B62)),1)+(Besatzung!$F$15="x")*IFERROR(H62,0)/IFERROR(SUMPRODUCT((Besatzung!$B$11:$B$22&lt;&gt;"")*(Besatzung!$F$11:$F$22="x")*(IF(Besatzung!$C$11:$C$22="",Besatzung!$B$5,Besatzung!$C$11:$C$22)&lt;=B62)*(IF(Besatzung!$D$11:$D$22="",Besatzung!$B$6,Besatzung!$D$11:$D$22)&gt;=B62)),1))),IF(I62="Individuell",((N62="x")*((G62-IFERROR(H62,0))/IFERROR(COUNTIF(J62:U62,"x"),1)+(Besatzung!$F$15="x")*IFERROR(H62,0)/IFERROR(SUMPRODUCT((J62:U62="x")*(Besatzung!$F$11:$F$22="x")),1))),(IF(COUNTIF(J62:U62,"x")=0,IF(Besatzung!$B$13&lt;&gt;"",1,0),(N62="x"))*(G62-IFERROR(H62,0))/IFERROR(IF(COUNTIF(J62:U62,"x")=0,COUNTA(Besatzung!$B$11:$B$22),COUNTIF(J62:U62,"x")),1)+IF(COUNTIF(J62:U62,"x")=0,(Besatzung!$F$15="x"),(N62="x")*(Besatzung!$F$15="x"))*IFERROR(H62,0)/IFERROR(IF(COUNTIF(J62:U62,"x")=0,SUMPRODUCT((Besatzung!$B$11:$B$22&lt;&gt;"")*(Besatzung!$F$11:$F$22="x")),SUMPRODUCT((J62:U62="x")*(Besatzung!$F$11:$F$22="x"))),1))))),0))))</f>
        <v/>
      </c>
      <c r="AA62" s="247">
        <f>IF(C62="Gutschrift","",IF(G62="","",IF(Besatzung!$B$15="","",IFERROR(IF(I62="Zeitanteilig",(Besatzung!$G$16*(G62-IFERROR(H62,0))+((Besatzung!$B$15&lt;&gt;"")*IF(B62="",1,(IF(Besatzung!$C$16="",Besatzung!$B$5,Besatzung!$C$16)&lt;=B62)*(IF(Besatzung!$D$16="",Besatzung!$B$6,Besatzung!$D$16)&gt;=B62)))*(Besatzung!$F$16="x")*IFERROR(H62,0)/IFERROR(SUMPRODUCT((Besatzung!$B$11:$B$22&lt;&gt;"")*(Besatzung!$F$11:$F$22="x")*(IF(Besatzung!$C$11:$C$22="",Besatzung!$B$5,Besatzung!$C$11:$C$22)&lt;=B62)*(IF(Besatzung!$D$11:$D$22="",Besatzung!$B$6,Besatzung!$D$11:$D$22)&gt;=B62)),1)),IF(I62="An Bord",(((Besatzung!$B$15&lt;&gt;"")*IF(B62="",1,(IF(Besatzung!$C$16="",Besatzung!$B$5,Besatzung!$C$16)&lt;=B62)*(IF(Besatzung!$D$16="",Besatzung!$B$6,Besatzung!$D$16)&gt;=B62)))*((G62-IFERROR(H62,0))/IFERROR(SUMPRODUCT((Besatzung!$B$11:$B$22&lt;&gt;"")*(IF(Besatzung!$C$11:$C$22="",Besatzung!$B$5,Besatzung!$C$11:$C$22)&lt;=B62)*(IF(Besatzung!$D$11:$D$22="",Besatzung!$B$6,Besatzung!$D$11:$D$22)&gt;=B62)),1)+(Besatzung!$F$16="x")*IFERROR(H62,0)/IFERROR(SUMPRODUCT((Besatzung!$B$11:$B$22&lt;&gt;"")*(Besatzung!$F$11:$F$22="x")*(IF(Besatzung!$C$11:$C$22="",Besatzung!$B$5,Besatzung!$C$11:$C$22)&lt;=B62)*(IF(Besatzung!$D$11:$D$22="",Besatzung!$B$6,Besatzung!$D$11:$D$22)&gt;=B62)),1))),IF(I62="Individuell",((O62="x")*((G62-IFERROR(H62,0))/IFERROR(COUNTIF(J62:U62,"x"),1)+(Besatzung!$F$16="x")*IFERROR(H62,0)/IFERROR(SUMPRODUCT((J62:U62="x")*(Besatzung!$F$11:$F$22="x")),1))),(IF(COUNTIF(J62:U62,"x")=0,IF(Besatzung!$B$15&lt;&gt;"",1,0),(O62="x"))*(G62-IFERROR(H62,0))/IFERROR(IF(COUNTIF(J62:U62,"x")=0,COUNTA(Besatzung!$B$11:$B$22),COUNTIF(J62:U62,"x")),1)+IF(COUNTIF(J62:U62,"x")=0,(Besatzung!$F$16="x"),(O62="x")*(Besatzung!$F$16="x"))*IFERROR(H62,0)/IFERROR(IF(COUNTIF(J62:U62,"x")=0,SUMPRODUCT((Besatzung!$B$11:$B$22&lt;&gt;"")*(Besatzung!$F$11:$F$22="x")),SUMPRODUCT((J62:U62="x")*(Besatzung!$F$11:$F$22="x"))),1))))),0))))</f>
        <v/>
      </c>
      <c r="AB62" s="247">
        <f>IF(C62="Gutschrift","",IF(G62="","",IF(Besatzung!$B$17="","",IFERROR(IF(I62="Zeitanteilig",(Besatzung!$G$17*(G62-IFERROR(H62,0))+((Besatzung!$B$17&lt;&gt;"")*IF(B62="",1,(IF(Besatzung!$C$17="",Besatzung!$B$5,Besatzung!$C$17)&lt;=B62)*(IF(Besatzung!$D$17="",Besatzung!$B$6,Besatzung!$D$17)&gt;=B62)))*(Besatzung!$F$17="x")*IFERROR(H62,0)/IFERROR(SUMPRODUCT((Besatzung!$B$11:$B$22&lt;&gt;"")*(Besatzung!$F$11:$F$22="x")*(IF(Besatzung!$C$11:$C$22="",Besatzung!$B$5,Besatzung!$C$11:$C$22)&lt;=B62)*(IF(Besatzung!$D$11:$D$22="",Besatzung!$B$6,Besatzung!$D$11:$D$22)&gt;=B62)),1)),IF(I62="An Bord",(((Besatzung!$B$17&lt;&gt;"")*IF(B62="",1,(IF(Besatzung!$C$17="",Besatzung!$B$5,Besatzung!$C$17)&lt;=B62)*(IF(Besatzung!$D$17="",Besatzung!$B$6,Besatzung!$D$17)&gt;=B62)))*((G62-IFERROR(H62,0))/IFERROR(SUMPRODUCT((Besatzung!$B$11:$B$22&lt;&gt;"")*(IF(Besatzung!$C$11:$C$22="",Besatzung!$B$5,Besatzung!$C$11:$C$22)&lt;=B62)*(IF(Besatzung!$D$11:$D$22="",Besatzung!$B$6,Besatzung!$D$11:$D$22)&gt;=B62)),1)+(Besatzung!$F$17="x")*IFERROR(H62,0)/IFERROR(SUMPRODUCT((Besatzung!$B$11:$B$22&lt;&gt;"")*(Besatzung!$F$11:$F$22="x")*(IF(Besatzung!$C$11:$C$22="",Besatzung!$B$5,Besatzung!$C$11:$C$22)&lt;=B62)*(IF(Besatzung!$D$11:$D$22="",Besatzung!$B$6,Besatzung!$D$11:$D$22)&gt;=B62)),1))),IF(I62="Individuell",((P62="x")*((G62-IFERROR(H62,0))/IFERROR(COUNTIF(J62:U62,"x"),1)+(Besatzung!$F$17="x")*IFERROR(H62,0)/IFERROR(SUMPRODUCT((J62:U62="x")*(Besatzung!$F$11:$F$22="x")),1))),(IF(COUNTIF(J62:U62,"x")=0,IF(Besatzung!$B$17&lt;&gt;"",1,0),(P62="x"))*(G62-IFERROR(H62,0))/IFERROR(IF(COUNTIF(J62:U62,"x")=0,COUNTA(Besatzung!$B$11:$B$22),COUNTIF(J62:U62,"x")),1)+IF(COUNTIF(J62:U62,"x")=0,(Besatzung!$F$17="x"),(P62="x")*(Besatzung!$F$17="x"))*IFERROR(H62,0)/IFERROR(IF(COUNTIF(J62:U62,"x")=0,SUMPRODUCT((Besatzung!$B$11:$B$22&lt;&gt;"")*(Besatzung!$F$11:$F$22="x")),SUMPRODUCT((J62:U62="x")*(Besatzung!$F$11:$F$22="x"))),1))))),0))))</f>
        <v/>
      </c>
      <c r="AC62" s="247">
        <f>IF(C62="Gutschrift","",IF(G62="","",IF(Besatzung!$B$18="","",IFERROR(IF(I62="Zeitanteilig",(Besatzung!$G$18*(G62-IFERROR(H62,0))+((Besatzung!$B$18&lt;&gt;"")*IF(B62="",1,(IF(Besatzung!$C$18="",Besatzung!$B$5,Besatzung!$C$18)&lt;=B62)*(IF(Besatzung!$D$18="",Besatzung!$B$6,Besatzung!$D$18)&gt;=B62)))*(Besatzung!$F$18="x")*IFERROR(H62,0)/IFERROR(SUMPRODUCT((Besatzung!$B$11:$B$22&lt;&gt;"")*(Besatzung!$F$11:$F$22="x")*(IF(Besatzung!$C$11:$C$22="",Besatzung!$B$5,Besatzung!$C$11:$C$22)&lt;=B62)*(IF(Besatzung!$D$11:$D$22="",Besatzung!$B$6,Besatzung!$D$11:$D$22)&gt;=B62)),1)),IF(I62="An Bord",(((Besatzung!$B$18&lt;&gt;"")*IF(B62="",1,(IF(Besatzung!$C$18="",Besatzung!$B$5,Besatzung!$C$18)&lt;=B62)*(IF(Besatzung!$D$18="",Besatzung!$B$6,Besatzung!$D$18)&gt;=B62)))*((G62-IFERROR(H62,0))/IFERROR(SUMPRODUCT((Besatzung!$B$11:$B$22&lt;&gt;"")*(IF(Besatzung!$C$11:$C$22="",Besatzung!$B$5,Besatzung!$C$11:$C$22)&lt;=B62)*(IF(Besatzung!$D$11:$D$22="",Besatzung!$B$6,Besatzung!$D$11:$D$22)&gt;=B62)),1)+(Besatzung!$F$18="x")*IFERROR(H62,0)/IFERROR(SUMPRODUCT((Besatzung!$B$11:$B$22&lt;&gt;"")*(Besatzung!$F$11:$F$22="x")*(IF(Besatzung!$C$11:$C$22="",Besatzung!$B$5,Besatzung!$C$11:$C$22)&lt;=B62)*(IF(Besatzung!$D$11:$D$22="",Besatzung!$B$6,Besatzung!$D$11:$D$22)&gt;=B62)),1))),IF(I62="Individuell",((Q62="x")*((G62-IFERROR(H62,0))/IFERROR(COUNTIF(J62:U62,"x"),1)+(Besatzung!$F$18="x")*IFERROR(H62,0)/IFERROR(SUMPRODUCT((J62:U62="x")*(Besatzung!$F$11:$F$22="x")),1))),(IF(COUNTIF(J62:U62,"x")=0,IF(Besatzung!$B$18&lt;&gt;"",1,0),(Q62="x"))*(G62-IFERROR(H62,0))/IFERROR(IF(COUNTIF(J62:U62,"x")=0,COUNTA(Besatzung!$B$11:$B$22),COUNTIF(J62:U62,"x")),1)+IF(COUNTIF(J62:U62,"x")=0,(Besatzung!$F$18="x"),(Q62="x")*(Besatzung!$F$18="x"))*IFERROR(H62,0)/IFERROR(IF(COUNTIF(J62:U62,"x")=0,SUMPRODUCT((Besatzung!$B$11:$B$22&lt;&gt;"")*(Besatzung!$F$11:$F$22="x")),SUMPRODUCT((J62:U62="x")*(Besatzung!$F$11:$F$22="x"))),1))))),0))))</f>
        <v/>
      </c>
      <c r="AD62" s="247">
        <f>IF(C62="Gutschrift","",IF(G62="","",IF(Besatzung!$B$19="","",IFERROR(IF(I62="Zeitanteilig",(Besatzung!$G$19*(G62-IFERROR(H62,0))+((Besatzung!$B$19&lt;&gt;"")*IF(B62="",1,(IF(Besatzung!$C$19="",Besatzung!$B$5,Besatzung!$C$19)&lt;=B62)*(IF(Besatzung!$D$19="",Besatzung!$B$6,Besatzung!$D$19)&gt;=B62)))*(Besatzung!$F$19="x")*IFERROR(H62,0)/IFERROR(SUMPRODUCT((Besatzung!$B$11:$B$22&lt;&gt;"")*(Besatzung!$F$11:$F$22="x")*(IF(Besatzung!$C$11:$C$22="",Besatzung!$B$5,Besatzung!$C$11:$C$22)&lt;=B62)*(IF(Besatzung!$D$11:$D$22="",Besatzung!$B$6,Besatzung!$D$11:$D$22)&gt;=B62)),1)),IF(I62="An Bord",(((Besatzung!$B$19&lt;&gt;"")*IF(B62="",1,(IF(Besatzung!$C$19="",Besatzung!$B$5,Besatzung!$C$19)&lt;=B62)*(IF(Besatzung!$D$19="",Besatzung!$B$6,Besatzung!$D$19)&gt;=B62)))*((G62-IFERROR(H62,0))/IFERROR(SUMPRODUCT((Besatzung!$B$11:$B$22&lt;&gt;"")*(IF(Besatzung!$C$11:$C$22="",Besatzung!$B$5,Besatzung!$C$11:$C$22)&lt;=B62)*(IF(Besatzung!$D$11:$D$22="",Besatzung!$B$6,Besatzung!$D$11:$D$22)&gt;=B62)),1)+(Besatzung!$F$19="x")*IFERROR(H62,0)/IFERROR(SUMPRODUCT((Besatzung!$B$11:$B$22&lt;&gt;"")*(Besatzung!$F$11:$F$22="x")*(IF(Besatzung!$C$11:$C$22="",Besatzung!$B$5,Besatzung!$C$11:$C$22)&lt;=B62)*(IF(Besatzung!$D$11:$D$22="",Besatzung!$B$6,Besatzung!$D$11:$D$22)&gt;=B62)),1))),IF(I62="Individuell",((R62="x")*((G62-IFERROR(H62,0))/IFERROR(COUNTIF(J62:U62,"x"),1)+(Besatzung!$F$19="x")*IFERROR(H62,0)/IFERROR(SUMPRODUCT((J62:U62="x")*(Besatzung!$F$11:$F$22="x")),1))),(IF(COUNTIF(J62:U62,"x")=0,IF(Besatzung!$B$19&lt;&gt;"",1,0),(R62="x"))*(G62-IFERROR(H62,0))/IFERROR(IF(COUNTIF(J62:U62,"x")=0,COUNTA(Besatzung!$B$11:$B$22),COUNTIF(J62:U62,"x")),1)+IF(COUNTIF(J62:U62,"x")=0,(Besatzung!$F$19="x"),(R62="x")*(Besatzung!$F$19="x"))*IFERROR(H62,0)/IFERROR(IF(COUNTIF(J62:U62,"x")=0,SUMPRODUCT((Besatzung!$B$11:$B$22&lt;&gt;"")*(Besatzung!$F$11:$F$22="x")),SUMPRODUCT((J62:U62="x")*(Besatzung!$F$11:$F$22="x"))),1))))),0))))</f>
        <v/>
      </c>
      <c r="AE62" s="247">
        <f>IF(C62="Gutschrift","",IF(G62="","",IF(Besatzung!$B$20="","",IFERROR(IF(I62="Zeitanteilig",(Besatzung!$G$20*(G62-IFERROR(H62,0))+((Besatzung!$B$20&lt;&gt;"")*IF(B62="",1,(IF(Besatzung!$C$20="",Besatzung!$B$5,Besatzung!$C$20)&lt;=B62)*(IF(Besatzung!$D$20="",Besatzung!$B$6,Besatzung!$D$20)&gt;=B62)))*(Besatzung!$F$20="x")*IFERROR(H62,0)/IFERROR(SUMPRODUCT((Besatzung!$B$11:$B$22&lt;&gt;"")*(Besatzung!$F$11:$F$22="x")*(IF(Besatzung!$C$11:$C$22="",Besatzung!$B$5,Besatzung!$C$11:$C$22)&lt;=B62)*(IF(Besatzung!$D$11:$D$22="",Besatzung!$B$6,Besatzung!$D$11:$D$22)&gt;=B62)),1)),IF(I62="An Bord",(((Besatzung!$B$20&lt;&gt;"")*IF(B62="",1,(IF(Besatzung!$C$20="",Besatzung!$B$5,Besatzung!$C$20)&lt;=B62)*(IF(Besatzung!$D$20="",Besatzung!$B$6,Besatzung!$D$20)&gt;=B62)))*((G62-IFERROR(H62,0))/IFERROR(SUMPRODUCT((Besatzung!$B$11:$B$22&lt;&gt;"")*(IF(Besatzung!$C$11:$C$22="",Besatzung!$B$5,Besatzung!$C$11:$C$22)&lt;=B62)*(IF(Besatzung!$D$11:$D$22="",Besatzung!$B$6,Besatzung!$D$11:$D$22)&gt;=B62)),1)+(Besatzung!$F$20="x")*IFERROR(H62,0)/IFERROR(SUMPRODUCT((Besatzung!$B$11:$B$22&lt;&gt;"")*(Besatzung!$F$11:$F$22="x")*(IF(Besatzung!$C$11:$C$22="",Besatzung!$B$5,Besatzung!$C$11:$C$22)&lt;=B62)*(IF(Besatzung!$D$11:$D$22="",Besatzung!$B$6,Besatzung!$D$11:$D$22)&gt;=B62)),1))),IF(I62="Individuell",((S62="x")*((G62-IFERROR(H62,0))/IFERROR(COUNTIF(J62:U62,"x"),1)+(Besatzung!$F$20="x")*IFERROR(H62,0)/IFERROR(SUMPRODUCT((J62:U62="x")*(Besatzung!$F$11:$F$22="x")),1))),(IF(COUNTIF(J62:U62,"x")=0,IF(Besatzung!$B$20&lt;&gt;"",1,0),(S62="x"))*(G62-IFERROR(H62,0))/IFERROR(IF(COUNTIF(J62:U62,"x")=0,COUNTA(Besatzung!$B$11:$B$22),COUNTIF(J62:U62,"x")),1)+IF(COUNTIF(J62:U62,"x")=0,(Besatzung!$F$20="x"),(S62="x")*(Besatzung!$F$20="x"))*IFERROR(H62,0)/IFERROR(IF(COUNTIF(J62:U62,"x")=0,SUMPRODUCT((Besatzung!$B$11:$B$22&lt;&gt;"")*(Besatzung!$F$11:$F$22="x")),SUMPRODUCT((J62:U62="x")*(Besatzung!$F$11:$F$22="x"))),1))))),0))))</f>
        <v/>
      </c>
      <c r="AF62" s="247">
        <f>IF(C62="Gutschrift","",IF(G62="","",IF(Besatzung!$B$21="","",IFERROR(IF(I62="Zeitanteilig",(Besatzung!$G$21*(G62-IFERROR(H62,0))+((Besatzung!$B$21&lt;&gt;"")*IF(B62="",1,(IF(Besatzung!$C$21="",Besatzung!$B$5,Besatzung!$C$21)&lt;=B62)*(IF(Besatzung!$D$21="",Besatzung!$B$6,Besatzung!$D$21)&gt;=B62)))*(Besatzung!$F$21="x")*IFERROR(H62,0)/IFERROR(SUMPRODUCT((Besatzung!$B$11:$B$22&lt;&gt;"")*(Besatzung!$F$11:$F$22="x")*(IF(Besatzung!$C$11:$C$22="",Besatzung!$B$5,Besatzung!$C$11:$C$22)&lt;=B62)*(IF(Besatzung!$D$11:$D$22="",Besatzung!$B$6,Besatzung!$D$11:$D$22)&gt;=B62)),1)),IF(I62="An Bord",(((Besatzung!$B$21&lt;&gt;"")*IF(B62="",1,(IF(Besatzung!$C$21="",Besatzung!$B$5,Besatzung!$C$21)&lt;=B62)*(IF(Besatzung!$D$21="",Besatzung!$B$6,Besatzung!$D$21)&gt;=B62)))*((G62-IFERROR(H62,0))/IFERROR(SUMPRODUCT((Besatzung!$B$11:$B$22&lt;&gt;"")*(IF(Besatzung!$C$11:$C$22="",Besatzung!$B$5,Besatzung!$C$11:$C$22)&lt;=B62)*(IF(Besatzung!$D$11:$D$22="",Besatzung!$B$6,Besatzung!$D$11:$D$22)&gt;=B62)),1)+(Besatzung!$F$21="x")*IFERROR(H62,0)/IFERROR(SUMPRODUCT((Besatzung!$B$11:$B$22&lt;&gt;"")*(Besatzung!$F$11:$F$22="x")*(IF(Besatzung!$C$11:$C$22="",Besatzung!$B$5,Besatzung!$C$11:$C$22)&lt;=B62)*(IF(Besatzung!$D$11:$D$22="",Besatzung!$B$6,Besatzung!$D$11:$D$22)&gt;=B62)),1))),IF(I62="Individuell",((T62="x")*((G62-IFERROR(H62,0))/IFERROR(COUNTIF(J62:U62,"x"),1)+(Besatzung!$F$21="x")*IFERROR(H62,0)/IFERROR(SUMPRODUCT((J62:U62="x")*(Besatzung!$F$11:$F$22="x")),1))),(IF(COUNTIF(J62:U62,"x")=0,IF(Besatzung!$B$21&lt;&gt;"",1,0),(T62="x"))*(G62-IFERROR(H62,0))/IFERROR(IF(COUNTIF(J62:U62,"x")=0,COUNTA(Besatzung!$B$11:$B$22),COUNTIF(J62:U62,"x")),1)+IF(COUNTIF(J62:U62,"x")=0,(Besatzung!$F$21="x"),(T62="x")*(Besatzung!$F$21="x"))*IFERROR(H62,0)/IFERROR(IF(COUNTIF(J62:U62,"x")=0,SUMPRODUCT((Besatzung!$B$11:$B$22&lt;&gt;"")*(Besatzung!$F$11:$F$22="x")),SUMPRODUCT((J62:U62="x")*(Besatzung!$F$11:$F$22="x"))),1))))),0))))</f>
        <v/>
      </c>
      <c r="AG62" s="247">
        <f>IF(C62="Gutschrift","",IF(G62="","",IF(Besatzung!$B$22="","",IFERROR(IF(I62="Zeitanteilig",(Besatzung!$G$22*(G62-IFERROR(H62,0))+((Besatzung!$B$22&lt;&gt;"")*IF(B62="",1,(IF(Besatzung!$C$22="",Besatzung!$B$5,Besatzung!$C$22)&lt;=B62)*(IF(Besatzung!$D$22="",Besatzung!$B$6,Besatzung!$D$22)&gt;=B62)))*(Besatzung!$F$22="x")*IFERROR(H62,0)/IFERROR(SUMPRODUCT((Besatzung!$B$11:$B$22&lt;&gt;"")*(Besatzung!$F$11:$F$22="x")*(IF(Besatzung!$C$11:$C$22="",Besatzung!$B$5,Besatzung!$C$11:$C$22)&lt;=B62)*(IF(Besatzung!$D$11:$D$22="",Besatzung!$B$6,Besatzung!$D$11:$D$22)&gt;=B62)),1)),IF(I62="An Bord",(((Besatzung!$B$22&lt;&gt;"")*IF(B62="",1,(IF(Besatzung!$C$22="",Besatzung!$B$5,Besatzung!$C$22)&lt;=B62)*(IF(Besatzung!$D$22="",Besatzung!$B$6,Besatzung!$D$22)&gt;=B62)))*((G62-IFERROR(H62,0))/IFERROR(SUMPRODUCT((Besatzung!$B$11:$B$22&lt;&gt;"")*(IF(Besatzung!$C$11:$C$22="",Besatzung!$B$5,Besatzung!$C$11:$C$22)&lt;=B62)*(IF(Besatzung!$D$11:$D$22="",Besatzung!$B$6,Besatzung!$D$11:$D$22)&gt;=B62)),1)+(Besatzung!$F$22="x")*IFERROR(H62,0)/IFERROR(SUMPRODUCT((Besatzung!$B$11:$B$22&lt;&gt;"")*(Besatzung!$F$11:$F$22="x")*(IF(Besatzung!$C$11:$C$22="",Besatzung!$B$5,Besatzung!$C$11:$C$22)&lt;=B62)*(IF(Besatzung!$D$11:$D$22="",Besatzung!$B$6,Besatzung!$D$11:$D$22)&gt;=B62)),1))),IF(I62="Individuell",((U62="x")*((G62-IFERROR(H62,0))/IFERROR(COUNTIF(J62:U62,"x"),1)+(Besatzung!$F$22="x")*IFERROR(H62,0)/IFERROR(SUMPRODUCT((J62:U62="x")*(Besatzung!$F$11:$F$22="x")),1))),(IF(COUNTIF(J62:U62,"x")=0,IF(Besatzung!$B$22&lt;&gt;"",1,0),(U62="x"))*(G62-IFERROR(H62,0))/IFERROR(IF(COUNTIF(J62:U62,"x")=0,COUNTA(Besatzung!$B$11:$B$22),COUNTIF(J62:U62,"x")),1)+IF(COUNTIF(J62:U62,"x")=0,(Besatzung!$F$22="x"),(U62="x")*(Besatzung!$F$22="x"))*IFERROR(H62,0)/IFERROR(IF(COUNTIF(J62:U62,"x")=0,SUMPRODUCT((Besatzung!$B$11:$B$22&lt;&gt;"")*(Besatzung!$F$11:$F$22="x")),SUMPRODUCT((J62:U62="x")*(Besatzung!$F$11:$F$22="x"))),1))))),0))))</f>
        <v/>
      </c>
      <c r="AH62" s="248" t="n"/>
      <c r="AI62" s="248" t="n"/>
    </row>
    <row r="63" ht="21.75" customHeight="1" s="154">
      <c r="A63" s="238">
        <f>IF(AND(D63="",C63=""),"",60)</f>
        <v/>
      </c>
      <c r="B63" s="206" t="n"/>
      <c r="C63" s="249" t="n"/>
      <c r="D63" s="250" t="n"/>
      <c r="E63" s="251" t="n"/>
      <c r="F63" s="252" t="n"/>
      <c r="G63" s="253" t="n"/>
      <c r="H63" s="254" t="n"/>
      <c r="I63" s="255" t="n"/>
      <c r="J63" s="256" t="n"/>
      <c r="K63" s="256" t="n"/>
      <c r="L63" s="256" t="n"/>
      <c r="M63" s="256" t="n"/>
      <c r="N63" s="256" t="n"/>
      <c r="O63" s="256" t="n"/>
      <c r="P63" s="256" t="n"/>
      <c r="Q63" s="256" t="n"/>
      <c r="R63" s="256" t="n"/>
      <c r="S63" s="256" t="n"/>
      <c r="T63" s="256" t="n"/>
      <c r="U63" s="256" t="n"/>
      <c r="V63" s="247">
        <f>IF(C63="Gutschrift","",IF(G63="","",IF(Besatzung!$B$11="","",IFERROR(IF(I63="Zeitanteilig",(Besatzung!$G$11*(G63-IFERROR(H63,0))+((Besatzung!$B$11&lt;&gt;"")*IF(B63="",1,(IF(Besatzung!$C$11="",Besatzung!$B$5,Besatzung!$C$11)&lt;=B63)*(IF(Besatzung!$D$11="",Besatzung!$B$6,Besatzung!$D$11)&gt;=B63)))*(Besatzung!$F$11="x")*IFERROR(H63,0)/IFERROR(SUMPRODUCT((Besatzung!$B$11:$B$22&lt;&gt;"")*(Besatzung!$F$11:$F$22="x")*(IF(Besatzung!$C$11:$C$22="",Besatzung!$B$5,Besatzung!$C$11:$C$22)&lt;=B63)*(IF(Besatzung!$D$11:$D$22="",Besatzung!$B$6,Besatzung!$D$11:$D$22)&gt;=B63)),1)),IF(I63="An Bord",(((Besatzung!$B$11&lt;&gt;"")*IF(B63="",1,(IF(Besatzung!$C$11="",Besatzung!$B$5,Besatzung!$C$11)&lt;=B63)*(IF(Besatzung!$D$11="",Besatzung!$B$6,Besatzung!$D$11)&gt;=B63)))*((G63-IFERROR(H63,0))/IFERROR(SUMPRODUCT((Besatzung!$B$11:$B$22&lt;&gt;"")*(IF(Besatzung!$C$11:$C$22="",Besatzung!$B$5,Besatzung!$C$11:$C$22)&lt;=B63)*(IF(Besatzung!$D$11:$D$22="",Besatzung!$B$6,Besatzung!$D$11:$D$22)&gt;=B63)),1)+(Besatzung!$F$11="x")*IFERROR(H63,0)/IFERROR(SUMPRODUCT((Besatzung!$B$11:$B$22&lt;&gt;"")*(Besatzung!$F$11:$F$22="x")*(IF(Besatzung!$C$11:$C$22="",Besatzung!$B$5,Besatzung!$C$11:$C$22)&lt;=B63)*(IF(Besatzung!$D$11:$D$22="",Besatzung!$B$6,Besatzung!$D$11:$D$22)&gt;=B63)),1))),IF(I63="Individuell",((J63="x")*((G63-IFERROR(H63,0))/IFERROR(COUNTIF(J63:U63,"x"),1)+(Besatzung!$F$11="x")*IFERROR(H63,0)/IFERROR(SUMPRODUCT((J63:U63="x")*(Besatzung!$F$11:$F$22="x")),1))),(IF(COUNTIF(J63:U63,"x")=0,IF(Besatzung!$B$11&lt;&gt;"",1,0),(J63="x"))*(G63-IFERROR(H63,0))/IFERROR(IF(COUNTIF(J63:U63,"x")=0,COUNTA(Besatzung!$B$11:$B$22),COUNTIF(J63:U63,"x")),1)+IF(COUNTIF(J63:U63,"x")=0,(Besatzung!$F$11="x"),(J63="x")*(Besatzung!$F$11="x"))*IFERROR(H63,0)/IFERROR(IF(COUNTIF(J63:U63,"x")=0,SUMPRODUCT((Besatzung!$B$11:$B$22&lt;&gt;"")*(Besatzung!$F$11:$F$22="x")),SUMPRODUCT((J63:U63="x")*(Besatzung!$F$11:$F$22="x"))),1))))),0))))</f>
        <v/>
      </c>
      <c r="W63" s="247">
        <f>IF(C63="Gutschrift","",IF(G63="","",IF(Besatzung!$B$12="","",IFERROR(IF(I63="Zeitanteilig",(Besatzung!$G$12*(G63-IFERROR(H63,0))+((Besatzung!$B$12&lt;&gt;"")*IF(B63="",1,(IF(Besatzung!$C$12="",Besatzung!$B$5,Besatzung!$C$12)&lt;=B63)*(IF(Besatzung!$D$12="",Besatzung!$B$6,Besatzung!$D$12)&gt;=B63)))*(Besatzung!$F$12="x")*IFERROR(H63,0)/IFERROR(SUMPRODUCT((Besatzung!$B$11:$B$22&lt;&gt;"")*(Besatzung!$F$11:$F$22="x")*(IF(Besatzung!$C$11:$C$22="",Besatzung!$B$5,Besatzung!$C$11:$C$22)&lt;=B63)*(IF(Besatzung!$D$11:$D$22="",Besatzung!$B$6,Besatzung!$D$11:$D$22)&gt;=B63)),1)),IF(I63="An Bord",(((Besatzung!$B$12&lt;&gt;"")*IF(B63="",1,(IF(Besatzung!$C$12="",Besatzung!$B$5,Besatzung!$C$12)&lt;=B63)*(IF(Besatzung!$D$12="",Besatzung!$B$6,Besatzung!$D$12)&gt;=B63)))*((G63-IFERROR(H63,0))/IFERROR(SUMPRODUCT((Besatzung!$B$11:$B$22&lt;&gt;"")*(IF(Besatzung!$C$11:$C$22="",Besatzung!$B$5,Besatzung!$C$11:$C$22)&lt;=B63)*(IF(Besatzung!$D$11:$D$22="",Besatzung!$B$6,Besatzung!$D$11:$D$22)&gt;=B63)),1)+(Besatzung!$F$12="x")*IFERROR(H63,0)/IFERROR(SUMPRODUCT((Besatzung!$B$11:$B$22&lt;&gt;"")*(Besatzung!$F$11:$F$22="x")*(IF(Besatzung!$C$11:$C$22="",Besatzung!$B$5,Besatzung!$C$11:$C$22)&lt;=B63)*(IF(Besatzung!$D$11:$D$22="",Besatzung!$B$6,Besatzung!$D$11:$D$22)&gt;=B63)),1))),IF(I63="Individuell",((K63="x")*((G63-IFERROR(H63,0))/IFERROR(COUNTIF(J63:U63,"x"),1)+(Besatzung!$F$12="x")*IFERROR(H63,0)/IFERROR(SUMPRODUCT((J63:U63="x")*(Besatzung!$F$11:$F$22="x")),1))),(IF(COUNTIF(J63:U63,"x")=0,IF(Besatzung!$B$12&lt;&gt;"",1,0),(K63="x"))*(G63-IFERROR(H63,0))/IFERROR(IF(COUNTIF(J63:U63,"x")=0,COUNTA(Besatzung!$B$11:$B$22),COUNTIF(J63:U63,"x")),1)+IF(COUNTIF(J63:U63,"x")=0,(Besatzung!$F$12="x"),(K63="x")*(Besatzung!$F$12="x"))*IFERROR(H63,0)/IFERROR(IF(COUNTIF(J63:U63,"x")=0,SUMPRODUCT((Besatzung!$B$11:$B$22&lt;&gt;"")*(Besatzung!$F$11:$F$22="x")),SUMPRODUCT((J63:U63="x")*(Besatzung!$F$11:$F$22="x"))),1))))),0))))</f>
        <v/>
      </c>
      <c r="X63" s="247">
        <f>IF(C63="Gutschrift","",IF(G63="","",IF(Besatzung!$B$13="","",IFERROR(IF(I63="Zeitanteilig",(Besatzung!$G$13*(G63-IFERROR(H63,0))+((Besatzung!$B$13&lt;&gt;"")*IF(B63="",1,(IF(Besatzung!$C$13="",Besatzung!$B$5,Besatzung!$C$13)&lt;=B63)*(IF(Besatzung!$D$13="",Besatzung!$B$6,Besatzung!$D$13)&gt;=B63)))*(Besatzung!$F$13="x")*IFERROR(H63,0)/IFERROR(SUMPRODUCT((Besatzung!$B$11:$B$22&lt;&gt;"")*(Besatzung!$F$11:$F$22="x")*(IF(Besatzung!$C$11:$C$22="",Besatzung!$B$5,Besatzung!$C$11:$C$22)&lt;=B63)*(IF(Besatzung!$D$11:$D$22="",Besatzung!$B$6,Besatzung!$D$11:$D$22)&gt;=B63)),1)),IF(I63="An Bord",(((Besatzung!$B$13&lt;&gt;"")*IF(B63="",1,(IF(Besatzung!$C$13="",Besatzung!$B$5,Besatzung!$C$13)&lt;=B63)*(IF(Besatzung!$D$13="",Besatzung!$B$6,Besatzung!$D$13)&gt;=B63)))*((G63-IFERROR(H63,0))/IFERROR(SUMPRODUCT((Besatzung!$B$11:$B$22&lt;&gt;"")*(IF(Besatzung!$C$11:$C$22="",Besatzung!$B$5,Besatzung!$C$11:$C$22)&lt;=B63)*(IF(Besatzung!$D$11:$D$22="",Besatzung!$B$6,Besatzung!$D$11:$D$22)&gt;=B63)),1)+(Besatzung!$F$13="x")*IFERROR(H63,0)/IFERROR(SUMPRODUCT((Besatzung!$B$11:$B$22&lt;&gt;"")*(Besatzung!$F$11:$F$22="x")*(IF(Besatzung!$C$11:$C$22="",Besatzung!$B$5,Besatzung!$C$11:$C$22)&lt;=B63)*(IF(Besatzung!$D$11:$D$22="",Besatzung!$B$6,Besatzung!$D$11:$D$22)&gt;=B63)),1))),IF(I63="Individuell",((K63="x")*((G63-IFERROR(H63,0))/IFERROR(COUNTIF(J63:U63,"x"),1)+(Besatzung!$F$13="x")*IFERROR(H63,0)/IFERROR(SUMPRODUCT((J63:U63="x")*(Besatzung!$F$11:$F$22="x")),1))),(IF(COUNTIF(J63:U63,"x")=0,IF(Besatzung!$B$13&lt;&gt;"",1,0),(K63="x"))*(G63-IFERROR(H63,0))/IFERROR(IF(COUNTIF(J63:U63,"x")=0,COUNTA(Besatzung!$B$11:$B$22),COUNTIF(J63:U63,"x")),1)+IF(COUNTIF(J63:U63,"x")=0,(Besatzung!$F$13="x"),(K63="x")*(Besatzung!$F$13="x"))*IFERROR(H63,0)/IFERROR(IF(COUNTIF(J63:U63,"x")=0,SUMPRODUCT((Besatzung!$B$11:$B$22&lt;&gt;"")*(Besatzung!$F$11:$F$22="x")),SUMPRODUCT((J63:U63="x")*(Besatzung!$F$11:$F$22="x"))),1))))),0))))</f>
        <v/>
      </c>
      <c r="Y63" s="247">
        <f>IF(C63="Gutschrift","",IF(G63="","",IF(Besatzung!$B$14="","",IFERROR(IF(I63="Zeitanteilig",(Besatzung!$G$14*(G63-IFERROR(H63,0))+((Besatzung!$B$14&lt;&gt;"")*IF(B63="",1,(IF(Besatzung!$C$14="",Besatzung!$B$5,Besatzung!$C$14)&lt;=B63)*(IF(Besatzung!$D$14="",Besatzung!$B$6,Besatzung!$D$14)&gt;=B63)))*(Besatzung!$F$14="x")*IFERROR(H63,0)/IFERROR(SUMPRODUCT((Besatzung!$B$11:$B$22&lt;&gt;"")*(Besatzung!$F$11:$F$22="x")*(IF(Besatzung!$C$11:$C$22="",Besatzung!$B$5,Besatzung!$C$11:$C$22)&lt;=B63)*(IF(Besatzung!$D$11:$D$22="",Besatzung!$B$6,Besatzung!$D$11:$D$22)&gt;=B63)),1)),IF(I63="An Bord",(((Besatzung!$B$14&lt;&gt;"")*IF(B63="",1,(IF(Besatzung!$C$14="",Besatzung!$B$5,Besatzung!$C$14)&lt;=B63)*(IF(Besatzung!$D$14="",Besatzung!$B$6,Besatzung!$D$14)&gt;=B63)))*((G63-IFERROR(H63,0))/IFERROR(SUMPRODUCT((Besatzung!$B$11:$B$22&lt;&gt;"")*(IF(Besatzung!$C$11:$C$22="",Besatzung!$B$5,Besatzung!$C$11:$C$22)&lt;=B63)*(IF(Besatzung!$D$11:$D$22="",Besatzung!$B$6,Besatzung!$D$11:$D$22)&gt;=B63)),1)+(Besatzung!$F$14="x")*IFERROR(H63,0)/IFERROR(SUMPRODUCT((Besatzung!$B$11:$B$22&lt;&gt;"")*(Besatzung!$F$11:$F$22="x")*(IF(Besatzung!$C$11:$C$22="",Besatzung!$B$5,Besatzung!$C$11:$C$22)&lt;=B63)*(IF(Besatzung!$D$11:$D$22="",Besatzung!$B$6,Besatzung!$D$11:$D$22)&gt;=B63)),1))),IF(I63="Individuell",((M63="x")*((G63-IFERROR(H63,0))/IFERROR(COUNTIF(J63:U63,"x"),1)+(Besatzung!$F$14="x")*IFERROR(H63,0)/IFERROR(SUMPRODUCT((J63:U63="x")*(Besatzung!$F$11:$F$22="x")),1))),(IF(COUNTIF(J63:U63,"x")=0,IF(Besatzung!$B$14&lt;&gt;"",1,0),(M63="x"))*(G63-IFERROR(H63,0))/IFERROR(IF(COUNTIF(J63:U63,"x")=0,COUNTA(Besatzung!$B$11:$B$22),COUNTIF(J63:U63,"x")),1)+IF(COUNTIF(J63:U63,"x")=0,(Besatzung!$F$14="x"),(M63="x")*(Besatzung!$F$14="x"))*IFERROR(H63,0)/IFERROR(IF(COUNTIF(J63:U63,"x")=0,SUMPRODUCT((Besatzung!$B$11:$B$22&lt;&gt;"")*(Besatzung!$F$11:$F$22="x")),SUMPRODUCT((J63:U63="x")*(Besatzung!$F$11:$F$22="x"))),1))))),0))))</f>
        <v/>
      </c>
      <c r="Z63" s="247">
        <f>IF(C63="Gutschrift","",IF(G63="","",IF(Besatzung!$B$13="","",IFERROR(IF(I63="Zeitanteilig",(Besatzung!$G$15*(G63-IFERROR(H63,0))+((Besatzung!$B$13&lt;&gt;"")*IF(B63="",1,(IF(Besatzung!$C$15="",Besatzung!$B$5,Besatzung!$C$15)&lt;=B63)*(IF(Besatzung!$D$15="",Besatzung!$B$6,Besatzung!$D$15)&gt;=B63)))*(Besatzung!$F$15="x")*IFERROR(H63,0)/IFERROR(SUMPRODUCT((Besatzung!$B$11:$B$22&lt;&gt;"")*(Besatzung!$F$11:$F$22="x")*(IF(Besatzung!$C$11:$C$22="",Besatzung!$B$5,Besatzung!$C$11:$C$22)&lt;=B63)*(IF(Besatzung!$D$11:$D$22="",Besatzung!$B$6,Besatzung!$D$11:$D$22)&gt;=B63)),1)),IF(I63="An Bord",(((Besatzung!$B$13&lt;&gt;"")*IF(B63="",1,(IF(Besatzung!$C$15="",Besatzung!$B$5,Besatzung!$C$15)&lt;=B63)*(IF(Besatzung!$D$15="",Besatzung!$B$6,Besatzung!$D$15)&gt;=B63)))*((G63-IFERROR(H63,0))/IFERROR(SUMPRODUCT((Besatzung!$B$11:$B$22&lt;&gt;"")*(IF(Besatzung!$C$11:$C$22="",Besatzung!$B$5,Besatzung!$C$11:$C$22)&lt;=B63)*(IF(Besatzung!$D$11:$D$22="",Besatzung!$B$6,Besatzung!$D$11:$D$22)&gt;=B63)),1)+(Besatzung!$F$15="x")*IFERROR(H63,0)/IFERROR(SUMPRODUCT((Besatzung!$B$11:$B$22&lt;&gt;"")*(Besatzung!$F$11:$F$22="x")*(IF(Besatzung!$C$11:$C$22="",Besatzung!$B$5,Besatzung!$C$11:$C$22)&lt;=B63)*(IF(Besatzung!$D$11:$D$22="",Besatzung!$B$6,Besatzung!$D$11:$D$22)&gt;=B63)),1))),IF(I63="Individuell",((N63="x")*((G63-IFERROR(H63,0))/IFERROR(COUNTIF(J63:U63,"x"),1)+(Besatzung!$F$15="x")*IFERROR(H63,0)/IFERROR(SUMPRODUCT((J63:U63="x")*(Besatzung!$F$11:$F$22="x")),1))),(IF(COUNTIF(J63:U63,"x")=0,IF(Besatzung!$B$13&lt;&gt;"",1,0),(N63="x"))*(G63-IFERROR(H63,0))/IFERROR(IF(COUNTIF(J63:U63,"x")=0,COUNTA(Besatzung!$B$11:$B$22),COUNTIF(J63:U63,"x")),1)+IF(COUNTIF(J63:U63,"x")=0,(Besatzung!$F$15="x"),(N63="x")*(Besatzung!$F$15="x"))*IFERROR(H63,0)/IFERROR(IF(COUNTIF(J63:U63,"x")=0,SUMPRODUCT((Besatzung!$B$11:$B$22&lt;&gt;"")*(Besatzung!$F$11:$F$22="x")),SUMPRODUCT((J63:U63="x")*(Besatzung!$F$11:$F$22="x"))),1))))),0))))</f>
        <v/>
      </c>
      <c r="AA63" s="247">
        <f>IF(C63="Gutschrift","",IF(G63="","",IF(Besatzung!$B$15="","",IFERROR(IF(I63="Zeitanteilig",(Besatzung!$G$16*(G63-IFERROR(H63,0))+((Besatzung!$B$15&lt;&gt;"")*IF(B63="",1,(IF(Besatzung!$C$16="",Besatzung!$B$5,Besatzung!$C$16)&lt;=B63)*(IF(Besatzung!$D$16="",Besatzung!$B$6,Besatzung!$D$16)&gt;=B63)))*(Besatzung!$F$16="x")*IFERROR(H63,0)/IFERROR(SUMPRODUCT((Besatzung!$B$11:$B$22&lt;&gt;"")*(Besatzung!$F$11:$F$22="x")*(IF(Besatzung!$C$11:$C$22="",Besatzung!$B$5,Besatzung!$C$11:$C$22)&lt;=B63)*(IF(Besatzung!$D$11:$D$22="",Besatzung!$B$6,Besatzung!$D$11:$D$22)&gt;=B63)),1)),IF(I63="An Bord",(((Besatzung!$B$15&lt;&gt;"")*IF(B63="",1,(IF(Besatzung!$C$16="",Besatzung!$B$5,Besatzung!$C$16)&lt;=B63)*(IF(Besatzung!$D$16="",Besatzung!$B$6,Besatzung!$D$16)&gt;=B63)))*((G63-IFERROR(H63,0))/IFERROR(SUMPRODUCT((Besatzung!$B$11:$B$22&lt;&gt;"")*(IF(Besatzung!$C$11:$C$22="",Besatzung!$B$5,Besatzung!$C$11:$C$22)&lt;=B63)*(IF(Besatzung!$D$11:$D$22="",Besatzung!$B$6,Besatzung!$D$11:$D$22)&gt;=B63)),1)+(Besatzung!$F$16="x")*IFERROR(H63,0)/IFERROR(SUMPRODUCT((Besatzung!$B$11:$B$22&lt;&gt;"")*(Besatzung!$F$11:$F$22="x")*(IF(Besatzung!$C$11:$C$22="",Besatzung!$B$5,Besatzung!$C$11:$C$22)&lt;=B63)*(IF(Besatzung!$D$11:$D$22="",Besatzung!$B$6,Besatzung!$D$11:$D$22)&gt;=B63)),1))),IF(I63="Individuell",((O63="x")*((G63-IFERROR(H63,0))/IFERROR(COUNTIF(J63:U63,"x"),1)+(Besatzung!$F$16="x")*IFERROR(H63,0)/IFERROR(SUMPRODUCT((J63:U63="x")*(Besatzung!$F$11:$F$22="x")),1))),(IF(COUNTIF(J63:U63,"x")=0,IF(Besatzung!$B$15&lt;&gt;"",1,0),(O63="x"))*(G63-IFERROR(H63,0))/IFERROR(IF(COUNTIF(J63:U63,"x")=0,COUNTA(Besatzung!$B$11:$B$22),COUNTIF(J63:U63,"x")),1)+IF(COUNTIF(J63:U63,"x")=0,(Besatzung!$F$16="x"),(O63="x")*(Besatzung!$F$16="x"))*IFERROR(H63,0)/IFERROR(IF(COUNTIF(J63:U63,"x")=0,SUMPRODUCT((Besatzung!$B$11:$B$22&lt;&gt;"")*(Besatzung!$F$11:$F$22="x")),SUMPRODUCT((J63:U63="x")*(Besatzung!$F$11:$F$22="x"))),1))))),0))))</f>
        <v/>
      </c>
      <c r="AB63" s="247">
        <f>IF(C63="Gutschrift","",IF(G63="","",IF(Besatzung!$B$17="","",IFERROR(IF(I63="Zeitanteilig",(Besatzung!$G$17*(G63-IFERROR(H63,0))+((Besatzung!$B$17&lt;&gt;"")*IF(B63="",1,(IF(Besatzung!$C$17="",Besatzung!$B$5,Besatzung!$C$17)&lt;=B63)*(IF(Besatzung!$D$17="",Besatzung!$B$6,Besatzung!$D$17)&gt;=B63)))*(Besatzung!$F$17="x")*IFERROR(H63,0)/IFERROR(SUMPRODUCT((Besatzung!$B$11:$B$22&lt;&gt;"")*(Besatzung!$F$11:$F$22="x")*(IF(Besatzung!$C$11:$C$22="",Besatzung!$B$5,Besatzung!$C$11:$C$22)&lt;=B63)*(IF(Besatzung!$D$11:$D$22="",Besatzung!$B$6,Besatzung!$D$11:$D$22)&gt;=B63)),1)),IF(I63="An Bord",(((Besatzung!$B$17&lt;&gt;"")*IF(B63="",1,(IF(Besatzung!$C$17="",Besatzung!$B$5,Besatzung!$C$17)&lt;=B63)*(IF(Besatzung!$D$17="",Besatzung!$B$6,Besatzung!$D$17)&gt;=B63)))*((G63-IFERROR(H63,0))/IFERROR(SUMPRODUCT((Besatzung!$B$11:$B$22&lt;&gt;"")*(IF(Besatzung!$C$11:$C$22="",Besatzung!$B$5,Besatzung!$C$11:$C$22)&lt;=B63)*(IF(Besatzung!$D$11:$D$22="",Besatzung!$B$6,Besatzung!$D$11:$D$22)&gt;=B63)),1)+(Besatzung!$F$17="x")*IFERROR(H63,0)/IFERROR(SUMPRODUCT((Besatzung!$B$11:$B$22&lt;&gt;"")*(Besatzung!$F$11:$F$22="x")*(IF(Besatzung!$C$11:$C$22="",Besatzung!$B$5,Besatzung!$C$11:$C$22)&lt;=B63)*(IF(Besatzung!$D$11:$D$22="",Besatzung!$B$6,Besatzung!$D$11:$D$22)&gt;=B63)),1))),IF(I63="Individuell",((P63="x")*((G63-IFERROR(H63,0))/IFERROR(COUNTIF(J63:U63,"x"),1)+(Besatzung!$F$17="x")*IFERROR(H63,0)/IFERROR(SUMPRODUCT((J63:U63="x")*(Besatzung!$F$11:$F$22="x")),1))),(IF(COUNTIF(J63:U63,"x")=0,IF(Besatzung!$B$17&lt;&gt;"",1,0),(P63="x"))*(G63-IFERROR(H63,0))/IFERROR(IF(COUNTIF(J63:U63,"x")=0,COUNTA(Besatzung!$B$11:$B$22),COUNTIF(J63:U63,"x")),1)+IF(COUNTIF(J63:U63,"x")=0,(Besatzung!$F$17="x"),(P63="x")*(Besatzung!$F$17="x"))*IFERROR(H63,0)/IFERROR(IF(COUNTIF(J63:U63,"x")=0,SUMPRODUCT((Besatzung!$B$11:$B$22&lt;&gt;"")*(Besatzung!$F$11:$F$22="x")),SUMPRODUCT((J63:U63="x")*(Besatzung!$F$11:$F$22="x"))),1))))),0))))</f>
        <v/>
      </c>
      <c r="AC63" s="247">
        <f>IF(C63="Gutschrift","",IF(G63="","",IF(Besatzung!$B$18="","",IFERROR(IF(I63="Zeitanteilig",(Besatzung!$G$18*(G63-IFERROR(H63,0))+((Besatzung!$B$18&lt;&gt;"")*IF(B63="",1,(IF(Besatzung!$C$18="",Besatzung!$B$5,Besatzung!$C$18)&lt;=B63)*(IF(Besatzung!$D$18="",Besatzung!$B$6,Besatzung!$D$18)&gt;=B63)))*(Besatzung!$F$18="x")*IFERROR(H63,0)/IFERROR(SUMPRODUCT((Besatzung!$B$11:$B$22&lt;&gt;"")*(Besatzung!$F$11:$F$22="x")*(IF(Besatzung!$C$11:$C$22="",Besatzung!$B$5,Besatzung!$C$11:$C$22)&lt;=B63)*(IF(Besatzung!$D$11:$D$22="",Besatzung!$B$6,Besatzung!$D$11:$D$22)&gt;=B63)),1)),IF(I63="An Bord",(((Besatzung!$B$18&lt;&gt;"")*IF(B63="",1,(IF(Besatzung!$C$18="",Besatzung!$B$5,Besatzung!$C$18)&lt;=B63)*(IF(Besatzung!$D$18="",Besatzung!$B$6,Besatzung!$D$18)&gt;=B63)))*((G63-IFERROR(H63,0))/IFERROR(SUMPRODUCT((Besatzung!$B$11:$B$22&lt;&gt;"")*(IF(Besatzung!$C$11:$C$22="",Besatzung!$B$5,Besatzung!$C$11:$C$22)&lt;=B63)*(IF(Besatzung!$D$11:$D$22="",Besatzung!$B$6,Besatzung!$D$11:$D$22)&gt;=B63)),1)+(Besatzung!$F$18="x")*IFERROR(H63,0)/IFERROR(SUMPRODUCT((Besatzung!$B$11:$B$22&lt;&gt;"")*(Besatzung!$F$11:$F$22="x")*(IF(Besatzung!$C$11:$C$22="",Besatzung!$B$5,Besatzung!$C$11:$C$22)&lt;=B63)*(IF(Besatzung!$D$11:$D$22="",Besatzung!$B$6,Besatzung!$D$11:$D$22)&gt;=B63)),1))),IF(I63="Individuell",((Q63="x")*((G63-IFERROR(H63,0))/IFERROR(COUNTIF(J63:U63,"x"),1)+(Besatzung!$F$18="x")*IFERROR(H63,0)/IFERROR(SUMPRODUCT((J63:U63="x")*(Besatzung!$F$11:$F$22="x")),1))),(IF(COUNTIF(J63:U63,"x")=0,IF(Besatzung!$B$18&lt;&gt;"",1,0),(Q63="x"))*(G63-IFERROR(H63,0))/IFERROR(IF(COUNTIF(J63:U63,"x")=0,COUNTA(Besatzung!$B$11:$B$22),COUNTIF(J63:U63,"x")),1)+IF(COUNTIF(J63:U63,"x")=0,(Besatzung!$F$18="x"),(Q63="x")*(Besatzung!$F$18="x"))*IFERROR(H63,0)/IFERROR(IF(COUNTIF(J63:U63,"x")=0,SUMPRODUCT((Besatzung!$B$11:$B$22&lt;&gt;"")*(Besatzung!$F$11:$F$22="x")),SUMPRODUCT((J63:U63="x")*(Besatzung!$F$11:$F$22="x"))),1))))),0))))</f>
        <v/>
      </c>
      <c r="AD63" s="247">
        <f>IF(C63="Gutschrift","",IF(G63="","",IF(Besatzung!$B$19="","",IFERROR(IF(I63="Zeitanteilig",(Besatzung!$G$19*(G63-IFERROR(H63,0))+((Besatzung!$B$19&lt;&gt;"")*IF(B63="",1,(IF(Besatzung!$C$19="",Besatzung!$B$5,Besatzung!$C$19)&lt;=B63)*(IF(Besatzung!$D$19="",Besatzung!$B$6,Besatzung!$D$19)&gt;=B63)))*(Besatzung!$F$19="x")*IFERROR(H63,0)/IFERROR(SUMPRODUCT((Besatzung!$B$11:$B$22&lt;&gt;"")*(Besatzung!$F$11:$F$22="x")*(IF(Besatzung!$C$11:$C$22="",Besatzung!$B$5,Besatzung!$C$11:$C$22)&lt;=B63)*(IF(Besatzung!$D$11:$D$22="",Besatzung!$B$6,Besatzung!$D$11:$D$22)&gt;=B63)),1)),IF(I63="An Bord",(((Besatzung!$B$19&lt;&gt;"")*IF(B63="",1,(IF(Besatzung!$C$19="",Besatzung!$B$5,Besatzung!$C$19)&lt;=B63)*(IF(Besatzung!$D$19="",Besatzung!$B$6,Besatzung!$D$19)&gt;=B63)))*((G63-IFERROR(H63,0))/IFERROR(SUMPRODUCT((Besatzung!$B$11:$B$22&lt;&gt;"")*(IF(Besatzung!$C$11:$C$22="",Besatzung!$B$5,Besatzung!$C$11:$C$22)&lt;=B63)*(IF(Besatzung!$D$11:$D$22="",Besatzung!$B$6,Besatzung!$D$11:$D$22)&gt;=B63)),1)+(Besatzung!$F$19="x")*IFERROR(H63,0)/IFERROR(SUMPRODUCT((Besatzung!$B$11:$B$22&lt;&gt;"")*(Besatzung!$F$11:$F$22="x")*(IF(Besatzung!$C$11:$C$22="",Besatzung!$B$5,Besatzung!$C$11:$C$22)&lt;=B63)*(IF(Besatzung!$D$11:$D$22="",Besatzung!$B$6,Besatzung!$D$11:$D$22)&gt;=B63)),1))),IF(I63="Individuell",((R63="x")*((G63-IFERROR(H63,0))/IFERROR(COUNTIF(J63:U63,"x"),1)+(Besatzung!$F$19="x")*IFERROR(H63,0)/IFERROR(SUMPRODUCT((J63:U63="x")*(Besatzung!$F$11:$F$22="x")),1))),(IF(COUNTIF(J63:U63,"x")=0,IF(Besatzung!$B$19&lt;&gt;"",1,0),(R63="x"))*(G63-IFERROR(H63,0))/IFERROR(IF(COUNTIF(J63:U63,"x")=0,COUNTA(Besatzung!$B$11:$B$22),COUNTIF(J63:U63,"x")),1)+IF(COUNTIF(J63:U63,"x")=0,(Besatzung!$F$19="x"),(R63="x")*(Besatzung!$F$19="x"))*IFERROR(H63,0)/IFERROR(IF(COUNTIF(J63:U63,"x")=0,SUMPRODUCT((Besatzung!$B$11:$B$22&lt;&gt;"")*(Besatzung!$F$11:$F$22="x")),SUMPRODUCT((J63:U63="x")*(Besatzung!$F$11:$F$22="x"))),1))))),0))))</f>
        <v/>
      </c>
      <c r="AE63" s="247">
        <f>IF(C63="Gutschrift","",IF(G63="","",IF(Besatzung!$B$20="","",IFERROR(IF(I63="Zeitanteilig",(Besatzung!$G$20*(G63-IFERROR(H63,0))+((Besatzung!$B$20&lt;&gt;"")*IF(B63="",1,(IF(Besatzung!$C$20="",Besatzung!$B$5,Besatzung!$C$20)&lt;=B63)*(IF(Besatzung!$D$20="",Besatzung!$B$6,Besatzung!$D$20)&gt;=B63)))*(Besatzung!$F$20="x")*IFERROR(H63,0)/IFERROR(SUMPRODUCT((Besatzung!$B$11:$B$22&lt;&gt;"")*(Besatzung!$F$11:$F$22="x")*(IF(Besatzung!$C$11:$C$22="",Besatzung!$B$5,Besatzung!$C$11:$C$22)&lt;=B63)*(IF(Besatzung!$D$11:$D$22="",Besatzung!$B$6,Besatzung!$D$11:$D$22)&gt;=B63)),1)),IF(I63="An Bord",(((Besatzung!$B$20&lt;&gt;"")*IF(B63="",1,(IF(Besatzung!$C$20="",Besatzung!$B$5,Besatzung!$C$20)&lt;=B63)*(IF(Besatzung!$D$20="",Besatzung!$B$6,Besatzung!$D$20)&gt;=B63)))*((G63-IFERROR(H63,0))/IFERROR(SUMPRODUCT((Besatzung!$B$11:$B$22&lt;&gt;"")*(IF(Besatzung!$C$11:$C$22="",Besatzung!$B$5,Besatzung!$C$11:$C$22)&lt;=B63)*(IF(Besatzung!$D$11:$D$22="",Besatzung!$B$6,Besatzung!$D$11:$D$22)&gt;=B63)),1)+(Besatzung!$F$20="x")*IFERROR(H63,0)/IFERROR(SUMPRODUCT((Besatzung!$B$11:$B$22&lt;&gt;"")*(Besatzung!$F$11:$F$22="x")*(IF(Besatzung!$C$11:$C$22="",Besatzung!$B$5,Besatzung!$C$11:$C$22)&lt;=B63)*(IF(Besatzung!$D$11:$D$22="",Besatzung!$B$6,Besatzung!$D$11:$D$22)&gt;=B63)),1))),IF(I63="Individuell",((S63="x")*((G63-IFERROR(H63,0))/IFERROR(COUNTIF(J63:U63,"x"),1)+(Besatzung!$F$20="x")*IFERROR(H63,0)/IFERROR(SUMPRODUCT((J63:U63="x")*(Besatzung!$F$11:$F$22="x")),1))),(IF(COUNTIF(J63:U63,"x")=0,IF(Besatzung!$B$20&lt;&gt;"",1,0),(S63="x"))*(G63-IFERROR(H63,0))/IFERROR(IF(COUNTIF(J63:U63,"x")=0,COUNTA(Besatzung!$B$11:$B$22),COUNTIF(J63:U63,"x")),1)+IF(COUNTIF(J63:U63,"x")=0,(Besatzung!$F$20="x"),(S63="x")*(Besatzung!$F$20="x"))*IFERROR(H63,0)/IFERROR(IF(COUNTIF(J63:U63,"x")=0,SUMPRODUCT((Besatzung!$B$11:$B$22&lt;&gt;"")*(Besatzung!$F$11:$F$22="x")),SUMPRODUCT((J63:U63="x")*(Besatzung!$F$11:$F$22="x"))),1))))),0))))</f>
        <v/>
      </c>
      <c r="AF63" s="247">
        <f>IF(C63="Gutschrift","",IF(G63="","",IF(Besatzung!$B$21="","",IFERROR(IF(I63="Zeitanteilig",(Besatzung!$G$21*(G63-IFERROR(H63,0))+((Besatzung!$B$21&lt;&gt;"")*IF(B63="",1,(IF(Besatzung!$C$21="",Besatzung!$B$5,Besatzung!$C$21)&lt;=B63)*(IF(Besatzung!$D$21="",Besatzung!$B$6,Besatzung!$D$21)&gt;=B63)))*(Besatzung!$F$21="x")*IFERROR(H63,0)/IFERROR(SUMPRODUCT((Besatzung!$B$11:$B$22&lt;&gt;"")*(Besatzung!$F$11:$F$22="x")*(IF(Besatzung!$C$11:$C$22="",Besatzung!$B$5,Besatzung!$C$11:$C$22)&lt;=B63)*(IF(Besatzung!$D$11:$D$22="",Besatzung!$B$6,Besatzung!$D$11:$D$22)&gt;=B63)),1)),IF(I63="An Bord",(((Besatzung!$B$21&lt;&gt;"")*IF(B63="",1,(IF(Besatzung!$C$21="",Besatzung!$B$5,Besatzung!$C$21)&lt;=B63)*(IF(Besatzung!$D$21="",Besatzung!$B$6,Besatzung!$D$21)&gt;=B63)))*((G63-IFERROR(H63,0))/IFERROR(SUMPRODUCT((Besatzung!$B$11:$B$22&lt;&gt;"")*(IF(Besatzung!$C$11:$C$22="",Besatzung!$B$5,Besatzung!$C$11:$C$22)&lt;=B63)*(IF(Besatzung!$D$11:$D$22="",Besatzung!$B$6,Besatzung!$D$11:$D$22)&gt;=B63)),1)+(Besatzung!$F$21="x")*IFERROR(H63,0)/IFERROR(SUMPRODUCT((Besatzung!$B$11:$B$22&lt;&gt;"")*(Besatzung!$F$11:$F$22="x")*(IF(Besatzung!$C$11:$C$22="",Besatzung!$B$5,Besatzung!$C$11:$C$22)&lt;=B63)*(IF(Besatzung!$D$11:$D$22="",Besatzung!$B$6,Besatzung!$D$11:$D$22)&gt;=B63)),1))),IF(I63="Individuell",((T63="x")*((G63-IFERROR(H63,0))/IFERROR(COUNTIF(J63:U63,"x"),1)+(Besatzung!$F$21="x")*IFERROR(H63,0)/IFERROR(SUMPRODUCT((J63:U63="x")*(Besatzung!$F$11:$F$22="x")),1))),(IF(COUNTIF(J63:U63,"x")=0,IF(Besatzung!$B$21&lt;&gt;"",1,0),(T63="x"))*(G63-IFERROR(H63,0))/IFERROR(IF(COUNTIF(J63:U63,"x")=0,COUNTA(Besatzung!$B$11:$B$22),COUNTIF(J63:U63,"x")),1)+IF(COUNTIF(J63:U63,"x")=0,(Besatzung!$F$21="x"),(T63="x")*(Besatzung!$F$21="x"))*IFERROR(H63,0)/IFERROR(IF(COUNTIF(J63:U63,"x")=0,SUMPRODUCT((Besatzung!$B$11:$B$22&lt;&gt;"")*(Besatzung!$F$11:$F$22="x")),SUMPRODUCT((J63:U63="x")*(Besatzung!$F$11:$F$22="x"))),1))))),0))))</f>
        <v/>
      </c>
      <c r="AG63" s="247">
        <f>IF(C63="Gutschrift","",IF(G63="","",IF(Besatzung!$B$22="","",IFERROR(IF(I63="Zeitanteilig",(Besatzung!$G$22*(G63-IFERROR(H63,0))+((Besatzung!$B$22&lt;&gt;"")*IF(B63="",1,(IF(Besatzung!$C$22="",Besatzung!$B$5,Besatzung!$C$22)&lt;=B63)*(IF(Besatzung!$D$22="",Besatzung!$B$6,Besatzung!$D$22)&gt;=B63)))*(Besatzung!$F$22="x")*IFERROR(H63,0)/IFERROR(SUMPRODUCT((Besatzung!$B$11:$B$22&lt;&gt;"")*(Besatzung!$F$11:$F$22="x")*(IF(Besatzung!$C$11:$C$22="",Besatzung!$B$5,Besatzung!$C$11:$C$22)&lt;=B63)*(IF(Besatzung!$D$11:$D$22="",Besatzung!$B$6,Besatzung!$D$11:$D$22)&gt;=B63)),1)),IF(I63="An Bord",(((Besatzung!$B$22&lt;&gt;"")*IF(B63="",1,(IF(Besatzung!$C$22="",Besatzung!$B$5,Besatzung!$C$22)&lt;=B63)*(IF(Besatzung!$D$22="",Besatzung!$B$6,Besatzung!$D$22)&gt;=B63)))*((G63-IFERROR(H63,0))/IFERROR(SUMPRODUCT((Besatzung!$B$11:$B$22&lt;&gt;"")*(IF(Besatzung!$C$11:$C$22="",Besatzung!$B$5,Besatzung!$C$11:$C$22)&lt;=B63)*(IF(Besatzung!$D$11:$D$22="",Besatzung!$B$6,Besatzung!$D$11:$D$22)&gt;=B63)),1)+(Besatzung!$F$22="x")*IFERROR(H63,0)/IFERROR(SUMPRODUCT((Besatzung!$B$11:$B$22&lt;&gt;"")*(Besatzung!$F$11:$F$22="x")*(IF(Besatzung!$C$11:$C$22="",Besatzung!$B$5,Besatzung!$C$11:$C$22)&lt;=B63)*(IF(Besatzung!$D$11:$D$22="",Besatzung!$B$6,Besatzung!$D$11:$D$22)&gt;=B63)),1))),IF(I63="Individuell",((U63="x")*((G63-IFERROR(H63,0))/IFERROR(COUNTIF(J63:U63,"x"),1)+(Besatzung!$F$22="x")*IFERROR(H63,0)/IFERROR(SUMPRODUCT((J63:U63="x")*(Besatzung!$F$11:$F$22="x")),1))),(IF(COUNTIF(J63:U63,"x")=0,IF(Besatzung!$B$22&lt;&gt;"",1,0),(U63="x"))*(G63-IFERROR(H63,0))/IFERROR(IF(COUNTIF(J63:U63,"x")=0,COUNTA(Besatzung!$B$11:$B$22),COUNTIF(J63:U63,"x")),1)+IF(COUNTIF(J63:U63,"x")=0,(Besatzung!$F$22="x"),(U63="x")*(Besatzung!$F$22="x"))*IFERROR(H63,0)/IFERROR(IF(COUNTIF(J63:U63,"x")=0,SUMPRODUCT((Besatzung!$B$11:$B$22&lt;&gt;"")*(Besatzung!$F$11:$F$22="x")),SUMPRODUCT((J63:U63="x")*(Besatzung!$F$11:$F$22="x"))),1))))),0))))</f>
        <v/>
      </c>
      <c r="AH63" s="248" t="n"/>
      <c r="AI63" s="248" t="n"/>
    </row>
    <row r="64" ht="21.75" customHeight="1" s="154">
      <c r="A64" s="238">
        <f>IF(AND(D64="",C64=""),"",61)</f>
        <v/>
      </c>
      <c r="B64" s="199" t="n"/>
      <c r="C64" s="239" t="n"/>
      <c r="D64" s="240" t="n"/>
      <c r="E64" s="241" t="n"/>
      <c r="F64" s="242" t="n"/>
      <c r="G64" s="243" t="n"/>
      <c r="H64" s="244" t="n"/>
      <c r="I64" s="245" t="n"/>
      <c r="J64" s="246" t="n"/>
      <c r="K64" s="246" t="n"/>
      <c r="L64" s="246" t="n"/>
      <c r="M64" s="246" t="n"/>
      <c r="N64" s="246" t="n"/>
      <c r="O64" s="246" t="n"/>
      <c r="P64" s="246" t="n"/>
      <c r="Q64" s="246" t="n"/>
      <c r="R64" s="246" t="n"/>
      <c r="S64" s="246" t="n"/>
      <c r="T64" s="246" t="n"/>
      <c r="U64" s="246" t="n"/>
      <c r="V64" s="247">
        <f>IF(C64="Gutschrift","",IF(G64="","",IF(Besatzung!$B$11="","",IFERROR(IF(I64="Zeitanteilig",(Besatzung!$G$11*(G64-IFERROR(H64,0))+((Besatzung!$B$11&lt;&gt;"")*IF(B64="",1,(IF(Besatzung!$C$11="",Besatzung!$B$5,Besatzung!$C$11)&lt;=B64)*(IF(Besatzung!$D$11="",Besatzung!$B$6,Besatzung!$D$11)&gt;=B64)))*(Besatzung!$F$11="x")*IFERROR(H64,0)/IFERROR(SUMPRODUCT((Besatzung!$B$11:$B$22&lt;&gt;"")*(Besatzung!$F$11:$F$22="x")*(IF(Besatzung!$C$11:$C$22="",Besatzung!$B$5,Besatzung!$C$11:$C$22)&lt;=B64)*(IF(Besatzung!$D$11:$D$22="",Besatzung!$B$6,Besatzung!$D$11:$D$22)&gt;=B64)),1)),IF(I64="An Bord",(((Besatzung!$B$11&lt;&gt;"")*IF(B64="",1,(IF(Besatzung!$C$11="",Besatzung!$B$5,Besatzung!$C$11)&lt;=B64)*(IF(Besatzung!$D$11="",Besatzung!$B$6,Besatzung!$D$11)&gt;=B64)))*((G64-IFERROR(H64,0))/IFERROR(SUMPRODUCT((Besatzung!$B$11:$B$22&lt;&gt;"")*(IF(Besatzung!$C$11:$C$22="",Besatzung!$B$5,Besatzung!$C$11:$C$22)&lt;=B64)*(IF(Besatzung!$D$11:$D$22="",Besatzung!$B$6,Besatzung!$D$11:$D$22)&gt;=B64)),1)+(Besatzung!$F$11="x")*IFERROR(H64,0)/IFERROR(SUMPRODUCT((Besatzung!$B$11:$B$22&lt;&gt;"")*(Besatzung!$F$11:$F$22="x")*(IF(Besatzung!$C$11:$C$22="",Besatzung!$B$5,Besatzung!$C$11:$C$22)&lt;=B64)*(IF(Besatzung!$D$11:$D$22="",Besatzung!$B$6,Besatzung!$D$11:$D$22)&gt;=B64)),1))),IF(I64="Individuell",((J64="x")*((G64-IFERROR(H64,0))/IFERROR(COUNTIF(J64:U64,"x"),1)+(Besatzung!$F$11="x")*IFERROR(H64,0)/IFERROR(SUMPRODUCT((J64:U64="x")*(Besatzung!$F$11:$F$22="x")),1))),(IF(COUNTIF(J64:U64,"x")=0,IF(Besatzung!$B$11&lt;&gt;"",1,0),(J64="x"))*(G64-IFERROR(H64,0))/IFERROR(IF(COUNTIF(J64:U64,"x")=0,COUNTA(Besatzung!$B$11:$B$22),COUNTIF(J64:U64,"x")),1)+IF(COUNTIF(J64:U64,"x")=0,(Besatzung!$F$11="x"),(J64="x")*(Besatzung!$F$11="x"))*IFERROR(H64,0)/IFERROR(IF(COUNTIF(J64:U64,"x")=0,SUMPRODUCT((Besatzung!$B$11:$B$22&lt;&gt;"")*(Besatzung!$F$11:$F$22="x")),SUMPRODUCT((J64:U64="x")*(Besatzung!$F$11:$F$22="x"))),1))))),0))))</f>
        <v/>
      </c>
      <c r="W64" s="247">
        <f>IF(C64="Gutschrift","",IF(G64="","",IF(Besatzung!$B$12="","",IFERROR(IF(I64="Zeitanteilig",(Besatzung!$G$12*(G64-IFERROR(H64,0))+((Besatzung!$B$12&lt;&gt;"")*IF(B64="",1,(IF(Besatzung!$C$12="",Besatzung!$B$5,Besatzung!$C$12)&lt;=B64)*(IF(Besatzung!$D$12="",Besatzung!$B$6,Besatzung!$D$12)&gt;=B64)))*(Besatzung!$F$12="x")*IFERROR(H64,0)/IFERROR(SUMPRODUCT((Besatzung!$B$11:$B$22&lt;&gt;"")*(Besatzung!$F$11:$F$22="x")*(IF(Besatzung!$C$11:$C$22="",Besatzung!$B$5,Besatzung!$C$11:$C$22)&lt;=B64)*(IF(Besatzung!$D$11:$D$22="",Besatzung!$B$6,Besatzung!$D$11:$D$22)&gt;=B64)),1)),IF(I64="An Bord",(((Besatzung!$B$12&lt;&gt;"")*IF(B64="",1,(IF(Besatzung!$C$12="",Besatzung!$B$5,Besatzung!$C$12)&lt;=B64)*(IF(Besatzung!$D$12="",Besatzung!$B$6,Besatzung!$D$12)&gt;=B64)))*((G64-IFERROR(H64,0))/IFERROR(SUMPRODUCT((Besatzung!$B$11:$B$22&lt;&gt;"")*(IF(Besatzung!$C$11:$C$22="",Besatzung!$B$5,Besatzung!$C$11:$C$22)&lt;=B64)*(IF(Besatzung!$D$11:$D$22="",Besatzung!$B$6,Besatzung!$D$11:$D$22)&gt;=B64)),1)+(Besatzung!$F$12="x")*IFERROR(H64,0)/IFERROR(SUMPRODUCT((Besatzung!$B$11:$B$22&lt;&gt;"")*(Besatzung!$F$11:$F$22="x")*(IF(Besatzung!$C$11:$C$22="",Besatzung!$B$5,Besatzung!$C$11:$C$22)&lt;=B64)*(IF(Besatzung!$D$11:$D$22="",Besatzung!$B$6,Besatzung!$D$11:$D$22)&gt;=B64)),1))),IF(I64="Individuell",((K64="x")*((G64-IFERROR(H64,0))/IFERROR(COUNTIF(J64:U64,"x"),1)+(Besatzung!$F$12="x")*IFERROR(H64,0)/IFERROR(SUMPRODUCT((J64:U64="x")*(Besatzung!$F$11:$F$22="x")),1))),(IF(COUNTIF(J64:U64,"x")=0,IF(Besatzung!$B$12&lt;&gt;"",1,0),(K64="x"))*(G64-IFERROR(H64,0))/IFERROR(IF(COUNTIF(J64:U64,"x")=0,COUNTA(Besatzung!$B$11:$B$22),COUNTIF(J64:U64,"x")),1)+IF(COUNTIF(J64:U64,"x")=0,(Besatzung!$F$12="x"),(K64="x")*(Besatzung!$F$12="x"))*IFERROR(H64,0)/IFERROR(IF(COUNTIF(J64:U64,"x")=0,SUMPRODUCT((Besatzung!$B$11:$B$22&lt;&gt;"")*(Besatzung!$F$11:$F$22="x")),SUMPRODUCT((J64:U64="x")*(Besatzung!$F$11:$F$22="x"))),1))))),0))))</f>
        <v/>
      </c>
      <c r="X64" s="247">
        <f>IF(C64="Gutschrift","",IF(G64="","",IF(Besatzung!$B$13="","",IFERROR(IF(I64="Zeitanteilig",(Besatzung!$G$13*(G64-IFERROR(H64,0))+((Besatzung!$B$13&lt;&gt;"")*IF(B64="",1,(IF(Besatzung!$C$13="",Besatzung!$B$5,Besatzung!$C$13)&lt;=B64)*(IF(Besatzung!$D$13="",Besatzung!$B$6,Besatzung!$D$13)&gt;=B64)))*(Besatzung!$F$13="x")*IFERROR(H64,0)/IFERROR(SUMPRODUCT((Besatzung!$B$11:$B$22&lt;&gt;"")*(Besatzung!$F$11:$F$22="x")*(IF(Besatzung!$C$11:$C$22="",Besatzung!$B$5,Besatzung!$C$11:$C$22)&lt;=B64)*(IF(Besatzung!$D$11:$D$22="",Besatzung!$B$6,Besatzung!$D$11:$D$22)&gt;=B64)),1)),IF(I64="An Bord",(((Besatzung!$B$13&lt;&gt;"")*IF(B64="",1,(IF(Besatzung!$C$13="",Besatzung!$B$5,Besatzung!$C$13)&lt;=B64)*(IF(Besatzung!$D$13="",Besatzung!$B$6,Besatzung!$D$13)&gt;=B64)))*((G64-IFERROR(H64,0))/IFERROR(SUMPRODUCT((Besatzung!$B$11:$B$22&lt;&gt;"")*(IF(Besatzung!$C$11:$C$22="",Besatzung!$B$5,Besatzung!$C$11:$C$22)&lt;=B64)*(IF(Besatzung!$D$11:$D$22="",Besatzung!$B$6,Besatzung!$D$11:$D$22)&gt;=B64)),1)+(Besatzung!$F$13="x")*IFERROR(H64,0)/IFERROR(SUMPRODUCT((Besatzung!$B$11:$B$22&lt;&gt;"")*(Besatzung!$F$11:$F$22="x")*(IF(Besatzung!$C$11:$C$22="",Besatzung!$B$5,Besatzung!$C$11:$C$22)&lt;=B64)*(IF(Besatzung!$D$11:$D$22="",Besatzung!$B$6,Besatzung!$D$11:$D$22)&gt;=B64)),1))),IF(I64="Individuell",((K64="x")*((G64-IFERROR(H64,0))/IFERROR(COUNTIF(J64:U64,"x"),1)+(Besatzung!$F$13="x")*IFERROR(H64,0)/IFERROR(SUMPRODUCT((J64:U64="x")*(Besatzung!$F$11:$F$22="x")),1))),(IF(COUNTIF(J64:U64,"x")=0,IF(Besatzung!$B$13&lt;&gt;"",1,0),(K64="x"))*(G64-IFERROR(H64,0))/IFERROR(IF(COUNTIF(J64:U64,"x")=0,COUNTA(Besatzung!$B$11:$B$22),COUNTIF(J64:U64,"x")),1)+IF(COUNTIF(J64:U64,"x")=0,(Besatzung!$F$13="x"),(K64="x")*(Besatzung!$F$13="x"))*IFERROR(H64,0)/IFERROR(IF(COUNTIF(J64:U64,"x")=0,SUMPRODUCT((Besatzung!$B$11:$B$22&lt;&gt;"")*(Besatzung!$F$11:$F$22="x")),SUMPRODUCT((J64:U64="x")*(Besatzung!$F$11:$F$22="x"))),1))))),0))))</f>
        <v/>
      </c>
      <c r="Y64" s="247">
        <f>IF(C64="Gutschrift","",IF(G64="","",IF(Besatzung!$B$14="","",IFERROR(IF(I64="Zeitanteilig",(Besatzung!$G$14*(G64-IFERROR(H64,0))+((Besatzung!$B$14&lt;&gt;"")*IF(B64="",1,(IF(Besatzung!$C$14="",Besatzung!$B$5,Besatzung!$C$14)&lt;=B64)*(IF(Besatzung!$D$14="",Besatzung!$B$6,Besatzung!$D$14)&gt;=B64)))*(Besatzung!$F$14="x")*IFERROR(H64,0)/IFERROR(SUMPRODUCT((Besatzung!$B$11:$B$22&lt;&gt;"")*(Besatzung!$F$11:$F$22="x")*(IF(Besatzung!$C$11:$C$22="",Besatzung!$B$5,Besatzung!$C$11:$C$22)&lt;=B64)*(IF(Besatzung!$D$11:$D$22="",Besatzung!$B$6,Besatzung!$D$11:$D$22)&gt;=B64)),1)),IF(I64="An Bord",(((Besatzung!$B$14&lt;&gt;"")*IF(B64="",1,(IF(Besatzung!$C$14="",Besatzung!$B$5,Besatzung!$C$14)&lt;=B64)*(IF(Besatzung!$D$14="",Besatzung!$B$6,Besatzung!$D$14)&gt;=B64)))*((G64-IFERROR(H64,0))/IFERROR(SUMPRODUCT((Besatzung!$B$11:$B$22&lt;&gt;"")*(IF(Besatzung!$C$11:$C$22="",Besatzung!$B$5,Besatzung!$C$11:$C$22)&lt;=B64)*(IF(Besatzung!$D$11:$D$22="",Besatzung!$B$6,Besatzung!$D$11:$D$22)&gt;=B64)),1)+(Besatzung!$F$14="x")*IFERROR(H64,0)/IFERROR(SUMPRODUCT((Besatzung!$B$11:$B$22&lt;&gt;"")*(Besatzung!$F$11:$F$22="x")*(IF(Besatzung!$C$11:$C$22="",Besatzung!$B$5,Besatzung!$C$11:$C$22)&lt;=B64)*(IF(Besatzung!$D$11:$D$22="",Besatzung!$B$6,Besatzung!$D$11:$D$22)&gt;=B64)),1))),IF(I64="Individuell",((M64="x")*((G64-IFERROR(H64,0))/IFERROR(COUNTIF(J64:U64,"x"),1)+(Besatzung!$F$14="x")*IFERROR(H64,0)/IFERROR(SUMPRODUCT((J64:U64="x")*(Besatzung!$F$11:$F$22="x")),1))),(IF(COUNTIF(J64:U64,"x")=0,IF(Besatzung!$B$14&lt;&gt;"",1,0),(M64="x"))*(G64-IFERROR(H64,0))/IFERROR(IF(COUNTIF(J64:U64,"x")=0,COUNTA(Besatzung!$B$11:$B$22),COUNTIF(J64:U64,"x")),1)+IF(COUNTIF(J64:U64,"x")=0,(Besatzung!$F$14="x"),(M64="x")*(Besatzung!$F$14="x"))*IFERROR(H64,0)/IFERROR(IF(COUNTIF(J64:U64,"x")=0,SUMPRODUCT((Besatzung!$B$11:$B$22&lt;&gt;"")*(Besatzung!$F$11:$F$22="x")),SUMPRODUCT((J64:U64="x")*(Besatzung!$F$11:$F$22="x"))),1))))),0))))</f>
        <v/>
      </c>
      <c r="Z64" s="247">
        <f>IF(C64="Gutschrift","",IF(G64="","",IF(Besatzung!$B$13="","",IFERROR(IF(I64="Zeitanteilig",(Besatzung!$G$15*(G64-IFERROR(H64,0))+((Besatzung!$B$13&lt;&gt;"")*IF(B64="",1,(IF(Besatzung!$C$15="",Besatzung!$B$5,Besatzung!$C$15)&lt;=B64)*(IF(Besatzung!$D$15="",Besatzung!$B$6,Besatzung!$D$15)&gt;=B64)))*(Besatzung!$F$15="x")*IFERROR(H64,0)/IFERROR(SUMPRODUCT((Besatzung!$B$11:$B$22&lt;&gt;"")*(Besatzung!$F$11:$F$22="x")*(IF(Besatzung!$C$11:$C$22="",Besatzung!$B$5,Besatzung!$C$11:$C$22)&lt;=B64)*(IF(Besatzung!$D$11:$D$22="",Besatzung!$B$6,Besatzung!$D$11:$D$22)&gt;=B64)),1)),IF(I64="An Bord",(((Besatzung!$B$13&lt;&gt;"")*IF(B64="",1,(IF(Besatzung!$C$15="",Besatzung!$B$5,Besatzung!$C$15)&lt;=B64)*(IF(Besatzung!$D$15="",Besatzung!$B$6,Besatzung!$D$15)&gt;=B64)))*((G64-IFERROR(H64,0))/IFERROR(SUMPRODUCT((Besatzung!$B$11:$B$22&lt;&gt;"")*(IF(Besatzung!$C$11:$C$22="",Besatzung!$B$5,Besatzung!$C$11:$C$22)&lt;=B64)*(IF(Besatzung!$D$11:$D$22="",Besatzung!$B$6,Besatzung!$D$11:$D$22)&gt;=B64)),1)+(Besatzung!$F$15="x")*IFERROR(H64,0)/IFERROR(SUMPRODUCT((Besatzung!$B$11:$B$22&lt;&gt;"")*(Besatzung!$F$11:$F$22="x")*(IF(Besatzung!$C$11:$C$22="",Besatzung!$B$5,Besatzung!$C$11:$C$22)&lt;=B64)*(IF(Besatzung!$D$11:$D$22="",Besatzung!$B$6,Besatzung!$D$11:$D$22)&gt;=B64)),1))),IF(I64="Individuell",((N64="x")*((G64-IFERROR(H64,0))/IFERROR(COUNTIF(J64:U64,"x"),1)+(Besatzung!$F$15="x")*IFERROR(H64,0)/IFERROR(SUMPRODUCT((J64:U64="x")*(Besatzung!$F$11:$F$22="x")),1))),(IF(COUNTIF(J64:U64,"x")=0,IF(Besatzung!$B$13&lt;&gt;"",1,0),(N64="x"))*(G64-IFERROR(H64,0))/IFERROR(IF(COUNTIF(J64:U64,"x")=0,COUNTA(Besatzung!$B$11:$B$22),COUNTIF(J64:U64,"x")),1)+IF(COUNTIF(J64:U64,"x")=0,(Besatzung!$F$15="x"),(N64="x")*(Besatzung!$F$15="x"))*IFERROR(H64,0)/IFERROR(IF(COUNTIF(J64:U64,"x")=0,SUMPRODUCT((Besatzung!$B$11:$B$22&lt;&gt;"")*(Besatzung!$F$11:$F$22="x")),SUMPRODUCT((J64:U64="x")*(Besatzung!$F$11:$F$22="x"))),1))))),0))))</f>
        <v/>
      </c>
      <c r="AA64" s="247">
        <f>IF(C64="Gutschrift","",IF(G64="","",IF(Besatzung!$B$15="","",IFERROR(IF(I64="Zeitanteilig",(Besatzung!$G$16*(G64-IFERROR(H64,0))+((Besatzung!$B$15&lt;&gt;"")*IF(B64="",1,(IF(Besatzung!$C$16="",Besatzung!$B$5,Besatzung!$C$16)&lt;=B64)*(IF(Besatzung!$D$16="",Besatzung!$B$6,Besatzung!$D$16)&gt;=B64)))*(Besatzung!$F$16="x")*IFERROR(H64,0)/IFERROR(SUMPRODUCT((Besatzung!$B$11:$B$22&lt;&gt;"")*(Besatzung!$F$11:$F$22="x")*(IF(Besatzung!$C$11:$C$22="",Besatzung!$B$5,Besatzung!$C$11:$C$22)&lt;=B64)*(IF(Besatzung!$D$11:$D$22="",Besatzung!$B$6,Besatzung!$D$11:$D$22)&gt;=B64)),1)),IF(I64="An Bord",(((Besatzung!$B$15&lt;&gt;"")*IF(B64="",1,(IF(Besatzung!$C$16="",Besatzung!$B$5,Besatzung!$C$16)&lt;=B64)*(IF(Besatzung!$D$16="",Besatzung!$B$6,Besatzung!$D$16)&gt;=B64)))*((G64-IFERROR(H64,0))/IFERROR(SUMPRODUCT((Besatzung!$B$11:$B$22&lt;&gt;"")*(IF(Besatzung!$C$11:$C$22="",Besatzung!$B$5,Besatzung!$C$11:$C$22)&lt;=B64)*(IF(Besatzung!$D$11:$D$22="",Besatzung!$B$6,Besatzung!$D$11:$D$22)&gt;=B64)),1)+(Besatzung!$F$16="x")*IFERROR(H64,0)/IFERROR(SUMPRODUCT((Besatzung!$B$11:$B$22&lt;&gt;"")*(Besatzung!$F$11:$F$22="x")*(IF(Besatzung!$C$11:$C$22="",Besatzung!$B$5,Besatzung!$C$11:$C$22)&lt;=B64)*(IF(Besatzung!$D$11:$D$22="",Besatzung!$B$6,Besatzung!$D$11:$D$22)&gt;=B64)),1))),IF(I64="Individuell",((O64="x")*((G64-IFERROR(H64,0))/IFERROR(COUNTIF(J64:U64,"x"),1)+(Besatzung!$F$16="x")*IFERROR(H64,0)/IFERROR(SUMPRODUCT((J64:U64="x")*(Besatzung!$F$11:$F$22="x")),1))),(IF(COUNTIF(J64:U64,"x")=0,IF(Besatzung!$B$15&lt;&gt;"",1,0),(O64="x"))*(G64-IFERROR(H64,0))/IFERROR(IF(COUNTIF(J64:U64,"x")=0,COUNTA(Besatzung!$B$11:$B$22),COUNTIF(J64:U64,"x")),1)+IF(COUNTIF(J64:U64,"x")=0,(Besatzung!$F$16="x"),(O64="x")*(Besatzung!$F$16="x"))*IFERROR(H64,0)/IFERROR(IF(COUNTIF(J64:U64,"x")=0,SUMPRODUCT((Besatzung!$B$11:$B$22&lt;&gt;"")*(Besatzung!$F$11:$F$22="x")),SUMPRODUCT((J64:U64="x")*(Besatzung!$F$11:$F$22="x"))),1))))),0))))</f>
        <v/>
      </c>
      <c r="AB64" s="247">
        <f>IF(C64="Gutschrift","",IF(G64="","",IF(Besatzung!$B$17="","",IFERROR(IF(I64="Zeitanteilig",(Besatzung!$G$17*(G64-IFERROR(H64,0))+((Besatzung!$B$17&lt;&gt;"")*IF(B64="",1,(IF(Besatzung!$C$17="",Besatzung!$B$5,Besatzung!$C$17)&lt;=B64)*(IF(Besatzung!$D$17="",Besatzung!$B$6,Besatzung!$D$17)&gt;=B64)))*(Besatzung!$F$17="x")*IFERROR(H64,0)/IFERROR(SUMPRODUCT((Besatzung!$B$11:$B$22&lt;&gt;"")*(Besatzung!$F$11:$F$22="x")*(IF(Besatzung!$C$11:$C$22="",Besatzung!$B$5,Besatzung!$C$11:$C$22)&lt;=B64)*(IF(Besatzung!$D$11:$D$22="",Besatzung!$B$6,Besatzung!$D$11:$D$22)&gt;=B64)),1)),IF(I64="An Bord",(((Besatzung!$B$17&lt;&gt;"")*IF(B64="",1,(IF(Besatzung!$C$17="",Besatzung!$B$5,Besatzung!$C$17)&lt;=B64)*(IF(Besatzung!$D$17="",Besatzung!$B$6,Besatzung!$D$17)&gt;=B64)))*((G64-IFERROR(H64,0))/IFERROR(SUMPRODUCT((Besatzung!$B$11:$B$22&lt;&gt;"")*(IF(Besatzung!$C$11:$C$22="",Besatzung!$B$5,Besatzung!$C$11:$C$22)&lt;=B64)*(IF(Besatzung!$D$11:$D$22="",Besatzung!$B$6,Besatzung!$D$11:$D$22)&gt;=B64)),1)+(Besatzung!$F$17="x")*IFERROR(H64,0)/IFERROR(SUMPRODUCT((Besatzung!$B$11:$B$22&lt;&gt;"")*(Besatzung!$F$11:$F$22="x")*(IF(Besatzung!$C$11:$C$22="",Besatzung!$B$5,Besatzung!$C$11:$C$22)&lt;=B64)*(IF(Besatzung!$D$11:$D$22="",Besatzung!$B$6,Besatzung!$D$11:$D$22)&gt;=B64)),1))),IF(I64="Individuell",((P64="x")*((G64-IFERROR(H64,0))/IFERROR(COUNTIF(J64:U64,"x"),1)+(Besatzung!$F$17="x")*IFERROR(H64,0)/IFERROR(SUMPRODUCT((J64:U64="x")*(Besatzung!$F$11:$F$22="x")),1))),(IF(COUNTIF(J64:U64,"x")=0,IF(Besatzung!$B$17&lt;&gt;"",1,0),(P64="x"))*(G64-IFERROR(H64,0))/IFERROR(IF(COUNTIF(J64:U64,"x")=0,COUNTA(Besatzung!$B$11:$B$22),COUNTIF(J64:U64,"x")),1)+IF(COUNTIF(J64:U64,"x")=0,(Besatzung!$F$17="x"),(P64="x")*(Besatzung!$F$17="x"))*IFERROR(H64,0)/IFERROR(IF(COUNTIF(J64:U64,"x")=0,SUMPRODUCT((Besatzung!$B$11:$B$22&lt;&gt;"")*(Besatzung!$F$11:$F$22="x")),SUMPRODUCT((J64:U64="x")*(Besatzung!$F$11:$F$22="x"))),1))))),0))))</f>
        <v/>
      </c>
      <c r="AC64" s="247">
        <f>IF(C64="Gutschrift","",IF(G64="","",IF(Besatzung!$B$18="","",IFERROR(IF(I64="Zeitanteilig",(Besatzung!$G$18*(G64-IFERROR(H64,0))+((Besatzung!$B$18&lt;&gt;"")*IF(B64="",1,(IF(Besatzung!$C$18="",Besatzung!$B$5,Besatzung!$C$18)&lt;=B64)*(IF(Besatzung!$D$18="",Besatzung!$B$6,Besatzung!$D$18)&gt;=B64)))*(Besatzung!$F$18="x")*IFERROR(H64,0)/IFERROR(SUMPRODUCT((Besatzung!$B$11:$B$22&lt;&gt;"")*(Besatzung!$F$11:$F$22="x")*(IF(Besatzung!$C$11:$C$22="",Besatzung!$B$5,Besatzung!$C$11:$C$22)&lt;=B64)*(IF(Besatzung!$D$11:$D$22="",Besatzung!$B$6,Besatzung!$D$11:$D$22)&gt;=B64)),1)),IF(I64="An Bord",(((Besatzung!$B$18&lt;&gt;"")*IF(B64="",1,(IF(Besatzung!$C$18="",Besatzung!$B$5,Besatzung!$C$18)&lt;=B64)*(IF(Besatzung!$D$18="",Besatzung!$B$6,Besatzung!$D$18)&gt;=B64)))*((G64-IFERROR(H64,0))/IFERROR(SUMPRODUCT((Besatzung!$B$11:$B$22&lt;&gt;"")*(IF(Besatzung!$C$11:$C$22="",Besatzung!$B$5,Besatzung!$C$11:$C$22)&lt;=B64)*(IF(Besatzung!$D$11:$D$22="",Besatzung!$B$6,Besatzung!$D$11:$D$22)&gt;=B64)),1)+(Besatzung!$F$18="x")*IFERROR(H64,0)/IFERROR(SUMPRODUCT((Besatzung!$B$11:$B$22&lt;&gt;"")*(Besatzung!$F$11:$F$22="x")*(IF(Besatzung!$C$11:$C$22="",Besatzung!$B$5,Besatzung!$C$11:$C$22)&lt;=B64)*(IF(Besatzung!$D$11:$D$22="",Besatzung!$B$6,Besatzung!$D$11:$D$22)&gt;=B64)),1))),IF(I64="Individuell",((Q64="x")*((G64-IFERROR(H64,0))/IFERROR(COUNTIF(J64:U64,"x"),1)+(Besatzung!$F$18="x")*IFERROR(H64,0)/IFERROR(SUMPRODUCT((J64:U64="x")*(Besatzung!$F$11:$F$22="x")),1))),(IF(COUNTIF(J64:U64,"x")=0,IF(Besatzung!$B$18&lt;&gt;"",1,0),(Q64="x"))*(G64-IFERROR(H64,0))/IFERROR(IF(COUNTIF(J64:U64,"x")=0,COUNTA(Besatzung!$B$11:$B$22),COUNTIF(J64:U64,"x")),1)+IF(COUNTIF(J64:U64,"x")=0,(Besatzung!$F$18="x"),(Q64="x")*(Besatzung!$F$18="x"))*IFERROR(H64,0)/IFERROR(IF(COUNTIF(J64:U64,"x")=0,SUMPRODUCT((Besatzung!$B$11:$B$22&lt;&gt;"")*(Besatzung!$F$11:$F$22="x")),SUMPRODUCT((J64:U64="x")*(Besatzung!$F$11:$F$22="x"))),1))))),0))))</f>
        <v/>
      </c>
      <c r="AD64" s="247">
        <f>IF(C64="Gutschrift","",IF(G64="","",IF(Besatzung!$B$19="","",IFERROR(IF(I64="Zeitanteilig",(Besatzung!$G$19*(G64-IFERROR(H64,0))+((Besatzung!$B$19&lt;&gt;"")*IF(B64="",1,(IF(Besatzung!$C$19="",Besatzung!$B$5,Besatzung!$C$19)&lt;=B64)*(IF(Besatzung!$D$19="",Besatzung!$B$6,Besatzung!$D$19)&gt;=B64)))*(Besatzung!$F$19="x")*IFERROR(H64,0)/IFERROR(SUMPRODUCT((Besatzung!$B$11:$B$22&lt;&gt;"")*(Besatzung!$F$11:$F$22="x")*(IF(Besatzung!$C$11:$C$22="",Besatzung!$B$5,Besatzung!$C$11:$C$22)&lt;=B64)*(IF(Besatzung!$D$11:$D$22="",Besatzung!$B$6,Besatzung!$D$11:$D$22)&gt;=B64)),1)),IF(I64="An Bord",(((Besatzung!$B$19&lt;&gt;"")*IF(B64="",1,(IF(Besatzung!$C$19="",Besatzung!$B$5,Besatzung!$C$19)&lt;=B64)*(IF(Besatzung!$D$19="",Besatzung!$B$6,Besatzung!$D$19)&gt;=B64)))*((G64-IFERROR(H64,0))/IFERROR(SUMPRODUCT((Besatzung!$B$11:$B$22&lt;&gt;"")*(IF(Besatzung!$C$11:$C$22="",Besatzung!$B$5,Besatzung!$C$11:$C$22)&lt;=B64)*(IF(Besatzung!$D$11:$D$22="",Besatzung!$B$6,Besatzung!$D$11:$D$22)&gt;=B64)),1)+(Besatzung!$F$19="x")*IFERROR(H64,0)/IFERROR(SUMPRODUCT((Besatzung!$B$11:$B$22&lt;&gt;"")*(Besatzung!$F$11:$F$22="x")*(IF(Besatzung!$C$11:$C$22="",Besatzung!$B$5,Besatzung!$C$11:$C$22)&lt;=B64)*(IF(Besatzung!$D$11:$D$22="",Besatzung!$B$6,Besatzung!$D$11:$D$22)&gt;=B64)),1))),IF(I64="Individuell",((R64="x")*((G64-IFERROR(H64,0))/IFERROR(COUNTIF(J64:U64,"x"),1)+(Besatzung!$F$19="x")*IFERROR(H64,0)/IFERROR(SUMPRODUCT((J64:U64="x")*(Besatzung!$F$11:$F$22="x")),1))),(IF(COUNTIF(J64:U64,"x")=0,IF(Besatzung!$B$19&lt;&gt;"",1,0),(R64="x"))*(G64-IFERROR(H64,0))/IFERROR(IF(COUNTIF(J64:U64,"x")=0,COUNTA(Besatzung!$B$11:$B$22),COUNTIF(J64:U64,"x")),1)+IF(COUNTIF(J64:U64,"x")=0,(Besatzung!$F$19="x"),(R64="x")*(Besatzung!$F$19="x"))*IFERROR(H64,0)/IFERROR(IF(COUNTIF(J64:U64,"x")=0,SUMPRODUCT((Besatzung!$B$11:$B$22&lt;&gt;"")*(Besatzung!$F$11:$F$22="x")),SUMPRODUCT((J64:U64="x")*(Besatzung!$F$11:$F$22="x"))),1))))),0))))</f>
        <v/>
      </c>
      <c r="AE64" s="247">
        <f>IF(C64="Gutschrift","",IF(G64="","",IF(Besatzung!$B$20="","",IFERROR(IF(I64="Zeitanteilig",(Besatzung!$G$20*(G64-IFERROR(H64,0))+((Besatzung!$B$20&lt;&gt;"")*IF(B64="",1,(IF(Besatzung!$C$20="",Besatzung!$B$5,Besatzung!$C$20)&lt;=B64)*(IF(Besatzung!$D$20="",Besatzung!$B$6,Besatzung!$D$20)&gt;=B64)))*(Besatzung!$F$20="x")*IFERROR(H64,0)/IFERROR(SUMPRODUCT((Besatzung!$B$11:$B$22&lt;&gt;"")*(Besatzung!$F$11:$F$22="x")*(IF(Besatzung!$C$11:$C$22="",Besatzung!$B$5,Besatzung!$C$11:$C$22)&lt;=B64)*(IF(Besatzung!$D$11:$D$22="",Besatzung!$B$6,Besatzung!$D$11:$D$22)&gt;=B64)),1)),IF(I64="An Bord",(((Besatzung!$B$20&lt;&gt;"")*IF(B64="",1,(IF(Besatzung!$C$20="",Besatzung!$B$5,Besatzung!$C$20)&lt;=B64)*(IF(Besatzung!$D$20="",Besatzung!$B$6,Besatzung!$D$20)&gt;=B64)))*((G64-IFERROR(H64,0))/IFERROR(SUMPRODUCT((Besatzung!$B$11:$B$22&lt;&gt;"")*(IF(Besatzung!$C$11:$C$22="",Besatzung!$B$5,Besatzung!$C$11:$C$22)&lt;=B64)*(IF(Besatzung!$D$11:$D$22="",Besatzung!$B$6,Besatzung!$D$11:$D$22)&gt;=B64)),1)+(Besatzung!$F$20="x")*IFERROR(H64,0)/IFERROR(SUMPRODUCT((Besatzung!$B$11:$B$22&lt;&gt;"")*(Besatzung!$F$11:$F$22="x")*(IF(Besatzung!$C$11:$C$22="",Besatzung!$B$5,Besatzung!$C$11:$C$22)&lt;=B64)*(IF(Besatzung!$D$11:$D$22="",Besatzung!$B$6,Besatzung!$D$11:$D$22)&gt;=B64)),1))),IF(I64="Individuell",((S64="x")*((G64-IFERROR(H64,0))/IFERROR(COUNTIF(J64:U64,"x"),1)+(Besatzung!$F$20="x")*IFERROR(H64,0)/IFERROR(SUMPRODUCT((J64:U64="x")*(Besatzung!$F$11:$F$22="x")),1))),(IF(COUNTIF(J64:U64,"x")=0,IF(Besatzung!$B$20&lt;&gt;"",1,0),(S64="x"))*(G64-IFERROR(H64,0))/IFERROR(IF(COUNTIF(J64:U64,"x")=0,COUNTA(Besatzung!$B$11:$B$22),COUNTIF(J64:U64,"x")),1)+IF(COUNTIF(J64:U64,"x")=0,(Besatzung!$F$20="x"),(S64="x")*(Besatzung!$F$20="x"))*IFERROR(H64,0)/IFERROR(IF(COUNTIF(J64:U64,"x")=0,SUMPRODUCT((Besatzung!$B$11:$B$22&lt;&gt;"")*(Besatzung!$F$11:$F$22="x")),SUMPRODUCT((J64:U64="x")*(Besatzung!$F$11:$F$22="x"))),1))))),0))))</f>
        <v/>
      </c>
      <c r="AF64" s="247">
        <f>IF(C64="Gutschrift","",IF(G64="","",IF(Besatzung!$B$21="","",IFERROR(IF(I64="Zeitanteilig",(Besatzung!$G$21*(G64-IFERROR(H64,0))+((Besatzung!$B$21&lt;&gt;"")*IF(B64="",1,(IF(Besatzung!$C$21="",Besatzung!$B$5,Besatzung!$C$21)&lt;=B64)*(IF(Besatzung!$D$21="",Besatzung!$B$6,Besatzung!$D$21)&gt;=B64)))*(Besatzung!$F$21="x")*IFERROR(H64,0)/IFERROR(SUMPRODUCT((Besatzung!$B$11:$B$22&lt;&gt;"")*(Besatzung!$F$11:$F$22="x")*(IF(Besatzung!$C$11:$C$22="",Besatzung!$B$5,Besatzung!$C$11:$C$22)&lt;=B64)*(IF(Besatzung!$D$11:$D$22="",Besatzung!$B$6,Besatzung!$D$11:$D$22)&gt;=B64)),1)),IF(I64="An Bord",(((Besatzung!$B$21&lt;&gt;"")*IF(B64="",1,(IF(Besatzung!$C$21="",Besatzung!$B$5,Besatzung!$C$21)&lt;=B64)*(IF(Besatzung!$D$21="",Besatzung!$B$6,Besatzung!$D$21)&gt;=B64)))*((G64-IFERROR(H64,0))/IFERROR(SUMPRODUCT((Besatzung!$B$11:$B$22&lt;&gt;"")*(IF(Besatzung!$C$11:$C$22="",Besatzung!$B$5,Besatzung!$C$11:$C$22)&lt;=B64)*(IF(Besatzung!$D$11:$D$22="",Besatzung!$B$6,Besatzung!$D$11:$D$22)&gt;=B64)),1)+(Besatzung!$F$21="x")*IFERROR(H64,0)/IFERROR(SUMPRODUCT((Besatzung!$B$11:$B$22&lt;&gt;"")*(Besatzung!$F$11:$F$22="x")*(IF(Besatzung!$C$11:$C$22="",Besatzung!$B$5,Besatzung!$C$11:$C$22)&lt;=B64)*(IF(Besatzung!$D$11:$D$22="",Besatzung!$B$6,Besatzung!$D$11:$D$22)&gt;=B64)),1))),IF(I64="Individuell",((T64="x")*((G64-IFERROR(H64,0))/IFERROR(COUNTIF(J64:U64,"x"),1)+(Besatzung!$F$21="x")*IFERROR(H64,0)/IFERROR(SUMPRODUCT((J64:U64="x")*(Besatzung!$F$11:$F$22="x")),1))),(IF(COUNTIF(J64:U64,"x")=0,IF(Besatzung!$B$21&lt;&gt;"",1,0),(T64="x"))*(G64-IFERROR(H64,0))/IFERROR(IF(COUNTIF(J64:U64,"x")=0,COUNTA(Besatzung!$B$11:$B$22),COUNTIF(J64:U64,"x")),1)+IF(COUNTIF(J64:U64,"x")=0,(Besatzung!$F$21="x"),(T64="x")*(Besatzung!$F$21="x"))*IFERROR(H64,0)/IFERROR(IF(COUNTIF(J64:U64,"x")=0,SUMPRODUCT((Besatzung!$B$11:$B$22&lt;&gt;"")*(Besatzung!$F$11:$F$22="x")),SUMPRODUCT((J64:U64="x")*(Besatzung!$F$11:$F$22="x"))),1))))),0))))</f>
        <v/>
      </c>
      <c r="AG64" s="247">
        <f>IF(C64="Gutschrift","",IF(G64="","",IF(Besatzung!$B$22="","",IFERROR(IF(I64="Zeitanteilig",(Besatzung!$G$22*(G64-IFERROR(H64,0))+((Besatzung!$B$22&lt;&gt;"")*IF(B64="",1,(IF(Besatzung!$C$22="",Besatzung!$B$5,Besatzung!$C$22)&lt;=B64)*(IF(Besatzung!$D$22="",Besatzung!$B$6,Besatzung!$D$22)&gt;=B64)))*(Besatzung!$F$22="x")*IFERROR(H64,0)/IFERROR(SUMPRODUCT((Besatzung!$B$11:$B$22&lt;&gt;"")*(Besatzung!$F$11:$F$22="x")*(IF(Besatzung!$C$11:$C$22="",Besatzung!$B$5,Besatzung!$C$11:$C$22)&lt;=B64)*(IF(Besatzung!$D$11:$D$22="",Besatzung!$B$6,Besatzung!$D$11:$D$22)&gt;=B64)),1)),IF(I64="An Bord",(((Besatzung!$B$22&lt;&gt;"")*IF(B64="",1,(IF(Besatzung!$C$22="",Besatzung!$B$5,Besatzung!$C$22)&lt;=B64)*(IF(Besatzung!$D$22="",Besatzung!$B$6,Besatzung!$D$22)&gt;=B64)))*((G64-IFERROR(H64,0))/IFERROR(SUMPRODUCT((Besatzung!$B$11:$B$22&lt;&gt;"")*(IF(Besatzung!$C$11:$C$22="",Besatzung!$B$5,Besatzung!$C$11:$C$22)&lt;=B64)*(IF(Besatzung!$D$11:$D$22="",Besatzung!$B$6,Besatzung!$D$11:$D$22)&gt;=B64)),1)+(Besatzung!$F$22="x")*IFERROR(H64,0)/IFERROR(SUMPRODUCT((Besatzung!$B$11:$B$22&lt;&gt;"")*(Besatzung!$F$11:$F$22="x")*(IF(Besatzung!$C$11:$C$22="",Besatzung!$B$5,Besatzung!$C$11:$C$22)&lt;=B64)*(IF(Besatzung!$D$11:$D$22="",Besatzung!$B$6,Besatzung!$D$11:$D$22)&gt;=B64)),1))),IF(I64="Individuell",((U64="x")*((G64-IFERROR(H64,0))/IFERROR(COUNTIF(J64:U64,"x"),1)+(Besatzung!$F$22="x")*IFERROR(H64,0)/IFERROR(SUMPRODUCT((J64:U64="x")*(Besatzung!$F$11:$F$22="x")),1))),(IF(COUNTIF(J64:U64,"x")=0,IF(Besatzung!$B$22&lt;&gt;"",1,0),(U64="x"))*(G64-IFERROR(H64,0))/IFERROR(IF(COUNTIF(J64:U64,"x")=0,COUNTA(Besatzung!$B$11:$B$22),COUNTIF(J64:U64,"x")),1)+IF(COUNTIF(J64:U64,"x")=0,(Besatzung!$F$22="x"),(U64="x")*(Besatzung!$F$22="x"))*IFERROR(H64,0)/IFERROR(IF(COUNTIF(J64:U64,"x")=0,SUMPRODUCT((Besatzung!$B$11:$B$22&lt;&gt;"")*(Besatzung!$F$11:$F$22="x")),SUMPRODUCT((J64:U64="x")*(Besatzung!$F$11:$F$22="x"))),1))))),0))))</f>
        <v/>
      </c>
      <c r="AH64" s="248" t="n"/>
      <c r="AI64" s="248" t="n"/>
    </row>
    <row r="65" ht="21.75" customHeight="1" s="154">
      <c r="A65" s="238">
        <f>IF(AND(D65="",C65=""),"",62)</f>
        <v/>
      </c>
      <c r="B65" s="206" t="n"/>
      <c r="C65" s="249" t="n"/>
      <c r="D65" s="250" t="n"/>
      <c r="E65" s="251" t="n"/>
      <c r="F65" s="252" t="n"/>
      <c r="G65" s="253" t="n"/>
      <c r="H65" s="254" t="n"/>
      <c r="I65" s="255" t="n"/>
      <c r="J65" s="256" t="n"/>
      <c r="K65" s="256" t="n"/>
      <c r="L65" s="256" t="n"/>
      <c r="M65" s="256" t="n"/>
      <c r="N65" s="256" t="n"/>
      <c r="O65" s="256" t="n"/>
      <c r="P65" s="256" t="n"/>
      <c r="Q65" s="256" t="n"/>
      <c r="R65" s="256" t="n"/>
      <c r="S65" s="256" t="n"/>
      <c r="T65" s="256" t="n"/>
      <c r="U65" s="256" t="n"/>
      <c r="V65" s="247">
        <f>IF(C65="Gutschrift","",IF(G65="","",IF(Besatzung!$B$11="","",IFERROR(IF(I65="Zeitanteilig",(Besatzung!$G$11*(G65-IFERROR(H65,0))+((Besatzung!$B$11&lt;&gt;"")*IF(B65="",1,(IF(Besatzung!$C$11="",Besatzung!$B$5,Besatzung!$C$11)&lt;=B65)*(IF(Besatzung!$D$11="",Besatzung!$B$6,Besatzung!$D$11)&gt;=B65)))*(Besatzung!$F$11="x")*IFERROR(H65,0)/IFERROR(SUMPRODUCT((Besatzung!$B$11:$B$22&lt;&gt;"")*(Besatzung!$F$11:$F$22="x")*(IF(Besatzung!$C$11:$C$22="",Besatzung!$B$5,Besatzung!$C$11:$C$22)&lt;=B65)*(IF(Besatzung!$D$11:$D$22="",Besatzung!$B$6,Besatzung!$D$11:$D$22)&gt;=B65)),1)),IF(I65="An Bord",(((Besatzung!$B$11&lt;&gt;"")*IF(B65="",1,(IF(Besatzung!$C$11="",Besatzung!$B$5,Besatzung!$C$11)&lt;=B65)*(IF(Besatzung!$D$11="",Besatzung!$B$6,Besatzung!$D$11)&gt;=B65)))*((G65-IFERROR(H65,0))/IFERROR(SUMPRODUCT((Besatzung!$B$11:$B$22&lt;&gt;"")*(IF(Besatzung!$C$11:$C$22="",Besatzung!$B$5,Besatzung!$C$11:$C$22)&lt;=B65)*(IF(Besatzung!$D$11:$D$22="",Besatzung!$B$6,Besatzung!$D$11:$D$22)&gt;=B65)),1)+(Besatzung!$F$11="x")*IFERROR(H65,0)/IFERROR(SUMPRODUCT((Besatzung!$B$11:$B$22&lt;&gt;"")*(Besatzung!$F$11:$F$22="x")*(IF(Besatzung!$C$11:$C$22="",Besatzung!$B$5,Besatzung!$C$11:$C$22)&lt;=B65)*(IF(Besatzung!$D$11:$D$22="",Besatzung!$B$6,Besatzung!$D$11:$D$22)&gt;=B65)),1))),IF(I65="Individuell",((J65="x")*((G65-IFERROR(H65,0))/IFERROR(COUNTIF(J65:U65,"x"),1)+(Besatzung!$F$11="x")*IFERROR(H65,0)/IFERROR(SUMPRODUCT((J65:U65="x")*(Besatzung!$F$11:$F$22="x")),1))),(IF(COUNTIF(J65:U65,"x")=0,IF(Besatzung!$B$11&lt;&gt;"",1,0),(J65="x"))*(G65-IFERROR(H65,0))/IFERROR(IF(COUNTIF(J65:U65,"x")=0,COUNTA(Besatzung!$B$11:$B$22),COUNTIF(J65:U65,"x")),1)+IF(COUNTIF(J65:U65,"x")=0,(Besatzung!$F$11="x"),(J65="x")*(Besatzung!$F$11="x"))*IFERROR(H65,0)/IFERROR(IF(COUNTIF(J65:U65,"x")=0,SUMPRODUCT((Besatzung!$B$11:$B$22&lt;&gt;"")*(Besatzung!$F$11:$F$22="x")),SUMPRODUCT((J65:U65="x")*(Besatzung!$F$11:$F$22="x"))),1))))),0))))</f>
        <v/>
      </c>
      <c r="W65" s="247">
        <f>IF(C65="Gutschrift","",IF(G65="","",IF(Besatzung!$B$12="","",IFERROR(IF(I65="Zeitanteilig",(Besatzung!$G$12*(G65-IFERROR(H65,0))+((Besatzung!$B$12&lt;&gt;"")*IF(B65="",1,(IF(Besatzung!$C$12="",Besatzung!$B$5,Besatzung!$C$12)&lt;=B65)*(IF(Besatzung!$D$12="",Besatzung!$B$6,Besatzung!$D$12)&gt;=B65)))*(Besatzung!$F$12="x")*IFERROR(H65,0)/IFERROR(SUMPRODUCT((Besatzung!$B$11:$B$22&lt;&gt;"")*(Besatzung!$F$11:$F$22="x")*(IF(Besatzung!$C$11:$C$22="",Besatzung!$B$5,Besatzung!$C$11:$C$22)&lt;=B65)*(IF(Besatzung!$D$11:$D$22="",Besatzung!$B$6,Besatzung!$D$11:$D$22)&gt;=B65)),1)),IF(I65="An Bord",(((Besatzung!$B$12&lt;&gt;"")*IF(B65="",1,(IF(Besatzung!$C$12="",Besatzung!$B$5,Besatzung!$C$12)&lt;=B65)*(IF(Besatzung!$D$12="",Besatzung!$B$6,Besatzung!$D$12)&gt;=B65)))*((G65-IFERROR(H65,0))/IFERROR(SUMPRODUCT((Besatzung!$B$11:$B$22&lt;&gt;"")*(IF(Besatzung!$C$11:$C$22="",Besatzung!$B$5,Besatzung!$C$11:$C$22)&lt;=B65)*(IF(Besatzung!$D$11:$D$22="",Besatzung!$B$6,Besatzung!$D$11:$D$22)&gt;=B65)),1)+(Besatzung!$F$12="x")*IFERROR(H65,0)/IFERROR(SUMPRODUCT((Besatzung!$B$11:$B$22&lt;&gt;"")*(Besatzung!$F$11:$F$22="x")*(IF(Besatzung!$C$11:$C$22="",Besatzung!$B$5,Besatzung!$C$11:$C$22)&lt;=B65)*(IF(Besatzung!$D$11:$D$22="",Besatzung!$B$6,Besatzung!$D$11:$D$22)&gt;=B65)),1))),IF(I65="Individuell",((K65="x")*((G65-IFERROR(H65,0))/IFERROR(COUNTIF(J65:U65,"x"),1)+(Besatzung!$F$12="x")*IFERROR(H65,0)/IFERROR(SUMPRODUCT((J65:U65="x")*(Besatzung!$F$11:$F$22="x")),1))),(IF(COUNTIF(J65:U65,"x")=0,IF(Besatzung!$B$12&lt;&gt;"",1,0),(K65="x"))*(G65-IFERROR(H65,0))/IFERROR(IF(COUNTIF(J65:U65,"x")=0,COUNTA(Besatzung!$B$11:$B$22),COUNTIF(J65:U65,"x")),1)+IF(COUNTIF(J65:U65,"x")=0,(Besatzung!$F$12="x"),(K65="x")*(Besatzung!$F$12="x"))*IFERROR(H65,0)/IFERROR(IF(COUNTIF(J65:U65,"x")=0,SUMPRODUCT((Besatzung!$B$11:$B$22&lt;&gt;"")*(Besatzung!$F$11:$F$22="x")),SUMPRODUCT((J65:U65="x")*(Besatzung!$F$11:$F$22="x"))),1))))),0))))</f>
        <v/>
      </c>
      <c r="X65" s="247">
        <f>IF(C65="Gutschrift","",IF(G65="","",IF(Besatzung!$B$13="","",IFERROR(IF(I65="Zeitanteilig",(Besatzung!$G$13*(G65-IFERROR(H65,0))+((Besatzung!$B$13&lt;&gt;"")*IF(B65="",1,(IF(Besatzung!$C$13="",Besatzung!$B$5,Besatzung!$C$13)&lt;=B65)*(IF(Besatzung!$D$13="",Besatzung!$B$6,Besatzung!$D$13)&gt;=B65)))*(Besatzung!$F$13="x")*IFERROR(H65,0)/IFERROR(SUMPRODUCT((Besatzung!$B$11:$B$22&lt;&gt;"")*(Besatzung!$F$11:$F$22="x")*(IF(Besatzung!$C$11:$C$22="",Besatzung!$B$5,Besatzung!$C$11:$C$22)&lt;=B65)*(IF(Besatzung!$D$11:$D$22="",Besatzung!$B$6,Besatzung!$D$11:$D$22)&gt;=B65)),1)),IF(I65="An Bord",(((Besatzung!$B$13&lt;&gt;"")*IF(B65="",1,(IF(Besatzung!$C$13="",Besatzung!$B$5,Besatzung!$C$13)&lt;=B65)*(IF(Besatzung!$D$13="",Besatzung!$B$6,Besatzung!$D$13)&gt;=B65)))*((G65-IFERROR(H65,0))/IFERROR(SUMPRODUCT((Besatzung!$B$11:$B$22&lt;&gt;"")*(IF(Besatzung!$C$11:$C$22="",Besatzung!$B$5,Besatzung!$C$11:$C$22)&lt;=B65)*(IF(Besatzung!$D$11:$D$22="",Besatzung!$B$6,Besatzung!$D$11:$D$22)&gt;=B65)),1)+(Besatzung!$F$13="x")*IFERROR(H65,0)/IFERROR(SUMPRODUCT((Besatzung!$B$11:$B$22&lt;&gt;"")*(Besatzung!$F$11:$F$22="x")*(IF(Besatzung!$C$11:$C$22="",Besatzung!$B$5,Besatzung!$C$11:$C$22)&lt;=B65)*(IF(Besatzung!$D$11:$D$22="",Besatzung!$B$6,Besatzung!$D$11:$D$22)&gt;=B65)),1))),IF(I65="Individuell",((K65="x")*((G65-IFERROR(H65,0))/IFERROR(COUNTIF(J65:U65,"x"),1)+(Besatzung!$F$13="x")*IFERROR(H65,0)/IFERROR(SUMPRODUCT((J65:U65="x")*(Besatzung!$F$11:$F$22="x")),1))),(IF(COUNTIF(J65:U65,"x")=0,IF(Besatzung!$B$13&lt;&gt;"",1,0),(K65="x"))*(G65-IFERROR(H65,0))/IFERROR(IF(COUNTIF(J65:U65,"x")=0,COUNTA(Besatzung!$B$11:$B$22),COUNTIF(J65:U65,"x")),1)+IF(COUNTIF(J65:U65,"x")=0,(Besatzung!$F$13="x"),(K65="x")*(Besatzung!$F$13="x"))*IFERROR(H65,0)/IFERROR(IF(COUNTIF(J65:U65,"x")=0,SUMPRODUCT((Besatzung!$B$11:$B$22&lt;&gt;"")*(Besatzung!$F$11:$F$22="x")),SUMPRODUCT((J65:U65="x")*(Besatzung!$F$11:$F$22="x"))),1))))),0))))</f>
        <v/>
      </c>
      <c r="Y65" s="247">
        <f>IF(C65="Gutschrift","",IF(G65="","",IF(Besatzung!$B$14="","",IFERROR(IF(I65="Zeitanteilig",(Besatzung!$G$14*(G65-IFERROR(H65,0))+((Besatzung!$B$14&lt;&gt;"")*IF(B65="",1,(IF(Besatzung!$C$14="",Besatzung!$B$5,Besatzung!$C$14)&lt;=B65)*(IF(Besatzung!$D$14="",Besatzung!$B$6,Besatzung!$D$14)&gt;=B65)))*(Besatzung!$F$14="x")*IFERROR(H65,0)/IFERROR(SUMPRODUCT((Besatzung!$B$11:$B$22&lt;&gt;"")*(Besatzung!$F$11:$F$22="x")*(IF(Besatzung!$C$11:$C$22="",Besatzung!$B$5,Besatzung!$C$11:$C$22)&lt;=B65)*(IF(Besatzung!$D$11:$D$22="",Besatzung!$B$6,Besatzung!$D$11:$D$22)&gt;=B65)),1)),IF(I65="An Bord",(((Besatzung!$B$14&lt;&gt;"")*IF(B65="",1,(IF(Besatzung!$C$14="",Besatzung!$B$5,Besatzung!$C$14)&lt;=B65)*(IF(Besatzung!$D$14="",Besatzung!$B$6,Besatzung!$D$14)&gt;=B65)))*((G65-IFERROR(H65,0))/IFERROR(SUMPRODUCT((Besatzung!$B$11:$B$22&lt;&gt;"")*(IF(Besatzung!$C$11:$C$22="",Besatzung!$B$5,Besatzung!$C$11:$C$22)&lt;=B65)*(IF(Besatzung!$D$11:$D$22="",Besatzung!$B$6,Besatzung!$D$11:$D$22)&gt;=B65)),1)+(Besatzung!$F$14="x")*IFERROR(H65,0)/IFERROR(SUMPRODUCT((Besatzung!$B$11:$B$22&lt;&gt;"")*(Besatzung!$F$11:$F$22="x")*(IF(Besatzung!$C$11:$C$22="",Besatzung!$B$5,Besatzung!$C$11:$C$22)&lt;=B65)*(IF(Besatzung!$D$11:$D$22="",Besatzung!$B$6,Besatzung!$D$11:$D$22)&gt;=B65)),1))),IF(I65="Individuell",((M65="x")*((G65-IFERROR(H65,0))/IFERROR(COUNTIF(J65:U65,"x"),1)+(Besatzung!$F$14="x")*IFERROR(H65,0)/IFERROR(SUMPRODUCT((J65:U65="x")*(Besatzung!$F$11:$F$22="x")),1))),(IF(COUNTIF(J65:U65,"x")=0,IF(Besatzung!$B$14&lt;&gt;"",1,0),(M65="x"))*(G65-IFERROR(H65,0))/IFERROR(IF(COUNTIF(J65:U65,"x")=0,COUNTA(Besatzung!$B$11:$B$22),COUNTIF(J65:U65,"x")),1)+IF(COUNTIF(J65:U65,"x")=0,(Besatzung!$F$14="x"),(M65="x")*(Besatzung!$F$14="x"))*IFERROR(H65,0)/IFERROR(IF(COUNTIF(J65:U65,"x")=0,SUMPRODUCT((Besatzung!$B$11:$B$22&lt;&gt;"")*(Besatzung!$F$11:$F$22="x")),SUMPRODUCT((J65:U65="x")*(Besatzung!$F$11:$F$22="x"))),1))))),0))))</f>
        <v/>
      </c>
      <c r="Z65" s="247">
        <f>IF(C65="Gutschrift","",IF(G65="","",IF(Besatzung!$B$13="","",IFERROR(IF(I65="Zeitanteilig",(Besatzung!$G$15*(G65-IFERROR(H65,0))+((Besatzung!$B$13&lt;&gt;"")*IF(B65="",1,(IF(Besatzung!$C$15="",Besatzung!$B$5,Besatzung!$C$15)&lt;=B65)*(IF(Besatzung!$D$15="",Besatzung!$B$6,Besatzung!$D$15)&gt;=B65)))*(Besatzung!$F$15="x")*IFERROR(H65,0)/IFERROR(SUMPRODUCT((Besatzung!$B$11:$B$22&lt;&gt;"")*(Besatzung!$F$11:$F$22="x")*(IF(Besatzung!$C$11:$C$22="",Besatzung!$B$5,Besatzung!$C$11:$C$22)&lt;=B65)*(IF(Besatzung!$D$11:$D$22="",Besatzung!$B$6,Besatzung!$D$11:$D$22)&gt;=B65)),1)),IF(I65="An Bord",(((Besatzung!$B$13&lt;&gt;"")*IF(B65="",1,(IF(Besatzung!$C$15="",Besatzung!$B$5,Besatzung!$C$15)&lt;=B65)*(IF(Besatzung!$D$15="",Besatzung!$B$6,Besatzung!$D$15)&gt;=B65)))*((G65-IFERROR(H65,0))/IFERROR(SUMPRODUCT((Besatzung!$B$11:$B$22&lt;&gt;"")*(IF(Besatzung!$C$11:$C$22="",Besatzung!$B$5,Besatzung!$C$11:$C$22)&lt;=B65)*(IF(Besatzung!$D$11:$D$22="",Besatzung!$B$6,Besatzung!$D$11:$D$22)&gt;=B65)),1)+(Besatzung!$F$15="x")*IFERROR(H65,0)/IFERROR(SUMPRODUCT((Besatzung!$B$11:$B$22&lt;&gt;"")*(Besatzung!$F$11:$F$22="x")*(IF(Besatzung!$C$11:$C$22="",Besatzung!$B$5,Besatzung!$C$11:$C$22)&lt;=B65)*(IF(Besatzung!$D$11:$D$22="",Besatzung!$B$6,Besatzung!$D$11:$D$22)&gt;=B65)),1))),IF(I65="Individuell",((N65="x")*((G65-IFERROR(H65,0))/IFERROR(COUNTIF(J65:U65,"x"),1)+(Besatzung!$F$15="x")*IFERROR(H65,0)/IFERROR(SUMPRODUCT((J65:U65="x")*(Besatzung!$F$11:$F$22="x")),1))),(IF(COUNTIF(J65:U65,"x")=0,IF(Besatzung!$B$13&lt;&gt;"",1,0),(N65="x"))*(G65-IFERROR(H65,0))/IFERROR(IF(COUNTIF(J65:U65,"x")=0,COUNTA(Besatzung!$B$11:$B$22),COUNTIF(J65:U65,"x")),1)+IF(COUNTIF(J65:U65,"x")=0,(Besatzung!$F$15="x"),(N65="x")*(Besatzung!$F$15="x"))*IFERROR(H65,0)/IFERROR(IF(COUNTIF(J65:U65,"x")=0,SUMPRODUCT((Besatzung!$B$11:$B$22&lt;&gt;"")*(Besatzung!$F$11:$F$22="x")),SUMPRODUCT((J65:U65="x")*(Besatzung!$F$11:$F$22="x"))),1))))),0))))</f>
        <v/>
      </c>
      <c r="AA65" s="247">
        <f>IF(C65="Gutschrift","",IF(G65="","",IF(Besatzung!$B$15="","",IFERROR(IF(I65="Zeitanteilig",(Besatzung!$G$16*(G65-IFERROR(H65,0))+((Besatzung!$B$15&lt;&gt;"")*IF(B65="",1,(IF(Besatzung!$C$16="",Besatzung!$B$5,Besatzung!$C$16)&lt;=B65)*(IF(Besatzung!$D$16="",Besatzung!$B$6,Besatzung!$D$16)&gt;=B65)))*(Besatzung!$F$16="x")*IFERROR(H65,0)/IFERROR(SUMPRODUCT((Besatzung!$B$11:$B$22&lt;&gt;"")*(Besatzung!$F$11:$F$22="x")*(IF(Besatzung!$C$11:$C$22="",Besatzung!$B$5,Besatzung!$C$11:$C$22)&lt;=B65)*(IF(Besatzung!$D$11:$D$22="",Besatzung!$B$6,Besatzung!$D$11:$D$22)&gt;=B65)),1)),IF(I65="An Bord",(((Besatzung!$B$15&lt;&gt;"")*IF(B65="",1,(IF(Besatzung!$C$16="",Besatzung!$B$5,Besatzung!$C$16)&lt;=B65)*(IF(Besatzung!$D$16="",Besatzung!$B$6,Besatzung!$D$16)&gt;=B65)))*((G65-IFERROR(H65,0))/IFERROR(SUMPRODUCT((Besatzung!$B$11:$B$22&lt;&gt;"")*(IF(Besatzung!$C$11:$C$22="",Besatzung!$B$5,Besatzung!$C$11:$C$22)&lt;=B65)*(IF(Besatzung!$D$11:$D$22="",Besatzung!$B$6,Besatzung!$D$11:$D$22)&gt;=B65)),1)+(Besatzung!$F$16="x")*IFERROR(H65,0)/IFERROR(SUMPRODUCT((Besatzung!$B$11:$B$22&lt;&gt;"")*(Besatzung!$F$11:$F$22="x")*(IF(Besatzung!$C$11:$C$22="",Besatzung!$B$5,Besatzung!$C$11:$C$22)&lt;=B65)*(IF(Besatzung!$D$11:$D$22="",Besatzung!$B$6,Besatzung!$D$11:$D$22)&gt;=B65)),1))),IF(I65="Individuell",((O65="x")*((G65-IFERROR(H65,0))/IFERROR(COUNTIF(J65:U65,"x"),1)+(Besatzung!$F$16="x")*IFERROR(H65,0)/IFERROR(SUMPRODUCT((J65:U65="x")*(Besatzung!$F$11:$F$22="x")),1))),(IF(COUNTIF(J65:U65,"x")=0,IF(Besatzung!$B$15&lt;&gt;"",1,0),(O65="x"))*(G65-IFERROR(H65,0))/IFERROR(IF(COUNTIF(J65:U65,"x")=0,COUNTA(Besatzung!$B$11:$B$22),COUNTIF(J65:U65,"x")),1)+IF(COUNTIF(J65:U65,"x")=0,(Besatzung!$F$16="x"),(O65="x")*(Besatzung!$F$16="x"))*IFERROR(H65,0)/IFERROR(IF(COUNTIF(J65:U65,"x")=0,SUMPRODUCT((Besatzung!$B$11:$B$22&lt;&gt;"")*(Besatzung!$F$11:$F$22="x")),SUMPRODUCT((J65:U65="x")*(Besatzung!$F$11:$F$22="x"))),1))))),0))))</f>
        <v/>
      </c>
      <c r="AB65" s="247">
        <f>IF(C65="Gutschrift","",IF(G65="","",IF(Besatzung!$B$17="","",IFERROR(IF(I65="Zeitanteilig",(Besatzung!$G$17*(G65-IFERROR(H65,0))+((Besatzung!$B$17&lt;&gt;"")*IF(B65="",1,(IF(Besatzung!$C$17="",Besatzung!$B$5,Besatzung!$C$17)&lt;=B65)*(IF(Besatzung!$D$17="",Besatzung!$B$6,Besatzung!$D$17)&gt;=B65)))*(Besatzung!$F$17="x")*IFERROR(H65,0)/IFERROR(SUMPRODUCT((Besatzung!$B$11:$B$22&lt;&gt;"")*(Besatzung!$F$11:$F$22="x")*(IF(Besatzung!$C$11:$C$22="",Besatzung!$B$5,Besatzung!$C$11:$C$22)&lt;=B65)*(IF(Besatzung!$D$11:$D$22="",Besatzung!$B$6,Besatzung!$D$11:$D$22)&gt;=B65)),1)),IF(I65="An Bord",(((Besatzung!$B$17&lt;&gt;"")*IF(B65="",1,(IF(Besatzung!$C$17="",Besatzung!$B$5,Besatzung!$C$17)&lt;=B65)*(IF(Besatzung!$D$17="",Besatzung!$B$6,Besatzung!$D$17)&gt;=B65)))*((G65-IFERROR(H65,0))/IFERROR(SUMPRODUCT((Besatzung!$B$11:$B$22&lt;&gt;"")*(IF(Besatzung!$C$11:$C$22="",Besatzung!$B$5,Besatzung!$C$11:$C$22)&lt;=B65)*(IF(Besatzung!$D$11:$D$22="",Besatzung!$B$6,Besatzung!$D$11:$D$22)&gt;=B65)),1)+(Besatzung!$F$17="x")*IFERROR(H65,0)/IFERROR(SUMPRODUCT((Besatzung!$B$11:$B$22&lt;&gt;"")*(Besatzung!$F$11:$F$22="x")*(IF(Besatzung!$C$11:$C$22="",Besatzung!$B$5,Besatzung!$C$11:$C$22)&lt;=B65)*(IF(Besatzung!$D$11:$D$22="",Besatzung!$B$6,Besatzung!$D$11:$D$22)&gt;=B65)),1))),IF(I65="Individuell",((P65="x")*((G65-IFERROR(H65,0))/IFERROR(COUNTIF(J65:U65,"x"),1)+(Besatzung!$F$17="x")*IFERROR(H65,0)/IFERROR(SUMPRODUCT((J65:U65="x")*(Besatzung!$F$11:$F$22="x")),1))),(IF(COUNTIF(J65:U65,"x")=0,IF(Besatzung!$B$17&lt;&gt;"",1,0),(P65="x"))*(G65-IFERROR(H65,0))/IFERROR(IF(COUNTIF(J65:U65,"x")=0,COUNTA(Besatzung!$B$11:$B$22),COUNTIF(J65:U65,"x")),1)+IF(COUNTIF(J65:U65,"x")=0,(Besatzung!$F$17="x"),(P65="x")*(Besatzung!$F$17="x"))*IFERROR(H65,0)/IFERROR(IF(COUNTIF(J65:U65,"x")=0,SUMPRODUCT((Besatzung!$B$11:$B$22&lt;&gt;"")*(Besatzung!$F$11:$F$22="x")),SUMPRODUCT((J65:U65="x")*(Besatzung!$F$11:$F$22="x"))),1))))),0))))</f>
        <v/>
      </c>
      <c r="AC65" s="247">
        <f>IF(C65="Gutschrift","",IF(G65="","",IF(Besatzung!$B$18="","",IFERROR(IF(I65="Zeitanteilig",(Besatzung!$G$18*(G65-IFERROR(H65,0))+((Besatzung!$B$18&lt;&gt;"")*IF(B65="",1,(IF(Besatzung!$C$18="",Besatzung!$B$5,Besatzung!$C$18)&lt;=B65)*(IF(Besatzung!$D$18="",Besatzung!$B$6,Besatzung!$D$18)&gt;=B65)))*(Besatzung!$F$18="x")*IFERROR(H65,0)/IFERROR(SUMPRODUCT((Besatzung!$B$11:$B$22&lt;&gt;"")*(Besatzung!$F$11:$F$22="x")*(IF(Besatzung!$C$11:$C$22="",Besatzung!$B$5,Besatzung!$C$11:$C$22)&lt;=B65)*(IF(Besatzung!$D$11:$D$22="",Besatzung!$B$6,Besatzung!$D$11:$D$22)&gt;=B65)),1)),IF(I65="An Bord",(((Besatzung!$B$18&lt;&gt;"")*IF(B65="",1,(IF(Besatzung!$C$18="",Besatzung!$B$5,Besatzung!$C$18)&lt;=B65)*(IF(Besatzung!$D$18="",Besatzung!$B$6,Besatzung!$D$18)&gt;=B65)))*((G65-IFERROR(H65,0))/IFERROR(SUMPRODUCT((Besatzung!$B$11:$B$22&lt;&gt;"")*(IF(Besatzung!$C$11:$C$22="",Besatzung!$B$5,Besatzung!$C$11:$C$22)&lt;=B65)*(IF(Besatzung!$D$11:$D$22="",Besatzung!$B$6,Besatzung!$D$11:$D$22)&gt;=B65)),1)+(Besatzung!$F$18="x")*IFERROR(H65,0)/IFERROR(SUMPRODUCT((Besatzung!$B$11:$B$22&lt;&gt;"")*(Besatzung!$F$11:$F$22="x")*(IF(Besatzung!$C$11:$C$22="",Besatzung!$B$5,Besatzung!$C$11:$C$22)&lt;=B65)*(IF(Besatzung!$D$11:$D$22="",Besatzung!$B$6,Besatzung!$D$11:$D$22)&gt;=B65)),1))),IF(I65="Individuell",((Q65="x")*((G65-IFERROR(H65,0))/IFERROR(COUNTIF(J65:U65,"x"),1)+(Besatzung!$F$18="x")*IFERROR(H65,0)/IFERROR(SUMPRODUCT((J65:U65="x")*(Besatzung!$F$11:$F$22="x")),1))),(IF(COUNTIF(J65:U65,"x")=0,IF(Besatzung!$B$18&lt;&gt;"",1,0),(Q65="x"))*(G65-IFERROR(H65,0))/IFERROR(IF(COUNTIF(J65:U65,"x")=0,COUNTA(Besatzung!$B$11:$B$22),COUNTIF(J65:U65,"x")),1)+IF(COUNTIF(J65:U65,"x")=0,(Besatzung!$F$18="x"),(Q65="x")*(Besatzung!$F$18="x"))*IFERROR(H65,0)/IFERROR(IF(COUNTIF(J65:U65,"x")=0,SUMPRODUCT((Besatzung!$B$11:$B$22&lt;&gt;"")*(Besatzung!$F$11:$F$22="x")),SUMPRODUCT((J65:U65="x")*(Besatzung!$F$11:$F$22="x"))),1))))),0))))</f>
        <v/>
      </c>
      <c r="AD65" s="247">
        <f>IF(C65="Gutschrift","",IF(G65="","",IF(Besatzung!$B$19="","",IFERROR(IF(I65="Zeitanteilig",(Besatzung!$G$19*(G65-IFERROR(H65,0))+((Besatzung!$B$19&lt;&gt;"")*IF(B65="",1,(IF(Besatzung!$C$19="",Besatzung!$B$5,Besatzung!$C$19)&lt;=B65)*(IF(Besatzung!$D$19="",Besatzung!$B$6,Besatzung!$D$19)&gt;=B65)))*(Besatzung!$F$19="x")*IFERROR(H65,0)/IFERROR(SUMPRODUCT((Besatzung!$B$11:$B$22&lt;&gt;"")*(Besatzung!$F$11:$F$22="x")*(IF(Besatzung!$C$11:$C$22="",Besatzung!$B$5,Besatzung!$C$11:$C$22)&lt;=B65)*(IF(Besatzung!$D$11:$D$22="",Besatzung!$B$6,Besatzung!$D$11:$D$22)&gt;=B65)),1)),IF(I65="An Bord",(((Besatzung!$B$19&lt;&gt;"")*IF(B65="",1,(IF(Besatzung!$C$19="",Besatzung!$B$5,Besatzung!$C$19)&lt;=B65)*(IF(Besatzung!$D$19="",Besatzung!$B$6,Besatzung!$D$19)&gt;=B65)))*((G65-IFERROR(H65,0))/IFERROR(SUMPRODUCT((Besatzung!$B$11:$B$22&lt;&gt;"")*(IF(Besatzung!$C$11:$C$22="",Besatzung!$B$5,Besatzung!$C$11:$C$22)&lt;=B65)*(IF(Besatzung!$D$11:$D$22="",Besatzung!$B$6,Besatzung!$D$11:$D$22)&gt;=B65)),1)+(Besatzung!$F$19="x")*IFERROR(H65,0)/IFERROR(SUMPRODUCT((Besatzung!$B$11:$B$22&lt;&gt;"")*(Besatzung!$F$11:$F$22="x")*(IF(Besatzung!$C$11:$C$22="",Besatzung!$B$5,Besatzung!$C$11:$C$22)&lt;=B65)*(IF(Besatzung!$D$11:$D$22="",Besatzung!$B$6,Besatzung!$D$11:$D$22)&gt;=B65)),1))),IF(I65="Individuell",((R65="x")*((G65-IFERROR(H65,0))/IFERROR(COUNTIF(J65:U65,"x"),1)+(Besatzung!$F$19="x")*IFERROR(H65,0)/IFERROR(SUMPRODUCT((J65:U65="x")*(Besatzung!$F$11:$F$22="x")),1))),(IF(COUNTIF(J65:U65,"x")=0,IF(Besatzung!$B$19&lt;&gt;"",1,0),(R65="x"))*(G65-IFERROR(H65,0))/IFERROR(IF(COUNTIF(J65:U65,"x")=0,COUNTA(Besatzung!$B$11:$B$22),COUNTIF(J65:U65,"x")),1)+IF(COUNTIF(J65:U65,"x")=0,(Besatzung!$F$19="x"),(R65="x")*(Besatzung!$F$19="x"))*IFERROR(H65,0)/IFERROR(IF(COUNTIF(J65:U65,"x")=0,SUMPRODUCT((Besatzung!$B$11:$B$22&lt;&gt;"")*(Besatzung!$F$11:$F$22="x")),SUMPRODUCT((J65:U65="x")*(Besatzung!$F$11:$F$22="x"))),1))))),0))))</f>
        <v/>
      </c>
      <c r="AE65" s="247">
        <f>IF(C65="Gutschrift","",IF(G65="","",IF(Besatzung!$B$20="","",IFERROR(IF(I65="Zeitanteilig",(Besatzung!$G$20*(G65-IFERROR(H65,0))+((Besatzung!$B$20&lt;&gt;"")*IF(B65="",1,(IF(Besatzung!$C$20="",Besatzung!$B$5,Besatzung!$C$20)&lt;=B65)*(IF(Besatzung!$D$20="",Besatzung!$B$6,Besatzung!$D$20)&gt;=B65)))*(Besatzung!$F$20="x")*IFERROR(H65,0)/IFERROR(SUMPRODUCT((Besatzung!$B$11:$B$22&lt;&gt;"")*(Besatzung!$F$11:$F$22="x")*(IF(Besatzung!$C$11:$C$22="",Besatzung!$B$5,Besatzung!$C$11:$C$22)&lt;=B65)*(IF(Besatzung!$D$11:$D$22="",Besatzung!$B$6,Besatzung!$D$11:$D$22)&gt;=B65)),1)),IF(I65="An Bord",(((Besatzung!$B$20&lt;&gt;"")*IF(B65="",1,(IF(Besatzung!$C$20="",Besatzung!$B$5,Besatzung!$C$20)&lt;=B65)*(IF(Besatzung!$D$20="",Besatzung!$B$6,Besatzung!$D$20)&gt;=B65)))*((G65-IFERROR(H65,0))/IFERROR(SUMPRODUCT((Besatzung!$B$11:$B$22&lt;&gt;"")*(IF(Besatzung!$C$11:$C$22="",Besatzung!$B$5,Besatzung!$C$11:$C$22)&lt;=B65)*(IF(Besatzung!$D$11:$D$22="",Besatzung!$B$6,Besatzung!$D$11:$D$22)&gt;=B65)),1)+(Besatzung!$F$20="x")*IFERROR(H65,0)/IFERROR(SUMPRODUCT((Besatzung!$B$11:$B$22&lt;&gt;"")*(Besatzung!$F$11:$F$22="x")*(IF(Besatzung!$C$11:$C$22="",Besatzung!$B$5,Besatzung!$C$11:$C$22)&lt;=B65)*(IF(Besatzung!$D$11:$D$22="",Besatzung!$B$6,Besatzung!$D$11:$D$22)&gt;=B65)),1))),IF(I65="Individuell",((S65="x")*((G65-IFERROR(H65,0))/IFERROR(COUNTIF(J65:U65,"x"),1)+(Besatzung!$F$20="x")*IFERROR(H65,0)/IFERROR(SUMPRODUCT((J65:U65="x")*(Besatzung!$F$11:$F$22="x")),1))),(IF(COUNTIF(J65:U65,"x")=0,IF(Besatzung!$B$20&lt;&gt;"",1,0),(S65="x"))*(G65-IFERROR(H65,0))/IFERROR(IF(COUNTIF(J65:U65,"x")=0,COUNTA(Besatzung!$B$11:$B$22),COUNTIF(J65:U65,"x")),1)+IF(COUNTIF(J65:U65,"x")=0,(Besatzung!$F$20="x"),(S65="x")*(Besatzung!$F$20="x"))*IFERROR(H65,0)/IFERROR(IF(COUNTIF(J65:U65,"x")=0,SUMPRODUCT((Besatzung!$B$11:$B$22&lt;&gt;"")*(Besatzung!$F$11:$F$22="x")),SUMPRODUCT((J65:U65="x")*(Besatzung!$F$11:$F$22="x"))),1))))),0))))</f>
        <v/>
      </c>
      <c r="AF65" s="247">
        <f>IF(C65="Gutschrift","",IF(G65="","",IF(Besatzung!$B$21="","",IFERROR(IF(I65="Zeitanteilig",(Besatzung!$G$21*(G65-IFERROR(H65,0))+((Besatzung!$B$21&lt;&gt;"")*IF(B65="",1,(IF(Besatzung!$C$21="",Besatzung!$B$5,Besatzung!$C$21)&lt;=B65)*(IF(Besatzung!$D$21="",Besatzung!$B$6,Besatzung!$D$21)&gt;=B65)))*(Besatzung!$F$21="x")*IFERROR(H65,0)/IFERROR(SUMPRODUCT((Besatzung!$B$11:$B$22&lt;&gt;"")*(Besatzung!$F$11:$F$22="x")*(IF(Besatzung!$C$11:$C$22="",Besatzung!$B$5,Besatzung!$C$11:$C$22)&lt;=B65)*(IF(Besatzung!$D$11:$D$22="",Besatzung!$B$6,Besatzung!$D$11:$D$22)&gt;=B65)),1)),IF(I65="An Bord",(((Besatzung!$B$21&lt;&gt;"")*IF(B65="",1,(IF(Besatzung!$C$21="",Besatzung!$B$5,Besatzung!$C$21)&lt;=B65)*(IF(Besatzung!$D$21="",Besatzung!$B$6,Besatzung!$D$21)&gt;=B65)))*((G65-IFERROR(H65,0))/IFERROR(SUMPRODUCT((Besatzung!$B$11:$B$22&lt;&gt;"")*(IF(Besatzung!$C$11:$C$22="",Besatzung!$B$5,Besatzung!$C$11:$C$22)&lt;=B65)*(IF(Besatzung!$D$11:$D$22="",Besatzung!$B$6,Besatzung!$D$11:$D$22)&gt;=B65)),1)+(Besatzung!$F$21="x")*IFERROR(H65,0)/IFERROR(SUMPRODUCT((Besatzung!$B$11:$B$22&lt;&gt;"")*(Besatzung!$F$11:$F$22="x")*(IF(Besatzung!$C$11:$C$22="",Besatzung!$B$5,Besatzung!$C$11:$C$22)&lt;=B65)*(IF(Besatzung!$D$11:$D$22="",Besatzung!$B$6,Besatzung!$D$11:$D$22)&gt;=B65)),1))),IF(I65="Individuell",((T65="x")*((G65-IFERROR(H65,0))/IFERROR(COUNTIF(J65:U65,"x"),1)+(Besatzung!$F$21="x")*IFERROR(H65,0)/IFERROR(SUMPRODUCT((J65:U65="x")*(Besatzung!$F$11:$F$22="x")),1))),(IF(COUNTIF(J65:U65,"x")=0,IF(Besatzung!$B$21&lt;&gt;"",1,0),(T65="x"))*(G65-IFERROR(H65,0))/IFERROR(IF(COUNTIF(J65:U65,"x")=0,COUNTA(Besatzung!$B$11:$B$22),COUNTIF(J65:U65,"x")),1)+IF(COUNTIF(J65:U65,"x")=0,(Besatzung!$F$21="x"),(T65="x")*(Besatzung!$F$21="x"))*IFERROR(H65,0)/IFERROR(IF(COUNTIF(J65:U65,"x")=0,SUMPRODUCT((Besatzung!$B$11:$B$22&lt;&gt;"")*(Besatzung!$F$11:$F$22="x")),SUMPRODUCT((J65:U65="x")*(Besatzung!$F$11:$F$22="x"))),1))))),0))))</f>
        <v/>
      </c>
      <c r="AG65" s="247">
        <f>IF(C65="Gutschrift","",IF(G65="","",IF(Besatzung!$B$22="","",IFERROR(IF(I65="Zeitanteilig",(Besatzung!$G$22*(G65-IFERROR(H65,0))+((Besatzung!$B$22&lt;&gt;"")*IF(B65="",1,(IF(Besatzung!$C$22="",Besatzung!$B$5,Besatzung!$C$22)&lt;=B65)*(IF(Besatzung!$D$22="",Besatzung!$B$6,Besatzung!$D$22)&gt;=B65)))*(Besatzung!$F$22="x")*IFERROR(H65,0)/IFERROR(SUMPRODUCT((Besatzung!$B$11:$B$22&lt;&gt;"")*(Besatzung!$F$11:$F$22="x")*(IF(Besatzung!$C$11:$C$22="",Besatzung!$B$5,Besatzung!$C$11:$C$22)&lt;=B65)*(IF(Besatzung!$D$11:$D$22="",Besatzung!$B$6,Besatzung!$D$11:$D$22)&gt;=B65)),1)),IF(I65="An Bord",(((Besatzung!$B$22&lt;&gt;"")*IF(B65="",1,(IF(Besatzung!$C$22="",Besatzung!$B$5,Besatzung!$C$22)&lt;=B65)*(IF(Besatzung!$D$22="",Besatzung!$B$6,Besatzung!$D$22)&gt;=B65)))*((G65-IFERROR(H65,0))/IFERROR(SUMPRODUCT((Besatzung!$B$11:$B$22&lt;&gt;"")*(IF(Besatzung!$C$11:$C$22="",Besatzung!$B$5,Besatzung!$C$11:$C$22)&lt;=B65)*(IF(Besatzung!$D$11:$D$22="",Besatzung!$B$6,Besatzung!$D$11:$D$22)&gt;=B65)),1)+(Besatzung!$F$22="x")*IFERROR(H65,0)/IFERROR(SUMPRODUCT((Besatzung!$B$11:$B$22&lt;&gt;"")*(Besatzung!$F$11:$F$22="x")*(IF(Besatzung!$C$11:$C$22="",Besatzung!$B$5,Besatzung!$C$11:$C$22)&lt;=B65)*(IF(Besatzung!$D$11:$D$22="",Besatzung!$B$6,Besatzung!$D$11:$D$22)&gt;=B65)),1))),IF(I65="Individuell",((U65="x")*((G65-IFERROR(H65,0))/IFERROR(COUNTIF(J65:U65,"x"),1)+(Besatzung!$F$22="x")*IFERROR(H65,0)/IFERROR(SUMPRODUCT((J65:U65="x")*(Besatzung!$F$11:$F$22="x")),1))),(IF(COUNTIF(J65:U65,"x")=0,IF(Besatzung!$B$22&lt;&gt;"",1,0),(U65="x"))*(G65-IFERROR(H65,0))/IFERROR(IF(COUNTIF(J65:U65,"x")=0,COUNTA(Besatzung!$B$11:$B$22),COUNTIF(J65:U65,"x")),1)+IF(COUNTIF(J65:U65,"x")=0,(Besatzung!$F$22="x"),(U65="x")*(Besatzung!$F$22="x"))*IFERROR(H65,0)/IFERROR(IF(COUNTIF(J65:U65,"x")=0,SUMPRODUCT((Besatzung!$B$11:$B$22&lt;&gt;"")*(Besatzung!$F$11:$F$22="x")),SUMPRODUCT((J65:U65="x")*(Besatzung!$F$11:$F$22="x"))),1))))),0))))</f>
        <v/>
      </c>
      <c r="AH65" s="248" t="n"/>
      <c r="AI65" s="248" t="n"/>
    </row>
    <row r="66" ht="21.75" customHeight="1" s="154">
      <c r="A66" s="238">
        <f>IF(AND(D66="",C66=""),"",63)</f>
        <v/>
      </c>
      <c r="B66" s="199" t="n"/>
      <c r="C66" s="239" t="n"/>
      <c r="D66" s="240" t="n"/>
      <c r="E66" s="241" t="n"/>
      <c r="F66" s="242" t="n"/>
      <c r="G66" s="243" t="n"/>
      <c r="H66" s="244" t="n"/>
      <c r="I66" s="245" t="n"/>
      <c r="J66" s="246" t="n"/>
      <c r="K66" s="246" t="n"/>
      <c r="L66" s="246" t="n"/>
      <c r="M66" s="246" t="n"/>
      <c r="N66" s="246" t="n"/>
      <c r="O66" s="246" t="n"/>
      <c r="P66" s="246" t="n"/>
      <c r="Q66" s="246" t="n"/>
      <c r="R66" s="246" t="n"/>
      <c r="S66" s="246" t="n"/>
      <c r="T66" s="246" t="n"/>
      <c r="U66" s="246" t="n"/>
      <c r="V66" s="247">
        <f>IF(C66="Gutschrift","",IF(G66="","",IF(Besatzung!$B$11="","",IFERROR(IF(I66="Zeitanteilig",(Besatzung!$G$11*(G66-IFERROR(H66,0))+((Besatzung!$B$11&lt;&gt;"")*IF(B66="",1,(IF(Besatzung!$C$11="",Besatzung!$B$5,Besatzung!$C$11)&lt;=B66)*(IF(Besatzung!$D$11="",Besatzung!$B$6,Besatzung!$D$11)&gt;=B66)))*(Besatzung!$F$11="x")*IFERROR(H66,0)/IFERROR(SUMPRODUCT((Besatzung!$B$11:$B$22&lt;&gt;"")*(Besatzung!$F$11:$F$22="x")*(IF(Besatzung!$C$11:$C$22="",Besatzung!$B$5,Besatzung!$C$11:$C$22)&lt;=B66)*(IF(Besatzung!$D$11:$D$22="",Besatzung!$B$6,Besatzung!$D$11:$D$22)&gt;=B66)),1)),IF(I66="An Bord",(((Besatzung!$B$11&lt;&gt;"")*IF(B66="",1,(IF(Besatzung!$C$11="",Besatzung!$B$5,Besatzung!$C$11)&lt;=B66)*(IF(Besatzung!$D$11="",Besatzung!$B$6,Besatzung!$D$11)&gt;=B66)))*((G66-IFERROR(H66,0))/IFERROR(SUMPRODUCT((Besatzung!$B$11:$B$22&lt;&gt;"")*(IF(Besatzung!$C$11:$C$22="",Besatzung!$B$5,Besatzung!$C$11:$C$22)&lt;=B66)*(IF(Besatzung!$D$11:$D$22="",Besatzung!$B$6,Besatzung!$D$11:$D$22)&gt;=B66)),1)+(Besatzung!$F$11="x")*IFERROR(H66,0)/IFERROR(SUMPRODUCT((Besatzung!$B$11:$B$22&lt;&gt;"")*(Besatzung!$F$11:$F$22="x")*(IF(Besatzung!$C$11:$C$22="",Besatzung!$B$5,Besatzung!$C$11:$C$22)&lt;=B66)*(IF(Besatzung!$D$11:$D$22="",Besatzung!$B$6,Besatzung!$D$11:$D$22)&gt;=B66)),1))),IF(I66="Individuell",((J66="x")*((G66-IFERROR(H66,0))/IFERROR(COUNTIF(J66:U66,"x"),1)+(Besatzung!$F$11="x")*IFERROR(H66,0)/IFERROR(SUMPRODUCT((J66:U66="x")*(Besatzung!$F$11:$F$22="x")),1))),(IF(COUNTIF(J66:U66,"x")=0,IF(Besatzung!$B$11&lt;&gt;"",1,0),(J66="x"))*(G66-IFERROR(H66,0))/IFERROR(IF(COUNTIF(J66:U66,"x")=0,COUNTA(Besatzung!$B$11:$B$22),COUNTIF(J66:U66,"x")),1)+IF(COUNTIF(J66:U66,"x")=0,(Besatzung!$F$11="x"),(J66="x")*(Besatzung!$F$11="x"))*IFERROR(H66,0)/IFERROR(IF(COUNTIF(J66:U66,"x")=0,SUMPRODUCT((Besatzung!$B$11:$B$22&lt;&gt;"")*(Besatzung!$F$11:$F$22="x")),SUMPRODUCT((J66:U66="x")*(Besatzung!$F$11:$F$22="x"))),1))))),0))))</f>
        <v/>
      </c>
      <c r="W66" s="247">
        <f>IF(C66="Gutschrift","",IF(G66="","",IF(Besatzung!$B$12="","",IFERROR(IF(I66="Zeitanteilig",(Besatzung!$G$12*(G66-IFERROR(H66,0))+((Besatzung!$B$12&lt;&gt;"")*IF(B66="",1,(IF(Besatzung!$C$12="",Besatzung!$B$5,Besatzung!$C$12)&lt;=B66)*(IF(Besatzung!$D$12="",Besatzung!$B$6,Besatzung!$D$12)&gt;=B66)))*(Besatzung!$F$12="x")*IFERROR(H66,0)/IFERROR(SUMPRODUCT((Besatzung!$B$11:$B$22&lt;&gt;"")*(Besatzung!$F$11:$F$22="x")*(IF(Besatzung!$C$11:$C$22="",Besatzung!$B$5,Besatzung!$C$11:$C$22)&lt;=B66)*(IF(Besatzung!$D$11:$D$22="",Besatzung!$B$6,Besatzung!$D$11:$D$22)&gt;=B66)),1)),IF(I66="An Bord",(((Besatzung!$B$12&lt;&gt;"")*IF(B66="",1,(IF(Besatzung!$C$12="",Besatzung!$B$5,Besatzung!$C$12)&lt;=B66)*(IF(Besatzung!$D$12="",Besatzung!$B$6,Besatzung!$D$12)&gt;=B66)))*((G66-IFERROR(H66,0))/IFERROR(SUMPRODUCT((Besatzung!$B$11:$B$22&lt;&gt;"")*(IF(Besatzung!$C$11:$C$22="",Besatzung!$B$5,Besatzung!$C$11:$C$22)&lt;=B66)*(IF(Besatzung!$D$11:$D$22="",Besatzung!$B$6,Besatzung!$D$11:$D$22)&gt;=B66)),1)+(Besatzung!$F$12="x")*IFERROR(H66,0)/IFERROR(SUMPRODUCT((Besatzung!$B$11:$B$22&lt;&gt;"")*(Besatzung!$F$11:$F$22="x")*(IF(Besatzung!$C$11:$C$22="",Besatzung!$B$5,Besatzung!$C$11:$C$22)&lt;=B66)*(IF(Besatzung!$D$11:$D$22="",Besatzung!$B$6,Besatzung!$D$11:$D$22)&gt;=B66)),1))),IF(I66="Individuell",((K66="x")*((G66-IFERROR(H66,0))/IFERROR(COUNTIF(J66:U66,"x"),1)+(Besatzung!$F$12="x")*IFERROR(H66,0)/IFERROR(SUMPRODUCT((J66:U66="x")*(Besatzung!$F$11:$F$22="x")),1))),(IF(COUNTIF(J66:U66,"x")=0,IF(Besatzung!$B$12&lt;&gt;"",1,0),(K66="x"))*(G66-IFERROR(H66,0))/IFERROR(IF(COUNTIF(J66:U66,"x")=0,COUNTA(Besatzung!$B$11:$B$22),COUNTIF(J66:U66,"x")),1)+IF(COUNTIF(J66:U66,"x")=0,(Besatzung!$F$12="x"),(K66="x")*(Besatzung!$F$12="x"))*IFERROR(H66,0)/IFERROR(IF(COUNTIF(J66:U66,"x")=0,SUMPRODUCT((Besatzung!$B$11:$B$22&lt;&gt;"")*(Besatzung!$F$11:$F$22="x")),SUMPRODUCT((J66:U66="x")*(Besatzung!$F$11:$F$22="x"))),1))))),0))))</f>
        <v/>
      </c>
      <c r="X66" s="247">
        <f>IF(C66="Gutschrift","",IF(G66="","",IF(Besatzung!$B$13="","",IFERROR(IF(I66="Zeitanteilig",(Besatzung!$G$13*(G66-IFERROR(H66,0))+((Besatzung!$B$13&lt;&gt;"")*IF(B66="",1,(IF(Besatzung!$C$13="",Besatzung!$B$5,Besatzung!$C$13)&lt;=B66)*(IF(Besatzung!$D$13="",Besatzung!$B$6,Besatzung!$D$13)&gt;=B66)))*(Besatzung!$F$13="x")*IFERROR(H66,0)/IFERROR(SUMPRODUCT((Besatzung!$B$11:$B$22&lt;&gt;"")*(Besatzung!$F$11:$F$22="x")*(IF(Besatzung!$C$11:$C$22="",Besatzung!$B$5,Besatzung!$C$11:$C$22)&lt;=B66)*(IF(Besatzung!$D$11:$D$22="",Besatzung!$B$6,Besatzung!$D$11:$D$22)&gt;=B66)),1)),IF(I66="An Bord",(((Besatzung!$B$13&lt;&gt;"")*IF(B66="",1,(IF(Besatzung!$C$13="",Besatzung!$B$5,Besatzung!$C$13)&lt;=B66)*(IF(Besatzung!$D$13="",Besatzung!$B$6,Besatzung!$D$13)&gt;=B66)))*((G66-IFERROR(H66,0))/IFERROR(SUMPRODUCT((Besatzung!$B$11:$B$22&lt;&gt;"")*(IF(Besatzung!$C$11:$C$22="",Besatzung!$B$5,Besatzung!$C$11:$C$22)&lt;=B66)*(IF(Besatzung!$D$11:$D$22="",Besatzung!$B$6,Besatzung!$D$11:$D$22)&gt;=B66)),1)+(Besatzung!$F$13="x")*IFERROR(H66,0)/IFERROR(SUMPRODUCT((Besatzung!$B$11:$B$22&lt;&gt;"")*(Besatzung!$F$11:$F$22="x")*(IF(Besatzung!$C$11:$C$22="",Besatzung!$B$5,Besatzung!$C$11:$C$22)&lt;=B66)*(IF(Besatzung!$D$11:$D$22="",Besatzung!$B$6,Besatzung!$D$11:$D$22)&gt;=B66)),1))),IF(I66="Individuell",((K66="x")*((G66-IFERROR(H66,0))/IFERROR(COUNTIF(J66:U66,"x"),1)+(Besatzung!$F$13="x")*IFERROR(H66,0)/IFERROR(SUMPRODUCT((J66:U66="x")*(Besatzung!$F$11:$F$22="x")),1))),(IF(COUNTIF(J66:U66,"x")=0,IF(Besatzung!$B$13&lt;&gt;"",1,0),(K66="x"))*(G66-IFERROR(H66,0))/IFERROR(IF(COUNTIF(J66:U66,"x")=0,COUNTA(Besatzung!$B$11:$B$22),COUNTIF(J66:U66,"x")),1)+IF(COUNTIF(J66:U66,"x")=0,(Besatzung!$F$13="x"),(K66="x")*(Besatzung!$F$13="x"))*IFERROR(H66,0)/IFERROR(IF(COUNTIF(J66:U66,"x")=0,SUMPRODUCT((Besatzung!$B$11:$B$22&lt;&gt;"")*(Besatzung!$F$11:$F$22="x")),SUMPRODUCT((J66:U66="x")*(Besatzung!$F$11:$F$22="x"))),1))))),0))))</f>
        <v/>
      </c>
      <c r="Y66" s="247">
        <f>IF(C66="Gutschrift","",IF(G66="","",IF(Besatzung!$B$14="","",IFERROR(IF(I66="Zeitanteilig",(Besatzung!$G$14*(G66-IFERROR(H66,0))+((Besatzung!$B$14&lt;&gt;"")*IF(B66="",1,(IF(Besatzung!$C$14="",Besatzung!$B$5,Besatzung!$C$14)&lt;=B66)*(IF(Besatzung!$D$14="",Besatzung!$B$6,Besatzung!$D$14)&gt;=B66)))*(Besatzung!$F$14="x")*IFERROR(H66,0)/IFERROR(SUMPRODUCT((Besatzung!$B$11:$B$22&lt;&gt;"")*(Besatzung!$F$11:$F$22="x")*(IF(Besatzung!$C$11:$C$22="",Besatzung!$B$5,Besatzung!$C$11:$C$22)&lt;=B66)*(IF(Besatzung!$D$11:$D$22="",Besatzung!$B$6,Besatzung!$D$11:$D$22)&gt;=B66)),1)),IF(I66="An Bord",(((Besatzung!$B$14&lt;&gt;"")*IF(B66="",1,(IF(Besatzung!$C$14="",Besatzung!$B$5,Besatzung!$C$14)&lt;=B66)*(IF(Besatzung!$D$14="",Besatzung!$B$6,Besatzung!$D$14)&gt;=B66)))*((G66-IFERROR(H66,0))/IFERROR(SUMPRODUCT((Besatzung!$B$11:$B$22&lt;&gt;"")*(IF(Besatzung!$C$11:$C$22="",Besatzung!$B$5,Besatzung!$C$11:$C$22)&lt;=B66)*(IF(Besatzung!$D$11:$D$22="",Besatzung!$B$6,Besatzung!$D$11:$D$22)&gt;=B66)),1)+(Besatzung!$F$14="x")*IFERROR(H66,0)/IFERROR(SUMPRODUCT((Besatzung!$B$11:$B$22&lt;&gt;"")*(Besatzung!$F$11:$F$22="x")*(IF(Besatzung!$C$11:$C$22="",Besatzung!$B$5,Besatzung!$C$11:$C$22)&lt;=B66)*(IF(Besatzung!$D$11:$D$22="",Besatzung!$B$6,Besatzung!$D$11:$D$22)&gt;=B66)),1))),IF(I66="Individuell",((M66="x")*((G66-IFERROR(H66,0))/IFERROR(COUNTIF(J66:U66,"x"),1)+(Besatzung!$F$14="x")*IFERROR(H66,0)/IFERROR(SUMPRODUCT((J66:U66="x")*(Besatzung!$F$11:$F$22="x")),1))),(IF(COUNTIF(J66:U66,"x")=0,IF(Besatzung!$B$14&lt;&gt;"",1,0),(M66="x"))*(G66-IFERROR(H66,0))/IFERROR(IF(COUNTIF(J66:U66,"x")=0,COUNTA(Besatzung!$B$11:$B$22),COUNTIF(J66:U66,"x")),1)+IF(COUNTIF(J66:U66,"x")=0,(Besatzung!$F$14="x"),(M66="x")*(Besatzung!$F$14="x"))*IFERROR(H66,0)/IFERROR(IF(COUNTIF(J66:U66,"x")=0,SUMPRODUCT((Besatzung!$B$11:$B$22&lt;&gt;"")*(Besatzung!$F$11:$F$22="x")),SUMPRODUCT((J66:U66="x")*(Besatzung!$F$11:$F$22="x"))),1))))),0))))</f>
        <v/>
      </c>
      <c r="Z66" s="247">
        <f>IF(C66="Gutschrift","",IF(G66="","",IF(Besatzung!$B$13="","",IFERROR(IF(I66="Zeitanteilig",(Besatzung!$G$15*(G66-IFERROR(H66,0))+((Besatzung!$B$13&lt;&gt;"")*IF(B66="",1,(IF(Besatzung!$C$15="",Besatzung!$B$5,Besatzung!$C$15)&lt;=B66)*(IF(Besatzung!$D$15="",Besatzung!$B$6,Besatzung!$D$15)&gt;=B66)))*(Besatzung!$F$15="x")*IFERROR(H66,0)/IFERROR(SUMPRODUCT((Besatzung!$B$11:$B$22&lt;&gt;"")*(Besatzung!$F$11:$F$22="x")*(IF(Besatzung!$C$11:$C$22="",Besatzung!$B$5,Besatzung!$C$11:$C$22)&lt;=B66)*(IF(Besatzung!$D$11:$D$22="",Besatzung!$B$6,Besatzung!$D$11:$D$22)&gt;=B66)),1)),IF(I66="An Bord",(((Besatzung!$B$13&lt;&gt;"")*IF(B66="",1,(IF(Besatzung!$C$15="",Besatzung!$B$5,Besatzung!$C$15)&lt;=B66)*(IF(Besatzung!$D$15="",Besatzung!$B$6,Besatzung!$D$15)&gt;=B66)))*((G66-IFERROR(H66,0))/IFERROR(SUMPRODUCT((Besatzung!$B$11:$B$22&lt;&gt;"")*(IF(Besatzung!$C$11:$C$22="",Besatzung!$B$5,Besatzung!$C$11:$C$22)&lt;=B66)*(IF(Besatzung!$D$11:$D$22="",Besatzung!$B$6,Besatzung!$D$11:$D$22)&gt;=B66)),1)+(Besatzung!$F$15="x")*IFERROR(H66,0)/IFERROR(SUMPRODUCT((Besatzung!$B$11:$B$22&lt;&gt;"")*(Besatzung!$F$11:$F$22="x")*(IF(Besatzung!$C$11:$C$22="",Besatzung!$B$5,Besatzung!$C$11:$C$22)&lt;=B66)*(IF(Besatzung!$D$11:$D$22="",Besatzung!$B$6,Besatzung!$D$11:$D$22)&gt;=B66)),1))),IF(I66="Individuell",((N66="x")*((G66-IFERROR(H66,0))/IFERROR(COUNTIF(J66:U66,"x"),1)+(Besatzung!$F$15="x")*IFERROR(H66,0)/IFERROR(SUMPRODUCT((J66:U66="x")*(Besatzung!$F$11:$F$22="x")),1))),(IF(COUNTIF(J66:U66,"x")=0,IF(Besatzung!$B$13&lt;&gt;"",1,0),(N66="x"))*(G66-IFERROR(H66,0))/IFERROR(IF(COUNTIF(J66:U66,"x")=0,COUNTA(Besatzung!$B$11:$B$22),COUNTIF(J66:U66,"x")),1)+IF(COUNTIF(J66:U66,"x")=0,(Besatzung!$F$15="x"),(N66="x")*(Besatzung!$F$15="x"))*IFERROR(H66,0)/IFERROR(IF(COUNTIF(J66:U66,"x")=0,SUMPRODUCT((Besatzung!$B$11:$B$22&lt;&gt;"")*(Besatzung!$F$11:$F$22="x")),SUMPRODUCT((J66:U66="x")*(Besatzung!$F$11:$F$22="x"))),1))))),0))))</f>
        <v/>
      </c>
      <c r="AA66" s="247">
        <f>IF(C66="Gutschrift","",IF(G66="","",IF(Besatzung!$B$15="","",IFERROR(IF(I66="Zeitanteilig",(Besatzung!$G$16*(G66-IFERROR(H66,0))+((Besatzung!$B$15&lt;&gt;"")*IF(B66="",1,(IF(Besatzung!$C$16="",Besatzung!$B$5,Besatzung!$C$16)&lt;=B66)*(IF(Besatzung!$D$16="",Besatzung!$B$6,Besatzung!$D$16)&gt;=B66)))*(Besatzung!$F$16="x")*IFERROR(H66,0)/IFERROR(SUMPRODUCT((Besatzung!$B$11:$B$22&lt;&gt;"")*(Besatzung!$F$11:$F$22="x")*(IF(Besatzung!$C$11:$C$22="",Besatzung!$B$5,Besatzung!$C$11:$C$22)&lt;=B66)*(IF(Besatzung!$D$11:$D$22="",Besatzung!$B$6,Besatzung!$D$11:$D$22)&gt;=B66)),1)),IF(I66="An Bord",(((Besatzung!$B$15&lt;&gt;"")*IF(B66="",1,(IF(Besatzung!$C$16="",Besatzung!$B$5,Besatzung!$C$16)&lt;=B66)*(IF(Besatzung!$D$16="",Besatzung!$B$6,Besatzung!$D$16)&gt;=B66)))*((G66-IFERROR(H66,0))/IFERROR(SUMPRODUCT((Besatzung!$B$11:$B$22&lt;&gt;"")*(IF(Besatzung!$C$11:$C$22="",Besatzung!$B$5,Besatzung!$C$11:$C$22)&lt;=B66)*(IF(Besatzung!$D$11:$D$22="",Besatzung!$B$6,Besatzung!$D$11:$D$22)&gt;=B66)),1)+(Besatzung!$F$16="x")*IFERROR(H66,0)/IFERROR(SUMPRODUCT((Besatzung!$B$11:$B$22&lt;&gt;"")*(Besatzung!$F$11:$F$22="x")*(IF(Besatzung!$C$11:$C$22="",Besatzung!$B$5,Besatzung!$C$11:$C$22)&lt;=B66)*(IF(Besatzung!$D$11:$D$22="",Besatzung!$B$6,Besatzung!$D$11:$D$22)&gt;=B66)),1))),IF(I66="Individuell",((O66="x")*((G66-IFERROR(H66,0))/IFERROR(COUNTIF(J66:U66,"x"),1)+(Besatzung!$F$16="x")*IFERROR(H66,0)/IFERROR(SUMPRODUCT((J66:U66="x")*(Besatzung!$F$11:$F$22="x")),1))),(IF(COUNTIF(J66:U66,"x")=0,IF(Besatzung!$B$15&lt;&gt;"",1,0),(O66="x"))*(G66-IFERROR(H66,0))/IFERROR(IF(COUNTIF(J66:U66,"x")=0,COUNTA(Besatzung!$B$11:$B$22),COUNTIF(J66:U66,"x")),1)+IF(COUNTIF(J66:U66,"x")=0,(Besatzung!$F$16="x"),(O66="x")*(Besatzung!$F$16="x"))*IFERROR(H66,0)/IFERROR(IF(COUNTIF(J66:U66,"x")=0,SUMPRODUCT((Besatzung!$B$11:$B$22&lt;&gt;"")*(Besatzung!$F$11:$F$22="x")),SUMPRODUCT((J66:U66="x")*(Besatzung!$F$11:$F$22="x"))),1))))),0))))</f>
        <v/>
      </c>
      <c r="AB66" s="247">
        <f>IF(C66="Gutschrift","",IF(G66="","",IF(Besatzung!$B$17="","",IFERROR(IF(I66="Zeitanteilig",(Besatzung!$G$17*(G66-IFERROR(H66,0))+((Besatzung!$B$17&lt;&gt;"")*IF(B66="",1,(IF(Besatzung!$C$17="",Besatzung!$B$5,Besatzung!$C$17)&lt;=B66)*(IF(Besatzung!$D$17="",Besatzung!$B$6,Besatzung!$D$17)&gt;=B66)))*(Besatzung!$F$17="x")*IFERROR(H66,0)/IFERROR(SUMPRODUCT((Besatzung!$B$11:$B$22&lt;&gt;"")*(Besatzung!$F$11:$F$22="x")*(IF(Besatzung!$C$11:$C$22="",Besatzung!$B$5,Besatzung!$C$11:$C$22)&lt;=B66)*(IF(Besatzung!$D$11:$D$22="",Besatzung!$B$6,Besatzung!$D$11:$D$22)&gt;=B66)),1)),IF(I66="An Bord",(((Besatzung!$B$17&lt;&gt;"")*IF(B66="",1,(IF(Besatzung!$C$17="",Besatzung!$B$5,Besatzung!$C$17)&lt;=B66)*(IF(Besatzung!$D$17="",Besatzung!$B$6,Besatzung!$D$17)&gt;=B66)))*((G66-IFERROR(H66,0))/IFERROR(SUMPRODUCT((Besatzung!$B$11:$B$22&lt;&gt;"")*(IF(Besatzung!$C$11:$C$22="",Besatzung!$B$5,Besatzung!$C$11:$C$22)&lt;=B66)*(IF(Besatzung!$D$11:$D$22="",Besatzung!$B$6,Besatzung!$D$11:$D$22)&gt;=B66)),1)+(Besatzung!$F$17="x")*IFERROR(H66,0)/IFERROR(SUMPRODUCT((Besatzung!$B$11:$B$22&lt;&gt;"")*(Besatzung!$F$11:$F$22="x")*(IF(Besatzung!$C$11:$C$22="",Besatzung!$B$5,Besatzung!$C$11:$C$22)&lt;=B66)*(IF(Besatzung!$D$11:$D$22="",Besatzung!$B$6,Besatzung!$D$11:$D$22)&gt;=B66)),1))),IF(I66="Individuell",((P66="x")*((G66-IFERROR(H66,0))/IFERROR(COUNTIF(J66:U66,"x"),1)+(Besatzung!$F$17="x")*IFERROR(H66,0)/IFERROR(SUMPRODUCT((J66:U66="x")*(Besatzung!$F$11:$F$22="x")),1))),(IF(COUNTIF(J66:U66,"x")=0,IF(Besatzung!$B$17&lt;&gt;"",1,0),(P66="x"))*(G66-IFERROR(H66,0))/IFERROR(IF(COUNTIF(J66:U66,"x")=0,COUNTA(Besatzung!$B$11:$B$22),COUNTIF(J66:U66,"x")),1)+IF(COUNTIF(J66:U66,"x")=0,(Besatzung!$F$17="x"),(P66="x")*(Besatzung!$F$17="x"))*IFERROR(H66,0)/IFERROR(IF(COUNTIF(J66:U66,"x")=0,SUMPRODUCT((Besatzung!$B$11:$B$22&lt;&gt;"")*(Besatzung!$F$11:$F$22="x")),SUMPRODUCT((J66:U66="x")*(Besatzung!$F$11:$F$22="x"))),1))))),0))))</f>
        <v/>
      </c>
      <c r="AC66" s="247">
        <f>IF(C66="Gutschrift","",IF(G66="","",IF(Besatzung!$B$18="","",IFERROR(IF(I66="Zeitanteilig",(Besatzung!$G$18*(G66-IFERROR(H66,0))+((Besatzung!$B$18&lt;&gt;"")*IF(B66="",1,(IF(Besatzung!$C$18="",Besatzung!$B$5,Besatzung!$C$18)&lt;=B66)*(IF(Besatzung!$D$18="",Besatzung!$B$6,Besatzung!$D$18)&gt;=B66)))*(Besatzung!$F$18="x")*IFERROR(H66,0)/IFERROR(SUMPRODUCT((Besatzung!$B$11:$B$22&lt;&gt;"")*(Besatzung!$F$11:$F$22="x")*(IF(Besatzung!$C$11:$C$22="",Besatzung!$B$5,Besatzung!$C$11:$C$22)&lt;=B66)*(IF(Besatzung!$D$11:$D$22="",Besatzung!$B$6,Besatzung!$D$11:$D$22)&gt;=B66)),1)),IF(I66="An Bord",(((Besatzung!$B$18&lt;&gt;"")*IF(B66="",1,(IF(Besatzung!$C$18="",Besatzung!$B$5,Besatzung!$C$18)&lt;=B66)*(IF(Besatzung!$D$18="",Besatzung!$B$6,Besatzung!$D$18)&gt;=B66)))*((G66-IFERROR(H66,0))/IFERROR(SUMPRODUCT((Besatzung!$B$11:$B$22&lt;&gt;"")*(IF(Besatzung!$C$11:$C$22="",Besatzung!$B$5,Besatzung!$C$11:$C$22)&lt;=B66)*(IF(Besatzung!$D$11:$D$22="",Besatzung!$B$6,Besatzung!$D$11:$D$22)&gt;=B66)),1)+(Besatzung!$F$18="x")*IFERROR(H66,0)/IFERROR(SUMPRODUCT((Besatzung!$B$11:$B$22&lt;&gt;"")*(Besatzung!$F$11:$F$22="x")*(IF(Besatzung!$C$11:$C$22="",Besatzung!$B$5,Besatzung!$C$11:$C$22)&lt;=B66)*(IF(Besatzung!$D$11:$D$22="",Besatzung!$B$6,Besatzung!$D$11:$D$22)&gt;=B66)),1))),IF(I66="Individuell",((Q66="x")*((G66-IFERROR(H66,0))/IFERROR(COUNTIF(J66:U66,"x"),1)+(Besatzung!$F$18="x")*IFERROR(H66,0)/IFERROR(SUMPRODUCT((J66:U66="x")*(Besatzung!$F$11:$F$22="x")),1))),(IF(COUNTIF(J66:U66,"x")=0,IF(Besatzung!$B$18&lt;&gt;"",1,0),(Q66="x"))*(G66-IFERROR(H66,0))/IFERROR(IF(COUNTIF(J66:U66,"x")=0,COUNTA(Besatzung!$B$11:$B$22),COUNTIF(J66:U66,"x")),1)+IF(COUNTIF(J66:U66,"x")=0,(Besatzung!$F$18="x"),(Q66="x")*(Besatzung!$F$18="x"))*IFERROR(H66,0)/IFERROR(IF(COUNTIF(J66:U66,"x")=0,SUMPRODUCT((Besatzung!$B$11:$B$22&lt;&gt;"")*(Besatzung!$F$11:$F$22="x")),SUMPRODUCT((J66:U66="x")*(Besatzung!$F$11:$F$22="x"))),1))))),0))))</f>
        <v/>
      </c>
      <c r="AD66" s="247">
        <f>IF(C66="Gutschrift","",IF(G66="","",IF(Besatzung!$B$19="","",IFERROR(IF(I66="Zeitanteilig",(Besatzung!$G$19*(G66-IFERROR(H66,0))+((Besatzung!$B$19&lt;&gt;"")*IF(B66="",1,(IF(Besatzung!$C$19="",Besatzung!$B$5,Besatzung!$C$19)&lt;=B66)*(IF(Besatzung!$D$19="",Besatzung!$B$6,Besatzung!$D$19)&gt;=B66)))*(Besatzung!$F$19="x")*IFERROR(H66,0)/IFERROR(SUMPRODUCT((Besatzung!$B$11:$B$22&lt;&gt;"")*(Besatzung!$F$11:$F$22="x")*(IF(Besatzung!$C$11:$C$22="",Besatzung!$B$5,Besatzung!$C$11:$C$22)&lt;=B66)*(IF(Besatzung!$D$11:$D$22="",Besatzung!$B$6,Besatzung!$D$11:$D$22)&gt;=B66)),1)),IF(I66="An Bord",(((Besatzung!$B$19&lt;&gt;"")*IF(B66="",1,(IF(Besatzung!$C$19="",Besatzung!$B$5,Besatzung!$C$19)&lt;=B66)*(IF(Besatzung!$D$19="",Besatzung!$B$6,Besatzung!$D$19)&gt;=B66)))*((G66-IFERROR(H66,0))/IFERROR(SUMPRODUCT((Besatzung!$B$11:$B$22&lt;&gt;"")*(IF(Besatzung!$C$11:$C$22="",Besatzung!$B$5,Besatzung!$C$11:$C$22)&lt;=B66)*(IF(Besatzung!$D$11:$D$22="",Besatzung!$B$6,Besatzung!$D$11:$D$22)&gt;=B66)),1)+(Besatzung!$F$19="x")*IFERROR(H66,0)/IFERROR(SUMPRODUCT((Besatzung!$B$11:$B$22&lt;&gt;"")*(Besatzung!$F$11:$F$22="x")*(IF(Besatzung!$C$11:$C$22="",Besatzung!$B$5,Besatzung!$C$11:$C$22)&lt;=B66)*(IF(Besatzung!$D$11:$D$22="",Besatzung!$B$6,Besatzung!$D$11:$D$22)&gt;=B66)),1))),IF(I66="Individuell",((R66="x")*((G66-IFERROR(H66,0))/IFERROR(COUNTIF(J66:U66,"x"),1)+(Besatzung!$F$19="x")*IFERROR(H66,0)/IFERROR(SUMPRODUCT((J66:U66="x")*(Besatzung!$F$11:$F$22="x")),1))),(IF(COUNTIF(J66:U66,"x")=0,IF(Besatzung!$B$19&lt;&gt;"",1,0),(R66="x"))*(G66-IFERROR(H66,0))/IFERROR(IF(COUNTIF(J66:U66,"x")=0,COUNTA(Besatzung!$B$11:$B$22),COUNTIF(J66:U66,"x")),1)+IF(COUNTIF(J66:U66,"x")=0,(Besatzung!$F$19="x"),(R66="x")*(Besatzung!$F$19="x"))*IFERROR(H66,0)/IFERROR(IF(COUNTIF(J66:U66,"x")=0,SUMPRODUCT((Besatzung!$B$11:$B$22&lt;&gt;"")*(Besatzung!$F$11:$F$22="x")),SUMPRODUCT((J66:U66="x")*(Besatzung!$F$11:$F$22="x"))),1))))),0))))</f>
        <v/>
      </c>
      <c r="AE66" s="247">
        <f>IF(C66="Gutschrift","",IF(G66="","",IF(Besatzung!$B$20="","",IFERROR(IF(I66="Zeitanteilig",(Besatzung!$G$20*(G66-IFERROR(H66,0))+((Besatzung!$B$20&lt;&gt;"")*IF(B66="",1,(IF(Besatzung!$C$20="",Besatzung!$B$5,Besatzung!$C$20)&lt;=B66)*(IF(Besatzung!$D$20="",Besatzung!$B$6,Besatzung!$D$20)&gt;=B66)))*(Besatzung!$F$20="x")*IFERROR(H66,0)/IFERROR(SUMPRODUCT((Besatzung!$B$11:$B$22&lt;&gt;"")*(Besatzung!$F$11:$F$22="x")*(IF(Besatzung!$C$11:$C$22="",Besatzung!$B$5,Besatzung!$C$11:$C$22)&lt;=B66)*(IF(Besatzung!$D$11:$D$22="",Besatzung!$B$6,Besatzung!$D$11:$D$22)&gt;=B66)),1)),IF(I66="An Bord",(((Besatzung!$B$20&lt;&gt;"")*IF(B66="",1,(IF(Besatzung!$C$20="",Besatzung!$B$5,Besatzung!$C$20)&lt;=B66)*(IF(Besatzung!$D$20="",Besatzung!$B$6,Besatzung!$D$20)&gt;=B66)))*((G66-IFERROR(H66,0))/IFERROR(SUMPRODUCT((Besatzung!$B$11:$B$22&lt;&gt;"")*(IF(Besatzung!$C$11:$C$22="",Besatzung!$B$5,Besatzung!$C$11:$C$22)&lt;=B66)*(IF(Besatzung!$D$11:$D$22="",Besatzung!$B$6,Besatzung!$D$11:$D$22)&gt;=B66)),1)+(Besatzung!$F$20="x")*IFERROR(H66,0)/IFERROR(SUMPRODUCT((Besatzung!$B$11:$B$22&lt;&gt;"")*(Besatzung!$F$11:$F$22="x")*(IF(Besatzung!$C$11:$C$22="",Besatzung!$B$5,Besatzung!$C$11:$C$22)&lt;=B66)*(IF(Besatzung!$D$11:$D$22="",Besatzung!$B$6,Besatzung!$D$11:$D$22)&gt;=B66)),1))),IF(I66="Individuell",((S66="x")*((G66-IFERROR(H66,0))/IFERROR(COUNTIF(J66:U66,"x"),1)+(Besatzung!$F$20="x")*IFERROR(H66,0)/IFERROR(SUMPRODUCT((J66:U66="x")*(Besatzung!$F$11:$F$22="x")),1))),(IF(COUNTIF(J66:U66,"x")=0,IF(Besatzung!$B$20&lt;&gt;"",1,0),(S66="x"))*(G66-IFERROR(H66,0))/IFERROR(IF(COUNTIF(J66:U66,"x")=0,COUNTA(Besatzung!$B$11:$B$22),COUNTIF(J66:U66,"x")),1)+IF(COUNTIF(J66:U66,"x")=0,(Besatzung!$F$20="x"),(S66="x")*(Besatzung!$F$20="x"))*IFERROR(H66,0)/IFERROR(IF(COUNTIF(J66:U66,"x")=0,SUMPRODUCT((Besatzung!$B$11:$B$22&lt;&gt;"")*(Besatzung!$F$11:$F$22="x")),SUMPRODUCT((J66:U66="x")*(Besatzung!$F$11:$F$22="x"))),1))))),0))))</f>
        <v/>
      </c>
      <c r="AF66" s="247">
        <f>IF(C66="Gutschrift","",IF(G66="","",IF(Besatzung!$B$21="","",IFERROR(IF(I66="Zeitanteilig",(Besatzung!$G$21*(G66-IFERROR(H66,0))+((Besatzung!$B$21&lt;&gt;"")*IF(B66="",1,(IF(Besatzung!$C$21="",Besatzung!$B$5,Besatzung!$C$21)&lt;=B66)*(IF(Besatzung!$D$21="",Besatzung!$B$6,Besatzung!$D$21)&gt;=B66)))*(Besatzung!$F$21="x")*IFERROR(H66,0)/IFERROR(SUMPRODUCT((Besatzung!$B$11:$B$22&lt;&gt;"")*(Besatzung!$F$11:$F$22="x")*(IF(Besatzung!$C$11:$C$22="",Besatzung!$B$5,Besatzung!$C$11:$C$22)&lt;=B66)*(IF(Besatzung!$D$11:$D$22="",Besatzung!$B$6,Besatzung!$D$11:$D$22)&gt;=B66)),1)),IF(I66="An Bord",(((Besatzung!$B$21&lt;&gt;"")*IF(B66="",1,(IF(Besatzung!$C$21="",Besatzung!$B$5,Besatzung!$C$21)&lt;=B66)*(IF(Besatzung!$D$21="",Besatzung!$B$6,Besatzung!$D$21)&gt;=B66)))*((G66-IFERROR(H66,0))/IFERROR(SUMPRODUCT((Besatzung!$B$11:$B$22&lt;&gt;"")*(IF(Besatzung!$C$11:$C$22="",Besatzung!$B$5,Besatzung!$C$11:$C$22)&lt;=B66)*(IF(Besatzung!$D$11:$D$22="",Besatzung!$B$6,Besatzung!$D$11:$D$22)&gt;=B66)),1)+(Besatzung!$F$21="x")*IFERROR(H66,0)/IFERROR(SUMPRODUCT((Besatzung!$B$11:$B$22&lt;&gt;"")*(Besatzung!$F$11:$F$22="x")*(IF(Besatzung!$C$11:$C$22="",Besatzung!$B$5,Besatzung!$C$11:$C$22)&lt;=B66)*(IF(Besatzung!$D$11:$D$22="",Besatzung!$B$6,Besatzung!$D$11:$D$22)&gt;=B66)),1))),IF(I66="Individuell",((T66="x")*((G66-IFERROR(H66,0))/IFERROR(COUNTIF(J66:U66,"x"),1)+(Besatzung!$F$21="x")*IFERROR(H66,0)/IFERROR(SUMPRODUCT((J66:U66="x")*(Besatzung!$F$11:$F$22="x")),1))),(IF(COUNTIF(J66:U66,"x")=0,IF(Besatzung!$B$21&lt;&gt;"",1,0),(T66="x"))*(G66-IFERROR(H66,0))/IFERROR(IF(COUNTIF(J66:U66,"x")=0,COUNTA(Besatzung!$B$11:$B$22),COUNTIF(J66:U66,"x")),1)+IF(COUNTIF(J66:U66,"x")=0,(Besatzung!$F$21="x"),(T66="x")*(Besatzung!$F$21="x"))*IFERROR(H66,0)/IFERROR(IF(COUNTIF(J66:U66,"x")=0,SUMPRODUCT((Besatzung!$B$11:$B$22&lt;&gt;"")*(Besatzung!$F$11:$F$22="x")),SUMPRODUCT((J66:U66="x")*(Besatzung!$F$11:$F$22="x"))),1))))),0))))</f>
        <v/>
      </c>
      <c r="AG66" s="247">
        <f>IF(C66="Gutschrift","",IF(G66="","",IF(Besatzung!$B$22="","",IFERROR(IF(I66="Zeitanteilig",(Besatzung!$G$22*(G66-IFERROR(H66,0))+((Besatzung!$B$22&lt;&gt;"")*IF(B66="",1,(IF(Besatzung!$C$22="",Besatzung!$B$5,Besatzung!$C$22)&lt;=B66)*(IF(Besatzung!$D$22="",Besatzung!$B$6,Besatzung!$D$22)&gt;=B66)))*(Besatzung!$F$22="x")*IFERROR(H66,0)/IFERROR(SUMPRODUCT((Besatzung!$B$11:$B$22&lt;&gt;"")*(Besatzung!$F$11:$F$22="x")*(IF(Besatzung!$C$11:$C$22="",Besatzung!$B$5,Besatzung!$C$11:$C$22)&lt;=B66)*(IF(Besatzung!$D$11:$D$22="",Besatzung!$B$6,Besatzung!$D$11:$D$22)&gt;=B66)),1)),IF(I66="An Bord",(((Besatzung!$B$22&lt;&gt;"")*IF(B66="",1,(IF(Besatzung!$C$22="",Besatzung!$B$5,Besatzung!$C$22)&lt;=B66)*(IF(Besatzung!$D$22="",Besatzung!$B$6,Besatzung!$D$22)&gt;=B66)))*((G66-IFERROR(H66,0))/IFERROR(SUMPRODUCT((Besatzung!$B$11:$B$22&lt;&gt;"")*(IF(Besatzung!$C$11:$C$22="",Besatzung!$B$5,Besatzung!$C$11:$C$22)&lt;=B66)*(IF(Besatzung!$D$11:$D$22="",Besatzung!$B$6,Besatzung!$D$11:$D$22)&gt;=B66)),1)+(Besatzung!$F$22="x")*IFERROR(H66,0)/IFERROR(SUMPRODUCT((Besatzung!$B$11:$B$22&lt;&gt;"")*(Besatzung!$F$11:$F$22="x")*(IF(Besatzung!$C$11:$C$22="",Besatzung!$B$5,Besatzung!$C$11:$C$22)&lt;=B66)*(IF(Besatzung!$D$11:$D$22="",Besatzung!$B$6,Besatzung!$D$11:$D$22)&gt;=B66)),1))),IF(I66="Individuell",((U66="x")*((G66-IFERROR(H66,0))/IFERROR(COUNTIF(J66:U66,"x"),1)+(Besatzung!$F$22="x")*IFERROR(H66,0)/IFERROR(SUMPRODUCT((J66:U66="x")*(Besatzung!$F$11:$F$22="x")),1))),(IF(COUNTIF(J66:U66,"x")=0,IF(Besatzung!$B$22&lt;&gt;"",1,0),(U66="x"))*(G66-IFERROR(H66,0))/IFERROR(IF(COUNTIF(J66:U66,"x")=0,COUNTA(Besatzung!$B$11:$B$22),COUNTIF(J66:U66,"x")),1)+IF(COUNTIF(J66:U66,"x")=0,(Besatzung!$F$22="x"),(U66="x")*(Besatzung!$F$22="x"))*IFERROR(H66,0)/IFERROR(IF(COUNTIF(J66:U66,"x")=0,SUMPRODUCT((Besatzung!$B$11:$B$22&lt;&gt;"")*(Besatzung!$F$11:$F$22="x")),SUMPRODUCT((J66:U66="x")*(Besatzung!$F$11:$F$22="x"))),1))))),0))))</f>
        <v/>
      </c>
      <c r="AH66" s="248" t="n"/>
      <c r="AI66" s="248" t="n"/>
    </row>
    <row r="67" ht="21.75" customHeight="1" s="154">
      <c r="A67" s="238">
        <f>IF(AND(D67="",C67=""),"",64)</f>
        <v/>
      </c>
      <c r="B67" s="206" t="n"/>
      <c r="C67" s="249" t="n"/>
      <c r="D67" s="250" t="n"/>
      <c r="E67" s="251" t="n"/>
      <c r="F67" s="252" t="n"/>
      <c r="G67" s="253" t="n"/>
      <c r="H67" s="254" t="n"/>
      <c r="I67" s="255" t="n"/>
      <c r="J67" s="256" t="n"/>
      <c r="K67" s="256" t="n"/>
      <c r="L67" s="256" t="n"/>
      <c r="M67" s="256" t="n"/>
      <c r="N67" s="256" t="n"/>
      <c r="O67" s="256" t="n"/>
      <c r="P67" s="256" t="n"/>
      <c r="Q67" s="256" t="n"/>
      <c r="R67" s="256" t="n"/>
      <c r="S67" s="256" t="n"/>
      <c r="T67" s="256" t="n"/>
      <c r="U67" s="256" t="n"/>
      <c r="V67" s="247">
        <f>IF(C67="Gutschrift","",IF(G67="","",IF(Besatzung!$B$11="","",IFERROR(IF(I67="Zeitanteilig",(Besatzung!$G$11*(G67-IFERROR(H67,0))+((Besatzung!$B$11&lt;&gt;"")*IF(B67="",1,(IF(Besatzung!$C$11="",Besatzung!$B$5,Besatzung!$C$11)&lt;=B67)*(IF(Besatzung!$D$11="",Besatzung!$B$6,Besatzung!$D$11)&gt;=B67)))*(Besatzung!$F$11="x")*IFERROR(H67,0)/IFERROR(SUMPRODUCT((Besatzung!$B$11:$B$22&lt;&gt;"")*(Besatzung!$F$11:$F$22="x")*(IF(Besatzung!$C$11:$C$22="",Besatzung!$B$5,Besatzung!$C$11:$C$22)&lt;=B67)*(IF(Besatzung!$D$11:$D$22="",Besatzung!$B$6,Besatzung!$D$11:$D$22)&gt;=B67)),1)),IF(I67="An Bord",(((Besatzung!$B$11&lt;&gt;"")*IF(B67="",1,(IF(Besatzung!$C$11="",Besatzung!$B$5,Besatzung!$C$11)&lt;=B67)*(IF(Besatzung!$D$11="",Besatzung!$B$6,Besatzung!$D$11)&gt;=B67)))*((G67-IFERROR(H67,0))/IFERROR(SUMPRODUCT((Besatzung!$B$11:$B$22&lt;&gt;"")*(IF(Besatzung!$C$11:$C$22="",Besatzung!$B$5,Besatzung!$C$11:$C$22)&lt;=B67)*(IF(Besatzung!$D$11:$D$22="",Besatzung!$B$6,Besatzung!$D$11:$D$22)&gt;=B67)),1)+(Besatzung!$F$11="x")*IFERROR(H67,0)/IFERROR(SUMPRODUCT((Besatzung!$B$11:$B$22&lt;&gt;"")*(Besatzung!$F$11:$F$22="x")*(IF(Besatzung!$C$11:$C$22="",Besatzung!$B$5,Besatzung!$C$11:$C$22)&lt;=B67)*(IF(Besatzung!$D$11:$D$22="",Besatzung!$B$6,Besatzung!$D$11:$D$22)&gt;=B67)),1))),IF(I67="Individuell",((J67="x")*((G67-IFERROR(H67,0))/IFERROR(COUNTIF(J67:U67,"x"),1)+(Besatzung!$F$11="x")*IFERROR(H67,0)/IFERROR(SUMPRODUCT((J67:U67="x")*(Besatzung!$F$11:$F$22="x")),1))),(IF(COUNTIF(J67:U67,"x")=0,IF(Besatzung!$B$11&lt;&gt;"",1,0),(J67="x"))*(G67-IFERROR(H67,0))/IFERROR(IF(COUNTIF(J67:U67,"x")=0,COUNTA(Besatzung!$B$11:$B$22),COUNTIF(J67:U67,"x")),1)+IF(COUNTIF(J67:U67,"x")=0,(Besatzung!$F$11="x"),(J67="x")*(Besatzung!$F$11="x"))*IFERROR(H67,0)/IFERROR(IF(COUNTIF(J67:U67,"x")=0,SUMPRODUCT((Besatzung!$B$11:$B$22&lt;&gt;"")*(Besatzung!$F$11:$F$22="x")),SUMPRODUCT((J67:U67="x")*(Besatzung!$F$11:$F$22="x"))),1))))),0))))</f>
        <v/>
      </c>
      <c r="W67" s="247">
        <f>IF(C67="Gutschrift","",IF(G67="","",IF(Besatzung!$B$12="","",IFERROR(IF(I67="Zeitanteilig",(Besatzung!$G$12*(G67-IFERROR(H67,0))+((Besatzung!$B$12&lt;&gt;"")*IF(B67="",1,(IF(Besatzung!$C$12="",Besatzung!$B$5,Besatzung!$C$12)&lt;=B67)*(IF(Besatzung!$D$12="",Besatzung!$B$6,Besatzung!$D$12)&gt;=B67)))*(Besatzung!$F$12="x")*IFERROR(H67,0)/IFERROR(SUMPRODUCT((Besatzung!$B$11:$B$22&lt;&gt;"")*(Besatzung!$F$11:$F$22="x")*(IF(Besatzung!$C$11:$C$22="",Besatzung!$B$5,Besatzung!$C$11:$C$22)&lt;=B67)*(IF(Besatzung!$D$11:$D$22="",Besatzung!$B$6,Besatzung!$D$11:$D$22)&gt;=B67)),1)),IF(I67="An Bord",(((Besatzung!$B$12&lt;&gt;"")*IF(B67="",1,(IF(Besatzung!$C$12="",Besatzung!$B$5,Besatzung!$C$12)&lt;=B67)*(IF(Besatzung!$D$12="",Besatzung!$B$6,Besatzung!$D$12)&gt;=B67)))*((G67-IFERROR(H67,0))/IFERROR(SUMPRODUCT((Besatzung!$B$11:$B$22&lt;&gt;"")*(IF(Besatzung!$C$11:$C$22="",Besatzung!$B$5,Besatzung!$C$11:$C$22)&lt;=B67)*(IF(Besatzung!$D$11:$D$22="",Besatzung!$B$6,Besatzung!$D$11:$D$22)&gt;=B67)),1)+(Besatzung!$F$12="x")*IFERROR(H67,0)/IFERROR(SUMPRODUCT((Besatzung!$B$11:$B$22&lt;&gt;"")*(Besatzung!$F$11:$F$22="x")*(IF(Besatzung!$C$11:$C$22="",Besatzung!$B$5,Besatzung!$C$11:$C$22)&lt;=B67)*(IF(Besatzung!$D$11:$D$22="",Besatzung!$B$6,Besatzung!$D$11:$D$22)&gt;=B67)),1))),IF(I67="Individuell",((K67="x")*((G67-IFERROR(H67,0))/IFERROR(COUNTIF(J67:U67,"x"),1)+(Besatzung!$F$12="x")*IFERROR(H67,0)/IFERROR(SUMPRODUCT((J67:U67="x")*(Besatzung!$F$11:$F$22="x")),1))),(IF(COUNTIF(J67:U67,"x")=0,IF(Besatzung!$B$12&lt;&gt;"",1,0),(K67="x"))*(G67-IFERROR(H67,0))/IFERROR(IF(COUNTIF(J67:U67,"x")=0,COUNTA(Besatzung!$B$11:$B$22),COUNTIF(J67:U67,"x")),1)+IF(COUNTIF(J67:U67,"x")=0,(Besatzung!$F$12="x"),(K67="x")*(Besatzung!$F$12="x"))*IFERROR(H67,0)/IFERROR(IF(COUNTIF(J67:U67,"x")=0,SUMPRODUCT((Besatzung!$B$11:$B$22&lt;&gt;"")*(Besatzung!$F$11:$F$22="x")),SUMPRODUCT((J67:U67="x")*(Besatzung!$F$11:$F$22="x"))),1))))),0))))</f>
        <v/>
      </c>
      <c r="X67" s="247">
        <f>IF(C67="Gutschrift","",IF(G67="","",IF(Besatzung!$B$13="","",IFERROR(IF(I67="Zeitanteilig",(Besatzung!$G$13*(G67-IFERROR(H67,0))+((Besatzung!$B$13&lt;&gt;"")*IF(B67="",1,(IF(Besatzung!$C$13="",Besatzung!$B$5,Besatzung!$C$13)&lt;=B67)*(IF(Besatzung!$D$13="",Besatzung!$B$6,Besatzung!$D$13)&gt;=B67)))*(Besatzung!$F$13="x")*IFERROR(H67,0)/IFERROR(SUMPRODUCT((Besatzung!$B$11:$B$22&lt;&gt;"")*(Besatzung!$F$11:$F$22="x")*(IF(Besatzung!$C$11:$C$22="",Besatzung!$B$5,Besatzung!$C$11:$C$22)&lt;=B67)*(IF(Besatzung!$D$11:$D$22="",Besatzung!$B$6,Besatzung!$D$11:$D$22)&gt;=B67)),1)),IF(I67="An Bord",(((Besatzung!$B$13&lt;&gt;"")*IF(B67="",1,(IF(Besatzung!$C$13="",Besatzung!$B$5,Besatzung!$C$13)&lt;=B67)*(IF(Besatzung!$D$13="",Besatzung!$B$6,Besatzung!$D$13)&gt;=B67)))*((G67-IFERROR(H67,0))/IFERROR(SUMPRODUCT((Besatzung!$B$11:$B$22&lt;&gt;"")*(IF(Besatzung!$C$11:$C$22="",Besatzung!$B$5,Besatzung!$C$11:$C$22)&lt;=B67)*(IF(Besatzung!$D$11:$D$22="",Besatzung!$B$6,Besatzung!$D$11:$D$22)&gt;=B67)),1)+(Besatzung!$F$13="x")*IFERROR(H67,0)/IFERROR(SUMPRODUCT((Besatzung!$B$11:$B$22&lt;&gt;"")*(Besatzung!$F$11:$F$22="x")*(IF(Besatzung!$C$11:$C$22="",Besatzung!$B$5,Besatzung!$C$11:$C$22)&lt;=B67)*(IF(Besatzung!$D$11:$D$22="",Besatzung!$B$6,Besatzung!$D$11:$D$22)&gt;=B67)),1))),IF(I67="Individuell",((K67="x")*((G67-IFERROR(H67,0))/IFERROR(COUNTIF(J67:U67,"x"),1)+(Besatzung!$F$13="x")*IFERROR(H67,0)/IFERROR(SUMPRODUCT((J67:U67="x")*(Besatzung!$F$11:$F$22="x")),1))),(IF(COUNTIF(J67:U67,"x")=0,IF(Besatzung!$B$13&lt;&gt;"",1,0),(K67="x"))*(G67-IFERROR(H67,0))/IFERROR(IF(COUNTIF(J67:U67,"x")=0,COUNTA(Besatzung!$B$11:$B$22),COUNTIF(J67:U67,"x")),1)+IF(COUNTIF(J67:U67,"x")=0,(Besatzung!$F$13="x"),(K67="x")*(Besatzung!$F$13="x"))*IFERROR(H67,0)/IFERROR(IF(COUNTIF(J67:U67,"x")=0,SUMPRODUCT((Besatzung!$B$11:$B$22&lt;&gt;"")*(Besatzung!$F$11:$F$22="x")),SUMPRODUCT((J67:U67="x")*(Besatzung!$F$11:$F$22="x"))),1))))),0))))</f>
        <v/>
      </c>
      <c r="Y67" s="247">
        <f>IF(C67="Gutschrift","",IF(G67="","",IF(Besatzung!$B$14="","",IFERROR(IF(I67="Zeitanteilig",(Besatzung!$G$14*(G67-IFERROR(H67,0))+((Besatzung!$B$14&lt;&gt;"")*IF(B67="",1,(IF(Besatzung!$C$14="",Besatzung!$B$5,Besatzung!$C$14)&lt;=B67)*(IF(Besatzung!$D$14="",Besatzung!$B$6,Besatzung!$D$14)&gt;=B67)))*(Besatzung!$F$14="x")*IFERROR(H67,0)/IFERROR(SUMPRODUCT((Besatzung!$B$11:$B$22&lt;&gt;"")*(Besatzung!$F$11:$F$22="x")*(IF(Besatzung!$C$11:$C$22="",Besatzung!$B$5,Besatzung!$C$11:$C$22)&lt;=B67)*(IF(Besatzung!$D$11:$D$22="",Besatzung!$B$6,Besatzung!$D$11:$D$22)&gt;=B67)),1)),IF(I67="An Bord",(((Besatzung!$B$14&lt;&gt;"")*IF(B67="",1,(IF(Besatzung!$C$14="",Besatzung!$B$5,Besatzung!$C$14)&lt;=B67)*(IF(Besatzung!$D$14="",Besatzung!$B$6,Besatzung!$D$14)&gt;=B67)))*((G67-IFERROR(H67,0))/IFERROR(SUMPRODUCT((Besatzung!$B$11:$B$22&lt;&gt;"")*(IF(Besatzung!$C$11:$C$22="",Besatzung!$B$5,Besatzung!$C$11:$C$22)&lt;=B67)*(IF(Besatzung!$D$11:$D$22="",Besatzung!$B$6,Besatzung!$D$11:$D$22)&gt;=B67)),1)+(Besatzung!$F$14="x")*IFERROR(H67,0)/IFERROR(SUMPRODUCT((Besatzung!$B$11:$B$22&lt;&gt;"")*(Besatzung!$F$11:$F$22="x")*(IF(Besatzung!$C$11:$C$22="",Besatzung!$B$5,Besatzung!$C$11:$C$22)&lt;=B67)*(IF(Besatzung!$D$11:$D$22="",Besatzung!$B$6,Besatzung!$D$11:$D$22)&gt;=B67)),1))),IF(I67="Individuell",((M67="x")*((G67-IFERROR(H67,0))/IFERROR(COUNTIF(J67:U67,"x"),1)+(Besatzung!$F$14="x")*IFERROR(H67,0)/IFERROR(SUMPRODUCT((J67:U67="x")*(Besatzung!$F$11:$F$22="x")),1))),(IF(COUNTIF(J67:U67,"x")=0,IF(Besatzung!$B$14&lt;&gt;"",1,0),(M67="x"))*(G67-IFERROR(H67,0))/IFERROR(IF(COUNTIF(J67:U67,"x")=0,COUNTA(Besatzung!$B$11:$B$22),COUNTIF(J67:U67,"x")),1)+IF(COUNTIF(J67:U67,"x")=0,(Besatzung!$F$14="x"),(M67="x")*(Besatzung!$F$14="x"))*IFERROR(H67,0)/IFERROR(IF(COUNTIF(J67:U67,"x")=0,SUMPRODUCT((Besatzung!$B$11:$B$22&lt;&gt;"")*(Besatzung!$F$11:$F$22="x")),SUMPRODUCT((J67:U67="x")*(Besatzung!$F$11:$F$22="x"))),1))))),0))))</f>
        <v/>
      </c>
      <c r="Z67" s="247">
        <f>IF(C67="Gutschrift","",IF(G67="","",IF(Besatzung!$B$13="","",IFERROR(IF(I67="Zeitanteilig",(Besatzung!$G$15*(G67-IFERROR(H67,0))+((Besatzung!$B$13&lt;&gt;"")*IF(B67="",1,(IF(Besatzung!$C$15="",Besatzung!$B$5,Besatzung!$C$15)&lt;=B67)*(IF(Besatzung!$D$15="",Besatzung!$B$6,Besatzung!$D$15)&gt;=B67)))*(Besatzung!$F$15="x")*IFERROR(H67,0)/IFERROR(SUMPRODUCT((Besatzung!$B$11:$B$22&lt;&gt;"")*(Besatzung!$F$11:$F$22="x")*(IF(Besatzung!$C$11:$C$22="",Besatzung!$B$5,Besatzung!$C$11:$C$22)&lt;=B67)*(IF(Besatzung!$D$11:$D$22="",Besatzung!$B$6,Besatzung!$D$11:$D$22)&gt;=B67)),1)),IF(I67="An Bord",(((Besatzung!$B$13&lt;&gt;"")*IF(B67="",1,(IF(Besatzung!$C$15="",Besatzung!$B$5,Besatzung!$C$15)&lt;=B67)*(IF(Besatzung!$D$15="",Besatzung!$B$6,Besatzung!$D$15)&gt;=B67)))*((G67-IFERROR(H67,0))/IFERROR(SUMPRODUCT((Besatzung!$B$11:$B$22&lt;&gt;"")*(IF(Besatzung!$C$11:$C$22="",Besatzung!$B$5,Besatzung!$C$11:$C$22)&lt;=B67)*(IF(Besatzung!$D$11:$D$22="",Besatzung!$B$6,Besatzung!$D$11:$D$22)&gt;=B67)),1)+(Besatzung!$F$15="x")*IFERROR(H67,0)/IFERROR(SUMPRODUCT((Besatzung!$B$11:$B$22&lt;&gt;"")*(Besatzung!$F$11:$F$22="x")*(IF(Besatzung!$C$11:$C$22="",Besatzung!$B$5,Besatzung!$C$11:$C$22)&lt;=B67)*(IF(Besatzung!$D$11:$D$22="",Besatzung!$B$6,Besatzung!$D$11:$D$22)&gt;=B67)),1))),IF(I67="Individuell",((N67="x")*((G67-IFERROR(H67,0))/IFERROR(COUNTIF(J67:U67,"x"),1)+(Besatzung!$F$15="x")*IFERROR(H67,0)/IFERROR(SUMPRODUCT((J67:U67="x")*(Besatzung!$F$11:$F$22="x")),1))),(IF(COUNTIF(J67:U67,"x")=0,IF(Besatzung!$B$13&lt;&gt;"",1,0),(N67="x"))*(G67-IFERROR(H67,0))/IFERROR(IF(COUNTIF(J67:U67,"x")=0,COUNTA(Besatzung!$B$11:$B$22),COUNTIF(J67:U67,"x")),1)+IF(COUNTIF(J67:U67,"x")=0,(Besatzung!$F$15="x"),(N67="x")*(Besatzung!$F$15="x"))*IFERROR(H67,0)/IFERROR(IF(COUNTIF(J67:U67,"x")=0,SUMPRODUCT((Besatzung!$B$11:$B$22&lt;&gt;"")*(Besatzung!$F$11:$F$22="x")),SUMPRODUCT((J67:U67="x")*(Besatzung!$F$11:$F$22="x"))),1))))),0))))</f>
        <v/>
      </c>
      <c r="AA67" s="247">
        <f>IF(C67="Gutschrift","",IF(G67="","",IF(Besatzung!$B$15="","",IFERROR(IF(I67="Zeitanteilig",(Besatzung!$G$16*(G67-IFERROR(H67,0))+((Besatzung!$B$15&lt;&gt;"")*IF(B67="",1,(IF(Besatzung!$C$16="",Besatzung!$B$5,Besatzung!$C$16)&lt;=B67)*(IF(Besatzung!$D$16="",Besatzung!$B$6,Besatzung!$D$16)&gt;=B67)))*(Besatzung!$F$16="x")*IFERROR(H67,0)/IFERROR(SUMPRODUCT((Besatzung!$B$11:$B$22&lt;&gt;"")*(Besatzung!$F$11:$F$22="x")*(IF(Besatzung!$C$11:$C$22="",Besatzung!$B$5,Besatzung!$C$11:$C$22)&lt;=B67)*(IF(Besatzung!$D$11:$D$22="",Besatzung!$B$6,Besatzung!$D$11:$D$22)&gt;=B67)),1)),IF(I67="An Bord",(((Besatzung!$B$15&lt;&gt;"")*IF(B67="",1,(IF(Besatzung!$C$16="",Besatzung!$B$5,Besatzung!$C$16)&lt;=B67)*(IF(Besatzung!$D$16="",Besatzung!$B$6,Besatzung!$D$16)&gt;=B67)))*((G67-IFERROR(H67,0))/IFERROR(SUMPRODUCT((Besatzung!$B$11:$B$22&lt;&gt;"")*(IF(Besatzung!$C$11:$C$22="",Besatzung!$B$5,Besatzung!$C$11:$C$22)&lt;=B67)*(IF(Besatzung!$D$11:$D$22="",Besatzung!$B$6,Besatzung!$D$11:$D$22)&gt;=B67)),1)+(Besatzung!$F$16="x")*IFERROR(H67,0)/IFERROR(SUMPRODUCT((Besatzung!$B$11:$B$22&lt;&gt;"")*(Besatzung!$F$11:$F$22="x")*(IF(Besatzung!$C$11:$C$22="",Besatzung!$B$5,Besatzung!$C$11:$C$22)&lt;=B67)*(IF(Besatzung!$D$11:$D$22="",Besatzung!$B$6,Besatzung!$D$11:$D$22)&gt;=B67)),1))),IF(I67="Individuell",((O67="x")*((G67-IFERROR(H67,0))/IFERROR(COUNTIF(J67:U67,"x"),1)+(Besatzung!$F$16="x")*IFERROR(H67,0)/IFERROR(SUMPRODUCT((J67:U67="x")*(Besatzung!$F$11:$F$22="x")),1))),(IF(COUNTIF(J67:U67,"x")=0,IF(Besatzung!$B$15&lt;&gt;"",1,0),(O67="x"))*(G67-IFERROR(H67,0))/IFERROR(IF(COUNTIF(J67:U67,"x")=0,COUNTA(Besatzung!$B$11:$B$22),COUNTIF(J67:U67,"x")),1)+IF(COUNTIF(J67:U67,"x")=0,(Besatzung!$F$16="x"),(O67="x")*(Besatzung!$F$16="x"))*IFERROR(H67,0)/IFERROR(IF(COUNTIF(J67:U67,"x")=0,SUMPRODUCT((Besatzung!$B$11:$B$22&lt;&gt;"")*(Besatzung!$F$11:$F$22="x")),SUMPRODUCT((J67:U67="x")*(Besatzung!$F$11:$F$22="x"))),1))))),0))))</f>
        <v/>
      </c>
      <c r="AB67" s="247">
        <f>IF(C67="Gutschrift","",IF(G67="","",IF(Besatzung!$B$17="","",IFERROR(IF(I67="Zeitanteilig",(Besatzung!$G$17*(G67-IFERROR(H67,0))+((Besatzung!$B$17&lt;&gt;"")*IF(B67="",1,(IF(Besatzung!$C$17="",Besatzung!$B$5,Besatzung!$C$17)&lt;=B67)*(IF(Besatzung!$D$17="",Besatzung!$B$6,Besatzung!$D$17)&gt;=B67)))*(Besatzung!$F$17="x")*IFERROR(H67,0)/IFERROR(SUMPRODUCT((Besatzung!$B$11:$B$22&lt;&gt;"")*(Besatzung!$F$11:$F$22="x")*(IF(Besatzung!$C$11:$C$22="",Besatzung!$B$5,Besatzung!$C$11:$C$22)&lt;=B67)*(IF(Besatzung!$D$11:$D$22="",Besatzung!$B$6,Besatzung!$D$11:$D$22)&gt;=B67)),1)),IF(I67="An Bord",(((Besatzung!$B$17&lt;&gt;"")*IF(B67="",1,(IF(Besatzung!$C$17="",Besatzung!$B$5,Besatzung!$C$17)&lt;=B67)*(IF(Besatzung!$D$17="",Besatzung!$B$6,Besatzung!$D$17)&gt;=B67)))*((G67-IFERROR(H67,0))/IFERROR(SUMPRODUCT((Besatzung!$B$11:$B$22&lt;&gt;"")*(IF(Besatzung!$C$11:$C$22="",Besatzung!$B$5,Besatzung!$C$11:$C$22)&lt;=B67)*(IF(Besatzung!$D$11:$D$22="",Besatzung!$B$6,Besatzung!$D$11:$D$22)&gt;=B67)),1)+(Besatzung!$F$17="x")*IFERROR(H67,0)/IFERROR(SUMPRODUCT((Besatzung!$B$11:$B$22&lt;&gt;"")*(Besatzung!$F$11:$F$22="x")*(IF(Besatzung!$C$11:$C$22="",Besatzung!$B$5,Besatzung!$C$11:$C$22)&lt;=B67)*(IF(Besatzung!$D$11:$D$22="",Besatzung!$B$6,Besatzung!$D$11:$D$22)&gt;=B67)),1))),IF(I67="Individuell",((P67="x")*((G67-IFERROR(H67,0))/IFERROR(COUNTIF(J67:U67,"x"),1)+(Besatzung!$F$17="x")*IFERROR(H67,0)/IFERROR(SUMPRODUCT((J67:U67="x")*(Besatzung!$F$11:$F$22="x")),1))),(IF(COUNTIF(J67:U67,"x")=0,IF(Besatzung!$B$17&lt;&gt;"",1,0),(P67="x"))*(G67-IFERROR(H67,0))/IFERROR(IF(COUNTIF(J67:U67,"x")=0,COUNTA(Besatzung!$B$11:$B$22),COUNTIF(J67:U67,"x")),1)+IF(COUNTIF(J67:U67,"x")=0,(Besatzung!$F$17="x"),(P67="x")*(Besatzung!$F$17="x"))*IFERROR(H67,0)/IFERROR(IF(COUNTIF(J67:U67,"x")=0,SUMPRODUCT((Besatzung!$B$11:$B$22&lt;&gt;"")*(Besatzung!$F$11:$F$22="x")),SUMPRODUCT((J67:U67="x")*(Besatzung!$F$11:$F$22="x"))),1))))),0))))</f>
        <v/>
      </c>
      <c r="AC67" s="247">
        <f>IF(C67="Gutschrift","",IF(G67="","",IF(Besatzung!$B$18="","",IFERROR(IF(I67="Zeitanteilig",(Besatzung!$G$18*(G67-IFERROR(H67,0))+((Besatzung!$B$18&lt;&gt;"")*IF(B67="",1,(IF(Besatzung!$C$18="",Besatzung!$B$5,Besatzung!$C$18)&lt;=B67)*(IF(Besatzung!$D$18="",Besatzung!$B$6,Besatzung!$D$18)&gt;=B67)))*(Besatzung!$F$18="x")*IFERROR(H67,0)/IFERROR(SUMPRODUCT((Besatzung!$B$11:$B$22&lt;&gt;"")*(Besatzung!$F$11:$F$22="x")*(IF(Besatzung!$C$11:$C$22="",Besatzung!$B$5,Besatzung!$C$11:$C$22)&lt;=B67)*(IF(Besatzung!$D$11:$D$22="",Besatzung!$B$6,Besatzung!$D$11:$D$22)&gt;=B67)),1)),IF(I67="An Bord",(((Besatzung!$B$18&lt;&gt;"")*IF(B67="",1,(IF(Besatzung!$C$18="",Besatzung!$B$5,Besatzung!$C$18)&lt;=B67)*(IF(Besatzung!$D$18="",Besatzung!$B$6,Besatzung!$D$18)&gt;=B67)))*((G67-IFERROR(H67,0))/IFERROR(SUMPRODUCT((Besatzung!$B$11:$B$22&lt;&gt;"")*(IF(Besatzung!$C$11:$C$22="",Besatzung!$B$5,Besatzung!$C$11:$C$22)&lt;=B67)*(IF(Besatzung!$D$11:$D$22="",Besatzung!$B$6,Besatzung!$D$11:$D$22)&gt;=B67)),1)+(Besatzung!$F$18="x")*IFERROR(H67,0)/IFERROR(SUMPRODUCT((Besatzung!$B$11:$B$22&lt;&gt;"")*(Besatzung!$F$11:$F$22="x")*(IF(Besatzung!$C$11:$C$22="",Besatzung!$B$5,Besatzung!$C$11:$C$22)&lt;=B67)*(IF(Besatzung!$D$11:$D$22="",Besatzung!$B$6,Besatzung!$D$11:$D$22)&gt;=B67)),1))),IF(I67="Individuell",((Q67="x")*((G67-IFERROR(H67,0))/IFERROR(COUNTIF(J67:U67,"x"),1)+(Besatzung!$F$18="x")*IFERROR(H67,0)/IFERROR(SUMPRODUCT((J67:U67="x")*(Besatzung!$F$11:$F$22="x")),1))),(IF(COUNTIF(J67:U67,"x")=0,IF(Besatzung!$B$18&lt;&gt;"",1,0),(Q67="x"))*(G67-IFERROR(H67,0))/IFERROR(IF(COUNTIF(J67:U67,"x")=0,COUNTA(Besatzung!$B$11:$B$22),COUNTIF(J67:U67,"x")),1)+IF(COUNTIF(J67:U67,"x")=0,(Besatzung!$F$18="x"),(Q67="x")*(Besatzung!$F$18="x"))*IFERROR(H67,0)/IFERROR(IF(COUNTIF(J67:U67,"x")=0,SUMPRODUCT((Besatzung!$B$11:$B$22&lt;&gt;"")*(Besatzung!$F$11:$F$22="x")),SUMPRODUCT((J67:U67="x")*(Besatzung!$F$11:$F$22="x"))),1))))),0))))</f>
        <v/>
      </c>
      <c r="AD67" s="247">
        <f>IF(C67="Gutschrift","",IF(G67="","",IF(Besatzung!$B$19="","",IFERROR(IF(I67="Zeitanteilig",(Besatzung!$G$19*(G67-IFERROR(H67,0))+((Besatzung!$B$19&lt;&gt;"")*IF(B67="",1,(IF(Besatzung!$C$19="",Besatzung!$B$5,Besatzung!$C$19)&lt;=B67)*(IF(Besatzung!$D$19="",Besatzung!$B$6,Besatzung!$D$19)&gt;=B67)))*(Besatzung!$F$19="x")*IFERROR(H67,0)/IFERROR(SUMPRODUCT((Besatzung!$B$11:$B$22&lt;&gt;"")*(Besatzung!$F$11:$F$22="x")*(IF(Besatzung!$C$11:$C$22="",Besatzung!$B$5,Besatzung!$C$11:$C$22)&lt;=B67)*(IF(Besatzung!$D$11:$D$22="",Besatzung!$B$6,Besatzung!$D$11:$D$22)&gt;=B67)),1)),IF(I67="An Bord",(((Besatzung!$B$19&lt;&gt;"")*IF(B67="",1,(IF(Besatzung!$C$19="",Besatzung!$B$5,Besatzung!$C$19)&lt;=B67)*(IF(Besatzung!$D$19="",Besatzung!$B$6,Besatzung!$D$19)&gt;=B67)))*((G67-IFERROR(H67,0))/IFERROR(SUMPRODUCT((Besatzung!$B$11:$B$22&lt;&gt;"")*(IF(Besatzung!$C$11:$C$22="",Besatzung!$B$5,Besatzung!$C$11:$C$22)&lt;=B67)*(IF(Besatzung!$D$11:$D$22="",Besatzung!$B$6,Besatzung!$D$11:$D$22)&gt;=B67)),1)+(Besatzung!$F$19="x")*IFERROR(H67,0)/IFERROR(SUMPRODUCT((Besatzung!$B$11:$B$22&lt;&gt;"")*(Besatzung!$F$11:$F$22="x")*(IF(Besatzung!$C$11:$C$22="",Besatzung!$B$5,Besatzung!$C$11:$C$22)&lt;=B67)*(IF(Besatzung!$D$11:$D$22="",Besatzung!$B$6,Besatzung!$D$11:$D$22)&gt;=B67)),1))),IF(I67="Individuell",((R67="x")*((G67-IFERROR(H67,0))/IFERROR(COUNTIF(J67:U67,"x"),1)+(Besatzung!$F$19="x")*IFERROR(H67,0)/IFERROR(SUMPRODUCT((J67:U67="x")*(Besatzung!$F$11:$F$22="x")),1))),(IF(COUNTIF(J67:U67,"x")=0,IF(Besatzung!$B$19&lt;&gt;"",1,0),(R67="x"))*(G67-IFERROR(H67,0))/IFERROR(IF(COUNTIF(J67:U67,"x")=0,COUNTA(Besatzung!$B$11:$B$22),COUNTIF(J67:U67,"x")),1)+IF(COUNTIF(J67:U67,"x")=0,(Besatzung!$F$19="x"),(R67="x")*(Besatzung!$F$19="x"))*IFERROR(H67,0)/IFERROR(IF(COUNTIF(J67:U67,"x")=0,SUMPRODUCT((Besatzung!$B$11:$B$22&lt;&gt;"")*(Besatzung!$F$11:$F$22="x")),SUMPRODUCT((J67:U67="x")*(Besatzung!$F$11:$F$22="x"))),1))))),0))))</f>
        <v/>
      </c>
      <c r="AE67" s="247">
        <f>IF(C67="Gutschrift","",IF(G67="","",IF(Besatzung!$B$20="","",IFERROR(IF(I67="Zeitanteilig",(Besatzung!$G$20*(G67-IFERROR(H67,0))+((Besatzung!$B$20&lt;&gt;"")*IF(B67="",1,(IF(Besatzung!$C$20="",Besatzung!$B$5,Besatzung!$C$20)&lt;=B67)*(IF(Besatzung!$D$20="",Besatzung!$B$6,Besatzung!$D$20)&gt;=B67)))*(Besatzung!$F$20="x")*IFERROR(H67,0)/IFERROR(SUMPRODUCT((Besatzung!$B$11:$B$22&lt;&gt;"")*(Besatzung!$F$11:$F$22="x")*(IF(Besatzung!$C$11:$C$22="",Besatzung!$B$5,Besatzung!$C$11:$C$22)&lt;=B67)*(IF(Besatzung!$D$11:$D$22="",Besatzung!$B$6,Besatzung!$D$11:$D$22)&gt;=B67)),1)),IF(I67="An Bord",(((Besatzung!$B$20&lt;&gt;"")*IF(B67="",1,(IF(Besatzung!$C$20="",Besatzung!$B$5,Besatzung!$C$20)&lt;=B67)*(IF(Besatzung!$D$20="",Besatzung!$B$6,Besatzung!$D$20)&gt;=B67)))*((G67-IFERROR(H67,0))/IFERROR(SUMPRODUCT((Besatzung!$B$11:$B$22&lt;&gt;"")*(IF(Besatzung!$C$11:$C$22="",Besatzung!$B$5,Besatzung!$C$11:$C$22)&lt;=B67)*(IF(Besatzung!$D$11:$D$22="",Besatzung!$B$6,Besatzung!$D$11:$D$22)&gt;=B67)),1)+(Besatzung!$F$20="x")*IFERROR(H67,0)/IFERROR(SUMPRODUCT((Besatzung!$B$11:$B$22&lt;&gt;"")*(Besatzung!$F$11:$F$22="x")*(IF(Besatzung!$C$11:$C$22="",Besatzung!$B$5,Besatzung!$C$11:$C$22)&lt;=B67)*(IF(Besatzung!$D$11:$D$22="",Besatzung!$B$6,Besatzung!$D$11:$D$22)&gt;=B67)),1))),IF(I67="Individuell",((S67="x")*((G67-IFERROR(H67,0))/IFERROR(COUNTIF(J67:U67,"x"),1)+(Besatzung!$F$20="x")*IFERROR(H67,0)/IFERROR(SUMPRODUCT((J67:U67="x")*(Besatzung!$F$11:$F$22="x")),1))),(IF(COUNTIF(J67:U67,"x")=0,IF(Besatzung!$B$20&lt;&gt;"",1,0),(S67="x"))*(G67-IFERROR(H67,0))/IFERROR(IF(COUNTIF(J67:U67,"x")=0,COUNTA(Besatzung!$B$11:$B$22),COUNTIF(J67:U67,"x")),1)+IF(COUNTIF(J67:U67,"x")=0,(Besatzung!$F$20="x"),(S67="x")*(Besatzung!$F$20="x"))*IFERROR(H67,0)/IFERROR(IF(COUNTIF(J67:U67,"x")=0,SUMPRODUCT((Besatzung!$B$11:$B$22&lt;&gt;"")*(Besatzung!$F$11:$F$22="x")),SUMPRODUCT((J67:U67="x")*(Besatzung!$F$11:$F$22="x"))),1))))),0))))</f>
        <v/>
      </c>
      <c r="AF67" s="247">
        <f>IF(C67="Gutschrift","",IF(G67="","",IF(Besatzung!$B$21="","",IFERROR(IF(I67="Zeitanteilig",(Besatzung!$G$21*(G67-IFERROR(H67,0))+((Besatzung!$B$21&lt;&gt;"")*IF(B67="",1,(IF(Besatzung!$C$21="",Besatzung!$B$5,Besatzung!$C$21)&lt;=B67)*(IF(Besatzung!$D$21="",Besatzung!$B$6,Besatzung!$D$21)&gt;=B67)))*(Besatzung!$F$21="x")*IFERROR(H67,0)/IFERROR(SUMPRODUCT((Besatzung!$B$11:$B$22&lt;&gt;"")*(Besatzung!$F$11:$F$22="x")*(IF(Besatzung!$C$11:$C$22="",Besatzung!$B$5,Besatzung!$C$11:$C$22)&lt;=B67)*(IF(Besatzung!$D$11:$D$22="",Besatzung!$B$6,Besatzung!$D$11:$D$22)&gt;=B67)),1)),IF(I67="An Bord",(((Besatzung!$B$21&lt;&gt;"")*IF(B67="",1,(IF(Besatzung!$C$21="",Besatzung!$B$5,Besatzung!$C$21)&lt;=B67)*(IF(Besatzung!$D$21="",Besatzung!$B$6,Besatzung!$D$21)&gt;=B67)))*((G67-IFERROR(H67,0))/IFERROR(SUMPRODUCT((Besatzung!$B$11:$B$22&lt;&gt;"")*(IF(Besatzung!$C$11:$C$22="",Besatzung!$B$5,Besatzung!$C$11:$C$22)&lt;=B67)*(IF(Besatzung!$D$11:$D$22="",Besatzung!$B$6,Besatzung!$D$11:$D$22)&gt;=B67)),1)+(Besatzung!$F$21="x")*IFERROR(H67,0)/IFERROR(SUMPRODUCT((Besatzung!$B$11:$B$22&lt;&gt;"")*(Besatzung!$F$11:$F$22="x")*(IF(Besatzung!$C$11:$C$22="",Besatzung!$B$5,Besatzung!$C$11:$C$22)&lt;=B67)*(IF(Besatzung!$D$11:$D$22="",Besatzung!$B$6,Besatzung!$D$11:$D$22)&gt;=B67)),1))),IF(I67="Individuell",((T67="x")*((G67-IFERROR(H67,0))/IFERROR(COUNTIF(J67:U67,"x"),1)+(Besatzung!$F$21="x")*IFERROR(H67,0)/IFERROR(SUMPRODUCT((J67:U67="x")*(Besatzung!$F$11:$F$22="x")),1))),(IF(COUNTIF(J67:U67,"x")=0,IF(Besatzung!$B$21&lt;&gt;"",1,0),(T67="x"))*(G67-IFERROR(H67,0))/IFERROR(IF(COUNTIF(J67:U67,"x")=0,COUNTA(Besatzung!$B$11:$B$22),COUNTIF(J67:U67,"x")),1)+IF(COUNTIF(J67:U67,"x")=0,(Besatzung!$F$21="x"),(T67="x")*(Besatzung!$F$21="x"))*IFERROR(H67,0)/IFERROR(IF(COUNTIF(J67:U67,"x")=0,SUMPRODUCT((Besatzung!$B$11:$B$22&lt;&gt;"")*(Besatzung!$F$11:$F$22="x")),SUMPRODUCT((J67:U67="x")*(Besatzung!$F$11:$F$22="x"))),1))))),0))))</f>
        <v/>
      </c>
      <c r="AG67" s="247">
        <f>IF(C67="Gutschrift","",IF(G67="","",IF(Besatzung!$B$22="","",IFERROR(IF(I67="Zeitanteilig",(Besatzung!$G$22*(G67-IFERROR(H67,0))+((Besatzung!$B$22&lt;&gt;"")*IF(B67="",1,(IF(Besatzung!$C$22="",Besatzung!$B$5,Besatzung!$C$22)&lt;=B67)*(IF(Besatzung!$D$22="",Besatzung!$B$6,Besatzung!$D$22)&gt;=B67)))*(Besatzung!$F$22="x")*IFERROR(H67,0)/IFERROR(SUMPRODUCT((Besatzung!$B$11:$B$22&lt;&gt;"")*(Besatzung!$F$11:$F$22="x")*(IF(Besatzung!$C$11:$C$22="",Besatzung!$B$5,Besatzung!$C$11:$C$22)&lt;=B67)*(IF(Besatzung!$D$11:$D$22="",Besatzung!$B$6,Besatzung!$D$11:$D$22)&gt;=B67)),1)),IF(I67="An Bord",(((Besatzung!$B$22&lt;&gt;"")*IF(B67="",1,(IF(Besatzung!$C$22="",Besatzung!$B$5,Besatzung!$C$22)&lt;=B67)*(IF(Besatzung!$D$22="",Besatzung!$B$6,Besatzung!$D$22)&gt;=B67)))*((G67-IFERROR(H67,0))/IFERROR(SUMPRODUCT((Besatzung!$B$11:$B$22&lt;&gt;"")*(IF(Besatzung!$C$11:$C$22="",Besatzung!$B$5,Besatzung!$C$11:$C$22)&lt;=B67)*(IF(Besatzung!$D$11:$D$22="",Besatzung!$B$6,Besatzung!$D$11:$D$22)&gt;=B67)),1)+(Besatzung!$F$22="x")*IFERROR(H67,0)/IFERROR(SUMPRODUCT((Besatzung!$B$11:$B$22&lt;&gt;"")*(Besatzung!$F$11:$F$22="x")*(IF(Besatzung!$C$11:$C$22="",Besatzung!$B$5,Besatzung!$C$11:$C$22)&lt;=B67)*(IF(Besatzung!$D$11:$D$22="",Besatzung!$B$6,Besatzung!$D$11:$D$22)&gt;=B67)),1))),IF(I67="Individuell",((U67="x")*((G67-IFERROR(H67,0))/IFERROR(COUNTIF(J67:U67,"x"),1)+(Besatzung!$F$22="x")*IFERROR(H67,0)/IFERROR(SUMPRODUCT((J67:U67="x")*(Besatzung!$F$11:$F$22="x")),1))),(IF(COUNTIF(J67:U67,"x")=0,IF(Besatzung!$B$22&lt;&gt;"",1,0),(U67="x"))*(G67-IFERROR(H67,0))/IFERROR(IF(COUNTIF(J67:U67,"x")=0,COUNTA(Besatzung!$B$11:$B$22),COUNTIF(J67:U67,"x")),1)+IF(COUNTIF(J67:U67,"x")=0,(Besatzung!$F$22="x"),(U67="x")*(Besatzung!$F$22="x"))*IFERROR(H67,0)/IFERROR(IF(COUNTIF(J67:U67,"x")=0,SUMPRODUCT((Besatzung!$B$11:$B$22&lt;&gt;"")*(Besatzung!$F$11:$F$22="x")),SUMPRODUCT((J67:U67="x")*(Besatzung!$F$11:$F$22="x"))),1))))),0))))</f>
        <v/>
      </c>
      <c r="AH67" s="248" t="n"/>
      <c r="AI67" s="248" t="n"/>
    </row>
    <row r="68" ht="21.75" customHeight="1" s="154">
      <c r="A68" s="238">
        <f>IF(AND(D68="",C68=""),"",65)</f>
        <v/>
      </c>
      <c r="B68" s="199" t="n"/>
      <c r="C68" s="239" t="n"/>
      <c r="D68" s="240" t="n"/>
      <c r="E68" s="241" t="n"/>
      <c r="F68" s="242" t="n"/>
      <c r="G68" s="243" t="n"/>
      <c r="H68" s="244" t="n"/>
      <c r="I68" s="245" t="n"/>
      <c r="J68" s="246" t="n"/>
      <c r="K68" s="246" t="n"/>
      <c r="L68" s="246" t="n"/>
      <c r="M68" s="246" t="n"/>
      <c r="N68" s="246" t="n"/>
      <c r="O68" s="246" t="n"/>
      <c r="P68" s="246" t="n"/>
      <c r="Q68" s="246" t="n"/>
      <c r="R68" s="246" t="n"/>
      <c r="S68" s="246" t="n"/>
      <c r="T68" s="246" t="n"/>
      <c r="U68" s="246" t="n"/>
      <c r="V68" s="247">
        <f>IF(C68="Gutschrift","",IF(G68="","",IF(Besatzung!$B$11="","",IFERROR(IF(I68="Zeitanteilig",(Besatzung!$G$11*(G68-IFERROR(H68,0))+((Besatzung!$B$11&lt;&gt;"")*IF(B68="",1,(IF(Besatzung!$C$11="",Besatzung!$B$5,Besatzung!$C$11)&lt;=B68)*(IF(Besatzung!$D$11="",Besatzung!$B$6,Besatzung!$D$11)&gt;=B68)))*(Besatzung!$F$11="x")*IFERROR(H68,0)/IFERROR(SUMPRODUCT((Besatzung!$B$11:$B$22&lt;&gt;"")*(Besatzung!$F$11:$F$22="x")*(IF(Besatzung!$C$11:$C$22="",Besatzung!$B$5,Besatzung!$C$11:$C$22)&lt;=B68)*(IF(Besatzung!$D$11:$D$22="",Besatzung!$B$6,Besatzung!$D$11:$D$22)&gt;=B68)),1)),IF(I68="An Bord",(((Besatzung!$B$11&lt;&gt;"")*IF(B68="",1,(IF(Besatzung!$C$11="",Besatzung!$B$5,Besatzung!$C$11)&lt;=B68)*(IF(Besatzung!$D$11="",Besatzung!$B$6,Besatzung!$D$11)&gt;=B68)))*((G68-IFERROR(H68,0))/IFERROR(SUMPRODUCT((Besatzung!$B$11:$B$22&lt;&gt;"")*(IF(Besatzung!$C$11:$C$22="",Besatzung!$B$5,Besatzung!$C$11:$C$22)&lt;=B68)*(IF(Besatzung!$D$11:$D$22="",Besatzung!$B$6,Besatzung!$D$11:$D$22)&gt;=B68)),1)+(Besatzung!$F$11="x")*IFERROR(H68,0)/IFERROR(SUMPRODUCT((Besatzung!$B$11:$B$22&lt;&gt;"")*(Besatzung!$F$11:$F$22="x")*(IF(Besatzung!$C$11:$C$22="",Besatzung!$B$5,Besatzung!$C$11:$C$22)&lt;=B68)*(IF(Besatzung!$D$11:$D$22="",Besatzung!$B$6,Besatzung!$D$11:$D$22)&gt;=B68)),1))),IF(I68="Individuell",((J68="x")*((G68-IFERROR(H68,0))/IFERROR(COUNTIF(J68:U68,"x"),1)+(Besatzung!$F$11="x")*IFERROR(H68,0)/IFERROR(SUMPRODUCT((J68:U68="x")*(Besatzung!$F$11:$F$22="x")),1))),(IF(COUNTIF(J68:U68,"x")=0,IF(Besatzung!$B$11&lt;&gt;"",1,0),(J68="x"))*(G68-IFERROR(H68,0))/IFERROR(IF(COUNTIF(J68:U68,"x")=0,COUNTA(Besatzung!$B$11:$B$22),COUNTIF(J68:U68,"x")),1)+IF(COUNTIF(J68:U68,"x")=0,(Besatzung!$F$11="x"),(J68="x")*(Besatzung!$F$11="x"))*IFERROR(H68,0)/IFERROR(IF(COUNTIF(J68:U68,"x")=0,SUMPRODUCT((Besatzung!$B$11:$B$22&lt;&gt;"")*(Besatzung!$F$11:$F$22="x")),SUMPRODUCT((J68:U68="x")*(Besatzung!$F$11:$F$22="x"))),1))))),0))))</f>
        <v/>
      </c>
      <c r="W68" s="247">
        <f>IF(C68="Gutschrift","",IF(G68="","",IF(Besatzung!$B$12="","",IFERROR(IF(I68="Zeitanteilig",(Besatzung!$G$12*(G68-IFERROR(H68,0))+((Besatzung!$B$12&lt;&gt;"")*IF(B68="",1,(IF(Besatzung!$C$12="",Besatzung!$B$5,Besatzung!$C$12)&lt;=B68)*(IF(Besatzung!$D$12="",Besatzung!$B$6,Besatzung!$D$12)&gt;=B68)))*(Besatzung!$F$12="x")*IFERROR(H68,0)/IFERROR(SUMPRODUCT((Besatzung!$B$11:$B$22&lt;&gt;"")*(Besatzung!$F$11:$F$22="x")*(IF(Besatzung!$C$11:$C$22="",Besatzung!$B$5,Besatzung!$C$11:$C$22)&lt;=B68)*(IF(Besatzung!$D$11:$D$22="",Besatzung!$B$6,Besatzung!$D$11:$D$22)&gt;=B68)),1)),IF(I68="An Bord",(((Besatzung!$B$12&lt;&gt;"")*IF(B68="",1,(IF(Besatzung!$C$12="",Besatzung!$B$5,Besatzung!$C$12)&lt;=B68)*(IF(Besatzung!$D$12="",Besatzung!$B$6,Besatzung!$D$12)&gt;=B68)))*((G68-IFERROR(H68,0))/IFERROR(SUMPRODUCT((Besatzung!$B$11:$B$22&lt;&gt;"")*(IF(Besatzung!$C$11:$C$22="",Besatzung!$B$5,Besatzung!$C$11:$C$22)&lt;=B68)*(IF(Besatzung!$D$11:$D$22="",Besatzung!$B$6,Besatzung!$D$11:$D$22)&gt;=B68)),1)+(Besatzung!$F$12="x")*IFERROR(H68,0)/IFERROR(SUMPRODUCT((Besatzung!$B$11:$B$22&lt;&gt;"")*(Besatzung!$F$11:$F$22="x")*(IF(Besatzung!$C$11:$C$22="",Besatzung!$B$5,Besatzung!$C$11:$C$22)&lt;=B68)*(IF(Besatzung!$D$11:$D$22="",Besatzung!$B$6,Besatzung!$D$11:$D$22)&gt;=B68)),1))),IF(I68="Individuell",((K68="x")*((G68-IFERROR(H68,0))/IFERROR(COUNTIF(J68:U68,"x"),1)+(Besatzung!$F$12="x")*IFERROR(H68,0)/IFERROR(SUMPRODUCT((J68:U68="x")*(Besatzung!$F$11:$F$22="x")),1))),(IF(COUNTIF(J68:U68,"x")=0,IF(Besatzung!$B$12&lt;&gt;"",1,0),(K68="x"))*(G68-IFERROR(H68,0))/IFERROR(IF(COUNTIF(J68:U68,"x")=0,COUNTA(Besatzung!$B$11:$B$22),COUNTIF(J68:U68,"x")),1)+IF(COUNTIF(J68:U68,"x")=0,(Besatzung!$F$12="x"),(K68="x")*(Besatzung!$F$12="x"))*IFERROR(H68,0)/IFERROR(IF(COUNTIF(J68:U68,"x")=0,SUMPRODUCT((Besatzung!$B$11:$B$22&lt;&gt;"")*(Besatzung!$F$11:$F$22="x")),SUMPRODUCT((J68:U68="x")*(Besatzung!$F$11:$F$22="x"))),1))))),0))))</f>
        <v/>
      </c>
      <c r="X68" s="247">
        <f>IF(C68="Gutschrift","",IF(G68="","",IF(Besatzung!$B$13="","",IFERROR(IF(I68="Zeitanteilig",(Besatzung!$G$13*(G68-IFERROR(H68,0))+((Besatzung!$B$13&lt;&gt;"")*IF(B68="",1,(IF(Besatzung!$C$13="",Besatzung!$B$5,Besatzung!$C$13)&lt;=B68)*(IF(Besatzung!$D$13="",Besatzung!$B$6,Besatzung!$D$13)&gt;=B68)))*(Besatzung!$F$13="x")*IFERROR(H68,0)/IFERROR(SUMPRODUCT((Besatzung!$B$11:$B$22&lt;&gt;"")*(Besatzung!$F$11:$F$22="x")*(IF(Besatzung!$C$11:$C$22="",Besatzung!$B$5,Besatzung!$C$11:$C$22)&lt;=B68)*(IF(Besatzung!$D$11:$D$22="",Besatzung!$B$6,Besatzung!$D$11:$D$22)&gt;=B68)),1)),IF(I68="An Bord",(((Besatzung!$B$13&lt;&gt;"")*IF(B68="",1,(IF(Besatzung!$C$13="",Besatzung!$B$5,Besatzung!$C$13)&lt;=B68)*(IF(Besatzung!$D$13="",Besatzung!$B$6,Besatzung!$D$13)&gt;=B68)))*((G68-IFERROR(H68,0))/IFERROR(SUMPRODUCT((Besatzung!$B$11:$B$22&lt;&gt;"")*(IF(Besatzung!$C$11:$C$22="",Besatzung!$B$5,Besatzung!$C$11:$C$22)&lt;=B68)*(IF(Besatzung!$D$11:$D$22="",Besatzung!$B$6,Besatzung!$D$11:$D$22)&gt;=B68)),1)+(Besatzung!$F$13="x")*IFERROR(H68,0)/IFERROR(SUMPRODUCT((Besatzung!$B$11:$B$22&lt;&gt;"")*(Besatzung!$F$11:$F$22="x")*(IF(Besatzung!$C$11:$C$22="",Besatzung!$B$5,Besatzung!$C$11:$C$22)&lt;=B68)*(IF(Besatzung!$D$11:$D$22="",Besatzung!$B$6,Besatzung!$D$11:$D$22)&gt;=B68)),1))),IF(I68="Individuell",((K68="x")*((G68-IFERROR(H68,0))/IFERROR(COUNTIF(J68:U68,"x"),1)+(Besatzung!$F$13="x")*IFERROR(H68,0)/IFERROR(SUMPRODUCT((J68:U68="x")*(Besatzung!$F$11:$F$22="x")),1))),(IF(COUNTIF(J68:U68,"x")=0,IF(Besatzung!$B$13&lt;&gt;"",1,0),(K68="x"))*(G68-IFERROR(H68,0))/IFERROR(IF(COUNTIF(J68:U68,"x")=0,COUNTA(Besatzung!$B$11:$B$22),COUNTIF(J68:U68,"x")),1)+IF(COUNTIF(J68:U68,"x")=0,(Besatzung!$F$13="x"),(K68="x")*(Besatzung!$F$13="x"))*IFERROR(H68,0)/IFERROR(IF(COUNTIF(J68:U68,"x")=0,SUMPRODUCT((Besatzung!$B$11:$B$22&lt;&gt;"")*(Besatzung!$F$11:$F$22="x")),SUMPRODUCT((J68:U68="x")*(Besatzung!$F$11:$F$22="x"))),1))))),0))))</f>
        <v/>
      </c>
      <c r="Y68" s="247">
        <f>IF(C68="Gutschrift","",IF(G68="","",IF(Besatzung!$B$14="","",IFERROR(IF(I68="Zeitanteilig",(Besatzung!$G$14*(G68-IFERROR(H68,0))+((Besatzung!$B$14&lt;&gt;"")*IF(B68="",1,(IF(Besatzung!$C$14="",Besatzung!$B$5,Besatzung!$C$14)&lt;=B68)*(IF(Besatzung!$D$14="",Besatzung!$B$6,Besatzung!$D$14)&gt;=B68)))*(Besatzung!$F$14="x")*IFERROR(H68,0)/IFERROR(SUMPRODUCT((Besatzung!$B$11:$B$22&lt;&gt;"")*(Besatzung!$F$11:$F$22="x")*(IF(Besatzung!$C$11:$C$22="",Besatzung!$B$5,Besatzung!$C$11:$C$22)&lt;=B68)*(IF(Besatzung!$D$11:$D$22="",Besatzung!$B$6,Besatzung!$D$11:$D$22)&gt;=B68)),1)),IF(I68="An Bord",(((Besatzung!$B$14&lt;&gt;"")*IF(B68="",1,(IF(Besatzung!$C$14="",Besatzung!$B$5,Besatzung!$C$14)&lt;=B68)*(IF(Besatzung!$D$14="",Besatzung!$B$6,Besatzung!$D$14)&gt;=B68)))*((G68-IFERROR(H68,0))/IFERROR(SUMPRODUCT((Besatzung!$B$11:$B$22&lt;&gt;"")*(IF(Besatzung!$C$11:$C$22="",Besatzung!$B$5,Besatzung!$C$11:$C$22)&lt;=B68)*(IF(Besatzung!$D$11:$D$22="",Besatzung!$B$6,Besatzung!$D$11:$D$22)&gt;=B68)),1)+(Besatzung!$F$14="x")*IFERROR(H68,0)/IFERROR(SUMPRODUCT((Besatzung!$B$11:$B$22&lt;&gt;"")*(Besatzung!$F$11:$F$22="x")*(IF(Besatzung!$C$11:$C$22="",Besatzung!$B$5,Besatzung!$C$11:$C$22)&lt;=B68)*(IF(Besatzung!$D$11:$D$22="",Besatzung!$B$6,Besatzung!$D$11:$D$22)&gt;=B68)),1))),IF(I68="Individuell",((M68="x")*((G68-IFERROR(H68,0))/IFERROR(COUNTIF(J68:U68,"x"),1)+(Besatzung!$F$14="x")*IFERROR(H68,0)/IFERROR(SUMPRODUCT((J68:U68="x")*(Besatzung!$F$11:$F$22="x")),1))),(IF(COUNTIF(J68:U68,"x")=0,IF(Besatzung!$B$14&lt;&gt;"",1,0),(M68="x"))*(G68-IFERROR(H68,0))/IFERROR(IF(COUNTIF(J68:U68,"x")=0,COUNTA(Besatzung!$B$11:$B$22),COUNTIF(J68:U68,"x")),1)+IF(COUNTIF(J68:U68,"x")=0,(Besatzung!$F$14="x"),(M68="x")*(Besatzung!$F$14="x"))*IFERROR(H68,0)/IFERROR(IF(COUNTIF(J68:U68,"x")=0,SUMPRODUCT((Besatzung!$B$11:$B$22&lt;&gt;"")*(Besatzung!$F$11:$F$22="x")),SUMPRODUCT((J68:U68="x")*(Besatzung!$F$11:$F$22="x"))),1))))),0))))</f>
        <v/>
      </c>
      <c r="Z68" s="247">
        <f>IF(C68="Gutschrift","",IF(G68="","",IF(Besatzung!$B$13="","",IFERROR(IF(I68="Zeitanteilig",(Besatzung!$G$15*(G68-IFERROR(H68,0))+((Besatzung!$B$13&lt;&gt;"")*IF(B68="",1,(IF(Besatzung!$C$15="",Besatzung!$B$5,Besatzung!$C$15)&lt;=B68)*(IF(Besatzung!$D$15="",Besatzung!$B$6,Besatzung!$D$15)&gt;=B68)))*(Besatzung!$F$15="x")*IFERROR(H68,0)/IFERROR(SUMPRODUCT((Besatzung!$B$11:$B$22&lt;&gt;"")*(Besatzung!$F$11:$F$22="x")*(IF(Besatzung!$C$11:$C$22="",Besatzung!$B$5,Besatzung!$C$11:$C$22)&lt;=B68)*(IF(Besatzung!$D$11:$D$22="",Besatzung!$B$6,Besatzung!$D$11:$D$22)&gt;=B68)),1)),IF(I68="An Bord",(((Besatzung!$B$13&lt;&gt;"")*IF(B68="",1,(IF(Besatzung!$C$15="",Besatzung!$B$5,Besatzung!$C$15)&lt;=B68)*(IF(Besatzung!$D$15="",Besatzung!$B$6,Besatzung!$D$15)&gt;=B68)))*((G68-IFERROR(H68,0))/IFERROR(SUMPRODUCT((Besatzung!$B$11:$B$22&lt;&gt;"")*(IF(Besatzung!$C$11:$C$22="",Besatzung!$B$5,Besatzung!$C$11:$C$22)&lt;=B68)*(IF(Besatzung!$D$11:$D$22="",Besatzung!$B$6,Besatzung!$D$11:$D$22)&gt;=B68)),1)+(Besatzung!$F$15="x")*IFERROR(H68,0)/IFERROR(SUMPRODUCT((Besatzung!$B$11:$B$22&lt;&gt;"")*(Besatzung!$F$11:$F$22="x")*(IF(Besatzung!$C$11:$C$22="",Besatzung!$B$5,Besatzung!$C$11:$C$22)&lt;=B68)*(IF(Besatzung!$D$11:$D$22="",Besatzung!$B$6,Besatzung!$D$11:$D$22)&gt;=B68)),1))),IF(I68="Individuell",((N68="x")*((G68-IFERROR(H68,0))/IFERROR(COUNTIF(J68:U68,"x"),1)+(Besatzung!$F$15="x")*IFERROR(H68,0)/IFERROR(SUMPRODUCT((J68:U68="x")*(Besatzung!$F$11:$F$22="x")),1))),(IF(COUNTIF(J68:U68,"x")=0,IF(Besatzung!$B$13&lt;&gt;"",1,0),(N68="x"))*(G68-IFERROR(H68,0))/IFERROR(IF(COUNTIF(J68:U68,"x")=0,COUNTA(Besatzung!$B$11:$B$22),COUNTIF(J68:U68,"x")),1)+IF(COUNTIF(J68:U68,"x")=0,(Besatzung!$F$15="x"),(N68="x")*(Besatzung!$F$15="x"))*IFERROR(H68,0)/IFERROR(IF(COUNTIF(J68:U68,"x")=0,SUMPRODUCT((Besatzung!$B$11:$B$22&lt;&gt;"")*(Besatzung!$F$11:$F$22="x")),SUMPRODUCT((J68:U68="x")*(Besatzung!$F$11:$F$22="x"))),1))))),0))))</f>
        <v/>
      </c>
      <c r="AA68" s="247">
        <f>IF(C68="Gutschrift","",IF(G68="","",IF(Besatzung!$B$15="","",IFERROR(IF(I68="Zeitanteilig",(Besatzung!$G$16*(G68-IFERROR(H68,0))+((Besatzung!$B$15&lt;&gt;"")*IF(B68="",1,(IF(Besatzung!$C$16="",Besatzung!$B$5,Besatzung!$C$16)&lt;=B68)*(IF(Besatzung!$D$16="",Besatzung!$B$6,Besatzung!$D$16)&gt;=B68)))*(Besatzung!$F$16="x")*IFERROR(H68,0)/IFERROR(SUMPRODUCT((Besatzung!$B$11:$B$22&lt;&gt;"")*(Besatzung!$F$11:$F$22="x")*(IF(Besatzung!$C$11:$C$22="",Besatzung!$B$5,Besatzung!$C$11:$C$22)&lt;=B68)*(IF(Besatzung!$D$11:$D$22="",Besatzung!$B$6,Besatzung!$D$11:$D$22)&gt;=B68)),1)),IF(I68="An Bord",(((Besatzung!$B$15&lt;&gt;"")*IF(B68="",1,(IF(Besatzung!$C$16="",Besatzung!$B$5,Besatzung!$C$16)&lt;=B68)*(IF(Besatzung!$D$16="",Besatzung!$B$6,Besatzung!$D$16)&gt;=B68)))*((G68-IFERROR(H68,0))/IFERROR(SUMPRODUCT((Besatzung!$B$11:$B$22&lt;&gt;"")*(IF(Besatzung!$C$11:$C$22="",Besatzung!$B$5,Besatzung!$C$11:$C$22)&lt;=B68)*(IF(Besatzung!$D$11:$D$22="",Besatzung!$B$6,Besatzung!$D$11:$D$22)&gt;=B68)),1)+(Besatzung!$F$16="x")*IFERROR(H68,0)/IFERROR(SUMPRODUCT((Besatzung!$B$11:$B$22&lt;&gt;"")*(Besatzung!$F$11:$F$22="x")*(IF(Besatzung!$C$11:$C$22="",Besatzung!$B$5,Besatzung!$C$11:$C$22)&lt;=B68)*(IF(Besatzung!$D$11:$D$22="",Besatzung!$B$6,Besatzung!$D$11:$D$22)&gt;=B68)),1))),IF(I68="Individuell",((O68="x")*((G68-IFERROR(H68,0))/IFERROR(COUNTIF(J68:U68,"x"),1)+(Besatzung!$F$16="x")*IFERROR(H68,0)/IFERROR(SUMPRODUCT((J68:U68="x")*(Besatzung!$F$11:$F$22="x")),1))),(IF(COUNTIF(J68:U68,"x")=0,IF(Besatzung!$B$15&lt;&gt;"",1,0),(O68="x"))*(G68-IFERROR(H68,0))/IFERROR(IF(COUNTIF(J68:U68,"x")=0,COUNTA(Besatzung!$B$11:$B$22),COUNTIF(J68:U68,"x")),1)+IF(COUNTIF(J68:U68,"x")=0,(Besatzung!$F$16="x"),(O68="x")*(Besatzung!$F$16="x"))*IFERROR(H68,0)/IFERROR(IF(COUNTIF(J68:U68,"x")=0,SUMPRODUCT((Besatzung!$B$11:$B$22&lt;&gt;"")*(Besatzung!$F$11:$F$22="x")),SUMPRODUCT((J68:U68="x")*(Besatzung!$F$11:$F$22="x"))),1))))),0))))</f>
        <v/>
      </c>
      <c r="AB68" s="247">
        <f>IF(C68="Gutschrift","",IF(G68="","",IF(Besatzung!$B$17="","",IFERROR(IF(I68="Zeitanteilig",(Besatzung!$G$17*(G68-IFERROR(H68,0))+((Besatzung!$B$17&lt;&gt;"")*IF(B68="",1,(IF(Besatzung!$C$17="",Besatzung!$B$5,Besatzung!$C$17)&lt;=B68)*(IF(Besatzung!$D$17="",Besatzung!$B$6,Besatzung!$D$17)&gt;=B68)))*(Besatzung!$F$17="x")*IFERROR(H68,0)/IFERROR(SUMPRODUCT((Besatzung!$B$11:$B$22&lt;&gt;"")*(Besatzung!$F$11:$F$22="x")*(IF(Besatzung!$C$11:$C$22="",Besatzung!$B$5,Besatzung!$C$11:$C$22)&lt;=B68)*(IF(Besatzung!$D$11:$D$22="",Besatzung!$B$6,Besatzung!$D$11:$D$22)&gt;=B68)),1)),IF(I68="An Bord",(((Besatzung!$B$17&lt;&gt;"")*IF(B68="",1,(IF(Besatzung!$C$17="",Besatzung!$B$5,Besatzung!$C$17)&lt;=B68)*(IF(Besatzung!$D$17="",Besatzung!$B$6,Besatzung!$D$17)&gt;=B68)))*((G68-IFERROR(H68,0))/IFERROR(SUMPRODUCT((Besatzung!$B$11:$B$22&lt;&gt;"")*(IF(Besatzung!$C$11:$C$22="",Besatzung!$B$5,Besatzung!$C$11:$C$22)&lt;=B68)*(IF(Besatzung!$D$11:$D$22="",Besatzung!$B$6,Besatzung!$D$11:$D$22)&gt;=B68)),1)+(Besatzung!$F$17="x")*IFERROR(H68,0)/IFERROR(SUMPRODUCT((Besatzung!$B$11:$B$22&lt;&gt;"")*(Besatzung!$F$11:$F$22="x")*(IF(Besatzung!$C$11:$C$22="",Besatzung!$B$5,Besatzung!$C$11:$C$22)&lt;=B68)*(IF(Besatzung!$D$11:$D$22="",Besatzung!$B$6,Besatzung!$D$11:$D$22)&gt;=B68)),1))),IF(I68="Individuell",((P68="x")*((G68-IFERROR(H68,0))/IFERROR(COUNTIF(J68:U68,"x"),1)+(Besatzung!$F$17="x")*IFERROR(H68,0)/IFERROR(SUMPRODUCT((J68:U68="x")*(Besatzung!$F$11:$F$22="x")),1))),(IF(COUNTIF(J68:U68,"x")=0,IF(Besatzung!$B$17&lt;&gt;"",1,0),(P68="x"))*(G68-IFERROR(H68,0))/IFERROR(IF(COUNTIF(J68:U68,"x")=0,COUNTA(Besatzung!$B$11:$B$22),COUNTIF(J68:U68,"x")),1)+IF(COUNTIF(J68:U68,"x")=0,(Besatzung!$F$17="x"),(P68="x")*(Besatzung!$F$17="x"))*IFERROR(H68,0)/IFERROR(IF(COUNTIF(J68:U68,"x")=0,SUMPRODUCT((Besatzung!$B$11:$B$22&lt;&gt;"")*(Besatzung!$F$11:$F$22="x")),SUMPRODUCT((J68:U68="x")*(Besatzung!$F$11:$F$22="x"))),1))))),0))))</f>
        <v/>
      </c>
      <c r="AC68" s="247">
        <f>IF(C68="Gutschrift","",IF(G68="","",IF(Besatzung!$B$18="","",IFERROR(IF(I68="Zeitanteilig",(Besatzung!$G$18*(G68-IFERROR(H68,0))+((Besatzung!$B$18&lt;&gt;"")*IF(B68="",1,(IF(Besatzung!$C$18="",Besatzung!$B$5,Besatzung!$C$18)&lt;=B68)*(IF(Besatzung!$D$18="",Besatzung!$B$6,Besatzung!$D$18)&gt;=B68)))*(Besatzung!$F$18="x")*IFERROR(H68,0)/IFERROR(SUMPRODUCT((Besatzung!$B$11:$B$22&lt;&gt;"")*(Besatzung!$F$11:$F$22="x")*(IF(Besatzung!$C$11:$C$22="",Besatzung!$B$5,Besatzung!$C$11:$C$22)&lt;=B68)*(IF(Besatzung!$D$11:$D$22="",Besatzung!$B$6,Besatzung!$D$11:$D$22)&gt;=B68)),1)),IF(I68="An Bord",(((Besatzung!$B$18&lt;&gt;"")*IF(B68="",1,(IF(Besatzung!$C$18="",Besatzung!$B$5,Besatzung!$C$18)&lt;=B68)*(IF(Besatzung!$D$18="",Besatzung!$B$6,Besatzung!$D$18)&gt;=B68)))*((G68-IFERROR(H68,0))/IFERROR(SUMPRODUCT((Besatzung!$B$11:$B$22&lt;&gt;"")*(IF(Besatzung!$C$11:$C$22="",Besatzung!$B$5,Besatzung!$C$11:$C$22)&lt;=B68)*(IF(Besatzung!$D$11:$D$22="",Besatzung!$B$6,Besatzung!$D$11:$D$22)&gt;=B68)),1)+(Besatzung!$F$18="x")*IFERROR(H68,0)/IFERROR(SUMPRODUCT((Besatzung!$B$11:$B$22&lt;&gt;"")*(Besatzung!$F$11:$F$22="x")*(IF(Besatzung!$C$11:$C$22="",Besatzung!$B$5,Besatzung!$C$11:$C$22)&lt;=B68)*(IF(Besatzung!$D$11:$D$22="",Besatzung!$B$6,Besatzung!$D$11:$D$22)&gt;=B68)),1))),IF(I68="Individuell",((Q68="x")*((G68-IFERROR(H68,0))/IFERROR(COUNTIF(J68:U68,"x"),1)+(Besatzung!$F$18="x")*IFERROR(H68,0)/IFERROR(SUMPRODUCT((J68:U68="x")*(Besatzung!$F$11:$F$22="x")),1))),(IF(COUNTIF(J68:U68,"x")=0,IF(Besatzung!$B$18&lt;&gt;"",1,0),(Q68="x"))*(G68-IFERROR(H68,0))/IFERROR(IF(COUNTIF(J68:U68,"x")=0,COUNTA(Besatzung!$B$11:$B$22),COUNTIF(J68:U68,"x")),1)+IF(COUNTIF(J68:U68,"x")=0,(Besatzung!$F$18="x"),(Q68="x")*(Besatzung!$F$18="x"))*IFERROR(H68,0)/IFERROR(IF(COUNTIF(J68:U68,"x")=0,SUMPRODUCT((Besatzung!$B$11:$B$22&lt;&gt;"")*(Besatzung!$F$11:$F$22="x")),SUMPRODUCT((J68:U68="x")*(Besatzung!$F$11:$F$22="x"))),1))))),0))))</f>
        <v/>
      </c>
      <c r="AD68" s="247">
        <f>IF(C68="Gutschrift","",IF(G68="","",IF(Besatzung!$B$19="","",IFERROR(IF(I68="Zeitanteilig",(Besatzung!$G$19*(G68-IFERROR(H68,0))+((Besatzung!$B$19&lt;&gt;"")*IF(B68="",1,(IF(Besatzung!$C$19="",Besatzung!$B$5,Besatzung!$C$19)&lt;=B68)*(IF(Besatzung!$D$19="",Besatzung!$B$6,Besatzung!$D$19)&gt;=B68)))*(Besatzung!$F$19="x")*IFERROR(H68,0)/IFERROR(SUMPRODUCT((Besatzung!$B$11:$B$22&lt;&gt;"")*(Besatzung!$F$11:$F$22="x")*(IF(Besatzung!$C$11:$C$22="",Besatzung!$B$5,Besatzung!$C$11:$C$22)&lt;=B68)*(IF(Besatzung!$D$11:$D$22="",Besatzung!$B$6,Besatzung!$D$11:$D$22)&gt;=B68)),1)),IF(I68="An Bord",(((Besatzung!$B$19&lt;&gt;"")*IF(B68="",1,(IF(Besatzung!$C$19="",Besatzung!$B$5,Besatzung!$C$19)&lt;=B68)*(IF(Besatzung!$D$19="",Besatzung!$B$6,Besatzung!$D$19)&gt;=B68)))*((G68-IFERROR(H68,0))/IFERROR(SUMPRODUCT((Besatzung!$B$11:$B$22&lt;&gt;"")*(IF(Besatzung!$C$11:$C$22="",Besatzung!$B$5,Besatzung!$C$11:$C$22)&lt;=B68)*(IF(Besatzung!$D$11:$D$22="",Besatzung!$B$6,Besatzung!$D$11:$D$22)&gt;=B68)),1)+(Besatzung!$F$19="x")*IFERROR(H68,0)/IFERROR(SUMPRODUCT((Besatzung!$B$11:$B$22&lt;&gt;"")*(Besatzung!$F$11:$F$22="x")*(IF(Besatzung!$C$11:$C$22="",Besatzung!$B$5,Besatzung!$C$11:$C$22)&lt;=B68)*(IF(Besatzung!$D$11:$D$22="",Besatzung!$B$6,Besatzung!$D$11:$D$22)&gt;=B68)),1))),IF(I68="Individuell",((R68="x")*((G68-IFERROR(H68,0))/IFERROR(COUNTIF(J68:U68,"x"),1)+(Besatzung!$F$19="x")*IFERROR(H68,0)/IFERROR(SUMPRODUCT((J68:U68="x")*(Besatzung!$F$11:$F$22="x")),1))),(IF(COUNTIF(J68:U68,"x")=0,IF(Besatzung!$B$19&lt;&gt;"",1,0),(R68="x"))*(G68-IFERROR(H68,0))/IFERROR(IF(COUNTIF(J68:U68,"x")=0,COUNTA(Besatzung!$B$11:$B$22),COUNTIF(J68:U68,"x")),1)+IF(COUNTIF(J68:U68,"x")=0,(Besatzung!$F$19="x"),(R68="x")*(Besatzung!$F$19="x"))*IFERROR(H68,0)/IFERROR(IF(COUNTIF(J68:U68,"x")=0,SUMPRODUCT((Besatzung!$B$11:$B$22&lt;&gt;"")*(Besatzung!$F$11:$F$22="x")),SUMPRODUCT((J68:U68="x")*(Besatzung!$F$11:$F$22="x"))),1))))),0))))</f>
        <v/>
      </c>
      <c r="AE68" s="247">
        <f>IF(C68="Gutschrift","",IF(G68="","",IF(Besatzung!$B$20="","",IFERROR(IF(I68="Zeitanteilig",(Besatzung!$G$20*(G68-IFERROR(H68,0))+((Besatzung!$B$20&lt;&gt;"")*IF(B68="",1,(IF(Besatzung!$C$20="",Besatzung!$B$5,Besatzung!$C$20)&lt;=B68)*(IF(Besatzung!$D$20="",Besatzung!$B$6,Besatzung!$D$20)&gt;=B68)))*(Besatzung!$F$20="x")*IFERROR(H68,0)/IFERROR(SUMPRODUCT((Besatzung!$B$11:$B$22&lt;&gt;"")*(Besatzung!$F$11:$F$22="x")*(IF(Besatzung!$C$11:$C$22="",Besatzung!$B$5,Besatzung!$C$11:$C$22)&lt;=B68)*(IF(Besatzung!$D$11:$D$22="",Besatzung!$B$6,Besatzung!$D$11:$D$22)&gt;=B68)),1)),IF(I68="An Bord",(((Besatzung!$B$20&lt;&gt;"")*IF(B68="",1,(IF(Besatzung!$C$20="",Besatzung!$B$5,Besatzung!$C$20)&lt;=B68)*(IF(Besatzung!$D$20="",Besatzung!$B$6,Besatzung!$D$20)&gt;=B68)))*((G68-IFERROR(H68,0))/IFERROR(SUMPRODUCT((Besatzung!$B$11:$B$22&lt;&gt;"")*(IF(Besatzung!$C$11:$C$22="",Besatzung!$B$5,Besatzung!$C$11:$C$22)&lt;=B68)*(IF(Besatzung!$D$11:$D$22="",Besatzung!$B$6,Besatzung!$D$11:$D$22)&gt;=B68)),1)+(Besatzung!$F$20="x")*IFERROR(H68,0)/IFERROR(SUMPRODUCT((Besatzung!$B$11:$B$22&lt;&gt;"")*(Besatzung!$F$11:$F$22="x")*(IF(Besatzung!$C$11:$C$22="",Besatzung!$B$5,Besatzung!$C$11:$C$22)&lt;=B68)*(IF(Besatzung!$D$11:$D$22="",Besatzung!$B$6,Besatzung!$D$11:$D$22)&gt;=B68)),1))),IF(I68="Individuell",((S68="x")*((G68-IFERROR(H68,0))/IFERROR(COUNTIF(J68:U68,"x"),1)+(Besatzung!$F$20="x")*IFERROR(H68,0)/IFERROR(SUMPRODUCT((J68:U68="x")*(Besatzung!$F$11:$F$22="x")),1))),(IF(COUNTIF(J68:U68,"x")=0,IF(Besatzung!$B$20&lt;&gt;"",1,0),(S68="x"))*(G68-IFERROR(H68,0))/IFERROR(IF(COUNTIF(J68:U68,"x")=0,COUNTA(Besatzung!$B$11:$B$22),COUNTIF(J68:U68,"x")),1)+IF(COUNTIF(J68:U68,"x")=0,(Besatzung!$F$20="x"),(S68="x")*(Besatzung!$F$20="x"))*IFERROR(H68,0)/IFERROR(IF(COUNTIF(J68:U68,"x")=0,SUMPRODUCT((Besatzung!$B$11:$B$22&lt;&gt;"")*(Besatzung!$F$11:$F$22="x")),SUMPRODUCT((J68:U68="x")*(Besatzung!$F$11:$F$22="x"))),1))))),0))))</f>
        <v/>
      </c>
      <c r="AF68" s="247">
        <f>IF(C68="Gutschrift","",IF(G68="","",IF(Besatzung!$B$21="","",IFERROR(IF(I68="Zeitanteilig",(Besatzung!$G$21*(G68-IFERROR(H68,0))+((Besatzung!$B$21&lt;&gt;"")*IF(B68="",1,(IF(Besatzung!$C$21="",Besatzung!$B$5,Besatzung!$C$21)&lt;=B68)*(IF(Besatzung!$D$21="",Besatzung!$B$6,Besatzung!$D$21)&gt;=B68)))*(Besatzung!$F$21="x")*IFERROR(H68,0)/IFERROR(SUMPRODUCT((Besatzung!$B$11:$B$22&lt;&gt;"")*(Besatzung!$F$11:$F$22="x")*(IF(Besatzung!$C$11:$C$22="",Besatzung!$B$5,Besatzung!$C$11:$C$22)&lt;=B68)*(IF(Besatzung!$D$11:$D$22="",Besatzung!$B$6,Besatzung!$D$11:$D$22)&gt;=B68)),1)),IF(I68="An Bord",(((Besatzung!$B$21&lt;&gt;"")*IF(B68="",1,(IF(Besatzung!$C$21="",Besatzung!$B$5,Besatzung!$C$21)&lt;=B68)*(IF(Besatzung!$D$21="",Besatzung!$B$6,Besatzung!$D$21)&gt;=B68)))*((G68-IFERROR(H68,0))/IFERROR(SUMPRODUCT((Besatzung!$B$11:$B$22&lt;&gt;"")*(IF(Besatzung!$C$11:$C$22="",Besatzung!$B$5,Besatzung!$C$11:$C$22)&lt;=B68)*(IF(Besatzung!$D$11:$D$22="",Besatzung!$B$6,Besatzung!$D$11:$D$22)&gt;=B68)),1)+(Besatzung!$F$21="x")*IFERROR(H68,0)/IFERROR(SUMPRODUCT((Besatzung!$B$11:$B$22&lt;&gt;"")*(Besatzung!$F$11:$F$22="x")*(IF(Besatzung!$C$11:$C$22="",Besatzung!$B$5,Besatzung!$C$11:$C$22)&lt;=B68)*(IF(Besatzung!$D$11:$D$22="",Besatzung!$B$6,Besatzung!$D$11:$D$22)&gt;=B68)),1))),IF(I68="Individuell",((T68="x")*((G68-IFERROR(H68,0))/IFERROR(COUNTIF(J68:U68,"x"),1)+(Besatzung!$F$21="x")*IFERROR(H68,0)/IFERROR(SUMPRODUCT((J68:U68="x")*(Besatzung!$F$11:$F$22="x")),1))),(IF(COUNTIF(J68:U68,"x")=0,IF(Besatzung!$B$21&lt;&gt;"",1,0),(T68="x"))*(G68-IFERROR(H68,0))/IFERROR(IF(COUNTIF(J68:U68,"x")=0,COUNTA(Besatzung!$B$11:$B$22),COUNTIF(J68:U68,"x")),1)+IF(COUNTIF(J68:U68,"x")=0,(Besatzung!$F$21="x"),(T68="x")*(Besatzung!$F$21="x"))*IFERROR(H68,0)/IFERROR(IF(COUNTIF(J68:U68,"x")=0,SUMPRODUCT((Besatzung!$B$11:$B$22&lt;&gt;"")*(Besatzung!$F$11:$F$22="x")),SUMPRODUCT((J68:U68="x")*(Besatzung!$F$11:$F$22="x"))),1))))),0))))</f>
        <v/>
      </c>
      <c r="AG68" s="247">
        <f>IF(C68="Gutschrift","",IF(G68="","",IF(Besatzung!$B$22="","",IFERROR(IF(I68="Zeitanteilig",(Besatzung!$G$22*(G68-IFERROR(H68,0))+((Besatzung!$B$22&lt;&gt;"")*IF(B68="",1,(IF(Besatzung!$C$22="",Besatzung!$B$5,Besatzung!$C$22)&lt;=B68)*(IF(Besatzung!$D$22="",Besatzung!$B$6,Besatzung!$D$22)&gt;=B68)))*(Besatzung!$F$22="x")*IFERROR(H68,0)/IFERROR(SUMPRODUCT((Besatzung!$B$11:$B$22&lt;&gt;"")*(Besatzung!$F$11:$F$22="x")*(IF(Besatzung!$C$11:$C$22="",Besatzung!$B$5,Besatzung!$C$11:$C$22)&lt;=B68)*(IF(Besatzung!$D$11:$D$22="",Besatzung!$B$6,Besatzung!$D$11:$D$22)&gt;=B68)),1)),IF(I68="An Bord",(((Besatzung!$B$22&lt;&gt;"")*IF(B68="",1,(IF(Besatzung!$C$22="",Besatzung!$B$5,Besatzung!$C$22)&lt;=B68)*(IF(Besatzung!$D$22="",Besatzung!$B$6,Besatzung!$D$22)&gt;=B68)))*((G68-IFERROR(H68,0))/IFERROR(SUMPRODUCT((Besatzung!$B$11:$B$22&lt;&gt;"")*(IF(Besatzung!$C$11:$C$22="",Besatzung!$B$5,Besatzung!$C$11:$C$22)&lt;=B68)*(IF(Besatzung!$D$11:$D$22="",Besatzung!$B$6,Besatzung!$D$11:$D$22)&gt;=B68)),1)+(Besatzung!$F$22="x")*IFERROR(H68,0)/IFERROR(SUMPRODUCT((Besatzung!$B$11:$B$22&lt;&gt;"")*(Besatzung!$F$11:$F$22="x")*(IF(Besatzung!$C$11:$C$22="",Besatzung!$B$5,Besatzung!$C$11:$C$22)&lt;=B68)*(IF(Besatzung!$D$11:$D$22="",Besatzung!$B$6,Besatzung!$D$11:$D$22)&gt;=B68)),1))),IF(I68="Individuell",((U68="x")*((G68-IFERROR(H68,0))/IFERROR(COUNTIF(J68:U68,"x"),1)+(Besatzung!$F$22="x")*IFERROR(H68,0)/IFERROR(SUMPRODUCT((J68:U68="x")*(Besatzung!$F$11:$F$22="x")),1))),(IF(COUNTIF(J68:U68,"x")=0,IF(Besatzung!$B$22&lt;&gt;"",1,0),(U68="x"))*(G68-IFERROR(H68,0))/IFERROR(IF(COUNTIF(J68:U68,"x")=0,COUNTA(Besatzung!$B$11:$B$22),COUNTIF(J68:U68,"x")),1)+IF(COUNTIF(J68:U68,"x")=0,(Besatzung!$F$22="x"),(U68="x")*(Besatzung!$F$22="x"))*IFERROR(H68,0)/IFERROR(IF(COUNTIF(J68:U68,"x")=0,SUMPRODUCT((Besatzung!$B$11:$B$22&lt;&gt;"")*(Besatzung!$F$11:$F$22="x")),SUMPRODUCT((J68:U68="x")*(Besatzung!$F$11:$F$22="x"))),1))))),0))))</f>
        <v/>
      </c>
      <c r="AH68" s="248" t="n"/>
      <c r="AI68" s="248" t="n"/>
    </row>
    <row r="69" ht="21.75" customHeight="1" s="154">
      <c r="A69" s="238">
        <f>IF(AND(D69="",C69=""),"",66)</f>
        <v/>
      </c>
      <c r="B69" s="206" t="n"/>
      <c r="C69" s="249" t="n"/>
      <c r="D69" s="250" t="n"/>
      <c r="E69" s="251" t="n"/>
      <c r="F69" s="252" t="n"/>
      <c r="G69" s="253" t="n"/>
      <c r="H69" s="254" t="n"/>
      <c r="I69" s="255" t="n"/>
      <c r="J69" s="256" t="n"/>
      <c r="K69" s="256" t="n"/>
      <c r="L69" s="256" t="n"/>
      <c r="M69" s="256" t="n"/>
      <c r="N69" s="256" t="n"/>
      <c r="O69" s="256" t="n"/>
      <c r="P69" s="256" t="n"/>
      <c r="Q69" s="256" t="n"/>
      <c r="R69" s="256" t="n"/>
      <c r="S69" s="256" t="n"/>
      <c r="T69" s="256" t="n"/>
      <c r="U69" s="256" t="n"/>
      <c r="V69" s="247">
        <f>IF(C69="Gutschrift","",IF(G69="","",IF(Besatzung!$B$11="","",IFERROR(IF(I69="Zeitanteilig",(Besatzung!$G$11*(G69-IFERROR(H69,0))+((Besatzung!$B$11&lt;&gt;"")*IF(B69="",1,(IF(Besatzung!$C$11="",Besatzung!$B$5,Besatzung!$C$11)&lt;=B69)*(IF(Besatzung!$D$11="",Besatzung!$B$6,Besatzung!$D$11)&gt;=B69)))*(Besatzung!$F$11="x")*IFERROR(H69,0)/IFERROR(SUMPRODUCT((Besatzung!$B$11:$B$22&lt;&gt;"")*(Besatzung!$F$11:$F$22="x")*(IF(Besatzung!$C$11:$C$22="",Besatzung!$B$5,Besatzung!$C$11:$C$22)&lt;=B69)*(IF(Besatzung!$D$11:$D$22="",Besatzung!$B$6,Besatzung!$D$11:$D$22)&gt;=B69)),1)),IF(I69="An Bord",(((Besatzung!$B$11&lt;&gt;"")*IF(B69="",1,(IF(Besatzung!$C$11="",Besatzung!$B$5,Besatzung!$C$11)&lt;=B69)*(IF(Besatzung!$D$11="",Besatzung!$B$6,Besatzung!$D$11)&gt;=B69)))*((G69-IFERROR(H69,0))/IFERROR(SUMPRODUCT((Besatzung!$B$11:$B$22&lt;&gt;"")*(IF(Besatzung!$C$11:$C$22="",Besatzung!$B$5,Besatzung!$C$11:$C$22)&lt;=B69)*(IF(Besatzung!$D$11:$D$22="",Besatzung!$B$6,Besatzung!$D$11:$D$22)&gt;=B69)),1)+(Besatzung!$F$11="x")*IFERROR(H69,0)/IFERROR(SUMPRODUCT((Besatzung!$B$11:$B$22&lt;&gt;"")*(Besatzung!$F$11:$F$22="x")*(IF(Besatzung!$C$11:$C$22="",Besatzung!$B$5,Besatzung!$C$11:$C$22)&lt;=B69)*(IF(Besatzung!$D$11:$D$22="",Besatzung!$B$6,Besatzung!$D$11:$D$22)&gt;=B69)),1))),IF(I69="Individuell",((J69="x")*((G69-IFERROR(H69,0))/IFERROR(COUNTIF(J69:U69,"x"),1)+(Besatzung!$F$11="x")*IFERROR(H69,0)/IFERROR(SUMPRODUCT((J69:U69="x")*(Besatzung!$F$11:$F$22="x")),1))),(IF(COUNTIF(J69:U69,"x")=0,IF(Besatzung!$B$11&lt;&gt;"",1,0),(J69="x"))*(G69-IFERROR(H69,0))/IFERROR(IF(COUNTIF(J69:U69,"x")=0,COUNTA(Besatzung!$B$11:$B$22),COUNTIF(J69:U69,"x")),1)+IF(COUNTIF(J69:U69,"x")=0,(Besatzung!$F$11="x"),(J69="x")*(Besatzung!$F$11="x"))*IFERROR(H69,0)/IFERROR(IF(COUNTIF(J69:U69,"x")=0,SUMPRODUCT((Besatzung!$B$11:$B$22&lt;&gt;"")*(Besatzung!$F$11:$F$22="x")),SUMPRODUCT((J69:U69="x")*(Besatzung!$F$11:$F$22="x"))),1))))),0))))</f>
        <v/>
      </c>
      <c r="W69" s="247">
        <f>IF(C69="Gutschrift","",IF(G69="","",IF(Besatzung!$B$12="","",IFERROR(IF(I69="Zeitanteilig",(Besatzung!$G$12*(G69-IFERROR(H69,0))+((Besatzung!$B$12&lt;&gt;"")*IF(B69="",1,(IF(Besatzung!$C$12="",Besatzung!$B$5,Besatzung!$C$12)&lt;=B69)*(IF(Besatzung!$D$12="",Besatzung!$B$6,Besatzung!$D$12)&gt;=B69)))*(Besatzung!$F$12="x")*IFERROR(H69,0)/IFERROR(SUMPRODUCT((Besatzung!$B$11:$B$22&lt;&gt;"")*(Besatzung!$F$11:$F$22="x")*(IF(Besatzung!$C$11:$C$22="",Besatzung!$B$5,Besatzung!$C$11:$C$22)&lt;=B69)*(IF(Besatzung!$D$11:$D$22="",Besatzung!$B$6,Besatzung!$D$11:$D$22)&gt;=B69)),1)),IF(I69="An Bord",(((Besatzung!$B$12&lt;&gt;"")*IF(B69="",1,(IF(Besatzung!$C$12="",Besatzung!$B$5,Besatzung!$C$12)&lt;=B69)*(IF(Besatzung!$D$12="",Besatzung!$B$6,Besatzung!$D$12)&gt;=B69)))*((G69-IFERROR(H69,0))/IFERROR(SUMPRODUCT((Besatzung!$B$11:$B$22&lt;&gt;"")*(IF(Besatzung!$C$11:$C$22="",Besatzung!$B$5,Besatzung!$C$11:$C$22)&lt;=B69)*(IF(Besatzung!$D$11:$D$22="",Besatzung!$B$6,Besatzung!$D$11:$D$22)&gt;=B69)),1)+(Besatzung!$F$12="x")*IFERROR(H69,0)/IFERROR(SUMPRODUCT((Besatzung!$B$11:$B$22&lt;&gt;"")*(Besatzung!$F$11:$F$22="x")*(IF(Besatzung!$C$11:$C$22="",Besatzung!$B$5,Besatzung!$C$11:$C$22)&lt;=B69)*(IF(Besatzung!$D$11:$D$22="",Besatzung!$B$6,Besatzung!$D$11:$D$22)&gt;=B69)),1))),IF(I69="Individuell",((K69="x")*((G69-IFERROR(H69,0))/IFERROR(COUNTIF(J69:U69,"x"),1)+(Besatzung!$F$12="x")*IFERROR(H69,0)/IFERROR(SUMPRODUCT((J69:U69="x")*(Besatzung!$F$11:$F$22="x")),1))),(IF(COUNTIF(J69:U69,"x")=0,IF(Besatzung!$B$12&lt;&gt;"",1,0),(K69="x"))*(G69-IFERROR(H69,0))/IFERROR(IF(COUNTIF(J69:U69,"x")=0,COUNTA(Besatzung!$B$11:$B$22),COUNTIF(J69:U69,"x")),1)+IF(COUNTIF(J69:U69,"x")=0,(Besatzung!$F$12="x"),(K69="x")*(Besatzung!$F$12="x"))*IFERROR(H69,0)/IFERROR(IF(COUNTIF(J69:U69,"x")=0,SUMPRODUCT((Besatzung!$B$11:$B$22&lt;&gt;"")*(Besatzung!$F$11:$F$22="x")),SUMPRODUCT((J69:U69="x")*(Besatzung!$F$11:$F$22="x"))),1))))),0))))</f>
        <v/>
      </c>
      <c r="X69" s="247">
        <f>IF(C69="Gutschrift","",IF(G69="","",IF(Besatzung!$B$13="","",IFERROR(IF(I69="Zeitanteilig",(Besatzung!$G$13*(G69-IFERROR(H69,0))+((Besatzung!$B$13&lt;&gt;"")*IF(B69="",1,(IF(Besatzung!$C$13="",Besatzung!$B$5,Besatzung!$C$13)&lt;=B69)*(IF(Besatzung!$D$13="",Besatzung!$B$6,Besatzung!$D$13)&gt;=B69)))*(Besatzung!$F$13="x")*IFERROR(H69,0)/IFERROR(SUMPRODUCT((Besatzung!$B$11:$B$22&lt;&gt;"")*(Besatzung!$F$11:$F$22="x")*(IF(Besatzung!$C$11:$C$22="",Besatzung!$B$5,Besatzung!$C$11:$C$22)&lt;=B69)*(IF(Besatzung!$D$11:$D$22="",Besatzung!$B$6,Besatzung!$D$11:$D$22)&gt;=B69)),1)),IF(I69="An Bord",(((Besatzung!$B$13&lt;&gt;"")*IF(B69="",1,(IF(Besatzung!$C$13="",Besatzung!$B$5,Besatzung!$C$13)&lt;=B69)*(IF(Besatzung!$D$13="",Besatzung!$B$6,Besatzung!$D$13)&gt;=B69)))*((G69-IFERROR(H69,0))/IFERROR(SUMPRODUCT((Besatzung!$B$11:$B$22&lt;&gt;"")*(IF(Besatzung!$C$11:$C$22="",Besatzung!$B$5,Besatzung!$C$11:$C$22)&lt;=B69)*(IF(Besatzung!$D$11:$D$22="",Besatzung!$B$6,Besatzung!$D$11:$D$22)&gt;=B69)),1)+(Besatzung!$F$13="x")*IFERROR(H69,0)/IFERROR(SUMPRODUCT((Besatzung!$B$11:$B$22&lt;&gt;"")*(Besatzung!$F$11:$F$22="x")*(IF(Besatzung!$C$11:$C$22="",Besatzung!$B$5,Besatzung!$C$11:$C$22)&lt;=B69)*(IF(Besatzung!$D$11:$D$22="",Besatzung!$B$6,Besatzung!$D$11:$D$22)&gt;=B69)),1))),IF(I69="Individuell",((K69="x")*((G69-IFERROR(H69,0))/IFERROR(COUNTIF(J69:U69,"x"),1)+(Besatzung!$F$13="x")*IFERROR(H69,0)/IFERROR(SUMPRODUCT((J69:U69="x")*(Besatzung!$F$11:$F$22="x")),1))),(IF(COUNTIF(J69:U69,"x")=0,IF(Besatzung!$B$13&lt;&gt;"",1,0),(K69="x"))*(G69-IFERROR(H69,0))/IFERROR(IF(COUNTIF(J69:U69,"x")=0,COUNTA(Besatzung!$B$11:$B$22),COUNTIF(J69:U69,"x")),1)+IF(COUNTIF(J69:U69,"x")=0,(Besatzung!$F$13="x"),(K69="x")*(Besatzung!$F$13="x"))*IFERROR(H69,0)/IFERROR(IF(COUNTIF(J69:U69,"x")=0,SUMPRODUCT((Besatzung!$B$11:$B$22&lt;&gt;"")*(Besatzung!$F$11:$F$22="x")),SUMPRODUCT((J69:U69="x")*(Besatzung!$F$11:$F$22="x"))),1))))),0))))</f>
        <v/>
      </c>
      <c r="Y69" s="247">
        <f>IF(C69="Gutschrift","",IF(G69="","",IF(Besatzung!$B$14="","",IFERROR(IF(I69="Zeitanteilig",(Besatzung!$G$14*(G69-IFERROR(H69,0))+((Besatzung!$B$14&lt;&gt;"")*IF(B69="",1,(IF(Besatzung!$C$14="",Besatzung!$B$5,Besatzung!$C$14)&lt;=B69)*(IF(Besatzung!$D$14="",Besatzung!$B$6,Besatzung!$D$14)&gt;=B69)))*(Besatzung!$F$14="x")*IFERROR(H69,0)/IFERROR(SUMPRODUCT((Besatzung!$B$11:$B$22&lt;&gt;"")*(Besatzung!$F$11:$F$22="x")*(IF(Besatzung!$C$11:$C$22="",Besatzung!$B$5,Besatzung!$C$11:$C$22)&lt;=B69)*(IF(Besatzung!$D$11:$D$22="",Besatzung!$B$6,Besatzung!$D$11:$D$22)&gt;=B69)),1)),IF(I69="An Bord",(((Besatzung!$B$14&lt;&gt;"")*IF(B69="",1,(IF(Besatzung!$C$14="",Besatzung!$B$5,Besatzung!$C$14)&lt;=B69)*(IF(Besatzung!$D$14="",Besatzung!$B$6,Besatzung!$D$14)&gt;=B69)))*((G69-IFERROR(H69,0))/IFERROR(SUMPRODUCT((Besatzung!$B$11:$B$22&lt;&gt;"")*(IF(Besatzung!$C$11:$C$22="",Besatzung!$B$5,Besatzung!$C$11:$C$22)&lt;=B69)*(IF(Besatzung!$D$11:$D$22="",Besatzung!$B$6,Besatzung!$D$11:$D$22)&gt;=B69)),1)+(Besatzung!$F$14="x")*IFERROR(H69,0)/IFERROR(SUMPRODUCT((Besatzung!$B$11:$B$22&lt;&gt;"")*(Besatzung!$F$11:$F$22="x")*(IF(Besatzung!$C$11:$C$22="",Besatzung!$B$5,Besatzung!$C$11:$C$22)&lt;=B69)*(IF(Besatzung!$D$11:$D$22="",Besatzung!$B$6,Besatzung!$D$11:$D$22)&gt;=B69)),1))),IF(I69="Individuell",((M69="x")*((G69-IFERROR(H69,0))/IFERROR(COUNTIF(J69:U69,"x"),1)+(Besatzung!$F$14="x")*IFERROR(H69,0)/IFERROR(SUMPRODUCT((J69:U69="x")*(Besatzung!$F$11:$F$22="x")),1))),(IF(COUNTIF(J69:U69,"x")=0,IF(Besatzung!$B$14&lt;&gt;"",1,0),(M69="x"))*(G69-IFERROR(H69,0))/IFERROR(IF(COUNTIF(J69:U69,"x")=0,COUNTA(Besatzung!$B$11:$B$22),COUNTIF(J69:U69,"x")),1)+IF(COUNTIF(J69:U69,"x")=0,(Besatzung!$F$14="x"),(M69="x")*(Besatzung!$F$14="x"))*IFERROR(H69,0)/IFERROR(IF(COUNTIF(J69:U69,"x")=0,SUMPRODUCT((Besatzung!$B$11:$B$22&lt;&gt;"")*(Besatzung!$F$11:$F$22="x")),SUMPRODUCT((J69:U69="x")*(Besatzung!$F$11:$F$22="x"))),1))))),0))))</f>
        <v/>
      </c>
      <c r="Z69" s="247">
        <f>IF(C69="Gutschrift","",IF(G69="","",IF(Besatzung!$B$13="","",IFERROR(IF(I69="Zeitanteilig",(Besatzung!$G$15*(G69-IFERROR(H69,0))+((Besatzung!$B$13&lt;&gt;"")*IF(B69="",1,(IF(Besatzung!$C$15="",Besatzung!$B$5,Besatzung!$C$15)&lt;=B69)*(IF(Besatzung!$D$15="",Besatzung!$B$6,Besatzung!$D$15)&gt;=B69)))*(Besatzung!$F$15="x")*IFERROR(H69,0)/IFERROR(SUMPRODUCT((Besatzung!$B$11:$B$22&lt;&gt;"")*(Besatzung!$F$11:$F$22="x")*(IF(Besatzung!$C$11:$C$22="",Besatzung!$B$5,Besatzung!$C$11:$C$22)&lt;=B69)*(IF(Besatzung!$D$11:$D$22="",Besatzung!$B$6,Besatzung!$D$11:$D$22)&gt;=B69)),1)),IF(I69="An Bord",(((Besatzung!$B$13&lt;&gt;"")*IF(B69="",1,(IF(Besatzung!$C$15="",Besatzung!$B$5,Besatzung!$C$15)&lt;=B69)*(IF(Besatzung!$D$15="",Besatzung!$B$6,Besatzung!$D$15)&gt;=B69)))*((G69-IFERROR(H69,0))/IFERROR(SUMPRODUCT((Besatzung!$B$11:$B$22&lt;&gt;"")*(IF(Besatzung!$C$11:$C$22="",Besatzung!$B$5,Besatzung!$C$11:$C$22)&lt;=B69)*(IF(Besatzung!$D$11:$D$22="",Besatzung!$B$6,Besatzung!$D$11:$D$22)&gt;=B69)),1)+(Besatzung!$F$15="x")*IFERROR(H69,0)/IFERROR(SUMPRODUCT((Besatzung!$B$11:$B$22&lt;&gt;"")*(Besatzung!$F$11:$F$22="x")*(IF(Besatzung!$C$11:$C$22="",Besatzung!$B$5,Besatzung!$C$11:$C$22)&lt;=B69)*(IF(Besatzung!$D$11:$D$22="",Besatzung!$B$6,Besatzung!$D$11:$D$22)&gt;=B69)),1))),IF(I69="Individuell",((N69="x")*((G69-IFERROR(H69,0))/IFERROR(COUNTIF(J69:U69,"x"),1)+(Besatzung!$F$15="x")*IFERROR(H69,0)/IFERROR(SUMPRODUCT((J69:U69="x")*(Besatzung!$F$11:$F$22="x")),1))),(IF(COUNTIF(J69:U69,"x")=0,IF(Besatzung!$B$13&lt;&gt;"",1,0),(N69="x"))*(G69-IFERROR(H69,0))/IFERROR(IF(COUNTIF(J69:U69,"x")=0,COUNTA(Besatzung!$B$11:$B$22),COUNTIF(J69:U69,"x")),1)+IF(COUNTIF(J69:U69,"x")=0,(Besatzung!$F$15="x"),(N69="x")*(Besatzung!$F$15="x"))*IFERROR(H69,0)/IFERROR(IF(COUNTIF(J69:U69,"x")=0,SUMPRODUCT((Besatzung!$B$11:$B$22&lt;&gt;"")*(Besatzung!$F$11:$F$22="x")),SUMPRODUCT((J69:U69="x")*(Besatzung!$F$11:$F$22="x"))),1))))),0))))</f>
        <v/>
      </c>
      <c r="AA69" s="247">
        <f>IF(C69="Gutschrift","",IF(G69="","",IF(Besatzung!$B$15="","",IFERROR(IF(I69="Zeitanteilig",(Besatzung!$G$16*(G69-IFERROR(H69,0))+((Besatzung!$B$15&lt;&gt;"")*IF(B69="",1,(IF(Besatzung!$C$16="",Besatzung!$B$5,Besatzung!$C$16)&lt;=B69)*(IF(Besatzung!$D$16="",Besatzung!$B$6,Besatzung!$D$16)&gt;=B69)))*(Besatzung!$F$16="x")*IFERROR(H69,0)/IFERROR(SUMPRODUCT((Besatzung!$B$11:$B$22&lt;&gt;"")*(Besatzung!$F$11:$F$22="x")*(IF(Besatzung!$C$11:$C$22="",Besatzung!$B$5,Besatzung!$C$11:$C$22)&lt;=B69)*(IF(Besatzung!$D$11:$D$22="",Besatzung!$B$6,Besatzung!$D$11:$D$22)&gt;=B69)),1)),IF(I69="An Bord",(((Besatzung!$B$15&lt;&gt;"")*IF(B69="",1,(IF(Besatzung!$C$16="",Besatzung!$B$5,Besatzung!$C$16)&lt;=B69)*(IF(Besatzung!$D$16="",Besatzung!$B$6,Besatzung!$D$16)&gt;=B69)))*((G69-IFERROR(H69,0))/IFERROR(SUMPRODUCT((Besatzung!$B$11:$B$22&lt;&gt;"")*(IF(Besatzung!$C$11:$C$22="",Besatzung!$B$5,Besatzung!$C$11:$C$22)&lt;=B69)*(IF(Besatzung!$D$11:$D$22="",Besatzung!$B$6,Besatzung!$D$11:$D$22)&gt;=B69)),1)+(Besatzung!$F$16="x")*IFERROR(H69,0)/IFERROR(SUMPRODUCT((Besatzung!$B$11:$B$22&lt;&gt;"")*(Besatzung!$F$11:$F$22="x")*(IF(Besatzung!$C$11:$C$22="",Besatzung!$B$5,Besatzung!$C$11:$C$22)&lt;=B69)*(IF(Besatzung!$D$11:$D$22="",Besatzung!$B$6,Besatzung!$D$11:$D$22)&gt;=B69)),1))),IF(I69="Individuell",((O69="x")*((G69-IFERROR(H69,0))/IFERROR(COUNTIF(J69:U69,"x"),1)+(Besatzung!$F$16="x")*IFERROR(H69,0)/IFERROR(SUMPRODUCT((J69:U69="x")*(Besatzung!$F$11:$F$22="x")),1))),(IF(COUNTIF(J69:U69,"x")=0,IF(Besatzung!$B$15&lt;&gt;"",1,0),(O69="x"))*(G69-IFERROR(H69,0))/IFERROR(IF(COUNTIF(J69:U69,"x")=0,COUNTA(Besatzung!$B$11:$B$22),COUNTIF(J69:U69,"x")),1)+IF(COUNTIF(J69:U69,"x")=0,(Besatzung!$F$16="x"),(O69="x")*(Besatzung!$F$16="x"))*IFERROR(H69,0)/IFERROR(IF(COUNTIF(J69:U69,"x")=0,SUMPRODUCT((Besatzung!$B$11:$B$22&lt;&gt;"")*(Besatzung!$F$11:$F$22="x")),SUMPRODUCT((J69:U69="x")*(Besatzung!$F$11:$F$22="x"))),1))))),0))))</f>
        <v/>
      </c>
      <c r="AB69" s="247">
        <f>IF(C69="Gutschrift","",IF(G69="","",IF(Besatzung!$B$17="","",IFERROR(IF(I69="Zeitanteilig",(Besatzung!$G$17*(G69-IFERROR(H69,0))+((Besatzung!$B$17&lt;&gt;"")*IF(B69="",1,(IF(Besatzung!$C$17="",Besatzung!$B$5,Besatzung!$C$17)&lt;=B69)*(IF(Besatzung!$D$17="",Besatzung!$B$6,Besatzung!$D$17)&gt;=B69)))*(Besatzung!$F$17="x")*IFERROR(H69,0)/IFERROR(SUMPRODUCT((Besatzung!$B$11:$B$22&lt;&gt;"")*(Besatzung!$F$11:$F$22="x")*(IF(Besatzung!$C$11:$C$22="",Besatzung!$B$5,Besatzung!$C$11:$C$22)&lt;=B69)*(IF(Besatzung!$D$11:$D$22="",Besatzung!$B$6,Besatzung!$D$11:$D$22)&gt;=B69)),1)),IF(I69="An Bord",(((Besatzung!$B$17&lt;&gt;"")*IF(B69="",1,(IF(Besatzung!$C$17="",Besatzung!$B$5,Besatzung!$C$17)&lt;=B69)*(IF(Besatzung!$D$17="",Besatzung!$B$6,Besatzung!$D$17)&gt;=B69)))*((G69-IFERROR(H69,0))/IFERROR(SUMPRODUCT((Besatzung!$B$11:$B$22&lt;&gt;"")*(IF(Besatzung!$C$11:$C$22="",Besatzung!$B$5,Besatzung!$C$11:$C$22)&lt;=B69)*(IF(Besatzung!$D$11:$D$22="",Besatzung!$B$6,Besatzung!$D$11:$D$22)&gt;=B69)),1)+(Besatzung!$F$17="x")*IFERROR(H69,0)/IFERROR(SUMPRODUCT((Besatzung!$B$11:$B$22&lt;&gt;"")*(Besatzung!$F$11:$F$22="x")*(IF(Besatzung!$C$11:$C$22="",Besatzung!$B$5,Besatzung!$C$11:$C$22)&lt;=B69)*(IF(Besatzung!$D$11:$D$22="",Besatzung!$B$6,Besatzung!$D$11:$D$22)&gt;=B69)),1))),IF(I69="Individuell",((P69="x")*((G69-IFERROR(H69,0))/IFERROR(COUNTIF(J69:U69,"x"),1)+(Besatzung!$F$17="x")*IFERROR(H69,0)/IFERROR(SUMPRODUCT((J69:U69="x")*(Besatzung!$F$11:$F$22="x")),1))),(IF(COUNTIF(J69:U69,"x")=0,IF(Besatzung!$B$17&lt;&gt;"",1,0),(P69="x"))*(G69-IFERROR(H69,0))/IFERROR(IF(COUNTIF(J69:U69,"x")=0,COUNTA(Besatzung!$B$11:$B$22),COUNTIF(J69:U69,"x")),1)+IF(COUNTIF(J69:U69,"x")=0,(Besatzung!$F$17="x"),(P69="x")*(Besatzung!$F$17="x"))*IFERROR(H69,0)/IFERROR(IF(COUNTIF(J69:U69,"x")=0,SUMPRODUCT((Besatzung!$B$11:$B$22&lt;&gt;"")*(Besatzung!$F$11:$F$22="x")),SUMPRODUCT((J69:U69="x")*(Besatzung!$F$11:$F$22="x"))),1))))),0))))</f>
        <v/>
      </c>
      <c r="AC69" s="247">
        <f>IF(C69="Gutschrift","",IF(G69="","",IF(Besatzung!$B$18="","",IFERROR(IF(I69="Zeitanteilig",(Besatzung!$G$18*(G69-IFERROR(H69,0))+((Besatzung!$B$18&lt;&gt;"")*IF(B69="",1,(IF(Besatzung!$C$18="",Besatzung!$B$5,Besatzung!$C$18)&lt;=B69)*(IF(Besatzung!$D$18="",Besatzung!$B$6,Besatzung!$D$18)&gt;=B69)))*(Besatzung!$F$18="x")*IFERROR(H69,0)/IFERROR(SUMPRODUCT((Besatzung!$B$11:$B$22&lt;&gt;"")*(Besatzung!$F$11:$F$22="x")*(IF(Besatzung!$C$11:$C$22="",Besatzung!$B$5,Besatzung!$C$11:$C$22)&lt;=B69)*(IF(Besatzung!$D$11:$D$22="",Besatzung!$B$6,Besatzung!$D$11:$D$22)&gt;=B69)),1)),IF(I69="An Bord",(((Besatzung!$B$18&lt;&gt;"")*IF(B69="",1,(IF(Besatzung!$C$18="",Besatzung!$B$5,Besatzung!$C$18)&lt;=B69)*(IF(Besatzung!$D$18="",Besatzung!$B$6,Besatzung!$D$18)&gt;=B69)))*((G69-IFERROR(H69,0))/IFERROR(SUMPRODUCT((Besatzung!$B$11:$B$22&lt;&gt;"")*(IF(Besatzung!$C$11:$C$22="",Besatzung!$B$5,Besatzung!$C$11:$C$22)&lt;=B69)*(IF(Besatzung!$D$11:$D$22="",Besatzung!$B$6,Besatzung!$D$11:$D$22)&gt;=B69)),1)+(Besatzung!$F$18="x")*IFERROR(H69,0)/IFERROR(SUMPRODUCT((Besatzung!$B$11:$B$22&lt;&gt;"")*(Besatzung!$F$11:$F$22="x")*(IF(Besatzung!$C$11:$C$22="",Besatzung!$B$5,Besatzung!$C$11:$C$22)&lt;=B69)*(IF(Besatzung!$D$11:$D$22="",Besatzung!$B$6,Besatzung!$D$11:$D$22)&gt;=B69)),1))),IF(I69="Individuell",((Q69="x")*((G69-IFERROR(H69,0))/IFERROR(COUNTIF(J69:U69,"x"),1)+(Besatzung!$F$18="x")*IFERROR(H69,0)/IFERROR(SUMPRODUCT((J69:U69="x")*(Besatzung!$F$11:$F$22="x")),1))),(IF(COUNTIF(J69:U69,"x")=0,IF(Besatzung!$B$18&lt;&gt;"",1,0),(Q69="x"))*(G69-IFERROR(H69,0))/IFERROR(IF(COUNTIF(J69:U69,"x")=0,COUNTA(Besatzung!$B$11:$B$22),COUNTIF(J69:U69,"x")),1)+IF(COUNTIF(J69:U69,"x")=0,(Besatzung!$F$18="x"),(Q69="x")*(Besatzung!$F$18="x"))*IFERROR(H69,0)/IFERROR(IF(COUNTIF(J69:U69,"x")=0,SUMPRODUCT((Besatzung!$B$11:$B$22&lt;&gt;"")*(Besatzung!$F$11:$F$22="x")),SUMPRODUCT((J69:U69="x")*(Besatzung!$F$11:$F$22="x"))),1))))),0))))</f>
        <v/>
      </c>
      <c r="AD69" s="247">
        <f>IF(C69="Gutschrift","",IF(G69="","",IF(Besatzung!$B$19="","",IFERROR(IF(I69="Zeitanteilig",(Besatzung!$G$19*(G69-IFERROR(H69,0))+((Besatzung!$B$19&lt;&gt;"")*IF(B69="",1,(IF(Besatzung!$C$19="",Besatzung!$B$5,Besatzung!$C$19)&lt;=B69)*(IF(Besatzung!$D$19="",Besatzung!$B$6,Besatzung!$D$19)&gt;=B69)))*(Besatzung!$F$19="x")*IFERROR(H69,0)/IFERROR(SUMPRODUCT((Besatzung!$B$11:$B$22&lt;&gt;"")*(Besatzung!$F$11:$F$22="x")*(IF(Besatzung!$C$11:$C$22="",Besatzung!$B$5,Besatzung!$C$11:$C$22)&lt;=B69)*(IF(Besatzung!$D$11:$D$22="",Besatzung!$B$6,Besatzung!$D$11:$D$22)&gt;=B69)),1)),IF(I69="An Bord",(((Besatzung!$B$19&lt;&gt;"")*IF(B69="",1,(IF(Besatzung!$C$19="",Besatzung!$B$5,Besatzung!$C$19)&lt;=B69)*(IF(Besatzung!$D$19="",Besatzung!$B$6,Besatzung!$D$19)&gt;=B69)))*((G69-IFERROR(H69,0))/IFERROR(SUMPRODUCT((Besatzung!$B$11:$B$22&lt;&gt;"")*(IF(Besatzung!$C$11:$C$22="",Besatzung!$B$5,Besatzung!$C$11:$C$22)&lt;=B69)*(IF(Besatzung!$D$11:$D$22="",Besatzung!$B$6,Besatzung!$D$11:$D$22)&gt;=B69)),1)+(Besatzung!$F$19="x")*IFERROR(H69,0)/IFERROR(SUMPRODUCT((Besatzung!$B$11:$B$22&lt;&gt;"")*(Besatzung!$F$11:$F$22="x")*(IF(Besatzung!$C$11:$C$22="",Besatzung!$B$5,Besatzung!$C$11:$C$22)&lt;=B69)*(IF(Besatzung!$D$11:$D$22="",Besatzung!$B$6,Besatzung!$D$11:$D$22)&gt;=B69)),1))),IF(I69="Individuell",((R69="x")*((G69-IFERROR(H69,0))/IFERROR(COUNTIF(J69:U69,"x"),1)+(Besatzung!$F$19="x")*IFERROR(H69,0)/IFERROR(SUMPRODUCT((J69:U69="x")*(Besatzung!$F$11:$F$22="x")),1))),(IF(COUNTIF(J69:U69,"x")=0,IF(Besatzung!$B$19&lt;&gt;"",1,0),(R69="x"))*(G69-IFERROR(H69,0))/IFERROR(IF(COUNTIF(J69:U69,"x")=0,COUNTA(Besatzung!$B$11:$B$22),COUNTIF(J69:U69,"x")),1)+IF(COUNTIF(J69:U69,"x")=0,(Besatzung!$F$19="x"),(R69="x")*(Besatzung!$F$19="x"))*IFERROR(H69,0)/IFERROR(IF(COUNTIF(J69:U69,"x")=0,SUMPRODUCT((Besatzung!$B$11:$B$22&lt;&gt;"")*(Besatzung!$F$11:$F$22="x")),SUMPRODUCT((J69:U69="x")*(Besatzung!$F$11:$F$22="x"))),1))))),0))))</f>
        <v/>
      </c>
      <c r="AE69" s="247">
        <f>IF(C69="Gutschrift","",IF(G69="","",IF(Besatzung!$B$20="","",IFERROR(IF(I69="Zeitanteilig",(Besatzung!$G$20*(G69-IFERROR(H69,0))+((Besatzung!$B$20&lt;&gt;"")*IF(B69="",1,(IF(Besatzung!$C$20="",Besatzung!$B$5,Besatzung!$C$20)&lt;=B69)*(IF(Besatzung!$D$20="",Besatzung!$B$6,Besatzung!$D$20)&gt;=B69)))*(Besatzung!$F$20="x")*IFERROR(H69,0)/IFERROR(SUMPRODUCT((Besatzung!$B$11:$B$22&lt;&gt;"")*(Besatzung!$F$11:$F$22="x")*(IF(Besatzung!$C$11:$C$22="",Besatzung!$B$5,Besatzung!$C$11:$C$22)&lt;=B69)*(IF(Besatzung!$D$11:$D$22="",Besatzung!$B$6,Besatzung!$D$11:$D$22)&gt;=B69)),1)),IF(I69="An Bord",(((Besatzung!$B$20&lt;&gt;"")*IF(B69="",1,(IF(Besatzung!$C$20="",Besatzung!$B$5,Besatzung!$C$20)&lt;=B69)*(IF(Besatzung!$D$20="",Besatzung!$B$6,Besatzung!$D$20)&gt;=B69)))*((G69-IFERROR(H69,0))/IFERROR(SUMPRODUCT((Besatzung!$B$11:$B$22&lt;&gt;"")*(IF(Besatzung!$C$11:$C$22="",Besatzung!$B$5,Besatzung!$C$11:$C$22)&lt;=B69)*(IF(Besatzung!$D$11:$D$22="",Besatzung!$B$6,Besatzung!$D$11:$D$22)&gt;=B69)),1)+(Besatzung!$F$20="x")*IFERROR(H69,0)/IFERROR(SUMPRODUCT((Besatzung!$B$11:$B$22&lt;&gt;"")*(Besatzung!$F$11:$F$22="x")*(IF(Besatzung!$C$11:$C$22="",Besatzung!$B$5,Besatzung!$C$11:$C$22)&lt;=B69)*(IF(Besatzung!$D$11:$D$22="",Besatzung!$B$6,Besatzung!$D$11:$D$22)&gt;=B69)),1))),IF(I69="Individuell",((S69="x")*((G69-IFERROR(H69,0))/IFERROR(COUNTIF(J69:U69,"x"),1)+(Besatzung!$F$20="x")*IFERROR(H69,0)/IFERROR(SUMPRODUCT((J69:U69="x")*(Besatzung!$F$11:$F$22="x")),1))),(IF(COUNTIF(J69:U69,"x")=0,IF(Besatzung!$B$20&lt;&gt;"",1,0),(S69="x"))*(G69-IFERROR(H69,0))/IFERROR(IF(COUNTIF(J69:U69,"x")=0,COUNTA(Besatzung!$B$11:$B$22),COUNTIF(J69:U69,"x")),1)+IF(COUNTIF(J69:U69,"x")=0,(Besatzung!$F$20="x"),(S69="x")*(Besatzung!$F$20="x"))*IFERROR(H69,0)/IFERROR(IF(COUNTIF(J69:U69,"x")=0,SUMPRODUCT((Besatzung!$B$11:$B$22&lt;&gt;"")*(Besatzung!$F$11:$F$22="x")),SUMPRODUCT((J69:U69="x")*(Besatzung!$F$11:$F$22="x"))),1))))),0))))</f>
        <v/>
      </c>
      <c r="AF69" s="247">
        <f>IF(C69="Gutschrift","",IF(G69="","",IF(Besatzung!$B$21="","",IFERROR(IF(I69="Zeitanteilig",(Besatzung!$G$21*(G69-IFERROR(H69,0))+((Besatzung!$B$21&lt;&gt;"")*IF(B69="",1,(IF(Besatzung!$C$21="",Besatzung!$B$5,Besatzung!$C$21)&lt;=B69)*(IF(Besatzung!$D$21="",Besatzung!$B$6,Besatzung!$D$21)&gt;=B69)))*(Besatzung!$F$21="x")*IFERROR(H69,0)/IFERROR(SUMPRODUCT((Besatzung!$B$11:$B$22&lt;&gt;"")*(Besatzung!$F$11:$F$22="x")*(IF(Besatzung!$C$11:$C$22="",Besatzung!$B$5,Besatzung!$C$11:$C$22)&lt;=B69)*(IF(Besatzung!$D$11:$D$22="",Besatzung!$B$6,Besatzung!$D$11:$D$22)&gt;=B69)),1)),IF(I69="An Bord",(((Besatzung!$B$21&lt;&gt;"")*IF(B69="",1,(IF(Besatzung!$C$21="",Besatzung!$B$5,Besatzung!$C$21)&lt;=B69)*(IF(Besatzung!$D$21="",Besatzung!$B$6,Besatzung!$D$21)&gt;=B69)))*((G69-IFERROR(H69,0))/IFERROR(SUMPRODUCT((Besatzung!$B$11:$B$22&lt;&gt;"")*(IF(Besatzung!$C$11:$C$22="",Besatzung!$B$5,Besatzung!$C$11:$C$22)&lt;=B69)*(IF(Besatzung!$D$11:$D$22="",Besatzung!$B$6,Besatzung!$D$11:$D$22)&gt;=B69)),1)+(Besatzung!$F$21="x")*IFERROR(H69,0)/IFERROR(SUMPRODUCT((Besatzung!$B$11:$B$22&lt;&gt;"")*(Besatzung!$F$11:$F$22="x")*(IF(Besatzung!$C$11:$C$22="",Besatzung!$B$5,Besatzung!$C$11:$C$22)&lt;=B69)*(IF(Besatzung!$D$11:$D$22="",Besatzung!$B$6,Besatzung!$D$11:$D$22)&gt;=B69)),1))),IF(I69="Individuell",((T69="x")*((G69-IFERROR(H69,0))/IFERROR(COUNTIF(J69:U69,"x"),1)+(Besatzung!$F$21="x")*IFERROR(H69,0)/IFERROR(SUMPRODUCT((J69:U69="x")*(Besatzung!$F$11:$F$22="x")),1))),(IF(COUNTIF(J69:U69,"x")=0,IF(Besatzung!$B$21&lt;&gt;"",1,0),(T69="x"))*(G69-IFERROR(H69,0))/IFERROR(IF(COUNTIF(J69:U69,"x")=0,COUNTA(Besatzung!$B$11:$B$22),COUNTIF(J69:U69,"x")),1)+IF(COUNTIF(J69:U69,"x")=0,(Besatzung!$F$21="x"),(T69="x")*(Besatzung!$F$21="x"))*IFERROR(H69,0)/IFERROR(IF(COUNTIF(J69:U69,"x")=0,SUMPRODUCT((Besatzung!$B$11:$B$22&lt;&gt;"")*(Besatzung!$F$11:$F$22="x")),SUMPRODUCT((J69:U69="x")*(Besatzung!$F$11:$F$22="x"))),1))))),0))))</f>
        <v/>
      </c>
      <c r="AG69" s="247">
        <f>IF(C69="Gutschrift","",IF(G69="","",IF(Besatzung!$B$22="","",IFERROR(IF(I69="Zeitanteilig",(Besatzung!$G$22*(G69-IFERROR(H69,0))+((Besatzung!$B$22&lt;&gt;"")*IF(B69="",1,(IF(Besatzung!$C$22="",Besatzung!$B$5,Besatzung!$C$22)&lt;=B69)*(IF(Besatzung!$D$22="",Besatzung!$B$6,Besatzung!$D$22)&gt;=B69)))*(Besatzung!$F$22="x")*IFERROR(H69,0)/IFERROR(SUMPRODUCT((Besatzung!$B$11:$B$22&lt;&gt;"")*(Besatzung!$F$11:$F$22="x")*(IF(Besatzung!$C$11:$C$22="",Besatzung!$B$5,Besatzung!$C$11:$C$22)&lt;=B69)*(IF(Besatzung!$D$11:$D$22="",Besatzung!$B$6,Besatzung!$D$11:$D$22)&gt;=B69)),1)),IF(I69="An Bord",(((Besatzung!$B$22&lt;&gt;"")*IF(B69="",1,(IF(Besatzung!$C$22="",Besatzung!$B$5,Besatzung!$C$22)&lt;=B69)*(IF(Besatzung!$D$22="",Besatzung!$B$6,Besatzung!$D$22)&gt;=B69)))*((G69-IFERROR(H69,0))/IFERROR(SUMPRODUCT((Besatzung!$B$11:$B$22&lt;&gt;"")*(IF(Besatzung!$C$11:$C$22="",Besatzung!$B$5,Besatzung!$C$11:$C$22)&lt;=B69)*(IF(Besatzung!$D$11:$D$22="",Besatzung!$B$6,Besatzung!$D$11:$D$22)&gt;=B69)),1)+(Besatzung!$F$22="x")*IFERROR(H69,0)/IFERROR(SUMPRODUCT((Besatzung!$B$11:$B$22&lt;&gt;"")*(Besatzung!$F$11:$F$22="x")*(IF(Besatzung!$C$11:$C$22="",Besatzung!$B$5,Besatzung!$C$11:$C$22)&lt;=B69)*(IF(Besatzung!$D$11:$D$22="",Besatzung!$B$6,Besatzung!$D$11:$D$22)&gt;=B69)),1))),IF(I69="Individuell",((U69="x")*((G69-IFERROR(H69,0))/IFERROR(COUNTIF(J69:U69,"x"),1)+(Besatzung!$F$22="x")*IFERROR(H69,0)/IFERROR(SUMPRODUCT((J69:U69="x")*(Besatzung!$F$11:$F$22="x")),1))),(IF(COUNTIF(J69:U69,"x")=0,IF(Besatzung!$B$22&lt;&gt;"",1,0),(U69="x"))*(G69-IFERROR(H69,0))/IFERROR(IF(COUNTIF(J69:U69,"x")=0,COUNTA(Besatzung!$B$11:$B$22),COUNTIF(J69:U69,"x")),1)+IF(COUNTIF(J69:U69,"x")=0,(Besatzung!$F$22="x"),(U69="x")*(Besatzung!$F$22="x"))*IFERROR(H69,0)/IFERROR(IF(COUNTIF(J69:U69,"x")=0,SUMPRODUCT((Besatzung!$B$11:$B$22&lt;&gt;"")*(Besatzung!$F$11:$F$22="x")),SUMPRODUCT((J69:U69="x")*(Besatzung!$F$11:$F$22="x"))),1))))),0))))</f>
        <v/>
      </c>
      <c r="AH69" s="248" t="n"/>
      <c r="AI69" s="248" t="n"/>
    </row>
    <row r="70" ht="21.75" customHeight="1" s="154">
      <c r="A70" s="238">
        <f>IF(AND(D70="",C70=""),"",67)</f>
        <v/>
      </c>
      <c r="B70" s="199" t="n"/>
      <c r="C70" s="239" t="n"/>
      <c r="D70" s="240" t="n"/>
      <c r="E70" s="241" t="n"/>
      <c r="F70" s="242" t="n"/>
      <c r="G70" s="243" t="n"/>
      <c r="H70" s="244" t="n"/>
      <c r="I70" s="245" t="n"/>
      <c r="J70" s="246" t="n"/>
      <c r="K70" s="246" t="n"/>
      <c r="L70" s="246" t="n"/>
      <c r="M70" s="246" t="n"/>
      <c r="N70" s="246" t="n"/>
      <c r="O70" s="246" t="n"/>
      <c r="P70" s="246" t="n"/>
      <c r="Q70" s="246" t="n"/>
      <c r="R70" s="246" t="n"/>
      <c r="S70" s="246" t="n"/>
      <c r="T70" s="246" t="n"/>
      <c r="U70" s="246" t="n"/>
      <c r="V70" s="247">
        <f>IF(C70="Gutschrift","",IF(G70="","",IF(Besatzung!$B$11="","",IFERROR(IF(I70="Zeitanteilig",(Besatzung!$G$11*(G70-IFERROR(H70,0))+((Besatzung!$B$11&lt;&gt;"")*IF(B70="",1,(IF(Besatzung!$C$11="",Besatzung!$B$5,Besatzung!$C$11)&lt;=B70)*(IF(Besatzung!$D$11="",Besatzung!$B$6,Besatzung!$D$11)&gt;=B70)))*(Besatzung!$F$11="x")*IFERROR(H70,0)/IFERROR(SUMPRODUCT((Besatzung!$B$11:$B$22&lt;&gt;"")*(Besatzung!$F$11:$F$22="x")*(IF(Besatzung!$C$11:$C$22="",Besatzung!$B$5,Besatzung!$C$11:$C$22)&lt;=B70)*(IF(Besatzung!$D$11:$D$22="",Besatzung!$B$6,Besatzung!$D$11:$D$22)&gt;=B70)),1)),IF(I70="An Bord",(((Besatzung!$B$11&lt;&gt;"")*IF(B70="",1,(IF(Besatzung!$C$11="",Besatzung!$B$5,Besatzung!$C$11)&lt;=B70)*(IF(Besatzung!$D$11="",Besatzung!$B$6,Besatzung!$D$11)&gt;=B70)))*((G70-IFERROR(H70,0))/IFERROR(SUMPRODUCT((Besatzung!$B$11:$B$22&lt;&gt;"")*(IF(Besatzung!$C$11:$C$22="",Besatzung!$B$5,Besatzung!$C$11:$C$22)&lt;=B70)*(IF(Besatzung!$D$11:$D$22="",Besatzung!$B$6,Besatzung!$D$11:$D$22)&gt;=B70)),1)+(Besatzung!$F$11="x")*IFERROR(H70,0)/IFERROR(SUMPRODUCT((Besatzung!$B$11:$B$22&lt;&gt;"")*(Besatzung!$F$11:$F$22="x")*(IF(Besatzung!$C$11:$C$22="",Besatzung!$B$5,Besatzung!$C$11:$C$22)&lt;=B70)*(IF(Besatzung!$D$11:$D$22="",Besatzung!$B$6,Besatzung!$D$11:$D$22)&gt;=B70)),1))),IF(I70="Individuell",((J70="x")*((G70-IFERROR(H70,0))/IFERROR(COUNTIF(J70:U70,"x"),1)+(Besatzung!$F$11="x")*IFERROR(H70,0)/IFERROR(SUMPRODUCT((J70:U70="x")*(Besatzung!$F$11:$F$22="x")),1))),(IF(COUNTIF(J70:U70,"x")=0,IF(Besatzung!$B$11&lt;&gt;"",1,0),(J70="x"))*(G70-IFERROR(H70,0))/IFERROR(IF(COUNTIF(J70:U70,"x")=0,COUNTA(Besatzung!$B$11:$B$22),COUNTIF(J70:U70,"x")),1)+IF(COUNTIF(J70:U70,"x")=0,(Besatzung!$F$11="x"),(J70="x")*(Besatzung!$F$11="x"))*IFERROR(H70,0)/IFERROR(IF(COUNTIF(J70:U70,"x")=0,SUMPRODUCT((Besatzung!$B$11:$B$22&lt;&gt;"")*(Besatzung!$F$11:$F$22="x")),SUMPRODUCT((J70:U70="x")*(Besatzung!$F$11:$F$22="x"))),1))))),0))))</f>
        <v/>
      </c>
      <c r="W70" s="247">
        <f>IF(C70="Gutschrift","",IF(G70="","",IF(Besatzung!$B$12="","",IFERROR(IF(I70="Zeitanteilig",(Besatzung!$G$12*(G70-IFERROR(H70,0))+((Besatzung!$B$12&lt;&gt;"")*IF(B70="",1,(IF(Besatzung!$C$12="",Besatzung!$B$5,Besatzung!$C$12)&lt;=B70)*(IF(Besatzung!$D$12="",Besatzung!$B$6,Besatzung!$D$12)&gt;=B70)))*(Besatzung!$F$12="x")*IFERROR(H70,0)/IFERROR(SUMPRODUCT((Besatzung!$B$11:$B$22&lt;&gt;"")*(Besatzung!$F$11:$F$22="x")*(IF(Besatzung!$C$11:$C$22="",Besatzung!$B$5,Besatzung!$C$11:$C$22)&lt;=B70)*(IF(Besatzung!$D$11:$D$22="",Besatzung!$B$6,Besatzung!$D$11:$D$22)&gt;=B70)),1)),IF(I70="An Bord",(((Besatzung!$B$12&lt;&gt;"")*IF(B70="",1,(IF(Besatzung!$C$12="",Besatzung!$B$5,Besatzung!$C$12)&lt;=B70)*(IF(Besatzung!$D$12="",Besatzung!$B$6,Besatzung!$D$12)&gt;=B70)))*((G70-IFERROR(H70,0))/IFERROR(SUMPRODUCT((Besatzung!$B$11:$B$22&lt;&gt;"")*(IF(Besatzung!$C$11:$C$22="",Besatzung!$B$5,Besatzung!$C$11:$C$22)&lt;=B70)*(IF(Besatzung!$D$11:$D$22="",Besatzung!$B$6,Besatzung!$D$11:$D$22)&gt;=B70)),1)+(Besatzung!$F$12="x")*IFERROR(H70,0)/IFERROR(SUMPRODUCT((Besatzung!$B$11:$B$22&lt;&gt;"")*(Besatzung!$F$11:$F$22="x")*(IF(Besatzung!$C$11:$C$22="",Besatzung!$B$5,Besatzung!$C$11:$C$22)&lt;=B70)*(IF(Besatzung!$D$11:$D$22="",Besatzung!$B$6,Besatzung!$D$11:$D$22)&gt;=B70)),1))),IF(I70="Individuell",((K70="x")*((G70-IFERROR(H70,0))/IFERROR(COUNTIF(J70:U70,"x"),1)+(Besatzung!$F$12="x")*IFERROR(H70,0)/IFERROR(SUMPRODUCT((J70:U70="x")*(Besatzung!$F$11:$F$22="x")),1))),(IF(COUNTIF(J70:U70,"x")=0,IF(Besatzung!$B$12&lt;&gt;"",1,0),(K70="x"))*(G70-IFERROR(H70,0))/IFERROR(IF(COUNTIF(J70:U70,"x")=0,COUNTA(Besatzung!$B$11:$B$22),COUNTIF(J70:U70,"x")),1)+IF(COUNTIF(J70:U70,"x")=0,(Besatzung!$F$12="x"),(K70="x")*(Besatzung!$F$12="x"))*IFERROR(H70,0)/IFERROR(IF(COUNTIF(J70:U70,"x")=0,SUMPRODUCT((Besatzung!$B$11:$B$22&lt;&gt;"")*(Besatzung!$F$11:$F$22="x")),SUMPRODUCT((J70:U70="x")*(Besatzung!$F$11:$F$22="x"))),1))))),0))))</f>
        <v/>
      </c>
      <c r="X70" s="247">
        <f>IF(C70="Gutschrift","",IF(G70="","",IF(Besatzung!$B$13="","",IFERROR(IF(I70="Zeitanteilig",(Besatzung!$G$13*(G70-IFERROR(H70,0))+((Besatzung!$B$13&lt;&gt;"")*IF(B70="",1,(IF(Besatzung!$C$13="",Besatzung!$B$5,Besatzung!$C$13)&lt;=B70)*(IF(Besatzung!$D$13="",Besatzung!$B$6,Besatzung!$D$13)&gt;=B70)))*(Besatzung!$F$13="x")*IFERROR(H70,0)/IFERROR(SUMPRODUCT((Besatzung!$B$11:$B$22&lt;&gt;"")*(Besatzung!$F$11:$F$22="x")*(IF(Besatzung!$C$11:$C$22="",Besatzung!$B$5,Besatzung!$C$11:$C$22)&lt;=B70)*(IF(Besatzung!$D$11:$D$22="",Besatzung!$B$6,Besatzung!$D$11:$D$22)&gt;=B70)),1)),IF(I70="An Bord",(((Besatzung!$B$13&lt;&gt;"")*IF(B70="",1,(IF(Besatzung!$C$13="",Besatzung!$B$5,Besatzung!$C$13)&lt;=B70)*(IF(Besatzung!$D$13="",Besatzung!$B$6,Besatzung!$D$13)&gt;=B70)))*((G70-IFERROR(H70,0))/IFERROR(SUMPRODUCT((Besatzung!$B$11:$B$22&lt;&gt;"")*(IF(Besatzung!$C$11:$C$22="",Besatzung!$B$5,Besatzung!$C$11:$C$22)&lt;=B70)*(IF(Besatzung!$D$11:$D$22="",Besatzung!$B$6,Besatzung!$D$11:$D$22)&gt;=B70)),1)+(Besatzung!$F$13="x")*IFERROR(H70,0)/IFERROR(SUMPRODUCT((Besatzung!$B$11:$B$22&lt;&gt;"")*(Besatzung!$F$11:$F$22="x")*(IF(Besatzung!$C$11:$C$22="",Besatzung!$B$5,Besatzung!$C$11:$C$22)&lt;=B70)*(IF(Besatzung!$D$11:$D$22="",Besatzung!$B$6,Besatzung!$D$11:$D$22)&gt;=B70)),1))),IF(I70="Individuell",((K70="x")*((G70-IFERROR(H70,0))/IFERROR(COUNTIF(J70:U70,"x"),1)+(Besatzung!$F$13="x")*IFERROR(H70,0)/IFERROR(SUMPRODUCT((J70:U70="x")*(Besatzung!$F$11:$F$22="x")),1))),(IF(COUNTIF(J70:U70,"x")=0,IF(Besatzung!$B$13&lt;&gt;"",1,0),(K70="x"))*(G70-IFERROR(H70,0))/IFERROR(IF(COUNTIF(J70:U70,"x")=0,COUNTA(Besatzung!$B$11:$B$22),COUNTIF(J70:U70,"x")),1)+IF(COUNTIF(J70:U70,"x")=0,(Besatzung!$F$13="x"),(K70="x")*(Besatzung!$F$13="x"))*IFERROR(H70,0)/IFERROR(IF(COUNTIF(J70:U70,"x")=0,SUMPRODUCT((Besatzung!$B$11:$B$22&lt;&gt;"")*(Besatzung!$F$11:$F$22="x")),SUMPRODUCT((J70:U70="x")*(Besatzung!$F$11:$F$22="x"))),1))))),0))))</f>
        <v/>
      </c>
      <c r="Y70" s="247">
        <f>IF(C70="Gutschrift","",IF(G70="","",IF(Besatzung!$B$14="","",IFERROR(IF(I70="Zeitanteilig",(Besatzung!$G$14*(G70-IFERROR(H70,0))+((Besatzung!$B$14&lt;&gt;"")*IF(B70="",1,(IF(Besatzung!$C$14="",Besatzung!$B$5,Besatzung!$C$14)&lt;=B70)*(IF(Besatzung!$D$14="",Besatzung!$B$6,Besatzung!$D$14)&gt;=B70)))*(Besatzung!$F$14="x")*IFERROR(H70,0)/IFERROR(SUMPRODUCT((Besatzung!$B$11:$B$22&lt;&gt;"")*(Besatzung!$F$11:$F$22="x")*(IF(Besatzung!$C$11:$C$22="",Besatzung!$B$5,Besatzung!$C$11:$C$22)&lt;=B70)*(IF(Besatzung!$D$11:$D$22="",Besatzung!$B$6,Besatzung!$D$11:$D$22)&gt;=B70)),1)),IF(I70="An Bord",(((Besatzung!$B$14&lt;&gt;"")*IF(B70="",1,(IF(Besatzung!$C$14="",Besatzung!$B$5,Besatzung!$C$14)&lt;=B70)*(IF(Besatzung!$D$14="",Besatzung!$B$6,Besatzung!$D$14)&gt;=B70)))*((G70-IFERROR(H70,0))/IFERROR(SUMPRODUCT((Besatzung!$B$11:$B$22&lt;&gt;"")*(IF(Besatzung!$C$11:$C$22="",Besatzung!$B$5,Besatzung!$C$11:$C$22)&lt;=B70)*(IF(Besatzung!$D$11:$D$22="",Besatzung!$B$6,Besatzung!$D$11:$D$22)&gt;=B70)),1)+(Besatzung!$F$14="x")*IFERROR(H70,0)/IFERROR(SUMPRODUCT((Besatzung!$B$11:$B$22&lt;&gt;"")*(Besatzung!$F$11:$F$22="x")*(IF(Besatzung!$C$11:$C$22="",Besatzung!$B$5,Besatzung!$C$11:$C$22)&lt;=B70)*(IF(Besatzung!$D$11:$D$22="",Besatzung!$B$6,Besatzung!$D$11:$D$22)&gt;=B70)),1))),IF(I70="Individuell",((M70="x")*((G70-IFERROR(H70,0))/IFERROR(COUNTIF(J70:U70,"x"),1)+(Besatzung!$F$14="x")*IFERROR(H70,0)/IFERROR(SUMPRODUCT((J70:U70="x")*(Besatzung!$F$11:$F$22="x")),1))),(IF(COUNTIF(J70:U70,"x")=0,IF(Besatzung!$B$14&lt;&gt;"",1,0),(M70="x"))*(G70-IFERROR(H70,0))/IFERROR(IF(COUNTIF(J70:U70,"x")=0,COUNTA(Besatzung!$B$11:$B$22),COUNTIF(J70:U70,"x")),1)+IF(COUNTIF(J70:U70,"x")=0,(Besatzung!$F$14="x"),(M70="x")*(Besatzung!$F$14="x"))*IFERROR(H70,0)/IFERROR(IF(COUNTIF(J70:U70,"x")=0,SUMPRODUCT((Besatzung!$B$11:$B$22&lt;&gt;"")*(Besatzung!$F$11:$F$22="x")),SUMPRODUCT((J70:U70="x")*(Besatzung!$F$11:$F$22="x"))),1))))),0))))</f>
        <v/>
      </c>
      <c r="Z70" s="247">
        <f>IF(C70="Gutschrift","",IF(G70="","",IF(Besatzung!$B$13="","",IFERROR(IF(I70="Zeitanteilig",(Besatzung!$G$15*(G70-IFERROR(H70,0))+((Besatzung!$B$13&lt;&gt;"")*IF(B70="",1,(IF(Besatzung!$C$15="",Besatzung!$B$5,Besatzung!$C$15)&lt;=B70)*(IF(Besatzung!$D$15="",Besatzung!$B$6,Besatzung!$D$15)&gt;=B70)))*(Besatzung!$F$15="x")*IFERROR(H70,0)/IFERROR(SUMPRODUCT((Besatzung!$B$11:$B$22&lt;&gt;"")*(Besatzung!$F$11:$F$22="x")*(IF(Besatzung!$C$11:$C$22="",Besatzung!$B$5,Besatzung!$C$11:$C$22)&lt;=B70)*(IF(Besatzung!$D$11:$D$22="",Besatzung!$B$6,Besatzung!$D$11:$D$22)&gt;=B70)),1)),IF(I70="An Bord",(((Besatzung!$B$13&lt;&gt;"")*IF(B70="",1,(IF(Besatzung!$C$15="",Besatzung!$B$5,Besatzung!$C$15)&lt;=B70)*(IF(Besatzung!$D$15="",Besatzung!$B$6,Besatzung!$D$15)&gt;=B70)))*((G70-IFERROR(H70,0))/IFERROR(SUMPRODUCT((Besatzung!$B$11:$B$22&lt;&gt;"")*(IF(Besatzung!$C$11:$C$22="",Besatzung!$B$5,Besatzung!$C$11:$C$22)&lt;=B70)*(IF(Besatzung!$D$11:$D$22="",Besatzung!$B$6,Besatzung!$D$11:$D$22)&gt;=B70)),1)+(Besatzung!$F$15="x")*IFERROR(H70,0)/IFERROR(SUMPRODUCT((Besatzung!$B$11:$B$22&lt;&gt;"")*(Besatzung!$F$11:$F$22="x")*(IF(Besatzung!$C$11:$C$22="",Besatzung!$B$5,Besatzung!$C$11:$C$22)&lt;=B70)*(IF(Besatzung!$D$11:$D$22="",Besatzung!$B$6,Besatzung!$D$11:$D$22)&gt;=B70)),1))),IF(I70="Individuell",((N70="x")*((G70-IFERROR(H70,0))/IFERROR(COUNTIF(J70:U70,"x"),1)+(Besatzung!$F$15="x")*IFERROR(H70,0)/IFERROR(SUMPRODUCT((J70:U70="x")*(Besatzung!$F$11:$F$22="x")),1))),(IF(COUNTIF(J70:U70,"x")=0,IF(Besatzung!$B$13&lt;&gt;"",1,0),(N70="x"))*(G70-IFERROR(H70,0))/IFERROR(IF(COUNTIF(J70:U70,"x")=0,COUNTA(Besatzung!$B$11:$B$22),COUNTIF(J70:U70,"x")),1)+IF(COUNTIF(J70:U70,"x")=0,(Besatzung!$F$15="x"),(N70="x")*(Besatzung!$F$15="x"))*IFERROR(H70,0)/IFERROR(IF(COUNTIF(J70:U70,"x")=0,SUMPRODUCT((Besatzung!$B$11:$B$22&lt;&gt;"")*(Besatzung!$F$11:$F$22="x")),SUMPRODUCT((J70:U70="x")*(Besatzung!$F$11:$F$22="x"))),1))))),0))))</f>
        <v/>
      </c>
      <c r="AA70" s="247">
        <f>IF(C70="Gutschrift","",IF(G70="","",IF(Besatzung!$B$15="","",IFERROR(IF(I70="Zeitanteilig",(Besatzung!$G$16*(G70-IFERROR(H70,0))+((Besatzung!$B$15&lt;&gt;"")*IF(B70="",1,(IF(Besatzung!$C$16="",Besatzung!$B$5,Besatzung!$C$16)&lt;=B70)*(IF(Besatzung!$D$16="",Besatzung!$B$6,Besatzung!$D$16)&gt;=B70)))*(Besatzung!$F$16="x")*IFERROR(H70,0)/IFERROR(SUMPRODUCT((Besatzung!$B$11:$B$22&lt;&gt;"")*(Besatzung!$F$11:$F$22="x")*(IF(Besatzung!$C$11:$C$22="",Besatzung!$B$5,Besatzung!$C$11:$C$22)&lt;=B70)*(IF(Besatzung!$D$11:$D$22="",Besatzung!$B$6,Besatzung!$D$11:$D$22)&gt;=B70)),1)),IF(I70="An Bord",(((Besatzung!$B$15&lt;&gt;"")*IF(B70="",1,(IF(Besatzung!$C$16="",Besatzung!$B$5,Besatzung!$C$16)&lt;=B70)*(IF(Besatzung!$D$16="",Besatzung!$B$6,Besatzung!$D$16)&gt;=B70)))*((G70-IFERROR(H70,0))/IFERROR(SUMPRODUCT((Besatzung!$B$11:$B$22&lt;&gt;"")*(IF(Besatzung!$C$11:$C$22="",Besatzung!$B$5,Besatzung!$C$11:$C$22)&lt;=B70)*(IF(Besatzung!$D$11:$D$22="",Besatzung!$B$6,Besatzung!$D$11:$D$22)&gt;=B70)),1)+(Besatzung!$F$16="x")*IFERROR(H70,0)/IFERROR(SUMPRODUCT((Besatzung!$B$11:$B$22&lt;&gt;"")*(Besatzung!$F$11:$F$22="x")*(IF(Besatzung!$C$11:$C$22="",Besatzung!$B$5,Besatzung!$C$11:$C$22)&lt;=B70)*(IF(Besatzung!$D$11:$D$22="",Besatzung!$B$6,Besatzung!$D$11:$D$22)&gt;=B70)),1))),IF(I70="Individuell",((O70="x")*((G70-IFERROR(H70,0))/IFERROR(COUNTIF(J70:U70,"x"),1)+(Besatzung!$F$16="x")*IFERROR(H70,0)/IFERROR(SUMPRODUCT((J70:U70="x")*(Besatzung!$F$11:$F$22="x")),1))),(IF(COUNTIF(J70:U70,"x")=0,IF(Besatzung!$B$15&lt;&gt;"",1,0),(O70="x"))*(G70-IFERROR(H70,0))/IFERROR(IF(COUNTIF(J70:U70,"x")=0,COUNTA(Besatzung!$B$11:$B$22),COUNTIF(J70:U70,"x")),1)+IF(COUNTIF(J70:U70,"x")=0,(Besatzung!$F$16="x"),(O70="x")*(Besatzung!$F$16="x"))*IFERROR(H70,0)/IFERROR(IF(COUNTIF(J70:U70,"x")=0,SUMPRODUCT((Besatzung!$B$11:$B$22&lt;&gt;"")*(Besatzung!$F$11:$F$22="x")),SUMPRODUCT((J70:U70="x")*(Besatzung!$F$11:$F$22="x"))),1))))),0))))</f>
        <v/>
      </c>
      <c r="AB70" s="247">
        <f>IF(C70="Gutschrift","",IF(G70="","",IF(Besatzung!$B$17="","",IFERROR(IF(I70="Zeitanteilig",(Besatzung!$G$17*(G70-IFERROR(H70,0))+((Besatzung!$B$17&lt;&gt;"")*IF(B70="",1,(IF(Besatzung!$C$17="",Besatzung!$B$5,Besatzung!$C$17)&lt;=B70)*(IF(Besatzung!$D$17="",Besatzung!$B$6,Besatzung!$D$17)&gt;=B70)))*(Besatzung!$F$17="x")*IFERROR(H70,0)/IFERROR(SUMPRODUCT((Besatzung!$B$11:$B$22&lt;&gt;"")*(Besatzung!$F$11:$F$22="x")*(IF(Besatzung!$C$11:$C$22="",Besatzung!$B$5,Besatzung!$C$11:$C$22)&lt;=B70)*(IF(Besatzung!$D$11:$D$22="",Besatzung!$B$6,Besatzung!$D$11:$D$22)&gt;=B70)),1)),IF(I70="An Bord",(((Besatzung!$B$17&lt;&gt;"")*IF(B70="",1,(IF(Besatzung!$C$17="",Besatzung!$B$5,Besatzung!$C$17)&lt;=B70)*(IF(Besatzung!$D$17="",Besatzung!$B$6,Besatzung!$D$17)&gt;=B70)))*((G70-IFERROR(H70,0))/IFERROR(SUMPRODUCT((Besatzung!$B$11:$B$22&lt;&gt;"")*(IF(Besatzung!$C$11:$C$22="",Besatzung!$B$5,Besatzung!$C$11:$C$22)&lt;=B70)*(IF(Besatzung!$D$11:$D$22="",Besatzung!$B$6,Besatzung!$D$11:$D$22)&gt;=B70)),1)+(Besatzung!$F$17="x")*IFERROR(H70,0)/IFERROR(SUMPRODUCT((Besatzung!$B$11:$B$22&lt;&gt;"")*(Besatzung!$F$11:$F$22="x")*(IF(Besatzung!$C$11:$C$22="",Besatzung!$B$5,Besatzung!$C$11:$C$22)&lt;=B70)*(IF(Besatzung!$D$11:$D$22="",Besatzung!$B$6,Besatzung!$D$11:$D$22)&gt;=B70)),1))),IF(I70="Individuell",((P70="x")*((G70-IFERROR(H70,0))/IFERROR(COUNTIF(J70:U70,"x"),1)+(Besatzung!$F$17="x")*IFERROR(H70,0)/IFERROR(SUMPRODUCT((J70:U70="x")*(Besatzung!$F$11:$F$22="x")),1))),(IF(COUNTIF(J70:U70,"x")=0,IF(Besatzung!$B$17&lt;&gt;"",1,0),(P70="x"))*(G70-IFERROR(H70,0))/IFERROR(IF(COUNTIF(J70:U70,"x")=0,COUNTA(Besatzung!$B$11:$B$22),COUNTIF(J70:U70,"x")),1)+IF(COUNTIF(J70:U70,"x")=0,(Besatzung!$F$17="x"),(P70="x")*(Besatzung!$F$17="x"))*IFERROR(H70,0)/IFERROR(IF(COUNTIF(J70:U70,"x")=0,SUMPRODUCT((Besatzung!$B$11:$B$22&lt;&gt;"")*(Besatzung!$F$11:$F$22="x")),SUMPRODUCT((J70:U70="x")*(Besatzung!$F$11:$F$22="x"))),1))))),0))))</f>
        <v/>
      </c>
      <c r="AC70" s="247">
        <f>IF(C70="Gutschrift","",IF(G70="","",IF(Besatzung!$B$18="","",IFERROR(IF(I70="Zeitanteilig",(Besatzung!$G$18*(G70-IFERROR(H70,0))+((Besatzung!$B$18&lt;&gt;"")*IF(B70="",1,(IF(Besatzung!$C$18="",Besatzung!$B$5,Besatzung!$C$18)&lt;=B70)*(IF(Besatzung!$D$18="",Besatzung!$B$6,Besatzung!$D$18)&gt;=B70)))*(Besatzung!$F$18="x")*IFERROR(H70,0)/IFERROR(SUMPRODUCT((Besatzung!$B$11:$B$22&lt;&gt;"")*(Besatzung!$F$11:$F$22="x")*(IF(Besatzung!$C$11:$C$22="",Besatzung!$B$5,Besatzung!$C$11:$C$22)&lt;=B70)*(IF(Besatzung!$D$11:$D$22="",Besatzung!$B$6,Besatzung!$D$11:$D$22)&gt;=B70)),1)),IF(I70="An Bord",(((Besatzung!$B$18&lt;&gt;"")*IF(B70="",1,(IF(Besatzung!$C$18="",Besatzung!$B$5,Besatzung!$C$18)&lt;=B70)*(IF(Besatzung!$D$18="",Besatzung!$B$6,Besatzung!$D$18)&gt;=B70)))*((G70-IFERROR(H70,0))/IFERROR(SUMPRODUCT((Besatzung!$B$11:$B$22&lt;&gt;"")*(IF(Besatzung!$C$11:$C$22="",Besatzung!$B$5,Besatzung!$C$11:$C$22)&lt;=B70)*(IF(Besatzung!$D$11:$D$22="",Besatzung!$B$6,Besatzung!$D$11:$D$22)&gt;=B70)),1)+(Besatzung!$F$18="x")*IFERROR(H70,0)/IFERROR(SUMPRODUCT((Besatzung!$B$11:$B$22&lt;&gt;"")*(Besatzung!$F$11:$F$22="x")*(IF(Besatzung!$C$11:$C$22="",Besatzung!$B$5,Besatzung!$C$11:$C$22)&lt;=B70)*(IF(Besatzung!$D$11:$D$22="",Besatzung!$B$6,Besatzung!$D$11:$D$22)&gt;=B70)),1))),IF(I70="Individuell",((Q70="x")*((G70-IFERROR(H70,0))/IFERROR(COUNTIF(J70:U70,"x"),1)+(Besatzung!$F$18="x")*IFERROR(H70,0)/IFERROR(SUMPRODUCT((J70:U70="x")*(Besatzung!$F$11:$F$22="x")),1))),(IF(COUNTIF(J70:U70,"x")=0,IF(Besatzung!$B$18&lt;&gt;"",1,0),(Q70="x"))*(G70-IFERROR(H70,0))/IFERROR(IF(COUNTIF(J70:U70,"x")=0,COUNTA(Besatzung!$B$11:$B$22),COUNTIF(J70:U70,"x")),1)+IF(COUNTIF(J70:U70,"x")=0,(Besatzung!$F$18="x"),(Q70="x")*(Besatzung!$F$18="x"))*IFERROR(H70,0)/IFERROR(IF(COUNTIF(J70:U70,"x")=0,SUMPRODUCT((Besatzung!$B$11:$B$22&lt;&gt;"")*(Besatzung!$F$11:$F$22="x")),SUMPRODUCT((J70:U70="x")*(Besatzung!$F$11:$F$22="x"))),1))))),0))))</f>
        <v/>
      </c>
      <c r="AD70" s="247">
        <f>IF(C70="Gutschrift","",IF(G70="","",IF(Besatzung!$B$19="","",IFERROR(IF(I70="Zeitanteilig",(Besatzung!$G$19*(G70-IFERROR(H70,0))+((Besatzung!$B$19&lt;&gt;"")*IF(B70="",1,(IF(Besatzung!$C$19="",Besatzung!$B$5,Besatzung!$C$19)&lt;=B70)*(IF(Besatzung!$D$19="",Besatzung!$B$6,Besatzung!$D$19)&gt;=B70)))*(Besatzung!$F$19="x")*IFERROR(H70,0)/IFERROR(SUMPRODUCT((Besatzung!$B$11:$B$22&lt;&gt;"")*(Besatzung!$F$11:$F$22="x")*(IF(Besatzung!$C$11:$C$22="",Besatzung!$B$5,Besatzung!$C$11:$C$22)&lt;=B70)*(IF(Besatzung!$D$11:$D$22="",Besatzung!$B$6,Besatzung!$D$11:$D$22)&gt;=B70)),1)),IF(I70="An Bord",(((Besatzung!$B$19&lt;&gt;"")*IF(B70="",1,(IF(Besatzung!$C$19="",Besatzung!$B$5,Besatzung!$C$19)&lt;=B70)*(IF(Besatzung!$D$19="",Besatzung!$B$6,Besatzung!$D$19)&gt;=B70)))*((G70-IFERROR(H70,0))/IFERROR(SUMPRODUCT((Besatzung!$B$11:$B$22&lt;&gt;"")*(IF(Besatzung!$C$11:$C$22="",Besatzung!$B$5,Besatzung!$C$11:$C$22)&lt;=B70)*(IF(Besatzung!$D$11:$D$22="",Besatzung!$B$6,Besatzung!$D$11:$D$22)&gt;=B70)),1)+(Besatzung!$F$19="x")*IFERROR(H70,0)/IFERROR(SUMPRODUCT((Besatzung!$B$11:$B$22&lt;&gt;"")*(Besatzung!$F$11:$F$22="x")*(IF(Besatzung!$C$11:$C$22="",Besatzung!$B$5,Besatzung!$C$11:$C$22)&lt;=B70)*(IF(Besatzung!$D$11:$D$22="",Besatzung!$B$6,Besatzung!$D$11:$D$22)&gt;=B70)),1))),IF(I70="Individuell",((R70="x")*((G70-IFERROR(H70,0))/IFERROR(COUNTIF(J70:U70,"x"),1)+(Besatzung!$F$19="x")*IFERROR(H70,0)/IFERROR(SUMPRODUCT((J70:U70="x")*(Besatzung!$F$11:$F$22="x")),1))),(IF(COUNTIF(J70:U70,"x")=0,IF(Besatzung!$B$19&lt;&gt;"",1,0),(R70="x"))*(G70-IFERROR(H70,0))/IFERROR(IF(COUNTIF(J70:U70,"x")=0,COUNTA(Besatzung!$B$11:$B$22),COUNTIF(J70:U70,"x")),1)+IF(COUNTIF(J70:U70,"x")=0,(Besatzung!$F$19="x"),(R70="x")*(Besatzung!$F$19="x"))*IFERROR(H70,0)/IFERROR(IF(COUNTIF(J70:U70,"x")=0,SUMPRODUCT((Besatzung!$B$11:$B$22&lt;&gt;"")*(Besatzung!$F$11:$F$22="x")),SUMPRODUCT((J70:U70="x")*(Besatzung!$F$11:$F$22="x"))),1))))),0))))</f>
        <v/>
      </c>
      <c r="AE70" s="247">
        <f>IF(C70="Gutschrift","",IF(G70="","",IF(Besatzung!$B$20="","",IFERROR(IF(I70="Zeitanteilig",(Besatzung!$G$20*(G70-IFERROR(H70,0))+((Besatzung!$B$20&lt;&gt;"")*IF(B70="",1,(IF(Besatzung!$C$20="",Besatzung!$B$5,Besatzung!$C$20)&lt;=B70)*(IF(Besatzung!$D$20="",Besatzung!$B$6,Besatzung!$D$20)&gt;=B70)))*(Besatzung!$F$20="x")*IFERROR(H70,0)/IFERROR(SUMPRODUCT((Besatzung!$B$11:$B$22&lt;&gt;"")*(Besatzung!$F$11:$F$22="x")*(IF(Besatzung!$C$11:$C$22="",Besatzung!$B$5,Besatzung!$C$11:$C$22)&lt;=B70)*(IF(Besatzung!$D$11:$D$22="",Besatzung!$B$6,Besatzung!$D$11:$D$22)&gt;=B70)),1)),IF(I70="An Bord",(((Besatzung!$B$20&lt;&gt;"")*IF(B70="",1,(IF(Besatzung!$C$20="",Besatzung!$B$5,Besatzung!$C$20)&lt;=B70)*(IF(Besatzung!$D$20="",Besatzung!$B$6,Besatzung!$D$20)&gt;=B70)))*((G70-IFERROR(H70,0))/IFERROR(SUMPRODUCT((Besatzung!$B$11:$B$22&lt;&gt;"")*(IF(Besatzung!$C$11:$C$22="",Besatzung!$B$5,Besatzung!$C$11:$C$22)&lt;=B70)*(IF(Besatzung!$D$11:$D$22="",Besatzung!$B$6,Besatzung!$D$11:$D$22)&gt;=B70)),1)+(Besatzung!$F$20="x")*IFERROR(H70,0)/IFERROR(SUMPRODUCT((Besatzung!$B$11:$B$22&lt;&gt;"")*(Besatzung!$F$11:$F$22="x")*(IF(Besatzung!$C$11:$C$22="",Besatzung!$B$5,Besatzung!$C$11:$C$22)&lt;=B70)*(IF(Besatzung!$D$11:$D$22="",Besatzung!$B$6,Besatzung!$D$11:$D$22)&gt;=B70)),1))),IF(I70="Individuell",((S70="x")*((G70-IFERROR(H70,0))/IFERROR(COUNTIF(J70:U70,"x"),1)+(Besatzung!$F$20="x")*IFERROR(H70,0)/IFERROR(SUMPRODUCT((J70:U70="x")*(Besatzung!$F$11:$F$22="x")),1))),(IF(COUNTIF(J70:U70,"x")=0,IF(Besatzung!$B$20&lt;&gt;"",1,0),(S70="x"))*(G70-IFERROR(H70,0))/IFERROR(IF(COUNTIF(J70:U70,"x")=0,COUNTA(Besatzung!$B$11:$B$22),COUNTIF(J70:U70,"x")),1)+IF(COUNTIF(J70:U70,"x")=0,(Besatzung!$F$20="x"),(S70="x")*(Besatzung!$F$20="x"))*IFERROR(H70,0)/IFERROR(IF(COUNTIF(J70:U70,"x")=0,SUMPRODUCT((Besatzung!$B$11:$B$22&lt;&gt;"")*(Besatzung!$F$11:$F$22="x")),SUMPRODUCT((J70:U70="x")*(Besatzung!$F$11:$F$22="x"))),1))))),0))))</f>
        <v/>
      </c>
      <c r="AF70" s="247">
        <f>IF(C70="Gutschrift","",IF(G70="","",IF(Besatzung!$B$21="","",IFERROR(IF(I70="Zeitanteilig",(Besatzung!$G$21*(G70-IFERROR(H70,0))+((Besatzung!$B$21&lt;&gt;"")*IF(B70="",1,(IF(Besatzung!$C$21="",Besatzung!$B$5,Besatzung!$C$21)&lt;=B70)*(IF(Besatzung!$D$21="",Besatzung!$B$6,Besatzung!$D$21)&gt;=B70)))*(Besatzung!$F$21="x")*IFERROR(H70,0)/IFERROR(SUMPRODUCT((Besatzung!$B$11:$B$22&lt;&gt;"")*(Besatzung!$F$11:$F$22="x")*(IF(Besatzung!$C$11:$C$22="",Besatzung!$B$5,Besatzung!$C$11:$C$22)&lt;=B70)*(IF(Besatzung!$D$11:$D$22="",Besatzung!$B$6,Besatzung!$D$11:$D$22)&gt;=B70)),1)),IF(I70="An Bord",(((Besatzung!$B$21&lt;&gt;"")*IF(B70="",1,(IF(Besatzung!$C$21="",Besatzung!$B$5,Besatzung!$C$21)&lt;=B70)*(IF(Besatzung!$D$21="",Besatzung!$B$6,Besatzung!$D$21)&gt;=B70)))*((G70-IFERROR(H70,0))/IFERROR(SUMPRODUCT((Besatzung!$B$11:$B$22&lt;&gt;"")*(IF(Besatzung!$C$11:$C$22="",Besatzung!$B$5,Besatzung!$C$11:$C$22)&lt;=B70)*(IF(Besatzung!$D$11:$D$22="",Besatzung!$B$6,Besatzung!$D$11:$D$22)&gt;=B70)),1)+(Besatzung!$F$21="x")*IFERROR(H70,0)/IFERROR(SUMPRODUCT((Besatzung!$B$11:$B$22&lt;&gt;"")*(Besatzung!$F$11:$F$22="x")*(IF(Besatzung!$C$11:$C$22="",Besatzung!$B$5,Besatzung!$C$11:$C$22)&lt;=B70)*(IF(Besatzung!$D$11:$D$22="",Besatzung!$B$6,Besatzung!$D$11:$D$22)&gt;=B70)),1))),IF(I70="Individuell",((T70="x")*((G70-IFERROR(H70,0))/IFERROR(COUNTIF(J70:U70,"x"),1)+(Besatzung!$F$21="x")*IFERROR(H70,0)/IFERROR(SUMPRODUCT((J70:U70="x")*(Besatzung!$F$11:$F$22="x")),1))),(IF(COUNTIF(J70:U70,"x")=0,IF(Besatzung!$B$21&lt;&gt;"",1,0),(T70="x"))*(G70-IFERROR(H70,0))/IFERROR(IF(COUNTIF(J70:U70,"x")=0,COUNTA(Besatzung!$B$11:$B$22),COUNTIF(J70:U70,"x")),1)+IF(COUNTIF(J70:U70,"x")=0,(Besatzung!$F$21="x"),(T70="x")*(Besatzung!$F$21="x"))*IFERROR(H70,0)/IFERROR(IF(COUNTIF(J70:U70,"x")=0,SUMPRODUCT((Besatzung!$B$11:$B$22&lt;&gt;"")*(Besatzung!$F$11:$F$22="x")),SUMPRODUCT((J70:U70="x")*(Besatzung!$F$11:$F$22="x"))),1))))),0))))</f>
        <v/>
      </c>
      <c r="AG70" s="247">
        <f>IF(C70="Gutschrift","",IF(G70="","",IF(Besatzung!$B$22="","",IFERROR(IF(I70="Zeitanteilig",(Besatzung!$G$22*(G70-IFERROR(H70,0))+((Besatzung!$B$22&lt;&gt;"")*IF(B70="",1,(IF(Besatzung!$C$22="",Besatzung!$B$5,Besatzung!$C$22)&lt;=B70)*(IF(Besatzung!$D$22="",Besatzung!$B$6,Besatzung!$D$22)&gt;=B70)))*(Besatzung!$F$22="x")*IFERROR(H70,0)/IFERROR(SUMPRODUCT((Besatzung!$B$11:$B$22&lt;&gt;"")*(Besatzung!$F$11:$F$22="x")*(IF(Besatzung!$C$11:$C$22="",Besatzung!$B$5,Besatzung!$C$11:$C$22)&lt;=B70)*(IF(Besatzung!$D$11:$D$22="",Besatzung!$B$6,Besatzung!$D$11:$D$22)&gt;=B70)),1)),IF(I70="An Bord",(((Besatzung!$B$22&lt;&gt;"")*IF(B70="",1,(IF(Besatzung!$C$22="",Besatzung!$B$5,Besatzung!$C$22)&lt;=B70)*(IF(Besatzung!$D$22="",Besatzung!$B$6,Besatzung!$D$22)&gt;=B70)))*((G70-IFERROR(H70,0))/IFERROR(SUMPRODUCT((Besatzung!$B$11:$B$22&lt;&gt;"")*(IF(Besatzung!$C$11:$C$22="",Besatzung!$B$5,Besatzung!$C$11:$C$22)&lt;=B70)*(IF(Besatzung!$D$11:$D$22="",Besatzung!$B$6,Besatzung!$D$11:$D$22)&gt;=B70)),1)+(Besatzung!$F$22="x")*IFERROR(H70,0)/IFERROR(SUMPRODUCT((Besatzung!$B$11:$B$22&lt;&gt;"")*(Besatzung!$F$11:$F$22="x")*(IF(Besatzung!$C$11:$C$22="",Besatzung!$B$5,Besatzung!$C$11:$C$22)&lt;=B70)*(IF(Besatzung!$D$11:$D$22="",Besatzung!$B$6,Besatzung!$D$11:$D$22)&gt;=B70)),1))),IF(I70="Individuell",((U70="x")*((G70-IFERROR(H70,0))/IFERROR(COUNTIF(J70:U70,"x"),1)+(Besatzung!$F$22="x")*IFERROR(H70,0)/IFERROR(SUMPRODUCT((J70:U70="x")*(Besatzung!$F$11:$F$22="x")),1))),(IF(COUNTIF(J70:U70,"x")=0,IF(Besatzung!$B$22&lt;&gt;"",1,0),(U70="x"))*(G70-IFERROR(H70,0))/IFERROR(IF(COUNTIF(J70:U70,"x")=0,COUNTA(Besatzung!$B$11:$B$22),COUNTIF(J70:U70,"x")),1)+IF(COUNTIF(J70:U70,"x")=0,(Besatzung!$F$22="x"),(U70="x")*(Besatzung!$F$22="x"))*IFERROR(H70,0)/IFERROR(IF(COUNTIF(J70:U70,"x")=0,SUMPRODUCT((Besatzung!$B$11:$B$22&lt;&gt;"")*(Besatzung!$F$11:$F$22="x")),SUMPRODUCT((J70:U70="x")*(Besatzung!$F$11:$F$22="x"))),1))))),0))))</f>
        <v/>
      </c>
      <c r="AH70" s="248" t="n"/>
      <c r="AI70" s="248" t="n"/>
    </row>
    <row r="71" ht="21.75" customHeight="1" s="154">
      <c r="A71" s="238">
        <f>IF(AND(D71="",C71=""),"",68)</f>
        <v/>
      </c>
      <c r="B71" s="206" t="n"/>
      <c r="C71" s="249" t="n"/>
      <c r="D71" s="250" t="n"/>
      <c r="E71" s="251" t="n"/>
      <c r="F71" s="252" t="n"/>
      <c r="G71" s="253" t="n"/>
      <c r="H71" s="254" t="n"/>
      <c r="I71" s="255" t="n"/>
      <c r="J71" s="256" t="n"/>
      <c r="K71" s="256" t="n"/>
      <c r="L71" s="256" t="n"/>
      <c r="M71" s="256" t="n"/>
      <c r="N71" s="256" t="n"/>
      <c r="O71" s="256" t="n"/>
      <c r="P71" s="256" t="n"/>
      <c r="Q71" s="256" t="n"/>
      <c r="R71" s="256" t="n"/>
      <c r="S71" s="256" t="n"/>
      <c r="T71" s="256" t="n"/>
      <c r="U71" s="256" t="n"/>
      <c r="V71" s="247">
        <f>IF(C71="Gutschrift","",IF(G71="","",IF(Besatzung!$B$11="","",IFERROR(IF(I71="Zeitanteilig",(Besatzung!$G$11*(G71-IFERROR(H71,0))+((Besatzung!$B$11&lt;&gt;"")*IF(B71="",1,(IF(Besatzung!$C$11="",Besatzung!$B$5,Besatzung!$C$11)&lt;=B71)*(IF(Besatzung!$D$11="",Besatzung!$B$6,Besatzung!$D$11)&gt;=B71)))*(Besatzung!$F$11="x")*IFERROR(H71,0)/IFERROR(SUMPRODUCT((Besatzung!$B$11:$B$22&lt;&gt;"")*(Besatzung!$F$11:$F$22="x")*(IF(Besatzung!$C$11:$C$22="",Besatzung!$B$5,Besatzung!$C$11:$C$22)&lt;=B71)*(IF(Besatzung!$D$11:$D$22="",Besatzung!$B$6,Besatzung!$D$11:$D$22)&gt;=B71)),1)),IF(I71="An Bord",(((Besatzung!$B$11&lt;&gt;"")*IF(B71="",1,(IF(Besatzung!$C$11="",Besatzung!$B$5,Besatzung!$C$11)&lt;=B71)*(IF(Besatzung!$D$11="",Besatzung!$B$6,Besatzung!$D$11)&gt;=B71)))*((G71-IFERROR(H71,0))/IFERROR(SUMPRODUCT((Besatzung!$B$11:$B$22&lt;&gt;"")*(IF(Besatzung!$C$11:$C$22="",Besatzung!$B$5,Besatzung!$C$11:$C$22)&lt;=B71)*(IF(Besatzung!$D$11:$D$22="",Besatzung!$B$6,Besatzung!$D$11:$D$22)&gt;=B71)),1)+(Besatzung!$F$11="x")*IFERROR(H71,0)/IFERROR(SUMPRODUCT((Besatzung!$B$11:$B$22&lt;&gt;"")*(Besatzung!$F$11:$F$22="x")*(IF(Besatzung!$C$11:$C$22="",Besatzung!$B$5,Besatzung!$C$11:$C$22)&lt;=B71)*(IF(Besatzung!$D$11:$D$22="",Besatzung!$B$6,Besatzung!$D$11:$D$22)&gt;=B71)),1))),IF(I71="Individuell",((J71="x")*((G71-IFERROR(H71,0))/IFERROR(COUNTIF(J71:U71,"x"),1)+(Besatzung!$F$11="x")*IFERROR(H71,0)/IFERROR(SUMPRODUCT((J71:U71="x")*(Besatzung!$F$11:$F$22="x")),1))),(IF(COUNTIF(J71:U71,"x")=0,IF(Besatzung!$B$11&lt;&gt;"",1,0),(J71="x"))*(G71-IFERROR(H71,0))/IFERROR(IF(COUNTIF(J71:U71,"x")=0,COUNTA(Besatzung!$B$11:$B$22),COUNTIF(J71:U71,"x")),1)+IF(COUNTIF(J71:U71,"x")=0,(Besatzung!$F$11="x"),(J71="x")*(Besatzung!$F$11="x"))*IFERROR(H71,0)/IFERROR(IF(COUNTIF(J71:U71,"x")=0,SUMPRODUCT((Besatzung!$B$11:$B$22&lt;&gt;"")*(Besatzung!$F$11:$F$22="x")),SUMPRODUCT((J71:U71="x")*(Besatzung!$F$11:$F$22="x"))),1))))),0))))</f>
        <v/>
      </c>
      <c r="W71" s="247">
        <f>IF(C71="Gutschrift","",IF(G71="","",IF(Besatzung!$B$12="","",IFERROR(IF(I71="Zeitanteilig",(Besatzung!$G$12*(G71-IFERROR(H71,0))+((Besatzung!$B$12&lt;&gt;"")*IF(B71="",1,(IF(Besatzung!$C$12="",Besatzung!$B$5,Besatzung!$C$12)&lt;=B71)*(IF(Besatzung!$D$12="",Besatzung!$B$6,Besatzung!$D$12)&gt;=B71)))*(Besatzung!$F$12="x")*IFERROR(H71,0)/IFERROR(SUMPRODUCT((Besatzung!$B$11:$B$22&lt;&gt;"")*(Besatzung!$F$11:$F$22="x")*(IF(Besatzung!$C$11:$C$22="",Besatzung!$B$5,Besatzung!$C$11:$C$22)&lt;=B71)*(IF(Besatzung!$D$11:$D$22="",Besatzung!$B$6,Besatzung!$D$11:$D$22)&gt;=B71)),1)),IF(I71="An Bord",(((Besatzung!$B$12&lt;&gt;"")*IF(B71="",1,(IF(Besatzung!$C$12="",Besatzung!$B$5,Besatzung!$C$12)&lt;=B71)*(IF(Besatzung!$D$12="",Besatzung!$B$6,Besatzung!$D$12)&gt;=B71)))*((G71-IFERROR(H71,0))/IFERROR(SUMPRODUCT((Besatzung!$B$11:$B$22&lt;&gt;"")*(IF(Besatzung!$C$11:$C$22="",Besatzung!$B$5,Besatzung!$C$11:$C$22)&lt;=B71)*(IF(Besatzung!$D$11:$D$22="",Besatzung!$B$6,Besatzung!$D$11:$D$22)&gt;=B71)),1)+(Besatzung!$F$12="x")*IFERROR(H71,0)/IFERROR(SUMPRODUCT((Besatzung!$B$11:$B$22&lt;&gt;"")*(Besatzung!$F$11:$F$22="x")*(IF(Besatzung!$C$11:$C$22="",Besatzung!$B$5,Besatzung!$C$11:$C$22)&lt;=B71)*(IF(Besatzung!$D$11:$D$22="",Besatzung!$B$6,Besatzung!$D$11:$D$22)&gt;=B71)),1))),IF(I71="Individuell",((K71="x")*((G71-IFERROR(H71,0))/IFERROR(COUNTIF(J71:U71,"x"),1)+(Besatzung!$F$12="x")*IFERROR(H71,0)/IFERROR(SUMPRODUCT((J71:U71="x")*(Besatzung!$F$11:$F$22="x")),1))),(IF(COUNTIF(J71:U71,"x")=0,IF(Besatzung!$B$12&lt;&gt;"",1,0),(K71="x"))*(G71-IFERROR(H71,0))/IFERROR(IF(COUNTIF(J71:U71,"x")=0,COUNTA(Besatzung!$B$11:$B$22),COUNTIF(J71:U71,"x")),1)+IF(COUNTIF(J71:U71,"x")=0,(Besatzung!$F$12="x"),(K71="x")*(Besatzung!$F$12="x"))*IFERROR(H71,0)/IFERROR(IF(COUNTIF(J71:U71,"x")=0,SUMPRODUCT((Besatzung!$B$11:$B$22&lt;&gt;"")*(Besatzung!$F$11:$F$22="x")),SUMPRODUCT((J71:U71="x")*(Besatzung!$F$11:$F$22="x"))),1))))),0))))</f>
        <v/>
      </c>
      <c r="X71" s="247">
        <f>IF(C71="Gutschrift","",IF(G71="","",IF(Besatzung!$B$13="","",IFERROR(IF(I71="Zeitanteilig",(Besatzung!$G$13*(G71-IFERROR(H71,0))+((Besatzung!$B$13&lt;&gt;"")*IF(B71="",1,(IF(Besatzung!$C$13="",Besatzung!$B$5,Besatzung!$C$13)&lt;=B71)*(IF(Besatzung!$D$13="",Besatzung!$B$6,Besatzung!$D$13)&gt;=B71)))*(Besatzung!$F$13="x")*IFERROR(H71,0)/IFERROR(SUMPRODUCT((Besatzung!$B$11:$B$22&lt;&gt;"")*(Besatzung!$F$11:$F$22="x")*(IF(Besatzung!$C$11:$C$22="",Besatzung!$B$5,Besatzung!$C$11:$C$22)&lt;=B71)*(IF(Besatzung!$D$11:$D$22="",Besatzung!$B$6,Besatzung!$D$11:$D$22)&gt;=B71)),1)),IF(I71="An Bord",(((Besatzung!$B$13&lt;&gt;"")*IF(B71="",1,(IF(Besatzung!$C$13="",Besatzung!$B$5,Besatzung!$C$13)&lt;=B71)*(IF(Besatzung!$D$13="",Besatzung!$B$6,Besatzung!$D$13)&gt;=B71)))*((G71-IFERROR(H71,0))/IFERROR(SUMPRODUCT((Besatzung!$B$11:$B$22&lt;&gt;"")*(IF(Besatzung!$C$11:$C$22="",Besatzung!$B$5,Besatzung!$C$11:$C$22)&lt;=B71)*(IF(Besatzung!$D$11:$D$22="",Besatzung!$B$6,Besatzung!$D$11:$D$22)&gt;=B71)),1)+(Besatzung!$F$13="x")*IFERROR(H71,0)/IFERROR(SUMPRODUCT((Besatzung!$B$11:$B$22&lt;&gt;"")*(Besatzung!$F$11:$F$22="x")*(IF(Besatzung!$C$11:$C$22="",Besatzung!$B$5,Besatzung!$C$11:$C$22)&lt;=B71)*(IF(Besatzung!$D$11:$D$22="",Besatzung!$B$6,Besatzung!$D$11:$D$22)&gt;=B71)),1))),IF(I71="Individuell",((K71="x")*((G71-IFERROR(H71,0))/IFERROR(COUNTIF(J71:U71,"x"),1)+(Besatzung!$F$13="x")*IFERROR(H71,0)/IFERROR(SUMPRODUCT((J71:U71="x")*(Besatzung!$F$11:$F$22="x")),1))),(IF(COUNTIF(J71:U71,"x")=0,IF(Besatzung!$B$13&lt;&gt;"",1,0),(K71="x"))*(G71-IFERROR(H71,0))/IFERROR(IF(COUNTIF(J71:U71,"x")=0,COUNTA(Besatzung!$B$11:$B$22),COUNTIF(J71:U71,"x")),1)+IF(COUNTIF(J71:U71,"x")=0,(Besatzung!$F$13="x"),(K71="x")*(Besatzung!$F$13="x"))*IFERROR(H71,0)/IFERROR(IF(COUNTIF(J71:U71,"x")=0,SUMPRODUCT((Besatzung!$B$11:$B$22&lt;&gt;"")*(Besatzung!$F$11:$F$22="x")),SUMPRODUCT((J71:U71="x")*(Besatzung!$F$11:$F$22="x"))),1))))),0))))</f>
        <v/>
      </c>
      <c r="Y71" s="247">
        <f>IF(C71="Gutschrift","",IF(G71="","",IF(Besatzung!$B$14="","",IFERROR(IF(I71="Zeitanteilig",(Besatzung!$G$14*(G71-IFERROR(H71,0))+((Besatzung!$B$14&lt;&gt;"")*IF(B71="",1,(IF(Besatzung!$C$14="",Besatzung!$B$5,Besatzung!$C$14)&lt;=B71)*(IF(Besatzung!$D$14="",Besatzung!$B$6,Besatzung!$D$14)&gt;=B71)))*(Besatzung!$F$14="x")*IFERROR(H71,0)/IFERROR(SUMPRODUCT((Besatzung!$B$11:$B$22&lt;&gt;"")*(Besatzung!$F$11:$F$22="x")*(IF(Besatzung!$C$11:$C$22="",Besatzung!$B$5,Besatzung!$C$11:$C$22)&lt;=B71)*(IF(Besatzung!$D$11:$D$22="",Besatzung!$B$6,Besatzung!$D$11:$D$22)&gt;=B71)),1)),IF(I71="An Bord",(((Besatzung!$B$14&lt;&gt;"")*IF(B71="",1,(IF(Besatzung!$C$14="",Besatzung!$B$5,Besatzung!$C$14)&lt;=B71)*(IF(Besatzung!$D$14="",Besatzung!$B$6,Besatzung!$D$14)&gt;=B71)))*((G71-IFERROR(H71,0))/IFERROR(SUMPRODUCT((Besatzung!$B$11:$B$22&lt;&gt;"")*(IF(Besatzung!$C$11:$C$22="",Besatzung!$B$5,Besatzung!$C$11:$C$22)&lt;=B71)*(IF(Besatzung!$D$11:$D$22="",Besatzung!$B$6,Besatzung!$D$11:$D$22)&gt;=B71)),1)+(Besatzung!$F$14="x")*IFERROR(H71,0)/IFERROR(SUMPRODUCT((Besatzung!$B$11:$B$22&lt;&gt;"")*(Besatzung!$F$11:$F$22="x")*(IF(Besatzung!$C$11:$C$22="",Besatzung!$B$5,Besatzung!$C$11:$C$22)&lt;=B71)*(IF(Besatzung!$D$11:$D$22="",Besatzung!$B$6,Besatzung!$D$11:$D$22)&gt;=B71)),1))),IF(I71="Individuell",((M71="x")*((G71-IFERROR(H71,0))/IFERROR(COUNTIF(J71:U71,"x"),1)+(Besatzung!$F$14="x")*IFERROR(H71,0)/IFERROR(SUMPRODUCT((J71:U71="x")*(Besatzung!$F$11:$F$22="x")),1))),(IF(COUNTIF(J71:U71,"x")=0,IF(Besatzung!$B$14&lt;&gt;"",1,0),(M71="x"))*(G71-IFERROR(H71,0))/IFERROR(IF(COUNTIF(J71:U71,"x")=0,COUNTA(Besatzung!$B$11:$B$22),COUNTIF(J71:U71,"x")),1)+IF(COUNTIF(J71:U71,"x")=0,(Besatzung!$F$14="x"),(M71="x")*(Besatzung!$F$14="x"))*IFERROR(H71,0)/IFERROR(IF(COUNTIF(J71:U71,"x")=0,SUMPRODUCT((Besatzung!$B$11:$B$22&lt;&gt;"")*(Besatzung!$F$11:$F$22="x")),SUMPRODUCT((J71:U71="x")*(Besatzung!$F$11:$F$22="x"))),1))))),0))))</f>
        <v/>
      </c>
      <c r="Z71" s="247">
        <f>IF(C71="Gutschrift","",IF(G71="","",IF(Besatzung!$B$13="","",IFERROR(IF(I71="Zeitanteilig",(Besatzung!$G$15*(G71-IFERROR(H71,0))+((Besatzung!$B$13&lt;&gt;"")*IF(B71="",1,(IF(Besatzung!$C$15="",Besatzung!$B$5,Besatzung!$C$15)&lt;=B71)*(IF(Besatzung!$D$15="",Besatzung!$B$6,Besatzung!$D$15)&gt;=B71)))*(Besatzung!$F$15="x")*IFERROR(H71,0)/IFERROR(SUMPRODUCT((Besatzung!$B$11:$B$22&lt;&gt;"")*(Besatzung!$F$11:$F$22="x")*(IF(Besatzung!$C$11:$C$22="",Besatzung!$B$5,Besatzung!$C$11:$C$22)&lt;=B71)*(IF(Besatzung!$D$11:$D$22="",Besatzung!$B$6,Besatzung!$D$11:$D$22)&gt;=B71)),1)),IF(I71="An Bord",(((Besatzung!$B$13&lt;&gt;"")*IF(B71="",1,(IF(Besatzung!$C$15="",Besatzung!$B$5,Besatzung!$C$15)&lt;=B71)*(IF(Besatzung!$D$15="",Besatzung!$B$6,Besatzung!$D$15)&gt;=B71)))*((G71-IFERROR(H71,0))/IFERROR(SUMPRODUCT((Besatzung!$B$11:$B$22&lt;&gt;"")*(IF(Besatzung!$C$11:$C$22="",Besatzung!$B$5,Besatzung!$C$11:$C$22)&lt;=B71)*(IF(Besatzung!$D$11:$D$22="",Besatzung!$B$6,Besatzung!$D$11:$D$22)&gt;=B71)),1)+(Besatzung!$F$15="x")*IFERROR(H71,0)/IFERROR(SUMPRODUCT((Besatzung!$B$11:$B$22&lt;&gt;"")*(Besatzung!$F$11:$F$22="x")*(IF(Besatzung!$C$11:$C$22="",Besatzung!$B$5,Besatzung!$C$11:$C$22)&lt;=B71)*(IF(Besatzung!$D$11:$D$22="",Besatzung!$B$6,Besatzung!$D$11:$D$22)&gt;=B71)),1))),IF(I71="Individuell",((N71="x")*((G71-IFERROR(H71,0))/IFERROR(COUNTIF(J71:U71,"x"),1)+(Besatzung!$F$15="x")*IFERROR(H71,0)/IFERROR(SUMPRODUCT((J71:U71="x")*(Besatzung!$F$11:$F$22="x")),1))),(IF(COUNTIF(J71:U71,"x")=0,IF(Besatzung!$B$13&lt;&gt;"",1,0),(N71="x"))*(G71-IFERROR(H71,0))/IFERROR(IF(COUNTIF(J71:U71,"x")=0,COUNTA(Besatzung!$B$11:$B$22),COUNTIF(J71:U71,"x")),1)+IF(COUNTIF(J71:U71,"x")=0,(Besatzung!$F$15="x"),(N71="x")*(Besatzung!$F$15="x"))*IFERROR(H71,0)/IFERROR(IF(COUNTIF(J71:U71,"x")=0,SUMPRODUCT((Besatzung!$B$11:$B$22&lt;&gt;"")*(Besatzung!$F$11:$F$22="x")),SUMPRODUCT((J71:U71="x")*(Besatzung!$F$11:$F$22="x"))),1))))),0))))</f>
        <v/>
      </c>
      <c r="AA71" s="247">
        <f>IF(C71="Gutschrift","",IF(G71="","",IF(Besatzung!$B$15="","",IFERROR(IF(I71="Zeitanteilig",(Besatzung!$G$16*(G71-IFERROR(H71,0))+((Besatzung!$B$15&lt;&gt;"")*IF(B71="",1,(IF(Besatzung!$C$16="",Besatzung!$B$5,Besatzung!$C$16)&lt;=B71)*(IF(Besatzung!$D$16="",Besatzung!$B$6,Besatzung!$D$16)&gt;=B71)))*(Besatzung!$F$16="x")*IFERROR(H71,0)/IFERROR(SUMPRODUCT((Besatzung!$B$11:$B$22&lt;&gt;"")*(Besatzung!$F$11:$F$22="x")*(IF(Besatzung!$C$11:$C$22="",Besatzung!$B$5,Besatzung!$C$11:$C$22)&lt;=B71)*(IF(Besatzung!$D$11:$D$22="",Besatzung!$B$6,Besatzung!$D$11:$D$22)&gt;=B71)),1)),IF(I71="An Bord",(((Besatzung!$B$15&lt;&gt;"")*IF(B71="",1,(IF(Besatzung!$C$16="",Besatzung!$B$5,Besatzung!$C$16)&lt;=B71)*(IF(Besatzung!$D$16="",Besatzung!$B$6,Besatzung!$D$16)&gt;=B71)))*((G71-IFERROR(H71,0))/IFERROR(SUMPRODUCT((Besatzung!$B$11:$B$22&lt;&gt;"")*(IF(Besatzung!$C$11:$C$22="",Besatzung!$B$5,Besatzung!$C$11:$C$22)&lt;=B71)*(IF(Besatzung!$D$11:$D$22="",Besatzung!$B$6,Besatzung!$D$11:$D$22)&gt;=B71)),1)+(Besatzung!$F$16="x")*IFERROR(H71,0)/IFERROR(SUMPRODUCT((Besatzung!$B$11:$B$22&lt;&gt;"")*(Besatzung!$F$11:$F$22="x")*(IF(Besatzung!$C$11:$C$22="",Besatzung!$B$5,Besatzung!$C$11:$C$22)&lt;=B71)*(IF(Besatzung!$D$11:$D$22="",Besatzung!$B$6,Besatzung!$D$11:$D$22)&gt;=B71)),1))),IF(I71="Individuell",((O71="x")*((G71-IFERROR(H71,0))/IFERROR(COUNTIF(J71:U71,"x"),1)+(Besatzung!$F$16="x")*IFERROR(H71,0)/IFERROR(SUMPRODUCT((J71:U71="x")*(Besatzung!$F$11:$F$22="x")),1))),(IF(COUNTIF(J71:U71,"x")=0,IF(Besatzung!$B$15&lt;&gt;"",1,0),(O71="x"))*(G71-IFERROR(H71,0))/IFERROR(IF(COUNTIF(J71:U71,"x")=0,COUNTA(Besatzung!$B$11:$B$22),COUNTIF(J71:U71,"x")),1)+IF(COUNTIF(J71:U71,"x")=0,(Besatzung!$F$16="x"),(O71="x")*(Besatzung!$F$16="x"))*IFERROR(H71,0)/IFERROR(IF(COUNTIF(J71:U71,"x")=0,SUMPRODUCT((Besatzung!$B$11:$B$22&lt;&gt;"")*(Besatzung!$F$11:$F$22="x")),SUMPRODUCT((J71:U71="x")*(Besatzung!$F$11:$F$22="x"))),1))))),0))))</f>
        <v/>
      </c>
      <c r="AB71" s="247">
        <f>IF(C71="Gutschrift","",IF(G71="","",IF(Besatzung!$B$17="","",IFERROR(IF(I71="Zeitanteilig",(Besatzung!$G$17*(G71-IFERROR(H71,0))+((Besatzung!$B$17&lt;&gt;"")*IF(B71="",1,(IF(Besatzung!$C$17="",Besatzung!$B$5,Besatzung!$C$17)&lt;=B71)*(IF(Besatzung!$D$17="",Besatzung!$B$6,Besatzung!$D$17)&gt;=B71)))*(Besatzung!$F$17="x")*IFERROR(H71,0)/IFERROR(SUMPRODUCT((Besatzung!$B$11:$B$22&lt;&gt;"")*(Besatzung!$F$11:$F$22="x")*(IF(Besatzung!$C$11:$C$22="",Besatzung!$B$5,Besatzung!$C$11:$C$22)&lt;=B71)*(IF(Besatzung!$D$11:$D$22="",Besatzung!$B$6,Besatzung!$D$11:$D$22)&gt;=B71)),1)),IF(I71="An Bord",(((Besatzung!$B$17&lt;&gt;"")*IF(B71="",1,(IF(Besatzung!$C$17="",Besatzung!$B$5,Besatzung!$C$17)&lt;=B71)*(IF(Besatzung!$D$17="",Besatzung!$B$6,Besatzung!$D$17)&gt;=B71)))*((G71-IFERROR(H71,0))/IFERROR(SUMPRODUCT((Besatzung!$B$11:$B$22&lt;&gt;"")*(IF(Besatzung!$C$11:$C$22="",Besatzung!$B$5,Besatzung!$C$11:$C$22)&lt;=B71)*(IF(Besatzung!$D$11:$D$22="",Besatzung!$B$6,Besatzung!$D$11:$D$22)&gt;=B71)),1)+(Besatzung!$F$17="x")*IFERROR(H71,0)/IFERROR(SUMPRODUCT((Besatzung!$B$11:$B$22&lt;&gt;"")*(Besatzung!$F$11:$F$22="x")*(IF(Besatzung!$C$11:$C$22="",Besatzung!$B$5,Besatzung!$C$11:$C$22)&lt;=B71)*(IF(Besatzung!$D$11:$D$22="",Besatzung!$B$6,Besatzung!$D$11:$D$22)&gt;=B71)),1))),IF(I71="Individuell",((P71="x")*((G71-IFERROR(H71,0))/IFERROR(COUNTIF(J71:U71,"x"),1)+(Besatzung!$F$17="x")*IFERROR(H71,0)/IFERROR(SUMPRODUCT((J71:U71="x")*(Besatzung!$F$11:$F$22="x")),1))),(IF(COUNTIF(J71:U71,"x")=0,IF(Besatzung!$B$17&lt;&gt;"",1,0),(P71="x"))*(G71-IFERROR(H71,0))/IFERROR(IF(COUNTIF(J71:U71,"x")=0,COUNTA(Besatzung!$B$11:$B$22),COUNTIF(J71:U71,"x")),1)+IF(COUNTIF(J71:U71,"x")=0,(Besatzung!$F$17="x"),(P71="x")*(Besatzung!$F$17="x"))*IFERROR(H71,0)/IFERROR(IF(COUNTIF(J71:U71,"x")=0,SUMPRODUCT((Besatzung!$B$11:$B$22&lt;&gt;"")*(Besatzung!$F$11:$F$22="x")),SUMPRODUCT((J71:U71="x")*(Besatzung!$F$11:$F$22="x"))),1))))),0))))</f>
        <v/>
      </c>
      <c r="AC71" s="247">
        <f>IF(C71="Gutschrift","",IF(G71="","",IF(Besatzung!$B$18="","",IFERROR(IF(I71="Zeitanteilig",(Besatzung!$G$18*(G71-IFERROR(H71,0))+((Besatzung!$B$18&lt;&gt;"")*IF(B71="",1,(IF(Besatzung!$C$18="",Besatzung!$B$5,Besatzung!$C$18)&lt;=B71)*(IF(Besatzung!$D$18="",Besatzung!$B$6,Besatzung!$D$18)&gt;=B71)))*(Besatzung!$F$18="x")*IFERROR(H71,0)/IFERROR(SUMPRODUCT((Besatzung!$B$11:$B$22&lt;&gt;"")*(Besatzung!$F$11:$F$22="x")*(IF(Besatzung!$C$11:$C$22="",Besatzung!$B$5,Besatzung!$C$11:$C$22)&lt;=B71)*(IF(Besatzung!$D$11:$D$22="",Besatzung!$B$6,Besatzung!$D$11:$D$22)&gt;=B71)),1)),IF(I71="An Bord",(((Besatzung!$B$18&lt;&gt;"")*IF(B71="",1,(IF(Besatzung!$C$18="",Besatzung!$B$5,Besatzung!$C$18)&lt;=B71)*(IF(Besatzung!$D$18="",Besatzung!$B$6,Besatzung!$D$18)&gt;=B71)))*((G71-IFERROR(H71,0))/IFERROR(SUMPRODUCT((Besatzung!$B$11:$B$22&lt;&gt;"")*(IF(Besatzung!$C$11:$C$22="",Besatzung!$B$5,Besatzung!$C$11:$C$22)&lt;=B71)*(IF(Besatzung!$D$11:$D$22="",Besatzung!$B$6,Besatzung!$D$11:$D$22)&gt;=B71)),1)+(Besatzung!$F$18="x")*IFERROR(H71,0)/IFERROR(SUMPRODUCT((Besatzung!$B$11:$B$22&lt;&gt;"")*(Besatzung!$F$11:$F$22="x")*(IF(Besatzung!$C$11:$C$22="",Besatzung!$B$5,Besatzung!$C$11:$C$22)&lt;=B71)*(IF(Besatzung!$D$11:$D$22="",Besatzung!$B$6,Besatzung!$D$11:$D$22)&gt;=B71)),1))),IF(I71="Individuell",((Q71="x")*((G71-IFERROR(H71,0))/IFERROR(COUNTIF(J71:U71,"x"),1)+(Besatzung!$F$18="x")*IFERROR(H71,0)/IFERROR(SUMPRODUCT((J71:U71="x")*(Besatzung!$F$11:$F$22="x")),1))),(IF(COUNTIF(J71:U71,"x")=0,IF(Besatzung!$B$18&lt;&gt;"",1,0),(Q71="x"))*(G71-IFERROR(H71,0))/IFERROR(IF(COUNTIF(J71:U71,"x")=0,COUNTA(Besatzung!$B$11:$B$22),COUNTIF(J71:U71,"x")),1)+IF(COUNTIF(J71:U71,"x")=0,(Besatzung!$F$18="x"),(Q71="x")*(Besatzung!$F$18="x"))*IFERROR(H71,0)/IFERROR(IF(COUNTIF(J71:U71,"x")=0,SUMPRODUCT((Besatzung!$B$11:$B$22&lt;&gt;"")*(Besatzung!$F$11:$F$22="x")),SUMPRODUCT((J71:U71="x")*(Besatzung!$F$11:$F$22="x"))),1))))),0))))</f>
        <v/>
      </c>
      <c r="AD71" s="247">
        <f>IF(C71="Gutschrift","",IF(G71="","",IF(Besatzung!$B$19="","",IFERROR(IF(I71="Zeitanteilig",(Besatzung!$G$19*(G71-IFERROR(H71,0))+((Besatzung!$B$19&lt;&gt;"")*IF(B71="",1,(IF(Besatzung!$C$19="",Besatzung!$B$5,Besatzung!$C$19)&lt;=B71)*(IF(Besatzung!$D$19="",Besatzung!$B$6,Besatzung!$D$19)&gt;=B71)))*(Besatzung!$F$19="x")*IFERROR(H71,0)/IFERROR(SUMPRODUCT((Besatzung!$B$11:$B$22&lt;&gt;"")*(Besatzung!$F$11:$F$22="x")*(IF(Besatzung!$C$11:$C$22="",Besatzung!$B$5,Besatzung!$C$11:$C$22)&lt;=B71)*(IF(Besatzung!$D$11:$D$22="",Besatzung!$B$6,Besatzung!$D$11:$D$22)&gt;=B71)),1)),IF(I71="An Bord",(((Besatzung!$B$19&lt;&gt;"")*IF(B71="",1,(IF(Besatzung!$C$19="",Besatzung!$B$5,Besatzung!$C$19)&lt;=B71)*(IF(Besatzung!$D$19="",Besatzung!$B$6,Besatzung!$D$19)&gt;=B71)))*((G71-IFERROR(H71,0))/IFERROR(SUMPRODUCT((Besatzung!$B$11:$B$22&lt;&gt;"")*(IF(Besatzung!$C$11:$C$22="",Besatzung!$B$5,Besatzung!$C$11:$C$22)&lt;=B71)*(IF(Besatzung!$D$11:$D$22="",Besatzung!$B$6,Besatzung!$D$11:$D$22)&gt;=B71)),1)+(Besatzung!$F$19="x")*IFERROR(H71,0)/IFERROR(SUMPRODUCT((Besatzung!$B$11:$B$22&lt;&gt;"")*(Besatzung!$F$11:$F$22="x")*(IF(Besatzung!$C$11:$C$22="",Besatzung!$B$5,Besatzung!$C$11:$C$22)&lt;=B71)*(IF(Besatzung!$D$11:$D$22="",Besatzung!$B$6,Besatzung!$D$11:$D$22)&gt;=B71)),1))),IF(I71="Individuell",((R71="x")*((G71-IFERROR(H71,0))/IFERROR(COUNTIF(J71:U71,"x"),1)+(Besatzung!$F$19="x")*IFERROR(H71,0)/IFERROR(SUMPRODUCT((J71:U71="x")*(Besatzung!$F$11:$F$22="x")),1))),(IF(COUNTIF(J71:U71,"x")=0,IF(Besatzung!$B$19&lt;&gt;"",1,0),(R71="x"))*(G71-IFERROR(H71,0))/IFERROR(IF(COUNTIF(J71:U71,"x")=0,COUNTA(Besatzung!$B$11:$B$22),COUNTIF(J71:U71,"x")),1)+IF(COUNTIF(J71:U71,"x")=0,(Besatzung!$F$19="x"),(R71="x")*(Besatzung!$F$19="x"))*IFERROR(H71,0)/IFERROR(IF(COUNTIF(J71:U71,"x")=0,SUMPRODUCT((Besatzung!$B$11:$B$22&lt;&gt;"")*(Besatzung!$F$11:$F$22="x")),SUMPRODUCT((J71:U71="x")*(Besatzung!$F$11:$F$22="x"))),1))))),0))))</f>
        <v/>
      </c>
      <c r="AE71" s="247">
        <f>IF(C71="Gutschrift","",IF(G71="","",IF(Besatzung!$B$20="","",IFERROR(IF(I71="Zeitanteilig",(Besatzung!$G$20*(G71-IFERROR(H71,0))+((Besatzung!$B$20&lt;&gt;"")*IF(B71="",1,(IF(Besatzung!$C$20="",Besatzung!$B$5,Besatzung!$C$20)&lt;=B71)*(IF(Besatzung!$D$20="",Besatzung!$B$6,Besatzung!$D$20)&gt;=B71)))*(Besatzung!$F$20="x")*IFERROR(H71,0)/IFERROR(SUMPRODUCT((Besatzung!$B$11:$B$22&lt;&gt;"")*(Besatzung!$F$11:$F$22="x")*(IF(Besatzung!$C$11:$C$22="",Besatzung!$B$5,Besatzung!$C$11:$C$22)&lt;=B71)*(IF(Besatzung!$D$11:$D$22="",Besatzung!$B$6,Besatzung!$D$11:$D$22)&gt;=B71)),1)),IF(I71="An Bord",(((Besatzung!$B$20&lt;&gt;"")*IF(B71="",1,(IF(Besatzung!$C$20="",Besatzung!$B$5,Besatzung!$C$20)&lt;=B71)*(IF(Besatzung!$D$20="",Besatzung!$B$6,Besatzung!$D$20)&gt;=B71)))*((G71-IFERROR(H71,0))/IFERROR(SUMPRODUCT((Besatzung!$B$11:$B$22&lt;&gt;"")*(IF(Besatzung!$C$11:$C$22="",Besatzung!$B$5,Besatzung!$C$11:$C$22)&lt;=B71)*(IF(Besatzung!$D$11:$D$22="",Besatzung!$B$6,Besatzung!$D$11:$D$22)&gt;=B71)),1)+(Besatzung!$F$20="x")*IFERROR(H71,0)/IFERROR(SUMPRODUCT((Besatzung!$B$11:$B$22&lt;&gt;"")*(Besatzung!$F$11:$F$22="x")*(IF(Besatzung!$C$11:$C$22="",Besatzung!$B$5,Besatzung!$C$11:$C$22)&lt;=B71)*(IF(Besatzung!$D$11:$D$22="",Besatzung!$B$6,Besatzung!$D$11:$D$22)&gt;=B71)),1))),IF(I71="Individuell",((S71="x")*((G71-IFERROR(H71,0))/IFERROR(COUNTIF(J71:U71,"x"),1)+(Besatzung!$F$20="x")*IFERROR(H71,0)/IFERROR(SUMPRODUCT((J71:U71="x")*(Besatzung!$F$11:$F$22="x")),1))),(IF(COUNTIF(J71:U71,"x")=0,IF(Besatzung!$B$20&lt;&gt;"",1,0),(S71="x"))*(G71-IFERROR(H71,0))/IFERROR(IF(COUNTIF(J71:U71,"x")=0,COUNTA(Besatzung!$B$11:$B$22),COUNTIF(J71:U71,"x")),1)+IF(COUNTIF(J71:U71,"x")=0,(Besatzung!$F$20="x"),(S71="x")*(Besatzung!$F$20="x"))*IFERROR(H71,0)/IFERROR(IF(COUNTIF(J71:U71,"x")=0,SUMPRODUCT((Besatzung!$B$11:$B$22&lt;&gt;"")*(Besatzung!$F$11:$F$22="x")),SUMPRODUCT((J71:U71="x")*(Besatzung!$F$11:$F$22="x"))),1))))),0))))</f>
        <v/>
      </c>
      <c r="AF71" s="247">
        <f>IF(C71="Gutschrift","",IF(G71="","",IF(Besatzung!$B$21="","",IFERROR(IF(I71="Zeitanteilig",(Besatzung!$G$21*(G71-IFERROR(H71,0))+((Besatzung!$B$21&lt;&gt;"")*IF(B71="",1,(IF(Besatzung!$C$21="",Besatzung!$B$5,Besatzung!$C$21)&lt;=B71)*(IF(Besatzung!$D$21="",Besatzung!$B$6,Besatzung!$D$21)&gt;=B71)))*(Besatzung!$F$21="x")*IFERROR(H71,0)/IFERROR(SUMPRODUCT((Besatzung!$B$11:$B$22&lt;&gt;"")*(Besatzung!$F$11:$F$22="x")*(IF(Besatzung!$C$11:$C$22="",Besatzung!$B$5,Besatzung!$C$11:$C$22)&lt;=B71)*(IF(Besatzung!$D$11:$D$22="",Besatzung!$B$6,Besatzung!$D$11:$D$22)&gt;=B71)),1)),IF(I71="An Bord",(((Besatzung!$B$21&lt;&gt;"")*IF(B71="",1,(IF(Besatzung!$C$21="",Besatzung!$B$5,Besatzung!$C$21)&lt;=B71)*(IF(Besatzung!$D$21="",Besatzung!$B$6,Besatzung!$D$21)&gt;=B71)))*((G71-IFERROR(H71,0))/IFERROR(SUMPRODUCT((Besatzung!$B$11:$B$22&lt;&gt;"")*(IF(Besatzung!$C$11:$C$22="",Besatzung!$B$5,Besatzung!$C$11:$C$22)&lt;=B71)*(IF(Besatzung!$D$11:$D$22="",Besatzung!$B$6,Besatzung!$D$11:$D$22)&gt;=B71)),1)+(Besatzung!$F$21="x")*IFERROR(H71,0)/IFERROR(SUMPRODUCT((Besatzung!$B$11:$B$22&lt;&gt;"")*(Besatzung!$F$11:$F$22="x")*(IF(Besatzung!$C$11:$C$22="",Besatzung!$B$5,Besatzung!$C$11:$C$22)&lt;=B71)*(IF(Besatzung!$D$11:$D$22="",Besatzung!$B$6,Besatzung!$D$11:$D$22)&gt;=B71)),1))),IF(I71="Individuell",((T71="x")*((G71-IFERROR(H71,0))/IFERROR(COUNTIF(J71:U71,"x"),1)+(Besatzung!$F$21="x")*IFERROR(H71,0)/IFERROR(SUMPRODUCT((J71:U71="x")*(Besatzung!$F$11:$F$22="x")),1))),(IF(COUNTIF(J71:U71,"x")=0,IF(Besatzung!$B$21&lt;&gt;"",1,0),(T71="x"))*(G71-IFERROR(H71,0))/IFERROR(IF(COUNTIF(J71:U71,"x")=0,COUNTA(Besatzung!$B$11:$B$22),COUNTIF(J71:U71,"x")),1)+IF(COUNTIF(J71:U71,"x")=0,(Besatzung!$F$21="x"),(T71="x")*(Besatzung!$F$21="x"))*IFERROR(H71,0)/IFERROR(IF(COUNTIF(J71:U71,"x")=0,SUMPRODUCT((Besatzung!$B$11:$B$22&lt;&gt;"")*(Besatzung!$F$11:$F$22="x")),SUMPRODUCT((J71:U71="x")*(Besatzung!$F$11:$F$22="x"))),1))))),0))))</f>
        <v/>
      </c>
      <c r="AG71" s="247">
        <f>IF(C71="Gutschrift","",IF(G71="","",IF(Besatzung!$B$22="","",IFERROR(IF(I71="Zeitanteilig",(Besatzung!$G$22*(G71-IFERROR(H71,0))+((Besatzung!$B$22&lt;&gt;"")*IF(B71="",1,(IF(Besatzung!$C$22="",Besatzung!$B$5,Besatzung!$C$22)&lt;=B71)*(IF(Besatzung!$D$22="",Besatzung!$B$6,Besatzung!$D$22)&gt;=B71)))*(Besatzung!$F$22="x")*IFERROR(H71,0)/IFERROR(SUMPRODUCT((Besatzung!$B$11:$B$22&lt;&gt;"")*(Besatzung!$F$11:$F$22="x")*(IF(Besatzung!$C$11:$C$22="",Besatzung!$B$5,Besatzung!$C$11:$C$22)&lt;=B71)*(IF(Besatzung!$D$11:$D$22="",Besatzung!$B$6,Besatzung!$D$11:$D$22)&gt;=B71)),1)),IF(I71="An Bord",(((Besatzung!$B$22&lt;&gt;"")*IF(B71="",1,(IF(Besatzung!$C$22="",Besatzung!$B$5,Besatzung!$C$22)&lt;=B71)*(IF(Besatzung!$D$22="",Besatzung!$B$6,Besatzung!$D$22)&gt;=B71)))*((G71-IFERROR(H71,0))/IFERROR(SUMPRODUCT((Besatzung!$B$11:$B$22&lt;&gt;"")*(IF(Besatzung!$C$11:$C$22="",Besatzung!$B$5,Besatzung!$C$11:$C$22)&lt;=B71)*(IF(Besatzung!$D$11:$D$22="",Besatzung!$B$6,Besatzung!$D$11:$D$22)&gt;=B71)),1)+(Besatzung!$F$22="x")*IFERROR(H71,0)/IFERROR(SUMPRODUCT((Besatzung!$B$11:$B$22&lt;&gt;"")*(Besatzung!$F$11:$F$22="x")*(IF(Besatzung!$C$11:$C$22="",Besatzung!$B$5,Besatzung!$C$11:$C$22)&lt;=B71)*(IF(Besatzung!$D$11:$D$22="",Besatzung!$B$6,Besatzung!$D$11:$D$22)&gt;=B71)),1))),IF(I71="Individuell",((U71="x")*((G71-IFERROR(H71,0))/IFERROR(COUNTIF(J71:U71,"x"),1)+(Besatzung!$F$22="x")*IFERROR(H71,0)/IFERROR(SUMPRODUCT((J71:U71="x")*(Besatzung!$F$11:$F$22="x")),1))),(IF(COUNTIF(J71:U71,"x")=0,IF(Besatzung!$B$22&lt;&gt;"",1,0),(U71="x"))*(G71-IFERROR(H71,0))/IFERROR(IF(COUNTIF(J71:U71,"x")=0,COUNTA(Besatzung!$B$11:$B$22),COUNTIF(J71:U71,"x")),1)+IF(COUNTIF(J71:U71,"x")=0,(Besatzung!$F$22="x"),(U71="x")*(Besatzung!$F$22="x"))*IFERROR(H71,0)/IFERROR(IF(COUNTIF(J71:U71,"x")=0,SUMPRODUCT((Besatzung!$B$11:$B$22&lt;&gt;"")*(Besatzung!$F$11:$F$22="x")),SUMPRODUCT((J71:U71="x")*(Besatzung!$F$11:$F$22="x"))),1))))),0))))</f>
        <v/>
      </c>
      <c r="AH71" s="248" t="n"/>
      <c r="AI71" s="248" t="n"/>
    </row>
    <row r="72" ht="21.75" customHeight="1" s="154">
      <c r="A72" s="238">
        <f>IF(AND(D72="",C72=""),"",69)</f>
        <v/>
      </c>
      <c r="B72" s="199" t="n"/>
      <c r="C72" s="239" t="n"/>
      <c r="D72" s="240" t="n"/>
      <c r="E72" s="241" t="n"/>
      <c r="F72" s="242" t="n"/>
      <c r="G72" s="243" t="n"/>
      <c r="H72" s="244" t="n"/>
      <c r="I72" s="245" t="n"/>
      <c r="J72" s="246" t="n"/>
      <c r="K72" s="246" t="n"/>
      <c r="L72" s="246" t="n"/>
      <c r="M72" s="246" t="n"/>
      <c r="N72" s="246" t="n"/>
      <c r="O72" s="246" t="n"/>
      <c r="P72" s="246" t="n"/>
      <c r="Q72" s="246" t="n"/>
      <c r="R72" s="246" t="n"/>
      <c r="S72" s="246" t="n"/>
      <c r="T72" s="246" t="n"/>
      <c r="U72" s="246" t="n"/>
      <c r="V72" s="247">
        <f>IF(C72="Gutschrift","",IF(G72="","",IF(Besatzung!$B$11="","",IFERROR(IF(I72="Zeitanteilig",(Besatzung!$G$11*(G72-IFERROR(H72,0))+((Besatzung!$B$11&lt;&gt;"")*IF(B72="",1,(IF(Besatzung!$C$11="",Besatzung!$B$5,Besatzung!$C$11)&lt;=B72)*(IF(Besatzung!$D$11="",Besatzung!$B$6,Besatzung!$D$11)&gt;=B72)))*(Besatzung!$F$11="x")*IFERROR(H72,0)/IFERROR(SUMPRODUCT((Besatzung!$B$11:$B$22&lt;&gt;"")*(Besatzung!$F$11:$F$22="x")*(IF(Besatzung!$C$11:$C$22="",Besatzung!$B$5,Besatzung!$C$11:$C$22)&lt;=B72)*(IF(Besatzung!$D$11:$D$22="",Besatzung!$B$6,Besatzung!$D$11:$D$22)&gt;=B72)),1)),IF(I72="An Bord",(((Besatzung!$B$11&lt;&gt;"")*IF(B72="",1,(IF(Besatzung!$C$11="",Besatzung!$B$5,Besatzung!$C$11)&lt;=B72)*(IF(Besatzung!$D$11="",Besatzung!$B$6,Besatzung!$D$11)&gt;=B72)))*((G72-IFERROR(H72,0))/IFERROR(SUMPRODUCT((Besatzung!$B$11:$B$22&lt;&gt;"")*(IF(Besatzung!$C$11:$C$22="",Besatzung!$B$5,Besatzung!$C$11:$C$22)&lt;=B72)*(IF(Besatzung!$D$11:$D$22="",Besatzung!$B$6,Besatzung!$D$11:$D$22)&gt;=B72)),1)+(Besatzung!$F$11="x")*IFERROR(H72,0)/IFERROR(SUMPRODUCT((Besatzung!$B$11:$B$22&lt;&gt;"")*(Besatzung!$F$11:$F$22="x")*(IF(Besatzung!$C$11:$C$22="",Besatzung!$B$5,Besatzung!$C$11:$C$22)&lt;=B72)*(IF(Besatzung!$D$11:$D$22="",Besatzung!$B$6,Besatzung!$D$11:$D$22)&gt;=B72)),1))),IF(I72="Individuell",((J72="x")*((G72-IFERROR(H72,0))/IFERROR(COUNTIF(J72:U72,"x"),1)+(Besatzung!$F$11="x")*IFERROR(H72,0)/IFERROR(SUMPRODUCT((J72:U72="x")*(Besatzung!$F$11:$F$22="x")),1))),(IF(COUNTIF(J72:U72,"x")=0,IF(Besatzung!$B$11&lt;&gt;"",1,0),(J72="x"))*(G72-IFERROR(H72,0))/IFERROR(IF(COUNTIF(J72:U72,"x")=0,COUNTA(Besatzung!$B$11:$B$22),COUNTIF(J72:U72,"x")),1)+IF(COUNTIF(J72:U72,"x")=0,(Besatzung!$F$11="x"),(J72="x")*(Besatzung!$F$11="x"))*IFERROR(H72,0)/IFERROR(IF(COUNTIF(J72:U72,"x")=0,SUMPRODUCT((Besatzung!$B$11:$B$22&lt;&gt;"")*(Besatzung!$F$11:$F$22="x")),SUMPRODUCT((J72:U72="x")*(Besatzung!$F$11:$F$22="x"))),1))))),0))))</f>
        <v/>
      </c>
      <c r="W72" s="247">
        <f>IF(C72="Gutschrift","",IF(G72="","",IF(Besatzung!$B$12="","",IFERROR(IF(I72="Zeitanteilig",(Besatzung!$G$12*(G72-IFERROR(H72,0))+((Besatzung!$B$12&lt;&gt;"")*IF(B72="",1,(IF(Besatzung!$C$12="",Besatzung!$B$5,Besatzung!$C$12)&lt;=B72)*(IF(Besatzung!$D$12="",Besatzung!$B$6,Besatzung!$D$12)&gt;=B72)))*(Besatzung!$F$12="x")*IFERROR(H72,0)/IFERROR(SUMPRODUCT((Besatzung!$B$11:$B$22&lt;&gt;"")*(Besatzung!$F$11:$F$22="x")*(IF(Besatzung!$C$11:$C$22="",Besatzung!$B$5,Besatzung!$C$11:$C$22)&lt;=B72)*(IF(Besatzung!$D$11:$D$22="",Besatzung!$B$6,Besatzung!$D$11:$D$22)&gt;=B72)),1)),IF(I72="An Bord",(((Besatzung!$B$12&lt;&gt;"")*IF(B72="",1,(IF(Besatzung!$C$12="",Besatzung!$B$5,Besatzung!$C$12)&lt;=B72)*(IF(Besatzung!$D$12="",Besatzung!$B$6,Besatzung!$D$12)&gt;=B72)))*((G72-IFERROR(H72,0))/IFERROR(SUMPRODUCT((Besatzung!$B$11:$B$22&lt;&gt;"")*(IF(Besatzung!$C$11:$C$22="",Besatzung!$B$5,Besatzung!$C$11:$C$22)&lt;=B72)*(IF(Besatzung!$D$11:$D$22="",Besatzung!$B$6,Besatzung!$D$11:$D$22)&gt;=B72)),1)+(Besatzung!$F$12="x")*IFERROR(H72,0)/IFERROR(SUMPRODUCT((Besatzung!$B$11:$B$22&lt;&gt;"")*(Besatzung!$F$11:$F$22="x")*(IF(Besatzung!$C$11:$C$22="",Besatzung!$B$5,Besatzung!$C$11:$C$22)&lt;=B72)*(IF(Besatzung!$D$11:$D$22="",Besatzung!$B$6,Besatzung!$D$11:$D$22)&gt;=B72)),1))),IF(I72="Individuell",((K72="x")*((G72-IFERROR(H72,0))/IFERROR(COUNTIF(J72:U72,"x"),1)+(Besatzung!$F$12="x")*IFERROR(H72,0)/IFERROR(SUMPRODUCT((J72:U72="x")*(Besatzung!$F$11:$F$22="x")),1))),(IF(COUNTIF(J72:U72,"x")=0,IF(Besatzung!$B$12&lt;&gt;"",1,0),(K72="x"))*(G72-IFERROR(H72,0))/IFERROR(IF(COUNTIF(J72:U72,"x")=0,COUNTA(Besatzung!$B$11:$B$22),COUNTIF(J72:U72,"x")),1)+IF(COUNTIF(J72:U72,"x")=0,(Besatzung!$F$12="x"),(K72="x")*(Besatzung!$F$12="x"))*IFERROR(H72,0)/IFERROR(IF(COUNTIF(J72:U72,"x")=0,SUMPRODUCT((Besatzung!$B$11:$B$22&lt;&gt;"")*(Besatzung!$F$11:$F$22="x")),SUMPRODUCT((J72:U72="x")*(Besatzung!$F$11:$F$22="x"))),1))))),0))))</f>
        <v/>
      </c>
      <c r="X72" s="247">
        <f>IF(C72="Gutschrift","",IF(G72="","",IF(Besatzung!$B$13="","",IFERROR(IF(I72="Zeitanteilig",(Besatzung!$G$13*(G72-IFERROR(H72,0))+((Besatzung!$B$13&lt;&gt;"")*IF(B72="",1,(IF(Besatzung!$C$13="",Besatzung!$B$5,Besatzung!$C$13)&lt;=B72)*(IF(Besatzung!$D$13="",Besatzung!$B$6,Besatzung!$D$13)&gt;=B72)))*(Besatzung!$F$13="x")*IFERROR(H72,0)/IFERROR(SUMPRODUCT((Besatzung!$B$11:$B$22&lt;&gt;"")*(Besatzung!$F$11:$F$22="x")*(IF(Besatzung!$C$11:$C$22="",Besatzung!$B$5,Besatzung!$C$11:$C$22)&lt;=B72)*(IF(Besatzung!$D$11:$D$22="",Besatzung!$B$6,Besatzung!$D$11:$D$22)&gt;=B72)),1)),IF(I72="An Bord",(((Besatzung!$B$13&lt;&gt;"")*IF(B72="",1,(IF(Besatzung!$C$13="",Besatzung!$B$5,Besatzung!$C$13)&lt;=B72)*(IF(Besatzung!$D$13="",Besatzung!$B$6,Besatzung!$D$13)&gt;=B72)))*((G72-IFERROR(H72,0))/IFERROR(SUMPRODUCT((Besatzung!$B$11:$B$22&lt;&gt;"")*(IF(Besatzung!$C$11:$C$22="",Besatzung!$B$5,Besatzung!$C$11:$C$22)&lt;=B72)*(IF(Besatzung!$D$11:$D$22="",Besatzung!$B$6,Besatzung!$D$11:$D$22)&gt;=B72)),1)+(Besatzung!$F$13="x")*IFERROR(H72,0)/IFERROR(SUMPRODUCT((Besatzung!$B$11:$B$22&lt;&gt;"")*(Besatzung!$F$11:$F$22="x")*(IF(Besatzung!$C$11:$C$22="",Besatzung!$B$5,Besatzung!$C$11:$C$22)&lt;=B72)*(IF(Besatzung!$D$11:$D$22="",Besatzung!$B$6,Besatzung!$D$11:$D$22)&gt;=B72)),1))),IF(I72="Individuell",((K72="x")*((G72-IFERROR(H72,0))/IFERROR(COUNTIF(J72:U72,"x"),1)+(Besatzung!$F$13="x")*IFERROR(H72,0)/IFERROR(SUMPRODUCT((J72:U72="x")*(Besatzung!$F$11:$F$22="x")),1))),(IF(COUNTIF(J72:U72,"x")=0,IF(Besatzung!$B$13&lt;&gt;"",1,0),(K72="x"))*(G72-IFERROR(H72,0))/IFERROR(IF(COUNTIF(J72:U72,"x")=0,COUNTA(Besatzung!$B$11:$B$22),COUNTIF(J72:U72,"x")),1)+IF(COUNTIF(J72:U72,"x")=0,(Besatzung!$F$13="x"),(K72="x")*(Besatzung!$F$13="x"))*IFERROR(H72,0)/IFERROR(IF(COUNTIF(J72:U72,"x")=0,SUMPRODUCT((Besatzung!$B$11:$B$22&lt;&gt;"")*(Besatzung!$F$11:$F$22="x")),SUMPRODUCT((J72:U72="x")*(Besatzung!$F$11:$F$22="x"))),1))))),0))))</f>
        <v/>
      </c>
      <c r="Y72" s="247">
        <f>IF(C72="Gutschrift","",IF(G72="","",IF(Besatzung!$B$14="","",IFERROR(IF(I72="Zeitanteilig",(Besatzung!$G$14*(G72-IFERROR(H72,0))+((Besatzung!$B$14&lt;&gt;"")*IF(B72="",1,(IF(Besatzung!$C$14="",Besatzung!$B$5,Besatzung!$C$14)&lt;=B72)*(IF(Besatzung!$D$14="",Besatzung!$B$6,Besatzung!$D$14)&gt;=B72)))*(Besatzung!$F$14="x")*IFERROR(H72,0)/IFERROR(SUMPRODUCT((Besatzung!$B$11:$B$22&lt;&gt;"")*(Besatzung!$F$11:$F$22="x")*(IF(Besatzung!$C$11:$C$22="",Besatzung!$B$5,Besatzung!$C$11:$C$22)&lt;=B72)*(IF(Besatzung!$D$11:$D$22="",Besatzung!$B$6,Besatzung!$D$11:$D$22)&gt;=B72)),1)),IF(I72="An Bord",(((Besatzung!$B$14&lt;&gt;"")*IF(B72="",1,(IF(Besatzung!$C$14="",Besatzung!$B$5,Besatzung!$C$14)&lt;=B72)*(IF(Besatzung!$D$14="",Besatzung!$B$6,Besatzung!$D$14)&gt;=B72)))*((G72-IFERROR(H72,0))/IFERROR(SUMPRODUCT((Besatzung!$B$11:$B$22&lt;&gt;"")*(IF(Besatzung!$C$11:$C$22="",Besatzung!$B$5,Besatzung!$C$11:$C$22)&lt;=B72)*(IF(Besatzung!$D$11:$D$22="",Besatzung!$B$6,Besatzung!$D$11:$D$22)&gt;=B72)),1)+(Besatzung!$F$14="x")*IFERROR(H72,0)/IFERROR(SUMPRODUCT((Besatzung!$B$11:$B$22&lt;&gt;"")*(Besatzung!$F$11:$F$22="x")*(IF(Besatzung!$C$11:$C$22="",Besatzung!$B$5,Besatzung!$C$11:$C$22)&lt;=B72)*(IF(Besatzung!$D$11:$D$22="",Besatzung!$B$6,Besatzung!$D$11:$D$22)&gt;=B72)),1))),IF(I72="Individuell",((M72="x")*((G72-IFERROR(H72,0))/IFERROR(COUNTIF(J72:U72,"x"),1)+(Besatzung!$F$14="x")*IFERROR(H72,0)/IFERROR(SUMPRODUCT((J72:U72="x")*(Besatzung!$F$11:$F$22="x")),1))),(IF(COUNTIF(J72:U72,"x")=0,IF(Besatzung!$B$14&lt;&gt;"",1,0),(M72="x"))*(G72-IFERROR(H72,0))/IFERROR(IF(COUNTIF(J72:U72,"x")=0,COUNTA(Besatzung!$B$11:$B$22),COUNTIF(J72:U72,"x")),1)+IF(COUNTIF(J72:U72,"x")=0,(Besatzung!$F$14="x"),(M72="x")*(Besatzung!$F$14="x"))*IFERROR(H72,0)/IFERROR(IF(COUNTIF(J72:U72,"x")=0,SUMPRODUCT((Besatzung!$B$11:$B$22&lt;&gt;"")*(Besatzung!$F$11:$F$22="x")),SUMPRODUCT((J72:U72="x")*(Besatzung!$F$11:$F$22="x"))),1))))),0))))</f>
        <v/>
      </c>
      <c r="Z72" s="247">
        <f>IF(C72="Gutschrift","",IF(G72="","",IF(Besatzung!$B$13="","",IFERROR(IF(I72="Zeitanteilig",(Besatzung!$G$15*(G72-IFERROR(H72,0))+((Besatzung!$B$13&lt;&gt;"")*IF(B72="",1,(IF(Besatzung!$C$15="",Besatzung!$B$5,Besatzung!$C$15)&lt;=B72)*(IF(Besatzung!$D$15="",Besatzung!$B$6,Besatzung!$D$15)&gt;=B72)))*(Besatzung!$F$15="x")*IFERROR(H72,0)/IFERROR(SUMPRODUCT((Besatzung!$B$11:$B$22&lt;&gt;"")*(Besatzung!$F$11:$F$22="x")*(IF(Besatzung!$C$11:$C$22="",Besatzung!$B$5,Besatzung!$C$11:$C$22)&lt;=B72)*(IF(Besatzung!$D$11:$D$22="",Besatzung!$B$6,Besatzung!$D$11:$D$22)&gt;=B72)),1)),IF(I72="An Bord",(((Besatzung!$B$13&lt;&gt;"")*IF(B72="",1,(IF(Besatzung!$C$15="",Besatzung!$B$5,Besatzung!$C$15)&lt;=B72)*(IF(Besatzung!$D$15="",Besatzung!$B$6,Besatzung!$D$15)&gt;=B72)))*((G72-IFERROR(H72,0))/IFERROR(SUMPRODUCT((Besatzung!$B$11:$B$22&lt;&gt;"")*(IF(Besatzung!$C$11:$C$22="",Besatzung!$B$5,Besatzung!$C$11:$C$22)&lt;=B72)*(IF(Besatzung!$D$11:$D$22="",Besatzung!$B$6,Besatzung!$D$11:$D$22)&gt;=B72)),1)+(Besatzung!$F$15="x")*IFERROR(H72,0)/IFERROR(SUMPRODUCT((Besatzung!$B$11:$B$22&lt;&gt;"")*(Besatzung!$F$11:$F$22="x")*(IF(Besatzung!$C$11:$C$22="",Besatzung!$B$5,Besatzung!$C$11:$C$22)&lt;=B72)*(IF(Besatzung!$D$11:$D$22="",Besatzung!$B$6,Besatzung!$D$11:$D$22)&gt;=B72)),1))),IF(I72="Individuell",((N72="x")*((G72-IFERROR(H72,0))/IFERROR(COUNTIF(J72:U72,"x"),1)+(Besatzung!$F$15="x")*IFERROR(H72,0)/IFERROR(SUMPRODUCT((J72:U72="x")*(Besatzung!$F$11:$F$22="x")),1))),(IF(COUNTIF(J72:U72,"x")=0,IF(Besatzung!$B$13&lt;&gt;"",1,0),(N72="x"))*(G72-IFERROR(H72,0))/IFERROR(IF(COUNTIF(J72:U72,"x")=0,COUNTA(Besatzung!$B$11:$B$22),COUNTIF(J72:U72,"x")),1)+IF(COUNTIF(J72:U72,"x")=0,(Besatzung!$F$15="x"),(N72="x")*(Besatzung!$F$15="x"))*IFERROR(H72,0)/IFERROR(IF(COUNTIF(J72:U72,"x")=0,SUMPRODUCT((Besatzung!$B$11:$B$22&lt;&gt;"")*(Besatzung!$F$11:$F$22="x")),SUMPRODUCT((J72:U72="x")*(Besatzung!$F$11:$F$22="x"))),1))))),0))))</f>
        <v/>
      </c>
      <c r="AA72" s="247">
        <f>IF(C72="Gutschrift","",IF(G72="","",IF(Besatzung!$B$15="","",IFERROR(IF(I72="Zeitanteilig",(Besatzung!$G$16*(G72-IFERROR(H72,0))+((Besatzung!$B$15&lt;&gt;"")*IF(B72="",1,(IF(Besatzung!$C$16="",Besatzung!$B$5,Besatzung!$C$16)&lt;=B72)*(IF(Besatzung!$D$16="",Besatzung!$B$6,Besatzung!$D$16)&gt;=B72)))*(Besatzung!$F$16="x")*IFERROR(H72,0)/IFERROR(SUMPRODUCT((Besatzung!$B$11:$B$22&lt;&gt;"")*(Besatzung!$F$11:$F$22="x")*(IF(Besatzung!$C$11:$C$22="",Besatzung!$B$5,Besatzung!$C$11:$C$22)&lt;=B72)*(IF(Besatzung!$D$11:$D$22="",Besatzung!$B$6,Besatzung!$D$11:$D$22)&gt;=B72)),1)),IF(I72="An Bord",(((Besatzung!$B$15&lt;&gt;"")*IF(B72="",1,(IF(Besatzung!$C$16="",Besatzung!$B$5,Besatzung!$C$16)&lt;=B72)*(IF(Besatzung!$D$16="",Besatzung!$B$6,Besatzung!$D$16)&gt;=B72)))*((G72-IFERROR(H72,0))/IFERROR(SUMPRODUCT((Besatzung!$B$11:$B$22&lt;&gt;"")*(IF(Besatzung!$C$11:$C$22="",Besatzung!$B$5,Besatzung!$C$11:$C$22)&lt;=B72)*(IF(Besatzung!$D$11:$D$22="",Besatzung!$B$6,Besatzung!$D$11:$D$22)&gt;=B72)),1)+(Besatzung!$F$16="x")*IFERROR(H72,0)/IFERROR(SUMPRODUCT((Besatzung!$B$11:$B$22&lt;&gt;"")*(Besatzung!$F$11:$F$22="x")*(IF(Besatzung!$C$11:$C$22="",Besatzung!$B$5,Besatzung!$C$11:$C$22)&lt;=B72)*(IF(Besatzung!$D$11:$D$22="",Besatzung!$B$6,Besatzung!$D$11:$D$22)&gt;=B72)),1))),IF(I72="Individuell",((O72="x")*((G72-IFERROR(H72,0))/IFERROR(COUNTIF(J72:U72,"x"),1)+(Besatzung!$F$16="x")*IFERROR(H72,0)/IFERROR(SUMPRODUCT((J72:U72="x")*(Besatzung!$F$11:$F$22="x")),1))),(IF(COUNTIF(J72:U72,"x")=0,IF(Besatzung!$B$15&lt;&gt;"",1,0),(O72="x"))*(G72-IFERROR(H72,0))/IFERROR(IF(COUNTIF(J72:U72,"x")=0,COUNTA(Besatzung!$B$11:$B$22),COUNTIF(J72:U72,"x")),1)+IF(COUNTIF(J72:U72,"x")=0,(Besatzung!$F$16="x"),(O72="x")*(Besatzung!$F$16="x"))*IFERROR(H72,0)/IFERROR(IF(COUNTIF(J72:U72,"x")=0,SUMPRODUCT((Besatzung!$B$11:$B$22&lt;&gt;"")*(Besatzung!$F$11:$F$22="x")),SUMPRODUCT((J72:U72="x")*(Besatzung!$F$11:$F$22="x"))),1))))),0))))</f>
        <v/>
      </c>
      <c r="AB72" s="247">
        <f>IF(C72="Gutschrift","",IF(G72="","",IF(Besatzung!$B$17="","",IFERROR(IF(I72="Zeitanteilig",(Besatzung!$G$17*(G72-IFERROR(H72,0))+((Besatzung!$B$17&lt;&gt;"")*IF(B72="",1,(IF(Besatzung!$C$17="",Besatzung!$B$5,Besatzung!$C$17)&lt;=B72)*(IF(Besatzung!$D$17="",Besatzung!$B$6,Besatzung!$D$17)&gt;=B72)))*(Besatzung!$F$17="x")*IFERROR(H72,0)/IFERROR(SUMPRODUCT((Besatzung!$B$11:$B$22&lt;&gt;"")*(Besatzung!$F$11:$F$22="x")*(IF(Besatzung!$C$11:$C$22="",Besatzung!$B$5,Besatzung!$C$11:$C$22)&lt;=B72)*(IF(Besatzung!$D$11:$D$22="",Besatzung!$B$6,Besatzung!$D$11:$D$22)&gt;=B72)),1)),IF(I72="An Bord",(((Besatzung!$B$17&lt;&gt;"")*IF(B72="",1,(IF(Besatzung!$C$17="",Besatzung!$B$5,Besatzung!$C$17)&lt;=B72)*(IF(Besatzung!$D$17="",Besatzung!$B$6,Besatzung!$D$17)&gt;=B72)))*((G72-IFERROR(H72,0))/IFERROR(SUMPRODUCT((Besatzung!$B$11:$B$22&lt;&gt;"")*(IF(Besatzung!$C$11:$C$22="",Besatzung!$B$5,Besatzung!$C$11:$C$22)&lt;=B72)*(IF(Besatzung!$D$11:$D$22="",Besatzung!$B$6,Besatzung!$D$11:$D$22)&gt;=B72)),1)+(Besatzung!$F$17="x")*IFERROR(H72,0)/IFERROR(SUMPRODUCT((Besatzung!$B$11:$B$22&lt;&gt;"")*(Besatzung!$F$11:$F$22="x")*(IF(Besatzung!$C$11:$C$22="",Besatzung!$B$5,Besatzung!$C$11:$C$22)&lt;=B72)*(IF(Besatzung!$D$11:$D$22="",Besatzung!$B$6,Besatzung!$D$11:$D$22)&gt;=B72)),1))),IF(I72="Individuell",((P72="x")*((G72-IFERROR(H72,0))/IFERROR(COUNTIF(J72:U72,"x"),1)+(Besatzung!$F$17="x")*IFERROR(H72,0)/IFERROR(SUMPRODUCT((J72:U72="x")*(Besatzung!$F$11:$F$22="x")),1))),(IF(COUNTIF(J72:U72,"x")=0,IF(Besatzung!$B$17&lt;&gt;"",1,0),(P72="x"))*(G72-IFERROR(H72,0))/IFERROR(IF(COUNTIF(J72:U72,"x")=0,COUNTA(Besatzung!$B$11:$B$22),COUNTIF(J72:U72,"x")),1)+IF(COUNTIF(J72:U72,"x")=0,(Besatzung!$F$17="x"),(P72="x")*(Besatzung!$F$17="x"))*IFERROR(H72,0)/IFERROR(IF(COUNTIF(J72:U72,"x")=0,SUMPRODUCT((Besatzung!$B$11:$B$22&lt;&gt;"")*(Besatzung!$F$11:$F$22="x")),SUMPRODUCT((J72:U72="x")*(Besatzung!$F$11:$F$22="x"))),1))))),0))))</f>
        <v/>
      </c>
      <c r="AC72" s="247">
        <f>IF(C72="Gutschrift","",IF(G72="","",IF(Besatzung!$B$18="","",IFERROR(IF(I72="Zeitanteilig",(Besatzung!$G$18*(G72-IFERROR(H72,0))+((Besatzung!$B$18&lt;&gt;"")*IF(B72="",1,(IF(Besatzung!$C$18="",Besatzung!$B$5,Besatzung!$C$18)&lt;=B72)*(IF(Besatzung!$D$18="",Besatzung!$B$6,Besatzung!$D$18)&gt;=B72)))*(Besatzung!$F$18="x")*IFERROR(H72,0)/IFERROR(SUMPRODUCT((Besatzung!$B$11:$B$22&lt;&gt;"")*(Besatzung!$F$11:$F$22="x")*(IF(Besatzung!$C$11:$C$22="",Besatzung!$B$5,Besatzung!$C$11:$C$22)&lt;=B72)*(IF(Besatzung!$D$11:$D$22="",Besatzung!$B$6,Besatzung!$D$11:$D$22)&gt;=B72)),1)),IF(I72="An Bord",(((Besatzung!$B$18&lt;&gt;"")*IF(B72="",1,(IF(Besatzung!$C$18="",Besatzung!$B$5,Besatzung!$C$18)&lt;=B72)*(IF(Besatzung!$D$18="",Besatzung!$B$6,Besatzung!$D$18)&gt;=B72)))*((G72-IFERROR(H72,0))/IFERROR(SUMPRODUCT((Besatzung!$B$11:$B$22&lt;&gt;"")*(IF(Besatzung!$C$11:$C$22="",Besatzung!$B$5,Besatzung!$C$11:$C$22)&lt;=B72)*(IF(Besatzung!$D$11:$D$22="",Besatzung!$B$6,Besatzung!$D$11:$D$22)&gt;=B72)),1)+(Besatzung!$F$18="x")*IFERROR(H72,0)/IFERROR(SUMPRODUCT((Besatzung!$B$11:$B$22&lt;&gt;"")*(Besatzung!$F$11:$F$22="x")*(IF(Besatzung!$C$11:$C$22="",Besatzung!$B$5,Besatzung!$C$11:$C$22)&lt;=B72)*(IF(Besatzung!$D$11:$D$22="",Besatzung!$B$6,Besatzung!$D$11:$D$22)&gt;=B72)),1))),IF(I72="Individuell",((Q72="x")*((G72-IFERROR(H72,0))/IFERROR(COUNTIF(J72:U72,"x"),1)+(Besatzung!$F$18="x")*IFERROR(H72,0)/IFERROR(SUMPRODUCT((J72:U72="x")*(Besatzung!$F$11:$F$22="x")),1))),(IF(COUNTIF(J72:U72,"x")=0,IF(Besatzung!$B$18&lt;&gt;"",1,0),(Q72="x"))*(G72-IFERROR(H72,0))/IFERROR(IF(COUNTIF(J72:U72,"x")=0,COUNTA(Besatzung!$B$11:$B$22),COUNTIF(J72:U72,"x")),1)+IF(COUNTIF(J72:U72,"x")=0,(Besatzung!$F$18="x"),(Q72="x")*(Besatzung!$F$18="x"))*IFERROR(H72,0)/IFERROR(IF(COUNTIF(J72:U72,"x")=0,SUMPRODUCT((Besatzung!$B$11:$B$22&lt;&gt;"")*(Besatzung!$F$11:$F$22="x")),SUMPRODUCT((J72:U72="x")*(Besatzung!$F$11:$F$22="x"))),1))))),0))))</f>
        <v/>
      </c>
      <c r="AD72" s="247">
        <f>IF(C72="Gutschrift","",IF(G72="","",IF(Besatzung!$B$19="","",IFERROR(IF(I72="Zeitanteilig",(Besatzung!$G$19*(G72-IFERROR(H72,0))+((Besatzung!$B$19&lt;&gt;"")*IF(B72="",1,(IF(Besatzung!$C$19="",Besatzung!$B$5,Besatzung!$C$19)&lt;=B72)*(IF(Besatzung!$D$19="",Besatzung!$B$6,Besatzung!$D$19)&gt;=B72)))*(Besatzung!$F$19="x")*IFERROR(H72,0)/IFERROR(SUMPRODUCT((Besatzung!$B$11:$B$22&lt;&gt;"")*(Besatzung!$F$11:$F$22="x")*(IF(Besatzung!$C$11:$C$22="",Besatzung!$B$5,Besatzung!$C$11:$C$22)&lt;=B72)*(IF(Besatzung!$D$11:$D$22="",Besatzung!$B$6,Besatzung!$D$11:$D$22)&gt;=B72)),1)),IF(I72="An Bord",(((Besatzung!$B$19&lt;&gt;"")*IF(B72="",1,(IF(Besatzung!$C$19="",Besatzung!$B$5,Besatzung!$C$19)&lt;=B72)*(IF(Besatzung!$D$19="",Besatzung!$B$6,Besatzung!$D$19)&gt;=B72)))*((G72-IFERROR(H72,0))/IFERROR(SUMPRODUCT((Besatzung!$B$11:$B$22&lt;&gt;"")*(IF(Besatzung!$C$11:$C$22="",Besatzung!$B$5,Besatzung!$C$11:$C$22)&lt;=B72)*(IF(Besatzung!$D$11:$D$22="",Besatzung!$B$6,Besatzung!$D$11:$D$22)&gt;=B72)),1)+(Besatzung!$F$19="x")*IFERROR(H72,0)/IFERROR(SUMPRODUCT((Besatzung!$B$11:$B$22&lt;&gt;"")*(Besatzung!$F$11:$F$22="x")*(IF(Besatzung!$C$11:$C$22="",Besatzung!$B$5,Besatzung!$C$11:$C$22)&lt;=B72)*(IF(Besatzung!$D$11:$D$22="",Besatzung!$B$6,Besatzung!$D$11:$D$22)&gt;=B72)),1))),IF(I72="Individuell",((R72="x")*((G72-IFERROR(H72,0))/IFERROR(COUNTIF(J72:U72,"x"),1)+(Besatzung!$F$19="x")*IFERROR(H72,0)/IFERROR(SUMPRODUCT((J72:U72="x")*(Besatzung!$F$11:$F$22="x")),1))),(IF(COUNTIF(J72:U72,"x")=0,IF(Besatzung!$B$19&lt;&gt;"",1,0),(R72="x"))*(G72-IFERROR(H72,0))/IFERROR(IF(COUNTIF(J72:U72,"x")=0,COUNTA(Besatzung!$B$11:$B$22),COUNTIF(J72:U72,"x")),1)+IF(COUNTIF(J72:U72,"x")=0,(Besatzung!$F$19="x"),(R72="x")*(Besatzung!$F$19="x"))*IFERROR(H72,0)/IFERROR(IF(COUNTIF(J72:U72,"x")=0,SUMPRODUCT((Besatzung!$B$11:$B$22&lt;&gt;"")*(Besatzung!$F$11:$F$22="x")),SUMPRODUCT((J72:U72="x")*(Besatzung!$F$11:$F$22="x"))),1))))),0))))</f>
        <v/>
      </c>
      <c r="AE72" s="247">
        <f>IF(C72="Gutschrift","",IF(G72="","",IF(Besatzung!$B$20="","",IFERROR(IF(I72="Zeitanteilig",(Besatzung!$G$20*(G72-IFERROR(H72,0))+((Besatzung!$B$20&lt;&gt;"")*IF(B72="",1,(IF(Besatzung!$C$20="",Besatzung!$B$5,Besatzung!$C$20)&lt;=B72)*(IF(Besatzung!$D$20="",Besatzung!$B$6,Besatzung!$D$20)&gt;=B72)))*(Besatzung!$F$20="x")*IFERROR(H72,0)/IFERROR(SUMPRODUCT((Besatzung!$B$11:$B$22&lt;&gt;"")*(Besatzung!$F$11:$F$22="x")*(IF(Besatzung!$C$11:$C$22="",Besatzung!$B$5,Besatzung!$C$11:$C$22)&lt;=B72)*(IF(Besatzung!$D$11:$D$22="",Besatzung!$B$6,Besatzung!$D$11:$D$22)&gt;=B72)),1)),IF(I72="An Bord",(((Besatzung!$B$20&lt;&gt;"")*IF(B72="",1,(IF(Besatzung!$C$20="",Besatzung!$B$5,Besatzung!$C$20)&lt;=B72)*(IF(Besatzung!$D$20="",Besatzung!$B$6,Besatzung!$D$20)&gt;=B72)))*((G72-IFERROR(H72,0))/IFERROR(SUMPRODUCT((Besatzung!$B$11:$B$22&lt;&gt;"")*(IF(Besatzung!$C$11:$C$22="",Besatzung!$B$5,Besatzung!$C$11:$C$22)&lt;=B72)*(IF(Besatzung!$D$11:$D$22="",Besatzung!$B$6,Besatzung!$D$11:$D$22)&gt;=B72)),1)+(Besatzung!$F$20="x")*IFERROR(H72,0)/IFERROR(SUMPRODUCT((Besatzung!$B$11:$B$22&lt;&gt;"")*(Besatzung!$F$11:$F$22="x")*(IF(Besatzung!$C$11:$C$22="",Besatzung!$B$5,Besatzung!$C$11:$C$22)&lt;=B72)*(IF(Besatzung!$D$11:$D$22="",Besatzung!$B$6,Besatzung!$D$11:$D$22)&gt;=B72)),1))),IF(I72="Individuell",((S72="x")*((G72-IFERROR(H72,0))/IFERROR(COUNTIF(J72:U72,"x"),1)+(Besatzung!$F$20="x")*IFERROR(H72,0)/IFERROR(SUMPRODUCT((J72:U72="x")*(Besatzung!$F$11:$F$22="x")),1))),(IF(COUNTIF(J72:U72,"x")=0,IF(Besatzung!$B$20&lt;&gt;"",1,0),(S72="x"))*(G72-IFERROR(H72,0))/IFERROR(IF(COUNTIF(J72:U72,"x")=0,COUNTA(Besatzung!$B$11:$B$22),COUNTIF(J72:U72,"x")),1)+IF(COUNTIF(J72:U72,"x")=0,(Besatzung!$F$20="x"),(S72="x")*(Besatzung!$F$20="x"))*IFERROR(H72,0)/IFERROR(IF(COUNTIF(J72:U72,"x")=0,SUMPRODUCT((Besatzung!$B$11:$B$22&lt;&gt;"")*(Besatzung!$F$11:$F$22="x")),SUMPRODUCT((J72:U72="x")*(Besatzung!$F$11:$F$22="x"))),1))))),0))))</f>
        <v/>
      </c>
      <c r="AF72" s="247">
        <f>IF(C72="Gutschrift","",IF(G72="","",IF(Besatzung!$B$21="","",IFERROR(IF(I72="Zeitanteilig",(Besatzung!$G$21*(G72-IFERROR(H72,0))+((Besatzung!$B$21&lt;&gt;"")*IF(B72="",1,(IF(Besatzung!$C$21="",Besatzung!$B$5,Besatzung!$C$21)&lt;=B72)*(IF(Besatzung!$D$21="",Besatzung!$B$6,Besatzung!$D$21)&gt;=B72)))*(Besatzung!$F$21="x")*IFERROR(H72,0)/IFERROR(SUMPRODUCT((Besatzung!$B$11:$B$22&lt;&gt;"")*(Besatzung!$F$11:$F$22="x")*(IF(Besatzung!$C$11:$C$22="",Besatzung!$B$5,Besatzung!$C$11:$C$22)&lt;=B72)*(IF(Besatzung!$D$11:$D$22="",Besatzung!$B$6,Besatzung!$D$11:$D$22)&gt;=B72)),1)),IF(I72="An Bord",(((Besatzung!$B$21&lt;&gt;"")*IF(B72="",1,(IF(Besatzung!$C$21="",Besatzung!$B$5,Besatzung!$C$21)&lt;=B72)*(IF(Besatzung!$D$21="",Besatzung!$B$6,Besatzung!$D$21)&gt;=B72)))*((G72-IFERROR(H72,0))/IFERROR(SUMPRODUCT((Besatzung!$B$11:$B$22&lt;&gt;"")*(IF(Besatzung!$C$11:$C$22="",Besatzung!$B$5,Besatzung!$C$11:$C$22)&lt;=B72)*(IF(Besatzung!$D$11:$D$22="",Besatzung!$B$6,Besatzung!$D$11:$D$22)&gt;=B72)),1)+(Besatzung!$F$21="x")*IFERROR(H72,0)/IFERROR(SUMPRODUCT((Besatzung!$B$11:$B$22&lt;&gt;"")*(Besatzung!$F$11:$F$22="x")*(IF(Besatzung!$C$11:$C$22="",Besatzung!$B$5,Besatzung!$C$11:$C$22)&lt;=B72)*(IF(Besatzung!$D$11:$D$22="",Besatzung!$B$6,Besatzung!$D$11:$D$22)&gt;=B72)),1))),IF(I72="Individuell",((T72="x")*((G72-IFERROR(H72,0))/IFERROR(COUNTIF(J72:U72,"x"),1)+(Besatzung!$F$21="x")*IFERROR(H72,0)/IFERROR(SUMPRODUCT((J72:U72="x")*(Besatzung!$F$11:$F$22="x")),1))),(IF(COUNTIF(J72:U72,"x")=0,IF(Besatzung!$B$21&lt;&gt;"",1,0),(T72="x"))*(G72-IFERROR(H72,0))/IFERROR(IF(COUNTIF(J72:U72,"x")=0,COUNTA(Besatzung!$B$11:$B$22),COUNTIF(J72:U72,"x")),1)+IF(COUNTIF(J72:U72,"x")=0,(Besatzung!$F$21="x"),(T72="x")*(Besatzung!$F$21="x"))*IFERROR(H72,0)/IFERROR(IF(COUNTIF(J72:U72,"x")=0,SUMPRODUCT((Besatzung!$B$11:$B$22&lt;&gt;"")*(Besatzung!$F$11:$F$22="x")),SUMPRODUCT((J72:U72="x")*(Besatzung!$F$11:$F$22="x"))),1))))),0))))</f>
        <v/>
      </c>
      <c r="AG72" s="247">
        <f>IF(C72="Gutschrift","",IF(G72="","",IF(Besatzung!$B$22="","",IFERROR(IF(I72="Zeitanteilig",(Besatzung!$G$22*(G72-IFERROR(H72,0))+((Besatzung!$B$22&lt;&gt;"")*IF(B72="",1,(IF(Besatzung!$C$22="",Besatzung!$B$5,Besatzung!$C$22)&lt;=B72)*(IF(Besatzung!$D$22="",Besatzung!$B$6,Besatzung!$D$22)&gt;=B72)))*(Besatzung!$F$22="x")*IFERROR(H72,0)/IFERROR(SUMPRODUCT((Besatzung!$B$11:$B$22&lt;&gt;"")*(Besatzung!$F$11:$F$22="x")*(IF(Besatzung!$C$11:$C$22="",Besatzung!$B$5,Besatzung!$C$11:$C$22)&lt;=B72)*(IF(Besatzung!$D$11:$D$22="",Besatzung!$B$6,Besatzung!$D$11:$D$22)&gt;=B72)),1)),IF(I72="An Bord",(((Besatzung!$B$22&lt;&gt;"")*IF(B72="",1,(IF(Besatzung!$C$22="",Besatzung!$B$5,Besatzung!$C$22)&lt;=B72)*(IF(Besatzung!$D$22="",Besatzung!$B$6,Besatzung!$D$22)&gt;=B72)))*((G72-IFERROR(H72,0))/IFERROR(SUMPRODUCT((Besatzung!$B$11:$B$22&lt;&gt;"")*(IF(Besatzung!$C$11:$C$22="",Besatzung!$B$5,Besatzung!$C$11:$C$22)&lt;=B72)*(IF(Besatzung!$D$11:$D$22="",Besatzung!$B$6,Besatzung!$D$11:$D$22)&gt;=B72)),1)+(Besatzung!$F$22="x")*IFERROR(H72,0)/IFERROR(SUMPRODUCT((Besatzung!$B$11:$B$22&lt;&gt;"")*(Besatzung!$F$11:$F$22="x")*(IF(Besatzung!$C$11:$C$22="",Besatzung!$B$5,Besatzung!$C$11:$C$22)&lt;=B72)*(IF(Besatzung!$D$11:$D$22="",Besatzung!$B$6,Besatzung!$D$11:$D$22)&gt;=B72)),1))),IF(I72="Individuell",((U72="x")*((G72-IFERROR(H72,0))/IFERROR(COUNTIF(J72:U72,"x"),1)+(Besatzung!$F$22="x")*IFERROR(H72,0)/IFERROR(SUMPRODUCT((J72:U72="x")*(Besatzung!$F$11:$F$22="x")),1))),(IF(COUNTIF(J72:U72,"x")=0,IF(Besatzung!$B$22&lt;&gt;"",1,0),(U72="x"))*(G72-IFERROR(H72,0))/IFERROR(IF(COUNTIF(J72:U72,"x")=0,COUNTA(Besatzung!$B$11:$B$22),COUNTIF(J72:U72,"x")),1)+IF(COUNTIF(J72:U72,"x")=0,(Besatzung!$F$22="x"),(U72="x")*(Besatzung!$F$22="x"))*IFERROR(H72,0)/IFERROR(IF(COUNTIF(J72:U72,"x")=0,SUMPRODUCT((Besatzung!$B$11:$B$22&lt;&gt;"")*(Besatzung!$F$11:$F$22="x")),SUMPRODUCT((J72:U72="x")*(Besatzung!$F$11:$F$22="x"))),1))))),0))))</f>
        <v/>
      </c>
      <c r="AH72" s="248" t="n"/>
      <c r="AI72" s="248" t="n"/>
    </row>
    <row r="73" ht="21.75" customHeight="1" s="154">
      <c r="A73" s="238">
        <f>IF(AND(D73="",C73=""),"",70)</f>
        <v/>
      </c>
      <c r="B73" s="206" t="n"/>
      <c r="C73" s="249" t="n"/>
      <c r="D73" s="250" t="n"/>
      <c r="E73" s="251" t="n"/>
      <c r="F73" s="252" t="n"/>
      <c r="G73" s="253" t="n"/>
      <c r="H73" s="254" t="n"/>
      <c r="I73" s="255" t="n"/>
      <c r="J73" s="256" t="n"/>
      <c r="K73" s="256" t="n"/>
      <c r="L73" s="256" t="n"/>
      <c r="M73" s="256" t="n"/>
      <c r="N73" s="256" t="n"/>
      <c r="O73" s="256" t="n"/>
      <c r="P73" s="256" t="n"/>
      <c r="Q73" s="256" t="n"/>
      <c r="R73" s="256" t="n"/>
      <c r="S73" s="256" t="n"/>
      <c r="T73" s="256" t="n"/>
      <c r="U73" s="256" t="n"/>
      <c r="V73" s="247">
        <f>IF(C73="Gutschrift","",IF(G73="","",IF(Besatzung!$B$11="","",IFERROR(IF(I73="Zeitanteilig",(Besatzung!$G$11*(G73-IFERROR(H73,0))+((Besatzung!$B$11&lt;&gt;"")*IF(B73="",1,(IF(Besatzung!$C$11="",Besatzung!$B$5,Besatzung!$C$11)&lt;=B73)*(IF(Besatzung!$D$11="",Besatzung!$B$6,Besatzung!$D$11)&gt;=B73)))*(Besatzung!$F$11="x")*IFERROR(H73,0)/IFERROR(SUMPRODUCT((Besatzung!$B$11:$B$22&lt;&gt;"")*(Besatzung!$F$11:$F$22="x")*(IF(Besatzung!$C$11:$C$22="",Besatzung!$B$5,Besatzung!$C$11:$C$22)&lt;=B73)*(IF(Besatzung!$D$11:$D$22="",Besatzung!$B$6,Besatzung!$D$11:$D$22)&gt;=B73)),1)),IF(I73="An Bord",(((Besatzung!$B$11&lt;&gt;"")*IF(B73="",1,(IF(Besatzung!$C$11="",Besatzung!$B$5,Besatzung!$C$11)&lt;=B73)*(IF(Besatzung!$D$11="",Besatzung!$B$6,Besatzung!$D$11)&gt;=B73)))*((G73-IFERROR(H73,0))/IFERROR(SUMPRODUCT((Besatzung!$B$11:$B$22&lt;&gt;"")*(IF(Besatzung!$C$11:$C$22="",Besatzung!$B$5,Besatzung!$C$11:$C$22)&lt;=B73)*(IF(Besatzung!$D$11:$D$22="",Besatzung!$B$6,Besatzung!$D$11:$D$22)&gt;=B73)),1)+(Besatzung!$F$11="x")*IFERROR(H73,0)/IFERROR(SUMPRODUCT((Besatzung!$B$11:$B$22&lt;&gt;"")*(Besatzung!$F$11:$F$22="x")*(IF(Besatzung!$C$11:$C$22="",Besatzung!$B$5,Besatzung!$C$11:$C$22)&lt;=B73)*(IF(Besatzung!$D$11:$D$22="",Besatzung!$B$6,Besatzung!$D$11:$D$22)&gt;=B73)),1))),IF(I73="Individuell",((J73="x")*((G73-IFERROR(H73,0))/IFERROR(COUNTIF(J73:U73,"x"),1)+(Besatzung!$F$11="x")*IFERROR(H73,0)/IFERROR(SUMPRODUCT((J73:U73="x")*(Besatzung!$F$11:$F$22="x")),1))),(IF(COUNTIF(J73:U73,"x")=0,IF(Besatzung!$B$11&lt;&gt;"",1,0),(J73="x"))*(G73-IFERROR(H73,0))/IFERROR(IF(COUNTIF(J73:U73,"x")=0,COUNTA(Besatzung!$B$11:$B$22),COUNTIF(J73:U73,"x")),1)+IF(COUNTIF(J73:U73,"x")=0,(Besatzung!$F$11="x"),(J73="x")*(Besatzung!$F$11="x"))*IFERROR(H73,0)/IFERROR(IF(COUNTIF(J73:U73,"x")=0,SUMPRODUCT((Besatzung!$B$11:$B$22&lt;&gt;"")*(Besatzung!$F$11:$F$22="x")),SUMPRODUCT((J73:U73="x")*(Besatzung!$F$11:$F$22="x"))),1))))),0))))</f>
        <v/>
      </c>
      <c r="W73" s="247">
        <f>IF(C73="Gutschrift","",IF(G73="","",IF(Besatzung!$B$12="","",IFERROR(IF(I73="Zeitanteilig",(Besatzung!$G$12*(G73-IFERROR(H73,0))+((Besatzung!$B$12&lt;&gt;"")*IF(B73="",1,(IF(Besatzung!$C$12="",Besatzung!$B$5,Besatzung!$C$12)&lt;=B73)*(IF(Besatzung!$D$12="",Besatzung!$B$6,Besatzung!$D$12)&gt;=B73)))*(Besatzung!$F$12="x")*IFERROR(H73,0)/IFERROR(SUMPRODUCT((Besatzung!$B$11:$B$22&lt;&gt;"")*(Besatzung!$F$11:$F$22="x")*(IF(Besatzung!$C$11:$C$22="",Besatzung!$B$5,Besatzung!$C$11:$C$22)&lt;=B73)*(IF(Besatzung!$D$11:$D$22="",Besatzung!$B$6,Besatzung!$D$11:$D$22)&gt;=B73)),1)),IF(I73="An Bord",(((Besatzung!$B$12&lt;&gt;"")*IF(B73="",1,(IF(Besatzung!$C$12="",Besatzung!$B$5,Besatzung!$C$12)&lt;=B73)*(IF(Besatzung!$D$12="",Besatzung!$B$6,Besatzung!$D$12)&gt;=B73)))*((G73-IFERROR(H73,0))/IFERROR(SUMPRODUCT((Besatzung!$B$11:$B$22&lt;&gt;"")*(IF(Besatzung!$C$11:$C$22="",Besatzung!$B$5,Besatzung!$C$11:$C$22)&lt;=B73)*(IF(Besatzung!$D$11:$D$22="",Besatzung!$B$6,Besatzung!$D$11:$D$22)&gt;=B73)),1)+(Besatzung!$F$12="x")*IFERROR(H73,0)/IFERROR(SUMPRODUCT((Besatzung!$B$11:$B$22&lt;&gt;"")*(Besatzung!$F$11:$F$22="x")*(IF(Besatzung!$C$11:$C$22="",Besatzung!$B$5,Besatzung!$C$11:$C$22)&lt;=B73)*(IF(Besatzung!$D$11:$D$22="",Besatzung!$B$6,Besatzung!$D$11:$D$22)&gt;=B73)),1))),IF(I73="Individuell",((K73="x")*((G73-IFERROR(H73,0))/IFERROR(COUNTIF(J73:U73,"x"),1)+(Besatzung!$F$12="x")*IFERROR(H73,0)/IFERROR(SUMPRODUCT((J73:U73="x")*(Besatzung!$F$11:$F$22="x")),1))),(IF(COUNTIF(J73:U73,"x")=0,IF(Besatzung!$B$12&lt;&gt;"",1,0),(K73="x"))*(G73-IFERROR(H73,0))/IFERROR(IF(COUNTIF(J73:U73,"x")=0,COUNTA(Besatzung!$B$11:$B$22),COUNTIF(J73:U73,"x")),1)+IF(COUNTIF(J73:U73,"x")=0,(Besatzung!$F$12="x"),(K73="x")*(Besatzung!$F$12="x"))*IFERROR(H73,0)/IFERROR(IF(COUNTIF(J73:U73,"x")=0,SUMPRODUCT((Besatzung!$B$11:$B$22&lt;&gt;"")*(Besatzung!$F$11:$F$22="x")),SUMPRODUCT((J73:U73="x")*(Besatzung!$F$11:$F$22="x"))),1))))),0))))</f>
        <v/>
      </c>
      <c r="X73" s="247">
        <f>IF(C73="Gutschrift","",IF(G73="","",IF(Besatzung!$B$13="","",IFERROR(IF(I73="Zeitanteilig",(Besatzung!$G$13*(G73-IFERROR(H73,0))+((Besatzung!$B$13&lt;&gt;"")*IF(B73="",1,(IF(Besatzung!$C$13="",Besatzung!$B$5,Besatzung!$C$13)&lt;=B73)*(IF(Besatzung!$D$13="",Besatzung!$B$6,Besatzung!$D$13)&gt;=B73)))*(Besatzung!$F$13="x")*IFERROR(H73,0)/IFERROR(SUMPRODUCT((Besatzung!$B$11:$B$22&lt;&gt;"")*(Besatzung!$F$11:$F$22="x")*(IF(Besatzung!$C$11:$C$22="",Besatzung!$B$5,Besatzung!$C$11:$C$22)&lt;=B73)*(IF(Besatzung!$D$11:$D$22="",Besatzung!$B$6,Besatzung!$D$11:$D$22)&gt;=B73)),1)),IF(I73="An Bord",(((Besatzung!$B$13&lt;&gt;"")*IF(B73="",1,(IF(Besatzung!$C$13="",Besatzung!$B$5,Besatzung!$C$13)&lt;=B73)*(IF(Besatzung!$D$13="",Besatzung!$B$6,Besatzung!$D$13)&gt;=B73)))*((G73-IFERROR(H73,0))/IFERROR(SUMPRODUCT((Besatzung!$B$11:$B$22&lt;&gt;"")*(IF(Besatzung!$C$11:$C$22="",Besatzung!$B$5,Besatzung!$C$11:$C$22)&lt;=B73)*(IF(Besatzung!$D$11:$D$22="",Besatzung!$B$6,Besatzung!$D$11:$D$22)&gt;=B73)),1)+(Besatzung!$F$13="x")*IFERROR(H73,0)/IFERROR(SUMPRODUCT((Besatzung!$B$11:$B$22&lt;&gt;"")*(Besatzung!$F$11:$F$22="x")*(IF(Besatzung!$C$11:$C$22="",Besatzung!$B$5,Besatzung!$C$11:$C$22)&lt;=B73)*(IF(Besatzung!$D$11:$D$22="",Besatzung!$B$6,Besatzung!$D$11:$D$22)&gt;=B73)),1))),IF(I73="Individuell",((K73="x")*((G73-IFERROR(H73,0))/IFERROR(COUNTIF(J73:U73,"x"),1)+(Besatzung!$F$13="x")*IFERROR(H73,0)/IFERROR(SUMPRODUCT((J73:U73="x")*(Besatzung!$F$11:$F$22="x")),1))),(IF(COUNTIF(J73:U73,"x")=0,IF(Besatzung!$B$13&lt;&gt;"",1,0),(K73="x"))*(G73-IFERROR(H73,0))/IFERROR(IF(COUNTIF(J73:U73,"x")=0,COUNTA(Besatzung!$B$11:$B$22),COUNTIF(J73:U73,"x")),1)+IF(COUNTIF(J73:U73,"x")=0,(Besatzung!$F$13="x"),(K73="x")*(Besatzung!$F$13="x"))*IFERROR(H73,0)/IFERROR(IF(COUNTIF(J73:U73,"x")=0,SUMPRODUCT((Besatzung!$B$11:$B$22&lt;&gt;"")*(Besatzung!$F$11:$F$22="x")),SUMPRODUCT((J73:U73="x")*(Besatzung!$F$11:$F$22="x"))),1))))),0))))</f>
        <v/>
      </c>
      <c r="Y73" s="247">
        <f>IF(C73="Gutschrift","",IF(G73="","",IF(Besatzung!$B$14="","",IFERROR(IF(I73="Zeitanteilig",(Besatzung!$G$14*(G73-IFERROR(H73,0))+((Besatzung!$B$14&lt;&gt;"")*IF(B73="",1,(IF(Besatzung!$C$14="",Besatzung!$B$5,Besatzung!$C$14)&lt;=B73)*(IF(Besatzung!$D$14="",Besatzung!$B$6,Besatzung!$D$14)&gt;=B73)))*(Besatzung!$F$14="x")*IFERROR(H73,0)/IFERROR(SUMPRODUCT((Besatzung!$B$11:$B$22&lt;&gt;"")*(Besatzung!$F$11:$F$22="x")*(IF(Besatzung!$C$11:$C$22="",Besatzung!$B$5,Besatzung!$C$11:$C$22)&lt;=B73)*(IF(Besatzung!$D$11:$D$22="",Besatzung!$B$6,Besatzung!$D$11:$D$22)&gt;=B73)),1)),IF(I73="An Bord",(((Besatzung!$B$14&lt;&gt;"")*IF(B73="",1,(IF(Besatzung!$C$14="",Besatzung!$B$5,Besatzung!$C$14)&lt;=B73)*(IF(Besatzung!$D$14="",Besatzung!$B$6,Besatzung!$D$14)&gt;=B73)))*((G73-IFERROR(H73,0))/IFERROR(SUMPRODUCT((Besatzung!$B$11:$B$22&lt;&gt;"")*(IF(Besatzung!$C$11:$C$22="",Besatzung!$B$5,Besatzung!$C$11:$C$22)&lt;=B73)*(IF(Besatzung!$D$11:$D$22="",Besatzung!$B$6,Besatzung!$D$11:$D$22)&gt;=B73)),1)+(Besatzung!$F$14="x")*IFERROR(H73,0)/IFERROR(SUMPRODUCT((Besatzung!$B$11:$B$22&lt;&gt;"")*(Besatzung!$F$11:$F$22="x")*(IF(Besatzung!$C$11:$C$22="",Besatzung!$B$5,Besatzung!$C$11:$C$22)&lt;=B73)*(IF(Besatzung!$D$11:$D$22="",Besatzung!$B$6,Besatzung!$D$11:$D$22)&gt;=B73)),1))),IF(I73="Individuell",((M73="x")*((G73-IFERROR(H73,0))/IFERROR(COUNTIF(J73:U73,"x"),1)+(Besatzung!$F$14="x")*IFERROR(H73,0)/IFERROR(SUMPRODUCT((J73:U73="x")*(Besatzung!$F$11:$F$22="x")),1))),(IF(COUNTIF(J73:U73,"x")=0,IF(Besatzung!$B$14&lt;&gt;"",1,0),(M73="x"))*(G73-IFERROR(H73,0))/IFERROR(IF(COUNTIF(J73:U73,"x")=0,COUNTA(Besatzung!$B$11:$B$22),COUNTIF(J73:U73,"x")),1)+IF(COUNTIF(J73:U73,"x")=0,(Besatzung!$F$14="x"),(M73="x")*(Besatzung!$F$14="x"))*IFERROR(H73,0)/IFERROR(IF(COUNTIF(J73:U73,"x")=0,SUMPRODUCT((Besatzung!$B$11:$B$22&lt;&gt;"")*(Besatzung!$F$11:$F$22="x")),SUMPRODUCT((J73:U73="x")*(Besatzung!$F$11:$F$22="x"))),1))))),0))))</f>
        <v/>
      </c>
      <c r="Z73" s="247">
        <f>IF(C73="Gutschrift","",IF(G73="","",IF(Besatzung!$B$13="","",IFERROR(IF(I73="Zeitanteilig",(Besatzung!$G$15*(G73-IFERROR(H73,0))+((Besatzung!$B$13&lt;&gt;"")*IF(B73="",1,(IF(Besatzung!$C$15="",Besatzung!$B$5,Besatzung!$C$15)&lt;=B73)*(IF(Besatzung!$D$15="",Besatzung!$B$6,Besatzung!$D$15)&gt;=B73)))*(Besatzung!$F$15="x")*IFERROR(H73,0)/IFERROR(SUMPRODUCT((Besatzung!$B$11:$B$22&lt;&gt;"")*(Besatzung!$F$11:$F$22="x")*(IF(Besatzung!$C$11:$C$22="",Besatzung!$B$5,Besatzung!$C$11:$C$22)&lt;=B73)*(IF(Besatzung!$D$11:$D$22="",Besatzung!$B$6,Besatzung!$D$11:$D$22)&gt;=B73)),1)),IF(I73="An Bord",(((Besatzung!$B$13&lt;&gt;"")*IF(B73="",1,(IF(Besatzung!$C$15="",Besatzung!$B$5,Besatzung!$C$15)&lt;=B73)*(IF(Besatzung!$D$15="",Besatzung!$B$6,Besatzung!$D$15)&gt;=B73)))*((G73-IFERROR(H73,0))/IFERROR(SUMPRODUCT((Besatzung!$B$11:$B$22&lt;&gt;"")*(IF(Besatzung!$C$11:$C$22="",Besatzung!$B$5,Besatzung!$C$11:$C$22)&lt;=B73)*(IF(Besatzung!$D$11:$D$22="",Besatzung!$B$6,Besatzung!$D$11:$D$22)&gt;=B73)),1)+(Besatzung!$F$15="x")*IFERROR(H73,0)/IFERROR(SUMPRODUCT((Besatzung!$B$11:$B$22&lt;&gt;"")*(Besatzung!$F$11:$F$22="x")*(IF(Besatzung!$C$11:$C$22="",Besatzung!$B$5,Besatzung!$C$11:$C$22)&lt;=B73)*(IF(Besatzung!$D$11:$D$22="",Besatzung!$B$6,Besatzung!$D$11:$D$22)&gt;=B73)),1))),IF(I73="Individuell",((N73="x")*((G73-IFERROR(H73,0))/IFERROR(COUNTIF(J73:U73,"x"),1)+(Besatzung!$F$15="x")*IFERROR(H73,0)/IFERROR(SUMPRODUCT((J73:U73="x")*(Besatzung!$F$11:$F$22="x")),1))),(IF(COUNTIF(J73:U73,"x")=0,IF(Besatzung!$B$13&lt;&gt;"",1,0),(N73="x"))*(G73-IFERROR(H73,0))/IFERROR(IF(COUNTIF(J73:U73,"x")=0,COUNTA(Besatzung!$B$11:$B$22),COUNTIF(J73:U73,"x")),1)+IF(COUNTIF(J73:U73,"x")=0,(Besatzung!$F$15="x"),(N73="x")*(Besatzung!$F$15="x"))*IFERROR(H73,0)/IFERROR(IF(COUNTIF(J73:U73,"x")=0,SUMPRODUCT((Besatzung!$B$11:$B$22&lt;&gt;"")*(Besatzung!$F$11:$F$22="x")),SUMPRODUCT((J73:U73="x")*(Besatzung!$F$11:$F$22="x"))),1))))),0))))</f>
        <v/>
      </c>
      <c r="AA73" s="247">
        <f>IF(C73="Gutschrift","",IF(G73="","",IF(Besatzung!$B$15="","",IFERROR(IF(I73="Zeitanteilig",(Besatzung!$G$16*(G73-IFERROR(H73,0))+((Besatzung!$B$15&lt;&gt;"")*IF(B73="",1,(IF(Besatzung!$C$16="",Besatzung!$B$5,Besatzung!$C$16)&lt;=B73)*(IF(Besatzung!$D$16="",Besatzung!$B$6,Besatzung!$D$16)&gt;=B73)))*(Besatzung!$F$16="x")*IFERROR(H73,0)/IFERROR(SUMPRODUCT((Besatzung!$B$11:$B$22&lt;&gt;"")*(Besatzung!$F$11:$F$22="x")*(IF(Besatzung!$C$11:$C$22="",Besatzung!$B$5,Besatzung!$C$11:$C$22)&lt;=B73)*(IF(Besatzung!$D$11:$D$22="",Besatzung!$B$6,Besatzung!$D$11:$D$22)&gt;=B73)),1)),IF(I73="An Bord",(((Besatzung!$B$15&lt;&gt;"")*IF(B73="",1,(IF(Besatzung!$C$16="",Besatzung!$B$5,Besatzung!$C$16)&lt;=B73)*(IF(Besatzung!$D$16="",Besatzung!$B$6,Besatzung!$D$16)&gt;=B73)))*((G73-IFERROR(H73,0))/IFERROR(SUMPRODUCT((Besatzung!$B$11:$B$22&lt;&gt;"")*(IF(Besatzung!$C$11:$C$22="",Besatzung!$B$5,Besatzung!$C$11:$C$22)&lt;=B73)*(IF(Besatzung!$D$11:$D$22="",Besatzung!$B$6,Besatzung!$D$11:$D$22)&gt;=B73)),1)+(Besatzung!$F$16="x")*IFERROR(H73,0)/IFERROR(SUMPRODUCT((Besatzung!$B$11:$B$22&lt;&gt;"")*(Besatzung!$F$11:$F$22="x")*(IF(Besatzung!$C$11:$C$22="",Besatzung!$B$5,Besatzung!$C$11:$C$22)&lt;=B73)*(IF(Besatzung!$D$11:$D$22="",Besatzung!$B$6,Besatzung!$D$11:$D$22)&gt;=B73)),1))),IF(I73="Individuell",((O73="x")*((G73-IFERROR(H73,0))/IFERROR(COUNTIF(J73:U73,"x"),1)+(Besatzung!$F$16="x")*IFERROR(H73,0)/IFERROR(SUMPRODUCT((J73:U73="x")*(Besatzung!$F$11:$F$22="x")),1))),(IF(COUNTIF(J73:U73,"x")=0,IF(Besatzung!$B$15&lt;&gt;"",1,0),(O73="x"))*(G73-IFERROR(H73,0))/IFERROR(IF(COUNTIF(J73:U73,"x")=0,COUNTA(Besatzung!$B$11:$B$22),COUNTIF(J73:U73,"x")),1)+IF(COUNTIF(J73:U73,"x")=0,(Besatzung!$F$16="x"),(O73="x")*(Besatzung!$F$16="x"))*IFERROR(H73,0)/IFERROR(IF(COUNTIF(J73:U73,"x")=0,SUMPRODUCT((Besatzung!$B$11:$B$22&lt;&gt;"")*(Besatzung!$F$11:$F$22="x")),SUMPRODUCT((J73:U73="x")*(Besatzung!$F$11:$F$22="x"))),1))))),0))))</f>
        <v/>
      </c>
      <c r="AB73" s="247">
        <f>IF(C73="Gutschrift","",IF(G73="","",IF(Besatzung!$B$17="","",IFERROR(IF(I73="Zeitanteilig",(Besatzung!$G$17*(G73-IFERROR(H73,0))+((Besatzung!$B$17&lt;&gt;"")*IF(B73="",1,(IF(Besatzung!$C$17="",Besatzung!$B$5,Besatzung!$C$17)&lt;=B73)*(IF(Besatzung!$D$17="",Besatzung!$B$6,Besatzung!$D$17)&gt;=B73)))*(Besatzung!$F$17="x")*IFERROR(H73,0)/IFERROR(SUMPRODUCT((Besatzung!$B$11:$B$22&lt;&gt;"")*(Besatzung!$F$11:$F$22="x")*(IF(Besatzung!$C$11:$C$22="",Besatzung!$B$5,Besatzung!$C$11:$C$22)&lt;=B73)*(IF(Besatzung!$D$11:$D$22="",Besatzung!$B$6,Besatzung!$D$11:$D$22)&gt;=B73)),1)),IF(I73="An Bord",(((Besatzung!$B$17&lt;&gt;"")*IF(B73="",1,(IF(Besatzung!$C$17="",Besatzung!$B$5,Besatzung!$C$17)&lt;=B73)*(IF(Besatzung!$D$17="",Besatzung!$B$6,Besatzung!$D$17)&gt;=B73)))*((G73-IFERROR(H73,0))/IFERROR(SUMPRODUCT((Besatzung!$B$11:$B$22&lt;&gt;"")*(IF(Besatzung!$C$11:$C$22="",Besatzung!$B$5,Besatzung!$C$11:$C$22)&lt;=B73)*(IF(Besatzung!$D$11:$D$22="",Besatzung!$B$6,Besatzung!$D$11:$D$22)&gt;=B73)),1)+(Besatzung!$F$17="x")*IFERROR(H73,0)/IFERROR(SUMPRODUCT((Besatzung!$B$11:$B$22&lt;&gt;"")*(Besatzung!$F$11:$F$22="x")*(IF(Besatzung!$C$11:$C$22="",Besatzung!$B$5,Besatzung!$C$11:$C$22)&lt;=B73)*(IF(Besatzung!$D$11:$D$22="",Besatzung!$B$6,Besatzung!$D$11:$D$22)&gt;=B73)),1))),IF(I73="Individuell",((P73="x")*((G73-IFERROR(H73,0))/IFERROR(COUNTIF(J73:U73,"x"),1)+(Besatzung!$F$17="x")*IFERROR(H73,0)/IFERROR(SUMPRODUCT((J73:U73="x")*(Besatzung!$F$11:$F$22="x")),1))),(IF(COUNTIF(J73:U73,"x")=0,IF(Besatzung!$B$17&lt;&gt;"",1,0),(P73="x"))*(G73-IFERROR(H73,0))/IFERROR(IF(COUNTIF(J73:U73,"x")=0,COUNTA(Besatzung!$B$11:$B$22),COUNTIF(J73:U73,"x")),1)+IF(COUNTIF(J73:U73,"x")=0,(Besatzung!$F$17="x"),(P73="x")*(Besatzung!$F$17="x"))*IFERROR(H73,0)/IFERROR(IF(COUNTIF(J73:U73,"x")=0,SUMPRODUCT((Besatzung!$B$11:$B$22&lt;&gt;"")*(Besatzung!$F$11:$F$22="x")),SUMPRODUCT((J73:U73="x")*(Besatzung!$F$11:$F$22="x"))),1))))),0))))</f>
        <v/>
      </c>
      <c r="AC73" s="247">
        <f>IF(C73="Gutschrift","",IF(G73="","",IF(Besatzung!$B$18="","",IFERROR(IF(I73="Zeitanteilig",(Besatzung!$G$18*(G73-IFERROR(H73,0))+((Besatzung!$B$18&lt;&gt;"")*IF(B73="",1,(IF(Besatzung!$C$18="",Besatzung!$B$5,Besatzung!$C$18)&lt;=B73)*(IF(Besatzung!$D$18="",Besatzung!$B$6,Besatzung!$D$18)&gt;=B73)))*(Besatzung!$F$18="x")*IFERROR(H73,0)/IFERROR(SUMPRODUCT((Besatzung!$B$11:$B$22&lt;&gt;"")*(Besatzung!$F$11:$F$22="x")*(IF(Besatzung!$C$11:$C$22="",Besatzung!$B$5,Besatzung!$C$11:$C$22)&lt;=B73)*(IF(Besatzung!$D$11:$D$22="",Besatzung!$B$6,Besatzung!$D$11:$D$22)&gt;=B73)),1)),IF(I73="An Bord",(((Besatzung!$B$18&lt;&gt;"")*IF(B73="",1,(IF(Besatzung!$C$18="",Besatzung!$B$5,Besatzung!$C$18)&lt;=B73)*(IF(Besatzung!$D$18="",Besatzung!$B$6,Besatzung!$D$18)&gt;=B73)))*((G73-IFERROR(H73,0))/IFERROR(SUMPRODUCT((Besatzung!$B$11:$B$22&lt;&gt;"")*(IF(Besatzung!$C$11:$C$22="",Besatzung!$B$5,Besatzung!$C$11:$C$22)&lt;=B73)*(IF(Besatzung!$D$11:$D$22="",Besatzung!$B$6,Besatzung!$D$11:$D$22)&gt;=B73)),1)+(Besatzung!$F$18="x")*IFERROR(H73,0)/IFERROR(SUMPRODUCT((Besatzung!$B$11:$B$22&lt;&gt;"")*(Besatzung!$F$11:$F$22="x")*(IF(Besatzung!$C$11:$C$22="",Besatzung!$B$5,Besatzung!$C$11:$C$22)&lt;=B73)*(IF(Besatzung!$D$11:$D$22="",Besatzung!$B$6,Besatzung!$D$11:$D$22)&gt;=B73)),1))),IF(I73="Individuell",((Q73="x")*((G73-IFERROR(H73,0))/IFERROR(COUNTIF(J73:U73,"x"),1)+(Besatzung!$F$18="x")*IFERROR(H73,0)/IFERROR(SUMPRODUCT((J73:U73="x")*(Besatzung!$F$11:$F$22="x")),1))),(IF(COUNTIF(J73:U73,"x")=0,IF(Besatzung!$B$18&lt;&gt;"",1,0),(Q73="x"))*(G73-IFERROR(H73,0))/IFERROR(IF(COUNTIF(J73:U73,"x")=0,COUNTA(Besatzung!$B$11:$B$22),COUNTIF(J73:U73,"x")),1)+IF(COUNTIF(J73:U73,"x")=0,(Besatzung!$F$18="x"),(Q73="x")*(Besatzung!$F$18="x"))*IFERROR(H73,0)/IFERROR(IF(COUNTIF(J73:U73,"x")=0,SUMPRODUCT((Besatzung!$B$11:$B$22&lt;&gt;"")*(Besatzung!$F$11:$F$22="x")),SUMPRODUCT((J73:U73="x")*(Besatzung!$F$11:$F$22="x"))),1))))),0))))</f>
        <v/>
      </c>
      <c r="AD73" s="247">
        <f>IF(C73="Gutschrift","",IF(G73="","",IF(Besatzung!$B$19="","",IFERROR(IF(I73="Zeitanteilig",(Besatzung!$G$19*(G73-IFERROR(H73,0))+((Besatzung!$B$19&lt;&gt;"")*IF(B73="",1,(IF(Besatzung!$C$19="",Besatzung!$B$5,Besatzung!$C$19)&lt;=B73)*(IF(Besatzung!$D$19="",Besatzung!$B$6,Besatzung!$D$19)&gt;=B73)))*(Besatzung!$F$19="x")*IFERROR(H73,0)/IFERROR(SUMPRODUCT((Besatzung!$B$11:$B$22&lt;&gt;"")*(Besatzung!$F$11:$F$22="x")*(IF(Besatzung!$C$11:$C$22="",Besatzung!$B$5,Besatzung!$C$11:$C$22)&lt;=B73)*(IF(Besatzung!$D$11:$D$22="",Besatzung!$B$6,Besatzung!$D$11:$D$22)&gt;=B73)),1)),IF(I73="An Bord",(((Besatzung!$B$19&lt;&gt;"")*IF(B73="",1,(IF(Besatzung!$C$19="",Besatzung!$B$5,Besatzung!$C$19)&lt;=B73)*(IF(Besatzung!$D$19="",Besatzung!$B$6,Besatzung!$D$19)&gt;=B73)))*((G73-IFERROR(H73,0))/IFERROR(SUMPRODUCT((Besatzung!$B$11:$B$22&lt;&gt;"")*(IF(Besatzung!$C$11:$C$22="",Besatzung!$B$5,Besatzung!$C$11:$C$22)&lt;=B73)*(IF(Besatzung!$D$11:$D$22="",Besatzung!$B$6,Besatzung!$D$11:$D$22)&gt;=B73)),1)+(Besatzung!$F$19="x")*IFERROR(H73,0)/IFERROR(SUMPRODUCT((Besatzung!$B$11:$B$22&lt;&gt;"")*(Besatzung!$F$11:$F$22="x")*(IF(Besatzung!$C$11:$C$22="",Besatzung!$B$5,Besatzung!$C$11:$C$22)&lt;=B73)*(IF(Besatzung!$D$11:$D$22="",Besatzung!$B$6,Besatzung!$D$11:$D$22)&gt;=B73)),1))),IF(I73="Individuell",((R73="x")*((G73-IFERROR(H73,0))/IFERROR(COUNTIF(J73:U73,"x"),1)+(Besatzung!$F$19="x")*IFERROR(H73,0)/IFERROR(SUMPRODUCT((J73:U73="x")*(Besatzung!$F$11:$F$22="x")),1))),(IF(COUNTIF(J73:U73,"x")=0,IF(Besatzung!$B$19&lt;&gt;"",1,0),(R73="x"))*(G73-IFERROR(H73,0))/IFERROR(IF(COUNTIF(J73:U73,"x")=0,COUNTA(Besatzung!$B$11:$B$22),COUNTIF(J73:U73,"x")),1)+IF(COUNTIF(J73:U73,"x")=0,(Besatzung!$F$19="x"),(R73="x")*(Besatzung!$F$19="x"))*IFERROR(H73,0)/IFERROR(IF(COUNTIF(J73:U73,"x")=0,SUMPRODUCT((Besatzung!$B$11:$B$22&lt;&gt;"")*(Besatzung!$F$11:$F$22="x")),SUMPRODUCT((J73:U73="x")*(Besatzung!$F$11:$F$22="x"))),1))))),0))))</f>
        <v/>
      </c>
      <c r="AE73" s="247">
        <f>IF(C73="Gutschrift","",IF(G73="","",IF(Besatzung!$B$20="","",IFERROR(IF(I73="Zeitanteilig",(Besatzung!$G$20*(G73-IFERROR(H73,0))+((Besatzung!$B$20&lt;&gt;"")*IF(B73="",1,(IF(Besatzung!$C$20="",Besatzung!$B$5,Besatzung!$C$20)&lt;=B73)*(IF(Besatzung!$D$20="",Besatzung!$B$6,Besatzung!$D$20)&gt;=B73)))*(Besatzung!$F$20="x")*IFERROR(H73,0)/IFERROR(SUMPRODUCT((Besatzung!$B$11:$B$22&lt;&gt;"")*(Besatzung!$F$11:$F$22="x")*(IF(Besatzung!$C$11:$C$22="",Besatzung!$B$5,Besatzung!$C$11:$C$22)&lt;=B73)*(IF(Besatzung!$D$11:$D$22="",Besatzung!$B$6,Besatzung!$D$11:$D$22)&gt;=B73)),1)),IF(I73="An Bord",(((Besatzung!$B$20&lt;&gt;"")*IF(B73="",1,(IF(Besatzung!$C$20="",Besatzung!$B$5,Besatzung!$C$20)&lt;=B73)*(IF(Besatzung!$D$20="",Besatzung!$B$6,Besatzung!$D$20)&gt;=B73)))*((G73-IFERROR(H73,0))/IFERROR(SUMPRODUCT((Besatzung!$B$11:$B$22&lt;&gt;"")*(IF(Besatzung!$C$11:$C$22="",Besatzung!$B$5,Besatzung!$C$11:$C$22)&lt;=B73)*(IF(Besatzung!$D$11:$D$22="",Besatzung!$B$6,Besatzung!$D$11:$D$22)&gt;=B73)),1)+(Besatzung!$F$20="x")*IFERROR(H73,0)/IFERROR(SUMPRODUCT((Besatzung!$B$11:$B$22&lt;&gt;"")*(Besatzung!$F$11:$F$22="x")*(IF(Besatzung!$C$11:$C$22="",Besatzung!$B$5,Besatzung!$C$11:$C$22)&lt;=B73)*(IF(Besatzung!$D$11:$D$22="",Besatzung!$B$6,Besatzung!$D$11:$D$22)&gt;=B73)),1))),IF(I73="Individuell",((S73="x")*((G73-IFERROR(H73,0))/IFERROR(COUNTIF(J73:U73,"x"),1)+(Besatzung!$F$20="x")*IFERROR(H73,0)/IFERROR(SUMPRODUCT((J73:U73="x")*(Besatzung!$F$11:$F$22="x")),1))),(IF(COUNTIF(J73:U73,"x")=0,IF(Besatzung!$B$20&lt;&gt;"",1,0),(S73="x"))*(G73-IFERROR(H73,0))/IFERROR(IF(COUNTIF(J73:U73,"x")=0,COUNTA(Besatzung!$B$11:$B$22),COUNTIF(J73:U73,"x")),1)+IF(COUNTIF(J73:U73,"x")=0,(Besatzung!$F$20="x"),(S73="x")*(Besatzung!$F$20="x"))*IFERROR(H73,0)/IFERROR(IF(COUNTIF(J73:U73,"x")=0,SUMPRODUCT((Besatzung!$B$11:$B$22&lt;&gt;"")*(Besatzung!$F$11:$F$22="x")),SUMPRODUCT((J73:U73="x")*(Besatzung!$F$11:$F$22="x"))),1))))),0))))</f>
        <v/>
      </c>
      <c r="AF73" s="247">
        <f>IF(C73="Gutschrift","",IF(G73="","",IF(Besatzung!$B$21="","",IFERROR(IF(I73="Zeitanteilig",(Besatzung!$G$21*(G73-IFERROR(H73,0))+((Besatzung!$B$21&lt;&gt;"")*IF(B73="",1,(IF(Besatzung!$C$21="",Besatzung!$B$5,Besatzung!$C$21)&lt;=B73)*(IF(Besatzung!$D$21="",Besatzung!$B$6,Besatzung!$D$21)&gt;=B73)))*(Besatzung!$F$21="x")*IFERROR(H73,0)/IFERROR(SUMPRODUCT((Besatzung!$B$11:$B$22&lt;&gt;"")*(Besatzung!$F$11:$F$22="x")*(IF(Besatzung!$C$11:$C$22="",Besatzung!$B$5,Besatzung!$C$11:$C$22)&lt;=B73)*(IF(Besatzung!$D$11:$D$22="",Besatzung!$B$6,Besatzung!$D$11:$D$22)&gt;=B73)),1)),IF(I73="An Bord",(((Besatzung!$B$21&lt;&gt;"")*IF(B73="",1,(IF(Besatzung!$C$21="",Besatzung!$B$5,Besatzung!$C$21)&lt;=B73)*(IF(Besatzung!$D$21="",Besatzung!$B$6,Besatzung!$D$21)&gt;=B73)))*((G73-IFERROR(H73,0))/IFERROR(SUMPRODUCT((Besatzung!$B$11:$B$22&lt;&gt;"")*(IF(Besatzung!$C$11:$C$22="",Besatzung!$B$5,Besatzung!$C$11:$C$22)&lt;=B73)*(IF(Besatzung!$D$11:$D$22="",Besatzung!$B$6,Besatzung!$D$11:$D$22)&gt;=B73)),1)+(Besatzung!$F$21="x")*IFERROR(H73,0)/IFERROR(SUMPRODUCT((Besatzung!$B$11:$B$22&lt;&gt;"")*(Besatzung!$F$11:$F$22="x")*(IF(Besatzung!$C$11:$C$22="",Besatzung!$B$5,Besatzung!$C$11:$C$22)&lt;=B73)*(IF(Besatzung!$D$11:$D$22="",Besatzung!$B$6,Besatzung!$D$11:$D$22)&gt;=B73)),1))),IF(I73="Individuell",((T73="x")*((G73-IFERROR(H73,0))/IFERROR(COUNTIF(J73:U73,"x"),1)+(Besatzung!$F$21="x")*IFERROR(H73,0)/IFERROR(SUMPRODUCT((J73:U73="x")*(Besatzung!$F$11:$F$22="x")),1))),(IF(COUNTIF(J73:U73,"x")=0,IF(Besatzung!$B$21&lt;&gt;"",1,0),(T73="x"))*(G73-IFERROR(H73,0))/IFERROR(IF(COUNTIF(J73:U73,"x")=0,COUNTA(Besatzung!$B$11:$B$22),COUNTIF(J73:U73,"x")),1)+IF(COUNTIF(J73:U73,"x")=0,(Besatzung!$F$21="x"),(T73="x")*(Besatzung!$F$21="x"))*IFERROR(H73,0)/IFERROR(IF(COUNTIF(J73:U73,"x")=0,SUMPRODUCT((Besatzung!$B$11:$B$22&lt;&gt;"")*(Besatzung!$F$11:$F$22="x")),SUMPRODUCT((J73:U73="x")*(Besatzung!$F$11:$F$22="x"))),1))))),0))))</f>
        <v/>
      </c>
      <c r="AG73" s="247">
        <f>IF(C73="Gutschrift","",IF(G73="","",IF(Besatzung!$B$22="","",IFERROR(IF(I73="Zeitanteilig",(Besatzung!$G$22*(G73-IFERROR(H73,0))+((Besatzung!$B$22&lt;&gt;"")*IF(B73="",1,(IF(Besatzung!$C$22="",Besatzung!$B$5,Besatzung!$C$22)&lt;=B73)*(IF(Besatzung!$D$22="",Besatzung!$B$6,Besatzung!$D$22)&gt;=B73)))*(Besatzung!$F$22="x")*IFERROR(H73,0)/IFERROR(SUMPRODUCT((Besatzung!$B$11:$B$22&lt;&gt;"")*(Besatzung!$F$11:$F$22="x")*(IF(Besatzung!$C$11:$C$22="",Besatzung!$B$5,Besatzung!$C$11:$C$22)&lt;=B73)*(IF(Besatzung!$D$11:$D$22="",Besatzung!$B$6,Besatzung!$D$11:$D$22)&gt;=B73)),1)),IF(I73="An Bord",(((Besatzung!$B$22&lt;&gt;"")*IF(B73="",1,(IF(Besatzung!$C$22="",Besatzung!$B$5,Besatzung!$C$22)&lt;=B73)*(IF(Besatzung!$D$22="",Besatzung!$B$6,Besatzung!$D$22)&gt;=B73)))*((G73-IFERROR(H73,0))/IFERROR(SUMPRODUCT((Besatzung!$B$11:$B$22&lt;&gt;"")*(IF(Besatzung!$C$11:$C$22="",Besatzung!$B$5,Besatzung!$C$11:$C$22)&lt;=B73)*(IF(Besatzung!$D$11:$D$22="",Besatzung!$B$6,Besatzung!$D$11:$D$22)&gt;=B73)),1)+(Besatzung!$F$22="x")*IFERROR(H73,0)/IFERROR(SUMPRODUCT((Besatzung!$B$11:$B$22&lt;&gt;"")*(Besatzung!$F$11:$F$22="x")*(IF(Besatzung!$C$11:$C$22="",Besatzung!$B$5,Besatzung!$C$11:$C$22)&lt;=B73)*(IF(Besatzung!$D$11:$D$22="",Besatzung!$B$6,Besatzung!$D$11:$D$22)&gt;=B73)),1))),IF(I73="Individuell",((U73="x")*((G73-IFERROR(H73,0))/IFERROR(COUNTIF(J73:U73,"x"),1)+(Besatzung!$F$22="x")*IFERROR(H73,0)/IFERROR(SUMPRODUCT((J73:U73="x")*(Besatzung!$F$11:$F$22="x")),1))),(IF(COUNTIF(J73:U73,"x")=0,IF(Besatzung!$B$22&lt;&gt;"",1,0),(U73="x"))*(G73-IFERROR(H73,0))/IFERROR(IF(COUNTIF(J73:U73,"x")=0,COUNTA(Besatzung!$B$11:$B$22),COUNTIF(J73:U73,"x")),1)+IF(COUNTIF(J73:U73,"x")=0,(Besatzung!$F$22="x"),(U73="x")*(Besatzung!$F$22="x"))*IFERROR(H73,0)/IFERROR(IF(COUNTIF(J73:U73,"x")=0,SUMPRODUCT((Besatzung!$B$11:$B$22&lt;&gt;"")*(Besatzung!$F$11:$F$22="x")),SUMPRODUCT((J73:U73="x")*(Besatzung!$F$11:$F$22="x"))),1))))),0))))</f>
        <v/>
      </c>
      <c r="AH73" s="248" t="n"/>
      <c r="AI73" s="248" t="n"/>
    </row>
    <row r="74" ht="21.75" customHeight="1" s="154">
      <c r="A74" s="238">
        <f>IF(AND(D74="",C74=""),"",71)</f>
        <v/>
      </c>
      <c r="B74" s="199" t="n"/>
      <c r="C74" s="239" t="n"/>
      <c r="D74" s="240" t="n"/>
      <c r="E74" s="241" t="n"/>
      <c r="F74" s="242" t="n"/>
      <c r="G74" s="243" t="n"/>
      <c r="H74" s="244" t="n"/>
      <c r="I74" s="245" t="n"/>
      <c r="J74" s="246" t="n"/>
      <c r="K74" s="246" t="n"/>
      <c r="L74" s="246" t="n"/>
      <c r="M74" s="246" t="n"/>
      <c r="N74" s="246" t="n"/>
      <c r="O74" s="246" t="n"/>
      <c r="P74" s="246" t="n"/>
      <c r="Q74" s="246" t="n"/>
      <c r="R74" s="246" t="n"/>
      <c r="S74" s="246" t="n"/>
      <c r="T74" s="246" t="n"/>
      <c r="U74" s="246" t="n"/>
      <c r="V74" s="247">
        <f>IF(C74="Gutschrift","",IF(G74="","",IF(Besatzung!$B$11="","",IFERROR(IF(I74="Zeitanteilig",(Besatzung!$G$11*(G74-IFERROR(H74,0))+((Besatzung!$B$11&lt;&gt;"")*IF(B74="",1,(IF(Besatzung!$C$11="",Besatzung!$B$5,Besatzung!$C$11)&lt;=B74)*(IF(Besatzung!$D$11="",Besatzung!$B$6,Besatzung!$D$11)&gt;=B74)))*(Besatzung!$F$11="x")*IFERROR(H74,0)/IFERROR(SUMPRODUCT((Besatzung!$B$11:$B$22&lt;&gt;"")*(Besatzung!$F$11:$F$22="x")*(IF(Besatzung!$C$11:$C$22="",Besatzung!$B$5,Besatzung!$C$11:$C$22)&lt;=B74)*(IF(Besatzung!$D$11:$D$22="",Besatzung!$B$6,Besatzung!$D$11:$D$22)&gt;=B74)),1)),IF(I74="An Bord",(((Besatzung!$B$11&lt;&gt;"")*IF(B74="",1,(IF(Besatzung!$C$11="",Besatzung!$B$5,Besatzung!$C$11)&lt;=B74)*(IF(Besatzung!$D$11="",Besatzung!$B$6,Besatzung!$D$11)&gt;=B74)))*((G74-IFERROR(H74,0))/IFERROR(SUMPRODUCT((Besatzung!$B$11:$B$22&lt;&gt;"")*(IF(Besatzung!$C$11:$C$22="",Besatzung!$B$5,Besatzung!$C$11:$C$22)&lt;=B74)*(IF(Besatzung!$D$11:$D$22="",Besatzung!$B$6,Besatzung!$D$11:$D$22)&gt;=B74)),1)+(Besatzung!$F$11="x")*IFERROR(H74,0)/IFERROR(SUMPRODUCT((Besatzung!$B$11:$B$22&lt;&gt;"")*(Besatzung!$F$11:$F$22="x")*(IF(Besatzung!$C$11:$C$22="",Besatzung!$B$5,Besatzung!$C$11:$C$22)&lt;=B74)*(IF(Besatzung!$D$11:$D$22="",Besatzung!$B$6,Besatzung!$D$11:$D$22)&gt;=B74)),1))),IF(I74="Individuell",((J74="x")*((G74-IFERROR(H74,0))/IFERROR(COUNTIF(J74:U74,"x"),1)+(Besatzung!$F$11="x")*IFERROR(H74,0)/IFERROR(SUMPRODUCT((J74:U74="x")*(Besatzung!$F$11:$F$22="x")),1))),(IF(COUNTIF(J74:U74,"x")=0,IF(Besatzung!$B$11&lt;&gt;"",1,0),(J74="x"))*(G74-IFERROR(H74,0))/IFERROR(IF(COUNTIF(J74:U74,"x")=0,COUNTA(Besatzung!$B$11:$B$22),COUNTIF(J74:U74,"x")),1)+IF(COUNTIF(J74:U74,"x")=0,(Besatzung!$F$11="x"),(J74="x")*(Besatzung!$F$11="x"))*IFERROR(H74,0)/IFERROR(IF(COUNTIF(J74:U74,"x")=0,SUMPRODUCT((Besatzung!$B$11:$B$22&lt;&gt;"")*(Besatzung!$F$11:$F$22="x")),SUMPRODUCT((J74:U74="x")*(Besatzung!$F$11:$F$22="x"))),1))))),0))))</f>
        <v/>
      </c>
      <c r="W74" s="247">
        <f>IF(C74="Gutschrift","",IF(G74="","",IF(Besatzung!$B$12="","",IFERROR(IF(I74="Zeitanteilig",(Besatzung!$G$12*(G74-IFERROR(H74,0))+((Besatzung!$B$12&lt;&gt;"")*IF(B74="",1,(IF(Besatzung!$C$12="",Besatzung!$B$5,Besatzung!$C$12)&lt;=B74)*(IF(Besatzung!$D$12="",Besatzung!$B$6,Besatzung!$D$12)&gt;=B74)))*(Besatzung!$F$12="x")*IFERROR(H74,0)/IFERROR(SUMPRODUCT((Besatzung!$B$11:$B$22&lt;&gt;"")*(Besatzung!$F$11:$F$22="x")*(IF(Besatzung!$C$11:$C$22="",Besatzung!$B$5,Besatzung!$C$11:$C$22)&lt;=B74)*(IF(Besatzung!$D$11:$D$22="",Besatzung!$B$6,Besatzung!$D$11:$D$22)&gt;=B74)),1)),IF(I74="An Bord",(((Besatzung!$B$12&lt;&gt;"")*IF(B74="",1,(IF(Besatzung!$C$12="",Besatzung!$B$5,Besatzung!$C$12)&lt;=B74)*(IF(Besatzung!$D$12="",Besatzung!$B$6,Besatzung!$D$12)&gt;=B74)))*((G74-IFERROR(H74,0))/IFERROR(SUMPRODUCT((Besatzung!$B$11:$B$22&lt;&gt;"")*(IF(Besatzung!$C$11:$C$22="",Besatzung!$B$5,Besatzung!$C$11:$C$22)&lt;=B74)*(IF(Besatzung!$D$11:$D$22="",Besatzung!$B$6,Besatzung!$D$11:$D$22)&gt;=B74)),1)+(Besatzung!$F$12="x")*IFERROR(H74,0)/IFERROR(SUMPRODUCT((Besatzung!$B$11:$B$22&lt;&gt;"")*(Besatzung!$F$11:$F$22="x")*(IF(Besatzung!$C$11:$C$22="",Besatzung!$B$5,Besatzung!$C$11:$C$22)&lt;=B74)*(IF(Besatzung!$D$11:$D$22="",Besatzung!$B$6,Besatzung!$D$11:$D$22)&gt;=B74)),1))),IF(I74="Individuell",((K74="x")*((G74-IFERROR(H74,0))/IFERROR(COUNTIF(J74:U74,"x"),1)+(Besatzung!$F$12="x")*IFERROR(H74,0)/IFERROR(SUMPRODUCT((J74:U74="x")*(Besatzung!$F$11:$F$22="x")),1))),(IF(COUNTIF(J74:U74,"x")=0,IF(Besatzung!$B$12&lt;&gt;"",1,0),(K74="x"))*(G74-IFERROR(H74,0))/IFERROR(IF(COUNTIF(J74:U74,"x")=0,COUNTA(Besatzung!$B$11:$B$22),COUNTIF(J74:U74,"x")),1)+IF(COUNTIF(J74:U74,"x")=0,(Besatzung!$F$12="x"),(K74="x")*(Besatzung!$F$12="x"))*IFERROR(H74,0)/IFERROR(IF(COUNTIF(J74:U74,"x")=0,SUMPRODUCT((Besatzung!$B$11:$B$22&lt;&gt;"")*(Besatzung!$F$11:$F$22="x")),SUMPRODUCT((J74:U74="x")*(Besatzung!$F$11:$F$22="x"))),1))))),0))))</f>
        <v/>
      </c>
      <c r="X74" s="247">
        <f>IF(C74="Gutschrift","",IF(G74="","",IF(Besatzung!$B$13="","",IFERROR(IF(I74="Zeitanteilig",(Besatzung!$G$13*(G74-IFERROR(H74,0))+((Besatzung!$B$13&lt;&gt;"")*IF(B74="",1,(IF(Besatzung!$C$13="",Besatzung!$B$5,Besatzung!$C$13)&lt;=B74)*(IF(Besatzung!$D$13="",Besatzung!$B$6,Besatzung!$D$13)&gt;=B74)))*(Besatzung!$F$13="x")*IFERROR(H74,0)/IFERROR(SUMPRODUCT((Besatzung!$B$11:$B$22&lt;&gt;"")*(Besatzung!$F$11:$F$22="x")*(IF(Besatzung!$C$11:$C$22="",Besatzung!$B$5,Besatzung!$C$11:$C$22)&lt;=B74)*(IF(Besatzung!$D$11:$D$22="",Besatzung!$B$6,Besatzung!$D$11:$D$22)&gt;=B74)),1)),IF(I74="An Bord",(((Besatzung!$B$13&lt;&gt;"")*IF(B74="",1,(IF(Besatzung!$C$13="",Besatzung!$B$5,Besatzung!$C$13)&lt;=B74)*(IF(Besatzung!$D$13="",Besatzung!$B$6,Besatzung!$D$13)&gt;=B74)))*((G74-IFERROR(H74,0))/IFERROR(SUMPRODUCT((Besatzung!$B$11:$B$22&lt;&gt;"")*(IF(Besatzung!$C$11:$C$22="",Besatzung!$B$5,Besatzung!$C$11:$C$22)&lt;=B74)*(IF(Besatzung!$D$11:$D$22="",Besatzung!$B$6,Besatzung!$D$11:$D$22)&gt;=B74)),1)+(Besatzung!$F$13="x")*IFERROR(H74,0)/IFERROR(SUMPRODUCT((Besatzung!$B$11:$B$22&lt;&gt;"")*(Besatzung!$F$11:$F$22="x")*(IF(Besatzung!$C$11:$C$22="",Besatzung!$B$5,Besatzung!$C$11:$C$22)&lt;=B74)*(IF(Besatzung!$D$11:$D$22="",Besatzung!$B$6,Besatzung!$D$11:$D$22)&gt;=B74)),1))),IF(I74="Individuell",((K74="x")*((G74-IFERROR(H74,0))/IFERROR(COUNTIF(J74:U74,"x"),1)+(Besatzung!$F$13="x")*IFERROR(H74,0)/IFERROR(SUMPRODUCT((J74:U74="x")*(Besatzung!$F$11:$F$22="x")),1))),(IF(COUNTIF(J74:U74,"x")=0,IF(Besatzung!$B$13&lt;&gt;"",1,0),(K74="x"))*(G74-IFERROR(H74,0))/IFERROR(IF(COUNTIF(J74:U74,"x")=0,COUNTA(Besatzung!$B$11:$B$22),COUNTIF(J74:U74,"x")),1)+IF(COUNTIF(J74:U74,"x")=0,(Besatzung!$F$13="x"),(K74="x")*(Besatzung!$F$13="x"))*IFERROR(H74,0)/IFERROR(IF(COUNTIF(J74:U74,"x")=0,SUMPRODUCT((Besatzung!$B$11:$B$22&lt;&gt;"")*(Besatzung!$F$11:$F$22="x")),SUMPRODUCT((J74:U74="x")*(Besatzung!$F$11:$F$22="x"))),1))))),0))))</f>
        <v/>
      </c>
      <c r="Y74" s="247">
        <f>IF(C74="Gutschrift","",IF(G74="","",IF(Besatzung!$B$14="","",IFERROR(IF(I74="Zeitanteilig",(Besatzung!$G$14*(G74-IFERROR(H74,0))+((Besatzung!$B$14&lt;&gt;"")*IF(B74="",1,(IF(Besatzung!$C$14="",Besatzung!$B$5,Besatzung!$C$14)&lt;=B74)*(IF(Besatzung!$D$14="",Besatzung!$B$6,Besatzung!$D$14)&gt;=B74)))*(Besatzung!$F$14="x")*IFERROR(H74,0)/IFERROR(SUMPRODUCT((Besatzung!$B$11:$B$22&lt;&gt;"")*(Besatzung!$F$11:$F$22="x")*(IF(Besatzung!$C$11:$C$22="",Besatzung!$B$5,Besatzung!$C$11:$C$22)&lt;=B74)*(IF(Besatzung!$D$11:$D$22="",Besatzung!$B$6,Besatzung!$D$11:$D$22)&gt;=B74)),1)),IF(I74="An Bord",(((Besatzung!$B$14&lt;&gt;"")*IF(B74="",1,(IF(Besatzung!$C$14="",Besatzung!$B$5,Besatzung!$C$14)&lt;=B74)*(IF(Besatzung!$D$14="",Besatzung!$B$6,Besatzung!$D$14)&gt;=B74)))*((G74-IFERROR(H74,0))/IFERROR(SUMPRODUCT((Besatzung!$B$11:$B$22&lt;&gt;"")*(IF(Besatzung!$C$11:$C$22="",Besatzung!$B$5,Besatzung!$C$11:$C$22)&lt;=B74)*(IF(Besatzung!$D$11:$D$22="",Besatzung!$B$6,Besatzung!$D$11:$D$22)&gt;=B74)),1)+(Besatzung!$F$14="x")*IFERROR(H74,0)/IFERROR(SUMPRODUCT((Besatzung!$B$11:$B$22&lt;&gt;"")*(Besatzung!$F$11:$F$22="x")*(IF(Besatzung!$C$11:$C$22="",Besatzung!$B$5,Besatzung!$C$11:$C$22)&lt;=B74)*(IF(Besatzung!$D$11:$D$22="",Besatzung!$B$6,Besatzung!$D$11:$D$22)&gt;=B74)),1))),IF(I74="Individuell",((M74="x")*((G74-IFERROR(H74,0))/IFERROR(COUNTIF(J74:U74,"x"),1)+(Besatzung!$F$14="x")*IFERROR(H74,0)/IFERROR(SUMPRODUCT((J74:U74="x")*(Besatzung!$F$11:$F$22="x")),1))),(IF(COUNTIF(J74:U74,"x")=0,IF(Besatzung!$B$14&lt;&gt;"",1,0),(M74="x"))*(G74-IFERROR(H74,0))/IFERROR(IF(COUNTIF(J74:U74,"x")=0,COUNTA(Besatzung!$B$11:$B$22),COUNTIF(J74:U74,"x")),1)+IF(COUNTIF(J74:U74,"x")=0,(Besatzung!$F$14="x"),(M74="x")*(Besatzung!$F$14="x"))*IFERROR(H74,0)/IFERROR(IF(COUNTIF(J74:U74,"x")=0,SUMPRODUCT((Besatzung!$B$11:$B$22&lt;&gt;"")*(Besatzung!$F$11:$F$22="x")),SUMPRODUCT((J74:U74="x")*(Besatzung!$F$11:$F$22="x"))),1))))),0))))</f>
        <v/>
      </c>
      <c r="Z74" s="247">
        <f>IF(C74="Gutschrift","",IF(G74="","",IF(Besatzung!$B$13="","",IFERROR(IF(I74="Zeitanteilig",(Besatzung!$G$15*(G74-IFERROR(H74,0))+((Besatzung!$B$13&lt;&gt;"")*IF(B74="",1,(IF(Besatzung!$C$15="",Besatzung!$B$5,Besatzung!$C$15)&lt;=B74)*(IF(Besatzung!$D$15="",Besatzung!$B$6,Besatzung!$D$15)&gt;=B74)))*(Besatzung!$F$15="x")*IFERROR(H74,0)/IFERROR(SUMPRODUCT((Besatzung!$B$11:$B$22&lt;&gt;"")*(Besatzung!$F$11:$F$22="x")*(IF(Besatzung!$C$11:$C$22="",Besatzung!$B$5,Besatzung!$C$11:$C$22)&lt;=B74)*(IF(Besatzung!$D$11:$D$22="",Besatzung!$B$6,Besatzung!$D$11:$D$22)&gt;=B74)),1)),IF(I74="An Bord",(((Besatzung!$B$13&lt;&gt;"")*IF(B74="",1,(IF(Besatzung!$C$15="",Besatzung!$B$5,Besatzung!$C$15)&lt;=B74)*(IF(Besatzung!$D$15="",Besatzung!$B$6,Besatzung!$D$15)&gt;=B74)))*((G74-IFERROR(H74,0))/IFERROR(SUMPRODUCT((Besatzung!$B$11:$B$22&lt;&gt;"")*(IF(Besatzung!$C$11:$C$22="",Besatzung!$B$5,Besatzung!$C$11:$C$22)&lt;=B74)*(IF(Besatzung!$D$11:$D$22="",Besatzung!$B$6,Besatzung!$D$11:$D$22)&gt;=B74)),1)+(Besatzung!$F$15="x")*IFERROR(H74,0)/IFERROR(SUMPRODUCT((Besatzung!$B$11:$B$22&lt;&gt;"")*(Besatzung!$F$11:$F$22="x")*(IF(Besatzung!$C$11:$C$22="",Besatzung!$B$5,Besatzung!$C$11:$C$22)&lt;=B74)*(IF(Besatzung!$D$11:$D$22="",Besatzung!$B$6,Besatzung!$D$11:$D$22)&gt;=B74)),1))),IF(I74="Individuell",((N74="x")*((G74-IFERROR(H74,0))/IFERROR(COUNTIF(J74:U74,"x"),1)+(Besatzung!$F$15="x")*IFERROR(H74,0)/IFERROR(SUMPRODUCT((J74:U74="x")*(Besatzung!$F$11:$F$22="x")),1))),(IF(COUNTIF(J74:U74,"x")=0,IF(Besatzung!$B$13&lt;&gt;"",1,0),(N74="x"))*(G74-IFERROR(H74,0))/IFERROR(IF(COUNTIF(J74:U74,"x")=0,COUNTA(Besatzung!$B$11:$B$22),COUNTIF(J74:U74,"x")),1)+IF(COUNTIF(J74:U74,"x")=0,(Besatzung!$F$15="x"),(N74="x")*(Besatzung!$F$15="x"))*IFERROR(H74,0)/IFERROR(IF(COUNTIF(J74:U74,"x")=0,SUMPRODUCT((Besatzung!$B$11:$B$22&lt;&gt;"")*(Besatzung!$F$11:$F$22="x")),SUMPRODUCT((J74:U74="x")*(Besatzung!$F$11:$F$22="x"))),1))))),0))))</f>
        <v/>
      </c>
      <c r="AA74" s="247">
        <f>IF(C74="Gutschrift","",IF(G74="","",IF(Besatzung!$B$15="","",IFERROR(IF(I74="Zeitanteilig",(Besatzung!$G$16*(G74-IFERROR(H74,0))+((Besatzung!$B$15&lt;&gt;"")*IF(B74="",1,(IF(Besatzung!$C$16="",Besatzung!$B$5,Besatzung!$C$16)&lt;=B74)*(IF(Besatzung!$D$16="",Besatzung!$B$6,Besatzung!$D$16)&gt;=B74)))*(Besatzung!$F$16="x")*IFERROR(H74,0)/IFERROR(SUMPRODUCT((Besatzung!$B$11:$B$22&lt;&gt;"")*(Besatzung!$F$11:$F$22="x")*(IF(Besatzung!$C$11:$C$22="",Besatzung!$B$5,Besatzung!$C$11:$C$22)&lt;=B74)*(IF(Besatzung!$D$11:$D$22="",Besatzung!$B$6,Besatzung!$D$11:$D$22)&gt;=B74)),1)),IF(I74="An Bord",(((Besatzung!$B$15&lt;&gt;"")*IF(B74="",1,(IF(Besatzung!$C$16="",Besatzung!$B$5,Besatzung!$C$16)&lt;=B74)*(IF(Besatzung!$D$16="",Besatzung!$B$6,Besatzung!$D$16)&gt;=B74)))*((G74-IFERROR(H74,0))/IFERROR(SUMPRODUCT((Besatzung!$B$11:$B$22&lt;&gt;"")*(IF(Besatzung!$C$11:$C$22="",Besatzung!$B$5,Besatzung!$C$11:$C$22)&lt;=B74)*(IF(Besatzung!$D$11:$D$22="",Besatzung!$B$6,Besatzung!$D$11:$D$22)&gt;=B74)),1)+(Besatzung!$F$16="x")*IFERROR(H74,0)/IFERROR(SUMPRODUCT((Besatzung!$B$11:$B$22&lt;&gt;"")*(Besatzung!$F$11:$F$22="x")*(IF(Besatzung!$C$11:$C$22="",Besatzung!$B$5,Besatzung!$C$11:$C$22)&lt;=B74)*(IF(Besatzung!$D$11:$D$22="",Besatzung!$B$6,Besatzung!$D$11:$D$22)&gt;=B74)),1))),IF(I74="Individuell",((O74="x")*((G74-IFERROR(H74,0))/IFERROR(COUNTIF(J74:U74,"x"),1)+(Besatzung!$F$16="x")*IFERROR(H74,0)/IFERROR(SUMPRODUCT((J74:U74="x")*(Besatzung!$F$11:$F$22="x")),1))),(IF(COUNTIF(J74:U74,"x")=0,IF(Besatzung!$B$15&lt;&gt;"",1,0),(O74="x"))*(G74-IFERROR(H74,0))/IFERROR(IF(COUNTIF(J74:U74,"x")=0,COUNTA(Besatzung!$B$11:$B$22),COUNTIF(J74:U74,"x")),1)+IF(COUNTIF(J74:U74,"x")=0,(Besatzung!$F$16="x"),(O74="x")*(Besatzung!$F$16="x"))*IFERROR(H74,0)/IFERROR(IF(COUNTIF(J74:U74,"x")=0,SUMPRODUCT((Besatzung!$B$11:$B$22&lt;&gt;"")*(Besatzung!$F$11:$F$22="x")),SUMPRODUCT((J74:U74="x")*(Besatzung!$F$11:$F$22="x"))),1))))),0))))</f>
        <v/>
      </c>
      <c r="AB74" s="247">
        <f>IF(C74="Gutschrift","",IF(G74="","",IF(Besatzung!$B$17="","",IFERROR(IF(I74="Zeitanteilig",(Besatzung!$G$17*(G74-IFERROR(H74,0))+((Besatzung!$B$17&lt;&gt;"")*IF(B74="",1,(IF(Besatzung!$C$17="",Besatzung!$B$5,Besatzung!$C$17)&lt;=B74)*(IF(Besatzung!$D$17="",Besatzung!$B$6,Besatzung!$D$17)&gt;=B74)))*(Besatzung!$F$17="x")*IFERROR(H74,0)/IFERROR(SUMPRODUCT((Besatzung!$B$11:$B$22&lt;&gt;"")*(Besatzung!$F$11:$F$22="x")*(IF(Besatzung!$C$11:$C$22="",Besatzung!$B$5,Besatzung!$C$11:$C$22)&lt;=B74)*(IF(Besatzung!$D$11:$D$22="",Besatzung!$B$6,Besatzung!$D$11:$D$22)&gt;=B74)),1)),IF(I74="An Bord",(((Besatzung!$B$17&lt;&gt;"")*IF(B74="",1,(IF(Besatzung!$C$17="",Besatzung!$B$5,Besatzung!$C$17)&lt;=B74)*(IF(Besatzung!$D$17="",Besatzung!$B$6,Besatzung!$D$17)&gt;=B74)))*((G74-IFERROR(H74,0))/IFERROR(SUMPRODUCT((Besatzung!$B$11:$B$22&lt;&gt;"")*(IF(Besatzung!$C$11:$C$22="",Besatzung!$B$5,Besatzung!$C$11:$C$22)&lt;=B74)*(IF(Besatzung!$D$11:$D$22="",Besatzung!$B$6,Besatzung!$D$11:$D$22)&gt;=B74)),1)+(Besatzung!$F$17="x")*IFERROR(H74,0)/IFERROR(SUMPRODUCT((Besatzung!$B$11:$B$22&lt;&gt;"")*(Besatzung!$F$11:$F$22="x")*(IF(Besatzung!$C$11:$C$22="",Besatzung!$B$5,Besatzung!$C$11:$C$22)&lt;=B74)*(IF(Besatzung!$D$11:$D$22="",Besatzung!$B$6,Besatzung!$D$11:$D$22)&gt;=B74)),1))),IF(I74="Individuell",((P74="x")*((G74-IFERROR(H74,0))/IFERROR(COUNTIF(J74:U74,"x"),1)+(Besatzung!$F$17="x")*IFERROR(H74,0)/IFERROR(SUMPRODUCT((J74:U74="x")*(Besatzung!$F$11:$F$22="x")),1))),(IF(COUNTIF(J74:U74,"x")=0,IF(Besatzung!$B$17&lt;&gt;"",1,0),(P74="x"))*(G74-IFERROR(H74,0))/IFERROR(IF(COUNTIF(J74:U74,"x")=0,COUNTA(Besatzung!$B$11:$B$22),COUNTIF(J74:U74,"x")),1)+IF(COUNTIF(J74:U74,"x")=0,(Besatzung!$F$17="x"),(P74="x")*(Besatzung!$F$17="x"))*IFERROR(H74,0)/IFERROR(IF(COUNTIF(J74:U74,"x")=0,SUMPRODUCT((Besatzung!$B$11:$B$22&lt;&gt;"")*(Besatzung!$F$11:$F$22="x")),SUMPRODUCT((J74:U74="x")*(Besatzung!$F$11:$F$22="x"))),1))))),0))))</f>
        <v/>
      </c>
      <c r="AC74" s="247">
        <f>IF(C74="Gutschrift","",IF(G74="","",IF(Besatzung!$B$18="","",IFERROR(IF(I74="Zeitanteilig",(Besatzung!$G$18*(G74-IFERROR(H74,0))+((Besatzung!$B$18&lt;&gt;"")*IF(B74="",1,(IF(Besatzung!$C$18="",Besatzung!$B$5,Besatzung!$C$18)&lt;=B74)*(IF(Besatzung!$D$18="",Besatzung!$B$6,Besatzung!$D$18)&gt;=B74)))*(Besatzung!$F$18="x")*IFERROR(H74,0)/IFERROR(SUMPRODUCT((Besatzung!$B$11:$B$22&lt;&gt;"")*(Besatzung!$F$11:$F$22="x")*(IF(Besatzung!$C$11:$C$22="",Besatzung!$B$5,Besatzung!$C$11:$C$22)&lt;=B74)*(IF(Besatzung!$D$11:$D$22="",Besatzung!$B$6,Besatzung!$D$11:$D$22)&gt;=B74)),1)),IF(I74="An Bord",(((Besatzung!$B$18&lt;&gt;"")*IF(B74="",1,(IF(Besatzung!$C$18="",Besatzung!$B$5,Besatzung!$C$18)&lt;=B74)*(IF(Besatzung!$D$18="",Besatzung!$B$6,Besatzung!$D$18)&gt;=B74)))*((G74-IFERROR(H74,0))/IFERROR(SUMPRODUCT((Besatzung!$B$11:$B$22&lt;&gt;"")*(IF(Besatzung!$C$11:$C$22="",Besatzung!$B$5,Besatzung!$C$11:$C$22)&lt;=B74)*(IF(Besatzung!$D$11:$D$22="",Besatzung!$B$6,Besatzung!$D$11:$D$22)&gt;=B74)),1)+(Besatzung!$F$18="x")*IFERROR(H74,0)/IFERROR(SUMPRODUCT((Besatzung!$B$11:$B$22&lt;&gt;"")*(Besatzung!$F$11:$F$22="x")*(IF(Besatzung!$C$11:$C$22="",Besatzung!$B$5,Besatzung!$C$11:$C$22)&lt;=B74)*(IF(Besatzung!$D$11:$D$22="",Besatzung!$B$6,Besatzung!$D$11:$D$22)&gt;=B74)),1))),IF(I74="Individuell",((Q74="x")*((G74-IFERROR(H74,0))/IFERROR(COUNTIF(J74:U74,"x"),1)+(Besatzung!$F$18="x")*IFERROR(H74,0)/IFERROR(SUMPRODUCT((J74:U74="x")*(Besatzung!$F$11:$F$22="x")),1))),(IF(COUNTIF(J74:U74,"x")=0,IF(Besatzung!$B$18&lt;&gt;"",1,0),(Q74="x"))*(G74-IFERROR(H74,0))/IFERROR(IF(COUNTIF(J74:U74,"x")=0,COUNTA(Besatzung!$B$11:$B$22),COUNTIF(J74:U74,"x")),1)+IF(COUNTIF(J74:U74,"x")=0,(Besatzung!$F$18="x"),(Q74="x")*(Besatzung!$F$18="x"))*IFERROR(H74,0)/IFERROR(IF(COUNTIF(J74:U74,"x")=0,SUMPRODUCT((Besatzung!$B$11:$B$22&lt;&gt;"")*(Besatzung!$F$11:$F$22="x")),SUMPRODUCT((J74:U74="x")*(Besatzung!$F$11:$F$22="x"))),1))))),0))))</f>
        <v/>
      </c>
      <c r="AD74" s="247">
        <f>IF(C74="Gutschrift","",IF(G74="","",IF(Besatzung!$B$19="","",IFERROR(IF(I74="Zeitanteilig",(Besatzung!$G$19*(G74-IFERROR(H74,0))+((Besatzung!$B$19&lt;&gt;"")*IF(B74="",1,(IF(Besatzung!$C$19="",Besatzung!$B$5,Besatzung!$C$19)&lt;=B74)*(IF(Besatzung!$D$19="",Besatzung!$B$6,Besatzung!$D$19)&gt;=B74)))*(Besatzung!$F$19="x")*IFERROR(H74,0)/IFERROR(SUMPRODUCT((Besatzung!$B$11:$B$22&lt;&gt;"")*(Besatzung!$F$11:$F$22="x")*(IF(Besatzung!$C$11:$C$22="",Besatzung!$B$5,Besatzung!$C$11:$C$22)&lt;=B74)*(IF(Besatzung!$D$11:$D$22="",Besatzung!$B$6,Besatzung!$D$11:$D$22)&gt;=B74)),1)),IF(I74="An Bord",(((Besatzung!$B$19&lt;&gt;"")*IF(B74="",1,(IF(Besatzung!$C$19="",Besatzung!$B$5,Besatzung!$C$19)&lt;=B74)*(IF(Besatzung!$D$19="",Besatzung!$B$6,Besatzung!$D$19)&gt;=B74)))*((G74-IFERROR(H74,0))/IFERROR(SUMPRODUCT((Besatzung!$B$11:$B$22&lt;&gt;"")*(IF(Besatzung!$C$11:$C$22="",Besatzung!$B$5,Besatzung!$C$11:$C$22)&lt;=B74)*(IF(Besatzung!$D$11:$D$22="",Besatzung!$B$6,Besatzung!$D$11:$D$22)&gt;=B74)),1)+(Besatzung!$F$19="x")*IFERROR(H74,0)/IFERROR(SUMPRODUCT((Besatzung!$B$11:$B$22&lt;&gt;"")*(Besatzung!$F$11:$F$22="x")*(IF(Besatzung!$C$11:$C$22="",Besatzung!$B$5,Besatzung!$C$11:$C$22)&lt;=B74)*(IF(Besatzung!$D$11:$D$22="",Besatzung!$B$6,Besatzung!$D$11:$D$22)&gt;=B74)),1))),IF(I74="Individuell",((R74="x")*((G74-IFERROR(H74,0))/IFERROR(COUNTIF(J74:U74,"x"),1)+(Besatzung!$F$19="x")*IFERROR(H74,0)/IFERROR(SUMPRODUCT((J74:U74="x")*(Besatzung!$F$11:$F$22="x")),1))),(IF(COUNTIF(J74:U74,"x")=0,IF(Besatzung!$B$19&lt;&gt;"",1,0),(R74="x"))*(G74-IFERROR(H74,0))/IFERROR(IF(COUNTIF(J74:U74,"x")=0,COUNTA(Besatzung!$B$11:$B$22),COUNTIF(J74:U74,"x")),1)+IF(COUNTIF(J74:U74,"x")=0,(Besatzung!$F$19="x"),(R74="x")*(Besatzung!$F$19="x"))*IFERROR(H74,0)/IFERROR(IF(COUNTIF(J74:U74,"x")=0,SUMPRODUCT((Besatzung!$B$11:$B$22&lt;&gt;"")*(Besatzung!$F$11:$F$22="x")),SUMPRODUCT((J74:U74="x")*(Besatzung!$F$11:$F$22="x"))),1))))),0))))</f>
        <v/>
      </c>
      <c r="AE74" s="247">
        <f>IF(C74="Gutschrift","",IF(G74="","",IF(Besatzung!$B$20="","",IFERROR(IF(I74="Zeitanteilig",(Besatzung!$G$20*(G74-IFERROR(H74,0))+((Besatzung!$B$20&lt;&gt;"")*IF(B74="",1,(IF(Besatzung!$C$20="",Besatzung!$B$5,Besatzung!$C$20)&lt;=B74)*(IF(Besatzung!$D$20="",Besatzung!$B$6,Besatzung!$D$20)&gt;=B74)))*(Besatzung!$F$20="x")*IFERROR(H74,0)/IFERROR(SUMPRODUCT((Besatzung!$B$11:$B$22&lt;&gt;"")*(Besatzung!$F$11:$F$22="x")*(IF(Besatzung!$C$11:$C$22="",Besatzung!$B$5,Besatzung!$C$11:$C$22)&lt;=B74)*(IF(Besatzung!$D$11:$D$22="",Besatzung!$B$6,Besatzung!$D$11:$D$22)&gt;=B74)),1)),IF(I74="An Bord",(((Besatzung!$B$20&lt;&gt;"")*IF(B74="",1,(IF(Besatzung!$C$20="",Besatzung!$B$5,Besatzung!$C$20)&lt;=B74)*(IF(Besatzung!$D$20="",Besatzung!$B$6,Besatzung!$D$20)&gt;=B74)))*((G74-IFERROR(H74,0))/IFERROR(SUMPRODUCT((Besatzung!$B$11:$B$22&lt;&gt;"")*(IF(Besatzung!$C$11:$C$22="",Besatzung!$B$5,Besatzung!$C$11:$C$22)&lt;=B74)*(IF(Besatzung!$D$11:$D$22="",Besatzung!$B$6,Besatzung!$D$11:$D$22)&gt;=B74)),1)+(Besatzung!$F$20="x")*IFERROR(H74,0)/IFERROR(SUMPRODUCT((Besatzung!$B$11:$B$22&lt;&gt;"")*(Besatzung!$F$11:$F$22="x")*(IF(Besatzung!$C$11:$C$22="",Besatzung!$B$5,Besatzung!$C$11:$C$22)&lt;=B74)*(IF(Besatzung!$D$11:$D$22="",Besatzung!$B$6,Besatzung!$D$11:$D$22)&gt;=B74)),1))),IF(I74="Individuell",((S74="x")*((G74-IFERROR(H74,0))/IFERROR(COUNTIF(J74:U74,"x"),1)+(Besatzung!$F$20="x")*IFERROR(H74,0)/IFERROR(SUMPRODUCT((J74:U74="x")*(Besatzung!$F$11:$F$22="x")),1))),(IF(COUNTIF(J74:U74,"x")=0,IF(Besatzung!$B$20&lt;&gt;"",1,0),(S74="x"))*(G74-IFERROR(H74,0))/IFERROR(IF(COUNTIF(J74:U74,"x")=0,COUNTA(Besatzung!$B$11:$B$22),COUNTIF(J74:U74,"x")),1)+IF(COUNTIF(J74:U74,"x")=0,(Besatzung!$F$20="x"),(S74="x")*(Besatzung!$F$20="x"))*IFERROR(H74,0)/IFERROR(IF(COUNTIF(J74:U74,"x")=0,SUMPRODUCT((Besatzung!$B$11:$B$22&lt;&gt;"")*(Besatzung!$F$11:$F$22="x")),SUMPRODUCT((J74:U74="x")*(Besatzung!$F$11:$F$22="x"))),1))))),0))))</f>
        <v/>
      </c>
      <c r="AF74" s="247">
        <f>IF(C74="Gutschrift","",IF(G74="","",IF(Besatzung!$B$21="","",IFERROR(IF(I74="Zeitanteilig",(Besatzung!$G$21*(G74-IFERROR(H74,0))+((Besatzung!$B$21&lt;&gt;"")*IF(B74="",1,(IF(Besatzung!$C$21="",Besatzung!$B$5,Besatzung!$C$21)&lt;=B74)*(IF(Besatzung!$D$21="",Besatzung!$B$6,Besatzung!$D$21)&gt;=B74)))*(Besatzung!$F$21="x")*IFERROR(H74,0)/IFERROR(SUMPRODUCT((Besatzung!$B$11:$B$22&lt;&gt;"")*(Besatzung!$F$11:$F$22="x")*(IF(Besatzung!$C$11:$C$22="",Besatzung!$B$5,Besatzung!$C$11:$C$22)&lt;=B74)*(IF(Besatzung!$D$11:$D$22="",Besatzung!$B$6,Besatzung!$D$11:$D$22)&gt;=B74)),1)),IF(I74="An Bord",(((Besatzung!$B$21&lt;&gt;"")*IF(B74="",1,(IF(Besatzung!$C$21="",Besatzung!$B$5,Besatzung!$C$21)&lt;=B74)*(IF(Besatzung!$D$21="",Besatzung!$B$6,Besatzung!$D$21)&gt;=B74)))*((G74-IFERROR(H74,0))/IFERROR(SUMPRODUCT((Besatzung!$B$11:$B$22&lt;&gt;"")*(IF(Besatzung!$C$11:$C$22="",Besatzung!$B$5,Besatzung!$C$11:$C$22)&lt;=B74)*(IF(Besatzung!$D$11:$D$22="",Besatzung!$B$6,Besatzung!$D$11:$D$22)&gt;=B74)),1)+(Besatzung!$F$21="x")*IFERROR(H74,0)/IFERROR(SUMPRODUCT((Besatzung!$B$11:$B$22&lt;&gt;"")*(Besatzung!$F$11:$F$22="x")*(IF(Besatzung!$C$11:$C$22="",Besatzung!$B$5,Besatzung!$C$11:$C$22)&lt;=B74)*(IF(Besatzung!$D$11:$D$22="",Besatzung!$B$6,Besatzung!$D$11:$D$22)&gt;=B74)),1))),IF(I74="Individuell",((T74="x")*((G74-IFERROR(H74,0))/IFERROR(COUNTIF(J74:U74,"x"),1)+(Besatzung!$F$21="x")*IFERROR(H74,0)/IFERROR(SUMPRODUCT((J74:U74="x")*(Besatzung!$F$11:$F$22="x")),1))),(IF(COUNTIF(J74:U74,"x")=0,IF(Besatzung!$B$21&lt;&gt;"",1,0),(T74="x"))*(G74-IFERROR(H74,0))/IFERROR(IF(COUNTIF(J74:U74,"x")=0,COUNTA(Besatzung!$B$11:$B$22),COUNTIF(J74:U74,"x")),1)+IF(COUNTIF(J74:U74,"x")=0,(Besatzung!$F$21="x"),(T74="x")*(Besatzung!$F$21="x"))*IFERROR(H74,0)/IFERROR(IF(COUNTIF(J74:U74,"x")=0,SUMPRODUCT((Besatzung!$B$11:$B$22&lt;&gt;"")*(Besatzung!$F$11:$F$22="x")),SUMPRODUCT((J74:U74="x")*(Besatzung!$F$11:$F$22="x"))),1))))),0))))</f>
        <v/>
      </c>
      <c r="AG74" s="247">
        <f>IF(C74="Gutschrift","",IF(G74="","",IF(Besatzung!$B$22="","",IFERROR(IF(I74="Zeitanteilig",(Besatzung!$G$22*(G74-IFERROR(H74,0))+((Besatzung!$B$22&lt;&gt;"")*IF(B74="",1,(IF(Besatzung!$C$22="",Besatzung!$B$5,Besatzung!$C$22)&lt;=B74)*(IF(Besatzung!$D$22="",Besatzung!$B$6,Besatzung!$D$22)&gt;=B74)))*(Besatzung!$F$22="x")*IFERROR(H74,0)/IFERROR(SUMPRODUCT((Besatzung!$B$11:$B$22&lt;&gt;"")*(Besatzung!$F$11:$F$22="x")*(IF(Besatzung!$C$11:$C$22="",Besatzung!$B$5,Besatzung!$C$11:$C$22)&lt;=B74)*(IF(Besatzung!$D$11:$D$22="",Besatzung!$B$6,Besatzung!$D$11:$D$22)&gt;=B74)),1)),IF(I74="An Bord",(((Besatzung!$B$22&lt;&gt;"")*IF(B74="",1,(IF(Besatzung!$C$22="",Besatzung!$B$5,Besatzung!$C$22)&lt;=B74)*(IF(Besatzung!$D$22="",Besatzung!$B$6,Besatzung!$D$22)&gt;=B74)))*((G74-IFERROR(H74,0))/IFERROR(SUMPRODUCT((Besatzung!$B$11:$B$22&lt;&gt;"")*(IF(Besatzung!$C$11:$C$22="",Besatzung!$B$5,Besatzung!$C$11:$C$22)&lt;=B74)*(IF(Besatzung!$D$11:$D$22="",Besatzung!$B$6,Besatzung!$D$11:$D$22)&gt;=B74)),1)+(Besatzung!$F$22="x")*IFERROR(H74,0)/IFERROR(SUMPRODUCT((Besatzung!$B$11:$B$22&lt;&gt;"")*(Besatzung!$F$11:$F$22="x")*(IF(Besatzung!$C$11:$C$22="",Besatzung!$B$5,Besatzung!$C$11:$C$22)&lt;=B74)*(IF(Besatzung!$D$11:$D$22="",Besatzung!$B$6,Besatzung!$D$11:$D$22)&gt;=B74)),1))),IF(I74="Individuell",((U74="x")*((G74-IFERROR(H74,0))/IFERROR(COUNTIF(J74:U74,"x"),1)+(Besatzung!$F$22="x")*IFERROR(H74,0)/IFERROR(SUMPRODUCT((J74:U74="x")*(Besatzung!$F$11:$F$22="x")),1))),(IF(COUNTIF(J74:U74,"x")=0,IF(Besatzung!$B$22&lt;&gt;"",1,0),(U74="x"))*(G74-IFERROR(H74,0))/IFERROR(IF(COUNTIF(J74:U74,"x")=0,COUNTA(Besatzung!$B$11:$B$22),COUNTIF(J74:U74,"x")),1)+IF(COUNTIF(J74:U74,"x")=0,(Besatzung!$F$22="x"),(U74="x")*(Besatzung!$F$22="x"))*IFERROR(H74,0)/IFERROR(IF(COUNTIF(J74:U74,"x")=0,SUMPRODUCT((Besatzung!$B$11:$B$22&lt;&gt;"")*(Besatzung!$F$11:$F$22="x")),SUMPRODUCT((J74:U74="x")*(Besatzung!$F$11:$F$22="x"))),1))))),0))))</f>
        <v/>
      </c>
      <c r="AH74" s="248" t="n"/>
      <c r="AI74" s="248" t="n"/>
    </row>
    <row r="75" ht="21.75" customHeight="1" s="154">
      <c r="A75" s="238">
        <f>IF(AND(D75="",C75=""),"",72)</f>
        <v/>
      </c>
      <c r="B75" s="206" t="n"/>
      <c r="C75" s="249" t="n"/>
      <c r="D75" s="250" t="n"/>
      <c r="E75" s="251" t="n"/>
      <c r="F75" s="252" t="n"/>
      <c r="G75" s="253" t="n"/>
      <c r="H75" s="254" t="n"/>
      <c r="I75" s="255" t="n"/>
      <c r="J75" s="256" t="n"/>
      <c r="K75" s="256" t="n"/>
      <c r="L75" s="256" t="n"/>
      <c r="M75" s="256" t="n"/>
      <c r="N75" s="256" t="n"/>
      <c r="O75" s="256" t="n"/>
      <c r="P75" s="256" t="n"/>
      <c r="Q75" s="256" t="n"/>
      <c r="R75" s="256" t="n"/>
      <c r="S75" s="256" t="n"/>
      <c r="T75" s="256" t="n"/>
      <c r="U75" s="256" t="n"/>
      <c r="V75" s="247">
        <f>IF(C75="Gutschrift","",IF(G75="","",IF(Besatzung!$B$11="","",IFERROR(IF(I75="Zeitanteilig",(Besatzung!$G$11*(G75-IFERROR(H75,0))+((Besatzung!$B$11&lt;&gt;"")*IF(B75="",1,(IF(Besatzung!$C$11="",Besatzung!$B$5,Besatzung!$C$11)&lt;=B75)*(IF(Besatzung!$D$11="",Besatzung!$B$6,Besatzung!$D$11)&gt;=B75)))*(Besatzung!$F$11="x")*IFERROR(H75,0)/IFERROR(SUMPRODUCT((Besatzung!$B$11:$B$22&lt;&gt;"")*(Besatzung!$F$11:$F$22="x")*(IF(Besatzung!$C$11:$C$22="",Besatzung!$B$5,Besatzung!$C$11:$C$22)&lt;=B75)*(IF(Besatzung!$D$11:$D$22="",Besatzung!$B$6,Besatzung!$D$11:$D$22)&gt;=B75)),1)),IF(I75="An Bord",(((Besatzung!$B$11&lt;&gt;"")*IF(B75="",1,(IF(Besatzung!$C$11="",Besatzung!$B$5,Besatzung!$C$11)&lt;=B75)*(IF(Besatzung!$D$11="",Besatzung!$B$6,Besatzung!$D$11)&gt;=B75)))*((G75-IFERROR(H75,0))/IFERROR(SUMPRODUCT((Besatzung!$B$11:$B$22&lt;&gt;"")*(IF(Besatzung!$C$11:$C$22="",Besatzung!$B$5,Besatzung!$C$11:$C$22)&lt;=B75)*(IF(Besatzung!$D$11:$D$22="",Besatzung!$B$6,Besatzung!$D$11:$D$22)&gt;=B75)),1)+(Besatzung!$F$11="x")*IFERROR(H75,0)/IFERROR(SUMPRODUCT((Besatzung!$B$11:$B$22&lt;&gt;"")*(Besatzung!$F$11:$F$22="x")*(IF(Besatzung!$C$11:$C$22="",Besatzung!$B$5,Besatzung!$C$11:$C$22)&lt;=B75)*(IF(Besatzung!$D$11:$D$22="",Besatzung!$B$6,Besatzung!$D$11:$D$22)&gt;=B75)),1))),IF(I75="Individuell",((J75="x")*((G75-IFERROR(H75,0))/IFERROR(COUNTIF(J75:U75,"x"),1)+(Besatzung!$F$11="x")*IFERROR(H75,0)/IFERROR(SUMPRODUCT((J75:U75="x")*(Besatzung!$F$11:$F$22="x")),1))),(IF(COUNTIF(J75:U75,"x")=0,IF(Besatzung!$B$11&lt;&gt;"",1,0),(J75="x"))*(G75-IFERROR(H75,0))/IFERROR(IF(COUNTIF(J75:U75,"x")=0,COUNTA(Besatzung!$B$11:$B$22),COUNTIF(J75:U75,"x")),1)+IF(COUNTIF(J75:U75,"x")=0,(Besatzung!$F$11="x"),(J75="x")*(Besatzung!$F$11="x"))*IFERROR(H75,0)/IFERROR(IF(COUNTIF(J75:U75,"x")=0,SUMPRODUCT((Besatzung!$B$11:$B$22&lt;&gt;"")*(Besatzung!$F$11:$F$22="x")),SUMPRODUCT((J75:U75="x")*(Besatzung!$F$11:$F$22="x"))),1))))),0))))</f>
        <v/>
      </c>
      <c r="W75" s="247">
        <f>IF(C75="Gutschrift","",IF(G75="","",IF(Besatzung!$B$12="","",IFERROR(IF(I75="Zeitanteilig",(Besatzung!$G$12*(G75-IFERROR(H75,0))+((Besatzung!$B$12&lt;&gt;"")*IF(B75="",1,(IF(Besatzung!$C$12="",Besatzung!$B$5,Besatzung!$C$12)&lt;=B75)*(IF(Besatzung!$D$12="",Besatzung!$B$6,Besatzung!$D$12)&gt;=B75)))*(Besatzung!$F$12="x")*IFERROR(H75,0)/IFERROR(SUMPRODUCT((Besatzung!$B$11:$B$22&lt;&gt;"")*(Besatzung!$F$11:$F$22="x")*(IF(Besatzung!$C$11:$C$22="",Besatzung!$B$5,Besatzung!$C$11:$C$22)&lt;=B75)*(IF(Besatzung!$D$11:$D$22="",Besatzung!$B$6,Besatzung!$D$11:$D$22)&gt;=B75)),1)),IF(I75="An Bord",(((Besatzung!$B$12&lt;&gt;"")*IF(B75="",1,(IF(Besatzung!$C$12="",Besatzung!$B$5,Besatzung!$C$12)&lt;=B75)*(IF(Besatzung!$D$12="",Besatzung!$B$6,Besatzung!$D$12)&gt;=B75)))*((G75-IFERROR(H75,0))/IFERROR(SUMPRODUCT((Besatzung!$B$11:$B$22&lt;&gt;"")*(IF(Besatzung!$C$11:$C$22="",Besatzung!$B$5,Besatzung!$C$11:$C$22)&lt;=B75)*(IF(Besatzung!$D$11:$D$22="",Besatzung!$B$6,Besatzung!$D$11:$D$22)&gt;=B75)),1)+(Besatzung!$F$12="x")*IFERROR(H75,0)/IFERROR(SUMPRODUCT((Besatzung!$B$11:$B$22&lt;&gt;"")*(Besatzung!$F$11:$F$22="x")*(IF(Besatzung!$C$11:$C$22="",Besatzung!$B$5,Besatzung!$C$11:$C$22)&lt;=B75)*(IF(Besatzung!$D$11:$D$22="",Besatzung!$B$6,Besatzung!$D$11:$D$22)&gt;=B75)),1))),IF(I75="Individuell",((K75="x")*((G75-IFERROR(H75,0))/IFERROR(COUNTIF(J75:U75,"x"),1)+(Besatzung!$F$12="x")*IFERROR(H75,0)/IFERROR(SUMPRODUCT((J75:U75="x")*(Besatzung!$F$11:$F$22="x")),1))),(IF(COUNTIF(J75:U75,"x")=0,IF(Besatzung!$B$12&lt;&gt;"",1,0),(K75="x"))*(G75-IFERROR(H75,0))/IFERROR(IF(COUNTIF(J75:U75,"x")=0,COUNTA(Besatzung!$B$11:$B$22),COUNTIF(J75:U75,"x")),1)+IF(COUNTIF(J75:U75,"x")=0,(Besatzung!$F$12="x"),(K75="x")*(Besatzung!$F$12="x"))*IFERROR(H75,0)/IFERROR(IF(COUNTIF(J75:U75,"x")=0,SUMPRODUCT((Besatzung!$B$11:$B$22&lt;&gt;"")*(Besatzung!$F$11:$F$22="x")),SUMPRODUCT((J75:U75="x")*(Besatzung!$F$11:$F$22="x"))),1))))),0))))</f>
        <v/>
      </c>
      <c r="X75" s="247">
        <f>IF(C75="Gutschrift","",IF(G75="","",IF(Besatzung!$B$13="","",IFERROR(IF(I75="Zeitanteilig",(Besatzung!$G$13*(G75-IFERROR(H75,0))+((Besatzung!$B$13&lt;&gt;"")*IF(B75="",1,(IF(Besatzung!$C$13="",Besatzung!$B$5,Besatzung!$C$13)&lt;=B75)*(IF(Besatzung!$D$13="",Besatzung!$B$6,Besatzung!$D$13)&gt;=B75)))*(Besatzung!$F$13="x")*IFERROR(H75,0)/IFERROR(SUMPRODUCT((Besatzung!$B$11:$B$22&lt;&gt;"")*(Besatzung!$F$11:$F$22="x")*(IF(Besatzung!$C$11:$C$22="",Besatzung!$B$5,Besatzung!$C$11:$C$22)&lt;=B75)*(IF(Besatzung!$D$11:$D$22="",Besatzung!$B$6,Besatzung!$D$11:$D$22)&gt;=B75)),1)),IF(I75="An Bord",(((Besatzung!$B$13&lt;&gt;"")*IF(B75="",1,(IF(Besatzung!$C$13="",Besatzung!$B$5,Besatzung!$C$13)&lt;=B75)*(IF(Besatzung!$D$13="",Besatzung!$B$6,Besatzung!$D$13)&gt;=B75)))*((G75-IFERROR(H75,0))/IFERROR(SUMPRODUCT((Besatzung!$B$11:$B$22&lt;&gt;"")*(IF(Besatzung!$C$11:$C$22="",Besatzung!$B$5,Besatzung!$C$11:$C$22)&lt;=B75)*(IF(Besatzung!$D$11:$D$22="",Besatzung!$B$6,Besatzung!$D$11:$D$22)&gt;=B75)),1)+(Besatzung!$F$13="x")*IFERROR(H75,0)/IFERROR(SUMPRODUCT((Besatzung!$B$11:$B$22&lt;&gt;"")*(Besatzung!$F$11:$F$22="x")*(IF(Besatzung!$C$11:$C$22="",Besatzung!$B$5,Besatzung!$C$11:$C$22)&lt;=B75)*(IF(Besatzung!$D$11:$D$22="",Besatzung!$B$6,Besatzung!$D$11:$D$22)&gt;=B75)),1))),IF(I75="Individuell",((K75="x")*((G75-IFERROR(H75,0))/IFERROR(COUNTIF(J75:U75,"x"),1)+(Besatzung!$F$13="x")*IFERROR(H75,0)/IFERROR(SUMPRODUCT((J75:U75="x")*(Besatzung!$F$11:$F$22="x")),1))),(IF(COUNTIF(J75:U75,"x")=0,IF(Besatzung!$B$13&lt;&gt;"",1,0),(K75="x"))*(G75-IFERROR(H75,0))/IFERROR(IF(COUNTIF(J75:U75,"x")=0,COUNTA(Besatzung!$B$11:$B$22),COUNTIF(J75:U75,"x")),1)+IF(COUNTIF(J75:U75,"x")=0,(Besatzung!$F$13="x"),(K75="x")*(Besatzung!$F$13="x"))*IFERROR(H75,0)/IFERROR(IF(COUNTIF(J75:U75,"x")=0,SUMPRODUCT((Besatzung!$B$11:$B$22&lt;&gt;"")*(Besatzung!$F$11:$F$22="x")),SUMPRODUCT((J75:U75="x")*(Besatzung!$F$11:$F$22="x"))),1))))),0))))</f>
        <v/>
      </c>
      <c r="Y75" s="247">
        <f>IF(C75="Gutschrift","",IF(G75="","",IF(Besatzung!$B$14="","",IFERROR(IF(I75="Zeitanteilig",(Besatzung!$G$14*(G75-IFERROR(H75,0))+((Besatzung!$B$14&lt;&gt;"")*IF(B75="",1,(IF(Besatzung!$C$14="",Besatzung!$B$5,Besatzung!$C$14)&lt;=B75)*(IF(Besatzung!$D$14="",Besatzung!$B$6,Besatzung!$D$14)&gt;=B75)))*(Besatzung!$F$14="x")*IFERROR(H75,0)/IFERROR(SUMPRODUCT((Besatzung!$B$11:$B$22&lt;&gt;"")*(Besatzung!$F$11:$F$22="x")*(IF(Besatzung!$C$11:$C$22="",Besatzung!$B$5,Besatzung!$C$11:$C$22)&lt;=B75)*(IF(Besatzung!$D$11:$D$22="",Besatzung!$B$6,Besatzung!$D$11:$D$22)&gt;=B75)),1)),IF(I75="An Bord",(((Besatzung!$B$14&lt;&gt;"")*IF(B75="",1,(IF(Besatzung!$C$14="",Besatzung!$B$5,Besatzung!$C$14)&lt;=B75)*(IF(Besatzung!$D$14="",Besatzung!$B$6,Besatzung!$D$14)&gt;=B75)))*((G75-IFERROR(H75,0))/IFERROR(SUMPRODUCT((Besatzung!$B$11:$B$22&lt;&gt;"")*(IF(Besatzung!$C$11:$C$22="",Besatzung!$B$5,Besatzung!$C$11:$C$22)&lt;=B75)*(IF(Besatzung!$D$11:$D$22="",Besatzung!$B$6,Besatzung!$D$11:$D$22)&gt;=B75)),1)+(Besatzung!$F$14="x")*IFERROR(H75,0)/IFERROR(SUMPRODUCT((Besatzung!$B$11:$B$22&lt;&gt;"")*(Besatzung!$F$11:$F$22="x")*(IF(Besatzung!$C$11:$C$22="",Besatzung!$B$5,Besatzung!$C$11:$C$22)&lt;=B75)*(IF(Besatzung!$D$11:$D$22="",Besatzung!$B$6,Besatzung!$D$11:$D$22)&gt;=B75)),1))),IF(I75="Individuell",((M75="x")*((G75-IFERROR(H75,0))/IFERROR(COUNTIF(J75:U75,"x"),1)+(Besatzung!$F$14="x")*IFERROR(H75,0)/IFERROR(SUMPRODUCT((J75:U75="x")*(Besatzung!$F$11:$F$22="x")),1))),(IF(COUNTIF(J75:U75,"x")=0,IF(Besatzung!$B$14&lt;&gt;"",1,0),(M75="x"))*(G75-IFERROR(H75,0))/IFERROR(IF(COUNTIF(J75:U75,"x")=0,COUNTA(Besatzung!$B$11:$B$22),COUNTIF(J75:U75,"x")),1)+IF(COUNTIF(J75:U75,"x")=0,(Besatzung!$F$14="x"),(M75="x")*(Besatzung!$F$14="x"))*IFERROR(H75,0)/IFERROR(IF(COUNTIF(J75:U75,"x")=0,SUMPRODUCT((Besatzung!$B$11:$B$22&lt;&gt;"")*(Besatzung!$F$11:$F$22="x")),SUMPRODUCT((J75:U75="x")*(Besatzung!$F$11:$F$22="x"))),1))))),0))))</f>
        <v/>
      </c>
      <c r="Z75" s="247">
        <f>IF(C75="Gutschrift","",IF(G75="","",IF(Besatzung!$B$13="","",IFERROR(IF(I75="Zeitanteilig",(Besatzung!$G$15*(G75-IFERROR(H75,0))+((Besatzung!$B$13&lt;&gt;"")*IF(B75="",1,(IF(Besatzung!$C$15="",Besatzung!$B$5,Besatzung!$C$15)&lt;=B75)*(IF(Besatzung!$D$15="",Besatzung!$B$6,Besatzung!$D$15)&gt;=B75)))*(Besatzung!$F$15="x")*IFERROR(H75,0)/IFERROR(SUMPRODUCT((Besatzung!$B$11:$B$22&lt;&gt;"")*(Besatzung!$F$11:$F$22="x")*(IF(Besatzung!$C$11:$C$22="",Besatzung!$B$5,Besatzung!$C$11:$C$22)&lt;=B75)*(IF(Besatzung!$D$11:$D$22="",Besatzung!$B$6,Besatzung!$D$11:$D$22)&gt;=B75)),1)),IF(I75="An Bord",(((Besatzung!$B$13&lt;&gt;"")*IF(B75="",1,(IF(Besatzung!$C$15="",Besatzung!$B$5,Besatzung!$C$15)&lt;=B75)*(IF(Besatzung!$D$15="",Besatzung!$B$6,Besatzung!$D$15)&gt;=B75)))*((G75-IFERROR(H75,0))/IFERROR(SUMPRODUCT((Besatzung!$B$11:$B$22&lt;&gt;"")*(IF(Besatzung!$C$11:$C$22="",Besatzung!$B$5,Besatzung!$C$11:$C$22)&lt;=B75)*(IF(Besatzung!$D$11:$D$22="",Besatzung!$B$6,Besatzung!$D$11:$D$22)&gt;=B75)),1)+(Besatzung!$F$15="x")*IFERROR(H75,0)/IFERROR(SUMPRODUCT((Besatzung!$B$11:$B$22&lt;&gt;"")*(Besatzung!$F$11:$F$22="x")*(IF(Besatzung!$C$11:$C$22="",Besatzung!$B$5,Besatzung!$C$11:$C$22)&lt;=B75)*(IF(Besatzung!$D$11:$D$22="",Besatzung!$B$6,Besatzung!$D$11:$D$22)&gt;=B75)),1))),IF(I75="Individuell",((N75="x")*((G75-IFERROR(H75,0))/IFERROR(COUNTIF(J75:U75,"x"),1)+(Besatzung!$F$15="x")*IFERROR(H75,0)/IFERROR(SUMPRODUCT((J75:U75="x")*(Besatzung!$F$11:$F$22="x")),1))),(IF(COUNTIF(J75:U75,"x")=0,IF(Besatzung!$B$13&lt;&gt;"",1,0),(N75="x"))*(G75-IFERROR(H75,0))/IFERROR(IF(COUNTIF(J75:U75,"x")=0,COUNTA(Besatzung!$B$11:$B$22),COUNTIF(J75:U75,"x")),1)+IF(COUNTIF(J75:U75,"x")=0,(Besatzung!$F$15="x"),(N75="x")*(Besatzung!$F$15="x"))*IFERROR(H75,0)/IFERROR(IF(COUNTIF(J75:U75,"x")=0,SUMPRODUCT((Besatzung!$B$11:$B$22&lt;&gt;"")*(Besatzung!$F$11:$F$22="x")),SUMPRODUCT((J75:U75="x")*(Besatzung!$F$11:$F$22="x"))),1))))),0))))</f>
        <v/>
      </c>
      <c r="AA75" s="247">
        <f>IF(C75="Gutschrift","",IF(G75="","",IF(Besatzung!$B$15="","",IFERROR(IF(I75="Zeitanteilig",(Besatzung!$G$16*(G75-IFERROR(H75,0))+((Besatzung!$B$15&lt;&gt;"")*IF(B75="",1,(IF(Besatzung!$C$16="",Besatzung!$B$5,Besatzung!$C$16)&lt;=B75)*(IF(Besatzung!$D$16="",Besatzung!$B$6,Besatzung!$D$16)&gt;=B75)))*(Besatzung!$F$16="x")*IFERROR(H75,0)/IFERROR(SUMPRODUCT((Besatzung!$B$11:$B$22&lt;&gt;"")*(Besatzung!$F$11:$F$22="x")*(IF(Besatzung!$C$11:$C$22="",Besatzung!$B$5,Besatzung!$C$11:$C$22)&lt;=B75)*(IF(Besatzung!$D$11:$D$22="",Besatzung!$B$6,Besatzung!$D$11:$D$22)&gt;=B75)),1)),IF(I75="An Bord",(((Besatzung!$B$15&lt;&gt;"")*IF(B75="",1,(IF(Besatzung!$C$16="",Besatzung!$B$5,Besatzung!$C$16)&lt;=B75)*(IF(Besatzung!$D$16="",Besatzung!$B$6,Besatzung!$D$16)&gt;=B75)))*((G75-IFERROR(H75,0))/IFERROR(SUMPRODUCT((Besatzung!$B$11:$B$22&lt;&gt;"")*(IF(Besatzung!$C$11:$C$22="",Besatzung!$B$5,Besatzung!$C$11:$C$22)&lt;=B75)*(IF(Besatzung!$D$11:$D$22="",Besatzung!$B$6,Besatzung!$D$11:$D$22)&gt;=B75)),1)+(Besatzung!$F$16="x")*IFERROR(H75,0)/IFERROR(SUMPRODUCT((Besatzung!$B$11:$B$22&lt;&gt;"")*(Besatzung!$F$11:$F$22="x")*(IF(Besatzung!$C$11:$C$22="",Besatzung!$B$5,Besatzung!$C$11:$C$22)&lt;=B75)*(IF(Besatzung!$D$11:$D$22="",Besatzung!$B$6,Besatzung!$D$11:$D$22)&gt;=B75)),1))),IF(I75="Individuell",((O75="x")*((G75-IFERROR(H75,0))/IFERROR(COUNTIF(J75:U75,"x"),1)+(Besatzung!$F$16="x")*IFERROR(H75,0)/IFERROR(SUMPRODUCT((J75:U75="x")*(Besatzung!$F$11:$F$22="x")),1))),(IF(COUNTIF(J75:U75,"x")=0,IF(Besatzung!$B$15&lt;&gt;"",1,0),(O75="x"))*(G75-IFERROR(H75,0))/IFERROR(IF(COUNTIF(J75:U75,"x")=0,COUNTA(Besatzung!$B$11:$B$22),COUNTIF(J75:U75,"x")),1)+IF(COUNTIF(J75:U75,"x")=0,(Besatzung!$F$16="x"),(O75="x")*(Besatzung!$F$16="x"))*IFERROR(H75,0)/IFERROR(IF(COUNTIF(J75:U75,"x")=0,SUMPRODUCT((Besatzung!$B$11:$B$22&lt;&gt;"")*(Besatzung!$F$11:$F$22="x")),SUMPRODUCT((J75:U75="x")*(Besatzung!$F$11:$F$22="x"))),1))))),0))))</f>
        <v/>
      </c>
      <c r="AB75" s="247">
        <f>IF(C75="Gutschrift","",IF(G75="","",IF(Besatzung!$B$17="","",IFERROR(IF(I75="Zeitanteilig",(Besatzung!$G$17*(G75-IFERROR(H75,0))+((Besatzung!$B$17&lt;&gt;"")*IF(B75="",1,(IF(Besatzung!$C$17="",Besatzung!$B$5,Besatzung!$C$17)&lt;=B75)*(IF(Besatzung!$D$17="",Besatzung!$B$6,Besatzung!$D$17)&gt;=B75)))*(Besatzung!$F$17="x")*IFERROR(H75,0)/IFERROR(SUMPRODUCT((Besatzung!$B$11:$B$22&lt;&gt;"")*(Besatzung!$F$11:$F$22="x")*(IF(Besatzung!$C$11:$C$22="",Besatzung!$B$5,Besatzung!$C$11:$C$22)&lt;=B75)*(IF(Besatzung!$D$11:$D$22="",Besatzung!$B$6,Besatzung!$D$11:$D$22)&gt;=B75)),1)),IF(I75="An Bord",(((Besatzung!$B$17&lt;&gt;"")*IF(B75="",1,(IF(Besatzung!$C$17="",Besatzung!$B$5,Besatzung!$C$17)&lt;=B75)*(IF(Besatzung!$D$17="",Besatzung!$B$6,Besatzung!$D$17)&gt;=B75)))*((G75-IFERROR(H75,0))/IFERROR(SUMPRODUCT((Besatzung!$B$11:$B$22&lt;&gt;"")*(IF(Besatzung!$C$11:$C$22="",Besatzung!$B$5,Besatzung!$C$11:$C$22)&lt;=B75)*(IF(Besatzung!$D$11:$D$22="",Besatzung!$B$6,Besatzung!$D$11:$D$22)&gt;=B75)),1)+(Besatzung!$F$17="x")*IFERROR(H75,0)/IFERROR(SUMPRODUCT((Besatzung!$B$11:$B$22&lt;&gt;"")*(Besatzung!$F$11:$F$22="x")*(IF(Besatzung!$C$11:$C$22="",Besatzung!$B$5,Besatzung!$C$11:$C$22)&lt;=B75)*(IF(Besatzung!$D$11:$D$22="",Besatzung!$B$6,Besatzung!$D$11:$D$22)&gt;=B75)),1))),IF(I75="Individuell",((P75="x")*((G75-IFERROR(H75,0))/IFERROR(COUNTIF(J75:U75,"x"),1)+(Besatzung!$F$17="x")*IFERROR(H75,0)/IFERROR(SUMPRODUCT((J75:U75="x")*(Besatzung!$F$11:$F$22="x")),1))),(IF(COUNTIF(J75:U75,"x")=0,IF(Besatzung!$B$17&lt;&gt;"",1,0),(P75="x"))*(G75-IFERROR(H75,0))/IFERROR(IF(COUNTIF(J75:U75,"x")=0,COUNTA(Besatzung!$B$11:$B$22),COUNTIF(J75:U75,"x")),1)+IF(COUNTIF(J75:U75,"x")=0,(Besatzung!$F$17="x"),(P75="x")*(Besatzung!$F$17="x"))*IFERROR(H75,0)/IFERROR(IF(COUNTIF(J75:U75,"x")=0,SUMPRODUCT((Besatzung!$B$11:$B$22&lt;&gt;"")*(Besatzung!$F$11:$F$22="x")),SUMPRODUCT((J75:U75="x")*(Besatzung!$F$11:$F$22="x"))),1))))),0))))</f>
        <v/>
      </c>
      <c r="AC75" s="247">
        <f>IF(C75="Gutschrift","",IF(G75="","",IF(Besatzung!$B$18="","",IFERROR(IF(I75="Zeitanteilig",(Besatzung!$G$18*(G75-IFERROR(H75,0))+((Besatzung!$B$18&lt;&gt;"")*IF(B75="",1,(IF(Besatzung!$C$18="",Besatzung!$B$5,Besatzung!$C$18)&lt;=B75)*(IF(Besatzung!$D$18="",Besatzung!$B$6,Besatzung!$D$18)&gt;=B75)))*(Besatzung!$F$18="x")*IFERROR(H75,0)/IFERROR(SUMPRODUCT((Besatzung!$B$11:$B$22&lt;&gt;"")*(Besatzung!$F$11:$F$22="x")*(IF(Besatzung!$C$11:$C$22="",Besatzung!$B$5,Besatzung!$C$11:$C$22)&lt;=B75)*(IF(Besatzung!$D$11:$D$22="",Besatzung!$B$6,Besatzung!$D$11:$D$22)&gt;=B75)),1)),IF(I75="An Bord",(((Besatzung!$B$18&lt;&gt;"")*IF(B75="",1,(IF(Besatzung!$C$18="",Besatzung!$B$5,Besatzung!$C$18)&lt;=B75)*(IF(Besatzung!$D$18="",Besatzung!$B$6,Besatzung!$D$18)&gt;=B75)))*((G75-IFERROR(H75,0))/IFERROR(SUMPRODUCT((Besatzung!$B$11:$B$22&lt;&gt;"")*(IF(Besatzung!$C$11:$C$22="",Besatzung!$B$5,Besatzung!$C$11:$C$22)&lt;=B75)*(IF(Besatzung!$D$11:$D$22="",Besatzung!$B$6,Besatzung!$D$11:$D$22)&gt;=B75)),1)+(Besatzung!$F$18="x")*IFERROR(H75,0)/IFERROR(SUMPRODUCT((Besatzung!$B$11:$B$22&lt;&gt;"")*(Besatzung!$F$11:$F$22="x")*(IF(Besatzung!$C$11:$C$22="",Besatzung!$B$5,Besatzung!$C$11:$C$22)&lt;=B75)*(IF(Besatzung!$D$11:$D$22="",Besatzung!$B$6,Besatzung!$D$11:$D$22)&gt;=B75)),1))),IF(I75="Individuell",((Q75="x")*((G75-IFERROR(H75,0))/IFERROR(COUNTIF(J75:U75,"x"),1)+(Besatzung!$F$18="x")*IFERROR(H75,0)/IFERROR(SUMPRODUCT((J75:U75="x")*(Besatzung!$F$11:$F$22="x")),1))),(IF(COUNTIF(J75:U75,"x")=0,IF(Besatzung!$B$18&lt;&gt;"",1,0),(Q75="x"))*(G75-IFERROR(H75,0))/IFERROR(IF(COUNTIF(J75:U75,"x")=0,COUNTA(Besatzung!$B$11:$B$22),COUNTIF(J75:U75,"x")),1)+IF(COUNTIF(J75:U75,"x")=0,(Besatzung!$F$18="x"),(Q75="x")*(Besatzung!$F$18="x"))*IFERROR(H75,0)/IFERROR(IF(COUNTIF(J75:U75,"x")=0,SUMPRODUCT((Besatzung!$B$11:$B$22&lt;&gt;"")*(Besatzung!$F$11:$F$22="x")),SUMPRODUCT((J75:U75="x")*(Besatzung!$F$11:$F$22="x"))),1))))),0))))</f>
        <v/>
      </c>
      <c r="AD75" s="247">
        <f>IF(C75="Gutschrift","",IF(G75="","",IF(Besatzung!$B$19="","",IFERROR(IF(I75="Zeitanteilig",(Besatzung!$G$19*(G75-IFERROR(H75,0))+((Besatzung!$B$19&lt;&gt;"")*IF(B75="",1,(IF(Besatzung!$C$19="",Besatzung!$B$5,Besatzung!$C$19)&lt;=B75)*(IF(Besatzung!$D$19="",Besatzung!$B$6,Besatzung!$D$19)&gt;=B75)))*(Besatzung!$F$19="x")*IFERROR(H75,0)/IFERROR(SUMPRODUCT((Besatzung!$B$11:$B$22&lt;&gt;"")*(Besatzung!$F$11:$F$22="x")*(IF(Besatzung!$C$11:$C$22="",Besatzung!$B$5,Besatzung!$C$11:$C$22)&lt;=B75)*(IF(Besatzung!$D$11:$D$22="",Besatzung!$B$6,Besatzung!$D$11:$D$22)&gt;=B75)),1)),IF(I75="An Bord",(((Besatzung!$B$19&lt;&gt;"")*IF(B75="",1,(IF(Besatzung!$C$19="",Besatzung!$B$5,Besatzung!$C$19)&lt;=B75)*(IF(Besatzung!$D$19="",Besatzung!$B$6,Besatzung!$D$19)&gt;=B75)))*((G75-IFERROR(H75,0))/IFERROR(SUMPRODUCT((Besatzung!$B$11:$B$22&lt;&gt;"")*(IF(Besatzung!$C$11:$C$22="",Besatzung!$B$5,Besatzung!$C$11:$C$22)&lt;=B75)*(IF(Besatzung!$D$11:$D$22="",Besatzung!$B$6,Besatzung!$D$11:$D$22)&gt;=B75)),1)+(Besatzung!$F$19="x")*IFERROR(H75,0)/IFERROR(SUMPRODUCT((Besatzung!$B$11:$B$22&lt;&gt;"")*(Besatzung!$F$11:$F$22="x")*(IF(Besatzung!$C$11:$C$22="",Besatzung!$B$5,Besatzung!$C$11:$C$22)&lt;=B75)*(IF(Besatzung!$D$11:$D$22="",Besatzung!$B$6,Besatzung!$D$11:$D$22)&gt;=B75)),1))),IF(I75="Individuell",((R75="x")*((G75-IFERROR(H75,0))/IFERROR(COUNTIF(J75:U75,"x"),1)+(Besatzung!$F$19="x")*IFERROR(H75,0)/IFERROR(SUMPRODUCT((J75:U75="x")*(Besatzung!$F$11:$F$22="x")),1))),(IF(COUNTIF(J75:U75,"x")=0,IF(Besatzung!$B$19&lt;&gt;"",1,0),(R75="x"))*(G75-IFERROR(H75,0))/IFERROR(IF(COUNTIF(J75:U75,"x")=0,COUNTA(Besatzung!$B$11:$B$22),COUNTIF(J75:U75,"x")),1)+IF(COUNTIF(J75:U75,"x")=0,(Besatzung!$F$19="x"),(R75="x")*(Besatzung!$F$19="x"))*IFERROR(H75,0)/IFERROR(IF(COUNTIF(J75:U75,"x")=0,SUMPRODUCT((Besatzung!$B$11:$B$22&lt;&gt;"")*(Besatzung!$F$11:$F$22="x")),SUMPRODUCT((J75:U75="x")*(Besatzung!$F$11:$F$22="x"))),1))))),0))))</f>
        <v/>
      </c>
      <c r="AE75" s="247">
        <f>IF(C75="Gutschrift","",IF(G75="","",IF(Besatzung!$B$20="","",IFERROR(IF(I75="Zeitanteilig",(Besatzung!$G$20*(G75-IFERROR(H75,0))+((Besatzung!$B$20&lt;&gt;"")*IF(B75="",1,(IF(Besatzung!$C$20="",Besatzung!$B$5,Besatzung!$C$20)&lt;=B75)*(IF(Besatzung!$D$20="",Besatzung!$B$6,Besatzung!$D$20)&gt;=B75)))*(Besatzung!$F$20="x")*IFERROR(H75,0)/IFERROR(SUMPRODUCT((Besatzung!$B$11:$B$22&lt;&gt;"")*(Besatzung!$F$11:$F$22="x")*(IF(Besatzung!$C$11:$C$22="",Besatzung!$B$5,Besatzung!$C$11:$C$22)&lt;=B75)*(IF(Besatzung!$D$11:$D$22="",Besatzung!$B$6,Besatzung!$D$11:$D$22)&gt;=B75)),1)),IF(I75="An Bord",(((Besatzung!$B$20&lt;&gt;"")*IF(B75="",1,(IF(Besatzung!$C$20="",Besatzung!$B$5,Besatzung!$C$20)&lt;=B75)*(IF(Besatzung!$D$20="",Besatzung!$B$6,Besatzung!$D$20)&gt;=B75)))*((G75-IFERROR(H75,0))/IFERROR(SUMPRODUCT((Besatzung!$B$11:$B$22&lt;&gt;"")*(IF(Besatzung!$C$11:$C$22="",Besatzung!$B$5,Besatzung!$C$11:$C$22)&lt;=B75)*(IF(Besatzung!$D$11:$D$22="",Besatzung!$B$6,Besatzung!$D$11:$D$22)&gt;=B75)),1)+(Besatzung!$F$20="x")*IFERROR(H75,0)/IFERROR(SUMPRODUCT((Besatzung!$B$11:$B$22&lt;&gt;"")*(Besatzung!$F$11:$F$22="x")*(IF(Besatzung!$C$11:$C$22="",Besatzung!$B$5,Besatzung!$C$11:$C$22)&lt;=B75)*(IF(Besatzung!$D$11:$D$22="",Besatzung!$B$6,Besatzung!$D$11:$D$22)&gt;=B75)),1))),IF(I75="Individuell",((S75="x")*((G75-IFERROR(H75,0))/IFERROR(COUNTIF(J75:U75,"x"),1)+(Besatzung!$F$20="x")*IFERROR(H75,0)/IFERROR(SUMPRODUCT((J75:U75="x")*(Besatzung!$F$11:$F$22="x")),1))),(IF(COUNTIF(J75:U75,"x")=0,IF(Besatzung!$B$20&lt;&gt;"",1,0),(S75="x"))*(G75-IFERROR(H75,0))/IFERROR(IF(COUNTIF(J75:U75,"x")=0,COUNTA(Besatzung!$B$11:$B$22),COUNTIF(J75:U75,"x")),1)+IF(COUNTIF(J75:U75,"x")=0,(Besatzung!$F$20="x"),(S75="x")*(Besatzung!$F$20="x"))*IFERROR(H75,0)/IFERROR(IF(COUNTIF(J75:U75,"x")=0,SUMPRODUCT((Besatzung!$B$11:$B$22&lt;&gt;"")*(Besatzung!$F$11:$F$22="x")),SUMPRODUCT((J75:U75="x")*(Besatzung!$F$11:$F$22="x"))),1))))),0))))</f>
        <v/>
      </c>
      <c r="AF75" s="247">
        <f>IF(C75="Gutschrift","",IF(G75="","",IF(Besatzung!$B$21="","",IFERROR(IF(I75="Zeitanteilig",(Besatzung!$G$21*(G75-IFERROR(H75,0))+((Besatzung!$B$21&lt;&gt;"")*IF(B75="",1,(IF(Besatzung!$C$21="",Besatzung!$B$5,Besatzung!$C$21)&lt;=B75)*(IF(Besatzung!$D$21="",Besatzung!$B$6,Besatzung!$D$21)&gt;=B75)))*(Besatzung!$F$21="x")*IFERROR(H75,0)/IFERROR(SUMPRODUCT((Besatzung!$B$11:$B$22&lt;&gt;"")*(Besatzung!$F$11:$F$22="x")*(IF(Besatzung!$C$11:$C$22="",Besatzung!$B$5,Besatzung!$C$11:$C$22)&lt;=B75)*(IF(Besatzung!$D$11:$D$22="",Besatzung!$B$6,Besatzung!$D$11:$D$22)&gt;=B75)),1)),IF(I75="An Bord",(((Besatzung!$B$21&lt;&gt;"")*IF(B75="",1,(IF(Besatzung!$C$21="",Besatzung!$B$5,Besatzung!$C$21)&lt;=B75)*(IF(Besatzung!$D$21="",Besatzung!$B$6,Besatzung!$D$21)&gt;=B75)))*((G75-IFERROR(H75,0))/IFERROR(SUMPRODUCT((Besatzung!$B$11:$B$22&lt;&gt;"")*(IF(Besatzung!$C$11:$C$22="",Besatzung!$B$5,Besatzung!$C$11:$C$22)&lt;=B75)*(IF(Besatzung!$D$11:$D$22="",Besatzung!$B$6,Besatzung!$D$11:$D$22)&gt;=B75)),1)+(Besatzung!$F$21="x")*IFERROR(H75,0)/IFERROR(SUMPRODUCT((Besatzung!$B$11:$B$22&lt;&gt;"")*(Besatzung!$F$11:$F$22="x")*(IF(Besatzung!$C$11:$C$22="",Besatzung!$B$5,Besatzung!$C$11:$C$22)&lt;=B75)*(IF(Besatzung!$D$11:$D$22="",Besatzung!$B$6,Besatzung!$D$11:$D$22)&gt;=B75)),1))),IF(I75="Individuell",((T75="x")*((G75-IFERROR(H75,0))/IFERROR(COUNTIF(J75:U75,"x"),1)+(Besatzung!$F$21="x")*IFERROR(H75,0)/IFERROR(SUMPRODUCT((J75:U75="x")*(Besatzung!$F$11:$F$22="x")),1))),(IF(COUNTIF(J75:U75,"x")=0,IF(Besatzung!$B$21&lt;&gt;"",1,0),(T75="x"))*(G75-IFERROR(H75,0))/IFERROR(IF(COUNTIF(J75:U75,"x")=0,COUNTA(Besatzung!$B$11:$B$22),COUNTIF(J75:U75,"x")),1)+IF(COUNTIF(J75:U75,"x")=0,(Besatzung!$F$21="x"),(T75="x")*(Besatzung!$F$21="x"))*IFERROR(H75,0)/IFERROR(IF(COUNTIF(J75:U75,"x")=0,SUMPRODUCT((Besatzung!$B$11:$B$22&lt;&gt;"")*(Besatzung!$F$11:$F$22="x")),SUMPRODUCT((J75:U75="x")*(Besatzung!$F$11:$F$22="x"))),1))))),0))))</f>
        <v/>
      </c>
      <c r="AG75" s="247">
        <f>IF(C75="Gutschrift","",IF(G75="","",IF(Besatzung!$B$22="","",IFERROR(IF(I75="Zeitanteilig",(Besatzung!$G$22*(G75-IFERROR(H75,0))+((Besatzung!$B$22&lt;&gt;"")*IF(B75="",1,(IF(Besatzung!$C$22="",Besatzung!$B$5,Besatzung!$C$22)&lt;=B75)*(IF(Besatzung!$D$22="",Besatzung!$B$6,Besatzung!$D$22)&gt;=B75)))*(Besatzung!$F$22="x")*IFERROR(H75,0)/IFERROR(SUMPRODUCT((Besatzung!$B$11:$B$22&lt;&gt;"")*(Besatzung!$F$11:$F$22="x")*(IF(Besatzung!$C$11:$C$22="",Besatzung!$B$5,Besatzung!$C$11:$C$22)&lt;=B75)*(IF(Besatzung!$D$11:$D$22="",Besatzung!$B$6,Besatzung!$D$11:$D$22)&gt;=B75)),1)),IF(I75="An Bord",(((Besatzung!$B$22&lt;&gt;"")*IF(B75="",1,(IF(Besatzung!$C$22="",Besatzung!$B$5,Besatzung!$C$22)&lt;=B75)*(IF(Besatzung!$D$22="",Besatzung!$B$6,Besatzung!$D$22)&gt;=B75)))*((G75-IFERROR(H75,0))/IFERROR(SUMPRODUCT((Besatzung!$B$11:$B$22&lt;&gt;"")*(IF(Besatzung!$C$11:$C$22="",Besatzung!$B$5,Besatzung!$C$11:$C$22)&lt;=B75)*(IF(Besatzung!$D$11:$D$22="",Besatzung!$B$6,Besatzung!$D$11:$D$22)&gt;=B75)),1)+(Besatzung!$F$22="x")*IFERROR(H75,0)/IFERROR(SUMPRODUCT((Besatzung!$B$11:$B$22&lt;&gt;"")*(Besatzung!$F$11:$F$22="x")*(IF(Besatzung!$C$11:$C$22="",Besatzung!$B$5,Besatzung!$C$11:$C$22)&lt;=B75)*(IF(Besatzung!$D$11:$D$22="",Besatzung!$B$6,Besatzung!$D$11:$D$22)&gt;=B75)),1))),IF(I75="Individuell",((U75="x")*((G75-IFERROR(H75,0))/IFERROR(COUNTIF(J75:U75,"x"),1)+(Besatzung!$F$22="x")*IFERROR(H75,0)/IFERROR(SUMPRODUCT((J75:U75="x")*(Besatzung!$F$11:$F$22="x")),1))),(IF(COUNTIF(J75:U75,"x")=0,IF(Besatzung!$B$22&lt;&gt;"",1,0),(U75="x"))*(G75-IFERROR(H75,0))/IFERROR(IF(COUNTIF(J75:U75,"x")=0,COUNTA(Besatzung!$B$11:$B$22),COUNTIF(J75:U75,"x")),1)+IF(COUNTIF(J75:U75,"x")=0,(Besatzung!$F$22="x"),(U75="x")*(Besatzung!$F$22="x"))*IFERROR(H75,0)/IFERROR(IF(COUNTIF(J75:U75,"x")=0,SUMPRODUCT((Besatzung!$B$11:$B$22&lt;&gt;"")*(Besatzung!$F$11:$F$22="x")),SUMPRODUCT((J75:U75="x")*(Besatzung!$F$11:$F$22="x"))),1))))),0))))</f>
        <v/>
      </c>
      <c r="AH75" s="248" t="n"/>
      <c r="AI75" s="248" t="n"/>
    </row>
    <row r="76" ht="21.75" customHeight="1" s="154">
      <c r="A76" s="238">
        <f>IF(AND(D76="",C76=""),"",73)</f>
        <v/>
      </c>
      <c r="B76" s="199" t="n"/>
      <c r="C76" s="239" t="n"/>
      <c r="D76" s="240" t="n"/>
      <c r="E76" s="241" t="n"/>
      <c r="F76" s="242" t="n"/>
      <c r="G76" s="243" t="n"/>
      <c r="H76" s="244" t="n"/>
      <c r="I76" s="245" t="n"/>
      <c r="J76" s="246" t="n"/>
      <c r="K76" s="246" t="n"/>
      <c r="L76" s="246" t="n"/>
      <c r="M76" s="246" t="n"/>
      <c r="N76" s="246" t="n"/>
      <c r="O76" s="246" t="n"/>
      <c r="P76" s="246" t="n"/>
      <c r="Q76" s="246" t="n"/>
      <c r="R76" s="246" t="n"/>
      <c r="S76" s="246" t="n"/>
      <c r="T76" s="246" t="n"/>
      <c r="U76" s="246" t="n"/>
      <c r="V76" s="247">
        <f>IF(C76="Gutschrift","",IF(G76="","",IF(Besatzung!$B$11="","",IFERROR(IF(I76="Zeitanteilig",(Besatzung!$G$11*(G76-IFERROR(H76,0))+((Besatzung!$B$11&lt;&gt;"")*IF(B76="",1,(IF(Besatzung!$C$11="",Besatzung!$B$5,Besatzung!$C$11)&lt;=B76)*(IF(Besatzung!$D$11="",Besatzung!$B$6,Besatzung!$D$11)&gt;=B76)))*(Besatzung!$F$11="x")*IFERROR(H76,0)/IFERROR(SUMPRODUCT((Besatzung!$B$11:$B$22&lt;&gt;"")*(Besatzung!$F$11:$F$22="x")*(IF(Besatzung!$C$11:$C$22="",Besatzung!$B$5,Besatzung!$C$11:$C$22)&lt;=B76)*(IF(Besatzung!$D$11:$D$22="",Besatzung!$B$6,Besatzung!$D$11:$D$22)&gt;=B76)),1)),IF(I76="An Bord",(((Besatzung!$B$11&lt;&gt;"")*IF(B76="",1,(IF(Besatzung!$C$11="",Besatzung!$B$5,Besatzung!$C$11)&lt;=B76)*(IF(Besatzung!$D$11="",Besatzung!$B$6,Besatzung!$D$11)&gt;=B76)))*((G76-IFERROR(H76,0))/IFERROR(SUMPRODUCT((Besatzung!$B$11:$B$22&lt;&gt;"")*(IF(Besatzung!$C$11:$C$22="",Besatzung!$B$5,Besatzung!$C$11:$C$22)&lt;=B76)*(IF(Besatzung!$D$11:$D$22="",Besatzung!$B$6,Besatzung!$D$11:$D$22)&gt;=B76)),1)+(Besatzung!$F$11="x")*IFERROR(H76,0)/IFERROR(SUMPRODUCT((Besatzung!$B$11:$B$22&lt;&gt;"")*(Besatzung!$F$11:$F$22="x")*(IF(Besatzung!$C$11:$C$22="",Besatzung!$B$5,Besatzung!$C$11:$C$22)&lt;=B76)*(IF(Besatzung!$D$11:$D$22="",Besatzung!$B$6,Besatzung!$D$11:$D$22)&gt;=B76)),1))),IF(I76="Individuell",((J76="x")*((G76-IFERROR(H76,0))/IFERROR(COUNTIF(J76:U76,"x"),1)+(Besatzung!$F$11="x")*IFERROR(H76,0)/IFERROR(SUMPRODUCT((J76:U76="x")*(Besatzung!$F$11:$F$22="x")),1))),(IF(COUNTIF(J76:U76,"x")=0,IF(Besatzung!$B$11&lt;&gt;"",1,0),(J76="x"))*(G76-IFERROR(H76,0))/IFERROR(IF(COUNTIF(J76:U76,"x")=0,COUNTA(Besatzung!$B$11:$B$22),COUNTIF(J76:U76,"x")),1)+IF(COUNTIF(J76:U76,"x")=0,(Besatzung!$F$11="x"),(J76="x")*(Besatzung!$F$11="x"))*IFERROR(H76,0)/IFERROR(IF(COUNTIF(J76:U76,"x")=0,SUMPRODUCT((Besatzung!$B$11:$B$22&lt;&gt;"")*(Besatzung!$F$11:$F$22="x")),SUMPRODUCT((J76:U76="x")*(Besatzung!$F$11:$F$22="x"))),1))))),0))))</f>
        <v/>
      </c>
      <c r="W76" s="247">
        <f>IF(C76="Gutschrift","",IF(G76="","",IF(Besatzung!$B$12="","",IFERROR(IF(I76="Zeitanteilig",(Besatzung!$G$12*(G76-IFERROR(H76,0))+((Besatzung!$B$12&lt;&gt;"")*IF(B76="",1,(IF(Besatzung!$C$12="",Besatzung!$B$5,Besatzung!$C$12)&lt;=B76)*(IF(Besatzung!$D$12="",Besatzung!$B$6,Besatzung!$D$12)&gt;=B76)))*(Besatzung!$F$12="x")*IFERROR(H76,0)/IFERROR(SUMPRODUCT((Besatzung!$B$11:$B$22&lt;&gt;"")*(Besatzung!$F$11:$F$22="x")*(IF(Besatzung!$C$11:$C$22="",Besatzung!$B$5,Besatzung!$C$11:$C$22)&lt;=B76)*(IF(Besatzung!$D$11:$D$22="",Besatzung!$B$6,Besatzung!$D$11:$D$22)&gt;=B76)),1)),IF(I76="An Bord",(((Besatzung!$B$12&lt;&gt;"")*IF(B76="",1,(IF(Besatzung!$C$12="",Besatzung!$B$5,Besatzung!$C$12)&lt;=B76)*(IF(Besatzung!$D$12="",Besatzung!$B$6,Besatzung!$D$12)&gt;=B76)))*((G76-IFERROR(H76,0))/IFERROR(SUMPRODUCT((Besatzung!$B$11:$B$22&lt;&gt;"")*(IF(Besatzung!$C$11:$C$22="",Besatzung!$B$5,Besatzung!$C$11:$C$22)&lt;=B76)*(IF(Besatzung!$D$11:$D$22="",Besatzung!$B$6,Besatzung!$D$11:$D$22)&gt;=B76)),1)+(Besatzung!$F$12="x")*IFERROR(H76,0)/IFERROR(SUMPRODUCT((Besatzung!$B$11:$B$22&lt;&gt;"")*(Besatzung!$F$11:$F$22="x")*(IF(Besatzung!$C$11:$C$22="",Besatzung!$B$5,Besatzung!$C$11:$C$22)&lt;=B76)*(IF(Besatzung!$D$11:$D$22="",Besatzung!$B$6,Besatzung!$D$11:$D$22)&gt;=B76)),1))),IF(I76="Individuell",((K76="x")*((G76-IFERROR(H76,0))/IFERROR(COUNTIF(J76:U76,"x"),1)+(Besatzung!$F$12="x")*IFERROR(H76,0)/IFERROR(SUMPRODUCT((J76:U76="x")*(Besatzung!$F$11:$F$22="x")),1))),(IF(COUNTIF(J76:U76,"x")=0,IF(Besatzung!$B$12&lt;&gt;"",1,0),(K76="x"))*(G76-IFERROR(H76,0))/IFERROR(IF(COUNTIF(J76:U76,"x")=0,COUNTA(Besatzung!$B$11:$B$22),COUNTIF(J76:U76,"x")),1)+IF(COUNTIF(J76:U76,"x")=0,(Besatzung!$F$12="x"),(K76="x")*(Besatzung!$F$12="x"))*IFERROR(H76,0)/IFERROR(IF(COUNTIF(J76:U76,"x")=0,SUMPRODUCT((Besatzung!$B$11:$B$22&lt;&gt;"")*(Besatzung!$F$11:$F$22="x")),SUMPRODUCT((J76:U76="x")*(Besatzung!$F$11:$F$22="x"))),1))))),0))))</f>
        <v/>
      </c>
      <c r="X76" s="247">
        <f>IF(C76="Gutschrift","",IF(G76="","",IF(Besatzung!$B$13="","",IFERROR(IF(I76="Zeitanteilig",(Besatzung!$G$13*(G76-IFERROR(H76,0))+((Besatzung!$B$13&lt;&gt;"")*IF(B76="",1,(IF(Besatzung!$C$13="",Besatzung!$B$5,Besatzung!$C$13)&lt;=B76)*(IF(Besatzung!$D$13="",Besatzung!$B$6,Besatzung!$D$13)&gt;=B76)))*(Besatzung!$F$13="x")*IFERROR(H76,0)/IFERROR(SUMPRODUCT((Besatzung!$B$11:$B$22&lt;&gt;"")*(Besatzung!$F$11:$F$22="x")*(IF(Besatzung!$C$11:$C$22="",Besatzung!$B$5,Besatzung!$C$11:$C$22)&lt;=B76)*(IF(Besatzung!$D$11:$D$22="",Besatzung!$B$6,Besatzung!$D$11:$D$22)&gt;=B76)),1)),IF(I76="An Bord",(((Besatzung!$B$13&lt;&gt;"")*IF(B76="",1,(IF(Besatzung!$C$13="",Besatzung!$B$5,Besatzung!$C$13)&lt;=B76)*(IF(Besatzung!$D$13="",Besatzung!$B$6,Besatzung!$D$13)&gt;=B76)))*((G76-IFERROR(H76,0))/IFERROR(SUMPRODUCT((Besatzung!$B$11:$B$22&lt;&gt;"")*(IF(Besatzung!$C$11:$C$22="",Besatzung!$B$5,Besatzung!$C$11:$C$22)&lt;=B76)*(IF(Besatzung!$D$11:$D$22="",Besatzung!$B$6,Besatzung!$D$11:$D$22)&gt;=B76)),1)+(Besatzung!$F$13="x")*IFERROR(H76,0)/IFERROR(SUMPRODUCT((Besatzung!$B$11:$B$22&lt;&gt;"")*(Besatzung!$F$11:$F$22="x")*(IF(Besatzung!$C$11:$C$22="",Besatzung!$B$5,Besatzung!$C$11:$C$22)&lt;=B76)*(IF(Besatzung!$D$11:$D$22="",Besatzung!$B$6,Besatzung!$D$11:$D$22)&gt;=B76)),1))),IF(I76="Individuell",((K76="x")*((G76-IFERROR(H76,0))/IFERROR(COUNTIF(J76:U76,"x"),1)+(Besatzung!$F$13="x")*IFERROR(H76,0)/IFERROR(SUMPRODUCT((J76:U76="x")*(Besatzung!$F$11:$F$22="x")),1))),(IF(COUNTIF(J76:U76,"x")=0,IF(Besatzung!$B$13&lt;&gt;"",1,0),(K76="x"))*(G76-IFERROR(H76,0))/IFERROR(IF(COUNTIF(J76:U76,"x")=0,COUNTA(Besatzung!$B$11:$B$22),COUNTIF(J76:U76,"x")),1)+IF(COUNTIF(J76:U76,"x")=0,(Besatzung!$F$13="x"),(K76="x")*(Besatzung!$F$13="x"))*IFERROR(H76,0)/IFERROR(IF(COUNTIF(J76:U76,"x")=0,SUMPRODUCT((Besatzung!$B$11:$B$22&lt;&gt;"")*(Besatzung!$F$11:$F$22="x")),SUMPRODUCT((J76:U76="x")*(Besatzung!$F$11:$F$22="x"))),1))))),0))))</f>
        <v/>
      </c>
      <c r="Y76" s="247">
        <f>IF(C76="Gutschrift","",IF(G76="","",IF(Besatzung!$B$14="","",IFERROR(IF(I76="Zeitanteilig",(Besatzung!$G$14*(G76-IFERROR(H76,0))+((Besatzung!$B$14&lt;&gt;"")*IF(B76="",1,(IF(Besatzung!$C$14="",Besatzung!$B$5,Besatzung!$C$14)&lt;=B76)*(IF(Besatzung!$D$14="",Besatzung!$B$6,Besatzung!$D$14)&gt;=B76)))*(Besatzung!$F$14="x")*IFERROR(H76,0)/IFERROR(SUMPRODUCT((Besatzung!$B$11:$B$22&lt;&gt;"")*(Besatzung!$F$11:$F$22="x")*(IF(Besatzung!$C$11:$C$22="",Besatzung!$B$5,Besatzung!$C$11:$C$22)&lt;=B76)*(IF(Besatzung!$D$11:$D$22="",Besatzung!$B$6,Besatzung!$D$11:$D$22)&gt;=B76)),1)),IF(I76="An Bord",(((Besatzung!$B$14&lt;&gt;"")*IF(B76="",1,(IF(Besatzung!$C$14="",Besatzung!$B$5,Besatzung!$C$14)&lt;=B76)*(IF(Besatzung!$D$14="",Besatzung!$B$6,Besatzung!$D$14)&gt;=B76)))*((G76-IFERROR(H76,0))/IFERROR(SUMPRODUCT((Besatzung!$B$11:$B$22&lt;&gt;"")*(IF(Besatzung!$C$11:$C$22="",Besatzung!$B$5,Besatzung!$C$11:$C$22)&lt;=B76)*(IF(Besatzung!$D$11:$D$22="",Besatzung!$B$6,Besatzung!$D$11:$D$22)&gt;=B76)),1)+(Besatzung!$F$14="x")*IFERROR(H76,0)/IFERROR(SUMPRODUCT((Besatzung!$B$11:$B$22&lt;&gt;"")*(Besatzung!$F$11:$F$22="x")*(IF(Besatzung!$C$11:$C$22="",Besatzung!$B$5,Besatzung!$C$11:$C$22)&lt;=B76)*(IF(Besatzung!$D$11:$D$22="",Besatzung!$B$6,Besatzung!$D$11:$D$22)&gt;=B76)),1))),IF(I76="Individuell",((M76="x")*((G76-IFERROR(H76,0))/IFERROR(COUNTIF(J76:U76,"x"),1)+(Besatzung!$F$14="x")*IFERROR(H76,0)/IFERROR(SUMPRODUCT((J76:U76="x")*(Besatzung!$F$11:$F$22="x")),1))),(IF(COUNTIF(J76:U76,"x")=0,IF(Besatzung!$B$14&lt;&gt;"",1,0),(M76="x"))*(G76-IFERROR(H76,0))/IFERROR(IF(COUNTIF(J76:U76,"x")=0,COUNTA(Besatzung!$B$11:$B$22),COUNTIF(J76:U76,"x")),1)+IF(COUNTIF(J76:U76,"x")=0,(Besatzung!$F$14="x"),(M76="x")*(Besatzung!$F$14="x"))*IFERROR(H76,0)/IFERROR(IF(COUNTIF(J76:U76,"x")=0,SUMPRODUCT((Besatzung!$B$11:$B$22&lt;&gt;"")*(Besatzung!$F$11:$F$22="x")),SUMPRODUCT((J76:U76="x")*(Besatzung!$F$11:$F$22="x"))),1))))),0))))</f>
        <v/>
      </c>
      <c r="Z76" s="247">
        <f>IF(C76="Gutschrift","",IF(G76="","",IF(Besatzung!$B$13="","",IFERROR(IF(I76="Zeitanteilig",(Besatzung!$G$15*(G76-IFERROR(H76,0))+((Besatzung!$B$13&lt;&gt;"")*IF(B76="",1,(IF(Besatzung!$C$15="",Besatzung!$B$5,Besatzung!$C$15)&lt;=B76)*(IF(Besatzung!$D$15="",Besatzung!$B$6,Besatzung!$D$15)&gt;=B76)))*(Besatzung!$F$15="x")*IFERROR(H76,0)/IFERROR(SUMPRODUCT((Besatzung!$B$11:$B$22&lt;&gt;"")*(Besatzung!$F$11:$F$22="x")*(IF(Besatzung!$C$11:$C$22="",Besatzung!$B$5,Besatzung!$C$11:$C$22)&lt;=B76)*(IF(Besatzung!$D$11:$D$22="",Besatzung!$B$6,Besatzung!$D$11:$D$22)&gt;=B76)),1)),IF(I76="An Bord",(((Besatzung!$B$13&lt;&gt;"")*IF(B76="",1,(IF(Besatzung!$C$15="",Besatzung!$B$5,Besatzung!$C$15)&lt;=B76)*(IF(Besatzung!$D$15="",Besatzung!$B$6,Besatzung!$D$15)&gt;=B76)))*((G76-IFERROR(H76,0))/IFERROR(SUMPRODUCT((Besatzung!$B$11:$B$22&lt;&gt;"")*(IF(Besatzung!$C$11:$C$22="",Besatzung!$B$5,Besatzung!$C$11:$C$22)&lt;=B76)*(IF(Besatzung!$D$11:$D$22="",Besatzung!$B$6,Besatzung!$D$11:$D$22)&gt;=B76)),1)+(Besatzung!$F$15="x")*IFERROR(H76,0)/IFERROR(SUMPRODUCT((Besatzung!$B$11:$B$22&lt;&gt;"")*(Besatzung!$F$11:$F$22="x")*(IF(Besatzung!$C$11:$C$22="",Besatzung!$B$5,Besatzung!$C$11:$C$22)&lt;=B76)*(IF(Besatzung!$D$11:$D$22="",Besatzung!$B$6,Besatzung!$D$11:$D$22)&gt;=B76)),1))),IF(I76="Individuell",((N76="x")*((G76-IFERROR(H76,0))/IFERROR(COUNTIF(J76:U76,"x"),1)+(Besatzung!$F$15="x")*IFERROR(H76,0)/IFERROR(SUMPRODUCT((J76:U76="x")*(Besatzung!$F$11:$F$22="x")),1))),(IF(COUNTIF(J76:U76,"x")=0,IF(Besatzung!$B$13&lt;&gt;"",1,0),(N76="x"))*(G76-IFERROR(H76,0))/IFERROR(IF(COUNTIF(J76:U76,"x")=0,COUNTA(Besatzung!$B$11:$B$22),COUNTIF(J76:U76,"x")),1)+IF(COUNTIF(J76:U76,"x")=0,(Besatzung!$F$15="x"),(N76="x")*(Besatzung!$F$15="x"))*IFERROR(H76,0)/IFERROR(IF(COUNTIF(J76:U76,"x")=0,SUMPRODUCT((Besatzung!$B$11:$B$22&lt;&gt;"")*(Besatzung!$F$11:$F$22="x")),SUMPRODUCT((J76:U76="x")*(Besatzung!$F$11:$F$22="x"))),1))))),0))))</f>
        <v/>
      </c>
      <c r="AA76" s="247">
        <f>IF(C76="Gutschrift","",IF(G76="","",IF(Besatzung!$B$15="","",IFERROR(IF(I76="Zeitanteilig",(Besatzung!$G$16*(G76-IFERROR(H76,0))+((Besatzung!$B$15&lt;&gt;"")*IF(B76="",1,(IF(Besatzung!$C$16="",Besatzung!$B$5,Besatzung!$C$16)&lt;=B76)*(IF(Besatzung!$D$16="",Besatzung!$B$6,Besatzung!$D$16)&gt;=B76)))*(Besatzung!$F$16="x")*IFERROR(H76,0)/IFERROR(SUMPRODUCT((Besatzung!$B$11:$B$22&lt;&gt;"")*(Besatzung!$F$11:$F$22="x")*(IF(Besatzung!$C$11:$C$22="",Besatzung!$B$5,Besatzung!$C$11:$C$22)&lt;=B76)*(IF(Besatzung!$D$11:$D$22="",Besatzung!$B$6,Besatzung!$D$11:$D$22)&gt;=B76)),1)),IF(I76="An Bord",(((Besatzung!$B$15&lt;&gt;"")*IF(B76="",1,(IF(Besatzung!$C$16="",Besatzung!$B$5,Besatzung!$C$16)&lt;=B76)*(IF(Besatzung!$D$16="",Besatzung!$B$6,Besatzung!$D$16)&gt;=B76)))*((G76-IFERROR(H76,0))/IFERROR(SUMPRODUCT((Besatzung!$B$11:$B$22&lt;&gt;"")*(IF(Besatzung!$C$11:$C$22="",Besatzung!$B$5,Besatzung!$C$11:$C$22)&lt;=B76)*(IF(Besatzung!$D$11:$D$22="",Besatzung!$B$6,Besatzung!$D$11:$D$22)&gt;=B76)),1)+(Besatzung!$F$16="x")*IFERROR(H76,0)/IFERROR(SUMPRODUCT((Besatzung!$B$11:$B$22&lt;&gt;"")*(Besatzung!$F$11:$F$22="x")*(IF(Besatzung!$C$11:$C$22="",Besatzung!$B$5,Besatzung!$C$11:$C$22)&lt;=B76)*(IF(Besatzung!$D$11:$D$22="",Besatzung!$B$6,Besatzung!$D$11:$D$22)&gt;=B76)),1))),IF(I76="Individuell",((O76="x")*((G76-IFERROR(H76,0))/IFERROR(COUNTIF(J76:U76,"x"),1)+(Besatzung!$F$16="x")*IFERROR(H76,0)/IFERROR(SUMPRODUCT((J76:U76="x")*(Besatzung!$F$11:$F$22="x")),1))),(IF(COUNTIF(J76:U76,"x")=0,IF(Besatzung!$B$15&lt;&gt;"",1,0),(O76="x"))*(G76-IFERROR(H76,0))/IFERROR(IF(COUNTIF(J76:U76,"x")=0,COUNTA(Besatzung!$B$11:$B$22),COUNTIF(J76:U76,"x")),1)+IF(COUNTIF(J76:U76,"x")=0,(Besatzung!$F$16="x"),(O76="x")*(Besatzung!$F$16="x"))*IFERROR(H76,0)/IFERROR(IF(COUNTIF(J76:U76,"x")=0,SUMPRODUCT((Besatzung!$B$11:$B$22&lt;&gt;"")*(Besatzung!$F$11:$F$22="x")),SUMPRODUCT((J76:U76="x")*(Besatzung!$F$11:$F$22="x"))),1))))),0))))</f>
        <v/>
      </c>
      <c r="AB76" s="247">
        <f>IF(C76="Gutschrift","",IF(G76="","",IF(Besatzung!$B$17="","",IFERROR(IF(I76="Zeitanteilig",(Besatzung!$G$17*(G76-IFERROR(H76,0))+((Besatzung!$B$17&lt;&gt;"")*IF(B76="",1,(IF(Besatzung!$C$17="",Besatzung!$B$5,Besatzung!$C$17)&lt;=B76)*(IF(Besatzung!$D$17="",Besatzung!$B$6,Besatzung!$D$17)&gt;=B76)))*(Besatzung!$F$17="x")*IFERROR(H76,0)/IFERROR(SUMPRODUCT((Besatzung!$B$11:$B$22&lt;&gt;"")*(Besatzung!$F$11:$F$22="x")*(IF(Besatzung!$C$11:$C$22="",Besatzung!$B$5,Besatzung!$C$11:$C$22)&lt;=B76)*(IF(Besatzung!$D$11:$D$22="",Besatzung!$B$6,Besatzung!$D$11:$D$22)&gt;=B76)),1)),IF(I76="An Bord",(((Besatzung!$B$17&lt;&gt;"")*IF(B76="",1,(IF(Besatzung!$C$17="",Besatzung!$B$5,Besatzung!$C$17)&lt;=B76)*(IF(Besatzung!$D$17="",Besatzung!$B$6,Besatzung!$D$17)&gt;=B76)))*((G76-IFERROR(H76,0))/IFERROR(SUMPRODUCT((Besatzung!$B$11:$B$22&lt;&gt;"")*(IF(Besatzung!$C$11:$C$22="",Besatzung!$B$5,Besatzung!$C$11:$C$22)&lt;=B76)*(IF(Besatzung!$D$11:$D$22="",Besatzung!$B$6,Besatzung!$D$11:$D$22)&gt;=B76)),1)+(Besatzung!$F$17="x")*IFERROR(H76,0)/IFERROR(SUMPRODUCT((Besatzung!$B$11:$B$22&lt;&gt;"")*(Besatzung!$F$11:$F$22="x")*(IF(Besatzung!$C$11:$C$22="",Besatzung!$B$5,Besatzung!$C$11:$C$22)&lt;=B76)*(IF(Besatzung!$D$11:$D$22="",Besatzung!$B$6,Besatzung!$D$11:$D$22)&gt;=B76)),1))),IF(I76="Individuell",((P76="x")*((G76-IFERROR(H76,0))/IFERROR(COUNTIF(J76:U76,"x"),1)+(Besatzung!$F$17="x")*IFERROR(H76,0)/IFERROR(SUMPRODUCT((J76:U76="x")*(Besatzung!$F$11:$F$22="x")),1))),(IF(COUNTIF(J76:U76,"x")=0,IF(Besatzung!$B$17&lt;&gt;"",1,0),(P76="x"))*(G76-IFERROR(H76,0))/IFERROR(IF(COUNTIF(J76:U76,"x")=0,COUNTA(Besatzung!$B$11:$B$22),COUNTIF(J76:U76,"x")),1)+IF(COUNTIF(J76:U76,"x")=0,(Besatzung!$F$17="x"),(P76="x")*(Besatzung!$F$17="x"))*IFERROR(H76,0)/IFERROR(IF(COUNTIF(J76:U76,"x")=0,SUMPRODUCT((Besatzung!$B$11:$B$22&lt;&gt;"")*(Besatzung!$F$11:$F$22="x")),SUMPRODUCT((J76:U76="x")*(Besatzung!$F$11:$F$22="x"))),1))))),0))))</f>
        <v/>
      </c>
      <c r="AC76" s="247">
        <f>IF(C76="Gutschrift","",IF(G76="","",IF(Besatzung!$B$18="","",IFERROR(IF(I76="Zeitanteilig",(Besatzung!$G$18*(G76-IFERROR(H76,0))+((Besatzung!$B$18&lt;&gt;"")*IF(B76="",1,(IF(Besatzung!$C$18="",Besatzung!$B$5,Besatzung!$C$18)&lt;=B76)*(IF(Besatzung!$D$18="",Besatzung!$B$6,Besatzung!$D$18)&gt;=B76)))*(Besatzung!$F$18="x")*IFERROR(H76,0)/IFERROR(SUMPRODUCT((Besatzung!$B$11:$B$22&lt;&gt;"")*(Besatzung!$F$11:$F$22="x")*(IF(Besatzung!$C$11:$C$22="",Besatzung!$B$5,Besatzung!$C$11:$C$22)&lt;=B76)*(IF(Besatzung!$D$11:$D$22="",Besatzung!$B$6,Besatzung!$D$11:$D$22)&gt;=B76)),1)),IF(I76="An Bord",(((Besatzung!$B$18&lt;&gt;"")*IF(B76="",1,(IF(Besatzung!$C$18="",Besatzung!$B$5,Besatzung!$C$18)&lt;=B76)*(IF(Besatzung!$D$18="",Besatzung!$B$6,Besatzung!$D$18)&gt;=B76)))*((G76-IFERROR(H76,0))/IFERROR(SUMPRODUCT((Besatzung!$B$11:$B$22&lt;&gt;"")*(IF(Besatzung!$C$11:$C$22="",Besatzung!$B$5,Besatzung!$C$11:$C$22)&lt;=B76)*(IF(Besatzung!$D$11:$D$22="",Besatzung!$B$6,Besatzung!$D$11:$D$22)&gt;=B76)),1)+(Besatzung!$F$18="x")*IFERROR(H76,0)/IFERROR(SUMPRODUCT((Besatzung!$B$11:$B$22&lt;&gt;"")*(Besatzung!$F$11:$F$22="x")*(IF(Besatzung!$C$11:$C$22="",Besatzung!$B$5,Besatzung!$C$11:$C$22)&lt;=B76)*(IF(Besatzung!$D$11:$D$22="",Besatzung!$B$6,Besatzung!$D$11:$D$22)&gt;=B76)),1))),IF(I76="Individuell",((Q76="x")*((G76-IFERROR(H76,0))/IFERROR(COUNTIF(J76:U76,"x"),1)+(Besatzung!$F$18="x")*IFERROR(H76,0)/IFERROR(SUMPRODUCT((J76:U76="x")*(Besatzung!$F$11:$F$22="x")),1))),(IF(COUNTIF(J76:U76,"x")=0,IF(Besatzung!$B$18&lt;&gt;"",1,0),(Q76="x"))*(G76-IFERROR(H76,0))/IFERROR(IF(COUNTIF(J76:U76,"x")=0,COUNTA(Besatzung!$B$11:$B$22),COUNTIF(J76:U76,"x")),1)+IF(COUNTIF(J76:U76,"x")=0,(Besatzung!$F$18="x"),(Q76="x")*(Besatzung!$F$18="x"))*IFERROR(H76,0)/IFERROR(IF(COUNTIF(J76:U76,"x")=0,SUMPRODUCT((Besatzung!$B$11:$B$22&lt;&gt;"")*(Besatzung!$F$11:$F$22="x")),SUMPRODUCT((J76:U76="x")*(Besatzung!$F$11:$F$22="x"))),1))))),0))))</f>
        <v/>
      </c>
      <c r="AD76" s="247">
        <f>IF(C76="Gutschrift","",IF(G76="","",IF(Besatzung!$B$19="","",IFERROR(IF(I76="Zeitanteilig",(Besatzung!$G$19*(G76-IFERROR(H76,0))+((Besatzung!$B$19&lt;&gt;"")*IF(B76="",1,(IF(Besatzung!$C$19="",Besatzung!$B$5,Besatzung!$C$19)&lt;=B76)*(IF(Besatzung!$D$19="",Besatzung!$B$6,Besatzung!$D$19)&gt;=B76)))*(Besatzung!$F$19="x")*IFERROR(H76,0)/IFERROR(SUMPRODUCT((Besatzung!$B$11:$B$22&lt;&gt;"")*(Besatzung!$F$11:$F$22="x")*(IF(Besatzung!$C$11:$C$22="",Besatzung!$B$5,Besatzung!$C$11:$C$22)&lt;=B76)*(IF(Besatzung!$D$11:$D$22="",Besatzung!$B$6,Besatzung!$D$11:$D$22)&gt;=B76)),1)),IF(I76="An Bord",(((Besatzung!$B$19&lt;&gt;"")*IF(B76="",1,(IF(Besatzung!$C$19="",Besatzung!$B$5,Besatzung!$C$19)&lt;=B76)*(IF(Besatzung!$D$19="",Besatzung!$B$6,Besatzung!$D$19)&gt;=B76)))*((G76-IFERROR(H76,0))/IFERROR(SUMPRODUCT((Besatzung!$B$11:$B$22&lt;&gt;"")*(IF(Besatzung!$C$11:$C$22="",Besatzung!$B$5,Besatzung!$C$11:$C$22)&lt;=B76)*(IF(Besatzung!$D$11:$D$22="",Besatzung!$B$6,Besatzung!$D$11:$D$22)&gt;=B76)),1)+(Besatzung!$F$19="x")*IFERROR(H76,0)/IFERROR(SUMPRODUCT((Besatzung!$B$11:$B$22&lt;&gt;"")*(Besatzung!$F$11:$F$22="x")*(IF(Besatzung!$C$11:$C$22="",Besatzung!$B$5,Besatzung!$C$11:$C$22)&lt;=B76)*(IF(Besatzung!$D$11:$D$22="",Besatzung!$B$6,Besatzung!$D$11:$D$22)&gt;=B76)),1))),IF(I76="Individuell",((R76="x")*((G76-IFERROR(H76,0))/IFERROR(COUNTIF(J76:U76,"x"),1)+(Besatzung!$F$19="x")*IFERROR(H76,0)/IFERROR(SUMPRODUCT((J76:U76="x")*(Besatzung!$F$11:$F$22="x")),1))),(IF(COUNTIF(J76:U76,"x")=0,IF(Besatzung!$B$19&lt;&gt;"",1,0),(R76="x"))*(G76-IFERROR(H76,0))/IFERROR(IF(COUNTIF(J76:U76,"x")=0,COUNTA(Besatzung!$B$11:$B$22),COUNTIF(J76:U76,"x")),1)+IF(COUNTIF(J76:U76,"x")=0,(Besatzung!$F$19="x"),(R76="x")*(Besatzung!$F$19="x"))*IFERROR(H76,0)/IFERROR(IF(COUNTIF(J76:U76,"x")=0,SUMPRODUCT((Besatzung!$B$11:$B$22&lt;&gt;"")*(Besatzung!$F$11:$F$22="x")),SUMPRODUCT((J76:U76="x")*(Besatzung!$F$11:$F$22="x"))),1))))),0))))</f>
        <v/>
      </c>
      <c r="AE76" s="247">
        <f>IF(C76="Gutschrift","",IF(G76="","",IF(Besatzung!$B$20="","",IFERROR(IF(I76="Zeitanteilig",(Besatzung!$G$20*(G76-IFERROR(H76,0))+((Besatzung!$B$20&lt;&gt;"")*IF(B76="",1,(IF(Besatzung!$C$20="",Besatzung!$B$5,Besatzung!$C$20)&lt;=B76)*(IF(Besatzung!$D$20="",Besatzung!$B$6,Besatzung!$D$20)&gt;=B76)))*(Besatzung!$F$20="x")*IFERROR(H76,0)/IFERROR(SUMPRODUCT((Besatzung!$B$11:$B$22&lt;&gt;"")*(Besatzung!$F$11:$F$22="x")*(IF(Besatzung!$C$11:$C$22="",Besatzung!$B$5,Besatzung!$C$11:$C$22)&lt;=B76)*(IF(Besatzung!$D$11:$D$22="",Besatzung!$B$6,Besatzung!$D$11:$D$22)&gt;=B76)),1)),IF(I76="An Bord",(((Besatzung!$B$20&lt;&gt;"")*IF(B76="",1,(IF(Besatzung!$C$20="",Besatzung!$B$5,Besatzung!$C$20)&lt;=B76)*(IF(Besatzung!$D$20="",Besatzung!$B$6,Besatzung!$D$20)&gt;=B76)))*((G76-IFERROR(H76,0))/IFERROR(SUMPRODUCT((Besatzung!$B$11:$B$22&lt;&gt;"")*(IF(Besatzung!$C$11:$C$22="",Besatzung!$B$5,Besatzung!$C$11:$C$22)&lt;=B76)*(IF(Besatzung!$D$11:$D$22="",Besatzung!$B$6,Besatzung!$D$11:$D$22)&gt;=B76)),1)+(Besatzung!$F$20="x")*IFERROR(H76,0)/IFERROR(SUMPRODUCT((Besatzung!$B$11:$B$22&lt;&gt;"")*(Besatzung!$F$11:$F$22="x")*(IF(Besatzung!$C$11:$C$22="",Besatzung!$B$5,Besatzung!$C$11:$C$22)&lt;=B76)*(IF(Besatzung!$D$11:$D$22="",Besatzung!$B$6,Besatzung!$D$11:$D$22)&gt;=B76)),1))),IF(I76="Individuell",((S76="x")*((G76-IFERROR(H76,0))/IFERROR(COUNTIF(J76:U76,"x"),1)+(Besatzung!$F$20="x")*IFERROR(H76,0)/IFERROR(SUMPRODUCT((J76:U76="x")*(Besatzung!$F$11:$F$22="x")),1))),(IF(COUNTIF(J76:U76,"x")=0,IF(Besatzung!$B$20&lt;&gt;"",1,0),(S76="x"))*(G76-IFERROR(H76,0))/IFERROR(IF(COUNTIF(J76:U76,"x")=0,COUNTA(Besatzung!$B$11:$B$22),COUNTIF(J76:U76,"x")),1)+IF(COUNTIF(J76:U76,"x")=0,(Besatzung!$F$20="x"),(S76="x")*(Besatzung!$F$20="x"))*IFERROR(H76,0)/IFERROR(IF(COUNTIF(J76:U76,"x")=0,SUMPRODUCT((Besatzung!$B$11:$B$22&lt;&gt;"")*(Besatzung!$F$11:$F$22="x")),SUMPRODUCT((J76:U76="x")*(Besatzung!$F$11:$F$22="x"))),1))))),0))))</f>
        <v/>
      </c>
      <c r="AF76" s="247">
        <f>IF(C76="Gutschrift","",IF(G76="","",IF(Besatzung!$B$21="","",IFERROR(IF(I76="Zeitanteilig",(Besatzung!$G$21*(G76-IFERROR(H76,0))+((Besatzung!$B$21&lt;&gt;"")*IF(B76="",1,(IF(Besatzung!$C$21="",Besatzung!$B$5,Besatzung!$C$21)&lt;=B76)*(IF(Besatzung!$D$21="",Besatzung!$B$6,Besatzung!$D$21)&gt;=B76)))*(Besatzung!$F$21="x")*IFERROR(H76,0)/IFERROR(SUMPRODUCT((Besatzung!$B$11:$B$22&lt;&gt;"")*(Besatzung!$F$11:$F$22="x")*(IF(Besatzung!$C$11:$C$22="",Besatzung!$B$5,Besatzung!$C$11:$C$22)&lt;=B76)*(IF(Besatzung!$D$11:$D$22="",Besatzung!$B$6,Besatzung!$D$11:$D$22)&gt;=B76)),1)),IF(I76="An Bord",(((Besatzung!$B$21&lt;&gt;"")*IF(B76="",1,(IF(Besatzung!$C$21="",Besatzung!$B$5,Besatzung!$C$21)&lt;=B76)*(IF(Besatzung!$D$21="",Besatzung!$B$6,Besatzung!$D$21)&gt;=B76)))*((G76-IFERROR(H76,0))/IFERROR(SUMPRODUCT((Besatzung!$B$11:$B$22&lt;&gt;"")*(IF(Besatzung!$C$11:$C$22="",Besatzung!$B$5,Besatzung!$C$11:$C$22)&lt;=B76)*(IF(Besatzung!$D$11:$D$22="",Besatzung!$B$6,Besatzung!$D$11:$D$22)&gt;=B76)),1)+(Besatzung!$F$21="x")*IFERROR(H76,0)/IFERROR(SUMPRODUCT((Besatzung!$B$11:$B$22&lt;&gt;"")*(Besatzung!$F$11:$F$22="x")*(IF(Besatzung!$C$11:$C$22="",Besatzung!$B$5,Besatzung!$C$11:$C$22)&lt;=B76)*(IF(Besatzung!$D$11:$D$22="",Besatzung!$B$6,Besatzung!$D$11:$D$22)&gt;=B76)),1))),IF(I76="Individuell",((T76="x")*((G76-IFERROR(H76,0))/IFERROR(COUNTIF(J76:U76,"x"),1)+(Besatzung!$F$21="x")*IFERROR(H76,0)/IFERROR(SUMPRODUCT((J76:U76="x")*(Besatzung!$F$11:$F$22="x")),1))),(IF(COUNTIF(J76:U76,"x")=0,IF(Besatzung!$B$21&lt;&gt;"",1,0),(T76="x"))*(G76-IFERROR(H76,0))/IFERROR(IF(COUNTIF(J76:U76,"x")=0,COUNTA(Besatzung!$B$11:$B$22),COUNTIF(J76:U76,"x")),1)+IF(COUNTIF(J76:U76,"x")=0,(Besatzung!$F$21="x"),(T76="x")*(Besatzung!$F$21="x"))*IFERROR(H76,0)/IFERROR(IF(COUNTIF(J76:U76,"x")=0,SUMPRODUCT((Besatzung!$B$11:$B$22&lt;&gt;"")*(Besatzung!$F$11:$F$22="x")),SUMPRODUCT((J76:U76="x")*(Besatzung!$F$11:$F$22="x"))),1))))),0))))</f>
        <v/>
      </c>
      <c r="AG76" s="247">
        <f>IF(C76="Gutschrift","",IF(G76="","",IF(Besatzung!$B$22="","",IFERROR(IF(I76="Zeitanteilig",(Besatzung!$G$22*(G76-IFERROR(H76,0))+((Besatzung!$B$22&lt;&gt;"")*IF(B76="",1,(IF(Besatzung!$C$22="",Besatzung!$B$5,Besatzung!$C$22)&lt;=B76)*(IF(Besatzung!$D$22="",Besatzung!$B$6,Besatzung!$D$22)&gt;=B76)))*(Besatzung!$F$22="x")*IFERROR(H76,0)/IFERROR(SUMPRODUCT((Besatzung!$B$11:$B$22&lt;&gt;"")*(Besatzung!$F$11:$F$22="x")*(IF(Besatzung!$C$11:$C$22="",Besatzung!$B$5,Besatzung!$C$11:$C$22)&lt;=B76)*(IF(Besatzung!$D$11:$D$22="",Besatzung!$B$6,Besatzung!$D$11:$D$22)&gt;=B76)),1)),IF(I76="An Bord",(((Besatzung!$B$22&lt;&gt;"")*IF(B76="",1,(IF(Besatzung!$C$22="",Besatzung!$B$5,Besatzung!$C$22)&lt;=B76)*(IF(Besatzung!$D$22="",Besatzung!$B$6,Besatzung!$D$22)&gt;=B76)))*((G76-IFERROR(H76,0))/IFERROR(SUMPRODUCT((Besatzung!$B$11:$B$22&lt;&gt;"")*(IF(Besatzung!$C$11:$C$22="",Besatzung!$B$5,Besatzung!$C$11:$C$22)&lt;=B76)*(IF(Besatzung!$D$11:$D$22="",Besatzung!$B$6,Besatzung!$D$11:$D$22)&gt;=B76)),1)+(Besatzung!$F$22="x")*IFERROR(H76,0)/IFERROR(SUMPRODUCT((Besatzung!$B$11:$B$22&lt;&gt;"")*(Besatzung!$F$11:$F$22="x")*(IF(Besatzung!$C$11:$C$22="",Besatzung!$B$5,Besatzung!$C$11:$C$22)&lt;=B76)*(IF(Besatzung!$D$11:$D$22="",Besatzung!$B$6,Besatzung!$D$11:$D$22)&gt;=B76)),1))),IF(I76="Individuell",((U76="x")*((G76-IFERROR(H76,0))/IFERROR(COUNTIF(J76:U76,"x"),1)+(Besatzung!$F$22="x")*IFERROR(H76,0)/IFERROR(SUMPRODUCT((J76:U76="x")*(Besatzung!$F$11:$F$22="x")),1))),(IF(COUNTIF(J76:U76,"x")=0,IF(Besatzung!$B$22&lt;&gt;"",1,0),(U76="x"))*(G76-IFERROR(H76,0))/IFERROR(IF(COUNTIF(J76:U76,"x")=0,COUNTA(Besatzung!$B$11:$B$22),COUNTIF(J76:U76,"x")),1)+IF(COUNTIF(J76:U76,"x")=0,(Besatzung!$F$22="x"),(U76="x")*(Besatzung!$F$22="x"))*IFERROR(H76,0)/IFERROR(IF(COUNTIF(J76:U76,"x")=0,SUMPRODUCT((Besatzung!$B$11:$B$22&lt;&gt;"")*(Besatzung!$F$11:$F$22="x")),SUMPRODUCT((J76:U76="x")*(Besatzung!$F$11:$F$22="x"))),1))))),0))))</f>
        <v/>
      </c>
      <c r="AH76" s="248" t="n"/>
      <c r="AI76" s="248" t="n"/>
    </row>
    <row r="77" ht="21.75" customHeight="1" s="154">
      <c r="A77" s="238">
        <f>IF(AND(D77="",C77=""),"",74)</f>
        <v/>
      </c>
      <c r="B77" s="206" t="n"/>
      <c r="C77" s="249" t="n"/>
      <c r="D77" s="250" t="n"/>
      <c r="E77" s="251" t="n"/>
      <c r="F77" s="252" t="n"/>
      <c r="G77" s="253" t="n"/>
      <c r="H77" s="254" t="n"/>
      <c r="I77" s="255" t="n"/>
      <c r="J77" s="256" t="n"/>
      <c r="K77" s="256" t="n"/>
      <c r="L77" s="256" t="n"/>
      <c r="M77" s="256" t="n"/>
      <c r="N77" s="256" t="n"/>
      <c r="O77" s="256" t="n"/>
      <c r="P77" s="256" t="n"/>
      <c r="Q77" s="256" t="n"/>
      <c r="R77" s="256" t="n"/>
      <c r="S77" s="256" t="n"/>
      <c r="T77" s="256" t="n"/>
      <c r="U77" s="256" t="n"/>
      <c r="V77" s="247">
        <f>IF(C77="Gutschrift","",IF(G77="","",IF(Besatzung!$B$11="","",IFERROR(IF(I77="Zeitanteilig",(Besatzung!$G$11*(G77-IFERROR(H77,0))+((Besatzung!$B$11&lt;&gt;"")*IF(B77="",1,(IF(Besatzung!$C$11="",Besatzung!$B$5,Besatzung!$C$11)&lt;=B77)*(IF(Besatzung!$D$11="",Besatzung!$B$6,Besatzung!$D$11)&gt;=B77)))*(Besatzung!$F$11="x")*IFERROR(H77,0)/IFERROR(SUMPRODUCT((Besatzung!$B$11:$B$22&lt;&gt;"")*(Besatzung!$F$11:$F$22="x")*(IF(Besatzung!$C$11:$C$22="",Besatzung!$B$5,Besatzung!$C$11:$C$22)&lt;=B77)*(IF(Besatzung!$D$11:$D$22="",Besatzung!$B$6,Besatzung!$D$11:$D$22)&gt;=B77)),1)),IF(I77="An Bord",(((Besatzung!$B$11&lt;&gt;"")*IF(B77="",1,(IF(Besatzung!$C$11="",Besatzung!$B$5,Besatzung!$C$11)&lt;=B77)*(IF(Besatzung!$D$11="",Besatzung!$B$6,Besatzung!$D$11)&gt;=B77)))*((G77-IFERROR(H77,0))/IFERROR(SUMPRODUCT((Besatzung!$B$11:$B$22&lt;&gt;"")*(IF(Besatzung!$C$11:$C$22="",Besatzung!$B$5,Besatzung!$C$11:$C$22)&lt;=B77)*(IF(Besatzung!$D$11:$D$22="",Besatzung!$B$6,Besatzung!$D$11:$D$22)&gt;=B77)),1)+(Besatzung!$F$11="x")*IFERROR(H77,0)/IFERROR(SUMPRODUCT((Besatzung!$B$11:$B$22&lt;&gt;"")*(Besatzung!$F$11:$F$22="x")*(IF(Besatzung!$C$11:$C$22="",Besatzung!$B$5,Besatzung!$C$11:$C$22)&lt;=B77)*(IF(Besatzung!$D$11:$D$22="",Besatzung!$B$6,Besatzung!$D$11:$D$22)&gt;=B77)),1))),IF(I77="Individuell",((J77="x")*((G77-IFERROR(H77,0))/IFERROR(COUNTIF(J77:U77,"x"),1)+(Besatzung!$F$11="x")*IFERROR(H77,0)/IFERROR(SUMPRODUCT((J77:U77="x")*(Besatzung!$F$11:$F$22="x")),1))),(IF(COUNTIF(J77:U77,"x")=0,IF(Besatzung!$B$11&lt;&gt;"",1,0),(J77="x"))*(G77-IFERROR(H77,0))/IFERROR(IF(COUNTIF(J77:U77,"x")=0,COUNTA(Besatzung!$B$11:$B$22),COUNTIF(J77:U77,"x")),1)+IF(COUNTIF(J77:U77,"x")=0,(Besatzung!$F$11="x"),(J77="x")*(Besatzung!$F$11="x"))*IFERROR(H77,0)/IFERROR(IF(COUNTIF(J77:U77,"x")=0,SUMPRODUCT((Besatzung!$B$11:$B$22&lt;&gt;"")*(Besatzung!$F$11:$F$22="x")),SUMPRODUCT((J77:U77="x")*(Besatzung!$F$11:$F$22="x"))),1))))),0))))</f>
        <v/>
      </c>
      <c r="W77" s="247">
        <f>IF(C77="Gutschrift","",IF(G77="","",IF(Besatzung!$B$12="","",IFERROR(IF(I77="Zeitanteilig",(Besatzung!$G$12*(G77-IFERROR(H77,0))+((Besatzung!$B$12&lt;&gt;"")*IF(B77="",1,(IF(Besatzung!$C$12="",Besatzung!$B$5,Besatzung!$C$12)&lt;=B77)*(IF(Besatzung!$D$12="",Besatzung!$B$6,Besatzung!$D$12)&gt;=B77)))*(Besatzung!$F$12="x")*IFERROR(H77,0)/IFERROR(SUMPRODUCT((Besatzung!$B$11:$B$22&lt;&gt;"")*(Besatzung!$F$11:$F$22="x")*(IF(Besatzung!$C$11:$C$22="",Besatzung!$B$5,Besatzung!$C$11:$C$22)&lt;=B77)*(IF(Besatzung!$D$11:$D$22="",Besatzung!$B$6,Besatzung!$D$11:$D$22)&gt;=B77)),1)),IF(I77="An Bord",(((Besatzung!$B$12&lt;&gt;"")*IF(B77="",1,(IF(Besatzung!$C$12="",Besatzung!$B$5,Besatzung!$C$12)&lt;=B77)*(IF(Besatzung!$D$12="",Besatzung!$B$6,Besatzung!$D$12)&gt;=B77)))*((G77-IFERROR(H77,0))/IFERROR(SUMPRODUCT((Besatzung!$B$11:$B$22&lt;&gt;"")*(IF(Besatzung!$C$11:$C$22="",Besatzung!$B$5,Besatzung!$C$11:$C$22)&lt;=B77)*(IF(Besatzung!$D$11:$D$22="",Besatzung!$B$6,Besatzung!$D$11:$D$22)&gt;=B77)),1)+(Besatzung!$F$12="x")*IFERROR(H77,0)/IFERROR(SUMPRODUCT((Besatzung!$B$11:$B$22&lt;&gt;"")*(Besatzung!$F$11:$F$22="x")*(IF(Besatzung!$C$11:$C$22="",Besatzung!$B$5,Besatzung!$C$11:$C$22)&lt;=B77)*(IF(Besatzung!$D$11:$D$22="",Besatzung!$B$6,Besatzung!$D$11:$D$22)&gt;=B77)),1))),IF(I77="Individuell",((K77="x")*((G77-IFERROR(H77,0))/IFERROR(COUNTIF(J77:U77,"x"),1)+(Besatzung!$F$12="x")*IFERROR(H77,0)/IFERROR(SUMPRODUCT((J77:U77="x")*(Besatzung!$F$11:$F$22="x")),1))),(IF(COUNTIF(J77:U77,"x")=0,IF(Besatzung!$B$12&lt;&gt;"",1,0),(K77="x"))*(G77-IFERROR(H77,0))/IFERROR(IF(COUNTIF(J77:U77,"x")=0,COUNTA(Besatzung!$B$11:$B$22),COUNTIF(J77:U77,"x")),1)+IF(COUNTIF(J77:U77,"x")=0,(Besatzung!$F$12="x"),(K77="x")*(Besatzung!$F$12="x"))*IFERROR(H77,0)/IFERROR(IF(COUNTIF(J77:U77,"x")=0,SUMPRODUCT((Besatzung!$B$11:$B$22&lt;&gt;"")*(Besatzung!$F$11:$F$22="x")),SUMPRODUCT((J77:U77="x")*(Besatzung!$F$11:$F$22="x"))),1))))),0))))</f>
        <v/>
      </c>
      <c r="X77" s="247">
        <f>IF(C77="Gutschrift","",IF(G77="","",IF(Besatzung!$B$13="","",IFERROR(IF(I77="Zeitanteilig",(Besatzung!$G$13*(G77-IFERROR(H77,0))+((Besatzung!$B$13&lt;&gt;"")*IF(B77="",1,(IF(Besatzung!$C$13="",Besatzung!$B$5,Besatzung!$C$13)&lt;=B77)*(IF(Besatzung!$D$13="",Besatzung!$B$6,Besatzung!$D$13)&gt;=B77)))*(Besatzung!$F$13="x")*IFERROR(H77,0)/IFERROR(SUMPRODUCT((Besatzung!$B$11:$B$22&lt;&gt;"")*(Besatzung!$F$11:$F$22="x")*(IF(Besatzung!$C$11:$C$22="",Besatzung!$B$5,Besatzung!$C$11:$C$22)&lt;=B77)*(IF(Besatzung!$D$11:$D$22="",Besatzung!$B$6,Besatzung!$D$11:$D$22)&gt;=B77)),1)),IF(I77="An Bord",(((Besatzung!$B$13&lt;&gt;"")*IF(B77="",1,(IF(Besatzung!$C$13="",Besatzung!$B$5,Besatzung!$C$13)&lt;=B77)*(IF(Besatzung!$D$13="",Besatzung!$B$6,Besatzung!$D$13)&gt;=B77)))*((G77-IFERROR(H77,0))/IFERROR(SUMPRODUCT((Besatzung!$B$11:$B$22&lt;&gt;"")*(IF(Besatzung!$C$11:$C$22="",Besatzung!$B$5,Besatzung!$C$11:$C$22)&lt;=B77)*(IF(Besatzung!$D$11:$D$22="",Besatzung!$B$6,Besatzung!$D$11:$D$22)&gt;=B77)),1)+(Besatzung!$F$13="x")*IFERROR(H77,0)/IFERROR(SUMPRODUCT((Besatzung!$B$11:$B$22&lt;&gt;"")*(Besatzung!$F$11:$F$22="x")*(IF(Besatzung!$C$11:$C$22="",Besatzung!$B$5,Besatzung!$C$11:$C$22)&lt;=B77)*(IF(Besatzung!$D$11:$D$22="",Besatzung!$B$6,Besatzung!$D$11:$D$22)&gt;=B77)),1))),IF(I77="Individuell",((K77="x")*((G77-IFERROR(H77,0))/IFERROR(COUNTIF(J77:U77,"x"),1)+(Besatzung!$F$13="x")*IFERROR(H77,0)/IFERROR(SUMPRODUCT((J77:U77="x")*(Besatzung!$F$11:$F$22="x")),1))),(IF(COUNTIF(J77:U77,"x")=0,IF(Besatzung!$B$13&lt;&gt;"",1,0),(K77="x"))*(G77-IFERROR(H77,0))/IFERROR(IF(COUNTIF(J77:U77,"x")=0,COUNTA(Besatzung!$B$11:$B$22),COUNTIF(J77:U77,"x")),1)+IF(COUNTIF(J77:U77,"x")=0,(Besatzung!$F$13="x"),(K77="x")*(Besatzung!$F$13="x"))*IFERROR(H77,0)/IFERROR(IF(COUNTIF(J77:U77,"x")=0,SUMPRODUCT((Besatzung!$B$11:$B$22&lt;&gt;"")*(Besatzung!$F$11:$F$22="x")),SUMPRODUCT((J77:U77="x")*(Besatzung!$F$11:$F$22="x"))),1))))),0))))</f>
        <v/>
      </c>
      <c r="Y77" s="247">
        <f>IF(C77="Gutschrift","",IF(G77="","",IF(Besatzung!$B$14="","",IFERROR(IF(I77="Zeitanteilig",(Besatzung!$G$14*(G77-IFERROR(H77,0))+((Besatzung!$B$14&lt;&gt;"")*IF(B77="",1,(IF(Besatzung!$C$14="",Besatzung!$B$5,Besatzung!$C$14)&lt;=B77)*(IF(Besatzung!$D$14="",Besatzung!$B$6,Besatzung!$D$14)&gt;=B77)))*(Besatzung!$F$14="x")*IFERROR(H77,0)/IFERROR(SUMPRODUCT((Besatzung!$B$11:$B$22&lt;&gt;"")*(Besatzung!$F$11:$F$22="x")*(IF(Besatzung!$C$11:$C$22="",Besatzung!$B$5,Besatzung!$C$11:$C$22)&lt;=B77)*(IF(Besatzung!$D$11:$D$22="",Besatzung!$B$6,Besatzung!$D$11:$D$22)&gt;=B77)),1)),IF(I77="An Bord",(((Besatzung!$B$14&lt;&gt;"")*IF(B77="",1,(IF(Besatzung!$C$14="",Besatzung!$B$5,Besatzung!$C$14)&lt;=B77)*(IF(Besatzung!$D$14="",Besatzung!$B$6,Besatzung!$D$14)&gt;=B77)))*((G77-IFERROR(H77,0))/IFERROR(SUMPRODUCT((Besatzung!$B$11:$B$22&lt;&gt;"")*(IF(Besatzung!$C$11:$C$22="",Besatzung!$B$5,Besatzung!$C$11:$C$22)&lt;=B77)*(IF(Besatzung!$D$11:$D$22="",Besatzung!$B$6,Besatzung!$D$11:$D$22)&gt;=B77)),1)+(Besatzung!$F$14="x")*IFERROR(H77,0)/IFERROR(SUMPRODUCT((Besatzung!$B$11:$B$22&lt;&gt;"")*(Besatzung!$F$11:$F$22="x")*(IF(Besatzung!$C$11:$C$22="",Besatzung!$B$5,Besatzung!$C$11:$C$22)&lt;=B77)*(IF(Besatzung!$D$11:$D$22="",Besatzung!$B$6,Besatzung!$D$11:$D$22)&gt;=B77)),1))),IF(I77="Individuell",((M77="x")*((G77-IFERROR(H77,0))/IFERROR(COUNTIF(J77:U77,"x"),1)+(Besatzung!$F$14="x")*IFERROR(H77,0)/IFERROR(SUMPRODUCT((J77:U77="x")*(Besatzung!$F$11:$F$22="x")),1))),(IF(COUNTIF(J77:U77,"x")=0,IF(Besatzung!$B$14&lt;&gt;"",1,0),(M77="x"))*(G77-IFERROR(H77,0))/IFERROR(IF(COUNTIF(J77:U77,"x")=0,COUNTA(Besatzung!$B$11:$B$22),COUNTIF(J77:U77,"x")),1)+IF(COUNTIF(J77:U77,"x")=0,(Besatzung!$F$14="x"),(M77="x")*(Besatzung!$F$14="x"))*IFERROR(H77,0)/IFERROR(IF(COUNTIF(J77:U77,"x")=0,SUMPRODUCT((Besatzung!$B$11:$B$22&lt;&gt;"")*(Besatzung!$F$11:$F$22="x")),SUMPRODUCT((J77:U77="x")*(Besatzung!$F$11:$F$22="x"))),1))))),0))))</f>
        <v/>
      </c>
      <c r="Z77" s="247">
        <f>IF(C77="Gutschrift","",IF(G77="","",IF(Besatzung!$B$13="","",IFERROR(IF(I77="Zeitanteilig",(Besatzung!$G$15*(G77-IFERROR(H77,0))+((Besatzung!$B$13&lt;&gt;"")*IF(B77="",1,(IF(Besatzung!$C$15="",Besatzung!$B$5,Besatzung!$C$15)&lt;=B77)*(IF(Besatzung!$D$15="",Besatzung!$B$6,Besatzung!$D$15)&gt;=B77)))*(Besatzung!$F$15="x")*IFERROR(H77,0)/IFERROR(SUMPRODUCT((Besatzung!$B$11:$B$22&lt;&gt;"")*(Besatzung!$F$11:$F$22="x")*(IF(Besatzung!$C$11:$C$22="",Besatzung!$B$5,Besatzung!$C$11:$C$22)&lt;=B77)*(IF(Besatzung!$D$11:$D$22="",Besatzung!$B$6,Besatzung!$D$11:$D$22)&gt;=B77)),1)),IF(I77="An Bord",(((Besatzung!$B$13&lt;&gt;"")*IF(B77="",1,(IF(Besatzung!$C$15="",Besatzung!$B$5,Besatzung!$C$15)&lt;=B77)*(IF(Besatzung!$D$15="",Besatzung!$B$6,Besatzung!$D$15)&gt;=B77)))*((G77-IFERROR(H77,0))/IFERROR(SUMPRODUCT((Besatzung!$B$11:$B$22&lt;&gt;"")*(IF(Besatzung!$C$11:$C$22="",Besatzung!$B$5,Besatzung!$C$11:$C$22)&lt;=B77)*(IF(Besatzung!$D$11:$D$22="",Besatzung!$B$6,Besatzung!$D$11:$D$22)&gt;=B77)),1)+(Besatzung!$F$15="x")*IFERROR(H77,0)/IFERROR(SUMPRODUCT((Besatzung!$B$11:$B$22&lt;&gt;"")*(Besatzung!$F$11:$F$22="x")*(IF(Besatzung!$C$11:$C$22="",Besatzung!$B$5,Besatzung!$C$11:$C$22)&lt;=B77)*(IF(Besatzung!$D$11:$D$22="",Besatzung!$B$6,Besatzung!$D$11:$D$22)&gt;=B77)),1))),IF(I77="Individuell",((N77="x")*((G77-IFERROR(H77,0))/IFERROR(COUNTIF(J77:U77,"x"),1)+(Besatzung!$F$15="x")*IFERROR(H77,0)/IFERROR(SUMPRODUCT((J77:U77="x")*(Besatzung!$F$11:$F$22="x")),1))),(IF(COUNTIF(J77:U77,"x")=0,IF(Besatzung!$B$13&lt;&gt;"",1,0),(N77="x"))*(G77-IFERROR(H77,0))/IFERROR(IF(COUNTIF(J77:U77,"x")=0,COUNTA(Besatzung!$B$11:$B$22),COUNTIF(J77:U77,"x")),1)+IF(COUNTIF(J77:U77,"x")=0,(Besatzung!$F$15="x"),(N77="x")*(Besatzung!$F$15="x"))*IFERROR(H77,0)/IFERROR(IF(COUNTIF(J77:U77,"x")=0,SUMPRODUCT((Besatzung!$B$11:$B$22&lt;&gt;"")*(Besatzung!$F$11:$F$22="x")),SUMPRODUCT((J77:U77="x")*(Besatzung!$F$11:$F$22="x"))),1))))),0))))</f>
        <v/>
      </c>
      <c r="AA77" s="247">
        <f>IF(C77="Gutschrift","",IF(G77="","",IF(Besatzung!$B$15="","",IFERROR(IF(I77="Zeitanteilig",(Besatzung!$G$16*(G77-IFERROR(H77,0))+((Besatzung!$B$15&lt;&gt;"")*IF(B77="",1,(IF(Besatzung!$C$16="",Besatzung!$B$5,Besatzung!$C$16)&lt;=B77)*(IF(Besatzung!$D$16="",Besatzung!$B$6,Besatzung!$D$16)&gt;=B77)))*(Besatzung!$F$16="x")*IFERROR(H77,0)/IFERROR(SUMPRODUCT((Besatzung!$B$11:$B$22&lt;&gt;"")*(Besatzung!$F$11:$F$22="x")*(IF(Besatzung!$C$11:$C$22="",Besatzung!$B$5,Besatzung!$C$11:$C$22)&lt;=B77)*(IF(Besatzung!$D$11:$D$22="",Besatzung!$B$6,Besatzung!$D$11:$D$22)&gt;=B77)),1)),IF(I77="An Bord",(((Besatzung!$B$15&lt;&gt;"")*IF(B77="",1,(IF(Besatzung!$C$16="",Besatzung!$B$5,Besatzung!$C$16)&lt;=B77)*(IF(Besatzung!$D$16="",Besatzung!$B$6,Besatzung!$D$16)&gt;=B77)))*((G77-IFERROR(H77,0))/IFERROR(SUMPRODUCT((Besatzung!$B$11:$B$22&lt;&gt;"")*(IF(Besatzung!$C$11:$C$22="",Besatzung!$B$5,Besatzung!$C$11:$C$22)&lt;=B77)*(IF(Besatzung!$D$11:$D$22="",Besatzung!$B$6,Besatzung!$D$11:$D$22)&gt;=B77)),1)+(Besatzung!$F$16="x")*IFERROR(H77,0)/IFERROR(SUMPRODUCT((Besatzung!$B$11:$B$22&lt;&gt;"")*(Besatzung!$F$11:$F$22="x")*(IF(Besatzung!$C$11:$C$22="",Besatzung!$B$5,Besatzung!$C$11:$C$22)&lt;=B77)*(IF(Besatzung!$D$11:$D$22="",Besatzung!$B$6,Besatzung!$D$11:$D$22)&gt;=B77)),1))),IF(I77="Individuell",((O77="x")*((G77-IFERROR(H77,0))/IFERROR(COUNTIF(J77:U77,"x"),1)+(Besatzung!$F$16="x")*IFERROR(H77,0)/IFERROR(SUMPRODUCT((J77:U77="x")*(Besatzung!$F$11:$F$22="x")),1))),(IF(COUNTIF(J77:U77,"x")=0,IF(Besatzung!$B$15&lt;&gt;"",1,0),(O77="x"))*(G77-IFERROR(H77,0))/IFERROR(IF(COUNTIF(J77:U77,"x")=0,COUNTA(Besatzung!$B$11:$B$22),COUNTIF(J77:U77,"x")),1)+IF(COUNTIF(J77:U77,"x")=0,(Besatzung!$F$16="x"),(O77="x")*(Besatzung!$F$16="x"))*IFERROR(H77,0)/IFERROR(IF(COUNTIF(J77:U77,"x")=0,SUMPRODUCT((Besatzung!$B$11:$B$22&lt;&gt;"")*(Besatzung!$F$11:$F$22="x")),SUMPRODUCT((J77:U77="x")*(Besatzung!$F$11:$F$22="x"))),1))))),0))))</f>
        <v/>
      </c>
      <c r="AB77" s="247">
        <f>IF(C77="Gutschrift","",IF(G77="","",IF(Besatzung!$B$17="","",IFERROR(IF(I77="Zeitanteilig",(Besatzung!$G$17*(G77-IFERROR(H77,0))+((Besatzung!$B$17&lt;&gt;"")*IF(B77="",1,(IF(Besatzung!$C$17="",Besatzung!$B$5,Besatzung!$C$17)&lt;=B77)*(IF(Besatzung!$D$17="",Besatzung!$B$6,Besatzung!$D$17)&gt;=B77)))*(Besatzung!$F$17="x")*IFERROR(H77,0)/IFERROR(SUMPRODUCT((Besatzung!$B$11:$B$22&lt;&gt;"")*(Besatzung!$F$11:$F$22="x")*(IF(Besatzung!$C$11:$C$22="",Besatzung!$B$5,Besatzung!$C$11:$C$22)&lt;=B77)*(IF(Besatzung!$D$11:$D$22="",Besatzung!$B$6,Besatzung!$D$11:$D$22)&gt;=B77)),1)),IF(I77="An Bord",(((Besatzung!$B$17&lt;&gt;"")*IF(B77="",1,(IF(Besatzung!$C$17="",Besatzung!$B$5,Besatzung!$C$17)&lt;=B77)*(IF(Besatzung!$D$17="",Besatzung!$B$6,Besatzung!$D$17)&gt;=B77)))*((G77-IFERROR(H77,0))/IFERROR(SUMPRODUCT((Besatzung!$B$11:$B$22&lt;&gt;"")*(IF(Besatzung!$C$11:$C$22="",Besatzung!$B$5,Besatzung!$C$11:$C$22)&lt;=B77)*(IF(Besatzung!$D$11:$D$22="",Besatzung!$B$6,Besatzung!$D$11:$D$22)&gt;=B77)),1)+(Besatzung!$F$17="x")*IFERROR(H77,0)/IFERROR(SUMPRODUCT((Besatzung!$B$11:$B$22&lt;&gt;"")*(Besatzung!$F$11:$F$22="x")*(IF(Besatzung!$C$11:$C$22="",Besatzung!$B$5,Besatzung!$C$11:$C$22)&lt;=B77)*(IF(Besatzung!$D$11:$D$22="",Besatzung!$B$6,Besatzung!$D$11:$D$22)&gt;=B77)),1))),IF(I77="Individuell",((P77="x")*((G77-IFERROR(H77,0))/IFERROR(COUNTIF(J77:U77,"x"),1)+(Besatzung!$F$17="x")*IFERROR(H77,0)/IFERROR(SUMPRODUCT((J77:U77="x")*(Besatzung!$F$11:$F$22="x")),1))),(IF(COUNTIF(J77:U77,"x")=0,IF(Besatzung!$B$17&lt;&gt;"",1,0),(P77="x"))*(G77-IFERROR(H77,0))/IFERROR(IF(COUNTIF(J77:U77,"x")=0,COUNTA(Besatzung!$B$11:$B$22),COUNTIF(J77:U77,"x")),1)+IF(COUNTIF(J77:U77,"x")=0,(Besatzung!$F$17="x"),(P77="x")*(Besatzung!$F$17="x"))*IFERROR(H77,0)/IFERROR(IF(COUNTIF(J77:U77,"x")=0,SUMPRODUCT((Besatzung!$B$11:$B$22&lt;&gt;"")*(Besatzung!$F$11:$F$22="x")),SUMPRODUCT((J77:U77="x")*(Besatzung!$F$11:$F$22="x"))),1))))),0))))</f>
        <v/>
      </c>
      <c r="AC77" s="247">
        <f>IF(C77="Gutschrift","",IF(G77="","",IF(Besatzung!$B$18="","",IFERROR(IF(I77="Zeitanteilig",(Besatzung!$G$18*(G77-IFERROR(H77,0))+((Besatzung!$B$18&lt;&gt;"")*IF(B77="",1,(IF(Besatzung!$C$18="",Besatzung!$B$5,Besatzung!$C$18)&lt;=B77)*(IF(Besatzung!$D$18="",Besatzung!$B$6,Besatzung!$D$18)&gt;=B77)))*(Besatzung!$F$18="x")*IFERROR(H77,0)/IFERROR(SUMPRODUCT((Besatzung!$B$11:$B$22&lt;&gt;"")*(Besatzung!$F$11:$F$22="x")*(IF(Besatzung!$C$11:$C$22="",Besatzung!$B$5,Besatzung!$C$11:$C$22)&lt;=B77)*(IF(Besatzung!$D$11:$D$22="",Besatzung!$B$6,Besatzung!$D$11:$D$22)&gt;=B77)),1)),IF(I77="An Bord",(((Besatzung!$B$18&lt;&gt;"")*IF(B77="",1,(IF(Besatzung!$C$18="",Besatzung!$B$5,Besatzung!$C$18)&lt;=B77)*(IF(Besatzung!$D$18="",Besatzung!$B$6,Besatzung!$D$18)&gt;=B77)))*((G77-IFERROR(H77,0))/IFERROR(SUMPRODUCT((Besatzung!$B$11:$B$22&lt;&gt;"")*(IF(Besatzung!$C$11:$C$22="",Besatzung!$B$5,Besatzung!$C$11:$C$22)&lt;=B77)*(IF(Besatzung!$D$11:$D$22="",Besatzung!$B$6,Besatzung!$D$11:$D$22)&gt;=B77)),1)+(Besatzung!$F$18="x")*IFERROR(H77,0)/IFERROR(SUMPRODUCT((Besatzung!$B$11:$B$22&lt;&gt;"")*(Besatzung!$F$11:$F$22="x")*(IF(Besatzung!$C$11:$C$22="",Besatzung!$B$5,Besatzung!$C$11:$C$22)&lt;=B77)*(IF(Besatzung!$D$11:$D$22="",Besatzung!$B$6,Besatzung!$D$11:$D$22)&gt;=B77)),1))),IF(I77="Individuell",((Q77="x")*((G77-IFERROR(H77,0))/IFERROR(COUNTIF(J77:U77,"x"),1)+(Besatzung!$F$18="x")*IFERROR(H77,0)/IFERROR(SUMPRODUCT((J77:U77="x")*(Besatzung!$F$11:$F$22="x")),1))),(IF(COUNTIF(J77:U77,"x")=0,IF(Besatzung!$B$18&lt;&gt;"",1,0),(Q77="x"))*(G77-IFERROR(H77,0))/IFERROR(IF(COUNTIF(J77:U77,"x")=0,COUNTA(Besatzung!$B$11:$B$22),COUNTIF(J77:U77,"x")),1)+IF(COUNTIF(J77:U77,"x")=0,(Besatzung!$F$18="x"),(Q77="x")*(Besatzung!$F$18="x"))*IFERROR(H77,0)/IFERROR(IF(COUNTIF(J77:U77,"x")=0,SUMPRODUCT((Besatzung!$B$11:$B$22&lt;&gt;"")*(Besatzung!$F$11:$F$22="x")),SUMPRODUCT((J77:U77="x")*(Besatzung!$F$11:$F$22="x"))),1))))),0))))</f>
        <v/>
      </c>
      <c r="AD77" s="247">
        <f>IF(C77="Gutschrift","",IF(G77="","",IF(Besatzung!$B$19="","",IFERROR(IF(I77="Zeitanteilig",(Besatzung!$G$19*(G77-IFERROR(H77,0))+((Besatzung!$B$19&lt;&gt;"")*IF(B77="",1,(IF(Besatzung!$C$19="",Besatzung!$B$5,Besatzung!$C$19)&lt;=B77)*(IF(Besatzung!$D$19="",Besatzung!$B$6,Besatzung!$D$19)&gt;=B77)))*(Besatzung!$F$19="x")*IFERROR(H77,0)/IFERROR(SUMPRODUCT((Besatzung!$B$11:$B$22&lt;&gt;"")*(Besatzung!$F$11:$F$22="x")*(IF(Besatzung!$C$11:$C$22="",Besatzung!$B$5,Besatzung!$C$11:$C$22)&lt;=B77)*(IF(Besatzung!$D$11:$D$22="",Besatzung!$B$6,Besatzung!$D$11:$D$22)&gt;=B77)),1)),IF(I77="An Bord",(((Besatzung!$B$19&lt;&gt;"")*IF(B77="",1,(IF(Besatzung!$C$19="",Besatzung!$B$5,Besatzung!$C$19)&lt;=B77)*(IF(Besatzung!$D$19="",Besatzung!$B$6,Besatzung!$D$19)&gt;=B77)))*((G77-IFERROR(H77,0))/IFERROR(SUMPRODUCT((Besatzung!$B$11:$B$22&lt;&gt;"")*(IF(Besatzung!$C$11:$C$22="",Besatzung!$B$5,Besatzung!$C$11:$C$22)&lt;=B77)*(IF(Besatzung!$D$11:$D$22="",Besatzung!$B$6,Besatzung!$D$11:$D$22)&gt;=B77)),1)+(Besatzung!$F$19="x")*IFERROR(H77,0)/IFERROR(SUMPRODUCT((Besatzung!$B$11:$B$22&lt;&gt;"")*(Besatzung!$F$11:$F$22="x")*(IF(Besatzung!$C$11:$C$22="",Besatzung!$B$5,Besatzung!$C$11:$C$22)&lt;=B77)*(IF(Besatzung!$D$11:$D$22="",Besatzung!$B$6,Besatzung!$D$11:$D$22)&gt;=B77)),1))),IF(I77="Individuell",((R77="x")*((G77-IFERROR(H77,0))/IFERROR(COUNTIF(J77:U77,"x"),1)+(Besatzung!$F$19="x")*IFERROR(H77,0)/IFERROR(SUMPRODUCT((J77:U77="x")*(Besatzung!$F$11:$F$22="x")),1))),(IF(COUNTIF(J77:U77,"x")=0,IF(Besatzung!$B$19&lt;&gt;"",1,0),(R77="x"))*(G77-IFERROR(H77,0))/IFERROR(IF(COUNTIF(J77:U77,"x")=0,COUNTA(Besatzung!$B$11:$B$22),COUNTIF(J77:U77,"x")),1)+IF(COUNTIF(J77:U77,"x")=0,(Besatzung!$F$19="x"),(R77="x")*(Besatzung!$F$19="x"))*IFERROR(H77,0)/IFERROR(IF(COUNTIF(J77:U77,"x")=0,SUMPRODUCT((Besatzung!$B$11:$B$22&lt;&gt;"")*(Besatzung!$F$11:$F$22="x")),SUMPRODUCT((J77:U77="x")*(Besatzung!$F$11:$F$22="x"))),1))))),0))))</f>
        <v/>
      </c>
      <c r="AE77" s="247">
        <f>IF(C77="Gutschrift","",IF(G77="","",IF(Besatzung!$B$20="","",IFERROR(IF(I77="Zeitanteilig",(Besatzung!$G$20*(G77-IFERROR(H77,0))+((Besatzung!$B$20&lt;&gt;"")*IF(B77="",1,(IF(Besatzung!$C$20="",Besatzung!$B$5,Besatzung!$C$20)&lt;=B77)*(IF(Besatzung!$D$20="",Besatzung!$B$6,Besatzung!$D$20)&gt;=B77)))*(Besatzung!$F$20="x")*IFERROR(H77,0)/IFERROR(SUMPRODUCT((Besatzung!$B$11:$B$22&lt;&gt;"")*(Besatzung!$F$11:$F$22="x")*(IF(Besatzung!$C$11:$C$22="",Besatzung!$B$5,Besatzung!$C$11:$C$22)&lt;=B77)*(IF(Besatzung!$D$11:$D$22="",Besatzung!$B$6,Besatzung!$D$11:$D$22)&gt;=B77)),1)),IF(I77="An Bord",(((Besatzung!$B$20&lt;&gt;"")*IF(B77="",1,(IF(Besatzung!$C$20="",Besatzung!$B$5,Besatzung!$C$20)&lt;=B77)*(IF(Besatzung!$D$20="",Besatzung!$B$6,Besatzung!$D$20)&gt;=B77)))*((G77-IFERROR(H77,0))/IFERROR(SUMPRODUCT((Besatzung!$B$11:$B$22&lt;&gt;"")*(IF(Besatzung!$C$11:$C$22="",Besatzung!$B$5,Besatzung!$C$11:$C$22)&lt;=B77)*(IF(Besatzung!$D$11:$D$22="",Besatzung!$B$6,Besatzung!$D$11:$D$22)&gt;=B77)),1)+(Besatzung!$F$20="x")*IFERROR(H77,0)/IFERROR(SUMPRODUCT((Besatzung!$B$11:$B$22&lt;&gt;"")*(Besatzung!$F$11:$F$22="x")*(IF(Besatzung!$C$11:$C$22="",Besatzung!$B$5,Besatzung!$C$11:$C$22)&lt;=B77)*(IF(Besatzung!$D$11:$D$22="",Besatzung!$B$6,Besatzung!$D$11:$D$22)&gt;=B77)),1))),IF(I77="Individuell",((S77="x")*((G77-IFERROR(H77,0))/IFERROR(COUNTIF(J77:U77,"x"),1)+(Besatzung!$F$20="x")*IFERROR(H77,0)/IFERROR(SUMPRODUCT((J77:U77="x")*(Besatzung!$F$11:$F$22="x")),1))),(IF(COUNTIF(J77:U77,"x")=0,IF(Besatzung!$B$20&lt;&gt;"",1,0),(S77="x"))*(G77-IFERROR(H77,0))/IFERROR(IF(COUNTIF(J77:U77,"x")=0,COUNTA(Besatzung!$B$11:$B$22),COUNTIF(J77:U77,"x")),1)+IF(COUNTIF(J77:U77,"x")=0,(Besatzung!$F$20="x"),(S77="x")*(Besatzung!$F$20="x"))*IFERROR(H77,0)/IFERROR(IF(COUNTIF(J77:U77,"x")=0,SUMPRODUCT((Besatzung!$B$11:$B$22&lt;&gt;"")*(Besatzung!$F$11:$F$22="x")),SUMPRODUCT((J77:U77="x")*(Besatzung!$F$11:$F$22="x"))),1))))),0))))</f>
        <v/>
      </c>
      <c r="AF77" s="247">
        <f>IF(C77="Gutschrift","",IF(G77="","",IF(Besatzung!$B$21="","",IFERROR(IF(I77="Zeitanteilig",(Besatzung!$G$21*(G77-IFERROR(H77,0))+((Besatzung!$B$21&lt;&gt;"")*IF(B77="",1,(IF(Besatzung!$C$21="",Besatzung!$B$5,Besatzung!$C$21)&lt;=B77)*(IF(Besatzung!$D$21="",Besatzung!$B$6,Besatzung!$D$21)&gt;=B77)))*(Besatzung!$F$21="x")*IFERROR(H77,0)/IFERROR(SUMPRODUCT((Besatzung!$B$11:$B$22&lt;&gt;"")*(Besatzung!$F$11:$F$22="x")*(IF(Besatzung!$C$11:$C$22="",Besatzung!$B$5,Besatzung!$C$11:$C$22)&lt;=B77)*(IF(Besatzung!$D$11:$D$22="",Besatzung!$B$6,Besatzung!$D$11:$D$22)&gt;=B77)),1)),IF(I77="An Bord",(((Besatzung!$B$21&lt;&gt;"")*IF(B77="",1,(IF(Besatzung!$C$21="",Besatzung!$B$5,Besatzung!$C$21)&lt;=B77)*(IF(Besatzung!$D$21="",Besatzung!$B$6,Besatzung!$D$21)&gt;=B77)))*((G77-IFERROR(H77,0))/IFERROR(SUMPRODUCT((Besatzung!$B$11:$B$22&lt;&gt;"")*(IF(Besatzung!$C$11:$C$22="",Besatzung!$B$5,Besatzung!$C$11:$C$22)&lt;=B77)*(IF(Besatzung!$D$11:$D$22="",Besatzung!$B$6,Besatzung!$D$11:$D$22)&gt;=B77)),1)+(Besatzung!$F$21="x")*IFERROR(H77,0)/IFERROR(SUMPRODUCT((Besatzung!$B$11:$B$22&lt;&gt;"")*(Besatzung!$F$11:$F$22="x")*(IF(Besatzung!$C$11:$C$22="",Besatzung!$B$5,Besatzung!$C$11:$C$22)&lt;=B77)*(IF(Besatzung!$D$11:$D$22="",Besatzung!$B$6,Besatzung!$D$11:$D$22)&gt;=B77)),1))),IF(I77="Individuell",((T77="x")*((G77-IFERROR(H77,0))/IFERROR(COUNTIF(J77:U77,"x"),1)+(Besatzung!$F$21="x")*IFERROR(H77,0)/IFERROR(SUMPRODUCT((J77:U77="x")*(Besatzung!$F$11:$F$22="x")),1))),(IF(COUNTIF(J77:U77,"x")=0,IF(Besatzung!$B$21&lt;&gt;"",1,0),(T77="x"))*(G77-IFERROR(H77,0))/IFERROR(IF(COUNTIF(J77:U77,"x")=0,COUNTA(Besatzung!$B$11:$B$22),COUNTIF(J77:U77,"x")),1)+IF(COUNTIF(J77:U77,"x")=0,(Besatzung!$F$21="x"),(T77="x")*(Besatzung!$F$21="x"))*IFERROR(H77,0)/IFERROR(IF(COUNTIF(J77:U77,"x")=0,SUMPRODUCT((Besatzung!$B$11:$B$22&lt;&gt;"")*(Besatzung!$F$11:$F$22="x")),SUMPRODUCT((J77:U77="x")*(Besatzung!$F$11:$F$22="x"))),1))))),0))))</f>
        <v/>
      </c>
      <c r="AG77" s="247">
        <f>IF(C77="Gutschrift","",IF(G77="","",IF(Besatzung!$B$22="","",IFERROR(IF(I77="Zeitanteilig",(Besatzung!$G$22*(G77-IFERROR(H77,0))+((Besatzung!$B$22&lt;&gt;"")*IF(B77="",1,(IF(Besatzung!$C$22="",Besatzung!$B$5,Besatzung!$C$22)&lt;=B77)*(IF(Besatzung!$D$22="",Besatzung!$B$6,Besatzung!$D$22)&gt;=B77)))*(Besatzung!$F$22="x")*IFERROR(H77,0)/IFERROR(SUMPRODUCT((Besatzung!$B$11:$B$22&lt;&gt;"")*(Besatzung!$F$11:$F$22="x")*(IF(Besatzung!$C$11:$C$22="",Besatzung!$B$5,Besatzung!$C$11:$C$22)&lt;=B77)*(IF(Besatzung!$D$11:$D$22="",Besatzung!$B$6,Besatzung!$D$11:$D$22)&gt;=B77)),1)),IF(I77="An Bord",(((Besatzung!$B$22&lt;&gt;"")*IF(B77="",1,(IF(Besatzung!$C$22="",Besatzung!$B$5,Besatzung!$C$22)&lt;=B77)*(IF(Besatzung!$D$22="",Besatzung!$B$6,Besatzung!$D$22)&gt;=B77)))*((G77-IFERROR(H77,0))/IFERROR(SUMPRODUCT((Besatzung!$B$11:$B$22&lt;&gt;"")*(IF(Besatzung!$C$11:$C$22="",Besatzung!$B$5,Besatzung!$C$11:$C$22)&lt;=B77)*(IF(Besatzung!$D$11:$D$22="",Besatzung!$B$6,Besatzung!$D$11:$D$22)&gt;=B77)),1)+(Besatzung!$F$22="x")*IFERROR(H77,0)/IFERROR(SUMPRODUCT((Besatzung!$B$11:$B$22&lt;&gt;"")*(Besatzung!$F$11:$F$22="x")*(IF(Besatzung!$C$11:$C$22="",Besatzung!$B$5,Besatzung!$C$11:$C$22)&lt;=B77)*(IF(Besatzung!$D$11:$D$22="",Besatzung!$B$6,Besatzung!$D$11:$D$22)&gt;=B77)),1))),IF(I77="Individuell",((U77="x")*((G77-IFERROR(H77,0))/IFERROR(COUNTIF(J77:U77,"x"),1)+(Besatzung!$F$22="x")*IFERROR(H77,0)/IFERROR(SUMPRODUCT((J77:U77="x")*(Besatzung!$F$11:$F$22="x")),1))),(IF(COUNTIF(J77:U77,"x")=0,IF(Besatzung!$B$22&lt;&gt;"",1,0),(U77="x"))*(G77-IFERROR(H77,0))/IFERROR(IF(COUNTIF(J77:U77,"x")=0,COUNTA(Besatzung!$B$11:$B$22),COUNTIF(J77:U77,"x")),1)+IF(COUNTIF(J77:U77,"x")=0,(Besatzung!$F$22="x"),(U77="x")*(Besatzung!$F$22="x"))*IFERROR(H77,0)/IFERROR(IF(COUNTIF(J77:U77,"x")=0,SUMPRODUCT((Besatzung!$B$11:$B$22&lt;&gt;"")*(Besatzung!$F$11:$F$22="x")),SUMPRODUCT((J77:U77="x")*(Besatzung!$F$11:$F$22="x"))),1))))),0))))</f>
        <v/>
      </c>
      <c r="AH77" s="248" t="n"/>
      <c r="AI77" s="248" t="n"/>
    </row>
    <row r="78" ht="21.75" customHeight="1" s="154">
      <c r="A78" s="238">
        <f>IF(AND(D78="",C78=""),"",75)</f>
        <v/>
      </c>
      <c r="B78" s="199" t="n"/>
      <c r="C78" s="239" t="n"/>
      <c r="D78" s="240" t="n"/>
      <c r="E78" s="241" t="n"/>
      <c r="F78" s="242" t="n"/>
      <c r="G78" s="243" t="n"/>
      <c r="H78" s="244" t="n"/>
      <c r="I78" s="245" t="n"/>
      <c r="J78" s="246" t="n"/>
      <c r="K78" s="246" t="n"/>
      <c r="L78" s="246" t="n"/>
      <c r="M78" s="246" t="n"/>
      <c r="N78" s="246" t="n"/>
      <c r="O78" s="246" t="n"/>
      <c r="P78" s="246" t="n"/>
      <c r="Q78" s="246" t="n"/>
      <c r="R78" s="246" t="n"/>
      <c r="S78" s="246" t="n"/>
      <c r="T78" s="246" t="n"/>
      <c r="U78" s="246" t="n"/>
      <c r="V78" s="247">
        <f>IF(C78="Gutschrift","",IF(G78="","",IF(Besatzung!$B$11="","",IFERROR(IF(I78="Zeitanteilig",(Besatzung!$G$11*(G78-IFERROR(H78,0))+((Besatzung!$B$11&lt;&gt;"")*IF(B78="",1,(IF(Besatzung!$C$11="",Besatzung!$B$5,Besatzung!$C$11)&lt;=B78)*(IF(Besatzung!$D$11="",Besatzung!$B$6,Besatzung!$D$11)&gt;=B78)))*(Besatzung!$F$11="x")*IFERROR(H78,0)/IFERROR(SUMPRODUCT((Besatzung!$B$11:$B$22&lt;&gt;"")*(Besatzung!$F$11:$F$22="x")*(IF(Besatzung!$C$11:$C$22="",Besatzung!$B$5,Besatzung!$C$11:$C$22)&lt;=B78)*(IF(Besatzung!$D$11:$D$22="",Besatzung!$B$6,Besatzung!$D$11:$D$22)&gt;=B78)),1)),IF(I78="An Bord",(((Besatzung!$B$11&lt;&gt;"")*IF(B78="",1,(IF(Besatzung!$C$11="",Besatzung!$B$5,Besatzung!$C$11)&lt;=B78)*(IF(Besatzung!$D$11="",Besatzung!$B$6,Besatzung!$D$11)&gt;=B78)))*((G78-IFERROR(H78,0))/IFERROR(SUMPRODUCT((Besatzung!$B$11:$B$22&lt;&gt;"")*(IF(Besatzung!$C$11:$C$22="",Besatzung!$B$5,Besatzung!$C$11:$C$22)&lt;=B78)*(IF(Besatzung!$D$11:$D$22="",Besatzung!$B$6,Besatzung!$D$11:$D$22)&gt;=B78)),1)+(Besatzung!$F$11="x")*IFERROR(H78,0)/IFERROR(SUMPRODUCT((Besatzung!$B$11:$B$22&lt;&gt;"")*(Besatzung!$F$11:$F$22="x")*(IF(Besatzung!$C$11:$C$22="",Besatzung!$B$5,Besatzung!$C$11:$C$22)&lt;=B78)*(IF(Besatzung!$D$11:$D$22="",Besatzung!$B$6,Besatzung!$D$11:$D$22)&gt;=B78)),1))),IF(I78="Individuell",((J78="x")*((G78-IFERROR(H78,0))/IFERROR(COUNTIF(J78:U78,"x"),1)+(Besatzung!$F$11="x")*IFERROR(H78,0)/IFERROR(SUMPRODUCT((J78:U78="x")*(Besatzung!$F$11:$F$22="x")),1))),(IF(COUNTIF(J78:U78,"x")=0,IF(Besatzung!$B$11&lt;&gt;"",1,0),(J78="x"))*(G78-IFERROR(H78,0))/IFERROR(IF(COUNTIF(J78:U78,"x")=0,COUNTA(Besatzung!$B$11:$B$22),COUNTIF(J78:U78,"x")),1)+IF(COUNTIF(J78:U78,"x")=0,(Besatzung!$F$11="x"),(J78="x")*(Besatzung!$F$11="x"))*IFERROR(H78,0)/IFERROR(IF(COUNTIF(J78:U78,"x")=0,SUMPRODUCT((Besatzung!$B$11:$B$22&lt;&gt;"")*(Besatzung!$F$11:$F$22="x")),SUMPRODUCT((J78:U78="x")*(Besatzung!$F$11:$F$22="x"))),1))))),0))))</f>
        <v/>
      </c>
      <c r="W78" s="247">
        <f>IF(C78="Gutschrift","",IF(G78="","",IF(Besatzung!$B$12="","",IFERROR(IF(I78="Zeitanteilig",(Besatzung!$G$12*(G78-IFERROR(H78,0))+((Besatzung!$B$12&lt;&gt;"")*IF(B78="",1,(IF(Besatzung!$C$12="",Besatzung!$B$5,Besatzung!$C$12)&lt;=B78)*(IF(Besatzung!$D$12="",Besatzung!$B$6,Besatzung!$D$12)&gt;=B78)))*(Besatzung!$F$12="x")*IFERROR(H78,0)/IFERROR(SUMPRODUCT((Besatzung!$B$11:$B$22&lt;&gt;"")*(Besatzung!$F$11:$F$22="x")*(IF(Besatzung!$C$11:$C$22="",Besatzung!$B$5,Besatzung!$C$11:$C$22)&lt;=B78)*(IF(Besatzung!$D$11:$D$22="",Besatzung!$B$6,Besatzung!$D$11:$D$22)&gt;=B78)),1)),IF(I78="An Bord",(((Besatzung!$B$12&lt;&gt;"")*IF(B78="",1,(IF(Besatzung!$C$12="",Besatzung!$B$5,Besatzung!$C$12)&lt;=B78)*(IF(Besatzung!$D$12="",Besatzung!$B$6,Besatzung!$D$12)&gt;=B78)))*((G78-IFERROR(H78,0))/IFERROR(SUMPRODUCT((Besatzung!$B$11:$B$22&lt;&gt;"")*(IF(Besatzung!$C$11:$C$22="",Besatzung!$B$5,Besatzung!$C$11:$C$22)&lt;=B78)*(IF(Besatzung!$D$11:$D$22="",Besatzung!$B$6,Besatzung!$D$11:$D$22)&gt;=B78)),1)+(Besatzung!$F$12="x")*IFERROR(H78,0)/IFERROR(SUMPRODUCT((Besatzung!$B$11:$B$22&lt;&gt;"")*(Besatzung!$F$11:$F$22="x")*(IF(Besatzung!$C$11:$C$22="",Besatzung!$B$5,Besatzung!$C$11:$C$22)&lt;=B78)*(IF(Besatzung!$D$11:$D$22="",Besatzung!$B$6,Besatzung!$D$11:$D$22)&gt;=B78)),1))),IF(I78="Individuell",((K78="x")*((G78-IFERROR(H78,0))/IFERROR(COUNTIF(J78:U78,"x"),1)+(Besatzung!$F$12="x")*IFERROR(H78,0)/IFERROR(SUMPRODUCT((J78:U78="x")*(Besatzung!$F$11:$F$22="x")),1))),(IF(COUNTIF(J78:U78,"x")=0,IF(Besatzung!$B$12&lt;&gt;"",1,0),(K78="x"))*(G78-IFERROR(H78,0))/IFERROR(IF(COUNTIF(J78:U78,"x")=0,COUNTA(Besatzung!$B$11:$B$22),COUNTIF(J78:U78,"x")),1)+IF(COUNTIF(J78:U78,"x")=0,(Besatzung!$F$12="x"),(K78="x")*(Besatzung!$F$12="x"))*IFERROR(H78,0)/IFERROR(IF(COUNTIF(J78:U78,"x")=0,SUMPRODUCT((Besatzung!$B$11:$B$22&lt;&gt;"")*(Besatzung!$F$11:$F$22="x")),SUMPRODUCT((J78:U78="x")*(Besatzung!$F$11:$F$22="x"))),1))))),0))))</f>
        <v/>
      </c>
      <c r="X78" s="247">
        <f>IF(C78="Gutschrift","",IF(G78="","",IF(Besatzung!$B$13="","",IFERROR(IF(I78="Zeitanteilig",(Besatzung!$G$13*(G78-IFERROR(H78,0))+((Besatzung!$B$13&lt;&gt;"")*IF(B78="",1,(IF(Besatzung!$C$13="",Besatzung!$B$5,Besatzung!$C$13)&lt;=B78)*(IF(Besatzung!$D$13="",Besatzung!$B$6,Besatzung!$D$13)&gt;=B78)))*(Besatzung!$F$13="x")*IFERROR(H78,0)/IFERROR(SUMPRODUCT((Besatzung!$B$11:$B$22&lt;&gt;"")*(Besatzung!$F$11:$F$22="x")*(IF(Besatzung!$C$11:$C$22="",Besatzung!$B$5,Besatzung!$C$11:$C$22)&lt;=B78)*(IF(Besatzung!$D$11:$D$22="",Besatzung!$B$6,Besatzung!$D$11:$D$22)&gt;=B78)),1)),IF(I78="An Bord",(((Besatzung!$B$13&lt;&gt;"")*IF(B78="",1,(IF(Besatzung!$C$13="",Besatzung!$B$5,Besatzung!$C$13)&lt;=B78)*(IF(Besatzung!$D$13="",Besatzung!$B$6,Besatzung!$D$13)&gt;=B78)))*((G78-IFERROR(H78,0))/IFERROR(SUMPRODUCT((Besatzung!$B$11:$B$22&lt;&gt;"")*(IF(Besatzung!$C$11:$C$22="",Besatzung!$B$5,Besatzung!$C$11:$C$22)&lt;=B78)*(IF(Besatzung!$D$11:$D$22="",Besatzung!$B$6,Besatzung!$D$11:$D$22)&gt;=B78)),1)+(Besatzung!$F$13="x")*IFERROR(H78,0)/IFERROR(SUMPRODUCT((Besatzung!$B$11:$B$22&lt;&gt;"")*(Besatzung!$F$11:$F$22="x")*(IF(Besatzung!$C$11:$C$22="",Besatzung!$B$5,Besatzung!$C$11:$C$22)&lt;=B78)*(IF(Besatzung!$D$11:$D$22="",Besatzung!$B$6,Besatzung!$D$11:$D$22)&gt;=B78)),1))),IF(I78="Individuell",((K78="x")*((G78-IFERROR(H78,0))/IFERROR(COUNTIF(J78:U78,"x"),1)+(Besatzung!$F$13="x")*IFERROR(H78,0)/IFERROR(SUMPRODUCT((J78:U78="x")*(Besatzung!$F$11:$F$22="x")),1))),(IF(COUNTIF(J78:U78,"x")=0,IF(Besatzung!$B$13&lt;&gt;"",1,0),(K78="x"))*(G78-IFERROR(H78,0))/IFERROR(IF(COUNTIF(J78:U78,"x")=0,COUNTA(Besatzung!$B$11:$B$22),COUNTIF(J78:U78,"x")),1)+IF(COUNTIF(J78:U78,"x")=0,(Besatzung!$F$13="x"),(K78="x")*(Besatzung!$F$13="x"))*IFERROR(H78,0)/IFERROR(IF(COUNTIF(J78:U78,"x")=0,SUMPRODUCT((Besatzung!$B$11:$B$22&lt;&gt;"")*(Besatzung!$F$11:$F$22="x")),SUMPRODUCT((J78:U78="x")*(Besatzung!$F$11:$F$22="x"))),1))))),0))))</f>
        <v/>
      </c>
      <c r="Y78" s="247">
        <f>IF(C78="Gutschrift","",IF(G78="","",IF(Besatzung!$B$14="","",IFERROR(IF(I78="Zeitanteilig",(Besatzung!$G$14*(G78-IFERROR(H78,0))+((Besatzung!$B$14&lt;&gt;"")*IF(B78="",1,(IF(Besatzung!$C$14="",Besatzung!$B$5,Besatzung!$C$14)&lt;=B78)*(IF(Besatzung!$D$14="",Besatzung!$B$6,Besatzung!$D$14)&gt;=B78)))*(Besatzung!$F$14="x")*IFERROR(H78,0)/IFERROR(SUMPRODUCT((Besatzung!$B$11:$B$22&lt;&gt;"")*(Besatzung!$F$11:$F$22="x")*(IF(Besatzung!$C$11:$C$22="",Besatzung!$B$5,Besatzung!$C$11:$C$22)&lt;=B78)*(IF(Besatzung!$D$11:$D$22="",Besatzung!$B$6,Besatzung!$D$11:$D$22)&gt;=B78)),1)),IF(I78="An Bord",(((Besatzung!$B$14&lt;&gt;"")*IF(B78="",1,(IF(Besatzung!$C$14="",Besatzung!$B$5,Besatzung!$C$14)&lt;=B78)*(IF(Besatzung!$D$14="",Besatzung!$B$6,Besatzung!$D$14)&gt;=B78)))*((G78-IFERROR(H78,0))/IFERROR(SUMPRODUCT((Besatzung!$B$11:$B$22&lt;&gt;"")*(IF(Besatzung!$C$11:$C$22="",Besatzung!$B$5,Besatzung!$C$11:$C$22)&lt;=B78)*(IF(Besatzung!$D$11:$D$22="",Besatzung!$B$6,Besatzung!$D$11:$D$22)&gt;=B78)),1)+(Besatzung!$F$14="x")*IFERROR(H78,0)/IFERROR(SUMPRODUCT((Besatzung!$B$11:$B$22&lt;&gt;"")*(Besatzung!$F$11:$F$22="x")*(IF(Besatzung!$C$11:$C$22="",Besatzung!$B$5,Besatzung!$C$11:$C$22)&lt;=B78)*(IF(Besatzung!$D$11:$D$22="",Besatzung!$B$6,Besatzung!$D$11:$D$22)&gt;=B78)),1))),IF(I78="Individuell",((M78="x")*((G78-IFERROR(H78,0))/IFERROR(COUNTIF(J78:U78,"x"),1)+(Besatzung!$F$14="x")*IFERROR(H78,0)/IFERROR(SUMPRODUCT((J78:U78="x")*(Besatzung!$F$11:$F$22="x")),1))),(IF(COUNTIF(J78:U78,"x")=0,IF(Besatzung!$B$14&lt;&gt;"",1,0),(M78="x"))*(G78-IFERROR(H78,0))/IFERROR(IF(COUNTIF(J78:U78,"x")=0,COUNTA(Besatzung!$B$11:$B$22),COUNTIF(J78:U78,"x")),1)+IF(COUNTIF(J78:U78,"x")=0,(Besatzung!$F$14="x"),(M78="x")*(Besatzung!$F$14="x"))*IFERROR(H78,0)/IFERROR(IF(COUNTIF(J78:U78,"x")=0,SUMPRODUCT((Besatzung!$B$11:$B$22&lt;&gt;"")*(Besatzung!$F$11:$F$22="x")),SUMPRODUCT((J78:U78="x")*(Besatzung!$F$11:$F$22="x"))),1))))),0))))</f>
        <v/>
      </c>
      <c r="Z78" s="247">
        <f>IF(C78="Gutschrift","",IF(G78="","",IF(Besatzung!$B$13="","",IFERROR(IF(I78="Zeitanteilig",(Besatzung!$G$15*(G78-IFERROR(H78,0))+((Besatzung!$B$13&lt;&gt;"")*IF(B78="",1,(IF(Besatzung!$C$15="",Besatzung!$B$5,Besatzung!$C$15)&lt;=B78)*(IF(Besatzung!$D$15="",Besatzung!$B$6,Besatzung!$D$15)&gt;=B78)))*(Besatzung!$F$15="x")*IFERROR(H78,0)/IFERROR(SUMPRODUCT((Besatzung!$B$11:$B$22&lt;&gt;"")*(Besatzung!$F$11:$F$22="x")*(IF(Besatzung!$C$11:$C$22="",Besatzung!$B$5,Besatzung!$C$11:$C$22)&lt;=B78)*(IF(Besatzung!$D$11:$D$22="",Besatzung!$B$6,Besatzung!$D$11:$D$22)&gt;=B78)),1)),IF(I78="An Bord",(((Besatzung!$B$13&lt;&gt;"")*IF(B78="",1,(IF(Besatzung!$C$15="",Besatzung!$B$5,Besatzung!$C$15)&lt;=B78)*(IF(Besatzung!$D$15="",Besatzung!$B$6,Besatzung!$D$15)&gt;=B78)))*((G78-IFERROR(H78,0))/IFERROR(SUMPRODUCT((Besatzung!$B$11:$B$22&lt;&gt;"")*(IF(Besatzung!$C$11:$C$22="",Besatzung!$B$5,Besatzung!$C$11:$C$22)&lt;=B78)*(IF(Besatzung!$D$11:$D$22="",Besatzung!$B$6,Besatzung!$D$11:$D$22)&gt;=B78)),1)+(Besatzung!$F$15="x")*IFERROR(H78,0)/IFERROR(SUMPRODUCT((Besatzung!$B$11:$B$22&lt;&gt;"")*(Besatzung!$F$11:$F$22="x")*(IF(Besatzung!$C$11:$C$22="",Besatzung!$B$5,Besatzung!$C$11:$C$22)&lt;=B78)*(IF(Besatzung!$D$11:$D$22="",Besatzung!$B$6,Besatzung!$D$11:$D$22)&gt;=B78)),1))),IF(I78="Individuell",((N78="x")*((G78-IFERROR(H78,0))/IFERROR(COUNTIF(J78:U78,"x"),1)+(Besatzung!$F$15="x")*IFERROR(H78,0)/IFERROR(SUMPRODUCT((J78:U78="x")*(Besatzung!$F$11:$F$22="x")),1))),(IF(COUNTIF(J78:U78,"x")=0,IF(Besatzung!$B$13&lt;&gt;"",1,0),(N78="x"))*(G78-IFERROR(H78,0))/IFERROR(IF(COUNTIF(J78:U78,"x")=0,COUNTA(Besatzung!$B$11:$B$22),COUNTIF(J78:U78,"x")),1)+IF(COUNTIF(J78:U78,"x")=0,(Besatzung!$F$15="x"),(N78="x")*(Besatzung!$F$15="x"))*IFERROR(H78,0)/IFERROR(IF(COUNTIF(J78:U78,"x")=0,SUMPRODUCT((Besatzung!$B$11:$B$22&lt;&gt;"")*(Besatzung!$F$11:$F$22="x")),SUMPRODUCT((J78:U78="x")*(Besatzung!$F$11:$F$22="x"))),1))))),0))))</f>
        <v/>
      </c>
      <c r="AA78" s="247">
        <f>IF(C78="Gutschrift","",IF(G78="","",IF(Besatzung!$B$15="","",IFERROR(IF(I78="Zeitanteilig",(Besatzung!$G$16*(G78-IFERROR(H78,0))+((Besatzung!$B$15&lt;&gt;"")*IF(B78="",1,(IF(Besatzung!$C$16="",Besatzung!$B$5,Besatzung!$C$16)&lt;=B78)*(IF(Besatzung!$D$16="",Besatzung!$B$6,Besatzung!$D$16)&gt;=B78)))*(Besatzung!$F$16="x")*IFERROR(H78,0)/IFERROR(SUMPRODUCT((Besatzung!$B$11:$B$22&lt;&gt;"")*(Besatzung!$F$11:$F$22="x")*(IF(Besatzung!$C$11:$C$22="",Besatzung!$B$5,Besatzung!$C$11:$C$22)&lt;=B78)*(IF(Besatzung!$D$11:$D$22="",Besatzung!$B$6,Besatzung!$D$11:$D$22)&gt;=B78)),1)),IF(I78="An Bord",(((Besatzung!$B$15&lt;&gt;"")*IF(B78="",1,(IF(Besatzung!$C$16="",Besatzung!$B$5,Besatzung!$C$16)&lt;=B78)*(IF(Besatzung!$D$16="",Besatzung!$B$6,Besatzung!$D$16)&gt;=B78)))*((G78-IFERROR(H78,0))/IFERROR(SUMPRODUCT((Besatzung!$B$11:$B$22&lt;&gt;"")*(IF(Besatzung!$C$11:$C$22="",Besatzung!$B$5,Besatzung!$C$11:$C$22)&lt;=B78)*(IF(Besatzung!$D$11:$D$22="",Besatzung!$B$6,Besatzung!$D$11:$D$22)&gt;=B78)),1)+(Besatzung!$F$16="x")*IFERROR(H78,0)/IFERROR(SUMPRODUCT((Besatzung!$B$11:$B$22&lt;&gt;"")*(Besatzung!$F$11:$F$22="x")*(IF(Besatzung!$C$11:$C$22="",Besatzung!$B$5,Besatzung!$C$11:$C$22)&lt;=B78)*(IF(Besatzung!$D$11:$D$22="",Besatzung!$B$6,Besatzung!$D$11:$D$22)&gt;=B78)),1))),IF(I78="Individuell",((O78="x")*((G78-IFERROR(H78,0))/IFERROR(COUNTIF(J78:U78,"x"),1)+(Besatzung!$F$16="x")*IFERROR(H78,0)/IFERROR(SUMPRODUCT((J78:U78="x")*(Besatzung!$F$11:$F$22="x")),1))),(IF(COUNTIF(J78:U78,"x")=0,IF(Besatzung!$B$15&lt;&gt;"",1,0),(O78="x"))*(G78-IFERROR(H78,0))/IFERROR(IF(COUNTIF(J78:U78,"x")=0,COUNTA(Besatzung!$B$11:$B$22),COUNTIF(J78:U78,"x")),1)+IF(COUNTIF(J78:U78,"x")=0,(Besatzung!$F$16="x"),(O78="x")*(Besatzung!$F$16="x"))*IFERROR(H78,0)/IFERROR(IF(COUNTIF(J78:U78,"x")=0,SUMPRODUCT((Besatzung!$B$11:$B$22&lt;&gt;"")*(Besatzung!$F$11:$F$22="x")),SUMPRODUCT((J78:U78="x")*(Besatzung!$F$11:$F$22="x"))),1))))),0))))</f>
        <v/>
      </c>
      <c r="AB78" s="247">
        <f>IF(C78="Gutschrift","",IF(G78="","",IF(Besatzung!$B$17="","",IFERROR(IF(I78="Zeitanteilig",(Besatzung!$G$17*(G78-IFERROR(H78,0))+((Besatzung!$B$17&lt;&gt;"")*IF(B78="",1,(IF(Besatzung!$C$17="",Besatzung!$B$5,Besatzung!$C$17)&lt;=B78)*(IF(Besatzung!$D$17="",Besatzung!$B$6,Besatzung!$D$17)&gt;=B78)))*(Besatzung!$F$17="x")*IFERROR(H78,0)/IFERROR(SUMPRODUCT((Besatzung!$B$11:$B$22&lt;&gt;"")*(Besatzung!$F$11:$F$22="x")*(IF(Besatzung!$C$11:$C$22="",Besatzung!$B$5,Besatzung!$C$11:$C$22)&lt;=B78)*(IF(Besatzung!$D$11:$D$22="",Besatzung!$B$6,Besatzung!$D$11:$D$22)&gt;=B78)),1)),IF(I78="An Bord",(((Besatzung!$B$17&lt;&gt;"")*IF(B78="",1,(IF(Besatzung!$C$17="",Besatzung!$B$5,Besatzung!$C$17)&lt;=B78)*(IF(Besatzung!$D$17="",Besatzung!$B$6,Besatzung!$D$17)&gt;=B78)))*((G78-IFERROR(H78,0))/IFERROR(SUMPRODUCT((Besatzung!$B$11:$B$22&lt;&gt;"")*(IF(Besatzung!$C$11:$C$22="",Besatzung!$B$5,Besatzung!$C$11:$C$22)&lt;=B78)*(IF(Besatzung!$D$11:$D$22="",Besatzung!$B$6,Besatzung!$D$11:$D$22)&gt;=B78)),1)+(Besatzung!$F$17="x")*IFERROR(H78,0)/IFERROR(SUMPRODUCT((Besatzung!$B$11:$B$22&lt;&gt;"")*(Besatzung!$F$11:$F$22="x")*(IF(Besatzung!$C$11:$C$22="",Besatzung!$B$5,Besatzung!$C$11:$C$22)&lt;=B78)*(IF(Besatzung!$D$11:$D$22="",Besatzung!$B$6,Besatzung!$D$11:$D$22)&gt;=B78)),1))),IF(I78="Individuell",((P78="x")*((G78-IFERROR(H78,0))/IFERROR(COUNTIF(J78:U78,"x"),1)+(Besatzung!$F$17="x")*IFERROR(H78,0)/IFERROR(SUMPRODUCT((J78:U78="x")*(Besatzung!$F$11:$F$22="x")),1))),(IF(COUNTIF(J78:U78,"x")=0,IF(Besatzung!$B$17&lt;&gt;"",1,0),(P78="x"))*(G78-IFERROR(H78,0))/IFERROR(IF(COUNTIF(J78:U78,"x")=0,COUNTA(Besatzung!$B$11:$B$22),COUNTIF(J78:U78,"x")),1)+IF(COUNTIF(J78:U78,"x")=0,(Besatzung!$F$17="x"),(P78="x")*(Besatzung!$F$17="x"))*IFERROR(H78,0)/IFERROR(IF(COUNTIF(J78:U78,"x")=0,SUMPRODUCT((Besatzung!$B$11:$B$22&lt;&gt;"")*(Besatzung!$F$11:$F$22="x")),SUMPRODUCT((J78:U78="x")*(Besatzung!$F$11:$F$22="x"))),1))))),0))))</f>
        <v/>
      </c>
      <c r="AC78" s="247">
        <f>IF(C78="Gutschrift","",IF(G78="","",IF(Besatzung!$B$18="","",IFERROR(IF(I78="Zeitanteilig",(Besatzung!$G$18*(G78-IFERROR(H78,0))+((Besatzung!$B$18&lt;&gt;"")*IF(B78="",1,(IF(Besatzung!$C$18="",Besatzung!$B$5,Besatzung!$C$18)&lt;=B78)*(IF(Besatzung!$D$18="",Besatzung!$B$6,Besatzung!$D$18)&gt;=B78)))*(Besatzung!$F$18="x")*IFERROR(H78,0)/IFERROR(SUMPRODUCT((Besatzung!$B$11:$B$22&lt;&gt;"")*(Besatzung!$F$11:$F$22="x")*(IF(Besatzung!$C$11:$C$22="",Besatzung!$B$5,Besatzung!$C$11:$C$22)&lt;=B78)*(IF(Besatzung!$D$11:$D$22="",Besatzung!$B$6,Besatzung!$D$11:$D$22)&gt;=B78)),1)),IF(I78="An Bord",(((Besatzung!$B$18&lt;&gt;"")*IF(B78="",1,(IF(Besatzung!$C$18="",Besatzung!$B$5,Besatzung!$C$18)&lt;=B78)*(IF(Besatzung!$D$18="",Besatzung!$B$6,Besatzung!$D$18)&gt;=B78)))*((G78-IFERROR(H78,0))/IFERROR(SUMPRODUCT((Besatzung!$B$11:$B$22&lt;&gt;"")*(IF(Besatzung!$C$11:$C$22="",Besatzung!$B$5,Besatzung!$C$11:$C$22)&lt;=B78)*(IF(Besatzung!$D$11:$D$22="",Besatzung!$B$6,Besatzung!$D$11:$D$22)&gt;=B78)),1)+(Besatzung!$F$18="x")*IFERROR(H78,0)/IFERROR(SUMPRODUCT((Besatzung!$B$11:$B$22&lt;&gt;"")*(Besatzung!$F$11:$F$22="x")*(IF(Besatzung!$C$11:$C$22="",Besatzung!$B$5,Besatzung!$C$11:$C$22)&lt;=B78)*(IF(Besatzung!$D$11:$D$22="",Besatzung!$B$6,Besatzung!$D$11:$D$22)&gt;=B78)),1))),IF(I78="Individuell",((Q78="x")*((G78-IFERROR(H78,0))/IFERROR(COUNTIF(J78:U78,"x"),1)+(Besatzung!$F$18="x")*IFERROR(H78,0)/IFERROR(SUMPRODUCT((J78:U78="x")*(Besatzung!$F$11:$F$22="x")),1))),(IF(COUNTIF(J78:U78,"x")=0,IF(Besatzung!$B$18&lt;&gt;"",1,0),(Q78="x"))*(G78-IFERROR(H78,0))/IFERROR(IF(COUNTIF(J78:U78,"x")=0,COUNTA(Besatzung!$B$11:$B$22),COUNTIF(J78:U78,"x")),1)+IF(COUNTIF(J78:U78,"x")=0,(Besatzung!$F$18="x"),(Q78="x")*(Besatzung!$F$18="x"))*IFERROR(H78,0)/IFERROR(IF(COUNTIF(J78:U78,"x")=0,SUMPRODUCT((Besatzung!$B$11:$B$22&lt;&gt;"")*(Besatzung!$F$11:$F$22="x")),SUMPRODUCT((J78:U78="x")*(Besatzung!$F$11:$F$22="x"))),1))))),0))))</f>
        <v/>
      </c>
      <c r="AD78" s="247">
        <f>IF(C78="Gutschrift","",IF(G78="","",IF(Besatzung!$B$19="","",IFERROR(IF(I78="Zeitanteilig",(Besatzung!$G$19*(G78-IFERROR(H78,0))+((Besatzung!$B$19&lt;&gt;"")*IF(B78="",1,(IF(Besatzung!$C$19="",Besatzung!$B$5,Besatzung!$C$19)&lt;=B78)*(IF(Besatzung!$D$19="",Besatzung!$B$6,Besatzung!$D$19)&gt;=B78)))*(Besatzung!$F$19="x")*IFERROR(H78,0)/IFERROR(SUMPRODUCT((Besatzung!$B$11:$B$22&lt;&gt;"")*(Besatzung!$F$11:$F$22="x")*(IF(Besatzung!$C$11:$C$22="",Besatzung!$B$5,Besatzung!$C$11:$C$22)&lt;=B78)*(IF(Besatzung!$D$11:$D$22="",Besatzung!$B$6,Besatzung!$D$11:$D$22)&gt;=B78)),1)),IF(I78="An Bord",(((Besatzung!$B$19&lt;&gt;"")*IF(B78="",1,(IF(Besatzung!$C$19="",Besatzung!$B$5,Besatzung!$C$19)&lt;=B78)*(IF(Besatzung!$D$19="",Besatzung!$B$6,Besatzung!$D$19)&gt;=B78)))*((G78-IFERROR(H78,0))/IFERROR(SUMPRODUCT((Besatzung!$B$11:$B$22&lt;&gt;"")*(IF(Besatzung!$C$11:$C$22="",Besatzung!$B$5,Besatzung!$C$11:$C$22)&lt;=B78)*(IF(Besatzung!$D$11:$D$22="",Besatzung!$B$6,Besatzung!$D$11:$D$22)&gt;=B78)),1)+(Besatzung!$F$19="x")*IFERROR(H78,0)/IFERROR(SUMPRODUCT((Besatzung!$B$11:$B$22&lt;&gt;"")*(Besatzung!$F$11:$F$22="x")*(IF(Besatzung!$C$11:$C$22="",Besatzung!$B$5,Besatzung!$C$11:$C$22)&lt;=B78)*(IF(Besatzung!$D$11:$D$22="",Besatzung!$B$6,Besatzung!$D$11:$D$22)&gt;=B78)),1))),IF(I78="Individuell",((R78="x")*((G78-IFERROR(H78,0))/IFERROR(COUNTIF(J78:U78,"x"),1)+(Besatzung!$F$19="x")*IFERROR(H78,0)/IFERROR(SUMPRODUCT((J78:U78="x")*(Besatzung!$F$11:$F$22="x")),1))),(IF(COUNTIF(J78:U78,"x")=0,IF(Besatzung!$B$19&lt;&gt;"",1,0),(R78="x"))*(G78-IFERROR(H78,0))/IFERROR(IF(COUNTIF(J78:U78,"x")=0,COUNTA(Besatzung!$B$11:$B$22),COUNTIF(J78:U78,"x")),1)+IF(COUNTIF(J78:U78,"x")=0,(Besatzung!$F$19="x"),(R78="x")*(Besatzung!$F$19="x"))*IFERROR(H78,0)/IFERROR(IF(COUNTIF(J78:U78,"x")=0,SUMPRODUCT((Besatzung!$B$11:$B$22&lt;&gt;"")*(Besatzung!$F$11:$F$22="x")),SUMPRODUCT((J78:U78="x")*(Besatzung!$F$11:$F$22="x"))),1))))),0))))</f>
        <v/>
      </c>
      <c r="AE78" s="247">
        <f>IF(C78="Gutschrift","",IF(G78="","",IF(Besatzung!$B$20="","",IFERROR(IF(I78="Zeitanteilig",(Besatzung!$G$20*(G78-IFERROR(H78,0))+((Besatzung!$B$20&lt;&gt;"")*IF(B78="",1,(IF(Besatzung!$C$20="",Besatzung!$B$5,Besatzung!$C$20)&lt;=B78)*(IF(Besatzung!$D$20="",Besatzung!$B$6,Besatzung!$D$20)&gt;=B78)))*(Besatzung!$F$20="x")*IFERROR(H78,0)/IFERROR(SUMPRODUCT((Besatzung!$B$11:$B$22&lt;&gt;"")*(Besatzung!$F$11:$F$22="x")*(IF(Besatzung!$C$11:$C$22="",Besatzung!$B$5,Besatzung!$C$11:$C$22)&lt;=B78)*(IF(Besatzung!$D$11:$D$22="",Besatzung!$B$6,Besatzung!$D$11:$D$22)&gt;=B78)),1)),IF(I78="An Bord",(((Besatzung!$B$20&lt;&gt;"")*IF(B78="",1,(IF(Besatzung!$C$20="",Besatzung!$B$5,Besatzung!$C$20)&lt;=B78)*(IF(Besatzung!$D$20="",Besatzung!$B$6,Besatzung!$D$20)&gt;=B78)))*((G78-IFERROR(H78,0))/IFERROR(SUMPRODUCT((Besatzung!$B$11:$B$22&lt;&gt;"")*(IF(Besatzung!$C$11:$C$22="",Besatzung!$B$5,Besatzung!$C$11:$C$22)&lt;=B78)*(IF(Besatzung!$D$11:$D$22="",Besatzung!$B$6,Besatzung!$D$11:$D$22)&gt;=B78)),1)+(Besatzung!$F$20="x")*IFERROR(H78,0)/IFERROR(SUMPRODUCT((Besatzung!$B$11:$B$22&lt;&gt;"")*(Besatzung!$F$11:$F$22="x")*(IF(Besatzung!$C$11:$C$22="",Besatzung!$B$5,Besatzung!$C$11:$C$22)&lt;=B78)*(IF(Besatzung!$D$11:$D$22="",Besatzung!$B$6,Besatzung!$D$11:$D$22)&gt;=B78)),1))),IF(I78="Individuell",((S78="x")*((G78-IFERROR(H78,0))/IFERROR(COUNTIF(J78:U78,"x"),1)+(Besatzung!$F$20="x")*IFERROR(H78,0)/IFERROR(SUMPRODUCT((J78:U78="x")*(Besatzung!$F$11:$F$22="x")),1))),(IF(COUNTIF(J78:U78,"x")=0,IF(Besatzung!$B$20&lt;&gt;"",1,0),(S78="x"))*(G78-IFERROR(H78,0))/IFERROR(IF(COUNTIF(J78:U78,"x")=0,COUNTA(Besatzung!$B$11:$B$22),COUNTIF(J78:U78,"x")),1)+IF(COUNTIF(J78:U78,"x")=0,(Besatzung!$F$20="x"),(S78="x")*(Besatzung!$F$20="x"))*IFERROR(H78,0)/IFERROR(IF(COUNTIF(J78:U78,"x")=0,SUMPRODUCT((Besatzung!$B$11:$B$22&lt;&gt;"")*(Besatzung!$F$11:$F$22="x")),SUMPRODUCT((J78:U78="x")*(Besatzung!$F$11:$F$22="x"))),1))))),0))))</f>
        <v/>
      </c>
      <c r="AF78" s="247">
        <f>IF(C78="Gutschrift","",IF(G78="","",IF(Besatzung!$B$21="","",IFERROR(IF(I78="Zeitanteilig",(Besatzung!$G$21*(G78-IFERROR(H78,0))+((Besatzung!$B$21&lt;&gt;"")*IF(B78="",1,(IF(Besatzung!$C$21="",Besatzung!$B$5,Besatzung!$C$21)&lt;=B78)*(IF(Besatzung!$D$21="",Besatzung!$B$6,Besatzung!$D$21)&gt;=B78)))*(Besatzung!$F$21="x")*IFERROR(H78,0)/IFERROR(SUMPRODUCT((Besatzung!$B$11:$B$22&lt;&gt;"")*(Besatzung!$F$11:$F$22="x")*(IF(Besatzung!$C$11:$C$22="",Besatzung!$B$5,Besatzung!$C$11:$C$22)&lt;=B78)*(IF(Besatzung!$D$11:$D$22="",Besatzung!$B$6,Besatzung!$D$11:$D$22)&gt;=B78)),1)),IF(I78="An Bord",(((Besatzung!$B$21&lt;&gt;"")*IF(B78="",1,(IF(Besatzung!$C$21="",Besatzung!$B$5,Besatzung!$C$21)&lt;=B78)*(IF(Besatzung!$D$21="",Besatzung!$B$6,Besatzung!$D$21)&gt;=B78)))*((G78-IFERROR(H78,0))/IFERROR(SUMPRODUCT((Besatzung!$B$11:$B$22&lt;&gt;"")*(IF(Besatzung!$C$11:$C$22="",Besatzung!$B$5,Besatzung!$C$11:$C$22)&lt;=B78)*(IF(Besatzung!$D$11:$D$22="",Besatzung!$B$6,Besatzung!$D$11:$D$22)&gt;=B78)),1)+(Besatzung!$F$21="x")*IFERROR(H78,0)/IFERROR(SUMPRODUCT((Besatzung!$B$11:$B$22&lt;&gt;"")*(Besatzung!$F$11:$F$22="x")*(IF(Besatzung!$C$11:$C$22="",Besatzung!$B$5,Besatzung!$C$11:$C$22)&lt;=B78)*(IF(Besatzung!$D$11:$D$22="",Besatzung!$B$6,Besatzung!$D$11:$D$22)&gt;=B78)),1))),IF(I78="Individuell",((T78="x")*((G78-IFERROR(H78,0))/IFERROR(COUNTIF(J78:U78,"x"),1)+(Besatzung!$F$21="x")*IFERROR(H78,0)/IFERROR(SUMPRODUCT((J78:U78="x")*(Besatzung!$F$11:$F$22="x")),1))),(IF(COUNTIF(J78:U78,"x")=0,IF(Besatzung!$B$21&lt;&gt;"",1,0),(T78="x"))*(G78-IFERROR(H78,0))/IFERROR(IF(COUNTIF(J78:U78,"x")=0,COUNTA(Besatzung!$B$11:$B$22),COUNTIF(J78:U78,"x")),1)+IF(COUNTIF(J78:U78,"x")=0,(Besatzung!$F$21="x"),(T78="x")*(Besatzung!$F$21="x"))*IFERROR(H78,0)/IFERROR(IF(COUNTIF(J78:U78,"x")=0,SUMPRODUCT((Besatzung!$B$11:$B$22&lt;&gt;"")*(Besatzung!$F$11:$F$22="x")),SUMPRODUCT((J78:U78="x")*(Besatzung!$F$11:$F$22="x"))),1))))),0))))</f>
        <v/>
      </c>
      <c r="AG78" s="247">
        <f>IF(C78="Gutschrift","",IF(G78="","",IF(Besatzung!$B$22="","",IFERROR(IF(I78="Zeitanteilig",(Besatzung!$G$22*(G78-IFERROR(H78,0))+((Besatzung!$B$22&lt;&gt;"")*IF(B78="",1,(IF(Besatzung!$C$22="",Besatzung!$B$5,Besatzung!$C$22)&lt;=B78)*(IF(Besatzung!$D$22="",Besatzung!$B$6,Besatzung!$D$22)&gt;=B78)))*(Besatzung!$F$22="x")*IFERROR(H78,0)/IFERROR(SUMPRODUCT((Besatzung!$B$11:$B$22&lt;&gt;"")*(Besatzung!$F$11:$F$22="x")*(IF(Besatzung!$C$11:$C$22="",Besatzung!$B$5,Besatzung!$C$11:$C$22)&lt;=B78)*(IF(Besatzung!$D$11:$D$22="",Besatzung!$B$6,Besatzung!$D$11:$D$22)&gt;=B78)),1)),IF(I78="An Bord",(((Besatzung!$B$22&lt;&gt;"")*IF(B78="",1,(IF(Besatzung!$C$22="",Besatzung!$B$5,Besatzung!$C$22)&lt;=B78)*(IF(Besatzung!$D$22="",Besatzung!$B$6,Besatzung!$D$22)&gt;=B78)))*((G78-IFERROR(H78,0))/IFERROR(SUMPRODUCT((Besatzung!$B$11:$B$22&lt;&gt;"")*(IF(Besatzung!$C$11:$C$22="",Besatzung!$B$5,Besatzung!$C$11:$C$22)&lt;=B78)*(IF(Besatzung!$D$11:$D$22="",Besatzung!$B$6,Besatzung!$D$11:$D$22)&gt;=B78)),1)+(Besatzung!$F$22="x")*IFERROR(H78,0)/IFERROR(SUMPRODUCT((Besatzung!$B$11:$B$22&lt;&gt;"")*(Besatzung!$F$11:$F$22="x")*(IF(Besatzung!$C$11:$C$22="",Besatzung!$B$5,Besatzung!$C$11:$C$22)&lt;=B78)*(IF(Besatzung!$D$11:$D$22="",Besatzung!$B$6,Besatzung!$D$11:$D$22)&gt;=B78)),1))),IF(I78="Individuell",((U78="x")*((G78-IFERROR(H78,0))/IFERROR(COUNTIF(J78:U78,"x"),1)+(Besatzung!$F$22="x")*IFERROR(H78,0)/IFERROR(SUMPRODUCT((J78:U78="x")*(Besatzung!$F$11:$F$22="x")),1))),(IF(COUNTIF(J78:U78,"x")=0,IF(Besatzung!$B$22&lt;&gt;"",1,0),(U78="x"))*(G78-IFERROR(H78,0))/IFERROR(IF(COUNTIF(J78:U78,"x")=0,COUNTA(Besatzung!$B$11:$B$22),COUNTIF(J78:U78,"x")),1)+IF(COUNTIF(J78:U78,"x")=0,(Besatzung!$F$22="x"),(U78="x")*(Besatzung!$F$22="x"))*IFERROR(H78,0)/IFERROR(IF(COUNTIF(J78:U78,"x")=0,SUMPRODUCT((Besatzung!$B$11:$B$22&lt;&gt;"")*(Besatzung!$F$11:$F$22="x")),SUMPRODUCT((J78:U78="x")*(Besatzung!$F$11:$F$22="x"))),1))))),0))))</f>
        <v/>
      </c>
      <c r="AH78" s="248" t="n"/>
      <c r="AI78" s="248" t="n"/>
    </row>
    <row r="79" ht="21.75" customHeight="1" s="154">
      <c r="A79" s="238">
        <f>IF(AND(D79="",C79=""),"",76)</f>
        <v/>
      </c>
      <c r="B79" s="206" t="n"/>
      <c r="C79" s="249" t="n"/>
      <c r="D79" s="250" t="n"/>
      <c r="E79" s="251" t="n"/>
      <c r="F79" s="252" t="n"/>
      <c r="G79" s="253" t="n"/>
      <c r="H79" s="254" t="n"/>
      <c r="I79" s="255" t="n"/>
      <c r="J79" s="256" t="n"/>
      <c r="K79" s="256" t="n"/>
      <c r="L79" s="256" t="n"/>
      <c r="M79" s="256" t="n"/>
      <c r="N79" s="256" t="n"/>
      <c r="O79" s="256" t="n"/>
      <c r="P79" s="256" t="n"/>
      <c r="Q79" s="256" t="n"/>
      <c r="R79" s="256" t="n"/>
      <c r="S79" s="256" t="n"/>
      <c r="T79" s="256" t="n"/>
      <c r="U79" s="256" t="n"/>
      <c r="V79" s="247">
        <f>IF(C79="Gutschrift","",IF(G79="","",IF(Besatzung!$B$11="","",IFERROR(IF(I79="Zeitanteilig",(Besatzung!$G$11*(G79-IFERROR(H79,0))+((Besatzung!$B$11&lt;&gt;"")*IF(B79="",1,(IF(Besatzung!$C$11="",Besatzung!$B$5,Besatzung!$C$11)&lt;=B79)*(IF(Besatzung!$D$11="",Besatzung!$B$6,Besatzung!$D$11)&gt;=B79)))*(Besatzung!$F$11="x")*IFERROR(H79,0)/IFERROR(SUMPRODUCT((Besatzung!$B$11:$B$22&lt;&gt;"")*(Besatzung!$F$11:$F$22="x")*(IF(Besatzung!$C$11:$C$22="",Besatzung!$B$5,Besatzung!$C$11:$C$22)&lt;=B79)*(IF(Besatzung!$D$11:$D$22="",Besatzung!$B$6,Besatzung!$D$11:$D$22)&gt;=B79)),1)),IF(I79="An Bord",(((Besatzung!$B$11&lt;&gt;"")*IF(B79="",1,(IF(Besatzung!$C$11="",Besatzung!$B$5,Besatzung!$C$11)&lt;=B79)*(IF(Besatzung!$D$11="",Besatzung!$B$6,Besatzung!$D$11)&gt;=B79)))*((G79-IFERROR(H79,0))/IFERROR(SUMPRODUCT((Besatzung!$B$11:$B$22&lt;&gt;"")*(IF(Besatzung!$C$11:$C$22="",Besatzung!$B$5,Besatzung!$C$11:$C$22)&lt;=B79)*(IF(Besatzung!$D$11:$D$22="",Besatzung!$B$6,Besatzung!$D$11:$D$22)&gt;=B79)),1)+(Besatzung!$F$11="x")*IFERROR(H79,0)/IFERROR(SUMPRODUCT((Besatzung!$B$11:$B$22&lt;&gt;"")*(Besatzung!$F$11:$F$22="x")*(IF(Besatzung!$C$11:$C$22="",Besatzung!$B$5,Besatzung!$C$11:$C$22)&lt;=B79)*(IF(Besatzung!$D$11:$D$22="",Besatzung!$B$6,Besatzung!$D$11:$D$22)&gt;=B79)),1))),IF(I79="Individuell",((J79="x")*((G79-IFERROR(H79,0))/IFERROR(COUNTIF(J79:U79,"x"),1)+(Besatzung!$F$11="x")*IFERROR(H79,0)/IFERROR(SUMPRODUCT((J79:U79="x")*(Besatzung!$F$11:$F$22="x")),1))),(IF(COUNTIF(J79:U79,"x")=0,IF(Besatzung!$B$11&lt;&gt;"",1,0),(J79="x"))*(G79-IFERROR(H79,0))/IFERROR(IF(COUNTIF(J79:U79,"x")=0,COUNTA(Besatzung!$B$11:$B$22),COUNTIF(J79:U79,"x")),1)+IF(COUNTIF(J79:U79,"x")=0,(Besatzung!$F$11="x"),(J79="x")*(Besatzung!$F$11="x"))*IFERROR(H79,0)/IFERROR(IF(COUNTIF(J79:U79,"x")=0,SUMPRODUCT((Besatzung!$B$11:$B$22&lt;&gt;"")*(Besatzung!$F$11:$F$22="x")),SUMPRODUCT((J79:U79="x")*(Besatzung!$F$11:$F$22="x"))),1))))),0))))</f>
        <v/>
      </c>
      <c r="W79" s="247">
        <f>IF(C79="Gutschrift","",IF(G79="","",IF(Besatzung!$B$12="","",IFERROR(IF(I79="Zeitanteilig",(Besatzung!$G$12*(G79-IFERROR(H79,0))+((Besatzung!$B$12&lt;&gt;"")*IF(B79="",1,(IF(Besatzung!$C$12="",Besatzung!$B$5,Besatzung!$C$12)&lt;=B79)*(IF(Besatzung!$D$12="",Besatzung!$B$6,Besatzung!$D$12)&gt;=B79)))*(Besatzung!$F$12="x")*IFERROR(H79,0)/IFERROR(SUMPRODUCT((Besatzung!$B$11:$B$22&lt;&gt;"")*(Besatzung!$F$11:$F$22="x")*(IF(Besatzung!$C$11:$C$22="",Besatzung!$B$5,Besatzung!$C$11:$C$22)&lt;=B79)*(IF(Besatzung!$D$11:$D$22="",Besatzung!$B$6,Besatzung!$D$11:$D$22)&gt;=B79)),1)),IF(I79="An Bord",(((Besatzung!$B$12&lt;&gt;"")*IF(B79="",1,(IF(Besatzung!$C$12="",Besatzung!$B$5,Besatzung!$C$12)&lt;=B79)*(IF(Besatzung!$D$12="",Besatzung!$B$6,Besatzung!$D$12)&gt;=B79)))*((G79-IFERROR(H79,0))/IFERROR(SUMPRODUCT((Besatzung!$B$11:$B$22&lt;&gt;"")*(IF(Besatzung!$C$11:$C$22="",Besatzung!$B$5,Besatzung!$C$11:$C$22)&lt;=B79)*(IF(Besatzung!$D$11:$D$22="",Besatzung!$B$6,Besatzung!$D$11:$D$22)&gt;=B79)),1)+(Besatzung!$F$12="x")*IFERROR(H79,0)/IFERROR(SUMPRODUCT((Besatzung!$B$11:$B$22&lt;&gt;"")*(Besatzung!$F$11:$F$22="x")*(IF(Besatzung!$C$11:$C$22="",Besatzung!$B$5,Besatzung!$C$11:$C$22)&lt;=B79)*(IF(Besatzung!$D$11:$D$22="",Besatzung!$B$6,Besatzung!$D$11:$D$22)&gt;=B79)),1))),IF(I79="Individuell",((K79="x")*((G79-IFERROR(H79,0))/IFERROR(COUNTIF(J79:U79,"x"),1)+(Besatzung!$F$12="x")*IFERROR(H79,0)/IFERROR(SUMPRODUCT((J79:U79="x")*(Besatzung!$F$11:$F$22="x")),1))),(IF(COUNTIF(J79:U79,"x")=0,IF(Besatzung!$B$12&lt;&gt;"",1,0),(K79="x"))*(G79-IFERROR(H79,0))/IFERROR(IF(COUNTIF(J79:U79,"x")=0,COUNTA(Besatzung!$B$11:$B$22),COUNTIF(J79:U79,"x")),1)+IF(COUNTIF(J79:U79,"x")=0,(Besatzung!$F$12="x"),(K79="x")*(Besatzung!$F$12="x"))*IFERROR(H79,0)/IFERROR(IF(COUNTIF(J79:U79,"x")=0,SUMPRODUCT((Besatzung!$B$11:$B$22&lt;&gt;"")*(Besatzung!$F$11:$F$22="x")),SUMPRODUCT((J79:U79="x")*(Besatzung!$F$11:$F$22="x"))),1))))),0))))</f>
        <v/>
      </c>
      <c r="X79" s="247">
        <f>IF(C79="Gutschrift","",IF(G79="","",IF(Besatzung!$B$13="","",IFERROR(IF(I79="Zeitanteilig",(Besatzung!$G$13*(G79-IFERROR(H79,0))+((Besatzung!$B$13&lt;&gt;"")*IF(B79="",1,(IF(Besatzung!$C$13="",Besatzung!$B$5,Besatzung!$C$13)&lt;=B79)*(IF(Besatzung!$D$13="",Besatzung!$B$6,Besatzung!$D$13)&gt;=B79)))*(Besatzung!$F$13="x")*IFERROR(H79,0)/IFERROR(SUMPRODUCT((Besatzung!$B$11:$B$22&lt;&gt;"")*(Besatzung!$F$11:$F$22="x")*(IF(Besatzung!$C$11:$C$22="",Besatzung!$B$5,Besatzung!$C$11:$C$22)&lt;=B79)*(IF(Besatzung!$D$11:$D$22="",Besatzung!$B$6,Besatzung!$D$11:$D$22)&gt;=B79)),1)),IF(I79="An Bord",(((Besatzung!$B$13&lt;&gt;"")*IF(B79="",1,(IF(Besatzung!$C$13="",Besatzung!$B$5,Besatzung!$C$13)&lt;=B79)*(IF(Besatzung!$D$13="",Besatzung!$B$6,Besatzung!$D$13)&gt;=B79)))*((G79-IFERROR(H79,0))/IFERROR(SUMPRODUCT((Besatzung!$B$11:$B$22&lt;&gt;"")*(IF(Besatzung!$C$11:$C$22="",Besatzung!$B$5,Besatzung!$C$11:$C$22)&lt;=B79)*(IF(Besatzung!$D$11:$D$22="",Besatzung!$B$6,Besatzung!$D$11:$D$22)&gt;=B79)),1)+(Besatzung!$F$13="x")*IFERROR(H79,0)/IFERROR(SUMPRODUCT((Besatzung!$B$11:$B$22&lt;&gt;"")*(Besatzung!$F$11:$F$22="x")*(IF(Besatzung!$C$11:$C$22="",Besatzung!$B$5,Besatzung!$C$11:$C$22)&lt;=B79)*(IF(Besatzung!$D$11:$D$22="",Besatzung!$B$6,Besatzung!$D$11:$D$22)&gt;=B79)),1))),IF(I79="Individuell",((K79="x")*((G79-IFERROR(H79,0))/IFERROR(COUNTIF(J79:U79,"x"),1)+(Besatzung!$F$13="x")*IFERROR(H79,0)/IFERROR(SUMPRODUCT((J79:U79="x")*(Besatzung!$F$11:$F$22="x")),1))),(IF(COUNTIF(J79:U79,"x")=0,IF(Besatzung!$B$13&lt;&gt;"",1,0),(K79="x"))*(G79-IFERROR(H79,0))/IFERROR(IF(COUNTIF(J79:U79,"x")=0,COUNTA(Besatzung!$B$11:$B$22),COUNTIF(J79:U79,"x")),1)+IF(COUNTIF(J79:U79,"x")=0,(Besatzung!$F$13="x"),(K79="x")*(Besatzung!$F$13="x"))*IFERROR(H79,0)/IFERROR(IF(COUNTIF(J79:U79,"x")=0,SUMPRODUCT((Besatzung!$B$11:$B$22&lt;&gt;"")*(Besatzung!$F$11:$F$22="x")),SUMPRODUCT((J79:U79="x")*(Besatzung!$F$11:$F$22="x"))),1))))),0))))</f>
        <v/>
      </c>
      <c r="Y79" s="247">
        <f>IF(C79="Gutschrift","",IF(G79="","",IF(Besatzung!$B$14="","",IFERROR(IF(I79="Zeitanteilig",(Besatzung!$G$14*(G79-IFERROR(H79,0))+((Besatzung!$B$14&lt;&gt;"")*IF(B79="",1,(IF(Besatzung!$C$14="",Besatzung!$B$5,Besatzung!$C$14)&lt;=B79)*(IF(Besatzung!$D$14="",Besatzung!$B$6,Besatzung!$D$14)&gt;=B79)))*(Besatzung!$F$14="x")*IFERROR(H79,0)/IFERROR(SUMPRODUCT((Besatzung!$B$11:$B$22&lt;&gt;"")*(Besatzung!$F$11:$F$22="x")*(IF(Besatzung!$C$11:$C$22="",Besatzung!$B$5,Besatzung!$C$11:$C$22)&lt;=B79)*(IF(Besatzung!$D$11:$D$22="",Besatzung!$B$6,Besatzung!$D$11:$D$22)&gt;=B79)),1)),IF(I79="An Bord",(((Besatzung!$B$14&lt;&gt;"")*IF(B79="",1,(IF(Besatzung!$C$14="",Besatzung!$B$5,Besatzung!$C$14)&lt;=B79)*(IF(Besatzung!$D$14="",Besatzung!$B$6,Besatzung!$D$14)&gt;=B79)))*((G79-IFERROR(H79,0))/IFERROR(SUMPRODUCT((Besatzung!$B$11:$B$22&lt;&gt;"")*(IF(Besatzung!$C$11:$C$22="",Besatzung!$B$5,Besatzung!$C$11:$C$22)&lt;=B79)*(IF(Besatzung!$D$11:$D$22="",Besatzung!$B$6,Besatzung!$D$11:$D$22)&gt;=B79)),1)+(Besatzung!$F$14="x")*IFERROR(H79,0)/IFERROR(SUMPRODUCT((Besatzung!$B$11:$B$22&lt;&gt;"")*(Besatzung!$F$11:$F$22="x")*(IF(Besatzung!$C$11:$C$22="",Besatzung!$B$5,Besatzung!$C$11:$C$22)&lt;=B79)*(IF(Besatzung!$D$11:$D$22="",Besatzung!$B$6,Besatzung!$D$11:$D$22)&gt;=B79)),1))),IF(I79="Individuell",((M79="x")*((G79-IFERROR(H79,0))/IFERROR(COUNTIF(J79:U79,"x"),1)+(Besatzung!$F$14="x")*IFERROR(H79,0)/IFERROR(SUMPRODUCT((J79:U79="x")*(Besatzung!$F$11:$F$22="x")),1))),(IF(COUNTIF(J79:U79,"x")=0,IF(Besatzung!$B$14&lt;&gt;"",1,0),(M79="x"))*(G79-IFERROR(H79,0))/IFERROR(IF(COUNTIF(J79:U79,"x")=0,COUNTA(Besatzung!$B$11:$B$22),COUNTIF(J79:U79,"x")),1)+IF(COUNTIF(J79:U79,"x")=0,(Besatzung!$F$14="x"),(M79="x")*(Besatzung!$F$14="x"))*IFERROR(H79,0)/IFERROR(IF(COUNTIF(J79:U79,"x")=0,SUMPRODUCT((Besatzung!$B$11:$B$22&lt;&gt;"")*(Besatzung!$F$11:$F$22="x")),SUMPRODUCT((J79:U79="x")*(Besatzung!$F$11:$F$22="x"))),1))))),0))))</f>
        <v/>
      </c>
      <c r="Z79" s="247">
        <f>IF(C79="Gutschrift","",IF(G79="","",IF(Besatzung!$B$13="","",IFERROR(IF(I79="Zeitanteilig",(Besatzung!$G$15*(G79-IFERROR(H79,0))+((Besatzung!$B$13&lt;&gt;"")*IF(B79="",1,(IF(Besatzung!$C$15="",Besatzung!$B$5,Besatzung!$C$15)&lt;=B79)*(IF(Besatzung!$D$15="",Besatzung!$B$6,Besatzung!$D$15)&gt;=B79)))*(Besatzung!$F$15="x")*IFERROR(H79,0)/IFERROR(SUMPRODUCT((Besatzung!$B$11:$B$22&lt;&gt;"")*(Besatzung!$F$11:$F$22="x")*(IF(Besatzung!$C$11:$C$22="",Besatzung!$B$5,Besatzung!$C$11:$C$22)&lt;=B79)*(IF(Besatzung!$D$11:$D$22="",Besatzung!$B$6,Besatzung!$D$11:$D$22)&gt;=B79)),1)),IF(I79="An Bord",(((Besatzung!$B$13&lt;&gt;"")*IF(B79="",1,(IF(Besatzung!$C$15="",Besatzung!$B$5,Besatzung!$C$15)&lt;=B79)*(IF(Besatzung!$D$15="",Besatzung!$B$6,Besatzung!$D$15)&gt;=B79)))*((G79-IFERROR(H79,0))/IFERROR(SUMPRODUCT((Besatzung!$B$11:$B$22&lt;&gt;"")*(IF(Besatzung!$C$11:$C$22="",Besatzung!$B$5,Besatzung!$C$11:$C$22)&lt;=B79)*(IF(Besatzung!$D$11:$D$22="",Besatzung!$B$6,Besatzung!$D$11:$D$22)&gt;=B79)),1)+(Besatzung!$F$15="x")*IFERROR(H79,0)/IFERROR(SUMPRODUCT((Besatzung!$B$11:$B$22&lt;&gt;"")*(Besatzung!$F$11:$F$22="x")*(IF(Besatzung!$C$11:$C$22="",Besatzung!$B$5,Besatzung!$C$11:$C$22)&lt;=B79)*(IF(Besatzung!$D$11:$D$22="",Besatzung!$B$6,Besatzung!$D$11:$D$22)&gt;=B79)),1))),IF(I79="Individuell",((N79="x")*((G79-IFERROR(H79,0))/IFERROR(COUNTIF(J79:U79,"x"),1)+(Besatzung!$F$15="x")*IFERROR(H79,0)/IFERROR(SUMPRODUCT((J79:U79="x")*(Besatzung!$F$11:$F$22="x")),1))),(IF(COUNTIF(J79:U79,"x")=0,IF(Besatzung!$B$13&lt;&gt;"",1,0),(N79="x"))*(G79-IFERROR(H79,0))/IFERROR(IF(COUNTIF(J79:U79,"x")=0,COUNTA(Besatzung!$B$11:$B$22),COUNTIF(J79:U79,"x")),1)+IF(COUNTIF(J79:U79,"x")=0,(Besatzung!$F$15="x"),(N79="x")*(Besatzung!$F$15="x"))*IFERROR(H79,0)/IFERROR(IF(COUNTIF(J79:U79,"x")=0,SUMPRODUCT((Besatzung!$B$11:$B$22&lt;&gt;"")*(Besatzung!$F$11:$F$22="x")),SUMPRODUCT((J79:U79="x")*(Besatzung!$F$11:$F$22="x"))),1))))),0))))</f>
        <v/>
      </c>
      <c r="AA79" s="247">
        <f>IF(C79="Gutschrift","",IF(G79="","",IF(Besatzung!$B$15="","",IFERROR(IF(I79="Zeitanteilig",(Besatzung!$G$16*(G79-IFERROR(H79,0))+((Besatzung!$B$15&lt;&gt;"")*IF(B79="",1,(IF(Besatzung!$C$16="",Besatzung!$B$5,Besatzung!$C$16)&lt;=B79)*(IF(Besatzung!$D$16="",Besatzung!$B$6,Besatzung!$D$16)&gt;=B79)))*(Besatzung!$F$16="x")*IFERROR(H79,0)/IFERROR(SUMPRODUCT((Besatzung!$B$11:$B$22&lt;&gt;"")*(Besatzung!$F$11:$F$22="x")*(IF(Besatzung!$C$11:$C$22="",Besatzung!$B$5,Besatzung!$C$11:$C$22)&lt;=B79)*(IF(Besatzung!$D$11:$D$22="",Besatzung!$B$6,Besatzung!$D$11:$D$22)&gt;=B79)),1)),IF(I79="An Bord",(((Besatzung!$B$15&lt;&gt;"")*IF(B79="",1,(IF(Besatzung!$C$16="",Besatzung!$B$5,Besatzung!$C$16)&lt;=B79)*(IF(Besatzung!$D$16="",Besatzung!$B$6,Besatzung!$D$16)&gt;=B79)))*((G79-IFERROR(H79,0))/IFERROR(SUMPRODUCT((Besatzung!$B$11:$B$22&lt;&gt;"")*(IF(Besatzung!$C$11:$C$22="",Besatzung!$B$5,Besatzung!$C$11:$C$22)&lt;=B79)*(IF(Besatzung!$D$11:$D$22="",Besatzung!$B$6,Besatzung!$D$11:$D$22)&gt;=B79)),1)+(Besatzung!$F$16="x")*IFERROR(H79,0)/IFERROR(SUMPRODUCT((Besatzung!$B$11:$B$22&lt;&gt;"")*(Besatzung!$F$11:$F$22="x")*(IF(Besatzung!$C$11:$C$22="",Besatzung!$B$5,Besatzung!$C$11:$C$22)&lt;=B79)*(IF(Besatzung!$D$11:$D$22="",Besatzung!$B$6,Besatzung!$D$11:$D$22)&gt;=B79)),1))),IF(I79="Individuell",((O79="x")*((G79-IFERROR(H79,0))/IFERROR(COUNTIF(J79:U79,"x"),1)+(Besatzung!$F$16="x")*IFERROR(H79,0)/IFERROR(SUMPRODUCT((J79:U79="x")*(Besatzung!$F$11:$F$22="x")),1))),(IF(COUNTIF(J79:U79,"x")=0,IF(Besatzung!$B$15&lt;&gt;"",1,0),(O79="x"))*(G79-IFERROR(H79,0))/IFERROR(IF(COUNTIF(J79:U79,"x")=0,COUNTA(Besatzung!$B$11:$B$22),COUNTIF(J79:U79,"x")),1)+IF(COUNTIF(J79:U79,"x")=0,(Besatzung!$F$16="x"),(O79="x")*(Besatzung!$F$16="x"))*IFERROR(H79,0)/IFERROR(IF(COUNTIF(J79:U79,"x")=0,SUMPRODUCT((Besatzung!$B$11:$B$22&lt;&gt;"")*(Besatzung!$F$11:$F$22="x")),SUMPRODUCT((J79:U79="x")*(Besatzung!$F$11:$F$22="x"))),1))))),0))))</f>
        <v/>
      </c>
      <c r="AB79" s="247">
        <f>IF(C79="Gutschrift","",IF(G79="","",IF(Besatzung!$B$17="","",IFERROR(IF(I79="Zeitanteilig",(Besatzung!$G$17*(G79-IFERROR(H79,0))+((Besatzung!$B$17&lt;&gt;"")*IF(B79="",1,(IF(Besatzung!$C$17="",Besatzung!$B$5,Besatzung!$C$17)&lt;=B79)*(IF(Besatzung!$D$17="",Besatzung!$B$6,Besatzung!$D$17)&gt;=B79)))*(Besatzung!$F$17="x")*IFERROR(H79,0)/IFERROR(SUMPRODUCT((Besatzung!$B$11:$B$22&lt;&gt;"")*(Besatzung!$F$11:$F$22="x")*(IF(Besatzung!$C$11:$C$22="",Besatzung!$B$5,Besatzung!$C$11:$C$22)&lt;=B79)*(IF(Besatzung!$D$11:$D$22="",Besatzung!$B$6,Besatzung!$D$11:$D$22)&gt;=B79)),1)),IF(I79="An Bord",(((Besatzung!$B$17&lt;&gt;"")*IF(B79="",1,(IF(Besatzung!$C$17="",Besatzung!$B$5,Besatzung!$C$17)&lt;=B79)*(IF(Besatzung!$D$17="",Besatzung!$B$6,Besatzung!$D$17)&gt;=B79)))*((G79-IFERROR(H79,0))/IFERROR(SUMPRODUCT((Besatzung!$B$11:$B$22&lt;&gt;"")*(IF(Besatzung!$C$11:$C$22="",Besatzung!$B$5,Besatzung!$C$11:$C$22)&lt;=B79)*(IF(Besatzung!$D$11:$D$22="",Besatzung!$B$6,Besatzung!$D$11:$D$22)&gt;=B79)),1)+(Besatzung!$F$17="x")*IFERROR(H79,0)/IFERROR(SUMPRODUCT((Besatzung!$B$11:$B$22&lt;&gt;"")*(Besatzung!$F$11:$F$22="x")*(IF(Besatzung!$C$11:$C$22="",Besatzung!$B$5,Besatzung!$C$11:$C$22)&lt;=B79)*(IF(Besatzung!$D$11:$D$22="",Besatzung!$B$6,Besatzung!$D$11:$D$22)&gt;=B79)),1))),IF(I79="Individuell",((P79="x")*((G79-IFERROR(H79,0))/IFERROR(COUNTIF(J79:U79,"x"),1)+(Besatzung!$F$17="x")*IFERROR(H79,0)/IFERROR(SUMPRODUCT((J79:U79="x")*(Besatzung!$F$11:$F$22="x")),1))),(IF(COUNTIF(J79:U79,"x")=0,IF(Besatzung!$B$17&lt;&gt;"",1,0),(P79="x"))*(G79-IFERROR(H79,0))/IFERROR(IF(COUNTIF(J79:U79,"x")=0,COUNTA(Besatzung!$B$11:$B$22),COUNTIF(J79:U79,"x")),1)+IF(COUNTIF(J79:U79,"x")=0,(Besatzung!$F$17="x"),(P79="x")*(Besatzung!$F$17="x"))*IFERROR(H79,0)/IFERROR(IF(COUNTIF(J79:U79,"x")=0,SUMPRODUCT((Besatzung!$B$11:$B$22&lt;&gt;"")*(Besatzung!$F$11:$F$22="x")),SUMPRODUCT((J79:U79="x")*(Besatzung!$F$11:$F$22="x"))),1))))),0))))</f>
        <v/>
      </c>
      <c r="AC79" s="247">
        <f>IF(C79="Gutschrift","",IF(G79="","",IF(Besatzung!$B$18="","",IFERROR(IF(I79="Zeitanteilig",(Besatzung!$G$18*(G79-IFERROR(H79,0))+((Besatzung!$B$18&lt;&gt;"")*IF(B79="",1,(IF(Besatzung!$C$18="",Besatzung!$B$5,Besatzung!$C$18)&lt;=B79)*(IF(Besatzung!$D$18="",Besatzung!$B$6,Besatzung!$D$18)&gt;=B79)))*(Besatzung!$F$18="x")*IFERROR(H79,0)/IFERROR(SUMPRODUCT((Besatzung!$B$11:$B$22&lt;&gt;"")*(Besatzung!$F$11:$F$22="x")*(IF(Besatzung!$C$11:$C$22="",Besatzung!$B$5,Besatzung!$C$11:$C$22)&lt;=B79)*(IF(Besatzung!$D$11:$D$22="",Besatzung!$B$6,Besatzung!$D$11:$D$22)&gt;=B79)),1)),IF(I79="An Bord",(((Besatzung!$B$18&lt;&gt;"")*IF(B79="",1,(IF(Besatzung!$C$18="",Besatzung!$B$5,Besatzung!$C$18)&lt;=B79)*(IF(Besatzung!$D$18="",Besatzung!$B$6,Besatzung!$D$18)&gt;=B79)))*((G79-IFERROR(H79,0))/IFERROR(SUMPRODUCT((Besatzung!$B$11:$B$22&lt;&gt;"")*(IF(Besatzung!$C$11:$C$22="",Besatzung!$B$5,Besatzung!$C$11:$C$22)&lt;=B79)*(IF(Besatzung!$D$11:$D$22="",Besatzung!$B$6,Besatzung!$D$11:$D$22)&gt;=B79)),1)+(Besatzung!$F$18="x")*IFERROR(H79,0)/IFERROR(SUMPRODUCT((Besatzung!$B$11:$B$22&lt;&gt;"")*(Besatzung!$F$11:$F$22="x")*(IF(Besatzung!$C$11:$C$22="",Besatzung!$B$5,Besatzung!$C$11:$C$22)&lt;=B79)*(IF(Besatzung!$D$11:$D$22="",Besatzung!$B$6,Besatzung!$D$11:$D$22)&gt;=B79)),1))),IF(I79="Individuell",((Q79="x")*((G79-IFERROR(H79,0))/IFERROR(COUNTIF(J79:U79,"x"),1)+(Besatzung!$F$18="x")*IFERROR(H79,0)/IFERROR(SUMPRODUCT((J79:U79="x")*(Besatzung!$F$11:$F$22="x")),1))),(IF(COUNTIF(J79:U79,"x")=0,IF(Besatzung!$B$18&lt;&gt;"",1,0),(Q79="x"))*(G79-IFERROR(H79,0))/IFERROR(IF(COUNTIF(J79:U79,"x")=0,COUNTA(Besatzung!$B$11:$B$22),COUNTIF(J79:U79,"x")),1)+IF(COUNTIF(J79:U79,"x")=0,(Besatzung!$F$18="x"),(Q79="x")*(Besatzung!$F$18="x"))*IFERROR(H79,0)/IFERROR(IF(COUNTIF(J79:U79,"x")=0,SUMPRODUCT((Besatzung!$B$11:$B$22&lt;&gt;"")*(Besatzung!$F$11:$F$22="x")),SUMPRODUCT((J79:U79="x")*(Besatzung!$F$11:$F$22="x"))),1))))),0))))</f>
        <v/>
      </c>
      <c r="AD79" s="247">
        <f>IF(C79="Gutschrift","",IF(G79="","",IF(Besatzung!$B$19="","",IFERROR(IF(I79="Zeitanteilig",(Besatzung!$G$19*(G79-IFERROR(H79,0))+((Besatzung!$B$19&lt;&gt;"")*IF(B79="",1,(IF(Besatzung!$C$19="",Besatzung!$B$5,Besatzung!$C$19)&lt;=B79)*(IF(Besatzung!$D$19="",Besatzung!$B$6,Besatzung!$D$19)&gt;=B79)))*(Besatzung!$F$19="x")*IFERROR(H79,0)/IFERROR(SUMPRODUCT((Besatzung!$B$11:$B$22&lt;&gt;"")*(Besatzung!$F$11:$F$22="x")*(IF(Besatzung!$C$11:$C$22="",Besatzung!$B$5,Besatzung!$C$11:$C$22)&lt;=B79)*(IF(Besatzung!$D$11:$D$22="",Besatzung!$B$6,Besatzung!$D$11:$D$22)&gt;=B79)),1)),IF(I79="An Bord",(((Besatzung!$B$19&lt;&gt;"")*IF(B79="",1,(IF(Besatzung!$C$19="",Besatzung!$B$5,Besatzung!$C$19)&lt;=B79)*(IF(Besatzung!$D$19="",Besatzung!$B$6,Besatzung!$D$19)&gt;=B79)))*((G79-IFERROR(H79,0))/IFERROR(SUMPRODUCT((Besatzung!$B$11:$B$22&lt;&gt;"")*(IF(Besatzung!$C$11:$C$22="",Besatzung!$B$5,Besatzung!$C$11:$C$22)&lt;=B79)*(IF(Besatzung!$D$11:$D$22="",Besatzung!$B$6,Besatzung!$D$11:$D$22)&gt;=B79)),1)+(Besatzung!$F$19="x")*IFERROR(H79,0)/IFERROR(SUMPRODUCT((Besatzung!$B$11:$B$22&lt;&gt;"")*(Besatzung!$F$11:$F$22="x")*(IF(Besatzung!$C$11:$C$22="",Besatzung!$B$5,Besatzung!$C$11:$C$22)&lt;=B79)*(IF(Besatzung!$D$11:$D$22="",Besatzung!$B$6,Besatzung!$D$11:$D$22)&gt;=B79)),1))),IF(I79="Individuell",((R79="x")*((G79-IFERROR(H79,0))/IFERROR(COUNTIF(J79:U79,"x"),1)+(Besatzung!$F$19="x")*IFERROR(H79,0)/IFERROR(SUMPRODUCT((J79:U79="x")*(Besatzung!$F$11:$F$22="x")),1))),(IF(COUNTIF(J79:U79,"x")=0,IF(Besatzung!$B$19&lt;&gt;"",1,0),(R79="x"))*(G79-IFERROR(H79,0))/IFERROR(IF(COUNTIF(J79:U79,"x")=0,COUNTA(Besatzung!$B$11:$B$22),COUNTIF(J79:U79,"x")),1)+IF(COUNTIF(J79:U79,"x")=0,(Besatzung!$F$19="x"),(R79="x")*(Besatzung!$F$19="x"))*IFERROR(H79,0)/IFERROR(IF(COUNTIF(J79:U79,"x")=0,SUMPRODUCT((Besatzung!$B$11:$B$22&lt;&gt;"")*(Besatzung!$F$11:$F$22="x")),SUMPRODUCT((J79:U79="x")*(Besatzung!$F$11:$F$22="x"))),1))))),0))))</f>
        <v/>
      </c>
      <c r="AE79" s="247">
        <f>IF(C79="Gutschrift","",IF(G79="","",IF(Besatzung!$B$20="","",IFERROR(IF(I79="Zeitanteilig",(Besatzung!$G$20*(G79-IFERROR(H79,0))+((Besatzung!$B$20&lt;&gt;"")*IF(B79="",1,(IF(Besatzung!$C$20="",Besatzung!$B$5,Besatzung!$C$20)&lt;=B79)*(IF(Besatzung!$D$20="",Besatzung!$B$6,Besatzung!$D$20)&gt;=B79)))*(Besatzung!$F$20="x")*IFERROR(H79,0)/IFERROR(SUMPRODUCT((Besatzung!$B$11:$B$22&lt;&gt;"")*(Besatzung!$F$11:$F$22="x")*(IF(Besatzung!$C$11:$C$22="",Besatzung!$B$5,Besatzung!$C$11:$C$22)&lt;=B79)*(IF(Besatzung!$D$11:$D$22="",Besatzung!$B$6,Besatzung!$D$11:$D$22)&gt;=B79)),1)),IF(I79="An Bord",(((Besatzung!$B$20&lt;&gt;"")*IF(B79="",1,(IF(Besatzung!$C$20="",Besatzung!$B$5,Besatzung!$C$20)&lt;=B79)*(IF(Besatzung!$D$20="",Besatzung!$B$6,Besatzung!$D$20)&gt;=B79)))*((G79-IFERROR(H79,0))/IFERROR(SUMPRODUCT((Besatzung!$B$11:$B$22&lt;&gt;"")*(IF(Besatzung!$C$11:$C$22="",Besatzung!$B$5,Besatzung!$C$11:$C$22)&lt;=B79)*(IF(Besatzung!$D$11:$D$22="",Besatzung!$B$6,Besatzung!$D$11:$D$22)&gt;=B79)),1)+(Besatzung!$F$20="x")*IFERROR(H79,0)/IFERROR(SUMPRODUCT((Besatzung!$B$11:$B$22&lt;&gt;"")*(Besatzung!$F$11:$F$22="x")*(IF(Besatzung!$C$11:$C$22="",Besatzung!$B$5,Besatzung!$C$11:$C$22)&lt;=B79)*(IF(Besatzung!$D$11:$D$22="",Besatzung!$B$6,Besatzung!$D$11:$D$22)&gt;=B79)),1))),IF(I79="Individuell",((S79="x")*((G79-IFERROR(H79,0))/IFERROR(COUNTIF(J79:U79,"x"),1)+(Besatzung!$F$20="x")*IFERROR(H79,0)/IFERROR(SUMPRODUCT((J79:U79="x")*(Besatzung!$F$11:$F$22="x")),1))),(IF(COUNTIF(J79:U79,"x")=0,IF(Besatzung!$B$20&lt;&gt;"",1,0),(S79="x"))*(G79-IFERROR(H79,0))/IFERROR(IF(COUNTIF(J79:U79,"x")=0,COUNTA(Besatzung!$B$11:$B$22),COUNTIF(J79:U79,"x")),1)+IF(COUNTIF(J79:U79,"x")=0,(Besatzung!$F$20="x"),(S79="x")*(Besatzung!$F$20="x"))*IFERROR(H79,0)/IFERROR(IF(COUNTIF(J79:U79,"x")=0,SUMPRODUCT((Besatzung!$B$11:$B$22&lt;&gt;"")*(Besatzung!$F$11:$F$22="x")),SUMPRODUCT((J79:U79="x")*(Besatzung!$F$11:$F$22="x"))),1))))),0))))</f>
        <v/>
      </c>
      <c r="AF79" s="247">
        <f>IF(C79="Gutschrift","",IF(G79="","",IF(Besatzung!$B$21="","",IFERROR(IF(I79="Zeitanteilig",(Besatzung!$G$21*(G79-IFERROR(H79,0))+((Besatzung!$B$21&lt;&gt;"")*IF(B79="",1,(IF(Besatzung!$C$21="",Besatzung!$B$5,Besatzung!$C$21)&lt;=B79)*(IF(Besatzung!$D$21="",Besatzung!$B$6,Besatzung!$D$21)&gt;=B79)))*(Besatzung!$F$21="x")*IFERROR(H79,0)/IFERROR(SUMPRODUCT((Besatzung!$B$11:$B$22&lt;&gt;"")*(Besatzung!$F$11:$F$22="x")*(IF(Besatzung!$C$11:$C$22="",Besatzung!$B$5,Besatzung!$C$11:$C$22)&lt;=B79)*(IF(Besatzung!$D$11:$D$22="",Besatzung!$B$6,Besatzung!$D$11:$D$22)&gt;=B79)),1)),IF(I79="An Bord",(((Besatzung!$B$21&lt;&gt;"")*IF(B79="",1,(IF(Besatzung!$C$21="",Besatzung!$B$5,Besatzung!$C$21)&lt;=B79)*(IF(Besatzung!$D$21="",Besatzung!$B$6,Besatzung!$D$21)&gt;=B79)))*((G79-IFERROR(H79,0))/IFERROR(SUMPRODUCT((Besatzung!$B$11:$B$22&lt;&gt;"")*(IF(Besatzung!$C$11:$C$22="",Besatzung!$B$5,Besatzung!$C$11:$C$22)&lt;=B79)*(IF(Besatzung!$D$11:$D$22="",Besatzung!$B$6,Besatzung!$D$11:$D$22)&gt;=B79)),1)+(Besatzung!$F$21="x")*IFERROR(H79,0)/IFERROR(SUMPRODUCT((Besatzung!$B$11:$B$22&lt;&gt;"")*(Besatzung!$F$11:$F$22="x")*(IF(Besatzung!$C$11:$C$22="",Besatzung!$B$5,Besatzung!$C$11:$C$22)&lt;=B79)*(IF(Besatzung!$D$11:$D$22="",Besatzung!$B$6,Besatzung!$D$11:$D$22)&gt;=B79)),1))),IF(I79="Individuell",((T79="x")*((G79-IFERROR(H79,0))/IFERROR(COUNTIF(J79:U79,"x"),1)+(Besatzung!$F$21="x")*IFERROR(H79,0)/IFERROR(SUMPRODUCT((J79:U79="x")*(Besatzung!$F$11:$F$22="x")),1))),(IF(COUNTIF(J79:U79,"x")=0,IF(Besatzung!$B$21&lt;&gt;"",1,0),(T79="x"))*(G79-IFERROR(H79,0))/IFERROR(IF(COUNTIF(J79:U79,"x")=0,COUNTA(Besatzung!$B$11:$B$22),COUNTIF(J79:U79,"x")),1)+IF(COUNTIF(J79:U79,"x")=0,(Besatzung!$F$21="x"),(T79="x")*(Besatzung!$F$21="x"))*IFERROR(H79,0)/IFERROR(IF(COUNTIF(J79:U79,"x")=0,SUMPRODUCT((Besatzung!$B$11:$B$22&lt;&gt;"")*(Besatzung!$F$11:$F$22="x")),SUMPRODUCT((J79:U79="x")*(Besatzung!$F$11:$F$22="x"))),1))))),0))))</f>
        <v/>
      </c>
      <c r="AG79" s="247">
        <f>IF(C79="Gutschrift","",IF(G79="","",IF(Besatzung!$B$22="","",IFERROR(IF(I79="Zeitanteilig",(Besatzung!$G$22*(G79-IFERROR(H79,0))+((Besatzung!$B$22&lt;&gt;"")*IF(B79="",1,(IF(Besatzung!$C$22="",Besatzung!$B$5,Besatzung!$C$22)&lt;=B79)*(IF(Besatzung!$D$22="",Besatzung!$B$6,Besatzung!$D$22)&gt;=B79)))*(Besatzung!$F$22="x")*IFERROR(H79,0)/IFERROR(SUMPRODUCT((Besatzung!$B$11:$B$22&lt;&gt;"")*(Besatzung!$F$11:$F$22="x")*(IF(Besatzung!$C$11:$C$22="",Besatzung!$B$5,Besatzung!$C$11:$C$22)&lt;=B79)*(IF(Besatzung!$D$11:$D$22="",Besatzung!$B$6,Besatzung!$D$11:$D$22)&gt;=B79)),1)),IF(I79="An Bord",(((Besatzung!$B$22&lt;&gt;"")*IF(B79="",1,(IF(Besatzung!$C$22="",Besatzung!$B$5,Besatzung!$C$22)&lt;=B79)*(IF(Besatzung!$D$22="",Besatzung!$B$6,Besatzung!$D$22)&gt;=B79)))*((G79-IFERROR(H79,0))/IFERROR(SUMPRODUCT((Besatzung!$B$11:$B$22&lt;&gt;"")*(IF(Besatzung!$C$11:$C$22="",Besatzung!$B$5,Besatzung!$C$11:$C$22)&lt;=B79)*(IF(Besatzung!$D$11:$D$22="",Besatzung!$B$6,Besatzung!$D$11:$D$22)&gt;=B79)),1)+(Besatzung!$F$22="x")*IFERROR(H79,0)/IFERROR(SUMPRODUCT((Besatzung!$B$11:$B$22&lt;&gt;"")*(Besatzung!$F$11:$F$22="x")*(IF(Besatzung!$C$11:$C$22="",Besatzung!$B$5,Besatzung!$C$11:$C$22)&lt;=B79)*(IF(Besatzung!$D$11:$D$22="",Besatzung!$B$6,Besatzung!$D$11:$D$22)&gt;=B79)),1))),IF(I79="Individuell",((U79="x")*((G79-IFERROR(H79,0))/IFERROR(COUNTIF(J79:U79,"x"),1)+(Besatzung!$F$22="x")*IFERROR(H79,0)/IFERROR(SUMPRODUCT((J79:U79="x")*(Besatzung!$F$11:$F$22="x")),1))),(IF(COUNTIF(J79:U79,"x")=0,IF(Besatzung!$B$22&lt;&gt;"",1,0),(U79="x"))*(G79-IFERROR(H79,0))/IFERROR(IF(COUNTIF(J79:U79,"x")=0,COUNTA(Besatzung!$B$11:$B$22),COUNTIF(J79:U79,"x")),1)+IF(COUNTIF(J79:U79,"x")=0,(Besatzung!$F$22="x"),(U79="x")*(Besatzung!$F$22="x"))*IFERROR(H79,0)/IFERROR(IF(COUNTIF(J79:U79,"x")=0,SUMPRODUCT((Besatzung!$B$11:$B$22&lt;&gt;"")*(Besatzung!$F$11:$F$22="x")),SUMPRODUCT((J79:U79="x")*(Besatzung!$F$11:$F$22="x"))),1))))),0))))</f>
        <v/>
      </c>
      <c r="AH79" s="248" t="n"/>
      <c r="AI79" s="248" t="n"/>
    </row>
    <row r="80" ht="21.75" customHeight="1" s="154">
      <c r="A80" s="238">
        <f>IF(AND(D80="",C80=""),"",77)</f>
        <v/>
      </c>
      <c r="B80" s="199" t="n"/>
      <c r="C80" s="239" t="n"/>
      <c r="D80" s="240" t="n"/>
      <c r="E80" s="241" t="n"/>
      <c r="F80" s="242" t="n"/>
      <c r="G80" s="243" t="n"/>
      <c r="H80" s="244" t="n"/>
      <c r="I80" s="245" t="n"/>
      <c r="J80" s="246" t="n"/>
      <c r="K80" s="246" t="n"/>
      <c r="L80" s="246" t="n"/>
      <c r="M80" s="246" t="n"/>
      <c r="N80" s="246" t="n"/>
      <c r="O80" s="246" t="n"/>
      <c r="P80" s="246" t="n"/>
      <c r="Q80" s="246" t="n"/>
      <c r="R80" s="246" t="n"/>
      <c r="S80" s="246" t="n"/>
      <c r="T80" s="246" t="n"/>
      <c r="U80" s="246" t="n"/>
      <c r="V80" s="247">
        <f>IF(C80="Gutschrift","",IF(G80="","",IF(Besatzung!$B$11="","",IFERROR(IF(I80="Zeitanteilig",(Besatzung!$G$11*(G80-IFERROR(H80,0))+((Besatzung!$B$11&lt;&gt;"")*IF(B80="",1,(IF(Besatzung!$C$11="",Besatzung!$B$5,Besatzung!$C$11)&lt;=B80)*(IF(Besatzung!$D$11="",Besatzung!$B$6,Besatzung!$D$11)&gt;=B80)))*(Besatzung!$F$11="x")*IFERROR(H80,0)/IFERROR(SUMPRODUCT((Besatzung!$B$11:$B$22&lt;&gt;"")*(Besatzung!$F$11:$F$22="x")*(IF(Besatzung!$C$11:$C$22="",Besatzung!$B$5,Besatzung!$C$11:$C$22)&lt;=B80)*(IF(Besatzung!$D$11:$D$22="",Besatzung!$B$6,Besatzung!$D$11:$D$22)&gt;=B80)),1)),IF(I80="An Bord",(((Besatzung!$B$11&lt;&gt;"")*IF(B80="",1,(IF(Besatzung!$C$11="",Besatzung!$B$5,Besatzung!$C$11)&lt;=B80)*(IF(Besatzung!$D$11="",Besatzung!$B$6,Besatzung!$D$11)&gt;=B80)))*((G80-IFERROR(H80,0))/IFERROR(SUMPRODUCT((Besatzung!$B$11:$B$22&lt;&gt;"")*(IF(Besatzung!$C$11:$C$22="",Besatzung!$B$5,Besatzung!$C$11:$C$22)&lt;=B80)*(IF(Besatzung!$D$11:$D$22="",Besatzung!$B$6,Besatzung!$D$11:$D$22)&gt;=B80)),1)+(Besatzung!$F$11="x")*IFERROR(H80,0)/IFERROR(SUMPRODUCT((Besatzung!$B$11:$B$22&lt;&gt;"")*(Besatzung!$F$11:$F$22="x")*(IF(Besatzung!$C$11:$C$22="",Besatzung!$B$5,Besatzung!$C$11:$C$22)&lt;=B80)*(IF(Besatzung!$D$11:$D$22="",Besatzung!$B$6,Besatzung!$D$11:$D$22)&gt;=B80)),1))),IF(I80="Individuell",((J80="x")*((G80-IFERROR(H80,0))/IFERROR(COUNTIF(J80:U80,"x"),1)+(Besatzung!$F$11="x")*IFERROR(H80,0)/IFERROR(SUMPRODUCT((J80:U80="x")*(Besatzung!$F$11:$F$22="x")),1))),(IF(COUNTIF(J80:U80,"x")=0,IF(Besatzung!$B$11&lt;&gt;"",1,0),(J80="x"))*(G80-IFERROR(H80,0))/IFERROR(IF(COUNTIF(J80:U80,"x")=0,COUNTA(Besatzung!$B$11:$B$22),COUNTIF(J80:U80,"x")),1)+IF(COUNTIF(J80:U80,"x")=0,(Besatzung!$F$11="x"),(J80="x")*(Besatzung!$F$11="x"))*IFERROR(H80,0)/IFERROR(IF(COUNTIF(J80:U80,"x")=0,SUMPRODUCT((Besatzung!$B$11:$B$22&lt;&gt;"")*(Besatzung!$F$11:$F$22="x")),SUMPRODUCT((J80:U80="x")*(Besatzung!$F$11:$F$22="x"))),1))))),0))))</f>
        <v/>
      </c>
      <c r="W80" s="247">
        <f>IF(C80="Gutschrift","",IF(G80="","",IF(Besatzung!$B$12="","",IFERROR(IF(I80="Zeitanteilig",(Besatzung!$G$12*(G80-IFERROR(H80,0))+((Besatzung!$B$12&lt;&gt;"")*IF(B80="",1,(IF(Besatzung!$C$12="",Besatzung!$B$5,Besatzung!$C$12)&lt;=B80)*(IF(Besatzung!$D$12="",Besatzung!$B$6,Besatzung!$D$12)&gt;=B80)))*(Besatzung!$F$12="x")*IFERROR(H80,0)/IFERROR(SUMPRODUCT((Besatzung!$B$11:$B$22&lt;&gt;"")*(Besatzung!$F$11:$F$22="x")*(IF(Besatzung!$C$11:$C$22="",Besatzung!$B$5,Besatzung!$C$11:$C$22)&lt;=B80)*(IF(Besatzung!$D$11:$D$22="",Besatzung!$B$6,Besatzung!$D$11:$D$22)&gt;=B80)),1)),IF(I80="An Bord",(((Besatzung!$B$12&lt;&gt;"")*IF(B80="",1,(IF(Besatzung!$C$12="",Besatzung!$B$5,Besatzung!$C$12)&lt;=B80)*(IF(Besatzung!$D$12="",Besatzung!$B$6,Besatzung!$D$12)&gt;=B80)))*((G80-IFERROR(H80,0))/IFERROR(SUMPRODUCT((Besatzung!$B$11:$B$22&lt;&gt;"")*(IF(Besatzung!$C$11:$C$22="",Besatzung!$B$5,Besatzung!$C$11:$C$22)&lt;=B80)*(IF(Besatzung!$D$11:$D$22="",Besatzung!$B$6,Besatzung!$D$11:$D$22)&gt;=B80)),1)+(Besatzung!$F$12="x")*IFERROR(H80,0)/IFERROR(SUMPRODUCT((Besatzung!$B$11:$B$22&lt;&gt;"")*(Besatzung!$F$11:$F$22="x")*(IF(Besatzung!$C$11:$C$22="",Besatzung!$B$5,Besatzung!$C$11:$C$22)&lt;=B80)*(IF(Besatzung!$D$11:$D$22="",Besatzung!$B$6,Besatzung!$D$11:$D$22)&gt;=B80)),1))),IF(I80="Individuell",((K80="x")*((G80-IFERROR(H80,0))/IFERROR(COUNTIF(J80:U80,"x"),1)+(Besatzung!$F$12="x")*IFERROR(H80,0)/IFERROR(SUMPRODUCT((J80:U80="x")*(Besatzung!$F$11:$F$22="x")),1))),(IF(COUNTIF(J80:U80,"x")=0,IF(Besatzung!$B$12&lt;&gt;"",1,0),(K80="x"))*(G80-IFERROR(H80,0))/IFERROR(IF(COUNTIF(J80:U80,"x")=0,COUNTA(Besatzung!$B$11:$B$22),COUNTIF(J80:U80,"x")),1)+IF(COUNTIF(J80:U80,"x")=0,(Besatzung!$F$12="x"),(K80="x")*(Besatzung!$F$12="x"))*IFERROR(H80,0)/IFERROR(IF(COUNTIF(J80:U80,"x")=0,SUMPRODUCT((Besatzung!$B$11:$B$22&lt;&gt;"")*(Besatzung!$F$11:$F$22="x")),SUMPRODUCT((J80:U80="x")*(Besatzung!$F$11:$F$22="x"))),1))))),0))))</f>
        <v/>
      </c>
      <c r="X80" s="247">
        <f>IF(C80="Gutschrift","",IF(G80="","",IF(Besatzung!$B$13="","",IFERROR(IF(I80="Zeitanteilig",(Besatzung!$G$13*(G80-IFERROR(H80,0))+((Besatzung!$B$13&lt;&gt;"")*IF(B80="",1,(IF(Besatzung!$C$13="",Besatzung!$B$5,Besatzung!$C$13)&lt;=B80)*(IF(Besatzung!$D$13="",Besatzung!$B$6,Besatzung!$D$13)&gt;=B80)))*(Besatzung!$F$13="x")*IFERROR(H80,0)/IFERROR(SUMPRODUCT((Besatzung!$B$11:$B$22&lt;&gt;"")*(Besatzung!$F$11:$F$22="x")*(IF(Besatzung!$C$11:$C$22="",Besatzung!$B$5,Besatzung!$C$11:$C$22)&lt;=B80)*(IF(Besatzung!$D$11:$D$22="",Besatzung!$B$6,Besatzung!$D$11:$D$22)&gt;=B80)),1)),IF(I80="An Bord",(((Besatzung!$B$13&lt;&gt;"")*IF(B80="",1,(IF(Besatzung!$C$13="",Besatzung!$B$5,Besatzung!$C$13)&lt;=B80)*(IF(Besatzung!$D$13="",Besatzung!$B$6,Besatzung!$D$13)&gt;=B80)))*((G80-IFERROR(H80,0))/IFERROR(SUMPRODUCT((Besatzung!$B$11:$B$22&lt;&gt;"")*(IF(Besatzung!$C$11:$C$22="",Besatzung!$B$5,Besatzung!$C$11:$C$22)&lt;=B80)*(IF(Besatzung!$D$11:$D$22="",Besatzung!$B$6,Besatzung!$D$11:$D$22)&gt;=B80)),1)+(Besatzung!$F$13="x")*IFERROR(H80,0)/IFERROR(SUMPRODUCT((Besatzung!$B$11:$B$22&lt;&gt;"")*(Besatzung!$F$11:$F$22="x")*(IF(Besatzung!$C$11:$C$22="",Besatzung!$B$5,Besatzung!$C$11:$C$22)&lt;=B80)*(IF(Besatzung!$D$11:$D$22="",Besatzung!$B$6,Besatzung!$D$11:$D$22)&gt;=B80)),1))),IF(I80="Individuell",((K80="x")*((G80-IFERROR(H80,0))/IFERROR(COUNTIF(J80:U80,"x"),1)+(Besatzung!$F$13="x")*IFERROR(H80,0)/IFERROR(SUMPRODUCT((J80:U80="x")*(Besatzung!$F$11:$F$22="x")),1))),(IF(COUNTIF(J80:U80,"x")=0,IF(Besatzung!$B$13&lt;&gt;"",1,0),(K80="x"))*(G80-IFERROR(H80,0))/IFERROR(IF(COUNTIF(J80:U80,"x")=0,COUNTA(Besatzung!$B$11:$B$22),COUNTIF(J80:U80,"x")),1)+IF(COUNTIF(J80:U80,"x")=0,(Besatzung!$F$13="x"),(K80="x")*(Besatzung!$F$13="x"))*IFERROR(H80,0)/IFERROR(IF(COUNTIF(J80:U80,"x")=0,SUMPRODUCT((Besatzung!$B$11:$B$22&lt;&gt;"")*(Besatzung!$F$11:$F$22="x")),SUMPRODUCT((J80:U80="x")*(Besatzung!$F$11:$F$22="x"))),1))))),0))))</f>
        <v/>
      </c>
      <c r="Y80" s="247">
        <f>IF(C80="Gutschrift","",IF(G80="","",IF(Besatzung!$B$14="","",IFERROR(IF(I80="Zeitanteilig",(Besatzung!$G$14*(G80-IFERROR(H80,0))+((Besatzung!$B$14&lt;&gt;"")*IF(B80="",1,(IF(Besatzung!$C$14="",Besatzung!$B$5,Besatzung!$C$14)&lt;=B80)*(IF(Besatzung!$D$14="",Besatzung!$B$6,Besatzung!$D$14)&gt;=B80)))*(Besatzung!$F$14="x")*IFERROR(H80,0)/IFERROR(SUMPRODUCT((Besatzung!$B$11:$B$22&lt;&gt;"")*(Besatzung!$F$11:$F$22="x")*(IF(Besatzung!$C$11:$C$22="",Besatzung!$B$5,Besatzung!$C$11:$C$22)&lt;=B80)*(IF(Besatzung!$D$11:$D$22="",Besatzung!$B$6,Besatzung!$D$11:$D$22)&gt;=B80)),1)),IF(I80="An Bord",(((Besatzung!$B$14&lt;&gt;"")*IF(B80="",1,(IF(Besatzung!$C$14="",Besatzung!$B$5,Besatzung!$C$14)&lt;=B80)*(IF(Besatzung!$D$14="",Besatzung!$B$6,Besatzung!$D$14)&gt;=B80)))*((G80-IFERROR(H80,0))/IFERROR(SUMPRODUCT((Besatzung!$B$11:$B$22&lt;&gt;"")*(IF(Besatzung!$C$11:$C$22="",Besatzung!$B$5,Besatzung!$C$11:$C$22)&lt;=B80)*(IF(Besatzung!$D$11:$D$22="",Besatzung!$B$6,Besatzung!$D$11:$D$22)&gt;=B80)),1)+(Besatzung!$F$14="x")*IFERROR(H80,0)/IFERROR(SUMPRODUCT((Besatzung!$B$11:$B$22&lt;&gt;"")*(Besatzung!$F$11:$F$22="x")*(IF(Besatzung!$C$11:$C$22="",Besatzung!$B$5,Besatzung!$C$11:$C$22)&lt;=B80)*(IF(Besatzung!$D$11:$D$22="",Besatzung!$B$6,Besatzung!$D$11:$D$22)&gt;=B80)),1))),IF(I80="Individuell",((M80="x")*((G80-IFERROR(H80,0))/IFERROR(COUNTIF(J80:U80,"x"),1)+(Besatzung!$F$14="x")*IFERROR(H80,0)/IFERROR(SUMPRODUCT((J80:U80="x")*(Besatzung!$F$11:$F$22="x")),1))),(IF(COUNTIF(J80:U80,"x")=0,IF(Besatzung!$B$14&lt;&gt;"",1,0),(M80="x"))*(G80-IFERROR(H80,0))/IFERROR(IF(COUNTIF(J80:U80,"x")=0,COUNTA(Besatzung!$B$11:$B$22),COUNTIF(J80:U80,"x")),1)+IF(COUNTIF(J80:U80,"x")=0,(Besatzung!$F$14="x"),(M80="x")*(Besatzung!$F$14="x"))*IFERROR(H80,0)/IFERROR(IF(COUNTIF(J80:U80,"x")=0,SUMPRODUCT((Besatzung!$B$11:$B$22&lt;&gt;"")*(Besatzung!$F$11:$F$22="x")),SUMPRODUCT((J80:U80="x")*(Besatzung!$F$11:$F$22="x"))),1))))),0))))</f>
        <v/>
      </c>
      <c r="Z80" s="247">
        <f>IF(C80="Gutschrift","",IF(G80="","",IF(Besatzung!$B$13="","",IFERROR(IF(I80="Zeitanteilig",(Besatzung!$G$15*(G80-IFERROR(H80,0))+((Besatzung!$B$13&lt;&gt;"")*IF(B80="",1,(IF(Besatzung!$C$15="",Besatzung!$B$5,Besatzung!$C$15)&lt;=B80)*(IF(Besatzung!$D$15="",Besatzung!$B$6,Besatzung!$D$15)&gt;=B80)))*(Besatzung!$F$15="x")*IFERROR(H80,0)/IFERROR(SUMPRODUCT((Besatzung!$B$11:$B$22&lt;&gt;"")*(Besatzung!$F$11:$F$22="x")*(IF(Besatzung!$C$11:$C$22="",Besatzung!$B$5,Besatzung!$C$11:$C$22)&lt;=B80)*(IF(Besatzung!$D$11:$D$22="",Besatzung!$B$6,Besatzung!$D$11:$D$22)&gt;=B80)),1)),IF(I80="An Bord",(((Besatzung!$B$13&lt;&gt;"")*IF(B80="",1,(IF(Besatzung!$C$15="",Besatzung!$B$5,Besatzung!$C$15)&lt;=B80)*(IF(Besatzung!$D$15="",Besatzung!$B$6,Besatzung!$D$15)&gt;=B80)))*((G80-IFERROR(H80,0))/IFERROR(SUMPRODUCT((Besatzung!$B$11:$B$22&lt;&gt;"")*(IF(Besatzung!$C$11:$C$22="",Besatzung!$B$5,Besatzung!$C$11:$C$22)&lt;=B80)*(IF(Besatzung!$D$11:$D$22="",Besatzung!$B$6,Besatzung!$D$11:$D$22)&gt;=B80)),1)+(Besatzung!$F$15="x")*IFERROR(H80,0)/IFERROR(SUMPRODUCT((Besatzung!$B$11:$B$22&lt;&gt;"")*(Besatzung!$F$11:$F$22="x")*(IF(Besatzung!$C$11:$C$22="",Besatzung!$B$5,Besatzung!$C$11:$C$22)&lt;=B80)*(IF(Besatzung!$D$11:$D$22="",Besatzung!$B$6,Besatzung!$D$11:$D$22)&gt;=B80)),1))),IF(I80="Individuell",((N80="x")*((G80-IFERROR(H80,0))/IFERROR(COUNTIF(J80:U80,"x"),1)+(Besatzung!$F$15="x")*IFERROR(H80,0)/IFERROR(SUMPRODUCT((J80:U80="x")*(Besatzung!$F$11:$F$22="x")),1))),(IF(COUNTIF(J80:U80,"x")=0,IF(Besatzung!$B$13&lt;&gt;"",1,0),(N80="x"))*(G80-IFERROR(H80,0))/IFERROR(IF(COUNTIF(J80:U80,"x")=0,COUNTA(Besatzung!$B$11:$B$22),COUNTIF(J80:U80,"x")),1)+IF(COUNTIF(J80:U80,"x")=0,(Besatzung!$F$15="x"),(N80="x")*(Besatzung!$F$15="x"))*IFERROR(H80,0)/IFERROR(IF(COUNTIF(J80:U80,"x")=0,SUMPRODUCT((Besatzung!$B$11:$B$22&lt;&gt;"")*(Besatzung!$F$11:$F$22="x")),SUMPRODUCT((J80:U80="x")*(Besatzung!$F$11:$F$22="x"))),1))))),0))))</f>
        <v/>
      </c>
      <c r="AA80" s="247">
        <f>IF(C80="Gutschrift","",IF(G80="","",IF(Besatzung!$B$15="","",IFERROR(IF(I80="Zeitanteilig",(Besatzung!$G$16*(G80-IFERROR(H80,0))+((Besatzung!$B$15&lt;&gt;"")*IF(B80="",1,(IF(Besatzung!$C$16="",Besatzung!$B$5,Besatzung!$C$16)&lt;=B80)*(IF(Besatzung!$D$16="",Besatzung!$B$6,Besatzung!$D$16)&gt;=B80)))*(Besatzung!$F$16="x")*IFERROR(H80,0)/IFERROR(SUMPRODUCT((Besatzung!$B$11:$B$22&lt;&gt;"")*(Besatzung!$F$11:$F$22="x")*(IF(Besatzung!$C$11:$C$22="",Besatzung!$B$5,Besatzung!$C$11:$C$22)&lt;=B80)*(IF(Besatzung!$D$11:$D$22="",Besatzung!$B$6,Besatzung!$D$11:$D$22)&gt;=B80)),1)),IF(I80="An Bord",(((Besatzung!$B$15&lt;&gt;"")*IF(B80="",1,(IF(Besatzung!$C$16="",Besatzung!$B$5,Besatzung!$C$16)&lt;=B80)*(IF(Besatzung!$D$16="",Besatzung!$B$6,Besatzung!$D$16)&gt;=B80)))*((G80-IFERROR(H80,0))/IFERROR(SUMPRODUCT((Besatzung!$B$11:$B$22&lt;&gt;"")*(IF(Besatzung!$C$11:$C$22="",Besatzung!$B$5,Besatzung!$C$11:$C$22)&lt;=B80)*(IF(Besatzung!$D$11:$D$22="",Besatzung!$B$6,Besatzung!$D$11:$D$22)&gt;=B80)),1)+(Besatzung!$F$16="x")*IFERROR(H80,0)/IFERROR(SUMPRODUCT((Besatzung!$B$11:$B$22&lt;&gt;"")*(Besatzung!$F$11:$F$22="x")*(IF(Besatzung!$C$11:$C$22="",Besatzung!$B$5,Besatzung!$C$11:$C$22)&lt;=B80)*(IF(Besatzung!$D$11:$D$22="",Besatzung!$B$6,Besatzung!$D$11:$D$22)&gt;=B80)),1))),IF(I80="Individuell",((O80="x")*((G80-IFERROR(H80,0))/IFERROR(COUNTIF(J80:U80,"x"),1)+(Besatzung!$F$16="x")*IFERROR(H80,0)/IFERROR(SUMPRODUCT((J80:U80="x")*(Besatzung!$F$11:$F$22="x")),1))),(IF(COUNTIF(J80:U80,"x")=0,IF(Besatzung!$B$15&lt;&gt;"",1,0),(O80="x"))*(G80-IFERROR(H80,0))/IFERROR(IF(COUNTIF(J80:U80,"x")=0,COUNTA(Besatzung!$B$11:$B$22),COUNTIF(J80:U80,"x")),1)+IF(COUNTIF(J80:U80,"x")=0,(Besatzung!$F$16="x"),(O80="x")*(Besatzung!$F$16="x"))*IFERROR(H80,0)/IFERROR(IF(COUNTIF(J80:U80,"x")=0,SUMPRODUCT((Besatzung!$B$11:$B$22&lt;&gt;"")*(Besatzung!$F$11:$F$22="x")),SUMPRODUCT((J80:U80="x")*(Besatzung!$F$11:$F$22="x"))),1))))),0))))</f>
        <v/>
      </c>
      <c r="AB80" s="247">
        <f>IF(C80="Gutschrift","",IF(G80="","",IF(Besatzung!$B$17="","",IFERROR(IF(I80="Zeitanteilig",(Besatzung!$G$17*(G80-IFERROR(H80,0))+((Besatzung!$B$17&lt;&gt;"")*IF(B80="",1,(IF(Besatzung!$C$17="",Besatzung!$B$5,Besatzung!$C$17)&lt;=B80)*(IF(Besatzung!$D$17="",Besatzung!$B$6,Besatzung!$D$17)&gt;=B80)))*(Besatzung!$F$17="x")*IFERROR(H80,0)/IFERROR(SUMPRODUCT((Besatzung!$B$11:$B$22&lt;&gt;"")*(Besatzung!$F$11:$F$22="x")*(IF(Besatzung!$C$11:$C$22="",Besatzung!$B$5,Besatzung!$C$11:$C$22)&lt;=B80)*(IF(Besatzung!$D$11:$D$22="",Besatzung!$B$6,Besatzung!$D$11:$D$22)&gt;=B80)),1)),IF(I80="An Bord",(((Besatzung!$B$17&lt;&gt;"")*IF(B80="",1,(IF(Besatzung!$C$17="",Besatzung!$B$5,Besatzung!$C$17)&lt;=B80)*(IF(Besatzung!$D$17="",Besatzung!$B$6,Besatzung!$D$17)&gt;=B80)))*((G80-IFERROR(H80,0))/IFERROR(SUMPRODUCT((Besatzung!$B$11:$B$22&lt;&gt;"")*(IF(Besatzung!$C$11:$C$22="",Besatzung!$B$5,Besatzung!$C$11:$C$22)&lt;=B80)*(IF(Besatzung!$D$11:$D$22="",Besatzung!$B$6,Besatzung!$D$11:$D$22)&gt;=B80)),1)+(Besatzung!$F$17="x")*IFERROR(H80,0)/IFERROR(SUMPRODUCT((Besatzung!$B$11:$B$22&lt;&gt;"")*(Besatzung!$F$11:$F$22="x")*(IF(Besatzung!$C$11:$C$22="",Besatzung!$B$5,Besatzung!$C$11:$C$22)&lt;=B80)*(IF(Besatzung!$D$11:$D$22="",Besatzung!$B$6,Besatzung!$D$11:$D$22)&gt;=B80)),1))),IF(I80="Individuell",((P80="x")*((G80-IFERROR(H80,0))/IFERROR(COUNTIF(J80:U80,"x"),1)+(Besatzung!$F$17="x")*IFERROR(H80,0)/IFERROR(SUMPRODUCT((J80:U80="x")*(Besatzung!$F$11:$F$22="x")),1))),(IF(COUNTIF(J80:U80,"x")=0,IF(Besatzung!$B$17&lt;&gt;"",1,0),(P80="x"))*(G80-IFERROR(H80,0))/IFERROR(IF(COUNTIF(J80:U80,"x")=0,COUNTA(Besatzung!$B$11:$B$22),COUNTIF(J80:U80,"x")),1)+IF(COUNTIF(J80:U80,"x")=0,(Besatzung!$F$17="x"),(P80="x")*(Besatzung!$F$17="x"))*IFERROR(H80,0)/IFERROR(IF(COUNTIF(J80:U80,"x")=0,SUMPRODUCT((Besatzung!$B$11:$B$22&lt;&gt;"")*(Besatzung!$F$11:$F$22="x")),SUMPRODUCT((J80:U80="x")*(Besatzung!$F$11:$F$22="x"))),1))))),0))))</f>
        <v/>
      </c>
      <c r="AC80" s="247">
        <f>IF(C80="Gutschrift","",IF(G80="","",IF(Besatzung!$B$18="","",IFERROR(IF(I80="Zeitanteilig",(Besatzung!$G$18*(G80-IFERROR(H80,0))+((Besatzung!$B$18&lt;&gt;"")*IF(B80="",1,(IF(Besatzung!$C$18="",Besatzung!$B$5,Besatzung!$C$18)&lt;=B80)*(IF(Besatzung!$D$18="",Besatzung!$B$6,Besatzung!$D$18)&gt;=B80)))*(Besatzung!$F$18="x")*IFERROR(H80,0)/IFERROR(SUMPRODUCT((Besatzung!$B$11:$B$22&lt;&gt;"")*(Besatzung!$F$11:$F$22="x")*(IF(Besatzung!$C$11:$C$22="",Besatzung!$B$5,Besatzung!$C$11:$C$22)&lt;=B80)*(IF(Besatzung!$D$11:$D$22="",Besatzung!$B$6,Besatzung!$D$11:$D$22)&gt;=B80)),1)),IF(I80="An Bord",(((Besatzung!$B$18&lt;&gt;"")*IF(B80="",1,(IF(Besatzung!$C$18="",Besatzung!$B$5,Besatzung!$C$18)&lt;=B80)*(IF(Besatzung!$D$18="",Besatzung!$B$6,Besatzung!$D$18)&gt;=B80)))*((G80-IFERROR(H80,0))/IFERROR(SUMPRODUCT((Besatzung!$B$11:$B$22&lt;&gt;"")*(IF(Besatzung!$C$11:$C$22="",Besatzung!$B$5,Besatzung!$C$11:$C$22)&lt;=B80)*(IF(Besatzung!$D$11:$D$22="",Besatzung!$B$6,Besatzung!$D$11:$D$22)&gt;=B80)),1)+(Besatzung!$F$18="x")*IFERROR(H80,0)/IFERROR(SUMPRODUCT((Besatzung!$B$11:$B$22&lt;&gt;"")*(Besatzung!$F$11:$F$22="x")*(IF(Besatzung!$C$11:$C$22="",Besatzung!$B$5,Besatzung!$C$11:$C$22)&lt;=B80)*(IF(Besatzung!$D$11:$D$22="",Besatzung!$B$6,Besatzung!$D$11:$D$22)&gt;=B80)),1))),IF(I80="Individuell",((Q80="x")*((G80-IFERROR(H80,0))/IFERROR(COUNTIF(J80:U80,"x"),1)+(Besatzung!$F$18="x")*IFERROR(H80,0)/IFERROR(SUMPRODUCT((J80:U80="x")*(Besatzung!$F$11:$F$22="x")),1))),(IF(COUNTIF(J80:U80,"x")=0,IF(Besatzung!$B$18&lt;&gt;"",1,0),(Q80="x"))*(G80-IFERROR(H80,0))/IFERROR(IF(COUNTIF(J80:U80,"x")=0,COUNTA(Besatzung!$B$11:$B$22),COUNTIF(J80:U80,"x")),1)+IF(COUNTIF(J80:U80,"x")=0,(Besatzung!$F$18="x"),(Q80="x")*(Besatzung!$F$18="x"))*IFERROR(H80,0)/IFERROR(IF(COUNTIF(J80:U80,"x")=0,SUMPRODUCT((Besatzung!$B$11:$B$22&lt;&gt;"")*(Besatzung!$F$11:$F$22="x")),SUMPRODUCT((J80:U80="x")*(Besatzung!$F$11:$F$22="x"))),1))))),0))))</f>
        <v/>
      </c>
      <c r="AD80" s="247">
        <f>IF(C80="Gutschrift","",IF(G80="","",IF(Besatzung!$B$19="","",IFERROR(IF(I80="Zeitanteilig",(Besatzung!$G$19*(G80-IFERROR(H80,0))+((Besatzung!$B$19&lt;&gt;"")*IF(B80="",1,(IF(Besatzung!$C$19="",Besatzung!$B$5,Besatzung!$C$19)&lt;=B80)*(IF(Besatzung!$D$19="",Besatzung!$B$6,Besatzung!$D$19)&gt;=B80)))*(Besatzung!$F$19="x")*IFERROR(H80,0)/IFERROR(SUMPRODUCT((Besatzung!$B$11:$B$22&lt;&gt;"")*(Besatzung!$F$11:$F$22="x")*(IF(Besatzung!$C$11:$C$22="",Besatzung!$B$5,Besatzung!$C$11:$C$22)&lt;=B80)*(IF(Besatzung!$D$11:$D$22="",Besatzung!$B$6,Besatzung!$D$11:$D$22)&gt;=B80)),1)),IF(I80="An Bord",(((Besatzung!$B$19&lt;&gt;"")*IF(B80="",1,(IF(Besatzung!$C$19="",Besatzung!$B$5,Besatzung!$C$19)&lt;=B80)*(IF(Besatzung!$D$19="",Besatzung!$B$6,Besatzung!$D$19)&gt;=B80)))*((G80-IFERROR(H80,0))/IFERROR(SUMPRODUCT((Besatzung!$B$11:$B$22&lt;&gt;"")*(IF(Besatzung!$C$11:$C$22="",Besatzung!$B$5,Besatzung!$C$11:$C$22)&lt;=B80)*(IF(Besatzung!$D$11:$D$22="",Besatzung!$B$6,Besatzung!$D$11:$D$22)&gt;=B80)),1)+(Besatzung!$F$19="x")*IFERROR(H80,0)/IFERROR(SUMPRODUCT((Besatzung!$B$11:$B$22&lt;&gt;"")*(Besatzung!$F$11:$F$22="x")*(IF(Besatzung!$C$11:$C$22="",Besatzung!$B$5,Besatzung!$C$11:$C$22)&lt;=B80)*(IF(Besatzung!$D$11:$D$22="",Besatzung!$B$6,Besatzung!$D$11:$D$22)&gt;=B80)),1))),IF(I80="Individuell",((R80="x")*((G80-IFERROR(H80,0))/IFERROR(COUNTIF(J80:U80,"x"),1)+(Besatzung!$F$19="x")*IFERROR(H80,0)/IFERROR(SUMPRODUCT((J80:U80="x")*(Besatzung!$F$11:$F$22="x")),1))),(IF(COUNTIF(J80:U80,"x")=0,IF(Besatzung!$B$19&lt;&gt;"",1,0),(R80="x"))*(G80-IFERROR(H80,0))/IFERROR(IF(COUNTIF(J80:U80,"x")=0,COUNTA(Besatzung!$B$11:$B$22),COUNTIF(J80:U80,"x")),1)+IF(COUNTIF(J80:U80,"x")=0,(Besatzung!$F$19="x"),(R80="x")*(Besatzung!$F$19="x"))*IFERROR(H80,0)/IFERROR(IF(COUNTIF(J80:U80,"x")=0,SUMPRODUCT((Besatzung!$B$11:$B$22&lt;&gt;"")*(Besatzung!$F$11:$F$22="x")),SUMPRODUCT((J80:U80="x")*(Besatzung!$F$11:$F$22="x"))),1))))),0))))</f>
        <v/>
      </c>
      <c r="AE80" s="247">
        <f>IF(C80="Gutschrift","",IF(G80="","",IF(Besatzung!$B$20="","",IFERROR(IF(I80="Zeitanteilig",(Besatzung!$G$20*(G80-IFERROR(H80,0))+((Besatzung!$B$20&lt;&gt;"")*IF(B80="",1,(IF(Besatzung!$C$20="",Besatzung!$B$5,Besatzung!$C$20)&lt;=B80)*(IF(Besatzung!$D$20="",Besatzung!$B$6,Besatzung!$D$20)&gt;=B80)))*(Besatzung!$F$20="x")*IFERROR(H80,0)/IFERROR(SUMPRODUCT((Besatzung!$B$11:$B$22&lt;&gt;"")*(Besatzung!$F$11:$F$22="x")*(IF(Besatzung!$C$11:$C$22="",Besatzung!$B$5,Besatzung!$C$11:$C$22)&lt;=B80)*(IF(Besatzung!$D$11:$D$22="",Besatzung!$B$6,Besatzung!$D$11:$D$22)&gt;=B80)),1)),IF(I80="An Bord",(((Besatzung!$B$20&lt;&gt;"")*IF(B80="",1,(IF(Besatzung!$C$20="",Besatzung!$B$5,Besatzung!$C$20)&lt;=B80)*(IF(Besatzung!$D$20="",Besatzung!$B$6,Besatzung!$D$20)&gt;=B80)))*((G80-IFERROR(H80,0))/IFERROR(SUMPRODUCT((Besatzung!$B$11:$B$22&lt;&gt;"")*(IF(Besatzung!$C$11:$C$22="",Besatzung!$B$5,Besatzung!$C$11:$C$22)&lt;=B80)*(IF(Besatzung!$D$11:$D$22="",Besatzung!$B$6,Besatzung!$D$11:$D$22)&gt;=B80)),1)+(Besatzung!$F$20="x")*IFERROR(H80,0)/IFERROR(SUMPRODUCT((Besatzung!$B$11:$B$22&lt;&gt;"")*(Besatzung!$F$11:$F$22="x")*(IF(Besatzung!$C$11:$C$22="",Besatzung!$B$5,Besatzung!$C$11:$C$22)&lt;=B80)*(IF(Besatzung!$D$11:$D$22="",Besatzung!$B$6,Besatzung!$D$11:$D$22)&gt;=B80)),1))),IF(I80="Individuell",((S80="x")*((G80-IFERROR(H80,0))/IFERROR(COUNTIF(J80:U80,"x"),1)+(Besatzung!$F$20="x")*IFERROR(H80,0)/IFERROR(SUMPRODUCT((J80:U80="x")*(Besatzung!$F$11:$F$22="x")),1))),(IF(COUNTIF(J80:U80,"x")=0,IF(Besatzung!$B$20&lt;&gt;"",1,0),(S80="x"))*(G80-IFERROR(H80,0))/IFERROR(IF(COUNTIF(J80:U80,"x")=0,COUNTA(Besatzung!$B$11:$B$22),COUNTIF(J80:U80,"x")),1)+IF(COUNTIF(J80:U80,"x")=0,(Besatzung!$F$20="x"),(S80="x")*(Besatzung!$F$20="x"))*IFERROR(H80,0)/IFERROR(IF(COUNTIF(J80:U80,"x")=0,SUMPRODUCT((Besatzung!$B$11:$B$22&lt;&gt;"")*(Besatzung!$F$11:$F$22="x")),SUMPRODUCT((J80:U80="x")*(Besatzung!$F$11:$F$22="x"))),1))))),0))))</f>
        <v/>
      </c>
      <c r="AF80" s="247">
        <f>IF(C80="Gutschrift","",IF(G80="","",IF(Besatzung!$B$21="","",IFERROR(IF(I80="Zeitanteilig",(Besatzung!$G$21*(G80-IFERROR(H80,0))+((Besatzung!$B$21&lt;&gt;"")*IF(B80="",1,(IF(Besatzung!$C$21="",Besatzung!$B$5,Besatzung!$C$21)&lt;=B80)*(IF(Besatzung!$D$21="",Besatzung!$B$6,Besatzung!$D$21)&gt;=B80)))*(Besatzung!$F$21="x")*IFERROR(H80,0)/IFERROR(SUMPRODUCT((Besatzung!$B$11:$B$22&lt;&gt;"")*(Besatzung!$F$11:$F$22="x")*(IF(Besatzung!$C$11:$C$22="",Besatzung!$B$5,Besatzung!$C$11:$C$22)&lt;=B80)*(IF(Besatzung!$D$11:$D$22="",Besatzung!$B$6,Besatzung!$D$11:$D$22)&gt;=B80)),1)),IF(I80="An Bord",(((Besatzung!$B$21&lt;&gt;"")*IF(B80="",1,(IF(Besatzung!$C$21="",Besatzung!$B$5,Besatzung!$C$21)&lt;=B80)*(IF(Besatzung!$D$21="",Besatzung!$B$6,Besatzung!$D$21)&gt;=B80)))*((G80-IFERROR(H80,0))/IFERROR(SUMPRODUCT((Besatzung!$B$11:$B$22&lt;&gt;"")*(IF(Besatzung!$C$11:$C$22="",Besatzung!$B$5,Besatzung!$C$11:$C$22)&lt;=B80)*(IF(Besatzung!$D$11:$D$22="",Besatzung!$B$6,Besatzung!$D$11:$D$22)&gt;=B80)),1)+(Besatzung!$F$21="x")*IFERROR(H80,0)/IFERROR(SUMPRODUCT((Besatzung!$B$11:$B$22&lt;&gt;"")*(Besatzung!$F$11:$F$22="x")*(IF(Besatzung!$C$11:$C$22="",Besatzung!$B$5,Besatzung!$C$11:$C$22)&lt;=B80)*(IF(Besatzung!$D$11:$D$22="",Besatzung!$B$6,Besatzung!$D$11:$D$22)&gt;=B80)),1))),IF(I80="Individuell",((T80="x")*((G80-IFERROR(H80,0))/IFERROR(COUNTIF(J80:U80,"x"),1)+(Besatzung!$F$21="x")*IFERROR(H80,0)/IFERROR(SUMPRODUCT((J80:U80="x")*(Besatzung!$F$11:$F$22="x")),1))),(IF(COUNTIF(J80:U80,"x")=0,IF(Besatzung!$B$21&lt;&gt;"",1,0),(T80="x"))*(G80-IFERROR(H80,0))/IFERROR(IF(COUNTIF(J80:U80,"x")=0,COUNTA(Besatzung!$B$11:$B$22),COUNTIF(J80:U80,"x")),1)+IF(COUNTIF(J80:U80,"x")=0,(Besatzung!$F$21="x"),(T80="x")*(Besatzung!$F$21="x"))*IFERROR(H80,0)/IFERROR(IF(COUNTIF(J80:U80,"x")=0,SUMPRODUCT((Besatzung!$B$11:$B$22&lt;&gt;"")*(Besatzung!$F$11:$F$22="x")),SUMPRODUCT((J80:U80="x")*(Besatzung!$F$11:$F$22="x"))),1))))),0))))</f>
        <v/>
      </c>
      <c r="AG80" s="247">
        <f>IF(C80="Gutschrift","",IF(G80="","",IF(Besatzung!$B$22="","",IFERROR(IF(I80="Zeitanteilig",(Besatzung!$G$22*(G80-IFERROR(H80,0))+((Besatzung!$B$22&lt;&gt;"")*IF(B80="",1,(IF(Besatzung!$C$22="",Besatzung!$B$5,Besatzung!$C$22)&lt;=B80)*(IF(Besatzung!$D$22="",Besatzung!$B$6,Besatzung!$D$22)&gt;=B80)))*(Besatzung!$F$22="x")*IFERROR(H80,0)/IFERROR(SUMPRODUCT((Besatzung!$B$11:$B$22&lt;&gt;"")*(Besatzung!$F$11:$F$22="x")*(IF(Besatzung!$C$11:$C$22="",Besatzung!$B$5,Besatzung!$C$11:$C$22)&lt;=B80)*(IF(Besatzung!$D$11:$D$22="",Besatzung!$B$6,Besatzung!$D$11:$D$22)&gt;=B80)),1)),IF(I80="An Bord",(((Besatzung!$B$22&lt;&gt;"")*IF(B80="",1,(IF(Besatzung!$C$22="",Besatzung!$B$5,Besatzung!$C$22)&lt;=B80)*(IF(Besatzung!$D$22="",Besatzung!$B$6,Besatzung!$D$22)&gt;=B80)))*((G80-IFERROR(H80,0))/IFERROR(SUMPRODUCT((Besatzung!$B$11:$B$22&lt;&gt;"")*(IF(Besatzung!$C$11:$C$22="",Besatzung!$B$5,Besatzung!$C$11:$C$22)&lt;=B80)*(IF(Besatzung!$D$11:$D$22="",Besatzung!$B$6,Besatzung!$D$11:$D$22)&gt;=B80)),1)+(Besatzung!$F$22="x")*IFERROR(H80,0)/IFERROR(SUMPRODUCT((Besatzung!$B$11:$B$22&lt;&gt;"")*(Besatzung!$F$11:$F$22="x")*(IF(Besatzung!$C$11:$C$22="",Besatzung!$B$5,Besatzung!$C$11:$C$22)&lt;=B80)*(IF(Besatzung!$D$11:$D$22="",Besatzung!$B$6,Besatzung!$D$11:$D$22)&gt;=B80)),1))),IF(I80="Individuell",((U80="x")*((G80-IFERROR(H80,0))/IFERROR(COUNTIF(J80:U80,"x"),1)+(Besatzung!$F$22="x")*IFERROR(H80,0)/IFERROR(SUMPRODUCT((J80:U80="x")*(Besatzung!$F$11:$F$22="x")),1))),(IF(COUNTIF(J80:U80,"x")=0,IF(Besatzung!$B$22&lt;&gt;"",1,0),(U80="x"))*(G80-IFERROR(H80,0))/IFERROR(IF(COUNTIF(J80:U80,"x")=0,COUNTA(Besatzung!$B$11:$B$22),COUNTIF(J80:U80,"x")),1)+IF(COUNTIF(J80:U80,"x")=0,(Besatzung!$F$22="x"),(U80="x")*(Besatzung!$F$22="x"))*IFERROR(H80,0)/IFERROR(IF(COUNTIF(J80:U80,"x")=0,SUMPRODUCT((Besatzung!$B$11:$B$22&lt;&gt;"")*(Besatzung!$F$11:$F$22="x")),SUMPRODUCT((J80:U80="x")*(Besatzung!$F$11:$F$22="x"))),1))))),0))))</f>
        <v/>
      </c>
      <c r="AH80" s="248" t="n"/>
      <c r="AI80" s="248" t="n"/>
    </row>
    <row r="81" ht="21.75" customHeight="1" s="154">
      <c r="A81" s="238">
        <f>IF(AND(D81="",C81=""),"",78)</f>
        <v/>
      </c>
      <c r="B81" s="206" t="n"/>
      <c r="C81" s="249" t="n"/>
      <c r="D81" s="250" t="n"/>
      <c r="E81" s="251" t="n"/>
      <c r="F81" s="252" t="n"/>
      <c r="G81" s="253" t="n"/>
      <c r="H81" s="254" t="n"/>
      <c r="I81" s="255" t="n"/>
      <c r="J81" s="256" t="n"/>
      <c r="K81" s="256" t="n"/>
      <c r="L81" s="256" t="n"/>
      <c r="M81" s="256" t="n"/>
      <c r="N81" s="256" t="n"/>
      <c r="O81" s="256" t="n"/>
      <c r="P81" s="256" t="n"/>
      <c r="Q81" s="256" t="n"/>
      <c r="R81" s="256" t="n"/>
      <c r="S81" s="256" t="n"/>
      <c r="T81" s="256" t="n"/>
      <c r="U81" s="256" t="n"/>
      <c r="V81" s="247">
        <f>IF(C81="Gutschrift","",IF(G81="","",IF(Besatzung!$B$11="","",IFERROR(IF(I81="Zeitanteilig",(Besatzung!$G$11*(G81-IFERROR(H81,0))+((Besatzung!$B$11&lt;&gt;"")*IF(B81="",1,(IF(Besatzung!$C$11="",Besatzung!$B$5,Besatzung!$C$11)&lt;=B81)*(IF(Besatzung!$D$11="",Besatzung!$B$6,Besatzung!$D$11)&gt;=B81)))*(Besatzung!$F$11="x")*IFERROR(H81,0)/IFERROR(SUMPRODUCT((Besatzung!$B$11:$B$22&lt;&gt;"")*(Besatzung!$F$11:$F$22="x")*(IF(Besatzung!$C$11:$C$22="",Besatzung!$B$5,Besatzung!$C$11:$C$22)&lt;=B81)*(IF(Besatzung!$D$11:$D$22="",Besatzung!$B$6,Besatzung!$D$11:$D$22)&gt;=B81)),1)),IF(I81="An Bord",(((Besatzung!$B$11&lt;&gt;"")*IF(B81="",1,(IF(Besatzung!$C$11="",Besatzung!$B$5,Besatzung!$C$11)&lt;=B81)*(IF(Besatzung!$D$11="",Besatzung!$B$6,Besatzung!$D$11)&gt;=B81)))*((G81-IFERROR(H81,0))/IFERROR(SUMPRODUCT((Besatzung!$B$11:$B$22&lt;&gt;"")*(IF(Besatzung!$C$11:$C$22="",Besatzung!$B$5,Besatzung!$C$11:$C$22)&lt;=B81)*(IF(Besatzung!$D$11:$D$22="",Besatzung!$B$6,Besatzung!$D$11:$D$22)&gt;=B81)),1)+(Besatzung!$F$11="x")*IFERROR(H81,0)/IFERROR(SUMPRODUCT((Besatzung!$B$11:$B$22&lt;&gt;"")*(Besatzung!$F$11:$F$22="x")*(IF(Besatzung!$C$11:$C$22="",Besatzung!$B$5,Besatzung!$C$11:$C$22)&lt;=B81)*(IF(Besatzung!$D$11:$D$22="",Besatzung!$B$6,Besatzung!$D$11:$D$22)&gt;=B81)),1))),IF(I81="Individuell",((J81="x")*((G81-IFERROR(H81,0))/IFERROR(COUNTIF(J81:U81,"x"),1)+(Besatzung!$F$11="x")*IFERROR(H81,0)/IFERROR(SUMPRODUCT((J81:U81="x")*(Besatzung!$F$11:$F$22="x")),1))),(IF(COUNTIF(J81:U81,"x")=0,IF(Besatzung!$B$11&lt;&gt;"",1,0),(J81="x"))*(G81-IFERROR(H81,0))/IFERROR(IF(COUNTIF(J81:U81,"x")=0,COUNTA(Besatzung!$B$11:$B$22),COUNTIF(J81:U81,"x")),1)+IF(COUNTIF(J81:U81,"x")=0,(Besatzung!$F$11="x"),(J81="x")*(Besatzung!$F$11="x"))*IFERROR(H81,0)/IFERROR(IF(COUNTIF(J81:U81,"x")=0,SUMPRODUCT((Besatzung!$B$11:$B$22&lt;&gt;"")*(Besatzung!$F$11:$F$22="x")),SUMPRODUCT((J81:U81="x")*(Besatzung!$F$11:$F$22="x"))),1))))),0))))</f>
        <v/>
      </c>
      <c r="W81" s="247">
        <f>IF(C81="Gutschrift","",IF(G81="","",IF(Besatzung!$B$12="","",IFERROR(IF(I81="Zeitanteilig",(Besatzung!$G$12*(G81-IFERROR(H81,0))+((Besatzung!$B$12&lt;&gt;"")*IF(B81="",1,(IF(Besatzung!$C$12="",Besatzung!$B$5,Besatzung!$C$12)&lt;=B81)*(IF(Besatzung!$D$12="",Besatzung!$B$6,Besatzung!$D$12)&gt;=B81)))*(Besatzung!$F$12="x")*IFERROR(H81,0)/IFERROR(SUMPRODUCT((Besatzung!$B$11:$B$22&lt;&gt;"")*(Besatzung!$F$11:$F$22="x")*(IF(Besatzung!$C$11:$C$22="",Besatzung!$B$5,Besatzung!$C$11:$C$22)&lt;=B81)*(IF(Besatzung!$D$11:$D$22="",Besatzung!$B$6,Besatzung!$D$11:$D$22)&gt;=B81)),1)),IF(I81="An Bord",(((Besatzung!$B$12&lt;&gt;"")*IF(B81="",1,(IF(Besatzung!$C$12="",Besatzung!$B$5,Besatzung!$C$12)&lt;=B81)*(IF(Besatzung!$D$12="",Besatzung!$B$6,Besatzung!$D$12)&gt;=B81)))*((G81-IFERROR(H81,0))/IFERROR(SUMPRODUCT((Besatzung!$B$11:$B$22&lt;&gt;"")*(IF(Besatzung!$C$11:$C$22="",Besatzung!$B$5,Besatzung!$C$11:$C$22)&lt;=B81)*(IF(Besatzung!$D$11:$D$22="",Besatzung!$B$6,Besatzung!$D$11:$D$22)&gt;=B81)),1)+(Besatzung!$F$12="x")*IFERROR(H81,0)/IFERROR(SUMPRODUCT((Besatzung!$B$11:$B$22&lt;&gt;"")*(Besatzung!$F$11:$F$22="x")*(IF(Besatzung!$C$11:$C$22="",Besatzung!$B$5,Besatzung!$C$11:$C$22)&lt;=B81)*(IF(Besatzung!$D$11:$D$22="",Besatzung!$B$6,Besatzung!$D$11:$D$22)&gt;=B81)),1))),IF(I81="Individuell",((K81="x")*((G81-IFERROR(H81,0))/IFERROR(COUNTIF(J81:U81,"x"),1)+(Besatzung!$F$12="x")*IFERROR(H81,0)/IFERROR(SUMPRODUCT((J81:U81="x")*(Besatzung!$F$11:$F$22="x")),1))),(IF(COUNTIF(J81:U81,"x")=0,IF(Besatzung!$B$12&lt;&gt;"",1,0),(K81="x"))*(G81-IFERROR(H81,0))/IFERROR(IF(COUNTIF(J81:U81,"x")=0,COUNTA(Besatzung!$B$11:$B$22),COUNTIF(J81:U81,"x")),1)+IF(COUNTIF(J81:U81,"x")=0,(Besatzung!$F$12="x"),(K81="x")*(Besatzung!$F$12="x"))*IFERROR(H81,0)/IFERROR(IF(COUNTIF(J81:U81,"x")=0,SUMPRODUCT((Besatzung!$B$11:$B$22&lt;&gt;"")*(Besatzung!$F$11:$F$22="x")),SUMPRODUCT((J81:U81="x")*(Besatzung!$F$11:$F$22="x"))),1))))),0))))</f>
        <v/>
      </c>
      <c r="X81" s="247">
        <f>IF(C81="Gutschrift","",IF(G81="","",IF(Besatzung!$B$13="","",IFERROR(IF(I81="Zeitanteilig",(Besatzung!$G$13*(G81-IFERROR(H81,0))+((Besatzung!$B$13&lt;&gt;"")*IF(B81="",1,(IF(Besatzung!$C$13="",Besatzung!$B$5,Besatzung!$C$13)&lt;=B81)*(IF(Besatzung!$D$13="",Besatzung!$B$6,Besatzung!$D$13)&gt;=B81)))*(Besatzung!$F$13="x")*IFERROR(H81,0)/IFERROR(SUMPRODUCT((Besatzung!$B$11:$B$22&lt;&gt;"")*(Besatzung!$F$11:$F$22="x")*(IF(Besatzung!$C$11:$C$22="",Besatzung!$B$5,Besatzung!$C$11:$C$22)&lt;=B81)*(IF(Besatzung!$D$11:$D$22="",Besatzung!$B$6,Besatzung!$D$11:$D$22)&gt;=B81)),1)),IF(I81="An Bord",(((Besatzung!$B$13&lt;&gt;"")*IF(B81="",1,(IF(Besatzung!$C$13="",Besatzung!$B$5,Besatzung!$C$13)&lt;=B81)*(IF(Besatzung!$D$13="",Besatzung!$B$6,Besatzung!$D$13)&gt;=B81)))*((G81-IFERROR(H81,0))/IFERROR(SUMPRODUCT((Besatzung!$B$11:$B$22&lt;&gt;"")*(IF(Besatzung!$C$11:$C$22="",Besatzung!$B$5,Besatzung!$C$11:$C$22)&lt;=B81)*(IF(Besatzung!$D$11:$D$22="",Besatzung!$B$6,Besatzung!$D$11:$D$22)&gt;=B81)),1)+(Besatzung!$F$13="x")*IFERROR(H81,0)/IFERROR(SUMPRODUCT((Besatzung!$B$11:$B$22&lt;&gt;"")*(Besatzung!$F$11:$F$22="x")*(IF(Besatzung!$C$11:$C$22="",Besatzung!$B$5,Besatzung!$C$11:$C$22)&lt;=B81)*(IF(Besatzung!$D$11:$D$22="",Besatzung!$B$6,Besatzung!$D$11:$D$22)&gt;=B81)),1))),IF(I81="Individuell",((K81="x")*((G81-IFERROR(H81,0))/IFERROR(COUNTIF(J81:U81,"x"),1)+(Besatzung!$F$13="x")*IFERROR(H81,0)/IFERROR(SUMPRODUCT((J81:U81="x")*(Besatzung!$F$11:$F$22="x")),1))),(IF(COUNTIF(J81:U81,"x")=0,IF(Besatzung!$B$13&lt;&gt;"",1,0),(K81="x"))*(G81-IFERROR(H81,0))/IFERROR(IF(COUNTIF(J81:U81,"x")=0,COUNTA(Besatzung!$B$11:$B$22),COUNTIF(J81:U81,"x")),1)+IF(COUNTIF(J81:U81,"x")=0,(Besatzung!$F$13="x"),(K81="x")*(Besatzung!$F$13="x"))*IFERROR(H81,0)/IFERROR(IF(COUNTIF(J81:U81,"x")=0,SUMPRODUCT((Besatzung!$B$11:$B$22&lt;&gt;"")*(Besatzung!$F$11:$F$22="x")),SUMPRODUCT((J81:U81="x")*(Besatzung!$F$11:$F$22="x"))),1))))),0))))</f>
        <v/>
      </c>
      <c r="Y81" s="247">
        <f>IF(C81="Gutschrift","",IF(G81="","",IF(Besatzung!$B$14="","",IFERROR(IF(I81="Zeitanteilig",(Besatzung!$G$14*(G81-IFERROR(H81,0))+((Besatzung!$B$14&lt;&gt;"")*IF(B81="",1,(IF(Besatzung!$C$14="",Besatzung!$B$5,Besatzung!$C$14)&lt;=B81)*(IF(Besatzung!$D$14="",Besatzung!$B$6,Besatzung!$D$14)&gt;=B81)))*(Besatzung!$F$14="x")*IFERROR(H81,0)/IFERROR(SUMPRODUCT((Besatzung!$B$11:$B$22&lt;&gt;"")*(Besatzung!$F$11:$F$22="x")*(IF(Besatzung!$C$11:$C$22="",Besatzung!$B$5,Besatzung!$C$11:$C$22)&lt;=B81)*(IF(Besatzung!$D$11:$D$22="",Besatzung!$B$6,Besatzung!$D$11:$D$22)&gt;=B81)),1)),IF(I81="An Bord",(((Besatzung!$B$14&lt;&gt;"")*IF(B81="",1,(IF(Besatzung!$C$14="",Besatzung!$B$5,Besatzung!$C$14)&lt;=B81)*(IF(Besatzung!$D$14="",Besatzung!$B$6,Besatzung!$D$14)&gt;=B81)))*((G81-IFERROR(H81,0))/IFERROR(SUMPRODUCT((Besatzung!$B$11:$B$22&lt;&gt;"")*(IF(Besatzung!$C$11:$C$22="",Besatzung!$B$5,Besatzung!$C$11:$C$22)&lt;=B81)*(IF(Besatzung!$D$11:$D$22="",Besatzung!$B$6,Besatzung!$D$11:$D$22)&gt;=B81)),1)+(Besatzung!$F$14="x")*IFERROR(H81,0)/IFERROR(SUMPRODUCT((Besatzung!$B$11:$B$22&lt;&gt;"")*(Besatzung!$F$11:$F$22="x")*(IF(Besatzung!$C$11:$C$22="",Besatzung!$B$5,Besatzung!$C$11:$C$22)&lt;=B81)*(IF(Besatzung!$D$11:$D$22="",Besatzung!$B$6,Besatzung!$D$11:$D$22)&gt;=B81)),1))),IF(I81="Individuell",((M81="x")*((G81-IFERROR(H81,0))/IFERROR(COUNTIF(J81:U81,"x"),1)+(Besatzung!$F$14="x")*IFERROR(H81,0)/IFERROR(SUMPRODUCT((J81:U81="x")*(Besatzung!$F$11:$F$22="x")),1))),(IF(COUNTIF(J81:U81,"x")=0,IF(Besatzung!$B$14&lt;&gt;"",1,0),(M81="x"))*(G81-IFERROR(H81,0))/IFERROR(IF(COUNTIF(J81:U81,"x")=0,COUNTA(Besatzung!$B$11:$B$22),COUNTIF(J81:U81,"x")),1)+IF(COUNTIF(J81:U81,"x")=0,(Besatzung!$F$14="x"),(M81="x")*(Besatzung!$F$14="x"))*IFERROR(H81,0)/IFERROR(IF(COUNTIF(J81:U81,"x")=0,SUMPRODUCT((Besatzung!$B$11:$B$22&lt;&gt;"")*(Besatzung!$F$11:$F$22="x")),SUMPRODUCT((J81:U81="x")*(Besatzung!$F$11:$F$22="x"))),1))))),0))))</f>
        <v/>
      </c>
      <c r="Z81" s="247">
        <f>IF(C81="Gutschrift","",IF(G81="","",IF(Besatzung!$B$13="","",IFERROR(IF(I81="Zeitanteilig",(Besatzung!$G$15*(G81-IFERROR(H81,0))+((Besatzung!$B$13&lt;&gt;"")*IF(B81="",1,(IF(Besatzung!$C$15="",Besatzung!$B$5,Besatzung!$C$15)&lt;=B81)*(IF(Besatzung!$D$15="",Besatzung!$B$6,Besatzung!$D$15)&gt;=B81)))*(Besatzung!$F$15="x")*IFERROR(H81,0)/IFERROR(SUMPRODUCT((Besatzung!$B$11:$B$22&lt;&gt;"")*(Besatzung!$F$11:$F$22="x")*(IF(Besatzung!$C$11:$C$22="",Besatzung!$B$5,Besatzung!$C$11:$C$22)&lt;=B81)*(IF(Besatzung!$D$11:$D$22="",Besatzung!$B$6,Besatzung!$D$11:$D$22)&gt;=B81)),1)),IF(I81="An Bord",(((Besatzung!$B$13&lt;&gt;"")*IF(B81="",1,(IF(Besatzung!$C$15="",Besatzung!$B$5,Besatzung!$C$15)&lt;=B81)*(IF(Besatzung!$D$15="",Besatzung!$B$6,Besatzung!$D$15)&gt;=B81)))*((G81-IFERROR(H81,0))/IFERROR(SUMPRODUCT((Besatzung!$B$11:$B$22&lt;&gt;"")*(IF(Besatzung!$C$11:$C$22="",Besatzung!$B$5,Besatzung!$C$11:$C$22)&lt;=B81)*(IF(Besatzung!$D$11:$D$22="",Besatzung!$B$6,Besatzung!$D$11:$D$22)&gt;=B81)),1)+(Besatzung!$F$15="x")*IFERROR(H81,0)/IFERROR(SUMPRODUCT((Besatzung!$B$11:$B$22&lt;&gt;"")*(Besatzung!$F$11:$F$22="x")*(IF(Besatzung!$C$11:$C$22="",Besatzung!$B$5,Besatzung!$C$11:$C$22)&lt;=B81)*(IF(Besatzung!$D$11:$D$22="",Besatzung!$B$6,Besatzung!$D$11:$D$22)&gt;=B81)),1))),IF(I81="Individuell",((N81="x")*((G81-IFERROR(H81,0))/IFERROR(COUNTIF(J81:U81,"x"),1)+(Besatzung!$F$15="x")*IFERROR(H81,0)/IFERROR(SUMPRODUCT((J81:U81="x")*(Besatzung!$F$11:$F$22="x")),1))),(IF(COUNTIF(J81:U81,"x")=0,IF(Besatzung!$B$13&lt;&gt;"",1,0),(N81="x"))*(G81-IFERROR(H81,0))/IFERROR(IF(COUNTIF(J81:U81,"x")=0,COUNTA(Besatzung!$B$11:$B$22),COUNTIF(J81:U81,"x")),1)+IF(COUNTIF(J81:U81,"x")=0,(Besatzung!$F$15="x"),(N81="x")*(Besatzung!$F$15="x"))*IFERROR(H81,0)/IFERROR(IF(COUNTIF(J81:U81,"x")=0,SUMPRODUCT((Besatzung!$B$11:$B$22&lt;&gt;"")*(Besatzung!$F$11:$F$22="x")),SUMPRODUCT((J81:U81="x")*(Besatzung!$F$11:$F$22="x"))),1))))),0))))</f>
        <v/>
      </c>
      <c r="AA81" s="247">
        <f>IF(C81="Gutschrift","",IF(G81="","",IF(Besatzung!$B$15="","",IFERROR(IF(I81="Zeitanteilig",(Besatzung!$G$16*(G81-IFERROR(H81,0))+((Besatzung!$B$15&lt;&gt;"")*IF(B81="",1,(IF(Besatzung!$C$16="",Besatzung!$B$5,Besatzung!$C$16)&lt;=B81)*(IF(Besatzung!$D$16="",Besatzung!$B$6,Besatzung!$D$16)&gt;=B81)))*(Besatzung!$F$16="x")*IFERROR(H81,0)/IFERROR(SUMPRODUCT((Besatzung!$B$11:$B$22&lt;&gt;"")*(Besatzung!$F$11:$F$22="x")*(IF(Besatzung!$C$11:$C$22="",Besatzung!$B$5,Besatzung!$C$11:$C$22)&lt;=B81)*(IF(Besatzung!$D$11:$D$22="",Besatzung!$B$6,Besatzung!$D$11:$D$22)&gt;=B81)),1)),IF(I81="An Bord",(((Besatzung!$B$15&lt;&gt;"")*IF(B81="",1,(IF(Besatzung!$C$16="",Besatzung!$B$5,Besatzung!$C$16)&lt;=B81)*(IF(Besatzung!$D$16="",Besatzung!$B$6,Besatzung!$D$16)&gt;=B81)))*((G81-IFERROR(H81,0))/IFERROR(SUMPRODUCT((Besatzung!$B$11:$B$22&lt;&gt;"")*(IF(Besatzung!$C$11:$C$22="",Besatzung!$B$5,Besatzung!$C$11:$C$22)&lt;=B81)*(IF(Besatzung!$D$11:$D$22="",Besatzung!$B$6,Besatzung!$D$11:$D$22)&gt;=B81)),1)+(Besatzung!$F$16="x")*IFERROR(H81,0)/IFERROR(SUMPRODUCT((Besatzung!$B$11:$B$22&lt;&gt;"")*(Besatzung!$F$11:$F$22="x")*(IF(Besatzung!$C$11:$C$22="",Besatzung!$B$5,Besatzung!$C$11:$C$22)&lt;=B81)*(IF(Besatzung!$D$11:$D$22="",Besatzung!$B$6,Besatzung!$D$11:$D$22)&gt;=B81)),1))),IF(I81="Individuell",((O81="x")*((G81-IFERROR(H81,0))/IFERROR(COUNTIF(J81:U81,"x"),1)+(Besatzung!$F$16="x")*IFERROR(H81,0)/IFERROR(SUMPRODUCT((J81:U81="x")*(Besatzung!$F$11:$F$22="x")),1))),(IF(COUNTIF(J81:U81,"x")=0,IF(Besatzung!$B$15&lt;&gt;"",1,0),(O81="x"))*(G81-IFERROR(H81,0))/IFERROR(IF(COUNTIF(J81:U81,"x")=0,COUNTA(Besatzung!$B$11:$B$22),COUNTIF(J81:U81,"x")),1)+IF(COUNTIF(J81:U81,"x")=0,(Besatzung!$F$16="x"),(O81="x")*(Besatzung!$F$16="x"))*IFERROR(H81,0)/IFERROR(IF(COUNTIF(J81:U81,"x")=0,SUMPRODUCT((Besatzung!$B$11:$B$22&lt;&gt;"")*(Besatzung!$F$11:$F$22="x")),SUMPRODUCT((J81:U81="x")*(Besatzung!$F$11:$F$22="x"))),1))))),0))))</f>
        <v/>
      </c>
      <c r="AB81" s="247">
        <f>IF(C81="Gutschrift","",IF(G81="","",IF(Besatzung!$B$17="","",IFERROR(IF(I81="Zeitanteilig",(Besatzung!$G$17*(G81-IFERROR(H81,0))+((Besatzung!$B$17&lt;&gt;"")*IF(B81="",1,(IF(Besatzung!$C$17="",Besatzung!$B$5,Besatzung!$C$17)&lt;=B81)*(IF(Besatzung!$D$17="",Besatzung!$B$6,Besatzung!$D$17)&gt;=B81)))*(Besatzung!$F$17="x")*IFERROR(H81,0)/IFERROR(SUMPRODUCT((Besatzung!$B$11:$B$22&lt;&gt;"")*(Besatzung!$F$11:$F$22="x")*(IF(Besatzung!$C$11:$C$22="",Besatzung!$B$5,Besatzung!$C$11:$C$22)&lt;=B81)*(IF(Besatzung!$D$11:$D$22="",Besatzung!$B$6,Besatzung!$D$11:$D$22)&gt;=B81)),1)),IF(I81="An Bord",(((Besatzung!$B$17&lt;&gt;"")*IF(B81="",1,(IF(Besatzung!$C$17="",Besatzung!$B$5,Besatzung!$C$17)&lt;=B81)*(IF(Besatzung!$D$17="",Besatzung!$B$6,Besatzung!$D$17)&gt;=B81)))*((G81-IFERROR(H81,0))/IFERROR(SUMPRODUCT((Besatzung!$B$11:$B$22&lt;&gt;"")*(IF(Besatzung!$C$11:$C$22="",Besatzung!$B$5,Besatzung!$C$11:$C$22)&lt;=B81)*(IF(Besatzung!$D$11:$D$22="",Besatzung!$B$6,Besatzung!$D$11:$D$22)&gt;=B81)),1)+(Besatzung!$F$17="x")*IFERROR(H81,0)/IFERROR(SUMPRODUCT((Besatzung!$B$11:$B$22&lt;&gt;"")*(Besatzung!$F$11:$F$22="x")*(IF(Besatzung!$C$11:$C$22="",Besatzung!$B$5,Besatzung!$C$11:$C$22)&lt;=B81)*(IF(Besatzung!$D$11:$D$22="",Besatzung!$B$6,Besatzung!$D$11:$D$22)&gt;=B81)),1))),IF(I81="Individuell",((P81="x")*((G81-IFERROR(H81,0))/IFERROR(COUNTIF(J81:U81,"x"),1)+(Besatzung!$F$17="x")*IFERROR(H81,0)/IFERROR(SUMPRODUCT((J81:U81="x")*(Besatzung!$F$11:$F$22="x")),1))),(IF(COUNTIF(J81:U81,"x")=0,IF(Besatzung!$B$17&lt;&gt;"",1,0),(P81="x"))*(G81-IFERROR(H81,0))/IFERROR(IF(COUNTIF(J81:U81,"x")=0,COUNTA(Besatzung!$B$11:$B$22),COUNTIF(J81:U81,"x")),1)+IF(COUNTIF(J81:U81,"x")=0,(Besatzung!$F$17="x"),(P81="x")*(Besatzung!$F$17="x"))*IFERROR(H81,0)/IFERROR(IF(COUNTIF(J81:U81,"x")=0,SUMPRODUCT((Besatzung!$B$11:$B$22&lt;&gt;"")*(Besatzung!$F$11:$F$22="x")),SUMPRODUCT((J81:U81="x")*(Besatzung!$F$11:$F$22="x"))),1))))),0))))</f>
        <v/>
      </c>
      <c r="AC81" s="247">
        <f>IF(C81="Gutschrift","",IF(G81="","",IF(Besatzung!$B$18="","",IFERROR(IF(I81="Zeitanteilig",(Besatzung!$G$18*(G81-IFERROR(H81,0))+((Besatzung!$B$18&lt;&gt;"")*IF(B81="",1,(IF(Besatzung!$C$18="",Besatzung!$B$5,Besatzung!$C$18)&lt;=B81)*(IF(Besatzung!$D$18="",Besatzung!$B$6,Besatzung!$D$18)&gt;=B81)))*(Besatzung!$F$18="x")*IFERROR(H81,0)/IFERROR(SUMPRODUCT((Besatzung!$B$11:$B$22&lt;&gt;"")*(Besatzung!$F$11:$F$22="x")*(IF(Besatzung!$C$11:$C$22="",Besatzung!$B$5,Besatzung!$C$11:$C$22)&lt;=B81)*(IF(Besatzung!$D$11:$D$22="",Besatzung!$B$6,Besatzung!$D$11:$D$22)&gt;=B81)),1)),IF(I81="An Bord",(((Besatzung!$B$18&lt;&gt;"")*IF(B81="",1,(IF(Besatzung!$C$18="",Besatzung!$B$5,Besatzung!$C$18)&lt;=B81)*(IF(Besatzung!$D$18="",Besatzung!$B$6,Besatzung!$D$18)&gt;=B81)))*((G81-IFERROR(H81,0))/IFERROR(SUMPRODUCT((Besatzung!$B$11:$B$22&lt;&gt;"")*(IF(Besatzung!$C$11:$C$22="",Besatzung!$B$5,Besatzung!$C$11:$C$22)&lt;=B81)*(IF(Besatzung!$D$11:$D$22="",Besatzung!$B$6,Besatzung!$D$11:$D$22)&gt;=B81)),1)+(Besatzung!$F$18="x")*IFERROR(H81,0)/IFERROR(SUMPRODUCT((Besatzung!$B$11:$B$22&lt;&gt;"")*(Besatzung!$F$11:$F$22="x")*(IF(Besatzung!$C$11:$C$22="",Besatzung!$B$5,Besatzung!$C$11:$C$22)&lt;=B81)*(IF(Besatzung!$D$11:$D$22="",Besatzung!$B$6,Besatzung!$D$11:$D$22)&gt;=B81)),1))),IF(I81="Individuell",((Q81="x")*((G81-IFERROR(H81,0))/IFERROR(COUNTIF(J81:U81,"x"),1)+(Besatzung!$F$18="x")*IFERROR(H81,0)/IFERROR(SUMPRODUCT((J81:U81="x")*(Besatzung!$F$11:$F$22="x")),1))),(IF(COUNTIF(J81:U81,"x")=0,IF(Besatzung!$B$18&lt;&gt;"",1,0),(Q81="x"))*(G81-IFERROR(H81,0))/IFERROR(IF(COUNTIF(J81:U81,"x")=0,COUNTA(Besatzung!$B$11:$B$22),COUNTIF(J81:U81,"x")),1)+IF(COUNTIF(J81:U81,"x")=0,(Besatzung!$F$18="x"),(Q81="x")*(Besatzung!$F$18="x"))*IFERROR(H81,0)/IFERROR(IF(COUNTIF(J81:U81,"x")=0,SUMPRODUCT((Besatzung!$B$11:$B$22&lt;&gt;"")*(Besatzung!$F$11:$F$22="x")),SUMPRODUCT((J81:U81="x")*(Besatzung!$F$11:$F$22="x"))),1))))),0))))</f>
        <v/>
      </c>
      <c r="AD81" s="247">
        <f>IF(C81="Gutschrift","",IF(G81="","",IF(Besatzung!$B$19="","",IFERROR(IF(I81="Zeitanteilig",(Besatzung!$G$19*(G81-IFERROR(H81,0))+((Besatzung!$B$19&lt;&gt;"")*IF(B81="",1,(IF(Besatzung!$C$19="",Besatzung!$B$5,Besatzung!$C$19)&lt;=B81)*(IF(Besatzung!$D$19="",Besatzung!$B$6,Besatzung!$D$19)&gt;=B81)))*(Besatzung!$F$19="x")*IFERROR(H81,0)/IFERROR(SUMPRODUCT((Besatzung!$B$11:$B$22&lt;&gt;"")*(Besatzung!$F$11:$F$22="x")*(IF(Besatzung!$C$11:$C$22="",Besatzung!$B$5,Besatzung!$C$11:$C$22)&lt;=B81)*(IF(Besatzung!$D$11:$D$22="",Besatzung!$B$6,Besatzung!$D$11:$D$22)&gt;=B81)),1)),IF(I81="An Bord",(((Besatzung!$B$19&lt;&gt;"")*IF(B81="",1,(IF(Besatzung!$C$19="",Besatzung!$B$5,Besatzung!$C$19)&lt;=B81)*(IF(Besatzung!$D$19="",Besatzung!$B$6,Besatzung!$D$19)&gt;=B81)))*((G81-IFERROR(H81,0))/IFERROR(SUMPRODUCT((Besatzung!$B$11:$B$22&lt;&gt;"")*(IF(Besatzung!$C$11:$C$22="",Besatzung!$B$5,Besatzung!$C$11:$C$22)&lt;=B81)*(IF(Besatzung!$D$11:$D$22="",Besatzung!$B$6,Besatzung!$D$11:$D$22)&gt;=B81)),1)+(Besatzung!$F$19="x")*IFERROR(H81,0)/IFERROR(SUMPRODUCT((Besatzung!$B$11:$B$22&lt;&gt;"")*(Besatzung!$F$11:$F$22="x")*(IF(Besatzung!$C$11:$C$22="",Besatzung!$B$5,Besatzung!$C$11:$C$22)&lt;=B81)*(IF(Besatzung!$D$11:$D$22="",Besatzung!$B$6,Besatzung!$D$11:$D$22)&gt;=B81)),1))),IF(I81="Individuell",((R81="x")*((G81-IFERROR(H81,0))/IFERROR(COUNTIF(J81:U81,"x"),1)+(Besatzung!$F$19="x")*IFERROR(H81,0)/IFERROR(SUMPRODUCT((J81:U81="x")*(Besatzung!$F$11:$F$22="x")),1))),(IF(COUNTIF(J81:U81,"x")=0,IF(Besatzung!$B$19&lt;&gt;"",1,0),(R81="x"))*(G81-IFERROR(H81,0))/IFERROR(IF(COUNTIF(J81:U81,"x")=0,COUNTA(Besatzung!$B$11:$B$22),COUNTIF(J81:U81,"x")),1)+IF(COUNTIF(J81:U81,"x")=0,(Besatzung!$F$19="x"),(R81="x")*(Besatzung!$F$19="x"))*IFERROR(H81,0)/IFERROR(IF(COUNTIF(J81:U81,"x")=0,SUMPRODUCT((Besatzung!$B$11:$B$22&lt;&gt;"")*(Besatzung!$F$11:$F$22="x")),SUMPRODUCT((J81:U81="x")*(Besatzung!$F$11:$F$22="x"))),1))))),0))))</f>
        <v/>
      </c>
      <c r="AE81" s="247">
        <f>IF(C81="Gutschrift","",IF(G81="","",IF(Besatzung!$B$20="","",IFERROR(IF(I81="Zeitanteilig",(Besatzung!$G$20*(G81-IFERROR(H81,0))+((Besatzung!$B$20&lt;&gt;"")*IF(B81="",1,(IF(Besatzung!$C$20="",Besatzung!$B$5,Besatzung!$C$20)&lt;=B81)*(IF(Besatzung!$D$20="",Besatzung!$B$6,Besatzung!$D$20)&gt;=B81)))*(Besatzung!$F$20="x")*IFERROR(H81,0)/IFERROR(SUMPRODUCT((Besatzung!$B$11:$B$22&lt;&gt;"")*(Besatzung!$F$11:$F$22="x")*(IF(Besatzung!$C$11:$C$22="",Besatzung!$B$5,Besatzung!$C$11:$C$22)&lt;=B81)*(IF(Besatzung!$D$11:$D$22="",Besatzung!$B$6,Besatzung!$D$11:$D$22)&gt;=B81)),1)),IF(I81="An Bord",(((Besatzung!$B$20&lt;&gt;"")*IF(B81="",1,(IF(Besatzung!$C$20="",Besatzung!$B$5,Besatzung!$C$20)&lt;=B81)*(IF(Besatzung!$D$20="",Besatzung!$B$6,Besatzung!$D$20)&gt;=B81)))*((G81-IFERROR(H81,0))/IFERROR(SUMPRODUCT((Besatzung!$B$11:$B$22&lt;&gt;"")*(IF(Besatzung!$C$11:$C$22="",Besatzung!$B$5,Besatzung!$C$11:$C$22)&lt;=B81)*(IF(Besatzung!$D$11:$D$22="",Besatzung!$B$6,Besatzung!$D$11:$D$22)&gt;=B81)),1)+(Besatzung!$F$20="x")*IFERROR(H81,0)/IFERROR(SUMPRODUCT((Besatzung!$B$11:$B$22&lt;&gt;"")*(Besatzung!$F$11:$F$22="x")*(IF(Besatzung!$C$11:$C$22="",Besatzung!$B$5,Besatzung!$C$11:$C$22)&lt;=B81)*(IF(Besatzung!$D$11:$D$22="",Besatzung!$B$6,Besatzung!$D$11:$D$22)&gt;=B81)),1))),IF(I81="Individuell",((S81="x")*((G81-IFERROR(H81,0))/IFERROR(COUNTIF(J81:U81,"x"),1)+(Besatzung!$F$20="x")*IFERROR(H81,0)/IFERROR(SUMPRODUCT((J81:U81="x")*(Besatzung!$F$11:$F$22="x")),1))),(IF(COUNTIF(J81:U81,"x")=0,IF(Besatzung!$B$20&lt;&gt;"",1,0),(S81="x"))*(G81-IFERROR(H81,0))/IFERROR(IF(COUNTIF(J81:U81,"x")=0,COUNTA(Besatzung!$B$11:$B$22),COUNTIF(J81:U81,"x")),1)+IF(COUNTIF(J81:U81,"x")=0,(Besatzung!$F$20="x"),(S81="x")*(Besatzung!$F$20="x"))*IFERROR(H81,0)/IFERROR(IF(COUNTIF(J81:U81,"x")=0,SUMPRODUCT((Besatzung!$B$11:$B$22&lt;&gt;"")*(Besatzung!$F$11:$F$22="x")),SUMPRODUCT((J81:U81="x")*(Besatzung!$F$11:$F$22="x"))),1))))),0))))</f>
        <v/>
      </c>
      <c r="AF81" s="247">
        <f>IF(C81="Gutschrift","",IF(G81="","",IF(Besatzung!$B$21="","",IFERROR(IF(I81="Zeitanteilig",(Besatzung!$G$21*(G81-IFERROR(H81,0))+((Besatzung!$B$21&lt;&gt;"")*IF(B81="",1,(IF(Besatzung!$C$21="",Besatzung!$B$5,Besatzung!$C$21)&lt;=B81)*(IF(Besatzung!$D$21="",Besatzung!$B$6,Besatzung!$D$21)&gt;=B81)))*(Besatzung!$F$21="x")*IFERROR(H81,0)/IFERROR(SUMPRODUCT((Besatzung!$B$11:$B$22&lt;&gt;"")*(Besatzung!$F$11:$F$22="x")*(IF(Besatzung!$C$11:$C$22="",Besatzung!$B$5,Besatzung!$C$11:$C$22)&lt;=B81)*(IF(Besatzung!$D$11:$D$22="",Besatzung!$B$6,Besatzung!$D$11:$D$22)&gt;=B81)),1)),IF(I81="An Bord",(((Besatzung!$B$21&lt;&gt;"")*IF(B81="",1,(IF(Besatzung!$C$21="",Besatzung!$B$5,Besatzung!$C$21)&lt;=B81)*(IF(Besatzung!$D$21="",Besatzung!$B$6,Besatzung!$D$21)&gt;=B81)))*((G81-IFERROR(H81,0))/IFERROR(SUMPRODUCT((Besatzung!$B$11:$B$22&lt;&gt;"")*(IF(Besatzung!$C$11:$C$22="",Besatzung!$B$5,Besatzung!$C$11:$C$22)&lt;=B81)*(IF(Besatzung!$D$11:$D$22="",Besatzung!$B$6,Besatzung!$D$11:$D$22)&gt;=B81)),1)+(Besatzung!$F$21="x")*IFERROR(H81,0)/IFERROR(SUMPRODUCT((Besatzung!$B$11:$B$22&lt;&gt;"")*(Besatzung!$F$11:$F$22="x")*(IF(Besatzung!$C$11:$C$22="",Besatzung!$B$5,Besatzung!$C$11:$C$22)&lt;=B81)*(IF(Besatzung!$D$11:$D$22="",Besatzung!$B$6,Besatzung!$D$11:$D$22)&gt;=B81)),1))),IF(I81="Individuell",((T81="x")*((G81-IFERROR(H81,0))/IFERROR(COUNTIF(J81:U81,"x"),1)+(Besatzung!$F$21="x")*IFERROR(H81,0)/IFERROR(SUMPRODUCT((J81:U81="x")*(Besatzung!$F$11:$F$22="x")),1))),(IF(COUNTIF(J81:U81,"x")=0,IF(Besatzung!$B$21&lt;&gt;"",1,0),(T81="x"))*(G81-IFERROR(H81,0))/IFERROR(IF(COUNTIF(J81:U81,"x")=0,COUNTA(Besatzung!$B$11:$B$22),COUNTIF(J81:U81,"x")),1)+IF(COUNTIF(J81:U81,"x")=0,(Besatzung!$F$21="x"),(T81="x")*(Besatzung!$F$21="x"))*IFERROR(H81,0)/IFERROR(IF(COUNTIF(J81:U81,"x")=0,SUMPRODUCT((Besatzung!$B$11:$B$22&lt;&gt;"")*(Besatzung!$F$11:$F$22="x")),SUMPRODUCT((J81:U81="x")*(Besatzung!$F$11:$F$22="x"))),1))))),0))))</f>
        <v/>
      </c>
      <c r="AG81" s="247">
        <f>IF(C81="Gutschrift","",IF(G81="","",IF(Besatzung!$B$22="","",IFERROR(IF(I81="Zeitanteilig",(Besatzung!$G$22*(G81-IFERROR(H81,0))+((Besatzung!$B$22&lt;&gt;"")*IF(B81="",1,(IF(Besatzung!$C$22="",Besatzung!$B$5,Besatzung!$C$22)&lt;=B81)*(IF(Besatzung!$D$22="",Besatzung!$B$6,Besatzung!$D$22)&gt;=B81)))*(Besatzung!$F$22="x")*IFERROR(H81,0)/IFERROR(SUMPRODUCT((Besatzung!$B$11:$B$22&lt;&gt;"")*(Besatzung!$F$11:$F$22="x")*(IF(Besatzung!$C$11:$C$22="",Besatzung!$B$5,Besatzung!$C$11:$C$22)&lt;=B81)*(IF(Besatzung!$D$11:$D$22="",Besatzung!$B$6,Besatzung!$D$11:$D$22)&gt;=B81)),1)),IF(I81="An Bord",(((Besatzung!$B$22&lt;&gt;"")*IF(B81="",1,(IF(Besatzung!$C$22="",Besatzung!$B$5,Besatzung!$C$22)&lt;=B81)*(IF(Besatzung!$D$22="",Besatzung!$B$6,Besatzung!$D$22)&gt;=B81)))*((G81-IFERROR(H81,0))/IFERROR(SUMPRODUCT((Besatzung!$B$11:$B$22&lt;&gt;"")*(IF(Besatzung!$C$11:$C$22="",Besatzung!$B$5,Besatzung!$C$11:$C$22)&lt;=B81)*(IF(Besatzung!$D$11:$D$22="",Besatzung!$B$6,Besatzung!$D$11:$D$22)&gt;=B81)),1)+(Besatzung!$F$22="x")*IFERROR(H81,0)/IFERROR(SUMPRODUCT((Besatzung!$B$11:$B$22&lt;&gt;"")*(Besatzung!$F$11:$F$22="x")*(IF(Besatzung!$C$11:$C$22="",Besatzung!$B$5,Besatzung!$C$11:$C$22)&lt;=B81)*(IF(Besatzung!$D$11:$D$22="",Besatzung!$B$6,Besatzung!$D$11:$D$22)&gt;=B81)),1))),IF(I81="Individuell",((U81="x")*((G81-IFERROR(H81,0))/IFERROR(COUNTIF(J81:U81,"x"),1)+(Besatzung!$F$22="x")*IFERROR(H81,0)/IFERROR(SUMPRODUCT((J81:U81="x")*(Besatzung!$F$11:$F$22="x")),1))),(IF(COUNTIF(J81:U81,"x")=0,IF(Besatzung!$B$22&lt;&gt;"",1,0),(U81="x"))*(G81-IFERROR(H81,0))/IFERROR(IF(COUNTIF(J81:U81,"x")=0,COUNTA(Besatzung!$B$11:$B$22),COUNTIF(J81:U81,"x")),1)+IF(COUNTIF(J81:U81,"x")=0,(Besatzung!$F$22="x"),(U81="x")*(Besatzung!$F$22="x"))*IFERROR(H81,0)/IFERROR(IF(COUNTIF(J81:U81,"x")=0,SUMPRODUCT((Besatzung!$B$11:$B$22&lt;&gt;"")*(Besatzung!$F$11:$F$22="x")),SUMPRODUCT((J81:U81="x")*(Besatzung!$F$11:$F$22="x"))),1))))),0))))</f>
        <v/>
      </c>
      <c r="AH81" s="248" t="n"/>
      <c r="AI81" s="248" t="n"/>
    </row>
    <row r="82" ht="21.75" customHeight="1" s="154">
      <c r="A82" s="238">
        <f>IF(AND(D82="",C82=""),"",79)</f>
        <v/>
      </c>
      <c r="B82" s="199" t="n"/>
      <c r="C82" s="239" t="n"/>
      <c r="D82" s="240" t="n"/>
      <c r="E82" s="241" t="n"/>
      <c r="F82" s="242" t="n"/>
      <c r="G82" s="243" t="n"/>
      <c r="H82" s="244" t="n"/>
      <c r="I82" s="245" t="n"/>
      <c r="J82" s="246" t="n"/>
      <c r="K82" s="246" t="n"/>
      <c r="L82" s="246" t="n"/>
      <c r="M82" s="246" t="n"/>
      <c r="N82" s="246" t="n"/>
      <c r="O82" s="246" t="n"/>
      <c r="P82" s="246" t="n"/>
      <c r="Q82" s="246" t="n"/>
      <c r="R82" s="246" t="n"/>
      <c r="S82" s="246" t="n"/>
      <c r="T82" s="246" t="n"/>
      <c r="U82" s="246" t="n"/>
      <c r="V82" s="247">
        <f>IF(C82="Gutschrift","",IF(G82="","",IF(Besatzung!$B$11="","",IFERROR(IF(I82="Zeitanteilig",(Besatzung!$G$11*(G82-IFERROR(H82,0))+((Besatzung!$B$11&lt;&gt;"")*IF(B82="",1,(IF(Besatzung!$C$11="",Besatzung!$B$5,Besatzung!$C$11)&lt;=B82)*(IF(Besatzung!$D$11="",Besatzung!$B$6,Besatzung!$D$11)&gt;=B82)))*(Besatzung!$F$11="x")*IFERROR(H82,0)/IFERROR(SUMPRODUCT((Besatzung!$B$11:$B$22&lt;&gt;"")*(Besatzung!$F$11:$F$22="x")*(IF(Besatzung!$C$11:$C$22="",Besatzung!$B$5,Besatzung!$C$11:$C$22)&lt;=B82)*(IF(Besatzung!$D$11:$D$22="",Besatzung!$B$6,Besatzung!$D$11:$D$22)&gt;=B82)),1)),IF(I82="An Bord",(((Besatzung!$B$11&lt;&gt;"")*IF(B82="",1,(IF(Besatzung!$C$11="",Besatzung!$B$5,Besatzung!$C$11)&lt;=B82)*(IF(Besatzung!$D$11="",Besatzung!$B$6,Besatzung!$D$11)&gt;=B82)))*((G82-IFERROR(H82,0))/IFERROR(SUMPRODUCT((Besatzung!$B$11:$B$22&lt;&gt;"")*(IF(Besatzung!$C$11:$C$22="",Besatzung!$B$5,Besatzung!$C$11:$C$22)&lt;=B82)*(IF(Besatzung!$D$11:$D$22="",Besatzung!$B$6,Besatzung!$D$11:$D$22)&gt;=B82)),1)+(Besatzung!$F$11="x")*IFERROR(H82,0)/IFERROR(SUMPRODUCT((Besatzung!$B$11:$B$22&lt;&gt;"")*(Besatzung!$F$11:$F$22="x")*(IF(Besatzung!$C$11:$C$22="",Besatzung!$B$5,Besatzung!$C$11:$C$22)&lt;=B82)*(IF(Besatzung!$D$11:$D$22="",Besatzung!$B$6,Besatzung!$D$11:$D$22)&gt;=B82)),1))),IF(I82="Individuell",((J82="x")*((G82-IFERROR(H82,0))/IFERROR(COUNTIF(J82:U82,"x"),1)+(Besatzung!$F$11="x")*IFERROR(H82,0)/IFERROR(SUMPRODUCT((J82:U82="x")*(Besatzung!$F$11:$F$22="x")),1))),(IF(COUNTIF(J82:U82,"x")=0,IF(Besatzung!$B$11&lt;&gt;"",1,0),(J82="x"))*(G82-IFERROR(H82,0))/IFERROR(IF(COUNTIF(J82:U82,"x")=0,COUNTA(Besatzung!$B$11:$B$22),COUNTIF(J82:U82,"x")),1)+IF(COUNTIF(J82:U82,"x")=0,(Besatzung!$F$11="x"),(J82="x")*(Besatzung!$F$11="x"))*IFERROR(H82,0)/IFERROR(IF(COUNTIF(J82:U82,"x")=0,SUMPRODUCT((Besatzung!$B$11:$B$22&lt;&gt;"")*(Besatzung!$F$11:$F$22="x")),SUMPRODUCT((J82:U82="x")*(Besatzung!$F$11:$F$22="x"))),1))))),0))))</f>
        <v/>
      </c>
      <c r="W82" s="247">
        <f>IF(C82="Gutschrift","",IF(G82="","",IF(Besatzung!$B$12="","",IFERROR(IF(I82="Zeitanteilig",(Besatzung!$G$12*(G82-IFERROR(H82,0))+((Besatzung!$B$12&lt;&gt;"")*IF(B82="",1,(IF(Besatzung!$C$12="",Besatzung!$B$5,Besatzung!$C$12)&lt;=B82)*(IF(Besatzung!$D$12="",Besatzung!$B$6,Besatzung!$D$12)&gt;=B82)))*(Besatzung!$F$12="x")*IFERROR(H82,0)/IFERROR(SUMPRODUCT((Besatzung!$B$11:$B$22&lt;&gt;"")*(Besatzung!$F$11:$F$22="x")*(IF(Besatzung!$C$11:$C$22="",Besatzung!$B$5,Besatzung!$C$11:$C$22)&lt;=B82)*(IF(Besatzung!$D$11:$D$22="",Besatzung!$B$6,Besatzung!$D$11:$D$22)&gt;=B82)),1)),IF(I82="An Bord",(((Besatzung!$B$12&lt;&gt;"")*IF(B82="",1,(IF(Besatzung!$C$12="",Besatzung!$B$5,Besatzung!$C$12)&lt;=B82)*(IF(Besatzung!$D$12="",Besatzung!$B$6,Besatzung!$D$12)&gt;=B82)))*((G82-IFERROR(H82,0))/IFERROR(SUMPRODUCT((Besatzung!$B$11:$B$22&lt;&gt;"")*(IF(Besatzung!$C$11:$C$22="",Besatzung!$B$5,Besatzung!$C$11:$C$22)&lt;=B82)*(IF(Besatzung!$D$11:$D$22="",Besatzung!$B$6,Besatzung!$D$11:$D$22)&gt;=B82)),1)+(Besatzung!$F$12="x")*IFERROR(H82,0)/IFERROR(SUMPRODUCT((Besatzung!$B$11:$B$22&lt;&gt;"")*(Besatzung!$F$11:$F$22="x")*(IF(Besatzung!$C$11:$C$22="",Besatzung!$B$5,Besatzung!$C$11:$C$22)&lt;=B82)*(IF(Besatzung!$D$11:$D$22="",Besatzung!$B$6,Besatzung!$D$11:$D$22)&gt;=B82)),1))),IF(I82="Individuell",((K82="x")*((G82-IFERROR(H82,0))/IFERROR(COUNTIF(J82:U82,"x"),1)+(Besatzung!$F$12="x")*IFERROR(H82,0)/IFERROR(SUMPRODUCT((J82:U82="x")*(Besatzung!$F$11:$F$22="x")),1))),(IF(COUNTIF(J82:U82,"x")=0,IF(Besatzung!$B$12&lt;&gt;"",1,0),(K82="x"))*(G82-IFERROR(H82,0))/IFERROR(IF(COUNTIF(J82:U82,"x")=0,COUNTA(Besatzung!$B$11:$B$22),COUNTIF(J82:U82,"x")),1)+IF(COUNTIF(J82:U82,"x")=0,(Besatzung!$F$12="x"),(K82="x")*(Besatzung!$F$12="x"))*IFERROR(H82,0)/IFERROR(IF(COUNTIF(J82:U82,"x")=0,SUMPRODUCT((Besatzung!$B$11:$B$22&lt;&gt;"")*(Besatzung!$F$11:$F$22="x")),SUMPRODUCT((J82:U82="x")*(Besatzung!$F$11:$F$22="x"))),1))))),0))))</f>
        <v/>
      </c>
      <c r="X82" s="247">
        <f>IF(C82="Gutschrift","",IF(G82="","",IF(Besatzung!$B$13="","",IFERROR(IF(I82="Zeitanteilig",(Besatzung!$G$13*(G82-IFERROR(H82,0))+((Besatzung!$B$13&lt;&gt;"")*IF(B82="",1,(IF(Besatzung!$C$13="",Besatzung!$B$5,Besatzung!$C$13)&lt;=B82)*(IF(Besatzung!$D$13="",Besatzung!$B$6,Besatzung!$D$13)&gt;=B82)))*(Besatzung!$F$13="x")*IFERROR(H82,0)/IFERROR(SUMPRODUCT((Besatzung!$B$11:$B$22&lt;&gt;"")*(Besatzung!$F$11:$F$22="x")*(IF(Besatzung!$C$11:$C$22="",Besatzung!$B$5,Besatzung!$C$11:$C$22)&lt;=B82)*(IF(Besatzung!$D$11:$D$22="",Besatzung!$B$6,Besatzung!$D$11:$D$22)&gt;=B82)),1)),IF(I82="An Bord",(((Besatzung!$B$13&lt;&gt;"")*IF(B82="",1,(IF(Besatzung!$C$13="",Besatzung!$B$5,Besatzung!$C$13)&lt;=B82)*(IF(Besatzung!$D$13="",Besatzung!$B$6,Besatzung!$D$13)&gt;=B82)))*((G82-IFERROR(H82,0))/IFERROR(SUMPRODUCT((Besatzung!$B$11:$B$22&lt;&gt;"")*(IF(Besatzung!$C$11:$C$22="",Besatzung!$B$5,Besatzung!$C$11:$C$22)&lt;=B82)*(IF(Besatzung!$D$11:$D$22="",Besatzung!$B$6,Besatzung!$D$11:$D$22)&gt;=B82)),1)+(Besatzung!$F$13="x")*IFERROR(H82,0)/IFERROR(SUMPRODUCT((Besatzung!$B$11:$B$22&lt;&gt;"")*(Besatzung!$F$11:$F$22="x")*(IF(Besatzung!$C$11:$C$22="",Besatzung!$B$5,Besatzung!$C$11:$C$22)&lt;=B82)*(IF(Besatzung!$D$11:$D$22="",Besatzung!$B$6,Besatzung!$D$11:$D$22)&gt;=B82)),1))),IF(I82="Individuell",((K82="x")*((G82-IFERROR(H82,0))/IFERROR(COUNTIF(J82:U82,"x"),1)+(Besatzung!$F$13="x")*IFERROR(H82,0)/IFERROR(SUMPRODUCT((J82:U82="x")*(Besatzung!$F$11:$F$22="x")),1))),(IF(COUNTIF(J82:U82,"x")=0,IF(Besatzung!$B$13&lt;&gt;"",1,0),(K82="x"))*(G82-IFERROR(H82,0))/IFERROR(IF(COUNTIF(J82:U82,"x")=0,COUNTA(Besatzung!$B$11:$B$22),COUNTIF(J82:U82,"x")),1)+IF(COUNTIF(J82:U82,"x")=0,(Besatzung!$F$13="x"),(K82="x")*(Besatzung!$F$13="x"))*IFERROR(H82,0)/IFERROR(IF(COUNTIF(J82:U82,"x")=0,SUMPRODUCT((Besatzung!$B$11:$B$22&lt;&gt;"")*(Besatzung!$F$11:$F$22="x")),SUMPRODUCT((J82:U82="x")*(Besatzung!$F$11:$F$22="x"))),1))))),0))))</f>
        <v/>
      </c>
      <c r="Y82" s="247">
        <f>IF(C82="Gutschrift","",IF(G82="","",IF(Besatzung!$B$14="","",IFERROR(IF(I82="Zeitanteilig",(Besatzung!$G$14*(G82-IFERROR(H82,0))+((Besatzung!$B$14&lt;&gt;"")*IF(B82="",1,(IF(Besatzung!$C$14="",Besatzung!$B$5,Besatzung!$C$14)&lt;=B82)*(IF(Besatzung!$D$14="",Besatzung!$B$6,Besatzung!$D$14)&gt;=B82)))*(Besatzung!$F$14="x")*IFERROR(H82,0)/IFERROR(SUMPRODUCT((Besatzung!$B$11:$B$22&lt;&gt;"")*(Besatzung!$F$11:$F$22="x")*(IF(Besatzung!$C$11:$C$22="",Besatzung!$B$5,Besatzung!$C$11:$C$22)&lt;=B82)*(IF(Besatzung!$D$11:$D$22="",Besatzung!$B$6,Besatzung!$D$11:$D$22)&gt;=B82)),1)),IF(I82="An Bord",(((Besatzung!$B$14&lt;&gt;"")*IF(B82="",1,(IF(Besatzung!$C$14="",Besatzung!$B$5,Besatzung!$C$14)&lt;=B82)*(IF(Besatzung!$D$14="",Besatzung!$B$6,Besatzung!$D$14)&gt;=B82)))*((G82-IFERROR(H82,0))/IFERROR(SUMPRODUCT((Besatzung!$B$11:$B$22&lt;&gt;"")*(IF(Besatzung!$C$11:$C$22="",Besatzung!$B$5,Besatzung!$C$11:$C$22)&lt;=B82)*(IF(Besatzung!$D$11:$D$22="",Besatzung!$B$6,Besatzung!$D$11:$D$22)&gt;=B82)),1)+(Besatzung!$F$14="x")*IFERROR(H82,0)/IFERROR(SUMPRODUCT((Besatzung!$B$11:$B$22&lt;&gt;"")*(Besatzung!$F$11:$F$22="x")*(IF(Besatzung!$C$11:$C$22="",Besatzung!$B$5,Besatzung!$C$11:$C$22)&lt;=B82)*(IF(Besatzung!$D$11:$D$22="",Besatzung!$B$6,Besatzung!$D$11:$D$22)&gt;=B82)),1))),IF(I82="Individuell",((M82="x")*((G82-IFERROR(H82,0))/IFERROR(COUNTIF(J82:U82,"x"),1)+(Besatzung!$F$14="x")*IFERROR(H82,0)/IFERROR(SUMPRODUCT((J82:U82="x")*(Besatzung!$F$11:$F$22="x")),1))),(IF(COUNTIF(J82:U82,"x")=0,IF(Besatzung!$B$14&lt;&gt;"",1,0),(M82="x"))*(G82-IFERROR(H82,0))/IFERROR(IF(COUNTIF(J82:U82,"x")=0,COUNTA(Besatzung!$B$11:$B$22),COUNTIF(J82:U82,"x")),1)+IF(COUNTIF(J82:U82,"x")=0,(Besatzung!$F$14="x"),(M82="x")*(Besatzung!$F$14="x"))*IFERROR(H82,0)/IFERROR(IF(COUNTIF(J82:U82,"x")=0,SUMPRODUCT((Besatzung!$B$11:$B$22&lt;&gt;"")*(Besatzung!$F$11:$F$22="x")),SUMPRODUCT((J82:U82="x")*(Besatzung!$F$11:$F$22="x"))),1))))),0))))</f>
        <v/>
      </c>
      <c r="Z82" s="247">
        <f>IF(C82="Gutschrift","",IF(G82="","",IF(Besatzung!$B$13="","",IFERROR(IF(I82="Zeitanteilig",(Besatzung!$G$15*(G82-IFERROR(H82,0))+((Besatzung!$B$13&lt;&gt;"")*IF(B82="",1,(IF(Besatzung!$C$15="",Besatzung!$B$5,Besatzung!$C$15)&lt;=B82)*(IF(Besatzung!$D$15="",Besatzung!$B$6,Besatzung!$D$15)&gt;=B82)))*(Besatzung!$F$15="x")*IFERROR(H82,0)/IFERROR(SUMPRODUCT((Besatzung!$B$11:$B$22&lt;&gt;"")*(Besatzung!$F$11:$F$22="x")*(IF(Besatzung!$C$11:$C$22="",Besatzung!$B$5,Besatzung!$C$11:$C$22)&lt;=B82)*(IF(Besatzung!$D$11:$D$22="",Besatzung!$B$6,Besatzung!$D$11:$D$22)&gt;=B82)),1)),IF(I82="An Bord",(((Besatzung!$B$13&lt;&gt;"")*IF(B82="",1,(IF(Besatzung!$C$15="",Besatzung!$B$5,Besatzung!$C$15)&lt;=B82)*(IF(Besatzung!$D$15="",Besatzung!$B$6,Besatzung!$D$15)&gt;=B82)))*((G82-IFERROR(H82,0))/IFERROR(SUMPRODUCT((Besatzung!$B$11:$B$22&lt;&gt;"")*(IF(Besatzung!$C$11:$C$22="",Besatzung!$B$5,Besatzung!$C$11:$C$22)&lt;=B82)*(IF(Besatzung!$D$11:$D$22="",Besatzung!$B$6,Besatzung!$D$11:$D$22)&gt;=B82)),1)+(Besatzung!$F$15="x")*IFERROR(H82,0)/IFERROR(SUMPRODUCT((Besatzung!$B$11:$B$22&lt;&gt;"")*(Besatzung!$F$11:$F$22="x")*(IF(Besatzung!$C$11:$C$22="",Besatzung!$B$5,Besatzung!$C$11:$C$22)&lt;=B82)*(IF(Besatzung!$D$11:$D$22="",Besatzung!$B$6,Besatzung!$D$11:$D$22)&gt;=B82)),1))),IF(I82="Individuell",((N82="x")*((G82-IFERROR(H82,0))/IFERROR(COUNTIF(J82:U82,"x"),1)+(Besatzung!$F$15="x")*IFERROR(H82,0)/IFERROR(SUMPRODUCT((J82:U82="x")*(Besatzung!$F$11:$F$22="x")),1))),(IF(COUNTIF(J82:U82,"x")=0,IF(Besatzung!$B$13&lt;&gt;"",1,0),(N82="x"))*(G82-IFERROR(H82,0))/IFERROR(IF(COUNTIF(J82:U82,"x")=0,COUNTA(Besatzung!$B$11:$B$22),COUNTIF(J82:U82,"x")),1)+IF(COUNTIF(J82:U82,"x")=0,(Besatzung!$F$15="x"),(N82="x")*(Besatzung!$F$15="x"))*IFERROR(H82,0)/IFERROR(IF(COUNTIF(J82:U82,"x")=0,SUMPRODUCT((Besatzung!$B$11:$B$22&lt;&gt;"")*(Besatzung!$F$11:$F$22="x")),SUMPRODUCT((J82:U82="x")*(Besatzung!$F$11:$F$22="x"))),1))))),0))))</f>
        <v/>
      </c>
      <c r="AA82" s="247">
        <f>IF(C82="Gutschrift","",IF(G82="","",IF(Besatzung!$B$15="","",IFERROR(IF(I82="Zeitanteilig",(Besatzung!$G$16*(G82-IFERROR(H82,0))+((Besatzung!$B$15&lt;&gt;"")*IF(B82="",1,(IF(Besatzung!$C$16="",Besatzung!$B$5,Besatzung!$C$16)&lt;=B82)*(IF(Besatzung!$D$16="",Besatzung!$B$6,Besatzung!$D$16)&gt;=B82)))*(Besatzung!$F$16="x")*IFERROR(H82,0)/IFERROR(SUMPRODUCT((Besatzung!$B$11:$B$22&lt;&gt;"")*(Besatzung!$F$11:$F$22="x")*(IF(Besatzung!$C$11:$C$22="",Besatzung!$B$5,Besatzung!$C$11:$C$22)&lt;=B82)*(IF(Besatzung!$D$11:$D$22="",Besatzung!$B$6,Besatzung!$D$11:$D$22)&gt;=B82)),1)),IF(I82="An Bord",(((Besatzung!$B$15&lt;&gt;"")*IF(B82="",1,(IF(Besatzung!$C$16="",Besatzung!$B$5,Besatzung!$C$16)&lt;=B82)*(IF(Besatzung!$D$16="",Besatzung!$B$6,Besatzung!$D$16)&gt;=B82)))*((G82-IFERROR(H82,0))/IFERROR(SUMPRODUCT((Besatzung!$B$11:$B$22&lt;&gt;"")*(IF(Besatzung!$C$11:$C$22="",Besatzung!$B$5,Besatzung!$C$11:$C$22)&lt;=B82)*(IF(Besatzung!$D$11:$D$22="",Besatzung!$B$6,Besatzung!$D$11:$D$22)&gt;=B82)),1)+(Besatzung!$F$16="x")*IFERROR(H82,0)/IFERROR(SUMPRODUCT((Besatzung!$B$11:$B$22&lt;&gt;"")*(Besatzung!$F$11:$F$22="x")*(IF(Besatzung!$C$11:$C$22="",Besatzung!$B$5,Besatzung!$C$11:$C$22)&lt;=B82)*(IF(Besatzung!$D$11:$D$22="",Besatzung!$B$6,Besatzung!$D$11:$D$22)&gt;=B82)),1))),IF(I82="Individuell",((O82="x")*((G82-IFERROR(H82,0))/IFERROR(COUNTIF(J82:U82,"x"),1)+(Besatzung!$F$16="x")*IFERROR(H82,0)/IFERROR(SUMPRODUCT((J82:U82="x")*(Besatzung!$F$11:$F$22="x")),1))),(IF(COUNTIF(J82:U82,"x")=0,IF(Besatzung!$B$15&lt;&gt;"",1,0),(O82="x"))*(G82-IFERROR(H82,0))/IFERROR(IF(COUNTIF(J82:U82,"x")=0,COUNTA(Besatzung!$B$11:$B$22),COUNTIF(J82:U82,"x")),1)+IF(COUNTIF(J82:U82,"x")=0,(Besatzung!$F$16="x"),(O82="x")*(Besatzung!$F$16="x"))*IFERROR(H82,0)/IFERROR(IF(COUNTIF(J82:U82,"x")=0,SUMPRODUCT((Besatzung!$B$11:$B$22&lt;&gt;"")*(Besatzung!$F$11:$F$22="x")),SUMPRODUCT((J82:U82="x")*(Besatzung!$F$11:$F$22="x"))),1))))),0))))</f>
        <v/>
      </c>
      <c r="AB82" s="247">
        <f>IF(C82="Gutschrift","",IF(G82="","",IF(Besatzung!$B$17="","",IFERROR(IF(I82="Zeitanteilig",(Besatzung!$G$17*(G82-IFERROR(H82,0))+((Besatzung!$B$17&lt;&gt;"")*IF(B82="",1,(IF(Besatzung!$C$17="",Besatzung!$B$5,Besatzung!$C$17)&lt;=B82)*(IF(Besatzung!$D$17="",Besatzung!$B$6,Besatzung!$D$17)&gt;=B82)))*(Besatzung!$F$17="x")*IFERROR(H82,0)/IFERROR(SUMPRODUCT((Besatzung!$B$11:$B$22&lt;&gt;"")*(Besatzung!$F$11:$F$22="x")*(IF(Besatzung!$C$11:$C$22="",Besatzung!$B$5,Besatzung!$C$11:$C$22)&lt;=B82)*(IF(Besatzung!$D$11:$D$22="",Besatzung!$B$6,Besatzung!$D$11:$D$22)&gt;=B82)),1)),IF(I82="An Bord",(((Besatzung!$B$17&lt;&gt;"")*IF(B82="",1,(IF(Besatzung!$C$17="",Besatzung!$B$5,Besatzung!$C$17)&lt;=B82)*(IF(Besatzung!$D$17="",Besatzung!$B$6,Besatzung!$D$17)&gt;=B82)))*((G82-IFERROR(H82,0))/IFERROR(SUMPRODUCT((Besatzung!$B$11:$B$22&lt;&gt;"")*(IF(Besatzung!$C$11:$C$22="",Besatzung!$B$5,Besatzung!$C$11:$C$22)&lt;=B82)*(IF(Besatzung!$D$11:$D$22="",Besatzung!$B$6,Besatzung!$D$11:$D$22)&gt;=B82)),1)+(Besatzung!$F$17="x")*IFERROR(H82,0)/IFERROR(SUMPRODUCT((Besatzung!$B$11:$B$22&lt;&gt;"")*(Besatzung!$F$11:$F$22="x")*(IF(Besatzung!$C$11:$C$22="",Besatzung!$B$5,Besatzung!$C$11:$C$22)&lt;=B82)*(IF(Besatzung!$D$11:$D$22="",Besatzung!$B$6,Besatzung!$D$11:$D$22)&gt;=B82)),1))),IF(I82="Individuell",((P82="x")*((G82-IFERROR(H82,0))/IFERROR(COUNTIF(J82:U82,"x"),1)+(Besatzung!$F$17="x")*IFERROR(H82,0)/IFERROR(SUMPRODUCT((J82:U82="x")*(Besatzung!$F$11:$F$22="x")),1))),(IF(COUNTIF(J82:U82,"x")=0,IF(Besatzung!$B$17&lt;&gt;"",1,0),(P82="x"))*(G82-IFERROR(H82,0))/IFERROR(IF(COUNTIF(J82:U82,"x")=0,COUNTA(Besatzung!$B$11:$B$22),COUNTIF(J82:U82,"x")),1)+IF(COUNTIF(J82:U82,"x")=0,(Besatzung!$F$17="x"),(P82="x")*(Besatzung!$F$17="x"))*IFERROR(H82,0)/IFERROR(IF(COUNTIF(J82:U82,"x")=0,SUMPRODUCT((Besatzung!$B$11:$B$22&lt;&gt;"")*(Besatzung!$F$11:$F$22="x")),SUMPRODUCT((J82:U82="x")*(Besatzung!$F$11:$F$22="x"))),1))))),0))))</f>
        <v/>
      </c>
      <c r="AC82" s="247">
        <f>IF(C82="Gutschrift","",IF(G82="","",IF(Besatzung!$B$18="","",IFERROR(IF(I82="Zeitanteilig",(Besatzung!$G$18*(G82-IFERROR(H82,0))+((Besatzung!$B$18&lt;&gt;"")*IF(B82="",1,(IF(Besatzung!$C$18="",Besatzung!$B$5,Besatzung!$C$18)&lt;=B82)*(IF(Besatzung!$D$18="",Besatzung!$B$6,Besatzung!$D$18)&gt;=B82)))*(Besatzung!$F$18="x")*IFERROR(H82,0)/IFERROR(SUMPRODUCT((Besatzung!$B$11:$B$22&lt;&gt;"")*(Besatzung!$F$11:$F$22="x")*(IF(Besatzung!$C$11:$C$22="",Besatzung!$B$5,Besatzung!$C$11:$C$22)&lt;=B82)*(IF(Besatzung!$D$11:$D$22="",Besatzung!$B$6,Besatzung!$D$11:$D$22)&gt;=B82)),1)),IF(I82="An Bord",(((Besatzung!$B$18&lt;&gt;"")*IF(B82="",1,(IF(Besatzung!$C$18="",Besatzung!$B$5,Besatzung!$C$18)&lt;=B82)*(IF(Besatzung!$D$18="",Besatzung!$B$6,Besatzung!$D$18)&gt;=B82)))*((G82-IFERROR(H82,0))/IFERROR(SUMPRODUCT((Besatzung!$B$11:$B$22&lt;&gt;"")*(IF(Besatzung!$C$11:$C$22="",Besatzung!$B$5,Besatzung!$C$11:$C$22)&lt;=B82)*(IF(Besatzung!$D$11:$D$22="",Besatzung!$B$6,Besatzung!$D$11:$D$22)&gt;=B82)),1)+(Besatzung!$F$18="x")*IFERROR(H82,0)/IFERROR(SUMPRODUCT((Besatzung!$B$11:$B$22&lt;&gt;"")*(Besatzung!$F$11:$F$22="x")*(IF(Besatzung!$C$11:$C$22="",Besatzung!$B$5,Besatzung!$C$11:$C$22)&lt;=B82)*(IF(Besatzung!$D$11:$D$22="",Besatzung!$B$6,Besatzung!$D$11:$D$22)&gt;=B82)),1))),IF(I82="Individuell",((Q82="x")*((G82-IFERROR(H82,0))/IFERROR(COUNTIF(J82:U82,"x"),1)+(Besatzung!$F$18="x")*IFERROR(H82,0)/IFERROR(SUMPRODUCT((J82:U82="x")*(Besatzung!$F$11:$F$22="x")),1))),(IF(COUNTIF(J82:U82,"x")=0,IF(Besatzung!$B$18&lt;&gt;"",1,0),(Q82="x"))*(G82-IFERROR(H82,0))/IFERROR(IF(COUNTIF(J82:U82,"x")=0,COUNTA(Besatzung!$B$11:$B$22),COUNTIF(J82:U82,"x")),1)+IF(COUNTIF(J82:U82,"x")=0,(Besatzung!$F$18="x"),(Q82="x")*(Besatzung!$F$18="x"))*IFERROR(H82,0)/IFERROR(IF(COUNTIF(J82:U82,"x")=0,SUMPRODUCT((Besatzung!$B$11:$B$22&lt;&gt;"")*(Besatzung!$F$11:$F$22="x")),SUMPRODUCT((J82:U82="x")*(Besatzung!$F$11:$F$22="x"))),1))))),0))))</f>
        <v/>
      </c>
      <c r="AD82" s="247">
        <f>IF(C82="Gutschrift","",IF(G82="","",IF(Besatzung!$B$19="","",IFERROR(IF(I82="Zeitanteilig",(Besatzung!$G$19*(G82-IFERROR(H82,0))+((Besatzung!$B$19&lt;&gt;"")*IF(B82="",1,(IF(Besatzung!$C$19="",Besatzung!$B$5,Besatzung!$C$19)&lt;=B82)*(IF(Besatzung!$D$19="",Besatzung!$B$6,Besatzung!$D$19)&gt;=B82)))*(Besatzung!$F$19="x")*IFERROR(H82,0)/IFERROR(SUMPRODUCT((Besatzung!$B$11:$B$22&lt;&gt;"")*(Besatzung!$F$11:$F$22="x")*(IF(Besatzung!$C$11:$C$22="",Besatzung!$B$5,Besatzung!$C$11:$C$22)&lt;=B82)*(IF(Besatzung!$D$11:$D$22="",Besatzung!$B$6,Besatzung!$D$11:$D$22)&gt;=B82)),1)),IF(I82="An Bord",(((Besatzung!$B$19&lt;&gt;"")*IF(B82="",1,(IF(Besatzung!$C$19="",Besatzung!$B$5,Besatzung!$C$19)&lt;=B82)*(IF(Besatzung!$D$19="",Besatzung!$B$6,Besatzung!$D$19)&gt;=B82)))*((G82-IFERROR(H82,0))/IFERROR(SUMPRODUCT((Besatzung!$B$11:$B$22&lt;&gt;"")*(IF(Besatzung!$C$11:$C$22="",Besatzung!$B$5,Besatzung!$C$11:$C$22)&lt;=B82)*(IF(Besatzung!$D$11:$D$22="",Besatzung!$B$6,Besatzung!$D$11:$D$22)&gt;=B82)),1)+(Besatzung!$F$19="x")*IFERROR(H82,0)/IFERROR(SUMPRODUCT((Besatzung!$B$11:$B$22&lt;&gt;"")*(Besatzung!$F$11:$F$22="x")*(IF(Besatzung!$C$11:$C$22="",Besatzung!$B$5,Besatzung!$C$11:$C$22)&lt;=B82)*(IF(Besatzung!$D$11:$D$22="",Besatzung!$B$6,Besatzung!$D$11:$D$22)&gt;=B82)),1))),IF(I82="Individuell",((R82="x")*((G82-IFERROR(H82,0))/IFERROR(COUNTIF(J82:U82,"x"),1)+(Besatzung!$F$19="x")*IFERROR(H82,0)/IFERROR(SUMPRODUCT((J82:U82="x")*(Besatzung!$F$11:$F$22="x")),1))),(IF(COUNTIF(J82:U82,"x")=0,IF(Besatzung!$B$19&lt;&gt;"",1,0),(R82="x"))*(G82-IFERROR(H82,0))/IFERROR(IF(COUNTIF(J82:U82,"x")=0,COUNTA(Besatzung!$B$11:$B$22),COUNTIF(J82:U82,"x")),1)+IF(COUNTIF(J82:U82,"x")=0,(Besatzung!$F$19="x"),(R82="x")*(Besatzung!$F$19="x"))*IFERROR(H82,0)/IFERROR(IF(COUNTIF(J82:U82,"x")=0,SUMPRODUCT((Besatzung!$B$11:$B$22&lt;&gt;"")*(Besatzung!$F$11:$F$22="x")),SUMPRODUCT((J82:U82="x")*(Besatzung!$F$11:$F$22="x"))),1))))),0))))</f>
        <v/>
      </c>
      <c r="AE82" s="247">
        <f>IF(C82="Gutschrift","",IF(G82="","",IF(Besatzung!$B$20="","",IFERROR(IF(I82="Zeitanteilig",(Besatzung!$G$20*(G82-IFERROR(H82,0))+((Besatzung!$B$20&lt;&gt;"")*IF(B82="",1,(IF(Besatzung!$C$20="",Besatzung!$B$5,Besatzung!$C$20)&lt;=B82)*(IF(Besatzung!$D$20="",Besatzung!$B$6,Besatzung!$D$20)&gt;=B82)))*(Besatzung!$F$20="x")*IFERROR(H82,0)/IFERROR(SUMPRODUCT((Besatzung!$B$11:$B$22&lt;&gt;"")*(Besatzung!$F$11:$F$22="x")*(IF(Besatzung!$C$11:$C$22="",Besatzung!$B$5,Besatzung!$C$11:$C$22)&lt;=B82)*(IF(Besatzung!$D$11:$D$22="",Besatzung!$B$6,Besatzung!$D$11:$D$22)&gt;=B82)),1)),IF(I82="An Bord",(((Besatzung!$B$20&lt;&gt;"")*IF(B82="",1,(IF(Besatzung!$C$20="",Besatzung!$B$5,Besatzung!$C$20)&lt;=B82)*(IF(Besatzung!$D$20="",Besatzung!$B$6,Besatzung!$D$20)&gt;=B82)))*((G82-IFERROR(H82,0))/IFERROR(SUMPRODUCT((Besatzung!$B$11:$B$22&lt;&gt;"")*(IF(Besatzung!$C$11:$C$22="",Besatzung!$B$5,Besatzung!$C$11:$C$22)&lt;=B82)*(IF(Besatzung!$D$11:$D$22="",Besatzung!$B$6,Besatzung!$D$11:$D$22)&gt;=B82)),1)+(Besatzung!$F$20="x")*IFERROR(H82,0)/IFERROR(SUMPRODUCT((Besatzung!$B$11:$B$22&lt;&gt;"")*(Besatzung!$F$11:$F$22="x")*(IF(Besatzung!$C$11:$C$22="",Besatzung!$B$5,Besatzung!$C$11:$C$22)&lt;=B82)*(IF(Besatzung!$D$11:$D$22="",Besatzung!$B$6,Besatzung!$D$11:$D$22)&gt;=B82)),1))),IF(I82="Individuell",((S82="x")*((G82-IFERROR(H82,0))/IFERROR(COUNTIF(J82:U82,"x"),1)+(Besatzung!$F$20="x")*IFERROR(H82,0)/IFERROR(SUMPRODUCT((J82:U82="x")*(Besatzung!$F$11:$F$22="x")),1))),(IF(COUNTIF(J82:U82,"x")=0,IF(Besatzung!$B$20&lt;&gt;"",1,0),(S82="x"))*(G82-IFERROR(H82,0))/IFERROR(IF(COUNTIF(J82:U82,"x")=0,COUNTA(Besatzung!$B$11:$B$22),COUNTIF(J82:U82,"x")),1)+IF(COUNTIF(J82:U82,"x")=0,(Besatzung!$F$20="x"),(S82="x")*(Besatzung!$F$20="x"))*IFERROR(H82,0)/IFERROR(IF(COUNTIF(J82:U82,"x")=0,SUMPRODUCT((Besatzung!$B$11:$B$22&lt;&gt;"")*(Besatzung!$F$11:$F$22="x")),SUMPRODUCT((J82:U82="x")*(Besatzung!$F$11:$F$22="x"))),1))))),0))))</f>
        <v/>
      </c>
      <c r="AF82" s="247">
        <f>IF(C82="Gutschrift","",IF(G82="","",IF(Besatzung!$B$21="","",IFERROR(IF(I82="Zeitanteilig",(Besatzung!$G$21*(G82-IFERROR(H82,0))+((Besatzung!$B$21&lt;&gt;"")*IF(B82="",1,(IF(Besatzung!$C$21="",Besatzung!$B$5,Besatzung!$C$21)&lt;=B82)*(IF(Besatzung!$D$21="",Besatzung!$B$6,Besatzung!$D$21)&gt;=B82)))*(Besatzung!$F$21="x")*IFERROR(H82,0)/IFERROR(SUMPRODUCT((Besatzung!$B$11:$B$22&lt;&gt;"")*(Besatzung!$F$11:$F$22="x")*(IF(Besatzung!$C$11:$C$22="",Besatzung!$B$5,Besatzung!$C$11:$C$22)&lt;=B82)*(IF(Besatzung!$D$11:$D$22="",Besatzung!$B$6,Besatzung!$D$11:$D$22)&gt;=B82)),1)),IF(I82="An Bord",(((Besatzung!$B$21&lt;&gt;"")*IF(B82="",1,(IF(Besatzung!$C$21="",Besatzung!$B$5,Besatzung!$C$21)&lt;=B82)*(IF(Besatzung!$D$21="",Besatzung!$B$6,Besatzung!$D$21)&gt;=B82)))*((G82-IFERROR(H82,0))/IFERROR(SUMPRODUCT((Besatzung!$B$11:$B$22&lt;&gt;"")*(IF(Besatzung!$C$11:$C$22="",Besatzung!$B$5,Besatzung!$C$11:$C$22)&lt;=B82)*(IF(Besatzung!$D$11:$D$22="",Besatzung!$B$6,Besatzung!$D$11:$D$22)&gt;=B82)),1)+(Besatzung!$F$21="x")*IFERROR(H82,0)/IFERROR(SUMPRODUCT((Besatzung!$B$11:$B$22&lt;&gt;"")*(Besatzung!$F$11:$F$22="x")*(IF(Besatzung!$C$11:$C$22="",Besatzung!$B$5,Besatzung!$C$11:$C$22)&lt;=B82)*(IF(Besatzung!$D$11:$D$22="",Besatzung!$B$6,Besatzung!$D$11:$D$22)&gt;=B82)),1))),IF(I82="Individuell",((T82="x")*((G82-IFERROR(H82,0))/IFERROR(COUNTIF(J82:U82,"x"),1)+(Besatzung!$F$21="x")*IFERROR(H82,0)/IFERROR(SUMPRODUCT((J82:U82="x")*(Besatzung!$F$11:$F$22="x")),1))),(IF(COUNTIF(J82:U82,"x")=0,IF(Besatzung!$B$21&lt;&gt;"",1,0),(T82="x"))*(G82-IFERROR(H82,0))/IFERROR(IF(COUNTIF(J82:U82,"x")=0,COUNTA(Besatzung!$B$11:$B$22),COUNTIF(J82:U82,"x")),1)+IF(COUNTIF(J82:U82,"x")=0,(Besatzung!$F$21="x"),(T82="x")*(Besatzung!$F$21="x"))*IFERROR(H82,0)/IFERROR(IF(COUNTIF(J82:U82,"x")=0,SUMPRODUCT((Besatzung!$B$11:$B$22&lt;&gt;"")*(Besatzung!$F$11:$F$22="x")),SUMPRODUCT((J82:U82="x")*(Besatzung!$F$11:$F$22="x"))),1))))),0))))</f>
        <v/>
      </c>
      <c r="AG82" s="247">
        <f>IF(C82="Gutschrift","",IF(G82="","",IF(Besatzung!$B$22="","",IFERROR(IF(I82="Zeitanteilig",(Besatzung!$G$22*(G82-IFERROR(H82,0))+((Besatzung!$B$22&lt;&gt;"")*IF(B82="",1,(IF(Besatzung!$C$22="",Besatzung!$B$5,Besatzung!$C$22)&lt;=B82)*(IF(Besatzung!$D$22="",Besatzung!$B$6,Besatzung!$D$22)&gt;=B82)))*(Besatzung!$F$22="x")*IFERROR(H82,0)/IFERROR(SUMPRODUCT((Besatzung!$B$11:$B$22&lt;&gt;"")*(Besatzung!$F$11:$F$22="x")*(IF(Besatzung!$C$11:$C$22="",Besatzung!$B$5,Besatzung!$C$11:$C$22)&lt;=B82)*(IF(Besatzung!$D$11:$D$22="",Besatzung!$B$6,Besatzung!$D$11:$D$22)&gt;=B82)),1)),IF(I82="An Bord",(((Besatzung!$B$22&lt;&gt;"")*IF(B82="",1,(IF(Besatzung!$C$22="",Besatzung!$B$5,Besatzung!$C$22)&lt;=B82)*(IF(Besatzung!$D$22="",Besatzung!$B$6,Besatzung!$D$22)&gt;=B82)))*((G82-IFERROR(H82,0))/IFERROR(SUMPRODUCT((Besatzung!$B$11:$B$22&lt;&gt;"")*(IF(Besatzung!$C$11:$C$22="",Besatzung!$B$5,Besatzung!$C$11:$C$22)&lt;=B82)*(IF(Besatzung!$D$11:$D$22="",Besatzung!$B$6,Besatzung!$D$11:$D$22)&gt;=B82)),1)+(Besatzung!$F$22="x")*IFERROR(H82,0)/IFERROR(SUMPRODUCT((Besatzung!$B$11:$B$22&lt;&gt;"")*(Besatzung!$F$11:$F$22="x")*(IF(Besatzung!$C$11:$C$22="",Besatzung!$B$5,Besatzung!$C$11:$C$22)&lt;=B82)*(IF(Besatzung!$D$11:$D$22="",Besatzung!$B$6,Besatzung!$D$11:$D$22)&gt;=B82)),1))),IF(I82="Individuell",((U82="x")*((G82-IFERROR(H82,0))/IFERROR(COUNTIF(J82:U82,"x"),1)+(Besatzung!$F$22="x")*IFERROR(H82,0)/IFERROR(SUMPRODUCT((J82:U82="x")*(Besatzung!$F$11:$F$22="x")),1))),(IF(COUNTIF(J82:U82,"x")=0,IF(Besatzung!$B$22&lt;&gt;"",1,0),(U82="x"))*(G82-IFERROR(H82,0))/IFERROR(IF(COUNTIF(J82:U82,"x")=0,COUNTA(Besatzung!$B$11:$B$22),COUNTIF(J82:U82,"x")),1)+IF(COUNTIF(J82:U82,"x")=0,(Besatzung!$F$22="x"),(U82="x")*(Besatzung!$F$22="x"))*IFERROR(H82,0)/IFERROR(IF(COUNTIF(J82:U82,"x")=0,SUMPRODUCT((Besatzung!$B$11:$B$22&lt;&gt;"")*(Besatzung!$F$11:$F$22="x")),SUMPRODUCT((J82:U82="x")*(Besatzung!$F$11:$F$22="x"))),1))))),0))))</f>
        <v/>
      </c>
      <c r="AH82" s="248" t="n"/>
      <c r="AI82" s="248" t="n"/>
    </row>
    <row r="83" ht="21.75" customHeight="1" s="154">
      <c r="A83" s="238">
        <f>IF(AND(D83="",C83=""),"",80)</f>
        <v/>
      </c>
      <c r="B83" s="206" t="n"/>
      <c r="C83" s="249" t="n"/>
      <c r="D83" s="250" t="n"/>
      <c r="E83" s="251" t="n"/>
      <c r="F83" s="252" t="n"/>
      <c r="G83" s="253" t="n"/>
      <c r="H83" s="254" t="n"/>
      <c r="I83" s="255" t="n"/>
      <c r="J83" s="256" t="n"/>
      <c r="K83" s="256" t="n"/>
      <c r="L83" s="256" t="n"/>
      <c r="M83" s="256" t="n"/>
      <c r="N83" s="256" t="n"/>
      <c r="O83" s="256" t="n"/>
      <c r="P83" s="256" t="n"/>
      <c r="Q83" s="256" t="n"/>
      <c r="R83" s="256" t="n"/>
      <c r="S83" s="256" t="n"/>
      <c r="T83" s="256" t="n"/>
      <c r="U83" s="256" t="n"/>
      <c r="V83" s="247">
        <f>IF(C83="Gutschrift","",IF(G83="","",IF(Besatzung!$B$11="","",IFERROR(IF(I83="Zeitanteilig",(Besatzung!$G$11*(G83-IFERROR(H83,0))+((Besatzung!$B$11&lt;&gt;"")*IF(B83="",1,(IF(Besatzung!$C$11="",Besatzung!$B$5,Besatzung!$C$11)&lt;=B83)*(IF(Besatzung!$D$11="",Besatzung!$B$6,Besatzung!$D$11)&gt;=B83)))*(Besatzung!$F$11="x")*IFERROR(H83,0)/IFERROR(SUMPRODUCT((Besatzung!$B$11:$B$22&lt;&gt;"")*(Besatzung!$F$11:$F$22="x")*(IF(Besatzung!$C$11:$C$22="",Besatzung!$B$5,Besatzung!$C$11:$C$22)&lt;=B83)*(IF(Besatzung!$D$11:$D$22="",Besatzung!$B$6,Besatzung!$D$11:$D$22)&gt;=B83)),1)),IF(I83="An Bord",(((Besatzung!$B$11&lt;&gt;"")*IF(B83="",1,(IF(Besatzung!$C$11="",Besatzung!$B$5,Besatzung!$C$11)&lt;=B83)*(IF(Besatzung!$D$11="",Besatzung!$B$6,Besatzung!$D$11)&gt;=B83)))*((G83-IFERROR(H83,0))/IFERROR(SUMPRODUCT((Besatzung!$B$11:$B$22&lt;&gt;"")*(IF(Besatzung!$C$11:$C$22="",Besatzung!$B$5,Besatzung!$C$11:$C$22)&lt;=B83)*(IF(Besatzung!$D$11:$D$22="",Besatzung!$B$6,Besatzung!$D$11:$D$22)&gt;=B83)),1)+(Besatzung!$F$11="x")*IFERROR(H83,0)/IFERROR(SUMPRODUCT((Besatzung!$B$11:$B$22&lt;&gt;"")*(Besatzung!$F$11:$F$22="x")*(IF(Besatzung!$C$11:$C$22="",Besatzung!$B$5,Besatzung!$C$11:$C$22)&lt;=B83)*(IF(Besatzung!$D$11:$D$22="",Besatzung!$B$6,Besatzung!$D$11:$D$22)&gt;=B83)),1))),IF(I83="Individuell",((J83="x")*((G83-IFERROR(H83,0))/IFERROR(COUNTIF(J83:U83,"x"),1)+(Besatzung!$F$11="x")*IFERROR(H83,0)/IFERROR(SUMPRODUCT((J83:U83="x")*(Besatzung!$F$11:$F$22="x")),1))),(IF(COUNTIF(J83:U83,"x")=0,IF(Besatzung!$B$11&lt;&gt;"",1,0),(J83="x"))*(G83-IFERROR(H83,0))/IFERROR(IF(COUNTIF(J83:U83,"x")=0,COUNTA(Besatzung!$B$11:$B$22),COUNTIF(J83:U83,"x")),1)+IF(COUNTIF(J83:U83,"x")=0,(Besatzung!$F$11="x"),(J83="x")*(Besatzung!$F$11="x"))*IFERROR(H83,0)/IFERROR(IF(COUNTIF(J83:U83,"x")=0,SUMPRODUCT((Besatzung!$B$11:$B$22&lt;&gt;"")*(Besatzung!$F$11:$F$22="x")),SUMPRODUCT((J83:U83="x")*(Besatzung!$F$11:$F$22="x"))),1))))),0))))</f>
        <v/>
      </c>
      <c r="W83" s="247">
        <f>IF(C83="Gutschrift","",IF(G83="","",IF(Besatzung!$B$12="","",IFERROR(IF(I83="Zeitanteilig",(Besatzung!$G$12*(G83-IFERROR(H83,0))+((Besatzung!$B$12&lt;&gt;"")*IF(B83="",1,(IF(Besatzung!$C$12="",Besatzung!$B$5,Besatzung!$C$12)&lt;=B83)*(IF(Besatzung!$D$12="",Besatzung!$B$6,Besatzung!$D$12)&gt;=B83)))*(Besatzung!$F$12="x")*IFERROR(H83,0)/IFERROR(SUMPRODUCT((Besatzung!$B$11:$B$22&lt;&gt;"")*(Besatzung!$F$11:$F$22="x")*(IF(Besatzung!$C$11:$C$22="",Besatzung!$B$5,Besatzung!$C$11:$C$22)&lt;=B83)*(IF(Besatzung!$D$11:$D$22="",Besatzung!$B$6,Besatzung!$D$11:$D$22)&gt;=B83)),1)),IF(I83="An Bord",(((Besatzung!$B$12&lt;&gt;"")*IF(B83="",1,(IF(Besatzung!$C$12="",Besatzung!$B$5,Besatzung!$C$12)&lt;=B83)*(IF(Besatzung!$D$12="",Besatzung!$B$6,Besatzung!$D$12)&gt;=B83)))*((G83-IFERROR(H83,0))/IFERROR(SUMPRODUCT((Besatzung!$B$11:$B$22&lt;&gt;"")*(IF(Besatzung!$C$11:$C$22="",Besatzung!$B$5,Besatzung!$C$11:$C$22)&lt;=B83)*(IF(Besatzung!$D$11:$D$22="",Besatzung!$B$6,Besatzung!$D$11:$D$22)&gt;=B83)),1)+(Besatzung!$F$12="x")*IFERROR(H83,0)/IFERROR(SUMPRODUCT((Besatzung!$B$11:$B$22&lt;&gt;"")*(Besatzung!$F$11:$F$22="x")*(IF(Besatzung!$C$11:$C$22="",Besatzung!$B$5,Besatzung!$C$11:$C$22)&lt;=B83)*(IF(Besatzung!$D$11:$D$22="",Besatzung!$B$6,Besatzung!$D$11:$D$22)&gt;=B83)),1))),IF(I83="Individuell",((K83="x")*((G83-IFERROR(H83,0))/IFERROR(COUNTIF(J83:U83,"x"),1)+(Besatzung!$F$12="x")*IFERROR(H83,0)/IFERROR(SUMPRODUCT((J83:U83="x")*(Besatzung!$F$11:$F$22="x")),1))),(IF(COUNTIF(J83:U83,"x")=0,IF(Besatzung!$B$12&lt;&gt;"",1,0),(K83="x"))*(G83-IFERROR(H83,0))/IFERROR(IF(COUNTIF(J83:U83,"x")=0,COUNTA(Besatzung!$B$11:$B$22),COUNTIF(J83:U83,"x")),1)+IF(COUNTIF(J83:U83,"x")=0,(Besatzung!$F$12="x"),(K83="x")*(Besatzung!$F$12="x"))*IFERROR(H83,0)/IFERROR(IF(COUNTIF(J83:U83,"x")=0,SUMPRODUCT((Besatzung!$B$11:$B$22&lt;&gt;"")*(Besatzung!$F$11:$F$22="x")),SUMPRODUCT((J83:U83="x")*(Besatzung!$F$11:$F$22="x"))),1))))),0))))</f>
        <v/>
      </c>
      <c r="X83" s="247">
        <f>IF(C83="Gutschrift","",IF(G83="","",IF(Besatzung!$B$13="","",IFERROR(IF(I83="Zeitanteilig",(Besatzung!$G$13*(G83-IFERROR(H83,0))+((Besatzung!$B$13&lt;&gt;"")*IF(B83="",1,(IF(Besatzung!$C$13="",Besatzung!$B$5,Besatzung!$C$13)&lt;=B83)*(IF(Besatzung!$D$13="",Besatzung!$B$6,Besatzung!$D$13)&gt;=B83)))*(Besatzung!$F$13="x")*IFERROR(H83,0)/IFERROR(SUMPRODUCT((Besatzung!$B$11:$B$22&lt;&gt;"")*(Besatzung!$F$11:$F$22="x")*(IF(Besatzung!$C$11:$C$22="",Besatzung!$B$5,Besatzung!$C$11:$C$22)&lt;=B83)*(IF(Besatzung!$D$11:$D$22="",Besatzung!$B$6,Besatzung!$D$11:$D$22)&gt;=B83)),1)),IF(I83="An Bord",(((Besatzung!$B$13&lt;&gt;"")*IF(B83="",1,(IF(Besatzung!$C$13="",Besatzung!$B$5,Besatzung!$C$13)&lt;=B83)*(IF(Besatzung!$D$13="",Besatzung!$B$6,Besatzung!$D$13)&gt;=B83)))*((G83-IFERROR(H83,0))/IFERROR(SUMPRODUCT((Besatzung!$B$11:$B$22&lt;&gt;"")*(IF(Besatzung!$C$11:$C$22="",Besatzung!$B$5,Besatzung!$C$11:$C$22)&lt;=B83)*(IF(Besatzung!$D$11:$D$22="",Besatzung!$B$6,Besatzung!$D$11:$D$22)&gt;=B83)),1)+(Besatzung!$F$13="x")*IFERROR(H83,0)/IFERROR(SUMPRODUCT((Besatzung!$B$11:$B$22&lt;&gt;"")*(Besatzung!$F$11:$F$22="x")*(IF(Besatzung!$C$11:$C$22="",Besatzung!$B$5,Besatzung!$C$11:$C$22)&lt;=B83)*(IF(Besatzung!$D$11:$D$22="",Besatzung!$B$6,Besatzung!$D$11:$D$22)&gt;=B83)),1))),IF(I83="Individuell",((K83="x")*((G83-IFERROR(H83,0))/IFERROR(COUNTIF(J83:U83,"x"),1)+(Besatzung!$F$13="x")*IFERROR(H83,0)/IFERROR(SUMPRODUCT((J83:U83="x")*(Besatzung!$F$11:$F$22="x")),1))),(IF(COUNTIF(J83:U83,"x")=0,IF(Besatzung!$B$13&lt;&gt;"",1,0),(K83="x"))*(G83-IFERROR(H83,0))/IFERROR(IF(COUNTIF(J83:U83,"x")=0,COUNTA(Besatzung!$B$11:$B$22),COUNTIF(J83:U83,"x")),1)+IF(COUNTIF(J83:U83,"x")=0,(Besatzung!$F$13="x"),(K83="x")*(Besatzung!$F$13="x"))*IFERROR(H83,0)/IFERROR(IF(COUNTIF(J83:U83,"x")=0,SUMPRODUCT((Besatzung!$B$11:$B$22&lt;&gt;"")*(Besatzung!$F$11:$F$22="x")),SUMPRODUCT((J83:U83="x")*(Besatzung!$F$11:$F$22="x"))),1))))),0))))</f>
        <v/>
      </c>
      <c r="Y83" s="247">
        <f>IF(C83="Gutschrift","",IF(G83="","",IF(Besatzung!$B$14="","",IFERROR(IF(I83="Zeitanteilig",(Besatzung!$G$14*(G83-IFERROR(H83,0))+((Besatzung!$B$14&lt;&gt;"")*IF(B83="",1,(IF(Besatzung!$C$14="",Besatzung!$B$5,Besatzung!$C$14)&lt;=B83)*(IF(Besatzung!$D$14="",Besatzung!$B$6,Besatzung!$D$14)&gt;=B83)))*(Besatzung!$F$14="x")*IFERROR(H83,0)/IFERROR(SUMPRODUCT((Besatzung!$B$11:$B$22&lt;&gt;"")*(Besatzung!$F$11:$F$22="x")*(IF(Besatzung!$C$11:$C$22="",Besatzung!$B$5,Besatzung!$C$11:$C$22)&lt;=B83)*(IF(Besatzung!$D$11:$D$22="",Besatzung!$B$6,Besatzung!$D$11:$D$22)&gt;=B83)),1)),IF(I83="An Bord",(((Besatzung!$B$14&lt;&gt;"")*IF(B83="",1,(IF(Besatzung!$C$14="",Besatzung!$B$5,Besatzung!$C$14)&lt;=B83)*(IF(Besatzung!$D$14="",Besatzung!$B$6,Besatzung!$D$14)&gt;=B83)))*((G83-IFERROR(H83,0))/IFERROR(SUMPRODUCT((Besatzung!$B$11:$B$22&lt;&gt;"")*(IF(Besatzung!$C$11:$C$22="",Besatzung!$B$5,Besatzung!$C$11:$C$22)&lt;=B83)*(IF(Besatzung!$D$11:$D$22="",Besatzung!$B$6,Besatzung!$D$11:$D$22)&gt;=B83)),1)+(Besatzung!$F$14="x")*IFERROR(H83,0)/IFERROR(SUMPRODUCT((Besatzung!$B$11:$B$22&lt;&gt;"")*(Besatzung!$F$11:$F$22="x")*(IF(Besatzung!$C$11:$C$22="",Besatzung!$B$5,Besatzung!$C$11:$C$22)&lt;=B83)*(IF(Besatzung!$D$11:$D$22="",Besatzung!$B$6,Besatzung!$D$11:$D$22)&gt;=B83)),1))),IF(I83="Individuell",((M83="x")*((G83-IFERROR(H83,0))/IFERROR(COUNTIF(J83:U83,"x"),1)+(Besatzung!$F$14="x")*IFERROR(H83,0)/IFERROR(SUMPRODUCT((J83:U83="x")*(Besatzung!$F$11:$F$22="x")),1))),(IF(COUNTIF(J83:U83,"x")=0,IF(Besatzung!$B$14&lt;&gt;"",1,0),(M83="x"))*(G83-IFERROR(H83,0))/IFERROR(IF(COUNTIF(J83:U83,"x")=0,COUNTA(Besatzung!$B$11:$B$22),COUNTIF(J83:U83,"x")),1)+IF(COUNTIF(J83:U83,"x")=0,(Besatzung!$F$14="x"),(M83="x")*(Besatzung!$F$14="x"))*IFERROR(H83,0)/IFERROR(IF(COUNTIF(J83:U83,"x")=0,SUMPRODUCT((Besatzung!$B$11:$B$22&lt;&gt;"")*(Besatzung!$F$11:$F$22="x")),SUMPRODUCT((J83:U83="x")*(Besatzung!$F$11:$F$22="x"))),1))))),0))))</f>
        <v/>
      </c>
      <c r="Z83" s="247">
        <f>IF(C83="Gutschrift","",IF(G83="","",IF(Besatzung!$B$13="","",IFERROR(IF(I83="Zeitanteilig",(Besatzung!$G$15*(G83-IFERROR(H83,0))+((Besatzung!$B$13&lt;&gt;"")*IF(B83="",1,(IF(Besatzung!$C$15="",Besatzung!$B$5,Besatzung!$C$15)&lt;=B83)*(IF(Besatzung!$D$15="",Besatzung!$B$6,Besatzung!$D$15)&gt;=B83)))*(Besatzung!$F$15="x")*IFERROR(H83,0)/IFERROR(SUMPRODUCT((Besatzung!$B$11:$B$22&lt;&gt;"")*(Besatzung!$F$11:$F$22="x")*(IF(Besatzung!$C$11:$C$22="",Besatzung!$B$5,Besatzung!$C$11:$C$22)&lt;=B83)*(IF(Besatzung!$D$11:$D$22="",Besatzung!$B$6,Besatzung!$D$11:$D$22)&gt;=B83)),1)),IF(I83="An Bord",(((Besatzung!$B$13&lt;&gt;"")*IF(B83="",1,(IF(Besatzung!$C$15="",Besatzung!$B$5,Besatzung!$C$15)&lt;=B83)*(IF(Besatzung!$D$15="",Besatzung!$B$6,Besatzung!$D$15)&gt;=B83)))*((G83-IFERROR(H83,0))/IFERROR(SUMPRODUCT((Besatzung!$B$11:$B$22&lt;&gt;"")*(IF(Besatzung!$C$11:$C$22="",Besatzung!$B$5,Besatzung!$C$11:$C$22)&lt;=B83)*(IF(Besatzung!$D$11:$D$22="",Besatzung!$B$6,Besatzung!$D$11:$D$22)&gt;=B83)),1)+(Besatzung!$F$15="x")*IFERROR(H83,0)/IFERROR(SUMPRODUCT((Besatzung!$B$11:$B$22&lt;&gt;"")*(Besatzung!$F$11:$F$22="x")*(IF(Besatzung!$C$11:$C$22="",Besatzung!$B$5,Besatzung!$C$11:$C$22)&lt;=B83)*(IF(Besatzung!$D$11:$D$22="",Besatzung!$B$6,Besatzung!$D$11:$D$22)&gt;=B83)),1))),IF(I83="Individuell",((N83="x")*((G83-IFERROR(H83,0))/IFERROR(COUNTIF(J83:U83,"x"),1)+(Besatzung!$F$15="x")*IFERROR(H83,0)/IFERROR(SUMPRODUCT((J83:U83="x")*(Besatzung!$F$11:$F$22="x")),1))),(IF(COUNTIF(J83:U83,"x")=0,IF(Besatzung!$B$13&lt;&gt;"",1,0),(N83="x"))*(G83-IFERROR(H83,0))/IFERROR(IF(COUNTIF(J83:U83,"x")=0,COUNTA(Besatzung!$B$11:$B$22),COUNTIF(J83:U83,"x")),1)+IF(COUNTIF(J83:U83,"x")=0,(Besatzung!$F$15="x"),(N83="x")*(Besatzung!$F$15="x"))*IFERROR(H83,0)/IFERROR(IF(COUNTIF(J83:U83,"x")=0,SUMPRODUCT((Besatzung!$B$11:$B$22&lt;&gt;"")*(Besatzung!$F$11:$F$22="x")),SUMPRODUCT((J83:U83="x")*(Besatzung!$F$11:$F$22="x"))),1))))),0))))</f>
        <v/>
      </c>
      <c r="AA83" s="247">
        <f>IF(C83="Gutschrift","",IF(G83="","",IF(Besatzung!$B$15="","",IFERROR(IF(I83="Zeitanteilig",(Besatzung!$G$16*(G83-IFERROR(H83,0))+((Besatzung!$B$15&lt;&gt;"")*IF(B83="",1,(IF(Besatzung!$C$16="",Besatzung!$B$5,Besatzung!$C$16)&lt;=B83)*(IF(Besatzung!$D$16="",Besatzung!$B$6,Besatzung!$D$16)&gt;=B83)))*(Besatzung!$F$16="x")*IFERROR(H83,0)/IFERROR(SUMPRODUCT((Besatzung!$B$11:$B$22&lt;&gt;"")*(Besatzung!$F$11:$F$22="x")*(IF(Besatzung!$C$11:$C$22="",Besatzung!$B$5,Besatzung!$C$11:$C$22)&lt;=B83)*(IF(Besatzung!$D$11:$D$22="",Besatzung!$B$6,Besatzung!$D$11:$D$22)&gt;=B83)),1)),IF(I83="An Bord",(((Besatzung!$B$15&lt;&gt;"")*IF(B83="",1,(IF(Besatzung!$C$16="",Besatzung!$B$5,Besatzung!$C$16)&lt;=B83)*(IF(Besatzung!$D$16="",Besatzung!$B$6,Besatzung!$D$16)&gt;=B83)))*((G83-IFERROR(H83,0))/IFERROR(SUMPRODUCT((Besatzung!$B$11:$B$22&lt;&gt;"")*(IF(Besatzung!$C$11:$C$22="",Besatzung!$B$5,Besatzung!$C$11:$C$22)&lt;=B83)*(IF(Besatzung!$D$11:$D$22="",Besatzung!$B$6,Besatzung!$D$11:$D$22)&gt;=B83)),1)+(Besatzung!$F$16="x")*IFERROR(H83,0)/IFERROR(SUMPRODUCT((Besatzung!$B$11:$B$22&lt;&gt;"")*(Besatzung!$F$11:$F$22="x")*(IF(Besatzung!$C$11:$C$22="",Besatzung!$B$5,Besatzung!$C$11:$C$22)&lt;=B83)*(IF(Besatzung!$D$11:$D$22="",Besatzung!$B$6,Besatzung!$D$11:$D$22)&gt;=B83)),1))),IF(I83="Individuell",((O83="x")*((G83-IFERROR(H83,0))/IFERROR(COUNTIF(J83:U83,"x"),1)+(Besatzung!$F$16="x")*IFERROR(H83,0)/IFERROR(SUMPRODUCT((J83:U83="x")*(Besatzung!$F$11:$F$22="x")),1))),(IF(COUNTIF(J83:U83,"x")=0,IF(Besatzung!$B$15&lt;&gt;"",1,0),(O83="x"))*(G83-IFERROR(H83,0))/IFERROR(IF(COUNTIF(J83:U83,"x")=0,COUNTA(Besatzung!$B$11:$B$22),COUNTIF(J83:U83,"x")),1)+IF(COUNTIF(J83:U83,"x")=0,(Besatzung!$F$16="x"),(O83="x")*(Besatzung!$F$16="x"))*IFERROR(H83,0)/IFERROR(IF(COUNTIF(J83:U83,"x")=0,SUMPRODUCT((Besatzung!$B$11:$B$22&lt;&gt;"")*(Besatzung!$F$11:$F$22="x")),SUMPRODUCT((J83:U83="x")*(Besatzung!$F$11:$F$22="x"))),1))))),0))))</f>
        <v/>
      </c>
      <c r="AB83" s="247">
        <f>IF(C83="Gutschrift","",IF(G83="","",IF(Besatzung!$B$17="","",IFERROR(IF(I83="Zeitanteilig",(Besatzung!$G$17*(G83-IFERROR(H83,0))+((Besatzung!$B$17&lt;&gt;"")*IF(B83="",1,(IF(Besatzung!$C$17="",Besatzung!$B$5,Besatzung!$C$17)&lt;=B83)*(IF(Besatzung!$D$17="",Besatzung!$B$6,Besatzung!$D$17)&gt;=B83)))*(Besatzung!$F$17="x")*IFERROR(H83,0)/IFERROR(SUMPRODUCT((Besatzung!$B$11:$B$22&lt;&gt;"")*(Besatzung!$F$11:$F$22="x")*(IF(Besatzung!$C$11:$C$22="",Besatzung!$B$5,Besatzung!$C$11:$C$22)&lt;=B83)*(IF(Besatzung!$D$11:$D$22="",Besatzung!$B$6,Besatzung!$D$11:$D$22)&gt;=B83)),1)),IF(I83="An Bord",(((Besatzung!$B$17&lt;&gt;"")*IF(B83="",1,(IF(Besatzung!$C$17="",Besatzung!$B$5,Besatzung!$C$17)&lt;=B83)*(IF(Besatzung!$D$17="",Besatzung!$B$6,Besatzung!$D$17)&gt;=B83)))*((G83-IFERROR(H83,0))/IFERROR(SUMPRODUCT((Besatzung!$B$11:$B$22&lt;&gt;"")*(IF(Besatzung!$C$11:$C$22="",Besatzung!$B$5,Besatzung!$C$11:$C$22)&lt;=B83)*(IF(Besatzung!$D$11:$D$22="",Besatzung!$B$6,Besatzung!$D$11:$D$22)&gt;=B83)),1)+(Besatzung!$F$17="x")*IFERROR(H83,0)/IFERROR(SUMPRODUCT((Besatzung!$B$11:$B$22&lt;&gt;"")*(Besatzung!$F$11:$F$22="x")*(IF(Besatzung!$C$11:$C$22="",Besatzung!$B$5,Besatzung!$C$11:$C$22)&lt;=B83)*(IF(Besatzung!$D$11:$D$22="",Besatzung!$B$6,Besatzung!$D$11:$D$22)&gt;=B83)),1))),IF(I83="Individuell",((P83="x")*((G83-IFERROR(H83,0))/IFERROR(COUNTIF(J83:U83,"x"),1)+(Besatzung!$F$17="x")*IFERROR(H83,0)/IFERROR(SUMPRODUCT((J83:U83="x")*(Besatzung!$F$11:$F$22="x")),1))),(IF(COUNTIF(J83:U83,"x")=0,IF(Besatzung!$B$17&lt;&gt;"",1,0),(P83="x"))*(G83-IFERROR(H83,0))/IFERROR(IF(COUNTIF(J83:U83,"x")=0,COUNTA(Besatzung!$B$11:$B$22),COUNTIF(J83:U83,"x")),1)+IF(COUNTIF(J83:U83,"x")=0,(Besatzung!$F$17="x"),(P83="x")*(Besatzung!$F$17="x"))*IFERROR(H83,0)/IFERROR(IF(COUNTIF(J83:U83,"x")=0,SUMPRODUCT((Besatzung!$B$11:$B$22&lt;&gt;"")*(Besatzung!$F$11:$F$22="x")),SUMPRODUCT((J83:U83="x")*(Besatzung!$F$11:$F$22="x"))),1))))),0))))</f>
        <v/>
      </c>
      <c r="AC83" s="247">
        <f>IF(C83="Gutschrift","",IF(G83="","",IF(Besatzung!$B$18="","",IFERROR(IF(I83="Zeitanteilig",(Besatzung!$G$18*(G83-IFERROR(H83,0))+((Besatzung!$B$18&lt;&gt;"")*IF(B83="",1,(IF(Besatzung!$C$18="",Besatzung!$B$5,Besatzung!$C$18)&lt;=B83)*(IF(Besatzung!$D$18="",Besatzung!$B$6,Besatzung!$D$18)&gt;=B83)))*(Besatzung!$F$18="x")*IFERROR(H83,0)/IFERROR(SUMPRODUCT((Besatzung!$B$11:$B$22&lt;&gt;"")*(Besatzung!$F$11:$F$22="x")*(IF(Besatzung!$C$11:$C$22="",Besatzung!$B$5,Besatzung!$C$11:$C$22)&lt;=B83)*(IF(Besatzung!$D$11:$D$22="",Besatzung!$B$6,Besatzung!$D$11:$D$22)&gt;=B83)),1)),IF(I83="An Bord",(((Besatzung!$B$18&lt;&gt;"")*IF(B83="",1,(IF(Besatzung!$C$18="",Besatzung!$B$5,Besatzung!$C$18)&lt;=B83)*(IF(Besatzung!$D$18="",Besatzung!$B$6,Besatzung!$D$18)&gt;=B83)))*((G83-IFERROR(H83,0))/IFERROR(SUMPRODUCT((Besatzung!$B$11:$B$22&lt;&gt;"")*(IF(Besatzung!$C$11:$C$22="",Besatzung!$B$5,Besatzung!$C$11:$C$22)&lt;=B83)*(IF(Besatzung!$D$11:$D$22="",Besatzung!$B$6,Besatzung!$D$11:$D$22)&gt;=B83)),1)+(Besatzung!$F$18="x")*IFERROR(H83,0)/IFERROR(SUMPRODUCT((Besatzung!$B$11:$B$22&lt;&gt;"")*(Besatzung!$F$11:$F$22="x")*(IF(Besatzung!$C$11:$C$22="",Besatzung!$B$5,Besatzung!$C$11:$C$22)&lt;=B83)*(IF(Besatzung!$D$11:$D$22="",Besatzung!$B$6,Besatzung!$D$11:$D$22)&gt;=B83)),1))),IF(I83="Individuell",((Q83="x")*((G83-IFERROR(H83,0))/IFERROR(COUNTIF(J83:U83,"x"),1)+(Besatzung!$F$18="x")*IFERROR(H83,0)/IFERROR(SUMPRODUCT((J83:U83="x")*(Besatzung!$F$11:$F$22="x")),1))),(IF(COUNTIF(J83:U83,"x")=0,IF(Besatzung!$B$18&lt;&gt;"",1,0),(Q83="x"))*(G83-IFERROR(H83,0))/IFERROR(IF(COUNTIF(J83:U83,"x")=0,COUNTA(Besatzung!$B$11:$B$22),COUNTIF(J83:U83,"x")),1)+IF(COUNTIF(J83:U83,"x")=0,(Besatzung!$F$18="x"),(Q83="x")*(Besatzung!$F$18="x"))*IFERROR(H83,0)/IFERROR(IF(COUNTIF(J83:U83,"x")=0,SUMPRODUCT((Besatzung!$B$11:$B$22&lt;&gt;"")*(Besatzung!$F$11:$F$22="x")),SUMPRODUCT((J83:U83="x")*(Besatzung!$F$11:$F$22="x"))),1))))),0))))</f>
        <v/>
      </c>
      <c r="AD83" s="247">
        <f>IF(C83="Gutschrift","",IF(G83="","",IF(Besatzung!$B$19="","",IFERROR(IF(I83="Zeitanteilig",(Besatzung!$G$19*(G83-IFERROR(H83,0))+((Besatzung!$B$19&lt;&gt;"")*IF(B83="",1,(IF(Besatzung!$C$19="",Besatzung!$B$5,Besatzung!$C$19)&lt;=B83)*(IF(Besatzung!$D$19="",Besatzung!$B$6,Besatzung!$D$19)&gt;=B83)))*(Besatzung!$F$19="x")*IFERROR(H83,0)/IFERROR(SUMPRODUCT((Besatzung!$B$11:$B$22&lt;&gt;"")*(Besatzung!$F$11:$F$22="x")*(IF(Besatzung!$C$11:$C$22="",Besatzung!$B$5,Besatzung!$C$11:$C$22)&lt;=B83)*(IF(Besatzung!$D$11:$D$22="",Besatzung!$B$6,Besatzung!$D$11:$D$22)&gt;=B83)),1)),IF(I83="An Bord",(((Besatzung!$B$19&lt;&gt;"")*IF(B83="",1,(IF(Besatzung!$C$19="",Besatzung!$B$5,Besatzung!$C$19)&lt;=B83)*(IF(Besatzung!$D$19="",Besatzung!$B$6,Besatzung!$D$19)&gt;=B83)))*((G83-IFERROR(H83,0))/IFERROR(SUMPRODUCT((Besatzung!$B$11:$B$22&lt;&gt;"")*(IF(Besatzung!$C$11:$C$22="",Besatzung!$B$5,Besatzung!$C$11:$C$22)&lt;=B83)*(IF(Besatzung!$D$11:$D$22="",Besatzung!$B$6,Besatzung!$D$11:$D$22)&gt;=B83)),1)+(Besatzung!$F$19="x")*IFERROR(H83,0)/IFERROR(SUMPRODUCT((Besatzung!$B$11:$B$22&lt;&gt;"")*(Besatzung!$F$11:$F$22="x")*(IF(Besatzung!$C$11:$C$22="",Besatzung!$B$5,Besatzung!$C$11:$C$22)&lt;=B83)*(IF(Besatzung!$D$11:$D$22="",Besatzung!$B$6,Besatzung!$D$11:$D$22)&gt;=B83)),1))),IF(I83="Individuell",((R83="x")*((G83-IFERROR(H83,0))/IFERROR(COUNTIF(J83:U83,"x"),1)+(Besatzung!$F$19="x")*IFERROR(H83,0)/IFERROR(SUMPRODUCT((J83:U83="x")*(Besatzung!$F$11:$F$22="x")),1))),(IF(COUNTIF(J83:U83,"x")=0,IF(Besatzung!$B$19&lt;&gt;"",1,0),(R83="x"))*(G83-IFERROR(H83,0))/IFERROR(IF(COUNTIF(J83:U83,"x")=0,COUNTA(Besatzung!$B$11:$B$22),COUNTIF(J83:U83,"x")),1)+IF(COUNTIF(J83:U83,"x")=0,(Besatzung!$F$19="x"),(R83="x")*(Besatzung!$F$19="x"))*IFERROR(H83,0)/IFERROR(IF(COUNTIF(J83:U83,"x")=0,SUMPRODUCT((Besatzung!$B$11:$B$22&lt;&gt;"")*(Besatzung!$F$11:$F$22="x")),SUMPRODUCT((J83:U83="x")*(Besatzung!$F$11:$F$22="x"))),1))))),0))))</f>
        <v/>
      </c>
      <c r="AE83" s="247">
        <f>IF(C83="Gutschrift","",IF(G83="","",IF(Besatzung!$B$20="","",IFERROR(IF(I83="Zeitanteilig",(Besatzung!$G$20*(G83-IFERROR(H83,0))+((Besatzung!$B$20&lt;&gt;"")*IF(B83="",1,(IF(Besatzung!$C$20="",Besatzung!$B$5,Besatzung!$C$20)&lt;=B83)*(IF(Besatzung!$D$20="",Besatzung!$B$6,Besatzung!$D$20)&gt;=B83)))*(Besatzung!$F$20="x")*IFERROR(H83,0)/IFERROR(SUMPRODUCT((Besatzung!$B$11:$B$22&lt;&gt;"")*(Besatzung!$F$11:$F$22="x")*(IF(Besatzung!$C$11:$C$22="",Besatzung!$B$5,Besatzung!$C$11:$C$22)&lt;=B83)*(IF(Besatzung!$D$11:$D$22="",Besatzung!$B$6,Besatzung!$D$11:$D$22)&gt;=B83)),1)),IF(I83="An Bord",(((Besatzung!$B$20&lt;&gt;"")*IF(B83="",1,(IF(Besatzung!$C$20="",Besatzung!$B$5,Besatzung!$C$20)&lt;=B83)*(IF(Besatzung!$D$20="",Besatzung!$B$6,Besatzung!$D$20)&gt;=B83)))*((G83-IFERROR(H83,0))/IFERROR(SUMPRODUCT((Besatzung!$B$11:$B$22&lt;&gt;"")*(IF(Besatzung!$C$11:$C$22="",Besatzung!$B$5,Besatzung!$C$11:$C$22)&lt;=B83)*(IF(Besatzung!$D$11:$D$22="",Besatzung!$B$6,Besatzung!$D$11:$D$22)&gt;=B83)),1)+(Besatzung!$F$20="x")*IFERROR(H83,0)/IFERROR(SUMPRODUCT((Besatzung!$B$11:$B$22&lt;&gt;"")*(Besatzung!$F$11:$F$22="x")*(IF(Besatzung!$C$11:$C$22="",Besatzung!$B$5,Besatzung!$C$11:$C$22)&lt;=B83)*(IF(Besatzung!$D$11:$D$22="",Besatzung!$B$6,Besatzung!$D$11:$D$22)&gt;=B83)),1))),IF(I83="Individuell",((S83="x")*((G83-IFERROR(H83,0))/IFERROR(COUNTIF(J83:U83,"x"),1)+(Besatzung!$F$20="x")*IFERROR(H83,0)/IFERROR(SUMPRODUCT((J83:U83="x")*(Besatzung!$F$11:$F$22="x")),1))),(IF(COUNTIF(J83:U83,"x")=0,IF(Besatzung!$B$20&lt;&gt;"",1,0),(S83="x"))*(G83-IFERROR(H83,0))/IFERROR(IF(COUNTIF(J83:U83,"x")=0,COUNTA(Besatzung!$B$11:$B$22),COUNTIF(J83:U83,"x")),1)+IF(COUNTIF(J83:U83,"x")=0,(Besatzung!$F$20="x"),(S83="x")*(Besatzung!$F$20="x"))*IFERROR(H83,0)/IFERROR(IF(COUNTIF(J83:U83,"x")=0,SUMPRODUCT((Besatzung!$B$11:$B$22&lt;&gt;"")*(Besatzung!$F$11:$F$22="x")),SUMPRODUCT((J83:U83="x")*(Besatzung!$F$11:$F$22="x"))),1))))),0))))</f>
        <v/>
      </c>
      <c r="AF83" s="247">
        <f>IF(C83="Gutschrift","",IF(G83="","",IF(Besatzung!$B$21="","",IFERROR(IF(I83="Zeitanteilig",(Besatzung!$G$21*(G83-IFERROR(H83,0))+((Besatzung!$B$21&lt;&gt;"")*IF(B83="",1,(IF(Besatzung!$C$21="",Besatzung!$B$5,Besatzung!$C$21)&lt;=B83)*(IF(Besatzung!$D$21="",Besatzung!$B$6,Besatzung!$D$21)&gt;=B83)))*(Besatzung!$F$21="x")*IFERROR(H83,0)/IFERROR(SUMPRODUCT((Besatzung!$B$11:$B$22&lt;&gt;"")*(Besatzung!$F$11:$F$22="x")*(IF(Besatzung!$C$11:$C$22="",Besatzung!$B$5,Besatzung!$C$11:$C$22)&lt;=B83)*(IF(Besatzung!$D$11:$D$22="",Besatzung!$B$6,Besatzung!$D$11:$D$22)&gt;=B83)),1)),IF(I83="An Bord",(((Besatzung!$B$21&lt;&gt;"")*IF(B83="",1,(IF(Besatzung!$C$21="",Besatzung!$B$5,Besatzung!$C$21)&lt;=B83)*(IF(Besatzung!$D$21="",Besatzung!$B$6,Besatzung!$D$21)&gt;=B83)))*((G83-IFERROR(H83,0))/IFERROR(SUMPRODUCT((Besatzung!$B$11:$B$22&lt;&gt;"")*(IF(Besatzung!$C$11:$C$22="",Besatzung!$B$5,Besatzung!$C$11:$C$22)&lt;=B83)*(IF(Besatzung!$D$11:$D$22="",Besatzung!$B$6,Besatzung!$D$11:$D$22)&gt;=B83)),1)+(Besatzung!$F$21="x")*IFERROR(H83,0)/IFERROR(SUMPRODUCT((Besatzung!$B$11:$B$22&lt;&gt;"")*(Besatzung!$F$11:$F$22="x")*(IF(Besatzung!$C$11:$C$22="",Besatzung!$B$5,Besatzung!$C$11:$C$22)&lt;=B83)*(IF(Besatzung!$D$11:$D$22="",Besatzung!$B$6,Besatzung!$D$11:$D$22)&gt;=B83)),1))),IF(I83="Individuell",((T83="x")*((G83-IFERROR(H83,0))/IFERROR(COUNTIF(J83:U83,"x"),1)+(Besatzung!$F$21="x")*IFERROR(H83,0)/IFERROR(SUMPRODUCT((J83:U83="x")*(Besatzung!$F$11:$F$22="x")),1))),(IF(COUNTIF(J83:U83,"x")=0,IF(Besatzung!$B$21&lt;&gt;"",1,0),(T83="x"))*(G83-IFERROR(H83,0))/IFERROR(IF(COUNTIF(J83:U83,"x")=0,COUNTA(Besatzung!$B$11:$B$22),COUNTIF(J83:U83,"x")),1)+IF(COUNTIF(J83:U83,"x")=0,(Besatzung!$F$21="x"),(T83="x")*(Besatzung!$F$21="x"))*IFERROR(H83,0)/IFERROR(IF(COUNTIF(J83:U83,"x")=0,SUMPRODUCT((Besatzung!$B$11:$B$22&lt;&gt;"")*(Besatzung!$F$11:$F$22="x")),SUMPRODUCT((J83:U83="x")*(Besatzung!$F$11:$F$22="x"))),1))))),0))))</f>
        <v/>
      </c>
      <c r="AG83" s="247">
        <f>IF(C83="Gutschrift","",IF(G83="","",IF(Besatzung!$B$22="","",IFERROR(IF(I83="Zeitanteilig",(Besatzung!$G$22*(G83-IFERROR(H83,0))+((Besatzung!$B$22&lt;&gt;"")*IF(B83="",1,(IF(Besatzung!$C$22="",Besatzung!$B$5,Besatzung!$C$22)&lt;=B83)*(IF(Besatzung!$D$22="",Besatzung!$B$6,Besatzung!$D$22)&gt;=B83)))*(Besatzung!$F$22="x")*IFERROR(H83,0)/IFERROR(SUMPRODUCT((Besatzung!$B$11:$B$22&lt;&gt;"")*(Besatzung!$F$11:$F$22="x")*(IF(Besatzung!$C$11:$C$22="",Besatzung!$B$5,Besatzung!$C$11:$C$22)&lt;=B83)*(IF(Besatzung!$D$11:$D$22="",Besatzung!$B$6,Besatzung!$D$11:$D$22)&gt;=B83)),1)),IF(I83="An Bord",(((Besatzung!$B$22&lt;&gt;"")*IF(B83="",1,(IF(Besatzung!$C$22="",Besatzung!$B$5,Besatzung!$C$22)&lt;=B83)*(IF(Besatzung!$D$22="",Besatzung!$B$6,Besatzung!$D$22)&gt;=B83)))*((G83-IFERROR(H83,0))/IFERROR(SUMPRODUCT((Besatzung!$B$11:$B$22&lt;&gt;"")*(IF(Besatzung!$C$11:$C$22="",Besatzung!$B$5,Besatzung!$C$11:$C$22)&lt;=B83)*(IF(Besatzung!$D$11:$D$22="",Besatzung!$B$6,Besatzung!$D$11:$D$22)&gt;=B83)),1)+(Besatzung!$F$22="x")*IFERROR(H83,0)/IFERROR(SUMPRODUCT((Besatzung!$B$11:$B$22&lt;&gt;"")*(Besatzung!$F$11:$F$22="x")*(IF(Besatzung!$C$11:$C$22="",Besatzung!$B$5,Besatzung!$C$11:$C$22)&lt;=B83)*(IF(Besatzung!$D$11:$D$22="",Besatzung!$B$6,Besatzung!$D$11:$D$22)&gt;=B83)),1))),IF(I83="Individuell",((U83="x")*((G83-IFERROR(H83,0))/IFERROR(COUNTIF(J83:U83,"x"),1)+(Besatzung!$F$22="x")*IFERROR(H83,0)/IFERROR(SUMPRODUCT((J83:U83="x")*(Besatzung!$F$11:$F$22="x")),1))),(IF(COUNTIF(J83:U83,"x")=0,IF(Besatzung!$B$22&lt;&gt;"",1,0),(U83="x"))*(G83-IFERROR(H83,0))/IFERROR(IF(COUNTIF(J83:U83,"x")=0,COUNTA(Besatzung!$B$11:$B$22),COUNTIF(J83:U83,"x")),1)+IF(COUNTIF(J83:U83,"x")=0,(Besatzung!$F$22="x"),(U83="x")*(Besatzung!$F$22="x"))*IFERROR(H83,0)/IFERROR(IF(COUNTIF(J83:U83,"x")=0,SUMPRODUCT((Besatzung!$B$11:$B$22&lt;&gt;"")*(Besatzung!$F$11:$F$22="x")),SUMPRODUCT((J83:U83="x")*(Besatzung!$F$11:$F$22="x"))),1))))),0))))</f>
        <v/>
      </c>
      <c r="AH83" s="248" t="n"/>
      <c r="AI83" s="248" t="n"/>
    </row>
    <row r="84" ht="21.75" customHeight="1" s="154">
      <c r="A84" s="238">
        <f>IF(AND(D84="",C84=""),"",81)</f>
        <v/>
      </c>
      <c r="B84" s="199" t="n"/>
      <c r="C84" s="239" t="n"/>
      <c r="D84" s="240" t="n"/>
      <c r="E84" s="241" t="n"/>
      <c r="F84" s="242" t="n"/>
      <c r="G84" s="243" t="n"/>
      <c r="H84" s="244" t="n"/>
      <c r="I84" s="245" t="n"/>
      <c r="J84" s="246" t="n"/>
      <c r="K84" s="246" t="n"/>
      <c r="L84" s="246" t="n"/>
      <c r="M84" s="246" t="n"/>
      <c r="N84" s="246" t="n"/>
      <c r="O84" s="246" t="n"/>
      <c r="P84" s="246" t="n"/>
      <c r="Q84" s="246" t="n"/>
      <c r="R84" s="246" t="n"/>
      <c r="S84" s="246" t="n"/>
      <c r="T84" s="246" t="n"/>
      <c r="U84" s="246" t="n"/>
      <c r="V84" s="247">
        <f>IF(C84="Gutschrift","",IF(G84="","",IF(Besatzung!$B$11="","",IFERROR(IF(I84="Zeitanteilig",(Besatzung!$G$11*(G84-IFERROR(H84,0))+((Besatzung!$B$11&lt;&gt;"")*IF(B84="",1,(IF(Besatzung!$C$11="",Besatzung!$B$5,Besatzung!$C$11)&lt;=B84)*(IF(Besatzung!$D$11="",Besatzung!$B$6,Besatzung!$D$11)&gt;=B84)))*(Besatzung!$F$11="x")*IFERROR(H84,0)/IFERROR(SUMPRODUCT((Besatzung!$B$11:$B$22&lt;&gt;"")*(Besatzung!$F$11:$F$22="x")*(IF(Besatzung!$C$11:$C$22="",Besatzung!$B$5,Besatzung!$C$11:$C$22)&lt;=B84)*(IF(Besatzung!$D$11:$D$22="",Besatzung!$B$6,Besatzung!$D$11:$D$22)&gt;=B84)),1)),IF(I84="An Bord",(((Besatzung!$B$11&lt;&gt;"")*IF(B84="",1,(IF(Besatzung!$C$11="",Besatzung!$B$5,Besatzung!$C$11)&lt;=B84)*(IF(Besatzung!$D$11="",Besatzung!$B$6,Besatzung!$D$11)&gt;=B84)))*((G84-IFERROR(H84,0))/IFERROR(SUMPRODUCT((Besatzung!$B$11:$B$22&lt;&gt;"")*(IF(Besatzung!$C$11:$C$22="",Besatzung!$B$5,Besatzung!$C$11:$C$22)&lt;=B84)*(IF(Besatzung!$D$11:$D$22="",Besatzung!$B$6,Besatzung!$D$11:$D$22)&gt;=B84)),1)+(Besatzung!$F$11="x")*IFERROR(H84,0)/IFERROR(SUMPRODUCT((Besatzung!$B$11:$B$22&lt;&gt;"")*(Besatzung!$F$11:$F$22="x")*(IF(Besatzung!$C$11:$C$22="",Besatzung!$B$5,Besatzung!$C$11:$C$22)&lt;=B84)*(IF(Besatzung!$D$11:$D$22="",Besatzung!$B$6,Besatzung!$D$11:$D$22)&gt;=B84)),1))),IF(I84="Individuell",((J84="x")*((G84-IFERROR(H84,0))/IFERROR(COUNTIF(J84:U84,"x"),1)+(Besatzung!$F$11="x")*IFERROR(H84,0)/IFERROR(SUMPRODUCT((J84:U84="x")*(Besatzung!$F$11:$F$22="x")),1))),(IF(COUNTIF(J84:U84,"x")=0,IF(Besatzung!$B$11&lt;&gt;"",1,0),(J84="x"))*(G84-IFERROR(H84,0))/IFERROR(IF(COUNTIF(J84:U84,"x")=0,COUNTA(Besatzung!$B$11:$B$22),COUNTIF(J84:U84,"x")),1)+IF(COUNTIF(J84:U84,"x")=0,(Besatzung!$F$11="x"),(J84="x")*(Besatzung!$F$11="x"))*IFERROR(H84,0)/IFERROR(IF(COUNTIF(J84:U84,"x")=0,SUMPRODUCT((Besatzung!$B$11:$B$22&lt;&gt;"")*(Besatzung!$F$11:$F$22="x")),SUMPRODUCT((J84:U84="x")*(Besatzung!$F$11:$F$22="x"))),1))))),0))))</f>
        <v/>
      </c>
      <c r="W84" s="247">
        <f>IF(C84="Gutschrift","",IF(G84="","",IF(Besatzung!$B$12="","",IFERROR(IF(I84="Zeitanteilig",(Besatzung!$G$12*(G84-IFERROR(H84,0))+((Besatzung!$B$12&lt;&gt;"")*IF(B84="",1,(IF(Besatzung!$C$12="",Besatzung!$B$5,Besatzung!$C$12)&lt;=B84)*(IF(Besatzung!$D$12="",Besatzung!$B$6,Besatzung!$D$12)&gt;=B84)))*(Besatzung!$F$12="x")*IFERROR(H84,0)/IFERROR(SUMPRODUCT((Besatzung!$B$11:$B$22&lt;&gt;"")*(Besatzung!$F$11:$F$22="x")*(IF(Besatzung!$C$11:$C$22="",Besatzung!$B$5,Besatzung!$C$11:$C$22)&lt;=B84)*(IF(Besatzung!$D$11:$D$22="",Besatzung!$B$6,Besatzung!$D$11:$D$22)&gt;=B84)),1)),IF(I84="An Bord",(((Besatzung!$B$12&lt;&gt;"")*IF(B84="",1,(IF(Besatzung!$C$12="",Besatzung!$B$5,Besatzung!$C$12)&lt;=B84)*(IF(Besatzung!$D$12="",Besatzung!$B$6,Besatzung!$D$12)&gt;=B84)))*((G84-IFERROR(H84,0))/IFERROR(SUMPRODUCT((Besatzung!$B$11:$B$22&lt;&gt;"")*(IF(Besatzung!$C$11:$C$22="",Besatzung!$B$5,Besatzung!$C$11:$C$22)&lt;=B84)*(IF(Besatzung!$D$11:$D$22="",Besatzung!$B$6,Besatzung!$D$11:$D$22)&gt;=B84)),1)+(Besatzung!$F$12="x")*IFERROR(H84,0)/IFERROR(SUMPRODUCT((Besatzung!$B$11:$B$22&lt;&gt;"")*(Besatzung!$F$11:$F$22="x")*(IF(Besatzung!$C$11:$C$22="",Besatzung!$B$5,Besatzung!$C$11:$C$22)&lt;=B84)*(IF(Besatzung!$D$11:$D$22="",Besatzung!$B$6,Besatzung!$D$11:$D$22)&gt;=B84)),1))),IF(I84="Individuell",((K84="x")*((G84-IFERROR(H84,0))/IFERROR(COUNTIF(J84:U84,"x"),1)+(Besatzung!$F$12="x")*IFERROR(H84,0)/IFERROR(SUMPRODUCT((J84:U84="x")*(Besatzung!$F$11:$F$22="x")),1))),(IF(COUNTIF(J84:U84,"x")=0,IF(Besatzung!$B$12&lt;&gt;"",1,0),(K84="x"))*(G84-IFERROR(H84,0))/IFERROR(IF(COUNTIF(J84:U84,"x")=0,COUNTA(Besatzung!$B$11:$B$22),COUNTIF(J84:U84,"x")),1)+IF(COUNTIF(J84:U84,"x")=0,(Besatzung!$F$12="x"),(K84="x")*(Besatzung!$F$12="x"))*IFERROR(H84,0)/IFERROR(IF(COUNTIF(J84:U84,"x")=0,SUMPRODUCT((Besatzung!$B$11:$B$22&lt;&gt;"")*(Besatzung!$F$11:$F$22="x")),SUMPRODUCT((J84:U84="x")*(Besatzung!$F$11:$F$22="x"))),1))))),0))))</f>
        <v/>
      </c>
      <c r="X84" s="247">
        <f>IF(C84="Gutschrift","",IF(G84="","",IF(Besatzung!$B$13="","",IFERROR(IF(I84="Zeitanteilig",(Besatzung!$G$13*(G84-IFERROR(H84,0))+((Besatzung!$B$13&lt;&gt;"")*IF(B84="",1,(IF(Besatzung!$C$13="",Besatzung!$B$5,Besatzung!$C$13)&lt;=B84)*(IF(Besatzung!$D$13="",Besatzung!$B$6,Besatzung!$D$13)&gt;=B84)))*(Besatzung!$F$13="x")*IFERROR(H84,0)/IFERROR(SUMPRODUCT((Besatzung!$B$11:$B$22&lt;&gt;"")*(Besatzung!$F$11:$F$22="x")*(IF(Besatzung!$C$11:$C$22="",Besatzung!$B$5,Besatzung!$C$11:$C$22)&lt;=B84)*(IF(Besatzung!$D$11:$D$22="",Besatzung!$B$6,Besatzung!$D$11:$D$22)&gt;=B84)),1)),IF(I84="An Bord",(((Besatzung!$B$13&lt;&gt;"")*IF(B84="",1,(IF(Besatzung!$C$13="",Besatzung!$B$5,Besatzung!$C$13)&lt;=B84)*(IF(Besatzung!$D$13="",Besatzung!$B$6,Besatzung!$D$13)&gt;=B84)))*((G84-IFERROR(H84,0))/IFERROR(SUMPRODUCT((Besatzung!$B$11:$B$22&lt;&gt;"")*(IF(Besatzung!$C$11:$C$22="",Besatzung!$B$5,Besatzung!$C$11:$C$22)&lt;=B84)*(IF(Besatzung!$D$11:$D$22="",Besatzung!$B$6,Besatzung!$D$11:$D$22)&gt;=B84)),1)+(Besatzung!$F$13="x")*IFERROR(H84,0)/IFERROR(SUMPRODUCT((Besatzung!$B$11:$B$22&lt;&gt;"")*(Besatzung!$F$11:$F$22="x")*(IF(Besatzung!$C$11:$C$22="",Besatzung!$B$5,Besatzung!$C$11:$C$22)&lt;=B84)*(IF(Besatzung!$D$11:$D$22="",Besatzung!$B$6,Besatzung!$D$11:$D$22)&gt;=B84)),1))),IF(I84="Individuell",((K84="x")*((G84-IFERROR(H84,0))/IFERROR(COUNTIF(J84:U84,"x"),1)+(Besatzung!$F$13="x")*IFERROR(H84,0)/IFERROR(SUMPRODUCT((J84:U84="x")*(Besatzung!$F$11:$F$22="x")),1))),(IF(COUNTIF(J84:U84,"x")=0,IF(Besatzung!$B$13&lt;&gt;"",1,0),(K84="x"))*(G84-IFERROR(H84,0))/IFERROR(IF(COUNTIF(J84:U84,"x")=0,COUNTA(Besatzung!$B$11:$B$22),COUNTIF(J84:U84,"x")),1)+IF(COUNTIF(J84:U84,"x")=0,(Besatzung!$F$13="x"),(K84="x")*(Besatzung!$F$13="x"))*IFERROR(H84,0)/IFERROR(IF(COUNTIF(J84:U84,"x")=0,SUMPRODUCT((Besatzung!$B$11:$B$22&lt;&gt;"")*(Besatzung!$F$11:$F$22="x")),SUMPRODUCT((J84:U84="x")*(Besatzung!$F$11:$F$22="x"))),1))))),0))))</f>
        <v/>
      </c>
      <c r="Y84" s="247">
        <f>IF(C84="Gutschrift","",IF(G84="","",IF(Besatzung!$B$14="","",IFERROR(IF(I84="Zeitanteilig",(Besatzung!$G$14*(G84-IFERROR(H84,0))+((Besatzung!$B$14&lt;&gt;"")*IF(B84="",1,(IF(Besatzung!$C$14="",Besatzung!$B$5,Besatzung!$C$14)&lt;=B84)*(IF(Besatzung!$D$14="",Besatzung!$B$6,Besatzung!$D$14)&gt;=B84)))*(Besatzung!$F$14="x")*IFERROR(H84,0)/IFERROR(SUMPRODUCT((Besatzung!$B$11:$B$22&lt;&gt;"")*(Besatzung!$F$11:$F$22="x")*(IF(Besatzung!$C$11:$C$22="",Besatzung!$B$5,Besatzung!$C$11:$C$22)&lt;=B84)*(IF(Besatzung!$D$11:$D$22="",Besatzung!$B$6,Besatzung!$D$11:$D$22)&gt;=B84)),1)),IF(I84="An Bord",(((Besatzung!$B$14&lt;&gt;"")*IF(B84="",1,(IF(Besatzung!$C$14="",Besatzung!$B$5,Besatzung!$C$14)&lt;=B84)*(IF(Besatzung!$D$14="",Besatzung!$B$6,Besatzung!$D$14)&gt;=B84)))*((G84-IFERROR(H84,0))/IFERROR(SUMPRODUCT((Besatzung!$B$11:$B$22&lt;&gt;"")*(IF(Besatzung!$C$11:$C$22="",Besatzung!$B$5,Besatzung!$C$11:$C$22)&lt;=B84)*(IF(Besatzung!$D$11:$D$22="",Besatzung!$B$6,Besatzung!$D$11:$D$22)&gt;=B84)),1)+(Besatzung!$F$14="x")*IFERROR(H84,0)/IFERROR(SUMPRODUCT((Besatzung!$B$11:$B$22&lt;&gt;"")*(Besatzung!$F$11:$F$22="x")*(IF(Besatzung!$C$11:$C$22="",Besatzung!$B$5,Besatzung!$C$11:$C$22)&lt;=B84)*(IF(Besatzung!$D$11:$D$22="",Besatzung!$B$6,Besatzung!$D$11:$D$22)&gt;=B84)),1))),IF(I84="Individuell",((M84="x")*((G84-IFERROR(H84,0))/IFERROR(COUNTIF(J84:U84,"x"),1)+(Besatzung!$F$14="x")*IFERROR(H84,0)/IFERROR(SUMPRODUCT((J84:U84="x")*(Besatzung!$F$11:$F$22="x")),1))),(IF(COUNTIF(J84:U84,"x")=0,IF(Besatzung!$B$14&lt;&gt;"",1,0),(M84="x"))*(G84-IFERROR(H84,0))/IFERROR(IF(COUNTIF(J84:U84,"x")=0,COUNTA(Besatzung!$B$11:$B$22),COUNTIF(J84:U84,"x")),1)+IF(COUNTIF(J84:U84,"x")=0,(Besatzung!$F$14="x"),(M84="x")*(Besatzung!$F$14="x"))*IFERROR(H84,0)/IFERROR(IF(COUNTIF(J84:U84,"x")=0,SUMPRODUCT((Besatzung!$B$11:$B$22&lt;&gt;"")*(Besatzung!$F$11:$F$22="x")),SUMPRODUCT((J84:U84="x")*(Besatzung!$F$11:$F$22="x"))),1))))),0))))</f>
        <v/>
      </c>
      <c r="Z84" s="247">
        <f>IF(C84="Gutschrift","",IF(G84="","",IF(Besatzung!$B$13="","",IFERROR(IF(I84="Zeitanteilig",(Besatzung!$G$15*(G84-IFERROR(H84,0))+((Besatzung!$B$13&lt;&gt;"")*IF(B84="",1,(IF(Besatzung!$C$15="",Besatzung!$B$5,Besatzung!$C$15)&lt;=B84)*(IF(Besatzung!$D$15="",Besatzung!$B$6,Besatzung!$D$15)&gt;=B84)))*(Besatzung!$F$15="x")*IFERROR(H84,0)/IFERROR(SUMPRODUCT((Besatzung!$B$11:$B$22&lt;&gt;"")*(Besatzung!$F$11:$F$22="x")*(IF(Besatzung!$C$11:$C$22="",Besatzung!$B$5,Besatzung!$C$11:$C$22)&lt;=B84)*(IF(Besatzung!$D$11:$D$22="",Besatzung!$B$6,Besatzung!$D$11:$D$22)&gt;=B84)),1)),IF(I84="An Bord",(((Besatzung!$B$13&lt;&gt;"")*IF(B84="",1,(IF(Besatzung!$C$15="",Besatzung!$B$5,Besatzung!$C$15)&lt;=B84)*(IF(Besatzung!$D$15="",Besatzung!$B$6,Besatzung!$D$15)&gt;=B84)))*((G84-IFERROR(H84,0))/IFERROR(SUMPRODUCT((Besatzung!$B$11:$B$22&lt;&gt;"")*(IF(Besatzung!$C$11:$C$22="",Besatzung!$B$5,Besatzung!$C$11:$C$22)&lt;=B84)*(IF(Besatzung!$D$11:$D$22="",Besatzung!$B$6,Besatzung!$D$11:$D$22)&gt;=B84)),1)+(Besatzung!$F$15="x")*IFERROR(H84,0)/IFERROR(SUMPRODUCT((Besatzung!$B$11:$B$22&lt;&gt;"")*(Besatzung!$F$11:$F$22="x")*(IF(Besatzung!$C$11:$C$22="",Besatzung!$B$5,Besatzung!$C$11:$C$22)&lt;=B84)*(IF(Besatzung!$D$11:$D$22="",Besatzung!$B$6,Besatzung!$D$11:$D$22)&gt;=B84)),1))),IF(I84="Individuell",((N84="x")*((G84-IFERROR(H84,0))/IFERROR(COUNTIF(J84:U84,"x"),1)+(Besatzung!$F$15="x")*IFERROR(H84,0)/IFERROR(SUMPRODUCT((J84:U84="x")*(Besatzung!$F$11:$F$22="x")),1))),(IF(COUNTIF(J84:U84,"x")=0,IF(Besatzung!$B$13&lt;&gt;"",1,0),(N84="x"))*(G84-IFERROR(H84,0))/IFERROR(IF(COUNTIF(J84:U84,"x")=0,COUNTA(Besatzung!$B$11:$B$22),COUNTIF(J84:U84,"x")),1)+IF(COUNTIF(J84:U84,"x")=0,(Besatzung!$F$15="x"),(N84="x")*(Besatzung!$F$15="x"))*IFERROR(H84,0)/IFERROR(IF(COUNTIF(J84:U84,"x")=0,SUMPRODUCT((Besatzung!$B$11:$B$22&lt;&gt;"")*(Besatzung!$F$11:$F$22="x")),SUMPRODUCT((J84:U84="x")*(Besatzung!$F$11:$F$22="x"))),1))))),0))))</f>
        <v/>
      </c>
      <c r="AA84" s="247">
        <f>IF(C84="Gutschrift","",IF(G84="","",IF(Besatzung!$B$15="","",IFERROR(IF(I84="Zeitanteilig",(Besatzung!$G$16*(G84-IFERROR(H84,0))+((Besatzung!$B$15&lt;&gt;"")*IF(B84="",1,(IF(Besatzung!$C$16="",Besatzung!$B$5,Besatzung!$C$16)&lt;=B84)*(IF(Besatzung!$D$16="",Besatzung!$B$6,Besatzung!$D$16)&gt;=B84)))*(Besatzung!$F$16="x")*IFERROR(H84,0)/IFERROR(SUMPRODUCT((Besatzung!$B$11:$B$22&lt;&gt;"")*(Besatzung!$F$11:$F$22="x")*(IF(Besatzung!$C$11:$C$22="",Besatzung!$B$5,Besatzung!$C$11:$C$22)&lt;=B84)*(IF(Besatzung!$D$11:$D$22="",Besatzung!$B$6,Besatzung!$D$11:$D$22)&gt;=B84)),1)),IF(I84="An Bord",(((Besatzung!$B$15&lt;&gt;"")*IF(B84="",1,(IF(Besatzung!$C$16="",Besatzung!$B$5,Besatzung!$C$16)&lt;=B84)*(IF(Besatzung!$D$16="",Besatzung!$B$6,Besatzung!$D$16)&gt;=B84)))*((G84-IFERROR(H84,0))/IFERROR(SUMPRODUCT((Besatzung!$B$11:$B$22&lt;&gt;"")*(IF(Besatzung!$C$11:$C$22="",Besatzung!$B$5,Besatzung!$C$11:$C$22)&lt;=B84)*(IF(Besatzung!$D$11:$D$22="",Besatzung!$B$6,Besatzung!$D$11:$D$22)&gt;=B84)),1)+(Besatzung!$F$16="x")*IFERROR(H84,0)/IFERROR(SUMPRODUCT((Besatzung!$B$11:$B$22&lt;&gt;"")*(Besatzung!$F$11:$F$22="x")*(IF(Besatzung!$C$11:$C$22="",Besatzung!$B$5,Besatzung!$C$11:$C$22)&lt;=B84)*(IF(Besatzung!$D$11:$D$22="",Besatzung!$B$6,Besatzung!$D$11:$D$22)&gt;=B84)),1))),IF(I84="Individuell",((O84="x")*((G84-IFERROR(H84,0))/IFERROR(COUNTIF(J84:U84,"x"),1)+(Besatzung!$F$16="x")*IFERROR(H84,0)/IFERROR(SUMPRODUCT((J84:U84="x")*(Besatzung!$F$11:$F$22="x")),1))),(IF(COUNTIF(J84:U84,"x")=0,IF(Besatzung!$B$15&lt;&gt;"",1,0),(O84="x"))*(G84-IFERROR(H84,0))/IFERROR(IF(COUNTIF(J84:U84,"x")=0,COUNTA(Besatzung!$B$11:$B$22),COUNTIF(J84:U84,"x")),1)+IF(COUNTIF(J84:U84,"x")=0,(Besatzung!$F$16="x"),(O84="x")*(Besatzung!$F$16="x"))*IFERROR(H84,0)/IFERROR(IF(COUNTIF(J84:U84,"x")=0,SUMPRODUCT((Besatzung!$B$11:$B$22&lt;&gt;"")*(Besatzung!$F$11:$F$22="x")),SUMPRODUCT((J84:U84="x")*(Besatzung!$F$11:$F$22="x"))),1))))),0))))</f>
        <v/>
      </c>
      <c r="AB84" s="247">
        <f>IF(C84="Gutschrift","",IF(G84="","",IF(Besatzung!$B$17="","",IFERROR(IF(I84="Zeitanteilig",(Besatzung!$G$17*(G84-IFERROR(H84,0))+((Besatzung!$B$17&lt;&gt;"")*IF(B84="",1,(IF(Besatzung!$C$17="",Besatzung!$B$5,Besatzung!$C$17)&lt;=B84)*(IF(Besatzung!$D$17="",Besatzung!$B$6,Besatzung!$D$17)&gt;=B84)))*(Besatzung!$F$17="x")*IFERROR(H84,0)/IFERROR(SUMPRODUCT((Besatzung!$B$11:$B$22&lt;&gt;"")*(Besatzung!$F$11:$F$22="x")*(IF(Besatzung!$C$11:$C$22="",Besatzung!$B$5,Besatzung!$C$11:$C$22)&lt;=B84)*(IF(Besatzung!$D$11:$D$22="",Besatzung!$B$6,Besatzung!$D$11:$D$22)&gt;=B84)),1)),IF(I84="An Bord",(((Besatzung!$B$17&lt;&gt;"")*IF(B84="",1,(IF(Besatzung!$C$17="",Besatzung!$B$5,Besatzung!$C$17)&lt;=B84)*(IF(Besatzung!$D$17="",Besatzung!$B$6,Besatzung!$D$17)&gt;=B84)))*((G84-IFERROR(H84,0))/IFERROR(SUMPRODUCT((Besatzung!$B$11:$B$22&lt;&gt;"")*(IF(Besatzung!$C$11:$C$22="",Besatzung!$B$5,Besatzung!$C$11:$C$22)&lt;=B84)*(IF(Besatzung!$D$11:$D$22="",Besatzung!$B$6,Besatzung!$D$11:$D$22)&gt;=B84)),1)+(Besatzung!$F$17="x")*IFERROR(H84,0)/IFERROR(SUMPRODUCT((Besatzung!$B$11:$B$22&lt;&gt;"")*(Besatzung!$F$11:$F$22="x")*(IF(Besatzung!$C$11:$C$22="",Besatzung!$B$5,Besatzung!$C$11:$C$22)&lt;=B84)*(IF(Besatzung!$D$11:$D$22="",Besatzung!$B$6,Besatzung!$D$11:$D$22)&gt;=B84)),1))),IF(I84="Individuell",((P84="x")*((G84-IFERROR(H84,0))/IFERROR(COUNTIF(J84:U84,"x"),1)+(Besatzung!$F$17="x")*IFERROR(H84,0)/IFERROR(SUMPRODUCT((J84:U84="x")*(Besatzung!$F$11:$F$22="x")),1))),(IF(COUNTIF(J84:U84,"x")=0,IF(Besatzung!$B$17&lt;&gt;"",1,0),(P84="x"))*(G84-IFERROR(H84,0))/IFERROR(IF(COUNTIF(J84:U84,"x")=0,COUNTA(Besatzung!$B$11:$B$22),COUNTIF(J84:U84,"x")),1)+IF(COUNTIF(J84:U84,"x")=0,(Besatzung!$F$17="x"),(P84="x")*(Besatzung!$F$17="x"))*IFERROR(H84,0)/IFERROR(IF(COUNTIF(J84:U84,"x")=0,SUMPRODUCT((Besatzung!$B$11:$B$22&lt;&gt;"")*(Besatzung!$F$11:$F$22="x")),SUMPRODUCT((J84:U84="x")*(Besatzung!$F$11:$F$22="x"))),1))))),0))))</f>
        <v/>
      </c>
      <c r="AC84" s="247">
        <f>IF(C84="Gutschrift","",IF(G84="","",IF(Besatzung!$B$18="","",IFERROR(IF(I84="Zeitanteilig",(Besatzung!$G$18*(G84-IFERROR(H84,0))+((Besatzung!$B$18&lt;&gt;"")*IF(B84="",1,(IF(Besatzung!$C$18="",Besatzung!$B$5,Besatzung!$C$18)&lt;=B84)*(IF(Besatzung!$D$18="",Besatzung!$B$6,Besatzung!$D$18)&gt;=B84)))*(Besatzung!$F$18="x")*IFERROR(H84,0)/IFERROR(SUMPRODUCT((Besatzung!$B$11:$B$22&lt;&gt;"")*(Besatzung!$F$11:$F$22="x")*(IF(Besatzung!$C$11:$C$22="",Besatzung!$B$5,Besatzung!$C$11:$C$22)&lt;=B84)*(IF(Besatzung!$D$11:$D$22="",Besatzung!$B$6,Besatzung!$D$11:$D$22)&gt;=B84)),1)),IF(I84="An Bord",(((Besatzung!$B$18&lt;&gt;"")*IF(B84="",1,(IF(Besatzung!$C$18="",Besatzung!$B$5,Besatzung!$C$18)&lt;=B84)*(IF(Besatzung!$D$18="",Besatzung!$B$6,Besatzung!$D$18)&gt;=B84)))*((G84-IFERROR(H84,0))/IFERROR(SUMPRODUCT((Besatzung!$B$11:$B$22&lt;&gt;"")*(IF(Besatzung!$C$11:$C$22="",Besatzung!$B$5,Besatzung!$C$11:$C$22)&lt;=B84)*(IF(Besatzung!$D$11:$D$22="",Besatzung!$B$6,Besatzung!$D$11:$D$22)&gt;=B84)),1)+(Besatzung!$F$18="x")*IFERROR(H84,0)/IFERROR(SUMPRODUCT((Besatzung!$B$11:$B$22&lt;&gt;"")*(Besatzung!$F$11:$F$22="x")*(IF(Besatzung!$C$11:$C$22="",Besatzung!$B$5,Besatzung!$C$11:$C$22)&lt;=B84)*(IF(Besatzung!$D$11:$D$22="",Besatzung!$B$6,Besatzung!$D$11:$D$22)&gt;=B84)),1))),IF(I84="Individuell",((Q84="x")*((G84-IFERROR(H84,0))/IFERROR(COUNTIF(J84:U84,"x"),1)+(Besatzung!$F$18="x")*IFERROR(H84,0)/IFERROR(SUMPRODUCT((J84:U84="x")*(Besatzung!$F$11:$F$22="x")),1))),(IF(COUNTIF(J84:U84,"x")=0,IF(Besatzung!$B$18&lt;&gt;"",1,0),(Q84="x"))*(G84-IFERROR(H84,0))/IFERROR(IF(COUNTIF(J84:U84,"x")=0,COUNTA(Besatzung!$B$11:$B$22),COUNTIF(J84:U84,"x")),1)+IF(COUNTIF(J84:U84,"x")=0,(Besatzung!$F$18="x"),(Q84="x")*(Besatzung!$F$18="x"))*IFERROR(H84,0)/IFERROR(IF(COUNTIF(J84:U84,"x")=0,SUMPRODUCT((Besatzung!$B$11:$B$22&lt;&gt;"")*(Besatzung!$F$11:$F$22="x")),SUMPRODUCT((J84:U84="x")*(Besatzung!$F$11:$F$22="x"))),1))))),0))))</f>
        <v/>
      </c>
      <c r="AD84" s="247">
        <f>IF(C84="Gutschrift","",IF(G84="","",IF(Besatzung!$B$19="","",IFERROR(IF(I84="Zeitanteilig",(Besatzung!$G$19*(G84-IFERROR(H84,0))+((Besatzung!$B$19&lt;&gt;"")*IF(B84="",1,(IF(Besatzung!$C$19="",Besatzung!$B$5,Besatzung!$C$19)&lt;=B84)*(IF(Besatzung!$D$19="",Besatzung!$B$6,Besatzung!$D$19)&gt;=B84)))*(Besatzung!$F$19="x")*IFERROR(H84,0)/IFERROR(SUMPRODUCT((Besatzung!$B$11:$B$22&lt;&gt;"")*(Besatzung!$F$11:$F$22="x")*(IF(Besatzung!$C$11:$C$22="",Besatzung!$B$5,Besatzung!$C$11:$C$22)&lt;=B84)*(IF(Besatzung!$D$11:$D$22="",Besatzung!$B$6,Besatzung!$D$11:$D$22)&gt;=B84)),1)),IF(I84="An Bord",(((Besatzung!$B$19&lt;&gt;"")*IF(B84="",1,(IF(Besatzung!$C$19="",Besatzung!$B$5,Besatzung!$C$19)&lt;=B84)*(IF(Besatzung!$D$19="",Besatzung!$B$6,Besatzung!$D$19)&gt;=B84)))*((G84-IFERROR(H84,0))/IFERROR(SUMPRODUCT((Besatzung!$B$11:$B$22&lt;&gt;"")*(IF(Besatzung!$C$11:$C$22="",Besatzung!$B$5,Besatzung!$C$11:$C$22)&lt;=B84)*(IF(Besatzung!$D$11:$D$22="",Besatzung!$B$6,Besatzung!$D$11:$D$22)&gt;=B84)),1)+(Besatzung!$F$19="x")*IFERROR(H84,0)/IFERROR(SUMPRODUCT((Besatzung!$B$11:$B$22&lt;&gt;"")*(Besatzung!$F$11:$F$22="x")*(IF(Besatzung!$C$11:$C$22="",Besatzung!$B$5,Besatzung!$C$11:$C$22)&lt;=B84)*(IF(Besatzung!$D$11:$D$22="",Besatzung!$B$6,Besatzung!$D$11:$D$22)&gt;=B84)),1))),IF(I84="Individuell",((R84="x")*((G84-IFERROR(H84,0))/IFERROR(COUNTIF(J84:U84,"x"),1)+(Besatzung!$F$19="x")*IFERROR(H84,0)/IFERROR(SUMPRODUCT((J84:U84="x")*(Besatzung!$F$11:$F$22="x")),1))),(IF(COUNTIF(J84:U84,"x")=0,IF(Besatzung!$B$19&lt;&gt;"",1,0),(R84="x"))*(G84-IFERROR(H84,0))/IFERROR(IF(COUNTIF(J84:U84,"x")=0,COUNTA(Besatzung!$B$11:$B$22),COUNTIF(J84:U84,"x")),1)+IF(COUNTIF(J84:U84,"x")=0,(Besatzung!$F$19="x"),(R84="x")*(Besatzung!$F$19="x"))*IFERROR(H84,0)/IFERROR(IF(COUNTIF(J84:U84,"x")=0,SUMPRODUCT((Besatzung!$B$11:$B$22&lt;&gt;"")*(Besatzung!$F$11:$F$22="x")),SUMPRODUCT((J84:U84="x")*(Besatzung!$F$11:$F$22="x"))),1))))),0))))</f>
        <v/>
      </c>
      <c r="AE84" s="247">
        <f>IF(C84="Gutschrift","",IF(G84="","",IF(Besatzung!$B$20="","",IFERROR(IF(I84="Zeitanteilig",(Besatzung!$G$20*(G84-IFERROR(H84,0))+((Besatzung!$B$20&lt;&gt;"")*IF(B84="",1,(IF(Besatzung!$C$20="",Besatzung!$B$5,Besatzung!$C$20)&lt;=B84)*(IF(Besatzung!$D$20="",Besatzung!$B$6,Besatzung!$D$20)&gt;=B84)))*(Besatzung!$F$20="x")*IFERROR(H84,0)/IFERROR(SUMPRODUCT((Besatzung!$B$11:$B$22&lt;&gt;"")*(Besatzung!$F$11:$F$22="x")*(IF(Besatzung!$C$11:$C$22="",Besatzung!$B$5,Besatzung!$C$11:$C$22)&lt;=B84)*(IF(Besatzung!$D$11:$D$22="",Besatzung!$B$6,Besatzung!$D$11:$D$22)&gt;=B84)),1)),IF(I84="An Bord",(((Besatzung!$B$20&lt;&gt;"")*IF(B84="",1,(IF(Besatzung!$C$20="",Besatzung!$B$5,Besatzung!$C$20)&lt;=B84)*(IF(Besatzung!$D$20="",Besatzung!$B$6,Besatzung!$D$20)&gt;=B84)))*((G84-IFERROR(H84,0))/IFERROR(SUMPRODUCT((Besatzung!$B$11:$B$22&lt;&gt;"")*(IF(Besatzung!$C$11:$C$22="",Besatzung!$B$5,Besatzung!$C$11:$C$22)&lt;=B84)*(IF(Besatzung!$D$11:$D$22="",Besatzung!$B$6,Besatzung!$D$11:$D$22)&gt;=B84)),1)+(Besatzung!$F$20="x")*IFERROR(H84,0)/IFERROR(SUMPRODUCT((Besatzung!$B$11:$B$22&lt;&gt;"")*(Besatzung!$F$11:$F$22="x")*(IF(Besatzung!$C$11:$C$22="",Besatzung!$B$5,Besatzung!$C$11:$C$22)&lt;=B84)*(IF(Besatzung!$D$11:$D$22="",Besatzung!$B$6,Besatzung!$D$11:$D$22)&gt;=B84)),1))),IF(I84="Individuell",((S84="x")*((G84-IFERROR(H84,0))/IFERROR(COUNTIF(J84:U84,"x"),1)+(Besatzung!$F$20="x")*IFERROR(H84,0)/IFERROR(SUMPRODUCT((J84:U84="x")*(Besatzung!$F$11:$F$22="x")),1))),(IF(COUNTIF(J84:U84,"x")=0,IF(Besatzung!$B$20&lt;&gt;"",1,0),(S84="x"))*(G84-IFERROR(H84,0))/IFERROR(IF(COUNTIF(J84:U84,"x")=0,COUNTA(Besatzung!$B$11:$B$22),COUNTIF(J84:U84,"x")),1)+IF(COUNTIF(J84:U84,"x")=0,(Besatzung!$F$20="x"),(S84="x")*(Besatzung!$F$20="x"))*IFERROR(H84,0)/IFERROR(IF(COUNTIF(J84:U84,"x")=0,SUMPRODUCT((Besatzung!$B$11:$B$22&lt;&gt;"")*(Besatzung!$F$11:$F$22="x")),SUMPRODUCT((J84:U84="x")*(Besatzung!$F$11:$F$22="x"))),1))))),0))))</f>
        <v/>
      </c>
      <c r="AF84" s="247">
        <f>IF(C84="Gutschrift","",IF(G84="","",IF(Besatzung!$B$21="","",IFERROR(IF(I84="Zeitanteilig",(Besatzung!$G$21*(G84-IFERROR(H84,0))+((Besatzung!$B$21&lt;&gt;"")*IF(B84="",1,(IF(Besatzung!$C$21="",Besatzung!$B$5,Besatzung!$C$21)&lt;=B84)*(IF(Besatzung!$D$21="",Besatzung!$B$6,Besatzung!$D$21)&gt;=B84)))*(Besatzung!$F$21="x")*IFERROR(H84,0)/IFERROR(SUMPRODUCT((Besatzung!$B$11:$B$22&lt;&gt;"")*(Besatzung!$F$11:$F$22="x")*(IF(Besatzung!$C$11:$C$22="",Besatzung!$B$5,Besatzung!$C$11:$C$22)&lt;=B84)*(IF(Besatzung!$D$11:$D$22="",Besatzung!$B$6,Besatzung!$D$11:$D$22)&gt;=B84)),1)),IF(I84="An Bord",(((Besatzung!$B$21&lt;&gt;"")*IF(B84="",1,(IF(Besatzung!$C$21="",Besatzung!$B$5,Besatzung!$C$21)&lt;=B84)*(IF(Besatzung!$D$21="",Besatzung!$B$6,Besatzung!$D$21)&gt;=B84)))*((G84-IFERROR(H84,0))/IFERROR(SUMPRODUCT((Besatzung!$B$11:$B$22&lt;&gt;"")*(IF(Besatzung!$C$11:$C$22="",Besatzung!$B$5,Besatzung!$C$11:$C$22)&lt;=B84)*(IF(Besatzung!$D$11:$D$22="",Besatzung!$B$6,Besatzung!$D$11:$D$22)&gt;=B84)),1)+(Besatzung!$F$21="x")*IFERROR(H84,0)/IFERROR(SUMPRODUCT((Besatzung!$B$11:$B$22&lt;&gt;"")*(Besatzung!$F$11:$F$22="x")*(IF(Besatzung!$C$11:$C$22="",Besatzung!$B$5,Besatzung!$C$11:$C$22)&lt;=B84)*(IF(Besatzung!$D$11:$D$22="",Besatzung!$B$6,Besatzung!$D$11:$D$22)&gt;=B84)),1))),IF(I84="Individuell",((T84="x")*((G84-IFERROR(H84,0))/IFERROR(COUNTIF(J84:U84,"x"),1)+(Besatzung!$F$21="x")*IFERROR(H84,0)/IFERROR(SUMPRODUCT((J84:U84="x")*(Besatzung!$F$11:$F$22="x")),1))),(IF(COUNTIF(J84:U84,"x")=0,IF(Besatzung!$B$21&lt;&gt;"",1,0),(T84="x"))*(G84-IFERROR(H84,0))/IFERROR(IF(COUNTIF(J84:U84,"x")=0,COUNTA(Besatzung!$B$11:$B$22),COUNTIF(J84:U84,"x")),1)+IF(COUNTIF(J84:U84,"x")=0,(Besatzung!$F$21="x"),(T84="x")*(Besatzung!$F$21="x"))*IFERROR(H84,0)/IFERROR(IF(COUNTIF(J84:U84,"x")=0,SUMPRODUCT((Besatzung!$B$11:$B$22&lt;&gt;"")*(Besatzung!$F$11:$F$22="x")),SUMPRODUCT((J84:U84="x")*(Besatzung!$F$11:$F$22="x"))),1))))),0))))</f>
        <v/>
      </c>
      <c r="AG84" s="247">
        <f>IF(C84="Gutschrift","",IF(G84="","",IF(Besatzung!$B$22="","",IFERROR(IF(I84="Zeitanteilig",(Besatzung!$G$22*(G84-IFERROR(H84,0))+((Besatzung!$B$22&lt;&gt;"")*IF(B84="",1,(IF(Besatzung!$C$22="",Besatzung!$B$5,Besatzung!$C$22)&lt;=B84)*(IF(Besatzung!$D$22="",Besatzung!$B$6,Besatzung!$D$22)&gt;=B84)))*(Besatzung!$F$22="x")*IFERROR(H84,0)/IFERROR(SUMPRODUCT((Besatzung!$B$11:$B$22&lt;&gt;"")*(Besatzung!$F$11:$F$22="x")*(IF(Besatzung!$C$11:$C$22="",Besatzung!$B$5,Besatzung!$C$11:$C$22)&lt;=B84)*(IF(Besatzung!$D$11:$D$22="",Besatzung!$B$6,Besatzung!$D$11:$D$22)&gt;=B84)),1)),IF(I84="An Bord",(((Besatzung!$B$22&lt;&gt;"")*IF(B84="",1,(IF(Besatzung!$C$22="",Besatzung!$B$5,Besatzung!$C$22)&lt;=B84)*(IF(Besatzung!$D$22="",Besatzung!$B$6,Besatzung!$D$22)&gt;=B84)))*((G84-IFERROR(H84,0))/IFERROR(SUMPRODUCT((Besatzung!$B$11:$B$22&lt;&gt;"")*(IF(Besatzung!$C$11:$C$22="",Besatzung!$B$5,Besatzung!$C$11:$C$22)&lt;=B84)*(IF(Besatzung!$D$11:$D$22="",Besatzung!$B$6,Besatzung!$D$11:$D$22)&gt;=B84)),1)+(Besatzung!$F$22="x")*IFERROR(H84,0)/IFERROR(SUMPRODUCT((Besatzung!$B$11:$B$22&lt;&gt;"")*(Besatzung!$F$11:$F$22="x")*(IF(Besatzung!$C$11:$C$22="",Besatzung!$B$5,Besatzung!$C$11:$C$22)&lt;=B84)*(IF(Besatzung!$D$11:$D$22="",Besatzung!$B$6,Besatzung!$D$11:$D$22)&gt;=B84)),1))),IF(I84="Individuell",((U84="x")*((G84-IFERROR(H84,0))/IFERROR(COUNTIF(J84:U84,"x"),1)+(Besatzung!$F$22="x")*IFERROR(H84,0)/IFERROR(SUMPRODUCT((J84:U84="x")*(Besatzung!$F$11:$F$22="x")),1))),(IF(COUNTIF(J84:U84,"x")=0,IF(Besatzung!$B$22&lt;&gt;"",1,0),(U84="x"))*(G84-IFERROR(H84,0))/IFERROR(IF(COUNTIF(J84:U84,"x")=0,COUNTA(Besatzung!$B$11:$B$22),COUNTIF(J84:U84,"x")),1)+IF(COUNTIF(J84:U84,"x")=0,(Besatzung!$F$22="x"),(U84="x")*(Besatzung!$F$22="x"))*IFERROR(H84,0)/IFERROR(IF(COUNTIF(J84:U84,"x")=0,SUMPRODUCT((Besatzung!$B$11:$B$22&lt;&gt;"")*(Besatzung!$F$11:$F$22="x")),SUMPRODUCT((J84:U84="x")*(Besatzung!$F$11:$F$22="x"))),1))))),0))))</f>
        <v/>
      </c>
      <c r="AH84" s="248" t="n"/>
      <c r="AI84" s="248" t="n"/>
    </row>
    <row r="85" ht="21.75" customHeight="1" s="154">
      <c r="A85" s="238">
        <f>IF(AND(D85="",C85=""),"",82)</f>
        <v/>
      </c>
      <c r="B85" s="206" t="n"/>
      <c r="C85" s="249" t="n"/>
      <c r="D85" s="250" t="n"/>
      <c r="E85" s="251" t="n"/>
      <c r="F85" s="252" t="n"/>
      <c r="G85" s="253" t="n"/>
      <c r="H85" s="254" t="n"/>
      <c r="I85" s="255" t="n"/>
      <c r="J85" s="256" t="n"/>
      <c r="K85" s="256" t="n"/>
      <c r="L85" s="256" t="n"/>
      <c r="M85" s="256" t="n"/>
      <c r="N85" s="256" t="n"/>
      <c r="O85" s="256" t="n"/>
      <c r="P85" s="256" t="n"/>
      <c r="Q85" s="256" t="n"/>
      <c r="R85" s="256" t="n"/>
      <c r="S85" s="256" t="n"/>
      <c r="T85" s="256" t="n"/>
      <c r="U85" s="256" t="n"/>
      <c r="V85" s="247">
        <f>IF(C85="Gutschrift","",IF(G85="","",IF(Besatzung!$B$11="","",IFERROR(IF(I85="Zeitanteilig",(Besatzung!$G$11*(G85-IFERROR(H85,0))+((Besatzung!$B$11&lt;&gt;"")*IF(B85="",1,(IF(Besatzung!$C$11="",Besatzung!$B$5,Besatzung!$C$11)&lt;=B85)*(IF(Besatzung!$D$11="",Besatzung!$B$6,Besatzung!$D$11)&gt;=B85)))*(Besatzung!$F$11="x")*IFERROR(H85,0)/IFERROR(SUMPRODUCT((Besatzung!$B$11:$B$22&lt;&gt;"")*(Besatzung!$F$11:$F$22="x")*(IF(Besatzung!$C$11:$C$22="",Besatzung!$B$5,Besatzung!$C$11:$C$22)&lt;=B85)*(IF(Besatzung!$D$11:$D$22="",Besatzung!$B$6,Besatzung!$D$11:$D$22)&gt;=B85)),1)),IF(I85="An Bord",(((Besatzung!$B$11&lt;&gt;"")*IF(B85="",1,(IF(Besatzung!$C$11="",Besatzung!$B$5,Besatzung!$C$11)&lt;=B85)*(IF(Besatzung!$D$11="",Besatzung!$B$6,Besatzung!$D$11)&gt;=B85)))*((G85-IFERROR(H85,0))/IFERROR(SUMPRODUCT((Besatzung!$B$11:$B$22&lt;&gt;"")*(IF(Besatzung!$C$11:$C$22="",Besatzung!$B$5,Besatzung!$C$11:$C$22)&lt;=B85)*(IF(Besatzung!$D$11:$D$22="",Besatzung!$B$6,Besatzung!$D$11:$D$22)&gt;=B85)),1)+(Besatzung!$F$11="x")*IFERROR(H85,0)/IFERROR(SUMPRODUCT((Besatzung!$B$11:$B$22&lt;&gt;"")*(Besatzung!$F$11:$F$22="x")*(IF(Besatzung!$C$11:$C$22="",Besatzung!$B$5,Besatzung!$C$11:$C$22)&lt;=B85)*(IF(Besatzung!$D$11:$D$22="",Besatzung!$B$6,Besatzung!$D$11:$D$22)&gt;=B85)),1))),IF(I85="Individuell",((J85="x")*((G85-IFERROR(H85,0))/IFERROR(COUNTIF(J85:U85,"x"),1)+(Besatzung!$F$11="x")*IFERROR(H85,0)/IFERROR(SUMPRODUCT((J85:U85="x")*(Besatzung!$F$11:$F$22="x")),1))),(IF(COUNTIF(J85:U85,"x")=0,IF(Besatzung!$B$11&lt;&gt;"",1,0),(J85="x"))*(G85-IFERROR(H85,0))/IFERROR(IF(COUNTIF(J85:U85,"x")=0,COUNTA(Besatzung!$B$11:$B$22),COUNTIF(J85:U85,"x")),1)+IF(COUNTIF(J85:U85,"x")=0,(Besatzung!$F$11="x"),(J85="x")*(Besatzung!$F$11="x"))*IFERROR(H85,0)/IFERROR(IF(COUNTIF(J85:U85,"x")=0,SUMPRODUCT((Besatzung!$B$11:$B$22&lt;&gt;"")*(Besatzung!$F$11:$F$22="x")),SUMPRODUCT((J85:U85="x")*(Besatzung!$F$11:$F$22="x"))),1))))),0))))</f>
        <v/>
      </c>
      <c r="W85" s="247">
        <f>IF(C85="Gutschrift","",IF(G85="","",IF(Besatzung!$B$12="","",IFERROR(IF(I85="Zeitanteilig",(Besatzung!$G$12*(G85-IFERROR(H85,0))+((Besatzung!$B$12&lt;&gt;"")*IF(B85="",1,(IF(Besatzung!$C$12="",Besatzung!$B$5,Besatzung!$C$12)&lt;=B85)*(IF(Besatzung!$D$12="",Besatzung!$B$6,Besatzung!$D$12)&gt;=B85)))*(Besatzung!$F$12="x")*IFERROR(H85,0)/IFERROR(SUMPRODUCT((Besatzung!$B$11:$B$22&lt;&gt;"")*(Besatzung!$F$11:$F$22="x")*(IF(Besatzung!$C$11:$C$22="",Besatzung!$B$5,Besatzung!$C$11:$C$22)&lt;=B85)*(IF(Besatzung!$D$11:$D$22="",Besatzung!$B$6,Besatzung!$D$11:$D$22)&gt;=B85)),1)),IF(I85="An Bord",(((Besatzung!$B$12&lt;&gt;"")*IF(B85="",1,(IF(Besatzung!$C$12="",Besatzung!$B$5,Besatzung!$C$12)&lt;=B85)*(IF(Besatzung!$D$12="",Besatzung!$B$6,Besatzung!$D$12)&gt;=B85)))*((G85-IFERROR(H85,0))/IFERROR(SUMPRODUCT((Besatzung!$B$11:$B$22&lt;&gt;"")*(IF(Besatzung!$C$11:$C$22="",Besatzung!$B$5,Besatzung!$C$11:$C$22)&lt;=B85)*(IF(Besatzung!$D$11:$D$22="",Besatzung!$B$6,Besatzung!$D$11:$D$22)&gt;=B85)),1)+(Besatzung!$F$12="x")*IFERROR(H85,0)/IFERROR(SUMPRODUCT((Besatzung!$B$11:$B$22&lt;&gt;"")*(Besatzung!$F$11:$F$22="x")*(IF(Besatzung!$C$11:$C$22="",Besatzung!$B$5,Besatzung!$C$11:$C$22)&lt;=B85)*(IF(Besatzung!$D$11:$D$22="",Besatzung!$B$6,Besatzung!$D$11:$D$22)&gt;=B85)),1))),IF(I85="Individuell",((K85="x")*((G85-IFERROR(H85,0))/IFERROR(COUNTIF(J85:U85,"x"),1)+(Besatzung!$F$12="x")*IFERROR(H85,0)/IFERROR(SUMPRODUCT((J85:U85="x")*(Besatzung!$F$11:$F$22="x")),1))),(IF(COUNTIF(J85:U85,"x")=0,IF(Besatzung!$B$12&lt;&gt;"",1,0),(K85="x"))*(G85-IFERROR(H85,0))/IFERROR(IF(COUNTIF(J85:U85,"x")=0,COUNTA(Besatzung!$B$11:$B$22),COUNTIF(J85:U85,"x")),1)+IF(COUNTIF(J85:U85,"x")=0,(Besatzung!$F$12="x"),(K85="x")*(Besatzung!$F$12="x"))*IFERROR(H85,0)/IFERROR(IF(COUNTIF(J85:U85,"x")=0,SUMPRODUCT((Besatzung!$B$11:$B$22&lt;&gt;"")*(Besatzung!$F$11:$F$22="x")),SUMPRODUCT((J85:U85="x")*(Besatzung!$F$11:$F$22="x"))),1))))),0))))</f>
        <v/>
      </c>
      <c r="X85" s="247">
        <f>IF(C85="Gutschrift","",IF(G85="","",IF(Besatzung!$B$13="","",IFERROR(IF(I85="Zeitanteilig",(Besatzung!$G$13*(G85-IFERROR(H85,0))+((Besatzung!$B$13&lt;&gt;"")*IF(B85="",1,(IF(Besatzung!$C$13="",Besatzung!$B$5,Besatzung!$C$13)&lt;=B85)*(IF(Besatzung!$D$13="",Besatzung!$B$6,Besatzung!$D$13)&gt;=B85)))*(Besatzung!$F$13="x")*IFERROR(H85,0)/IFERROR(SUMPRODUCT((Besatzung!$B$11:$B$22&lt;&gt;"")*(Besatzung!$F$11:$F$22="x")*(IF(Besatzung!$C$11:$C$22="",Besatzung!$B$5,Besatzung!$C$11:$C$22)&lt;=B85)*(IF(Besatzung!$D$11:$D$22="",Besatzung!$B$6,Besatzung!$D$11:$D$22)&gt;=B85)),1)),IF(I85="An Bord",(((Besatzung!$B$13&lt;&gt;"")*IF(B85="",1,(IF(Besatzung!$C$13="",Besatzung!$B$5,Besatzung!$C$13)&lt;=B85)*(IF(Besatzung!$D$13="",Besatzung!$B$6,Besatzung!$D$13)&gt;=B85)))*((G85-IFERROR(H85,0))/IFERROR(SUMPRODUCT((Besatzung!$B$11:$B$22&lt;&gt;"")*(IF(Besatzung!$C$11:$C$22="",Besatzung!$B$5,Besatzung!$C$11:$C$22)&lt;=B85)*(IF(Besatzung!$D$11:$D$22="",Besatzung!$B$6,Besatzung!$D$11:$D$22)&gt;=B85)),1)+(Besatzung!$F$13="x")*IFERROR(H85,0)/IFERROR(SUMPRODUCT((Besatzung!$B$11:$B$22&lt;&gt;"")*(Besatzung!$F$11:$F$22="x")*(IF(Besatzung!$C$11:$C$22="",Besatzung!$B$5,Besatzung!$C$11:$C$22)&lt;=B85)*(IF(Besatzung!$D$11:$D$22="",Besatzung!$B$6,Besatzung!$D$11:$D$22)&gt;=B85)),1))),IF(I85="Individuell",((K85="x")*((G85-IFERROR(H85,0))/IFERROR(COUNTIF(J85:U85,"x"),1)+(Besatzung!$F$13="x")*IFERROR(H85,0)/IFERROR(SUMPRODUCT((J85:U85="x")*(Besatzung!$F$11:$F$22="x")),1))),(IF(COUNTIF(J85:U85,"x")=0,IF(Besatzung!$B$13&lt;&gt;"",1,0),(K85="x"))*(G85-IFERROR(H85,0))/IFERROR(IF(COUNTIF(J85:U85,"x")=0,COUNTA(Besatzung!$B$11:$B$22),COUNTIF(J85:U85,"x")),1)+IF(COUNTIF(J85:U85,"x")=0,(Besatzung!$F$13="x"),(K85="x")*(Besatzung!$F$13="x"))*IFERROR(H85,0)/IFERROR(IF(COUNTIF(J85:U85,"x")=0,SUMPRODUCT((Besatzung!$B$11:$B$22&lt;&gt;"")*(Besatzung!$F$11:$F$22="x")),SUMPRODUCT((J85:U85="x")*(Besatzung!$F$11:$F$22="x"))),1))))),0))))</f>
        <v/>
      </c>
      <c r="Y85" s="247">
        <f>IF(C85="Gutschrift","",IF(G85="","",IF(Besatzung!$B$14="","",IFERROR(IF(I85="Zeitanteilig",(Besatzung!$G$14*(G85-IFERROR(H85,0))+((Besatzung!$B$14&lt;&gt;"")*IF(B85="",1,(IF(Besatzung!$C$14="",Besatzung!$B$5,Besatzung!$C$14)&lt;=B85)*(IF(Besatzung!$D$14="",Besatzung!$B$6,Besatzung!$D$14)&gt;=B85)))*(Besatzung!$F$14="x")*IFERROR(H85,0)/IFERROR(SUMPRODUCT((Besatzung!$B$11:$B$22&lt;&gt;"")*(Besatzung!$F$11:$F$22="x")*(IF(Besatzung!$C$11:$C$22="",Besatzung!$B$5,Besatzung!$C$11:$C$22)&lt;=B85)*(IF(Besatzung!$D$11:$D$22="",Besatzung!$B$6,Besatzung!$D$11:$D$22)&gt;=B85)),1)),IF(I85="An Bord",(((Besatzung!$B$14&lt;&gt;"")*IF(B85="",1,(IF(Besatzung!$C$14="",Besatzung!$B$5,Besatzung!$C$14)&lt;=B85)*(IF(Besatzung!$D$14="",Besatzung!$B$6,Besatzung!$D$14)&gt;=B85)))*((G85-IFERROR(H85,0))/IFERROR(SUMPRODUCT((Besatzung!$B$11:$B$22&lt;&gt;"")*(IF(Besatzung!$C$11:$C$22="",Besatzung!$B$5,Besatzung!$C$11:$C$22)&lt;=B85)*(IF(Besatzung!$D$11:$D$22="",Besatzung!$B$6,Besatzung!$D$11:$D$22)&gt;=B85)),1)+(Besatzung!$F$14="x")*IFERROR(H85,0)/IFERROR(SUMPRODUCT((Besatzung!$B$11:$B$22&lt;&gt;"")*(Besatzung!$F$11:$F$22="x")*(IF(Besatzung!$C$11:$C$22="",Besatzung!$B$5,Besatzung!$C$11:$C$22)&lt;=B85)*(IF(Besatzung!$D$11:$D$22="",Besatzung!$B$6,Besatzung!$D$11:$D$22)&gt;=B85)),1))),IF(I85="Individuell",((M85="x")*((G85-IFERROR(H85,0))/IFERROR(COUNTIF(J85:U85,"x"),1)+(Besatzung!$F$14="x")*IFERROR(H85,0)/IFERROR(SUMPRODUCT((J85:U85="x")*(Besatzung!$F$11:$F$22="x")),1))),(IF(COUNTIF(J85:U85,"x")=0,IF(Besatzung!$B$14&lt;&gt;"",1,0),(M85="x"))*(G85-IFERROR(H85,0))/IFERROR(IF(COUNTIF(J85:U85,"x")=0,COUNTA(Besatzung!$B$11:$B$22),COUNTIF(J85:U85,"x")),1)+IF(COUNTIF(J85:U85,"x")=0,(Besatzung!$F$14="x"),(M85="x")*(Besatzung!$F$14="x"))*IFERROR(H85,0)/IFERROR(IF(COUNTIF(J85:U85,"x")=0,SUMPRODUCT((Besatzung!$B$11:$B$22&lt;&gt;"")*(Besatzung!$F$11:$F$22="x")),SUMPRODUCT((J85:U85="x")*(Besatzung!$F$11:$F$22="x"))),1))))),0))))</f>
        <v/>
      </c>
      <c r="Z85" s="247">
        <f>IF(C85="Gutschrift","",IF(G85="","",IF(Besatzung!$B$13="","",IFERROR(IF(I85="Zeitanteilig",(Besatzung!$G$15*(G85-IFERROR(H85,0))+((Besatzung!$B$13&lt;&gt;"")*IF(B85="",1,(IF(Besatzung!$C$15="",Besatzung!$B$5,Besatzung!$C$15)&lt;=B85)*(IF(Besatzung!$D$15="",Besatzung!$B$6,Besatzung!$D$15)&gt;=B85)))*(Besatzung!$F$15="x")*IFERROR(H85,0)/IFERROR(SUMPRODUCT((Besatzung!$B$11:$B$22&lt;&gt;"")*(Besatzung!$F$11:$F$22="x")*(IF(Besatzung!$C$11:$C$22="",Besatzung!$B$5,Besatzung!$C$11:$C$22)&lt;=B85)*(IF(Besatzung!$D$11:$D$22="",Besatzung!$B$6,Besatzung!$D$11:$D$22)&gt;=B85)),1)),IF(I85="An Bord",(((Besatzung!$B$13&lt;&gt;"")*IF(B85="",1,(IF(Besatzung!$C$15="",Besatzung!$B$5,Besatzung!$C$15)&lt;=B85)*(IF(Besatzung!$D$15="",Besatzung!$B$6,Besatzung!$D$15)&gt;=B85)))*((G85-IFERROR(H85,0))/IFERROR(SUMPRODUCT((Besatzung!$B$11:$B$22&lt;&gt;"")*(IF(Besatzung!$C$11:$C$22="",Besatzung!$B$5,Besatzung!$C$11:$C$22)&lt;=B85)*(IF(Besatzung!$D$11:$D$22="",Besatzung!$B$6,Besatzung!$D$11:$D$22)&gt;=B85)),1)+(Besatzung!$F$15="x")*IFERROR(H85,0)/IFERROR(SUMPRODUCT((Besatzung!$B$11:$B$22&lt;&gt;"")*(Besatzung!$F$11:$F$22="x")*(IF(Besatzung!$C$11:$C$22="",Besatzung!$B$5,Besatzung!$C$11:$C$22)&lt;=B85)*(IF(Besatzung!$D$11:$D$22="",Besatzung!$B$6,Besatzung!$D$11:$D$22)&gt;=B85)),1))),IF(I85="Individuell",((N85="x")*((G85-IFERROR(H85,0))/IFERROR(COUNTIF(J85:U85,"x"),1)+(Besatzung!$F$15="x")*IFERROR(H85,0)/IFERROR(SUMPRODUCT((J85:U85="x")*(Besatzung!$F$11:$F$22="x")),1))),(IF(COUNTIF(J85:U85,"x")=0,IF(Besatzung!$B$13&lt;&gt;"",1,0),(N85="x"))*(G85-IFERROR(H85,0))/IFERROR(IF(COUNTIF(J85:U85,"x")=0,COUNTA(Besatzung!$B$11:$B$22),COUNTIF(J85:U85,"x")),1)+IF(COUNTIF(J85:U85,"x")=0,(Besatzung!$F$15="x"),(N85="x")*(Besatzung!$F$15="x"))*IFERROR(H85,0)/IFERROR(IF(COUNTIF(J85:U85,"x")=0,SUMPRODUCT((Besatzung!$B$11:$B$22&lt;&gt;"")*(Besatzung!$F$11:$F$22="x")),SUMPRODUCT((J85:U85="x")*(Besatzung!$F$11:$F$22="x"))),1))))),0))))</f>
        <v/>
      </c>
      <c r="AA85" s="247">
        <f>IF(C85="Gutschrift","",IF(G85="","",IF(Besatzung!$B$15="","",IFERROR(IF(I85="Zeitanteilig",(Besatzung!$G$16*(G85-IFERROR(H85,0))+((Besatzung!$B$15&lt;&gt;"")*IF(B85="",1,(IF(Besatzung!$C$16="",Besatzung!$B$5,Besatzung!$C$16)&lt;=B85)*(IF(Besatzung!$D$16="",Besatzung!$B$6,Besatzung!$D$16)&gt;=B85)))*(Besatzung!$F$16="x")*IFERROR(H85,0)/IFERROR(SUMPRODUCT((Besatzung!$B$11:$B$22&lt;&gt;"")*(Besatzung!$F$11:$F$22="x")*(IF(Besatzung!$C$11:$C$22="",Besatzung!$B$5,Besatzung!$C$11:$C$22)&lt;=B85)*(IF(Besatzung!$D$11:$D$22="",Besatzung!$B$6,Besatzung!$D$11:$D$22)&gt;=B85)),1)),IF(I85="An Bord",(((Besatzung!$B$15&lt;&gt;"")*IF(B85="",1,(IF(Besatzung!$C$16="",Besatzung!$B$5,Besatzung!$C$16)&lt;=B85)*(IF(Besatzung!$D$16="",Besatzung!$B$6,Besatzung!$D$16)&gt;=B85)))*((G85-IFERROR(H85,0))/IFERROR(SUMPRODUCT((Besatzung!$B$11:$B$22&lt;&gt;"")*(IF(Besatzung!$C$11:$C$22="",Besatzung!$B$5,Besatzung!$C$11:$C$22)&lt;=B85)*(IF(Besatzung!$D$11:$D$22="",Besatzung!$B$6,Besatzung!$D$11:$D$22)&gt;=B85)),1)+(Besatzung!$F$16="x")*IFERROR(H85,0)/IFERROR(SUMPRODUCT((Besatzung!$B$11:$B$22&lt;&gt;"")*(Besatzung!$F$11:$F$22="x")*(IF(Besatzung!$C$11:$C$22="",Besatzung!$B$5,Besatzung!$C$11:$C$22)&lt;=B85)*(IF(Besatzung!$D$11:$D$22="",Besatzung!$B$6,Besatzung!$D$11:$D$22)&gt;=B85)),1))),IF(I85="Individuell",((O85="x")*((G85-IFERROR(H85,0))/IFERROR(COUNTIF(J85:U85,"x"),1)+(Besatzung!$F$16="x")*IFERROR(H85,0)/IFERROR(SUMPRODUCT((J85:U85="x")*(Besatzung!$F$11:$F$22="x")),1))),(IF(COUNTIF(J85:U85,"x")=0,IF(Besatzung!$B$15&lt;&gt;"",1,0),(O85="x"))*(G85-IFERROR(H85,0))/IFERROR(IF(COUNTIF(J85:U85,"x")=0,COUNTA(Besatzung!$B$11:$B$22),COUNTIF(J85:U85,"x")),1)+IF(COUNTIF(J85:U85,"x")=0,(Besatzung!$F$16="x"),(O85="x")*(Besatzung!$F$16="x"))*IFERROR(H85,0)/IFERROR(IF(COUNTIF(J85:U85,"x")=0,SUMPRODUCT((Besatzung!$B$11:$B$22&lt;&gt;"")*(Besatzung!$F$11:$F$22="x")),SUMPRODUCT((J85:U85="x")*(Besatzung!$F$11:$F$22="x"))),1))))),0))))</f>
        <v/>
      </c>
      <c r="AB85" s="247">
        <f>IF(C85="Gutschrift","",IF(G85="","",IF(Besatzung!$B$17="","",IFERROR(IF(I85="Zeitanteilig",(Besatzung!$G$17*(G85-IFERROR(H85,0))+((Besatzung!$B$17&lt;&gt;"")*IF(B85="",1,(IF(Besatzung!$C$17="",Besatzung!$B$5,Besatzung!$C$17)&lt;=B85)*(IF(Besatzung!$D$17="",Besatzung!$B$6,Besatzung!$D$17)&gt;=B85)))*(Besatzung!$F$17="x")*IFERROR(H85,0)/IFERROR(SUMPRODUCT((Besatzung!$B$11:$B$22&lt;&gt;"")*(Besatzung!$F$11:$F$22="x")*(IF(Besatzung!$C$11:$C$22="",Besatzung!$B$5,Besatzung!$C$11:$C$22)&lt;=B85)*(IF(Besatzung!$D$11:$D$22="",Besatzung!$B$6,Besatzung!$D$11:$D$22)&gt;=B85)),1)),IF(I85="An Bord",(((Besatzung!$B$17&lt;&gt;"")*IF(B85="",1,(IF(Besatzung!$C$17="",Besatzung!$B$5,Besatzung!$C$17)&lt;=B85)*(IF(Besatzung!$D$17="",Besatzung!$B$6,Besatzung!$D$17)&gt;=B85)))*((G85-IFERROR(H85,0))/IFERROR(SUMPRODUCT((Besatzung!$B$11:$B$22&lt;&gt;"")*(IF(Besatzung!$C$11:$C$22="",Besatzung!$B$5,Besatzung!$C$11:$C$22)&lt;=B85)*(IF(Besatzung!$D$11:$D$22="",Besatzung!$B$6,Besatzung!$D$11:$D$22)&gt;=B85)),1)+(Besatzung!$F$17="x")*IFERROR(H85,0)/IFERROR(SUMPRODUCT((Besatzung!$B$11:$B$22&lt;&gt;"")*(Besatzung!$F$11:$F$22="x")*(IF(Besatzung!$C$11:$C$22="",Besatzung!$B$5,Besatzung!$C$11:$C$22)&lt;=B85)*(IF(Besatzung!$D$11:$D$22="",Besatzung!$B$6,Besatzung!$D$11:$D$22)&gt;=B85)),1))),IF(I85="Individuell",((P85="x")*((G85-IFERROR(H85,0))/IFERROR(COUNTIF(J85:U85,"x"),1)+(Besatzung!$F$17="x")*IFERROR(H85,0)/IFERROR(SUMPRODUCT((J85:U85="x")*(Besatzung!$F$11:$F$22="x")),1))),(IF(COUNTIF(J85:U85,"x")=0,IF(Besatzung!$B$17&lt;&gt;"",1,0),(P85="x"))*(G85-IFERROR(H85,0))/IFERROR(IF(COUNTIF(J85:U85,"x")=0,COUNTA(Besatzung!$B$11:$B$22),COUNTIF(J85:U85,"x")),1)+IF(COUNTIF(J85:U85,"x")=0,(Besatzung!$F$17="x"),(P85="x")*(Besatzung!$F$17="x"))*IFERROR(H85,0)/IFERROR(IF(COUNTIF(J85:U85,"x")=0,SUMPRODUCT((Besatzung!$B$11:$B$22&lt;&gt;"")*(Besatzung!$F$11:$F$22="x")),SUMPRODUCT((J85:U85="x")*(Besatzung!$F$11:$F$22="x"))),1))))),0))))</f>
        <v/>
      </c>
      <c r="AC85" s="247">
        <f>IF(C85="Gutschrift","",IF(G85="","",IF(Besatzung!$B$18="","",IFERROR(IF(I85="Zeitanteilig",(Besatzung!$G$18*(G85-IFERROR(H85,0))+((Besatzung!$B$18&lt;&gt;"")*IF(B85="",1,(IF(Besatzung!$C$18="",Besatzung!$B$5,Besatzung!$C$18)&lt;=B85)*(IF(Besatzung!$D$18="",Besatzung!$B$6,Besatzung!$D$18)&gt;=B85)))*(Besatzung!$F$18="x")*IFERROR(H85,0)/IFERROR(SUMPRODUCT((Besatzung!$B$11:$B$22&lt;&gt;"")*(Besatzung!$F$11:$F$22="x")*(IF(Besatzung!$C$11:$C$22="",Besatzung!$B$5,Besatzung!$C$11:$C$22)&lt;=B85)*(IF(Besatzung!$D$11:$D$22="",Besatzung!$B$6,Besatzung!$D$11:$D$22)&gt;=B85)),1)),IF(I85="An Bord",(((Besatzung!$B$18&lt;&gt;"")*IF(B85="",1,(IF(Besatzung!$C$18="",Besatzung!$B$5,Besatzung!$C$18)&lt;=B85)*(IF(Besatzung!$D$18="",Besatzung!$B$6,Besatzung!$D$18)&gt;=B85)))*((G85-IFERROR(H85,0))/IFERROR(SUMPRODUCT((Besatzung!$B$11:$B$22&lt;&gt;"")*(IF(Besatzung!$C$11:$C$22="",Besatzung!$B$5,Besatzung!$C$11:$C$22)&lt;=B85)*(IF(Besatzung!$D$11:$D$22="",Besatzung!$B$6,Besatzung!$D$11:$D$22)&gt;=B85)),1)+(Besatzung!$F$18="x")*IFERROR(H85,0)/IFERROR(SUMPRODUCT((Besatzung!$B$11:$B$22&lt;&gt;"")*(Besatzung!$F$11:$F$22="x")*(IF(Besatzung!$C$11:$C$22="",Besatzung!$B$5,Besatzung!$C$11:$C$22)&lt;=B85)*(IF(Besatzung!$D$11:$D$22="",Besatzung!$B$6,Besatzung!$D$11:$D$22)&gt;=B85)),1))),IF(I85="Individuell",((Q85="x")*((G85-IFERROR(H85,0))/IFERROR(COUNTIF(J85:U85,"x"),1)+(Besatzung!$F$18="x")*IFERROR(H85,0)/IFERROR(SUMPRODUCT((J85:U85="x")*(Besatzung!$F$11:$F$22="x")),1))),(IF(COUNTIF(J85:U85,"x")=0,IF(Besatzung!$B$18&lt;&gt;"",1,0),(Q85="x"))*(G85-IFERROR(H85,0))/IFERROR(IF(COUNTIF(J85:U85,"x")=0,COUNTA(Besatzung!$B$11:$B$22),COUNTIF(J85:U85,"x")),1)+IF(COUNTIF(J85:U85,"x")=0,(Besatzung!$F$18="x"),(Q85="x")*(Besatzung!$F$18="x"))*IFERROR(H85,0)/IFERROR(IF(COUNTIF(J85:U85,"x")=0,SUMPRODUCT((Besatzung!$B$11:$B$22&lt;&gt;"")*(Besatzung!$F$11:$F$22="x")),SUMPRODUCT((J85:U85="x")*(Besatzung!$F$11:$F$22="x"))),1))))),0))))</f>
        <v/>
      </c>
      <c r="AD85" s="247">
        <f>IF(C85="Gutschrift","",IF(G85="","",IF(Besatzung!$B$19="","",IFERROR(IF(I85="Zeitanteilig",(Besatzung!$G$19*(G85-IFERROR(H85,0))+((Besatzung!$B$19&lt;&gt;"")*IF(B85="",1,(IF(Besatzung!$C$19="",Besatzung!$B$5,Besatzung!$C$19)&lt;=B85)*(IF(Besatzung!$D$19="",Besatzung!$B$6,Besatzung!$D$19)&gt;=B85)))*(Besatzung!$F$19="x")*IFERROR(H85,0)/IFERROR(SUMPRODUCT((Besatzung!$B$11:$B$22&lt;&gt;"")*(Besatzung!$F$11:$F$22="x")*(IF(Besatzung!$C$11:$C$22="",Besatzung!$B$5,Besatzung!$C$11:$C$22)&lt;=B85)*(IF(Besatzung!$D$11:$D$22="",Besatzung!$B$6,Besatzung!$D$11:$D$22)&gt;=B85)),1)),IF(I85="An Bord",(((Besatzung!$B$19&lt;&gt;"")*IF(B85="",1,(IF(Besatzung!$C$19="",Besatzung!$B$5,Besatzung!$C$19)&lt;=B85)*(IF(Besatzung!$D$19="",Besatzung!$B$6,Besatzung!$D$19)&gt;=B85)))*((G85-IFERROR(H85,0))/IFERROR(SUMPRODUCT((Besatzung!$B$11:$B$22&lt;&gt;"")*(IF(Besatzung!$C$11:$C$22="",Besatzung!$B$5,Besatzung!$C$11:$C$22)&lt;=B85)*(IF(Besatzung!$D$11:$D$22="",Besatzung!$B$6,Besatzung!$D$11:$D$22)&gt;=B85)),1)+(Besatzung!$F$19="x")*IFERROR(H85,0)/IFERROR(SUMPRODUCT((Besatzung!$B$11:$B$22&lt;&gt;"")*(Besatzung!$F$11:$F$22="x")*(IF(Besatzung!$C$11:$C$22="",Besatzung!$B$5,Besatzung!$C$11:$C$22)&lt;=B85)*(IF(Besatzung!$D$11:$D$22="",Besatzung!$B$6,Besatzung!$D$11:$D$22)&gt;=B85)),1))),IF(I85="Individuell",((R85="x")*((G85-IFERROR(H85,0))/IFERROR(COUNTIF(J85:U85,"x"),1)+(Besatzung!$F$19="x")*IFERROR(H85,0)/IFERROR(SUMPRODUCT((J85:U85="x")*(Besatzung!$F$11:$F$22="x")),1))),(IF(COUNTIF(J85:U85,"x")=0,IF(Besatzung!$B$19&lt;&gt;"",1,0),(R85="x"))*(G85-IFERROR(H85,0))/IFERROR(IF(COUNTIF(J85:U85,"x")=0,COUNTA(Besatzung!$B$11:$B$22),COUNTIF(J85:U85,"x")),1)+IF(COUNTIF(J85:U85,"x")=0,(Besatzung!$F$19="x"),(R85="x")*(Besatzung!$F$19="x"))*IFERROR(H85,0)/IFERROR(IF(COUNTIF(J85:U85,"x")=0,SUMPRODUCT((Besatzung!$B$11:$B$22&lt;&gt;"")*(Besatzung!$F$11:$F$22="x")),SUMPRODUCT((J85:U85="x")*(Besatzung!$F$11:$F$22="x"))),1))))),0))))</f>
        <v/>
      </c>
      <c r="AE85" s="247">
        <f>IF(C85="Gutschrift","",IF(G85="","",IF(Besatzung!$B$20="","",IFERROR(IF(I85="Zeitanteilig",(Besatzung!$G$20*(G85-IFERROR(H85,0))+((Besatzung!$B$20&lt;&gt;"")*IF(B85="",1,(IF(Besatzung!$C$20="",Besatzung!$B$5,Besatzung!$C$20)&lt;=B85)*(IF(Besatzung!$D$20="",Besatzung!$B$6,Besatzung!$D$20)&gt;=B85)))*(Besatzung!$F$20="x")*IFERROR(H85,0)/IFERROR(SUMPRODUCT((Besatzung!$B$11:$B$22&lt;&gt;"")*(Besatzung!$F$11:$F$22="x")*(IF(Besatzung!$C$11:$C$22="",Besatzung!$B$5,Besatzung!$C$11:$C$22)&lt;=B85)*(IF(Besatzung!$D$11:$D$22="",Besatzung!$B$6,Besatzung!$D$11:$D$22)&gt;=B85)),1)),IF(I85="An Bord",(((Besatzung!$B$20&lt;&gt;"")*IF(B85="",1,(IF(Besatzung!$C$20="",Besatzung!$B$5,Besatzung!$C$20)&lt;=B85)*(IF(Besatzung!$D$20="",Besatzung!$B$6,Besatzung!$D$20)&gt;=B85)))*((G85-IFERROR(H85,0))/IFERROR(SUMPRODUCT((Besatzung!$B$11:$B$22&lt;&gt;"")*(IF(Besatzung!$C$11:$C$22="",Besatzung!$B$5,Besatzung!$C$11:$C$22)&lt;=B85)*(IF(Besatzung!$D$11:$D$22="",Besatzung!$B$6,Besatzung!$D$11:$D$22)&gt;=B85)),1)+(Besatzung!$F$20="x")*IFERROR(H85,0)/IFERROR(SUMPRODUCT((Besatzung!$B$11:$B$22&lt;&gt;"")*(Besatzung!$F$11:$F$22="x")*(IF(Besatzung!$C$11:$C$22="",Besatzung!$B$5,Besatzung!$C$11:$C$22)&lt;=B85)*(IF(Besatzung!$D$11:$D$22="",Besatzung!$B$6,Besatzung!$D$11:$D$22)&gt;=B85)),1))),IF(I85="Individuell",((S85="x")*((G85-IFERROR(H85,0))/IFERROR(COUNTIF(J85:U85,"x"),1)+(Besatzung!$F$20="x")*IFERROR(H85,0)/IFERROR(SUMPRODUCT((J85:U85="x")*(Besatzung!$F$11:$F$22="x")),1))),(IF(COUNTIF(J85:U85,"x")=0,IF(Besatzung!$B$20&lt;&gt;"",1,0),(S85="x"))*(G85-IFERROR(H85,0))/IFERROR(IF(COUNTIF(J85:U85,"x")=0,COUNTA(Besatzung!$B$11:$B$22),COUNTIF(J85:U85,"x")),1)+IF(COUNTIF(J85:U85,"x")=0,(Besatzung!$F$20="x"),(S85="x")*(Besatzung!$F$20="x"))*IFERROR(H85,0)/IFERROR(IF(COUNTIF(J85:U85,"x")=0,SUMPRODUCT((Besatzung!$B$11:$B$22&lt;&gt;"")*(Besatzung!$F$11:$F$22="x")),SUMPRODUCT((J85:U85="x")*(Besatzung!$F$11:$F$22="x"))),1))))),0))))</f>
        <v/>
      </c>
      <c r="AF85" s="247">
        <f>IF(C85="Gutschrift","",IF(G85="","",IF(Besatzung!$B$21="","",IFERROR(IF(I85="Zeitanteilig",(Besatzung!$G$21*(G85-IFERROR(H85,0))+((Besatzung!$B$21&lt;&gt;"")*IF(B85="",1,(IF(Besatzung!$C$21="",Besatzung!$B$5,Besatzung!$C$21)&lt;=B85)*(IF(Besatzung!$D$21="",Besatzung!$B$6,Besatzung!$D$21)&gt;=B85)))*(Besatzung!$F$21="x")*IFERROR(H85,0)/IFERROR(SUMPRODUCT((Besatzung!$B$11:$B$22&lt;&gt;"")*(Besatzung!$F$11:$F$22="x")*(IF(Besatzung!$C$11:$C$22="",Besatzung!$B$5,Besatzung!$C$11:$C$22)&lt;=B85)*(IF(Besatzung!$D$11:$D$22="",Besatzung!$B$6,Besatzung!$D$11:$D$22)&gt;=B85)),1)),IF(I85="An Bord",(((Besatzung!$B$21&lt;&gt;"")*IF(B85="",1,(IF(Besatzung!$C$21="",Besatzung!$B$5,Besatzung!$C$21)&lt;=B85)*(IF(Besatzung!$D$21="",Besatzung!$B$6,Besatzung!$D$21)&gt;=B85)))*((G85-IFERROR(H85,0))/IFERROR(SUMPRODUCT((Besatzung!$B$11:$B$22&lt;&gt;"")*(IF(Besatzung!$C$11:$C$22="",Besatzung!$B$5,Besatzung!$C$11:$C$22)&lt;=B85)*(IF(Besatzung!$D$11:$D$22="",Besatzung!$B$6,Besatzung!$D$11:$D$22)&gt;=B85)),1)+(Besatzung!$F$21="x")*IFERROR(H85,0)/IFERROR(SUMPRODUCT((Besatzung!$B$11:$B$22&lt;&gt;"")*(Besatzung!$F$11:$F$22="x")*(IF(Besatzung!$C$11:$C$22="",Besatzung!$B$5,Besatzung!$C$11:$C$22)&lt;=B85)*(IF(Besatzung!$D$11:$D$22="",Besatzung!$B$6,Besatzung!$D$11:$D$22)&gt;=B85)),1))),IF(I85="Individuell",((T85="x")*((G85-IFERROR(H85,0))/IFERROR(COUNTIF(J85:U85,"x"),1)+(Besatzung!$F$21="x")*IFERROR(H85,0)/IFERROR(SUMPRODUCT((J85:U85="x")*(Besatzung!$F$11:$F$22="x")),1))),(IF(COUNTIF(J85:U85,"x")=0,IF(Besatzung!$B$21&lt;&gt;"",1,0),(T85="x"))*(G85-IFERROR(H85,0))/IFERROR(IF(COUNTIF(J85:U85,"x")=0,COUNTA(Besatzung!$B$11:$B$22),COUNTIF(J85:U85,"x")),1)+IF(COUNTIF(J85:U85,"x")=0,(Besatzung!$F$21="x"),(T85="x")*(Besatzung!$F$21="x"))*IFERROR(H85,0)/IFERROR(IF(COUNTIF(J85:U85,"x")=0,SUMPRODUCT((Besatzung!$B$11:$B$22&lt;&gt;"")*(Besatzung!$F$11:$F$22="x")),SUMPRODUCT((J85:U85="x")*(Besatzung!$F$11:$F$22="x"))),1))))),0))))</f>
        <v/>
      </c>
      <c r="AG85" s="247">
        <f>IF(C85="Gutschrift","",IF(G85="","",IF(Besatzung!$B$22="","",IFERROR(IF(I85="Zeitanteilig",(Besatzung!$G$22*(G85-IFERROR(H85,0))+((Besatzung!$B$22&lt;&gt;"")*IF(B85="",1,(IF(Besatzung!$C$22="",Besatzung!$B$5,Besatzung!$C$22)&lt;=B85)*(IF(Besatzung!$D$22="",Besatzung!$B$6,Besatzung!$D$22)&gt;=B85)))*(Besatzung!$F$22="x")*IFERROR(H85,0)/IFERROR(SUMPRODUCT((Besatzung!$B$11:$B$22&lt;&gt;"")*(Besatzung!$F$11:$F$22="x")*(IF(Besatzung!$C$11:$C$22="",Besatzung!$B$5,Besatzung!$C$11:$C$22)&lt;=B85)*(IF(Besatzung!$D$11:$D$22="",Besatzung!$B$6,Besatzung!$D$11:$D$22)&gt;=B85)),1)),IF(I85="An Bord",(((Besatzung!$B$22&lt;&gt;"")*IF(B85="",1,(IF(Besatzung!$C$22="",Besatzung!$B$5,Besatzung!$C$22)&lt;=B85)*(IF(Besatzung!$D$22="",Besatzung!$B$6,Besatzung!$D$22)&gt;=B85)))*((G85-IFERROR(H85,0))/IFERROR(SUMPRODUCT((Besatzung!$B$11:$B$22&lt;&gt;"")*(IF(Besatzung!$C$11:$C$22="",Besatzung!$B$5,Besatzung!$C$11:$C$22)&lt;=B85)*(IF(Besatzung!$D$11:$D$22="",Besatzung!$B$6,Besatzung!$D$11:$D$22)&gt;=B85)),1)+(Besatzung!$F$22="x")*IFERROR(H85,0)/IFERROR(SUMPRODUCT((Besatzung!$B$11:$B$22&lt;&gt;"")*(Besatzung!$F$11:$F$22="x")*(IF(Besatzung!$C$11:$C$22="",Besatzung!$B$5,Besatzung!$C$11:$C$22)&lt;=B85)*(IF(Besatzung!$D$11:$D$22="",Besatzung!$B$6,Besatzung!$D$11:$D$22)&gt;=B85)),1))),IF(I85="Individuell",((U85="x")*((G85-IFERROR(H85,0))/IFERROR(COUNTIF(J85:U85,"x"),1)+(Besatzung!$F$22="x")*IFERROR(H85,0)/IFERROR(SUMPRODUCT((J85:U85="x")*(Besatzung!$F$11:$F$22="x")),1))),(IF(COUNTIF(J85:U85,"x")=0,IF(Besatzung!$B$22&lt;&gt;"",1,0),(U85="x"))*(G85-IFERROR(H85,0))/IFERROR(IF(COUNTIF(J85:U85,"x")=0,COUNTA(Besatzung!$B$11:$B$22),COUNTIF(J85:U85,"x")),1)+IF(COUNTIF(J85:U85,"x")=0,(Besatzung!$F$22="x"),(U85="x")*(Besatzung!$F$22="x"))*IFERROR(H85,0)/IFERROR(IF(COUNTIF(J85:U85,"x")=0,SUMPRODUCT((Besatzung!$B$11:$B$22&lt;&gt;"")*(Besatzung!$F$11:$F$22="x")),SUMPRODUCT((J85:U85="x")*(Besatzung!$F$11:$F$22="x"))),1))))),0))))</f>
        <v/>
      </c>
      <c r="AH85" s="248" t="n"/>
      <c r="AI85" s="248" t="n"/>
    </row>
    <row r="86" ht="21.75" customHeight="1" s="154">
      <c r="A86" s="238">
        <f>IF(AND(D86="",C86=""),"",83)</f>
        <v/>
      </c>
      <c r="B86" s="199" t="n"/>
      <c r="C86" s="239" t="n"/>
      <c r="D86" s="240" t="n"/>
      <c r="E86" s="241" t="n"/>
      <c r="F86" s="242" t="n"/>
      <c r="G86" s="243" t="n"/>
      <c r="H86" s="244" t="n"/>
      <c r="I86" s="245" t="n"/>
      <c r="J86" s="246" t="n"/>
      <c r="K86" s="246" t="n"/>
      <c r="L86" s="246" t="n"/>
      <c r="M86" s="246" t="n"/>
      <c r="N86" s="246" t="n"/>
      <c r="O86" s="246" t="n"/>
      <c r="P86" s="246" t="n"/>
      <c r="Q86" s="246" t="n"/>
      <c r="R86" s="246" t="n"/>
      <c r="S86" s="246" t="n"/>
      <c r="T86" s="246" t="n"/>
      <c r="U86" s="246" t="n"/>
      <c r="V86" s="247">
        <f>IF(C86="Gutschrift","",IF(G86="","",IF(Besatzung!$B$11="","",IFERROR(IF(I86="Zeitanteilig",(Besatzung!$G$11*(G86-IFERROR(H86,0))+((Besatzung!$B$11&lt;&gt;"")*IF(B86="",1,(IF(Besatzung!$C$11="",Besatzung!$B$5,Besatzung!$C$11)&lt;=B86)*(IF(Besatzung!$D$11="",Besatzung!$B$6,Besatzung!$D$11)&gt;=B86)))*(Besatzung!$F$11="x")*IFERROR(H86,0)/IFERROR(SUMPRODUCT((Besatzung!$B$11:$B$22&lt;&gt;"")*(Besatzung!$F$11:$F$22="x")*(IF(Besatzung!$C$11:$C$22="",Besatzung!$B$5,Besatzung!$C$11:$C$22)&lt;=B86)*(IF(Besatzung!$D$11:$D$22="",Besatzung!$B$6,Besatzung!$D$11:$D$22)&gt;=B86)),1)),IF(I86="An Bord",(((Besatzung!$B$11&lt;&gt;"")*IF(B86="",1,(IF(Besatzung!$C$11="",Besatzung!$B$5,Besatzung!$C$11)&lt;=B86)*(IF(Besatzung!$D$11="",Besatzung!$B$6,Besatzung!$D$11)&gt;=B86)))*((G86-IFERROR(H86,0))/IFERROR(SUMPRODUCT((Besatzung!$B$11:$B$22&lt;&gt;"")*(IF(Besatzung!$C$11:$C$22="",Besatzung!$B$5,Besatzung!$C$11:$C$22)&lt;=B86)*(IF(Besatzung!$D$11:$D$22="",Besatzung!$B$6,Besatzung!$D$11:$D$22)&gt;=B86)),1)+(Besatzung!$F$11="x")*IFERROR(H86,0)/IFERROR(SUMPRODUCT((Besatzung!$B$11:$B$22&lt;&gt;"")*(Besatzung!$F$11:$F$22="x")*(IF(Besatzung!$C$11:$C$22="",Besatzung!$B$5,Besatzung!$C$11:$C$22)&lt;=B86)*(IF(Besatzung!$D$11:$D$22="",Besatzung!$B$6,Besatzung!$D$11:$D$22)&gt;=B86)),1))),IF(I86="Individuell",((J86="x")*((G86-IFERROR(H86,0))/IFERROR(COUNTIF(J86:U86,"x"),1)+(Besatzung!$F$11="x")*IFERROR(H86,0)/IFERROR(SUMPRODUCT((J86:U86="x")*(Besatzung!$F$11:$F$22="x")),1))),(IF(COUNTIF(J86:U86,"x")=0,IF(Besatzung!$B$11&lt;&gt;"",1,0),(J86="x"))*(G86-IFERROR(H86,0))/IFERROR(IF(COUNTIF(J86:U86,"x")=0,COUNTA(Besatzung!$B$11:$B$22),COUNTIF(J86:U86,"x")),1)+IF(COUNTIF(J86:U86,"x")=0,(Besatzung!$F$11="x"),(J86="x")*(Besatzung!$F$11="x"))*IFERROR(H86,0)/IFERROR(IF(COUNTIF(J86:U86,"x")=0,SUMPRODUCT((Besatzung!$B$11:$B$22&lt;&gt;"")*(Besatzung!$F$11:$F$22="x")),SUMPRODUCT((J86:U86="x")*(Besatzung!$F$11:$F$22="x"))),1))))),0))))</f>
        <v/>
      </c>
      <c r="W86" s="247">
        <f>IF(C86="Gutschrift","",IF(G86="","",IF(Besatzung!$B$12="","",IFERROR(IF(I86="Zeitanteilig",(Besatzung!$G$12*(G86-IFERROR(H86,0))+((Besatzung!$B$12&lt;&gt;"")*IF(B86="",1,(IF(Besatzung!$C$12="",Besatzung!$B$5,Besatzung!$C$12)&lt;=B86)*(IF(Besatzung!$D$12="",Besatzung!$B$6,Besatzung!$D$12)&gt;=B86)))*(Besatzung!$F$12="x")*IFERROR(H86,0)/IFERROR(SUMPRODUCT((Besatzung!$B$11:$B$22&lt;&gt;"")*(Besatzung!$F$11:$F$22="x")*(IF(Besatzung!$C$11:$C$22="",Besatzung!$B$5,Besatzung!$C$11:$C$22)&lt;=B86)*(IF(Besatzung!$D$11:$D$22="",Besatzung!$B$6,Besatzung!$D$11:$D$22)&gt;=B86)),1)),IF(I86="An Bord",(((Besatzung!$B$12&lt;&gt;"")*IF(B86="",1,(IF(Besatzung!$C$12="",Besatzung!$B$5,Besatzung!$C$12)&lt;=B86)*(IF(Besatzung!$D$12="",Besatzung!$B$6,Besatzung!$D$12)&gt;=B86)))*((G86-IFERROR(H86,0))/IFERROR(SUMPRODUCT((Besatzung!$B$11:$B$22&lt;&gt;"")*(IF(Besatzung!$C$11:$C$22="",Besatzung!$B$5,Besatzung!$C$11:$C$22)&lt;=B86)*(IF(Besatzung!$D$11:$D$22="",Besatzung!$B$6,Besatzung!$D$11:$D$22)&gt;=B86)),1)+(Besatzung!$F$12="x")*IFERROR(H86,0)/IFERROR(SUMPRODUCT((Besatzung!$B$11:$B$22&lt;&gt;"")*(Besatzung!$F$11:$F$22="x")*(IF(Besatzung!$C$11:$C$22="",Besatzung!$B$5,Besatzung!$C$11:$C$22)&lt;=B86)*(IF(Besatzung!$D$11:$D$22="",Besatzung!$B$6,Besatzung!$D$11:$D$22)&gt;=B86)),1))),IF(I86="Individuell",((K86="x")*((G86-IFERROR(H86,0))/IFERROR(COUNTIF(J86:U86,"x"),1)+(Besatzung!$F$12="x")*IFERROR(H86,0)/IFERROR(SUMPRODUCT((J86:U86="x")*(Besatzung!$F$11:$F$22="x")),1))),(IF(COUNTIF(J86:U86,"x")=0,IF(Besatzung!$B$12&lt;&gt;"",1,0),(K86="x"))*(G86-IFERROR(H86,0))/IFERROR(IF(COUNTIF(J86:U86,"x")=0,COUNTA(Besatzung!$B$11:$B$22),COUNTIF(J86:U86,"x")),1)+IF(COUNTIF(J86:U86,"x")=0,(Besatzung!$F$12="x"),(K86="x")*(Besatzung!$F$12="x"))*IFERROR(H86,0)/IFERROR(IF(COUNTIF(J86:U86,"x")=0,SUMPRODUCT((Besatzung!$B$11:$B$22&lt;&gt;"")*(Besatzung!$F$11:$F$22="x")),SUMPRODUCT((J86:U86="x")*(Besatzung!$F$11:$F$22="x"))),1))))),0))))</f>
        <v/>
      </c>
      <c r="X86" s="247">
        <f>IF(C86="Gutschrift","",IF(G86="","",IF(Besatzung!$B$13="","",IFERROR(IF(I86="Zeitanteilig",(Besatzung!$G$13*(G86-IFERROR(H86,0))+((Besatzung!$B$13&lt;&gt;"")*IF(B86="",1,(IF(Besatzung!$C$13="",Besatzung!$B$5,Besatzung!$C$13)&lt;=B86)*(IF(Besatzung!$D$13="",Besatzung!$B$6,Besatzung!$D$13)&gt;=B86)))*(Besatzung!$F$13="x")*IFERROR(H86,0)/IFERROR(SUMPRODUCT((Besatzung!$B$11:$B$22&lt;&gt;"")*(Besatzung!$F$11:$F$22="x")*(IF(Besatzung!$C$11:$C$22="",Besatzung!$B$5,Besatzung!$C$11:$C$22)&lt;=B86)*(IF(Besatzung!$D$11:$D$22="",Besatzung!$B$6,Besatzung!$D$11:$D$22)&gt;=B86)),1)),IF(I86="An Bord",(((Besatzung!$B$13&lt;&gt;"")*IF(B86="",1,(IF(Besatzung!$C$13="",Besatzung!$B$5,Besatzung!$C$13)&lt;=B86)*(IF(Besatzung!$D$13="",Besatzung!$B$6,Besatzung!$D$13)&gt;=B86)))*((G86-IFERROR(H86,0))/IFERROR(SUMPRODUCT((Besatzung!$B$11:$B$22&lt;&gt;"")*(IF(Besatzung!$C$11:$C$22="",Besatzung!$B$5,Besatzung!$C$11:$C$22)&lt;=B86)*(IF(Besatzung!$D$11:$D$22="",Besatzung!$B$6,Besatzung!$D$11:$D$22)&gt;=B86)),1)+(Besatzung!$F$13="x")*IFERROR(H86,0)/IFERROR(SUMPRODUCT((Besatzung!$B$11:$B$22&lt;&gt;"")*(Besatzung!$F$11:$F$22="x")*(IF(Besatzung!$C$11:$C$22="",Besatzung!$B$5,Besatzung!$C$11:$C$22)&lt;=B86)*(IF(Besatzung!$D$11:$D$22="",Besatzung!$B$6,Besatzung!$D$11:$D$22)&gt;=B86)),1))),IF(I86="Individuell",((K86="x")*((G86-IFERROR(H86,0))/IFERROR(COUNTIF(J86:U86,"x"),1)+(Besatzung!$F$13="x")*IFERROR(H86,0)/IFERROR(SUMPRODUCT((J86:U86="x")*(Besatzung!$F$11:$F$22="x")),1))),(IF(COUNTIF(J86:U86,"x")=0,IF(Besatzung!$B$13&lt;&gt;"",1,0),(K86="x"))*(G86-IFERROR(H86,0))/IFERROR(IF(COUNTIF(J86:U86,"x")=0,COUNTA(Besatzung!$B$11:$B$22),COUNTIF(J86:U86,"x")),1)+IF(COUNTIF(J86:U86,"x")=0,(Besatzung!$F$13="x"),(K86="x")*(Besatzung!$F$13="x"))*IFERROR(H86,0)/IFERROR(IF(COUNTIF(J86:U86,"x")=0,SUMPRODUCT((Besatzung!$B$11:$B$22&lt;&gt;"")*(Besatzung!$F$11:$F$22="x")),SUMPRODUCT((J86:U86="x")*(Besatzung!$F$11:$F$22="x"))),1))))),0))))</f>
        <v/>
      </c>
      <c r="Y86" s="247">
        <f>IF(C86="Gutschrift","",IF(G86="","",IF(Besatzung!$B$14="","",IFERROR(IF(I86="Zeitanteilig",(Besatzung!$G$14*(G86-IFERROR(H86,0))+((Besatzung!$B$14&lt;&gt;"")*IF(B86="",1,(IF(Besatzung!$C$14="",Besatzung!$B$5,Besatzung!$C$14)&lt;=B86)*(IF(Besatzung!$D$14="",Besatzung!$B$6,Besatzung!$D$14)&gt;=B86)))*(Besatzung!$F$14="x")*IFERROR(H86,0)/IFERROR(SUMPRODUCT((Besatzung!$B$11:$B$22&lt;&gt;"")*(Besatzung!$F$11:$F$22="x")*(IF(Besatzung!$C$11:$C$22="",Besatzung!$B$5,Besatzung!$C$11:$C$22)&lt;=B86)*(IF(Besatzung!$D$11:$D$22="",Besatzung!$B$6,Besatzung!$D$11:$D$22)&gt;=B86)),1)),IF(I86="An Bord",(((Besatzung!$B$14&lt;&gt;"")*IF(B86="",1,(IF(Besatzung!$C$14="",Besatzung!$B$5,Besatzung!$C$14)&lt;=B86)*(IF(Besatzung!$D$14="",Besatzung!$B$6,Besatzung!$D$14)&gt;=B86)))*((G86-IFERROR(H86,0))/IFERROR(SUMPRODUCT((Besatzung!$B$11:$B$22&lt;&gt;"")*(IF(Besatzung!$C$11:$C$22="",Besatzung!$B$5,Besatzung!$C$11:$C$22)&lt;=B86)*(IF(Besatzung!$D$11:$D$22="",Besatzung!$B$6,Besatzung!$D$11:$D$22)&gt;=B86)),1)+(Besatzung!$F$14="x")*IFERROR(H86,0)/IFERROR(SUMPRODUCT((Besatzung!$B$11:$B$22&lt;&gt;"")*(Besatzung!$F$11:$F$22="x")*(IF(Besatzung!$C$11:$C$22="",Besatzung!$B$5,Besatzung!$C$11:$C$22)&lt;=B86)*(IF(Besatzung!$D$11:$D$22="",Besatzung!$B$6,Besatzung!$D$11:$D$22)&gt;=B86)),1))),IF(I86="Individuell",((M86="x")*((G86-IFERROR(H86,0))/IFERROR(COUNTIF(J86:U86,"x"),1)+(Besatzung!$F$14="x")*IFERROR(H86,0)/IFERROR(SUMPRODUCT((J86:U86="x")*(Besatzung!$F$11:$F$22="x")),1))),(IF(COUNTIF(J86:U86,"x")=0,IF(Besatzung!$B$14&lt;&gt;"",1,0),(M86="x"))*(G86-IFERROR(H86,0))/IFERROR(IF(COUNTIF(J86:U86,"x")=0,COUNTA(Besatzung!$B$11:$B$22),COUNTIF(J86:U86,"x")),1)+IF(COUNTIF(J86:U86,"x")=0,(Besatzung!$F$14="x"),(M86="x")*(Besatzung!$F$14="x"))*IFERROR(H86,0)/IFERROR(IF(COUNTIF(J86:U86,"x")=0,SUMPRODUCT((Besatzung!$B$11:$B$22&lt;&gt;"")*(Besatzung!$F$11:$F$22="x")),SUMPRODUCT((J86:U86="x")*(Besatzung!$F$11:$F$22="x"))),1))))),0))))</f>
        <v/>
      </c>
      <c r="Z86" s="247">
        <f>IF(C86="Gutschrift","",IF(G86="","",IF(Besatzung!$B$13="","",IFERROR(IF(I86="Zeitanteilig",(Besatzung!$G$15*(G86-IFERROR(H86,0))+((Besatzung!$B$13&lt;&gt;"")*IF(B86="",1,(IF(Besatzung!$C$15="",Besatzung!$B$5,Besatzung!$C$15)&lt;=B86)*(IF(Besatzung!$D$15="",Besatzung!$B$6,Besatzung!$D$15)&gt;=B86)))*(Besatzung!$F$15="x")*IFERROR(H86,0)/IFERROR(SUMPRODUCT((Besatzung!$B$11:$B$22&lt;&gt;"")*(Besatzung!$F$11:$F$22="x")*(IF(Besatzung!$C$11:$C$22="",Besatzung!$B$5,Besatzung!$C$11:$C$22)&lt;=B86)*(IF(Besatzung!$D$11:$D$22="",Besatzung!$B$6,Besatzung!$D$11:$D$22)&gt;=B86)),1)),IF(I86="An Bord",(((Besatzung!$B$13&lt;&gt;"")*IF(B86="",1,(IF(Besatzung!$C$15="",Besatzung!$B$5,Besatzung!$C$15)&lt;=B86)*(IF(Besatzung!$D$15="",Besatzung!$B$6,Besatzung!$D$15)&gt;=B86)))*((G86-IFERROR(H86,0))/IFERROR(SUMPRODUCT((Besatzung!$B$11:$B$22&lt;&gt;"")*(IF(Besatzung!$C$11:$C$22="",Besatzung!$B$5,Besatzung!$C$11:$C$22)&lt;=B86)*(IF(Besatzung!$D$11:$D$22="",Besatzung!$B$6,Besatzung!$D$11:$D$22)&gt;=B86)),1)+(Besatzung!$F$15="x")*IFERROR(H86,0)/IFERROR(SUMPRODUCT((Besatzung!$B$11:$B$22&lt;&gt;"")*(Besatzung!$F$11:$F$22="x")*(IF(Besatzung!$C$11:$C$22="",Besatzung!$B$5,Besatzung!$C$11:$C$22)&lt;=B86)*(IF(Besatzung!$D$11:$D$22="",Besatzung!$B$6,Besatzung!$D$11:$D$22)&gt;=B86)),1))),IF(I86="Individuell",((N86="x")*((G86-IFERROR(H86,0))/IFERROR(COUNTIF(J86:U86,"x"),1)+(Besatzung!$F$15="x")*IFERROR(H86,0)/IFERROR(SUMPRODUCT((J86:U86="x")*(Besatzung!$F$11:$F$22="x")),1))),(IF(COUNTIF(J86:U86,"x")=0,IF(Besatzung!$B$13&lt;&gt;"",1,0),(N86="x"))*(G86-IFERROR(H86,0))/IFERROR(IF(COUNTIF(J86:U86,"x")=0,COUNTA(Besatzung!$B$11:$B$22),COUNTIF(J86:U86,"x")),1)+IF(COUNTIF(J86:U86,"x")=0,(Besatzung!$F$15="x"),(N86="x")*(Besatzung!$F$15="x"))*IFERROR(H86,0)/IFERROR(IF(COUNTIF(J86:U86,"x")=0,SUMPRODUCT((Besatzung!$B$11:$B$22&lt;&gt;"")*(Besatzung!$F$11:$F$22="x")),SUMPRODUCT((J86:U86="x")*(Besatzung!$F$11:$F$22="x"))),1))))),0))))</f>
        <v/>
      </c>
      <c r="AA86" s="247">
        <f>IF(C86="Gutschrift","",IF(G86="","",IF(Besatzung!$B$15="","",IFERROR(IF(I86="Zeitanteilig",(Besatzung!$G$16*(G86-IFERROR(H86,0))+((Besatzung!$B$15&lt;&gt;"")*IF(B86="",1,(IF(Besatzung!$C$16="",Besatzung!$B$5,Besatzung!$C$16)&lt;=B86)*(IF(Besatzung!$D$16="",Besatzung!$B$6,Besatzung!$D$16)&gt;=B86)))*(Besatzung!$F$16="x")*IFERROR(H86,0)/IFERROR(SUMPRODUCT((Besatzung!$B$11:$B$22&lt;&gt;"")*(Besatzung!$F$11:$F$22="x")*(IF(Besatzung!$C$11:$C$22="",Besatzung!$B$5,Besatzung!$C$11:$C$22)&lt;=B86)*(IF(Besatzung!$D$11:$D$22="",Besatzung!$B$6,Besatzung!$D$11:$D$22)&gt;=B86)),1)),IF(I86="An Bord",(((Besatzung!$B$15&lt;&gt;"")*IF(B86="",1,(IF(Besatzung!$C$16="",Besatzung!$B$5,Besatzung!$C$16)&lt;=B86)*(IF(Besatzung!$D$16="",Besatzung!$B$6,Besatzung!$D$16)&gt;=B86)))*((G86-IFERROR(H86,0))/IFERROR(SUMPRODUCT((Besatzung!$B$11:$B$22&lt;&gt;"")*(IF(Besatzung!$C$11:$C$22="",Besatzung!$B$5,Besatzung!$C$11:$C$22)&lt;=B86)*(IF(Besatzung!$D$11:$D$22="",Besatzung!$B$6,Besatzung!$D$11:$D$22)&gt;=B86)),1)+(Besatzung!$F$16="x")*IFERROR(H86,0)/IFERROR(SUMPRODUCT((Besatzung!$B$11:$B$22&lt;&gt;"")*(Besatzung!$F$11:$F$22="x")*(IF(Besatzung!$C$11:$C$22="",Besatzung!$B$5,Besatzung!$C$11:$C$22)&lt;=B86)*(IF(Besatzung!$D$11:$D$22="",Besatzung!$B$6,Besatzung!$D$11:$D$22)&gt;=B86)),1))),IF(I86="Individuell",((O86="x")*((G86-IFERROR(H86,0))/IFERROR(COUNTIF(J86:U86,"x"),1)+(Besatzung!$F$16="x")*IFERROR(H86,0)/IFERROR(SUMPRODUCT((J86:U86="x")*(Besatzung!$F$11:$F$22="x")),1))),(IF(COUNTIF(J86:U86,"x")=0,IF(Besatzung!$B$15&lt;&gt;"",1,0),(O86="x"))*(G86-IFERROR(H86,0))/IFERROR(IF(COUNTIF(J86:U86,"x")=0,COUNTA(Besatzung!$B$11:$B$22),COUNTIF(J86:U86,"x")),1)+IF(COUNTIF(J86:U86,"x")=0,(Besatzung!$F$16="x"),(O86="x")*(Besatzung!$F$16="x"))*IFERROR(H86,0)/IFERROR(IF(COUNTIF(J86:U86,"x")=0,SUMPRODUCT((Besatzung!$B$11:$B$22&lt;&gt;"")*(Besatzung!$F$11:$F$22="x")),SUMPRODUCT((J86:U86="x")*(Besatzung!$F$11:$F$22="x"))),1))))),0))))</f>
        <v/>
      </c>
      <c r="AB86" s="247">
        <f>IF(C86="Gutschrift","",IF(G86="","",IF(Besatzung!$B$17="","",IFERROR(IF(I86="Zeitanteilig",(Besatzung!$G$17*(G86-IFERROR(H86,0))+((Besatzung!$B$17&lt;&gt;"")*IF(B86="",1,(IF(Besatzung!$C$17="",Besatzung!$B$5,Besatzung!$C$17)&lt;=B86)*(IF(Besatzung!$D$17="",Besatzung!$B$6,Besatzung!$D$17)&gt;=B86)))*(Besatzung!$F$17="x")*IFERROR(H86,0)/IFERROR(SUMPRODUCT((Besatzung!$B$11:$B$22&lt;&gt;"")*(Besatzung!$F$11:$F$22="x")*(IF(Besatzung!$C$11:$C$22="",Besatzung!$B$5,Besatzung!$C$11:$C$22)&lt;=B86)*(IF(Besatzung!$D$11:$D$22="",Besatzung!$B$6,Besatzung!$D$11:$D$22)&gt;=B86)),1)),IF(I86="An Bord",(((Besatzung!$B$17&lt;&gt;"")*IF(B86="",1,(IF(Besatzung!$C$17="",Besatzung!$B$5,Besatzung!$C$17)&lt;=B86)*(IF(Besatzung!$D$17="",Besatzung!$B$6,Besatzung!$D$17)&gt;=B86)))*((G86-IFERROR(H86,0))/IFERROR(SUMPRODUCT((Besatzung!$B$11:$B$22&lt;&gt;"")*(IF(Besatzung!$C$11:$C$22="",Besatzung!$B$5,Besatzung!$C$11:$C$22)&lt;=B86)*(IF(Besatzung!$D$11:$D$22="",Besatzung!$B$6,Besatzung!$D$11:$D$22)&gt;=B86)),1)+(Besatzung!$F$17="x")*IFERROR(H86,0)/IFERROR(SUMPRODUCT((Besatzung!$B$11:$B$22&lt;&gt;"")*(Besatzung!$F$11:$F$22="x")*(IF(Besatzung!$C$11:$C$22="",Besatzung!$B$5,Besatzung!$C$11:$C$22)&lt;=B86)*(IF(Besatzung!$D$11:$D$22="",Besatzung!$B$6,Besatzung!$D$11:$D$22)&gt;=B86)),1))),IF(I86="Individuell",((P86="x")*((G86-IFERROR(H86,0))/IFERROR(COUNTIF(J86:U86,"x"),1)+(Besatzung!$F$17="x")*IFERROR(H86,0)/IFERROR(SUMPRODUCT((J86:U86="x")*(Besatzung!$F$11:$F$22="x")),1))),(IF(COUNTIF(J86:U86,"x")=0,IF(Besatzung!$B$17&lt;&gt;"",1,0),(P86="x"))*(G86-IFERROR(H86,0))/IFERROR(IF(COUNTIF(J86:U86,"x")=0,COUNTA(Besatzung!$B$11:$B$22),COUNTIF(J86:U86,"x")),1)+IF(COUNTIF(J86:U86,"x")=0,(Besatzung!$F$17="x"),(P86="x")*(Besatzung!$F$17="x"))*IFERROR(H86,0)/IFERROR(IF(COUNTIF(J86:U86,"x")=0,SUMPRODUCT((Besatzung!$B$11:$B$22&lt;&gt;"")*(Besatzung!$F$11:$F$22="x")),SUMPRODUCT((J86:U86="x")*(Besatzung!$F$11:$F$22="x"))),1))))),0))))</f>
        <v/>
      </c>
      <c r="AC86" s="247">
        <f>IF(C86="Gutschrift","",IF(G86="","",IF(Besatzung!$B$18="","",IFERROR(IF(I86="Zeitanteilig",(Besatzung!$G$18*(G86-IFERROR(H86,0))+((Besatzung!$B$18&lt;&gt;"")*IF(B86="",1,(IF(Besatzung!$C$18="",Besatzung!$B$5,Besatzung!$C$18)&lt;=B86)*(IF(Besatzung!$D$18="",Besatzung!$B$6,Besatzung!$D$18)&gt;=B86)))*(Besatzung!$F$18="x")*IFERROR(H86,0)/IFERROR(SUMPRODUCT((Besatzung!$B$11:$B$22&lt;&gt;"")*(Besatzung!$F$11:$F$22="x")*(IF(Besatzung!$C$11:$C$22="",Besatzung!$B$5,Besatzung!$C$11:$C$22)&lt;=B86)*(IF(Besatzung!$D$11:$D$22="",Besatzung!$B$6,Besatzung!$D$11:$D$22)&gt;=B86)),1)),IF(I86="An Bord",(((Besatzung!$B$18&lt;&gt;"")*IF(B86="",1,(IF(Besatzung!$C$18="",Besatzung!$B$5,Besatzung!$C$18)&lt;=B86)*(IF(Besatzung!$D$18="",Besatzung!$B$6,Besatzung!$D$18)&gt;=B86)))*((G86-IFERROR(H86,0))/IFERROR(SUMPRODUCT((Besatzung!$B$11:$B$22&lt;&gt;"")*(IF(Besatzung!$C$11:$C$22="",Besatzung!$B$5,Besatzung!$C$11:$C$22)&lt;=B86)*(IF(Besatzung!$D$11:$D$22="",Besatzung!$B$6,Besatzung!$D$11:$D$22)&gt;=B86)),1)+(Besatzung!$F$18="x")*IFERROR(H86,0)/IFERROR(SUMPRODUCT((Besatzung!$B$11:$B$22&lt;&gt;"")*(Besatzung!$F$11:$F$22="x")*(IF(Besatzung!$C$11:$C$22="",Besatzung!$B$5,Besatzung!$C$11:$C$22)&lt;=B86)*(IF(Besatzung!$D$11:$D$22="",Besatzung!$B$6,Besatzung!$D$11:$D$22)&gt;=B86)),1))),IF(I86="Individuell",((Q86="x")*((G86-IFERROR(H86,0))/IFERROR(COUNTIF(J86:U86,"x"),1)+(Besatzung!$F$18="x")*IFERROR(H86,0)/IFERROR(SUMPRODUCT((J86:U86="x")*(Besatzung!$F$11:$F$22="x")),1))),(IF(COUNTIF(J86:U86,"x")=0,IF(Besatzung!$B$18&lt;&gt;"",1,0),(Q86="x"))*(G86-IFERROR(H86,0))/IFERROR(IF(COUNTIF(J86:U86,"x")=0,COUNTA(Besatzung!$B$11:$B$22),COUNTIF(J86:U86,"x")),1)+IF(COUNTIF(J86:U86,"x")=0,(Besatzung!$F$18="x"),(Q86="x")*(Besatzung!$F$18="x"))*IFERROR(H86,0)/IFERROR(IF(COUNTIF(J86:U86,"x")=0,SUMPRODUCT((Besatzung!$B$11:$B$22&lt;&gt;"")*(Besatzung!$F$11:$F$22="x")),SUMPRODUCT((J86:U86="x")*(Besatzung!$F$11:$F$22="x"))),1))))),0))))</f>
        <v/>
      </c>
      <c r="AD86" s="247">
        <f>IF(C86="Gutschrift","",IF(G86="","",IF(Besatzung!$B$19="","",IFERROR(IF(I86="Zeitanteilig",(Besatzung!$G$19*(G86-IFERROR(H86,0))+((Besatzung!$B$19&lt;&gt;"")*IF(B86="",1,(IF(Besatzung!$C$19="",Besatzung!$B$5,Besatzung!$C$19)&lt;=B86)*(IF(Besatzung!$D$19="",Besatzung!$B$6,Besatzung!$D$19)&gt;=B86)))*(Besatzung!$F$19="x")*IFERROR(H86,0)/IFERROR(SUMPRODUCT((Besatzung!$B$11:$B$22&lt;&gt;"")*(Besatzung!$F$11:$F$22="x")*(IF(Besatzung!$C$11:$C$22="",Besatzung!$B$5,Besatzung!$C$11:$C$22)&lt;=B86)*(IF(Besatzung!$D$11:$D$22="",Besatzung!$B$6,Besatzung!$D$11:$D$22)&gt;=B86)),1)),IF(I86="An Bord",(((Besatzung!$B$19&lt;&gt;"")*IF(B86="",1,(IF(Besatzung!$C$19="",Besatzung!$B$5,Besatzung!$C$19)&lt;=B86)*(IF(Besatzung!$D$19="",Besatzung!$B$6,Besatzung!$D$19)&gt;=B86)))*((G86-IFERROR(H86,0))/IFERROR(SUMPRODUCT((Besatzung!$B$11:$B$22&lt;&gt;"")*(IF(Besatzung!$C$11:$C$22="",Besatzung!$B$5,Besatzung!$C$11:$C$22)&lt;=B86)*(IF(Besatzung!$D$11:$D$22="",Besatzung!$B$6,Besatzung!$D$11:$D$22)&gt;=B86)),1)+(Besatzung!$F$19="x")*IFERROR(H86,0)/IFERROR(SUMPRODUCT((Besatzung!$B$11:$B$22&lt;&gt;"")*(Besatzung!$F$11:$F$22="x")*(IF(Besatzung!$C$11:$C$22="",Besatzung!$B$5,Besatzung!$C$11:$C$22)&lt;=B86)*(IF(Besatzung!$D$11:$D$22="",Besatzung!$B$6,Besatzung!$D$11:$D$22)&gt;=B86)),1))),IF(I86="Individuell",((R86="x")*((G86-IFERROR(H86,0))/IFERROR(COUNTIF(J86:U86,"x"),1)+(Besatzung!$F$19="x")*IFERROR(H86,0)/IFERROR(SUMPRODUCT((J86:U86="x")*(Besatzung!$F$11:$F$22="x")),1))),(IF(COUNTIF(J86:U86,"x")=0,IF(Besatzung!$B$19&lt;&gt;"",1,0),(R86="x"))*(G86-IFERROR(H86,0))/IFERROR(IF(COUNTIF(J86:U86,"x")=0,COUNTA(Besatzung!$B$11:$B$22),COUNTIF(J86:U86,"x")),1)+IF(COUNTIF(J86:U86,"x")=0,(Besatzung!$F$19="x"),(R86="x")*(Besatzung!$F$19="x"))*IFERROR(H86,0)/IFERROR(IF(COUNTIF(J86:U86,"x")=0,SUMPRODUCT((Besatzung!$B$11:$B$22&lt;&gt;"")*(Besatzung!$F$11:$F$22="x")),SUMPRODUCT((J86:U86="x")*(Besatzung!$F$11:$F$22="x"))),1))))),0))))</f>
        <v/>
      </c>
      <c r="AE86" s="247">
        <f>IF(C86="Gutschrift","",IF(G86="","",IF(Besatzung!$B$20="","",IFERROR(IF(I86="Zeitanteilig",(Besatzung!$G$20*(G86-IFERROR(H86,0))+((Besatzung!$B$20&lt;&gt;"")*IF(B86="",1,(IF(Besatzung!$C$20="",Besatzung!$B$5,Besatzung!$C$20)&lt;=B86)*(IF(Besatzung!$D$20="",Besatzung!$B$6,Besatzung!$D$20)&gt;=B86)))*(Besatzung!$F$20="x")*IFERROR(H86,0)/IFERROR(SUMPRODUCT((Besatzung!$B$11:$B$22&lt;&gt;"")*(Besatzung!$F$11:$F$22="x")*(IF(Besatzung!$C$11:$C$22="",Besatzung!$B$5,Besatzung!$C$11:$C$22)&lt;=B86)*(IF(Besatzung!$D$11:$D$22="",Besatzung!$B$6,Besatzung!$D$11:$D$22)&gt;=B86)),1)),IF(I86="An Bord",(((Besatzung!$B$20&lt;&gt;"")*IF(B86="",1,(IF(Besatzung!$C$20="",Besatzung!$B$5,Besatzung!$C$20)&lt;=B86)*(IF(Besatzung!$D$20="",Besatzung!$B$6,Besatzung!$D$20)&gt;=B86)))*((G86-IFERROR(H86,0))/IFERROR(SUMPRODUCT((Besatzung!$B$11:$B$22&lt;&gt;"")*(IF(Besatzung!$C$11:$C$22="",Besatzung!$B$5,Besatzung!$C$11:$C$22)&lt;=B86)*(IF(Besatzung!$D$11:$D$22="",Besatzung!$B$6,Besatzung!$D$11:$D$22)&gt;=B86)),1)+(Besatzung!$F$20="x")*IFERROR(H86,0)/IFERROR(SUMPRODUCT((Besatzung!$B$11:$B$22&lt;&gt;"")*(Besatzung!$F$11:$F$22="x")*(IF(Besatzung!$C$11:$C$22="",Besatzung!$B$5,Besatzung!$C$11:$C$22)&lt;=B86)*(IF(Besatzung!$D$11:$D$22="",Besatzung!$B$6,Besatzung!$D$11:$D$22)&gt;=B86)),1))),IF(I86="Individuell",((S86="x")*((G86-IFERROR(H86,0))/IFERROR(COUNTIF(J86:U86,"x"),1)+(Besatzung!$F$20="x")*IFERROR(H86,0)/IFERROR(SUMPRODUCT((J86:U86="x")*(Besatzung!$F$11:$F$22="x")),1))),(IF(COUNTIF(J86:U86,"x")=0,IF(Besatzung!$B$20&lt;&gt;"",1,0),(S86="x"))*(G86-IFERROR(H86,0))/IFERROR(IF(COUNTIF(J86:U86,"x")=0,COUNTA(Besatzung!$B$11:$B$22),COUNTIF(J86:U86,"x")),1)+IF(COUNTIF(J86:U86,"x")=0,(Besatzung!$F$20="x"),(S86="x")*(Besatzung!$F$20="x"))*IFERROR(H86,0)/IFERROR(IF(COUNTIF(J86:U86,"x")=0,SUMPRODUCT((Besatzung!$B$11:$B$22&lt;&gt;"")*(Besatzung!$F$11:$F$22="x")),SUMPRODUCT((J86:U86="x")*(Besatzung!$F$11:$F$22="x"))),1))))),0))))</f>
        <v/>
      </c>
      <c r="AF86" s="247">
        <f>IF(C86="Gutschrift","",IF(G86="","",IF(Besatzung!$B$21="","",IFERROR(IF(I86="Zeitanteilig",(Besatzung!$G$21*(G86-IFERROR(H86,0))+((Besatzung!$B$21&lt;&gt;"")*IF(B86="",1,(IF(Besatzung!$C$21="",Besatzung!$B$5,Besatzung!$C$21)&lt;=B86)*(IF(Besatzung!$D$21="",Besatzung!$B$6,Besatzung!$D$21)&gt;=B86)))*(Besatzung!$F$21="x")*IFERROR(H86,0)/IFERROR(SUMPRODUCT((Besatzung!$B$11:$B$22&lt;&gt;"")*(Besatzung!$F$11:$F$22="x")*(IF(Besatzung!$C$11:$C$22="",Besatzung!$B$5,Besatzung!$C$11:$C$22)&lt;=B86)*(IF(Besatzung!$D$11:$D$22="",Besatzung!$B$6,Besatzung!$D$11:$D$22)&gt;=B86)),1)),IF(I86="An Bord",(((Besatzung!$B$21&lt;&gt;"")*IF(B86="",1,(IF(Besatzung!$C$21="",Besatzung!$B$5,Besatzung!$C$21)&lt;=B86)*(IF(Besatzung!$D$21="",Besatzung!$B$6,Besatzung!$D$21)&gt;=B86)))*((G86-IFERROR(H86,0))/IFERROR(SUMPRODUCT((Besatzung!$B$11:$B$22&lt;&gt;"")*(IF(Besatzung!$C$11:$C$22="",Besatzung!$B$5,Besatzung!$C$11:$C$22)&lt;=B86)*(IF(Besatzung!$D$11:$D$22="",Besatzung!$B$6,Besatzung!$D$11:$D$22)&gt;=B86)),1)+(Besatzung!$F$21="x")*IFERROR(H86,0)/IFERROR(SUMPRODUCT((Besatzung!$B$11:$B$22&lt;&gt;"")*(Besatzung!$F$11:$F$22="x")*(IF(Besatzung!$C$11:$C$22="",Besatzung!$B$5,Besatzung!$C$11:$C$22)&lt;=B86)*(IF(Besatzung!$D$11:$D$22="",Besatzung!$B$6,Besatzung!$D$11:$D$22)&gt;=B86)),1))),IF(I86="Individuell",((T86="x")*((G86-IFERROR(H86,0))/IFERROR(COUNTIF(J86:U86,"x"),1)+(Besatzung!$F$21="x")*IFERROR(H86,0)/IFERROR(SUMPRODUCT((J86:U86="x")*(Besatzung!$F$11:$F$22="x")),1))),(IF(COUNTIF(J86:U86,"x")=0,IF(Besatzung!$B$21&lt;&gt;"",1,0),(T86="x"))*(G86-IFERROR(H86,0))/IFERROR(IF(COUNTIF(J86:U86,"x")=0,COUNTA(Besatzung!$B$11:$B$22),COUNTIF(J86:U86,"x")),1)+IF(COUNTIF(J86:U86,"x")=0,(Besatzung!$F$21="x"),(T86="x")*(Besatzung!$F$21="x"))*IFERROR(H86,0)/IFERROR(IF(COUNTIF(J86:U86,"x")=0,SUMPRODUCT((Besatzung!$B$11:$B$22&lt;&gt;"")*(Besatzung!$F$11:$F$22="x")),SUMPRODUCT((J86:U86="x")*(Besatzung!$F$11:$F$22="x"))),1))))),0))))</f>
        <v/>
      </c>
      <c r="AG86" s="247">
        <f>IF(C86="Gutschrift","",IF(G86="","",IF(Besatzung!$B$22="","",IFERROR(IF(I86="Zeitanteilig",(Besatzung!$G$22*(G86-IFERROR(H86,0))+((Besatzung!$B$22&lt;&gt;"")*IF(B86="",1,(IF(Besatzung!$C$22="",Besatzung!$B$5,Besatzung!$C$22)&lt;=B86)*(IF(Besatzung!$D$22="",Besatzung!$B$6,Besatzung!$D$22)&gt;=B86)))*(Besatzung!$F$22="x")*IFERROR(H86,0)/IFERROR(SUMPRODUCT((Besatzung!$B$11:$B$22&lt;&gt;"")*(Besatzung!$F$11:$F$22="x")*(IF(Besatzung!$C$11:$C$22="",Besatzung!$B$5,Besatzung!$C$11:$C$22)&lt;=B86)*(IF(Besatzung!$D$11:$D$22="",Besatzung!$B$6,Besatzung!$D$11:$D$22)&gt;=B86)),1)),IF(I86="An Bord",(((Besatzung!$B$22&lt;&gt;"")*IF(B86="",1,(IF(Besatzung!$C$22="",Besatzung!$B$5,Besatzung!$C$22)&lt;=B86)*(IF(Besatzung!$D$22="",Besatzung!$B$6,Besatzung!$D$22)&gt;=B86)))*((G86-IFERROR(H86,0))/IFERROR(SUMPRODUCT((Besatzung!$B$11:$B$22&lt;&gt;"")*(IF(Besatzung!$C$11:$C$22="",Besatzung!$B$5,Besatzung!$C$11:$C$22)&lt;=B86)*(IF(Besatzung!$D$11:$D$22="",Besatzung!$B$6,Besatzung!$D$11:$D$22)&gt;=B86)),1)+(Besatzung!$F$22="x")*IFERROR(H86,0)/IFERROR(SUMPRODUCT((Besatzung!$B$11:$B$22&lt;&gt;"")*(Besatzung!$F$11:$F$22="x")*(IF(Besatzung!$C$11:$C$22="",Besatzung!$B$5,Besatzung!$C$11:$C$22)&lt;=B86)*(IF(Besatzung!$D$11:$D$22="",Besatzung!$B$6,Besatzung!$D$11:$D$22)&gt;=B86)),1))),IF(I86="Individuell",((U86="x")*((G86-IFERROR(H86,0))/IFERROR(COUNTIF(J86:U86,"x"),1)+(Besatzung!$F$22="x")*IFERROR(H86,0)/IFERROR(SUMPRODUCT((J86:U86="x")*(Besatzung!$F$11:$F$22="x")),1))),(IF(COUNTIF(J86:U86,"x")=0,IF(Besatzung!$B$22&lt;&gt;"",1,0),(U86="x"))*(G86-IFERROR(H86,0))/IFERROR(IF(COUNTIF(J86:U86,"x")=0,COUNTA(Besatzung!$B$11:$B$22),COUNTIF(J86:U86,"x")),1)+IF(COUNTIF(J86:U86,"x")=0,(Besatzung!$F$22="x"),(U86="x")*(Besatzung!$F$22="x"))*IFERROR(H86,0)/IFERROR(IF(COUNTIF(J86:U86,"x")=0,SUMPRODUCT((Besatzung!$B$11:$B$22&lt;&gt;"")*(Besatzung!$F$11:$F$22="x")),SUMPRODUCT((J86:U86="x")*(Besatzung!$F$11:$F$22="x"))),1))))),0))))</f>
        <v/>
      </c>
      <c r="AH86" s="248" t="n"/>
      <c r="AI86" s="248" t="n"/>
    </row>
    <row r="87" ht="21.75" customHeight="1" s="154">
      <c r="A87" s="238">
        <f>IF(AND(D87="",C87=""),"",84)</f>
        <v/>
      </c>
      <c r="B87" s="206" t="n"/>
      <c r="C87" s="249" t="n"/>
      <c r="D87" s="250" t="n"/>
      <c r="E87" s="251" t="n"/>
      <c r="F87" s="252" t="n"/>
      <c r="G87" s="253" t="n"/>
      <c r="H87" s="254" t="n"/>
      <c r="I87" s="255" t="n"/>
      <c r="J87" s="256" t="n"/>
      <c r="K87" s="256" t="n"/>
      <c r="L87" s="256" t="n"/>
      <c r="M87" s="256" t="n"/>
      <c r="N87" s="256" t="n"/>
      <c r="O87" s="256" t="n"/>
      <c r="P87" s="256" t="n"/>
      <c r="Q87" s="256" t="n"/>
      <c r="R87" s="256" t="n"/>
      <c r="S87" s="256" t="n"/>
      <c r="T87" s="256" t="n"/>
      <c r="U87" s="256" t="n"/>
      <c r="V87" s="247">
        <f>IF(C87="Gutschrift","",IF(G87="","",IF(Besatzung!$B$11="","",IFERROR(IF(I87="Zeitanteilig",(Besatzung!$G$11*(G87-IFERROR(H87,0))+((Besatzung!$B$11&lt;&gt;"")*IF(B87="",1,(IF(Besatzung!$C$11="",Besatzung!$B$5,Besatzung!$C$11)&lt;=B87)*(IF(Besatzung!$D$11="",Besatzung!$B$6,Besatzung!$D$11)&gt;=B87)))*(Besatzung!$F$11="x")*IFERROR(H87,0)/IFERROR(SUMPRODUCT((Besatzung!$B$11:$B$22&lt;&gt;"")*(Besatzung!$F$11:$F$22="x")*(IF(Besatzung!$C$11:$C$22="",Besatzung!$B$5,Besatzung!$C$11:$C$22)&lt;=B87)*(IF(Besatzung!$D$11:$D$22="",Besatzung!$B$6,Besatzung!$D$11:$D$22)&gt;=B87)),1)),IF(I87="An Bord",(((Besatzung!$B$11&lt;&gt;"")*IF(B87="",1,(IF(Besatzung!$C$11="",Besatzung!$B$5,Besatzung!$C$11)&lt;=B87)*(IF(Besatzung!$D$11="",Besatzung!$B$6,Besatzung!$D$11)&gt;=B87)))*((G87-IFERROR(H87,0))/IFERROR(SUMPRODUCT((Besatzung!$B$11:$B$22&lt;&gt;"")*(IF(Besatzung!$C$11:$C$22="",Besatzung!$B$5,Besatzung!$C$11:$C$22)&lt;=B87)*(IF(Besatzung!$D$11:$D$22="",Besatzung!$B$6,Besatzung!$D$11:$D$22)&gt;=B87)),1)+(Besatzung!$F$11="x")*IFERROR(H87,0)/IFERROR(SUMPRODUCT((Besatzung!$B$11:$B$22&lt;&gt;"")*(Besatzung!$F$11:$F$22="x")*(IF(Besatzung!$C$11:$C$22="",Besatzung!$B$5,Besatzung!$C$11:$C$22)&lt;=B87)*(IF(Besatzung!$D$11:$D$22="",Besatzung!$B$6,Besatzung!$D$11:$D$22)&gt;=B87)),1))),IF(I87="Individuell",((J87="x")*((G87-IFERROR(H87,0))/IFERROR(COUNTIF(J87:U87,"x"),1)+(Besatzung!$F$11="x")*IFERROR(H87,0)/IFERROR(SUMPRODUCT((J87:U87="x")*(Besatzung!$F$11:$F$22="x")),1))),(IF(COUNTIF(J87:U87,"x")=0,IF(Besatzung!$B$11&lt;&gt;"",1,0),(J87="x"))*(G87-IFERROR(H87,0))/IFERROR(IF(COUNTIF(J87:U87,"x")=0,COUNTA(Besatzung!$B$11:$B$22),COUNTIF(J87:U87,"x")),1)+IF(COUNTIF(J87:U87,"x")=0,(Besatzung!$F$11="x"),(J87="x")*(Besatzung!$F$11="x"))*IFERROR(H87,0)/IFERROR(IF(COUNTIF(J87:U87,"x")=0,SUMPRODUCT((Besatzung!$B$11:$B$22&lt;&gt;"")*(Besatzung!$F$11:$F$22="x")),SUMPRODUCT((J87:U87="x")*(Besatzung!$F$11:$F$22="x"))),1))))),0))))</f>
        <v/>
      </c>
      <c r="W87" s="247">
        <f>IF(C87="Gutschrift","",IF(G87="","",IF(Besatzung!$B$12="","",IFERROR(IF(I87="Zeitanteilig",(Besatzung!$G$12*(G87-IFERROR(H87,0))+((Besatzung!$B$12&lt;&gt;"")*IF(B87="",1,(IF(Besatzung!$C$12="",Besatzung!$B$5,Besatzung!$C$12)&lt;=B87)*(IF(Besatzung!$D$12="",Besatzung!$B$6,Besatzung!$D$12)&gt;=B87)))*(Besatzung!$F$12="x")*IFERROR(H87,0)/IFERROR(SUMPRODUCT((Besatzung!$B$11:$B$22&lt;&gt;"")*(Besatzung!$F$11:$F$22="x")*(IF(Besatzung!$C$11:$C$22="",Besatzung!$B$5,Besatzung!$C$11:$C$22)&lt;=B87)*(IF(Besatzung!$D$11:$D$22="",Besatzung!$B$6,Besatzung!$D$11:$D$22)&gt;=B87)),1)),IF(I87="An Bord",(((Besatzung!$B$12&lt;&gt;"")*IF(B87="",1,(IF(Besatzung!$C$12="",Besatzung!$B$5,Besatzung!$C$12)&lt;=B87)*(IF(Besatzung!$D$12="",Besatzung!$B$6,Besatzung!$D$12)&gt;=B87)))*((G87-IFERROR(H87,0))/IFERROR(SUMPRODUCT((Besatzung!$B$11:$B$22&lt;&gt;"")*(IF(Besatzung!$C$11:$C$22="",Besatzung!$B$5,Besatzung!$C$11:$C$22)&lt;=B87)*(IF(Besatzung!$D$11:$D$22="",Besatzung!$B$6,Besatzung!$D$11:$D$22)&gt;=B87)),1)+(Besatzung!$F$12="x")*IFERROR(H87,0)/IFERROR(SUMPRODUCT((Besatzung!$B$11:$B$22&lt;&gt;"")*(Besatzung!$F$11:$F$22="x")*(IF(Besatzung!$C$11:$C$22="",Besatzung!$B$5,Besatzung!$C$11:$C$22)&lt;=B87)*(IF(Besatzung!$D$11:$D$22="",Besatzung!$B$6,Besatzung!$D$11:$D$22)&gt;=B87)),1))),IF(I87="Individuell",((K87="x")*((G87-IFERROR(H87,0))/IFERROR(COUNTIF(J87:U87,"x"),1)+(Besatzung!$F$12="x")*IFERROR(H87,0)/IFERROR(SUMPRODUCT((J87:U87="x")*(Besatzung!$F$11:$F$22="x")),1))),(IF(COUNTIF(J87:U87,"x")=0,IF(Besatzung!$B$12&lt;&gt;"",1,0),(K87="x"))*(G87-IFERROR(H87,0))/IFERROR(IF(COUNTIF(J87:U87,"x")=0,COUNTA(Besatzung!$B$11:$B$22),COUNTIF(J87:U87,"x")),1)+IF(COUNTIF(J87:U87,"x")=0,(Besatzung!$F$12="x"),(K87="x")*(Besatzung!$F$12="x"))*IFERROR(H87,0)/IFERROR(IF(COUNTIF(J87:U87,"x")=0,SUMPRODUCT((Besatzung!$B$11:$B$22&lt;&gt;"")*(Besatzung!$F$11:$F$22="x")),SUMPRODUCT((J87:U87="x")*(Besatzung!$F$11:$F$22="x"))),1))))),0))))</f>
        <v/>
      </c>
      <c r="X87" s="247">
        <f>IF(C87="Gutschrift","",IF(G87="","",IF(Besatzung!$B$13="","",IFERROR(IF(I87="Zeitanteilig",(Besatzung!$G$13*(G87-IFERROR(H87,0))+((Besatzung!$B$13&lt;&gt;"")*IF(B87="",1,(IF(Besatzung!$C$13="",Besatzung!$B$5,Besatzung!$C$13)&lt;=B87)*(IF(Besatzung!$D$13="",Besatzung!$B$6,Besatzung!$D$13)&gt;=B87)))*(Besatzung!$F$13="x")*IFERROR(H87,0)/IFERROR(SUMPRODUCT((Besatzung!$B$11:$B$22&lt;&gt;"")*(Besatzung!$F$11:$F$22="x")*(IF(Besatzung!$C$11:$C$22="",Besatzung!$B$5,Besatzung!$C$11:$C$22)&lt;=B87)*(IF(Besatzung!$D$11:$D$22="",Besatzung!$B$6,Besatzung!$D$11:$D$22)&gt;=B87)),1)),IF(I87="An Bord",(((Besatzung!$B$13&lt;&gt;"")*IF(B87="",1,(IF(Besatzung!$C$13="",Besatzung!$B$5,Besatzung!$C$13)&lt;=B87)*(IF(Besatzung!$D$13="",Besatzung!$B$6,Besatzung!$D$13)&gt;=B87)))*((G87-IFERROR(H87,0))/IFERROR(SUMPRODUCT((Besatzung!$B$11:$B$22&lt;&gt;"")*(IF(Besatzung!$C$11:$C$22="",Besatzung!$B$5,Besatzung!$C$11:$C$22)&lt;=B87)*(IF(Besatzung!$D$11:$D$22="",Besatzung!$B$6,Besatzung!$D$11:$D$22)&gt;=B87)),1)+(Besatzung!$F$13="x")*IFERROR(H87,0)/IFERROR(SUMPRODUCT((Besatzung!$B$11:$B$22&lt;&gt;"")*(Besatzung!$F$11:$F$22="x")*(IF(Besatzung!$C$11:$C$22="",Besatzung!$B$5,Besatzung!$C$11:$C$22)&lt;=B87)*(IF(Besatzung!$D$11:$D$22="",Besatzung!$B$6,Besatzung!$D$11:$D$22)&gt;=B87)),1))),IF(I87="Individuell",((K87="x")*((G87-IFERROR(H87,0))/IFERROR(COUNTIF(J87:U87,"x"),1)+(Besatzung!$F$13="x")*IFERROR(H87,0)/IFERROR(SUMPRODUCT((J87:U87="x")*(Besatzung!$F$11:$F$22="x")),1))),(IF(COUNTIF(J87:U87,"x")=0,IF(Besatzung!$B$13&lt;&gt;"",1,0),(K87="x"))*(G87-IFERROR(H87,0))/IFERROR(IF(COUNTIF(J87:U87,"x")=0,COUNTA(Besatzung!$B$11:$B$22),COUNTIF(J87:U87,"x")),1)+IF(COUNTIF(J87:U87,"x")=0,(Besatzung!$F$13="x"),(K87="x")*(Besatzung!$F$13="x"))*IFERROR(H87,0)/IFERROR(IF(COUNTIF(J87:U87,"x")=0,SUMPRODUCT((Besatzung!$B$11:$B$22&lt;&gt;"")*(Besatzung!$F$11:$F$22="x")),SUMPRODUCT((J87:U87="x")*(Besatzung!$F$11:$F$22="x"))),1))))),0))))</f>
        <v/>
      </c>
      <c r="Y87" s="247">
        <f>IF(C87="Gutschrift","",IF(G87="","",IF(Besatzung!$B$14="","",IFERROR(IF(I87="Zeitanteilig",(Besatzung!$G$14*(G87-IFERROR(H87,0))+((Besatzung!$B$14&lt;&gt;"")*IF(B87="",1,(IF(Besatzung!$C$14="",Besatzung!$B$5,Besatzung!$C$14)&lt;=B87)*(IF(Besatzung!$D$14="",Besatzung!$B$6,Besatzung!$D$14)&gt;=B87)))*(Besatzung!$F$14="x")*IFERROR(H87,0)/IFERROR(SUMPRODUCT((Besatzung!$B$11:$B$22&lt;&gt;"")*(Besatzung!$F$11:$F$22="x")*(IF(Besatzung!$C$11:$C$22="",Besatzung!$B$5,Besatzung!$C$11:$C$22)&lt;=B87)*(IF(Besatzung!$D$11:$D$22="",Besatzung!$B$6,Besatzung!$D$11:$D$22)&gt;=B87)),1)),IF(I87="An Bord",(((Besatzung!$B$14&lt;&gt;"")*IF(B87="",1,(IF(Besatzung!$C$14="",Besatzung!$B$5,Besatzung!$C$14)&lt;=B87)*(IF(Besatzung!$D$14="",Besatzung!$B$6,Besatzung!$D$14)&gt;=B87)))*((G87-IFERROR(H87,0))/IFERROR(SUMPRODUCT((Besatzung!$B$11:$B$22&lt;&gt;"")*(IF(Besatzung!$C$11:$C$22="",Besatzung!$B$5,Besatzung!$C$11:$C$22)&lt;=B87)*(IF(Besatzung!$D$11:$D$22="",Besatzung!$B$6,Besatzung!$D$11:$D$22)&gt;=B87)),1)+(Besatzung!$F$14="x")*IFERROR(H87,0)/IFERROR(SUMPRODUCT((Besatzung!$B$11:$B$22&lt;&gt;"")*(Besatzung!$F$11:$F$22="x")*(IF(Besatzung!$C$11:$C$22="",Besatzung!$B$5,Besatzung!$C$11:$C$22)&lt;=B87)*(IF(Besatzung!$D$11:$D$22="",Besatzung!$B$6,Besatzung!$D$11:$D$22)&gt;=B87)),1))),IF(I87="Individuell",((M87="x")*((G87-IFERROR(H87,0))/IFERROR(COUNTIF(J87:U87,"x"),1)+(Besatzung!$F$14="x")*IFERROR(H87,0)/IFERROR(SUMPRODUCT((J87:U87="x")*(Besatzung!$F$11:$F$22="x")),1))),(IF(COUNTIF(J87:U87,"x")=0,IF(Besatzung!$B$14&lt;&gt;"",1,0),(M87="x"))*(G87-IFERROR(H87,0))/IFERROR(IF(COUNTIF(J87:U87,"x")=0,COUNTA(Besatzung!$B$11:$B$22),COUNTIF(J87:U87,"x")),1)+IF(COUNTIF(J87:U87,"x")=0,(Besatzung!$F$14="x"),(M87="x")*(Besatzung!$F$14="x"))*IFERROR(H87,0)/IFERROR(IF(COUNTIF(J87:U87,"x")=0,SUMPRODUCT((Besatzung!$B$11:$B$22&lt;&gt;"")*(Besatzung!$F$11:$F$22="x")),SUMPRODUCT((J87:U87="x")*(Besatzung!$F$11:$F$22="x"))),1))))),0))))</f>
        <v/>
      </c>
      <c r="Z87" s="247">
        <f>IF(C87="Gutschrift","",IF(G87="","",IF(Besatzung!$B$13="","",IFERROR(IF(I87="Zeitanteilig",(Besatzung!$G$15*(G87-IFERROR(H87,0))+((Besatzung!$B$13&lt;&gt;"")*IF(B87="",1,(IF(Besatzung!$C$15="",Besatzung!$B$5,Besatzung!$C$15)&lt;=B87)*(IF(Besatzung!$D$15="",Besatzung!$B$6,Besatzung!$D$15)&gt;=B87)))*(Besatzung!$F$15="x")*IFERROR(H87,0)/IFERROR(SUMPRODUCT((Besatzung!$B$11:$B$22&lt;&gt;"")*(Besatzung!$F$11:$F$22="x")*(IF(Besatzung!$C$11:$C$22="",Besatzung!$B$5,Besatzung!$C$11:$C$22)&lt;=B87)*(IF(Besatzung!$D$11:$D$22="",Besatzung!$B$6,Besatzung!$D$11:$D$22)&gt;=B87)),1)),IF(I87="An Bord",(((Besatzung!$B$13&lt;&gt;"")*IF(B87="",1,(IF(Besatzung!$C$15="",Besatzung!$B$5,Besatzung!$C$15)&lt;=B87)*(IF(Besatzung!$D$15="",Besatzung!$B$6,Besatzung!$D$15)&gt;=B87)))*((G87-IFERROR(H87,0))/IFERROR(SUMPRODUCT((Besatzung!$B$11:$B$22&lt;&gt;"")*(IF(Besatzung!$C$11:$C$22="",Besatzung!$B$5,Besatzung!$C$11:$C$22)&lt;=B87)*(IF(Besatzung!$D$11:$D$22="",Besatzung!$B$6,Besatzung!$D$11:$D$22)&gt;=B87)),1)+(Besatzung!$F$15="x")*IFERROR(H87,0)/IFERROR(SUMPRODUCT((Besatzung!$B$11:$B$22&lt;&gt;"")*(Besatzung!$F$11:$F$22="x")*(IF(Besatzung!$C$11:$C$22="",Besatzung!$B$5,Besatzung!$C$11:$C$22)&lt;=B87)*(IF(Besatzung!$D$11:$D$22="",Besatzung!$B$6,Besatzung!$D$11:$D$22)&gt;=B87)),1))),IF(I87="Individuell",((N87="x")*((G87-IFERROR(H87,0))/IFERROR(COUNTIF(J87:U87,"x"),1)+(Besatzung!$F$15="x")*IFERROR(H87,0)/IFERROR(SUMPRODUCT((J87:U87="x")*(Besatzung!$F$11:$F$22="x")),1))),(IF(COUNTIF(J87:U87,"x")=0,IF(Besatzung!$B$13&lt;&gt;"",1,0),(N87="x"))*(G87-IFERROR(H87,0))/IFERROR(IF(COUNTIF(J87:U87,"x")=0,COUNTA(Besatzung!$B$11:$B$22),COUNTIF(J87:U87,"x")),1)+IF(COUNTIF(J87:U87,"x")=0,(Besatzung!$F$15="x"),(N87="x")*(Besatzung!$F$15="x"))*IFERROR(H87,0)/IFERROR(IF(COUNTIF(J87:U87,"x")=0,SUMPRODUCT((Besatzung!$B$11:$B$22&lt;&gt;"")*(Besatzung!$F$11:$F$22="x")),SUMPRODUCT((J87:U87="x")*(Besatzung!$F$11:$F$22="x"))),1))))),0))))</f>
        <v/>
      </c>
      <c r="AA87" s="247">
        <f>IF(C87="Gutschrift","",IF(G87="","",IF(Besatzung!$B$15="","",IFERROR(IF(I87="Zeitanteilig",(Besatzung!$G$16*(G87-IFERROR(H87,0))+((Besatzung!$B$15&lt;&gt;"")*IF(B87="",1,(IF(Besatzung!$C$16="",Besatzung!$B$5,Besatzung!$C$16)&lt;=B87)*(IF(Besatzung!$D$16="",Besatzung!$B$6,Besatzung!$D$16)&gt;=B87)))*(Besatzung!$F$16="x")*IFERROR(H87,0)/IFERROR(SUMPRODUCT((Besatzung!$B$11:$B$22&lt;&gt;"")*(Besatzung!$F$11:$F$22="x")*(IF(Besatzung!$C$11:$C$22="",Besatzung!$B$5,Besatzung!$C$11:$C$22)&lt;=B87)*(IF(Besatzung!$D$11:$D$22="",Besatzung!$B$6,Besatzung!$D$11:$D$22)&gt;=B87)),1)),IF(I87="An Bord",(((Besatzung!$B$15&lt;&gt;"")*IF(B87="",1,(IF(Besatzung!$C$16="",Besatzung!$B$5,Besatzung!$C$16)&lt;=B87)*(IF(Besatzung!$D$16="",Besatzung!$B$6,Besatzung!$D$16)&gt;=B87)))*((G87-IFERROR(H87,0))/IFERROR(SUMPRODUCT((Besatzung!$B$11:$B$22&lt;&gt;"")*(IF(Besatzung!$C$11:$C$22="",Besatzung!$B$5,Besatzung!$C$11:$C$22)&lt;=B87)*(IF(Besatzung!$D$11:$D$22="",Besatzung!$B$6,Besatzung!$D$11:$D$22)&gt;=B87)),1)+(Besatzung!$F$16="x")*IFERROR(H87,0)/IFERROR(SUMPRODUCT((Besatzung!$B$11:$B$22&lt;&gt;"")*(Besatzung!$F$11:$F$22="x")*(IF(Besatzung!$C$11:$C$22="",Besatzung!$B$5,Besatzung!$C$11:$C$22)&lt;=B87)*(IF(Besatzung!$D$11:$D$22="",Besatzung!$B$6,Besatzung!$D$11:$D$22)&gt;=B87)),1))),IF(I87="Individuell",((O87="x")*((G87-IFERROR(H87,0))/IFERROR(COUNTIF(J87:U87,"x"),1)+(Besatzung!$F$16="x")*IFERROR(H87,0)/IFERROR(SUMPRODUCT((J87:U87="x")*(Besatzung!$F$11:$F$22="x")),1))),(IF(COUNTIF(J87:U87,"x")=0,IF(Besatzung!$B$15&lt;&gt;"",1,0),(O87="x"))*(G87-IFERROR(H87,0))/IFERROR(IF(COUNTIF(J87:U87,"x")=0,COUNTA(Besatzung!$B$11:$B$22),COUNTIF(J87:U87,"x")),1)+IF(COUNTIF(J87:U87,"x")=0,(Besatzung!$F$16="x"),(O87="x")*(Besatzung!$F$16="x"))*IFERROR(H87,0)/IFERROR(IF(COUNTIF(J87:U87,"x")=0,SUMPRODUCT((Besatzung!$B$11:$B$22&lt;&gt;"")*(Besatzung!$F$11:$F$22="x")),SUMPRODUCT((J87:U87="x")*(Besatzung!$F$11:$F$22="x"))),1))))),0))))</f>
        <v/>
      </c>
      <c r="AB87" s="247">
        <f>IF(C87="Gutschrift","",IF(G87="","",IF(Besatzung!$B$17="","",IFERROR(IF(I87="Zeitanteilig",(Besatzung!$G$17*(G87-IFERROR(H87,0))+((Besatzung!$B$17&lt;&gt;"")*IF(B87="",1,(IF(Besatzung!$C$17="",Besatzung!$B$5,Besatzung!$C$17)&lt;=B87)*(IF(Besatzung!$D$17="",Besatzung!$B$6,Besatzung!$D$17)&gt;=B87)))*(Besatzung!$F$17="x")*IFERROR(H87,0)/IFERROR(SUMPRODUCT((Besatzung!$B$11:$B$22&lt;&gt;"")*(Besatzung!$F$11:$F$22="x")*(IF(Besatzung!$C$11:$C$22="",Besatzung!$B$5,Besatzung!$C$11:$C$22)&lt;=B87)*(IF(Besatzung!$D$11:$D$22="",Besatzung!$B$6,Besatzung!$D$11:$D$22)&gt;=B87)),1)),IF(I87="An Bord",(((Besatzung!$B$17&lt;&gt;"")*IF(B87="",1,(IF(Besatzung!$C$17="",Besatzung!$B$5,Besatzung!$C$17)&lt;=B87)*(IF(Besatzung!$D$17="",Besatzung!$B$6,Besatzung!$D$17)&gt;=B87)))*((G87-IFERROR(H87,0))/IFERROR(SUMPRODUCT((Besatzung!$B$11:$B$22&lt;&gt;"")*(IF(Besatzung!$C$11:$C$22="",Besatzung!$B$5,Besatzung!$C$11:$C$22)&lt;=B87)*(IF(Besatzung!$D$11:$D$22="",Besatzung!$B$6,Besatzung!$D$11:$D$22)&gt;=B87)),1)+(Besatzung!$F$17="x")*IFERROR(H87,0)/IFERROR(SUMPRODUCT((Besatzung!$B$11:$B$22&lt;&gt;"")*(Besatzung!$F$11:$F$22="x")*(IF(Besatzung!$C$11:$C$22="",Besatzung!$B$5,Besatzung!$C$11:$C$22)&lt;=B87)*(IF(Besatzung!$D$11:$D$22="",Besatzung!$B$6,Besatzung!$D$11:$D$22)&gt;=B87)),1))),IF(I87="Individuell",((P87="x")*((G87-IFERROR(H87,0))/IFERROR(COUNTIF(J87:U87,"x"),1)+(Besatzung!$F$17="x")*IFERROR(H87,0)/IFERROR(SUMPRODUCT((J87:U87="x")*(Besatzung!$F$11:$F$22="x")),1))),(IF(COUNTIF(J87:U87,"x")=0,IF(Besatzung!$B$17&lt;&gt;"",1,0),(P87="x"))*(G87-IFERROR(H87,0))/IFERROR(IF(COUNTIF(J87:U87,"x")=0,COUNTA(Besatzung!$B$11:$B$22),COUNTIF(J87:U87,"x")),1)+IF(COUNTIF(J87:U87,"x")=0,(Besatzung!$F$17="x"),(P87="x")*(Besatzung!$F$17="x"))*IFERROR(H87,0)/IFERROR(IF(COUNTIF(J87:U87,"x")=0,SUMPRODUCT((Besatzung!$B$11:$B$22&lt;&gt;"")*(Besatzung!$F$11:$F$22="x")),SUMPRODUCT((J87:U87="x")*(Besatzung!$F$11:$F$22="x"))),1))))),0))))</f>
        <v/>
      </c>
      <c r="AC87" s="247">
        <f>IF(C87="Gutschrift","",IF(G87="","",IF(Besatzung!$B$18="","",IFERROR(IF(I87="Zeitanteilig",(Besatzung!$G$18*(G87-IFERROR(H87,0))+((Besatzung!$B$18&lt;&gt;"")*IF(B87="",1,(IF(Besatzung!$C$18="",Besatzung!$B$5,Besatzung!$C$18)&lt;=B87)*(IF(Besatzung!$D$18="",Besatzung!$B$6,Besatzung!$D$18)&gt;=B87)))*(Besatzung!$F$18="x")*IFERROR(H87,0)/IFERROR(SUMPRODUCT((Besatzung!$B$11:$B$22&lt;&gt;"")*(Besatzung!$F$11:$F$22="x")*(IF(Besatzung!$C$11:$C$22="",Besatzung!$B$5,Besatzung!$C$11:$C$22)&lt;=B87)*(IF(Besatzung!$D$11:$D$22="",Besatzung!$B$6,Besatzung!$D$11:$D$22)&gt;=B87)),1)),IF(I87="An Bord",(((Besatzung!$B$18&lt;&gt;"")*IF(B87="",1,(IF(Besatzung!$C$18="",Besatzung!$B$5,Besatzung!$C$18)&lt;=B87)*(IF(Besatzung!$D$18="",Besatzung!$B$6,Besatzung!$D$18)&gt;=B87)))*((G87-IFERROR(H87,0))/IFERROR(SUMPRODUCT((Besatzung!$B$11:$B$22&lt;&gt;"")*(IF(Besatzung!$C$11:$C$22="",Besatzung!$B$5,Besatzung!$C$11:$C$22)&lt;=B87)*(IF(Besatzung!$D$11:$D$22="",Besatzung!$B$6,Besatzung!$D$11:$D$22)&gt;=B87)),1)+(Besatzung!$F$18="x")*IFERROR(H87,0)/IFERROR(SUMPRODUCT((Besatzung!$B$11:$B$22&lt;&gt;"")*(Besatzung!$F$11:$F$22="x")*(IF(Besatzung!$C$11:$C$22="",Besatzung!$B$5,Besatzung!$C$11:$C$22)&lt;=B87)*(IF(Besatzung!$D$11:$D$22="",Besatzung!$B$6,Besatzung!$D$11:$D$22)&gt;=B87)),1))),IF(I87="Individuell",((Q87="x")*((G87-IFERROR(H87,0))/IFERROR(COUNTIF(J87:U87,"x"),1)+(Besatzung!$F$18="x")*IFERROR(H87,0)/IFERROR(SUMPRODUCT((J87:U87="x")*(Besatzung!$F$11:$F$22="x")),1))),(IF(COUNTIF(J87:U87,"x")=0,IF(Besatzung!$B$18&lt;&gt;"",1,0),(Q87="x"))*(G87-IFERROR(H87,0))/IFERROR(IF(COUNTIF(J87:U87,"x")=0,COUNTA(Besatzung!$B$11:$B$22),COUNTIF(J87:U87,"x")),1)+IF(COUNTIF(J87:U87,"x")=0,(Besatzung!$F$18="x"),(Q87="x")*(Besatzung!$F$18="x"))*IFERROR(H87,0)/IFERROR(IF(COUNTIF(J87:U87,"x")=0,SUMPRODUCT((Besatzung!$B$11:$B$22&lt;&gt;"")*(Besatzung!$F$11:$F$22="x")),SUMPRODUCT((J87:U87="x")*(Besatzung!$F$11:$F$22="x"))),1))))),0))))</f>
        <v/>
      </c>
      <c r="AD87" s="247">
        <f>IF(C87="Gutschrift","",IF(G87="","",IF(Besatzung!$B$19="","",IFERROR(IF(I87="Zeitanteilig",(Besatzung!$G$19*(G87-IFERROR(H87,0))+((Besatzung!$B$19&lt;&gt;"")*IF(B87="",1,(IF(Besatzung!$C$19="",Besatzung!$B$5,Besatzung!$C$19)&lt;=B87)*(IF(Besatzung!$D$19="",Besatzung!$B$6,Besatzung!$D$19)&gt;=B87)))*(Besatzung!$F$19="x")*IFERROR(H87,0)/IFERROR(SUMPRODUCT((Besatzung!$B$11:$B$22&lt;&gt;"")*(Besatzung!$F$11:$F$22="x")*(IF(Besatzung!$C$11:$C$22="",Besatzung!$B$5,Besatzung!$C$11:$C$22)&lt;=B87)*(IF(Besatzung!$D$11:$D$22="",Besatzung!$B$6,Besatzung!$D$11:$D$22)&gt;=B87)),1)),IF(I87="An Bord",(((Besatzung!$B$19&lt;&gt;"")*IF(B87="",1,(IF(Besatzung!$C$19="",Besatzung!$B$5,Besatzung!$C$19)&lt;=B87)*(IF(Besatzung!$D$19="",Besatzung!$B$6,Besatzung!$D$19)&gt;=B87)))*((G87-IFERROR(H87,0))/IFERROR(SUMPRODUCT((Besatzung!$B$11:$B$22&lt;&gt;"")*(IF(Besatzung!$C$11:$C$22="",Besatzung!$B$5,Besatzung!$C$11:$C$22)&lt;=B87)*(IF(Besatzung!$D$11:$D$22="",Besatzung!$B$6,Besatzung!$D$11:$D$22)&gt;=B87)),1)+(Besatzung!$F$19="x")*IFERROR(H87,0)/IFERROR(SUMPRODUCT((Besatzung!$B$11:$B$22&lt;&gt;"")*(Besatzung!$F$11:$F$22="x")*(IF(Besatzung!$C$11:$C$22="",Besatzung!$B$5,Besatzung!$C$11:$C$22)&lt;=B87)*(IF(Besatzung!$D$11:$D$22="",Besatzung!$B$6,Besatzung!$D$11:$D$22)&gt;=B87)),1))),IF(I87="Individuell",((R87="x")*((G87-IFERROR(H87,0))/IFERROR(COUNTIF(J87:U87,"x"),1)+(Besatzung!$F$19="x")*IFERROR(H87,0)/IFERROR(SUMPRODUCT((J87:U87="x")*(Besatzung!$F$11:$F$22="x")),1))),(IF(COUNTIF(J87:U87,"x")=0,IF(Besatzung!$B$19&lt;&gt;"",1,0),(R87="x"))*(G87-IFERROR(H87,0))/IFERROR(IF(COUNTIF(J87:U87,"x")=0,COUNTA(Besatzung!$B$11:$B$22),COUNTIF(J87:U87,"x")),1)+IF(COUNTIF(J87:U87,"x")=0,(Besatzung!$F$19="x"),(R87="x")*(Besatzung!$F$19="x"))*IFERROR(H87,0)/IFERROR(IF(COUNTIF(J87:U87,"x")=0,SUMPRODUCT((Besatzung!$B$11:$B$22&lt;&gt;"")*(Besatzung!$F$11:$F$22="x")),SUMPRODUCT((J87:U87="x")*(Besatzung!$F$11:$F$22="x"))),1))))),0))))</f>
        <v/>
      </c>
      <c r="AE87" s="247">
        <f>IF(C87="Gutschrift","",IF(G87="","",IF(Besatzung!$B$20="","",IFERROR(IF(I87="Zeitanteilig",(Besatzung!$G$20*(G87-IFERROR(H87,0))+((Besatzung!$B$20&lt;&gt;"")*IF(B87="",1,(IF(Besatzung!$C$20="",Besatzung!$B$5,Besatzung!$C$20)&lt;=B87)*(IF(Besatzung!$D$20="",Besatzung!$B$6,Besatzung!$D$20)&gt;=B87)))*(Besatzung!$F$20="x")*IFERROR(H87,0)/IFERROR(SUMPRODUCT((Besatzung!$B$11:$B$22&lt;&gt;"")*(Besatzung!$F$11:$F$22="x")*(IF(Besatzung!$C$11:$C$22="",Besatzung!$B$5,Besatzung!$C$11:$C$22)&lt;=B87)*(IF(Besatzung!$D$11:$D$22="",Besatzung!$B$6,Besatzung!$D$11:$D$22)&gt;=B87)),1)),IF(I87="An Bord",(((Besatzung!$B$20&lt;&gt;"")*IF(B87="",1,(IF(Besatzung!$C$20="",Besatzung!$B$5,Besatzung!$C$20)&lt;=B87)*(IF(Besatzung!$D$20="",Besatzung!$B$6,Besatzung!$D$20)&gt;=B87)))*((G87-IFERROR(H87,0))/IFERROR(SUMPRODUCT((Besatzung!$B$11:$B$22&lt;&gt;"")*(IF(Besatzung!$C$11:$C$22="",Besatzung!$B$5,Besatzung!$C$11:$C$22)&lt;=B87)*(IF(Besatzung!$D$11:$D$22="",Besatzung!$B$6,Besatzung!$D$11:$D$22)&gt;=B87)),1)+(Besatzung!$F$20="x")*IFERROR(H87,0)/IFERROR(SUMPRODUCT((Besatzung!$B$11:$B$22&lt;&gt;"")*(Besatzung!$F$11:$F$22="x")*(IF(Besatzung!$C$11:$C$22="",Besatzung!$B$5,Besatzung!$C$11:$C$22)&lt;=B87)*(IF(Besatzung!$D$11:$D$22="",Besatzung!$B$6,Besatzung!$D$11:$D$22)&gt;=B87)),1))),IF(I87="Individuell",((S87="x")*((G87-IFERROR(H87,0))/IFERROR(COUNTIF(J87:U87,"x"),1)+(Besatzung!$F$20="x")*IFERROR(H87,0)/IFERROR(SUMPRODUCT((J87:U87="x")*(Besatzung!$F$11:$F$22="x")),1))),(IF(COUNTIF(J87:U87,"x")=0,IF(Besatzung!$B$20&lt;&gt;"",1,0),(S87="x"))*(G87-IFERROR(H87,0))/IFERROR(IF(COUNTIF(J87:U87,"x")=0,COUNTA(Besatzung!$B$11:$B$22),COUNTIF(J87:U87,"x")),1)+IF(COUNTIF(J87:U87,"x")=0,(Besatzung!$F$20="x"),(S87="x")*(Besatzung!$F$20="x"))*IFERROR(H87,0)/IFERROR(IF(COUNTIF(J87:U87,"x")=0,SUMPRODUCT((Besatzung!$B$11:$B$22&lt;&gt;"")*(Besatzung!$F$11:$F$22="x")),SUMPRODUCT((J87:U87="x")*(Besatzung!$F$11:$F$22="x"))),1))))),0))))</f>
        <v/>
      </c>
      <c r="AF87" s="247">
        <f>IF(C87="Gutschrift","",IF(G87="","",IF(Besatzung!$B$21="","",IFERROR(IF(I87="Zeitanteilig",(Besatzung!$G$21*(G87-IFERROR(H87,0))+((Besatzung!$B$21&lt;&gt;"")*IF(B87="",1,(IF(Besatzung!$C$21="",Besatzung!$B$5,Besatzung!$C$21)&lt;=B87)*(IF(Besatzung!$D$21="",Besatzung!$B$6,Besatzung!$D$21)&gt;=B87)))*(Besatzung!$F$21="x")*IFERROR(H87,0)/IFERROR(SUMPRODUCT((Besatzung!$B$11:$B$22&lt;&gt;"")*(Besatzung!$F$11:$F$22="x")*(IF(Besatzung!$C$11:$C$22="",Besatzung!$B$5,Besatzung!$C$11:$C$22)&lt;=B87)*(IF(Besatzung!$D$11:$D$22="",Besatzung!$B$6,Besatzung!$D$11:$D$22)&gt;=B87)),1)),IF(I87="An Bord",(((Besatzung!$B$21&lt;&gt;"")*IF(B87="",1,(IF(Besatzung!$C$21="",Besatzung!$B$5,Besatzung!$C$21)&lt;=B87)*(IF(Besatzung!$D$21="",Besatzung!$B$6,Besatzung!$D$21)&gt;=B87)))*((G87-IFERROR(H87,0))/IFERROR(SUMPRODUCT((Besatzung!$B$11:$B$22&lt;&gt;"")*(IF(Besatzung!$C$11:$C$22="",Besatzung!$B$5,Besatzung!$C$11:$C$22)&lt;=B87)*(IF(Besatzung!$D$11:$D$22="",Besatzung!$B$6,Besatzung!$D$11:$D$22)&gt;=B87)),1)+(Besatzung!$F$21="x")*IFERROR(H87,0)/IFERROR(SUMPRODUCT((Besatzung!$B$11:$B$22&lt;&gt;"")*(Besatzung!$F$11:$F$22="x")*(IF(Besatzung!$C$11:$C$22="",Besatzung!$B$5,Besatzung!$C$11:$C$22)&lt;=B87)*(IF(Besatzung!$D$11:$D$22="",Besatzung!$B$6,Besatzung!$D$11:$D$22)&gt;=B87)),1))),IF(I87="Individuell",((T87="x")*((G87-IFERROR(H87,0))/IFERROR(COUNTIF(J87:U87,"x"),1)+(Besatzung!$F$21="x")*IFERROR(H87,0)/IFERROR(SUMPRODUCT((J87:U87="x")*(Besatzung!$F$11:$F$22="x")),1))),(IF(COUNTIF(J87:U87,"x")=0,IF(Besatzung!$B$21&lt;&gt;"",1,0),(T87="x"))*(G87-IFERROR(H87,0))/IFERROR(IF(COUNTIF(J87:U87,"x")=0,COUNTA(Besatzung!$B$11:$B$22),COUNTIF(J87:U87,"x")),1)+IF(COUNTIF(J87:U87,"x")=0,(Besatzung!$F$21="x"),(T87="x")*(Besatzung!$F$21="x"))*IFERROR(H87,0)/IFERROR(IF(COUNTIF(J87:U87,"x")=0,SUMPRODUCT((Besatzung!$B$11:$B$22&lt;&gt;"")*(Besatzung!$F$11:$F$22="x")),SUMPRODUCT((J87:U87="x")*(Besatzung!$F$11:$F$22="x"))),1))))),0))))</f>
        <v/>
      </c>
      <c r="AG87" s="247">
        <f>IF(C87="Gutschrift","",IF(G87="","",IF(Besatzung!$B$22="","",IFERROR(IF(I87="Zeitanteilig",(Besatzung!$G$22*(G87-IFERROR(H87,0))+((Besatzung!$B$22&lt;&gt;"")*IF(B87="",1,(IF(Besatzung!$C$22="",Besatzung!$B$5,Besatzung!$C$22)&lt;=B87)*(IF(Besatzung!$D$22="",Besatzung!$B$6,Besatzung!$D$22)&gt;=B87)))*(Besatzung!$F$22="x")*IFERROR(H87,0)/IFERROR(SUMPRODUCT((Besatzung!$B$11:$B$22&lt;&gt;"")*(Besatzung!$F$11:$F$22="x")*(IF(Besatzung!$C$11:$C$22="",Besatzung!$B$5,Besatzung!$C$11:$C$22)&lt;=B87)*(IF(Besatzung!$D$11:$D$22="",Besatzung!$B$6,Besatzung!$D$11:$D$22)&gt;=B87)),1)),IF(I87="An Bord",(((Besatzung!$B$22&lt;&gt;"")*IF(B87="",1,(IF(Besatzung!$C$22="",Besatzung!$B$5,Besatzung!$C$22)&lt;=B87)*(IF(Besatzung!$D$22="",Besatzung!$B$6,Besatzung!$D$22)&gt;=B87)))*((G87-IFERROR(H87,0))/IFERROR(SUMPRODUCT((Besatzung!$B$11:$B$22&lt;&gt;"")*(IF(Besatzung!$C$11:$C$22="",Besatzung!$B$5,Besatzung!$C$11:$C$22)&lt;=B87)*(IF(Besatzung!$D$11:$D$22="",Besatzung!$B$6,Besatzung!$D$11:$D$22)&gt;=B87)),1)+(Besatzung!$F$22="x")*IFERROR(H87,0)/IFERROR(SUMPRODUCT((Besatzung!$B$11:$B$22&lt;&gt;"")*(Besatzung!$F$11:$F$22="x")*(IF(Besatzung!$C$11:$C$22="",Besatzung!$B$5,Besatzung!$C$11:$C$22)&lt;=B87)*(IF(Besatzung!$D$11:$D$22="",Besatzung!$B$6,Besatzung!$D$11:$D$22)&gt;=B87)),1))),IF(I87="Individuell",((U87="x")*((G87-IFERROR(H87,0))/IFERROR(COUNTIF(J87:U87,"x"),1)+(Besatzung!$F$22="x")*IFERROR(H87,0)/IFERROR(SUMPRODUCT((J87:U87="x")*(Besatzung!$F$11:$F$22="x")),1))),(IF(COUNTIF(J87:U87,"x")=0,IF(Besatzung!$B$22&lt;&gt;"",1,0),(U87="x"))*(G87-IFERROR(H87,0))/IFERROR(IF(COUNTIF(J87:U87,"x")=0,COUNTA(Besatzung!$B$11:$B$22),COUNTIF(J87:U87,"x")),1)+IF(COUNTIF(J87:U87,"x")=0,(Besatzung!$F$22="x"),(U87="x")*(Besatzung!$F$22="x"))*IFERROR(H87,0)/IFERROR(IF(COUNTIF(J87:U87,"x")=0,SUMPRODUCT((Besatzung!$B$11:$B$22&lt;&gt;"")*(Besatzung!$F$11:$F$22="x")),SUMPRODUCT((J87:U87="x")*(Besatzung!$F$11:$F$22="x"))),1))))),0))))</f>
        <v/>
      </c>
      <c r="AH87" s="248" t="n"/>
      <c r="AI87" s="248" t="n"/>
    </row>
    <row r="88" ht="21.75" customHeight="1" s="154">
      <c r="A88" s="238">
        <f>IF(AND(D88="",C88=""),"",85)</f>
        <v/>
      </c>
      <c r="B88" s="199" t="n"/>
      <c r="C88" s="239" t="n"/>
      <c r="D88" s="240" t="n"/>
      <c r="E88" s="241" t="n"/>
      <c r="F88" s="242" t="n"/>
      <c r="G88" s="243" t="n"/>
      <c r="H88" s="244" t="n"/>
      <c r="I88" s="245" t="n"/>
      <c r="J88" s="246" t="n"/>
      <c r="K88" s="246" t="n"/>
      <c r="L88" s="246" t="n"/>
      <c r="M88" s="246" t="n"/>
      <c r="N88" s="246" t="n"/>
      <c r="O88" s="246" t="n"/>
      <c r="P88" s="246" t="n"/>
      <c r="Q88" s="246" t="n"/>
      <c r="R88" s="246" t="n"/>
      <c r="S88" s="246" t="n"/>
      <c r="T88" s="246" t="n"/>
      <c r="U88" s="246" t="n"/>
      <c r="V88" s="247">
        <f>IF(C88="Gutschrift","",IF(G88="","",IF(Besatzung!$B$11="","",IFERROR(IF(I88="Zeitanteilig",(Besatzung!$G$11*(G88-IFERROR(H88,0))+((Besatzung!$B$11&lt;&gt;"")*IF(B88="",1,(IF(Besatzung!$C$11="",Besatzung!$B$5,Besatzung!$C$11)&lt;=B88)*(IF(Besatzung!$D$11="",Besatzung!$B$6,Besatzung!$D$11)&gt;=B88)))*(Besatzung!$F$11="x")*IFERROR(H88,0)/IFERROR(SUMPRODUCT((Besatzung!$B$11:$B$22&lt;&gt;"")*(Besatzung!$F$11:$F$22="x")*(IF(Besatzung!$C$11:$C$22="",Besatzung!$B$5,Besatzung!$C$11:$C$22)&lt;=B88)*(IF(Besatzung!$D$11:$D$22="",Besatzung!$B$6,Besatzung!$D$11:$D$22)&gt;=B88)),1)),IF(I88="An Bord",(((Besatzung!$B$11&lt;&gt;"")*IF(B88="",1,(IF(Besatzung!$C$11="",Besatzung!$B$5,Besatzung!$C$11)&lt;=B88)*(IF(Besatzung!$D$11="",Besatzung!$B$6,Besatzung!$D$11)&gt;=B88)))*((G88-IFERROR(H88,0))/IFERROR(SUMPRODUCT((Besatzung!$B$11:$B$22&lt;&gt;"")*(IF(Besatzung!$C$11:$C$22="",Besatzung!$B$5,Besatzung!$C$11:$C$22)&lt;=B88)*(IF(Besatzung!$D$11:$D$22="",Besatzung!$B$6,Besatzung!$D$11:$D$22)&gt;=B88)),1)+(Besatzung!$F$11="x")*IFERROR(H88,0)/IFERROR(SUMPRODUCT((Besatzung!$B$11:$B$22&lt;&gt;"")*(Besatzung!$F$11:$F$22="x")*(IF(Besatzung!$C$11:$C$22="",Besatzung!$B$5,Besatzung!$C$11:$C$22)&lt;=B88)*(IF(Besatzung!$D$11:$D$22="",Besatzung!$B$6,Besatzung!$D$11:$D$22)&gt;=B88)),1))),IF(I88="Individuell",((J88="x")*((G88-IFERROR(H88,0))/IFERROR(COUNTIF(J88:U88,"x"),1)+(Besatzung!$F$11="x")*IFERROR(H88,0)/IFERROR(SUMPRODUCT((J88:U88="x")*(Besatzung!$F$11:$F$22="x")),1))),(IF(COUNTIF(J88:U88,"x")=0,IF(Besatzung!$B$11&lt;&gt;"",1,0),(J88="x"))*(G88-IFERROR(H88,0))/IFERROR(IF(COUNTIF(J88:U88,"x")=0,COUNTA(Besatzung!$B$11:$B$22),COUNTIF(J88:U88,"x")),1)+IF(COUNTIF(J88:U88,"x")=0,(Besatzung!$F$11="x"),(J88="x")*(Besatzung!$F$11="x"))*IFERROR(H88,0)/IFERROR(IF(COUNTIF(J88:U88,"x")=0,SUMPRODUCT((Besatzung!$B$11:$B$22&lt;&gt;"")*(Besatzung!$F$11:$F$22="x")),SUMPRODUCT((J88:U88="x")*(Besatzung!$F$11:$F$22="x"))),1))))),0))))</f>
        <v/>
      </c>
      <c r="W88" s="247">
        <f>IF(C88="Gutschrift","",IF(G88="","",IF(Besatzung!$B$12="","",IFERROR(IF(I88="Zeitanteilig",(Besatzung!$G$12*(G88-IFERROR(H88,0))+((Besatzung!$B$12&lt;&gt;"")*IF(B88="",1,(IF(Besatzung!$C$12="",Besatzung!$B$5,Besatzung!$C$12)&lt;=B88)*(IF(Besatzung!$D$12="",Besatzung!$B$6,Besatzung!$D$12)&gt;=B88)))*(Besatzung!$F$12="x")*IFERROR(H88,0)/IFERROR(SUMPRODUCT((Besatzung!$B$11:$B$22&lt;&gt;"")*(Besatzung!$F$11:$F$22="x")*(IF(Besatzung!$C$11:$C$22="",Besatzung!$B$5,Besatzung!$C$11:$C$22)&lt;=B88)*(IF(Besatzung!$D$11:$D$22="",Besatzung!$B$6,Besatzung!$D$11:$D$22)&gt;=B88)),1)),IF(I88="An Bord",(((Besatzung!$B$12&lt;&gt;"")*IF(B88="",1,(IF(Besatzung!$C$12="",Besatzung!$B$5,Besatzung!$C$12)&lt;=B88)*(IF(Besatzung!$D$12="",Besatzung!$B$6,Besatzung!$D$12)&gt;=B88)))*((G88-IFERROR(H88,0))/IFERROR(SUMPRODUCT((Besatzung!$B$11:$B$22&lt;&gt;"")*(IF(Besatzung!$C$11:$C$22="",Besatzung!$B$5,Besatzung!$C$11:$C$22)&lt;=B88)*(IF(Besatzung!$D$11:$D$22="",Besatzung!$B$6,Besatzung!$D$11:$D$22)&gt;=B88)),1)+(Besatzung!$F$12="x")*IFERROR(H88,0)/IFERROR(SUMPRODUCT((Besatzung!$B$11:$B$22&lt;&gt;"")*(Besatzung!$F$11:$F$22="x")*(IF(Besatzung!$C$11:$C$22="",Besatzung!$B$5,Besatzung!$C$11:$C$22)&lt;=B88)*(IF(Besatzung!$D$11:$D$22="",Besatzung!$B$6,Besatzung!$D$11:$D$22)&gt;=B88)),1))),IF(I88="Individuell",((K88="x")*((G88-IFERROR(H88,0))/IFERROR(COUNTIF(J88:U88,"x"),1)+(Besatzung!$F$12="x")*IFERROR(H88,0)/IFERROR(SUMPRODUCT((J88:U88="x")*(Besatzung!$F$11:$F$22="x")),1))),(IF(COUNTIF(J88:U88,"x")=0,IF(Besatzung!$B$12&lt;&gt;"",1,0),(K88="x"))*(G88-IFERROR(H88,0))/IFERROR(IF(COUNTIF(J88:U88,"x")=0,COUNTA(Besatzung!$B$11:$B$22),COUNTIF(J88:U88,"x")),1)+IF(COUNTIF(J88:U88,"x")=0,(Besatzung!$F$12="x"),(K88="x")*(Besatzung!$F$12="x"))*IFERROR(H88,0)/IFERROR(IF(COUNTIF(J88:U88,"x")=0,SUMPRODUCT((Besatzung!$B$11:$B$22&lt;&gt;"")*(Besatzung!$F$11:$F$22="x")),SUMPRODUCT((J88:U88="x")*(Besatzung!$F$11:$F$22="x"))),1))))),0))))</f>
        <v/>
      </c>
      <c r="X88" s="247">
        <f>IF(C88="Gutschrift","",IF(G88="","",IF(Besatzung!$B$13="","",IFERROR(IF(I88="Zeitanteilig",(Besatzung!$G$13*(G88-IFERROR(H88,0))+((Besatzung!$B$13&lt;&gt;"")*IF(B88="",1,(IF(Besatzung!$C$13="",Besatzung!$B$5,Besatzung!$C$13)&lt;=B88)*(IF(Besatzung!$D$13="",Besatzung!$B$6,Besatzung!$D$13)&gt;=B88)))*(Besatzung!$F$13="x")*IFERROR(H88,0)/IFERROR(SUMPRODUCT((Besatzung!$B$11:$B$22&lt;&gt;"")*(Besatzung!$F$11:$F$22="x")*(IF(Besatzung!$C$11:$C$22="",Besatzung!$B$5,Besatzung!$C$11:$C$22)&lt;=B88)*(IF(Besatzung!$D$11:$D$22="",Besatzung!$B$6,Besatzung!$D$11:$D$22)&gt;=B88)),1)),IF(I88="An Bord",(((Besatzung!$B$13&lt;&gt;"")*IF(B88="",1,(IF(Besatzung!$C$13="",Besatzung!$B$5,Besatzung!$C$13)&lt;=B88)*(IF(Besatzung!$D$13="",Besatzung!$B$6,Besatzung!$D$13)&gt;=B88)))*((G88-IFERROR(H88,0))/IFERROR(SUMPRODUCT((Besatzung!$B$11:$B$22&lt;&gt;"")*(IF(Besatzung!$C$11:$C$22="",Besatzung!$B$5,Besatzung!$C$11:$C$22)&lt;=B88)*(IF(Besatzung!$D$11:$D$22="",Besatzung!$B$6,Besatzung!$D$11:$D$22)&gt;=B88)),1)+(Besatzung!$F$13="x")*IFERROR(H88,0)/IFERROR(SUMPRODUCT((Besatzung!$B$11:$B$22&lt;&gt;"")*(Besatzung!$F$11:$F$22="x")*(IF(Besatzung!$C$11:$C$22="",Besatzung!$B$5,Besatzung!$C$11:$C$22)&lt;=B88)*(IF(Besatzung!$D$11:$D$22="",Besatzung!$B$6,Besatzung!$D$11:$D$22)&gt;=B88)),1))),IF(I88="Individuell",((K88="x")*((G88-IFERROR(H88,0))/IFERROR(COUNTIF(J88:U88,"x"),1)+(Besatzung!$F$13="x")*IFERROR(H88,0)/IFERROR(SUMPRODUCT((J88:U88="x")*(Besatzung!$F$11:$F$22="x")),1))),(IF(COUNTIF(J88:U88,"x")=0,IF(Besatzung!$B$13&lt;&gt;"",1,0),(K88="x"))*(G88-IFERROR(H88,0))/IFERROR(IF(COUNTIF(J88:U88,"x")=0,COUNTA(Besatzung!$B$11:$B$22),COUNTIF(J88:U88,"x")),1)+IF(COUNTIF(J88:U88,"x")=0,(Besatzung!$F$13="x"),(K88="x")*(Besatzung!$F$13="x"))*IFERROR(H88,0)/IFERROR(IF(COUNTIF(J88:U88,"x")=0,SUMPRODUCT((Besatzung!$B$11:$B$22&lt;&gt;"")*(Besatzung!$F$11:$F$22="x")),SUMPRODUCT((J88:U88="x")*(Besatzung!$F$11:$F$22="x"))),1))))),0))))</f>
        <v/>
      </c>
      <c r="Y88" s="247">
        <f>IF(C88="Gutschrift","",IF(G88="","",IF(Besatzung!$B$14="","",IFERROR(IF(I88="Zeitanteilig",(Besatzung!$G$14*(G88-IFERROR(H88,0))+((Besatzung!$B$14&lt;&gt;"")*IF(B88="",1,(IF(Besatzung!$C$14="",Besatzung!$B$5,Besatzung!$C$14)&lt;=B88)*(IF(Besatzung!$D$14="",Besatzung!$B$6,Besatzung!$D$14)&gt;=B88)))*(Besatzung!$F$14="x")*IFERROR(H88,0)/IFERROR(SUMPRODUCT((Besatzung!$B$11:$B$22&lt;&gt;"")*(Besatzung!$F$11:$F$22="x")*(IF(Besatzung!$C$11:$C$22="",Besatzung!$B$5,Besatzung!$C$11:$C$22)&lt;=B88)*(IF(Besatzung!$D$11:$D$22="",Besatzung!$B$6,Besatzung!$D$11:$D$22)&gt;=B88)),1)),IF(I88="An Bord",(((Besatzung!$B$14&lt;&gt;"")*IF(B88="",1,(IF(Besatzung!$C$14="",Besatzung!$B$5,Besatzung!$C$14)&lt;=B88)*(IF(Besatzung!$D$14="",Besatzung!$B$6,Besatzung!$D$14)&gt;=B88)))*((G88-IFERROR(H88,0))/IFERROR(SUMPRODUCT((Besatzung!$B$11:$B$22&lt;&gt;"")*(IF(Besatzung!$C$11:$C$22="",Besatzung!$B$5,Besatzung!$C$11:$C$22)&lt;=B88)*(IF(Besatzung!$D$11:$D$22="",Besatzung!$B$6,Besatzung!$D$11:$D$22)&gt;=B88)),1)+(Besatzung!$F$14="x")*IFERROR(H88,0)/IFERROR(SUMPRODUCT((Besatzung!$B$11:$B$22&lt;&gt;"")*(Besatzung!$F$11:$F$22="x")*(IF(Besatzung!$C$11:$C$22="",Besatzung!$B$5,Besatzung!$C$11:$C$22)&lt;=B88)*(IF(Besatzung!$D$11:$D$22="",Besatzung!$B$6,Besatzung!$D$11:$D$22)&gt;=B88)),1))),IF(I88="Individuell",((M88="x")*((G88-IFERROR(H88,0))/IFERROR(COUNTIF(J88:U88,"x"),1)+(Besatzung!$F$14="x")*IFERROR(H88,0)/IFERROR(SUMPRODUCT((J88:U88="x")*(Besatzung!$F$11:$F$22="x")),1))),(IF(COUNTIF(J88:U88,"x")=0,IF(Besatzung!$B$14&lt;&gt;"",1,0),(M88="x"))*(G88-IFERROR(H88,0))/IFERROR(IF(COUNTIF(J88:U88,"x")=0,COUNTA(Besatzung!$B$11:$B$22),COUNTIF(J88:U88,"x")),1)+IF(COUNTIF(J88:U88,"x")=0,(Besatzung!$F$14="x"),(M88="x")*(Besatzung!$F$14="x"))*IFERROR(H88,0)/IFERROR(IF(COUNTIF(J88:U88,"x")=0,SUMPRODUCT((Besatzung!$B$11:$B$22&lt;&gt;"")*(Besatzung!$F$11:$F$22="x")),SUMPRODUCT((J88:U88="x")*(Besatzung!$F$11:$F$22="x"))),1))))),0))))</f>
        <v/>
      </c>
      <c r="Z88" s="247">
        <f>IF(C88="Gutschrift","",IF(G88="","",IF(Besatzung!$B$13="","",IFERROR(IF(I88="Zeitanteilig",(Besatzung!$G$15*(G88-IFERROR(H88,0))+((Besatzung!$B$13&lt;&gt;"")*IF(B88="",1,(IF(Besatzung!$C$15="",Besatzung!$B$5,Besatzung!$C$15)&lt;=B88)*(IF(Besatzung!$D$15="",Besatzung!$B$6,Besatzung!$D$15)&gt;=B88)))*(Besatzung!$F$15="x")*IFERROR(H88,0)/IFERROR(SUMPRODUCT((Besatzung!$B$11:$B$22&lt;&gt;"")*(Besatzung!$F$11:$F$22="x")*(IF(Besatzung!$C$11:$C$22="",Besatzung!$B$5,Besatzung!$C$11:$C$22)&lt;=B88)*(IF(Besatzung!$D$11:$D$22="",Besatzung!$B$6,Besatzung!$D$11:$D$22)&gt;=B88)),1)),IF(I88="An Bord",(((Besatzung!$B$13&lt;&gt;"")*IF(B88="",1,(IF(Besatzung!$C$15="",Besatzung!$B$5,Besatzung!$C$15)&lt;=B88)*(IF(Besatzung!$D$15="",Besatzung!$B$6,Besatzung!$D$15)&gt;=B88)))*((G88-IFERROR(H88,0))/IFERROR(SUMPRODUCT((Besatzung!$B$11:$B$22&lt;&gt;"")*(IF(Besatzung!$C$11:$C$22="",Besatzung!$B$5,Besatzung!$C$11:$C$22)&lt;=B88)*(IF(Besatzung!$D$11:$D$22="",Besatzung!$B$6,Besatzung!$D$11:$D$22)&gt;=B88)),1)+(Besatzung!$F$15="x")*IFERROR(H88,0)/IFERROR(SUMPRODUCT((Besatzung!$B$11:$B$22&lt;&gt;"")*(Besatzung!$F$11:$F$22="x")*(IF(Besatzung!$C$11:$C$22="",Besatzung!$B$5,Besatzung!$C$11:$C$22)&lt;=B88)*(IF(Besatzung!$D$11:$D$22="",Besatzung!$B$6,Besatzung!$D$11:$D$22)&gt;=B88)),1))),IF(I88="Individuell",((N88="x")*((G88-IFERROR(H88,0))/IFERROR(COUNTIF(J88:U88,"x"),1)+(Besatzung!$F$15="x")*IFERROR(H88,0)/IFERROR(SUMPRODUCT((J88:U88="x")*(Besatzung!$F$11:$F$22="x")),1))),(IF(COUNTIF(J88:U88,"x")=0,IF(Besatzung!$B$13&lt;&gt;"",1,0),(N88="x"))*(G88-IFERROR(H88,0))/IFERROR(IF(COUNTIF(J88:U88,"x")=0,COUNTA(Besatzung!$B$11:$B$22),COUNTIF(J88:U88,"x")),1)+IF(COUNTIF(J88:U88,"x")=0,(Besatzung!$F$15="x"),(N88="x")*(Besatzung!$F$15="x"))*IFERROR(H88,0)/IFERROR(IF(COUNTIF(J88:U88,"x")=0,SUMPRODUCT((Besatzung!$B$11:$B$22&lt;&gt;"")*(Besatzung!$F$11:$F$22="x")),SUMPRODUCT((J88:U88="x")*(Besatzung!$F$11:$F$22="x"))),1))))),0))))</f>
        <v/>
      </c>
      <c r="AA88" s="247">
        <f>IF(C88="Gutschrift","",IF(G88="","",IF(Besatzung!$B$15="","",IFERROR(IF(I88="Zeitanteilig",(Besatzung!$G$16*(G88-IFERROR(H88,0))+((Besatzung!$B$15&lt;&gt;"")*IF(B88="",1,(IF(Besatzung!$C$16="",Besatzung!$B$5,Besatzung!$C$16)&lt;=B88)*(IF(Besatzung!$D$16="",Besatzung!$B$6,Besatzung!$D$16)&gt;=B88)))*(Besatzung!$F$16="x")*IFERROR(H88,0)/IFERROR(SUMPRODUCT((Besatzung!$B$11:$B$22&lt;&gt;"")*(Besatzung!$F$11:$F$22="x")*(IF(Besatzung!$C$11:$C$22="",Besatzung!$B$5,Besatzung!$C$11:$C$22)&lt;=B88)*(IF(Besatzung!$D$11:$D$22="",Besatzung!$B$6,Besatzung!$D$11:$D$22)&gt;=B88)),1)),IF(I88="An Bord",(((Besatzung!$B$15&lt;&gt;"")*IF(B88="",1,(IF(Besatzung!$C$16="",Besatzung!$B$5,Besatzung!$C$16)&lt;=B88)*(IF(Besatzung!$D$16="",Besatzung!$B$6,Besatzung!$D$16)&gt;=B88)))*((G88-IFERROR(H88,0))/IFERROR(SUMPRODUCT((Besatzung!$B$11:$B$22&lt;&gt;"")*(IF(Besatzung!$C$11:$C$22="",Besatzung!$B$5,Besatzung!$C$11:$C$22)&lt;=B88)*(IF(Besatzung!$D$11:$D$22="",Besatzung!$B$6,Besatzung!$D$11:$D$22)&gt;=B88)),1)+(Besatzung!$F$16="x")*IFERROR(H88,0)/IFERROR(SUMPRODUCT((Besatzung!$B$11:$B$22&lt;&gt;"")*(Besatzung!$F$11:$F$22="x")*(IF(Besatzung!$C$11:$C$22="",Besatzung!$B$5,Besatzung!$C$11:$C$22)&lt;=B88)*(IF(Besatzung!$D$11:$D$22="",Besatzung!$B$6,Besatzung!$D$11:$D$22)&gt;=B88)),1))),IF(I88="Individuell",((O88="x")*((G88-IFERROR(H88,0))/IFERROR(COUNTIF(J88:U88,"x"),1)+(Besatzung!$F$16="x")*IFERROR(H88,0)/IFERROR(SUMPRODUCT((J88:U88="x")*(Besatzung!$F$11:$F$22="x")),1))),(IF(COUNTIF(J88:U88,"x")=0,IF(Besatzung!$B$15&lt;&gt;"",1,0),(O88="x"))*(G88-IFERROR(H88,0))/IFERROR(IF(COUNTIF(J88:U88,"x")=0,COUNTA(Besatzung!$B$11:$B$22),COUNTIF(J88:U88,"x")),1)+IF(COUNTIF(J88:U88,"x")=0,(Besatzung!$F$16="x"),(O88="x")*(Besatzung!$F$16="x"))*IFERROR(H88,0)/IFERROR(IF(COUNTIF(J88:U88,"x")=0,SUMPRODUCT((Besatzung!$B$11:$B$22&lt;&gt;"")*(Besatzung!$F$11:$F$22="x")),SUMPRODUCT((J88:U88="x")*(Besatzung!$F$11:$F$22="x"))),1))))),0))))</f>
        <v/>
      </c>
      <c r="AB88" s="247">
        <f>IF(C88="Gutschrift","",IF(G88="","",IF(Besatzung!$B$17="","",IFERROR(IF(I88="Zeitanteilig",(Besatzung!$G$17*(G88-IFERROR(H88,0))+((Besatzung!$B$17&lt;&gt;"")*IF(B88="",1,(IF(Besatzung!$C$17="",Besatzung!$B$5,Besatzung!$C$17)&lt;=B88)*(IF(Besatzung!$D$17="",Besatzung!$B$6,Besatzung!$D$17)&gt;=B88)))*(Besatzung!$F$17="x")*IFERROR(H88,0)/IFERROR(SUMPRODUCT((Besatzung!$B$11:$B$22&lt;&gt;"")*(Besatzung!$F$11:$F$22="x")*(IF(Besatzung!$C$11:$C$22="",Besatzung!$B$5,Besatzung!$C$11:$C$22)&lt;=B88)*(IF(Besatzung!$D$11:$D$22="",Besatzung!$B$6,Besatzung!$D$11:$D$22)&gt;=B88)),1)),IF(I88="An Bord",(((Besatzung!$B$17&lt;&gt;"")*IF(B88="",1,(IF(Besatzung!$C$17="",Besatzung!$B$5,Besatzung!$C$17)&lt;=B88)*(IF(Besatzung!$D$17="",Besatzung!$B$6,Besatzung!$D$17)&gt;=B88)))*((G88-IFERROR(H88,0))/IFERROR(SUMPRODUCT((Besatzung!$B$11:$B$22&lt;&gt;"")*(IF(Besatzung!$C$11:$C$22="",Besatzung!$B$5,Besatzung!$C$11:$C$22)&lt;=B88)*(IF(Besatzung!$D$11:$D$22="",Besatzung!$B$6,Besatzung!$D$11:$D$22)&gt;=B88)),1)+(Besatzung!$F$17="x")*IFERROR(H88,0)/IFERROR(SUMPRODUCT((Besatzung!$B$11:$B$22&lt;&gt;"")*(Besatzung!$F$11:$F$22="x")*(IF(Besatzung!$C$11:$C$22="",Besatzung!$B$5,Besatzung!$C$11:$C$22)&lt;=B88)*(IF(Besatzung!$D$11:$D$22="",Besatzung!$B$6,Besatzung!$D$11:$D$22)&gt;=B88)),1))),IF(I88="Individuell",((P88="x")*((G88-IFERROR(H88,0))/IFERROR(COUNTIF(J88:U88,"x"),1)+(Besatzung!$F$17="x")*IFERROR(H88,0)/IFERROR(SUMPRODUCT((J88:U88="x")*(Besatzung!$F$11:$F$22="x")),1))),(IF(COUNTIF(J88:U88,"x")=0,IF(Besatzung!$B$17&lt;&gt;"",1,0),(P88="x"))*(G88-IFERROR(H88,0))/IFERROR(IF(COUNTIF(J88:U88,"x")=0,COUNTA(Besatzung!$B$11:$B$22),COUNTIF(J88:U88,"x")),1)+IF(COUNTIF(J88:U88,"x")=0,(Besatzung!$F$17="x"),(P88="x")*(Besatzung!$F$17="x"))*IFERROR(H88,0)/IFERROR(IF(COUNTIF(J88:U88,"x")=0,SUMPRODUCT((Besatzung!$B$11:$B$22&lt;&gt;"")*(Besatzung!$F$11:$F$22="x")),SUMPRODUCT((J88:U88="x")*(Besatzung!$F$11:$F$22="x"))),1))))),0))))</f>
        <v/>
      </c>
      <c r="AC88" s="247">
        <f>IF(C88="Gutschrift","",IF(G88="","",IF(Besatzung!$B$18="","",IFERROR(IF(I88="Zeitanteilig",(Besatzung!$G$18*(G88-IFERROR(H88,0))+((Besatzung!$B$18&lt;&gt;"")*IF(B88="",1,(IF(Besatzung!$C$18="",Besatzung!$B$5,Besatzung!$C$18)&lt;=B88)*(IF(Besatzung!$D$18="",Besatzung!$B$6,Besatzung!$D$18)&gt;=B88)))*(Besatzung!$F$18="x")*IFERROR(H88,0)/IFERROR(SUMPRODUCT((Besatzung!$B$11:$B$22&lt;&gt;"")*(Besatzung!$F$11:$F$22="x")*(IF(Besatzung!$C$11:$C$22="",Besatzung!$B$5,Besatzung!$C$11:$C$22)&lt;=B88)*(IF(Besatzung!$D$11:$D$22="",Besatzung!$B$6,Besatzung!$D$11:$D$22)&gt;=B88)),1)),IF(I88="An Bord",(((Besatzung!$B$18&lt;&gt;"")*IF(B88="",1,(IF(Besatzung!$C$18="",Besatzung!$B$5,Besatzung!$C$18)&lt;=B88)*(IF(Besatzung!$D$18="",Besatzung!$B$6,Besatzung!$D$18)&gt;=B88)))*((G88-IFERROR(H88,0))/IFERROR(SUMPRODUCT((Besatzung!$B$11:$B$22&lt;&gt;"")*(IF(Besatzung!$C$11:$C$22="",Besatzung!$B$5,Besatzung!$C$11:$C$22)&lt;=B88)*(IF(Besatzung!$D$11:$D$22="",Besatzung!$B$6,Besatzung!$D$11:$D$22)&gt;=B88)),1)+(Besatzung!$F$18="x")*IFERROR(H88,0)/IFERROR(SUMPRODUCT((Besatzung!$B$11:$B$22&lt;&gt;"")*(Besatzung!$F$11:$F$22="x")*(IF(Besatzung!$C$11:$C$22="",Besatzung!$B$5,Besatzung!$C$11:$C$22)&lt;=B88)*(IF(Besatzung!$D$11:$D$22="",Besatzung!$B$6,Besatzung!$D$11:$D$22)&gt;=B88)),1))),IF(I88="Individuell",((Q88="x")*((G88-IFERROR(H88,0))/IFERROR(COUNTIF(J88:U88,"x"),1)+(Besatzung!$F$18="x")*IFERROR(H88,0)/IFERROR(SUMPRODUCT((J88:U88="x")*(Besatzung!$F$11:$F$22="x")),1))),(IF(COUNTIF(J88:U88,"x")=0,IF(Besatzung!$B$18&lt;&gt;"",1,0),(Q88="x"))*(G88-IFERROR(H88,0))/IFERROR(IF(COUNTIF(J88:U88,"x")=0,COUNTA(Besatzung!$B$11:$B$22),COUNTIF(J88:U88,"x")),1)+IF(COUNTIF(J88:U88,"x")=0,(Besatzung!$F$18="x"),(Q88="x")*(Besatzung!$F$18="x"))*IFERROR(H88,0)/IFERROR(IF(COUNTIF(J88:U88,"x")=0,SUMPRODUCT((Besatzung!$B$11:$B$22&lt;&gt;"")*(Besatzung!$F$11:$F$22="x")),SUMPRODUCT((J88:U88="x")*(Besatzung!$F$11:$F$22="x"))),1))))),0))))</f>
        <v/>
      </c>
      <c r="AD88" s="247">
        <f>IF(C88="Gutschrift","",IF(G88="","",IF(Besatzung!$B$19="","",IFERROR(IF(I88="Zeitanteilig",(Besatzung!$G$19*(G88-IFERROR(H88,0))+((Besatzung!$B$19&lt;&gt;"")*IF(B88="",1,(IF(Besatzung!$C$19="",Besatzung!$B$5,Besatzung!$C$19)&lt;=B88)*(IF(Besatzung!$D$19="",Besatzung!$B$6,Besatzung!$D$19)&gt;=B88)))*(Besatzung!$F$19="x")*IFERROR(H88,0)/IFERROR(SUMPRODUCT((Besatzung!$B$11:$B$22&lt;&gt;"")*(Besatzung!$F$11:$F$22="x")*(IF(Besatzung!$C$11:$C$22="",Besatzung!$B$5,Besatzung!$C$11:$C$22)&lt;=B88)*(IF(Besatzung!$D$11:$D$22="",Besatzung!$B$6,Besatzung!$D$11:$D$22)&gt;=B88)),1)),IF(I88="An Bord",(((Besatzung!$B$19&lt;&gt;"")*IF(B88="",1,(IF(Besatzung!$C$19="",Besatzung!$B$5,Besatzung!$C$19)&lt;=B88)*(IF(Besatzung!$D$19="",Besatzung!$B$6,Besatzung!$D$19)&gt;=B88)))*((G88-IFERROR(H88,0))/IFERROR(SUMPRODUCT((Besatzung!$B$11:$B$22&lt;&gt;"")*(IF(Besatzung!$C$11:$C$22="",Besatzung!$B$5,Besatzung!$C$11:$C$22)&lt;=B88)*(IF(Besatzung!$D$11:$D$22="",Besatzung!$B$6,Besatzung!$D$11:$D$22)&gt;=B88)),1)+(Besatzung!$F$19="x")*IFERROR(H88,0)/IFERROR(SUMPRODUCT((Besatzung!$B$11:$B$22&lt;&gt;"")*(Besatzung!$F$11:$F$22="x")*(IF(Besatzung!$C$11:$C$22="",Besatzung!$B$5,Besatzung!$C$11:$C$22)&lt;=B88)*(IF(Besatzung!$D$11:$D$22="",Besatzung!$B$6,Besatzung!$D$11:$D$22)&gt;=B88)),1))),IF(I88="Individuell",((R88="x")*((G88-IFERROR(H88,0))/IFERROR(COUNTIF(J88:U88,"x"),1)+(Besatzung!$F$19="x")*IFERROR(H88,0)/IFERROR(SUMPRODUCT((J88:U88="x")*(Besatzung!$F$11:$F$22="x")),1))),(IF(COUNTIF(J88:U88,"x")=0,IF(Besatzung!$B$19&lt;&gt;"",1,0),(R88="x"))*(G88-IFERROR(H88,0))/IFERROR(IF(COUNTIF(J88:U88,"x")=0,COUNTA(Besatzung!$B$11:$B$22),COUNTIF(J88:U88,"x")),1)+IF(COUNTIF(J88:U88,"x")=0,(Besatzung!$F$19="x"),(R88="x")*(Besatzung!$F$19="x"))*IFERROR(H88,0)/IFERROR(IF(COUNTIF(J88:U88,"x")=0,SUMPRODUCT((Besatzung!$B$11:$B$22&lt;&gt;"")*(Besatzung!$F$11:$F$22="x")),SUMPRODUCT((J88:U88="x")*(Besatzung!$F$11:$F$22="x"))),1))))),0))))</f>
        <v/>
      </c>
      <c r="AE88" s="247">
        <f>IF(C88="Gutschrift","",IF(G88="","",IF(Besatzung!$B$20="","",IFERROR(IF(I88="Zeitanteilig",(Besatzung!$G$20*(G88-IFERROR(H88,0))+((Besatzung!$B$20&lt;&gt;"")*IF(B88="",1,(IF(Besatzung!$C$20="",Besatzung!$B$5,Besatzung!$C$20)&lt;=B88)*(IF(Besatzung!$D$20="",Besatzung!$B$6,Besatzung!$D$20)&gt;=B88)))*(Besatzung!$F$20="x")*IFERROR(H88,0)/IFERROR(SUMPRODUCT((Besatzung!$B$11:$B$22&lt;&gt;"")*(Besatzung!$F$11:$F$22="x")*(IF(Besatzung!$C$11:$C$22="",Besatzung!$B$5,Besatzung!$C$11:$C$22)&lt;=B88)*(IF(Besatzung!$D$11:$D$22="",Besatzung!$B$6,Besatzung!$D$11:$D$22)&gt;=B88)),1)),IF(I88="An Bord",(((Besatzung!$B$20&lt;&gt;"")*IF(B88="",1,(IF(Besatzung!$C$20="",Besatzung!$B$5,Besatzung!$C$20)&lt;=B88)*(IF(Besatzung!$D$20="",Besatzung!$B$6,Besatzung!$D$20)&gt;=B88)))*((G88-IFERROR(H88,0))/IFERROR(SUMPRODUCT((Besatzung!$B$11:$B$22&lt;&gt;"")*(IF(Besatzung!$C$11:$C$22="",Besatzung!$B$5,Besatzung!$C$11:$C$22)&lt;=B88)*(IF(Besatzung!$D$11:$D$22="",Besatzung!$B$6,Besatzung!$D$11:$D$22)&gt;=B88)),1)+(Besatzung!$F$20="x")*IFERROR(H88,0)/IFERROR(SUMPRODUCT((Besatzung!$B$11:$B$22&lt;&gt;"")*(Besatzung!$F$11:$F$22="x")*(IF(Besatzung!$C$11:$C$22="",Besatzung!$B$5,Besatzung!$C$11:$C$22)&lt;=B88)*(IF(Besatzung!$D$11:$D$22="",Besatzung!$B$6,Besatzung!$D$11:$D$22)&gt;=B88)),1))),IF(I88="Individuell",((S88="x")*((G88-IFERROR(H88,0))/IFERROR(COUNTIF(J88:U88,"x"),1)+(Besatzung!$F$20="x")*IFERROR(H88,0)/IFERROR(SUMPRODUCT((J88:U88="x")*(Besatzung!$F$11:$F$22="x")),1))),(IF(COUNTIF(J88:U88,"x")=0,IF(Besatzung!$B$20&lt;&gt;"",1,0),(S88="x"))*(G88-IFERROR(H88,0))/IFERROR(IF(COUNTIF(J88:U88,"x")=0,COUNTA(Besatzung!$B$11:$B$22),COUNTIF(J88:U88,"x")),1)+IF(COUNTIF(J88:U88,"x")=0,(Besatzung!$F$20="x"),(S88="x")*(Besatzung!$F$20="x"))*IFERROR(H88,0)/IFERROR(IF(COUNTIF(J88:U88,"x")=0,SUMPRODUCT((Besatzung!$B$11:$B$22&lt;&gt;"")*(Besatzung!$F$11:$F$22="x")),SUMPRODUCT((J88:U88="x")*(Besatzung!$F$11:$F$22="x"))),1))))),0))))</f>
        <v/>
      </c>
      <c r="AF88" s="247">
        <f>IF(C88="Gutschrift","",IF(G88="","",IF(Besatzung!$B$21="","",IFERROR(IF(I88="Zeitanteilig",(Besatzung!$G$21*(G88-IFERROR(H88,0))+((Besatzung!$B$21&lt;&gt;"")*IF(B88="",1,(IF(Besatzung!$C$21="",Besatzung!$B$5,Besatzung!$C$21)&lt;=B88)*(IF(Besatzung!$D$21="",Besatzung!$B$6,Besatzung!$D$21)&gt;=B88)))*(Besatzung!$F$21="x")*IFERROR(H88,0)/IFERROR(SUMPRODUCT((Besatzung!$B$11:$B$22&lt;&gt;"")*(Besatzung!$F$11:$F$22="x")*(IF(Besatzung!$C$11:$C$22="",Besatzung!$B$5,Besatzung!$C$11:$C$22)&lt;=B88)*(IF(Besatzung!$D$11:$D$22="",Besatzung!$B$6,Besatzung!$D$11:$D$22)&gt;=B88)),1)),IF(I88="An Bord",(((Besatzung!$B$21&lt;&gt;"")*IF(B88="",1,(IF(Besatzung!$C$21="",Besatzung!$B$5,Besatzung!$C$21)&lt;=B88)*(IF(Besatzung!$D$21="",Besatzung!$B$6,Besatzung!$D$21)&gt;=B88)))*((G88-IFERROR(H88,0))/IFERROR(SUMPRODUCT((Besatzung!$B$11:$B$22&lt;&gt;"")*(IF(Besatzung!$C$11:$C$22="",Besatzung!$B$5,Besatzung!$C$11:$C$22)&lt;=B88)*(IF(Besatzung!$D$11:$D$22="",Besatzung!$B$6,Besatzung!$D$11:$D$22)&gt;=B88)),1)+(Besatzung!$F$21="x")*IFERROR(H88,0)/IFERROR(SUMPRODUCT((Besatzung!$B$11:$B$22&lt;&gt;"")*(Besatzung!$F$11:$F$22="x")*(IF(Besatzung!$C$11:$C$22="",Besatzung!$B$5,Besatzung!$C$11:$C$22)&lt;=B88)*(IF(Besatzung!$D$11:$D$22="",Besatzung!$B$6,Besatzung!$D$11:$D$22)&gt;=B88)),1))),IF(I88="Individuell",((T88="x")*((G88-IFERROR(H88,0))/IFERROR(COUNTIF(J88:U88,"x"),1)+(Besatzung!$F$21="x")*IFERROR(H88,0)/IFERROR(SUMPRODUCT((J88:U88="x")*(Besatzung!$F$11:$F$22="x")),1))),(IF(COUNTIF(J88:U88,"x")=0,IF(Besatzung!$B$21&lt;&gt;"",1,0),(T88="x"))*(G88-IFERROR(H88,0))/IFERROR(IF(COUNTIF(J88:U88,"x")=0,COUNTA(Besatzung!$B$11:$B$22),COUNTIF(J88:U88,"x")),1)+IF(COUNTIF(J88:U88,"x")=0,(Besatzung!$F$21="x"),(T88="x")*(Besatzung!$F$21="x"))*IFERROR(H88,0)/IFERROR(IF(COUNTIF(J88:U88,"x")=0,SUMPRODUCT((Besatzung!$B$11:$B$22&lt;&gt;"")*(Besatzung!$F$11:$F$22="x")),SUMPRODUCT((J88:U88="x")*(Besatzung!$F$11:$F$22="x"))),1))))),0))))</f>
        <v/>
      </c>
      <c r="AG88" s="247">
        <f>IF(C88="Gutschrift","",IF(G88="","",IF(Besatzung!$B$22="","",IFERROR(IF(I88="Zeitanteilig",(Besatzung!$G$22*(G88-IFERROR(H88,0))+((Besatzung!$B$22&lt;&gt;"")*IF(B88="",1,(IF(Besatzung!$C$22="",Besatzung!$B$5,Besatzung!$C$22)&lt;=B88)*(IF(Besatzung!$D$22="",Besatzung!$B$6,Besatzung!$D$22)&gt;=B88)))*(Besatzung!$F$22="x")*IFERROR(H88,0)/IFERROR(SUMPRODUCT((Besatzung!$B$11:$B$22&lt;&gt;"")*(Besatzung!$F$11:$F$22="x")*(IF(Besatzung!$C$11:$C$22="",Besatzung!$B$5,Besatzung!$C$11:$C$22)&lt;=B88)*(IF(Besatzung!$D$11:$D$22="",Besatzung!$B$6,Besatzung!$D$11:$D$22)&gt;=B88)),1)),IF(I88="An Bord",(((Besatzung!$B$22&lt;&gt;"")*IF(B88="",1,(IF(Besatzung!$C$22="",Besatzung!$B$5,Besatzung!$C$22)&lt;=B88)*(IF(Besatzung!$D$22="",Besatzung!$B$6,Besatzung!$D$22)&gt;=B88)))*((G88-IFERROR(H88,0))/IFERROR(SUMPRODUCT((Besatzung!$B$11:$B$22&lt;&gt;"")*(IF(Besatzung!$C$11:$C$22="",Besatzung!$B$5,Besatzung!$C$11:$C$22)&lt;=B88)*(IF(Besatzung!$D$11:$D$22="",Besatzung!$B$6,Besatzung!$D$11:$D$22)&gt;=B88)),1)+(Besatzung!$F$22="x")*IFERROR(H88,0)/IFERROR(SUMPRODUCT((Besatzung!$B$11:$B$22&lt;&gt;"")*(Besatzung!$F$11:$F$22="x")*(IF(Besatzung!$C$11:$C$22="",Besatzung!$B$5,Besatzung!$C$11:$C$22)&lt;=B88)*(IF(Besatzung!$D$11:$D$22="",Besatzung!$B$6,Besatzung!$D$11:$D$22)&gt;=B88)),1))),IF(I88="Individuell",((U88="x")*((G88-IFERROR(H88,0))/IFERROR(COUNTIF(J88:U88,"x"),1)+(Besatzung!$F$22="x")*IFERROR(H88,0)/IFERROR(SUMPRODUCT((J88:U88="x")*(Besatzung!$F$11:$F$22="x")),1))),(IF(COUNTIF(J88:U88,"x")=0,IF(Besatzung!$B$22&lt;&gt;"",1,0),(U88="x"))*(G88-IFERROR(H88,0))/IFERROR(IF(COUNTIF(J88:U88,"x")=0,COUNTA(Besatzung!$B$11:$B$22),COUNTIF(J88:U88,"x")),1)+IF(COUNTIF(J88:U88,"x")=0,(Besatzung!$F$22="x"),(U88="x")*(Besatzung!$F$22="x"))*IFERROR(H88,0)/IFERROR(IF(COUNTIF(J88:U88,"x")=0,SUMPRODUCT((Besatzung!$B$11:$B$22&lt;&gt;"")*(Besatzung!$F$11:$F$22="x")),SUMPRODUCT((J88:U88="x")*(Besatzung!$F$11:$F$22="x"))),1))))),0))))</f>
        <v/>
      </c>
      <c r="AH88" s="248" t="n"/>
      <c r="AI88" s="248" t="n"/>
    </row>
    <row r="89" ht="21.75" customHeight="1" s="154">
      <c r="A89" s="238">
        <f>IF(AND(D89="",C89=""),"",86)</f>
        <v/>
      </c>
      <c r="B89" s="206" t="n"/>
      <c r="C89" s="249" t="n"/>
      <c r="D89" s="250" t="n"/>
      <c r="E89" s="251" t="n"/>
      <c r="F89" s="252" t="n"/>
      <c r="G89" s="253" t="n"/>
      <c r="H89" s="254" t="n"/>
      <c r="I89" s="255" t="n"/>
      <c r="J89" s="256" t="n"/>
      <c r="K89" s="256" t="n"/>
      <c r="L89" s="256" t="n"/>
      <c r="M89" s="256" t="n"/>
      <c r="N89" s="256" t="n"/>
      <c r="O89" s="256" t="n"/>
      <c r="P89" s="256" t="n"/>
      <c r="Q89" s="256" t="n"/>
      <c r="R89" s="256" t="n"/>
      <c r="S89" s="256" t="n"/>
      <c r="T89" s="256" t="n"/>
      <c r="U89" s="256" t="n"/>
      <c r="V89" s="247">
        <f>IF(C89="Gutschrift","",IF(G89="","",IF(Besatzung!$B$11="","",IFERROR(IF(I89="Zeitanteilig",(Besatzung!$G$11*(G89-IFERROR(H89,0))+((Besatzung!$B$11&lt;&gt;"")*IF(B89="",1,(IF(Besatzung!$C$11="",Besatzung!$B$5,Besatzung!$C$11)&lt;=B89)*(IF(Besatzung!$D$11="",Besatzung!$B$6,Besatzung!$D$11)&gt;=B89)))*(Besatzung!$F$11="x")*IFERROR(H89,0)/IFERROR(SUMPRODUCT((Besatzung!$B$11:$B$22&lt;&gt;"")*(Besatzung!$F$11:$F$22="x")*(IF(Besatzung!$C$11:$C$22="",Besatzung!$B$5,Besatzung!$C$11:$C$22)&lt;=B89)*(IF(Besatzung!$D$11:$D$22="",Besatzung!$B$6,Besatzung!$D$11:$D$22)&gt;=B89)),1)),IF(I89="An Bord",(((Besatzung!$B$11&lt;&gt;"")*IF(B89="",1,(IF(Besatzung!$C$11="",Besatzung!$B$5,Besatzung!$C$11)&lt;=B89)*(IF(Besatzung!$D$11="",Besatzung!$B$6,Besatzung!$D$11)&gt;=B89)))*((G89-IFERROR(H89,0))/IFERROR(SUMPRODUCT((Besatzung!$B$11:$B$22&lt;&gt;"")*(IF(Besatzung!$C$11:$C$22="",Besatzung!$B$5,Besatzung!$C$11:$C$22)&lt;=B89)*(IF(Besatzung!$D$11:$D$22="",Besatzung!$B$6,Besatzung!$D$11:$D$22)&gt;=B89)),1)+(Besatzung!$F$11="x")*IFERROR(H89,0)/IFERROR(SUMPRODUCT((Besatzung!$B$11:$B$22&lt;&gt;"")*(Besatzung!$F$11:$F$22="x")*(IF(Besatzung!$C$11:$C$22="",Besatzung!$B$5,Besatzung!$C$11:$C$22)&lt;=B89)*(IF(Besatzung!$D$11:$D$22="",Besatzung!$B$6,Besatzung!$D$11:$D$22)&gt;=B89)),1))),IF(I89="Individuell",((J89="x")*((G89-IFERROR(H89,0))/IFERROR(COUNTIF(J89:U89,"x"),1)+(Besatzung!$F$11="x")*IFERROR(H89,0)/IFERROR(SUMPRODUCT((J89:U89="x")*(Besatzung!$F$11:$F$22="x")),1))),(IF(COUNTIF(J89:U89,"x")=0,IF(Besatzung!$B$11&lt;&gt;"",1,0),(J89="x"))*(G89-IFERROR(H89,0))/IFERROR(IF(COUNTIF(J89:U89,"x")=0,COUNTA(Besatzung!$B$11:$B$22),COUNTIF(J89:U89,"x")),1)+IF(COUNTIF(J89:U89,"x")=0,(Besatzung!$F$11="x"),(J89="x")*(Besatzung!$F$11="x"))*IFERROR(H89,0)/IFERROR(IF(COUNTIF(J89:U89,"x")=0,SUMPRODUCT((Besatzung!$B$11:$B$22&lt;&gt;"")*(Besatzung!$F$11:$F$22="x")),SUMPRODUCT((J89:U89="x")*(Besatzung!$F$11:$F$22="x"))),1))))),0))))</f>
        <v/>
      </c>
      <c r="W89" s="247">
        <f>IF(C89="Gutschrift","",IF(G89="","",IF(Besatzung!$B$12="","",IFERROR(IF(I89="Zeitanteilig",(Besatzung!$G$12*(G89-IFERROR(H89,0))+((Besatzung!$B$12&lt;&gt;"")*IF(B89="",1,(IF(Besatzung!$C$12="",Besatzung!$B$5,Besatzung!$C$12)&lt;=B89)*(IF(Besatzung!$D$12="",Besatzung!$B$6,Besatzung!$D$12)&gt;=B89)))*(Besatzung!$F$12="x")*IFERROR(H89,0)/IFERROR(SUMPRODUCT((Besatzung!$B$11:$B$22&lt;&gt;"")*(Besatzung!$F$11:$F$22="x")*(IF(Besatzung!$C$11:$C$22="",Besatzung!$B$5,Besatzung!$C$11:$C$22)&lt;=B89)*(IF(Besatzung!$D$11:$D$22="",Besatzung!$B$6,Besatzung!$D$11:$D$22)&gt;=B89)),1)),IF(I89="An Bord",(((Besatzung!$B$12&lt;&gt;"")*IF(B89="",1,(IF(Besatzung!$C$12="",Besatzung!$B$5,Besatzung!$C$12)&lt;=B89)*(IF(Besatzung!$D$12="",Besatzung!$B$6,Besatzung!$D$12)&gt;=B89)))*((G89-IFERROR(H89,0))/IFERROR(SUMPRODUCT((Besatzung!$B$11:$B$22&lt;&gt;"")*(IF(Besatzung!$C$11:$C$22="",Besatzung!$B$5,Besatzung!$C$11:$C$22)&lt;=B89)*(IF(Besatzung!$D$11:$D$22="",Besatzung!$B$6,Besatzung!$D$11:$D$22)&gt;=B89)),1)+(Besatzung!$F$12="x")*IFERROR(H89,0)/IFERROR(SUMPRODUCT((Besatzung!$B$11:$B$22&lt;&gt;"")*(Besatzung!$F$11:$F$22="x")*(IF(Besatzung!$C$11:$C$22="",Besatzung!$B$5,Besatzung!$C$11:$C$22)&lt;=B89)*(IF(Besatzung!$D$11:$D$22="",Besatzung!$B$6,Besatzung!$D$11:$D$22)&gt;=B89)),1))),IF(I89="Individuell",((K89="x")*((G89-IFERROR(H89,0))/IFERROR(COUNTIF(J89:U89,"x"),1)+(Besatzung!$F$12="x")*IFERROR(H89,0)/IFERROR(SUMPRODUCT((J89:U89="x")*(Besatzung!$F$11:$F$22="x")),1))),(IF(COUNTIF(J89:U89,"x")=0,IF(Besatzung!$B$12&lt;&gt;"",1,0),(K89="x"))*(G89-IFERROR(H89,0))/IFERROR(IF(COUNTIF(J89:U89,"x")=0,COUNTA(Besatzung!$B$11:$B$22),COUNTIF(J89:U89,"x")),1)+IF(COUNTIF(J89:U89,"x")=0,(Besatzung!$F$12="x"),(K89="x")*(Besatzung!$F$12="x"))*IFERROR(H89,0)/IFERROR(IF(COUNTIF(J89:U89,"x")=0,SUMPRODUCT((Besatzung!$B$11:$B$22&lt;&gt;"")*(Besatzung!$F$11:$F$22="x")),SUMPRODUCT((J89:U89="x")*(Besatzung!$F$11:$F$22="x"))),1))))),0))))</f>
        <v/>
      </c>
      <c r="X89" s="247">
        <f>IF(C89="Gutschrift","",IF(G89="","",IF(Besatzung!$B$13="","",IFERROR(IF(I89="Zeitanteilig",(Besatzung!$G$13*(G89-IFERROR(H89,0))+((Besatzung!$B$13&lt;&gt;"")*IF(B89="",1,(IF(Besatzung!$C$13="",Besatzung!$B$5,Besatzung!$C$13)&lt;=B89)*(IF(Besatzung!$D$13="",Besatzung!$B$6,Besatzung!$D$13)&gt;=B89)))*(Besatzung!$F$13="x")*IFERROR(H89,0)/IFERROR(SUMPRODUCT((Besatzung!$B$11:$B$22&lt;&gt;"")*(Besatzung!$F$11:$F$22="x")*(IF(Besatzung!$C$11:$C$22="",Besatzung!$B$5,Besatzung!$C$11:$C$22)&lt;=B89)*(IF(Besatzung!$D$11:$D$22="",Besatzung!$B$6,Besatzung!$D$11:$D$22)&gt;=B89)),1)),IF(I89="An Bord",(((Besatzung!$B$13&lt;&gt;"")*IF(B89="",1,(IF(Besatzung!$C$13="",Besatzung!$B$5,Besatzung!$C$13)&lt;=B89)*(IF(Besatzung!$D$13="",Besatzung!$B$6,Besatzung!$D$13)&gt;=B89)))*((G89-IFERROR(H89,0))/IFERROR(SUMPRODUCT((Besatzung!$B$11:$B$22&lt;&gt;"")*(IF(Besatzung!$C$11:$C$22="",Besatzung!$B$5,Besatzung!$C$11:$C$22)&lt;=B89)*(IF(Besatzung!$D$11:$D$22="",Besatzung!$B$6,Besatzung!$D$11:$D$22)&gt;=B89)),1)+(Besatzung!$F$13="x")*IFERROR(H89,0)/IFERROR(SUMPRODUCT((Besatzung!$B$11:$B$22&lt;&gt;"")*(Besatzung!$F$11:$F$22="x")*(IF(Besatzung!$C$11:$C$22="",Besatzung!$B$5,Besatzung!$C$11:$C$22)&lt;=B89)*(IF(Besatzung!$D$11:$D$22="",Besatzung!$B$6,Besatzung!$D$11:$D$22)&gt;=B89)),1))),IF(I89="Individuell",((K89="x")*((G89-IFERROR(H89,0))/IFERROR(COUNTIF(J89:U89,"x"),1)+(Besatzung!$F$13="x")*IFERROR(H89,0)/IFERROR(SUMPRODUCT((J89:U89="x")*(Besatzung!$F$11:$F$22="x")),1))),(IF(COUNTIF(J89:U89,"x")=0,IF(Besatzung!$B$13&lt;&gt;"",1,0),(K89="x"))*(G89-IFERROR(H89,0))/IFERROR(IF(COUNTIF(J89:U89,"x")=0,COUNTA(Besatzung!$B$11:$B$22),COUNTIF(J89:U89,"x")),1)+IF(COUNTIF(J89:U89,"x")=0,(Besatzung!$F$13="x"),(K89="x")*(Besatzung!$F$13="x"))*IFERROR(H89,0)/IFERROR(IF(COUNTIF(J89:U89,"x")=0,SUMPRODUCT((Besatzung!$B$11:$B$22&lt;&gt;"")*(Besatzung!$F$11:$F$22="x")),SUMPRODUCT((J89:U89="x")*(Besatzung!$F$11:$F$22="x"))),1))))),0))))</f>
        <v/>
      </c>
      <c r="Y89" s="247">
        <f>IF(C89="Gutschrift","",IF(G89="","",IF(Besatzung!$B$14="","",IFERROR(IF(I89="Zeitanteilig",(Besatzung!$G$14*(G89-IFERROR(H89,0))+((Besatzung!$B$14&lt;&gt;"")*IF(B89="",1,(IF(Besatzung!$C$14="",Besatzung!$B$5,Besatzung!$C$14)&lt;=B89)*(IF(Besatzung!$D$14="",Besatzung!$B$6,Besatzung!$D$14)&gt;=B89)))*(Besatzung!$F$14="x")*IFERROR(H89,0)/IFERROR(SUMPRODUCT((Besatzung!$B$11:$B$22&lt;&gt;"")*(Besatzung!$F$11:$F$22="x")*(IF(Besatzung!$C$11:$C$22="",Besatzung!$B$5,Besatzung!$C$11:$C$22)&lt;=B89)*(IF(Besatzung!$D$11:$D$22="",Besatzung!$B$6,Besatzung!$D$11:$D$22)&gt;=B89)),1)),IF(I89="An Bord",(((Besatzung!$B$14&lt;&gt;"")*IF(B89="",1,(IF(Besatzung!$C$14="",Besatzung!$B$5,Besatzung!$C$14)&lt;=B89)*(IF(Besatzung!$D$14="",Besatzung!$B$6,Besatzung!$D$14)&gt;=B89)))*((G89-IFERROR(H89,0))/IFERROR(SUMPRODUCT((Besatzung!$B$11:$B$22&lt;&gt;"")*(IF(Besatzung!$C$11:$C$22="",Besatzung!$B$5,Besatzung!$C$11:$C$22)&lt;=B89)*(IF(Besatzung!$D$11:$D$22="",Besatzung!$B$6,Besatzung!$D$11:$D$22)&gt;=B89)),1)+(Besatzung!$F$14="x")*IFERROR(H89,0)/IFERROR(SUMPRODUCT((Besatzung!$B$11:$B$22&lt;&gt;"")*(Besatzung!$F$11:$F$22="x")*(IF(Besatzung!$C$11:$C$22="",Besatzung!$B$5,Besatzung!$C$11:$C$22)&lt;=B89)*(IF(Besatzung!$D$11:$D$22="",Besatzung!$B$6,Besatzung!$D$11:$D$22)&gt;=B89)),1))),IF(I89="Individuell",((M89="x")*((G89-IFERROR(H89,0))/IFERROR(COUNTIF(J89:U89,"x"),1)+(Besatzung!$F$14="x")*IFERROR(H89,0)/IFERROR(SUMPRODUCT((J89:U89="x")*(Besatzung!$F$11:$F$22="x")),1))),(IF(COUNTIF(J89:U89,"x")=0,IF(Besatzung!$B$14&lt;&gt;"",1,0),(M89="x"))*(G89-IFERROR(H89,0))/IFERROR(IF(COUNTIF(J89:U89,"x")=0,COUNTA(Besatzung!$B$11:$B$22),COUNTIF(J89:U89,"x")),1)+IF(COUNTIF(J89:U89,"x")=0,(Besatzung!$F$14="x"),(M89="x")*(Besatzung!$F$14="x"))*IFERROR(H89,0)/IFERROR(IF(COUNTIF(J89:U89,"x")=0,SUMPRODUCT((Besatzung!$B$11:$B$22&lt;&gt;"")*(Besatzung!$F$11:$F$22="x")),SUMPRODUCT((J89:U89="x")*(Besatzung!$F$11:$F$22="x"))),1))))),0))))</f>
        <v/>
      </c>
      <c r="Z89" s="247">
        <f>IF(C89="Gutschrift","",IF(G89="","",IF(Besatzung!$B$13="","",IFERROR(IF(I89="Zeitanteilig",(Besatzung!$G$15*(G89-IFERROR(H89,0))+((Besatzung!$B$13&lt;&gt;"")*IF(B89="",1,(IF(Besatzung!$C$15="",Besatzung!$B$5,Besatzung!$C$15)&lt;=B89)*(IF(Besatzung!$D$15="",Besatzung!$B$6,Besatzung!$D$15)&gt;=B89)))*(Besatzung!$F$15="x")*IFERROR(H89,0)/IFERROR(SUMPRODUCT((Besatzung!$B$11:$B$22&lt;&gt;"")*(Besatzung!$F$11:$F$22="x")*(IF(Besatzung!$C$11:$C$22="",Besatzung!$B$5,Besatzung!$C$11:$C$22)&lt;=B89)*(IF(Besatzung!$D$11:$D$22="",Besatzung!$B$6,Besatzung!$D$11:$D$22)&gt;=B89)),1)),IF(I89="An Bord",(((Besatzung!$B$13&lt;&gt;"")*IF(B89="",1,(IF(Besatzung!$C$15="",Besatzung!$B$5,Besatzung!$C$15)&lt;=B89)*(IF(Besatzung!$D$15="",Besatzung!$B$6,Besatzung!$D$15)&gt;=B89)))*((G89-IFERROR(H89,0))/IFERROR(SUMPRODUCT((Besatzung!$B$11:$B$22&lt;&gt;"")*(IF(Besatzung!$C$11:$C$22="",Besatzung!$B$5,Besatzung!$C$11:$C$22)&lt;=B89)*(IF(Besatzung!$D$11:$D$22="",Besatzung!$B$6,Besatzung!$D$11:$D$22)&gt;=B89)),1)+(Besatzung!$F$15="x")*IFERROR(H89,0)/IFERROR(SUMPRODUCT((Besatzung!$B$11:$B$22&lt;&gt;"")*(Besatzung!$F$11:$F$22="x")*(IF(Besatzung!$C$11:$C$22="",Besatzung!$B$5,Besatzung!$C$11:$C$22)&lt;=B89)*(IF(Besatzung!$D$11:$D$22="",Besatzung!$B$6,Besatzung!$D$11:$D$22)&gt;=B89)),1))),IF(I89="Individuell",((N89="x")*((G89-IFERROR(H89,0))/IFERROR(COUNTIF(J89:U89,"x"),1)+(Besatzung!$F$15="x")*IFERROR(H89,0)/IFERROR(SUMPRODUCT((J89:U89="x")*(Besatzung!$F$11:$F$22="x")),1))),(IF(COUNTIF(J89:U89,"x")=0,IF(Besatzung!$B$13&lt;&gt;"",1,0),(N89="x"))*(G89-IFERROR(H89,0))/IFERROR(IF(COUNTIF(J89:U89,"x")=0,COUNTA(Besatzung!$B$11:$B$22),COUNTIF(J89:U89,"x")),1)+IF(COUNTIF(J89:U89,"x")=0,(Besatzung!$F$15="x"),(N89="x")*(Besatzung!$F$15="x"))*IFERROR(H89,0)/IFERROR(IF(COUNTIF(J89:U89,"x")=0,SUMPRODUCT((Besatzung!$B$11:$B$22&lt;&gt;"")*(Besatzung!$F$11:$F$22="x")),SUMPRODUCT((J89:U89="x")*(Besatzung!$F$11:$F$22="x"))),1))))),0))))</f>
        <v/>
      </c>
      <c r="AA89" s="247">
        <f>IF(C89="Gutschrift","",IF(G89="","",IF(Besatzung!$B$15="","",IFERROR(IF(I89="Zeitanteilig",(Besatzung!$G$16*(G89-IFERROR(H89,0))+((Besatzung!$B$15&lt;&gt;"")*IF(B89="",1,(IF(Besatzung!$C$16="",Besatzung!$B$5,Besatzung!$C$16)&lt;=B89)*(IF(Besatzung!$D$16="",Besatzung!$B$6,Besatzung!$D$16)&gt;=B89)))*(Besatzung!$F$16="x")*IFERROR(H89,0)/IFERROR(SUMPRODUCT((Besatzung!$B$11:$B$22&lt;&gt;"")*(Besatzung!$F$11:$F$22="x")*(IF(Besatzung!$C$11:$C$22="",Besatzung!$B$5,Besatzung!$C$11:$C$22)&lt;=B89)*(IF(Besatzung!$D$11:$D$22="",Besatzung!$B$6,Besatzung!$D$11:$D$22)&gt;=B89)),1)),IF(I89="An Bord",(((Besatzung!$B$15&lt;&gt;"")*IF(B89="",1,(IF(Besatzung!$C$16="",Besatzung!$B$5,Besatzung!$C$16)&lt;=B89)*(IF(Besatzung!$D$16="",Besatzung!$B$6,Besatzung!$D$16)&gt;=B89)))*((G89-IFERROR(H89,0))/IFERROR(SUMPRODUCT((Besatzung!$B$11:$B$22&lt;&gt;"")*(IF(Besatzung!$C$11:$C$22="",Besatzung!$B$5,Besatzung!$C$11:$C$22)&lt;=B89)*(IF(Besatzung!$D$11:$D$22="",Besatzung!$B$6,Besatzung!$D$11:$D$22)&gt;=B89)),1)+(Besatzung!$F$16="x")*IFERROR(H89,0)/IFERROR(SUMPRODUCT((Besatzung!$B$11:$B$22&lt;&gt;"")*(Besatzung!$F$11:$F$22="x")*(IF(Besatzung!$C$11:$C$22="",Besatzung!$B$5,Besatzung!$C$11:$C$22)&lt;=B89)*(IF(Besatzung!$D$11:$D$22="",Besatzung!$B$6,Besatzung!$D$11:$D$22)&gt;=B89)),1))),IF(I89="Individuell",((O89="x")*((G89-IFERROR(H89,0))/IFERROR(COUNTIF(J89:U89,"x"),1)+(Besatzung!$F$16="x")*IFERROR(H89,0)/IFERROR(SUMPRODUCT((J89:U89="x")*(Besatzung!$F$11:$F$22="x")),1))),(IF(COUNTIF(J89:U89,"x")=0,IF(Besatzung!$B$15&lt;&gt;"",1,0),(O89="x"))*(G89-IFERROR(H89,0))/IFERROR(IF(COUNTIF(J89:U89,"x")=0,COUNTA(Besatzung!$B$11:$B$22),COUNTIF(J89:U89,"x")),1)+IF(COUNTIF(J89:U89,"x")=0,(Besatzung!$F$16="x"),(O89="x")*(Besatzung!$F$16="x"))*IFERROR(H89,0)/IFERROR(IF(COUNTIF(J89:U89,"x")=0,SUMPRODUCT((Besatzung!$B$11:$B$22&lt;&gt;"")*(Besatzung!$F$11:$F$22="x")),SUMPRODUCT((J89:U89="x")*(Besatzung!$F$11:$F$22="x"))),1))))),0))))</f>
        <v/>
      </c>
      <c r="AB89" s="247">
        <f>IF(C89="Gutschrift","",IF(G89="","",IF(Besatzung!$B$17="","",IFERROR(IF(I89="Zeitanteilig",(Besatzung!$G$17*(G89-IFERROR(H89,0))+((Besatzung!$B$17&lt;&gt;"")*IF(B89="",1,(IF(Besatzung!$C$17="",Besatzung!$B$5,Besatzung!$C$17)&lt;=B89)*(IF(Besatzung!$D$17="",Besatzung!$B$6,Besatzung!$D$17)&gt;=B89)))*(Besatzung!$F$17="x")*IFERROR(H89,0)/IFERROR(SUMPRODUCT((Besatzung!$B$11:$B$22&lt;&gt;"")*(Besatzung!$F$11:$F$22="x")*(IF(Besatzung!$C$11:$C$22="",Besatzung!$B$5,Besatzung!$C$11:$C$22)&lt;=B89)*(IF(Besatzung!$D$11:$D$22="",Besatzung!$B$6,Besatzung!$D$11:$D$22)&gt;=B89)),1)),IF(I89="An Bord",(((Besatzung!$B$17&lt;&gt;"")*IF(B89="",1,(IF(Besatzung!$C$17="",Besatzung!$B$5,Besatzung!$C$17)&lt;=B89)*(IF(Besatzung!$D$17="",Besatzung!$B$6,Besatzung!$D$17)&gt;=B89)))*((G89-IFERROR(H89,0))/IFERROR(SUMPRODUCT((Besatzung!$B$11:$B$22&lt;&gt;"")*(IF(Besatzung!$C$11:$C$22="",Besatzung!$B$5,Besatzung!$C$11:$C$22)&lt;=B89)*(IF(Besatzung!$D$11:$D$22="",Besatzung!$B$6,Besatzung!$D$11:$D$22)&gt;=B89)),1)+(Besatzung!$F$17="x")*IFERROR(H89,0)/IFERROR(SUMPRODUCT((Besatzung!$B$11:$B$22&lt;&gt;"")*(Besatzung!$F$11:$F$22="x")*(IF(Besatzung!$C$11:$C$22="",Besatzung!$B$5,Besatzung!$C$11:$C$22)&lt;=B89)*(IF(Besatzung!$D$11:$D$22="",Besatzung!$B$6,Besatzung!$D$11:$D$22)&gt;=B89)),1))),IF(I89="Individuell",((P89="x")*((G89-IFERROR(H89,0))/IFERROR(COUNTIF(J89:U89,"x"),1)+(Besatzung!$F$17="x")*IFERROR(H89,0)/IFERROR(SUMPRODUCT((J89:U89="x")*(Besatzung!$F$11:$F$22="x")),1))),(IF(COUNTIF(J89:U89,"x")=0,IF(Besatzung!$B$17&lt;&gt;"",1,0),(P89="x"))*(G89-IFERROR(H89,0))/IFERROR(IF(COUNTIF(J89:U89,"x")=0,COUNTA(Besatzung!$B$11:$B$22),COUNTIF(J89:U89,"x")),1)+IF(COUNTIF(J89:U89,"x")=0,(Besatzung!$F$17="x"),(P89="x")*(Besatzung!$F$17="x"))*IFERROR(H89,0)/IFERROR(IF(COUNTIF(J89:U89,"x")=0,SUMPRODUCT((Besatzung!$B$11:$B$22&lt;&gt;"")*(Besatzung!$F$11:$F$22="x")),SUMPRODUCT((J89:U89="x")*(Besatzung!$F$11:$F$22="x"))),1))))),0))))</f>
        <v/>
      </c>
      <c r="AC89" s="247">
        <f>IF(C89="Gutschrift","",IF(G89="","",IF(Besatzung!$B$18="","",IFERROR(IF(I89="Zeitanteilig",(Besatzung!$G$18*(G89-IFERROR(H89,0))+((Besatzung!$B$18&lt;&gt;"")*IF(B89="",1,(IF(Besatzung!$C$18="",Besatzung!$B$5,Besatzung!$C$18)&lt;=B89)*(IF(Besatzung!$D$18="",Besatzung!$B$6,Besatzung!$D$18)&gt;=B89)))*(Besatzung!$F$18="x")*IFERROR(H89,0)/IFERROR(SUMPRODUCT((Besatzung!$B$11:$B$22&lt;&gt;"")*(Besatzung!$F$11:$F$22="x")*(IF(Besatzung!$C$11:$C$22="",Besatzung!$B$5,Besatzung!$C$11:$C$22)&lt;=B89)*(IF(Besatzung!$D$11:$D$22="",Besatzung!$B$6,Besatzung!$D$11:$D$22)&gt;=B89)),1)),IF(I89="An Bord",(((Besatzung!$B$18&lt;&gt;"")*IF(B89="",1,(IF(Besatzung!$C$18="",Besatzung!$B$5,Besatzung!$C$18)&lt;=B89)*(IF(Besatzung!$D$18="",Besatzung!$B$6,Besatzung!$D$18)&gt;=B89)))*((G89-IFERROR(H89,0))/IFERROR(SUMPRODUCT((Besatzung!$B$11:$B$22&lt;&gt;"")*(IF(Besatzung!$C$11:$C$22="",Besatzung!$B$5,Besatzung!$C$11:$C$22)&lt;=B89)*(IF(Besatzung!$D$11:$D$22="",Besatzung!$B$6,Besatzung!$D$11:$D$22)&gt;=B89)),1)+(Besatzung!$F$18="x")*IFERROR(H89,0)/IFERROR(SUMPRODUCT((Besatzung!$B$11:$B$22&lt;&gt;"")*(Besatzung!$F$11:$F$22="x")*(IF(Besatzung!$C$11:$C$22="",Besatzung!$B$5,Besatzung!$C$11:$C$22)&lt;=B89)*(IF(Besatzung!$D$11:$D$22="",Besatzung!$B$6,Besatzung!$D$11:$D$22)&gt;=B89)),1))),IF(I89="Individuell",((Q89="x")*((G89-IFERROR(H89,0))/IFERROR(COUNTIF(J89:U89,"x"),1)+(Besatzung!$F$18="x")*IFERROR(H89,0)/IFERROR(SUMPRODUCT((J89:U89="x")*(Besatzung!$F$11:$F$22="x")),1))),(IF(COUNTIF(J89:U89,"x")=0,IF(Besatzung!$B$18&lt;&gt;"",1,0),(Q89="x"))*(G89-IFERROR(H89,0))/IFERROR(IF(COUNTIF(J89:U89,"x")=0,COUNTA(Besatzung!$B$11:$B$22),COUNTIF(J89:U89,"x")),1)+IF(COUNTIF(J89:U89,"x")=0,(Besatzung!$F$18="x"),(Q89="x")*(Besatzung!$F$18="x"))*IFERROR(H89,0)/IFERROR(IF(COUNTIF(J89:U89,"x")=0,SUMPRODUCT((Besatzung!$B$11:$B$22&lt;&gt;"")*(Besatzung!$F$11:$F$22="x")),SUMPRODUCT((J89:U89="x")*(Besatzung!$F$11:$F$22="x"))),1))))),0))))</f>
        <v/>
      </c>
      <c r="AD89" s="247">
        <f>IF(C89="Gutschrift","",IF(G89="","",IF(Besatzung!$B$19="","",IFERROR(IF(I89="Zeitanteilig",(Besatzung!$G$19*(G89-IFERROR(H89,0))+((Besatzung!$B$19&lt;&gt;"")*IF(B89="",1,(IF(Besatzung!$C$19="",Besatzung!$B$5,Besatzung!$C$19)&lt;=B89)*(IF(Besatzung!$D$19="",Besatzung!$B$6,Besatzung!$D$19)&gt;=B89)))*(Besatzung!$F$19="x")*IFERROR(H89,0)/IFERROR(SUMPRODUCT((Besatzung!$B$11:$B$22&lt;&gt;"")*(Besatzung!$F$11:$F$22="x")*(IF(Besatzung!$C$11:$C$22="",Besatzung!$B$5,Besatzung!$C$11:$C$22)&lt;=B89)*(IF(Besatzung!$D$11:$D$22="",Besatzung!$B$6,Besatzung!$D$11:$D$22)&gt;=B89)),1)),IF(I89="An Bord",(((Besatzung!$B$19&lt;&gt;"")*IF(B89="",1,(IF(Besatzung!$C$19="",Besatzung!$B$5,Besatzung!$C$19)&lt;=B89)*(IF(Besatzung!$D$19="",Besatzung!$B$6,Besatzung!$D$19)&gt;=B89)))*((G89-IFERROR(H89,0))/IFERROR(SUMPRODUCT((Besatzung!$B$11:$B$22&lt;&gt;"")*(IF(Besatzung!$C$11:$C$22="",Besatzung!$B$5,Besatzung!$C$11:$C$22)&lt;=B89)*(IF(Besatzung!$D$11:$D$22="",Besatzung!$B$6,Besatzung!$D$11:$D$22)&gt;=B89)),1)+(Besatzung!$F$19="x")*IFERROR(H89,0)/IFERROR(SUMPRODUCT((Besatzung!$B$11:$B$22&lt;&gt;"")*(Besatzung!$F$11:$F$22="x")*(IF(Besatzung!$C$11:$C$22="",Besatzung!$B$5,Besatzung!$C$11:$C$22)&lt;=B89)*(IF(Besatzung!$D$11:$D$22="",Besatzung!$B$6,Besatzung!$D$11:$D$22)&gt;=B89)),1))),IF(I89="Individuell",((R89="x")*((G89-IFERROR(H89,0))/IFERROR(COUNTIF(J89:U89,"x"),1)+(Besatzung!$F$19="x")*IFERROR(H89,0)/IFERROR(SUMPRODUCT((J89:U89="x")*(Besatzung!$F$11:$F$22="x")),1))),(IF(COUNTIF(J89:U89,"x")=0,IF(Besatzung!$B$19&lt;&gt;"",1,0),(R89="x"))*(G89-IFERROR(H89,0))/IFERROR(IF(COUNTIF(J89:U89,"x")=0,COUNTA(Besatzung!$B$11:$B$22),COUNTIF(J89:U89,"x")),1)+IF(COUNTIF(J89:U89,"x")=0,(Besatzung!$F$19="x"),(R89="x")*(Besatzung!$F$19="x"))*IFERROR(H89,0)/IFERROR(IF(COUNTIF(J89:U89,"x")=0,SUMPRODUCT((Besatzung!$B$11:$B$22&lt;&gt;"")*(Besatzung!$F$11:$F$22="x")),SUMPRODUCT((J89:U89="x")*(Besatzung!$F$11:$F$22="x"))),1))))),0))))</f>
        <v/>
      </c>
      <c r="AE89" s="247">
        <f>IF(C89="Gutschrift","",IF(G89="","",IF(Besatzung!$B$20="","",IFERROR(IF(I89="Zeitanteilig",(Besatzung!$G$20*(G89-IFERROR(H89,0))+((Besatzung!$B$20&lt;&gt;"")*IF(B89="",1,(IF(Besatzung!$C$20="",Besatzung!$B$5,Besatzung!$C$20)&lt;=B89)*(IF(Besatzung!$D$20="",Besatzung!$B$6,Besatzung!$D$20)&gt;=B89)))*(Besatzung!$F$20="x")*IFERROR(H89,0)/IFERROR(SUMPRODUCT((Besatzung!$B$11:$B$22&lt;&gt;"")*(Besatzung!$F$11:$F$22="x")*(IF(Besatzung!$C$11:$C$22="",Besatzung!$B$5,Besatzung!$C$11:$C$22)&lt;=B89)*(IF(Besatzung!$D$11:$D$22="",Besatzung!$B$6,Besatzung!$D$11:$D$22)&gt;=B89)),1)),IF(I89="An Bord",(((Besatzung!$B$20&lt;&gt;"")*IF(B89="",1,(IF(Besatzung!$C$20="",Besatzung!$B$5,Besatzung!$C$20)&lt;=B89)*(IF(Besatzung!$D$20="",Besatzung!$B$6,Besatzung!$D$20)&gt;=B89)))*((G89-IFERROR(H89,0))/IFERROR(SUMPRODUCT((Besatzung!$B$11:$B$22&lt;&gt;"")*(IF(Besatzung!$C$11:$C$22="",Besatzung!$B$5,Besatzung!$C$11:$C$22)&lt;=B89)*(IF(Besatzung!$D$11:$D$22="",Besatzung!$B$6,Besatzung!$D$11:$D$22)&gt;=B89)),1)+(Besatzung!$F$20="x")*IFERROR(H89,0)/IFERROR(SUMPRODUCT((Besatzung!$B$11:$B$22&lt;&gt;"")*(Besatzung!$F$11:$F$22="x")*(IF(Besatzung!$C$11:$C$22="",Besatzung!$B$5,Besatzung!$C$11:$C$22)&lt;=B89)*(IF(Besatzung!$D$11:$D$22="",Besatzung!$B$6,Besatzung!$D$11:$D$22)&gt;=B89)),1))),IF(I89="Individuell",((S89="x")*((G89-IFERROR(H89,0))/IFERROR(COUNTIF(J89:U89,"x"),1)+(Besatzung!$F$20="x")*IFERROR(H89,0)/IFERROR(SUMPRODUCT((J89:U89="x")*(Besatzung!$F$11:$F$22="x")),1))),(IF(COUNTIF(J89:U89,"x")=0,IF(Besatzung!$B$20&lt;&gt;"",1,0),(S89="x"))*(G89-IFERROR(H89,0))/IFERROR(IF(COUNTIF(J89:U89,"x")=0,COUNTA(Besatzung!$B$11:$B$22),COUNTIF(J89:U89,"x")),1)+IF(COUNTIF(J89:U89,"x")=0,(Besatzung!$F$20="x"),(S89="x")*(Besatzung!$F$20="x"))*IFERROR(H89,0)/IFERROR(IF(COUNTIF(J89:U89,"x")=0,SUMPRODUCT((Besatzung!$B$11:$B$22&lt;&gt;"")*(Besatzung!$F$11:$F$22="x")),SUMPRODUCT((J89:U89="x")*(Besatzung!$F$11:$F$22="x"))),1))))),0))))</f>
        <v/>
      </c>
      <c r="AF89" s="247">
        <f>IF(C89="Gutschrift","",IF(G89="","",IF(Besatzung!$B$21="","",IFERROR(IF(I89="Zeitanteilig",(Besatzung!$G$21*(G89-IFERROR(H89,0))+((Besatzung!$B$21&lt;&gt;"")*IF(B89="",1,(IF(Besatzung!$C$21="",Besatzung!$B$5,Besatzung!$C$21)&lt;=B89)*(IF(Besatzung!$D$21="",Besatzung!$B$6,Besatzung!$D$21)&gt;=B89)))*(Besatzung!$F$21="x")*IFERROR(H89,0)/IFERROR(SUMPRODUCT((Besatzung!$B$11:$B$22&lt;&gt;"")*(Besatzung!$F$11:$F$22="x")*(IF(Besatzung!$C$11:$C$22="",Besatzung!$B$5,Besatzung!$C$11:$C$22)&lt;=B89)*(IF(Besatzung!$D$11:$D$22="",Besatzung!$B$6,Besatzung!$D$11:$D$22)&gt;=B89)),1)),IF(I89="An Bord",(((Besatzung!$B$21&lt;&gt;"")*IF(B89="",1,(IF(Besatzung!$C$21="",Besatzung!$B$5,Besatzung!$C$21)&lt;=B89)*(IF(Besatzung!$D$21="",Besatzung!$B$6,Besatzung!$D$21)&gt;=B89)))*((G89-IFERROR(H89,0))/IFERROR(SUMPRODUCT((Besatzung!$B$11:$B$22&lt;&gt;"")*(IF(Besatzung!$C$11:$C$22="",Besatzung!$B$5,Besatzung!$C$11:$C$22)&lt;=B89)*(IF(Besatzung!$D$11:$D$22="",Besatzung!$B$6,Besatzung!$D$11:$D$22)&gt;=B89)),1)+(Besatzung!$F$21="x")*IFERROR(H89,0)/IFERROR(SUMPRODUCT((Besatzung!$B$11:$B$22&lt;&gt;"")*(Besatzung!$F$11:$F$22="x")*(IF(Besatzung!$C$11:$C$22="",Besatzung!$B$5,Besatzung!$C$11:$C$22)&lt;=B89)*(IF(Besatzung!$D$11:$D$22="",Besatzung!$B$6,Besatzung!$D$11:$D$22)&gt;=B89)),1))),IF(I89="Individuell",((T89="x")*((G89-IFERROR(H89,0))/IFERROR(COUNTIF(J89:U89,"x"),1)+(Besatzung!$F$21="x")*IFERROR(H89,0)/IFERROR(SUMPRODUCT((J89:U89="x")*(Besatzung!$F$11:$F$22="x")),1))),(IF(COUNTIF(J89:U89,"x")=0,IF(Besatzung!$B$21&lt;&gt;"",1,0),(T89="x"))*(G89-IFERROR(H89,0))/IFERROR(IF(COUNTIF(J89:U89,"x")=0,COUNTA(Besatzung!$B$11:$B$22),COUNTIF(J89:U89,"x")),1)+IF(COUNTIF(J89:U89,"x")=0,(Besatzung!$F$21="x"),(T89="x")*(Besatzung!$F$21="x"))*IFERROR(H89,0)/IFERROR(IF(COUNTIF(J89:U89,"x")=0,SUMPRODUCT((Besatzung!$B$11:$B$22&lt;&gt;"")*(Besatzung!$F$11:$F$22="x")),SUMPRODUCT((J89:U89="x")*(Besatzung!$F$11:$F$22="x"))),1))))),0))))</f>
        <v/>
      </c>
      <c r="AG89" s="247">
        <f>IF(C89="Gutschrift","",IF(G89="","",IF(Besatzung!$B$22="","",IFERROR(IF(I89="Zeitanteilig",(Besatzung!$G$22*(G89-IFERROR(H89,0))+((Besatzung!$B$22&lt;&gt;"")*IF(B89="",1,(IF(Besatzung!$C$22="",Besatzung!$B$5,Besatzung!$C$22)&lt;=B89)*(IF(Besatzung!$D$22="",Besatzung!$B$6,Besatzung!$D$22)&gt;=B89)))*(Besatzung!$F$22="x")*IFERROR(H89,0)/IFERROR(SUMPRODUCT((Besatzung!$B$11:$B$22&lt;&gt;"")*(Besatzung!$F$11:$F$22="x")*(IF(Besatzung!$C$11:$C$22="",Besatzung!$B$5,Besatzung!$C$11:$C$22)&lt;=B89)*(IF(Besatzung!$D$11:$D$22="",Besatzung!$B$6,Besatzung!$D$11:$D$22)&gt;=B89)),1)),IF(I89="An Bord",(((Besatzung!$B$22&lt;&gt;"")*IF(B89="",1,(IF(Besatzung!$C$22="",Besatzung!$B$5,Besatzung!$C$22)&lt;=B89)*(IF(Besatzung!$D$22="",Besatzung!$B$6,Besatzung!$D$22)&gt;=B89)))*((G89-IFERROR(H89,0))/IFERROR(SUMPRODUCT((Besatzung!$B$11:$B$22&lt;&gt;"")*(IF(Besatzung!$C$11:$C$22="",Besatzung!$B$5,Besatzung!$C$11:$C$22)&lt;=B89)*(IF(Besatzung!$D$11:$D$22="",Besatzung!$B$6,Besatzung!$D$11:$D$22)&gt;=B89)),1)+(Besatzung!$F$22="x")*IFERROR(H89,0)/IFERROR(SUMPRODUCT((Besatzung!$B$11:$B$22&lt;&gt;"")*(Besatzung!$F$11:$F$22="x")*(IF(Besatzung!$C$11:$C$22="",Besatzung!$B$5,Besatzung!$C$11:$C$22)&lt;=B89)*(IF(Besatzung!$D$11:$D$22="",Besatzung!$B$6,Besatzung!$D$11:$D$22)&gt;=B89)),1))),IF(I89="Individuell",((U89="x")*((G89-IFERROR(H89,0))/IFERROR(COUNTIF(J89:U89,"x"),1)+(Besatzung!$F$22="x")*IFERROR(H89,0)/IFERROR(SUMPRODUCT((J89:U89="x")*(Besatzung!$F$11:$F$22="x")),1))),(IF(COUNTIF(J89:U89,"x")=0,IF(Besatzung!$B$22&lt;&gt;"",1,0),(U89="x"))*(G89-IFERROR(H89,0))/IFERROR(IF(COUNTIF(J89:U89,"x")=0,COUNTA(Besatzung!$B$11:$B$22),COUNTIF(J89:U89,"x")),1)+IF(COUNTIF(J89:U89,"x")=0,(Besatzung!$F$22="x"),(U89="x")*(Besatzung!$F$22="x"))*IFERROR(H89,0)/IFERROR(IF(COUNTIF(J89:U89,"x")=0,SUMPRODUCT((Besatzung!$B$11:$B$22&lt;&gt;"")*(Besatzung!$F$11:$F$22="x")),SUMPRODUCT((J89:U89="x")*(Besatzung!$F$11:$F$22="x"))),1))))),0))))</f>
        <v/>
      </c>
      <c r="AH89" s="248" t="n"/>
      <c r="AI89" s="248" t="n"/>
    </row>
    <row r="90" ht="21.75" customHeight="1" s="154">
      <c r="A90" s="238">
        <f>IF(AND(D90="",C90=""),"",87)</f>
        <v/>
      </c>
      <c r="B90" s="199" t="n"/>
      <c r="C90" s="239" t="n"/>
      <c r="D90" s="240" t="n"/>
      <c r="E90" s="241" t="n"/>
      <c r="F90" s="242" t="n"/>
      <c r="G90" s="243" t="n"/>
      <c r="H90" s="244" t="n"/>
      <c r="I90" s="245" t="n"/>
      <c r="J90" s="246" t="n"/>
      <c r="K90" s="246" t="n"/>
      <c r="L90" s="246" t="n"/>
      <c r="M90" s="246" t="n"/>
      <c r="N90" s="246" t="n"/>
      <c r="O90" s="246" t="n"/>
      <c r="P90" s="246" t="n"/>
      <c r="Q90" s="246" t="n"/>
      <c r="R90" s="246" t="n"/>
      <c r="S90" s="246" t="n"/>
      <c r="T90" s="246" t="n"/>
      <c r="U90" s="246" t="n"/>
      <c r="V90" s="247">
        <f>IF(C90="Gutschrift","",IF(G90="","",IF(Besatzung!$B$11="","",IFERROR(IF(I90="Zeitanteilig",(Besatzung!$G$11*(G90-IFERROR(H90,0))+((Besatzung!$B$11&lt;&gt;"")*IF(B90="",1,(IF(Besatzung!$C$11="",Besatzung!$B$5,Besatzung!$C$11)&lt;=B90)*(IF(Besatzung!$D$11="",Besatzung!$B$6,Besatzung!$D$11)&gt;=B90)))*(Besatzung!$F$11="x")*IFERROR(H90,0)/IFERROR(SUMPRODUCT((Besatzung!$B$11:$B$22&lt;&gt;"")*(Besatzung!$F$11:$F$22="x")*(IF(Besatzung!$C$11:$C$22="",Besatzung!$B$5,Besatzung!$C$11:$C$22)&lt;=B90)*(IF(Besatzung!$D$11:$D$22="",Besatzung!$B$6,Besatzung!$D$11:$D$22)&gt;=B90)),1)),IF(I90="An Bord",(((Besatzung!$B$11&lt;&gt;"")*IF(B90="",1,(IF(Besatzung!$C$11="",Besatzung!$B$5,Besatzung!$C$11)&lt;=B90)*(IF(Besatzung!$D$11="",Besatzung!$B$6,Besatzung!$D$11)&gt;=B90)))*((G90-IFERROR(H90,0))/IFERROR(SUMPRODUCT((Besatzung!$B$11:$B$22&lt;&gt;"")*(IF(Besatzung!$C$11:$C$22="",Besatzung!$B$5,Besatzung!$C$11:$C$22)&lt;=B90)*(IF(Besatzung!$D$11:$D$22="",Besatzung!$B$6,Besatzung!$D$11:$D$22)&gt;=B90)),1)+(Besatzung!$F$11="x")*IFERROR(H90,0)/IFERROR(SUMPRODUCT((Besatzung!$B$11:$B$22&lt;&gt;"")*(Besatzung!$F$11:$F$22="x")*(IF(Besatzung!$C$11:$C$22="",Besatzung!$B$5,Besatzung!$C$11:$C$22)&lt;=B90)*(IF(Besatzung!$D$11:$D$22="",Besatzung!$B$6,Besatzung!$D$11:$D$22)&gt;=B90)),1))),IF(I90="Individuell",((J90="x")*((G90-IFERROR(H90,0))/IFERROR(COUNTIF(J90:U90,"x"),1)+(Besatzung!$F$11="x")*IFERROR(H90,0)/IFERROR(SUMPRODUCT((J90:U90="x")*(Besatzung!$F$11:$F$22="x")),1))),(IF(COUNTIF(J90:U90,"x")=0,IF(Besatzung!$B$11&lt;&gt;"",1,0),(J90="x"))*(G90-IFERROR(H90,0))/IFERROR(IF(COUNTIF(J90:U90,"x")=0,COUNTA(Besatzung!$B$11:$B$22),COUNTIF(J90:U90,"x")),1)+IF(COUNTIF(J90:U90,"x")=0,(Besatzung!$F$11="x"),(J90="x")*(Besatzung!$F$11="x"))*IFERROR(H90,0)/IFERROR(IF(COUNTIF(J90:U90,"x")=0,SUMPRODUCT((Besatzung!$B$11:$B$22&lt;&gt;"")*(Besatzung!$F$11:$F$22="x")),SUMPRODUCT((J90:U90="x")*(Besatzung!$F$11:$F$22="x"))),1))))),0))))</f>
        <v/>
      </c>
      <c r="W90" s="247">
        <f>IF(C90="Gutschrift","",IF(G90="","",IF(Besatzung!$B$12="","",IFERROR(IF(I90="Zeitanteilig",(Besatzung!$G$12*(G90-IFERROR(H90,0))+((Besatzung!$B$12&lt;&gt;"")*IF(B90="",1,(IF(Besatzung!$C$12="",Besatzung!$B$5,Besatzung!$C$12)&lt;=B90)*(IF(Besatzung!$D$12="",Besatzung!$B$6,Besatzung!$D$12)&gt;=B90)))*(Besatzung!$F$12="x")*IFERROR(H90,0)/IFERROR(SUMPRODUCT((Besatzung!$B$11:$B$22&lt;&gt;"")*(Besatzung!$F$11:$F$22="x")*(IF(Besatzung!$C$11:$C$22="",Besatzung!$B$5,Besatzung!$C$11:$C$22)&lt;=B90)*(IF(Besatzung!$D$11:$D$22="",Besatzung!$B$6,Besatzung!$D$11:$D$22)&gt;=B90)),1)),IF(I90="An Bord",(((Besatzung!$B$12&lt;&gt;"")*IF(B90="",1,(IF(Besatzung!$C$12="",Besatzung!$B$5,Besatzung!$C$12)&lt;=B90)*(IF(Besatzung!$D$12="",Besatzung!$B$6,Besatzung!$D$12)&gt;=B90)))*((G90-IFERROR(H90,0))/IFERROR(SUMPRODUCT((Besatzung!$B$11:$B$22&lt;&gt;"")*(IF(Besatzung!$C$11:$C$22="",Besatzung!$B$5,Besatzung!$C$11:$C$22)&lt;=B90)*(IF(Besatzung!$D$11:$D$22="",Besatzung!$B$6,Besatzung!$D$11:$D$22)&gt;=B90)),1)+(Besatzung!$F$12="x")*IFERROR(H90,0)/IFERROR(SUMPRODUCT((Besatzung!$B$11:$B$22&lt;&gt;"")*(Besatzung!$F$11:$F$22="x")*(IF(Besatzung!$C$11:$C$22="",Besatzung!$B$5,Besatzung!$C$11:$C$22)&lt;=B90)*(IF(Besatzung!$D$11:$D$22="",Besatzung!$B$6,Besatzung!$D$11:$D$22)&gt;=B90)),1))),IF(I90="Individuell",((K90="x")*((G90-IFERROR(H90,0))/IFERROR(COUNTIF(J90:U90,"x"),1)+(Besatzung!$F$12="x")*IFERROR(H90,0)/IFERROR(SUMPRODUCT((J90:U90="x")*(Besatzung!$F$11:$F$22="x")),1))),(IF(COUNTIF(J90:U90,"x")=0,IF(Besatzung!$B$12&lt;&gt;"",1,0),(K90="x"))*(G90-IFERROR(H90,0))/IFERROR(IF(COUNTIF(J90:U90,"x")=0,COUNTA(Besatzung!$B$11:$B$22),COUNTIF(J90:U90,"x")),1)+IF(COUNTIF(J90:U90,"x")=0,(Besatzung!$F$12="x"),(K90="x")*(Besatzung!$F$12="x"))*IFERROR(H90,0)/IFERROR(IF(COUNTIF(J90:U90,"x")=0,SUMPRODUCT((Besatzung!$B$11:$B$22&lt;&gt;"")*(Besatzung!$F$11:$F$22="x")),SUMPRODUCT((J90:U90="x")*(Besatzung!$F$11:$F$22="x"))),1))))),0))))</f>
        <v/>
      </c>
      <c r="X90" s="247">
        <f>IF(C90="Gutschrift","",IF(G90="","",IF(Besatzung!$B$13="","",IFERROR(IF(I90="Zeitanteilig",(Besatzung!$G$13*(G90-IFERROR(H90,0))+((Besatzung!$B$13&lt;&gt;"")*IF(B90="",1,(IF(Besatzung!$C$13="",Besatzung!$B$5,Besatzung!$C$13)&lt;=B90)*(IF(Besatzung!$D$13="",Besatzung!$B$6,Besatzung!$D$13)&gt;=B90)))*(Besatzung!$F$13="x")*IFERROR(H90,0)/IFERROR(SUMPRODUCT((Besatzung!$B$11:$B$22&lt;&gt;"")*(Besatzung!$F$11:$F$22="x")*(IF(Besatzung!$C$11:$C$22="",Besatzung!$B$5,Besatzung!$C$11:$C$22)&lt;=B90)*(IF(Besatzung!$D$11:$D$22="",Besatzung!$B$6,Besatzung!$D$11:$D$22)&gt;=B90)),1)),IF(I90="An Bord",(((Besatzung!$B$13&lt;&gt;"")*IF(B90="",1,(IF(Besatzung!$C$13="",Besatzung!$B$5,Besatzung!$C$13)&lt;=B90)*(IF(Besatzung!$D$13="",Besatzung!$B$6,Besatzung!$D$13)&gt;=B90)))*((G90-IFERROR(H90,0))/IFERROR(SUMPRODUCT((Besatzung!$B$11:$B$22&lt;&gt;"")*(IF(Besatzung!$C$11:$C$22="",Besatzung!$B$5,Besatzung!$C$11:$C$22)&lt;=B90)*(IF(Besatzung!$D$11:$D$22="",Besatzung!$B$6,Besatzung!$D$11:$D$22)&gt;=B90)),1)+(Besatzung!$F$13="x")*IFERROR(H90,0)/IFERROR(SUMPRODUCT((Besatzung!$B$11:$B$22&lt;&gt;"")*(Besatzung!$F$11:$F$22="x")*(IF(Besatzung!$C$11:$C$22="",Besatzung!$B$5,Besatzung!$C$11:$C$22)&lt;=B90)*(IF(Besatzung!$D$11:$D$22="",Besatzung!$B$6,Besatzung!$D$11:$D$22)&gt;=B90)),1))),IF(I90="Individuell",((K90="x")*((G90-IFERROR(H90,0))/IFERROR(COUNTIF(J90:U90,"x"),1)+(Besatzung!$F$13="x")*IFERROR(H90,0)/IFERROR(SUMPRODUCT((J90:U90="x")*(Besatzung!$F$11:$F$22="x")),1))),(IF(COUNTIF(J90:U90,"x")=0,IF(Besatzung!$B$13&lt;&gt;"",1,0),(K90="x"))*(G90-IFERROR(H90,0))/IFERROR(IF(COUNTIF(J90:U90,"x")=0,COUNTA(Besatzung!$B$11:$B$22),COUNTIF(J90:U90,"x")),1)+IF(COUNTIF(J90:U90,"x")=0,(Besatzung!$F$13="x"),(K90="x")*(Besatzung!$F$13="x"))*IFERROR(H90,0)/IFERROR(IF(COUNTIF(J90:U90,"x")=0,SUMPRODUCT((Besatzung!$B$11:$B$22&lt;&gt;"")*(Besatzung!$F$11:$F$22="x")),SUMPRODUCT((J90:U90="x")*(Besatzung!$F$11:$F$22="x"))),1))))),0))))</f>
        <v/>
      </c>
      <c r="Y90" s="247">
        <f>IF(C90="Gutschrift","",IF(G90="","",IF(Besatzung!$B$14="","",IFERROR(IF(I90="Zeitanteilig",(Besatzung!$G$14*(G90-IFERROR(H90,0))+((Besatzung!$B$14&lt;&gt;"")*IF(B90="",1,(IF(Besatzung!$C$14="",Besatzung!$B$5,Besatzung!$C$14)&lt;=B90)*(IF(Besatzung!$D$14="",Besatzung!$B$6,Besatzung!$D$14)&gt;=B90)))*(Besatzung!$F$14="x")*IFERROR(H90,0)/IFERROR(SUMPRODUCT((Besatzung!$B$11:$B$22&lt;&gt;"")*(Besatzung!$F$11:$F$22="x")*(IF(Besatzung!$C$11:$C$22="",Besatzung!$B$5,Besatzung!$C$11:$C$22)&lt;=B90)*(IF(Besatzung!$D$11:$D$22="",Besatzung!$B$6,Besatzung!$D$11:$D$22)&gt;=B90)),1)),IF(I90="An Bord",(((Besatzung!$B$14&lt;&gt;"")*IF(B90="",1,(IF(Besatzung!$C$14="",Besatzung!$B$5,Besatzung!$C$14)&lt;=B90)*(IF(Besatzung!$D$14="",Besatzung!$B$6,Besatzung!$D$14)&gt;=B90)))*((G90-IFERROR(H90,0))/IFERROR(SUMPRODUCT((Besatzung!$B$11:$B$22&lt;&gt;"")*(IF(Besatzung!$C$11:$C$22="",Besatzung!$B$5,Besatzung!$C$11:$C$22)&lt;=B90)*(IF(Besatzung!$D$11:$D$22="",Besatzung!$B$6,Besatzung!$D$11:$D$22)&gt;=B90)),1)+(Besatzung!$F$14="x")*IFERROR(H90,0)/IFERROR(SUMPRODUCT((Besatzung!$B$11:$B$22&lt;&gt;"")*(Besatzung!$F$11:$F$22="x")*(IF(Besatzung!$C$11:$C$22="",Besatzung!$B$5,Besatzung!$C$11:$C$22)&lt;=B90)*(IF(Besatzung!$D$11:$D$22="",Besatzung!$B$6,Besatzung!$D$11:$D$22)&gt;=B90)),1))),IF(I90="Individuell",((M90="x")*((G90-IFERROR(H90,0))/IFERROR(COUNTIF(J90:U90,"x"),1)+(Besatzung!$F$14="x")*IFERROR(H90,0)/IFERROR(SUMPRODUCT((J90:U90="x")*(Besatzung!$F$11:$F$22="x")),1))),(IF(COUNTIF(J90:U90,"x")=0,IF(Besatzung!$B$14&lt;&gt;"",1,0),(M90="x"))*(G90-IFERROR(H90,0))/IFERROR(IF(COUNTIF(J90:U90,"x")=0,COUNTA(Besatzung!$B$11:$B$22),COUNTIF(J90:U90,"x")),1)+IF(COUNTIF(J90:U90,"x")=0,(Besatzung!$F$14="x"),(M90="x")*(Besatzung!$F$14="x"))*IFERROR(H90,0)/IFERROR(IF(COUNTIF(J90:U90,"x")=0,SUMPRODUCT((Besatzung!$B$11:$B$22&lt;&gt;"")*(Besatzung!$F$11:$F$22="x")),SUMPRODUCT((J90:U90="x")*(Besatzung!$F$11:$F$22="x"))),1))))),0))))</f>
        <v/>
      </c>
      <c r="Z90" s="247">
        <f>IF(C90="Gutschrift","",IF(G90="","",IF(Besatzung!$B$13="","",IFERROR(IF(I90="Zeitanteilig",(Besatzung!$G$15*(G90-IFERROR(H90,0))+((Besatzung!$B$13&lt;&gt;"")*IF(B90="",1,(IF(Besatzung!$C$15="",Besatzung!$B$5,Besatzung!$C$15)&lt;=B90)*(IF(Besatzung!$D$15="",Besatzung!$B$6,Besatzung!$D$15)&gt;=B90)))*(Besatzung!$F$15="x")*IFERROR(H90,0)/IFERROR(SUMPRODUCT((Besatzung!$B$11:$B$22&lt;&gt;"")*(Besatzung!$F$11:$F$22="x")*(IF(Besatzung!$C$11:$C$22="",Besatzung!$B$5,Besatzung!$C$11:$C$22)&lt;=B90)*(IF(Besatzung!$D$11:$D$22="",Besatzung!$B$6,Besatzung!$D$11:$D$22)&gt;=B90)),1)),IF(I90="An Bord",(((Besatzung!$B$13&lt;&gt;"")*IF(B90="",1,(IF(Besatzung!$C$15="",Besatzung!$B$5,Besatzung!$C$15)&lt;=B90)*(IF(Besatzung!$D$15="",Besatzung!$B$6,Besatzung!$D$15)&gt;=B90)))*((G90-IFERROR(H90,0))/IFERROR(SUMPRODUCT((Besatzung!$B$11:$B$22&lt;&gt;"")*(IF(Besatzung!$C$11:$C$22="",Besatzung!$B$5,Besatzung!$C$11:$C$22)&lt;=B90)*(IF(Besatzung!$D$11:$D$22="",Besatzung!$B$6,Besatzung!$D$11:$D$22)&gt;=B90)),1)+(Besatzung!$F$15="x")*IFERROR(H90,0)/IFERROR(SUMPRODUCT((Besatzung!$B$11:$B$22&lt;&gt;"")*(Besatzung!$F$11:$F$22="x")*(IF(Besatzung!$C$11:$C$22="",Besatzung!$B$5,Besatzung!$C$11:$C$22)&lt;=B90)*(IF(Besatzung!$D$11:$D$22="",Besatzung!$B$6,Besatzung!$D$11:$D$22)&gt;=B90)),1))),IF(I90="Individuell",((N90="x")*((G90-IFERROR(H90,0))/IFERROR(COUNTIF(J90:U90,"x"),1)+(Besatzung!$F$15="x")*IFERROR(H90,0)/IFERROR(SUMPRODUCT((J90:U90="x")*(Besatzung!$F$11:$F$22="x")),1))),(IF(COUNTIF(J90:U90,"x")=0,IF(Besatzung!$B$13&lt;&gt;"",1,0),(N90="x"))*(G90-IFERROR(H90,0))/IFERROR(IF(COUNTIF(J90:U90,"x")=0,COUNTA(Besatzung!$B$11:$B$22),COUNTIF(J90:U90,"x")),1)+IF(COUNTIF(J90:U90,"x")=0,(Besatzung!$F$15="x"),(N90="x")*(Besatzung!$F$15="x"))*IFERROR(H90,0)/IFERROR(IF(COUNTIF(J90:U90,"x")=0,SUMPRODUCT((Besatzung!$B$11:$B$22&lt;&gt;"")*(Besatzung!$F$11:$F$22="x")),SUMPRODUCT((J90:U90="x")*(Besatzung!$F$11:$F$22="x"))),1))))),0))))</f>
        <v/>
      </c>
      <c r="AA90" s="247">
        <f>IF(C90="Gutschrift","",IF(G90="","",IF(Besatzung!$B$15="","",IFERROR(IF(I90="Zeitanteilig",(Besatzung!$G$16*(G90-IFERROR(H90,0))+((Besatzung!$B$15&lt;&gt;"")*IF(B90="",1,(IF(Besatzung!$C$16="",Besatzung!$B$5,Besatzung!$C$16)&lt;=B90)*(IF(Besatzung!$D$16="",Besatzung!$B$6,Besatzung!$D$16)&gt;=B90)))*(Besatzung!$F$16="x")*IFERROR(H90,0)/IFERROR(SUMPRODUCT((Besatzung!$B$11:$B$22&lt;&gt;"")*(Besatzung!$F$11:$F$22="x")*(IF(Besatzung!$C$11:$C$22="",Besatzung!$B$5,Besatzung!$C$11:$C$22)&lt;=B90)*(IF(Besatzung!$D$11:$D$22="",Besatzung!$B$6,Besatzung!$D$11:$D$22)&gt;=B90)),1)),IF(I90="An Bord",(((Besatzung!$B$15&lt;&gt;"")*IF(B90="",1,(IF(Besatzung!$C$16="",Besatzung!$B$5,Besatzung!$C$16)&lt;=B90)*(IF(Besatzung!$D$16="",Besatzung!$B$6,Besatzung!$D$16)&gt;=B90)))*((G90-IFERROR(H90,0))/IFERROR(SUMPRODUCT((Besatzung!$B$11:$B$22&lt;&gt;"")*(IF(Besatzung!$C$11:$C$22="",Besatzung!$B$5,Besatzung!$C$11:$C$22)&lt;=B90)*(IF(Besatzung!$D$11:$D$22="",Besatzung!$B$6,Besatzung!$D$11:$D$22)&gt;=B90)),1)+(Besatzung!$F$16="x")*IFERROR(H90,0)/IFERROR(SUMPRODUCT((Besatzung!$B$11:$B$22&lt;&gt;"")*(Besatzung!$F$11:$F$22="x")*(IF(Besatzung!$C$11:$C$22="",Besatzung!$B$5,Besatzung!$C$11:$C$22)&lt;=B90)*(IF(Besatzung!$D$11:$D$22="",Besatzung!$B$6,Besatzung!$D$11:$D$22)&gt;=B90)),1))),IF(I90="Individuell",((O90="x")*((G90-IFERROR(H90,0))/IFERROR(COUNTIF(J90:U90,"x"),1)+(Besatzung!$F$16="x")*IFERROR(H90,0)/IFERROR(SUMPRODUCT((J90:U90="x")*(Besatzung!$F$11:$F$22="x")),1))),(IF(COUNTIF(J90:U90,"x")=0,IF(Besatzung!$B$15&lt;&gt;"",1,0),(O90="x"))*(G90-IFERROR(H90,0))/IFERROR(IF(COUNTIF(J90:U90,"x")=0,COUNTA(Besatzung!$B$11:$B$22),COUNTIF(J90:U90,"x")),1)+IF(COUNTIF(J90:U90,"x")=0,(Besatzung!$F$16="x"),(O90="x")*(Besatzung!$F$16="x"))*IFERROR(H90,0)/IFERROR(IF(COUNTIF(J90:U90,"x")=0,SUMPRODUCT((Besatzung!$B$11:$B$22&lt;&gt;"")*(Besatzung!$F$11:$F$22="x")),SUMPRODUCT((J90:U90="x")*(Besatzung!$F$11:$F$22="x"))),1))))),0))))</f>
        <v/>
      </c>
      <c r="AB90" s="247">
        <f>IF(C90="Gutschrift","",IF(G90="","",IF(Besatzung!$B$17="","",IFERROR(IF(I90="Zeitanteilig",(Besatzung!$G$17*(G90-IFERROR(H90,0))+((Besatzung!$B$17&lt;&gt;"")*IF(B90="",1,(IF(Besatzung!$C$17="",Besatzung!$B$5,Besatzung!$C$17)&lt;=B90)*(IF(Besatzung!$D$17="",Besatzung!$B$6,Besatzung!$D$17)&gt;=B90)))*(Besatzung!$F$17="x")*IFERROR(H90,0)/IFERROR(SUMPRODUCT((Besatzung!$B$11:$B$22&lt;&gt;"")*(Besatzung!$F$11:$F$22="x")*(IF(Besatzung!$C$11:$C$22="",Besatzung!$B$5,Besatzung!$C$11:$C$22)&lt;=B90)*(IF(Besatzung!$D$11:$D$22="",Besatzung!$B$6,Besatzung!$D$11:$D$22)&gt;=B90)),1)),IF(I90="An Bord",(((Besatzung!$B$17&lt;&gt;"")*IF(B90="",1,(IF(Besatzung!$C$17="",Besatzung!$B$5,Besatzung!$C$17)&lt;=B90)*(IF(Besatzung!$D$17="",Besatzung!$B$6,Besatzung!$D$17)&gt;=B90)))*((G90-IFERROR(H90,0))/IFERROR(SUMPRODUCT((Besatzung!$B$11:$B$22&lt;&gt;"")*(IF(Besatzung!$C$11:$C$22="",Besatzung!$B$5,Besatzung!$C$11:$C$22)&lt;=B90)*(IF(Besatzung!$D$11:$D$22="",Besatzung!$B$6,Besatzung!$D$11:$D$22)&gt;=B90)),1)+(Besatzung!$F$17="x")*IFERROR(H90,0)/IFERROR(SUMPRODUCT((Besatzung!$B$11:$B$22&lt;&gt;"")*(Besatzung!$F$11:$F$22="x")*(IF(Besatzung!$C$11:$C$22="",Besatzung!$B$5,Besatzung!$C$11:$C$22)&lt;=B90)*(IF(Besatzung!$D$11:$D$22="",Besatzung!$B$6,Besatzung!$D$11:$D$22)&gt;=B90)),1))),IF(I90="Individuell",((P90="x")*((G90-IFERROR(H90,0))/IFERROR(COUNTIF(J90:U90,"x"),1)+(Besatzung!$F$17="x")*IFERROR(H90,0)/IFERROR(SUMPRODUCT((J90:U90="x")*(Besatzung!$F$11:$F$22="x")),1))),(IF(COUNTIF(J90:U90,"x")=0,IF(Besatzung!$B$17&lt;&gt;"",1,0),(P90="x"))*(G90-IFERROR(H90,0))/IFERROR(IF(COUNTIF(J90:U90,"x")=0,COUNTA(Besatzung!$B$11:$B$22),COUNTIF(J90:U90,"x")),1)+IF(COUNTIF(J90:U90,"x")=0,(Besatzung!$F$17="x"),(P90="x")*(Besatzung!$F$17="x"))*IFERROR(H90,0)/IFERROR(IF(COUNTIF(J90:U90,"x")=0,SUMPRODUCT((Besatzung!$B$11:$B$22&lt;&gt;"")*(Besatzung!$F$11:$F$22="x")),SUMPRODUCT((J90:U90="x")*(Besatzung!$F$11:$F$22="x"))),1))))),0))))</f>
        <v/>
      </c>
      <c r="AC90" s="247">
        <f>IF(C90="Gutschrift","",IF(G90="","",IF(Besatzung!$B$18="","",IFERROR(IF(I90="Zeitanteilig",(Besatzung!$G$18*(G90-IFERROR(H90,0))+((Besatzung!$B$18&lt;&gt;"")*IF(B90="",1,(IF(Besatzung!$C$18="",Besatzung!$B$5,Besatzung!$C$18)&lt;=B90)*(IF(Besatzung!$D$18="",Besatzung!$B$6,Besatzung!$D$18)&gt;=B90)))*(Besatzung!$F$18="x")*IFERROR(H90,0)/IFERROR(SUMPRODUCT((Besatzung!$B$11:$B$22&lt;&gt;"")*(Besatzung!$F$11:$F$22="x")*(IF(Besatzung!$C$11:$C$22="",Besatzung!$B$5,Besatzung!$C$11:$C$22)&lt;=B90)*(IF(Besatzung!$D$11:$D$22="",Besatzung!$B$6,Besatzung!$D$11:$D$22)&gt;=B90)),1)),IF(I90="An Bord",(((Besatzung!$B$18&lt;&gt;"")*IF(B90="",1,(IF(Besatzung!$C$18="",Besatzung!$B$5,Besatzung!$C$18)&lt;=B90)*(IF(Besatzung!$D$18="",Besatzung!$B$6,Besatzung!$D$18)&gt;=B90)))*((G90-IFERROR(H90,0))/IFERROR(SUMPRODUCT((Besatzung!$B$11:$B$22&lt;&gt;"")*(IF(Besatzung!$C$11:$C$22="",Besatzung!$B$5,Besatzung!$C$11:$C$22)&lt;=B90)*(IF(Besatzung!$D$11:$D$22="",Besatzung!$B$6,Besatzung!$D$11:$D$22)&gt;=B90)),1)+(Besatzung!$F$18="x")*IFERROR(H90,0)/IFERROR(SUMPRODUCT((Besatzung!$B$11:$B$22&lt;&gt;"")*(Besatzung!$F$11:$F$22="x")*(IF(Besatzung!$C$11:$C$22="",Besatzung!$B$5,Besatzung!$C$11:$C$22)&lt;=B90)*(IF(Besatzung!$D$11:$D$22="",Besatzung!$B$6,Besatzung!$D$11:$D$22)&gt;=B90)),1))),IF(I90="Individuell",((Q90="x")*((G90-IFERROR(H90,0))/IFERROR(COUNTIF(J90:U90,"x"),1)+(Besatzung!$F$18="x")*IFERROR(H90,0)/IFERROR(SUMPRODUCT((J90:U90="x")*(Besatzung!$F$11:$F$22="x")),1))),(IF(COUNTIF(J90:U90,"x")=0,IF(Besatzung!$B$18&lt;&gt;"",1,0),(Q90="x"))*(G90-IFERROR(H90,0))/IFERROR(IF(COUNTIF(J90:U90,"x")=0,COUNTA(Besatzung!$B$11:$B$22),COUNTIF(J90:U90,"x")),1)+IF(COUNTIF(J90:U90,"x")=0,(Besatzung!$F$18="x"),(Q90="x")*(Besatzung!$F$18="x"))*IFERROR(H90,0)/IFERROR(IF(COUNTIF(J90:U90,"x")=0,SUMPRODUCT((Besatzung!$B$11:$B$22&lt;&gt;"")*(Besatzung!$F$11:$F$22="x")),SUMPRODUCT((J90:U90="x")*(Besatzung!$F$11:$F$22="x"))),1))))),0))))</f>
        <v/>
      </c>
      <c r="AD90" s="247">
        <f>IF(C90="Gutschrift","",IF(G90="","",IF(Besatzung!$B$19="","",IFERROR(IF(I90="Zeitanteilig",(Besatzung!$G$19*(G90-IFERROR(H90,0))+((Besatzung!$B$19&lt;&gt;"")*IF(B90="",1,(IF(Besatzung!$C$19="",Besatzung!$B$5,Besatzung!$C$19)&lt;=B90)*(IF(Besatzung!$D$19="",Besatzung!$B$6,Besatzung!$D$19)&gt;=B90)))*(Besatzung!$F$19="x")*IFERROR(H90,0)/IFERROR(SUMPRODUCT((Besatzung!$B$11:$B$22&lt;&gt;"")*(Besatzung!$F$11:$F$22="x")*(IF(Besatzung!$C$11:$C$22="",Besatzung!$B$5,Besatzung!$C$11:$C$22)&lt;=B90)*(IF(Besatzung!$D$11:$D$22="",Besatzung!$B$6,Besatzung!$D$11:$D$22)&gt;=B90)),1)),IF(I90="An Bord",(((Besatzung!$B$19&lt;&gt;"")*IF(B90="",1,(IF(Besatzung!$C$19="",Besatzung!$B$5,Besatzung!$C$19)&lt;=B90)*(IF(Besatzung!$D$19="",Besatzung!$B$6,Besatzung!$D$19)&gt;=B90)))*((G90-IFERROR(H90,0))/IFERROR(SUMPRODUCT((Besatzung!$B$11:$B$22&lt;&gt;"")*(IF(Besatzung!$C$11:$C$22="",Besatzung!$B$5,Besatzung!$C$11:$C$22)&lt;=B90)*(IF(Besatzung!$D$11:$D$22="",Besatzung!$B$6,Besatzung!$D$11:$D$22)&gt;=B90)),1)+(Besatzung!$F$19="x")*IFERROR(H90,0)/IFERROR(SUMPRODUCT((Besatzung!$B$11:$B$22&lt;&gt;"")*(Besatzung!$F$11:$F$22="x")*(IF(Besatzung!$C$11:$C$22="",Besatzung!$B$5,Besatzung!$C$11:$C$22)&lt;=B90)*(IF(Besatzung!$D$11:$D$22="",Besatzung!$B$6,Besatzung!$D$11:$D$22)&gt;=B90)),1))),IF(I90="Individuell",((R90="x")*((G90-IFERROR(H90,0))/IFERROR(COUNTIF(J90:U90,"x"),1)+(Besatzung!$F$19="x")*IFERROR(H90,0)/IFERROR(SUMPRODUCT((J90:U90="x")*(Besatzung!$F$11:$F$22="x")),1))),(IF(COUNTIF(J90:U90,"x")=0,IF(Besatzung!$B$19&lt;&gt;"",1,0),(R90="x"))*(G90-IFERROR(H90,0))/IFERROR(IF(COUNTIF(J90:U90,"x")=0,COUNTA(Besatzung!$B$11:$B$22),COUNTIF(J90:U90,"x")),1)+IF(COUNTIF(J90:U90,"x")=0,(Besatzung!$F$19="x"),(R90="x")*(Besatzung!$F$19="x"))*IFERROR(H90,0)/IFERROR(IF(COUNTIF(J90:U90,"x")=0,SUMPRODUCT((Besatzung!$B$11:$B$22&lt;&gt;"")*(Besatzung!$F$11:$F$22="x")),SUMPRODUCT((J90:U90="x")*(Besatzung!$F$11:$F$22="x"))),1))))),0))))</f>
        <v/>
      </c>
      <c r="AE90" s="247">
        <f>IF(C90="Gutschrift","",IF(G90="","",IF(Besatzung!$B$20="","",IFERROR(IF(I90="Zeitanteilig",(Besatzung!$G$20*(G90-IFERROR(H90,0))+((Besatzung!$B$20&lt;&gt;"")*IF(B90="",1,(IF(Besatzung!$C$20="",Besatzung!$B$5,Besatzung!$C$20)&lt;=B90)*(IF(Besatzung!$D$20="",Besatzung!$B$6,Besatzung!$D$20)&gt;=B90)))*(Besatzung!$F$20="x")*IFERROR(H90,0)/IFERROR(SUMPRODUCT((Besatzung!$B$11:$B$22&lt;&gt;"")*(Besatzung!$F$11:$F$22="x")*(IF(Besatzung!$C$11:$C$22="",Besatzung!$B$5,Besatzung!$C$11:$C$22)&lt;=B90)*(IF(Besatzung!$D$11:$D$22="",Besatzung!$B$6,Besatzung!$D$11:$D$22)&gt;=B90)),1)),IF(I90="An Bord",(((Besatzung!$B$20&lt;&gt;"")*IF(B90="",1,(IF(Besatzung!$C$20="",Besatzung!$B$5,Besatzung!$C$20)&lt;=B90)*(IF(Besatzung!$D$20="",Besatzung!$B$6,Besatzung!$D$20)&gt;=B90)))*((G90-IFERROR(H90,0))/IFERROR(SUMPRODUCT((Besatzung!$B$11:$B$22&lt;&gt;"")*(IF(Besatzung!$C$11:$C$22="",Besatzung!$B$5,Besatzung!$C$11:$C$22)&lt;=B90)*(IF(Besatzung!$D$11:$D$22="",Besatzung!$B$6,Besatzung!$D$11:$D$22)&gt;=B90)),1)+(Besatzung!$F$20="x")*IFERROR(H90,0)/IFERROR(SUMPRODUCT((Besatzung!$B$11:$B$22&lt;&gt;"")*(Besatzung!$F$11:$F$22="x")*(IF(Besatzung!$C$11:$C$22="",Besatzung!$B$5,Besatzung!$C$11:$C$22)&lt;=B90)*(IF(Besatzung!$D$11:$D$22="",Besatzung!$B$6,Besatzung!$D$11:$D$22)&gt;=B90)),1))),IF(I90="Individuell",((S90="x")*((G90-IFERROR(H90,0))/IFERROR(COUNTIF(J90:U90,"x"),1)+(Besatzung!$F$20="x")*IFERROR(H90,0)/IFERROR(SUMPRODUCT((J90:U90="x")*(Besatzung!$F$11:$F$22="x")),1))),(IF(COUNTIF(J90:U90,"x")=0,IF(Besatzung!$B$20&lt;&gt;"",1,0),(S90="x"))*(G90-IFERROR(H90,0))/IFERROR(IF(COUNTIF(J90:U90,"x")=0,COUNTA(Besatzung!$B$11:$B$22),COUNTIF(J90:U90,"x")),1)+IF(COUNTIF(J90:U90,"x")=0,(Besatzung!$F$20="x"),(S90="x")*(Besatzung!$F$20="x"))*IFERROR(H90,0)/IFERROR(IF(COUNTIF(J90:U90,"x")=0,SUMPRODUCT((Besatzung!$B$11:$B$22&lt;&gt;"")*(Besatzung!$F$11:$F$22="x")),SUMPRODUCT((J90:U90="x")*(Besatzung!$F$11:$F$22="x"))),1))))),0))))</f>
        <v/>
      </c>
      <c r="AF90" s="247">
        <f>IF(C90="Gutschrift","",IF(G90="","",IF(Besatzung!$B$21="","",IFERROR(IF(I90="Zeitanteilig",(Besatzung!$G$21*(G90-IFERROR(H90,0))+((Besatzung!$B$21&lt;&gt;"")*IF(B90="",1,(IF(Besatzung!$C$21="",Besatzung!$B$5,Besatzung!$C$21)&lt;=B90)*(IF(Besatzung!$D$21="",Besatzung!$B$6,Besatzung!$D$21)&gt;=B90)))*(Besatzung!$F$21="x")*IFERROR(H90,0)/IFERROR(SUMPRODUCT((Besatzung!$B$11:$B$22&lt;&gt;"")*(Besatzung!$F$11:$F$22="x")*(IF(Besatzung!$C$11:$C$22="",Besatzung!$B$5,Besatzung!$C$11:$C$22)&lt;=B90)*(IF(Besatzung!$D$11:$D$22="",Besatzung!$B$6,Besatzung!$D$11:$D$22)&gt;=B90)),1)),IF(I90="An Bord",(((Besatzung!$B$21&lt;&gt;"")*IF(B90="",1,(IF(Besatzung!$C$21="",Besatzung!$B$5,Besatzung!$C$21)&lt;=B90)*(IF(Besatzung!$D$21="",Besatzung!$B$6,Besatzung!$D$21)&gt;=B90)))*((G90-IFERROR(H90,0))/IFERROR(SUMPRODUCT((Besatzung!$B$11:$B$22&lt;&gt;"")*(IF(Besatzung!$C$11:$C$22="",Besatzung!$B$5,Besatzung!$C$11:$C$22)&lt;=B90)*(IF(Besatzung!$D$11:$D$22="",Besatzung!$B$6,Besatzung!$D$11:$D$22)&gt;=B90)),1)+(Besatzung!$F$21="x")*IFERROR(H90,0)/IFERROR(SUMPRODUCT((Besatzung!$B$11:$B$22&lt;&gt;"")*(Besatzung!$F$11:$F$22="x")*(IF(Besatzung!$C$11:$C$22="",Besatzung!$B$5,Besatzung!$C$11:$C$22)&lt;=B90)*(IF(Besatzung!$D$11:$D$22="",Besatzung!$B$6,Besatzung!$D$11:$D$22)&gt;=B90)),1))),IF(I90="Individuell",((T90="x")*((G90-IFERROR(H90,0))/IFERROR(COUNTIF(J90:U90,"x"),1)+(Besatzung!$F$21="x")*IFERROR(H90,0)/IFERROR(SUMPRODUCT((J90:U90="x")*(Besatzung!$F$11:$F$22="x")),1))),(IF(COUNTIF(J90:U90,"x")=0,IF(Besatzung!$B$21&lt;&gt;"",1,0),(T90="x"))*(G90-IFERROR(H90,0))/IFERROR(IF(COUNTIF(J90:U90,"x")=0,COUNTA(Besatzung!$B$11:$B$22),COUNTIF(J90:U90,"x")),1)+IF(COUNTIF(J90:U90,"x")=0,(Besatzung!$F$21="x"),(T90="x")*(Besatzung!$F$21="x"))*IFERROR(H90,0)/IFERROR(IF(COUNTIF(J90:U90,"x")=0,SUMPRODUCT((Besatzung!$B$11:$B$22&lt;&gt;"")*(Besatzung!$F$11:$F$22="x")),SUMPRODUCT((J90:U90="x")*(Besatzung!$F$11:$F$22="x"))),1))))),0))))</f>
        <v/>
      </c>
      <c r="AG90" s="247">
        <f>IF(C90="Gutschrift","",IF(G90="","",IF(Besatzung!$B$22="","",IFERROR(IF(I90="Zeitanteilig",(Besatzung!$G$22*(G90-IFERROR(H90,0))+((Besatzung!$B$22&lt;&gt;"")*IF(B90="",1,(IF(Besatzung!$C$22="",Besatzung!$B$5,Besatzung!$C$22)&lt;=B90)*(IF(Besatzung!$D$22="",Besatzung!$B$6,Besatzung!$D$22)&gt;=B90)))*(Besatzung!$F$22="x")*IFERROR(H90,0)/IFERROR(SUMPRODUCT((Besatzung!$B$11:$B$22&lt;&gt;"")*(Besatzung!$F$11:$F$22="x")*(IF(Besatzung!$C$11:$C$22="",Besatzung!$B$5,Besatzung!$C$11:$C$22)&lt;=B90)*(IF(Besatzung!$D$11:$D$22="",Besatzung!$B$6,Besatzung!$D$11:$D$22)&gt;=B90)),1)),IF(I90="An Bord",(((Besatzung!$B$22&lt;&gt;"")*IF(B90="",1,(IF(Besatzung!$C$22="",Besatzung!$B$5,Besatzung!$C$22)&lt;=B90)*(IF(Besatzung!$D$22="",Besatzung!$B$6,Besatzung!$D$22)&gt;=B90)))*((G90-IFERROR(H90,0))/IFERROR(SUMPRODUCT((Besatzung!$B$11:$B$22&lt;&gt;"")*(IF(Besatzung!$C$11:$C$22="",Besatzung!$B$5,Besatzung!$C$11:$C$22)&lt;=B90)*(IF(Besatzung!$D$11:$D$22="",Besatzung!$B$6,Besatzung!$D$11:$D$22)&gt;=B90)),1)+(Besatzung!$F$22="x")*IFERROR(H90,0)/IFERROR(SUMPRODUCT((Besatzung!$B$11:$B$22&lt;&gt;"")*(Besatzung!$F$11:$F$22="x")*(IF(Besatzung!$C$11:$C$22="",Besatzung!$B$5,Besatzung!$C$11:$C$22)&lt;=B90)*(IF(Besatzung!$D$11:$D$22="",Besatzung!$B$6,Besatzung!$D$11:$D$22)&gt;=B90)),1))),IF(I90="Individuell",((U90="x")*((G90-IFERROR(H90,0))/IFERROR(COUNTIF(J90:U90,"x"),1)+(Besatzung!$F$22="x")*IFERROR(H90,0)/IFERROR(SUMPRODUCT((J90:U90="x")*(Besatzung!$F$11:$F$22="x")),1))),(IF(COUNTIF(J90:U90,"x")=0,IF(Besatzung!$B$22&lt;&gt;"",1,0),(U90="x"))*(G90-IFERROR(H90,0))/IFERROR(IF(COUNTIF(J90:U90,"x")=0,COUNTA(Besatzung!$B$11:$B$22),COUNTIF(J90:U90,"x")),1)+IF(COUNTIF(J90:U90,"x")=0,(Besatzung!$F$22="x"),(U90="x")*(Besatzung!$F$22="x"))*IFERROR(H90,0)/IFERROR(IF(COUNTIF(J90:U90,"x")=0,SUMPRODUCT((Besatzung!$B$11:$B$22&lt;&gt;"")*(Besatzung!$F$11:$F$22="x")),SUMPRODUCT((J90:U90="x")*(Besatzung!$F$11:$F$22="x"))),1))))),0))))</f>
        <v/>
      </c>
      <c r="AH90" s="248" t="n"/>
      <c r="AI90" s="248" t="n"/>
    </row>
    <row r="91" ht="21.75" customHeight="1" s="154">
      <c r="A91" s="238">
        <f>IF(AND(D91="",C91=""),"",88)</f>
        <v/>
      </c>
      <c r="B91" s="206" t="n"/>
      <c r="C91" s="249" t="n"/>
      <c r="D91" s="250" t="n"/>
      <c r="E91" s="251" t="n"/>
      <c r="F91" s="252" t="n"/>
      <c r="G91" s="253" t="n"/>
      <c r="H91" s="254" t="n"/>
      <c r="I91" s="255" t="n"/>
      <c r="J91" s="256" t="n"/>
      <c r="K91" s="256" t="n"/>
      <c r="L91" s="256" t="n"/>
      <c r="M91" s="256" t="n"/>
      <c r="N91" s="256" t="n"/>
      <c r="O91" s="256" t="n"/>
      <c r="P91" s="256" t="n"/>
      <c r="Q91" s="256" t="n"/>
      <c r="R91" s="256" t="n"/>
      <c r="S91" s="256" t="n"/>
      <c r="T91" s="256" t="n"/>
      <c r="U91" s="256" t="n"/>
      <c r="V91" s="247">
        <f>IF(C91="Gutschrift","",IF(G91="","",IF(Besatzung!$B$11="","",IFERROR(IF(I91="Zeitanteilig",(Besatzung!$G$11*(G91-IFERROR(H91,0))+((Besatzung!$B$11&lt;&gt;"")*IF(B91="",1,(IF(Besatzung!$C$11="",Besatzung!$B$5,Besatzung!$C$11)&lt;=B91)*(IF(Besatzung!$D$11="",Besatzung!$B$6,Besatzung!$D$11)&gt;=B91)))*(Besatzung!$F$11="x")*IFERROR(H91,0)/IFERROR(SUMPRODUCT((Besatzung!$B$11:$B$22&lt;&gt;"")*(Besatzung!$F$11:$F$22="x")*(IF(Besatzung!$C$11:$C$22="",Besatzung!$B$5,Besatzung!$C$11:$C$22)&lt;=B91)*(IF(Besatzung!$D$11:$D$22="",Besatzung!$B$6,Besatzung!$D$11:$D$22)&gt;=B91)),1)),IF(I91="An Bord",(((Besatzung!$B$11&lt;&gt;"")*IF(B91="",1,(IF(Besatzung!$C$11="",Besatzung!$B$5,Besatzung!$C$11)&lt;=B91)*(IF(Besatzung!$D$11="",Besatzung!$B$6,Besatzung!$D$11)&gt;=B91)))*((G91-IFERROR(H91,0))/IFERROR(SUMPRODUCT((Besatzung!$B$11:$B$22&lt;&gt;"")*(IF(Besatzung!$C$11:$C$22="",Besatzung!$B$5,Besatzung!$C$11:$C$22)&lt;=B91)*(IF(Besatzung!$D$11:$D$22="",Besatzung!$B$6,Besatzung!$D$11:$D$22)&gt;=B91)),1)+(Besatzung!$F$11="x")*IFERROR(H91,0)/IFERROR(SUMPRODUCT((Besatzung!$B$11:$B$22&lt;&gt;"")*(Besatzung!$F$11:$F$22="x")*(IF(Besatzung!$C$11:$C$22="",Besatzung!$B$5,Besatzung!$C$11:$C$22)&lt;=B91)*(IF(Besatzung!$D$11:$D$22="",Besatzung!$B$6,Besatzung!$D$11:$D$22)&gt;=B91)),1))),IF(I91="Individuell",((J91="x")*((G91-IFERROR(H91,0))/IFERROR(COUNTIF(J91:U91,"x"),1)+(Besatzung!$F$11="x")*IFERROR(H91,0)/IFERROR(SUMPRODUCT((J91:U91="x")*(Besatzung!$F$11:$F$22="x")),1))),(IF(COUNTIF(J91:U91,"x")=0,IF(Besatzung!$B$11&lt;&gt;"",1,0),(J91="x"))*(G91-IFERROR(H91,0))/IFERROR(IF(COUNTIF(J91:U91,"x")=0,COUNTA(Besatzung!$B$11:$B$22),COUNTIF(J91:U91,"x")),1)+IF(COUNTIF(J91:U91,"x")=0,(Besatzung!$F$11="x"),(J91="x")*(Besatzung!$F$11="x"))*IFERROR(H91,0)/IFERROR(IF(COUNTIF(J91:U91,"x")=0,SUMPRODUCT((Besatzung!$B$11:$B$22&lt;&gt;"")*(Besatzung!$F$11:$F$22="x")),SUMPRODUCT((J91:U91="x")*(Besatzung!$F$11:$F$22="x"))),1))))),0))))</f>
        <v/>
      </c>
      <c r="W91" s="247">
        <f>IF(C91="Gutschrift","",IF(G91="","",IF(Besatzung!$B$12="","",IFERROR(IF(I91="Zeitanteilig",(Besatzung!$G$12*(G91-IFERROR(H91,0))+((Besatzung!$B$12&lt;&gt;"")*IF(B91="",1,(IF(Besatzung!$C$12="",Besatzung!$B$5,Besatzung!$C$12)&lt;=B91)*(IF(Besatzung!$D$12="",Besatzung!$B$6,Besatzung!$D$12)&gt;=B91)))*(Besatzung!$F$12="x")*IFERROR(H91,0)/IFERROR(SUMPRODUCT((Besatzung!$B$11:$B$22&lt;&gt;"")*(Besatzung!$F$11:$F$22="x")*(IF(Besatzung!$C$11:$C$22="",Besatzung!$B$5,Besatzung!$C$11:$C$22)&lt;=B91)*(IF(Besatzung!$D$11:$D$22="",Besatzung!$B$6,Besatzung!$D$11:$D$22)&gt;=B91)),1)),IF(I91="An Bord",(((Besatzung!$B$12&lt;&gt;"")*IF(B91="",1,(IF(Besatzung!$C$12="",Besatzung!$B$5,Besatzung!$C$12)&lt;=B91)*(IF(Besatzung!$D$12="",Besatzung!$B$6,Besatzung!$D$12)&gt;=B91)))*((G91-IFERROR(H91,0))/IFERROR(SUMPRODUCT((Besatzung!$B$11:$B$22&lt;&gt;"")*(IF(Besatzung!$C$11:$C$22="",Besatzung!$B$5,Besatzung!$C$11:$C$22)&lt;=B91)*(IF(Besatzung!$D$11:$D$22="",Besatzung!$B$6,Besatzung!$D$11:$D$22)&gt;=B91)),1)+(Besatzung!$F$12="x")*IFERROR(H91,0)/IFERROR(SUMPRODUCT((Besatzung!$B$11:$B$22&lt;&gt;"")*(Besatzung!$F$11:$F$22="x")*(IF(Besatzung!$C$11:$C$22="",Besatzung!$B$5,Besatzung!$C$11:$C$22)&lt;=B91)*(IF(Besatzung!$D$11:$D$22="",Besatzung!$B$6,Besatzung!$D$11:$D$22)&gt;=B91)),1))),IF(I91="Individuell",((K91="x")*((G91-IFERROR(H91,0))/IFERROR(COUNTIF(J91:U91,"x"),1)+(Besatzung!$F$12="x")*IFERROR(H91,0)/IFERROR(SUMPRODUCT((J91:U91="x")*(Besatzung!$F$11:$F$22="x")),1))),(IF(COUNTIF(J91:U91,"x")=0,IF(Besatzung!$B$12&lt;&gt;"",1,0),(K91="x"))*(G91-IFERROR(H91,0))/IFERROR(IF(COUNTIF(J91:U91,"x")=0,COUNTA(Besatzung!$B$11:$B$22),COUNTIF(J91:U91,"x")),1)+IF(COUNTIF(J91:U91,"x")=0,(Besatzung!$F$12="x"),(K91="x")*(Besatzung!$F$12="x"))*IFERROR(H91,0)/IFERROR(IF(COUNTIF(J91:U91,"x")=0,SUMPRODUCT((Besatzung!$B$11:$B$22&lt;&gt;"")*(Besatzung!$F$11:$F$22="x")),SUMPRODUCT((J91:U91="x")*(Besatzung!$F$11:$F$22="x"))),1))))),0))))</f>
        <v/>
      </c>
      <c r="X91" s="247">
        <f>IF(C91="Gutschrift","",IF(G91="","",IF(Besatzung!$B$13="","",IFERROR(IF(I91="Zeitanteilig",(Besatzung!$G$13*(G91-IFERROR(H91,0))+((Besatzung!$B$13&lt;&gt;"")*IF(B91="",1,(IF(Besatzung!$C$13="",Besatzung!$B$5,Besatzung!$C$13)&lt;=B91)*(IF(Besatzung!$D$13="",Besatzung!$B$6,Besatzung!$D$13)&gt;=B91)))*(Besatzung!$F$13="x")*IFERROR(H91,0)/IFERROR(SUMPRODUCT((Besatzung!$B$11:$B$22&lt;&gt;"")*(Besatzung!$F$11:$F$22="x")*(IF(Besatzung!$C$11:$C$22="",Besatzung!$B$5,Besatzung!$C$11:$C$22)&lt;=B91)*(IF(Besatzung!$D$11:$D$22="",Besatzung!$B$6,Besatzung!$D$11:$D$22)&gt;=B91)),1)),IF(I91="An Bord",(((Besatzung!$B$13&lt;&gt;"")*IF(B91="",1,(IF(Besatzung!$C$13="",Besatzung!$B$5,Besatzung!$C$13)&lt;=B91)*(IF(Besatzung!$D$13="",Besatzung!$B$6,Besatzung!$D$13)&gt;=B91)))*((G91-IFERROR(H91,0))/IFERROR(SUMPRODUCT((Besatzung!$B$11:$B$22&lt;&gt;"")*(IF(Besatzung!$C$11:$C$22="",Besatzung!$B$5,Besatzung!$C$11:$C$22)&lt;=B91)*(IF(Besatzung!$D$11:$D$22="",Besatzung!$B$6,Besatzung!$D$11:$D$22)&gt;=B91)),1)+(Besatzung!$F$13="x")*IFERROR(H91,0)/IFERROR(SUMPRODUCT((Besatzung!$B$11:$B$22&lt;&gt;"")*(Besatzung!$F$11:$F$22="x")*(IF(Besatzung!$C$11:$C$22="",Besatzung!$B$5,Besatzung!$C$11:$C$22)&lt;=B91)*(IF(Besatzung!$D$11:$D$22="",Besatzung!$B$6,Besatzung!$D$11:$D$22)&gt;=B91)),1))),IF(I91="Individuell",((K91="x")*((G91-IFERROR(H91,0))/IFERROR(COUNTIF(J91:U91,"x"),1)+(Besatzung!$F$13="x")*IFERROR(H91,0)/IFERROR(SUMPRODUCT((J91:U91="x")*(Besatzung!$F$11:$F$22="x")),1))),(IF(COUNTIF(J91:U91,"x")=0,IF(Besatzung!$B$13&lt;&gt;"",1,0),(K91="x"))*(G91-IFERROR(H91,0))/IFERROR(IF(COUNTIF(J91:U91,"x")=0,COUNTA(Besatzung!$B$11:$B$22),COUNTIF(J91:U91,"x")),1)+IF(COUNTIF(J91:U91,"x")=0,(Besatzung!$F$13="x"),(K91="x")*(Besatzung!$F$13="x"))*IFERROR(H91,0)/IFERROR(IF(COUNTIF(J91:U91,"x")=0,SUMPRODUCT((Besatzung!$B$11:$B$22&lt;&gt;"")*(Besatzung!$F$11:$F$22="x")),SUMPRODUCT((J91:U91="x")*(Besatzung!$F$11:$F$22="x"))),1))))),0))))</f>
        <v/>
      </c>
      <c r="Y91" s="247">
        <f>IF(C91="Gutschrift","",IF(G91="","",IF(Besatzung!$B$14="","",IFERROR(IF(I91="Zeitanteilig",(Besatzung!$G$14*(G91-IFERROR(H91,0))+((Besatzung!$B$14&lt;&gt;"")*IF(B91="",1,(IF(Besatzung!$C$14="",Besatzung!$B$5,Besatzung!$C$14)&lt;=B91)*(IF(Besatzung!$D$14="",Besatzung!$B$6,Besatzung!$D$14)&gt;=B91)))*(Besatzung!$F$14="x")*IFERROR(H91,0)/IFERROR(SUMPRODUCT((Besatzung!$B$11:$B$22&lt;&gt;"")*(Besatzung!$F$11:$F$22="x")*(IF(Besatzung!$C$11:$C$22="",Besatzung!$B$5,Besatzung!$C$11:$C$22)&lt;=B91)*(IF(Besatzung!$D$11:$D$22="",Besatzung!$B$6,Besatzung!$D$11:$D$22)&gt;=B91)),1)),IF(I91="An Bord",(((Besatzung!$B$14&lt;&gt;"")*IF(B91="",1,(IF(Besatzung!$C$14="",Besatzung!$B$5,Besatzung!$C$14)&lt;=B91)*(IF(Besatzung!$D$14="",Besatzung!$B$6,Besatzung!$D$14)&gt;=B91)))*((G91-IFERROR(H91,0))/IFERROR(SUMPRODUCT((Besatzung!$B$11:$B$22&lt;&gt;"")*(IF(Besatzung!$C$11:$C$22="",Besatzung!$B$5,Besatzung!$C$11:$C$22)&lt;=B91)*(IF(Besatzung!$D$11:$D$22="",Besatzung!$B$6,Besatzung!$D$11:$D$22)&gt;=B91)),1)+(Besatzung!$F$14="x")*IFERROR(H91,0)/IFERROR(SUMPRODUCT((Besatzung!$B$11:$B$22&lt;&gt;"")*(Besatzung!$F$11:$F$22="x")*(IF(Besatzung!$C$11:$C$22="",Besatzung!$B$5,Besatzung!$C$11:$C$22)&lt;=B91)*(IF(Besatzung!$D$11:$D$22="",Besatzung!$B$6,Besatzung!$D$11:$D$22)&gt;=B91)),1))),IF(I91="Individuell",((M91="x")*((G91-IFERROR(H91,0))/IFERROR(COUNTIF(J91:U91,"x"),1)+(Besatzung!$F$14="x")*IFERROR(H91,0)/IFERROR(SUMPRODUCT((J91:U91="x")*(Besatzung!$F$11:$F$22="x")),1))),(IF(COUNTIF(J91:U91,"x")=0,IF(Besatzung!$B$14&lt;&gt;"",1,0),(M91="x"))*(G91-IFERROR(H91,0))/IFERROR(IF(COUNTIF(J91:U91,"x")=0,COUNTA(Besatzung!$B$11:$B$22),COUNTIF(J91:U91,"x")),1)+IF(COUNTIF(J91:U91,"x")=0,(Besatzung!$F$14="x"),(M91="x")*(Besatzung!$F$14="x"))*IFERROR(H91,0)/IFERROR(IF(COUNTIF(J91:U91,"x")=0,SUMPRODUCT((Besatzung!$B$11:$B$22&lt;&gt;"")*(Besatzung!$F$11:$F$22="x")),SUMPRODUCT((J91:U91="x")*(Besatzung!$F$11:$F$22="x"))),1))))),0))))</f>
        <v/>
      </c>
      <c r="Z91" s="247">
        <f>IF(C91="Gutschrift","",IF(G91="","",IF(Besatzung!$B$13="","",IFERROR(IF(I91="Zeitanteilig",(Besatzung!$G$15*(G91-IFERROR(H91,0))+((Besatzung!$B$13&lt;&gt;"")*IF(B91="",1,(IF(Besatzung!$C$15="",Besatzung!$B$5,Besatzung!$C$15)&lt;=B91)*(IF(Besatzung!$D$15="",Besatzung!$B$6,Besatzung!$D$15)&gt;=B91)))*(Besatzung!$F$15="x")*IFERROR(H91,0)/IFERROR(SUMPRODUCT((Besatzung!$B$11:$B$22&lt;&gt;"")*(Besatzung!$F$11:$F$22="x")*(IF(Besatzung!$C$11:$C$22="",Besatzung!$B$5,Besatzung!$C$11:$C$22)&lt;=B91)*(IF(Besatzung!$D$11:$D$22="",Besatzung!$B$6,Besatzung!$D$11:$D$22)&gt;=B91)),1)),IF(I91="An Bord",(((Besatzung!$B$13&lt;&gt;"")*IF(B91="",1,(IF(Besatzung!$C$15="",Besatzung!$B$5,Besatzung!$C$15)&lt;=B91)*(IF(Besatzung!$D$15="",Besatzung!$B$6,Besatzung!$D$15)&gt;=B91)))*((G91-IFERROR(H91,0))/IFERROR(SUMPRODUCT((Besatzung!$B$11:$B$22&lt;&gt;"")*(IF(Besatzung!$C$11:$C$22="",Besatzung!$B$5,Besatzung!$C$11:$C$22)&lt;=B91)*(IF(Besatzung!$D$11:$D$22="",Besatzung!$B$6,Besatzung!$D$11:$D$22)&gt;=B91)),1)+(Besatzung!$F$15="x")*IFERROR(H91,0)/IFERROR(SUMPRODUCT((Besatzung!$B$11:$B$22&lt;&gt;"")*(Besatzung!$F$11:$F$22="x")*(IF(Besatzung!$C$11:$C$22="",Besatzung!$B$5,Besatzung!$C$11:$C$22)&lt;=B91)*(IF(Besatzung!$D$11:$D$22="",Besatzung!$B$6,Besatzung!$D$11:$D$22)&gt;=B91)),1))),IF(I91="Individuell",((N91="x")*((G91-IFERROR(H91,0))/IFERROR(COUNTIF(J91:U91,"x"),1)+(Besatzung!$F$15="x")*IFERROR(H91,0)/IFERROR(SUMPRODUCT((J91:U91="x")*(Besatzung!$F$11:$F$22="x")),1))),(IF(COUNTIF(J91:U91,"x")=0,IF(Besatzung!$B$13&lt;&gt;"",1,0),(N91="x"))*(G91-IFERROR(H91,0))/IFERROR(IF(COUNTIF(J91:U91,"x")=0,COUNTA(Besatzung!$B$11:$B$22),COUNTIF(J91:U91,"x")),1)+IF(COUNTIF(J91:U91,"x")=0,(Besatzung!$F$15="x"),(N91="x")*(Besatzung!$F$15="x"))*IFERROR(H91,0)/IFERROR(IF(COUNTIF(J91:U91,"x")=0,SUMPRODUCT((Besatzung!$B$11:$B$22&lt;&gt;"")*(Besatzung!$F$11:$F$22="x")),SUMPRODUCT((J91:U91="x")*(Besatzung!$F$11:$F$22="x"))),1))))),0))))</f>
        <v/>
      </c>
      <c r="AA91" s="247">
        <f>IF(C91="Gutschrift","",IF(G91="","",IF(Besatzung!$B$15="","",IFERROR(IF(I91="Zeitanteilig",(Besatzung!$G$16*(G91-IFERROR(H91,0))+((Besatzung!$B$15&lt;&gt;"")*IF(B91="",1,(IF(Besatzung!$C$16="",Besatzung!$B$5,Besatzung!$C$16)&lt;=B91)*(IF(Besatzung!$D$16="",Besatzung!$B$6,Besatzung!$D$16)&gt;=B91)))*(Besatzung!$F$16="x")*IFERROR(H91,0)/IFERROR(SUMPRODUCT((Besatzung!$B$11:$B$22&lt;&gt;"")*(Besatzung!$F$11:$F$22="x")*(IF(Besatzung!$C$11:$C$22="",Besatzung!$B$5,Besatzung!$C$11:$C$22)&lt;=B91)*(IF(Besatzung!$D$11:$D$22="",Besatzung!$B$6,Besatzung!$D$11:$D$22)&gt;=B91)),1)),IF(I91="An Bord",(((Besatzung!$B$15&lt;&gt;"")*IF(B91="",1,(IF(Besatzung!$C$16="",Besatzung!$B$5,Besatzung!$C$16)&lt;=B91)*(IF(Besatzung!$D$16="",Besatzung!$B$6,Besatzung!$D$16)&gt;=B91)))*((G91-IFERROR(H91,0))/IFERROR(SUMPRODUCT((Besatzung!$B$11:$B$22&lt;&gt;"")*(IF(Besatzung!$C$11:$C$22="",Besatzung!$B$5,Besatzung!$C$11:$C$22)&lt;=B91)*(IF(Besatzung!$D$11:$D$22="",Besatzung!$B$6,Besatzung!$D$11:$D$22)&gt;=B91)),1)+(Besatzung!$F$16="x")*IFERROR(H91,0)/IFERROR(SUMPRODUCT((Besatzung!$B$11:$B$22&lt;&gt;"")*(Besatzung!$F$11:$F$22="x")*(IF(Besatzung!$C$11:$C$22="",Besatzung!$B$5,Besatzung!$C$11:$C$22)&lt;=B91)*(IF(Besatzung!$D$11:$D$22="",Besatzung!$B$6,Besatzung!$D$11:$D$22)&gt;=B91)),1))),IF(I91="Individuell",((O91="x")*((G91-IFERROR(H91,0))/IFERROR(COUNTIF(J91:U91,"x"),1)+(Besatzung!$F$16="x")*IFERROR(H91,0)/IFERROR(SUMPRODUCT((J91:U91="x")*(Besatzung!$F$11:$F$22="x")),1))),(IF(COUNTIF(J91:U91,"x")=0,IF(Besatzung!$B$15&lt;&gt;"",1,0),(O91="x"))*(G91-IFERROR(H91,0))/IFERROR(IF(COUNTIF(J91:U91,"x")=0,COUNTA(Besatzung!$B$11:$B$22),COUNTIF(J91:U91,"x")),1)+IF(COUNTIF(J91:U91,"x")=0,(Besatzung!$F$16="x"),(O91="x")*(Besatzung!$F$16="x"))*IFERROR(H91,0)/IFERROR(IF(COUNTIF(J91:U91,"x")=0,SUMPRODUCT((Besatzung!$B$11:$B$22&lt;&gt;"")*(Besatzung!$F$11:$F$22="x")),SUMPRODUCT((J91:U91="x")*(Besatzung!$F$11:$F$22="x"))),1))))),0))))</f>
        <v/>
      </c>
      <c r="AB91" s="247">
        <f>IF(C91="Gutschrift","",IF(G91="","",IF(Besatzung!$B$17="","",IFERROR(IF(I91="Zeitanteilig",(Besatzung!$G$17*(G91-IFERROR(H91,0))+((Besatzung!$B$17&lt;&gt;"")*IF(B91="",1,(IF(Besatzung!$C$17="",Besatzung!$B$5,Besatzung!$C$17)&lt;=B91)*(IF(Besatzung!$D$17="",Besatzung!$B$6,Besatzung!$D$17)&gt;=B91)))*(Besatzung!$F$17="x")*IFERROR(H91,0)/IFERROR(SUMPRODUCT((Besatzung!$B$11:$B$22&lt;&gt;"")*(Besatzung!$F$11:$F$22="x")*(IF(Besatzung!$C$11:$C$22="",Besatzung!$B$5,Besatzung!$C$11:$C$22)&lt;=B91)*(IF(Besatzung!$D$11:$D$22="",Besatzung!$B$6,Besatzung!$D$11:$D$22)&gt;=B91)),1)),IF(I91="An Bord",(((Besatzung!$B$17&lt;&gt;"")*IF(B91="",1,(IF(Besatzung!$C$17="",Besatzung!$B$5,Besatzung!$C$17)&lt;=B91)*(IF(Besatzung!$D$17="",Besatzung!$B$6,Besatzung!$D$17)&gt;=B91)))*((G91-IFERROR(H91,0))/IFERROR(SUMPRODUCT((Besatzung!$B$11:$B$22&lt;&gt;"")*(IF(Besatzung!$C$11:$C$22="",Besatzung!$B$5,Besatzung!$C$11:$C$22)&lt;=B91)*(IF(Besatzung!$D$11:$D$22="",Besatzung!$B$6,Besatzung!$D$11:$D$22)&gt;=B91)),1)+(Besatzung!$F$17="x")*IFERROR(H91,0)/IFERROR(SUMPRODUCT((Besatzung!$B$11:$B$22&lt;&gt;"")*(Besatzung!$F$11:$F$22="x")*(IF(Besatzung!$C$11:$C$22="",Besatzung!$B$5,Besatzung!$C$11:$C$22)&lt;=B91)*(IF(Besatzung!$D$11:$D$22="",Besatzung!$B$6,Besatzung!$D$11:$D$22)&gt;=B91)),1))),IF(I91="Individuell",((P91="x")*((G91-IFERROR(H91,0))/IFERROR(COUNTIF(J91:U91,"x"),1)+(Besatzung!$F$17="x")*IFERROR(H91,0)/IFERROR(SUMPRODUCT((J91:U91="x")*(Besatzung!$F$11:$F$22="x")),1))),(IF(COUNTIF(J91:U91,"x")=0,IF(Besatzung!$B$17&lt;&gt;"",1,0),(P91="x"))*(G91-IFERROR(H91,0))/IFERROR(IF(COUNTIF(J91:U91,"x")=0,COUNTA(Besatzung!$B$11:$B$22),COUNTIF(J91:U91,"x")),1)+IF(COUNTIF(J91:U91,"x")=0,(Besatzung!$F$17="x"),(P91="x")*(Besatzung!$F$17="x"))*IFERROR(H91,0)/IFERROR(IF(COUNTIF(J91:U91,"x")=0,SUMPRODUCT((Besatzung!$B$11:$B$22&lt;&gt;"")*(Besatzung!$F$11:$F$22="x")),SUMPRODUCT((J91:U91="x")*(Besatzung!$F$11:$F$22="x"))),1))))),0))))</f>
        <v/>
      </c>
      <c r="AC91" s="247">
        <f>IF(C91="Gutschrift","",IF(G91="","",IF(Besatzung!$B$18="","",IFERROR(IF(I91="Zeitanteilig",(Besatzung!$G$18*(G91-IFERROR(H91,0))+((Besatzung!$B$18&lt;&gt;"")*IF(B91="",1,(IF(Besatzung!$C$18="",Besatzung!$B$5,Besatzung!$C$18)&lt;=B91)*(IF(Besatzung!$D$18="",Besatzung!$B$6,Besatzung!$D$18)&gt;=B91)))*(Besatzung!$F$18="x")*IFERROR(H91,0)/IFERROR(SUMPRODUCT((Besatzung!$B$11:$B$22&lt;&gt;"")*(Besatzung!$F$11:$F$22="x")*(IF(Besatzung!$C$11:$C$22="",Besatzung!$B$5,Besatzung!$C$11:$C$22)&lt;=B91)*(IF(Besatzung!$D$11:$D$22="",Besatzung!$B$6,Besatzung!$D$11:$D$22)&gt;=B91)),1)),IF(I91="An Bord",(((Besatzung!$B$18&lt;&gt;"")*IF(B91="",1,(IF(Besatzung!$C$18="",Besatzung!$B$5,Besatzung!$C$18)&lt;=B91)*(IF(Besatzung!$D$18="",Besatzung!$B$6,Besatzung!$D$18)&gt;=B91)))*((G91-IFERROR(H91,0))/IFERROR(SUMPRODUCT((Besatzung!$B$11:$B$22&lt;&gt;"")*(IF(Besatzung!$C$11:$C$22="",Besatzung!$B$5,Besatzung!$C$11:$C$22)&lt;=B91)*(IF(Besatzung!$D$11:$D$22="",Besatzung!$B$6,Besatzung!$D$11:$D$22)&gt;=B91)),1)+(Besatzung!$F$18="x")*IFERROR(H91,0)/IFERROR(SUMPRODUCT((Besatzung!$B$11:$B$22&lt;&gt;"")*(Besatzung!$F$11:$F$22="x")*(IF(Besatzung!$C$11:$C$22="",Besatzung!$B$5,Besatzung!$C$11:$C$22)&lt;=B91)*(IF(Besatzung!$D$11:$D$22="",Besatzung!$B$6,Besatzung!$D$11:$D$22)&gt;=B91)),1))),IF(I91="Individuell",((Q91="x")*((G91-IFERROR(H91,0))/IFERROR(COUNTIF(J91:U91,"x"),1)+(Besatzung!$F$18="x")*IFERROR(H91,0)/IFERROR(SUMPRODUCT((J91:U91="x")*(Besatzung!$F$11:$F$22="x")),1))),(IF(COUNTIF(J91:U91,"x")=0,IF(Besatzung!$B$18&lt;&gt;"",1,0),(Q91="x"))*(G91-IFERROR(H91,0))/IFERROR(IF(COUNTIF(J91:U91,"x")=0,COUNTA(Besatzung!$B$11:$B$22),COUNTIF(J91:U91,"x")),1)+IF(COUNTIF(J91:U91,"x")=0,(Besatzung!$F$18="x"),(Q91="x")*(Besatzung!$F$18="x"))*IFERROR(H91,0)/IFERROR(IF(COUNTIF(J91:U91,"x")=0,SUMPRODUCT((Besatzung!$B$11:$B$22&lt;&gt;"")*(Besatzung!$F$11:$F$22="x")),SUMPRODUCT((J91:U91="x")*(Besatzung!$F$11:$F$22="x"))),1))))),0))))</f>
        <v/>
      </c>
      <c r="AD91" s="247">
        <f>IF(C91="Gutschrift","",IF(G91="","",IF(Besatzung!$B$19="","",IFERROR(IF(I91="Zeitanteilig",(Besatzung!$G$19*(G91-IFERROR(H91,0))+((Besatzung!$B$19&lt;&gt;"")*IF(B91="",1,(IF(Besatzung!$C$19="",Besatzung!$B$5,Besatzung!$C$19)&lt;=B91)*(IF(Besatzung!$D$19="",Besatzung!$B$6,Besatzung!$D$19)&gt;=B91)))*(Besatzung!$F$19="x")*IFERROR(H91,0)/IFERROR(SUMPRODUCT((Besatzung!$B$11:$B$22&lt;&gt;"")*(Besatzung!$F$11:$F$22="x")*(IF(Besatzung!$C$11:$C$22="",Besatzung!$B$5,Besatzung!$C$11:$C$22)&lt;=B91)*(IF(Besatzung!$D$11:$D$22="",Besatzung!$B$6,Besatzung!$D$11:$D$22)&gt;=B91)),1)),IF(I91="An Bord",(((Besatzung!$B$19&lt;&gt;"")*IF(B91="",1,(IF(Besatzung!$C$19="",Besatzung!$B$5,Besatzung!$C$19)&lt;=B91)*(IF(Besatzung!$D$19="",Besatzung!$B$6,Besatzung!$D$19)&gt;=B91)))*((G91-IFERROR(H91,0))/IFERROR(SUMPRODUCT((Besatzung!$B$11:$B$22&lt;&gt;"")*(IF(Besatzung!$C$11:$C$22="",Besatzung!$B$5,Besatzung!$C$11:$C$22)&lt;=B91)*(IF(Besatzung!$D$11:$D$22="",Besatzung!$B$6,Besatzung!$D$11:$D$22)&gt;=B91)),1)+(Besatzung!$F$19="x")*IFERROR(H91,0)/IFERROR(SUMPRODUCT((Besatzung!$B$11:$B$22&lt;&gt;"")*(Besatzung!$F$11:$F$22="x")*(IF(Besatzung!$C$11:$C$22="",Besatzung!$B$5,Besatzung!$C$11:$C$22)&lt;=B91)*(IF(Besatzung!$D$11:$D$22="",Besatzung!$B$6,Besatzung!$D$11:$D$22)&gt;=B91)),1))),IF(I91="Individuell",((R91="x")*((G91-IFERROR(H91,0))/IFERROR(COUNTIF(J91:U91,"x"),1)+(Besatzung!$F$19="x")*IFERROR(H91,0)/IFERROR(SUMPRODUCT((J91:U91="x")*(Besatzung!$F$11:$F$22="x")),1))),(IF(COUNTIF(J91:U91,"x")=0,IF(Besatzung!$B$19&lt;&gt;"",1,0),(R91="x"))*(G91-IFERROR(H91,0))/IFERROR(IF(COUNTIF(J91:U91,"x")=0,COUNTA(Besatzung!$B$11:$B$22),COUNTIF(J91:U91,"x")),1)+IF(COUNTIF(J91:U91,"x")=0,(Besatzung!$F$19="x"),(R91="x")*(Besatzung!$F$19="x"))*IFERROR(H91,0)/IFERROR(IF(COUNTIF(J91:U91,"x")=0,SUMPRODUCT((Besatzung!$B$11:$B$22&lt;&gt;"")*(Besatzung!$F$11:$F$22="x")),SUMPRODUCT((J91:U91="x")*(Besatzung!$F$11:$F$22="x"))),1))))),0))))</f>
        <v/>
      </c>
      <c r="AE91" s="247">
        <f>IF(C91="Gutschrift","",IF(G91="","",IF(Besatzung!$B$20="","",IFERROR(IF(I91="Zeitanteilig",(Besatzung!$G$20*(G91-IFERROR(H91,0))+((Besatzung!$B$20&lt;&gt;"")*IF(B91="",1,(IF(Besatzung!$C$20="",Besatzung!$B$5,Besatzung!$C$20)&lt;=B91)*(IF(Besatzung!$D$20="",Besatzung!$B$6,Besatzung!$D$20)&gt;=B91)))*(Besatzung!$F$20="x")*IFERROR(H91,0)/IFERROR(SUMPRODUCT((Besatzung!$B$11:$B$22&lt;&gt;"")*(Besatzung!$F$11:$F$22="x")*(IF(Besatzung!$C$11:$C$22="",Besatzung!$B$5,Besatzung!$C$11:$C$22)&lt;=B91)*(IF(Besatzung!$D$11:$D$22="",Besatzung!$B$6,Besatzung!$D$11:$D$22)&gt;=B91)),1)),IF(I91="An Bord",(((Besatzung!$B$20&lt;&gt;"")*IF(B91="",1,(IF(Besatzung!$C$20="",Besatzung!$B$5,Besatzung!$C$20)&lt;=B91)*(IF(Besatzung!$D$20="",Besatzung!$B$6,Besatzung!$D$20)&gt;=B91)))*((G91-IFERROR(H91,0))/IFERROR(SUMPRODUCT((Besatzung!$B$11:$B$22&lt;&gt;"")*(IF(Besatzung!$C$11:$C$22="",Besatzung!$B$5,Besatzung!$C$11:$C$22)&lt;=B91)*(IF(Besatzung!$D$11:$D$22="",Besatzung!$B$6,Besatzung!$D$11:$D$22)&gt;=B91)),1)+(Besatzung!$F$20="x")*IFERROR(H91,0)/IFERROR(SUMPRODUCT((Besatzung!$B$11:$B$22&lt;&gt;"")*(Besatzung!$F$11:$F$22="x")*(IF(Besatzung!$C$11:$C$22="",Besatzung!$B$5,Besatzung!$C$11:$C$22)&lt;=B91)*(IF(Besatzung!$D$11:$D$22="",Besatzung!$B$6,Besatzung!$D$11:$D$22)&gt;=B91)),1))),IF(I91="Individuell",((S91="x")*((G91-IFERROR(H91,0))/IFERROR(COUNTIF(J91:U91,"x"),1)+(Besatzung!$F$20="x")*IFERROR(H91,0)/IFERROR(SUMPRODUCT((J91:U91="x")*(Besatzung!$F$11:$F$22="x")),1))),(IF(COUNTIF(J91:U91,"x")=0,IF(Besatzung!$B$20&lt;&gt;"",1,0),(S91="x"))*(G91-IFERROR(H91,0))/IFERROR(IF(COUNTIF(J91:U91,"x")=0,COUNTA(Besatzung!$B$11:$B$22),COUNTIF(J91:U91,"x")),1)+IF(COUNTIF(J91:U91,"x")=0,(Besatzung!$F$20="x"),(S91="x")*(Besatzung!$F$20="x"))*IFERROR(H91,0)/IFERROR(IF(COUNTIF(J91:U91,"x")=0,SUMPRODUCT((Besatzung!$B$11:$B$22&lt;&gt;"")*(Besatzung!$F$11:$F$22="x")),SUMPRODUCT((J91:U91="x")*(Besatzung!$F$11:$F$22="x"))),1))))),0))))</f>
        <v/>
      </c>
      <c r="AF91" s="247">
        <f>IF(C91="Gutschrift","",IF(G91="","",IF(Besatzung!$B$21="","",IFERROR(IF(I91="Zeitanteilig",(Besatzung!$G$21*(G91-IFERROR(H91,0))+((Besatzung!$B$21&lt;&gt;"")*IF(B91="",1,(IF(Besatzung!$C$21="",Besatzung!$B$5,Besatzung!$C$21)&lt;=B91)*(IF(Besatzung!$D$21="",Besatzung!$B$6,Besatzung!$D$21)&gt;=B91)))*(Besatzung!$F$21="x")*IFERROR(H91,0)/IFERROR(SUMPRODUCT((Besatzung!$B$11:$B$22&lt;&gt;"")*(Besatzung!$F$11:$F$22="x")*(IF(Besatzung!$C$11:$C$22="",Besatzung!$B$5,Besatzung!$C$11:$C$22)&lt;=B91)*(IF(Besatzung!$D$11:$D$22="",Besatzung!$B$6,Besatzung!$D$11:$D$22)&gt;=B91)),1)),IF(I91="An Bord",(((Besatzung!$B$21&lt;&gt;"")*IF(B91="",1,(IF(Besatzung!$C$21="",Besatzung!$B$5,Besatzung!$C$21)&lt;=B91)*(IF(Besatzung!$D$21="",Besatzung!$B$6,Besatzung!$D$21)&gt;=B91)))*((G91-IFERROR(H91,0))/IFERROR(SUMPRODUCT((Besatzung!$B$11:$B$22&lt;&gt;"")*(IF(Besatzung!$C$11:$C$22="",Besatzung!$B$5,Besatzung!$C$11:$C$22)&lt;=B91)*(IF(Besatzung!$D$11:$D$22="",Besatzung!$B$6,Besatzung!$D$11:$D$22)&gt;=B91)),1)+(Besatzung!$F$21="x")*IFERROR(H91,0)/IFERROR(SUMPRODUCT((Besatzung!$B$11:$B$22&lt;&gt;"")*(Besatzung!$F$11:$F$22="x")*(IF(Besatzung!$C$11:$C$22="",Besatzung!$B$5,Besatzung!$C$11:$C$22)&lt;=B91)*(IF(Besatzung!$D$11:$D$22="",Besatzung!$B$6,Besatzung!$D$11:$D$22)&gt;=B91)),1))),IF(I91="Individuell",((T91="x")*((G91-IFERROR(H91,0))/IFERROR(COUNTIF(J91:U91,"x"),1)+(Besatzung!$F$21="x")*IFERROR(H91,0)/IFERROR(SUMPRODUCT((J91:U91="x")*(Besatzung!$F$11:$F$22="x")),1))),(IF(COUNTIF(J91:U91,"x")=0,IF(Besatzung!$B$21&lt;&gt;"",1,0),(T91="x"))*(G91-IFERROR(H91,0))/IFERROR(IF(COUNTIF(J91:U91,"x")=0,COUNTA(Besatzung!$B$11:$B$22),COUNTIF(J91:U91,"x")),1)+IF(COUNTIF(J91:U91,"x")=0,(Besatzung!$F$21="x"),(T91="x")*(Besatzung!$F$21="x"))*IFERROR(H91,0)/IFERROR(IF(COUNTIF(J91:U91,"x")=0,SUMPRODUCT((Besatzung!$B$11:$B$22&lt;&gt;"")*(Besatzung!$F$11:$F$22="x")),SUMPRODUCT((J91:U91="x")*(Besatzung!$F$11:$F$22="x"))),1))))),0))))</f>
        <v/>
      </c>
      <c r="AG91" s="247">
        <f>IF(C91="Gutschrift","",IF(G91="","",IF(Besatzung!$B$22="","",IFERROR(IF(I91="Zeitanteilig",(Besatzung!$G$22*(G91-IFERROR(H91,0))+((Besatzung!$B$22&lt;&gt;"")*IF(B91="",1,(IF(Besatzung!$C$22="",Besatzung!$B$5,Besatzung!$C$22)&lt;=B91)*(IF(Besatzung!$D$22="",Besatzung!$B$6,Besatzung!$D$22)&gt;=B91)))*(Besatzung!$F$22="x")*IFERROR(H91,0)/IFERROR(SUMPRODUCT((Besatzung!$B$11:$B$22&lt;&gt;"")*(Besatzung!$F$11:$F$22="x")*(IF(Besatzung!$C$11:$C$22="",Besatzung!$B$5,Besatzung!$C$11:$C$22)&lt;=B91)*(IF(Besatzung!$D$11:$D$22="",Besatzung!$B$6,Besatzung!$D$11:$D$22)&gt;=B91)),1)),IF(I91="An Bord",(((Besatzung!$B$22&lt;&gt;"")*IF(B91="",1,(IF(Besatzung!$C$22="",Besatzung!$B$5,Besatzung!$C$22)&lt;=B91)*(IF(Besatzung!$D$22="",Besatzung!$B$6,Besatzung!$D$22)&gt;=B91)))*((G91-IFERROR(H91,0))/IFERROR(SUMPRODUCT((Besatzung!$B$11:$B$22&lt;&gt;"")*(IF(Besatzung!$C$11:$C$22="",Besatzung!$B$5,Besatzung!$C$11:$C$22)&lt;=B91)*(IF(Besatzung!$D$11:$D$22="",Besatzung!$B$6,Besatzung!$D$11:$D$22)&gt;=B91)),1)+(Besatzung!$F$22="x")*IFERROR(H91,0)/IFERROR(SUMPRODUCT((Besatzung!$B$11:$B$22&lt;&gt;"")*(Besatzung!$F$11:$F$22="x")*(IF(Besatzung!$C$11:$C$22="",Besatzung!$B$5,Besatzung!$C$11:$C$22)&lt;=B91)*(IF(Besatzung!$D$11:$D$22="",Besatzung!$B$6,Besatzung!$D$11:$D$22)&gt;=B91)),1))),IF(I91="Individuell",((U91="x")*((G91-IFERROR(H91,0))/IFERROR(COUNTIF(J91:U91,"x"),1)+(Besatzung!$F$22="x")*IFERROR(H91,0)/IFERROR(SUMPRODUCT((J91:U91="x")*(Besatzung!$F$11:$F$22="x")),1))),(IF(COUNTIF(J91:U91,"x")=0,IF(Besatzung!$B$22&lt;&gt;"",1,0),(U91="x"))*(G91-IFERROR(H91,0))/IFERROR(IF(COUNTIF(J91:U91,"x")=0,COUNTA(Besatzung!$B$11:$B$22),COUNTIF(J91:U91,"x")),1)+IF(COUNTIF(J91:U91,"x")=0,(Besatzung!$F$22="x"),(U91="x")*(Besatzung!$F$22="x"))*IFERROR(H91,0)/IFERROR(IF(COUNTIF(J91:U91,"x")=0,SUMPRODUCT((Besatzung!$B$11:$B$22&lt;&gt;"")*(Besatzung!$F$11:$F$22="x")),SUMPRODUCT((J91:U91="x")*(Besatzung!$F$11:$F$22="x"))),1))))),0))))</f>
        <v/>
      </c>
      <c r="AH91" s="248" t="n"/>
      <c r="AI91" s="248" t="n"/>
    </row>
    <row r="92" ht="21.75" customHeight="1" s="154">
      <c r="A92" s="238">
        <f>IF(AND(D92="",C92=""),"",89)</f>
        <v/>
      </c>
      <c r="B92" s="199" t="n"/>
      <c r="C92" s="239" t="n"/>
      <c r="D92" s="240" t="n"/>
      <c r="E92" s="241" t="n"/>
      <c r="F92" s="242" t="n"/>
      <c r="G92" s="243" t="n"/>
      <c r="H92" s="244" t="n"/>
      <c r="I92" s="245" t="n"/>
      <c r="J92" s="246" t="n"/>
      <c r="K92" s="246" t="n"/>
      <c r="L92" s="246" t="n"/>
      <c r="M92" s="246" t="n"/>
      <c r="N92" s="246" t="n"/>
      <c r="O92" s="246" t="n"/>
      <c r="P92" s="246" t="n"/>
      <c r="Q92" s="246" t="n"/>
      <c r="R92" s="246" t="n"/>
      <c r="S92" s="246" t="n"/>
      <c r="T92" s="246" t="n"/>
      <c r="U92" s="246" t="n"/>
      <c r="V92" s="247">
        <f>IF(C92="Gutschrift","",IF(G92="","",IF(Besatzung!$B$11="","",IFERROR(IF(I92="Zeitanteilig",(Besatzung!$G$11*(G92-IFERROR(H92,0))+((Besatzung!$B$11&lt;&gt;"")*IF(B92="",1,(IF(Besatzung!$C$11="",Besatzung!$B$5,Besatzung!$C$11)&lt;=B92)*(IF(Besatzung!$D$11="",Besatzung!$B$6,Besatzung!$D$11)&gt;=B92)))*(Besatzung!$F$11="x")*IFERROR(H92,0)/IFERROR(SUMPRODUCT((Besatzung!$B$11:$B$22&lt;&gt;"")*(Besatzung!$F$11:$F$22="x")*(IF(Besatzung!$C$11:$C$22="",Besatzung!$B$5,Besatzung!$C$11:$C$22)&lt;=B92)*(IF(Besatzung!$D$11:$D$22="",Besatzung!$B$6,Besatzung!$D$11:$D$22)&gt;=B92)),1)),IF(I92="An Bord",(((Besatzung!$B$11&lt;&gt;"")*IF(B92="",1,(IF(Besatzung!$C$11="",Besatzung!$B$5,Besatzung!$C$11)&lt;=B92)*(IF(Besatzung!$D$11="",Besatzung!$B$6,Besatzung!$D$11)&gt;=B92)))*((G92-IFERROR(H92,0))/IFERROR(SUMPRODUCT((Besatzung!$B$11:$B$22&lt;&gt;"")*(IF(Besatzung!$C$11:$C$22="",Besatzung!$B$5,Besatzung!$C$11:$C$22)&lt;=B92)*(IF(Besatzung!$D$11:$D$22="",Besatzung!$B$6,Besatzung!$D$11:$D$22)&gt;=B92)),1)+(Besatzung!$F$11="x")*IFERROR(H92,0)/IFERROR(SUMPRODUCT((Besatzung!$B$11:$B$22&lt;&gt;"")*(Besatzung!$F$11:$F$22="x")*(IF(Besatzung!$C$11:$C$22="",Besatzung!$B$5,Besatzung!$C$11:$C$22)&lt;=B92)*(IF(Besatzung!$D$11:$D$22="",Besatzung!$B$6,Besatzung!$D$11:$D$22)&gt;=B92)),1))),IF(I92="Individuell",((J92="x")*((G92-IFERROR(H92,0))/IFERROR(COUNTIF(J92:U92,"x"),1)+(Besatzung!$F$11="x")*IFERROR(H92,0)/IFERROR(SUMPRODUCT((J92:U92="x")*(Besatzung!$F$11:$F$22="x")),1))),(IF(COUNTIF(J92:U92,"x")=0,IF(Besatzung!$B$11&lt;&gt;"",1,0),(J92="x"))*(G92-IFERROR(H92,0))/IFERROR(IF(COUNTIF(J92:U92,"x")=0,COUNTA(Besatzung!$B$11:$B$22),COUNTIF(J92:U92,"x")),1)+IF(COUNTIF(J92:U92,"x")=0,(Besatzung!$F$11="x"),(J92="x")*(Besatzung!$F$11="x"))*IFERROR(H92,0)/IFERROR(IF(COUNTIF(J92:U92,"x")=0,SUMPRODUCT((Besatzung!$B$11:$B$22&lt;&gt;"")*(Besatzung!$F$11:$F$22="x")),SUMPRODUCT((J92:U92="x")*(Besatzung!$F$11:$F$22="x"))),1))))),0))))</f>
        <v/>
      </c>
      <c r="W92" s="247">
        <f>IF(C92="Gutschrift","",IF(G92="","",IF(Besatzung!$B$12="","",IFERROR(IF(I92="Zeitanteilig",(Besatzung!$G$12*(G92-IFERROR(H92,0))+((Besatzung!$B$12&lt;&gt;"")*IF(B92="",1,(IF(Besatzung!$C$12="",Besatzung!$B$5,Besatzung!$C$12)&lt;=B92)*(IF(Besatzung!$D$12="",Besatzung!$B$6,Besatzung!$D$12)&gt;=B92)))*(Besatzung!$F$12="x")*IFERROR(H92,0)/IFERROR(SUMPRODUCT((Besatzung!$B$11:$B$22&lt;&gt;"")*(Besatzung!$F$11:$F$22="x")*(IF(Besatzung!$C$11:$C$22="",Besatzung!$B$5,Besatzung!$C$11:$C$22)&lt;=B92)*(IF(Besatzung!$D$11:$D$22="",Besatzung!$B$6,Besatzung!$D$11:$D$22)&gt;=B92)),1)),IF(I92="An Bord",(((Besatzung!$B$12&lt;&gt;"")*IF(B92="",1,(IF(Besatzung!$C$12="",Besatzung!$B$5,Besatzung!$C$12)&lt;=B92)*(IF(Besatzung!$D$12="",Besatzung!$B$6,Besatzung!$D$12)&gt;=B92)))*((G92-IFERROR(H92,0))/IFERROR(SUMPRODUCT((Besatzung!$B$11:$B$22&lt;&gt;"")*(IF(Besatzung!$C$11:$C$22="",Besatzung!$B$5,Besatzung!$C$11:$C$22)&lt;=B92)*(IF(Besatzung!$D$11:$D$22="",Besatzung!$B$6,Besatzung!$D$11:$D$22)&gt;=B92)),1)+(Besatzung!$F$12="x")*IFERROR(H92,0)/IFERROR(SUMPRODUCT((Besatzung!$B$11:$B$22&lt;&gt;"")*(Besatzung!$F$11:$F$22="x")*(IF(Besatzung!$C$11:$C$22="",Besatzung!$B$5,Besatzung!$C$11:$C$22)&lt;=B92)*(IF(Besatzung!$D$11:$D$22="",Besatzung!$B$6,Besatzung!$D$11:$D$22)&gt;=B92)),1))),IF(I92="Individuell",((K92="x")*((G92-IFERROR(H92,0))/IFERROR(COUNTIF(J92:U92,"x"),1)+(Besatzung!$F$12="x")*IFERROR(H92,0)/IFERROR(SUMPRODUCT((J92:U92="x")*(Besatzung!$F$11:$F$22="x")),1))),(IF(COUNTIF(J92:U92,"x")=0,IF(Besatzung!$B$12&lt;&gt;"",1,0),(K92="x"))*(G92-IFERROR(H92,0))/IFERROR(IF(COUNTIF(J92:U92,"x")=0,COUNTA(Besatzung!$B$11:$B$22),COUNTIF(J92:U92,"x")),1)+IF(COUNTIF(J92:U92,"x")=0,(Besatzung!$F$12="x"),(K92="x")*(Besatzung!$F$12="x"))*IFERROR(H92,0)/IFERROR(IF(COUNTIF(J92:U92,"x")=0,SUMPRODUCT((Besatzung!$B$11:$B$22&lt;&gt;"")*(Besatzung!$F$11:$F$22="x")),SUMPRODUCT((J92:U92="x")*(Besatzung!$F$11:$F$22="x"))),1))))),0))))</f>
        <v/>
      </c>
      <c r="X92" s="247">
        <f>IF(C92="Gutschrift","",IF(G92="","",IF(Besatzung!$B$13="","",IFERROR(IF(I92="Zeitanteilig",(Besatzung!$G$13*(G92-IFERROR(H92,0))+((Besatzung!$B$13&lt;&gt;"")*IF(B92="",1,(IF(Besatzung!$C$13="",Besatzung!$B$5,Besatzung!$C$13)&lt;=B92)*(IF(Besatzung!$D$13="",Besatzung!$B$6,Besatzung!$D$13)&gt;=B92)))*(Besatzung!$F$13="x")*IFERROR(H92,0)/IFERROR(SUMPRODUCT((Besatzung!$B$11:$B$22&lt;&gt;"")*(Besatzung!$F$11:$F$22="x")*(IF(Besatzung!$C$11:$C$22="",Besatzung!$B$5,Besatzung!$C$11:$C$22)&lt;=B92)*(IF(Besatzung!$D$11:$D$22="",Besatzung!$B$6,Besatzung!$D$11:$D$22)&gt;=B92)),1)),IF(I92="An Bord",(((Besatzung!$B$13&lt;&gt;"")*IF(B92="",1,(IF(Besatzung!$C$13="",Besatzung!$B$5,Besatzung!$C$13)&lt;=B92)*(IF(Besatzung!$D$13="",Besatzung!$B$6,Besatzung!$D$13)&gt;=B92)))*((G92-IFERROR(H92,0))/IFERROR(SUMPRODUCT((Besatzung!$B$11:$B$22&lt;&gt;"")*(IF(Besatzung!$C$11:$C$22="",Besatzung!$B$5,Besatzung!$C$11:$C$22)&lt;=B92)*(IF(Besatzung!$D$11:$D$22="",Besatzung!$B$6,Besatzung!$D$11:$D$22)&gt;=B92)),1)+(Besatzung!$F$13="x")*IFERROR(H92,0)/IFERROR(SUMPRODUCT((Besatzung!$B$11:$B$22&lt;&gt;"")*(Besatzung!$F$11:$F$22="x")*(IF(Besatzung!$C$11:$C$22="",Besatzung!$B$5,Besatzung!$C$11:$C$22)&lt;=B92)*(IF(Besatzung!$D$11:$D$22="",Besatzung!$B$6,Besatzung!$D$11:$D$22)&gt;=B92)),1))),IF(I92="Individuell",((K92="x")*((G92-IFERROR(H92,0))/IFERROR(COUNTIF(J92:U92,"x"),1)+(Besatzung!$F$13="x")*IFERROR(H92,0)/IFERROR(SUMPRODUCT((J92:U92="x")*(Besatzung!$F$11:$F$22="x")),1))),(IF(COUNTIF(J92:U92,"x")=0,IF(Besatzung!$B$13&lt;&gt;"",1,0),(K92="x"))*(G92-IFERROR(H92,0))/IFERROR(IF(COUNTIF(J92:U92,"x")=0,COUNTA(Besatzung!$B$11:$B$22),COUNTIF(J92:U92,"x")),1)+IF(COUNTIF(J92:U92,"x")=0,(Besatzung!$F$13="x"),(K92="x")*(Besatzung!$F$13="x"))*IFERROR(H92,0)/IFERROR(IF(COUNTIF(J92:U92,"x")=0,SUMPRODUCT((Besatzung!$B$11:$B$22&lt;&gt;"")*(Besatzung!$F$11:$F$22="x")),SUMPRODUCT((J92:U92="x")*(Besatzung!$F$11:$F$22="x"))),1))))),0))))</f>
        <v/>
      </c>
      <c r="Y92" s="247">
        <f>IF(C92="Gutschrift","",IF(G92="","",IF(Besatzung!$B$14="","",IFERROR(IF(I92="Zeitanteilig",(Besatzung!$G$14*(G92-IFERROR(H92,0))+((Besatzung!$B$14&lt;&gt;"")*IF(B92="",1,(IF(Besatzung!$C$14="",Besatzung!$B$5,Besatzung!$C$14)&lt;=B92)*(IF(Besatzung!$D$14="",Besatzung!$B$6,Besatzung!$D$14)&gt;=B92)))*(Besatzung!$F$14="x")*IFERROR(H92,0)/IFERROR(SUMPRODUCT((Besatzung!$B$11:$B$22&lt;&gt;"")*(Besatzung!$F$11:$F$22="x")*(IF(Besatzung!$C$11:$C$22="",Besatzung!$B$5,Besatzung!$C$11:$C$22)&lt;=B92)*(IF(Besatzung!$D$11:$D$22="",Besatzung!$B$6,Besatzung!$D$11:$D$22)&gt;=B92)),1)),IF(I92="An Bord",(((Besatzung!$B$14&lt;&gt;"")*IF(B92="",1,(IF(Besatzung!$C$14="",Besatzung!$B$5,Besatzung!$C$14)&lt;=B92)*(IF(Besatzung!$D$14="",Besatzung!$B$6,Besatzung!$D$14)&gt;=B92)))*((G92-IFERROR(H92,0))/IFERROR(SUMPRODUCT((Besatzung!$B$11:$B$22&lt;&gt;"")*(IF(Besatzung!$C$11:$C$22="",Besatzung!$B$5,Besatzung!$C$11:$C$22)&lt;=B92)*(IF(Besatzung!$D$11:$D$22="",Besatzung!$B$6,Besatzung!$D$11:$D$22)&gt;=B92)),1)+(Besatzung!$F$14="x")*IFERROR(H92,0)/IFERROR(SUMPRODUCT((Besatzung!$B$11:$B$22&lt;&gt;"")*(Besatzung!$F$11:$F$22="x")*(IF(Besatzung!$C$11:$C$22="",Besatzung!$B$5,Besatzung!$C$11:$C$22)&lt;=B92)*(IF(Besatzung!$D$11:$D$22="",Besatzung!$B$6,Besatzung!$D$11:$D$22)&gt;=B92)),1))),IF(I92="Individuell",((M92="x")*((G92-IFERROR(H92,0))/IFERROR(COUNTIF(J92:U92,"x"),1)+(Besatzung!$F$14="x")*IFERROR(H92,0)/IFERROR(SUMPRODUCT((J92:U92="x")*(Besatzung!$F$11:$F$22="x")),1))),(IF(COUNTIF(J92:U92,"x")=0,IF(Besatzung!$B$14&lt;&gt;"",1,0),(M92="x"))*(G92-IFERROR(H92,0))/IFERROR(IF(COUNTIF(J92:U92,"x")=0,COUNTA(Besatzung!$B$11:$B$22),COUNTIF(J92:U92,"x")),1)+IF(COUNTIF(J92:U92,"x")=0,(Besatzung!$F$14="x"),(M92="x")*(Besatzung!$F$14="x"))*IFERROR(H92,0)/IFERROR(IF(COUNTIF(J92:U92,"x")=0,SUMPRODUCT((Besatzung!$B$11:$B$22&lt;&gt;"")*(Besatzung!$F$11:$F$22="x")),SUMPRODUCT((J92:U92="x")*(Besatzung!$F$11:$F$22="x"))),1))))),0))))</f>
        <v/>
      </c>
      <c r="Z92" s="247">
        <f>IF(C92="Gutschrift","",IF(G92="","",IF(Besatzung!$B$13="","",IFERROR(IF(I92="Zeitanteilig",(Besatzung!$G$15*(G92-IFERROR(H92,0))+((Besatzung!$B$13&lt;&gt;"")*IF(B92="",1,(IF(Besatzung!$C$15="",Besatzung!$B$5,Besatzung!$C$15)&lt;=B92)*(IF(Besatzung!$D$15="",Besatzung!$B$6,Besatzung!$D$15)&gt;=B92)))*(Besatzung!$F$15="x")*IFERROR(H92,0)/IFERROR(SUMPRODUCT((Besatzung!$B$11:$B$22&lt;&gt;"")*(Besatzung!$F$11:$F$22="x")*(IF(Besatzung!$C$11:$C$22="",Besatzung!$B$5,Besatzung!$C$11:$C$22)&lt;=B92)*(IF(Besatzung!$D$11:$D$22="",Besatzung!$B$6,Besatzung!$D$11:$D$22)&gt;=B92)),1)),IF(I92="An Bord",(((Besatzung!$B$13&lt;&gt;"")*IF(B92="",1,(IF(Besatzung!$C$15="",Besatzung!$B$5,Besatzung!$C$15)&lt;=B92)*(IF(Besatzung!$D$15="",Besatzung!$B$6,Besatzung!$D$15)&gt;=B92)))*((G92-IFERROR(H92,0))/IFERROR(SUMPRODUCT((Besatzung!$B$11:$B$22&lt;&gt;"")*(IF(Besatzung!$C$11:$C$22="",Besatzung!$B$5,Besatzung!$C$11:$C$22)&lt;=B92)*(IF(Besatzung!$D$11:$D$22="",Besatzung!$B$6,Besatzung!$D$11:$D$22)&gt;=B92)),1)+(Besatzung!$F$15="x")*IFERROR(H92,0)/IFERROR(SUMPRODUCT((Besatzung!$B$11:$B$22&lt;&gt;"")*(Besatzung!$F$11:$F$22="x")*(IF(Besatzung!$C$11:$C$22="",Besatzung!$B$5,Besatzung!$C$11:$C$22)&lt;=B92)*(IF(Besatzung!$D$11:$D$22="",Besatzung!$B$6,Besatzung!$D$11:$D$22)&gt;=B92)),1))),IF(I92="Individuell",((N92="x")*((G92-IFERROR(H92,0))/IFERROR(COUNTIF(J92:U92,"x"),1)+(Besatzung!$F$15="x")*IFERROR(H92,0)/IFERROR(SUMPRODUCT((J92:U92="x")*(Besatzung!$F$11:$F$22="x")),1))),(IF(COUNTIF(J92:U92,"x")=0,IF(Besatzung!$B$13&lt;&gt;"",1,0),(N92="x"))*(G92-IFERROR(H92,0))/IFERROR(IF(COUNTIF(J92:U92,"x")=0,COUNTA(Besatzung!$B$11:$B$22),COUNTIF(J92:U92,"x")),1)+IF(COUNTIF(J92:U92,"x")=0,(Besatzung!$F$15="x"),(N92="x")*(Besatzung!$F$15="x"))*IFERROR(H92,0)/IFERROR(IF(COUNTIF(J92:U92,"x")=0,SUMPRODUCT((Besatzung!$B$11:$B$22&lt;&gt;"")*(Besatzung!$F$11:$F$22="x")),SUMPRODUCT((J92:U92="x")*(Besatzung!$F$11:$F$22="x"))),1))))),0))))</f>
        <v/>
      </c>
      <c r="AA92" s="247">
        <f>IF(C92="Gutschrift","",IF(G92="","",IF(Besatzung!$B$15="","",IFERROR(IF(I92="Zeitanteilig",(Besatzung!$G$16*(G92-IFERROR(H92,0))+((Besatzung!$B$15&lt;&gt;"")*IF(B92="",1,(IF(Besatzung!$C$16="",Besatzung!$B$5,Besatzung!$C$16)&lt;=B92)*(IF(Besatzung!$D$16="",Besatzung!$B$6,Besatzung!$D$16)&gt;=B92)))*(Besatzung!$F$16="x")*IFERROR(H92,0)/IFERROR(SUMPRODUCT((Besatzung!$B$11:$B$22&lt;&gt;"")*(Besatzung!$F$11:$F$22="x")*(IF(Besatzung!$C$11:$C$22="",Besatzung!$B$5,Besatzung!$C$11:$C$22)&lt;=B92)*(IF(Besatzung!$D$11:$D$22="",Besatzung!$B$6,Besatzung!$D$11:$D$22)&gt;=B92)),1)),IF(I92="An Bord",(((Besatzung!$B$15&lt;&gt;"")*IF(B92="",1,(IF(Besatzung!$C$16="",Besatzung!$B$5,Besatzung!$C$16)&lt;=B92)*(IF(Besatzung!$D$16="",Besatzung!$B$6,Besatzung!$D$16)&gt;=B92)))*((G92-IFERROR(H92,0))/IFERROR(SUMPRODUCT((Besatzung!$B$11:$B$22&lt;&gt;"")*(IF(Besatzung!$C$11:$C$22="",Besatzung!$B$5,Besatzung!$C$11:$C$22)&lt;=B92)*(IF(Besatzung!$D$11:$D$22="",Besatzung!$B$6,Besatzung!$D$11:$D$22)&gt;=B92)),1)+(Besatzung!$F$16="x")*IFERROR(H92,0)/IFERROR(SUMPRODUCT((Besatzung!$B$11:$B$22&lt;&gt;"")*(Besatzung!$F$11:$F$22="x")*(IF(Besatzung!$C$11:$C$22="",Besatzung!$B$5,Besatzung!$C$11:$C$22)&lt;=B92)*(IF(Besatzung!$D$11:$D$22="",Besatzung!$B$6,Besatzung!$D$11:$D$22)&gt;=B92)),1))),IF(I92="Individuell",((O92="x")*((G92-IFERROR(H92,0))/IFERROR(COUNTIF(J92:U92,"x"),1)+(Besatzung!$F$16="x")*IFERROR(H92,0)/IFERROR(SUMPRODUCT((J92:U92="x")*(Besatzung!$F$11:$F$22="x")),1))),(IF(COUNTIF(J92:U92,"x")=0,IF(Besatzung!$B$15&lt;&gt;"",1,0),(O92="x"))*(G92-IFERROR(H92,0))/IFERROR(IF(COUNTIF(J92:U92,"x")=0,COUNTA(Besatzung!$B$11:$B$22),COUNTIF(J92:U92,"x")),1)+IF(COUNTIF(J92:U92,"x")=0,(Besatzung!$F$16="x"),(O92="x")*(Besatzung!$F$16="x"))*IFERROR(H92,0)/IFERROR(IF(COUNTIF(J92:U92,"x")=0,SUMPRODUCT((Besatzung!$B$11:$B$22&lt;&gt;"")*(Besatzung!$F$11:$F$22="x")),SUMPRODUCT((J92:U92="x")*(Besatzung!$F$11:$F$22="x"))),1))))),0))))</f>
        <v/>
      </c>
      <c r="AB92" s="247">
        <f>IF(C92="Gutschrift","",IF(G92="","",IF(Besatzung!$B$17="","",IFERROR(IF(I92="Zeitanteilig",(Besatzung!$G$17*(G92-IFERROR(H92,0))+((Besatzung!$B$17&lt;&gt;"")*IF(B92="",1,(IF(Besatzung!$C$17="",Besatzung!$B$5,Besatzung!$C$17)&lt;=B92)*(IF(Besatzung!$D$17="",Besatzung!$B$6,Besatzung!$D$17)&gt;=B92)))*(Besatzung!$F$17="x")*IFERROR(H92,0)/IFERROR(SUMPRODUCT((Besatzung!$B$11:$B$22&lt;&gt;"")*(Besatzung!$F$11:$F$22="x")*(IF(Besatzung!$C$11:$C$22="",Besatzung!$B$5,Besatzung!$C$11:$C$22)&lt;=B92)*(IF(Besatzung!$D$11:$D$22="",Besatzung!$B$6,Besatzung!$D$11:$D$22)&gt;=B92)),1)),IF(I92="An Bord",(((Besatzung!$B$17&lt;&gt;"")*IF(B92="",1,(IF(Besatzung!$C$17="",Besatzung!$B$5,Besatzung!$C$17)&lt;=B92)*(IF(Besatzung!$D$17="",Besatzung!$B$6,Besatzung!$D$17)&gt;=B92)))*((G92-IFERROR(H92,0))/IFERROR(SUMPRODUCT((Besatzung!$B$11:$B$22&lt;&gt;"")*(IF(Besatzung!$C$11:$C$22="",Besatzung!$B$5,Besatzung!$C$11:$C$22)&lt;=B92)*(IF(Besatzung!$D$11:$D$22="",Besatzung!$B$6,Besatzung!$D$11:$D$22)&gt;=B92)),1)+(Besatzung!$F$17="x")*IFERROR(H92,0)/IFERROR(SUMPRODUCT((Besatzung!$B$11:$B$22&lt;&gt;"")*(Besatzung!$F$11:$F$22="x")*(IF(Besatzung!$C$11:$C$22="",Besatzung!$B$5,Besatzung!$C$11:$C$22)&lt;=B92)*(IF(Besatzung!$D$11:$D$22="",Besatzung!$B$6,Besatzung!$D$11:$D$22)&gt;=B92)),1))),IF(I92="Individuell",((P92="x")*((G92-IFERROR(H92,0))/IFERROR(COUNTIF(J92:U92,"x"),1)+(Besatzung!$F$17="x")*IFERROR(H92,0)/IFERROR(SUMPRODUCT((J92:U92="x")*(Besatzung!$F$11:$F$22="x")),1))),(IF(COUNTIF(J92:U92,"x")=0,IF(Besatzung!$B$17&lt;&gt;"",1,0),(P92="x"))*(G92-IFERROR(H92,0))/IFERROR(IF(COUNTIF(J92:U92,"x")=0,COUNTA(Besatzung!$B$11:$B$22),COUNTIF(J92:U92,"x")),1)+IF(COUNTIF(J92:U92,"x")=0,(Besatzung!$F$17="x"),(P92="x")*(Besatzung!$F$17="x"))*IFERROR(H92,0)/IFERROR(IF(COUNTIF(J92:U92,"x")=0,SUMPRODUCT((Besatzung!$B$11:$B$22&lt;&gt;"")*(Besatzung!$F$11:$F$22="x")),SUMPRODUCT((J92:U92="x")*(Besatzung!$F$11:$F$22="x"))),1))))),0))))</f>
        <v/>
      </c>
      <c r="AC92" s="247">
        <f>IF(C92="Gutschrift","",IF(G92="","",IF(Besatzung!$B$18="","",IFERROR(IF(I92="Zeitanteilig",(Besatzung!$G$18*(G92-IFERROR(H92,0))+((Besatzung!$B$18&lt;&gt;"")*IF(B92="",1,(IF(Besatzung!$C$18="",Besatzung!$B$5,Besatzung!$C$18)&lt;=B92)*(IF(Besatzung!$D$18="",Besatzung!$B$6,Besatzung!$D$18)&gt;=B92)))*(Besatzung!$F$18="x")*IFERROR(H92,0)/IFERROR(SUMPRODUCT((Besatzung!$B$11:$B$22&lt;&gt;"")*(Besatzung!$F$11:$F$22="x")*(IF(Besatzung!$C$11:$C$22="",Besatzung!$B$5,Besatzung!$C$11:$C$22)&lt;=B92)*(IF(Besatzung!$D$11:$D$22="",Besatzung!$B$6,Besatzung!$D$11:$D$22)&gt;=B92)),1)),IF(I92="An Bord",(((Besatzung!$B$18&lt;&gt;"")*IF(B92="",1,(IF(Besatzung!$C$18="",Besatzung!$B$5,Besatzung!$C$18)&lt;=B92)*(IF(Besatzung!$D$18="",Besatzung!$B$6,Besatzung!$D$18)&gt;=B92)))*((G92-IFERROR(H92,0))/IFERROR(SUMPRODUCT((Besatzung!$B$11:$B$22&lt;&gt;"")*(IF(Besatzung!$C$11:$C$22="",Besatzung!$B$5,Besatzung!$C$11:$C$22)&lt;=B92)*(IF(Besatzung!$D$11:$D$22="",Besatzung!$B$6,Besatzung!$D$11:$D$22)&gt;=B92)),1)+(Besatzung!$F$18="x")*IFERROR(H92,0)/IFERROR(SUMPRODUCT((Besatzung!$B$11:$B$22&lt;&gt;"")*(Besatzung!$F$11:$F$22="x")*(IF(Besatzung!$C$11:$C$22="",Besatzung!$B$5,Besatzung!$C$11:$C$22)&lt;=B92)*(IF(Besatzung!$D$11:$D$22="",Besatzung!$B$6,Besatzung!$D$11:$D$22)&gt;=B92)),1))),IF(I92="Individuell",((Q92="x")*((G92-IFERROR(H92,0))/IFERROR(COUNTIF(J92:U92,"x"),1)+(Besatzung!$F$18="x")*IFERROR(H92,0)/IFERROR(SUMPRODUCT((J92:U92="x")*(Besatzung!$F$11:$F$22="x")),1))),(IF(COUNTIF(J92:U92,"x")=0,IF(Besatzung!$B$18&lt;&gt;"",1,0),(Q92="x"))*(G92-IFERROR(H92,0))/IFERROR(IF(COUNTIF(J92:U92,"x")=0,COUNTA(Besatzung!$B$11:$B$22),COUNTIF(J92:U92,"x")),1)+IF(COUNTIF(J92:U92,"x")=0,(Besatzung!$F$18="x"),(Q92="x")*(Besatzung!$F$18="x"))*IFERROR(H92,0)/IFERROR(IF(COUNTIF(J92:U92,"x")=0,SUMPRODUCT((Besatzung!$B$11:$B$22&lt;&gt;"")*(Besatzung!$F$11:$F$22="x")),SUMPRODUCT((J92:U92="x")*(Besatzung!$F$11:$F$22="x"))),1))))),0))))</f>
        <v/>
      </c>
      <c r="AD92" s="247">
        <f>IF(C92="Gutschrift","",IF(G92="","",IF(Besatzung!$B$19="","",IFERROR(IF(I92="Zeitanteilig",(Besatzung!$G$19*(G92-IFERROR(H92,0))+((Besatzung!$B$19&lt;&gt;"")*IF(B92="",1,(IF(Besatzung!$C$19="",Besatzung!$B$5,Besatzung!$C$19)&lt;=B92)*(IF(Besatzung!$D$19="",Besatzung!$B$6,Besatzung!$D$19)&gt;=B92)))*(Besatzung!$F$19="x")*IFERROR(H92,0)/IFERROR(SUMPRODUCT((Besatzung!$B$11:$B$22&lt;&gt;"")*(Besatzung!$F$11:$F$22="x")*(IF(Besatzung!$C$11:$C$22="",Besatzung!$B$5,Besatzung!$C$11:$C$22)&lt;=B92)*(IF(Besatzung!$D$11:$D$22="",Besatzung!$B$6,Besatzung!$D$11:$D$22)&gt;=B92)),1)),IF(I92="An Bord",(((Besatzung!$B$19&lt;&gt;"")*IF(B92="",1,(IF(Besatzung!$C$19="",Besatzung!$B$5,Besatzung!$C$19)&lt;=B92)*(IF(Besatzung!$D$19="",Besatzung!$B$6,Besatzung!$D$19)&gt;=B92)))*((G92-IFERROR(H92,0))/IFERROR(SUMPRODUCT((Besatzung!$B$11:$B$22&lt;&gt;"")*(IF(Besatzung!$C$11:$C$22="",Besatzung!$B$5,Besatzung!$C$11:$C$22)&lt;=B92)*(IF(Besatzung!$D$11:$D$22="",Besatzung!$B$6,Besatzung!$D$11:$D$22)&gt;=B92)),1)+(Besatzung!$F$19="x")*IFERROR(H92,0)/IFERROR(SUMPRODUCT((Besatzung!$B$11:$B$22&lt;&gt;"")*(Besatzung!$F$11:$F$22="x")*(IF(Besatzung!$C$11:$C$22="",Besatzung!$B$5,Besatzung!$C$11:$C$22)&lt;=B92)*(IF(Besatzung!$D$11:$D$22="",Besatzung!$B$6,Besatzung!$D$11:$D$22)&gt;=B92)),1))),IF(I92="Individuell",((R92="x")*((G92-IFERROR(H92,0))/IFERROR(COUNTIF(J92:U92,"x"),1)+(Besatzung!$F$19="x")*IFERROR(H92,0)/IFERROR(SUMPRODUCT((J92:U92="x")*(Besatzung!$F$11:$F$22="x")),1))),(IF(COUNTIF(J92:U92,"x")=0,IF(Besatzung!$B$19&lt;&gt;"",1,0),(R92="x"))*(G92-IFERROR(H92,0))/IFERROR(IF(COUNTIF(J92:U92,"x")=0,COUNTA(Besatzung!$B$11:$B$22),COUNTIF(J92:U92,"x")),1)+IF(COUNTIF(J92:U92,"x")=0,(Besatzung!$F$19="x"),(R92="x")*(Besatzung!$F$19="x"))*IFERROR(H92,0)/IFERROR(IF(COUNTIF(J92:U92,"x")=0,SUMPRODUCT((Besatzung!$B$11:$B$22&lt;&gt;"")*(Besatzung!$F$11:$F$22="x")),SUMPRODUCT((J92:U92="x")*(Besatzung!$F$11:$F$22="x"))),1))))),0))))</f>
        <v/>
      </c>
      <c r="AE92" s="247">
        <f>IF(C92="Gutschrift","",IF(G92="","",IF(Besatzung!$B$20="","",IFERROR(IF(I92="Zeitanteilig",(Besatzung!$G$20*(G92-IFERROR(H92,0))+((Besatzung!$B$20&lt;&gt;"")*IF(B92="",1,(IF(Besatzung!$C$20="",Besatzung!$B$5,Besatzung!$C$20)&lt;=B92)*(IF(Besatzung!$D$20="",Besatzung!$B$6,Besatzung!$D$20)&gt;=B92)))*(Besatzung!$F$20="x")*IFERROR(H92,0)/IFERROR(SUMPRODUCT((Besatzung!$B$11:$B$22&lt;&gt;"")*(Besatzung!$F$11:$F$22="x")*(IF(Besatzung!$C$11:$C$22="",Besatzung!$B$5,Besatzung!$C$11:$C$22)&lt;=B92)*(IF(Besatzung!$D$11:$D$22="",Besatzung!$B$6,Besatzung!$D$11:$D$22)&gt;=B92)),1)),IF(I92="An Bord",(((Besatzung!$B$20&lt;&gt;"")*IF(B92="",1,(IF(Besatzung!$C$20="",Besatzung!$B$5,Besatzung!$C$20)&lt;=B92)*(IF(Besatzung!$D$20="",Besatzung!$B$6,Besatzung!$D$20)&gt;=B92)))*((G92-IFERROR(H92,0))/IFERROR(SUMPRODUCT((Besatzung!$B$11:$B$22&lt;&gt;"")*(IF(Besatzung!$C$11:$C$22="",Besatzung!$B$5,Besatzung!$C$11:$C$22)&lt;=B92)*(IF(Besatzung!$D$11:$D$22="",Besatzung!$B$6,Besatzung!$D$11:$D$22)&gt;=B92)),1)+(Besatzung!$F$20="x")*IFERROR(H92,0)/IFERROR(SUMPRODUCT((Besatzung!$B$11:$B$22&lt;&gt;"")*(Besatzung!$F$11:$F$22="x")*(IF(Besatzung!$C$11:$C$22="",Besatzung!$B$5,Besatzung!$C$11:$C$22)&lt;=B92)*(IF(Besatzung!$D$11:$D$22="",Besatzung!$B$6,Besatzung!$D$11:$D$22)&gt;=B92)),1))),IF(I92="Individuell",((S92="x")*((G92-IFERROR(H92,0))/IFERROR(COUNTIF(J92:U92,"x"),1)+(Besatzung!$F$20="x")*IFERROR(H92,0)/IFERROR(SUMPRODUCT((J92:U92="x")*(Besatzung!$F$11:$F$22="x")),1))),(IF(COUNTIF(J92:U92,"x")=0,IF(Besatzung!$B$20&lt;&gt;"",1,0),(S92="x"))*(G92-IFERROR(H92,0))/IFERROR(IF(COUNTIF(J92:U92,"x")=0,COUNTA(Besatzung!$B$11:$B$22),COUNTIF(J92:U92,"x")),1)+IF(COUNTIF(J92:U92,"x")=0,(Besatzung!$F$20="x"),(S92="x")*(Besatzung!$F$20="x"))*IFERROR(H92,0)/IFERROR(IF(COUNTIF(J92:U92,"x")=0,SUMPRODUCT((Besatzung!$B$11:$B$22&lt;&gt;"")*(Besatzung!$F$11:$F$22="x")),SUMPRODUCT((J92:U92="x")*(Besatzung!$F$11:$F$22="x"))),1))))),0))))</f>
        <v/>
      </c>
      <c r="AF92" s="247">
        <f>IF(C92="Gutschrift","",IF(G92="","",IF(Besatzung!$B$21="","",IFERROR(IF(I92="Zeitanteilig",(Besatzung!$G$21*(G92-IFERROR(H92,0))+((Besatzung!$B$21&lt;&gt;"")*IF(B92="",1,(IF(Besatzung!$C$21="",Besatzung!$B$5,Besatzung!$C$21)&lt;=B92)*(IF(Besatzung!$D$21="",Besatzung!$B$6,Besatzung!$D$21)&gt;=B92)))*(Besatzung!$F$21="x")*IFERROR(H92,0)/IFERROR(SUMPRODUCT((Besatzung!$B$11:$B$22&lt;&gt;"")*(Besatzung!$F$11:$F$22="x")*(IF(Besatzung!$C$11:$C$22="",Besatzung!$B$5,Besatzung!$C$11:$C$22)&lt;=B92)*(IF(Besatzung!$D$11:$D$22="",Besatzung!$B$6,Besatzung!$D$11:$D$22)&gt;=B92)),1)),IF(I92="An Bord",(((Besatzung!$B$21&lt;&gt;"")*IF(B92="",1,(IF(Besatzung!$C$21="",Besatzung!$B$5,Besatzung!$C$21)&lt;=B92)*(IF(Besatzung!$D$21="",Besatzung!$B$6,Besatzung!$D$21)&gt;=B92)))*((G92-IFERROR(H92,0))/IFERROR(SUMPRODUCT((Besatzung!$B$11:$B$22&lt;&gt;"")*(IF(Besatzung!$C$11:$C$22="",Besatzung!$B$5,Besatzung!$C$11:$C$22)&lt;=B92)*(IF(Besatzung!$D$11:$D$22="",Besatzung!$B$6,Besatzung!$D$11:$D$22)&gt;=B92)),1)+(Besatzung!$F$21="x")*IFERROR(H92,0)/IFERROR(SUMPRODUCT((Besatzung!$B$11:$B$22&lt;&gt;"")*(Besatzung!$F$11:$F$22="x")*(IF(Besatzung!$C$11:$C$22="",Besatzung!$B$5,Besatzung!$C$11:$C$22)&lt;=B92)*(IF(Besatzung!$D$11:$D$22="",Besatzung!$B$6,Besatzung!$D$11:$D$22)&gt;=B92)),1))),IF(I92="Individuell",((T92="x")*((G92-IFERROR(H92,0))/IFERROR(COUNTIF(J92:U92,"x"),1)+(Besatzung!$F$21="x")*IFERROR(H92,0)/IFERROR(SUMPRODUCT((J92:U92="x")*(Besatzung!$F$11:$F$22="x")),1))),(IF(COUNTIF(J92:U92,"x")=0,IF(Besatzung!$B$21&lt;&gt;"",1,0),(T92="x"))*(G92-IFERROR(H92,0))/IFERROR(IF(COUNTIF(J92:U92,"x")=0,COUNTA(Besatzung!$B$11:$B$22),COUNTIF(J92:U92,"x")),1)+IF(COUNTIF(J92:U92,"x")=0,(Besatzung!$F$21="x"),(T92="x")*(Besatzung!$F$21="x"))*IFERROR(H92,0)/IFERROR(IF(COUNTIF(J92:U92,"x")=0,SUMPRODUCT((Besatzung!$B$11:$B$22&lt;&gt;"")*(Besatzung!$F$11:$F$22="x")),SUMPRODUCT((J92:U92="x")*(Besatzung!$F$11:$F$22="x"))),1))))),0))))</f>
        <v/>
      </c>
      <c r="AG92" s="247">
        <f>IF(C92="Gutschrift","",IF(G92="","",IF(Besatzung!$B$22="","",IFERROR(IF(I92="Zeitanteilig",(Besatzung!$G$22*(G92-IFERROR(H92,0))+((Besatzung!$B$22&lt;&gt;"")*IF(B92="",1,(IF(Besatzung!$C$22="",Besatzung!$B$5,Besatzung!$C$22)&lt;=B92)*(IF(Besatzung!$D$22="",Besatzung!$B$6,Besatzung!$D$22)&gt;=B92)))*(Besatzung!$F$22="x")*IFERROR(H92,0)/IFERROR(SUMPRODUCT((Besatzung!$B$11:$B$22&lt;&gt;"")*(Besatzung!$F$11:$F$22="x")*(IF(Besatzung!$C$11:$C$22="",Besatzung!$B$5,Besatzung!$C$11:$C$22)&lt;=B92)*(IF(Besatzung!$D$11:$D$22="",Besatzung!$B$6,Besatzung!$D$11:$D$22)&gt;=B92)),1)),IF(I92="An Bord",(((Besatzung!$B$22&lt;&gt;"")*IF(B92="",1,(IF(Besatzung!$C$22="",Besatzung!$B$5,Besatzung!$C$22)&lt;=B92)*(IF(Besatzung!$D$22="",Besatzung!$B$6,Besatzung!$D$22)&gt;=B92)))*((G92-IFERROR(H92,0))/IFERROR(SUMPRODUCT((Besatzung!$B$11:$B$22&lt;&gt;"")*(IF(Besatzung!$C$11:$C$22="",Besatzung!$B$5,Besatzung!$C$11:$C$22)&lt;=B92)*(IF(Besatzung!$D$11:$D$22="",Besatzung!$B$6,Besatzung!$D$11:$D$22)&gt;=B92)),1)+(Besatzung!$F$22="x")*IFERROR(H92,0)/IFERROR(SUMPRODUCT((Besatzung!$B$11:$B$22&lt;&gt;"")*(Besatzung!$F$11:$F$22="x")*(IF(Besatzung!$C$11:$C$22="",Besatzung!$B$5,Besatzung!$C$11:$C$22)&lt;=B92)*(IF(Besatzung!$D$11:$D$22="",Besatzung!$B$6,Besatzung!$D$11:$D$22)&gt;=B92)),1))),IF(I92="Individuell",((U92="x")*((G92-IFERROR(H92,0))/IFERROR(COUNTIF(J92:U92,"x"),1)+(Besatzung!$F$22="x")*IFERROR(H92,0)/IFERROR(SUMPRODUCT((J92:U92="x")*(Besatzung!$F$11:$F$22="x")),1))),(IF(COUNTIF(J92:U92,"x")=0,IF(Besatzung!$B$22&lt;&gt;"",1,0),(U92="x"))*(G92-IFERROR(H92,0))/IFERROR(IF(COUNTIF(J92:U92,"x")=0,COUNTA(Besatzung!$B$11:$B$22),COUNTIF(J92:U92,"x")),1)+IF(COUNTIF(J92:U92,"x")=0,(Besatzung!$F$22="x"),(U92="x")*(Besatzung!$F$22="x"))*IFERROR(H92,0)/IFERROR(IF(COUNTIF(J92:U92,"x")=0,SUMPRODUCT((Besatzung!$B$11:$B$22&lt;&gt;"")*(Besatzung!$F$11:$F$22="x")),SUMPRODUCT((J92:U92="x")*(Besatzung!$F$11:$F$22="x"))),1))))),0))))</f>
        <v/>
      </c>
      <c r="AH92" s="248" t="n"/>
      <c r="AI92" s="248" t="n"/>
    </row>
    <row r="93" ht="21.75" customHeight="1" s="154">
      <c r="A93" s="238">
        <f>IF(AND(D93="",C93=""),"",90)</f>
        <v/>
      </c>
      <c r="B93" s="206" t="n"/>
      <c r="C93" s="249" t="n"/>
      <c r="D93" s="250" t="n"/>
      <c r="E93" s="251" t="n"/>
      <c r="F93" s="252" t="n"/>
      <c r="G93" s="253" t="n"/>
      <c r="H93" s="254" t="n"/>
      <c r="I93" s="255" t="n"/>
      <c r="J93" s="256" t="n"/>
      <c r="K93" s="256" t="n"/>
      <c r="L93" s="256" t="n"/>
      <c r="M93" s="256" t="n"/>
      <c r="N93" s="256" t="n"/>
      <c r="O93" s="256" t="n"/>
      <c r="P93" s="256" t="n"/>
      <c r="Q93" s="256" t="n"/>
      <c r="R93" s="256" t="n"/>
      <c r="S93" s="256" t="n"/>
      <c r="T93" s="256" t="n"/>
      <c r="U93" s="256" t="n"/>
      <c r="V93" s="247">
        <f>IF(C93="Gutschrift","",IF(G93="","",IF(Besatzung!$B$11="","",IFERROR(IF(I93="Zeitanteilig",(Besatzung!$G$11*(G93-IFERROR(H93,0))+((Besatzung!$B$11&lt;&gt;"")*IF(B93="",1,(IF(Besatzung!$C$11="",Besatzung!$B$5,Besatzung!$C$11)&lt;=B93)*(IF(Besatzung!$D$11="",Besatzung!$B$6,Besatzung!$D$11)&gt;=B93)))*(Besatzung!$F$11="x")*IFERROR(H93,0)/IFERROR(SUMPRODUCT((Besatzung!$B$11:$B$22&lt;&gt;"")*(Besatzung!$F$11:$F$22="x")*(IF(Besatzung!$C$11:$C$22="",Besatzung!$B$5,Besatzung!$C$11:$C$22)&lt;=B93)*(IF(Besatzung!$D$11:$D$22="",Besatzung!$B$6,Besatzung!$D$11:$D$22)&gt;=B93)),1)),IF(I93="An Bord",(((Besatzung!$B$11&lt;&gt;"")*IF(B93="",1,(IF(Besatzung!$C$11="",Besatzung!$B$5,Besatzung!$C$11)&lt;=B93)*(IF(Besatzung!$D$11="",Besatzung!$B$6,Besatzung!$D$11)&gt;=B93)))*((G93-IFERROR(H93,0))/IFERROR(SUMPRODUCT((Besatzung!$B$11:$B$22&lt;&gt;"")*(IF(Besatzung!$C$11:$C$22="",Besatzung!$B$5,Besatzung!$C$11:$C$22)&lt;=B93)*(IF(Besatzung!$D$11:$D$22="",Besatzung!$B$6,Besatzung!$D$11:$D$22)&gt;=B93)),1)+(Besatzung!$F$11="x")*IFERROR(H93,0)/IFERROR(SUMPRODUCT((Besatzung!$B$11:$B$22&lt;&gt;"")*(Besatzung!$F$11:$F$22="x")*(IF(Besatzung!$C$11:$C$22="",Besatzung!$B$5,Besatzung!$C$11:$C$22)&lt;=B93)*(IF(Besatzung!$D$11:$D$22="",Besatzung!$B$6,Besatzung!$D$11:$D$22)&gt;=B93)),1))),IF(I93="Individuell",((J93="x")*((G93-IFERROR(H93,0))/IFERROR(COUNTIF(J93:U93,"x"),1)+(Besatzung!$F$11="x")*IFERROR(H93,0)/IFERROR(SUMPRODUCT((J93:U93="x")*(Besatzung!$F$11:$F$22="x")),1))),(IF(COUNTIF(J93:U93,"x")=0,IF(Besatzung!$B$11&lt;&gt;"",1,0),(J93="x"))*(G93-IFERROR(H93,0))/IFERROR(IF(COUNTIF(J93:U93,"x")=0,COUNTA(Besatzung!$B$11:$B$22),COUNTIF(J93:U93,"x")),1)+IF(COUNTIF(J93:U93,"x")=0,(Besatzung!$F$11="x"),(J93="x")*(Besatzung!$F$11="x"))*IFERROR(H93,0)/IFERROR(IF(COUNTIF(J93:U93,"x")=0,SUMPRODUCT((Besatzung!$B$11:$B$22&lt;&gt;"")*(Besatzung!$F$11:$F$22="x")),SUMPRODUCT((J93:U93="x")*(Besatzung!$F$11:$F$22="x"))),1))))),0))))</f>
        <v/>
      </c>
      <c r="W93" s="247">
        <f>IF(C93="Gutschrift","",IF(G93="","",IF(Besatzung!$B$12="","",IFERROR(IF(I93="Zeitanteilig",(Besatzung!$G$12*(G93-IFERROR(H93,0))+((Besatzung!$B$12&lt;&gt;"")*IF(B93="",1,(IF(Besatzung!$C$12="",Besatzung!$B$5,Besatzung!$C$12)&lt;=B93)*(IF(Besatzung!$D$12="",Besatzung!$B$6,Besatzung!$D$12)&gt;=B93)))*(Besatzung!$F$12="x")*IFERROR(H93,0)/IFERROR(SUMPRODUCT((Besatzung!$B$11:$B$22&lt;&gt;"")*(Besatzung!$F$11:$F$22="x")*(IF(Besatzung!$C$11:$C$22="",Besatzung!$B$5,Besatzung!$C$11:$C$22)&lt;=B93)*(IF(Besatzung!$D$11:$D$22="",Besatzung!$B$6,Besatzung!$D$11:$D$22)&gt;=B93)),1)),IF(I93="An Bord",(((Besatzung!$B$12&lt;&gt;"")*IF(B93="",1,(IF(Besatzung!$C$12="",Besatzung!$B$5,Besatzung!$C$12)&lt;=B93)*(IF(Besatzung!$D$12="",Besatzung!$B$6,Besatzung!$D$12)&gt;=B93)))*((G93-IFERROR(H93,0))/IFERROR(SUMPRODUCT((Besatzung!$B$11:$B$22&lt;&gt;"")*(IF(Besatzung!$C$11:$C$22="",Besatzung!$B$5,Besatzung!$C$11:$C$22)&lt;=B93)*(IF(Besatzung!$D$11:$D$22="",Besatzung!$B$6,Besatzung!$D$11:$D$22)&gt;=B93)),1)+(Besatzung!$F$12="x")*IFERROR(H93,0)/IFERROR(SUMPRODUCT((Besatzung!$B$11:$B$22&lt;&gt;"")*(Besatzung!$F$11:$F$22="x")*(IF(Besatzung!$C$11:$C$22="",Besatzung!$B$5,Besatzung!$C$11:$C$22)&lt;=B93)*(IF(Besatzung!$D$11:$D$22="",Besatzung!$B$6,Besatzung!$D$11:$D$22)&gt;=B93)),1))),IF(I93="Individuell",((K93="x")*((G93-IFERROR(H93,0))/IFERROR(COUNTIF(J93:U93,"x"),1)+(Besatzung!$F$12="x")*IFERROR(H93,0)/IFERROR(SUMPRODUCT((J93:U93="x")*(Besatzung!$F$11:$F$22="x")),1))),(IF(COUNTIF(J93:U93,"x")=0,IF(Besatzung!$B$12&lt;&gt;"",1,0),(K93="x"))*(G93-IFERROR(H93,0))/IFERROR(IF(COUNTIF(J93:U93,"x")=0,COUNTA(Besatzung!$B$11:$B$22),COUNTIF(J93:U93,"x")),1)+IF(COUNTIF(J93:U93,"x")=0,(Besatzung!$F$12="x"),(K93="x")*(Besatzung!$F$12="x"))*IFERROR(H93,0)/IFERROR(IF(COUNTIF(J93:U93,"x")=0,SUMPRODUCT((Besatzung!$B$11:$B$22&lt;&gt;"")*(Besatzung!$F$11:$F$22="x")),SUMPRODUCT((J93:U93="x")*(Besatzung!$F$11:$F$22="x"))),1))))),0))))</f>
        <v/>
      </c>
      <c r="X93" s="247">
        <f>IF(C93="Gutschrift","",IF(G93="","",IF(Besatzung!$B$13="","",IFERROR(IF(I93="Zeitanteilig",(Besatzung!$G$13*(G93-IFERROR(H93,0))+((Besatzung!$B$13&lt;&gt;"")*IF(B93="",1,(IF(Besatzung!$C$13="",Besatzung!$B$5,Besatzung!$C$13)&lt;=B93)*(IF(Besatzung!$D$13="",Besatzung!$B$6,Besatzung!$D$13)&gt;=B93)))*(Besatzung!$F$13="x")*IFERROR(H93,0)/IFERROR(SUMPRODUCT((Besatzung!$B$11:$B$22&lt;&gt;"")*(Besatzung!$F$11:$F$22="x")*(IF(Besatzung!$C$11:$C$22="",Besatzung!$B$5,Besatzung!$C$11:$C$22)&lt;=B93)*(IF(Besatzung!$D$11:$D$22="",Besatzung!$B$6,Besatzung!$D$11:$D$22)&gt;=B93)),1)),IF(I93="An Bord",(((Besatzung!$B$13&lt;&gt;"")*IF(B93="",1,(IF(Besatzung!$C$13="",Besatzung!$B$5,Besatzung!$C$13)&lt;=B93)*(IF(Besatzung!$D$13="",Besatzung!$B$6,Besatzung!$D$13)&gt;=B93)))*((G93-IFERROR(H93,0))/IFERROR(SUMPRODUCT((Besatzung!$B$11:$B$22&lt;&gt;"")*(IF(Besatzung!$C$11:$C$22="",Besatzung!$B$5,Besatzung!$C$11:$C$22)&lt;=B93)*(IF(Besatzung!$D$11:$D$22="",Besatzung!$B$6,Besatzung!$D$11:$D$22)&gt;=B93)),1)+(Besatzung!$F$13="x")*IFERROR(H93,0)/IFERROR(SUMPRODUCT((Besatzung!$B$11:$B$22&lt;&gt;"")*(Besatzung!$F$11:$F$22="x")*(IF(Besatzung!$C$11:$C$22="",Besatzung!$B$5,Besatzung!$C$11:$C$22)&lt;=B93)*(IF(Besatzung!$D$11:$D$22="",Besatzung!$B$6,Besatzung!$D$11:$D$22)&gt;=B93)),1))),IF(I93="Individuell",((K93="x")*((G93-IFERROR(H93,0))/IFERROR(COUNTIF(J93:U93,"x"),1)+(Besatzung!$F$13="x")*IFERROR(H93,0)/IFERROR(SUMPRODUCT((J93:U93="x")*(Besatzung!$F$11:$F$22="x")),1))),(IF(COUNTIF(J93:U93,"x")=0,IF(Besatzung!$B$13&lt;&gt;"",1,0),(K93="x"))*(G93-IFERROR(H93,0))/IFERROR(IF(COUNTIF(J93:U93,"x")=0,COUNTA(Besatzung!$B$11:$B$22),COUNTIF(J93:U93,"x")),1)+IF(COUNTIF(J93:U93,"x")=0,(Besatzung!$F$13="x"),(K93="x")*(Besatzung!$F$13="x"))*IFERROR(H93,0)/IFERROR(IF(COUNTIF(J93:U93,"x")=0,SUMPRODUCT((Besatzung!$B$11:$B$22&lt;&gt;"")*(Besatzung!$F$11:$F$22="x")),SUMPRODUCT((J93:U93="x")*(Besatzung!$F$11:$F$22="x"))),1))))),0))))</f>
        <v/>
      </c>
      <c r="Y93" s="247">
        <f>IF(C93="Gutschrift","",IF(G93="","",IF(Besatzung!$B$14="","",IFERROR(IF(I93="Zeitanteilig",(Besatzung!$G$14*(G93-IFERROR(H93,0))+((Besatzung!$B$14&lt;&gt;"")*IF(B93="",1,(IF(Besatzung!$C$14="",Besatzung!$B$5,Besatzung!$C$14)&lt;=B93)*(IF(Besatzung!$D$14="",Besatzung!$B$6,Besatzung!$D$14)&gt;=B93)))*(Besatzung!$F$14="x")*IFERROR(H93,0)/IFERROR(SUMPRODUCT((Besatzung!$B$11:$B$22&lt;&gt;"")*(Besatzung!$F$11:$F$22="x")*(IF(Besatzung!$C$11:$C$22="",Besatzung!$B$5,Besatzung!$C$11:$C$22)&lt;=B93)*(IF(Besatzung!$D$11:$D$22="",Besatzung!$B$6,Besatzung!$D$11:$D$22)&gt;=B93)),1)),IF(I93="An Bord",(((Besatzung!$B$14&lt;&gt;"")*IF(B93="",1,(IF(Besatzung!$C$14="",Besatzung!$B$5,Besatzung!$C$14)&lt;=B93)*(IF(Besatzung!$D$14="",Besatzung!$B$6,Besatzung!$D$14)&gt;=B93)))*((G93-IFERROR(H93,0))/IFERROR(SUMPRODUCT((Besatzung!$B$11:$B$22&lt;&gt;"")*(IF(Besatzung!$C$11:$C$22="",Besatzung!$B$5,Besatzung!$C$11:$C$22)&lt;=B93)*(IF(Besatzung!$D$11:$D$22="",Besatzung!$B$6,Besatzung!$D$11:$D$22)&gt;=B93)),1)+(Besatzung!$F$14="x")*IFERROR(H93,0)/IFERROR(SUMPRODUCT((Besatzung!$B$11:$B$22&lt;&gt;"")*(Besatzung!$F$11:$F$22="x")*(IF(Besatzung!$C$11:$C$22="",Besatzung!$B$5,Besatzung!$C$11:$C$22)&lt;=B93)*(IF(Besatzung!$D$11:$D$22="",Besatzung!$B$6,Besatzung!$D$11:$D$22)&gt;=B93)),1))),IF(I93="Individuell",((M93="x")*((G93-IFERROR(H93,0))/IFERROR(COUNTIF(J93:U93,"x"),1)+(Besatzung!$F$14="x")*IFERROR(H93,0)/IFERROR(SUMPRODUCT((J93:U93="x")*(Besatzung!$F$11:$F$22="x")),1))),(IF(COUNTIF(J93:U93,"x")=0,IF(Besatzung!$B$14&lt;&gt;"",1,0),(M93="x"))*(G93-IFERROR(H93,0))/IFERROR(IF(COUNTIF(J93:U93,"x")=0,COUNTA(Besatzung!$B$11:$B$22),COUNTIF(J93:U93,"x")),1)+IF(COUNTIF(J93:U93,"x")=0,(Besatzung!$F$14="x"),(M93="x")*(Besatzung!$F$14="x"))*IFERROR(H93,0)/IFERROR(IF(COUNTIF(J93:U93,"x")=0,SUMPRODUCT((Besatzung!$B$11:$B$22&lt;&gt;"")*(Besatzung!$F$11:$F$22="x")),SUMPRODUCT((J93:U93="x")*(Besatzung!$F$11:$F$22="x"))),1))))),0))))</f>
        <v/>
      </c>
      <c r="Z93" s="247">
        <f>IF(C93="Gutschrift","",IF(G93="","",IF(Besatzung!$B$13="","",IFERROR(IF(I93="Zeitanteilig",(Besatzung!$G$15*(G93-IFERROR(H93,0))+((Besatzung!$B$13&lt;&gt;"")*IF(B93="",1,(IF(Besatzung!$C$15="",Besatzung!$B$5,Besatzung!$C$15)&lt;=B93)*(IF(Besatzung!$D$15="",Besatzung!$B$6,Besatzung!$D$15)&gt;=B93)))*(Besatzung!$F$15="x")*IFERROR(H93,0)/IFERROR(SUMPRODUCT((Besatzung!$B$11:$B$22&lt;&gt;"")*(Besatzung!$F$11:$F$22="x")*(IF(Besatzung!$C$11:$C$22="",Besatzung!$B$5,Besatzung!$C$11:$C$22)&lt;=B93)*(IF(Besatzung!$D$11:$D$22="",Besatzung!$B$6,Besatzung!$D$11:$D$22)&gt;=B93)),1)),IF(I93="An Bord",(((Besatzung!$B$13&lt;&gt;"")*IF(B93="",1,(IF(Besatzung!$C$15="",Besatzung!$B$5,Besatzung!$C$15)&lt;=B93)*(IF(Besatzung!$D$15="",Besatzung!$B$6,Besatzung!$D$15)&gt;=B93)))*((G93-IFERROR(H93,0))/IFERROR(SUMPRODUCT((Besatzung!$B$11:$B$22&lt;&gt;"")*(IF(Besatzung!$C$11:$C$22="",Besatzung!$B$5,Besatzung!$C$11:$C$22)&lt;=B93)*(IF(Besatzung!$D$11:$D$22="",Besatzung!$B$6,Besatzung!$D$11:$D$22)&gt;=B93)),1)+(Besatzung!$F$15="x")*IFERROR(H93,0)/IFERROR(SUMPRODUCT((Besatzung!$B$11:$B$22&lt;&gt;"")*(Besatzung!$F$11:$F$22="x")*(IF(Besatzung!$C$11:$C$22="",Besatzung!$B$5,Besatzung!$C$11:$C$22)&lt;=B93)*(IF(Besatzung!$D$11:$D$22="",Besatzung!$B$6,Besatzung!$D$11:$D$22)&gt;=B93)),1))),IF(I93="Individuell",((N93="x")*((G93-IFERROR(H93,0))/IFERROR(COUNTIF(J93:U93,"x"),1)+(Besatzung!$F$15="x")*IFERROR(H93,0)/IFERROR(SUMPRODUCT((J93:U93="x")*(Besatzung!$F$11:$F$22="x")),1))),(IF(COUNTIF(J93:U93,"x")=0,IF(Besatzung!$B$13&lt;&gt;"",1,0),(N93="x"))*(G93-IFERROR(H93,0))/IFERROR(IF(COUNTIF(J93:U93,"x")=0,COUNTA(Besatzung!$B$11:$B$22),COUNTIF(J93:U93,"x")),1)+IF(COUNTIF(J93:U93,"x")=0,(Besatzung!$F$15="x"),(N93="x")*(Besatzung!$F$15="x"))*IFERROR(H93,0)/IFERROR(IF(COUNTIF(J93:U93,"x")=0,SUMPRODUCT((Besatzung!$B$11:$B$22&lt;&gt;"")*(Besatzung!$F$11:$F$22="x")),SUMPRODUCT((J93:U93="x")*(Besatzung!$F$11:$F$22="x"))),1))))),0))))</f>
        <v/>
      </c>
      <c r="AA93" s="247">
        <f>IF(C93="Gutschrift","",IF(G93="","",IF(Besatzung!$B$15="","",IFERROR(IF(I93="Zeitanteilig",(Besatzung!$G$16*(G93-IFERROR(H93,0))+((Besatzung!$B$15&lt;&gt;"")*IF(B93="",1,(IF(Besatzung!$C$16="",Besatzung!$B$5,Besatzung!$C$16)&lt;=B93)*(IF(Besatzung!$D$16="",Besatzung!$B$6,Besatzung!$D$16)&gt;=B93)))*(Besatzung!$F$16="x")*IFERROR(H93,0)/IFERROR(SUMPRODUCT((Besatzung!$B$11:$B$22&lt;&gt;"")*(Besatzung!$F$11:$F$22="x")*(IF(Besatzung!$C$11:$C$22="",Besatzung!$B$5,Besatzung!$C$11:$C$22)&lt;=B93)*(IF(Besatzung!$D$11:$D$22="",Besatzung!$B$6,Besatzung!$D$11:$D$22)&gt;=B93)),1)),IF(I93="An Bord",(((Besatzung!$B$15&lt;&gt;"")*IF(B93="",1,(IF(Besatzung!$C$16="",Besatzung!$B$5,Besatzung!$C$16)&lt;=B93)*(IF(Besatzung!$D$16="",Besatzung!$B$6,Besatzung!$D$16)&gt;=B93)))*((G93-IFERROR(H93,0))/IFERROR(SUMPRODUCT((Besatzung!$B$11:$B$22&lt;&gt;"")*(IF(Besatzung!$C$11:$C$22="",Besatzung!$B$5,Besatzung!$C$11:$C$22)&lt;=B93)*(IF(Besatzung!$D$11:$D$22="",Besatzung!$B$6,Besatzung!$D$11:$D$22)&gt;=B93)),1)+(Besatzung!$F$16="x")*IFERROR(H93,0)/IFERROR(SUMPRODUCT((Besatzung!$B$11:$B$22&lt;&gt;"")*(Besatzung!$F$11:$F$22="x")*(IF(Besatzung!$C$11:$C$22="",Besatzung!$B$5,Besatzung!$C$11:$C$22)&lt;=B93)*(IF(Besatzung!$D$11:$D$22="",Besatzung!$B$6,Besatzung!$D$11:$D$22)&gt;=B93)),1))),IF(I93="Individuell",((O93="x")*((G93-IFERROR(H93,0))/IFERROR(COUNTIF(J93:U93,"x"),1)+(Besatzung!$F$16="x")*IFERROR(H93,0)/IFERROR(SUMPRODUCT((J93:U93="x")*(Besatzung!$F$11:$F$22="x")),1))),(IF(COUNTIF(J93:U93,"x")=0,IF(Besatzung!$B$15&lt;&gt;"",1,0),(O93="x"))*(G93-IFERROR(H93,0))/IFERROR(IF(COUNTIF(J93:U93,"x")=0,COUNTA(Besatzung!$B$11:$B$22),COUNTIF(J93:U93,"x")),1)+IF(COUNTIF(J93:U93,"x")=0,(Besatzung!$F$16="x"),(O93="x")*(Besatzung!$F$16="x"))*IFERROR(H93,0)/IFERROR(IF(COUNTIF(J93:U93,"x")=0,SUMPRODUCT((Besatzung!$B$11:$B$22&lt;&gt;"")*(Besatzung!$F$11:$F$22="x")),SUMPRODUCT((J93:U93="x")*(Besatzung!$F$11:$F$22="x"))),1))))),0))))</f>
        <v/>
      </c>
      <c r="AB93" s="247">
        <f>IF(C93="Gutschrift","",IF(G93="","",IF(Besatzung!$B$17="","",IFERROR(IF(I93="Zeitanteilig",(Besatzung!$G$17*(G93-IFERROR(H93,0))+((Besatzung!$B$17&lt;&gt;"")*IF(B93="",1,(IF(Besatzung!$C$17="",Besatzung!$B$5,Besatzung!$C$17)&lt;=B93)*(IF(Besatzung!$D$17="",Besatzung!$B$6,Besatzung!$D$17)&gt;=B93)))*(Besatzung!$F$17="x")*IFERROR(H93,0)/IFERROR(SUMPRODUCT((Besatzung!$B$11:$B$22&lt;&gt;"")*(Besatzung!$F$11:$F$22="x")*(IF(Besatzung!$C$11:$C$22="",Besatzung!$B$5,Besatzung!$C$11:$C$22)&lt;=B93)*(IF(Besatzung!$D$11:$D$22="",Besatzung!$B$6,Besatzung!$D$11:$D$22)&gt;=B93)),1)),IF(I93="An Bord",(((Besatzung!$B$17&lt;&gt;"")*IF(B93="",1,(IF(Besatzung!$C$17="",Besatzung!$B$5,Besatzung!$C$17)&lt;=B93)*(IF(Besatzung!$D$17="",Besatzung!$B$6,Besatzung!$D$17)&gt;=B93)))*((G93-IFERROR(H93,0))/IFERROR(SUMPRODUCT((Besatzung!$B$11:$B$22&lt;&gt;"")*(IF(Besatzung!$C$11:$C$22="",Besatzung!$B$5,Besatzung!$C$11:$C$22)&lt;=B93)*(IF(Besatzung!$D$11:$D$22="",Besatzung!$B$6,Besatzung!$D$11:$D$22)&gt;=B93)),1)+(Besatzung!$F$17="x")*IFERROR(H93,0)/IFERROR(SUMPRODUCT((Besatzung!$B$11:$B$22&lt;&gt;"")*(Besatzung!$F$11:$F$22="x")*(IF(Besatzung!$C$11:$C$22="",Besatzung!$B$5,Besatzung!$C$11:$C$22)&lt;=B93)*(IF(Besatzung!$D$11:$D$22="",Besatzung!$B$6,Besatzung!$D$11:$D$22)&gt;=B93)),1))),IF(I93="Individuell",((P93="x")*((G93-IFERROR(H93,0))/IFERROR(COUNTIF(J93:U93,"x"),1)+(Besatzung!$F$17="x")*IFERROR(H93,0)/IFERROR(SUMPRODUCT((J93:U93="x")*(Besatzung!$F$11:$F$22="x")),1))),(IF(COUNTIF(J93:U93,"x")=0,IF(Besatzung!$B$17&lt;&gt;"",1,0),(P93="x"))*(G93-IFERROR(H93,0))/IFERROR(IF(COUNTIF(J93:U93,"x")=0,COUNTA(Besatzung!$B$11:$B$22),COUNTIF(J93:U93,"x")),1)+IF(COUNTIF(J93:U93,"x")=0,(Besatzung!$F$17="x"),(P93="x")*(Besatzung!$F$17="x"))*IFERROR(H93,0)/IFERROR(IF(COUNTIF(J93:U93,"x")=0,SUMPRODUCT((Besatzung!$B$11:$B$22&lt;&gt;"")*(Besatzung!$F$11:$F$22="x")),SUMPRODUCT((J93:U93="x")*(Besatzung!$F$11:$F$22="x"))),1))))),0))))</f>
        <v/>
      </c>
      <c r="AC93" s="247">
        <f>IF(C93="Gutschrift","",IF(G93="","",IF(Besatzung!$B$18="","",IFERROR(IF(I93="Zeitanteilig",(Besatzung!$G$18*(G93-IFERROR(H93,0))+((Besatzung!$B$18&lt;&gt;"")*IF(B93="",1,(IF(Besatzung!$C$18="",Besatzung!$B$5,Besatzung!$C$18)&lt;=B93)*(IF(Besatzung!$D$18="",Besatzung!$B$6,Besatzung!$D$18)&gt;=B93)))*(Besatzung!$F$18="x")*IFERROR(H93,0)/IFERROR(SUMPRODUCT((Besatzung!$B$11:$B$22&lt;&gt;"")*(Besatzung!$F$11:$F$22="x")*(IF(Besatzung!$C$11:$C$22="",Besatzung!$B$5,Besatzung!$C$11:$C$22)&lt;=B93)*(IF(Besatzung!$D$11:$D$22="",Besatzung!$B$6,Besatzung!$D$11:$D$22)&gt;=B93)),1)),IF(I93="An Bord",(((Besatzung!$B$18&lt;&gt;"")*IF(B93="",1,(IF(Besatzung!$C$18="",Besatzung!$B$5,Besatzung!$C$18)&lt;=B93)*(IF(Besatzung!$D$18="",Besatzung!$B$6,Besatzung!$D$18)&gt;=B93)))*((G93-IFERROR(H93,0))/IFERROR(SUMPRODUCT((Besatzung!$B$11:$B$22&lt;&gt;"")*(IF(Besatzung!$C$11:$C$22="",Besatzung!$B$5,Besatzung!$C$11:$C$22)&lt;=B93)*(IF(Besatzung!$D$11:$D$22="",Besatzung!$B$6,Besatzung!$D$11:$D$22)&gt;=B93)),1)+(Besatzung!$F$18="x")*IFERROR(H93,0)/IFERROR(SUMPRODUCT((Besatzung!$B$11:$B$22&lt;&gt;"")*(Besatzung!$F$11:$F$22="x")*(IF(Besatzung!$C$11:$C$22="",Besatzung!$B$5,Besatzung!$C$11:$C$22)&lt;=B93)*(IF(Besatzung!$D$11:$D$22="",Besatzung!$B$6,Besatzung!$D$11:$D$22)&gt;=B93)),1))),IF(I93="Individuell",((Q93="x")*((G93-IFERROR(H93,0))/IFERROR(COUNTIF(J93:U93,"x"),1)+(Besatzung!$F$18="x")*IFERROR(H93,0)/IFERROR(SUMPRODUCT((J93:U93="x")*(Besatzung!$F$11:$F$22="x")),1))),(IF(COUNTIF(J93:U93,"x")=0,IF(Besatzung!$B$18&lt;&gt;"",1,0),(Q93="x"))*(G93-IFERROR(H93,0))/IFERROR(IF(COUNTIF(J93:U93,"x")=0,COUNTA(Besatzung!$B$11:$B$22),COUNTIF(J93:U93,"x")),1)+IF(COUNTIF(J93:U93,"x")=0,(Besatzung!$F$18="x"),(Q93="x")*(Besatzung!$F$18="x"))*IFERROR(H93,0)/IFERROR(IF(COUNTIF(J93:U93,"x")=0,SUMPRODUCT((Besatzung!$B$11:$B$22&lt;&gt;"")*(Besatzung!$F$11:$F$22="x")),SUMPRODUCT((J93:U93="x")*(Besatzung!$F$11:$F$22="x"))),1))))),0))))</f>
        <v/>
      </c>
      <c r="AD93" s="247">
        <f>IF(C93="Gutschrift","",IF(G93="","",IF(Besatzung!$B$19="","",IFERROR(IF(I93="Zeitanteilig",(Besatzung!$G$19*(G93-IFERROR(H93,0))+((Besatzung!$B$19&lt;&gt;"")*IF(B93="",1,(IF(Besatzung!$C$19="",Besatzung!$B$5,Besatzung!$C$19)&lt;=B93)*(IF(Besatzung!$D$19="",Besatzung!$B$6,Besatzung!$D$19)&gt;=B93)))*(Besatzung!$F$19="x")*IFERROR(H93,0)/IFERROR(SUMPRODUCT((Besatzung!$B$11:$B$22&lt;&gt;"")*(Besatzung!$F$11:$F$22="x")*(IF(Besatzung!$C$11:$C$22="",Besatzung!$B$5,Besatzung!$C$11:$C$22)&lt;=B93)*(IF(Besatzung!$D$11:$D$22="",Besatzung!$B$6,Besatzung!$D$11:$D$22)&gt;=B93)),1)),IF(I93="An Bord",(((Besatzung!$B$19&lt;&gt;"")*IF(B93="",1,(IF(Besatzung!$C$19="",Besatzung!$B$5,Besatzung!$C$19)&lt;=B93)*(IF(Besatzung!$D$19="",Besatzung!$B$6,Besatzung!$D$19)&gt;=B93)))*((G93-IFERROR(H93,0))/IFERROR(SUMPRODUCT((Besatzung!$B$11:$B$22&lt;&gt;"")*(IF(Besatzung!$C$11:$C$22="",Besatzung!$B$5,Besatzung!$C$11:$C$22)&lt;=B93)*(IF(Besatzung!$D$11:$D$22="",Besatzung!$B$6,Besatzung!$D$11:$D$22)&gt;=B93)),1)+(Besatzung!$F$19="x")*IFERROR(H93,0)/IFERROR(SUMPRODUCT((Besatzung!$B$11:$B$22&lt;&gt;"")*(Besatzung!$F$11:$F$22="x")*(IF(Besatzung!$C$11:$C$22="",Besatzung!$B$5,Besatzung!$C$11:$C$22)&lt;=B93)*(IF(Besatzung!$D$11:$D$22="",Besatzung!$B$6,Besatzung!$D$11:$D$22)&gt;=B93)),1))),IF(I93="Individuell",((R93="x")*((G93-IFERROR(H93,0))/IFERROR(COUNTIF(J93:U93,"x"),1)+(Besatzung!$F$19="x")*IFERROR(H93,0)/IFERROR(SUMPRODUCT((J93:U93="x")*(Besatzung!$F$11:$F$22="x")),1))),(IF(COUNTIF(J93:U93,"x")=0,IF(Besatzung!$B$19&lt;&gt;"",1,0),(R93="x"))*(G93-IFERROR(H93,0))/IFERROR(IF(COUNTIF(J93:U93,"x")=0,COUNTA(Besatzung!$B$11:$B$22),COUNTIF(J93:U93,"x")),1)+IF(COUNTIF(J93:U93,"x")=0,(Besatzung!$F$19="x"),(R93="x")*(Besatzung!$F$19="x"))*IFERROR(H93,0)/IFERROR(IF(COUNTIF(J93:U93,"x")=0,SUMPRODUCT((Besatzung!$B$11:$B$22&lt;&gt;"")*(Besatzung!$F$11:$F$22="x")),SUMPRODUCT((J93:U93="x")*(Besatzung!$F$11:$F$22="x"))),1))))),0))))</f>
        <v/>
      </c>
      <c r="AE93" s="247">
        <f>IF(C93="Gutschrift","",IF(G93="","",IF(Besatzung!$B$20="","",IFERROR(IF(I93="Zeitanteilig",(Besatzung!$G$20*(G93-IFERROR(H93,0))+((Besatzung!$B$20&lt;&gt;"")*IF(B93="",1,(IF(Besatzung!$C$20="",Besatzung!$B$5,Besatzung!$C$20)&lt;=B93)*(IF(Besatzung!$D$20="",Besatzung!$B$6,Besatzung!$D$20)&gt;=B93)))*(Besatzung!$F$20="x")*IFERROR(H93,0)/IFERROR(SUMPRODUCT((Besatzung!$B$11:$B$22&lt;&gt;"")*(Besatzung!$F$11:$F$22="x")*(IF(Besatzung!$C$11:$C$22="",Besatzung!$B$5,Besatzung!$C$11:$C$22)&lt;=B93)*(IF(Besatzung!$D$11:$D$22="",Besatzung!$B$6,Besatzung!$D$11:$D$22)&gt;=B93)),1)),IF(I93="An Bord",(((Besatzung!$B$20&lt;&gt;"")*IF(B93="",1,(IF(Besatzung!$C$20="",Besatzung!$B$5,Besatzung!$C$20)&lt;=B93)*(IF(Besatzung!$D$20="",Besatzung!$B$6,Besatzung!$D$20)&gt;=B93)))*((G93-IFERROR(H93,0))/IFERROR(SUMPRODUCT((Besatzung!$B$11:$B$22&lt;&gt;"")*(IF(Besatzung!$C$11:$C$22="",Besatzung!$B$5,Besatzung!$C$11:$C$22)&lt;=B93)*(IF(Besatzung!$D$11:$D$22="",Besatzung!$B$6,Besatzung!$D$11:$D$22)&gt;=B93)),1)+(Besatzung!$F$20="x")*IFERROR(H93,0)/IFERROR(SUMPRODUCT((Besatzung!$B$11:$B$22&lt;&gt;"")*(Besatzung!$F$11:$F$22="x")*(IF(Besatzung!$C$11:$C$22="",Besatzung!$B$5,Besatzung!$C$11:$C$22)&lt;=B93)*(IF(Besatzung!$D$11:$D$22="",Besatzung!$B$6,Besatzung!$D$11:$D$22)&gt;=B93)),1))),IF(I93="Individuell",((S93="x")*((G93-IFERROR(H93,0))/IFERROR(COUNTIF(J93:U93,"x"),1)+(Besatzung!$F$20="x")*IFERROR(H93,0)/IFERROR(SUMPRODUCT((J93:U93="x")*(Besatzung!$F$11:$F$22="x")),1))),(IF(COUNTIF(J93:U93,"x")=0,IF(Besatzung!$B$20&lt;&gt;"",1,0),(S93="x"))*(G93-IFERROR(H93,0))/IFERROR(IF(COUNTIF(J93:U93,"x")=0,COUNTA(Besatzung!$B$11:$B$22),COUNTIF(J93:U93,"x")),1)+IF(COUNTIF(J93:U93,"x")=0,(Besatzung!$F$20="x"),(S93="x")*(Besatzung!$F$20="x"))*IFERROR(H93,0)/IFERROR(IF(COUNTIF(J93:U93,"x")=0,SUMPRODUCT((Besatzung!$B$11:$B$22&lt;&gt;"")*(Besatzung!$F$11:$F$22="x")),SUMPRODUCT((J93:U93="x")*(Besatzung!$F$11:$F$22="x"))),1))))),0))))</f>
        <v/>
      </c>
      <c r="AF93" s="247">
        <f>IF(C93="Gutschrift","",IF(G93="","",IF(Besatzung!$B$21="","",IFERROR(IF(I93="Zeitanteilig",(Besatzung!$G$21*(G93-IFERROR(H93,0))+((Besatzung!$B$21&lt;&gt;"")*IF(B93="",1,(IF(Besatzung!$C$21="",Besatzung!$B$5,Besatzung!$C$21)&lt;=B93)*(IF(Besatzung!$D$21="",Besatzung!$B$6,Besatzung!$D$21)&gt;=B93)))*(Besatzung!$F$21="x")*IFERROR(H93,0)/IFERROR(SUMPRODUCT((Besatzung!$B$11:$B$22&lt;&gt;"")*(Besatzung!$F$11:$F$22="x")*(IF(Besatzung!$C$11:$C$22="",Besatzung!$B$5,Besatzung!$C$11:$C$22)&lt;=B93)*(IF(Besatzung!$D$11:$D$22="",Besatzung!$B$6,Besatzung!$D$11:$D$22)&gt;=B93)),1)),IF(I93="An Bord",(((Besatzung!$B$21&lt;&gt;"")*IF(B93="",1,(IF(Besatzung!$C$21="",Besatzung!$B$5,Besatzung!$C$21)&lt;=B93)*(IF(Besatzung!$D$21="",Besatzung!$B$6,Besatzung!$D$21)&gt;=B93)))*((G93-IFERROR(H93,0))/IFERROR(SUMPRODUCT((Besatzung!$B$11:$B$22&lt;&gt;"")*(IF(Besatzung!$C$11:$C$22="",Besatzung!$B$5,Besatzung!$C$11:$C$22)&lt;=B93)*(IF(Besatzung!$D$11:$D$22="",Besatzung!$B$6,Besatzung!$D$11:$D$22)&gt;=B93)),1)+(Besatzung!$F$21="x")*IFERROR(H93,0)/IFERROR(SUMPRODUCT((Besatzung!$B$11:$B$22&lt;&gt;"")*(Besatzung!$F$11:$F$22="x")*(IF(Besatzung!$C$11:$C$22="",Besatzung!$B$5,Besatzung!$C$11:$C$22)&lt;=B93)*(IF(Besatzung!$D$11:$D$22="",Besatzung!$B$6,Besatzung!$D$11:$D$22)&gt;=B93)),1))),IF(I93="Individuell",((T93="x")*((G93-IFERROR(H93,0))/IFERROR(COUNTIF(J93:U93,"x"),1)+(Besatzung!$F$21="x")*IFERROR(H93,0)/IFERROR(SUMPRODUCT((J93:U93="x")*(Besatzung!$F$11:$F$22="x")),1))),(IF(COUNTIF(J93:U93,"x")=0,IF(Besatzung!$B$21&lt;&gt;"",1,0),(T93="x"))*(G93-IFERROR(H93,0))/IFERROR(IF(COUNTIF(J93:U93,"x")=0,COUNTA(Besatzung!$B$11:$B$22),COUNTIF(J93:U93,"x")),1)+IF(COUNTIF(J93:U93,"x")=0,(Besatzung!$F$21="x"),(T93="x")*(Besatzung!$F$21="x"))*IFERROR(H93,0)/IFERROR(IF(COUNTIF(J93:U93,"x")=0,SUMPRODUCT((Besatzung!$B$11:$B$22&lt;&gt;"")*(Besatzung!$F$11:$F$22="x")),SUMPRODUCT((J93:U93="x")*(Besatzung!$F$11:$F$22="x"))),1))))),0))))</f>
        <v/>
      </c>
      <c r="AG93" s="247">
        <f>IF(C93="Gutschrift","",IF(G93="","",IF(Besatzung!$B$22="","",IFERROR(IF(I93="Zeitanteilig",(Besatzung!$G$22*(G93-IFERROR(H93,0))+((Besatzung!$B$22&lt;&gt;"")*IF(B93="",1,(IF(Besatzung!$C$22="",Besatzung!$B$5,Besatzung!$C$22)&lt;=B93)*(IF(Besatzung!$D$22="",Besatzung!$B$6,Besatzung!$D$22)&gt;=B93)))*(Besatzung!$F$22="x")*IFERROR(H93,0)/IFERROR(SUMPRODUCT((Besatzung!$B$11:$B$22&lt;&gt;"")*(Besatzung!$F$11:$F$22="x")*(IF(Besatzung!$C$11:$C$22="",Besatzung!$B$5,Besatzung!$C$11:$C$22)&lt;=B93)*(IF(Besatzung!$D$11:$D$22="",Besatzung!$B$6,Besatzung!$D$11:$D$22)&gt;=B93)),1)),IF(I93="An Bord",(((Besatzung!$B$22&lt;&gt;"")*IF(B93="",1,(IF(Besatzung!$C$22="",Besatzung!$B$5,Besatzung!$C$22)&lt;=B93)*(IF(Besatzung!$D$22="",Besatzung!$B$6,Besatzung!$D$22)&gt;=B93)))*((G93-IFERROR(H93,0))/IFERROR(SUMPRODUCT((Besatzung!$B$11:$B$22&lt;&gt;"")*(IF(Besatzung!$C$11:$C$22="",Besatzung!$B$5,Besatzung!$C$11:$C$22)&lt;=B93)*(IF(Besatzung!$D$11:$D$22="",Besatzung!$B$6,Besatzung!$D$11:$D$22)&gt;=B93)),1)+(Besatzung!$F$22="x")*IFERROR(H93,0)/IFERROR(SUMPRODUCT((Besatzung!$B$11:$B$22&lt;&gt;"")*(Besatzung!$F$11:$F$22="x")*(IF(Besatzung!$C$11:$C$22="",Besatzung!$B$5,Besatzung!$C$11:$C$22)&lt;=B93)*(IF(Besatzung!$D$11:$D$22="",Besatzung!$B$6,Besatzung!$D$11:$D$22)&gt;=B93)),1))),IF(I93="Individuell",((U93="x")*((G93-IFERROR(H93,0))/IFERROR(COUNTIF(J93:U93,"x"),1)+(Besatzung!$F$22="x")*IFERROR(H93,0)/IFERROR(SUMPRODUCT((J93:U93="x")*(Besatzung!$F$11:$F$22="x")),1))),(IF(COUNTIF(J93:U93,"x")=0,IF(Besatzung!$B$22&lt;&gt;"",1,0),(U93="x"))*(G93-IFERROR(H93,0))/IFERROR(IF(COUNTIF(J93:U93,"x")=0,COUNTA(Besatzung!$B$11:$B$22),COUNTIF(J93:U93,"x")),1)+IF(COUNTIF(J93:U93,"x")=0,(Besatzung!$F$22="x"),(U93="x")*(Besatzung!$F$22="x"))*IFERROR(H93,0)/IFERROR(IF(COUNTIF(J93:U93,"x")=0,SUMPRODUCT((Besatzung!$B$11:$B$22&lt;&gt;"")*(Besatzung!$F$11:$F$22="x")),SUMPRODUCT((J93:U93="x")*(Besatzung!$F$11:$F$22="x"))),1))))),0))))</f>
        <v/>
      </c>
      <c r="AH93" s="248" t="n"/>
      <c r="AI93" s="248" t="n"/>
    </row>
    <row r="94" ht="21.75" customHeight="1" s="154">
      <c r="A94" s="238">
        <f>IF(AND(D94="",C94=""),"",91)</f>
        <v/>
      </c>
      <c r="B94" s="199" t="n"/>
      <c r="C94" s="239" t="n"/>
      <c r="D94" s="240" t="n"/>
      <c r="E94" s="241" t="n"/>
      <c r="F94" s="242" t="n"/>
      <c r="G94" s="243" t="n"/>
      <c r="H94" s="244" t="n"/>
      <c r="I94" s="245" t="n"/>
      <c r="J94" s="246" t="n"/>
      <c r="K94" s="246" t="n"/>
      <c r="L94" s="246" t="n"/>
      <c r="M94" s="246" t="n"/>
      <c r="N94" s="246" t="n"/>
      <c r="O94" s="246" t="n"/>
      <c r="P94" s="246" t="n"/>
      <c r="Q94" s="246" t="n"/>
      <c r="R94" s="246" t="n"/>
      <c r="S94" s="246" t="n"/>
      <c r="T94" s="246" t="n"/>
      <c r="U94" s="246" t="n"/>
      <c r="V94" s="247">
        <f>IF(C94="Gutschrift","",IF(G94="","",IF(Besatzung!$B$11="","",IFERROR(IF(I94="Zeitanteilig",(Besatzung!$G$11*(G94-IFERROR(H94,0))+((Besatzung!$B$11&lt;&gt;"")*IF(B94="",1,(IF(Besatzung!$C$11="",Besatzung!$B$5,Besatzung!$C$11)&lt;=B94)*(IF(Besatzung!$D$11="",Besatzung!$B$6,Besatzung!$D$11)&gt;=B94)))*(Besatzung!$F$11="x")*IFERROR(H94,0)/IFERROR(SUMPRODUCT((Besatzung!$B$11:$B$22&lt;&gt;"")*(Besatzung!$F$11:$F$22="x")*(IF(Besatzung!$C$11:$C$22="",Besatzung!$B$5,Besatzung!$C$11:$C$22)&lt;=B94)*(IF(Besatzung!$D$11:$D$22="",Besatzung!$B$6,Besatzung!$D$11:$D$22)&gt;=B94)),1)),IF(I94="An Bord",(((Besatzung!$B$11&lt;&gt;"")*IF(B94="",1,(IF(Besatzung!$C$11="",Besatzung!$B$5,Besatzung!$C$11)&lt;=B94)*(IF(Besatzung!$D$11="",Besatzung!$B$6,Besatzung!$D$11)&gt;=B94)))*((G94-IFERROR(H94,0))/IFERROR(SUMPRODUCT((Besatzung!$B$11:$B$22&lt;&gt;"")*(IF(Besatzung!$C$11:$C$22="",Besatzung!$B$5,Besatzung!$C$11:$C$22)&lt;=B94)*(IF(Besatzung!$D$11:$D$22="",Besatzung!$B$6,Besatzung!$D$11:$D$22)&gt;=B94)),1)+(Besatzung!$F$11="x")*IFERROR(H94,0)/IFERROR(SUMPRODUCT((Besatzung!$B$11:$B$22&lt;&gt;"")*(Besatzung!$F$11:$F$22="x")*(IF(Besatzung!$C$11:$C$22="",Besatzung!$B$5,Besatzung!$C$11:$C$22)&lt;=B94)*(IF(Besatzung!$D$11:$D$22="",Besatzung!$B$6,Besatzung!$D$11:$D$22)&gt;=B94)),1))),IF(I94="Individuell",((J94="x")*((G94-IFERROR(H94,0))/IFERROR(COUNTIF(J94:U94,"x"),1)+(Besatzung!$F$11="x")*IFERROR(H94,0)/IFERROR(SUMPRODUCT((J94:U94="x")*(Besatzung!$F$11:$F$22="x")),1))),(IF(COUNTIF(J94:U94,"x")=0,IF(Besatzung!$B$11&lt;&gt;"",1,0),(J94="x"))*(G94-IFERROR(H94,0))/IFERROR(IF(COUNTIF(J94:U94,"x")=0,COUNTA(Besatzung!$B$11:$B$22),COUNTIF(J94:U94,"x")),1)+IF(COUNTIF(J94:U94,"x")=0,(Besatzung!$F$11="x"),(J94="x")*(Besatzung!$F$11="x"))*IFERROR(H94,0)/IFERROR(IF(COUNTIF(J94:U94,"x")=0,SUMPRODUCT((Besatzung!$B$11:$B$22&lt;&gt;"")*(Besatzung!$F$11:$F$22="x")),SUMPRODUCT((J94:U94="x")*(Besatzung!$F$11:$F$22="x"))),1))))),0))))</f>
        <v/>
      </c>
      <c r="W94" s="247">
        <f>IF(C94="Gutschrift","",IF(G94="","",IF(Besatzung!$B$12="","",IFERROR(IF(I94="Zeitanteilig",(Besatzung!$G$12*(G94-IFERROR(H94,0))+((Besatzung!$B$12&lt;&gt;"")*IF(B94="",1,(IF(Besatzung!$C$12="",Besatzung!$B$5,Besatzung!$C$12)&lt;=B94)*(IF(Besatzung!$D$12="",Besatzung!$B$6,Besatzung!$D$12)&gt;=B94)))*(Besatzung!$F$12="x")*IFERROR(H94,0)/IFERROR(SUMPRODUCT((Besatzung!$B$11:$B$22&lt;&gt;"")*(Besatzung!$F$11:$F$22="x")*(IF(Besatzung!$C$11:$C$22="",Besatzung!$B$5,Besatzung!$C$11:$C$22)&lt;=B94)*(IF(Besatzung!$D$11:$D$22="",Besatzung!$B$6,Besatzung!$D$11:$D$22)&gt;=B94)),1)),IF(I94="An Bord",(((Besatzung!$B$12&lt;&gt;"")*IF(B94="",1,(IF(Besatzung!$C$12="",Besatzung!$B$5,Besatzung!$C$12)&lt;=B94)*(IF(Besatzung!$D$12="",Besatzung!$B$6,Besatzung!$D$12)&gt;=B94)))*((G94-IFERROR(H94,0))/IFERROR(SUMPRODUCT((Besatzung!$B$11:$B$22&lt;&gt;"")*(IF(Besatzung!$C$11:$C$22="",Besatzung!$B$5,Besatzung!$C$11:$C$22)&lt;=B94)*(IF(Besatzung!$D$11:$D$22="",Besatzung!$B$6,Besatzung!$D$11:$D$22)&gt;=B94)),1)+(Besatzung!$F$12="x")*IFERROR(H94,0)/IFERROR(SUMPRODUCT((Besatzung!$B$11:$B$22&lt;&gt;"")*(Besatzung!$F$11:$F$22="x")*(IF(Besatzung!$C$11:$C$22="",Besatzung!$B$5,Besatzung!$C$11:$C$22)&lt;=B94)*(IF(Besatzung!$D$11:$D$22="",Besatzung!$B$6,Besatzung!$D$11:$D$22)&gt;=B94)),1))),IF(I94="Individuell",((K94="x")*((G94-IFERROR(H94,0))/IFERROR(COUNTIF(J94:U94,"x"),1)+(Besatzung!$F$12="x")*IFERROR(H94,0)/IFERROR(SUMPRODUCT((J94:U94="x")*(Besatzung!$F$11:$F$22="x")),1))),(IF(COUNTIF(J94:U94,"x")=0,IF(Besatzung!$B$12&lt;&gt;"",1,0),(K94="x"))*(G94-IFERROR(H94,0))/IFERROR(IF(COUNTIF(J94:U94,"x")=0,COUNTA(Besatzung!$B$11:$B$22),COUNTIF(J94:U94,"x")),1)+IF(COUNTIF(J94:U94,"x")=0,(Besatzung!$F$12="x"),(K94="x")*(Besatzung!$F$12="x"))*IFERROR(H94,0)/IFERROR(IF(COUNTIF(J94:U94,"x")=0,SUMPRODUCT((Besatzung!$B$11:$B$22&lt;&gt;"")*(Besatzung!$F$11:$F$22="x")),SUMPRODUCT((J94:U94="x")*(Besatzung!$F$11:$F$22="x"))),1))))),0))))</f>
        <v/>
      </c>
      <c r="X94" s="247">
        <f>IF(C94="Gutschrift","",IF(G94="","",IF(Besatzung!$B$13="","",IFERROR(IF(I94="Zeitanteilig",(Besatzung!$G$13*(G94-IFERROR(H94,0))+((Besatzung!$B$13&lt;&gt;"")*IF(B94="",1,(IF(Besatzung!$C$13="",Besatzung!$B$5,Besatzung!$C$13)&lt;=B94)*(IF(Besatzung!$D$13="",Besatzung!$B$6,Besatzung!$D$13)&gt;=B94)))*(Besatzung!$F$13="x")*IFERROR(H94,0)/IFERROR(SUMPRODUCT((Besatzung!$B$11:$B$22&lt;&gt;"")*(Besatzung!$F$11:$F$22="x")*(IF(Besatzung!$C$11:$C$22="",Besatzung!$B$5,Besatzung!$C$11:$C$22)&lt;=B94)*(IF(Besatzung!$D$11:$D$22="",Besatzung!$B$6,Besatzung!$D$11:$D$22)&gt;=B94)),1)),IF(I94="An Bord",(((Besatzung!$B$13&lt;&gt;"")*IF(B94="",1,(IF(Besatzung!$C$13="",Besatzung!$B$5,Besatzung!$C$13)&lt;=B94)*(IF(Besatzung!$D$13="",Besatzung!$B$6,Besatzung!$D$13)&gt;=B94)))*((G94-IFERROR(H94,0))/IFERROR(SUMPRODUCT((Besatzung!$B$11:$B$22&lt;&gt;"")*(IF(Besatzung!$C$11:$C$22="",Besatzung!$B$5,Besatzung!$C$11:$C$22)&lt;=B94)*(IF(Besatzung!$D$11:$D$22="",Besatzung!$B$6,Besatzung!$D$11:$D$22)&gt;=B94)),1)+(Besatzung!$F$13="x")*IFERROR(H94,0)/IFERROR(SUMPRODUCT((Besatzung!$B$11:$B$22&lt;&gt;"")*(Besatzung!$F$11:$F$22="x")*(IF(Besatzung!$C$11:$C$22="",Besatzung!$B$5,Besatzung!$C$11:$C$22)&lt;=B94)*(IF(Besatzung!$D$11:$D$22="",Besatzung!$B$6,Besatzung!$D$11:$D$22)&gt;=B94)),1))),IF(I94="Individuell",((K94="x")*((G94-IFERROR(H94,0))/IFERROR(COUNTIF(J94:U94,"x"),1)+(Besatzung!$F$13="x")*IFERROR(H94,0)/IFERROR(SUMPRODUCT((J94:U94="x")*(Besatzung!$F$11:$F$22="x")),1))),(IF(COUNTIF(J94:U94,"x")=0,IF(Besatzung!$B$13&lt;&gt;"",1,0),(K94="x"))*(G94-IFERROR(H94,0))/IFERROR(IF(COUNTIF(J94:U94,"x")=0,COUNTA(Besatzung!$B$11:$B$22),COUNTIF(J94:U94,"x")),1)+IF(COUNTIF(J94:U94,"x")=0,(Besatzung!$F$13="x"),(K94="x")*(Besatzung!$F$13="x"))*IFERROR(H94,0)/IFERROR(IF(COUNTIF(J94:U94,"x")=0,SUMPRODUCT((Besatzung!$B$11:$B$22&lt;&gt;"")*(Besatzung!$F$11:$F$22="x")),SUMPRODUCT((J94:U94="x")*(Besatzung!$F$11:$F$22="x"))),1))))),0))))</f>
        <v/>
      </c>
      <c r="Y94" s="247">
        <f>IF(C94="Gutschrift","",IF(G94="","",IF(Besatzung!$B$14="","",IFERROR(IF(I94="Zeitanteilig",(Besatzung!$G$14*(G94-IFERROR(H94,0))+((Besatzung!$B$14&lt;&gt;"")*IF(B94="",1,(IF(Besatzung!$C$14="",Besatzung!$B$5,Besatzung!$C$14)&lt;=B94)*(IF(Besatzung!$D$14="",Besatzung!$B$6,Besatzung!$D$14)&gt;=B94)))*(Besatzung!$F$14="x")*IFERROR(H94,0)/IFERROR(SUMPRODUCT((Besatzung!$B$11:$B$22&lt;&gt;"")*(Besatzung!$F$11:$F$22="x")*(IF(Besatzung!$C$11:$C$22="",Besatzung!$B$5,Besatzung!$C$11:$C$22)&lt;=B94)*(IF(Besatzung!$D$11:$D$22="",Besatzung!$B$6,Besatzung!$D$11:$D$22)&gt;=B94)),1)),IF(I94="An Bord",(((Besatzung!$B$14&lt;&gt;"")*IF(B94="",1,(IF(Besatzung!$C$14="",Besatzung!$B$5,Besatzung!$C$14)&lt;=B94)*(IF(Besatzung!$D$14="",Besatzung!$B$6,Besatzung!$D$14)&gt;=B94)))*((G94-IFERROR(H94,0))/IFERROR(SUMPRODUCT((Besatzung!$B$11:$B$22&lt;&gt;"")*(IF(Besatzung!$C$11:$C$22="",Besatzung!$B$5,Besatzung!$C$11:$C$22)&lt;=B94)*(IF(Besatzung!$D$11:$D$22="",Besatzung!$B$6,Besatzung!$D$11:$D$22)&gt;=B94)),1)+(Besatzung!$F$14="x")*IFERROR(H94,0)/IFERROR(SUMPRODUCT((Besatzung!$B$11:$B$22&lt;&gt;"")*(Besatzung!$F$11:$F$22="x")*(IF(Besatzung!$C$11:$C$22="",Besatzung!$B$5,Besatzung!$C$11:$C$22)&lt;=B94)*(IF(Besatzung!$D$11:$D$22="",Besatzung!$B$6,Besatzung!$D$11:$D$22)&gt;=B94)),1))),IF(I94="Individuell",((M94="x")*((G94-IFERROR(H94,0))/IFERROR(COUNTIF(J94:U94,"x"),1)+(Besatzung!$F$14="x")*IFERROR(H94,0)/IFERROR(SUMPRODUCT((J94:U94="x")*(Besatzung!$F$11:$F$22="x")),1))),(IF(COUNTIF(J94:U94,"x")=0,IF(Besatzung!$B$14&lt;&gt;"",1,0),(M94="x"))*(G94-IFERROR(H94,0))/IFERROR(IF(COUNTIF(J94:U94,"x")=0,COUNTA(Besatzung!$B$11:$B$22),COUNTIF(J94:U94,"x")),1)+IF(COUNTIF(J94:U94,"x")=0,(Besatzung!$F$14="x"),(M94="x")*(Besatzung!$F$14="x"))*IFERROR(H94,0)/IFERROR(IF(COUNTIF(J94:U94,"x")=0,SUMPRODUCT((Besatzung!$B$11:$B$22&lt;&gt;"")*(Besatzung!$F$11:$F$22="x")),SUMPRODUCT((J94:U94="x")*(Besatzung!$F$11:$F$22="x"))),1))))),0))))</f>
        <v/>
      </c>
      <c r="Z94" s="247">
        <f>IF(C94="Gutschrift","",IF(G94="","",IF(Besatzung!$B$13="","",IFERROR(IF(I94="Zeitanteilig",(Besatzung!$G$15*(G94-IFERROR(H94,0))+((Besatzung!$B$13&lt;&gt;"")*IF(B94="",1,(IF(Besatzung!$C$15="",Besatzung!$B$5,Besatzung!$C$15)&lt;=B94)*(IF(Besatzung!$D$15="",Besatzung!$B$6,Besatzung!$D$15)&gt;=B94)))*(Besatzung!$F$15="x")*IFERROR(H94,0)/IFERROR(SUMPRODUCT((Besatzung!$B$11:$B$22&lt;&gt;"")*(Besatzung!$F$11:$F$22="x")*(IF(Besatzung!$C$11:$C$22="",Besatzung!$B$5,Besatzung!$C$11:$C$22)&lt;=B94)*(IF(Besatzung!$D$11:$D$22="",Besatzung!$B$6,Besatzung!$D$11:$D$22)&gt;=B94)),1)),IF(I94="An Bord",(((Besatzung!$B$13&lt;&gt;"")*IF(B94="",1,(IF(Besatzung!$C$15="",Besatzung!$B$5,Besatzung!$C$15)&lt;=B94)*(IF(Besatzung!$D$15="",Besatzung!$B$6,Besatzung!$D$15)&gt;=B94)))*((G94-IFERROR(H94,0))/IFERROR(SUMPRODUCT((Besatzung!$B$11:$B$22&lt;&gt;"")*(IF(Besatzung!$C$11:$C$22="",Besatzung!$B$5,Besatzung!$C$11:$C$22)&lt;=B94)*(IF(Besatzung!$D$11:$D$22="",Besatzung!$B$6,Besatzung!$D$11:$D$22)&gt;=B94)),1)+(Besatzung!$F$15="x")*IFERROR(H94,0)/IFERROR(SUMPRODUCT((Besatzung!$B$11:$B$22&lt;&gt;"")*(Besatzung!$F$11:$F$22="x")*(IF(Besatzung!$C$11:$C$22="",Besatzung!$B$5,Besatzung!$C$11:$C$22)&lt;=B94)*(IF(Besatzung!$D$11:$D$22="",Besatzung!$B$6,Besatzung!$D$11:$D$22)&gt;=B94)),1))),IF(I94="Individuell",((N94="x")*((G94-IFERROR(H94,0))/IFERROR(COUNTIF(J94:U94,"x"),1)+(Besatzung!$F$15="x")*IFERROR(H94,0)/IFERROR(SUMPRODUCT((J94:U94="x")*(Besatzung!$F$11:$F$22="x")),1))),(IF(COUNTIF(J94:U94,"x")=0,IF(Besatzung!$B$13&lt;&gt;"",1,0),(N94="x"))*(G94-IFERROR(H94,0))/IFERROR(IF(COUNTIF(J94:U94,"x")=0,COUNTA(Besatzung!$B$11:$B$22),COUNTIF(J94:U94,"x")),1)+IF(COUNTIF(J94:U94,"x")=0,(Besatzung!$F$15="x"),(N94="x")*(Besatzung!$F$15="x"))*IFERROR(H94,0)/IFERROR(IF(COUNTIF(J94:U94,"x")=0,SUMPRODUCT((Besatzung!$B$11:$B$22&lt;&gt;"")*(Besatzung!$F$11:$F$22="x")),SUMPRODUCT((J94:U94="x")*(Besatzung!$F$11:$F$22="x"))),1))))),0))))</f>
        <v/>
      </c>
      <c r="AA94" s="247">
        <f>IF(C94="Gutschrift","",IF(G94="","",IF(Besatzung!$B$15="","",IFERROR(IF(I94="Zeitanteilig",(Besatzung!$G$16*(G94-IFERROR(H94,0))+((Besatzung!$B$15&lt;&gt;"")*IF(B94="",1,(IF(Besatzung!$C$16="",Besatzung!$B$5,Besatzung!$C$16)&lt;=B94)*(IF(Besatzung!$D$16="",Besatzung!$B$6,Besatzung!$D$16)&gt;=B94)))*(Besatzung!$F$16="x")*IFERROR(H94,0)/IFERROR(SUMPRODUCT((Besatzung!$B$11:$B$22&lt;&gt;"")*(Besatzung!$F$11:$F$22="x")*(IF(Besatzung!$C$11:$C$22="",Besatzung!$B$5,Besatzung!$C$11:$C$22)&lt;=B94)*(IF(Besatzung!$D$11:$D$22="",Besatzung!$B$6,Besatzung!$D$11:$D$22)&gt;=B94)),1)),IF(I94="An Bord",(((Besatzung!$B$15&lt;&gt;"")*IF(B94="",1,(IF(Besatzung!$C$16="",Besatzung!$B$5,Besatzung!$C$16)&lt;=B94)*(IF(Besatzung!$D$16="",Besatzung!$B$6,Besatzung!$D$16)&gt;=B94)))*((G94-IFERROR(H94,0))/IFERROR(SUMPRODUCT((Besatzung!$B$11:$B$22&lt;&gt;"")*(IF(Besatzung!$C$11:$C$22="",Besatzung!$B$5,Besatzung!$C$11:$C$22)&lt;=B94)*(IF(Besatzung!$D$11:$D$22="",Besatzung!$B$6,Besatzung!$D$11:$D$22)&gt;=B94)),1)+(Besatzung!$F$16="x")*IFERROR(H94,0)/IFERROR(SUMPRODUCT((Besatzung!$B$11:$B$22&lt;&gt;"")*(Besatzung!$F$11:$F$22="x")*(IF(Besatzung!$C$11:$C$22="",Besatzung!$B$5,Besatzung!$C$11:$C$22)&lt;=B94)*(IF(Besatzung!$D$11:$D$22="",Besatzung!$B$6,Besatzung!$D$11:$D$22)&gt;=B94)),1))),IF(I94="Individuell",((O94="x")*((G94-IFERROR(H94,0))/IFERROR(COUNTIF(J94:U94,"x"),1)+(Besatzung!$F$16="x")*IFERROR(H94,0)/IFERROR(SUMPRODUCT((J94:U94="x")*(Besatzung!$F$11:$F$22="x")),1))),(IF(COUNTIF(J94:U94,"x")=0,IF(Besatzung!$B$15&lt;&gt;"",1,0),(O94="x"))*(G94-IFERROR(H94,0))/IFERROR(IF(COUNTIF(J94:U94,"x")=0,COUNTA(Besatzung!$B$11:$B$22),COUNTIF(J94:U94,"x")),1)+IF(COUNTIF(J94:U94,"x")=0,(Besatzung!$F$16="x"),(O94="x")*(Besatzung!$F$16="x"))*IFERROR(H94,0)/IFERROR(IF(COUNTIF(J94:U94,"x")=0,SUMPRODUCT((Besatzung!$B$11:$B$22&lt;&gt;"")*(Besatzung!$F$11:$F$22="x")),SUMPRODUCT((J94:U94="x")*(Besatzung!$F$11:$F$22="x"))),1))))),0))))</f>
        <v/>
      </c>
      <c r="AB94" s="247">
        <f>IF(C94="Gutschrift","",IF(G94="","",IF(Besatzung!$B$17="","",IFERROR(IF(I94="Zeitanteilig",(Besatzung!$G$17*(G94-IFERROR(H94,0))+((Besatzung!$B$17&lt;&gt;"")*IF(B94="",1,(IF(Besatzung!$C$17="",Besatzung!$B$5,Besatzung!$C$17)&lt;=B94)*(IF(Besatzung!$D$17="",Besatzung!$B$6,Besatzung!$D$17)&gt;=B94)))*(Besatzung!$F$17="x")*IFERROR(H94,0)/IFERROR(SUMPRODUCT((Besatzung!$B$11:$B$22&lt;&gt;"")*(Besatzung!$F$11:$F$22="x")*(IF(Besatzung!$C$11:$C$22="",Besatzung!$B$5,Besatzung!$C$11:$C$22)&lt;=B94)*(IF(Besatzung!$D$11:$D$22="",Besatzung!$B$6,Besatzung!$D$11:$D$22)&gt;=B94)),1)),IF(I94="An Bord",(((Besatzung!$B$17&lt;&gt;"")*IF(B94="",1,(IF(Besatzung!$C$17="",Besatzung!$B$5,Besatzung!$C$17)&lt;=B94)*(IF(Besatzung!$D$17="",Besatzung!$B$6,Besatzung!$D$17)&gt;=B94)))*((G94-IFERROR(H94,0))/IFERROR(SUMPRODUCT((Besatzung!$B$11:$B$22&lt;&gt;"")*(IF(Besatzung!$C$11:$C$22="",Besatzung!$B$5,Besatzung!$C$11:$C$22)&lt;=B94)*(IF(Besatzung!$D$11:$D$22="",Besatzung!$B$6,Besatzung!$D$11:$D$22)&gt;=B94)),1)+(Besatzung!$F$17="x")*IFERROR(H94,0)/IFERROR(SUMPRODUCT((Besatzung!$B$11:$B$22&lt;&gt;"")*(Besatzung!$F$11:$F$22="x")*(IF(Besatzung!$C$11:$C$22="",Besatzung!$B$5,Besatzung!$C$11:$C$22)&lt;=B94)*(IF(Besatzung!$D$11:$D$22="",Besatzung!$B$6,Besatzung!$D$11:$D$22)&gt;=B94)),1))),IF(I94="Individuell",((P94="x")*((G94-IFERROR(H94,0))/IFERROR(COUNTIF(J94:U94,"x"),1)+(Besatzung!$F$17="x")*IFERROR(H94,0)/IFERROR(SUMPRODUCT((J94:U94="x")*(Besatzung!$F$11:$F$22="x")),1))),(IF(COUNTIF(J94:U94,"x")=0,IF(Besatzung!$B$17&lt;&gt;"",1,0),(P94="x"))*(G94-IFERROR(H94,0))/IFERROR(IF(COUNTIF(J94:U94,"x")=0,COUNTA(Besatzung!$B$11:$B$22),COUNTIF(J94:U94,"x")),1)+IF(COUNTIF(J94:U94,"x")=0,(Besatzung!$F$17="x"),(P94="x")*(Besatzung!$F$17="x"))*IFERROR(H94,0)/IFERROR(IF(COUNTIF(J94:U94,"x")=0,SUMPRODUCT((Besatzung!$B$11:$B$22&lt;&gt;"")*(Besatzung!$F$11:$F$22="x")),SUMPRODUCT((J94:U94="x")*(Besatzung!$F$11:$F$22="x"))),1))))),0))))</f>
        <v/>
      </c>
      <c r="AC94" s="247">
        <f>IF(C94="Gutschrift","",IF(G94="","",IF(Besatzung!$B$18="","",IFERROR(IF(I94="Zeitanteilig",(Besatzung!$G$18*(G94-IFERROR(H94,0))+((Besatzung!$B$18&lt;&gt;"")*IF(B94="",1,(IF(Besatzung!$C$18="",Besatzung!$B$5,Besatzung!$C$18)&lt;=B94)*(IF(Besatzung!$D$18="",Besatzung!$B$6,Besatzung!$D$18)&gt;=B94)))*(Besatzung!$F$18="x")*IFERROR(H94,0)/IFERROR(SUMPRODUCT((Besatzung!$B$11:$B$22&lt;&gt;"")*(Besatzung!$F$11:$F$22="x")*(IF(Besatzung!$C$11:$C$22="",Besatzung!$B$5,Besatzung!$C$11:$C$22)&lt;=B94)*(IF(Besatzung!$D$11:$D$22="",Besatzung!$B$6,Besatzung!$D$11:$D$22)&gt;=B94)),1)),IF(I94="An Bord",(((Besatzung!$B$18&lt;&gt;"")*IF(B94="",1,(IF(Besatzung!$C$18="",Besatzung!$B$5,Besatzung!$C$18)&lt;=B94)*(IF(Besatzung!$D$18="",Besatzung!$B$6,Besatzung!$D$18)&gt;=B94)))*((G94-IFERROR(H94,0))/IFERROR(SUMPRODUCT((Besatzung!$B$11:$B$22&lt;&gt;"")*(IF(Besatzung!$C$11:$C$22="",Besatzung!$B$5,Besatzung!$C$11:$C$22)&lt;=B94)*(IF(Besatzung!$D$11:$D$22="",Besatzung!$B$6,Besatzung!$D$11:$D$22)&gt;=B94)),1)+(Besatzung!$F$18="x")*IFERROR(H94,0)/IFERROR(SUMPRODUCT((Besatzung!$B$11:$B$22&lt;&gt;"")*(Besatzung!$F$11:$F$22="x")*(IF(Besatzung!$C$11:$C$22="",Besatzung!$B$5,Besatzung!$C$11:$C$22)&lt;=B94)*(IF(Besatzung!$D$11:$D$22="",Besatzung!$B$6,Besatzung!$D$11:$D$22)&gt;=B94)),1))),IF(I94="Individuell",((Q94="x")*((G94-IFERROR(H94,0))/IFERROR(COUNTIF(J94:U94,"x"),1)+(Besatzung!$F$18="x")*IFERROR(H94,0)/IFERROR(SUMPRODUCT((J94:U94="x")*(Besatzung!$F$11:$F$22="x")),1))),(IF(COUNTIF(J94:U94,"x")=0,IF(Besatzung!$B$18&lt;&gt;"",1,0),(Q94="x"))*(G94-IFERROR(H94,0))/IFERROR(IF(COUNTIF(J94:U94,"x")=0,COUNTA(Besatzung!$B$11:$B$22),COUNTIF(J94:U94,"x")),1)+IF(COUNTIF(J94:U94,"x")=0,(Besatzung!$F$18="x"),(Q94="x")*(Besatzung!$F$18="x"))*IFERROR(H94,0)/IFERROR(IF(COUNTIF(J94:U94,"x")=0,SUMPRODUCT((Besatzung!$B$11:$B$22&lt;&gt;"")*(Besatzung!$F$11:$F$22="x")),SUMPRODUCT((J94:U94="x")*(Besatzung!$F$11:$F$22="x"))),1))))),0))))</f>
        <v/>
      </c>
      <c r="AD94" s="247">
        <f>IF(C94="Gutschrift","",IF(G94="","",IF(Besatzung!$B$19="","",IFERROR(IF(I94="Zeitanteilig",(Besatzung!$G$19*(G94-IFERROR(H94,0))+((Besatzung!$B$19&lt;&gt;"")*IF(B94="",1,(IF(Besatzung!$C$19="",Besatzung!$B$5,Besatzung!$C$19)&lt;=B94)*(IF(Besatzung!$D$19="",Besatzung!$B$6,Besatzung!$D$19)&gt;=B94)))*(Besatzung!$F$19="x")*IFERROR(H94,0)/IFERROR(SUMPRODUCT((Besatzung!$B$11:$B$22&lt;&gt;"")*(Besatzung!$F$11:$F$22="x")*(IF(Besatzung!$C$11:$C$22="",Besatzung!$B$5,Besatzung!$C$11:$C$22)&lt;=B94)*(IF(Besatzung!$D$11:$D$22="",Besatzung!$B$6,Besatzung!$D$11:$D$22)&gt;=B94)),1)),IF(I94="An Bord",(((Besatzung!$B$19&lt;&gt;"")*IF(B94="",1,(IF(Besatzung!$C$19="",Besatzung!$B$5,Besatzung!$C$19)&lt;=B94)*(IF(Besatzung!$D$19="",Besatzung!$B$6,Besatzung!$D$19)&gt;=B94)))*((G94-IFERROR(H94,0))/IFERROR(SUMPRODUCT((Besatzung!$B$11:$B$22&lt;&gt;"")*(IF(Besatzung!$C$11:$C$22="",Besatzung!$B$5,Besatzung!$C$11:$C$22)&lt;=B94)*(IF(Besatzung!$D$11:$D$22="",Besatzung!$B$6,Besatzung!$D$11:$D$22)&gt;=B94)),1)+(Besatzung!$F$19="x")*IFERROR(H94,0)/IFERROR(SUMPRODUCT((Besatzung!$B$11:$B$22&lt;&gt;"")*(Besatzung!$F$11:$F$22="x")*(IF(Besatzung!$C$11:$C$22="",Besatzung!$B$5,Besatzung!$C$11:$C$22)&lt;=B94)*(IF(Besatzung!$D$11:$D$22="",Besatzung!$B$6,Besatzung!$D$11:$D$22)&gt;=B94)),1))),IF(I94="Individuell",((R94="x")*((G94-IFERROR(H94,0))/IFERROR(COUNTIF(J94:U94,"x"),1)+(Besatzung!$F$19="x")*IFERROR(H94,0)/IFERROR(SUMPRODUCT((J94:U94="x")*(Besatzung!$F$11:$F$22="x")),1))),(IF(COUNTIF(J94:U94,"x")=0,IF(Besatzung!$B$19&lt;&gt;"",1,0),(R94="x"))*(G94-IFERROR(H94,0))/IFERROR(IF(COUNTIF(J94:U94,"x")=0,COUNTA(Besatzung!$B$11:$B$22),COUNTIF(J94:U94,"x")),1)+IF(COUNTIF(J94:U94,"x")=0,(Besatzung!$F$19="x"),(R94="x")*(Besatzung!$F$19="x"))*IFERROR(H94,0)/IFERROR(IF(COUNTIF(J94:U94,"x")=0,SUMPRODUCT((Besatzung!$B$11:$B$22&lt;&gt;"")*(Besatzung!$F$11:$F$22="x")),SUMPRODUCT((J94:U94="x")*(Besatzung!$F$11:$F$22="x"))),1))))),0))))</f>
        <v/>
      </c>
      <c r="AE94" s="247">
        <f>IF(C94="Gutschrift","",IF(G94="","",IF(Besatzung!$B$20="","",IFERROR(IF(I94="Zeitanteilig",(Besatzung!$G$20*(G94-IFERROR(H94,0))+((Besatzung!$B$20&lt;&gt;"")*IF(B94="",1,(IF(Besatzung!$C$20="",Besatzung!$B$5,Besatzung!$C$20)&lt;=B94)*(IF(Besatzung!$D$20="",Besatzung!$B$6,Besatzung!$D$20)&gt;=B94)))*(Besatzung!$F$20="x")*IFERROR(H94,0)/IFERROR(SUMPRODUCT((Besatzung!$B$11:$B$22&lt;&gt;"")*(Besatzung!$F$11:$F$22="x")*(IF(Besatzung!$C$11:$C$22="",Besatzung!$B$5,Besatzung!$C$11:$C$22)&lt;=B94)*(IF(Besatzung!$D$11:$D$22="",Besatzung!$B$6,Besatzung!$D$11:$D$22)&gt;=B94)),1)),IF(I94="An Bord",(((Besatzung!$B$20&lt;&gt;"")*IF(B94="",1,(IF(Besatzung!$C$20="",Besatzung!$B$5,Besatzung!$C$20)&lt;=B94)*(IF(Besatzung!$D$20="",Besatzung!$B$6,Besatzung!$D$20)&gt;=B94)))*((G94-IFERROR(H94,0))/IFERROR(SUMPRODUCT((Besatzung!$B$11:$B$22&lt;&gt;"")*(IF(Besatzung!$C$11:$C$22="",Besatzung!$B$5,Besatzung!$C$11:$C$22)&lt;=B94)*(IF(Besatzung!$D$11:$D$22="",Besatzung!$B$6,Besatzung!$D$11:$D$22)&gt;=B94)),1)+(Besatzung!$F$20="x")*IFERROR(H94,0)/IFERROR(SUMPRODUCT((Besatzung!$B$11:$B$22&lt;&gt;"")*(Besatzung!$F$11:$F$22="x")*(IF(Besatzung!$C$11:$C$22="",Besatzung!$B$5,Besatzung!$C$11:$C$22)&lt;=B94)*(IF(Besatzung!$D$11:$D$22="",Besatzung!$B$6,Besatzung!$D$11:$D$22)&gt;=B94)),1))),IF(I94="Individuell",((S94="x")*((G94-IFERROR(H94,0))/IFERROR(COUNTIF(J94:U94,"x"),1)+(Besatzung!$F$20="x")*IFERROR(H94,0)/IFERROR(SUMPRODUCT((J94:U94="x")*(Besatzung!$F$11:$F$22="x")),1))),(IF(COUNTIF(J94:U94,"x")=0,IF(Besatzung!$B$20&lt;&gt;"",1,0),(S94="x"))*(G94-IFERROR(H94,0))/IFERROR(IF(COUNTIF(J94:U94,"x")=0,COUNTA(Besatzung!$B$11:$B$22),COUNTIF(J94:U94,"x")),1)+IF(COUNTIF(J94:U94,"x")=0,(Besatzung!$F$20="x"),(S94="x")*(Besatzung!$F$20="x"))*IFERROR(H94,0)/IFERROR(IF(COUNTIF(J94:U94,"x")=0,SUMPRODUCT((Besatzung!$B$11:$B$22&lt;&gt;"")*(Besatzung!$F$11:$F$22="x")),SUMPRODUCT((J94:U94="x")*(Besatzung!$F$11:$F$22="x"))),1))))),0))))</f>
        <v/>
      </c>
      <c r="AF94" s="247">
        <f>IF(C94="Gutschrift","",IF(G94="","",IF(Besatzung!$B$21="","",IFERROR(IF(I94="Zeitanteilig",(Besatzung!$G$21*(G94-IFERROR(H94,0))+((Besatzung!$B$21&lt;&gt;"")*IF(B94="",1,(IF(Besatzung!$C$21="",Besatzung!$B$5,Besatzung!$C$21)&lt;=B94)*(IF(Besatzung!$D$21="",Besatzung!$B$6,Besatzung!$D$21)&gt;=B94)))*(Besatzung!$F$21="x")*IFERROR(H94,0)/IFERROR(SUMPRODUCT((Besatzung!$B$11:$B$22&lt;&gt;"")*(Besatzung!$F$11:$F$22="x")*(IF(Besatzung!$C$11:$C$22="",Besatzung!$B$5,Besatzung!$C$11:$C$22)&lt;=B94)*(IF(Besatzung!$D$11:$D$22="",Besatzung!$B$6,Besatzung!$D$11:$D$22)&gt;=B94)),1)),IF(I94="An Bord",(((Besatzung!$B$21&lt;&gt;"")*IF(B94="",1,(IF(Besatzung!$C$21="",Besatzung!$B$5,Besatzung!$C$21)&lt;=B94)*(IF(Besatzung!$D$21="",Besatzung!$B$6,Besatzung!$D$21)&gt;=B94)))*((G94-IFERROR(H94,0))/IFERROR(SUMPRODUCT((Besatzung!$B$11:$B$22&lt;&gt;"")*(IF(Besatzung!$C$11:$C$22="",Besatzung!$B$5,Besatzung!$C$11:$C$22)&lt;=B94)*(IF(Besatzung!$D$11:$D$22="",Besatzung!$B$6,Besatzung!$D$11:$D$22)&gt;=B94)),1)+(Besatzung!$F$21="x")*IFERROR(H94,0)/IFERROR(SUMPRODUCT((Besatzung!$B$11:$B$22&lt;&gt;"")*(Besatzung!$F$11:$F$22="x")*(IF(Besatzung!$C$11:$C$22="",Besatzung!$B$5,Besatzung!$C$11:$C$22)&lt;=B94)*(IF(Besatzung!$D$11:$D$22="",Besatzung!$B$6,Besatzung!$D$11:$D$22)&gt;=B94)),1))),IF(I94="Individuell",((T94="x")*((G94-IFERROR(H94,0))/IFERROR(COUNTIF(J94:U94,"x"),1)+(Besatzung!$F$21="x")*IFERROR(H94,0)/IFERROR(SUMPRODUCT((J94:U94="x")*(Besatzung!$F$11:$F$22="x")),1))),(IF(COUNTIF(J94:U94,"x")=0,IF(Besatzung!$B$21&lt;&gt;"",1,0),(T94="x"))*(G94-IFERROR(H94,0))/IFERROR(IF(COUNTIF(J94:U94,"x")=0,COUNTA(Besatzung!$B$11:$B$22),COUNTIF(J94:U94,"x")),1)+IF(COUNTIF(J94:U94,"x")=0,(Besatzung!$F$21="x"),(T94="x")*(Besatzung!$F$21="x"))*IFERROR(H94,0)/IFERROR(IF(COUNTIF(J94:U94,"x")=0,SUMPRODUCT((Besatzung!$B$11:$B$22&lt;&gt;"")*(Besatzung!$F$11:$F$22="x")),SUMPRODUCT((J94:U94="x")*(Besatzung!$F$11:$F$22="x"))),1))))),0))))</f>
        <v/>
      </c>
      <c r="AG94" s="247">
        <f>IF(C94="Gutschrift","",IF(G94="","",IF(Besatzung!$B$22="","",IFERROR(IF(I94="Zeitanteilig",(Besatzung!$G$22*(G94-IFERROR(H94,0))+((Besatzung!$B$22&lt;&gt;"")*IF(B94="",1,(IF(Besatzung!$C$22="",Besatzung!$B$5,Besatzung!$C$22)&lt;=B94)*(IF(Besatzung!$D$22="",Besatzung!$B$6,Besatzung!$D$22)&gt;=B94)))*(Besatzung!$F$22="x")*IFERROR(H94,0)/IFERROR(SUMPRODUCT((Besatzung!$B$11:$B$22&lt;&gt;"")*(Besatzung!$F$11:$F$22="x")*(IF(Besatzung!$C$11:$C$22="",Besatzung!$B$5,Besatzung!$C$11:$C$22)&lt;=B94)*(IF(Besatzung!$D$11:$D$22="",Besatzung!$B$6,Besatzung!$D$11:$D$22)&gt;=B94)),1)),IF(I94="An Bord",(((Besatzung!$B$22&lt;&gt;"")*IF(B94="",1,(IF(Besatzung!$C$22="",Besatzung!$B$5,Besatzung!$C$22)&lt;=B94)*(IF(Besatzung!$D$22="",Besatzung!$B$6,Besatzung!$D$22)&gt;=B94)))*((G94-IFERROR(H94,0))/IFERROR(SUMPRODUCT((Besatzung!$B$11:$B$22&lt;&gt;"")*(IF(Besatzung!$C$11:$C$22="",Besatzung!$B$5,Besatzung!$C$11:$C$22)&lt;=B94)*(IF(Besatzung!$D$11:$D$22="",Besatzung!$B$6,Besatzung!$D$11:$D$22)&gt;=B94)),1)+(Besatzung!$F$22="x")*IFERROR(H94,0)/IFERROR(SUMPRODUCT((Besatzung!$B$11:$B$22&lt;&gt;"")*(Besatzung!$F$11:$F$22="x")*(IF(Besatzung!$C$11:$C$22="",Besatzung!$B$5,Besatzung!$C$11:$C$22)&lt;=B94)*(IF(Besatzung!$D$11:$D$22="",Besatzung!$B$6,Besatzung!$D$11:$D$22)&gt;=B94)),1))),IF(I94="Individuell",((U94="x")*((G94-IFERROR(H94,0))/IFERROR(COUNTIF(J94:U94,"x"),1)+(Besatzung!$F$22="x")*IFERROR(H94,0)/IFERROR(SUMPRODUCT((J94:U94="x")*(Besatzung!$F$11:$F$22="x")),1))),(IF(COUNTIF(J94:U94,"x")=0,IF(Besatzung!$B$22&lt;&gt;"",1,0),(U94="x"))*(G94-IFERROR(H94,0))/IFERROR(IF(COUNTIF(J94:U94,"x")=0,COUNTA(Besatzung!$B$11:$B$22),COUNTIF(J94:U94,"x")),1)+IF(COUNTIF(J94:U94,"x")=0,(Besatzung!$F$22="x"),(U94="x")*(Besatzung!$F$22="x"))*IFERROR(H94,0)/IFERROR(IF(COUNTIF(J94:U94,"x")=0,SUMPRODUCT((Besatzung!$B$11:$B$22&lt;&gt;"")*(Besatzung!$F$11:$F$22="x")),SUMPRODUCT((J94:U94="x")*(Besatzung!$F$11:$F$22="x"))),1))))),0))))</f>
        <v/>
      </c>
      <c r="AH94" s="248" t="n"/>
      <c r="AI94" s="248" t="n"/>
    </row>
    <row r="95" ht="21.75" customHeight="1" s="154">
      <c r="A95" s="238">
        <f>IF(AND(D95="",C95=""),"",92)</f>
        <v/>
      </c>
      <c r="B95" s="206" t="n"/>
      <c r="C95" s="249" t="n"/>
      <c r="D95" s="250" t="n"/>
      <c r="E95" s="251" t="n"/>
      <c r="F95" s="252" t="n"/>
      <c r="G95" s="253" t="n"/>
      <c r="H95" s="254" t="n"/>
      <c r="I95" s="255" t="n"/>
      <c r="J95" s="256" t="n"/>
      <c r="K95" s="256" t="n"/>
      <c r="L95" s="256" t="n"/>
      <c r="M95" s="256" t="n"/>
      <c r="N95" s="256" t="n"/>
      <c r="O95" s="256" t="n"/>
      <c r="P95" s="256" t="n"/>
      <c r="Q95" s="256" t="n"/>
      <c r="R95" s="256" t="n"/>
      <c r="S95" s="256" t="n"/>
      <c r="T95" s="256" t="n"/>
      <c r="U95" s="256" t="n"/>
      <c r="V95" s="247">
        <f>IF(C95="Gutschrift","",IF(G95="","",IF(Besatzung!$B$11="","",IFERROR(IF(I95="Zeitanteilig",(Besatzung!$G$11*(G95-IFERROR(H95,0))+((Besatzung!$B$11&lt;&gt;"")*IF(B95="",1,(IF(Besatzung!$C$11="",Besatzung!$B$5,Besatzung!$C$11)&lt;=B95)*(IF(Besatzung!$D$11="",Besatzung!$B$6,Besatzung!$D$11)&gt;=B95)))*(Besatzung!$F$11="x")*IFERROR(H95,0)/IFERROR(SUMPRODUCT((Besatzung!$B$11:$B$22&lt;&gt;"")*(Besatzung!$F$11:$F$22="x")*(IF(Besatzung!$C$11:$C$22="",Besatzung!$B$5,Besatzung!$C$11:$C$22)&lt;=B95)*(IF(Besatzung!$D$11:$D$22="",Besatzung!$B$6,Besatzung!$D$11:$D$22)&gt;=B95)),1)),IF(I95="An Bord",(((Besatzung!$B$11&lt;&gt;"")*IF(B95="",1,(IF(Besatzung!$C$11="",Besatzung!$B$5,Besatzung!$C$11)&lt;=B95)*(IF(Besatzung!$D$11="",Besatzung!$B$6,Besatzung!$D$11)&gt;=B95)))*((G95-IFERROR(H95,0))/IFERROR(SUMPRODUCT((Besatzung!$B$11:$B$22&lt;&gt;"")*(IF(Besatzung!$C$11:$C$22="",Besatzung!$B$5,Besatzung!$C$11:$C$22)&lt;=B95)*(IF(Besatzung!$D$11:$D$22="",Besatzung!$B$6,Besatzung!$D$11:$D$22)&gt;=B95)),1)+(Besatzung!$F$11="x")*IFERROR(H95,0)/IFERROR(SUMPRODUCT((Besatzung!$B$11:$B$22&lt;&gt;"")*(Besatzung!$F$11:$F$22="x")*(IF(Besatzung!$C$11:$C$22="",Besatzung!$B$5,Besatzung!$C$11:$C$22)&lt;=B95)*(IF(Besatzung!$D$11:$D$22="",Besatzung!$B$6,Besatzung!$D$11:$D$22)&gt;=B95)),1))),IF(I95="Individuell",((J95="x")*((G95-IFERROR(H95,0))/IFERROR(COUNTIF(J95:U95,"x"),1)+(Besatzung!$F$11="x")*IFERROR(H95,0)/IFERROR(SUMPRODUCT((J95:U95="x")*(Besatzung!$F$11:$F$22="x")),1))),(IF(COUNTIF(J95:U95,"x")=0,IF(Besatzung!$B$11&lt;&gt;"",1,0),(J95="x"))*(G95-IFERROR(H95,0))/IFERROR(IF(COUNTIF(J95:U95,"x")=0,COUNTA(Besatzung!$B$11:$B$22),COUNTIF(J95:U95,"x")),1)+IF(COUNTIF(J95:U95,"x")=0,(Besatzung!$F$11="x"),(J95="x")*(Besatzung!$F$11="x"))*IFERROR(H95,0)/IFERROR(IF(COUNTIF(J95:U95,"x")=0,SUMPRODUCT((Besatzung!$B$11:$B$22&lt;&gt;"")*(Besatzung!$F$11:$F$22="x")),SUMPRODUCT((J95:U95="x")*(Besatzung!$F$11:$F$22="x"))),1))))),0))))</f>
        <v/>
      </c>
      <c r="W95" s="247">
        <f>IF(C95="Gutschrift","",IF(G95="","",IF(Besatzung!$B$12="","",IFERROR(IF(I95="Zeitanteilig",(Besatzung!$G$12*(G95-IFERROR(H95,0))+((Besatzung!$B$12&lt;&gt;"")*IF(B95="",1,(IF(Besatzung!$C$12="",Besatzung!$B$5,Besatzung!$C$12)&lt;=B95)*(IF(Besatzung!$D$12="",Besatzung!$B$6,Besatzung!$D$12)&gt;=B95)))*(Besatzung!$F$12="x")*IFERROR(H95,0)/IFERROR(SUMPRODUCT((Besatzung!$B$11:$B$22&lt;&gt;"")*(Besatzung!$F$11:$F$22="x")*(IF(Besatzung!$C$11:$C$22="",Besatzung!$B$5,Besatzung!$C$11:$C$22)&lt;=B95)*(IF(Besatzung!$D$11:$D$22="",Besatzung!$B$6,Besatzung!$D$11:$D$22)&gt;=B95)),1)),IF(I95="An Bord",(((Besatzung!$B$12&lt;&gt;"")*IF(B95="",1,(IF(Besatzung!$C$12="",Besatzung!$B$5,Besatzung!$C$12)&lt;=B95)*(IF(Besatzung!$D$12="",Besatzung!$B$6,Besatzung!$D$12)&gt;=B95)))*((G95-IFERROR(H95,0))/IFERROR(SUMPRODUCT((Besatzung!$B$11:$B$22&lt;&gt;"")*(IF(Besatzung!$C$11:$C$22="",Besatzung!$B$5,Besatzung!$C$11:$C$22)&lt;=B95)*(IF(Besatzung!$D$11:$D$22="",Besatzung!$B$6,Besatzung!$D$11:$D$22)&gt;=B95)),1)+(Besatzung!$F$12="x")*IFERROR(H95,0)/IFERROR(SUMPRODUCT((Besatzung!$B$11:$B$22&lt;&gt;"")*(Besatzung!$F$11:$F$22="x")*(IF(Besatzung!$C$11:$C$22="",Besatzung!$B$5,Besatzung!$C$11:$C$22)&lt;=B95)*(IF(Besatzung!$D$11:$D$22="",Besatzung!$B$6,Besatzung!$D$11:$D$22)&gt;=B95)),1))),IF(I95="Individuell",((K95="x")*((G95-IFERROR(H95,0))/IFERROR(COUNTIF(J95:U95,"x"),1)+(Besatzung!$F$12="x")*IFERROR(H95,0)/IFERROR(SUMPRODUCT((J95:U95="x")*(Besatzung!$F$11:$F$22="x")),1))),(IF(COUNTIF(J95:U95,"x")=0,IF(Besatzung!$B$12&lt;&gt;"",1,0),(K95="x"))*(G95-IFERROR(H95,0))/IFERROR(IF(COUNTIF(J95:U95,"x")=0,COUNTA(Besatzung!$B$11:$B$22),COUNTIF(J95:U95,"x")),1)+IF(COUNTIF(J95:U95,"x")=0,(Besatzung!$F$12="x"),(K95="x")*(Besatzung!$F$12="x"))*IFERROR(H95,0)/IFERROR(IF(COUNTIF(J95:U95,"x")=0,SUMPRODUCT((Besatzung!$B$11:$B$22&lt;&gt;"")*(Besatzung!$F$11:$F$22="x")),SUMPRODUCT((J95:U95="x")*(Besatzung!$F$11:$F$22="x"))),1))))),0))))</f>
        <v/>
      </c>
      <c r="X95" s="247">
        <f>IF(C95="Gutschrift","",IF(G95="","",IF(Besatzung!$B$13="","",IFERROR(IF(I95="Zeitanteilig",(Besatzung!$G$13*(G95-IFERROR(H95,0))+((Besatzung!$B$13&lt;&gt;"")*IF(B95="",1,(IF(Besatzung!$C$13="",Besatzung!$B$5,Besatzung!$C$13)&lt;=B95)*(IF(Besatzung!$D$13="",Besatzung!$B$6,Besatzung!$D$13)&gt;=B95)))*(Besatzung!$F$13="x")*IFERROR(H95,0)/IFERROR(SUMPRODUCT((Besatzung!$B$11:$B$22&lt;&gt;"")*(Besatzung!$F$11:$F$22="x")*(IF(Besatzung!$C$11:$C$22="",Besatzung!$B$5,Besatzung!$C$11:$C$22)&lt;=B95)*(IF(Besatzung!$D$11:$D$22="",Besatzung!$B$6,Besatzung!$D$11:$D$22)&gt;=B95)),1)),IF(I95="An Bord",(((Besatzung!$B$13&lt;&gt;"")*IF(B95="",1,(IF(Besatzung!$C$13="",Besatzung!$B$5,Besatzung!$C$13)&lt;=B95)*(IF(Besatzung!$D$13="",Besatzung!$B$6,Besatzung!$D$13)&gt;=B95)))*((G95-IFERROR(H95,0))/IFERROR(SUMPRODUCT((Besatzung!$B$11:$B$22&lt;&gt;"")*(IF(Besatzung!$C$11:$C$22="",Besatzung!$B$5,Besatzung!$C$11:$C$22)&lt;=B95)*(IF(Besatzung!$D$11:$D$22="",Besatzung!$B$6,Besatzung!$D$11:$D$22)&gt;=B95)),1)+(Besatzung!$F$13="x")*IFERROR(H95,0)/IFERROR(SUMPRODUCT((Besatzung!$B$11:$B$22&lt;&gt;"")*(Besatzung!$F$11:$F$22="x")*(IF(Besatzung!$C$11:$C$22="",Besatzung!$B$5,Besatzung!$C$11:$C$22)&lt;=B95)*(IF(Besatzung!$D$11:$D$22="",Besatzung!$B$6,Besatzung!$D$11:$D$22)&gt;=B95)),1))),IF(I95="Individuell",((K95="x")*((G95-IFERROR(H95,0))/IFERROR(COUNTIF(J95:U95,"x"),1)+(Besatzung!$F$13="x")*IFERROR(H95,0)/IFERROR(SUMPRODUCT((J95:U95="x")*(Besatzung!$F$11:$F$22="x")),1))),(IF(COUNTIF(J95:U95,"x")=0,IF(Besatzung!$B$13&lt;&gt;"",1,0),(K95="x"))*(G95-IFERROR(H95,0))/IFERROR(IF(COUNTIF(J95:U95,"x")=0,COUNTA(Besatzung!$B$11:$B$22),COUNTIF(J95:U95,"x")),1)+IF(COUNTIF(J95:U95,"x")=0,(Besatzung!$F$13="x"),(K95="x")*(Besatzung!$F$13="x"))*IFERROR(H95,0)/IFERROR(IF(COUNTIF(J95:U95,"x")=0,SUMPRODUCT((Besatzung!$B$11:$B$22&lt;&gt;"")*(Besatzung!$F$11:$F$22="x")),SUMPRODUCT((J95:U95="x")*(Besatzung!$F$11:$F$22="x"))),1))))),0))))</f>
        <v/>
      </c>
      <c r="Y95" s="247">
        <f>IF(C95="Gutschrift","",IF(G95="","",IF(Besatzung!$B$14="","",IFERROR(IF(I95="Zeitanteilig",(Besatzung!$G$14*(G95-IFERROR(H95,0))+((Besatzung!$B$14&lt;&gt;"")*IF(B95="",1,(IF(Besatzung!$C$14="",Besatzung!$B$5,Besatzung!$C$14)&lt;=B95)*(IF(Besatzung!$D$14="",Besatzung!$B$6,Besatzung!$D$14)&gt;=B95)))*(Besatzung!$F$14="x")*IFERROR(H95,0)/IFERROR(SUMPRODUCT((Besatzung!$B$11:$B$22&lt;&gt;"")*(Besatzung!$F$11:$F$22="x")*(IF(Besatzung!$C$11:$C$22="",Besatzung!$B$5,Besatzung!$C$11:$C$22)&lt;=B95)*(IF(Besatzung!$D$11:$D$22="",Besatzung!$B$6,Besatzung!$D$11:$D$22)&gt;=B95)),1)),IF(I95="An Bord",(((Besatzung!$B$14&lt;&gt;"")*IF(B95="",1,(IF(Besatzung!$C$14="",Besatzung!$B$5,Besatzung!$C$14)&lt;=B95)*(IF(Besatzung!$D$14="",Besatzung!$B$6,Besatzung!$D$14)&gt;=B95)))*((G95-IFERROR(H95,0))/IFERROR(SUMPRODUCT((Besatzung!$B$11:$B$22&lt;&gt;"")*(IF(Besatzung!$C$11:$C$22="",Besatzung!$B$5,Besatzung!$C$11:$C$22)&lt;=B95)*(IF(Besatzung!$D$11:$D$22="",Besatzung!$B$6,Besatzung!$D$11:$D$22)&gt;=B95)),1)+(Besatzung!$F$14="x")*IFERROR(H95,0)/IFERROR(SUMPRODUCT((Besatzung!$B$11:$B$22&lt;&gt;"")*(Besatzung!$F$11:$F$22="x")*(IF(Besatzung!$C$11:$C$22="",Besatzung!$B$5,Besatzung!$C$11:$C$22)&lt;=B95)*(IF(Besatzung!$D$11:$D$22="",Besatzung!$B$6,Besatzung!$D$11:$D$22)&gt;=B95)),1))),IF(I95="Individuell",((M95="x")*((G95-IFERROR(H95,0))/IFERROR(COUNTIF(J95:U95,"x"),1)+(Besatzung!$F$14="x")*IFERROR(H95,0)/IFERROR(SUMPRODUCT((J95:U95="x")*(Besatzung!$F$11:$F$22="x")),1))),(IF(COUNTIF(J95:U95,"x")=0,IF(Besatzung!$B$14&lt;&gt;"",1,0),(M95="x"))*(G95-IFERROR(H95,0))/IFERROR(IF(COUNTIF(J95:U95,"x")=0,COUNTA(Besatzung!$B$11:$B$22),COUNTIF(J95:U95,"x")),1)+IF(COUNTIF(J95:U95,"x")=0,(Besatzung!$F$14="x"),(M95="x")*(Besatzung!$F$14="x"))*IFERROR(H95,0)/IFERROR(IF(COUNTIF(J95:U95,"x")=0,SUMPRODUCT((Besatzung!$B$11:$B$22&lt;&gt;"")*(Besatzung!$F$11:$F$22="x")),SUMPRODUCT((J95:U95="x")*(Besatzung!$F$11:$F$22="x"))),1))))),0))))</f>
        <v/>
      </c>
      <c r="Z95" s="247">
        <f>IF(C95="Gutschrift","",IF(G95="","",IF(Besatzung!$B$13="","",IFERROR(IF(I95="Zeitanteilig",(Besatzung!$G$15*(G95-IFERROR(H95,0))+((Besatzung!$B$13&lt;&gt;"")*IF(B95="",1,(IF(Besatzung!$C$15="",Besatzung!$B$5,Besatzung!$C$15)&lt;=B95)*(IF(Besatzung!$D$15="",Besatzung!$B$6,Besatzung!$D$15)&gt;=B95)))*(Besatzung!$F$15="x")*IFERROR(H95,0)/IFERROR(SUMPRODUCT((Besatzung!$B$11:$B$22&lt;&gt;"")*(Besatzung!$F$11:$F$22="x")*(IF(Besatzung!$C$11:$C$22="",Besatzung!$B$5,Besatzung!$C$11:$C$22)&lt;=B95)*(IF(Besatzung!$D$11:$D$22="",Besatzung!$B$6,Besatzung!$D$11:$D$22)&gt;=B95)),1)),IF(I95="An Bord",(((Besatzung!$B$13&lt;&gt;"")*IF(B95="",1,(IF(Besatzung!$C$15="",Besatzung!$B$5,Besatzung!$C$15)&lt;=B95)*(IF(Besatzung!$D$15="",Besatzung!$B$6,Besatzung!$D$15)&gt;=B95)))*((G95-IFERROR(H95,0))/IFERROR(SUMPRODUCT((Besatzung!$B$11:$B$22&lt;&gt;"")*(IF(Besatzung!$C$11:$C$22="",Besatzung!$B$5,Besatzung!$C$11:$C$22)&lt;=B95)*(IF(Besatzung!$D$11:$D$22="",Besatzung!$B$6,Besatzung!$D$11:$D$22)&gt;=B95)),1)+(Besatzung!$F$15="x")*IFERROR(H95,0)/IFERROR(SUMPRODUCT((Besatzung!$B$11:$B$22&lt;&gt;"")*(Besatzung!$F$11:$F$22="x")*(IF(Besatzung!$C$11:$C$22="",Besatzung!$B$5,Besatzung!$C$11:$C$22)&lt;=B95)*(IF(Besatzung!$D$11:$D$22="",Besatzung!$B$6,Besatzung!$D$11:$D$22)&gt;=B95)),1))),IF(I95="Individuell",((N95="x")*((G95-IFERROR(H95,0))/IFERROR(COUNTIF(J95:U95,"x"),1)+(Besatzung!$F$15="x")*IFERROR(H95,0)/IFERROR(SUMPRODUCT((J95:U95="x")*(Besatzung!$F$11:$F$22="x")),1))),(IF(COUNTIF(J95:U95,"x")=0,IF(Besatzung!$B$13&lt;&gt;"",1,0),(N95="x"))*(G95-IFERROR(H95,0))/IFERROR(IF(COUNTIF(J95:U95,"x")=0,COUNTA(Besatzung!$B$11:$B$22),COUNTIF(J95:U95,"x")),1)+IF(COUNTIF(J95:U95,"x")=0,(Besatzung!$F$15="x"),(N95="x")*(Besatzung!$F$15="x"))*IFERROR(H95,0)/IFERROR(IF(COUNTIF(J95:U95,"x")=0,SUMPRODUCT((Besatzung!$B$11:$B$22&lt;&gt;"")*(Besatzung!$F$11:$F$22="x")),SUMPRODUCT((J95:U95="x")*(Besatzung!$F$11:$F$22="x"))),1))))),0))))</f>
        <v/>
      </c>
      <c r="AA95" s="247">
        <f>IF(C95="Gutschrift","",IF(G95="","",IF(Besatzung!$B$15="","",IFERROR(IF(I95="Zeitanteilig",(Besatzung!$G$16*(G95-IFERROR(H95,0))+((Besatzung!$B$15&lt;&gt;"")*IF(B95="",1,(IF(Besatzung!$C$16="",Besatzung!$B$5,Besatzung!$C$16)&lt;=B95)*(IF(Besatzung!$D$16="",Besatzung!$B$6,Besatzung!$D$16)&gt;=B95)))*(Besatzung!$F$16="x")*IFERROR(H95,0)/IFERROR(SUMPRODUCT((Besatzung!$B$11:$B$22&lt;&gt;"")*(Besatzung!$F$11:$F$22="x")*(IF(Besatzung!$C$11:$C$22="",Besatzung!$B$5,Besatzung!$C$11:$C$22)&lt;=B95)*(IF(Besatzung!$D$11:$D$22="",Besatzung!$B$6,Besatzung!$D$11:$D$22)&gt;=B95)),1)),IF(I95="An Bord",(((Besatzung!$B$15&lt;&gt;"")*IF(B95="",1,(IF(Besatzung!$C$16="",Besatzung!$B$5,Besatzung!$C$16)&lt;=B95)*(IF(Besatzung!$D$16="",Besatzung!$B$6,Besatzung!$D$16)&gt;=B95)))*((G95-IFERROR(H95,0))/IFERROR(SUMPRODUCT((Besatzung!$B$11:$B$22&lt;&gt;"")*(IF(Besatzung!$C$11:$C$22="",Besatzung!$B$5,Besatzung!$C$11:$C$22)&lt;=B95)*(IF(Besatzung!$D$11:$D$22="",Besatzung!$B$6,Besatzung!$D$11:$D$22)&gt;=B95)),1)+(Besatzung!$F$16="x")*IFERROR(H95,0)/IFERROR(SUMPRODUCT((Besatzung!$B$11:$B$22&lt;&gt;"")*(Besatzung!$F$11:$F$22="x")*(IF(Besatzung!$C$11:$C$22="",Besatzung!$B$5,Besatzung!$C$11:$C$22)&lt;=B95)*(IF(Besatzung!$D$11:$D$22="",Besatzung!$B$6,Besatzung!$D$11:$D$22)&gt;=B95)),1))),IF(I95="Individuell",((O95="x")*((G95-IFERROR(H95,0))/IFERROR(COUNTIF(J95:U95,"x"),1)+(Besatzung!$F$16="x")*IFERROR(H95,0)/IFERROR(SUMPRODUCT((J95:U95="x")*(Besatzung!$F$11:$F$22="x")),1))),(IF(COUNTIF(J95:U95,"x")=0,IF(Besatzung!$B$15&lt;&gt;"",1,0),(O95="x"))*(G95-IFERROR(H95,0))/IFERROR(IF(COUNTIF(J95:U95,"x")=0,COUNTA(Besatzung!$B$11:$B$22),COUNTIF(J95:U95,"x")),1)+IF(COUNTIF(J95:U95,"x")=0,(Besatzung!$F$16="x"),(O95="x")*(Besatzung!$F$16="x"))*IFERROR(H95,0)/IFERROR(IF(COUNTIF(J95:U95,"x")=0,SUMPRODUCT((Besatzung!$B$11:$B$22&lt;&gt;"")*(Besatzung!$F$11:$F$22="x")),SUMPRODUCT((J95:U95="x")*(Besatzung!$F$11:$F$22="x"))),1))))),0))))</f>
        <v/>
      </c>
      <c r="AB95" s="247">
        <f>IF(C95="Gutschrift","",IF(G95="","",IF(Besatzung!$B$17="","",IFERROR(IF(I95="Zeitanteilig",(Besatzung!$G$17*(G95-IFERROR(H95,0))+((Besatzung!$B$17&lt;&gt;"")*IF(B95="",1,(IF(Besatzung!$C$17="",Besatzung!$B$5,Besatzung!$C$17)&lt;=B95)*(IF(Besatzung!$D$17="",Besatzung!$B$6,Besatzung!$D$17)&gt;=B95)))*(Besatzung!$F$17="x")*IFERROR(H95,0)/IFERROR(SUMPRODUCT((Besatzung!$B$11:$B$22&lt;&gt;"")*(Besatzung!$F$11:$F$22="x")*(IF(Besatzung!$C$11:$C$22="",Besatzung!$B$5,Besatzung!$C$11:$C$22)&lt;=B95)*(IF(Besatzung!$D$11:$D$22="",Besatzung!$B$6,Besatzung!$D$11:$D$22)&gt;=B95)),1)),IF(I95="An Bord",(((Besatzung!$B$17&lt;&gt;"")*IF(B95="",1,(IF(Besatzung!$C$17="",Besatzung!$B$5,Besatzung!$C$17)&lt;=B95)*(IF(Besatzung!$D$17="",Besatzung!$B$6,Besatzung!$D$17)&gt;=B95)))*((G95-IFERROR(H95,0))/IFERROR(SUMPRODUCT((Besatzung!$B$11:$B$22&lt;&gt;"")*(IF(Besatzung!$C$11:$C$22="",Besatzung!$B$5,Besatzung!$C$11:$C$22)&lt;=B95)*(IF(Besatzung!$D$11:$D$22="",Besatzung!$B$6,Besatzung!$D$11:$D$22)&gt;=B95)),1)+(Besatzung!$F$17="x")*IFERROR(H95,0)/IFERROR(SUMPRODUCT((Besatzung!$B$11:$B$22&lt;&gt;"")*(Besatzung!$F$11:$F$22="x")*(IF(Besatzung!$C$11:$C$22="",Besatzung!$B$5,Besatzung!$C$11:$C$22)&lt;=B95)*(IF(Besatzung!$D$11:$D$22="",Besatzung!$B$6,Besatzung!$D$11:$D$22)&gt;=B95)),1))),IF(I95="Individuell",((P95="x")*((G95-IFERROR(H95,0))/IFERROR(COUNTIF(J95:U95,"x"),1)+(Besatzung!$F$17="x")*IFERROR(H95,0)/IFERROR(SUMPRODUCT((J95:U95="x")*(Besatzung!$F$11:$F$22="x")),1))),(IF(COUNTIF(J95:U95,"x")=0,IF(Besatzung!$B$17&lt;&gt;"",1,0),(P95="x"))*(G95-IFERROR(H95,0))/IFERROR(IF(COUNTIF(J95:U95,"x")=0,COUNTA(Besatzung!$B$11:$B$22),COUNTIF(J95:U95,"x")),1)+IF(COUNTIF(J95:U95,"x")=0,(Besatzung!$F$17="x"),(P95="x")*(Besatzung!$F$17="x"))*IFERROR(H95,0)/IFERROR(IF(COUNTIF(J95:U95,"x")=0,SUMPRODUCT((Besatzung!$B$11:$B$22&lt;&gt;"")*(Besatzung!$F$11:$F$22="x")),SUMPRODUCT((J95:U95="x")*(Besatzung!$F$11:$F$22="x"))),1))))),0))))</f>
        <v/>
      </c>
      <c r="AC95" s="247">
        <f>IF(C95="Gutschrift","",IF(G95="","",IF(Besatzung!$B$18="","",IFERROR(IF(I95="Zeitanteilig",(Besatzung!$G$18*(G95-IFERROR(H95,0))+((Besatzung!$B$18&lt;&gt;"")*IF(B95="",1,(IF(Besatzung!$C$18="",Besatzung!$B$5,Besatzung!$C$18)&lt;=B95)*(IF(Besatzung!$D$18="",Besatzung!$B$6,Besatzung!$D$18)&gt;=B95)))*(Besatzung!$F$18="x")*IFERROR(H95,0)/IFERROR(SUMPRODUCT((Besatzung!$B$11:$B$22&lt;&gt;"")*(Besatzung!$F$11:$F$22="x")*(IF(Besatzung!$C$11:$C$22="",Besatzung!$B$5,Besatzung!$C$11:$C$22)&lt;=B95)*(IF(Besatzung!$D$11:$D$22="",Besatzung!$B$6,Besatzung!$D$11:$D$22)&gt;=B95)),1)),IF(I95="An Bord",(((Besatzung!$B$18&lt;&gt;"")*IF(B95="",1,(IF(Besatzung!$C$18="",Besatzung!$B$5,Besatzung!$C$18)&lt;=B95)*(IF(Besatzung!$D$18="",Besatzung!$B$6,Besatzung!$D$18)&gt;=B95)))*((G95-IFERROR(H95,0))/IFERROR(SUMPRODUCT((Besatzung!$B$11:$B$22&lt;&gt;"")*(IF(Besatzung!$C$11:$C$22="",Besatzung!$B$5,Besatzung!$C$11:$C$22)&lt;=B95)*(IF(Besatzung!$D$11:$D$22="",Besatzung!$B$6,Besatzung!$D$11:$D$22)&gt;=B95)),1)+(Besatzung!$F$18="x")*IFERROR(H95,0)/IFERROR(SUMPRODUCT((Besatzung!$B$11:$B$22&lt;&gt;"")*(Besatzung!$F$11:$F$22="x")*(IF(Besatzung!$C$11:$C$22="",Besatzung!$B$5,Besatzung!$C$11:$C$22)&lt;=B95)*(IF(Besatzung!$D$11:$D$22="",Besatzung!$B$6,Besatzung!$D$11:$D$22)&gt;=B95)),1))),IF(I95="Individuell",((Q95="x")*((G95-IFERROR(H95,0))/IFERROR(COUNTIF(J95:U95,"x"),1)+(Besatzung!$F$18="x")*IFERROR(H95,0)/IFERROR(SUMPRODUCT((J95:U95="x")*(Besatzung!$F$11:$F$22="x")),1))),(IF(COUNTIF(J95:U95,"x")=0,IF(Besatzung!$B$18&lt;&gt;"",1,0),(Q95="x"))*(G95-IFERROR(H95,0))/IFERROR(IF(COUNTIF(J95:U95,"x")=0,COUNTA(Besatzung!$B$11:$B$22),COUNTIF(J95:U95,"x")),1)+IF(COUNTIF(J95:U95,"x")=0,(Besatzung!$F$18="x"),(Q95="x")*(Besatzung!$F$18="x"))*IFERROR(H95,0)/IFERROR(IF(COUNTIF(J95:U95,"x")=0,SUMPRODUCT((Besatzung!$B$11:$B$22&lt;&gt;"")*(Besatzung!$F$11:$F$22="x")),SUMPRODUCT((J95:U95="x")*(Besatzung!$F$11:$F$22="x"))),1))))),0))))</f>
        <v/>
      </c>
      <c r="AD95" s="247">
        <f>IF(C95="Gutschrift","",IF(G95="","",IF(Besatzung!$B$19="","",IFERROR(IF(I95="Zeitanteilig",(Besatzung!$G$19*(G95-IFERROR(H95,0))+((Besatzung!$B$19&lt;&gt;"")*IF(B95="",1,(IF(Besatzung!$C$19="",Besatzung!$B$5,Besatzung!$C$19)&lt;=B95)*(IF(Besatzung!$D$19="",Besatzung!$B$6,Besatzung!$D$19)&gt;=B95)))*(Besatzung!$F$19="x")*IFERROR(H95,0)/IFERROR(SUMPRODUCT((Besatzung!$B$11:$B$22&lt;&gt;"")*(Besatzung!$F$11:$F$22="x")*(IF(Besatzung!$C$11:$C$22="",Besatzung!$B$5,Besatzung!$C$11:$C$22)&lt;=B95)*(IF(Besatzung!$D$11:$D$22="",Besatzung!$B$6,Besatzung!$D$11:$D$22)&gt;=B95)),1)),IF(I95="An Bord",(((Besatzung!$B$19&lt;&gt;"")*IF(B95="",1,(IF(Besatzung!$C$19="",Besatzung!$B$5,Besatzung!$C$19)&lt;=B95)*(IF(Besatzung!$D$19="",Besatzung!$B$6,Besatzung!$D$19)&gt;=B95)))*((G95-IFERROR(H95,0))/IFERROR(SUMPRODUCT((Besatzung!$B$11:$B$22&lt;&gt;"")*(IF(Besatzung!$C$11:$C$22="",Besatzung!$B$5,Besatzung!$C$11:$C$22)&lt;=B95)*(IF(Besatzung!$D$11:$D$22="",Besatzung!$B$6,Besatzung!$D$11:$D$22)&gt;=B95)),1)+(Besatzung!$F$19="x")*IFERROR(H95,0)/IFERROR(SUMPRODUCT((Besatzung!$B$11:$B$22&lt;&gt;"")*(Besatzung!$F$11:$F$22="x")*(IF(Besatzung!$C$11:$C$22="",Besatzung!$B$5,Besatzung!$C$11:$C$22)&lt;=B95)*(IF(Besatzung!$D$11:$D$22="",Besatzung!$B$6,Besatzung!$D$11:$D$22)&gt;=B95)),1))),IF(I95="Individuell",((R95="x")*((G95-IFERROR(H95,0))/IFERROR(COUNTIF(J95:U95,"x"),1)+(Besatzung!$F$19="x")*IFERROR(H95,0)/IFERROR(SUMPRODUCT((J95:U95="x")*(Besatzung!$F$11:$F$22="x")),1))),(IF(COUNTIF(J95:U95,"x")=0,IF(Besatzung!$B$19&lt;&gt;"",1,0),(R95="x"))*(G95-IFERROR(H95,0))/IFERROR(IF(COUNTIF(J95:U95,"x")=0,COUNTA(Besatzung!$B$11:$B$22),COUNTIF(J95:U95,"x")),1)+IF(COUNTIF(J95:U95,"x")=0,(Besatzung!$F$19="x"),(R95="x")*(Besatzung!$F$19="x"))*IFERROR(H95,0)/IFERROR(IF(COUNTIF(J95:U95,"x")=0,SUMPRODUCT((Besatzung!$B$11:$B$22&lt;&gt;"")*(Besatzung!$F$11:$F$22="x")),SUMPRODUCT((J95:U95="x")*(Besatzung!$F$11:$F$22="x"))),1))))),0))))</f>
        <v/>
      </c>
      <c r="AE95" s="247">
        <f>IF(C95="Gutschrift","",IF(G95="","",IF(Besatzung!$B$20="","",IFERROR(IF(I95="Zeitanteilig",(Besatzung!$G$20*(G95-IFERROR(H95,0))+((Besatzung!$B$20&lt;&gt;"")*IF(B95="",1,(IF(Besatzung!$C$20="",Besatzung!$B$5,Besatzung!$C$20)&lt;=B95)*(IF(Besatzung!$D$20="",Besatzung!$B$6,Besatzung!$D$20)&gt;=B95)))*(Besatzung!$F$20="x")*IFERROR(H95,0)/IFERROR(SUMPRODUCT((Besatzung!$B$11:$B$22&lt;&gt;"")*(Besatzung!$F$11:$F$22="x")*(IF(Besatzung!$C$11:$C$22="",Besatzung!$B$5,Besatzung!$C$11:$C$22)&lt;=B95)*(IF(Besatzung!$D$11:$D$22="",Besatzung!$B$6,Besatzung!$D$11:$D$22)&gt;=B95)),1)),IF(I95="An Bord",(((Besatzung!$B$20&lt;&gt;"")*IF(B95="",1,(IF(Besatzung!$C$20="",Besatzung!$B$5,Besatzung!$C$20)&lt;=B95)*(IF(Besatzung!$D$20="",Besatzung!$B$6,Besatzung!$D$20)&gt;=B95)))*((G95-IFERROR(H95,0))/IFERROR(SUMPRODUCT((Besatzung!$B$11:$B$22&lt;&gt;"")*(IF(Besatzung!$C$11:$C$22="",Besatzung!$B$5,Besatzung!$C$11:$C$22)&lt;=B95)*(IF(Besatzung!$D$11:$D$22="",Besatzung!$B$6,Besatzung!$D$11:$D$22)&gt;=B95)),1)+(Besatzung!$F$20="x")*IFERROR(H95,0)/IFERROR(SUMPRODUCT((Besatzung!$B$11:$B$22&lt;&gt;"")*(Besatzung!$F$11:$F$22="x")*(IF(Besatzung!$C$11:$C$22="",Besatzung!$B$5,Besatzung!$C$11:$C$22)&lt;=B95)*(IF(Besatzung!$D$11:$D$22="",Besatzung!$B$6,Besatzung!$D$11:$D$22)&gt;=B95)),1))),IF(I95="Individuell",((S95="x")*((G95-IFERROR(H95,0))/IFERROR(COUNTIF(J95:U95,"x"),1)+(Besatzung!$F$20="x")*IFERROR(H95,0)/IFERROR(SUMPRODUCT((J95:U95="x")*(Besatzung!$F$11:$F$22="x")),1))),(IF(COUNTIF(J95:U95,"x")=0,IF(Besatzung!$B$20&lt;&gt;"",1,0),(S95="x"))*(G95-IFERROR(H95,0))/IFERROR(IF(COUNTIF(J95:U95,"x")=0,COUNTA(Besatzung!$B$11:$B$22),COUNTIF(J95:U95,"x")),1)+IF(COUNTIF(J95:U95,"x")=0,(Besatzung!$F$20="x"),(S95="x")*(Besatzung!$F$20="x"))*IFERROR(H95,0)/IFERROR(IF(COUNTIF(J95:U95,"x")=0,SUMPRODUCT((Besatzung!$B$11:$B$22&lt;&gt;"")*(Besatzung!$F$11:$F$22="x")),SUMPRODUCT((J95:U95="x")*(Besatzung!$F$11:$F$22="x"))),1))))),0))))</f>
        <v/>
      </c>
      <c r="AF95" s="247">
        <f>IF(C95="Gutschrift","",IF(G95="","",IF(Besatzung!$B$21="","",IFERROR(IF(I95="Zeitanteilig",(Besatzung!$G$21*(G95-IFERROR(H95,0))+((Besatzung!$B$21&lt;&gt;"")*IF(B95="",1,(IF(Besatzung!$C$21="",Besatzung!$B$5,Besatzung!$C$21)&lt;=B95)*(IF(Besatzung!$D$21="",Besatzung!$B$6,Besatzung!$D$21)&gt;=B95)))*(Besatzung!$F$21="x")*IFERROR(H95,0)/IFERROR(SUMPRODUCT((Besatzung!$B$11:$B$22&lt;&gt;"")*(Besatzung!$F$11:$F$22="x")*(IF(Besatzung!$C$11:$C$22="",Besatzung!$B$5,Besatzung!$C$11:$C$22)&lt;=B95)*(IF(Besatzung!$D$11:$D$22="",Besatzung!$B$6,Besatzung!$D$11:$D$22)&gt;=B95)),1)),IF(I95="An Bord",(((Besatzung!$B$21&lt;&gt;"")*IF(B95="",1,(IF(Besatzung!$C$21="",Besatzung!$B$5,Besatzung!$C$21)&lt;=B95)*(IF(Besatzung!$D$21="",Besatzung!$B$6,Besatzung!$D$21)&gt;=B95)))*((G95-IFERROR(H95,0))/IFERROR(SUMPRODUCT((Besatzung!$B$11:$B$22&lt;&gt;"")*(IF(Besatzung!$C$11:$C$22="",Besatzung!$B$5,Besatzung!$C$11:$C$22)&lt;=B95)*(IF(Besatzung!$D$11:$D$22="",Besatzung!$B$6,Besatzung!$D$11:$D$22)&gt;=B95)),1)+(Besatzung!$F$21="x")*IFERROR(H95,0)/IFERROR(SUMPRODUCT((Besatzung!$B$11:$B$22&lt;&gt;"")*(Besatzung!$F$11:$F$22="x")*(IF(Besatzung!$C$11:$C$22="",Besatzung!$B$5,Besatzung!$C$11:$C$22)&lt;=B95)*(IF(Besatzung!$D$11:$D$22="",Besatzung!$B$6,Besatzung!$D$11:$D$22)&gt;=B95)),1))),IF(I95="Individuell",((T95="x")*((G95-IFERROR(H95,0))/IFERROR(COUNTIF(J95:U95,"x"),1)+(Besatzung!$F$21="x")*IFERROR(H95,0)/IFERROR(SUMPRODUCT((J95:U95="x")*(Besatzung!$F$11:$F$22="x")),1))),(IF(COUNTIF(J95:U95,"x")=0,IF(Besatzung!$B$21&lt;&gt;"",1,0),(T95="x"))*(G95-IFERROR(H95,0))/IFERROR(IF(COUNTIF(J95:U95,"x")=0,COUNTA(Besatzung!$B$11:$B$22),COUNTIF(J95:U95,"x")),1)+IF(COUNTIF(J95:U95,"x")=0,(Besatzung!$F$21="x"),(T95="x")*(Besatzung!$F$21="x"))*IFERROR(H95,0)/IFERROR(IF(COUNTIF(J95:U95,"x")=0,SUMPRODUCT((Besatzung!$B$11:$B$22&lt;&gt;"")*(Besatzung!$F$11:$F$22="x")),SUMPRODUCT((J95:U95="x")*(Besatzung!$F$11:$F$22="x"))),1))))),0))))</f>
        <v/>
      </c>
      <c r="AG95" s="247">
        <f>IF(C95="Gutschrift","",IF(G95="","",IF(Besatzung!$B$22="","",IFERROR(IF(I95="Zeitanteilig",(Besatzung!$G$22*(G95-IFERROR(H95,0))+((Besatzung!$B$22&lt;&gt;"")*IF(B95="",1,(IF(Besatzung!$C$22="",Besatzung!$B$5,Besatzung!$C$22)&lt;=B95)*(IF(Besatzung!$D$22="",Besatzung!$B$6,Besatzung!$D$22)&gt;=B95)))*(Besatzung!$F$22="x")*IFERROR(H95,0)/IFERROR(SUMPRODUCT((Besatzung!$B$11:$B$22&lt;&gt;"")*(Besatzung!$F$11:$F$22="x")*(IF(Besatzung!$C$11:$C$22="",Besatzung!$B$5,Besatzung!$C$11:$C$22)&lt;=B95)*(IF(Besatzung!$D$11:$D$22="",Besatzung!$B$6,Besatzung!$D$11:$D$22)&gt;=B95)),1)),IF(I95="An Bord",(((Besatzung!$B$22&lt;&gt;"")*IF(B95="",1,(IF(Besatzung!$C$22="",Besatzung!$B$5,Besatzung!$C$22)&lt;=B95)*(IF(Besatzung!$D$22="",Besatzung!$B$6,Besatzung!$D$22)&gt;=B95)))*((G95-IFERROR(H95,0))/IFERROR(SUMPRODUCT((Besatzung!$B$11:$B$22&lt;&gt;"")*(IF(Besatzung!$C$11:$C$22="",Besatzung!$B$5,Besatzung!$C$11:$C$22)&lt;=B95)*(IF(Besatzung!$D$11:$D$22="",Besatzung!$B$6,Besatzung!$D$11:$D$22)&gt;=B95)),1)+(Besatzung!$F$22="x")*IFERROR(H95,0)/IFERROR(SUMPRODUCT((Besatzung!$B$11:$B$22&lt;&gt;"")*(Besatzung!$F$11:$F$22="x")*(IF(Besatzung!$C$11:$C$22="",Besatzung!$B$5,Besatzung!$C$11:$C$22)&lt;=B95)*(IF(Besatzung!$D$11:$D$22="",Besatzung!$B$6,Besatzung!$D$11:$D$22)&gt;=B95)),1))),IF(I95="Individuell",((U95="x")*((G95-IFERROR(H95,0))/IFERROR(COUNTIF(J95:U95,"x"),1)+(Besatzung!$F$22="x")*IFERROR(H95,0)/IFERROR(SUMPRODUCT((J95:U95="x")*(Besatzung!$F$11:$F$22="x")),1))),(IF(COUNTIF(J95:U95,"x")=0,IF(Besatzung!$B$22&lt;&gt;"",1,0),(U95="x"))*(G95-IFERROR(H95,0))/IFERROR(IF(COUNTIF(J95:U95,"x")=0,COUNTA(Besatzung!$B$11:$B$22),COUNTIF(J95:U95,"x")),1)+IF(COUNTIF(J95:U95,"x")=0,(Besatzung!$F$22="x"),(U95="x")*(Besatzung!$F$22="x"))*IFERROR(H95,0)/IFERROR(IF(COUNTIF(J95:U95,"x")=0,SUMPRODUCT((Besatzung!$B$11:$B$22&lt;&gt;"")*(Besatzung!$F$11:$F$22="x")),SUMPRODUCT((J95:U95="x")*(Besatzung!$F$11:$F$22="x"))),1))))),0))))</f>
        <v/>
      </c>
      <c r="AH95" s="248" t="n"/>
      <c r="AI95" s="248" t="n"/>
    </row>
    <row r="96" ht="21.75" customHeight="1" s="154">
      <c r="A96" s="238">
        <f>IF(AND(D96="",C96=""),"",93)</f>
        <v/>
      </c>
      <c r="B96" s="199" t="n"/>
      <c r="C96" s="239" t="n"/>
      <c r="D96" s="240" t="n"/>
      <c r="E96" s="241" t="n"/>
      <c r="F96" s="242" t="n"/>
      <c r="G96" s="243" t="n"/>
      <c r="H96" s="244" t="n"/>
      <c r="I96" s="245" t="n"/>
      <c r="J96" s="246" t="n"/>
      <c r="K96" s="246" t="n"/>
      <c r="L96" s="246" t="n"/>
      <c r="M96" s="246" t="n"/>
      <c r="N96" s="246" t="n"/>
      <c r="O96" s="246" t="n"/>
      <c r="P96" s="246" t="n"/>
      <c r="Q96" s="246" t="n"/>
      <c r="R96" s="246" t="n"/>
      <c r="S96" s="246" t="n"/>
      <c r="T96" s="246" t="n"/>
      <c r="U96" s="246" t="n"/>
      <c r="V96" s="247">
        <f>IF(C96="Gutschrift","",IF(G96="","",IF(Besatzung!$B$11="","",IFERROR(IF(I96="Zeitanteilig",(Besatzung!$G$11*(G96-IFERROR(H96,0))+((Besatzung!$B$11&lt;&gt;"")*IF(B96="",1,(IF(Besatzung!$C$11="",Besatzung!$B$5,Besatzung!$C$11)&lt;=B96)*(IF(Besatzung!$D$11="",Besatzung!$B$6,Besatzung!$D$11)&gt;=B96)))*(Besatzung!$F$11="x")*IFERROR(H96,0)/IFERROR(SUMPRODUCT((Besatzung!$B$11:$B$22&lt;&gt;"")*(Besatzung!$F$11:$F$22="x")*(IF(Besatzung!$C$11:$C$22="",Besatzung!$B$5,Besatzung!$C$11:$C$22)&lt;=B96)*(IF(Besatzung!$D$11:$D$22="",Besatzung!$B$6,Besatzung!$D$11:$D$22)&gt;=B96)),1)),IF(I96="An Bord",(((Besatzung!$B$11&lt;&gt;"")*IF(B96="",1,(IF(Besatzung!$C$11="",Besatzung!$B$5,Besatzung!$C$11)&lt;=B96)*(IF(Besatzung!$D$11="",Besatzung!$B$6,Besatzung!$D$11)&gt;=B96)))*((G96-IFERROR(H96,0))/IFERROR(SUMPRODUCT((Besatzung!$B$11:$B$22&lt;&gt;"")*(IF(Besatzung!$C$11:$C$22="",Besatzung!$B$5,Besatzung!$C$11:$C$22)&lt;=B96)*(IF(Besatzung!$D$11:$D$22="",Besatzung!$B$6,Besatzung!$D$11:$D$22)&gt;=B96)),1)+(Besatzung!$F$11="x")*IFERROR(H96,0)/IFERROR(SUMPRODUCT((Besatzung!$B$11:$B$22&lt;&gt;"")*(Besatzung!$F$11:$F$22="x")*(IF(Besatzung!$C$11:$C$22="",Besatzung!$B$5,Besatzung!$C$11:$C$22)&lt;=B96)*(IF(Besatzung!$D$11:$D$22="",Besatzung!$B$6,Besatzung!$D$11:$D$22)&gt;=B96)),1))),IF(I96="Individuell",((J96="x")*((G96-IFERROR(H96,0))/IFERROR(COUNTIF(J96:U96,"x"),1)+(Besatzung!$F$11="x")*IFERROR(H96,0)/IFERROR(SUMPRODUCT((J96:U96="x")*(Besatzung!$F$11:$F$22="x")),1))),(IF(COUNTIF(J96:U96,"x")=0,IF(Besatzung!$B$11&lt;&gt;"",1,0),(J96="x"))*(G96-IFERROR(H96,0))/IFERROR(IF(COUNTIF(J96:U96,"x")=0,COUNTA(Besatzung!$B$11:$B$22),COUNTIF(J96:U96,"x")),1)+IF(COUNTIF(J96:U96,"x")=0,(Besatzung!$F$11="x"),(J96="x")*(Besatzung!$F$11="x"))*IFERROR(H96,0)/IFERROR(IF(COUNTIF(J96:U96,"x")=0,SUMPRODUCT((Besatzung!$B$11:$B$22&lt;&gt;"")*(Besatzung!$F$11:$F$22="x")),SUMPRODUCT((J96:U96="x")*(Besatzung!$F$11:$F$22="x"))),1))))),0))))</f>
        <v/>
      </c>
      <c r="W96" s="247">
        <f>IF(C96="Gutschrift","",IF(G96="","",IF(Besatzung!$B$12="","",IFERROR(IF(I96="Zeitanteilig",(Besatzung!$G$12*(G96-IFERROR(H96,0))+((Besatzung!$B$12&lt;&gt;"")*IF(B96="",1,(IF(Besatzung!$C$12="",Besatzung!$B$5,Besatzung!$C$12)&lt;=B96)*(IF(Besatzung!$D$12="",Besatzung!$B$6,Besatzung!$D$12)&gt;=B96)))*(Besatzung!$F$12="x")*IFERROR(H96,0)/IFERROR(SUMPRODUCT((Besatzung!$B$11:$B$22&lt;&gt;"")*(Besatzung!$F$11:$F$22="x")*(IF(Besatzung!$C$11:$C$22="",Besatzung!$B$5,Besatzung!$C$11:$C$22)&lt;=B96)*(IF(Besatzung!$D$11:$D$22="",Besatzung!$B$6,Besatzung!$D$11:$D$22)&gt;=B96)),1)),IF(I96="An Bord",(((Besatzung!$B$12&lt;&gt;"")*IF(B96="",1,(IF(Besatzung!$C$12="",Besatzung!$B$5,Besatzung!$C$12)&lt;=B96)*(IF(Besatzung!$D$12="",Besatzung!$B$6,Besatzung!$D$12)&gt;=B96)))*((G96-IFERROR(H96,0))/IFERROR(SUMPRODUCT((Besatzung!$B$11:$B$22&lt;&gt;"")*(IF(Besatzung!$C$11:$C$22="",Besatzung!$B$5,Besatzung!$C$11:$C$22)&lt;=B96)*(IF(Besatzung!$D$11:$D$22="",Besatzung!$B$6,Besatzung!$D$11:$D$22)&gt;=B96)),1)+(Besatzung!$F$12="x")*IFERROR(H96,0)/IFERROR(SUMPRODUCT((Besatzung!$B$11:$B$22&lt;&gt;"")*(Besatzung!$F$11:$F$22="x")*(IF(Besatzung!$C$11:$C$22="",Besatzung!$B$5,Besatzung!$C$11:$C$22)&lt;=B96)*(IF(Besatzung!$D$11:$D$22="",Besatzung!$B$6,Besatzung!$D$11:$D$22)&gt;=B96)),1))),IF(I96="Individuell",((K96="x")*((G96-IFERROR(H96,0))/IFERROR(COUNTIF(J96:U96,"x"),1)+(Besatzung!$F$12="x")*IFERROR(H96,0)/IFERROR(SUMPRODUCT((J96:U96="x")*(Besatzung!$F$11:$F$22="x")),1))),(IF(COUNTIF(J96:U96,"x")=0,IF(Besatzung!$B$12&lt;&gt;"",1,0),(K96="x"))*(G96-IFERROR(H96,0))/IFERROR(IF(COUNTIF(J96:U96,"x")=0,COUNTA(Besatzung!$B$11:$B$22),COUNTIF(J96:U96,"x")),1)+IF(COUNTIF(J96:U96,"x")=0,(Besatzung!$F$12="x"),(K96="x")*(Besatzung!$F$12="x"))*IFERROR(H96,0)/IFERROR(IF(COUNTIF(J96:U96,"x")=0,SUMPRODUCT((Besatzung!$B$11:$B$22&lt;&gt;"")*(Besatzung!$F$11:$F$22="x")),SUMPRODUCT((J96:U96="x")*(Besatzung!$F$11:$F$22="x"))),1))))),0))))</f>
        <v/>
      </c>
      <c r="X96" s="247">
        <f>IF(C96="Gutschrift","",IF(G96="","",IF(Besatzung!$B$13="","",IFERROR(IF(I96="Zeitanteilig",(Besatzung!$G$13*(G96-IFERROR(H96,0))+((Besatzung!$B$13&lt;&gt;"")*IF(B96="",1,(IF(Besatzung!$C$13="",Besatzung!$B$5,Besatzung!$C$13)&lt;=B96)*(IF(Besatzung!$D$13="",Besatzung!$B$6,Besatzung!$D$13)&gt;=B96)))*(Besatzung!$F$13="x")*IFERROR(H96,0)/IFERROR(SUMPRODUCT((Besatzung!$B$11:$B$22&lt;&gt;"")*(Besatzung!$F$11:$F$22="x")*(IF(Besatzung!$C$11:$C$22="",Besatzung!$B$5,Besatzung!$C$11:$C$22)&lt;=B96)*(IF(Besatzung!$D$11:$D$22="",Besatzung!$B$6,Besatzung!$D$11:$D$22)&gt;=B96)),1)),IF(I96="An Bord",(((Besatzung!$B$13&lt;&gt;"")*IF(B96="",1,(IF(Besatzung!$C$13="",Besatzung!$B$5,Besatzung!$C$13)&lt;=B96)*(IF(Besatzung!$D$13="",Besatzung!$B$6,Besatzung!$D$13)&gt;=B96)))*((G96-IFERROR(H96,0))/IFERROR(SUMPRODUCT((Besatzung!$B$11:$B$22&lt;&gt;"")*(IF(Besatzung!$C$11:$C$22="",Besatzung!$B$5,Besatzung!$C$11:$C$22)&lt;=B96)*(IF(Besatzung!$D$11:$D$22="",Besatzung!$B$6,Besatzung!$D$11:$D$22)&gt;=B96)),1)+(Besatzung!$F$13="x")*IFERROR(H96,0)/IFERROR(SUMPRODUCT((Besatzung!$B$11:$B$22&lt;&gt;"")*(Besatzung!$F$11:$F$22="x")*(IF(Besatzung!$C$11:$C$22="",Besatzung!$B$5,Besatzung!$C$11:$C$22)&lt;=B96)*(IF(Besatzung!$D$11:$D$22="",Besatzung!$B$6,Besatzung!$D$11:$D$22)&gt;=B96)),1))),IF(I96="Individuell",((K96="x")*((G96-IFERROR(H96,0))/IFERROR(COUNTIF(J96:U96,"x"),1)+(Besatzung!$F$13="x")*IFERROR(H96,0)/IFERROR(SUMPRODUCT((J96:U96="x")*(Besatzung!$F$11:$F$22="x")),1))),(IF(COUNTIF(J96:U96,"x")=0,IF(Besatzung!$B$13&lt;&gt;"",1,0),(K96="x"))*(G96-IFERROR(H96,0))/IFERROR(IF(COUNTIF(J96:U96,"x")=0,COUNTA(Besatzung!$B$11:$B$22),COUNTIF(J96:U96,"x")),1)+IF(COUNTIF(J96:U96,"x")=0,(Besatzung!$F$13="x"),(K96="x")*(Besatzung!$F$13="x"))*IFERROR(H96,0)/IFERROR(IF(COUNTIF(J96:U96,"x")=0,SUMPRODUCT((Besatzung!$B$11:$B$22&lt;&gt;"")*(Besatzung!$F$11:$F$22="x")),SUMPRODUCT((J96:U96="x")*(Besatzung!$F$11:$F$22="x"))),1))))),0))))</f>
        <v/>
      </c>
      <c r="Y96" s="247">
        <f>IF(C96="Gutschrift","",IF(G96="","",IF(Besatzung!$B$14="","",IFERROR(IF(I96="Zeitanteilig",(Besatzung!$G$14*(G96-IFERROR(H96,0))+((Besatzung!$B$14&lt;&gt;"")*IF(B96="",1,(IF(Besatzung!$C$14="",Besatzung!$B$5,Besatzung!$C$14)&lt;=B96)*(IF(Besatzung!$D$14="",Besatzung!$B$6,Besatzung!$D$14)&gt;=B96)))*(Besatzung!$F$14="x")*IFERROR(H96,0)/IFERROR(SUMPRODUCT((Besatzung!$B$11:$B$22&lt;&gt;"")*(Besatzung!$F$11:$F$22="x")*(IF(Besatzung!$C$11:$C$22="",Besatzung!$B$5,Besatzung!$C$11:$C$22)&lt;=B96)*(IF(Besatzung!$D$11:$D$22="",Besatzung!$B$6,Besatzung!$D$11:$D$22)&gt;=B96)),1)),IF(I96="An Bord",(((Besatzung!$B$14&lt;&gt;"")*IF(B96="",1,(IF(Besatzung!$C$14="",Besatzung!$B$5,Besatzung!$C$14)&lt;=B96)*(IF(Besatzung!$D$14="",Besatzung!$B$6,Besatzung!$D$14)&gt;=B96)))*((G96-IFERROR(H96,0))/IFERROR(SUMPRODUCT((Besatzung!$B$11:$B$22&lt;&gt;"")*(IF(Besatzung!$C$11:$C$22="",Besatzung!$B$5,Besatzung!$C$11:$C$22)&lt;=B96)*(IF(Besatzung!$D$11:$D$22="",Besatzung!$B$6,Besatzung!$D$11:$D$22)&gt;=B96)),1)+(Besatzung!$F$14="x")*IFERROR(H96,0)/IFERROR(SUMPRODUCT((Besatzung!$B$11:$B$22&lt;&gt;"")*(Besatzung!$F$11:$F$22="x")*(IF(Besatzung!$C$11:$C$22="",Besatzung!$B$5,Besatzung!$C$11:$C$22)&lt;=B96)*(IF(Besatzung!$D$11:$D$22="",Besatzung!$B$6,Besatzung!$D$11:$D$22)&gt;=B96)),1))),IF(I96="Individuell",((M96="x")*((G96-IFERROR(H96,0))/IFERROR(COUNTIF(J96:U96,"x"),1)+(Besatzung!$F$14="x")*IFERROR(H96,0)/IFERROR(SUMPRODUCT((J96:U96="x")*(Besatzung!$F$11:$F$22="x")),1))),(IF(COUNTIF(J96:U96,"x")=0,IF(Besatzung!$B$14&lt;&gt;"",1,0),(M96="x"))*(G96-IFERROR(H96,0))/IFERROR(IF(COUNTIF(J96:U96,"x")=0,COUNTA(Besatzung!$B$11:$B$22),COUNTIF(J96:U96,"x")),1)+IF(COUNTIF(J96:U96,"x")=0,(Besatzung!$F$14="x"),(M96="x")*(Besatzung!$F$14="x"))*IFERROR(H96,0)/IFERROR(IF(COUNTIF(J96:U96,"x")=0,SUMPRODUCT((Besatzung!$B$11:$B$22&lt;&gt;"")*(Besatzung!$F$11:$F$22="x")),SUMPRODUCT((J96:U96="x")*(Besatzung!$F$11:$F$22="x"))),1))))),0))))</f>
        <v/>
      </c>
      <c r="Z96" s="247">
        <f>IF(C96="Gutschrift","",IF(G96="","",IF(Besatzung!$B$13="","",IFERROR(IF(I96="Zeitanteilig",(Besatzung!$G$15*(G96-IFERROR(H96,0))+((Besatzung!$B$13&lt;&gt;"")*IF(B96="",1,(IF(Besatzung!$C$15="",Besatzung!$B$5,Besatzung!$C$15)&lt;=B96)*(IF(Besatzung!$D$15="",Besatzung!$B$6,Besatzung!$D$15)&gt;=B96)))*(Besatzung!$F$15="x")*IFERROR(H96,0)/IFERROR(SUMPRODUCT((Besatzung!$B$11:$B$22&lt;&gt;"")*(Besatzung!$F$11:$F$22="x")*(IF(Besatzung!$C$11:$C$22="",Besatzung!$B$5,Besatzung!$C$11:$C$22)&lt;=B96)*(IF(Besatzung!$D$11:$D$22="",Besatzung!$B$6,Besatzung!$D$11:$D$22)&gt;=B96)),1)),IF(I96="An Bord",(((Besatzung!$B$13&lt;&gt;"")*IF(B96="",1,(IF(Besatzung!$C$15="",Besatzung!$B$5,Besatzung!$C$15)&lt;=B96)*(IF(Besatzung!$D$15="",Besatzung!$B$6,Besatzung!$D$15)&gt;=B96)))*((G96-IFERROR(H96,0))/IFERROR(SUMPRODUCT((Besatzung!$B$11:$B$22&lt;&gt;"")*(IF(Besatzung!$C$11:$C$22="",Besatzung!$B$5,Besatzung!$C$11:$C$22)&lt;=B96)*(IF(Besatzung!$D$11:$D$22="",Besatzung!$B$6,Besatzung!$D$11:$D$22)&gt;=B96)),1)+(Besatzung!$F$15="x")*IFERROR(H96,0)/IFERROR(SUMPRODUCT((Besatzung!$B$11:$B$22&lt;&gt;"")*(Besatzung!$F$11:$F$22="x")*(IF(Besatzung!$C$11:$C$22="",Besatzung!$B$5,Besatzung!$C$11:$C$22)&lt;=B96)*(IF(Besatzung!$D$11:$D$22="",Besatzung!$B$6,Besatzung!$D$11:$D$22)&gt;=B96)),1))),IF(I96="Individuell",((N96="x")*((G96-IFERROR(H96,0))/IFERROR(COUNTIF(J96:U96,"x"),1)+(Besatzung!$F$15="x")*IFERROR(H96,0)/IFERROR(SUMPRODUCT((J96:U96="x")*(Besatzung!$F$11:$F$22="x")),1))),(IF(COUNTIF(J96:U96,"x")=0,IF(Besatzung!$B$13&lt;&gt;"",1,0),(N96="x"))*(G96-IFERROR(H96,0))/IFERROR(IF(COUNTIF(J96:U96,"x")=0,COUNTA(Besatzung!$B$11:$B$22),COUNTIF(J96:U96,"x")),1)+IF(COUNTIF(J96:U96,"x")=0,(Besatzung!$F$15="x"),(N96="x")*(Besatzung!$F$15="x"))*IFERROR(H96,0)/IFERROR(IF(COUNTIF(J96:U96,"x")=0,SUMPRODUCT((Besatzung!$B$11:$B$22&lt;&gt;"")*(Besatzung!$F$11:$F$22="x")),SUMPRODUCT((J96:U96="x")*(Besatzung!$F$11:$F$22="x"))),1))))),0))))</f>
        <v/>
      </c>
      <c r="AA96" s="247">
        <f>IF(C96="Gutschrift","",IF(G96="","",IF(Besatzung!$B$15="","",IFERROR(IF(I96="Zeitanteilig",(Besatzung!$G$16*(G96-IFERROR(H96,0))+((Besatzung!$B$15&lt;&gt;"")*IF(B96="",1,(IF(Besatzung!$C$16="",Besatzung!$B$5,Besatzung!$C$16)&lt;=B96)*(IF(Besatzung!$D$16="",Besatzung!$B$6,Besatzung!$D$16)&gt;=B96)))*(Besatzung!$F$16="x")*IFERROR(H96,0)/IFERROR(SUMPRODUCT((Besatzung!$B$11:$B$22&lt;&gt;"")*(Besatzung!$F$11:$F$22="x")*(IF(Besatzung!$C$11:$C$22="",Besatzung!$B$5,Besatzung!$C$11:$C$22)&lt;=B96)*(IF(Besatzung!$D$11:$D$22="",Besatzung!$B$6,Besatzung!$D$11:$D$22)&gt;=B96)),1)),IF(I96="An Bord",(((Besatzung!$B$15&lt;&gt;"")*IF(B96="",1,(IF(Besatzung!$C$16="",Besatzung!$B$5,Besatzung!$C$16)&lt;=B96)*(IF(Besatzung!$D$16="",Besatzung!$B$6,Besatzung!$D$16)&gt;=B96)))*((G96-IFERROR(H96,0))/IFERROR(SUMPRODUCT((Besatzung!$B$11:$B$22&lt;&gt;"")*(IF(Besatzung!$C$11:$C$22="",Besatzung!$B$5,Besatzung!$C$11:$C$22)&lt;=B96)*(IF(Besatzung!$D$11:$D$22="",Besatzung!$B$6,Besatzung!$D$11:$D$22)&gt;=B96)),1)+(Besatzung!$F$16="x")*IFERROR(H96,0)/IFERROR(SUMPRODUCT((Besatzung!$B$11:$B$22&lt;&gt;"")*(Besatzung!$F$11:$F$22="x")*(IF(Besatzung!$C$11:$C$22="",Besatzung!$B$5,Besatzung!$C$11:$C$22)&lt;=B96)*(IF(Besatzung!$D$11:$D$22="",Besatzung!$B$6,Besatzung!$D$11:$D$22)&gt;=B96)),1))),IF(I96="Individuell",((O96="x")*((G96-IFERROR(H96,0))/IFERROR(COUNTIF(J96:U96,"x"),1)+(Besatzung!$F$16="x")*IFERROR(H96,0)/IFERROR(SUMPRODUCT((J96:U96="x")*(Besatzung!$F$11:$F$22="x")),1))),(IF(COUNTIF(J96:U96,"x")=0,IF(Besatzung!$B$15&lt;&gt;"",1,0),(O96="x"))*(G96-IFERROR(H96,0))/IFERROR(IF(COUNTIF(J96:U96,"x")=0,COUNTA(Besatzung!$B$11:$B$22),COUNTIF(J96:U96,"x")),1)+IF(COUNTIF(J96:U96,"x")=0,(Besatzung!$F$16="x"),(O96="x")*(Besatzung!$F$16="x"))*IFERROR(H96,0)/IFERROR(IF(COUNTIF(J96:U96,"x")=0,SUMPRODUCT((Besatzung!$B$11:$B$22&lt;&gt;"")*(Besatzung!$F$11:$F$22="x")),SUMPRODUCT((J96:U96="x")*(Besatzung!$F$11:$F$22="x"))),1))))),0))))</f>
        <v/>
      </c>
      <c r="AB96" s="247">
        <f>IF(C96="Gutschrift","",IF(G96="","",IF(Besatzung!$B$17="","",IFERROR(IF(I96="Zeitanteilig",(Besatzung!$G$17*(G96-IFERROR(H96,0))+((Besatzung!$B$17&lt;&gt;"")*IF(B96="",1,(IF(Besatzung!$C$17="",Besatzung!$B$5,Besatzung!$C$17)&lt;=B96)*(IF(Besatzung!$D$17="",Besatzung!$B$6,Besatzung!$D$17)&gt;=B96)))*(Besatzung!$F$17="x")*IFERROR(H96,0)/IFERROR(SUMPRODUCT((Besatzung!$B$11:$B$22&lt;&gt;"")*(Besatzung!$F$11:$F$22="x")*(IF(Besatzung!$C$11:$C$22="",Besatzung!$B$5,Besatzung!$C$11:$C$22)&lt;=B96)*(IF(Besatzung!$D$11:$D$22="",Besatzung!$B$6,Besatzung!$D$11:$D$22)&gt;=B96)),1)),IF(I96="An Bord",(((Besatzung!$B$17&lt;&gt;"")*IF(B96="",1,(IF(Besatzung!$C$17="",Besatzung!$B$5,Besatzung!$C$17)&lt;=B96)*(IF(Besatzung!$D$17="",Besatzung!$B$6,Besatzung!$D$17)&gt;=B96)))*((G96-IFERROR(H96,0))/IFERROR(SUMPRODUCT((Besatzung!$B$11:$B$22&lt;&gt;"")*(IF(Besatzung!$C$11:$C$22="",Besatzung!$B$5,Besatzung!$C$11:$C$22)&lt;=B96)*(IF(Besatzung!$D$11:$D$22="",Besatzung!$B$6,Besatzung!$D$11:$D$22)&gt;=B96)),1)+(Besatzung!$F$17="x")*IFERROR(H96,0)/IFERROR(SUMPRODUCT((Besatzung!$B$11:$B$22&lt;&gt;"")*(Besatzung!$F$11:$F$22="x")*(IF(Besatzung!$C$11:$C$22="",Besatzung!$B$5,Besatzung!$C$11:$C$22)&lt;=B96)*(IF(Besatzung!$D$11:$D$22="",Besatzung!$B$6,Besatzung!$D$11:$D$22)&gt;=B96)),1))),IF(I96="Individuell",((P96="x")*((G96-IFERROR(H96,0))/IFERROR(COUNTIF(J96:U96,"x"),1)+(Besatzung!$F$17="x")*IFERROR(H96,0)/IFERROR(SUMPRODUCT((J96:U96="x")*(Besatzung!$F$11:$F$22="x")),1))),(IF(COUNTIF(J96:U96,"x")=0,IF(Besatzung!$B$17&lt;&gt;"",1,0),(P96="x"))*(G96-IFERROR(H96,0))/IFERROR(IF(COUNTIF(J96:U96,"x")=0,COUNTA(Besatzung!$B$11:$B$22),COUNTIF(J96:U96,"x")),1)+IF(COUNTIF(J96:U96,"x")=0,(Besatzung!$F$17="x"),(P96="x")*(Besatzung!$F$17="x"))*IFERROR(H96,0)/IFERROR(IF(COUNTIF(J96:U96,"x")=0,SUMPRODUCT((Besatzung!$B$11:$B$22&lt;&gt;"")*(Besatzung!$F$11:$F$22="x")),SUMPRODUCT((J96:U96="x")*(Besatzung!$F$11:$F$22="x"))),1))))),0))))</f>
        <v/>
      </c>
      <c r="AC96" s="247">
        <f>IF(C96="Gutschrift","",IF(G96="","",IF(Besatzung!$B$18="","",IFERROR(IF(I96="Zeitanteilig",(Besatzung!$G$18*(G96-IFERROR(H96,0))+((Besatzung!$B$18&lt;&gt;"")*IF(B96="",1,(IF(Besatzung!$C$18="",Besatzung!$B$5,Besatzung!$C$18)&lt;=B96)*(IF(Besatzung!$D$18="",Besatzung!$B$6,Besatzung!$D$18)&gt;=B96)))*(Besatzung!$F$18="x")*IFERROR(H96,0)/IFERROR(SUMPRODUCT((Besatzung!$B$11:$B$22&lt;&gt;"")*(Besatzung!$F$11:$F$22="x")*(IF(Besatzung!$C$11:$C$22="",Besatzung!$B$5,Besatzung!$C$11:$C$22)&lt;=B96)*(IF(Besatzung!$D$11:$D$22="",Besatzung!$B$6,Besatzung!$D$11:$D$22)&gt;=B96)),1)),IF(I96="An Bord",(((Besatzung!$B$18&lt;&gt;"")*IF(B96="",1,(IF(Besatzung!$C$18="",Besatzung!$B$5,Besatzung!$C$18)&lt;=B96)*(IF(Besatzung!$D$18="",Besatzung!$B$6,Besatzung!$D$18)&gt;=B96)))*((G96-IFERROR(H96,0))/IFERROR(SUMPRODUCT((Besatzung!$B$11:$B$22&lt;&gt;"")*(IF(Besatzung!$C$11:$C$22="",Besatzung!$B$5,Besatzung!$C$11:$C$22)&lt;=B96)*(IF(Besatzung!$D$11:$D$22="",Besatzung!$B$6,Besatzung!$D$11:$D$22)&gt;=B96)),1)+(Besatzung!$F$18="x")*IFERROR(H96,0)/IFERROR(SUMPRODUCT((Besatzung!$B$11:$B$22&lt;&gt;"")*(Besatzung!$F$11:$F$22="x")*(IF(Besatzung!$C$11:$C$22="",Besatzung!$B$5,Besatzung!$C$11:$C$22)&lt;=B96)*(IF(Besatzung!$D$11:$D$22="",Besatzung!$B$6,Besatzung!$D$11:$D$22)&gt;=B96)),1))),IF(I96="Individuell",((Q96="x")*((G96-IFERROR(H96,0))/IFERROR(COUNTIF(J96:U96,"x"),1)+(Besatzung!$F$18="x")*IFERROR(H96,0)/IFERROR(SUMPRODUCT((J96:U96="x")*(Besatzung!$F$11:$F$22="x")),1))),(IF(COUNTIF(J96:U96,"x")=0,IF(Besatzung!$B$18&lt;&gt;"",1,0),(Q96="x"))*(G96-IFERROR(H96,0))/IFERROR(IF(COUNTIF(J96:U96,"x")=0,COUNTA(Besatzung!$B$11:$B$22),COUNTIF(J96:U96,"x")),1)+IF(COUNTIF(J96:U96,"x")=0,(Besatzung!$F$18="x"),(Q96="x")*(Besatzung!$F$18="x"))*IFERROR(H96,0)/IFERROR(IF(COUNTIF(J96:U96,"x")=0,SUMPRODUCT((Besatzung!$B$11:$B$22&lt;&gt;"")*(Besatzung!$F$11:$F$22="x")),SUMPRODUCT((J96:U96="x")*(Besatzung!$F$11:$F$22="x"))),1))))),0))))</f>
        <v/>
      </c>
      <c r="AD96" s="247">
        <f>IF(C96="Gutschrift","",IF(G96="","",IF(Besatzung!$B$19="","",IFERROR(IF(I96="Zeitanteilig",(Besatzung!$G$19*(G96-IFERROR(H96,0))+((Besatzung!$B$19&lt;&gt;"")*IF(B96="",1,(IF(Besatzung!$C$19="",Besatzung!$B$5,Besatzung!$C$19)&lt;=B96)*(IF(Besatzung!$D$19="",Besatzung!$B$6,Besatzung!$D$19)&gt;=B96)))*(Besatzung!$F$19="x")*IFERROR(H96,0)/IFERROR(SUMPRODUCT((Besatzung!$B$11:$B$22&lt;&gt;"")*(Besatzung!$F$11:$F$22="x")*(IF(Besatzung!$C$11:$C$22="",Besatzung!$B$5,Besatzung!$C$11:$C$22)&lt;=B96)*(IF(Besatzung!$D$11:$D$22="",Besatzung!$B$6,Besatzung!$D$11:$D$22)&gt;=B96)),1)),IF(I96="An Bord",(((Besatzung!$B$19&lt;&gt;"")*IF(B96="",1,(IF(Besatzung!$C$19="",Besatzung!$B$5,Besatzung!$C$19)&lt;=B96)*(IF(Besatzung!$D$19="",Besatzung!$B$6,Besatzung!$D$19)&gt;=B96)))*((G96-IFERROR(H96,0))/IFERROR(SUMPRODUCT((Besatzung!$B$11:$B$22&lt;&gt;"")*(IF(Besatzung!$C$11:$C$22="",Besatzung!$B$5,Besatzung!$C$11:$C$22)&lt;=B96)*(IF(Besatzung!$D$11:$D$22="",Besatzung!$B$6,Besatzung!$D$11:$D$22)&gt;=B96)),1)+(Besatzung!$F$19="x")*IFERROR(H96,0)/IFERROR(SUMPRODUCT((Besatzung!$B$11:$B$22&lt;&gt;"")*(Besatzung!$F$11:$F$22="x")*(IF(Besatzung!$C$11:$C$22="",Besatzung!$B$5,Besatzung!$C$11:$C$22)&lt;=B96)*(IF(Besatzung!$D$11:$D$22="",Besatzung!$B$6,Besatzung!$D$11:$D$22)&gt;=B96)),1))),IF(I96="Individuell",((R96="x")*((G96-IFERROR(H96,0))/IFERROR(COUNTIF(J96:U96,"x"),1)+(Besatzung!$F$19="x")*IFERROR(H96,0)/IFERROR(SUMPRODUCT((J96:U96="x")*(Besatzung!$F$11:$F$22="x")),1))),(IF(COUNTIF(J96:U96,"x")=0,IF(Besatzung!$B$19&lt;&gt;"",1,0),(R96="x"))*(G96-IFERROR(H96,0))/IFERROR(IF(COUNTIF(J96:U96,"x")=0,COUNTA(Besatzung!$B$11:$B$22),COUNTIF(J96:U96,"x")),1)+IF(COUNTIF(J96:U96,"x")=0,(Besatzung!$F$19="x"),(R96="x")*(Besatzung!$F$19="x"))*IFERROR(H96,0)/IFERROR(IF(COUNTIF(J96:U96,"x")=0,SUMPRODUCT((Besatzung!$B$11:$B$22&lt;&gt;"")*(Besatzung!$F$11:$F$22="x")),SUMPRODUCT((J96:U96="x")*(Besatzung!$F$11:$F$22="x"))),1))))),0))))</f>
        <v/>
      </c>
      <c r="AE96" s="247">
        <f>IF(C96="Gutschrift","",IF(G96="","",IF(Besatzung!$B$20="","",IFERROR(IF(I96="Zeitanteilig",(Besatzung!$G$20*(G96-IFERROR(H96,0))+((Besatzung!$B$20&lt;&gt;"")*IF(B96="",1,(IF(Besatzung!$C$20="",Besatzung!$B$5,Besatzung!$C$20)&lt;=B96)*(IF(Besatzung!$D$20="",Besatzung!$B$6,Besatzung!$D$20)&gt;=B96)))*(Besatzung!$F$20="x")*IFERROR(H96,0)/IFERROR(SUMPRODUCT((Besatzung!$B$11:$B$22&lt;&gt;"")*(Besatzung!$F$11:$F$22="x")*(IF(Besatzung!$C$11:$C$22="",Besatzung!$B$5,Besatzung!$C$11:$C$22)&lt;=B96)*(IF(Besatzung!$D$11:$D$22="",Besatzung!$B$6,Besatzung!$D$11:$D$22)&gt;=B96)),1)),IF(I96="An Bord",(((Besatzung!$B$20&lt;&gt;"")*IF(B96="",1,(IF(Besatzung!$C$20="",Besatzung!$B$5,Besatzung!$C$20)&lt;=B96)*(IF(Besatzung!$D$20="",Besatzung!$B$6,Besatzung!$D$20)&gt;=B96)))*((G96-IFERROR(H96,0))/IFERROR(SUMPRODUCT((Besatzung!$B$11:$B$22&lt;&gt;"")*(IF(Besatzung!$C$11:$C$22="",Besatzung!$B$5,Besatzung!$C$11:$C$22)&lt;=B96)*(IF(Besatzung!$D$11:$D$22="",Besatzung!$B$6,Besatzung!$D$11:$D$22)&gt;=B96)),1)+(Besatzung!$F$20="x")*IFERROR(H96,0)/IFERROR(SUMPRODUCT((Besatzung!$B$11:$B$22&lt;&gt;"")*(Besatzung!$F$11:$F$22="x")*(IF(Besatzung!$C$11:$C$22="",Besatzung!$B$5,Besatzung!$C$11:$C$22)&lt;=B96)*(IF(Besatzung!$D$11:$D$22="",Besatzung!$B$6,Besatzung!$D$11:$D$22)&gt;=B96)),1))),IF(I96="Individuell",((S96="x")*((G96-IFERROR(H96,0))/IFERROR(COUNTIF(J96:U96,"x"),1)+(Besatzung!$F$20="x")*IFERROR(H96,0)/IFERROR(SUMPRODUCT((J96:U96="x")*(Besatzung!$F$11:$F$22="x")),1))),(IF(COUNTIF(J96:U96,"x")=0,IF(Besatzung!$B$20&lt;&gt;"",1,0),(S96="x"))*(G96-IFERROR(H96,0))/IFERROR(IF(COUNTIF(J96:U96,"x")=0,COUNTA(Besatzung!$B$11:$B$22),COUNTIF(J96:U96,"x")),1)+IF(COUNTIF(J96:U96,"x")=0,(Besatzung!$F$20="x"),(S96="x")*(Besatzung!$F$20="x"))*IFERROR(H96,0)/IFERROR(IF(COUNTIF(J96:U96,"x")=0,SUMPRODUCT((Besatzung!$B$11:$B$22&lt;&gt;"")*(Besatzung!$F$11:$F$22="x")),SUMPRODUCT((J96:U96="x")*(Besatzung!$F$11:$F$22="x"))),1))))),0))))</f>
        <v/>
      </c>
      <c r="AF96" s="247">
        <f>IF(C96="Gutschrift","",IF(G96="","",IF(Besatzung!$B$21="","",IFERROR(IF(I96="Zeitanteilig",(Besatzung!$G$21*(G96-IFERROR(H96,0))+((Besatzung!$B$21&lt;&gt;"")*IF(B96="",1,(IF(Besatzung!$C$21="",Besatzung!$B$5,Besatzung!$C$21)&lt;=B96)*(IF(Besatzung!$D$21="",Besatzung!$B$6,Besatzung!$D$21)&gt;=B96)))*(Besatzung!$F$21="x")*IFERROR(H96,0)/IFERROR(SUMPRODUCT((Besatzung!$B$11:$B$22&lt;&gt;"")*(Besatzung!$F$11:$F$22="x")*(IF(Besatzung!$C$11:$C$22="",Besatzung!$B$5,Besatzung!$C$11:$C$22)&lt;=B96)*(IF(Besatzung!$D$11:$D$22="",Besatzung!$B$6,Besatzung!$D$11:$D$22)&gt;=B96)),1)),IF(I96="An Bord",(((Besatzung!$B$21&lt;&gt;"")*IF(B96="",1,(IF(Besatzung!$C$21="",Besatzung!$B$5,Besatzung!$C$21)&lt;=B96)*(IF(Besatzung!$D$21="",Besatzung!$B$6,Besatzung!$D$21)&gt;=B96)))*((G96-IFERROR(H96,0))/IFERROR(SUMPRODUCT((Besatzung!$B$11:$B$22&lt;&gt;"")*(IF(Besatzung!$C$11:$C$22="",Besatzung!$B$5,Besatzung!$C$11:$C$22)&lt;=B96)*(IF(Besatzung!$D$11:$D$22="",Besatzung!$B$6,Besatzung!$D$11:$D$22)&gt;=B96)),1)+(Besatzung!$F$21="x")*IFERROR(H96,0)/IFERROR(SUMPRODUCT((Besatzung!$B$11:$B$22&lt;&gt;"")*(Besatzung!$F$11:$F$22="x")*(IF(Besatzung!$C$11:$C$22="",Besatzung!$B$5,Besatzung!$C$11:$C$22)&lt;=B96)*(IF(Besatzung!$D$11:$D$22="",Besatzung!$B$6,Besatzung!$D$11:$D$22)&gt;=B96)),1))),IF(I96="Individuell",((T96="x")*((G96-IFERROR(H96,0))/IFERROR(COUNTIF(J96:U96,"x"),1)+(Besatzung!$F$21="x")*IFERROR(H96,0)/IFERROR(SUMPRODUCT((J96:U96="x")*(Besatzung!$F$11:$F$22="x")),1))),(IF(COUNTIF(J96:U96,"x")=0,IF(Besatzung!$B$21&lt;&gt;"",1,0),(T96="x"))*(G96-IFERROR(H96,0))/IFERROR(IF(COUNTIF(J96:U96,"x")=0,COUNTA(Besatzung!$B$11:$B$22),COUNTIF(J96:U96,"x")),1)+IF(COUNTIF(J96:U96,"x")=0,(Besatzung!$F$21="x"),(T96="x")*(Besatzung!$F$21="x"))*IFERROR(H96,0)/IFERROR(IF(COUNTIF(J96:U96,"x")=0,SUMPRODUCT((Besatzung!$B$11:$B$22&lt;&gt;"")*(Besatzung!$F$11:$F$22="x")),SUMPRODUCT((J96:U96="x")*(Besatzung!$F$11:$F$22="x"))),1))))),0))))</f>
        <v/>
      </c>
      <c r="AG96" s="247">
        <f>IF(C96="Gutschrift","",IF(G96="","",IF(Besatzung!$B$22="","",IFERROR(IF(I96="Zeitanteilig",(Besatzung!$G$22*(G96-IFERROR(H96,0))+((Besatzung!$B$22&lt;&gt;"")*IF(B96="",1,(IF(Besatzung!$C$22="",Besatzung!$B$5,Besatzung!$C$22)&lt;=B96)*(IF(Besatzung!$D$22="",Besatzung!$B$6,Besatzung!$D$22)&gt;=B96)))*(Besatzung!$F$22="x")*IFERROR(H96,0)/IFERROR(SUMPRODUCT((Besatzung!$B$11:$B$22&lt;&gt;"")*(Besatzung!$F$11:$F$22="x")*(IF(Besatzung!$C$11:$C$22="",Besatzung!$B$5,Besatzung!$C$11:$C$22)&lt;=B96)*(IF(Besatzung!$D$11:$D$22="",Besatzung!$B$6,Besatzung!$D$11:$D$22)&gt;=B96)),1)),IF(I96="An Bord",(((Besatzung!$B$22&lt;&gt;"")*IF(B96="",1,(IF(Besatzung!$C$22="",Besatzung!$B$5,Besatzung!$C$22)&lt;=B96)*(IF(Besatzung!$D$22="",Besatzung!$B$6,Besatzung!$D$22)&gt;=B96)))*((G96-IFERROR(H96,0))/IFERROR(SUMPRODUCT((Besatzung!$B$11:$B$22&lt;&gt;"")*(IF(Besatzung!$C$11:$C$22="",Besatzung!$B$5,Besatzung!$C$11:$C$22)&lt;=B96)*(IF(Besatzung!$D$11:$D$22="",Besatzung!$B$6,Besatzung!$D$11:$D$22)&gt;=B96)),1)+(Besatzung!$F$22="x")*IFERROR(H96,0)/IFERROR(SUMPRODUCT((Besatzung!$B$11:$B$22&lt;&gt;"")*(Besatzung!$F$11:$F$22="x")*(IF(Besatzung!$C$11:$C$22="",Besatzung!$B$5,Besatzung!$C$11:$C$22)&lt;=B96)*(IF(Besatzung!$D$11:$D$22="",Besatzung!$B$6,Besatzung!$D$11:$D$22)&gt;=B96)),1))),IF(I96="Individuell",((U96="x")*((G96-IFERROR(H96,0))/IFERROR(COUNTIF(J96:U96,"x"),1)+(Besatzung!$F$22="x")*IFERROR(H96,0)/IFERROR(SUMPRODUCT((J96:U96="x")*(Besatzung!$F$11:$F$22="x")),1))),(IF(COUNTIF(J96:U96,"x")=0,IF(Besatzung!$B$22&lt;&gt;"",1,0),(U96="x"))*(G96-IFERROR(H96,0))/IFERROR(IF(COUNTIF(J96:U96,"x")=0,COUNTA(Besatzung!$B$11:$B$22),COUNTIF(J96:U96,"x")),1)+IF(COUNTIF(J96:U96,"x")=0,(Besatzung!$F$22="x"),(U96="x")*(Besatzung!$F$22="x"))*IFERROR(H96,0)/IFERROR(IF(COUNTIF(J96:U96,"x")=0,SUMPRODUCT((Besatzung!$B$11:$B$22&lt;&gt;"")*(Besatzung!$F$11:$F$22="x")),SUMPRODUCT((J96:U96="x")*(Besatzung!$F$11:$F$22="x"))),1))))),0))))</f>
        <v/>
      </c>
      <c r="AH96" s="248" t="n"/>
      <c r="AI96" s="248" t="n"/>
    </row>
    <row r="97" ht="21.75" customHeight="1" s="154">
      <c r="A97" s="238">
        <f>IF(AND(D97="",C97=""),"",94)</f>
        <v/>
      </c>
      <c r="B97" s="206" t="n"/>
      <c r="C97" s="249" t="n"/>
      <c r="D97" s="250" t="n"/>
      <c r="E97" s="251" t="n"/>
      <c r="F97" s="252" t="n"/>
      <c r="G97" s="253" t="n"/>
      <c r="H97" s="254" t="n"/>
      <c r="I97" s="255" t="n"/>
      <c r="J97" s="256" t="n"/>
      <c r="K97" s="256" t="n"/>
      <c r="L97" s="256" t="n"/>
      <c r="M97" s="256" t="n"/>
      <c r="N97" s="256" t="n"/>
      <c r="O97" s="256" t="n"/>
      <c r="P97" s="256" t="n"/>
      <c r="Q97" s="256" t="n"/>
      <c r="R97" s="256" t="n"/>
      <c r="S97" s="256" t="n"/>
      <c r="T97" s="256" t="n"/>
      <c r="U97" s="256" t="n"/>
      <c r="V97" s="247">
        <f>IF(C97="Gutschrift","",IF(G97="","",IF(Besatzung!$B$11="","",IFERROR(IF(I97="Zeitanteilig",(Besatzung!$G$11*(G97-IFERROR(H97,0))+((Besatzung!$B$11&lt;&gt;"")*IF(B97="",1,(IF(Besatzung!$C$11="",Besatzung!$B$5,Besatzung!$C$11)&lt;=B97)*(IF(Besatzung!$D$11="",Besatzung!$B$6,Besatzung!$D$11)&gt;=B97)))*(Besatzung!$F$11="x")*IFERROR(H97,0)/IFERROR(SUMPRODUCT((Besatzung!$B$11:$B$22&lt;&gt;"")*(Besatzung!$F$11:$F$22="x")*(IF(Besatzung!$C$11:$C$22="",Besatzung!$B$5,Besatzung!$C$11:$C$22)&lt;=B97)*(IF(Besatzung!$D$11:$D$22="",Besatzung!$B$6,Besatzung!$D$11:$D$22)&gt;=B97)),1)),IF(I97="An Bord",(((Besatzung!$B$11&lt;&gt;"")*IF(B97="",1,(IF(Besatzung!$C$11="",Besatzung!$B$5,Besatzung!$C$11)&lt;=B97)*(IF(Besatzung!$D$11="",Besatzung!$B$6,Besatzung!$D$11)&gt;=B97)))*((G97-IFERROR(H97,0))/IFERROR(SUMPRODUCT((Besatzung!$B$11:$B$22&lt;&gt;"")*(IF(Besatzung!$C$11:$C$22="",Besatzung!$B$5,Besatzung!$C$11:$C$22)&lt;=B97)*(IF(Besatzung!$D$11:$D$22="",Besatzung!$B$6,Besatzung!$D$11:$D$22)&gt;=B97)),1)+(Besatzung!$F$11="x")*IFERROR(H97,0)/IFERROR(SUMPRODUCT((Besatzung!$B$11:$B$22&lt;&gt;"")*(Besatzung!$F$11:$F$22="x")*(IF(Besatzung!$C$11:$C$22="",Besatzung!$B$5,Besatzung!$C$11:$C$22)&lt;=B97)*(IF(Besatzung!$D$11:$D$22="",Besatzung!$B$6,Besatzung!$D$11:$D$22)&gt;=B97)),1))),IF(I97="Individuell",((J97="x")*((G97-IFERROR(H97,0))/IFERROR(COUNTIF(J97:U97,"x"),1)+(Besatzung!$F$11="x")*IFERROR(H97,0)/IFERROR(SUMPRODUCT((J97:U97="x")*(Besatzung!$F$11:$F$22="x")),1))),(IF(COUNTIF(J97:U97,"x")=0,IF(Besatzung!$B$11&lt;&gt;"",1,0),(J97="x"))*(G97-IFERROR(H97,0))/IFERROR(IF(COUNTIF(J97:U97,"x")=0,COUNTA(Besatzung!$B$11:$B$22),COUNTIF(J97:U97,"x")),1)+IF(COUNTIF(J97:U97,"x")=0,(Besatzung!$F$11="x"),(J97="x")*(Besatzung!$F$11="x"))*IFERROR(H97,0)/IFERROR(IF(COUNTIF(J97:U97,"x")=0,SUMPRODUCT((Besatzung!$B$11:$B$22&lt;&gt;"")*(Besatzung!$F$11:$F$22="x")),SUMPRODUCT((J97:U97="x")*(Besatzung!$F$11:$F$22="x"))),1))))),0))))</f>
        <v/>
      </c>
      <c r="W97" s="247">
        <f>IF(C97="Gutschrift","",IF(G97="","",IF(Besatzung!$B$12="","",IFERROR(IF(I97="Zeitanteilig",(Besatzung!$G$12*(G97-IFERROR(H97,0))+((Besatzung!$B$12&lt;&gt;"")*IF(B97="",1,(IF(Besatzung!$C$12="",Besatzung!$B$5,Besatzung!$C$12)&lt;=B97)*(IF(Besatzung!$D$12="",Besatzung!$B$6,Besatzung!$D$12)&gt;=B97)))*(Besatzung!$F$12="x")*IFERROR(H97,0)/IFERROR(SUMPRODUCT((Besatzung!$B$11:$B$22&lt;&gt;"")*(Besatzung!$F$11:$F$22="x")*(IF(Besatzung!$C$11:$C$22="",Besatzung!$B$5,Besatzung!$C$11:$C$22)&lt;=B97)*(IF(Besatzung!$D$11:$D$22="",Besatzung!$B$6,Besatzung!$D$11:$D$22)&gt;=B97)),1)),IF(I97="An Bord",(((Besatzung!$B$12&lt;&gt;"")*IF(B97="",1,(IF(Besatzung!$C$12="",Besatzung!$B$5,Besatzung!$C$12)&lt;=B97)*(IF(Besatzung!$D$12="",Besatzung!$B$6,Besatzung!$D$12)&gt;=B97)))*((G97-IFERROR(H97,0))/IFERROR(SUMPRODUCT((Besatzung!$B$11:$B$22&lt;&gt;"")*(IF(Besatzung!$C$11:$C$22="",Besatzung!$B$5,Besatzung!$C$11:$C$22)&lt;=B97)*(IF(Besatzung!$D$11:$D$22="",Besatzung!$B$6,Besatzung!$D$11:$D$22)&gt;=B97)),1)+(Besatzung!$F$12="x")*IFERROR(H97,0)/IFERROR(SUMPRODUCT((Besatzung!$B$11:$B$22&lt;&gt;"")*(Besatzung!$F$11:$F$22="x")*(IF(Besatzung!$C$11:$C$22="",Besatzung!$B$5,Besatzung!$C$11:$C$22)&lt;=B97)*(IF(Besatzung!$D$11:$D$22="",Besatzung!$B$6,Besatzung!$D$11:$D$22)&gt;=B97)),1))),IF(I97="Individuell",((K97="x")*((G97-IFERROR(H97,0))/IFERROR(COUNTIF(J97:U97,"x"),1)+(Besatzung!$F$12="x")*IFERROR(H97,0)/IFERROR(SUMPRODUCT((J97:U97="x")*(Besatzung!$F$11:$F$22="x")),1))),(IF(COUNTIF(J97:U97,"x")=0,IF(Besatzung!$B$12&lt;&gt;"",1,0),(K97="x"))*(G97-IFERROR(H97,0))/IFERROR(IF(COUNTIF(J97:U97,"x")=0,COUNTA(Besatzung!$B$11:$B$22),COUNTIF(J97:U97,"x")),1)+IF(COUNTIF(J97:U97,"x")=0,(Besatzung!$F$12="x"),(K97="x")*(Besatzung!$F$12="x"))*IFERROR(H97,0)/IFERROR(IF(COUNTIF(J97:U97,"x")=0,SUMPRODUCT((Besatzung!$B$11:$B$22&lt;&gt;"")*(Besatzung!$F$11:$F$22="x")),SUMPRODUCT((J97:U97="x")*(Besatzung!$F$11:$F$22="x"))),1))))),0))))</f>
        <v/>
      </c>
      <c r="X97" s="247">
        <f>IF(C97="Gutschrift","",IF(G97="","",IF(Besatzung!$B$13="","",IFERROR(IF(I97="Zeitanteilig",(Besatzung!$G$13*(G97-IFERROR(H97,0))+((Besatzung!$B$13&lt;&gt;"")*IF(B97="",1,(IF(Besatzung!$C$13="",Besatzung!$B$5,Besatzung!$C$13)&lt;=B97)*(IF(Besatzung!$D$13="",Besatzung!$B$6,Besatzung!$D$13)&gt;=B97)))*(Besatzung!$F$13="x")*IFERROR(H97,0)/IFERROR(SUMPRODUCT((Besatzung!$B$11:$B$22&lt;&gt;"")*(Besatzung!$F$11:$F$22="x")*(IF(Besatzung!$C$11:$C$22="",Besatzung!$B$5,Besatzung!$C$11:$C$22)&lt;=B97)*(IF(Besatzung!$D$11:$D$22="",Besatzung!$B$6,Besatzung!$D$11:$D$22)&gt;=B97)),1)),IF(I97="An Bord",(((Besatzung!$B$13&lt;&gt;"")*IF(B97="",1,(IF(Besatzung!$C$13="",Besatzung!$B$5,Besatzung!$C$13)&lt;=B97)*(IF(Besatzung!$D$13="",Besatzung!$B$6,Besatzung!$D$13)&gt;=B97)))*((G97-IFERROR(H97,0))/IFERROR(SUMPRODUCT((Besatzung!$B$11:$B$22&lt;&gt;"")*(IF(Besatzung!$C$11:$C$22="",Besatzung!$B$5,Besatzung!$C$11:$C$22)&lt;=B97)*(IF(Besatzung!$D$11:$D$22="",Besatzung!$B$6,Besatzung!$D$11:$D$22)&gt;=B97)),1)+(Besatzung!$F$13="x")*IFERROR(H97,0)/IFERROR(SUMPRODUCT((Besatzung!$B$11:$B$22&lt;&gt;"")*(Besatzung!$F$11:$F$22="x")*(IF(Besatzung!$C$11:$C$22="",Besatzung!$B$5,Besatzung!$C$11:$C$22)&lt;=B97)*(IF(Besatzung!$D$11:$D$22="",Besatzung!$B$6,Besatzung!$D$11:$D$22)&gt;=B97)),1))),IF(I97="Individuell",((K97="x")*((G97-IFERROR(H97,0))/IFERROR(COUNTIF(J97:U97,"x"),1)+(Besatzung!$F$13="x")*IFERROR(H97,0)/IFERROR(SUMPRODUCT((J97:U97="x")*(Besatzung!$F$11:$F$22="x")),1))),(IF(COUNTIF(J97:U97,"x")=0,IF(Besatzung!$B$13&lt;&gt;"",1,0),(K97="x"))*(G97-IFERROR(H97,0))/IFERROR(IF(COUNTIF(J97:U97,"x")=0,COUNTA(Besatzung!$B$11:$B$22),COUNTIF(J97:U97,"x")),1)+IF(COUNTIF(J97:U97,"x")=0,(Besatzung!$F$13="x"),(K97="x")*(Besatzung!$F$13="x"))*IFERROR(H97,0)/IFERROR(IF(COUNTIF(J97:U97,"x")=0,SUMPRODUCT((Besatzung!$B$11:$B$22&lt;&gt;"")*(Besatzung!$F$11:$F$22="x")),SUMPRODUCT((J97:U97="x")*(Besatzung!$F$11:$F$22="x"))),1))))),0))))</f>
        <v/>
      </c>
      <c r="Y97" s="247">
        <f>IF(C97="Gutschrift","",IF(G97="","",IF(Besatzung!$B$14="","",IFERROR(IF(I97="Zeitanteilig",(Besatzung!$G$14*(G97-IFERROR(H97,0))+((Besatzung!$B$14&lt;&gt;"")*IF(B97="",1,(IF(Besatzung!$C$14="",Besatzung!$B$5,Besatzung!$C$14)&lt;=B97)*(IF(Besatzung!$D$14="",Besatzung!$B$6,Besatzung!$D$14)&gt;=B97)))*(Besatzung!$F$14="x")*IFERROR(H97,0)/IFERROR(SUMPRODUCT((Besatzung!$B$11:$B$22&lt;&gt;"")*(Besatzung!$F$11:$F$22="x")*(IF(Besatzung!$C$11:$C$22="",Besatzung!$B$5,Besatzung!$C$11:$C$22)&lt;=B97)*(IF(Besatzung!$D$11:$D$22="",Besatzung!$B$6,Besatzung!$D$11:$D$22)&gt;=B97)),1)),IF(I97="An Bord",(((Besatzung!$B$14&lt;&gt;"")*IF(B97="",1,(IF(Besatzung!$C$14="",Besatzung!$B$5,Besatzung!$C$14)&lt;=B97)*(IF(Besatzung!$D$14="",Besatzung!$B$6,Besatzung!$D$14)&gt;=B97)))*((G97-IFERROR(H97,0))/IFERROR(SUMPRODUCT((Besatzung!$B$11:$B$22&lt;&gt;"")*(IF(Besatzung!$C$11:$C$22="",Besatzung!$B$5,Besatzung!$C$11:$C$22)&lt;=B97)*(IF(Besatzung!$D$11:$D$22="",Besatzung!$B$6,Besatzung!$D$11:$D$22)&gt;=B97)),1)+(Besatzung!$F$14="x")*IFERROR(H97,0)/IFERROR(SUMPRODUCT((Besatzung!$B$11:$B$22&lt;&gt;"")*(Besatzung!$F$11:$F$22="x")*(IF(Besatzung!$C$11:$C$22="",Besatzung!$B$5,Besatzung!$C$11:$C$22)&lt;=B97)*(IF(Besatzung!$D$11:$D$22="",Besatzung!$B$6,Besatzung!$D$11:$D$22)&gt;=B97)),1))),IF(I97="Individuell",((M97="x")*((G97-IFERROR(H97,0))/IFERROR(COUNTIF(J97:U97,"x"),1)+(Besatzung!$F$14="x")*IFERROR(H97,0)/IFERROR(SUMPRODUCT((J97:U97="x")*(Besatzung!$F$11:$F$22="x")),1))),(IF(COUNTIF(J97:U97,"x")=0,IF(Besatzung!$B$14&lt;&gt;"",1,0),(M97="x"))*(G97-IFERROR(H97,0))/IFERROR(IF(COUNTIF(J97:U97,"x")=0,COUNTA(Besatzung!$B$11:$B$22),COUNTIF(J97:U97,"x")),1)+IF(COUNTIF(J97:U97,"x")=0,(Besatzung!$F$14="x"),(M97="x")*(Besatzung!$F$14="x"))*IFERROR(H97,0)/IFERROR(IF(COUNTIF(J97:U97,"x")=0,SUMPRODUCT((Besatzung!$B$11:$B$22&lt;&gt;"")*(Besatzung!$F$11:$F$22="x")),SUMPRODUCT((J97:U97="x")*(Besatzung!$F$11:$F$22="x"))),1))))),0))))</f>
        <v/>
      </c>
      <c r="Z97" s="247">
        <f>IF(C97="Gutschrift","",IF(G97="","",IF(Besatzung!$B$13="","",IFERROR(IF(I97="Zeitanteilig",(Besatzung!$G$15*(G97-IFERROR(H97,0))+((Besatzung!$B$13&lt;&gt;"")*IF(B97="",1,(IF(Besatzung!$C$15="",Besatzung!$B$5,Besatzung!$C$15)&lt;=B97)*(IF(Besatzung!$D$15="",Besatzung!$B$6,Besatzung!$D$15)&gt;=B97)))*(Besatzung!$F$15="x")*IFERROR(H97,0)/IFERROR(SUMPRODUCT((Besatzung!$B$11:$B$22&lt;&gt;"")*(Besatzung!$F$11:$F$22="x")*(IF(Besatzung!$C$11:$C$22="",Besatzung!$B$5,Besatzung!$C$11:$C$22)&lt;=B97)*(IF(Besatzung!$D$11:$D$22="",Besatzung!$B$6,Besatzung!$D$11:$D$22)&gt;=B97)),1)),IF(I97="An Bord",(((Besatzung!$B$13&lt;&gt;"")*IF(B97="",1,(IF(Besatzung!$C$15="",Besatzung!$B$5,Besatzung!$C$15)&lt;=B97)*(IF(Besatzung!$D$15="",Besatzung!$B$6,Besatzung!$D$15)&gt;=B97)))*((G97-IFERROR(H97,0))/IFERROR(SUMPRODUCT((Besatzung!$B$11:$B$22&lt;&gt;"")*(IF(Besatzung!$C$11:$C$22="",Besatzung!$B$5,Besatzung!$C$11:$C$22)&lt;=B97)*(IF(Besatzung!$D$11:$D$22="",Besatzung!$B$6,Besatzung!$D$11:$D$22)&gt;=B97)),1)+(Besatzung!$F$15="x")*IFERROR(H97,0)/IFERROR(SUMPRODUCT((Besatzung!$B$11:$B$22&lt;&gt;"")*(Besatzung!$F$11:$F$22="x")*(IF(Besatzung!$C$11:$C$22="",Besatzung!$B$5,Besatzung!$C$11:$C$22)&lt;=B97)*(IF(Besatzung!$D$11:$D$22="",Besatzung!$B$6,Besatzung!$D$11:$D$22)&gt;=B97)),1))),IF(I97="Individuell",((N97="x")*((G97-IFERROR(H97,0))/IFERROR(COUNTIF(J97:U97,"x"),1)+(Besatzung!$F$15="x")*IFERROR(H97,0)/IFERROR(SUMPRODUCT((J97:U97="x")*(Besatzung!$F$11:$F$22="x")),1))),(IF(COUNTIF(J97:U97,"x")=0,IF(Besatzung!$B$13&lt;&gt;"",1,0),(N97="x"))*(G97-IFERROR(H97,0))/IFERROR(IF(COUNTIF(J97:U97,"x")=0,COUNTA(Besatzung!$B$11:$B$22),COUNTIF(J97:U97,"x")),1)+IF(COUNTIF(J97:U97,"x")=0,(Besatzung!$F$15="x"),(N97="x")*(Besatzung!$F$15="x"))*IFERROR(H97,0)/IFERROR(IF(COUNTIF(J97:U97,"x")=0,SUMPRODUCT((Besatzung!$B$11:$B$22&lt;&gt;"")*(Besatzung!$F$11:$F$22="x")),SUMPRODUCT((J97:U97="x")*(Besatzung!$F$11:$F$22="x"))),1))))),0))))</f>
        <v/>
      </c>
      <c r="AA97" s="247">
        <f>IF(C97="Gutschrift","",IF(G97="","",IF(Besatzung!$B$15="","",IFERROR(IF(I97="Zeitanteilig",(Besatzung!$G$16*(G97-IFERROR(H97,0))+((Besatzung!$B$15&lt;&gt;"")*IF(B97="",1,(IF(Besatzung!$C$16="",Besatzung!$B$5,Besatzung!$C$16)&lt;=B97)*(IF(Besatzung!$D$16="",Besatzung!$B$6,Besatzung!$D$16)&gt;=B97)))*(Besatzung!$F$16="x")*IFERROR(H97,0)/IFERROR(SUMPRODUCT((Besatzung!$B$11:$B$22&lt;&gt;"")*(Besatzung!$F$11:$F$22="x")*(IF(Besatzung!$C$11:$C$22="",Besatzung!$B$5,Besatzung!$C$11:$C$22)&lt;=B97)*(IF(Besatzung!$D$11:$D$22="",Besatzung!$B$6,Besatzung!$D$11:$D$22)&gt;=B97)),1)),IF(I97="An Bord",(((Besatzung!$B$15&lt;&gt;"")*IF(B97="",1,(IF(Besatzung!$C$16="",Besatzung!$B$5,Besatzung!$C$16)&lt;=B97)*(IF(Besatzung!$D$16="",Besatzung!$B$6,Besatzung!$D$16)&gt;=B97)))*((G97-IFERROR(H97,0))/IFERROR(SUMPRODUCT((Besatzung!$B$11:$B$22&lt;&gt;"")*(IF(Besatzung!$C$11:$C$22="",Besatzung!$B$5,Besatzung!$C$11:$C$22)&lt;=B97)*(IF(Besatzung!$D$11:$D$22="",Besatzung!$B$6,Besatzung!$D$11:$D$22)&gt;=B97)),1)+(Besatzung!$F$16="x")*IFERROR(H97,0)/IFERROR(SUMPRODUCT((Besatzung!$B$11:$B$22&lt;&gt;"")*(Besatzung!$F$11:$F$22="x")*(IF(Besatzung!$C$11:$C$22="",Besatzung!$B$5,Besatzung!$C$11:$C$22)&lt;=B97)*(IF(Besatzung!$D$11:$D$22="",Besatzung!$B$6,Besatzung!$D$11:$D$22)&gt;=B97)),1))),IF(I97="Individuell",((O97="x")*((G97-IFERROR(H97,0))/IFERROR(COUNTIF(J97:U97,"x"),1)+(Besatzung!$F$16="x")*IFERROR(H97,0)/IFERROR(SUMPRODUCT((J97:U97="x")*(Besatzung!$F$11:$F$22="x")),1))),(IF(COUNTIF(J97:U97,"x")=0,IF(Besatzung!$B$15&lt;&gt;"",1,0),(O97="x"))*(G97-IFERROR(H97,0))/IFERROR(IF(COUNTIF(J97:U97,"x")=0,COUNTA(Besatzung!$B$11:$B$22),COUNTIF(J97:U97,"x")),1)+IF(COUNTIF(J97:U97,"x")=0,(Besatzung!$F$16="x"),(O97="x")*(Besatzung!$F$16="x"))*IFERROR(H97,0)/IFERROR(IF(COUNTIF(J97:U97,"x")=0,SUMPRODUCT((Besatzung!$B$11:$B$22&lt;&gt;"")*(Besatzung!$F$11:$F$22="x")),SUMPRODUCT((J97:U97="x")*(Besatzung!$F$11:$F$22="x"))),1))))),0))))</f>
        <v/>
      </c>
      <c r="AB97" s="247">
        <f>IF(C97="Gutschrift","",IF(G97="","",IF(Besatzung!$B$17="","",IFERROR(IF(I97="Zeitanteilig",(Besatzung!$G$17*(G97-IFERROR(H97,0))+((Besatzung!$B$17&lt;&gt;"")*IF(B97="",1,(IF(Besatzung!$C$17="",Besatzung!$B$5,Besatzung!$C$17)&lt;=B97)*(IF(Besatzung!$D$17="",Besatzung!$B$6,Besatzung!$D$17)&gt;=B97)))*(Besatzung!$F$17="x")*IFERROR(H97,0)/IFERROR(SUMPRODUCT((Besatzung!$B$11:$B$22&lt;&gt;"")*(Besatzung!$F$11:$F$22="x")*(IF(Besatzung!$C$11:$C$22="",Besatzung!$B$5,Besatzung!$C$11:$C$22)&lt;=B97)*(IF(Besatzung!$D$11:$D$22="",Besatzung!$B$6,Besatzung!$D$11:$D$22)&gt;=B97)),1)),IF(I97="An Bord",(((Besatzung!$B$17&lt;&gt;"")*IF(B97="",1,(IF(Besatzung!$C$17="",Besatzung!$B$5,Besatzung!$C$17)&lt;=B97)*(IF(Besatzung!$D$17="",Besatzung!$B$6,Besatzung!$D$17)&gt;=B97)))*((G97-IFERROR(H97,0))/IFERROR(SUMPRODUCT((Besatzung!$B$11:$B$22&lt;&gt;"")*(IF(Besatzung!$C$11:$C$22="",Besatzung!$B$5,Besatzung!$C$11:$C$22)&lt;=B97)*(IF(Besatzung!$D$11:$D$22="",Besatzung!$B$6,Besatzung!$D$11:$D$22)&gt;=B97)),1)+(Besatzung!$F$17="x")*IFERROR(H97,0)/IFERROR(SUMPRODUCT((Besatzung!$B$11:$B$22&lt;&gt;"")*(Besatzung!$F$11:$F$22="x")*(IF(Besatzung!$C$11:$C$22="",Besatzung!$B$5,Besatzung!$C$11:$C$22)&lt;=B97)*(IF(Besatzung!$D$11:$D$22="",Besatzung!$B$6,Besatzung!$D$11:$D$22)&gt;=B97)),1))),IF(I97="Individuell",((P97="x")*((G97-IFERROR(H97,0))/IFERROR(COUNTIF(J97:U97,"x"),1)+(Besatzung!$F$17="x")*IFERROR(H97,0)/IFERROR(SUMPRODUCT((J97:U97="x")*(Besatzung!$F$11:$F$22="x")),1))),(IF(COUNTIF(J97:U97,"x")=0,IF(Besatzung!$B$17&lt;&gt;"",1,0),(P97="x"))*(G97-IFERROR(H97,0))/IFERROR(IF(COUNTIF(J97:U97,"x")=0,COUNTA(Besatzung!$B$11:$B$22),COUNTIF(J97:U97,"x")),1)+IF(COUNTIF(J97:U97,"x")=0,(Besatzung!$F$17="x"),(P97="x")*(Besatzung!$F$17="x"))*IFERROR(H97,0)/IFERROR(IF(COUNTIF(J97:U97,"x")=0,SUMPRODUCT((Besatzung!$B$11:$B$22&lt;&gt;"")*(Besatzung!$F$11:$F$22="x")),SUMPRODUCT((J97:U97="x")*(Besatzung!$F$11:$F$22="x"))),1))))),0))))</f>
        <v/>
      </c>
      <c r="AC97" s="247">
        <f>IF(C97="Gutschrift","",IF(G97="","",IF(Besatzung!$B$18="","",IFERROR(IF(I97="Zeitanteilig",(Besatzung!$G$18*(G97-IFERROR(H97,0))+((Besatzung!$B$18&lt;&gt;"")*IF(B97="",1,(IF(Besatzung!$C$18="",Besatzung!$B$5,Besatzung!$C$18)&lt;=B97)*(IF(Besatzung!$D$18="",Besatzung!$B$6,Besatzung!$D$18)&gt;=B97)))*(Besatzung!$F$18="x")*IFERROR(H97,0)/IFERROR(SUMPRODUCT((Besatzung!$B$11:$B$22&lt;&gt;"")*(Besatzung!$F$11:$F$22="x")*(IF(Besatzung!$C$11:$C$22="",Besatzung!$B$5,Besatzung!$C$11:$C$22)&lt;=B97)*(IF(Besatzung!$D$11:$D$22="",Besatzung!$B$6,Besatzung!$D$11:$D$22)&gt;=B97)),1)),IF(I97="An Bord",(((Besatzung!$B$18&lt;&gt;"")*IF(B97="",1,(IF(Besatzung!$C$18="",Besatzung!$B$5,Besatzung!$C$18)&lt;=B97)*(IF(Besatzung!$D$18="",Besatzung!$B$6,Besatzung!$D$18)&gt;=B97)))*((G97-IFERROR(H97,0))/IFERROR(SUMPRODUCT((Besatzung!$B$11:$B$22&lt;&gt;"")*(IF(Besatzung!$C$11:$C$22="",Besatzung!$B$5,Besatzung!$C$11:$C$22)&lt;=B97)*(IF(Besatzung!$D$11:$D$22="",Besatzung!$B$6,Besatzung!$D$11:$D$22)&gt;=B97)),1)+(Besatzung!$F$18="x")*IFERROR(H97,0)/IFERROR(SUMPRODUCT((Besatzung!$B$11:$B$22&lt;&gt;"")*(Besatzung!$F$11:$F$22="x")*(IF(Besatzung!$C$11:$C$22="",Besatzung!$B$5,Besatzung!$C$11:$C$22)&lt;=B97)*(IF(Besatzung!$D$11:$D$22="",Besatzung!$B$6,Besatzung!$D$11:$D$22)&gt;=B97)),1))),IF(I97="Individuell",((Q97="x")*((G97-IFERROR(H97,0))/IFERROR(COUNTIF(J97:U97,"x"),1)+(Besatzung!$F$18="x")*IFERROR(H97,0)/IFERROR(SUMPRODUCT((J97:U97="x")*(Besatzung!$F$11:$F$22="x")),1))),(IF(COUNTIF(J97:U97,"x")=0,IF(Besatzung!$B$18&lt;&gt;"",1,0),(Q97="x"))*(G97-IFERROR(H97,0))/IFERROR(IF(COUNTIF(J97:U97,"x")=0,COUNTA(Besatzung!$B$11:$B$22),COUNTIF(J97:U97,"x")),1)+IF(COUNTIF(J97:U97,"x")=0,(Besatzung!$F$18="x"),(Q97="x")*(Besatzung!$F$18="x"))*IFERROR(H97,0)/IFERROR(IF(COUNTIF(J97:U97,"x")=0,SUMPRODUCT((Besatzung!$B$11:$B$22&lt;&gt;"")*(Besatzung!$F$11:$F$22="x")),SUMPRODUCT((J97:U97="x")*(Besatzung!$F$11:$F$22="x"))),1))))),0))))</f>
        <v/>
      </c>
      <c r="AD97" s="247">
        <f>IF(C97="Gutschrift","",IF(G97="","",IF(Besatzung!$B$19="","",IFERROR(IF(I97="Zeitanteilig",(Besatzung!$G$19*(G97-IFERROR(H97,0))+((Besatzung!$B$19&lt;&gt;"")*IF(B97="",1,(IF(Besatzung!$C$19="",Besatzung!$B$5,Besatzung!$C$19)&lt;=B97)*(IF(Besatzung!$D$19="",Besatzung!$B$6,Besatzung!$D$19)&gt;=B97)))*(Besatzung!$F$19="x")*IFERROR(H97,0)/IFERROR(SUMPRODUCT((Besatzung!$B$11:$B$22&lt;&gt;"")*(Besatzung!$F$11:$F$22="x")*(IF(Besatzung!$C$11:$C$22="",Besatzung!$B$5,Besatzung!$C$11:$C$22)&lt;=B97)*(IF(Besatzung!$D$11:$D$22="",Besatzung!$B$6,Besatzung!$D$11:$D$22)&gt;=B97)),1)),IF(I97="An Bord",(((Besatzung!$B$19&lt;&gt;"")*IF(B97="",1,(IF(Besatzung!$C$19="",Besatzung!$B$5,Besatzung!$C$19)&lt;=B97)*(IF(Besatzung!$D$19="",Besatzung!$B$6,Besatzung!$D$19)&gt;=B97)))*((G97-IFERROR(H97,0))/IFERROR(SUMPRODUCT((Besatzung!$B$11:$B$22&lt;&gt;"")*(IF(Besatzung!$C$11:$C$22="",Besatzung!$B$5,Besatzung!$C$11:$C$22)&lt;=B97)*(IF(Besatzung!$D$11:$D$22="",Besatzung!$B$6,Besatzung!$D$11:$D$22)&gt;=B97)),1)+(Besatzung!$F$19="x")*IFERROR(H97,0)/IFERROR(SUMPRODUCT((Besatzung!$B$11:$B$22&lt;&gt;"")*(Besatzung!$F$11:$F$22="x")*(IF(Besatzung!$C$11:$C$22="",Besatzung!$B$5,Besatzung!$C$11:$C$22)&lt;=B97)*(IF(Besatzung!$D$11:$D$22="",Besatzung!$B$6,Besatzung!$D$11:$D$22)&gt;=B97)),1))),IF(I97="Individuell",((R97="x")*((G97-IFERROR(H97,0))/IFERROR(COUNTIF(J97:U97,"x"),1)+(Besatzung!$F$19="x")*IFERROR(H97,0)/IFERROR(SUMPRODUCT((J97:U97="x")*(Besatzung!$F$11:$F$22="x")),1))),(IF(COUNTIF(J97:U97,"x")=0,IF(Besatzung!$B$19&lt;&gt;"",1,0),(R97="x"))*(G97-IFERROR(H97,0))/IFERROR(IF(COUNTIF(J97:U97,"x")=0,COUNTA(Besatzung!$B$11:$B$22),COUNTIF(J97:U97,"x")),1)+IF(COUNTIF(J97:U97,"x")=0,(Besatzung!$F$19="x"),(R97="x")*(Besatzung!$F$19="x"))*IFERROR(H97,0)/IFERROR(IF(COUNTIF(J97:U97,"x")=0,SUMPRODUCT((Besatzung!$B$11:$B$22&lt;&gt;"")*(Besatzung!$F$11:$F$22="x")),SUMPRODUCT((J97:U97="x")*(Besatzung!$F$11:$F$22="x"))),1))))),0))))</f>
        <v/>
      </c>
      <c r="AE97" s="247">
        <f>IF(C97="Gutschrift","",IF(G97="","",IF(Besatzung!$B$20="","",IFERROR(IF(I97="Zeitanteilig",(Besatzung!$G$20*(G97-IFERROR(H97,0))+((Besatzung!$B$20&lt;&gt;"")*IF(B97="",1,(IF(Besatzung!$C$20="",Besatzung!$B$5,Besatzung!$C$20)&lt;=B97)*(IF(Besatzung!$D$20="",Besatzung!$B$6,Besatzung!$D$20)&gt;=B97)))*(Besatzung!$F$20="x")*IFERROR(H97,0)/IFERROR(SUMPRODUCT((Besatzung!$B$11:$B$22&lt;&gt;"")*(Besatzung!$F$11:$F$22="x")*(IF(Besatzung!$C$11:$C$22="",Besatzung!$B$5,Besatzung!$C$11:$C$22)&lt;=B97)*(IF(Besatzung!$D$11:$D$22="",Besatzung!$B$6,Besatzung!$D$11:$D$22)&gt;=B97)),1)),IF(I97="An Bord",(((Besatzung!$B$20&lt;&gt;"")*IF(B97="",1,(IF(Besatzung!$C$20="",Besatzung!$B$5,Besatzung!$C$20)&lt;=B97)*(IF(Besatzung!$D$20="",Besatzung!$B$6,Besatzung!$D$20)&gt;=B97)))*((G97-IFERROR(H97,0))/IFERROR(SUMPRODUCT((Besatzung!$B$11:$B$22&lt;&gt;"")*(IF(Besatzung!$C$11:$C$22="",Besatzung!$B$5,Besatzung!$C$11:$C$22)&lt;=B97)*(IF(Besatzung!$D$11:$D$22="",Besatzung!$B$6,Besatzung!$D$11:$D$22)&gt;=B97)),1)+(Besatzung!$F$20="x")*IFERROR(H97,0)/IFERROR(SUMPRODUCT((Besatzung!$B$11:$B$22&lt;&gt;"")*(Besatzung!$F$11:$F$22="x")*(IF(Besatzung!$C$11:$C$22="",Besatzung!$B$5,Besatzung!$C$11:$C$22)&lt;=B97)*(IF(Besatzung!$D$11:$D$22="",Besatzung!$B$6,Besatzung!$D$11:$D$22)&gt;=B97)),1))),IF(I97="Individuell",((S97="x")*((G97-IFERROR(H97,0))/IFERROR(COUNTIF(J97:U97,"x"),1)+(Besatzung!$F$20="x")*IFERROR(H97,0)/IFERROR(SUMPRODUCT((J97:U97="x")*(Besatzung!$F$11:$F$22="x")),1))),(IF(COUNTIF(J97:U97,"x")=0,IF(Besatzung!$B$20&lt;&gt;"",1,0),(S97="x"))*(G97-IFERROR(H97,0))/IFERROR(IF(COUNTIF(J97:U97,"x")=0,COUNTA(Besatzung!$B$11:$B$22),COUNTIF(J97:U97,"x")),1)+IF(COUNTIF(J97:U97,"x")=0,(Besatzung!$F$20="x"),(S97="x")*(Besatzung!$F$20="x"))*IFERROR(H97,0)/IFERROR(IF(COUNTIF(J97:U97,"x")=0,SUMPRODUCT((Besatzung!$B$11:$B$22&lt;&gt;"")*(Besatzung!$F$11:$F$22="x")),SUMPRODUCT((J97:U97="x")*(Besatzung!$F$11:$F$22="x"))),1))))),0))))</f>
        <v/>
      </c>
      <c r="AF97" s="247">
        <f>IF(C97="Gutschrift","",IF(G97="","",IF(Besatzung!$B$21="","",IFERROR(IF(I97="Zeitanteilig",(Besatzung!$G$21*(G97-IFERROR(H97,0))+((Besatzung!$B$21&lt;&gt;"")*IF(B97="",1,(IF(Besatzung!$C$21="",Besatzung!$B$5,Besatzung!$C$21)&lt;=B97)*(IF(Besatzung!$D$21="",Besatzung!$B$6,Besatzung!$D$21)&gt;=B97)))*(Besatzung!$F$21="x")*IFERROR(H97,0)/IFERROR(SUMPRODUCT((Besatzung!$B$11:$B$22&lt;&gt;"")*(Besatzung!$F$11:$F$22="x")*(IF(Besatzung!$C$11:$C$22="",Besatzung!$B$5,Besatzung!$C$11:$C$22)&lt;=B97)*(IF(Besatzung!$D$11:$D$22="",Besatzung!$B$6,Besatzung!$D$11:$D$22)&gt;=B97)),1)),IF(I97="An Bord",(((Besatzung!$B$21&lt;&gt;"")*IF(B97="",1,(IF(Besatzung!$C$21="",Besatzung!$B$5,Besatzung!$C$21)&lt;=B97)*(IF(Besatzung!$D$21="",Besatzung!$B$6,Besatzung!$D$21)&gt;=B97)))*((G97-IFERROR(H97,0))/IFERROR(SUMPRODUCT((Besatzung!$B$11:$B$22&lt;&gt;"")*(IF(Besatzung!$C$11:$C$22="",Besatzung!$B$5,Besatzung!$C$11:$C$22)&lt;=B97)*(IF(Besatzung!$D$11:$D$22="",Besatzung!$B$6,Besatzung!$D$11:$D$22)&gt;=B97)),1)+(Besatzung!$F$21="x")*IFERROR(H97,0)/IFERROR(SUMPRODUCT((Besatzung!$B$11:$B$22&lt;&gt;"")*(Besatzung!$F$11:$F$22="x")*(IF(Besatzung!$C$11:$C$22="",Besatzung!$B$5,Besatzung!$C$11:$C$22)&lt;=B97)*(IF(Besatzung!$D$11:$D$22="",Besatzung!$B$6,Besatzung!$D$11:$D$22)&gt;=B97)),1))),IF(I97="Individuell",((T97="x")*((G97-IFERROR(H97,0))/IFERROR(COUNTIF(J97:U97,"x"),1)+(Besatzung!$F$21="x")*IFERROR(H97,0)/IFERROR(SUMPRODUCT((J97:U97="x")*(Besatzung!$F$11:$F$22="x")),1))),(IF(COUNTIF(J97:U97,"x")=0,IF(Besatzung!$B$21&lt;&gt;"",1,0),(T97="x"))*(G97-IFERROR(H97,0))/IFERROR(IF(COUNTIF(J97:U97,"x")=0,COUNTA(Besatzung!$B$11:$B$22),COUNTIF(J97:U97,"x")),1)+IF(COUNTIF(J97:U97,"x")=0,(Besatzung!$F$21="x"),(T97="x")*(Besatzung!$F$21="x"))*IFERROR(H97,0)/IFERROR(IF(COUNTIF(J97:U97,"x")=0,SUMPRODUCT((Besatzung!$B$11:$B$22&lt;&gt;"")*(Besatzung!$F$11:$F$22="x")),SUMPRODUCT((J97:U97="x")*(Besatzung!$F$11:$F$22="x"))),1))))),0))))</f>
        <v/>
      </c>
      <c r="AG97" s="247">
        <f>IF(C97="Gutschrift","",IF(G97="","",IF(Besatzung!$B$22="","",IFERROR(IF(I97="Zeitanteilig",(Besatzung!$G$22*(G97-IFERROR(H97,0))+((Besatzung!$B$22&lt;&gt;"")*IF(B97="",1,(IF(Besatzung!$C$22="",Besatzung!$B$5,Besatzung!$C$22)&lt;=B97)*(IF(Besatzung!$D$22="",Besatzung!$B$6,Besatzung!$D$22)&gt;=B97)))*(Besatzung!$F$22="x")*IFERROR(H97,0)/IFERROR(SUMPRODUCT((Besatzung!$B$11:$B$22&lt;&gt;"")*(Besatzung!$F$11:$F$22="x")*(IF(Besatzung!$C$11:$C$22="",Besatzung!$B$5,Besatzung!$C$11:$C$22)&lt;=B97)*(IF(Besatzung!$D$11:$D$22="",Besatzung!$B$6,Besatzung!$D$11:$D$22)&gt;=B97)),1)),IF(I97="An Bord",(((Besatzung!$B$22&lt;&gt;"")*IF(B97="",1,(IF(Besatzung!$C$22="",Besatzung!$B$5,Besatzung!$C$22)&lt;=B97)*(IF(Besatzung!$D$22="",Besatzung!$B$6,Besatzung!$D$22)&gt;=B97)))*((G97-IFERROR(H97,0))/IFERROR(SUMPRODUCT((Besatzung!$B$11:$B$22&lt;&gt;"")*(IF(Besatzung!$C$11:$C$22="",Besatzung!$B$5,Besatzung!$C$11:$C$22)&lt;=B97)*(IF(Besatzung!$D$11:$D$22="",Besatzung!$B$6,Besatzung!$D$11:$D$22)&gt;=B97)),1)+(Besatzung!$F$22="x")*IFERROR(H97,0)/IFERROR(SUMPRODUCT((Besatzung!$B$11:$B$22&lt;&gt;"")*(Besatzung!$F$11:$F$22="x")*(IF(Besatzung!$C$11:$C$22="",Besatzung!$B$5,Besatzung!$C$11:$C$22)&lt;=B97)*(IF(Besatzung!$D$11:$D$22="",Besatzung!$B$6,Besatzung!$D$11:$D$22)&gt;=B97)),1))),IF(I97="Individuell",((U97="x")*((G97-IFERROR(H97,0))/IFERROR(COUNTIF(J97:U97,"x"),1)+(Besatzung!$F$22="x")*IFERROR(H97,0)/IFERROR(SUMPRODUCT((J97:U97="x")*(Besatzung!$F$11:$F$22="x")),1))),(IF(COUNTIF(J97:U97,"x")=0,IF(Besatzung!$B$22&lt;&gt;"",1,0),(U97="x"))*(G97-IFERROR(H97,0))/IFERROR(IF(COUNTIF(J97:U97,"x")=0,COUNTA(Besatzung!$B$11:$B$22),COUNTIF(J97:U97,"x")),1)+IF(COUNTIF(J97:U97,"x")=0,(Besatzung!$F$22="x"),(U97="x")*(Besatzung!$F$22="x"))*IFERROR(H97,0)/IFERROR(IF(COUNTIF(J97:U97,"x")=0,SUMPRODUCT((Besatzung!$B$11:$B$22&lt;&gt;"")*(Besatzung!$F$11:$F$22="x")),SUMPRODUCT((J97:U97="x")*(Besatzung!$F$11:$F$22="x"))),1))))),0))))</f>
        <v/>
      </c>
      <c r="AH97" s="248" t="n"/>
      <c r="AI97" s="248" t="n"/>
    </row>
    <row r="98" ht="21.75" customHeight="1" s="154">
      <c r="A98" s="238">
        <f>IF(AND(D98="",C98=""),"",95)</f>
        <v/>
      </c>
      <c r="B98" s="199" t="n"/>
      <c r="C98" s="239" t="n"/>
      <c r="D98" s="240" t="n"/>
      <c r="E98" s="241" t="n"/>
      <c r="F98" s="242" t="n"/>
      <c r="G98" s="243" t="n"/>
      <c r="H98" s="244" t="n"/>
      <c r="I98" s="245" t="n"/>
      <c r="J98" s="246" t="n"/>
      <c r="K98" s="246" t="n"/>
      <c r="L98" s="246" t="n"/>
      <c r="M98" s="246" t="n"/>
      <c r="N98" s="246" t="n"/>
      <c r="O98" s="246" t="n"/>
      <c r="P98" s="246" t="n"/>
      <c r="Q98" s="246" t="n"/>
      <c r="R98" s="246" t="n"/>
      <c r="S98" s="246" t="n"/>
      <c r="T98" s="246" t="n"/>
      <c r="U98" s="246" t="n"/>
      <c r="V98" s="247">
        <f>IF(C98="Gutschrift","",IF(G98="","",IF(Besatzung!$B$11="","",IFERROR(IF(I98="Zeitanteilig",(Besatzung!$G$11*(G98-IFERROR(H98,0))+((Besatzung!$B$11&lt;&gt;"")*IF(B98="",1,(IF(Besatzung!$C$11="",Besatzung!$B$5,Besatzung!$C$11)&lt;=B98)*(IF(Besatzung!$D$11="",Besatzung!$B$6,Besatzung!$D$11)&gt;=B98)))*(Besatzung!$F$11="x")*IFERROR(H98,0)/IFERROR(SUMPRODUCT((Besatzung!$B$11:$B$22&lt;&gt;"")*(Besatzung!$F$11:$F$22="x")*(IF(Besatzung!$C$11:$C$22="",Besatzung!$B$5,Besatzung!$C$11:$C$22)&lt;=B98)*(IF(Besatzung!$D$11:$D$22="",Besatzung!$B$6,Besatzung!$D$11:$D$22)&gt;=B98)),1)),IF(I98="An Bord",(((Besatzung!$B$11&lt;&gt;"")*IF(B98="",1,(IF(Besatzung!$C$11="",Besatzung!$B$5,Besatzung!$C$11)&lt;=B98)*(IF(Besatzung!$D$11="",Besatzung!$B$6,Besatzung!$D$11)&gt;=B98)))*((G98-IFERROR(H98,0))/IFERROR(SUMPRODUCT((Besatzung!$B$11:$B$22&lt;&gt;"")*(IF(Besatzung!$C$11:$C$22="",Besatzung!$B$5,Besatzung!$C$11:$C$22)&lt;=B98)*(IF(Besatzung!$D$11:$D$22="",Besatzung!$B$6,Besatzung!$D$11:$D$22)&gt;=B98)),1)+(Besatzung!$F$11="x")*IFERROR(H98,0)/IFERROR(SUMPRODUCT((Besatzung!$B$11:$B$22&lt;&gt;"")*(Besatzung!$F$11:$F$22="x")*(IF(Besatzung!$C$11:$C$22="",Besatzung!$B$5,Besatzung!$C$11:$C$22)&lt;=B98)*(IF(Besatzung!$D$11:$D$22="",Besatzung!$B$6,Besatzung!$D$11:$D$22)&gt;=B98)),1))),IF(I98="Individuell",((J98="x")*((G98-IFERROR(H98,0))/IFERROR(COUNTIF(J98:U98,"x"),1)+(Besatzung!$F$11="x")*IFERROR(H98,0)/IFERROR(SUMPRODUCT((J98:U98="x")*(Besatzung!$F$11:$F$22="x")),1))),(IF(COUNTIF(J98:U98,"x")=0,IF(Besatzung!$B$11&lt;&gt;"",1,0),(J98="x"))*(G98-IFERROR(H98,0))/IFERROR(IF(COUNTIF(J98:U98,"x")=0,COUNTA(Besatzung!$B$11:$B$22),COUNTIF(J98:U98,"x")),1)+IF(COUNTIF(J98:U98,"x")=0,(Besatzung!$F$11="x"),(J98="x")*(Besatzung!$F$11="x"))*IFERROR(H98,0)/IFERROR(IF(COUNTIF(J98:U98,"x")=0,SUMPRODUCT((Besatzung!$B$11:$B$22&lt;&gt;"")*(Besatzung!$F$11:$F$22="x")),SUMPRODUCT((J98:U98="x")*(Besatzung!$F$11:$F$22="x"))),1))))),0))))</f>
        <v/>
      </c>
      <c r="W98" s="247">
        <f>IF(C98="Gutschrift","",IF(G98="","",IF(Besatzung!$B$12="","",IFERROR(IF(I98="Zeitanteilig",(Besatzung!$G$12*(G98-IFERROR(H98,0))+((Besatzung!$B$12&lt;&gt;"")*IF(B98="",1,(IF(Besatzung!$C$12="",Besatzung!$B$5,Besatzung!$C$12)&lt;=B98)*(IF(Besatzung!$D$12="",Besatzung!$B$6,Besatzung!$D$12)&gt;=B98)))*(Besatzung!$F$12="x")*IFERROR(H98,0)/IFERROR(SUMPRODUCT((Besatzung!$B$11:$B$22&lt;&gt;"")*(Besatzung!$F$11:$F$22="x")*(IF(Besatzung!$C$11:$C$22="",Besatzung!$B$5,Besatzung!$C$11:$C$22)&lt;=B98)*(IF(Besatzung!$D$11:$D$22="",Besatzung!$B$6,Besatzung!$D$11:$D$22)&gt;=B98)),1)),IF(I98="An Bord",(((Besatzung!$B$12&lt;&gt;"")*IF(B98="",1,(IF(Besatzung!$C$12="",Besatzung!$B$5,Besatzung!$C$12)&lt;=B98)*(IF(Besatzung!$D$12="",Besatzung!$B$6,Besatzung!$D$12)&gt;=B98)))*((G98-IFERROR(H98,0))/IFERROR(SUMPRODUCT((Besatzung!$B$11:$B$22&lt;&gt;"")*(IF(Besatzung!$C$11:$C$22="",Besatzung!$B$5,Besatzung!$C$11:$C$22)&lt;=B98)*(IF(Besatzung!$D$11:$D$22="",Besatzung!$B$6,Besatzung!$D$11:$D$22)&gt;=B98)),1)+(Besatzung!$F$12="x")*IFERROR(H98,0)/IFERROR(SUMPRODUCT((Besatzung!$B$11:$B$22&lt;&gt;"")*(Besatzung!$F$11:$F$22="x")*(IF(Besatzung!$C$11:$C$22="",Besatzung!$B$5,Besatzung!$C$11:$C$22)&lt;=B98)*(IF(Besatzung!$D$11:$D$22="",Besatzung!$B$6,Besatzung!$D$11:$D$22)&gt;=B98)),1))),IF(I98="Individuell",((K98="x")*((G98-IFERROR(H98,0))/IFERROR(COUNTIF(J98:U98,"x"),1)+(Besatzung!$F$12="x")*IFERROR(H98,0)/IFERROR(SUMPRODUCT((J98:U98="x")*(Besatzung!$F$11:$F$22="x")),1))),(IF(COUNTIF(J98:U98,"x")=0,IF(Besatzung!$B$12&lt;&gt;"",1,0),(K98="x"))*(G98-IFERROR(H98,0))/IFERROR(IF(COUNTIF(J98:U98,"x")=0,COUNTA(Besatzung!$B$11:$B$22),COUNTIF(J98:U98,"x")),1)+IF(COUNTIF(J98:U98,"x")=0,(Besatzung!$F$12="x"),(K98="x")*(Besatzung!$F$12="x"))*IFERROR(H98,0)/IFERROR(IF(COUNTIF(J98:U98,"x")=0,SUMPRODUCT((Besatzung!$B$11:$B$22&lt;&gt;"")*(Besatzung!$F$11:$F$22="x")),SUMPRODUCT((J98:U98="x")*(Besatzung!$F$11:$F$22="x"))),1))))),0))))</f>
        <v/>
      </c>
      <c r="X98" s="247">
        <f>IF(C98="Gutschrift","",IF(G98="","",IF(Besatzung!$B$13="","",IFERROR(IF(I98="Zeitanteilig",(Besatzung!$G$13*(G98-IFERROR(H98,0))+((Besatzung!$B$13&lt;&gt;"")*IF(B98="",1,(IF(Besatzung!$C$13="",Besatzung!$B$5,Besatzung!$C$13)&lt;=B98)*(IF(Besatzung!$D$13="",Besatzung!$B$6,Besatzung!$D$13)&gt;=B98)))*(Besatzung!$F$13="x")*IFERROR(H98,0)/IFERROR(SUMPRODUCT((Besatzung!$B$11:$B$22&lt;&gt;"")*(Besatzung!$F$11:$F$22="x")*(IF(Besatzung!$C$11:$C$22="",Besatzung!$B$5,Besatzung!$C$11:$C$22)&lt;=B98)*(IF(Besatzung!$D$11:$D$22="",Besatzung!$B$6,Besatzung!$D$11:$D$22)&gt;=B98)),1)),IF(I98="An Bord",(((Besatzung!$B$13&lt;&gt;"")*IF(B98="",1,(IF(Besatzung!$C$13="",Besatzung!$B$5,Besatzung!$C$13)&lt;=B98)*(IF(Besatzung!$D$13="",Besatzung!$B$6,Besatzung!$D$13)&gt;=B98)))*((G98-IFERROR(H98,0))/IFERROR(SUMPRODUCT((Besatzung!$B$11:$B$22&lt;&gt;"")*(IF(Besatzung!$C$11:$C$22="",Besatzung!$B$5,Besatzung!$C$11:$C$22)&lt;=B98)*(IF(Besatzung!$D$11:$D$22="",Besatzung!$B$6,Besatzung!$D$11:$D$22)&gt;=B98)),1)+(Besatzung!$F$13="x")*IFERROR(H98,0)/IFERROR(SUMPRODUCT((Besatzung!$B$11:$B$22&lt;&gt;"")*(Besatzung!$F$11:$F$22="x")*(IF(Besatzung!$C$11:$C$22="",Besatzung!$B$5,Besatzung!$C$11:$C$22)&lt;=B98)*(IF(Besatzung!$D$11:$D$22="",Besatzung!$B$6,Besatzung!$D$11:$D$22)&gt;=B98)),1))),IF(I98="Individuell",((K98="x")*((G98-IFERROR(H98,0))/IFERROR(COUNTIF(J98:U98,"x"),1)+(Besatzung!$F$13="x")*IFERROR(H98,0)/IFERROR(SUMPRODUCT((J98:U98="x")*(Besatzung!$F$11:$F$22="x")),1))),(IF(COUNTIF(J98:U98,"x")=0,IF(Besatzung!$B$13&lt;&gt;"",1,0),(K98="x"))*(G98-IFERROR(H98,0))/IFERROR(IF(COUNTIF(J98:U98,"x")=0,COUNTA(Besatzung!$B$11:$B$22),COUNTIF(J98:U98,"x")),1)+IF(COUNTIF(J98:U98,"x")=0,(Besatzung!$F$13="x"),(K98="x")*(Besatzung!$F$13="x"))*IFERROR(H98,0)/IFERROR(IF(COUNTIF(J98:U98,"x")=0,SUMPRODUCT((Besatzung!$B$11:$B$22&lt;&gt;"")*(Besatzung!$F$11:$F$22="x")),SUMPRODUCT((J98:U98="x")*(Besatzung!$F$11:$F$22="x"))),1))))),0))))</f>
        <v/>
      </c>
      <c r="Y98" s="247">
        <f>IF(C98="Gutschrift","",IF(G98="","",IF(Besatzung!$B$14="","",IFERROR(IF(I98="Zeitanteilig",(Besatzung!$G$14*(G98-IFERROR(H98,0))+((Besatzung!$B$14&lt;&gt;"")*IF(B98="",1,(IF(Besatzung!$C$14="",Besatzung!$B$5,Besatzung!$C$14)&lt;=B98)*(IF(Besatzung!$D$14="",Besatzung!$B$6,Besatzung!$D$14)&gt;=B98)))*(Besatzung!$F$14="x")*IFERROR(H98,0)/IFERROR(SUMPRODUCT((Besatzung!$B$11:$B$22&lt;&gt;"")*(Besatzung!$F$11:$F$22="x")*(IF(Besatzung!$C$11:$C$22="",Besatzung!$B$5,Besatzung!$C$11:$C$22)&lt;=B98)*(IF(Besatzung!$D$11:$D$22="",Besatzung!$B$6,Besatzung!$D$11:$D$22)&gt;=B98)),1)),IF(I98="An Bord",(((Besatzung!$B$14&lt;&gt;"")*IF(B98="",1,(IF(Besatzung!$C$14="",Besatzung!$B$5,Besatzung!$C$14)&lt;=B98)*(IF(Besatzung!$D$14="",Besatzung!$B$6,Besatzung!$D$14)&gt;=B98)))*((G98-IFERROR(H98,0))/IFERROR(SUMPRODUCT((Besatzung!$B$11:$B$22&lt;&gt;"")*(IF(Besatzung!$C$11:$C$22="",Besatzung!$B$5,Besatzung!$C$11:$C$22)&lt;=B98)*(IF(Besatzung!$D$11:$D$22="",Besatzung!$B$6,Besatzung!$D$11:$D$22)&gt;=B98)),1)+(Besatzung!$F$14="x")*IFERROR(H98,0)/IFERROR(SUMPRODUCT((Besatzung!$B$11:$B$22&lt;&gt;"")*(Besatzung!$F$11:$F$22="x")*(IF(Besatzung!$C$11:$C$22="",Besatzung!$B$5,Besatzung!$C$11:$C$22)&lt;=B98)*(IF(Besatzung!$D$11:$D$22="",Besatzung!$B$6,Besatzung!$D$11:$D$22)&gt;=B98)),1))),IF(I98="Individuell",((M98="x")*((G98-IFERROR(H98,0))/IFERROR(COUNTIF(J98:U98,"x"),1)+(Besatzung!$F$14="x")*IFERROR(H98,0)/IFERROR(SUMPRODUCT((J98:U98="x")*(Besatzung!$F$11:$F$22="x")),1))),(IF(COUNTIF(J98:U98,"x")=0,IF(Besatzung!$B$14&lt;&gt;"",1,0),(M98="x"))*(G98-IFERROR(H98,0))/IFERROR(IF(COUNTIF(J98:U98,"x")=0,COUNTA(Besatzung!$B$11:$B$22),COUNTIF(J98:U98,"x")),1)+IF(COUNTIF(J98:U98,"x")=0,(Besatzung!$F$14="x"),(M98="x")*(Besatzung!$F$14="x"))*IFERROR(H98,0)/IFERROR(IF(COUNTIF(J98:U98,"x")=0,SUMPRODUCT((Besatzung!$B$11:$B$22&lt;&gt;"")*(Besatzung!$F$11:$F$22="x")),SUMPRODUCT((J98:U98="x")*(Besatzung!$F$11:$F$22="x"))),1))))),0))))</f>
        <v/>
      </c>
      <c r="Z98" s="247">
        <f>IF(C98="Gutschrift","",IF(G98="","",IF(Besatzung!$B$13="","",IFERROR(IF(I98="Zeitanteilig",(Besatzung!$G$15*(G98-IFERROR(H98,0))+((Besatzung!$B$13&lt;&gt;"")*IF(B98="",1,(IF(Besatzung!$C$15="",Besatzung!$B$5,Besatzung!$C$15)&lt;=B98)*(IF(Besatzung!$D$15="",Besatzung!$B$6,Besatzung!$D$15)&gt;=B98)))*(Besatzung!$F$15="x")*IFERROR(H98,0)/IFERROR(SUMPRODUCT((Besatzung!$B$11:$B$22&lt;&gt;"")*(Besatzung!$F$11:$F$22="x")*(IF(Besatzung!$C$11:$C$22="",Besatzung!$B$5,Besatzung!$C$11:$C$22)&lt;=B98)*(IF(Besatzung!$D$11:$D$22="",Besatzung!$B$6,Besatzung!$D$11:$D$22)&gt;=B98)),1)),IF(I98="An Bord",(((Besatzung!$B$13&lt;&gt;"")*IF(B98="",1,(IF(Besatzung!$C$15="",Besatzung!$B$5,Besatzung!$C$15)&lt;=B98)*(IF(Besatzung!$D$15="",Besatzung!$B$6,Besatzung!$D$15)&gt;=B98)))*((G98-IFERROR(H98,0))/IFERROR(SUMPRODUCT((Besatzung!$B$11:$B$22&lt;&gt;"")*(IF(Besatzung!$C$11:$C$22="",Besatzung!$B$5,Besatzung!$C$11:$C$22)&lt;=B98)*(IF(Besatzung!$D$11:$D$22="",Besatzung!$B$6,Besatzung!$D$11:$D$22)&gt;=B98)),1)+(Besatzung!$F$15="x")*IFERROR(H98,0)/IFERROR(SUMPRODUCT((Besatzung!$B$11:$B$22&lt;&gt;"")*(Besatzung!$F$11:$F$22="x")*(IF(Besatzung!$C$11:$C$22="",Besatzung!$B$5,Besatzung!$C$11:$C$22)&lt;=B98)*(IF(Besatzung!$D$11:$D$22="",Besatzung!$B$6,Besatzung!$D$11:$D$22)&gt;=B98)),1))),IF(I98="Individuell",((N98="x")*((G98-IFERROR(H98,0))/IFERROR(COUNTIF(J98:U98,"x"),1)+(Besatzung!$F$15="x")*IFERROR(H98,0)/IFERROR(SUMPRODUCT((J98:U98="x")*(Besatzung!$F$11:$F$22="x")),1))),(IF(COUNTIF(J98:U98,"x")=0,IF(Besatzung!$B$13&lt;&gt;"",1,0),(N98="x"))*(G98-IFERROR(H98,0))/IFERROR(IF(COUNTIF(J98:U98,"x")=0,COUNTA(Besatzung!$B$11:$B$22),COUNTIF(J98:U98,"x")),1)+IF(COUNTIF(J98:U98,"x")=0,(Besatzung!$F$15="x"),(N98="x")*(Besatzung!$F$15="x"))*IFERROR(H98,0)/IFERROR(IF(COUNTIF(J98:U98,"x")=0,SUMPRODUCT((Besatzung!$B$11:$B$22&lt;&gt;"")*(Besatzung!$F$11:$F$22="x")),SUMPRODUCT((J98:U98="x")*(Besatzung!$F$11:$F$22="x"))),1))))),0))))</f>
        <v/>
      </c>
      <c r="AA98" s="247">
        <f>IF(C98="Gutschrift","",IF(G98="","",IF(Besatzung!$B$15="","",IFERROR(IF(I98="Zeitanteilig",(Besatzung!$G$16*(G98-IFERROR(H98,0))+((Besatzung!$B$15&lt;&gt;"")*IF(B98="",1,(IF(Besatzung!$C$16="",Besatzung!$B$5,Besatzung!$C$16)&lt;=B98)*(IF(Besatzung!$D$16="",Besatzung!$B$6,Besatzung!$D$16)&gt;=B98)))*(Besatzung!$F$16="x")*IFERROR(H98,0)/IFERROR(SUMPRODUCT((Besatzung!$B$11:$B$22&lt;&gt;"")*(Besatzung!$F$11:$F$22="x")*(IF(Besatzung!$C$11:$C$22="",Besatzung!$B$5,Besatzung!$C$11:$C$22)&lt;=B98)*(IF(Besatzung!$D$11:$D$22="",Besatzung!$B$6,Besatzung!$D$11:$D$22)&gt;=B98)),1)),IF(I98="An Bord",(((Besatzung!$B$15&lt;&gt;"")*IF(B98="",1,(IF(Besatzung!$C$16="",Besatzung!$B$5,Besatzung!$C$16)&lt;=B98)*(IF(Besatzung!$D$16="",Besatzung!$B$6,Besatzung!$D$16)&gt;=B98)))*((G98-IFERROR(H98,0))/IFERROR(SUMPRODUCT((Besatzung!$B$11:$B$22&lt;&gt;"")*(IF(Besatzung!$C$11:$C$22="",Besatzung!$B$5,Besatzung!$C$11:$C$22)&lt;=B98)*(IF(Besatzung!$D$11:$D$22="",Besatzung!$B$6,Besatzung!$D$11:$D$22)&gt;=B98)),1)+(Besatzung!$F$16="x")*IFERROR(H98,0)/IFERROR(SUMPRODUCT((Besatzung!$B$11:$B$22&lt;&gt;"")*(Besatzung!$F$11:$F$22="x")*(IF(Besatzung!$C$11:$C$22="",Besatzung!$B$5,Besatzung!$C$11:$C$22)&lt;=B98)*(IF(Besatzung!$D$11:$D$22="",Besatzung!$B$6,Besatzung!$D$11:$D$22)&gt;=B98)),1))),IF(I98="Individuell",((O98="x")*((G98-IFERROR(H98,0))/IFERROR(COUNTIF(J98:U98,"x"),1)+(Besatzung!$F$16="x")*IFERROR(H98,0)/IFERROR(SUMPRODUCT((J98:U98="x")*(Besatzung!$F$11:$F$22="x")),1))),(IF(COUNTIF(J98:U98,"x")=0,IF(Besatzung!$B$15&lt;&gt;"",1,0),(O98="x"))*(G98-IFERROR(H98,0))/IFERROR(IF(COUNTIF(J98:U98,"x")=0,COUNTA(Besatzung!$B$11:$B$22),COUNTIF(J98:U98,"x")),1)+IF(COUNTIF(J98:U98,"x")=0,(Besatzung!$F$16="x"),(O98="x")*(Besatzung!$F$16="x"))*IFERROR(H98,0)/IFERROR(IF(COUNTIF(J98:U98,"x")=0,SUMPRODUCT((Besatzung!$B$11:$B$22&lt;&gt;"")*(Besatzung!$F$11:$F$22="x")),SUMPRODUCT((J98:U98="x")*(Besatzung!$F$11:$F$22="x"))),1))))),0))))</f>
        <v/>
      </c>
      <c r="AB98" s="247">
        <f>IF(C98="Gutschrift","",IF(G98="","",IF(Besatzung!$B$17="","",IFERROR(IF(I98="Zeitanteilig",(Besatzung!$G$17*(G98-IFERROR(H98,0))+((Besatzung!$B$17&lt;&gt;"")*IF(B98="",1,(IF(Besatzung!$C$17="",Besatzung!$B$5,Besatzung!$C$17)&lt;=B98)*(IF(Besatzung!$D$17="",Besatzung!$B$6,Besatzung!$D$17)&gt;=B98)))*(Besatzung!$F$17="x")*IFERROR(H98,0)/IFERROR(SUMPRODUCT((Besatzung!$B$11:$B$22&lt;&gt;"")*(Besatzung!$F$11:$F$22="x")*(IF(Besatzung!$C$11:$C$22="",Besatzung!$B$5,Besatzung!$C$11:$C$22)&lt;=B98)*(IF(Besatzung!$D$11:$D$22="",Besatzung!$B$6,Besatzung!$D$11:$D$22)&gt;=B98)),1)),IF(I98="An Bord",(((Besatzung!$B$17&lt;&gt;"")*IF(B98="",1,(IF(Besatzung!$C$17="",Besatzung!$B$5,Besatzung!$C$17)&lt;=B98)*(IF(Besatzung!$D$17="",Besatzung!$B$6,Besatzung!$D$17)&gt;=B98)))*((G98-IFERROR(H98,0))/IFERROR(SUMPRODUCT((Besatzung!$B$11:$B$22&lt;&gt;"")*(IF(Besatzung!$C$11:$C$22="",Besatzung!$B$5,Besatzung!$C$11:$C$22)&lt;=B98)*(IF(Besatzung!$D$11:$D$22="",Besatzung!$B$6,Besatzung!$D$11:$D$22)&gt;=B98)),1)+(Besatzung!$F$17="x")*IFERROR(H98,0)/IFERROR(SUMPRODUCT((Besatzung!$B$11:$B$22&lt;&gt;"")*(Besatzung!$F$11:$F$22="x")*(IF(Besatzung!$C$11:$C$22="",Besatzung!$B$5,Besatzung!$C$11:$C$22)&lt;=B98)*(IF(Besatzung!$D$11:$D$22="",Besatzung!$B$6,Besatzung!$D$11:$D$22)&gt;=B98)),1))),IF(I98="Individuell",((P98="x")*((G98-IFERROR(H98,0))/IFERROR(COUNTIF(J98:U98,"x"),1)+(Besatzung!$F$17="x")*IFERROR(H98,0)/IFERROR(SUMPRODUCT((J98:U98="x")*(Besatzung!$F$11:$F$22="x")),1))),(IF(COUNTIF(J98:U98,"x")=0,IF(Besatzung!$B$17&lt;&gt;"",1,0),(P98="x"))*(G98-IFERROR(H98,0))/IFERROR(IF(COUNTIF(J98:U98,"x")=0,COUNTA(Besatzung!$B$11:$B$22),COUNTIF(J98:U98,"x")),1)+IF(COUNTIF(J98:U98,"x")=0,(Besatzung!$F$17="x"),(P98="x")*(Besatzung!$F$17="x"))*IFERROR(H98,0)/IFERROR(IF(COUNTIF(J98:U98,"x")=0,SUMPRODUCT((Besatzung!$B$11:$B$22&lt;&gt;"")*(Besatzung!$F$11:$F$22="x")),SUMPRODUCT((J98:U98="x")*(Besatzung!$F$11:$F$22="x"))),1))))),0))))</f>
        <v/>
      </c>
      <c r="AC98" s="247">
        <f>IF(C98="Gutschrift","",IF(G98="","",IF(Besatzung!$B$18="","",IFERROR(IF(I98="Zeitanteilig",(Besatzung!$G$18*(G98-IFERROR(H98,0))+((Besatzung!$B$18&lt;&gt;"")*IF(B98="",1,(IF(Besatzung!$C$18="",Besatzung!$B$5,Besatzung!$C$18)&lt;=B98)*(IF(Besatzung!$D$18="",Besatzung!$B$6,Besatzung!$D$18)&gt;=B98)))*(Besatzung!$F$18="x")*IFERROR(H98,0)/IFERROR(SUMPRODUCT((Besatzung!$B$11:$B$22&lt;&gt;"")*(Besatzung!$F$11:$F$22="x")*(IF(Besatzung!$C$11:$C$22="",Besatzung!$B$5,Besatzung!$C$11:$C$22)&lt;=B98)*(IF(Besatzung!$D$11:$D$22="",Besatzung!$B$6,Besatzung!$D$11:$D$22)&gt;=B98)),1)),IF(I98="An Bord",(((Besatzung!$B$18&lt;&gt;"")*IF(B98="",1,(IF(Besatzung!$C$18="",Besatzung!$B$5,Besatzung!$C$18)&lt;=B98)*(IF(Besatzung!$D$18="",Besatzung!$B$6,Besatzung!$D$18)&gt;=B98)))*((G98-IFERROR(H98,0))/IFERROR(SUMPRODUCT((Besatzung!$B$11:$B$22&lt;&gt;"")*(IF(Besatzung!$C$11:$C$22="",Besatzung!$B$5,Besatzung!$C$11:$C$22)&lt;=B98)*(IF(Besatzung!$D$11:$D$22="",Besatzung!$B$6,Besatzung!$D$11:$D$22)&gt;=B98)),1)+(Besatzung!$F$18="x")*IFERROR(H98,0)/IFERROR(SUMPRODUCT((Besatzung!$B$11:$B$22&lt;&gt;"")*(Besatzung!$F$11:$F$22="x")*(IF(Besatzung!$C$11:$C$22="",Besatzung!$B$5,Besatzung!$C$11:$C$22)&lt;=B98)*(IF(Besatzung!$D$11:$D$22="",Besatzung!$B$6,Besatzung!$D$11:$D$22)&gt;=B98)),1))),IF(I98="Individuell",((Q98="x")*((G98-IFERROR(H98,0))/IFERROR(COUNTIF(J98:U98,"x"),1)+(Besatzung!$F$18="x")*IFERROR(H98,0)/IFERROR(SUMPRODUCT((J98:U98="x")*(Besatzung!$F$11:$F$22="x")),1))),(IF(COUNTIF(J98:U98,"x")=0,IF(Besatzung!$B$18&lt;&gt;"",1,0),(Q98="x"))*(G98-IFERROR(H98,0))/IFERROR(IF(COUNTIF(J98:U98,"x")=0,COUNTA(Besatzung!$B$11:$B$22),COUNTIF(J98:U98,"x")),1)+IF(COUNTIF(J98:U98,"x")=0,(Besatzung!$F$18="x"),(Q98="x")*(Besatzung!$F$18="x"))*IFERROR(H98,0)/IFERROR(IF(COUNTIF(J98:U98,"x")=0,SUMPRODUCT((Besatzung!$B$11:$B$22&lt;&gt;"")*(Besatzung!$F$11:$F$22="x")),SUMPRODUCT((J98:U98="x")*(Besatzung!$F$11:$F$22="x"))),1))))),0))))</f>
        <v/>
      </c>
      <c r="AD98" s="247">
        <f>IF(C98="Gutschrift","",IF(G98="","",IF(Besatzung!$B$19="","",IFERROR(IF(I98="Zeitanteilig",(Besatzung!$G$19*(G98-IFERROR(H98,0))+((Besatzung!$B$19&lt;&gt;"")*IF(B98="",1,(IF(Besatzung!$C$19="",Besatzung!$B$5,Besatzung!$C$19)&lt;=B98)*(IF(Besatzung!$D$19="",Besatzung!$B$6,Besatzung!$D$19)&gt;=B98)))*(Besatzung!$F$19="x")*IFERROR(H98,0)/IFERROR(SUMPRODUCT((Besatzung!$B$11:$B$22&lt;&gt;"")*(Besatzung!$F$11:$F$22="x")*(IF(Besatzung!$C$11:$C$22="",Besatzung!$B$5,Besatzung!$C$11:$C$22)&lt;=B98)*(IF(Besatzung!$D$11:$D$22="",Besatzung!$B$6,Besatzung!$D$11:$D$22)&gt;=B98)),1)),IF(I98="An Bord",(((Besatzung!$B$19&lt;&gt;"")*IF(B98="",1,(IF(Besatzung!$C$19="",Besatzung!$B$5,Besatzung!$C$19)&lt;=B98)*(IF(Besatzung!$D$19="",Besatzung!$B$6,Besatzung!$D$19)&gt;=B98)))*((G98-IFERROR(H98,0))/IFERROR(SUMPRODUCT((Besatzung!$B$11:$B$22&lt;&gt;"")*(IF(Besatzung!$C$11:$C$22="",Besatzung!$B$5,Besatzung!$C$11:$C$22)&lt;=B98)*(IF(Besatzung!$D$11:$D$22="",Besatzung!$B$6,Besatzung!$D$11:$D$22)&gt;=B98)),1)+(Besatzung!$F$19="x")*IFERROR(H98,0)/IFERROR(SUMPRODUCT((Besatzung!$B$11:$B$22&lt;&gt;"")*(Besatzung!$F$11:$F$22="x")*(IF(Besatzung!$C$11:$C$22="",Besatzung!$B$5,Besatzung!$C$11:$C$22)&lt;=B98)*(IF(Besatzung!$D$11:$D$22="",Besatzung!$B$6,Besatzung!$D$11:$D$22)&gt;=B98)),1))),IF(I98="Individuell",((R98="x")*((G98-IFERROR(H98,0))/IFERROR(COUNTIF(J98:U98,"x"),1)+(Besatzung!$F$19="x")*IFERROR(H98,0)/IFERROR(SUMPRODUCT((J98:U98="x")*(Besatzung!$F$11:$F$22="x")),1))),(IF(COUNTIF(J98:U98,"x")=0,IF(Besatzung!$B$19&lt;&gt;"",1,0),(R98="x"))*(G98-IFERROR(H98,0))/IFERROR(IF(COUNTIF(J98:U98,"x")=0,COUNTA(Besatzung!$B$11:$B$22),COUNTIF(J98:U98,"x")),1)+IF(COUNTIF(J98:U98,"x")=0,(Besatzung!$F$19="x"),(R98="x")*(Besatzung!$F$19="x"))*IFERROR(H98,0)/IFERROR(IF(COUNTIF(J98:U98,"x")=0,SUMPRODUCT((Besatzung!$B$11:$B$22&lt;&gt;"")*(Besatzung!$F$11:$F$22="x")),SUMPRODUCT((J98:U98="x")*(Besatzung!$F$11:$F$22="x"))),1))))),0))))</f>
        <v/>
      </c>
      <c r="AE98" s="247">
        <f>IF(C98="Gutschrift","",IF(G98="","",IF(Besatzung!$B$20="","",IFERROR(IF(I98="Zeitanteilig",(Besatzung!$G$20*(G98-IFERROR(H98,0))+((Besatzung!$B$20&lt;&gt;"")*IF(B98="",1,(IF(Besatzung!$C$20="",Besatzung!$B$5,Besatzung!$C$20)&lt;=B98)*(IF(Besatzung!$D$20="",Besatzung!$B$6,Besatzung!$D$20)&gt;=B98)))*(Besatzung!$F$20="x")*IFERROR(H98,0)/IFERROR(SUMPRODUCT((Besatzung!$B$11:$B$22&lt;&gt;"")*(Besatzung!$F$11:$F$22="x")*(IF(Besatzung!$C$11:$C$22="",Besatzung!$B$5,Besatzung!$C$11:$C$22)&lt;=B98)*(IF(Besatzung!$D$11:$D$22="",Besatzung!$B$6,Besatzung!$D$11:$D$22)&gt;=B98)),1)),IF(I98="An Bord",(((Besatzung!$B$20&lt;&gt;"")*IF(B98="",1,(IF(Besatzung!$C$20="",Besatzung!$B$5,Besatzung!$C$20)&lt;=B98)*(IF(Besatzung!$D$20="",Besatzung!$B$6,Besatzung!$D$20)&gt;=B98)))*((G98-IFERROR(H98,0))/IFERROR(SUMPRODUCT((Besatzung!$B$11:$B$22&lt;&gt;"")*(IF(Besatzung!$C$11:$C$22="",Besatzung!$B$5,Besatzung!$C$11:$C$22)&lt;=B98)*(IF(Besatzung!$D$11:$D$22="",Besatzung!$B$6,Besatzung!$D$11:$D$22)&gt;=B98)),1)+(Besatzung!$F$20="x")*IFERROR(H98,0)/IFERROR(SUMPRODUCT((Besatzung!$B$11:$B$22&lt;&gt;"")*(Besatzung!$F$11:$F$22="x")*(IF(Besatzung!$C$11:$C$22="",Besatzung!$B$5,Besatzung!$C$11:$C$22)&lt;=B98)*(IF(Besatzung!$D$11:$D$22="",Besatzung!$B$6,Besatzung!$D$11:$D$22)&gt;=B98)),1))),IF(I98="Individuell",((S98="x")*((G98-IFERROR(H98,0))/IFERROR(COUNTIF(J98:U98,"x"),1)+(Besatzung!$F$20="x")*IFERROR(H98,0)/IFERROR(SUMPRODUCT((J98:U98="x")*(Besatzung!$F$11:$F$22="x")),1))),(IF(COUNTIF(J98:U98,"x")=0,IF(Besatzung!$B$20&lt;&gt;"",1,0),(S98="x"))*(G98-IFERROR(H98,0))/IFERROR(IF(COUNTIF(J98:U98,"x")=0,COUNTA(Besatzung!$B$11:$B$22),COUNTIF(J98:U98,"x")),1)+IF(COUNTIF(J98:U98,"x")=0,(Besatzung!$F$20="x"),(S98="x")*(Besatzung!$F$20="x"))*IFERROR(H98,0)/IFERROR(IF(COUNTIF(J98:U98,"x")=0,SUMPRODUCT((Besatzung!$B$11:$B$22&lt;&gt;"")*(Besatzung!$F$11:$F$22="x")),SUMPRODUCT((J98:U98="x")*(Besatzung!$F$11:$F$22="x"))),1))))),0))))</f>
        <v/>
      </c>
      <c r="AF98" s="247">
        <f>IF(C98="Gutschrift","",IF(G98="","",IF(Besatzung!$B$21="","",IFERROR(IF(I98="Zeitanteilig",(Besatzung!$G$21*(G98-IFERROR(H98,0))+((Besatzung!$B$21&lt;&gt;"")*IF(B98="",1,(IF(Besatzung!$C$21="",Besatzung!$B$5,Besatzung!$C$21)&lt;=B98)*(IF(Besatzung!$D$21="",Besatzung!$B$6,Besatzung!$D$21)&gt;=B98)))*(Besatzung!$F$21="x")*IFERROR(H98,0)/IFERROR(SUMPRODUCT((Besatzung!$B$11:$B$22&lt;&gt;"")*(Besatzung!$F$11:$F$22="x")*(IF(Besatzung!$C$11:$C$22="",Besatzung!$B$5,Besatzung!$C$11:$C$22)&lt;=B98)*(IF(Besatzung!$D$11:$D$22="",Besatzung!$B$6,Besatzung!$D$11:$D$22)&gt;=B98)),1)),IF(I98="An Bord",(((Besatzung!$B$21&lt;&gt;"")*IF(B98="",1,(IF(Besatzung!$C$21="",Besatzung!$B$5,Besatzung!$C$21)&lt;=B98)*(IF(Besatzung!$D$21="",Besatzung!$B$6,Besatzung!$D$21)&gt;=B98)))*((G98-IFERROR(H98,0))/IFERROR(SUMPRODUCT((Besatzung!$B$11:$B$22&lt;&gt;"")*(IF(Besatzung!$C$11:$C$22="",Besatzung!$B$5,Besatzung!$C$11:$C$22)&lt;=B98)*(IF(Besatzung!$D$11:$D$22="",Besatzung!$B$6,Besatzung!$D$11:$D$22)&gt;=B98)),1)+(Besatzung!$F$21="x")*IFERROR(H98,0)/IFERROR(SUMPRODUCT((Besatzung!$B$11:$B$22&lt;&gt;"")*(Besatzung!$F$11:$F$22="x")*(IF(Besatzung!$C$11:$C$22="",Besatzung!$B$5,Besatzung!$C$11:$C$22)&lt;=B98)*(IF(Besatzung!$D$11:$D$22="",Besatzung!$B$6,Besatzung!$D$11:$D$22)&gt;=B98)),1))),IF(I98="Individuell",((T98="x")*((G98-IFERROR(H98,0))/IFERROR(COUNTIF(J98:U98,"x"),1)+(Besatzung!$F$21="x")*IFERROR(H98,0)/IFERROR(SUMPRODUCT((J98:U98="x")*(Besatzung!$F$11:$F$22="x")),1))),(IF(COUNTIF(J98:U98,"x")=0,IF(Besatzung!$B$21&lt;&gt;"",1,0),(T98="x"))*(G98-IFERROR(H98,0))/IFERROR(IF(COUNTIF(J98:U98,"x")=0,COUNTA(Besatzung!$B$11:$B$22),COUNTIF(J98:U98,"x")),1)+IF(COUNTIF(J98:U98,"x")=0,(Besatzung!$F$21="x"),(T98="x")*(Besatzung!$F$21="x"))*IFERROR(H98,0)/IFERROR(IF(COUNTIF(J98:U98,"x")=0,SUMPRODUCT((Besatzung!$B$11:$B$22&lt;&gt;"")*(Besatzung!$F$11:$F$22="x")),SUMPRODUCT((J98:U98="x")*(Besatzung!$F$11:$F$22="x"))),1))))),0))))</f>
        <v/>
      </c>
      <c r="AG98" s="247">
        <f>IF(C98="Gutschrift","",IF(G98="","",IF(Besatzung!$B$22="","",IFERROR(IF(I98="Zeitanteilig",(Besatzung!$G$22*(G98-IFERROR(H98,0))+((Besatzung!$B$22&lt;&gt;"")*IF(B98="",1,(IF(Besatzung!$C$22="",Besatzung!$B$5,Besatzung!$C$22)&lt;=B98)*(IF(Besatzung!$D$22="",Besatzung!$B$6,Besatzung!$D$22)&gt;=B98)))*(Besatzung!$F$22="x")*IFERROR(H98,0)/IFERROR(SUMPRODUCT((Besatzung!$B$11:$B$22&lt;&gt;"")*(Besatzung!$F$11:$F$22="x")*(IF(Besatzung!$C$11:$C$22="",Besatzung!$B$5,Besatzung!$C$11:$C$22)&lt;=B98)*(IF(Besatzung!$D$11:$D$22="",Besatzung!$B$6,Besatzung!$D$11:$D$22)&gt;=B98)),1)),IF(I98="An Bord",(((Besatzung!$B$22&lt;&gt;"")*IF(B98="",1,(IF(Besatzung!$C$22="",Besatzung!$B$5,Besatzung!$C$22)&lt;=B98)*(IF(Besatzung!$D$22="",Besatzung!$B$6,Besatzung!$D$22)&gt;=B98)))*((G98-IFERROR(H98,0))/IFERROR(SUMPRODUCT((Besatzung!$B$11:$B$22&lt;&gt;"")*(IF(Besatzung!$C$11:$C$22="",Besatzung!$B$5,Besatzung!$C$11:$C$22)&lt;=B98)*(IF(Besatzung!$D$11:$D$22="",Besatzung!$B$6,Besatzung!$D$11:$D$22)&gt;=B98)),1)+(Besatzung!$F$22="x")*IFERROR(H98,0)/IFERROR(SUMPRODUCT((Besatzung!$B$11:$B$22&lt;&gt;"")*(Besatzung!$F$11:$F$22="x")*(IF(Besatzung!$C$11:$C$22="",Besatzung!$B$5,Besatzung!$C$11:$C$22)&lt;=B98)*(IF(Besatzung!$D$11:$D$22="",Besatzung!$B$6,Besatzung!$D$11:$D$22)&gt;=B98)),1))),IF(I98="Individuell",((U98="x")*((G98-IFERROR(H98,0))/IFERROR(COUNTIF(J98:U98,"x"),1)+(Besatzung!$F$22="x")*IFERROR(H98,0)/IFERROR(SUMPRODUCT((J98:U98="x")*(Besatzung!$F$11:$F$22="x")),1))),(IF(COUNTIF(J98:U98,"x")=0,IF(Besatzung!$B$22&lt;&gt;"",1,0),(U98="x"))*(G98-IFERROR(H98,0))/IFERROR(IF(COUNTIF(J98:U98,"x")=0,COUNTA(Besatzung!$B$11:$B$22),COUNTIF(J98:U98,"x")),1)+IF(COUNTIF(J98:U98,"x")=0,(Besatzung!$F$22="x"),(U98="x")*(Besatzung!$F$22="x"))*IFERROR(H98,0)/IFERROR(IF(COUNTIF(J98:U98,"x")=0,SUMPRODUCT((Besatzung!$B$11:$B$22&lt;&gt;"")*(Besatzung!$F$11:$F$22="x")),SUMPRODUCT((J98:U98="x")*(Besatzung!$F$11:$F$22="x"))),1))))),0))))</f>
        <v/>
      </c>
      <c r="AH98" s="248" t="n"/>
      <c r="AI98" s="248" t="n"/>
    </row>
    <row r="99" ht="21.75" customHeight="1" s="154">
      <c r="A99" s="238">
        <f>IF(AND(D99="",C99=""),"",96)</f>
        <v/>
      </c>
      <c r="B99" s="206" t="n"/>
      <c r="C99" s="249" t="n"/>
      <c r="D99" s="250" t="n"/>
      <c r="E99" s="251" t="n"/>
      <c r="F99" s="252" t="n"/>
      <c r="G99" s="253" t="n"/>
      <c r="H99" s="254" t="n"/>
      <c r="I99" s="255" t="n"/>
      <c r="J99" s="256" t="n"/>
      <c r="K99" s="256" t="n"/>
      <c r="L99" s="256" t="n"/>
      <c r="M99" s="256" t="n"/>
      <c r="N99" s="256" t="n"/>
      <c r="O99" s="256" t="n"/>
      <c r="P99" s="256" t="n"/>
      <c r="Q99" s="256" t="n"/>
      <c r="R99" s="256" t="n"/>
      <c r="S99" s="256" t="n"/>
      <c r="T99" s="256" t="n"/>
      <c r="U99" s="256" t="n"/>
      <c r="V99" s="247">
        <f>IF(C99="Gutschrift","",IF(G99="","",IF(Besatzung!$B$11="","",IFERROR(IF(I99="Zeitanteilig",(Besatzung!$G$11*(G99-IFERROR(H99,0))+((Besatzung!$B$11&lt;&gt;"")*IF(B99="",1,(IF(Besatzung!$C$11="",Besatzung!$B$5,Besatzung!$C$11)&lt;=B99)*(IF(Besatzung!$D$11="",Besatzung!$B$6,Besatzung!$D$11)&gt;=B99)))*(Besatzung!$F$11="x")*IFERROR(H99,0)/IFERROR(SUMPRODUCT((Besatzung!$B$11:$B$22&lt;&gt;"")*(Besatzung!$F$11:$F$22="x")*(IF(Besatzung!$C$11:$C$22="",Besatzung!$B$5,Besatzung!$C$11:$C$22)&lt;=B99)*(IF(Besatzung!$D$11:$D$22="",Besatzung!$B$6,Besatzung!$D$11:$D$22)&gt;=B99)),1)),IF(I99="An Bord",(((Besatzung!$B$11&lt;&gt;"")*IF(B99="",1,(IF(Besatzung!$C$11="",Besatzung!$B$5,Besatzung!$C$11)&lt;=B99)*(IF(Besatzung!$D$11="",Besatzung!$B$6,Besatzung!$D$11)&gt;=B99)))*((G99-IFERROR(H99,0))/IFERROR(SUMPRODUCT((Besatzung!$B$11:$B$22&lt;&gt;"")*(IF(Besatzung!$C$11:$C$22="",Besatzung!$B$5,Besatzung!$C$11:$C$22)&lt;=B99)*(IF(Besatzung!$D$11:$D$22="",Besatzung!$B$6,Besatzung!$D$11:$D$22)&gt;=B99)),1)+(Besatzung!$F$11="x")*IFERROR(H99,0)/IFERROR(SUMPRODUCT((Besatzung!$B$11:$B$22&lt;&gt;"")*(Besatzung!$F$11:$F$22="x")*(IF(Besatzung!$C$11:$C$22="",Besatzung!$B$5,Besatzung!$C$11:$C$22)&lt;=B99)*(IF(Besatzung!$D$11:$D$22="",Besatzung!$B$6,Besatzung!$D$11:$D$22)&gt;=B99)),1))),IF(I99="Individuell",((J99="x")*((G99-IFERROR(H99,0))/IFERROR(COUNTIF(J99:U99,"x"),1)+(Besatzung!$F$11="x")*IFERROR(H99,0)/IFERROR(SUMPRODUCT((J99:U99="x")*(Besatzung!$F$11:$F$22="x")),1))),(IF(COUNTIF(J99:U99,"x")=0,IF(Besatzung!$B$11&lt;&gt;"",1,0),(J99="x"))*(G99-IFERROR(H99,0))/IFERROR(IF(COUNTIF(J99:U99,"x")=0,COUNTA(Besatzung!$B$11:$B$22),COUNTIF(J99:U99,"x")),1)+IF(COUNTIF(J99:U99,"x")=0,(Besatzung!$F$11="x"),(J99="x")*(Besatzung!$F$11="x"))*IFERROR(H99,0)/IFERROR(IF(COUNTIF(J99:U99,"x")=0,SUMPRODUCT((Besatzung!$B$11:$B$22&lt;&gt;"")*(Besatzung!$F$11:$F$22="x")),SUMPRODUCT((J99:U99="x")*(Besatzung!$F$11:$F$22="x"))),1))))),0))))</f>
        <v/>
      </c>
      <c r="W99" s="247">
        <f>IF(C99="Gutschrift","",IF(G99="","",IF(Besatzung!$B$12="","",IFERROR(IF(I99="Zeitanteilig",(Besatzung!$G$12*(G99-IFERROR(H99,0))+((Besatzung!$B$12&lt;&gt;"")*IF(B99="",1,(IF(Besatzung!$C$12="",Besatzung!$B$5,Besatzung!$C$12)&lt;=B99)*(IF(Besatzung!$D$12="",Besatzung!$B$6,Besatzung!$D$12)&gt;=B99)))*(Besatzung!$F$12="x")*IFERROR(H99,0)/IFERROR(SUMPRODUCT((Besatzung!$B$11:$B$22&lt;&gt;"")*(Besatzung!$F$11:$F$22="x")*(IF(Besatzung!$C$11:$C$22="",Besatzung!$B$5,Besatzung!$C$11:$C$22)&lt;=B99)*(IF(Besatzung!$D$11:$D$22="",Besatzung!$B$6,Besatzung!$D$11:$D$22)&gt;=B99)),1)),IF(I99="An Bord",(((Besatzung!$B$12&lt;&gt;"")*IF(B99="",1,(IF(Besatzung!$C$12="",Besatzung!$B$5,Besatzung!$C$12)&lt;=B99)*(IF(Besatzung!$D$12="",Besatzung!$B$6,Besatzung!$D$12)&gt;=B99)))*((G99-IFERROR(H99,0))/IFERROR(SUMPRODUCT((Besatzung!$B$11:$B$22&lt;&gt;"")*(IF(Besatzung!$C$11:$C$22="",Besatzung!$B$5,Besatzung!$C$11:$C$22)&lt;=B99)*(IF(Besatzung!$D$11:$D$22="",Besatzung!$B$6,Besatzung!$D$11:$D$22)&gt;=B99)),1)+(Besatzung!$F$12="x")*IFERROR(H99,0)/IFERROR(SUMPRODUCT((Besatzung!$B$11:$B$22&lt;&gt;"")*(Besatzung!$F$11:$F$22="x")*(IF(Besatzung!$C$11:$C$22="",Besatzung!$B$5,Besatzung!$C$11:$C$22)&lt;=B99)*(IF(Besatzung!$D$11:$D$22="",Besatzung!$B$6,Besatzung!$D$11:$D$22)&gt;=B99)),1))),IF(I99="Individuell",((K99="x")*((G99-IFERROR(H99,0))/IFERROR(COUNTIF(J99:U99,"x"),1)+(Besatzung!$F$12="x")*IFERROR(H99,0)/IFERROR(SUMPRODUCT((J99:U99="x")*(Besatzung!$F$11:$F$22="x")),1))),(IF(COUNTIF(J99:U99,"x")=0,IF(Besatzung!$B$12&lt;&gt;"",1,0),(K99="x"))*(G99-IFERROR(H99,0))/IFERROR(IF(COUNTIF(J99:U99,"x")=0,COUNTA(Besatzung!$B$11:$B$22),COUNTIF(J99:U99,"x")),1)+IF(COUNTIF(J99:U99,"x")=0,(Besatzung!$F$12="x"),(K99="x")*(Besatzung!$F$12="x"))*IFERROR(H99,0)/IFERROR(IF(COUNTIF(J99:U99,"x")=0,SUMPRODUCT((Besatzung!$B$11:$B$22&lt;&gt;"")*(Besatzung!$F$11:$F$22="x")),SUMPRODUCT((J99:U99="x")*(Besatzung!$F$11:$F$22="x"))),1))))),0))))</f>
        <v/>
      </c>
      <c r="X99" s="247">
        <f>IF(C99="Gutschrift","",IF(G99="","",IF(Besatzung!$B$13="","",IFERROR(IF(I99="Zeitanteilig",(Besatzung!$G$13*(G99-IFERROR(H99,0))+((Besatzung!$B$13&lt;&gt;"")*IF(B99="",1,(IF(Besatzung!$C$13="",Besatzung!$B$5,Besatzung!$C$13)&lt;=B99)*(IF(Besatzung!$D$13="",Besatzung!$B$6,Besatzung!$D$13)&gt;=B99)))*(Besatzung!$F$13="x")*IFERROR(H99,0)/IFERROR(SUMPRODUCT((Besatzung!$B$11:$B$22&lt;&gt;"")*(Besatzung!$F$11:$F$22="x")*(IF(Besatzung!$C$11:$C$22="",Besatzung!$B$5,Besatzung!$C$11:$C$22)&lt;=B99)*(IF(Besatzung!$D$11:$D$22="",Besatzung!$B$6,Besatzung!$D$11:$D$22)&gt;=B99)),1)),IF(I99="An Bord",(((Besatzung!$B$13&lt;&gt;"")*IF(B99="",1,(IF(Besatzung!$C$13="",Besatzung!$B$5,Besatzung!$C$13)&lt;=B99)*(IF(Besatzung!$D$13="",Besatzung!$B$6,Besatzung!$D$13)&gt;=B99)))*((G99-IFERROR(H99,0))/IFERROR(SUMPRODUCT((Besatzung!$B$11:$B$22&lt;&gt;"")*(IF(Besatzung!$C$11:$C$22="",Besatzung!$B$5,Besatzung!$C$11:$C$22)&lt;=B99)*(IF(Besatzung!$D$11:$D$22="",Besatzung!$B$6,Besatzung!$D$11:$D$22)&gt;=B99)),1)+(Besatzung!$F$13="x")*IFERROR(H99,0)/IFERROR(SUMPRODUCT((Besatzung!$B$11:$B$22&lt;&gt;"")*(Besatzung!$F$11:$F$22="x")*(IF(Besatzung!$C$11:$C$22="",Besatzung!$B$5,Besatzung!$C$11:$C$22)&lt;=B99)*(IF(Besatzung!$D$11:$D$22="",Besatzung!$B$6,Besatzung!$D$11:$D$22)&gt;=B99)),1))),IF(I99="Individuell",((K99="x")*((G99-IFERROR(H99,0))/IFERROR(COUNTIF(J99:U99,"x"),1)+(Besatzung!$F$13="x")*IFERROR(H99,0)/IFERROR(SUMPRODUCT((J99:U99="x")*(Besatzung!$F$11:$F$22="x")),1))),(IF(COUNTIF(J99:U99,"x")=0,IF(Besatzung!$B$13&lt;&gt;"",1,0),(K99="x"))*(G99-IFERROR(H99,0))/IFERROR(IF(COUNTIF(J99:U99,"x")=0,COUNTA(Besatzung!$B$11:$B$22),COUNTIF(J99:U99,"x")),1)+IF(COUNTIF(J99:U99,"x")=0,(Besatzung!$F$13="x"),(K99="x")*(Besatzung!$F$13="x"))*IFERROR(H99,0)/IFERROR(IF(COUNTIF(J99:U99,"x")=0,SUMPRODUCT((Besatzung!$B$11:$B$22&lt;&gt;"")*(Besatzung!$F$11:$F$22="x")),SUMPRODUCT((J99:U99="x")*(Besatzung!$F$11:$F$22="x"))),1))))),0))))</f>
        <v/>
      </c>
      <c r="Y99" s="247">
        <f>IF(C99="Gutschrift","",IF(G99="","",IF(Besatzung!$B$14="","",IFERROR(IF(I99="Zeitanteilig",(Besatzung!$G$14*(G99-IFERROR(H99,0))+((Besatzung!$B$14&lt;&gt;"")*IF(B99="",1,(IF(Besatzung!$C$14="",Besatzung!$B$5,Besatzung!$C$14)&lt;=B99)*(IF(Besatzung!$D$14="",Besatzung!$B$6,Besatzung!$D$14)&gt;=B99)))*(Besatzung!$F$14="x")*IFERROR(H99,0)/IFERROR(SUMPRODUCT((Besatzung!$B$11:$B$22&lt;&gt;"")*(Besatzung!$F$11:$F$22="x")*(IF(Besatzung!$C$11:$C$22="",Besatzung!$B$5,Besatzung!$C$11:$C$22)&lt;=B99)*(IF(Besatzung!$D$11:$D$22="",Besatzung!$B$6,Besatzung!$D$11:$D$22)&gt;=B99)),1)),IF(I99="An Bord",(((Besatzung!$B$14&lt;&gt;"")*IF(B99="",1,(IF(Besatzung!$C$14="",Besatzung!$B$5,Besatzung!$C$14)&lt;=B99)*(IF(Besatzung!$D$14="",Besatzung!$B$6,Besatzung!$D$14)&gt;=B99)))*((G99-IFERROR(H99,0))/IFERROR(SUMPRODUCT((Besatzung!$B$11:$B$22&lt;&gt;"")*(IF(Besatzung!$C$11:$C$22="",Besatzung!$B$5,Besatzung!$C$11:$C$22)&lt;=B99)*(IF(Besatzung!$D$11:$D$22="",Besatzung!$B$6,Besatzung!$D$11:$D$22)&gt;=B99)),1)+(Besatzung!$F$14="x")*IFERROR(H99,0)/IFERROR(SUMPRODUCT((Besatzung!$B$11:$B$22&lt;&gt;"")*(Besatzung!$F$11:$F$22="x")*(IF(Besatzung!$C$11:$C$22="",Besatzung!$B$5,Besatzung!$C$11:$C$22)&lt;=B99)*(IF(Besatzung!$D$11:$D$22="",Besatzung!$B$6,Besatzung!$D$11:$D$22)&gt;=B99)),1))),IF(I99="Individuell",((M99="x")*((G99-IFERROR(H99,0))/IFERROR(COUNTIF(J99:U99,"x"),1)+(Besatzung!$F$14="x")*IFERROR(H99,0)/IFERROR(SUMPRODUCT((J99:U99="x")*(Besatzung!$F$11:$F$22="x")),1))),(IF(COUNTIF(J99:U99,"x")=0,IF(Besatzung!$B$14&lt;&gt;"",1,0),(M99="x"))*(G99-IFERROR(H99,0))/IFERROR(IF(COUNTIF(J99:U99,"x")=0,COUNTA(Besatzung!$B$11:$B$22),COUNTIF(J99:U99,"x")),1)+IF(COUNTIF(J99:U99,"x")=0,(Besatzung!$F$14="x"),(M99="x")*(Besatzung!$F$14="x"))*IFERROR(H99,0)/IFERROR(IF(COUNTIF(J99:U99,"x")=0,SUMPRODUCT((Besatzung!$B$11:$B$22&lt;&gt;"")*(Besatzung!$F$11:$F$22="x")),SUMPRODUCT((J99:U99="x")*(Besatzung!$F$11:$F$22="x"))),1))))),0))))</f>
        <v/>
      </c>
      <c r="Z99" s="247">
        <f>IF(C99="Gutschrift","",IF(G99="","",IF(Besatzung!$B$13="","",IFERROR(IF(I99="Zeitanteilig",(Besatzung!$G$15*(G99-IFERROR(H99,0))+((Besatzung!$B$13&lt;&gt;"")*IF(B99="",1,(IF(Besatzung!$C$15="",Besatzung!$B$5,Besatzung!$C$15)&lt;=B99)*(IF(Besatzung!$D$15="",Besatzung!$B$6,Besatzung!$D$15)&gt;=B99)))*(Besatzung!$F$15="x")*IFERROR(H99,0)/IFERROR(SUMPRODUCT((Besatzung!$B$11:$B$22&lt;&gt;"")*(Besatzung!$F$11:$F$22="x")*(IF(Besatzung!$C$11:$C$22="",Besatzung!$B$5,Besatzung!$C$11:$C$22)&lt;=B99)*(IF(Besatzung!$D$11:$D$22="",Besatzung!$B$6,Besatzung!$D$11:$D$22)&gt;=B99)),1)),IF(I99="An Bord",(((Besatzung!$B$13&lt;&gt;"")*IF(B99="",1,(IF(Besatzung!$C$15="",Besatzung!$B$5,Besatzung!$C$15)&lt;=B99)*(IF(Besatzung!$D$15="",Besatzung!$B$6,Besatzung!$D$15)&gt;=B99)))*((G99-IFERROR(H99,0))/IFERROR(SUMPRODUCT((Besatzung!$B$11:$B$22&lt;&gt;"")*(IF(Besatzung!$C$11:$C$22="",Besatzung!$B$5,Besatzung!$C$11:$C$22)&lt;=B99)*(IF(Besatzung!$D$11:$D$22="",Besatzung!$B$6,Besatzung!$D$11:$D$22)&gt;=B99)),1)+(Besatzung!$F$15="x")*IFERROR(H99,0)/IFERROR(SUMPRODUCT((Besatzung!$B$11:$B$22&lt;&gt;"")*(Besatzung!$F$11:$F$22="x")*(IF(Besatzung!$C$11:$C$22="",Besatzung!$B$5,Besatzung!$C$11:$C$22)&lt;=B99)*(IF(Besatzung!$D$11:$D$22="",Besatzung!$B$6,Besatzung!$D$11:$D$22)&gt;=B99)),1))),IF(I99="Individuell",((N99="x")*((G99-IFERROR(H99,0))/IFERROR(COUNTIF(J99:U99,"x"),1)+(Besatzung!$F$15="x")*IFERROR(H99,0)/IFERROR(SUMPRODUCT((J99:U99="x")*(Besatzung!$F$11:$F$22="x")),1))),(IF(COUNTIF(J99:U99,"x")=0,IF(Besatzung!$B$13&lt;&gt;"",1,0),(N99="x"))*(G99-IFERROR(H99,0))/IFERROR(IF(COUNTIF(J99:U99,"x")=0,COUNTA(Besatzung!$B$11:$B$22),COUNTIF(J99:U99,"x")),1)+IF(COUNTIF(J99:U99,"x")=0,(Besatzung!$F$15="x"),(N99="x")*(Besatzung!$F$15="x"))*IFERROR(H99,0)/IFERROR(IF(COUNTIF(J99:U99,"x")=0,SUMPRODUCT((Besatzung!$B$11:$B$22&lt;&gt;"")*(Besatzung!$F$11:$F$22="x")),SUMPRODUCT((J99:U99="x")*(Besatzung!$F$11:$F$22="x"))),1))))),0))))</f>
        <v/>
      </c>
      <c r="AA99" s="247">
        <f>IF(C99="Gutschrift","",IF(G99="","",IF(Besatzung!$B$15="","",IFERROR(IF(I99="Zeitanteilig",(Besatzung!$G$16*(G99-IFERROR(H99,0))+((Besatzung!$B$15&lt;&gt;"")*IF(B99="",1,(IF(Besatzung!$C$16="",Besatzung!$B$5,Besatzung!$C$16)&lt;=B99)*(IF(Besatzung!$D$16="",Besatzung!$B$6,Besatzung!$D$16)&gt;=B99)))*(Besatzung!$F$16="x")*IFERROR(H99,0)/IFERROR(SUMPRODUCT((Besatzung!$B$11:$B$22&lt;&gt;"")*(Besatzung!$F$11:$F$22="x")*(IF(Besatzung!$C$11:$C$22="",Besatzung!$B$5,Besatzung!$C$11:$C$22)&lt;=B99)*(IF(Besatzung!$D$11:$D$22="",Besatzung!$B$6,Besatzung!$D$11:$D$22)&gt;=B99)),1)),IF(I99="An Bord",(((Besatzung!$B$15&lt;&gt;"")*IF(B99="",1,(IF(Besatzung!$C$16="",Besatzung!$B$5,Besatzung!$C$16)&lt;=B99)*(IF(Besatzung!$D$16="",Besatzung!$B$6,Besatzung!$D$16)&gt;=B99)))*((G99-IFERROR(H99,0))/IFERROR(SUMPRODUCT((Besatzung!$B$11:$B$22&lt;&gt;"")*(IF(Besatzung!$C$11:$C$22="",Besatzung!$B$5,Besatzung!$C$11:$C$22)&lt;=B99)*(IF(Besatzung!$D$11:$D$22="",Besatzung!$B$6,Besatzung!$D$11:$D$22)&gt;=B99)),1)+(Besatzung!$F$16="x")*IFERROR(H99,0)/IFERROR(SUMPRODUCT((Besatzung!$B$11:$B$22&lt;&gt;"")*(Besatzung!$F$11:$F$22="x")*(IF(Besatzung!$C$11:$C$22="",Besatzung!$B$5,Besatzung!$C$11:$C$22)&lt;=B99)*(IF(Besatzung!$D$11:$D$22="",Besatzung!$B$6,Besatzung!$D$11:$D$22)&gt;=B99)),1))),IF(I99="Individuell",((O99="x")*((G99-IFERROR(H99,0))/IFERROR(COUNTIF(J99:U99,"x"),1)+(Besatzung!$F$16="x")*IFERROR(H99,0)/IFERROR(SUMPRODUCT((J99:U99="x")*(Besatzung!$F$11:$F$22="x")),1))),(IF(COUNTIF(J99:U99,"x")=0,IF(Besatzung!$B$15&lt;&gt;"",1,0),(O99="x"))*(G99-IFERROR(H99,0))/IFERROR(IF(COUNTIF(J99:U99,"x")=0,COUNTA(Besatzung!$B$11:$B$22),COUNTIF(J99:U99,"x")),1)+IF(COUNTIF(J99:U99,"x")=0,(Besatzung!$F$16="x"),(O99="x")*(Besatzung!$F$16="x"))*IFERROR(H99,0)/IFERROR(IF(COUNTIF(J99:U99,"x")=0,SUMPRODUCT((Besatzung!$B$11:$B$22&lt;&gt;"")*(Besatzung!$F$11:$F$22="x")),SUMPRODUCT((J99:U99="x")*(Besatzung!$F$11:$F$22="x"))),1))))),0))))</f>
        <v/>
      </c>
      <c r="AB99" s="247">
        <f>IF(C99="Gutschrift","",IF(G99="","",IF(Besatzung!$B$17="","",IFERROR(IF(I99="Zeitanteilig",(Besatzung!$G$17*(G99-IFERROR(H99,0))+((Besatzung!$B$17&lt;&gt;"")*IF(B99="",1,(IF(Besatzung!$C$17="",Besatzung!$B$5,Besatzung!$C$17)&lt;=B99)*(IF(Besatzung!$D$17="",Besatzung!$B$6,Besatzung!$D$17)&gt;=B99)))*(Besatzung!$F$17="x")*IFERROR(H99,0)/IFERROR(SUMPRODUCT((Besatzung!$B$11:$B$22&lt;&gt;"")*(Besatzung!$F$11:$F$22="x")*(IF(Besatzung!$C$11:$C$22="",Besatzung!$B$5,Besatzung!$C$11:$C$22)&lt;=B99)*(IF(Besatzung!$D$11:$D$22="",Besatzung!$B$6,Besatzung!$D$11:$D$22)&gt;=B99)),1)),IF(I99="An Bord",(((Besatzung!$B$17&lt;&gt;"")*IF(B99="",1,(IF(Besatzung!$C$17="",Besatzung!$B$5,Besatzung!$C$17)&lt;=B99)*(IF(Besatzung!$D$17="",Besatzung!$B$6,Besatzung!$D$17)&gt;=B99)))*((G99-IFERROR(H99,0))/IFERROR(SUMPRODUCT((Besatzung!$B$11:$B$22&lt;&gt;"")*(IF(Besatzung!$C$11:$C$22="",Besatzung!$B$5,Besatzung!$C$11:$C$22)&lt;=B99)*(IF(Besatzung!$D$11:$D$22="",Besatzung!$B$6,Besatzung!$D$11:$D$22)&gt;=B99)),1)+(Besatzung!$F$17="x")*IFERROR(H99,0)/IFERROR(SUMPRODUCT((Besatzung!$B$11:$B$22&lt;&gt;"")*(Besatzung!$F$11:$F$22="x")*(IF(Besatzung!$C$11:$C$22="",Besatzung!$B$5,Besatzung!$C$11:$C$22)&lt;=B99)*(IF(Besatzung!$D$11:$D$22="",Besatzung!$B$6,Besatzung!$D$11:$D$22)&gt;=B99)),1))),IF(I99="Individuell",((P99="x")*((G99-IFERROR(H99,0))/IFERROR(COUNTIF(J99:U99,"x"),1)+(Besatzung!$F$17="x")*IFERROR(H99,0)/IFERROR(SUMPRODUCT((J99:U99="x")*(Besatzung!$F$11:$F$22="x")),1))),(IF(COUNTIF(J99:U99,"x")=0,IF(Besatzung!$B$17&lt;&gt;"",1,0),(P99="x"))*(G99-IFERROR(H99,0))/IFERROR(IF(COUNTIF(J99:U99,"x")=0,COUNTA(Besatzung!$B$11:$B$22),COUNTIF(J99:U99,"x")),1)+IF(COUNTIF(J99:U99,"x")=0,(Besatzung!$F$17="x"),(P99="x")*(Besatzung!$F$17="x"))*IFERROR(H99,0)/IFERROR(IF(COUNTIF(J99:U99,"x")=0,SUMPRODUCT((Besatzung!$B$11:$B$22&lt;&gt;"")*(Besatzung!$F$11:$F$22="x")),SUMPRODUCT((J99:U99="x")*(Besatzung!$F$11:$F$22="x"))),1))))),0))))</f>
        <v/>
      </c>
      <c r="AC99" s="247">
        <f>IF(C99="Gutschrift","",IF(G99="","",IF(Besatzung!$B$18="","",IFERROR(IF(I99="Zeitanteilig",(Besatzung!$G$18*(G99-IFERROR(H99,0))+((Besatzung!$B$18&lt;&gt;"")*IF(B99="",1,(IF(Besatzung!$C$18="",Besatzung!$B$5,Besatzung!$C$18)&lt;=B99)*(IF(Besatzung!$D$18="",Besatzung!$B$6,Besatzung!$D$18)&gt;=B99)))*(Besatzung!$F$18="x")*IFERROR(H99,0)/IFERROR(SUMPRODUCT((Besatzung!$B$11:$B$22&lt;&gt;"")*(Besatzung!$F$11:$F$22="x")*(IF(Besatzung!$C$11:$C$22="",Besatzung!$B$5,Besatzung!$C$11:$C$22)&lt;=B99)*(IF(Besatzung!$D$11:$D$22="",Besatzung!$B$6,Besatzung!$D$11:$D$22)&gt;=B99)),1)),IF(I99="An Bord",(((Besatzung!$B$18&lt;&gt;"")*IF(B99="",1,(IF(Besatzung!$C$18="",Besatzung!$B$5,Besatzung!$C$18)&lt;=B99)*(IF(Besatzung!$D$18="",Besatzung!$B$6,Besatzung!$D$18)&gt;=B99)))*((G99-IFERROR(H99,0))/IFERROR(SUMPRODUCT((Besatzung!$B$11:$B$22&lt;&gt;"")*(IF(Besatzung!$C$11:$C$22="",Besatzung!$B$5,Besatzung!$C$11:$C$22)&lt;=B99)*(IF(Besatzung!$D$11:$D$22="",Besatzung!$B$6,Besatzung!$D$11:$D$22)&gt;=B99)),1)+(Besatzung!$F$18="x")*IFERROR(H99,0)/IFERROR(SUMPRODUCT((Besatzung!$B$11:$B$22&lt;&gt;"")*(Besatzung!$F$11:$F$22="x")*(IF(Besatzung!$C$11:$C$22="",Besatzung!$B$5,Besatzung!$C$11:$C$22)&lt;=B99)*(IF(Besatzung!$D$11:$D$22="",Besatzung!$B$6,Besatzung!$D$11:$D$22)&gt;=B99)),1))),IF(I99="Individuell",((Q99="x")*((G99-IFERROR(H99,0))/IFERROR(COUNTIF(J99:U99,"x"),1)+(Besatzung!$F$18="x")*IFERROR(H99,0)/IFERROR(SUMPRODUCT((J99:U99="x")*(Besatzung!$F$11:$F$22="x")),1))),(IF(COUNTIF(J99:U99,"x")=0,IF(Besatzung!$B$18&lt;&gt;"",1,0),(Q99="x"))*(G99-IFERROR(H99,0))/IFERROR(IF(COUNTIF(J99:U99,"x")=0,COUNTA(Besatzung!$B$11:$B$22),COUNTIF(J99:U99,"x")),1)+IF(COUNTIF(J99:U99,"x")=0,(Besatzung!$F$18="x"),(Q99="x")*(Besatzung!$F$18="x"))*IFERROR(H99,0)/IFERROR(IF(COUNTIF(J99:U99,"x")=0,SUMPRODUCT((Besatzung!$B$11:$B$22&lt;&gt;"")*(Besatzung!$F$11:$F$22="x")),SUMPRODUCT((J99:U99="x")*(Besatzung!$F$11:$F$22="x"))),1))))),0))))</f>
        <v/>
      </c>
      <c r="AD99" s="247">
        <f>IF(C99="Gutschrift","",IF(G99="","",IF(Besatzung!$B$19="","",IFERROR(IF(I99="Zeitanteilig",(Besatzung!$G$19*(G99-IFERROR(H99,0))+((Besatzung!$B$19&lt;&gt;"")*IF(B99="",1,(IF(Besatzung!$C$19="",Besatzung!$B$5,Besatzung!$C$19)&lt;=B99)*(IF(Besatzung!$D$19="",Besatzung!$B$6,Besatzung!$D$19)&gt;=B99)))*(Besatzung!$F$19="x")*IFERROR(H99,0)/IFERROR(SUMPRODUCT((Besatzung!$B$11:$B$22&lt;&gt;"")*(Besatzung!$F$11:$F$22="x")*(IF(Besatzung!$C$11:$C$22="",Besatzung!$B$5,Besatzung!$C$11:$C$22)&lt;=B99)*(IF(Besatzung!$D$11:$D$22="",Besatzung!$B$6,Besatzung!$D$11:$D$22)&gt;=B99)),1)),IF(I99="An Bord",(((Besatzung!$B$19&lt;&gt;"")*IF(B99="",1,(IF(Besatzung!$C$19="",Besatzung!$B$5,Besatzung!$C$19)&lt;=B99)*(IF(Besatzung!$D$19="",Besatzung!$B$6,Besatzung!$D$19)&gt;=B99)))*((G99-IFERROR(H99,0))/IFERROR(SUMPRODUCT((Besatzung!$B$11:$B$22&lt;&gt;"")*(IF(Besatzung!$C$11:$C$22="",Besatzung!$B$5,Besatzung!$C$11:$C$22)&lt;=B99)*(IF(Besatzung!$D$11:$D$22="",Besatzung!$B$6,Besatzung!$D$11:$D$22)&gt;=B99)),1)+(Besatzung!$F$19="x")*IFERROR(H99,0)/IFERROR(SUMPRODUCT((Besatzung!$B$11:$B$22&lt;&gt;"")*(Besatzung!$F$11:$F$22="x")*(IF(Besatzung!$C$11:$C$22="",Besatzung!$B$5,Besatzung!$C$11:$C$22)&lt;=B99)*(IF(Besatzung!$D$11:$D$22="",Besatzung!$B$6,Besatzung!$D$11:$D$22)&gt;=B99)),1))),IF(I99="Individuell",((R99="x")*((G99-IFERROR(H99,0))/IFERROR(COUNTIF(J99:U99,"x"),1)+(Besatzung!$F$19="x")*IFERROR(H99,0)/IFERROR(SUMPRODUCT((J99:U99="x")*(Besatzung!$F$11:$F$22="x")),1))),(IF(COUNTIF(J99:U99,"x")=0,IF(Besatzung!$B$19&lt;&gt;"",1,0),(R99="x"))*(G99-IFERROR(H99,0))/IFERROR(IF(COUNTIF(J99:U99,"x")=0,COUNTA(Besatzung!$B$11:$B$22),COUNTIF(J99:U99,"x")),1)+IF(COUNTIF(J99:U99,"x")=0,(Besatzung!$F$19="x"),(R99="x")*(Besatzung!$F$19="x"))*IFERROR(H99,0)/IFERROR(IF(COUNTIF(J99:U99,"x")=0,SUMPRODUCT((Besatzung!$B$11:$B$22&lt;&gt;"")*(Besatzung!$F$11:$F$22="x")),SUMPRODUCT((J99:U99="x")*(Besatzung!$F$11:$F$22="x"))),1))))),0))))</f>
        <v/>
      </c>
      <c r="AE99" s="247">
        <f>IF(C99="Gutschrift","",IF(G99="","",IF(Besatzung!$B$20="","",IFERROR(IF(I99="Zeitanteilig",(Besatzung!$G$20*(G99-IFERROR(H99,0))+((Besatzung!$B$20&lt;&gt;"")*IF(B99="",1,(IF(Besatzung!$C$20="",Besatzung!$B$5,Besatzung!$C$20)&lt;=B99)*(IF(Besatzung!$D$20="",Besatzung!$B$6,Besatzung!$D$20)&gt;=B99)))*(Besatzung!$F$20="x")*IFERROR(H99,0)/IFERROR(SUMPRODUCT((Besatzung!$B$11:$B$22&lt;&gt;"")*(Besatzung!$F$11:$F$22="x")*(IF(Besatzung!$C$11:$C$22="",Besatzung!$B$5,Besatzung!$C$11:$C$22)&lt;=B99)*(IF(Besatzung!$D$11:$D$22="",Besatzung!$B$6,Besatzung!$D$11:$D$22)&gt;=B99)),1)),IF(I99="An Bord",(((Besatzung!$B$20&lt;&gt;"")*IF(B99="",1,(IF(Besatzung!$C$20="",Besatzung!$B$5,Besatzung!$C$20)&lt;=B99)*(IF(Besatzung!$D$20="",Besatzung!$B$6,Besatzung!$D$20)&gt;=B99)))*((G99-IFERROR(H99,0))/IFERROR(SUMPRODUCT((Besatzung!$B$11:$B$22&lt;&gt;"")*(IF(Besatzung!$C$11:$C$22="",Besatzung!$B$5,Besatzung!$C$11:$C$22)&lt;=B99)*(IF(Besatzung!$D$11:$D$22="",Besatzung!$B$6,Besatzung!$D$11:$D$22)&gt;=B99)),1)+(Besatzung!$F$20="x")*IFERROR(H99,0)/IFERROR(SUMPRODUCT((Besatzung!$B$11:$B$22&lt;&gt;"")*(Besatzung!$F$11:$F$22="x")*(IF(Besatzung!$C$11:$C$22="",Besatzung!$B$5,Besatzung!$C$11:$C$22)&lt;=B99)*(IF(Besatzung!$D$11:$D$22="",Besatzung!$B$6,Besatzung!$D$11:$D$22)&gt;=B99)),1))),IF(I99="Individuell",((S99="x")*((G99-IFERROR(H99,0))/IFERROR(COUNTIF(J99:U99,"x"),1)+(Besatzung!$F$20="x")*IFERROR(H99,0)/IFERROR(SUMPRODUCT((J99:U99="x")*(Besatzung!$F$11:$F$22="x")),1))),(IF(COUNTIF(J99:U99,"x")=0,IF(Besatzung!$B$20&lt;&gt;"",1,0),(S99="x"))*(G99-IFERROR(H99,0))/IFERROR(IF(COUNTIF(J99:U99,"x")=0,COUNTA(Besatzung!$B$11:$B$22),COUNTIF(J99:U99,"x")),1)+IF(COUNTIF(J99:U99,"x")=0,(Besatzung!$F$20="x"),(S99="x")*(Besatzung!$F$20="x"))*IFERROR(H99,0)/IFERROR(IF(COUNTIF(J99:U99,"x")=0,SUMPRODUCT((Besatzung!$B$11:$B$22&lt;&gt;"")*(Besatzung!$F$11:$F$22="x")),SUMPRODUCT((J99:U99="x")*(Besatzung!$F$11:$F$22="x"))),1))))),0))))</f>
        <v/>
      </c>
      <c r="AF99" s="247">
        <f>IF(C99="Gutschrift","",IF(G99="","",IF(Besatzung!$B$21="","",IFERROR(IF(I99="Zeitanteilig",(Besatzung!$G$21*(G99-IFERROR(H99,0))+((Besatzung!$B$21&lt;&gt;"")*IF(B99="",1,(IF(Besatzung!$C$21="",Besatzung!$B$5,Besatzung!$C$21)&lt;=B99)*(IF(Besatzung!$D$21="",Besatzung!$B$6,Besatzung!$D$21)&gt;=B99)))*(Besatzung!$F$21="x")*IFERROR(H99,0)/IFERROR(SUMPRODUCT((Besatzung!$B$11:$B$22&lt;&gt;"")*(Besatzung!$F$11:$F$22="x")*(IF(Besatzung!$C$11:$C$22="",Besatzung!$B$5,Besatzung!$C$11:$C$22)&lt;=B99)*(IF(Besatzung!$D$11:$D$22="",Besatzung!$B$6,Besatzung!$D$11:$D$22)&gt;=B99)),1)),IF(I99="An Bord",(((Besatzung!$B$21&lt;&gt;"")*IF(B99="",1,(IF(Besatzung!$C$21="",Besatzung!$B$5,Besatzung!$C$21)&lt;=B99)*(IF(Besatzung!$D$21="",Besatzung!$B$6,Besatzung!$D$21)&gt;=B99)))*((G99-IFERROR(H99,0))/IFERROR(SUMPRODUCT((Besatzung!$B$11:$B$22&lt;&gt;"")*(IF(Besatzung!$C$11:$C$22="",Besatzung!$B$5,Besatzung!$C$11:$C$22)&lt;=B99)*(IF(Besatzung!$D$11:$D$22="",Besatzung!$B$6,Besatzung!$D$11:$D$22)&gt;=B99)),1)+(Besatzung!$F$21="x")*IFERROR(H99,0)/IFERROR(SUMPRODUCT((Besatzung!$B$11:$B$22&lt;&gt;"")*(Besatzung!$F$11:$F$22="x")*(IF(Besatzung!$C$11:$C$22="",Besatzung!$B$5,Besatzung!$C$11:$C$22)&lt;=B99)*(IF(Besatzung!$D$11:$D$22="",Besatzung!$B$6,Besatzung!$D$11:$D$22)&gt;=B99)),1))),IF(I99="Individuell",((T99="x")*((G99-IFERROR(H99,0))/IFERROR(COUNTIF(J99:U99,"x"),1)+(Besatzung!$F$21="x")*IFERROR(H99,0)/IFERROR(SUMPRODUCT((J99:U99="x")*(Besatzung!$F$11:$F$22="x")),1))),(IF(COUNTIF(J99:U99,"x")=0,IF(Besatzung!$B$21&lt;&gt;"",1,0),(T99="x"))*(G99-IFERROR(H99,0))/IFERROR(IF(COUNTIF(J99:U99,"x")=0,COUNTA(Besatzung!$B$11:$B$22),COUNTIF(J99:U99,"x")),1)+IF(COUNTIF(J99:U99,"x")=0,(Besatzung!$F$21="x"),(T99="x")*(Besatzung!$F$21="x"))*IFERROR(H99,0)/IFERROR(IF(COUNTIF(J99:U99,"x")=0,SUMPRODUCT((Besatzung!$B$11:$B$22&lt;&gt;"")*(Besatzung!$F$11:$F$22="x")),SUMPRODUCT((J99:U99="x")*(Besatzung!$F$11:$F$22="x"))),1))))),0))))</f>
        <v/>
      </c>
      <c r="AG99" s="247">
        <f>IF(C99="Gutschrift","",IF(G99="","",IF(Besatzung!$B$22="","",IFERROR(IF(I99="Zeitanteilig",(Besatzung!$G$22*(G99-IFERROR(H99,0))+((Besatzung!$B$22&lt;&gt;"")*IF(B99="",1,(IF(Besatzung!$C$22="",Besatzung!$B$5,Besatzung!$C$22)&lt;=B99)*(IF(Besatzung!$D$22="",Besatzung!$B$6,Besatzung!$D$22)&gt;=B99)))*(Besatzung!$F$22="x")*IFERROR(H99,0)/IFERROR(SUMPRODUCT((Besatzung!$B$11:$B$22&lt;&gt;"")*(Besatzung!$F$11:$F$22="x")*(IF(Besatzung!$C$11:$C$22="",Besatzung!$B$5,Besatzung!$C$11:$C$22)&lt;=B99)*(IF(Besatzung!$D$11:$D$22="",Besatzung!$B$6,Besatzung!$D$11:$D$22)&gt;=B99)),1)),IF(I99="An Bord",(((Besatzung!$B$22&lt;&gt;"")*IF(B99="",1,(IF(Besatzung!$C$22="",Besatzung!$B$5,Besatzung!$C$22)&lt;=B99)*(IF(Besatzung!$D$22="",Besatzung!$B$6,Besatzung!$D$22)&gt;=B99)))*((G99-IFERROR(H99,0))/IFERROR(SUMPRODUCT((Besatzung!$B$11:$B$22&lt;&gt;"")*(IF(Besatzung!$C$11:$C$22="",Besatzung!$B$5,Besatzung!$C$11:$C$22)&lt;=B99)*(IF(Besatzung!$D$11:$D$22="",Besatzung!$B$6,Besatzung!$D$11:$D$22)&gt;=B99)),1)+(Besatzung!$F$22="x")*IFERROR(H99,0)/IFERROR(SUMPRODUCT((Besatzung!$B$11:$B$22&lt;&gt;"")*(Besatzung!$F$11:$F$22="x")*(IF(Besatzung!$C$11:$C$22="",Besatzung!$B$5,Besatzung!$C$11:$C$22)&lt;=B99)*(IF(Besatzung!$D$11:$D$22="",Besatzung!$B$6,Besatzung!$D$11:$D$22)&gt;=B99)),1))),IF(I99="Individuell",((U99="x")*((G99-IFERROR(H99,0))/IFERROR(COUNTIF(J99:U99,"x"),1)+(Besatzung!$F$22="x")*IFERROR(H99,0)/IFERROR(SUMPRODUCT((J99:U99="x")*(Besatzung!$F$11:$F$22="x")),1))),(IF(COUNTIF(J99:U99,"x")=0,IF(Besatzung!$B$22&lt;&gt;"",1,0),(U99="x"))*(G99-IFERROR(H99,0))/IFERROR(IF(COUNTIF(J99:U99,"x")=0,COUNTA(Besatzung!$B$11:$B$22),COUNTIF(J99:U99,"x")),1)+IF(COUNTIF(J99:U99,"x")=0,(Besatzung!$F$22="x"),(U99="x")*(Besatzung!$F$22="x"))*IFERROR(H99,0)/IFERROR(IF(COUNTIF(J99:U99,"x")=0,SUMPRODUCT((Besatzung!$B$11:$B$22&lt;&gt;"")*(Besatzung!$F$11:$F$22="x")),SUMPRODUCT((J99:U99="x")*(Besatzung!$F$11:$F$22="x"))),1))))),0))))</f>
        <v/>
      </c>
      <c r="AH99" s="248" t="n"/>
      <c r="AI99" s="248" t="n"/>
    </row>
    <row r="100" ht="21.75" customHeight="1" s="154">
      <c r="A100" s="238">
        <f>IF(AND(D100="",C100=""),"",97)</f>
        <v/>
      </c>
      <c r="B100" s="199" t="n"/>
      <c r="C100" s="239" t="n"/>
      <c r="D100" s="240" t="n"/>
      <c r="E100" s="241" t="n"/>
      <c r="F100" s="242" t="n"/>
      <c r="G100" s="243" t="n"/>
      <c r="H100" s="244" t="n"/>
      <c r="I100" s="245" t="n"/>
      <c r="J100" s="246" t="n"/>
      <c r="K100" s="246" t="n"/>
      <c r="L100" s="246" t="n"/>
      <c r="M100" s="246" t="n"/>
      <c r="N100" s="246" t="n"/>
      <c r="O100" s="246" t="n"/>
      <c r="P100" s="246" t="n"/>
      <c r="Q100" s="246" t="n"/>
      <c r="R100" s="246" t="n"/>
      <c r="S100" s="246" t="n"/>
      <c r="T100" s="246" t="n"/>
      <c r="U100" s="246" t="n"/>
      <c r="V100" s="247">
        <f>IF(C100="Gutschrift","",IF(G100="","",IF(Besatzung!$B$11="","",IFERROR(IF(I100="Zeitanteilig",(Besatzung!$G$11*(G100-IFERROR(H100,0))+((Besatzung!$B$11&lt;&gt;"")*IF(B100="",1,(IF(Besatzung!$C$11="",Besatzung!$B$5,Besatzung!$C$11)&lt;=B100)*(IF(Besatzung!$D$11="",Besatzung!$B$6,Besatzung!$D$11)&gt;=B100)))*(Besatzung!$F$11="x")*IFERROR(H100,0)/IFERROR(SUMPRODUCT((Besatzung!$B$11:$B$22&lt;&gt;"")*(Besatzung!$F$11:$F$22="x")*(IF(Besatzung!$C$11:$C$22="",Besatzung!$B$5,Besatzung!$C$11:$C$22)&lt;=B100)*(IF(Besatzung!$D$11:$D$22="",Besatzung!$B$6,Besatzung!$D$11:$D$22)&gt;=B100)),1)),IF(I100="An Bord",(((Besatzung!$B$11&lt;&gt;"")*IF(B100="",1,(IF(Besatzung!$C$11="",Besatzung!$B$5,Besatzung!$C$11)&lt;=B100)*(IF(Besatzung!$D$11="",Besatzung!$B$6,Besatzung!$D$11)&gt;=B100)))*((G100-IFERROR(H100,0))/IFERROR(SUMPRODUCT((Besatzung!$B$11:$B$22&lt;&gt;"")*(IF(Besatzung!$C$11:$C$22="",Besatzung!$B$5,Besatzung!$C$11:$C$22)&lt;=B100)*(IF(Besatzung!$D$11:$D$22="",Besatzung!$B$6,Besatzung!$D$11:$D$22)&gt;=B100)),1)+(Besatzung!$F$11="x")*IFERROR(H100,0)/IFERROR(SUMPRODUCT((Besatzung!$B$11:$B$22&lt;&gt;"")*(Besatzung!$F$11:$F$22="x")*(IF(Besatzung!$C$11:$C$22="",Besatzung!$B$5,Besatzung!$C$11:$C$22)&lt;=B100)*(IF(Besatzung!$D$11:$D$22="",Besatzung!$B$6,Besatzung!$D$11:$D$22)&gt;=B100)),1))),IF(I100="Individuell",((J100="x")*((G100-IFERROR(H100,0))/IFERROR(COUNTIF(J100:U100,"x"),1)+(Besatzung!$F$11="x")*IFERROR(H100,0)/IFERROR(SUMPRODUCT((J100:U100="x")*(Besatzung!$F$11:$F$22="x")),1))),(IF(COUNTIF(J100:U100,"x")=0,IF(Besatzung!$B$11&lt;&gt;"",1,0),(J100="x"))*(G100-IFERROR(H100,0))/IFERROR(IF(COUNTIF(J100:U100,"x")=0,COUNTA(Besatzung!$B$11:$B$22),COUNTIF(J100:U100,"x")),1)+IF(COUNTIF(J100:U100,"x")=0,(Besatzung!$F$11="x"),(J100="x")*(Besatzung!$F$11="x"))*IFERROR(H100,0)/IFERROR(IF(COUNTIF(J100:U100,"x")=0,SUMPRODUCT((Besatzung!$B$11:$B$22&lt;&gt;"")*(Besatzung!$F$11:$F$22="x")),SUMPRODUCT((J100:U100="x")*(Besatzung!$F$11:$F$22="x"))),1))))),0))))</f>
        <v/>
      </c>
      <c r="W100" s="247">
        <f>IF(C100="Gutschrift","",IF(G100="","",IF(Besatzung!$B$12="","",IFERROR(IF(I100="Zeitanteilig",(Besatzung!$G$12*(G100-IFERROR(H100,0))+((Besatzung!$B$12&lt;&gt;"")*IF(B100="",1,(IF(Besatzung!$C$12="",Besatzung!$B$5,Besatzung!$C$12)&lt;=B100)*(IF(Besatzung!$D$12="",Besatzung!$B$6,Besatzung!$D$12)&gt;=B100)))*(Besatzung!$F$12="x")*IFERROR(H100,0)/IFERROR(SUMPRODUCT((Besatzung!$B$11:$B$22&lt;&gt;"")*(Besatzung!$F$11:$F$22="x")*(IF(Besatzung!$C$11:$C$22="",Besatzung!$B$5,Besatzung!$C$11:$C$22)&lt;=B100)*(IF(Besatzung!$D$11:$D$22="",Besatzung!$B$6,Besatzung!$D$11:$D$22)&gt;=B100)),1)),IF(I100="An Bord",(((Besatzung!$B$12&lt;&gt;"")*IF(B100="",1,(IF(Besatzung!$C$12="",Besatzung!$B$5,Besatzung!$C$12)&lt;=B100)*(IF(Besatzung!$D$12="",Besatzung!$B$6,Besatzung!$D$12)&gt;=B100)))*((G100-IFERROR(H100,0))/IFERROR(SUMPRODUCT((Besatzung!$B$11:$B$22&lt;&gt;"")*(IF(Besatzung!$C$11:$C$22="",Besatzung!$B$5,Besatzung!$C$11:$C$22)&lt;=B100)*(IF(Besatzung!$D$11:$D$22="",Besatzung!$B$6,Besatzung!$D$11:$D$22)&gt;=B100)),1)+(Besatzung!$F$12="x")*IFERROR(H100,0)/IFERROR(SUMPRODUCT((Besatzung!$B$11:$B$22&lt;&gt;"")*(Besatzung!$F$11:$F$22="x")*(IF(Besatzung!$C$11:$C$22="",Besatzung!$B$5,Besatzung!$C$11:$C$22)&lt;=B100)*(IF(Besatzung!$D$11:$D$22="",Besatzung!$B$6,Besatzung!$D$11:$D$22)&gt;=B100)),1))),IF(I100="Individuell",((K100="x")*((G100-IFERROR(H100,0))/IFERROR(COUNTIF(J100:U100,"x"),1)+(Besatzung!$F$12="x")*IFERROR(H100,0)/IFERROR(SUMPRODUCT((J100:U100="x")*(Besatzung!$F$11:$F$22="x")),1))),(IF(COUNTIF(J100:U100,"x")=0,IF(Besatzung!$B$12&lt;&gt;"",1,0),(K100="x"))*(G100-IFERROR(H100,0))/IFERROR(IF(COUNTIF(J100:U100,"x")=0,COUNTA(Besatzung!$B$11:$B$22),COUNTIF(J100:U100,"x")),1)+IF(COUNTIF(J100:U100,"x")=0,(Besatzung!$F$12="x"),(K100="x")*(Besatzung!$F$12="x"))*IFERROR(H100,0)/IFERROR(IF(COUNTIF(J100:U100,"x")=0,SUMPRODUCT((Besatzung!$B$11:$B$22&lt;&gt;"")*(Besatzung!$F$11:$F$22="x")),SUMPRODUCT((J100:U100="x")*(Besatzung!$F$11:$F$22="x"))),1))))),0))))</f>
        <v/>
      </c>
      <c r="X100" s="247">
        <f>IF(C100="Gutschrift","",IF(G100="","",IF(Besatzung!$B$13="","",IFERROR(IF(I100="Zeitanteilig",(Besatzung!$G$13*(G100-IFERROR(H100,0))+((Besatzung!$B$13&lt;&gt;"")*IF(B100="",1,(IF(Besatzung!$C$13="",Besatzung!$B$5,Besatzung!$C$13)&lt;=B100)*(IF(Besatzung!$D$13="",Besatzung!$B$6,Besatzung!$D$13)&gt;=B100)))*(Besatzung!$F$13="x")*IFERROR(H100,0)/IFERROR(SUMPRODUCT((Besatzung!$B$11:$B$22&lt;&gt;"")*(Besatzung!$F$11:$F$22="x")*(IF(Besatzung!$C$11:$C$22="",Besatzung!$B$5,Besatzung!$C$11:$C$22)&lt;=B100)*(IF(Besatzung!$D$11:$D$22="",Besatzung!$B$6,Besatzung!$D$11:$D$22)&gt;=B100)),1)),IF(I100="An Bord",(((Besatzung!$B$13&lt;&gt;"")*IF(B100="",1,(IF(Besatzung!$C$13="",Besatzung!$B$5,Besatzung!$C$13)&lt;=B100)*(IF(Besatzung!$D$13="",Besatzung!$B$6,Besatzung!$D$13)&gt;=B100)))*((G100-IFERROR(H100,0))/IFERROR(SUMPRODUCT((Besatzung!$B$11:$B$22&lt;&gt;"")*(IF(Besatzung!$C$11:$C$22="",Besatzung!$B$5,Besatzung!$C$11:$C$22)&lt;=B100)*(IF(Besatzung!$D$11:$D$22="",Besatzung!$B$6,Besatzung!$D$11:$D$22)&gt;=B100)),1)+(Besatzung!$F$13="x")*IFERROR(H100,0)/IFERROR(SUMPRODUCT((Besatzung!$B$11:$B$22&lt;&gt;"")*(Besatzung!$F$11:$F$22="x")*(IF(Besatzung!$C$11:$C$22="",Besatzung!$B$5,Besatzung!$C$11:$C$22)&lt;=B100)*(IF(Besatzung!$D$11:$D$22="",Besatzung!$B$6,Besatzung!$D$11:$D$22)&gt;=B100)),1))),IF(I100="Individuell",((K100="x")*((G100-IFERROR(H100,0))/IFERROR(COUNTIF(J100:U100,"x"),1)+(Besatzung!$F$13="x")*IFERROR(H100,0)/IFERROR(SUMPRODUCT((J100:U100="x")*(Besatzung!$F$11:$F$22="x")),1))),(IF(COUNTIF(J100:U100,"x")=0,IF(Besatzung!$B$13&lt;&gt;"",1,0),(K100="x"))*(G100-IFERROR(H100,0))/IFERROR(IF(COUNTIF(J100:U100,"x")=0,COUNTA(Besatzung!$B$11:$B$22),COUNTIF(J100:U100,"x")),1)+IF(COUNTIF(J100:U100,"x")=0,(Besatzung!$F$13="x"),(K100="x")*(Besatzung!$F$13="x"))*IFERROR(H100,0)/IFERROR(IF(COUNTIF(J100:U100,"x")=0,SUMPRODUCT((Besatzung!$B$11:$B$22&lt;&gt;"")*(Besatzung!$F$11:$F$22="x")),SUMPRODUCT((J100:U100="x")*(Besatzung!$F$11:$F$22="x"))),1))))),0))))</f>
        <v/>
      </c>
      <c r="Y100" s="247">
        <f>IF(C100="Gutschrift","",IF(G100="","",IF(Besatzung!$B$14="","",IFERROR(IF(I100="Zeitanteilig",(Besatzung!$G$14*(G100-IFERROR(H100,0))+((Besatzung!$B$14&lt;&gt;"")*IF(B100="",1,(IF(Besatzung!$C$14="",Besatzung!$B$5,Besatzung!$C$14)&lt;=B100)*(IF(Besatzung!$D$14="",Besatzung!$B$6,Besatzung!$D$14)&gt;=B100)))*(Besatzung!$F$14="x")*IFERROR(H100,0)/IFERROR(SUMPRODUCT((Besatzung!$B$11:$B$22&lt;&gt;"")*(Besatzung!$F$11:$F$22="x")*(IF(Besatzung!$C$11:$C$22="",Besatzung!$B$5,Besatzung!$C$11:$C$22)&lt;=B100)*(IF(Besatzung!$D$11:$D$22="",Besatzung!$B$6,Besatzung!$D$11:$D$22)&gt;=B100)),1)),IF(I100="An Bord",(((Besatzung!$B$14&lt;&gt;"")*IF(B100="",1,(IF(Besatzung!$C$14="",Besatzung!$B$5,Besatzung!$C$14)&lt;=B100)*(IF(Besatzung!$D$14="",Besatzung!$B$6,Besatzung!$D$14)&gt;=B100)))*((G100-IFERROR(H100,0))/IFERROR(SUMPRODUCT((Besatzung!$B$11:$B$22&lt;&gt;"")*(IF(Besatzung!$C$11:$C$22="",Besatzung!$B$5,Besatzung!$C$11:$C$22)&lt;=B100)*(IF(Besatzung!$D$11:$D$22="",Besatzung!$B$6,Besatzung!$D$11:$D$22)&gt;=B100)),1)+(Besatzung!$F$14="x")*IFERROR(H100,0)/IFERROR(SUMPRODUCT((Besatzung!$B$11:$B$22&lt;&gt;"")*(Besatzung!$F$11:$F$22="x")*(IF(Besatzung!$C$11:$C$22="",Besatzung!$B$5,Besatzung!$C$11:$C$22)&lt;=B100)*(IF(Besatzung!$D$11:$D$22="",Besatzung!$B$6,Besatzung!$D$11:$D$22)&gt;=B100)),1))),IF(I100="Individuell",((M100="x")*((G100-IFERROR(H100,0))/IFERROR(COUNTIF(J100:U100,"x"),1)+(Besatzung!$F$14="x")*IFERROR(H100,0)/IFERROR(SUMPRODUCT((J100:U100="x")*(Besatzung!$F$11:$F$22="x")),1))),(IF(COUNTIF(J100:U100,"x")=0,IF(Besatzung!$B$14&lt;&gt;"",1,0),(M100="x"))*(G100-IFERROR(H100,0))/IFERROR(IF(COUNTIF(J100:U100,"x")=0,COUNTA(Besatzung!$B$11:$B$22),COUNTIF(J100:U100,"x")),1)+IF(COUNTIF(J100:U100,"x")=0,(Besatzung!$F$14="x"),(M100="x")*(Besatzung!$F$14="x"))*IFERROR(H100,0)/IFERROR(IF(COUNTIF(J100:U100,"x")=0,SUMPRODUCT((Besatzung!$B$11:$B$22&lt;&gt;"")*(Besatzung!$F$11:$F$22="x")),SUMPRODUCT((J100:U100="x")*(Besatzung!$F$11:$F$22="x"))),1))))),0))))</f>
        <v/>
      </c>
      <c r="Z100" s="247">
        <f>IF(C100="Gutschrift","",IF(G100="","",IF(Besatzung!$B$13="","",IFERROR(IF(I100="Zeitanteilig",(Besatzung!$G$15*(G100-IFERROR(H100,0))+((Besatzung!$B$13&lt;&gt;"")*IF(B100="",1,(IF(Besatzung!$C$15="",Besatzung!$B$5,Besatzung!$C$15)&lt;=B100)*(IF(Besatzung!$D$15="",Besatzung!$B$6,Besatzung!$D$15)&gt;=B100)))*(Besatzung!$F$15="x")*IFERROR(H100,0)/IFERROR(SUMPRODUCT((Besatzung!$B$11:$B$22&lt;&gt;"")*(Besatzung!$F$11:$F$22="x")*(IF(Besatzung!$C$11:$C$22="",Besatzung!$B$5,Besatzung!$C$11:$C$22)&lt;=B100)*(IF(Besatzung!$D$11:$D$22="",Besatzung!$B$6,Besatzung!$D$11:$D$22)&gt;=B100)),1)),IF(I100="An Bord",(((Besatzung!$B$13&lt;&gt;"")*IF(B100="",1,(IF(Besatzung!$C$15="",Besatzung!$B$5,Besatzung!$C$15)&lt;=B100)*(IF(Besatzung!$D$15="",Besatzung!$B$6,Besatzung!$D$15)&gt;=B100)))*((G100-IFERROR(H100,0))/IFERROR(SUMPRODUCT((Besatzung!$B$11:$B$22&lt;&gt;"")*(IF(Besatzung!$C$11:$C$22="",Besatzung!$B$5,Besatzung!$C$11:$C$22)&lt;=B100)*(IF(Besatzung!$D$11:$D$22="",Besatzung!$B$6,Besatzung!$D$11:$D$22)&gt;=B100)),1)+(Besatzung!$F$15="x")*IFERROR(H100,0)/IFERROR(SUMPRODUCT((Besatzung!$B$11:$B$22&lt;&gt;"")*(Besatzung!$F$11:$F$22="x")*(IF(Besatzung!$C$11:$C$22="",Besatzung!$B$5,Besatzung!$C$11:$C$22)&lt;=B100)*(IF(Besatzung!$D$11:$D$22="",Besatzung!$B$6,Besatzung!$D$11:$D$22)&gt;=B100)),1))),IF(I100="Individuell",((N100="x")*((G100-IFERROR(H100,0))/IFERROR(COUNTIF(J100:U100,"x"),1)+(Besatzung!$F$15="x")*IFERROR(H100,0)/IFERROR(SUMPRODUCT((J100:U100="x")*(Besatzung!$F$11:$F$22="x")),1))),(IF(COUNTIF(J100:U100,"x")=0,IF(Besatzung!$B$13&lt;&gt;"",1,0),(N100="x"))*(G100-IFERROR(H100,0))/IFERROR(IF(COUNTIF(J100:U100,"x")=0,COUNTA(Besatzung!$B$11:$B$22),COUNTIF(J100:U100,"x")),1)+IF(COUNTIF(J100:U100,"x")=0,(Besatzung!$F$15="x"),(N100="x")*(Besatzung!$F$15="x"))*IFERROR(H100,0)/IFERROR(IF(COUNTIF(J100:U100,"x")=0,SUMPRODUCT((Besatzung!$B$11:$B$22&lt;&gt;"")*(Besatzung!$F$11:$F$22="x")),SUMPRODUCT((J100:U100="x")*(Besatzung!$F$11:$F$22="x"))),1))))),0))))</f>
        <v/>
      </c>
      <c r="AA100" s="247">
        <f>IF(C100="Gutschrift","",IF(G100="","",IF(Besatzung!$B$15="","",IFERROR(IF(I100="Zeitanteilig",(Besatzung!$G$16*(G100-IFERROR(H100,0))+((Besatzung!$B$15&lt;&gt;"")*IF(B100="",1,(IF(Besatzung!$C$16="",Besatzung!$B$5,Besatzung!$C$16)&lt;=B100)*(IF(Besatzung!$D$16="",Besatzung!$B$6,Besatzung!$D$16)&gt;=B100)))*(Besatzung!$F$16="x")*IFERROR(H100,0)/IFERROR(SUMPRODUCT((Besatzung!$B$11:$B$22&lt;&gt;"")*(Besatzung!$F$11:$F$22="x")*(IF(Besatzung!$C$11:$C$22="",Besatzung!$B$5,Besatzung!$C$11:$C$22)&lt;=B100)*(IF(Besatzung!$D$11:$D$22="",Besatzung!$B$6,Besatzung!$D$11:$D$22)&gt;=B100)),1)),IF(I100="An Bord",(((Besatzung!$B$15&lt;&gt;"")*IF(B100="",1,(IF(Besatzung!$C$16="",Besatzung!$B$5,Besatzung!$C$16)&lt;=B100)*(IF(Besatzung!$D$16="",Besatzung!$B$6,Besatzung!$D$16)&gt;=B100)))*((G100-IFERROR(H100,0))/IFERROR(SUMPRODUCT((Besatzung!$B$11:$B$22&lt;&gt;"")*(IF(Besatzung!$C$11:$C$22="",Besatzung!$B$5,Besatzung!$C$11:$C$22)&lt;=B100)*(IF(Besatzung!$D$11:$D$22="",Besatzung!$B$6,Besatzung!$D$11:$D$22)&gt;=B100)),1)+(Besatzung!$F$16="x")*IFERROR(H100,0)/IFERROR(SUMPRODUCT((Besatzung!$B$11:$B$22&lt;&gt;"")*(Besatzung!$F$11:$F$22="x")*(IF(Besatzung!$C$11:$C$22="",Besatzung!$B$5,Besatzung!$C$11:$C$22)&lt;=B100)*(IF(Besatzung!$D$11:$D$22="",Besatzung!$B$6,Besatzung!$D$11:$D$22)&gt;=B100)),1))),IF(I100="Individuell",((O100="x")*((G100-IFERROR(H100,0))/IFERROR(COUNTIF(J100:U100,"x"),1)+(Besatzung!$F$16="x")*IFERROR(H100,0)/IFERROR(SUMPRODUCT((J100:U100="x")*(Besatzung!$F$11:$F$22="x")),1))),(IF(COUNTIF(J100:U100,"x")=0,IF(Besatzung!$B$15&lt;&gt;"",1,0),(O100="x"))*(G100-IFERROR(H100,0))/IFERROR(IF(COUNTIF(J100:U100,"x")=0,COUNTA(Besatzung!$B$11:$B$22),COUNTIF(J100:U100,"x")),1)+IF(COUNTIF(J100:U100,"x")=0,(Besatzung!$F$16="x"),(O100="x")*(Besatzung!$F$16="x"))*IFERROR(H100,0)/IFERROR(IF(COUNTIF(J100:U100,"x")=0,SUMPRODUCT((Besatzung!$B$11:$B$22&lt;&gt;"")*(Besatzung!$F$11:$F$22="x")),SUMPRODUCT((J100:U100="x")*(Besatzung!$F$11:$F$22="x"))),1))))),0))))</f>
        <v/>
      </c>
      <c r="AB100" s="247">
        <f>IF(C100="Gutschrift","",IF(G100="","",IF(Besatzung!$B$17="","",IFERROR(IF(I100="Zeitanteilig",(Besatzung!$G$17*(G100-IFERROR(H100,0))+((Besatzung!$B$17&lt;&gt;"")*IF(B100="",1,(IF(Besatzung!$C$17="",Besatzung!$B$5,Besatzung!$C$17)&lt;=B100)*(IF(Besatzung!$D$17="",Besatzung!$B$6,Besatzung!$D$17)&gt;=B100)))*(Besatzung!$F$17="x")*IFERROR(H100,0)/IFERROR(SUMPRODUCT((Besatzung!$B$11:$B$22&lt;&gt;"")*(Besatzung!$F$11:$F$22="x")*(IF(Besatzung!$C$11:$C$22="",Besatzung!$B$5,Besatzung!$C$11:$C$22)&lt;=B100)*(IF(Besatzung!$D$11:$D$22="",Besatzung!$B$6,Besatzung!$D$11:$D$22)&gt;=B100)),1)),IF(I100="An Bord",(((Besatzung!$B$17&lt;&gt;"")*IF(B100="",1,(IF(Besatzung!$C$17="",Besatzung!$B$5,Besatzung!$C$17)&lt;=B100)*(IF(Besatzung!$D$17="",Besatzung!$B$6,Besatzung!$D$17)&gt;=B100)))*((G100-IFERROR(H100,0))/IFERROR(SUMPRODUCT((Besatzung!$B$11:$B$22&lt;&gt;"")*(IF(Besatzung!$C$11:$C$22="",Besatzung!$B$5,Besatzung!$C$11:$C$22)&lt;=B100)*(IF(Besatzung!$D$11:$D$22="",Besatzung!$B$6,Besatzung!$D$11:$D$22)&gt;=B100)),1)+(Besatzung!$F$17="x")*IFERROR(H100,0)/IFERROR(SUMPRODUCT((Besatzung!$B$11:$B$22&lt;&gt;"")*(Besatzung!$F$11:$F$22="x")*(IF(Besatzung!$C$11:$C$22="",Besatzung!$B$5,Besatzung!$C$11:$C$22)&lt;=B100)*(IF(Besatzung!$D$11:$D$22="",Besatzung!$B$6,Besatzung!$D$11:$D$22)&gt;=B100)),1))),IF(I100="Individuell",((P100="x")*((G100-IFERROR(H100,0))/IFERROR(COUNTIF(J100:U100,"x"),1)+(Besatzung!$F$17="x")*IFERROR(H100,0)/IFERROR(SUMPRODUCT((J100:U100="x")*(Besatzung!$F$11:$F$22="x")),1))),(IF(COUNTIF(J100:U100,"x")=0,IF(Besatzung!$B$17&lt;&gt;"",1,0),(P100="x"))*(G100-IFERROR(H100,0))/IFERROR(IF(COUNTIF(J100:U100,"x")=0,COUNTA(Besatzung!$B$11:$B$22),COUNTIF(J100:U100,"x")),1)+IF(COUNTIF(J100:U100,"x")=0,(Besatzung!$F$17="x"),(P100="x")*(Besatzung!$F$17="x"))*IFERROR(H100,0)/IFERROR(IF(COUNTIF(J100:U100,"x")=0,SUMPRODUCT((Besatzung!$B$11:$B$22&lt;&gt;"")*(Besatzung!$F$11:$F$22="x")),SUMPRODUCT((J100:U100="x")*(Besatzung!$F$11:$F$22="x"))),1))))),0))))</f>
        <v/>
      </c>
      <c r="AC100" s="247">
        <f>IF(C100="Gutschrift","",IF(G100="","",IF(Besatzung!$B$18="","",IFERROR(IF(I100="Zeitanteilig",(Besatzung!$G$18*(G100-IFERROR(H100,0))+((Besatzung!$B$18&lt;&gt;"")*IF(B100="",1,(IF(Besatzung!$C$18="",Besatzung!$B$5,Besatzung!$C$18)&lt;=B100)*(IF(Besatzung!$D$18="",Besatzung!$B$6,Besatzung!$D$18)&gt;=B100)))*(Besatzung!$F$18="x")*IFERROR(H100,0)/IFERROR(SUMPRODUCT((Besatzung!$B$11:$B$22&lt;&gt;"")*(Besatzung!$F$11:$F$22="x")*(IF(Besatzung!$C$11:$C$22="",Besatzung!$B$5,Besatzung!$C$11:$C$22)&lt;=B100)*(IF(Besatzung!$D$11:$D$22="",Besatzung!$B$6,Besatzung!$D$11:$D$22)&gt;=B100)),1)),IF(I100="An Bord",(((Besatzung!$B$18&lt;&gt;"")*IF(B100="",1,(IF(Besatzung!$C$18="",Besatzung!$B$5,Besatzung!$C$18)&lt;=B100)*(IF(Besatzung!$D$18="",Besatzung!$B$6,Besatzung!$D$18)&gt;=B100)))*((G100-IFERROR(H100,0))/IFERROR(SUMPRODUCT((Besatzung!$B$11:$B$22&lt;&gt;"")*(IF(Besatzung!$C$11:$C$22="",Besatzung!$B$5,Besatzung!$C$11:$C$22)&lt;=B100)*(IF(Besatzung!$D$11:$D$22="",Besatzung!$B$6,Besatzung!$D$11:$D$22)&gt;=B100)),1)+(Besatzung!$F$18="x")*IFERROR(H100,0)/IFERROR(SUMPRODUCT((Besatzung!$B$11:$B$22&lt;&gt;"")*(Besatzung!$F$11:$F$22="x")*(IF(Besatzung!$C$11:$C$22="",Besatzung!$B$5,Besatzung!$C$11:$C$22)&lt;=B100)*(IF(Besatzung!$D$11:$D$22="",Besatzung!$B$6,Besatzung!$D$11:$D$22)&gt;=B100)),1))),IF(I100="Individuell",((Q100="x")*((G100-IFERROR(H100,0))/IFERROR(COUNTIF(J100:U100,"x"),1)+(Besatzung!$F$18="x")*IFERROR(H100,0)/IFERROR(SUMPRODUCT((J100:U100="x")*(Besatzung!$F$11:$F$22="x")),1))),(IF(COUNTIF(J100:U100,"x")=0,IF(Besatzung!$B$18&lt;&gt;"",1,0),(Q100="x"))*(G100-IFERROR(H100,0))/IFERROR(IF(COUNTIF(J100:U100,"x")=0,COUNTA(Besatzung!$B$11:$B$22),COUNTIF(J100:U100,"x")),1)+IF(COUNTIF(J100:U100,"x")=0,(Besatzung!$F$18="x"),(Q100="x")*(Besatzung!$F$18="x"))*IFERROR(H100,0)/IFERROR(IF(COUNTIF(J100:U100,"x")=0,SUMPRODUCT((Besatzung!$B$11:$B$22&lt;&gt;"")*(Besatzung!$F$11:$F$22="x")),SUMPRODUCT((J100:U100="x")*(Besatzung!$F$11:$F$22="x"))),1))))),0))))</f>
        <v/>
      </c>
      <c r="AD100" s="247">
        <f>IF(C100="Gutschrift","",IF(G100="","",IF(Besatzung!$B$19="","",IFERROR(IF(I100="Zeitanteilig",(Besatzung!$G$19*(G100-IFERROR(H100,0))+((Besatzung!$B$19&lt;&gt;"")*IF(B100="",1,(IF(Besatzung!$C$19="",Besatzung!$B$5,Besatzung!$C$19)&lt;=B100)*(IF(Besatzung!$D$19="",Besatzung!$B$6,Besatzung!$D$19)&gt;=B100)))*(Besatzung!$F$19="x")*IFERROR(H100,0)/IFERROR(SUMPRODUCT((Besatzung!$B$11:$B$22&lt;&gt;"")*(Besatzung!$F$11:$F$22="x")*(IF(Besatzung!$C$11:$C$22="",Besatzung!$B$5,Besatzung!$C$11:$C$22)&lt;=B100)*(IF(Besatzung!$D$11:$D$22="",Besatzung!$B$6,Besatzung!$D$11:$D$22)&gt;=B100)),1)),IF(I100="An Bord",(((Besatzung!$B$19&lt;&gt;"")*IF(B100="",1,(IF(Besatzung!$C$19="",Besatzung!$B$5,Besatzung!$C$19)&lt;=B100)*(IF(Besatzung!$D$19="",Besatzung!$B$6,Besatzung!$D$19)&gt;=B100)))*((G100-IFERROR(H100,0))/IFERROR(SUMPRODUCT((Besatzung!$B$11:$B$22&lt;&gt;"")*(IF(Besatzung!$C$11:$C$22="",Besatzung!$B$5,Besatzung!$C$11:$C$22)&lt;=B100)*(IF(Besatzung!$D$11:$D$22="",Besatzung!$B$6,Besatzung!$D$11:$D$22)&gt;=B100)),1)+(Besatzung!$F$19="x")*IFERROR(H100,0)/IFERROR(SUMPRODUCT((Besatzung!$B$11:$B$22&lt;&gt;"")*(Besatzung!$F$11:$F$22="x")*(IF(Besatzung!$C$11:$C$22="",Besatzung!$B$5,Besatzung!$C$11:$C$22)&lt;=B100)*(IF(Besatzung!$D$11:$D$22="",Besatzung!$B$6,Besatzung!$D$11:$D$22)&gt;=B100)),1))),IF(I100="Individuell",((R100="x")*((G100-IFERROR(H100,0))/IFERROR(COUNTIF(J100:U100,"x"),1)+(Besatzung!$F$19="x")*IFERROR(H100,0)/IFERROR(SUMPRODUCT((J100:U100="x")*(Besatzung!$F$11:$F$22="x")),1))),(IF(COUNTIF(J100:U100,"x")=0,IF(Besatzung!$B$19&lt;&gt;"",1,0),(R100="x"))*(G100-IFERROR(H100,0))/IFERROR(IF(COUNTIF(J100:U100,"x")=0,COUNTA(Besatzung!$B$11:$B$22),COUNTIF(J100:U100,"x")),1)+IF(COUNTIF(J100:U100,"x")=0,(Besatzung!$F$19="x"),(R100="x")*(Besatzung!$F$19="x"))*IFERROR(H100,0)/IFERROR(IF(COUNTIF(J100:U100,"x")=0,SUMPRODUCT((Besatzung!$B$11:$B$22&lt;&gt;"")*(Besatzung!$F$11:$F$22="x")),SUMPRODUCT((J100:U100="x")*(Besatzung!$F$11:$F$22="x"))),1))))),0))))</f>
        <v/>
      </c>
      <c r="AE100" s="247">
        <f>IF(C100="Gutschrift","",IF(G100="","",IF(Besatzung!$B$20="","",IFERROR(IF(I100="Zeitanteilig",(Besatzung!$G$20*(G100-IFERROR(H100,0))+((Besatzung!$B$20&lt;&gt;"")*IF(B100="",1,(IF(Besatzung!$C$20="",Besatzung!$B$5,Besatzung!$C$20)&lt;=B100)*(IF(Besatzung!$D$20="",Besatzung!$B$6,Besatzung!$D$20)&gt;=B100)))*(Besatzung!$F$20="x")*IFERROR(H100,0)/IFERROR(SUMPRODUCT((Besatzung!$B$11:$B$22&lt;&gt;"")*(Besatzung!$F$11:$F$22="x")*(IF(Besatzung!$C$11:$C$22="",Besatzung!$B$5,Besatzung!$C$11:$C$22)&lt;=B100)*(IF(Besatzung!$D$11:$D$22="",Besatzung!$B$6,Besatzung!$D$11:$D$22)&gt;=B100)),1)),IF(I100="An Bord",(((Besatzung!$B$20&lt;&gt;"")*IF(B100="",1,(IF(Besatzung!$C$20="",Besatzung!$B$5,Besatzung!$C$20)&lt;=B100)*(IF(Besatzung!$D$20="",Besatzung!$B$6,Besatzung!$D$20)&gt;=B100)))*((G100-IFERROR(H100,0))/IFERROR(SUMPRODUCT((Besatzung!$B$11:$B$22&lt;&gt;"")*(IF(Besatzung!$C$11:$C$22="",Besatzung!$B$5,Besatzung!$C$11:$C$22)&lt;=B100)*(IF(Besatzung!$D$11:$D$22="",Besatzung!$B$6,Besatzung!$D$11:$D$22)&gt;=B100)),1)+(Besatzung!$F$20="x")*IFERROR(H100,0)/IFERROR(SUMPRODUCT((Besatzung!$B$11:$B$22&lt;&gt;"")*(Besatzung!$F$11:$F$22="x")*(IF(Besatzung!$C$11:$C$22="",Besatzung!$B$5,Besatzung!$C$11:$C$22)&lt;=B100)*(IF(Besatzung!$D$11:$D$22="",Besatzung!$B$6,Besatzung!$D$11:$D$22)&gt;=B100)),1))),IF(I100="Individuell",((S100="x")*((G100-IFERROR(H100,0))/IFERROR(COUNTIF(J100:U100,"x"),1)+(Besatzung!$F$20="x")*IFERROR(H100,0)/IFERROR(SUMPRODUCT((J100:U100="x")*(Besatzung!$F$11:$F$22="x")),1))),(IF(COUNTIF(J100:U100,"x")=0,IF(Besatzung!$B$20&lt;&gt;"",1,0),(S100="x"))*(G100-IFERROR(H100,0))/IFERROR(IF(COUNTIF(J100:U100,"x")=0,COUNTA(Besatzung!$B$11:$B$22),COUNTIF(J100:U100,"x")),1)+IF(COUNTIF(J100:U100,"x")=0,(Besatzung!$F$20="x"),(S100="x")*(Besatzung!$F$20="x"))*IFERROR(H100,0)/IFERROR(IF(COUNTIF(J100:U100,"x")=0,SUMPRODUCT((Besatzung!$B$11:$B$22&lt;&gt;"")*(Besatzung!$F$11:$F$22="x")),SUMPRODUCT((J100:U100="x")*(Besatzung!$F$11:$F$22="x"))),1))))),0))))</f>
        <v/>
      </c>
      <c r="AF100" s="247">
        <f>IF(C100="Gutschrift","",IF(G100="","",IF(Besatzung!$B$21="","",IFERROR(IF(I100="Zeitanteilig",(Besatzung!$G$21*(G100-IFERROR(H100,0))+((Besatzung!$B$21&lt;&gt;"")*IF(B100="",1,(IF(Besatzung!$C$21="",Besatzung!$B$5,Besatzung!$C$21)&lt;=B100)*(IF(Besatzung!$D$21="",Besatzung!$B$6,Besatzung!$D$21)&gt;=B100)))*(Besatzung!$F$21="x")*IFERROR(H100,0)/IFERROR(SUMPRODUCT((Besatzung!$B$11:$B$22&lt;&gt;"")*(Besatzung!$F$11:$F$22="x")*(IF(Besatzung!$C$11:$C$22="",Besatzung!$B$5,Besatzung!$C$11:$C$22)&lt;=B100)*(IF(Besatzung!$D$11:$D$22="",Besatzung!$B$6,Besatzung!$D$11:$D$22)&gt;=B100)),1)),IF(I100="An Bord",(((Besatzung!$B$21&lt;&gt;"")*IF(B100="",1,(IF(Besatzung!$C$21="",Besatzung!$B$5,Besatzung!$C$21)&lt;=B100)*(IF(Besatzung!$D$21="",Besatzung!$B$6,Besatzung!$D$21)&gt;=B100)))*((G100-IFERROR(H100,0))/IFERROR(SUMPRODUCT((Besatzung!$B$11:$B$22&lt;&gt;"")*(IF(Besatzung!$C$11:$C$22="",Besatzung!$B$5,Besatzung!$C$11:$C$22)&lt;=B100)*(IF(Besatzung!$D$11:$D$22="",Besatzung!$B$6,Besatzung!$D$11:$D$22)&gt;=B100)),1)+(Besatzung!$F$21="x")*IFERROR(H100,0)/IFERROR(SUMPRODUCT((Besatzung!$B$11:$B$22&lt;&gt;"")*(Besatzung!$F$11:$F$22="x")*(IF(Besatzung!$C$11:$C$22="",Besatzung!$B$5,Besatzung!$C$11:$C$22)&lt;=B100)*(IF(Besatzung!$D$11:$D$22="",Besatzung!$B$6,Besatzung!$D$11:$D$22)&gt;=B100)),1))),IF(I100="Individuell",((T100="x")*((G100-IFERROR(H100,0))/IFERROR(COUNTIF(J100:U100,"x"),1)+(Besatzung!$F$21="x")*IFERROR(H100,0)/IFERROR(SUMPRODUCT((J100:U100="x")*(Besatzung!$F$11:$F$22="x")),1))),(IF(COUNTIF(J100:U100,"x")=0,IF(Besatzung!$B$21&lt;&gt;"",1,0),(T100="x"))*(G100-IFERROR(H100,0))/IFERROR(IF(COUNTIF(J100:U100,"x")=0,COUNTA(Besatzung!$B$11:$B$22),COUNTIF(J100:U100,"x")),1)+IF(COUNTIF(J100:U100,"x")=0,(Besatzung!$F$21="x"),(T100="x")*(Besatzung!$F$21="x"))*IFERROR(H100,0)/IFERROR(IF(COUNTIF(J100:U100,"x")=0,SUMPRODUCT((Besatzung!$B$11:$B$22&lt;&gt;"")*(Besatzung!$F$11:$F$22="x")),SUMPRODUCT((J100:U100="x")*(Besatzung!$F$11:$F$22="x"))),1))))),0))))</f>
        <v/>
      </c>
      <c r="AG100" s="247">
        <f>IF(C100="Gutschrift","",IF(G100="","",IF(Besatzung!$B$22="","",IFERROR(IF(I100="Zeitanteilig",(Besatzung!$G$22*(G100-IFERROR(H100,0))+((Besatzung!$B$22&lt;&gt;"")*IF(B100="",1,(IF(Besatzung!$C$22="",Besatzung!$B$5,Besatzung!$C$22)&lt;=B100)*(IF(Besatzung!$D$22="",Besatzung!$B$6,Besatzung!$D$22)&gt;=B100)))*(Besatzung!$F$22="x")*IFERROR(H100,0)/IFERROR(SUMPRODUCT((Besatzung!$B$11:$B$22&lt;&gt;"")*(Besatzung!$F$11:$F$22="x")*(IF(Besatzung!$C$11:$C$22="",Besatzung!$B$5,Besatzung!$C$11:$C$22)&lt;=B100)*(IF(Besatzung!$D$11:$D$22="",Besatzung!$B$6,Besatzung!$D$11:$D$22)&gt;=B100)),1)),IF(I100="An Bord",(((Besatzung!$B$22&lt;&gt;"")*IF(B100="",1,(IF(Besatzung!$C$22="",Besatzung!$B$5,Besatzung!$C$22)&lt;=B100)*(IF(Besatzung!$D$22="",Besatzung!$B$6,Besatzung!$D$22)&gt;=B100)))*((G100-IFERROR(H100,0))/IFERROR(SUMPRODUCT((Besatzung!$B$11:$B$22&lt;&gt;"")*(IF(Besatzung!$C$11:$C$22="",Besatzung!$B$5,Besatzung!$C$11:$C$22)&lt;=B100)*(IF(Besatzung!$D$11:$D$22="",Besatzung!$B$6,Besatzung!$D$11:$D$22)&gt;=B100)),1)+(Besatzung!$F$22="x")*IFERROR(H100,0)/IFERROR(SUMPRODUCT((Besatzung!$B$11:$B$22&lt;&gt;"")*(Besatzung!$F$11:$F$22="x")*(IF(Besatzung!$C$11:$C$22="",Besatzung!$B$5,Besatzung!$C$11:$C$22)&lt;=B100)*(IF(Besatzung!$D$11:$D$22="",Besatzung!$B$6,Besatzung!$D$11:$D$22)&gt;=B100)),1))),IF(I100="Individuell",((U100="x")*((G100-IFERROR(H100,0))/IFERROR(COUNTIF(J100:U100,"x"),1)+(Besatzung!$F$22="x")*IFERROR(H100,0)/IFERROR(SUMPRODUCT((J100:U100="x")*(Besatzung!$F$11:$F$22="x")),1))),(IF(COUNTIF(J100:U100,"x")=0,IF(Besatzung!$B$22&lt;&gt;"",1,0),(U100="x"))*(G100-IFERROR(H100,0))/IFERROR(IF(COUNTIF(J100:U100,"x")=0,COUNTA(Besatzung!$B$11:$B$22),COUNTIF(J100:U100,"x")),1)+IF(COUNTIF(J100:U100,"x")=0,(Besatzung!$F$22="x"),(U100="x")*(Besatzung!$F$22="x"))*IFERROR(H100,0)/IFERROR(IF(COUNTIF(J100:U100,"x")=0,SUMPRODUCT((Besatzung!$B$11:$B$22&lt;&gt;"")*(Besatzung!$F$11:$F$22="x")),SUMPRODUCT((J100:U100="x")*(Besatzung!$F$11:$F$22="x"))),1))))),0))))</f>
        <v/>
      </c>
      <c r="AH100" s="248" t="n"/>
      <c r="AI100" s="248" t="n"/>
    </row>
    <row r="101" ht="21.75" customHeight="1" s="154">
      <c r="A101" s="238">
        <f>IF(AND(D101="",C101=""),"",98)</f>
        <v/>
      </c>
      <c r="B101" s="206" t="n"/>
      <c r="C101" s="249" t="n"/>
      <c r="D101" s="250" t="n"/>
      <c r="E101" s="251" t="n"/>
      <c r="F101" s="252" t="n"/>
      <c r="G101" s="253" t="n"/>
      <c r="H101" s="254" t="n"/>
      <c r="I101" s="255" t="n"/>
      <c r="J101" s="256" t="n"/>
      <c r="K101" s="256" t="n"/>
      <c r="L101" s="256" t="n"/>
      <c r="M101" s="256" t="n"/>
      <c r="N101" s="256" t="n"/>
      <c r="O101" s="256" t="n"/>
      <c r="P101" s="256" t="n"/>
      <c r="Q101" s="256" t="n"/>
      <c r="R101" s="256" t="n"/>
      <c r="S101" s="256" t="n"/>
      <c r="T101" s="256" t="n"/>
      <c r="U101" s="256" t="n"/>
      <c r="V101" s="247">
        <f>IF(C101="Gutschrift","",IF(G101="","",IF(Besatzung!$B$11="","",IFERROR(IF(I101="Zeitanteilig",(Besatzung!$G$11*(G101-IFERROR(H101,0))+((Besatzung!$B$11&lt;&gt;"")*IF(B101="",1,(IF(Besatzung!$C$11="",Besatzung!$B$5,Besatzung!$C$11)&lt;=B101)*(IF(Besatzung!$D$11="",Besatzung!$B$6,Besatzung!$D$11)&gt;=B101)))*(Besatzung!$F$11="x")*IFERROR(H101,0)/IFERROR(SUMPRODUCT((Besatzung!$B$11:$B$22&lt;&gt;"")*(Besatzung!$F$11:$F$22="x")*(IF(Besatzung!$C$11:$C$22="",Besatzung!$B$5,Besatzung!$C$11:$C$22)&lt;=B101)*(IF(Besatzung!$D$11:$D$22="",Besatzung!$B$6,Besatzung!$D$11:$D$22)&gt;=B101)),1)),IF(I101="An Bord",(((Besatzung!$B$11&lt;&gt;"")*IF(B101="",1,(IF(Besatzung!$C$11="",Besatzung!$B$5,Besatzung!$C$11)&lt;=B101)*(IF(Besatzung!$D$11="",Besatzung!$B$6,Besatzung!$D$11)&gt;=B101)))*((G101-IFERROR(H101,0))/IFERROR(SUMPRODUCT((Besatzung!$B$11:$B$22&lt;&gt;"")*(IF(Besatzung!$C$11:$C$22="",Besatzung!$B$5,Besatzung!$C$11:$C$22)&lt;=B101)*(IF(Besatzung!$D$11:$D$22="",Besatzung!$B$6,Besatzung!$D$11:$D$22)&gt;=B101)),1)+(Besatzung!$F$11="x")*IFERROR(H101,0)/IFERROR(SUMPRODUCT((Besatzung!$B$11:$B$22&lt;&gt;"")*(Besatzung!$F$11:$F$22="x")*(IF(Besatzung!$C$11:$C$22="",Besatzung!$B$5,Besatzung!$C$11:$C$22)&lt;=B101)*(IF(Besatzung!$D$11:$D$22="",Besatzung!$B$6,Besatzung!$D$11:$D$22)&gt;=B101)),1))),IF(I101="Individuell",((J101="x")*((G101-IFERROR(H101,0))/IFERROR(COUNTIF(J101:U101,"x"),1)+(Besatzung!$F$11="x")*IFERROR(H101,0)/IFERROR(SUMPRODUCT((J101:U101="x")*(Besatzung!$F$11:$F$22="x")),1))),(IF(COUNTIF(J101:U101,"x")=0,IF(Besatzung!$B$11&lt;&gt;"",1,0),(J101="x"))*(G101-IFERROR(H101,0))/IFERROR(IF(COUNTIF(J101:U101,"x")=0,COUNTA(Besatzung!$B$11:$B$22),COUNTIF(J101:U101,"x")),1)+IF(COUNTIF(J101:U101,"x")=0,(Besatzung!$F$11="x"),(J101="x")*(Besatzung!$F$11="x"))*IFERROR(H101,0)/IFERROR(IF(COUNTIF(J101:U101,"x")=0,SUMPRODUCT((Besatzung!$B$11:$B$22&lt;&gt;"")*(Besatzung!$F$11:$F$22="x")),SUMPRODUCT((J101:U101="x")*(Besatzung!$F$11:$F$22="x"))),1))))),0))))</f>
        <v/>
      </c>
      <c r="W101" s="247">
        <f>IF(C101="Gutschrift","",IF(G101="","",IF(Besatzung!$B$12="","",IFERROR(IF(I101="Zeitanteilig",(Besatzung!$G$12*(G101-IFERROR(H101,0))+((Besatzung!$B$12&lt;&gt;"")*IF(B101="",1,(IF(Besatzung!$C$12="",Besatzung!$B$5,Besatzung!$C$12)&lt;=B101)*(IF(Besatzung!$D$12="",Besatzung!$B$6,Besatzung!$D$12)&gt;=B101)))*(Besatzung!$F$12="x")*IFERROR(H101,0)/IFERROR(SUMPRODUCT((Besatzung!$B$11:$B$22&lt;&gt;"")*(Besatzung!$F$11:$F$22="x")*(IF(Besatzung!$C$11:$C$22="",Besatzung!$B$5,Besatzung!$C$11:$C$22)&lt;=B101)*(IF(Besatzung!$D$11:$D$22="",Besatzung!$B$6,Besatzung!$D$11:$D$22)&gt;=B101)),1)),IF(I101="An Bord",(((Besatzung!$B$12&lt;&gt;"")*IF(B101="",1,(IF(Besatzung!$C$12="",Besatzung!$B$5,Besatzung!$C$12)&lt;=B101)*(IF(Besatzung!$D$12="",Besatzung!$B$6,Besatzung!$D$12)&gt;=B101)))*((G101-IFERROR(H101,0))/IFERROR(SUMPRODUCT((Besatzung!$B$11:$B$22&lt;&gt;"")*(IF(Besatzung!$C$11:$C$22="",Besatzung!$B$5,Besatzung!$C$11:$C$22)&lt;=B101)*(IF(Besatzung!$D$11:$D$22="",Besatzung!$B$6,Besatzung!$D$11:$D$22)&gt;=B101)),1)+(Besatzung!$F$12="x")*IFERROR(H101,0)/IFERROR(SUMPRODUCT((Besatzung!$B$11:$B$22&lt;&gt;"")*(Besatzung!$F$11:$F$22="x")*(IF(Besatzung!$C$11:$C$22="",Besatzung!$B$5,Besatzung!$C$11:$C$22)&lt;=B101)*(IF(Besatzung!$D$11:$D$22="",Besatzung!$B$6,Besatzung!$D$11:$D$22)&gt;=B101)),1))),IF(I101="Individuell",((K101="x")*((G101-IFERROR(H101,0))/IFERROR(COUNTIF(J101:U101,"x"),1)+(Besatzung!$F$12="x")*IFERROR(H101,0)/IFERROR(SUMPRODUCT((J101:U101="x")*(Besatzung!$F$11:$F$22="x")),1))),(IF(COUNTIF(J101:U101,"x")=0,IF(Besatzung!$B$12&lt;&gt;"",1,0),(K101="x"))*(G101-IFERROR(H101,0))/IFERROR(IF(COUNTIF(J101:U101,"x")=0,COUNTA(Besatzung!$B$11:$B$22),COUNTIF(J101:U101,"x")),1)+IF(COUNTIF(J101:U101,"x")=0,(Besatzung!$F$12="x"),(K101="x")*(Besatzung!$F$12="x"))*IFERROR(H101,0)/IFERROR(IF(COUNTIF(J101:U101,"x")=0,SUMPRODUCT((Besatzung!$B$11:$B$22&lt;&gt;"")*(Besatzung!$F$11:$F$22="x")),SUMPRODUCT((J101:U101="x")*(Besatzung!$F$11:$F$22="x"))),1))))),0))))</f>
        <v/>
      </c>
      <c r="X101" s="247">
        <f>IF(C101="Gutschrift","",IF(G101="","",IF(Besatzung!$B$13="","",IFERROR(IF(I101="Zeitanteilig",(Besatzung!$G$13*(G101-IFERROR(H101,0))+((Besatzung!$B$13&lt;&gt;"")*IF(B101="",1,(IF(Besatzung!$C$13="",Besatzung!$B$5,Besatzung!$C$13)&lt;=B101)*(IF(Besatzung!$D$13="",Besatzung!$B$6,Besatzung!$D$13)&gt;=B101)))*(Besatzung!$F$13="x")*IFERROR(H101,0)/IFERROR(SUMPRODUCT((Besatzung!$B$11:$B$22&lt;&gt;"")*(Besatzung!$F$11:$F$22="x")*(IF(Besatzung!$C$11:$C$22="",Besatzung!$B$5,Besatzung!$C$11:$C$22)&lt;=B101)*(IF(Besatzung!$D$11:$D$22="",Besatzung!$B$6,Besatzung!$D$11:$D$22)&gt;=B101)),1)),IF(I101="An Bord",(((Besatzung!$B$13&lt;&gt;"")*IF(B101="",1,(IF(Besatzung!$C$13="",Besatzung!$B$5,Besatzung!$C$13)&lt;=B101)*(IF(Besatzung!$D$13="",Besatzung!$B$6,Besatzung!$D$13)&gt;=B101)))*((G101-IFERROR(H101,0))/IFERROR(SUMPRODUCT((Besatzung!$B$11:$B$22&lt;&gt;"")*(IF(Besatzung!$C$11:$C$22="",Besatzung!$B$5,Besatzung!$C$11:$C$22)&lt;=B101)*(IF(Besatzung!$D$11:$D$22="",Besatzung!$B$6,Besatzung!$D$11:$D$22)&gt;=B101)),1)+(Besatzung!$F$13="x")*IFERROR(H101,0)/IFERROR(SUMPRODUCT((Besatzung!$B$11:$B$22&lt;&gt;"")*(Besatzung!$F$11:$F$22="x")*(IF(Besatzung!$C$11:$C$22="",Besatzung!$B$5,Besatzung!$C$11:$C$22)&lt;=B101)*(IF(Besatzung!$D$11:$D$22="",Besatzung!$B$6,Besatzung!$D$11:$D$22)&gt;=B101)),1))),IF(I101="Individuell",((K101="x")*((G101-IFERROR(H101,0))/IFERROR(COUNTIF(J101:U101,"x"),1)+(Besatzung!$F$13="x")*IFERROR(H101,0)/IFERROR(SUMPRODUCT((J101:U101="x")*(Besatzung!$F$11:$F$22="x")),1))),(IF(COUNTIF(J101:U101,"x")=0,IF(Besatzung!$B$13&lt;&gt;"",1,0),(K101="x"))*(G101-IFERROR(H101,0))/IFERROR(IF(COUNTIF(J101:U101,"x")=0,COUNTA(Besatzung!$B$11:$B$22),COUNTIF(J101:U101,"x")),1)+IF(COUNTIF(J101:U101,"x")=0,(Besatzung!$F$13="x"),(K101="x")*(Besatzung!$F$13="x"))*IFERROR(H101,0)/IFERROR(IF(COUNTIF(J101:U101,"x")=0,SUMPRODUCT((Besatzung!$B$11:$B$22&lt;&gt;"")*(Besatzung!$F$11:$F$22="x")),SUMPRODUCT((J101:U101="x")*(Besatzung!$F$11:$F$22="x"))),1))))),0))))</f>
        <v/>
      </c>
      <c r="Y101" s="247">
        <f>IF(C101="Gutschrift","",IF(G101="","",IF(Besatzung!$B$14="","",IFERROR(IF(I101="Zeitanteilig",(Besatzung!$G$14*(G101-IFERROR(H101,0))+((Besatzung!$B$14&lt;&gt;"")*IF(B101="",1,(IF(Besatzung!$C$14="",Besatzung!$B$5,Besatzung!$C$14)&lt;=B101)*(IF(Besatzung!$D$14="",Besatzung!$B$6,Besatzung!$D$14)&gt;=B101)))*(Besatzung!$F$14="x")*IFERROR(H101,0)/IFERROR(SUMPRODUCT((Besatzung!$B$11:$B$22&lt;&gt;"")*(Besatzung!$F$11:$F$22="x")*(IF(Besatzung!$C$11:$C$22="",Besatzung!$B$5,Besatzung!$C$11:$C$22)&lt;=B101)*(IF(Besatzung!$D$11:$D$22="",Besatzung!$B$6,Besatzung!$D$11:$D$22)&gt;=B101)),1)),IF(I101="An Bord",(((Besatzung!$B$14&lt;&gt;"")*IF(B101="",1,(IF(Besatzung!$C$14="",Besatzung!$B$5,Besatzung!$C$14)&lt;=B101)*(IF(Besatzung!$D$14="",Besatzung!$B$6,Besatzung!$D$14)&gt;=B101)))*((G101-IFERROR(H101,0))/IFERROR(SUMPRODUCT((Besatzung!$B$11:$B$22&lt;&gt;"")*(IF(Besatzung!$C$11:$C$22="",Besatzung!$B$5,Besatzung!$C$11:$C$22)&lt;=B101)*(IF(Besatzung!$D$11:$D$22="",Besatzung!$B$6,Besatzung!$D$11:$D$22)&gt;=B101)),1)+(Besatzung!$F$14="x")*IFERROR(H101,0)/IFERROR(SUMPRODUCT((Besatzung!$B$11:$B$22&lt;&gt;"")*(Besatzung!$F$11:$F$22="x")*(IF(Besatzung!$C$11:$C$22="",Besatzung!$B$5,Besatzung!$C$11:$C$22)&lt;=B101)*(IF(Besatzung!$D$11:$D$22="",Besatzung!$B$6,Besatzung!$D$11:$D$22)&gt;=B101)),1))),IF(I101="Individuell",((M101="x")*((G101-IFERROR(H101,0))/IFERROR(COUNTIF(J101:U101,"x"),1)+(Besatzung!$F$14="x")*IFERROR(H101,0)/IFERROR(SUMPRODUCT((J101:U101="x")*(Besatzung!$F$11:$F$22="x")),1))),(IF(COUNTIF(J101:U101,"x")=0,IF(Besatzung!$B$14&lt;&gt;"",1,0),(M101="x"))*(G101-IFERROR(H101,0))/IFERROR(IF(COUNTIF(J101:U101,"x")=0,COUNTA(Besatzung!$B$11:$B$22),COUNTIF(J101:U101,"x")),1)+IF(COUNTIF(J101:U101,"x")=0,(Besatzung!$F$14="x"),(M101="x")*(Besatzung!$F$14="x"))*IFERROR(H101,0)/IFERROR(IF(COUNTIF(J101:U101,"x")=0,SUMPRODUCT((Besatzung!$B$11:$B$22&lt;&gt;"")*(Besatzung!$F$11:$F$22="x")),SUMPRODUCT((J101:U101="x")*(Besatzung!$F$11:$F$22="x"))),1))))),0))))</f>
        <v/>
      </c>
      <c r="Z101" s="247">
        <f>IF(C101="Gutschrift","",IF(G101="","",IF(Besatzung!$B$13="","",IFERROR(IF(I101="Zeitanteilig",(Besatzung!$G$15*(G101-IFERROR(H101,0))+((Besatzung!$B$13&lt;&gt;"")*IF(B101="",1,(IF(Besatzung!$C$15="",Besatzung!$B$5,Besatzung!$C$15)&lt;=B101)*(IF(Besatzung!$D$15="",Besatzung!$B$6,Besatzung!$D$15)&gt;=B101)))*(Besatzung!$F$15="x")*IFERROR(H101,0)/IFERROR(SUMPRODUCT((Besatzung!$B$11:$B$22&lt;&gt;"")*(Besatzung!$F$11:$F$22="x")*(IF(Besatzung!$C$11:$C$22="",Besatzung!$B$5,Besatzung!$C$11:$C$22)&lt;=B101)*(IF(Besatzung!$D$11:$D$22="",Besatzung!$B$6,Besatzung!$D$11:$D$22)&gt;=B101)),1)),IF(I101="An Bord",(((Besatzung!$B$13&lt;&gt;"")*IF(B101="",1,(IF(Besatzung!$C$15="",Besatzung!$B$5,Besatzung!$C$15)&lt;=B101)*(IF(Besatzung!$D$15="",Besatzung!$B$6,Besatzung!$D$15)&gt;=B101)))*((G101-IFERROR(H101,0))/IFERROR(SUMPRODUCT((Besatzung!$B$11:$B$22&lt;&gt;"")*(IF(Besatzung!$C$11:$C$22="",Besatzung!$B$5,Besatzung!$C$11:$C$22)&lt;=B101)*(IF(Besatzung!$D$11:$D$22="",Besatzung!$B$6,Besatzung!$D$11:$D$22)&gt;=B101)),1)+(Besatzung!$F$15="x")*IFERROR(H101,0)/IFERROR(SUMPRODUCT((Besatzung!$B$11:$B$22&lt;&gt;"")*(Besatzung!$F$11:$F$22="x")*(IF(Besatzung!$C$11:$C$22="",Besatzung!$B$5,Besatzung!$C$11:$C$22)&lt;=B101)*(IF(Besatzung!$D$11:$D$22="",Besatzung!$B$6,Besatzung!$D$11:$D$22)&gt;=B101)),1))),IF(I101="Individuell",((N101="x")*((G101-IFERROR(H101,0))/IFERROR(COUNTIF(J101:U101,"x"),1)+(Besatzung!$F$15="x")*IFERROR(H101,0)/IFERROR(SUMPRODUCT((J101:U101="x")*(Besatzung!$F$11:$F$22="x")),1))),(IF(COUNTIF(J101:U101,"x")=0,IF(Besatzung!$B$13&lt;&gt;"",1,0),(N101="x"))*(G101-IFERROR(H101,0))/IFERROR(IF(COUNTIF(J101:U101,"x")=0,COUNTA(Besatzung!$B$11:$B$22),COUNTIF(J101:U101,"x")),1)+IF(COUNTIF(J101:U101,"x")=0,(Besatzung!$F$15="x"),(N101="x")*(Besatzung!$F$15="x"))*IFERROR(H101,0)/IFERROR(IF(COUNTIF(J101:U101,"x")=0,SUMPRODUCT((Besatzung!$B$11:$B$22&lt;&gt;"")*(Besatzung!$F$11:$F$22="x")),SUMPRODUCT((J101:U101="x")*(Besatzung!$F$11:$F$22="x"))),1))))),0))))</f>
        <v/>
      </c>
      <c r="AA101" s="247">
        <f>IF(C101="Gutschrift","",IF(G101="","",IF(Besatzung!$B$15="","",IFERROR(IF(I101="Zeitanteilig",(Besatzung!$G$16*(G101-IFERROR(H101,0))+((Besatzung!$B$15&lt;&gt;"")*IF(B101="",1,(IF(Besatzung!$C$16="",Besatzung!$B$5,Besatzung!$C$16)&lt;=B101)*(IF(Besatzung!$D$16="",Besatzung!$B$6,Besatzung!$D$16)&gt;=B101)))*(Besatzung!$F$16="x")*IFERROR(H101,0)/IFERROR(SUMPRODUCT((Besatzung!$B$11:$B$22&lt;&gt;"")*(Besatzung!$F$11:$F$22="x")*(IF(Besatzung!$C$11:$C$22="",Besatzung!$B$5,Besatzung!$C$11:$C$22)&lt;=B101)*(IF(Besatzung!$D$11:$D$22="",Besatzung!$B$6,Besatzung!$D$11:$D$22)&gt;=B101)),1)),IF(I101="An Bord",(((Besatzung!$B$15&lt;&gt;"")*IF(B101="",1,(IF(Besatzung!$C$16="",Besatzung!$B$5,Besatzung!$C$16)&lt;=B101)*(IF(Besatzung!$D$16="",Besatzung!$B$6,Besatzung!$D$16)&gt;=B101)))*((G101-IFERROR(H101,0))/IFERROR(SUMPRODUCT((Besatzung!$B$11:$B$22&lt;&gt;"")*(IF(Besatzung!$C$11:$C$22="",Besatzung!$B$5,Besatzung!$C$11:$C$22)&lt;=B101)*(IF(Besatzung!$D$11:$D$22="",Besatzung!$B$6,Besatzung!$D$11:$D$22)&gt;=B101)),1)+(Besatzung!$F$16="x")*IFERROR(H101,0)/IFERROR(SUMPRODUCT((Besatzung!$B$11:$B$22&lt;&gt;"")*(Besatzung!$F$11:$F$22="x")*(IF(Besatzung!$C$11:$C$22="",Besatzung!$B$5,Besatzung!$C$11:$C$22)&lt;=B101)*(IF(Besatzung!$D$11:$D$22="",Besatzung!$B$6,Besatzung!$D$11:$D$22)&gt;=B101)),1))),IF(I101="Individuell",((O101="x")*((G101-IFERROR(H101,0))/IFERROR(COUNTIF(J101:U101,"x"),1)+(Besatzung!$F$16="x")*IFERROR(H101,0)/IFERROR(SUMPRODUCT((J101:U101="x")*(Besatzung!$F$11:$F$22="x")),1))),(IF(COUNTIF(J101:U101,"x")=0,IF(Besatzung!$B$15&lt;&gt;"",1,0),(O101="x"))*(G101-IFERROR(H101,0))/IFERROR(IF(COUNTIF(J101:U101,"x")=0,COUNTA(Besatzung!$B$11:$B$22),COUNTIF(J101:U101,"x")),1)+IF(COUNTIF(J101:U101,"x")=0,(Besatzung!$F$16="x"),(O101="x")*(Besatzung!$F$16="x"))*IFERROR(H101,0)/IFERROR(IF(COUNTIF(J101:U101,"x")=0,SUMPRODUCT((Besatzung!$B$11:$B$22&lt;&gt;"")*(Besatzung!$F$11:$F$22="x")),SUMPRODUCT((J101:U101="x")*(Besatzung!$F$11:$F$22="x"))),1))))),0))))</f>
        <v/>
      </c>
      <c r="AB101" s="247">
        <f>IF(C101="Gutschrift","",IF(G101="","",IF(Besatzung!$B$17="","",IFERROR(IF(I101="Zeitanteilig",(Besatzung!$G$17*(G101-IFERROR(H101,0))+((Besatzung!$B$17&lt;&gt;"")*IF(B101="",1,(IF(Besatzung!$C$17="",Besatzung!$B$5,Besatzung!$C$17)&lt;=B101)*(IF(Besatzung!$D$17="",Besatzung!$B$6,Besatzung!$D$17)&gt;=B101)))*(Besatzung!$F$17="x")*IFERROR(H101,0)/IFERROR(SUMPRODUCT((Besatzung!$B$11:$B$22&lt;&gt;"")*(Besatzung!$F$11:$F$22="x")*(IF(Besatzung!$C$11:$C$22="",Besatzung!$B$5,Besatzung!$C$11:$C$22)&lt;=B101)*(IF(Besatzung!$D$11:$D$22="",Besatzung!$B$6,Besatzung!$D$11:$D$22)&gt;=B101)),1)),IF(I101="An Bord",(((Besatzung!$B$17&lt;&gt;"")*IF(B101="",1,(IF(Besatzung!$C$17="",Besatzung!$B$5,Besatzung!$C$17)&lt;=B101)*(IF(Besatzung!$D$17="",Besatzung!$B$6,Besatzung!$D$17)&gt;=B101)))*((G101-IFERROR(H101,0))/IFERROR(SUMPRODUCT((Besatzung!$B$11:$B$22&lt;&gt;"")*(IF(Besatzung!$C$11:$C$22="",Besatzung!$B$5,Besatzung!$C$11:$C$22)&lt;=B101)*(IF(Besatzung!$D$11:$D$22="",Besatzung!$B$6,Besatzung!$D$11:$D$22)&gt;=B101)),1)+(Besatzung!$F$17="x")*IFERROR(H101,0)/IFERROR(SUMPRODUCT((Besatzung!$B$11:$B$22&lt;&gt;"")*(Besatzung!$F$11:$F$22="x")*(IF(Besatzung!$C$11:$C$22="",Besatzung!$B$5,Besatzung!$C$11:$C$22)&lt;=B101)*(IF(Besatzung!$D$11:$D$22="",Besatzung!$B$6,Besatzung!$D$11:$D$22)&gt;=B101)),1))),IF(I101="Individuell",((P101="x")*((G101-IFERROR(H101,0))/IFERROR(COUNTIF(J101:U101,"x"),1)+(Besatzung!$F$17="x")*IFERROR(H101,0)/IFERROR(SUMPRODUCT((J101:U101="x")*(Besatzung!$F$11:$F$22="x")),1))),(IF(COUNTIF(J101:U101,"x")=0,IF(Besatzung!$B$17&lt;&gt;"",1,0),(P101="x"))*(G101-IFERROR(H101,0))/IFERROR(IF(COUNTIF(J101:U101,"x")=0,COUNTA(Besatzung!$B$11:$B$22),COUNTIF(J101:U101,"x")),1)+IF(COUNTIF(J101:U101,"x")=0,(Besatzung!$F$17="x"),(P101="x")*(Besatzung!$F$17="x"))*IFERROR(H101,0)/IFERROR(IF(COUNTIF(J101:U101,"x")=0,SUMPRODUCT((Besatzung!$B$11:$B$22&lt;&gt;"")*(Besatzung!$F$11:$F$22="x")),SUMPRODUCT((J101:U101="x")*(Besatzung!$F$11:$F$22="x"))),1))))),0))))</f>
        <v/>
      </c>
      <c r="AC101" s="247">
        <f>IF(C101="Gutschrift","",IF(G101="","",IF(Besatzung!$B$18="","",IFERROR(IF(I101="Zeitanteilig",(Besatzung!$G$18*(G101-IFERROR(H101,0))+((Besatzung!$B$18&lt;&gt;"")*IF(B101="",1,(IF(Besatzung!$C$18="",Besatzung!$B$5,Besatzung!$C$18)&lt;=B101)*(IF(Besatzung!$D$18="",Besatzung!$B$6,Besatzung!$D$18)&gt;=B101)))*(Besatzung!$F$18="x")*IFERROR(H101,0)/IFERROR(SUMPRODUCT((Besatzung!$B$11:$B$22&lt;&gt;"")*(Besatzung!$F$11:$F$22="x")*(IF(Besatzung!$C$11:$C$22="",Besatzung!$B$5,Besatzung!$C$11:$C$22)&lt;=B101)*(IF(Besatzung!$D$11:$D$22="",Besatzung!$B$6,Besatzung!$D$11:$D$22)&gt;=B101)),1)),IF(I101="An Bord",(((Besatzung!$B$18&lt;&gt;"")*IF(B101="",1,(IF(Besatzung!$C$18="",Besatzung!$B$5,Besatzung!$C$18)&lt;=B101)*(IF(Besatzung!$D$18="",Besatzung!$B$6,Besatzung!$D$18)&gt;=B101)))*((G101-IFERROR(H101,0))/IFERROR(SUMPRODUCT((Besatzung!$B$11:$B$22&lt;&gt;"")*(IF(Besatzung!$C$11:$C$22="",Besatzung!$B$5,Besatzung!$C$11:$C$22)&lt;=B101)*(IF(Besatzung!$D$11:$D$22="",Besatzung!$B$6,Besatzung!$D$11:$D$22)&gt;=B101)),1)+(Besatzung!$F$18="x")*IFERROR(H101,0)/IFERROR(SUMPRODUCT((Besatzung!$B$11:$B$22&lt;&gt;"")*(Besatzung!$F$11:$F$22="x")*(IF(Besatzung!$C$11:$C$22="",Besatzung!$B$5,Besatzung!$C$11:$C$22)&lt;=B101)*(IF(Besatzung!$D$11:$D$22="",Besatzung!$B$6,Besatzung!$D$11:$D$22)&gt;=B101)),1))),IF(I101="Individuell",((Q101="x")*((G101-IFERROR(H101,0))/IFERROR(COUNTIF(J101:U101,"x"),1)+(Besatzung!$F$18="x")*IFERROR(H101,0)/IFERROR(SUMPRODUCT((J101:U101="x")*(Besatzung!$F$11:$F$22="x")),1))),(IF(COUNTIF(J101:U101,"x")=0,IF(Besatzung!$B$18&lt;&gt;"",1,0),(Q101="x"))*(G101-IFERROR(H101,0))/IFERROR(IF(COUNTIF(J101:U101,"x")=0,COUNTA(Besatzung!$B$11:$B$22),COUNTIF(J101:U101,"x")),1)+IF(COUNTIF(J101:U101,"x")=0,(Besatzung!$F$18="x"),(Q101="x")*(Besatzung!$F$18="x"))*IFERROR(H101,0)/IFERROR(IF(COUNTIF(J101:U101,"x")=0,SUMPRODUCT((Besatzung!$B$11:$B$22&lt;&gt;"")*(Besatzung!$F$11:$F$22="x")),SUMPRODUCT((J101:U101="x")*(Besatzung!$F$11:$F$22="x"))),1))))),0))))</f>
        <v/>
      </c>
      <c r="AD101" s="247">
        <f>IF(C101="Gutschrift","",IF(G101="","",IF(Besatzung!$B$19="","",IFERROR(IF(I101="Zeitanteilig",(Besatzung!$G$19*(G101-IFERROR(H101,0))+((Besatzung!$B$19&lt;&gt;"")*IF(B101="",1,(IF(Besatzung!$C$19="",Besatzung!$B$5,Besatzung!$C$19)&lt;=B101)*(IF(Besatzung!$D$19="",Besatzung!$B$6,Besatzung!$D$19)&gt;=B101)))*(Besatzung!$F$19="x")*IFERROR(H101,0)/IFERROR(SUMPRODUCT((Besatzung!$B$11:$B$22&lt;&gt;"")*(Besatzung!$F$11:$F$22="x")*(IF(Besatzung!$C$11:$C$22="",Besatzung!$B$5,Besatzung!$C$11:$C$22)&lt;=B101)*(IF(Besatzung!$D$11:$D$22="",Besatzung!$B$6,Besatzung!$D$11:$D$22)&gt;=B101)),1)),IF(I101="An Bord",(((Besatzung!$B$19&lt;&gt;"")*IF(B101="",1,(IF(Besatzung!$C$19="",Besatzung!$B$5,Besatzung!$C$19)&lt;=B101)*(IF(Besatzung!$D$19="",Besatzung!$B$6,Besatzung!$D$19)&gt;=B101)))*((G101-IFERROR(H101,0))/IFERROR(SUMPRODUCT((Besatzung!$B$11:$B$22&lt;&gt;"")*(IF(Besatzung!$C$11:$C$22="",Besatzung!$B$5,Besatzung!$C$11:$C$22)&lt;=B101)*(IF(Besatzung!$D$11:$D$22="",Besatzung!$B$6,Besatzung!$D$11:$D$22)&gt;=B101)),1)+(Besatzung!$F$19="x")*IFERROR(H101,0)/IFERROR(SUMPRODUCT((Besatzung!$B$11:$B$22&lt;&gt;"")*(Besatzung!$F$11:$F$22="x")*(IF(Besatzung!$C$11:$C$22="",Besatzung!$B$5,Besatzung!$C$11:$C$22)&lt;=B101)*(IF(Besatzung!$D$11:$D$22="",Besatzung!$B$6,Besatzung!$D$11:$D$22)&gt;=B101)),1))),IF(I101="Individuell",((R101="x")*((G101-IFERROR(H101,0))/IFERROR(COUNTIF(J101:U101,"x"),1)+(Besatzung!$F$19="x")*IFERROR(H101,0)/IFERROR(SUMPRODUCT((J101:U101="x")*(Besatzung!$F$11:$F$22="x")),1))),(IF(COUNTIF(J101:U101,"x")=0,IF(Besatzung!$B$19&lt;&gt;"",1,0),(R101="x"))*(G101-IFERROR(H101,0))/IFERROR(IF(COUNTIF(J101:U101,"x")=0,COUNTA(Besatzung!$B$11:$B$22),COUNTIF(J101:U101,"x")),1)+IF(COUNTIF(J101:U101,"x")=0,(Besatzung!$F$19="x"),(R101="x")*(Besatzung!$F$19="x"))*IFERROR(H101,0)/IFERROR(IF(COUNTIF(J101:U101,"x")=0,SUMPRODUCT((Besatzung!$B$11:$B$22&lt;&gt;"")*(Besatzung!$F$11:$F$22="x")),SUMPRODUCT((J101:U101="x")*(Besatzung!$F$11:$F$22="x"))),1))))),0))))</f>
        <v/>
      </c>
      <c r="AE101" s="247">
        <f>IF(C101="Gutschrift","",IF(G101="","",IF(Besatzung!$B$20="","",IFERROR(IF(I101="Zeitanteilig",(Besatzung!$G$20*(G101-IFERROR(H101,0))+((Besatzung!$B$20&lt;&gt;"")*IF(B101="",1,(IF(Besatzung!$C$20="",Besatzung!$B$5,Besatzung!$C$20)&lt;=B101)*(IF(Besatzung!$D$20="",Besatzung!$B$6,Besatzung!$D$20)&gt;=B101)))*(Besatzung!$F$20="x")*IFERROR(H101,0)/IFERROR(SUMPRODUCT((Besatzung!$B$11:$B$22&lt;&gt;"")*(Besatzung!$F$11:$F$22="x")*(IF(Besatzung!$C$11:$C$22="",Besatzung!$B$5,Besatzung!$C$11:$C$22)&lt;=B101)*(IF(Besatzung!$D$11:$D$22="",Besatzung!$B$6,Besatzung!$D$11:$D$22)&gt;=B101)),1)),IF(I101="An Bord",(((Besatzung!$B$20&lt;&gt;"")*IF(B101="",1,(IF(Besatzung!$C$20="",Besatzung!$B$5,Besatzung!$C$20)&lt;=B101)*(IF(Besatzung!$D$20="",Besatzung!$B$6,Besatzung!$D$20)&gt;=B101)))*((G101-IFERROR(H101,0))/IFERROR(SUMPRODUCT((Besatzung!$B$11:$B$22&lt;&gt;"")*(IF(Besatzung!$C$11:$C$22="",Besatzung!$B$5,Besatzung!$C$11:$C$22)&lt;=B101)*(IF(Besatzung!$D$11:$D$22="",Besatzung!$B$6,Besatzung!$D$11:$D$22)&gt;=B101)),1)+(Besatzung!$F$20="x")*IFERROR(H101,0)/IFERROR(SUMPRODUCT((Besatzung!$B$11:$B$22&lt;&gt;"")*(Besatzung!$F$11:$F$22="x")*(IF(Besatzung!$C$11:$C$22="",Besatzung!$B$5,Besatzung!$C$11:$C$22)&lt;=B101)*(IF(Besatzung!$D$11:$D$22="",Besatzung!$B$6,Besatzung!$D$11:$D$22)&gt;=B101)),1))),IF(I101="Individuell",((S101="x")*((G101-IFERROR(H101,0))/IFERROR(COUNTIF(J101:U101,"x"),1)+(Besatzung!$F$20="x")*IFERROR(H101,0)/IFERROR(SUMPRODUCT((J101:U101="x")*(Besatzung!$F$11:$F$22="x")),1))),(IF(COUNTIF(J101:U101,"x")=0,IF(Besatzung!$B$20&lt;&gt;"",1,0),(S101="x"))*(G101-IFERROR(H101,0))/IFERROR(IF(COUNTIF(J101:U101,"x")=0,COUNTA(Besatzung!$B$11:$B$22),COUNTIF(J101:U101,"x")),1)+IF(COUNTIF(J101:U101,"x")=0,(Besatzung!$F$20="x"),(S101="x")*(Besatzung!$F$20="x"))*IFERROR(H101,0)/IFERROR(IF(COUNTIF(J101:U101,"x")=0,SUMPRODUCT((Besatzung!$B$11:$B$22&lt;&gt;"")*(Besatzung!$F$11:$F$22="x")),SUMPRODUCT((J101:U101="x")*(Besatzung!$F$11:$F$22="x"))),1))))),0))))</f>
        <v/>
      </c>
      <c r="AF101" s="247">
        <f>IF(C101="Gutschrift","",IF(G101="","",IF(Besatzung!$B$21="","",IFERROR(IF(I101="Zeitanteilig",(Besatzung!$G$21*(G101-IFERROR(H101,0))+((Besatzung!$B$21&lt;&gt;"")*IF(B101="",1,(IF(Besatzung!$C$21="",Besatzung!$B$5,Besatzung!$C$21)&lt;=B101)*(IF(Besatzung!$D$21="",Besatzung!$B$6,Besatzung!$D$21)&gt;=B101)))*(Besatzung!$F$21="x")*IFERROR(H101,0)/IFERROR(SUMPRODUCT((Besatzung!$B$11:$B$22&lt;&gt;"")*(Besatzung!$F$11:$F$22="x")*(IF(Besatzung!$C$11:$C$22="",Besatzung!$B$5,Besatzung!$C$11:$C$22)&lt;=B101)*(IF(Besatzung!$D$11:$D$22="",Besatzung!$B$6,Besatzung!$D$11:$D$22)&gt;=B101)),1)),IF(I101="An Bord",(((Besatzung!$B$21&lt;&gt;"")*IF(B101="",1,(IF(Besatzung!$C$21="",Besatzung!$B$5,Besatzung!$C$21)&lt;=B101)*(IF(Besatzung!$D$21="",Besatzung!$B$6,Besatzung!$D$21)&gt;=B101)))*((G101-IFERROR(H101,0))/IFERROR(SUMPRODUCT((Besatzung!$B$11:$B$22&lt;&gt;"")*(IF(Besatzung!$C$11:$C$22="",Besatzung!$B$5,Besatzung!$C$11:$C$22)&lt;=B101)*(IF(Besatzung!$D$11:$D$22="",Besatzung!$B$6,Besatzung!$D$11:$D$22)&gt;=B101)),1)+(Besatzung!$F$21="x")*IFERROR(H101,0)/IFERROR(SUMPRODUCT((Besatzung!$B$11:$B$22&lt;&gt;"")*(Besatzung!$F$11:$F$22="x")*(IF(Besatzung!$C$11:$C$22="",Besatzung!$B$5,Besatzung!$C$11:$C$22)&lt;=B101)*(IF(Besatzung!$D$11:$D$22="",Besatzung!$B$6,Besatzung!$D$11:$D$22)&gt;=B101)),1))),IF(I101="Individuell",((T101="x")*((G101-IFERROR(H101,0))/IFERROR(COUNTIF(J101:U101,"x"),1)+(Besatzung!$F$21="x")*IFERROR(H101,0)/IFERROR(SUMPRODUCT((J101:U101="x")*(Besatzung!$F$11:$F$22="x")),1))),(IF(COUNTIF(J101:U101,"x")=0,IF(Besatzung!$B$21&lt;&gt;"",1,0),(T101="x"))*(G101-IFERROR(H101,0))/IFERROR(IF(COUNTIF(J101:U101,"x")=0,COUNTA(Besatzung!$B$11:$B$22),COUNTIF(J101:U101,"x")),1)+IF(COUNTIF(J101:U101,"x")=0,(Besatzung!$F$21="x"),(T101="x")*(Besatzung!$F$21="x"))*IFERROR(H101,0)/IFERROR(IF(COUNTIF(J101:U101,"x")=0,SUMPRODUCT((Besatzung!$B$11:$B$22&lt;&gt;"")*(Besatzung!$F$11:$F$22="x")),SUMPRODUCT((J101:U101="x")*(Besatzung!$F$11:$F$22="x"))),1))))),0))))</f>
        <v/>
      </c>
      <c r="AG101" s="247">
        <f>IF(C101="Gutschrift","",IF(G101="","",IF(Besatzung!$B$22="","",IFERROR(IF(I101="Zeitanteilig",(Besatzung!$G$22*(G101-IFERROR(H101,0))+((Besatzung!$B$22&lt;&gt;"")*IF(B101="",1,(IF(Besatzung!$C$22="",Besatzung!$B$5,Besatzung!$C$22)&lt;=B101)*(IF(Besatzung!$D$22="",Besatzung!$B$6,Besatzung!$D$22)&gt;=B101)))*(Besatzung!$F$22="x")*IFERROR(H101,0)/IFERROR(SUMPRODUCT((Besatzung!$B$11:$B$22&lt;&gt;"")*(Besatzung!$F$11:$F$22="x")*(IF(Besatzung!$C$11:$C$22="",Besatzung!$B$5,Besatzung!$C$11:$C$22)&lt;=B101)*(IF(Besatzung!$D$11:$D$22="",Besatzung!$B$6,Besatzung!$D$11:$D$22)&gt;=B101)),1)),IF(I101="An Bord",(((Besatzung!$B$22&lt;&gt;"")*IF(B101="",1,(IF(Besatzung!$C$22="",Besatzung!$B$5,Besatzung!$C$22)&lt;=B101)*(IF(Besatzung!$D$22="",Besatzung!$B$6,Besatzung!$D$22)&gt;=B101)))*((G101-IFERROR(H101,0))/IFERROR(SUMPRODUCT((Besatzung!$B$11:$B$22&lt;&gt;"")*(IF(Besatzung!$C$11:$C$22="",Besatzung!$B$5,Besatzung!$C$11:$C$22)&lt;=B101)*(IF(Besatzung!$D$11:$D$22="",Besatzung!$B$6,Besatzung!$D$11:$D$22)&gt;=B101)),1)+(Besatzung!$F$22="x")*IFERROR(H101,0)/IFERROR(SUMPRODUCT((Besatzung!$B$11:$B$22&lt;&gt;"")*(Besatzung!$F$11:$F$22="x")*(IF(Besatzung!$C$11:$C$22="",Besatzung!$B$5,Besatzung!$C$11:$C$22)&lt;=B101)*(IF(Besatzung!$D$11:$D$22="",Besatzung!$B$6,Besatzung!$D$11:$D$22)&gt;=B101)),1))),IF(I101="Individuell",((U101="x")*((G101-IFERROR(H101,0))/IFERROR(COUNTIF(J101:U101,"x"),1)+(Besatzung!$F$22="x")*IFERROR(H101,0)/IFERROR(SUMPRODUCT((J101:U101="x")*(Besatzung!$F$11:$F$22="x")),1))),(IF(COUNTIF(J101:U101,"x")=0,IF(Besatzung!$B$22&lt;&gt;"",1,0),(U101="x"))*(G101-IFERROR(H101,0))/IFERROR(IF(COUNTIF(J101:U101,"x")=0,COUNTA(Besatzung!$B$11:$B$22),COUNTIF(J101:U101,"x")),1)+IF(COUNTIF(J101:U101,"x")=0,(Besatzung!$F$22="x"),(U101="x")*(Besatzung!$F$22="x"))*IFERROR(H101,0)/IFERROR(IF(COUNTIF(J101:U101,"x")=0,SUMPRODUCT((Besatzung!$B$11:$B$22&lt;&gt;"")*(Besatzung!$F$11:$F$22="x")),SUMPRODUCT((J101:U101="x")*(Besatzung!$F$11:$F$22="x"))),1))))),0))))</f>
        <v/>
      </c>
      <c r="AH101" s="248" t="n"/>
      <c r="AI101" s="248" t="n"/>
    </row>
    <row r="102" ht="21.75" customHeight="1" s="154">
      <c r="A102" s="238">
        <f>IF(AND(D102="",C102=""),"",99)</f>
        <v/>
      </c>
      <c r="B102" s="199" t="n"/>
      <c r="C102" s="239" t="n"/>
      <c r="D102" s="240" t="n"/>
      <c r="E102" s="241" t="n"/>
      <c r="F102" s="242" t="n"/>
      <c r="G102" s="243" t="n"/>
      <c r="H102" s="244" t="n"/>
      <c r="I102" s="245" t="n"/>
      <c r="J102" s="246" t="n"/>
      <c r="K102" s="246" t="n"/>
      <c r="L102" s="246" t="n"/>
      <c r="M102" s="246" t="n"/>
      <c r="N102" s="246" t="n"/>
      <c r="O102" s="246" t="n"/>
      <c r="P102" s="246" t="n"/>
      <c r="Q102" s="246" t="n"/>
      <c r="R102" s="246" t="n"/>
      <c r="S102" s="246" t="n"/>
      <c r="T102" s="246" t="n"/>
      <c r="U102" s="246" t="n"/>
      <c r="V102" s="247">
        <f>IF(C102="Gutschrift","",IF(G102="","",IF(Besatzung!$B$11="","",IFERROR(IF(I102="Zeitanteilig",(Besatzung!$G$11*(G102-IFERROR(H102,0))+((Besatzung!$B$11&lt;&gt;"")*IF(B102="",1,(IF(Besatzung!$C$11="",Besatzung!$B$5,Besatzung!$C$11)&lt;=B102)*(IF(Besatzung!$D$11="",Besatzung!$B$6,Besatzung!$D$11)&gt;=B102)))*(Besatzung!$F$11="x")*IFERROR(H102,0)/IFERROR(SUMPRODUCT((Besatzung!$B$11:$B$22&lt;&gt;"")*(Besatzung!$F$11:$F$22="x")*(IF(Besatzung!$C$11:$C$22="",Besatzung!$B$5,Besatzung!$C$11:$C$22)&lt;=B102)*(IF(Besatzung!$D$11:$D$22="",Besatzung!$B$6,Besatzung!$D$11:$D$22)&gt;=B102)),1)),IF(I102="An Bord",(((Besatzung!$B$11&lt;&gt;"")*IF(B102="",1,(IF(Besatzung!$C$11="",Besatzung!$B$5,Besatzung!$C$11)&lt;=B102)*(IF(Besatzung!$D$11="",Besatzung!$B$6,Besatzung!$D$11)&gt;=B102)))*((G102-IFERROR(H102,0))/IFERROR(SUMPRODUCT((Besatzung!$B$11:$B$22&lt;&gt;"")*(IF(Besatzung!$C$11:$C$22="",Besatzung!$B$5,Besatzung!$C$11:$C$22)&lt;=B102)*(IF(Besatzung!$D$11:$D$22="",Besatzung!$B$6,Besatzung!$D$11:$D$22)&gt;=B102)),1)+(Besatzung!$F$11="x")*IFERROR(H102,0)/IFERROR(SUMPRODUCT((Besatzung!$B$11:$B$22&lt;&gt;"")*(Besatzung!$F$11:$F$22="x")*(IF(Besatzung!$C$11:$C$22="",Besatzung!$B$5,Besatzung!$C$11:$C$22)&lt;=B102)*(IF(Besatzung!$D$11:$D$22="",Besatzung!$B$6,Besatzung!$D$11:$D$22)&gt;=B102)),1))),IF(I102="Individuell",((J102="x")*((G102-IFERROR(H102,0))/IFERROR(COUNTIF(J102:U102,"x"),1)+(Besatzung!$F$11="x")*IFERROR(H102,0)/IFERROR(SUMPRODUCT((J102:U102="x")*(Besatzung!$F$11:$F$22="x")),1))),(IF(COUNTIF(J102:U102,"x")=0,IF(Besatzung!$B$11&lt;&gt;"",1,0),(J102="x"))*(G102-IFERROR(H102,0))/IFERROR(IF(COUNTIF(J102:U102,"x")=0,COUNTA(Besatzung!$B$11:$B$22),COUNTIF(J102:U102,"x")),1)+IF(COUNTIF(J102:U102,"x")=0,(Besatzung!$F$11="x"),(J102="x")*(Besatzung!$F$11="x"))*IFERROR(H102,0)/IFERROR(IF(COUNTIF(J102:U102,"x")=0,SUMPRODUCT((Besatzung!$B$11:$B$22&lt;&gt;"")*(Besatzung!$F$11:$F$22="x")),SUMPRODUCT((J102:U102="x")*(Besatzung!$F$11:$F$22="x"))),1))))),0))))</f>
        <v/>
      </c>
      <c r="W102" s="247">
        <f>IF(C102="Gutschrift","",IF(G102="","",IF(Besatzung!$B$12="","",IFERROR(IF(I102="Zeitanteilig",(Besatzung!$G$12*(G102-IFERROR(H102,0))+((Besatzung!$B$12&lt;&gt;"")*IF(B102="",1,(IF(Besatzung!$C$12="",Besatzung!$B$5,Besatzung!$C$12)&lt;=B102)*(IF(Besatzung!$D$12="",Besatzung!$B$6,Besatzung!$D$12)&gt;=B102)))*(Besatzung!$F$12="x")*IFERROR(H102,0)/IFERROR(SUMPRODUCT((Besatzung!$B$11:$B$22&lt;&gt;"")*(Besatzung!$F$11:$F$22="x")*(IF(Besatzung!$C$11:$C$22="",Besatzung!$B$5,Besatzung!$C$11:$C$22)&lt;=B102)*(IF(Besatzung!$D$11:$D$22="",Besatzung!$B$6,Besatzung!$D$11:$D$22)&gt;=B102)),1)),IF(I102="An Bord",(((Besatzung!$B$12&lt;&gt;"")*IF(B102="",1,(IF(Besatzung!$C$12="",Besatzung!$B$5,Besatzung!$C$12)&lt;=B102)*(IF(Besatzung!$D$12="",Besatzung!$B$6,Besatzung!$D$12)&gt;=B102)))*((G102-IFERROR(H102,0))/IFERROR(SUMPRODUCT((Besatzung!$B$11:$B$22&lt;&gt;"")*(IF(Besatzung!$C$11:$C$22="",Besatzung!$B$5,Besatzung!$C$11:$C$22)&lt;=B102)*(IF(Besatzung!$D$11:$D$22="",Besatzung!$B$6,Besatzung!$D$11:$D$22)&gt;=B102)),1)+(Besatzung!$F$12="x")*IFERROR(H102,0)/IFERROR(SUMPRODUCT((Besatzung!$B$11:$B$22&lt;&gt;"")*(Besatzung!$F$11:$F$22="x")*(IF(Besatzung!$C$11:$C$22="",Besatzung!$B$5,Besatzung!$C$11:$C$22)&lt;=B102)*(IF(Besatzung!$D$11:$D$22="",Besatzung!$B$6,Besatzung!$D$11:$D$22)&gt;=B102)),1))),IF(I102="Individuell",((K102="x")*((G102-IFERROR(H102,0))/IFERROR(COUNTIF(J102:U102,"x"),1)+(Besatzung!$F$12="x")*IFERROR(H102,0)/IFERROR(SUMPRODUCT((J102:U102="x")*(Besatzung!$F$11:$F$22="x")),1))),(IF(COUNTIF(J102:U102,"x")=0,IF(Besatzung!$B$12&lt;&gt;"",1,0),(K102="x"))*(G102-IFERROR(H102,0))/IFERROR(IF(COUNTIF(J102:U102,"x")=0,COUNTA(Besatzung!$B$11:$B$22),COUNTIF(J102:U102,"x")),1)+IF(COUNTIF(J102:U102,"x")=0,(Besatzung!$F$12="x"),(K102="x")*(Besatzung!$F$12="x"))*IFERROR(H102,0)/IFERROR(IF(COUNTIF(J102:U102,"x")=0,SUMPRODUCT((Besatzung!$B$11:$B$22&lt;&gt;"")*(Besatzung!$F$11:$F$22="x")),SUMPRODUCT((J102:U102="x")*(Besatzung!$F$11:$F$22="x"))),1))))),0))))</f>
        <v/>
      </c>
      <c r="X102" s="247">
        <f>IF(C102="Gutschrift","",IF(G102="","",IF(Besatzung!$B$13="","",IFERROR(IF(I102="Zeitanteilig",(Besatzung!$G$13*(G102-IFERROR(H102,0))+((Besatzung!$B$13&lt;&gt;"")*IF(B102="",1,(IF(Besatzung!$C$13="",Besatzung!$B$5,Besatzung!$C$13)&lt;=B102)*(IF(Besatzung!$D$13="",Besatzung!$B$6,Besatzung!$D$13)&gt;=B102)))*(Besatzung!$F$13="x")*IFERROR(H102,0)/IFERROR(SUMPRODUCT((Besatzung!$B$11:$B$22&lt;&gt;"")*(Besatzung!$F$11:$F$22="x")*(IF(Besatzung!$C$11:$C$22="",Besatzung!$B$5,Besatzung!$C$11:$C$22)&lt;=B102)*(IF(Besatzung!$D$11:$D$22="",Besatzung!$B$6,Besatzung!$D$11:$D$22)&gt;=B102)),1)),IF(I102="An Bord",(((Besatzung!$B$13&lt;&gt;"")*IF(B102="",1,(IF(Besatzung!$C$13="",Besatzung!$B$5,Besatzung!$C$13)&lt;=B102)*(IF(Besatzung!$D$13="",Besatzung!$B$6,Besatzung!$D$13)&gt;=B102)))*((G102-IFERROR(H102,0))/IFERROR(SUMPRODUCT((Besatzung!$B$11:$B$22&lt;&gt;"")*(IF(Besatzung!$C$11:$C$22="",Besatzung!$B$5,Besatzung!$C$11:$C$22)&lt;=B102)*(IF(Besatzung!$D$11:$D$22="",Besatzung!$B$6,Besatzung!$D$11:$D$22)&gt;=B102)),1)+(Besatzung!$F$13="x")*IFERROR(H102,0)/IFERROR(SUMPRODUCT((Besatzung!$B$11:$B$22&lt;&gt;"")*(Besatzung!$F$11:$F$22="x")*(IF(Besatzung!$C$11:$C$22="",Besatzung!$B$5,Besatzung!$C$11:$C$22)&lt;=B102)*(IF(Besatzung!$D$11:$D$22="",Besatzung!$B$6,Besatzung!$D$11:$D$22)&gt;=B102)),1))),IF(I102="Individuell",((K102="x")*((G102-IFERROR(H102,0))/IFERROR(COUNTIF(J102:U102,"x"),1)+(Besatzung!$F$13="x")*IFERROR(H102,0)/IFERROR(SUMPRODUCT((J102:U102="x")*(Besatzung!$F$11:$F$22="x")),1))),(IF(COUNTIF(J102:U102,"x")=0,IF(Besatzung!$B$13&lt;&gt;"",1,0),(K102="x"))*(G102-IFERROR(H102,0))/IFERROR(IF(COUNTIF(J102:U102,"x")=0,COUNTA(Besatzung!$B$11:$B$22),COUNTIF(J102:U102,"x")),1)+IF(COUNTIF(J102:U102,"x")=0,(Besatzung!$F$13="x"),(K102="x")*(Besatzung!$F$13="x"))*IFERROR(H102,0)/IFERROR(IF(COUNTIF(J102:U102,"x")=0,SUMPRODUCT((Besatzung!$B$11:$B$22&lt;&gt;"")*(Besatzung!$F$11:$F$22="x")),SUMPRODUCT((J102:U102="x")*(Besatzung!$F$11:$F$22="x"))),1))))),0))))</f>
        <v/>
      </c>
      <c r="Y102" s="247">
        <f>IF(C102="Gutschrift","",IF(G102="","",IF(Besatzung!$B$14="","",IFERROR(IF(I102="Zeitanteilig",(Besatzung!$G$14*(G102-IFERROR(H102,0))+((Besatzung!$B$14&lt;&gt;"")*IF(B102="",1,(IF(Besatzung!$C$14="",Besatzung!$B$5,Besatzung!$C$14)&lt;=B102)*(IF(Besatzung!$D$14="",Besatzung!$B$6,Besatzung!$D$14)&gt;=B102)))*(Besatzung!$F$14="x")*IFERROR(H102,0)/IFERROR(SUMPRODUCT((Besatzung!$B$11:$B$22&lt;&gt;"")*(Besatzung!$F$11:$F$22="x")*(IF(Besatzung!$C$11:$C$22="",Besatzung!$B$5,Besatzung!$C$11:$C$22)&lt;=B102)*(IF(Besatzung!$D$11:$D$22="",Besatzung!$B$6,Besatzung!$D$11:$D$22)&gt;=B102)),1)),IF(I102="An Bord",(((Besatzung!$B$14&lt;&gt;"")*IF(B102="",1,(IF(Besatzung!$C$14="",Besatzung!$B$5,Besatzung!$C$14)&lt;=B102)*(IF(Besatzung!$D$14="",Besatzung!$B$6,Besatzung!$D$14)&gt;=B102)))*((G102-IFERROR(H102,0))/IFERROR(SUMPRODUCT((Besatzung!$B$11:$B$22&lt;&gt;"")*(IF(Besatzung!$C$11:$C$22="",Besatzung!$B$5,Besatzung!$C$11:$C$22)&lt;=B102)*(IF(Besatzung!$D$11:$D$22="",Besatzung!$B$6,Besatzung!$D$11:$D$22)&gt;=B102)),1)+(Besatzung!$F$14="x")*IFERROR(H102,0)/IFERROR(SUMPRODUCT((Besatzung!$B$11:$B$22&lt;&gt;"")*(Besatzung!$F$11:$F$22="x")*(IF(Besatzung!$C$11:$C$22="",Besatzung!$B$5,Besatzung!$C$11:$C$22)&lt;=B102)*(IF(Besatzung!$D$11:$D$22="",Besatzung!$B$6,Besatzung!$D$11:$D$22)&gt;=B102)),1))),IF(I102="Individuell",((M102="x")*((G102-IFERROR(H102,0))/IFERROR(COUNTIF(J102:U102,"x"),1)+(Besatzung!$F$14="x")*IFERROR(H102,0)/IFERROR(SUMPRODUCT((J102:U102="x")*(Besatzung!$F$11:$F$22="x")),1))),(IF(COUNTIF(J102:U102,"x")=0,IF(Besatzung!$B$14&lt;&gt;"",1,0),(M102="x"))*(G102-IFERROR(H102,0))/IFERROR(IF(COUNTIF(J102:U102,"x")=0,COUNTA(Besatzung!$B$11:$B$22),COUNTIF(J102:U102,"x")),1)+IF(COUNTIF(J102:U102,"x")=0,(Besatzung!$F$14="x"),(M102="x")*(Besatzung!$F$14="x"))*IFERROR(H102,0)/IFERROR(IF(COUNTIF(J102:U102,"x")=0,SUMPRODUCT((Besatzung!$B$11:$B$22&lt;&gt;"")*(Besatzung!$F$11:$F$22="x")),SUMPRODUCT((J102:U102="x")*(Besatzung!$F$11:$F$22="x"))),1))))),0))))</f>
        <v/>
      </c>
      <c r="Z102" s="247">
        <f>IF(C102="Gutschrift","",IF(G102="","",IF(Besatzung!$B$13="","",IFERROR(IF(I102="Zeitanteilig",(Besatzung!$G$15*(G102-IFERROR(H102,0))+((Besatzung!$B$13&lt;&gt;"")*IF(B102="",1,(IF(Besatzung!$C$15="",Besatzung!$B$5,Besatzung!$C$15)&lt;=B102)*(IF(Besatzung!$D$15="",Besatzung!$B$6,Besatzung!$D$15)&gt;=B102)))*(Besatzung!$F$15="x")*IFERROR(H102,0)/IFERROR(SUMPRODUCT((Besatzung!$B$11:$B$22&lt;&gt;"")*(Besatzung!$F$11:$F$22="x")*(IF(Besatzung!$C$11:$C$22="",Besatzung!$B$5,Besatzung!$C$11:$C$22)&lt;=B102)*(IF(Besatzung!$D$11:$D$22="",Besatzung!$B$6,Besatzung!$D$11:$D$22)&gt;=B102)),1)),IF(I102="An Bord",(((Besatzung!$B$13&lt;&gt;"")*IF(B102="",1,(IF(Besatzung!$C$15="",Besatzung!$B$5,Besatzung!$C$15)&lt;=B102)*(IF(Besatzung!$D$15="",Besatzung!$B$6,Besatzung!$D$15)&gt;=B102)))*((G102-IFERROR(H102,0))/IFERROR(SUMPRODUCT((Besatzung!$B$11:$B$22&lt;&gt;"")*(IF(Besatzung!$C$11:$C$22="",Besatzung!$B$5,Besatzung!$C$11:$C$22)&lt;=B102)*(IF(Besatzung!$D$11:$D$22="",Besatzung!$B$6,Besatzung!$D$11:$D$22)&gt;=B102)),1)+(Besatzung!$F$15="x")*IFERROR(H102,0)/IFERROR(SUMPRODUCT((Besatzung!$B$11:$B$22&lt;&gt;"")*(Besatzung!$F$11:$F$22="x")*(IF(Besatzung!$C$11:$C$22="",Besatzung!$B$5,Besatzung!$C$11:$C$22)&lt;=B102)*(IF(Besatzung!$D$11:$D$22="",Besatzung!$B$6,Besatzung!$D$11:$D$22)&gt;=B102)),1))),IF(I102="Individuell",((N102="x")*((G102-IFERROR(H102,0))/IFERROR(COUNTIF(J102:U102,"x"),1)+(Besatzung!$F$15="x")*IFERROR(H102,0)/IFERROR(SUMPRODUCT((J102:U102="x")*(Besatzung!$F$11:$F$22="x")),1))),(IF(COUNTIF(J102:U102,"x")=0,IF(Besatzung!$B$13&lt;&gt;"",1,0),(N102="x"))*(G102-IFERROR(H102,0))/IFERROR(IF(COUNTIF(J102:U102,"x")=0,COUNTA(Besatzung!$B$11:$B$22),COUNTIF(J102:U102,"x")),1)+IF(COUNTIF(J102:U102,"x")=0,(Besatzung!$F$15="x"),(N102="x")*(Besatzung!$F$15="x"))*IFERROR(H102,0)/IFERROR(IF(COUNTIF(J102:U102,"x")=0,SUMPRODUCT((Besatzung!$B$11:$B$22&lt;&gt;"")*(Besatzung!$F$11:$F$22="x")),SUMPRODUCT((J102:U102="x")*(Besatzung!$F$11:$F$22="x"))),1))))),0))))</f>
        <v/>
      </c>
      <c r="AA102" s="247">
        <f>IF(C102="Gutschrift","",IF(G102="","",IF(Besatzung!$B$15="","",IFERROR(IF(I102="Zeitanteilig",(Besatzung!$G$16*(G102-IFERROR(H102,0))+((Besatzung!$B$15&lt;&gt;"")*IF(B102="",1,(IF(Besatzung!$C$16="",Besatzung!$B$5,Besatzung!$C$16)&lt;=B102)*(IF(Besatzung!$D$16="",Besatzung!$B$6,Besatzung!$D$16)&gt;=B102)))*(Besatzung!$F$16="x")*IFERROR(H102,0)/IFERROR(SUMPRODUCT((Besatzung!$B$11:$B$22&lt;&gt;"")*(Besatzung!$F$11:$F$22="x")*(IF(Besatzung!$C$11:$C$22="",Besatzung!$B$5,Besatzung!$C$11:$C$22)&lt;=B102)*(IF(Besatzung!$D$11:$D$22="",Besatzung!$B$6,Besatzung!$D$11:$D$22)&gt;=B102)),1)),IF(I102="An Bord",(((Besatzung!$B$15&lt;&gt;"")*IF(B102="",1,(IF(Besatzung!$C$16="",Besatzung!$B$5,Besatzung!$C$16)&lt;=B102)*(IF(Besatzung!$D$16="",Besatzung!$B$6,Besatzung!$D$16)&gt;=B102)))*((G102-IFERROR(H102,0))/IFERROR(SUMPRODUCT((Besatzung!$B$11:$B$22&lt;&gt;"")*(IF(Besatzung!$C$11:$C$22="",Besatzung!$B$5,Besatzung!$C$11:$C$22)&lt;=B102)*(IF(Besatzung!$D$11:$D$22="",Besatzung!$B$6,Besatzung!$D$11:$D$22)&gt;=B102)),1)+(Besatzung!$F$16="x")*IFERROR(H102,0)/IFERROR(SUMPRODUCT((Besatzung!$B$11:$B$22&lt;&gt;"")*(Besatzung!$F$11:$F$22="x")*(IF(Besatzung!$C$11:$C$22="",Besatzung!$B$5,Besatzung!$C$11:$C$22)&lt;=B102)*(IF(Besatzung!$D$11:$D$22="",Besatzung!$B$6,Besatzung!$D$11:$D$22)&gt;=B102)),1))),IF(I102="Individuell",((O102="x")*((G102-IFERROR(H102,0))/IFERROR(COUNTIF(J102:U102,"x"),1)+(Besatzung!$F$16="x")*IFERROR(H102,0)/IFERROR(SUMPRODUCT((J102:U102="x")*(Besatzung!$F$11:$F$22="x")),1))),(IF(COUNTIF(J102:U102,"x")=0,IF(Besatzung!$B$15&lt;&gt;"",1,0),(O102="x"))*(G102-IFERROR(H102,0))/IFERROR(IF(COUNTIF(J102:U102,"x")=0,COUNTA(Besatzung!$B$11:$B$22),COUNTIF(J102:U102,"x")),1)+IF(COUNTIF(J102:U102,"x")=0,(Besatzung!$F$16="x"),(O102="x")*(Besatzung!$F$16="x"))*IFERROR(H102,0)/IFERROR(IF(COUNTIF(J102:U102,"x")=0,SUMPRODUCT((Besatzung!$B$11:$B$22&lt;&gt;"")*(Besatzung!$F$11:$F$22="x")),SUMPRODUCT((J102:U102="x")*(Besatzung!$F$11:$F$22="x"))),1))))),0))))</f>
        <v/>
      </c>
      <c r="AB102" s="247">
        <f>IF(C102="Gutschrift","",IF(G102="","",IF(Besatzung!$B$17="","",IFERROR(IF(I102="Zeitanteilig",(Besatzung!$G$17*(G102-IFERROR(H102,0))+((Besatzung!$B$17&lt;&gt;"")*IF(B102="",1,(IF(Besatzung!$C$17="",Besatzung!$B$5,Besatzung!$C$17)&lt;=B102)*(IF(Besatzung!$D$17="",Besatzung!$B$6,Besatzung!$D$17)&gt;=B102)))*(Besatzung!$F$17="x")*IFERROR(H102,0)/IFERROR(SUMPRODUCT((Besatzung!$B$11:$B$22&lt;&gt;"")*(Besatzung!$F$11:$F$22="x")*(IF(Besatzung!$C$11:$C$22="",Besatzung!$B$5,Besatzung!$C$11:$C$22)&lt;=B102)*(IF(Besatzung!$D$11:$D$22="",Besatzung!$B$6,Besatzung!$D$11:$D$22)&gt;=B102)),1)),IF(I102="An Bord",(((Besatzung!$B$17&lt;&gt;"")*IF(B102="",1,(IF(Besatzung!$C$17="",Besatzung!$B$5,Besatzung!$C$17)&lt;=B102)*(IF(Besatzung!$D$17="",Besatzung!$B$6,Besatzung!$D$17)&gt;=B102)))*((G102-IFERROR(H102,0))/IFERROR(SUMPRODUCT((Besatzung!$B$11:$B$22&lt;&gt;"")*(IF(Besatzung!$C$11:$C$22="",Besatzung!$B$5,Besatzung!$C$11:$C$22)&lt;=B102)*(IF(Besatzung!$D$11:$D$22="",Besatzung!$B$6,Besatzung!$D$11:$D$22)&gt;=B102)),1)+(Besatzung!$F$17="x")*IFERROR(H102,0)/IFERROR(SUMPRODUCT((Besatzung!$B$11:$B$22&lt;&gt;"")*(Besatzung!$F$11:$F$22="x")*(IF(Besatzung!$C$11:$C$22="",Besatzung!$B$5,Besatzung!$C$11:$C$22)&lt;=B102)*(IF(Besatzung!$D$11:$D$22="",Besatzung!$B$6,Besatzung!$D$11:$D$22)&gt;=B102)),1))),IF(I102="Individuell",((P102="x")*((G102-IFERROR(H102,0))/IFERROR(COUNTIF(J102:U102,"x"),1)+(Besatzung!$F$17="x")*IFERROR(H102,0)/IFERROR(SUMPRODUCT((J102:U102="x")*(Besatzung!$F$11:$F$22="x")),1))),(IF(COUNTIF(J102:U102,"x")=0,IF(Besatzung!$B$17&lt;&gt;"",1,0),(P102="x"))*(G102-IFERROR(H102,0))/IFERROR(IF(COUNTIF(J102:U102,"x")=0,COUNTA(Besatzung!$B$11:$B$22),COUNTIF(J102:U102,"x")),1)+IF(COUNTIF(J102:U102,"x")=0,(Besatzung!$F$17="x"),(P102="x")*(Besatzung!$F$17="x"))*IFERROR(H102,0)/IFERROR(IF(COUNTIF(J102:U102,"x")=0,SUMPRODUCT((Besatzung!$B$11:$B$22&lt;&gt;"")*(Besatzung!$F$11:$F$22="x")),SUMPRODUCT((J102:U102="x")*(Besatzung!$F$11:$F$22="x"))),1))))),0))))</f>
        <v/>
      </c>
      <c r="AC102" s="247">
        <f>IF(C102="Gutschrift","",IF(G102="","",IF(Besatzung!$B$18="","",IFERROR(IF(I102="Zeitanteilig",(Besatzung!$G$18*(G102-IFERROR(H102,0))+((Besatzung!$B$18&lt;&gt;"")*IF(B102="",1,(IF(Besatzung!$C$18="",Besatzung!$B$5,Besatzung!$C$18)&lt;=B102)*(IF(Besatzung!$D$18="",Besatzung!$B$6,Besatzung!$D$18)&gt;=B102)))*(Besatzung!$F$18="x")*IFERROR(H102,0)/IFERROR(SUMPRODUCT((Besatzung!$B$11:$B$22&lt;&gt;"")*(Besatzung!$F$11:$F$22="x")*(IF(Besatzung!$C$11:$C$22="",Besatzung!$B$5,Besatzung!$C$11:$C$22)&lt;=B102)*(IF(Besatzung!$D$11:$D$22="",Besatzung!$B$6,Besatzung!$D$11:$D$22)&gt;=B102)),1)),IF(I102="An Bord",(((Besatzung!$B$18&lt;&gt;"")*IF(B102="",1,(IF(Besatzung!$C$18="",Besatzung!$B$5,Besatzung!$C$18)&lt;=B102)*(IF(Besatzung!$D$18="",Besatzung!$B$6,Besatzung!$D$18)&gt;=B102)))*((G102-IFERROR(H102,0))/IFERROR(SUMPRODUCT((Besatzung!$B$11:$B$22&lt;&gt;"")*(IF(Besatzung!$C$11:$C$22="",Besatzung!$B$5,Besatzung!$C$11:$C$22)&lt;=B102)*(IF(Besatzung!$D$11:$D$22="",Besatzung!$B$6,Besatzung!$D$11:$D$22)&gt;=B102)),1)+(Besatzung!$F$18="x")*IFERROR(H102,0)/IFERROR(SUMPRODUCT((Besatzung!$B$11:$B$22&lt;&gt;"")*(Besatzung!$F$11:$F$22="x")*(IF(Besatzung!$C$11:$C$22="",Besatzung!$B$5,Besatzung!$C$11:$C$22)&lt;=B102)*(IF(Besatzung!$D$11:$D$22="",Besatzung!$B$6,Besatzung!$D$11:$D$22)&gt;=B102)),1))),IF(I102="Individuell",((Q102="x")*((G102-IFERROR(H102,0))/IFERROR(COUNTIF(J102:U102,"x"),1)+(Besatzung!$F$18="x")*IFERROR(H102,0)/IFERROR(SUMPRODUCT((J102:U102="x")*(Besatzung!$F$11:$F$22="x")),1))),(IF(COUNTIF(J102:U102,"x")=0,IF(Besatzung!$B$18&lt;&gt;"",1,0),(Q102="x"))*(G102-IFERROR(H102,0))/IFERROR(IF(COUNTIF(J102:U102,"x")=0,COUNTA(Besatzung!$B$11:$B$22),COUNTIF(J102:U102,"x")),1)+IF(COUNTIF(J102:U102,"x")=0,(Besatzung!$F$18="x"),(Q102="x")*(Besatzung!$F$18="x"))*IFERROR(H102,0)/IFERROR(IF(COUNTIF(J102:U102,"x")=0,SUMPRODUCT((Besatzung!$B$11:$B$22&lt;&gt;"")*(Besatzung!$F$11:$F$22="x")),SUMPRODUCT((J102:U102="x")*(Besatzung!$F$11:$F$22="x"))),1))))),0))))</f>
        <v/>
      </c>
      <c r="AD102" s="247">
        <f>IF(C102="Gutschrift","",IF(G102="","",IF(Besatzung!$B$19="","",IFERROR(IF(I102="Zeitanteilig",(Besatzung!$G$19*(G102-IFERROR(H102,0))+((Besatzung!$B$19&lt;&gt;"")*IF(B102="",1,(IF(Besatzung!$C$19="",Besatzung!$B$5,Besatzung!$C$19)&lt;=B102)*(IF(Besatzung!$D$19="",Besatzung!$B$6,Besatzung!$D$19)&gt;=B102)))*(Besatzung!$F$19="x")*IFERROR(H102,0)/IFERROR(SUMPRODUCT((Besatzung!$B$11:$B$22&lt;&gt;"")*(Besatzung!$F$11:$F$22="x")*(IF(Besatzung!$C$11:$C$22="",Besatzung!$B$5,Besatzung!$C$11:$C$22)&lt;=B102)*(IF(Besatzung!$D$11:$D$22="",Besatzung!$B$6,Besatzung!$D$11:$D$22)&gt;=B102)),1)),IF(I102="An Bord",(((Besatzung!$B$19&lt;&gt;"")*IF(B102="",1,(IF(Besatzung!$C$19="",Besatzung!$B$5,Besatzung!$C$19)&lt;=B102)*(IF(Besatzung!$D$19="",Besatzung!$B$6,Besatzung!$D$19)&gt;=B102)))*((G102-IFERROR(H102,0))/IFERROR(SUMPRODUCT((Besatzung!$B$11:$B$22&lt;&gt;"")*(IF(Besatzung!$C$11:$C$22="",Besatzung!$B$5,Besatzung!$C$11:$C$22)&lt;=B102)*(IF(Besatzung!$D$11:$D$22="",Besatzung!$B$6,Besatzung!$D$11:$D$22)&gt;=B102)),1)+(Besatzung!$F$19="x")*IFERROR(H102,0)/IFERROR(SUMPRODUCT((Besatzung!$B$11:$B$22&lt;&gt;"")*(Besatzung!$F$11:$F$22="x")*(IF(Besatzung!$C$11:$C$22="",Besatzung!$B$5,Besatzung!$C$11:$C$22)&lt;=B102)*(IF(Besatzung!$D$11:$D$22="",Besatzung!$B$6,Besatzung!$D$11:$D$22)&gt;=B102)),1))),IF(I102="Individuell",((R102="x")*((G102-IFERROR(H102,0))/IFERROR(COUNTIF(J102:U102,"x"),1)+(Besatzung!$F$19="x")*IFERROR(H102,0)/IFERROR(SUMPRODUCT((J102:U102="x")*(Besatzung!$F$11:$F$22="x")),1))),(IF(COUNTIF(J102:U102,"x")=0,IF(Besatzung!$B$19&lt;&gt;"",1,0),(R102="x"))*(G102-IFERROR(H102,0))/IFERROR(IF(COUNTIF(J102:U102,"x")=0,COUNTA(Besatzung!$B$11:$B$22),COUNTIF(J102:U102,"x")),1)+IF(COUNTIF(J102:U102,"x")=0,(Besatzung!$F$19="x"),(R102="x")*(Besatzung!$F$19="x"))*IFERROR(H102,0)/IFERROR(IF(COUNTIF(J102:U102,"x")=0,SUMPRODUCT((Besatzung!$B$11:$B$22&lt;&gt;"")*(Besatzung!$F$11:$F$22="x")),SUMPRODUCT((J102:U102="x")*(Besatzung!$F$11:$F$22="x"))),1))))),0))))</f>
        <v/>
      </c>
      <c r="AE102" s="247">
        <f>IF(C102="Gutschrift","",IF(G102="","",IF(Besatzung!$B$20="","",IFERROR(IF(I102="Zeitanteilig",(Besatzung!$G$20*(G102-IFERROR(H102,0))+((Besatzung!$B$20&lt;&gt;"")*IF(B102="",1,(IF(Besatzung!$C$20="",Besatzung!$B$5,Besatzung!$C$20)&lt;=B102)*(IF(Besatzung!$D$20="",Besatzung!$B$6,Besatzung!$D$20)&gt;=B102)))*(Besatzung!$F$20="x")*IFERROR(H102,0)/IFERROR(SUMPRODUCT((Besatzung!$B$11:$B$22&lt;&gt;"")*(Besatzung!$F$11:$F$22="x")*(IF(Besatzung!$C$11:$C$22="",Besatzung!$B$5,Besatzung!$C$11:$C$22)&lt;=B102)*(IF(Besatzung!$D$11:$D$22="",Besatzung!$B$6,Besatzung!$D$11:$D$22)&gt;=B102)),1)),IF(I102="An Bord",(((Besatzung!$B$20&lt;&gt;"")*IF(B102="",1,(IF(Besatzung!$C$20="",Besatzung!$B$5,Besatzung!$C$20)&lt;=B102)*(IF(Besatzung!$D$20="",Besatzung!$B$6,Besatzung!$D$20)&gt;=B102)))*((G102-IFERROR(H102,0))/IFERROR(SUMPRODUCT((Besatzung!$B$11:$B$22&lt;&gt;"")*(IF(Besatzung!$C$11:$C$22="",Besatzung!$B$5,Besatzung!$C$11:$C$22)&lt;=B102)*(IF(Besatzung!$D$11:$D$22="",Besatzung!$B$6,Besatzung!$D$11:$D$22)&gt;=B102)),1)+(Besatzung!$F$20="x")*IFERROR(H102,0)/IFERROR(SUMPRODUCT((Besatzung!$B$11:$B$22&lt;&gt;"")*(Besatzung!$F$11:$F$22="x")*(IF(Besatzung!$C$11:$C$22="",Besatzung!$B$5,Besatzung!$C$11:$C$22)&lt;=B102)*(IF(Besatzung!$D$11:$D$22="",Besatzung!$B$6,Besatzung!$D$11:$D$22)&gt;=B102)),1))),IF(I102="Individuell",((S102="x")*((G102-IFERROR(H102,0))/IFERROR(COUNTIF(J102:U102,"x"),1)+(Besatzung!$F$20="x")*IFERROR(H102,0)/IFERROR(SUMPRODUCT((J102:U102="x")*(Besatzung!$F$11:$F$22="x")),1))),(IF(COUNTIF(J102:U102,"x")=0,IF(Besatzung!$B$20&lt;&gt;"",1,0),(S102="x"))*(G102-IFERROR(H102,0))/IFERROR(IF(COUNTIF(J102:U102,"x")=0,COUNTA(Besatzung!$B$11:$B$22),COUNTIF(J102:U102,"x")),1)+IF(COUNTIF(J102:U102,"x")=0,(Besatzung!$F$20="x"),(S102="x")*(Besatzung!$F$20="x"))*IFERROR(H102,0)/IFERROR(IF(COUNTIF(J102:U102,"x")=0,SUMPRODUCT((Besatzung!$B$11:$B$22&lt;&gt;"")*(Besatzung!$F$11:$F$22="x")),SUMPRODUCT((J102:U102="x")*(Besatzung!$F$11:$F$22="x"))),1))))),0))))</f>
        <v/>
      </c>
      <c r="AF102" s="247">
        <f>IF(C102="Gutschrift","",IF(G102="","",IF(Besatzung!$B$21="","",IFERROR(IF(I102="Zeitanteilig",(Besatzung!$G$21*(G102-IFERROR(H102,0))+((Besatzung!$B$21&lt;&gt;"")*IF(B102="",1,(IF(Besatzung!$C$21="",Besatzung!$B$5,Besatzung!$C$21)&lt;=B102)*(IF(Besatzung!$D$21="",Besatzung!$B$6,Besatzung!$D$21)&gt;=B102)))*(Besatzung!$F$21="x")*IFERROR(H102,0)/IFERROR(SUMPRODUCT((Besatzung!$B$11:$B$22&lt;&gt;"")*(Besatzung!$F$11:$F$22="x")*(IF(Besatzung!$C$11:$C$22="",Besatzung!$B$5,Besatzung!$C$11:$C$22)&lt;=B102)*(IF(Besatzung!$D$11:$D$22="",Besatzung!$B$6,Besatzung!$D$11:$D$22)&gt;=B102)),1)),IF(I102="An Bord",(((Besatzung!$B$21&lt;&gt;"")*IF(B102="",1,(IF(Besatzung!$C$21="",Besatzung!$B$5,Besatzung!$C$21)&lt;=B102)*(IF(Besatzung!$D$21="",Besatzung!$B$6,Besatzung!$D$21)&gt;=B102)))*((G102-IFERROR(H102,0))/IFERROR(SUMPRODUCT((Besatzung!$B$11:$B$22&lt;&gt;"")*(IF(Besatzung!$C$11:$C$22="",Besatzung!$B$5,Besatzung!$C$11:$C$22)&lt;=B102)*(IF(Besatzung!$D$11:$D$22="",Besatzung!$B$6,Besatzung!$D$11:$D$22)&gt;=B102)),1)+(Besatzung!$F$21="x")*IFERROR(H102,0)/IFERROR(SUMPRODUCT((Besatzung!$B$11:$B$22&lt;&gt;"")*(Besatzung!$F$11:$F$22="x")*(IF(Besatzung!$C$11:$C$22="",Besatzung!$B$5,Besatzung!$C$11:$C$22)&lt;=B102)*(IF(Besatzung!$D$11:$D$22="",Besatzung!$B$6,Besatzung!$D$11:$D$22)&gt;=B102)),1))),IF(I102="Individuell",((T102="x")*((G102-IFERROR(H102,0))/IFERROR(COUNTIF(J102:U102,"x"),1)+(Besatzung!$F$21="x")*IFERROR(H102,0)/IFERROR(SUMPRODUCT((J102:U102="x")*(Besatzung!$F$11:$F$22="x")),1))),(IF(COUNTIF(J102:U102,"x")=0,IF(Besatzung!$B$21&lt;&gt;"",1,0),(T102="x"))*(G102-IFERROR(H102,0))/IFERROR(IF(COUNTIF(J102:U102,"x")=0,COUNTA(Besatzung!$B$11:$B$22),COUNTIF(J102:U102,"x")),1)+IF(COUNTIF(J102:U102,"x")=0,(Besatzung!$F$21="x"),(T102="x")*(Besatzung!$F$21="x"))*IFERROR(H102,0)/IFERROR(IF(COUNTIF(J102:U102,"x")=0,SUMPRODUCT((Besatzung!$B$11:$B$22&lt;&gt;"")*(Besatzung!$F$11:$F$22="x")),SUMPRODUCT((J102:U102="x")*(Besatzung!$F$11:$F$22="x"))),1))))),0))))</f>
        <v/>
      </c>
      <c r="AG102" s="247">
        <f>IF(C102="Gutschrift","",IF(G102="","",IF(Besatzung!$B$22="","",IFERROR(IF(I102="Zeitanteilig",(Besatzung!$G$22*(G102-IFERROR(H102,0))+((Besatzung!$B$22&lt;&gt;"")*IF(B102="",1,(IF(Besatzung!$C$22="",Besatzung!$B$5,Besatzung!$C$22)&lt;=B102)*(IF(Besatzung!$D$22="",Besatzung!$B$6,Besatzung!$D$22)&gt;=B102)))*(Besatzung!$F$22="x")*IFERROR(H102,0)/IFERROR(SUMPRODUCT((Besatzung!$B$11:$B$22&lt;&gt;"")*(Besatzung!$F$11:$F$22="x")*(IF(Besatzung!$C$11:$C$22="",Besatzung!$B$5,Besatzung!$C$11:$C$22)&lt;=B102)*(IF(Besatzung!$D$11:$D$22="",Besatzung!$B$6,Besatzung!$D$11:$D$22)&gt;=B102)),1)),IF(I102="An Bord",(((Besatzung!$B$22&lt;&gt;"")*IF(B102="",1,(IF(Besatzung!$C$22="",Besatzung!$B$5,Besatzung!$C$22)&lt;=B102)*(IF(Besatzung!$D$22="",Besatzung!$B$6,Besatzung!$D$22)&gt;=B102)))*((G102-IFERROR(H102,0))/IFERROR(SUMPRODUCT((Besatzung!$B$11:$B$22&lt;&gt;"")*(IF(Besatzung!$C$11:$C$22="",Besatzung!$B$5,Besatzung!$C$11:$C$22)&lt;=B102)*(IF(Besatzung!$D$11:$D$22="",Besatzung!$B$6,Besatzung!$D$11:$D$22)&gt;=B102)),1)+(Besatzung!$F$22="x")*IFERROR(H102,0)/IFERROR(SUMPRODUCT((Besatzung!$B$11:$B$22&lt;&gt;"")*(Besatzung!$F$11:$F$22="x")*(IF(Besatzung!$C$11:$C$22="",Besatzung!$B$5,Besatzung!$C$11:$C$22)&lt;=B102)*(IF(Besatzung!$D$11:$D$22="",Besatzung!$B$6,Besatzung!$D$11:$D$22)&gt;=B102)),1))),IF(I102="Individuell",((U102="x")*((G102-IFERROR(H102,0))/IFERROR(COUNTIF(J102:U102,"x"),1)+(Besatzung!$F$22="x")*IFERROR(H102,0)/IFERROR(SUMPRODUCT((J102:U102="x")*(Besatzung!$F$11:$F$22="x")),1))),(IF(COUNTIF(J102:U102,"x")=0,IF(Besatzung!$B$22&lt;&gt;"",1,0),(U102="x"))*(G102-IFERROR(H102,0))/IFERROR(IF(COUNTIF(J102:U102,"x")=0,COUNTA(Besatzung!$B$11:$B$22),COUNTIF(J102:U102,"x")),1)+IF(COUNTIF(J102:U102,"x")=0,(Besatzung!$F$22="x"),(U102="x")*(Besatzung!$F$22="x"))*IFERROR(H102,0)/IFERROR(IF(COUNTIF(J102:U102,"x")=0,SUMPRODUCT((Besatzung!$B$11:$B$22&lt;&gt;"")*(Besatzung!$F$11:$F$22="x")),SUMPRODUCT((J102:U102="x")*(Besatzung!$F$11:$F$22="x"))),1))))),0))))</f>
        <v/>
      </c>
      <c r="AH102" s="248" t="n"/>
      <c r="AI102" s="248" t="n"/>
    </row>
    <row r="103" ht="21.75" customHeight="1" s="154">
      <c r="A103" s="238">
        <f>IF(AND(D103="",C103=""),"",100)</f>
        <v/>
      </c>
      <c r="B103" s="206" t="n"/>
      <c r="C103" s="249" t="n"/>
      <c r="D103" s="250" t="n"/>
      <c r="E103" s="251" t="n"/>
      <c r="F103" s="252" t="n"/>
      <c r="G103" s="253" t="n"/>
      <c r="H103" s="254" t="n"/>
      <c r="I103" s="255" t="n"/>
      <c r="J103" s="256" t="n"/>
      <c r="K103" s="256" t="n"/>
      <c r="L103" s="256" t="n"/>
      <c r="M103" s="256" t="n"/>
      <c r="N103" s="256" t="n"/>
      <c r="O103" s="256" t="n"/>
      <c r="P103" s="256" t="n"/>
      <c r="Q103" s="256" t="n"/>
      <c r="R103" s="256" t="n"/>
      <c r="S103" s="256" t="n"/>
      <c r="T103" s="256" t="n"/>
      <c r="U103" s="256" t="n"/>
      <c r="V103" s="247">
        <f>IF(C103="Gutschrift","",IF(G103="","",IF(Besatzung!$B$11="","",IFERROR(IF(I103="Zeitanteilig",(Besatzung!$G$11*(G103-IFERROR(H103,0))+((Besatzung!$B$11&lt;&gt;"")*IF(B103="",1,(IF(Besatzung!$C$11="",Besatzung!$B$5,Besatzung!$C$11)&lt;=B103)*(IF(Besatzung!$D$11="",Besatzung!$B$6,Besatzung!$D$11)&gt;=B103)))*(Besatzung!$F$11="x")*IFERROR(H103,0)/IFERROR(SUMPRODUCT((Besatzung!$B$11:$B$22&lt;&gt;"")*(Besatzung!$F$11:$F$22="x")*(IF(Besatzung!$C$11:$C$22="",Besatzung!$B$5,Besatzung!$C$11:$C$22)&lt;=B103)*(IF(Besatzung!$D$11:$D$22="",Besatzung!$B$6,Besatzung!$D$11:$D$22)&gt;=B103)),1)),IF(I103="An Bord",(((Besatzung!$B$11&lt;&gt;"")*IF(B103="",1,(IF(Besatzung!$C$11="",Besatzung!$B$5,Besatzung!$C$11)&lt;=B103)*(IF(Besatzung!$D$11="",Besatzung!$B$6,Besatzung!$D$11)&gt;=B103)))*((G103-IFERROR(H103,0))/IFERROR(SUMPRODUCT((Besatzung!$B$11:$B$22&lt;&gt;"")*(IF(Besatzung!$C$11:$C$22="",Besatzung!$B$5,Besatzung!$C$11:$C$22)&lt;=B103)*(IF(Besatzung!$D$11:$D$22="",Besatzung!$B$6,Besatzung!$D$11:$D$22)&gt;=B103)),1)+(Besatzung!$F$11="x")*IFERROR(H103,0)/IFERROR(SUMPRODUCT((Besatzung!$B$11:$B$22&lt;&gt;"")*(Besatzung!$F$11:$F$22="x")*(IF(Besatzung!$C$11:$C$22="",Besatzung!$B$5,Besatzung!$C$11:$C$22)&lt;=B103)*(IF(Besatzung!$D$11:$D$22="",Besatzung!$B$6,Besatzung!$D$11:$D$22)&gt;=B103)),1))),IF(I103="Individuell",((J103="x")*((G103-IFERROR(H103,0))/IFERROR(COUNTIF(J103:U103,"x"),1)+(Besatzung!$F$11="x")*IFERROR(H103,0)/IFERROR(SUMPRODUCT((J103:U103="x")*(Besatzung!$F$11:$F$22="x")),1))),(IF(COUNTIF(J103:U103,"x")=0,IF(Besatzung!$B$11&lt;&gt;"",1,0),(J103="x"))*(G103-IFERROR(H103,0))/IFERROR(IF(COUNTIF(J103:U103,"x")=0,COUNTA(Besatzung!$B$11:$B$22),COUNTIF(J103:U103,"x")),1)+IF(COUNTIF(J103:U103,"x")=0,(Besatzung!$F$11="x"),(J103="x")*(Besatzung!$F$11="x"))*IFERROR(H103,0)/IFERROR(IF(COUNTIF(J103:U103,"x")=0,SUMPRODUCT((Besatzung!$B$11:$B$22&lt;&gt;"")*(Besatzung!$F$11:$F$22="x")),SUMPRODUCT((J103:U103="x")*(Besatzung!$F$11:$F$22="x"))),1))))),0))))</f>
        <v/>
      </c>
      <c r="W103" s="247">
        <f>IF(C103="Gutschrift","",IF(G103="","",IF(Besatzung!$B$12="","",IFERROR(IF(I103="Zeitanteilig",(Besatzung!$G$12*(G103-IFERROR(H103,0))+((Besatzung!$B$12&lt;&gt;"")*IF(B103="",1,(IF(Besatzung!$C$12="",Besatzung!$B$5,Besatzung!$C$12)&lt;=B103)*(IF(Besatzung!$D$12="",Besatzung!$B$6,Besatzung!$D$12)&gt;=B103)))*(Besatzung!$F$12="x")*IFERROR(H103,0)/IFERROR(SUMPRODUCT((Besatzung!$B$11:$B$22&lt;&gt;"")*(Besatzung!$F$11:$F$22="x")*(IF(Besatzung!$C$11:$C$22="",Besatzung!$B$5,Besatzung!$C$11:$C$22)&lt;=B103)*(IF(Besatzung!$D$11:$D$22="",Besatzung!$B$6,Besatzung!$D$11:$D$22)&gt;=B103)),1)),IF(I103="An Bord",(((Besatzung!$B$12&lt;&gt;"")*IF(B103="",1,(IF(Besatzung!$C$12="",Besatzung!$B$5,Besatzung!$C$12)&lt;=B103)*(IF(Besatzung!$D$12="",Besatzung!$B$6,Besatzung!$D$12)&gt;=B103)))*((G103-IFERROR(H103,0))/IFERROR(SUMPRODUCT((Besatzung!$B$11:$B$22&lt;&gt;"")*(IF(Besatzung!$C$11:$C$22="",Besatzung!$B$5,Besatzung!$C$11:$C$22)&lt;=B103)*(IF(Besatzung!$D$11:$D$22="",Besatzung!$B$6,Besatzung!$D$11:$D$22)&gt;=B103)),1)+(Besatzung!$F$12="x")*IFERROR(H103,0)/IFERROR(SUMPRODUCT((Besatzung!$B$11:$B$22&lt;&gt;"")*(Besatzung!$F$11:$F$22="x")*(IF(Besatzung!$C$11:$C$22="",Besatzung!$B$5,Besatzung!$C$11:$C$22)&lt;=B103)*(IF(Besatzung!$D$11:$D$22="",Besatzung!$B$6,Besatzung!$D$11:$D$22)&gt;=B103)),1))),IF(I103="Individuell",((K103="x")*((G103-IFERROR(H103,0))/IFERROR(COUNTIF(J103:U103,"x"),1)+(Besatzung!$F$12="x")*IFERROR(H103,0)/IFERROR(SUMPRODUCT((J103:U103="x")*(Besatzung!$F$11:$F$22="x")),1))),(IF(COUNTIF(J103:U103,"x")=0,IF(Besatzung!$B$12&lt;&gt;"",1,0),(K103="x"))*(G103-IFERROR(H103,0))/IFERROR(IF(COUNTIF(J103:U103,"x")=0,COUNTA(Besatzung!$B$11:$B$22),COUNTIF(J103:U103,"x")),1)+IF(COUNTIF(J103:U103,"x")=0,(Besatzung!$F$12="x"),(K103="x")*(Besatzung!$F$12="x"))*IFERROR(H103,0)/IFERROR(IF(COUNTIF(J103:U103,"x")=0,SUMPRODUCT((Besatzung!$B$11:$B$22&lt;&gt;"")*(Besatzung!$F$11:$F$22="x")),SUMPRODUCT((J103:U103="x")*(Besatzung!$F$11:$F$22="x"))),1))))),0))))</f>
        <v/>
      </c>
      <c r="X103" s="247">
        <f>IF(C103="Gutschrift","",IF(G103="","",IF(Besatzung!$B$13="","",IFERROR(IF(I103="Zeitanteilig",(Besatzung!$G$13*(G103-IFERROR(H103,0))+((Besatzung!$B$13&lt;&gt;"")*IF(B103="",1,(IF(Besatzung!$C$13="",Besatzung!$B$5,Besatzung!$C$13)&lt;=B103)*(IF(Besatzung!$D$13="",Besatzung!$B$6,Besatzung!$D$13)&gt;=B103)))*(Besatzung!$F$13="x")*IFERROR(H103,0)/IFERROR(SUMPRODUCT((Besatzung!$B$11:$B$22&lt;&gt;"")*(Besatzung!$F$11:$F$22="x")*(IF(Besatzung!$C$11:$C$22="",Besatzung!$B$5,Besatzung!$C$11:$C$22)&lt;=B103)*(IF(Besatzung!$D$11:$D$22="",Besatzung!$B$6,Besatzung!$D$11:$D$22)&gt;=B103)),1)),IF(I103="An Bord",(((Besatzung!$B$13&lt;&gt;"")*IF(B103="",1,(IF(Besatzung!$C$13="",Besatzung!$B$5,Besatzung!$C$13)&lt;=B103)*(IF(Besatzung!$D$13="",Besatzung!$B$6,Besatzung!$D$13)&gt;=B103)))*((G103-IFERROR(H103,0))/IFERROR(SUMPRODUCT((Besatzung!$B$11:$B$22&lt;&gt;"")*(IF(Besatzung!$C$11:$C$22="",Besatzung!$B$5,Besatzung!$C$11:$C$22)&lt;=B103)*(IF(Besatzung!$D$11:$D$22="",Besatzung!$B$6,Besatzung!$D$11:$D$22)&gt;=B103)),1)+(Besatzung!$F$13="x")*IFERROR(H103,0)/IFERROR(SUMPRODUCT((Besatzung!$B$11:$B$22&lt;&gt;"")*(Besatzung!$F$11:$F$22="x")*(IF(Besatzung!$C$11:$C$22="",Besatzung!$B$5,Besatzung!$C$11:$C$22)&lt;=B103)*(IF(Besatzung!$D$11:$D$22="",Besatzung!$B$6,Besatzung!$D$11:$D$22)&gt;=B103)),1))),IF(I103="Individuell",((K103="x")*((G103-IFERROR(H103,0))/IFERROR(COUNTIF(J103:U103,"x"),1)+(Besatzung!$F$13="x")*IFERROR(H103,0)/IFERROR(SUMPRODUCT((J103:U103="x")*(Besatzung!$F$11:$F$22="x")),1))),(IF(COUNTIF(J103:U103,"x")=0,IF(Besatzung!$B$13&lt;&gt;"",1,0),(K103="x"))*(G103-IFERROR(H103,0))/IFERROR(IF(COUNTIF(J103:U103,"x")=0,COUNTA(Besatzung!$B$11:$B$22),COUNTIF(J103:U103,"x")),1)+IF(COUNTIF(J103:U103,"x")=0,(Besatzung!$F$13="x"),(K103="x")*(Besatzung!$F$13="x"))*IFERROR(H103,0)/IFERROR(IF(COUNTIF(J103:U103,"x")=0,SUMPRODUCT((Besatzung!$B$11:$B$22&lt;&gt;"")*(Besatzung!$F$11:$F$22="x")),SUMPRODUCT((J103:U103="x")*(Besatzung!$F$11:$F$22="x"))),1))))),0))))</f>
        <v/>
      </c>
      <c r="Y103" s="247">
        <f>IF(C103="Gutschrift","",IF(G103="","",IF(Besatzung!$B$14="","",IFERROR(IF(I103="Zeitanteilig",(Besatzung!$G$14*(G103-IFERROR(H103,0))+((Besatzung!$B$14&lt;&gt;"")*IF(B103="",1,(IF(Besatzung!$C$14="",Besatzung!$B$5,Besatzung!$C$14)&lt;=B103)*(IF(Besatzung!$D$14="",Besatzung!$B$6,Besatzung!$D$14)&gt;=B103)))*(Besatzung!$F$14="x")*IFERROR(H103,0)/IFERROR(SUMPRODUCT((Besatzung!$B$11:$B$22&lt;&gt;"")*(Besatzung!$F$11:$F$22="x")*(IF(Besatzung!$C$11:$C$22="",Besatzung!$B$5,Besatzung!$C$11:$C$22)&lt;=B103)*(IF(Besatzung!$D$11:$D$22="",Besatzung!$B$6,Besatzung!$D$11:$D$22)&gt;=B103)),1)),IF(I103="An Bord",(((Besatzung!$B$14&lt;&gt;"")*IF(B103="",1,(IF(Besatzung!$C$14="",Besatzung!$B$5,Besatzung!$C$14)&lt;=B103)*(IF(Besatzung!$D$14="",Besatzung!$B$6,Besatzung!$D$14)&gt;=B103)))*((G103-IFERROR(H103,0))/IFERROR(SUMPRODUCT((Besatzung!$B$11:$B$22&lt;&gt;"")*(IF(Besatzung!$C$11:$C$22="",Besatzung!$B$5,Besatzung!$C$11:$C$22)&lt;=B103)*(IF(Besatzung!$D$11:$D$22="",Besatzung!$B$6,Besatzung!$D$11:$D$22)&gt;=B103)),1)+(Besatzung!$F$14="x")*IFERROR(H103,0)/IFERROR(SUMPRODUCT((Besatzung!$B$11:$B$22&lt;&gt;"")*(Besatzung!$F$11:$F$22="x")*(IF(Besatzung!$C$11:$C$22="",Besatzung!$B$5,Besatzung!$C$11:$C$22)&lt;=B103)*(IF(Besatzung!$D$11:$D$22="",Besatzung!$B$6,Besatzung!$D$11:$D$22)&gt;=B103)),1))),IF(I103="Individuell",((M103="x")*((G103-IFERROR(H103,0))/IFERROR(COUNTIF(J103:U103,"x"),1)+(Besatzung!$F$14="x")*IFERROR(H103,0)/IFERROR(SUMPRODUCT((J103:U103="x")*(Besatzung!$F$11:$F$22="x")),1))),(IF(COUNTIF(J103:U103,"x")=0,IF(Besatzung!$B$14&lt;&gt;"",1,0),(M103="x"))*(G103-IFERROR(H103,0))/IFERROR(IF(COUNTIF(J103:U103,"x")=0,COUNTA(Besatzung!$B$11:$B$22),COUNTIF(J103:U103,"x")),1)+IF(COUNTIF(J103:U103,"x")=0,(Besatzung!$F$14="x"),(M103="x")*(Besatzung!$F$14="x"))*IFERROR(H103,0)/IFERROR(IF(COUNTIF(J103:U103,"x")=0,SUMPRODUCT((Besatzung!$B$11:$B$22&lt;&gt;"")*(Besatzung!$F$11:$F$22="x")),SUMPRODUCT((J103:U103="x")*(Besatzung!$F$11:$F$22="x"))),1))))),0))))</f>
        <v/>
      </c>
      <c r="Z103" s="247">
        <f>IF(C103="Gutschrift","",IF(G103="","",IF(Besatzung!$B$13="","",IFERROR(IF(I103="Zeitanteilig",(Besatzung!$G$15*(G103-IFERROR(H103,0))+((Besatzung!$B$13&lt;&gt;"")*IF(B103="",1,(IF(Besatzung!$C$15="",Besatzung!$B$5,Besatzung!$C$15)&lt;=B103)*(IF(Besatzung!$D$15="",Besatzung!$B$6,Besatzung!$D$15)&gt;=B103)))*(Besatzung!$F$15="x")*IFERROR(H103,0)/IFERROR(SUMPRODUCT((Besatzung!$B$11:$B$22&lt;&gt;"")*(Besatzung!$F$11:$F$22="x")*(IF(Besatzung!$C$11:$C$22="",Besatzung!$B$5,Besatzung!$C$11:$C$22)&lt;=B103)*(IF(Besatzung!$D$11:$D$22="",Besatzung!$B$6,Besatzung!$D$11:$D$22)&gt;=B103)),1)),IF(I103="An Bord",(((Besatzung!$B$13&lt;&gt;"")*IF(B103="",1,(IF(Besatzung!$C$15="",Besatzung!$B$5,Besatzung!$C$15)&lt;=B103)*(IF(Besatzung!$D$15="",Besatzung!$B$6,Besatzung!$D$15)&gt;=B103)))*((G103-IFERROR(H103,0))/IFERROR(SUMPRODUCT((Besatzung!$B$11:$B$22&lt;&gt;"")*(IF(Besatzung!$C$11:$C$22="",Besatzung!$B$5,Besatzung!$C$11:$C$22)&lt;=B103)*(IF(Besatzung!$D$11:$D$22="",Besatzung!$B$6,Besatzung!$D$11:$D$22)&gt;=B103)),1)+(Besatzung!$F$15="x")*IFERROR(H103,0)/IFERROR(SUMPRODUCT((Besatzung!$B$11:$B$22&lt;&gt;"")*(Besatzung!$F$11:$F$22="x")*(IF(Besatzung!$C$11:$C$22="",Besatzung!$B$5,Besatzung!$C$11:$C$22)&lt;=B103)*(IF(Besatzung!$D$11:$D$22="",Besatzung!$B$6,Besatzung!$D$11:$D$22)&gt;=B103)),1))),IF(I103="Individuell",((N103="x")*((G103-IFERROR(H103,0))/IFERROR(COUNTIF(J103:U103,"x"),1)+(Besatzung!$F$15="x")*IFERROR(H103,0)/IFERROR(SUMPRODUCT((J103:U103="x")*(Besatzung!$F$11:$F$22="x")),1))),(IF(COUNTIF(J103:U103,"x")=0,IF(Besatzung!$B$13&lt;&gt;"",1,0),(N103="x"))*(G103-IFERROR(H103,0))/IFERROR(IF(COUNTIF(J103:U103,"x")=0,COUNTA(Besatzung!$B$11:$B$22),COUNTIF(J103:U103,"x")),1)+IF(COUNTIF(J103:U103,"x")=0,(Besatzung!$F$15="x"),(N103="x")*(Besatzung!$F$15="x"))*IFERROR(H103,0)/IFERROR(IF(COUNTIF(J103:U103,"x")=0,SUMPRODUCT((Besatzung!$B$11:$B$22&lt;&gt;"")*(Besatzung!$F$11:$F$22="x")),SUMPRODUCT((J103:U103="x")*(Besatzung!$F$11:$F$22="x"))),1))))),0))))</f>
        <v/>
      </c>
      <c r="AA103" s="247">
        <f>IF(C103="Gutschrift","",IF(G103="","",IF(Besatzung!$B$15="","",IFERROR(IF(I103="Zeitanteilig",(Besatzung!$G$16*(G103-IFERROR(H103,0))+((Besatzung!$B$15&lt;&gt;"")*IF(B103="",1,(IF(Besatzung!$C$16="",Besatzung!$B$5,Besatzung!$C$16)&lt;=B103)*(IF(Besatzung!$D$16="",Besatzung!$B$6,Besatzung!$D$16)&gt;=B103)))*(Besatzung!$F$16="x")*IFERROR(H103,0)/IFERROR(SUMPRODUCT((Besatzung!$B$11:$B$22&lt;&gt;"")*(Besatzung!$F$11:$F$22="x")*(IF(Besatzung!$C$11:$C$22="",Besatzung!$B$5,Besatzung!$C$11:$C$22)&lt;=B103)*(IF(Besatzung!$D$11:$D$22="",Besatzung!$B$6,Besatzung!$D$11:$D$22)&gt;=B103)),1)),IF(I103="An Bord",(((Besatzung!$B$15&lt;&gt;"")*IF(B103="",1,(IF(Besatzung!$C$16="",Besatzung!$B$5,Besatzung!$C$16)&lt;=B103)*(IF(Besatzung!$D$16="",Besatzung!$B$6,Besatzung!$D$16)&gt;=B103)))*((G103-IFERROR(H103,0))/IFERROR(SUMPRODUCT((Besatzung!$B$11:$B$22&lt;&gt;"")*(IF(Besatzung!$C$11:$C$22="",Besatzung!$B$5,Besatzung!$C$11:$C$22)&lt;=B103)*(IF(Besatzung!$D$11:$D$22="",Besatzung!$B$6,Besatzung!$D$11:$D$22)&gt;=B103)),1)+(Besatzung!$F$16="x")*IFERROR(H103,0)/IFERROR(SUMPRODUCT((Besatzung!$B$11:$B$22&lt;&gt;"")*(Besatzung!$F$11:$F$22="x")*(IF(Besatzung!$C$11:$C$22="",Besatzung!$B$5,Besatzung!$C$11:$C$22)&lt;=B103)*(IF(Besatzung!$D$11:$D$22="",Besatzung!$B$6,Besatzung!$D$11:$D$22)&gt;=B103)),1))),IF(I103="Individuell",((O103="x")*((G103-IFERROR(H103,0))/IFERROR(COUNTIF(J103:U103,"x"),1)+(Besatzung!$F$16="x")*IFERROR(H103,0)/IFERROR(SUMPRODUCT((J103:U103="x")*(Besatzung!$F$11:$F$22="x")),1))),(IF(COUNTIF(J103:U103,"x")=0,IF(Besatzung!$B$15&lt;&gt;"",1,0),(O103="x"))*(G103-IFERROR(H103,0))/IFERROR(IF(COUNTIF(J103:U103,"x")=0,COUNTA(Besatzung!$B$11:$B$22),COUNTIF(J103:U103,"x")),1)+IF(COUNTIF(J103:U103,"x")=0,(Besatzung!$F$16="x"),(O103="x")*(Besatzung!$F$16="x"))*IFERROR(H103,0)/IFERROR(IF(COUNTIF(J103:U103,"x")=0,SUMPRODUCT((Besatzung!$B$11:$B$22&lt;&gt;"")*(Besatzung!$F$11:$F$22="x")),SUMPRODUCT((J103:U103="x")*(Besatzung!$F$11:$F$22="x"))),1))))),0))))</f>
        <v/>
      </c>
      <c r="AB103" s="247">
        <f>IF(C103="Gutschrift","",IF(G103="","",IF(Besatzung!$B$17="","",IFERROR(IF(I103="Zeitanteilig",(Besatzung!$G$17*(G103-IFERROR(H103,0))+((Besatzung!$B$17&lt;&gt;"")*IF(B103="",1,(IF(Besatzung!$C$17="",Besatzung!$B$5,Besatzung!$C$17)&lt;=B103)*(IF(Besatzung!$D$17="",Besatzung!$B$6,Besatzung!$D$17)&gt;=B103)))*(Besatzung!$F$17="x")*IFERROR(H103,0)/IFERROR(SUMPRODUCT((Besatzung!$B$11:$B$22&lt;&gt;"")*(Besatzung!$F$11:$F$22="x")*(IF(Besatzung!$C$11:$C$22="",Besatzung!$B$5,Besatzung!$C$11:$C$22)&lt;=B103)*(IF(Besatzung!$D$11:$D$22="",Besatzung!$B$6,Besatzung!$D$11:$D$22)&gt;=B103)),1)),IF(I103="An Bord",(((Besatzung!$B$17&lt;&gt;"")*IF(B103="",1,(IF(Besatzung!$C$17="",Besatzung!$B$5,Besatzung!$C$17)&lt;=B103)*(IF(Besatzung!$D$17="",Besatzung!$B$6,Besatzung!$D$17)&gt;=B103)))*((G103-IFERROR(H103,0))/IFERROR(SUMPRODUCT((Besatzung!$B$11:$B$22&lt;&gt;"")*(IF(Besatzung!$C$11:$C$22="",Besatzung!$B$5,Besatzung!$C$11:$C$22)&lt;=B103)*(IF(Besatzung!$D$11:$D$22="",Besatzung!$B$6,Besatzung!$D$11:$D$22)&gt;=B103)),1)+(Besatzung!$F$17="x")*IFERROR(H103,0)/IFERROR(SUMPRODUCT((Besatzung!$B$11:$B$22&lt;&gt;"")*(Besatzung!$F$11:$F$22="x")*(IF(Besatzung!$C$11:$C$22="",Besatzung!$B$5,Besatzung!$C$11:$C$22)&lt;=B103)*(IF(Besatzung!$D$11:$D$22="",Besatzung!$B$6,Besatzung!$D$11:$D$22)&gt;=B103)),1))),IF(I103="Individuell",((P103="x")*((G103-IFERROR(H103,0))/IFERROR(COUNTIF(J103:U103,"x"),1)+(Besatzung!$F$17="x")*IFERROR(H103,0)/IFERROR(SUMPRODUCT((J103:U103="x")*(Besatzung!$F$11:$F$22="x")),1))),(IF(COUNTIF(J103:U103,"x")=0,IF(Besatzung!$B$17&lt;&gt;"",1,0),(P103="x"))*(G103-IFERROR(H103,0))/IFERROR(IF(COUNTIF(J103:U103,"x")=0,COUNTA(Besatzung!$B$11:$B$22),COUNTIF(J103:U103,"x")),1)+IF(COUNTIF(J103:U103,"x")=0,(Besatzung!$F$17="x"),(P103="x")*(Besatzung!$F$17="x"))*IFERROR(H103,0)/IFERROR(IF(COUNTIF(J103:U103,"x")=0,SUMPRODUCT((Besatzung!$B$11:$B$22&lt;&gt;"")*(Besatzung!$F$11:$F$22="x")),SUMPRODUCT((J103:U103="x")*(Besatzung!$F$11:$F$22="x"))),1))))),0))))</f>
        <v/>
      </c>
      <c r="AC103" s="247">
        <f>IF(C103="Gutschrift","",IF(G103="","",IF(Besatzung!$B$18="","",IFERROR(IF(I103="Zeitanteilig",(Besatzung!$G$18*(G103-IFERROR(H103,0))+((Besatzung!$B$18&lt;&gt;"")*IF(B103="",1,(IF(Besatzung!$C$18="",Besatzung!$B$5,Besatzung!$C$18)&lt;=B103)*(IF(Besatzung!$D$18="",Besatzung!$B$6,Besatzung!$D$18)&gt;=B103)))*(Besatzung!$F$18="x")*IFERROR(H103,0)/IFERROR(SUMPRODUCT((Besatzung!$B$11:$B$22&lt;&gt;"")*(Besatzung!$F$11:$F$22="x")*(IF(Besatzung!$C$11:$C$22="",Besatzung!$B$5,Besatzung!$C$11:$C$22)&lt;=B103)*(IF(Besatzung!$D$11:$D$22="",Besatzung!$B$6,Besatzung!$D$11:$D$22)&gt;=B103)),1)),IF(I103="An Bord",(((Besatzung!$B$18&lt;&gt;"")*IF(B103="",1,(IF(Besatzung!$C$18="",Besatzung!$B$5,Besatzung!$C$18)&lt;=B103)*(IF(Besatzung!$D$18="",Besatzung!$B$6,Besatzung!$D$18)&gt;=B103)))*((G103-IFERROR(H103,0))/IFERROR(SUMPRODUCT((Besatzung!$B$11:$B$22&lt;&gt;"")*(IF(Besatzung!$C$11:$C$22="",Besatzung!$B$5,Besatzung!$C$11:$C$22)&lt;=B103)*(IF(Besatzung!$D$11:$D$22="",Besatzung!$B$6,Besatzung!$D$11:$D$22)&gt;=B103)),1)+(Besatzung!$F$18="x")*IFERROR(H103,0)/IFERROR(SUMPRODUCT((Besatzung!$B$11:$B$22&lt;&gt;"")*(Besatzung!$F$11:$F$22="x")*(IF(Besatzung!$C$11:$C$22="",Besatzung!$B$5,Besatzung!$C$11:$C$22)&lt;=B103)*(IF(Besatzung!$D$11:$D$22="",Besatzung!$B$6,Besatzung!$D$11:$D$22)&gt;=B103)),1))),IF(I103="Individuell",((Q103="x")*((G103-IFERROR(H103,0))/IFERROR(COUNTIF(J103:U103,"x"),1)+(Besatzung!$F$18="x")*IFERROR(H103,0)/IFERROR(SUMPRODUCT((J103:U103="x")*(Besatzung!$F$11:$F$22="x")),1))),(IF(COUNTIF(J103:U103,"x")=0,IF(Besatzung!$B$18&lt;&gt;"",1,0),(Q103="x"))*(G103-IFERROR(H103,0))/IFERROR(IF(COUNTIF(J103:U103,"x")=0,COUNTA(Besatzung!$B$11:$B$22),COUNTIF(J103:U103,"x")),1)+IF(COUNTIF(J103:U103,"x")=0,(Besatzung!$F$18="x"),(Q103="x")*(Besatzung!$F$18="x"))*IFERROR(H103,0)/IFERROR(IF(COUNTIF(J103:U103,"x")=0,SUMPRODUCT((Besatzung!$B$11:$B$22&lt;&gt;"")*(Besatzung!$F$11:$F$22="x")),SUMPRODUCT((J103:U103="x")*(Besatzung!$F$11:$F$22="x"))),1))))),0))))</f>
        <v/>
      </c>
      <c r="AD103" s="247">
        <f>IF(C103="Gutschrift","",IF(G103="","",IF(Besatzung!$B$19="","",IFERROR(IF(I103="Zeitanteilig",(Besatzung!$G$19*(G103-IFERROR(H103,0))+((Besatzung!$B$19&lt;&gt;"")*IF(B103="",1,(IF(Besatzung!$C$19="",Besatzung!$B$5,Besatzung!$C$19)&lt;=B103)*(IF(Besatzung!$D$19="",Besatzung!$B$6,Besatzung!$D$19)&gt;=B103)))*(Besatzung!$F$19="x")*IFERROR(H103,0)/IFERROR(SUMPRODUCT((Besatzung!$B$11:$B$22&lt;&gt;"")*(Besatzung!$F$11:$F$22="x")*(IF(Besatzung!$C$11:$C$22="",Besatzung!$B$5,Besatzung!$C$11:$C$22)&lt;=B103)*(IF(Besatzung!$D$11:$D$22="",Besatzung!$B$6,Besatzung!$D$11:$D$22)&gt;=B103)),1)),IF(I103="An Bord",(((Besatzung!$B$19&lt;&gt;"")*IF(B103="",1,(IF(Besatzung!$C$19="",Besatzung!$B$5,Besatzung!$C$19)&lt;=B103)*(IF(Besatzung!$D$19="",Besatzung!$B$6,Besatzung!$D$19)&gt;=B103)))*((G103-IFERROR(H103,0))/IFERROR(SUMPRODUCT((Besatzung!$B$11:$B$22&lt;&gt;"")*(IF(Besatzung!$C$11:$C$22="",Besatzung!$B$5,Besatzung!$C$11:$C$22)&lt;=B103)*(IF(Besatzung!$D$11:$D$22="",Besatzung!$B$6,Besatzung!$D$11:$D$22)&gt;=B103)),1)+(Besatzung!$F$19="x")*IFERROR(H103,0)/IFERROR(SUMPRODUCT((Besatzung!$B$11:$B$22&lt;&gt;"")*(Besatzung!$F$11:$F$22="x")*(IF(Besatzung!$C$11:$C$22="",Besatzung!$B$5,Besatzung!$C$11:$C$22)&lt;=B103)*(IF(Besatzung!$D$11:$D$22="",Besatzung!$B$6,Besatzung!$D$11:$D$22)&gt;=B103)),1))),IF(I103="Individuell",((R103="x")*((G103-IFERROR(H103,0))/IFERROR(COUNTIF(J103:U103,"x"),1)+(Besatzung!$F$19="x")*IFERROR(H103,0)/IFERROR(SUMPRODUCT((J103:U103="x")*(Besatzung!$F$11:$F$22="x")),1))),(IF(COUNTIF(J103:U103,"x")=0,IF(Besatzung!$B$19&lt;&gt;"",1,0),(R103="x"))*(G103-IFERROR(H103,0))/IFERROR(IF(COUNTIF(J103:U103,"x")=0,COUNTA(Besatzung!$B$11:$B$22),COUNTIF(J103:U103,"x")),1)+IF(COUNTIF(J103:U103,"x")=0,(Besatzung!$F$19="x"),(R103="x")*(Besatzung!$F$19="x"))*IFERROR(H103,0)/IFERROR(IF(COUNTIF(J103:U103,"x")=0,SUMPRODUCT((Besatzung!$B$11:$B$22&lt;&gt;"")*(Besatzung!$F$11:$F$22="x")),SUMPRODUCT((J103:U103="x")*(Besatzung!$F$11:$F$22="x"))),1))))),0))))</f>
        <v/>
      </c>
      <c r="AE103" s="247">
        <f>IF(C103="Gutschrift","",IF(G103="","",IF(Besatzung!$B$20="","",IFERROR(IF(I103="Zeitanteilig",(Besatzung!$G$20*(G103-IFERROR(H103,0))+((Besatzung!$B$20&lt;&gt;"")*IF(B103="",1,(IF(Besatzung!$C$20="",Besatzung!$B$5,Besatzung!$C$20)&lt;=B103)*(IF(Besatzung!$D$20="",Besatzung!$B$6,Besatzung!$D$20)&gt;=B103)))*(Besatzung!$F$20="x")*IFERROR(H103,0)/IFERROR(SUMPRODUCT((Besatzung!$B$11:$B$22&lt;&gt;"")*(Besatzung!$F$11:$F$22="x")*(IF(Besatzung!$C$11:$C$22="",Besatzung!$B$5,Besatzung!$C$11:$C$22)&lt;=B103)*(IF(Besatzung!$D$11:$D$22="",Besatzung!$B$6,Besatzung!$D$11:$D$22)&gt;=B103)),1)),IF(I103="An Bord",(((Besatzung!$B$20&lt;&gt;"")*IF(B103="",1,(IF(Besatzung!$C$20="",Besatzung!$B$5,Besatzung!$C$20)&lt;=B103)*(IF(Besatzung!$D$20="",Besatzung!$B$6,Besatzung!$D$20)&gt;=B103)))*((G103-IFERROR(H103,0))/IFERROR(SUMPRODUCT((Besatzung!$B$11:$B$22&lt;&gt;"")*(IF(Besatzung!$C$11:$C$22="",Besatzung!$B$5,Besatzung!$C$11:$C$22)&lt;=B103)*(IF(Besatzung!$D$11:$D$22="",Besatzung!$B$6,Besatzung!$D$11:$D$22)&gt;=B103)),1)+(Besatzung!$F$20="x")*IFERROR(H103,0)/IFERROR(SUMPRODUCT((Besatzung!$B$11:$B$22&lt;&gt;"")*(Besatzung!$F$11:$F$22="x")*(IF(Besatzung!$C$11:$C$22="",Besatzung!$B$5,Besatzung!$C$11:$C$22)&lt;=B103)*(IF(Besatzung!$D$11:$D$22="",Besatzung!$B$6,Besatzung!$D$11:$D$22)&gt;=B103)),1))),IF(I103="Individuell",((S103="x")*((G103-IFERROR(H103,0))/IFERROR(COUNTIF(J103:U103,"x"),1)+(Besatzung!$F$20="x")*IFERROR(H103,0)/IFERROR(SUMPRODUCT((J103:U103="x")*(Besatzung!$F$11:$F$22="x")),1))),(IF(COUNTIF(J103:U103,"x")=0,IF(Besatzung!$B$20&lt;&gt;"",1,0),(S103="x"))*(G103-IFERROR(H103,0))/IFERROR(IF(COUNTIF(J103:U103,"x")=0,COUNTA(Besatzung!$B$11:$B$22),COUNTIF(J103:U103,"x")),1)+IF(COUNTIF(J103:U103,"x")=0,(Besatzung!$F$20="x"),(S103="x")*(Besatzung!$F$20="x"))*IFERROR(H103,0)/IFERROR(IF(COUNTIF(J103:U103,"x")=0,SUMPRODUCT((Besatzung!$B$11:$B$22&lt;&gt;"")*(Besatzung!$F$11:$F$22="x")),SUMPRODUCT((J103:U103="x")*(Besatzung!$F$11:$F$22="x"))),1))))),0))))</f>
        <v/>
      </c>
      <c r="AF103" s="247">
        <f>IF(C103="Gutschrift","",IF(G103="","",IF(Besatzung!$B$21="","",IFERROR(IF(I103="Zeitanteilig",(Besatzung!$G$21*(G103-IFERROR(H103,0))+((Besatzung!$B$21&lt;&gt;"")*IF(B103="",1,(IF(Besatzung!$C$21="",Besatzung!$B$5,Besatzung!$C$21)&lt;=B103)*(IF(Besatzung!$D$21="",Besatzung!$B$6,Besatzung!$D$21)&gt;=B103)))*(Besatzung!$F$21="x")*IFERROR(H103,0)/IFERROR(SUMPRODUCT((Besatzung!$B$11:$B$22&lt;&gt;"")*(Besatzung!$F$11:$F$22="x")*(IF(Besatzung!$C$11:$C$22="",Besatzung!$B$5,Besatzung!$C$11:$C$22)&lt;=B103)*(IF(Besatzung!$D$11:$D$22="",Besatzung!$B$6,Besatzung!$D$11:$D$22)&gt;=B103)),1)),IF(I103="An Bord",(((Besatzung!$B$21&lt;&gt;"")*IF(B103="",1,(IF(Besatzung!$C$21="",Besatzung!$B$5,Besatzung!$C$21)&lt;=B103)*(IF(Besatzung!$D$21="",Besatzung!$B$6,Besatzung!$D$21)&gt;=B103)))*((G103-IFERROR(H103,0))/IFERROR(SUMPRODUCT((Besatzung!$B$11:$B$22&lt;&gt;"")*(IF(Besatzung!$C$11:$C$22="",Besatzung!$B$5,Besatzung!$C$11:$C$22)&lt;=B103)*(IF(Besatzung!$D$11:$D$22="",Besatzung!$B$6,Besatzung!$D$11:$D$22)&gt;=B103)),1)+(Besatzung!$F$21="x")*IFERROR(H103,0)/IFERROR(SUMPRODUCT((Besatzung!$B$11:$B$22&lt;&gt;"")*(Besatzung!$F$11:$F$22="x")*(IF(Besatzung!$C$11:$C$22="",Besatzung!$B$5,Besatzung!$C$11:$C$22)&lt;=B103)*(IF(Besatzung!$D$11:$D$22="",Besatzung!$B$6,Besatzung!$D$11:$D$22)&gt;=B103)),1))),IF(I103="Individuell",((T103="x")*((G103-IFERROR(H103,0))/IFERROR(COUNTIF(J103:U103,"x"),1)+(Besatzung!$F$21="x")*IFERROR(H103,0)/IFERROR(SUMPRODUCT((J103:U103="x")*(Besatzung!$F$11:$F$22="x")),1))),(IF(COUNTIF(J103:U103,"x")=0,IF(Besatzung!$B$21&lt;&gt;"",1,0),(T103="x"))*(G103-IFERROR(H103,0))/IFERROR(IF(COUNTIF(J103:U103,"x")=0,COUNTA(Besatzung!$B$11:$B$22),COUNTIF(J103:U103,"x")),1)+IF(COUNTIF(J103:U103,"x")=0,(Besatzung!$F$21="x"),(T103="x")*(Besatzung!$F$21="x"))*IFERROR(H103,0)/IFERROR(IF(COUNTIF(J103:U103,"x")=0,SUMPRODUCT((Besatzung!$B$11:$B$22&lt;&gt;"")*(Besatzung!$F$11:$F$22="x")),SUMPRODUCT((J103:U103="x")*(Besatzung!$F$11:$F$22="x"))),1))))),0))))</f>
        <v/>
      </c>
      <c r="AG103" s="247">
        <f>IF(C103="Gutschrift","",IF(G103="","",IF(Besatzung!$B$22="","",IFERROR(IF(I103="Zeitanteilig",(Besatzung!$G$22*(G103-IFERROR(H103,0))+((Besatzung!$B$22&lt;&gt;"")*IF(B103="",1,(IF(Besatzung!$C$22="",Besatzung!$B$5,Besatzung!$C$22)&lt;=B103)*(IF(Besatzung!$D$22="",Besatzung!$B$6,Besatzung!$D$22)&gt;=B103)))*(Besatzung!$F$22="x")*IFERROR(H103,0)/IFERROR(SUMPRODUCT((Besatzung!$B$11:$B$22&lt;&gt;"")*(Besatzung!$F$11:$F$22="x")*(IF(Besatzung!$C$11:$C$22="",Besatzung!$B$5,Besatzung!$C$11:$C$22)&lt;=B103)*(IF(Besatzung!$D$11:$D$22="",Besatzung!$B$6,Besatzung!$D$11:$D$22)&gt;=B103)),1)),IF(I103="An Bord",(((Besatzung!$B$22&lt;&gt;"")*IF(B103="",1,(IF(Besatzung!$C$22="",Besatzung!$B$5,Besatzung!$C$22)&lt;=B103)*(IF(Besatzung!$D$22="",Besatzung!$B$6,Besatzung!$D$22)&gt;=B103)))*((G103-IFERROR(H103,0))/IFERROR(SUMPRODUCT((Besatzung!$B$11:$B$22&lt;&gt;"")*(IF(Besatzung!$C$11:$C$22="",Besatzung!$B$5,Besatzung!$C$11:$C$22)&lt;=B103)*(IF(Besatzung!$D$11:$D$22="",Besatzung!$B$6,Besatzung!$D$11:$D$22)&gt;=B103)),1)+(Besatzung!$F$22="x")*IFERROR(H103,0)/IFERROR(SUMPRODUCT((Besatzung!$B$11:$B$22&lt;&gt;"")*(Besatzung!$F$11:$F$22="x")*(IF(Besatzung!$C$11:$C$22="",Besatzung!$B$5,Besatzung!$C$11:$C$22)&lt;=B103)*(IF(Besatzung!$D$11:$D$22="",Besatzung!$B$6,Besatzung!$D$11:$D$22)&gt;=B103)),1))),IF(I103="Individuell",((U103="x")*((G103-IFERROR(H103,0))/IFERROR(COUNTIF(J103:U103,"x"),1)+(Besatzung!$F$22="x")*IFERROR(H103,0)/IFERROR(SUMPRODUCT((J103:U103="x")*(Besatzung!$F$11:$F$22="x")),1))),(IF(COUNTIF(J103:U103,"x")=0,IF(Besatzung!$B$22&lt;&gt;"",1,0),(U103="x"))*(G103-IFERROR(H103,0))/IFERROR(IF(COUNTIF(J103:U103,"x")=0,COUNTA(Besatzung!$B$11:$B$22),COUNTIF(J103:U103,"x")),1)+IF(COUNTIF(J103:U103,"x")=0,(Besatzung!$F$22="x"),(U103="x")*(Besatzung!$F$22="x"))*IFERROR(H103,0)/IFERROR(IF(COUNTIF(J103:U103,"x")=0,SUMPRODUCT((Besatzung!$B$11:$B$22&lt;&gt;"")*(Besatzung!$F$11:$F$22="x")),SUMPRODUCT((J103:U103="x")*(Besatzung!$F$11:$F$22="x"))),1))))),0))))</f>
        <v/>
      </c>
      <c r="AH103" s="248" t="n"/>
      <c r="AI103" s="248" t="n"/>
    </row>
    <row r="104" ht="21.75" customHeight="1" s="154">
      <c r="A104" s="238">
        <f>IF(AND(D104="",C104=""),"",101)</f>
        <v/>
      </c>
      <c r="B104" s="199" t="n"/>
      <c r="C104" s="239" t="n"/>
      <c r="D104" s="240" t="n"/>
      <c r="E104" s="241" t="n"/>
      <c r="F104" s="242" t="n"/>
      <c r="G104" s="243" t="n"/>
      <c r="H104" s="244" t="n"/>
      <c r="I104" s="245" t="n"/>
      <c r="J104" s="246" t="n"/>
      <c r="K104" s="246" t="n"/>
      <c r="L104" s="246" t="n"/>
      <c r="M104" s="246" t="n"/>
      <c r="N104" s="246" t="n"/>
      <c r="O104" s="246" t="n"/>
      <c r="P104" s="246" t="n"/>
      <c r="Q104" s="246" t="n"/>
      <c r="R104" s="246" t="n"/>
      <c r="S104" s="246" t="n"/>
      <c r="T104" s="246" t="n"/>
      <c r="U104" s="246" t="n"/>
      <c r="V104" s="247">
        <f>IF(C104="Gutschrift","",IF(G104="","",IF(Besatzung!$B$11="","",IFERROR(IF(I104="Zeitanteilig",(Besatzung!$G$11*(G104-IFERROR(H104,0))+((Besatzung!$B$11&lt;&gt;"")*IF(B104="",1,(IF(Besatzung!$C$11="",Besatzung!$B$5,Besatzung!$C$11)&lt;=B104)*(IF(Besatzung!$D$11="",Besatzung!$B$6,Besatzung!$D$11)&gt;=B104)))*(Besatzung!$F$11="x")*IFERROR(H104,0)/IFERROR(SUMPRODUCT((Besatzung!$B$11:$B$22&lt;&gt;"")*(Besatzung!$F$11:$F$22="x")*(IF(Besatzung!$C$11:$C$22="",Besatzung!$B$5,Besatzung!$C$11:$C$22)&lt;=B104)*(IF(Besatzung!$D$11:$D$22="",Besatzung!$B$6,Besatzung!$D$11:$D$22)&gt;=B104)),1)),IF(I104="An Bord",(((Besatzung!$B$11&lt;&gt;"")*IF(B104="",1,(IF(Besatzung!$C$11="",Besatzung!$B$5,Besatzung!$C$11)&lt;=B104)*(IF(Besatzung!$D$11="",Besatzung!$B$6,Besatzung!$D$11)&gt;=B104)))*((G104-IFERROR(H104,0))/IFERROR(SUMPRODUCT((Besatzung!$B$11:$B$22&lt;&gt;"")*(IF(Besatzung!$C$11:$C$22="",Besatzung!$B$5,Besatzung!$C$11:$C$22)&lt;=B104)*(IF(Besatzung!$D$11:$D$22="",Besatzung!$B$6,Besatzung!$D$11:$D$22)&gt;=B104)),1)+(Besatzung!$F$11="x")*IFERROR(H104,0)/IFERROR(SUMPRODUCT((Besatzung!$B$11:$B$22&lt;&gt;"")*(Besatzung!$F$11:$F$22="x")*(IF(Besatzung!$C$11:$C$22="",Besatzung!$B$5,Besatzung!$C$11:$C$22)&lt;=B104)*(IF(Besatzung!$D$11:$D$22="",Besatzung!$B$6,Besatzung!$D$11:$D$22)&gt;=B104)),1))),IF(I104="Individuell",((J104="x")*((G104-IFERROR(H104,0))/IFERROR(COUNTIF(J104:U104,"x"),1)+(Besatzung!$F$11="x")*IFERROR(H104,0)/IFERROR(SUMPRODUCT((J104:U104="x")*(Besatzung!$F$11:$F$22="x")),1))),(IF(COUNTIF(J104:U104,"x")=0,IF(Besatzung!$B$11&lt;&gt;"",1,0),(J104="x"))*(G104-IFERROR(H104,0))/IFERROR(IF(COUNTIF(J104:U104,"x")=0,COUNTA(Besatzung!$B$11:$B$22),COUNTIF(J104:U104,"x")),1)+IF(COUNTIF(J104:U104,"x")=0,(Besatzung!$F$11="x"),(J104="x")*(Besatzung!$F$11="x"))*IFERROR(H104,0)/IFERROR(IF(COUNTIF(J104:U104,"x")=0,SUMPRODUCT((Besatzung!$B$11:$B$22&lt;&gt;"")*(Besatzung!$F$11:$F$22="x")),SUMPRODUCT((J104:U104="x")*(Besatzung!$F$11:$F$22="x"))),1))))),0))))</f>
        <v/>
      </c>
      <c r="W104" s="247">
        <f>IF(C104="Gutschrift","",IF(G104="","",IF(Besatzung!$B$12="","",IFERROR(IF(I104="Zeitanteilig",(Besatzung!$G$12*(G104-IFERROR(H104,0))+((Besatzung!$B$12&lt;&gt;"")*IF(B104="",1,(IF(Besatzung!$C$12="",Besatzung!$B$5,Besatzung!$C$12)&lt;=B104)*(IF(Besatzung!$D$12="",Besatzung!$B$6,Besatzung!$D$12)&gt;=B104)))*(Besatzung!$F$12="x")*IFERROR(H104,0)/IFERROR(SUMPRODUCT((Besatzung!$B$11:$B$22&lt;&gt;"")*(Besatzung!$F$11:$F$22="x")*(IF(Besatzung!$C$11:$C$22="",Besatzung!$B$5,Besatzung!$C$11:$C$22)&lt;=B104)*(IF(Besatzung!$D$11:$D$22="",Besatzung!$B$6,Besatzung!$D$11:$D$22)&gt;=B104)),1)),IF(I104="An Bord",(((Besatzung!$B$12&lt;&gt;"")*IF(B104="",1,(IF(Besatzung!$C$12="",Besatzung!$B$5,Besatzung!$C$12)&lt;=B104)*(IF(Besatzung!$D$12="",Besatzung!$B$6,Besatzung!$D$12)&gt;=B104)))*((G104-IFERROR(H104,0))/IFERROR(SUMPRODUCT((Besatzung!$B$11:$B$22&lt;&gt;"")*(IF(Besatzung!$C$11:$C$22="",Besatzung!$B$5,Besatzung!$C$11:$C$22)&lt;=B104)*(IF(Besatzung!$D$11:$D$22="",Besatzung!$B$6,Besatzung!$D$11:$D$22)&gt;=B104)),1)+(Besatzung!$F$12="x")*IFERROR(H104,0)/IFERROR(SUMPRODUCT((Besatzung!$B$11:$B$22&lt;&gt;"")*(Besatzung!$F$11:$F$22="x")*(IF(Besatzung!$C$11:$C$22="",Besatzung!$B$5,Besatzung!$C$11:$C$22)&lt;=B104)*(IF(Besatzung!$D$11:$D$22="",Besatzung!$B$6,Besatzung!$D$11:$D$22)&gt;=B104)),1))),IF(I104="Individuell",((K104="x")*((G104-IFERROR(H104,0))/IFERROR(COUNTIF(J104:U104,"x"),1)+(Besatzung!$F$12="x")*IFERROR(H104,0)/IFERROR(SUMPRODUCT((J104:U104="x")*(Besatzung!$F$11:$F$22="x")),1))),(IF(COUNTIF(J104:U104,"x")=0,IF(Besatzung!$B$12&lt;&gt;"",1,0),(K104="x"))*(G104-IFERROR(H104,0))/IFERROR(IF(COUNTIF(J104:U104,"x")=0,COUNTA(Besatzung!$B$11:$B$22),COUNTIF(J104:U104,"x")),1)+IF(COUNTIF(J104:U104,"x")=0,(Besatzung!$F$12="x"),(K104="x")*(Besatzung!$F$12="x"))*IFERROR(H104,0)/IFERROR(IF(COUNTIF(J104:U104,"x")=0,SUMPRODUCT((Besatzung!$B$11:$B$22&lt;&gt;"")*(Besatzung!$F$11:$F$22="x")),SUMPRODUCT((J104:U104="x")*(Besatzung!$F$11:$F$22="x"))),1))))),0))))</f>
        <v/>
      </c>
      <c r="X104" s="247">
        <f>IF(C104="Gutschrift","",IF(G104="","",IF(Besatzung!$B$13="","",IFERROR(IF(I104="Zeitanteilig",(Besatzung!$G$13*(G104-IFERROR(H104,0))+((Besatzung!$B$13&lt;&gt;"")*IF(B104="",1,(IF(Besatzung!$C$13="",Besatzung!$B$5,Besatzung!$C$13)&lt;=B104)*(IF(Besatzung!$D$13="",Besatzung!$B$6,Besatzung!$D$13)&gt;=B104)))*(Besatzung!$F$13="x")*IFERROR(H104,0)/IFERROR(SUMPRODUCT((Besatzung!$B$11:$B$22&lt;&gt;"")*(Besatzung!$F$11:$F$22="x")*(IF(Besatzung!$C$11:$C$22="",Besatzung!$B$5,Besatzung!$C$11:$C$22)&lt;=B104)*(IF(Besatzung!$D$11:$D$22="",Besatzung!$B$6,Besatzung!$D$11:$D$22)&gt;=B104)),1)),IF(I104="An Bord",(((Besatzung!$B$13&lt;&gt;"")*IF(B104="",1,(IF(Besatzung!$C$13="",Besatzung!$B$5,Besatzung!$C$13)&lt;=B104)*(IF(Besatzung!$D$13="",Besatzung!$B$6,Besatzung!$D$13)&gt;=B104)))*((G104-IFERROR(H104,0))/IFERROR(SUMPRODUCT((Besatzung!$B$11:$B$22&lt;&gt;"")*(IF(Besatzung!$C$11:$C$22="",Besatzung!$B$5,Besatzung!$C$11:$C$22)&lt;=B104)*(IF(Besatzung!$D$11:$D$22="",Besatzung!$B$6,Besatzung!$D$11:$D$22)&gt;=B104)),1)+(Besatzung!$F$13="x")*IFERROR(H104,0)/IFERROR(SUMPRODUCT((Besatzung!$B$11:$B$22&lt;&gt;"")*(Besatzung!$F$11:$F$22="x")*(IF(Besatzung!$C$11:$C$22="",Besatzung!$B$5,Besatzung!$C$11:$C$22)&lt;=B104)*(IF(Besatzung!$D$11:$D$22="",Besatzung!$B$6,Besatzung!$D$11:$D$22)&gt;=B104)),1))),IF(I104="Individuell",((K104="x")*((G104-IFERROR(H104,0))/IFERROR(COUNTIF(J104:U104,"x"),1)+(Besatzung!$F$13="x")*IFERROR(H104,0)/IFERROR(SUMPRODUCT((J104:U104="x")*(Besatzung!$F$11:$F$22="x")),1))),(IF(COUNTIF(J104:U104,"x")=0,IF(Besatzung!$B$13&lt;&gt;"",1,0),(K104="x"))*(G104-IFERROR(H104,0))/IFERROR(IF(COUNTIF(J104:U104,"x")=0,COUNTA(Besatzung!$B$11:$B$22),COUNTIF(J104:U104,"x")),1)+IF(COUNTIF(J104:U104,"x")=0,(Besatzung!$F$13="x"),(K104="x")*(Besatzung!$F$13="x"))*IFERROR(H104,0)/IFERROR(IF(COUNTIF(J104:U104,"x")=0,SUMPRODUCT((Besatzung!$B$11:$B$22&lt;&gt;"")*(Besatzung!$F$11:$F$22="x")),SUMPRODUCT((J104:U104="x")*(Besatzung!$F$11:$F$22="x"))),1))))),0))))</f>
        <v/>
      </c>
      <c r="Y104" s="247">
        <f>IF(C104="Gutschrift","",IF(G104="","",IF(Besatzung!$B$14="","",IFERROR(IF(I104="Zeitanteilig",(Besatzung!$G$14*(G104-IFERROR(H104,0))+((Besatzung!$B$14&lt;&gt;"")*IF(B104="",1,(IF(Besatzung!$C$14="",Besatzung!$B$5,Besatzung!$C$14)&lt;=B104)*(IF(Besatzung!$D$14="",Besatzung!$B$6,Besatzung!$D$14)&gt;=B104)))*(Besatzung!$F$14="x")*IFERROR(H104,0)/IFERROR(SUMPRODUCT((Besatzung!$B$11:$B$22&lt;&gt;"")*(Besatzung!$F$11:$F$22="x")*(IF(Besatzung!$C$11:$C$22="",Besatzung!$B$5,Besatzung!$C$11:$C$22)&lt;=B104)*(IF(Besatzung!$D$11:$D$22="",Besatzung!$B$6,Besatzung!$D$11:$D$22)&gt;=B104)),1)),IF(I104="An Bord",(((Besatzung!$B$14&lt;&gt;"")*IF(B104="",1,(IF(Besatzung!$C$14="",Besatzung!$B$5,Besatzung!$C$14)&lt;=B104)*(IF(Besatzung!$D$14="",Besatzung!$B$6,Besatzung!$D$14)&gt;=B104)))*((G104-IFERROR(H104,0))/IFERROR(SUMPRODUCT((Besatzung!$B$11:$B$22&lt;&gt;"")*(IF(Besatzung!$C$11:$C$22="",Besatzung!$B$5,Besatzung!$C$11:$C$22)&lt;=B104)*(IF(Besatzung!$D$11:$D$22="",Besatzung!$B$6,Besatzung!$D$11:$D$22)&gt;=B104)),1)+(Besatzung!$F$14="x")*IFERROR(H104,0)/IFERROR(SUMPRODUCT((Besatzung!$B$11:$B$22&lt;&gt;"")*(Besatzung!$F$11:$F$22="x")*(IF(Besatzung!$C$11:$C$22="",Besatzung!$B$5,Besatzung!$C$11:$C$22)&lt;=B104)*(IF(Besatzung!$D$11:$D$22="",Besatzung!$B$6,Besatzung!$D$11:$D$22)&gt;=B104)),1))),IF(I104="Individuell",((M104="x")*((G104-IFERROR(H104,0))/IFERROR(COUNTIF(J104:U104,"x"),1)+(Besatzung!$F$14="x")*IFERROR(H104,0)/IFERROR(SUMPRODUCT((J104:U104="x")*(Besatzung!$F$11:$F$22="x")),1))),(IF(COUNTIF(J104:U104,"x")=0,IF(Besatzung!$B$14&lt;&gt;"",1,0),(M104="x"))*(G104-IFERROR(H104,0))/IFERROR(IF(COUNTIF(J104:U104,"x")=0,COUNTA(Besatzung!$B$11:$B$22),COUNTIF(J104:U104,"x")),1)+IF(COUNTIF(J104:U104,"x")=0,(Besatzung!$F$14="x"),(M104="x")*(Besatzung!$F$14="x"))*IFERROR(H104,0)/IFERROR(IF(COUNTIF(J104:U104,"x")=0,SUMPRODUCT((Besatzung!$B$11:$B$22&lt;&gt;"")*(Besatzung!$F$11:$F$22="x")),SUMPRODUCT((J104:U104="x")*(Besatzung!$F$11:$F$22="x"))),1))))),0))))</f>
        <v/>
      </c>
      <c r="Z104" s="247">
        <f>IF(C104="Gutschrift","",IF(G104="","",IF(Besatzung!$B$13="","",IFERROR(IF(I104="Zeitanteilig",(Besatzung!$G$15*(G104-IFERROR(H104,0))+((Besatzung!$B$13&lt;&gt;"")*IF(B104="",1,(IF(Besatzung!$C$15="",Besatzung!$B$5,Besatzung!$C$15)&lt;=B104)*(IF(Besatzung!$D$15="",Besatzung!$B$6,Besatzung!$D$15)&gt;=B104)))*(Besatzung!$F$15="x")*IFERROR(H104,0)/IFERROR(SUMPRODUCT((Besatzung!$B$11:$B$22&lt;&gt;"")*(Besatzung!$F$11:$F$22="x")*(IF(Besatzung!$C$11:$C$22="",Besatzung!$B$5,Besatzung!$C$11:$C$22)&lt;=B104)*(IF(Besatzung!$D$11:$D$22="",Besatzung!$B$6,Besatzung!$D$11:$D$22)&gt;=B104)),1)),IF(I104="An Bord",(((Besatzung!$B$13&lt;&gt;"")*IF(B104="",1,(IF(Besatzung!$C$15="",Besatzung!$B$5,Besatzung!$C$15)&lt;=B104)*(IF(Besatzung!$D$15="",Besatzung!$B$6,Besatzung!$D$15)&gt;=B104)))*((G104-IFERROR(H104,0))/IFERROR(SUMPRODUCT((Besatzung!$B$11:$B$22&lt;&gt;"")*(IF(Besatzung!$C$11:$C$22="",Besatzung!$B$5,Besatzung!$C$11:$C$22)&lt;=B104)*(IF(Besatzung!$D$11:$D$22="",Besatzung!$B$6,Besatzung!$D$11:$D$22)&gt;=B104)),1)+(Besatzung!$F$15="x")*IFERROR(H104,0)/IFERROR(SUMPRODUCT((Besatzung!$B$11:$B$22&lt;&gt;"")*(Besatzung!$F$11:$F$22="x")*(IF(Besatzung!$C$11:$C$22="",Besatzung!$B$5,Besatzung!$C$11:$C$22)&lt;=B104)*(IF(Besatzung!$D$11:$D$22="",Besatzung!$B$6,Besatzung!$D$11:$D$22)&gt;=B104)),1))),IF(I104="Individuell",((N104="x")*((G104-IFERROR(H104,0))/IFERROR(COUNTIF(J104:U104,"x"),1)+(Besatzung!$F$15="x")*IFERROR(H104,0)/IFERROR(SUMPRODUCT((J104:U104="x")*(Besatzung!$F$11:$F$22="x")),1))),(IF(COUNTIF(J104:U104,"x")=0,IF(Besatzung!$B$13&lt;&gt;"",1,0),(N104="x"))*(G104-IFERROR(H104,0))/IFERROR(IF(COUNTIF(J104:U104,"x")=0,COUNTA(Besatzung!$B$11:$B$22),COUNTIF(J104:U104,"x")),1)+IF(COUNTIF(J104:U104,"x")=0,(Besatzung!$F$15="x"),(N104="x")*(Besatzung!$F$15="x"))*IFERROR(H104,0)/IFERROR(IF(COUNTIF(J104:U104,"x")=0,SUMPRODUCT((Besatzung!$B$11:$B$22&lt;&gt;"")*(Besatzung!$F$11:$F$22="x")),SUMPRODUCT((J104:U104="x")*(Besatzung!$F$11:$F$22="x"))),1))))),0))))</f>
        <v/>
      </c>
      <c r="AA104" s="247">
        <f>IF(C104="Gutschrift","",IF(G104="","",IF(Besatzung!$B$15="","",IFERROR(IF(I104="Zeitanteilig",(Besatzung!$G$16*(G104-IFERROR(H104,0))+((Besatzung!$B$15&lt;&gt;"")*IF(B104="",1,(IF(Besatzung!$C$16="",Besatzung!$B$5,Besatzung!$C$16)&lt;=B104)*(IF(Besatzung!$D$16="",Besatzung!$B$6,Besatzung!$D$16)&gt;=B104)))*(Besatzung!$F$16="x")*IFERROR(H104,0)/IFERROR(SUMPRODUCT((Besatzung!$B$11:$B$22&lt;&gt;"")*(Besatzung!$F$11:$F$22="x")*(IF(Besatzung!$C$11:$C$22="",Besatzung!$B$5,Besatzung!$C$11:$C$22)&lt;=B104)*(IF(Besatzung!$D$11:$D$22="",Besatzung!$B$6,Besatzung!$D$11:$D$22)&gt;=B104)),1)),IF(I104="An Bord",(((Besatzung!$B$15&lt;&gt;"")*IF(B104="",1,(IF(Besatzung!$C$16="",Besatzung!$B$5,Besatzung!$C$16)&lt;=B104)*(IF(Besatzung!$D$16="",Besatzung!$B$6,Besatzung!$D$16)&gt;=B104)))*((G104-IFERROR(H104,0))/IFERROR(SUMPRODUCT((Besatzung!$B$11:$B$22&lt;&gt;"")*(IF(Besatzung!$C$11:$C$22="",Besatzung!$B$5,Besatzung!$C$11:$C$22)&lt;=B104)*(IF(Besatzung!$D$11:$D$22="",Besatzung!$B$6,Besatzung!$D$11:$D$22)&gt;=B104)),1)+(Besatzung!$F$16="x")*IFERROR(H104,0)/IFERROR(SUMPRODUCT((Besatzung!$B$11:$B$22&lt;&gt;"")*(Besatzung!$F$11:$F$22="x")*(IF(Besatzung!$C$11:$C$22="",Besatzung!$B$5,Besatzung!$C$11:$C$22)&lt;=B104)*(IF(Besatzung!$D$11:$D$22="",Besatzung!$B$6,Besatzung!$D$11:$D$22)&gt;=B104)),1))),IF(I104="Individuell",((O104="x")*((G104-IFERROR(H104,0))/IFERROR(COUNTIF(J104:U104,"x"),1)+(Besatzung!$F$16="x")*IFERROR(H104,0)/IFERROR(SUMPRODUCT((J104:U104="x")*(Besatzung!$F$11:$F$22="x")),1))),(IF(COUNTIF(J104:U104,"x")=0,IF(Besatzung!$B$15&lt;&gt;"",1,0),(O104="x"))*(G104-IFERROR(H104,0))/IFERROR(IF(COUNTIF(J104:U104,"x")=0,COUNTA(Besatzung!$B$11:$B$22),COUNTIF(J104:U104,"x")),1)+IF(COUNTIF(J104:U104,"x")=0,(Besatzung!$F$16="x"),(O104="x")*(Besatzung!$F$16="x"))*IFERROR(H104,0)/IFERROR(IF(COUNTIF(J104:U104,"x")=0,SUMPRODUCT((Besatzung!$B$11:$B$22&lt;&gt;"")*(Besatzung!$F$11:$F$22="x")),SUMPRODUCT((J104:U104="x")*(Besatzung!$F$11:$F$22="x"))),1))))),0))))</f>
        <v/>
      </c>
      <c r="AB104" s="247">
        <f>IF(C104="Gutschrift","",IF(G104="","",IF(Besatzung!$B$17="","",IFERROR(IF(I104="Zeitanteilig",(Besatzung!$G$17*(G104-IFERROR(H104,0))+((Besatzung!$B$17&lt;&gt;"")*IF(B104="",1,(IF(Besatzung!$C$17="",Besatzung!$B$5,Besatzung!$C$17)&lt;=B104)*(IF(Besatzung!$D$17="",Besatzung!$B$6,Besatzung!$D$17)&gt;=B104)))*(Besatzung!$F$17="x")*IFERROR(H104,0)/IFERROR(SUMPRODUCT((Besatzung!$B$11:$B$22&lt;&gt;"")*(Besatzung!$F$11:$F$22="x")*(IF(Besatzung!$C$11:$C$22="",Besatzung!$B$5,Besatzung!$C$11:$C$22)&lt;=B104)*(IF(Besatzung!$D$11:$D$22="",Besatzung!$B$6,Besatzung!$D$11:$D$22)&gt;=B104)),1)),IF(I104="An Bord",(((Besatzung!$B$17&lt;&gt;"")*IF(B104="",1,(IF(Besatzung!$C$17="",Besatzung!$B$5,Besatzung!$C$17)&lt;=B104)*(IF(Besatzung!$D$17="",Besatzung!$B$6,Besatzung!$D$17)&gt;=B104)))*((G104-IFERROR(H104,0))/IFERROR(SUMPRODUCT((Besatzung!$B$11:$B$22&lt;&gt;"")*(IF(Besatzung!$C$11:$C$22="",Besatzung!$B$5,Besatzung!$C$11:$C$22)&lt;=B104)*(IF(Besatzung!$D$11:$D$22="",Besatzung!$B$6,Besatzung!$D$11:$D$22)&gt;=B104)),1)+(Besatzung!$F$17="x")*IFERROR(H104,0)/IFERROR(SUMPRODUCT((Besatzung!$B$11:$B$22&lt;&gt;"")*(Besatzung!$F$11:$F$22="x")*(IF(Besatzung!$C$11:$C$22="",Besatzung!$B$5,Besatzung!$C$11:$C$22)&lt;=B104)*(IF(Besatzung!$D$11:$D$22="",Besatzung!$B$6,Besatzung!$D$11:$D$22)&gt;=B104)),1))),IF(I104="Individuell",((P104="x")*((G104-IFERROR(H104,0))/IFERROR(COUNTIF(J104:U104,"x"),1)+(Besatzung!$F$17="x")*IFERROR(H104,0)/IFERROR(SUMPRODUCT((J104:U104="x")*(Besatzung!$F$11:$F$22="x")),1))),(IF(COUNTIF(J104:U104,"x")=0,IF(Besatzung!$B$17&lt;&gt;"",1,0),(P104="x"))*(G104-IFERROR(H104,0))/IFERROR(IF(COUNTIF(J104:U104,"x")=0,COUNTA(Besatzung!$B$11:$B$22),COUNTIF(J104:U104,"x")),1)+IF(COUNTIF(J104:U104,"x")=0,(Besatzung!$F$17="x"),(P104="x")*(Besatzung!$F$17="x"))*IFERROR(H104,0)/IFERROR(IF(COUNTIF(J104:U104,"x")=0,SUMPRODUCT((Besatzung!$B$11:$B$22&lt;&gt;"")*(Besatzung!$F$11:$F$22="x")),SUMPRODUCT((J104:U104="x")*(Besatzung!$F$11:$F$22="x"))),1))))),0))))</f>
        <v/>
      </c>
      <c r="AC104" s="247">
        <f>IF(C104="Gutschrift","",IF(G104="","",IF(Besatzung!$B$18="","",IFERROR(IF(I104="Zeitanteilig",(Besatzung!$G$18*(G104-IFERROR(H104,0))+((Besatzung!$B$18&lt;&gt;"")*IF(B104="",1,(IF(Besatzung!$C$18="",Besatzung!$B$5,Besatzung!$C$18)&lt;=B104)*(IF(Besatzung!$D$18="",Besatzung!$B$6,Besatzung!$D$18)&gt;=B104)))*(Besatzung!$F$18="x")*IFERROR(H104,0)/IFERROR(SUMPRODUCT((Besatzung!$B$11:$B$22&lt;&gt;"")*(Besatzung!$F$11:$F$22="x")*(IF(Besatzung!$C$11:$C$22="",Besatzung!$B$5,Besatzung!$C$11:$C$22)&lt;=B104)*(IF(Besatzung!$D$11:$D$22="",Besatzung!$B$6,Besatzung!$D$11:$D$22)&gt;=B104)),1)),IF(I104="An Bord",(((Besatzung!$B$18&lt;&gt;"")*IF(B104="",1,(IF(Besatzung!$C$18="",Besatzung!$B$5,Besatzung!$C$18)&lt;=B104)*(IF(Besatzung!$D$18="",Besatzung!$B$6,Besatzung!$D$18)&gt;=B104)))*((G104-IFERROR(H104,0))/IFERROR(SUMPRODUCT((Besatzung!$B$11:$B$22&lt;&gt;"")*(IF(Besatzung!$C$11:$C$22="",Besatzung!$B$5,Besatzung!$C$11:$C$22)&lt;=B104)*(IF(Besatzung!$D$11:$D$22="",Besatzung!$B$6,Besatzung!$D$11:$D$22)&gt;=B104)),1)+(Besatzung!$F$18="x")*IFERROR(H104,0)/IFERROR(SUMPRODUCT((Besatzung!$B$11:$B$22&lt;&gt;"")*(Besatzung!$F$11:$F$22="x")*(IF(Besatzung!$C$11:$C$22="",Besatzung!$B$5,Besatzung!$C$11:$C$22)&lt;=B104)*(IF(Besatzung!$D$11:$D$22="",Besatzung!$B$6,Besatzung!$D$11:$D$22)&gt;=B104)),1))),IF(I104="Individuell",((Q104="x")*((G104-IFERROR(H104,0))/IFERROR(COUNTIF(J104:U104,"x"),1)+(Besatzung!$F$18="x")*IFERROR(H104,0)/IFERROR(SUMPRODUCT((J104:U104="x")*(Besatzung!$F$11:$F$22="x")),1))),(IF(COUNTIF(J104:U104,"x")=0,IF(Besatzung!$B$18&lt;&gt;"",1,0),(Q104="x"))*(G104-IFERROR(H104,0))/IFERROR(IF(COUNTIF(J104:U104,"x")=0,COUNTA(Besatzung!$B$11:$B$22),COUNTIF(J104:U104,"x")),1)+IF(COUNTIF(J104:U104,"x")=0,(Besatzung!$F$18="x"),(Q104="x")*(Besatzung!$F$18="x"))*IFERROR(H104,0)/IFERROR(IF(COUNTIF(J104:U104,"x")=0,SUMPRODUCT((Besatzung!$B$11:$B$22&lt;&gt;"")*(Besatzung!$F$11:$F$22="x")),SUMPRODUCT((J104:U104="x")*(Besatzung!$F$11:$F$22="x"))),1))))),0))))</f>
        <v/>
      </c>
      <c r="AD104" s="247">
        <f>IF(C104="Gutschrift","",IF(G104="","",IF(Besatzung!$B$19="","",IFERROR(IF(I104="Zeitanteilig",(Besatzung!$G$19*(G104-IFERROR(H104,0))+((Besatzung!$B$19&lt;&gt;"")*IF(B104="",1,(IF(Besatzung!$C$19="",Besatzung!$B$5,Besatzung!$C$19)&lt;=B104)*(IF(Besatzung!$D$19="",Besatzung!$B$6,Besatzung!$D$19)&gt;=B104)))*(Besatzung!$F$19="x")*IFERROR(H104,0)/IFERROR(SUMPRODUCT((Besatzung!$B$11:$B$22&lt;&gt;"")*(Besatzung!$F$11:$F$22="x")*(IF(Besatzung!$C$11:$C$22="",Besatzung!$B$5,Besatzung!$C$11:$C$22)&lt;=B104)*(IF(Besatzung!$D$11:$D$22="",Besatzung!$B$6,Besatzung!$D$11:$D$22)&gt;=B104)),1)),IF(I104="An Bord",(((Besatzung!$B$19&lt;&gt;"")*IF(B104="",1,(IF(Besatzung!$C$19="",Besatzung!$B$5,Besatzung!$C$19)&lt;=B104)*(IF(Besatzung!$D$19="",Besatzung!$B$6,Besatzung!$D$19)&gt;=B104)))*((G104-IFERROR(H104,0))/IFERROR(SUMPRODUCT((Besatzung!$B$11:$B$22&lt;&gt;"")*(IF(Besatzung!$C$11:$C$22="",Besatzung!$B$5,Besatzung!$C$11:$C$22)&lt;=B104)*(IF(Besatzung!$D$11:$D$22="",Besatzung!$B$6,Besatzung!$D$11:$D$22)&gt;=B104)),1)+(Besatzung!$F$19="x")*IFERROR(H104,0)/IFERROR(SUMPRODUCT((Besatzung!$B$11:$B$22&lt;&gt;"")*(Besatzung!$F$11:$F$22="x")*(IF(Besatzung!$C$11:$C$22="",Besatzung!$B$5,Besatzung!$C$11:$C$22)&lt;=B104)*(IF(Besatzung!$D$11:$D$22="",Besatzung!$B$6,Besatzung!$D$11:$D$22)&gt;=B104)),1))),IF(I104="Individuell",((R104="x")*((G104-IFERROR(H104,0))/IFERROR(COUNTIF(J104:U104,"x"),1)+(Besatzung!$F$19="x")*IFERROR(H104,0)/IFERROR(SUMPRODUCT((J104:U104="x")*(Besatzung!$F$11:$F$22="x")),1))),(IF(COUNTIF(J104:U104,"x")=0,IF(Besatzung!$B$19&lt;&gt;"",1,0),(R104="x"))*(G104-IFERROR(H104,0))/IFERROR(IF(COUNTIF(J104:U104,"x")=0,COUNTA(Besatzung!$B$11:$B$22),COUNTIF(J104:U104,"x")),1)+IF(COUNTIF(J104:U104,"x")=0,(Besatzung!$F$19="x"),(R104="x")*(Besatzung!$F$19="x"))*IFERROR(H104,0)/IFERROR(IF(COUNTIF(J104:U104,"x")=0,SUMPRODUCT((Besatzung!$B$11:$B$22&lt;&gt;"")*(Besatzung!$F$11:$F$22="x")),SUMPRODUCT((J104:U104="x")*(Besatzung!$F$11:$F$22="x"))),1))))),0))))</f>
        <v/>
      </c>
      <c r="AE104" s="247">
        <f>IF(C104="Gutschrift","",IF(G104="","",IF(Besatzung!$B$20="","",IFERROR(IF(I104="Zeitanteilig",(Besatzung!$G$20*(G104-IFERROR(H104,0))+((Besatzung!$B$20&lt;&gt;"")*IF(B104="",1,(IF(Besatzung!$C$20="",Besatzung!$B$5,Besatzung!$C$20)&lt;=B104)*(IF(Besatzung!$D$20="",Besatzung!$B$6,Besatzung!$D$20)&gt;=B104)))*(Besatzung!$F$20="x")*IFERROR(H104,0)/IFERROR(SUMPRODUCT((Besatzung!$B$11:$B$22&lt;&gt;"")*(Besatzung!$F$11:$F$22="x")*(IF(Besatzung!$C$11:$C$22="",Besatzung!$B$5,Besatzung!$C$11:$C$22)&lt;=B104)*(IF(Besatzung!$D$11:$D$22="",Besatzung!$B$6,Besatzung!$D$11:$D$22)&gt;=B104)),1)),IF(I104="An Bord",(((Besatzung!$B$20&lt;&gt;"")*IF(B104="",1,(IF(Besatzung!$C$20="",Besatzung!$B$5,Besatzung!$C$20)&lt;=B104)*(IF(Besatzung!$D$20="",Besatzung!$B$6,Besatzung!$D$20)&gt;=B104)))*((G104-IFERROR(H104,0))/IFERROR(SUMPRODUCT((Besatzung!$B$11:$B$22&lt;&gt;"")*(IF(Besatzung!$C$11:$C$22="",Besatzung!$B$5,Besatzung!$C$11:$C$22)&lt;=B104)*(IF(Besatzung!$D$11:$D$22="",Besatzung!$B$6,Besatzung!$D$11:$D$22)&gt;=B104)),1)+(Besatzung!$F$20="x")*IFERROR(H104,0)/IFERROR(SUMPRODUCT((Besatzung!$B$11:$B$22&lt;&gt;"")*(Besatzung!$F$11:$F$22="x")*(IF(Besatzung!$C$11:$C$22="",Besatzung!$B$5,Besatzung!$C$11:$C$22)&lt;=B104)*(IF(Besatzung!$D$11:$D$22="",Besatzung!$B$6,Besatzung!$D$11:$D$22)&gt;=B104)),1))),IF(I104="Individuell",((S104="x")*((G104-IFERROR(H104,0))/IFERROR(COUNTIF(J104:U104,"x"),1)+(Besatzung!$F$20="x")*IFERROR(H104,0)/IFERROR(SUMPRODUCT((J104:U104="x")*(Besatzung!$F$11:$F$22="x")),1))),(IF(COUNTIF(J104:U104,"x")=0,IF(Besatzung!$B$20&lt;&gt;"",1,0),(S104="x"))*(G104-IFERROR(H104,0))/IFERROR(IF(COUNTIF(J104:U104,"x")=0,COUNTA(Besatzung!$B$11:$B$22),COUNTIF(J104:U104,"x")),1)+IF(COUNTIF(J104:U104,"x")=0,(Besatzung!$F$20="x"),(S104="x")*(Besatzung!$F$20="x"))*IFERROR(H104,0)/IFERROR(IF(COUNTIF(J104:U104,"x")=0,SUMPRODUCT((Besatzung!$B$11:$B$22&lt;&gt;"")*(Besatzung!$F$11:$F$22="x")),SUMPRODUCT((J104:U104="x")*(Besatzung!$F$11:$F$22="x"))),1))))),0))))</f>
        <v/>
      </c>
      <c r="AF104" s="247">
        <f>IF(C104="Gutschrift","",IF(G104="","",IF(Besatzung!$B$21="","",IFERROR(IF(I104="Zeitanteilig",(Besatzung!$G$21*(G104-IFERROR(H104,0))+((Besatzung!$B$21&lt;&gt;"")*IF(B104="",1,(IF(Besatzung!$C$21="",Besatzung!$B$5,Besatzung!$C$21)&lt;=B104)*(IF(Besatzung!$D$21="",Besatzung!$B$6,Besatzung!$D$21)&gt;=B104)))*(Besatzung!$F$21="x")*IFERROR(H104,0)/IFERROR(SUMPRODUCT((Besatzung!$B$11:$B$22&lt;&gt;"")*(Besatzung!$F$11:$F$22="x")*(IF(Besatzung!$C$11:$C$22="",Besatzung!$B$5,Besatzung!$C$11:$C$22)&lt;=B104)*(IF(Besatzung!$D$11:$D$22="",Besatzung!$B$6,Besatzung!$D$11:$D$22)&gt;=B104)),1)),IF(I104="An Bord",(((Besatzung!$B$21&lt;&gt;"")*IF(B104="",1,(IF(Besatzung!$C$21="",Besatzung!$B$5,Besatzung!$C$21)&lt;=B104)*(IF(Besatzung!$D$21="",Besatzung!$B$6,Besatzung!$D$21)&gt;=B104)))*((G104-IFERROR(H104,0))/IFERROR(SUMPRODUCT((Besatzung!$B$11:$B$22&lt;&gt;"")*(IF(Besatzung!$C$11:$C$22="",Besatzung!$B$5,Besatzung!$C$11:$C$22)&lt;=B104)*(IF(Besatzung!$D$11:$D$22="",Besatzung!$B$6,Besatzung!$D$11:$D$22)&gt;=B104)),1)+(Besatzung!$F$21="x")*IFERROR(H104,0)/IFERROR(SUMPRODUCT((Besatzung!$B$11:$B$22&lt;&gt;"")*(Besatzung!$F$11:$F$22="x")*(IF(Besatzung!$C$11:$C$22="",Besatzung!$B$5,Besatzung!$C$11:$C$22)&lt;=B104)*(IF(Besatzung!$D$11:$D$22="",Besatzung!$B$6,Besatzung!$D$11:$D$22)&gt;=B104)),1))),IF(I104="Individuell",((T104="x")*((G104-IFERROR(H104,0))/IFERROR(COUNTIF(J104:U104,"x"),1)+(Besatzung!$F$21="x")*IFERROR(H104,0)/IFERROR(SUMPRODUCT((J104:U104="x")*(Besatzung!$F$11:$F$22="x")),1))),(IF(COUNTIF(J104:U104,"x")=0,IF(Besatzung!$B$21&lt;&gt;"",1,0),(T104="x"))*(G104-IFERROR(H104,0))/IFERROR(IF(COUNTIF(J104:U104,"x")=0,COUNTA(Besatzung!$B$11:$B$22),COUNTIF(J104:U104,"x")),1)+IF(COUNTIF(J104:U104,"x")=0,(Besatzung!$F$21="x"),(T104="x")*(Besatzung!$F$21="x"))*IFERROR(H104,0)/IFERROR(IF(COUNTIF(J104:U104,"x")=0,SUMPRODUCT((Besatzung!$B$11:$B$22&lt;&gt;"")*(Besatzung!$F$11:$F$22="x")),SUMPRODUCT((J104:U104="x")*(Besatzung!$F$11:$F$22="x"))),1))))),0))))</f>
        <v/>
      </c>
      <c r="AG104" s="247">
        <f>IF(C104="Gutschrift","",IF(G104="","",IF(Besatzung!$B$22="","",IFERROR(IF(I104="Zeitanteilig",(Besatzung!$G$22*(G104-IFERROR(H104,0))+((Besatzung!$B$22&lt;&gt;"")*IF(B104="",1,(IF(Besatzung!$C$22="",Besatzung!$B$5,Besatzung!$C$22)&lt;=B104)*(IF(Besatzung!$D$22="",Besatzung!$B$6,Besatzung!$D$22)&gt;=B104)))*(Besatzung!$F$22="x")*IFERROR(H104,0)/IFERROR(SUMPRODUCT((Besatzung!$B$11:$B$22&lt;&gt;"")*(Besatzung!$F$11:$F$22="x")*(IF(Besatzung!$C$11:$C$22="",Besatzung!$B$5,Besatzung!$C$11:$C$22)&lt;=B104)*(IF(Besatzung!$D$11:$D$22="",Besatzung!$B$6,Besatzung!$D$11:$D$22)&gt;=B104)),1)),IF(I104="An Bord",(((Besatzung!$B$22&lt;&gt;"")*IF(B104="",1,(IF(Besatzung!$C$22="",Besatzung!$B$5,Besatzung!$C$22)&lt;=B104)*(IF(Besatzung!$D$22="",Besatzung!$B$6,Besatzung!$D$22)&gt;=B104)))*((G104-IFERROR(H104,0))/IFERROR(SUMPRODUCT((Besatzung!$B$11:$B$22&lt;&gt;"")*(IF(Besatzung!$C$11:$C$22="",Besatzung!$B$5,Besatzung!$C$11:$C$22)&lt;=B104)*(IF(Besatzung!$D$11:$D$22="",Besatzung!$B$6,Besatzung!$D$11:$D$22)&gt;=B104)),1)+(Besatzung!$F$22="x")*IFERROR(H104,0)/IFERROR(SUMPRODUCT((Besatzung!$B$11:$B$22&lt;&gt;"")*(Besatzung!$F$11:$F$22="x")*(IF(Besatzung!$C$11:$C$22="",Besatzung!$B$5,Besatzung!$C$11:$C$22)&lt;=B104)*(IF(Besatzung!$D$11:$D$22="",Besatzung!$B$6,Besatzung!$D$11:$D$22)&gt;=B104)),1))),IF(I104="Individuell",((U104="x")*((G104-IFERROR(H104,0))/IFERROR(COUNTIF(J104:U104,"x"),1)+(Besatzung!$F$22="x")*IFERROR(H104,0)/IFERROR(SUMPRODUCT((J104:U104="x")*(Besatzung!$F$11:$F$22="x")),1))),(IF(COUNTIF(J104:U104,"x")=0,IF(Besatzung!$B$22&lt;&gt;"",1,0),(U104="x"))*(G104-IFERROR(H104,0))/IFERROR(IF(COUNTIF(J104:U104,"x")=0,COUNTA(Besatzung!$B$11:$B$22),COUNTIF(J104:U104,"x")),1)+IF(COUNTIF(J104:U104,"x")=0,(Besatzung!$F$22="x"),(U104="x")*(Besatzung!$F$22="x"))*IFERROR(H104,0)/IFERROR(IF(COUNTIF(J104:U104,"x")=0,SUMPRODUCT((Besatzung!$B$11:$B$22&lt;&gt;"")*(Besatzung!$F$11:$F$22="x")),SUMPRODUCT((J104:U104="x")*(Besatzung!$F$11:$F$22="x"))),1))))),0))))</f>
        <v/>
      </c>
      <c r="AH104" s="248" t="n"/>
      <c r="AI104" s="248" t="n"/>
    </row>
    <row r="105" ht="21.75" customHeight="1" s="154">
      <c r="A105" s="238">
        <f>IF(AND(D105="",C105=""),"",102)</f>
        <v/>
      </c>
      <c r="B105" s="206" t="n"/>
      <c r="C105" s="249" t="n"/>
      <c r="D105" s="250" t="n"/>
      <c r="E105" s="251" t="n"/>
      <c r="F105" s="252" t="n"/>
      <c r="G105" s="253" t="n"/>
      <c r="H105" s="254" t="n"/>
      <c r="I105" s="255" t="n"/>
      <c r="J105" s="256" t="n"/>
      <c r="K105" s="256" t="n"/>
      <c r="L105" s="256" t="n"/>
      <c r="M105" s="256" t="n"/>
      <c r="N105" s="256" t="n"/>
      <c r="O105" s="256" t="n"/>
      <c r="P105" s="256" t="n"/>
      <c r="Q105" s="256" t="n"/>
      <c r="R105" s="256" t="n"/>
      <c r="S105" s="256" t="n"/>
      <c r="T105" s="256" t="n"/>
      <c r="U105" s="256" t="n"/>
      <c r="V105" s="247">
        <f>IF(C105="Gutschrift","",IF(G105="","",IF(Besatzung!$B$11="","",IFERROR(IF(I105="Zeitanteilig",(Besatzung!$G$11*(G105-IFERROR(H105,0))+((Besatzung!$B$11&lt;&gt;"")*IF(B105="",1,(IF(Besatzung!$C$11="",Besatzung!$B$5,Besatzung!$C$11)&lt;=B105)*(IF(Besatzung!$D$11="",Besatzung!$B$6,Besatzung!$D$11)&gt;=B105)))*(Besatzung!$F$11="x")*IFERROR(H105,0)/IFERROR(SUMPRODUCT((Besatzung!$B$11:$B$22&lt;&gt;"")*(Besatzung!$F$11:$F$22="x")*(IF(Besatzung!$C$11:$C$22="",Besatzung!$B$5,Besatzung!$C$11:$C$22)&lt;=B105)*(IF(Besatzung!$D$11:$D$22="",Besatzung!$B$6,Besatzung!$D$11:$D$22)&gt;=B105)),1)),IF(I105="An Bord",(((Besatzung!$B$11&lt;&gt;"")*IF(B105="",1,(IF(Besatzung!$C$11="",Besatzung!$B$5,Besatzung!$C$11)&lt;=B105)*(IF(Besatzung!$D$11="",Besatzung!$B$6,Besatzung!$D$11)&gt;=B105)))*((G105-IFERROR(H105,0))/IFERROR(SUMPRODUCT((Besatzung!$B$11:$B$22&lt;&gt;"")*(IF(Besatzung!$C$11:$C$22="",Besatzung!$B$5,Besatzung!$C$11:$C$22)&lt;=B105)*(IF(Besatzung!$D$11:$D$22="",Besatzung!$B$6,Besatzung!$D$11:$D$22)&gt;=B105)),1)+(Besatzung!$F$11="x")*IFERROR(H105,0)/IFERROR(SUMPRODUCT((Besatzung!$B$11:$B$22&lt;&gt;"")*(Besatzung!$F$11:$F$22="x")*(IF(Besatzung!$C$11:$C$22="",Besatzung!$B$5,Besatzung!$C$11:$C$22)&lt;=B105)*(IF(Besatzung!$D$11:$D$22="",Besatzung!$B$6,Besatzung!$D$11:$D$22)&gt;=B105)),1))),IF(I105="Individuell",((J105="x")*((G105-IFERROR(H105,0))/IFERROR(COUNTIF(J105:U105,"x"),1)+(Besatzung!$F$11="x")*IFERROR(H105,0)/IFERROR(SUMPRODUCT((J105:U105="x")*(Besatzung!$F$11:$F$22="x")),1))),(IF(COUNTIF(J105:U105,"x")=0,IF(Besatzung!$B$11&lt;&gt;"",1,0),(J105="x"))*(G105-IFERROR(H105,0))/IFERROR(IF(COUNTIF(J105:U105,"x")=0,COUNTA(Besatzung!$B$11:$B$22),COUNTIF(J105:U105,"x")),1)+IF(COUNTIF(J105:U105,"x")=0,(Besatzung!$F$11="x"),(J105="x")*(Besatzung!$F$11="x"))*IFERROR(H105,0)/IFERROR(IF(COUNTIF(J105:U105,"x")=0,SUMPRODUCT((Besatzung!$B$11:$B$22&lt;&gt;"")*(Besatzung!$F$11:$F$22="x")),SUMPRODUCT((J105:U105="x")*(Besatzung!$F$11:$F$22="x"))),1))))),0))))</f>
        <v/>
      </c>
      <c r="W105" s="247">
        <f>IF(C105="Gutschrift","",IF(G105="","",IF(Besatzung!$B$12="","",IFERROR(IF(I105="Zeitanteilig",(Besatzung!$G$12*(G105-IFERROR(H105,0))+((Besatzung!$B$12&lt;&gt;"")*IF(B105="",1,(IF(Besatzung!$C$12="",Besatzung!$B$5,Besatzung!$C$12)&lt;=B105)*(IF(Besatzung!$D$12="",Besatzung!$B$6,Besatzung!$D$12)&gt;=B105)))*(Besatzung!$F$12="x")*IFERROR(H105,0)/IFERROR(SUMPRODUCT((Besatzung!$B$11:$B$22&lt;&gt;"")*(Besatzung!$F$11:$F$22="x")*(IF(Besatzung!$C$11:$C$22="",Besatzung!$B$5,Besatzung!$C$11:$C$22)&lt;=B105)*(IF(Besatzung!$D$11:$D$22="",Besatzung!$B$6,Besatzung!$D$11:$D$22)&gt;=B105)),1)),IF(I105="An Bord",(((Besatzung!$B$12&lt;&gt;"")*IF(B105="",1,(IF(Besatzung!$C$12="",Besatzung!$B$5,Besatzung!$C$12)&lt;=B105)*(IF(Besatzung!$D$12="",Besatzung!$B$6,Besatzung!$D$12)&gt;=B105)))*((G105-IFERROR(H105,0))/IFERROR(SUMPRODUCT((Besatzung!$B$11:$B$22&lt;&gt;"")*(IF(Besatzung!$C$11:$C$22="",Besatzung!$B$5,Besatzung!$C$11:$C$22)&lt;=B105)*(IF(Besatzung!$D$11:$D$22="",Besatzung!$B$6,Besatzung!$D$11:$D$22)&gt;=B105)),1)+(Besatzung!$F$12="x")*IFERROR(H105,0)/IFERROR(SUMPRODUCT((Besatzung!$B$11:$B$22&lt;&gt;"")*(Besatzung!$F$11:$F$22="x")*(IF(Besatzung!$C$11:$C$22="",Besatzung!$B$5,Besatzung!$C$11:$C$22)&lt;=B105)*(IF(Besatzung!$D$11:$D$22="",Besatzung!$B$6,Besatzung!$D$11:$D$22)&gt;=B105)),1))),IF(I105="Individuell",((K105="x")*((G105-IFERROR(H105,0))/IFERROR(COUNTIF(J105:U105,"x"),1)+(Besatzung!$F$12="x")*IFERROR(H105,0)/IFERROR(SUMPRODUCT((J105:U105="x")*(Besatzung!$F$11:$F$22="x")),1))),(IF(COUNTIF(J105:U105,"x")=0,IF(Besatzung!$B$12&lt;&gt;"",1,0),(K105="x"))*(G105-IFERROR(H105,0))/IFERROR(IF(COUNTIF(J105:U105,"x")=0,COUNTA(Besatzung!$B$11:$B$22),COUNTIF(J105:U105,"x")),1)+IF(COUNTIF(J105:U105,"x")=0,(Besatzung!$F$12="x"),(K105="x")*(Besatzung!$F$12="x"))*IFERROR(H105,0)/IFERROR(IF(COUNTIF(J105:U105,"x")=0,SUMPRODUCT((Besatzung!$B$11:$B$22&lt;&gt;"")*(Besatzung!$F$11:$F$22="x")),SUMPRODUCT((J105:U105="x")*(Besatzung!$F$11:$F$22="x"))),1))))),0))))</f>
        <v/>
      </c>
      <c r="X105" s="247">
        <f>IF(C105="Gutschrift","",IF(G105="","",IF(Besatzung!$B$13="","",IFERROR(IF(I105="Zeitanteilig",(Besatzung!$G$13*(G105-IFERROR(H105,0))+((Besatzung!$B$13&lt;&gt;"")*IF(B105="",1,(IF(Besatzung!$C$13="",Besatzung!$B$5,Besatzung!$C$13)&lt;=B105)*(IF(Besatzung!$D$13="",Besatzung!$B$6,Besatzung!$D$13)&gt;=B105)))*(Besatzung!$F$13="x")*IFERROR(H105,0)/IFERROR(SUMPRODUCT((Besatzung!$B$11:$B$22&lt;&gt;"")*(Besatzung!$F$11:$F$22="x")*(IF(Besatzung!$C$11:$C$22="",Besatzung!$B$5,Besatzung!$C$11:$C$22)&lt;=B105)*(IF(Besatzung!$D$11:$D$22="",Besatzung!$B$6,Besatzung!$D$11:$D$22)&gt;=B105)),1)),IF(I105="An Bord",(((Besatzung!$B$13&lt;&gt;"")*IF(B105="",1,(IF(Besatzung!$C$13="",Besatzung!$B$5,Besatzung!$C$13)&lt;=B105)*(IF(Besatzung!$D$13="",Besatzung!$B$6,Besatzung!$D$13)&gt;=B105)))*((G105-IFERROR(H105,0))/IFERROR(SUMPRODUCT((Besatzung!$B$11:$B$22&lt;&gt;"")*(IF(Besatzung!$C$11:$C$22="",Besatzung!$B$5,Besatzung!$C$11:$C$22)&lt;=B105)*(IF(Besatzung!$D$11:$D$22="",Besatzung!$B$6,Besatzung!$D$11:$D$22)&gt;=B105)),1)+(Besatzung!$F$13="x")*IFERROR(H105,0)/IFERROR(SUMPRODUCT((Besatzung!$B$11:$B$22&lt;&gt;"")*(Besatzung!$F$11:$F$22="x")*(IF(Besatzung!$C$11:$C$22="",Besatzung!$B$5,Besatzung!$C$11:$C$22)&lt;=B105)*(IF(Besatzung!$D$11:$D$22="",Besatzung!$B$6,Besatzung!$D$11:$D$22)&gt;=B105)),1))),IF(I105="Individuell",((K105="x")*((G105-IFERROR(H105,0))/IFERROR(COUNTIF(J105:U105,"x"),1)+(Besatzung!$F$13="x")*IFERROR(H105,0)/IFERROR(SUMPRODUCT((J105:U105="x")*(Besatzung!$F$11:$F$22="x")),1))),(IF(COUNTIF(J105:U105,"x")=0,IF(Besatzung!$B$13&lt;&gt;"",1,0),(K105="x"))*(G105-IFERROR(H105,0))/IFERROR(IF(COUNTIF(J105:U105,"x")=0,COUNTA(Besatzung!$B$11:$B$22),COUNTIF(J105:U105,"x")),1)+IF(COUNTIF(J105:U105,"x")=0,(Besatzung!$F$13="x"),(K105="x")*(Besatzung!$F$13="x"))*IFERROR(H105,0)/IFERROR(IF(COUNTIF(J105:U105,"x")=0,SUMPRODUCT((Besatzung!$B$11:$B$22&lt;&gt;"")*(Besatzung!$F$11:$F$22="x")),SUMPRODUCT((J105:U105="x")*(Besatzung!$F$11:$F$22="x"))),1))))),0))))</f>
        <v/>
      </c>
      <c r="Y105" s="247">
        <f>IF(C105="Gutschrift","",IF(G105="","",IF(Besatzung!$B$14="","",IFERROR(IF(I105="Zeitanteilig",(Besatzung!$G$14*(G105-IFERROR(H105,0))+((Besatzung!$B$14&lt;&gt;"")*IF(B105="",1,(IF(Besatzung!$C$14="",Besatzung!$B$5,Besatzung!$C$14)&lt;=B105)*(IF(Besatzung!$D$14="",Besatzung!$B$6,Besatzung!$D$14)&gt;=B105)))*(Besatzung!$F$14="x")*IFERROR(H105,0)/IFERROR(SUMPRODUCT((Besatzung!$B$11:$B$22&lt;&gt;"")*(Besatzung!$F$11:$F$22="x")*(IF(Besatzung!$C$11:$C$22="",Besatzung!$B$5,Besatzung!$C$11:$C$22)&lt;=B105)*(IF(Besatzung!$D$11:$D$22="",Besatzung!$B$6,Besatzung!$D$11:$D$22)&gt;=B105)),1)),IF(I105="An Bord",(((Besatzung!$B$14&lt;&gt;"")*IF(B105="",1,(IF(Besatzung!$C$14="",Besatzung!$B$5,Besatzung!$C$14)&lt;=B105)*(IF(Besatzung!$D$14="",Besatzung!$B$6,Besatzung!$D$14)&gt;=B105)))*((G105-IFERROR(H105,0))/IFERROR(SUMPRODUCT((Besatzung!$B$11:$B$22&lt;&gt;"")*(IF(Besatzung!$C$11:$C$22="",Besatzung!$B$5,Besatzung!$C$11:$C$22)&lt;=B105)*(IF(Besatzung!$D$11:$D$22="",Besatzung!$B$6,Besatzung!$D$11:$D$22)&gt;=B105)),1)+(Besatzung!$F$14="x")*IFERROR(H105,0)/IFERROR(SUMPRODUCT((Besatzung!$B$11:$B$22&lt;&gt;"")*(Besatzung!$F$11:$F$22="x")*(IF(Besatzung!$C$11:$C$22="",Besatzung!$B$5,Besatzung!$C$11:$C$22)&lt;=B105)*(IF(Besatzung!$D$11:$D$22="",Besatzung!$B$6,Besatzung!$D$11:$D$22)&gt;=B105)),1))),IF(I105="Individuell",((M105="x")*((G105-IFERROR(H105,0))/IFERROR(COUNTIF(J105:U105,"x"),1)+(Besatzung!$F$14="x")*IFERROR(H105,0)/IFERROR(SUMPRODUCT((J105:U105="x")*(Besatzung!$F$11:$F$22="x")),1))),(IF(COUNTIF(J105:U105,"x")=0,IF(Besatzung!$B$14&lt;&gt;"",1,0),(M105="x"))*(G105-IFERROR(H105,0))/IFERROR(IF(COUNTIF(J105:U105,"x")=0,COUNTA(Besatzung!$B$11:$B$22),COUNTIF(J105:U105,"x")),1)+IF(COUNTIF(J105:U105,"x")=0,(Besatzung!$F$14="x"),(M105="x")*(Besatzung!$F$14="x"))*IFERROR(H105,0)/IFERROR(IF(COUNTIF(J105:U105,"x")=0,SUMPRODUCT((Besatzung!$B$11:$B$22&lt;&gt;"")*(Besatzung!$F$11:$F$22="x")),SUMPRODUCT((J105:U105="x")*(Besatzung!$F$11:$F$22="x"))),1))))),0))))</f>
        <v/>
      </c>
      <c r="Z105" s="247">
        <f>IF(C105="Gutschrift","",IF(G105="","",IF(Besatzung!$B$13="","",IFERROR(IF(I105="Zeitanteilig",(Besatzung!$G$15*(G105-IFERROR(H105,0))+((Besatzung!$B$13&lt;&gt;"")*IF(B105="",1,(IF(Besatzung!$C$15="",Besatzung!$B$5,Besatzung!$C$15)&lt;=B105)*(IF(Besatzung!$D$15="",Besatzung!$B$6,Besatzung!$D$15)&gt;=B105)))*(Besatzung!$F$15="x")*IFERROR(H105,0)/IFERROR(SUMPRODUCT((Besatzung!$B$11:$B$22&lt;&gt;"")*(Besatzung!$F$11:$F$22="x")*(IF(Besatzung!$C$11:$C$22="",Besatzung!$B$5,Besatzung!$C$11:$C$22)&lt;=B105)*(IF(Besatzung!$D$11:$D$22="",Besatzung!$B$6,Besatzung!$D$11:$D$22)&gt;=B105)),1)),IF(I105="An Bord",(((Besatzung!$B$13&lt;&gt;"")*IF(B105="",1,(IF(Besatzung!$C$15="",Besatzung!$B$5,Besatzung!$C$15)&lt;=B105)*(IF(Besatzung!$D$15="",Besatzung!$B$6,Besatzung!$D$15)&gt;=B105)))*((G105-IFERROR(H105,0))/IFERROR(SUMPRODUCT((Besatzung!$B$11:$B$22&lt;&gt;"")*(IF(Besatzung!$C$11:$C$22="",Besatzung!$B$5,Besatzung!$C$11:$C$22)&lt;=B105)*(IF(Besatzung!$D$11:$D$22="",Besatzung!$B$6,Besatzung!$D$11:$D$22)&gt;=B105)),1)+(Besatzung!$F$15="x")*IFERROR(H105,0)/IFERROR(SUMPRODUCT((Besatzung!$B$11:$B$22&lt;&gt;"")*(Besatzung!$F$11:$F$22="x")*(IF(Besatzung!$C$11:$C$22="",Besatzung!$B$5,Besatzung!$C$11:$C$22)&lt;=B105)*(IF(Besatzung!$D$11:$D$22="",Besatzung!$B$6,Besatzung!$D$11:$D$22)&gt;=B105)),1))),IF(I105="Individuell",((N105="x")*((G105-IFERROR(H105,0))/IFERROR(COUNTIF(J105:U105,"x"),1)+(Besatzung!$F$15="x")*IFERROR(H105,0)/IFERROR(SUMPRODUCT((J105:U105="x")*(Besatzung!$F$11:$F$22="x")),1))),(IF(COUNTIF(J105:U105,"x")=0,IF(Besatzung!$B$13&lt;&gt;"",1,0),(N105="x"))*(G105-IFERROR(H105,0))/IFERROR(IF(COUNTIF(J105:U105,"x")=0,COUNTA(Besatzung!$B$11:$B$22),COUNTIF(J105:U105,"x")),1)+IF(COUNTIF(J105:U105,"x")=0,(Besatzung!$F$15="x"),(N105="x")*(Besatzung!$F$15="x"))*IFERROR(H105,0)/IFERROR(IF(COUNTIF(J105:U105,"x")=0,SUMPRODUCT((Besatzung!$B$11:$B$22&lt;&gt;"")*(Besatzung!$F$11:$F$22="x")),SUMPRODUCT((J105:U105="x")*(Besatzung!$F$11:$F$22="x"))),1))))),0))))</f>
        <v/>
      </c>
      <c r="AA105" s="247">
        <f>IF(C105="Gutschrift","",IF(G105="","",IF(Besatzung!$B$15="","",IFERROR(IF(I105="Zeitanteilig",(Besatzung!$G$16*(G105-IFERROR(H105,0))+((Besatzung!$B$15&lt;&gt;"")*IF(B105="",1,(IF(Besatzung!$C$16="",Besatzung!$B$5,Besatzung!$C$16)&lt;=B105)*(IF(Besatzung!$D$16="",Besatzung!$B$6,Besatzung!$D$16)&gt;=B105)))*(Besatzung!$F$16="x")*IFERROR(H105,0)/IFERROR(SUMPRODUCT((Besatzung!$B$11:$B$22&lt;&gt;"")*(Besatzung!$F$11:$F$22="x")*(IF(Besatzung!$C$11:$C$22="",Besatzung!$B$5,Besatzung!$C$11:$C$22)&lt;=B105)*(IF(Besatzung!$D$11:$D$22="",Besatzung!$B$6,Besatzung!$D$11:$D$22)&gt;=B105)),1)),IF(I105="An Bord",(((Besatzung!$B$15&lt;&gt;"")*IF(B105="",1,(IF(Besatzung!$C$16="",Besatzung!$B$5,Besatzung!$C$16)&lt;=B105)*(IF(Besatzung!$D$16="",Besatzung!$B$6,Besatzung!$D$16)&gt;=B105)))*((G105-IFERROR(H105,0))/IFERROR(SUMPRODUCT((Besatzung!$B$11:$B$22&lt;&gt;"")*(IF(Besatzung!$C$11:$C$22="",Besatzung!$B$5,Besatzung!$C$11:$C$22)&lt;=B105)*(IF(Besatzung!$D$11:$D$22="",Besatzung!$B$6,Besatzung!$D$11:$D$22)&gt;=B105)),1)+(Besatzung!$F$16="x")*IFERROR(H105,0)/IFERROR(SUMPRODUCT((Besatzung!$B$11:$B$22&lt;&gt;"")*(Besatzung!$F$11:$F$22="x")*(IF(Besatzung!$C$11:$C$22="",Besatzung!$B$5,Besatzung!$C$11:$C$22)&lt;=B105)*(IF(Besatzung!$D$11:$D$22="",Besatzung!$B$6,Besatzung!$D$11:$D$22)&gt;=B105)),1))),IF(I105="Individuell",((O105="x")*((G105-IFERROR(H105,0))/IFERROR(COUNTIF(J105:U105,"x"),1)+(Besatzung!$F$16="x")*IFERROR(H105,0)/IFERROR(SUMPRODUCT((J105:U105="x")*(Besatzung!$F$11:$F$22="x")),1))),(IF(COUNTIF(J105:U105,"x")=0,IF(Besatzung!$B$15&lt;&gt;"",1,0),(O105="x"))*(G105-IFERROR(H105,0))/IFERROR(IF(COUNTIF(J105:U105,"x")=0,COUNTA(Besatzung!$B$11:$B$22),COUNTIF(J105:U105,"x")),1)+IF(COUNTIF(J105:U105,"x")=0,(Besatzung!$F$16="x"),(O105="x")*(Besatzung!$F$16="x"))*IFERROR(H105,0)/IFERROR(IF(COUNTIF(J105:U105,"x")=0,SUMPRODUCT((Besatzung!$B$11:$B$22&lt;&gt;"")*(Besatzung!$F$11:$F$22="x")),SUMPRODUCT((J105:U105="x")*(Besatzung!$F$11:$F$22="x"))),1))))),0))))</f>
        <v/>
      </c>
      <c r="AB105" s="247">
        <f>IF(C105="Gutschrift","",IF(G105="","",IF(Besatzung!$B$17="","",IFERROR(IF(I105="Zeitanteilig",(Besatzung!$G$17*(G105-IFERROR(H105,0))+((Besatzung!$B$17&lt;&gt;"")*IF(B105="",1,(IF(Besatzung!$C$17="",Besatzung!$B$5,Besatzung!$C$17)&lt;=B105)*(IF(Besatzung!$D$17="",Besatzung!$B$6,Besatzung!$D$17)&gt;=B105)))*(Besatzung!$F$17="x")*IFERROR(H105,0)/IFERROR(SUMPRODUCT((Besatzung!$B$11:$B$22&lt;&gt;"")*(Besatzung!$F$11:$F$22="x")*(IF(Besatzung!$C$11:$C$22="",Besatzung!$B$5,Besatzung!$C$11:$C$22)&lt;=B105)*(IF(Besatzung!$D$11:$D$22="",Besatzung!$B$6,Besatzung!$D$11:$D$22)&gt;=B105)),1)),IF(I105="An Bord",(((Besatzung!$B$17&lt;&gt;"")*IF(B105="",1,(IF(Besatzung!$C$17="",Besatzung!$B$5,Besatzung!$C$17)&lt;=B105)*(IF(Besatzung!$D$17="",Besatzung!$B$6,Besatzung!$D$17)&gt;=B105)))*((G105-IFERROR(H105,0))/IFERROR(SUMPRODUCT((Besatzung!$B$11:$B$22&lt;&gt;"")*(IF(Besatzung!$C$11:$C$22="",Besatzung!$B$5,Besatzung!$C$11:$C$22)&lt;=B105)*(IF(Besatzung!$D$11:$D$22="",Besatzung!$B$6,Besatzung!$D$11:$D$22)&gt;=B105)),1)+(Besatzung!$F$17="x")*IFERROR(H105,0)/IFERROR(SUMPRODUCT((Besatzung!$B$11:$B$22&lt;&gt;"")*(Besatzung!$F$11:$F$22="x")*(IF(Besatzung!$C$11:$C$22="",Besatzung!$B$5,Besatzung!$C$11:$C$22)&lt;=B105)*(IF(Besatzung!$D$11:$D$22="",Besatzung!$B$6,Besatzung!$D$11:$D$22)&gt;=B105)),1))),IF(I105="Individuell",((P105="x")*((G105-IFERROR(H105,0))/IFERROR(COUNTIF(J105:U105,"x"),1)+(Besatzung!$F$17="x")*IFERROR(H105,0)/IFERROR(SUMPRODUCT((J105:U105="x")*(Besatzung!$F$11:$F$22="x")),1))),(IF(COUNTIF(J105:U105,"x")=0,IF(Besatzung!$B$17&lt;&gt;"",1,0),(P105="x"))*(G105-IFERROR(H105,0))/IFERROR(IF(COUNTIF(J105:U105,"x")=0,COUNTA(Besatzung!$B$11:$B$22),COUNTIF(J105:U105,"x")),1)+IF(COUNTIF(J105:U105,"x")=0,(Besatzung!$F$17="x"),(P105="x")*(Besatzung!$F$17="x"))*IFERROR(H105,0)/IFERROR(IF(COUNTIF(J105:U105,"x")=0,SUMPRODUCT((Besatzung!$B$11:$B$22&lt;&gt;"")*(Besatzung!$F$11:$F$22="x")),SUMPRODUCT((J105:U105="x")*(Besatzung!$F$11:$F$22="x"))),1))))),0))))</f>
        <v/>
      </c>
      <c r="AC105" s="247">
        <f>IF(C105="Gutschrift","",IF(G105="","",IF(Besatzung!$B$18="","",IFERROR(IF(I105="Zeitanteilig",(Besatzung!$G$18*(G105-IFERROR(H105,0))+((Besatzung!$B$18&lt;&gt;"")*IF(B105="",1,(IF(Besatzung!$C$18="",Besatzung!$B$5,Besatzung!$C$18)&lt;=B105)*(IF(Besatzung!$D$18="",Besatzung!$B$6,Besatzung!$D$18)&gt;=B105)))*(Besatzung!$F$18="x")*IFERROR(H105,0)/IFERROR(SUMPRODUCT((Besatzung!$B$11:$B$22&lt;&gt;"")*(Besatzung!$F$11:$F$22="x")*(IF(Besatzung!$C$11:$C$22="",Besatzung!$B$5,Besatzung!$C$11:$C$22)&lt;=B105)*(IF(Besatzung!$D$11:$D$22="",Besatzung!$B$6,Besatzung!$D$11:$D$22)&gt;=B105)),1)),IF(I105="An Bord",(((Besatzung!$B$18&lt;&gt;"")*IF(B105="",1,(IF(Besatzung!$C$18="",Besatzung!$B$5,Besatzung!$C$18)&lt;=B105)*(IF(Besatzung!$D$18="",Besatzung!$B$6,Besatzung!$D$18)&gt;=B105)))*((G105-IFERROR(H105,0))/IFERROR(SUMPRODUCT((Besatzung!$B$11:$B$22&lt;&gt;"")*(IF(Besatzung!$C$11:$C$22="",Besatzung!$B$5,Besatzung!$C$11:$C$22)&lt;=B105)*(IF(Besatzung!$D$11:$D$22="",Besatzung!$B$6,Besatzung!$D$11:$D$22)&gt;=B105)),1)+(Besatzung!$F$18="x")*IFERROR(H105,0)/IFERROR(SUMPRODUCT((Besatzung!$B$11:$B$22&lt;&gt;"")*(Besatzung!$F$11:$F$22="x")*(IF(Besatzung!$C$11:$C$22="",Besatzung!$B$5,Besatzung!$C$11:$C$22)&lt;=B105)*(IF(Besatzung!$D$11:$D$22="",Besatzung!$B$6,Besatzung!$D$11:$D$22)&gt;=B105)),1))),IF(I105="Individuell",((Q105="x")*((G105-IFERROR(H105,0))/IFERROR(COUNTIF(J105:U105,"x"),1)+(Besatzung!$F$18="x")*IFERROR(H105,0)/IFERROR(SUMPRODUCT((J105:U105="x")*(Besatzung!$F$11:$F$22="x")),1))),(IF(COUNTIF(J105:U105,"x")=0,IF(Besatzung!$B$18&lt;&gt;"",1,0),(Q105="x"))*(G105-IFERROR(H105,0))/IFERROR(IF(COUNTIF(J105:U105,"x")=0,COUNTA(Besatzung!$B$11:$B$22),COUNTIF(J105:U105,"x")),1)+IF(COUNTIF(J105:U105,"x")=0,(Besatzung!$F$18="x"),(Q105="x")*(Besatzung!$F$18="x"))*IFERROR(H105,0)/IFERROR(IF(COUNTIF(J105:U105,"x")=0,SUMPRODUCT((Besatzung!$B$11:$B$22&lt;&gt;"")*(Besatzung!$F$11:$F$22="x")),SUMPRODUCT((J105:U105="x")*(Besatzung!$F$11:$F$22="x"))),1))))),0))))</f>
        <v/>
      </c>
      <c r="AD105" s="247">
        <f>IF(C105="Gutschrift","",IF(G105="","",IF(Besatzung!$B$19="","",IFERROR(IF(I105="Zeitanteilig",(Besatzung!$G$19*(G105-IFERROR(H105,0))+((Besatzung!$B$19&lt;&gt;"")*IF(B105="",1,(IF(Besatzung!$C$19="",Besatzung!$B$5,Besatzung!$C$19)&lt;=B105)*(IF(Besatzung!$D$19="",Besatzung!$B$6,Besatzung!$D$19)&gt;=B105)))*(Besatzung!$F$19="x")*IFERROR(H105,0)/IFERROR(SUMPRODUCT((Besatzung!$B$11:$B$22&lt;&gt;"")*(Besatzung!$F$11:$F$22="x")*(IF(Besatzung!$C$11:$C$22="",Besatzung!$B$5,Besatzung!$C$11:$C$22)&lt;=B105)*(IF(Besatzung!$D$11:$D$22="",Besatzung!$B$6,Besatzung!$D$11:$D$22)&gt;=B105)),1)),IF(I105="An Bord",(((Besatzung!$B$19&lt;&gt;"")*IF(B105="",1,(IF(Besatzung!$C$19="",Besatzung!$B$5,Besatzung!$C$19)&lt;=B105)*(IF(Besatzung!$D$19="",Besatzung!$B$6,Besatzung!$D$19)&gt;=B105)))*((G105-IFERROR(H105,0))/IFERROR(SUMPRODUCT((Besatzung!$B$11:$B$22&lt;&gt;"")*(IF(Besatzung!$C$11:$C$22="",Besatzung!$B$5,Besatzung!$C$11:$C$22)&lt;=B105)*(IF(Besatzung!$D$11:$D$22="",Besatzung!$B$6,Besatzung!$D$11:$D$22)&gt;=B105)),1)+(Besatzung!$F$19="x")*IFERROR(H105,0)/IFERROR(SUMPRODUCT((Besatzung!$B$11:$B$22&lt;&gt;"")*(Besatzung!$F$11:$F$22="x")*(IF(Besatzung!$C$11:$C$22="",Besatzung!$B$5,Besatzung!$C$11:$C$22)&lt;=B105)*(IF(Besatzung!$D$11:$D$22="",Besatzung!$B$6,Besatzung!$D$11:$D$22)&gt;=B105)),1))),IF(I105="Individuell",((R105="x")*((G105-IFERROR(H105,0))/IFERROR(COUNTIF(J105:U105,"x"),1)+(Besatzung!$F$19="x")*IFERROR(H105,0)/IFERROR(SUMPRODUCT((J105:U105="x")*(Besatzung!$F$11:$F$22="x")),1))),(IF(COUNTIF(J105:U105,"x")=0,IF(Besatzung!$B$19&lt;&gt;"",1,0),(R105="x"))*(G105-IFERROR(H105,0))/IFERROR(IF(COUNTIF(J105:U105,"x")=0,COUNTA(Besatzung!$B$11:$B$22),COUNTIF(J105:U105,"x")),1)+IF(COUNTIF(J105:U105,"x")=0,(Besatzung!$F$19="x"),(R105="x")*(Besatzung!$F$19="x"))*IFERROR(H105,0)/IFERROR(IF(COUNTIF(J105:U105,"x")=0,SUMPRODUCT((Besatzung!$B$11:$B$22&lt;&gt;"")*(Besatzung!$F$11:$F$22="x")),SUMPRODUCT((J105:U105="x")*(Besatzung!$F$11:$F$22="x"))),1))))),0))))</f>
        <v/>
      </c>
      <c r="AE105" s="247">
        <f>IF(C105="Gutschrift","",IF(G105="","",IF(Besatzung!$B$20="","",IFERROR(IF(I105="Zeitanteilig",(Besatzung!$G$20*(G105-IFERROR(H105,0))+((Besatzung!$B$20&lt;&gt;"")*IF(B105="",1,(IF(Besatzung!$C$20="",Besatzung!$B$5,Besatzung!$C$20)&lt;=B105)*(IF(Besatzung!$D$20="",Besatzung!$B$6,Besatzung!$D$20)&gt;=B105)))*(Besatzung!$F$20="x")*IFERROR(H105,0)/IFERROR(SUMPRODUCT((Besatzung!$B$11:$B$22&lt;&gt;"")*(Besatzung!$F$11:$F$22="x")*(IF(Besatzung!$C$11:$C$22="",Besatzung!$B$5,Besatzung!$C$11:$C$22)&lt;=B105)*(IF(Besatzung!$D$11:$D$22="",Besatzung!$B$6,Besatzung!$D$11:$D$22)&gt;=B105)),1)),IF(I105="An Bord",(((Besatzung!$B$20&lt;&gt;"")*IF(B105="",1,(IF(Besatzung!$C$20="",Besatzung!$B$5,Besatzung!$C$20)&lt;=B105)*(IF(Besatzung!$D$20="",Besatzung!$B$6,Besatzung!$D$20)&gt;=B105)))*((G105-IFERROR(H105,0))/IFERROR(SUMPRODUCT((Besatzung!$B$11:$B$22&lt;&gt;"")*(IF(Besatzung!$C$11:$C$22="",Besatzung!$B$5,Besatzung!$C$11:$C$22)&lt;=B105)*(IF(Besatzung!$D$11:$D$22="",Besatzung!$B$6,Besatzung!$D$11:$D$22)&gt;=B105)),1)+(Besatzung!$F$20="x")*IFERROR(H105,0)/IFERROR(SUMPRODUCT((Besatzung!$B$11:$B$22&lt;&gt;"")*(Besatzung!$F$11:$F$22="x")*(IF(Besatzung!$C$11:$C$22="",Besatzung!$B$5,Besatzung!$C$11:$C$22)&lt;=B105)*(IF(Besatzung!$D$11:$D$22="",Besatzung!$B$6,Besatzung!$D$11:$D$22)&gt;=B105)),1))),IF(I105="Individuell",((S105="x")*((G105-IFERROR(H105,0))/IFERROR(COUNTIF(J105:U105,"x"),1)+(Besatzung!$F$20="x")*IFERROR(H105,0)/IFERROR(SUMPRODUCT((J105:U105="x")*(Besatzung!$F$11:$F$22="x")),1))),(IF(COUNTIF(J105:U105,"x")=0,IF(Besatzung!$B$20&lt;&gt;"",1,0),(S105="x"))*(G105-IFERROR(H105,0))/IFERROR(IF(COUNTIF(J105:U105,"x")=0,COUNTA(Besatzung!$B$11:$B$22),COUNTIF(J105:U105,"x")),1)+IF(COUNTIF(J105:U105,"x")=0,(Besatzung!$F$20="x"),(S105="x")*(Besatzung!$F$20="x"))*IFERROR(H105,0)/IFERROR(IF(COUNTIF(J105:U105,"x")=0,SUMPRODUCT((Besatzung!$B$11:$B$22&lt;&gt;"")*(Besatzung!$F$11:$F$22="x")),SUMPRODUCT((J105:U105="x")*(Besatzung!$F$11:$F$22="x"))),1))))),0))))</f>
        <v/>
      </c>
      <c r="AF105" s="247">
        <f>IF(C105="Gutschrift","",IF(G105="","",IF(Besatzung!$B$21="","",IFERROR(IF(I105="Zeitanteilig",(Besatzung!$G$21*(G105-IFERROR(H105,0))+((Besatzung!$B$21&lt;&gt;"")*IF(B105="",1,(IF(Besatzung!$C$21="",Besatzung!$B$5,Besatzung!$C$21)&lt;=B105)*(IF(Besatzung!$D$21="",Besatzung!$B$6,Besatzung!$D$21)&gt;=B105)))*(Besatzung!$F$21="x")*IFERROR(H105,0)/IFERROR(SUMPRODUCT((Besatzung!$B$11:$B$22&lt;&gt;"")*(Besatzung!$F$11:$F$22="x")*(IF(Besatzung!$C$11:$C$22="",Besatzung!$B$5,Besatzung!$C$11:$C$22)&lt;=B105)*(IF(Besatzung!$D$11:$D$22="",Besatzung!$B$6,Besatzung!$D$11:$D$22)&gt;=B105)),1)),IF(I105="An Bord",(((Besatzung!$B$21&lt;&gt;"")*IF(B105="",1,(IF(Besatzung!$C$21="",Besatzung!$B$5,Besatzung!$C$21)&lt;=B105)*(IF(Besatzung!$D$21="",Besatzung!$B$6,Besatzung!$D$21)&gt;=B105)))*((G105-IFERROR(H105,0))/IFERROR(SUMPRODUCT((Besatzung!$B$11:$B$22&lt;&gt;"")*(IF(Besatzung!$C$11:$C$22="",Besatzung!$B$5,Besatzung!$C$11:$C$22)&lt;=B105)*(IF(Besatzung!$D$11:$D$22="",Besatzung!$B$6,Besatzung!$D$11:$D$22)&gt;=B105)),1)+(Besatzung!$F$21="x")*IFERROR(H105,0)/IFERROR(SUMPRODUCT((Besatzung!$B$11:$B$22&lt;&gt;"")*(Besatzung!$F$11:$F$22="x")*(IF(Besatzung!$C$11:$C$22="",Besatzung!$B$5,Besatzung!$C$11:$C$22)&lt;=B105)*(IF(Besatzung!$D$11:$D$22="",Besatzung!$B$6,Besatzung!$D$11:$D$22)&gt;=B105)),1))),IF(I105="Individuell",((T105="x")*((G105-IFERROR(H105,0))/IFERROR(COUNTIF(J105:U105,"x"),1)+(Besatzung!$F$21="x")*IFERROR(H105,0)/IFERROR(SUMPRODUCT((J105:U105="x")*(Besatzung!$F$11:$F$22="x")),1))),(IF(COUNTIF(J105:U105,"x")=0,IF(Besatzung!$B$21&lt;&gt;"",1,0),(T105="x"))*(G105-IFERROR(H105,0))/IFERROR(IF(COUNTIF(J105:U105,"x")=0,COUNTA(Besatzung!$B$11:$B$22),COUNTIF(J105:U105,"x")),1)+IF(COUNTIF(J105:U105,"x")=0,(Besatzung!$F$21="x"),(T105="x")*(Besatzung!$F$21="x"))*IFERROR(H105,0)/IFERROR(IF(COUNTIF(J105:U105,"x")=0,SUMPRODUCT((Besatzung!$B$11:$B$22&lt;&gt;"")*(Besatzung!$F$11:$F$22="x")),SUMPRODUCT((J105:U105="x")*(Besatzung!$F$11:$F$22="x"))),1))))),0))))</f>
        <v/>
      </c>
      <c r="AG105" s="247">
        <f>IF(C105="Gutschrift","",IF(G105="","",IF(Besatzung!$B$22="","",IFERROR(IF(I105="Zeitanteilig",(Besatzung!$G$22*(G105-IFERROR(H105,0))+((Besatzung!$B$22&lt;&gt;"")*IF(B105="",1,(IF(Besatzung!$C$22="",Besatzung!$B$5,Besatzung!$C$22)&lt;=B105)*(IF(Besatzung!$D$22="",Besatzung!$B$6,Besatzung!$D$22)&gt;=B105)))*(Besatzung!$F$22="x")*IFERROR(H105,0)/IFERROR(SUMPRODUCT((Besatzung!$B$11:$B$22&lt;&gt;"")*(Besatzung!$F$11:$F$22="x")*(IF(Besatzung!$C$11:$C$22="",Besatzung!$B$5,Besatzung!$C$11:$C$22)&lt;=B105)*(IF(Besatzung!$D$11:$D$22="",Besatzung!$B$6,Besatzung!$D$11:$D$22)&gt;=B105)),1)),IF(I105="An Bord",(((Besatzung!$B$22&lt;&gt;"")*IF(B105="",1,(IF(Besatzung!$C$22="",Besatzung!$B$5,Besatzung!$C$22)&lt;=B105)*(IF(Besatzung!$D$22="",Besatzung!$B$6,Besatzung!$D$22)&gt;=B105)))*((G105-IFERROR(H105,0))/IFERROR(SUMPRODUCT((Besatzung!$B$11:$B$22&lt;&gt;"")*(IF(Besatzung!$C$11:$C$22="",Besatzung!$B$5,Besatzung!$C$11:$C$22)&lt;=B105)*(IF(Besatzung!$D$11:$D$22="",Besatzung!$B$6,Besatzung!$D$11:$D$22)&gt;=B105)),1)+(Besatzung!$F$22="x")*IFERROR(H105,0)/IFERROR(SUMPRODUCT((Besatzung!$B$11:$B$22&lt;&gt;"")*(Besatzung!$F$11:$F$22="x")*(IF(Besatzung!$C$11:$C$22="",Besatzung!$B$5,Besatzung!$C$11:$C$22)&lt;=B105)*(IF(Besatzung!$D$11:$D$22="",Besatzung!$B$6,Besatzung!$D$11:$D$22)&gt;=B105)),1))),IF(I105="Individuell",((U105="x")*((G105-IFERROR(H105,0))/IFERROR(COUNTIF(J105:U105,"x"),1)+(Besatzung!$F$22="x")*IFERROR(H105,0)/IFERROR(SUMPRODUCT((J105:U105="x")*(Besatzung!$F$11:$F$22="x")),1))),(IF(COUNTIF(J105:U105,"x")=0,IF(Besatzung!$B$22&lt;&gt;"",1,0),(U105="x"))*(G105-IFERROR(H105,0))/IFERROR(IF(COUNTIF(J105:U105,"x")=0,COUNTA(Besatzung!$B$11:$B$22),COUNTIF(J105:U105,"x")),1)+IF(COUNTIF(J105:U105,"x")=0,(Besatzung!$F$22="x"),(U105="x")*(Besatzung!$F$22="x"))*IFERROR(H105,0)/IFERROR(IF(COUNTIF(J105:U105,"x")=0,SUMPRODUCT((Besatzung!$B$11:$B$22&lt;&gt;"")*(Besatzung!$F$11:$F$22="x")),SUMPRODUCT((J105:U105="x")*(Besatzung!$F$11:$F$22="x"))),1))))),0))))</f>
        <v/>
      </c>
      <c r="AH105" s="248" t="n"/>
      <c r="AI105" s="248" t="n"/>
    </row>
    <row r="106" ht="21.75" customHeight="1" s="154">
      <c r="A106" s="238">
        <f>IF(AND(D106="",C106=""),"",103)</f>
        <v/>
      </c>
      <c r="B106" s="199" t="n"/>
      <c r="C106" s="239" t="n"/>
      <c r="D106" s="240" t="n"/>
      <c r="E106" s="241" t="n"/>
      <c r="F106" s="242" t="n"/>
      <c r="G106" s="243" t="n"/>
      <c r="H106" s="244" t="n"/>
      <c r="I106" s="245" t="n"/>
      <c r="J106" s="246" t="n"/>
      <c r="K106" s="246" t="n"/>
      <c r="L106" s="246" t="n"/>
      <c r="M106" s="246" t="n"/>
      <c r="N106" s="246" t="n"/>
      <c r="O106" s="246" t="n"/>
      <c r="P106" s="246" t="n"/>
      <c r="Q106" s="246" t="n"/>
      <c r="R106" s="246" t="n"/>
      <c r="S106" s="246" t="n"/>
      <c r="T106" s="246" t="n"/>
      <c r="U106" s="246" t="n"/>
      <c r="V106" s="247">
        <f>IF(C106="Gutschrift","",IF(G106="","",IF(Besatzung!$B$11="","",IFERROR(IF(I106="Zeitanteilig",(Besatzung!$G$11*(G106-IFERROR(H106,0))+((Besatzung!$B$11&lt;&gt;"")*IF(B106="",1,(IF(Besatzung!$C$11="",Besatzung!$B$5,Besatzung!$C$11)&lt;=B106)*(IF(Besatzung!$D$11="",Besatzung!$B$6,Besatzung!$D$11)&gt;=B106)))*(Besatzung!$F$11="x")*IFERROR(H106,0)/IFERROR(SUMPRODUCT((Besatzung!$B$11:$B$22&lt;&gt;"")*(Besatzung!$F$11:$F$22="x")*(IF(Besatzung!$C$11:$C$22="",Besatzung!$B$5,Besatzung!$C$11:$C$22)&lt;=B106)*(IF(Besatzung!$D$11:$D$22="",Besatzung!$B$6,Besatzung!$D$11:$D$22)&gt;=B106)),1)),IF(I106="An Bord",(((Besatzung!$B$11&lt;&gt;"")*IF(B106="",1,(IF(Besatzung!$C$11="",Besatzung!$B$5,Besatzung!$C$11)&lt;=B106)*(IF(Besatzung!$D$11="",Besatzung!$B$6,Besatzung!$D$11)&gt;=B106)))*((G106-IFERROR(H106,0))/IFERROR(SUMPRODUCT((Besatzung!$B$11:$B$22&lt;&gt;"")*(IF(Besatzung!$C$11:$C$22="",Besatzung!$B$5,Besatzung!$C$11:$C$22)&lt;=B106)*(IF(Besatzung!$D$11:$D$22="",Besatzung!$B$6,Besatzung!$D$11:$D$22)&gt;=B106)),1)+(Besatzung!$F$11="x")*IFERROR(H106,0)/IFERROR(SUMPRODUCT((Besatzung!$B$11:$B$22&lt;&gt;"")*(Besatzung!$F$11:$F$22="x")*(IF(Besatzung!$C$11:$C$22="",Besatzung!$B$5,Besatzung!$C$11:$C$22)&lt;=B106)*(IF(Besatzung!$D$11:$D$22="",Besatzung!$B$6,Besatzung!$D$11:$D$22)&gt;=B106)),1))),IF(I106="Individuell",((J106="x")*((G106-IFERROR(H106,0))/IFERROR(COUNTIF(J106:U106,"x"),1)+(Besatzung!$F$11="x")*IFERROR(H106,0)/IFERROR(SUMPRODUCT((J106:U106="x")*(Besatzung!$F$11:$F$22="x")),1))),(IF(COUNTIF(J106:U106,"x")=0,IF(Besatzung!$B$11&lt;&gt;"",1,0),(J106="x"))*(G106-IFERROR(H106,0))/IFERROR(IF(COUNTIF(J106:U106,"x")=0,COUNTA(Besatzung!$B$11:$B$22),COUNTIF(J106:U106,"x")),1)+IF(COUNTIF(J106:U106,"x")=0,(Besatzung!$F$11="x"),(J106="x")*(Besatzung!$F$11="x"))*IFERROR(H106,0)/IFERROR(IF(COUNTIF(J106:U106,"x")=0,SUMPRODUCT((Besatzung!$B$11:$B$22&lt;&gt;"")*(Besatzung!$F$11:$F$22="x")),SUMPRODUCT((J106:U106="x")*(Besatzung!$F$11:$F$22="x"))),1))))),0))))</f>
        <v/>
      </c>
      <c r="W106" s="247">
        <f>IF(C106="Gutschrift","",IF(G106="","",IF(Besatzung!$B$12="","",IFERROR(IF(I106="Zeitanteilig",(Besatzung!$G$12*(G106-IFERROR(H106,0))+((Besatzung!$B$12&lt;&gt;"")*IF(B106="",1,(IF(Besatzung!$C$12="",Besatzung!$B$5,Besatzung!$C$12)&lt;=B106)*(IF(Besatzung!$D$12="",Besatzung!$B$6,Besatzung!$D$12)&gt;=B106)))*(Besatzung!$F$12="x")*IFERROR(H106,0)/IFERROR(SUMPRODUCT((Besatzung!$B$11:$B$22&lt;&gt;"")*(Besatzung!$F$11:$F$22="x")*(IF(Besatzung!$C$11:$C$22="",Besatzung!$B$5,Besatzung!$C$11:$C$22)&lt;=B106)*(IF(Besatzung!$D$11:$D$22="",Besatzung!$B$6,Besatzung!$D$11:$D$22)&gt;=B106)),1)),IF(I106="An Bord",(((Besatzung!$B$12&lt;&gt;"")*IF(B106="",1,(IF(Besatzung!$C$12="",Besatzung!$B$5,Besatzung!$C$12)&lt;=B106)*(IF(Besatzung!$D$12="",Besatzung!$B$6,Besatzung!$D$12)&gt;=B106)))*((G106-IFERROR(H106,0))/IFERROR(SUMPRODUCT((Besatzung!$B$11:$B$22&lt;&gt;"")*(IF(Besatzung!$C$11:$C$22="",Besatzung!$B$5,Besatzung!$C$11:$C$22)&lt;=B106)*(IF(Besatzung!$D$11:$D$22="",Besatzung!$B$6,Besatzung!$D$11:$D$22)&gt;=B106)),1)+(Besatzung!$F$12="x")*IFERROR(H106,0)/IFERROR(SUMPRODUCT((Besatzung!$B$11:$B$22&lt;&gt;"")*(Besatzung!$F$11:$F$22="x")*(IF(Besatzung!$C$11:$C$22="",Besatzung!$B$5,Besatzung!$C$11:$C$22)&lt;=B106)*(IF(Besatzung!$D$11:$D$22="",Besatzung!$B$6,Besatzung!$D$11:$D$22)&gt;=B106)),1))),IF(I106="Individuell",((K106="x")*((G106-IFERROR(H106,0))/IFERROR(COUNTIF(J106:U106,"x"),1)+(Besatzung!$F$12="x")*IFERROR(H106,0)/IFERROR(SUMPRODUCT((J106:U106="x")*(Besatzung!$F$11:$F$22="x")),1))),(IF(COUNTIF(J106:U106,"x")=0,IF(Besatzung!$B$12&lt;&gt;"",1,0),(K106="x"))*(G106-IFERROR(H106,0))/IFERROR(IF(COUNTIF(J106:U106,"x")=0,COUNTA(Besatzung!$B$11:$B$22),COUNTIF(J106:U106,"x")),1)+IF(COUNTIF(J106:U106,"x")=0,(Besatzung!$F$12="x"),(K106="x")*(Besatzung!$F$12="x"))*IFERROR(H106,0)/IFERROR(IF(COUNTIF(J106:U106,"x")=0,SUMPRODUCT((Besatzung!$B$11:$B$22&lt;&gt;"")*(Besatzung!$F$11:$F$22="x")),SUMPRODUCT((J106:U106="x")*(Besatzung!$F$11:$F$22="x"))),1))))),0))))</f>
        <v/>
      </c>
      <c r="X106" s="247">
        <f>IF(C106="Gutschrift","",IF(G106="","",IF(Besatzung!$B$13="","",IFERROR(IF(I106="Zeitanteilig",(Besatzung!$G$13*(G106-IFERROR(H106,0))+((Besatzung!$B$13&lt;&gt;"")*IF(B106="",1,(IF(Besatzung!$C$13="",Besatzung!$B$5,Besatzung!$C$13)&lt;=B106)*(IF(Besatzung!$D$13="",Besatzung!$B$6,Besatzung!$D$13)&gt;=B106)))*(Besatzung!$F$13="x")*IFERROR(H106,0)/IFERROR(SUMPRODUCT((Besatzung!$B$11:$B$22&lt;&gt;"")*(Besatzung!$F$11:$F$22="x")*(IF(Besatzung!$C$11:$C$22="",Besatzung!$B$5,Besatzung!$C$11:$C$22)&lt;=B106)*(IF(Besatzung!$D$11:$D$22="",Besatzung!$B$6,Besatzung!$D$11:$D$22)&gt;=B106)),1)),IF(I106="An Bord",(((Besatzung!$B$13&lt;&gt;"")*IF(B106="",1,(IF(Besatzung!$C$13="",Besatzung!$B$5,Besatzung!$C$13)&lt;=B106)*(IF(Besatzung!$D$13="",Besatzung!$B$6,Besatzung!$D$13)&gt;=B106)))*((G106-IFERROR(H106,0))/IFERROR(SUMPRODUCT((Besatzung!$B$11:$B$22&lt;&gt;"")*(IF(Besatzung!$C$11:$C$22="",Besatzung!$B$5,Besatzung!$C$11:$C$22)&lt;=B106)*(IF(Besatzung!$D$11:$D$22="",Besatzung!$B$6,Besatzung!$D$11:$D$22)&gt;=B106)),1)+(Besatzung!$F$13="x")*IFERROR(H106,0)/IFERROR(SUMPRODUCT((Besatzung!$B$11:$B$22&lt;&gt;"")*(Besatzung!$F$11:$F$22="x")*(IF(Besatzung!$C$11:$C$22="",Besatzung!$B$5,Besatzung!$C$11:$C$22)&lt;=B106)*(IF(Besatzung!$D$11:$D$22="",Besatzung!$B$6,Besatzung!$D$11:$D$22)&gt;=B106)),1))),IF(I106="Individuell",((K106="x")*((G106-IFERROR(H106,0))/IFERROR(COUNTIF(J106:U106,"x"),1)+(Besatzung!$F$13="x")*IFERROR(H106,0)/IFERROR(SUMPRODUCT((J106:U106="x")*(Besatzung!$F$11:$F$22="x")),1))),(IF(COUNTIF(J106:U106,"x")=0,IF(Besatzung!$B$13&lt;&gt;"",1,0),(K106="x"))*(G106-IFERROR(H106,0))/IFERROR(IF(COUNTIF(J106:U106,"x")=0,COUNTA(Besatzung!$B$11:$B$22),COUNTIF(J106:U106,"x")),1)+IF(COUNTIF(J106:U106,"x")=0,(Besatzung!$F$13="x"),(K106="x")*(Besatzung!$F$13="x"))*IFERROR(H106,0)/IFERROR(IF(COUNTIF(J106:U106,"x")=0,SUMPRODUCT((Besatzung!$B$11:$B$22&lt;&gt;"")*(Besatzung!$F$11:$F$22="x")),SUMPRODUCT((J106:U106="x")*(Besatzung!$F$11:$F$22="x"))),1))))),0))))</f>
        <v/>
      </c>
      <c r="Y106" s="247">
        <f>IF(C106="Gutschrift","",IF(G106="","",IF(Besatzung!$B$14="","",IFERROR(IF(I106="Zeitanteilig",(Besatzung!$G$14*(G106-IFERROR(H106,0))+((Besatzung!$B$14&lt;&gt;"")*IF(B106="",1,(IF(Besatzung!$C$14="",Besatzung!$B$5,Besatzung!$C$14)&lt;=B106)*(IF(Besatzung!$D$14="",Besatzung!$B$6,Besatzung!$D$14)&gt;=B106)))*(Besatzung!$F$14="x")*IFERROR(H106,0)/IFERROR(SUMPRODUCT((Besatzung!$B$11:$B$22&lt;&gt;"")*(Besatzung!$F$11:$F$22="x")*(IF(Besatzung!$C$11:$C$22="",Besatzung!$B$5,Besatzung!$C$11:$C$22)&lt;=B106)*(IF(Besatzung!$D$11:$D$22="",Besatzung!$B$6,Besatzung!$D$11:$D$22)&gt;=B106)),1)),IF(I106="An Bord",(((Besatzung!$B$14&lt;&gt;"")*IF(B106="",1,(IF(Besatzung!$C$14="",Besatzung!$B$5,Besatzung!$C$14)&lt;=B106)*(IF(Besatzung!$D$14="",Besatzung!$B$6,Besatzung!$D$14)&gt;=B106)))*((G106-IFERROR(H106,0))/IFERROR(SUMPRODUCT((Besatzung!$B$11:$B$22&lt;&gt;"")*(IF(Besatzung!$C$11:$C$22="",Besatzung!$B$5,Besatzung!$C$11:$C$22)&lt;=B106)*(IF(Besatzung!$D$11:$D$22="",Besatzung!$B$6,Besatzung!$D$11:$D$22)&gt;=B106)),1)+(Besatzung!$F$14="x")*IFERROR(H106,0)/IFERROR(SUMPRODUCT((Besatzung!$B$11:$B$22&lt;&gt;"")*(Besatzung!$F$11:$F$22="x")*(IF(Besatzung!$C$11:$C$22="",Besatzung!$B$5,Besatzung!$C$11:$C$22)&lt;=B106)*(IF(Besatzung!$D$11:$D$22="",Besatzung!$B$6,Besatzung!$D$11:$D$22)&gt;=B106)),1))),IF(I106="Individuell",((M106="x")*((G106-IFERROR(H106,0))/IFERROR(COUNTIF(J106:U106,"x"),1)+(Besatzung!$F$14="x")*IFERROR(H106,0)/IFERROR(SUMPRODUCT((J106:U106="x")*(Besatzung!$F$11:$F$22="x")),1))),(IF(COUNTIF(J106:U106,"x")=0,IF(Besatzung!$B$14&lt;&gt;"",1,0),(M106="x"))*(G106-IFERROR(H106,0))/IFERROR(IF(COUNTIF(J106:U106,"x")=0,COUNTA(Besatzung!$B$11:$B$22),COUNTIF(J106:U106,"x")),1)+IF(COUNTIF(J106:U106,"x")=0,(Besatzung!$F$14="x"),(M106="x")*(Besatzung!$F$14="x"))*IFERROR(H106,0)/IFERROR(IF(COUNTIF(J106:U106,"x")=0,SUMPRODUCT((Besatzung!$B$11:$B$22&lt;&gt;"")*(Besatzung!$F$11:$F$22="x")),SUMPRODUCT((J106:U106="x")*(Besatzung!$F$11:$F$22="x"))),1))))),0))))</f>
        <v/>
      </c>
      <c r="Z106" s="247">
        <f>IF(C106="Gutschrift","",IF(G106="","",IF(Besatzung!$B$13="","",IFERROR(IF(I106="Zeitanteilig",(Besatzung!$G$15*(G106-IFERROR(H106,0))+((Besatzung!$B$13&lt;&gt;"")*IF(B106="",1,(IF(Besatzung!$C$15="",Besatzung!$B$5,Besatzung!$C$15)&lt;=B106)*(IF(Besatzung!$D$15="",Besatzung!$B$6,Besatzung!$D$15)&gt;=B106)))*(Besatzung!$F$15="x")*IFERROR(H106,0)/IFERROR(SUMPRODUCT((Besatzung!$B$11:$B$22&lt;&gt;"")*(Besatzung!$F$11:$F$22="x")*(IF(Besatzung!$C$11:$C$22="",Besatzung!$B$5,Besatzung!$C$11:$C$22)&lt;=B106)*(IF(Besatzung!$D$11:$D$22="",Besatzung!$B$6,Besatzung!$D$11:$D$22)&gt;=B106)),1)),IF(I106="An Bord",(((Besatzung!$B$13&lt;&gt;"")*IF(B106="",1,(IF(Besatzung!$C$15="",Besatzung!$B$5,Besatzung!$C$15)&lt;=B106)*(IF(Besatzung!$D$15="",Besatzung!$B$6,Besatzung!$D$15)&gt;=B106)))*((G106-IFERROR(H106,0))/IFERROR(SUMPRODUCT((Besatzung!$B$11:$B$22&lt;&gt;"")*(IF(Besatzung!$C$11:$C$22="",Besatzung!$B$5,Besatzung!$C$11:$C$22)&lt;=B106)*(IF(Besatzung!$D$11:$D$22="",Besatzung!$B$6,Besatzung!$D$11:$D$22)&gt;=B106)),1)+(Besatzung!$F$15="x")*IFERROR(H106,0)/IFERROR(SUMPRODUCT((Besatzung!$B$11:$B$22&lt;&gt;"")*(Besatzung!$F$11:$F$22="x")*(IF(Besatzung!$C$11:$C$22="",Besatzung!$B$5,Besatzung!$C$11:$C$22)&lt;=B106)*(IF(Besatzung!$D$11:$D$22="",Besatzung!$B$6,Besatzung!$D$11:$D$22)&gt;=B106)),1))),IF(I106="Individuell",((N106="x")*((G106-IFERROR(H106,0))/IFERROR(COUNTIF(J106:U106,"x"),1)+(Besatzung!$F$15="x")*IFERROR(H106,0)/IFERROR(SUMPRODUCT((J106:U106="x")*(Besatzung!$F$11:$F$22="x")),1))),(IF(COUNTIF(J106:U106,"x")=0,IF(Besatzung!$B$13&lt;&gt;"",1,0),(N106="x"))*(G106-IFERROR(H106,0))/IFERROR(IF(COUNTIF(J106:U106,"x")=0,COUNTA(Besatzung!$B$11:$B$22),COUNTIF(J106:U106,"x")),1)+IF(COUNTIF(J106:U106,"x")=0,(Besatzung!$F$15="x"),(N106="x")*(Besatzung!$F$15="x"))*IFERROR(H106,0)/IFERROR(IF(COUNTIF(J106:U106,"x")=0,SUMPRODUCT((Besatzung!$B$11:$B$22&lt;&gt;"")*(Besatzung!$F$11:$F$22="x")),SUMPRODUCT((J106:U106="x")*(Besatzung!$F$11:$F$22="x"))),1))))),0))))</f>
        <v/>
      </c>
      <c r="AA106" s="247">
        <f>IF(C106="Gutschrift","",IF(G106="","",IF(Besatzung!$B$15="","",IFERROR(IF(I106="Zeitanteilig",(Besatzung!$G$16*(G106-IFERROR(H106,0))+((Besatzung!$B$15&lt;&gt;"")*IF(B106="",1,(IF(Besatzung!$C$16="",Besatzung!$B$5,Besatzung!$C$16)&lt;=B106)*(IF(Besatzung!$D$16="",Besatzung!$B$6,Besatzung!$D$16)&gt;=B106)))*(Besatzung!$F$16="x")*IFERROR(H106,0)/IFERROR(SUMPRODUCT((Besatzung!$B$11:$B$22&lt;&gt;"")*(Besatzung!$F$11:$F$22="x")*(IF(Besatzung!$C$11:$C$22="",Besatzung!$B$5,Besatzung!$C$11:$C$22)&lt;=B106)*(IF(Besatzung!$D$11:$D$22="",Besatzung!$B$6,Besatzung!$D$11:$D$22)&gt;=B106)),1)),IF(I106="An Bord",(((Besatzung!$B$15&lt;&gt;"")*IF(B106="",1,(IF(Besatzung!$C$16="",Besatzung!$B$5,Besatzung!$C$16)&lt;=B106)*(IF(Besatzung!$D$16="",Besatzung!$B$6,Besatzung!$D$16)&gt;=B106)))*((G106-IFERROR(H106,0))/IFERROR(SUMPRODUCT((Besatzung!$B$11:$B$22&lt;&gt;"")*(IF(Besatzung!$C$11:$C$22="",Besatzung!$B$5,Besatzung!$C$11:$C$22)&lt;=B106)*(IF(Besatzung!$D$11:$D$22="",Besatzung!$B$6,Besatzung!$D$11:$D$22)&gt;=B106)),1)+(Besatzung!$F$16="x")*IFERROR(H106,0)/IFERROR(SUMPRODUCT((Besatzung!$B$11:$B$22&lt;&gt;"")*(Besatzung!$F$11:$F$22="x")*(IF(Besatzung!$C$11:$C$22="",Besatzung!$B$5,Besatzung!$C$11:$C$22)&lt;=B106)*(IF(Besatzung!$D$11:$D$22="",Besatzung!$B$6,Besatzung!$D$11:$D$22)&gt;=B106)),1))),IF(I106="Individuell",((O106="x")*((G106-IFERROR(H106,0))/IFERROR(COUNTIF(J106:U106,"x"),1)+(Besatzung!$F$16="x")*IFERROR(H106,0)/IFERROR(SUMPRODUCT((J106:U106="x")*(Besatzung!$F$11:$F$22="x")),1))),(IF(COUNTIF(J106:U106,"x")=0,IF(Besatzung!$B$15&lt;&gt;"",1,0),(O106="x"))*(G106-IFERROR(H106,0))/IFERROR(IF(COUNTIF(J106:U106,"x")=0,COUNTA(Besatzung!$B$11:$B$22),COUNTIF(J106:U106,"x")),1)+IF(COUNTIF(J106:U106,"x")=0,(Besatzung!$F$16="x"),(O106="x")*(Besatzung!$F$16="x"))*IFERROR(H106,0)/IFERROR(IF(COUNTIF(J106:U106,"x")=0,SUMPRODUCT((Besatzung!$B$11:$B$22&lt;&gt;"")*(Besatzung!$F$11:$F$22="x")),SUMPRODUCT((J106:U106="x")*(Besatzung!$F$11:$F$22="x"))),1))))),0))))</f>
        <v/>
      </c>
      <c r="AB106" s="247">
        <f>IF(C106="Gutschrift","",IF(G106="","",IF(Besatzung!$B$17="","",IFERROR(IF(I106="Zeitanteilig",(Besatzung!$G$17*(G106-IFERROR(H106,0))+((Besatzung!$B$17&lt;&gt;"")*IF(B106="",1,(IF(Besatzung!$C$17="",Besatzung!$B$5,Besatzung!$C$17)&lt;=B106)*(IF(Besatzung!$D$17="",Besatzung!$B$6,Besatzung!$D$17)&gt;=B106)))*(Besatzung!$F$17="x")*IFERROR(H106,0)/IFERROR(SUMPRODUCT((Besatzung!$B$11:$B$22&lt;&gt;"")*(Besatzung!$F$11:$F$22="x")*(IF(Besatzung!$C$11:$C$22="",Besatzung!$B$5,Besatzung!$C$11:$C$22)&lt;=B106)*(IF(Besatzung!$D$11:$D$22="",Besatzung!$B$6,Besatzung!$D$11:$D$22)&gt;=B106)),1)),IF(I106="An Bord",(((Besatzung!$B$17&lt;&gt;"")*IF(B106="",1,(IF(Besatzung!$C$17="",Besatzung!$B$5,Besatzung!$C$17)&lt;=B106)*(IF(Besatzung!$D$17="",Besatzung!$B$6,Besatzung!$D$17)&gt;=B106)))*((G106-IFERROR(H106,0))/IFERROR(SUMPRODUCT((Besatzung!$B$11:$B$22&lt;&gt;"")*(IF(Besatzung!$C$11:$C$22="",Besatzung!$B$5,Besatzung!$C$11:$C$22)&lt;=B106)*(IF(Besatzung!$D$11:$D$22="",Besatzung!$B$6,Besatzung!$D$11:$D$22)&gt;=B106)),1)+(Besatzung!$F$17="x")*IFERROR(H106,0)/IFERROR(SUMPRODUCT((Besatzung!$B$11:$B$22&lt;&gt;"")*(Besatzung!$F$11:$F$22="x")*(IF(Besatzung!$C$11:$C$22="",Besatzung!$B$5,Besatzung!$C$11:$C$22)&lt;=B106)*(IF(Besatzung!$D$11:$D$22="",Besatzung!$B$6,Besatzung!$D$11:$D$22)&gt;=B106)),1))),IF(I106="Individuell",((P106="x")*((G106-IFERROR(H106,0))/IFERROR(COUNTIF(J106:U106,"x"),1)+(Besatzung!$F$17="x")*IFERROR(H106,0)/IFERROR(SUMPRODUCT((J106:U106="x")*(Besatzung!$F$11:$F$22="x")),1))),(IF(COUNTIF(J106:U106,"x")=0,IF(Besatzung!$B$17&lt;&gt;"",1,0),(P106="x"))*(G106-IFERROR(H106,0))/IFERROR(IF(COUNTIF(J106:U106,"x")=0,COUNTA(Besatzung!$B$11:$B$22),COUNTIF(J106:U106,"x")),1)+IF(COUNTIF(J106:U106,"x")=0,(Besatzung!$F$17="x"),(P106="x")*(Besatzung!$F$17="x"))*IFERROR(H106,0)/IFERROR(IF(COUNTIF(J106:U106,"x")=0,SUMPRODUCT((Besatzung!$B$11:$B$22&lt;&gt;"")*(Besatzung!$F$11:$F$22="x")),SUMPRODUCT((J106:U106="x")*(Besatzung!$F$11:$F$22="x"))),1))))),0))))</f>
        <v/>
      </c>
      <c r="AC106" s="247">
        <f>IF(C106="Gutschrift","",IF(G106="","",IF(Besatzung!$B$18="","",IFERROR(IF(I106="Zeitanteilig",(Besatzung!$G$18*(G106-IFERROR(H106,0))+((Besatzung!$B$18&lt;&gt;"")*IF(B106="",1,(IF(Besatzung!$C$18="",Besatzung!$B$5,Besatzung!$C$18)&lt;=B106)*(IF(Besatzung!$D$18="",Besatzung!$B$6,Besatzung!$D$18)&gt;=B106)))*(Besatzung!$F$18="x")*IFERROR(H106,0)/IFERROR(SUMPRODUCT((Besatzung!$B$11:$B$22&lt;&gt;"")*(Besatzung!$F$11:$F$22="x")*(IF(Besatzung!$C$11:$C$22="",Besatzung!$B$5,Besatzung!$C$11:$C$22)&lt;=B106)*(IF(Besatzung!$D$11:$D$22="",Besatzung!$B$6,Besatzung!$D$11:$D$22)&gt;=B106)),1)),IF(I106="An Bord",(((Besatzung!$B$18&lt;&gt;"")*IF(B106="",1,(IF(Besatzung!$C$18="",Besatzung!$B$5,Besatzung!$C$18)&lt;=B106)*(IF(Besatzung!$D$18="",Besatzung!$B$6,Besatzung!$D$18)&gt;=B106)))*((G106-IFERROR(H106,0))/IFERROR(SUMPRODUCT((Besatzung!$B$11:$B$22&lt;&gt;"")*(IF(Besatzung!$C$11:$C$22="",Besatzung!$B$5,Besatzung!$C$11:$C$22)&lt;=B106)*(IF(Besatzung!$D$11:$D$22="",Besatzung!$B$6,Besatzung!$D$11:$D$22)&gt;=B106)),1)+(Besatzung!$F$18="x")*IFERROR(H106,0)/IFERROR(SUMPRODUCT((Besatzung!$B$11:$B$22&lt;&gt;"")*(Besatzung!$F$11:$F$22="x")*(IF(Besatzung!$C$11:$C$22="",Besatzung!$B$5,Besatzung!$C$11:$C$22)&lt;=B106)*(IF(Besatzung!$D$11:$D$22="",Besatzung!$B$6,Besatzung!$D$11:$D$22)&gt;=B106)),1))),IF(I106="Individuell",((Q106="x")*((G106-IFERROR(H106,0))/IFERROR(COUNTIF(J106:U106,"x"),1)+(Besatzung!$F$18="x")*IFERROR(H106,0)/IFERROR(SUMPRODUCT((J106:U106="x")*(Besatzung!$F$11:$F$22="x")),1))),(IF(COUNTIF(J106:U106,"x")=0,IF(Besatzung!$B$18&lt;&gt;"",1,0),(Q106="x"))*(G106-IFERROR(H106,0))/IFERROR(IF(COUNTIF(J106:U106,"x")=0,COUNTA(Besatzung!$B$11:$B$22),COUNTIF(J106:U106,"x")),1)+IF(COUNTIF(J106:U106,"x")=0,(Besatzung!$F$18="x"),(Q106="x")*(Besatzung!$F$18="x"))*IFERROR(H106,0)/IFERROR(IF(COUNTIF(J106:U106,"x")=0,SUMPRODUCT((Besatzung!$B$11:$B$22&lt;&gt;"")*(Besatzung!$F$11:$F$22="x")),SUMPRODUCT((J106:U106="x")*(Besatzung!$F$11:$F$22="x"))),1))))),0))))</f>
        <v/>
      </c>
      <c r="AD106" s="247">
        <f>IF(C106="Gutschrift","",IF(G106="","",IF(Besatzung!$B$19="","",IFERROR(IF(I106="Zeitanteilig",(Besatzung!$G$19*(G106-IFERROR(H106,0))+((Besatzung!$B$19&lt;&gt;"")*IF(B106="",1,(IF(Besatzung!$C$19="",Besatzung!$B$5,Besatzung!$C$19)&lt;=B106)*(IF(Besatzung!$D$19="",Besatzung!$B$6,Besatzung!$D$19)&gt;=B106)))*(Besatzung!$F$19="x")*IFERROR(H106,0)/IFERROR(SUMPRODUCT((Besatzung!$B$11:$B$22&lt;&gt;"")*(Besatzung!$F$11:$F$22="x")*(IF(Besatzung!$C$11:$C$22="",Besatzung!$B$5,Besatzung!$C$11:$C$22)&lt;=B106)*(IF(Besatzung!$D$11:$D$22="",Besatzung!$B$6,Besatzung!$D$11:$D$22)&gt;=B106)),1)),IF(I106="An Bord",(((Besatzung!$B$19&lt;&gt;"")*IF(B106="",1,(IF(Besatzung!$C$19="",Besatzung!$B$5,Besatzung!$C$19)&lt;=B106)*(IF(Besatzung!$D$19="",Besatzung!$B$6,Besatzung!$D$19)&gt;=B106)))*((G106-IFERROR(H106,0))/IFERROR(SUMPRODUCT((Besatzung!$B$11:$B$22&lt;&gt;"")*(IF(Besatzung!$C$11:$C$22="",Besatzung!$B$5,Besatzung!$C$11:$C$22)&lt;=B106)*(IF(Besatzung!$D$11:$D$22="",Besatzung!$B$6,Besatzung!$D$11:$D$22)&gt;=B106)),1)+(Besatzung!$F$19="x")*IFERROR(H106,0)/IFERROR(SUMPRODUCT((Besatzung!$B$11:$B$22&lt;&gt;"")*(Besatzung!$F$11:$F$22="x")*(IF(Besatzung!$C$11:$C$22="",Besatzung!$B$5,Besatzung!$C$11:$C$22)&lt;=B106)*(IF(Besatzung!$D$11:$D$22="",Besatzung!$B$6,Besatzung!$D$11:$D$22)&gt;=B106)),1))),IF(I106="Individuell",((R106="x")*((G106-IFERROR(H106,0))/IFERROR(COUNTIF(J106:U106,"x"),1)+(Besatzung!$F$19="x")*IFERROR(H106,0)/IFERROR(SUMPRODUCT((J106:U106="x")*(Besatzung!$F$11:$F$22="x")),1))),(IF(COUNTIF(J106:U106,"x")=0,IF(Besatzung!$B$19&lt;&gt;"",1,0),(R106="x"))*(G106-IFERROR(H106,0))/IFERROR(IF(COUNTIF(J106:U106,"x")=0,COUNTA(Besatzung!$B$11:$B$22),COUNTIF(J106:U106,"x")),1)+IF(COUNTIF(J106:U106,"x")=0,(Besatzung!$F$19="x"),(R106="x")*(Besatzung!$F$19="x"))*IFERROR(H106,0)/IFERROR(IF(COUNTIF(J106:U106,"x")=0,SUMPRODUCT((Besatzung!$B$11:$B$22&lt;&gt;"")*(Besatzung!$F$11:$F$22="x")),SUMPRODUCT((J106:U106="x")*(Besatzung!$F$11:$F$22="x"))),1))))),0))))</f>
        <v/>
      </c>
      <c r="AE106" s="247">
        <f>IF(C106="Gutschrift","",IF(G106="","",IF(Besatzung!$B$20="","",IFERROR(IF(I106="Zeitanteilig",(Besatzung!$G$20*(G106-IFERROR(H106,0))+((Besatzung!$B$20&lt;&gt;"")*IF(B106="",1,(IF(Besatzung!$C$20="",Besatzung!$B$5,Besatzung!$C$20)&lt;=B106)*(IF(Besatzung!$D$20="",Besatzung!$B$6,Besatzung!$D$20)&gt;=B106)))*(Besatzung!$F$20="x")*IFERROR(H106,0)/IFERROR(SUMPRODUCT((Besatzung!$B$11:$B$22&lt;&gt;"")*(Besatzung!$F$11:$F$22="x")*(IF(Besatzung!$C$11:$C$22="",Besatzung!$B$5,Besatzung!$C$11:$C$22)&lt;=B106)*(IF(Besatzung!$D$11:$D$22="",Besatzung!$B$6,Besatzung!$D$11:$D$22)&gt;=B106)),1)),IF(I106="An Bord",(((Besatzung!$B$20&lt;&gt;"")*IF(B106="",1,(IF(Besatzung!$C$20="",Besatzung!$B$5,Besatzung!$C$20)&lt;=B106)*(IF(Besatzung!$D$20="",Besatzung!$B$6,Besatzung!$D$20)&gt;=B106)))*((G106-IFERROR(H106,0))/IFERROR(SUMPRODUCT((Besatzung!$B$11:$B$22&lt;&gt;"")*(IF(Besatzung!$C$11:$C$22="",Besatzung!$B$5,Besatzung!$C$11:$C$22)&lt;=B106)*(IF(Besatzung!$D$11:$D$22="",Besatzung!$B$6,Besatzung!$D$11:$D$22)&gt;=B106)),1)+(Besatzung!$F$20="x")*IFERROR(H106,0)/IFERROR(SUMPRODUCT((Besatzung!$B$11:$B$22&lt;&gt;"")*(Besatzung!$F$11:$F$22="x")*(IF(Besatzung!$C$11:$C$22="",Besatzung!$B$5,Besatzung!$C$11:$C$22)&lt;=B106)*(IF(Besatzung!$D$11:$D$22="",Besatzung!$B$6,Besatzung!$D$11:$D$22)&gt;=B106)),1))),IF(I106="Individuell",((S106="x")*((G106-IFERROR(H106,0))/IFERROR(COUNTIF(J106:U106,"x"),1)+(Besatzung!$F$20="x")*IFERROR(H106,0)/IFERROR(SUMPRODUCT((J106:U106="x")*(Besatzung!$F$11:$F$22="x")),1))),(IF(COUNTIF(J106:U106,"x")=0,IF(Besatzung!$B$20&lt;&gt;"",1,0),(S106="x"))*(G106-IFERROR(H106,0))/IFERROR(IF(COUNTIF(J106:U106,"x")=0,COUNTA(Besatzung!$B$11:$B$22),COUNTIF(J106:U106,"x")),1)+IF(COUNTIF(J106:U106,"x")=0,(Besatzung!$F$20="x"),(S106="x")*(Besatzung!$F$20="x"))*IFERROR(H106,0)/IFERROR(IF(COUNTIF(J106:U106,"x")=0,SUMPRODUCT((Besatzung!$B$11:$B$22&lt;&gt;"")*(Besatzung!$F$11:$F$22="x")),SUMPRODUCT((J106:U106="x")*(Besatzung!$F$11:$F$22="x"))),1))))),0))))</f>
        <v/>
      </c>
      <c r="AF106" s="247">
        <f>IF(C106="Gutschrift","",IF(G106="","",IF(Besatzung!$B$21="","",IFERROR(IF(I106="Zeitanteilig",(Besatzung!$G$21*(G106-IFERROR(H106,0))+((Besatzung!$B$21&lt;&gt;"")*IF(B106="",1,(IF(Besatzung!$C$21="",Besatzung!$B$5,Besatzung!$C$21)&lt;=B106)*(IF(Besatzung!$D$21="",Besatzung!$B$6,Besatzung!$D$21)&gt;=B106)))*(Besatzung!$F$21="x")*IFERROR(H106,0)/IFERROR(SUMPRODUCT((Besatzung!$B$11:$B$22&lt;&gt;"")*(Besatzung!$F$11:$F$22="x")*(IF(Besatzung!$C$11:$C$22="",Besatzung!$B$5,Besatzung!$C$11:$C$22)&lt;=B106)*(IF(Besatzung!$D$11:$D$22="",Besatzung!$B$6,Besatzung!$D$11:$D$22)&gt;=B106)),1)),IF(I106="An Bord",(((Besatzung!$B$21&lt;&gt;"")*IF(B106="",1,(IF(Besatzung!$C$21="",Besatzung!$B$5,Besatzung!$C$21)&lt;=B106)*(IF(Besatzung!$D$21="",Besatzung!$B$6,Besatzung!$D$21)&gt;=B106)))*((G106-IFERROR(H106,0))/IFERROR(SUMPRODUCT((Besatzung!$B$11:$B$22&lt;&gt;"")*(IF(Besatzung!$C$11:$C$22="",Besatzung!$B$5,Besatzung!$C$11:$C$22)&lt;=B106)*(IF(Besatzung!$D$11:$D$22="",Besatzung!$B$6,Besatzung!$D$11:$D$22)&gt;=B106)),1)+(Besatzung!$F$21="x")*IFERROR(H106,0)/IFERROR(SUMPRODUCT((Besatzung!$B$11:$B$22&lt;&gt;"")*(Besatzung!$F$11:$F$22="x")*(IF(Besatzung!$C$11:$C$22="",Besatzung!$B$5,Besatzung!$C$11:$C$22)&lt;=B106)*(IF(Besatzung!$D$11:$D$22="",Besatzung!$B$6,Besatzung!$D$11:$D$22)&gt;=B106)),1))),IF(I106="Individuell",((T106="x")*((G106-IFERROR(H106,0))/IFERROR(COUNTIF(J106:U106,"x"),1)+(Besatzung!$F$21="x")*IFERROR(H106,0)/IFERROR(SUMPRODUCT((J106:U106="x")*(Besatzung!$F$11:$F$22="x")),1))),(IF(COUNTIF(J106:U106,"x")=0,IF(Besatzung!$B$21&lt;&gt;"",1,0),(T106="x"))*(G106-IFERROR(H106,0))/IFERROR(IF(COUNTIF(J106:U106,"x")=0,COUNTA(Besatzung!$B$11:$B$22),COUNTIF(J106:U106,"x")),1)+IF(COUNTIF(J106:U106,"x")=0,(Besatzung!$F$21="x"),(T106="x")*(Besatzung!$F$21="x"))*IFERROR(H106,0)/IFERROR(IF(COUNTIF(J106:U106,"x")=0,SUMPRODUCT((Besatzung!$B$11:$B$22&lt;&gt;"")*(Besatzung!$F$11:$F$22="x")),SUMPRODUCT((J106:U106="x")*(Besatzung!$F$11:$F$22="x"))),1))))),0))))</f>
        <v/>
      </c>
      <c r="AG106" s="247">
        <f>IF(C106="Gutschrift","",IF(G106="","",IF(Besatzung!$B$22="","",IFERROR(IF(I106="Zeitanteilig",(Besatzung!$G$22*(G106-IFERROR(H106,0))+((Besatzung!$B$22&lt;&gt;"")*IF(B106="",1,(IF(Besatzung!$C$22="",Besatzung!$B$5,Besatzung!$C$22)&lt;=B106)*(IF(Besatzung!$D$22="",Besatzung!$B$6,Besatzung!$D$22)&gt;=B106)))*(Besatzung!$F$22="x")*IFERROR(H106,0)/IFERROR(SUMPRODUCT((Besatzung!$B$11:$B$22&lt;&gt;"")*(Besatzung!$F$11:$F$22="x")*(IF(Besatzung!$C$11:$C$22="",Besatzung!$B$5,Besatzung!$C$11:$C$22)&lt;=B106)*(IF(Besatzung!$D$11:$D$22="",Besatzung!$B$6,Besatzung!$D$11:$D$22)&gt;=B106)),1)),IF(I106="An Bord",(((Besatzung!$B$22&lt;&gt;"")*IF(B106="",1,(IF(Besatzung!$C$22="",Besatzung!$B$5,Besatzung!$C$22)&lt;=B106)*(IF(Besatzung!$D$22="",Besatzung!$B$6,Besatzung!$D$22)&gt;=B106)))*((G106-IFERROR(H106,0))/IFERROR(SUMPRODUCT((Besatzung!$B$11:$B$22&lt;&gt;"")*(IF(Besatzung!$C$11:$C$22="",Besatzung!$B$5,Besatzung!$C$11:$C$22)&lt;=B106)*(IF(Besatzung!$D$11:$D$22="",Besatzung!$B$6,Besatzung!$D$11:$D$22)&gt;=B106)),1)+(Besatzung!$F$22="x")*IFERROR(H106,0)/IFERROR(SUMPRODUCT((Besatzung!$B$11:$B$22&lt;&gt;"")*(Besatzung!$F$11:$F$22="x")*(IF(Besatzung!$C$11:$C$22="",Besatzung!$B$5,Besatzung!$C$11:$C$22)&lt;=B106)*(IF(Besatzung!$D$11:$D$22="",Besatzung!$B$6,Besatzung!$D$11:$D$22)&gt;=B106)),1))),IF(I106="Individuell",((U106="x")*((G106-IFERROR(H106,0))/IFERROR(COUNTIF(J106:U106,"x"),1)+(Besatzung!$F$22="x")*IFERROR(H106,0)/IFERROR(SUMPRODUCT((J106:U106="x")*(Besatzung!$F$11:$F$22="x")),1))),(IF(COUNTIF(J106:U106,"x")=0,IF(Besatzung!$B$22&lt;&gt;"",1,0),(U106="x"))*(G106-IFERROR(H106,0))/IFERROR(IF(COUNTIF(J106:U106,"x")=0,COUNTA(Besatzung!$B$11:$B$22),COUNTIF(J106:U106,"x")),1)+IF(COUNTIF(J106:U106,"x")=0,(Besatzung!$F$22="x"),(U106="x")*(Besatzung!$F$22="x"))*IFERROR(H106,0)/IFERROR(IF(COUNTIF(J106:U106,"x")=0,SUMPRODUCT((Besatzung!$B$11:$B$22&lt;&gt;"")*(Besatzung!$F$11:$F$22="x")),SUMPRODUCT((J106:U106="x")*(Besatzung!$F$11:$F$22="x"))),1))))),0))))</f>
        <v/>
      </c>
      <c r="AH106" s="248" t="n"/>
      <c r="AI106" s="248" t="n"/>
    </row>
    <row r="107" ht="21.75" customHeight="1" s="154">
      <c r="A107" s="238">
        <f>IF(AND(D107="",C107=""),"",104)</f>
        <v/>
      </c>
      <c r="B107" s="206" t="n"/>
      <c r="C107" s="249" t="n"/>
      <c r="D107" s="250" t="n"/>
      <c r="E107" s="251" t="n"/>
      <c r="F107" s="252" t="n"/>
      <c r="G107" s="253" t="n"/>
      <c r="H107" s="254" t="n"/>
      <c r="I107" s="255" t="n"/>
      <c r="J107" s="256" t="n"/>
      <c r="K107" s="256" t="n"/>
      <c r="L107" s="256" t="n"/>
      <c r="M107" s="256" t="n"/>
      <c r="N107" s="256" t="n"/>
      <c r="O107" s="256" t="n"/>
      <c r="P107" s="256" t="n"/>
      <c r="Q107" s="256" t="n"/>
      <c r="R107" s="256" t="n"/>
      <c r="S107" s="256" t="n"/>
      <c r="T107" s="256" t="n"/>
      <c r="U107" s="256" t="n"/>
      <c r="V107" s="247">
        <f>IF(C107="Gutschrift","",IF(G107="","",IF(Besatzung!$B$11="","",IFERROR(IF(I107="Zeitanteilig",(Besatzung!$G$11*(G107-IFERROR(H107,0))+((Besatzung!$B$11&lt;&gt;"")*IF(B107="",1,(IF(Besatzung!$C$11="",Besatzung!$B$5,Besatzung!$C$11)&lt;=B107)*(IF(Besatzung!$D$11="",Besatzung!$B$6,Besatzung!$D$11)&gt;=B107)))*(Besatzung!$F$11="x")*IFERROR(H107,0)/IFERROR(SUMPRODUCT((Besatzung!$B$11:$B$22&lt;&gt;"")*(Besatzung!$F$11:$F$22="x")*(IF(Besatzung!$C$11:$C$22="",Besatzung!$B$5,Besatzung!$C$11:$C$22)&lt;=B107)*(IF(Besatzung!$D$11:$D$22="",Besatzung!$B$6,Besatzung!$D$11:$D$22)&gt;=B107)),1)),IF(I107="An Bord",(((Besatzung!$B$11&lt;&gt;"")*IF(B107="",1,(IF(Besatzung!$C$11="",Besatzung!$B$5,Besatzung!$C$11)&lt;=B107)*(IF(Besatzung!$D$11="",Besatzung!$B$6,Besatzung!$D$11)&gt;=B107)))*((G107-IFERROR(H107,0))/IFERROR(SUMPRODUCT((Besatzung!$B$11:$B$22&lt;&gt;"")*(IF(Besatzung!$C$11:$C$22="",Besatzung!$B$5,Besatzung!$C$11:$C$22)&lt;=B107)*(IF(Besatzung!$D$11:$D$22="",Besatzung!$B$6,Besatzung!$D$11:$D$22)&gt;=B107)),1)+(Besatzung!$F$11="x")*IFERROR(H107,0)/IFERROR(SUMPRODUCT((Besatzung!$B$11:$B$22&lt;&gt;"")*(Besatzung!$F$11:$F$22="x")*(IF(Besatzung!$C$11:$C$22="",Besatzung!$B$5,Besatzung!$C$11:$C$22)&lt;=B107)*(IF(Besatzung!$D$11:$D$22="",Besatzung!$B$6,Besatzung!$D$11:$D$22)&gt;=B107)),1))),IF(I107="Individuell",((J107="x")*((G107-IFERROR(H107,0))/IFERROR(COUNTIF(J107:U107,"x"),1)+(Besatzung!$F$11="x")*IFERROR(H107,0)/IFERROR(SUMPRODUCT((J107:U107="x")*(Besatzung!$F$11:$F$22="x")),1))),(IF(COUNTIF(J107:U107,"x")=0,IF(Besatzung!$B$11&lt;&gt;"",1,0),(J107="x"))*(G107-IFERROR(H107,0))/IFERROR(IF(COUNTIF(J107:U107,"x")=0,COUNTA(Besatzung!$B$11:$B$22),COUNTIF(J107:U107,"x")),1)+IF(COUNTIF(J107:U107,"x")=0,(Besatzung!$F$11="x"),(J107="x")*(Besatzung!$F$11="x"))*IFERROR(H107,0)/IFERROR(IF(COUNTIF(J107:U107,"x")=0,SUMPRODUCT((Besatzung!$B$11:$B$22&lt;&gt;"")*(Besatzung!$F$11:$F$22="x")),SUMPRODUCT((J107:U107="x")*(Besatzung!$F$11:$F$22="x"))),1))))),0))))</f>
        <v/>
      </c>
      <c r="W107" s="247">
        <f>IF(C107="Gutschrift","",IF(G107="","",IF(Besatzung!$B$12="","",IFERROR(IF(I107="Zeitanteilig",(Besatzung!$G$12*(G107-IFERROR(H107,0))+((Besatzung!$B$12&lt;&gt;"")*IF(B107="",1,(IF(Besatzung!$C$12="",Besatzung!$B$5,Besatzung!$C$12)&lt;=B107)*(IF(Besatzung!$D$12="",Besatzung!$B$6,Besatzung!$D$12)&gt;=B107)))*(Besatzung!$F$12="x")*IFERROR(H107,0)/IFERROR(SUMPRODUCT((Besatzung!$B$11:$B$22&lt;&gt;"")*(Besatzung!$F$11:$F$22="x")*(IF(Besatzung!$C$11:$C$22="",Besatzung!$B$5,Besatzung!$C$11:$C$22)&lt;=B107)*(IF(Besatzung!$D$11:$D$22="",Besatzung!$B$6,Besatzung!$D$11:$D$22)&gt;=B107)),1)),IF(I107="An Bord",(((Besatzung!$B$12&lt;&gt;"")*IF(B107="",1,(IF(Besatzung!$C$12="",Besatzung!$B$5,Besatzung!$C$12)&lt;=B107)*(IF(Besatzung!$D$12="",Besatzung!$B$6,Besatzung!$D$12)&gt;=B107)))*((G107-IFERROR(H107,0))/IFERROR(SUMPRODUCT((Besatzung!$B$11:$B$22&lt;&gt;"")*(IF(Besatzung!$C$11:$C$22="",Besatzung!$B$5,Besatzung!$C$11:$C$22)&lt;=B107)*(IF(Besatzung!$D$11:$D$22="",Besatzung!$B$6,Besatzung!$D$11:$D$22)&gt;=B107)),1)+(Besatzung!$F$12="x")*IFERROR(H107,0)/IFERROR(SUMPRODUCT((Besatzung!$B$11:$B$22&lt;&gt;"")*(Besatzung!$F$11:$F$22="x")*(IF(Besatzung!$C$11:$C$22="",Besatzung!$B$5,Besatzung!$C$11:$C$22)&lt;=B107)*(IF(Besatzung!$D$11:$D$22="",Besatzung!$B$6,Besatzung!$D$11:$D$22)&gt;=B107)),1))),IF(I107="Individuell",((K107="x")*((G107-IFERROR(H107,0))/IFERROR(COUNTIF(J107:U107,"x"),1)+(Besatzung!$F$12="x")*IFERROR(H107,0)/IFERROR(SUMPRODUCT((J107:U107="x")*(Besatzung!$F$11:$F$22="x")),1))),(IF(COUNTIF(J107:U107,"x")=0,IF(Besatzung!$B$12&lt;&gt;"",1,0),(K107="x"))*(G107-IFERROR(H107,0))/IFERROR(IF(COUNTIF(J107:U107,"x")=0,COUNTA(Besatzung!$B$11:$B$22),COUNTIF(J107:U107,"x")),1)+IF(COUNTIF(J107:U107,"x")=0,(Besatzung!$F$12="x"),(K107="x")*(Besatzung!$F$12="x"))*IFERROR(H107,0)/IFERROR(IF(COUNTIF(J107:U107,"x")=0,SUMPRODUCT((Besatzung!$B$11:$B$22&lt;&gt;"")*(Besatzung!$F$11:$F$22="x")),SUMPRODUCT((J107:U107="x")*(Besatzung!$F$11:$F$22="x"))),1))))),0))))</f>
        <v/>
      </c>
      <c r="X107" s="247">
        <f>IF(C107="Gutschrift","",IF(G107="","",IF(Besatzung!$B$13="","",IFERROR(IF(I107="Zeitanteilig",(Besatzung!$G$13*(G107-IFERROR(H107,0))+((Besatzung!$B$13&lt;&gt;"")*IF(B107="",1,(IF(Besatzung!$C$13="",Besatzung!$B$5,Besatzung!$C$13)&lt;=B107)*(IF(Besatzung!$D$13="",Besatzung!$B$6,Besatzung!$D$13)&gt;=B107)))*(Besatzung!$F$13="x")*IFERROR(H107,0)/IFERROR(SUMPRODUCT((Besatzung!$B$11:$B$22&lt;&gt;"")*(Besatzung!$F$11:$F$22="x")*(IF(Besatzung!$C$11:$C$22="",Besatzung!$B$5,Besatzung!$C$11:$C$22)&lt;=B107)*(IF(Besatzung!$D$11:$D$22="",Besatzung!$B$6,Besatzung!$D$11:$D$22)&gt;=B107)),1)),IF(I107="An Bord",(((Besatzung!$B$13&lt;&gt;"")*IF(B107="",1,(IF(Besatzung!$C$13="",Besatzung!$B$5,Besatzung!$C$13)&lt;=B107)*(IF(Besatzung!$D$13="",Besatzung!$B$6,Besatzung!$D$13)&gt;=B107)))*((G107-IFERROR(H107,0))/IFERROR(SUMPRODUCT((Besatzung!$B$11:$B$22&lt;&gt;"")*(IF(Besatzung!$C$11:$C$22="",Besatzung!$B$5,Besatzung!$C$11:$C$22)&lt;=B107)*(IF(Besatzung!$D$11:$D$22="",Besatzung!$B$6,Besatzung!$D$11:$D$22)&gt;=B107)),1)+(Besatzung!$F$13="x")*IFERROR(H107,0)/IFERROR(SUMPRODUCT((Besatzung!$B$11:$B$22&lt;&gt;"")*(Besatzung!$F$11:$F$22="x")*(IF(Besatzung!$C$11:$C$22="",Besatzung!$B$5,Besatzung!$C$11:$C$22)&lt;=B107)*(IF(Besatzung!$D$11:$D$22="",Besatzung!$B$6,Besatzung!$D$11:$D$22)&gt;=B107)),1))),IF(I107="Individuell",((K107="x")*((G107-IFERROR(H107,0))/IFERROR(COUNTIF(J107:U107,"x"),1)+(Besatzung!$F$13="x")*IFERROR(H107,0)/IFERROR(SUMPRODUCT((J107:U107="x")*(Besatzung!$F$11:$F$22="x")),1))),(IF(COUNTIF(J107:U107,"x")=0,IF(Besatzung!$B$13&lt;&gt;"",1,0),(K107="x"))*(G107-IFERROR(H107,0))/IFERROR(IF(COUNTIF(J107:U107,"x")=0,COUNTA(Besatzung!$B$11:$B$22),COUNTIF(J107:U107,"x")),1)+IF(COUNTIF(J107:U107,"x")=0,(Besatzung!$F$13="x"),(K107="x")*(Besatzung!$F$13="x"))*IFERROR(H107,0)/IFERROR(IF(COUNTIF(J107:U107,"x")=0,SUMPRODUCT((Besatzung!$B$11:$B$22&lt;&gt;"")*(Besatzung!$F$11:$F$22="x")),SUMPRODUCT((J107:U107="x")*(Besatzung!$F$11:$F$22="x"))),1))))),0))))</f>
        <v/>
      </c>
      <c r="Y107" s="247">
        <f>IF(C107="Gutschrift","",IF(G107="","",IF(Besatzung!$B$14="","",IFERROR(IF(I107="Zeitanteilig",(Besatzung!$G$14*(G107-IFERROR(H107,0))+((Besatzung!$B$14&lt;&gt;"")*IF(B107="",1,(IF(Besatzung!$C$14="",Besatzung!$B$5,Besatzung!$C$14)&lt;=B107)*(IF(Besatzung!$D$14="",Besatzung!$B$6,Besatzung!$D$14)&gt;=B107)))*(Besatzung!$F$14="x")*IFERROR(H107,0)/IFERROR(SUMPRODUCT((Besatzung!$B$11:$B$22&lt;&gt;"")*(Besatzung!$F$11:$F$22="x")*(IF(Besatzung!$C$11:$C$22="",Besatzung!$B$5,Besatzung!$C$11:$C$22)&lt;=B107)*(IF(Besatzung!$D$11:$D$22="",Besatzung!$B$6,Besatzung!$D$11:$D$22)&gt;=B107)),1)),IF(I107="An Bord",(((Besatzung!$B$14&lt;&gt;"")*IF(B107="",1,(IF(Besatzung!$C$14="",Besatzung!$B$5,Besatzung!$C$14)&lt;=B107)*(IF(Besatzung!$D$14="",Besatzung!$B$6,Besatzung!$D$14)&gt;=B107)))*((G107-IFERROR(H107,0))/IFERROR(SUMPRODUCT((Besatzung!$B$11:$B$22&lt;&gt;"")*(IF(Besatzung!$C$11:$C$22="",Besatzung!$B$5,Besatzung!$C$11:$C$22)&lt;=B107)*(IF(Besatzung!$D$11:$D$22="",Besatzung!$B$6,Besatzung!$D$11:$D$22)&gt;=B107)),1)+(Besatzung!$F$14="x")*IFERROR(H107,0)/IFERROR(SUMPRODUCT((Besatzung!$B$11:$B$22&lt;&gt;"")*(Besatzung!$F$11:$F$22="x")*(IF(Besatzung!$C$11:$C$22="",Besatzung!$B$5,Besatzung!$C$11:$C$22)&lt;=B107)*(IF(Besatzung!$D$11:$D$22="",Besatzung!$B$6,Besatzung!$D$11:$D$22)&gt;=B107)),1))),IF(I107="Individuell",((M107="x")*((G107-IFERROR(H107,0))/IFERROR(COUNTIF(J107:U107,"x"),1)+(Besatzung!$F$14="x")*IFERROR(H107,0)/IFERROR(SUMPRODUCT((J107:U107="x")*(Besatzung!$F$11:$F$22="x")),1))),(IF(COUNTIF(J107:U107,"x")=0,IF(Besatzung!$B$14&lt;&gt;"",1,0),(M107="x"))*(G107-IFERROR(H107,0))/IFERROR(IF(COUNTIF(J107:U107,"x")=0,COUNTA(Besatzung!$B$11:$B$22),COUNTIF(J107:U107,"x")),1)+IF(COUNTIF(J107:U107,"x")=0,(Besatzung!$F$14="x"),(M107="x")*(Besatzung!$F$14="x"))*IFERROR(H107,0)/IFERROR(IF(COUNTIF(J107:U107,"x")=0,SUMPRODUCT((Besatzung!$B$11:$B$22&lt;&gt;"")*(Besatzung!$F$11:$F$22="x")),SUMPRODUCT((J107:U107="x")*(Besatzung!$F$11:$F$22="x"))),1))))),0))))</f>
        <v/>
      </c>
      <c r="Z107" s="247">
        <f>IF(C107="Gutschrift","",IF(G107="","",IF(Besatzung!$B$13="","",IFERROR(IF(I107="Zeitanteilig",(Besatzung!$G$15*(G107-IFERROR(H107,0))+((Besatzung!$B$13&lt;&gt;"")*IF(B107="",1,(IF(Besatzung!$C$15="",Besatzung!$B$5,Besatzung!$C$15)&lt;=B107)*(IF(Besatzung!$D$15="",Besatzung!$B$6,Besatzung!$D$15)&gt;=B107)))*(Besatzung!$F$15="x")*IFERROR(H107,0)/IFERROR(SUMPRODUCT((Besatzung!$B$11:$B$22&lt;&gt;"")*(Besatzung!$F$11:$F$22="x")*(IF(Besatzung!$C$11:$C$22="",Besatzung!$B$5,Besatzung!$C$11:$C$22)&lt;=B107)*(IF(Besatzung!$D$11:$D$22="",Besatzung!$B$6,Besatzung!$D$11:$D$22)&gt;=B107)),1)),IF(I107="An Bord",(((Besatzung!$B$13&lt;&gt;"")*IF(B107="",1,(IF(Besatzung!$C$15="",Besatzung!$B$5,Besatzung!$C$15)&lt;=B107)*(IF(Besatzung!$D$15="",Besatzung!$B$6,Besatzung!$D$15)&gt;=B107)))*((G107-IFERROR(H107,0))/IFERROR(SUMPRODUCT((Besatzung!$B$11:$B$22&lt;&gt;"")*(IF(Besatzung!$C$11:$C$22="",Besatzung!$B$5,Besatzung!$C$11:$C$22)&lt;=B107)*(IF(Besatzung!$D$11:$D$22="",Besatzung!$B$6,Besatzung!$D$11:$D$22)&gt;=B107)),1)+(Besatzung!$F$15="x")*IFERROR(H107,0)/IFERROR(SUMPRODUCT((Besatzung!$B$11:$B$22&lt;&gt;"")*(Besatzung!$F$11:$F$22="x")*(IF(Besatzung!$C$11:$C$22="",Besatzung!$B$5,Besatzung!$C$11:$C$22)&lt;=B107)*(IF(Besatzung!$D$11:$D$22="",Besatzung!$B$6,Besatzung!$D$11:$D$22)&gt;=B107)),1))),IF(I107="Individuell",((N107="x")*((G107-IFERROR(H107,0))/IFERROR(COUNTIF(J107:U107,"x"),1)+(Besatzung!$F$15="x")*IFERROR(H107,0)/IFERROR(SUMPRODUCT((J107:U107="x")*(Besatzung!$F$11:$F$22="x")),1))),(IF(COUNTIF(J107:U107,"x")=0,IF(Besatzung!$B$13&lt;&gt;"",1,0),(N107="x"))*(G107-IFERROR(H107,0))/IFERROR(IF(COUNTIF(J107:U107,"x")=0,COUNTA(Besatzung!$B$11:$B$22),COUNTIF(J107:U107,"x")),1)+IF(COUNTIF(J107:U107,"x")=0,(Besatzung!$F$15="x"),(N107="x")*(Besatzung!$F$15="x"))*IFERROR(H107,0)/IFERROR(IF(COUNTIF(J107:U107,"x")=0,SUMPRODUCT((Besatzung!$B$11:$B$22&lt;&gt;"")*(Besatzung!$F$11:$F$22="x")),SUMPRODUCT((J107:U107="x")*(Besatzung!$F$11:$F$22="x"))),1))))),0))))</f>
        <v/>
      </c>
      <c r="AA107" s="247">
        <f>IF(C107="Gutschrift","",IF(G107="","",IF(Besatzung!$B$15="","",IFERROR(IF(I107="Zeitanteilig",(Besatzung!$G$16*(G107-IFERROR(H107,0))+((Besatzung!$B$15&lt;&gt;"")*IF(B107="",1,(IF(Besatzung!$C$16="",Besatzung!$B$5,Besatzung!$C$16)&lt;=B107)*(IF(Besatzung!$D$16="",Besatzung!$B$6,Besatzung!$D$16)&gt;=B107)))*(Besatzung!$F$16="x")*IFERROR(H107,0)/IFERROR(SUMPRODUCT((Besatzung!$B$11:$B$22&lt;&gt;"")*(Besatzung!$F$11:$F$22="x")*(IF(Besatzung!$C$11:$C$22="",Besatzung!$B$5,Besatzung!$C$11:$C$22)&lt;=B107)*(IF(Besatzung!$D$11:$D$22="",Besatzung!$B$6,Besatzung!$D$11:$D$22)&gt;=B107)),1)),IF(I107="An Bord",(((Besatzung!$B$15&lt;&gt;"")*IF(B107="",1,(IF(Besatzung!$C$16="",Besatzung!$B$5,Besatzung!$C$16)&lt;=B107)*(IF(Besatzung!$D$16="",Besatzung!$B$6,Besatzung!$D$16)&gt;=B107)))*((G107-IFERROR(H107,0))/IFERROR(SUMPRODUCT((Besatzung!$B$11:$B$22&lt;&gt;"")*(IF(Besatzung!$C$11:$C$22="",Besatzung!$B$5,Besatzung!$C$11:$C$22)&lt;=B107)*(IF(Besatzung!$D$11:$D$22="",Besatzung!$B$6,Besatzung!$D$11:$D$22)&gt;=B107)),1)+(Besatzung!$F$16="x")*IFERROR(H107,0)/IFERROR(SUMPRODUCT((Besatzung!$B$11:$B$22&lt;&gt;"")*(Besatzung!$F$11:$F$22="x")*(IF(Besatzung!$C$11:$C$22="",Besatzung!$B$5,Besatzung!$C$11:$C$22)&lt;=B107)*(IF(Besatzung!$D$11:$D$22="",Besatzung!$B$6,Besatzung!$D$11:$D$22)&gt;=B107)),1))),IF(I107="Individuell",((O107="x")*((G107-IFERROR(H107,0))/IFERROR(COUNTIF(J107:U107,"x"),1)+(Besatzung!$F$16="x")*IFERROR(H107,0)/IFERROR(SUMPRODUCT((J107:U107="x")*(Besatzung!$F$11:$F$22="x")),1))),(IF(COUNTIF(J107:U107,"x")=0,IF(Besatzung!$B$15&lt;&gt;"",1,0),(O107="x"))*(G107-IFERROR(H107,0))/IFERROR(IF(COUNTIF(J107:U107,"x")=0,COUNTA(Besatzung!$B$11:$B$22),COUNTIF(J107:U107,"x")),1)+IF(COUNTIF(J107:U107,"x")=0,(Besatzung!$F$16="x"),(O107="x")*(Besatzung!$F$16="x"))*IFERROR(H107,0)/IFERROR(IF(COUNTIF(J107:U107,"x")=0,SUMPRODUCT((Besatzung!$B$11:$B$22&lt;&gt;"")*(Besatzung!$F$11:$F$22="x")),SUMPRODUCT((J107:U107="x")*(Besatzung!$F$11:$F$22="x"))),1))))),0))))</f>
        <v/>
      </c>
      <c r="AB107" s="247">
        <f>IF(C107="Gutschrift","",IF(G107="","",IF(Besatzung!$B$17="","",IFERROR(IF(I107="Zeitanteilig",(Besatzung!$G$17*(G107-IFERROR(H107,0))+((Besatzung!$B$17&lt;&gt;"")*IF(B107="",1,(IF(Besatzung!$C$17="",Besatzung!$B$5,Besatzung!$C$17)&lt;=B107)*(IF(Besatzung!$D$17="",Besatzung!$B$6,Besatzung!$D$17)&gt;=B107)))*(Besatzung!$F$17="x")*IFERROR(H107,0)/IFERROR(SUMPRODUCT((Besatzung!$B$11:$B$22&lt;&gt;"")*(Besatzung!$F$11:$F$22="x")*(IF(Besatzung!$C$11:$C$22="",Besatzung!$B$5,Besatzung!$C$11:$C$22)&lt;=B107)*(IF(Besatzung!$D$11:$D$22="",Besatzung!$B$6,Besatzung!$D$11:$D$22)&gt;=B107)),1)),IF(I107="An Bord",(((Besatzung!$B$17&lt;&gt;"")*IF(B107="",1,(IF(Besatzung!$C$17="",Besatzung!$B$5,Besatzung!$C$17)&lt;=B107)*(IF(Besatzung!$D$17="",Besatzung!$B$6,Besatzung!$D$17)&gt;=B107)))*((G107-IFERROR(H107,0))/IFERROR(SUMPRODUCT((Besatzung!$B$11:$B$22&lt;&gt;"")*(IF(Besatzung!$C$11:$C$22="",Besatzung!$B$5,Besatzung!$C$11:$C$22)&lt;=B107)*(IF(Besatzung!$D$11:$D$22="",Besatzung!$B$6,Besatzung!$D$11:$D$22)&gt;=B107)),1)+(Besatzung!$F$17="x")*IFERROR(H107,0)/IFERROR(SUMPRODUCT((Besatzung!$B$11:$B$22&lt;&gt;"")*(Besatzung!$F$11:$F$22="x")*(IF(Besatzung!$C$11:$C$22="",Besatzung!$B$5,Besatzung!$C$11:$C$22)&lt;=B107)*(IF(Besatzung!$D$11:$D$22="",Besatzung!$B$6,Besatzung!$D$11:$D$22)&gt;=B107)),1))),IF(I107="Individuell",((P107="x")*((G107-IFERROR(H107,0))/IFERROR(COUNTIF(J107:U107,"x"),1)+(Besatzung!$F$17="x")*IFERROR(H107,0)/IFERROR(SUMPRODUCT((J107:U107="x")*(Besatzung!$F$11:$F$22="x")),1))),(IF(COUNTIF(J107:U107,"x")=0,IF(Besatzung!$B$17&lt;&gt;"",1,0),(P107="x"))*(G107-IFERROR(H107,0))/IFERROR(IF(COUNTIF(J107:U107,"x")=0,COUNTA(Besatzung!$B$11:$B$22),COUNTIF(J107:U107,"x")),1)+IF(COUNTIF(J107:U107,"x")=0,(Besatzung!$F$17="x"),(P107="x")*(Besatzung!$F$17="x"))*IFERROR(H107,0)/IFERROR(IF(COUNTIF(J107:U107,"x")=0,SUMPRODUCT((Besatzung!$B$11:$B$22&lt;&gt;"")*(Besatzung!$F$11:$F$22="x")),SUMPRODUCT((J107:U107="x")*(Besatzung!$F$11:$F$22="x"))),1))))),0))))</f>
        <v/>
      </c>
      <c r="AC107" s="247">
        <f>IF(C107="Gutschrift","",IF(G107="","",IF(Besatzung!$B$18="","",IFERROR(IF(I107="Zeitanteilig",(Besatzung!$G$18*(G107-IFERROR(H107,0))+((Besatzung!$B$18&lt;&gt;"")*IF(B107="",1,(IF(Besatzung!$C$18="",Besatzung!$B$5,Besatzung!$C$18)&lt;=B107)*(IF(Besatzung!$D$18="",Besatzung!$B$6,Besatzung!$D$18)&gt;=B107)))*(Besatzung!$F$18="x")*IFERROR(H107,0)/IFERROR(SUMPRODUCT((Besatzung!$B$11:$B$22&lt;&gt;"")*(Besatzung!$F$11:$F$22="x")*(IF(Besatzung!$C$11:$C$22="",Besatzung!$B$5,Besatzung!$C$11:$C$22)&lt;=B107)*(IF(Besatzung!$D$11:$D$22="",Besatzung!$B$6,Besatzung!$D$11:$D$22)&gt;=B107)),1)),IF(I107="An Bord",(((Besatzung!$B$18&lt;&gt;"")*IF(B107="",1,(IF(Besatzung!$C$18="",Besatzung!$B$5,Besatzung!$C$18)&lt;=B107)*(IF(Besatzung!$D$18="",Besatzung!$B$6,Besatzung!$D$18)&gt;=B107)))*((G107-IFERROR(H107,0))/IFERROR(SUMPRODUCT((Besatzung!$B$11:$B$22&lt;&gt;"")*(IF(Besatzung!$C$11:$C$22="",Besatzung!$B$5,Besatzung!$C$11:$C$22)&lt;=B107)*(IF(Besatzung!$D$11:$D$22="",Besatzung!$B$6,Besatzung!$D$11:$D$22)&gt;=B107)),1)+(Besatzung!$F$18="x")*IFERROR(H107,0)/IFERROR(SUMPRODUCT((Besatzung!$B$11:$B$22&lt;&gt;"")*(Besatzung!$F$11:$F$22="x")*(IF(Besatzung!$C$11:$C$22="",Besatzung!$B$5,Besatzung!$C$11:$C$22)&lt;=B107)*(IF(Besatzung!$D$11:$D$22="",Besatzung!$B$6,Besatzung!$D$11:$D$22)&gt;=B107)),1))),IF(I107="Individuell",((Q107="x")*((G107-IFERROR(H107,0))/IFERROR(COUNTIF(J107:U107,"x"),1)+(Besatzung!$F$18="x")*IFERROR(H107,0)/IFERROR(SUMPRODUCT((J107:U107="x")*(Besatzung!$F$11:$F$22="x")),1))),(IF(COUNTIF(J107:U107,"x")=0,IF(Besatzung!$B$18&lt;&gt;"",1,0),(Q107="x"))*(G107-IFERROR(H107,0))/IFERROR(IF(COUNTIF(J107:U107,"x")=0,COUNTA(Besatzung!$B$11:$B$22),COUNTIF(J107:U107,"x")),1)+IF(COUNTIF(J107:U107,"x")=0,(Besatzung!$F$18="x"),(Q107="x")*(Besatzung!$F$18="x"))*IFERROR(H107,0)/IFERROR(IF(COUNTIF(J107:U107,"x")=0,SUMPRODUCT((Besatzung!$B$11:$B$22&lt;&gt;"")*(Besatzung!$F$11:$F$22="x")),SUMPRODUCT((J107:U107="x")*(Besatzung!$F$11:$F$22="x"))),1))))),0))))</f>
        <v/>
      </c>
      <c r="AD107" s="247">
        <f>IF(C107="Gutschrift","",IF(G107="","",IF(Besatzung!$B$19="","",IFERROR(IF(I107="Zeitanteilig",(Besatzung!$G$19*(G107-IFERROR(H107,0))+((Besatzung!$B$19&lt;&gt;"")*IF(B107="",1,(IF(Besatzung!$C$19="",Besatzung!$B$5,Besatzung!$C$19)&lt;=B107)*(IF(Besatzung!$D$19="",Besatzung!$B$6,Besatzung!$D$19)&gt;=B107)))*(Besatzung!$F$19="x")*IFERROR(H107,0)/IFERROR(SUMPRODUCT((Besatzung!$B$11:$B$22&lt;&gt;"")*(Besatzung!$F$11:$F$22="x")*(IF(Besatzung!$C$11:$C$22="",Besatzung!$B$5,Besatzung!$C$11:$C$22)&lt;=B107)*(IF(Besatzung!$D$11:$D$22="",Besatzung!$B$6,Besatzung!$D$11:$D$22)&gt;=B107)),1)),IF(I107="An Bord",(((Besatzung!$B$19&lt;&gt;"")*IF(B107="",1,(IF(Besatzung!$C$19="",Besatzung!$B$5,Besatzung!$C$19)&lt;=B107)*(IF(Besatzung!$D$19="",Besatzung!$B$6,Besatzung!$D$19)&gt;=B107)))*((G107-IFERROR(H107,0))/IFERROR(SUMPRODUCT((Besatzung!$B$11:$B$22&lt;&gt;"")*(IF(Besatzung!$C$11:$C$22="",Besatzung!$B$5,Besatzung!$C$11:$C$22)&lt;=B107)*(IF(Besatzung!$D$11:$D$22="",Besatzung!$B$6,Besatzung!$D$11:$D$22)&gt;=B107)),1)+(Besatzung!$F$19="x")*IFERROR(H107,0)/IFERROR(SUMPRODUCT((Besatzung!$B$11:$B$22&lt;&gt;"")*(Besatzung!$F$11:$F$22="x")*(IF(Besatzung!$C$11:$C$22="",Besatzung!$B$5,Besatzung!$C$11:$C$22)&lt;=B107)*(IF(Besatzung!$D$11:$D$22="",Besatzung!$B$6,Besatzung!$D$11:$D$22)&gt;=B107)),1))),IF(I107="Individuell",((R107="x")*((G107-IFERROR(H107,0))/IFERROR(COUNTIF(J107:U107,"x"),1)+(Besatzung!$F$19="x")*IFERROR(H107,0)/IFERROR(SUMPRODUCT((J107:U107="x")*(Besatzung!$F$11:$F$22="x")),1))),(IF(COUNTIF(J107:U107,"x")=0,IF(Besatzung!$B$19&lt;&gt;"",1,0),(R107="x"))*(G107-IFERROR(H107,0))/IFERROR(IF(COUNTIF(J107:U107,"x")=0,COUNTA(Besatzung!$B$11:$B$22),COUNTIF(J107:U107,"x")),1)+IF(COUNTIF(J107:U107,"x")=0,(Besatzung!$F$19="x"),(R107="x")*(Besatzung!$F$19="x"))*IFERROR(H107,0)/IFERROR(IF(COUNTIF(J107:U107,"x")=0,SUMPRODUCT((Besatzung!$B$11:$B$22&lt;&gt;"")*(Besatzung!$F$11:$F$22="x")),SUMPRODUCT((J107:U107="x")*(Besatzung!$F$11:$F$22="x"))),1))))),0))))</f>
        <v/>
      </c>
      <c r="AE107" s="247">
        <f>IF(C107="Gutschrift","",IF(G107="","",IF(Besatzung!$B$20="","",IFERROR(IF(I107="Zeitanteilig",(Besatzung!$G$20*(G107-IFERROR(H107,0))+((Besatzung!$B$20&lt;&gt;"")*IF(B107="",1,(IF(Besatzung!$C$20="",Besatzung!$B$5,Besatzung!$C$20)&lt;=B107)*(IF(Besatzung!$D$20="",Besatzung!$B$6,Besatzung!$D$20)&gt;=B107)))*(Besatzung!$F$20="x")*IFERROR(H107,0)/IFERROR(SUMPRODUCT((Besatzung!$B$11:$B$22&lt;&gt;"")*(Besatzung!$F$11:$F$22="x")*(IF(Besatzung!$C$11:$C$22="",Besatzung!$B$5,Besatzung!$C$11:$C$22)&lt;=B107)*(IF(Besatzung!$D$11:$D$22="",Besatzung!$B$6,Besatzung!$D$11:$D$22)&gt;=B107)),1)),IF(I107="An Bord",(((Besatzung!$B$20&lt;&gt;"")*IF(B107="",1,(IF(Besatzung!$C$20="",Besatzung!$B$5,Besatzung!$C$20)&lt;=B107)*(IF(Besatzung!$D$20="",Besatzung!$B$6,Besatzung!$D$20)&gt;=B107)))*((G107-IFERROR(H107,0))/IFERROR(SUMPRODUCT((Besatzung!$B$11:$B$22&lt;&gt;"")*(IF(Besatzung!$C$11:$C$22="",Besatzung!$B$5,Besatzung!$C$11:$C$22)&lt;=B107)*(IF(Besatzung!$D$11:$D$22="",Besatzung!$B$6,Besatzung!$D$11:$D$22)&gt;=B107)),1)+(Besatzung!$F$20="x")*IFERROR(H107,0)/IFERROR(SUMPRODUCT((Besatzung!$B$11:$B$22&lt;&gt;"")*(Besatzung!$F$11:$F$22="x")*(IF(Besatzung!$C$11:$C$22="",Besatzung!$B$5,Besatzung!$C$11:$C$22)&lt;=B107)*(IF(Besatzung!$D$11:$D$22="",Besatzung!$B$6,Besatzung!$D$11:$D$22)&gt;=B107)),1))),IF(I107="Individuell",((S107="x")*((G107-IFERROR(H107,0))/IFERROR(COUNTIF(J107:U107,"x"),1)+(Besatzung!$F$20="x")*IFERROR(H107,0)/IFERROR(SUMPRODUCT((J107:U107="x")*(Besatzung!$F$11:$F$22="x")),1))),(IF(COUNTIF(J107:U107,"x")=0,IF(Besatzung!$B$20&lt;&gt;"",1,0),(S107="x"))*(G107-IFERROR(H107,0))/IFERROR(IF(COUNTIF(J107:U107,"x")=0,COUNTA(Besatzung!$B$11:$B$22),COUNTIF(J107:U107,"x")),1)+IF(COUNTIF(J107:U107,"x")=0,(Besatzung!$F$20="x"),(S107="x")*(Besatzung!$F$20="x"))*IFERROR(H107,0)/IFERROR(IF(COUNTIF(J107:U107,"x")=0,SUMPRODUCT((Besatzung!$B$11:$B$22&lt;&gt;"")*(Besatzung!$F$11:$F$22="x")),SUMPRODUCT((J107:U107="x")*(Besatzung!$F$11:$F$22="x"))),1))))),0))))</f>
        <v/>
      </c>
      <c r="AF107" s="247">
        <f>IF(C107="Gutschrift","",IF(G107="","",IF(Besatzung!$B$21="","",IFERROR(IF(I107="Zeitanteilig",(Besatzung!$G$21*(G107-IFERROR(H107,0))+((Besatzung!$B$21&lt;&gt;"")*IF(B107="",1,(IF(Besatzung!$C$21="",Besatzung!$B$5,Besatzung!$C$21)&lt;=B107)*(IF(Besatzung!$D$21="",Besatzung!$B$6,Besatzung!$D$21)&gt;=B107)))*(Besatzung!$F$21="x")*IFERROR(H107,0)/IFERROR(SUMPRODUCT((Besatzung!$B$11:$B$22&lt;&gt;"")*(Besatzung!$F$11:$F$22="x")*(IF(Besatzung!$C$11:$C$22="",Besatzung!$B$5,Besatzung!$C$11:$C$22)&lt;=B107)*(IF(Besatzung!$D$11:$D$22="",Besatzung!$B$6,Besatzung!$D$11:$D$22)&gt;=B107)),1)),IF(I107="An Bord",(((Besatzung!$B$21&lt;&gt;"")*IF(B107="",1,(IF(Besatzung!$C$21="",Besatzung!$B$5,Besatzung!$C$21)&lt;=B107)*(IF(Besatzung!$D$21="",Besatzung!$B$6,Besatzung!$D$21)&gt;=B107)))*((G107-IFERROR(H107,0))/IFERROR(SUMPRODUCT((Besatzung!$B$11:$B$22&lt;&gt;"")*(IF(Besatzung!$C$11:$C$22="",Besatzung!$B$5,Besatzung!$C$11:$C$22)&lt;=B107)*(IF(Besatzung!$D$11:$D$22="",Besatzung!$B$6,Besatzung!$D$11:$D$22)&gt;=B107)),1)+(Besatzung!$F$21="x")*IFERROR(H107,0)/IFERROR(SUMPRODUCT((Besatzung!$B$11:$B$22&lt;&gt;"")*(Besatzung!$F$11:$F$22="x")*(IF(Besatzung!$C$11:$C$22="",Besatzung!$B$5,Besatzung!$C$11:$C$22)&lt;=B107)*(IF(Besatzung!$D$11:$D$22="",Besatzung!$B$6,Besatzung!$D$11:$D$22)&gt;=B107)),1))),IF(I107="Individuell",((T107="x")*((G107-IFERROR(H107,0))/IFERROR(COUNTIF(J107:U107,"x"),1)+(Besatzung!$F$21="x")*IFERROR(H107,0)/IFERROR(SUMPRODUCT((J107:U107="x")*(Besatzung!$F$11:$F$22="x")),1))),(IF(COUNTIF(J107:U107,"x")=0,IF(Besatzung!$B$21&lt;&gt;"",1,0),(T107="x"))*(G107-IFERROR(H107,0))/IFERROR(IF(COUNTIF(J107:U107,"x")=0,COUNTA(Besatzung!$B$11:$B$22),COUNTIF(J107:U107,"x")),1)+IF(COUNTIF(J107:U107,"x")=0,(Besatzung!$F$21="x"),(T107="x")*(Besatzung!$F$21="x"))*IFERROR(H107,0)/IFERROR(IF(COUNTIF(J107:U107,"x")=0,SUMPRODUCT((Besatzung!$B$11:$B$22&lt;&gt;"")*(Besatzung!$F$11:$F$22="x")),SUMPRODUCT((J107:U107="x")*(Besatzung!$F$11:$F$22="x"))),1))))),0))))</f>
        <v/>
      </c>
      <c r="AG107" s="247">
        <f>IF(C107="Gutschrift","",IF(G107="","",IF(Besatzung!$B$22="","",IFERROR(IF(I107="Zeitanteilig",(Besatzung!$G$22*(G107-IFERROR(H107,0))+((Besatzung!$B$22&lt;&gt;"")*IF(B107="",1,(IF(Besatzung!$C$22="",Besatzung!$B$5,Besatzung!$C$22)&lt;=B107)*(IF(Besatzung!$D$22="",Besatzung!$B$6,Besatzung!$D$22)&gt;=B107)))*(Besatzung!$F$22="x")*IFERROR(H107,0)/IFERROR(SUMPRODUCT((Besatzung!$B$11:$B$22&lt;&gt;"")*(Besatzung!$F$11:$F$22="x")*(IF(Besatzung!$C$11:$C$22="",Besatzung!$B$5,Besatzung!$C$11:$C$22)&lt;=B107)*(IF(Besatzung!$D$11:$D$22="",Besatzung!$B$6,Besatzung!$D$11:$D$22)&gt;=B107)),1)),IF(I107="An Bord",(((Besatzung!$B$22&lt;&gt;"")*IF(B107="",1,(IF(Besatzung!$C$22="",Besatzung!$B$5,Besatzung!$C$22)&lt;=B107)*(IF(Besatzung!$D$22="",Besatzung!$B$6,Besatzung!$D$22)&gt;=B107)))*((G107-IFERROR(H107,0))/IFERROR(SUMPRODUCT((Besatzung!$B$11:$B$22&lt;&gt;"")*(IF(Besatzung!$C$11:$C$22="",Besatzung!$B$5,Besatzung!$C$11:$C$22)&lt;=B107)*(IF(Besatzung!$D$11:$D$22="",Besatzung!$B$6,Besatzung!$D$11:$D$22)&gt;=B107)),1)+(Besatzung!$F$22="x")*IFERROR(H107,0)/IFERROR(SUMPRODUCT((Besatzung!$B$11:$B$22&lt;&gt;"")*(Besatzung!$F$11:$F$22="x")*(IF(Besatzung!$C$11:$C$22="",Besatzung!$B$5,Besatzung!$C$11:$C$22)&lt;=B107)*(IF(Besatzung!$D$11:$D$22="",Besatzung!$B$6,Besatzung!$D$11:$D$22)&gt;=B107)),1))),IF(I107="Individuell",((U107="x")*((G107-IFERROR(H107,0))/IFERROR(COUNTIF(J107:U107,"x"),1)+(Besatzung!$F$22="x")*IFERROR(H107,0)/IFERROR(SUMPRODUCT((J107:U107="x")*(Besatzung!$F$11:$F$22="x")),1))),(IF(COUNTIF(J107:U107,"x")=0,IF(Besatzung!$B$22&lt;&gt;"",1,0),(U107="x"))*(G107-IFERROR(H107,0))/IFERROR(IF(COUNTIF(J107:U107,"x")=0,COUNTA(Besatzung!$B$11:$B$22),COUNTIF(J107:U107,"x")),1)+IF(COUNTIF(J107:U107,"x")=0,(Besatzung!$F$22="x"),(U107="x")*(Besatzung!$F$22="x"))*IFERROR(H107,0)/IFERROR(IF(COUNTIF(J107:U107,"x")=0,SUMPRODUCT((Besatzung!$B$11:$B$22&lt;&gt;"")*(Besatzung!$F$11:$F$22="x")),SUMPRODUCT((J107:U107="x")*(Besatzung!$F$11:$F$22="x"))),1))))),0))))</f>
        <v/>
      </c>
      <c r="AH107" s="248" t="n"/>
      <c r="AI107" s="248" t="n"/>
    </row>
    <row r="108" ht="21.75" customHeight="1" s="154">
      <c r="A108" s="238">
        <f>IF(AND(D108="",C108=""),"",105)</f>
        <v/>
      </c>
      <c r="B108" s="199" t="n"/>
      <c r="C108" s="239" t="n"/>
      <c r="D108" s="240" t="n"/>
      <c r="E108" s="241" t="n"/>
      <c r="F108" s="242" t="n"/>
      <c r="G108" s="243" t="n"/>
      <c r="H108" s="244" t="n"/>
      <c r="I108" s="245" t="n"/>
      <c r="J108" s="246" t="n"/>
      <c r="K108" s="246" t="n"/>
      <c r="L108" s="246" t="n"/>
      <c r="M108" s="246" t="n"/>
      <c r="N108" s="246" t="n"/>
      <c r="O108" s="246" t="n"/>
      <c r="P108" s="246" t="n"/>
      <c r="Q108" s="246" t="n"/>
      <c r="R108" s="246" t="n"/>
      <c r="S108" s="246" t="n"/>
      <c r="T108" s="246" t="n"/>
      <c r="U108" s="246" t="n"/>
      <c r="V108" s="247">
        <f>IF(C108="Gutschrift","",IF(G108="","",IF(Besatzung!$B$11="","",IFERROR(IF(I108="Zeitanteilig",(Besatzung!$G$11*(G108-IFERROR(H108,0))+((Besatzung!$B$11&lt;&gt;"")*IF(B108="",1,(IF(Besatzung!$C$11="",Besatzung!$B$5,Besatzung!$C$11)&lt;=B108)*(IF(Besatzung!$D$11="",Besatzung!$B$6,Besatzung!$D$11)&gt;=B108)))*(Besatzung!$F$11="x")*IFERROR(H108,0)/IFERROR(SUMPRODUCT((Besatzung!$B$11:$B$22&lt;&gt;"")*(Besatzung!$F$11:$F$22="x")*(IF(Besatzung!$C$11:$C$22="",Besatzung!$B$5,Besatzung!$C$11:$C$22)&lt;=B108)*(IF(Besatzung!$D$11:$D$22="",Besatzung!$B$6,Besatzung!$D$11:$D$22)&gt;=B108)),1)),IF(I108="An Bord",(((Besatzung!$B$11&lt;&gt;"")*IF(B108="",1,(IF(Besatzung!$C$11="",Besatzung!$B$5,Besatzung!$C$11)&lt;=B108)*(IF(Besatzung!$D$11="",Besatzung!$B$6,Besatzung!$D$11)&gt;=B108)))*((G108-IFERROR(H108,0))/IFERROR(SUMPRODUCT((Besatzung!$B$11:$B$22&lt;&gt;"")*(IF(Besatzung!$C$11:$C$22="",Besatzung!$B$5,Besatzung!$C$11:$C$22)&lt;=B108)*(IF(Besatzung!$D$11:$D$22="",Besatzung!$B$6,Besatzung!$D$11:$D$22)&gt;=B108)),1)+(Besatzung!$F$11="x")*IFERROR(H108,0)/IFERROR(SUMPRODUCT((Besatzung!$B$11:$B$22&lt;&gt;"")*(Besatzung!$F$11:$F$22="x")*(IF(Besatzung!$C$11:$C$22="",Besatzung!$B$5,Besatzung!$C$11:$C$22)&lt;=B108)*(IF(Besatzung!$D$11:$D$22="",Besatzung!$B$6,Besatzung!$D$11:$D$22)&gt;=B108)),1))),IF(I108="Individuell",((J108="x")*((G108-IFERROR(H108,0))/IFERROR(COUNTIF(J108:U108,"x"),1)+(Besatzung!$F$11="x")*IFERROR(H108,0)/IFERROR(SUMPRODUCT((J108:U108="x")*(Besatzung!$F$11:$F$22="x")),1))),(IF(COUNTIF(J108:U108,"x")=0,IF(Besatzung!$B$11&lt;&gt;"",1,0),(J108="x"))*(G108-IFERROR(H108,0))/IFERROR(IF(COUNTIF(J108:U108,"x")=0,COUNTA(Besatzung!$B$11:$B$22),COUNTIF(J108:U108,"x")),1)+IF(COUNTIF(J108:U108,"x")=0,(Besatzung!$F$11="x"),(J108="x")*(Besatzung!$F$11="x"))*IFERROR(H108,0)/IFERROR(IF(COUNTIF(J108:U108,"x")=0,SUMPRODUCT((Besatzung!$B$11:$B$22&lt;&gt;"")*(Besatzung!$F$11:$F$22="x")),SUMPRODUCT((J108:U108="x")*(Besatzung!$F$11:$F$22="x"))),1))))),0))))</f>
        <v/>
      </c>
      <c r="W108" s="247">
        <f>IF(C108="Gutschrift","",IF(G108="","",IF(Besatzung!$B$12="","",IFERROR(IF(I108="Zeitanteilig",(Besatzung!$G$12*(G108-IFERROR(H108,0))+((Besatzung!$B$12&lt;&gt;"")*IF(B108="",1,(IF(Besatzung!$C$12="",Besatzung!$B$5,Besatzung!$C$12)&lt;=B108)*(IF(Besatzung!$D$12="",Besatzung!$B$6,Besatzung!$D$12)&gt;=B108)))*(Besatzung!$F$12="x")*IFERROR(H108,0)/IFERROR(SUMPRODUCT((Besatzung!$B$11:$B$22&lt;&gt;"")*(Besatzung!$F$11:$F$22="x")*(IF(Besatzung!$C$11:$C$22="",Besatzung!$B$5,Besatzung!$C$11:$C$22)&lt;=B108)*(IF(Besatzung!$D$11:$D$22="",Besatzung!$B$6,Besatzung!$D$11:$D$22)&gt;=B108)),1)),IF(I108="An Bord",(((Besatzung!$B$12&lt;&gt;"")*IF(B108="",1,(IF(Besatzung!$C$12="",Besatzung!$B$5,Besatzung!$C$12)&lt;=B108)*(IF(Besatzung!$D$12="",Besatzung!$B$6,Besatzung!$D$12)&gt;=B108)))*((G108-IFERROR(H108,0))/IFERROR(SUMPRODUCT((Besatzung!$B$11:$B$22&lt;&gt;"")*(IF(Besatzung!$C$11:$C$22="",Besatzung!$B$5,Besatzung!$C$11:$C$22)&lt;=B108)*(IF(Besatzung!$D$11:$D$22="",Besatzung!$B$6,Besatzung!$D$11:$D$22)&gt;=B108)),1)+(Besatzung!$F$12="x")*IFERROR(H108,0)/IFERROR(SUMPRODUCT((Besatzung!$B$11:$B$22&lt;&gt;"")*(Besatzung!$F$11:$F$22="x")*(IF(Besatzung!$C$11:$C$22="",Besatzung!$B$5,Besatzung!$C$11:$C$22)&lt;=B108)*(IF(Besatzung!$D$11:$D$22="",Besatzung!$B$6,Besatzung!$D$11:$D$22)&gt;=B108)),1))),IF(I108="Individuell",((K108="x")*((G108-IFERROR(H108,0))/IFERROR(COUNTIF(J108:U108,"x"),1)+(Besatzung!$F$12="x")*IFERROR(H108,0)/IFERROR(SUMPRODUCT((J108:U108="x")*(Besatzung!$F$11:$F$22="x")),1))),(IF(COUNTIF(J108:U108,"x")=0,IF(Besatzung!$B$12&lt;&gt;"",1,0),(K108="x"))*(G108-IFERROR(H108,0))/IFERROR(IF(COUNTIF(J108:U108,"x")=0,COUNTA(Besatzung!$B$11:$B$22),COUNTIF(J108:U108,"x")),1)+IF(COUNTIF(J108:U108,"x")=0,(Besatzung!$F$12="x"),(K108="x")*(Besatzung!$F$12="x"))*IFERROR(H108,0)/IFERROR(IF(COUNTIF(J108:U108,"x")=0,SUMPRODUCT((Besatzung!$B$11:$B$22&lt;&gt;"")*(Besatzung!$F$11:$F$22="x")),SUMPRODUCT((J108:U108="x")*(Besatzung!$F$11:$F$22="x"))),1))))),0))))</f>
        <v/>
      </c>
      <c r="X108" s="247">
        <f>IF(C108="Gutschrift","",IF(G108="","",IF(Besatzung!$B$13="","",IFERROR(IF(I108="Zeitanteilig",(Besatzung!$G$13*(G108-IFERROR(H108,0))+((Besatzung!$B$13&lt;&gt;"")*IF(B108="",1,(IF(Besatzung!$C$13="",Besatzung!$B$5,Besatzung!$C$13)&lt;=B108)*(IF(Besatzung!$D$13="",Besatzung!$B$6,Besatzung!$D$13)&gt;=B108)))*(Besatzung!$F$13="x")*IFERROR(H108,0)/IFERROR(SUMPRODUCT((Besatzung!$B$11:$B$22&lt;&gt;"")*(Besatzung!$F$11:$F$22="x")*(IF(Besatzung!$C$11:$C$22="",Besatzung!$B$5,Besatzung!$C$11:$C$22)&lt;=B108)*(IF(Besatzung!$D$11:$D$22="",Besatzung!$B$6,Besatzung!$D$11:$D$22)&gt;=B108)),1)),IF(I108="An Bord",(((Besatzung!$B$13&lt;&gt;"")*IF(B108="",1,(IF(Besatzung!$C$13="",Besatzung!$B$5,Besatzung!$C$13)&lt;=B108)*(IF(Besatzung!$D$13="",Besatzung!$B$6,Besatzung!$D$13)&gt;=B108)))*((G108-IFERROR(H108,0))/IFERROR(SUMPRODUCT((Besatzung!$B$11:$B$22&lt;&gt;"")*(IF(Besatzung!$C$11:$C$22="",Besatzung!$B$5,Besatzung!$C$11:$C$22)&lt;=B108)*(IF(Besatzung!$D$11:$D$22="",Besatzung!$B$6,Besatzung!$D$11:$D$22)&gt;=B108)),1)+(Besatzung!$F$13="x")*IFERROR(H108,0)/IFERROR(SUMPRODUCT((Besatzung!$B$11:$B$22&lt;&gt;"")*(Besatzung!$F$11:$F$22="x")*(IF(Besatzung!$C$11:$C$22="",Besatzung!$B$5,Besatzung!$C$11:$C$22)&lt;=B108)*(IF(Besatzung!$D$11:$D$22="",Besatzung!$B$6,Besatzung!$D$11:$D$22)&gt;=B108)),1))),IF(I108="Individuell",((K108="x")*((G108-IFERROR(H108,0))/IFERROR(COUNTIF(J108:U108,"x"),1)+(Besatzung!$F$13="x")*IFERROR(H108,0)/IFERROR(SUMPRODUCT((J108:U108="x")*(Besatzung!$F$11:$F$22="x")),1))),(IF(COUNTIF(J108:U108,"x")=0,IF(Besatzung!$B$13&lt;&gt;"",1,0),(K108="x"))*(G108-IFERROR(H108,0))/IFERROR(IF(COUNTIF(J108:U108,"x")=0,COUNTA(Besatzung!$B$11:$B$22),COUNTIF(J108:U108,"x")),1)+IF(COUNTIF(J108:U108,"x")=0,(Besatzung!$F$13="x"),(K108="x")*(Besatzung!$F$13="x"))*IFERROR(H108,0)/IFERROR(IF(COUNTIF(J108:U108,"x")=0,SUMPRODUCT((Besatzung!$B$11:$B$22&lt;&gt;"")*(Besatzung!$F$11:$F$22="x")),SUMPRODUCT((J108:U108="x")*(Besatzung!$F$11:$F$22="x"))),1))))),0))))</f>
        <v/>
      </c>
      <c r="Y108" s="247">
        <f>IF(C108="Gutschrift","",IF(G108="","",IF(Besatzung!$B$14="","",IFERROR(IF(I108="Zeitanteilig",(Besatzung!$G$14*(G108-IFERROR(H108,0))+((Besatzung!$B$14&lt;&gt;"")*IF(B108="",1,(IF(Besatzung!$C$14="",Besatzung!$B$5,Besatzung!$C$14)&lt;=B108)*(IF(Besatzung!$D$14="",Besatzung!$B$6,Besatzung!$D$14)&gt;=B108)))*(Besatzung!$F$14="x")*IFERROR(H108,0)/IFERROR(SUMPRODUCT((Besatzung!$B$11:$B$22&lt;&gt;"")*(Besatzung!$F$11:$F$22="x")*(IF(Besatzung!$C$11:$C$22="",Besatzung!$B$5,Besatzung!$C$11:$C$22)&lt;=B108)*(IF(Besatzung!$D$11:$D$22="",Besatzung!$B$6,Besatzung!$D$11:$D$22)&gt;=B108)),1)),IF(I108="An Bord",(((Besatzung!$B$14&lt;&gt;"")*IF(B108="",1,(IF(Besatzung!$C$14="",Besatzung!$B$5,Besatzung!$C$14)&lt;=B108)*(IF(Besatzung!$D$14="",Besatzung!$B$6,Besatzung!$D$14)&gt;=B108)))*((G108-IFERROR(H108,0))/IFERROR(SUMPRODUCT((Besatzung!$B$11:$B$22&lt;&gt;"")*(IF(Besatzung!$C$11:$C$22="",Besatzung!$B$5,Besatzung!$C$11:$C$22)&lt;=B108)*(IF(Besatzung!$D$11:$D$22="",Besatzung!$B$6,Besatzung!$D$11:$D$22)&gt;=B108)),1)+(Besatzung!$F$14="x")*IFERROR(H108,0)/IFERROR(SUMPRODUCT((Besatzung!$B$11:$B$22&lt;&gt;"")*(Besatzung!$F$11:$F$22="x")*(IF(Besatzung!$C$11:$C$22="",Besatzung!$B$5,Besatzung!$C$11:$C$22)&lt;=B108)*(IF(Besatzung!$D$11:$D$22="",Besatzung!$B$6,Besatzung!$D$11:$D$22)&gt;=B108)),1))),IF(I108="Individuell",((M108="x")*((G108-IFERROR(H108,0))/IFERROR(COUNTIF(J108:U108,"x"),1)+(Besatzung!$F$14="x")*IFERROR(H108,0)/IFERROR(SUMPRODUCT((J108:U108="x")*(Besatzung!$F$11:$F$22="x")),1))),(IF(COUNTIF(J108:U108,"x")=0,IF(Besatzung!$B$14&lt;&gt;"",1,0),(M108="x"))*(G108-IFERROR(H108,0))/IFERROR(IF(COUNTIF(J108:U108,"x")=0,COUNTA(Besatzung!$B$11:$B$22),COUNTIF(J108:U108,"x")),1)+IF(COUNTIF(J108:U108,"x")=0,(Besatzung!$F$14="x"),(M108="x")*(Besatzung!$F$14="x"))*IFERROR(H108,0)/IFERROR(IF(COUNTIF(J108:U108,"x")=0,SUMPRODUCT((Besatzung!$B$11:$B$22&lt;&gt;"")*(Besatzung!$F$11:$F$22="x")),SUMPRODUCT((J108:U108="x")*(Besatzung!$F$11:$F$22="x"))),1))))),0))))</f>
        <v/>
      </c>
      <c r="Z108" s="247">
        <f>IF(C108="Gutschrift","",IF(G108="","",IF(Besatzung!$B$13="","",IFERROR(IF(I108="Zeitanteilig",(Besatzung!$G$15*(G108-IFERROR(H108,0))+((Besatzung!$B$13&lt;&gt;"")*IF(B108="",1,(IF(Besatzung!$C$15="",Besatzung!$B$5,Besatzung!$C$15)&lt;=B108)*(IF(Besatzung!$D$15="",Besatzung!$B$6,Besatzung!$D$15)&gt;=B108)))*(Besatzung!$F$15="x")*IFERROR(H108,0)/IFERROR(SUMPRODUCT((Besatzung!$B$11:$B$22&lt;&gt;"")*(Besatzung!$F$11:$F$22="x")*(IF(Besatzung!$C$11:$C$22="",Besatzung!$B$5,Besatzung!$C$11:$C$22)&lt;=B108)*(IF(Besatzung!$D$11:$D$22="",Besatzung!$B$6,Besatzung!$D$11:$D$22)&gt;=B108)),1)),IF(I108="An Bord",(((Besatzung!$B$13&lt;&gt;"")*IF(B108="",1,(IF(Besatzung!$C$15="",Besatzung!$B$5,Besatzung!$C$15)&lt;=B108)*(IF(Besatzung!$D$15="",Besatzung!$B$6,Besatzung!$D$15)&gt;=B108)))*((G108-IFERROR(H108,0))/IFERROR(SUMPRODUCT((Besatzung!$B$11:$B$22&lt;&gt;"")*(IF(Besatzung!$C$11:$C$22="",Besatzung!$B$5,Besatzung!$C$11:$C$22)&lt;=B108)*(IF(Besatzung!$D$11:$D$22="",Besatzung!$B$6,Besatzung!$D$11:$D$22)&gt;=B108)),1)+(Besatzung!$F$15="x")*IFERROR(H108,0)/IFERROR(SUMPRODUCT((Besatzung!$B$11:$B$22&lt;&gt;"")*(Besatzung!$F$11:$F$22="x")*(IF(Besatzung!$C$11:$C$22="",Besatzung!$B$5,Besatzung!$C$11:$C$22)&lt;=B108)*(IF(Besatzung!$D$11:$D$22="",Besatzung!$B$6,Besatzung!$D$11:$D$22)&gt;=B108)),1))),IF(I108="Individuell",((N108="x")*((G108-IFERROR(H108,0))/IFERROR(COUNTIF(J108:U108,"x"),1)+(Besatzung!$F$15="x")*IFERROR(H108,0)/IFERROR(SUMPRODUCT((J108:U108="x")*(Besatzung!$F$11:$F$22="x")),1))),(IF(COUNTIF(J108:U108,"x")=0,IF(Besatzung!$B$13&lt;&gt;"",1,0),(N108="x"))*(G108-IFERROR(H108,0))/IFERROR(IF(COUNTIF(J108:U108,"x")=0,COUNTA(Besatzung!$B$11:$B$22),COUNTIF(J108:U108,"x")),1)+IF(COUNTIF(J108:U108,"x")=0,(Besatzung!$F$15="x"),(N108="x")*(Besatzung!$F$15="x"))*IFERROR(H108,0)/IFERROR(IF(COUNTIF(J108:U108,"x")=0,SUMPRODUCT((Besatzung!$B$11:$B$22&lt;&gt;"")*(Besatzung!$F$11:$F$22="x")),SUMPRODUCT((J108:U108="x")*(Besatzung!$F$11:$F$22="x"))),1))))),0))))</f>
        <v/>
      </c>
      <c r="AA108" s="247">
        <f>IF(C108="Gutschrift","",IF(G108="","",IF(Besatzung!$B$15="","",IFERROR(IF(I108="Zeitanteilig",(Besatzung!$G$16*(G108-IFERROR(H108,0))+((Besatzung!$B$15&lt;&gt;"")*IF(B108="",1,(IF(Besatzung!$C$16="",Besatzung!$B$5,Besatzung!$C$16)&lt;=B108)*(IF(Besatzung!$D$16="",Besatzung!$B$6,Besatzung!$D$16)&gt;=B108)))*(Besatzung!$F$16="x")*IFERROR(H108,0)/IFERROR(SUMPRODUCT((Besatzung!$B$11:$B$22&lt;&gt;"")*(Besatzung!$F$11:$F$22="x")*(IF(Besatzung!$C$11:$C$22="",Besatzung!$B$5,Besatzung!$C$11:$C$22)&lt;=B108)*(IF(Besatzung!$D$11:$D$22="",Besatzung!$B$6,Besatzung!$D$11:$D$22)&gt;=B108)),1)),IF(I108="An Bord",(((Besatzung!$B$15&lt;&gt;"")*IF(B108="",1,(IF(Besatzung!$C$16="",Besatzung!$B$5,Besatzung!$C$16)&lt;=B108)*(IF(Besatzung!$D$16="",Besatzung!$B$6,Besatzung!$D$16)&gt;=B108)))*((G108-IFERROR(H108,0))/IFERROR(SUMPRODUCT((Besatzung!$B$11:$B$22&lt;&gt;"")*(IF(Besatzung!$C$11:$C$22="",Besatzung!$B$5,Besatzung!$C$11:$C$22)&lt;=B108)*(IF(Besatzung!$D$11:$D$22="",Besatzung!$B$6,Besatzung!$D$11:$D$22)&gt;=B108)),1)+(Besatzung!$F$16="x")*IFERROR(H108,0)/IFERROR(SUMPRODUCT((Besatzung!$B$11:$B$22&lt;&gt;"")*(Besatzung!$F$11:$F$22="x")*(IF(Besatzung!$C$11:$C$22="",Besatzung!$B$5,Besatzung!$C$11:$C$22)&lt;=B108)*(IF(Besatzung!$D$11:$D$22="",Besatzung!$B$6,Besatzung!$D$11:$D$22)&gt;=B108)),1))),IF(I108="Individuell",((O108="x")*((G108-IFERROR(H108,0))/IFERROR(COUNTIF(J108:U108,"x"),1)+(Besatzung!$F$16="x")*IFERROR(H108,0)/IFERROR(SUMPRODUCT((J108:U108="x")*(Besatzung!$F$11:$F$22="x")),1))),(IF(COUNTIF(J108:U108,"x")=0,IF(Besatzung!$B$15&lt;&gt;"",1,0),(O108="x"))*(G108-IFERROR(H108,0))/IFERROR(IF(COUNTIF(J108:U108,"x")=0,COUNTA(Besatzung!$B$11:$B$22),COUNTIF(J108:U108,"x")),1)+IF(COUNTIF(J108:U108,"x")=0,(Besatzung!$F$16="x"),(O108="x")*(Besatzung!$F$16="x"))*IFERROR(H108,0)/IFERROR(IF(COUNTIF(J108:U108,"x")=0,SUMPRODUCT((Besatzung!$B$11:$B$22&lt;&gt;"")*(Besatzung!$F$11:$F$22="x")),SUMPRODUCT((J108:U108="x")*(Besatzung!$F$11:$F$22="x"))),1))))),0))))</f>
        <v/>
      </c>
      <c r="AB108" s="247">
        <f>IF(C108="Gutschrift","",IF(G108="","",IF(Besatzung!$B$17="","",IFERROR(IF(I108="Zeitanteilig",(Besatzung!$G$17*(G108-IFERROR(H108,0))+((Besatzung!$B$17&lt;&gt;"")*IF(B108="",1,(IF(Besatzung!$C$17="",Besatzung!$B$5,Besatzung!$C$17)&lt;=B108)*(IF(Besatzung!$D$17="",Besatzung!$B$6,Besatzung!$D$17)&gt;=B108)))*(Besatzung!$F$17="x")*IFERROR(H108,0)/IFERROR(SUMPRODUCT((Besatzung!$B$11:$B$22&lt;&gt;"")*(Besatzung!$F$11:$F$22="x")*(IF(Besatzung!$C$11:$C$22="",Besatzung!$B$5,Besatzung!$C$11:$C$22)&lt;=B108)*(IF(Besatzung!$D$11:$D$22="",Besatzung!$B$6,Besatzung!$D$11:$D$22)&gt;=B108)),1)),IF(I108="An Bord",(((Besatzung!$B$17&lt;&gt;"")*IF(B108="",1,(IF(Besatzung!$C$17="",Besatzung!$B$5,Besatzung!$C$17)&lt;=B108)*(IF(Besatzung!$D$17="",Besatzung!$B$6,Besatzung!$D$17)&gt;=B108)))*((G108-IFERROR(H108,0))/IFERROR(SUMPRODUCT((Besatzung!$B$11:$B$22&lt;&gt;"")*(IF(Besatzung!$C$11:$C$22="",Besatzung!$B$5,Besatzung!$C$11:$C$22)&lt;=B108)*(IF(Besatzung!$D$11:$D$22="",Besatzung!$B$6,Besatzung!$D$11:$D$22)&gt;=B108)),1)+(Besatzung!$F$17="x")*IFERROR(H108,0)/IFERROR(SUMPRODUCT((Besatzung!$B$11:$B$22&lt;&gt;"")*(Besatzung!$F$11:$F$22="x")*(IF(Besatzung!$C$11:$C$22="",Besatzung!$B$5,Besatzung!$C$11:$C$22)&lt;=B108)*(IF(Besatzung!$D$11:$D$22="",Besatzung!$B$6,Besatzung!$D$11:$D$22)&gt;=B108)),1))),IF(I108="Individuell",((P108="x")*((G108-IFERROR(H108,0))/IFERROR(COUNTIF(J108:U108,"x"),1)+(Besatzung!$F$17="x")*IFERROR(H108,0)/IFERROR(SUMPRODUCT((J108:U108="x")*(Besatzung!$F$11:$F$22="x")),1))),(IF(COUNTIF(J108:U108,"x")=0,IF(Besatzung!$B$17&lt;&gt;"",1,0),(P108="x"))*(G108-IFERROR(H108,0))/IFERROR(IF(COUNTIF(J108:U108,"x")=0,COUNTA(Besatzung!$B$11:$B$22),COUNTIF(J108:U108,"x")),1)+IF(COUNTIF(J108:U108,"x")=0,(Besatzung!$F$17="x"),(P108="x")*(Besatzung!$F$17="x"))*IFERROR(H108,0)/IFERROR(IF(COUNTIF(J108:U108,"x")=0,SUMPRODUCT((Besatzung!$B$11:$B$22&lt;&gt;"")*(Besatzung!$F$11:$F$22="x")),SUMPRODUCT((J108:U108="x")*(Besatzung!$F$11:$F$22="x"))),1))))),0))))</f>
        <v/>
      </c>
      <c r="AC108" s="247">
        <f>IF(C108="Gutschrift","",IF(G108="","",IF(Besatzung!$B$18="","",IFERROR(IF(I108="Zeitanteilig",(Besatzung!$G$18*(G108-IFERROR(H108,0))+((Besatzung!$B$18&lt;&gt;"")*IF(B108="",1,(IF(Besatzung!$C$18="",Besatzung!$B$5,Besatzung!$C$18)&lt;=B108)*(IF(Besatzung!$D$18="",Besatzung!$B$6,Besatzung!$D$18)&gt;=B108)))*(Besatzung!$F$18="x")*IFERROR(H108,0)/IFERROR(SUMPRODUCT((Besatzung!$B$11:$B$22&lt;&gt;"")*(Besatzung!$F$11:$F$22="x")*(IF(Besatzung!$C$11:$C$22="",Besatzung!$B$5,Besatzung!$C$11:$C$22)&lt;=B108)*(IF(Besatzung!$D$11:$D$22="",Besatzung!$B$6,Besatzung!$D$11:$D$22)&gt;=B108)),1)),IF(I108="An Bord",(((Besatzung!$B$18&lt;&gt;"")*IF(B108="",1,(IF(Besatzung!$C$18="",Besatzung!$B$5,Besatzung!$C$18)&lt;=B108)*(IF(Besatzung!$D$18="",Besatzung!$B$6,Besatzung!$D$18)&gt;=B108)))*((G108-IFERROR(H108,0))/IFERROR(SUMPRODUCT((Besatzung!$B$11:$B$22&lt;&gt;"")*(IF(Besatzung!$C$11:$C$22="",Besatzung!$B$5,Besatzung!$C$11:$C$22)&lt;=B108)*(IF(Besatzung!$D$11:$D$22="",Besatzung!$B$6,Besatzung!$D$11:$D$22)&gt;=B108)),1)+(Besatzung!$F$18="x")*IFERROR(H108,0)/IFERROR(SUMPRODUCT((Besatzung!$B$11:$B$22&lt;&gt;"")*(Besatzung!$F$11:$F$22="x")*(IF(Besatzung!$C$11:$C$22="",Besatzung!$B$5,Besatzung!$C$11:$C$22)&lt;=B108)*(IF(Besatzung!$D$11:$D$22="",Besatzung!$B$6,Besatzung!$D$11:$D$22)&gt;=B108)),1))),IF(I108="Individuell",((Q108="x")*((G108-IFERROR(H108,0))/IFERROR(COUNTIF(J108:U108,"x"),1)+(Besatzung!$F$18="x")*IFERROR(H108,0)/IFERROR(SUMPRODUCT((J108:U108="x")*(Besatzung!$F$11:$F$22="x")),1))),(IF(COUNTIF(J108:U108,"x")=0,IF(Besatzung!$B$18&lt;&gt;"",1,0),(Q108="x"))*(G108-IFERROR(H108,0))/IFERROR(IF(COUNTIF(J108:U108,"x")=0,COUNTA(Besatzung!$B$11:$B$22),COUNTIF(J108:U108,"x")),1)+IF(COUNTIF(J108:U108,"x")=0,(Besatzung!$F$18="x"),(Q108="x")*(Besatzung!$F$18="x"))*IFERROR(H108,0)/IFERROR(IF(COUNTIF(J108:U108,"x")=0,SUMPRODUCT((Besatzung!$B$11:$B$22&lt;&gt;"")*(Besatzung!$F$11:$F$22="x")),SUMPRODUCT((J108:U108="x")*(Besatzung!$F$11:$F$22="x"))),1))))),0))))</f>
        <v/>
      </c>
      <c r="AD108" s="247">
        <f>IF(C108="Gutschrift","",IF(G108="","",IF(Besatzung!$B$19="","",IFERROR(IF(I108="Zeitanteilig",(Besatzung!$G$19*(G108-IFERROR(H108,0))+((Besatzung!$B$19&lt;&gt;"")*IF(B108="",1,(IF(Besatzung!$C$19="",Besatzung!$B$5,Besatzung!$C$19)&lt;=B108)*(IF(Besatzung!$D$19="",Besatzung!$B$6,Besatzung!$D$19)&gt;=B108)))*(Besatzung!$F$19="x")*IFERROR(H108,0)/IFERROR(SUMPRODUCT((Besatzung!$B$11:$B$22&lt;&gt;"")*(Besatzung!$F$11:$F$22="x")*(IF(Besatzung!$C$11:$C$22="",Besatzung!$B$5,Besatzung!$C$11:$C$22)&lt;=B108)*(IF(Besatzung!$D$11:$D$22="",Besatzung!$B$6,Besatzung!$D$11:$D$22)&gt;=B108)),1)),IF(I108="An Bord",(((Besatzung!$B$19&lt;&gt;"")*IF(B108="",1,(IF(Besatzung!$C$19="",Besatzung!$B$5,Besatzung!$C$19)&lt;=B108)*(IF(Besatzung!$D$19="",Besatzung!$B$6,Besatzung!$D$19)&gt;=B108)))*((G108-IFERROR(H108,0))/IFERROR(SUMPRODUCT((Besatzung!$B$11:$B$22&lt;&gt;"")*(IF(Besatzung!$C$11:$C$22="",Besatzung!$B$5,Besatzung!$C$11:$C$22)&lt;=B108)*(IF(Besatzung!$D$11:$D$22="",Besatzung!$B$6,Besatzung!$D$11:$D$22)&gt;=B108)),1)+(Besatzung!$F$19="x")*IFERROR(H108,0)/IFERROR(SUMPRODUCT((Besatzung!$B$11:$B$22&lt;&gt;"")*(Besatzung!$F$11:$F$22="x")*(IF(Besatzung!$C$11:$C$22="",Besatzung!$B$5,Besatzung!$C$11:$C$22)&lt;=B108)*(IF(Besatzung!$D$11:$D$22="",Besatzung!$B$6,Besatzung!$D$11:$D$22)&gt;=B108)),1))),IF(I108="Individuell",((R108="x")*((G108-IFERROR(H108,0))/IFERROR(COUNTIF(J108:U108,"x"),1)+(Besatzung!$F$19="x")*IFERROR(H108,0)/IFERROR(SUMPRODUCT((J108:U108="x")*(Besatzung!$F$11:$F$22="x")),1))),(IF(COUNTIF(J108:U108,"x")=0,IF(Besatzung!$B$19&lt;&gt;"",1,0),(R108="x"))*(G108-IFERROR(H108,0))/IFERROR(IF(COUNTIF(J108:U108,"x")=0,COUNTA(Besatzung!$B$11:$B$22),COUNTIF(J108:U108,"x")),1)+IF(COUNTIF(J108:U108,"x")=0,(Besatzung!$F$19="x"),(R108="x")*(Besatzung!$F$19="x"))*IFERROR(H108,0)/IFERROR(IF(COUNTIF(J108:U108,"x")=0,SUMPRODUCT((Besatzung!$B$11:$B$22&lt;&gt;"")*(Besatzung!$F$11:$F$22="x")),SUMPRODUCT((J108:U108="x")*(Besatzung!$F$11:$F$22="x"))),1))))),0))))</f>
        <v/>
      </c>
      <c r="AE108" s="247">
        <f>IF(C108="Gutschrift","",IF(G108="","",IF(Besatzung!$B$20="","",IFERROR(IF(I108="Zeitanteilig",(Besatzung!$G$20*(G108-IFERROR(H108,0))+((Besatzung!$B$20&lt;&gt;"")*IF(B108="",1,(IF(Besatzung!$C$20="",Besatzung!$B$5,Besatzung!$C$20)&lt;=B108)*(IF(Besatzung!$D$20="",Besatzung!$B$6,Besatzung!$D$20)&gt;=B108)))*(Besatzung!$F$20="x")*IFERROR(H108,0)/IFERROR(SUMPRODUCT((Besatzung!$B$11:$B$22&lt;&gt;"")*(Besatzung!$F$11:$F$22="x")*(IF(Besatzung!$C$11:$C$22="",Besatzung!$B$5,Besatzung!$C$11:$C$22)&lt;=B108)*(IF(Besatzung!$D$11:$D$22="",Besatzung!$B$6,Besatzung!$D$11:$D$22)&gt;=B108)),1)),IF(I108="An Bord",(((Besatzung!$B$20&lt;&gt;"")*IF(B108="",1,(IF(Besatzung!$C$20="",Besatzung!$B$5,Besatzung!$C$20)&lt;=B108)*(IF(Besatzung!$D$20="",Besatzung!$B$6,Besatzung!$D$20)&gt;=B108)))*((G108-IFERROR(H108,0))/IFERROR(SUMPRODUCT((Besatzung!$B$11:$B$22&lt;&gt;"")*(IF(Besatzung!$C$11:$C$22="",Besatzung!$B$5,Besatzung!$C$11:$C$22)&lt;=B108)*(IF(Besatzung!$D$11:$D$22="",Besatzung!$B$6,Besatzung!$D$11:$D$22)&gt;=B108)),1)+(Besatzung!$F$20="x")*IFERROR(H108,0)/IFERROR(SUMPRODUCT((Besatzung!$B$11:$B$22&lt;&gt;"")*(Besatzung!$F$11:$F$22="x")*(IF(Besatzung!$C$11:$C$22="",Besatzung!$B$5,Besatzung!$C$11:$C$22)&lt;=B108)*(IF(Besatzung!$D$11:$D$22="",Besatzung!$B$6,Besatzung!$D$11:$D$22)&gt;=B108)),1))),IF(I108="Individuell",((S108="x")*((G108-IFERROR(H108,0))/IFERROR(COUNTIF(J108:U108,"x"),1)+(Besatzung!$F$20="x")*IFERROR(H108,0)/IFERROR(SUMPRODUCT((J108:U108="x")*(Besatzung!$F$11:$F$22="x")),1))),(IF(COUNTIF(J108:U108,"x")=0,IF(Besatzung!$B$20&lt;&gt;"",1,0),(S108="x"))*(G108-IFERROR(H108,0))/IFERROR(IF(COUNTIF(J108:U108,"x")=0,COUNTA(Besatzung!$B$11:$B$22),COUNTIF(J108:U108,"x")),1)+IF(COUNTIF(J108:U108,"x")=0,(Besatzung!$F$20="x"),(S108="x")*(Besatzung!$F$20="x"))*IFERROR(H108,0)/IFERROR(IF(COUNTIF(J108:U108,"x")=0,SUMPRODUCT((Besatzung!$B$11:$B$22&lt;&gt;"")*(Besatzung!$F$11:$F$22="x")),SUMPRODUCT((J108:U108="x")*(Besatzung!$F$11:$F$22="x"))),1))))),0))))</f>
        <v/>
      </c>
      <c r="AF108" s="247">
        <f>IF(C108="Gutschrift","",IF(G108="","",IF(Besatzung!$B$21="","",IFERROR(IF(I108="Zeitanteilig",(Besatzung!$G$21*(G108-IFERROR(H108,0))+((Besatzung!$B$21&lt;&gt;"")*IF(B108="",1,(IF(Besatzung!$C$21="",Besatzung!$B$5,Besatzung!$C$21)&lt;=B108)*(IF(Besatzung!$D$21="",Besatzung!$B$6,Besatzung!$D$21)&gt;=B108)))*(Besatzung!$F$21="x")*IFERROR(H108,0)/IFERROR(SUMPRODUCT((Besatzung!$B$11:$B$22&lt;&gt;"")*(Besatzung!$F$11:$F$22="x")*(IF(Besatzung!$C$11:$C$22="",Besatzung!$B$5,Besatzung!$C$11:$C$22)&lt;=B108)*(IF(Besatzung!$D$11:$D$22="",Besatzung!$B$6,Besatzung!$D$11:$D$22)&gt;=B108)),1)),IF(I108="An Bord",(((Besatzung!$B$21&lt;&gt;"")*IF(B108="",1,(IF(Besatzung!$C$21="",Besatzung!$B$5,Besatzung!$C$21)&lt;=B108)*(IF(Besatzung!$D$21="",Besatzung!$B$6,Besatzung!$D$21)&gt;=B108)))*((G108-IFERROR(H108,0))/IFERROR(SUMPRODUCT((Besatzung!$B$11:$B$22&lt;&gt;"")*(IF(Besatzung!$C$11:$C$22="",Besatzung!$B$5,Besatzung!$C$11:$C$22)&lt;=B108)*(IF(Besatzung!$D$11:$D$22="",Besatzung!$B$6,Besatzung!$D$11:$D$22)&gt;=B108)),1)+(Besatzung!$F$21="x")*IFERROR(H108,0)/IFERROR(SUMPRODUCT((Besatzung!$B$11:$B$22&lt;&gt;"")*(Besatzung!$F$11:$F$22="x")*(IF(Besatzung!$C$11:$C$22="",Besatzung!$B$5,Besatzung!$C$11:$C$22)&lt;=B108)*(IF(Besatzung!$D$11:$D$22="",Besatzung!$B$6,Besatzung!$D$11:$D$22)&gt;=B108)),1))),IF(I108="Individuell",((T108="x")*((G108-IFERROR(H108,0))/IFERROR(COUNTIF(J108:U108,"x"),1)+(Besatzung!$F$21="x")*IFERROR(H108,0)/IFERROR(SUMPRODUCT((J108:U108="x")*(Besatzung!$F$11:$F$22="x")),1))),(IF(COUNTIF(J108:U108,"x")=0,IF(Besatzung!$B$21&lt;&gt;"",1,0),(T108="x"))*(G108-IFERROR(H108,0))/IFERROR(IF(COUNTIF(J108:U108,"x")=0,COUNTA(Besatzung!$B$11:$B$22),COUNTIF(J108:U108,"x")),1)+IF(COUNTIF(J108:U108,"x")=0,(Besatzung!$F$21="x"),(T108="x")*(Besatzung!$F$21="x"))*IFERROR(H108,0)/IFERROR(IF(COUNTIF(J108:U108,"x")=0,SUMPRODUCT((Besatzung!$B$11:$B$22&lt;&gt;"")*(Besatzung!$F$11:$F$22="x")),SUMPRODUCT((J108:U108="x")*(Besatzung!$F$11:$F$22="x"))),1))))),0))))</f>
        <v/>
      </c>
      <c r="AG108" s="247">
        <f>IF(C108="Gutschrift","",IF(G108="","",IF(Besatzung!$B$22="","",IFERROR(IF(I108="Zeitanteilig",(Besatzung!$G$22*(G108-IFERROR(H108,0))+((Besatzung!$B$22&lt;&gt;"")*IF(B108="",1,(IF(Besatzung!$C$22="",Besatzung!$B$5,Besatzung!$C$22)&lt;=B108)*(IF(Besatzung!$D$22="",Besatzung!$B$6,Besatzung!$D$22)&gt;=B108)))*(Besatzung!$F$22="x")*IFERROR(H108,0)/IFERROR(SUMPRODUCT((Besatzung!$B$11:$B$22&lt;&gt;"")*(Besatzung!$F$11:$F$22="x")*(IF(Besatzung!$C$11:$C$22="",Besatzung!$B$5,Besatzung!$C$11:$C$22)&lt;=B108)*(IF(Besatzung!$D$11:$D$22="",Besatzung!$B$6,Besatzung!$D$11:$D$22)&gt;=B108)),1)),IF(I108="An Bord",(((Besatzung!$B$22&lt;&gt;"")*IF(B108="",1,(IF(Besatzung!$C$22="",Besatzung!$B$5,Besatzung!$C$22)&lt;=B108)*(IF(Besatzung!$D$22="",Besatzung!$B$6,Besatzung!$D$22)&gt;=B108)))*((G108-IFERROR(H108,0))/IFERROR(SUMPRODUCT((Besatzung!$B$11:$B$22&lt;&gt;"")*(IF(Besatzung!$C$11:$C$22="",Besatzung!$B$5,Besatzung!$C$11:$C$22)&lt;=B108)*(IF(Besatzung!$D$11:$D$22="",Besatzung!$B$6,Besatzung!$D$11:$D$22)&gt;=B108)),1)+(Besatzung!$F$22="x")*IFERROR(H108,0)/IFERROR(SUMPRODUCT((Besatzung!$B$11:$B$22&lt;&gt;"")*(Besatzung!$F$11:$F$22="x")*(IF(Besatzung!$C$11:$C$22="",Besatzung!$B$5,Besatzung!$C$11:$C$22)&lt;=B108)*(IF(Besatzung!$D$11:$D$22="",Besatzung!$B$6,Besatzung!$D$11:$D$22)&gt;=B108)),1))),IF(I108="Individuell",((U108="x")*((G108-IFERROR(H108,0))/IFERROR(COUNTIF(J108:U108,"x"),1)+(Besatzung!$F$22="x")*IFERROR(H108,0)/IFERROR(SUMPRODUCT((J108:U108="x")*(Besatzung!$F$11:$F$22="x")),1))),(IF(COUNTIF(J108:U108,"x")=0,IF(Besatzung!$B$22&lt;&gt;"",1,0),(U108="x"))*(G108-IFERROR(H108,0))/IFERROR(IF(COUNTIF(J108:U108,"x")=0,COUNTA(Besatzung!$B$11:$B$22),COUNTIF(J108:U108,"x")),1)+IF(COUNTIF(J108:U108,"x")=0,(Besatzung!$F$22="x"),(U108="x")*(Besatzung!$F$22="x"))*IFERROR(H108,0)/IFERROR(IF(COUNTIF(J108:U108,"x")=0,SUMPRODUCT((Besatzung!$B$11:$B$22&lt;&gt;"")*(Besatzung!$F$11:$F$22="x")),SUMPRODUCT((J108:U108="x")*(Besatzung!$F$11:$F$22="x"))),1))))),0))))</f>
        <v/>
      </c>
      <c r="AH108" s="248" t="n"/>
      <c r="AI108" s="248" t="n"/>
    </row>
    <row r="109" ht="21.75" customHeight="1" s="154">
      <c r="A109" s="238">
        <f>IF(AND(D109="",C109=""),"",106)</f>
        <v/>
      </c>
      <c r="B109" s="206" t="n"/>
      <c r="C109" s="249" t="n"/>
      <c r="D109" s="250" t="n"/>
      <c r="E109" s="251" t="n"/>
      <c r="F109" s="252" t="n"/>
      <c r="G109" s="253" t="n"/>
      <c r="H109" s="254" t="n"/>
      <c r="I109" s="255" t="n"/>
      <c r="J109" s="256" t="n"/>
      <c r="K109" s="256" t="n"/>
      <c r="L109" s="256" t="n"/>
      <c r="M109" s="256" t="n"/>
      <c r="N109" s="256" t="n"/>
      <c r="O109" s="256" t="n"/>
      <c r="P109" s="256" t="n"/>
      <c r="Q109" s="256" t="n"/>
      <c r="R109" s="256" t="n"/>
      <c r="S109" s="256" t="n"/>
      <c r="T109" s="256" t="n"/>
      <c r="U109" s="256" t="n"/>
      <c r="V109" s="247">
        <f>IF(C109="Gutschrift","",IF(G109="","",IF(Besatzung!$B$11="","",IFERROR(IF(I109="Zeitanteilig",(Besatzung!$G$11*(G109-IFERROR(H109,0))+((Besatzung!$B$11&lt;&gt;"")*IF(B109="",1,(IF(Besatzung!$C$11="",Besatzung!$B$5,Besatzung!$C$11)&lt;=B109)*(IF(Besatzung!$D$11="",Besatzung!$B$6,Besatzung!$D$11)&gt;=B109)))*(Besatzung!$F$11="x")*IFERROR(H109,0)/IFERROR(SUMPRODUCT((Besatzung!$B$11:$B$22&lt;&gt;"")*(Besatzung!$F$11:$F$22="x")*(IF(Besatzung!$C$11:$C$22="",Besatzung!$B$5,Besatzung!$C$11:$C$22)&lt;=B109)*(IF(Besatzung!$D$11:$D$22="",Besatzung!$B$6,Besatzung!$D$11:$D$22)&gt;=B109)),1)),IF(I109="An Bord",(((Besatzung!$B$11&lt;&gt;"")*IF(B109="",1,(IF(Besatzung!$C$11="",Besatzung!$B$5,Besatzung!$C$11)&lt;=B109)*(IF(Besatzung!$D$11="",Besatzung!$B$6,Besatzung!$D$11)&gt;=B109)))*((G109-IFERROR(H109,0))/IFERROR(SUMPRODUCT((Besatzung!$B$11:$B$22&lt;&gt;"")*(IF(Besatzung!$C$11:$C$22="",Besatzung!$B$5,Besatzung!$C$11:$C$22)&lt;=B109)*(IF(Besatzung!$D$11:$D$22="",Besatzung!$B$6,Besatzung!$D$11:$D$22)&gt;=B109)),1)+(Besatzung!$F$11="x")*IFERROR(H109,0)/IFERROR(SUMPRODUCT((Besatzung!$B$11:$B$22&lt;&gt;"")*(Besatzung!$F$11:$F$22="x")*(IF(Besatzung!$C$11:$C$22="",Besatzung!$B$5,Besatzung!$C$11:$C$22)&lt;=B109)*(IF(Besatzung!$D$11:$D$22="",Besatzung!$B$6,Besatzung!$D$11:$D$22)&gt;=B109)),1))),IF(I109="Individuell",((J109="x")*((G109-IFERROR(H109,0))/IFERROR(COUNTIF(J109:U109,"x"),1)+(Besatzung!$F$11="x")*IFERROR(H109,0)/IFERROR(SUMPRODUCT((J109:U109="x")*(Besatzung!$F$11:$F$22="x")),1))),(IF(COUNTIF(J109:U109,"x")=0,IF(Besatzung!$B$11&lt;&gt;"",1,0),(J109="x"))*(G109-IFERROR(H109,0))/IFERROR(IF(COUNTIF(J109:U109,"x")=0,COUNTA(Besatzung!$B$11:$B$22),COUNTIF(J109:U109,"x")),1)+IF(COUNTIF(J109:U109,"x")=0,(Besatzung!$F$11="x"),(J109="x")*(Besatzung!$F$11="x"))*IFERROR(H109,0)/IFERROR(IF(COUNTIF(J109:U109,"x")=0,SUMPRODUCT((Besatzung!$B$11:$B$22&lt;&gt;"")*(Besatzung!$F$11:$F$22="x")),SUMPRODUCT((J109:U109="x")*(Besatzung!$F$11:$F$22="x"))),1))))),0))))</f>
        <v/>
      </c>
      <c r="W109" s="247">
        <f>IF(C109="Gutschrift","",IF(G109="","",IF(Besatzung!$B$12="","",IFERROR(IF(I109="Zeitanteilig",(Besatzung!$G$12*(G109-IFERROR(H109,0))+((Besatzung!$B$12&lt;&gt;"")*IF(B109="",1,(IF(Besatzung!$C$12="",Besatzung!$B$5,Besatzung!$C$12)&lt;=B109)*(IF(Besatzung!$D$12="",Besatzung!$B$6,Besatzung!$D$12)&gt;=B109)))*(Besatzung!$F$12="x")*IFERROR(H109,0)/IFERROR(SUMPRODUCT((Besatzung!$B$11:$B$22&lt;&gt;"")*(Besatzung!$F$11:$F$22="x")*(IF(Besatzung!$C$11:$C$22="",Besatzung!$B$5,Besatzung!$C$11:$C$22)&lt;=B109)*(IF(Besatzung!$D$11:$D$22="",Besatzung!$B$6,Besatzung!$D$11:$D$22)&gt;=B109)),1)),IF(I109="An Bord",(((Besatzung!$B$12&lt;&gt;"")*IF(B109="",1,(IF(Besatzung!$C$12="",Besatzung!$B$5,Besatzung!$C$12)&lt;=B109)*(IF(Besatzung!$D$12="",Besatzung!$B$6,Besatzung!$D$12)&gt;=B109)))*((G109-IFERROR(H109,0))/IFERROR(SUMPRODUCT((Besatzung!$B$11:$B$22&lt;&gt;"")*(IF(Besatzung!$C$11:$C$22="",Besatzung!$B$5,Besatzung!$C$11:$C$22)&lt;=B109)*(IF(Besatzung!$D$11:$D$22="",Besatzung!$B$6,Besatzung!$D$11:$D$22)&gt;=B109)),1)+(Besatzung!$F$12="x")*IFERROR(H109,0)/IFERROR(SUMPRODUCT((Besatzung!$B$11:$B$22&lt;&gt;"")*(Besatzung!$F$11:$F$22="x")*(IF(Besatzung!$C$11:$C$22="",Besatzung!$B$5,Besatzung!$C$11:$C$22)&lt;=B109)*(IF(Besatzung!$D$11:$D$22="",Besatzung!$B$6,Besatzung!$D$11:$D$22)&gt;=B109)),1))),IF(I109="Individuell",((K109="x")*((G109-IFERROR(H109,0))/IFERROR(COUNTIF(J109:U109,"x"),1)+(Besatzung!$F$12="x")*IFERROR(H109,0)/IFERROR(SUMPRODUCT((J109:U109="x")*(Besatzung!$F$11:$F$22="x")),1))),(IF(COUNTIF(J109:U109,"x")=0,IF(Besatzung!$B$12&lt;&gt;"",1,0),(K109="x"))*(G109-IFERROR(H109,0))/IFERROR(IF(COUNTIF(J109:U109,"x")=0,COUNTA(Besatzung!$B$11:$B$22),COUNTIF(J109:U109,"x")),1)+IF(COUNTIF(J109:U109,"x")=0,(Besatzung!$F$12="x"),(K109="x")*(Besatzung!$F$12="x"))*IFERROR(H109,0)/IFERROR(IF(COUNTIF(J109:U109,"x")=0,SUMPRODUCT((Besatzung!$B$11:$B$22&lt;&gt;"")*(Besatzung!$F$11:$F$22="x")),SUMPRODUCT((J109:U109="x")*(Besatzung!$F$11:$F$22="x"))),1))))),0))))</f>
        <v/>
      </c>
      <c r="X109" s="247">
        <f>IF(C109="Gutschrift","",IF(G109="","",IF(Besatzung!$B$13="","",IFERROR(IF(I109="Zeitanteilig",(Besatzung!$G$13*(G109-IFERROR(H109,0))+((Besatzung!$B$13&lt;&gt;"")*IF(B109="",1,(IF(Besatzung!$C$13="",Besatzung!$B$5,Besatzung!$C$13)&lt;=B109)*(IF(Besatzung!$D$13="",Besatzung!$B$6,Besatzung!$D$13)&gt;=B109)))*(Besatzung!$F$13="x")*IFERROR(H109,0)/IFERROR(SUMPRODUCT((Besatzung!$B$11:$B$22&lt;&gt;"")*(Besatzung!$F$11:$F$22="x")*(IF(Besatzung!$C$11:$C$22="",Besatzung!$B$5,Besatzung!$C$11:$C$22)&lt;=B109)*(IF(Besatzung!$D$11:$D$22="",Besatzung!$B$6,Besatzung!$D$11:$D$22)&gt;=B109)),1)),IF(I109="An Bord",(((Besatzung!$B$13&lt;&gt;"")*IF(B109="",1,(IF(Besatzung!$C$13="",Besatzung!$B$5,Besatzung!$C$13)&lt;=B109)*(IF(Besatzung!$D$13="",Besatzung!$B$6,Besatzung!$D$13)&gt;=B109)))*((G109-IFERROR(H109,0))/IFERROR(SUMPRODUCT((Besatzung!$B$11:$B$22&lt;&gt;"")*(IF(Besatzung!$C$11:$C$22="",Besatzung!$B$5,Besatzung!$C$11:$C$22)&lt;=B109)*(IF(Besatzung!$D$11:$D$22="",Besatzung!$B$6,Besatzung!$D$11:$D$22)&gt;=B109)),1)+(Besatzung!$F$13="x")*IFERROR(H109,0)/IFERROR(SUMPRODUCT((Besatzung!$B$11:$B$22&lt;&gt;"")*(Besatzung!$F$11:$F$22="x")*(IF(Besatzung!$C$11:$C$22="",Besatzung!$B$5,Besatzung!$C$11:$C$22)&lt;=B109)*(IF(Besatzung!$D$11:$D$22="",Besatzung!$B$6,Besatzung!$D$11:$D$22)&gt;=B109)),1))),IF(I109="Individuell",((K109="x")*((G109-IFERROR(H109,0))/IFERROR(COUNTIF(J109:U109,"x"),1)+(Besatzung!$F$13="x")*IFERROR(H109,0)/IFERROR(SUMPRODUCT((J109:U109="x")*(Besatzung!$F$11:$F$22="x")),1))),(IF(COUNTIF(J109:U109,"x")=0,IF(Besatzung!$B$13&lt;&gt;"",1,0),(K109="x"))*(G109-IFERROR(H109,0))/IFERROR(IF(COUNTIF(J109:U109,"x")=0,COUNTA(Besatzung!$B$11:$B$22),COUNTIF(J109:U109,"x")),1)+IF(COUNTIF(J109:U109,"x")=0,(Besatzung!$F$13="x"),(K109="x")*(Besatzung!$F$13="x"))*IFERROR(H109,0)/IFERROR(IF(COUNTIF(J109:U109,"x")=0,SUMPRODUCT((Besatzung!$B$11:$B$22&lt;&gt;"")*(Besatzung!$F$11:$F$22="x")),SUMPRODUCT((J109:U109="x")*(Besatzung!$F$11:$F$22="x"))),1))))),0))))</f>
        <v/>
      </c>
      <c r="Y109" s="247">
        <f>IF(C109="Gutschrift","",IF(G109="","",IF(Besatzung!$B$14="","",IFERROR(IF(I109="Zeitanteilig",(Besatzung!$G$14*(G109-IFERROR(H109,0))+((Besatzung!$B$14&lt;&gt;"")*IF(B109="",1,(IF(Besatzung!$C$14="",Besatzung!$B$5,Besatzung!$C$14)&lt;=B109)*(IF(Besatzung!$D$14="",Besatzung!$B$6,Besatzung!$D$14)&gt;=B109)))*(Besatzung!$F$14="x")*IFERROR(H109,0)/IFERROR(SUMPRODUCT((Besatzung!$B$11:$B$22&lt;&gt;"")*(Besatzung!$F$11:$F$22="x")*(IF(Besatzung!$C$11:$C$22="",Besatzung!$B$5,Besatzung!$C$11:$C$22)&lt;=B109)*(IF(Besatzung!$D$11:$D$22="",Besatzung!$B$6,Besatzung!$D$11:$D$22)&gt;=B109)),1)),IF(I109="An Bord",(((Besatzung!$B$14&lt;&gt;"")*IF(B109="",1,(IF(Besatzung!$C$14="",Besatzung!$B$5,Besatzung!$C$14)&lt;=B109)*(IF(Besatzung!$D$14="",Besatzung!$B$6,Besatzung!$D$14)&gt;=B109)))*((G109-IFERROR(H109,0))/IFERROR(SUMPRODUCT((Besatzung!$B$11:$B$22&lt;&gt;"")*(IF(Besatzung!$C$11:$C$22="",Besatzung!$B$5,Besatzung!$C$11:$C$22)&lt;=B109)*(IF(Besatzung!$D$11:$D$22="",Besatzung!$B$6,Besatzung!$D$11:$D$22)&gt;=B109)),1)+(Besatzung!$F$14="x")*IFERROR(H109,0)/IFERROR(SUMPRODUCT((Besatzung!$B$11:$B$22&lt;&gt;"")*(Besatzung!$F$11:$F$22="x")*(IF(Besatzung!$C$11:$C$22="",Besatzung!$B$5,Besatzung!$C$11:$C$22)&lt;=B109)*(IF(Besatzung!$D$11:$D$22="",Besatzung!$B$6,Besatzung!$D$11:$D$22)&gt;=B109)),1))),IF(I109="Individuell",((M109="x")*((G109-IFERROR(H109,0))/IFERROR(COUNTIF(J109:U109,"x"),1)+(Besatzung!$F$14="x")*IFERROR(H109,0)/IFERROR(SUMPRODUCT((J109:U109="x")*(Besatzung!$F$11:$F$22="x")),1))),(IF(COUNTIF(J109:U109,"x")=0,IF(Besatzung!$B$14&lt;&gt;"",1,0),(M109="x"))*(G109-IFERROR(H109,0))/IFERROR(IF(COUNTIF(J109:U109,"x")=0,COUNTA(Besatzung!$B$11:$B$22),COUNTIF(J109:U109,"x")),1)+IF(COUNTIF(J109:U109,"x")=0,(Besatzung!$F$14="x"),(M109="x")*(Besatzung!$F$14="x"))*IFERROR(H109,0)/IFERROR(IF(COUNTIF(J109:U109,"x")=0,SUMPRODUCT((Besatzung!$B$11:$B$22&lt;&gt;"")*(Besatzung!$F$11:$F$22="x")),SUMPRODUCT((J109:U109="x")*(Besatzung!$F$11:$F$22="x"))),1))))),0))))</f>
        <v/>
      </c>
      <c r="Z109" s="247">
        <f>IF(C109="Gutschrift","",IF(G109="","",IF(Besatzung!$B$13="","",IFERROR(IF(I109="Zeitanteilig",(Besatzung!$G$15*(G109-IFERROR(H109,0))+((Besatzung!$B$13&lt;&gt;"")*IF(B109="",1,(IF(Besatzung!$C$15="",Besatzung!$B$5,Besatzung!$C$15)&lt;=B109)*(IF(Besatzung!$D$15="",Besatzung!$B$6,Besatzung!$D$15)&gt;=B109)))*(Besatzung!$F$15="x")*IFERROR(H109,0)/IFERROR(SUMPRODUCT((Besatzung!$B$11:$B$22&lt;&gt;"")*(Besatzung!$F$11:$F$22="x")*(IF(Besatzung!$C$11:$C$22="",Besatzung!$B$5,Besatzung!$C$11:$C$22)&lt;=B109)*(IF(Besatzung!$D$11:$D$22="",Besatzung!$B$6,Besatzung!$D$11:$D$22)&gt;=B109)),1)),IF(I109="An Bord",(((Besatzung!$B$13&lt;&gt;"")*IF(B109="",1,(IF(Besatzung!$C$15="",Besatzung!$B$5,Besatzung!$C$15)&lt;=B109)*(IF(Besatzung!$D$15="",Besatzung!$B$6,Besatzung!$D$15)&gt;=B109)))*((G109-IFERROR(H109,0))/IFERROR(SUMPRODUCT((Besatzung!$B$11:$B$22&lt;&gt;"")*(IF(Besatzung!$C$11:$C$22="",Besatzung!$B$5,Besatzung!$C$11:$C$22)&lt;=B109)*(IF(Besatzung!$D$11:$D$22="",Besatzung!$B$6,Besatzung!$D$11:$D$22)&gt;=B109)),1)+(Besatzung!$F$15="x")*IFERROR(H109,0)/IFERROR(SUMPRODUCT((Besatzung!$B$11:$B$22&lt;&gt;"")*(Besatzung!$F$11:$F$22="x")*(IF(Besatzung!$C$11:$C$22="",Besatzung!$B$5,Besatzung!$C$11:$C$22)&lt;=B109)*(IF(Besatzung!$D$11:$D$22="",Besatzung!$B$6,Besatzung!$D$11:$D$22)&gt;=B109)),1))),IF(I109="Individuell",((N109="x")*((G109-IFERROR(H109,0))/IFERROR(COUNTIF(J109:U109,"x"),1)+(Besatzung!$F$15="x")*IFERROR(H109,0)/IFERROR(SUMPRODUCT((J109:U109="x")*(Besatzung!$F$11:$F$22="x")),1))),(IF(COUNTIF(J109:U109,"x")=0,IF(Besatzung!$B$13&lt;&gt;"",1,0),(N109="x"))*(G109-IFERROR(H109,0))/IFERROR(IF(COUNTIF(J109:U109,"x")=0,COUNTA(Besatzung!$B$11:$B$22),COUNTIF(J109:U109,"x")),1)+IF(COUNTIF(J109:U109,"x")=0,(Besatzung!$F$15="x"),(N109="x")*(Besatzung!$F$15="x"))*IFERROR(H109,0)/IFERROR(IF(COUNTIF(J109:U109,"x")=0,SUMPRODUCT((Besatzung!$B$11:$B$22&lt;&gt;"")*(Besatzung!$F$11:$F$22="x")),SUMPRODUCT((J109:U109="x")*(Besatzung!$F$11:$F$22="x"))),1))))),0))))</f>
        <v/>
      </c>
      <c r="AA109" s="247">
        <f>IF(C109="Gutschrift","",IF(G109="","",IF(Besatzung!$B$15="","",IFERROR(IF(I109="Zeitanteilig",(Besatzung!$G$16*(G109-IFERROR(H109,0))+((Besatzung!$B$15&lt;&gt;"")*IF(B109="",1,(IF(Besatzung!$C$16="",Besatzung!$B$5,Besatzung!$C$16)&lt;=B109)*(IF(Besatzung!$D$16="",Besatzung!$B$6,Besatzung!$D$16)&gt;=B109)))*(Besatzung!$F$16="x")*IFERROR(H109,0)/IFERROR(SUMPRODUCT((Besatzung!$B$11:$B$22&lt;&gt;"")*(Besatzung!$F$11:$F$22="x")*(IF(Besatzung!$C$11:$C$22="",Besatzung!$B$5,Besatzung!$C$11:$C$22)&lt;=B109)*(IF(Besatzung!$D$11:$D$22="",Besatzung!$B$6,Besatzung!$D$11:$D$22)&gt;=B109)),1)),IF(I109="An Bord",(((Besatzung!$B$15&lt;&gt;"")*IF(B109="",1,(IF(Besatzung!$C$16="",Besatzung!$B$5,Besatzung!$C$16)&lt;=B109)*(IF(Besatzung!$D$16="",Besatzung!$B$6,Besatzung!$D$16)&gt;=B109)))*((G109-IFERROR(H109,0))/IFERROR(SUMPRODUCT((Besatzung!$B$11:$B$22&lt;&gt;"")*(IF(Besatzung!$C$11:$C$22="",Besatzung!$B$5,Besatzung!$C$11:$C$22)&lt;=B109)*(IF(Besatzung!$D$11:$D$22="",Besatzung!$B$6,Besatzung!$D$11:$D$22)&gt;=B109)),1)+(Besatzung!$F$16="x")*IFERROR(H109,0)/IFERROR(SUMPRODUCT((Besatzung!$B$11:$B$22&lt;&gt;"")*(Besatzung!$F$11:$F$22="x")*(IF(Besatzung!$C$11:$C$22="",Besatzung!$B$5,Besatzung!$C$11:$C$22)&lt;=B109)*(IF(Besatzung!$D$11:$D$22="",Besatzung!$B$6,Besatzung!$D$11:$D$22)&gt;=B109)),1))),IF(I109="Individuell",((O109="x")*((G109-IFERROR(H109,0))/IFERROR(COUNTIF(J109:U109,"x"),1)+(Besatzung!$F$16="x")*IFERROR(H109,0)/IFERROR(SUMPRODUCT((J109:U109="x")*(Besatzung!$F$11:$F$22="x")),1))),(IF(COUNTIF(J109:U109,"x")=0,IF(Besatzung!$B$15&lt;&gt;"",1,0),(O109="x"))*(G109-IFERROR(H109,0))/IFERROR(IF(COUNTIF(J109:U109,"x")=0,COUNTA(Besatzung!$B$11:$B$22),COUNTIF(J109:U109,"x")),1)+IF(COUNTIF(J109:U109,"x")=0,(Besatzung!$F$16="x"),(O109="x")*(Besatzung!$F$16="x"))*IFERROR(H109,0)/IFERROR(IF(COUNTIF(J109:U109,"x")=0,SUMPRODUCT((Besatzung!$B$11:$B$22&lt;&gt;"")*(Besatzung!$F$11:$F$22="x")),SUMPRODUCT((J109:U109="x")*(Besatzung!$F$11:$F$22="x"))),1))))),0))))</f>
        <v/>
      </c>
      <c r="AB109" s="247">
        <f>IF(C109="Gutschrift","",IF(G109="","",IF(Besatzung!$B$17="","",IFERROR(IF(I109="Zeitanteilig",(Besatzung!$G$17*(G109-IFERROR(H109,0))+((Besatzung!$B$17&lt;&gt;"")*IF(B109="",1,(IF(Besatzung!$C$17="",Besatzung!$B$5,Besatzung!$C$17)&lt;=B109)*(IF(Besatzung!$D$17="",Besatzung!$B$6,Besatzung!$D$17)&gt;=B109)))*(Besatzung!$F$17="x")*IFERROR(H109,0)/IFERROR(SUMPRODUCT((Besatzung!$B$11:$B$22&lt;&gt;"")*(Besatzung!$F$11:$F$22="x")*(IF(Besatzung!$C$11:$C$22="",Besatzung!$B$5,Besatzung!$C$11:$C$22)&lt;=B109)*(IF(Besatzung!$D$11:$D$22="",Besatzung!$B$6,Besatzung!$D$11:$D$22)&gt;=B109)),1)),IF(I109="An Bord",(((Besatzung!$B$17&lt;&gt;"")*IF(B109="",1,(IF(Besatzung!$C$17="",Besatzung!$B$5,Besatzung!$C$17)&lt;=B109)*(IF(Besatzung!$D$17="",Besatzung!$B$6,Besatzung!$D$17)&gt;=B109)))*((G109-IFERROR(H109,0))/IFERROR(SUMPRODUCT((Besatzung!$B$11:$B$22&lt;&gt;"")*(IF(Besatzung!$C$11:$C$22="",Besatzung!$B$5,Besatzung!$C$11:$C$22)&lt;=B109)*(IF(Besatzung!$D$11:$D$22="",Besatzung!$B$6,Besatzung!$D$11:$D$22)&gt;=B109)),1)+(Besatzung!$F$17="x")*IFERROR(H109,0)/IFERROR(SUMPRODUCT((Besatzung!$B$11:$B$22&lt;&gt;"")*(Besatzung!$F$11:$F$22="x")*(IF(Besatzung!$C$11:$C$22="",Besatzung!$B$5,Besatzung!$C$11:$C$22)&lt;=B109)*(IF(Besatzung!$D$11:$D$22="",Besatzung!$B$6,Besatzung!$D$11:$D$22)&gt;=B109)),1))),IF(I109="Individuell",((P109="x")*((G109-IFERROR(H109,0))/IFERROR(COUNTIF(J109:U109,"x"),1)+(Besatzung!$F$17="x")*IFERROR(H109,0)/IFERROR(SUMPRODUCT((J109:U109="x")*(Besatzung!$F$11:$F$22="x")),1))),(IF(COUNTIF(J109:U109,"x")=0,IF(Besatzung!$B$17&lt;&gt;"",1,0),(P109="x"))*(G109-IFERROR(H109,0))/IFERROR(IF(COUNTIF(J109:U109,"x")=0,COUNTA(Besatzung!$B$11:$B$22),COUNTIF(J109:U109,"x")),1)+IF(COUNTIF(J109:U109,"x")=0,(Besatzung!$F$17="x"),(P109="x")*(Besatzung!$F$17="x"))*IFERROR(H109,0)/IFERROR(IF(COUNTIF(J109:U109,"x")=0,SUMPRODUCT((Besatzung!$B$11:$B$22&lt;&gt;"")*(Besatzung!$F$11:$F$22="x")),SUMPRODUCT((J109:U109="x")*(Besatzung!$F$11:$F$22="x"))),1))))),0))))</f>
        <v/>
      </c>
      <c r="AC109" s="247">
        <f>IF(C109="Gutschrift","",IF(G109="","",IF(Besatzung!$B$18="","",IFERROR(IF(I109="Zeitanteilig",(Besatzung!$G$18*(G109-IFERROR(H109,0))+((Besatzung!$B$18&lt;&gt;"")*IF(B109="",1,(IF(Besatzung!$C$18="",Besatzung!$B$5,Besatzung!$C$18)&lt;=B109)*(IF(Besatzung!$D$18="",Besatzung!$B$6,Besatzung!$D$18)&gt;=B109)))*(Besatzung!$F$18="x")*IFERROR(H109,0)/IFERROR(SUMPRODUCT((Besatzung!$B$11:$B$22&lt;&gt;"")*(Besatzung!$F$11:$F$22="x")*(IF(Besatzung!$C$11:$C$22="",Besatzung!$B$5,Besatzung!$C$11:$C$22)&lt;=B109)*(IF(Besatzung!$D$11:$D$22="",Besatzung!$B$6,Besatzung!$D$11:$D$22)&gt;=B109)),1)),IF(I109="An Bord",(((Besatzung!$B$18&lt;&gt;"")*IF(B109="",1,(IF(Besatzung!$C$18="",Besatzung!$B$5,Besatzung!$C$18)&lt;=B109)*(IF(Besatzung!$D$18="",Besatzung!$B$6,Besatzung!$D$18)&gt;=B109)))*((G109-IFERROR(H109,0))/IFERROR(SUMPRODUCT((Besatzung!$B$11:$B$22&lt;&gt;"")*(IF(Besatzung!$C$11:$C$22="",Besatzung!$B$5,Besatzung!$C$11:$C$22)&lt;=B109)*(IF(Besatzung!$D$11:$D$22="",Besatzung!$B$6,Besatzung!$D$11:$D$22)&gt;=B109)),1)+(Besatzung!$F$18="x")*IFERROR(H109,0)/IFERROR(SUMPRODUCT((Besatzung!$B$11:$B$22&lt;&gt;"")*(Besatzung!$F$11:$F$22="x")*(IF(Besatzung!$C$11:$C$22="",Besatzung!$B$5,Besatzung!$C$11:$C$22)&lt;=B109)*(IF(Besatzung!$D$11:$D$22="",Besatzung!$B$6,Besatzung!$D$11:$D$22)&gt;=B109)),1))),IF(I109="Individuell",((Q109="x")*((G109-IFERROR(H109,0))/IFERROR(COUNTIF(J109:U109,"x"),1)+(Besatzung!$F$18="x")*IFERROR(H109,0)/IFERROR(SUMPRODUCT((J109:U109="x")*(Besatzung!$F$11:$F$22="x")),1))),(IF(COUNTIF(J109:U109,"x")=0,IF(Besatzung!$B$18&lt;&gt;"",1,0),(Q109="x"))*(G109-IFERROR(H109,0))/IFERROR(IF(COUNTIF(J109:U109,"x")=0,COUNTA(Besatzung!$B$11:$B$22),COUNTIF(J109:U109,"x")),1)+IF(COUNTIF(J109:U109,"x")=0,(Besatzung!$F$18="x"),(Q109="x")*(Besatzung!$F$18="x"))*IFERROR(H109,0)/IFERROR(IF(COUNTIF(J109:U109,"x")=0,SUMPRODUCT((Besatzung!$B$11:$B$22&lt;&gt;"")*(Besatzung!$F$11:$F$22="x")),SUMPRODUCT((J109:U109="x")*(Besatzung!$F$11:$F$22="x"))),1))))),0))))</f>
        <v/>
      </c>
      <c r="AD109" s="247">
        <f>IF(C109="Gutschrift","",IF(G109="","",IF(Besatzung!$B$19="","",IFERROR(IF(I109="Zeitanteilig",(Besatzung!$G$19*(G109-IFERROR(H109,0))+((Besatzung!$B$19&lt;&gt;"")*IF(B109="",1,(IF(Besatzung!$C$19="",Besatzung!$B$5,Besatzung!$C$19)&lt;=B109)*(IF(Besatzung!$D$19="",Besatzung!$B$6,Besatzung!$D$19)&gt;=B109)))*(Besatzung!$F$19="x")*IFERROR(H109,0)/IFERROR(SUMPRODUCT((Besatzung!$B$11:$B$22&lt;&gt;"")*(Besatzung!$F$11:$F$22="x")*(IF(Besatzung!$C$11:$C$22="",Besatzung!$B$5,Besatzung!$C$11:$C$22)&lt;=B109)*(IF(Besatzung!$D$11:$D$22="",Besatzung!$B$6,Besatzung!$D$11:$D$22)&gt;=B109)),1)),IF(I109="An Bord",(((Besatzung!$B$19&lt;&gt;"")*IF(B109="",1,(IF(Besatzung!$C$19="",Besatzung!$B$5,Besatzung!$C$19)&lt;=B109)*(IF(Besatzung!$D$19="",Besatzung!$B$6,Besatzung!$D$19)&gt;=B109)))*((G109-IFERROR(H109,0))/IFERROR(SUMPRODUCT((Besatzung!$B$11:$B$22&lt;&gt;"")*(IF(Besatzung!$C$11:$C$22="",Besatzung!$B$5,Besatzung!$C$11:$C$22)&lt;=B109)*(IF(Besatzung!$D$11:$D$22="",Besatzung!$B$6,Besatzung!$D$11:$D$22)&gt;=B109)),1)+(Besatzung!$F$19="x")*IFERROR(H109,0)/IFERROR(SUMPRODUCT((Besatzung!$B$11:$B$22&lt;&gt;"")*(Besatzung!$F$11:$F$22="x")*(IF(Besatzung!$C$11:$C$22="",Besatzung!$B$5,Besatzung!$C$11:$C$22)&lt;=B109)*(IF(Besatzung!$D$11:$D$22="",Besatzung!$B$6,Besatzung!$D$11:$D$22)&gt;=B109)),1))),IF(I109="Individuell",((R109="x")*((G109-IFERROR(H109,0))/IFERROR(COUNTIF(J109:U109,"x"),1)+(Besatzung!$F$19="x")*IFERROR(H109,0)/IFERROR(SUMPRODUCT((J109:U109="x")*(Besatzung!$F$11:$F$22="x")),1))),(IF(COUNTIF(J109:U109,"x")=0,IF(Besatzung!$B$19&lt;&gt;"",1,0),(R109="x"))*(G109-IFERROR(H109,0))/IFERROR(IF(COUNTIF(J109:U109,"x")=0,COUNTA(Besatzung!$B$11:$B$22),COUNTIF(J109:U109,"x")),1)+IF(COUNTIF(J109:U109,"x")=0,(Besatzung!$F$19="x"),(R109="x")*(Besatzung!$F$19="x"))*IFERROR(H109,0)/IFERROR(IF(COUNTIF(J109:U109,"x")=0,SUMPRODUCT((Besatzung!$B$11:$B$22&lt;&gt;"")*(Besatzung!$F$11:$F$22="x")),SUMPRODUCT((J109:U109="x")*(Besatzung!$F$11:$F$22="x"))),1))))),0))))</f>
        <v/>
      </c>
      <c r="AE109" s="247">
        <f>IF(C109="Gutschrift","",IF(G109="","",IF(Besatzung!$B$20="","",IFERROR(IF(I109="Zeitanteilig",(Besatzung!$G$20*(G109-IFERROR(H109,0))+((Besatzung!$B$20&lt;&gt;"")*IF(B109="",1,(IF(Besatzung!$C$20="",Besatzung!$B$5,Besatzung!$C$20)&lt;=B109)*(IF(Besatzung!$D$20="",Besatzung!$B$6,Besatzung!$D$20)&gt;=B109)))*(Besatzung!$F$20="x")*IFERROR(H109,0)/IFERROR(SUMPRODUCT((Besatzung!$B$11:$B$22&lt;&gt;"")*(Besatzung!$F$11:$F$22="x")*(IF(Besatzung!$C$11:$C$22="",Besatzung!$B$5,Besatzung!$C$11:$C$22)&lt;=B109)*(IF(Besatzung!$D$11:$D$22="",Besatzung!$B$6,Besatzung!$D$11:$D$22)&gt;=B109)),1)),IF(I109="An Bord",(((Besatzung!$B$20&lt;&gt;"")*IF(B109="",1,(IF(Besatzung!$C$20="",Besatzung!$B$5,Besatzung!$C$20)&lt;=B109)*(IF(Besatzung!$D$20="",Besatzung!$B$6,Besatzung!$D$20)&gt;=B109)))*((G109-IFERROR(H109,0))/IFERROR(SUMPRODUCT((Besatzung!$B$11:$B$22&lt;&gt;"")*(IF(Besatzung!$C$11:$C$22="",Besatzung!$B$5,Besatzung!$C$11:$C$22)&lt;=B109)*(IF(Besatzung!$D$11:$D$22="",Besatzung!$B$6,Besatzung!$D$11:$D$22)&gt;=B109)),1)+(Besatzung!$F$20="x")*IFERROR(H109,0)/IFERROR(SUMPRODUCT((Besatzung!$B$11:$B$22&lt;&gt;"")*(Besatzung!$F$11:$F$22="x")*(IF(Besatzung!$C$11:$C$22="",Besatzung!$B$5,Besatzung!$C$11:$C$22)&lt;=B109)*(IF(Besatzung!$D$11:$D$22="",Besatzung!$B$6,Besatzung!$D$11:$D$22)&gt;=B109)),1))),IF(I109="Individuell",((S109="x")*((G109-IFERROR(H109,0))/IFERROR(COUNTIF(J109:U109,"x"),1)+(Besatzung!$F$20="x")*IFERROR(H109,0)/IFERROR(SUMPRODUCT((J109:U109="x")*(Besatzung!$F$11:$F$22="x")),1))),(IF(COUNTIF(J109:U109,"x")=0,IF(Besatzung!$B$20&lt;&gt;"",1,0),(S109="x"))*(G109-IFERROR(H109,0))/IFERROR(IF(COUNTIF(J109:U109,"x")=0,COUNTA(Besatzung!$B$11:$B$22),COUNTIF(J109:U109,"x")),1)+IF(COUNTIF(J109:U109,"x")=0,(Besatzung!$F$20="x"),(S109="x")*(Besatzung!$F$20="x"))*IFERROR(H109,0)/IFERROR(IF(COUNTIF(J109:U109,"x")=0,SUMPRODUCT((Besatzung!$B$11:$B$22&lt;&gt;"")*(Besatzung!$F$11:$F$22="x")),SUMPRODUCT((J109:U109="x")*(Besatzung!$F$11:$F$22="x"))),1))))),0))))</f>
        <v/>
      </c>
      <c r="AF109" s="247">
        <f>IF(C109="Gutschrift","",IF(G109="","",IF(Besatzung!$B$21="","",IFERROR(IF(I109="Zeitanteilig",(Besatzung!$G$21*(G109-IFERROR(H109,0))+((Besatzung!$B$21&lt;&gt;"")*IF(B109="",1,(IF(Besatzung!$C$21="",Besatzung!$B$5,Besatzung!$C$21)&lt;=B109)*(IF(Besatzung!$D$21="",Besatzung!$B$6,Besatzung!$D$21)&gt;=B109)))*(Besatzung!$F$21="x")*IFERROR(H109,0)/IFERROR(SUMPRODUCT((Besatzung!$B$11:$B$22&lt;&gt;"")*(Besatzung!$F$11:$F$22="x")*(IF(Besatzung!$C$11:$C$22="",Besatzung!$B$5,Besatzung!$C$11:$C$22)&lt;=B109)*(IF(Besatzung!$D$11:$D$22="",Besatzung!$B$6,Besatzung!$D$11:$D$22)&gt;=B109)),1)),IF(I109="An Bord",(((Besatzung!$B$21&lt;&gt;"")*IF(B109="",1,(IF(Besatzung!$C$21="",Besatzung!$B$5,Besatzung!$C$21)&lt;=B109)*(IF(Besatzung!$D$21="",Besatzung!$B$6,Besatzung!$D$21)&gt;=B109)))*((G109-IFERROR(H109,0))/IFERROR(SUMPRODUCT((Besatzung!$B$11:$B$22&lt;&gt;"")*(IF(Besatzung!$C$11:$C$22="",Besatzung!$B$5,Besatzung!$C$11:$C$22)&lt;=B109)*(IF(Besatzung!$D$11:$D$22="",Besatzung!$B$6,Besatzung!$D$11:$D$22)&gt;=B109)),1)+(Besatzung!$F$21="x")*IFERROR(H109,0)/IFERROR(SUMPRODUCT((Besatzung!$B$11:$B$22&lt;&gt;"")*(Besatzung!$F$11:$F$22="x")*(IF(Besatzung!$C$11:$C$22="",Besatzung!$B$5,Besatzung!$C$11:$C$22)&lt;=B109)*(IF(Besatzung!$D$11:$D$22="",Besatzung!$B$6,Besatzung!$D$11:$D$22)&gt;=B109)),1))),IF(I109="Individuell",((T109="x")*((G109-IFERROR(H109,0))/IFERROR(COUNTIF(J109:U109,"x"),1)+(Besatzung!$F$21="x")*IFERROR(H109,0)/IFERROR(SUMPRODUCT((J109:U109="x")*(Besatzung!$F$11:$F$22="x")),1))),(IF(COUNTIF(J109:U109,"x")=0,IF(Besatzung!$B$21&lt;&gt;"",1,0),(T109="x"))*(G109-IFERROR(H109,0))/IFERROR(IF(COUNTIF(J109:U109,"x")=0,COUNTA(Besatzung!$B$11:$B$22),COUNTIF(J109:U109,"x")),1)+IF(COUNTIF(J109:U109,"x")=0,(Besatzung!$F$21="x"),(T109="x")*(Besatzung!$F$21="x"))*IFERROR(H109,0)/IFERROR(IF(COUNTIF(J109:U109,"x")=0,SUMPRODUCT((Besatzung!$B$11:$B$22&lt;&gt;"")*(Besatzung!$F$11:$F$22="x")),SUMPRODUCT((J109:U109="x")*(Besatzung!$F$11:$F$22="x"))),1))))),0))))</f>
        <v/>
      </c>
      <c r="AG109" s="247">
        <f>IF(C109="Gutschrift","",IF(G109="","",IF(Besatzung!$B$22="","",IFERROR(IF(I109="Zeitanteilig",(Besatzung!$G$22*(G109-IFERROR(H109,0))+((Besatzung!$B$22&lt;&gt;"")*IF(B109="",1,(IF(Besatzung!$C$22="",Besatzung!$B$5,Besatzung!$C$22)&lt;=B109)*(IF(Besatzung!$D$22="",Besatzung!$B$6,Besatzung!$D$22)&gt;=B109)))*(Besatzung!$F$22="x")*IFERROR(H109,0)/IFERROR(SUMPRODUCT((Besatzung!$B$11:$B$22&lt;&gt;"")*(Besatzung!$F$11:$F$22="x")*(IF(Besatzung!$C$11:$C$22="",Besatzung!$B$5,Besatzung!$C$11:$C$22)&lt;=B109)*(IF(Besatzung!$D$11:$D$22="",Besatzung!$B$6,Besatzung!$D$11:$D$22)&gt;=B109)),1)),IF(I109="An Bord",(((Besatzung!$B$22&lt;&gt;"")*IF(B109="",1,(IF(Besatzung!$C$22="",Besatzung!$B$5,Besatzung!$C$22)&lt;=B109)*(IF(Besatzung!$D$22="",Besatzung!$B$6,Besatzung!$D$22)&gt;=B109)))*((G109-IFERROR(H109,0))/IFERROR(SUMPRODUCT((Besatzung!$B$11:$B$22&lt;&gt;"")*(IF(Besatzung!$C$11:$C$22="",Besatzung!$B$5,Besatzung!$C$11:$C$22)&lt;=B109)*(IF(Besatzung!$D$11:$D$22="",Besatzung!$B$6,Besatzung!$D$11:$D$22)&gt;=B109)),1)+(Besatzung!$F$22="x")*IFERROR(H109,0)/IFERROR(SUMPRODUCT((Besatzung!$B$11:$B$22&lt;&gt;"")*(Besatzung!$F$11:$F$22="x")*(IF(Besatzung!$C$11:$C$22="",Besatzung!$B$5,Besatzung!$C$11:$C$22)&lt;=B109)*(IF(Besatzung!$D$11:$D$22="",Besatzung!$B$6,Besatzung!$D$11:$D$22)&gt;=B109)),1))),IF(I109="Individuell",((U109="x")*((G109-IFERROR(H109,0))/IFERROR(COUNTIF(J109:U109,"x"),1)+(Besatzung!$F$22="x")*IFERROR(H109,0)/IFERROR(SUMPRODUCT((J109:U109="x")*(Besatzung!$F$11:$F$22="x")),1))),(IF(COUNTIF(J109:U109,"x")=0,IF(Besatzung!$B$22&lt;&gt;"",1,0),(U109="x"))*(G109-IFERROR(H109,0))/IFERROR(IF(COUNTIF(J109:U109,"x")=0,COUNTA(Besatzung!$B$11:$B$22),COUNTIF(J109:U109,"x")),1)+IF(COUNTIF(J109:U109,"x")=0,(Besatzung!$F$22="x"),(U109="x")*(Besatzung!$F$22="x"))*IFERROR(H109,0)/IFERROR(IF(COUNTIF(J109:U109,"x")=0,SUMPRODUCT((Besatzung!$B$11:$B$22&lt;&gt;"")*(Besatzung!$F$11:$F$22="x")),SUMPRODUCT((J109:U109="x")*(Besatzung!$F$11:$F$22="x"))),1))))),0))))</f>
        <v/>
      </c>
      <c r="AH109" s="248" t="n"/>
      <c r="AI109" s="248" t="n"/>
    </row>
    <row r="110" ht="21.75" customHeight="1" s="154">
      <c r="A110" s="238">
        <f>IF(AND(D110="",C110=""),"",107)</f>
        <v/>
      </c>
      <c r="B110" s="199" t="n"/>
      <c r="C110" s="239" t="n"/>
      <c r="D110" s="240" t="n"/>
      <c r="E110" s="241" t="n"/>
      <c r="F110" s="242" t="n"/>
      <c r="G110" s="243" t="n"/>
      <c r="H110" s="244" t="n"/>
      <c r="I110" s="245" t="n"/>
      <c r="J110" s="246" t="n"/>
      <c r="K110" s="246" t="n"/>
      <c r="L110" s="246" t="n"/>
      <c r="M110" s="246" t="n"/>
      <c r="N110" s="246" t="n"/>
      <c r="O110" s="246" t="n"/>
      <c r="P110" s="246" t="n"/>
      <c r="Q110" s="246" t="n"/>
      <c r="R110" s="246" t="n"/>
      <c r="S110" s="246" t="n"/>
      <c r="T110" s="246" t="n"/>
      <c r="U110" s="246" t="n"/>
      <c r="V110" s="247">
        <f>IF(C110="Gutschrift","",IF(G110="","",IF(Besatzung!$B$11="","",IFERROR(IF(I110="Zeitanteilig",(Besatzung!$G$11*(G110-IFERROR(H110,0))+((Besatzung!$B$11&lt;&gt;"")*IF(B110="",1,(IF(Besatzung!$C$11="",Besatzung!$B$5,Besatzung!$C$11)&lt;=B110)*(IF(Besatzung!$D$11="",Besatzung!$B$6,Besatzung!$D$11)&gt;=B110)))*(Besatzung!$F$11="x")*IFERROR(H110,0)/IFERROR(SUMPRODUCT((Besatzung!$B$11:$B$22&lt;&gt;"")*(Besatzung!$F$11:$F$22="x")*(IF(Besatzung!$C$11:$C$22="",Besatzung!$B$5,Besatzung!$C$11:$C$22)&lt;=B110)*(IF(Besatzung!$D$11:$D$22="",Besatzung!$B$6,Besatzung!$D$11:$D$22)&gt;=B110)),1)),IF(I110="An Bord",(((Besatzung!$B$11&lt;&gt;"")*IF(B110="",1,(IF(Besatzung!$C$11="",Besatzung!$B$5,Besatzung!$C$11)&lt;=B110)*(IF(Besatzung!$D$11="",Besatzung!$B$6,Besatzung!$D$11)&gt;=B110)))*((G110-IFERROR(H110,0))/IFERROR(SUMPRODUCT((Besatzung!$B$11:$B$22&lt;&gt;"")*(IF(Besatzung!$C$11:$C$22="",Besatzung!$B$5,Besatzung!$C$11:$C$22)&lt;=B110)*(IF(Besatzung!$D$11:$D$22="",Besatzung!$B$6,Besatzung!$D$11:$D$22)&gt;=B110)),1)+(Besatzung!$F$11="x")*IFERROR(H110,0)/IFERROR(SUMPRODUCT((Besatzung!$B$11:$B$22&lt;&gt;"")*(Besatzung!$F$11:$F$22="x")*(IF(Besatzung!$C$11:$C$22="",Besatzung!$B$5,Besatzung!$C$11:$C$22)&lt;=B110)*(IF(Besatzung!$D$11:$D$22="",Besatzung!$B$6,Besatzung!$D$11:$D$22)&gt;=B110)),1))),IF(I110="Individuell",((J110="x")*((G110-IFERROR(H110,0))/IFERROR(COUNTIF(J110:U110,"x"),1)+(Besatzung!$F$11="x")*IFERROR(H110,0)/IFERROR(SUMPRODUCT((J110:U110="x")*(Besatzung!$F$11:$F$22="x")),1))),(IF(COUNTIF(J110:U110,"x")=0,IF(Besatzung!$B$11&lt;&gt;"",1,0),(J110="x"))*(G110-IFERROR(H110,0))/IFERROR(IF(COUNTIF(J110:U110,"x")=0,COUNTA(Besatzung!$B$11:$B$22),COUNTIF(J110:U110,"x")),1)+IF(COUNTIF(J110:U110,"x")=0,(Besatzung!$F$11="x"),(J110="x")*(Besatzung!$F$11="x"))*IFERROR(H110,0)/IFERROR(IF(COUNTIF(J110:U110,"x")=0,SUMPRODUCT((Besatzung!$B$11:$B$22&lt;&gt;"")*(Besatzung!$F$11:$F$22="x")),SUMPRODUCT((J110:U110="x")*(Besatzung!$F$11:$F$22="x"))),1))))),0))))</f>
        <v/>
      </c>
      <c r="W110" s="247">
        <f>IF(C110="Gutschrift","",IF(G110="","",IF(Besatzung!$B$12="","",IFERROR(IF(I110="Zeitanteilig",(Besatzung!$G$12*(G110-IFERROR(H110,0))+((Besatzung!$B$12&lt;&gt;"")*IF(B110="",1,(IF(Besatzung!$C$12="",Besatzung!$B$5,Besatzung!$C$12)&lt;=B110)*(IF(Besatzung!$D$12="",Besatzung!$B$6,Besatzung!$D$12)&gt;=B110)))*(Besatzung!$F$12="x")*IFERROR(H110,0)/IFERROR(SUMPRODUCT((Besatzung!$B$11:$B$22&lt;&gt;"")*(Besatzung!$F$11:$F$22="x")*(IF(Besatzung!$C$11:$C$22="",Besatzung!$B$5,Besatzung!$C$11:$C$22)&lt;=B110)*(IF(Besatzung!$D$11:$D$22="",Besatzung!$B$6,Besatzung!$D$11:$D$22)&gt;=B110)),1)),IF(I110="An Bord",(((Besatzung!$B$12&lt;&gt;"")*IF(B110="",1,(IF(Besatzung!$C$12="",Besatzung!$B$5,Besatzung!$C$12)&lt;=B110)*(IF(Besatzung!$D$12="",Besatzung!$B$6,Besatzung!$D$12)&gt;=B110)))*((G110-IFERROR(H110,0))/IFERROR(SUMPRODUCT((Besatzung!$B$11:$B$22&lt;&gt;"")*(IF(Besatzung!$C$11:$C$22="",Besatzung!$B$5,Besatzung!$C$11:$C$22)&lt;=B110)*(IF(Besatzung!$D$11:$D$22="",Besatzung!$B$6,Besatzung!$D$11:$D$22)&gt;=B110)),1)+(Besatzung!$F$12="x")*IFERROR(H110,0)/IFERROR(SUMPRODUCT((Besatzung!$B$11:$B$22&lt;&gt;"")*(Besatzung!$F$11:$F$22="x")*(IF(Besatzung!$C$11:$C$22="",Besatzung!$B$5,Besatzung!$C$11:$C$22)&lt;=B110)*(IF(Besatzung!$D$11:$D$22="",Besatzung!$B$6,Besatzung!$D$11:$D$22)&gt;=B110)),1))),IF(I110="Individuell",((K110="x")*((G110-IFERROR(H110,0))/IFERROR(COUNTIF(J110:U110,"x"),1)+(Besatzung!$F$12="x")*IFERROR(H110,0)/IFERROR(SUMPRODUCT((J110:U110="x")*(Besatzung!$F$11:$F$22="x")),1))),(IF(COUNTIF(J110:U110,"x")=0,IF(Besatzung!$B$12&lt;&gt;"",1,0),(K110="x"))*(G110-IFERROR(H110,0))/IFERROR(IF(COUNTIF(J110:U110,"x")=0,COUNTA(Besatzung!$B$11:$B$22),COUNTIF(J110:U110,"x")),1)+IF(COUNTIF(J110:U110,"x")=0,(Besatzung!$F$12="x"),(K110="x")*(Besatzung!$F$12="x"))*IFERROR(H110,0)/IFERROR(IF(COUNTIF(J110:U110,"x")=0,SUMPRODUCT((Besatzung!$B$11:$B$22&lt;&gt;"")*(Besatzung!$F$11:$F$22="x")),SUMPRODUCT((J110:U110="x")*(Besatzung!$F$11:$F$22="x"))),1))))),0))))</f>
        <v/>
      </c>
      <c r="X110" s="247">
        <f>IF(C110="Gutschrift","",IF(G110="","",IF(Besatzung!$B$13="","",IFERROR(IF(I110="Zeitanteilig",(Besatzung!$G$13*(G110-IFERROR(H110,0))+((Besatzung!$B$13&lt;&gt;"")*IF(B110="",1,(IF(Besatzung!$C$13="",Besatzung!$B$5,Besatzung!$C$13)&lt;=B110)*(IF(Besatzung!$D$13="",Besatzung!$B$6,Besatzung!$D$13)&gt;=B110)))*(Besatzung!$F$13="x")*IFERROR(H110,0)/IFERROR(SUMPRODUCT((Besatzung!$B$11:$B$22&lt;&gt;"")*(Besatzung!$F$11:$F$22="x")*(IF(Besatzung!$C$11:$C$22="",Besatzung!$B$5,Besatzung!$C$11:$C$22)&lt;=B110)*(IF(Besatzung!$D$11:$D$22="",Besatzung!$B$6,Besatzung!$D$11:$D$22)&gt;=B110)),1)),IF(I110="An Bord",(((Besatzung!$B$13&lt;&gt;"")*IF(B110="",1,(IF(Besatzung!$C$13="",Besatzung!$B$5,Besatzung!$C$13)&lt;=B110)*(IF(Besatzung!$D$13="",Besatzung!$B$6,Besatzung!$D$13)&gt;=B110)))*((G110-IFERROR(H110,0))/IFERROR(SUMPRODUCT((Besatzung!$B$11:$B$22&lt;&gt;"")*(IF(Besatzung!$C$11:$C$22="",Besatzung!$B$5,Besatzung!$C$11:$C$22)&lt;=B110)*(IF(Besatzung!$D$11:$D$22="",Besatzung!$B$6,Besatzung!$D$11:$D$22)&gt;=B110)),1)+(Besatzung!$F$13="x")*IFERROR(H110,0)/IFERROR(SUMPRODUCT((Besatzung!$B$11:$B$22&lt;&gt;"")*(Besatzung!$F$11:$F$22="x")*(IF(Besatzung!$C$11:$C$22="",Besatzung!$B$5,Besatzung!$C$11:$C$22)&lt;=B110)*(IF(Besatzung!$D$11:$D$22="",Besatzung!$B$6,Besatzung!$D$11:$D$22)&gt;=B110)),1))),IF(I110="Individuell",((K110="x")*((G110-IFERROR(H110,0))/IFERROR(COUNTIF(J110:U110,"x"),1)+(Besatzung!$F$13="x")*IFERROR(H110,0)/IFERROR(SUMPRODUCT((J110:U110="x")*(Besatzung!$F$11:$F$22="x")),1))),(IF(COUNTIF(J110:U110,"x")=0,IF(Besatzung!$B$13&lt;&gt;"",1,0),(K110="x"))*(G110-IFERROR(H110,0))/IFERROR(IF(COUNTIF(J110:U110,"x")=0,COUNTA(Besatzung!$B$11:$B$22),COUNTIF(J110:U110,"x")),1)+IF(COUNTIF(J110:U110,"x")=0,(Besatzung!$F$13="x"),(K110="x")*(Besatzung!$F$13="x"))*IFERROR(H110,0)/IFERROR(IF(COUNTIF(J110:U110,"x")=0,SUMPRODUCT((Besatzung!$B$11:$B$22&lt;&gt;"")*(Besatzung!$F$11:$F$22="x")),SUMPRODUCT((J110:U110="x")*(Besatzung!$F$11:$F$22="x"))),1))))),0))))</f>
        <v/>
      </c>
      <c r="Y110" s="247">
        <f>IF(C110="Gutschrift","",IF(G110="","",IF(Besatzung!$B$14="","",IFERROR(IF(I110="Zeitanteilig",(Besatzung!$G$14*(G110-IFERROR(H110,0))+((Besatzung!$B$14&lt;&gt;"")*IF(B110="",1,(IF(Besatzung!$C$14="",Besatzung!$B$5,Besatzung!$C$14)&lt;=B110)*(IF(Besatzung!$D$14="",Besatzung!$B$6,Besatzung!$D$14)&gt;=B110)))*(Besatzung!$F$14="x")*IFERROR(H110,0)/IFERROR(SUMPRODUCT((Besatzung!$B$11:$B$22&lt;&gt;"")*(Besatzung!$F$11:$F$22="x")*(IF(Besatzung!$C$11:$C$22="",Besatzung!$B$5,Besatzung!$C$11:$C$22)&lt;=B110)*(IF(Besatzung!$D$11:$D$22="",Besatzung!$B$6,Besatzung!$D$11:$D$22)&gt;=B110)),1)),IF(I110="An Bord",(((Besatzung!$B$14&lt;&gt;"")*IF(B110="",1,(IF(Besatzung!$C$14="",Besatzung!$B$5,Besatzung!$C$14)&lt;=B110)*(IF(Besatzung!$D$14="",Besatzung!$B$6,Besatzung!$D$14)&gt;=B110)))*((G110-IFERROR(H110,0))/IFERROR(SUMPRODUCT((Besatzung!$B$11:$B$22&lt;&gt;"")*(IF(Besatzung!$C$11:$C$22="",Besatzung!$B$5,Besatzung!$C$11:$C$22)&lt;=B110)*(IF(Besatzung!$D$11:$D$22="",Besatzung!$B$6,Besatzung!$D$11:$D$22)&gt;=B110)),1)+(Besatzung!$F$14="x")*IFERROR(H110,0)/IFERROR(SUMPRODUCT((Besatzung!$B$11:$B$22&lt;&gt;"")*(Besatzung!$F$11:$F$22="x")*(IF(Besatzung!$C$11:$C$22="",Besatzung!$B$5,Besatzung!$C$11:$C$22)&lt;=B110)*(IF(Besatzung!$D$11:$D$22="",Besatzung!$B$6,Besatzung!$D$11:$D$22)&gt;=B110)),1))),IF(I110="Individuell",((M110="x")*((G110-IFERROR(H110,0))/IFERROR(COUNTIF(J110:U110,"x"),1)+(Besatzung!$F$14="x")*IFERROR(H110,0)/IFERROR(SUMPRODUCT((J110:U110="x")*(Besatzung!$F$11:$F$22="x")),1))),(IF(COUNTIF(J110:U110,"x")=0,IF(Besatzung!$B$14&lt;&gt;"",1,0),(M110="x"))*(G110-IFERROR(H110,0))/IFERROR(IF(COUNTIF(J110:U110,"x")=0,COUNTA(Besatzung!$B$11:$B$22),COUNTIF(J110:U110,"x")),1)+IF(COUNTIF(J110:U110,"x")=0,(Besatzung!$F$14="x"),(M110="x")*(Besatzung!$F$14="x"))*IFERROR(H110,0)/IFERROR(IF(COUNTIF(J110:U110,"x")=0,SUMPRODUCT((Besatzung!$B$11:$B$22&lt;&gt;"")*(Besatzung!$F$11:$F$22="x")),SUMPRODUCT((J110:U110="x")*(Besatzung!$F$11:$F$22="x"))),1))))),0))))</f>
        <v/>
      </c>
      <c r="Z110" s="247">
        <f>IF(C110="Gutschrift","",IF(G110="","",IF(Besatzung!$B$13="","",IFERROR(IF(I110="Zeitanteilig",(Besatzung!$G$15*(G110-IFERROR(H110,0))+((Besatzung!$B$13&lt;&gt;"")*IF(B110="",1,(IF(Besatzung!$C$15="",Besatzung!$B$5,Besatzung!$C$15)&lt;=B110)*(IF(Besatzung!$D$15="",Besatzung!$B$6,Besatzung!$D$15)&gt;=B110)))*(Besatzung!$F$15="x")*IFERROR(H110,0)/IFERROR(SUMPRODUCT((Besatzung!$B$11:$B$22&lt;&gt;"")*(Besatzung!$F$11:$F$22="x")*(IF(Besatzung!$C$11:$C$22="",Besatzung!$B$5,Besatzung!$C$11:$C$22)&lt;=B110)*(IF(Besatzung!$D$11:$D$22="",Besatzung!$B$6,Besatzung!$D$11:$D$22)&gt;=B110)),1)),IF(I110="An Bord",(((Besatzung!$B$13&lt;&gt;"")*IF(B110="",1,(IF(Besatzung!$C$15="",Besatzung!$B$5,Besatzung!$C$15)&lt;=B110)*(IF(Besatzung!$D$15="",Besatzung!$B$6,Besatzung!$D$15)&gt;=B110)))*((G110-IFERROR(H110,0))/IFERROR(SUMPRODUCT((Besatzung!$B$11:$B$22&lt;&gt;"")*(IF(Besatzung!$C$11:$C$22="",Besatzung!$B$5,Besatzung!$C$11:$C$22)&lt;=B110)*(IF(Besatzung!$D$11:$D$22="",Besatzung!$B$6,Besatzung!$D$11:$D$22)&gt;=B110)),1)+(Besatzung!$F$15="x")*IFERROR(H110,0)/IFERROR(SUMPRODUCT((Besatzung!$B$11:$B$22&lt;&gt;"")*(Besatzung!$F$11:$F$22="x")*(IF(Besatzung!$C$11:$C$22="",Besatzung!$B$5,Besatzung!$C$11:$C$22)&lt;=B110)*(IF(Besatzung!$D$11:$D$22="",Besatzung!$B$6,Besatzung!$D$11:$D$22)&gt;=B110)),1))),IF(I110="Individuell",((N110="x")*((G110-IFERROR(H110,0))/IFERROR(COUNTIF(J110:U110,"x"),1)+(Besatzung!$F$15="x")*IFERROR(H110,0)/IFERROR(SUMPRODUCT((J110:U110="x")*(Besatzung!$F$11:$F$22="x")),1))),(IF(COUNTIF(J110:U110,"x")=0,IF(Besatzung!$B$13&lt;&gt;"",1,0),(N110="x"))*(G110-IFERROR(H110,0))/IFERROR(IF(COUNTIF(J110:U110,"x")=0,COUNTA(Besatzung!$B$11:$B$22),COUNTIF(J110:U110,"x")),1)+IF(COUNTIF(J110:U110,"x")=0,(Besatzung!$F$15="x"),(N110="x")*(Besatzung!$F$15="x"))*IFERROR(H110,0)/IFERROR(IF(COUNTIF(J110:U110,"x")=0,SUMPRODUCT((Besatzung!$B$11:$B$22&lt;&gt;"")*(Besatzung!$F$11:$F$22="x")),SUMPRODUCT((J110:U110="x")*(Besatzung!$F$11:$F$22="x"))),1))))),0))))</f>
        <v/>
      </c>
      <c r="AA110" s="247">
        <f>IF(C110="Gutschrift","",IF(G110="","",IF(Besatzung!$B$15="","",IFERROR(IF(I110="Zeitanteilig",(Besatzung!$G$16*(G110-IFERROR(H110,0))+((Besatzung!$B$15&lt;&gt;"")*IF(B110="",1,(IF(Besatzung!$C$16="",Besatzung!$B$5,Besatzung!$C$16)&lt;=B110)*(IF(Besatzung!$D$16="",Besatzung!$B$6,Besatzung!$D$16)&gt;=B110)))*(Besatzung!$F$16="x")*IFERROR(H110,0)/IFERROR(SUMPRODUCT((Besatzung!$B$11:$B$22&lt;&gt;"")*(Besatzung!$F$11:$F$22="x")*(IF(Besatzung!$C$11:$C$22="",Besatzung!$B$5,Besatzung!$C$11:$C$22)&lt;=B110)*(IF(Besatzung!$D$11:$D$22="",Besatzung!$B$6,Besatzung!$D$11:$D$22)&gt;=B110)),1)),IF(I110="An Bord",(((Besatzung!$B$15&lt;&gt;"")*IF(B110="",1,(IF(Besatzung!$C$16="",Besatzung!$B$5,Besatzung!$C$16)&lt;=B110)*(IF(Besatzung!$D$16="",Besatzung!$B$6,Besatzung!$D$16)&gt;=B110)))*((G110-IFERROR(H110,0))/IFERROR(SUMPRODUCT((Besatzung!$B$11:$B$22&lt;&gt;"")*(IF(Besatzung!$C$11:$C$22="",Besatzung!$B$5,Besatzung!$C$11:$C$22)&lt;=B110)*(IF(Besatzung!$D$11:$D$22="",Besatzung!$B$6,Besatzung!$D$11:$D$22)&gt;=B110)),1)+(Besatzung!$F$16="x")*IFERROR(H110,0)/IFERROR(SUMPRODUCT((Besatzung!$B$11:$B$22&lt;&gt;"")*(Besatzung!$F$11:$F$22="x")*(IF(Besatzung!$C$11:$C$22="",Besatzung!$B$5,Besatzung!$C$11:$C$22)&lt;=B110)*(IF(Besatzung!$D$11:$D$22="",Besatzung!$B$6,Besatzung!$D$11:$D$22)&gt;=B110)),1))),IF(I110="Individuell",((O110="x")*((G110-IFERROR(H110,0))/IFERROR(COUNTIF(J110:U110,"x"),1)+(Besatzung!$F$16="x")*IFERROR(H110,0)/IFERROR(SUMPRODUCT((J110:U110="x")*(Besatzung!$F$11:$F$22="x")),1))),(IF(COUNTIF(J110:U110,"x")=0,IF(Besatzung!$B$15&lt;&gt;"",1,0),(O110="x"))*(G110-IFERROR(H110,0))/IFERROR(IF(COUNTIF(J110:U110,"x")=0,COUNTA(Besatzung!$B$11:$B$22),COUNTIF(J110:U110,"x")),1)+IF(COUNTIF(J110:U110,"x")=0,(Besatzung!$F$16="x"),(O110="x")*(Besatzung!$F$16="x"))*IFERROR(H110,0)/IFERROR(IF(COUNTIF(J110:U110,"x")=0,SUMPRODUCT((Besatzung!$B$11:$B$22&lt;&gt;"")*(Besatzung!$F$11:$F$22="x")),SUMPRODUCT((J110:U110="x")*(Besatzung!$F$11:$F$22="x"))),1))))),0))))</f>
        <v/>
      </c>
      <c r="AB110" s="247">
        <f>IF(C110="Gutschrift","",IF(G110="","",IF(Besatzung!$B$17="","",IFERROR(IF(I110="Zeitanteilig",(Besatzung!$G$17*(G110-IFERROR(H110,0))+((Besatzung!$B$17&lt;&gt;"")*IF(B110="",1,(IF(Besatzung!$C$17="",Besatzung!$B$5,Besatzung!$C$17)&lt;=B110)*(IF(Besatzung!$D$17="",Besatzung!$B$6,Besatzung!$D$17)&gt;=B110)))*(Besatzung!$F$17="x")*IFERROR(H110,0)/IFERROR(SUMPRODUCT((Besatzung!$B$11:$B$22&lt;&gt;"")*(Besatzung!$F$11:$F$22="x")*(IF(Besatzung!$C$11:$C$22="",Besatzung!$B$5,Besatzung!$C$11:$C$22)&lt;=B110)*(IF(Besatzung!$D$11:$D$22="",Besatzung!$B$6,Besatzung!$D$11:$D$22)&gt;=B110)),1)),IF(I110="An Bord",(((Besatzung!$B$17&lt;&gt;"")*IF(B110="",1,(IF(Besatzung!$C$17="",Besatzung!$B$5,Besatzung!$C$17)&lt;=B110)*(IF(Besatzung!$D$17="",Besatzung!$B$6,Besatzung!$D$17)&gt;=B110)))*((G110-IFERROR(H110,0))/IFERROR(SUMPRODUCT((Besatzung!$B$11:$B$22&lt;&gt;"")*(IF(Besatzung!$C$11:$C$22="",Besatzung!$B$5,Besatzung!$C$11:$C$22)&lt;=B110)*(IF(Besatzung!$D$11:$D$22="",Besatzung!$B$6,Besatzung!$D$11:$D$22)&gt;=B110)),1)+(Besatzung!$F$17="x")*IFERROR(H110,0)/IFERROR(SUMPRODUCT((Besatzung!$B$11:$B$22&lt;&gt;"")*(Besatzung!$F$11:$F$22="x")*(IF(Besatzung!$C$11:$C$22="",Besatzung!$B$5,Besatzung!$C$11:$C$22)&lt;=B110)*(IF(Besatzung!$D$11:$D$22="",Besatzung!$B$6,Besatzung!$D$11:$D$22)&gt;=B110)),1))),IF(I110="Individuell",((P110="x")*((G110-IFERROR(H110,0))/IFERROR(COUNTIF(J110:U110,"x"),1)+(Besatzung!$F$17="x")*IFERROR(H110,0)/IFERROR(SUMPRODUCT((J110:U110="x")*(Besatzung!$F$11:$F$22="x")),1))),(IF(COUNTIF(J110:U110,"x")=0,IF(Besatzung!$B$17&lt;&gt;"",1,0),(P110="x"))*(G110-IFERROR(H110,0))/IFERROR(IF(COUNTIF(J110:U110,"x")=0,COUNTA(Besatzung!$B$11:$B$22),COUNTIF(J110:U110,"x")),1)+IF(COUNTIF(J110:U110,"x")=0,(Besatzung!$F$17="x"),(P110="x")*(Besatzung!$F$17="x"))*IFERROR(H110,0)/IFERROR(IF(COUNTIF(J110:U110,"x")=0,SUMPRODUCT((Besatzung!$B$11:$B$22&lt;&gt;"")*(Besatzung!$F$11:$F$22="x")),SUMPRODUCT((J110:U110="x")*(Besatzung!$F$11:$F$22="x"))),1))))),0))))</f>
        <v/>
      </c>
      <c r="AC110" s="247">
        <f>IF(C110="Gutschrift","",IF(G110="","",IF(Besatzung!$B$18="","",IFERROR(IF(I110="Zeitanteilig",(Besatzung!$G$18*(G110-IFERROR(H110,0))+((Besatzung!$B$18&lt;&gt;"")*IF(B110="",1,(IF(Besatzung!$C$18="",Besatzung!$B$5,Besatzung!$C$18)&lt;=B110)*(IF(Besatzung!$D$18="",Besatzung!$B$6,Besatzung!$D$18)&gt;=B110)))*(Besatzung!$F$18="x")*IFERROR(H110,0)/IFERROR(SUMPRODUCT((Besatzung!$B$11:$B$22&lt;&gt;"")*(Besatzung!$F$11:$F$22="x")*(IF(Besatzung!$C$11:$C$22="",Besatzung!$B$5,Besatzung!$C$11:$C$22)&lt;=B110)*(IF(Besatzung!$D$11:$D$22="",Besatzung!$B$6,Besatzung!$D$11:$D$22)&gt;=B110)),1)),IF(I110="An Bord",(((Besatzung!$B$18&lt;&gt;"")*IF(B110="",1,(IF(Besatzung!$C$18="",Besatzung!$B$5,Besatzung!$C$18)&lt;=B110)*(IF(Besatzung!$D$18="",Besatzung!$B$6,Besatzung!$D$18)&gt;=B110)))*((G110-IFERROR(H110,0))/IFERROR(SUMPRODUCT((Besatzung!$B$11:$B$22&lt;&gt;"")*(IF(Besatzung!$C$11:$C$22="",Besatzung!$B$5,Besatzung!$C$11:$C$22)&lt;=B110)*(IF(Besatzung!$D$11:$D$22="",Besatzung!$B$6,Besatzung!$D$11:$D$22)&gt;=B110)),1)+(Besatzung!$F$18="x")*IFERROR(H110,0)/IFERROR(SUMPRODUCT((Besatzung!$B$11:$B$22&lt;&gt;"")*(Besatzung!$F$11:$F$22="x")*(IF(Besatzung!$C$11:$C$22="",Besatzung!$B$5,Besatzung!$C$11:$C$22)&lt;=B110)*(IF(Besatzung!$D$11:$D$22="",Besatzung!$B$6,Besatzung!$D$11:$D$22)&gt;=B110)),1))),IF(I110="Individuell",((Q110="x")*((G110-IFERROR(H110,0))/IFERROR(COUNTIF(J110:U110,"x"),1)+(Besatzung!$F$18="x")*IFERROR(H110,0)/IFERROR(SUMPRODUCT((J110:U110="x")*(Besatzung!$F$11:$F$22="x")),1))),(IF(COUNTIF(J110:U110,"x")=0,IF(Besatzung!$B$18&lt;&gt;"",1,0),(Q110="x"))*(G110-IFERROR(H110,0))/IFERROR(IF(COUNTIF(J110:U110,"x")=0,COUNTA(Besatzung!$B$11:$B$22),COUNTIF(J110:U110,"x")),1)+IF(COUNTIF(J110:U110,"x")=0,(Besatzung!$F$18="x"),(Q110="x")*(Besatzung!$F$18="x"))*IFERROR(H110,0)/IFERROR(IF(COUNTIF(J110:U110,"x")=0,SUMPRODUCT((Besatzung!$B$11:$B$22&lt;&gt;"")*(Besatzung!$F$11:$F$22="x")),SUMPRODUCT((J110:U110="x")*(Besatzung!$F$11:$F$22="x"))),1))))),0))))</f>
        <v/>
      </c>
      <c r="AD110" s="247">
        <f>IF(C110="Gutschrift","",IF(G110="","",IF(Besatzung!$B$19="","",IFERROR(IF(I110="Zeitanteilig",(Besatzung!$G$19*(G110-IFERROR(H110,0))+((Besatzung!$B$19&lt;&gt;"")*IF(B110="",1,(IF(Besatzung!$C$19="",Besatzung!$B$5,Besatzung!$C$19)&lt;=B110)*(IF(Besatzung!$D$19="",Besatzung!$B$6,Besatzung!$D$19)&gt;=B110)))*(Besatzung!$F$19="x")*IFERROR(H110,0)/IFERROR(SUMPRODUCT((Besatzung!$B$11:$B$22&lt;&gt;"")*(Besatzung!$F$11:$F$22="x")*(IF(Besatzung!$C$11:$C$22="",Besatzung!$B$5,Besatzung!$C$11:$C$22)&lt;=B110)*(IF(Besatzung!$D$11:$D$22="",Besatzung!$B$6,Besatzung!$D$11:$D$22)&gt;=B110)),1)),IF(I110="An Bord",(((Besatzung!$B$19&lt;&gt;"")*IF(B110="",1,(IF(Besatzung!$C$19="",Besatzung!$B$5,Besatzung!$C$19)&lt;=B110)*(IF(Besatzung!$D$19="",Besatzung!$B$6,Besatzung!$D$19)&gt;=B110)))*((G110-IFERROR(H110,0))/IFERROR(SUMPRODUCT((Besatzung!$B$11:$B$22&lt;&gt;"")*(IF(Besatzung!$C$11:$C$22="",Besatzung!$B$5,Besatzung!$C$11:$C$22)&lt;=B110)*(IF(Besatzung!$D$11:$D$22="",Besatzung!$B$6,Besatzung!$D$11:$D$22)&gt;=B110)),1)+(Besatzung!$F$19="x")*IFERROR(H110,0)/IFERROR(SUMPRODUCT((Besatzung!$B$11:$B$22&lt;&gt;"")*(Besatzung!$F$11:$F$22="x")*(IF(Besatzung!$C$11:$C$22="",Besatzung!$B$5,Besatzung!$C$11:$C$22)&lt;=B110)*(IF(Besatzung!$D$11:$D$22="",Besatzung!$B$6,Besatzung!$D$11:$D$22)&gt;=B110)),1))),IF(I110="Individuell",((R110="x")*((G110-IFERROR(H110,0))/IFERROR(COUNTIF(J110:U110,"x"),1)+(Besatzung!$F$19="x")*IFERROR(H110,0)/IFERROR(SUMPRODUCT((J110:U110="x")*(Besatzung!$F$11:$F$22="x")),1))),(IF(COUNTIF(J110:U110,"x")=0,IF(Besatzung!$B$19&lt;&gt;"",1,0),(R110="x"))*(G110-IFERROR(H110,0))/IFERROR(IF(COUNTIF(J110:U110,"x")=0,COUNTA(Besatzung!$B$11:$B$22),COUNTIF(J110:U110,"x")),1)+IF(COUNTIF(J110:U110,"x")=0,(Besatzung!$F$19="x"),(R110="x")*(Besatzung!$F$19="x"))*IFERROR(H110,0)/IFERROR(IF(COUNTIF(J110:U110,"x")=0,SUMPRODUCT((Besatzung!$B$11:$B$22&lt;&gt;"")*(Besatzung!$F$11:$F$22="x")),SUMPRODUCT((J110:U110="x")*(Besatzung!$F$11:$F$22="x"))),1))))),0))))</f>
        <v/>
      </c>
      <c r="AE110" s="247">
        <f>IF(C110="Gutschrift","",IF(G110="","",IF(Besatzung!$B$20="","",IFERROR(IF(I110="Zeitanteilig",(Besatzung!$G$20*(G110-IFERROR(H110,0))+((Besatzung!$B$20&lt;&gt;"")*IF(B110="",1,(IF(Besatzung!$C$20="",Besatzung!$B$5,Besatzung!$C$20)&lt;=B110)*(IF(Besatzung!$D$20="",Besatzung!$B$6,Besatzung!$D$20)&gt;=B110)))*(Besatzung!$F$20="x")*IFERROR(H110,0)/IFERROR(SUMPRODUCT((Besatzung!$B$11:$B$22&lt;&gt;"")*(Besatzung!$F$11:$F$22="x")*(IF(Besatzung!$C$11:$C$22="",Besatzung!$B$5,Besatzung!$C$11:$C$22)&lt;=B110)*(IF(Besatzung!$D$11:$D$22="",Besatzung!$B$6,Besatzung!$D$11:$D$22)&gt;=B110)),1)),IF(I110="An Bord",(((Besatzung!$B$20&lt;&gt;"")*IF(B110="",1,(IF(Besatzung!$C$20="",Besatzung!$B$5,Besatzung!$C$20)&lt;=B110)*(IF(Besatzung!$D$20="",Besatzung!$B$6,Besatzung!$D$20)&gt;=B110)))*((G110-IFERROR(H110,0))/IFERROR(SUMPRODUCT((Besatzung!$B$11:$B$22&lt;&gt;"")*(IF(Besatzung!$C$11:$C$22="",Besatzung!$B$5,Besatzung!$C$11:$C$22)&lt;=B110)*(IF(Besatzung!$D$11:$D$22="",Besatzung!$B$6,Besatzung!$D$11:$D$22)&gt;=B110)),1)+(Besatzung!$F$20="x")*IFERROR(H110,0)/IFERROR(SUMPRODUCT((Besatzung!$B$11:$B$22&lt;&gt;"")*(Besatzung!$F$11:$F$22="x")*(IF(Besatzung!$C$11:$C$22="",Besatzung!$B$5,Besatzung!$C$11:$C$22)&lt;=B110)*(IF(Besatzung!$D$11:$D$22="",Besatzung!$B$6,Besatzung!$D$11:$D$22)&gt;=B110)),1))),IF(I110="Individuell",((S110="x")*((G110-IFERROR(H110,0))/IFERROR(COUNTIF(J110:U110,"x"),1)+(Besatzung!$F$20="x")*IFERROR(H110,0)/IFERROR(SUMPRODUCT((J110:U110="x")*(Besatzung!$F$11:$F$22="x")),1))),(IF(COUNTIF(J110:U110,"x")=0,IF(Besatzung!$B$20&lt;&gt;"",1,0),(S110="x"))*(G110-IFERROR(H110,0))/IFERROR(IF(COUNTIF(J110:U110,"x")=0,COUNTA(Besatzung!$B$11:$B$22),COUNTIF(J110:U110,"x")),1)+IF(COUNTIF(J110:U110,"x")=0,(Besatzung!$F$20="x"),(S110="x")*(Besatzung!$F$20="x"))*IFERROR(H110,0)/IFERROR(IF(COUNTIF(J110:U110,"x")=0,SUMPRODUCT((Besatzung!$B$11:$B$22&lt;&gt;"")*(Besatzung!$F$11:$F$22="x")),SUMPRODUCT((J110:U110="x")*(Besatzung!$F$11:$F$22="x"))),1))))),0))))</f>
        <v/>
      </c>
      <c r="AF110" s="247">
        <f>IF(C110="Gutschrift","",IF(G110="","",IF(Besatzung!$B$21="","",IFERROR(IF(I110="Zeitanteilig",(Besatzung!$G$21*(G110-IFERROR(H110,0))+((Besatzung!$B$21&lt;&gt;"")*IF(B110="",1,(IF(Besatzung!$C$21="",Besatzung!$B$5,Besatzung!$C$21)&lt;=B110)*(IF(Besatzung!$D$21="",Besatzung!$B$6,Besatzung!$D$21)&gt;=B110)))*(Besatzung!$F$21="x")*IFERROR(H110,0)/IFERROR(SUMPRODUCT((Besatzung!$B$11:$B$22&lt;&gt;"")*(Besatzung!$F$11:$F$22="x")*(IF(Besatzung!$C$11:$C$22="",Besatzung!$B$5,Besatzung!$C$11:$C$22)&lt;=B110)*(IF(Besatzung!$D$11:$D$22="",Besatzung!$B$6,Besatzung!$D$11:$D$22)&gt;=B110)),1)),IF(I110="An Bord",(((Besatzung!$B$21&lt;&gt;"")*IF(B110="",1,(IF(Besatzung!$C$21="",Besatzung!$B$5,Besatzung!$C$21)&lt;=B110)*(IF(Besatzung!$D$21="",Besatzung!$B$6,Besatzung!$D$21)&gt;=B110)))*((G110-IFERROR(H110,0))/IFERROR(SUMPRODUCT((Besatzung!$B$11:$B$22&lt;&gt;"")*(IF(Besatzung!$C$11:$C$22="",Besatzung!$B$5,Besatzung!$C$11:$C$22)&lt;=B110)*(IF(Besatzung!$D$11:$D$22="",Besatzung!$B$6,Besatzung!$D$11:$D$22)&gt;=B110)),1)+(Besatzung!$F$21="x")*IFERROR(H110,0)/IFERROR(SUMPRODUCT((Besatzung!$B$11:$B$22&lt;&gt;"")*(Besatzung!$F$11:$F$22="x")*(IF(Besatzung!$C$11:$C$22="",Besatzung!$B$5,Besatzung!$C$11:$C$22)&lt;=B110)*(IF(Besatzung!$D$11:$D$22="",Besatzung!$B$6,Besatzung!$D$11:$D$22)&gt;=B110)),1))),IF(I110="Individuell",((T110="x")*((G110-IFERROR(H110,0))/IFERROR(COUNTIF(J110:U110,"x"),1)+(Besatzung!$F$21="x")*IFERROR(H110,0)/IFERROR(SUMPRODUCT((J110:U110="x")*(Besatzung!$F$11:$F$22="x")),1))),(IF(COUNTIF(J110:U110,"x")=0,IF(Besatzung!$B$21&lt;&gt;"",1,0),(T110="x"))*(G110-IFERROR(H110,0))/IFERROR(IF(COUNTIF(J110:U110,"x")=0,COUNTA(Besatzung!$B$11:$B$22),COUNTIF(J110:U110,"x")),1)+IF(COUNTIF(J110:U110,"x")=0,(Besatzung!$F$21="x"),(T110="x")*(Besatzung!$F$21="x"))*IFERROR(H110,0)/IFERROR(IF(COUNTIF(J110:U110,"x")=0,SUMPRODUCT((Besatzung!$B$11:$B$22&lt;&gt;"")*(Besatzung!$F$11:$F$22="x")),SUMPRODUCT((J110:U110="x")*(Besatzung!$F$11:$F$22="x"))),1))))),0))))</f>
        <v/>
      </c>
      <c r="AG110" s="247">
        <f>IF(C110="Gutschrift","",IF(G110="","",IF(Besatzung!$B$22="","",IFERROR(IF(I110="Zeitanteilig",(Besatzung!$G$22*(G110-IFERROR(H110,0))+((Besatzung!$B$22&lt;&gt;"")*IF(B110="",1,(IF(Besatzung!$C$22="",Besatzung!$B$5,Besatzung!$C$22)&lt;=B110)*(IF(Besatzung!$D$22="",Besatzung!$B$6,Besatzung!$D$22)&gt;=B110)))*(Besatzung!$F$22="x")*IFERROR(H110,0)/IFERROR(SUMPRODUCT((Besatzung!$B$11:$B$22&lt;&gt;"")*(Besatzung!$F$11:$F$22="x")*(IF(Besatzung!$C$11:$C$22="",Besatzung!$B$5,Besatzung!$C$11:$C$22)&lt;=B110)*(IF(Besatzung!$D$11:$D$22="",Besatzung!$B$6,Besatzung!$D$11:$D$22)&gt;=B110)),1)),IF(I110="An Bord",(((Besatzung!$B$22&lt;&gt;"")*IF(B110="",1,(IF(Besatzung!$C$22="",Besatzung!$B$5,Besatzung!$C$22)&lt;=B110)*(IF(Besatzung!$D$22="",Besatzung!$B$6,Besatzung!$D$22)&gt;=B110)))*((G110-IFERROR(H110,0))/IFERROR(SUMPRODUCT((Besatzung!$B$11:$B$22&lt;&gt;"")*(IF(Besatzung!$C$11:$C$22="",Besatzung!$B$5,Besatzung!$C$11:$C$22)&lt;=B110)*(IF(Besatzung!$D$11:$D$22="",Besatzung!$B$6,Besatzung!$D$11:$D$22)&gt;=B110)),1)+(Besatzung!$F$22="x")*IFERROR(H110,0)/IFERROR(SUMPRODUCT((Besatzung!$B$11:$B$22&lt;&gt;"")*(Besatzung!$F$11:$F$22="x")*(IF(Besatzung!$C$11:$C$22="",Besatzung!$B$5,Besatzung!$C$11:$C$22)&lt;=B110)*(IF(Besatzung!$D$11:$D$22="",Besatzung!$B$6,Besatzung!$D$11:$D$22)&gt;=B110)),1))),IF(I110="Individuell",((U110="x")*((G110-IFERROR(H110,0))/IFERROR(COUNTIF(J110:U110,"x"),1)+(Besatzung!$F$22="x")*IFERROR(H110,0)/IFERROR(SUMPRODUCT((J110:U110="x")*(Besatzung!$F$11:$F$22="x")),1))),(IF(COUNTIF(J110:U110,"x")=0,IF(Besatzung!$B$22&lt;&gt;"",1,0),(U110="x"))*(G110-IFERROR(H110,0))/IFERROR(IF(COUNTIF(J110:U110,"x")=0,COUNTA(Besatzung!$B$11:$B$22),COUNTIF(J110:U110,"x")),1)+IF(COUNTIF(J110:U110,"x")=0,(Besatzung!$F$22="x"),(U110="x")*(Besatzung!$F$22="x"))*IFERROR(H110,0)/IFERROR(IF(COUNTIF(J110:U110,"x")=0,SUMPRODUCT((Besatzung!$B$11:$B$22&lt;&gt;"")*(Besatzung!$F$11:$F$22="x")),SUMPRODUCT((J110:U110="x")*(Besatzung!$F$11:$F$22="x"))),1))))),0))))</f>
        <v/>
      </c>
      <c r="AH110" s="248" t="n"/>
      <c r="AI110" s="248" t="n"/>
    </row>
    <row r="111" ht="21.75" customHeight="1" s="154">
      <c r="A111" s="238">
        <f>IF(AND(D111="",C111=""),"",108)</f>
        <v/>
      </c>
      <c r="B111" s="206" t="n"/>
      <c r="C111" s="249" t="n"/>
      <c r="D111" s="250" t="n"/>
      <c r="E111" s="251" t="n"/>
      <c r="F111" s="252" t="n"/>
      <c r="G111" s="253" t="n"/>
      <c r="H111" s="254" t="n"/>
      <c r="I111" s="255" t="n"/>
      <c r="J111" s="256" t="n"/>
      <c r="K111" s="256" t="n"/>
      <c r="L111" s="256" t="n"/>
      <c r="M111" s="256" t="n"/>
      <c r="N111" s="256" t="n"/>
      <c r="O111" s="256" t="n"/>
      <c r="P111" s="256" t="n"/>
      <c r="Q111" s="256" t="n"/>
      <c r="R111" s="256" t="n"/>
      <c r="S111" s="256" t="n"/>
      <c r="T111" s="256" t="n"/>
      <c r="U111" s="256" t="n"/>
      <c r="V111" s="247">
        <f>IF(C111="Gutschrift","",IF(G111="","",IF(Besatzung!$B$11="","",IFERROR(IF(I111="Zeitanteilig",(Besatzung!$G$11*(G111-IFERROR(H111,0))+((Besatzung!$B$11&lt;&gt;"")*IF(B111="",1,(IF(Besatzung!$C$11="",Besatzung!$B$5,Besatzung!$C$11)&lt;=B111)*(IF(Besatzung!$D$11="",Besatzung!$B$6,Besatzung!$D$11)&gt;=B111)))*(Besatzung!$F$11="x")*IFERROR(H111,0)/IFERROR(SUMPRODUCT((Besatzung!$B$11:$B$22&lt;&gt;"")*(Besatzung!$F$11:$F$22="x")*(IF(Besatzung!$C$11:$C$22="",Besatzung!$B$5,Besatzung!$C$11:$C$22)&lt;=B111)*(IF(Besatzung!$D$11:$D$22="",Besatzung!$B$6,Besatzung!$D$11:$D$22)&gt;=B111)),1)),IF(I111="An Bord",(((Besatzung!$B$11&lt;&gt;"")*IF(B111="",1,(IF(Besatzung!$C$11="",Besatzung!$B$5,Besatzung!$C$11)&lt;=B111)*(IF(Besatzung!$D$11="",Besatzung!$B$6,Besatzung!$D$11)&gt;=B111)))*((G111-IFERROR(H111,0))/IFERROR(SUMPRODUCT((Besatzung!$B$11:$B$22&lt;&gt;"")*(IF(Besatzung!$C$11:$C$22="",Besatzung!$B$5,Besatzung!$C$11:$C$22)&lt;=B111)*(IF(Besatzung!$D$11:$D$22="",Besatzung!$B$6,Besatzung!$D$11:$D$22)&gt;=B111)),1)+(Besatzung!$F$11="x")*IFERROR(H111,0)/IFERROR(SUMPRODUCT((Besatzung!$B$11:$B$22&lt;&gt;"")*(Besatzung!$F$11:$F$22="x")*(IF(Besatzung!$C$11:$C$22="",Besatzung!$B$5,Besatzung!$C$11:$C$22)&lt;=B111)*(IF(Besatzung!$D$11:$D$22="",Besatzung!$B$6,Besatzung!$D$11:$D$22)&gt;=B111)),1))),IF(I111="Individuell",((J111="x")*((G111-IFERROR(H111,0))/IFERROR(COUNTIF(J111:U111,"x"),1)+(Besatzung!$F$11="x")*IFERROR(H111,0)/IFERROR(SUMPRODUCT((J111:U111="x")*(Besatzung!$F$11:$F$22="x")),1))),(IF(COUNTIF(J111:U111,"x")=0,IF(Besatzung!$B$11&lt;&gt;"",1,0),(J111="x"))*(G111-IFERROR(H111,0))/IFERROR(IF(COUNTIF(J111:U111,"x")=0,COUNTA(Besatzung!$B$11:$B$22),COUNTIF(J111:U111,"x")),1)+IF(COUNTIF(J111:U111,"x")=0,(Besatzung!$F$11="x"),(J111="x")*(Besatzung!$F$11="x"))*IFERROR(H111,0)/IFERROR(IF(COUNTIF(J111:U111,"x")=0,SUMPRODUCT((Besatzung!$B$11:$B$22&lt;&gt;"")*(Besatzung!$F$11:$F$22="x")),SUMPRODUCT((J111:U111="x")*(Besatzung!$F$11:$F$22="x"))),1))))),0))))</f>
        <v/>
      </c>
      <c r="W111" s="247">
        <f>IF(C111="Gutschrift","",IF(G111="","",IF(Besatzung!$B$12="","",IFERROR(IF(I111="Zeitanteilig",(Besatzung!$G$12*(G111-IFERROR(H111,0))+((Besatzung!$B$12&lt;&gt;"")*IF(B111="",1,(IF(Besatzung!$C$12="",Besatzung!$B$5,Besatzung!$C$12)&lt;=B111)*(IF(Besatzung!$D$12="",Besatzung!$B$6,Besatzung!$D$12)&gt;=B111)))*(Besatzung!$F$12="x")*IFERROR(H111,0)/IFERROR(SUMPRODUCT((Besatzung!$B$11:$B$22&lt;&gt;"")*(Besatzung!$F$11:$F$22="x")*(IF(Besatzung!$C$11:$C$22="",Besatzung!$B$5,Besatzung!$C$11:$C$22)&lt;=B111)*(IF(Besatzung!$D$11:$D$22="",Besatzung!$B$6,Besatzung!$D$11:$D$22)&gt;=B111)),1)),IF(I111="An Bord",(((Besatzung!$B$12&lt;&gt;"")*IF(B111="",1,(IF(Besatzung!$C$12="",Besatzung!$B$5,Besatzung!$C$12)&lt;=B111)*(IF(Besatzung!$D$12="",Besatzung!$B$6,Besatzung!$D$12)&gt;=B111)))*((G111-IFERROR(H111,0))/IFERROR(SUMPRODUCT((Besatzung!$B$11:$B$22&lt;&gt;"")*(IF(Besatzung!$C$11:$C$22="",Besatzung!$B$5,Besatzung!$C$11:$C$22)&lt;=B111)*(IF(Besatzung!$D$11:$D$22="",Besatzung!$B$6,Besatzung!$D$11:$D$22)&gt;=B111)),1)+(Besatzung!$F$12="x")*IFERROR(H111,0)/IFERROR(SUMPRODUCT((Besatzung!$B$11:$B$22&lt;&gt;"")*(Besatzung!$F$11:$F$22="x")*(IF(Besatzung!$C$11:$C$22="",Besatzung!$B$5,Besatzung!$C$11:$C$22)&lt;=B111)*(IF(Besatzung!$D$11:$D$22="",Besatzung!$B$6,Besatzung!$D$11:$D$22)&gt;=B111)),1))),IF(I111="Individuell",((K111="x")*((G111-IFERROR(H111,0))/IFERROR(COUNTIF(J111:U111,"x"),1)+(Besatzung!$F$12="x")*IFERROR(H111,0)/IFERROR(SUMPRODUCT((J111:U111="x")*(Besatzung!$F$11:$F$22="x")),1))),(IF(COUNTIF(J111:U111,"x")=0,IF(Besatzung!$B$12&lt;&gt;"",1,0),(K111="x"))*(G111-IFERROR(H111,0))/IFERROR(IF(COUNTIF(J111:U111,"x")=0,COUNTA(Besatzung!$B$11:$B$22),COUNTIF(J111:U111,"x")),1)+IF(COUNTIF(J111:U111,"x")=0,(Besatzung!$F$12="x"),(K111="x")*(Besatzung!$F$12="x"))*IFERROR(H111,0)/IFERROR(IF(COUNTIF(J111:U111,"x")=0,SUMPRODUCT((Besatzung!$B$11:$B$22&lt;&gt;"")*(Besatzung!$F$11:$F$22="x")),SUMPRODUCT((J111:U111="x")*(Besatzung!$F$11:$F$22="x"))),1))))),0))))</f>
        <v/>
      </c>
      <c r="X111" s="247">
        <f>IF(C111="Gutschrift","",IF(G111="","",IF(Besatzung!$B$13="","",IFERROR(IF(I111="Zeitanteilig",(Besatzung!$G$13*(G111-IFERROR(H111,0))+((Besatzung!$B$13&lt;&gt;"")*IF(B111="",1,(IF(Besatzung!$C$13="",Besatzung!$B$5,Besatzung!$C$13)&lt;=B111)*(IF(Besatzung!$D$13="",Besatzung!$B$6,Besatzung!$D$13)&gt;=B111)))*(Besatzung!$F$13="x")*IFERROR(H111,0)/IFERROR(SUMPRODUCT((Besatzung!$B$11:$B$22&lt;&gt;"")*(Besatzung!$F$11:$F$22="x")*(IF(Besatzung!$C$11:$C$22="",Besatzung!$B$5,Besatzung!$C$11:$C$22)&lt;=B111)*(IF(Besatzung!$D$11:$D$22="",Besatzung!$B$6,Besatzung!$D$11:$D$22)&gt;=B111)),1)),IF(I111="An Bord",(((Besatzung!$B$13&lt;&gt;"")*IF(B111="",1,(IF(Besatzung!$C$13="",Besatzung!$B$5,Besatzung!$C$13)&lt;=B111)*(IF(Besatzung!$D$13="",Besatzung!$B$6,Besatzung!$D$13)&gt;=B111)))*((G111-IFERROR(H111,0))/IFERROR(SUMPRODUCT((Besatzung!$B$11:$B$22&lt;&gt;"")*(IF(Besatzung!$C$11:$C$22="",Besatzung!$B$5,Besatzung!$C$11:$C$22)&lt;=B111)*(IF(Besatzung!$D$11:$D$22="",Besatzung!$B$6,Besatzung!$D$11:$D$22)&gt;=B111)),1)+(Besatzung!$F$13="x")*IFERROR(H111,0)/IFERROR(SUMPRODUCT((Besatzung!$B$11:$B$22&lt;&gt;"")*(Besatzung!$F$11:$F$22="x")*(IF(Besatzung!$C$11:$C$22="",Besatzung!$B$5,Besatzung!$C$11:$C$22)&lt;=B111)*(IF(Besatzung!$D$11:$D$22="",Besatzung!$B$6,Besatzung!$D$11:$D$22)&gt;=B111)),1))),IF(I111="Individuell",((K111="x")*((G111-IFERROR(H111,0))/IFERROR(COUNTIF(J111:U111,"x"),1)+(Besatzung!$F$13="x")*IFERROR(H111,0)/IFERROR(SUMPRODUCT((J111:U111="x")*(Besatzung!$F$11:$F$22="x")),1))),(IF(COUNTIF(J111:U111,"x")=0,IF(Besatzung!$B$13&lt;&gt;"",1,0),(K111="x"))*(G111-IFERROR(H111,0))/IFERROR(IF(COUNTIF(J111:U111,"x")=0,COUNTA(Besatzung!$B$11:$B$22),COUNTIF(J111:U111,"x")),1)+IF(COUNTIF(J111:U111,"x")=0,(Besatzung!$F$13="x"),(K111="x")*(Besatzung!$F$13="x"))*IFERROR(H111,0)/IFERROR(IF(COUNTIF(J111:U111,"x")=0,SUMPRODUCT((Besatzung!$B$11:$B$22&lt;&gt;"")*(Besatzung!$F$11:$F$22="x")),SUMPRODUCT((J111:U111="x")*(Besatzung!$F$11:$F$22="x"))),1))))),0))))</f>
        <v/>
      </c>
      <c r="Y111" s="247">
        <f>IF(C111="Gutschrift","",IF(G111="","",IF(Besatzung!$B$14="","",IFERROR(IF(I111="Zeitanteilig",(Besatzung!$G$14*(G111-IFERROR(H111,0))+((Besatzung!$B$14&lt;&gt;"")*IF(B111="",1,(IF(Besatzung!$C$14="",Besatzung!$B$5,Besatzung!$C$14)&lt;=B111)*(IF(Besatzung!$D$14="",Besatzung!$B$6,Besatzung!$D$14)&gt;=B111)))*(Besatzung!$F$14="x")*IFERROR(H111,0)/IFERROR(SUMPRODUCT((Besatzung!$B$11:$B$22&lt;&gt;"")*(Besatzung!$F$11:$F$22="x")*(IF(Besatzung!$C$11:$C$22="",Besatzung!$B$5,Besatzung!$C$11:$C$22)&lt;=B111)*(IF(Besatzung!$D$11:$D$22="",Besatzung!$B$6,Besatzung!$D$11:$D$22)&gt;=B111)),1)),IF(I111="An Bord",(((Besatzung!$B$14&lt;&gt;"")*IF(B111="",1,(IF(Besatzung!$C$14="",Besatzung!$B$5,Besatzung!$C$14)&lt;=B111)*(IF(Besatzung!$D$14="",Besatzung!$B$6,Besatzung!$D$14)&gt;=B111)))*((G111-IFERROR(H111,0))/IFERROR(SUMPRODUCT((Besatzung!$B$11:$B$22&lt;&gt;"")*(IF(Besatzung!$C$11:$C$22="",Besatzung!$B$5,Besatzung!$C$11:$C$22)&lt;=B111)*(IF(Besatzung!$D$11:$D$22="",Besatzung!$B$6,Besatzung!$D$11:$D$22)&gt;=B111)),1)+(Besatzung!$F$14="x")*IFERROR(H111,0)/IFERROR(SUMPRODUCT((Besatzung!$B$11:$B$22&lt;&gt;"")*(Besatzung!$F$11:$F$22="x")*(IF(Besatzung!$C$11:$C$22="",Besatzung!$B$5,Besatzung!$C$11:$C$22)&lt;=B111)*(IF(Besatzung!$D$11:$D$22="",Besatzung!$B$6,Besatzung!$D$11:$D$22)&gt;=B111)),1))),IF(I111="Individuell",((M111="x")*((G111-IFERROR(H111,0))/IFERROR(COUNTIF(J111:U111,"x"),1)+(Besatzung!$F$14="x")*IFERROR(H111,0)/IFERROR(SUMPRODUCT((J111:U111="x")*(Besatzung!$F$11:$F$22="x")),1))),(IF(COUNTIF(J111:U111,"x")=0,IF(Besatzung!$B$14&lt;&gt;"",1,0),(M111="x"))*(G111-IFERROR(H111,0))/IFERROR(IF(COUNTIF(J111:U111,"x")=0,COUNTA(Besatzung!$B$11:$B$22),COUNTIF(J111:U111,"x")),1)+IF(COUNTIF(J111:U111,"x")=0,(Besatzung!$F$14="x"),(M111="x")*(Besatzung!$F$14="x"))*IFERROR(H111,0)/IFERROR(IF(COUNTIF(J111:U111,"x")=0,SUMPRODUCT((Besatzung!$B$11:$B$22&lt;&gt;"")*(Besatzung!$F$11:$F$22="x")),SUMPRODUCT((J111:U111="x")*(Besatzung!$F$11:$F$22="x"))),1))))),0))))</f>
        <v/>
      </c>
      <c r="Z111" s="247">
        <f>IF(C111="Gutschrift","",IF(G111="","",IF(Besatzung!$B$13="","",IFERROR(IF(I111="Zeitanteilig",(Besatzung!$G$15*(G111-IFERROR(H111,0))+((Besatzung!$B$13&lt;&gt;"")*IF(B111="",1,(IF(Besatzung!$C$15="",Besatzung!$B$5,Besatzung!$C$15)&lt;=B111)*(IF(Besatzung!$D$15="",Besatzung!$B$6,Besatzung!$D$15)&gt;=B111)))*(Besatzung!$F$15="x")*IFERROR(H111,0)/IFERROR(SUMPRODUCT((Besatzung!$B$11:$B$22&lt;&gt;"")*(Besatzung!$F$11:$F$22="x")*(IF(Besatzung!$C$11:$C$22="",Besatzung!$B$5,Besatzung!$C$11:$C$22)&lt;=B111)*(IF(Besatzung!$D$11:$D$22="",Besatzung!$B$6,Besatzung!$D$11:$D$22)&gt;=B111)),1)),IF(I111="An Bord",(((Besatzung!$B$13&lt;&gt;"")*IF(B111="",1,(IF(Besatzung!$C$15="",Besatzung!$B$5,Besatzung!$C$15)&lt;=B111)*(IF(Besatzung!$D$15="",Besatzung!$B$6,Besatzung!$D$15)&gt;=B111)))*((G111-IFERROR(H111,0))/IFERROR(SUMPRODUCT((Besatzung!$B$11:$B$22&lt;&gt;"")*(IF(Besatzung!$C$11:$C$22="",Besatzung!$B$5,Besatzung!$C$11:$C$22)&lt;=B111)*(IF(Besatzung!$D$11:$D$22="",Besatzung!$B$6,Besatzung!$D$11:$D$22)&gt;=B111)),1)+(Besatzung!$F$15="x")*IFERROR(H111,0)/IFERROR(SUMPRODUCT((Besatzung!$B$11:$B$22&lt;&gt;"")*(Besatzung!$F$11:$F$22="x")*(IF(Besatzung!$C$11:$C$22="",Besatzung!$B$5,Besatzung!$C$11:$C$22)&lt;=B111)*(IF(Besatzung!$D$11:$D$22="",Besatzung!$B$6,Besatzung!$D$11:$D$22)&gt;=B111)),1))),IF(I111="Individuell",((N111="x")*((G111-IFERROR(H111,0))/IFERROR(COUNTIF(J111:U111,"x"),1)+(Besatzung!$F$15="x")*IFERROR(H111,0)/IFERROR(SUMPRODUCT((J111:U111="x")*(Besatzung!$F$11:$F$22="x")),1))),(IF(COUNTIF(J111:U111,"x")=0,IF(Besatzung!$B$13&lt;&gt;"",1,0),(N111="x"))*(G111-IFERROR(H111,0))/IFERROR(IF(COUNTIF(J111:U111,"x")=0,COUNTA(Besatzung!$B$11:$B$22),COUNTIF(J111:U111,"x")),1)+IF(COUNTIF(J111:U111,"x")=0,(Besatzung!$F$15="x"),(N111="x")*(Besatzung!$F$15="x"))*IFERROR(H111,0)/IFERROR(IF(COUNTIF(J111:U111,"x")=0,SUMPRODUCT((Besatzung!$B$11:$B$22&lt;&gt;"")*(Besatzung!$F$11:$F$22="x")),SUMPRODUCT((J111:U111="x")*(Besatzung!$F$11:$F$22="x"))),1))))),0))))</f>
        <v/>
      </c>
      <c r="AA111" s="247">
        <f>IF(C111="Gutschrift","",IF(G111="","",IF(Besatzung!$B$15="","",IFERROR(IF(I111="Zeitanteilig",(Besatzung!$G$16*(G111-IFERROR(H111,0))+((Besatzung!$B$15&lt;&gt;"")*IF(B111="",1,(IF(Besatzung!$C$16="",Besatzung!$B$5,Besatzung!$C$16)&lt;=B111)*(IF(Besatzung!$D$16="",Besatzung!$B$6,Besatzung!$D$16)&gt;=B111)))*(Besatzung!$F$16="x")*IFERROR(H111,0)/IFERROR(SUMPRODUCT((Besatzung!$B$11:$B$22&lt;&gt;"")*(Besatzung!$F$11:$F$22="x")*(IF(Besatzung!$C$11:$C$22="",Besatzung!$B$5,Besatzung!$C$11:$C$22)&lt;=B111)*(IF(Besatzung!$D$11:$D$22="",Besatzung!$B$6,Besatzung!$D$11:$D$22)&gt;=B111)),1)),IF(I111="An Bord",(((Besatzung!$B$15&lt;&gt;"")*IF(B111="",1,(IF(Besatzung!$C$16="",Besatzung!$B$5,Besatzung!$C$16)&lt;=B111)*(IF(Besatzung!$D$16="",Besatzung!$B$6,Besatzung!$D$16)&gt;=B111)))*((G111-IFERROR(H111,0))/IFERROR(SUMPRODUCT((Besatzung!$B$11:$B$22&lt;&gt;"")*(IF(Besatzung!$C$11:$C$22="",Besatzung!$B$5,Besatzung!$C$11:$C$22)&lt;=B111)*(IF(Besatzung!$D$11:$D$22="",Besatzung!$B$6,Besatzung!$D$11:$D$22)&gt;=B111)),1)+(Besatzung!$F$16="x")*IFERROR(H111,0)/IFERROR(SUMPRODUCT((Besatzung!$B$11:$B$22&lt;&gt;"")*(Besatzung!$F$11:$F$22="x")*(IF(Besatzung!$C$11:$C$22="",Besatzung!$B$5,Besatzung!$C$11:$C$22)&lt;=B111)*(IF(Besatzung!$D$11:$D$22="",Besatzung!$B$6,Besatzung!$D$11:$D$22)&gt;=B111)),1))),IF(I111="Individuell",((O111="x")*((G111-IFERROR(H111,0))/IFERROR(COUNTIF(J111:U111,"x"),1)+(Besatzung!$F$16="x")*IFERROR(H111,0)/IFERROR(SUMPRODUCT((J111:U111="x")*(Besatzung!$F$11:$F$22="x")),1))),(IF(COUNTIF(J111:U111,"x")=0,IF(Besatzung!$B$15&lt;&gt;"",1,0),(O111="x"))*(G111-IFERROR(H111,0))/IFERROR(IF(COUNTIF(J111:U111,"x")=0,COUNTA(Besatzung!$B$11:$B$22),COUNTIF(J111:U111,"x")),1)+IF(COUNTIF(J111:U111,"x")=0,(Besatzung!$F$16="x"),(O111="x")*(Besatzung!$F$16="x"))*IFERROR(H111,0)/IFERROR(IF(COUNTIF(J111:U111,"x")=0,SUMPRODUCT((Besatzung!$B$11:$B$22&lt;&gt;"")*(Besatzung!$F$11:$F$22="x")),SUMPRODUCT((J111:U111="x")*(Besatzung!$F$11:$F$22="x"))),1))))),0))))</f>
        <v/>
      </c>
      <c r="AB111" s="247">
        <f>IF(C111="Gutschrift","",IF(G111="","",IF(Besatzung!$B$17="","",IFERROR(IF(I111="Zeitanteilig",(Besatzung!$G$17*(G111-IFERROR(H111,0))+((Besatzung!$B$17&lt;&gt;"")*IF(B111="",1,(IF(Besatzung!$C$17="",Besatzung!$B$5,Besatzung!$C$17)&lt;=B111)*(IF(Besatzung!$D$17="",Besatzung!$B$6,Besatzung!$D$17)&gt;=B111)))*(Besatzung!$F$17="x")*IFERROR(H111,0)/IFERROR(SUMPRODUCT((Besatzung!$B$11:$B$22&lt;&gt;"")*(Besatzung!$F$11:$F$22="x")*(IF(Besatzung!$C$11:$C$22="",Besatzung!$B$5,Besatzung!$C$11:$C$22)&lt;=B111)*(IF(Besatzung!$D$11:$D$22="",Besatzung!$B$6,Besatzung!$D$11:$D$22)&gt;=B111)),1)),IF(I111="An Bord",(((Besatzung!$B$17&lt;&gt;"")*IF(B111="",1,(IF(Besatzung!$C$17="",Besatzung!$B$5,Besatzung!$C$17)&lt;=B111)*(IF(Besatzung!$D$17="",Besatzung!$B$6,Besatzung!$D$17)&gt;=B111)))*((G111-IFERROR(H111,0))/IFERROR(SUMPRODUCT((Besatzung!$B$11:$B$22&lt;&gt;"")*(IF(Besatzung!$C$11:$C$22="",Besatzung!$B$5,Besatzung!$C$11:$C$22)&lt;=B111)*(IF(Besatzung!$D$11:$D$22="",Besatzung!$B$6,Besatzung!$D$11:$D$22)&gt;=B111)),1)+(Besatzung!$F$17="x")*IFERROR(H111,0)/IFERROR(SUMPRODUCT((Besatzung!$B$11:$B$22&lt;&gt;"")*(Besatzung!$F$11:$F$22="x")*(IF(Besatzung!$C$11:$C$22="",Besatzung!$B$5,Besatzung!$C$11:$C$22)&lt;=B111)*(IF(Besatzung!$D$11:$D$22="",Besatzung!$B$6,Besatzung!$D$11:$D$22)&gt;=B111)),1))),IF(I111="Individuell",((P111="x")*((G111-IFERROR(H111,0))/IFERROR(COUNTIF(J111:U111,"x"),1)+(Besatzung!$F$17="x")*IFERROR(H111,0)/IFERROR(SUMPRODUCT((J111:U111="x")*(Besatzung!$F$11:$F$22="x")),1))),(IF(COUNTIF(J111:U111,"x")=0,IF(Besatzung!$B$17&lt;&gt;"",1,0),(P111="x"))*(G111-IFERROR(H111,0))/IFERROR(IF(COUNTIF(J111:U111,"x")=0,COUNTA(Besatzung!$B$11:$B$22),COUNTIF(J111:U111,"x")),1)+IF(COUNTIF(J111:U111,"x")=0,(Besatzung!$F$17="x"),(P111="x")*(Besatzung!$F$17="x"))*IFERROR(H111,0)/IFERROR(IF(COUNTIF(J111:U111,"x")=0,SUMPRODUCT((Besatzung!$B$11:$B$22&lt;&gt;"")*(Besatzung!$F$11:$F$22="x")),SUMPRODUCT((J111:U111="x")*(Besatzung!$F$11:$F$22="x"))),1))))),0))))</f>
        <v/>
      </c>
      <c r="AC111" s="247">
        <f>IF(C111="Gutschrift","",IF(G111="","",IF(Besatzung!$B$18="","",IFERROR(IF(I111="Zeitanteilig",(Besatzung!$G$18*(G111-IFERROR(H111,0))+((Besatzung!$B$18&lt;&gt;"")*IF(B111="",1,(IF(Besatzung!$C$18="",Besatzung!$B$5,Besatzung!$C$18)&lt;=B111)*(IF(Besatzung!$D$18="",Besatzung!$B$6,Besatzung!$D$18)&gt;=B111)))*(Besatzung!$F$18="x")*IFERROR(H111,0)/IFERROR(SUMPRODUCT((Besatzung!$B$11:$B$22&lt;&gt;"")*(Besatzung!$F$11:$F$22="x")*(IF(Besatzung!$C$11:$C$22="",Besatzung!$B$5,Besatzung!$C$11:$C$22)&lt;=B111)*(IF(Besatzung!$D$11:$D$22="",Besatzung!$B$6,Besatzung!$D$11:$D$22)&gt;=B111)),1)),IF(I111="An Bord",(((Besatzung!$B$18&lt;&gt;"")*IF(B111="",1,(IF(Besatzung!$C$18="",Besatzung!$B$5,Besatzung!$C$18)&lt;=B111)*(IF(Besatzung!$D$18="",Besatzung!$B$6,Besatzung!$D$18)&gt;=B111)))*((G111-IFERROR(H111,0))/IFERROR(SUMPRODUCT((Besatzung!$B$11:$B$22&lt;&gt;"")*(IF(Besatzung!$C$11:$C$22="",Besatzung!$B$5,Besatzung!$C$11:$C$22)&lt;=B111)*(IF(Besatzung!$D$11:$D$22="",Besatzung!$B$6,Besatzung!$D$11:$D$22)&gt;=B111)),1)+(Besatzung!$F$18="x")*IFERROR(H111,0)/IFERROR(SUMPRODUCT((Besatzung!$B$11:$B$22&lt;&gt;"")*(Besatzung!$F$11:$F$22="x")*(IF(Besatzung!$C$11:$C$22="",Besatzung!$B$5,Besatzung!$C$11:$C$22)&lt;=B111)*(IF(Besatzung!$D$11:$D$22="",Besatzung!$B$6,Besatzung!$D$11:$D$22)&gt;=B111)),1))),IF(I111="Individuell",((Q111="x")*((G111-IFERROR(H111,0))/IFERROR(COUNTIF(J111:U111,"x"),1)+(Besatzung!$F$18="x")*IFERROR(H111,0)/IFERROR(SUMPRODUCT((J111:U111="x")*(Besatzung!$F$11:$F$22="x")),1))),(IF(COUNTIF(J111:U111,"x")=0,IF(Besatzung!$B$18&lt;&gt;"",1,0),(Q111="x"))*(G111-IFERROR(H111,0))/IFERROR(IF(COUNTIF(J111:U111,"x")=0,COUNTA(Besatzung!$B$11:$B$22),COUNTIF(J111:U111,"x")),1)+IF(COUNTIF(J111:U111,"x")=0,(Besatzung!$F$18="x"),(Q111="x")*(Besatzung!$F$18="x"))*IFERROR(H111,0)/IFERROR(IF(COUNTIF(J111:U111,"x")=0,SUMPRODUCT((Besatzung!$B$11:$B$22&lt;&gt;"")*(Besatzung!$F$11:$F$22="x")),SUMPRODUCT((J111:U111="x")*(Besatzung!$F$11:$F$22="x"))),1))))),0))))</f>
        <v/>
      </c>
      <c r="AD111" s="247">
        <f>IF(C111="Gutschrift","",IF(G111="","",IF(Besatzung!$B$19="","",IFERROR(IF(I111="Zeitanteilig",(Besatzung!$G$19*(G111-IFERROR(H111,0))+((Besatzung!$B$19&lt;&gt;"")*IF(B111="",1,(IF(Besatzung!$C$19="",Besatzung!$B$5,Besatzung!$C$19)&lt;=B111)*(IF(Besatzung!$D$19="",Besatzung!$B$6,Besatzung!$D$19)&gt;=B111)))*(Besatzung!$F$19="x")*IFERROR(H111,0)/IFERROR(SUMPRODUCT((Besatzung!$B$11:$B$22&lt;&gt;"")*(Besatzung!$F$11:$F$22="x")*(IF(Besatzung!$C$11:$C$22="",Besatzung!$B$5,Besatzung!$C$11:$C$22)&lt;=B111)*(IF(Besatzung!$D$11:$D$22="",Besatzung!$B$6,Besatzung!$D$11:$D$22)&gt;=B111)),1)),IF(I111="An Bord",(((Besatzung!$B$19&lt;&gt;"")*IF(B111="",1,(IF(Besatzung!$C$19="",Besatzung!$B$5,Besatzung!$C$19)&lt;=B111)*(IF(Besatzung!$D$19="",Besatzung!$B$6,Besatzung!$D$19)&gt;=B111)))*((G111-IFERROR(H111,0))/IFERROR(SUMPRODUCT((Besatzung!$B$11:$B$22&lt;&gt;"")*(IF(Besatzung!$C$11:$C$22="",Besatzung!$B$5,Besatzung!$C$11:$C$22)&lt;=B111)*(IF(Besatzung!$D$11:$D$22="",Besatzung!$B$6,Besatzung!$D$11:$D$22)&gt;=B111)),1)+(Besatzung!$F$19="x")*IFERROR(H111,0)/IFERROR(SUMPRODUCT((Besatzung!$B$11:$B$22&lt;&gt;"")*(Besatzung!$F$11:$F$22="x")*(IF(Besatzung!$C$11:$C$22="",Besatzung!$B$5,Besatzung!$C$11:$C$22)&lt;=B111)*(IF(Besatzung!$D$11:$D$22="",Besatzung!$B$6,Besatzung!$D$11:$D$22)&gt;=B111)),1))),IF(I111="Individuell",((R111="x")*((G111-IFERROR(H111,0))/IFERROR(COUNTIF(J111:U111,"x"),1)+(Besatzung!$F$19="x")*IFERROR(H111,0)/IFERROR(SUMPRODUCT((J111:U111="x")*(Besatzung!$F$11:$F$22="x")),1))),(IF(COUNTIF(J111:U111,"x")=0,IF(Besatzung!$B$19&lt;&gt;"",1,0),(R111="x"))*(G111-IFERROR(H111,0))/IFERROR(IF(COUNTIF(J111:U111,"x")=0,COUNTA(Besatzung!$B$11:$B$22),COUNTIF(J111:U111,"x")),1)+IF(COUNTIF(J111:U111,"x")=0,(Besatzung!$F$19="x"),(R111="x")*(Besatzung!$F$19="x"))*IFERROR(H111,0)/IFERROR(IF(COUNTIF(J111:U111,"x")=0,SUMPRODUCT((Besatzung!$B$11:$B$22&lt;&gt;"")*(Besatzung!$F$11:$F$22="x")),SUMPRODUCT((J111:U111="x")*(Besatzung!$F$11:$F$22="x"))),1))))),0))))</f>
        <v/>
      </c>
      <c r="AE111" s="247">
        <f>IF(C111="Gutschrift","",IF(G111="","",IF(Besatzung!$B$20="","",IFERROR(IF(I111="Zeitanteilig",(Besatzung!$G$20*(G111-IFERROR(H111,0))+((Besatzung!$B$20&lt;&gt;"")*IF(B111="",1,(IF(Besatzung!$C$20="",Besatzung!$B$5,Besatzung!$C$20)&lt;=B111)*(IF(Besatzung!$D$20="",Besatzung!$B$6,Besatzung!$D$20)&gt;=B111)))*(Besatzung!$F$20="x")*IFERROR(H111,0)/IFERROR(SUMPRODUCT((Besatzung!$B$11:$B$22&lt;&gt;"")*(Besatzung!$F$11:$F$22="x")*(IF(Besatzung!$C$11:$C$22="",Besatzung!$B$5,Besatzung!$C$11:$C$22)&lt;=B111)*(IF(Besatzung!$D$11:$D$22="",Besatzung!$B$6,Besatzung!$D$11:$D$22)&gt;=B111)),1)),IF(I111="An Bord",(((Besatzung!$B$20&lt;&gt;"")*IF(B111="",1,(IF(Besatzung!$C$20="",Besatzung!$B$5,Besatzung!$C$20)&lt;=B111)*(IF(Besatzung!$D$20="",Besatzung!$B$6,Besatzung!$D$20)&gt;=B111)))*((G111-IFERROR(H111,0))/IFERROR(SUMPRODUCT((Besatzung!$B$11:$B$22&lt;&gt;"")*(IF(Besatzung!$C$11:$C$22="",Besatzung!$B$5,Besatzung!$C$11:$C$22)&lt;=B111)*(IF(Besatzung!$D$11:$D$22="",Besatzung!$B$6,Besatzung!$D$11:$D$22)&gt;=B111)),1)+(Besatzung!$F$20="x")*IFERROR(H111,0)/IFERROR(SUMPRODUCT((Besatzung!$B$11:$B$22&lt;&gt;"")*(Besatzung!$F$11:$F$22="x")*(IF(Besatzung!$C$11:$C$22="",Besatzung!$B$5,Besatzung!$C$11:$C$22)&lt;=B111)*(IF(Besatzung!$D$11:$D$22="",Besatzung!$B$6,Besatzung!$D$11:$D$22)&gt;=B111)),1))),IF(I111="Individuell",((S111="x")*((G111-IFERROR(H111,0))/IFERROR(COUNTIF(J111:U111,"x"),1)+(Besatzung!$F$20="x")*IFERROR(H111,0)/IFERROR(SUMPRODUCT((J111:U111="x")*(Besatzung!$F$11:$F$22="x")),1))),(IF(COUNTIF(J111:U111,"x")=0,IF(Besatzung!$B$20&lt;&gt;"",1,0),(S111="x"))*(G111-IFERROR(H111,0))/IFERROR(IF(COUNTIF(J111:U111,"x")=0,COUNTA(Besatzung!$B$11:$B$22),COUNTIF(J111:U111,"x")),1)+IF(COUNTIF(J111:U111,"x")=0,(Besatzung!$F$20="x"),(S111="x")*(Besatzung!$F$20="x"))*IFERROR(H111,0)/IFERROR(IF(COUNTIF(J111:U111,"x")=0,SUMPRODUCT((Besatzung!$B$11:$B$22&lt;&gt;"")*(Besatzung!$F$11:$F$22="x")),SUMPRODUCT((J111:U111="x")*(Besatzung!$F$11:$F$22="x"))),1))))),0))))</f>
        <v/>
      </c>
      <c r="AF111" s="247">
        <f>IF(C111="Gutschrift","",IF(G111="","",IF(Besatzung!$B$21="","",IFERROR(IF(I111="Zeitanteilig",(Besatzung!$G$21*(G111-IFERROR(H111,0))+((Besatzung!$B$21&lt;&gt;"")*IF(B111="",1,(IF(Besatzung!$C$21="",Besatzung!$B$5,Besatzung!$C$21)&lt;=B111)*(IF(Besatzung!$D$21="",Besatzung!$B$6,Besatzung!$D$21)&gt;=B111)))*(Besatzung!$F$21="x")*IFERROR(H111,0)/IFERROR(SUMPRODUCT((Besatzung!$B$11:$B$22&lt;&gt;"")*(Besatzung!$F$11:$F$22="x")*(IF(Besatzung!$C$11:$C$22="",Besatzung!$B$5,Besatzung!$C$11:$C$22)&lt;=B111)*(IF(Besatzung!$D$11:$D$22="",Besatzung!$B$6,Besatzung!$D$11:$D$22)&gt;=B111)),1)),IF(I111="An Bord",(((Besatzung!$B$21&lt;&gt;"")*IF(B111="",1,(IF(Besatzung!$C$21="",Besatzung!$B$5,Besatzung!$C$21)&lt;=B111)*(IF(Besatzung!$D$21="",Besatzung!$B$6,Besatzung!$D$21)&gt;=B111)))*((G111-IFERROR(H111,0))/IFERROR(SUMPRODUCT((Besatzung!$B$11:$B$22&lt;&gt;"")*(IF(Besatzung!$C$11:$C$22="",Besatzung!$B$5,Besatzung!$C$11:$C$22)&lt;=B111)*(IF(Besatzung!$D$11:$D$22="",Besatzung!$B$6,Besatzung!$D$11:$D$22)&gt;=B111)),1)+(Besatzung!$F$21="x")*IFERROR(H111,0)/IFERROR(SUMPRODUCT((Besatzung!$B$11:$B$22&lt;&gt;"")*(Besatzung!$F$11:$F$22="x")*(IF(Besatzung!$C$11:$C$22="",Besatzung!$B$5,Besatzung!$C$11:$C$22)&lt;=B111)*(IF(Besatzung!$D$11:$D$22="",Besatzung!$B$6,Besatzung!$D$11:$D$22)&gt;=B111)),1))),IF(I111="Individuell",((T111="x")*((G111-IFERROR(H111,0))/IFERROR(COUNTIF(J111:U111,"x"),1)+(Besatzung!$F$21="x")*IFERROR(H111,0)/IFERROR(SUMPRODUCT((J111:U111="x")*(Besatzung!$F$11:$F$22="x")),1))),(IF(COUNTIF(J111:U111,"x")=0,IF(Besatzung!$B$21&lt;&gt;"",1,0),(T111="x"))*(G111-IFERROR(H111,0))/IFERROR(IF(COUNTIF(J111:U111,"x")=0,COUNTA(Besatzung!$B$11:$B$22),COUNTIF(J111:U111,"x")),1)+IF(COUNTIF(J111:U111,"x")=0,(Besatzung!$F$21="x"),(T111="x")*(Besatzung!$F$21="x"))*IFERROR(H111,0)/IFERROR(IF(COUNTIF(J111:U111,"x")=0,SUMPRODUCT((Besatzung!$B$11:$B$22&lt;&gt;"")*(Besatzung!$F$11:$F$22="x")),SUMPRODUCT((J111:U111="x")*(Besatzung!$F$11:$F$22="x"))),1))))),0))))</f>
        <v/>
      </c>
      <c r="AG111" s="247">
        <f>IF(C111="Gutschrift","",IF(G111="","",IF(Besatzung!$B$22="","",IFERROR(IF(I111="Zeitanteilig",(Besatzung!$G$22*(G111-IFERROR(H111,0))+((Besatzung!$B$22&lt;&gt;"")*IF(B111="",1,(IF(Besatzung!$C$22="",Besatzung!$B$5,Besatzung!$C$22)&lt;=B111)*(IF(Besatzung!$D$22="",Besatzung!$B$6,Besatzung!$D$22)&gt;=B111)))*(Besatzung!$F$22="x")*IFERROR(H111,0)/IFERROR(SUMPRODUCT((Besatzung!$B$11:$B$22&lt;&gt;"")*(Besatzung!$F$11:$F$22="x")*(IF(Besatzung!$C$11:$C$22="",Besatzung!$B$5,Besatzung!$C$11:$C$22)&lt;=B111)*(IF(Besatzung!$D$11:$D$22="",Besatzung!$B$6,Besatzung!$D$11:$D$22)&gt;=B111)),1)),IF(I111="An Bord",(((Besatzung!$B$22&lt;&gt;"")*IF(B111="",1,(IF(Besatzung!$C$22="",Besatzung!$B$5,Besatzung!$C$22)&lt;=B111)*(IF(Besatzung!$D$22="",Besatzung!$B$6,Besatzung!$D$22)&gt;=B111)))*((G111-IFERROR(H111,0))/IFERROR(SUMPRODUCT((Besatzung!$B$11:$B$22&lt;&gt;"")*(IF(Besatzung!$C$11:$C$22="",Besatzung!$B$5,Besatzung!$C$11:$C$22)&lt;=B111)*(IF(Besatzung!$D$11:$D$22="",Besatzung!$B$6,Besatzung!$D$11:$D$22)&gt;=B111)),1)+(Besatzung!$F$22="x")*IFERROR(H111,0)/IFERROR(SUMPRODUCT((Besatzung!$B$11:$B$22&lt;&gt;"")*(Besatzung!$F$11:$F$22="x")*(IF(Besatzung!$C$11:$C$22="",Besatzung!$B$5,Besatzung!$C$11:$C$22)&lt;=B111)*(IF(Besatzung!$D$11:$D$22="",Besatzung!$B$6,Besatzung!$D$11:$D$22)&gt;=B111)),1))),IF(I111="Individuell",((U111="x")*((G111-IFERROR(H111,0))/IFERROR(COUNTIF(J111:U111,"x"),1)+(Besatzung!$F$22="x")*IFERROR(H111,0)/IFERROR(SUMPRODUCT((J111:U111="x")*(Besatzung!$F$11:$F$22="x")),1))),(IF(COUNTIF(J111:U111,"x")=0,IF(Besatzung!$B$22&lt;&gt;"",1,0),(U111="x"))*(G111-IFERROR(H111,0))/IFERROR(IF(COUNTIF(J111:U111,"x")=0,COUNTA(Besatzung!$B$11:$B$22),COUNTIF(J111:U111,"x")),1)+IF(COUNTIF(J111:U111,"x")=0,(Besatzung!$F$22="x"),(U111="x")*(Besatzung!$F$22="x"))*IFERROR(H111,0)/IFERROR(IF(COUNTIF(J111:U111,"x")=0,SUMPRODUCT((Besatzung!$B$11:$B$22&lt;&gt;"")*(Besatzung!$F$11:$F$22="x")),SUMPRODUCT((J111:U111="x")*(Besatzung!$F$11:$F$22="x"))),1))))),0))))</f>
        <v/>
      </c>
      <c r="AH111" s="248" t="n"/>
      <c r="AI111" s="248" t="n"/>
    </row>
    <row r="112" ht="21.75" customHeight="1" s="154">
      <c r="A112" s="238">
        <f>IF(AND(D112="",C112=""),"",109)</f>
        <v/>
      </c>
      <c r="B112" s="199" t="n"/>
      <c r="C112" s="239" t="n"/>
      <c r="D112" s="240" t="n"/>
      <c r="E112" s="241" t="n"/>
      <c r="F112" s="242" t="n"/>
      <c r="G112" s="243" t="n"/>
      <c r="H112" s="244" t="n"/>
      <c r="I112" s="245" t="n"/>
      <c r="J112" s="246" t="n"/>
      <c r="K112" s="246" t="n"/>
      <c r="L112" s="246" t="n"/>
      <c r="M112" s="246" t="n"/>
      <c r="N112" s="246" t="n"/>
      <c r="O112" s="246" t="n"/>
      <c r="P112" s="246" t="n"/>
      <c r="Q112" s="246" t="n"/>
      <c r="R112" s="246" t="n"/>
      <c r="S112" s="246" t="n"/>
      <c r="T112" s="246" t="n"/>
      <c r="U112" s="246" t="n"/>
      <c r="V112" s="247">
        <f>IF(C112="Gutschrift","",IF(G112="","",IF(Besatzung!$B$11="","",IFERROR(IF(I112="Zeitanteilig",(Besatzung!$G$11*(G112-IFERROR(H112,0))+((Besatzung!$B$11&lt;&gt;"")*IF(B112="",1,(IF(Besatzung!$C$11="",Besatzung!$B$5,Besatzung!$C$11)&lt;=B112)*(IF(Besatzung!$D$11="",Besatzung!$B$6,Besatzung!$D$11)&gt;=B112)))*(Besatzung!$F$11="x")*IFERROR(H112,0)/IFERROR(SUMPRODUCT((Besatzung!$B$11:$B$22&lt;&gt;"")*(Besatzung!$F$11:$F$22="x")*(IF(Besatzung!$C$11:$C$22="",Besatzung!$B$5,Besatzung!$C$11:$C$22)&lt;=B112)*(IF(Besatzung!$D$11:$D$22="",Besatzung!$B$6,Besatzung!$D$11:$D$22)&gt;=B112)),1)),IF(I112="An Bord",(((Besatzung!$B$11&lt;&gt;"")*IF(B112="",1,(IF(Besatzung!$C$11="",Besatzung!$B$5,Besatzung!$C$11)&lt;=B112)*(IF(Besatzung!$D$11="",Besatzung!$B$6,Besatzung!$D$11)&gt;=B112)))*((G112-IFERROR(H112,0))/IFERROR(SUMPRODUCT((Besatzung!$B$11:$B$22&lt;&gt;"")*(IF(Besatzung!$C$11:$C$22="",Besatzung!$B$5,Besatzung!$C$11:$C$22)&lt;=B112)*(IF(Besatzung!$D$11:$D$22="",Besatzung!$B$6,Besatzung!$D$11:$D$22)&gt;=B112)),1)+(Besatzung!$F$11="x")*IFERROR(H112,0)/IFERROR(SUMPRODUCT((Besatzung!$B$11:$B$22&lt;&gt;"")*(Besatzung!$F$11:$F$22="x")*(IF(Besatzung!$C$11:$C$22="",Besatzung!$B$5,Besatzung!$C$11:$C$22)&lt;=B112)*(IF(Besatzung!$D$11:$D$22="",Besatzung!$B$6,Besatzung!$D$11:$D$22)&gt;=B112)),1))),IF(I112="Individuell",((J112="x")*((G112-IFERROR(H112,0))/IFERROR(COUNTIF(J112:U112,"x"),1)+(Besatzung!$F$11="x")*IFERROR(H112,0)/IFERROR(SUMPRODUCT((J112:U112="x")*(Besatzung!$F$11:$F$22="x")),1))),(IF(COUNTIF(J112:U112,"x")=0,IF(Besatzung!$B$11&lt;&gt;"",1,0),(J112="x"))*(G112-IFERROR(H112,0))/IFERROR(IF(COUNTIF(J112:U112,"x")=0,COUNTA(Besatzung!$B$11:$B$22),COUNTIF(J112:U112,"x")),1)+IF(COUNTIF(J112:U112,"x")=0,(Besatzung!$F$11="x"),(J112="x")*(Besatzung!$F$11="x"))*IFERROR(H112,0)/IFERROR(IF(COUNTIF(J112:U112,"x")=0,SUMPRODUCT((Besatzung!$B$11:$B$22&lt;&gt;"")*(Besatzung!$F$11:$F$22="x")),SUMPRODUCT((J112:U112="x")*(Besatzung!$F$11:$F$22="x"))),1))))),0))))</f>
        <v/>
      </c>
      <c r="W112" s="247">
        <f>IF(C112="Gutschrift","",IF(G112="","",IF(Besatzung!$B$12="","",IFERROR(IF(I112="Zeitanteilig",(Besatzung!$G$12*(G112-IFERROR(H112,0))+((Besatzung!$B$12&lt;&gt;"")*IF(B112="",1,(IF(Besatzung!$C$12="",Besatzung!$B$5,Besatzung!$C$12)&lt;=B112)*(IF(Besatzung!$D$12="",Besatzung!$B$6,Besatzung!$D$12)&gt;=B112)))*(Besatzung!$F$12="x")*IFERROR(H112,0)/IFERROR(SUMPRODUCT((Besatzung!$B$11:$B$22&lt;&gt;"")*(Besatzung!$F$11:$F$22="x")*(IF(Besatzung!$C$11:$C$22="",Besatzung!$B$5,Besatzung!$C$11:$C$22)&lt;=B112)*(IF(Besatzung!$D$11:$D$22="",Besatzung!$B$6,Besatzung!$D$11:$D$22)&gt;=B112)),1)),IF(I112="An Bord",(((Besatzung!$B$12&lt;&gt;"")*IF(B112="",1,(IF(Besatzung!$C$12="",Besatzung!$B$5,Besatzung!$C$12)&lt;=B112)*(IF(Besatzung!$D$12="",Besatzung!$B$6,Besatzung!$D$12)&gt;=B112)))*((G112-IFERROR(H112,0))/IFERROR(SUMPRODUCT((Besatzung!$B$11:$B$22&lt;&gt;"")*(IF(Besatzung!$C$11:$C$22="",Besatzung!$B$5,Besatzung!$C$11:$C$22)&lt;=B112)*(IF(Besatzung!$D$11:$D$22="",Besatzung!$B$6,Besatzung!$D$11:$D$22)&gt;=B112)),1)+(Besatzung!$F$12="x")*IFERROR(H112,0)/IFERROR(SUMPRODUCT((Besatzung!$B$11:$B$22&lt;&gt;"")*(Besatzung!$F$11:$F$22="x")*(IF(Besatzung!$C$11:$C$22="",Besatzung!$B$5,Besatzung!$C$11:$C$22)&lt;=B112)*(IF(Besatzung!$D$11:$D$22="",Besatzung!$B$6,Besatzung!$D$11:$D$22)&gt;=B112)),1))),IF(I112="Individuell",((K112="x")*((G112-IFERROR(H112,0))/IFERROR(COUNTIF(J112:U112,"x"),1)+(Besatzung!$F$12="x")*IFERROR(H112,0)/IFERROR(SUMPRODUCT((J112:U112="x")*(Besatzung!$F$11:$F$22="x")),1))),(IF(COUNTIF(J112:U112,"x")=0,IF(Besatzung!$B$12&lt;&gt;"",1,0),(K112="x"))*(G112-IFERROR(H112,0))/IFERROR(IF(COUNTIF(J112:U112,"x")=0,COUNTA(Besatzung!$B$11:$B$22),COUNTIF(J112:U112,"x")),1)+IF(COUNTIF(J112:U112,"x")=0,(Besatzung!$F$12="x"),(K112="x")*(Besatzung!$F$12="x"))*IFERROR(H112,0)/IFERROR(IF(COUNTIF(J112:U112,"x")=0,SUMPRODUCT((Besatzung!$B$11:$B$22&lt;&gt;"")*(Besatzung!$F$11:$F$22="x")),SUMPRODUCT((J112:U112="x")*(Besatzung!$F$11:$F$22="x"))),1))))),0))))</f>
        <v/>
      </c>
      <c r="X112" s="247">
        <f>IF(C112="Gutschrift","",IF(G112="","",IF(Besatzung!$B$13="","",IFERROR(IF(I112="Zeitanteilig",(Besatzung!$G$13*(G112-IFERROR(H112,0))+((Besatzung!$B$13&lt;&gt;"")*IF(B112="",1,(IF(Besatzung!$C$13="",Besatzung!$B$5,Besatzung!$C$13)&lt;=B112)*(IF(Besatzung!$D$13="",Besatzung!$B$6,Besatzung!$D$13)&gt;=B112)))*(Besatzung!$F$13="x")*IFERROR(H112,0)/IFERROR(SUMPRODUCT((Besatzung!$B$11:$B$22&lt;&gt;"")*(Besatzung!$F$11:$F$22="x")*(IF(Besatzung!$C$11:$C$22="",Besatzung!$B$5,Besatzung!$C$11:$C$22)&lt;=B112)*(IF(Besatzung!$D$11:$D$22="",Besatzung!$B$6,Besatzung!$D$11:$D$22)&gt;=B112)),1)),IF(I112="An Bord",(((Besatzung!$B$13&lt;&gt;"")*IF(B112="",1,(IF(Besatzung!$C$13="",Besatzung!$B$5,Besatzung!$C$13)&lt;=B112)*(IF(Besatzung!$D$13="",Besatzung!$B$6,Besatzung!$D$13)&gt;=B112)))*((G112-IFERROR(H112,0))/IFERROR(SUMPRODUCT((Besatzung!$B$11:$B$22&lt;&gt;"")*(IF(Besatzung!$C$11:$C$22="",Besatzung!$B$5,Besatzung!$C$11:$C$22)&lt;=B112)*(IF(Besatzung!$D$11:$D$22="",Besatzung!$B$6,Besatzung!$D$11:$D$22)&gt;=B112)),1)+(Besatzung!$F$13="x")*IFERROR(H112,0)/IFERROR(SUMPRODUCT((Besatzung!$B$11:$B$22&lt;&gt;"")*(Besatzung!$F$11:$F$22="x")*(IF(Besatzung!$C$11:$C$22="",Besatzung!$B$5,Besatzung!$C$11:$C$22)&lt;=B112)*(IF(Besatzung!$D$11:$D$22="",Besatzung!$B$6,Besatzung!$D$11:$D$22)&gt;=B112)),1))),IF(I112="Individuell",((K112="x")*((G112-IFERROR(H112,0))/IFERROR(COUNTIF(J112:U112,"x"),1)+(Besatzung!$F$13="x")*IFERROR(H112,0)/IFERROR(SUMPRODUCT((J112:U112="x")*(Besatzung!$F$11:$F$22="x")),1))),(IF(COUNTIF(J112:U112,"x")=0,IF(Besatzung!$B$13&lt;&gt;"",1,0),(K112="x"))*(G112-IFERROR(H112,0))/IFERROR(IF(COUNTIF(J112:U112,"x")=0,COUNTA(Besatzung!$B$11:$B$22),COUNTIF(J112:U112,"x")),1)+IF(COUNTIF(J112:U112,"x")=0,(Besatzung!$F$13="x"),(K112="x")*(Besatzung!$F$13="x"))*IFERROR(H112,0)/IFERROR(IF(COUNTIF(J112:U112,"x")=0,SUMPRODUCT((Besatzung!$B$11:$B$22&lt;&gt;"")*(Besatzung!$F$11:$F$22="x")),SUMPRODUCT((J112:U112="x")*(Besatzung!$F$11:$F$22="x"))),1))))),0))))</f>
        <v/>
      </c>
      <c r="Y112" s="247">
        <f>IF(C112="Gutschrift","",IF(G112="","",IF(Besatzung!$B$14="","",IFERROR(IF(I112="Zeitanteilig",(Besatzung!$G$14*(G112-IFERROR(H112,0))+((Besatzung!$B$14&lt;&gt;"")*IF(B112="",1,(IF(Besatzung!$C$14="",Besatzung!$B$5,Besatzung!$C$14)&lt;=B112)*(IF(Besatzung!$D$14="",Besatzung!$B$6,Besatzung!$D$14)&gt;=B112)))*(Besatzung!$F$14="x")*IFERROR(H112,0)/IFERROR(SUMPRODUCT((Besatzung!$B$11:$B$22&lt;&gt;"")*(Besatzung!$F$11:$F$22="x")*(IF(Besatzung!$C$11:$C$22="",Besatzung!$B$5,Besatzung!$C$11:$C$22)&lt;=B112)*(IF(Besatzung!$D$11:$D$22="",Besatzung!$B$6,Besatzung!$D$11:$D$22)&gt;=B112)),1)),IF(I112="An Bord",(((Besatzung!$B$14&lt;&gt;"")*IF(B112="",1,(IF(Besatzung!$C$14="",Besatzung!$B$5,Besatzung!$C$14)&lt;=B112)*(IF(Besatzung!$D$14="",Besatzung!$B$6,Besatzung!$D$14)&gt;=B112)))*((G112-IFERROR(H112,0))/IFERROR(SUMPRODUCT((Besatzung!$B$11:$B$22&lt;&gt;"")*(IF(Besatzung!$C$11:$C$22="",Besatzung!$B$5,Besatzung!$C$11:$C$22)&lt;=B112)*(IF(Besatzung!$D$11:$D$22="",Besatzung!$B$6,Besatzung!$D$11:$D$22)&gt;=B112)),1)+(Besatzung!$F$14="x")*IFERROR(H112,0)/IFERROR(SUMPRODUCT((Besatzung!$B$11:$B$22&lt;&gt;"")*(Besatzung!$F$11:$F$22="x")*(IF(Besatzung!$C$11:$C$22="",Besatzung!$B$5,Besatzung!$C$11:$C$22)&lt;=B112)*(IF(Besatzung!$D$11:$D$22="",Besatzung!$B$6,Besatzung!$D$11:$D$22)&gt;=B112)),1))),IF(I112="Individuell",((M112="x")*((G112-IFERROR(H112,0))/IFERROR(COUNTIF(J112:U112,"x"),1)+(Besatzung!$F$14="x")*IFERROR(H112,0)/IFERROR(SUMPRODUCT((J112:U112="x")*(Besatzung!$F$11:$F$22="x")),1))),(IF(COUNTIF(J112:U112,"x")=0,IF(Besatzung!$B$14&lt;&gt;"",1,0),(M112="x"))*(G112-IFERROR(H112,0))/IFERROR(IF(COUNTIF(J112:U112,"x")=0,COUNTA(Besatzung!$B$11:$B$22),COUNTIF(J112:U112,"x")),1)+IF(COUNTIF(J112:U112,"x")=0,(Besatzung!$F$14="x"),(M112="x")*(Besatzung!$F$14="x"))*IFERROR(H112,0)/IFERROR(IF(COUNTIF(J112:U112,"x")=0,SUMPRODUCT((Besatzung!$B$11:$B$22&lt;&gt;"")*(Besatzung!$F$11:$F$22="x")),SUMPRODUCT((J112:U112="x")*(Besatzung!$F$11:$F$22="x"))),1))))),0))))</f>
        <v/>
      </c>
      <c r="Z112" s="247">
        <f>IF(C112="Gutschrift","",IF(G112="","",IF(Besatzung!$B$13="","",IFERROR(IF(I112="Zeitanteilig",(Besatzung!$G$15*(G112-IFERROR(H112,0))+((Besatzung!$B$13&lt;&gt;"")*IF(B112="",1,(IF(Besatzung!$C$15="",Besatzung!$B$5,Besatzung!$C$15)&lt;=B112)*(IF(Besatzung!$D$15="",Besatzung!$B$6,Besatzung!$D$15)&gt;=B112)))*(Besatzung!$F$15="x")*IFERROR(H112,0)/IFERROR(SUMPRODUCT((Besatzung!$B$11:$B$22&lt;&gt;"")*(Besatzung!$F$11:$F$22="x")*(IF(Besatzung!$C$11:$C$22="",Besatzung!$B$5,Besatzung!$C$11:$C$22)&lt;=B112)*(IF(Besatzung!$D$11:$D$22="",Besatzung!$B$6,Besatzung!$D$11:$D$22)&gt;=B112)),1)),IF(I112="An Bord",(((Besatzung!$B$13&lt;&gt;"")*IF(B112="",1,(IF(Besatzung!$C$15="",Besatzung!$B$5,Besatzung!$C$15)&lt;=B112)*(IF(Besatzung!$D$15="",Besatzung!$B$6,Besatzung!$D$15)&gt;=B112)))*((G112-IFERROR(H112,0))/IFERROR(SUMPRODUCT((Besatzung!$B$11:$B$22&lt;&gt;"")*(IF(Besatzung!$C$11:$C$22="",Besatzung!$B$5,Besatzung!$C$11:$C$22)&lt;=B112)*(IF(Besatzung!$D$11:$D$22="",Besatzung!$B$6,Besatzung!$D$11:$D$22)&gt;=B112)),1)+(Besatzung!$F$15="x")*IFERROR(H112,0)/IFERROR(SUMPRODUCT((Besatzung!$B$11:$B$22&lt;&gt;"")*(Besatzung!$F$11:$F$22="x")*(IF(Besatzung!$C$11:$C$22="",Besatzung!$B$5,Besatzung!$C$11:$C$22)&lt;=B112)*(IF(Besatzung!$D$11:$D$22="",Besatzung!$B$6,Besatzung!$D$11:$D$22)&gt;=B112)),1))),IF(I112="Individuell",((N112="x")*((G112-IFERROR(H112,0))/IFERROR(COUNTIF(J112:U112,"x"),1)+(Besatzung!$F$15="x")*IFERROR(H112,0)/IFERROR(SUMPRODUCT((J112:U112="x")*(Besatzung!$F$11:$F$22="x")),1))),(IF(COUNTIF(J112:U112,"x")=0,IF(Besatzung!$B$13&lt;&gt;"",1,0),(N112="x"))*(G112-IFERROR(H112,0))/IFERROR(IF(COUNTIF(J112:U112,"x")=0,COUNTA(Besatzung!$B$11:$B$22),COUNTIF(J112:U112,"x")),1)+IF(COUNTIF(J112:U112,"x")=0,(Besatzung!$F$15="x"),(N112="x")*(Besatzung!$F$15="x"))*IFERROR(H112,0)/IFERROR(IF(COUNTIF(J112:U112,"x")=0,SUMPRODUCT((Besatzung!$B$11:$B$22&lt;&gt;"")*(Besatzung!$F$11:$F$22="x")),SUMPRODUCT((J112:U112="x")*(Besatzung!$F$11:$F$22="x"))),1))))),0))))</f>
        <v/>
      </c>
      <c r="AA112" s="247">
        <f>IF(C112="Gutschrift","",IF(G112="","",IF(Besatzung!$B$15="","",IFERROR(IF(I112="Zeitanteilig",(Besatzung!$G$16*(G112-IFERROR(H112,0))+((Besatzung!$B$15&lt;&gt;"")*IF(B112="",1,(IF(Besatzung!$C$16="",Besatzung!$B$5,Besatzung!$C$16)&lt;=B112)*(IF(Besatzung!$D$16="",Besatzung!$B$6,Besatzung!$D$16)&gt;=B112)))*(Besatzung!$F$16="x")*IFERROR(H112,0)/IFERROR(SUMPRODUCT((Besatzung!$B$11:$B$22&lt;&gt;"")*(Besatzung!$F$11:$F$22="x")*(IF(Besatzung!$C$11:$C$22="",Besatzung!$B$5,Besatzung!$C$11:$C$22)&lt;=B112)*(IF(Besatzung!$D$11:$D$22="",Besatzung!$B$6,Besatzung!$D$11:$D$22)&gt;=B112)),1)),IF(I112="An Bord",(((Besatzung!$B$15&lt;&gt;"")*IF(B112="",1,(IF(Besatzung!$C$16="",Besatzung!$B$5,Besatzung!$C$16)&lt;=B112)*(IF(Besatzung!$D$16="",Besatzung!$B$6,Besatzung!$D$16)&gt;=B112)))*((G112-IFERROR(H112,0))/IFERROR(SUMPRODUCT((Besatzung!$B$11:$B$22&lt;&gt;"")*(IF(Besatzung!$C$11:$C$22="",Besatzung!$B$5,Besatzung!$C$11:$C$22)&lt;=B112)*(IF(Besatzung!$D$11:$D$22="",Besatzung!$B$6,Besatzung!$D$11:$D$22)&gt;=B112)),1)+(Besatzung!$F$16="x")*IFERROR(H112,0)/IFERROR(SUMPRODUCT((Besatzung!$B$11:$B$22&lt;&gt;"")*(Besatzung!$F$11:$F$22="x")*(IF(Besatzung!$C$11:$C$22="",Besatzung!$B$5,Besatzung!$C$11:$C$22)&lt;=B112)*(IF(Besatzung!$D$11:$D$22="",Besatzung!$B$6,Besatzung!$D$11:$D$22)&gt;=B112)),1))),IF(I112="Individuell",((O112="x")*((G112-IFERROR(H112,0))/IFERROR(COUNTIF(J112:U112,"x"),1)+(Besatzung!$F$16="x")*IFERROR(H112,0)/IFERROR(SUMPRODUCT((J112:U112="x")*(Besatzung!$F$11:$F$22="x")),1))),(IF(COUNTIF(J112:U112,"x")=0,IF(Besatzung!$B$15&lt;&gt;"",1,0),(O112="x"))*(G112-IFERROR(H112,0))/IFERROR(IF(COUNTIF(J112:U112,"x")=0,COUNTA(Besatzung!$B$11:$B$22),COUNTIF(J112:U112,"x")),1)+IF(COUNTIF(J112:U112,"x")=0,(Besatzung!$F$16="x"),(O112="x")*(Besatzung!$F$16="x"))*IFERROR(H112,0)/IFERROR(IF(COUNTIF(J112:U112,"x")=0,SUMPRODUCT((Besatzung!$B$11:$B$22&lt;&gt;"")*(Besatzung!$F$11:$F$22="x")),SUMPRODUCT((J112:U112="x")*(Besatzung!$F$11:$F$22="x"))),1))))),0))))</f>
        <v/>
      </c>
      <c r="AB112" s="247">
        <f>IF(C112="Gutschrift","",IF(G112="","",IF(Besatzung!$B$17="","",IFERROR(IF(I112="Zeitanteilig",(Besatzung!$G$17*(G112-IFERROR(H112,0))+((Besatzung!$B$17&lt;&gt;"")*IF(B112="",1,(IF(Besatzung!$C$17="",Besatzung!$B$5,Besatzung!$C$17)&lt;=B112)*(IF(Besatzung!$D$17="",Besatzung!$B$6,Besatzung!$D$17)&gt;=B112)))*(Besatzung!$F$17="x")*IFERROR(H112,0)/IFERROR(SUMPRODUCT((Besatzung!$B$11:$B$22&lt;&gt;"")*(Besatzung!$F$11:$F$22="x")*(IF(Besatzung!$C$11:$C$22="",Besatzung!$B$5,Besatzung!$C$11:$C$22)&lt;=B112)*(IF(Besatzung!$D$11:$D$22="",Besatzung!$B$6,Besatzung!$D$11:$D$22)&gt;=B112)),1)),IF(I112="An Bord",(((Besatzung!$B$17&lt;&gt;"")*IF(B112="",1,(IF(Besatzung!$C$17="",Besatzung!$B$5,Besatzung!$C$17)&lt;=B112)*(IF(Besatzung!$D$17="",Besatzung!$B$6,Besatzung!$D$17)&gt;=B112)))*((G112-IFERROR(H112,0))/IFERROR(SUMPRODUCT((Besatzung!$B$11:$B$22&lt;&gt;"")*(IF(Besatzung!$C$11:$C$22="",Besatzung!$B$5,Besatzung!$C$11:$C$22)&lt;=B112)*(IF(Besatzung!$D$11:$D$22="",Besatzung!$B$6,Besatzung!$D$11:$D$22)&gt;=B112)),1)+(Besatzung!$F$17="x")*IFERROR(H112,0)/IFERROR(SUMPRODUCT((Besatzung!$B$11:$B$22&lt;&gt;"")*(Besatzung!$F$11:$F$22="x")*(IF(Besatzung!$C$11:$C$22="",Besatzung!$B$5,Besatzung!$C$11:$C$22)&lt;=B112)*(IF(Besatzung!$D$11:$D$22="",Besatzung!$B$6,Besatzung!$D$11:$D$22)&gt;=B112)),1))),IF(I112="Individuell",((P112="x")*((G112-IFERROR(H112,0))/IFERROR(COUNTIF(J112:U112,"x"),1)+(Besatzung!$F$17="x")*IFERROR(H112,0)/IFERROR(SUMPRODUCT((J112:U112="x")*(Besatzung!$F$11:$F$22="x")),1))),(IF(COUNTIF(J112:U112,"x")=0,IF(Besatzung!$B$17&lt;&gt;"",1,0),(P112="x"))*(G112-IFERROR(H112,0))/IFERROR(IF(COUNTIF(J112:U112,"x")=0,COUNTA(Besatzung!$B$11:$B$22),COUNTIF(J112:U112,"x")),1)+IF(COUNTIF(J112:U112,"x")=0,(Besatzung!$F$17="x"),(P112="x")*(Besatzung!$F$17="x"))*IFERROR(H112,0)/IFERROR(IF(COUNTIF(J112:U112,"x")=0,SUMPRODUCT((Besatzung!$B$11:$B$22&lt;&gt;"")*(Besatzung!$F$11:$F$22="x")),SUMPRODUCT((J112:U112="x")*(Besatzung!$F$11:$F$22="x"))),1))))),0))))</f>
        <v/>
      </c>
      <c r="AC112" s="247">
        <f>IF(C112="Gutschrift","",IF(G112="","",IF(Besatzung!$B$18="","",IFERROR(IF(I112="Zeitanteilig",(Besatzung!$G$18*(G112-IFERROR(H112,0))+((Besatzung!$B$18&lt;&gt;"")*IF(B112="",1,(IF(Besatzung!$C$18="",Besatzung!$B$5,Besatzung!$C$18)&lt;=B112)*(IF(Besatzung!$D$18="",Besatzung!$B$6,Besatzung!$D$18)&gt;=B112)))*(Besatzung!$F$18="x")*IFERROR(H112,0)/IFERROR(SUMPRODUCT((Besatzung!$B$11:$B$22&lt;&gt;"")*(Besatzung!$F$11:$F$22="x")*(IF(Besatzung!$C$11:$C$22="",Besatzung!$B$5,Besatzung!$C$11:$C$22)&lt;=B112)*(IF(Besatzung!$D$11:$D$22="",Besatzung!$B$6,Besatzung!$D$11:$D$22)&gt;=B112)),1)),IF(I112="An Bord",(((Besatzung!$B$18&lt;&gt;"")*IF(B112="",1,(IF(Besatzung!$C$18="",Besatzung!$B$5,Besatzung!$C$18)&lt;=B112)*(IF(Besatzung!$D$18="",Besatzung!$B$6,Besatzung!$D$18)&gt;=B112)))*((G112-IFERROR(H112,0))/IFERROR(SUMPRODUCT((Besatzung!$B$11:$B$22&lt;&gt;"")*(IF(Besatzung!$C$11:$C$22="",Besatzung!$B$5,Besatzung!$C$11:$C$22)&lt;=B112)*(IF(Besatzung!$D$11:$D$22="",Besatzung!$B$6,Besatzung!$D$11:$D$22)&gt;=B112)),1)+(Besatzung!$F$18="x")*IFERROR(H112,0)/IFERROR(SUMPRODUCT((Besatzung!$B$11:$B$22&lt;&gt;"")*(Besatzung!$F$11:$F$22="x")*(IF(Besatzung!$C$11:$C$22="",Besatzung!$B$5,Besatzung!$C$11:$C$22)&lt;=B112)*(IF(Besatzung!$D$11:$D$22="",Besatzung!$B$6,Besatzung!$D$11:$D$22)&gt;=B112)),1))),IF(I112="Individuell",((Q112="x")*((G112-IFERROR(H112,0))/IFERROR(COUNTIF(J112:U112,"x"),1)+(Besatzung!$F$18="x")*IFERROR(H112,0)/IFERROR(SUMPRODUCT((J112:U112="x")*(Besatzung!$F$11:$F$22="x")),1))),(IF(COUNTIF(J112:U112,"x")=0,IF(Besatzung!$B$18&lt;&gt;"",1,0),(Q112="x"))*(G112-IFERROR(H112,0))/IFERROR(IF(COUNTIF(J112:U112,"x")=0,COUNTA(Besatzung!$B$11:$B$22),COUNTIF(J112:U112,"x")),1)+IF(COUNTIF(J112:U112,"x")=0,(Besatzung!$F$18="x"),(Q112="x")*(Besatzung!$F$18="x"))*IFERROR(H112,0)/IFERROR(IF(COUNTIF(J112:U112,"x")=0,SUMPRODUCT((Besatzung!$B$11:$B$22&lt;&gt;"")*(Besatzung!$F$11:$F$22="x")),SUMPRODUCT((J112:U112="x")*(Besatzung!$F$11:$F$22="x"))),1))))),0))))</f>
        <v/>
      </c>
      <c r="AD112" s="247">
        <f>IF(C112="Gutschrift","",IF(G112="","",IF(Besatzung!$B$19="","",IFERROR(IF(I112="Zeitanteilig",(Besatzung!$G$19*(G112-IFERROR(H112,0))+((Besatzung!$B$19&lt;&gt;"")*IF(B112="",1,(IF(Besatzung!$C$19="",Besatzung!$B$5,Besatzung!$C$19)&lt;=B112)*(IF(Besatzung!$D$19="",Besatzung!$B$6,Besatzung!$D$19)&gt;=B112)))*(Besatzung!$F$19="x")*IFERROR(H112,0)/IFERROR(SUMPRODUCT((Besatzung!$B$11:$B$22&lt;&gt;"")*(Besatzung!$F$11:$F$22="x")*(IF(Besatzung!$C$11:$C$22="",Besatzung!$B$5,Besatzung!$C$11:$C$22)&lt;=B112)*(IF(Besatzung!$D$11:$D$22="",Besatzung!$B$6,Besatzung!$D$11:$D$22)&gt;=B112)),1)),IF(I112="An Bord",(((Besatzung!$B$19&lt;&gt;"")*IF(B112="",1,(IF(Besatzung!$C$19="",Besatzung!$B$5,Besatzung!$C$19)&lt;=B112)*(IF(Besatzung!$D$19="",Besatzung!$B$6,Besatzung!$D$19)&gt;=B112)))*((G112-IFERROR(H112,0))/IFERROR(SUMPRODUCT((Besatzung!$B$11:$B$22&lt;&gt;"")*(IF(Besatzung!$C$11:$C$22="",Besatzung!$B$5,Besatzung!$C$11:$C$22)&lt;=B112)*(IF(Besatzung!$D$11:$D$22="",Besatzung!$B$6,Besatzung!$D$11:$D$22)&gt;=B112)),1)+(Besatzung!$F$19="x")*IFERROR(H112,0)/IFERROR(SUMPRODUCT((Besatzung!$B$11:$B$22&lt;&gt;"")*(Besatzung!$F$11:$F$22="x")*(IF(Besatzung!$C$11:$C$22="",Besatzung!$B$5,Besatzung!$C$11:$C$22)&lt;=B112)*(IF(Besatzung!$D$11:$D$22="",Besatzung!$B$6,Besatzung!$D$11:$D$22)&gt;=B112)),1))),IF(I112="Individuell",((R112="x")*((G112-IFERROR(H112,0))/IFERROR(COUNTIF(J112:U112,"x"),1)+(Besatzung!$F$19="x")*IFERROR(H112,0)/IFERROR(SUMPRODUCT((J112:U112="x")*(Besatzung!$F$11:$F$22="x")),1))),(IF(COUNTIF(J112:U112,"x")=0,IF(Besatzung!$B$19&lt;&gt;"",1,0),(R112="x"))*(G112-IFERROR(H112,0))/IFERROR(IF(COUNTIF(J112:U112,"x")=0,COUNTA(Besatzung!$B$11:$B$22),COUNTIF(J112:U112,"x")),1)+IF(COUNTIF(J112:U112,"x")=0,(Besatzung!$F$19="x"),(R112="x")*(Besatzung!$F$19="x"))*IFERROR(H112,0)/IFERROR(IF(COUNTIF(J112:U112,"x")=0,SUMPRODUCT((Besatzung!$B$11:$B$22&lt;&gt;"")*(Besatzung!$F$11:$F$22="x")),SUMPRODUCT((J112:U112="x")*(Besatzung!$F$11:$F$22="x"))),1))))),0))))</f>
        <v/>
      </c>
      <c r="AE112" s="247">
        <f>IF(C112="Gutschrift","",IF(G112="","",IF(Besatzung!$B$20="","",IFERROR(IF(I112="Zeitanteilig",(Besatzung!$G$20*(G112-IFERROR(H112,0))+((Besatzung!$B$20&lt;&gt;"")*IF(B112="",1,(IF(Besatzung!$C$20="",Besatzung!$B$5,Besatzung!$C$20)&lt;=B112)*(IF(Besatzung!$D$20="",Besatzung!$B$6,Besatzung!$D$20)&gt;=B112)))*(Besatzung!$F$20="x")*IFERROR(H112,0)/IFERROR(SUMPRODUCT((Besatzung!$B$11:$B$22&lt;&gt;"")*(Besatzung!$F$11:$F$22="x")*(IF(Besatzung!$C$11:$C$22="",Besatzung!$B$5,Besatzung!$C$11:$C$22)&lt;=B112)*(IF(Besatzung!$D$11:$D$22="",Besatzung!$B$6,Besatzung!$D$11:$D$22)&gt;=B112)),1)),IF(I112="An Bord",(((Besatzung!$B$20&lt;&gt;"")*IF(B112="",1,(IF(Besatzung!$C$20="",Besatzung!$B$5,Besatzung!$C$20)&lt;=B112)*(IF(Besatzung!$D$20="",Besatzung!$B$6,Besatzung!$D$20)&gt;=B112)))*((G112-IFERROR(H112,0))/IFERROR(SUMPRODUCT((Besatzung!$B$11:$B$22&lt;&gt;"")*(IF(Besatzung!$C$11:$C$22="",Besatzung!$B$5,Besatzung!$C$11:$C$22)&lt;=B112)*(IF(Besatzung!$D$11:$D$22="",Besatzung!$B$6,Besatzung!$D$11:$D$22)&gt;=B112)),1)+(Besatzung!$F$20="x")*IFERROR(H112,0)/IFERROR(SUMPRODUCT((Besatzung!$B$11:$B$22&lt;&gt;"")*(Besatzung!$F$11:$F$22="x")*(IF(Besatzung!$C$11:$C$22="",Besatzung!$B$5,Besatzung!$C$11:$C$22)&lt;=B112)*(IF(Besatzung!$D$11:$D$22="",Besatzung!$B$6,Besatzung!$D$11:$D$22)&gt;=B112)),1))),IF(I112="Individuell",((S112="x")*((G112-IFERROR(H112,0))/IFERROR(COUNTIF(J112:U112,"x"),1)+(Besatzung!$F$20="x")*IFERROR(H112,0)/IFERROR(SUMPRODUCT((J112:U112="x")*(Besatzung!$F$11:$F$22="x")),1))),(IF(COUNTIF(J112:U112,"x")=0,IF(Besatzung!$B$20&lt;&gt;"",1,0),(S112="x"))*(G112-IFERROR(H112,0))/IFERROR(IF(COUNTIF(J112:U112,"x")=0,COUNTA(Besatzung!$B$11:$B$22),COUNTIF(J112:U112,"x")),1)+IF(COUNTIF(J112:U112,"x")=0,(Besatzung!$F$20="x"),(S112="x")*(Besatzung!$F$20="x"))*IFERROR(H112,0)/IFERROR(IF(COUNTIF(J112:U112,"x")=0,SUMPRODUCT((Besatzung!$B$11:$B$22&lt;&gt;"")*(Besatzung!$F$11:$F$22="x")),SUMPRODUCT((J112:U112="x")*(Besatzung!$F$11:$F$22="x"))),1))))),0))))</f>
        <v/>
      </c>
      <c r="AF112" s="247">
        <f>IF(C112="Gutschrift","",IF(G112="","",IF(Besatzung!$B$21="","",IFERROR(IF(I112="Zeitanteilig",(Besatzung!$G$21*(G112-IFERROR(H112,0))+((Besatzung!$B$21&lt;&gt;"")*IF(B112="",1,(IF(Besatzung!$C$21="",Besatzung!$B$5,Besatzung!$C$21)&lt;=B112)*(IF(Besatzung!$D$21="",Besatzung!$B$6,Besatzung!$D$21)&gt;=B112)))*(Besatzung!$F$21="x")*IFERROR(H112,0)/IFERROR(SUMPRODUCT((Besatzung!$B$11:$B$22&lt;&gt;"")*(Besatzung!$F$11:$F$22="x")*(IF(Besatzung!$C$11:$C$22="",Besatzung!$B$5,Besatzung!$C$11:$C$22)&lt;=B112)*(IF(Besatzung!$D$11:$D$22="",Besatzung!$B$6,Besatzung!$D$11:$D$22)&gt;=B112)),1)),IF(I112="An Bord",(((Besatzung!$B$21&lt;&gt;"")*IF(B112="",1,(IF(Besatzung!$C$21="",Besatzung!$B$5,Besatzung!$C$21)&lt;=B112)*(IF(Besatzung!$D$21="",Besatzung!$B$6,Besatzung!$D$21)&gt;=B112)))*((G112-IFERROR(H112,0))/IFERROR(SUMPRODUCT((Besatzung!$B$11:$B$22&lt;&gt;"")*(IF(Besatzung!$C$11:$C$22="",Besatzung!$B$5,Besatzung!$C$11:$C$22)&lt;=B112)*(IF(Besatzung!$D$11:$D$22="",Besatzung!$B$6,Besatzung!$D$11:$D$22)&gt;=B112)),1)+(Besatzung!$F$21="x")*IFERROR(H112,0)/IFERROR(SUMPRODUCT((Besatzung!$B$11:$B$22&lt;&gt;"")*(Besatzung!$F$11:$F$22="x")*(IF(Besatzung!$C$11:$C$22="",Besatzung!$B$5,Besatzung!$C$11:$C$22)&lt;=B112)*(IF(Besatzung!$D$11:$D$22="",Besatzung!$B$6,Besatzung!$D$11:$D$22)&gt;=B112)),1))),IF(I112="Individuell",((T112="x")*((G112-IFERROR(H112,0))/IFERROR(COUNTIF(J112:U112,"x"),1)+(Besatzung!$F$21="x")*IFERROR(H112,0)/IFERROR(SUMPRODUCT((J112:U112="x")*(Besatzung!$F$11:$F$22="x")),1))),(IF(COUNTIF(J112:U112,"x")=0,IF(Besatzung!$B$21&lt;&gt;"",1,0),(T112="x"))*(G112-IFERROR(H112,0))/IFERROR(IF(COUNTIF(J112:U112,"x")=0,COUNTA(Besatzung!$B$11:$B$22),COUNTIF(J112:U112,"x")),1)+IF(COUNTIF(J112:U112,"x")=0,(Besatzung!$F$21="x"),(T112="x")*(Besatzung!$F$21="x"))*IFERROR(H112,0)/IFERROR(IF(COUNTIF(J112:U112,"x")=0,SUMPRODUCT((Besatzung!$B$11:$B$22&lt;&gt;"")*(Besatzung!$F$11:$F$22="x")),SUMPRODUCT((J112:U112="x")*(Besatzung!$F$11:$F$22="x"))),1))))),0))))</f>
        <v/>
      </c>
      <c r="AG112" s="247">
        <f>IF(C112="Gutschrift","",IF(G112="","",IF(Besatzung!$B$22="","",IFERROR(IF(I112="Zeitanteilig",(Besatzung!$G$22*(G112-IFERROR(H112,0))+((Besatzung!$B$22&lt;&gt;"")*IF(B112="",1,(IF(Besatzung!$C$22="",Besatzung!$B$5,Besatzung!$C$22)&lt;=B112)*(IF(Besatzung!$D$22="",Besatzung!$B$6,Besatzung!$D$22)&gt;=B112)))*(Besatzung!$F$22="x")*IFERROR(H112,0)/IFERROR(SUMPRODUCT((Besatzung!$B$11:$B$22&lt;&gt;"")*(Besatzung!$F$11:$F$22="x")*(IF(Besatzung!$C$11:$C$22="",Besatzung!$B$5,Besatzung!$C$11:$C$22)&lt;=B112)*(IF(Besatzung!$D$11:$D$22="",Besatzung!$B$6,Besatzung!$D$11:$D$22)&gt;=B112)),1)),IF(I112="An Bord",(((Besatzung!$B$22&lt;&gt;"")*IF(B112="",1,(IF(Besatzung!$C$22="",Besatzung!$B$5,Besatzung!$C$22)&lt;=B112)*(IF(Besatzung!$D$22="",Besatzung!$B$6,Besatzung!$D$22)&gt;=B112)))*((G112-IFERROR(H112,0))/IFERROR(SUMPRODUCT((Besatzung!$B$11:$B$22&lt;&gt;"")*(IF(Besatzung!$C$11:$C$22="",Besatzung!$B$5,Besatzung!$C$11:$C$22)&lt;=B112)*(IF(Besatzung!$D$11:$D$22="",Besatzung!$B$6,Besatzung!$D$11:$D$22)&gt;=B112)),1)+(Besatzung!$F$22="x")*IFERROR(H112,0)/IFERROR(SUMPRODUCT((Besatzung!$B$11:$B$22&lt;&gt;"")*(Besatzung!$F$11:$F$22="x")*(IF(Besatzung!$C$11:$C$22="",Besatzung!$B$5,Besatzung!$C$11:$C$22)&lt;=B112)*(IF(Besatzung!$D$11:$D$22="",Besatzung!$B$6,Besatzung!$D$11:$D$22)&gt;=B112)),1))),IF(I112="Individuell",((U112="x")*((G112-IFERROR(H112,0))/IFERROR(COUNTIF(J112:U112,"x"),1)+(Besatzung!$F$22="x")*IFERROR(H112,0)/IFERROR(SUMPRODUCT((J112:U112="x")*(Besatzung!$F$11:$F$22="x")),1))),(IF(COUNTIF(J112:U112,"x")=0,IF(Besatzung!$B$22&lt;&gt;"",1,0),(U112="x"))*(G112-IFERROR(H112,0))/IFERROR(IF(COUNTIF(J112:U112,"x")=0,COUNTA(Besatzung!$B$11:$B$22),COUNTIF(J112:U112,"x")),1)+IF(COUNTIF(J112:U112,"x")=0,(Besatzung!$F$22="x"),(U112="x")*(Besatzung!$F$22="x"))*IFERROR(H112,0)/IFERROR(IF(COUNTIF(J112:U112,"x")=0,SUMPRODUCT((Besatzung!$B$11:$B$22&lt;&gt;"")*(Besatzung!$F$11:$F$22="x")),SUMPRODUCT((J112:U112="x")*(Besatzung!$F$11:$F$22="x"))),1))))),0))))</f>
        <v/>
      </c>
      <c r="AH112" s="248" t="n"/>
      <c r="AI112" s="248" t="n"/>
    </row>
    <row r="113" ht="21.75" customHeight="1" s="154">
      <c r="A113" s="238">
        <f>IF(AND(D113="",C113=""),"",110)</f>
        <v/>
      </c>
      <c r="B113" s="206" t="n"/>
      <c r="C113" s="249" t="n"/>
      <c r="D113" s="250" t="n"/>
      <c r="E113" s="251" t="n"/>
      <c r="F113" s="252" t="n"/>
      <c r="G113" s="253" t="n"/>
      <c r="H113" s="254" t="n"/>
      <c r="I113" s="255" t="n"/>
      <c r="J113" s="256" t="n"/>
      <c r="K113" s="256" t="n"/>
      <c r="L113" s="256" t="n"/>
      <c r="M113" s="256" t="n"/>
      <c r="N113" s="256" t="n"/>
      <c r="O113" s="256" t="n"/>
      <c r="P113" s="256" t="n"/>
      <c r="Q113" s="256" t="n"/>
      <c r="R113" s="256" t="n"/>
      <c r="S113" s="256" t="n"/>
      <c r="T113" s="256" t="n"/>
      <c r="U113" s="256" t="n"/>
      <c r="V113" s="247">
        <f>IF(C113="Gutschrift","",IF(G113="","",IF(Besatzung!$B$11="","",IFERROR(IF(I113="Zeitanteilig",(Besatzung!$G$11*(G113-IFERROR(H113,0))+((Besatzung!$B$11&lt;&gt;"")*IF(B113="",1,(IF(Besatzung!$C$11="",Besatzung!$B$5,Besatzung!$C$11)&lt;=B113)*(IF(Besatzung!$D$11="",Besatzung!$B$6,Besatzung!$D$11)&gt;=B113)))*(Besatzung!$F$11="x")*IFERROR(H113,0)/IFERROR(SUMPRODUCT((Besatzung!$B$11:$B$22&lt;&gt;"")*(Besatzung!$F$11:$F$22="x")*(IF(Besatzung!$C$11:$C$22="",Besatzung!$B$5,Besatzung!$C$11:$C$22)&lt;=B113)*(IF(Besatzung!$D$11:$D$22="",Besatzung!$B$6,Besatzung!$D$11:$D$22)&gt;=B113)),1)),IF(I113="An Bord",(((Besatzung!$B$11&lt;&gt;"")*IF(B113="",1,(IF(Besatzung!$C$11="",Besatzung!$B$5,Besatzung!$C$11)&lt;=B113)*(IF(Besatzung!$D$11="",Besatzung!$B$6,Besatzung!$D$11)&gt;=B113)))*((G113-IFERROR(H113,0))/IFERROR(SUMPRODUCT((Besatzung!$B$11:$B$22&lt;&gt;"")*(IF(Besatzung!$C$11:$C$22="",Besatzung!$B$5,Besatzung!$C$11:$C$22)&lt;=B113)*(IF(Besatzung!$D$11:$D$22="",Besatzung!$B$6,Besatzung!$D$11:$D$22)&gt;=B113)),1)+(Besatzung!$F$11="x")*IFERROR(H113,0)/IFERROR(SUMPRODUCT((Besatzung!$B$11:$B$22&lt;&gt;"")*(Besatzung!$F$11:$F$22="x")*(IF(Besatzung!$C$11:$C$22="",Besatzung!$B$5,Besatzung!$C$11:$C$22)&lt;=B113)*(IF(Besatzung!$D$11:$D$22="",Besatzung!$B$6,Besatzung!$D$11:$D$22)&gt;=B113)),1))),IF(I113="Individuell",((J113="x")*((G113-IFERROR(H113,0))/IFERROR(COUNTIF(J113:U113,"x"),1)+(Besatzung!$F$11="x")*IFERROR(H113,0)/IFERROR(SUMPRODUCT((J113:U113="x")*(Besatzung!$F$11:$F$22="x")),1))),(IF(COUNTIF(J113:U113,"x")=0,IF(Besatzung!$B$11&lt;&gt;"",1,0),(J113="x"))*(G113-IFERROR(H113,0))/IFERROR(IF(COUNTIF(J113:U113,"x")=0,COUNTA(Besatzung!$B$11:$B$22),COUNTIF(J113:U113,"x")),1)+IF(COUNTIF(J113:U113,"x")=0,(Besatzung!$F$11="x"),(J113="x")*(Besatzung!$F$11="x"))*IFERROR(H113,0)/IFERROR(IF(COUNTIF(J113:U113,"x")=0,SUMPRODUCT((Besatzung!$B$11:$B$22&lt;&gt;"")*(Besatzung!$F$11:$F$22="x")),SUMPRODUCT((J113:U113="x")*(Besatzung!$F$11:$F$22="x"))),1))))),0))))</f>
        <v/>
      </c>
      <c r="W113" s="247">
        <f>IF(C113="Gutschrift","",IF(G113="","",IF(Besatzung!$B$12="","",IFERROR(IF(I113="Zeitanteilig",(Besatzung!$G$12*(G113-IFERROR(H113,0))+((Besatzung!$B$12&lt;&gt;"")*IF(B113="",1,(IF(Besatzung!$C$12="",Besatzung!$B$5,Besatzung!$C$12)&lt;=B113)*(IF(Besatzung!$D$12="",Besatzung!$B$6,Besatzung!$D$12)&gt;=B113)))*(Besatzung!$F$12="x")*IFERROR(H113,0)/IFERROR(SUMPRODUCT((Besatzung!$B$11:$B$22&lt;&gt;"")*(Besatzung!$F$11:$F$22="x")*(IF(Besatzung!$C$11:$C$22="",Besatzung!$B$5,Besatzung!$C$11:$C$22)&lt;=B113)*(IF(Besatzung!$D$11:$D$22="",Besatzung!$B$6,Besatzung!$D$11:$D$22)&gt;=B113)),1)),IF(I113="An Bord",(((Besatzung!$B$12&lt;&gt;"")*IF(B113="",1,(IF(Besatzung!$C$12="",Besatzung!$B$5,Besatzung!$C$12)&lt;=B113)*(IF(Besatzung!$D$12="",Besatzung!$B$6,Besatzung!$D$12)&gt;=B113)))*((G113-IFERROR(H113,0))/IFERROR(SUMPRODUCT((Besatzung!$B$11:$B$22&lt;&gt;"")*(IF(Besatzung!$C$11:$C$22="",Besatzung!$B$5,Besatzung!$C$11:$C$22)&lt;=B113)*(IF(Besatzung!$D$11:$D$22="",Besatzung!$B$6,Besatzung!$D$11:$D$22)&gt;=B113)),1)+(Besatzung!$F$12="x")*IFERROR(H113,0)/IFERROR(SUMPRODUCT((Besatzung!$B$11:$B$22&lt;&gt;"")*(Besatzung!$F$11:$F$22="x")*(IF(Besatzung!$C$11:$C$22="",Besatzung!$B$5,Besatzung!$C$11:$C$22)&lt;=B113)*(IF(Besatzung!$D$11:$D$22="",Besatzung!$B$6,Besatzung!$D$11:$D$22)&gt;=B113)),1))),IF(I113="Individuell",((K113="x")*((G113-IFERROR(H113,0))/IFERROR(COUNTIF(J113:U113,"x"),1)+(Besatzung!$F$12="x")*IFERROR(H113,0)/IFERROR(SUMPRODUCT((J113:U113="x")*(Besatzung!$F$11:$F$22="x")),1))),(IF(COUNTIF(J113:U113,"x")=0,IF(Besatzung!$B$12&lt;&gt;"",1,0),(K113="x"))*(G113-IFERROR(H113,0))/IFERROR(IF(COUNTIF(J113:U113,"x")=0,COUNTA(Besatzung!$B$11:$B$22),COUNTIF(J113:U113,"x")),1)+IF(COUNTIF(J113:U113,"x")=0,(Besatzung!$F$12="x"),(K113="x")*(Besatzung!$F$12="x"))*IFERROR(H113,0)/IFERROR(IF(COUNTIF(J113:U113,"x")=0,SUMPRODUCT((Besatzung!$B$11:$B$22&lt;&gt;"")*(Besatzung!$F$11:$F$22="x")),SUMPRODUCT((J113:U113="x")*(Besatzung!$F$11:$F$22="x"))),1))))),0))))</f>
        <v/>
      </c>
      <c r="X113" s="247">
        <f>IF(C113="Gutschrift","",IF(G113="","",IF(Besatzung!$B$13="","",IFERROR(IF(I113="Zeitanteilig",(Besatzung!$G$13*(G113-IFERROR(H113,0))+((Besatzung!$B$13&lt;&gt;"")*IF(B113="",1,(IF(Besatzung!$C$13="",Besatzung!$B$5,Besatzung!$C$13)&lt;=B113)*(IF(Besatzung!$D$13="",Besatzung!$B$6,Besatzung!$D$13)&gt;=B113)))*(Besatzung!$F$13="x")*IFERROR(H113,0)/IFERROR(SUMPRODUCT((Besatzung!$B$11:$B$22&lt;&gt;"")*(Besatzung!$F$11:$F$22="x")*(IF(Besatzung!$C$11:$C$22="",Besatzung!$B$5,Besatzung!$C$11:$C$22)&lt;=B113)*(IF(Besatzung!$D$11:$D$22="",Besatzung!$B$6,Besatzung!$D$11:$D$22)&gt;=B113)),1)),IF(I113="An Bord",(((Besatzung!$B$13&lt;&gt;"")*IF(B113="",1,(IF(Besatzung!$C$13="",Besatzung!$B$5,Besatzung!$C$13)&lt;=B113)*(IF(Besatzung!$D$13="",Besatzung!$B$6,Besatzung!$D$13)&gt;=B113)))*((G113-IFERROR(H113,0))/IFERROR(SUMPRODUCT((Besatzung!$B$11:$B$22&lt;&gt;"")*(IF(Besatzung!$C$11:$C$22="",Besatzung!$B$5,Besatzung!$C$11:$C$22)&lt;=B113)*(IF(Besatzung!$D$11:$D$22="",Besatzung!$B$6,Besatzung!$D$11:$D$22)&gt;=B113)),1)+(Besatzung!$F$13="x")*IFERROR(H113,0)/IFERROR(SUMPRODUCT((Besatzung!$B$11:$B$22&lt;&gt;"")*(Besatzung!$F$11:$F$22="x")*(IF(Besatzung!$C$11:$C$22="",Besatzung!$B$5,Besatzung!$C$11:$C$22)&lt;=B113)*(IF(Besatzung!$D$11:$D$22="",Besatzung!$B$6,Besatzung!$D$11:$D$22)&gt;=B113)),1))),IF(I113="Individuell",((K113="x")*((G113-IFERROR(H113,0))/IFERROR(COUNTIF(J113:U113,"x"),1)+(Besatzung!$F$13="x")*IFERROR(H113,0)/IFERROR(SUMPRODUCT((J113:U113="x")*(Besatzung!$F$11:$F$22="x")),1))),(IF(COUNTIF(J113:U113,"x")=0,IF(Besatzung!$B$13&lt;&gt;"",1,0),(K113="x"))*(G113-IFERROR(H113,0))/IFERROR(IF(COUNTIF(J113:U113,"x")=0,COUNTA(Besatzung!$B$11:$B$22),COUNTIF(J113:U113,"x")),1)+IF(COUNTIF(J113:U113,"x")=0,(Besatzung!$F$13="x"),(K113="x")*(Besatzung!$F$13="x"))*IFERROR(H113,0)/IFERROR(IF(COUNTIF(J113:U113,"x")=0,SUMPRODUCT((Besatzung!$B$11:$B$22&lt;&gt;"")*(Besatzung!$F$11:$F$22="x")),SUMPRODUCT((J113:U113="x")*(Besatzung!$F$11:$F$22="x"))),1))))),0))))</f>
        <v/>
      </c>
      <c r="Y113" s="247">
        <f>IF(C113="Gutschrift","",IF(G113="","",IF(Besatzung!$B$14="","",IFERROR(IF(I113="Zeitanteilig",(Besatzung!$G$14*(G113-IFERROR(H113,0))+((Besatzung!$B$14&lt;&gt;"")*IF(B113="",1,(IF(Besatzung!$C$14="",Besatzung!$B$5,Besatzung!$C$14)&lt;=B113)*(IF(Besatzung!$D$14="",Besatzung!$B$6,Besatzung!$D$14)&gt;=B113)))*(Besatzung!$F$14="x")*IFERROR(H113,0)/IFERROR(SUMPRODUCT((Besatzung!$B$11:$B$22&lt;&gt;"")*(Besatzung!$F$11:$F$22="x")*(IF(Besatzung!$C$11:$C$22="",Besatzung!$B$5,Besatzung!$C$11:$C$22)&lt;=B113)*(IF(Besatzung!$D$11:$D$22="",Besatzung!$B$6,Besatzung!$D$11:$D$22)&gt;=B113)),1)),IF(I113="An Bord",(((Besatzung!$B$14&lt;&gt;"")*IF(B113="",1,(IF(Besatzung!$C$14="",Besatzung!$B$5,Besatzung!$C$14)&lt;=B113)*(IF(Besatzung!$D$14="",Besatzung!$B$6,Besatzung!$D$14)&gt;=B113)))*((G113-IFERROR(H113,0))/IFERROR(SUMPRODUCT((Besatzung!$B$11:$B$22&lt;&gt;"")*(IF(Besatzung!$C$11:$C$22="",Besatzung!$B$5,Besatzung!$C$11:$C$22)&lt;=B113)*(IF(Besatzung!$D$11:$D$22="",Besatzung!$B$6,Besatzung!$D$11:$D$22)&gt;=B113)),1)+(Besatzung!$F$14="x")*IFERROR(H113,0)/IFERROR(SUMPRODUCT((Besatzung!$B$11:$B$22&lt;&gt;"")*(Besatzung!$F$11:$F$22="x")*(IF(Besatzung!$C$11:$C$22="",Besatzung!$B$5,Besatzung!$C$11:$C$22)&lt;=B113)*(IF(Besatzung!$D$11:$D$22="",Besatzung!$B$6,Besatzung!$D$11:$D$22)&gt;=B113)),1))),IF(I113="Individuell",((M113="x")*((G113-IFERROR(H113,0))/IFERROR(COUNTIF(J113:U113,"x"),1)+(Besatzung!$F$14="x")*IFERROR(H113,0)/IFERROR(SUMPRODUCT((J113:U113="x")*(Besatzung!$F$11:$F$22="x")),1))),(IF(COUNTIF(J113:U113,"x")=0,IF(Besatzung!$B$14&lt;&gt;"",1,0),(M113="x"))*(G113-IFERROR(H113,0))/IFERROR(IF(COUNTIF(J113:U113,"x")=0,COUNTA(Besatzung!$B$11:$B$22),COUNTIF(J113:U113,"x")),1)+IF(COUNTIF(J113:U113,"x")=0,(Besatzung!$F$14="x"),(M113="x")*(Besatzung!$F$14="x"))*IFERROR(H113,0)/IFERROR(IF(COUNTIF(J113:U113,"x")=0,SUMPRODUCT((Besatzung!$B$11:$B$22&lt;&gt;"")*(Besatzung!$F$11:$F$22="x")),SUMPRODUCT((J113:U113="x")*(Besatzung!$F$11:$F$22="x"))),1))))),0))))</f>
        <v/>
      </c>
      <c r="Z113" s="247">
        <f>IF(C113="Gutschrift","",IF(G113="","",IF(Besatzung!$B$13="","",IFERROR(IF(I113="Zeitanteilig",(Besatzung!$G$15*(G113-IFERROR(H113,0))+((Besatzung!$B$13&lt;&gt;"")*IF(B113="",1,(IF(Besatzung!$C$15="",Besatzung!$B$5,Besatzung!$C$15)&lt;=B113)*(IF(Besatzung!$D$15="",Besatzung!$B$6,Besatzung!$D$15)&gt;=B113)))*(Besatzung!$F$15="x")*IFERROR(H113,0)/IFERROR(SUMPRODUCT((Besatzung!$B$11:$B$22&lt;&gt;"")*(Besatzung!$F$11:$F$22="x")*(IF(Besatzung!$C$11:$C$22="",Besatzung!$B$5,Besatzung!$C$11:$C$22)&lt;=B113)*(IF(Besatzung!$D$11:$D$22="",Besatzung!$B$6,Besatzung!$D$11:$D$22)&gt;=B113)),1)),IF(I113="An Bord",(((Besatzung!$B$13&lt;&gt;"")*IF(B113="",1,(IF(Besatzung!$C$15="",Besatzung!$B$5,Besatzung!$C$15)&lt;=B113)*(IF(Besatzung!$D$15="",Besatzung!$B$6,Besatzung!$D$15)&gt;=B113)))*((G113-IFERROR(H113,0))/IFERROR(SUMPRODUCT((Besatzung!$B$11:$B$22&lt;&gt;"")*(IF(Besatzung!$C$11:$C$22="",Besatzung!$B$5,Besatzung!$C$11:$C$22)&lt;=B113)*(IF(Besatzung!$D$11:$D$22="",Besatzung!$B$6,Besatzung!$D$11:$D$22)&gt;=B113)),1)+(Besatzung!$F$15="x")*IFERROR(H113,0)/IFERROR(SUMPRODUCT((Besatzung!$B$11:$B$22&lt;&gt;"")*(Besatzung!$F$11:$F$22="x")*(IF(Besatzung!$C$11:$C$22="",Besatzung!$B$5,Besatzung!$C$11:$C$22)&lt;=B113)*(IF(Besatzung!$D$11:$D$22="",Besatzung!$B$6,Besatzung!$D$11:$D$22)&gt;=B113)),1))),IF(I113="Individuell",((N113="x")*((G113-IFERROR(H113,0))/IFERROR(COUNTIF(J113:U113,"x"),1)+(Besatzung!$F$15="x")*IFERROR(H113,0)/IFERROR(SUMPRODUCT((J113:U113="x")*(Besatzung!$F$11:$F$22="x")),1))),(IF(COUNTIF(J113:U113,"x")=0,IF(Besatzung!$B$13&lt;&gt;"",1,0),(N113="x"))*(G113-IFERROR(H113,0))/IFERROR(IF(COUNTIF(J113:U113,"x")=0,COUNTA(Besatzung!$B$11:$B$22),COUNTIF(J113:U113,"x")),1)+IF(COUNTIF(J113:U113,"x")=0,(Besatzung!$F$15="x"),(N113="x")*(Besatzung!$F$15="x"))*IFERROR(H113,0)/IFERROR(IF(COUNTIF(J113:U113,"x")=0,SUMPRODUCT((Besatzung!$B$11:$B$22&lt;&gt;"")*(Besatzung!$F$11:$F$22="x")),SUMPRODUCT((J113:U113="x")*(Besatzung!$F$11:$F$22="x"))),1))))),0))))</f>
        <v/>
      </c>
      <c r="AA113" s="247">
        <f>IF(C113="Gutschrift","",IF(G113="","",IF(Besatzung!$B$15="","",IFERROR(IF(I113="Zeitanteilig",(Besatzung!$G$16*(G113-IFERROR(H113,0))+((Besatzung!$B$15&lt;&gt;"")*IF(B113="",1,(IF(Besatzung!$C$16="",Besatzung!$B$5,Besatzung!$C$16)&lt;=B113)*(IF(Besatzung!$D$16="",Besatzung!$B$6,Besatzung!$D$16)&gt;=B113)))*(Besatzung!$F$16="x")*IFERROR(H113,0)/IFERROR(SUMPRODUCT((Besatzung!$B$11:$B$22&lt;&gt;"")*(Besatzung!$F$11:$F$22="x")*(IF(Besatzung!$C$11:$C$22="",Besatzung!$B$5,Besatzung!$C$11:$C$22)&lt;=B113)*(IF(Besatzung!$D$11:$D$22="",Besatzung!$B$6,Besatzung!$D$11:$D$22)&gt;=B113)),1)),IF(I113="An Bord",(((Besatzung!$B$15&lt;&gt;"")*IF(B113="",1,(IF(Besatzung!$C$16="",Besatzung!$B$5,Besatzung!$C$16)&lt;=B113)*(IF(Besatzung!$D$16="",Besatzung!$B$6,Besatzung!$D$16)&gt;=B113)))*((G113-IFERROR(H113,0))/IFERROR(SUMPRODUCT((Besatzung!$B$11:$B$22&lt;&gt;"")*(IF(Besatzung!$C$11:$C$22="",Besatzung!$B$5,Besatzung!$C$11:$C$22)&lt;=B113)*(IF(Besatzung!$D$11:$D$22="",Besatzung!$B$6,Besatzung!$D$11:$D$22)&gt;=B113)),1)+(Besatzung!$F$16="x")*IFERROR(H113,0)/IFERROR(SUMPRODUCT((Besatzung!$B$11:$B$22&lt;&gt;"")*(Besatzung!$F$11:$F$22="x")*(IF(Besatzung!$C$11:$C$22="",Besatzung!$B$5,Besatzung!$C$11:$C$22)&lt;=B113)*(IF(Besatzung!$D$11:$D$22="",Besatzung!$B$6,Besatzung!$D$11:$D$22)&gt;=B113)),1))),IF(I113="Individuell",((O113="x")*((G113-IFERROR(H113,0))/IFERROR(COUNTIF(J113:U113,"x"),1)+(Besatzung!$F$16="x")*IFERROR(H113,0)/IFERROR(SUMPRODUCT((J113:U113="x")*(Besatzung!$F$11:$F$22="x")),1))),(IF(COUNTIF(J113:U113,"x")=0,IF(Besatzung!$B$15&lt;&gt;"",1,0),(O113="x"))*(G113-IFERROR(H113,0))/IFERROR(IF(COUNTIF(J113:U113,"x")=0,COUNTA(Besatzung!$B$11:$B$22),COUNTIF(J113:U113,"x")),1)+IF(COUNTIF(J113:U113,"x")=0,(Besatzung!$F$16="x"),(O113="x")*(Besatzung!$F$16="x"))*IFERROR(H113,0)/IFERROR(IF(COUNTIF(J113:U113,"x")=0,SUMPRODUCT((Besatzung!$B$11:$B$22&lt;&gt;"")*(Besatzung!$F$11:$F$22="x")),SUMPRODUCT((J113:U113="x")*(Besatzung!$F$11:$F$22="x"))),1))))),0))))</f>
        <v/>
      </c>
      <c r="AB113" s="247">
        <f>IF(C113="Gutschrift","",IF(G113="","",IF(Besatzung!$B$17="","",IFERROR(IF(I113="Zeitanteilig",(Besatzung!$G$17*(G113-IFERROR(H113,0))+((Besatzung!$B$17&lt;&gt;"")*IF(B113="",1,(IF(Besatzung!$C$17="",Besatzung!$B$5,Besatzung!$C$17)&lt;=B113)*(IF(Besatzung!$D$17="",Besatzung!$B$6,Besatzung!$D$17)&gt;=B113)))*(Besatzung!$F$17="x")*IFERROR(H113,0)/IFERROR(SUMPRODUCT((Besatzung!$B$11:$B$22&lt;&gt;"")*(Besatzung!$F$11:$F$22="x")*(IF(Besatzung!$C$11:$C$22="",Besatzung!$B$5,Besatzung!$C$11:$C$22)&lt;=B113)*(IF(Besatzung!$D$11:$D$22="",Besatzung!$B$6,Besatzung!$D$11:$D$22)&gt;=B113)),1)),IF(I113="An Bord",(((Besatzung!$B$17&lt;&gt;"")*IF(B113="",1,(IF(Besatzung!$C$17="",Besatzung!$B$5,Besatzung!$C$17)&lt;=B113)*(IF(Besatzung!$D$17="",Besatzung!$B$6,Besatzung!$D$17)&gt;=B113)))*((G113-IFERROR(H113,0))/IFERROR(SUMPRODUCT((Besatzung!$B$11:$B$22&lt;&gt;"")*(IF(Besatzung!$C$11:$C$22="",Besatzung!$B$5,Besatzung!$C$11:$C$22)&lt;=B113)*(IF(Besatzung!$D$11:$D$22="",Besatzung!$B$6,Besatzung!$D$11:$D$22)&gt;=B113)),1)+(Besatzung!$F$17="x")*IFERROR(H113,0)/IFERROR(SUMPRODUCT((Besatzung!$B$11:$B$22&lt;&gt;"")*(Besatzung!$F$11:$F$22="x")*(IF(Besatzung!$C$11:$C$22="",Besatzung!$B$5,Besatzung!$C$11:$C$22)&lt;=B113)*(IF(Besatzung!$D$11:$D$22="",Besatzung!$B$6,Besatzung!$D$11:$D$22)&gt;=B113)),1))),IF(I113="Individuell",((P113="x")*((G113-IFERROR(H113,0))/IFERROR(COUNTIF(J113:U113,"x"),1)+(Besatzung!$F$17="x")*IFERROR(H113,0)/IFERROR(SUMPRODUCT((J113:U113="x")*(Besatzung!$F$11:$F$22="x")),1))),(IF(COUNTIF(J113:U113,"x")=0,IF(Besatzung!$B$17&lt;&gt;"",1,0),(P113="x"))*(G113-IFERROR(H113,0))/IFERROR(IF(COUNTIF(J113:U113,"x")=0,COUNTA(Besatzung!$B$11:$B$22),COUNTIF(J113:U113,"x")),1)+IF(COUNTIF(J113:U113,"x")=0,(Besatzung!$F$17="x"),(P113="x")*(Besatzung!$F$17="x"))*IFERROR(H113,0)/IFERROR(IF(COUNTIF(J113:U113,"x")=0,SUMPRODUCT((Besatzung!$B$11:$B$22&lt;&gt;"")*(Besatzung!$F$11:$F$22="x")),SUMPRODUCT((J113:U113="x")*(Besatzung!$F$11:$F$22="x"))),1))))),0))))</f>
        <v/>
      </c>
      <c r="AC113" s="247">
        <f>IF(C113="Gutschrift","",IF(G113="","",IF(Besatzung!$B$18="","",IFERROR(IF(I113="Zeitanteilig",(Besatzung!$G$18*(G113-IFERROR(H113,0))+((Besatzung!$B$18&lt;&gt;"")*IF(B113="",1,(IF(Besatzung!$C$18="",Besatzung!$B$5,Besatzung!$C$18)&lt;=B113)*(IF(Besatzung!$D$18="",Besatzung!$B$6,Besatzung!$D$18)&gt;=B113)))*(Besatzung!$F$18="x")*IFERROR(H113,0)/IFERROR(SUMPRODUCT((Besatzung!$B$11:$B$22&lt;&gt;"")*(Besatzung!$F$11:$F$22="x")*(IF(Besatzung!$C$11:$C$22="",Besatzung!$B$5,Besatzung!$C$11:$C$22)&lt;=B113)*(IF(Besatzung!$D$11:$D$22="",Besatzung!$B$6,Besatzung!$D$11:$D$22)&gt;=B113)),1)),IF(I113="An Bord",(((Besatzung!$B$18&lt;&gt;"")*IF(B113="",1,(IF(Besatzung!$C$18="",Besatzung!$B$5,Besatzung!$C$18)&lt;=B113)*(IF(Besatzung!$D$18="",Besatzung!$B$6,Besatzung!$D$18)&gt;=B113)))*((G113-IFERROR(H113,0))/IFERROR(SUMPRODUCT((Besatzung!$B$11:$B$22&lt;&gt;"")*(IF(Besatzung!$C$11:$C$22="",Besatzung!$B$5,Besatzung!$C$11:$C$22)&lt;=B113)*(IF(Besatzung!$D$11:$D$22="",Besatzung!$B$6,Besatzung!$D$11:$D$22)&gt;=B113)),1)+(Besatzung!$F$18="x")*IFERROR(H113,0)/IFERROR(SUMPRODUCT((Besatzung!$B$11:$B$22&lt;&gt;"")*(Besatzung!$F$11:$F$22="x")*(IF(Besatzung!$C$11:$C$22="",Besatzung!$B$5,Besatzung!$C$11:$C$22)&lt;=B113)*(IF(Besatzung!$D$11:$D$22="",Besatzung!$B$6,Besatzung!$D$11:$D$22)&gt;=B113)),1))),IF(I113="Individuell",((Q113="x")*((G113-IFERROR(H113,0))/IFERROR(COUNTIF(J113:U113,"x"),1)+(Besatzung!$F$18="x")*IFERROR(H113,0)/IFERROR(SUMPRODUCT((J113:U113="x")*(Besatzung!$F$11:$F$22="x")),1))),(IF(COUNTIF(J113:U113,"x")=0,IF(Besatzung!$B$18&lt;&gt;"",1,0),(Q113="x"))*(G113-IFERROR(H113,0))/IFERROR(IF(COUNTIF(J113:U113,"x")=0,COUNTA(Besatzung!$B$11:$B$22),COUNTIF(J113:U113,"x")),1)+IF(COUNTIF(J113:U113,"x")=0,(Besatzung!$F$18="x"),(Q113="x")*(Besatzung!$F$18="x"))*IFERROR(H113,0)/IFERROR(IF(COUNTIF(J113:U113,"x")=0,SUMPRODUCT((Besatzung!$B$11:$B$22&lt;&gt;"")*(Besatzung!$F$11:$F$22="x")),SUMPRODUCT((J113:U113="x")*(Besatzung!$F$11:$F$22="x"))),1))))),0))))</f>
        <v/>
      </c>
      <c r="AD113" s="247">
        <f>IF(C113="Gutschrift","",IF(G113="","",IF(Besatzung!$B$19="","",IFERROR(IF(I113="Zeitanteilig",(Besatzung!$G$19*(G113-IFERROR(H113,0))+((Besatzung!$B$19&lt;&gt;"")*IF(B113="",1,(IF(Besatzung!$C$19="",Besatzung!$B$5,Besatzung!$C$19)&lt;=B113)*(IF(Besatzung!$D$19="",Besatzung!$B$6,Besatzung!$D$19)&gt;=B113)))*(Besatzung!$F$19="x")*IFERROR(H113,0)/IFERROR(SUMPRODUCT((Besatzung!$B$11:$B$22&lt;&gt;"")*(Besatzung!$F$11:$F$22="x")*(IF(Besatzung!$C$11:$C$22="",Besatzung!$B$5,Besatzung!$C$11:$C$22)&lt;=B113)*(IF(Besatzung!$D$11:$D$22="",Besatzung!$B$6,Besatzung!$D$11:$D$22)&gt;=B113)),1)),IF(I113="An Bord",(((Besatzung!$B$19&lt;&gt;"")*IF(B113="",1,(IF(Besatzung!$C$19="",Besatzung!$B$5,Besatzung!$C$19)&lt;=B113)*(IF(Besatzung!$D$19="",Besatzung!$B$6,Besatzung!$D$19)&gt;=B113)))*((G113-IFERROR(H113,0))/IFERROR(SUMPRODUCT((Besatzung!$B$11:$B$22&lt;&gt;"")*(IF(Besatzung!$C$11:$C$22="",Besatzung!$B$5,Besatzung!$C$11:$C$22)&lt;=B113)*(IF(Besatzung!$D$11:$D$22="",Besatzung!$B$6,Besatzung!$D$11:$D$22)&gt;=B113)),1)+(Besatzung!$F$19="x")*IFERROR(H113,0)/IFERROR(SUMPRODUCT((Besatzung!$B$11:$B$22&lt;&gt;"")*(Besatzung!$F$11:$F$22="x")*(IF(Besatzung!$C$11:$C$22="",Besatzung!$B$5,Besatzung!$C$11:$C$22)&lt;=B113)*(IF(Besatzung!$D$11:$D$22="",Besatzung!$B$6,Besatzung!$D$11:$D$22)&gt;=B113)),1))),IF(I113="Individuell",((R113="x")*((G113-IFERROR(H113,0))/IFERROR(COUNTIF(J113:U113,"x"),1)+(Besatzung!$F$19="x")*IFERROR(H113,0)/IFERROR(SUMPRODUCT((J113:U113="x")*(Besatzung!$F$11:$F$22="x")),1))),(IF(COUNTIF(J113:U113,"x")=0,IF(Besatzung!$B$19&lt;&gt;"",1,0),(R113="x"))*(G113-IFERROR(H113,0))/IFERROR(IF(COUNTIF(J113:U113,"x")=0,COUNTA(Besatzung!$B$11:$B$22),COUNTIF(J113:U113,"x")),1)+IF(COUNTIF(J113:U113,"x")=0,(Besatzung!$F$19="x"),(R113="x")*(Besatzung!$F$19="x"))*IFERROR(H113,0)/IFERROR(IF(COUNTIF(J113:U113,"x")=0,SUMPRODUCT((Besatzung!$B$11:$B$22&lt;&gt;"")*(Besatzung!$F$11:$F$22="x")),SUMPRODUCT((J113:U113="x")*(Besatzung!$F$11:$F$22="x"))),1))))),0))))</f>
        <v/>
      </c>
      <c r="AE113" s="247">
        <f>IF(C113="Gutschrift","",IF(G113="","",IF(Besatzung!$B$20="","",IFERROR(IF(I113="Zeitanteilig",(Besatzung!$G$20*(G113-IFERROR(H113,0))+((Besatzung!$B$20&lt;&gt;"")*IF(B113="",1,(IF(Besatzung!$C$20="",Besatzung!$B$5,Besatzung!$C$20)&lt;=B113)*(IF(Besatzung!$D$20="",Besatzung!$B$6,Besatzung!$D$20)&gt;=B113)))*(Besatzung!$F$20="x")*IFERROR(H113,0)/IFERROR(SUMPRODUCT((Besatzung!$B$11:$B$22&lt;&gt;"")*(Besatzung!$F$11:$F$22="x")*(IF(Besatzung!$C$11:$C$22="",Besatzung!$B$5,Besatzung!$C$11:$C$22)&lt;=B113)*(IF(Besatzung!$D$11:$D$22="",Besatzung!$B$6,Besatzung!$D$11:$D$22)&gt;=B113)),1)),IF(I113="An Bord",(((Besatzung!$B$20&lt;&gt;"")*IF(B113="",1,(IF(Besatzung!$C$20="",Besatzung!$B$5,Besatzung!$C$20)&lt;=B113)*(IF(Besatzung!$D$20="",Besatzung!$B$6,Besatzung!$D$20)&gt;=B113)))*((G113-IFERROR(H113,0))/IFERROR(SUMPRODUCT((Besatzung!$B$11:$B$22&lt;&gt;"")*(IF(Besatzung!$C$11:$C$22="",Besatzung!$B$5,Besatzung!$C$11:$C$22)&lt;=B113)*(IF(Besatzung!$D$11:$D$22="",Besatzung!$B$6,Besatzung!$D$11:$D$22)&gt;=B113)),1)+(Besatzung!$F$20="x")*IFERROR(H113,0)/IFERROR(SUMPRODUCT((Besatzung!$B$11:$B$22&lt;&gt;"")*(Besatzung!$F$11:$F$22="x")*(IF(Besatzung!$C$11:$C$22="",Besatzung!$B$5,Besatzung!$C$11:$C$22)&lt;=B113)*(IF(Besatzung!$D$11:$D$22="",Besatzung!$B$6,Besatzung!$D$11:$D$22)&gt;=B113)),1))),IF(I113="Individuell",((S113="x")*((G113-IFERROR(H113,0))/IFERROR(COUNTIF(J113:U113,"x"),1)+(Besatzung!$F$20="x")*IFERROR(H113,0)/IFERROR(SUMPRODUCT((J113:U113="x")*(Besatzung!$F$11:$F$22="x")),1))),(IF(COUNTIF(J113:U113,"x")=0,IF(Besatzung!$B$20&lt;&gt;"",1,0),(S113="x"))*(G113-IFERROR(H113,0))/IFERROR(IF(COUNTIF(J113:U113,"x")=0,COUNTA(Besatzung!$B$11:$B$22),COUNTIF(J113:U113,"x")),1)+IF(COUNTIF(J113:U113,"x")=0,(Besatzung!$F$20="x"),(S113="x")*(Besatzung!$F$20="x"))*IFERROR(H113,0)/IFERROR(IF(COUNTIF(J113:U113,"x")=0,SUMPRODUCT((Besatzung!$B$11:$B$22&lt;&gt;"")*(Besatzung!$F$11:$F$22="x")),SUMPRODUCT((J113:U113="x")*(Besatzung!$F$11:$F$22="x"))),1))))),0))))</f>
        <v/>
      </c>
      <c r="AF113" s="247">
        <f>IF(C113="Gutschrift","",IF(G113="","",IF(Besatzung!$B$21="","",IFERROR(IF(I113="Zeitanteilig",(Besatzung!$G$21*(G113-IFERROR(H113,0))+((Besatzung!$B$21&lt;&gt;"")*IF(B113="",1,(IF(Besatzung!$C$21="",Besatzung!$B$5,Besatzung!$C$21)&lt;=B113)*(IF(Besatzung!$D$21="",Besatzung!$B$6,Besatzung!$D$21)&gt;=B113)))*(Besatzung!$F$21="x")*IFERROR(H113,0)/IFERROR(SUMPRODUCT((Besatzung!$B$11:$B$22&lt;&gt;"")*(Besatzung!$F$11:$F$22="x")*(IF(Besatzung!$C$11:$C$22="",Besatzung!$B$5,Besatzung!$C$11:$C$22)&lt;=B113)*(IF(Besatzung!$D$11:$D$22="",Besatzung!$B$6,Besatzung!$D$11:$D$22)&gt;=B113)),1)),IF(I113="An Bord",(((Besatzung!$B$21&lt;&gt;"")*IF(B113="",1,(IF(Besatzung!$C$21="",Besatzung!$B$5,Besatzung!$C$21)&lt;=B113)*(IF(Besatzung!$D$21="",Besatzung!$B$6,Besatzung!$D$21)&gt;=B113)))*((G113-IFERROR(H113,0))/IFERROR(SUMPRODUCT((Besatzung!$B$11:$B$22&lt;&gt;"")*(IF(Besatzung!$C$11:$C$22="",Besatzung!$B$5,Besatzung!$C$11:$C$22)&lt;=B113)*(IF(Besatzung!$D$11:$D$22="",Besatzung!$B$6,Besatzung!$D$11:$D$22)&gt;=B113)),1)+(Besatzung!$F$21="x")*IFERROR(H113,0)/IFERROR(SUMPRODUCT((Besatzung!$B$11:$B$22&lt;&gt;"")*(Besatzung!$F$11:$F$22="x")*(IF(Besatzung!$C$11:$C$22="",Besatzung!$B$5,Besatzung!$C$11:$C$22)&lt;=B113)*(IF(Besatzung!$D$11:$D$22="",Besatzung!$B$6,Besatzung!$D$11:$D$22)&gt;=B113)),1))),IF(I113="Individuell",((T113="x")*((G113-IFERROR(H113,0))/IFERROR(COUNTIF(J113:U113,"x"),1)+(Besatzung!$F$21="x")*IFERROR(H113,0)/IFERROR(SUMPRODUCT((J113:U113="x")*(Besatzung!$F$11:$F$22="x")),1))),(IF(COUNTIF(J113:U113,"x")=0,IF(Besatzung!$B$21&lt;&gt;"",1,0),(T113="x"))*(G113-IFERROR(H113,0))/IFERROR(IF(COUNTIF(J113:U113,"x")=0,COUNTA(Besatzung!$B$11:$B$22),COUNTIF(J113:U113,"x")),1)+IF(COUNTIF(J113:U113,"x")=0,(Besatzung!$F$21="x"),(T113="x")*(Besatzung!$F$21="x"))*IFERROR(H113,0)/IFERROR(IF(COUNTIF(J113:U113,"x")=0,SUMPRODUCT((Besatzung!$B$11:$B$22&lt;&gt;"")*(Besatzung!$F$11:$F$22="x")),SUMPRODUCT((J113:U113="x")*(Besatzung!$F$11:$F$22="x"))),1))))),0))))</f>
        <v/>
      </c>
      <c r="AG113" s="247">
        <f>IF(C113="Gutschrift","",IF(G113="","",IF(Besatzung!$B$22="","",IFERROR(IF(I113="Zeitanteilig",(Besatzung!$G$22*(G113-IFERROR(H113,0))+((Besatzung!$B$22&lt;&gt;"")*IF(B113="",1,(IF(Besatzung!$C$22="",Besatzung!$B$5,Besatzung!$C$22)&lt;=B113)*(IF(Besatzung!$D$22="",Besatzung!$B$6,Besatzung!$D$22)&gt;=B113)))*(Besatzung!$F$22="x")*IFERROR(H113,0)/IFERROR(SUMPRODUCT((Besatzung!$B$11:$B$22&lt;&gt;"")*(Besatzung!$F$11:$F$22="x")*(IF(Besatzung!$C$11:$C$22="",Besatzung!$B$5,Besatzung!$C$11:$C$22)&lt;=B113)*(IF(Besatzung!$D$11:$D$22="",Besatzung!$B$6,Besatzung!$D$11:$D$22)&gt;=B113)),1)),IF(I113="An Bord",(((Besatzung!$B$22&lt;&gt;"")*IF(B113="",1,(IF(Besatzung!$C$22="",Besatzung!$B$5,Besatzung!$C$22)&lt;=B113)*(IF(Besatzung!$D$22="",Besatzung!$B$6,Besatzung!$D$22)&gt;=B113)))*((G113-IFERROR(H113,0))/IFERROR(SUMPRODUCT((Besatzung!$B$11:$B$22&lt;&gt;"")*(IF(Besatzung!$C$11:$C$22="",Besatzung!$B$5,Besatzung!$C$11:$C$22)&lt;=B113)*(IF(Besatzung!$D$11:$D$22="",Besatzung!$B$6,Besatzung!$D$11:$D$22)&gt;=B113)),1)+(Besatzung!$F$22="x")*IFERROR(H113,0)/IFERROR(SUMPRODUCT((Besatzung!$B$11:$B$22&lt;&gt;"")*(Besatzung!$F$11:$F$22="x")*(IF(Besatzung!$C$11:$C$22="",Besatzung!$B$5,Besatzung!$C$11:$C$22)&lt;=B113)*(IF(Besatzung!$D$11:$D$22="",Besatzung!$B$6,Besatzung!$D$11:$D$22)&gt;=B113)),1))),IF(I113="Individuell",((U113="x")*((G113-IFERROR(H113,0))/IFERROR(COUNTIF(J113:U113,"x"),1)+(Besatzung!$F$22="x")*IFERROR(H113,0)/IFERROR(SUMPRODUCT((J113:U113="x")*(Besatzung!$F$11:$F$22="x")),1))),(IF(COUNTIF(J113:U113,"x")=0,IF(Besatzung!$B$22&lt;&gt;"",1,0),(U113="x"))*(G113-IFERROR(H113,0))/IFERROR(IF(COUNTIF(J113:U113,"x")=0,COUNTA(Besatzung!$B$11:$B$22),COUNTIF(J113:U113,"x")),1)+IF(COUNTIF(J113:U113,"x")=0,(Besatzung!$F$22="x"),(U113="x")*(Besatzung!$F$22="x"))*IFERROR(H113,0)/IFERROR(IF(COUNTIF(J113:U113,"x")=0,SUMPRODUCT((Besatzung!$B$11:$B$22&lt;&gt;"")*(Besatzung!$F$11:$F$22="x")),SUMPRODUCT((J113:U113="x")*(Besatzung!$F$11:$F$22="x"))),1))))),0))))</f>
        <v/>
      </c>
      <c r="AH113" s="248" t="n"/>
      <c r="AI113" s="248" t="n"/>
    </row>
    <row r="114" ht="21.75" customHeight="1" s="154">
      <c r="A114" s="238">
        <f>IF(AND(D114="",C114=""),"",111)</f>
        <v/>
      </c>
      <c r="B114" s="199" t="n"/>
      <c r="C114" s="239" t="n"/>
      <c r="D114" s="240" t="n"/>
      <c r="E114" s="241" t="n"/>
      <c r="F114" s="242" t="n"/>
      <c r="G114" s="243" t="n"/>
      <c r="H114" s="244" t="n"/>
      <c r="I114" s="245" t="n"/>
      <c r="J114" s="246" t="n"/>
      <c r="K114" s="246" t="n"/>
      <c r="L114" s="246" t="n"/>
      <c r="M114" s="246" t="n"/>
      <c r="N114" s="246" t="n"/>
      <c r="O114" s="246" t="n"/>
      <c r="P114" s="246" t="n"/>
      <c r="Q114" s="246" t="n"/>
      <c r="R114" s="246" t="n"/>
      <c r="S114" s="246" t="n"/>
      <c r="T114" s="246" t="n"/>
      <c r="U114" s="246" t="n"/>
      <c r="V114" s="247">
        <f>IF(C114="Gutschrift","",IF(G114="","",IF(Besatzung!$B$11="","",IFERROR(IF(I114="Zeitanteilig",(Besatzung!$G$11*(G114-IFERROR(H114,0))+((Besatzung!$B$11&lt;&gt;"")*IF(B114="",1,(IF(Besatzung!$C$11="",Besatzung!$B$5,Besatzung!$C$11)&lt;=B114)*(IF(Besatzung!$D$11="",Besatzung!$B$6,Besatzung!$D$11)&gt;=B114)))*(Besatzung!$F$11="x")*IFERROR(H114,0)/IFERROR(SUMPRODUCT((Besatzung!$B$11:$B$22&lt;&gt;"")*(Besatzung!$F$11:$F$22="x")*(IF(Besatzung!$C$11:$C$22="",Besatzung!$B$5,Besatzung!$C$11:$C$22)&lt;=B114)*(IF(Besatzung!$D$11:$D$22="",Besatzung!$B$6,Besatzung!$D$11:$D$22)&gt;=B114)),1)),IF(I114="An Bord",(((Besatzung!$B$11&lt;&gt;"")*IF(B114="",1,(IF(Besatzung!$C$11="",Besatzung!$B$5,Besatzung!$C$11)&lt;=B114)*(IF(Besatzung!$D$11="",Besatzung!$B$6,Besatzung!$D$11)&gt;=B114)))*((G114-IFERROR(H114,0))/IFERROR(SUMPRODUCT((Besatzung!$B$11:$B$22&lt;&gt;"")*(IF(Besatzung!$C$11:$C$22="",Besatzung!$B$5,Besatzung!$C$11:$C$22)&lt;=B114)*(IF(Besatzung!$D$11:$D$22="",Besatzung!$B$6,Besatzung!$D$11:$D$22)&gt;=B114)),1)+(Besatzung!$F$11="x")*IFERROR(H114,0)/IFERROR(SUMPRODUCT((Besatzung!$B$11:$B$22&lt;&gt;"")*(Besatzung!$F$11:$F$22="x")*(IF(Besatzung!$C$11:$C$22="",Besatzung!$B$5,Besatzung!$C$11:$C$22)&lt;=B114)*(IF(Besatzung!$D$11:$D$22="",Besatzung!$B$6,Besatzung!$D$11:$D$22)&gt;=B114)),1))),IF(I114="Individuell",((J114="x")*((G114-IFERROR(H114,0))/IFERROR(COUNTIF(J114:U114,"x"),1)+(Besatzung!$F$11="x")*IFERROR(H114,0)/IFERROR(SUMPRODUCT((J114:U114="x")*(Besatzung!$F$11:$F$22="x")),1))),(IF(COUNTIF(J114:U114,"x")=0,IF(Besatzung!$B$11&lt;&gt;"",1,0),(J114="x"))*(G114-IFERROR(H114,0))/IFERROR(IF(COUNTIF(J114:U114,"x")=0,COUNTA(Besatzung!$B$11:$B$22),COUNTIF(J114:U114,"x")),1)+IF(COUNTIF(J114:U114,"x")=0,(Besatzung!$F$11="x"),(J114="x")*(Besatzung!$F$11="x"))*IFERROR(H114,0)/IFERROR(IF(COUNTIF(J114:U114,"x")=0,SUMPRODUCT((Besatzung!$B$11:$B$22&lt;&gt;"")*(Besatzung!$F$11:$F$22="x")),SUMPRODUCT((J114:U114="x")*(Besatzung!$F$11:$F$22="x"))),1))))),0))))</f>
        <v/>
      </c>
      <c r="W114" s="247">
        <f>IF(C114="Gutschrift","",IF(G114="","",IF(Besatzung!$B$12="","",IFERROR(IF(I114="Zeitanteilig",(Besatzung!$G$12*(G114-IFERROR(H114,0))+((Besatzung!$B$12&lt;&gt;"")*IF(B114="",1,(IF(Besatzung!$C$12="",Besatzung!$B$5,Besatzung!$C$12)&lt;=B114)*(IF(Besatzung!$D$12="",Besatzung!$B$6,Besatzung!$D$12)&gt;=B114)))*(Besatzung!$F$12="x")*IFERROR(H114,0)/IFERROR(SUMPRODUCT((Besatzung!$B$11:$B$22&lt;&gt;"")*(Besatzung!$F$11:$F$22="x")*(IF(Besatzung!$C$11:$C$22="",Besatzung!$B$5,Besatzung!$C$11:$C$22)&lt;=B114)*(IF(Besatzung!$D$11:$D$22="",Besatzung!$B$6,Besatzung!$D$11:$D$22)&gt;=B114)),1)),IF(I114="An Bord",(((Besatzung!$B$12&lt;&gt;"")*IF(B114="",1,(IF(Besatzung!$C$12="",Besatzung!$B$5,Besatzung!$C$12)&lt;=B114)*(IF(Besatzung!$D$12="",Besatzung!$B$6,Besatzung!$D$12)&gt;=B114)))*((G114-IFERROR(H114,0))/IFERROR(SUMPRODUCT((Besatzung!$B$11:$B$22&lt;&gt;"")*(IF(Besatzung!$C$11:$C$22="",Besatzung!$B$5,Besatzung!$C$11:$C$22)&lt;=B114)*(IF(Besatzung!$D$11:$D$22="",Besatzung!$B$6,Besatzung!$D$11:$D$22)&gt;=B114)),1)+(Besatzung!$F$12="x")*IFERROR(H114,0)/IFERROR(SUMPRODUCT((Besatzung!$B$11:$B$22&lt;&gt;"")*(Besatzung!$F$11:$F$22="x")*(IF(Besatzung!$C$11:$C$22="",Besatzung!$B$5,Besatzung!$C$11:$C$22)&lt;=B114)*(IF(Besatzung!$D$11:$D$22="",Besatzung!$B$6,Besatzung!$D$11:$D$22)&gt;=B114)),1))),IF(I114="Individuell",((K114="x")*((G114-IFERROR(H114,0))/IFERROR(COUNTIF(J114:U114,"x"),1)+(Besatzung!$F$12="x")*IFERROR(H114,0)/IFERROR(SUMPRODUCT((J114:U114="x")*(Besatzung!$F$11:$F$22="x")),1))),(IF(COUNTIF(J114:U114,"x")=0,IF(Besatzung!$B$12&lt;&gt;"",1,0),(K114="x"))*(G114-IFERROR(H114,0))/IFERROR(IF(COUNTIF(J114:U114,"x")=0,COUNTA(Besatzung!$B$11:$B$22),COUNTIF(J114:U114,"x")),1)+IF(COUNTIF(J114:U114,"x")=0,(Besatzung!$F$12="x"),(K114="x")*(Besatzung!$F$12="x"))*IFERROR(H114,0)/IFERROR(IF(COUNTIF(J114:U114,"x")=0,SUMPRODUCT((Besatzung!$B$11:$B$22&lt;&gt;"")*(Besatzung!$F$11:$F$22="x")),SUMPRODUCT((J114:U114="x")*(Besatzung!$F$11:$F$22="x"))),1))))),0))))</f>
        <v/>
      </c>
      <c r="X114" s="247">
        <f>IF(C114="Gutschrift","",IF(G114="","",IF(Besatzung!$B$13="","",IFERROR(IF(I114="Zeitanteilig",(Besatzung!$G$13*(G114-IFERROR(H114,0))+((Besatzung!$B$13&lt;&gt;"")*IF(B114="",1,(IF(Besatzung!$C$13="",Besatzung!$B$5,Besatzung!$C$13)&lt;=B114)*(IF(Besatzung!$D$13="",Besatzung!$B$6,Besatzung!$D$13)&gt;=B114)))*(Besatzung!$F$13="x")*IFERROR(H114,0)/IFERROR(SUMPRODUCT((Besatzung!$B$11:$B$22&lt;&gt;"")*(Besatzung!$F$11:$F$22="x")*(IF(Besatzung!$C$11:$C$22="",Besatzung!$B$5,Besatzung!$C$11:$C$22)&lt;=B114)*(IF(Besatzung!$D$11:$D$22="",Besatzung!$B$6,Besatzung!$D$11:$D$22)&gt;=B114)),1)),IF(I114="An Bord",(((Besatzung!$B$13&lt;&gt;"")*IF(B114="",1,(IF(Besatzung!$C$13="",Besatzung!$B$5,Besatzung!$C$13)&lt;=B114)*(IF(Besatzung!$D$13="",Besatzung!$B$6,Besatzung!$D$13)&gt;=B114)))*((G114-IFERROR(H114,0))/IFERROR(SUMPRODUCT((Besatzung!$B$11:$B$22&lt;&gt;"")*(IF(Besatzung!$C$11:$C$22="",Besatzung!$B$5,Besatzung!$C$11:$C$22)&lt;=B114)*(IF(Besatzung!$D$11:$D$22="",Besatzung!$B$6,Besatzung!$D$11:$D$22)&gt;=B114)),1)+(Besatzung!$F$13="x")*IFERROR(H114,0)/IFERROR(SUMPRODUCT((Besatzung!$B$11:$B$22&lt;&gt;"")*(Besatzung!$F$11:$F$22="x")*(IF(Besatzung!$C$11:$C$22="",Besatzung!$B$5,Besatzung!$C$11:$C$22)&lt;=B114)*(IF(Besatzung!$D$11:$D$22="",Besatzung!$B$6,Besatzung!$D$11:$D$22)&gt;=B114)),1))),IF(I114="Individuell",((K114="x")*((G114-IFERROR(H114,0))/IFERROR(COUNTIF(J114:U114,"x"),1)+(Besatzung!$F$13="x")*IFERROR(H114,0)/IFERROR(SUMPRODUCT((J114:U114="x")*(Besatzung!$F$11:$F$22="x")),1))),(IF(COUNTIF(J114:U114,"x")=0,IF(Besatzung!$B$13&lt;&gt;"",1,0),(K114="x"))*(G114-IFERROR(H114,0))/IFERROR(IF(COUNTIF(J114:U114,"x")=0,COUNTA(Besatzung!$B$11:$B$22),COUNTIF(J114:U114,"x")),1)+IF(COUNTIF(J114:U114,"x")=0,(Besatzung!$F$13="x"),(K114="x")*(Besatzung!$F$13="x"))*IFERROR(H114,0)/IFERROR(IF(COUNTIF(J114:U114,"x")=0,SUMPRODUCT((Besatzung!$B$11:$B$22&lt;&gt;"")*(Besatzung!$F$11:$F$22="x")),SUMPRODUCT((J114:U114="x")*(Besatzung!$F$11:$F$22="x"))),1))))),0))))</f>
        <v/>
      </c>
      <c r="Y114" s="247">
        <f>IF(C114="Gutschrift","",IF(G114="","",IF(Besatzung!$B$14="","",IFERROR(IF(I114="Zeitanteilig",(Besatzung!$G$14*(G114-IFERROR(H114,0))+((Besatzung!$B$14&lt;&gt;"")*IF(B114="",1,(IF(Besatzung!$C$14="",Besatzung!$B$5,Besatzung!$C$14)&lt;=B114)*(IF(Besatzung!$D$14="",Besatzung!$B$6,Besatzung!$D$14)&gt;=B114)))*(Besatzung!$F$14="x")*IFERROR(H114,0)/IFERROR(SUMPRODUCT((Besatzung!$B$11:$B$22&lt;&gt;"")*(Besatzung!$F$11:$F$22="x")*(IF(Besatzung!$C$11:$C$22="",Besatzung!$B$5,Besatzung!$C$11:$C$22)&lt;=B114)*(IF(Besatzung!$D$11:$D$22="",Besatzung!$B$6,Besatzung!$D$11:$D$22)&gt;=B114)),1)),IF(I114="An Bord",(((Besatzung!$B$14&lt;&gt;"")*IF(B114="",1,(IF(Besatzung!$C$14="",Besatzung!$B$5,Besatzung!$C$14)&lt;=B114)*(IF(Besatzung!$D$14="",Besatzung!$B$6,Besatzung!$D$14)&gt;=B114)))*((G114-IFERROR(H114,0))/IFERROR(SUMPRODUCT((Besatzung!$B$11:$B$22&lt;&gt;"")*(IF(Besatzung!$C$11:$C$22="",Besatzung!$B$5,Besatzung!$C$11:$C$22)&lt;=B114)*(IF(Besatzung!$D$11:$D$22="",Besatzung!$B$6,Besatzung!$D$11:$D$22)&gt;=B114)),1)+(Besatzung!$F$14="x")*IFERROR(H114,0)/IFERROR(SUMPRODUCT((Besatzung!$B$11:$B$22&lt;&gt;"")*(Besatzung!$F$11:$F$22="x")*(IF(Besatzung!$C$11:$C$22="",Besatzung!$B$5,Besatzung!$C$11:$C$22)&lt;=B114)*(IF(Besatzung!$D$11:$D$22="",Besatzung!$B$6,Besatzung!$D$11:$D$22)&gt;=B114)),1))),IF(I114="Individuell",((M114="x")*((G114-IFERROR(H114,0))/IFERROR(COUNTIF(J114:U114,"x"),1)+(Besatzung!$F$14="x")*IFERROR(H114,0)/IFERROR(SUMPRODUCT((J114:U114="x")*(Besatzung!$F$11:$F$22="x")),1))),(IF(COUNTIF(J114:U114,"x")=0,IF(Besatzung!$B$14&lt;&gt;"",1,0),(M114="x"))*(G114-IFERROR(H114,0))/IFERROR(IF(COUNTIF(J114:U114,"x")=0,COUNTA(Besatzung!$B$11:$B$22),COUNTIF(J114:U114,"x")),1)+IF(COUNTIF(J114:U114,"x")=0,(Besatzung!$F$14="x"),(M114="x")*(Besatzung!$F$14="x"))*IFERROR(H114,0)/IFERROR(IF(COUNTIF(J114:U114,"x")=0,SUMPRODUCT((Besatzung!$B$11:$B$22&lt;&gt;"")*(Besatzung!$F$11:$F$22="x")),SUMPRODUCT((J114:U114="x")*(Besatzung!$F$11:$F$22="x"))),1))))),0))))</f>
        <v/>
      </c>
      <c r="Z114" s="247">
        <f>IF(C114="Gutschrift","",IF(G114="","",IF(Besatzung!$B$13="","",IFERROR(IF(I114="Zeitanteilig",(Besatzung!$G$15*(G114-IFERROR(H114,0))+((Besatzung!$B$13&lt;&gt;"")*IF(B114="",1,(IF(Besatzung!$C$15="",Besatzung!$B$5,Besatzung!$C$15)&lt;=B114)*(IF(Besatzung!$D$15="",Besatzung!$B$6,Besatzung!$D$15)&gt;=B114)))*(Besatzung!$F$15="x")*IFERROR(H114,0)/IFERROR(SUMPRODUCT((Besatzung!$B$11:$B$22&lt;&gt;"")*(Besatzung!$F$11:$F$22="x")*(IF(Besatzung!$C$11:$C$22="",Besatzung!$B$5,Besatzung!$C$11:$C$22)&lt;=B114)*(IF(Besatzung!$D$11:$D$22="",Besatzung!$B$6,Besatzung!$D$11:$D$22)&gt;=B114)),1)),IF(I114="An Bord",(((Besatzung!$B$13&lt;&gt;"")*IF(B114="",1,(IF(Besatzung!$C$15="",Besatzung!$B$5,Besatzung!$C$15)&lt;=B114)*(IF(Besatzung!$D$15="",Besatzung!$B$6,Besatzung!$D$15)&gt;=B114)))*((G114-IFERROR(H114,0))/IFERROR(SUMPRODUCT((Besatzung!$B$11:$B$22&lt;&gt;"")*(IF(Besatzung!$C$11:$C$22="",Besatzung!$B$5,Besatzung!$C$11:$C$22)&lt;=B114)*(IF(Besatzung!$D$11:$D$22="",Besatzung!$B$6,Besatzung!$D$11:$D$22)&gt;=B114)),1)+(Besatzung!$F$15="x")*IFERROR(H114,0)/IFERROR(SUMPRODUCT((Besatzung!$B$11:$B$22&lt;&gt;"")*(Besatzung!$F$11:$F$22="x")*(IF(Besatzung!$C$11:$C$22="",Besatzung!$B$5,Besatzung!$C$11:$C$22)&lt;=B114)*(IF(Besatzung!$D$11:$D$22="",Besatzung!$B$6,Besatzung!$D$11:$D$22)&gt;=B114)),1))),IF(I114="Individuell",((N114="x")*((G114-IFERROR(H114,0))/IFERROR(COUNTIF(J114:U114,"x"),1)+(Besatzung!$F$15="x")*IFERROR(H114,0)/IFERROR(SUMPRODUCT((J114:U114="x")*(Besatzung!$F$11:$F$22="x")),1))),(IF(COUNTIF(J114:U114,"x")=0,IF(Besatzung!$B$13&lt;&gt;"",1,0),(N114="x"))*(G114-IFERROR(H114,0))/IFERROR(IF(COUNTIF(J114:U114,"x")=0,COUNTA(Besatzung!$B$11:$B$22),COUNTIF(J114:U114,"x")),1)+IF(COUNTIF(J114:U114,"x")=0,(Besatzung!$F$15="x"),(N114="x")*(Besatzung!$F$15="x"))*IFERROR(H114,0)/IFERROR(IF(COUNTIF(J114:U114,"x")=0,SUMPRODUCT((Besatzung!$B$11:$B$22&lt;&gt;"")*(Besatzung!$F$11:$F$22="x")),SUMPRODUCT((J114:U114="x")*(Besatzung!$F$11:$F$22="x"))),1))))),0))))</f>
        <v/>
      </c>
      <c r="AA114" s="247">
        <f>IF(C114="Gutschrift","",IF(G114="","",IF(Besatzung!$B$15="","",IFERROR(IF(I114="Zeitanteilig",(Besatzung!$G$16*(G114-IFERROR(H114,0))+((Besatzung!$B$15&lt;&gt;"")*IF(B114="",1,(IF(Besatzung!$C$16="",Besatzung!$B$5,Besatzung!$C$16)&lt;=B114)*(IF(Besatzung!$D$16="",Besatzung!$B$6,Besatzung!$D$16)&gt;=B114)))*(Besatzung!$F$16="x")*IFERROR(H114,0)/IFERROR(SUMPRODUCT((Besatzung!$B$11:$B$22&lt;&gt;"")*(Besatzung!$F$11:$F$22="x")*(IF(Besatzung!$C$11:$C$22="",Besatzung!$B$5,Besatzung!$C$11:$C$22)&lt;=B114)*(IF(Besatzung!$D$11:$D$22="",Besatzung!$B$6,Besatzung!$D$11:$D$22)&gt;=B114)),1)),IF(I114="An Bord",(((Besatzung!$B$15&lt;&gt;"")*IF(B114="",1,(IF(Besatzung!$C$16="",Besatzung!$B$5,Besatzung!$C$16)&lt;=B114)*(IF(Besatzung!$D$16="",Besatzung!$B$6,Besatzung!$D$16)&gt;=B114)))*((G114-IFERROR(H114,0))/IFERROR(SUMPRODUCT((Besatzung!$B$11:$B$22&lt;&gt;"")*(IF(Besatzung!$C$11:$C$22="",Besatzung!$B$5,Besatzung!$C$11:$C$22)&lt;=B114)*(IF(Besatzung!$D$11:$D$22="",Besatzung!$B$6,Besatzung!$D$11:$D$22)&gt;=B114)),1)+(Besatzung!$F$16="x")*IFERROR(H114,0)/IFERROR(SUMPRODUCT((Besatzung!$B$11:$B$22&lt;&gt;"")*(Besatzung!$F$11:$F$22="x")*(IF(Besatzung!$C$11:$C$22="",Besatzung!$B$5,Besatzung!$C$11:$C$22)&lt;=B114)*(IF(Besatzung!$D$11:$D$22="",Besatzung!$B$6,Besatzung!$D$11:$D$22)&gt;=B114)),1))),IF(I114="Individuell",((O114="x")*((G114-IFERROR(H114,0))/IFERROR(COUNTIF(J114:U114,"x"),1)+(Besatzung!$F$16="x")*IFERROR(H114,0)/IFERROR(SUMPRODUCT((J114:U114="x")*(Besatzung!$F$11:$F$22="x")),1))),(IF(COUNTIF(J114:U114,"x")=0,IF(Besatzung!$B$15&lt;&gt;"",1,0),(O114="x"))*(G114-IFERROR(H114,0))/IFERROR(IF(COUNTIF(J114:U114,"x")=0,COUNTA(Besatzung!$B$11:$B$22),COUNTIF(J114:U114,"x")),1)+IF(COUNTIF(J114:U114,"x")=0,(Besatzung!$F$16="x"),(O114="x")*(Besatzung!$F$16="x"))*IFERROR(H114,0)/IFERROR(IF(COUNTIF(J114:U114,"x")=0,SUMPRODUCT((Besatzung!$B$11:$B$22&lt;&gt;"")*(Besatzung!$F$11:$F$22="x")),SUMPRODUCT((J114:U114="x")*(Besatzung!$F$11:$F$22="x"))),1))))),0))))</f>
        <v/>
      </c>
      <c r="AB114" s="247">
        <f>IF(C114="Gutschrift","",IF(G114="","",IF(Besatzung!$B$17="","",IFERROR(IF(I114="Zeitanteilig",(Besatzung!$G$17*(G114-IFERROR(H114,0))+((Besatzung!$B$17&lt;&gt;"")*IF(B114="",1,(IF(Besatzung!$C$17="",Besatzung!$B$5,Besatzung!$C$17)&lt;=B114)*(IF(Besatzung!$D$17="",Besatzung!$B$6,Besatzung!$D$17)&gt;=B114)))*(Besatzung!$F$17="x")*IFERROR(H114,0)/IFERROR(SUMPRODUCT((Besatzung!$B$11:$B$22&lt;&gt;"")*(Besatzung!$F$11:$F$22="x")*(IF(Besatzung!$C$11:$C$22="",Besatzung!$B$5,Besatzung!$C$11:$C$22)&lt;=B114)*(IF(Besatzung!$D$11:$D$22="",Besatzung!$B$6,Besatzung!$D$11:$D$22)&gt;=B114)),1)),IF(I114="An Bord",(((Besatzung!$B$17&lt;&gt;"")*IF(B114="",1,(IF(Besatzung!$C$17="",Besatzung!$B$5,Besatzung!$C$17)&lt;=B114)*(IF(Besatzung!$D$17="",Besatzung!$B$6,Besatzung!$D$17)&gt;=B114)))*((G114-IFERROR(H114,0))/IFERROR(SUMPRODUCT((Besatzung!$B$11:$B$22&lt;&gt;"")*(IF(Besatzung!$C$11:$C$22="",Besatzung!$B$5,Besatzung!$C$11:$C$22)&lt;=B114)*(IF(Besatzung!$D$11:$D$22="",Besatzung!$B$6,Besatzung!$D$11:$D$22)&gt;=B114)),1)+(Besatzung!$F$17="x")*IFERROR(H114,0)/IFERROR(SUMPRODUCT((Besatzung!$B$11:$B$22&lt;&gt;"")*(Besatzung!$F$11:$F$22="x")*(IF(Besatzung!$C$11:$C$22="",Besatzung!$B$5,Besatzung!$C$11:$C$22)&lt;=B114)*(IF(Besatzung!$D$11:$D$22="",Besatzung!$B$6,Besatzung!$D$11:$D$22)&gt;=B114)),1))),IF(I114="Individuell",((P114="x")*((G114-IFERROR(H114,0))/IFERROR(COUNTIF(J114:U114,"x"),1)+(Besatzung!$F$17="x")*IFERROR(H114,0)/IFERROR(SUMPRODUCT((J114:U114="x")*(Besatzung!$F$11:$F$22="x")),1))),(IF(COUNTIF(J114:U114,"x")=0,IF(Besatzung!$B$17&lt;&gt;"",1,0),(P114="x"))*(G114-IFERROR(H114,0))/IFERROR(IF(COUNTIF(J114:U114,"x")=0,COUNTA(Besatzung!$B$11:$B$22),COUNTIF(J114:U114,"x")),1)+IF(COUNTIF(J114:U114,"x")=0,(Besatzung!$F$17="x"),(P114="x")*(Besatzung!$F$17="x"))*IFERROR(H114,0)/IFERROR(IF(COUNTIF(J114:U114,"x")=0,SUMPRODUCT((Besatzung!$B$11:$B$22&lt;&gt;"")*(Besatzung!$F$11:$F$22="x")),SUMPRODUCT((J114:U114="x")*(Besatzung!$F$11:$F$22="x"))),1))))),0))))</f>
        <v/>
      </c>
      <c r="AC114" s="247">
        <f>IF(C114="Gutschrift","",IF(G114="","",IF(Besatzung!$B$18="","",IFERROR(IF(I114="Zeitanteilig",(Besatzung!$G$18*(G114-IFERROR(H114,0))+((Besatzung!$B$18&lt;&gt;"")*IF(B114="",1,(IF(Besatzung!$C$18="",Besatzung!$B$5,Besatzung!$C$18)&lt;=B114)*(IF(Besatzung!$D$18="",Besatzung!$B$6,Besatzung!$D$18)&gt;=B114)))*(Besatzung!$F$18="x")*IFERROR(H114,0)/IFERROR(SUMPRODUCT((Besatzung!$B$11:$B$22&lt;&gt;"")*(Besatzung!$F$11:$F$22="x")*(IF(Besatzung!$C$11:$C$22="",Besatzung!$B$5,Besatzung!$C$11:$C$22)&lt;=B114)*(IF(Besatzung!$D$11:$D$22="",Besatzung!$B$6,Besatzung!$D$11:$D$22)&gt;=B114)),1)),IF(I114="An Bord",(((Besatzung!$B$18&lt;&gt;"")*IF(B114="",1,(IF(Besatzung!$C$18="",Besatzung!$B$5,Besatzung!$C$18)&lt;=B114)*(IF(Besatzung!$D$18="",Besatzung!$B$6,Besatzung!$D$18)&gt;=B114)))*((G114-IFERROR(H114,0))/IFERROR(SUMPRODUCT((Besatzung!$B$11:$B$22&lt;&gt;"")*(IF(Besatzung!$C$11:$C$22="",Besatzung!$B$5,Besatzung!$C$11:$C$22)&lt;=B114)*(IF(Besatzung!$D$11:$D$22="",Besatzung!$B$6,Besatzung!$D$11:$D$22)&gt;=B114)),1)+(Besatzung!$F$18="x")*IFERROR(H114,0)/IFERROR(SUMPRODUCT((Besatzung!$B$11:$B$22&lt;&gt;"")*(Besatzung!$F$11:$F$22="x")*(IF(Besatzung!$C$11:$C$22="",Besatzung!$B$5,Besatzung!$C$11:$C$22)&lt;=B114)*(IF(Besatzung!$D$11:$D$22="",Besatzung!$B$6,Besatzung!$D$11:$D$22)&gt;=B114)),1))),IF(I114="Individuell",((Q114="x")*((G114-IFERROR(H114,0))/IFERROR(COUNTIF(J114:U114,"x"),1)+(Besatzung!$F$18="x")*IFERROR(H114,0)/IFERROR(SUMPRODUCT((J114:U114="x")*(Besatzung!$F$11:$F$22="x")),1))),(IF(COUNTIF(J114:U114,"x")=0,IF(Besatzung!$B$18&lt;&gt;"",1,0),(Q114="x"))*(G114-IFERROR(H114,0))/IFERROR(IF(COUNTIF(J114:U114,"x")=0,COUNTA(Besatzung!$B$11:$B$22),COUNTIF(J114:U114,"x")),1)+IF(COUNTIF(J114:U114,"x")=0,(Besatzung!$F$18="x"),(Q114="x")*(Besatzung!$F$18="x"))*IFERROR(H114,0)/IFERROR(IF(COUNTIF(J114:U114,"x")=0,SUMPRODUCT((Besatzung!$B$11:$B$22&lt;&gt;"")*(Besatzung!$F$11:$F$22="x")),SUMPRODUCT((J114:U114="x")*(Besatzung!$F$11:$F$22="x"))),1))))),0))))</f>
        <v/>
      </c>
      <c r="AD114" s="247">
        <f>IF(C114="Gutschrift","",IF(G114="","",IF(Besatzung!$B$19="","",IFERROR(IF(I114="Zeitanteilig",(Besatzung!$G$19*(G114-IFERROR(H114,0))+((Besatzung!$B$19&lt;&gt;"")*IF(B114="",1,(IF(Besatzung!$C$19="",Besatzung!$B$5,Besatzung!$C$19)&lt;=B114)*(IF(Besatzung!$D$19="",Besatzung!$B$6,Besatzung!$D$19)&gt;=B114)))*(Besatzung!$F$19="x")*IFERROR(H114,0)/IFERROR(SUMPRODUCT((Besatzung!$B$11:$B$22&lt;&gt;"")*(Besatzung!$F$11:$F$22="x")*(IF(Besatzung!$C$11:$C$22="",Besatzung!$B$5,Besatzung!$C$11:$C$22)&lt;=B114)*(IF(Besatzung!$D$11:$D$22="",Besatzung!$B$6,Besatzung!$D$11:$D$22)&gt;=B114)),1)),IF(I114="An Bord",(((Besatzung!$B$19&lt;&gt;"")*IF(B114="",1,(IF(Besatzung!$C$19="",Besatzung!$B$5,Besatzung!$C$19)&lt;=B114)*(IF(Besatzung!$D$19="",Besatzung!$B$6,Besatzung!$D$19)&gt;=B114)))*((G114-IFERROR(H114,0))/IFERROR(SUMPRODUCT((Besatzung!$B$11:$B$22&lt;&gt;"")*(IF(Besatzung!$C$11:$C$22="",Besatzung!$B$5,Besatzung!$C$11:$C$22)&lt;=B114)*(IF(Besatzung!$D$11:$D$22="",Besatzung!$B$6,Besatzung!$D$11:$D$22)&gt;=B114)),1)+(Besatzung!$F$19="x")*IFERROR(H114,0)/IFERROR(SUMPRODUCT((Besatzung!$B$11:$B$22&lt;&gt;"")*(Besatzung!$F$11:$F$22="x")*(IF(Besatzung!$C$11:$C$22="",Besatzung!$B$5,Besatzung!$C$11:$C$22)&lt;=B114)*(IF(Besatzung!$D$11:$D$22="",Besatzung!$B$6,Besatzung!$D$11:$D$22)&gt;=B114)),1))),IF(I114="Individuell",((R114="x")*((G114-IFERROR(H114,0))/IFERROR(COUNTIF(J114:U114,"x"),1)+(Besatzung!$F$19="x")*IFERROR(H114,0)/IFERROR(SUMPRODUCT((J114:U114="x")*(Besatzung!$F$11:$F$22="x")),1))),(IF(COUNTIF(J114:U114,"x")=0,IF(Besatzung!$B$19&lt;&gt;"",1,0),(R114="x"))*(G114-IFERROR(H114,0))/IFERROR(IF(COUNTIF(J114:U114,"x")=0,COUNTA(Besatzung!$B$11:$B$22),COUNTIF(J114:U114,"x")),1)+IF(COUNTIF(J114:U114,"x")=0,(Besatzung!$F$19="x"),(R114="x")*(Besatzung!$F$19="x"))*IFERROR(H114,0)/IFERROR(IF(COUNTIF(J114:U114,"x")=0,SUMPRODUCT((Besatzung!$B$11:$B$22&lt;&gt;"")*(Besatzung!$F$11:$F$22="x")),SUMPRODUCT((J114:U114="x")*(Besatzung!$F$11:$F$22="x"))),1))))),0))))</f>
        <v/>
      </c>
      <c r="AE114" s="247">
        <f>IF(C114="Gutschrift","",IF(G114="","",IF(Besatzung!$B$20="","",IFERROR(IF(I114="Zeitanteilig",(Besatzung!$G$20*(G114-IFERROR(H114,0))+((Besatzung!$B$20&lt;&gt;"")*IF(B114="",1,(IF(Besatzung!$C$20="",Besatzung!$B$5,Besatzung!$C$20)&lt;=B114)*(IF(Besatzung!$D$20="",Besatzung!$B$6,Besatzung!$D$20)&gt;=B114)))*(Besatzung!$F$20="x")*IFERROR(H114,0)/IFERROR(SUMPRODUCT((Besatzung!$B$11:$B$22&lt;&gt;"")*(Besatzung!$F$11:$F$22="x")*(IF(Besatzung!$C$11:$C$22="",Besatzung!$B$5,Besatzung!$C$11:$C$22)&lt;=B114)*(IF(Besatzung!$D$11:$D$22="",Besatzung!$B$6,Besatzung!$D$11:$D$22)&gt;=B114)),1)),IF(I114="An Bord",(((Besatzung!$B$20&lt;&gt;"")*IF(B114="",1,(IF(Besatzung!$C$20="",Besatzung!$B$5,Besatzung!$C$20)&lt;=B114)*(IF(Besatzung!$D$20="",Besatzung!$B$6,Besatzung!$D$20)&gt;=B114)))*((G114-IFERROR(H114,0))/IFERROR(SUMPRODUCT((Besatzung!$B$11:$B$22&lt;&gt;"")*(IF(Besatzung!$C$11:$C$22="",Besatzung!$B$5,Besatzung!$C$11:$C$22)&lt;=B114)*(IF(Besatzung!$D$11:$D$22="",Besatzung!$B$6,Besatzung!$D$11:$D$22)&gt;=B114)),1)+(Besatzung!$F$20="x")*IFERROR(H114,0)/IFERROR(SUMPRODUCT((Besatzung!$B$11:$B$22&lt;&gt;"")*(Besatzung!$F$11:$F$22="x")*(IF(Besatzung!$C$11:$C$22="",Besatzung!$B$5,Besatzung!$C$11:$C$22)&lt;=B114)*(IF(Besatzung!$D$11:$D$22="",Besatzung!$B$6,Besatzung!$D$11:$D$22)&gt;=B114)),1))),IF(I114="Individuell",((S114="x")*((G114-IFERROR(H114,0))/IFERROR(COUNTIF(J114:U114,"x"),1)+(Besatzung!$F$20="x")*IFERROR(H114,0)/IFERROR(SUMPRODUCT((J114:U114="x")*(Besatzung!$F$11:$F$22="x")),1))),(IF(COUNTIF(J114:U114,"x")=0,IF(Besatzung!$B$20&lt;&gt;"",1,0),(S114="x"))*(G114-IFERROR(H114,0))/IFERROR(IF(COUNTIF(J114:U114,"x")=0,COUNTA(Besatzung!$B$11:$B$22),COUNTIF(J114:U114,"x")),1)+IF(COUNTIF(J114:U114,"x")=0,(Besatzung!$F$20="x"),(S114="x")*(Besatzung!$F$20="x"))*IFERROR(H114,0)/IFERROR(IF(COUNTIF(J114:U114,"x")=0,SUMPRODUCT((Besatzung!$B$11:$B$22&lt;&gt;"")*(Besatzung!$F$11:$F$22="x")),SUMPRODUCT((J114:U114="x")*(Besatzung!$F$11:$F$22="x"))),1))))),0))))</f>
        <v/>
      </c>
      <c r="AF114" s="247">
        <f>IF(C114="Gutschrift","",IF(G114="","",IF(Besatzung!$B$21="","",IFERROR(IF(I114="Zeitanteilig",(Besatzung!$G$21*(G114-IFERROR(H114,0))+((Besatzung!$B$21&lt;&gt;"")*IF(B114="",1,(IF(Besatzung!$C$21="",Besatzung!$B$5,Besatzung!$C$21)&lt;=B114)*(IF(Besatzung!$D$21="",Besatzung!$B$6,Besatzung!$D$21)&gt;=B114)))*(Besatzung!$F$21="x")*IFERROR(H114,0)/IFERROR(SUMPRODUCT((Besatzung!$B$11:$B$22&lt;&gt;"")*(Besatzung!$F$11:$F$22="x")*(IF(Besatzung!$C$11:$C$22="",Besatzung!$B$5,Besatzung!$C$11:$C$22)&lt;=B114)*(IF(Besatzung!$D$11:$D$22="",Besatzung!$B$6,Besatzung!$D$11:$D$22)&gt;=B114)),1)),IF(I114="An Bord",(((Besatzung!$B$21&lt;&gt;"")*IF(B114="",1,(IF(Besatzung!$C$21="",Besatzung!$B$5,Besatzung!$C$21)&lt;=B114)*(IF(Besatzung!$D$21="",Besatzung!$B$6,Besatzung!$D$21)&gt;=B114)))*((G114-IFERROR(H114,0))/IFERROR(SUMPRODUCT((Besatzung!$B$11:$B$22&lt;&gt;"")*(IF(Besatzung!$C$11:$C$22="",Besatzung!$B$5,Besatzung!$C$11:$C$22)&lt;=B114)*(IF(Besatzung!$D$11:$D$22="",Besatzung!$B$6,Besatzung!$D$11:$D$22)&gt;=B114)),1)+(Besatzung!$F$21="x")*IFERROR(H114,0)/IFERROR(SUMPRODUCT((Besatzung!$B$11:$B$22&lt;&gt;"")*(Besatzung!$F$11:$F$22="x")*(IF(Besatzung!$C$11:$C$22="",Besatzung!$B$5,Besatzung!$C$11:$C$22)&lt;=B114)*(IF(Besatzung!$D$11:$D$22="",Besatzung!$B$6,Besatzung!$D$11:$D$22)&gt;=B114)),1))),IF(I114="Individuell",((T114="x")*((G114-IFERROR(H114,0))/IFERROR(COUNTIF(J114:U114,"x"),1)+(Besatzung!$F$21="x")*IFERROR(H114,0)/IFERROR(SUMPRODUCT((J114:U114="x")*(Besatzung!$F$11:$F$22="x")),1))),(IF(COUNTIF(J114:U114,"x")=0,IF(Besatzung!$B$21&lt;&gt;"",1,0),(T114="x"))*(G114-IFERROR(H114,0))/IFERROR(IF(COUNTIF(J114:U114,"x")=0,COUNTA(Besatzung!$B$11:$B$22),COUNTIF(J114:U114,"x")),1)+IF(COUNTIF(J114:U114,"x")=0,(Besatzung!$F$21="x"),(T114="x")*(Besatzung!$F$21="x"))*IFERROR(H114,0)/IFERROR(IF(COUNTIF(J114:U114,"x")=0,SUMPRODUCT((Besatzung!$B$11:$B$22&lt;&gt;"")*(Besatzung!$F$11:$F$22="x")),SUMPRODUCT((J114:U114="x")*(Besatzung!$F$11:$F$22="x"))),1))))),0))))</f>
        <v/>
      </c>
      <c r="AG114" s="247">
        <f>IF(C114="Gutschrift","",IF(G114="","",IF(Besatzung!$B$22="","",IFERROR(IF(I114="Zeitanteilig",(Besatzung!$G$22*(G114-IFERROR(H114,0))+((Besatzung!$B$22&lt;&gt;"")*IF(B114="",1,(IF(Besatzung!$C$22="",Besatzung!$B$5,Besatzung!$C$22)&lt;=B114)*(IF(Besatzung!$D$22="",Besatzung!$B$6,Besatzung!$D$22)&gt;=B114)))*(Besatzung!$F$22="x")*IFERROR(H114,0)/IFERROR(SUMPRODUCT((Besatzung!$B$11:$B$22&lt;&gt;"")*(Besatzung!$F$11:$F$22="x")*(IF(Besatzung!$C$11:$C$22="",Besatzung!$B$5,Besatzung!$C$11:$C$22)&lt;=B114)*(IF(Besatzung!$D$11:$D$22="",Besatzung!$B$6,Besatzung!$D$11:$D$22)&gt;=B114)),1)),IF(I114="An Bord",(((Besatzung!$B$22&lt;&gt;"")*IF(B114="",1,(IF(Besatzung!$C$22="",Besatzung!$B$5,Besatzung!$C$22)&lt;=B114)*(IF(Besatzung!$D$22="",Besatzung!$B$6,Besatzung!$D$22)&gt;=B114)))*((G114-IFERROR(H114,0))/IFERROR(SUMPRODUCT((Besatzung!$B$11:$B$22&lt;&gt;"")*(IF(Besatzung!$C$11:$C$22="",Besatzung!$B$5,Besatzung!$C$11:$C$22)&lt;=B114)*(IF(Besatzung!$D$11:$D$22="",Besatzung!$B$6,Besatzung!$D$11:$D$22)&gt;=B114)),1)+(Besatzung!$F$22="x")*IFERROR(H114,0)/IFERROR(SUMPRODUCT((Besatzung!$B$11:$B$22&lt;&gt;"")*(Besatzung!$F$11:$F$22="x")*(IF(Besatzung!$C$11:$C$22="",Besatzung!$B$5,Besatzung!$C$11:$C$22)&lt;=B114)*(IF(Besatzung!$D$11:$D$22="",Besatzung!$B$6,Besatzung!$D$11:$D$22)&gt;=B114)),1))),IF(I114="Individuell",((U114="x")*((G114-IFERROR(H114,0))/IFERROR(COUNTIF(J114:U114,"x"),1)+(Besatzung!$F$22="x")*IFERROR(H114,0)/IFERROR(SUMPRODUCT((J114:U114="x")*(Besatzung!$F$11:$F$22="x")),1))),(IF(COUNTIF(J114:U114,"x")=0,IF(Besatzung!$B$22&lt;&gt;"",1,0),(U114="x"))*(G114-IFERROR(H114,0))/IFERROR(IF(COUNTIF(J114:U114,"x")=0,COUNTA(Besatzung!$B$11:$B$22),COUNTIF(J114:U114,"x")),1)+IF(COUNTIF(J114:U114,"x")=0,(Besatzung!$F$22="x"),(U114="x")*(Besatzung!$F$22="x"))*IFERROR(H114,0)/IFERROR(IF(COUNTIF(J114:U114,"x")=0,SUMPRODUCT((Besatzung!$B$11:$B$22&lt;&gt;"")*(Besatzung!$F$11:$F$22="x")),SUMPRODUCT((J114:U114="x")*(Besatzung!$F$11:$F$22="x"))),1))))),0))))</f>
        <v/>
      </c>
      <c r="AH114" s="248" t="n"/>
      <c r="AI114" s="248" t="n"/>
    </row>
    <row r="115" ht="21.75" customHeight="1" s="154">
      <c r="A115" s="238">
        <f>IF(AND(D115="",C115=""),"",112)</f>
        <v/>
      </c>
      <c r="B115" s="206" t="n"/>
      <c r="C115" s="249" t="n"/>
      <c r="D115" s="250" t="n"/>
      <c r="E115" s="251" t="n"/>
      <c r="F115" s="252" t="n"/>
      <c r="G115" s="253" t="n"/>
      <c r="H115" s="254" t="n"/>
      <c r="I115" s="255" t="n"/>
      <c r="J115" s="256" t="n"/>
      <c r="K115" s="256" t="n"/>
      <c r="L115" s="256" t="n"/>
      <c r="M115" s="256" t="n"/>
      <c r="N115" s="256" t="n"/>
      <c r="O115" s="256" t="n"/>
      <c r="P115" s="256" t="n"/>
      <c r="Q115" s="256" t="n"/>
      <c r="R115" s="256" t="n"/>
      <c r="S115" s="256" t="n"/>
      <c r="T115" s="256" t="n"/>
      <c r="U115" s="256" t="n"/>
      <c r="V115" s="247">
        <f>IF(C115="Gutschrift","",IF(G115="","",IF(Besatzung!$B$11="","",IFERROR(IF(I115="Zeitanteilig",(Besatzung!$G$11*(G115-IFERROR(H115,0))+((Besatzung!$B$11&lt;&gt;"")*IF(B115="",1,(IF(Besatzung!$C$11="",Besatzung!$B$5,Besatzung!$C$11)&lt;=B115)*(IF(Besatzung!$D$11="",Besatzung!$B$6,Besatzung!$D$11)&gt;=B115)))*(Besatzung!$F$11="x")*IFERROR(H115,0)/IFERROR(SUMPRODUCT((Besatzung!$B$11:$B$22&lt;&gt;"")*(Besatzung!$F$11:$F$22="x")*(IF(Besatzung!$C$11:$C$22="",Besatzung!$B$5,Besatzung!$C$11:$C$22)&lt;=B115)*(IF(Besatzung!$D$11:$D$22="",Besatzung!$B$6,Besatzung!$D$11:$D$22)&gt;=B115)),1)),IF(I115="An Bord",(((Besatzung!$B$11&lt;&gt;"")*IF(B115="",1,(IF(Besatzung!$C$11="",Besatzung!$B$5,Besatzung!$C$11)&lt;=B115)*(IF(Besatzung!$D$11="",Besatzung!$B$6,Besatzung!$D$11)&gt;=B115)))*((G115-IFERROR(H115,0))/IFERROR(SUMPRODUCT((Besatzung!$B$11:$B$22&lt;&gt;"")*(IF(Besatzung!$C$11:$C$22="",Besatzung!$B$5,Besatzung!$C$11:$C$22)&lt;=B115)*(IF(Besatzung!$D$11:$D$22="",Besatzung!$B$6,Besatzung!$D$11:$D$22)&gt;=B115)),1)+(Besatzung!$F$11="x")*IFERROR(H115,0)/IFERROR(SUMPRODUCT((Besatzung!$B$11:$B$22&lt;&gt;"")*(Besatzung!$F$11:$F$22="x")*(IF(Besatzung!$C$11:$C$22="",Besatzung!$B$5,Besatzung!$C$11:$C$22)&lt;=B115)*(IF(Besatzung!$D$11:$D$22="",Besatzung!$B$6,Besatzung!$D$11:$D$22)&gt;=B115)),1))),IF(I115="Individuell",((J115="x")*((G115-IFERROR(H115,0))/IFERROR(COUNTIF(J115:U115,"x"),1)+(Besatzung!$F$11="x")*IFERROR(H115,0)/IFERROR(SUMPRODUCT((J115:U115="x")*(Besatzung!$F$11:$F$22="x")),1))),(IF(COUNTIF(J115:U115,"x")=0,IF(Besatzung!$B$11&lt;&gt;"",1,0),(J115="x"))*(G115-IFERROR(H115,0))/IFERROR(IF(COUNTIF(J115:U115,"x")=0,COUNTA(Besatzung!$B$11:$B$22),COUNTIF(J115:U115,"x")),1)+IF(COUNTIF(J115:U115,"x")=0,(Besatzung!$F$11="x"),(J115="x")*(Besatzung!$F$11="x"))*IFERROR(H115,0)/IFERROR(IF(COUNTIF(J115:U115,"x")=0,SUMPRODUCT((Besatzung!$B$11:$B$22&lt;&gt;"")*(Besatzung!$F$11:$F$22="x")),SUMPRODUCT((J115:U115="x")*(Besatzung!$F$11:$F$22="x"))),1))))),0))))</f>
        <v/>
      </c>
      <c r="W115" s="247">
        <f>IF(C115="Gutschrift","",IF(G115="","",IF(Besatzung!$B$12="","",IFERROR(IF(I115="Zeitanteilig",(Besatzung!$G$12*(G115-IFERROR(H115,0))+((Besatzung!$B$12&lt;&gt;"")*IF(B115="",1,(IF(Besatzung!$C$12="",Besatzung!$B$5,Besatzung!$C$12)&lt;=B115)*(IF(Besatzung!$D$12="",Besatzung!$B$6,Besatzung!$D$12)&gt;=B115)))*(Besatzung!$F$12="x")*IFERROR(H115,0)/IFERROR(SUMPRODUCT((Besatzung!$B$11:$B$22&lt;&gt;"")*(Besatzung!$F$11:$F$22="x")*(IF(Besatzung!$C$11:$C$22="",Besatzung!$B$5,Besatzung!$C$11:$C$22)&lt;=B115)*(IF(Besatzung!$D$11:$D$22="",Besatzung!$B$6,Besatzung!$D$11:$D$22)&gt;=B115)),1)),IF(I115="An Bord",(((Besatzung!$B$12&lt;&gt;"")*IF(B115="",1,(IF(Besatzung!$C$12="",Besatzung!$B$5,Besatzung!$C$12)&lt;=B115)*(IF(Besatzung!$D$12="",Besatzung!$B$6,Besatzung!$D$12)&gt;=B115)))*((G115-IFERROR(H115,0))/IFERROR(SUMPRODUCT((Besatzung!$B$11:$B$22&lt;&gt;"")*(IF(Besatzung!$C$11:$C$22="",Besatzung!$B$5,Besatzung!$C$11:$C$22)&lt;=B115)*(IF(Besatzung!$D$11:$D$22="",Besatzung!$B$6,Besatzung!$D$11:$D$22)&gt;=B115)),1)+(Besatzung!$F$12="x")*IFERROR(H115,0)/IFERROR(SUMPRODUCT((Besatzung!$B$11:$B$22&lt;&gt;"")*(Besatzung!$F$11:$F$22="x")*(IF(Besatzung!$C$11:$C$22="",Besatzung!$B$5,Besatzung!$C$11:$C$22)&lt;=B115)*(IF(Besatzung!$D$11:$D$22="",Besatzung!$B$6,Besatzung!$D$11:$D$22)&gt;=B115)),1))),IF(I115="Individuell",((K115="x")*((G115-IFERROR(H115,0))/IFERROR(COUNTIF(J115:U115,"x"),1)+(Besatzung!$F$12="x")*IFERROR(H115,0)/IFERROR(SUMPRODUCT((J115:U115="x")*(Besatzung!$F$11:$F$22="x")),1))),(IF(COUNTIF(J115:U115,"x")=0,IF(Besatzung!$B$12&lt;&gt;"",1,0),(K115="x"))*(G115-IFERROR(H115,0))/IFERROR(IF(COUNTIF(J115:U115,"x")=0,COUNTA(Besatzung!$B$11:$B$22),COUNTIF(J115:U115,"x")),1)+IF(COUNTIF(J115:U115,"x")=0,(Besatzung!$F$12="x"),(K115="x")*(Besatzung!$F$12="x"))*IFERROR(H115,0)/IFERROR(IF(COUNTIF(J115:U115,"x")=0,SUMPRODUCT((Besatzung!$B$11:$B$22&lt;&gt;"")*(Besatzung!$F$11:$F$22="x")),SUMPRODUCT((J115:U115="x")*(Besatzung!$F$11:$F$22="x"))),1))))),0))))</f>
        <v/>
      </c>
      <c r="X115" s="247">
        <f>IF(C115="Gutschrift","",IF(G115="","",IF(Besatzung!$B$13="","",IFERROR(IF(I115="Zeitanteilig",(Besatzung!$G$13*(G115-IFERROR(H115,0))+((Besatzung!$B$13&lt;&gt;"")*IF(B115="",1,(IF(Besatzung!$C$13="",Besatzung!$B$5,Besatzung!$C$13)&lt;=B115)*(IF(Besatzung!$D$13="",Besatzung!$B$6,Besatzung!$D$13)&gt;=B115)))*(Besatzung!$F$13="x")*IFERROR(H115,0)/IFERROR(SUMPRODUCT((Besatzung!$B$11:$B$22&lt;&gt;"")*(Besatzung!$F$11:$F$22="x")*(IF(Besatzung!$C$11:$C$22="",Besatzung!$B$5,Besatzung!$C$11:$C$22)&lt;=B115)*(IF(Besatzung!$D$11:$D$22="",Besatzung!$B$6,Besatzung!$D$11:$D$22)&gt;=B115)),1)),IF(I115="An Bord",(((Besatzung!$B$13&lt;&gt;"")*IF(B115="",1,(IF(Besatzung!$C$13="",Besatzung!$B$5,Besatzung!$C$13)&lt;=B115)*(IF(Besatzung!$D$13="",Besatzung!$B$6,Besatzung!$D$13)&gt;=B115)))*((G115-IFERROR(H115,0))/IFERROR(SUMPRODUCT((Besatzung!$B$11:$B$22&lt;&gt;"")*(IF(Besatzung!$C$11:$C$22="",Besatzung!$B$5,Besatzung!$C$11:$C$22)&lt;=B115)*(IF(Besatzung!$D$11:$D$22="",Besatzung!$B$6,Besatzung!$D$11:$D$22)&gt;=B115)),1)+(Besatzung!$F$13="x")*IFERROR(H115,0)/IFERROR(SUMPRODUCT((Besatzung!$B$11:$B$22&lt;&gt;"")*(Besatzung!$F$11:$F$22="x")*(IF(Besatzung!$C$11:$C$22="",Besatzung!$B$5,Besatzung!$C$11:$C$22)&lt;=B115)*(IF(Besatzung!$D$11:$D$22="",Besatzung!$B$6,Besatzung!$D$11:$D$22)&gt;=B115)),1))),IF(I115="Individuell",((K115="x")*((G115-IFERROR(H115,0))/IFERROR(COUNTIF(J115:U115,"x"),1)+(Besatzung!$F$13="x")*IFERROR(H115,0)/IFERROR(SUMPRODUCT((J115:U115="x")*(Besatzung!$F$11:$F$22="x")),1))),(IF(COUNTIF(J115:U115,"x")=0,IF(Besatzung!$B$13&lt;&gt;"",1,0),(K115="x"))*(G115-IFERROR(H115,0))/IFERROR(IF(COUNTIF(J115:U115,"x")=0,COUNTA(Besatzung!$B$11:$B$22),COUNTIF(J115:U115,"x")),1)+IF(COUNTIF(J115:U115,"x")=0,(Besatzung!$F$13="x"),(K115="x")*(Besatzung!$F$13="x"))*IFERROR(H115,0)/IFERROR(IF(COUNTIF(J115:U115,"x")=0,SUMPRODUCT((Besatzung!$B$11:$B$22&lt;&gt;"")*(Besatzung!$F$11:$F$22="x")),SUMPRODUCT((J115:U115="x")*(Besatzung!$F$11:$F$22="x"))),1))))),0))))</f>
        <v/>
      </c>
      <c r="Y115" s="247">
        <f>IF(C115="Gutschrift","",IF(G115="","",IF(Besatzung!$B$14="","",IFERROR(IF(I115="Zeitanteilig",(Besatzung!$G$14*(G115-IFERROR(H115,0))+((Besatzung!$B$14&lt;&gt;"")*IF(B115="",1,(IF(Besatzung!$C$14="",Besatzung!$B$5,Besatzung!$C$14)&lt;=B115)*(IF(Besatzung!$D$14="",Besatzung!$B$6,Besatzung!$D$14)&gt;=B115)))*(Besatzung!$F$14="x")*IFERROR(H115,0)/IFERROR(SUMPRODUCT((Besatzung!$B$11:$B$22&lt;&gt;"")*(Besatzung!$F$11:$F$22="x")*(IF(Besatzung!$C$11:$C$22="",Besatzung!$B$5,Besatzung!$C$11:$C$22)&lt;=B115)*(IF(Besatzung!$D$11:$D$22="",Besatzung!$B$6,Besatzung!$D$11:$D$22)&gt;=B115)),1)),IF(I115="An Bord",(((Besatzung!$B$14&lt;&gt;"")*IF(B115="",1,(IF(Besatzung!$C$14="",Besatzung!$B$5,Besatzung!$C$14)&lt;=B115)*(IF(Besatzung!$D$14="",Besatzung!$B$6,Besatzung!$D$14)&gt;=B115)))*((G115-IFERROR(H115,0))/IFERROR(SUMPRODUCT((Besatzung!$B$11:$B$22&lt;&gt;"")*(IF(Besatzung!$C$11:$C$22="",Besatzung!$B$5,Besatzung!$C$11:$C$22)&lt;=B115)*(IF(Besatzung!$D$11:$D$22="",Besatzung!$B$6,Besatzung!$D$11:$D$22)&gt;=B115)),1)+(Besatzung!$F$14="x")*IFERROR(H115,0)/IFERROR(SUMPRODUCT((Besatzung!$B$11:$B$22&lt;&gt;"")*(Besatzung!$F$11:$F$22="x")*(IF(Besatzung!$C$11:$C$22="",Besatzung!$B$5,Besatzung!$C$11:$C$22)&lt;=B115)*(IF(Besatzung!$D$11:$D$22="",Besatzung!$B$6,Besatzung!$D$11:$D$22)&gt;=B115)),1))),IF(I115="Individuell",((M115="x")*((G115-IFERROR(H115,0))/IFERROR(COUNTIF(J115:U115,"x"),1)+(Besatzung!$F$14="x")*IFERROR(H115,0)/IFERROR(SUMPRODUCT((J115:U115="x")*(Besatzung!$F$11:$F$22="x")),1))),(IF(COUNTIF(J115:U115,"x")=0,IF(Besatzung!$B$14&lt;&gt;"",1,0),(M115="x"))*(G115-IFERROR(H115,0))/IFERROR(IF(COUNTIF(J115:U115,"x")=0,COUNTA(Besatzung!$B$11:$B$22),COUNTIF(J115:U115,"x")),1)+IF(COUNTIF(J115:U115,"x")=0,(Besatzung!$F$14="x"),(M115="x")*(Besatzung!$F$14="x"))*IFERROR(H115,0)/IFERROR(IF(COUNTIF(J115:U115,"x")=0,SUMPRODUCT((Besatzung!$B$11:$B$22&lt;&gt;"")*(Besatzung!$F$11:$F$22="x")),SUMPRODUCT((J115:U115="x")*(Besatzung!$F$11:$F$22="x"))),1))))),0))))</f>
        <v/>
      </c>
      <c r="Z115" s="247">
        <f>IF(C115="Gutschrift","",IF(G115="","",IF(Besatzung!$B$13="","",IFERROR(IF(I115="Zeitanteilig",(Besatzung!$G$15*(G115-IFERROR(H115,0))+((Besatzung!$B$13&lt;&gt;"")*IF(B115="",1,(IF(Besatzung!$C$15="",Besatzung!$B$5,Besatzung!$C$15)&lt;=B115)*(IF(Besatzung!$D$15="",Besatzung!$B$6,Besatzung!$D$15)&gt;=B115)))*(Besatzung!$F$15="x")*IFERROR(H115,0)/IFERROR(SUMPRODUCT((Besatzung!$B$11:$B$22&lt;&gt;"")*(Besatzung!$F$11:$F$22="x")*(IF(Besatzung!$C$11:$C$22="",Besatzung!$B$5,Besatzung!$C$11:$C$22)&lt;=B115)*(IF(Besatzung!$D$11:$D$22="",Besatzung!$B$6,Besatzung!$D$11:$D$22)&gt;=B115)),1)),IF(I115="An Bord",(((Besatzung!$B$13&lt;&gt;"")*IF(B115="",1,(IF(Besatzung!$C$15="",Besatzung!$B$5,Besatzung!$C$15)&lt;=B115)*(IF(Besatzung!$D$15="",Besatzung!$B$6,Besatzung!$D$15)&gt;=B115)))*((G115-IFERROR(H115,0))/IFERROR(SUMPRODUCT((Besatzung!$B$11:$B$22&lt;&gt;"")*(IF(Besatzung!$C$11:$C$22="",Besatzung!$B$5,Besatzung!$C$11:$C$22)&lt;=B115)*(IF(Besatzung!$D$11:$D$22="",Besatzung!$B$6,Besatzung!$D$11:$D$22)&gt;=B115)),1)+(Besatzung!$F$15="x")*IFERROR(H115,0)/IFERROR(SUMPRODUCT((Besatzung!$B$11:$B$22&lt;&gt;"")*(Besatzung!$F$11:$F$22="x")*(IF(Besatzung!$C$11:$C$22="",Besatzung!$B$5,Besatzung!$C$11:$C$22)&lt;=B115)*(IF(Besatzung!$D$11:$D$22="",Besatzung!$B$6,Besatzung!$D$11:$D$22)&gt;=B115)),1))),IF(I115="Individuell",((N115="x")*((G115-IFERROR(H115,0))/IFERROR(COUNTIF(J115:U115,"x"),1)+(Besatzung!$F$15="x")*IFERROR(H115,0)/IFERROR(SUMPRODUCT((J115:U115="x")*(Besatzung!$F$11:$F$22="x")),1))),(IF(COUNTIF(J115:U115,"x")=0,IF(Besatzung!$B$13&lt;&gt;"",1,0),(N115="x"))*(G115-IFERROR(H115,0))/IFERROR(IF(COUNTIF(J115:U115,"x")=0,COUNTA(Besatzung!$B$11:$B$22),COUNTIF(J115:U115,"x")),1)+IF(COUNTIF(J115:U115,"x")=0,(Besatzung!$F$15="x"),(N115="x")*(Besatzung!$F$15="x"))*IFERROR(H115,0)/IFERROR(IF(COUNTIF(J115:U115,"x")=0,SUMPRODUCT((Besatzung!$B$11:$B$22&lt;&gt;"")*(Besatzung!$F$11:$F$22="x")),SUMPRODUCT((J115:U115="x")*(Besatzung!$F$11:$F$22="x"))),1))))),0))))</f>
        <v/>
      </c>
      <c r="AA115" s="247">
        <f>IF(C115="Gutschrift","",IF(G115="","",IF(Besatzung!$B$15="","",IFERROR(IF(I115="Zeitanteilig",(Besatzung!$G$16*(G115-IFERROR(H115,0))+((Besatzung!$B$15&lt;&gt;"")*IF(B115="",1,(IF(Besatzung!$C$16="",Besatzung!$B$5,Besatzung!$C$16)&lt;=B115)*(IF(Besatzung!$D$16="",Besatzung!$B$6,Besatzung!$D$16)&gt;=B115)))*(Besatzung!$F$16="x")*IFERROR(H115,0)/IFERROR(SUMPRODUCT((Besatzung!$B$11:$B$22&lt;&gt;"")*(Besatzung!$F$11:$F$22="x")*(IF(Besatzung!$C$11:$C$22="",Besatzung!$B$5,Besatzung!$C$11:$C$22)&lt;=B115)*(IF(Besatzung!$D$11:$D$22="",Besatzung!$B$6,Besatzung!$D$11:$D$22)&gt;=B115)),1)),IF(I115="An Bord",(((Besatzung!$B$15&lt;&gt;"")*IF(B115="",1,(IF(Besatzung!$C$16="",Besatzung!$B$5,Besatzung!$C$16)&lt;=B115)*(IF(Besatzung!$D$16="",Besatzung!$B$6,Besatzung!$D$16)&gt;=B115)))*((G115-IFERROR(H115,0))/IFERROR(SUMPRODUCT((Besatzung!$B$11:$B$22&lt;&gt;"")*(IF(Besatzung!$C$11:$C$22="",Besatzung!$B$5,Besatzung!$C$11:$C$22)&lt;=B115)*(IF(Besatzung!$D$11:$D$22="",Besatzung!$B$6,Besatzung!$D$11:$D$22)&gt;=B115)),1)+(Besatzung!$F$16="x")*IFERROR(H115,0)/IFERROR(SUMPRODUCT((Besatzung!$B$11:$B$22&lt;&gt;"")*(Besatzung!$F$11:$F$22="x")*(IF(Besatzung!$C$11:$C$22="",Besatzung!$B$5,Besatzung!$C$11:$C$22)&lt;=B115)*(IF(Besatzung!$D$11:$D$22="",Besatzung!$B$6,Besatzung!$D$11:$D$22)&gt;=B115)),1))),IF(I115="Individuell",((O115="x")*((G115-IFERROR(H115,0))/IFERROR(COUNTIF(J115:U115,"x"),1)+(Besatzung!$F$16="x")*IFERROR(H115,0)/IFERROR(SUMPRODUCT((J115:U115="x")*(Besatzung!$F$11:$F$22="x")),1))),(IF(COUNTIF(J115:U115,"x")=0,IF(Besatzung!$B$15&lt;&gt;"",1,0),(O115="x"))*(G115-IFERROR(H115,0))/IFERROR(IF(COUNTIF(J115:U115,"x")=0,COUNTA(Besatzung!$B$11:$B$22),COUNTIF(J115:U115,"x")),1)+IF(COUNTIF(J115:U115,"x")=0,(Besatzung!$F$16="x"),(O115="x")*(Besatzung!$F$16="x"))*IFERROR(H115,0)/IFERROR(IF(COUNTIF(J115:U115,"x")=0,SUMPRODUCT((Besatzung!$B$11:$B$22&lt;&gt;"")*(Besatzung!$F$11:$F$22="x")),SUMPRODUCT((J115:U115="x")*(Besatzung!$F$11:$F$22="x"))),1))))),0))))</f>
        <v/>
      </c>
      <c r="AB115" s="247">
        <f>IF(C115="Gutschrift","",IF(G115="","",IF(Besatzung!$B$17="","",IFERROR(IF(I115="Zeitanteilig",(Besatzung!$G$17*(G115-IFERROR(H115,0))+((Besatzung!$B$17&lt;&gt;"")*IF(B115="",1,(IF(Besatzung!$C$17="",Besatzung!$B$5,Besatzung!$C$17)&lt;=B115)*(IF(Besatzung!$D$17="",Besatzung!$B$6,Besatzung!$D$17)&gt;=B115)))*(Besatzung!$F$17="x")*IFERROR(H115,0)/IFERROR(SUMPRODUCT((Besatzung!$B$11:$B$22&lt;&gt;"")*(Besatzung!$F$11:$F$22="x")*(IF(Besatzung!$C$11:$C$22="",Besatzung!$B$5,Besatzung!$C$11:$C$22)&lt;=B115)*(IF(Besatzung!$D$11:$D$22="",Besatzung!$B$6,Besatzung!$D$11:$D$22)&gt;=B115)),1)),IF(I115="An Bord",(((Besatzung!$B$17&lt;&gt;"")*IF(B115="",1,(IF(Besatzung!$C$17="",Besatzung!$B$5,Besatzung!$C$17)&lt;=B115)*(IF(Besatzung!$D$17="",Besatzung!$B$6,Besatzung!$D$17)&gt;=B115)))*((G115-IFERROR(H115,0))/IFERROR(SUMPRODUCT((Besatzung!$B$11:$B$22&lt;&gt;"")*(IF(Besatzung!$C$11:$C$22="",Besatzung!$B$5,Besatzung!$C$11:$C$22)&lt;=B115)*(IF(Besatzung!$D$11:$D$22="",Besatzung!$B$6,Besatzung!$D$11:$D$22)&gt;=B115)),1)+(Besatzung!$F$17="x")*IFERROR(H115,0)/IFERROR(SUMPRODUCT((Besatzung!$B$11:$B$22&lt;&gt;"")*(Besatzung!$F$11:$F$22="x")*(IF(Besatzung!$C$11:$C$22="",Besatzung!$B$5,Besatzung!$C$11:$C$22)&lt;=B115)*(IF(Besatzung!$D$11:$D$22="",Besatzung!$B$6,Besatzung!$D$11:$D$22)&gt;=B115)),1))),IF(I115="Individuell",((P115="x")*((G115-IFERROR(H115,0))/IFERROR(COUNTIF(J115:U115,"x"),1)+(Besatzung!$F$17="x")*IFERROR(H115,0)/IFERROR(SUMPRODUCT((J115:U115="x")*(Besatzung!$F$11:$F$22="x")),1))),(IF(COUNTIF(J115:U115,"x")=0,IF(Besatzung!$B$17&lt;&gt;"",1,0),(P115="x"))*(G115-IFERROR(H115,0))/IFERROR(IF(COUNTIF(J115:U115,"x")=0,COUNTA(Besatzung!$B$11:$B$22),COUNTIF(J115:U115,"x")),1)+IF(COUNTIF(J115:U115,"x")=0,(Besatzung!$F$17="x"),(P115="x")*(Besatzung!$F$17="x"))*IFERROR(H115,0)/IFERROR(IF(COUNTIF(J115:U115,"x")=0,SUMPRODUCT((Besatzung!$B$11:$B$22&lt;&gt;"")*(Besatzung!$F$11:$F$22="x")),SUMPRODUCT((J115:U115="x")*(Besatzung!$F$11:$F$22="x"))),1))))),0))))</f>
        <v/>
      </c>
      <c r="AC115" s="247">
        <f>IF(C115="Gutschrift","",IF(G115="","",IF(Besatzung!$B$18="","",IFERROR(IF(I115="Zeitanteilig",(Besatzung!$G$18*(G115-IFERROR(H115,0))+((Besatzung!$B$18&lt;&gt;"")*IF(B115="",1,(IF(Besatzung!$C$18="",Besatzung!$B$5,Besatzung!$C$18)&lt;=B115)*(IF(Besatzung!$D$18="",Besatzung!$B$6,Besatzung!$D$18)&gt;=B115)))*(Besatzung!$F$18="x")*IFERROR(H115,0)/IFERROR(SUMPRODUCT((Besatzung!$B$11:$B$22&lt;&gt;"")*(Besatzung!$F$11:$F$22="x")*(IF(Besatzung!$C$11:$C$22="",Besatzung!$B$5,Besatzung!$C$11:$C$22)&lt;=B115)*(IF(Besatzung!$D$11:$D$22="",Besatzung!$B$6,Besatzung!$D$11:$D$22)&gt;=B115)),1)),IF(I115="An Bord",(((Besatzung!$B$18&lt;&gt;"")*IF(B115="",1,(IF(Besatzung!$C$18="",Besatzung!$B$5,Besatzung!$C$18)&lt;=B115)*(IF(Besatzung!$D$18="",Besatzung!$B$6,Besatzung!$D$18)&gt;=B115)))*((G115-IFERROR(H115,0))/IFERROR(SUMPRODUCT((Besatzung!$B$11:$B$22&lt;&gt;"")*(IF(Besatzung!$C$11:$C$22="",Besatzung!$B$5,Besatzung!$C$11:$C$22)&lt;=B115)*(IF(Besatzung!$D$11:$D$22="",Besatzung!$B$6,Besatzung!$D$11:$D$22)&gt;=B115)),1)+(Besatzung!$F$18="x")*IFERROR(H115,0)/IFERROR(SUMPRODUCT((Besatzung!$B$11:$B$22&lt;&gt;"")*(Besatzung!$F$11:$F$22="x")*(IF(Besatzung!$C$11:$C$22="",Besatzung!$B$5,Besatzung!$C$11:$C$22)&lt;=B115)*(IF(Besatzung!$D$11:$D$22="",Besatzung!$B$6,Besatzung!$D$11:$D$22)&gt;=B115)),1))),IF(I115="Individuell",((Q115="x")*((G115-IFERROR(H115,0))/IFERROR(COUNTIF(J115:U115,"x"),1)+(Besatzung!$F$18="x")*IFERROR(H115,0)/IFERROR(SUMPRODUCT((J115:U115="x")*(Besatzung!$F$11:$F$22="x")),1))),(IF(COUNTIF(J115:U115,"x")=0,IF(Besatzung!$B$18&lt;&gt;"",1,0),(Q115="x"))*(G115-IFERROR(H115,0))/IFERROR(IF(COUNTIF(J115:U115,"x")=0,COUNTA(Besatzung!$B$11:$B$22),COUNTIF(J115:U115,"x")),1)+IF(COUNTIF(J115:U115,"x")=0,(Besatzung!$F$18="x"),(Q115="x")*(Besatzung!$F$18="x"))*IFERROR(H115,0)/IFERROR(IF(COUNTIF(J115:U115,"x")=0,SUMPRODUCT((Besatzung!$B$11:$B$22&lt;&gt;"")*(Besatzung!$F$11:$F$22="x")),SUMPRODUCT((J115:U115="x")*(Besatzung!$F$11:$F$22="x"))),1))))),0))))</f>
        <v/>
      </c>
      <c r="AD115" s="247">
        <f>IF(C115="Gutschrift","",IF(G115="","",IF(Besatzung!$B$19="","",IFERROR(IF(I115="Zeitanteilig",(Besatzung!$G$19*(G115-IFERROR(H115,0))+((Besatzung!$B$19&lt;&gt;"")*IF(B115="",1,(IF(Besatzung!$C$19="",Besatzung!$B$5,Besatzung!$C$19)&lt;=B115)*(IF(Besatzung!$D$19="",Besatzung!$B$6,Besatzung!$D$19)&gt;=B115)))*(Besatzung!$F$19="x")*IFERROR(H115,0)/IFERROR(SUMPRODUCT((Besatzung!$B$11:$B$22&lt;&gt;"")*(Besatzung!$F$11:$F$22="x")*(IF(Besatzung!$C$11:$C$22="",Besatzung!$B$5,Besatzung!$C$11:$C$22)&lt;=B115)*(IF(Besatzung!$D$11:$D$22="",Besatzung!$B$6,Besatzung!$D$11:$D$22)&gt;=B115)),1)),IF(I115="An Bord",(((Besatzung!$B$19&lt;&gt;"")*IF(B115="",1,(IF(Besatzung!$C$19="",Besatzung!$B$5,Besatzung!$C$19)&lt;=B115)*(IF(Besatzung!$D$19="",Besatzung!$B$6,Besatzung!$D$19)&gt;=B115)))*((G115-IFERROR(H115,0))/IFERROR(SUMPRODUCT((Besatzung!$B$11:$B$22&lt;&gt;"")*(IF(Besatzung!$C$11:$C$22="",Besatzung!$B$5,Besatzung!$C$11:$C$22)&lt;=B115)*(IF(Besatzung!$D$11:$D$22="",Besatzung!$B$6,Besatzung!$D$11:$D$22)&gt;=B115)),1)+(Besatzung!$F$19="x")*IFERROR(H115,0)/IFERROR(SUMPRODUCT((Besatzung!$B$11:$B$22&lt;&gt;"")*(Besatzung!$F$11:$F$22="x")*(IF(Besatzung!$C$11:$C$22="",Besatzung!$B$5,Besatzung!$C$11:$C$22)&lt;=B115)*(IF(Besatzung!$D$11:$D$22="",Besatzung!$B$6,Besatzung!$D$11:$D$22)&gt;=B115)),1))),IF(I115="Individuell",((R115="x")*((G115-IFERROR(H115,0))/IFERROR(COUNTIF(J115:U115,"x"),1)+(Besatzung!$F$19="x")*IFERROR(H115,0)/IFERROR(SUMPRODUCT((J115:U115="x")*(Besatzung!$F$11:$F$22="x")),1))),(IF(COUNTIF(J115:U115,"x")=0,IF(Besatzung!$B$19&lt;&gt;"",1,0),(R115="x"))*(G115-IFERROR(H115,0))/IFERROR(IF(COUNTIF(J115:U115,"x")=0,COUNTA(Besatzung!$B$11:$B$22),COUNTIF(J115:U115,"x")),1)+IF(COUNTIF(J115:U115,"x")=0,(Besatzung!$F$19="x"),(R115="x")*(Besatzung!$F$19="x"))*IFERROR(H115,0)/IFERROR(IF(COUNTIF(J115:U115,"x")=0,SUMPRODUCT((Besatzung!$B$11:$B$22&lt;&gt;"")*(Besatzung!$F$11:$F$22="x")),SUMPRODUCT((J115:U115="x")*(Besatzung!$F$11:$F$22="x"))),1))))),0))))</f>
        <v/>
      </c>
      <c r="AE115" s="247">
        <f>IF(C115="Gutschrift","",IF(G115="","",IF(Besatzung!$B$20="","",IFERROR(IF(I115="Zeitanteilig",(Besatzung!$G$20*(G115-IFERROR(H115,0))+((Besatzung!$B$20&lt;&gt;"")*IF(B115="",1,(IF(Besatzung!$C$20="",Besatzung!$B$5,Besatzung!$C$20)&lt;=B115)*(IF(Besatzung!$D$20="",Besatzung!$B$6,Besatzung!$D$20)&gt;=B115)))*(Besatzung!$F$20="x")*IFERROR(H115,0)/IFERROR(SUMPRODUCT((Besatzung!$B$11:$B$22&lt;&gt;"")*(Besatzung!$F$11:$F$22="x")*(IF(Besatzung!$C$11:$C$22="",Besatzung!$B$5,Besatzung!$C$11:$C$22)&lt;=B115)*(IF(Besatzung!$D$11:$D$22="",Besatzung!$B$6,Besatzung!$D$11:$D$22)&gt;=B115)),1)),IF(I115="An Bord",(((Besatzung!$B$20&lt;&gt;"")*IF(B115="",1,(IF(Besatzung!$C$20="",Besatzung!$B$5,Besatzung!$C$20)&lt;=B115)*(IF(Besatzung!$D$20="",Besatzung!$B$6,Besatzung!$D$20)&gt;=B115)))*((G115-IFERROR(H115,0))/IFERROR(SUMPRODUCT((Besatzung!$B$11:$B$22&lt;&gt;"")*(IF(Besatzung!$C$11:$C$22="",Besatzung!$B$5,Besatzung!$C$11:$C$22)&lt;=B115)*(IF(Besatzung!$D$11:$D$22="",Besatzung!$B$6,Besatzung!$D$11:$D$22)&gt;=B115)),1)+(Besatzung!$F$20="x")*IFERROR(H115,0)/IFERROR(SUMPRODUCT((Besatzung!$B$11:$B$22&lt;&gt;"")*(Besatzung!$F$11:$F$22="x")*(IF(Besatzung!$C$11:$C$22="",Besatzung!$B$5,Besatzung!$C$11:$C$22)&lt;=B115)*(IF(Besatzung!$D$11:$D$22="",Besatzung!$B$6,Besatzung!$D$11:$D$22)&gt;=B115)),1))),IF(I115="Individuell",((S115="x")*((G115-IFERROR(H115,0))/IFERROR(COUNTIF(J115:U115,"x"),1)+(Besatzung!$F$20="x")*IFERROR(H115,0)/IFERROR(SUMPRODUCT((J115:U115="x")*(Besatzung!$F$11:$F$22="x")),1))),(IF(COUNTIF(J115:U115,"x")=0,IF(Besatzung!$B$20&lt;&gt;"",1,0),(S115="x"))*(G115-IFERROR(H115,0))/IFERROR(IF(COUNTIF(J115:U115,"x")=0,COUNTA(Besatzung!$B$11:$B$22),COUNTIF(J115:U115,"x")),1)+IF(COUNTIF(J115:U115,"x")=0,(Besatzung!$F$20="x"),(S115="x")*(Besatzung!$F$20="x"))*IFERROR(H115,0)/IFERROR(IF(COUNTIF(J115:U115,"x")=0,SUMPRODUCT((Besatzung!$B$11:$B$22&lt;&gt;"")*(Besatzung!$F$11:$F$22="x")),SUMPRODUCT((J115:U115="x")*(Besatzung!$F$11:$F$22="x"))),1))))),0))))</f>
        <v/>
      </c>
      <c r="AF115" s="247">
        <f>IF(C115="Gutschrift","",IF(G115="","",IF(Besatzung!$B$21="","",IFERROR(IF(I115="Zeitanteilig",(Besatzung!$G$21*(G115-IFERROR(H115,0))+((Besatzung!$B$21&lt;&gt;"")*IF(B115="",1,(IF(Besatzung!$C$21="",Besatzung!$B$5,Besatzung!$C$21)&lt;=B115)*(IF(Besatzung!$D$21="",Besatzung!$B$6,Besatzung!$D$21)&gt;=B115)))*(Besatzung!$F$21="x")*IFERROR(H115,0)/IFERROR(SUMPRODUCT((Besatzung!$B$11:$B$22&lt;&gt;"")*(Besatzung!$F$11:$F$22="x")*(IF(Besatzung!$C$11:$C$22="",Besatzung!$B$5,Besatzung!$C$11:$C$22)&lt;=B115)*(IF(Besatzung!$D$11:$D$22="",Besatzung!$B$6,Besatzung!$D$11:$D$22)&gt;=B115)),1)),IF(I115="An Bord",(((Besatzung!$B$21&lt;&gt;"")*IF(B115="",1,(IF(Besatzung!$C$21="",Besatzung!$B$5,Besatzung!$C$21)&lt;=B115)*(IF(Besatzung!$D$21="",Besatzung!$B$6,Besatzung!$D$21)&gt;=B115)))*((G115-IFERROR(H115,0))/IFERROR(SUMPRODUCT((Besatzung!$B$11:$B$22&lt;&gt;"")*(IF(Besatzung!$C$11:$C$22="",Besatzung!$B$5,Besatzung!$C$11:$C$22)&lt;=B115)*(IF(Besatzung!$D$11:$D$22="",Besatzung!$B$6,Besatzung!$D$11:$D$22)&gt;=B115)),1)+(Besatzung!$F$21="x")*IFERROR(H115,0)/IFERROR(SUMPRODUCT((Besatzung!$B$11:$B$22&lt;&gt;"")*(Besatzung!$F$11:$F$22="x")*(IF(Besatzung!$C$11:$C$22="",Besatzung!$B$5,Besatzung!$C$11:$C$22)&lt;=B115)*(IF(Besatzung!$D$11:$D$22="",Besatzung!$B$6,Besatzung!$D$11:$D$22)&gt;=B115)),1))),IF(I115="Individuell",((T115="x")*((G115-IFERROR(H115,0))/IFERROR(COUNTIF(J115:U115,"x"),1)+(Besatzung!$F$21="x")*IFERROR(H115,0)/IFERROR(SUMPRODUCT((J115:U115="x")*(Besatzung!$F$11:$F$22="x")),1))),(IF(COUNTIF(J115:U115,"x")=0,IF(Besatzung!$B$21&lt;&gt;"",1,0),(T115="x"))*(G115-IFERROR(H115,0))/IFERROR(IF(COUNTIF(J115:U115,"x")=0,COUNTA(Besatzung!$B$11:$B$22),COUNTIF(J115:U115,"x")),1)+IF(COUNTIF(J115:U115,"x")=0,(Besatzung!$F$21="x"),(T115="x")*(Besatzung!$F$21="x"))*IFERROR(H115,0)/IFERROR(IF(COUNTIF(J115:U115,"x")=0,SUMPRODUCT((Besatzung!$B$11:$B$22&lt;&gt;"")*(Besatzung!$F$11:$F$22="x")),SUMPRODUCT((J115:U115="x")*(Besatzung!$F$11:$F$22="x"))),1))))),0))))</f>
        <v/>
      </c>
      <c r="AG115" s="247">
        <f>IF(C115="Gutschrift","",IF(G115="","",IF(Besatzung!$B$22="","",IFERROR(IF(I115="Zeitanteilig",(Besatzung!$G$22*(G115-IFERROR(H115,0))+((Besatzung!$B$22&lt;&gt;"")*IF(B115="",1,(IF(Besatzung!$C$22="",Besatzung!$B$5,Besatzung!$C$22)&lt;=B115)*(IF(Besatzung!$D$22="",Besatzung!$B$6,Besatzung!$D$22)&gt;=B115)))*(Besatzung!$F$22="x")*IFERROR(H115,0)/IFERROR(SUMPRODUCT((Besatzung!$B$11:$B$22&lt;&gt;"")*(Besatzung!$F$11:$F$22="x")*(IF(Besatzung!$C$11:$C$22="",Besatzung!$B$5,Besatzung!$C$11:$C$22)&lt;=B115)*(IF(Besatzung!$D$11:$D$22="",Besatzung!$B$6,Besatzung!$D$11:$D$22)&gt;=B115)),1)),IF(I115="An Bord",(((Besatzung!$B$22&lt;&gt;"")*IF(B115="",1,(IF(Besatzung!$C$22="",Besatzung!$B$5,Besatzung!$C$22)&lt;=B115)*(IF(Besatzung!$D$22="",Besatzung!$B$6,Besatzung!$D$22)&gt;=B115)))*((G115-IFERROR(H115,0))/IFERROR(SUMPRODUCT((Besatzung!$B$11:$B$22&lt;&gt;"")*(IF(Besatzung!$C$11:$C$22="",Besatzung!$B$5,Besatzung!$C$11:$C$22)&lt;=B115)*(IF(Besatzung!$D$11:$D$22="",Besatzung!$B$6,Besatzung!$D$11:$D$22)&gt;=B115)),1)+(Besatzung!$F$22="x")*IFERROR(H115,0)/IFERROR(SUMPRODUCT((Besatzung!$B$11:$B$22&lt;&gt;"")*(Besatzung!$F$11:$F$22="x")*(IF(Besatzung!$C$11:$C$22="",Besatzung!$B$5,Besatzung!$C$11:$C$22)&lt;=B115)*(IF(Besatzung!$D$11:$D$22="",Besatzung!$B$6,Besatzung!$D$11:$D$22)&gt;=B115)),1))),IF(I115="Individuell",((U115="x")*((G115-IFERROR(H115,0))/IFERROR(COUNTIF(J115:U115,"x"),1)+(Besatzung!$F$22="x")*IFERROR(H115,0)/IFERROR(SUMPRODUCT((J115:U115="x")*(Besatzung!$F$11:$F$22="x")),1))),(IF(COUNTIF(J115:U115,"x")=0,IF(Besatzung!$B$22&lt;&gt;"",1,0),(U115="x"))*(G115-IFERROR(H115,0))/IFERROR(IF(COUNTIF(J115:U115,"x")=0,COUNTA(Besatzung!$B$11:$B$22),COUNTIF(J115:U115,"x")),1)+IF(COUNTIF(J115:U115,"x")=0,(Besatzung!$F$22="x"),(U115="x")*(Besatzung!$F$22="x"))*IFERROR(H115,0)/IFERROR(IF(COUNTIF(J115:U115,"x")=0,SUMPRODUCT((Besatzung!$B$11:$B$22&lt;&gt;"")*(Besatzung!$F$11:$F$22="x")),SUMPRODUCT((J115:U115="x")*(Besatzung!$F$11:$F$22="x"))),1))))),0))))</f>
        <v/>
      </c>
      <c r="AH115" s="248" t="n"/>
      <c r="AI115" s="248" t="n"/>
    </row>
    <row r="116" ht="21.75" customHeight="1" s="154">
      <c r="A116" s="238">
        <f>IF(AND(D116="",C116=""),"",113)</f>
        <v/>
      </c>
      <c r="B116" s="199" t="n"/>
      <c r="C116" s="239" t="n"/>
      <c r="D116" s="240" t="n"/>
      <c r="E116" s="241" t="n"/>
      <c r="F116" s="242" t="n"/>
      <c r="G116" s="243" t="n"/>
      <c r="H116" s="244" t="n"/>
      <c r="I116" s="245" t="n"/>
      <c r="J116" s="246" t="n"/>
      <c r="K116" s="246" t="n"/>
      <c r="L116" s="246" t="n"/>
      <c r="M116" s="246" t="n"/>
      <c r="N116" s="246" t="n"/>
      <c r="O116" s="246" t="n"/>
      <c r="P116" s="246" t="n"/>
      <c r="Q116" s="246" t="n"/>
      <c r="R116" s="246" t="n"/>
      <c r="S116" s="246" t="n"/>
      <c r="T116" s="246" t="n"/>
      <c r="U116" s="246" t="n"/>
      <c r="V116" s="247">
        <f>IF(C116="Gutschrift","",IF(G116="","",IF(Besatzung!$B$11="","",IFERROR(IF(I116="Zeitanteilig",(Besatzung!$G$11*(G116-IFERROR(H116,0))+((Besatzung!$B$11&lt;&gt;"")*IF(B116="",1,(IF(Besatzung!$C$11="",Besatzung!$B$5,Besatzung!$C$11)&lt;=B116)*(IF(Besatzung!$D$11="",Besatzung!$B$6,Besatzung!$D$11)&gt;=B116)))*(Besatzung!$F$11="x")*IFERROR(H116,0)/IFERROR(SUMPRODUCT((Besatzung!$B$11:$B$22&lt;&gt;"")*(Besatzung!$F$11:$F$22="x")*(IF(Besatzung!$C$11:$C$22="",Besatzung!$B$5,Besatzung!$C$11:$C$22)&lt;=B116)*(IF(Besatzung!$D$11:$D$22="",Besatzung!$B$6,Besatzung!$D$11:$D$22)&gt;=B116)),1)),IF(I116="An Bord",(((Besatzung!$B$11&lt;&gt;"")*IF(B116="",1,(IF(Besatzung!$C$11="",Besatzung!$B$5,Besatzung!$C$11)&lt;=B116)*(IF(Besatzung!$D$11="",Besatzung!$B$6,Besatzung!$D$11)&gt;=B116)))*((G116-IFERROR(H116,0))/IFERROR(SUMPRODUCT((Besatzung!$B$11:$B$22&lt;&gt;"")*(IF(Besatzung!$C$11:$C$22="",Besatzung!$B$5,Besatzung!$C$11:$C$22)&lt;=B116)*(IF(Besatzung!$D$11:$D$22="",Besatzung!$B$6,Besatzung!$D$11:$D$22)&gt;=B116)),1)+(Besatzung!$F$11="x")*IFERROR(H116,0)/IFERROR(SUMPRODUCT((Besatzung!$B$11:$B$22&lt;&gt;"")*(Besatzung!$F$11:$F$22="x")*(IF(Besatzung!$C$11:$C$22="",Besatzung!$B$5,Besatzung!$C$11:$C$22)&lt;=B116)*(IF(Besatzung!$D$11:$D$22="",Besatzung!$B$6,Besatzung!$D$11:$D$22)&gt;=B116)),1))),IF(I116="Individuell",((J116="x")*((G116-IFERROR(H116,0))/IFERROR(COUNTIF(J116:U116,"x"),1)+(Besatzung!$F$11="x")*IFERROR(H116,0)/IFERROR(SUMPRODUCT((J116:U116="x")*(Besatzung!$F$11:$F$22="x")),1))),(IF(COUNTIF(J116:U116,"x")=0,IF(Besatzung!$B$11&lt;&gt;"",1,0),(J116="x"))*(G116-IFERROR(H116,0))/IFERROR(IF(COUNTIF(J116:U116,"x")=0,COUNTA(Besatzung!$B$11:$B$22),COUNTIF(J116:U116,"x")),1)+IF(COUNTIF(J116:U116,"x")=0,(Besatzung!$F$11="x"),(J116="x")*(Besatzung!$F$11="x"))*IFERROR(H116,0)/IFERROR(IF(COUNTIF(J116:U116,"x")=0,SUMPRODUCT((Besatzung!$B$11:$B$22&lt;&gt;"")*(Besatzung!$F$11:$F$22="x")),SUMPRODUCT((J116:U116="x")*(Besatzung!$F$11:$F$22="x"))),1))))),0))))</f>
        <v/>
      </c>
      <c r="W116" s="247">
        <f>IF(C116="Gutschrift","",IF(G116="","",IF(Besatzung!$B$12="","",IFERROR(IF(I116="Zeitanteilig",(Besatzung!$G$12*(G116-IFERROR(H116,0))+((Besatzung!$B$12&lt;&gt;"")*IF(B116="",1,(IF(Besatzung!$C$12="",Besatzung!$B$5,Besatzung!$C$12)&lt;=B116)*(IF(Besatzung!$D$12="",Besatzung!$B$6,Besatzung!$D$12)&gt;=B116)))*(Besatzung!$F$12="x")*IFERROR(H116,0)/IFERROR(SUMPRODUCT((Besatzung!$B$11:$B$22&lt;&gt;"")*(Besatzung!$F$11:$F$22="x")*(IF(Besatzung!$C$11:$C$22="",Besatzung!$B$5,Besatzung!$C$11:$C$22)&lt;=B116)*(IF(Besatzung!$D$11:$D$22="",Besatzung!$B$6,Besatzung!$D$11:$D$22)&gt;=B116)),1)),IF(I116="An Bord",(((Besatzung!$B$12&lt;&gt;"")*IF(B116="",1,(IF(Besatzung!$C$12="",Besatzung!$B$5,Besatzung!$C$12)&lt;=B116)*(IF(Besatzung!$D$12="",Besatzung!$B$6,Besatzung!$D$12)&gt;=B116)))*((G116-IFERROR(H116,0))/IFERROR(SUMPRODUCT((Besatzung!$B$11:$B$22&lt;&gt;"")*(IF(Besatzung!$C$11:$C$22="",Besatzung!$B$5,Besatzung!$C$11:$C$22)&lt;=B116)*(IF(Besatzung!$D$11:$D$22="",Besatzung!$B$6,Besatzung!$D$11:$D$22)&gt;=B116)),1)+(Besatzung!$F$12="x")*IFERROR(H116,0)/IFERROR(SUMPRODUCT((Besatzung!$B$11:$B$22&lt;&gt;"")*(Besatzung!$F$11:$F$22="x")*(IF(Besatzung!$C$11:$C$22="",Besatzung!$B$5,Besatzung!$C$11:$C$22)&lt;=B116)*(IF(Besatzung!$D$11:$D$22="",Besatzung!$B$6,Besatzung!$D$11:$D$22)&gt;=B116)),1))),IF(I116="Individuell",((K116="x")*((G116-IFERROR(H116,0))/IFERROR(COUNTIF(J116:U116,"x"),1)+(Besatzung!$F$12="x")*IFERROR(H116,0)/IFERROR(SUMPRODUCT((J116:U116="x")*(Besatzung!$F$11:$F$22="x")),1))),(IF(COUNTIF(J116:U116,"x")=0,IF(Besatzung!$B$12&lt;&gt;"",1,0),(K116="x"))*(G116-IFERROR(H116,0))/IFERROR(IF(COUNTIF(J116:U116,"x")=0,COUNTA(Besatzung!$B$11:$B$22),COUNTIF(J116:U116,"x")),1)+IF(COUNTIF(J116:U116,"x")=0,(Besatzung!$F$12="x"),(K116="x")*(Besatzung!$F$12="x"))*IFERROR(H116,0)/IFERROR(IF(COUNTIF(J116:U116,"x")=0,SUMPRODUCT((Besatzung!$B$11:$B$22&lt;&gt;"")*(Besatzung!$F$11:$F$22="x")),SUMPRODUCT((J116:U116="x")*(Besatzung!$F$11:$F$22="x"))),1))))),0))))</f>
        <v/>
      </c>
      <c r="X116" s="247">
        <f>IF(C116="Gutschrift","",IF(G116="","",IF(Besatzung!$B$13="","",IFERROR(IF(I116="Zeitanteilig",(Besatzung!$G$13*(G116-IFERROR(H116,0))+((Besatzung!$B$13&lt;&gt;"")*IF(B116="",1,(IF(Besatzung!$C$13="",Besatzung!$B$5,Besatzung!$C$13)&lt;=B116)*(IF(Besatzung!$D$13="",Besatzung!$B$6,Besatzung!$D$13)&gt;=B116)))*(Besatzung!$F$13="x")*IFERROR(H116,0)/IFERROR(SUMPRODUCT((Besatzung!$B$11:$B$22&lt;&gt;"")*(Besatzung!$F$11:$F$22="x")*(IF(Besatzung!$C$11:$C$22="",Besatzung!$B$5,Besatzung!$C$11:$C$22)&lt;=B116)*(IF(Besatzung!$D$11:$D$22="",Besatzung!$B$6,Besatzung!$D$11:$D$22)&gt;=B116)),1)),IF(I116="An Bord",(((Besatzung!$B$13&lt;&gt;"")*IF(B116="",1,(IF(Besatzung!$C$13="",Besatzung!$B$5,Besatzung!$C$13)&lt;=B116)*(IF(Besatzung!$D$13="",Besatzung!$B$6,Besatzung!$D$13)&gt;=B116)))*((G116-IFERROR(H116,0))/IFERROR(SUMPRODUCT((Besatzung!$B$11:$B$22&lt;&gt;"")*(IF(Besatzung!$C$11:$C$22="",Besatzung!$B$5,Besatzung!$C$11:$C$22)&lt;=B116)*(IF(Besatzung!$D$11:$D$22="",Besatzung!$B$6,Besatzung!$D$11:$D$22)&gt;=B116)),1)+(Besatzung!$F$13="x")*IFERROR(H116,0)/IFERROR(SUMPRODUCT((Besatzung!$B$11:$B$22&lt;&gt;"")*(Besatzung!$F$11:$F$22="x")*(IF(Besatzung!$C$11:$C$22="",Besatzung!$B$5,Besatzung!$C$11:$C$22)&lt;=B116)*(IF(Besatzung!$D$11:$D$22="",Besatzung!$B$6,Besatzung!$D$11:$D$22)&gt;=B116)),1))),IF(I116="Individuell",((K116="x")*((G116-IFERROR(H116,0))/IFERROR(COUNTIF(J116:U116,"x"),1)+(Besatzung!$F$13="x")*IFERROR(H116,0)/IFERROR(SUMPRODUCT((J116:U116="x")*(Besatzung!$F$11:$F$22="x")),1))),(IF(COUNTIF(J116:U116,"x")=0,IF(Besatzung!$B$13&lt;&gt;"",1,0),(K116="x"))*(G116-IFERROR(H116,0))/IFERROR(IF(COUNTIF(J116:U116,"x")=0,COUNTA(Besatzung!$B$11:$B$22),COUNTIF(J116:U116,"x")),1)+IF(COUNTIF(J116:U116,"x")=0,(Besatzung!$F$13="x"),(K116="x")*(Besatzung!$F$13="x"))*IFERROR(H116,0)/IFERROR(IF(COUNTIF(J116:U116,"x")=0,SUMPRODUCT((Besatzung!$B$11:$B$22&lt;&gt;"")*(Besatzung!$F$11:$F$22="x")),SUMPRODUCT((J116:U116="x")*(Besatzung!$F$11:$F$22="x"))),1))))),0))))</f>
        <v/>
      </c>
      <c r="Y116" s="247">
        <f>IF(C116="Gutschrift","",IF(G116="","",IF(Besatzung!$B$14="","",IFERROR(IF(I116="Zeitanteilig",(Besatzung!$G$14*(G116-IFERROR(H116,0))+((Besatzung!$B$14&lt;&gt;"")*IF(B116="",1,(IF(Besatzung!$C$14="",Besatzung!$B$5,Besatzung!$C$14)&lt;=B116)*(IF(Besatzung!$D$14="",Besatzung!$B$6,Besatzung!$D$14)&gt;=B116)))*(Besatzung!$F$14="x")*IFERROR(H116,0)/IFERROR(SUMPRODUCT((Besatzung!$B$11:$B$22&lt;&gt;"")*(Besatzung!$F$11:$F$22="x")*(IF(Besatzung!$C$11:$C$22="",Besatzung!$B$5,Besatzung!$C$11:$C$22)&lt;=B116)*(IF(Besatzung!$D$11:$D$22="",Besatzung!$B$6,Besatzung!$D$11:$D$22)&gt;=B116)),1)),IF(I116="An Bord",(((Besatzung!$B$14&lt;&gt;"")*IF(B116="",1,(IF(Besatzung!$C$14="",Besatzung!$B$5,Besatzung!$C$14)&lt;=B116)*(IF(Besatzung!$D$14="",Besatzung!$B$6,Besatzung!$D$14)&gt;=B116)))*((G116-IFERROR(H116,0))/IFERROR(SUMPRODUCT((Besatzung!$B$11:$B$22&lt;&gt;"")*(IF(Besatzung!$C$11:$C$22="",Besatzung!$B$5,Besatzung!$C$11:$C$22)&lt;=B116)*(IF(Besatzung!$D$11:$D$22="",Besatzung!$B$6,Besatzung!$D$11:$D$22)&gt;=B116)),1)+(Besatzung!$F$14="x")*IFERROR(H116,0)/IFERROR(SUMPRODUCT((Besatzung!$B$11:$B$22&lt;&gt;"")*(Besatzung!$F$11:$F$22="x")*(IF(Besatzung!$C$11:$C$22="",Besatzung!$B$5,Besatzung!$C$11:$C$22)&lt;=B116)*(IF(Besatzung!$D$11:$D$22="",Besatzung!$B$6,Besatzung!$D$11:$D$22)&gt;=B116)),1))),IF(I116="Individuell",((M116="x")*((G116-IFERROR(H116,0))/IFERROR(COUNTIF(J116:U116,"x"),1)+(Besatzung!$F$14="x")*IFERROR(H116,0)/IFERROR(SUMPRODUCT((J116:U116="x")*(Besatzung!$F$11:$F$22="x")),1))),(IF(COUNTIF(J116:U116,"x")=0,IF(Besatzung!$B$14&lt;&gt;"",1,0),(M116="x"))*(G116-IFERROR(H116,0))/IFERROR(IF(COUNTIF(J116:U116,"x")=0,COUNTA(Besatzung!$B$11:$B$22),COUNTIF(J116:U116,"x")),1)+IF(COUNTIF(J116:U116,"x")=0,(Besatzung!$F$14="x"),(M116="x")*(Besatzung!$F$14="x"))*IFERROR(H116,0)/IFERROR(IF(COUNTIF(J116:U116,"x")=0,SUMPRODUCT((Besatzung!$B$11:$B$22&lt;&gt;"")*(Besatzung!$F$11:$F$22="x")),SUMPRODUCT((J116:U116="x")*(Besatzung!$F$11:$F$22="x"))),1))))),0))))</f>
        <v/>
      </c>
      <c r="Z116" s="247">
        <f>IF(C116="Gutschrift","",IF(G116="","",IF(Besatzung!$B$13="","",IFERROR(IF(I116="Zeitanteilig",(Besatzung!$G$15*(G116-IFERROR(H116,0))+((Besatzung!$B$13&lt;&gt;"")*IF(B116="",1,(IF(Besatzung!$C$15="",Besatzung!$B$5,Besatzung!$C$15)&lt;=B116)*(IF(Besatzung!$D$15="",Besatzung!$B$6,Besatzung!$D$15)&gt;=B116)))*(Besatzung!$F$15="x")*IFERROR(H116,0)/IFERROR(SUMPRODUCT((Besatzung!$B$11:$B$22&lt;&gt;"")*(Besatzung!$F$11:$F$22="x")*(IF(Besatzung!$C$11:$C$22="",Besatzung!$B$5,Besatzung!$C$11:$C$22)&lt;=B116)*(IF(Besatzung!$D$11:$D$22="",Besatzung!$B$6,Besatzung!$D$11:$D$22)&gt;=B116)),1)),IF(I116="An Bord",(((Besatzung!$B$13&lt;&gt;"")*IF(B116="",1,(IF(Besatzung!$C$15="",Besatzung!$B$5,Besatzung!$C$15)&lt;=B116)*(IF(Besatzung!$D$15="",Besatzung!$B$6,Besatzung!$D$15)&gt;=B116)))*((G116-IFERROR(H116,0))/IFERROR(SUMPRODUCT((Besatzung!$B$11:$B$22&lt;&gt;"")*(IF(Besatzung!$C$11:$C$22="",Besatzung!$B$5,Besatzung!$C$11:$C$22)&lt;=B116)*(IF(Besatzung!$D$11:$D$22="",Besatzung!$B$6,Besatzung!$D$11:$D$22)&gt;=B116)),1)+(Besatzung!$F$15="x")*IFERROR(H116,0)/IFERROR(SUMPRODUCT((Besatzung!$B$11:$B$22&lt;&gt;"")*(Besatzung!$F$11:$F$22="x")*(IF(Besatzung!$C$11:$C$22="",Besatzung!$B$5,Besatzung!$C$11:$C$22)&lt;=B116)*(IF(Besatzung!$D$11:$D$22="",Besatzung!$B$6,Besatzung!$D$11:$D$22)&gt;=B116)),1))),IF(I116="Individuell",((N116="x")*((G116-IFERROR(H116,0))/IFERROR(COUNTIF(J116:U116,"x"),1)+(Besatzung!$F$15="x")*IFERROR(H116,0)/IFERROR(SUMPRODUCT((J116:U116="x")*(Besatzung!$F$11:$F$22="x")),1))),(IF(COUNTIF(J116:U116,"x")=0,IF(Besatzung!$B$13&lt;&gt;"",1,0),(N116="x"))*(G116-IFERROR(H116,0))/IFERROR(IF(COUNTIF(J116:U116,"x")=0,COUNTA(Besatzung!$B$11:$B$22),COUNTIF(J116:U116,"x")),1)+IF(COUNTIF(J116:U116,"x")=0,(Besatzung!$F$15="x"),(N116="x")*(Besatzung!$F$15="x"))*IFERROR(H116,0)/IFERROR(IF(COUNTIF(J116:U116,"x")=0,SUMPRODUCT((Besatzung!$B$11:$B$22&lt;&gt;"")*(Besatzung!$F$11:$F$22="x")),SUMPRODUCT((J116:U116="x")*(Besatzung!$F$11:$F$22="x"))),1))))),0))))</f>
        <v/>
      </c>
      <c r="AA116" s="247">
        <f>IF(C116="Gutschrift","",IF(G116="","",IF(Besatzung!$B$15="","",IFERROR(IF(I116="Zeitanteilig",(Besatzung!$G$16*(G116-IFERROR(H116,0))+((Besatzung!$B$15&lt;&gt;"")*IF(B116="",1,(IF(Besatzung!$C$16="",Besatzung!$B$5,Besatzung!$C$16)&lt;=B116)*(IF(Besatzung!$D$16="",Besatzung!$B$6,Besatzung!$D$16)&gt;=B116)))*(Besatzung!$F$16="x")*IFERROR(H116,0)/IFERROR(SUMPRODUCT((Besatzung!$B$11:$B$22&lt;&gt;"")*(Besatzung!$F$11:$F$22="x")*(IF(Besatzung!$C$11:$C$22="",Besatzung!$B$5,Besatzung!$C$11:$C$22)&lt;=B116)*(IF(Besatzung!$D$11:$D$22="",Besatzung!$B$6,Besatzung!$D$11:$D$22)&gt;=B116)),1)),IF(I116="An Bord",(((Besatzung!$B$15&lt;&gt;"")*IF(B116="",1,(IF(Besatzung!$C$16="",Besatzung!$B$5,Besatzung!$C$16)&lt;=B116)*(IF(Besatzung!$D$16="",Besatzung!$B$6,Besatzung!$D$16)&gt;=B116)))*((G116-IFERROR(H116,0))/IFERROR(SUMPRODUCT((Besatzung!$B$11:$B$22&lt;&gt;"")*(IF(Besatzung!$C$11:$C$22="",Besatzung!$B$5,Besatzung!$C$11:$C$22)&lt;=B116)*(IF(Besatzung!$D$11:$D$22="",Besatzung!$B$6,Besatzung!$D$11:$D$22)&gt;=B116)),1)+(Besatzung!$F$16="x")*IFERROR(H116,0)/IFERROR(SUMPRODUCT((Besatzung!$B$11:$B$22&lt;&gt;"")*(Besatzung!$F$11:$F$22="x")*(IF(Besatzung!$C$11:$C$22="",Besatzung!$B$5,Besatzung!$C$11:$C$22)&lt;=B116)*(IF(Besatzung!$D$11:$D$22="",Besatzung!$B$6,Besatzung!$D$11:$D$22)&gt;=B116)),1))),IF(I116="Individuell",((O116="x")*((G116-IFERROR(H116,0))/IFERROR(COUNTIF(J116:U116,"x"),1)+(Besatzung!$F$16="x")*IFERROR(H116,0)/IFERROR(SUMPRODUCT((J116:U116="x")*(Besatzung!$F$11:$F$22="x")),1))),(IF(COUNTIF(J116:U116,"x")=0,IF(Besatzung!$B$15&lt;&gt;"",1,0),(O116="x"))*(G116-IFERROR(H116,0))/IFERROR(IF(COUNTIF(J116:U116,"x")=0,COUNTA(Besatzung!$B$11:$B$22),COUNTIF(J116:U116,"x")),1)+IF(COUNTIF(J116:U116,"x")=0,(Besatzung!$F$16="x"),(O116="x")*(Besatzung!$F$16="x"))*IFERROR(H116,0)/IFERROR(IF(COUNTIF(J116:U116,"x")=0,SUMPRODUCT((Besatzung!$B$11:$B$22&lt;&gt;"")*(Besatzung!$F$11:$F$22="x")),SUMPRODUCT((J116:U116="x")*(Besatzung!$F$11:$F$22="x"))),1))))),0))))</f>
        <v/>
      </c>
      <c r="AB116" s="247">
        <f>IF(C116="Gutschrift","",IF(G116="","",IF(Besatzung!$B$17="","",IFERROR(IF(I116="Zeitanteilig",(Besatzung!$G$17*(G116-IFERROR(H116,0))+((Besatzung!$B$17&lt;&gt;"")*IF(B116="",1,(IF(Besatzung!$C$17="",Besatzung!$B$5,Besatzung!$C$17)&lt;=B116)*(IF(Besatzung!$D$17="",Besatzung!$B$6,Besatzung!$D$17)&gt;=B116)))*(Besatzung!$F$17="x")*IFERROR(H116,0)/IFERROR(SUMPRODUCT((Besatzung!$B$11:$B$22&lt;&gt;"")*(Besatzung!$F$11:$F$22="x")*(IF(Besatzung!$C$11:$C$22="",Besatzung!$B$5,Besatzung!$C$11:$C$22)&lt;=B116)*(IF(Besatzung!$D$11:$D$22="",Besatzung!$B$6,Besatzung!$D$11:$D$22)&gt;=B116)),1)),IF(I116="An Bord",(((Besatzung!$B$17&lt;&gt;"")*IF(B116="",1,(IF(Besatzung!$C$17="",Besatzung!$B$5,Besatzung!$C$17)&lt;=B116)*(IF(Besatzung!$D$17="",Besatzung!$B$6,Besatzung!$D$17)&gt;=B116)))*((G116-IFERROR(H116,0))/IFERROR(SUMPRODUCT((Besatzung!$B$11:$B$22&lt;&gt;"")*(IF(Besatzung!$C$11:$C$22="",Besatzung!$B$5,Besatzung!$C$11:$C$22)&lt;=B116)*(IF(Besatzung!$D$11:$D$22="",Besatzung!$B$6,Besatzung!$D$11:$D$22)&gt;=B116)),1)+(Besatzung!$F$17="x")*IFERROR(H116,0)/IFERROR(SUMPRODUCT((Besatzung!$B$11:$B$22&lt;&gt;"")*(Besatzung!$F$11:$F$22="x")*(IF(Besatzung!$C$11:$C$22="",Besatzung!$B$5,Besatzung!$C$11:$C$22)&lt;=B116)*(IF(Besatzung!$D$11:$D$22="",Besatzung!$B$6,Besatzung!$D$11:$D$22)&gt;=B116)),1))),IF(I116="Individuell",((P116="x")*((G116-IFERROR(H116,0))/IFERROR(COUNTIF(J116:U116,"x"),1)+(Besatzung!$F$17="x")*IFERROR(H116,0)/IFERROR(SUMPRODUCT((J116:U116="x")*(Besatzung!$F$11:$F$22="x")),1))),(IF(COUNTIF(J116:U116,"x")=0,IF(Besatzung!$B$17&lt;&gt;"",1,0),(P116="x"))*(G116-IFERROR(H116,0))/IFERROR(IF(COUNTIF(J116:U116,"x")=0,COUNTA(Besatzung!$B$11:$B$22),COUNTIF(J116:U116,"x")),1)+IF(COUNTIF(J116:U116,"x")=0,(Besatzung!$F$17="x"),(P116="x")*(Besatzung!$F$17="x"))*IFERROR(H116,0)/IFERROR(IF(COUNTIF(J116:U116,"x")=0,SUMPRODUCT((Besatzung!$B$11:$B$22&lt;&gt;"")*(Besatzung!$F$11:$F$22="x")),SUMPRODUCT((J116:U116="x")*(Besatzung!$F$11:$F$22="x"))),1))))),0))))</f>
        <v/>
      </c>
      <c r="AC116" s="247">
        <f>IF(C116="Gutschrift","",IF(G116="","",IF(Besatzung!$B$18="","",IFERROR(IF(I116="Zeitanteilig",(Besatzung!$G$18*(G116-IFERROR(H116,0))+((Besatzung!$B$18&lt;&gt;"")*IF(B116="",1,(IF(Besatzung!$C$18="",Besatzung!$B$5,Besatzung!$C$18)&lt;=B116)*(IF(Besatzung!$D$18="",Besatzung!$B$6,Besatzung!$D$18)&gt;=B116)))*(Besatzung!$F$18="x")*IFERROR(H116,0)/IFERROR(SUMPRODUCT((Besatzung!$B$11:$B$22&lt;&gt;"")*(Besatzung!$F$11:$F$22="x")*(IF(Besatzung!$C$11:$C$22="",Besatzung!$B$5,Besatzung!$C$11:$C$22)&lt;=B116)*(IF(Besatzung!$D$11:$D$22="",Besatzung!$B$6,Besatzung!$D$11:$D$22)&gt;=B116)),1)),IF(I116="An Bord",(((Besatzung!$B$18&lt;&gt;"")*IF(B116="",1,(IF(Besatzung!$C$18="",Besatzung!$B$5,Besatzung!$C$18)&lt;=B116)*(IF(Besatzung!$D$18="",Besatzung!$B$6,Besatzung!$D$18)&gt;=B116)))*((G116-IFERROR(H116,0))/IFERROR(SUMPRODUCT((Besatzung!$B$11:$B$22&lt;&gt;"")*(IF(Besatzung!$C$11:$C$22="",Besatzung!$B$5,Besatzung!$C$11:$C$22)&lt;=B116)*(IF(Besatzung!$D$11:$D$22="",Besatzung!$B$6,Besatzung!$D$11:$D$22)&gt;=B116)),1)+(Besatzung!$F$18="x")*IFERROR(H116,0)/IFERROR(SUMPRODUCT((Besatzung!$B$11:$B$22&lt;&gt;"")*(Besatzung!$F$11:$F$22="x")*(IF(Besatzung!$C$11:$C$22="",Besatzung!$B$5,Besatzung!$C$11:$C$22)&lt;=B116)*(IF(Besatzung!$D$11:$D$22="",Besatzung!$B$6,Besatzung!$D$11:$D$22)&gt;=B116)),1))),IF(I116="Individuell",((Q116="x")*((G116-IFERROR(H116,0))/IFERROR(COUNTIF(J116:U116,"x"),1)+(Besatzung!$F$18="x")*IFERROR(H116,0)/IFERROR(SUMPRODUCT((J116:U116="x")*(Besatzung!$F$11:$F$22="x")),1))),(IF(COUNTIF(J116:U116,"x")=0,IF(Besatzung!$B$18&lt;&gt;"",1,0),(Q116="x"))*(G116-IFERROR(H116,0))/IFERROR(IF(COUNTIF(J116:U116,"x")=0,COUNTA(Besatzung!$B$11:$B$22),COUNTIF(J116:U116,"x")),1)+IF(COUNTIF(J116:U116,"x")=0,(Besatzung!$F$18="x"),(Q116="x")*(Besatzung!$F$18="x"))*IFERROR(H116,0)/IFERROR(IF(COUNTIF(J116:U116,"x")=0,SUMPRODUCT((Besatzung!$B$11:$B$22&lt;&gt;"")*(Besatzung!$F$11:$F$22="x")),SUMPRODUCT((J116:U116="x")*(Besatzung!$F$11:$F$22="x"))),1))))),0))))</f>
        <v/>
      </c>
      <c r="AD116" s="247">
        <f>IF(C116="Gutschrift","",IF(G116="","",IF(Besatzung!$B$19="","",IFERROR(IF(I116="Zeitanteilig",(Besatzung!$G$19*(G116-IFERROR(H116,0))+((Besatzung!$B$19&lt;&gt;"")*IF(B116="",1,(IF(Besatzung!$C$19="",Besatzung!$B$5,Besatzung!$C$19)&lt;=B116)*(IF(Besatzung!$D$19="",Besatzung!$B$6,Besatzung!$D$19)&gt;=B116)))*(Besatzung!$F$19="x")*IFERROR(H116,0)/IFERROR(SUMPRODUCT((Besatzung!$B$11:$B$22&lt;&gt;"")*(Besatzung!$F$11:$F$22="x")*(IF(Besatzung!$C$11:$C$22="",Besatzung!$B$5,Besatzung!$C$11:$C$22)&lt;=B116)*(IF(Besatzung!$D$11:$D$22="",Besatzung!$B$6,Besatzung!$D$11:$D$22)&gt;=B116)),1)),IF(I116="An Bord",(((Besatzung!$B$19&lt;&gt;"")*IF(B116="",1,(IF(Besatzung!$C$19="",Besatzung!$B$5,Besatzung!$C$19)&lt;=B116)*(IF(Besatzung!$D$19="",Besatzung!$B$6,Besatzung!$D$19)&gt;=B116)))*((G116-IFERROR(H116,0))/IFERROR(SUMPRODUCT((Besatzung!$B$11:$B$22&lt;&gt;"")*(IF(Besatzung!$C$11:$C$22="",Besatzung!$B$5,Besatzung!$C$11:$C$22)&lt;=B116)*(IF(Besatzung!$D$11:$D$22="",Besatzung!$B$6,Besatzung!$D$11:$D$22)&gt;=B116)),1)+(Besatzung!$F$19="x")*IFERROR(H116,0)/IFERROR(SUMPRODUCT((Besatzung!$B$11:$B$22&lt;&gt;"")*(Besatzung!$F$11:$F$22="x")*(IF(Besatzung!$C$11:$C$22="",Besatzung!$B$5,Besatzung!$C$11:$C$22)&lt;=B116)*(IF(Besatzung!$D$11:$D$22="",Besatzung!$B$6,Besatzung!$D$11:$D$22)&gt;=B116)),1))),IF(I116="Individuell",((R116="x")*((G116-IFERROR(H116,0))/IFERROR(COUNTIF(J116:U116,"x"),1)+(Besatzung!$F$19="x")*IFERROR(H116,0)/IFERROR(SUMPRODUCT((J116:U116="x")*(Besatzung!$F$11:$F$22="x")),1))),(IF(COUNTIF(J116:U116,"x")=0,IF(Besatzung!$B$19&lt;&gt;"",1,0),(R116="x"))*(G116-IFERROR(H116,0))/IFERROR(IF(COUNTIF(J116:U116,"x")=0,COUNTA(Besatzung!$B$11:$B$22),COUNTIF(J116:U116,"x")),1)+IF(COUNTIF(J116:U116,"x")=0,(Besatzung!$F$19="x"),(R116="x")*(Besatzung!$F$19="x"))*IFERROR(H116,0)/IFERROR(IF(COUNTIF(J116:U116,"x")=0,SUMPRODUCT((Besatzung!$B$11:$B$22&lt;&gt;"")*(Besatzung!$F$11:$F$22="x")),SUMPRODUCT((J116:U116="x")*(Besatzung!$F$11:$F$22="x"))),1))))),0))))</f>
        <v/>
      </c>
      <c r="AE116" s="247">
        <f>IF(C116="Gutschrift","",IF(G116="","",IF(Besatzung!$B$20="","",IFERROR(IF(I116="Zeitanteilig",(Besatzung!$G$20*(G116-IFERROR(H116,0))+((Besatzung!$B$20&lt;&gt;"")*IF(B116="",1,(IF(Besatzung!$C$20="",Besatzung!$B$5,Besatzung!$C$20)&lt;=B116)*(IF(Besatzung!$D$20="",Besatzung!$B$6,Besatzung!$D$20)&gt;=B116)))*(Besatzung!$F$20="x")*IFERROR(H116,0)/IFERROR(SUMPRODUCT((Besatzung!$B$11:$B$22&lt;&gt;"")*(Besatzung!$F$11:$F$22="x")*(IF(Besatzung!$C$11:$C$22="",Besatzung!$B$5,Besatzung!$C$11:$C$22)&lt;=B116)*(IF(Besatzung!$D$11:$D$22="",Besatzung!$B$6,Besatzung!$D$11:$D$22)&gt;=B116)),1)),IF(I116="An Bord",(((Besatzung!$B$20&lt;&gt;"")*IF(B116="",1,(IF(Besatzung!$C$20="",Besatzung!$B$5,Besatzung!$C$20)&lt;=B116)*(IF(Besatzung!$D$20="",Besatzung!$B$6,Besatzung!$D$20)&gt;=B116)))*((G116-IFERROR(H116,0))/IFERROR(SUMPRODUCT((Besatzung!$B$11:$B$22&lt;&gt;"")*(IF(Besatzung!$C$11:$C$22="",Besatzung!$B$5,Besatzung!$C$11:$C$22)&lt;=B116)*(IF(Besatzung!$D$11:$D$22="",Besatzung!$B$6,Besatzung!$D$11:$D$22)&gt;=B116)),1)+(Besatzung!$F$20="x")*IFERROR(H116,0)/IFERROR(SUMPRODUCT((Besatzung!$B$11:$B$22&lt;&gt;"")*(Besatzung!$F$11:$F$22="x")*(IF(Besatzung!$C$11:$C$22="",Besatzung!$B$5,Besatzung!$C$11:$C$22)&lt;=B116)*(IF(Besatzung!$D$11:$D$22="",Besatzung!$B$6,Besatzung!$D$11:$D$22)&gt;=B116)),1))),IF(I116="Individuell",((S116="x")*((G116-IFERROR(H116,0))/IFERROR(COUNTIF(J116:U116,"x"),1)+(Besatzung!$F$20="x")*IFERROR(H116,0)/IFERROR(SUMPRODUCT((J116:U116="x")*(Besatzung!$F$11:$F$22="x")),1))),(IF(COUNTIF(J116:U116,"x")=0,IF(Besatzung!$B$20&lt;&gt;"",1,0),(S116="x"))*(G116-IFERROR(H116,0))/IFERROR(IF(COUNTIF(J116:U116,"x")=0,COUNTA(Besatzung!$B$11:$B$22),COUNTIF(J116:U116,"x")),1)+IF(COUNTIF(J116:U116,"x")=0,(Besatzung!$F$20="x"),(S116="x")*(Besatzung!$F$20="x"))*IFERROR(H116,0)/IFERROR(IF(COUNTIF(J116:U116,"x")=0,SUMPRODUCT((Besatzung!$B$11:$B$22&lt;&gt;"")*(Besatzung!$F$11:$F$22="x")),SUMPRODUCT((J116:U116="x")*(Besatzung!$F$11:$F$22="x"))),1))))),0))))</f>
        <v/>
      </c>
      <c r="AF116" s="247">
        <f>IF(C116="Gutschrift","",IF(G116="","",IF(Besatzung!$B$21="","",IFERROR(IF(I116="Zeitanteilig",(Besatzung!$G$21*(G116-IFERROR(H116,0))+((Besatzung!$B$21&lt;&gt;"")*IF(B116="",1,(IF(Besatzung!$C$21="",Besatzung!$B$5,Besatzung!$C$21)&lt;=B116)*(IF(Besatzung!$D$21="",Besatzung!$B$6,Besatzung!$D$21)&gt;=B116)))*(Besatzung!$F$21="x")*IFERROR(H116,0)/IFERROR(SUMPRODUCT((Besatzung!$B$11:$B$22&lt;&gt;"")*(Besatzung!$F$11:$F$22="x")*(IF(Besatzung!$C$11:$C$22="",Besatzung!$B$5,Besatzung!$C$11:$C$22)&lt;=B116)*(IF(Besatzung!$D$11:$D$22="",Besatzung!$B$6,Besatzung!$D$11:$D$22)&gt;=B116)),1)),IF(I116="An Bord",(((Besatzung!$B$21&lt;&gt;"")*IF(B116="",1,(IF(Besatzung!$C$21="",Besatzung!$B$5,Besatzung!$C$21)&lt;=B116)*(IF(Besatzung!$D$21="",Besatzung!$B$6,Besatzung!$D$21)&gt;=B116)))*((G116-IFERROR(H116,0))/IFERROR(SUMPRODUCT((Besatzung!$B$11:$B$22&lt;&gt;"")*(IF(Besatzung!$C$11:$C$22="",Besatzung!$B$5,Besatzung!$C$11:$C$22)&lt;=B116)*(IF(Besatzung!$D$11:$D$22="",Besatzung!$B$6,Besatzung!$D$11:$D$22)&gt;=B116)),1)+(Besatzung!$F$21="x")*IFERROR(H116,0)/IFERROR(SUMPRODUCT((Besatzung!$B$11:$B$22&lt;&gt;"")*(Besatzung!$F$11:$F$22="x")*(IF(Besatzung!$C$11:$C$22="",Besatzung!$B$5,Besatzung!$C$11:$C$22)&lt;=B116)*(IF(Besatzung!$D$11:$D$22="",Besatzung!$B$6,Besatzung!$D$11:$D$22)&gt;=B116)),1))),IF(I116="Individuell",((T116="x")*((G116-IFERROR(H116,0))/IFERROR(COUNTIF(J116:U116,"x"),1)+(Besatzung!$F$21="x")*IFERROR(H116,0)/IFERROR(SUMPRODUCT((J116:U116="x")*(Besatzung!$F$11:$F$22="x")),1))),(IF(COUNTIF(J116:U116,"x")=0,IF(Besatzung!$B$21&lt;&gt;"",1,0),(T116="x"))*(G116-IFERROR(H116,0))/IFERROR(IF(COUNTIF(J116:U116,"x")=0,COUNTA(Besatzung!$B$11:$B$22),COUNTIF(J116:U116,"x")),1)+IF(COUNTIF(J116:U116,"x")=0,(Besatzung!$F$21="x"),(T116="x")*(Besatzung!$F$21="x"))*IFERROR(H116,0)/IFERROR(IF(COUNTIF(J116:U116,"x")=0,SUMPRODUCT((Besatzung!$B$11:$B$22&lt;&gt;"")*(Besatzung!$F$11:$F$22="x")),SUMPRODUCT((J116:U116="x")*(Besatzung!$F$11:$F$22="x"))),1))))),0))))</f>
        <v/>
      </c>
      <c r="AG116" s="247">
        <f>IF(C116="Gutschrift","",IF(G116="","",IF(Besatzung!$B$22="","",IFERROR(IF(I116="Zeitanteilig",(Besatzung!$G$22*(G116-IFERROR(H116,0))+((Besatzung!$B$22&lt;&gt;"")*IF(B116="",1,(IF(Besatzung!$C$22="",Besatzung!$B$5,Besatzung!$C$22)&lt;=B116)*(IF(Besatzung!$D$22="",Besatzung!$B$6,Besatzung!$D$22)&gt;=B116)))*(Besatzung!$F$22="x")*IFERROR(H116,0)/IFERROR(SUMPRODUCT((Besatzung!$B$11:$B$22&lt;&gt;"")*(Besatzung!$F$11:$F$22="x")*(IF(Besatzung!$C$11:$C$22="",Besatzung!$B$5,Besatzung!$C$11:$C$22)&lt;=B116)*(IF(Besatzung!$D$11:$D$22="",Besatzung!$B$6,Besatzung!$D$11:$D$22)&gt;=B116)),1)),IF(I116="An Bord",(((Besatzung!$B$22&lt;&gt;"")*IF(B116="",1,(IF(Besatzung!$C$22="",Besatzung!$B$5,Besatzung!$C$22)&lt;=B116)*(IF(Besatzung!$D$22="",Besatzung!$B$6,Besatzung!$D$22)&gt;=B116)))*((G116-IFERROR(H116,0))/IFERROR(SUMPRODUCT((Besatzung!$B$11:$B$22&lt;&gt;"")*(IF(Besatzung!$C$11:$C$22="",Besatzung!$B$5,Besatzung!$C$11:$C$22)&lt;=B116)*(IF(Besatzung!$D$11:$D$22="",Besatzung!$B$6,Besatzung!$D$11:$D$22)&gt;=B116)),1)+(Besatzung!$F$22="x")*IFERROR(H116,0)/IFERROR(SUMPRODUCT((Besatzung!$B$11:$B$22&lt;&gt;"")*(Besatzung!$F$11:$F$22="x")*(IF(Besatzung!$C$11:$C$22="",Besatzung!$B$5,Besatzung!$C$11:$C$22)&lt;=B116)*(IF(Besatzung!$D$11:$D$22="",Besatzung!$B$6,Besatzung!$D$11:$D$22)&gt;=B116)),1))),IF(I116="Individuell",((U116="x")*((G116-IFERROR(H116,0))/IFERROR(COUNTIF(J116:U116,"x"),1)+(Besatzung!$F$22="x")*IFERROR(H116,0)/IFERROR(SUMPRODUCT((J116:U116="x")*(Besatzung!$F$11:$F$22="x")),1))),(IF(COUNTIF(J116:U116,"x")=0,IF(Besatzung!$B$22&lt;&gt;"",1,0),(U116="x"))*(G116-IFERROR(H116,0))/IFERROR(IF(COUNTIF(J116:U116,"x")=0,COUNTA(Besatzung!$B$11:$B$22),COUNTIF(J116:U116,"x")),1)+IF(COUNTIF(J116:U116,"x")=0,(Besatzung!$F$22="x"),(U116="x")*(Besatzung!$F$22="x"))*IFERROR(H116,0)/IFERROR(IF(COUNTIF(J116:U116,"x")=0,SUMPRODUCT((Besatzung!$B$11:$B$22&lt;&gt;"")*(Besatzung!$F$11:$F$22="x")),SUMPRODUCT((J116:U116="x")*(Besatzung!$F$11:$F$22="x"))),1))))),0))))</f>
        <v/>
      </c>
      <c r="AH116" s="248" t="n"/>
      <c r="AI116" s="248" t="n"/>
    </row>
    <row r="117" ht="21.75" customHeight="1" s="154">
      <c r="A117" s="238">
        <f>IF(AND(D117="",C117=""),"",114)</f>
        <v/>
      </c>
      <c r="B117" s="206" t="n"/>
      <c r="C117" s="249" t="n"/>
      <c r="D117" s="250" t="n"/>
      <c r="E117" s="251" t="n"/>
      <c r="F117" s="252" t="n"/>
      <c r="G117" s="253" t="n"/>
      <c r="H117" s="254" t="n"/>
      <c r="I117" s="255" t="n"/>
      <c r="J117" s="256" t="n"/>
      <c r="K117" s="256" t="n"/>
      <c r="L117" s="256" t="n"/>
      <c r="M117" s="256" t="n"/>
      <c r="N117" s="256" t="n"/>
      <c r="O117" s="256" t="n"/>
      <c r="P117" s="256" t="n"/>
      <c r="Q117" s="256" t="n"/>
      <c r="R117" s="256" t="n"/>
      <c r="S117" s="256" t="n"/>
      <c r="T117" s="256" t="n"/>
      <c r="U117" s="256" t="n"/>
      <c r="V117" s="247">
        <f>IF(C117="Gutschrift","",IF(G117="","",IF(Besatzung!$B$11="","",IFERROR(IF(I117="Zeitanteilig",(Besatzung!$G$11*(G117-IFERROR(H117,0))+((Besatzung!$B$11&lt;&gt;"")*IF(B117="",1,(IF(Besatzung!$C$11="",Besatzung!$B$5,Besatzung!$C$11)&lt;=B117)*(IF(Besatzung!$D$11="",Besatzung!$B$6,Besatzung!$D$11)&gt;=B117)))*(Besatzung!$F$11="x")*IFERROR(H117,0)/IFERROR(SUMPRODUCT((Besatzung!$B$11:$B$22&lt;&gt;"")*(Besatzung!$F$11:$F$22="x")*(IF(Besatzung!$C$11:$C$22="",Besatzung!$B$5,Besatzung!$C$11:$C$22)&lt;=B117)*(IF(Besatzung!$D$11:$D$22="",Besatzung!$B$6,Besatzung!$D$11:$D$22)&gt;=B117)),1)),IF(I117="An Bord",(((Besatzung!$B$11&lt;&gt;"")*IF(B117="",1,(IF(Besatzung!$C$11="",Besatzung!$B$5,Besatzung!$C$11)&lt;=B117)*(IF(Besatzung!$D$11="",Besatzung!$B$6,Besatzung!$D$11)&gt;=B117)))*((G117-IFERROR(H117,0))/IFERROR(SUMPRODUCT((Besatzung!$B$11:$B$22&lt;&gt;"")*(IF(Besatzung!$C$11:$C$22="",Besatzung!$B$5,Besatzung!$C$11:$C$22)&lt;=B117)*(IF(Besatzung!$D$11:$D$22="",Besatzung!$B$6,Besatzung!$D$11:$D$22)&gt;=B117)),1)+(Besatzung!$F$11="x")*IFERROR(H117,0)/IFERROR(SUMPRODUCT((Besatzung!$B$11:$B$22&lt;&gt;"")*(Besatzung!$F$11:$F$22="x")*(IF(Besatzung!$C$11:$C$22="",Besatzung!$B$5,Besatzung!$C$11:$C$22)&lt;=B117)*(IF(Besatzung!$D$11:$D$22="",Besatzung!$B$6,Besatzung!$D$11:$D$22)&gt;=B117)),1))),IF(I117="Individuell",((J117="x")*((G117-IFERROR(H117,0))/IFERROR(COUNTIF(J117:U117,"x"),1)+(Besatzung!$F$11="x")*IFERROR(H117,0)/IFERROR(SUMPRODUCT((J117:U117="x")*(Besatzung!$F$11:$F$22="x")),1))),(IF(COUNTIF(J117:U117,"x")=0,IF(Besatzung!$B$11&lt;&gt;"",1,0),(J117="x"))*(G117-IFERROR(H117,0))/IFERROR(IF(COUNTIF(J117:U117,"x")=0,COUNTA(Besatzung!$B$11:$B$22),COUNTIF(J117:U117,"x")),1)+IF(COUNTIF(J117:U117,"x")=0,(Besatzung!$F$11="x"),(J117="x")*(Besatzung!$F$11="x"))*IFERROR(H117,0)/IFERROR(IF(COUNTIF(J117:U117,"x")=0,SUMPRODUCT((Besatzung!$B$11:$B$22&lt;&gt;"")*(Besatzung!$F$11:$F$22="x")),SUMPRODUCT((J117:U117="x")*(Besatzung!$F$11:$F$22="x"))),1))))),0))))</f>
        <v/>
      </c>
      <c r="W117" s="247">
        <f>IF(C117="Gutschrift","",IF(G117="","",IF(Besatzung!$B$12="","",IFERROR(IF(I117="Zeitanteilig",(Besatzung!$G$12*(G117-IFERROR(H117,0))+((Besatzung!$B$12&lt;&gt;"")*IF(B117="",1,(IF(Besatzung!$C$12="",Besatzung!$B$5,Besatzung!$C$12)&lt;=B117)*(IF(Besatzung!$D$12="",Besatzung!$B$6,Besatzung!$D$12)&gt;=B117)))*(Besatzung!$F$12="x")*IFERROR(H117,0)/IFERROR(SUMPRODUCT((Besatzung!$B$11:$B$22&lt;&gt;"")*(Besatzung!$F$11:$F$22="x")*(IF(Besatzung!$C$11:$C$22="",Besatzung!$B$5,Besatzung!$C$11:$C$22)&lt;=B117)*(IF(Besatzung!$D$11:$D$22="",Besatzung!$B$6,Besatzung!$D$11:$D$22)&gt;=B117)),1)),IF(I117="An Bord",(((Besatzung!$B$12&lt;&gt;"")*IF(B117="",1,(IF(Besatzung!$C$12="",Besatzung!$B$5,Besatzung!$C$12)&lt;=B117)*(IF(Besatzung!$D$12="",Besatzung!$B$6,Besatzung!$D$12)&gt;=B117)))*((G117-IFERROR(H117,0))/IFERROR(SUMPRODUCT((Besatzung!$B$11:$B$22&lt;&gt;"")*(IF(Besatzung!$C$11:$C$22="",Besatzung!$B$5,Besatzung!$C$11:$C$22)&lt;=B117)*(IF(Besatzung!$D$11:$D$22="",Besatzung!$B$6,Besatzung!$D$11:$D$22)&gt;=B117)),1)+(Besatzung!$F$12="x")*IFERROR(H117,0)/IFERROR(SUMPRODUCT((Besatzung!$B$11:$B$22&lt;&gt;"")*(Besatzung!$F$11:$F$22="x")*(IF(Besatzung!$C$11:$C$22="",Besatzung!$B$5,Besatzung!$C$11:$C$22)&lt;=B117)*(IF(Besatzung!$D$11:$D$22="",Besatzung!$B$6,Besatzung!$D$11:$D$22)&gt;=B117)),1))),IF(I117="Individuell",((K117="x")*((G117-IFERROR(H117,0))/IFERROR(COUNTIF(J117:U117,"x"),1)+(Besatzung!$F$12="x")*IFERROR(H117,0)/IFERROR(SUMPRODUCT((J117:U117="x")*(Besatzung!$F$11:$F$22="x")),1))),(IF(COUNTIF(J117:U117,"x")=0,IF(Besatzung!$B$12&lt;&gt;"",1,0),(K117="x"))*(G117-IFERROR(H117,0))/IFERROR(IF(COUNTIF(J117:U117,"x")=0,COUNTA(Besatzung!$B$11:$B$22),COUNTIF(J117:U117,"x")),1)+IF(COUNTIF(J117:U117,"x")=0,(Besatzung!$F$12="x"),(K117="x")*(Besatzung!$F$12="x"))*IFERROR(H117,0)/IFERROR(IF(COUNTIF(J117:U117,"x")=0,SUMPRODUCT((Besatzung!$B$11:$B$22&lt;&gt;"")*(Besatzung!$F$11:$F$22="x")),SUMPRODUCT((J117:U117="x")*(Besatzung!$F$11:$F$22="x"))),1))))),0))))</f>
        <v/>
      </c>
      <c r="X117" s="247">
        <f>IF(C117="Gutschrift","",IF(G117="","",IF(Besatzung!$B$13="","",IFERROR(IF(I117="Zeitanteilig",(Besatzung!$G$13*(G117-IFERROR(H117,0))+((Besatzung!$B$13&lt;&gt;"")*IF(B117="",1,(IF(Besatzung!$C$13="",Besatzung!$B$5,Besatzung!$C$13)&lt;=B117)*(IF(Besatzung!$D$13="",Besatzung!$B$6,Besatzung!$D$13)&gt;=B117)))*(Besatzung!$F$13="x")*IFERROR(H117,0)/IFERROR(SUMPRODUCT((Besatzung!$B$11:$B$22&lt;&gt;"")*(Besatzung!$F$11:$F$22="x")*(IF(Besatzung!$C$11:$C$22="",Besatzung!$B$5,Besatzung!$C$11:$C$22)&lt;=B117)*(IF(Besatzung!$D$11:$D$22="",Besatzung!$B$6,Besatzung!$D$11:$D$22)&gt;=B117)),1)),IF(I117="An Bord",(((Besatzung!$B$13&lt;&gt;"")*IF(B117="",1,(IF(Besatzung!$C$13="",Besatzung!$B$5,Besatzung!$C$13)&lt;=B117)*(IF(Besatzung!$D$13="",Besatzung!$B$6,Besatzung!$D$13)&gt;=B117)))*((G117-IFERROR(H117,0))/IFERROR(SUMPRODUCT((Besatzung!$B$11:$B$22&lt;&gt;"")*(IF(Besatzung!$C$11:$C$22="",Besatzung!$B$5,Besatzung!$C$11:$C$22)&lt;=B117)*(IF(Besatzung!$D$11:$D$22="",Besatzung!$B$6,Besatzung!$D$11:$D$22)&gt;=B117)),1)+(Besatzung!$F$13="x")*IFERROR(H117,0)/IFERROR(SUMPRODUCT((Besatzung!$B$11:$B$22&lt;&gt;"")*(Besatzung!$F$11:$F$22="x")*(IF(Besatzung!$C$11:$C$22="",Besatzung!$B$5,Besatzung!$C$11:$C$22)&lt;=B117)*(IF(Besatzung!$D$11:$D$22="",Besatzung!$B$6,Besatzung!$D$11:$D$22)&gt;=B117)),1))),IF(I117="Individuell",((K117="x")*((G117-IFERROR(H117,0))/IFERROR(COUNTIF(J117:U117,"x"),1)+(Besatzung!$F$13="x")*IFERROR(H117,0)/IFERROR(SUMPRODUCT((J117:U117="x")*(Besatzung!$F$11:$F$22="x")),1))),(IF(COUNTIF(J117:U117,"x")=0,IF(Besatzung!$B$13&lt;&gt;"",1,0),(K117="x"))*(G117-IFERROR(H117,0))/IFERROR(IF(COUNTIF(J117:U117,"x")=0,COUNTA(Besatzung!$B$11:$B$22),COUNTIF(J117:U117,"x")),1)+IF(COUNTIF(J117:U117,"x")=0,(Besatzung!$F$13="x"),(K117="x")*(Besatzung!$F$13="x"))*IFERROR(H117,0)/IFERROR(IF(COUNTIF(J117:U117,"x")=0,SUMPRODUCT((Besatzung!$B$11:$B$22&lt;&gt;"")*(Besatzung!$F$11:$F$22="x")),SUMPRODUCT((J117:U117="x")*(Besatzung!$F$11:$F$22="x"))),1))))),0))))</f>
        <v/>
      </c>
      <c r="Y117" s="247">
        <f>IF(C117="Gutschrift","",IF(G117="","",IF(Besatzung!$B$14="","",IFERROR(IF(I117="Zeitanteilig",(Besatzung!$G$14*(G117-IFERROR(H117,0))+((Besatzung!$B$14&lt;&gt;"")*IF(B117="",1,(IF(Besatzung!$C$14="",Besatzung!$B$5,Besatzung!$C$14)&lt;=B117)*(IF(Besatzung!$D$14="",Besatzung!$B$6,Besatzung!$D$14)&gt;=B117)))*(Besatzung!$F$14="x")*IFERROR(H117,0)/IFERROR(SUMPRODUCT((Besatzung!$B$11:$B$22&lt;&gt;"")*(Besatzung!$F$11:$F$22="x")*(IF(Besatzung!$C$11:$C$22="",Besatzung!$B$5,Besatzung!$C$11:$C$22)&lt;=B117)*(IF(Besatzung!$D$11:$D$22="",Besatzung!$B$6,Besatzung!$D$11:$D$22)&gt;=B117)),1)),IF(I117="An Bord",(((Besatzung!$B$14&lt;&gt;"")*IF(B117="",1,(IF(Besatzung!$C$14="",Besatzung!$B$5,Besatzung!$C$14)&lt;=B117)*(IF(Besatzung!$D$14="",Besatzung!$B$6,Besatzung!$D$14)&gt;=B117)))*((G117-IFERROR(H117,0))/IFERROR(SUMPRODUCT((Besatzung!$B$11:$B$22&lt;&gt;"")*(IF(Besatzung!$C$11:$C$22="",Besatzung!$B$5,Besatzung!$C$11:$C$22)&lt;=B117)*(IF(Besatzung!$D$11:$D$22="",Besatzung!$B$6,Besatzung!$D$11:$D$22)&gt;=B117)),1)+(Besatzung!$F$14="x")*IFERROR(H117,0)/IFERROR(SUMPRODUCT((Besatzung!$B$11:$B$22&lt;&gt;"")*(Besatzung!$F$11:$F$22="x")*(IF(Besatzung!$C$11:$C$22="",Besatzung!$B$5,Besatzung!$C$11:$C$22)&lt;=B117)*(IF(Besatzung!$D$11:$D$22="",Besatzung!$B$6,Besatzung!$D$11:$D$22)&gt;=B117)),1))),IF(I117="Individuell",((M117="x")*((G117-IFERROR(H117,0))/IFERROR(COUNTIF(J117:U117,"x"),1)+(Besatzung!$F$14="x")*IFERROR(H117,0)/IFERROR(SUMPRODUCT((J117:U117="x")*(Besatzung!$F$11:$F$22="x")),1))),(IF(COUNTIF(J117:U117,"x")=0,IF(Besatzung!$B$14&lt;&gt;"",1,0),(M117="x"))*(G117-IFERROR(H117,0))/IFERROR(IF(COUNTIF(J117:U117,"x")=0,COUNTA(Besatzung!$B$11:$B$22),COUNTIF(J117:U117,"x")),1)+IF(COUNTIF(J117:U117,"x")=0,(Besatzung!$F$14="x"),(M117="x")*(Besatzung!$F$14="x"))*IFERROR(H117,0)/IFERROR(IF(COUNTIF(J117:U117,"x")=0,SUMPRODUCT((Besatzung!$B$11:$B$22&lt;&gt;"")*(Besatzung!$F$11:$F$22="x")),SUMPRODUCT((J117:U117="x")*(Besatzung!$F$11:$F$22="x"))),1))))),0))))</f>
        <v/>
      </c>
      <c r="Z117" s="247">
        <f>IF(C117="Gutschrift","",IF(G117="","",IF(Besatzung!$B$13="","",IFERROR(IF(I117="Zeitanteilig",(Besatzung!$G$15*(G117-IFERROR(H117,0))+((Besatzung!$B$13&lt;&gt;"")*IF(B117="",1,(IF(Besatzung!$C$15="",Besatzung!$B$5,Besatzung!$C$15)&lt;=B117)*(IF(Besatzung!$D$15="",Besatzung!$B$6,Besatzung!$D$15)&gt;=B117)))*(Besatzung!$F$15="x")*IFERROR(H117,0)/IFERROR(SUMPRODUCT((Besatzung!$B$11:$B$22&lt;&gt;"")*(Besatzung!$F$11:$F$22="x")*(IF(Besatzung!$C$11:$C$22="",Besatzung!$B$5,Besatzung!$C$11:$C$22)&lt;=B117)*(IF(Besatzung!$D$11:$D$22="",Besatzung!$B$6,Besatzung!$D$11:$D$22)&gt;=B117)),1)),IF(I117="An Bord",(((Besatzung!$B$13&lt;&gt;"")*IF(B117="",1,(IF(Besatzung!$C$15="",Besatzung!$B$5,Besatzung!$C$15)&lt;=B117)*(IF(Besatzung!$D$15="",Besatzung!$B$6,Besatzung!$D$15)&gt;=B117)))*((G117-IFERROR(H117,0))/IFERROR(SUMPRODUCT((Besatzung!$B$11:$B$22&lt;&gt;"")*(IF(Besatzung!$C$11:$C$22="",Besatzung!$B$5,Besatzung!$C$11:$C$22)&lt;=B117)*(IF(Besatzung!$D$11:$D$22="",Besatzung!$B$6,Besatzung!$D$11:$D$22)&gt;=B117)),1)+(Besatzung!$F$15="x")*IFERROR(H117,0)/IFERROR(SUMPRODUCT((Besatzung!$B$11:$B$22&lt;&gt;"")*(Besatzung!$F$11:$F$22="x")*(IF(Besatzung!$C$11:$C$22="",Besatzung!$B$5,Besatzung!$C$11:$C$22)&lt;=B117)*(IF(Besatzung!$D$11:$D$22="",Besatzung!$B$6,Besatzung!$D$11:$D$22)&gt;=B117)),1))),IF(I117="Individuell",((N117="x")*((G117-IFERROR(H117,0))/IFERROR(COUNTIF(J117:U117,"x"),1)+(Besatzung!$F$15="x")*IFERROR(H117,0)/IFERROR(SUMPRODUCT((J117:U117="x")*(Besatzung!$F$11:$F$22="x")),1))),(IF(COUNTIF(J117:U117,"x")=0,IF(Besatzung!$B$13&lt;&gt;"",1,0),(N117="x"))*(G117-IFERROR(H117,0))/IFERROR(IF(COUNTIF(J117:U117,"x")=0,COUNTA(Besatzung!$B$11:$B$22),COUNTIF(J117:U117,"x")),1)+IF(COUNTIF(J117:U117,"x")=0,(Besatzung!$F$15="x"),(N117="x")*(Besatzung!$F$15="x"))*IFERROR(H117,0)/IFERROR(IF(COUNTIF(J117:U117,"x")=0,SUMPRODUCT((Besatzung!$B$11:$B$22&lt;&gt;"")*(Besatzung!$F$11:$F$22="x")),SUMPRODUCT((J117:U117="x")*(Besatzung!$F$11:$F$22="x"))),1))))),0))))</f>
        <v/>
      </c>
      <c r="AA117" s="247">
        <f>IF(C117="Gutschrift","",IF(G117="","",IF(Besatzung!$B$15="","",IFERROR(IF(I117="Zeitanteilig",(Besatzung!$G$16*(G117-IFERROR(H117,0))+((Besatzung!$B$15&lt;&gt;"")*IF(B117="",1,(IF(Besatzung!$C$16="",Besatzung!$B$5,Besatzung!$C$16)&lt;=B117)*(IF(Besatzung!$D$16="",Besatzung!$B$6,Besatzung!$D$16)&gt;=B117)))*(Besatzung!$F$16="x")*IFERROR(H117,0)/IFERROR(SUMPRODUCT((Besatzung!$B$11:$B$22&lt;&gt;"")*(Besatzung!$F$11:$F$22="x")*(IF(Besatzung!$C$11:$C$22="",Besatzung!$B$5,Besatzung!$C$11:$C$22)&lt;=B117)*(IF(Besatzung!$D$11:$D$22="",Besatzung!$B$6,Besatzung!$D$11:$D$22)&gt;=B117)),1)),IF(I117="An Bord",(((Besatzung!$B$15&lt;&gt;"")*IF(B117="",1,(IF(Besatzung!$C$16="",Besatzung!$B$5,Besatzung!$C$16)&lt;=B117)*(IF(Besatzung!$D$16="",Besatzung!$B$6,Besatzung!$D$16)&gt;=B117)))*((G117-IFERROR(H117,0))/IFERROR(SUMPRODUCT((Besatzung!$B$11:$B$22&lt;&gt;"")*(IF(Besatzung!$C$11:$C$22="",Besatzung!$B$5,Besatzung!$C$11:$C$22)&lt;=B117)*(IF(Besatzung!$D$11:$D$22="",Besatzung!$B$6,Besatzung!$D$11:$D$22)&gt;=B117)),1)+(Besatzung!$F$16="x")*IFERROR(H117,0)/IFERROR(SUMPRODUCT((Besatzung!$B$11:$B$22&lt;&gt;"")*(Besatzung!$F$11:$F$22="x")*(IF(Besatzung!$C$11:$C$22="",Besatzung!$B$5,Besatzung!$C$11:$C$22)&lt;=B117)*(IF(Besatzung!$D$11:$D$22="",Besatzung!$B$6,Besatzung!$D$11:$D$22)&gt;=B117)),1))),IF(I117="Individuell",((O117="x")*((G117-IFERROR(H117,0))/IFERROR(COUNTIF(J117:U117,"x"),1)+(Besatzung!$F$16="x")*IFERROR(H117,0)/IFERROR(SUMPRODUCT((J117:U117="x")*(Besatzung!$F$11:$F$22="x")),1))),(IF(COUNTIF(J117:U117,"x")=0,IF(Besatzung!$B$15&lt;&gt;"",1,0),(O117="x"))*(G117-IFERROR(H117,0))/IFERROR(IF(COUNTIF(J117:U117,"x")=0,COUNTA(Besatzung!$B$11:$B$22),COUNTIF(J117:U117,"x")),1)+IF(COUNTIF(J117:U117,"x")=0,(Besatzung!$F$16="x"),(O117="x")*(Besatzung!$F$16="x"))*IFERROR(H117,0)/IFERROR(IF(COUNTIF(J117:U117,"x")=0,SUMPRODUCT((Besatzung!$B$11:$B$22&lt;&gt;"")*(Besatzung!$F$11:$F$22="x")),SUMPRODUCT((J117:U117="x")*(Besatzung!$F$11:$F$22="x"))),1))))),0))))</f>
        <v/>
      </c>
      <c r="AB117" s="247">
        <f>IF(C117="Gutschrift","",IF(G117="","",IF(Besatzung!$B$17="","",IFERROR(IF(I117="Zeitanteilig",(Besatzung!$G$17*(G117-IFERROR(H117,0))+((Besatzung!$B$17&lt;&gt;"")*IF(B117="",1,(IF(Besatzung!$C$17="",Besatzung!$B$5,Besatzung!$C$17)&lt;=B117)*(IF(Besatzung!$D$17="",Besatzung!$B$6,Besatzung!$D$17)&gt;=B117)))*(Besatzung!$F$17="x")*IFERROR(H117,0)/IFERROR(SUMPRODUCT((Besatzung!$B$11:$B$22&lt;&gt;"")*(Besatzung!$F$11:$F$22="x")*(IF(Besatzung!$C$11:$C$22="",Besatzung!$B$5,Besatzung!$C$11:$C$22)&lt;=B117)*(IF(Besatzung!$D$11:$D$22="",Besatzung!$B$6,Besatzung!$D$11:$D$22)&gt;=B117)),1)),IF(I117="An Bord",(((Besatzung!$B$17&lt;&gt;"")*IF(B117="",1,(IF(Besatzung!$C$17="",Besatzung!$B$5,Besatzung!$C$17)&lt;=B117)*(IF(Besatzung!$D$17="",Besatzung!$B$6,Besatzung!$D$17)&gt;=B117)))*((G117-IFERROR(H117,0))/IFERROR(SUMPRODUCT((Besatzung!$B$11:$B$22&lt;&gt;"")*(IF(Besatzung!$C$11:$C$22="",Besatzung!$B$5,Besatzung!$C$11:$C$22)&lt;=B117)*(IF(Besatzung!$D$11:$D$22="",Besatzung!$B$6,Besatzung!$D$11:$D$22)&gt;=B117)),1)+(Besatzung!$F$17="x")*IFERROR(H117,0)/IFERROR(SUMPRODUCT((Besatzung!$B$11:$B$22&lt;&gt;"")*(Besatzung!$F$11:$F$22="x")*(IF(Besatzung!$C$11:$C$22="",Besatzung!$B$5,Besatzung!$C$11:$C$22)&lt;=B117)*(IF(Besatzung!$D$11:$D$22="",Besatzung!$B$6,Besatzung!$D$11:$D$22)&gt;=B117)),1))),IF(I117="Individuell",((P117="x")*((G117-IFERROR(H117,0))/IFERROR(COUNTIF(J117:U117,"x"),1)+(Besatzung!$F$17="x")*IFERROR(H117,0)/IFERROR(SUMPRODUCT((J117:U117="x")*(Besatzung!$F$11:$F$22="x")),1))),(IF(COUNTIF(J117:U117,"x")=0,IF(Besatzung!$B$17&lt;&gt;"",1,0),(P117="x"))*(G117-IFERROR(H117,0))/IFERROR(IF(COUNTIF(J117:U117,"x")=0,COUNTA(Besatzung!$B$11:$B$22),COUNTIF(J117:U117,"x")),1)+IF(COUNTIF(J117:U117,"x")=0,(Besatzung!$F$17="x"),(P117="x")*(Besatzung!$F$17="x"))*IFERROR(H117,0)/IFERROR(IF(COUNTIF(J117:U117,"x")=0,SUMPRODUCT((Besatzung!$B$11:$B$22&lt;&gt;"")*(Besatzung!$F$11:$F$22="x")),SUMPRODUCT((J117:U117="x")*(Besatzung!$F$11:$F$22="x"))),1))))),0))))</f>
        <v/>
      </c>
      <c r="AC117" s="247">
        <f>IF(C117="Gutschrift","",IF(G117="","",IF(Besatzung!$B$18="","",IFERROR(IF(I117="Zeitanteilig",(Besatzung!$G$18*(G117-IFERROR(H117,0))+((Besatzung!$B$18&lt;&gt;"")*IF(B117="",1,(IF(Besatzung!$C$18="",Besatzung!$B$5,Besatzung!$C$18)&lt;=B117)*(IF(Besatzung!$D$18="",Besatzung!$B$6,Besatzung!$D$18)&gt;=B117)))*(Besatzung!$F$18="x")*IFERROR(H117,0)/IFERROR(SUMPRODUCT((Besatzung!$B$11:$B$22&lt;&gt;"")*(Besatzung!$F$11:$F$22="x")*(IF(Besatzung!$C$11:$C$22="",Besatzung!$B$5,Besatzung!$C$11:$C$22)&lt;=B117)*(IF(Besatzung!$D$11:$D$22="",Besatzung!$B$6,Besatzung!$D$11:$D$22)&gt;=B117)),1)),IF(I117="An Bord",(((Besatzung!$B$18&lt;&gt;"")*IF(B117="",1,(IF(Besatzung!$C$18="",Besatzung!$B$5,Besatzung!$C$18)&lt;=B117)*(IF(Besatzung!$D$18="",Besatzung!$B$6,Besatzung!$D$18)&gt;=B117)))*((G117-IFERROR(H117,0))/IFERROR(SUMPRODUCT((Besatzung!$B$11:$B$22&lt;&gt;"")*(IF(Besatzung!$C$11:$C$22="",Besatzung!$B$5,Besatzung!$C$11:$C$22)&lt;=B117)*(IF(Besatzung!$D$11:$D$22="",Besatzung!$B$6,Besatzung!$D$11:$D$22)&gt;=B117)),1)+(Besatzung!$F$18="x")*IFERROR(H117,0)/IFERROR(SUMPRODUCT((Besatzung!$B$11:$B$22&lt;&gt;"")*(Besatzung!$F$11:$F$22="x")*(IF(Besatzung!$C$11:$C$22="",Besatzung!$B$5,Besatzung!$C$11:$C$22)&lt;=B117)*(IF(Besatzung!$D$11:$D$22="",Besatzung!$B$6,Besatzung!$D$11:$D$22)&gt;=B117)),1))),IF(I117="Individuell",((Q117="x")*((G117-IFERROR(H117,0))/IFERROR(COUNTIF(J117:U117,"x"),1)+(Besatzung!$F$18="x")*IFERROR(H117,0)/IFERROR(SUMPRODUCT((J117:U117="x")*(Besatzung!$F$11:$F$22="x")),1))),(IF(COUNTIF(J117:U117,"x")=0,IF(Besatzung!$B$18&lt;&gt;"",1,0),(Q117="x"))*(G117-IFERROR(H117,0))/IFERROR(IF(COUNTIF(J117:U117,"x")=0,COUNTA(Besatzung!$B$11:$B$22),COUNTIF(J117:U117,"x")),1)+IF(COUNTIF(J117:U117,"x")=0,(Besatzung!$F$18="x"),(Q117="x")*(Besatzung!$F$18="x"))*IFERROR(H117,0)/IFERROR(IF(COUNTIF(J117:U117,"x")=0,SUMPRODUCT((Besatzung!$B$11:$B$22&lt;&gt;"")*(Besatzung!$F$11:$F$22="x")),SUMPRODUCT((J117:U117="x")*(Besatzung!$F$11:$F$22="x"))),1))))),0))))</f>
        <v/>
      </c>
      <c r="AD117" s="247">
        <f>IF(C117="Gutschrift","",IF(G117="","",IF(Besatzung!$B$19="","",IFERROR(IF(I117="Zeitanteilig",(Besatzung!$G$19*(G117-IFERROR(H117,0))+((Besatzung!$B$19&lt;&gt;"")*IF(B117="",1,(IF(Besatzung!$C$19="",Besatzung!$B$5,Besatzung!$C$19)&lt;=B117)*(IF(Besatzung!$D$19="",Besatzung!$B$6,Besatzung!$D$19)&gt;=B117)))*(Besatzung!$F$19="x")*IFERROR(H117,0)/IFERROR(SUMPRODUCT((Besatzung!$B$11:$B$22&lt;&gt;"")*(Besatzung!$F$11:$F$22="x")*(IF(Besatzung!$C$11:$C$22="",Besatzung!$B$5,Besatzung!$C$11:$C$22)&lt;=B117)*(IF(Besatzung!$D$11:$D$22="",Besatzung!$B$6,Besatzung!$D$11:$D$22)&gt;=B117)),1)),IF(I117="An Bord",(((Besatzung!$B$19&lt;&gt;"")*IF(B117="",1,(IF(Besatzung!$C$19="",Besatzung!$B$5,Besatzung!$C$19)&lt;=B117)*(IF(Besatzung!$D$19="",Besatzung!$B$6,Besatzung!$D$19)&gt;=B117)))*((G117-IFERROR(H117,0))/IFERROR(SUMPRODUCT((Besatzung!$B$11:$B$22&lt;&gt;"")*(IF(Besatzung!$C$11:$C$22="",Besatzung!$B$5,Besatzung!$C$11:$C$22)&lt;=B117)*(IF(Besatzung!$D$11:$D$22="",Besatzung!$B$6,Besatzung!$D$11:$D$22)&gt;=B117)),1)+(Besatzung!$F$19="x")*IFERROR(H117,0)/IFERROR(SUMPRODUCT((Besatzung!$B$11:$B$22&lt;&gt;"")*(Besatzung!$F$11:$F$22="x")*(IF(Besatzung!$C$11:$C$22="",Besatzung!$B$5,Besatzung!$C$11:$C$22)&lt;=B117)*(IF(Besatzung!$D$11:$D$22="",Besatzung!$B$6,Besatzung!$D$11:$D$22)&gt;=B117)),1))),IF(I117="Individuell",((R117="x")*((G117-IFERROR(H117,0))/IFERROR(COUNTIF(J117:U117,"x"),1)+(Besatzung!$F$19="x")*IFERROR(H117,0)/IFERROR(SUMPRODUCT((J117:U117="x")*(Besatzung!$F$11:$F$22="x")),1))),(IF(COUNTIF(J117:U117,"x")=0,IF(Besatzung!$B$19&lt;&gt;"",1,0),(R117="x"))*(G117-IFERROR(H117,0))/IFERROR(IF(COUNTIF(J117:U117,"x")=0,COUNTA(Besatzung!$B$11:$B$22),COUNTIF(J117:U117,"x")),1)+IF(COUNTIF(J117:U117,"x")=0,(Besatzung!$F$19="x"),(R117="x")*(Besatzung!$F$19="x"))*IFERROR(H117,0)/IFERROR(IF(COUNTIF(J117:U117,"x")=0,SUMPRODUCT((Besatzung!$B$11:$B$22&lt;&gt;"")*(Besatzung!$F$11:$F$22="x")),SUMPRODUCT((J117:U117="x")*(Besatzung!$F$11:$F$22="x"))),1))))),0))))</f>
        <v/>
      </c>
      <c r="AE117" s="247">
        <f>IF(C117="Gutschrift","",IF(G117="","",IF(Besatzung!$B$20="","",IFERROR(IF(I117="Zeitanteilig",(Besatzung!$G$20*(G117-IFERROR(H117,0))+((Besatzung!$B$20&lt;&gt;"")*IF(B117="",1,(IF(Besatzung!$C$20="",Besatzung!$B$5,Besatzung!$C$20)&lt;=B117)*(IF(Besatzung!$D$20="",Besatzung!$B$6,Besatzung!$D$20)&gt;=B117)))*(Besatzung!$F$20="x")*IFERROR(H117,0)/IFERROR(SUMPRODUCT((Besatzung!$B$11:$B$22&lt;&gt;"")*(Besatzung!$F$11:$F$22="x")*(IF(Besatzung!$C$11:$C$22="",Besatzung!$B$5,Besatzung!$C$11:$C$22)&lt;=B117)*(IF(Besatzung!$D$11:$D$22="",Besatzung!$B$6,Besatzung!$D$11:$D$22)&gt;=B117)),1)),IF(I117="An Bord",(((Besatzung!$B$20&lt;&gt;"")*IF(B117="",1,(IF(Besatzung!$C$20="",Besatzung!$B$5,Besatzung!$C$20)&lt;=B117)*(IF(Besatzung!$D$20="",Besatzung!$B$6,Besatzung!$D$20)&gt;=B117)))*((G117-IFERROR(H117,0))/IFERROR(SUMPRODUCT((Besatzung!$B$11:$B$22&lt;&gt;"")*(IF(Besatzung!$C$11:$C$22="",Besatzung!$B$5,Besatzung!$C$11:$C$22)&lt;=B117)*(IF(Besatzung!$D$11:$D$22="",Besatzung!$B$6,Besatzung!$D$11:$D$22)&gt;=B117)),1)+(Besatzung!$F$20="x")*IFERROR(H117,0)/IFERROR(SUMPRODUCT((Besatzung!$B$11:$B$22&lt;&gt;"")*(Besatzung!$F$11:$F$22="x")*(IF(Besatzung!$C$11:$C$22="",Besatzung!$B$5,Besatzung!$C$11:$C$22)&lt;=B117)*(IF(Besatzung!$D$11:$D$22="",Besatzung!$B$6,Besatzung!$D$11:$D$22)&gt;=B117)),1))),IF(I117="Individuell",((S117="x")*((G117-IFERROR(H117,0))/IFERROR(COUNTIF(J117:U117,"x"),1)+(Besatzung!$F$20="x")*IFERROR(H117,0)/IFERROR(SUMPRODUCT((J117:U117="x")*(Besatzung!$F$11:$F$22="x")),1))),(IF(COUNTIF(J117:U117,"x")=0,IF(Besatzung!$B$20&lt;&gt;"",1,0),(S117="x"))*(G117-IFERROR(H117,0))/IFERROR(IF(COUNTIF(J117:U117,"x")=0,COUNTA(Besatzung!$B$11:$B$22),COUNTIF(J117:U117,"x")),1)+IF(COUNTIF(J117:U117,"x")=0,(Besatzung!$F$20="x"),(S117="x")*(Besatzung!$F$20="x"))*IFERROR(H117,0)/IFERROR(IF(COUNTIF(J117:U117,"x")=0,SUMPRODUCT((Besatzung!$B$11:$B$22&lt;&gt;"")*(Besatzung!$F$11:$F$22="x")),SUMPRODUCT((J117:U117="x")*(Besatzung!$F$11:$F$22="x"))),1))))),0))))</f>
        <v/>
      </c>
      <c r="AF117" s="247">
        <f>IF(C117="Gutschrift","",IF(G117="","",IF(Besatzung!$B$21="","",IFERROR(IF(I117="Zeitanteilig",(Besatzung!$G$21*(G117-IFERROR(H117,0))+((Besatzung!$B$21&lt;&gt;"")*IF(B117="",1,(IF(Besatzung!$C$21="",Besatzung!$B$5,Besatzung!$C$21)&lt;=B117)*(IF(Besatzung!$D$21="",Besatzung!$B$6,Besatzung!$D$21)&gt;=B117)))*(Besatzung!$F$21="x")*IFERROR(H117,0)/IFERROR(SUMPRODUCT((Besatzung!$B$11:$B$22&lt;&gt;"")*(Besatzung!$F$11:$F$22="x")*(IF(Besatzung!$C$11:$C$22="",Besatzung!$B$5,Besatzung!$C$11:$C$22)&lt;=B117)*(IF(Besatzung!$D$11:$D$22="",Besatzung!$B$6,Besatzung!$D$11:$D$22)&gt;=B117)),1)),IF(I117="An Bord",(((Besatzung!$B$21&lt;&gt;"")*IF(B117="",1,(IF(Besatzung!$C$21="",Besatzung!$B$5,Besatzung!$C$21)&lt;=B117)*(IF(Besatzung!$D$21="",Besatzung!$B$6,Besatzung!$D$21)&gt;=B117)))*((G117-IFERROR(H117,0))/IFERROR(SUMPRODUCT((Besatzung!$B$11:$B$22&lt;&gt;"")*(IF(Besatzung!$C$11:$C$22="",Besatzung!$B$5,Besatzung!$C$11:$C$22)&lt;=B117)*(IF(Besatzung!$D$11:$D$22="",Besatzung!$B$6,Besatzung!$D$11:$D$22)&gt;=B117)),1)+(Besatzung!$F$21="x")*IFERROR(H117,0)/IFERROR(SUMPRODUCT((Besatzung!$B$11:$B$22&lt;&gt;"")*(Besatzung!$F$11:$F$22="x")*(IF(Besatzung!$C$11:$C$22="",Besatzung!$B$5,Besatzung!$C$11:$C$22)&lt;=B117)*(IF(Besatzung!$D$11:$D$22="",Besatzung!$B$6,Besatzung!$D$11:$D$22)&gt;=B117)),1))),IF(I117="Individuell",((T117="x")*((G117-IFERROR(H117,0))/IFERROR(COUNTIF(J117:U117,"x"),1)+(Besatzung!$F$21="x")*IFERROR(H117,0)/IFERROR(SUMPRODUCT((J117:U117="x")*(Besatzung!$F$11:$F$22="x")),1))),(IF(COUNTIF(J117:U117,"x")=0,IF(Besatzung!$B$21&lt;&gt;"",1,0),(T117="x"))*(G117-IFERROR(H117,0))/IFERROR(IF(COUNTIF(J117:U117,"x")=0,COUNTA(Besatzung!$B$11:$B$22),COUNTIF(J117:U117,"x")),1)+IF(COUNTIF(J117:U117,"x")=0,(Besatzung!$F$21="x"),(T117="x")*(Besatzung!$F$21="x"))*IFERROR(H117,0)/IFERROR(IF(COUNTIF(J117:U117,"x")=0,SUMPRODUCT((Besatzung!$B$11:$B$22&lt;&gt;"")*(Besatzung!$F$11:$F$22="x")),SUMPRODUCT((J117:U117="x")*(Besatzung!$F$11:$F$22="x"))),1))))),0))))</f>
        <v/>
      </c>
      <c r="AG117" s="247">
        <f>IF(C117="Gutschrift","",IF(G117="","",IF(Besatzung!$B$22="","",IFERROR(IF(I117="Zeitanteilig",(Besatzung!$G$22*(G117-IFERROR(H117,0))+((Besatzung!$B$22&lt;&gt;"")*IF(B117="",1,(IF(Besatzung!$C$22="",Besatzung!$B$5,Besatzung!$C$22)&lt;=B117)*(IF(Besatzung!$D$22="",Besatzung!$B$6,Besatzung!$D$22)&gt;=B117)))*(Besatzung!$F$22="x")*IFERROR(H117,0)/IFERROR(SUMPRODUCT((Besatzung!$B$11:$B$22&lt;&gt;"")*(Besatzung!$F$11:$F$22="x")*(IF(Besatzung!$C$11:$C$22="",Besatzung!$B$5,Besatzung!$C$11:$C$22)&lt;=B117)*(IF(Besatzung!$D$11:$D$22="",Besatzung!$B$6,Besatzung!$D$11:$D$22)&gt;=B117)),1)),IF(I117="An Bord",(((Besatzung!$B$22&lt;&gt;"")*IF(B117="",1,(IF(Besatzung!$C$22="",Besatzung!$B$5,Besatzung!$C$22)&lt;=B117)*(IF(Besatzung!$D$22="",Besatzung!$B$6,Besatzung!$D$22)&gt;=B117)))*((G117-IFERROR(H117,0))/IFERROR(SUMPRODUCT((Besatzung!$B$11:$B$22&lt;&gt;"")*(IF(Besatzung!$C$11:$C$22="",Besatzung!$B$5,Besatzung!$C$11:$C$22)&lt;=B117)*(IF(Besatzung!$D$11:$D$22="",Besatzung!$B$6,Besatzung!$D$11:$D$22)&gt;=B117)),1)+(Besatzung!$F$22="x")*IFERROR(H117,0)/IFERROR(SUMPRODUCT((Besatzung!$B$11:$B$22&lt;&gt;"")*(Besatzung!$F$11:$F$22="x")*(IF(Besatzung!$C$11:$C$22="",Besatzung!$B$5,Besatzung!$C$11:$C$22)&lt;=B117)*(IF(Besatzung!$D$11:$D$22="",Besatzung!$B$6,Besatzung!$D$11:$D$22)&gt;=B117)),1))),IF(I117="Individuell",((U117="x")*((G117-IFERROR(H117,0))/IFERROR(COUNTIF(J117:U117,"x"),1)+(Besatzung!$F$22="x")*IFERROR(H117,0)/IFERROR(SUMPRODUCT((J117:U117="x")*(Besatzung!$F$11:$F$22="x")),1))),(IF(COUNTIF(J117:U117,"x")=0,IF(Besatzung!$B$22&lt;&gt;"",1,0),(U117="x"))*(G117-IFERROR(H117,0))/IFERROR(IF(COUNTIF(J117:U117,"x")=0,COUNTA(Besatzung!$B$11:$B$22),COUNTIF(J117:U117,"x")),1)+IF(COUNTIF(J117:U117,"x")=0,(Besatzung!$F$22="x"),(U117="x")*(Besatzung!$F$22="x"))*IFERROR(H117,0)/IFERROR(IF(COUNTIF(J117:U117,"x")=0,SUMPRODUCT((Besatzung!$B$11:$B$22&lt;&gt;"")*(Besatzung!$F$11:$F$22="x")),SUMPRODUCT((J117:U117="x")*(Besatzung!$F$11:$F$22="x"))),1))))),0))))</f>
        <v/>
      </c>
      <c r="AH117" s="248" t="n"/>
      <c r="AI117" s="248" t="n"/>
    </row>
    <row r="118" ht="21.75" customHeight="1" s="154">
      <c r="A118" s="238">
        <f>IF(AND(D118="",C118=""),"",115)</f>
        <v/>
      </c>
      <c r="B118" s="199" t="n"/>
      <c r="C118" s="239" t="n"/>
      <c r="D118" s="240" t="n"/>
      <c r="E118" s="241" t="n"/>
      <c r="F118" s="242" t="n"/>
      <c r="G118" s="243" t="n"/>
      <c r="H118" s="244" t="n"/>
      <c r="I118" s="245" t="n"/>
      <c r="J118" s="246" t="n"/>
      <c r="K118" s="246" t="n"/>
      <c r="L118" s="246" t="n"/>
      <c r="M118" s="246" t="n"/>
      <c r="N118" s="246" t="n"/>
      <c r="O118" s="246" t="n"/>
      <c r="P118" s="246" t="n"/>
      <c r="Q118" s="246" t="n"/>
      <c r="R118" s="246" t="n"/>
      <c r="S118" s="246" t="n"/>
      <c r="T118" s="246" t="n"/>
      <c r="U118" s="246" t="n"/>
      <c r="V118" s="247">
        <f>IF(C118="Gutschrift","",IF(G118="","",IF(Besatzung!$B$11="","",IFERROR(IF(I118="Zeitanteilig",(Besatzung!$G$11*(G118-IFERROR(H118,0))+((Besatzung!$B$11&lt;&gt;"")*IF(B118="",1,(IF(Besatzung!$C$11="",Besatzung!$B$5,Besatzung!$C$11)&lt;=B118)*(IF(Besatzung!$D$11="",Besatzung!$B$6,Besatzung!$D$11)&gt;=B118)))*(Besatzung!$F$11="x")*IFERROR(H118,0)/IFERROR(SUMPRODUCT((Besatzung!$B$11:$B$22&lt;&gt;"")*(Besatzung!$F$11:$F$22="x")*(IF(Besatzung!$C$11:$C$22="",Besatzung!$B$5,Besatzung!$C$11:$C$22)&lt;=B118)*(IF(Besatzung!$D$11:$D$22="",Besatzung!$B$6,Besatzung!$D$11:$D$22)&gt;=B118)),1)),IF(I118="An Bord",(((Besatzung!$B$11&lt;&gt;"")*IF(B118="",1,(IF(Besatzung!$C$11="",Besatzung!$B$5,Besatzung!$C$11)&lt;=B118)*(IF(Besatzung!$D$11="",Besatzung!$B$6,Besatzung!$D$11)&gt;=B118)))*((G118-IFERROR(H118,0))/IFERROR(SUMPRODUCT((Besatzung!$B$11:$B$22&lt;&gt;"")*(IF(Besatzung!$C$11:$C$22="",Besatzung!$B$5,Besatzung!$C$11:$C$22)&lt;=B118)*(IF(Besatzung!$D$11:$D$22="",Besatzung!$B$6,Besatzung!$D$11:$D$22)&gt;=B118)),1)+(Besatzung!$F$11="x")*IFERROR(H118,0)/IFERROR(SUMPRODUCT((Besatzung!$B$11:$B$22&lt;&gt;"")*(Besatzung!$F$11:$F$22="x")*(IF(Besatzung!$C$11:$C$22="",Besatzung!$B$5,Besatzung!$C$11:$C$22)&lt;=B118)*(IF(Besatzung!$D$11:$D$22="",Besatzung!$B$6,Besatzung!$D$11:$D$22)&gt;=B118)),1))),IF(I118="Individuell",((J118="x")*((G118-IFERROR(H118,0))/IFERROR(COUNTIF(J118:U118,"x"),1)+(Besatzung!$F$11="x")*IFERROR(H118,0)/IFERROR(SUMPRODUCT((J118:U118="x")*(Besatzung!$F$11:$F$22="x")),1))),(IF(COUNTIF(J118:U118,"x")=0,IF(Besatzung!$B$11&lt;&gt;"",1,0),(J118="x"))*(G118-IFERROR(H118,0))/IFERROR(IF(COUNTIF(J118:U118,"x")=0,COUNTA(Besatzung!$B$11:$B$22),COUNTIF(J118:U118,"x")),1)+IF(COUNTIF(J118:U118,"x")=0,(Besatzung!$F$11="x"),(J118="x")*(Besatzung!$F$11="x"))*IFERROR(H118,0)/IFERROR(IF(COUNTIF(J118:U118,"x")=0,SUMPRODUCT((Besatzung!$B$11:$B$22&lt;&gt;"")*(Besatzung!$F$11:$F$22="x")),SUMPRODUCT((J118:U118="x")*(Besatzung!$F$11:$F$22="x"))),1))))),0))))</f>
        <v/>
      </c>
      <c r="W118" s="247">
        <f>IF(C118="Gutschrift","",IF(G118="","",IF(Besatzung!$B$12="","",IFERROR(IF(I118="Zeitanteilig",(Besatzung!$G$12*(G118-IFERROR(H118,0))+((Besatzung!$B$12&lt;&gt;"")*IF(B118="",1,(IF(Besatzung!$C$12="",Besatzung!$B$5,Besatzung!$C$12)&lt;=B118)*(IF(Besatzung!$D$12="",Besatzung!$B$6,Besatzung!$D$12)&gt;=B118)))*(Besatzung!$F$12="x")*IFERROR(H118,0)/IFERROR(SUMPRODUCT((Besatzung!$B$11:$B$22&lt;&gt;"")*(Besatzung!$F$11:$F$22="x")*(IF(Besatzung!$C$11:$C$22="",Besatzung!$B$5,Besatzung!$C$11:$C$22)&lt;=B118)*(IF(Besatzung!$D$11:$D$22="",Besatzung!$B$6,Besatzung!$D$11:$D$22)&gt;=B118)),1)),IF(I118="An Bord",(((Besatzung!$B$12&lt;&gt;"")*IF(B118="",1,(IF(Besatzung!$C$12="",Besatzung!$B$5,Besatzung!$C$12)&lt;=B118)*(IF(Besatzung!$D$12="",Besatzung!$B$6,Besatzung!$D$12)&gt;=B118)))*((G118-IFERROR(H118,0))/IFERROR(SUMPRODUCT((Besatzung!$B$11:$B$22&lt;&gt;"")*(IF(Besatzung!$C$11:$C$22="",Besatzung!$B$5,Besatzung!$C$11:$C$22)&lt;=B118)*(IF(Besatzung!$D$11:$D$22="",Besatzung!$B$6,Besatzung!$D$11:$D$22)&gt;=B118)),1)+(Besatzung!$F$12="x")*IFERROR(H118,0)/IFERROR(SUMPRODUCT((Besatzung!$B$11:$B$22&lt;&gt;"")*(Besatzung!$F$11:$F$22="x")*(IF(Besatzung!$C$11:$C$22="",Besatzung!$B$5,Besatzung!$C$11:$C$22)&lt;=B118)*(IF(Besatzung!$D$11:$D$22="",Besatzung!$B$6,Besatzung!$D$11:$D$22)&gt;=B118)),1))),IF(I118="Individuell",((K118="x")*((G118-IFERROR(H118,0))/IFERROR(COUNTIF(J118:U118,"x"),1)+(Besatzung!$F$12="x")*IFERROR(H118,0)/IFERROR(SUMPRODUCT((J118:U118="x")*(Besatzung!$F$11:$F$22="x")),1))),(IF(COUNTIF(J118:U118,"x")=0,IF(Besatzung!$B$12&lt;&gt;"",1,0),(K118="x"))*(G118-IFERROR(H118,0))/IFERROR(IF(COUNTIF(J118:U118,"x")=0,COUNTA(Besatzung!$B$11:$B$22),COUNTIF(J118:U118,"x")),1)+IF(COUNTIF(J118:U118,"x")=0,(Besatzung!$F$12="x"),(K118="x")*(Besatzung!$F$12="x"))*IFERROR(H118,0)/IFERROR(IF(COUNTIF(J118:U118,"x")=0,SUMPRODUCT((Besatzung!$B$11:$B$22&lt;&gt;"")*(Besatzung!$F$11:$F$22="x")),SUMPRODUCT((J118:U118="x")*(Besatzung!$F$11:$F$22="x"))),1))))),0))))</f>
        <v/>
      </c>
      <c r="X118" s="247">
        <f>IF(C118="Gutschrift","",IF(G118="","",IF(Besatzung!$B$13="","",IFERROR(IF(I118="Zeitanteilig",(Besatzung!$G$13*(G118-IFERROR(H118,0))+((Besatzung!$B$13&lt;&gt;"")*IF(B118="",1,(IF(Besatzung!$C$13="",Besatzung!$B$5,Besatzung!$C$13)&lt;=B118)*(IF(Besatzung!$D$13="",Besatzung!$B$6,Besatzung!$D$13)&gt;=B118)))*(Besatzung!$F$13="x")*IFERROR(H118,0)/IFERROR(SUMPRODUCT((Besatzung!$B$11:$B$22&lt;&gt;"")*(Besatzung!$F$11:$F$22="x")*(IF(Besatzung!$C$11:$C$22="",Besatzung!$B$5,Besatzung!$C$11:$C$22)&lt;=B118)*(IF(Besatzung!$D$11:$D$22="",Besatzung!$B$6,Besatzung!$D$11:$D$22)&gt;=B118)),1)),IF(I118="An Bord",(((Besatzung!$B$13&lt;&gt;"")*IF(B118="",1,(IF(Besatzung!$C$13="",Besatzung!$B$5,Besatzung!$C$13)&lt;=B118)*(IF(Besatzung!$D$13="",Besatzung!$B$6,Besatzung!$D$13)&gt;=B118)))*((G118-IFERROR(H118,0))/IFERROR(SUMPRODUCT((Besatzung!$B$11:$B$22&lt;&gt;"")*(IF(Besatzung!$C$11:$C$22="",Besatzung!$B$5,Besatzung!$C$11:$C$22)&lt;=B118)*(IF(Besatzung!$D$11:$D$22="",Besatzung!$B$6,Besatzung!$D$11:$D$22)&gt;=B118)),1)+(Besatzung!$F$13="x")*IFERROR(H118,0)/IFERROR(SUMPRODUCT((Besatzung!$B$11:$B$22&lt;&gt;"")*(Besatzung!$F$11:$F$22="x")*(IF(Besatzung!$C$11:$C$22="",Besatzung!$B$5,Besatzung!$C$11:$C$22)&lt;=B118)*(IF(Besatzung!$D$11:$D$22="",Besatzung!$B$6,Besatzung!$D$11:$D$22)&gt;=B118)),1))),IF(I118="Individuell",((K118="x")*((G118-IFERROR(H118,0))/IFERROR(COUNTIF(J118:U118,"x"),1)+(Besatzung!$F$13="x")*IFERROR(H118,0)/IFERROR(SUMPRODUCT((J118:U118="x")*(Besatzung!$F$11:$F$22="x")),1))),(IF(COUNTIF(J118:U118,"x")=0,IF(Besatzung!$B$13&lt;&gt;"",1,0),(K118="x"))*(G118-IFERROR(H118,0))/IFERROR(IF(COUNTIF(J118:U118,"x")=0,COUNTA(Besatzung!$B$11:$B$22),COUNTIF(J118:U118,"x")),1)+IF(COUNTIF(J118:U118,"x")=0,(Besatzung!$F$13="x"),(K118="x")*(Besatzung!$F$13="x"))*IFERROR(H118,0)/IFERROR(IF(COUNTIF(J118:U118,"x")=0,SUMPRODUCT((Besatzung!$B$11:$B$22&lt;&gt;"")*(Besatzung!$F$11:$F$22="x")),SUMPRODUCT((J118:U118="x")*(Besatzung!$F$11:$F$22="x"))),1))))),0))))</f>
        <v/>
      </c>
      <c r="Y118" s="247">
        <f>IF(C118="Gutschrift","",IF(G118="","",IF(Besatzung!$B$14="","",IFERROR(IF(I118="Zeitanteilig",(Besatzung!$G$14*(G118-IFERROR(H118,0))+((Besatzung!$B$14&lt;&gt;"")*IF(B118="",1,(IF(Besatzung!$C$14="",Besatzung!$B$5,Besatzung!$C$14)&lt;=B118)*(IF(Besatzung!$D$14="",Besatzung!$B$6,Besatzung!$D$14)&gt;=B118)))*(Besatzung!$F$14="x")*IFERROR(H118,0)/IFERROR(SUMPRODUCT((Besatzung!$B$11:$B$22&lt;&gt;"")*(Besatzung!$F$11:$F$22="x")*(IF(Besatzung!$C$11:$C$22="",Besatzung!$B$5,Besatzung!$C$11:$C$22)&lt;=B118)*(IF(Besatzung!$D$11:$D$22="",Besatzung!$B$6,Besatzung!$D$11:$D$22)&gt;=B118)),1)),IF(I118="An Bord",(((Besatzung!$B$14&lt;&gt;"")*IF(B118="",1,(IF(Besatzung!$C$14="",Besatzung!$B$5,Besatzung!$C$14)&lt;=B118)*(IF(Besatzung!$D$14="",Besatzung!$B$6,Besatzung!$D$14)&gt;=B118)))*((G118-IFERROR(H118,0))/IFERROR(SUMPRODUCT((Besatzung!$B$11:$B$22&lt;&gt;"")*(IF(Besatzung!$C$11:$C$22="",Besatzung!$B$5,Besatzung!$C$11:$C$22)&lt;=B118)*(IF(Besatzung!$D$11:$D$22="",Besatzung!$B$6,Besatzung!$D$11:$D$22)&gt;=B118)),1)+(Besatzung!$F$14="x")*IFERROR(H118,0)/IFERROR(SUMPRODUCT((Besatzung!$B$11:$B$22&lt;&gt;"")*(Besatzung!$F$11:$F$22="x")*(IF(Besatzung!$C$11:$C$22="",Besatzung!$B$5,Besatzung!$C$11:$C$22)&lt;=B118)*(IF(Besatzung!$D$11:$D$22="",Besatzung!$B$6,Besatzung!$D$11:$D$22)&gt;=B118)),1))),IF(I118="Individuell",((M118="x")*((G118-IFERROR(H118,0))/IFERROR(COUNTIF(J118:U118,"x"),1)+(Besatzung!$F$14="x")*IFERROR(H118,0)/IFERROR(SUMPRODUCT((J118:U118="x")*(Besatzung!$F$11:$F$22="x")),1))),(IF(COUNTIF(J118:U118,"x")=0,IF(Besatzung!$B$14&lt;&gt;"",1,0),(M118="x"))*(G118-IFERROR(H118,0))/IFERROR(IF(COUNTIF(J118:U118,"x")=0,COUNTA(Besatzung!$B$11:$B$22),COUNTIF(J118:U118,"x")),1)+IF(COUNTIF(J118:U118,"x")=0,(Besatzung!$F$14="x"),(M118="x")*(Besatzung!$F$14="x"))*IFERROR(H118,0)/IFERROR(IF(COUNTIF(J118:U118,"x")=0,SUMPRODUCT((Besatzung!$B$11:$B$22&lt;&gt;"")*(Besatzung!$F$11:$F$22="x")),SUMPRODUCT((J118:U118="x")*(Besatzung!$F$11:$F$22="x"))),1))))),0))))</f>
        <v/>
      </c>
      <c r="Z118" s="247">
        <f>IF(C118="Gutschrift","",IF(G118="","",IF(Besatzung!$B$13="","",IFERROR(IF(I118="Zeitanteilig",(Besatzung!$G$15*(G118-IFERROR(H118,0))+((Besatzung!$B$13&lt;&gt;"")*IF(B118="",1,(IF(Besatzung!$C$15="",Besatzung!$B$5,Besatzung!$C$15)&lt;=B118)*(IF(Besatzung!$D$15="",Besatzung!$B$6,Besatzung!$D$15)&gt;=B118)))*(Besatzung!$F$15="x")*IFERROR(H118,0)/IFERROR(SUMPRODUCT((Besatzung!$B$11:$B$22&lt;&gt;"")*(Besatzung!$F$11:$F$22="x")*(IF(Besatzung!$C$11:$C$22="",Besatzung!$B$5,Besatzung!$C$11:$C$22)&lt;=B118)*(IF(Besatzung!$D$11:$D$22="",Besatzung!$B$6,Besatzung!$D$11:$D$22)&gt;=B118)),1)),IF(I118="An Bord",(((Besatzung!$B$13&lt;&gt;"")*IF(B118="",1,(IF(Besatzung!$C$15="",Besatzung!$B$5,Besatzung!$C$15)&lt;=B118)*(IF(Besatzung!$D$15="",Besatzung!$B$6,Besatzung!$D$15)&gt;=B118)))*((G118-IFERROR(H118,0))/IFERROR(SUMPRODUCT((Besatzung!$B$11:$B$22&lt;&gt;"")*(IF(Besatzung!$C$11:$C$22="",Besatzung!$B$5,Besatzung!$C$11:$C$22)&lt;=B118)*(IF(Besatzung!$D$11:$D$22="",Besatzung!$B$6,Besatzung!$D$11:$D$22)&gt;=B118)),1)+(Besatzung!$F$15="x")*IFERROR(H118,0)/IFERROR(SUMPRODUCT((Besatzung!$B$11:$B$22&lt;&gt;"")*(Besatzung!$F$11:$F$22="x")*(IF(Besatzung!$C$11:$C$22="",Besatzung!$B$5,Besatzung!$C$11:$C$22)&lt;=B118)*(IF(Besatzung!$D$11:$D$22="",Besatzung!$B$6,Besatzung!$D$11:$D$22)&gt;=B118)),1))),IF(I118="Individuell",((N118="x")*((G118-IFERROR(H118,0))/IFERROR(COUNTIF(J118:U118,"x"),1)+(Besatzung!$F$15="x")*IFERROR(H118,0)/IFERROR(SUMPRODUCT((J118:U118="x")*(Besatzung!$F$11:$F$22="x")),1))),(IF(COUNTIF(J118:U118,"x")=0,IF(Besatzung!$B$13&lt;&gt;"",1,0),(N118="x"))*(G118-IFERROR(H118,0))/IFERROR(IF(COUNTIF(J118:U118,"x")=0,COUNTA(Besatzung!$B$11:$B$22),COUNTIF(J118:U118,"x")),1)+IF(COUNTIF(J118:U118,"x")=0,(Besatzung!$F$15="x"),(N118="x")*(Besatzung!$F$15="x"))*IFERROR(H118,0)/IFERROR(IF(COUNTIF(J118:U118,"x")=0,SUMPRODUCT((Besatzung!$B$11:$B$22&lt;&gt;"")*(Besatzung!$F$11:$F$22="x")),SUMPRODUCT((J118:U118="x")*(Besatzung!$F$11:$F$22="x"))),1))))),0))))</f>
        <v/>
      </c>
      <c r="AA118" s="247">
        <f>IF(C118="Gutschrift","",IF(G118="","",IF(Besatzung!$B$15="","",IFERROR(IF(I118="Zeitanteilig",(Besatzung!$G$16*(G118-IFERROR(H118,0))+((Besatzung!$B$15&lt;&gt;"")*IF(B118="",1,(IF(Besatzung!$C$16="",Besatzung!$B$5,Besatzung!$C$16)&lt;=B118)*(IF(Besatzung!$D$16="",Besatzung!$B$6,Besatzung!$D$16)&gt;=B118)))*(Besatzung!$F$16="x")*IFERROR(H118,0)/IFERROR(SUMPRODUCT((Besatzung!$B$11:$B$22&lt;&gt;"")*(Besatzung!$F$11:$F$22="x")*(IF(Besatzung!$C$11:$C$22="",Besatzung!$B$5,Besatzung!$C$11:$C$22)&lt;=B118)*(IF(Besatzung!$D$11:$D$22="",Besatzung!$B$6,Besatzung!$D$11:$D$22)&gt;=B118)),1)),IF(I118="An Bord",(((Besatzung!$B$15&lt;&gt;"")*IF(B118="",1,(IF(Besatzung!$C$16="",Besatzung!$B$5,Besatzung!$C$16)&lt;=B118)*(IF(Besatzung!$D$16="",Besatzung!$B$6,Besatzung!$D$16)&gt;=B118)))*((G118-IFERROR(H118,0))/IFERROR(SUMPRODUCT((Besatzung!$B$11:$B$22&lt;&gt;"")*(IF(Besatzung!$C$11:$C$22="",Besatzung!$B$5,Besatzung!$C$11:$C$22)&lt;=B118)*(IF(Besatzung!$D$11:$D$22="",Besatzung!$B$6,Besatzung!$D$11:$D$22)&gt;=B118)),1)+(Besatzung!$F$16="x")*IFERROR(H118,0)/IFERROR(SUMPRODUCT((Besatzung!$B$11:$B$22&lt;&gt;"")*(Besatzung!$F$11:$F$22="x")*(IF(Besatzung!$C$11:$C$22="",Besatzung!$B$5,Besatzung!$C$11:$C$22)&lt;=B118)*(IF(Besatzung!$D$11:$D$22="",Besatzung!$B$6,Besatzung!$D$11:$D$22)&gt;=B118)),1))),IF(I118="Individuell",((O118="x")*((G118-IFERROR(H118,0))/IFERROR(COUNTIF(J118:U118,"x"),1)+(Besatzung!$F$16="x")*IFERROR(H118,0)/IFERROR(SUMPRODUCT((J118:U118="x")*(Besatzung!$F$11:$F$22="x")),1))),(IF(COUNTIF(J118:U118,"x")=0,IF(Besatzung!$B$15&lt;&gt;"",1,0),(O118="x"))*(G118-IFERROR(H118,0))/IFERROR(IF(COUNTIF(J118:U118,"x")=0,COUNTA(Besatzung!$B$11:$B$22),COUNTIF(J118:U118,"x")),1)+IF(COUNTIF(J118:U118,"x")=0,(Besatzung!$F$16="x"),(O118="x")*(Besatzung!$F$16="x"))*IFERROR(H118,0)/IFERROR(IF(COUNTIF(J118:U118,"x")=0,SUMPRODUCT((Besatzung!$B$11:$B$22&lt;&gt;"")*(Besatzung!$F$11:$F$22="x")),SUMPRODUCT((J118:U118="x")*(Besatzung!$F$11:$F$22="x"))),1))))),0))))</f>
        <v/>
      </c>
      <c r="AB118" s="247">
        <f>IF(C118="Gutschrift","",IF(G118="","",IF(Besatzung!$B$17="","",IFERROR(IF(I118="Zeitanteilig",(Besatzung!$G$17*(G118-IFERROR(H118,0))+((Besatzung!$B$17&lt;&gt;"")*IF(B118="",1,(IF(Besatzung!$C$17="",Besatzung!$B$5,Besatzung!$C$17)&lt;=B118)*(IF(Besatzung!$D$17="",Besatzung!$B$6,Besatzung!$D$17)&gt;=B118)))*(Besatzung!$F$17="x")*IFERROR(H118,0)/IFERROR(SUMPRODUCT((Besatzung!$B$11:$B$22&lt;&gt;"")*(Besatzung!$F$11:$F$22="x")*(IF(Besatzung!$C$11:$C$22="",Besatzung!$B$5,Besatzung!$C$11:$C$22)&lt;=B118)*(IF(Besatzung!$D$11:$D$22="",Besatzung!$B$6,Besatzung!$D$11:$D$22)&gt;=B118)),1)),IF(I118="An Bord",(((Besatzung!$B$17&lt;&gt;"")*IF(B118="",1,(IF(Besatzung!$C$17="",Besatzung!$B$5,Besatzung!$C$17)&lt;=B118)*(IF(Besatzung!$D$17="",Besatzung!$B$6,Besatzung!$D$17)&gt;=B118)))*((G118-IFERROR(H118,0))/IFERROR(SUMPRODUCT((Besatzung!$B$11:$B$22&lt;&gt;"")*(IF(Besatzung!$C$11:$C$22="",Besatzung!$B$5,Besatzung!$C$11:$C$22)&lt;=B118)*(IF(Besatzung!$D$11:$D$22="",Besatzung!$B$6,Besatzung!$D$11:$D$22)&gt;=B118)),1)+(Besatzung!$F$17="x")*IFERROR(H118,0)/IFERROR(SUMPRODUCT((Besatzung!$B$11:$B$22&lt;&gt;"")*(Besatzung!$F$11:$F$22="x")*(IF(Besatzung!$C$11:$C$22="",Besatzung!$B$5,Besatzung!$C$11:$C$22)&lt;=B118)*(IF(Besatzung!$D$11:$D$22="",Besatzung!$B$6,Besatzung!$D$11:$D$22)&gt;=B118)),1))),IF(I118="Individuell",((P118="x")*((G118-IFERROR(H118,0))/IFERROR(COUNTIF(J118:U118,"x"),1)+(Besatzung!$F$17="x")*IFERROR(H118,0)/IFERROR(SUMPRODUCT((J118:U118="x")*(Besatzung!$F$11:$F$22="x")),1))),(IF(COUNTIF(J118:U118,"x")=0,IF(Besatzung!$B$17&lt;&gt;"",1,0),(P118="x"))*(G118-IFERROR(H118,0))/IFERROR(IF(COUNTIF(J118:U118,"x")=0,COUNTA(Besatzung!$B$11:$B$22),COUNTIF(J118:U118,"x")),1)+IF(COUNTIF(J118:U118,"x")=0,(Besatzung!$F$17="x"),(P118="x")*(Besatzung!$F$17="x"))*IFERROR(H118,0)/IFERROR(IF(COUNTIF(J118:U118,"x")=0,SUMPRODUCT((Besatzung!$B$11:$B$22&lt;&gt;"")*(Besatzung!$F$11:$F$22="x")),SUMPRODUCT((J118:U118="x")*(Besatzung!$F$11:$F$22="x"))),1))))),0))))</f>
        <v/>
      </c>
      <c r="AC118" s="247">
        <f>IF(C118="Gutschrift","",IF(G118="","",IF(Besatzung!$B$18="","",IFERROR(IF(I118="Zeitanteilig",(Besatzung!$G$18*(G118-IFERROR(H118,0))+((Besatzung!$B$18&lt;&gt;"")*IF(B118="",1,(IF(Besatzung!$C$18="",Besatzung!$B$5,Besatzung!$C$18)&lt;=B118)*(IF(Besatzung!$D$18="",Besatzung!$B$6,Besatzung!$D$18)&gt;=B118)))*(Besatzung!$F$18="x")*IFERROR(H118,0)/IFERROR(SUMPRODUCT((Besatzung!$B$11:$B$22&lt;&gt;"")*(Besatzung!$F$11:$F$22="x")*(IF(Besatzung!$C$11:$C$22="",Besatzung!$B$5,Besatzung!$C$11:$C$22)&lt;=B118)*(IF(Besatzung!$D$11:$D$22="",Besatzung!$B$6,Besatzung!$D$11:$D$22)&gt;=B118)),1)),IF(I118="An Bord",(((Besatzung!$B$18&lt;&gt;"")*IF(B118="",1,(IF(Besatzung!$C$18="",Besatzung!$B$5,Besatzung!$C$18)&lt;=B118)*(IF(Besatzung!$D$18="",Besatzung!$B$6,Besatzung!$D$18)&gt;=B118)))*((G118-IFERROR(H118,0))/IFERROR(SUMPRODUCT((Besatzung!$B$11:$B$22&lt;&gt;"")*(IF(Besatzung!$C$11:$C$22="",Besatzung!$B$5,Besatzung!$C$11:$C$22)&lt;=B118)*(IF(Besatzung!$D$11:$D$22="",Besatzung!$B$6,Besatzung!$D$11:$D$22)&gt;=B118)),1)+(Besatzung!$F$18="x")*IFERROR(H118,0)/IFERROR(SUMPRODUCT((Besatzung!$B$11:$B$22&lt;&gt;"")*(Besatzung!$F$11:$F$22="x")*(IF(Besatzung!$C$11:$C$22="",Besatzung!$B$5,Besatzung!$C$11:$C$22)&lt;=B118)*(IF(Besatzung!$D$11:$D$22="",Besatzung!$B$6,Besatzung!$D$11:$D$22)&gt;=B118)),1))),IF(I118="Individuell",((Q118="x")*((G118-IFERROR(H118,0))/IFERROR(COUNTIF(J118:U118,"x"),1)+(Besatzung!$F$18="x")*IFERROR(H118,0)/IFERROR(SUMPRODUCT((J118:U118="x")*(Besatzung!$F$11:$F$22="x")),1))),(IF(COUNTIF(J118:U118,"x")=0,IF(Besatzung!$B$18&lt;&gt;"",1,0),(Q118="x"))*(G118-IFERROR(H118,0))/IFERROR(IF(COUNTIF(J118:U118,"x")=0,COUNTA(Besatzung!$B$11:$B$22),COUNTIF(J118:U118,"x")),1)+IF(COUNTIF(J118:U118,"x")=0,(Besatzung!$F$18="x"),(Q118="x")*(Besatzung!$F$18="x"))*IFERROR(H118,0)/IFERROR(IF(COUNTIF(J118:U118,"x")=0,SUMPRODUCT((Besatzung!$B$11:$B$22&lt;&gt;"")*(Besatzung!$F$11:$F$22="x")),SUMPRODUCT((J118:U118="x")*(Besatzung!$F$11:$F$22="x"))),1))))),0))))</f>
        <v/>
      </c>
      <c r="AD118" s="247">
        <f>IF(C118="Gutschrift","",IF(G118="","",IF(Besatzung!$B$19="","",IFERROR(IF(I118="Zeitanteilig",(Besatzung!$G$19*(G118-IFERROR(H118,0))+((Besatzung!$B$19&lt;&gt;"")*IF(B118="",1,(IF(Besatzung!$C$19="",Besatzung!$B$5,Besatzung!$C$19)&lt;=B118)*(IF(Besatzung!$D$19="",Besatzung!$B$6,Besatzung!$D$19)&gt;=B118)))*(Besatzung!$F$19="x")*IFERROR(H118,0)/IFERROR(SUMPRODUCT((Besatzung!$B$11:$B$22&lt;&gt;"")*(Besatzung!$F$11:$F$22="x")*(IF(Besatzung!$C$11:$C$22="",Besatzung!$B$5,Besatzung!$C$11:$C$22)&lt;=B118)*(IF(Besatzung!$D$11:$D$22="",Besatzung!$B$6,Besatzung!$D$11:$D$22)&gt;=B118)),1)),IF(I118="An Bord",(((Besatzung!$B$19&lt;&gt;"")*IF(B118="",1,(IF(Besatzung!$C$19="",Besatzung!$B$5,Besatzung!$C$19)&lt;=B118)*(IF(Besatzung!$D$19="",Besatzung!$B$6,Besatzung!$D$19)&gt;=B118)))*((G118-IFERROR(H118,0))/IFERROR(SUMPRODUCT((Besatzung!$B$11:$B$22&lt;&gt;"")*(IF(Besatzung!$C$11:$C$22="",Besatzung!$B$5,Besatzung!$C$11:$C$22)&lt;=B118)*(IF(Besatzung!$D$11:$D$22="",Besatzung!$B$6,Besatzung!$D$11:$D$22)&gt;=B118)),1)+(Besatzung!$F$19="x")*IFERROR(H118,0)/IFERROR(SUMPRODUCT((Besatzung!$B$11:$B$22&lt;&gt;"")*(Besatzung!$F$11:$F$22="x")*(IF(Besatzung!$C$11:$C$22="",Besatzung!$B$5,Besatzung!$C$11:$C$22)&lt;=B118)*(IF(Besatzung!$D$11:$D$22="",Besatzung!$B$6,Besatzung!$D$11:$D$22)&gt;=B118)),1))),IF(I118="Individuell",((R118="x")*((G118-IFERROR(H118,0))/IFERROR(COUNTIF(J118:U118,"x"),1)+(Besatzung!$F$19="x")*IFERROR(H118,0)/IFERROR(SUMPRODUCT((J118:U118="x")*(Besatzung!$F$11:$F$22="x")),1))),(IF(COUNTIF(J118:U118,"x")=0,IF(Besatzung!$B$19&lt;&gt;"",1,0),(R118="x"))*(G118-IFERROR(H118,0))/IFERROR(IF(COUNTIF(J118:U118,"x")=0,COUNTA(Besatzung!$B$11:$B$22),COUNTIF(J118:U118,"x")),1)+IF(COUNTIF(J118:U118,"x")=0,(Besatzung!$F$19="x"),(R118="x")*(Besatzung!$F$19="x"))*IFERROR(H118,0)/IFERROR(IF(COUNTIF(J118:U118,"x")=0,SUMPRODUCT((Besatzung!$B$11:$B$22&lt;&gt;"")*(Besatzung!$F$11:$F$22="x")),SUMPRODUCT((J118:U118="x")*(Besatzung!$F$11:$F$22="x"))),1))))),0))))</f>
        <v/>
      </c>
      <c r="AE118" s="247">
        <f>IF(C118="Gutschrift","",IF(G118="","",IF(Besatzung!$B$20="","",IFERROR(IF(I118="Zeitanteilig",(Besatzung!$G$20*(G118-IFERROR(H118,0))+((Besatzung!$B$20&lt;&gt;"")*IF(B118="",1,(IF(Besatzung!$C$20="",Besatzung!$B$5,Besatzung!$C$20)&lt;=B118)*(IF(Besatzung!$D$20="",Besatzung!$B$6,Besatzung!$D$20)&gt;=B118)))*(Besatzung!$F$20="x")*IFERROR(H118,0)/IFERROR(SUMPRODUCT((Besatzung!$B$11:$B$22&lt;&gt;"")*(Besatzung!$F$11:$F$22="x")*(IF(Besatzung!$C$11:$C$22="",Besatzung!$B$5,Besatzung!$C$11:$C$22)&lt;=B118)*(IF(Besatzung!$D$11:$D$22="",Besatzung!$B$6,Besatzung!$D$11:$D$22)&gt;=B118)),1)),IF(I118="An Bord",(((Besatzung!$B$20&lt;&gt;"")*IF(B118="",1,(IF(Besatzung!$C$20="",Besatzung!$B$5,Besatzung!$C$20)&lt;=B118)*(IF(Besatzung!$D$20="",Besatzung!$B$6,Besatzung!$D$20)&gt;=B118)))*((G118-IFERROR(H118,0))/IFERROR(SUMPRODUCT((Besatzung!$B$11:$B$22&lt;&gt;"")*(IF(Besatzung!$C$11:$C$22="",Besatzung!$B$5,Besatzung!$C$11:$C$22)&lt;=B118)*(IF(Besatzung!$D$11:$D$22="",Besatzung!$B$6,Besatzung!$D$11:$D$22)&gt;=B118)),1)+(Besatzung!$F$20="x")*IFERROR(H118,0)/IFERROR(SUMPRODUCT((Besatzung!$B$11:$B$22&lt;&gt;"")*(Besatzung!$F$11:$F$22="x")*(IF(Besatzung!$C$11:$C$22="",Besatzung!$B$5,Besatzung!$C$11:$C$22)&lt;=B118)*(IF(Besatzung!$D$11:$D$22="",Besatzung!$B$6,Besatzung!$D$11:$D$22)&gt;=B118)),1))),IF(I118="Individuell",((S118="x")*((G118-IFERROR(H118,0))/IFERROR(COUNTIF(J118:U118,"x"),1)+(Besatzung!$F$20="x")*IFERROR(H118,0)/IFERROR(SUMPRODUCT((J118:U118="x")*(Besatzung!$F$11:$F$22="x")),1))),(IF(COUNTIF(J118:U118,"x")=0,IF(Besatzung!$B$20&lt;&gt;"",1,0),(S118="x"))*(G118-IFERROR(H118,0))/IFERROR(IF(COUNTIF(J118:U118,"x")=0,COUNTA(Besatzung!$B$11:$B$22),COUNTIF(J118:U118,"x")),1)+IF(COUNTIF(J118:U118,"x")=0,(Besatzung!$F$20="x"),(S118="x")*(Besatzung!$F$20="x"))*IFERROR(H118,0)/IFERROR(IF(COUNTIF(J118:U118,"x")=0,SUMPRODUCT((Besatzung!$B$11:$B$22&lt;&gt;"")*(Besatzung!$F$11:$F$22="x")),SUMPRODUCT((J118:U118="x")*(Besatzung!$F$11:$F$22="x"))),1))))),0))))</f>
        <v/>
      </c>
      <c r="AF118" s="247">
        <f>IF(C118="Gutschrift","",IF(G118="","",IF(Besatzung!$B$21="","",IFERROR(IF(I118="Zeitanteilig",(Besatzung!$G$21*(G118-IFERROR(H118,0))+((Besatzung!$B$21&lt;&gt;"")*IF(B118="",1,(IF(Besatzung!$C$21="",Besatzung!$B$5,Besatzung!$C$21)&lt;=B118)*(IF(Besatzung!$D$21="",Besatzung!$B$6,Besatzung!$D$21)&gt;=B118)))*(Besatzung!$F$21="x")*IFERROR(H118,0)/IFERROR(SUMPRODUCT((Besatzung!$B$11:$B$22&lt;&gt;"")*(Besatzung!$F$11:$F$22="x")*(IF(Besatzung!$C$11:$C$22="",Besatzung!$B$5,Besatzung!$C$11:$C$22)&lt;=B118)*(IF(Besatzung!$D$11:$D$22="",Besatzung!$B$6,Besatzung!$D$11:$D$22)&gt;=B118)),1)),IF(I118="An Bord",(((Besatzung!$B$21&lt;&gt;"")*IF(B118="",1,(IF(Besatzung!$C$21="",Besatzung!$B$5,Besatzung!$C$21)&lt;=B118)*(IF(Besatzung!$D$21="",Besatzung!$B$6,Besatzung!$D$21)&gt;=B118)))*((G118-IFERROR(H118,0))/IFERROR(SUMPRODUCT((Besatzung!$B$11:$B$22&lt;&gt;"")*(IF(Besatzung!$C$11:$C$22="",Besatzung!$B$5,Besatzung!$C$11:$C$22)&lt;=B118)*(IF(Besatzung!$D$11:$D$22="",Besatzung!$B$6,Besatzung!$D$11:$D$22)&gt;=B118)),1)+(Besatzung!$F$21="x")*IFERROR(H118,0)/IFERROR(SUMPRODUCT((Besatzung!$B$11:$B$22&lt;&gt;"")*(Besatzung!$F$11:$F$22="x")*(IF(Besatzung!$C$11:$C$22="",Besatzung!$B$5,Besatzung!$C$11:$C$22)&lt;=B118)*(IF(Besatzung!$D$11:$D$22="",Besatzung!$B$6,Besatzung!$D$11:$D$22)&gt;=B118)),1))),IF(I118="Individuell",((T118="x")*((G118-IFERROR(H118,0))/IFERROR(COUNTIF(J118:U118,"x"),1)+(Besatzung!$F$21="x")*IFERROR(H118,0)/IFERROR(SUMPRODUCT((J118:U118="x")*(Besatzung!$F$11:$F$22="x")),1))),(IF(COUNTIF(J118:U118,"x")=0,IF(Besatzung!$B$21&lt;&gt;"",1,0),(T118="x"))*(G118-IFERROR(H118,0))/IFERROR(IF(COUNTIF(J118:U118,"x")=0,COUNTA(Besatzung!$B$11:$B$22),COUNTIF(J118:U118,"x")),1)+IF(COUNTIF(J118:U118,"x")=0,(Besatzung!$F$21="x"),(T118="x")*(Besatzung!$F$21="x"))*IFERROR(H118,0)/IFERROR(IF(COUNTIF(J118:U118,"x")=0,SUMPRODUCT((Besatzung!$B$11:$B$22&lt;&gt;"")*(Besatzung!$F$11:$F$22="x")),SUMPRODUCT((J118:U118="x")*(Besatzung!$F$11:$F$22="x"))),1))))),0))))</f>
        <v/>
      </c>
      <c r="AG118" s="247">
        <f>IF(C118="Gutschrift","",IF(G118="","",IF(Besatzung!$B$22="","",IFERROR(IF(I118="Zeitanteilig",(Besatzung!$G$22*(G118-IFERROR(H118,0))+((Besatzung!$B$22&lt;&gt;"")*IF(B118="",1,(IF(Besatzung!$C$22="",Besatzung!$B$5,Besatzung!$C$22)&lt;=B118)*(IF(Besatzung!$D$22="",Besatzung!$B$6,Besatzung!$D$22)&gt;=B118)))*(Besatzung!$F$22="x")*IFERROR(H118,0)/IFERROR(SUMPRODUCT((Besatzung!$B$11:$B$22&lt;&gt;"")*(Besatzung!$F$11:$F$22="x")*(IF(Besatzung!$C$11:$C$22="",Besatzung!$B$5,Besatzung!$C$11:$C$22)&lt;=B118)*(IF(Besatzung!$D$11:$D$22="",Besatzung!$B$6,Besatzung!$D$11:$D$22)&gt;=B118)),1)),IF(I118="An Bord",(((Besatzung!$B$22&lt;&gt;"")*IF(B118="",1,(IF(Besatzung!$C$22="",Besatzung!$B$5,Besatzung!$C$22)&lt;=B118)*(IF(Besatzung!$D$22="",Besatzung!$B$6,Besatzung!$D$22)&gt;=B118)))*((G118-IFERROR(H118,0))/IFERROR(SUMPRODUCT((Besatzung!$B$11:$B$22&lt;&gt;"")*(IF(Besatzung!$C$11:$C$22="",Besatzung!$B$5,Besatzung!$C$11:$C$22)&lt;=B118)*(IF(Besatzung!$D$11:$D$22="",Besatzung!$B$6,Besatzung!$D$11:$D$22)&gt;=B118)),1)+(Besatzung!$F$22="x")*IFERROR(H118,0)/IFERROR(SUMPRODUCT((Besatzung!$B$11:$B$22&lt;&gt;"")*(Besatzung!$F$11:$F$22="x")*(IF(Besatzung!$C$11:$C$22="",Besatzung!$B$5,Besatzung!$C$11:$C$22)&lt;=B118)*(IF(Besatzung!$D$11:$D$22="",Besatzung!$B$6,Besatzung!$D$11:$D$22)&gt;=B118)),1))),IF(I118="Individuell",((U118="x")*((G118-IFERROR(H118,0))/IFERROR(COUNTIF(J118:U118,"x"),1)+(Besatzung!$F$22="x")*IFERROR(H118,0)/IFERROR(SUMPRODUCT((J118:U118="x")*(Besatzung!$F$11:$F$22="x")),1))),(IF(COUNTIF(J118:U118,"x")=0,IF(Besatzung!$B$22&lt;&gt;"",1,0),(U118="x"))*(G118-IFERROR(H118,0))/IFERROR(IF(COUNTIF(J118:U118,"x")=0,COUNTA(Besatzung!$B$11:$B$22),COUNTIF(J118:U118,"x")),1)+IF(COUNTIF(J118:U118,"x")=0,(Besatzung!$F$22="x"),(U118="x")*(Besatzung!$F$22="x"))*IFERROR(H118,0)/IFERROR(IF(COUNTIF(J118:U118,"x")=0,SUMPRODUCT((Besatzung!$B$11:$B$22&lt;&gt;"")*(Besatzung!$F$11:$F$22="x")),SUMPRODUCT((J118:U118="x")*(Besatzung!$F$11:$F$22="x"))),1))))),0))))</f>
        <v/>
      </c>
      <c r="AH118" s="248" t="n"/>
      <c r="AI118" s="248" t="n"/>
    </row>
    <row r="119" ht="21.75" customHeight="1" s="154">
      <c r="A119" s="238">
        <f>IF(AND(D119="",C119=""),"",116)</f>
        <v/>
      </c>
      <c r="B119" s="206" t="n"/>
      <c r="C119" s="249" t="n"/>
      <c r="D119" s="250" t="n"/>
      <c r="E119" s="251" t="n"/>
      <c r="F119" s="252" t="n"/>
      <c r="G119" s="253" t="n"/>
      <c r="H119" s="254" t="n"/>
      <c r="I119" s="255" t="n"/>
      <c r="J119" s="256" t="n"/>
      <c r="K119" s="256" t="n"/>
      <c r="L119" s="256" t="n"/>
      <c r="M119" s="256" t="n"/>
      <c r="N119" s="256" t="n"/>
      <c r="O119" s="256" t="n"/>
      <c r="P119" s="256" t="n"/>
      <c r="Q119" s="256" t="n"/>
      <c r="R119" s="256" t="n"/>
      <c r="S119" s="256" t="n"/>
      <c r="T119" s="256" t="n"/>
      <c r="U119" s="256" t="n"/>
      <c r="V119" s="247">
        <f>IF(C119="Gutschrift","",IF(G119="","",IF(Besatzung!$B$11="","",IFERROR(IF(I119="Zeitanteilig",(Besatzung!$G$11*(G119-IFERROR(H119,0))+((Besatzung!$B$11&lt;&gt;"")*IF(B119="",1,(IF(Besatzung!$C$11="",Besatzung!$B$5,Besatzung!$C$11)&lt;=B119)*(IF(Besatzung!$D$11="",Besatzung!$B$6,Besatzung!$D$11)&gt;=B119)))*(Besatzung!$F$11="x")*IFERROR(H119,0)/IFERROR(SUMPRODUCT((Besatzung!$B$11:$B$22&lt;&gt;"")*(Besatzung!$F$11:$F$22="x")*(IF(Besatzung!$C$11:$C$22="",Besatzung!$B$5,Besatzung!$C$11:$C$22)&lt;=B119)*(IF(Besatzung!$D$11:$D$22="",Besatzung!$B$6,Besatzung!$D$11:$D$22)&gt;=B119)),1)),IF(I119="An Bord",(((Besatzung!$B$11&lt;&gt;"")*IF(B119="",1,(IF(Besatzung!$C$11="",Besatzung!$B$5,Besatzung!$C$11)&lt;=B119)*(IF(Besatzung!$D$11="",Besatzung!$B$6,Besatzung!$D$11)&gt;=B119)))*((G119-IFERROR(H119,0))/IFERROR(SUMPRODUCT((Besatzung!$B$11:$B$22&lt;&gt;"")*(IF(Besatzung!$C$11:$C$22="",Besatzung!$B$5,Besatzung!$C$11:$C$22)&lt;=B119)*(IF(Besatzung!$D$11:$D$22="",Besatzung!$B$6,Besatzung!$D$11:$D$22)&gt;=B119)),1)+(Besatzung!$F$11="x")*IFERROR(H119,0)/IFERROR(SUMPRODUCT((Besatzung!$B$11:$B$22&lt;&gt;"")*(Besatzung!$F$11:$F$22="x")*(IF(Besatzung!$C$11:$C$22="",Besatzung!$B$5,Besatzung!$C$11:$C$22)&lt;=B119)*(IF(Besatzung!$D$11:$D$22="",Besatzung!$B$6,Besatzung!$D$11:$D$22)&gt;=B119)),1))),IF(I119="Individuell",((J119="x")*((G119-IFERROR(H119,0))/IFERROR(COUNTIF(J119:U119,"x"),1)+(Besatzung!$F$11="x")*IFERROR(H119,0)/IFERROR(SUMPRODUCT((J119:U119="x")*(Besatzung!$F$11:$F$22="x")),1))),(IF(COUNTIF(J119:U119,"x")=0,IF(Besatzung!$B$11&lt;&gt;"",1,0),(J119="x"))*(G119-IFERROR(H119,0))/IFERROR(IF(COUNTIF(J119:U119,"x")=0,COUNTA(Besatzung!$B$11:$B$22),COUNTIF(J119:U119,"x")),1)+IF(COUNTIF(J119:U119,"x")=0,(Besatzung!$F$11="x"),(J119="x")*(Besatzung!$F$11="x"))*IFERROR(H119,0)/IFERROR(IF(COUNTIF(J119:U119,"x")=0,SUMPRODUCT((Besatzung!$B$11:$B$22&lt;&gt;"")*(Besatzung!$F$11:$F$22="x")),SUMPRODUCT((J119:U119="x")*(Besatzung!$F$11:$F$22="x"))),1))))),0))))</f>
        <v/>
      </c>
      <c r="W119" s="247">
        <f>IF(C119="Gutschrift","",IF(G119="","",IF(Besatzung!$B$12="","",IFERROR(IF(I119="Zeitanteilig",(Besatzung!$G$12*(G119-IFERROR(H119,0))+((Besatzung!$B$12&lt;&gt;"")*IF(B119="",1,(IF(Besatzung!$C$12="",Besatzung!$B$5,Besatzung!$C$12)&lt;=B119)*(IF(Besatzung!$D$12="",Besatzung!$B$6,Besatzung!$D$12)&gt;=B119)))*(Besatzung!$F$12="x")*IFERROR(H119,0)/IFERROR(SUMPRODUCT((Besatzung!$B$11:$B$22&lt;&gt;"")*(Besatzung!$F$11:$F$22="x")*(IF(Besatzung!$C$11:$C$22="",Besatzung!$B$5,Besatzung!$C$11:$C$22)&lt;=B119)*(IF(Besatzung!$D$11:$D$22="",Besatzung!$B$6,Besatzung!$D$11:$D$22)&gt;=B119)),1)),IF(I119="An Bord",(((Besatzung!$B$12&lt;&gt;"")*IF(B119="",1,(IF(Besatzung!$C$12="",Besatzung!$B$5,Besatzung!$C$12)&lt;=B119)*(IF(Besatzung!$D$12="",Besatzung!$B$6,Besatzung!$D$12)&gt;=B119)))*((G119-IFERROR(H119,0))/IFERROR(SUMPRODUCT((Besatzung!$B$11:$B$22&lt;&gt;"")*(IF(Besatzung!$C$11:$C$22="",Besatzung!$B$5,Besatzung!$C$11:$C$22)&lt;=B119)*(IF(Besatzung!$D$11:$D$22="",Besatzung!$B$6,Besatzung!$D$11:$D$22)&gt;=B119)),1)+(Besatzung!$F$12="x")*IFERROR(H119,0)/IFERROR(SUMPRODUCT((Besatzung!$B$11:$B$22&lt;&gt;"")*(Besatzung!$F$11:$F$22="x")*(IF(Besatzung!$C$11:$C$22="",Besatzung!$B$5,Besatzung!$C$11:$C$22)&lt;=B119)*(IF(Besatzung!$D$11:$D$22="",Besatzung!$B$6,Besatzung!$D$11:$D$22)&gt;=B119)),1))),IF(I119="Individuell",((K119="x")*((G119-IFERROR(H119,0))/IFERROR(COUNTIF(J119:U119,"x"),1)+(Besatzung!$F$12="x")*IFERROR(H119,0)/IFERROR(SUMPRODUCT((J119:U119="x")*(Besatzung!$F$11:$F$22="x")),1))),(IF(COUNTIF(J119:U119,"x")=0,IF(Besatzung!$B$12&lt;&gt;"",1,0),(K119="x"))*(G119-IFERROR(H119,0))/IFERROR(IF(COUNTIF(J119:U119,"x")=0,COUNTA(Besatzung!$B$11:$B$22),COUNTIF(J119:U119,"x")),1)+IF(COUNTIF(J119:U119,"x")=0,(Besatzung!$F$12="x"),(K119="x")*(Besatzung!$F$12="x"))*IFERROR(H119,0)/IFERROR(IF(COUNTIF(J119:U119,"x")=0,SUMPRODUCT((Besatzung!$B$11:$B$22&lt;&gt;"")*(Besatzung!$F$11:$F$22="x")),SUMPRODUCT((J119:U119="x")*(Besatzung!$F$11:$F$22="x"))),1))))),0))))</f>
        <v/>
      </c>
      <c r="X119" s="247">
        <f>IF(C119="Gutschrift","",IF(G119="","",IF(Besatzung!$B$13="","",IFERROR(IF(I119="Zeitanteilig",(Besatzung!$G$13*(G119-IFERROR(H119,0))+((Besatzung!$B$13&lt;&gt;"")*IF(B119="",1,(IF(Besatzung!$C$13="",Besatzung!$B$5,Besatzung!$C$13)&lt;=B119)*(IF(Besatzung!$D$13="",Besatzung!$B$6,Besatzung!$D$13)&gt;=B119)))*(Besatzung!$F$13="x")*IFERROR(H119,0)/IFERROR(SUMPRODUCT((Besatzung!$B$11:$B$22&lt;&gt;"")*(Besatzung!$F$11:$F$22="x")*(IF(Besatzung!$C$11:$C$22="",Besatzung!$B$5,Besatzung!$C$11:$C$22)&lt;=B119)*(IF(Besatzung!$D$11:$D$22="",Besatzung!$B$6,Besatzung!$D$11:$D$22)&gt;=B119)),1)),IF(I119="An Bord",(((Besatzung!$B$13&lt;&gt;"")*IF(B119="",1,(IF(Besatzung!$C$13="",Besatzung!$B$5,Besatzung!$C$13)&lt;=B119)*(IF(Besatzung!$D$13="",Besatzung!$B$6,Besatzung!$D$13)&gt;=B119)))*((G119-IFERROR(H119,0))/IFERROR(SUMPRODUCT((Besatzung!$B$11:$B$22&lt;&gt;"")*(IF(Besatzung!$C$11:$C$22="",Besatzung!$B$5,Besatzung!$C$11:$C$22)&lt;=B119)*(IF(Besatzung!$D$11:$D$22="",Besatzung!$B$6,Besatzung!$D$11:$D$22)&gt;=B119)),1)+(Besatzung!$F$13="x")*IFERROR(H119,0)/IFERROR(SUMPRODUCT((Besatzung!$B$11:$B$22&lt;&gt;"")*(Besatzung!$F$11:$F$22="x")*(IF(Besatzung!$C$11:$C$22="",Besatzung!$B$5,Besatzung!$C$11:$C$22)&lt;=B119)*(IF(Besatzung!$D$11:$D$22="",Besatzung!$B$6,Besatzung!$D$11:$D$22)&gt;=B119)),1))),IF(I119="Individuell",((K119="x")*((G119-IFERROR(H119,0))/IFERROR(COUNTIF(J119:U119,"x"),1)+(Besatzung!$F$13="x")*IFERROR(H119,0)/IFERROR(SUMPRODUCT((J119:U119="x")*(Besatzung!$F$11:$F$22="x")),1))),(IF(COUNTIF(J119:U119,"x")=0,IF(Besatzung!$B$13&lt;&gt;"",1,0),(K119="x"))*(G119-IFERROR(H119,0))/IFERROR(IF(COUNTIF(J119:U119,"x")=0,COUNTA(Besatzung!$B$11:$B$22),COUNTIF(J119:U119,"x")),1)+IF(COUNTIF(J119:U119,"x")=0,(Besatzung!$F$13="x"),(K119="x")*(Besatzung!$F$13="x"))*IFERROR(H119,0)/IFERROR(IF(COUNTIF(J119:U119,"x")=0,SUMPRODUCT((Besatzung!$B$11:$B$22&lt;&gt;"")*(Besatzung!$F$11:$F$22="x")),SUMPRODUCT((J119:U119="x")*(Besatzung!$F$11:$F$22="x"))),1))))),0))))</f>
        <v/>
      </c>
      <c r="Y119" s="247">
        <f>IF(C119="Gutschrift","",IF(G119="","",IF(Besatzung!$B$14="","",IFERROR(IF(I119="Zeitanteilig",(Besatzung!$G$14*(G119-IFERROR(H119,0))+((Besatzung!$B$14&lt;&gt;"")*IF(B119="",1,(IF(Besatzung!$C$14="",Besatzung!$B$5,Besatzung!$C$14)&lt;=B119)*(IF(Besatzung!$D$14="",Besatzung!$B$6,Besatzung!$D$14)&gt;=B119)))*(Besatzung!$F$14="x")*IFERROR(H119,0)/IFERROR(SUMPRODUCT((Besatzung!$B$11:$B$22&lt;&gt;"")*(Besatzung!$F$11:$F$22="x")*(IF(Besatzung!$C$11:$C$22="",Besatzung!$B$5,Besatzung!$C$11:$C$22)&lt;=B119)*(IF(Besatzung!$D$11:$D$22="",Besatzung!$B$6,Besatzung!$D$11:$D$22)&gt;=B119)),1)),IF(I119="An Bord",(((Besatzung!$B$14&lt;&gt;"")*IF(B119="",1,(IF(Besatzung!$C$14="",Besatzung!$B$5,Besatzung!$C$14)&lt;=B119)*(IF(Besatzung!$D$14="",Besatzung!$B$6,Besatzung!$D$14)&gt;=B119)))*((G119-IFERROR(H119,0))/IFERROR(SUMPRODUCT((Besatzung!$B$11:$B$22&lt;&gt;"")*(IF(Besatzung!$C$11:$C$22="",Besatzung!$B$5,Besatzung!$C$11:$C$22)&lt;=B119)*(IF(Besatzung!$D$11:$D$22="",Besatzung!$B$6,Besatzung!$D$11:$D$22)&gt;=B119)),1)+(Besatzung!$F$14="x")*IFERROR(H119,0)/IFERROR(SUMPRODUCT((Besatzung!$B$11:$B$22&lt;&gt;"")*(Besatzung!$F$11:$F$22="x")*(IF(Besatzung!$C$11:$C$22="",Besatzung!$B$5,Besatzung!$C$11:$C$22)&lt;=B119)*(IF(Besatzung!$D$11:$D$22="",Besatzung!$B$6,Besatzung!$D$11:$D$22)&gt;=B119)),1))),IF(I119="Individuell",((M119="x")*((G119-IFERROR(H119,0))/IFERROR(COUNTIF(J119:U119,"x"),1)+(Besatzung!$F$14="x")*IFERROR(H119,0)/IFERROR(SUMPRODUCT((J119:U119="x")*(Besatzung!$F$11:$F$22="x")),1))),(IF(COUNTIF(J119:U119,"x")=0,IF(Besatzung!$B$14&lt;&gt;"",1,0),(M119="x"))*(G119-IFERROR(H119,0))/IFERROR(IF(COUNTIF(J119:U119,"x")=0,COUNTA(Besatzung!$B$11:$B$22),COUNTIF(J119:U119,"x")),1)+IF(COUNTIF(J119:U119,"x")=0,(Besatzung!$F$14="x"),(M119="x")*(Besatzung!$F$14="x"))*IFERROR(H119,0)/IFERROR(IF(COUNTIF(J119:U119,"x")=0,SUMPRODUCT((Besatzung!$B$11:$B$22&lt;&gt;"")*(Besatzung!$F$11:$F$22="x")),SUMPRODUCT((J119:U119="x")*(Besatzung!$F$11:$F$22="x"))),1))))),0))))</f>
        <v/>
      </c>
      <c r="Z119" s="247">
        <f>IF(C119="Gutschrift","",IF(G119="","",IF(Besatzung!$B$13="","",IFERROR(IF(I119="Zeitanteilig",(Besatzung!$G$15*(G119-IFERROR(H119,0))+((Besatzung!$B$13&lt;&gt;"")*IF(B119="",1,(IF(Besatzung!$C$15="",Besatzung!$B$5,Besatzung!$C$15)&lt;=B119)*(IF(Besatzung!$D$15="",Besatzung!$B$6,Besatzung!$D$15)&gt;=B119)))*(Besatzung!$F$15="x")*IFERROR(H119,0)/IFERROR(SUMPRODUCT((Besatzung!$B$11:$B$22&lt;&gt;"")*(Besatzung!$F$11:$F$22="x")*(IF(Besatzung!$C$11:$C$22="",Besatzung!$B$5,Besatzung!$C$11:$C$22)&lt;=B119)*(IF(Besatzung!$D$11:$D$22="",Besatzung!$B$6,Besatzung!$D$11:$D$22)&gt;=B119)),1)),IF(I119="An Bord",(((Besatzung!$B$13&lt;&gt;"")*IF(B119="",1,(IF(Besatzung!$C$15="",Besatzung!$B$5,Besatzung!$C$15)&lt;=B119)*(IF(Besatzung!$D$15="",Besatzung!$B$6,Besatzung!$D$15)&gt;=B119)))*((G119-IFERROR(H119,0))/IFERROR(SUMPRODUCT((Besatzung!$B$11:$B$22&lt;&gt;"")*(IF(Besatzung!$C$11:$C$22="",Besatzung!$B$5,Besatzung!$C$11:$C$22)&lt;=B119)*(IF(Besatzung!$D$11:$D$22="",Besatzung!$B$6,Besatzung!$D$11:$D$22)&gt;=B119)),1)+(Besatzung!$F$15="x")*IFERROR(H119,0)/IFERROR(SUMPRODUCT((Besatzung!$B$11:$B$22&lt;&gt;"")*(Besatzung!$F$11:$F$22="x")*(IF(Besatzung!$C$11:$C$22="",Besatzung!$B$5,Besatzung!$C$11:$C$22)&lt;=B119)*(IF(Besatzung!$D$11:$D$22="",Besatzung!$B$6,Besatzung!$D$11:$D$22)&gt;=B119)),1))),IF(I119="Individuell",((N119="x")*((G119-IFERROR(H119,0))/IFERROR(COUNTIF(J119:U119,"x"),1)+(Besatzung!$F$15="x")*IFERROR(H119,0)/IFERROR(SUMPRODUCT((J119:U119="x")*(Besatzung!$F$11:$F$22="x")),1))),(IF(COUNTIF(J119:U119,"x")=0,IF(Besatzung!$B$13&lt;&gt;"",1,0),(N119="x"))*(G119-IFERROR(H119,0))/IFERROR(IF(COUNTIF(J119:U119,"x")=0,COUNTA(Besatzung!$B$11:$B$22),COUNTIF(J119:U119,"x")),1)+IF(COUNTIF(J119:U119,"x")=0,(Besatzung!$F$15="x"),(N119="x")*(Besatzung!$F$15="x"))*IFERROR(H119,0)/IFERROR(IF(COUNTIF(J119:U119,"x")=0,SUMPRODUCT((Besatzung!$B$11:$B$22&lt;&gt;"")*(Besatzung!$F$11:$F$22="x")),SUMPRODUCT((J119:U119="x")*(Besatzung!$F$11:$F$22="x"))),1))))),0))))</f>
        <v/>
      </c>
      <c r="AA119" s="247">
        <f>IF(C119="Gutschrift","",IF(G119="","",IF(Besatzung!$B$15="","",IFERROR(IF(I119="Zeitanteilig",(Besatzung!$G$16*(G119-IFERROR(H119,0))+((Besatzung!$B$15&lt;&gt;"")*IF(B119="",1,(IF(Besatzung!$C$16="",Besatzung!$B$5,Besatzung!$C$16)&lt;=B119)*(IF(Besatzung!$D$16="",Besatzung!$B$6,Besatzung!$D$16)&gt;=B119)))*(Besatzung!$F$16="x")*IFERROR(H119,0)/IFERROR(SUMPRODUCT((Besatzung!$B$11:$B$22&lt;&gt;"")*(Besatzung!$F$11:$F$22="x")*(IF(Besatzung!$C$11:$C$22="",Besatzung!$B$5,Besatzung!$C$11:$C$22)&lt;=B119)*(IF(Besatzung!$D$11:$D$22="",Besatzung!$B$6,Besatzung!$D$11:$D$22)&gt;=B119)),1)),IF(I119="An Bord",(((Besatzung!$B$15&lt;&gt;"")*IF(B119="",1,(IF(Besatzung!$C$16="",Besatzung!$B$5,Besatzung!$C$16)&lt;=B119)*(IF(Besatzung!$D$16="",Besatzung!$B$6,Besatzung!$D$16)&gt;=B119)))*((G119-IFERROR(H119,0))/IFERROR(SUMPRODUCT((Besatzung!$B$11:$B$22&lt;&gt;"")*(IF(Besatzung!$C$11:$C$22="",Besatzung!$B$5,Besatzung!$C$11:$C$22)&lt;=B119)*(IF(Besatzung!$D$11:$D$22="",Besatzung!$B$6,Besatzung!$D$11:$D$22)&gt;=B119)),1)+(Besatzung!$F$16="x")*IFERROR(H119,0)/IFERROR(SUMPRODUCT((Besatzung!$B$11:$B$22&lt;&gt;"")*(Besatzung!$F$11:$F$22="x")*(IF(Besatzung!$C$11:$C$22="",Besatzung!$B$5,Besatzung!$C$11:$C$22)&lt;=B119)*(IF(Besatzung!$D$11:$D$22="",Besatzung!$B$6,Besatzung!$D$11:$D$22)&gt;=B119)),1))),IF(I119="Individuell",((O119="x")*((G119-IFERROR(H119,0))/IFERROR(COUNTIF(J119:U119,"x"),1)+(Besatzung!$F$16="x")*IFERROR(H119,0)/IFERROR(SUMPRODUCT((J119:U119="x")*(Besatzung!$F$11:$F$22="x")),1))),(IF(COUNTIF(J119:U119,"x")=0,IF(Besatzung!$B$15&lt;&gt;"",1,0),(O119="x"))*(G119-IFERROR(H119,0))/IFERROR(IF(COUNTIF(J119:U119,"x")=0,COUNTA(Besatzung!$B$11:$B$22),COUNTIF(J119:U119,"x")),1)+IF(COUNTIF(J119:U119,"x")=0,(Besatzung!$F$16="x"),(O119="x")*(Besatzung!$F$16="x"))*IFERROR(H119,0)/IFERROR(IF(COUNTIF(J119:U119,"x")=0,SUMPRODUCT((Besatzung!$B$11:$B$22&lt;&gt;"")*(Besatzung!$F$11:$F$22="x")),SUMPRODUCT((J119:U119="x")*(Besatzung!$F$11:$F$22="x"))),1))))),0))))</f>
        <v/>
      </c>
      <c r="AB119" s="247">
        <f>IF(C119="Gutschrift","",IF(G119="","",IF(Besatzung!$B$17="","",IFERROR(IF(I119="Zeitanteilig",(Besatzung!$G$17*(G119-IFERROR(H119,0))+((Besatzung!$B$17&lt;&gt;"")*IF(B119="",1,(IF(Besatzung!$C$17="",Besatzung!$B$5,Besatzung!$C$17)&lt;=B119)*(IF(Besatzung!$D$17="",Besatzung!$B$6,Besatzung!$D$17)&gt;=B119)))*(Besatzung!$F$17="x")*IFERROR(H119,0)/IFERROR(SUMPRODUCT((Besatzung!$B$11:$B$22&lt;&gt;"")*(Besatzung!$F$11:$F$22="x")*(IF(Besatzung!$C$11:$C$22="",Besatzung!$B$5,Besatzung!$C$11:$C$22)&lt;=B119)*(IF(Besatzung!$D$11:$D$22="",Besatzung!$B$6,Besatzung!$D$11:$D$22)&gt;=B119)),1)),IF(I119="An Bord",(((Besatzung!$B$17&lt;&gt;"")*IF(B119="",1,(IF(Besatzung!$C$17="",Besatzung!$B$5,Besatzung!$C$17)&lt;=B119)*(IF(Besatzung!$D$17="",Besatzung!$B$6,Besatzung!$D$17)&gt;=B119)))*((G119-IFERROR(H119,0))/IFERROR(SUMPRODUCT((Besatzung!$B$11:$B$22&lt;&gt;"")*(IF(Besatzung!$C$11:$C$22="",Besatzung!$B$5,Besatzung!$C$11:$C$22)&lt;=B119)*(IF(Besatzung!$D$11:$D$22="",Besatzung!$B$6,Besatzung!$D$11:$D$22)&gt;=B119)),1)+(Besatzung!$F$17="x")*IFERROR(H119,0)/IFERROR(SUMPRODUCT((Besatzung!$B$11:$B$22&lt;&gt;"")*(Besatzung!$F$11:$F$22="x")*(IF(Besatzung!$C$11:$C$22="",Besatzung!$B$5,Besatzung!$C$11:$C$22)&lt;=B119)*(IF(Besatzung!$D$11:$D$22="",Besatzung!$B$6,Besatzung!$D$11:$D$22)&gt;=B119)),1))),IF(I119="Individuell",((P119="x")*((G119-IFERROR(H119,0))/IFERROR(COUNTIF(J119:U119,"x"),1)+(Besatzung!$F$17="x")*IFERROR(H119,0)/IFERROR(SUMPRODUCT((J119:U119="x")*(Besatzung!$F$11:$F$22="x")),1))),(IF(COUNTIF(J119:U119,"x")=0,IF(Besatzung!$B$17&lt;&gt;"",1,0),(P119="x"))*(G119-IFERROR(H119,0))/IFERROR(IF(COUNTIF(J119:U119,"x")=0,COUNTA(Besatzung!$B$11:$B$22),COUNTIF(J119:U119,"x")),1)+IF(COUNTIF(J119:U119,"x")=0,(Besatzung!$F$17="x"),(P119="x")*(Besatzung!$F$17="x"))*IFERROR(H119,0)/IFERROR(IF(COUNTIF(J119:U119,"x")=0,SUMPRODUCT((Besatzung!$B$11:$B$22&lt;&gt;"")*(Besatzung!$F$11:$F$22="x")),SUMPRODUCT((J119:U119="x")*(Besatzung!$F$11:$F$22="x"))),1))))),0))))</f>
        <v/>
      </c>
      <c r="AC119" s="247">
        <f>IF(C119="Gutschrift","",IF(G119="","",IF(Besatzung!$B$18="","",IFERROR(IF(I119="Zeitanteilig",(Besatzung!$G$18*(G119-IFERROR(H119,0))+((Besatzung!$B$18&lt;&gt;"")*IF(B119="",1,(IF(Besatzung!$C$18="",Besatzung!$B$5,Besatzung!$C$18)&lt;=B119)*(IF(Besatzung!$D$18="",Besatzung!$B$6,Besatzung!$D$18)&gt;=B119)))*(Besatzung!$F$18="x")*IFERROR(H119,0)/IFERROR(SUMPRODUCT((Besatzung!$B$11:$B$22&lt;&gt;"")*(Besatzung!$F$11:$F$22="x")*(IF(Besatzung!$C$11:$C$22="",Besatzung!$B$5,Besatzung!$C$11:$C$22)&lt;=B119)*(IF(Besatzung!$D$11:$D$22="",Besatzung!$B$6,Besatzung!$D$11:$D$22)&gt;=B119)),1)),IF(I119="An Bord",(((Besatzung!$B$18&lt;&gt;"")*IF(B119="",1,(IF(Besatzung!$C$18="",Besatzung!$B$5,Besatzung!$C$18)&lt;=B119)*(IF(Besatzung!$D$18="",Besatzung!$B$6,Besatzung!$D$18)&gt;=B119)))*((G119-IFERROR(H119,0))/IFERROR(SUMPRODUCT((Besatzung!$B$11:$B$22&lt;&gt;"")*(IF(Besatzung!$C$11:$C$22="",Besatzung!$B$5,Besatzung!$C$11:$C$22)&lt;=B119)*(IF(Besatzung!$D$11:$D$22="",Besatzung!$B$6,Besatzung!$D$11:$D$22)&gt;=B119)),1)+(Besatzung!$F$18="x")*IFERROR(H119,0)/IFERROR(SUMPRODUCT((Besatzung!$B$11:$B$22&lt;&gt;"")*(Besatzung!$F$11:$F$22="x")*(IF(Besatzung!$C$11:$C$22="",Besatzung!$B$5,Besatzung!$C$11:$C$22)&lt;=B119)*(IF(Besatzung!$D$11:$D$22="",Besatzung!$B$6,Besatzung!$D$11:$D$22)&gt;=B119)),1))),IF(I119="Individuell",((Q119="x")*((G119-IFERROR(H119,0))/IFERROR(COUNTIF(J119:U119,"x"),1)+(Besatzung!$F$18="x")*IFERROR(H119,0)/IFERROR(SUMPRODUCT((J119:U119="x")*(Besatzung!$F$11:$F$22="x")),1))),(IF(COUNTIF(J119:U119,"x")=0,IF(Besatzung!$B$18&lt;&gt;"",1,0),(Q119="x"))*(G119-IFERROR(H119,0))/IFERROR(IF(COUNTIF(J119:U119,"x")=0,COUNTA(Besatzung!$B$11:$B$22),COUNTIF(J119:U119,"x")),1)+IF(COUNTIF(J119:U119,"x")=0,(Besatzung!$F$18="x"),(Q119="x")*(Besatzung!$F$18="x"))*IFERROR(H119,0)/IFERROR(IF(COUNTIF(J119:U119,"x")=0,SUMPRODUCT((Besatzung!$B$11:$B$22&lt;&gt;"")*(Besatzung!$F$11:$F$22="x")),SUMPRODUCT((J119:U119="x")*(Besatzung!$F$11:$F$22="x"))),1))))),0))))</f>
        <v/>
      </c>
      <c r="AD119" s="247">
        <f>IF(C119="Gutschrift","",IF(G119="","",IF(Besatzung!$B$19="","",IFERROR(IF(I119="Zeitanteilig",(Besatzung!$G$19*(G119-IFERROR(H119,0))+((Besatzung!$B$19&lt;&gt;"")*IF(B119="",1,(IF(Besatzung!$C$19="",Besatzung!$B$5,Besatzung!$C$19)&lt;=B119)*(IF(Besatzung!$D$19="",Besatzung!$B$6,Besatzung!$D$19)&gt;=B119)))*(Besatzung!$F$19="x")*IFERROR(H119,0)/IFERROR(SUMPRODUCT((Besatzung!$B$11:$B$22&lt;&gt;"")*(Besatzung!$F$11:$F$22="x")*(IF(Besatzung!$C$11:$C$22="",Besatzung!$B$5,Besatzung!$C$11:$C$22)&lt;=B119)*(IF(Besatzung!$D$11:$D$22="",Besatzung!$B$6,Besatzung!$D$11:$D$22)&gt;=B119)),1)),IF(I119="An Bord",(((Besatzung!$B$19&lt;&gt;"")*IF(B119="",1,(IF(Besatzung!$C$19="",Besatzung!$B$5,Besatzung!$C$19)&lt;=B119)*(IF(Besatzung!$D$19="",Besatzung!$B$6,Besatzung!$D$19)&gt;=B119)))*((G119-IFERROR(H119,0))/IFERROR(SUMPRODUCT((Besatzung!$B$11:$B$22&lt;&gt;"")*(IF(Besatzung!$C$11:$C$22="",Besatzung!$B$5,Besatzung!$C$11:$C$22)&lt;=B119)*(IF(Besatzung!$D$11:$D$22="",Besatzung!$B$6,Besatzung!$D$11:$D$22)&gt;=B119)),1)+(Besatzung!$F$19="x")*IFERROR(H119,0)/IFERROR(SUMPRODUCT((Besatzung!$B$11:$B$22&lt;&gt;"")*(Besatzung!$F$11:$F$22="x")*(IF(Besatzung!$C$11:$C$22="",Besatzung!$B$5,Besatzung!$C$11:$C$22)&lt;=B119)*(IF(Besatzung!$D$11:$D$22="",Besatzung!$B$6,Besatzung!$D$11:$D$22)&gt;=B119)),1))),IF(I119="Individuell",((R119="x")*((G119-IFERROR(H119,0))/IFERROR(COUNTIF(J119:U119,"x"),1)+(Besatzung!$F$19="x")*IFERROR(H119,0)/IFERROR(SUMPRODUCT((J119:U119="x")*(Besatzung!$F$11:$F$22="x")),1))),(IF(COUNTIF(J119:U119,"x")=0,IF(Besatzung!$B$19&lt;&gt;"",1,0),(R119="x"))*(G119-IFERROR(H119,0))/IFERROR(IF(COUNTIF(J119:U119,"x")=0,COUNTA(Besatzung!$B$11:$B$22),COUNTIF(J119:U119,"x")),1)+IF(COUNTIF(J119:U119,"x")=0,(Besatzung!$F$19="x"),(R119="x")*(Besatzung!$F$19="x"))*IFERROR(H119,0)/IFERROR(IF(COUNTIF(J119:U119,"x")=0,SUMPRODUCT((Besatzung!$B$11:$B$22&lt;&gt;"")*(Besatzung!$F$11:$F$22="x")),SUMPRODUCT((J119:U119="x")*(Besatzung!$F$11:$F$22="x"))),1))))),0))))</f>
        <v/>
      </c>
      <c r="AE119" s="247">
        <f>IF(C119="Gutschrift","",IF(G119="","",IF(Besatzung!$B$20="","",IFERROR(IF(I119="Zeitanteilig",(Besatzung!$G$20*(G119-IFERROR(H119,0))+((Besatzung!$B$20&lt;&gt;"")*IF(B119="",1,(IF(Besatzung!$C$20="",Besatzung!$B$5,Besatzung!$C$20)&lt;=B119)*(IF(Besatzung!$D$20="",Besatzung!$B$6,Besatzung!$D$20)&gt;=B119)))*(Besatzung!$F$20="x")*IFERROR(H119,0)/IFERROR(SUMPRODUCT((Besatzung!$B$11:$B$22&lt;&gt;"")*(Besatzung!$F$11:$F$22="x")*(IF(Besatzung!$C$11:$C$22="",Besatzung!$B$5,Besatzung!$C$11:$C$22)&lt;=B119)*(IF(Besatzung!$D$11:$D$22="",Besatzung!$B$6,Besatzung!$D$11:$D$22)&gt;=B119)),1)),IF(I119="An Bord",(((Besatzung!$B$20&lt;&gt;"")*IF(B119="",1,(IF(Besatzung!$C$20="",Besatzung!$B$5,Besatzung!$C$20)&lt;=B119)*(IF(Besatzung!$D$20="",Besatzung!$B$6,Besatzung!$D$20)&gt;=B119)))*((G119-IFERROR(H119,0))/IFERROR(SUMPRODUCT((Besatzung!$B$11:$B$22&lt;&gt;"")*(IF(Besatzung!$C$11:$C$22="",Besatzung!$B$5,Besatzung!$C$11:$C$22)&lt;=B119)*(IF(Besatzung!$D$11:$D$22="",Besatzung!$B$6,Besatzung!$D$11:$D$22)&gt;=B119)),1)+(Besatzung!$F$20="x")*IFERROR(H119,0)/IFERROR(SUMPRODUCT((Besatzung!$B$11:$B$22&lt;&gt;"")*(Besatzung!$F$11:$F$22="x")*(IF(Besatzung!$C$11:$C$22="",Besatzung!$B$5,Besatzung!$C$11:$C$22)&lt;=B119)*(IF(Besatzung!$D$11:$D$22="",Besatzung!$B$6,Besatzung!$D$11:$D$22)&gt;=B119)),1))),IF(I119="Individuell",((S119="x")*((G119-IFERROR(H119,0))/IFERROR(COUNTIF(J119:U119,"x"),1)+(Besatzung!$F$20="x")*IFERROR(H119,0)/IFERROR(SUMPRODUCT((J119:U119="x")*(Besatzung!$F$11:$F$22="x")),1))),(IF(COUNTIF(J119:U119,"x")=0,IF(Besatzung!$B$20&lt;&gt;"",1,0),(S119="x"))*(G119-IFERROR(H119,0))/IFERROR(IF(COUNTIF(J119:U119,"x")=0,COUNTA(Besatzung!$B$11:$B$22),COUNTIF(J119:U119,"x")),1)+IF(COUNTIF(J119:U119,"x")=0,(Besatzung!$F$20="x"),(S119="x")*(Besatzung!$F$20="x"))*IFERROR(H119,0)/IFERROR(IF(COUNTIF(J119:U119,"x")=0,SUMPRODUCT((Besatzung!$B$11:$B$22&lt;&gt;"")*(Besatzung!$F$11:$F$22="x")),SUMPRODUCT((J119:U119="x")*(Besatzung!$F$11:$F$22="x"))),1))))),0))))</f>
        <v/>
      </c>
      <c r="AF119" s="247">
        <f>IF(C119="Gutschrift","",IF(G119="","",IF(Besatzung!$B$21="","",IFERROR(IF(I119="Zeitanteilig",(Besatzung!$G$21*(G119-IFERROR(H119,0))+((Besatzung!$B$21&lt;&gt;"")*IF(B119="",1,(IF(Besatzung!$C$21="",Besatzung!$B$5,Besatzung!$C$21)&lt;=B119)*(IF(Besatzung!$D$21="",Besatzung!$B$6,Besatzung!$D$21)&gt;=B119)))*(Besatzung!$F$21="x")*IFERROR(H119,0)/IFERROR(SUMPRODUCT((Besatzung!$B$11:$B$22&lt;&gt;"")*(Besatzung!$F$11:$F$22="x")*(IF(Besatzung!$C$11:$C$22="",Besatzung!$B$5,Besatzung!$C$11:$C$22)&lt;=B119)*(IF(Besatzung!$D$11:$D$22="",Besatzung!$B$6,Besatzung!$D$11:$D$22)&gt;=B119)),1)),IF(I119="An Bord",(((Besatzung!$B$21&lt;&gt;"")*IF(B119="",1,(IF(Besatzung!$C$21="",Besatzung!$B$5,Besatzung!$C$21)&lt;=B119)*(IF(Besatzung!$D$21="",Besatzung!$B$6,Besatzung!$D$21)&gt;=B119)))*((G119-IFERROR(H119,0))/IFERROR(SUMPRODUCT((Besatzung!$B$11:$B$22&lt;&gt;"")*(IF(Besatzung!$C$11:$C$22="",Besatzung!$B$5,Besatzung!$C$11:$C$22)&lt;=B119)*(IF(Besatzung!$D$11:$D$22="",Besatzung!$B$6,Besatzung!$D$11:$D$22)&gt;=B119)),1)+(Besatzung!$F$21="x")*IFERROR(H119,0)/IFERROR(SUMPRODUCT((Besatzung!$B$11:$B$22&lt;&gt;"")*(Besatzung!$F$11:$F$22="x")*(IF(Besatzung!$C$11:$C$22="",Besatzung!$B$5,Besatzung!$C$11:$C$22)&lt;=B119)*(IF(Besatzung!$D$11:$D$22="",Besatzung!$B$6,Besatzung!$D$11:$D$22)&gt;=B119)),1))),IF(I119="Individuell",((T119="x")*((G119-IFERROR(H119,0))/IFERROR(COUNTIF(J119:U119,"x"),1)+(Besatzung!$F$21="x")*IFERROR(H119,0)/IFERROR(SUMPRODUCT((J119:U119="x")*(Besatzung!$F$11:$F$22="x")),1))),(IF(COUNTIF(J119:U119,"x")=0,IF(Besatzung!$B$21&lt;&gt;"",1,0),(T119="x"))*(G119-IFERROR(H119,0))/IFERROR(IF(COUNTIF(J119:U119,"x")=0,COUNTA(Besatzung!$B$11:$B$22),COUNTIF(J119:U119,"x")),1)+IF(COUNTIF(J119:U119,"x")=0,(Besatzung!$F$21="x"),(T119="x")*(Besatzung!$F$21="x"))*IFERROR(H119,0)/IFERROR(IF(COUNTIF(J119:U119,"x")=0,SUMPRODUCT((Besatzung!$B$11:$B$22&lt;&gt;"")*(Besatzung!$F$11:$F$22="x")),SUMPRODUCT((J119:U119="x")*(Besatzung!$F$11:$F$22="x"))),1))))),0))))</f>
        <v/>
      </c>
      <c r="AG119" s="247">
        <f>IF(C119="Gutschrift","",IF(G119="","",IF(Besatzung!$B$22="","",IFERROR(IF(I119="Zeitanteilig",(Besatzung!$G$22*(G119-IFERROR(H119,0))+((Besatzung!$B$22&lt;&gt;"")*IF(B119="",1,(IF(Besatzung!$C$22="",Besatzung!$B$5,Besatzung!$C$22)&lt;=B119)*(IF(Besatzung!$D$22="",Besatzung!$B$6,Besatzung!$D$22)&gt;=B119)))*(Besatzung!$F$22="x")*IFERROR(H119,0)/IFERROR(SUMPRODUCT((Besatzung!$B$11:$B$22&lt;&gt;"")*(Besatzung!$F$11:$F$22="x")*(IF(Besatzung!$C$11:$C$22="",Besatzung!$B$5,Besatzung!$C$11:$C$22)&lt;=B119)*(IF(Besatzung!$D$11:$D$22="",Besatzung!$B$6,Besatzung!$D$11:$D$22)&gt;=B119)),1)),IF(I119="An Bord",(((Besatzung!$B$22&lt;&gt;"")*IF(B119="",1,(IF(Besatzung!$C$22="",Besatzung!$B$5,Besatzung!$C$22)&lt;=B119)*(IF(Besatzung!$D$22="",Besatzung!$B$6,Besatzung!$D$22)&gt;=B119)))*((G119-IFERROR(H119,0))/IFERROR(SUMPRODUCT((Besatzung!$B$11:$B$22&lt;&gt;"")*(IF(Besatzung!$C$11:$C$22="",Besatzung!$B$5,Besatzung!$C$11:$C$22)&lt;=B119)*(IF(Besatzung!$D$11:$D$22="",Besatzung!$B$6,Besatzung!$D$11:$D$22)&gt;=B119)),1)+(Besatzung!$F$22="x")*IFERROR(H119,0)/IFERROR(SUMPRODUCT((Besatzung!$B$11:$B$22&lt;&gt;"")*(Besatzung!$F$11:$F$22="x")*(IF(Besatzung!$C$11:$C$22="",Besatzung!$B$5,Besatzung!$C$11:$C$22)&lt;=B119)*(IF(Besatzung!$D$11:$D$22="",Besatzung!$B$6,Besatzung!$D$11:$D$22)&gt;=B119)),1))),IF(I119="Individuell",((U119="x")*((G119-IFERROR(H119,0))/IFERROR(COUNTIF(J119:U119,"x"),1)+(Besatzung!$F$22="x")*IFERROR(H119,0)/IFERROR(SUMPRODUCT((J119:U119="x")*(Besatzung!$F$11:$F$22="x")),1))),(IF(COUNTIF(J119:U119,"x")=0,IF(Besatzung!$B$22&lt;&gt;"",1,0),(U119="x"))*(G119-IFERROR(H119,0))/IFERROR(IF(COUNTIF(J119:U119,"x")=0,COUNTA(Besatzung!$B$11:$B$22),COUNTIF(J119:U119,"x")),1)+IF(COUNTIF(J119:U119,"x")=0,(Besatzung!$F$22="x"),(U119="x")*(Besatzung!$F$22="x"))*IFERROR(H119,0)/IFERROR(IF(COUNTIF(J119:U119,"x")=0,SUMPRODUCT((Besatzung!$B$11:$B$22&lt;&gt;"")*(Besatzung!$F$11:$F$22="x")),SUMPRODUCT((J119:U119="x")*(Besatzung!$F$11:$F$22="x"))),1))))),0))))</f>
        <v/>
      </c>
      <c r="AH119" s="248" t="n"/>
      <c r="AI119" s="248" t="n"/>
    </row>
    <row r="120" ht="21.75" customHeight="1" s="154">
      <c r="A120" s="238">
        <f>IF(AND(D120="",C120=""),"",117)</f>
        <v/>
      </c>
      <c r="B120" s="199" t="n"/>
      <c r="C120" s="239" t="n"/>
      <c r="D120" s="240" t="n"/>
      <c r="E120" s="241" t="n"/>
      <c r="F120" s="242" t="n"/>
      <c r="G120" s="243" t="n"/>
      <c r="H120" s="244" t="n"/>
      <c r="I120" s="245" t="n"/>
      <c r="J120" s="246" t="n"/>
      <c r="K120" s="246" t="n"/>
      <c r="L120" s="246" t="n"/>
      <c r="M120" s="246" t="n"/>
      <c r="N120" s="246" t="n"/>
      <c r="O120" s="246" t="n"/>
      <c r="P120" s="246" t="n"/>
      <c r="Q120" s="246" t="n"/>
      <c r="R120" s="246" t="n"/>
      <c r="S120" s="246" t="n"/>
      <c r="T120" s="246" t="n"/>
      <c r="U120" s="246" t="n"/>
      <c r="V120" s="247">
        <f>IF(C120="Gutschrift","",IF(G120="","",IF(Besatzung!$B$11="","",IFERROR(IF(I120="Zeitanteilig",(Besatzung!$G$11*(G120-IFERROR(H120,0))+((Besatzung!$B$11&lt;&gt;"")*IF(B120="",1,(IF(Besatzung!$C$11="",Besatzung!$B$5,Besatzung!$C$11)&lt;=B120)*(IF(Besatzung!$D$11="",Besatzung!$B$6,Besatzung!$D$11)&gt;=B120)))*(Besatzung!$F$11="x")*IFERROR(H120,0)/IFERROR(SUMPRODUCT((Besatzung!$B$11:$B$22&lt;&gt;"")*(Besatzung!$F$11:$F$22="x")*(IF(Besatzung!$C$11:$C$22="",Besatzung!$B$5,Besatzung!$C$11:$C$22)&lt;=B120)*(IF(Besatzung!$D$11:$D$22="",Besatzung!$B$6,Besatzung!$D$11:$D$22)&gt;=B120)),1)),IF(I120="An Bord",(((Besatzung!$B$11&lt;&gt;"")*IF(B120="",1,(IF(Besatzung!$C$11="",Besatzung!$B$5,Besatzung!$C$11)&lt;=B120)*(IF(Besatzung!$D$11="",Besatzung!$B$6,Besatzung!$D$11)&gt;=B120)))*((G120-IFERROR(H120,0))/IFERROR(SUMPRODUCT((Besatzung!$B$11:$B$22&lt;&gt;"")*(IF(Besatzung!$C$11:$C$22="",Besatzung!$B$5,Besatzung!$C$11:$C$22)&lt;=B120)*(IF(Besatzung!$D$11:$D$22="",Besatzung!$B$6,Besatzung!$D$11:$D$22)&gt;=B120)),1)+(Besatzung!$F$11="x")*IFERROR(H120,0)/IFERROR(SUMPRODUCT((Besatzung!$B$11:$B$22&lt;&gt;"")*(Besatzung!$F$11:$F$22="x")*(IF(Besatzung!$C$11:$C$22="",Besatzung!$B$5,Besatzung!$C$11:$C$22)&lt;=B120)*(IF(Besatzung!$D$11:$D$22="",Besatzung!$B$6,Besatzung!$D$11:$D$22)&gt;=B120)),1))),IF(I120="Individuell",((J120="x")*((G120-IFERROR(H120,0))/IFERROR(COUNTIF(J120:U120,"x"),1)+(Besatzung!$F$11="x")*IFERROR(H120,0)/IFERROR(SUMPRODUCT((J120:U120="x")*(Besatzung!$F$11:$F$22="x")),1))),(IF(COUNTIF(J120:U120,"x")=0,IF(Besatzung!$B$11&lt;&gt;"",1,0),(J120="x"))*(G120-IFERROR(H120,0))/IFERROR(IF(COUNTIF(J120:U120,"x")=0,COUNTA(Besatzung!$B$11:$B$22),COUNTIF(J120:U120,"x")),1)+IF(COUNTIF(J120:U120,"x")=0,(Besatzung!$F$11="x"),(J120="x")*(Besatzung!$F$11="x"))*IFERROR(H120,0)/IFERROR(IF(COUNTIF(J120:U120,"x")=0,SUMPRODUCT((Besatzung!$B$11:$B$22&lt;&gt;"")*(Besatzung!$F$11:$F$22="x")),SUMPRODUCT((J120:U120="x")*(Besatzung!$F$11:$F$22="x"))),1))))),0))))</f>
        <v/>
      </c>
      <c r="W120" s="247">
        <f>IF(C120="Gutschrift","",IF(G120="","",IF(Besatzung!$B$12="","",IFERROR(IF(I120="Zeitanteilig",(Besatzung!$G$12*(G120-IFERROR(H120,0))+((Besatzung!$B$12&lt;&gt;"")*IF(B120="",1,(IF(Besatzung!$C$12="",Besatzung!$B$5,Besatzung!$C$12)&lt;=B120)*(IF(Besatzung!$D$12="",Besatzung!$B$6,Besatzung!$D$12)&gt;=B120)))*(Besatzung!$F$12="x")*IFERROR(H120,0)/IFERROR(SUMPRODUCT((Besatzung!$B$11:$B$22&lt;&gt;"")*(Besatzung!$F$11:$F$22="x")*(IF(Besatzung!$C$11:$C$22="",Besatzung!$B$5,Besatzung!$C$11:$C$22)&lt;=B120)*(IF(Besatzung!$D$11:$D$22="",Besatzung!$B$6,Besatzung!$D$11:$D$22)&gt;=B120)),1)),IF(I120="An Bord",(((Besatzung!$B$12&lt;&gt;"")*IF(B120="",1,(IF(Besatzung!$C$12="",Besatzung!$B$5,Besatzung!$C$12)&lt;=B120)*(IF(Besatzung!$D$12="",Besatzung!$B$6,Besatzung!$D$12)&gt;=B120)))*((G120-IFERROR(H120,0))/IFERROR(SUMPRODUCT((Besatzung!$B$11:$B$22&lt;&gt;"")*(IF(Besatzung!$C$11:$C$22="",Besatzung!$B$5,Besatzung!$C$11:$C$22)&lt;=B120)*(IF(Besatzung!$D$11:$D$22="",Besatzung!$B$6,Besatzung!$D$11:$D$22)&gt;=B120)),1)+(Besatzung!$F$12="x")*IFERROR(H120,0)/IFERROR(SUMPRODUCT((Besatzung!$B$11:$B$22&lt;&gt;"")*(Besatzung!$F$11:$F$22="x")*(IF(Besatzung!$C$11:$C$22="",Besatzung!$B$5,Besatzung!$C$11:$C$22)&lt;=B120)*(IF(Besatzung!$D$11:$D$22="",Besatzung!$B$6,Besatzung!$D$11:$D$22)&gt;=B120)),1))),IF(I120="Individuell",((K120="x")*((G120-IFERROR(H120,0))/IFERROR(COUNTIF(J120:U120,"x"),1)+(Besatzung!$F$12="x")*IFERROR(H120,0)/IFERROR(SUMPRODUCT((J120:U120="x")*(Besatzung!$F$11:$F$22="x")),1))),(IF(COUNTIF(J120:U120,"x")=0,IF(Besatzung!$B$12&lt;&gt;"",1,0),(K120="x"))*(G120-IFERROR(H120,0))/IFERROR(IF(COUNTIF(J120:U120,"x")=0,COUNTA(Besatzung!$B$11:$B$22),COUNTIF(J120:U120,"x")),1)+IF(COUNTIF(J120:U120,"x")=0,(Besatzung!$F$12="x"),(K120="x")*(Besatzung!$F$12="x"))*IFERROR(H120,0)/IFERROR(IF(COUNTIF(J120:U120,"x")=0,SUMPRODUCT((Besatzung!$B$11:$B$22&lt;&gt;"")*(Besatzung!$F$11:$F$22="x")),SUMPRODUCT((J120:U120="x")*(Besatzung!$F$11:$F$22="x"))),1))))),0))))</f>
        <v/>
      </c>
      <c r="X120" s="247">
        <f>IF(C120="Gutschrift","",IF(G120="","",IF(Besatzung!$B$13="","",IFERROR(IF(I120="Zeitanteilig",(Besatzung!$G$13*(G120-IFERROR(H120,0))+((Besatzung!$B$13&lt;&gt;"")*IF(B120="",1,(IF(Besatzung!$C$13="",Besatzung!$B$5,Besatzung!$C$13)&lt;=B120)*(IF(Besatzung!$D$13="",Besatzung!$B$6,Besatzung!$D$13)&gt;=B120)))*(Besatzung!$F$13="x")*IFERROR(H120,0)/IFERROR(SUMPRODUCT((Besatzung!$B$11:$B$22&lt;&gt;"")*(Besatzung!$F$11:$F$22="x")*(IF(Besatzung!$C$11:$C$22="",Besatzung!$B$5,Besatzung!$C$11:$C$22)&lt;=B120)*(IF(Besatzung!$D$11:$D$22="",Besatzung!$B$6,Besatzung!$D$11:$D$22)&gt;=B120)),1)),IF(I120="An Bord",(((Besatzung!$B$13&lt;&gt;"")*IF(B120="",1,(IF(Besatzung!$C$13="",Besatzung!$B$5,Besatzung!$C$13)&lt;=B120)*(IF(Besatzung!$D$13="",Besatzung!$B$6,Besatzung!$D$13)&gt;=B120)))*((G120-IFERROR(H120,0))/IFERROR(SUMPRODUCT((Besatzung!$B$11:$B$22&lt;&gt;"")*(IF(Besatzung!$C$11:$C$22="",Besatzung!$B$5,Besatzung!$C$11:$C$22)&lt;=B120)*(IF(Besatzung!$D$11:$D$22="",Besatzung!$B$6,Besatzung!$D$11:$D$22)&gt;=B120)),1)+(Besatzung!$F$13="x")*IFERROR(H120,0)/IFERROR(SUMPRODUCT((Besatzung!$B$11:$B$22&lt;&gt;"")*(Besatzung!$F$11:$F$22="x")*(IF(Besatzung!$C$11:$C$22="",Besatzung!$B$5,Besatzung!$C$11:$C$22)&lt;=B120)*(IF(Besatzung!$D$11:$D$22="",Besatzung!$B$6,Besatzung!$D$11:$D$22)&gt;=B120)),1))),IF(I120="Individuell",((K120="x")*((G120-IFERROR(H120,0))/IFERROR(COUNTIF(J120:U120,"x"),1)+(Besatzung!$F$13="x")*IFERROR(H120,0)/IFERROR(SUMPRODUCT((J120:U120="x")*(Besatzung!$F$11:$F$22="x")),1))),(IF(COUNTIF(J120:U120,"x")=0,IF(Besatzung!$B$13&lt;&gt;"",1,0),(K120="x"))*(G120-IFERROR(H120,0))/IFERROR(IF(COUNTIF(J120:U120,"x")=0,COUNTA(Besatzung!$B$11:$B$22),COUNTIF(J120:U120,"x")),1)+IF(COUNTIF(J120:U120,"x")=0,(Besatzung!$F$13="x"),(K120="x")*(Besatzung!$F$13="x"))*IFERROR(H120,0)/IFERROR(IF(COUNTIF(J120:U120,"x")=0,SUMPRODUCT((Besatzung!$B$11:$B$22&lt;&gt;"")*(Besatzung!$F$11:$F$22="x")),SUMPRODUCT((J120:U120="x")*(Besatzung!$F$11:$F$22="x"))),1))))),0))))</f>
        <v/>
      </c>
      <c r="Y120" s="247">
        <f>IF(C120="Gutschrift","",IF(G120="","",IF(Besatzung!$B$14="","",IFERROR(IF(I120="Zeitanteilig",(Besatzung!$G$14*(G120-IFERROR(H120,0))+((Besatzung!$B$14&lt;&gt;"")*IF(B120="",1,(IF(Besatzung!$C$14="",Besatzung!$B$5,Besatzung!$C$14)&lt;=B120)*(IF(Besatzung!$D$14="",Besatzung!$B$6,Besatzung!$D$14)&gt;=B120)))*(Besatzung!$F$14="x")*IFERROR(H120,0)/IFERROR(SUMPRODUCT((Besatzung!$B$11:$B$22&lt;&gt;"")*(Besatzung!$F$11:$F$22="x")*(IF(Besatzung!$C$11:$C$22="",Besatzung!$B$5,Besatzung!$C$11:$C$22)&lt;=B120)*(IF(Besatzung!$D$11:$D$22="",Besatzung!$B$6,Besatzung!$D$11:$D$22)&gt;=B120)),1)),IF(I120="An Bord",(((Besatzung!$B$14&lt;&gt;"")*IF(B120="",1,(IF(Besatzung!$C$14="",Besatzung!$B$5,Besatzung!$C$14)&lt;=B120)*(IF(Besatzung!$D$14="",Besatzung!$B$6,Besatzung!$D$14)&gt;=B120)))*((G120-IFERROR(H120,0))/IFERROR(SUMPRODUCT((Besatzung!$B$11:$B$22&lt;&gt;"")*(IF(Besatzung!$C$11:$C$22="",Besatzung!$B$5,Besatzung!$C$11:$C$22)&lt;=B120)*(IF(Besatzung!$D$11:$D$22="",Besatzung!$B$6,Besatzung!$D$11:$D$22)&gt;=B120)),1)+(Besatzung!$F$14="x")*IFERROR(H120,0)/IFERROR(SUMPRODUCT((Besatzung!$B$11:$B$22&lt;&gt;"")*(Besatzung!$F$11:$F$22="x")*(IF(Besatzung!$C$11:$C$22="",Besatzung!$B$5,Besatzung!$C$11:$C$22)&lt;=B120)*(IF(Besatzung!$D$11:$D$22="",Besatzung!$B$6,Besatzung!$D$11:$D$22)&gt;=B120)),1))),IF(I120="Individuell",((M120="x")*((G120-IFERROR(H120,0))/IFERROR(COUNTIF(J120:U120,"x"),1)+(Besatzung!$F$14="x")*IFERROR(H120,0)/IFERROR(SUMPRODUCT((J120:U120="x")*(Besatzung!$F$11:$F$22="x")),1))),(IF(COUNTIF(J120:U120,"x")=0,IF(Besatzung!$B$14&lt;&gt;"",1,0),(M120="x"))*(G120-IFERROR(H120,0))/IFERROR(IF(COUNTIF(J120:U120,"x")=0,COUNTA(Besatzung!$B$11:$B$22),COUNTIF(J120:U120,"x")),1)+IF(COUNTIF(J120:U120,"x")=0,(Besatzung!$F$14="x"),(M120="x")*(Besatzung!$F$14="x"))*IFERROR(H120,0)/IFERROR(IF(COUNTIF(J120:U120,"x")=0,SUMPRODUCT((Besatzung!$B$11:$B$22&lt;&gt;"")*(Besatzung!$F$11:$F$22="x")),SUMPRODUCT((J120:U120="x")*(Besatzung!$F$11:$F$22="x"))),1))))),0))))</f>
        <v/>
      </c>
      <c r="Z120" s="247">
        <f>IF(C120="Gutschrift","",IF(G120="","",IF(Besatzung!$B$13="","",IFERROR(IF(I120="Zeitanteilig",(Besatzung!$G$15*(G120-IFERROR(H120,0))+((Besatzung!$B$13&lt;&gt;"")*IF(B120="",1,(IF(Besatzung!$C$15="",Besatzung!$B$5,Besatzung!$C$15)&lt;=B120)*(IF(Besatzung!$D$15="",Besatzung!$B$6,Besatzung!$D$15)&gt;=B120)))*(Besatzung!$F$15="x")*IFERROR(H120,0)/IFERROR(SUMPRODUCT((Besatzung!$B$11:$B$22&lt;&gt;"")*(Besatzung!$F$11:$F$22="x")*(IF(Besatzung!$C$11:$C$22="",Besatzung!$B$5,Besatzung!$C$11:$C$22)&lt;=B120)*(IF(Besatzung!$D$11:$D$22="",Besatzung!$B$6,Besatzung!$D$11:$D$22)&gt;=B120)),1)),IF(I120="An Bord",(((Besatzung!$B$13&lt;&gt;"")*IF(B120="",1,(IF(Besatzung!$C$15="",Besatzung!$B$5,Besatzung!$C$15)&lt;=B120)*(IF(Besatzung!$D$15="",Besatzung!$B$6,Besatzung!$D$15)&gt;=B120)))*((G120-IFERROR(H120,0))/IFERROR(SUMPRODUCT((Besatzung!$B$11:$B$22&lt;&gt;"")*(IF(Besatzung!$C$11:$C$22="",Besatzung!$B$5,Besatzung!$C$11:$C$22)&lt;=B120)*(IF(Besatzung!$D$11:$D$22="",Besatzung!$B$6,Besatzung!$D$11:$D$22)&gt;=B120)),1)+(Besatzung!$F$15="x")*IFERROR(H120,0)/IFERROR(SUMPRODUCT((Besatzung!$B$11:$B$22&lt;&gt;"")*(Besatzung!$F$11:$F$22="x")*(IF(Besatzung!$C$11:$C$22="",Besatzung!$B$5,Besatzung!$C$11:$C$22)&lt;=B120)*(IF(Besatzung!$D$11:$D$22="",Besatzung!$B$6,Besatzung!$D$11:$D$22)&gt;=B120)),1))),IF(I120="Individuell",((N120="x")*((G120-IFERROR(H120,0))/IFERROR(COUNTIF(J120:U120,"x"),1)+(Besatzung!$F$15="x")*IFERROR(H120,0)/IFERROR(SUMPRODUCT((J120:U120="x")*(Besatzung!$F$11:$F$22="x")),1))),(IF(COUNTIF(J120:U120,"x")=0,IF(Besatzung!$B$13&lt;&gt;"",1,0),(N120="x"))*(G120-IFERROR(H120,0))/IFERROR(IF(COUNTIF(J120:U120,"x")=0,COUNTA(Besatzung!$B$11:$B$22),COUNTIF(J120:U120,"x")),1)+IF(COUNTIF(J120:U120,"x")=0,(Besatzung!$F$15="x"),(N120="x")*(Besatzung!$F$15="x"))*IFERROR(H120,0)/IFERROR(IF(COUNTIF(J120:U120,"x")=0,SUMPRODUCT((Besatzung!$B$11:$B$22&lt;&gt;"")*(Besatzung!$F$11:$F$22="x")),SUMPRODUCT((J120:U120="x")*(Besatzung!$F$11:$F$22="x"))),1))))),0))))</f>
        <v/>
      </c>
      <c r="AA120" s="247">
        <f>IF(C120="Gutschrift","",IF(G120="","",IF(Besatzung!$B$15="","",IFERROR(IF(I120="Zeitanteilig",(Besatzung!$G$16*(G120-IFERROR(H120,0))+((Besatzung!$B$15&lt;&gt;"")*IF(B120="",1,(IF(Besatzung!$C$16="",Besatzung!$B$5,Besatzung!$C$16)&lt;=B120)*(IF(Besatzung!$D$16="",Besatzung!$B$6,Besatzung!$D$16)&gt;=B120)))*(Besatzung!$F$16="x")*IFERROR(H120,0)/IFERROR(SUMPRODUCT((Besatzung!$B$11:$B$22&lt;&gt;"")*(Besatzung!$F$11:$F$22="x")*(IF(Besatzung!$C$11:$C$22="",Besatzung!$B$5,Besatzung!$C$11:$C$22)&lt;=B120)*(IF(Besatzung!$D$11:$D$22="",Besatzung!$B$6,Besatzung!$D$11:$D$22)&gt;=B120)),1)),IF(I120="An Bord",(((Besatzung!$B$15&lt;&gt;"")*IF(B120="",1,(IF(Besatzung!$C$16="",Besatzung!$B$5,Besatzung!$C$16)&lt;=B120)*(IF(Besatzung!$D$16="",Besatzung!$B$6,Besatzung!$D$16)&gt;=B120)))*((G120-IFERROR(H120,0))/IFERROR(SUMPRODUCT((Besatzung!$B$11:$B$22&lt;&gt;"")*(IF(Besatzung!$C$11:$C$22="",Besatzung!$B$5,Besatzung!$C$11:$C$22)&lt;=B120)*(IF(Besatzung!$D$11:$D$22="",Besatzung!$B$6,Besatzung!$D$11:$D$22)&gt;=B120)),1)+(Besatzung!$F$16="x")*IFERROR(H120,0)/IFERROR(SUMPRODUCT((Besatzung!$B$11:$B$22&lt;&gt;"")*(Besatzung!$F$11:$F$22="x")*(IF(Besatzung!$C$11:$C$22="",Besatzung!$B$5,Besatzung!$C$11:$C$22)&lt;=B120)*(IF(Besatzung!$D$11:$D$22="",Besatzung!$B$6,Besatzung!$D$11:$D$22)&gt;=B120)),1))),IF(I120="Individuell",((O120="x")*((G120-IFERROR(H120,0))/IFERROR(COUNTIF(J120:U120,"x"),1)+(Besatzung!$F$16="x")*IFERROR(H120,0)/IFERROR(SUMPRODUCT((J120:U120="x")*(Besatzung!$F$11:$F$22="x")),1))),(IF(COUNTIF(J120:U120,"x")=0,IF(Besatzung!$B$15&lt;&gt;"",1,0),(O120="x"))*(G120-IFERROR(H120,0))/IFERROR(IF(COUNTIF(J120:U120,"x")=0,COUNTA(Besatzung!$B$11:$B$22),COUNTIF(J120:U120,"x")),1)+IF(COUNTIF(J120:U120,"x")=0,(Besatzung!$F$16="x"),(O120="x")*(Besatzung!$F$16="x"))*IFERROR(H120,0)/IFERROR(IF(COUNTIF(J120:U120,"x")=0,SUMPRODUCT((Besatzung!$B$11:$B$22&lt;&gt;"")*(Besatzung!$F$11:$F$22="x")),SUMPRODUCT((J120:U120="x")*(Besatzung!$F$11:$F$22="x"))),1))))),0))))</f>
        <v/>
      </c>
      <c r="AB120" s="247">
        <f>IF(C120="Gutschrift","",IF(G120="","",IF(Besatzung!$B$17="","",IFERROR(IF(I120="Zeitanteilig",(Besatzung!$G$17*(G120-IFERROR(H120,0))+((Besatzung!$B$17&lt;&gt;"")*IF(B120="",1,(IF(Besatzung!$C$17="",Besatzung!$B$5,Besatzung!$C$17)&lt;=B120)*(IF(Besatzung!$D$17="",Besatzung!$B$6,Besatzung!$D$17)&gt;=B120)))*(Besatzung!$F$17="x")*IFERROR(H120,0)/IFERROR(SUMPRODUCT((Besatzung!$B$11:$B$22&lt;&gt;"")*(Besatzung!$F$11:$F$22="x")*(IF(Besatzung!$C$11:$C$22="",Besatzung!$B$5,Besatzung!$C$11:$C$22)&lt;=B120)*(IF(Besatzung!$D$11:$D$22="",Besatzung!$B$6,Besatzung!$D$11:$D$22)&gt;=B120)),1)),IF(I120="An Bord",(((Besatzung!$B$17&lt;&gt;"")*IF(B120="",1,(IF(Besatzung!$C$17="",Besatzung!$B$5,Besatzung!$C$17)&lt;=B120)*(IF(Besatzung!$D$17="",Besatzung!$B$6,Besatzung!$D$17)&gt;=B120)))*((G120-IFERROR(H120,0))/IFERROR(SUMPRODUCT((Besatzung!$B$11:$B$22&lt;&gt;"")*(IF(Besatzung!$C$11:$C$22="",Besatzung!$B$5,Besatzung!$C$11:$C$22)&lt;=B120)*(IF(Besatzung!$D$11:$D$22="",Besatzung!$B$6,Besatzung!$D$11:$D$22)&gt;=B120)),1)+(Besatzung!$F$17="x")*IFERROR(H120,0)/IFERROR(SUMPRODUCT((Besatzung!$B$11:$B$22&lt;&gt;"")*(Besatzung!$F$11:$F$22="x")*(IF(Besatzung!$C$11:$C$22="",Besatzung!$B$5,Besatzung!$C$11:$C$22)&lt;=B120)*(IF(Besatzung!$D$11:$D$22="",Besatzung!$B$6,Besatzung!$D$11:$D$22)&gt;=B120)),1))),IF(I120="Individuell",((P120="x")*((G120-IFERROR(H120,0))/IFERROR(COUNTIF(J120:U120,"x"),1)+(Besatzung!$F$17="x")*IFERROR(H120,0)/IFERROR(SUMPRODUCT((J120:U120="x")*(Besatzung!$F$11:$F$22="x")),1))),(IF(COUNTIF(J120:U120,"x")=0,IF(Besatzung!$B$17&lt;&gt;"",1,0),(P120="x"))*(G120-IFERROR(H120,0))/IFERROR(IF(COUNTIF(J120:U120,"x")=0,COUNTA(Besatzung!$B$11:$B$22),COUNTIF(J120:U120,"x")),1)+IF(COUNTIF(J120:U120,"x")=0,(Besatzung!$F$17="x"),(P120="x")*(Besatzung!$F$17="x"))*IFERROR(H120,0)/IFERROR(IF(COUNTIF(J120:U120,"x")=0,SUMPRODUCT((Besatzung!$B$11:$B$22&lt;&gt;"")*(Besatzung!$F$11:$F$22="x")),SUMPRODUCT((J120:U120="x")*(Besatzung!$F$11:$F$22="x"))),1))))),0))))</f>
        <v/>
      </c>
      <c r="AC120" s="247">
        <f>IF(C120="Gutschrift","",IF(G120="","",IF(Besatzung!$B$18="","",IFERROR(IF(I120="Zeitanteilig",(Besatzung!$G$18*(G120-IFERROR(H120,0))+((Besatzung!$B$18&lt;&gt;"")*IF(B120="",1,(IF(Besatzung!$C$18="",Besatzung!$B$5,Besatzung!$C$18)&lt;=B120)*(IF(Besatzung!$D$18="",Besatzung!$B$6,Besatzung!$D$18)&gt;=B120)))*(Besatzung!$F$18="x")*IFERROR(H120,0)/IFERROR(SUMPRODUCT((Besatzung!$B$11:$B$22&lt;&gt;"")*(Besatzung!$F$11:$F$22="x")*(IF(Besatzung!$C$11:$C$22="",Besatzung!$B$5,Besatzung!$C$11:$C$22)&lt;=B120)*(IF(Besatzung!$D$11:$D$22="",Besatzung!$B$6,Besatzung!$D$11:$D$22)&gt;=B120)),1)),IF(I120="An Bord",(((Besatzung!$B$18&lt;&gt;"")*IF(B120="",1,(IF(Besatzung!$C$18="",Besatzung!$B$5,Besatzung!$C$18)&lt;=B120)*(IF(Besatzung!$D$18="",Besatzung!$B$6,Besatzung!$D$18)&gt;=B120)))*((G120-IFERROR(H120,0))/IFERROR(SUMPRODUCT((Besatzung!$B$11:$B$22&lt;&gt;"")*(IF(Besatzung!$C$11:$C$22="",Besatzung!$B$5,Besatzung!$C$11:$C$22)&lt;=B120)*(IF(Besatzung!$D$11:$D$22="",Besatzung!$B$6,Besatzung!$D$11:$D$22)&gt;=B120)),1)+(Besatzung!$F$18="x")*IFERROR(H120,0)/IFERROR(SUMPRODUCT((Besatzung!$B$11:$B$22&lt;&gt;"")*(Besatzung!$F$11:$F$22="x")*(IF(Besatzung!$C$11:$C$22="",Besatzung!$B$5,Besatzung!$C$11:$C$22)&lt;=B120)*(IF(Besatzung!$D$11:$D$22="",Besatzung!$B$6,Besatzung!$D$11:$D$22)&gt;=B120)),1))),IF(I120="Individuell",((Q120="x")*((G120-IFERROR(H120,0))/IFERROR(COUNTIF(J120:U120,"x"),1)+(Besatzung!$F$18="x")*IFERROR(H120,0)/IFERROR(SUMPRODUCT((J120:U120="x")*(Besatzung!$F$11:$F$22="x")),1))),(IF(COUNTIF(J120:U120,"x")=0,IF(Besatzung!$B$18&lt;&gt;"",1,0),(Q120="x"))*(G120-IFERROR(H120,0))/IFERROR(IF(COUNTIF(J120:U120,"x")=0,COUNTA(Besatzung!$B$11:$B$22),COUNTIF(J120:U120,"x")),1)+IF(COUNTIF(J120:U120,"x")=0,(Besatzung!$F$18="x"),(Q120="x")*(Besatzung!$F$18="x"))*IFERROR(H120,0)/IFERROR(IF(COUNTIF(J120:U120,"x")=0,SUMPRODUCT((Besatzung!$B$11:$B$22&lt;&gt;"")*(Besatzung!$F$11:$F$22="x")),SUMPRODUCT((J120:U120="x")*(Besatzung!$F$11:$F$22="x"))),1))))),0))))</f>
        <v/>
      </c>
      <c r="AD120" s="247">
        <f>IF(C120="Gutschrift","",IF(G120="","",IF(Besatzung!$B$19="","",IFERROR(IF(I120="Zeitanteilig",(Besatzung!$G$19*(G120-IFERROR(H120,0))+((Besatzung!$B$19&lt;&gt;"")*IF(B120="",1,(IF(Besatzung!$C$19="",Besatzung!$B$5,Besatzung!$C$19)&lt;=B120)*(IF(Besatzung!$D$19="",Besatzung!$B$6,Besatzung!$D$19)&gt;=B120)))*(Besatzung!$F$19="x")*IFERROR(H120,0)/IFERROR(SUMPRODUCT((Besatzung!$B$11:$B$22&lt;&gt;"")*(Besatzung!$F$11:$F$22="x")*(IF(Besatzung!$C$11:$C$22="",Besatzung!$B$5,Besatzung!$C$11:$C$22)&lt;=B120)*(IF(Besatzung!$D$11:$D$22="",Besatzung!$B$6,Besatzung!$D$11:$D$22)&gt;=B120)),1)),IF(I120="An Bord",(((Besatzung!$B$19&lt;&gt;"")*IF(B120="",1,(IF(Besatzung!$C$19="",Besatzung!$B$5,Besatzung!$C$19)&lt;=B120)*(IF(Besatzung!$D$19="",Besatzung!$B$6,Besatzung!$D$19)&gt;=B120)))*((G120-IFERROR(H120,0))/IFERROR(SUMPRODUCT((Besatzung!$B$11:$B$22&lt;&gt;"")*(IF(Besatzung!$C$11:$C$22="",Besatzung!$B$5,Besatzung!$C$11:$C$22)&lt;=B120)*(IF(Besatzung!$D$11:$D$22="",Besatzung!$B$6,Besatzung!$D$11:$D$22)&gt;=B120)),1)+(Besatzung!$F$19="x")*IFERROR(H120,0)/IFERROR(SUMPRODUCT((Besatzung!$B$11:$B$22&lt;&gt;"")*(Besatzung!$F$11:$F$22="x")*(IF(Besatzung!$C$11:$C$22="",Besatzung!$B$5,Besatzung!$C$11:$C$22)&lt;=B120)*(IF(Besatzung!$D$11:$D$22="",Besatzung!$B$6,Besatzung!$D$11:$D$22)&gt;=B120)),1))),IF(I120="Individuell",((R120="x")*((G120-IFERROR(H120,0))/IFERROR(COUNTIF(J120:U120,"x"),1)+(Besatzung!$F$19="x")*IFERROR(H120,0)/IFERROR(SUMPRODUCT((J120:U120="x")*(Besatzung!$F$11:$F$22="x")),1))),(IF(COUNTIF(J120:U120,"x")=0,IF(Besatzung!$B$19&lt;&gt;"",1,0),(R120="x"))*(G120-IFERROR(H120,0))/IFERROR(IF(COUNTIF(J120:U120,"x")=0,COUNTA(Besatzung!$B$11:$B$22),COUNTIF(J120:U120,"x")),1)+IF(COUNTIF(J120:U120,"x")=0,(Besatzung!$F$19="x"),(R120="x")*(Besatzung!$F$19="x"))*IFERROR(H120,0)/IFERROR(IF(COUNTIF(J120:U120,"x")=0,SUMPRODUCT((Besatzung!$B$11:$B$22&lt;&gt;"")*(Besatzung!$F$11:$F$22="x")),SUMPRODUCT((J120:U120="x")*(Besatzung!$F$11:$F$22="x"))),1))))),0))))</f>
        <v/>
      </c>
      <c r="AE120" s="247">
        <f>IF(C120="Gutschrift","",IF(G120="","",IF(Besatzung!$B$20="","",IFERROR(IF(I120="Zeitanteilig",(Besatzung!$G$20*(G120-IFERROR(H120,0))+((Besatzung!$B$20&lt;&gt;"")*IF(B120="",1,(IF(Besatzung!$C$20="",Besatzung!$B$5,Besatzung!$C$20)&lt;=B120)*(IF(Besatzung!$D$20="",Besatzung!$B$6,Besatzung!$D$20)&gt;=B120)))*(Besatzung!$F$20="x")*IFERROR(H120,0)/IFERROR(SUMPRODUCT((Besatzung!$B$11:$B$22&lt;&gt;"")*(Besatzung!$F$11:$F$22="x")*(IF(Besatzung!$C$11:$C$22="",Besatzung!$B$5,Besatzung!$C$11:$C$22)&lt;=B120)*(IF(Besatzung!$D$11:$D$22="",Besatzung!$B$6,Besatzung!$D$11:$D$22)&gt;=B120)),1)),IF(I120="An Bord",(((Besatzung!$B$20&lt;&gt;"")*IF(B120="",1,(IF(Besatzung!$C$20="",Besatzung!$B$5,Besatzung!$C$20)&lt;=B120)*(IF(Besatzung!$D$20="",Besatzung!$B$6,Besatzung!$D$20)&gt;=B120)))*((G120-IFERROR(H120,0))/IFERROR(SUMPRODUCT((Besatzung!$B$11:$B$22&lt;&gt;"")*(IF(Besatzung!$C$11:$C$22="",Besatzung!$B$5,Besatzung!$C$11:$C$22)&lt;=B120)*(IF(Besatzung!$D$11:$D$22="",Besatzung!$B$6,Besatzung!$D$11:$D$22)&gt;=B120)),1)+(Besatzung!$F$20="x")*IFERROR(H120,0)/IFERROR(SUMPRODUCT((Besatzung!$B$11:$B$22&lt;&gt;"")*(Besatzung!$F$11:$F$22="x")*(IF(Besatzung!$C$11:$C$22="",Besatzung!$B$5,Besatzung!$C$11:$C$22)&lt;=B120)*(IF(Besatzung!$D$11:$D$22="",Besatzung!$B$6,Besatzung!$D$11:$D$22)&gt;=B120)),1))),IF(I120="Individuell",((S120="x")*((G120-IFERROR(H120,0))/IFERROR(COUNTIF(J120:U120,"x"),1)+(Besatzung!$F$20="x")*IFERROR(H120,0)/IFERROR(SUMPRODUCT((J120:U120="x")*(Besatzung!$F$11:$F$22="x")),1))),(IF(COUNTIF(J120:U120,"x")=0,IF(Besatzung!$B$20&lt;&gt;"",1,0),(S120="x"))*(G120-IFERROR(H120,0))/IFERROR(IF(COUNTIF(J120:U120,"x")=0,COUNTA(Besatzung!$B$11:$B$22),COUNTIF(J120:U120,"x")),1)+IF(COUNTIF(J120:U120,"x")=0,(Besatzung!$F$20="x"),(S120="x")*(Besatzung!$F$20="x"))*IFERROR(H120,0)/IFERROR(IF(COUNTIF(J120:U120,"x")=0,SUMPRODUCT((Besatzung!$B$11:$B$22&lt;&gt;"")*(Besatzung!$F$11:$F$22="x")),SUMPRODUCT((J120:U120="x")*(Besatzung!$F$11:$F$22="x"))),1))))),0))))</f>
        <v/>
      </c>
      <c r="AF120" s="247">
        <f>IF(C120="Gutschrift","",IF(G120="","",IF(Besatzung!$B$21="","",IFERROR(IF(I120="Zeitanteilig",(Besatzung!$G$21*(G120-IFERROR(H120,0))+((Besatzung!$B$21&lt;&gt;"")*IF(B120="",1,(IF(Besatzung!$C$21="",Besatzung!$B$5,Besatzung!$C$21)&lt;=B120)*(IF(Besatzung!$D$21="",Besatzung!$B$6,Besatzung!$D$21)&gt;=B120)))*(Besatzung!$F$21="x")*IFERROR(H120,0)/IFERROR(SUMPRODUCT((Besatzung!$B$11:$B$22&lt;&gt;"")*(Besatzung!$F$11:$F$22="x")*(IF(Besatzung!$C$11:$C$22="",Besatzung!$B$5,Besatzung!$C$11:$C$22)&lt;=B120)*(IF(Besatzung!$D$11:$D$22="",Besatzung!$B$6,Besatzung!$D$11:$D$22)&gt;=B120)),1)),IF(I120="An Bord",(((Besatzung!$B$21&lt;&gt;"")*IF(B120="",1,(IF(Besatzung!$C$21="",Besatzung!$B$5,Besatzung!$C$21)&lt;=B120)*(IF(Besatzung!$D$21="",Besatzung!$B$6,Besatzung!$D$21)&gt;=B120)))*((G120-IFERROR(H120,0))/IFERROR(SUMPRODUCT((Besatzung!$B$11:$B$22&lt;&gt;"")*(IF(Besatzung!$C$11:$C$22="",Besatzung!$B$5,Besatzung!$C$11:$C$22)&lt;=B120)*(IF(Besatzung!$D$11:$D$22="",Besatzung!$B$6,Besatzung!$D$11:$D$22)&gt;=B120)),1)+(Besatzung!$F$21="x")*IFERROR(H120,0)/IFERROR(SUMPRODUCT((Besatzung!$B$11:$B$22&lt;&gt;"")*(Besatzung!$F$11:$F$22="x")*(IF(Besatzung!$C$11:$C$22="",Besatzung!$B$5,Besatzung!$C$11:$C$22)&lt;=B120)*(IF(Besatzung!$D$11:$D$22="",Besatzung!$B$6,Besatzung!$D$11:$D$22)&gt;=B120)),1))),IF(I120="Individuell",((T120="x")*((G120-IFERROR(H120,0))/IFERROR(COUNTIF(J120:U120,"x"),1)+(Besatzung!$F$21="x")*IFERROR(H120,0)/IFERROR(SUMPRODUCT((J120:U120="x")*(Besatzung!$F$11:$F$22="x")),1))),(IF(COUNTIF(J120:U120,"x")=0,IF(Besatzung!$B$21&lt;&gt;"",1,0),(T120="x"))*(G120-IFERROR(H120,0))/IFERROR(IF(COUNTIF(J120:U120,"x")=0,COUNTA(Besatzung!$B$11:$B$22),COUNTIF(J120:U120,"x")),1)+IF(COUNTIF(J120:U120,"x")=0,(Besatzung!$F$21="x"),(T120="x")*(Besatzung!$F$21="x"))*IFERROR(H120,0)/IFERROR(IF(COUNTIF(J120:U120,"x")=0,SUMPRODUCT((Besatzung!$B$11:$B$22&lt;&gt;"")*(Besatzung!$F$11:$F$22="x")),SUMPRODUCT((J120:U120="x")*(Besatzung!$F$11:$F$22="x"))),1))))),0))))</f>
        <v/>
      </c>
      <c r="AG120" s="247">
        <f>IF(C120="Gutschrift","",IF(G120="","",IF(Besatzung!$B$22="","",IFERROR(IF(I120="Zeitanteilig",(Besatzung!$G$22*(G120-IFERROR(H120,0))+((Besatzung!$B$22&lt;&gt;"")*IF(B120="",1,(IF(Besatzung!$C$22="",Besatzung!$B$5,Besatzung!$C$22)&lt;=B120)*(IF(Besatzung!$D$22="",Besatzung!$B$6,Besatzung!$D$22)&gt;=B120)))*(Besatzung!$F$22="x")*IFERROR(H120,0)/IFERROR(SUMPRODUCT((Besatzung!$B$11:$B$22&lt;&gt;"")*(Besatzung!$F$11:$F$22="x")*(IF(Besatzung!$C$11:$C$22="",Besatzung!$B$5,Besatzung!$C$11:$C$22)&lt;=B120)*(IF(Besatzung!$D$11:$D$22="",Besatzung!$B$6,Besatzung!$D$11:$D$22)&gt;=B120)),1)),IF(I120="An Bord",(((Besatzung!$B$22&lt;&gt;"")*IF(B120="",1,(IF(Besatzung!$C$22="",Besatzung!$B$5,Besatzung!$C$22)&lt;=B120)*(IF(Besatzung!$D$22="",Besatzung!$B$6,Besatzung!$D$22)&gt;=B120)))*((G120-IFERROR(H120,0))/IFERROR(SUMPRODUCT((Besatzung!$B$11:$B$22&lt;&gt;"")*(IF(Besatzung!$C$11:$C$22="",Besatzung!$B$5,Besatzung!$C$11:$C$22)&lt;=B120)*(IF(Besatzung!$D$11:$D$22="",Besatzung!$B$6,Besatzung!$D$11:$D$22)&gt;=B120)),1)+(Besatzung!$F$22="x")*IFERROR(H120,0)/IFERROR(SUMPRODUCT((Besatzung!$B$11:$B$22&lt;&gt;"")*(Besatzung!$F$11:$F$22="x")*(IF(Besatzung!$C$11:$C$22="",Besatzung!$B$5,Besatzung!$C$11:$C$22)&lt;=B120)*(IF(Besatzung!$D$11:$D$22="",Besatzung!$B$6,Besatzung!$D$11:$D$22)&gt;=B120)),1))),IF(I120="Individuell",((U120="x")*((G120-IFERROR(H120,0))/IFERROR(COUNTIF(J120:U120,"x"),1)+(Besatzung!$F$22="x")*IFERROR(H120,0)/IFERROR(SUMPRODUCT((J120:U120="x")*(Besatzung!$F$11:$F$22="x")),1))),(IF(COUNTIF(J120:U120,"x")=0,IF(Besatzung!$B$22&lt;&gt;"",1,0),(U120="x"))*(G120-IFERROR(H120,0))/IFERROR(IF(COUNTIF(J120:U120,"x")=0,COUNTA(Besatzung!$B$11:$B$22),COUNTIF(J120:U120,"x")),1)+IF(COUNTIF(J120:U120,"x")=0,(Besatzung!$F$22="x"),(U120="x")*(Besatzung!$F$22="x"))*IFERROR(H120,0)/IFERROR(IF(COUNTIF(J120:U120,"x")=0,SUMPRODUCT((Besatzung!$B$11:$B$22&lt;&gt;"")*(Besatzung!$F$11:$F$22="x")),SUMPRODUCT((J120:U120="x")*(Besatzung!$F$11:$F$22="x"))),1))))),0))))</f>
        <v/>
      </c>
      <c r="AH120" s="248" t="n"/>
      <c r="AI120" s="248" t="n"/>
    </row>
    <row r="121" ht="21.75" customHeight="1" s="154">
      <c r="A121" s="238">
        <f>IF(AND(D121="",C121=""),"",118)</f>
        <v/>
      </c>
      <c r="B121" s="206" t="n"/>
      <c r="C121" s="249" t="n"/>
      <c r="D121" s="250" t="n"/>
      <c r="E121" s="251" t="n"/>
      <c r="F121" s="252" t="n"/>
      <c r="G121" s="253" t="n"/>
      <c r="H121" s="254" t="n"/>
      <c r="I121" s="255" t="n"/>
      <c r="J121" s="256" t="n"/>
      <c r="K121" s="256" t="n"/>
      <c r="L121" s="256" t="n"/>
      <c r="M121" s="256" t="n"/>
      <c r="N121" s="256" t="n"/>
      <c r="O121" s="256" t="n"/>
      <c r="P121" s="256" t="n"/>
      <c r="Q121" s="256" t="n"/>
      <c r="R121" s="256" t="n"/>
      <c r="S121" s="256" t="n"/>
      <c r="T121" s="256" t="n"/>
      <c r="U121" s="256" t="n"/>
      <c r="V121" s="247">
        <f>IF(C121="Gutschrift","",IF(G121="","",IF(Besatzung!$B$11="","",IFERROR(IF(I121="Zeitanteilig",(Besatzung!$G$11*(G121-IFERROR(H121,0))+((Besatzung!$B$11&lt;&gt;"")*IF(B121="",1,(IF(Besatzung!$C$11="",Besatzung!$B$5,Besatzung!$C$11)&lt;=B121)*(IF(Besatzung!$D$11="",Besatzung!$B$6,Besatzung!$D$11)&gt;=B121)))*(Besatzung!$F$11="x")*IFERROR(H121,0)/IFERROR(SUMPRODUCT((Besatzung!$B$11:$B$22&lt;&gt;"")*(Besatzung!$F$11:$F$22="x")*(IF(Besatzung!$C$11:$C$22="",Besatzung!$B$5,Besatzung!$C$11:$C$22)&lt;=B121)*(IF(Besatzung!$D$11:$D$22="",Besatzung!$B$6,Besatzung!$D$11:$D$22)&gt;=B121)),1)),IF(I121="An Bord",(((Besatzung!$B$11&lt;&gt;"")*IF(B121="",1,(IF(Besatzung!$C$11="",Besatzung!$B$5,Besatzung!$C$11)&lt;=B121)*(IF(Besatzung!$D$11="",Besatzung!$B$6,Besatzung!$D$11)&gt;=B121)))*((G121-IFERROR(H121,0))/IFERROR(SUMPRODUCT((Besatzung!$B$11:$B$22&lt;&gt;"")*(IF(Besatzung!$C$11:$C$22="",Besatzung!$B$5,Besatzung!$C$11:$C$22)&lt;=B121)*(IF(Besatzung!$D$11:$D$22="",Besatzung!$B$6,Besatzung!$D$11:$D$22)&gt;=B121)),1)+(Besatzung!$F$11="x")*IFERROR(H121,0)/IFERROR(SUMPRODUCT((Besatzung!$B$11:$B$22&lt;&gt;"")*(Besatzung!$F$11:$F$22="x")*(IF(Besatzung!$C$11:$C$22="",Besatzung!$B$5,Besatzung!$C$11:$C$22)&lt;=B121)*(IF(Besatzung!$D$11:$D$22="",Besatzung!$B$6,Besatzung!$D$11:$D$22)&gt;=B121)),1))),IF(I121="Individuell",((J121="x")*((G121-IFERROR(H121,0))/IFERROR(COUNTIF(J121:U121,"x"),1)+(Besatzung!$F$11="x")*IFERROR(H121,0)/IFERROR(SUMPRODUCT((J121:U121="x")*(Besatzung!$F$11:$F$22="x")),1))),(IF(COUNTIF(J121:U121,"x")=0,IF(Besatzung!$B$11&lt;&gt;"",1,0),(J121="x"))*(G121-IFERROR(H121,0))/IFERROR(IF(COUNTIF(J121:U121,"x")=0,COUNTA(Besatzung!$B$11:$B$22),COUNTIF(J121:U121,"x")),1)+IF(COUNTIF(J121:U121,"x")=0,(Besatzung!$F$11="x"),(J121="x")*(Besatzung!$F$11="x"))*IFERROR(H121,0)/IFERROR(IF(COUNTIF(J121:U121,"x")=0,SUMPRODUCT((Besatzung!$B$11:$B$22&lt;&gt;"")*(Besatzung!$F$11:$F$22="x")),SUMPRODUCT((J121:U121="x")*(Besatzung!$F$11:$F$22="x"))),1))))),0))))</f>
        <v/>
      </c>
      <c r="W121" s="247">
        <f>IF(C121="Gutschrift","",IF(G121="","",IF(Besatzung!$B$12="","",IFERROR(IF(I121="Zeitanteilig",(Besatzung!$G$12*(G121-IFERROR(H121,0))+((Besatzung!$B$12&lt;&gt;"")*IF(B121="",1,(IF(Besatzung!$C$12="",Besatzung!$B$5,Besatzung!$C$12)&lt;=B121)*(IF(Besatzung!$D$12="",Besatzung!$B$6,Besatzung!$D$12)&gt;=B121)))*(Besatzung!$F$12="x")*IFERROR(H121,0)/IFERROR(SUMPRODUCT((Besatzung!$B$11:$B$22&lt;&gt;"")*(Besatzung!$F$11:$F$22="x")*(IF(Besatzung!$C$11:$C$22="",Besatzung!$B$5,Besatzung!$C$11:$C$22)&lt;=B121)*(IF(Besatzung!$D$11:$D$22="",Besatzung!$B$6,Besatzung!$D$11:$D$22)&gt;=B121)),1)),IF(I121="An Bord",(((Besatzung!$B$12&lt;&gt;"")*IF(B121="",1,(IF(Besatzung!$C$12="",Besatzung!$B$5,Besatzung!$C$12)&lt;=B121)*(IF(Besatzung!$D$12="",Besatzung!$B$6,Besatzung!$D$12)&gt;=B121)))*((G121-IFERROR(H121,0))/IFERROR(SUMPRODUCT((Besatzung!$B$11:$B$22&lt;&gt;"")*(IF(Besatzung!$C$11:$C$22="",Besatzung!$B$5,Besatzung!$C$11:$C$22)&lt;=B121)*(IF(Besatzung!$D$11:$D$22="",Besatzung!$B$6,Besatzung!$D$11:$D$22)&gt;=B121)),1)+(Besatzung!$F$12="x")*IFERROR(H121,0)/IFERROR(SUMPRODUCT((Besatzung!$B$11:$B$22&lt;&gt;"")*(Besatzung!$F$11:$F$22="x")*(IF(Besatzung!$C$11:$C$22="",Besatzung!$B$5,Besatzung!$C$11:$C$22)&lt;=B121)*(IF(Besatzung!$D$11:$D$22="",Besatzung!$B$6,Besatzung!$D$11:$D$22)&gt;=B121)),1))),IF(I121="Individuell",((K121="x")*((G121-IFERROR(H121,0))/IFERROR(COUNTIF(J121:U121,"x"),1)+(Besatzung!$F$12="x")*IFERROR(H121,0)/IFERROR(SUMPRODUCT((J121:U121="x")*(Besatzung!$F$11:$F$22="x")),1))),(IF(COUNTIF(J121:U121,"x")=0,IF(Besatzung!$B$12&lt;&gt;"",1,0),(K121="x"))*(G121-IFERROR(H121,0))/IFERROR(IF(COUNTIF(J121:U121,"x")=0,COUNTA(Besatzung!$B$11:$B$22),COUNTIF(J121:U121,"x")),1)+IF(COUNTIF(J121:U121,"x")=0,(Besatzung!$F$12="x"),(K121="x")*(Besatzung!$F$12="x"))*IFERROR(H121,0)/IFERROR(IF(COUNTIF(J121:U121,"x")=0,SUMPRODUCT((Besatzung!$B$11:$B$22&lt;&gt;"")*(Besatzung!$F$11:$F$22="x")),SUMPRODUCT((J121:U121="x")*(Besatzung!$F$11:$F$22="x"))),1))))),0))))</f>
        <v/>
      </c>
      <c r="X121" s="247">
        <f>IF(C121="Gutschrift","",IF(G121="","",IF(Besatzung!$B$13="","",IFERROR(IF(I121="Zeitanteilig",(Besatzung!$G$13*(G121-IFERROR(H121,0))+((Besatzung!$B$13&lt;&gt;"")*IF(B121="",1,(IF(Besatzung!$C$13="",Besatzung!$B$5,Besatzung!$C$13)&lt;=B121)*(IF(Besatzung!$D$13="",Besatzung!$B$6,Besatzung!$D$13)&gt;=B121)))*(Besatzung!$F$13="x")*IFERROR(H121,0)/IFERROR(SUMPRODUCT((Besatzung!$B$11:$B$22&lt;&gt;"")*(Besatzung!$F$11:$F$22="x")*(IF(Besatzung!$C$11:$C$22="",Besatzung!$B$5,Besatzung!$C$11:$C$22)&lt;=B121)*(IF(Besatzung!$D$11:$D$22="",Besatzung!$B$6,Besatzung!$D$11:$D$22)&gt;=B121)),1)),IF(I121="An Bord",(((Besatzung!$B$13&lt;&gt;"")*IF(B121="",1,(IF(Besatzung!$C$13="",Besatzung!$B$5,Besatzung!$C$13)&lt;=B121)*(IF(Besatzung!$D$13="",Besatzung!$B$6,Besatzung!$D$13)&gt;=B121)))*((G121-IFERROR(H121,0))/IFERROR(SUMPRODUCT((Besatzung!$B$11:$B$22&lt;&gt;"")*(IF(Besatzung!$C$11:$C$22="",Besatzung!$B$5,Besatzung!$C$11:$C$22)&lt;=B121)*(IF(Besatzung!$D$11:$D$22="",Besatzung!$B$6,Besatzung!$D$11:$D$22)&gt;=B121)),1)+(Besatzung!$F$13="x")*IFERROR(H121,0)/IFERROR(SUMPRODUCT((Besatzung!$B$11:$B$22&lt;&gt;"")*(Besatzung!$F$11:$F$22="x")*(IF(Besatzung!$C$11:$C$22="",Besatzung!$B$5,Besatzung!$C$11:$C$22)&lt;=B121)*(IF(Besatzung!$D$11:$D$22="",Besatzung!$B$6,Besatzung!$D$11:$D$22)&gt;=B121)),1))),IF(I121="Individuell",((K121="x")*((G121-IFERROR(H121,0))/IFERROR(COUNTIF(J121:U121,"x"),1)+(Besatzung!$F$13="x")*IFERROR(H121,0)/IFERROR(SUMPRODUCT((J121:U121="x")*(Besatzung!$F$11:$F$22="x")),1))),(IF(COUNTIF(J121:U121,"x")=0,IF(Besatzung!$B$13&lt;&gt;"",1,0),(K121="x"))*(G121-IFERROR(H121,0))/IFERROR(IF(COUNTIF(J121:U121,"x")=0,COUNTA(Besatzung!$B$11:$B$22),COUNTIF(J121:U121,"x")),1)+IF(COUNTIF(J121:U121,"x")=0,(Besatzung!$F$13="x"),(K121="x")*(Besatzung!$F$13="x"))*IFERROR(H121,0)/IFERROR(IF(COUNTIF(J121:U121,"x")=0,SUMPRODUCT((Besatzung!$B$11:$B$22&lt;&gt;"")*(Besatzung!$F$11:$F$22="x")),SUMPRODUCT((J121:U121="x")*(Besatzung!$F$11:$F$22="x"))),1))))),0))))</f>
        <v/>
      </c>
      <c r="Y121" s="247">
        <f>IF(C121="Gutschrift","",IF(G121="","",IF(Besatzung!$B$14="","",IFERROR(IF(I121="Zeitanteilig",(Besatzung!$G$14*(G121-IFERROR(H121,0))+((Besatzung!$B$14&lt;&gt;"")*IF(B121="",1,(IF(Besatzung!$C$14="",Besatzung!$B$5,Besatzung!$C$14)&lt;=B121)*(IF(Besatzung!$D$14="",Besatzung!$B$6,Besatzung!$D$14)&gt;=B121)))*(Besatzung!$F$14="x")*IFERROR(H121,0)/IFERROR(SUMPRODUCT((Besatzung!$B$11:$B$22&lt;&gt;"")*(Besatzung!$F$11:$F$22="x")*(IF(Besatzung!$C$11:$C$22="",Besatzung!$B$5,Besatzung!$C$11:$C$22)&lt;=B121)*(IF(Besatzung!$D$11:$D$22="",Besatzung!$B$6,Besatzung!$D$11:$D$22)&gt;=B121)),1)),IF(I121="An Bord",(((Besatzung!$B$14&lt;&gt;"")*IF(B121="",1,(IF(Besatzung!$C$14="",Besatzung!$B$5,Besatzung!$C$14)&lt;=B121)*(IF(Besatzung!$D$14="",Besatzung!$B$6,Besatzung!$D$14)&gt;=B121)))*((G121-IFERROR(H121,0))/IFERROR(SUMPRODUCT((Besatzung!$B$11:$B$22&lt;&gt;"")*(IF(Besatzung!$C$11:$C$22="",Besatzung!$B$5,Besatzung!$C$11:$C$22)&lt;=B121)*(IF(Besatzung!$D$11:$D$22="",Besatzung!$B$6,Besatzung!$D$11:$D$22)&gt;=B121)),1)+(Besatzung!$F$14="x")*IFERROR(H121,0)/IFERROR(SUMPRODUCT((Besatzung!$B$11:$B$22&lt;&gt;"")*(Besatzung!$F$11:$F$22="x")*(IF(Besatzung!$C$11:$C$22="",Besatzung!$B$5,Besatzung!$C$11:$C$22)&lt;=B121)*(IF(Besatzung!$D$11:$D$22="",Besatzung!$B$6,Besatzung!$D$11:$D$22)&gt;=B121)),1))),IF(I121="Individuell",((M121="x")*((G121-IFERROR(H121,0))/IFERROR(COUNTIF(J121:U121,"x"),1)+(Besatzung!$F$14="x")*IFERROR(H121,0)/IFERROR(SUMPRODUCT((J121:U121="x")*(Besatzung!$F$11:$F$22="x")),1))),(IF(COUNTIF(J121:U121,"x")=0,IF(Besatzung!$B$14&lt;&gt;"",1,0),(M121="x"))*(G121-IFERROR(H121,0))/IFERROR(IF(COUNTIF(J121:U121,"x")=0,COUNTA(Besatzung!$B$11:$B$22),COUNTIF(J121:U121,"x")),1)+IF(COUNTIF(J121:U121,"x")=0,(Besatzung!$F$14="x"),(M121="x")*(Besatzung!$F$14="x"))*IFERROR(H121,0)/IFERROR(IF(COUNTIF(J121:U121,"x")=0,SUMPRODUCT((Besatzung!$B$11:$B$22&lt;&gt;"")*(Besatzung!$F$11:$F$22="x")),SUMPRODUCT((J121:U121="x")*(Besatzung!$F$11:$F$22="x"))),1))))),0))))</f>
        <v/>
      </c>
      <c r="Z121" s="247">
        <f>IF(C121="Gutschrift","",IF(G121="","",IF(Besatzung!$B$13="","",IFERROR(IF(I121="Zeitanteilig",(Besatzung!$G$15*(G121-IFERROR(H121,0))+((Besatzung!$B$13&lt;&gt;"")*IF(B121="",1,(IF(Besatzung!$C$15="",Besatzung!$B$5,Besatzung!$C$15)&lt;=B121)*(IF(Besatzung!$D$15="",Besatzung!$B$6,Besatzung!$D$15)&gt;=B121)))*(Besatzung!$F$15="x")*IFERROR(H121,0)/IFERROR(SUMPRODUCT((Besatzung!$B$11:$B$22&lt;&gt;"")*(Besatzung!$F$11:$F$22="x")*(IF(Besatzung!$C$11:$C$22="",Besatzung!$B$5,Besatzung!$C$11:$C$22)&lt;=B121)*(IF(Besatzung!$D$11:$D$22="",Besatzung!$B$6,Besatzung!$D$11:$D$22)&gt;=B121)),1)),IF(I121="An Bord",(((Besatzung!$B$13&lt;&gt;"")*IF(B121="",1,(IF(Besatzung!$C$15="",Besatzung!$B$5,Besatzung!$C$15)&lt;=B121)*(IF(Besatzung!$D$15="",Besatzung!$B$6,Besatzung!$D$15)&gt;=B121)))*((G121-IFERROR(H121,0))/IFERROR(SUMPRODUCT((Besatzung!$B$11:$B$22&lt;&gt;"")*(IF(Besatzung!$C$11:$C$22="",Besatzung!$B$5,Besatzung!$C$11:$C$22)&lt;=B121)*(IF(Besatzung!$D$11:$D$22="",Besatzung!$B$6,Besatzung!$D$11:$D$22)&gt;=B121)),1)+(Besatzung!$F$15="x")*IFERROR(H121,0)/IFERROR(SUMPRODUCT((Besatzung!$B$11:$B$22&lt;&gt;"")*(Besatzung!$F$11:$F$22="x")*(IF(Besatzung!$C$11:$C$22="",Besatzung!$B$5,Besatzung!$C$11:$C$22)&lt;=B121)*(IF(Besatzung!$D$11:$D$22="",Besatzung!$B$6,Besatzung!$D$11:$D$22)&gt;=B121)),1))),IF(I121="Individuell",((N121="x")*((G121-IFERROR(H121,0))/IFERROR(COUNTIF(J121:U121,"x"),1)+(Besatzung!$F$15="x")*IFERROR(H121,0)/IFERROR(SUMPRODUCT((J121:U121="x")*(Besatzung!$F$11:$F$22="x")),1))),(IF(COUNTIF(J121:U121,"x")=0,IF(Besatzung!$B$13&lt;&gt;"",1,0),(N121="x"))*(G121-IFERROR(H121,0))/IFERROR(IF(COUNTIF(J121:U121,"x")=0,COUNTA(Besatzung!$B$11:$B$22),COUNTIF(J121:U121,"x")),1)+IF(COUNTIF(J121:U121,"x")=0,(Besatzung!$F$15="x"),(N121="x")*(Besatzung!$F$15="x"))*IFERROR(H121,0)/IFERROR(IF(COUNTIF(J121:U121,"x")=0,SUMPRODUCT((Besatzung!$B$11:$B$22&lt;&gt;"")*(Besatzung!$F$11:$F$22="x")),SUMPRODUCT((J121:U121="x")*(Besatzung!$F$11:$F$22="x"))),1))))),0))))</f>
        <v/>
      </c>
      <c r="AA121" s="247">
        <f>IF(C121="Gutschrift","",IF(G121="","",IF(Besatzung!$B$15="","",IFERROR(IF(I121="Zeitanteilig",(Besatzung!$G$16*(G121-IFERROR(H121,0))+((Besatzung!$B$15&lt;&gt;"")*IF(B121="",1,(IF(Besatzung!$C$16="",Besatzung!$B$5,Besatzung!$C$16)&lt;=B121)*(IF(Besatzung!$D$16="",Besatzung!$B$6,Besatzung!$D$16)&gt;=B121)))*(Besatzung!$F$16="x")*IFERROR(H121,0)/IFERROR(SUMPRODUCT((Besatzung!$B$11:$B$22&lt;&gt;"")*(Besatzung!$F$11:$F$22="x")*(IF(Besatzung!$C$11:$C$22="",Besatzung!$B$5,Besatzung!$C$11:$C$22)&lt;=B121)*(IF(Besatzung!$D$11:$D$22="",Besatzung!$B$6,Besatzung!$D$11:$D$22)&gt;=B121)),1)),IF(I121="An Bord",(((Besatzung!$B$15&lt;&gt;"")*IF(B121="",1,(IF(Besatzung!$C$16="",Besatzung!$B$5,Besatzung!$C$16)&lt;=B121)*(IF(Besatzung!$D$16="",Besatzung!$B$6,Besatzung!$D$16)&gt;=B121)))*((G121-IFERROR(H121,0))/IFERROR(SUMPRODUCT((Besatzung!$B$11:$B$22&lt;&gt;"")*(IF(Besatzung!$C$11:$C$22="",Besatzung!$B$5,Besatzung!$C$11:$C$22)&lt;=B121)*(IF(Besatzung!$D$11:$D$22="",Besatzung!$B$6,Besatzung!$D$11:$D$22)&gt;=B121)),1)+(Besatzung!$F$16="x")*IFERROR(H121,0)/IFERROR(SUMPRODUCT((Besatzung!$B$11:$B$22&lt;&gt;"")*(Besatzung!$F$11:$F$22="x")*(IF(Besatzung!$C$11:$C$22="",Besatzung!$B$5,Besatzung!$C$11:$C$22)&lt;=B121)*(IF(Besatzung!$D$11:$D$22="",Besatzung!$B$6,Besatzung!$D$11:$D$22)&gt;=B121)),1))),IF(I121="Individuell",((O121="x")*((G121-IFERROR(H121,0))/IFERROR(COUNTIF(J121:U121,"x"),1)+(Besatzung!$F$16="x")*IFERROR(H121,0)/IFERROR(SUMPRODUCT((J121:U121="x")*(Besatzung!$F$11:$F$22="x")),1))),(IF(COUNTIF(J121:U121,"x")=0,IF(Besatzung!$B$15&lt;&gt;"",1,0),(O121="x"))*(G121-IFERROR(H121,0))/IFERROR(IF(COUNTIF(J121:U121,"x")=0,COUNTA(Besatzung!$B$11:$B$22),COUNTIF(J121:U121,"x")),1)+IF(COUNTIF(J121:U121,"x")=0,(Besatzung!$F$16="x"),(O121="x")*(Besatzung!$F$16="x"))*IFERROR(H121,0)/IFERROR(IF(COUNTIF(J121:U121,"x")=0,SUMPRODUCT((Besatzung!$B$11:$B$22&lt;&gt;"")*(Besatzung!$F$11:$F$22="x")),SUMPRODUCT((J121:U121="x")*(Besatzung!$F$11:$F$22="x"))),1))))),0))))</f>
        <v/>
      </c>
      <c r="AB121" s="247">
        <f>IF(C121="Gutschrift","",IF(G121="","",IF(Besatzung!$B$17="","",IFERROR(IF(I121="Zeitanteilig",(Besatzung!$G$17*(G121-IFERROR(H121,0))+((Besatzung!$B$17&lt;&gt;"")*IF(B121="",1,(IF(Besatzung!$C$17="",Besatzung!$B$5,Besatzung!$C$17)&lt;=B121)*(IF(Besatzung!$D$17="",Besatzung!$B$6,Besatzung!$D$17)&gt;=B121)))*(Besatzung!$F$17="x")*IFERROR(H121,0)/IFERROR(SUMPRODUCT((Besatzung!$B$11:$B$22&lt;&gt;"")*(Besatzung!$F$11:$F$22="x")*(IF(Besatzung!$C$11:$C$22="",Besatzung!$B$5,Besatzung!$C$11:$C$22)&lt;=B121)*(IF(Besatzung!$D$11:$D$22="",Besatzung!$B$6,Besatzung!$D$11:$D$22)&gt;=B121)),1)),IF(I121="An Bord",(((Besatzung!$B$17&lt;&gt;"")*IF(B121="",1,(IF(Besatzung!$C$17="",Besatzung!$B$5,Besatzung!$C$17)&lt;=B121)*(IF(Besatzung!$D$17="",Besatzung!$B$6,Besatzung!$D$17)&gt;=B121)))*((G121-IFERROR(H121,0))/IFERROR(SUMPRODUCT((Besatzung!$B$11:$B$22&lt;&gt;"")*(IF(Besatzung!$C$11:$C$22="",Besatzung!$B$5,Besatzung!$C$11:$C$22)&lt;=B121)*(IF(Besatzung!$D$11:$D$22="",Besatzung!$B$6,Besatzung!$D$11:$D$22)&gt;=B121)),1)+(Besatzung!$F$17="x")*IFERROR(H121,0)/IFERROR(SUMPRODUCT((Besatzung!$B$11:$B$22&lt;&gt;"")*(Besatzung!$F$11:$F$22="x")*(IF(Besatzung!$C$11:$C$22="",Besatzung!$B$5,Besatzung!$C$11:$C$22)&lt;=B121)*(IF(Besatzung!$D$11:$D$22="",Besatzung!$B$6,Besatzung!$D$11:$D$22)&gt;=B121)),1))),IF(I121="Individuell",((P121="x")*((G121-IFERROR(H121,0))/IFERROR(COUNTIF(J121:U121,"x"),1)+(Besatzung!$F$17="x")*IFERROR(H121,0)/IFERROR(SUMPRODUCT((J121:U121="x")*(Besatzung!$F$11:$F$22="x")),1))),(IF(COUNTIF(J121:U121,"x")=0,IF(Besatzung!$B$17&lt;&gt;"",1,0),(P121="x"))*(G121-IFERROR(H121,0))/IFERROR(IF(COUNTIF(J121:U121,"x")=0,COUNTA(Besatzung!$B$11:$B$22),COUNTIF(J121:U121,"x")),1)+IF(COUNTIF(J121:U121,"x")=0,(Besatzung!$F$17="x"),(P121="x")*(Besatzung!$F$17="x"))*IFERROR(H121,0)/IFERROR(IF(COUNTIF(J121:U121,"x")=0,SUMPRODUCT((Besatzung!$B$11:$B$22&lt;&gt;"")*(Besatzung!$F$11:$F$22="x")),SUMPRODUCT((J121:U121="x")*(Besatzung!$F$11:$F$22="x"))),1))))),0))))</f>
        <v/>
      </c>
      <c r="AC121" s="247">
        <f>IF(C121="Gutschrift","",IF(G121="","",IF(Besatzung!$B$18="","",IFERROR(IF(I121="Zeitanteilig",(Besatzung!$G$18*(G121-IFERROR(H121,0))+((Besatzung!$B$18&lt;&gt;"")*IF(B121="",1,(IF(Besatzung!$C$18="",Besatzung!$B$5,Besatzung!$C$18)&lt;=B121)*(IF(Besatzung!$D$18="",Besatzung!$B$6,Besatzung!$D$18)&gt;=B121)))*(Besatzung!$F$18="x")*IFERROR(H121,0)/IFERROR(SUMPRODUCT((Besatzung!$B$11:$B$22&lt;&gt;"")*(Besatzung!$F$11:$F$22="x")*(IF(Besatzung!$C$11:$C$22="",Besatzung!$B$5,Besatzung!$C$11:$C$22)&lt;=B121)*(IF(Besatzung!$D$11:$D$22="",Besatzung!$B$6,Besatzung!$D$11:$D$22)&gt;=B121)),1)),IF(I121="An Bord",(((Besatzung!$B$18&lt;&gt;"")*IF(B121="",1,(IF(Besatzung!$C$18="",Besatzung!$B$5,Besatzung!$C$18)&lt;=B121)*(IF(Besatzung!$D$18="",Besatzung!$B$6,Besatzung!$D$18)&gt;=B121)))*((G121-IFERROR(H121,0))/IFERROR(SUMPRODUCT((Besatzung!$B$11:$B$22&lt;&gt;"")*(IF(Besatzung!$C$11:$C$22="",Besatzung!$B$5,Besatzung!$C$11:$C$22)&lt;=B121)*(IF(Besatzung!$D$11:$D$22="",Besatzung!$B$6,Besatzung!$D$11:$D$22)&gt;=B121)),1)+(Besatzung!$F$18="x")*IFERROR(H121,0)/IFERROR(SUMPRODUCT((Besatzung!$B$11:$B$22&lt;&gt;"")*(Besatzung!$F$11:$F$22="x")*(IF(Besatzung!$C$11:$C$22="",Besatzung!$B$5,Besatzung!$C$11:$C$22)&lt;=B121)*(IF(Besatzung!$D$11:$D$22="",Besatzung!$B$6,Besatzung!$D$11:$D$22)&gt;=B121)),1))),IF(I121="Individuell",((Q121="x")*((G121-IFERROR(H121,0))/IFERROR(COUNTIF(J121:U121,"x"),1)+(Besatzung!$F$18="x")*IFERROR(H121,0)/IFERROR(SUMPRODUCT((J121:U121="x")*(Besatzung!$F$11:$F$22="x")),1))),(IF(COUNTIF(J121:U121,"x")=0,IF(Besatzung!$B$18&lt;&gt;"",1,0),(Q121="x"))*(G121-IFERROR(H121,0))/IFERROR(IF(COUNTIF(J121:U121,"x")=0,COUNTA(Besatzung!$B$11:$B$22),COUNTIF(J121:U121,"x")),1)+IF(COUNTIF(J121:U121,"x")=0,(Besatzung!$F$18="x"),(Q121="x")*(Besatzung!$F$18="x"))*IFERROR(H121,0)/IFERROR(IF(COUNTIF(J121:U121,"x")=0,SUMPRODUCT((Besatzung!$B$11:$B$22&lt;&gt;"")*(Besatzung!$F$11:$F$22="x")),SUMPRODUCT((J121:U121="x")*(Besatzung!$F$11:$F$22="x"))),1))))),0))))</f>
        <v/>
      </c>
      <c r="AD121" s="247">
        <f>IF(C121="Gutschrift","",IF(G121="","",IF(Besatzung!$B$19="","",IFERROR(IF(I121="Zeitanteilig",(Besatzung!$G$19*(G121-IFERROR(H121,0))+((Besatzung!$B$19&lt;&gt;"")*IF(B121="",1,(IF(Besatzung!$C$19="",Besatzung!$B$5,Besatzung!$C$19)&lt;=B121)*(IF(Besatzung!$D$19="",Besatzung!$B$6,Besatzung!$D$19)&gt;=B121)))*(Besatzung!$F$19="x")*IFERROR(H121,0)/IFERROR(SUMPRODUCT((Besatzung!$B$11:$B$22&lt;&gt;"")*(Besatzung!$F$11:$F$22="x")*(IF(Besatzung!$C$11:$C$22="",Besatzung!$B$5,Besatzung!$C$11:$C$22)&lt;=B121)*(IF(Besatzung!$D$11:$D$22="",Besatzung!$B$6,Besatzung!$D$11:$D$22)&gt;=B121)),1)),IF(I121="An Bord",(((Besatzung!$B$19&lt;&gt;"")*IF(B121="",1,(IF(Besatzung!$C$19="",Besatzung!$B$5,Besatzung!$C$19)&lt;=B121)*(IF(Besatzung!$D$19="",Besatzung!$B$6,Besatzung!$D$19)&gt;=B121)))*((G121-IFERROR(H121,0))/IFERROR(SUMPRODUCT((Besatzung!$B$11:$B$22&lt;&gt;"")*(IF(Besatzung!$C$11:$C$22="",Besatzung!$B$5,Besatzung!$C$11:$C$22)&lt;=B121)*(IF(Besatzung!$D$11:$D$22="",Besatzung!$B$6,Besatzung!$D$11:$D$22)&gt;=B121)),1)+(Besatzung!$F$19="x")*IFERROR(H121,0)/IFERROR(SUMPRODUCT((Besatzung!$B$11:$B$22&lt;&gt;"")*(Besatzung!$F$11:$F$22="x")*(IF(Besatzung!$C$11:$C$22="",Besatzung!$B$5,Besatzung!$C$11:$C$22)&lt;=B121)*(IF(Besatzung!$D$11:$D$22="",Besatzung!$B$6,Besatzung!$D$11:$D$22)&gt;=B121)),1))),IF(I121="Individuell",((R121="x")*((G121-IFERROR(H121,0))/IFERROR(COUNTIF(J121:U121,"x"),1)+(Besatzung!$F$19="x")*IFERROR(H121,0)/IFERROR(SUMPRODUCT((J121:U121="x")*(Besatzung!$F$11:$F$22="x")),1))),(IF(COUNTIF(J121:U121,"x")=0,IF(Besatzung!$B$19&lt;&gt;"",1,0),(R121="x"))*(G121-IFERROR(H121,0))/IFERROR(IF(COUNTIF(J121:U121,"x")=0,COUNTA(Besatzung!$B$11:$B$22),COUNTIF(J121:U121,"x")),1)+IF(COUNTIF(J121:U121,"x")=0,(Besatzung!$F$19="x"),(R121="x")*(Besatzung!$F$19="x"))*IFERROR(H121,0)/IFERROR(IF(COUNTIF(J121:U121,"x")=0,SUMPRODUCT((Besatzung!$B$11:$B$22&lt;&gt;"")*(Besatzung!$F$11:$F$22="x")),SUMPRODUCT((J121:U121="x")*(Besatzung!$F$11:$F$22="x"))),1))))),0))))</f>
        <v/>
      </c>
      <c r="AE121" s="247">
        <f>IF(C121="Gutschrift","",IF(G121="","",IF(Besatzung!$B$20="","",IFERROR(IF(I121="Zeitanteilig",(Besatzung!$G$20*(G121-IFERROR(H121,0))+((Besatzung!$B$20&lt;&gt;"")*IF(B121="",1,(IF(Besatzung!$C$20="",Besatzung!$B$5,Besatzung!$C$20)&lt;=B121)*(IF(Besatzung!$D$20="",Besatzung!$B$6,Besatzung!$D$20)&gt;=B121)))*(Besatzung!$F$20="x")*IFERROR(H121,0)/IFERROR(SUMPRODUCT((Besatzung!$B$11:$B$22&lt;&gt;"")*(Besatzung!$F$11:$F$22="x")*(IF(Besatzung!$C$11:$C$22="",Besatzung!$B$5,Besatzung!$C$11:$C$22)&lt;=B121)*(IF(Besatzung!$D$11:$D$22="",Besatzung!$B$6,Besatzung!$D$11:$D$22)&gt;=B121)),1)),IF(I121="An Bord",(((Besatzung!$B$20&lt;&gt;"")*IF(B121="",1,(IF(Besatzung!$C$20="",Besatzung!$B$5,Besatzung!$C$20)&lt;=B121)*(IF(Besatzung!$D$20="",Besatzung!$B$6,Besatzung!$D$20)&gt;=B121)))*((G121-IFERROR(H121,0))/IFERROR(SUMPRODUCT((Besatzung!$B$11:$B$22&lt;&gt;"")*(IF(Besatzung!$C$11:$C$22="",Besatzung!$B$5,Besatzung!$C$11:$C$22)&lt;=B121)*(IF(Besatzung!$D$11:$D$22="",Besatzung!$B$6,Besatzung!$D$11:$D$22)&gt;=B121)),1)+(Besatzung!$F$20="x")*IFERROR(H121,0)/IFERROR(SUMPRODUCT((Besatzung!$B$11:$B$22&lt;&gt;"")*(Besatzung!$F$11:$F$22="x")*(IF(Besatzung!$C$11:$C$22="",Besatzung!$B$5,Besatzung!$C$11:$C$22)&lt;=B121)*(IF(Besatzung!$D$11:$D$22="",Besatzung!$B$6,Besatzung!$D$11:$D$22)&gt;=B121)),1))),IF(I121="Individuell",((S121="x")*((G121-IFERROR(H121,0))/IFERROR(COUNTIF(J121:U121,"x"),1)+(Besatzung!$F$20="x")*IFERROR(H121,0)/IFERROR(SUMPRODUCT((J121:U121="x")*(Besatzung!$F$11:$F$22="x")),1))),(IF(COUNTIF(J121:U121,"x")=0,IF(Besatzung!$B$20&lt;&gt;"",1,0),(S121="x"))*(G121-IFERROR(H121,0))/IFERROR(IF(COUNTIF(J121:U121,"x")=0,COUNTA(Besatzung!$B$11:$B$22),COUNTIF(J121:U121,"x")),1)+IF(COUNTIF(J121:U121,"x")=0,(Besatzung!$F$20="x"),(S121="x")*(Besatzung!$F$20="x"))*IFERROR(H121,0)/IFERROR(IF(COUNTIF(J121:U121,"x")=0,SUMPRODUCT((Besatzung!$B$11:$B$22&lt;&gt;"")*(Besatzung!$F$11:$F$22="x")),SUMPRODUCT((J121:U121="x")*(Besatzung!$F$11:$F$22="x"))),1))))),0))))</f>
        <v/>
      </c>
      <c r="AF121" s="247">
        <f>IF(C121="Gutschrift","",IF(G121="","",IF(Besatzung!$B$21="","",IFERROR(IF(I121="Zeitanteilig",(Besatzung!$G$21*(G121-IFERROR(H121,0))+((Besatzung!$B$21&lt;&gt;"")*IF(B121="",1,(IF(Besatzung!$C$21="",Besatzung!$B$5,Besatzung!$C$21)&lt;=B121)*(IF(Besatzung!$D$21="",Besatzung!$B$6,Besatzung!$D$21)&gt;=B121)))*(Besatzung!$F$21="x")*IFERROR(H121,0)/IFERROR(SUMPRODUCT((Besatzung!$B$11:$B$22&lt;&gt;"")*(Besatzung!$F$11:$F$22="x")*(IF(Besatzung!$C$11:$C$22="",Besatzung!$B$5,Besatzung!$C$11:$C$22)&lt;=B121)*(IF(Besatzung!$D$11:$D$22="",Besatzung!$B$6,Besatzung!$D$11:$D$22)&gt;=B121)),1)),IF(I121="An Bord",(((Besatzung!$B$21&lt;&gt;"")*IF(B121="",1,(IF(Besatzung!$C$21="",Besatzung!$B$5,Besatzung!$C$21)&lt;=B121)*(IF(Besatzung!$D$21="",Besatzung!$B$6,Besatzung!$D$21)&gt;=B121)))*((G121-IFERROR(H121,0))/IFERROR(SUMPRODUCT((Besatzung!$B$11:$B$22&lt;&gt;"")*(IF(Besatzung!$C$11:$C$22="",Besatzung!$B$5,Besatzung!$C$11:$C$22)&lt;=B121)*(IF(Besatzung!$D$11:$D$22="",Besatzung!$B$6,Besatzung!$D$11:$D$22)&gt;=B121)),1)+(Besatzung!$F$21="x")*IFERROR(H121,0)/IFERROR(SUMPRODUCT((Besatzung!$B$11:$B$22&lt;&gt;"")*(Besatzung!$F$11:$F$22="x")*(IF(Besatzung!$C$11:$C$22="",Besatzung!$B$5,Besatzung!$C$11:$C$22)&lt;=B121)*(IF(Besatzung!$D$11:$D$22="",Besatzung!$B$6,Besatzung!$D$11:$D$22)&gt;=B121)),1))),IF(I121="Individuell",((T121="x")*((G121-IFERROR(H121,0))/IFERROR(COUNTIF(J121:U121,"x"),1)+(Besatzung!$F$21="x")*IFERROR(H121,0)/IFERROR(SUMPRODUCT((J121:U121="x")*(Besatzung!$F$11:$F$22="x")),1))),(IF(COUNTIF(J121:U121,"x")=0,IF(Besatzung!$B$21&lt;&gt;"",1,0),(T121="x"))*(G121-IFERROR(H121,0))/IFERROR(IF(COUNTIF(J121:U121,"x")=0,COUNTA(Besatzung!$B$11:$B$22),COUNTIF(J121:U121,"x")),1)+IF(COUNTIF(J121:U121,"x")=0,(Besatzung!$F$21="x"),(T121="x")*(Besatzung!$F$21="x"))*IFERROR(H121,0)/IFERROR(IF(COUNTIF(J121:U121,"x")=0,SUMPRODUCT((Besatzung!$B$11:$B$22&lt;&gt;"")*(Besatzung!$F$11:$F$22="x")),SUMPRODUCT((J121:U121="x")*(Besatzung!$F$11:$F$22="x"))),1))))),0))))</f>
        <v/>
      </c>
      <c r="AG121" s="247">
        <f>IF(C121="Gutschrift","",IF(G121="","",IF(Besatzung!$B$22="","",IFERROR(IF(I121="Zeitanteilig",(Besatzung!$G$22*(G121-IFERROR(H121,0))+((Besatzung!$B$22&lt;&gt;"")*IF(B121="",1,(IF(Besatzung!$C$22="",Besatzung!$B$5,Besatzung!$C$22)&lt;=B121)*(IF(Besatzung!$D$22="",Besatzung!$B$6,Besatzung!$D$22)&gt;=B121)))*(Besatzung!$F$22="x")*IFERROR(H121,0)/IFERROR(SUMPRODUCT((Besatzung!$B$11:$B$22&lt;&gt;"")*(Besatzung!$F$11:$F$22="x")*(IF(Besatzung!$C$11:$C$22="",Besatzung!$B$5,Besatzung!$C$11:$C$22)&lt;=B121)*(IF(Besatzung!$D$11:$D$22="",Besatzung!$B$6,Besatzung!$D$11:$D$22)&gt;=B121)),1)),IF(I121="An Bord",(((Besatzung!$B$22&lt;&gt;"")*IF(B121="",1,(IF(Besatzung!$C$22="",Besatzung!$B$5,Besatzung!$C$22)&lt;=B121)*(IF(Besatzung!$D$22="",Besatzung!$B$6,Besatzung!$D$22)&gt;=B121)))*((G121-IFERROR(H121,0))/IFERROR(SUMPRODUCT((Besatzung!$B$11:$B$22&lt;&gt;"")*(IF(Besatzung!$C$11:$C$22="",Besatzung!$B$5,Besatzung!$C$11:$C$22)&lt;=B121)*(IF(Besatzung!$D$11:$D$22="",Besatzung!$B$6,Besatzung!$D$11:$D$22)&gt;=B121)),1)+(Besatzung!$F$22="x")*IFERROR(H121,0)/IFERROR(SUMPRODUCT((Besatzung!$B$11:$B$22&lt;&gt;"")*(Besatzung!$F$11:$F$22="x")*(IF(Besatzung!$C$11:$C$22="",Besatzung!$B$5,Besatzung!$C$11:$C$22)&lt;=B121)*(IF(Besatzung!$D$11:$D$22="",Besatzung!$B$6,Besatzung!$D$11:$D$22)&gt;=B121)),1))),IF(I121="Individuell",((U121="x")*((G121-IFERROR(H121,0))/IFERROR(COUNTIF(J121:U121,"x"),1)+(Besatzung!$F$22="x")*IFERROR(H121,0)/IFERROR(SUMPRODUCT((J121:U121="x")*(Besatzung!$F$11:$F$22="x")),1))),(IF(COUNTIF(J121:U121,"x")=0,IF(Besatzung!$B$22&lt;&gt;"",1,0),(U121="x"))*(G121-IFERROR(H121,0))/IFERROR(IF(COUNTIF(J121:U121,"x")=0,COUNTA(Besatzung!$B$11:$B$22),COUNTIF(J121:U121,"x")),1)+IF(COUNTIF(J121:U121,"x")=0,(Besatzung!$F$22="x"),(U121="x")*(Besatzung!$F$22="x"))*IFERROR(H121,0)/IFERROR(IF(COUNTIF(J121:U121,"x")=0,SUMPRODUCT((Besatzung!$B$11:$B$22&lt;&gt;"")*(Besatzung!$F$11:$F$22="x")),SUMPRODUCT((J121:U121="x")*(Besatzung!$F$11:$F$22="x"))),1))))),0))))</f>
        <v/>
      </c>
      <c r="AH121" s="248" t="n"/>
      <c r="AI121" s="248" t="n"/>
    </row>
    <row r="122" ht="21.75" customHeight="1" s="154">
      <c r="A122" s="238">
        <f>IF(AND(D122="",C122=""),"",119)</f>
        <v/>
      </c>
      <c r="B122" s="199" t="n"/>
      <c r="C122" s="239" t="n"/>
      <c r="D122" s="240" t="n"/>
      <c r="E122" s="241" t="n"/>
      <c r="F122" s="242" t="n"/>
      <c r="G122" s="243" t="n"/>
      <c r="H122" s="244" t="n"/>
      <c r="I122" s="245" t="n"/>
      <c r="J122" s="246" t="n"/>
      <c r="K122" s="246" t="n"/>
      <c r="L122" s="246" t="n"/>
      <c r="M122" s="246" t="n"/>
      <c r="N122" s="246" t="n"/>
      <c r="O122" s="246" t="n"/>
      <c r="P122" s="246" t="n"/>
      <c r="Q122" s="246" t="n"/>
      <c r="R122" s="246" t="n"/>
      <c r="S122" s="246" t="n"/>
      <c r="T122" s="246" t="n"/>
      <c r="U122" s="246" t="n"/>
      <c r="V122" s="247">
        <f>IF(C122="Gutschrift","",IF(G122="","",IF(Besatzung!$B$11="","",IFERROR(IF(I122="Zeitanteilig",(Besatzung!$G$11*(G122-IFERROR(H122,0))+((Besatzung!$B$11&lt;&gt;"")*IF(B122="",1,(IF(Besatzung!$C$11="",Besatzung!$B$5,Besatzung!$C$11)&lt;=B122)*(IF(Besatzung!$D$11="",Besatzung!$B$6,Besatzung!$D$11)&gt;=B122)))*(Besatzung!$F$11="x")*IFERROR(H122,0)/IFERROR(SUMPRODUCT((Besatzung!$B$11:$B$22&lt;&gt;"")*(Besatzung!$F$11:$F$22="x")*(IF(Besatzung!$C$11:$C$22="",Besatzung!$B$5,Besatzung!$C$11:$C$22)&lt;=B122)*(IF(Besatzung!$D$11:$D$22="",Besatzung!$B$6,Besatzung!$D$11:$D$22)&gt;=B122)),1)),IF(I122="An Bord",(((Besatzung!$B$11&lt;&gt;"")*IF(B122="",1,(IF(Besatzung!$C$11="",Besatzung!$B$5,Besatzung!$C$11)&lt;=B122)*(IF(Besatzung!$D$11="",Besatzung!$B$6,Besatzung!$D$11)&gt;=B122)))*((G122-IFERROR(H122,0))/IFERROR(SUMPRODUCT((Besatzung!$B$11:$B$22&lt;&gt;"")*(IF(Besatzung!$C$11:$C$22="",Besatzung!$B$5,Besatzung!$C$11:$C$22)&lt;=B122)*(IF(Besatzung!$D$11:$D$22="",Besatzung!$B$6,Besatzung!$D$11:$D$22)&gt;=B122)),1)+(Besatzung!$F$11="x")*IFERROR(H122,0)/IFERROR(SUMPRODUCT((Besatzung!$B$11:$B$22&lt;&gt;"")*(Besatzung!$F$11:$F$22="x")*(IF(Besatzung!$C$11:$C$22="",Besatzung!$B$5,Besatzung!$C$11:$C$22)&lt;=B122)*(IF(Besatzung!$D$11:$D$22="",Besatzung!$B$6,Besatzung!$D$11:$D$22)&gt;=B122)),1))),IF(I122="Individuell",((J122="x")*((G122-IFERROR(H122,0))/IFERROR(COUNTIF(J122:U122,"x"),1)+(Besatzung!$F$11="x")*IFERROR(H122,0)/IFERROR(SUMPRODUCT((J122:U122="x")*(Besatzung!$F$11:$F$22="x")),1))),(IF(COUNTIF(J122:U122,"x")=0,IF(Besatzung!$B$11&lt;&gt;"",1,0),(J122="x"))*(G122-IFERROR(H122,0))/IFERROR(IF(COUNTIF(J122:U122,"x")=0,COUNTA(Besatzung!$B$11:$B$22),COUNTIF(J122:U122,"x")),1)+IF(COUNTIF(J122:U122,"x")=0,(Besatzung!$F$11="x"),(J122="x")*(Besatzung!$F$11="x"))*IFERROR(H122,0)/IFERROR(IF(COUNTIF(J122:U122,"x")=0,SUMPRODUCT((Besatzung!$B$11:$B$22&lt;&gt;"")*(Besatzung!$F$11:$F$22="x")),SUMPRODUCT((J122:U122="x")*(Besatzung!$F$11:$F$22="x"))),1))))),0))))</f>
        <v/>
      </c>
      <c r="W122" s="247">
        <f>IF(C122="Gutschrift","",IF(G122="","",IF(Besatzung!$B$12="","",IFERROR(IF(I122="Zeitanteilig",(Besatzung!$G$12*(G122-IFERROR(H122,0))+((Besatzung!$B$12&lt;&gt;"")*IF(B122="",1,(IF(Besatzung!$C$12="",Besatzung!$B$5,Besatzung!$C$12)&lt;=B122)*(IF(Besatzung!$D$12="",Besatzung!$B$6,Besatzung!$D$12)&gt;=B122)))*(Besatzung!$F$12="x")*IFERROR(H122,0)/IFERROR(SUMPRODUCT((Besatzung!$B$11:$B$22&lt;&gt;"")*(Besatzung!$F$11:$F$22="x")*(IF(Besatzung!$C$11:$C$22="",Besatzung!$B$5,Besatzung!$C$11:$C$22)&lt;=B122)*(IF(Besatzung!$D$11:$D$22="",Besatzung!$B$6,Besatzung!$D$11:$D$22)&gt;=B122)),1)),IF(I122="An Bord",(((Besatzung!$B$12&lt;&gt;"")*IF(B122="",1,(IF(Besatzung!$C$12="",Besatzung!$B$5,Besatzung!$C$12)&lt;=B122)*(IF(Besatzung!$D$12="",Besatzung!$B$6,Besatzung!$D$12)&gt;=B122)))*((G122-IFERROR(H122,0))/IFERROR(SUMPRODUCT((Besatzung!$B$11:$B$22&lt;&gt;"")*(IF(Besatzung!$C$11:$C$22="",Besatzung!$B$5,Besatzung!$C$11:$C$22)&lt;=B122)*(IF(Besatzung!$D$11:$D$22="",Besatzung!$B$6,Besatzung!$D$11:$D$22)&gt;=B122)),1)+(Besatzung!$F$12="x")*IFERROR(H122,0)/IFERROR(SUMPRODUCT((Besatzung!$B$11:$B$22&lt;&gt;"")*(Besatzung!$F$11:$F$22="x")*(IF(Besatzung!$C$11:$C$22="",Besatzung!$B$5,Besatzung!$C$11:$C$22)&lt;=B122)*(IF(Besatzung!$D$11:$D$22="",Besatzung!$B$6,Besatzung!$D$11:$D$22)&gt;=B122)),1))),IF(I122="Individuell",((K122="x")*((G122-IFERROR(H122,0))/IFERROR(COUNTIF(J122:U122,"x"),1)+(Besatzung!$F$12="x")*IFERROR(H122,0)/IFERROR(SUMPRODUCT((J122:U122="x")*(Besatzung!$F$11:$F$22="x")),1))),(IF(COUNTIF(J122:U122,"x")=0,IF(Besatzung!$B$12&lt;&gt;"",1,0),(K122="x"))*(G122-IFERROR(H122,0))/IFERROR(IF(COUNTIF(J122:U122,"x")=0,COUNTA(Besatzung!$B$11:$B$22),COUNTIF(J122:U122,"x")),1)+IF(COUNTIF(J122:U122,"x")=0,(Besatzung!$F$12="x"),(K122="x")*(Besatzung!$F$12="x"))*IFERROR(H122,0)/IFERROR(IF(COUNTIF(J122:U122,"x")=0,SUMPRODUCT((Besatzung!$B$11:$B$22&lt;&gt;"")*(Besatzung!$F$11:$F$22="x")),SUMPRODUCT((J122:U122="x")*(Besatzung!$F$11:$F$22="x"))),1))))),0))))</f>
        <v/>
      </c>
      <c r="X122" s="247">
        <f>IF(C122="Gutschrift","",IF(G122="","",IF(Besatzung!$B$13="","",IFERROR(IF(I122="Zeitanteilig",(Besatzung!$G$13*(G122-IFERROR(H122,0))+((Besatzung!$B$13&lt;&gt;"")*IF(B122="",1,(IF(Besatzung!$C$13="",Besatzung!$B$5,Besatzung!$C$13)&lt;=B122)*(IF(Besatzung!$D$13="",Besatzung!$B$6,Besatzung!$D$13)&gt;=B122)))*(Besatzung!$F$13="x")*IFERROR(H122,0)/IFERROR(SUMPRODUCT((Besatzung!$B$11:$B$22&lt;&gt;"")*(Besatzung!$F$11:$F$22="x")*(IF(Besatzung!$C$11:$C$22="",Besatzung!$B$5,Besatzung!$C$11:$C$22)&lt;=B122)*(IF(Besatzung!$D$11:$D$22="",Besatzung!$B$6,Besatzung!$D$11:$D$22)&gt;=B122)),1)),IF(I122="An Bord",(((Besatzung!$B$13&lt;&gt;"")*IF(B122="",1,(IF(Besatzung!$C$13="",Besatzung!$B$5,Besatzung!$C$13)&lt;=B122)*(IF(Besatzung!$D$13="",Besatzung!$B$6,Besatzung!$D$13)&gt;=B122)))*((G122-IFERROR(H122,0))/IFERROR(SUMPRODUCT((Besatzung!$B$11:$B$22&lt;&gt;"")*(IF(Besatzung!$C$11:$C$22="",Besatzung!$B$5,Besatzung!$C$11:$C$22)&lt;=B122)*(IF(Besatzung!$D$11:$D$22="",Besatzung!$B$6,Besatzung!$D$11:$D$22)&gt;=B122)),1)+(Besatzung!$F$13="x")*IFERROR(H122,0)/IFERROR(SUMPRODUCT((Besatzung!$B$11:$B$22&lt;&gt;"")*(Besatzung!$F$11:$F$22="x")*(IF(Besatzung!$C$11:$C$22="",Besatzung!$B$5,Besatzung!$C$11:$C$22)&lt;=B122)*(IF(Besatzung!$D$11:$D$22="",Besatzung!$B$6,Besatzung!$D$11:$D$22)&gt;=B122)),1))),IF(I122="Individuell",((K122="x")*((G122-IFERROR(H122,0))/IFERROR(COUNTIF(J122:U122,"x"),1)+(Besatzung!$F$13="x")*IFERROR(H122,0)/IFERROR(SUMPRODUCT((J122:U122="x")*(Besatzung!$F$11:$F$22="x")),1))),(IF(COUNTIF(J122:U122,"x")=0,IF(Besatzung!$B$13&lt;&gt;"",1,0),(K122="x"))*(G122-IFERROR(H122,0))/IFERROR(IF(COUNTIF(J122:U122,"x")=0,COUNTA(Besatzung!$B$11:$B$22),COUNTIF(J122:U122,"x")),1)+IF(COUNTIF(J122:U122,"x")=0,(Besatzung!$F$13="x"),(K122="x")*(Besatzung!$F$13="x"))*IFERROR(H122,0)/IFERROR(IF(COUNTIF(J122:U122,"x")=0,SUMPRODUCT((Besatzung!$B$11:$B$22&lt;&gt;"")*(Besatzung!$F$11:$F$22="x")),SUMPRODUCT((J122:U122="x")*(Besatzung!$F$11:$F$22="x"))),1))))),0))))</f>
        <v/>
      </c>
      <c r="Y122" s="247">
        <f>IF(C122="Gutschrift","",IF(G122="","",IF(Besatzung!$B$14="","",IFERROR(IF(I122="Zeitanteilig",(Besatzung!$G$14*(G122-IFERROR(H122,0))+((Besatzung!$B$14&lt;&gt;"")*IF(B122="",1,(IF(Besatzung!$C$14="",Besatzung!$B$5,Besatzung!$C$14)&lt;=B122)*(IF(Besatzung!$D$14="",Besatzung!$B$6,Besatzung!$D$14)&gt;=B122)))*(Besatzung!$F$14="x")*IFERROR(H122,0)/IFERROR(SUMPRODUCT((Besatzung!$B$11:$B$22&lt;&gt;"")*(Besatzung!$F$11:$F$22="x")*(IF(Besatzung!$C$11:$C$22="",Besatzung!$B$5,Besatzung!$C$11:$C$22)&lt;=B122)*(IF(Besatzung!$D$11:$D$22="",Besatzung!$B$6,Besatzung!$D$11:$D$22)&gt;=B122)),1)),IF(I122="An Bord",(((Besatzung!$B$14&lt;&gt;"")*IF(B122="",1,(IF(Besatzung!$C$14="",Besatzung!$B$5,Besatzung!$C$14)&lt;=B122)*(IF(Besatzung!$D$14="",Besatzung!$B$6,Besatzung!$D$14)&gt;=B122)))*((G122-IFERROR(H122,0))/IFERROR(SUMPRODUCT((Besatzung!$B$11:$B$22&lt;&gt;"")*(IF(Besatzung!$C$11:$C$22="",Besatzung!$B$5,Besatzung!$C$11:$C$22)&lt;=B122)*(IF(Besatzung!$D$11:$D$22="",Besatzung!$B$6,Besatzung!$D$11:$D$22)&gt;=B122)),1)+(Besatzung!$F$14="x")*IFERROR(H122,0)/IFERROR(SUMPRODUCT((Besatzung!$B$11:$B$22&lt;&gt;"")*(Besatzung!$F$11:$F$22="x")*(IF(Besatzung!$C$11:$C$22="",Besatzung!$B$5,Besatzung!$C$11:$C$22)&lt;=B122)*(IF(Besatzung!$D$11:$D$22="",Besatzung!$B$6,Besatzung!$D$11:$D$22)&gt;=B122)),1))),IF(I122="Individuell",((M122="x")*((G122-IFERROR(H122,0))/IFERROR(COUNTIF(J122:U122,"x"),1)+(Besatzung!$F$14="x")*IFERROR(H122,0)/IFERROR(SUMPRODUCT((J122:U122="x")*(Besatzung!$F$11:$F$22="x")),1))),(IF(COUNTIF(J122:U122,"x")=0,IF(Besatzung!$B$14&lt;&gt;"",1,0),(M122="x"))*(G122-IFERROR(H122,0))/IFERROR(IF(COUNTIF(J122:U122,"x")=0,COUNTA(Besatzung!$B$11:$B$22),COUNTIF(J122:U122,"x")),1)+IF(COUNTIF(J122:U122,"x")=0,(Besatzung!$F$14="x"),(M122="x")*(Besatzung!$F$14="x"))*IFERROR(H122,0)/IFERROR(IF(COUNTIF(J122:U122,"x")=0,SUMPRODUCT((Besatzung!$B$11:$B$22&lt;&gt;"")*(Besatzung!$F$11:$F$22="x")),SUMPRODUCT((J122:U122="x")*(Besatzung!$F$11:$F$22="x"))),1))))),0))))</f>
        <v/>
      </c>
      <c r="Z122" s="247">
        <f>IF(C122="Gutschrift","",IF(G122="","",IF(Besatzung!$B$13="","",IFERROR(IF(I122="Zeitanteilig",(Besatzung!$G$15*(G122-IFERROR(H122,0))+((Besatzung!$B$13&lt;&gt;"")*IF(B122="",1,(IF(Besatzung!$C$15="",Besatzung!$B$5,Besatzung!$C$15)&lt;=B122)*(IF(Besatzung!$D$15="",Besatzung!$B$6,Besatzung!$D$15)&gt;=B122)))*(Besatzung!$F$15="x")*IFERROR(H122,0)/IFERROR(SUMPRODUCT((Besatzung!$B$11:$B$22&lt;&gt;"")*(Besatzung!$F$11:$F$22="x")*(IF(Besatzung!$C$11:$C$22="",Besatzung!$B$5,Besatzung!$C$11:$C$22)&lt;=B122)*(IF(Besatzung!$D$11:$D$22="",Besatzung!$B$6,Besatzung!$D$11:$D$22)&gt;=B122)),1)),IF(I122="An Bord",(((Besatzung!$B$13&lt;&gt;"")*IF(B122="",1,(IF(Besatzung!$C$15="",Besatzung!$B$5,Besatzung!$C$15)&lt;=B122)*(IF(Besatzung!$D$15="",Besatzung!$B$6,Besatzung!$D$15)&gt;=B122)))*((G122-IFERROR(H122,0))/IFERROR(SUMPRODUCT((Besatzung!$B$11:$B$22&lt;&gt;"")*(IF(Besatzung!$C$11:$C$22="",Besatzung!$B$5,Besatzung!$C$11:$C$22)&lt;=B122)*(IF(Besatzung!$D$11:$D$22="",Besatzung!$B$6,Besatzung!$D$11:$D$22)&gt;=B122)),1)+(Besatzung!$F$15="x")*IFERROR(H122,0)/IFERROR(SUMPRODUCT((Besatzung!$B$11:$B$22&lt;&gt;"")*(Besatzung!$F$11:$F$22="x")*(IF(Besatzung!$C$11:$C$22="",Besatzung!$B$5,Besatzung!$C$11:$C$22)&lt;=B122)*(IF(Besatzung!$D$11:$D$22="",Besatzung!$B$6,Besatzung!$D$11:$D$22)&gt;=B122)),1))),IF(I122="Individuell",((N122="x")*((G122-IFERROR(H122,0))/IFERROR(COUNTIF(J122:U122,"x"),1)+(Besatzung!$F$15="x")*IFERROR(H122,0)/IFERROR(SUMPRODUCT((J122:U122="x")*(Besatzung!$F$11:$F$22="x")),1))),(IF(COUNTIF(J122:U122,"x")=0,IF(Besatzung!$B$13&lt;&gt;"",1,0),(N122="x"))*(G122-IFERROR(H122,0))/IFERROR(IF(COUNTIF(J122:U122,"x")=0,COUNTA(Besatzung!$B$11:$B$22),COUNTIF(J122:U122,"x")),1)+IF(COUNTIF(J122:U122,"x")=0,(Besatzung!$F$15="x"),(N122="x")*(Besatzung!$F$15="x"))*IFERROR(H122,0)/IFERROR(IF(COUNTIF(J122:U122,"x")=0,SUMPRODUCT((Besatzung!$B$11:$B$22&lt;&gt;"")*(Besatzung!$F$11:$F$22="x")),SUMPRODUCT((J122:U122="x")*(Besatzung!$F$11:$F$22="x"))),1))))),0))))</f>
        <v/>
      </c>
      <c r="AA122" s="247">
        <f>IF(C122="Gutschrift","",IF(G122="","",IF(Besatzung!$B$15="","",IFERROR(IF(I122="Zeitanteilig",(Besatzung!$G$16*(G122-IFERROR(H122,0))+((Besatzung!$B$15&lt;&gt;"")*IF(B122="",1,(IF(Besatzung!$C$16="",Besatzung!$B$5,Besatzung!$C$16)&lt;=B122)*(IF(Besatzung!$D$16="",Besatzung!$B$6,Besatzung!$D$16)&gt;=B122)))*(Besatzung!$F$16="x")*IFERROR(H122,0)/IFERROR(SUMPRODUCT((Besatzung!$B$11:$B$22&lt;&gt;"")*(Besatzung!$F$11:$F$22="x")*(IF(Besatzung!$C$11:$C$22="",Besatzung!$B$5,Besatzung!$C$11:$C$22)&lt;=B122)*(IF(Besatzung!$D$11:$D$22="",Besatzung!$B$6,Besatzung!$D$11:$D$22)&gt;=B122)),1)),IF(I122="An Bord",(((Besatzung!$B$15&lt;&gt;"")*IF(B122="",1,(IF(Besatzung!$C$16="",Besatzung!$B$5,Besatzung!$C$16)&lt;=B122)*(IF(Besatzung!$D$16="",Besatzung!$B$6,Besatzung!$D$16)&gt;=B122)))*((G122-IFERROR(H122,0))/IFERROR(SUMPRODUCT((Besatzung!$B$11:$B$22&lt;&gt;"")*(IF(Besatzung!$C$11:$C$22="",Besatzung!$B$5,Besatzung!$C$11:$C$22)&lt;=B122)*(IF(Besatzung!$D$11:$D$22="",Besatzung!$B$6,Besatzung!$D$11:$D$22)&gt;=B122)),1)+(Besatzung!$F$16="x")*IFERROR(H122,0)/IFERROR(SUMPRODUCT((Besatzung!$B$11:$B$22&lt;&gt;"")*(Besatzung!$F$11:$F$22="x")*(IF(Besatzung!$C$11:$C$22="",Besatzung!$B$5,Besatzung!$C$11:$C$22)&lt;=B122)*(IF(Besatzung!$D$11:$D$22="",Besatzung!$B$6,Besatzung!$D$11:$D$22)&gt;=B122)),1))),IF(I122="Individuell",((O122="x")*((G122-IFERROR(H122,0))/IFERROR(COUNTIF(J122:U122,"x"),1)+(Besatzung!$F$16="x")*IFERROR(H122,0)/IFERROR(SUMPRODUCT((J122:U122="x")*(Besatzung!$F$11:$F$22="x")),1))),(IF(COUNTIF(J122:U122,"x")=0,IF(Besatzung!$B$15&lt;&gt;"",1,0),(O122="x"))*(G122-IFERROR(H122,0))/IFERROR(IF(COUNTIF(J122:U122,"x")=0,COUNTA(Besatzung!$B$11:$B$22),COUNTIF(J122:U122,"x")),1)+IF(COUNTIF(J122:U122,"x")=0,(Besatzung!$F$16="x"),(O122="x")*(Besatzung!$F$16="x"))*IFERROR(H122,0)/IFERROR(IF(COUNTIF(J122:U122,"x")=0,SUMPRODUCT((Besatzung!$B$11:$B$22&lt;&gt;"")*(Besatzung!$F$11:$F$22="x")),SUMPRODUCT((J122:U122="x")*(Besatzung!$F$11:$F$22="x"))),1))))),0))))</f>
        <v/>
      </c>
      <c r="AB122" s="247">
        <f>IF(C122="Gutschrift","",IF(G122="","",IF(Besatzung!$B$17="","",IFERROR(IF(I122="Zeitanteilig",(Besatzung!$G$17*(G122-IFERROR(H122,0))+((Besatzung!$B$17&lt;&gt;"")*IF(B122="",1,(IF(Besatzung!$C$17="",Besatzung!$B$5,Besatzung!$C$17)&lt;=B122)*(IF(Besatzung!$D$17="",Besatzung!$B$6,Besatzung!$D$17)&gt;=B122)))*(Besatzung!$F$17="x")*IFERROR(H122,0)/IFERROR(SUMPRODUCT((Besatzung!$B$11:$B$22&lt;&gt;"")*(Besatzung!$F$11:$F$22="x")*(IF(Besatzung!$C$11:$C$22="",Besatzung!$B$5,Besatzung!$C$11:$C$22)&lt;=B122)*(IF(Besatzung!$D$11:$D$22="",Besatzung!$B$6,Besatzung!$D$11:$D$22)&gt;=B122)),1)),IF(I122="An Bord",(((Besatzung!$B$17&lt;&gt;"")*IF(B122="",1,(IF(Besatzung!$C$17="",Besatzung!$B$5,Besatzung!$C$17)&lt;=B122)*(IF(Besatzung!$D$17="",Besatzung!$B$6,Besatzung!$D$17)&gt;=B122)))*((G122-IFERROR(H122,0))/IFERROR(SUMPRODUCT((Besatzung!$B$11:$B$22&lt;&gt;"")*(IF(Besatzung!$C$11:$C$22="",Besatzung!$B$5,Besatzung!$C$11:$C$22)&lt;=B122)*(IF(Besatzung!$D$11:$D$22="",Besatzung!$B$6,Besatzung!$D$11:$D$22)&gt;=B122)),1)+(Besatzung!$F$17="x")*IFERROR(H122,0)/IFERROR(SUMPRODUCT((Besatzung!$B$11:$B$22&lt;&gt;"")*(Besatzung!$F$11:$F$22="x")*(IF(Besatzung!$C$11:$C$22="",Besatzung!$B$5,Besatzung!$C$11:$C$22)&lt;=B122)*(IF(Besatzung!$D$11:$D$22="",Besatzung!$B$6,Besatzung!$D$11:$D$22)&gt;=B122)),1))),IF(I122="Individuell",((P122="x")*((G122-IFERROR(H122,0))/IFERROR(COUNTIF(J122:U122,"x"),1)+(Besatzung!$F$17="x")*IFERROR(H122,0)/IFERROR(SUMPRODUCT((J122:U122="x")*(Besatzung!$F$11:$F$22="x")),1))),(IF(COUNTIF(J122:U122,"x")=0,IF(Besatzung!$B$17&lt;&gt;"",1,0),(P122="x"))*(G122-IFERROR(H122,0))/IFERROR(IF(COUNTIF(J122:U122,"x")=0,COUNTA(Besatzung!$B$11:$B$22),COUNTIF(J122:U122,"x")),1)+IF(COUNTIF(J122:U122,"x")=0,(Besatzung!$F$17="x"),(P122="x")*(Besatzung!$F$17="x"))*IFERROR(H122,0)/IFERROR(IF(COUNTIF(J122:U122,"x")=0,SUMPRODUCT((Besatzung!$B$11:$B$22&lt;&gt;"")*(Besatzung!$F$11:$F$22="x")),SUMPRODUCT((J122:U122="x")*(Besatzung!$F$11:$F$22="x"))),1))))),0))))</f>
        <v/>
      </c>
      <c r="AC122" s="247">
        <f>IF(C122="Gutschrift","",IF(G122="","",IF(Besatzung!$B$18="","",IFERROR(IF(I122="Zeitanteilig",(Besatzung!$G$18*(G122-IFERROR(H122,0))+((Besatzung!$B$18&lt;&gt;"")*IF(B122="",1,(IF(Besatzung!$C$18="",Besatzung!$B$5,Besatzung!$C$18)&lt;=B122)*(IF(Besatzung!$D$18="",Besatzung!$B$6,Besatzung!$D$18)&gt;=B122)))*(Besatzung!$F$18="x")*IFERROR(H122,0)/IFERROR(SUMPRODUCT((Besatzung!$B$11:$B$22&lt;&gt;"")*(Besatzung!$F$11:$F$22="x")*(IF(Besatzung!$C$11:$C$22="",Besatzung!$B$5,Besatzung!$C$11:$C$22)&lt;=B122)*(IF(Besatzung!$D$11:$D$22="",Besatzung!$B$6,Besatzung!$D$11:$D$22)&gt;=B122)),1)),IF(I122="An Bord",(((Besatzung!$B$18&lt;&gt;"")*IF(B122="",1,(IF(Besatzung!$C$18="",Besatzung!$B$5,Besatzung!$C$18)&lt;=B122)*(IF(Besatzung!$D$18="",Besatzung!$B$6,Besatzung!$D$18)&gt;=B122)))*((G122-IFERROR(H122,0))/IFERROR(SUMPRODUCT((Besatzung!$B$11:$B$22&lt;&gt;"")*(IF(Besatzung!$C$11:$C$22="",Besatzung!$B$5,Besatzung!$C$11:$C$22)&lt;=B122)*(IF(Besatzung!$D$11:$D$22="",Besatzung!$B$6,Besatzung!$D$11:$D$22)&gt;=B122)),1)+(Besatzung!$F$18="x")*IFERROR(H122,0)/IFERROR(SUMPRODUCT((Besatzung!$B$11:$B$22&lt;&gt;"")*(Besatzung!$F$11:$F$22="x")*(IF(Besatzung!$C$11:$C$22="",Besatzung!$B$5,Besatzung!$C$11:$C$22)&lt;=B122)*(IF(Besatzung!$D$11:$D$22="",Besatzung!$B$6,Besatzung!$D$11:$D$22)&gt;=B122)),1))),IF(I122="Individuell",((Q122="x")*((G122-IFERROR(H122,0))/IFERROR(COUNTIF(J122:U122,"x"),1)+(Besatzung!$F$18="x")*IFERROR(H122,0)/IFERROR(SUMPRODUCT((J122:U122="x")*(Besatzung!$F$11:$F$22="x")),1))),(IF(COUNTIF(J122:U122,"x")=0,IF(Besatzung!$B$18&lt;&gt;"",1,0),(Q122="x"))*(G122-IFERROR(H122,0))/IFERROR(IF(COUNTIF(J122:U122,"x")=0,COUNTA(Besatzung!$B$11:$B$22),COUNTIF(J122:U122,"x")),1)+IF(COUNTIF(J122:U122,"x")=0,(Besatzung!$F$18="x"),(Q122="x")*(Besatzung!$F$18="x"))*IFERROR(H122,0)/IFERROR(IF(COUNTIF(J122:U122,"x")=0,SUMPRODUCT((Besatzung!$B$11:$B$22&lt;&gt;"")*(Besatzung!$F$11:$F$22="x")),SUMPRODUCT((J122:U122="x")*(Besatzung!$F$11:$F$22="x"))),1))))),0))))</f>
        <v/>
      </c>
      <c r="AD122" s="247">
        <f>IF(C122="Gutschrift","",IF(G122="","",IF(Besatzung!$B$19="","",IFERROR(IF(I122="Zeitanteilig",(Besatzung!$G$19*(G122-IFERROR(H122,0))+((Besatzung!$B$19&lt;&gt;"")*IF(B122="",1,(IF(Besatzung!$C$19="",Besatzung!$B$5,Besatzung!$C$19)&lt;=B122)*(IF(Besatzung!$D$19="",Besatzung!$B$6,Besatzung!$D$19)&gt;=B122)))*(Besatzung!$F$19="x")*IFERROR(H122,0)/IFERROR(SUMPRODUCT((Besatzung!$B$11:$B$22&lt;&gt;"")*(Besatzung!$F$11:$F$22="x")*(IF(Besatzung!$C$11:$C$22="",Besatzung!$B$5,Besatzung!$C$11:$C$22)&lt;=B122)*(IF(Besatzung!$D$11:$D$22="",Besatzung!$B$6,Besatzung!$D$11:$D$22)&gt;=B122)),1)),IF(I122="An Bord",(((Besatzung!$B$19&lt;&gt;"")*IF(B122="",1,(IF(Besatzung!$C$19="",Besatzung!$B$5,Besatzung!$C$19)&lt;=B122)*(IF(Besatzung!$D$19="",Besatzung!$B$6,Besatzung!$D$19)&gt;=B122)))*((G122-IFERROR(H122,0))/IFERROR(SUMPRODUCT((Besatzung!$B$11:$B$22&lt;&gt;"")*(IF(Besatzung!$C$11:$C$22="",Besatzung!$B$5,Besatzung!$C$11:$C$22)&lt;=B122)*(IF(Besatzung!$D$11:$D$22="",Besatzung!$B$6,Besatzung!$D$11:$D$22)&gt;=B122)),1)+(Besatzung!$F$19="x")*IFERROR(H122,0)/IFERROR(SUMPRODUCT((Besatzung!$B$11:$B$22&lt;&gt;"")*(Besatzung!$F$11:$F$22="x")*(IF(Besatzung!$C$11:$C$22="",Besatzung!$B$5,Besatzung!$C$11:$C$22)&lt;=B122)*(IF(Besatzung!$D$11:$D$22="",Besatzung!$B$6,Besatzung!$D$11:$D$22)&gt;=B122)),1))),IF(I122="Individuell",((R122="x")*((G122-IFERROR(H122,0))/IFERROR(COUNTIF(J122:U122,"x"),1)+(Besatzung!$F$19="x")*IFERROR(H122,0)/IFERROR(SUMPRODUCT((J122:U122="x")*(Besatzung!$F$11:$F$22="x")),1))),(IF(COUNTIF(J122:U122,"x")=0,IF(Besatzung!$B$19&lt;&gt;"",1,0),(R122="x"))*(G122-IFERROR(H122,0))/IFERROR(IF(COUNTIF(J122:U122,"x")=0,COUNTA(Besatzung!$B$11:$B$22),COUNTIF(J122:U122,"x")),1)+IF(COUNTIF(J122:U122,"x")=0,(Besatzung!$F$19="x"),(R122="x")*(Besatzung!$F$19="x"))*IFERROR(H122,0)/IFERROR(IF(COUNTIF(J122:U122,"x")=0,SUMPRODUCT((Besatzung!$B$11:$B$22&lt;&gt;"")*(Besatzung!$F$11:$F$22="x")),SUMPRODUCT((J122:U122="x")*(Besatzung!$F$11:$F$22="x"))),1))))),0))))</f>
        <v/>
      </c>
      <c r="AE122" s="247">
        <f>IF(C122="Gutschrift","",IF(G122="","",IF(Besatzung!$B$20="","",IFERROR(IF(I122="Zeitanteilig",(Besatzung!$G$20*(G122-IFERROR(H122,0))+((Besatzung!$B$20&lt;&gt;"")*IF(B122="",1,(IF(Besatzung!$C$20="",Besatzung!$B$5,Besatzung!$C$20)&lt;=B122)*(IF(Besatzung!$D$20="",Besatzung!$B$6,Besatzung!$D$20)&gt;=B122)))*(Besatzung!$F$20="x")*IFERROR(H122,0)/IFERROR(SUMPRODUCT((Besatzung!$B$11:$B$22&lt;&gt;"")*(Besatzung!$F$11:$F$22="x")*(IF(Besatzung!$C$11:$C$22="",Besatzung!$B$5,Besatzung!$C$11:$C$22)&lt;=B122)*(IF(Besatzung!$D$11:$D$22="",Besatzung!$B$6,Besatzung!$D$11:$D$22)&gt;=B122)),1)),IF(I122="An Bord",(((Besatzung!$B$20&lt;&gt;"")*IF(B122="",1,(IF(Besatzung!$C$20="",Besatzung!$B$5,Besatzung!$C$20)&lt;=B122)*(IF(Besatzung!$D$20="",Besatzung!$B$6,Besatzung!$D$20)&gt;=B122)))*((G122-IFERROR(H122,0))/IFERROR(SUMPRODUCT((Besatzung!$B$11:$B$22&lt;&gt;"")*(IF(Besatzung!$C$11:$C$22="",Besatzung!$B$5,Besatzung!$C$11:$C$22)&lt;=B122)*(IF(Besatzung!$D$11:$D$22="",Besatzung!$B$6,Besatzung!$D$11:$D$22)&gt;=B122)),1)+(Besatzung!$F$20="x")*IFERROR(H122,0)/IFERROR(SUMPRODUCT((Besatzung!$B$11:$B$22&lt;&gt;"")*(Besatzung!$F$11:$F$22="x")*(IF(Besatzung!$C$11:$C$22="",Besatzung!$B$5,Besatzung!$C$11:$C$22)&lt;=B122)*(IF(Besatzung!$D$11:$D$22="",Besatzung!$B$6,Besatzung!$D$11:$D$22)&gt;=B122)),1))),IF(I122="Individuell",((S122="x")*((G122-IFERROR(H122,0))/IFERROR(COUNTIF(J122:U122,"x"),1)+(Besatzung!$F$20="x")*IFERROR(H122,0)/IFERROR(SUMPRODUCT((J122:U122="x")*(Besatzung!$F$11:$F$22="x")),1))),(IF(COUNTIF(J122:U122,"x")=0,IF(Besatzung!$B$20&lt;&gt;"",1,0),(S122="x"))*(G122-IFERROR(H122,0))/IFERROR(IF(COUNTIF(J122:U122,"x")=0,COUNTA(Besatzung!$B$11:$B$22),COUNTIF(J122:U122,"x")),1)+IF(COUNTIF(J122:U122,"x")=0,(Besatzung!$F$20="x"),(S122="x")*(Besatzung!$F$20="x"))*IFERROR(H122,0)/IFERROR(IF(COUNTIF(J122:U122,"x")=0,SUMPRODUCT((Besatzung!$B$11:$B$22&lt;&gt;"")*(Besatzung!$F$11:$F$22="x")),SUMPRODUCT((J122:U122="x")*(Besatzung!$F$11:$F$22="x"))),1))))),0))))</f>
        <v/>
      </c>
      <c r="AF122" s="247">
        <f>IF(C122="Gutschrift","",IF(G122="","",IF(Besatzung!$B$21="","",IFERROR(IF(I122="Zeitanteilig",(Besatzung!$G$21*(G122-IFERROR(H122,0))+((Besatzung!$B$21&lt;&gt;"")*IF(B122="",1,(IF(Besatzung!$C$21="",Besatzung!$B$5,Besatzung!$C$21)&lt;=B122)*(IF(Besatzung!$D$21="",Besatzung!$B$6,Besatzung!$D$21)&gt;=B122)))*(Besatzung!$F$21="x")*IFERROR(H122,0)/IFERROR(SUMPRODUCT((Besatzung!$B$11:$B$22&lt;&gt;"")*(Besatzung!$F$11:$F$22="x")*(IF(Besatzung!$C$11:$C$22="",Besatzung!$B$5,Besatzung!$C$11:$C$22)&lt;=B122)*(IF(Besatzung!$D$11:$D$22="",Besatzung!$B$6,Besatzung!$D$11:$D$22)&gt;=B122)),1)),IF(I122="An Bord",(((Besatzung!$B$21&lt;&gt;"")*IF(B122="",1,(IF(Besatzung!$C$21="",Besatzung!$B$5,Besatzung!$C$21)&lt;=B122)*(IF(Besatzung!$D$21="",Besatzung!$B$6,Besatzung!$D$21)&gt;=B122)))*((G122-IFERROR(H122,0))/IFERROR(SUMPRODUCT((Besatzung!$B$11:$B$22&lt;&gt;"")*(IF(Besatzung!$C$11:$C$22="",Besatzung!$B$5,Besatzung!$C$11:$C$22)&lt;=B122)*(IF(Besatzung!$D$11:$D$22="",Besatzung!$B$6,Besatzung!$D$11:$D$22)&gt;=B122)),1)+(Besatzung!$F$21="x")*IFERROR(H122,0)/IFERROR(SUMPRODUCT((Besatzung!$B$11:$B$22&lt;&gt;"")*(Besatzung!$F$11:$F$22="x")*(IF(Besatzung!$C$11:$C$22="",Besatzung!$B$5,Besatzung!$C$11:$C$22)&lt;=B122)*(IF(Besatzung!$D$11:$D$22="",Besatzung!$B$6,Besatzung!$D$11:$D$22)&gt;=B122)),1))),IF(I122="Individuell",((T122="x")*((G122-IFERROR(H122,0))/IFERROR(COUNTIF(J122:U122,"x"),1)+(Besatzung!$F$21="x")*IFERROR(H122,0)/IFERROR(SUMPRODUCT((J122:U122="x")*(Besatzung!$F$11:$F$22="x")),1))),(IF(COUNTIF(J122:U122,"x")=0,IF(Besatzung!$B$21&lt;&gt;"",1,0),(T122="x"))*(G122-IFERROR(H122,0))/IFERROR(IF(COUNTIF(J122:U122,"x")=0,COUNTA(Besatzung!$B$11:$B$22),COUNTIF(J122:U122,"x")),1)+IF(COUNTIF(J122:U122,"x")=0,(Besatzung!$F$21="x"),(T122="x")*(Besatzung!$F$21="x"))*IFERROR(H122,0)/IFERROR(IF(COUNTIF(J122:U122,"x")=0,SUMPRODUCT((Besatzung!$B$11:$B$22&lt;&gt;"")*(Besatzung!$F$11:$F$22="x")),SUMPRODUCT((J122:U122="x")*(Besatzung!$F$11:$F$22="x"))),1))))),0))))</f>
        <v/>
      </c>
      <c r="AG122" s="247">
        <f>IF(C122="Gutschrift","",IF(G122="","",IF(Besatzung!$B$22="","",IFERROR(IF(I122="Zeitanteilig",(Besatzung!$G$22*(G122-IFERROR(H122,0))+((Besatzung!$B$22&lt;&gt;"")*IF(B122="",1,(IF(Besatzung!$C$22="",Besatzung!$B$5,Besatzung!$C$22)&lt;=B122)*(IF(Besatzung!$D$22="",Besatzung!$B$6,Besatzung!$D$22)&gt;=B122)))*(Besatzung!$F$22="x")*IFERROR(H122,0)/IFERROR(SUMPRODUCT((Besatzung!$B$11:$B$22&lt;&gt;"")*(Besatzung!$F$11:$F$22="x")*(IF(Besatzung!$C$11:$C$22="",Besatzung!$B$5,Besatzung!$C$11:$C$22)&lt;=B122)*(IF(Besatzung!$D$11:$D$22="",Besatzung!$B$6,Besatzung!$D$11:$D$22)&gt;=B122)),1)),IF(I122="An Bord",(((Besatzung!$B$22&lt;&gt;"")*IF(B122="",1,(IF(Besatzung!$C$22="",Besatzung!$B$5,Besatzung!$C$22)&lt;=B122)*(IF(Besatzung!$D$22="",Besatzung!$B$6,Besatzung!$D$22)&gt;=B122)))*((G122-IFERROR(H122,0))/IFERROR(SUMPRODUCT((Besatzung!$B$11:$B$22&lt;&gt;"")*(IF(Besatzung!$C$11:$C$22="",Besatzung!$B$5,Besatzung!$C$11:$C$22)&lt;=B122)*(IF(Besatzung!$D$11:$D$22="",Besatzung!$B$6,Besatzung!$D$11:$D$22)&gt;=B122)),1)+(Besatzung!$F$22="x")*IFERROR(H122,0)/IFERROR(SUMPRODUCT((Besatzung!$B$11:$B$22&lt;&gt;"")*(Besatzung!$F$11:$F$22="x")*(IF(Besatzung!$C$11:$C$22="",Besatzung!$B$5,Besatzung!$C$11:$C$22)&lt;=B122)*(IF(Besatzung!$D$11:$D$22="",Besatzung!$B$6,Besatzung!$D$11:$D$22)&gt;=B122)),1))),IF(I122="Individuell",((U122="x")*((G122-IFERROR(H122,0))/IFERROR(COUNTIF(J122:U122,"x"),1)+(Besatzung!$F$22="x")*IFERROR(H122,0)/IFERROR(SUMPRODUCT((J122:U122="x")*(Besatzung!$F$11:$F$22="x")),1))),(IF(COUNTIF(J122:U122,"x")=0,IF(Besatzung!$B$22&lt;&gt;"",1,0),(U122="x"))*(G122-IFERROR(H122,0))/IFERROR(IF(COUNTIF(J122:U122,"x")=0,COUNTA(Besatzung!$B$11:$B$22),COUNTIF(J122:U122,"x")),1)+IF(COUNTIF(J122:U122,"x")=0,(Besatzung!$F$22="x"),(U122="x")*(Besatzung!$F$22="x"))*IFERROR(H122,0)/IFERROR(IF(COUNTIF(J122:U122,"x")=0,SUMPRODUCT((Besatzung!$B$11:$B$22&lt;&gt;"")*(Besatzung!$F$11:$F$22="x")),SUMPRODUCT((J122:U122="x")*(Besatzung!$F$11:$F$22="x"))),1))))),0))))</f>
        <v/>
      </c>
      <c r="AH122" s="248" t="n"/>
      <c r="AI122" s="248" t="n"/>
    </row>
    <row r="123" ht="21.75" customHeight="1" s="154">
      <c r="A123" s="238">
        <f>IF(AND(D123="",C123=""),"",120)</f>
        <v/>
      </c>
      <c r="B123" s="206" t="n"/>
      <c r="C123" s="249" t="n"/>
      <c r="D123" s="250" t="n"/>
      <c r="E123" s="251" t="n"/>
      <c r="F123" s="252" t="n"/>
      <c r="G123" s="253" t="n"/>
      <c r="H123" s="254" t="n"/>
      <c r="I123" s="255" t="n"/>
      <c r="J123" s="256" t="n"/>
      <c r="K123" s="256" t="n"/>
      <c r="L123" s="256" t="n"/>
      <c r="M123" s="256" t="n"/>
      <c r="N123" s="256" t="n"/>
      <c r="O123" s="256" t="n"/>
      <c r="P123" s="256" t="n"/>
      <c r="Q123" s="256" t="n"/>
      <c r="R123" s="256" t="n"/>
      <c r="S123" s="256" t="n"/>
      <c r="T123" s="256" t="n"/>
      <c r="U123" s="256" t="n"/>
      <c r="V123" s="247">
        <f>IF(C123="Gutschrift","",IF(G123="","",IF(Besatzung!$B$11="","",IFERROR(IF(I123="Zeitanteilig",(Besatzung!$G$11*(G123-IFERROR(H123,0))+((Besatzung!$B$11&lt;&gt;"")*IF(B123="",1,(IF(Besatzung!$C$11="",Besatzung!$B$5,Besatzung!$C$11)&lt;=B123)*(IF(Besatzung!$D$11="",Besatzung!$B$6,Besatzung!$D$11)&gt;=B123)))*(Besatzung!$F$11="x")*IFERROR(H123,0)/IFERROR(SUMPRODUCT((Besatzung!$B$11:$B$22&lt;&gt;"")*(Besatzung!$F$11:$F$22="x")*(IF(Besatzung!$C$11:$C$22="",Besatzung!$B$5,Besatzung!$C$11:$C$22)&lt;=B123)*(IF(Besatzung!$D$11:$D$22="",Besatzung!$B$6,Besatzung!$D$11:$D$22)&gt;=B123)),1)),IF(I123="An Bord",(((Besatzung!$B$11&lt;&gt;"")*IF(B123="",1,(IF(Besatzung!$C$11="",Besatzung!$B$5,Besatzung!$C$11)&lt;=B123)*(IF(Besatzung!$D$11="",Besatzung!$B$6,Besatzung!$D$11)&gt;=B123)))*((G123-IFERROR(H123,0))/IFERROR(SUMPRODUCT((Besatzung!$B$11:$B$22&lt;&gt;"")*(IF(Besatzung!$C$11:$C$22="",Besatzung!$B$5,Besatzung!$C$11:$C$22)&lt;=B123)*(IF(Besatzung!$D$11:$D$22="",Besatzung!$B$6,Besatzung!$D$11:$D$22)&gt;=B123)),1)+(Besatzung!$F$11="x")*IFERROR(H123,0)/IFERROR(SUMPRODUCT((Besatzung!$B$11:$B$22&lt;&gt;"")*(Besatzung!$F$11:$F$22="x")*(IF(Besatzung!$C$11:$C$22="",Besatzung!$B$5,Besatzung!$C$11:$C$22)&lt;=B123)*(IF(Besatzung!$D$11:$D$22="",Besatzung!$B$6,Besatzung!$D$11:$D$22)&gt;=B123)),1))),IF(I123="Individuell",((J123="x")*((G123-IFERROR(H123,0))/IFERROR(COUNTIF(J123:U123,"x"),1)+(Besatzung!$F$11="x")*IFERROR(H123,0)/IFERROR(SUMPRODUCT((J123:U123="x")*(Besatzung!$F$11:$F$22="x")),1))),(IF(COUNTIF(J123:U123,"x")=0,IF(Besatzung!$B$11&lt;&gt;"",1,0),(J123="x"))*(G123-IFERROR(H123,0))/IFERROR(IF(COUNTIF(J123:U123,"x")=0,COUNTA(Besatzung!$B$11:$B$22),COUNTIF(J123:U123,"x")),1)+IF(COUNTIF(J123:U123,"x")=0,(Besatzung!$F$11="x"),(J123="x")*(Besatzung!$F$11="x"))*IFERROR(H123,0)/IFERROR(IF(COUNTIF(J123:U123,"x")=0,SUMPRODUCT((Besatzung!$B$11:$B$22&lt;&gt;"")*(Besatzung!$F$11:$F$22="x")),SUMPRODUCT((J123:U123="x")*(Besatzung!$F$11:$F$22="x"))),1))))),0))))</f>
        <v/>
      </c>
      <c r="W123" s="247">
        <f>IF(C123="Gutschrift","",IF(G123="","",IF(Besatzung!$B$12="","",IFERROR(IF(I123="Zeitanteilig",(Besatzung!$G$12*(G123-IFERROR(H123,0))+((Besatzung!$B$12&lt;&gt;"")*IF(B123="",1,(IF(Besatzung!$C$12="",Besatzung!$B$5,Besatzung!$C$12)&lt;=B123)*(IF(Besatzung!$D$12="",Besatzung!$B$6,Besatzung!$D$12)&gt;=B123)))*(Besatzung!$F$12="x")*IFERROR(H123,0)/IFERROR(SUMPRODUCT((Besatzung!$B$11:$B$22&lt;&gt;"")*(Besatzung!$F$11:$F$22="x")*(IF(Besatzung!$C$11:$C$22="",Besatzung!$B$5,Besatzung!$C$11:$C$22)&lt;=B123)*(IF(Besatzung!$D$11:$D$22="",Besatzung!$B$6,Besatzung!$D$11:$D$22)&gt;=B123)),1)),IF(I123="An Bord",(((Besatzung!$B$12&lt;&gt;"")*IF(B123="",1,(IF(Besatzung!$C$12="",Besatzung!$B$5,Besatzung!$C$12)&lt;=B123)*(IF(Besatzung!$D$12="",Besatzung!$B$6,Besatzung!$D$12)&gt;=B123)))*((G123-IFERROR(H123,0))/IFERROR(SUMPRODUCT((Besatzung!$B$11:$B$22&lt;&gt;"")*(IF(Besatzung!$C$11:$C$22="",Besatzung!$B$5,Besatzung!$C$11:$C$22)&lt;=B123)*(IF(Besatzung!$D$11:$D$22="",Besatzung!$B$6,Besatzung!$D$11:$D$22)&gt;=B123)),1)+(Besatzung!$F$12="x")*IFERROR(H123,0)/IFERROR(SUMPRODUCT((Besatzung!$B$11:$B$22&lt;&gt;"")*(Besatzung!$F$11:$F$22="x")*(IF(Besatzung!$C$11:$C$22="",Besatzung!$B$5,Besatzung!$C$11:$C$22)&lt;=B123)*(IF(Besatzung!$D$11:$D$22="",Besatzung!$B$6,Besatzung!$D$11:$D$22)&gt;=B123)),1))),IF(I123="Individuell",((K123="x")*((G123-IFERROR(H123,0))/IFERROR(COUNTIF(J123:U123,"x"),1)+(Besatzung!$F$12="x")*IFERROR(H123,0)/IFERROR(SUMPRODUCT((J123:U123="x")*(Besatzung!$F$11:$F$22="x")),1))),(IF(COUNTIF(J123:U123,"x")=0,IF(Besatzung!$B$12&lt;&gt;"",1,0),(K123="x"))*(G123-IFERROR(H123,0))/IFERROR(IF(COUNTIF(J123:U123,"x")=0,COUNTA(Besatzung!$B$11:$B$22),COUNTIF(J123:U123,"x")),1)+IF(COUNTIF(J123:U123,"x")=0,(Besatzung!$F$12="x"),(K123="x")*(Besatzung!$F$12="x"))*IFERROR(H123,0)/IFERROR(IF(COUNTIF(J123:U123,"x")=0,SUMPRODUCT((Besatzung!$B$11:$B$22&lt;&gt;"")*(Besatzung!$F$11:$F$22="x")),SUMPRODUCT((J123:U123="x")*(Besatzung!$F$11:$F$22="x"))),1))))),0))))</f>
        <v/>
      </c>
      <c r="X123" s="247">
        <f>IF(C123="Gutschrift","",IF(G123="","",IF(Besatzung!$B$13="","",IFERROR(IF(I123="Zeitanteilig",(Besatzung!$G$13*(G123-IFERROR(H123,0))+((Besatzung!$B$13&lt;&gt;"")*IF(B123="",1,(IF(Besatzung!$C$13="",Besatzung!$B$5,Besatzung!$C$13)&lt;=B123)*(IF(Besatzung!$D$13="",Besatzung!$B$6,Besatzung!$D$13)&gt;=B123)))*(Besatzung!$F$13="x")*IFERROR(H123,0)/IFERROR(SUMPRODUCT((Besatzung!$B$11:$B$22&lt;&gt;"")*(Besatzung!$F$11:$F$22="x")*(IF(Besatzung!$C$11:$C$22="",Besatzung!$B$5,Besatzung!$C$11:$C$22)&lt;=B123)*(IF(Besatzung!$D$11:$D$22="",Besatzung!$B$6,Besatzung!$D$11:$D$22)&gt;=B123)),1)),IF(I123="An Bord",(((Besatzung!$B$13&lt;&gt;"")*IF(B123="",1,(IF(Besatzung!$C$13="",Besatzung!$B$5,Besatzung!$C$13)&lt;=B123)*(IF(Besatzung!$D$13="",Besatzung!$B$6,Besatzung!$D$13)&gt;=B123)))*((G123-IFERROR(H123,0))/IFERROR(SUMPRODUCT((Besatzung!$B$11:$B$22&lt;&gt;"")*(IF(Besatzung!$C$11:$C$22="",Besatzung!$B$5,Besatzung!$C$11:$C$22)&lt;=B123)*(IF(Besatzung!$D$11:$D$22="",Besatzung!$B$6,Besatzung!$D$11:$D$22)&gt;=B123)),1)+(Besatzung!$F$13="x")*IFERROR(H123,0)/IFERROR(SUMPRODUCT((Besatzung!$B$11:$B$22&lt;&gt;"")*(Besatzung!$F$11:$F$22="x")*(IF(Besatzung!$C$11:$C$22="",Besatzung!$B$5,Besatzung!$C$11:$C$22)&lt;=B123)*(IF(Besatzung!$D$11:$D$22="",Besatzung!$B$6,Besatzung!$D$11:$D$22)&gt;=B123)),1))),IF(I123="Individuell",((K123="x")*((G123-IFERROR(H123,0))/IFERROR(COUNTIF(J123:U123,"x"),1)+(Besatzung!$F$13="x")*IFERROR(H123,0)/IFERROR(SUMPRODUCT((J123:U123="x")*(Besatzung!$F$11:$F$22="x")),1))),(IF(COUNTIF(J123:U123,"x")=0,IF(Besatzung!$B$13&lt;&gt;"",1,0),(K123="x"))*(G123-IFERROR(H123,0))/IFERROR(IF(COUNTIF(J123:U123,"x")=0,COUNTA(Besatzung!$B$11:$B$22),COUNTIF(J123:U123,"x")),1)+IF(COUNTIF(J123:U123,"x")=0,(Besatzung!$F$13="x"),(K123="x")*(Besatzung!$F$13="x"))*IFERROR(H123,0)/IFERROR(IF(COUNTIF(J123:U123,"x")=0,SUMPRODUCT((Besatzung!$B$11:$B$22&lt;&gt;"")*(Besatzung!$F$11:$F$22="x")),SUMPRODUCT((J123:U123="x")*(Besatzung!$F$11:$F$22="x"))),1))))),0))))</f>
        <v/>
      </c>
      <c r="Y123" s="247">
        <f>IF(C123="Gutschrift","",IF(G123="","",IF(Besatzung!$B$14="","",IFERROR(IF(I123="Zeitanteilig",(Besatzung!$G$14*(G123-IFERROR(H123,0))+((Besatzung!$B$14&lt;&gt;"")*IF(B123="",1,(IF(Besatzung!$C$14="",Besatzung!$B$5,Besatzung!$C$14)&lt;=B123)*(IF(Besatzung!$D$14="",Besatzung!$B$6,Besatzung!$D$14)&gt;=B123)))*(Besatzung!$F$14="x")*IFERROR(H123,0)/IFERROR(SUMPRODUCT((Besatzung!$B$11:$B$22&lt;&gt;"")*(Besatzung!$F$11:$F$22="x")*(IF(Besatzung!$C$11:$C$22="",Besatzung!$B$5,Besatzung!$C$11:$C$22)&lt;=B123)*(IF(Besatzung!$D$11:$D$22="",Besatzung!$B$6,Besatzung!$D$11:$D$22)&gt;=B123)),1)),IF(I123="An Bord",(((Besatzung!$B$14&lt;&gt;"")*IF(B123="",1,(IF(Besatzung!$C$14="",Besatzung!$B$5,Besatzung!$C$14)&lt;=B123)*(IF(Besatzung!$D$14="",Besatzung!$B$6,Besatzung!$D$14)&gt;=B123)))*((G123-IFERROR(H123,0))/IFERROR(SUMPRODUCT((Besatzung!$B$11:$B$22&lt;&gt;"")*(IF(Besatzung!$C$11:$C$22="",Besatzung!$B$5,Besatzung!$C$11:$C$22)&lt;=B123)*(IF(Besatzung!$D$11:$D$22="",Besatzung!$B$6,Besatzung!$D$11:$D$22)&gt;=B123)),1)+(Besatzung!$F$14="x")*IFERROR(H123,0)/IFERROR(SUMPRODUCT((Besatzung!$B$11:$B$22&lt;&gt;"")*(Besatzung!$F$11:$F$22="x")*(IF(Besatzung!$C$11:$C$22="",Besatzung!$B$5,Besatzung!$C$11:$C$22)&lt;=B123)*(IF(Besatzung!$D$11:$D$22="",Besatzung!$B$6,Besatzung!$D$11:$D$22)&gt;=B123)),1))),IF(I123="Individuell",((M123="x")*((G123-IFERROR(H123,0))/IFERROR(COUNTIF(J123:U123,"x"),1)+(Besatzung!$F$14="x")*IFERROR(H123,0)/IFERROR(SUMPRODUCT((J123:U123="x")*(Besatzung!$F$11:$F$22="x")),1))),(IF(COUNTIF(J123:U123,"x")=0,IF(Besatzung!$B$14&lt;&gt;"",1,0),(M123="x"))*(G123-IFERROR(H123,0))/IFERROR(IF(COUNTIF(J123:U123,"x")=0,COUNTA(Besatzung!$B$11:$B$22),COUNTIF(J123:U123,"x")),1)+IF(COUNTIF(J123:U123,"x")=0,(Besatzung!$F$14="x"),(M123="x")*(Besatzung!$F$14="x"))*IFERROR(H123,0)/IFERROR(IF(COUNTIF(J123:U123,"x")=0,SUMPRODUCT((Besatzung!$B$11:$B$22&lt;&gt;"")*(Besatzung!$F$11:$F$22="x")),SUMPRODUCT((J123:U123="x")*(Besatzung!$F$11:$F$22="x"))),1))))),0))))</f>
        <v/>
      </c>
      <c r="Z123" s="247">
        <f>IF(C123="Gutschrift","",IF(G123="","",IF(Besatzung!$B$13="","",IFERROR(IF(I123="Zeitanteilig",(Besatzung!$G$15*(G123-IFERROR(H123,0))+((Besatzung!$B$13&lt;&gt;"")*IF(B123="",1,(IF(Besatzung!$C$15="",Besatzung!$B$5,Besatzung!$C$15)&lt;=B123)*(IF(Besatzung!$D$15="",Besatzung!$B$6,Besatzung!$D$15)&gt;=B123)))*(Besatzung!$F$15="x")*IFERROR(H123,0)/IFERROR(SUMPRODUCT((Besatzung!$B$11:$B$22&lt;&gt;"")*(Besatzung!$F$11:$F$22="x")*(IF(Besatzung!$C$11:$C$22="",Besatzung!$B$5,Besatzung!$C$11:$C$22)&lt;=B123)*(IF(Besatzung!$D$11:$D$22="",Besatzung!$B$6,Besatzung!$D$11:$D$22)&gt;=B123)),1)),IF(I123="An Bord",(((Besatzung!$B$13&lt;&gt;"")*IF(B123="",1,(IF(Besatzung!$C$15="",Besatzung!$B$5,Besatzung!$C$15)&lt;=B123)*(IF(Besatzung!$D$15="",Besatzung!$B$6,Besatzung!$D$15)&gt;=B123)))*((G123-IFERROR(H123,0))/IFERROR(SUMPRODUCT((Besatzung!$B$11:$B$22&lt;&gt;"")*(IF(Besatzung!$C$11:$C$22="",Besatzung!$B$5,Besatzung!$C$11:$C$22)&lt;=B123)*(IF(Besatzung!$D$11:$D$22="",Besatzung!$B$6,Besatzung!$D$11:$D$22)&gt;=B123)),1)+(Besatzung!$F$15="x")*IFERROR(H123,0)/IFERROR(SUMPRODUCT((Besatzung!$B$11:$B$22&lt;&gt;"")*(Besatzung!$F$11:$F$22="x")*(IF(Besatzung!$C$11:$C$22="",Besatzung!$B$5,Besatzung!$C$11:$C$22)&lt;=B123)*(IF(Besatzung!$D$11:$D$22="",Besatzung!$B$6,Besatzung!$D$11:$D$22)&gt;=B123)),1))),IF(I123="Individuell",((N123="x")*((G123-IFERROR(H123,0))/IFERROR(COUNTIF(J123:U123,"x"),1)+(Besatzung!$F$15="x")*IFERROR(H123,0)/IFERROR(SUMPRODUCT((J123:U123="x")*(Besatzung!$F$11:$F$22="x")),1))),(IF(COUNTIF(J123:U123,"x")=0,IF(Besatzung!$B$13&lt;&gt;"",1,0),(N123="x"))*(G123-IFERROR(H123,0))/IFERROR(IF(COUNTIF(J123:U123,"x")=0,COUNTA(Besatzung!$B$11:$B$22),COUNTIF(J123:U123,"x")),1)+IF(COUNTIF(J123:U123,"x")=0,(Besatzung!$F$15="x"),(N123="x")*(Besatzung!$F$15="x"))*IFERROR(H123,0)/IFERROR(IF(COUNTIF(J123:U123,"x")=0,SUMPRODUCT((Besatzung!$B$11:$B$22&lt;&gt;"")*(Besatzung!$F$11:$F$22="x")),SUMPRODUCT((J123:U123="x")*(Besatzung!$F$11:$F$22="x"))),1))))),0))))</f>
        <v/>
      </c>
      <c r="AA123" s="247">
        <f>IF(C123="Gutschrift","",IF(G123="","",IF(Besatzung!$B$15="","",IFERROR(IF(I123="Zeitanteilig",(Besatzung!$G$16*(G123-IFERROR(H123,0))+((Besatzung!$B$15&lt;&gt;"")*IF(B123="",1,(IF(Besatzung!$C$16="",Besatzung!$B$5,Besatzung!$C$16)&lt;=B123)*(IF(Besatzung!$D$16="",Besatzung!$B$6,Besatzung!$D$16)&gt;=B123)))*(Besatzung!$F$16="x")*IFERROR(H123,0)/IFERROR(SUMPRODUCT((Besatzung!$B$11:$B$22&lt;&gt;"")*(Besatzung!$F$11:$F$22="x")*(IF(Besatzung!$C$11:$C$22="",Besatzung!$B$5,Besatzung!$C$11:$C$22)&lt;=B123)*(IF(Besatzung!$D$11:$D$22="",Besatzung!$B$6,Besatzung!$D$11:$D$22)&gt;=B123)),1)),IF(I123="An Bord",(((Besatzung!$B$15&lt;&gt;"")*IF(B123="",1,(IF(Besatzung!$C$16="",Besatzung!$B$5,Besatzung!$C$16)&lt;=B123)*(IF(Besatzung!$D$16="",Besatzung!$B$6,Besatzung!$D$16)&gt;=B123)))*((G123-IFERROR(H123,0))/IFERROR(SUMPRODUCT((Besatzung!$B$11:$B$22&lt;&gt;"")*(IF(Besatzung!$C$11:$C$22="",Besatzung!$B$5,Besatzung!$C$11:$C$22)&lt;=B123)*(IF(Besatzung!$D$11:$D$22="",Besatzung!$B$6,Besatzung!$D$11:$D$22)&gt;=B123)),1)+(Besatzung!$F$16="x")*IFERROR(H123,0)/IFERROR(SUMPRODUCT((Besatzung!$B$11:$B$22&lt;&gt;"")*(Besatzung!$F$11:$F$22="x")*(IF(Besatzung!$C$11:$C$22="",Besatzung!$B$5,Besatzung!$C$11:$C$22)&lt;=B123)*(IF(Besatzung!$D$11:$D$22="",Besatzung!$B$6,Besatzung!$D$11:$D$22)&gt;=B123)),1))),IF(I123="Individuell",((O123="x")*((G123-IFERROR(H123,0))/IFERROR(COUNTIF(J123:U123,"x"),1)+(Besatzung!$F$16="x")*IFERROR(H123,0)/IFERROR(SUMPRODUCT((J123:U123="x")*(Besatzung!$F$11:$F$22="x")),1))),(IF(COUNTIF(J123:U123,"x")=0,IF(Besatzung!$B$15&lt;&gt;"",1,0),(O123="x"))*(G123-IFERROR(H123,0))/IFERROR(IF(COUNTIF(J123:U123,"x")=0,COUNTA(Besatzung!$B$11:$B$22),COUNTIF(J123:U123,"x")),1)+IF(COUNTIF(J123:U123,"x")=0,(Besatzung!$F$16="x"),(O123="x")*(Besatzung!$F$16="x"))*IFERROR(H123,0)/IFERROR(IF(COUNTIF(J123:U123,"x")=0,SUMPRODUCT((Besatzung!$B$11:$B$22&lt;&gt;"")*(Besatzung!$F$11:$F$22="x")),SUMPRODUCT((J123:U123="x")*(Besatzung!$F$11:$F$22="x"))),1))))),0))))</f>
        <v/>
      </c>
      <c r="AB123" s="247">
        <f>IF(C123="Gutschrift","",IF(G123="","",IF(Besatzung!$B$17="","",IFERROR(IF(I123="Zeitanteilig",(Besatzung!$G$17*(G123-IFERROR(H123,0))+((Besatzung!$B$17&lt;&gt;"")*IF(B123="",1,(IF(Besatzung!$C$17="",Besatzung!$B$5,Besatzung!$C$17)&lt;=B123)*(IF(Besatzung!$D$17="",Besatzung!$B$6,Besatzung!$D$17)&gt;=B123)))*(Besatzung!$F$17="x")*IFERROR(H123,0)/IFERROR(SUMPRODUCT((Besatzung!$B$11:$B$22&lt;&gt;"")*(Besatzung!$F$11:$F$22="x")*(IF(Besatzung!$C$11:$C$22="",Besatzung!$B$5,Besatzung!$C$11:$C$22)&lt;=B123)*(IF(Besatzung!$D$11:$D$22="",Besatzung!$B$6,Besatzung!$D$11:$D$22)&gt;=B123)),1)),IF(I123="An Bord",(((Besatzung!$B$17&lt;&gt;"")*IF(B123="",1,(IF(Besatzung!$C$17="",Besatzung!$B$5,Besatzung!$C$17)&lt;=B123)*(IF(Besatzung!$D$17="",Besatzung!$B$6,Besatzung!$D$17)&gt;=B123)))*((G123-IFERROR(H123,0))/IFERROR(SUMPRODUCT((Besatzung!$B$11:$B$22&lt;&gt;"")*(IF(Besatzung!$C$11:$C$22="",Besatzung!$B$5,Besatzung!$C$11:$C$22)&lt;=B123)*(IF(Besatzung!$D$11:$D$22="",Besatzung!$B$6,Besatzung!$D$11:$D$22)&gt;=B123)),1)+(Besatzung!$F$17="x")*IFERROR(H123,0)/IFERROR(SUMPRODUCT((Besatzung!$B$11:$B$22&lt;&gt;"")*(Besatzung!$F$11:$F$22="x")*(IF(Besatzung!$C$11:$C$22="",Besatzung!$B$5,Besatzung!$C$11:$C$22)&lt;=B123)*(IF(Besatzung!$D$11:$D$22="",Besatzung!$B$6,Besatzung!$D$11:$D$22)&gt;=B123)),1))),IF(I123="Individuell",((P123="x")*((G123-IFERROR(H123,0))/IFERROR(COUNTIF(J123:U123,"x"),1)+(Besatzung!$F$17="x")*IFERROR(H123,0)/IFERROR(SUMPRODUCT((J123:U123="x")*(Besatzung!$F$11:$F$22="x")),1))),(IF(COUNTIF(J123:U123,"x")=0,IF(Besatzung!$B$17&lt;&gt;"",1,0),(P123="x"))*(G123-IFERROR(H123,0))/IFERROR(IF(COUNTIF(J123:U123,"x")=0,COUNTA(Besatzung!$B$11:$B$22),COUNTIF(J123:U123,"x")),1)+IF(COUNTIF(J123:U123,"x")=0,(Besatzung!$F$17="x"),(P123="x")*(Besatzung!$F$17="x"))*IFERROR(H123,0)/IFERROR(IF(COUNTIF(J123:U123,"x")=0,SUMPRODUCT((Besatzung!$B$11:$B$22&lt;&gt;"")*(Besatzung!$F$11:$F$22="x")),SUMPRODUCT((J123:U123="x")*(Besatzung!$F$11:$F$22="x"))),1))))),0))))</f>
        <v/>
      </c>
      <c r="AC123" s="247">
        <f>IF(C123="Gutschrift","",IF(G123="","",IF(Besatzung!$B$18="","",IFERROR(IF(I123="Zeitanteilig",(Besatzung!$G$18*(G123-IFERROR(H123,0))+((Besatzung!$B$18&lt;&gt;"")*IF(B123="",1,(IF(Besatzung!$C$18="",Besatzung!$B$5,Besatzung!$C$18)&lt;=B123)*(IF(Besatzung!$D$18="",Besatzung!$B$6,Besatzung!$D$18)&gt;=B123)))*(Besatzung!$F$18="x")*IFERROR(H123,0)/IFERROR(SUMPRODUCT((Besatzung!$B$11:$B$22&lt;&gt;"")*(Besatzung!$F$11:$F$22="x")*(IF(Besatzung!$C$11:$C$22="",Besatzung!$B$5,Besatzung!$C$11:$C$22)&lt;=B123)*(IF(Besatzung!$D$11:$D$22="",Besatzung!$B$6,Besatzung!$D$11:$D$22)&gt;=B123)),1)),IF(I123="An Bord",(((Besatzung!$B$18&lt;&gt;"")*IF(B123="",1,(IF(Besatzung!$C$18="",Besatzung!$B$5,Besatzung!$C$18)&lt;=B123)*(IF(Besatzung!$D$18="",Besatzung!$B$6,Besatzung!$D$18)&gt;=B123)))*((G123-IFERROR(H123,0))/IFERROR(SUMPRODUCT((Besatzung!$B$11:$B$22&lt;&gt;"")*(IF(Besatzung!$C$11:$C$22="",Besatzung!$B$5,Besatzung!$C$11:$C$22)&lt;=B123)*(IF(Besatzung!$D$11:$D$22="",Besatzung!$B$6,Besatzung!$D$11:$D$22)&gt;=B123)),1)+(Besatzung!$F$18="x")*IFERROR(H123,0)/IFERROR(SUMPRODUCT((Besatzung!$B$11:$B$22&lt;&gt;"")*(Besatzung!$F$11:$F$22="x")*(IF(Besatzung!$C$11:$C$22="",Besatzung!$B$5,Besatzung!$C$11:$C$22)&lt;=B123)*(IF(Besatzung!$D$11:$D$22="",Besatzung!$B$6,Besatzung!$D$11:$D$22)&gt;=B123)),1))),IF(I123="Individuell",((Q123="x")*((G123-IFERROR(H123,0))/IFERROR(COUNTIF(J123:U123,"x"),1)+(Besatzung!$F$18="x")*IFERROR(H123,0)/IFERROR(SUMPRODUCT((J123:U123="x")*(Besatzung!$F$11:$F$22="x")),1))),(IF(COUNTIF(J123:U123,"x")=0,IF(Besatzung!$B$18&lt;&gt;"",1,0),(Q123="x"))*(G123-IFERROR(H123,0))/IFERROR(IF(COUNTIF(J123:U123,"x")=0,COUNTA(Besatzung!$B$11:$B$22),COUNTIF(J123:U123,"x")),1)+IF(COUNTIF(J123:U123,"x")=0,(Besatzung!$F$18="x"),(Q123="x")*(Besatzung!$F$18="x"))*IFERROR(H123,0)/IFERROR(IF(COUNTIF(J123:U123,"x")=0,SUMPRODUCT((Besatzung!$B$11:$B$22&lt;&gt;"")*(Besatzung!$F$11:$F$22="x")),SUMPRODUCT((J123:U123="x")*(Besatzung!$F$11:$F$22="x"))),1))))),0))))</f>
        <v/>
      </c>
      <c r="AD123" s="247">
        <f>IF(C123="Gutschrift","",IF(G123="","",IF(Besatzung!$B$19="","",IFERROR(IF(I123="Zeitanteilig",(Besatzung!$G$19*(G123-IFERROR(H123,0))+((Besatzung!$B$19&lt;&gt;"")*IF(B123="",1,(IF(Besatzung!$C$19="",Besatzung!$B$5,Besatzung!$C$19)&lt;=B123)*(IF(Besatzung!$D$19="",Besatzung!$B$6,Besatzung!$D$19)&gt;=B123)))*(Besatzung!$F$19="x")*IFERROR(H123,0)/IFERROR(SUMPRODUCT((Besatzung!$B$11:$B$22&lt;&gt;"")*(Besatzung!$F$11:$F$22="x")*(IF(Besatzung!$C$11:$C$22="",Besatzung!$B$5,Besatzung!$C$11:$C$22)&lt;=B123)*(IF(Besatzung!$D$11:$D$22="",Besatzung!$B$6,Besatzung!$D$11:$D$22)&gt;=B123)),1)),IF(I123="An Bord",(((Besatzung!$B$19&lt;&gt;"")*IF(B123="",1,(IF(Besatzung!$C$19="",Besatzung!$B$5,Besatzung!$C$19)&lt;=B123)*(IF(Besatzung!$D$19="",Besatzung!$B$6,Besatzung!$D$19)&gt;=B123)))*((G123-IFERROR(H123,0))/IFERROR(SUMPRODUCT((Besatzung!$B$11:$B$22&lt;&gt;"")*(IF(Besatzung!$C$11:$C$22="",Besatzung!$B$5,Besatzung!$C$11:$C$22)&lt;=B123)*(IF(Besatzung!$D$11:$D$22="",Besatzung!$B$6,Besatzung!$D$11:$D$22)&gt;=B123)),1)+(Besatzung!$F$19="x")*IFERROR(H123,0)/IFERROR(SUMPRODUCT((Besatzung!$B$11:$B$22&lt;&gt;"")*(Besatzung!$F$11:$F$22="x")*(IF(Besatzung!$C$11:$C$22="",Besatzung!$B$5,Besatzung!$C$11:$C$22)&lt;=B123)*(IF(Besatzung!$D$11:$D$22="",Besatzung!$B$6,Besatzung!$D$11:$D$22)&gt;=B123)),1))),IF(I123="Individuell",((R123="x")*((G123-IFERROR(H123,0))/IFERROR(COUNTIF(J123:U123,"x"),1)+(Besatzung!$F$19="x")*IFERROR(H123,0)/IFERROR(SUMPRODUCT((J123:U123="x")*(Besatzung!$F$11:$F$22="x")),1))),(IF(COUNTIF(J123:U123,"x")=0,IF(Besatzung!$B$19&lt;&gt;"",1,0),(R123="x"))*(G123-IFERROR(H123,0))/IFERROR(IF(COUNTIF(J123:U123,"x")=0,COUNTA(Besatzung!$B$11:$B$22),COUNTIF(J123:U123,"x")),1)+IF(COUNTIF(J123:U123,"x")=0,(Besatzung!$F$19="x"),(R123="x")*(Besatzung!$F$19="x"))*IFERROR(H123,0)/IFERROR(IF(COUNTIF(J123:U123,"x")=0,SUMPRODUCT((Besatzung!$B$11:$B$22&lt;&gt;"")*(Besatzung!$F$11:$F$22="x")),SUMPRODUCT((J123:U123="x")*(Besatzung!$F$11:$F$22="x"))),1))))),0))))</f>
        <v/>
      </c>
      <c r="AE123" s="247">
        <f>IF(C123="Gutschrift","",IF(G123="","",IF(Besatzung!$B$20="","",IFERROR(IF(I123="Zeitanteilig",(Besatzung!$G$20*(G123-IFERROR(H123,0))+((Besatzung!$B$20&lt;&gt;"")*IF(B123="",1,(IF(Besatzung!$C$20="",Besatzung!$B$5,Besatzung!$C$20)&lt;=B123)*(IF(Besatzung!$D$20="",Besatzung!$B$6,Besatzung!$D$20)&gt;=B123)))*(Besatzung!$F$20="x")*IFERROR(H123,0)/IFERROR(SUMPRODUCT((Besatzung!$B$11:$B$22&lt;&gt;"")*(Besatzung!$F$11:$F$22="x")*(IF(Besatzung!$C$11:$C$22="",Besatzung!$B$5,Besatzung!$C$11:$C$22)&lt;=B123)*(IF(Besatzung!$D$11:$D$22="",Besatzung!$B$6,Besatzung!$D$11:$D$22)&gt;=B123)),1)),IF(I123="An Bord",(((Besatzung!$B$20&lt;&gt;"")*IF(B123="",1,(IF(Besatzung!$C$20="",Besatzung!$B$5,Besatzung!$C$20)&lt;=B123)*(IF(Besatzung!$D$20="",Besatzung!$B$6,Besatzung!$D$20)&gt;=B123)))*((G123-IFERROR(H123,0))/IFERROR(SUMPRODUCT((Besatzung!$B$11:$B$22&lt;&gt;"")*(IF(Besatzung!$C$11:$C$22="",Besatzung!$B$5,Besatzung!$C$11:$C$22)&lt;=B123)*(IF(Besatzung!$D$11:$D$22="",Besatzung!$B$6,Besatzung!$D$11:$D$22)&gt;=B123)),1)+(Besatzung!$F$20="x")*IFERROR(H123,0)/IFERROR(SUMPRODUCT((Besatzung!$B$11:$B$22&lt;&gt;"")*(Besatzung!$F$11:$F$22="x")*(IF(Besatzung!$C$11:$C$22="",Besatzung!$B$5,Besatzung!$C$11:$C$22)&lt;=B123)*(IF(Besatzung!$D$11:$D$22="",Besatzung!$B$6,Besatzung!$D$11:$D$22)&gt;=B123)),1))),IF(I123="Individuell",((S123="x")*((G123-IFERROR(H123,0))/IFERROR(COUNTIF(J123:U123,"x"),1)+(Besatzung!$F$20="x")*IFERROR(H123,0)/IFERROR(SUMPRODUCT((J123:U123="x")*(Besatzung!$F$11:$F$22="x")),1))),(IF(COUNTIF(J123:U123,"x")=0,IF(Besatzung!$B$20&lt;&gt;"",1,0),(S123="x"))*(G123-IFERROR(H123,0))/IFERROR(IF(COUNTIF(J123:U123,"x")=0,COUNTA(Besatzung!$B$11:$B$22),COUNTIF(J123:U123,"x")),1)+IF(COUNTIF(J123:U123,"x")=0,(Besatzung!$F$20="x"),(S123="x")*(Besatzung!$F$20="x"))*IFERROR(H123,0)/IFERROR(IF(COUNTIF(J123:U123,"x")=0,SUMPRODUCT((Besatzung!$B$11:$B$22&lt;&gt;"")*(Besatzung!$F$11:$F$22="x")),SUMPRODUCT((J123:U123="x")*(Besatzung!$F$11:$F$22="x"))),1))))),0))))</f>
        <v/>
      </c>
      <c r="AF123" s="247">
        <f>IF(C123="Gutschrift","",IF(G123="","",IF(Besatzung!$B$21="","",IFERROR(IF(I123="Zeitanteilig",(Besatzung!$G$21*(G123-IFERROR(H123,0))+((Besatzung!$B$21&lt;&gt;"")*IF(B123="",1,(IF(Besatzung!$C$21="",Besatzung!$B$5,Besatzung!$C$21)&lt;=B123)*(IF(Besatzung!$D$21="",Besatzung!$B$6,Besatzung!$D$21)&gt;=B123)))*(Besatzung!$F$21="x")*IFERROR(H123,0)/IFERROR(SUMPRODUCT((Besatzung!$B$11:$B$22&lt;&gt;"")*(Besatzung!$F$11:$F$22="x")*(IF(Besatzung!$C$11:$C$22="",Besatzung!$B$5,Besatzung!$C$11:$C$22)&lt;=B123)*(IF(Besatzung!$D$11:$D$22="",Besatzung!$B$6,Besatzung!$D$11:$D$22)&gt;=B123)),1)),IF(I123="An Bord",(((Besatzung!$B$21&lt;&gt;"")*IF(B123="",1,(IF(Besatzung!$C$21="",Besatzung!$B$5,Besatzung!$C$21)&lt;=B123)*(IF(Besatzung!$D$21="",Besatzung!$B$6,Besatzung!$D$21)&gt;=B123)))*((G123-IFERROR(H123,0))/IFERROR(SUMPRODUCT((Besatzung!$B$11:$B$22&lt;&gt;"")*(IF(Besatzung!$C$11:$C$22="",Besatzung!$B$5,Besatzung!$C$11:$C$22)&lt;=B123)*(IF(Besatzung!$D$11:$D$22="",Besatzung!$B$6,Besatzung!$D$11:$D$22)&gt;=B123)),1)+(Besatzung!$F$21="x")*IFERROR(H123,0)/IFERROR(SUMPRODUCT((Besatzung!$B$11:$B$22&lt;&gt;"")*(Besatzung!$F$11:$F$22="x")*(IF(Besatzung!$C$11:$C$22="",Besatzung!$B$5,Besatzung!$C$11:$C$22)&lt;=B123)*(IF(Besatzung!$D$11:$D$22="",Besatzung!$B$6,Besatzung!$D$11:$D$22)&gt;=B123)),1))),IF(I123="Individuell",((T123="x")*((G123-IFERROR(H123,0))/IFERROR(COUNTIF(J123:U123,"x"),1)+(Besatzung!$F$21="x")*IFERROR(H123,0)/IFERROR(SUMPRODUCT((J123:U123="x")*(Besatzung!$F$11:$F$22="x")),1))),(IF(COUNTIF(J123:U123,"x")=0,IF(Besatzung!$B$21&lt;&gt;"",1,0),(T123="x"))*(G123-IFERROR(H123,0))/IFERROR(IF(COUNTIF(J123:U123,"x")=0,COUNTA(Besatzung!$B$11:$B$22),COUNTIF(J123:U123,"x")),1)+IF(COUNTIF(J123:U123,"x")=0,(Besatzung!$F$21="x"),(T123="x")*(Besatzung!$F$21="x"))*IFERROR(H123,0)/IFERROR(IF(COUNTIF(J123:U123,"x")=0,SUMPRODUCT((Besatzung!$B$11:$B$22&lt;&gt;"")*(Besatzung!$F$11:$F$22="x")),SUMPRODUCT((J123:U123="x")*(Besatzung!$F$11:$F$22="x"))),1))))),0))))</f>
        <v/>
      </c>
      <c r="AG123" s="247">
        <f>IF(C123="Gutschrift","",IF(G123="","",IF(Besatzung!$B$22="","",IFERROR(IF(I123="Zeitanteilig",(Besatzung!$G$22*(G123-IFERROR(H123,0))+((Besatzung!$B$22&lt;&gt;"")*IF(B123="",1,(IF(Besatzung!$C$22="",Besatzung!$B$5,Besatzung!$C$22)&lt;=B123)*(IF(Besatzung!$D$22="",Besatzung!$B$6,Besatzung!$D$22)&gt;=B123)))*(Besatzung!$F$22="x")*IFERROR(H123,0)/IFERROR(SUMPRODUCT((Besatzung!$B$11:$B$22&lt;&gt;"")*(Besatzung!$F$11:$F$22="x")*(IF(Besatzung!$C$11:$C$22="",Besatzung!$B$5,Besatzung!$C$11:$C$22)&lt;=B123)*(IF(Besatzung!$D$11:$D$22="",Besatzung!$B$6,Besatzung!$D$11:$D$22)&gt;=B123)),1)),IF(I123="An Bord",(((Besatzung!$B$22&lt;&gt;"")*IF(B123="",1,(IF(Besatzung!$C$22="",Besatzung!$B$5,Besatzung!$C$22)&lt;=B123)*(IF(Besatzung!$D$22="",Besatzung!$B$6,Besatzung!$D$22)&gt;=B123)))*((G123-IFERROR(H123,0))/IFERROR(SUMPRODUCT((Besatzung!$B$11:$B$22&lt;&gt;"")*(IF(Besatzung!$C$11:$C$22="",Besatzung!$B$5,Besatzung!$C$11:$C$22)&lt;=B123)*(IF(Besatzung!$D$11:$D$22="",Besatzung!$B$6,Besatzung!$D$11:$D$22)&gt;=B123)),1)+(Besatzung!$F$22="x")*IFERROR(H123,0)/IFERROR(SUMPRODUCT((Besatzung!$B$11:$B$22&lt;&gt;"")*(Besatzung!$F$11:$F$22="x")*(IF(Besatzung!$C$11:$C$22="",Besatzung!$B$5,Besatzung!$C$11:$C$22)&lt;=B123)*(IF(Besatzung!$D$11:$D$22="",Besatzung!$B$6,Besatzung!$D$11:$D$22)&gt;=B123)),1))),IF(I123="Individuell",((U123="x")*((G123-IFERROR(H123,0))/IFERROR(COUNTIF(J123:U123,"x"),1)+(Besatzung!$F$22="x")*IFERROR(H123,0)/IFERROR(SUMPRODUCT((J123:U123="x")*(Besatzung!$F$11:$F$22="x")),1))),(IF(COUNTIF(J123:U123,"x")=0,IF(Besatzung!$B$22&lt;&gt;"",1,0),(U123="x"))*(G123-IFERROR(H123,0))/IFERROR(IF(COUNTIF(J123:U123,"x")=0,COUNTA(Besatzung!$B$11:$B$22),COUNTIF(J123:U123,"x")),1)+IF(COUNTIF(J123:U123,"x")=0,(Besatzung!$F$22="x"),(U123="x")*(Besatzung!$F$22="x"))*IFERROR(H123,0)/IFERROR(IF(COUNTIF(J123:U123,"x")=0,SUMPRODUCT((Besatzung!$B$11:$B$22&lt;&gt;"")*(Besatzung!$F$11:$F$22="x")),SUMPRODUCT((J123:U123="x")*(Besatzung!$F$11:$F$22="x"))),1))))),0))))</f>
        <v/>
      </c>
      <c r="AH123" s="248" t="n"/>
      <c r="AI123" s="248" t="n"/>
    </row>
    <row r="124" ht="21.75" customHeight="1" s="154">
      <c r="A124" s="238">
        <f>IF(AND(D124="",C124=""),"",121)</f>
        <v/>
      </c>
      <c r="B124" s="199" t="n"/>
      <c r="C124" s="239" t="n"/>
      <c r="D124" s="240" t="n"/>
      <c r="E124" s="241" t="n"/>
      <c r="F124" s="242" t="n"/>
      <c r="G124" s="243" t="n"/>
      <c r="H124" s="244" t="n"/>
      <c r="I124" s="245" t="n"/>
      <c r="J124" s="246" t="n"/>
      <c r="K124" s="246" t="n"/>
      <c r="L124" s="246" t="n"/>
      <c r="M124" s="246" t="n"/>
      <c r="N124" s="246" t="n"/>
      <c r="O124" s="246" t="n"/>
      <c r="P124" s="246" t="n"/>
      <c r="Q124" s="246" t="n"/>
      <c r="R124" s="246" t="n"/>
      <c r="S124" s="246" t="n"/>
      <c r="T124" s="246" t="n"/>
      <c r="U124" s="246" t="n"/>
      <c r="V124" s="247">
        <f>IF(C124="Gutschrift","",IF(G124="","",IF(Besatzung!$B$11="","",IFERROR(IF(I124="Zeitanteilig",(Besatzung!$G$11*(G124-IFERROR(H124,0))+((Besatzung!$B$11&lt;&gt;"")*IF(B124="",1,(IF(Besatzung!$C$11="",Besatzung!$B$5,Besatzung!$C$11)&lt;=B124)*(IF(Besatzung!$D$11="",Besatzung!$B$6,Besatzung!$D$11)&gt;=B124)))*(Besatzung!$F$11="x")*IFERROR(H124,0)/IFERROR(SUMPRODUCT((Besatzung!$B$11:$B$22&lt;&gt;"")*(Besatzung!$F$11:$F$22="x")*(IF(Besatzung!$C$11:$C$22="",Besatzung!$B$5,Besatzung!$C$11:$C$22)&lt;=B124)*(IF(Besatzung!$D$11:$D$22="",Besatzung!$B$6,Besatzung!$D$11:$D$22)&gt;=B124)),1)),IF(I124="An Bord",(((Besatzung!$B$11&lt;&gt;"")*IF(B124="",1,(IF(Besatzung!$C$11="",Besatzung!$B$5,Besatzung!$C$11)&lt;=B124)*(IF(Besatzung!$D$11="",Besatzung!$B$6,Besatzung!$D$11)&gt;=B124)))*((G124-IFERROR(H124,0))/IFERROR(SUMPRODUCT((Besatzung!$B$11:$B$22&lt;&gt;"")*(IF(Besatzung!$C$11:$C$22="",Besatzung!$B$5,Besatzung!$C$11:$C$22)&lt;=B124)*(IF(Besatzung!$D$11:$D$22="",Besatzung!$B$6,Besatzung!$D$11:$D$22)&gt;=B124)),1)+(Besatzung!$F$11="x")*IFERROR(H124,0)/IFERROR(SUMPRODUCT((Besatzung!$B$11:$B$22&lt;&gt;"")*(Besatzung!$F$11:$F$22="x")*(IF(Besatzung!$C$11:$C$22="",Besatzung!$B$5,Besatzung!$C$11:$C$22)&lt;=B124)*(IF(Besatzung!$D$11:$D$22="",Besatzung!$B$6,Besatzung!$D$11:$D$22)&gt;=B124)),1))),IF(I124="Individuell",((J124="x")*((G124-IFERROR(H124,0))/IFERROR(COUNTIF(J124:U124,"x"),1)+(Besatzung!$F$11="x")*IFERROR(H124,0)/IFERROR(SUMPRODUCT((J124:U124="x")*(Besatzung!$F$11:$F$22="x")),1))),(IF(COUNTIF(J124:U124,"x")=0,IF(Besatzung!$B$11&lt;&gt;"",1,0),(J124="x"))*(G124-IFERROR(H124,0))/IFERROR(IF(COUNTIF(J124:U124,"x")=0,COUNTA(Besatzung!$B$11:$B$22),COUNTIF(J124:U124,"x")),1)+IF(COUNTIF(J124:U124,"x")=0,(Besatzung!$F$11="x"),(J124="x")*(Besatzung!$F$11="x"))*IFERROR(H124,0)/IFERROR(IF(COUNTIF(J124:U124,"x")=0,SUMPRODUCT((Besatzung!$B$11:$B$22&lt;&gt;"")*(Besatzung!$F$11:$F$22="x")),SUMPRODUCT((J124:U124="x")*(Besatzung!$F$11:$F$22="x"))),1))))),0))))</f>
        <v/>
      </c>
      <c r="W124" s="247">
        <f>IF(C124="Gutschrift","",IF(G124="","",IF(Besatzung!$B$12="","",IFERROR(IF(I124="Zeitanteilig",(Besatzung!$G$12*(G124-IFERROR(H124,0))+((Besatzung!$B$12&lt;&gt;"")*IF(B124="",1,(IF(Besatzung!$C$12="",Besatzung!$B$5,Besatzung!$C$12)&lt;=B124)*(IF(Besatzung!$D$12="",Besatzung!$B$6,Besatzung!$D$12)&gt;=B124)))*(Besatzung!$F$12="x")*IFERROR(H124,0)/IFERROR(SUMPRODUCT((Besatzung!$B$11:$B$22&lt;&gt;"")*(Besatzung!$F$11:$F$22="x")*(IF(Besatzung!$C$11:$C$22="",Besatzung!$B$5,Besatzung!$C$11:$C$22)&lt;=B124)*(IF(Besatzung!$D$11:$D$22="",Besatzung!$B$6,Besatzung!$D$11:$D$22)&gt;=B124)),1)),IF(I124="An Bord",(((Besatzung!$B$12&lt;&gt;"")*IF(B124="",1,(IF(Besatzung!$C$12="",Besatzung!$B$5,Besatzung!$C$12)&lt;=B124)*(IF(Besatzung!$D$12="",Besatzung!$B$6,Besatzung!$D$12)&gt;=B124)))*((G124-IFERROR(H124,0))/IFERROR(SUMPRODUCT((Besatzung!$B$11:$B$22&lt;&gt;"")*(IF(Besatzung!$C$11:$C$22="",Besatzung!$B$5,Besatzung!$C$11:$C$22)&lt;=B124)*(IF(Besatzung!$D$11:$D$22="",Besatzung!$B$6,Besatzung!$D$11:$D$22)&gt;=B124)),1)+(Besatzung!$F$12="x")*IFERROR(H124,0)/IFERROR(SUMPRODUCT((Besatzung!$B$11:$B$22&lt;&gt;"")*(Besatzung!$F$11:$F$22="x")*(IF(Besatzung!$C$11:$C$22="",Besatzung!$B$5,Besatzung!$C$11:$C$22)&lt;=B124)*(IF(Besatzung!$D$11:$D$22="",Besatzung!$B$6,Besatzung!$D$11:$D$22)&gt;=B124)),1))),IF(I124="Individuell",((K124="x")*((G124-IFERROR(H124,0))/IFERROR(COUNTIF(J124:U124,"x"),1)+(Besatzung!$F$12="x")*IFERROR(H124,0)/IFERROR(SUMPRODUCT((J124:U124="x")*(Besatzung!$F$11:$F$22="x")),1))),(IF(COUNTIF(J124:U124,"x")=0,IF(Besatzung!$B$12&lt;&gt;"",1,0),(K124="x"))*(G124-IFERROR(H124,0))/IFERROR(IF(COUNTIF(J124:U124,"x")=0,COUNTA(Besatzung!$B$11:$B$22),COUNTIF(J124:U124,"x")),1)+IF(COUNTIF(J124:U124,"x")=0,(Besatzung!$F$12="x"),(K124="x")*(Besatzung!$F$12="x"))*IFERROR(H124,0)/IFERROR(IF(COUNTIF(J124:U124,"x")=0,SUMPRODUCT((Besatzung!$B$11:$B$22&lt;&gt;"")*(Besatzung!$F$11:$F$22="x")),SUMPRODUCT((J124:U124="x")*(Besatzung!$F$11:$F$22="x"))),1))))),0))))</f>
        <v/>
      </c>
      <c r="X124" s="247">
        <f>IF(C124="Gutschrift","",IF(G124="","",IF(Besatzung!$B$13="","",IFERROR(IF(I124="Zeitanteilig",(Besatzung!$G$13*(G124-IFERROR(H124,0))+((Besatzung!$B$13&lt;&gt;"")*IF(B124="",1,(IF(Besatzung!$C$13="",Besatzung!$B$5,Besatzung!$C$13)&lt;=B124)*(IF(Besatzung!$D$13="",Besatzung!$B$6,Besatzung!$D$13)&gt;=B124)))*(Besatzung!$F$13="x")*IFERROR(H124,0)/IFERROR(SUMPRODUCT((Besatzung!$B$11:$B$22&lt;&gt;"")*(Besatzung!$F$11:$F$22="x")*(IF(Besatzung!$C$11:$C$22="",Besatzung!$B$5,Besatzung!$C$11:$C$22)&lt;=B124)*(IF(Besatzung!$D$11:$D$22="",Besatzung!$B$6,Besatzung!$D$11:$D$22)&gt;=B124)),1)),IF(I124="An Bord",(((Besatzung!$B$13&lt;&gt;"")*IF(B124="",1,(IF(Besatzung!$C$13="",Besatzung!$B$5,Besatzung!$C$13)&lt;=B124)*(IF(Besatzung!$D$13="",Besatzung!$B$6,Besatzung!$D$13)&gt;=B124)))*((G124-IFERROR(H124,0))/IFERROR(SUMPRODUCT((Besatzung!$B$11:$B$22&lt;&gt;"")*(IF(Besatzung!$C$11:$C$22="",Besatzung!$B$5,Besatzung!$C$11:$C$22)&lt;=B124)*(IF(Besatzung!$D$11:$D$22="",Besatzung!$B$6,Besatzung!$D$11:$D$22)&gt;=B124)),1)+(Besatzung!$F$13="x")*IFERROR(H124,0)/IFERROR(SUMPRODUCT((Besatzung!$B$11:$B$22&lt;&gt;"")*(Besatzung!$F$11:$F$22="x")*(IF(Besatzung!$C$11:$C$22="",Besatzung!$B$5,Besatzung!$C$11:$C$22)&lt;=B124)*(IF(Besatzung!$D$11:$D$22="",Besatzung!$B$6,Besatzung!$D$11:$D$22)&gt;=B124)),1))),IF(I124="Individuell",((K124="x")*((G124-IFERROR(H124,0))/IFERROR(COUNTIF(J124:U124,"x"),1)+(Besatzung!$F$13="x")*IFERROR(H124,0)/IFERROR(SUMPRODUCT((J124:U124="x")*(Besatzung!$F$11:$F$22="x")),1))),(IF(COUNTIF(J124:U124,"x")=0,IF(Besatzung!$B$13&lt;&gt;"",1,0),(K124="x"))*(G124-IFERROR(H124,0))/IFERROR(IF(COUNTIF(J124:U124,"x")=0,COUNTA(Besatzung!$B$11:$B$22),COUNTIF(J124:U124,"x")),1)+IF(COUNTIF(J124:U124,"x")=0,(Besatzung!$F$13="x"),(K124="x")*(Besatzung!$F$13="x"))*IFERROR(H124,0)/IFERROR(IF(COUNTIF(J124:U124,"x")=0,SUMPRODUCT((Besatzung!$B$11:$B$22&lt;&gt;"")*(Besatzung!$F$11:$F$22="x")),SUMPRODUCT((J124:U124="x")*(Besatzung!$F$11:$F$22="x"))),1))))),0))))</f>
        <v/>
      </c>
      <c r="Y124" s="247">
        <f>IF(C124="Gutschrift","",IF(G124="","",IF(Besatzung!$B$14="","",IFERROR(IF(I124="Zeitanteilig",(Besatzung!$G$14*(G124-IFERROR(H124,0))+((Besatzung!$B$14&lt;&gt;"")*IF(B124="",1,(IF(Besatzung!$C$14="",Besatzung!$B$5,Besatzung!$C$14)&lt;=B124)*(IF(Besatzung!$D$14="",Besatzung!$B$6,Besatzung!$D$14)&gt;=B124)))*(Besatzung!$F$14="x")*IFERROR(H124,0)/IFERROR(SUMPRODUCT((Besatzung!$B$11:$B$22&lt;&gt;"")*(Besatzung!$F$11:$F$22="x")*(IF(Besatzung!$C$11:$C$22="",Besatzung!$B$5,Besatzung!$C$11:$C$22)&lt;=B124)*(IF(Besatzung!$D$11:$D$22="",Besatzung!$B$6,Besatzung!$D$11:$D$22)&gt;=B124)),1)),IF(I124="An Bord",(((Besatzung!$B$14&lt;&gt;"")*IF(B124="",1,(IF(Besatzung!$C$14="",Besatzung!$B$5,Besatzung!$C$14)&lt;=B124)*(IF(Besatzung!$D$14="",Besatzung!$B$6,Besatzung!$D$14)&gt;=B124)))*((G124-IFERROR(H124,0))/IFERROR(SUMPRODUCT((Besatzung!$B$11:$B$22&lt;&gt;"")*(IF(Besatzung!$C$11:$C$22="",Besatzung!$B$5,Besatzung!$C$11:$C$22)&lt;=B124)*(IF(Besatzung!$D$11:$D$22="",Besatzung!$B$6,Besatzung!$D$11:$D$22)&gt;=B124)),1)+(Besatzung!$F$14="x")*IFERROR(H124,0)/IFERROR(SUMPRODUCT((Besatzung!$B$11:$B$22&lt;&gt;"")*(Besatzung!$F$11:$F$22="x")*(IF(Besatzung!$C$11:$C$22="",Besatzung!$B$5,Besatzung!$C$11:$C$22)&lt;=B124)*(IF(Besatzung!$D$11:$D$22="",Besatzung!$B$6,Besatzung!$D$11:$D$22)&gt;=B124)),1))),IF(I124="Individuell",((M124="x")*((G124-IFERROR(H124,0))/IFERROR(COUNTIF(J124:U124,"x"),1)+(Besatzung!$F$14="x")*IFERROR(H124,0)/IFERROR(SUMPRODUCT((J124:U124="x")*(Besatzung!$F$11:$F$22="x")),1))),(IF(COUNTIF(J124:U124,"x")=0,IF(Besatzung!$B$14&lt;&gt;"",1,0),(M124="x"))*(G124-IFERROR(H124,0))/IFERROR(IF(COUNTIF(J124:U124,"x")=0,COUNTA(Besatzung!$B$11:$B$22),COUNTIF(J124:U124,"x")),1)+IF(COUNTIF(J124:U124,"x")=0,(Besatzung!$F$14="x"),(M124="x")*(Besatzung!$F$14="x"))*IFERROR(H124,0)/IFERROR(IF(COUNTIF(J124:U124,"x")=0,SUMPRODUCT((Besatzung!$B$11:$B$22&lt;&gt;"")*(Besatzung!$F$11:$F$22="x")),SUMPRODUCT((J124:U124="x")*(Besatzung!$F$11:$F$22="x"))),1))))),0))))</f>
        <v/>
      </c>
      <c r="Z124" s="247">
        <f>IF(C124="Gutschrift","",IF(G124="","",IF(Besatzung!$B$13="","",IFERROR(IF(I124="Zeitanteilig",(Besatzung!$G$15*(G124-IFERROR(H124,0))+((Besatzung!$B$13&lt;&gt;"")*IF(B124="",1,(IF(Besatzung!$C$15="",Besatzung!$B$5,Besatzung!$C$15)&lt;=B124)*(IF(Besatzung!$D$15="",Besatzung!$B$6,Besatzung!$D$15)&gt;=B124)))*(Besatzung!$F$15="x")*IFERROR(H124,0)/IFERROR(SUMPRODUCT((Besatzung!$B$11:$B$22&lt;&gt;"")*(Besatzung!$F$11:$F$22="x")*(IF(Besatzung!$C$11:$C$22="",Besatzung!$B$5,Besatzung!$C$11:$C$22)&lt;=B124)*(IF(Besatzung!$D$11:$D$22="",Besatzung!$B$6,Besatzung!$D$11:$D$22)&gt;=B124)),1)),IF(I124="An Bord",(((Besatzung!$B$13&lt;&gt;"")*IF(B124="",1,(IF(Besatzung!$C$15="",Besatzung!$B$5,Besatzung!$C$15)&lt;=B124)*(IF(Besatzung!$D$15="",Besatzung!$B$6,Besatzung!$D$15)&gt;=B124)))*((G124-IFERROR(H124,0))/IFERROR(SUMPRODUCT((Besatzung!$B$11:$B$22&lt;&gt;"")*(IF(Besatzung!$C$11:$C$22="",Besatzung!$B$5,Besatzung!$C$11:$C$22)&lt;=B124)*(IF(Besatzung!$D$11:$D$22="",Besatzung!$B$6,Besatzung!$D$11:$D$22)&gt;=B124)),1)+(Besatzung!$F$15="x")*IFERROR(H124,0)/IFERROR(SUMPRODUCT((Besatzung!$B$11:$B$22&lt;&gt;"")*(Besatzung!$F$11:$F$22="x")*(IF(Besatzung!$C$11:$C$22="",Besatzung!$B$5,Besatzung!$C$11:$C$22)&lt;=B124)*(IF(Besatzung!$D$11:$D$22="",Besatzung!$B$6,Besatzung!$D$11:$D$22)&gt;=B124)),1))),IF(I124="Individuell",((N124="x")*((G124-IFERROR(H124,0))/IFERROR(COUNTIF(J124:U124,"x"),1)+(Besatzung!$F$15="x")*IFERROR(H124,0)/IFERROR(SUMPRODUCT((J124:U124="x")*(Besatzung!$F$11:$F$22="x")),1))),(IF(COUNTIF(J124:U124,"x")=0,IF(Besatzung!$B$13&lt;&gt;"",1,0),(N124="x"))*(G124-IFERROR(H124,0))/IFERROR(IF(COUNTIF(J124:U124,"x")=0,COUNTA(Besatzung!$B$11:$B$22),COUNTIF(J124:U124,"x")),1)+IF(COUNTIF(J124:U124,"x")=0,(Besatzung!$F$15="x"),(N124="x")*(Besatzung!$F$15="x"))*IFERROR(H124,0)/IFERROR(IF(COUNTIF(J124:U124,"x")=0,SUMPRODUCT((Besatzung!$B$11:$B$22&lt;&gt;"")*(Besatzung!$F$11:$F$22="x")),SUMPRODUCT((J124:U124="x")*(Besatzung!$F$11:$F$22="x"))),1))))),0))))</f>
        <v/>
      </c>
      <c r="AA124" s="247">
        <f>IF(C124="Gutschrift","",IF(G124="","",IF(Besatzung!$B$15="","",IFERROR(IF(I124="Zeitanteilig",(Besatzung!$G$16*(G124-IFERROR(H124,0))+((Besatzung!$B$15&lt;&gt;"")*IF(B124="",1,(IF(Besatzung!$C$16="",Besatzung!$B$5,Besatzung!$C$16)&lt;=B124)*(IF(Besatzung!$D$16="",Besatzung!$B$6,Besatzung!$D$16)&gt;=B124)))*(Besatzung!$F$16="x")*IFERROR(H124,0)/IFERROR(SUMPRODUCT((Besatzung!$B$11:$B$22&lt;&gt;"")*(Besatzung!$F$11:$F$22="x")*(IF(Besatzung!$C$11:$C$22="",Besatzung!$B$5,Besatzung!$C$11:$C$22)&lt;=B124)*(IF(Besatzung!$D$11:$D$22="",Besatzung!$B$6,Besatzung!$D$11:$D$22)&gt;=B124)),1)),IF(I124="An Bord",(((Besatzung!$B$15&lt;&gt;"")*IF(B124="",1,(IF(Besatzung!$C$16="",Besatzung!$B$5,Besatzung!$C$16)&lt;=B124)*(IF(Besatzung!$D$16="",Besatzung!$B$6,Besatzung!$D$16)&gt;=B124)))*((G124-IFERROR(H124,0))/IFERROR(SUMPRODUCT((Besatzung!$B$11:$B$22&lt;&gt;"")*(IF(Besatzung!$C$11:$C$22="",Besatzung!$B$5,Besatzung!$C$11:$C$22)&lt;=B124)*(IF(Besatzung!$D$11:$D$22="",Besatzung!$B$6,Besatzung!$D$11:$D$22)&gt;=B124)),1)+(Besatzung!$F$16="x")*IFERROR(H124,0)/IFERROR(SUMPRODUCT((Besatzung!$B$11:$B$22&lt;&gt;"")*(Besatzung!$F$11:$F$22="x")*(IF(Besatzung!$C$11:$C$22="",Besatzung!$B$5,Besatzung!$C$11:$C$22)&lt;=B124)*(IF(Besatzung!$D$11:$D$22="",Besatzung!$B$6,Besatzung!$D$11:$D$22)&gt;=B124)),1))),IF(I124="Individuell",((O124="x")*((G124-IFERROR(H124,0))/IFERROR(COUNTIF(J124:U124,"x"),1)+(Besatzung!$F$16="x")*IFERROR(H124,0)/IFERROR(SUMPRODUCT((J124:U124="x")*(Besatzung!$F$11:$F$22="x")),1))),(IF(COUNTIF(J124:U124,"x")=0,IF(Besatzung!$B$15&lt;&gt;"",1,0),(O124="x"))*(G124-IFERROR(H124,0))/IFERROR(IF(COUNTIF(J124:U124,"x")=0,COUNTA(Besatzung!$B$11:$B$22),COUNTIF(J124:U124,"x")),1)+IF(COUNTIF(J124:U124,"x")=0,(Besatzung!$F$16="x"),(O124="x")*(Besatzung!$F$16="x"))*IFERROR(H124,0)/IFERROR(IF(COUNTIF(J124:U124,"x")=0,SUMPRODUCT((Besatzung!$B$11:$B$22&lt;&gt;"")*(Besatzung!$F$11:$F$22="x")),SUMPRODUCT((J124:U124="x")*(Besatzung!$F$11:$F$22="x"))),1))))),0))))</f>
        <v/>
      </c>
      <c r="AB124" s="247">
        <f>IF(C124="Gutschrift","",IF(G124="","",IF(Besatzung!$B$17="","",IFERROR(IF(I124="Zeitanteilig",(Besatzung!$G$17*(G124-IFERROR(H124,0))+((Besatzung!$B$17&lt;&gt;"")*IF(B124="",1,(IF(Besatzung!$C$17="",Besatzung!$B$5,Besatzung!$C$17)&lt;=B124)*(IF(Besatzung!$D$17="",Besatzung!$B$6,Besatzung!$D$17)&gt;=B124)))*(Besatzung!$F$17="x")*IFERROR(H124,0)/IFERROR(SUMPRODUCT((Besatzung!$B$11:$B$22&lt;&gt;"")*(Besatzung!$F$11:$F$22="x")*(IF(Besatzung!$C$11:$C$22="",Besatzung!$B$5,Besatzung!$C$11:$C$22)&lt;=B124)*(IF(Besatzung!$D$11:$D$22="",Besatzung!$B$6,Besatzung!$D$11:$D$22)&gt;=B124)),1)),IF(I124="An Bord",(((Besatzung!$B$17&lt;&gt;"")*IF(B124="",1,(IF(Besatzung!$C$17="",Besatzung!$B$5,Besatzung!$C$17)&lt;=B124)*(IF(Besatzung!$D$17="",Besatzung!$B$6,Besatzung!$D$17)&gt;=B124)))*((G124-IFERROR(H124,0))/IFERROR(SUMPRODUCT((Besatzung!$B$11:$B$22&lt;&gt;"")*(IF(Besatzung!$C$11:$C$22="",Besatzung!$B$5,Besatzung!$C$11:$C$22)&lt;=B124)*(IF(Besatzung!$D$11:$D$22="",Besatzung!$B$6,Besatzung!$D$11:$D$22)&gt;=B124)),1)+(Besatzung!$F$17="x")*IFERROR(H124,0)/IFERROR(SUMPRODUCT((Besatzung!$B$11:$B$22&lt;&gt;"")*(Besatzung!$F$11:$F$22="x")*(IF(Besatzung!$C$11:$C$22="",Besatzung!$B$5,Besatzung!$C$11:$C$22)&lt;=B124)*(IF(Besatzung!$D$11:$D$22="",Besatzung!$B$6,Besatzung!$D$11:$D$22)&gt;=B124)),1))),IF(I124="Individuell",((P124="x")*((G124-IFERROR(H124,0))/IFERROR(COUNTIF(J124:U124,"x"),1)+(Besatzung!$F$17="x")*IFERROR(H124,0)/IFERROR(SUMPRODUCT((J124:U124="x")*(Besatzung!$F$11:$F$22="x")),1))),(IF(COUNTIF(J124:U124,"x")=0,IF(Besatzung!$B$17&lt;&gt;"",1,0),(P124="x"))*(G124-IFERROR(H124,0))/IFERROR(IF(COUNTIF(J124:U124,"x")=0,COUNTA(Besatzung!$B$11:$B$22),COUNTIF(J124:U124,"x")),1)+IF(COUNTIF(J124:U124,"x")=0,(Besatzung!$F$17="x"),(P124="x")*(Besatzung!$F$17="x"))*IFERROR(H124,0)/IFERROR(IF(COUNTIF(J124:U124,"x")=0,SUMPRODUCT((Besatzung!$B$11:$B$22&lt;&gt;"")*(Besatzung!$F$11:$F$22="x")),SUMPRODUCT((J124:U124="x")*(Besatzung!$F$11:$F$22="x"))),1))))),0))))</f>
        <v/>
      </c>
      <c r="AC124" s="247">
        <f>IF(C124="Gutschrift","",IF(G124="","",IF(Besatzung!$B$18="","",IFERROR(IF(I124="Zeitanteilig",(Besatzung!$G$18*(G124-IFERROR(H124,0))+((Besatzung!$B$18&lt;&gt;"")*IF(B124="",1,(IF(Besatzung!$C$18="",Besatzung!$B$5,Besatzung!$C$18)&lt;=B124)*(IF(Besatzung!$D$18="",Besatzung!$B$6,Besatzung!$D$18)&gt;=B124)))*(Besatzung!$F$18="x")*IFERROR(H124,0)/IFERROR(SUMPRODUCT((Besatzung!$B$11:$B$22&lt;&gt;"")*(Besatzung!$F$11:$F$22="x")*(IF(Besatzung!$C$11:$C$22="",Besatzung!$B$5,Besatzung!$C$11:$C$22)&lt;=B124)*(IF(Besatzung!$D$11:$D$22="",Besatzung!$B$6,Besatzung!$D$11:$D$22)&gt;=B124)),1)),IF(I124="An Bord",(((Besatzung!$B$18&lt;&gt;"")*IF(B124="",1,(IF(Besatzung!$C$18="",Besatzung!$B$5,Besatzung!$C$18)&lt;=B124)*(IF(Besatzung!$D$18="",Besatzung!$B$6,Besatzung!$D$18)&gt;=B124)))*((G124-IFERROR(H124,0))/IFERROR(SUMPRODUCT((Besatzung!$B$11:$B$22&lt;&gt;"")*(IF(Besatzung!$C$11:$C$22="",Besatzung!$B$5,Besatzung!$C$11:$C$22)&lt;=B124)*(IF(Besatzung!$D$11:$D$22="",Besatzung!$B$6,Besatzung!$D$11:$D$22)&gt;=B124)),1)+(Besatzung!$F$18="x")*IFERROR(H124,0)/IFERROR(SUMPRODUCT((Besatzung!$B$11:$B$22&lt;&gt;"")*(Besatzung!$F$11:$F$22="x")*(IF(Besatzung!$C$11:$C$22="",Besatzung!$B$5,Besatzung!$C$11:$C$22)&lt;=B124)*(IF(Besatzung!$D$11:$D$22="",Besatzung!$B$6,Besatzung!$D$11:$D$22)&gt;=B124)),1))),IF(I124="Individuell",((Q124="x")*((G124-IFERROR(H124,0))/IFERROR(COUNTIF(J124:U124,"x"),1)+(Besatzung!$F$18="x")*IFERROR(H124,0)/IFERROR(SUMPRODUCT((J124:U124="x")*(Besatzung!$F$11:$F$22="x")),1))),(IF(COUNTIF(J124:U124,"x")=0,IF(Besatzung!$B$18&lt;&gt;"",1,0),(Q124="x"))*(G124-IFERROR(H124,0))/IFERROR(IF(COUNTIF(J124:U124,"x")=0,COUNTA(Besatzung!$B$11:$B$22),COUNTIF(J124:U124,"x")),1)+IF(COUNTIF(J124:U124,"x")=0,(Besatzung!$F$18="x"),(Q124="x")*(Besatzung!$F$18="x"))*IFERROR(H124,0)/IFERROR(IF(COUNTIF(J124:U124,"x")=0,SUMPRODUCT((Besatzung!$B$11:$B$22&lt;&gt;"")*(Besatzung!$F$11:$F$22="x")),SUMPRODUCT((J124:U124="x")*(Besatzung!$F$11:$F$22="x"))),1))))),0))))</f>
        <v/>
      </c>
      <c r="AD124" s="247">
        <f>IF(C124="Gutschrift","",IF(G124="","",IF(Besatzung!$B$19="","",IFERROR(IF(I124="Zeitanteilig",(Besatzung!$G$19*(G124-IFERROR(H124,0))+((Besatzung!$B$19&lt;&gt;"")*IF(B124="",1,(IF(Besatzung!$C$19="",Besatzung!$B$5,Besatzung!$C$19)&lt;=B124)*(IF(Besatzung!$D$19="",Besatzung!$B$6,Besatzung!$D$19)&gt;=B124)))*(Besatzung!$F$19="x")*IFERROR(H124,0)/IFERROR(SUMPRODUCT((Besatzung!$B$11:$B$22&lt;&gt;"")*(Besatzung!$F$11:$F$22="x")*(IF(Besatzung!$C$11:$C$22="",Besatzung!$B$5,Besatzung!$C$11:$C$22)&lt;=B124)*(IF(Besatzung!$D$11:$D$22="",Besatzung!$B$6,Besatzung!$D$11:$D$22)&gt;=B124)),1)),IF(I124="An Bord",(((Besatzung!$B$19&lt;&gt;"")*IF(B124="",1,(IF(Besatzung!$C$19="",Besatzung!$B$5,Besatzung!$C$19)&lt;=B124)*(IF(Besatzung!$D$19="",Besatzung!$B$6,Besatzung!$D$19)&gt;=B124)))*((G124-IFERROR(H124,0))/IFERROR(SUMPRODUCT((Besatzung!$B$11:$B$22&lt;&gt;"")*(IF(Besatzung!$C$11:$C$22="",Besatzung!$B$5,Besatzung!$C$11:$C$22)&lt;=B124)*(IF(Besatzung!$D$11:$D$22="",Besatzung!$B$6,Besatzung!$D$11:$D$22)&gt;=B124)),1)+(Besatzung!$F$19="x")*IFERROR(H124,0)/IFERROR(SUMPRODUCT((Besatzung!$B$11:$B$22&lt;&gt;"")*(Besatzung!$F$11:$F$22="x")*(IF(Besatzung!$C$11:$C$22="",Besatzung!$B$5,Besatzung!$C$11:$C$22)&lt;=B124)*(IF(Besatzung!$D$11:$D$22="",Besatzung!$B$6,Besatzung!$D$11:$D$22)&gt;=B124)),1))),IF(I124="Individuell",((R124="x")*((G124-IFERROR(H124,0))/IFERROR(COUNTIF(J124:U124,"x"),1)+(Besatzung!$F$19="x")*IFERROR(H124,0)/IFERROR(SUMPRODUCT((J124:U124="x")*(Besatzung!$F$11:$F$22="x")),1))),(IF(COUNTIF(J124:U124,"x")=0,IF(Besatzung!$B$19&lt;&gt;"",1,0),(R124="x"))*(G124-IFERROR(H124,0))/IFERROR(IF(COUNTIF(J124:U124,"x")=0,COUNTA(Besatzung!$B$11:$B$22),COUNTIF(J124:U124,"x")),1)+IF(COUNTIF(J124:U124,"x")=0,(Besatzung!$F$19="x"),(R124="x")*(Besatzung!$F$19="x"))*IFERROR(H124,0)/IFERROR(IF(COUNTIF(J124:U124,"x")=0,SUMPRODUCT((Besatzung!$B$11:$B$22&lt;&gt;"")*(Besatzung!$F$11:$F$22="x")),SUMPRODUCT((J124:U124="x")*(Besatzung!$F$11:$F$22="x"))),1))))),0))))</f>
        <v/>
      </c>
      <c r="AE124" s="247">
        <f>IF(C124="Gutschrift","",IF(G124="","",IF(Besatzung!$B$20="","",IFERROR(IF(I124="Zeitanteilig",(Besatzung!$G$20*(G124-IFERROR(H124,0))+((Besatzung!$B$20&lt;&gt;"")*IF(B124="",1,(IF(Besatzung!$C$20="",Besatzung!$B$5,Besatzung!$C$20)&lt;=B124)*(IF(Besatzung!$D$20="",Besatzung!$B$6,Besatzung!$D$20)&gt;=B124)))*(Besatzung!$F$20="x")*IFERROR(H124,0)/IFERROR(SUMPRODUCT((Besatzung!$B$11:$B$22&lt;&gt;"")*(Besatzung!$F$11:$F$22="x")*(IF(Besatzung!$C$11:$C$22="",Besatzung!$B$5,Besatzung!$C$11:$C$22)&lt;=B124)*(IF(Besatzung!$D$11:$D$22="",Besatzung!$B$6,Besatzung!$D$11:$D$22)&gt;=B124)),1)),IF(I124="An Bord",(((Besatzung!$B$20&lt;&gt;"")*IF(B124="",1,(IF(Besatzung!$C$20="",Besatzung!$B$5,Besatzung!$C$20)&lt;=B124)*(IF(Besatzung!$D$20="",Besatzung!$B$6,Besatzung!$D$20)&gt;=B124)))*((G124-IFERROR(H124,0))/IFERROR(SUMPRODUCT((Besatzung!$B$11:$B$22&lt;&gt;"")*(IF(Besatzung!$C$11:$C$22="",Besatzung!$B$5,Besatzung!$C$11:$C$22)&lt;=B124)*(IF(Besatzung!$D$11:$D$22="",Besatzung!$B$6,Besatzung!$D$11:$D$22)&gt;=B124)),1)+(Besatzung!$F$20="x")*IFERROR(H124,0)/IFERROR(SUMPRODUCT((Besatzung!$B$11:$B$22&lt;&gt;"")*(Besatzung!$F$11:$F$22="x")*(IF(Besatzung!$C$11:$C$22="",Besatzung!$B$5,Besatzung!$C$11:$C$22)&lt;=B124)*(IF(Besatzung!$D$11:$D$22="",Besatzung!$B$6,Besatzung!$D$11:$D$22)&gt;=B124)),1))),IF(I124="Individuell",((S124="x")*((G124-IFERROR(H124,0))/IFERROR(COUNTIF(J124:U124,"x"),1)+(Besatzung!$F$20="x")*IFERROR(H124,0)/IFERROR(SUMPRODUCT((J124:U124="x")*(Besatzung!$F$11:$F$22="x")),1))),(IF(COUNTIF(J124:U124,"x")=0,IF(Besatzung!$B$20&lt;&gt;"",1,0),(S124="x"))*(G124-IFERROR(H124,0))/IFERROR(IF(COUNTIF(J124:U124,"x")=0,COUNTA(Besatzung!$B$11:$B$22),COUNTIF(J124:U124,"x")),1)+IF(COUNTIF(J124:U124,"x")=0,(Besatzung!$F$20="x"),(S124="x")*(Besatzung!$F$20="x"))*IFERROR(H124,0)/IFERROR(IF(COUNTIF(J124:U124,"x")=0,SUMPRODUCT((Besatzung!$B$11:$B$22&lt;&gt;"")*(Besatzung!$F$11:$F$22="x")),SUMPRODUCT((J124:U124="x")*(Besatzung!$F$11:$F$22="x"))),1))))),0))))</f>
        <v/>
      </c>
      <c r="AF124" s="247">
        <f>IF(C124="Gutschrift","",IF(G124="","",IF(Besatzung!$B$21="","",IFERROR(IF(I124="Zeitanteilig",(Besatzung!$G$21*(G124-IFERROR(H124,0))+((Besatzung!$B$21&lt;&gt;"")*IF(B124="",1,(IF(Besatzung!$C$21="",Besatzung!$B$5,Besatzung!$C$21)&lt;=B124)*(IF(Besatzung!$D$21="",Besatzung!$B$6,Besatzung!$D$21)&gt;=B124)))*(Besatzung!$F$21="x")*IFERROR(H124,0)/IFERROR(SUMPRODUCT((Besatzung!$B$11:$B$22&lt;&gt;"")*(Besatzung!$F$11:$F$22="x")*(IF(Besatzung!$C$11:$C$22="",Besatzung!$B$5,Besatzung!$C$11:$C$22)&lt;=B124)*(IF(Besatzung!$D$11:$D$22="",Besatzung!$B$6,Besatzung!$D$11:$D$22)&gt;=B124)),1)),IF(I124="An Bord",(((Besatzung!$B$21&lt;&gt;"")*IF(B124="",1,(IF(Besatzung!$C$21="",Besatzung!$B$5,Besatzung!$C$21)&lt;=B124)*(IF(Besatzung!$D$21="",Besatzung!$B$6,Besatzung!$D$21)&gt;=B124)))*((G124-IFERROR(H124,0))/IFERROR(SUMPRODUCT((Besatzung!$B$11:$B$22&lt;&gt;"")*(IF(Besatzung!$C$11:$C$22="",Besatzung!$B$5,Besatzung!$C$11:$C$22)&lt;=B124)*(IF(Besatzung!$D$11:$D$22="",Besatzung!$B$6,Besatzung!$D$11:$D$22)&gt;=B124)),1)+(Besatzung!$F$21="x")*IFERROR(H124,0)/IFERROR(SUMPRODUCT((Besatzung!$B$11:$B$22&lt;&gt;"")*(Besatzung!$F$11:$F$22="x")*(IF(Besatzung!$C$11:$C$22="",Besatzung!$B$5,Besatzung!$C$11:$C$22)&lt;=B124)*(IF(Besatzung!$D$11:$D$22="",Besatzung!$B$6,Besatzung!$D$11:$D$22)&gt;=B124)),1))),IF(I124="Individuell",((T124="x")*((G124-IFERROR(H124,0))/IFERROR(COUNTIF(J124:U124,"x"),1)+(Besatzung!$F$21="x")*IFERROR(H124,0)/IFERROR(SUMPRODUCT((J124:U124="x")*(Besatzung!$F$11:$F$22="x")),1))),(IF(COUNTIF(J124:U124,"x")=0,IF(Besatzung!$B$21&lt;&gt;"",1,0),(T124="x"))*(G124-IFERROR(H124,0))/IFERROR(IF(COUNTIF(J124:U124,"x")=0,COUNTA(Besatzung!$B$11:$B$22),COUNTIF(J124:U124,"x")),1)+IF(COUNTIF(J124:U124,"x")=0,(Besatzung!$F$21="x"),(T124="x")*(Besatzung!$F$21="x"))*IFERROR(H124,0)/IFERROR(IF(COUNTIF(J124:U124,"x")=0,SUMPRODUCT((Besatzung!$B$11:$B$22&lt;&gt;"")*(Besatzung!$F$11:$F$22="x")),SUMPRODUCT((J124:U124="x")*(Besatzung!$F$11:$F$22="x"))),1))))),0))))</f>
        <v/>
      </c>
      <c r="AG124" s="247">
        <f>IF(C124="Gutschrift","",IF(G124="","",IF(Besatzung!$B$22="","",IFERROR(IF(I124="Zeitanteilig",(Besatzung!$G$22*(G124-IFERROR(H124,0))+((Besatzung!$B$22&lt;&gt;"")*IF(B124="",1,(IF(Besatzung!$C$22="",Besatzung!$B$5,Besatzung!$C$22)&lt;=B124)*(IF(Besatzung!$D$22="",Besatzung!$B$6,Besatzung!$D$22)&gt;=B124)))*(Besatzung!$F$22="x")*IFERROR(H124,0)/IFERROR(SUMPRODUCT((Besatzung!$B$11:$B$22&lt;&gt;"")*(Besatzung!$F$11:$F$22="x")*(IF(Besatzung!$C$11:$C$22="",Besatzung!$B$5,Besatzung!$C$11:$C$22)&lt;=B124)*(IF(Besatzung!$D$11:$D$22="",Besatzung!$B$6,Besatzung!$D$11:$D$22)&gt;=B124)),1)),IF(I124="An Bord",(((Besatzung!$B$22&lt;&gt;"")*IF(B124="",1,(IF(Besatzung!$C$22="",Besatzung!$B$5,Besatzung!$C$22)&lt;=B124)*(IF(Besatzung!$D$22="",Besatzung!$B$6,Besatzung!$D$22)&gt;=B124)))*((G124-IFERROR(H124,0))/IFERROR(SUMPRODUCT((Besatzung!$B$11:$B$22&lt;&gt;"")*(IF(Besatzung!$C$11:$C$22="",Besatzung!$B$5,Besatzung!$C$11:$C$22)&lt;=B124)*(IF(Besatzung!$D$11:$D$22="",Besatzung!$B$6,Besatzung!$D$11:$D$22)&gt;=B124)),1)+(Besatzung!$F$22="x")*IFERROR(H124,0)/IFERROR(SUMPRODUCT((Besatzung!$B$11:$B$22&lt;&gt;"")*(Besatzung!$F$11:$F$22="x")*(IF(Besatzung!$C$11:$C$22="",Besatzung!$B$5,Besatzung!$C$11:$C$22)&lt;=B124)*(IF(Besatzung!$D$11:$D$22="",Besatzung!$B$6,Besatzung!$D$11:$D$22)&gt;=B124)),1))),IF(I124="Individuell",((U124="x")*((G124-IFERROR(H124,0))/IFERROR(COUNTIF(J124:U124,"x"),1)+(Besatzung!$F$22="x")*IFERROR(H124,0)/IFERROR(SUMPRODUCT((J124:U124="x")*(Besatzung!$F$11:$F$22="x")),1))),(IF(COUNTIF(J124:U124,"x")=0,IF(Besatzung!$B$22&lt;&gt;"",1,0),(U124="x"))*(G124-IFERROR(H124,0))/IFERROR(IF(COUNTIF(J124:U124,"x")=0,COUNTA(Besatzung!$B$11:$B$22),COUNTIF(J124:U124,"x")),1)+IF(COUNTIF(J124:U124,"x")=0,(Besatzung!$F$22="x"),(U124="x")*(Besatzung!$F$22="x"))*IFERROR(H124,0)/IFERROR(IF(COUNTIF(J124:U124,"x")=0,SUMPRODUCT((Besatzung!$B$11:$B$22&lt;&gt;"")*(Besatzung!$F$11:$F$22="x")),SUMPRODUCT((J124:U124="x")*(Besatzung!$F$11:$F$22="x"))),1))))),0))))</f>
        <v/>
      </c>
      <c r="AH124" s="248" t="n"/>
      <c r="AI124" s="248" t="n"/>
    </row>
    <row r="125" ht="21.75" customHeight="1" s="154">
      <c r="A125" s="238">
        <f>IF(AND(D125="",C125=""),"",122)</f>
        <v/>
      </c>
      <c r="B125" s="206" t="n"/>
      <c r="C125" s="249" t="n"/>
      <c r="D125" s="250" t="n"/>
      <c r="E125" s="251" t="n"/>
      <c r="F125" s="252" t="n"/>
      <c r="G125" s="253" t="n"/>
      <c r="H125" s="254" t="n"/>
      <c r="I125" s="255" t="n"/>
      <c r="J125" s="256" t="n"/>
      <c r="K125" s="256" t="n"/>
      <c r="L125" s="256" t="n"/>
      <c r="M125" s="256" t="n"/>
      <c r="N125" s="256" t="n"/>
      <c r="O125" s="256" t="n"/>
      <c r="P125" s="256" t="n"/>
      <c r="Q125" s="256" t="n"/>
      <c r="R125" s="256" t="n"/>
      <c r="S125" s="256" t="n"/>
      <c r="T125" s="256" t="n"/>
      <c r="U125" s="256" t="n"/>
      <c r="V125" s="247">
        <f>IF(C125="Gutschrift","",IF(G125="","",IF(Besatzung!$B$11="","",IFERROR(IF(I125="Zeitanteilig",(Besatzung!$G$11*(G125-IFERROR(H125,0))+((Besatzung!$B$11&lt;&gt;"")*IF(B125="",1,(IF(Besatzung!$C$11="",Besatzung!$B$5,Besatzung!$C$11)&lt;=B125)*(IF(Besatzung!$D$11="",Besatzung!$B$6,Besatzung!$D$11)&gt;=B125)))*(Besatzung!$F$11="x")*IFERROR(H125,0)/IFERROR(SUMPRODUCT((Besatzung!$B$11:$B$22&lt;&gt;"")*(Besatzung!$F$11:$F$22="x")*(IF(Besatzung!$C$11:$C$22="",Besatzung!$B$5,Besatzung!$C$11:$C$22)&lt;=B125)*(IF(Besatzung!$D$11:$D$22="",Besatzung!$B$6,Besatzung!$D$11:$D$22)&gt;=B125)),1)),IF(I125="An Bord",(((Besatzung!$B$11&lt;&gt;"")*IF(B125="",1,(IF(Besatzung!$C$11="",Besatzung!$B$5,Besatzung!$C$11)&lt;=B125)*(IF(Besatzung!$D$11="",Besatzung!$B$6,Besatzung!$D$11)&gt;=B125)))*((G125-IFERROR(H125,0))/IFERROR(SUMPRODUCT((Besatzung!$B$11:$B$22&lt;&gt;"")*(IF(Besatzung!$C$11:$C$22="",Besatzung!$B$5,Besatzung!$C$11:$C$22)&lt;=B125)*(IF(Besatzung!$D$11:$D$22="",Besatzung!$B$6,Besatzung!$D$11:$D$22)&gt;=B125)),1)+(Besatzung!$F$11="x")*IFERROR(H125,0)/IFERROR(SUMPRODUCT((Besatzung!$B$11:$B$22&lt;&gt;"")*(Besatzung!$F$11:$F$22="x")*(IF(Besatzung!$C$11:$C$22="",Besatzung!$B$5,Besatzung!$C$11:$C$22)&lt;=B125)*(IF(Besatzung!$D$11:$D$22="",Besatzung!$B$6,Besatzung!$D$11:$D$22)&gt;=B125)),1))),IF(I125="Individuell",((J125="x")*((G125-IFERROR(H125,0))/IFERROR(COUNTIF(J125:U125,"x"),1)+(Besatzung!$F$11="x")*IFERROR(H125,0)/IFERROR(SUMPRODUCT((J125:U125="x")*(Besatzung!$F$11:$F$22="x")),1))),(IF(COUNTIF(J125:U125,"x")=0,IF(Besatzung!$B$11&lt;&gt;"",1,0),(J125="x"))*(G125-IFERROR(H125,0))/IFERROR(IF(COUNTIF(J125:U125,"x")=0,COUNTA(Besatzung!$B$11:$B$22),COUNTIF(J125:U125,"x")),1)+IF(COUNTIF(J125:U125,"x")=0,(Besatzung!$F$11="x"),(J125="x")*(Besatzung!$F$11="x"))*IFERROR(H125,0)/IFERROR(IF(COUNTIF(J125:U125,"x")=0,SUMPRODUCT((Besatzung!$B$11:$B$22&lt;&gt;"")*(Besatzung!$F$11:$F$22="x")),SUMPRODUCT((J125:U125="x")*(Besatzung!$F$11:$F$22="x"))),1))))),0))))</f>
        <v/>
      </c>
      <c r="W125" s="247">
        <f>IF(C125="Gutschrift","",IF(G125="","",IF(Besatzung!$B$12="","",IFERROR(IF(I125="Zeitanteilig",(Besatzung!$G$12*(G125-IFERROR(H125,0))+((Besatzung!$B$12&lt;&gt;"")*IF(B125="",1,(IF(Besatzung!$C$12="",Besatzung!$B$5,Besatzung!$C$12)&lt;=B125)*(IF(Besatzung!$D$12="",Besatzung!$B$6,Besatzung!$D$12)&gt;=B125)))*(Besatzung!$F$12="x")*IFERROR(H125,0)/IFERROR(SUMPRODUCT((Besatzung!$B$11:$B$22&lt;&gt;"")*(Besatzung!$F$11:$F$22="x")*(IF(Besatzung!$C$11:$C$22="",Besatzung!$B$5,Besatzung!$C$11:$C$22)&lt;=B125)*(IF(Besatzung!$D$11:$D$22="",Besatzung!$B$6,Besatzung!$D$11:$D$22)&gt;=B125)),1)),IF(I125="An Bord",(((Besatzung!$B$12&lt;&gt;"")*IF(B125="",1,(IF(Besatzung!$C$12="",Besatzung!$B$5,Besatzung!$C$12)&lt;=B125)*(IF(Besatzung!$D$12="",Besatzung!$B$6,Besatzung!$D$12)&gt;=B125)))*((G125-IFERROR(H125,0))/IFERROR(SUMPRODUCT((Besatzung!$B$11:$B$22&lt;&gt;"")*(IF(Besatzung!$C$11:$C$22="",Besatzung!$B$5,Besatzung!$C$11:$C$22)&lt;=B125)*(IF(Besatzung!$D$11:$D$22="",Besatzung!$B$6,Besatzung!$D$11:$D$22)&gt;=B125)),1)+(Besatzung!$F$12="x")*IFERROR(H125,0)/IFERROR(SUMPRODUCT((Besatzung!$B$11:$B$22&lt;&gt;"")*(Besatzung!$F$11:$F$22="x")*(IF(Besatzung!$C$11:$C$22="",Besatzung!$B$5,Besatzung!$C$11:$C$22)&lt;=B125)*(IF(Besatzung!$D$11:$D$22="",Besatzung!$B$6,Besatzung!$D$11:$D$22)&gt;=B125)),1))),IF(I125="Individuell",((K125="x")*((G125-IFERROR(H125,0))/IFERROR(COUNTIF(J125:U125,"x"),1)+(Besatzung!$F$12="x")*IFERROR(H125,0)/IFERROR(SUMPRODUCT((J125:U125="x")*(Besatzung!$F$11:$F$22="x")),1))),(IF(COUNTIF(J125:U125,"x")=0,IF(Besatzung!$B$12&lt;&gt;"",1,0),(K125="x"))*(G125-IFERROR(H125,0))/IFERROR(IF(COUNTIF(J125:U125,"x")=0,COUNTA(Besatzung!$B$11:$B$22),COUNTIF(J125:U125,"x")),1)+IF(COUNTIF(J125:U125,"x")=0,(Besatzung!$F$12="x"),(K125="x")*(Besatzung!$F$12="x"))*IFERROR(H125,0)/IFERROR(IF(COUNTIF(J125:U125,"x")=0,SUMPRODUCT((Besatzung!$B$11:$B$22&lt;&gt;"")*(Besatzung!$F$11:$F$22="x")),SUMPRODUCT((J125:U125="x")*(Besatzung!$F$11:$F$22="x"))),1))))),0))))</f>
        <v/>
      </c>
      <c r="X125" s="247">
        <f>IF(C125="Gutschrift","",IF(G125="","",IF(Besatzung!$B$13="","",IFERROR(IF(I125="Zeitanteilig",(Besatzung!$G$13*(G125-IFERROR(H125,0))+((Besatzung!$B$13&lt;&gt;"")*IF(B125="",1,(IF(Besatzung!$C$13="",Besatzung!$B$5,Besatzung!$C$13)&lt;=B125)*(IF(Besatzung!$D$13="",Besatzung!$B$6,Besatzung!$D$13)&gt;=B125)))*(Besatzung!$F$13="x")*IFERROR(H125,0)/IFERROR(SUMPRODUCT((Besatzung!$B$11:$B$22&lt;&gt;"")*(Besatzung!$F$11:$F$22="x")*(IF(Besatzung!$C$11:$C$22="",Besatzung!$B$5,Besatzung!$C$11:$C$22)&lt;=B125)*(IF(Besatzung!$D$11:$D$22="",Besatzung!$B$6,Besatzung!$D$11:$D$22)&gt;=B125)),1)),IF(I125="An Bord",(((Besatzung!$B$13&lt;&gt;"")*IF(B125="",1,(IF(Besatzung!$C$13="",Besatzung!$B$5,Besatzung!$C$13)&lt;=B125)*(IF(Besatzung!$D$13="",Besatzung!$B$6,Besatzung!$D$13)&gt;=B125)))*((G125-IFERROR(H125,0))/IFERROR(SUMPRODUCT((Besatzung!$B$11:$B$22&lt;&gt;"")*(IF(Besatzung!$C$11:$C$22="",Besatzung!$B$5,Besatzung!$C$11:$C$22)&lt;=B125)*(IF(Besatzung!$D$11:$D$22="",Besatzung!$B$6,Besatzung!$D$11:$D$22)&gt;=B125)),1)+(Besatzung!$F$13="x")*IFERROR(H125,0)/IFERROR(SUMPRODUCT((Besatzung!$B$11:$B$22&lt;&gt;"")*(Besatzung!$F$11:$F$22="x")*(IF(Besatzung!$C$11:$C$22="",Besatzung!$B$5,Besatzung!$C$11:$C$22)&lt;=B125)*(IF(Besatzung!$D$11:$D$22="",Besatzung!$B$6,Besatzung!$D$11:$D$22)&gt;=B125)),1))),IF(I125="Individuell",((K125="x")*((G125-IFERROR(H125,0))/IFERROR(COUNTIF(J125:U125,"x"),1)+(Besatzung!$F$13="x")*IFERROR(H125,0)/IFERROR(SUMPRODUCT((J125:U125="x")*(Besatzung!$F$11:$F$22="x")),1))),(IF(COUNTIF(J125:U125,"x")=0,IF(Besatzung!$B$13&lt;&gt;"",1,0),(K125="x"))*(G125-IFERROR(H125,0))/IFERROR(IF(COUNTIF(J125:U125,"x")=0,COUNTA(Besatzung!$B$11:$B$22),COUNTIF(J125:U125,"x")),1)+IF(COUNTIF(J125:U125,"x")=0,(Besatzung!$F$13="x"),(K125="x")*(Besatzung!$F$13="x"))*IFERROR(H125,0)/IFERROR(IF(COUNTIF(J125:U125,"x")=0,SUMPRODUCT((Besatzung!$B$11:$B$22&lt;&gt;"")*(Besatzung!$F$11:$F$22="x")),SUMPRODUCT((J125:U125="x")*(Besatzung!$F$11:$F$22="x"))),1))))),0))))</f>
        <v/>
      </c>
      <c r="Y125" s="247">
        <f>IF(C125="Gutschrift","",IF(G125="","",IF(Besatzung!$B$14="","",IFERROR(IF(I125="Zeitanteilig",(Besatzung!$G$14*(G125-IFERROR(H125,0))+((Besatzung!$B$14&lt;&gt;"")*IF(B125="",1,(IF(Besatzung!$C$14="",Besatzung!$B$5,Besatzung!$C$14)&lt;=B125)*(IF(Besatzung!$D$14="",Besatzung!$B$6,Besatzung!$D$14)&gt;=B125)))*(Besatzung!$F$14="x")*IFERROR(H125,0)/IFERROR(SUMPRODUCT((Besatzung!$B$11:$B$22&lt;&gt;"")*(Besatzung!$F$11:$F$22="x")*(IF(Besatzung!$C$11:$C$22="",Besatzung!$B$5,Besatzung!$C$11:$C$22)&lt;=B125)*(IF(Besatzung!$D$11:$D$22="",Besatzung!$B$6,Besatzung!$D$11:$D$22)&gt;=B125)),1)),IF(I125="An Bord",(((Besatzung!$B$14&lt;&gt;"")*IF(B125="",1,(IF(Besatzung!$C$14="",Besatzung!$B$5,Besatzung!$C$14)&lt;=B125)*(IF(Besatzung!$D$14="",Besatzung!$B$6,Besatzung!$D$14)&gt;=B125)))*((G125-IFERROR(H125,0))/IFERROR(SUMPRODUCT((Besatzung!$B$11:$B$22&lt;&gt;"")*(IF(Besatzung!$C$11:$C$22="",Besatzung!$B$5,Besatzung!$C$11:$C$22)&lt;=B125)*(IF(Besatzung!$D$11:$D$22="",Besatzung!$B$6,Besatzung!$D$11:$D$22)&gt;=B125)),1)+(Besatzung!$F$14="x")*IFERROR(H125,0)/IFERROR(SUMPRODUCT((Besatzung!$B$11:$B$22&lt;&gt;"")*(Besatzung!$F$11:$F$22="x")*(IF(Besatzung!$C$11:$C$22="",Besatzung!$B$5,Besatzung!$C$11:$C$22)&lt;=B125)*(IF(Besatzung!$D$11:$D$22="",Besatzung!$B$6,Besatzung!$D$11:$D$22)&gt;=B125)),1))),IF(I125="Individuell",((M125="x")*((G125-IFERROR(H125,0))/IFERROR(COUNTIF(J125:U125,"x"),1)+(Besatzung!$F$14="x")*IFERROR(H125,0)/IFERROR(SUMPRODUCT((J125:U125="x")*(Besatzung!$F$11:$F$22="x")),1))),(IF(COUNTIF(J125:U125,"x")=0,IF(Besatzung!$B$14&lt;&gt;"",1,0),(M125="x"))*(G125-IFERROR(H125,0))/IFERROR(IF(COUNTIF(J125:U125,"x")=0,COUNTA(Besatzung!$B$11:$B$22),COUNTIF(J125:U125,"x")),1)+IF(COUNTIF(J125:U125,"x")=0,(Besatzung!$F$14="x"),(M125="x")*(Besatzung!$F$14="x"))*IFERROR(H125,0)/IFERROR(IF(COUNTIF(J125:U125,"x")=0,SUMPRODUCT((Besatzung!$B$11:$B$22&lt;&gt;"")*(Besatzung!$F$11:$F$22="x")),SUMPRODUCT((J125:U125="x")*(Besatzung!$F$11:$F$22="x"))),1))))),0))))</f>
        <v/>
      </c>
      <c r="Z125" s="247">
        <f>IF(C125="Gutschrift","",IF(G125="","",IF(Besatzung!$B$13="","",IFERROR(IF(I125="Zeitanteilig",(Besatzung!$G$15*(G125-IFERROR(H125,0))+((Besatzung!$B$13&lt;&gt;"")*IF(B125="",1,(IF(Besatzung!$C$15="",Besatzung!$B$5,Besatzung!$C$15)&lt;=B125)*(IF(Besatzung!$D$15="",Besatzung!$B$6,Besatzung!$D$15)&gt;=B125)))*(Besatzung!$F$15="x")*IFERROR(H125,0)/IFERROR(SUMPRODUCT((Besatzung!$B$11:$B$22&lt;&gt;"")*(Besatzung!$F$11:$F$22="x")*(IF(Besatzung!$C$11:$C$22="",Besatzung!$B$5,Besatzung!$C$11:$C$22)&lt;=B125)*(IF(Besatzung!$D$11:$D$22="",Besatzung!$B$6,Besatzung!$D$11:$D$22)&gt;=B125)),1)),IF(I125="An Bord",(((Besatzung!$B$13&lt;&gt;"")*IF(B125="",1,(IF(Besatzung!$C$15="",Besatzung!$B$5,Besatzung!$C$15)&lt;=B125)*(IF(Besatzung!$D$15="",Besatzung!$B$6,Besatzung!$D$15)&gt;=B125)))*((G125-IFERROR(H125,0))/IFERROR(SUMPRODUCT((Besatzung!$B$11:$B$22&lt;&gt;"")*(IF(Besatzung!$C$11:$C$22="",Besatzung!$B$5,Besatzung!$C$11:$C$22)&lt;=B125)*(IF(Besatzung!$D$11:$D$22="",Besatzung!$B$6,Besatzung!$D$11:$D$22)&gt;=B125)),1)+(Besatzung!$F$15="x")*IFERROR(H125,0)/IFERROR(SUMPRODUCT((Besatzung!$B$11:$B$22&lt;&gt;"")*(Besatzung!$F$11:$F$22="x")*(IF(Besatzung!$C$11:$C$22="",Besatzung!$B$5,Besatzung!$C$11:$C$22)&lt;=B125)*(IF(Besatzung!$D$11:$D$22="",Besatzung!$B$6,Besatzung!$D$11:$D$22)&gt;=B125)),1))),IF(I125="Individuell",((N125="x")*((G125-IFERROR(H125,0))/IFERROR(COUNTIF(J125:U125,"x"),1)+(Besatzung!$F$15="x")*IFERROR(H125,0)/IFERROR(SUMPRODUCT((J125:U125="x")*(Besatzung!$F$11:$F$22="x")),1))),(IF(COUNTIF(J125:U125,"x")=0,IF(Besatzung!$B$13&lt;&gt;"",1,0),(N125="x"))*(G125-IFERROR(H125,0))/IFERROR(IF(COUNTIF(J125:U125,"x")=0,COUNTA(Besatzung!$B$11:$B$22),COUNTIF(J125:U125,"x")),1)+IF(COUNTIF(J125:U125,"x")=0,(Besatzung!$F$15="x"),(N125="x")*(Besatzung!$F$15="x"))*IFERROR(H125,0)/IFERROR(IF(COUNTIF(J125:U125,"x")=0,SUMPRODUCT((Besatzung!$B$11:$B$22&lt;&gt;"")*(Besatzung!$F$11:$F$22="x")),SUMPRODUCT((J125:U125="x")*(Besatzung!$F$11:$F$22="x"))),1))))),0))))</f>
        <v/>
      </c>
      <c r="AA125" s="247">
        <f>IF(C125="Gutschrift","",IF(G125="","",IF(Besatzung!$B$15="","",IFERROR(IF(I125="Zeitanteilig",(Besatzung!$G$16*(G125-IFERROR(H125,0))+((Besatzung!$B$15&lt;&gt;"")*IF(B125="",1,(IF(Besatzung!$C$16="",Besatzung!$B$5,Besatzung!$C$16)&lt;=B125)*(IF(Besatzung!$D$16="",Besatzung!$B$6,Besatzung!$D$16)&gt;=B125)))*(Besatzung!$F$16="x")*IFERROR(H125,0)/IFERROR(SUMPRODUCT((Besatzung!$B$11:$B$22&lt;&gt;"")*(Besatzung!$F$11:$F$22="x")*(IF(Besatzung!$C$11:$C$22="",Besatzung!$B$5,Besatzung!$C$11:$C$22)&lt;=B125)*(IF(Besatzung!$D$11:$D$22="",Besatzung!$B$6,Besatzung!$D$11:$D$22)&gt;=B125)),1)),IF(I125="An Bord",(((Besatzung!$B$15&lt;&gt;"")*IF(B125="",1,(IF(Besatzung!$C$16="",Besatzung!$B$5,Besatzung!$C$16)&lt;=B125)*(IF(Besatzung!$D$16="",Besatzung!$B$6,Besatzung!$D$16)&gt;=B125)))*((G125-IFERROR(H125,0))/IFERROR(SUMPRODUCT((Besatzung!$B$11:$B$22&lt;&gt;"")*(IF(Besatzung!$C$11:$C$22="",Besatzung!$B$5,Besatzung!$C$11:$C$22)&lt;=B125)*(IF(Besatzung!$D$11:$D$22="",Besatzung!$B$6,Besatzung!$D$11:$D$22)&gt;=B125)),1)+(Besatzung!$F$16="x")*IFERROR(H125,0)/IFERROR(SUMPRODUCT((Besatzung!$B$11:$B$22&lt;&gt;"")*(Besatzung!$F$11:$F$22="x")*(IF(Besatzung!$C$11:$C$22="",Besatzung!$B$5,Besatzung!$C$11:$C$22)&lt;=B125)*(IF(Besatzung!$D$11:$D$22="",Besatzung!$B$6,Besatzung!$D$11:$D$22)&gt;=B125)),1))),IF(I125="Individuell",((O125="x")*((G125-IFERROR(H125,0))/IFERROR(COUNTIF(J125:U125,"x"),1)+(Besatzung!$F$16="x")*IFERROR(H125,0)/IFERROR(SUMPRODUCT((J125:U125="x")*(Besatzung!$F$11:$F$22="x")),1))),(IF(COUNTIF(J125:U125,"x")=0,IF(Besatzung!$B$15&lt;&gt;"",1,0),(O125="x"))*(G125-IFERROR(H125,0))/IFERROR(IF(COUNTIF(J125:U125,"x")=0,COUNTA(Besatzung!$B$11:$B$22),COUNTIF(J125:U125,"x")),1)+IF(COUNTIF(J125:U125,"x")=0,(Besatzung!$F$16="x"),(O125="x")*(Besatzung!$F$16="x"))*IFERROR(H125,0)/IFERROR(IF(COUNTIF(J125:U125,"x")=0,SUMPRODUCT((Besatzung!$B$11:$B$22&lt;&gt;"")*(Besatzung!$F$11:$F$22="x")),SUMPRODUCT((J125:U125="x")*(Besatzung!$F$11:$F$22="x"))),1))))),0))))</f>
        <v/>
      </c>
      <c r="AB125" s="247">
        <f>IF(C125="Gutschrift","",IF(G125="","",IF(Besatzung!$B$17="","",IFERROR(IF(I125="Zeitanteilig",(Besatzung!$G$17*(G125-IFERROR(H125,0))+((Besatzung!$B$17&lt;&gt;"")*IF(B125="",1,(IF(Besatzung!$C$17="",Besatzung!$B$5,Besatzung!$C$17)&lt;=B125)*(IF(Besatzung!$D$17="",Besatzung!$B$6,Besatzung!$D$17)&gt;=B125)))*(Besatzung!$F$17="x")*IFERROR(H125,0)/IFERROR(SUMPRODUCT((Besatzung!$B$11:$B$22&lt;&gt;"")*(Besatzung!$F$11:$F$22="x")*(IF(Besatzung!$C$11:$C$22="",Besatzung!$B$5,Besatzung!$C$11:$C$22)&lt;=B125)*(IF(Besatzung!$D$11:$D$22="",Besatzung!$B$6,Besatzung!$D$11:$D$22)&gt;=B125)),1)),IF(I125="An Bord",(((Besatzung!$B$17&lt;&gt;"")*IF(B125="",1,(IF(Besatzung!$C$17="",Besatzung!$B$5,Besatzung!$C$17)&lt;=B125)*(IF(Besatzung!$D$17="",Besatzung!$B$6,Besatzung!$D$17)&gt;=B125)))*((G125-IFERROR(H125,0))/IFERROR(SUMPRODUCT((Besatzung!$B$11:$B$22&lt;&gt;"")*(IF(Besatzung!$C$11:$C$22="",Besatzung!$B$5,Besatzung!$C$11:$C$22)&lt;=B125)*(IF(Besatzung!$D$11:$D$22="",Besatzung!$B$6,Besatzung!$D$11:$D$22)&gt;=B125)),1)+(Besatzung!$F$17="x")*IFERROR(H125,0)/IFERROR(SUMPRODUCT((Besatzung!$B$11:$B$22&lt;&gt;"")*(Besatzung!$F$11:$F$22="x")*(IF(Besatzung!$C$11:$C$22="",Besatzung!$B$5,Besatzung!$C$11:$C$22)&lt;=B125)*(IF(Besatzung!$D$11:$D$22="",Besatzung!$B$6,Besatzung!$D$11:$D$22)&gt;=B125)),1))),IF(I125="Individuell",((P125="x")*((G125-IFERROR(H125,0))/IFERROR(COUNTIF(J125:U125,"x"),1)+(Besatzung!$F$17="x")*IFERROR(H125,0)/IFERROR(SUMPRODUCT((J125:U125="x")*(Besatzung!$F$11:$F$22="x")),1))),(IF(COUNTIF(J125:U125,"x")=0,IF(Besatzung!$B$17&lt;&gt;"",1,0),(P125="x"))*(G125-IFERROR(H125,0))/IFERROR(IF(COUNTIF(J125:U125,"x")=0,COUNTA(Besatzung!$B$11:$B$22),COUNTIF(J125:U125,"x")),1)+IF(COUNTIF(J125:U125,"x")=0,(Besatzung!$F$17="x"),(P125="x")*(Besatzung!$F$17="x"))*IFERROR(H125,0)/IFERROR(IF(COUNTIF(J125:U125,"x")=0,SUMPRODUCT((Besatzung!$B$11:$B$22&lt;&gt;"")*(Besatzung!$F$11:$F$22="x")),SUMPRODUCT((J125:U125="x")*(Besatzung!$F$11:$F$22="x"))),1))))),0))))</f>
        <v/>
      </c>
      <c r="AC125" s="247">
        <f>IF(C125="Gutschrift","",IF(G125="","",IF(Besatzung!$B$18="","",IFERROR(IF(I125="Zeitanteilig",(Besatzung!$G$18*(G125-IFERROR(H125,0))+((Besatzung!$B$18&lt;&gt;"")*IF(B125="",1,(IF(Besatzung!$C$18="",Besatzung!$B$5,Besatzung!$C$18)&lt;=B125)*(IF(Besatzung!$D$18="",Besatzung!$B$6,Besatzung!$D$18)&gt;=B125)))*(Besatzung!$F$18="x")*IFERROR(H125,0)/IFERROR(SUMPRODUCT((Besatzung!$B$11:$B$22&lt;&gt;"")*(Besatzung!$F$11:$F$22="x")*(IF(Besatzung!$C$11:$C$22="",Besatzung!$B$5,Besatzung!$C$11:$C$22)&lt;=B125)*(IF(Besatzung!$D$11:$D$22="",Besatzung!$B$6,Besatzung!$D$11:$D$22)&gt;=B125)),1)),IF(I125="An Bord",(((Besatzung!$B$18&lt;&gt;"")*IF(B125="",1,(IF(Besatzung!$C$18="",Besatzung!$B$5,Besatzung!$C$18)&lt;=B125)*(IF(Besatzung!$D$18="",Besatzung!$B$6,Besatzung!$D$18)&gt;=B125)))*((G125-IFERROR(H125,0))/IFERROR(SUMPRODUCT((Besatzung!$B$11:$B$22&lt;&gt;"")*(IF(Besatzung!$C$11:$C$22="",Besatzung!$B$5,Besatzung!$C$11:$C$22)&lt;=B125)*(IF(Besatzung!$D$11:$D$22="",Besatzung!$B$6,Besatzung!$D$11:$D$22)&gt;=B125)),1)+(Besatzung!$F$18="x")*IFERROR(H125,0)/IFERROR(SUMPRODUCT((Besatzung!$B$11:$B$22&lt;&gt;"")*(Besatzung!$F$11:$F$22="x")*(IF(Besatzung!$C$11:$C$22="",Besatzung!$B$5,Besatzung!$C$11:$C$22)&lt;=B125)*(IF(Besatzung!$D$11:$D$22="",Besatzung!$B$6,Besatzung!$D$11:$D$22)&gt;=B125)),1))),IF(I125="Individuell",((Q125="x")*((G125-IFERROR(H125,0))/IFERROR(COUNTIF(J125:U125,"x"),1)+(Besatzung!$F$18="x")*IFERROR(H125,0)/IFERROR(SUMPRODUCT((J125:U125="x")*(Besatzung!$F$11:$F$22="x")),1))),(IF(COUNTIF(J125:U125,"x")=0,IF(Besatzung!$B$18&lt;&gt;"",1,0),(Q125="x"))*(G125-IFERROR(H125,0))/IFERROR(IF(COUNTIF(J125:U125,"x")=0,COUNTA(Besatzung!$B$11:$B$22),COUNTIF(J125:U125,"x")),1)+IF(COUNTIF(J125:U125,"x")=0,(Besatzung!$F$18="x"),(Q125="x")*(Besatzung!$F$18="x"))*IFERROR(H125,0)/IFERROR(IF(COUNTIF(J125:U125,"x")=0,SUMPRODUCT((Besatzung!$B$11:$B$22&lt;&gt;"")*(Besatzung!$F$11:$F$22="x")),SUMPRODUCT((J125:U125="x")*(Besatzung!$F$11:$F$22="x"))),1))))),0))))</f>
        <v/>
      </c>
      <c r="AD125" s="247">
        <f>IF(C125="Gutschrift","",IF(G125="","",IF(Besatzung!$B$19="","",IFERROR(IF(I125="Zeitanteilig",(Besatzung!$G$19*(G125-IFERROR(H125,0))+((Besatzung!$B$19&lt;&gt;"")*IF(B125="",1,(IF(Besatzung!$C$19="",Besatzung!$B$5,Besatzung!$C$19)&lt;=B125)*(IF(Besatzung!$D$19="",Besatzung!$B$6,Besatzung!$D$19)&gt;=B125)))*(Besatzung!$F$19="x")*IFERROR(H125,0)/IFERROR(SUMPRODUCT((Besatzung!$B$11:$B$22&lt;&gt;"")*(Besatzung!$F$11:$F$22="x")*(IF(Besatzung!$C$11:$C$22="",Besatzung!$B$5,Besatzung!$C$11:$C$22)&lt;=B125)*(IF(Besatzung!$D$11:$D$22="",Besatzung!$B$6,Besatzung!$D$11:$D$22)&gt;=B125)),1)),IF(I125="An Bord",(((Besatzung!$B$19&lt;&gt;"")*IF(B125="",1,(IF(Besatzung!$C$19="",Besatzung!$B$5,Besatzung!$C$19)&lt;=B125)*(IF(Besatzung!$D$19="",Besatzung!$B$6,Besatzung!$D$19)&gt;=B125)))*((G125-IFERROR(H125,0))/IFERROR(SUMPRODUCT((Besatzung!$B$11:$B$22&lt;&gt;"")*(IF(Besatzung!$C$11:$C$22="",Besatzung!$B$5,Besatzung!$C$11:$C$22)&lt;=B125)*(IF(Besatzung!$D$11:$D$22="",Besatzung!$B$6,Besatzung!$D$11:$D$22)&gt;=B125)),1)+(Besatzung!$F$19="x")*IFERROR(H125,0)/IFERROR(SUMPRODUCT((Besatzung!$B$11:$B$22&lt;&gt;"")*(Besatzung!$F$11:$F$22="x")*(IF(Besatzung!$C$11:$C$22="",Besatzung!$B$5,Besatzung!$C$11:$C$22)&lt;=B125)*(IF(Besatzung!$D$11:$D$22="",Besatzung!$B$6,Besatzung!$D$11:$D$22)&gt;=B125)),1))),IF(I125="Individuell",((R125="x")*((G125-IFERROR(H125,0))/IFERROR(COUNTIF(J125:U125,"x"),1)+(Besatzung!$F$19="x")*IFERROR(H125,0)/IFERROR(SUMPRODUCT((J125:U125="x")*(Besatzung!$F$11:$F$22="x")),1))),(IF(COUNTIF(J125:U125,"x")=0,IF(Besatzung!$B$19&lt;&gt;"",1,0),(R125="x"))*(G125-IFERROR(H125,0))/IFERROR(IF(COUNTIF(J125:U125,"x")=0,COUNTA(Besatzung!$B$11:$B$22),COUNTIF(J125:U125,"x")),1)+IF(COUNTIF(J125:U125,"x")=0,(Besatzung!$F$19="x"),(R125="x")*(Besatzung!$F$19="x"))*IFERROR(H125,0)/IFERROR(IF(COUNTIF(J125:U125,"x")=0,SUMPRODUCT((Besatzung!$B$11:$B$22&lt;&gt;"")*(Besatzung!$F$11:$F$22="x")),SUMPRODUCT((J125:U125="x")*(Besatzung!$F$11:$F$22="x"))),1))))),0))))</f>
        <v/>
      </c>
      <c r="AE125" s="247">
        <f>IF(C125="Gutschrift","",IF(G125="","",IF(Besatzung!$B$20="","",IFERROR(IF(I125="Zeitanteilig",(Besatzung!$G$20*(G125-IFERROR(H125,0))+((Besatzung!$B$20&lt;&gt;"")*IF(B125="",1,(IF(Besatzung!$C$20="",Besatzung!$B$5,Besatzung!$C$20)&lt;=B125)*(IF(Besatzung!$D$20="",Besatzung!$B$6,Besatzung!$D$20)&gt;=B125)))*(Besatzung!$F$20="x")*IFERROR(H125,0)/IFERROR(SUMPRODUCT((Besatzung!$B$11:$B$22&lt;&gt;"")*(Besatzung!$F$11:$F$22="x")*(IF(Besatzung!$C$11:$C$22="",Besatzung!$B$5,Besatzung!$C$11:$C$22)&lt;=B125)*(IF(Besatzung!$D$11:$D$22="",Besatzung!$B$6,Besatzung!$D$11:$D$22)&gt;=B125)),1)),IF(I125="An Bord",(((Besatzung!$B$20&lt;&gt;"")*IF(B125="",1,(IF(Besatzung!$C$20="",Besatzung!$B$5,Besatzung!$C$20)&lt;=B125)*(IF(Besatzung!$D$20="",Besatzung!$B$6,Besatzung!$D$20)&gt;=B125)))*((G125-IFERROR(H125,0))/IFERROR(SUMPRODUCT((Besatzung!$B$11:$B$22&lt;&gt;"")*(IF(Besatzung!$C$11:$C$22="",Besatzung!$B$5,Besatzung!$C$11:$C$22)&lt;=B125)*(IF(Besatzung!$D$11:$D$22="",Besatzung!$B$6,Besatzung!$D$11:$D$22)&gt;=B125)),1)+(Besatzung!$F$20="x")*IFERROR(H125,0)/IFERROR(SUMPRODUCT((Besatzung!$B$11:$B$22&lt;&gt;"")*(Besatzung!$F$11:$F$22="x")*(IF(Besatzung!$C$11:$C$22="",Besatzung!$B$5,Besatzung!$C$11:$C$22)&lt;=B125)*(IF(Besatzung!$D$11:$D$22="",Besatzung!$B$6,Besatzung!$D$11:$D$22)&gt;=B125)),1))),IF(I125="Individuell",((S125="x")*((G125-IFERROR(H125,0))/IFERROR(COUNTIF(J125:U125,"x"),1)+(Besatzung!$F$20="x")*IFERROR(H125,0)/IFERROR(SUMPRODUCT((J125:U125="x")*(Besatzung!$F$11:$F$22="x")),1))),(IF(COUNTIF(J125:U125,"x")=0,IF(Besatzung!$B$20&lt;&gt;"",1,0),(S125="x"))*(G125-IFERROR(H125,0))/IFERROR(IF(COUNTIF(J125:U125,"x")=0,COUNTA(Besatzung!$B$11:$B$22),COUNTIF(J125:U125,"x")),1)+IF(COUNTIF(J125:U125,"x")=0,(Besatzung!$F$20="x"),(S125="x")*(Besatzung!$F$20="x"))*IFERROR(H125,0)/IFERROR(IF(COUNTIF(J125:U125,"x")=0,SUMPRODUCT((Besatzung!$B$11:$B$22&lt;&gt;"")*(Besatzung!$F$11:$F$22="x")),SUMPRODUCT((J125:U125="x")*(Besatzung!$F$11:$F$22="x"))),1))))),0))))</f>
        <v/>
      </c>
      <c r="AF125" s="247">
        <f>IF(C125="Gutschrift","",IF(G125="","",IF(Besatzung!$B$21="","",IFERROR(IF(I125="Zeitanteilig",(Besatzung!$G$21*(G125-IFERROR(H125,0))+((Besatzung!$B$21&lt;&gt;"")*IF(B125="",1,(IF(Besatzung!$C$21="",Besatzung!$B$5,Besatzung!$C$21)&lt;=B125)*(IF(Besatzung!$D$21="",Besatzung!$B$6,Besatzung!$D$21)&gt;=B125)))*(Besatzung!$F$21="x")*IFERROR(H125,0)/IFERROR(SUMPRODUCT((Besatzung!$B$11:$B$22&lt;&gt;"")*(Besatzung!$F$11:$F$22="x")*(IF(Besatzung!$C$11:$C$22="",Besatzung!$B$5,Besatzung!$C$11:$C$22)&lt;=B125)*(IF(Besatzung!$D$11:$D$22="",Besatzung!$B$6,Besatzung!$D$11:$D$22)&gt;=B125)),1)),IF(I125="An Bord",(((Besatzung!$B$21&lt;&gt;"")*IF(B125="",1,(IF(Besatzung!$C$21="",Besatzung!$B$5,Besatzung!$C$21)&lt;=B125)*(IF(Besatzung!$D$21="",Besatzung!$B$6,Besatzung!$D$21)&gt;=B125)))*((G125-IFERROR(H125,0))/IFERROR(SUMPRODUCT((Besatzung!$B$11:$B$22&lt;&gt;"")*(IF(Besatzung!$C$11:$C$22="",Besatzung!$B$5,Besatzung!$C$11:$C$22)&lt;=B125)*(IF(Besatzung!$D$11:$D$22="",Besatzung!$B$6,Besatzung!$D$11:$D$22)&gt;=B125)),1)+(Besatzung!$F$21="x")*IFERROR(H125,0)/IFERROR(SUMPRODUCT((Besatzung!$B$11:$B$22&lt;&gt;"")*(Besatzung!$F$11:$F$22="x")*(IF(Besatzung!$C$11:$C$22="",Besatzung!$B$5,Besatzung!$C$11:$C$22)&lt;=B125)*(IF(Besatzung!$D$11:$D$22="",Besatzung!$B$6,Besatzung!$D$11:$D$22)&gt;=B125)),1))),IF(I125="Individuell",((T125="x")*((G125-IFERROR(H125,0))/IFERROR(COUNTIF(J125:U125,"x"),1)+(Besatzung!$F$21="x")*IFERROR(H125,0)/IFERROR(SUMPRODUCT((J125:U125="x")*(Besatzung!$F$11:$F$22="x")),1))),(IF(COUNTIF(J125:U125,"x")=0,IF(Besatzung!$B$21&lt;&gt;"",1,0),(T125="x"))*(G125-IFERROR(H125,0))/IFERROR(IF(COUNTIF(J125:U125,"x")=0,COUNTA(Besatzung!$B$11:$B$22),COUNTIF(J125:U125,"x")),1)+IF(COUNTIF(J125:U125,"x")=0,(Besatzung!$F$21="x"),(T125="x")*(Besatzung!$F$21="x"))*IFERROR(H125,0)/IFERROR(IF(COUNTIF(J125:U125,"x")=0,SUMPRODUCT((Besatzung!$B$11:$B$22&lt;&gt;"")*(Besatzung!$F$11:$F$22="x")),SUMPRODUCT((J125:U125="x")*(Besatzung!$F$11:$F$22="x"))),1))))),0))))</f>
        <v/>
      </c>
      <c r="AG125" s="247">
        <f>IF(C125="Gutschrift","",IF(G125="","",IF(Besatzung!$B$22="","",IFERROR(IF(I125="Zeitanteilig",(Besatzung!$G$22*(G125-IFERROR(H125,0))+((Besatzung!$B$22&lt;&gt;"")*IF(B125="",1,(IF(Besatzung!$C$22="",Besatzung!$B$5,Besatzung!$C$22)&lt;=B125)*(IF(Besatzung!$D$22="",Besatzung!$B$6,Besatzung!$D$22)&gt;=B125)))*(Besatzung!$F$22="x")*IFERROR(H125,0)/IFERROR(SUMPRODUCT((Besatzung!$B$11:$B$22&lt;&gt;"")*(Besatzung!$F$11:$F$22="x")*(IF(Besatzung!$C$11:$C$22="",Besatzung!$B$5,Besatzung!$C$11:$C$22)&lt;=B125)*(IF(Besatzung!$D$11:$D$22="",Besatzung!$B$6,Besatzung!$D$11:$D$22)&gt;=B125)),1)),IF(I125="An Bord",(((Besatzung!$B$22&lt;&gt;"")*IF(B125="",1,(IF(Besatzung!$C$22="",Besatzung!$B$5,Besatzung!$C$22)&lt;=B125)*(IF(Besatzung!$D$22="",Besatzung!$B$6,Besatzung!$D$22)&gt;=B125)))*((G125-IFERROR(H125,0))/IFERROR(SUMPRODUCT((Besatzung!$B$11:$B$22&lt;&gt;"")*(IF(Besatzung!$C$11:$C$22="",Besatzung!$B$5,Besatzung!$C$11:$C$22)&lt;=B125)*(IF(Besatzung!$D$11:$D$22="",Besatzung!$B$6,Besatzung!$D$11:$D$22)&gt;=B125)),1)+(Besatzung!$F$22="x")*IFERROR(H125,0)/IFERROR(SUMPRODUCT((Besatzung!$B$11:$B$22&lt;&gt;"")*(Besatzung!$F$11:$F$22="x")*(IF(Besatzung!$C$11:$C$22="",Besatzung!$B$5,Besatzung!$C$11:$C$22)&lt;=B125)*(IF(Besatzung!$D$11:$D$22="",Besatzung!$B$6,Besatzung!$D$11:$D$22)&gt;=B125)),1))),IF(I125="Individuell",((U125="x")*((G125-IFERROR(H125,0))/IFERROR(COUNTIF(J125:U125,"x"),1)+(Besatzung!$F$22="x")*IFERROR(H125,0)/IFERROR(SUMPRODUCT((J125:U125="x")*(Besatzung!$F$11:$F$22="x")),1))),(IF(COUNTIF(J125:U125,"x")=0,IF(Besatzung!$B$22&lt;&gt;"",1,0),(U125="x"))*(G125-IFERROR(H125,0))/IFERROR(IF(COUNTIF(J125:U125,"x")=0,COUNTA(Besatzung!$B$11:$B$22),COUNTIF(J125:U125,"x")),1)+IF(COUNTIF(J125:U125,"x")=0,(Besatzung!$F$22="x"),(U125="x")*(Besatzung!$F$22="x"))*IFERROR(H125,0)/IFERROR(IF(COUNTIF(J125:U125,"x")=0,SUMPRODUCT((Besatzung!$B$11:$B$22&lt;&gt;"")*(Besatzung!$F$11:$F$22="x")),SUMPRODUCT((J125:U125="x")*(Besatzung!$F$11:$F$22="x"))),1))))),0))))</f>
        <v/>
      </c>
      <c r="AH125" s="248" t="n"/>
      <c r="AI125" s="248" t="n"/>
    </row>
    <row r="126" ht="21.75" customHeight="1" s="154">
      <c r="A126" s="238">
        <f>IF(AND(D126="",C126=""),"",123)</f>
        <v/>
      </c>
      <c r="B126" s="199" t="n"/>
      <c r="C126" s="239" t="n"/>
      <c r="D126" s="240" t="n"/>
      <c r="E126" s="241" t="n"/>
      <c r="F126" s="242" t="n"/>
      <c r="G126" s="243" t="n"/>
      <c r="H126" s="244" t="n"/>
      <c r="I126" s="245" t="n"/>
      <c r="J126" s="246" t="n"/>
      <c r="K126" s="246" t="n"/>
      <c r="L126" s="246" t="n"/>
      <c r="M126" s="246" t="n"/>
      <c r="N126" s="246" t="n"/>
      <c r="O126" s="246" t="n"/>
      <c r="P126" s="246" t="n"/>
      <c r="Q126" s="246" t="n"/>
      <c r="R126" s="246" t="n"/>
      <c r="S126" s="246" t="n"/>
      <c r="T126" s="246" t="n"/>
      <c r="U126" s="246" t="n"/>
      <c r="V126" s="247">
        <f>IF(C126="Gutschrift","",IF(G126="","",IF(Besatzung!$B$11="","",IFERROR(IF(I126="Zeitanteilig",(Besatzung!$G$11*(G126-IFERROR(H126,0))+((Besatzung!$B$11&lt;&gt;"")*IF(B126="",1,(IF(Besatzung!$C$11="",Besatzung!$B$5,Besatzung!$C$11)&lt;=B126)*(IF(Besatzung!$D$11="",Besatzung!$B$6,Besatzung!$D$11)&gt;=B126)))*(Besatzung!$F$11="x")*IFERROR(H126,0)/IFERROR(SUMPRODUCT((Besatzung!$B$11:$B$22&lt;&gt;"")*(Besatzung!$F$11:$F$22="x")*(IF(Besatzung!$C$11:$C$22="",Besatzung!$B$5,Besatzung!$C$11:$C$22)&lt;=B126)*(IF(Besatzung!$D$11:$D$22="",Besatzung!$B$6,Besatzung!$D$11:$D$22)&gt;=B126)),1)),IF(I126="An Bord",(((Besatzung!$B$11&lt;&gt;"")*IF(B126="",1,(IF(Besatzung!$C$11="",Besatzung!$B$5,Besatzung!$C$11)&lt;=B126)*(IF(Besatzung!$D$11="",Besatzung!$B$6,Besatzung!$D$11)&gt;=B126)))*((G126-IFERROR(H126,0))/IFERROR(SUMPRODUCT((Besatzung!$B$11:$B$22&lt;&gt;"")*(IF(Besatzung!$C$11:$C$22="",Besatzung!$B$5,Besatzung!$C$11:$C$22)&lt;=B126)*(IF(Besatzung!$D$11:$D$22="",Besatzung!$B$6,Besatzung!$D$11:$D$22)&gt;=B126)),1)+(Besatzung!$F$11="x")*IFERROR(H126,0)/IFERROR(SUMPRODUCT((Besatzung!$B$11:$B$22&lt;&gt;"")*(Besatzung!$F$11:$F$22="x")*(IF(Besatzung!$C$11:$C$22="",Besatzung!$B$5,Besatzung!$C$11:$C$22)&lt;=B126)*(IF(Besatzung!$D$11:$D$22="",Besatzung!$B$6,Besatzung!$D$11:$D$22)&gt;=B126)),1))),IF(I126="Individuell",((J126="x")*((G126-IFERROR(H126,0))/IFERROR(COUNTIF(J126:U126,"x"),1)+(Besatzung!$F$11="x")*IFERROR(H126,0)/IFERROR(SUMPRODUCT((J126:U126="x")*(Besatzung!$F$11:$F$22="x")),1))),(IF(COUNTIF(J126:U126,"x")=0,IF(Besatzung!$B$11&lt;&gt;"",1,0),(J126="x"))*(G126-IFERROR(H126,0))/IFERROR(IF(COUNTIF(J126:U126,"x")=0,COUNTA(Besatzung!$B$11:$B$22),COUNTIF(J126:U126,"x")),1)+IF(COUNTIF(J126:U126,"x")=0,(Besatzung!$F$11="x"),(J126="x")*(Besatzung!$F$11="x"))*IFERROR(H126,0)/IFERROR(IF(COUNTIF(J126:U126,"x")=0,SUMPRODUCT((Besatzung!$B$11:$B$22&lt;&gt;"")*(Besatzung!$F$11:$F$22="x")),SUMPRODUCT((J126:U126="x")*(Besatzung!$F$11:$F$22="x"))),1))))),0))))</f>
        <v/>
      </c>
      <c r="W126" s="247">
        <f>IF(C126="Gutschrift","",IF(G126="","",IF(Besatzung!$B$12="","",IFERROR(IF(I126="Zeitanteilig",(Besatzung!$G$12*(G126-IFERROR(H126,0))+((Besatzung!$B$12&lt;&gt;"")*IF(B126="",1,(IF(Besatzung!$C$12="",Besatzung!$B$5,Besatzung!$C$12)&lt;=B126)*(IF(Besatzung!$D$12="",Besatzung!$B$6,Besatzung!$D$12)&gt;=B126)))*(Besatzung!$F$12="x")*IFERROR(H126,0)/IFERROR(SUMPRODUCT((Besatzung!$B$11:$B$22&lt;&gt;"")*(Besatzung!$F$11:$F$22="x")*(IF(Besatzung!$C$11:$C$22="",Besatzung!$B$5,Besatzung!$C$11:$C$22)&lt;=B126)*(IF(Besatzung!$D$11:$D$22="",Besatzung!$B$6,Besatzung!$D$11:$D$22)&gt;=B126)),1)),IF(I126="An Bord",(((Besatzung!$B$12&lt;&gt;"")*IF(B126="",1,(IF(Besatzung!$C$12="",Besatzung!$B$5,Besatzung!$C$12)&lt;=B126)*(IF(Besatzung!$D$12="",Besatzung!$B$6,Besatzung!$D$12)&gt;=B126)))*((G126-IFERROR(H126,0))/IFERROR(SUMPRODUCT((Besatzung!$B$11:$B$22&lt;&gt;"")*(IF(Besatzung!$C$11:$C$22="",Besatzung!$B$5,Besatzung!$C$11:$C$22)&lt;=B126)*(IF(Besatzung!$D$11:$D$22="",Besatzung!$B$6,Besatzung!$D$11:$D$22)&gt;=B126)),1)+(Besatzung!$F$12="x")*IFERROR(H126,0)/IFERROR(SUMPRODUCT((Besatzung!$B$11:$B$22&lt;&gt;"")*(Besatzung!$F$11:$F$22="x")*(IF(Besatzung!$C$11:$C$22="",Besatzung!$B$5,Besatzung!$C$11:$C$22)&lt;=B126)*(IF(Besatzung!$D$11:$D$22="",Besatzung!$B$6,Besatzung!$D$11:$D$22)&gt;=B126)),1))),IF(I126="Individuell",((K126="x")*((G126-IFERROR(H126,0))/IFERROR(COUNTIF(J126:U126,"x"),1)+(Besatzung!$F$12="x")*IFERROR(H126,0)/IFERROR(SUMPRODUCT((J126:U126="x")*(Besatzung!$F$11:$F$22="x")),1))),(IF(COUNTIF(J126:U126,"x")=0,IF(Besatzung!$B$12&lt;&gt;"",1,0),(K126="x"))*(G126-IFERROR(H126,0))/IFERROR(IF(COUNTIF(J126:U126,"x")=0,COUNTA(Besatzung!$B$11:$B$22),COUNTIF(J126:U126,"x")),1)+IF(COUNTIF(J126:U126,"x")=0,(Besatzung!$F$12="x"),(K126="x")*(Besatzung!$F$12="x"))*IFERROR(H126,0)/IFERROR(IF(COUNTIF(J126:U126,"x")=0,SUMPRODUCT((Besatzung!$B$11:$B$22&lt;&gt;"")*(Besatzung!$F$11:$F$22="x")),SUMPRODUCT((J126:U126="x")*(Besatzung!$F$11:$F$22="x"))),1))))),0))))</f>
        <v/>
      </c>
      <c r="X126" s="247">
        <f>IF(C126="Gutschrift","",IF(G126="","",IF(Besatzung!$B$13="","",IFERROR(IF(I126="Zeitanteilig",(Besatzung!$G$13*(G126-IFERROR(H126,0))+((Besatzung!$B$13&lt;&gt;"")*IF(B126="",1,(IF(Besatzung!$C$13="",Besatzung!$B$5,Besatzung!$C$13)&lt;=B126)*(IF(Besatzung!$D$13="",Besatzung!$B$6,Besatzung!$D$13)&gt;=B126)))*(Besatzung!$F$13="x")*IFERROR(H126,0)/IFERROR(SUMPRODUCT((Besatzung!$B$11:$B$22&lt;&gt;"")*(Besatzung!$F$11:$F$22="x")*(IF(Besatzung!$C$11:$C$22="",Besatzung!$B$5,Besatzung!$C$11:$C$22)&lt;=B126)*(IF(Besatzung!$D$11:$D$22="",Besatzung!$B$6,Besatzung!$D$11:$D$22)&gt;=B126)),1)),IF(I126="An Bord",(((Besatzung!$B$13&lt;&gt;"")*IF(B126="",1,(IF(Besatzung!$C$13="",Besatzung!$B$5,Besatzung!$C$13)&lt;=B126)*(IF(Besatzung!$D$13="",Besatzung!$B$6,Besatzung!$D$13)&gt;=B126)))*((G126-IFERROR(H126,0))/IFERROR(SUMPRODUCT((Besatzung!$B$11:$B$22&lt;&gt;"")*(IF(Besatzung!$C$11:$C$22="",Besatzung!$B$5,Besatzung!$C$11:$C$22)&lt;=B126)*(IF(Besatzung!$D$11:$D$22="",Besatzung!$B$6,Besatzung!$D$11:$D$22)&gt;=B126)),1)+(Besatzung!$F$13="x")*IFERROR(H126,0)/IFERROR(SUMPRODUCT((Besatzung!$B$11:$B$22&lt;&gt;"")*(Besatzung!$F$11:$F$22="x")*(IF(Besatzung!$C$11:$C$22="",Besatzung!$B$5,Besatzung!$C$11:$C$22)&lt;=B126)*(IF(Besatzung!$D$11:$D$22="",Besatzung!$B$6,Besatzung!$D$11:$D$22)&gt;=B126)),1))),IF(I126="Individuell",((K126="x")*((G126-IFERROR(H126,0))/IFERROR(COUNTIF(J126:U126,"x"),1)+(Besatzung!$F$13="x")*IFERROR(H126,0)/IFERROR(SUMPRODUCT((J126:U126="x")*(Besatzung!$F$11:$F$22="x")),1))),(IF(COUNTIF(J126:U126,"x")=0,IF(Besatzung!$B$13&lt;&gt;"",1,0),(K126="x"))*(G126-IFERROR(H126,0))/IFERROR(IF(COUNTIF(J126:U126,"x")=0,COUNTA(Besatzung!$B$11:$B$22),COUNTIF(J126:U126,"x")),1)+IF(COUNTIF(J126:U126,"x")=0,(Besatzung!$F$13="x"),(K126="x")*(Besatzung!$F$13="x"))*IFERROR(H126,0)/IFERROR(IF(COUNTIF(J126:U126,"x")=0,SUMPRODUCT((Besatzung!$B$11:$B$22&lt;&gt;"")*(Besatzung!$F$11:$F$22="x")),SUMPRODUCT((J126:U126="x")*(Besatzung!$F$11:$F$22="x"))),1))))),0))))</f>
        <v/>
      </c>
      <c r="Y126" s="247">
        <f>IF(C126="Gutschrift","",IF(G126="","",IF(Besatzung!$B$14="","",IFERROR(IF(I126="Zeitanteilig",(Besatzung!$G$14*(G126-IFERROR(H126,0))+((Besatzung!$B$14&lt;&gt;"")*IF(B126="",1,(IF(Besatzung!$C$14="",Besatzung!$B$5,Besatzung!$C$14)&lt;=B126)*(IF(Besatzung!$D$14="",Besatzung!$B$6,Besatzung!$D$14)&gt;=B126)))*(Besatzung!$F$14="x")*IFERROR(H126,0)/IFERROR(SUMPRODUCT((Besatzung!$B$11:$B$22&lt;&gt;"")*(Besatzung!$F$11:$F$22="x")*(IF(Besatzung!$C$11:$C$22="",Besatzung!$B$5,Besatzung!$C$11:$C$22)&lt;=B126)*(IF(Besatzung!$D$11:$D$22="",Besatzung!$B$6,Besatzung!$D$11:$D$22)&gt;=B126)),1)),IF(I126="An Bord",(((Besatzung!$B$14&lt;&gt;"")*IF(B126="",1,(IF(Besatzung!$C$14="",Besatzung!$B$5,Besatzung!$C$14)&lt;=B126)*(IF(Besatzung!$D$14="",Besatzung!$B$6,Besatzung!$D$14)&gt;=B126)))*((G126-IFERROR(H126,0))/IFERROR(SUMPRODUCT((Besatzung!$B$11:$B$22&lt;&gt;"")*(IF(Besatzung!$C$11:$C$22="",Besatzung!$B$5,Besatzung!$C$11:$C$22)&lt;=B126)*(IF(Besatzung!$D$11:$D$22="",Besatzung!$B$6,Besatzung!$D$11:$D$22)&gt;=B126)),1)+(Besatzung!$F$14="x")*IFERROR(H126,0)/IFERROR(SUMPRODUCT((Besatzung!$B$11:$B$22&lt;&gt;"")*(Besatzung!$F$11:$F$22="x")*(IF(Besatzung!$C$11:$C$22="",Besatzung!$B$5,Besatzung!$C$11:$C$22)&lt;=B126)*(IF(Besatzung!$D$11:$D$22="",Besatzung!$B$6,Besatzung!$D$11:$D$22)&gt;=B126)),1))),IF(I126="Individuell",((M126="x")*((G126-IFERROR(H126,0))/IFERROR(COUNTIF(J126:U126,"x"),1)+(Besatzung!$F$14="x")*IFERROR(H126,0)/IFERROR(SUMPRODUCT((J126:U126="x")*(Besatzung!$F$11:$F$22="x")),1))),(IF(COUNTIF(J126:U126,"x")=0,IF(Besatzung!$B$14&lt;&gt;"",1,0),(M126="x"))*(G126-IFERROR(H126,0))/IFERROR(IF(COUNTIF(J126:U126,"x")=0,COUNTA(Besatzung!$B$11:$B$22),COUNTIF(J126:U126,"x")),1)+IF(COUNTIF(J126:U126,"x")=0,(Besatzung!$F$14="x"),(M126="x")*(Besatzung!$F$14="x"))*IFERROR(H126,0)/IFERROR(IF(COUNTIF(J126:U126,"x")=0,SUMPRODUCT((Besatzung!$B$11:$B$22&lt;&gt;"")*(Besatzung!$F$11:$F$22="x")),SUMPRODUCT((J126:U126="x")*(Besatzung!$F$11:$F$22="x"))),1))))),0))))</f>
        <v/>
      </c>
      <c r="Z126" s="247">
        <f>IF(C126="Gutschrift","",IF(G126="","",IF(Besatzung!$B$13="","",IFERROR(IF(I126="Zeitanteilig",(Besatzung!$G$15*(G126-IFERROR(H126,0))+((Besatzung!$B$13&lt;&gt;"")*IF(B126="",1,(IF(Besatzung!$C$15="",Besatzung!$B$5,Besatzung!$C$15)&lt;=B126)*(IF(Besatzung!$D$15="",Besatzung!$B$6,Besatzung!$D$15)&gt;=B126)))*(Besatzung!$F$15="x")*IFERROR(H126,0)/IFERROR(SUMPRODUCT((Besatzung!$B$11:$B$22&lt;&gt;"")*(Besatzung!$F$11:$F$22="x")*(IF(Besatzung!$C$11:$C$22="",Besatzung!$B$5,Besatzung!$C$11:$C$22)&lt;=B126)*(IF(Besatzung!$D$11:$D$22="",Besatzung!$B$6,Besatzung!$D$11:$D$22)&gt;=B126)),1)),IF(I126="An Bord",(((Besatzung!$B$13&lt;&gt;"")*IF(B126="",1,(IF(Besatzung!$C$15="",Besatzung!$B$5,Besatzung!$C$15)&lt;=B126)*(IF(Besatzung!$D$15="",Besatzung!$B$6,Besatzung!$D$15)&gt;=B126)))*((G126-IFERROR(H126,0))/IFERROR(SUMPRODUCT((Besatzung!$B$11:$B$22&lt;&gt;"")*(IF(Besatzung!$C$11:$C$22="",Besatzung!$B$5,Besatzung!$C$11:$C$22)&lt;=B126)*(IF(Besatzung!$D$11:$D$22="",Besatzung!$B$6,Besatzung!$D$11:$D$22)&gt;=B126)),1)+(Besatzung!$F$15="x")*IFERROR(H126,0)/IFERROR(SUMPRODUCT((Besatzung!$B$11:$B$22&lt;&gt;"")*(Besatzung!$F$11:$F$22="x")*(IF(Besatzung!$C$11:$C$22="",Besatzung!$B$5,Besatzung!$C$11:$C$22)&lt;=B126)*(IF(Besatzung!$D$11:$D$22="",Besatzung!$B$6,Besatzung!$D$11:$D$22)&gt;=B126)),1))),IF(I126="Individuell",((N126="x")*((G126-IFERROR(H126,0))/IFERROR(COUNTIF(J126:U126,"x"),1)+(Besatzung!$F$15="x")*IFERROR(H126,0)/IFERROR(SUMPRODUCT((J126:U126="x")*(Besatzung!$F$11:$F$22="x")),1))),(IF(COUNTIF(J126:U126,"x")=0,IF(Besatzung!$B$13&lt;&gt;"",1,0),(N126="x"))*(G126-IFERROR(H126,0))/IFERROR(IF(COUNTIF(J126:U126,"x")=0,COUNTA(Besatzung!$B$11:$B$22),COUNTIF(J126:U126,"x")),1)+IF(COUNTIF(J126:U126,"x")=0,(Besatzung!$F$15="x"),(N126="x")*(Besatzung!$F$15="x"))*IFERROR(H126,0)/IFERROR(IF(COUNTIF(J126:U126,"x")=0,SUMPRODUCT((Besatzung!$B$11:$B$22&lt;&gt;"")*(Besatzung!$F$11:$F$22="x")),SUMPRODUCT((J126:U126="x")*(Besatzung!$F$11:$F$22="x"))),1))))),0))))</f>
        <v/>
      </c>
      <c r="AA126" s="247">
        <f>IF(C126="Gutschrift","",IF(G126="","",IF(Besatzung!$B$15="","",IFERROR(IF(I126="Zeitanteilig",(Besatzung!$G$16*(G126-IFERROR(H126,0))+((Besatzung!$B$15&lt;&gt;"")*IF(B126="",1,(IF(Besatzung!$C$16="",Besatzung!$B$5,Besatzung!$C$16)&lt;=B126)*(IF(Besatzung!$D$16="",Besatzung!$B$6,Besatzung!$D$16)&gt;=B126)))*(Besatzung!$F$16="x")*IFERROR(H126,0)/IFERROR(SUMPRODUCT((Besatzung!$B$11:$B$22&lt;&gt;"")*(Besatzung!$F$11:$F$22="x")*(IF(Besatzung!$C$11:$C$22="",Besatzung!$B$5,Besatzung!$C$11:$C$22)&lt;=B126)*(IF(Besatzung!$D$11:$D$22="",Besatzung!$B$6,Besatzung!$D$11:$D$22)&gt;=B126)),1)),IF(I126="An Bord",(((Besatzung!$B$15&lt;&gt;"")*IF(B126="",1,(IF(Besatzung!$C$16="",Besatzung!$B$5,Besatzung!$C$16)&lt;=B126)*(IF(Besatzung!$D$16="",Besatzung!$B$6,Besatzung!$D$16)&gt;=B126)))*((G126-IFERROR(H126,0))/IFERROR(SUMPRODUCT((Besatzung!$B$11:$B$22&lt;&gt;"")*(IF(Besatzung!$C$11:$C$22="",Besatzung!$B$5,Besatzung!$C$11:$C$22)&lt;=B126)*(IF(Besatzung!$D$11:$D$22="",Besatzung!$B$6,Besatzung!$D$11:$D$22)&gt;=B126)),1)+(Besatzung!$F$16="x")*IFERROR(H126,0)/IFERROR(SUMPRODUCT((Besatzung!$B$11:$B$22&lt;&gt;"")*(Besatzung!$F$11:$F$22="x")*(IF(Besatzung!$C$11:$C$22="",Besatzung!$B$5,Besatzung!$C$11:$C$22)&lt;=B126)*(IF(Besatzung!$D$11:$D$22="",Besatzung!$B$6,Besatzung!$D$11:$D$22)&gt;=B126)),1))),IF(I126="Individuell",((O126="x")*((G126-IFERROR(H126,0))/IFERROR(COUNTIF(J126:U126,"x"),1)+(Besatzung!$F$16="x")*IFERROR(H126,0)/IFERROR(SUMPRODUCT((J126:U126="x")*(Besatzung!$F$11:$F$22="x")),1))),(IF(COUNTIF(J126:U126,"x")=0,IF(Besatzung!$B$15&lt;&gt;"",1,0),(O126="x"))*(G126-IFERROR(H126,0))/IFERROR(IF(COUNTIF(J126:U126,"x")=0,COUNTA(Besatzung!$B$11:$B$22),COUNTIF(J126:U126,"x")),1)+IF(COUNTIF(J126:U126,"x")=0,(Besatzung!$F$16="x"),(O126="x")*(Besatzung!$F$16="x"))*IFERROR(H126,0)/IFERROR(IF(COUNTIF(J126:U126,"x")=0,SUMPRODUCT((Besatzung!$B$11:$B$22&lt;&gt;"")*(Besatzung!$F$11:$F$22="x")),SUMPRODUCT((J126:U126="x")*(Besatzung!$F$11:$F$22="x"))),1))))),0))))</f>
        <v/>
      </c>
      <c r="AB126" s="247">
        <f>IF(C126="Gutschrift","",IF(G126="","",IF(Besatzung!$B$17="","",IFERROR(IF(I126="Zeitanteilig",(Besatzung!$G$17*(G126-IFERROR(H126,0))+((Besatzung!$B$17&lt;&gt;"")*IF(B126="",1,(IF(Besatzung!$C$17="",Besatzung!$B$5,Besatzung!$C$17)&lt;=B126)*(IF(Besatzung!$D$17="",Besatzung!$B$6,Besatzung!$D$17)&gt;=B126)))*(Besatzung!$F$17="x")*IFERROR(H126,0)/IFERROR(SUMPRODUCT((Besatzung!$B$11:$B$22&lt;&gt;"")*(Besatzung!$F$11:$F$22="x")*(IF(Besatzung!$C$11:$C$22="",Besatzung!$B$5,Besatzung!$C$11:$C$22)&lt;=B126)*(IF(Besatzung!$D$11:$D$22="",Besatzung!$B$6,Besatzung!$D$11:$D$22)&gt;=B126)),1)),IF(I126="An Bord",(((Besatzung!$B$17&lt;&gt;"")*IF(B126="",1,(IF(Besatzung!$C$17="",Besatzung!$B$5,Besatzung!$C$17)&lt;=B126)*(IF(Besatzung!$D$17="",Besatzung!$B$6,Besatzung!$D$17)&gt;=B126)))*((G126-IFERROR(H126,0))/IFERROR(SUMPRODUCT((Besatzung!$B$11:$B$22&lt;&gt;"")*(IF(Besatzung!$C$11:$C$22="",Besatzung!$B$5,Besatzung!$C$11:$C$22)&lt;=B126)*(IF(Besatzung!$D$11:$D$22="",Besatzung!$B$6,Besatzung!$D$11:$D$22)&gt;=B126)),1)+(Besatzung!$F$17="x")*IFERROR(H126,0)/IFERROR(SUMPRODUCT((Besatzung!$B$11:$B$22&lt;&gt;"")*(Besatzung!$F$11:$F$22="x")*(IF(Besatzung!$C$11:$C$22="",Besatzung!$B$5,Besatzung!$C$11:$C$22)&lt;=B126)*(IF(Besatzung!$D$11:$D$22="",Besatzung!$B$6,Besatzung!$D$11:$D$22)&gt;=B126)),1))),IF(I126="Individuell",((P126="x")*((G126-IFERROR(H126,0))/IFERROR(COUNTIF(J126:U126,"x"),1)+(Besatzung!$F$17="x")*IFERROR(H126,0)/IFERROR(SUMPRODUCT((J126:U126="x")*(Besatzung!$F$11:$F$22="x")),1))),(IF(COUNTIF(J126:U126,"x")=0,IF(Besatzung!$B$17&lt;&gt;"",1,0),(P126="x"))*(G126-IFERROR(H126,0))/IFERROR(IF(COUNTIF(J126:U126,"x")=0,COUNTA(Besatzung!$B$11:$B$22),COUNTIF(J126:U126,"x")),1)+IF(COUNTIF(J126:U126,"x")=0,(Besatzung!$F$17="x"),(P126="x")*(Besatzung!$F$17="x"))*IFERROR(H126,0)/IFERROR(IF(COUNTIF(J126:U126,"x")=0,SUMPRODUCT((Besatzung!$B$11:$B$22&lt;&gt;"")*(Besatzung!$F$11:$F$22="x")),SUMPRODUCT((J126:U126="x")*(Besatzung!$F$11:$F$22="x"))),1))))),0))))</f>
        <v/>
      </c>
      <c r="AC126" s="247">
        <f>IF(C126="Gutschrift","",IF(G126="","",IF(Besatzung!$B$18="","",IFERROR(IF(I126="Zeitanteilig",(Besatzung!$G$18*(G126-IFERROR(H126,0))+((Besatzung!$B$18&lt;&gt;"")*IF(B126="",1,(IF(Besatzung!$C$18="",Besatzung!$B$5,Besatzung!$C$18)&lt;=B126)*(IF(Besatzung!$D$18="",Besatzung!$B$6,Besatzung!$D$18)&gt;=B126)))*(Besatzung!$F$18="x")*IFERROR(H126,0)/IFERROR(SUMPRODUCT((Besatzung!$B$11:$B$22&lt;&gt;"")*(Besatzung!$F$11:$F$22="x")*(IF(Besatzung!$C$11:$C$22="",Besatzung!$B$5,Besatzung!$C$11:$C$22)&lt;=B126)*(IF(Besatzung!$D$11:$D$22="",Besatzung!$B$6,Besatzung!$D$11:$D$22)&gt;=B126)),1)),IF(I126="An Bord",(((Besatzung!$B$18&lt;&gt;"")*IF(B126="",1,(IF(Besatzung!$C$18="",Besatzung!$B$5,Besatzung!$C$18)&lt;=B126)*(IF(Besatzung!$D$18="",Besatzung!$B$6,Besatzung!$D$18)&gt;=B126)))*((G126-IFERROR(H126,0))/IFERROR(SUMPRODUCT((Besatzung!$B$11:$B$22&lt;&gt;"")*(IF(Besatzung!$C$11:$C$22="",Besatzung!$B$5,Besatzung!$C$11:$C$22)&lt;=B126)*(IF(Besatzung!$D$11:$D$22="",Besatzung!$B$6,Besatzung!$D$11:$D$22)&gt;=B126)),1)+(Besatzung!$F$18="x")*IFERROR(H126,0)/IFERROR(SUMPRODUCT((Besatzung!$B$11:$B$22&lt;&gt;"")*(Besatzung!$F$11:$F$22="x")*(IF(Besatzung!$C$11:$C$22="",Besatzung!$B$5,Besatzung!$C$11:$C$22)&lt;=B126)*(IF(Besatzung!$D$11:$D$22="",Besatzung!$B$6,Besatzung!$D$11:$D$22)&gt;=B126)),1))),IF(I126="Individuell",((Q126="x")*((G126-IFERROR(H126,0))/IFERROR(COUNTIF(J126:U126,"x"),1)+(Besatzung!$F$18="x")*IFERROR(H126,0)/IFERROR(SUMPRODUCT((J126:U126="x")*(Besatzung!$F$11:$F$22="x")),1))),(IF(COUNTIF(J126:U126,"x")=0,IF(Besatzung!$B$18&lt;&gt;"",1,0),(Q126="x"))*(G126-IFERROR(H126,0))/IFERROR(IF(COUNTIF(J126:U126,"x")=0,COUNTA(Besatzung!$B$11:$B$22),COUNTIF(J126:U126,"x")),1)+IF(COUNTIF(J126:U126,"x")=0,(Besatzung!$F$18="x"),(Q126="x")*(Besatzung!$F$18="x"))*IFERROR(H126,0)/IFERROR(IF(COUNTIF(J126:U126,"x")=0,SUMPRODUCT((Besatzung!$B$11:$B$22&lt;&gt;"")*(Besatzung!$F$11:$F$22="x")),SUMPRODUCT((J126:U126="x")*(Besatzung!$F$11:$F$22="x"))),1))))),0))))</f>
        <v/>
      </c>
      <c r="AD126" s="247">
        <f>IF(C126="Gutschrift","",IF(G126="","",IF(Besatzung!$B$19="","",IFERROR(IF(I126="Zeitanteilig",(Besatzung!$G$19*(G126-IFERROR(H126,0))+((Besatzung!$B$19&lt;&gt;"")*IF(B126="",1,(IF(Besatzung!$C$19="",Besatzung!$B$5,Besatzung!$C$19)&lt;=B126)*(IF(Besatzung!$D$19="",Besatzung!$B$6,Besatzung!$D$19)&gt;=B126)))*(Besatzung!$F$19="x")*IFERROR(H126,0)/IFERROR(SUMPRODUCT((Besatzung!$B$11:$B$22&lt;&gt;"")*(Besatzung!$F$11:$F$22="x")*(IF(Besatzung!$C$11:$C$22="",Besatzung!$B$5,Besatzung!$C$11:$C$22)&lt;=B126)*(IF(Besatzung!$D$11:$D$22="",Besatzung!$B$6,Besatzung!$D$11:$D$22)&gt;=B126)),1)),IF(I126="An Bord",(((Besatzung!$B$19&lt;&gt;"")*IF(B126="",1,(IF(Besatzung!$C$19="",Besatzung!$B$5,Besatzung!$C$19)&lt;=B126)*(IF(Besatzung!$D$19="",Besatzung!$B$6,Besatzung!$D$19)&gt;=B126)))*((G126-IFERROR(H126,0))/IFERROR(SUMPRODUCT((Besatzung!$B$11:$B$22&lt;&gt;"")*(IF(Besatzung!$C$11:$C$22="",Besatzung!$B$5,Besatzung!$C$11:$C$22)&lt;=B126)*(IF(Besatzung!$D$11:$D$22="",Besatzung!$B$6,Besatzung!$D$11:$D$22)&gt;=B126)),1)+(Besatzung!$F$19="x")*IFERROR(H126,0)/IFERROR(SUMPRODUCT((Besatzung!$B$11:$B$22&lt;&gt;"")*(Besatzung!$F$11:$F$22="x")*(IF(Besatzung!$C$11:$C$22="",Besatzung!$B$5,Besatzung!$C$11:$C$22)&lt;=B126)*(IF(Besatzung!$D$11:$D$22="",Besatzung!$B$6,Besatzung!$D$11:$D$22)&gt;=B126)),1))),IF(I126="Individuell",((R126="x")*((G126-IFERROR(H126,0))/IFERROR(COUNTIF(J126:U126,"x"),1)+(Besatzung!$F$19="x")*IFERROR(H126,0)/IFERROR(SUMPRODUCT((J126:U126="x")*(Besatzung!$F$11:$F$22="x")),1))),(IF(COUNTIF(J126:U126,"x")=0,IF(Besatzung!$B$19&lt;&gt;"",1,0),(R126="x"))*(G126-IFERROR(H126,0))/IFERROR(IF(COUNTIF(J126:U126,"x")=0,COUNTA(Besatzung!$B$11:$B$22),COUNTIF(J126:U126,"x")),1)+IF(COUNTIF(J126:U126,"x")=0,(Besatzung!$F$19="x"),(R126="x")*(Besatzung!$F$19="x"))*IFERROR(H126,0)/IFERROR(IF(COUNTIF(J126:U126,"x")=0,SUMPRODUCT((Besatzung!$B$11:$B$22&lt;&gt;"")*(Besatzung!$F$11:$F$22="x")),SUMPRODUCT((J126:U126="x")*(Besatzung!$F$11:$F$22="x"))),1))))),0))))</f>
        <v/>
      </c>
      <c r="AE126" s="247">
        <f>IF(C126="Gutschrift","",IF(G126="","",IF(Besatzung!$B$20="","",IFERROR(IF(I126="Zeitanteilig",(Besatzung!$G$20*(G126-IFERROR(H126,0))+((Besatzung!$B$20&lt;&gt;"")*IF(B126="",1,(IF(Besatzung!$C$20="",Besatzung!$B$5,Besatzung!$C$20)&lt;=B126)*(IF(Besatzung!$D$20="",Besatzung!$B$6,Besatzung!$D$20)&gt;=B126)))*(Besatzung!$F$20="x")*IFERROR(H126,0)/IFERROR(SUMPRODUCT((Besatzung!$B$11:$B$22&lt;&gt;"")*(Besatzung!$F$11:$F$22="x")*(IF(Besatzung!$C$11:$C$22="",Besatzung!$B$5,Besatzung!$C$11:$C$22)&lt;=B126)*(IF(Besatzung!$D$11:$D$22="",Besatzung!$B$6,Besatzung!$D$11:$D$22)&gt;=B126)),1)),IF(I126="An Bord",(((Besatzung!$B$20&lt;&gt;"")*IF(B126="",1,(IF(Besatzung!$C$20="",Besatzung!$B$5,Besatzung!$C$20)&lt;=B126)*(IF(Besatzung!$D$20="",Besatzung!$B$6,Besatzung!$D$20)&gt;=B126)))*((G126-IFERROR(H126,0))/IFERROR(SUMPRODUCT((Besatzung!$B$11:$B$22&lt;&gt;"")*(IF(Besatzung!$C$11:$C$22="",Besatzung!$B$5,Besatzung!$C$11:$C$22)&lt;=B126)*(IF(Besatzung!$D$11:$D$22="",Besatzung!$B$6,Besatzung!$D$11:$D$22)&gt;=B126)),1)+(Besatzung!$F$20="x")*IFERROR(H126,0)/IFERROR(SUMPRODUCT((Besatzung!$B$11:$B$22&lt;&gt;"")*(Besatzung!$F$11:$F$22="x")*(IF(Besatzung!$C$11:$C$22="",Besatzung!$B$5,Besatzung!$C$11:$C$22)&lt;=B126)*(IF(Besatzung!$D$11:$D$22="",Besatzung!$B$6,Besatzung!$D$11:$D$22)&gt;=B126)),1))),IF(I126="Individuell",((S126="x")*((G126-IFERROR(H126,0))/IFERROR(COUNTIF(J126:U126,"x"),1)+(Besatzung!$F$20="x")*IFERROR(H126,0)/IFERROR(SUMPRODUCT((J126:U126="x")*(Besatzung!$F$11:$F$22="x")),1))),(IF(COUNTIF(J126:U126,"x")=0,IF(Besatzung!$B$20&lt;&gt;"",1,0),(S126="x"))*(G126-IFERROR(H126,0))/IFERROR(IF(COUNTIF(J126:U126,"x")=0,COUNTA(Besatzung!$B$11:$B$22),COUNTIF(J126:U126,"x")),1)+IF(COUNTIF(J126:U126,"x")=0,(Besatzung!$F$20="x"),(S126="x")*(Besatzung!$F$20="x"))*IFERROR(H126,0)/IFERROR(IF(COUNTIF(J126:U126,"x")=0,SUMPRODUCT((Besatzung!$B$11:$B$22&lt;&gt;"")*(Besatzung!$F$11:$F$22="x")),SUMPRODUCT((J126:U126="x")*(Besatzung!$F$11:$F$22="x"))),1))))),0))))</f>
        <v/>
      </c>
      <c r="AF126" s="247">
        <f>IF(C126="Gutschrift","",IF(G126="","",IF(Besatzung!$B$21="","",IFERROR(IF(I126="Zeitanteilig",(Besatzung!$G$21*(G126-IFERROR(H126,0))+((Besatzung!$B$21&lt;&gt;"")*IF(B126="",1,(IF(Besatzung!$C$21="",Besatzung!$B$5,Besatzung!$C$21)&lt;=B126)*(IF(Besatzung!$D$21="",Besatzung!$B$6,Besatzung!$D$21)&gt;=B126)))*(Besatzung!$F$21="x")*IFERROR(H126,0)/IFERROR(SUMPRODUCT((Besatzung!$B$11:$B$22&lt;&gt;"")*(Besatzung!$F$11:$F$22="x")*(IF(Besatzung!$C$11:$C$22="",Besatzung!$B$5,Besatzung!$C$11:$C$22)&lt;=B126)*(IF(Besatzung!$D$11:$D$22="",Besatzung!$B$6,Besatzung!$D$11:$D$22)&gt;=B126)),1)),IF(I126="An Bord",(((Besatzung!$B$21&lt;&gt;"")*IF(B126="",1,(IF(Besatzung!$C$21="",Besatzung!$B$5,Besatzung!$C$21)&lt;=B126)*(IF(Besatzung!$D$21="",Besatzung!$B$6,Besatzung!$D$21)&gt;=B126)))*((G126-IFERROR(H126,0))/IFERROR(SUMPRODUCT((Besatzung!$B$11:$B$22&lt;&gt;"")*(IF(Besatzung!$C$11:$C$22="",Besatzung!$B$5,Besatzung!$C$11:$C$22)&lt;=B126)*(IF(Besatzung!$D$11:$D$22="",Besatzung!$B$6,Besatzung!$D$11:$D$22)&gt;=B126)),1)+(Besatzung!$F$21="x")*IFERROR(H126,0)/IFERROR(SUMPRODUCT((Besatzung!$B$11:$B$22&lt;&gt;"")*(Besatzung!$F$11:$F$22="x")*(IF(Besatzung!$C$11:$C$22="",Besatzung!$B$5,Besatzung!$C$11:$C$22)&lt;=B126)*(IF(Besatzung!$D$11:$D$22="",Besatzung!$B$6,Besatzung!$D$11:$D$22)&gt;=B126)),1))),IF(I126="Individuell",((T126="x")*((G126-IFERROR(H126,0))/IFERROR(COUNTIF(J126:U126,"x"),1)+(Besatzung!$F$21="x")*IFERROR(H126,0)/IFERROR(SUMPRODUCT((J126:U126="x")*(Besatzung!$F$11:$F$22="x")),1))),(IF(COUNTIF(J126:U126,"x")=0,IF(Besatzung!$B$21&lt;&gt;"",1,0),(T126="x"))*(G126-IFERROR(H126,0))/IFERROR(IF(COUNTIF(J126:U126,"x")=0,COUNTA(Besatzung!$B$11:$B$22),COUNTIF(J126:U126,"x")),1)+IF(COUNTIF(J126:U126,"x")=0,(Besatzung!$F$21="x"),(T126="x")*(Besatzung!$F$21="x"))*IFERROR(H126,0)/IFERROR(IF(COUNTIF(J126:U126,"x")=0,SUMPRODUCT((Besatzung!$B$11:$B$22&lt;&gt;"")*(Besatzung!$F$11:$F$22="x")),SUMPRODUCT((J126:U126="x")*(Besatzung!$F$11:$F$22="x"))),1))))),0))))</f>
        <v/>
      </c>
      <c r="AG126" s="247">
        <f>IF(C126="Gutschrift","",IF(G126="","",IF(Besatzung!$B$22="","",IFERROR(IF(I126="Zeitanteilig",(Besatzung!$G$22*(G126-IFERROR(H126,0))+((Besatzung!$B$22&lt;&gt;"")*IF(B126="",1,(IF(Besatzung!$C$22="",Besatzung!$B$5,Besatzung!$C$22)&lt;=B126)*(IF(Besatzung!$D$22="",Besatzung!$B$6,Besatzung!$D$22)&gt;=B126)))*(Besatzung!$F$22="x")*IFERROR(H126,0)/IFERROR(SUMPRODUCT((Besatzung!$B$11:$B$22&lt;&gt;"")*(Besatzung!$F$11:$F$22="x")*(IF(Besatzung!$C$11:$C$22="",Besatzung!$B$5,Besatzung!$C$11:$C$22)&lt;=B126)*(IF(Besatzung!$D$11:$D$22="",Besatzung!$B$6,Besatzung!$D$11:$D$22)&gt;=B126)),1)),IF(I126="An Bord",(((Besatzung!$B$22&lt;&gt;"")*IF(B126="",1,(IF(Besatzung!$C$22="",Besatzung!$B$5,Besatzung!$C$22)&lt;=B126)*(IF(Besatzung!$D$22="",Besatzung!$B$6,Besatzung!$D$22)&gt;=B126)))*((G126-IFERROR(H126,0))/IFERROR(SUMPRODUCT((Besatzung!$B$11:$B$22&lt;&gt;"")*(IF(Besatzung!$C$11:$C$22="",Besatzung!$B$5,Besatzung!$C$11:$C$22)&lt;=B126)*(IF(Besatzung!$D$11:$D$22="",Besatzung!$B$6,Besatzung!$D$11:$D$22)&gt;=B126)),1)+(Besatzung!$F$22="x")*IFERROR(H126,0)/IFERROR(SUMPRODUCT((Besatzung!$B$11:$B$22&lt;&gt;"")*(Besatzung!$F$11:$F$22="x")*(IF(Besatzung!$C$11:$C$22="",Besatzung!$B$5,Besatzung!$C$11:$C$22)&lt;=B126)*(IF(Besatzung!$D$11:$D$22="",Besatzung!$B$6,Besatzung!$D$11:$D$22)&gt;=B126)),1))),IF(I126="Individuell",((U126="x")*((G126-IFERROR(H126,0))/IFERROR(COUNTIF(J126:U126,"x"),1)+(Besatzung!$F$22="x")*IFERROR(H126,0)/IFERROR(SUMPRODUCT((J126:U126="x")*(Besatzung!$F$11:$F$22="x")),1))),(IF(COUNTIF(J126:U126,"x")=0,IF(Besatzung!$B$22&lt;&gt;"",1,0),(U126="x"))*(G126-IFERROR(H126,0))/IFERROR(IF(COUNTIF(J126:U126,"x")=0,COUNTA(Besatzung!$B$11:$B$22),COUNTIF(J126:U126,"x")),1)+IF(COUNTIF(J126:U126,"x")=0,(Besatzung!$F$22="x"),(U126="x")*(Besatzung!$F$22="x"))*IFERROR(H126,0)/IFERROR(IF(COUNTIF(J126:U126,"x")=0,SUMPRODUCT((Besatzung!$B$11:$B$22&lt;&gt;"")*(Besatzung!$F$11:$F$22="x")),SUMPRODUCT((J126:U126="x")*(Besatzung!$F$11:$F$22="x"))),1))))),0))))</f>
        <v/>
      </c>
      <c r="AH126" s="248" t="n"/>
      <c r="AI126" s="248" t="n"/>
    </row>
    <row r="127" ht="21.75" customHeight="1" s="154">
      <c r="A127" s="238">
        <f>IF(AND(D127="",C127=""),"",124)</f>
        <v/>
      </c>
      <c r="B127" s="206" t="n"/>
      <c r="C127" s="249" t="n"/>
      <c r="D127" s="250" t="n"/>
      <c r="E127" s="251" t="n"/>
      <c r="F127" s="252" t="n"/>
      <c r="G127" s="253" t="n"/>
      <c r="H127" s="254" t="n"/>
      <c r="I127" s="255" t="n"/>
      <c r="J127" s="256" t="n"/>
      <c r="K127" s="256" t="n"/>
      <c r="L127" s="256" t="n"/>
      <c r="M127" s="256" t="n"/>
      <c r="N127" s="256" t="n"/>
      <c r="O127" s="256" t="n"/>
      <c r="P127" s="256" t="n"/>
      <c r="Q127" s="256" t="n"/>
      <c r="R127" s="256" t="n"/>
      <c r="S127" s="256" t="n"/>
      <c r="T127" s="256" t="n"/>
      <c r="U127" s="256" t="n"/>
      <c r="V127" s="247">
        <f>IF(C127="Gutschrift","",IF(G127="","",IF(Besatzung!$B$11="","",IFERROR(IF(I127="Zeitanteilig",(Besatzung!$G$11*(G127-IFERROR(H127,0))+((Besatzung!$B$11&lt;&gt;"")*IF(B127="",1,(IF(Besatzung!$C$11="",Besatzung!$B$5,Besatzung!$C$11)&lt;=B127)*(IF(Besatzung!$D$11="",Besatzung!$B$6,Besatzung!$D$11)&gt;=B127)))*(Besatzung!$F$11="x")*IFERROR(H127,0)/IFERROR(SUMPRODUCT((Besatzung!$B$11:$B$22&lt;&gt;"")*(Besatzung!$F$11:$F$22="x")*(IF(Besatzung!$C$11:$C$22="",Besatzung!$B$5,Besatzung!$C$11:$C$22)&lt;=B127)*(IF(Besatzung!$D$11:$D$22="",Besatzung!$B$6,Besatzung!$D$11:$D$22)&gt;=B127)),1)),IF(I127="An Bord",(((Besatzung!$B$11&lt;&gt;"")*IF(B127="",1,(IF(Besatzung!$C$11="",Besatzung!$B$5,Besatzung!$C$11)&lt;=B127)*(IF(Besatzung!$D$11="",Besatzung!$B$6,Besatzung!$D$11)&gt;=B127)))*((G127-IFERROR(H127,0))/IFERROR(SUMPRODUCT((Besatzung!$B$11:$B$22&lt;&gt;"")*(IF(Besatzung!$C$11:$C$22="",Besatzung!$B$5,Besatzung!$C$11:$C$22)&lt;=B127)*(IF(Besatzung!$D$11:$D$22="",Besatzung!$B$6,Besatzung!$D$11:$D$22)&gt;=B127)),1)+(Besatzung!$F$11="x")*IFERROR(H127,0)/IFERROR(SUMPRODUCT((Besatzung!$B$11:$B$22&lt;&gt;"")*(Besatzung!$F$11:$F$22="x")*(IF(Besatzung!$C$11:$C$22="",Besatzung!$B$5,Besatzung!$C$11:$C$22)&lt;=B127)*(IF(Besatzung!$D$11:$D$22="",Besatzung!$B$6,Besatzung!$D$11:$D$22)&gt;=B127)),1))),IF(I127="Individuell",((J127="x")*((G127-IFERROR(H127,0))/IFERROR(COUNTIF(J127:U127,"x"),1)+(Besatzung!$F$11="x")*IFERROR(H127,0)/IFERROR(SUMPRODUCT((J127:U127="x")*(Besatzung!$F$11:$F$22="x")),1))),(IF(COUNTIF(J127:U127,"x")=0,IF(Besatzung!$B$11&lt;&gt;"",1,0),(J127="x"))*(G127-IFERROR(H127,0))/IFERROR(IF(COUNTIF(J127:U127,"x")=0,COUNTA(Besatzung!$B$11:$B$22),COUNTIF(J127:U127,"x")),1)+IF(COUNTIF(J127:U127,"x")=0,(Besatzung!$F$11="x"),(J127="x")*(Besatzung!$F$11="x"))*IFERROR(H127,0)/IFERROR(IF(COUNTIF(J127:U127,"x")=0,SUMPRODUCT((Besatzung!$B$11:$B$22&lt;&gt;"")*(Besatzung!$F$11:$F$22="x")),SUMPRODUCT((J127:U127="x")*(Besatzung!$F$11:$F$22="x"))),1))))),0))))</f>
        <v/>
      </c>
      <c r="W127" s="247">
        <f>IF(C127="Gutschrift","",IF(G127="","",IF(Besatzung!$B$12="","",IFERROR(IF(I127="Zeitanteilig",(Besatzung!$G$12*(G127-IFERROR(H127,0))+((Besatzung!$B$12&lt;&gt;"")*IF(B127="",1,(IF(Besatzung!$C$12="",Besatzung!$B$5,Besatzung!$C$12)&lt;=B127)*(IF(Besatzung!$D$12="",Besatzung!$B$6,Besatzung!$D$12)&gt;=B127)))*(Besatzung!$F$12="x")*IFERROR(H127,0)/IFERROR(SUMPRODUCT((Besatzung!$B$11:$B$22&lt;&gt;"")*(Besatzung!$F$11:$F$22="x")*(IF(Besatzung!$C$11:$C$22="",Besatzung!$B$5,Besatzung!$C$11:$C$22)&lt;=B127)*(IF(Besatzung!$D$11:$D$22="",Besatzung!$B$6,Besatzung!$D$11:$D$22)&gt;=B127)),1)),IF(I127="An Bord",(((Besatzung!$B$12&lt;&gt;"")*IF(B127="",1,(IF(Besatzung!$C$12="",Besatzung!$B$5,Besatzung!$C$12)&lt;=B127)*(IF(Besatzung!$D$12="",Besatzung!$B$6,Besatzung!$D$12)&gt;=B127)))*((G127-IFERROR(H127,0))/IFERROR(SUMPRODUCT((Besatzung!$B$11:$B$22&lt;&gt;"")*(IF(Besatzung!$C$11:$C$22="",Besatzung!$B$5,Besatzung!$C$11:$C$22)&lt;=B127)*(IF(Besatzung!$D$11:$D$22="",Besatzung!$B$6,Besatzung!$D$11:$D$22)&gt;=B127)),1)+(Besatzung!$F$12="x")*IFERROR(H127,0)/IFERROR(SUMPRODUCT((Besatzung!$B$11:$B$22&lt;&gt;"")*(Besatzung!$F$11:$F$22="x")*(IF(Besatzung!$C$11:$C$22="",Besatzung!$B$5,Besatzung!$C$11:$C$22)&lt;=B127)*(IF(Besatzung!$D$11:$D$22="",Besatzung!$B$6,Besatzung!$D$11:$D$22)&gt;=B127)),1))),IF(I127="Individuell",((K127="x")*((G127-IFERROR(H127,0))/IFERROR(COUNTIF(J127:U127,"x"),1)+(Besatzung!$F$12="x")*IFERROR(H127,0)/IFERROR(SUMPRODUCT((J127:U127="x")*(Besatzung!$F$11:$F$22="x")),1))),(IF(COUNTIF(J127:U127,"x")=0,IF(Besatzung!$B$12&lt;&gt;"",1,0),(K127="x"))*(G127-IFERROR(H127,0))/IFERROR(IF(COUNTIF(J127:U127,"x")=0,COUNTA(Besatzung!$B$11:$B$22),COUNTIF(J127:U127,"x")),1)+IF(COUNTIF(J127:U127,"x")=0,(Besatzung!$F$12="x"),(K127="x")*(Besatzung!$F$12="x"))*IFERROR(H127,0)/IFERROR(IF(COUNTIF(J127:U127,"x")=0,SUMPRODUCT((Besatzung!$B$11:$B$22&lt;&gt;"")*(Besatzung!$F$11:$F$22="x")),SUMPRODUCT((J127:U127="x")*(Besatzung!$F$11:$F$22="x"))),1))))),0))))</f>
        <v/>
      </c>
      <c r="X127" s="247">
        <f>IF(C127="Gutschrift","",IF(G127="","",IF(Besatzung!$B$13="","",IFERROR(IF(I127="Zeitanteilig",(Besatzung!$G$13*(G127-IFERROR(H127,0))+((Besatzung!$B$13&lt;&gt;"")*IF(B127="",1,(IF(Besatzung!$C$13="",Besatzung!$B$5,Besatzung!$C$13)&lt;=B127)*(IF(Besatzung!$D$13="",Besatzung!$B$6,Besatzung!$D$13)&gt;=B127)))*(Besatzung!$F$13="x")*IFERROR(H127,0)/IFERROR(SUMPRODUCT((Besatzung!$B$11:$B$22&lt;&gt;"")*(Besatzung!$F$11:$F$22="x")*(IF(Besatzung!$C$11:$C$22="",Besatzung!$B$5,Besatzung!$C$11:$C$22)&lt;=B127)*(IF(Besatzung!$D$11:$D$22="",Besatzung!$B$6,Besatzung!$D$11:$D$22)&gt;=B127)),1)),IF(I127="An Bord",(((Besatzung!$B$13&lt;&gt;"")*IF(B127="",1,(IF(Besatzung!$C$13="",Besatzung!$B$5,Besatzung!$C$13)&lt;=B127)*(IF(Besatzung!$D$13="",Besatzung!$B$6,Besatzung!$D$13)&gt;=B127)))*((G127-IFERROR(H127,0))/IFERROR(SUMPRODUCT((Besatzung!$B$11:$B$22&lt;&gt;"")*(IF(Besatzung!$C$11:$C$22="",Besatzung!$B$5,Besatzung!$C$11:$C$22)&lt;=B127)*(IF(Besatzung!$D$11:$D$22="",Besatzung!$B$6,Besatzung!$D$11:$D$22)&gt;=B127)),1)+(Besatzung!$F$13="x")*IFERROR(H127,0)/IFERROR(SUMPRODUCT((Besatzung!$B$11:$B$22&lt;&gt;"")*(Besatzung!$F$11:$F$22="x")*(IF(Besatzung!$C$11:$C$22="",Besatzung!$B$5,Besatzung!$C$11:$C$22)&lt;=B127)*(IF(Besatzung!$D$11:$D$22="",Besatzung!$B$6,Besatzung!$D$11:$D$22)&gt;=B127)),1))),IF(I127="Individuell",((K127="x")*((G127-IFERROR(H127,0))/IFERROR(COUNTIF(J127:U127,"x"),1)+(Besatzung!$F$13="x")*IFERROR(H127,0)/IFERROR(SUMPRODUCT((J127:U127="x")*(Besatzung!$F$11:$F$22="x")),1))),(IF(COUNTIF(J127:U127,"x")=0,IF(Besatzung!$B$13&lt;&gt;"",1,0),(K127="x"))*(G127-IFERROR(H127,0))/IFERROR(IF(COUNTIF(J127:U127,"x")=0,COUNTA(Besatzung!$B$11:$B$22),COUNTIF(J127:U127,"x")),1)+IF(COUNTIF(J127:U127,"x")=0,(Besatzung!$F$13="x"),(K127="x")*(Besatzung!$F$13="x"))*IFERROR(H127,0)/IFERROR(IF(COUNTIF(J127:U127,"x")=0,SUMPRODUCT((Besatzung!$B$11:$B$22&lt;&gt;"")*(Besatzung!$F$11:$F$22="x")),SUMPRODUCT((J127:U127="x")*(Besatzung!$F$11:$F$22="x"))),1))))),0))))</f>
        <v/>
      </c>
      <c r="Y127" s="247">
        <f>IF(C127="Gutschrift","",IF(G127="","",IF(Besatzung!$B$14="","",IFERROR(IF(I127="Zeitanteilig",(Besatzung!$G$14*(G127-IFERROR(H127,0))+((Besatzung!$B$14&lt;&gt;"")*IF(B127="",1,(IF(Besatzung!$C$14="",Besatzung!$B$5,Besatzung!$C$14)&lt;=B127)*(IF(Besatzung!$D$14="",Besatzung!$B$6,Besatzung!$D$14)&gt;=B127)))*(Besatzung!$F$14="x")*IFERROR(H127,0)/IFERROR(SUMPRODUCT((Besatzung!$B$11:$B$22&lt;&gt;"")*(Besatzung!$F$11:$F$22="x")*(IF(Besatzung!$C$11:$C$22="",Besatzung!$B$5,Besatzung!$C$11:$C$22)&lt;=B127)*(IF(Besatzung!$D$11:$D$22="",Besatzung!$B$6,Besatzung!$D$11:$D$22)&gt;=B127)),1)),IF(I127="An Bord",(((Besatzung!$B$14&lt;&gt;"")*IF(B127="",1,(IF(Besatzung!$C$14="",Besatzung!$B$5,Besatzung!$C$14)&lt;=B127)*(IF(Besatzung!$D$14="",Besatzung!$B$6,Besatzung!$D$14)&gt;=B127)))*((G127-IFERROR(H127,0))/IFERROR(SUMPRODUCT((Besatzung!$B$11:$B$22&lt;&gt;"")*(IF(Besatzung!$C$11:$C$22="",Besatzung!$B$5,Besatzung!$C$11:$C$22)&lt;=B127)*(IF(Besatzung!$D$11:$D$22="",Besatzung!$B$6,Besatzung!$D$11:$D$22)&gt;=B127)),1)+(Besatzung!$F$14="x")*IFERROR(H127,0)/IFERROR(SUMPRODUCT((Besatzung!$B$11:$B$22&lt;&gt;"")*(Besatzung!$F$11:$F$22="x")*(IF(Besatzung!$C$11:$C$22="",Besatzung!$B$5,Besatzung!$C$11:$C$22)&lt;=B127)*(IF(Besatzung!$D$11:$D$22="",Besatzung!$B$6,Besatzung!$D$11:$D$22)&gt;=B127)),1))),IF(I127="Individuell",((M127="x")*((G127-IFERROR(H127,0))/IFERROR(COUNTIF(J127:U127,"x"),1)+(Besatzung!$F$14="x")*IFERROR(H127,0)/IFERROR(SUMPRODUCT((J127:U127="x")*(Besatzung!$F$11:$F$22="x")),1))),(IF(COUNTIF(J127:U127,"x")=0,IF(Besatzung!$B$14&lt;&gt;"",1,0),(M127="x"))*(G127-IFERROR(H127,0))/IFERROR(IF(COUNTIF(J127:U127,"x")=0,COUNTA(Besatzung!$B$11:$B$22),COUNTIF(J127:U127,"x")),1)+IF(COUNTIF(J127:U127,"x")=0,(Besatzung!$F$14="x"),(M127="x")*(Besatzung!$F$14="x"))*IFERROR(H127,0)/IFERROR(IF(COUNTIF(J127:U127,"x")=0,SUMPRODUCT((Besatzung!$B$11:$B$22&lt;&gt;"")*(Besatzung!$F$11:$F$22="x")),SUMPRODUCT((J127:U127="x")*(Besatzung!$F$11:$F$22="x"))),1))))),0))))</f>
        <v/>
      </c>
      <c r="Z127" s="247">
        <f>IF(C127="Gutschrift","",IF(G127="","",IF(Besatzung!$B$13="","",IFERROR(IF(I127="Zeitanteilig",(Besatzung!$G$15*(G127-IFERROR(H127,0))+((Besatzung!$B$13&lt;&gt;"")*IF(B127="",1,(IF(Besatzung!$C$15="",Besatzung!$B$5,Besatzung!$C$15)&lt;=B127)*(IF(Besatzung!$D$15="",Besatzung!$B$6,Besatzung!$D$15)&gt;=B127)))*(Besatzung!$F$15="x")*IFERROR(H127,0)/IFERROR(SUMPRODUCT((Besatzung!$B$11:$B$22&lt;&gt;"")*(Besatzung!$F$11:$F$22="x")*(IF(Besatzung!$C$11:$C$22="",Besatzung!$B$5,Besatzung!$C$11:$C$22)&lt;=B127)*(IF(Besatzung!$D$11:$D$22="",Besatzung!$B$6,Besatzung!$D$11:$D$22)&gt;=B127)),1)),IF(I127="An Bord",(((Besatzung!$B$13&lt;&gt;"")*IF(B127="",1,(IF(Besatzung!$C$15="",Besatzung!$B$5,Besatzung!$C$15)&lt;=B127)*(IF(Besatzung!$D$15="",Besatzung!$B$6,Besatzung!$D$15)&gt;=B127)))*((G127-IFERROR(H127,0))/IFERROR(SUMPRODUCT((Besatzung!$B$11:$B$22&lt;&gt;"")*(IF(Besatzung!$C$11:$C$22="",Besatzung!$B$5,Besatzung!$C$11:$C$22)&lt;=B127)*(IF(Besatzung!$D$11:$D$22="",Besatzung!$B$6,Besatzung!$D$11:$D$22)&gt;=B127)),1)+(Besatzung!$F$15="x")*IFERROR(H127,0)/IFERROR(SUMPRODUCT((Besatzung!$B$11:$B$22&lt;&gt;"")*(Besatzung!$F$11:$F$22="x")*(IF(Besatzung!$C$11:$C$22="",Besatzung!$B$5,Besatzung!$C$11:$C$22)&lt;=B127)*(IF(Besatzung!$D$11:$D$22="",Besatzung!$B$6,Besatzung!$D$11:$D$22)&gt;=B127)),1))),IF(I127="Individuell",((N127="x")*((G127-IFERROR(H127,0))/IFERROR(COUNTIF(J127:U127,"x"),1)+(Besatzung!$F$15="x")*IFERROR(H127,0)/IFERROR(SUMPRODUCT((J127:U127="x")*(Besatzung!$F$11:$F$22="x")),1))),(IF(COUNTIF(J127:U127,"x")=0,IF(Besatzung!$B$13&lt;&gt;"",1,0),(N127="x"))*(G127-IFERROR(H127,0))/IFERROR(IF(COUNTIF(J127:U127,"x")=0,COUNTA(Besatzung!$B$11:$B$22),COUNTIF(J127:U127,"x")),1)+IF(COUNTIF(J127:U127,"x")=0,(Besatzung!$F$15="x"),(N127="x")*(Besatzung!$F$15="x"))*IFERROR(H127,0)/IFERROR(IF(COUNTIF(J127:U127,"x")=0,SUMPRODUCT((Besatzung!$B$11:$B$22&lt;&gt;"")*(Besatzung!$F$11:$F$22="x")),SUMPRODUCT((J127:U127="x")*(Besatzung!$F$11:$F$22="x"))),1))))),0))))</f>
        <v/>
      </c>
      <c r="AA127" s="247">
        <f>IF(C127="Gutschrift","",IF(G127="","",IF(Besatzung!$B$15="","",IFERROR(IF(I127="Zeitanteilig",(Besatzung!$G$16*(G127-IFERROR(H127,0))+((Besatzung!$B$15&lt;&gt;"")*IF(B127="",1,(IF(Besatzung!$C$16="",Besatzung!$B$5,Besatzung!$C$16)&lt;=B127)*(IF(Besatzung!$D$16="",Besatzung!$B$6,Besatzung!$D$16)&gt;=B127)))*(Besatzung!$F$16="x")*IFERROR(H127,0)/IFERROR(SUMPRODUCT((Besatzung!$B$11:$B$22&lt;&gt;"")*(Besatzung!$F$11:$F$22="x")*(IF(Besatzung!$C$11:$C$22="",Besatzung!$B$5,Besatzung!$C$11:$C$22)&lt;=B127)*(IF(Besatzung!$D$11:$D$22="",Besatzung!$B$6,Besatzung!$D$11:$D$22)&gt;=B127)),1)),IF(I127="An Bord",(((Besatzung!$B$15&lt;&gt;"")*IF(B127="",1,(IF(Besatzung!$C$16="",Besatzung!$B$5,Besatzung!$C$16)&lt;=B127)*(IF(Besatzung!$D$16="",Besatzung!$B$6,Besatzung!$D$16)&gt;=B127)))*((G127-IFERROR(H127,0))/IFERROR(SUMPRODUCT((Besatzung!$B$11:$B$22&lt;&gt;"")*(IF(Besatzung!$C$11:$C$22="",Besatzung!$B$5,Besatzung!$C$11:$C$22)&lt;=B127)*(IF(Besatzung!$D$11:$D$22="",Besatzung!$B$6,Besatzung!$D$11:$D$22)&gt;=B127)),1)+(Besatzung!$F$16="x")*IFERROR(H127,0)/IFERROR(SUMPRODUCT((Besatzung!$B$11:$B$22&lt;&gt;"")*(Besatzung!$F$11:$F$22="x")*(IF(Besatzung!$C$11:$C$22="",Besatzung!$B$5,Besatzung!$C$11:$C$22)&lt;=B127)*(IF(Besatzung!$D$11:$D$22="",Besatzung!$B$6,Besatzung!$D$11:$D$22)&gt;=B127)),1))),IF(I127="Individuell",((O127="x")*((G127-IFERROR(H127,0))/IFERROR(COUNTIF(J127:U127,"x"),1)+(Besatzung!$F$16="x")*IFERROR(H127,0)/IFERROR(SUMPRODUCT((J127:U127="x")*(Besatzung!$F$11:$F$22="x")),1))),(IF(COUNTIF(J127:U127,"x")=0,IF(Besatzung!$B$15&lt;&gt;"",1,0),(O127="x"))*(G127-IFERROR(H127,0))/IFERROR(IF(COUNTIF(J127:U127,"x")=0,COUNTA(Besatzung!$B$11:$B$22),COUNTIF(J127:U127,"x")),1)+IF(COUNTIF(J127:U127,"x")=0,(Besatzung!$F$16="x"),(O127="x")*(Besatzung!$F$16="x"))*IFERROR(H127,0)/IFERROR(IF(COUNTIF(J127:U127,"x")=0,SUMPRODUCT((Besatzung!$B$11:$B$22&lt;&gt;"")*(Besatzung!$F$11:$F$22="x")),SUMPRODUCT((J127:U127="x")*(Besatzung!$F$11:$F$22="x"))),1))))),0))))</f>
        <v/>
      </c>
      <c r="AB127" s="247">
        <f>IF(C127="Gutschrift","",IF(G127="","",IF(Besatzung!$B$17="","",IFERROR(IF(I127="Zeitanteilig",(Besatzung!$G$17*(G127-IFERROR(H127,0))+((Besatzung!$B$17&lt;&gt;"")*IF(B127="",1,(IF(Besatzung!$C$17="",Besatzung!$B$5,Besatzung!$C$17)&lt;=B127)*(IF(Besatzung!$D$17="",Besatzung!$B$6,Besatzung!$D$17)&gt;=B127)))*(Besatzung!$F$17="x")*IFERROR(H127,0)/IFERROR(SUMPRODUCT((Besatzung!$B$11:$B$22&lt;&gt;"")*(Besatzung!$F$11:$F$22="x")*(IF(Besatzung!$C$11:$C$22="",Besatzung!$B$5,Besatzung!$C$11:$C$22)&lt;=B127)*(IF(Besatzung!$D$11:$D$22="",Besatzung!$B$6,Besatzung!$D$11:$D$22)&gt;=B127)),1)),IF(I127="An Bord",(((Besatzung!$B$17&lt;&gt;"")*IF(B127="",1,(IF(Besatzung!$C$17="",Besatzung!$B$5,Besatzung!$C$17)&lt;=B127)*(IF(Besatzung!$D$17="",Besatzung!$B$6,Besatzung!$D$17)&gt;=B127)))*((G127-IFERROR(H127,0))/IFERROR(SUMPRODUCT((Besatzung!$B$11:$B$22&lt;&gt;"")*(IF(Besatzung!$C$11:$C$22="",Besatzung!$B$5,Besatzung!$C$11:$C$22)&lt;=B127)*(IF(Besatzung!$D$11:$D$22="",Besatzung!$B$6,Besatzung!$D$11:$D$22)&gt;=B127)),1)+(Besatzung!$F$17="x")*IFERROR(H127,0)/IFERROR(SUMPRODUCT((Besatzung!$B$11:$B$22&lt;&gt;"")*(Besatzung!$F$11:$F$22="x")*(IF(Besatzung!$C$11:$C$22="",Besatzung!$B$5,Besatzung!$C$11:$C$22)&lt;=B127)*(IF(Besatzung!$D$11:$D$22="",Besatzung!$B$6,Besatzung!$D$11:$D$22)&gt;=B127)),1))),IF(I127="Individuell",((P127="x")*((G127-IFERROR(H127,0))/IFERROR(COUNTIF(J127:U127,"x"),1)+(Besatzung!$F$17="x")*IFERROR(H127,0)/IFERROR(SUMPRODUCT((J127:U127="x")*(Besatzung!$F$11:$F$22="x")),1))),(IF(COUNTIF(J127:U127,"x")=0,IF(Besatzung!$B$17&lt;&gt;"",1,0),(P127="x"))*(G127-IFERROR(H127,0))/IFERROR(IF(COUNTIF(J127:U127,"x")=0,COUNTA(Besatzung!$B$11:$B$22),COUNTIF(J127:U127,"x")),1)+IF(COUNTIF(J127:U127,"x")=0,(Besatzung!$F$17="x"),(P127="x")*(Besatzung!$F$17="x"))*IFERROR(H127,0)/IFERROR(IF(COUNTIF(J127:U127,"x")=0,SUMPRODUCT((Besatzung!$B$11:$B$22&lt;&gt;"")*(Besatzung!$F$11:$F$22="x")),SUMPRODUCT((J127:U127="x")*(Besatzung!$F$11:$F$22="x"))),1))))),0))))</f>
        <v/>
      </c>
      <c r="AC127" s="247">
        <f>IF(C127="Gutschrift","",IF(G127="","",IF(Besatzung!$B$18="","",IFERROR(IF(I127="Zeitanteilig",(Besatzung!$G$18*(G127-IFERROR(H127,0))+((Besatzung!$B$18&lt;&gt;"")*IF(B127="",1,(IF(Besatzung!$C$18="",Besatzung!$B$5,Besatzung!$C$18)&lt;=B127)*(IF(Besatzung!$D$18="",Besatzung!$B$6,Besatzung!$D$18)&gt;=B127)))*(Besatzung!$F$18="x")*IFERROR(H127,0)/IFERROR(SUMPRODUCT((Besatzung!$B$11:$B$22&lt;&gt;"")*(Besatzung!$F$11:$F$22="x")*(IF(Besatzung!$C$11:$C$22="",Besatzung!$B$5,Besatzung!$C$11:$C$22)&lt;=B127)*(IF(Besatzung!$D$11:$D$22="",Besatzung!$B$6,Besatzung!$D$11:$D$22)&gt;=B127)),1)),IF(I127="An Bord",(((Besatzung!$B$18&lt;&gt;"")*IF(B127="",1,(IF(Besatzung!$C$18="",Besatzung!$B$5,Besatzung!$C$18)&lt;=B127)*(IF(Besatzung!$D$18="",Besatzung!$B$6,Besatzung!$D$18)&gt;=B127)))*((G127-IFERROR(H127,0))/IFERROR(SUMPRODUCT((Besatzung!$B$11:$B$22&lt;&gt;"")*(IF(Besatzung!$C$11:$C$22="",Besatzung!$B$5,Besatzung!$C$11:$C$22)&lt;=B127)*(IF(Besatzung!$D$11:$D$22="",Besatzung!$B$6,Besatzung!$D$11:$D$22)&gt;=B127)),1)+(Besatzung!$F$18="x")*IFERROR(H127,0)/IFERROR(SUMPRODUCT((Besatzung!$B$11:$B$22&lt;&gt;"")*(Besatzung!$F$11:$F$22="x")*(IF(Besatzung!$C$11:$C$22="",Besatzung!$B$5,Besatzung!$C$11:$C$22)&lt;=B127)*(IF(Besatzung!$D$11:$D$22="",Besatzung!$B$6,Besatzung!$D$11:$D$22)&gt;=B127)),1))),IF(I127="Individuell",((Q127="x")*((G127-IFERROR(H127,0))/IFERROR(COUNTIF(J127:U127,"x"),1)+(Besatzung!$F$18="x")*IFERROR(H127,0)/IFERROR(SUMPRODUCT((J127:U127="x")*(Besatzung!$F$11:$F$22="x")),1))),(IF(COUNTIF(J127:U127,"x")=0,IF(Besatzung!$B$18&lt;&gt;"",1,0),(Q127="x"))*(G127-IFERROR(H127,0))/IFERROR(IF(COUNTIF(J127:U127,"x")=0,COUNTA(Besatzung!$B$11:$B$22),COUNTIF(J127:U127,"x")),1)+IF(COUNTIF(J127:U127,"x")=0,(Besatzung!$F$18="x"),(Q127="x")*(Besatzung!$F$18="x"))*IFERROR(H127,0)/IFERROR(IF(COUNTIF(J127:U127,"x")=0,SUMPRODUCT((Besatzung!$B$11:$B$22&lt;&gt;"")*(Besatzung!$F$11:$F$22="x")),SUMPRODUCT((J127:U127="x")*(Besatzung!$F$11:$F$22="x"))),1))))),0))))</f>
        <v/>
      </c>
      <c r="AD127" s="247">
        <f>IF(C127="Gutschrift","",IF(G127="","",IF(Besatzung!$B$19="","",IFERROR(IF(I127="Zeitanteilig",(Besatzung!$G$19*(G127-IFERROR(H127,0))+((Besatzung!$B$19&lt;&gt;"")*IF(B127="",1,(IF(Besatzung!$C$19="",Besatzung!$B$5,Besatzung!$C$19)&lt;=B127)*(IF(Besatzung!$D$19="",Besatzung!$B$6,Besatzung!$D$19)&gt;=B127)))*(Besatzung!$F$19="x")*IFERROR(H127,0)/IFERROR(SUMPRODUCT((Besatzung!$B$11:$B$22&lt;&gt;"")*(Besatzung!$F$11:$F$22="x")*(IF(Besatzung!$C$11:$C$22="",Besatzung!$B$5,Besatzung!$C$11:$C$22)&lt;=B127)*(IF(Besatzung!$D$11:$D$22="",Besatzung!$B$6,Besatzung!$D$11:$D$22)&gt;=B127)),1)),IF(I127="An Bord",(((Besatzung!$B$19&lt;&gt;"")*IF(B127="",1,(IF(Besatzung!$C$19="",Besatzung!$B$5,Besatzung!$C$19)&lt;=B127)*(IF(Besatzung!$D$19="",Besatzung!$B$6,Besatzung!$D$19)&gt;=B127)))*((G127-IFERROR(H127,0))/IFERROR(SUMPRODUCT((Besatzung!$B$11:$B$22&lt;&gt;"")*(IF(Besatzung!$C$11:$C$22="",Besatzung!$B$5,Besatzung!$C$11:$C$22)&lt;=B127)*(IF(Besatzung!$D$11:$D$22="",Besatzung!$B$6,Besatzung!$D$11:$D$22)&gt;=B127)),1)+(Besatzung!$F$19="x")*IFERROR(H127,0)/IFERROR(SUMPRODUCT((Besatzung!$B$11:$B$22&lt;&gt;"")*(Besatzung!$F$11:$F$22="x")*(IF(Besatzung!$C$11:$C$22="",Besatzung!$B$5,Besatzung!$C$11:$C$22)&lt;=B127)*(IF(Besatzung!$D$11:$D$22="",Besatzung!$B$6,Besatzung!$D$11:$D$22)&gt;=B127)),1))),IF(I127="Individuell",((R127="x")*((G127-IFERROR(H127,0))/IFERROR(COUNTIF(J127:U127,"x"),1)+(Besatzung!$F$19="x")*IFERROR(H127,0)/IFERROR(SUMPRODUCT((J127:U127="x")*(Besatzung!$F$11:$F$22="x")),1))),(IF(COUNTIF(J127:U127,"x")=0,IF(Besatzung!$B$19&lt;&gt;"",1,0),(R127="x"))*(G127-IFERROR(H127,0))/IFERROR(IF(COUNTIF(J127:U127,"x")=0,COUNTA(Besatzung!$B$11:$B$22),COUNTIF(J127:U127,"x")),1)+IF(COUNTIF(J127:U127,"x")=0,(Besatzung!$F$19="x"),(R127="x")*(Besatzung!$F$19="x"))*IFERROR(H127,0)/IFERROR(IF(COUNTIF(J127:U127,"x")=0,SUMPRODUCT((Besatzung!$B$11:$B$22&lt;&gt;"")*(Besatzung!$F$11:$F$22="x")),SUMPRODUCT((J127:U127="x")*(Besatzung!$F$11:$F$22="x"))),1))))),0))))</f>
        <v/>
      </c>
      <c r="AE127" s="247">
        <f>IF(C127="Gutschrift","",IF(G127="","",IF(Besatzung!$B$20="","",IFERROR(IF(I127="Zeitanteilig",(Besatzung!$G$20*(G127-IFERROR(H127,0))+((Besatzung!$B$20&lt;&gt;"")*IF(B127="",1,(IF(Besatzung!$C$20="",Besatzung!$B$5,Besatzung!$C$20)&lt;=B127)*(IF(Besatzung!$D$20="",Besatzung!$B$6,Besatzung!$D$20)&gt;=B127)))*(Besatzung!$F$20="x")*IFERROR(H127,0)/IFERROR(SUMPRODUCT((Besatzung!$B$11:$B$22&lt;&gt;"")*(Besatzung!$F$11:$F$22="x")*(IF(Besatzung!$C$11:$C$22="",Besatzung!$B$5,Besatzung!$C$11:$C$22)&lt;=B127)*(IF(Besatzung!$D$11:$D$22="",Besatzung!$B$6,Besatzung!$D$11:$D$22)&gt;=B127)),1)),IF(I127="An Bord",(((Besatzung!$B$20&lt;&gt;"")*IF(B127="",1,(IF(Besatzung!$C$20="",Besatzung!$B$5,Besatzung!$C$20)&lt;=B127)*(IF(Besatzung!$D$20="",Besatzung!$B$6,Besatzung!$D$20)&gt;=B127)))*((G127-IFERROR(H127,0))/IFERROR(SUMPRODUCT((Besatzung!$B$11:$B$22&lt;&gt;"")*(IF(Besatzung!$C$11:$C$22="",Besatzung!$B$5,Besatzung!$C$11:$C$22)&lt;=B127)*(IF(Besatzung!$D$11:$D$22="",Besatzung!$B$6,Besatzung!$D$11:$D$22)&gt;=B127)),1)+(Besatzung!$F$20="x")*IFERROR(H127,0)/IFERROR(SUMPRODUCT((Besatzung!$B$11:$B$22&lt;&gt;"")*(Besatzung!$F$11:$F$22="x")*(IF(Besatzung!$C$11:$C$22="",Besatzung!$B$5,Besatzung!$C$11:$C$22)&lt;=B127)*(IF(Besatzung!$D$11:$D$22="",Besatzung!$B$6,Besatzung!$D$11:$D$22)&gt;=B127)),1))),IF(I127="Individuell",((S127="x")*((G127-IFERROR(H127,0))/IFERROR(COUNTIF(J127:U127,"x"),1)+(Besatzung!$F$20="x")*IFERROR(H127,0)/IFERROR(SUMPRODUCT((J127:U127="x")*(Besatzung!$F$11:$F$22="x")),1))),(IF(COUNTIF(J127:U127,"x")=0,IF(Besatzung!$B$20&lt;&gt;"",1,0),(S127="x"))*(G127-IFERROR(H127,0))/IFERROR(IF(COUNTIF(J127:U127,"x")=0,COUNTA(Besatzung!$B$11:$B$22),COUNTIF(J127:U127,"x")),1)+IF(COUNTIF(J127:U127,"x")=0,(Besatzung!$F$20="x"),(S127="x")*(Besatzung!$F$20="x"))*IFERROR(H127,0)/IFERROR(IF(COUNTIF(J127:U127,"x")=0,SUMPRODUCT((Besatzung!$B$11:$B$22&lt;&gt;"")*(Besatzung!$F$11:$F$22="x")),SUMPRODUCT((J127:U127="x")*(Besatzung!$F$11:$F$22="x"))),1))))),0))))</f>
        <v/>
      </c>
      <c r="AF127" s="247">
        <f>IF(C127="Gutschrift","",IF(G127="","",IF(Besatzung!$B$21="","",IFERROR(IF(I127="Zeitanteilig",(Besatzung!$G$21*(G127-IFERROR(H127,0))+((Besatzung!$B$21&lt;&gt;"")*IF(B127="",1,(IF(Besatzung!$C$21="",Besatzung!$B$5,Besatzung!$C$21)&lt;=B127)*(IF(Besatzung!$D$21="",Besatzung!$B$6,Besatzung!$D$21)&gt;=B127)))*(Besatzung!$F$21="x")*IFERROR(H127,0)/IFERROR(SUMPRODUCT((Besatzung!$B$11:$B$22&lt;&gt;"")*(Besatzung!$F$11:$F$22="x")*(IF(Besatzung!$C$11:$C$22="",Besatzung!$B$5,Besatzung!$C$11:$C$22)&lt;=B127)*(IF(Besatzung!$D$11:$D$22="",Besatzung!$B$6,Besatzung!$D$11:$D$22)&gt;=B127)),1)),IF(I127="An Bord",(((Besatzung!$B$21&lt;&gt;"")*IF(B127="",1,(IF(Besatzung!$C$21="",Besatzung!$B$5,Besatzung!$C$21)&lt;=B127)*(IF(Besatzung!$D$21="",Besatzung!$B$6,Besatzung!$D$21)&gt;=B127)))*((G127-IFERROR(H127,0))/IFERROR(SUMPRODUCT((Besatzung!$B$11:$B$22&lt;&gt;"")*(IF(Besatzung!$C$11:$C$22="",Besatzung!$B$5,Besatzung!$C$11:$C$22)&lt;=B127)*(IF(Besatzung!$D$11:$D$22="",Besatzung!$B$6,Besatzung!$D$11:$D$22)&gt;=B127)),1)+(Besatzung!$F$21="x")*IFERROR(H127,0)/IFERROR(SUMPRODUCT((Besatzung!$B$11:$B$22&lt;&gt;"")*(Besatzung!$F$11:$F$22="x")*(IF(Besatzung!$C$11:$C$22="",Besatzung!$B$5,Besatzung!$C$11:$C$22)&lt;=B127)*(IF(Besatzung!$D$11:$D$22="",Besatzung!$B$6,Besatzung!$D$11:$D$22)&gt;=B127)),1))),IF(I127="Individuell",((T127="x")*((G127-IFERROR(H127,0))/IFERROR(COUNTIF(J127:U127,"x"),1)+(Besatzung!$F$21="x")*IFERROR(H127,0)/IFERROR(SUMPRODUCT((J127:U127="x")*(Besatzung!$F$11:$F$22="x")),1))),(IF(COUNTIF(J127:U127,"x")=0,IF(Besatzung!$B$21&lt;&gt;"",1,0),(T127="x"))*(G127-IFERROR(H127,0))/IFERROR(IF(COUNTIF(J127:U127,"x")=0,COUNTA(Besatzung!$B$11:$B$22),COUNTIF(J127:U127,"x")),1)+IF(COUNTIF(J127:U127,"x")=0,(Besatzung!$F$21="x"),(T127="x")*(Besatzung!$F$21="x"))*IFERROR(H127,0)/IFERROR(IF(COUNTIF(J127:U127,"x")=0,SUMPRODUCT((Besatzung!$B$11:$B$22&lt;&gt;"")*(Besatzung!$F$11:$F$22="x")),SUMPRODUCT((J127:U127="x")*(Besatzung!$F$11:$F$22="x"))),1))))),0))))</f>
        <v/>
      </c>
      <c r="AG127" s="247">
        <f>IF(C127="Gutschrift","",IF(G127="","",IF(Besatzung!$B$22="","",IFERROR(IF(I127="Zeitanteilig",(Besatzung!$G$22*(G127-IFERROR(H127,0))+((Besatzung!$B$22&lt;&gt;"")*IF(B127="",1,(IF(Besatzung!$C$22="",Besatzung!$B$5,Besatzung!$C$22)&lt;=B127)*(IF(Besatzung!$D$22="",Besatzung!$B$6,Besatzung!$D$22)&gt;=B127)))*(Besatzung!$F$22="x")*IFERROR(H127,0)/IFERROR(SUMPRODUCT((Besatzung!$B$11:$B$22&lt;&gt;"")*(Besatzung!$F$11:$F$22="x")*(IF(Besatzung!$C$11:$C$22="",Besatzung!$B$5,Besatzung!$C$11:$C$22)&lt;=B127)*(IF(Besatzung!$D$11:$D$22="",Besatzung!$B$6,Besatzung!$D$11:$D$22)&gt;=B127)),1)),IF(I127="An Bord",(((Besatzung!$B$22&lt;&gt;"")*IF(B127="",1,(IF(Besatzung!$C$22="",Besatzung!$B$5,Besatzung!$C$22)&lt;=B127)*(IF(Besatzung!$D$22="",Besatzung!$B$6,Besatzung!$D$22)&gt;=B127)))*((G127-IFERROR(H127,0))/IFERROR(SUMPRODUCT((Besatzung!$B$11:$B$22&lt;&gt;"")*(IF(Besatzung!$C$11:$C$22="",Besatzung!$B$5,Besatzung!$C$11:$C$22)&lt;=B127)*(IF(Besatzung!$D$11:$D$22="",Besatzung!$B$6,Besatzung!$D$11:$D$22)&gt;=B127)),1)+(Besatzung!$F$22="x")*IFERROR(H127,0)/IFERROR(SUMPRODUCT((Besatzung!$B$11:$B$22&lt;&gt;"")*(Besatzung!$F$11:$F$22="x")*(IF(Besatzung!$C$11:$C$22="",Besatzung!$B$5,Besatzung!$C$11:$C$22)&lt;=B127)*(IF(Besatzung!$D$11:$D$22="",Besatzung!$B$6,Besatzung!$D$11:$D$22)&gt;=B127)),1))),IF(I127="Individuell",((U127="x")*((G127-IFERROR(H127,0))/IFERROR(COUNTIF(J127:U127,"x"),1)+(Besatzung!$F$22="x")*IFERROR(H127,0)/IFERROR(SUMPRODUCT((J127:U127="x")*(Besatzung!$F$11:$F$22="x")),1))),(IF(COUNTIF(J127:U127,"x")=0,IF(Besatzung!$B$22&lt;&gt;"",1,0),(U127="x"))*(G127-IFERROR(H127,0))/IFERROR(IF(COUNTIF(J127:U127,"x")=0,COUNTA(Besatzung!$B$11:$B$22),COUNTIF(J127:U127,"x")),1)+IF(COUNTIF(J127:U127,"x")=0,(Besatzung!$F$22="x"),(U127="x")*(Besatzung!$F$22="x"))*IFERROR(H127,0)/IFERROR(IF(COUNTIF(J127:U127,"x")=0,SUMPRODUCT((Besatzung!$B$11:$B$22&lt;&gt;"")*(Besatzung!$F$11:$F$22="x")),SUMPRODUCT((J127:U127="x")*(Besatzung!$F$11:$F$22="x"))),1))))),0))))</f>
        <v/>
      </c>
      <c r="AH127" s="248" t="n"/>
      <c r="AI127" s="248" t="n"/>
    </row>
    <row r="128" ht="21.75" customHeight="1" s="154">
      <c r="A128" s="238">
        <f>IF(AND(D128="",C128=""),"",125)</f>
        <v/>
      </c>
      <c r="B128" s="199" t="n"/>
      <c r="C128" s="239" t="n"/>
      <c r="D128" s="240" t="n"/>
      <c r="E128" s="241" t="n"/>
      <c r="F128" s="242" t="n"/>
      <c r="G128" s="243" t="n"/>
      <c r="H128" s="244" t="n"/>
      <c r="I128" s="245" t="n"/>
      <c r="J128" s="246" t="n"/>
      <c r="K128" s="246" t="n"/>
      <c r="L128" s="246" t="n"/>
      <c r="M128" s="246" t="n"/>
      <c r="N128" s="246" t="n"/>
      <c r="O128" s="246" t="n"/>
      <c r="P128" s="246" t="n"/>
      <c r="Q128" s="246" t="n"/>
      <c r="R128" s="246" t="n"/>
      <c r="S128" s="246" t="n"/>
      <c r="T128" s="246" t="n"/>
      <c r="U128" s="246" t="n"/>
      <c r="V128" s="247">
        <f>IF(C128="Gutschrift","",IF(G128="","",IF(Besatzung!$B$11="","",IFERROR(IF(I128="Zeitanteilig",(Besatzung!$G$11*(G128-IFERROR(H128,0))+((Besatzung!$B$11&lt;&gt;"")*IF(B128="",1,(IF(Besatzung!$C$11="",Besatzung!$B$5,Besatzung!$C$11)&lt;=B128)*(IF(Besatzung!$D$11="",Besatzung!$B$6,Besatzung!$D$11)&gt;=B128)))*(Besatzung!$F$11="x")*IFERROR(H128,0)/IFERROR(SUMPRODUCT((Besatzung!$B$11:$B$22&lt;&gt;"")*(Besatzung!$F$11:$F$22="x")*(IF(Besatzung!$C$11:$C$22="",Besatzung!$B$5,Besatzung!$C$11:$C$22)&lt;=B128)*(IF(Besatzung!$D$11:$D$22="",Besatzung!$B$6,Besatzung!$D$11:$D$22)&gt;=B128)),1)),IF(I128="An Bord",(((Besatzung!$B$11&lt;&gt;"")*IF(B128="",1,(IF(Besatzung!$C$11="",Besatzung!$B$5,Besatzung!$C$11)&lt;=B128)*(IF(Besatzung!$D$11="",Besatzung!$B$6,Besatzung!$D$11)&gt;=B128)))*((G128-IFERROR(H128,0))/IFERROR(SUMPRODUCT((Besatzung!$B$11:$B$22&lt;&gt;"")*(IF(Besatzung!$C$11:$C$22="",Besatzung!$B$5,Besatzung!$C$11:$C$22)&lt;=B128)*(IF(Besatzung!$D$11:$D$22="",Besatzung!$B$6,Besatzung!$D$11:$D$22)&gt;=B128)),1)+(Besatzung!$F$11="x")*IFERROR(H128,0)/IFERROR(SUMPRODUCT((Besatzung!$B$11:$B$22&lt;&gt;"")*(Besatzung!$F$11:$F$22="x")*(IF(Besatzung!$C$11:$C$22="",Besatzung!$B$5,Besatzung!$C$11:$C$22)&lt;=B128)*(IF(Besatzung!$D$11:$D$22="",Besatzung!$B$6,Besatzung!$D$11:$D$22)&gt;=B128)),1))),IF(I128="Individuell",((J128="x")*((G128-IFERROR(H128,0))/IFERROR(COUNTIF(J128:U128,"x"),1)+(Besatzung!$F$11="x")*IFERROR(H128,0)/IFERROR(SUMPRODUCT((J128:U128="x")*(Besatzung!$F$11:$F$22="x")),1))),(IF(COUNTIF(J128:U128,"x")=0,IF(Besatzung!$B$11&lt;&gt;"",1,0),(J128="x"))*(G128-IFERROR(H128,0))/IFERROR(IF(COUNTIF(J128:U128,"x")=0,COUNTA(Besatzung!$B$11:$B$22),COUNTIF(J128:U128,"x")),1)+IF(COUNTIF(J128:U128,"x")=0,(Besatzung!$F$11="x"),(J128="x")*(Besatzung!$F$11="x"))*IFERROR(H128,0)/IFERROR(IF(COUNTIF(J128:U128,"x")=0,SUMPRODUCT((Besatzung!$B$11:$B$22&lt;&gt;"")*(Besatzung!$F$11:$F$22="x")),SUMPRODUCT((J128:U128="x")*(Besatzung!$F$11:$F$22="x"))),1))))),0))))</f>
        <v/>
      </c>
      <c r="W128" s="247">
        <f>IF(C128="Gutschrift","",IF(G128="","",IF(Besatzung!$B$12="","",IFERROR(IF(I128="Zeitanteilig",(Besatzung!$G$12*(G128-IFERROR(H128,0))+((Besatzung!$B$12&lt;&gt;"")*IF(B128="",1,(IF(Besatzung!$C$12="",Besatzung!$B$5,Besatzung!$C$12)&lt;=B128)*(IF(Besatzung!$D$12="",Besatzung!$B$6,Besatzung!$D$12)&gt;=B128)))*(Besatzung!$F$12="x")*IFERROR(H128,0)/IFERROR(SUMPRODUCT((Besatzung!$B$11:$B$22&lt;&gt;"")*(Besatzung!$F$11:$F$22="x")*(IF(Besatzung!$C$11:$C$22="",Besatzung!$B$5,Besatzung!$C$11:$C$22)&lt;=B128)*(IF(Besatzung!$D$11:$D$22="",Besatzung!$B$6,Besatzung!$D$11:$D$22)&gt;=B128)),1)),IF(I128="An Bord",(((Besatzung!$B$12&lt;&gt;"")*IF(B128="",1,(IF(Besatzung!$C$12="",Besatzung!$B$5,Besatzung!$C$12)&lt;=B128)*(IF(Besatzung!$D$12="",Besatzung!$B$6,Besatzung!$D$12)&gt;=B128)))*((G128-IFERROR(H128,0))/IFERROR(SUMPRODUCT((Besatzung!$B$11:$B$22&lt;&gt;"")*(IF(Besatzung!$C$11:$C$22="",Besatzung!$B$5,Besatzung!$C$11:$C$22)&lt;=B128)*(IF(Besatzung!$D$11:$D$22="",Besatzung!$B$6,Besatzung!$D$11:$D$22)&gt;=B128)),1)+(Besatzung!$F$12="x")*IFERROR(H128,0)/IFERROR(SUMPRODUCT((Besatzung!$B$11:$B$22&lt;&gt;"")*(Besatzung!$F$11:$F$22="x")*(IF(Besatzung!$C$11:$C$22="",Besatzung!$B$5,Besatzung!$C$11:$C$22)&lt;=B128)*(IF(Besatzung!$D$11:$D$22="",Besatzung!$B$6,Besatzung!$D$11:$D$22)&gt;=B128)),1))),IF(I128="Individuell",((K128="x")*((G128-IFERROR(H128,0))/IFERROR(COUNTIF(J128:U128,"x"),1)+(Besatzung!$F$12="x")*IFERROR(H128,0)/IFERROR(SUMPRODUCT((J128:U128="x")*(Besatzung!$F$11:$F$22="x")),1))),(IF(COUNTIF(J128:U128,"x")=0,IF(Besatzung!$B$12&lt;&gt;"",1,0),(K128="x"))*(G128-IFERROR(H128,0))/IFERROR(IF(COUNTIF(J128:U128,"x")=0,COUNTA(Besatzung!$B$11:$B$22),COUNTIF(J128:U128,"x")),1)+IF(COUNTIF(J128:U128,"x")=0,(Besatzung!$F$12="x"),(K128="x")*(Besatzung!$F$12="x"))*IFERROR(H128,0)/IFERROR(IF(COUNTIF(J128:U128,"x")=0,SUMPRODUCT((Besatzung!$B$11:$B$22&lt;&gt;"")*(Besatzung!$F$11:$F$22="x")),SUMPRODUCT((J128:U128="x")*(Besatzung!$F$11:$F$22="x"))),1))))),0))))</f>
        <v/>
      </c>
      <c r="X128" s="247">
        <f>IF(C128="Gutschrift","",IF(G128="","",IF(Besatzung!$B$13="","",IFERROR(IF(I128="Zeitanteilig",(Besatzung!$G$13*(G128-IFERROR(H128,0))+((Besatzung!$B$13&lt;&gt;"")*IF(B128="",1,(IF(Besatzung!$C$13="",Besatzung!$B$5,Besatzung!$C$13)&lt;=B128)*(IF(Besatzung!$D$13="",Besatzung!$B$6,Besatzung!$D$13)&gt;=B128)))*(Besatzung!$F$13="x")*IFERROR(H128,0)/IFERROR(SUMPRODUCT((Besatzung!$B$11:$B$22&lt;&gt;"")*(Besatzung!$F$11:$F$22="x")*(IF(Besatzung!$C$11:$C$22="",Besatzung!$B$5,Besatzung!$C$11:$C$22)&lt;=B128)*(IF(Besatzung!$D$11:$D$22="",Besatzung!$B$6,Besatzung!$D$11:$D$22)&gt;=B128)),1)),IF(I128="An Bord",(((Besatzung!$B$13&lt;&gt;"")*IF(B128="",1,(IF(Besatzung!$C$13="",Besatzung!$B$5,Besatzung!$C$13)&lt;=B128)*(IF(Besatzung!$D$13="",Besatzung!$B$6,Besatzung!$D$13)&gt;=B128)))*((G128-IFERROR(H128,0))/IFERROR(SUMPRODUCT((Besatzung!$B$11:$B$22&lt;&gt;"")*(IF(Besatzung!$C$11:$C$22="",Besatzung!$B$5,Besatzung!$C$11:$C$22)&lt;=B128)*(IF(Besatzung!$D$11:$D$22="",Besatzung!$B$6,Besatzung!$D$11:$D$22)&gt;=B128)),1)+(Besatzung!$F$13="x")*IFERROR(H128,0)/IFERROR(SUMPRODUCT((Besatzung!$B$11:$B$22&lt;&gt;"")*(Besatzung!$F$11:$F$22="x")*(IF(Besatzung!$C$11:$C$22="",Besatzung!$B$5,Besatzung!$C$11:$C$22)&lt;=B128)*(IF(Besatzung!$D$11:$D$22="",Besatzung!$B$6,Besatzung!$D$11:$D$22)&gt;=B128)),1))),IF(I128="Individuell",((K128="x")*((G128-IFERROR(H128,0))/IFERROR(COUNTIF(J128:U128,"x"),1)+(Besatzung!$F$13="x")*IFERROR(H128,0)/IFERROR(SUMPRODUCT((J128:U128="x")*(Besatzung!$F$11:$F$22="x")),1))),(IF(COUNTIF(J128:U128,"x")=0,IF(Besatzung!$B$13&lt;&gt;"",1,0),(K128="x"))*(G128-IFERROR(H128,0))/IFERROR(IF(COUNTIF(J128:U128,"x")=0,COUNTA(Besatzung!$B$11:$B$22),COUNTIF(J128:U128,"x")),1)+IF(COUNTIF(J128:U128,"x")=0,(Besatzung!$F$13="x"),(K128="x")*(Besatzung!$F$13="x"))*IFERROR(H128,0)/IFERROR(IF(COUNTIF(J128:U128,"x")=0,SUMPRODUCT((Besatzung!$B$11:$B$22&lt;&gt;"")*(Besatzung!$F$11:$F$22="x")),SUMPRODUCT((J128:U128="x")*(Besatzung!$F$11:$F$22="x"))),1))))),0))))</f>
        <v/>
      </c>
      <c r="Y128" s="247">
        <f>IF(C128="Gutschrift","",IF(G128="","",IF(Besatzung!$B$14="","",IFERROR(IF(I128="Zeitanteilig",(Besatzung!$G$14*(G128-IFERROR(H128,0))+((Besatzung!$B$14&lt;&gt;"")*IF(B128="",1,(IF(Besatzung!$C$14="",Besatzung!$B$5,Besatzung!$C$14)&lt;=B128)*(IF(Besatzung!$D$14="",Besatzung!$B$6,Besatzung!$D$14)&gt;=B128)))*(Besatzung!$F$14="x")*IFERROR(H128,0)/IFERROR(SUMPRODUCT((Besatzung!$B$11:$B$22&lt;&gt;"")*(Besatzung!$F$11:$F$22="x")*(IF(Besatzung!$C$11:$C$22="",Besatzung!$B$5,Besatzung!$C$11:$C$22)&lt;=B128)*(IF(Besatzung!$D$11:$D$22="",Besatzung!$B$6,Besatzung!$D$11:$D$22)&gt;=B128)),1)),IF(I128="An Bord",(((Besatzung!$B$14&lt;&gt;"")*IF(B128="",1,(IF(Besatzung!$C$14="",Besatzung!$B$5,Besatzung!$C$14)&lt;=B128)*(IF(Besatzung!$D$14="",Besatzung!$B$6,Besatzung!$D$14)&gt;=B128)))*((G128-IFERROR(H128,0))/IFERROR(SUMPRODUCT((Besatzung!$B$11:$B$22&lt;&gt;"")*(IF(Besatzung!$C$11:$C$22="",Besatzung!$B$5,Besatzung!$C$11:$C$22)&lt;=B128)*(IF(Besatzung!$D$11:$D$22="",Besatzung!$B$6,Besatzung!$D$11:$D$22)&gt;=B128)),1)+(Besatzung!$F$14="x")*IFERROR(H128,0)/IFERROR(SUMPRODUCT((Besatzung!$B$11:$B$22&lt;&gt;"")*(Besatzung!$F$11:$F$22="x")*(IF(Besatzung!$C$11:$C$22="",Besatzung!$B$5,Besatzung!$C$11:$C$22)&lt;=B128)*(IF(Besatzung!$D$11:$D$22="",Besatzung!$B$6,Besatzung!$D$11:$D$22)&gt;=B128)),1))),IF(I128="Individuell",((M128="x")*((G128-IFERROR(H128,0))/IFERROR(COUNTIF(J128:U128,"x"),1)+(Besatzung!$F$14="x")*IFERROR(H128,0)/IFERROR(SUMPRODUCT((J128:U128="x")*(Besatzung!$F$11:$F$22="x")),1))),(IF(COUNTIF(J128:U128,"x")=0,IF(Besatzung!$B$14&lt;&gt;"",1,0),(M128="x"))*(G128-IFERROR(H128,0))/IFERROR(IF(COUNTIF(J128:U128,"x")=0,COUNTA(Besatzung!$B$11:$B$22),COUNTIF(J128:U128,"x")),1)+IF(COUNTIF(J128:U128,"x")=0,(Besatzung!$F$14="x"),(M128="x")*(Besatzung!$F$14="x"))*IFERROR(H128,0)/IFERROR(IF(COUNTIF(J128:U128,"x")=0,SUMPRODUCT((Besatzung!$B$11:$B$22&lt;&gt;"")*(Besatzung!$F$11:$F$22="x")),SUMPRODUCT((J128:U128="x")*(Besatzung!$F$11:$F$22="x"))),1))))),0))))</f>
        <v/>
      </c>
      <c r="Z128" s="247">
        <f>IF(C128="Gutschrift","",IF(G128="","",IF(Besatzung!$B$13="","",IFERROR(IF(I128="Zeitanteilig",(Besatzung!$G$15*(G128-IFERROR(H128,0))+((Besatzung!$B$13&lt;&gt;"")*IF(B128="",1,(IF(Besatzung!$C$15="",Besatzung!$B$5,Besatzung!$C$15)&lt;=B128)*(IF(Besatzung!$D$15="",Besatzung!$B$6,Besatzung!$D$15)&gt;=B128)))*(Besatzung!$F$15="x")*IFERROR(H128,0)/IFERROR(SUMPRODUCT((Besatzung!$B$11:$B$22&lt;&gt;"")*(Besatzung!$F$11:$F$22="x")*(IF(Besatzung!$C$11:$C$22="",Besatzung!$B$5,Besatzung!$C$11:$C$22)&lt;=B128)*(IF(Besatzung!$D$11:$D$22="",Besatzung!$B$6,Besatzung!$D$11:$D$22)&gt;=B128)),1)),IF(I128="An Bord",(((Besatzung!$B$13&lt;&gt;"")*IF(B128="",1,(IF(Besatzung!$C$15="",Besatzung!$B$5,Besatzung!$C$15)&lt;=B128)*(IF(Besatzung!$D$15="",Besatzung!$B$6,Besatzung!$D$15)&gt;=B128)))*((G128-IFERROR(H128,0))/IFERROR(SUMPRODUCT((Besatzung!$B$11:$B$22&lt;&gt;"")*(IF(Besatzung!$C$11:$C$22="",Besatzung!$B$5,Besatzung!$C$11:$C$22)&lt;=B128)*(IF(Besatzung!$D$11:$D$22="",Besatzung!$B$6,Besatzung!$D$11:$D$22)&gt;=B128)),1)+(Besatzung!$F$15="x")*IFERROR(H128,0)/IFERROR(SUMPRODUCT((Besatzung!$B$11:$B$22&lt;&gt;"")*(Besatzung!$F$11:$F$22="x")*(IF(Besatzung!$C$11:$C$22="",Besatzung!$B$5,Besatzung!$C$11:$C$22)&lt;=B128)*(IF(Besatzung!$D$11:$D$22="",Besatzung!$B$6,Besatzung!$D$11:$D$22)&gt;=B128)),1))),IF(I128="Individuell",((N128="x")*((G128-IFERROR(H128,0))/IFERROR(COUNTIF(J128:U128,"x"),1)+(Besatzung!$F$15="x")*IFERROR(H128,0)/IFERROR(SUMPRODUCT((J128:U128="x")*(Besatzung!$F$11:$F$22="x")),1))),(IF(COUNTIF(J128:U128,"x")=0,IF(Besatzung!$B$13&lt;&gt;"",1,0),(N128="x"))*(G128-IFERROR(H128,0))/IFERROR(IF(COUNTIF(J128:U128,"x")=0,COUNTA(Besatzung!$B$11:$B$22),COUNTIF(J128:U128,"x")),1)+IF(COUNTIF(J128:U128,"x")=0,(Besatzung!$F$15="x"),(N128="x")*(Besatzung!$F$15="x"))*IFERROR(H128,0)/IFERROR(IF(COUNTIF(J128:U128,"x")=0,SUMPRODUCT((Besatzung!$B$11:$B$22&lt;&gt;"")*(Besatzung!$F$11:$F$22="x")),SUMPRODUCT((J128:U128="x")*(Besatzung!$F$11:$F$22="x"))),1))))),0))))</f>
        <v/>
      </c>
      <c r="AA128" s="247">
        <f>IF(C128="Gutschrift","",IF(G128="","",IF(Besatzung!$B$15="","",IFERROR(IF(I128="Zeitanteilig",(Besatzung!$G$16*(G128-IFERROR(H128,0))+((Besatzung!$B$15&lt;&gt;"")*IF(B128="",1,(IF(Besatzung!$C$16="",Besatzung!$B$5,Besatzung!$C$16)&lt;=B128)*(IF(Besatzung!$D$16="",Besatzung!$B$6,Besatzung!$D$16)&gt;=B128)))*(Besatzung!$F$16="x")*IFERROR(H128,0)/IFERROR(SUMPRODUCT((Besatzung!$B$11:$B$22&lt;&gt;"")*(Besatzung!$F$11:$F$22="x")*(IF(Besatzung!$C$11:$C$22="",Besatzung!$B$5,Besatzung!$C$11:$C$22)&lt;=B128)*(IF(Besatzung!$D$11:$D$22="",Besatzung!$B$6,Besatzung!$D$11:$D$22)&gt;=B128)),1)),IF(I128="An Bord",(((Besatzung!$B$15&lt;&gt;"")*IF(B128="",1,(IF(Besatzung!$C$16="",Besatzung!$B$5,Besatzung!$C$16)&lt;=B128)*(IF(Besatzung!$D$16="",Besatzung!$B$6,Besatzung!$D$16)&gt;=B128)))*((G128-IFERROR(H128,0))/IFERROR(SUMPRODUCT((Besatzung!$B$11:$B$22&lt;&gt;"")*(IF(Besatzung!$C$11:$C$22="",Besatzung!$B$5,Besatzung!$C$11:$C$22)&lt;=B128)*(IF(Besatzung!$D$11:$D$22="",Besatzung!$B$6,Besatzung!$D$11:$D$22)&gt;=B128)),1)+(Besatzung!$F$16="x")*IFERROR(H128,0)/IFERROR(SUMPRODUCT((Besatzung!$B$11:$B$22&lt;&gt;"")*(Besatzung!$F$11:$F$22="x")*(IF(Besatzung!$C$11:$C$22="",Besatzung!$B$5,Besatzung!$C$11:$C$22)&lt;=B128)*(IF(Besatzung!$D$11:$D$22="",Besatzung!$B$6,Besatzung!$D$11:$D$22)&gt;=B128)),1))),IF(I128="Individuell",((O128="x")*((G128-IFERROR(H128,0))/IFERROR(COUNTIF(J128:U128,"x"),1)+(Besatzung!$F$16="x")*IFERROR(H128,0)/IFERROR(SUMPRODUCT((J128:U128="x")*(Besatzung!$F$11:$F$22="x")),1))),(IF(COUNTIF(J128:U128,"x")=0,IF(Besatzung!$B$15&lt;&gt;"",1,0),(O128="x"))*(G128-IFERROR(H128,0))/IFERROR(IF(COUNTIF(J128:U128,"x")=0,COUNTA(Besatzung!$B$11:$B$22),COUNTIF(J128:U128,"x")),1)+IF(COUNTIF(J128:U128,"x")=0,(Besatzung!$F$16="x"),(O128="x")*(Besatzung!$F$16="x"))*IFERROR(H128,0)/IFERROR(IF(COUNTIF(J128:U128,"x")=0,SUMPRODUCT((Besatzung!$B$11:$B$22&lt;&gt;"")*(Besatzung!$F$11:$F$22="x")),SUMPRODUCT((J128:U128="x")*(Besatzung!$F$11:$F$22="x"))),1))))),0))))</f>
        <v/>
      </c>
      <c r="AB128" s="247">
        <f>IF(C128="Gutschrift","",IF(G128="","",IF(Besatzung!$B$17="","",IFERROR(IF(I128="Zeitanteilig",(Besatzung!$G$17*(G128-IFERROR(H128,0))+((Besatzung!$B$17&lt;&gt;"")*IF(B128="",1,(IF(Besatzung!$C$17="",Besatzung!$B$5,Besatzung!$C$17)&lt;=B128)*(IF(Besatzung!$D$17="",Besatzung!$B$6,Besatzung!$D$17)&gt;=B128)))*(Besatzung!$F$17="x")*IFERROR(H128,0)/IFERROR(SUMPRODUCT((Besatzung!$B$11:$B$22&lt;&gt;"")*(Besatzung!$F$11:$F$22="x")*(IF(Besatzung!$C$11:$C$22="",Besatzung!$B$5,Besatzung!$C$11:$C$22)&lt;=B128)*(IF(Besatzung!$D$11:$D$22="",Besatzung!$B$6,Besatzung!$D$11:$D$22)&gt;=B128)),1)),IF(I128="An Bord",(((Besatzung!$B$17&lt;&gt;"")*IF(B128="",1,(IF(Besatzung!$C$17="",Besatzung!$B$5,Besatzung!$C$17)&lt;=B128)*(IF(Besatzung!$D$17="",Besatzung!$B$6,Besatzung!$D$17)&gt;=B128)))*((G128-IFERROR(H128,0))/IFERROR(SUMPRODUCT((Besatzung!$B$11:$B$22&lt;&gt;"")*(IF(Besatzung!$C$11:$C$22="",Besatzung!$B$5,Besatzung!$C$11:$C$22)&lt;=B128)*(IF(Besatzung!$D$11:$D$22="",Besatzung!$B$6,Besatzung!$D$11:$D$22)&gt;=B128)),1)+(Besatzung!$F$17="x")*IFERROR(H128,0)/IFERROR(SUMPRODUCT((Besatzung!$B$11:$B$22&lt;&gt;"")*(Besatzung!$F$11:$F$22="x")*(IF(Besatzung!$C$11:$C$22="",Besatzung!$B$5,Besatzung!$C$11:$C$22)&lt;=B128)*(IF(Besatzung!$D$11:$D$22="",Besatzung!$B$6,Besatzung!$D$11:$D$22)&gt;=B128)),1))),IF(I128="Individuell",((P128="x")*((G128-IFERROR(H128,0))/IFERROR(COUNTIF(J128:U128,"x"),1)+(Besatzung!$F$17="x")*IFERROR(H128,0)/IFERROR(SUMPRODUCT((J128:U128="x")*(Besatzung!$F$11:$F$22="x")),1))),(IF(COUNTIF(J128:U128,"x")=0,IF(Besatzung!$B$17&lt;&gt;"",1,0),(P128="x"))*(G128-IFERROR(H128,0))/IFERROR(IF(COUNTIF(J128:U128,"x")=0,COUNTA(Besatzung!$B$11:$B$22),COUNTIF(J128:U128,"x")),1)+IF(COUNTIF(J128:U128,"x")=0,(Besatzung!$F$17="x"),(P128="x")*(Besatzung!$F$17="x"))*IFERROR(H128,0)/IFERROR(IF(COUNTIF(J128:U128,"x")=0,SUMPRODUCT((Besatzung!$B$11:$B$22&lt;&gt;"")*(Besatzung!$F$11:$F$22="x")),SUMPRODUCT((J128:U128="x")*(Besatzung!$F$11:$F$22="x"))),1))))),0))))</f>
        <v/>
      </c>
      <c r="AC128" s="247">
        <f>IF(C128="Gutschrift","",IF(G128="","",IF(Besatzung!$B$18="","",IFERROR(IF(I128="Zeitanteilig",(Besatzung!$G$18*(G128-IFERROR(H128,0))+((Besatzung!$B$18&lt;&gt;"")*IF(B128="",1,(IF(Besatzung!$C$18="",Besatzung!$B$5,Besatzung!$C$18)&lt;=B128)*(IF(Besatzung!$D$18="",Besatzung!$B$6,Besatzung!$D$18)&gt;=B128)))*(Besatzung!$F$18="x")*IFERROR(H128,0)/IFERROR(SUMPRODUCT((Besatzung!$B$11:$B$22&lt;&gt;"")*(Besatzung!$F$11:$F$22="x")*(IF(Besatzung!$C$11:$C$22="",Besatzung!$B$5,Besatzung!$C$11:$C$22)&lt;=B128)*(IF(Besatzung!$D$11:$D$22="",Besatzung!$B$6,Besatzung!$D$11:$D$22)&gt;=B128)),1)),IF(I128="An Bord",(((Besatzung!$B$18&lt;&gt;"")*IF(B128="",1,(IF(Besatzung!$C$18="",Besatzung!$B$5,Besatzung!$C$18)&lt;=B128)*(IF(Besatzung!$D$18="",Besatzung!$B$6,Besatzung!$D$18)&gt;=B128)))*((G128-IFERROR(H128,0))/IFERROR(SUMPRODUCT((Besatzung!$B$11:$B$22&lt;&gt;"")*(IF(Besatzung!$C$11:$C$22="",Besatzung!$B$5,Besatzung!$C$11:$C$22)&lt;=B128)*(IF(Besatzung!$D$11:$D$22="",Besatzung!$B$6,Besatzung!$D$11:$D$22)&gt;=B128)),1)+(Besatzung!$F$18="x")*IFERROR(H128,0)/IFERROR(SUMPRODUCT((Besatzung!$B$11:$B$22&lt;&gt;"")*(Besatzung!$F$11:$F$22="x")*(IF(Besatzung!$C$11:$C$22="",Besatzung!$B$5,Besatzung!$C$11:$C$22)&lt;=B128)*(IF(Besatzung!$D$11:$D$22="",Besatzung!$B$6,Besatzung!$D$11:$D$22)&gt;=B128)),1))),IF(I128="Individuell",((Q128="x")*((G128-IFERROR(H128,0))/IFERROR(COUNTIF(J128:U128,"x"),1)+(Besatzung!$F$18="x")*IFERROR(H128,0)/IFERROR(SUMPRODUCT((J128:U128="x")*(Besatzung!$F$11:$F$22="x")),1))),(IF(COUNTIF(J128:U128,"x")=0,IF(Besatzung!$B$18&lt;&gt;"",1,0),(Q128="x"))*(G128-IFERROR(H128,0))/IFERROR(IF(COUNTIF(J128:U128,"x")=0,COUNTA(Besatzung!$B$11:$B$22),COUNTIF(J128:U128,"x")),1)+IF(COUNTIF(J128:U128,"x")=0,(Besatzung!$F$18="x"),(Q128="x")*(Besatzung!$F$18="x"))*IFERROR(H128,0)/IFERROR(IF(COUNTIF(J128:U128,"x")=0,SUMPRODUCT((Besatzung!$B$11:$B$22&lt;&gt;"")*(Besatzung!$F$11:$F$22="x")),SUMPRODUCT((J128:U128="x")*(Besatzung!$F$11:$F$22="x"))),1))))),0))))</f>
        <v/>
      </c>
      <c r="AD128" s="247">
        <f>IF(C128="Gutschrift","",IF(G128="","",IF(Besatzung!$B$19="","",IFERROR(IF(I128="Zeitanteilig",(Besatzung!$G$19*(G128-IFERROR(H128,0))+((Besatzung!$B$19&lt;&gt;"")*IF(B128="",1,(IF(Besatzung!$C$19="",Besatzung!$B$5,Besatzung!$C$19)&lt;=B128)*(IF(Besatzung!$D$19="",Besatzung!$B$6,Besatzung!$D$19)&gt;=B128)))*(Besatzung!$F$19="x")*IFERROR(H128,0)/IFERROR(SUMPRODUCT((Besatzung!$B$11:$B$22&lt;&gt;"")*(Besatzung!$F$11:$F$22="x")*(IF(Besatzung!$C$11:$C$22="",Besatzung!$B$5,Besatzung!$C$11:$C$22)&lt;=B128)*(IF(Besatzung!$D$11:$D$22="",Besatzung!$B$6,Besatzung!$D$11:$D$22)&gt;=B128)),1)),IF(I128="An Bord",(((Besatzung!$B$19&lt;&gt;"")*IF(B128="",1,(IF(Besatzung!$C$19="",Besatzung!$B$5,Besatzung!$C$19)&lt;=B128)*(IF(Besatzung!$D$19="",Besatzung!$B$6,Besatzung!$D$19)&gt;=B128)))*((G128-IFERROR(H128,0))/IFERROR(SUMPRODUCT((Besatzung!$B$11:$B$22&lt;&gt;"")*(IF(Besatzung!$C$11:$C$22="",Besatzung!$B$5,Besatzung!$C$11:$C$22)&lt;=B128)*(IF(Besatzung!$D$11:$D$22="",Besatzung!$B$6,Besatzung!$D$11:$D$22)&gt;=B128)),1)+(Besatzung!$F$19="x")*IFERROR(H128,0)/IFERROR(SUMPRODUCT((Besatzung!$B$11:$B$22&lt;&gt;"")*(Besatzung!$F$11:$F$22="x")*(IF(Besatzung!$C$11:$C$22="",Besatzung!$B$5,Besatzung!$C$11:$C$22)&lt;=B128)*(IF(Besatzung!$D$11:$D$22="",Besatzung!$B$6,Besatzung!$D$11:$D$22)&gt;=B128)),1))),IF(I128="Individuell",((R128="x")*((G128-IFERROR(H128,0))/IFERROR(COUNTIF(J128:U128,"x"),1)+(Besatzung!$F$19="x")*IFERROR(H128,0)/IFERROR(SUMPRODUCT((J128:U128="x")*(Besatzung!$F$11:$F$22="x")),1))),(IF(COUNTIF(J128:U128,"x")=0,IF(Besatzung!$B$19&lt;&gt;"",1,0),(R128="x"))*(G128-IFERROR(H128,0))/IFERROR(IF(COUNTIF(J128:U128,"x")=0,COUNTA(Besatzung!$B$11:$B$22),COUNTIF(J128:U128,"x")),1)+IF(COUNTIF(J128:U128,"x")=0,(Besatzung!$F$19="x"),(R128="x")*(Besatzung!$F$19="x"))*IFERROR(H128,0)/IFERROR(IF(COUNTIF(J128:U128,"x")=0,SUMPRODUCT((Besatzung!$B$11:$B$22&lt;&gt;"")*(Besatzung!$F$11:$F$22="x")),SUMPRODUCT((J128:U128="x")*(Besatzung!$F$11:$F$22="x"))),1))))),0))))</f>
        <v/>
      </c>
      <c r="AE128" s="247">
        <f>IF(C128="Gutschrift","",IF(G128="","",IF(Besatzung!$B$20="","",IFERROR(IF(I128="Zeitanteilig",(Besatzung!$G$20*(G128-IFERROR(H128,0))+((Besatzung!$B$20&lt;&gt;"")*IF(B128="",1,(IF(Besatzung!$C$20="",Besatzung!$B$5,Besatzung!$C$20)&lt;=B128)*(IF(Besatzung!$D$20="",Besatzung!$B$6,Besatzung!$D$20)&gt;=B128)))*(Besatzung!$F$20="x")*IFERROR(H128,0)/IFERROR(SUMPRODUCT((Besatzung!$B$11:$B$22&lt;&gt;"")*(Besatzung!$F$11:$F$22="x")*(IF(Besatzung!$C$11:$C$22="",Besatzung!$B$5,Besatzung!$C$11:$C$22)&lt;=B128)*(IF(Besatzung!$D$11:$D$22="",Besatzung!$B$6,Besatzung!$D$11:$D$22)&gt;=B128)),1)),IF(I128="An Bord",(((Besatzung!$B$20&lt;&gt;"")*IF(B128="",1,(IF(Besatzung!$C$20="",Besatzung!$B$5,Besatzung!$C$20)&lt;=B128)*(IF(Besatzung!$D$20="",Besatzung!$B$6,Besatzung!$D$20)&gt;=B128)))*((G128-IFERROR(H128,0))/IFERROR(SUMPRODUCT((Besatzung!$B$11:$B$22&lt;&gt;"")*(IF(Besatzung!$C$11:$C$22="",Besatzung!$B$5,Besatzung!$C$11:$C$22)&lt;=B128)*(IF(Besatzung!$D$11:$D$22="",Besatzung!$B$6,Besatzung!$D$11:$D$22)&gt;=B128)),1)+(Besatzung!$F$20="x")*IFERROR(H128,0)/IFERROR(SUMPRODUCT((Besatzung!$B$11:$B$22&lt;&gt;"")*(Besatzung!$F$11:$F$22="x")*(IF(Besatzung!$C$11:$C$22="",Besatzung!$B$5,Besatzung!$C$11:$C$22)&lt;=B128)*(IF(Besatzung!$D$11:$D$22="",Besatzung!$B$6,Besatzung!$D$11:$D$22)&gt;=B128)),1))),IF(I128="Individuell",((S128="x")*((G128-IFERROR(H128,0))/IFERROR(COUNTIF(J128:U128,"x"),1)+(Besatzung!$F$20="x")*IFERROR(H128,0)/IFERROR(SUMPRODUCT((J128:U128="x")*(Besatzung!$F$11:$F$22="x")),1))),(IF(COUNTIF(J128:U128,"x")=0,IF(Besatzung!$B$20&lt;&gt;"",1,0),(S128="x"))*(G128-IFERROR(H128,0))/IFERROR(IF(COUNTIF(J128:U128,"x")=0,COUNTA(Besatzung!$B$11:$B$22),COUNTIF(J128:U128,"x")),1)+IF(COUNTIF(J128:U128,"x")=0,(Besatzung!$F$20="x"),(S128="x")*(Besatzung!$F$20="x"))*IFERROR(H128,0)/IFERROR(IF(COUNTIF(J128:U128,"x")=0,SUMPRODUCT((Besatzung!$B$11:$B$22&lt;&gt;"")*(Besatzung!$F$11:$F$22="x")),SUMPRODUCT((J128:U128="x")*(Besatzung!$F$11:$F$22="x"))),1))))),0))))</f>
        <v/>
      </c>
      <c r="AF128" s="247">
        <f>IF(C128="Gutschrift","",IF(G128="","",IF(Besatzung!$B$21="","",IFERROR(IF(I128="Zeitanteilig",(Besatzung!$G$21*(G128-IFERROR(H128,0))+((Besatzung!$B$21&lt;&gt;"")*IF(B128="",1,(IF(Besatzung!$C$21="",Besatzung!$B$5,Besatzung!$C$21)&lt;=B128)*(IF(Besatzung!$D$21="",Besatzung!$B$6,Besatzung!$D$21)&gt;=B128)))*(Besatzung!$F$21="x")*IFERROR(H128,0)/IFERROR(SUMPRODUCT((Besatzung!$B$11:$B$22&lt;&gt;"")*(Besatzung!$F$11:$F$22="x")*(IF(Besatzung!$C$11:$C$22="",Besatzung!$B$5,Besatzung!$C$11:$C$22)&lt;=B128)*(IF(Besatzung!$D$11:$D$22="",Besatzung!$B$6,Besatzung!$D$11:$D$22)&gt;=B128)),1)),IF(I128="An Bord",(((Besatzung!$B$21&lt;&gt;"")*IF(B128="",1,(IF(Besatzung!$C$21="",Besatzung!$B$5,Besatzung!$C$21)&lt;=B128)*(IF(Besatzung!$D$21="",Besatzung!$B$6,Besatzung!$D$21)&gt;=B128)))*((G128-IFERROR(H128,0))/IFERROR(SUMPRODUCT((Besatzung!$B$11:$B$22&lt;&gt;"")*(IF(Besatzung!$C$11:$C$22="",Besatzung!$B$5,Besatzung!$C$11:$C$22)&lt;=B128)*(IF(Besatzung!$D$11:$D$22="",Besatzung!$B$6,Besatzung!$D$11:$D$22)&gt;=B128)),1)+(Besatzung!$F$21="x")*IFERROR(H128,0)/IFERROR(SUMPRODUCT((Besatzung!$B$11:$B$22&lt;&gt;"")*(Besatzung!$F$11:$F$22="x")*(IF(Besatzung!$C$11:$C$22="",Besatzung!$B$5,Besatzung!$C$11:$C$22)&lt;=B128)*(IF(Besatzung!$D$11:$D$22="",Besatzung!$B$6,Besatzung!$D$11:$D$22)&gt;=B128)),1))),IF(I128="Individuell",((T128="x")*((G128-IFERROR(H128,0))/IFERROR(COUNTIF(J128:U128,"x"),1)+(Besatzung!$F$21="x")*IFERROR(H128,0)/IFERROR(SUMPRODUCT((J128:U128="x")*(Besatzung!$F$11:$F$22="x")),1))),(IF(COUNTIF(J128:U128,"x")=0,IF(Besatzung!$B$21&lt;&gt;"",1,0),(T128="x"))*(G128-IFERROR(H128,0))/IFERROR(IF(COUNTIF(J128:U128,"x")=0,COUNTA(Besatzung!$B$11:$B$22),COUNTIF(J128:U128,"x")),1)+IF(COUNTIF(J128:U128,"x")=0,(Besatzung!$F$21="x"),(T128="x")*(Besatzung!$F$21="x"))*IFERROR(H128,0)/IFERROR(IF(COUNTIF(J128:U128,"x")=0,SUMPRODUCT((Besatzung!$B$11:$B$22&lt;&gt;"")*(Besatzung!$F$11:$F$22="x")),SUMPRODUCT((J128:U128="x")*(Besatzung!$F$11:$F$22="x"))),1))))),0))))</f>
        <v/>
      </c>
      <c r="AG128" s="247">
        <f>IF(C128="Gutschrift","",IF(G128="","",IF(Besatzung!$B$22="","",IFERROR(IF(I128="Zeitanteilig",(Besatzung!$G$22*(G128-IFERROR(H128,0))+((Besatzung!$B$22&lt;&gt;"")*IF(B128="",1,(IF(Besatzung!$C$22="",Besatzung!$B$5,Besatzung!$C$22)&lt;=B128)*(IF(Besatzung!$D$22="",Besatzung!$B$6,Besatzung!$D$22)&gt;=B128)))*(Besatzung!$F$22="x")*IFERROR(H128,0)/IFERROR(SUMPRODUCT((Besatzung!$B$11:$B$22&lt;&gt;"")*(Besatzung!$F$11:$F$22="x")*(IF(Besatzung!$C$11:$C$22="",Besatzung!$B$5,Besatzung!$C$11:$C$22)&lt;=B128)*(IF(Besatzung!$D$11:$D$22="",Besatzung!$B$6,Besatzung!$D$11:$D$22)&gt;=B128)),1)),IF(I128="An Bord",(((Besatzung!$B$22&lt;&gt;"")*IF(B128="",1,(IF(Besatzung!$C$22="",Besatzung!$B$5,Besatzung!$C$22)&lt;=B128)*(IF(Besatzung!$D$22="",Besatzung!$B$6,Besatzung!$D$22)&gt;=B128)))*((G128-IFERROR(H128,0))/IFERROR(SUMPRODUCT((Besatzung!$B$11:$B$22&lt;&gt;"")*(IF(Besatzung!$C$11:$C$22="",Besatzung!$B$5,Besatzung!$C$11:$C$22)&lt;=B128)*(IF(Besatzung!$D$11:$D$22="",Besatzung!$B$6,Besatzung!$D$11:$D$22)&gt;=B128)),1)+(Besatzung!$F$22="x")*IFERROR(H128,0)/IFERROR(SUMPRODUCT((Besatzung!$B$11:$B$22&lt;&gt;"")*(Besatzung!$F$11:$F$22="x")*(IF(Besatzung!$C$11:$C$22="",Besatzung!$B$5,Besatzung!$C$11:$C$22)&lt;=B128)*(IF(Besatzung!$D$11:$D$22="",Besatzung!$B$6,Besatzung!$D$11:$D$22)&gt;=B128)),1))),IF(I128="Individuell",((U128="x")*((G128-IFERROR(H128,0))/IFERROR(COUNTIF(J128:U128,"x"),1)+(Besatzung!$F$22="x")*IFERROR(H128,0)/IFERROR(SUMPRODUCT((J128:U128="x")*(Besatzung!$F$11:$F$22="x")),1))),(IF(COUNTIF(J128:U128,"x")=0,IF(Besatzung!$B$22&lt;&gt;"",1,0),(U128="x"))*(G128-IFERROR(H128,0))/IFERROR(IF(COUNTIF(J128:U128,"x")=0,COUNTA(Besatzung!$B$11:$B$22),COUNTIF(J128:U128,"x")),1)+IF(COUNTIF(J128:U128,"x")=0,(Besatzung!$F$22="x"),(U128="x")*(Besatzung!$F$22="x"))*IFERROR(H128,0)/IFERROR(IF(COUNTIF(J128:U128,"x")=0,SUMPRODUCT((Besatzung!$B$11:$B$22&lt;&gt;"")*(Besatzung!$F$11:$F$22="x")),SUMPRODUCT((J128:U128="x")*(Besatzung!$F$11:$F$22="x"))),1))))),0))))</f>
        <v/>
      </c>
      <c r="AH128" s="248" t="n"/>
      <c r="AI128" s="248" t="n"/>
    </row>
    <row r="129" ht="21.75" customHeight="1" s="154">
      <c r="A129" s="238">
        <f>IF(AND(D129="",C129=""),"",126)</f>
        <v/>
      </c>
      <c r="B129" s="206" t="n"/>
      <c r="C129" s="249" t="n"/>
      <c r="D129" s="250" t="n"/>
      <c r="E129" s="251" t="n"/>
      <c r="F129" s="252" t="n"/>
      <c r="G129" s="253" t="n"/>
      <c r="H129" s="254" t="n"/>
      <c r="I129" s="255" t="n"/>
      <c r="J129" s="256" t="n"/>
      <c r="K129" s="256" t="n"/>
      <c r="L129" s="256" t="n"/>
      <c r="M129" s="256" t="n"/>
      <c r="N129" s="256" t="n"/>
      <c r="O129" s="256" t="n"/>
      <c r="P129" s="256" t="n"/>
      <c r="Q129" s="256" t="n"/>
      <c r="R129" s="256" t="n"/>
      <c r="S129" s="256" t="n"/>
      <c r="T129" s="256" t="n"/>
      <c r="U129" s="256" t="n"/>
      <c r="V129" s="247">
        <f>IF(C129="Gutschrift","",IF(G129="","",IF(Besatzung!$B$11="","",IFERROR(IF(I129="Zeitanteilig",(Besatzung!$G$11*(G129-IFERROR(H129,0))+((Besatzung!$B$11&lt;&gt;"")*IF(B129="",1,(IF(Besatzung!$C$11="",Besatzung!$B$5,Besatzung!$C$11)&lt;=B129)*(IF(Besatzung!$D$11="",Besatzung!$B$6,Besatzung!$D$11)&gt;=B129)))*(Besatzung!$F$11="x")*IFERROR(H129,0)/IFERROR(SUMPRODUCT((Besatzung!$B$11:$B$22&lt;&gt;"")*(Besatzung!$F$11:$F$22="x")*(IF(Besatzung!$C$11:$C$22="",Besatzung!$B$5,Besatzung!$C$11:$C$22)&lt;=B129)*(IF(Besatzung!$D$11:$D$22="",Besatzung!$B$6,Besatzung!$D$11:$D$22)&gt;=B129)),1)),IF(I129="An Bord",(((Besatzung!$B$11&lt;&gt;"")*IF(B129="",1,(IF(Besatzung!$C$11="",Besatzung!$B$5,Besatzung!$C$11)&lt;=B129)*(IF(Besatzung!$D$11="",Besatzung!$B$6,Besatzung!$D$11)&gt;=B129)))*((G129-IFERROR(H129,0))/IFERROR(SUMPRODUCT((Besatzung!$B$11:$B$22&lt;&gt;"")*(IF(Besatzung!$C$11:$C$22="",Besatzung!$B$5,Besatzung!$C$11:$C$22)&lt;=B129)*(IF(Besatzung!$D$11:$D$22="",Besatzung!$B$6,Besatzung!$D$11:$D$22)&gt;=B129)),1)+(Besatzung!$F$11="x")*IFERROR(H129,0)/IFERROR(SUMPRODUCT((Besatzung!$B$11:$B$22&lt;&gt;"")*(Besatzung!$F$11:$F$22="x")*(IF(Besatzung!$C$11:$C$22="",Besatzung!$B$5,Besatzung!$C$11:$C$22)&lt;=B129)*(IF(Besatzung!$D$11:$D$22="",Besatzung!$B$6,Besatzung!$D$11:$D$22)&gt;=B129)),1))),IF(I129="Individuell",((J129="x")*((G129-IFERROR(H129,0))/IFERROR(COUNTIF(J129:U129,"x"),1)+(Besatzung!$F$11="x")*IFERROR(H129,0)/IFERROR(SUMPRODUCT((J129:U129="x")*(Besatzung!$F$11:$F$22="x")),1))),(IF(COUNTIF(J129:U129,"x")=0,IF(Besatzung!$B$11&lt;&gt;"",1,0),(J129="x"))*(G129-IFERROR(H129,0))/IFERROR(IF(COUNTIF(J129:U129,"x")=0,COUNTA(Besatzung!$B$11:$B$22),COUNTIF(J129:U129,"x")),1)+IF(COUNTIF(J129:U129,"x")=0,(Besatzung!$F$11="x"),(J129="x")*(Besatzung!$F$11="x"))*IFERROR(H129,0)/IFERROR(IF(COUNTIF(J129:U129,"x")=0,SUMPRODUCT((Besatzung!$B$11:$B$22&lt;&gt;"")*(Besatzung!$F$11:$F$22="x")),SUMPRODUCT((J129:U129="x")*(Besatzung!$F$11:$F$22="x"))),1))))),0))))</f>
        <v/>
      </c>
      <c r="W129" s="247">
        <f>IF(C129="Gutschrift","",IF(G129="","",IF(Besatzung!$B$12="","",IFERROR(IF(I129="Zeitanteilig",(Besatzung!$G$12*(G129-IFERROR(H129,0))+((Besatzung!$B$12&lt;&gt;"")*IF(B129="",1,(IF(Besatzung!$C$12="",Besatzung!$B$5,Besatzung!$C$12)&lt;=B129)*(IF(Besatzung!$D$12="",Besatzung!$B$6,Besatzung!$D$12)&gt;=B129)))*(Besatzung!$F$12="x")*IFERROR(H129,0)/IFERROR(SUMPRODUCT((Besatzung!$B$11:$B$22&lt;&gt;"")*(Besatzung!$F$11:$F$22="x")*(IF(Besatzung!$C$11:$C$22="",Besatzung!$B$5,Besatzung!$C$11:$C$22)&lt;=B129)*(IF(Besatzung!$D$11:$D$22="",Besatzung!$B$6,Besatzung!$D$11:$D$22)&gt;=B129)),1)),IF(I129="An Bord",(((Besatzung!$B$12&lt;&gt;"")*IF(B129="",1,(IF(Besatzung!$C$12="",Besatzung!$B$5,Besatzung!$C$12)&lt;=B129)*(IF(Besatzung!$D$12="",Besatzung!$B$6,Besatzung!$D$12)&gt;=B129)))*((G129-IFERROR(H129,0))/IFERROR(SUMPRODUCT((Besatzung!$B$11:$B$22&lt;&gt;"")*(IF(Besatzung!$C$11:$C$22="",Besatzung!$B$5,Besatzung!$C$11:$C$22)&lt;=B129)*(IF(Besatzung!$D$11:$D$22="",Besatzung!$B$6,Besatzung!$D$11:$D$22)&gt;=B129)),1)+(Besatzung!$F$12="x")*IFERROR(H129,0)/IFERROR(SUMPRODUCT((Besatzung!$B$11:$B$22&lt;&gt;"")*(Besatzung!$F$11:$F$22="x")*(IF(Besatzung!$C$11:$C$22="",Besatzung!$B$5,Besatzung!$C$11:$C$22)&lt;=B129)*(IF(Besatzung!$D$11:$D$22="",Besatzung!$B$6,Besatzung!$D$11:$D$22)&gt;=B129)),1))),IF(I129="Individuell",((K129="x")*((G129-IFERROR(H129,0))/IFERROR(COUNTIF(J129:U129,"x"),1)+(Besatzung!$F$12="x")*IFERROR(H129,0)/IFERROR(SUMPRODUCT((J129:U129="x")*(Besatzung!$F$11:$F$22="x")),1))),(IF(COUNTIF(J129:U129,"x")=0,IF(Besatzung!$B$12&lt;&gt;"",1,0),(K129="x"))*(G129-IFERROR(H129,0))/IFERROR(IF(COUNTIF(J129:U129,"x")=0,COUNTA(Besatzung!$B$11:$B$22),COUNTIF(J129:U129,"x")),1)+IF(COUNTIF(J129:U129,"x")=0,(Besatzung!$F$12="x"),(K129="x")*(Besatzung!$F$12="x"))*IFERROR(H129,0)/IFERROR(IF(COUNTIF(J129:U129,"x")=0,SUMPRODUCT((Besatzung!$B$11:$B$22&lt;&gt;"")*(Besatzung!$F$11:$F$22="x")),SUMPRODUCT((J129:U129="x")*(Besatzung!$F$11:$F$22="x"))),1))))),0))))</f>
        <v/>
      </c>
      <c r="X129" s="247">
        <f>IF(C129="Gutschrift","",IF(G129="","",IF(Besatzung!$B$13="","",IFERROR(IF(I129="Zeitanteilig",(Besatzung!$G$13*(G129-IFERROR(H129,0))+((Besatzung!$B$13&lt;&gt;"")*IF(B129="",1,(IF(Besatzung!$C$13="",Besatzung!$B$5,Besatzung!$C$13)&lt;=B129)*(IF(Besatzung!$D$13="",Besatzung!$B$6,Besatzung!$D$13)&gt;=B129)))*(Besatzung!$F$13="x")*IFERROR(H129,0)/IFERROR(SUMPRODUCT((Besatzung!$B$11:$B$22&lt;&gt;"")*(Besatzung!$F$11:$F$22="x")*(IF(Besatzung!$C$11:$C$22="",Besatzung!$B$5,Besatzung!$C$11:$C$22)&lt;=B129)*(IF(Besatzung!$D$11:$D$22="",Besatzung!$B$6,Besatzung!$D$11:$D$22)&gt;=B129)),1)),IF(I129="An Bord",(((Besatzung!$B$13&lt;&gt;"")*IF(B129="",1,(IF(Besatzung!$C$13="",Besatzung!$B$5,Besatzung!$C$13)&lt;=B129)*(IF(Besatzung!$D$13="",Besatzung!$B$6,Besatzung!$D$13)&gt;=B129)))*((G129-IFERROR(H129,0))/IFERROR(SUMPRODUCT((Besatzung!$B$11:$B$22&lt;&gt;"")*(IF(Besatzung!$C$11:$C$22="",Besatzung!$B$5,Besatzung!$C$11:$C$22)&lt;=B129)*(IF(Besatzung!$D$11:$D$22="",Besatzung!$B$6,Besatzung!$D$11:$D$22)&gt;=B129)),1)+(Besatzung!$F$13="x")*IFERROR(H129,0)/IFERROR(SUMPRODUCT((Besatzung!$B$11:$B$22&lt;&gt;"")*(Besatzung!$F$11:$F$22="x")*(IF(Besatzung!$C$11:$C$22="",Besatzung!$B$5,Besatzung!$C$11:$C$22)&lt;=B129)*(IF(Besatzung!$D$11:$D$22="",Besatzung!$B$6,Besatzung!$D$11:$D$22)&gt;=B129)),1))),IF(I129="Individuell",((K129="x")*((G129-IFERROR(H129,0))/IFERROR(COUNTIF(J129:U129,"x"),1)+(Besatzung!$F$13="x")*IFERROR(H129,0)/IFERROR(SUMPRODUCT((J129:U129="x")*(Besatzung!$F$11:$F$22="x")),1))),(IF(COUNTIF(J129:U129,"x")=0,IF(Besatzung!$B$13&lt;&gt;"",1,0),(K129="x"))*(G129-IFERROR(H129,0))/IFERROR(IF(COUNTIF(J129:U129,"x")=0,COUNTA(Besatzung!$B$11:$B$22),COUNTIF(J129:U129,"x")),1)+IF(COUNTIF(J129:U129,"x")=0,(Besatzung!$F$13="x"),(K129="x")*(Besatzung!$F$13="x"))*IFERROR(H129,0)/IFERROR(IF(COUNTIF(J129:U129,"x")=0,SUMPRODUCT((Besatzung!$B$11:$B$22&lt;&gt;"")*(Besatzung!$F$11:$F$22="x")),SUMPRODUCT((J129:U129="x")*(Besatzung!$F$11:$F$22="x"))),1))))),0))))</f>
        <v/>
      </c>
      <c r="Y129" s="247">
        <f>IF(C129="Gutschrift","",IF(G129="","",IF(Besatzung!$B$14="","",IFERROR(IF(I129="Zeitanteilig",(Besatzung!$G$14*(G129-IFERROR(H129,0))+((Besatzung!$B$14&lt;&gt;"")*IF(B129="",1,(IF(Besatzung!$C$14="",Besatzung!$B$5,Besatzung!$C$14)&lt;=B129)*(IF(Besatzung!$D$14="",Besatzung!$B$6,Besatzung!$D$14)&gt;=B129)))*(Besatzung!$F$14="x")*IFERROR(H129,0)/IFERROR(SUMPRODUCT((Besatzung!$B$11:$B$22&lt;&gt;"")*(Besatzung!$F$11:$F$22="x")*(IF(Besatzung!$C$11:$C$22="",Besatzung!$B$5,Besatzung!$C$11:$C$22)&lt;=B129)*(IF(Besatzung!$D$11:$D$22="",Besatzung!$B$6,Besatzung!$D$11:$D$22)&gt;=B129)),1)),IF(I129="An Bord",(((Besatzung!$B$14&lt;&gt;"")*IF(B129="",1,(IF(Besatzung!$C$14="",Besatzung!$B$5,Besatzung!$C$14)&lt;=B129)*(IF(Besatzung!$D$14="",Besatzung!$B$6,Besatzung!$D$14)&gt;=B129)))*((G129-IFERROR(H129,0))/IFERROR(SUMPRODUCT((Besatzung!$B$11:$B$22&lt;&gt;"")*(IF(Besatzung!$C$11:$C$22="",Besatzung!$B$5,Besatzung!$C$11:$C$22)&lt;=B129)*(IF(Besatzung!$D$11:$D$22="",Besatzung!$B$6,Besatzung!$D$11:$D$22)&gt;=B129)),1)+(Besatzung!$F$14="x")*IFERROR(H129,0)/IFERROR(SUMPRODUCT((Besatzung!$B$11:$B$22&lt;&gt;"")*(Besatzung!$F$11:$F$22="x")*(IF(Besatzung!$C$11:$C$22="",Besatzung!$B$5,Besatzung!$C$11:$C$22)&lt;=B129)*(IF(Besatzung!$D$11:$D$22="",Besatzung!$B$6,Besatzung!$D$11:$D$22)&gt;=B129)),1))),IF(I129="Individuell",((M129="x")*((G129-IFERROR(H129,0))/IFERROR(COUNTIF(J129:U129,"x"),1)+(Besatzung!$F$14="x")*IFERROR(H129,0)/IFERROR(SUMPRODUCT((J129:U129="x")*(Besatzung!$F$11:$F$22="x")),1))),(IF(COUNTIF(J129:U129,"x")=0,IF(Besatzung!$B$14&lt;&gt;"",1,0),(M129="x"))*(G129-IFERROR(H129,0))/IFERROR(IF(COUNTIF(J129:U129,"x")=0,COUNTA(Besatzung!$B$11:$B$22),COUNTIF(J129:U129,"x")),1)+IF(COUNTIF(J129:U129,"x")=0,(Besatzung!$F$14="x"),(M129="x")*(Besatzung!$F$14="x"))*IFERROR(H129,0)/IFERROR(IF(COUNTIF(J129:U129,"x")=0,SUMPRODUCT((Besatzung!$B$11:$B$22&lt;&gt;"")*(Besatzung!$F$11:$F$22="x")),SUMPRODUCT((J129:U129="x")*(Besatzung!$F$11:$F$22="x"))),1))))),0))))</f>
        <v/>
      </c>
      <c r="Z129" s="247">
        <f>IF(C129="Gutschrift","",IF(G129="","",IF(Besatzung!$B$13="","",IFERROR(IF(I129="Zeitanteilig",(Besatzung!$G$15*(G129-IFERROR(H129,0))+((Besatzung!$B$13&lt;&gt;"")*IF(B129="",1,(IF(Besatzung!$C$15="",Besatzung!$B$5,Besatzung!$C$15)&lt;=B129)*(IF(Besatzung!$D$15="",Besatzung!$B$6,Besatzung!$D$15)&gt;=B129)))*(Besatzung!$F$15="x")*IFERROR(H129,0)/IFERROR(SUMPRODUCT((Besatzung!$B$11:$B$22&lt;&gt;"")*(Besatzung!$F$11:$F$22="x")*(IF(Besatzung!$C$11:$C$22="",Besatzung!$B$5,Besatzung!$C$11:$C$22)&lt;=B129)*(IF(Besatzung!$D$11:$D$22="",Besatzung!$B$6,Besatzung!$D$11:$D$22)&gt;=B129)),1)),IF(I129="An Bord",(((Besatzung!$B$13&lt;&gt;"")*IF(B129="",1,(IF(Besatzung!$C$15="",Besatzung!$B$5,Besatzung!$C$15)&lt;=B129)*(IF(Besatzung!$D$15="",Besatzung!$B$6,Besatzung!$D$15)&gt;=B129)))*((G129-IFERROR(H129,0))/IFERROR(SUMPRODUCT((Besatzung!$B$11:$B$22&lt;&gt;"")*(IF(Besatzung!$C$11:$C$22="",Besatzung!$B$5,Besatzung!$C$11:$C$22)&lt;=B129)*(IF(Besatzung!$D$11:$D$22="",Besatzung!$B$6,Besatzung!$D$11:$D$22)&gt;=B129)),1)+(Besatzung!$F$15="x")*IFERROR(H129,0)/IFERROR(SUMPRODUCT((Besatzung!$B$11:$B$22&lt;&gt;"")*(Besatzung!$F$11:$F$22="x")*(IF(Besatzung!$C$11:$C$22="",Besatzung!$B$5,Besatzung!$C$11:$C$22)&lt;=B129)*(IF(Besatzung!$D$11:$D$22="",Besatzung!$B$6,Besatzung!$D$11:$D$22)&gt;=B129)),1))),IF(I129="Individuell",((N129="x")*((G129-IFERROR(H129,0))/IFERROR(COUNTIF(J129:U129,"x"),1)+(Besatzung!$F$15="x")*IFERROR(H129,0)/IFERROR(SUMPRODUCT((J129:U129="x")*(Besatzung!$F$11:$F$22="x")),1))),(IF(COUNTIF(J129:U129,"x")=0,IF(Besatzung!$B$13&lt;&gt;"",1,0),(N129="x"))*(G129-IFERROR(H129,0))/IFERROR(IF(COUNTIF(J129:U129,"x")=0,COUNTA(Besatzung!$B$11:$B$22),COUNTIF(J129:U129,"x")),1)+IF(COUNTIF(J129:U129,"x")=0,(Besatzung!$F$15="x"),(N129="x")*(Besatzung!$F$15="x"))*IFERROR(H129,0)/IFERROR(IF(COUNTIF(J129:U129,"x")=0,SUMPRODUCT((Besatzung!$B$11:$B$22&lt;&gt;"")*(Besatzung!$F$11:$F$22="x")),SUMPRODUCT((J129:U129="x")*(Besatzung!$F$11:$F$22="x"))),1))))),0))))</f>
        <v/>
      </c>
      <c r="AA129" s="247">
        <f>IF(C129="Gutschrift","",IF(G129="","",IF(Besatzung!$B$15="","",IFERROR(IF(I129="Zeitanteilig",(Besatzung!$G$16*(G129-IFERROR(H129,0))+((Besatzung!$B$15&lt;&gt;"")*IF(B129="",1,(IF(Besatzung!$C$16="",Besatzung!$B$5,Besatzung!$C$16)&lt;=B129)*(IF(Besatzung!$D$16="",Besatzung!$B$6,Besatzung!$D$16)&gt;=B129)))*(Besatzung!$F$16="x")*IFERROR(H129,0)/IFERROR(SUMPRODUCT((Besatzung!$B$11:$B$22&lt;&gt;"")*(Besatzung!$F$11:$F$22="x")*(IF(Besatzung!$C$11:$C$22="",Besatzung!$B$5,Besatzung!$C$11:$C$22)&lt;=B129)*(IF(Besatzung!$D$11:$D$22="",Besatzung!$B$6,Besatzung!$D$11:$D$22)&gt;=B129)),1)),IF(I129="An Bord",(((Besatzung!$B$15&lt;&gt;"")*IF(B129="",1,(IF(Besatzung!$C$16="",Besatzung!$B$5,Besatzung!$C$16)&lt;=B129)*(IF(Besatzung!$D$16="",Besatzung!$B$6,Besatzung!$D$16)&gt;=B129)))*((G129-IFERROR(H129,0))/IFERROR(SUMPRODUCT((Besatzung!$B$11:$B$22&lt;&gt;"")*(IF(Besatzung!$C$11:$C$22="",Besatzung!$B$5,Besatzung!$C$11:$C$22)&lt;=B129)*(IF(Besatzung!$D$11:$D$22="",Besatzung!$B$6,Besatzung!$D$11:$D$22)&gt;=B129)),1)+(Besatzung!$F$16="x")*IFERROR(H129,0)/IFERROR(SUMPRODUCT((Besatzung!$B$11:$B$22&lt;&gt;"")*(Besatzung!$F$11:$F$22="x")*(IF(Besatzung!$C$11:$C$22="",Besatzung!$B$5,Besatzung!$C$11:$C$22)&lt;=B129)*(IF(Besatzung!$D$11:$D$22="",Besatzung!$B$6,Besatzung!$D$11:$D$22)&gt;=B129)),1))),IF(I129="Individuell",((O129="x")*((G129-IFERROR(H129,0))/IFERROR(COUNTIF(J129:U129,"x"),1)+(Besatzung!$F$16="x")*IFERROR(H129,0)/IFERROR(SUMPRODUCT((J129:U129="x")*(Besatzung!$F$11:$F$22="x")),1))),(IF(COUNTIF(J129:U129,"x")=0,IF(Besatzung!$B$15&lt;&gt;"",1,0),(O129="x"))*(G129-IFERROR(H129,0))/IFERROR(IF(COUNTIF(J129:U129,"x")=0,COUNTA(Besatzung!$B$11:$B$22),COUNTIF(J129:U129,"x")),1)+IF(COUNTIF(J129:U129,"x")=0,(Besatzung!$F$16="x"),(O129="x")*(Besatzung!$F$16="x"))*IFERROR(H129,0)/IFERROR(IF(COUNTIF(J129:U129,"x")=0,SUMPRODUCT((Besatzung!$B$11:$B$22&lt;&gt;"")*(Besatzung!$F$11:$F$22="x")),SUMPRODUCT((J129:U129="x")*(Besatzung!$F$11:$F$22="x"))),1))))),0))))</f>
        <v/>
      </c>
      <c r="AB129" s="247">
        <f>IF(C129="Gutschrift","",IF(G129="","",IF(Besatzung!$B$17="","",IFERROR(IF(I129="Zeitanteilig",(Besatzung!$G$17*(G129-IFERROR(H129,0))+((Besatzung!$B$17&lt;&gt;"")*IF(B129="",1,(IF(Besatzung!$C$17="",Besatzung!$B$5,Besatzung!$C$17)&lt;=B129)*(IF(Besatzung!$D$17="",Besatzung!$B$6,Besatzung!$D$17)&gt;=B129)))*(Besatzung!$F$17="x")*IFERROR(H129,0)/IFERROR(SUMPRODUCT((Besatzung!$B$11:$B$22&lt;&gt;"")*(Besatzung!$F$11:$F$22="x")*(IF(Besatzung!$C$11:$C$22="",Besatzung!$B$5,Besatzung!$C$11:$C$22)&lt;=B129)*(IF(Besatzung!$D$11:$D$22="",Besatzung!$B$6,Besatzung!$D$11:$D$22)&gt;=B129)),1)),IF(I129="An Bord",(((Besatzung!$B$17&lt;&gt;"")*IF(B129="",1,(IF(Besatzung!$C$17="",Besatzung!$B$5,Besatzung!$C$17)&lt;=B129)*(IF(Besatzung!$D$17="",Besatzung!$B$6,Besatzung!$D$17)&gt;=B129)))*((G129-IFERROR(H129,0))/IFERROR(SUMPRODUCT((Besatzung!$B$11:$B$22&lt;&gt;"")*(IF(Besatzung!$C$11:$C$22="",Besatzung!$B$5,Besatzung!$C$11:$C$22)&lt;=B129)*(IF(Besatzung!$D$11:$D$22="",Besatzung!$B$6,Besatzung!$D$11:$D$22)&gt;=B129)),1)+(Besatzung!$F$17="x")*IFERROR(H129,0)/IFERROR(SUMPRODUCT((Besatzung!$B$11:$B$22&lt;&gt;"")*(Besatzung!$F$11:$F$22="x")*(IF(Besatzung!$C$11:$C$22="",Besatzung!$B$5,Besatzung!$C$11:$C$22)&lt;=B129)*(IF(Besatzung!$D$11:$D$22="",Besatzung!$B$6,Besatzung!$D$11:$D$22)&gt;=B129)),1))),IF(I129="Individuell",((P129="x")*((G129-IFERROR(H129,0))/IFERROR(COUNTIF(J129:U129,"x"),1)+(Besatzung!$F$17="x")*IFERROR(H129,0)/IFERROR(SUMPRODUCT((J129:U129="x")*(Besatzung!$F$11:$F$22="x")),1))),(IF(COUNTIF(J129:U129,"x")=0,IF(Besatzung!$B$17&lt;&gt;"",1,0),(P129="x"))*(G129-IFERROR(H129,0))/IFERROR(IF(COUNTIF(J129:U129,"x")=0,COUNTA(Besatzung!$B$11:$B$22),COUNTIF(J129:U129,"x")),1)+IF(COUNTIF(J129:U129,"x")=0,(Besatzung!$F$17="x"),(P129="x")*(Besatzung!$F$17="x"))*IFERROR(H129,0)/IFERROR(IF(COUNTIF(J129:U129,"x")=0,SUMPRODUCT((Besatzung!$B$11:$B$22&lt;&gt;"")*(Besatzung!$F$11:$F$22="x")),SUMPRODUCT((J129:U129="x")*(Besatzung!$F$11:$F$22="x"))),1))))),0))))</f>
        <v/>
      </c>
      <c r="AC129" s="247">
        <f>IF(C129="Gutschrift","",IF(G129="","",IF(Besatzung!$B$18="","",IFERROR(IF(I129="Zeitanteilig",(Besatzung!$G$18*(G129-IFERROR(H129,0))+((Besatzung!$B$18&lt;&gt;"")*IF(B129="",1,(IF(Besatzung!$C$18="",Besatzung!$B$5,Besatzung!$C$18)&lt;=B129)*(IF(Besatzung!$D$18="",Besatzung!$B$6,Besatzung!$D$18)&gt;=B129)))*(Besatzung!$F$18="x")*IFERROR(H129,0)/IFERROR(SUMPRODUCT((Besatzung!$B$11:$B$22&lt;&gt;"")*(Besatzung!$F$11:$F$22="x")*(IF(Besatzung!$C$11:$C$22="",Besatzung!$B$5,Besatzung!$C$11:$C$22)&lt;=B129)*(IF(Besatzung!$D$11:$D$22="",Besatzung!$B$6,Besatzung!$D$11:$D$22)&gt;=B129)),1)),IF(I129="An Bord",(((Besatzung!$B$18&lt;&gt;"")*IF(B129="",1,(IF(Besatzung!$C$18="",Besatzung!$B$5,Besatzung!$C$18)&lt;=B129)*(IF(Besatzung!$D$18="",Besatzung!$B$6,Besatzung!$D$18)&gt;=B129)))*((G129-IFERROR(H129,0))/IFERROR(SUMPRODUCT((Besatzung!$B$11:$B$22&lt;&gt;"")*(IF(Besatzung!$C$11:$C$22="",Besatzung!$B$5,Besatzung!$C$11:$C$22)&lt;=B129)*(IF(Besatzung!$D$11:$D$22="",Besatzung!$B$6,Besatzung!$D$11:$D$22)&gt;=B129)),1)+(Besatzung!$F$18="x")*IFERROR(H129,0)/IFERROR(SUMPRODUCT((Besatzung!$B$11:$B$22&lt;&gt;"")*(Besatzung!$F$11:$F$22="x")*(IF(Besatzung!$C$11:$C$22="",Besatzung!$B$5,Besatzung!$C$11:$C$22)&lt;=B129)*(IF(Besatzung!$D$11:$D$22="",Besatzung!$B$6,Besatzung!$D$11:$D$22)&gt;=B129)),1))),IF(I129="Individuell",((Q129="x")*((G129-IFERROR(H129,0))/IFERROR(COUNTIF(J129:U129,"x"),1)+(Besatzung!$F$18="x")*IFERROR(H129,0)/IFERROR(SUMPRODUCT((J129:U129="x")*(Besatzung!$F$11:$F$22="x")),1))),(IF(COUNTIF(J129:U129,"x")=0,IF(Besatzung!$B$18&lt;&gt;"",1,0),(Q129="x"))*(G129-IFERROR(H129,0))/IFERROR(IF(COUNTIF(J129:U129,"x")=0,COUNTA(Besatzung!$B$11:$B$22),COUNTIF(J129:U129,"x")),1)+IF(COUNTIF(J129:U129,"x")=0,(Besatzung!$F$18="x"),(Q129="x")*(Besatzung!$F$18="x"))*IFERROR(H129,0)/IFERROR(IF(COUNTIF(J129:U129,"x")=0,SUMPRODUCT((Besatzung!$B$11:$B$22&lt;&gt;"")*(Besatzung!$F$11:$F$22="x")),SUMPRODUCT((J129:U129="x")*(Besatzung!$F$11:$F$22="x"))),1))))),0))))</f>
        <v/>
      </c>
      <c r="AD129" s="247">
        <f>IF(C129="Gutschrift","",IF(G129="","",IF(Besatzung!$B$19="","",IFERROR(IF(I129="Zeitanteilig",(Besatzung!$G$19*(G129-IFERROR(H129,0))+((Besatzung!$B$19&lt;&gt;"")*IF(B129="",1,(IF(Besatzung!$C$19="",Besatzung!$B$5,Besatzung!$C$19)&lt;=B129)*(IF(Besatzung!$D$19="",Besatzung!$B$6,Besatzung!$D$19)&gt;=B129)))*(Besatzung!$F$19="x")*IFERROR(H129,0)/IFERROR(SUMPRODUCT((Besatzung!$B$11:$B$22&lt;&gt;"")*(Besatzung!$F$11:$F$22="x")*(IF(Besatzung!$C$11:$C$22="",Besatzung!$B$5,Besatzung!$C$11:$C$22)&lt;=B129)*(IF(Besatzung!$D$11:$D$22="",Besatzung!$B$6,Besatzung!$D$11:$D$22)&gt;=B129)),1)),IF(I129="An Bord",(((Besatzung!$B$19&lt;&gt;"")*IF(B129="",1,(IF(Besatzung!$C$19="",Besatzung!$B$5,Besatzung!$C$19)&lt;=B129)*(IF(Besatzung!$D$19="",Besatzung!$B$6,Besatzung!$D$19)&gt;=B129)))*((G129-IFERROR(H129,0))/IFERROR(SUMPRODUCT((Besatzung!$B$11:$B$22&lt;&gt;"")*(IF(Besatzung!$C$11:$C$22="",Besatzung!$B$5,Besatzung!$C$11:$C$22)&lt;=B129)*(IF(Besatzung!$D$11:$D$22="",Besatzung!$B$6,Besatzung!$D$11:$D$22)&gt;=B129)),1)+(Besatzung!$F$19="x")*IFERROR(H129,0)/IFERROR(SUMPRODUCT((Besatzung!$B$11:$B$22&lt;&gt;"")*(Besatzung!$F$11:$F$22="x")*(IF(Besatzung!$C$11:$C$22="",Besatzung!$B$5,Besatzung!$C$11:$C$22)&lt;=B129)*(IF(Besatzung!$D$11:$D$22="",Besatzung!$B$6,Besatzung!$D$11:$D$22)&gt;=B129)),1))),IF(I129="Individuell",((R129="x")*((G129-IFERROR(H129,0))/IFERROR(COUNTIF(J129:U129,"x"),1)+(Besatzung!$F$19="x")*IFERROR(H129,0)/IFERROR(SUMPRODUCT((J129:U129="x")*(Besatzung!$F$11:$F$22="x")),1))),(IF(COUNTIF(J129:U129,"x")=0,IF(Besatzung!$B$19&lt;&gt;"",1,0),(R129="x"))*(G129-IFERROR(H129,0))/IFERROR(IF(COUNTIF(J129:U129,"x")=0,COUNTA(Besatzung!$B$11:$B$22),COUNTIF(J129:U129,"x")),1)+IF(COUNTIF(J129:U129,"x")=0,(Besatzung!$F$19="x"),(R129="x")*(Besatzung!$F$19="x"))*IFERROR(H129,0)/IFERROR(IF(COUNTIF(J129:U129,"x")=0,SUMPRODUCT((Besatzung!$B$11:$B$22&lt;&gt;"")*(Besatzung!$F$11:$F$22="x")),SUMPRODUCT((J129:U129="x")*(Besatzung!$F$11:$F$22="x"))),1))))),0))))</f>
        <v/>
      </c>
      <c r="AE129" s="247">
        <f>IF(C129="Gutschrift","",IF(G129="","",IF(Besatzung!$B$20="","",IFERROR(IF(I129="Zeitanteilig",(Besatzung!$G$20*(G129-IFERROR(H129,0))+((Besatzung!$B$20&lt;&gt;"")*IF(B129="",1,(IF(Besatzung!$C$20="",Besatzung!$B$5,Besatzung!$C$20)&lt;=B129)*(IF(Besatzung!$D$20="",Besatzung!$B$6,Besatzung!$D$20)&gt;=B129)))*(Besatzung!$F$20="x")*IFERROR(H129,0)/IFERROR(SUMPRODUCT((Besatzung!$B$11:$B$22&lt;&gt;"")*(Besatzung!$F$11:$F$22="x")*(IF(Besatzung!$C$11:$C$22="",Besatzung!$B$5,Besatzung!$C$11:$C$22)&lt;=B129)*(IF(Besatzung!$D$11:$D$22="",Besatzung!$B$6,Besatzung!$D$11:$D$22)&gt;=B129)),1)),IF(I129="An Bord",(((Besatzung!$B$20&lt;&gt;"")*IF(B129="",1,(IF(Besatzung!$C$20="",Besatzung!$B$5,Besatzung!$C$20)&lt;=B129)*(IF(Besatzung!$D$20="",Besatzung!$B$6,Besatzung!$D$20)&gt;=B129)))*((G129-IFERROR(H129,0))/IFERROR(SUMPRODUCT((Besatzung!$B$11:$B$22&lt;&gt;"")*(IF(Besatzung!$C$11:$C$22="",Besatzung!$B$5,Besatzung!$C$11:$C$22)&lt;=B129)*(IF(Besatzung!$D$11:$D$22="",Besatzung!$B$6,Besatzung!$D$11:$D$22)&gt;=B129)),1)+(Besatzung!$F$20="x")*IFERROR(H129,0)/IFERROR(SUMPRODUCT((Besatzung!$B$11:$B$22&lt;&gt;"")*(Besatzung!$F$11:$F$22="x")*(IF(Besatzung!$C$11:$C$22="",Besatzung!$B$5,Besatzung!$C$11:$C$22)&lt;=B129)*(IF(Besatzung!$D$11:$D$22="",Besatzung!$B$6,Besatzung!$D$11:$D$22)&gt;=B129)),1))),IF(I129="Individuell",((S129="x")*((G129-IFERROR(H129,0))/IFERROR(COUNTIF(J129:U129,"x"),1)+(Besatzung!$F$20="x")*IFERROR(H129,0)/IFERROR(SUMPRODUCT((J129:U129="x")*(Besatzung!$F$11:$F$22="x")),1))),(IF(COUNTIF(J129:U129,"x")=0,IF(Besatzung!$B$20&lt;&gt;"",1,0),(S129="x"))*(G129-IFERROR(H129,0))/IFERROR(IF(COUNTIF(J129:U129,"x")=0,COUNTA(Besatzung!$B$11:$B$22),COUNTIF(J129:U129,"x")),1)+IF(COUNTIF(J129:U129,"x")=0,(Besatzung!$F$20="x"),(S129="x")*(Besatzung!$F$20="x"))*IFERROR(H129,0)/IFERROR(IF(COUNTIF(J129:U129,"x")=0,SUMPRODUCT((Besatzung!$B$11:$B$22&lt;&gt;"")*(Besatzung!$F$11:$F$22="x")),SUMPRODUCT((J129:U129="x")*(Besatzung!$F$11:$F$22="x"))),1))))),0))))</f>
        <v/>
      </c>
      <c r="AF129" s="247">
        <f>IF(C129="Gutschrift","",IF(G129="","",IF(Besatzung!$B$21="","",IFERROR(IF(I129="Zeitanteilig",(Besatzung!$G$21*(G129-IFERROR(H129,0))+((Besatzung!$B$21&lt;&gt;"")*IF(B129="",1,(IF(Besatzung!$C$21="",Besatzung!$B$5,Besatzung!$C$21)&lt;=B129)*(IF(Besatzung!$D$21="",Besatzung!$B$6,Besatzung!$D$21)&gt;=B129)))*(Besatzung!$F$21="x")*IFERROR(H129,0)/IFERROR(SUMPRODUCT((Besatzung!$B$11:$B$22&lt;&gt;"")*(Besatzung!$F$11:$F$22="x")*(IF(Besatzung!$C$11:$C$22="",Besatzung!$B$5,Besatzung!$C$11:$C$22)&lt;=B129)*(IF(Besatzung!$D$11:$D$22="",Besatzung!$B$6,Besatzung!$D$11:$D$22)&gt;=B129)),1)),IF(I129="An Bord",(((Besatzung!$B$21&lt;&gt;"")*IF(B129="",1,(IF(Besatzung!$C$21="",Besatzung!$B$5,Besatzung!$C$21)&lt;=B129)*(IF(Besatzung!$D$21="",Besatzung!$B$6,Besatzung!$D$21)&gt;=B129)))*((G129-IFERROR(H129,0))/IFERROR(SUMPRODUCT((Besatzung!$B$11:$B$22&lt;&gt;"")*(IF(Besatzung!$C$11:$C$22="",Besatzung!$B$5,Besatzung!$C$11:$C$22)&lt;=B129)*(IF(Besatzung!$D$11:$D$22="",Besatzung!$B$6,Besatzung!$D$11:$D$22)&gt;=B129)),1)+(Besatzung!$F$21="x")*IFERROR(H129,0)/IFERROR(SUMPRODUCT((Besatzung!$B$11:$B$22&lt;&gt;"")*(Besatzung!$F$11:$F$22="x")*(IF(Besatzung!$C$11:$C$22="",Besatzung!$B$5,Besatzung!$C$11:$C$22)&lt;=B129)*(IF(Besatzung!$D$11:$D$22="",Besatzung!$B$6,Besatzung!$D$11:$D$22)&gt;=B129)),1))),IF(I129="Individuell",((T129="x")*((G129-IFERROR(H129,0))/IFERROR(COUNTIF(J129:U129,"x"),1)+(Besatzung!$F$21="x")*IFERROR(H129,0)/IFERROR(SUMPRODUCT((J129:U129="x")*(Besatzung!$F$11:$F$22="x")),1))),(IF(COUNTIF(J129:U129,"x")=0,IF(Besatzung!$B$21&lt;&gt;"",1,0),(T129="x"))*(G129-IFERROR(H129,0))/IFERROR(IF(COUNTIF(J129:U129,"x")=0,COUNTA(Besatzung!$B$11:$B$22),COUNTIF(J129:U129,"x")),1)+IF(COUNTIF(J129:U129,"x")=0,(Besatzung!$F$21="x"),(T129="x")*(Besatzung!$F$21="x"))*IFERROR(H129,0)/IFERROR(IF(COUNTIF(J129:U129,"x")=0,SUMPRODUCT((Besatzung!$B$11:$B$22&lt;&gt;"")*(Besatzung!$F$11:$F$22="x")),SUMPRODUCT((J129:U129="x")*(Besatzung!$F$11:$F$22="x"))),1))))),0))))</f>
        <v/>
      </c>
      <c r="AG129" s="247">
        <f>IF(C129="Gutschrift","",IF(G129="","",IF(Besatzung!$B$22="","",IFERROR(IF(I129="Zeitanteilig",(Besatzung!$G$22*(G129-IFERROR(H129,0))+((Besatzung!$B$22&lt;&gt;"")*IF(B129="",1,(IF(Besatzung!$C$22="",Besatzung!$B$5,Besatzung!$C$22)&lt;=B129)*(IF(Besatzung!$D$22="",Besatzung!$B$6,Besatzung!$D$22)&gt;=B129)))*(Besatzung!$F$22="x")*IFERROR(H129,0)/IFERROR(SUMPRODUCT((Besatzung!$B$11:$B$22&lt;&gt;"")*(Besatzung!$F$11:$F$22="x")*(IF(Besatzung!$C$11:$C$22="",Besatzung!$B$5,Besatzung!$C$11:$C$22)&lt;=B129)*(IF(Besatzung!$D$11:$D$22="",Besatzung!$B$6,Besatzung!$D$11:$D$22)&gt;=B129)),1)),IF(I129="An Bord",(((Besatzung!$B$22&lt;&gt;"")*IF(B129="",1,(IF(Besatzung!$C$22="",Besatzung!$B$5,Besatzung!$C$22)&lt;=B129)*(IF(Besatzung!$D$22="",Besatzung!$B$6,Besatzung!$D$22)&gt;=B129)))*((G129-IFERROR(H129,0))/IFERROR(SUMPRODUCT((Besatzung!$B$11:$B$22&lt;&gt;"")*(IF(Besatzung!$C$11:$C$22="",Besatzung!$B$5,Besatzung!$C$11:$C$22)&lt;=B129)*(IF(Besatzung!$D$11:$D$22="",Besatzung!$B$6,Besatzung!$D$11:$D$22)&gt;=B129)),1)+(Besatzung!$F$22="x")*IFERROR(H129,0)/IFERROR(SUMPRODUCT((Besatzung!$B$11:$B$22&lt;&gt;"")*(Besatzung!$F$11:$F$22="x")*(IF(Besatzung!$C$11:$C$22="",Besatzung!$B$5,Besatzung!$C$11:$C$22)&lt;=B129)*(IF(Besatzung!$D$11:$D$22="",Besatzung!$B$6,Besatzung!$D$11:$D$22)&gt;=B129)),1))),IF(I129="Individuell",((U129="x")*((G129-IFERROR(H129,0))/IFERROR(COUNTIF(J129:U129,"x"),1)+(Besatzung!$F$22="x")*IFERROR(H129,0)/IFERROR(SUMPRODUCT((J129:U129="x")*(Besatzung!$F$11:$F$22="x")),1))),(IF(COUNTIF(J129:U129,"x")=0,IF(Besatzung!$B$22&lt;&gt;"",1,0),(U129="x"))*(G129-IFERROR(H129,0))/IFERROR(IF(COUNTIF(J129:U129,"x")=0,COUNTA(Besatzung!$B$11:$B$22),COUNTIF(J129:U129,"x")),1)+IF(COUNTIF(J129:U129,"x")=0,(Besatzung!$F$22="x"),(U129="x")*(Besatzung!$F$22="x"))*IFERROR(H129,0)/IFERROR(IF(COUNTIF(J129:U129,"x")=0,SUMPRODUCT((Besatzung!$B$11:$B$22&lt;&gt;"")*(Besatzung!$F$11:$F$22="x")),SUMPRODUCT((J129:U129="x")*(Besatzung!$F$11:$F$22="x"))),1))))),0))))</f>
        <v/>
      </c>
      <c r="AH129" s="248" t="n"/>
      <c r="AI129" s="248" t="n"/>
    </row>
    <row r="130" ht="21.75" customHeight="1" s="154">
      <c r="A130" s="238">
        <f>IF(AND(D130="",C130=""),"",127)</f>
        <v/>
      </c>
      <c r="B130" s="199" t="n"/>
      <c r="C130" s="239" t="n"/>
      <c r="D130" s="240" t="n"/>
      <c r="E130" s="241" t="n"/>
      <c r="F130" s="242" t="n"/>
      <c r="G130" s="243" t="n"/>
      <c r="H130" s="244" t="n"/>
      <c r="I130" s="245" t="n"/>
      <c r="J130" s="246" t="n"/>
      <c r="K130" s="246" t="n"/>
      <c r="L130" s="246" t="n"/>
      <c r="M130" s="246" t="n"/>
      <c r="N130" s="246" t="n"/>
      <c r="O130" s="246" t="n"/>
      <c r="P130" s="246" t="n"/>
      <c r="Q130" s="246" t="n"/>
      <c r="R130" s="246" t="n"/>
      <c r="S130" s="246" t="n"/>
      <c r="T130" s="246" t="n"/>
      <c r="U130" s="246" t="n"/>
      <c r="V130" s="247">
        <f>IF(C130="Gutschrift","",IF(G130="","",IF(Besatzung!$B$11="","",IFERROR(IF(I130="Zeitanteilig",(Besatzung!$G$11*(G130-IFERROR(H130,0))+((Besatzung!$B$11&lt;&gt;"")*IF(B130="",1,(IF(Besatzung!$C$11="",Besatzung!$B$5,Besatzung!$C$11)&lt;=B130)*(IF(Besatzung!$D$11="",Besatzung!$B$6,Besatzung!$D$11)&gt;=B130)))*(Besatzung!$F$11="x")*IFERROR(H130,0)/IFERROR(SUMPRODUCT((Besatzung!$B$11:$B$22&lt;&gt;"")*(Besatzung!$F$11:$F$22="x")*(IF(Besatzung!$C$11:$C$22="",Besatzung!$B$5,Besatzung!$C$11:$C$22)&lt;=B130)*(IF(Besatzung!$D$11:$D$22="",Besatzung!$B$6,Besatzung!$D$11:$D$22)&gt;=B130)),1)),IF(I130="An Bord",(((Besatzung!$B$11&lt;&gt;"")*IF(B130="",1,(IF(Besatzung!$C$11="",Besatzung!$B$5,Besatzung!$C$11)&lt;=B130)*(IF(Besatzung!$D$11="",Besatzung!$B$6,Besatzung!$D$11)&gt;=B130)))*((G130-IFERROR(H130,0))/IFERROR(SUMPRODUCT((Besatzung!$B$11:$B$22&lt;&gt;"")*(IF(Besatzung!$C$11:$C$22="",Besatzung!$B$5,Besatzung!$C$11:$C$22)&lt;=B130)*(IF(Besatzung!$D$11:$D$22="",Besatzung!$B$6,Besatzung!$D$11:$D$22)&gt;=B130)),1)+(Besatzung!$F$11="x")*IFERROR(H130,0)/IFERROR(SUMPRODUCT((Besatzung!$B$11:$B$22&lt;&gt;"")*(Besatzung!$F$11:$F$22="x")*(IF(Besatzung!$C$11:$C$22="",Besatzung!$B$5,Besatzung!$C$11:$C$22)&lt;=B130)*(IF(Besatzung!$D$11:$D$22="",Besatzung!$B$6,Besatzung!$D$11:$D$22)&gt;=B130)),1))),IF(I130="Individuell",((J130="x")*((G130-IFERROR(H130,0))/IFERROR(COUNTIF(J130:U130,"x"),1)+(Besatzung!$F$11="x")*IFERROR(H130,0)/IFERROR(SUMPRODUCT((J130:U130="x")*(Besatzung!$F$11:$F$22="x")),1))),(IF(COUNTIF(J130:U130,"x")=0,IF(Besatzung!$B$11&lt;&gt;"",1,0),(J130="x"))*(G130-IFERROR(H130,0))/IFERROR(IF(COUNTIF(J130:U130,"x")=0,COUNTA(Besatzung!$B$11:$B$22),COUNTIF(J130:U130,"x")),1)+IF(COUNTIF(J130:U130,"x")=0,(Besatzung!$F$11="x"),(J130="x")*(Besatzung!$F$11="x"))*IFERROR(H130,0)/IFERROR(IF(COUNTIF(J130:U130,"x")=0,SUMPRODUCT((Besatzung!$B$11:$B$22&lt;&gt;"")*(Besatzung!$F$11:$F$22="x")),SUMPRODUCT((J130:U130="x")*(Besatzung!$F$11:$F$22="x"))),1))))),0))))</f>
        <v/>
      </c>
      <c r="W130" s="247">
        <f>IF(C130="Gutschrift","",IF(G130="","",IF(Besatzung!$B$12="","",IFERROR(IF(I130="Zeitanteilig",(Besatzung!$G$12*(G130-IFERROR(H130,0))+((Besatzung!$B$12&lt;&gt;"")*IF(B130="",1,(IF(Besatzung!$C$12="",Besatzung!$B$5,Besatzung!$C$12)&lt;=B130)*(IF(Besatzung!$D$12="",Besatzung!$B$6,Besatzung!$D$12)&gt;=B130)))*(Besatzung!$F$12="x")*IFERROR(H130,0)/IFERROR(SUMPRODUCT((Besatzung!$B$11:$B$22&lt;&gt;"")*(Besatzung!$F$11:$F$22="x")*(IF(Besatzung!$C$11:$C$22="",Besatzung!$B$5,Besatzung!$C$11:$C$22)&lt;=B130)*(IF(Besatzung!$D$11:$D$22="",Besatzung!$B$6,Besatzung!$D$11:$D$22)&gt;=B130)),1)),IF(I130="An Bord",(((Besatzung!$B$12&lt;&gt;"")*IF(B130="",1,(IF(Besatzung!$C$12="",Besatzung!$B$5,Besatzung!$C$12)&lt;=B130)*(IF(Besatzung!$D$12="",Besatzung!$B$6,Besatzung!$D$12)&gt;=B130)))*((G130-IFERROR(H130,0))/IFERROR(SUMPRODUCT((Besatzung!$B$11:$B$22&lt;&gt;"")*(IF(Besatzung!$C$11:$C$22="",Besatzung!$B$5,Besatzung!$C$11:$C$22)&lt;=B130)*(IF(Besatzung!$D$11:$D$22="",Besatzung!$B$6,Besatzung!$D$11:$D$22)&gt;=B130)),1)+(Besatzung!$F$12="x")*IFERROR(H130,0)/IFERROR(SUMPRODUCT((Besatzung!$B$11:$B$22&lt;&gt;"")*(Besatzung!$F$11:$F$22="x")*(IF(Besatzung!$C$11:$C$22="",Besatzung!$B$5,Besatzung!$C$11:$C$22)&lt;=B130)*(IF(Besatzung!$D$11:$D$22="",Besatzung!$B$6,Besatzung!$D$11:$D$22)&gt;=B130)),1))),IF(I130="Individuell",((K130="x")*((G130-IFERROR(H130,0))/IFERROR(COUNTIF(J130:U130,"x"),1)+(Besatzung!$F$12="x")*IFERROR(H130,0)/IFERROR(SUMPRODUCT((J130:U130="x")*(Besatzung!$F$11:$F$22="x")),1))),(IF(COUNTIF(J130:U130,"x")=0,IF(Besatzung!$B$12&lt;&gt;"",1,0),(K130="x"))*(G130-IFERROR(H130,0))/IFERROR(IF(COUNTIF(J130:U130,"x")=0,COUNTA(Besatzung!$B$11:$B$22),COUNTIF(J130:U130,"x")),1)+IF(COUNTIF(J130:U130,"x")=0,(Besatzung!$F$12="x"),(K130="x")*(Besatzung!$F$12="x"))*IFERROR(H130,0)/IFERROR(IF(COUNTIF(J130:U130,"x")=0,SUMPRODUCT((Besatzung!$B$11:$B$22&lt;&gt;"")*(Besatzung!$F$11:$F$22="x")),SUMPRODUCT((J130:U130="x")*(Besatzung!$F$11:$F$22="x"))),1))))),0))))</f>
        <v/>
      </c>
      <c r="X130" s="247">
        <f>IF(C130="Gutschrift","",IF(G130="","",IF(Besatzung!$B$13="","",IFERROR(IF(I130="Zeitanteilig",(Besatzung!$G$13*(G130-IFERROR(H130,0))+((Besatzung!$B$13&lt;&gt;"")*IF(B130="",1,(IF(Besatzung!$C$13="",Besatzung!$B$5,Besatzung!$C$13)&lt;=B130)*(IF(Besatzung!$D$13="",Besatzung!$B$6,Besatzung!$D$13)&gt;=B130)))*(Besatzung!$F$13="x")*IFERROR(H130,0)/IFERROR(SUMPRODUCT((Besatzung!$B$11:$B$22&lt;&gt;"")*(Besatzung!$F$11:$F$22="x")*(IF(Besatzung!$C$11:$C$22="",Besatzung!$B$5,Besatzung!$C$11:$C$22)&lt;=B130)*(IF(Besatzung!$D$11:$D$22="",Besatzung!$B$6,Besatzung!$D$11:$D$22)&gt;=B130)),1)),IF(I130="An Bord",(((Besatzung!$B$13&lt;&gt;"")*IF(B130="",1,(IF(Besatzung!$C$13="",Besatzung!$B$5,Besatzung!$C$13)&lt;=B130)*(IF(Besatzung!$D$13="",Besatzung!$B$6,Besatzung!$D$13)&gt;=B130)))*((G130-IFERROR(H130,0))/IFERROR(SUMPRODUCT((Besatzung!$B$11:$B$22&lt;&gt;"")*(IF(Besatzung!$C$11:$C$22="",Besatzung!$B$5,Besatzung!$C$11:$C$22)&lt;=B130)*(IF(Besatzung!$D$11:$D$22="",Besatzung!$B$6,Besatzung!$D$11:$D$22)&gt;=B130)),1)+(Besatzung!$F$13="x")*IFERROR(H130,0)/IFERROR(SUMPRODUCT((Besatzung!$B$11:$B$22&lt;&gt;"")*(Besatzung!$F$11:$F$22="x")*(IF(Besatzung!$C$11:$C$22="",Besatzung!$B$5,Besatzung!$C$11:$C$22)&lt;=B130)*(IF(Besatzung!$D$11:$D$22="",Besatzung!$B$6,Besatzung!$D$11:$D$22)&gt;=B130)),1))),IF(I130="Individuell",((K130="x")*((G130-IFERROR(H130,0))/IFERROR(COUNTIF(J130:U130,"x"),1)+(Besatzung!$F$13="x")*IFERROR(H130,0)/IFERROR(SUMPRODUCT((J130:U130="x")*(Besatzung!$F$11:$F$22="x")),1))),(IF(COUNTIF(J130:U130,"x")=0,IF(Besatzung!$B$13&lt;&gt;"",1,0),(K130="x"))*(G130-IFERROR(H130,0))/IFERROR(IF(COUNTIF(J130:U130,"x")=0,COUNTA(Besatzung!$B$11:$B$22),COUNTIF(J130:U130,"x")),1)+IF(COUNTIF(J130:U130,"x")=0,(Besatzung!$F$13="x"),(K130="x")*(Besatzung!$F$13="x"))*IFERROR(H130,0)/IFERROR(IF(COUNTIF(J130:U130,"x")=0,SUMPRODUCT((Besatzung!$B$11:$B$22&lt;&gt;"")*(Besatzung!$F$11:$F$22="x")),SUMPRODUCT((J130:U130="x")*(Besatzung!$F$11:$F$22="x"))),1))))),0))))</f>
        <v/>
      </c>
      <c r="Y130" s="247">
        <f>IF(C130="Gutschrift","",IF(G130="","",IF(Besatzung!$B$14="","",IFERROR(IF(I130="Zeitanteilig",(Besatzung!$G$14*(G130-IFERROR(H130,0))+((Besatzung!$B$14&lt;&gt;"")*IF(B130="",1,(IF(Besatzung!$C$14="",Besatzung!$B$5,Besatzung!$C$14)&lt;=B130)*(IF(Besatzung!$D$14="",Besatzung!$B$6,Besatzung!$D$14)&gt;=B130)))*(Besatzung!$F$14="x")*IFERROR(H130,0)/IFERROR(SUMPRODUCT((Besatzung!$B$11:$B$22&lt;&gt;"")*(Besatzung!$F$11:$F$22="x")*(IF(Besatzung!$C$11:$C$22="",Besatzung!$B$5,Besatzung!$C$11:$C$22)&lt;=B130)*(IF(Besatzung!$D$11:$D$22="",Besatzung!$B$6,Besatzung!$D$11:$D$22)&gt;=B130)),1)),IF(I130="An Bord",(((Besatzung!$B$14&lt;&gt;"")*IF(B130="",1,(IF(Besatzung!$C$14="",Besatzung!$B$5,Besatzung!$C$14)&lt;=B130)*(IF(Besatzung!$D$14="",Besatzung!$B$6,Besatzung!$D$14)&gt;=B130)))*((G130-IFERROR(H130,0))/IFERROR(SUMPRODUCT((Besatzung!$B$11:$B$22&lt;&gt;"")*(IF(Besatzung!$C$11:$C$22="",Besatzung!$B$5,Besatzung!$C$11:$C$22)&lt;=B130)*(IF(Besatzung!$D$11:$D$22="",Besatzung!$B$6,Besatzung!$D$11:$D$22)&gt;=B130)),1)+(Besatzung!$F$14="x")*IFERROR(H130,0)/IFERROR(SUMPRODUCT((Besatzung!$B$11:$B$22&lt;&gt;"")*(Besatzung!$F$11:$F$22="x")*(IF(Besatzung!$C$11:$C$22="",Besatzung!$B$5,Besatzung!$C$11:$C$22)&lt;=B130)*(IF(Besatzung!$D$11:$D$22="",Besatzung!$B$6,Besatzung!$D$11:$D$22)&gt;=B130)),1))),IF(I130="Individuell",((M130="x")*((G130-IFERROR(H130,0))/IFERROR(COUNTIF(J130:U130,"x"),1)+(Besatzung!$F$14="x")*IFERROR(H130,0)/IFERROR(SUMPRODUCT((J130:U130="x")*(Besatzung!$F$11:$F$22="x")),1))),(IF(COUNTIF(J130:U130,"x")=0,IF(Besatzung!$B$14&lt;&gt;"",1,0),(M130="x"))*(G130-IFERROR(H130,0))/IFERROR(IF(COUNTIF(J130:U130,"x")=0,COUNTA(Besatzung!$B$11:$B$22),COUNTIF(J130:U130,"x")),1)+IF(COUNTIF(J130:U130,"x")=0,(Besatzung!$F$14="x"),(M130="x")*(Besatzung!$F$14="x"))*IFERROR(H130,0)/IFERROR(IF(COUNTIF(J130:U130,"x")=0,SUMPRODUCT((Besatzung!$B$11:$B$22&lt;&gt;"")*(Besatzung!$F$11:$F$22="x")),SUMPRODUCT((J130:U130="x")*(Besatzung!$F$11:$F$22="x"))),1))))),0))))</f>
        <v/>
      </c>
      <c r="Z130" s="247">
        <f>IF(C130="Gutschrift","",IF(G130="","",IF(Besatzung!$B$13="","",IFERROR(IF(I130="Zeitanteilig",(Besatzung!$G$15*(G130-IFERROR(H130,0))+((Besatzung!$B$13&lt;&gt;"")*IF(B130="",1,(IF(Besatzung!$C$15="",Besatzung!$B$5,Besatzung!$C$15)&lt;=B130)*(IF(Besatzung!$D$15="",Besatzung!$B$6,Besatzung!$D$15)&gt;=B130)))*(Besatzung!$F$15="x")*IFERROR(H130,0)/IFERROR(SUMPRODUCT((Besatzung!$B$11:$B$22&lt;&gt;"")*(Besatzung!$F$11:$F$22="x")*(IF(Besatzung!$C$11:$C$22="",Besatzung!$B$5,Besatzung!$C$11:$C$22)&lt;=B130)*(IF(Besatzung!$D$11:$D$22="",Besatzung!$B$6,Besatzung!$D$11:$D$22)&gt;=B130)),1)),IF(I130="An Bord",(((Besatzung!$B$13&lt;&gt;"")*IF(B130="",1,(IF(Besatzung!$C$15="",Besatzung!$B$5,Besatzung!$C$15)&lt;=B130)*(IF(Besatzung!$D$15="",Besatzung!$B$6,Besatzung!$D$15)&gt;=B130)))*((G130-IFERROR(H130,0))/IFERROR(SUMPRODUCT((Besatzung!$B$11:$B$22&lt;&gt;"")*(IF(Besatzung!$C$11:$C$22="",Besatzung!$B$5,Besatzung!$C$11:$C$22)&lt;=B130)*(IF(Besatzung!$D$11:$D$22="",Besatzung!$B$6,Besatzung!$D$11:$D$22)&gt;=B130)),1)+(Besatzung!$F$15="x")*IFERROR(H130,0)/IFERROR(SUMPRODUCT((Besatzung!$B$11:$B$22&lt;&gt;"")*(Besatzung!$F$11:$F$22="x")*(IF(Besatzung!$C$11:$C$22="",Besatzung!$B$5,Besatzung!$C$11:$C$22)&lt;=B130)*(IF(Besatzung!$D$11:$D$22="",Besatzung!$B$6,Besatzung!$D$11:$D$22)&gt;=B130)),1))),IF(I130="Individuell",((N130="x")*((G130-IFERROR(H130,0))/IFERROR(COUNTIF(J130:U130,"x"),1)+(Besatzung!$F$15="x")*IFERROR(H130,0)/IFERROR(SUMPRODUCT((J130:U130="x")*(Besatzung!$F$11:$F$22="x")),1))),(IF(COUNTIF(J130:U130,"x")=0,IF(Besatzung!$B$13&lt;&gt;"",1,0),(N130="x"))*(G130-IFERROR(H130,0))/IFERROR(IF(COUNTIF(J130:U130,"x")=0,COUNTA(Besatzung!$B$11:$B$22),COUNTIF(J130:U130,"x")),1)+IF(COUNTIF(J130:U130,"x")=0,(Besatzung!$F$15="x"),(N130="x")*(Besatzung!$F$15="x"))*IFERROR(H130,0)/IFERROR(IF(COUNTIF(J130:U130,"x")=0,SUMPRODUCT((Besatzung!$B$11:$B$22&lt;&gt;"")*(Besatzung!$F$11:$F$22="x")),SUMPRODUCT((J130:U130="x")*(Besatzung!$F$11:$F$22="x"))),1))))),0))))</f>
        <v/>
      </c>
      <c r="AA130" s="247">
        <f>IF(C130="Gutschrift","",IF(G130="","",IF(Besatzung!$B$15="","",IFERROR(IF(I130="Zeitanteilig",(Besatzung!$G$16*(G130-IFERROR(H130,0))+((Besatzung!$B$15&lt;&gt;"")*IF(B130="",1,(IF(Besatzung!$C$16="",Besatzung!$B$5,Besatzung!$C$16)&lt;=B130)*(IF(Besatzung!$D$16="",Besatzung!$B$6,Besatzung!$D$16)&gt;=B130)))*(Besatzung!$F$16="x")*IFERROR(H130,0)/IFERROR(SUMPRODUCT((Besatzung!$B$11:$B$22&lt;&gt;"")*(Besatzung!$F$11:$F$22="x")*(IF(Besatzung!$C$11:$C$22="",Besatzung!$B$5,Besatzung!$C$11:$C$22)&lt;=B130)*(IF(Besatzung!$D$11:$D$22="",Besatzung!$B$6,Besatzung!$D$11:$D$22)&gt;=B130)),1)),IF(I130="An Bord",(((Besatzung!$B$15&lt;&gt;"")*IF(B130="",1,(IF(Besatzung!$C$16="",Besatzung!$B$5,Besatzung!$C$16)&lt;=B130)*(IF(Besatzung!$D$16="",Besatzung!$B$6,Besatzung!$D$16)&gt;=B130)))*((G130-IFERROR(H130,0))/IFERROR(SUMPRODUCT((Besatzung!$B$11:$B$22&lt;&gt;"")*(IF(Besatzung!$C$11:$C$22="",Besatzung!$B$5,Besatzung!$C$11:$C$22)&lt;=B130)*(IF(Besatzung!$D$11:$D$22="",Besatzung!$B$6,Besatzung!$D$11:$D$22)&gt;=B130)),1)+(Besatzung!$F$16="x")*IFERROR(H130,0)/IFERROR(SUMPRODUCT((Besatzung!$B$11:$B$22&lt;&gt;"")*(Besatzung!$F$11:$F$22="x")*(IF(Besatzung!$C$11:$C$22="",Besatzung!$B$5,Besatzung!$C$11:$C$22)&lt;=B130)*(IF(Besatzung!$D$11:$D$22="",Besatzung!$B$6,Besatzung!$D$11:$D$22)&gt;=B130)),1))),IF(I130="Individuell",((O130="x")*((G130-IFERROR(H130,0))/IFERROR(COUNTIF(J130:U130,"x"),1)+(Besatzung!$F$16="x")*IFERROR(H130,0)/IFERROR(SUMPRODUCT((J130:U130="x")*(Besatzung!$F$11:$F$22="x")),1))),(IF(COUNTIF(J130:U130,"x")=0,IF(Besatzung!$B$15&lt;&gt;"",1,0),(O130="x"))*(G130-IFERROR(H130,0))/IFERROR(IF(COUNTIF(J130:U130,"x")=0,COUNTA(Besatzung!$B$11:$B$22),COUNTIF(J130:U130,"x")),1)+IF(COUNTIF(J130:U130,"x")=0,(Besatzung!$F$16="x"),(O130="x")*(Besatzung!$F$16="x"))*IFERROR(H130,0)/IFERROR(IF(COUNTIF(J130:U130,"x")=0,SUMPRODUCT((Besatzung!$B$11:$B$22&lt;&gt;"")*(Besatzung!$F$11:$F$22="x")),SUMPRODUCT((J130:U130="x")*(Besatzung!$F$11:$F$22="x"))),1))))),0))))</f>
        <v/>
      </c>
      <c r="AB130" s="247">
        <f>IF(C130="Gutschrift","",IF(G130="","",IF(Besatzung!$B$17="","",IFERROR(IF(I130="Zeitanteilig",(Besatzung!$G$17*(G130-IFERROR(H130,0))+((Besatzung!$B$17&lt;&gt;"")*IF(B130="",1,(IF(Besatzung!$C$17="",Besatzung!$B$5,Besatzung!$C$17)&lt;=B130)*(IF(Besatzung!$D$17="",Besatzung!$B$6,Besatzung!$D$17)&gt;=B130)))*(Besatzung!$F$17="x")*IFERROR(H130,0)/IFERROR(SUMPRODUCT((Besatzung!$B$11:$B$22&lt;&gt;"")*(Besatzung!$F$11:$F$22="x")*(IF(Besatzung!$C$11:$C$22="",Besatzung!$B$5,Besatzung!$C$11:$C$22)&lt;=B130)*(IF(Besatzung!$D$11:$D$22="",Besatzung!$B$6,Besatzung!$D$11:$D$22)&gt;=B130)),1)),IF(I130="An Bord",(((Besatzung!$B$17&lt;&gt;"")*IF(B130="",1,(IF(Besatzung!$C$17="",Besatzung!$B$5,Besatzung!$C$17)&lt;=B130)*(IF(Besatzung!$D$17="",Besatzung!$B$6,Besatzung!$D$17)&gt;=B130)))*((G130-IFERROR(H130,0))/IFERROR(SUMPRODUCT((Besatzung!$B$11:$B$22&lt;&gt;"")*(IF(Besatzung!$C$11:$C$22="",Besatzung!$B$5,Besatzung!$C$11:$C$22)&lt;=B130)*(IF(Besatzung!$D$11:$D$22="",Besatzung!$B$6,Besatzung!$D$11:$D$22)&gt;=B130)),1)+(Besatzung!$F$17="x")*IFERROR(H130,0)/IFERROR(SUMPRODUCT((Besatzung!$B$11:$B$22&lt;&gt;"")*(Besatzung!$F$11:$F$22="x")*(IF(Besatzung!$C$11:$C$22="",Besatzung!$B$5,Besatzung!$C$11:$C$22)&lt;=B130)*(IF(Besatzung!$D$11:$D$22="",Besatzung!$B$6,Besatzung!$D$11:$D$22)&gt;=B130)),1))),IF(I130="Individuell",((P130="x")*((G130-IFERROR(H130,0))/IFERROR(COUNTIF(J130:U130,"x"),1)+(Besatzung!$F$17="x")*IFERROR(H130,0)/IFERROR(SUMPRODUCT((J130:U130="x")*(Besatzung!$F$11:$F$22="x")),1))),(IF(COUNTIF(J130:U130,"x")=0,IF(Besatzung!$B$17&lt;&gt;"",1,0),(P130="x"))*(G130-IFERROR(H130,0))/IFERROR(IF(COUNTIF(J130:U130,"x")=0,COUNTA(Besatzung!$B$11:$B$22),COUNTIF(J130:U130,"x")),1)+IF(COUNTIF(J130:U130,"x")=0,(Besatzung!$F$17="x"),(P130="x")*(Besatzung!$F$17="x"))*IFERROR(H130,0)/IFERROR(IF(COUNTIF(J130:U130,"x")=0,SUMPRODUCT((Besatzung!$B$11:$B$22&lt;&gt;"")*(Besatzung!$F$11:$F$22="x")),SUMPRODUCT((J130:U130="x")*(Besatzung!$F$11:$F$22="x"))),1))))),0))))</f>
        <v/>
      </c>
      <c r="AC130" s="247">
        <f>IF(C130="Gutschrift","",IF(G130="","",IF(Besatzung!$B$18="","",IFERROR(IF(I130="Zeitanteilig",(Besatzung!$G$18*(G130-IFERROR(H130,0))+((Besatzung!$B$18&lt;&gt;"")*IF(B130="",1,(IF(Besatzung!$C$18="",Besatzung!$B$5,Besatzung!$C$18)&lt;=B130)*(IF(Besatzung!$D$18="",Besatzung!$B$6,Besatzung!$D$18)&gt;=B130)))*(Besatzung!$F$18="x")*IFERROR(H130,0)/IFERROR(SUMPRODUCT((Besatzung!$B$11:$B$22&lt;&gt;"")*(Besatzung!$F$11:$F$22="x")*(IF(Besatzung!$C$11:$C$22="",Besatzung!$B$5,Besatzung!$C$11:$C$22)&lt;=B130)*(IF(Besatzung!$D$11:$D$22="",Besatzung!$B$6,Besatzung!$D$11:$D$22)&gt;=B130)),1)),IF(I130="An Bord",(((Besatzung!$B$18&lt;&gt;"")*IF(B130="",1,(IF(Besatzung!$C$18="",Besatzung!$B$5,Besatzung!$C$18)&lt;=B130)*(IF(Besatzung!$D$18="",Besatzung!$B$6,Besatzung!$D$18)&gt;=B130)))*((G130-IFERROR(H130,0))/IFERROR(SUMPRODUCT((Besatzung!$B$11:$B$22&lt;&gt;"")*(IF(Besatzung!$C$11:$C$22="",Besatzung!$B$5,Besatzung!$C$11:$C$22)&lt;=B130)*(IF(Besatzung!$D$11:$D$22="",Besatzung!$B$6,Besatzung!$D$11:$D$22)&gt;=B130)),1)+(Besatzung!$F$18="x")*IFERROR(H130,0)/IFERROR(SUMPRODUCT((Besatzung!$B$11:$B$22&lt;&gt;"")*(Besatzung!$F$11:$F$22="x")*(IF(Besatzung!$C$11:$C$22="",Besatzung!$B$5,Besatzung!$C$11:$C$22)&lt;=B130)*(IF(Besatzung!$D$11:$D$22="",Besatzung!$B$6,Besatzung!$D$11:$D$22)&gt;=B130)),1))),IF(I130="Individuell",((Q130="x")*((G130-IFERROR(H130,0))/IFERROR(COUNTIF(J130:U130,"x"),1)+(Besatzung!$F$18="x")*IFERROR(H130,0)/IFERROR(SUMPRODUCT((J130:U130="x")*(Besatzung!$F$11:$F$22="x")),1))),(IF(COUNTIF(J130:U130,"x")=0,IF(Besatzung!$B$18&lt;&gt;"",1,0),(Q130="x"))*(G130-IFERROR(H130,0))/IFERROR(IF(COUNTIF(J130:U130,"x")=0,COUNTA(Besatzung!$B$11:$B$22),COUNTIF(J130:U130,"x")),1)+IF(COUNTIF(J130:U130,"x")=0,(Besatzung!$F$18="x"),(Q130="x")*(Besatzung!$F$18="x"))*IFERROR(H130,0)/IFERROR(IF(COUNTIF(J130:U130,"x")=0,SUMPRODUCT((Besatzung!$B$11:$B$22&lt;&gt;"")*(Besatzung!$F$11:$F$22="x")),SUMPRODUCT((J130:U130="x")*(Besatzung!$F$11:$F$22="x"))),1))))),0))))</f>
        <v/>
      </c>
      <c r="AD130" s="247">
        <f>IF(C130="Gutschrift","",IF(G130="","",IF(Besatzung!$B$19="","",IFERROR(IF(I130="Zeitanteilig",(Besatzung!$G$19*(G130-IFERROR(H130,0))+((Besatzung!$B$19&lt;&gt;"")*IF(B130="",1,(IF(Besatzung!$C$19="",Besatzung!$B$5,Besatzung!$C$19)&lt;=B130)*(IF(Besatzung!$D$19="",Besatzung!$B$6,Besatzung!$D$19)&gt;=B130)))*(Besatzung!$F$19="x")*IFERROR(H130,0)/IFERROR(SUMPRODUCT((Besatzung!$B$11:$B$22&lt;&gt;"")*(Besatzung!$F$11:$F$22="x")*(IF(Besatzung!$C$11:$C$22="",Besatzung!$B$5,Besatzung!$C$11:$C$22)&lt;=B130)*(IF(Besatzung!$D$11:$D$22="",Besatzung!$B$6,Besatzung!$D$11:$D$22)&gt;=B130)),1)),IF(I130="An Bord",(((Besatzung!$B$19&lt;&gt;"")*IF(B130="",1,(IF(Besatzung!$C$19="",Besatzung!$B$5,Besatzung!$C$19)&lt;=B130)*(IF(Besatzung!$D$19="",Besatzung!$B$6,Besatzung!$D$19)&gt;=B130)))*((G130-IFERROR(H130,0))/IFERROR(SUMPRODUCT((Besatzung!$B$11:$B$22&lt;&gt;"")*(IF(Besatzung!$C$11:$C$22="",Besatzung!$B$5,Besatzung!$C$11:$C$22)&lt;=B130)*(IF(Besatzung!$D$11:$D$22="",Besatzung!$B$6,Besatzung!$D$11:$D$22)&gt;=B130)),1)+(Besatzung!$F$19="x")*IFERROR(H130,0)/IFERROR(SUMPRODUCT((Besatzung!$B$11:$B$22&lt;&gt;"")*(Besatzung!$F$11:$F$22="x")*(IF(Besatzung!$C$11:$C$22="",Besatzung!$B$5,Besatzung!$C$11:$C$22)&lt;=B130)*(IF(Besatzung!$D$11:$D$22="",Besatzung!$B$6,Besatzung!$D$11:$D$22)&gt;=B130)),1))),IF(I130="Individuell",((R130="x")*((G130-IFERROR(H130,0))/IFERROR(COUNTIF(J130:U130,"x"),1)+(Besatzung!$F$19="x")*IFERROR(H130,0)/IFERROR(SUMPRODUCT((J130:U130="x")*(Besatzung!$F$11:$F$22="x")),1))),(IF(COUNTIF(J130:U130,"x")=0,IF(Besatzung!$B$19&lt;&gt;"",1,0),(R130="x"))*(G130-IFERROR(H130,0))/IFERROR(IF(COUNTIF(J130:U130,"x")=0,COUNTA(Besatzung!$B$11:$B$22),COUNTIF(J130:U130,"x")),1)+IF(COUNTIF(J130:U130,"x")=0,(Besatzung!$F$19="x"),(R130="x")*(Besatzung!$F$19="x"))*IFERROR(H130,0)/IFERROR(IF(COUNTIF(J130:U130,"x")=0,SUMPRODUCT((Besatzung!$B$11:$B$22&lt;&gt;"")*(Besatzung!$F$11:$F$22="x")),SUMPRODUCT((J130:U130="x")*(Besatzung!$F$11:$F$22="x"))),1))))),0))))</f>
        <v/>
      </c>
      <c r="AE130" s="247">
        <f>IF(C130="Gutschrift","",IF(G130="","",IF(Besatzung!$B$20="","",IFERROR(IF(I130="Zeitanteilig",(Besatzung!$G$20*(G130-IFERROR(H130,0))+((Besatzung!$B$20&lt;&gt;"")*IF(B130="",1,(IF(Besatzung!$C$20="",Besatzung!$B$5,Besatzung!$C$20)&lt;=B130)*(IF(Besatzung!$D$20="",Besatzung!$B$6,Besatzung!$D$20)&gt;=B130)))*(Besatzung!$F$20="x")*IFERROR(H130,0)/IFERROR(SUMPRODUCT((Besatzung!$B$11:$B$22&lt;&gt;"")*(Besatzung!$F$11:$F$22="x")*(IF(Besatzung!$C$11:$C$22="",Besatzung!$B$5,Besatzung!$C$11:$C$22)&lt;=B130)*(IF(Besatzung!$D$11:$D$22="",Besatzung!$B$6,Besatzung!$D$11:$D$22)&gt;=B130)),1)),IF(I130="An Bord",(((Besatzung!$B$20&lt;&gt;"")*IF(B130="",1,(IF(Besatzung!$C$20="",Besatzung!$B$5,Besatzung!$C$20)&lt;=B130)*(IF(Besatzung!$D$20="",Besatzung!$B$6,Besatzung!$D$20)&gt;=B130)))*((G130-IFERROR(H130,0))/IFERROR(SUMPRODUCT((Besatzung!$B$11:$B$22&lt;&gt;"")*(IF(Besatzung!$C$11:$C$22="",Besatzung!$B$5,Besatzung!$C$11:$C$22)&lt;=B130)*(IF(Besatzung!$D$11:$D$22="",Besatzung!$B$6,Besatzung!$D$11:$D$22)&gt;=B130)),1)+(Besatzung!$F$20="x")*IFERROR(H130,0)/IFERROR(SUMPRODUCT((Besatzung!$B$11:$B$22&lt;&gt;"")*(Besatzung!$F$11:$F$22="x")*(IF(Besatzung!$C$11:$C$22="",Besatzung!$B$5,Besatzung!$C$11:$C$22)&lt;=B130)*(IF(Besatzung!$D$11:$D$22="",Besatzung!$B$6,Besatzung!$D$11:$D$22)&gt;=B130)),1))),IF(I130="Individuell",((S130="x")*((G130-IFERROR(H130,0))/IFERROR(COUNTIF(J130:U130,"x"),1)+(Besatzung!$F$20="x")*IFERROR(H130,0)/IFERROR(SUMPRODUCT((J130:U130="x")*(Besatzung!$F$11:$F$22="x")),1))),(IF(COUNTIF(J130:U130,"x")=0,IF(Besatzung!$B$20&lt;&gt;"",1,0),(S130="x"))*(G130-IFERROR(H130,0))/IFERROR(IF(COUNTIF(J130:U130,"x")=0,COUNTA(Besatzung!$B$11:$B$22),COUNTIF(J130:U130,"x")),1)+IF(COUNTIF(J130:U130,"x")=0,(Besatzung!$F$20="x"),(S130="x")*(Besatzung!$F$20="x"))*IFERROR(H130,0)/IFERROR(IF(COUNTIF(J130:U130,"x")=0,SUMPRODUCT((Besatzung!$B$11:$B$22&lt;&gt;"")*(Besatzung!$F$11:$F$22="x")),SUMPRODUCT((J130:U130="x")*(Besatzung!$F$11:$F$22="x"))),1))))),0))))</f>
        <v/>
      </c>
      <c r="AF130" s="247">
        <f>IF(C130="Gutschrift","",IF(G130="","",IF(Besatzung!$B$21="","",IFERROR(IF(I130="Zeitanteilig",(Besatzung!$G$21*(G130-IFERROR(H130,0))+((Besatzung!$B$21&lt;&gt;"")*IF(B130="",1,(IF(Besatzung!$C$21="",Besatzung!$B$5,Besatzung!$C$21)&lt;=B130)*(IF(Besatzung!$D$21="",Besatzung!$B$6,Besatzung!$D$21)&gt;=B130)))*(Besatzung!$F$21="x")*IFERROR(H130,0)/IFERROR(SUMPRODUCT((Besatzung!$B$11:$B$22&lt;&gt;"")*(Besatzung!$F$11:$F$22="x")*(IF(Besatzung!$C$11:$C$22="",Besatzung!$B$5,Besatzung!$C$11:$C$22)&lt;=B130)*(IF(Besatzung!$D$11:$D$22="",Besatzung!$B$6,Besatzung!$D$11:$D$22)&gt;=B130)),1)),IF(I130="An Bord",(((Besatzung!$B$21&lt;&gt;"")*IF(B130="",1,(IF(Besatzung!$C$21="",Besatzung!$B$5,Besatzung!$C$21)&lt;=B130)*(IF(Besatzung!$D$21="",Besatzung!$B$6,Besatzung!$D$21)&gt;=B130)))*((G130-IFERROR(H130,0))/IFERROR(SUMPRODUCT((Besatzung!$B$11:$B$22&lt;&gt;"")*(IF(Besatzung!$C$11:$C$22="",Besatzung!$B$5,Besatzung!$C$11:$C$22)&lt;=B130)*(IF(Besatzung!$D$11:$D$22="",Besatzung!$B$6,Besatzung!$D$11:$D$22)&gt;=B130)),1)+(Besatzung!$F$21="x")*IFERROR(H130,0)/IFERROR(SUMPRODUCT((Besatzung!$B$11:$B$22&lt;&gt;"")*(Besatzung!$F$11:$F$22="x")*(IF(Besatzung!$C$11:$C$22="",Besatzung!$B$5,Besatzung!$C$11:$C$22)&lt;=B130)*(IF(Besatzung!$D$11:$D$22="",Besatzung!$B$6,Besatzung!$D$11:$D$22)&gt;=B130)),1))),IF(I130="Individuell",((T130="x")*((G130-IFERROR(H130,0))/IFERROR(COUNTIF(J130:U130,"x"),1)+(Besatzung!$F$21="x")*IFERROR(H130,0)/IFERROR(SUMPRODUCT((J130:U130="x")*(Besatzung!$F$11:$F$22="x")),1))),(IF(COUNTIF(J130:U130,"x")=0,IF(Besatzung!$B$21&lt;&gt;"",1,0),(T130="x"))*(G130-IFERROR(H130,0))/IFERROR(IF(COUNTIF(J130:U130,"x")=0,COUNTA(Besatzung!$B$11:$B$22),COUNTIF(J130:U130,"x")),1)+IF(COUNTIF(J130:U130,"x")=0,(Besatzung!$F$21="x"),(T130="x")*(Besatzung!$F$21="x"))*IFERROR(H130,0)/IFERROR(IF(COUNTIF(J130:U130,"x")=0,SUMPRODUCT((Besatzung!$B$11:$B$22&lt;&gt;"")*(Besatzung!$F$11:$F$22="x")),SUMPRODUCT((J130:U130="x")*(Besatzung!$F$11:$F$22="x"))),1))))),0))))</f>
        <v/>
      </c>
      <c r="AG130" s="247">
        <f>IF(C130="Gutschrift","",IF(G130="","",IF(Besatzung!$B$22="","",IFERROR(IF(I130="Zeitanteilig",(Besatzung!$G$22*(G130-IFERROR(H130,0))+((Besatzung!$B$22&lt;&gt;"")*IF(B130="",1,(IF(Besatzung!$C$22="",Besatzung!$B$5,Besatzung!$C$22)&lt;=B130)*(IF(Besatzung!$D$22="",Besatzung!$B$6,Besatzung!$D$22)&gt;=B130)))*(Besatzung!$F$22="x")*IFERROR(H130,0)/IFERROR(SUMPRODUCT((Besatzung!$B$11:$B$22&lt;&gt;"")*(Besatzung!$F$11:$F$22="x")*(IF(Besatzung!$C$11:$C$22="",Besatzung!$B$5,Besatzung!$C$11:$C$22)&lt;=B130)*(IF(Besatzung!$D$11:$D$22="",Besatzung!$B$6,Besatzung!$D$11:$D$22)&gt;=B130)),1)),IF(I130="An Bord",(((Besatzung!$B$22&lt;&gt;"")*IF(B130="",1,(IF(Besatzung!$C$22="",Besatzung!$B$5,Besatzung!$C$22)&lt;=B130)*(IF(Besatzung!$D$22="",Besatzung!$B$6,Besatzung!$D$22)&gt;=B130)))*((G130-IFERROR(H130,0))/IFERROR(SUMPRODUCT((Besatzung!$B$11:$B$22&lt;&gt;"")*(IF(Besatzung!$C$11:$C$22="",Besatzung!$B$5,Besatzung!$C$11:$C$22)&lt;=B130)*(IF(Besatzung!$D$11:$D$22="",Besatzung!$B$6,Besatzung!$D$11:$D$22)&gt;=B130)),1)+(Besatzung!$F$22="x")*IFERROR(H130,0)/IFERROR(SUMPRODUCT((Besatzung!$B$11:$B$22&lt;&gt;"")*(Besatzung!$F$11:$F$22="x")*(IF(Besatzung!$C$11:$C$22="",Besatzung!$B$5,Besatzung!$C$11:$C$22)&lt;=B130)*(IF(Besatzung!$D$11:$D$22="",Besatzung!$B$6,Besatzung!$D$11:$D$22)&gt;=B130)),1))),IF(I130="Individuell",((U130="x")*((G130-IFERROR(H130,0))/IFERROR(COUNTIF(J130:U130,"x"),1)+(Besatzung!$F$22="x")*IFERROR(H130,0)/IFERROR(SUMPRODUCT((J130:U130="x")*(Besatzung!$F$11:$F$22="x")),1))),(IF(COUNTIF(J130:U130,"x")=0,IF(Besatzung!$B$22&lt;&gt;"",1,0),(U130="x"))*(G130-IFERROR(H130,0))/IFERROR(IF(COUNTIF(J130:U130,"x")=0,COUNTA(Besatzung!$B$11:$B$22),COUNTIF(J130:U130,"x")),1)+IF(COUNTIF(J130:U130,"x")=0,(Besatzung!$F$22="x"),(U130="x")*(Besatzung!$F$22="x"))*IFERROR(H130,0)/IFERROR(IF(COUNTIF(J130:U130,"x")=0,SUMPRODUCT((Besatzung!$B$11:$B$22&lt;&gt;"")*(Besatzung!$F$11:$F$22="x")),SUMPRODUCT((J130:U130="x")*(Besatzung!$F$11:$F$22="x"))),1))))),0))))</f>
        <v/>
      </c>
      <c r="AH130" s="248" t="n"/>
      <c r="AI130" s="248" t="n"/>
    </row>
    <row r="131" ht="21.75" customHeight="1" s="154">
      <c r="A131" s="238">
        <f>IF(AND(D131="",C131=""),"",128)</f>
        <v/>
      </c>
      <c r="B131" s="206" t="n"/>
      <c r="C131" s="249" t="n"/>
      <c r="D131" s="250" t="n"/>
      <c r="E131" s="251" t="n"/>
      <c r="F131" s="252" t="n"/>
      <c r="G131" s="253" t="n"/>
      <c r="H131" s="254" t="n"/>
      <c r="I131" s="255" t="n"/>
      <c r="J131" s="256" t="n"/>
      <c r="K131" s="256" t="n"/>
      <c r="L131" s="256" t="n"/>
      <c r="M131" s="256" t="n"/>
      <c r="N131" s="256" t="n"/>
      <c r="O131" s="256" t="n"/>
      <c r="P131" s="256" t="n"/>
      <c r="Q131" s="256" t="n"/>
      <c r="R131" s="256" t="n"/>
      <c r="S131" s="256" t="n"/>
      <c r="T131" s="256" t="n"/>
      <c r="U131" s="256" t="n"/>
      <c r="V131" s="247">
        <f>IF(C131="Gutschrift","",IF(G131="","",IF(Besatzung!$B$11="","",IFERROR(IF(I131="Zeitanteilig",(Besatzung!$G$11*(G131-IFERROR(H131,0))+((Besatzung!$B$11&lt;&gt;"")*IF(B131="",1,(IF(Besatzung!$C$11="",Besatzung!$B$5,Besatzung!$C$11)&lt;=B131)*(IF(Besatzung!$D$11="",Besatzung!$B$6,Besatzung!$D$11)&gt;=B131)))*(Besatzung!$F$11="x")*IFERROR(H131,0)/IFERROR(SUMPRODUCT((Besatzung!$B$11:$B$22&lt;&gt;"")*(Besatzung!$F$11:$F$22="x")*(IF(Besatzung!$C$11:$C$22="",Besatzung!$B$5,Besatzung!$C$11:$C$22)&lt;=B131)*(IF(Besatzung!$D$11:$D$22="",Besatzung!$B$6,Besatzung!$D$11:$D$22)&gt;=B131)),1)),IF(I131="An Bord",(((Besatzung!$B$11&lt;&gt;"")*IF(B131="",1,(IF(Besatzung!$C$11="",Besatzung!$B$5,Besatzung!$C$11)&lt;=B131)*(IF(Besatzung!$D$11="",Besatzung!$B$6,Besatzung!$D$11)&gt;=B131)))*((G131-IFERROR(H131,0))/IFERROR(SUMPRODUCT((Besatzung!$B$11:$B$22&lt;&gt;"")*(IF(Besatzung!$C$11:$C$22="",Besatzung!$B$5,Besatzung!$C$11:$C$22)&lt;=B131)*(IF(Besatzung!$D$11:$D$22="",Besatzung!$B$6,Besatzung!$D$11:$D$22)&gt;=B131)),1)+(Besatzung!$F$11="x")*IFERROR(H131,0)/IFERROR(SUMPRODUCT((Besatzung!$B$11:$B$22&lt;&gt;"")*(Besatzung!$F$11:$F$22="x")*(IF(Besatzung!$C$11:$C$22="",Besatzung!$B$5,Besatzung!$C$11:$C$22)&lt;=B131)*(IF(Besatzung!$D$11:$D$22="",Besatzung!$B$6,Besatzung!$D$11:$D$22)&gt;=B131)),1))),IF(I131="Individuell",((J131="x")*((G131-IFERROR(H131,0))/IFERROR(COUNTIF(J131:U131,"x"),1)+(Besatzung!$F$11="x")*IFERROR(H131,0)/IFERROR(SUMPRODUCT((J131:U131="x")*(Besatzung!$F$11:$F$22="x")),1))),(IF(COUNTIF(J131:U131,"x")=0,IF(Besatzung!$B$11&lt;&gt;"",1,0),(J131="x"))*(G131-IFERROR(H131,0))/IFERROR(IF(COUNTIF(J131:U131,"x")=0,COUNTA(Besatzung!$B$11:$B$22),COUNTIF(J131:U131,"x")),1)+IF(COUNTIF(J131:U131,"x")=0,(Besatzung!$F$11="x"),(J131="x")*(Besatzung!$F$11="x"))*IFERROR(H131,0)/IFERROR(IF(COUNTIF(J131:U131,"x")=0,SUMPRODUCT((Besatzung!$B$11:$B$22&lt;&gt;"")*(Besatzung!$F$11:$F$22="x")),SUMPRODUCT((J131:U131="x")*(Besatzung!$F$11:$F$22="x"))),1))))),0))))</f>
        <v/>
      </c>
      <c r="W131" s="247">
        <f>IF(C131="Gutschrift","",IF(G131="","",IF(Besatzung!$B$12="","",IFERROR(IF(I131="Zeitanteilig",(Besatzung!$G$12*(G131-IFERROR(H131,0))+((Besatzung!$B$12&lt;&gt;"")*IF(B131="",1,(IF(Besatzung!$C$12="",Besatzung!$B$5,Besatzung!$C$12)&lt;=B131)*(IF(Besatzung!$D$12="",Besatzung!$B$6,Besatzung!$D$12)&gt;=B131)))*(Besatzung!$F$12="x")*IFERROR(H131,0)/IFERROR(SUMPRODUCT((Besatzung!$B$11:$B$22&lt;&gt;"")*(Besatzung!$F$11:$F$22="x")*(IF(Besatzung!$C$11:$C$22="",Besatzung!$B$5,Besatzung!$C$11:$C$22)&lt;=B131)*(IF(Besatzung!$D$11:$D$22="",Besatzung!$B$6,Besatzung!$D$11:$D$22)&gt;=B131)),1)),IF(I131="An Bord",(((Besatzung!$B$12&lt;&gt;"")*IF(B131="",1,(IF(Besatzung!$C$12="",Besatzung!$B$5,Besatzung!$C$12)&lt;=B131)*(IF(Besatzung!$D$12="",Besatzung!$B$6,Besatzung!$D$12)&gt;=B131)))*((G131-IFERROR(H131,0))/IFERROR(SUMPRODUCT((Besatzung!$B$11:$B$22&lt;&gt;"")*(IF(Besatzung!$C$11:$C$22="",Besatzung!$B$5,Besatzung!$C$11:$C$22)&lt;=B131)*(IF(Besatzung!$D$11:$D$22="",Besatzung!$B$6,Besatzung!$D$11:$D$22)&gt;=B131)),1)+(Besatzung!$F$12="x")*IFERROR(H131,0)/IFERROR(SUMPRODUCT((Besatzung!$B$11:$B$22&lt;&gt;"")*(Besatzung!$F$11:$F$22="x")*(IF(Besatzung!$C$11:$C$22="",Besatzung!$B$5,Besatzung!$C$11:$C$22)&lt;=B131)*(IF(Besatzung!$D$11:$D$22="",Besatzung!$B$6,Besatzung!$D$11:$D$22)&gt;=B131)),1))),IF(I131="Individuell",((K131="x")*((G131-IFERROR(H131,0))/IFERROR(COUNTIF(J131:U131,"x"),1)+(Besatzung!$F$12="x")*IFERROR(H131,0)/IFERROR(SUMPRODUCT((J131:U131="x")*(Besatzung!$F$11:$F$22="x")),1))),(IF(COUNTIF(J131:U131,"x")=0,IF(Besatzung!$B$12&lt;&gt;"",1,0),(K131="x"))*(G131-IFERROR(H131,0))/IFERROR(IF(COUNTIF(J131:U131,"x")=0,COUNTA(Besatzung!$B$11:$B$22),COUNTIF(J131:U131,"x")),1)+IF(COUNTIF(J131:U131,"x")=0,(Besatzung!$F$12="x"),(K131="x")*(Besatzung!$F$12="x"))*IFERROR(H131,0)/IFERROR(IF(COUNTIF(J131:U131,"x")=0,SUMPRODUCT((Besatzung!$B$11:$B$22&lt;&gt;"")*(Besatzung!$F$11:$F$22="x")),SUMPRODUCT((J131:U131="x")*(Besatzung!$F$11:$F$22="x"))),1))))),0))))</f>
        <v/>
      </c>
      <c r="X131" s="247">
        <f>IF(C131="Gutschrift","",IF(G131="","",IF(Besatzung!$B$13="","",IFERROR(IF(I131="Zeitanteilig",(Besatzung!$G$13*(G131-IFERROR(H131,0))+((Besatzung!$B$13&lt;&gt;"")*IF(B131="",1,(IF(Besatzung!$C$13="",Besatzung!$B$5,Besatzung!$C$13)&lt;=B131)*(IF(Besatzung!$D$13="",Besatzung!$B$6,Besatzung!$D$13)&gt;=B131)))*(Besatzung!$F$13="x")*IFERROR(H131,0)/IFERROR(SUMPRODUCT((Besatzung!$B$11:$B$22&lt;&gt;"")*(Besatzung!$F$11:$F$22="x")*(IF(Besatzung!$C$11:$C$22="",Besatzung!$B$5,Besatzung!$C$11:$C$22)&lt;=B131)*(IF(Besatzung!$D$11:$D$22="",Besatzung!$B$6,Besatzung!$D$11:$D$22)&gt;=B131)),1)),IF(I131="An Bord",(((Besatzung!$B$13&lt;&gt;"")*IF(B131="",1,(IF(Besatzung!$C$13="",Besatzung!$B$5,Besatzung!$C$13)&lt;=B131)*(IF(Besatzung!$D$13="",Besatzung!$B$6,Besatzung!$D$13)&gt;=B131)))*((G131-IFERROR(H131,0))/IFERROR(SUMPRODUCT((Besatzung!$B$11:$B$22&lt;&gt;"")*(IF(Besatzung!$C$11:$C$22="",Besatzung!$B$5,Besatzung!$C$11:$C$22)&lt;=B131)*(IF(Besatzung!$D$11:$D$22="",Besatzung!$B$6,Besatzung!$D$11:$D$22)&gt;=B131)),1)+(Besatzung!$F$13="x")*IFERROR(H131,0)/IFERROR(SUMPRODUCT((Besatzung!$B$11:$B$22&lt;&gt;"")*(Besatzung!$F$11:$F$22="x")*(IF(Besatzung!$C$11:$C$22="",Besatzung!$B$5,Besatzung!$C$11:$C$22)&lt;=B131)*(IF(Besatzung!$D$11:$D$22="",Besatzung!$B$6,Besatzung!$D$11:$D$22)&gt;=B131)),1))),IF(I131="Individuell",((K131="x")*((G131-IFERROR(H131,0))/IFERROR(COUNTIF(J131:U131,"x"),1)+(Besatzung!$F$13="x")*IFERROR(H131,0)/IFERROR(SUMPRODUCT((J131:U131="x")*(Besatzung!$F$11:$F$22="x")),1))),(IF(COUNTIF(J131:U131,"x")=0,IF(Besatzung!$B$13&lt;&gt;"",1,0),(K131="x"))*(G131-IFERROR(H131,0))/IFERROR(IF(COUNTIF(J131:U131,"x")=0,COUNTA(Besatzung!$B$11:$B$22),COUNTIF(J131:U131,"x")),1)+IF(COUNTIF(J131:U131,"x")=0,(Besatzung!$F$13="x"),(K131="x")*(Besatzung!$F$13="x"))*IFERROR(H131,0)/IFERROR(IF(COUNTIF(J131:U131,"x")=0,SUMPRODUCT((Besatzung!$B$11:$B$22&lt;&gt;"")*(Besatzung!$F$11:$F$22="x")),SUMPRODUCT((J131:U131="x")*(Besatzung!$F$11:$F$22="x"))),1))))),0))))</f>
        <v/>
      </c>
      <c r="Y131" s="247">
        <f>IF(C131="Gutschrift","",IF(G131="","",IF(Besatzung!$B$14="","",IFERROR(IF(I131="Zeitanteilig",(Besatzung!$G$14*(G131-IFERROR(H131,0))+((Besatzung!$B$14&lt;&gt;"")*IF(B131="",1,(IF(Besatzung!$C$14="",Besatzung!$B$5,Besatzung!$C$14)&lt;=B131)*(IF(Besatzung!$D$14="",Besatzung!$B$6,Besatzung!$D$14)&gt;=B131)))*(Besatzung!$F$14="x")*IFERROR(H131,0)/IFERROR(SUMPRODUCT((Besatzung!$B$11:$B$22&lt;&gt;"")*(Besatzung!$F$11:$F$22="x")*(IF(Besatzung!$C$11:$C$22="",Besatzung!$B$5,Besatzung!$C$11:$C$22)&lt;=B131)*(IF(Besatzung!$D$11:$D$22="",Besatzung!$B$6,Besatzung!$D$11:$D$22)&gt;=B131)),1)),IF(I131="An Bord",(((Besatzung!$B$14&lt;&gt;"")*IF(B131="",1,(IF(Besatzung!$C$14="",Besatzung!$B$5,Besatzung!$C$14)&lt;=B131)*(IF(Besatzung!$D$14="",Besatzung!$B$6,Besatzung!$D$14)&gt;=B131)))*((G131-IFERROR(H131,0))/IFERROR(SUMPRODUCT((Besatzung!$B$11:$B$22&lt;&gt;"")*(IF(Besatzung!$C$11:$C$22="",Besatzung!$B$5,Besatzung!$C$11:$C$22)&lt;=B131)*(IF(Besatzung!$D$11:$D$22="",Besatzung!$B$6,Besatzung!$D$11:$D$22)&gt;=B131)),1)+(Besatzung!$F$14="x")*IFERROR(H131,0)/IFERROR(SUMPRODUCT((Besatzung!$B$11:$B$22&lt;&gt;"")*(Besatzung!$F$11:$F$22="x")*(IF(Besatzung!$C$11:$C$22="",Besatzung!$B$5,Besatzung!$C$11:$C$22)&lt;=B131)*(IF(Besatzung!$D$11:$D$22="",Besatzung!$B$6,Besatzung!$D$11:$D$22)&gt;=B131)),1))),IF(I131="Individuell",((M131="x")*((G131-IFERROR(H131,0))/IFERROR(COUNTIF(J131:U131,"x"),1)+(Besatzung!$F$14="x")*IFERROR(H131,0)/IFERROR(SUMPRODUCT((J131:U131="x")*(Besatzung!$F$11:$F$22="x")),1))),(IF(COUNTIF(J131:U131,"x")=0,IF(Besatzung!$B$14&lt;&gt;"",1,0),(M131="x"))*(G131-IFERROR(H131,0))/IFERROR(IF(COUNTIF(J131:U131,"x")=0,COUNTA(Besatzung!$B$11:$B$22),COUNTIF(J131:U131,"x")),1)+IF(COUNTIF(J131:U131,"x")=0,(Besatzung!$F$14="x"),(M131="x")*(Besatzung!$F$14="x"))*IFERROR(H131,0)/IFERROR(IF(COUNTIF(J131:U131,"x")=0,SUMPRODUCT((Besatzung!$B$11:$B$22&lt;&gt;"")*(Besatzung!$F$11:$F$22="x")),SUMPRODUCT((J131:U131="x")*(Besatzung!$F$11:$F$22="x"))),1))))),0))))</f>
        <v/>
      </c>
      <c r="Z131" s="247">
        <f>IF(C131="Gutschrift","",IF(G131="","",IF(Besatzung!$B$13="","",IFERROR(IF(I131="Zeitanteilig",(Besatzung!$G$15*(G131-IFERROR(H131,0))+((Besatzung!$B$13&lt;&gt;"")*IF(B131="",1,(IF(Besatzung!$C$15="",Besatzung!$B$5,Besatzung!$C$15)&lt;=B131)*(IF(Besatzung!$D$15="",Besatzung!$B$6,Besatzung!$D$15)&gt;=B131)))*(Besatzung!$F$15="x")*IFERROR(H131,0)/IFERROR(SUMPRODUCT((Besatzung!$B$11:$B$22&lt;&gt;"")*(Besatzung!$F$11:$F$22="x")*(IF(Besatzung!$C$11:$C$22="",Besatzung!$B$5,Besatzung!$C$11:$C$22)&lt;=B131)*(IF(Besatzung!$D$11:$D$22="",Besatzung!$B$6,Besatzung!$D$11:$D$22)&gt;=B131)),1)),IF(I131="An Bord",(((Besatzung!$B$13&lt;&gt;"")*IF(B131="",1,(IF(Besatzung!$C$15="",Besatzung!$B$5,Besatzung!$C$15)&lt;=B131)*(IF(Besatzung!$D$15="",Besatzung!$B$6,Besatzung!$D$15)&gt;=B131)))*((G131-IFERROR(H131,0))/IFERROR(SUMPRODUCT((Besatzung!$B$11:$B$22&lt;&gt;"")*(IF(Besatzung!$C$11:$C$22="",Besatzung!$B$5,Besatzung!$C$11:$C$22)&lt;=B131)*(IF(Besatzung!$D$11:$D$22="",Besatzung!$B$6,Besatzung!$D$11:$D$22)&gt;=B131)),1)+(Besatzung!$F$15="x")*IFERROR(H131,0)/IFERROR(SUMPRODUCT((Besatzung!$B$11:$B$22&lt;&gt;"")*(Besatzung!$F$11:$F$22="x")*(IF(Besatzung!$C$11:$C$22="",Besatzung!$B$5,Besatzung!$C$11:$C$22)&lt;=B131)*(IF(Besatzung!$D$11:$D$22="",Besatzung!$B$6,Besatzung!$D$11:$D$22)&gt;=B131)),1))),IF(I131="Individuell",((N131="x")*((G131-IFERROR(H131,0))/IFERROR(COUNTIF(J131:U131,"x"),1)+(Besatzung!$F$15="x")*IFERROR(H131,0)/IFERROR(SUMPRODUCT((J131:U131="x")*(Besatzung!$F$11:$F$22="x")),1))),(IF(COUNTIF(J131:U131,"x")=0,IF(Besatzung!$B$13&lt;&gt;"",1,0),(N131="x"))*(G131-IFERROR(H131,0))/IFERROR(IF(COUNTIF(J131:U131,"x")=0,COUNTA(Besatzung!$B$11:$B$22),COUNTIF(J131:U131,"x")),1)+IF(COUNTIF(J131:U131,"x")=0,(Besatzung!$F$15="x"),(N131="x")*(Besatzung!$F$15="x"))*IFERROR(H131,0)/IFERROR(IF(COUNTIF(J131:U131,"x")=0,SUMPRODUCT((Besatzung!$B$11:$B$22&lt;&gt;"")*(Besatzung!$F$11:$F$22="x")),SUMPRODUCT((J131:U131="x")*(Besatzung!$F$11:$F$22="x"))),1))))),0))))</f>
        <v/>
      </c>
      <c r="AA131" s="247">
        <f>IF(C131="Gutschrift","",IF(G131="","",IF(Besatzung!$B$15="","",IFERROR(IF(I131="Zeitanteilig",(Besatzung!$G$16*(G131-IFERROR(H131,0))+((Besatzung!$B$15&lt;&gt;"")*IF(B131="",1,(IF(Besatzung!$C$16="",Besatzung!$B$5,Besatzung!$C$16)&lt;=B131)*(IF(Besatzung!$D$16="",Besatzung!$B$6,Besatzung!$D$16)&gt;=B131)))*(Besatzung!$F$16="x")*IFERROR(H131,0)/IFERROR(SUMPRODUCT((Besatzung!$B$11:$B$22&lt;&gt;"")*(Besatzung!$F$11:$F$22="x")*(IF(Besatzung!$C$11:$C$22="",Besatzung!$B$5,Besatzung!$C$11:$C$22)&lt;=B131)*(IF(Besatzung!$D$11:$D$22="",Besatzung!$B$6,Besatzung!$D$11:$D$22)&gt;=B131)),1)),IF(I131="An Bord",(((Besatzung!$B$15&lt;&gt;"")*IF(B131="",1,(IF(Besatzung!$C$16="",Besatzung!$B$5,Besatzung!$C$16)&lt;=B131)*(IF(Besatzung!$D$16="",Besatzung!$B$6,Besatzung!$D$16)&gt;=B131)))*((G131-IFERROR(H131,0))/IFERROR(SUMPRODUCT((Besatzung!$B$11:$B$22&lt;&gt;"")*(IF(Besatzung!$C$11:$C$22="",Besatzung!$B$5,Besatzung!$C$11:$C$22)&lt;=B131)*(IF(Besatzung!$D$11:$D$22="",Besatzung!$B$6,Besatzung!$D$11:$D$22)&gt;=B131)),1)+(Besatzung!$F$16="x")*IFERROR(H131,0)/IFERROR(SUMPRODUCT((Besatzung!$B$11:$B$22&lt;&gt;"")*(Besatzung!$F$11:$F$22="x")*(IF(Besatzung!$C$11:$C$22="",Besatzung!$B$5,Besatzung!$C$11:$C$22)&lt;=B131)*(IF(Besatzung!$D$11:$D$22="",Besatzung!$B$6,Besatzung!$D$11:$D$22)&gt;=B131)),1))),IF(I131="Individuell",((O131="x")*((G131-IFERROR(H131,0))/IFERROR(COUNTIF(J131:U131,"x"),1)+(Besatzung!$F$16="x")*IFERROR(H131,0)/IFERROR(SUMPRODUCT((J131:U131="x")*(Besatzung!$F$11:$F$22="x")),1))),(IF(COUNTIF(J131:U131,"x")=0,IF(Besatzung!$B$15&lt;&gt;"",1,0),(O131="x"))*(G131-IFERROR(H131,0))/IFERROR(IF(COUNTIF(J131:U131,"x")=0,COUNTA(Besatzung!$B$11:$B$22),COUNTIF(J131:U131,"x")),1)+IF(COUNTIF(J131:U131,"x")=0,(Besatzung!$F$16="x"),(O131="x")*(Besatzung!$F$16="x"))*IFERROR(H131,0)/IFERROR(IF(COUNTIF(J131:U131,"x")=0,SUMPRODUCT((Besatzung!$B$11:$B$22&lt;&gt;"")*(Besatzung!$F$11:$F$22="x")),SUMPRODUCT((J131:U131="x")*(Besatzung!$F$11:$F$22="x"))),1))))),0))))</f>
        <v/>
      </c>
      <c r="AB131" s="247">
        <f>IF(C131="Gutschrift","",IF(G131="","",IF(Besatzung!$B$17="","",IFERROR(IF(I131="Zeitanteilig",(Besatzung!$G$17*(G131-IFERROR(H131,0))+((Besatzung!$B$17&lt;&gt;"")*IF(B131="",1,(IF(Besatzung!$C$17="",Besatzung!$B$5,Besatzung!$C$17)&lt;=B131)*(IF(Besatzung!$D$17="",Besatzung!$B$6,Besatzung!$D$17)&gt;=B131)))*(Besatzung!$F$17="x")*IFERROR(H131,0)/IFERROR(SUMPRODUCT((Besatzung!$B$11:$B$22&lt;&gt;"")*(Besatzung!$F$11:$F$22="x")*(IF(Besatzung!$C$11:$C$22="",Besatzung!$B$5,Besatzung!$C$11:$C$22)&lt;=B131)*(IF(Besatzung!$D$11:$D$22="",Besatzung!$B$6,Besatzung!$D$11:$D$22)&gt;=B131)),1)),IF(I131="An Bord",(((Besatzung!$B$17&lt;&gt;"")*IF(B131="",1,(IF(Besatzung!$C$17="",Besatzung!$B$5,Besatzung!$C$17)&lt;=B131)*(IF(Besatzung!$D$17="",Besatzung!$B$6,Besatzung!$D$17)&gt;=B131)))*((G131-IFERROR(H131,0))/IFERROR(SUMPRODUCT((Besatzung!$B$11:$B$22&lt;&gt;"")*(IF(Besatzung!$C$11:$C$22="",Besatzung!$B$5,Besatzung!$C$11:$C$22)&lt;=B131)*(IF(Besatzung!$D$11:$D$22="",Besatzung!$B$6,Besatzung!$D$11:$D$22)&gt;=B131)),1)+(Besatzung!$F$17="x")*IFERROR(H131,0)/IFERROR(SUMPRODUCT((Besatzung!$B$11:$B$22&lt;&gt;"")*(Besatzung!$F$11:$F$22="x")*(IF(Besatzung!$C$11:$C$22="",Besatzung!$B$5,Besatzung!$C$11:$C$22)&lt;=B131)*(IF(Besatzung!$D$11:$D$22="",Besatzung!$B$6,Besatzung!$D$11:$D$22)&gt;=B131)),1))),IF(I131="Individuell",((P131="x")*((G131-IFERROR(H131,0))/IFERROR(COUNTIF(J131:U131,"x"),1)+(Besatzung!$F$17="x")*IFERROR(H131,0)/IFERROR(SUMPRODUCT((J131:U131="x")*(Besatzung!$F$11:$F$22="x")),1))),(IF(COUNTIF(J131:U131,"x")=0,IF(Besatzung!$B$17&lt;&gt;"",1,0),(P131="x"))*(G131-IFERROR(H131,0))/IFERROR(IF(COUNTIF(J131:U131,"x")=0,COUNTA(Besatzung!$B$11:$B$22),COUNTIF(J131:U131,"x")),1)+IF(COUNTIF(J131:U131,"x")=0,(Besatzung!$F$17="x"),(P131="x")*(Besatzung!$F$17="x"))*IFERROR(H131,0)/IFERROR(IF(COUNTIF(J131:U131,"x")=0,SUMPRODUCT((Besatzung!$B$11:$B$22&lt;&gt;"")*(Besatzung!$F$11:$F$22="x")),SUMPRODUCT((J131:U131="x")*(Besatzung!$F$11:$F$22="x"))),1))))),0))))</f>
        <v/>
      </c>
      <c r="AC131" s="247">
        <f>IF(C131="Gutschrift","",IF(G131="","",IF(Besatzung!$B$18="","",IFERROR(IF(I131="Zeitanteilig",(Besatzung!$G$18*(G131-IFERROR(H131,0))+((Besatzung!$B$18&lt;&gt;"")*IF(B131="",1,(IF(Besatzung!$C$18="",Besatzung!$B$5,Besatzung!$C$18)&lt;=B131)*(IF(Besatzung!$D$18="",Besatzung!$B$6,Besatzung!$D$18)&gt;=B131)))*(Besatzung!$F$18="x")*IFERROR(H131,0)/IFERROR(SUMPRODUCT((Besatzung!$B$11:$B$22&lt;&gt;"")*(Besatzung!$F$11:$F$22="x")*(IF(Besatzung!$C$11:$C$22="",Besatzung!$B$5,Besatzung!$C$11:$C$22)&lt;=B131)*(IF(Besatzung!$D$11:$D$22="",Besatzung!$B$6,Besatzung!$D$11:$D$22)&gt;=B131)),1)),IF(I131="An Bord",(((Besatzung!$B$18&lt;&gt;"")*IF(B131="",1,(IF(Besatzung!$C$18="",Besatzung!$B$5,Besatzung!$C$18)&lt;=B131)*(IF(Besatzung!$D$18="",Besatzung!$B$6,Besatzung!$D$18)&gt;=B131)))*((G131-IFERROR(H131,0))/IFERROR(SUMPRODUCT((Besatzung!$B$11:$B$22&lt;&gt;"")*(IF(Besatzung!$C$11:$C$22="",Besatzung!$B$5,Besatzung!$C$11:$C$22)&lt;=B131)*(IF(Besatzung!$D$11:$D$22="",Besatzung!$B$6,Besatzung!$D$11:$D$22)&gt;=B131)),1)+(Besatzung!$F$18="x")*IFERROR(H131,0)/IFERROR(SUMPRODUCT((Besatzung!$B$11:$B$22&lt;&gt;"")*(Besatzung!$F$11:$F$22="x")*(IF(Besatzung!$C$11:$C$22="",Besatzung!$B$5,Besatzung!$C$11:$C$22)&lt;=B131)*(IF(Besatzung!$D$11:$D$22="",Besatzung!$B$6,Besatzung!$D$11:$D$22)&gt;=B131)),1))),IF(I131="Individuell",((Q131="x")*((G131-IFERROR(H131,0))/IFERROR(COUNTIF(J131:U131,"x"),1)+(Besatzung!$F$18="x")*IFERROR(H131,0)/IFERROR(SUMPRODUCT((J131:U131="x")*(Besatzung!$F$11:$F$22="x")),1))),(IF(COUNTIF(J131:U131,"x")=0,IF(Besatzung!$B$18&lt;&gt;"",1,0),(Q131="x"))*(G131-IFERROR(H131,0))/IFERROR(IF(COUNTIF(J131:U131,"x")=0,COUNTA(Besatzung!$B$11:$B$22),COUNTIF(J131:U131,"x")),1)+IF(COUNTIF(J131:U131,"x")=0,(Besatzung!$F$18="x"),(Q131="x")*(Besatzung!$F$18="x"))*IFERROR(H131,0)/IFERROR(IF(COUNTIF(J131:U131,"x")=0,SUMPRODUCT((Besatzung!$B$11:$B$22&lt;&gt;"")*(Besatzung!$F$11:$F$22="x")),SUMPRODUCT((J131:U131="x")*(Besatzung!$F$11:$F$22="x"))),1))))),0))))</f>
        <v/>
      </c>
      <c r="AD131" s="247">
        <f>IF(C131="Gutschrift","",IF(G131="","",IF(Besatzung!$B$19="","",IFERROR(IF(I131="Zeitanteilig",(Besatzung!$G$19*(G131-IFERROR(H131,0))+((Besatzung!$B$19&lt;&gt;"")*IF(B131="",1,(IF(Besatzung!$C$19="",Besatzung!$B$5,Besatzung!$C$19)&lt;=B131)*(IF(Besatzung!$D$19="",Besatzung!$B$6,Besatzung!$D$19)&gt;=B131)))*(Besatzung!$F$19="x")*IFERROR(H131,0)/IFERROR(SUMPRODUCT((Besatzung!$B$11:$B$22&lt;&gt;"")*(Besatzung!$F$11:$F$22="x")*(IF(Besatzung!$C$11:$C$22="",Besatzung!$B$5,Besatzung!$C$11:$C$22)&lt;=B131)*(IF(Besatzung!$D$11:$D$22="",Besatzung!$B$6,Besatzung!$D$11:$D$22)&gt;=B131)),1)),IF(I131="An Bord",(((Besatzung!$B$19&lt;&gt;"")*IF(B131="",1,(IF(Besatzung!$C$19="",Besatzung!$B$5,Besatzung!$C$19)&lt;=B131)*(IF(Besatzung!$D$19="",Besatzung!$B$6,Besatzung!$D$19)&gt;=B131)))*((G131-IFERROR(H131,0))/IFERROR(SUMPRODUCT((Besatzung!$B$11:$B$22&lt;&gt;"")*(IF(Besatzung!$C$11:$C$22="",Besatzung!$B$5,Besatzung!$C$11:$C$22)&lt;=B131)*(IF(Besatzung!$D$11:$D$22="",Besatzung!$B$6,Besatzung!$D$11:$D$22)&gt;=B131)),1)+(Besatzung!$F$19="x")*IFERROR(H131,0)/IFERROR(SUMPRODUCT((Besatzung!$B$11:$B$22&lt;&gt;"")*(Besatzung!$F$11:$F$22="x")*(IF(Besatzung!$C$11:$C$22="",Besatzung!$B$5,Besatzung!$C$11:$C$22)&lt;=B131)*(IF(Besatzung!$D$11:$D$22="",Besatzung!$B$6,Besatzung!$D$11:$D$22)&gt;=B131)),1))),IF(I131="Individuell",((R131="x")*((G131-IFERROR(H131,0))/IFERROR(COUNTIF(J131:U131,"x"),1)+(Besatzung!$F$19="x")*IFERROR(H131,0)/IFERROR(SUMPRODUCT((J131:U131="x")*(Besatzung!$F$11:$F$22="x")),1))),(IF(COUNTIF(J131:U131,"x")=0,IF(Besatzung!$B$19&lt;&gt;"",1,0),(R131="x"))*(G131-IFERROR(H131,0))/IFERROR(IF(COUNTIF(J131:U131,"x")=0,COUNTA(Besatzung!$B$11:$B$22),COUNTIF(J131:U131,"x")),1)+IF(COUNTIF(J131:U131,"x")=0,(Besatzung!$F$19="x"),(R131="x")*(Besatzung!$F$19="x"))*IFERROR(H131,0)/IFERROR(IF(COUNTIF(J131:U131,"x")=0,SUMPRODUCT((Besatzung!$B$11:$B$22&lt;&gt;"")*(Besatzung!$F$11:$F$22="x")),SUMPRODUCT((J131:U131="x")*(Besatzung!$F$11:$F$22="x"))),1))))),0))))</f>
        <v/>
      </c>
      <c r="AE131" s="247">
        <f>IF(C131="Gutschrift","",IF(G131="","",IF(Besatzung!$B$20="","",IFERROR(IF(I131="Zeitanteilig",(Besatzung!$G$20*(G131-IFERROR(H131,0))+((Besatzung!$B$20&lt;&gt;"")*IF(B131="",1,(IF(Besatzung!$C$20="",Besatzung!$B$5,Besatzung!$C$20)&lt;=B131)*(IF(Besatzung!$D$20="",Besatzung!$B$6,Besatzung!$D$20)&gt;=B131)))*(Besatzung!$F$20="x")*IFERROR(H131,0)/IFERROR(SUMPRODUCT((Besatzung!$B$11:$B$22&lt;&gt;"")*(Besatzung!$F$11:$F$22="x")*(IF(Besatzung!$C$11:$C$22="",Besatzung!$B$5,Besatzung!$C$11:$C$22)&lt;=B131)*(IF(Besatzung!$D$11:$D$22="",Besatzung!$B$6,Besatzung!$D$11:$D$22)&gt;=B131)),1)),IF(I131="An Bord",(((Besatzung!$B$20&lt;&gt;"")*IF(B131="",1,(IF(Besatzung!$C$20="",Besatzung!$B$5,Besatzung!$C$20)&lt;=B131)*(IF(Besatzung!$D$20="",Besatzung!$B$6,Besatzung!$D$20)&gt;=B131)))*((G131-IFERROR(H131,0))/IFERROR(SUMPRODUCT((Besatzung!$B$11:$B$22&lt;&gt;"")*(IF(Besatzung!$C$11:$C$22="",Besatzung!$B$5,Besatzung!$C$11:$C$22)&lt;=B131)*(IF(Besatzung!$D$11:$D$22="",Besatzung!$B$6,Besatzung!$D$11:$D$22)&gt;=B131)),1)+(Besatzung!$F$20="x")*IFERROR(H131,0)/IFERROR(SUMPRODUCT((Besatzung!$B$11:$B$22&lt;&gt;"")*(Besatzung!$F$11:$F$22="x")*(IF(Besatzung!$C$11:$C$22="",Besatzung!$B$5,Besatzung!$C$11:$C$22)&lt;=B131)*(IF(Besatzung!$D$11:$D$22="",Besatzung!$B$6,Besatzung!$D$11:$D$22)&gt;=B131)),1))),IF(I131="Individuell",((S131="x")*((G131-IFERROR(H131,0))/IFERROR(COUNTIF(J131:U131,"x"),1)+(Besatzung!$F$20="x")*IFERROR(H131,0)/IFERROR(SUMPRODUCT((J131:U131="x")*(Besatzung!$F$11:$F$22="x")),1))),(IF(COUNTIF(J131:U131,"x")=0,IF(Besatzung!$B$20&lt;&gt;"",1,0),(S131="x"))*(G131-IFERROR(H131,0))/IFERROR(IF(COUNTIF(J131:U131,"x")=0,COUNTA(Besatzung!$B$11:$B$22),COUNTIF(J131:U131,"x")),1)+IF(COUNTIF(J131:U131,"x")=0,(Besatzung!$F$20="x"),(S131="x")*(Besatzung!$F$20="x"))*IFERROR(H131,0)/IFERROR(IF(COUNTIF(J131:U131,"x")=0,SUMPRODUCT((Besatzung!$B$11:$B$22&lt;&gt;"")*(Besatzung!$F$11:$F$22="x")),SUMPRODUCT((J131:U131="x")*(Besatzung!$F$11:$F$22="x"))),1))))),0))))</f>
        <v/>
      </c>
      <c r="AF131" s="247">
        <f>IF(C131="Gutschrift","",IF(G131="","",IF(Besatzung!$B$21="","",IFERROR(IF(I131="Zeitanteilig",(Besatzung!$G$21*(G131-IFERROR(H131,0))+((Besatzung!$B$21&lt;&gt;"")*IF(B131="",1,(IF(Besatzung!$C$21="",Besatzung!$B$5,Besatzung!$C$21)&lt;=B131)*(IF(Besatzung!$D$21="",Besatzung!$B$6,Besatzung!$D$21)&gt;=B131)))*(Besatzung!$F$21="x")*IFERROR(H131,0)/IFERROR(SUMPRODUCT((Besatzung!$B$11:$B$22&lt;&gt;"")*(Besatzung!$F$11:$F$22="x")*(IF(Besatzung!$C$11:$C$22="",Besatzung!$B$5,Besatzung!$C$11:$C$22)&lt;=B131)*(IF(Besatzung!$D$11:$D$22="",Besatzung!$B$6,Besatzung!$D$11:$D$22)&gt;=B131)),1)),IF(I131="An Bord",(((Besatzung!$B$21&lt;&gt;"")*IF(B131="",1,(IF(Besatzung!$C$21="",Besatzung!$B$5,Besatzung!$C$21)&lt;=B131)*(IF(Besatzung!$D$21="",Besatzung!$B$6,Besatzung!$D$21)&gt;=B131)))*((G131-IFERROR(H131,0))/IFERROR(SUMPRODUCT((Besatzung!$B$11:$B$22&lt;&gt;"")*(IF(Besatzung!$C$11:$C$22="",Besatzung!$B$5,Besatzung!$C$11:$C$22)&lt;=B131)*(IF(Besatzung!$D$11:$D$22="",Besatzung!$B$6,Besatzung!$D$11:$D$22)&gt;=B131)),1)+(Besatzung!$F$21="x")*IFERROR(H131,0)/IFERROR(SUMPRODUCT((Besatzung!$B$11:$B$22&lt;&gt;"")*(Besatzung!$F$11:$F$22="x")*(IF(Besatzung!$C$11:$C$22="",Besatzung!$B$5,Besatzung!$C$11:$C$22)&lt;=B131)*(IF(Besatzung!$D$11:$D$22="",Besatzung!$B$6,Besatzung!$D$11:$D$22)&gt;=B131)),1))),IF(I131="Individuell",((T131="x")*((G131-IFERROR(H131,0))/IFERROR(COUNTIF(J131:U131,"x"),1)+(Besatzung!$F$21="x")*IFERROR(H131,0)/IFERROR(SUMPRODUCT((J131:U131="x")*(Besatzung!$F$11:$F$22="x")),1))),(IF(COUNTIF(J131:U131,"x")=0,IF(Besatzung!$B$21&lt;&gt;"",1,0),(T131="x"))*(G131-IFERROR(H131,0))/IFERROR(IF(COUNTIF(J131:U131,"x")=0,COUNTA(Besatzung!$B$11:$B$22),COUNTIF(J131:U131,"x")),1)+IF(COUNTIF(J131:U131,"x")=0,(Besatzung!$F$21="x"),(T131="x")*(Besatzung!$F$21="x"))*IFERROR(H131,0)/IFERROR(IF(COUNTIF(J131:U131,"x")=0,SUMPRODUCT((Besatzung!$B$11:$B$22&lt;&gt;"")*(Besatzung!$F$11:$F$22="x")),SUMPRODUCT((J131:U131="x")*(Besatzung!$F$11:$F$22="x"))),1))))),0))))</f>
        <v/>
      </c>
      <c r="AG131" s="247">
        <f>IF(C131="Gutschrift","",IF(G131="","",IF(Besatzung!$B$22="","",IFERROR(IF(I131="Zeitanteilig",(Besatzung!$G$22*(G131-IFERROR(H131,0))+((Besatzung!$B$22&lt;&gt;"")*IF(B131="",1,(IF(Besatzung!$C$22="",Besatzung!$B$5,Besatzung!$C$22)&lt;=B131)*(IF(Besatzung!$D$22="",Besatzung!$B$6,Besatzung!$D$22)&gt;=B131)))*(Besatzung!$F$22="x")*IFERROR(H131,0)/IFERROR(SUMPRODUCT((Besatzung!$B$11:$B$22&lt;&gt;"")*(Besatzung!$F$11:$F$22="x")*(IF(Besatzung!$C$11:$C$22="",Besatzung!$B$5,Besatzung!$C$11:$C$22)&lt;=B131)*(IF(Besatzung!$D$11:$D$22="",Besatzung!$B$6,Besatzung!$D$11:$D$22)&gt;=B131)),1)),IF(I131="An Bord",(((Besatzung!$B$22&lt;&gt;"")*IF(B131="",1,(IF(Besatzung!$C$22="",Besatzung!$B$5,Besatzung!$C$22)&lt;=B131)*(IF(Besatzung!$D$22="",Besatzung!$B$6,Besatzung!$D$22)&gt;=B131)))*((G131-IFERROR(H131,0))/IFERROR(SUMPRODUCT((Besatzung!$B$11:$B$22&lt;&gt;"")*(IF(Besatzung!$C$11:$C$22="",Besatzung!$B$5,Besatzung!$C$11:$C$22)&lt;=B131)*(IF(Besatzung!$D$11:$D$22="",Besatzung!$B$6,Besatzung!$D$11:$D$22)&gt;=B131)),1)+(Besatzung!$F$22="x")*IFERROR(H131,0)/IFERROR(SUMPRODUCT((Besatzung!$B$11:$B$22&lt;&gt;"")*(Besatzung!$F$11:$F$22="x")*(IF(Besatzung!$C$11:$C$22="",Besatzung!$B$5,Besatzung!$C$11:$C$22)&lt;=B131)*(IF(Besatzung!$D$11:$D$22="",Besatzung!$B$6,Besatzung!$D$11:$D$22)&gt;=B131)),1))),IF(I131="Individuell",((U131="x")*((G131-IFERROR(H131,0))/IFERROR(COUNTIF(J131:U131,"x"),1)+(Besatzung!$F$22="x")*IFERROR(H131,0)/IFERROR(SUMPRODUCT((J131:U131="x")*(Besatzung!$F$11:$F$22="x")),1))),(IF(COUNTIF(J131:U131,"x")=0,IF(Besatzung!$B$22&lt;&gt;"",1,0),(U131="x"))*(G131-IFERROR(H131,0))/IFERROR(IF(COUNTIF(J131:U131,"x")=0,COUNTA(Besatzung!$B$11:$B$22),COUNTIF(J131:U131,"x")),1)+IF(COUNTIF(J131:U131,"x")=0,(Besatzung!$F$22="x"),(U131="x")*(Besatzung!$F$22="x"))*IFERROR(H131,0)/IFERROR(IF(COUNTIF(J131:U131,"x")=0,SUMPRODUCT((Besatzung!$B$11:$B$22&lt;&gt;"")*(Besatzung!$F$11:$F$22="x")),SUMPRODUCT((J131:U131="x")*(Besatzung!$F$11:$F$22="x"))),1))))),0))))</f>
        <v/>
      </c>
      <c r="AH131" s="248" t="n"/>
      <c r="AI131" s="248" t="n"/>
    </row>
    <row r="132" ht="21.75" customHeight="1" s="154">
      <c r="A132" s="238">
        <f>IF(AND(D132="",C132=""),"",129)</f>
        <v/>
      </c>
      <c r="B132" s="199" t="n"/>
      <c r="C132" s="239" t="n"/>
      <c r="D132" s="240" t="n"/>
      <c r="E132" s="241" t="n"/>
      <c r="F132" s="242" t="n"/>
      <c r="G132" s="243" t="n"/>
      <c r="H132" s="244" t="n"/>
      <c r="I132" s="245" t="n"/>
      <c r="J132" s="246" t="n"/>
      <c r="K132" s="246" t="n"/>
      <c r="L132" s="246" t="n"/>
      <c r="M132" s="246" t="n"/>
      <c r="N132" s="246" t="n"/>
      <c r="O132" s="246" t="n"/>
      <c r="P132" s="246" t="n"/>
      <c r="Q132" s="246" t="n"/>
      <c r="R132" s="246" t="n"/>
      <c r="S132" s="246" t="n"/>
      <c r="T132" s="246" t="n"/>
      <c r="U132" s="246" t="n"/>
      <c r="V132" s="247">
        <f>IF(C132="Gutschrift","",IF(G132="","",IF(Besatzung!$B$11="","",IFERROR(IF(I132="Zeitanteilig",(Besatzung!$G$11*(G132-IFERROR(H132,0))+((Besatzung!$B$11&lt;&gt;"")*IF(B132="",1,(IF(Besatzung!$C$11="",Besatzung!$B$5,Besatzung!$C$11)&lt;=B132)*(IF(Besatzung!$D$11="",Besatzung!$B$6,Besatzung!$D$11)&gt;=B132)))*(Besatzung!$F$11="x")*IFERROR(H132,0)/IFERROR(SUMPRODUCT((Besatzung!$B$11:$B$22&lt;&gt;"")*(Besatzung!$F$11:$F$22="x")*(IF(Besatzung!$C$11:$C$22="",Besatzung!$B$5,Besatzung!$C$11:$C$22)&lt;=B132)*(IF(Besatzung!$D$11:$D$22="",Besatzung!$B$6,Besatzung!$D$11:$D$22)&gt;=B132)),1)),IF(I132="An Bord",(((Besatzung!$B$11&lt;&gt;"")*IF(B132="",1,(IF(Besatzung!$C$11="",Besatzung!$B$5,Besatzung!$C$11)&lt;=B132)*(IF(Besatzung!$D$11="",Besatzung!$B$6,Besatzung!$D$11)&gt;=B132)))*((G132-IFERROR(H132,0))/IFERROR(SUMPRODUCT((Besatzung!$B$11:$B$22&lt;&gt;"")*(IF(Besatzung!$C$11:$C$22="",Besatzung!$B$5,Besatzung!$C$11:$C$22)&lt;=B132)*(IF(Besatzung!$D$11:$D$22="",Besatzung!$B$6,Besatzung!$D$11:$D$22)&gt;=B132)),1)+(Besatzung!$F$11="x")*IFERROR(H132,0)/IFERROR(SUMPRODUCT((Besatzung!$B$11:$B$22&lt;&gt;"")*(Besatzung!$F$11:$F$22="x")*(IF(Besatzung!$C$11:$C$22="",Besatzung!$B$5,Besatzung!$C$11:$C$22)&lt;=B132)*(IF(Besatzung!$D$11:$D$22="",Besatzung!$B$6,Besatzung!$D$11:$D$22)&gt;=B132)),1))),IF(I132="Individuell",((J132="x")*((G132-IFERROR(H132,0))/IFERROR(COUNTIF(J132:U132,"x"),1)+(Besatzung!$F$11="x")*IFERROR(H132,0)/IFERROR(SUMPRODUCT((J132:U132="x")*(Besatzung!$F$11:$F$22="x")),1))),(IF(COUNTIF(J132:U132,"x")=0,IF(Besatzung!$B$11&lt;&gt;"",1,0),(J132="x"))*(G132-IFERROR(H132,0))/IFERROR(IF(COUNTIF(J132:U132,"x")=0,COUNTA(Besatzung!$B$11:$B$22),COUNTIF(J132:U132,"x")),1)+IF(COUNTIF(J132:U132,"x")=0,(Besatzung!$F$11="x"),(J132="x")*(Besatzung!$F$11="x"))*IFERROR(H132,0)/IFERROR(IF(COUNTIF(J132:U132,"x")=0,SUMPRODUCT((Besatzung!$B$11:$B$22&lt;&gt;"")*(Besatzung!$F$11:$F$22="x")),SUMPRODUCT((J132:U132="x")*(Besatzung!$F$11:$F$22="x"))),1))))),0))))</f>
        <v/>
      </c>
      <c r="W132" s="247">
        <f>IF(C132="Gutschrift","",IF(G132="","",IF(Besatzung!$B$12="","",IFERROR(IF(I132="Zeitanteilig",(Besatzung!$G$12*(G132-IFERROR(H132,0))+((Besatzung!$B$12&lt;&gt;"")*IF(B132="",1,(IF(Besatzung!$C$12="",Besatzung!$B$5,Besatzung!$C$12)&lt;=B132)*(IF(Besatzung!$D$12="",Besatzung!$B$6,Besatzung!$D$12)&gt;=B132)))*(Besatzung!$F$12="x")*IFERROR(H132,0)/IFERROR(SUMPRODUCT((Besatzung!$B$11:$B$22&lt;&gt;"")*(Besatzung!$F$11:$F$22="x")*(IF(Besatzung!$C$11:$C$22="",Besatzung!$B$5,Besatzung!$C$11:$C$22)&lt;=B132)*(IF(Besatzung!$D$11:$D$22="",Besatzung!$B$6,Besatzung!$D$11:$D$22)&gt;=B132)),1)),IF(I132="An Bord",(((Besatzung!$B$12&lt;&gt;"")*IF(B132="",1,(IF(Besatzung!$C$12="",Besatzung!$B$5,Besatzung!$C$12)&lt;=B132)*(IF(Besatzung!$D$12="",Besatzung!$B$6,Besatzung!$D$12)&gt;=B132)))*((G132-IFERROR(H132,0))/IFERROR(SUMPRODUCT((Besatzung!$B$11:$B$22&lt;&gt;"")*(IF(Besatzung!$C$11:$C$22="",Besatzung!$B$5,Besatzung!$C$11:$C$22)&lt;=B132)*(IF(Besatzung!$D$11:$D$22="",Besatzung!$B$6,Besatzung!$D$11:$D$22)&gt;=B132)),1)+(Besatzung!$F$12="x")*IFERROR(H132,0)/IFERROR(SUMPRODUCT((Besatzung!$B$11:$B$22&lt;&gt;"")*(Besatzung!$F$11:$F$22="x")*(IF(Besatzung!$C$11:$C$22="",Besatzung!$B$5,Besatzung!$C$11:$C$22)&lt;=B132)*(IF(Besatzung!$D$11:$D$22="",Besatzung!$B$6,Besatzung!$D$11:$D$22)&gt;=B132)),1))),IF(I132="Individuell",((K132="x")*((G132-IFERROR(H132,0))/IFERROR(COUNTIF(J132:U132,"x"),1)+(Besatzung!$F$12="x")*IFERROR(H132,0)/IFERROR(SUMPRODUCT((J132:U132="x")*(Besatzung!$F$11:$F$22="x")),1))),(IF(COUNTIF(J132:U132,"x")=0,IF(Besatzung!$B$12&lt;&gt;"",1,0),(K132="x"))*(G132-IFERROR(H132,0))/IFERROR(IF(COUNTIF(J132:U132,"x")=0,COUNTA(Besatzung!$B$11:$B$22),COUNTIF(J132:U132,"x")),1)+IF(COUNTIF(J132:U132,"x")=0,(Besatzung!$F$12="x"),(K132="x")*(Besatzung!$F$12="x"))*IFERROR(H132,0)/IFERROR(IF(COUNTIF(J132:U132,"x")=0,SUMPRODUCT((Besatzung!$B$11:$B$22&lt;&gt;"")*(Besatzung!$F$11:$F$22="x")),SUMPRODUCT((J132:U132="x")*(Besatzung!$F$11:$F$22="x"))),1))))),0))))</f>
        <v/>
      </c>
      <c r="X132" s="247">
        <f>IF(C132="Gutschrift","",IF(G132="","",IF(Besatzung!$B$13="","",IFERROR(IF(I132="Zeitanteilig",(Besatzung!$G$13*(G132-IFERROR(H132,0))+((Besatzung!$B$13&lt;&gt;"")*IF(B132="",1,(IF(Besatzung!$C$13="",Besatzung!$B$5,Besatzung!$C$13)&lt;=B132)*(IF(Besatzung!$D$13="",Besatzung!$B$6,Besatzung!$D$13)&gt;=B132)))*(Besatzung!$F$13="x")*IFERROR(H132,0)/IFERROR(SUMPRODUCT((Besatzung!$B$11:$B$22&lt;&gt;"")*(Besatzung!$F$11:$F$22="x")*(IF(Besatzung!$C$11:$C$22="",Besatzung!$B$5,Besatzung!$C$11:$C$22)&lt;=B132)*(IF(Besatzung!$D$11:$D$22="",Besatzung!$B$6,Besatzung!$D$11:$D$22)&gt;=B132)),1)),IF(I132="An Bord",(((Besatzung!$B$13&lt;&gt;"")*IF(B132="",1,(IF(Besatzung!$C$13="",Besatzung!$B$5,Besatzung!$C$13)&lt;=B132)*(IF(Besatzung!$D$13="",Besatzung!$B$6,Besatzung!$D$13)&gt;=B132)))*((G132-IFERROR(H132,0))/IFERROR(SUMPRODUCT((Besatzung!$B$11:$B$22&lt;&gt;"")*(IF(Besatzung!$C$11:$C$22="",Besatzung!$B$5,Besatzung!$C$11:$C$22)&lt;=B132)*(IF(Besatzung!$D$11:$D$22="",Besatzung!$B$6,Besatzung!$D$11:$D$22)&gt;=B132)),1)+(Besatzung!$F$13="x")*IFERROR(H132,0)/IFERROR(SUMPRODUCT((Besatzung!$B$11:$B$22&lt;&gt;"")*(Besatzung!$F$11:$F$22="x")*(IF(Besatzung!$C$11:$C$22="",Besatzung!$B$5,Besatzung!$C$11:$C$22)&lt;=B132)*(IF(Besatzung!$D$11:$D$22="",Besatzung!$B$6,Besatzung!$D$11:$D$22)&gt;=B132)),1))),IF(I132="Individuell",((K132="x")*((G132-IFERROR(H132,0))/IFERROR(COUNTIF(J132:U132,"x"),1)+(Besatzung!$F$13="x")*IFERROR(H132,0)/IFERROR(SUMPRODUCT((J132:U132="x")*(Besatzung!$F$11:$F$22="x")),1))),(IF(COUNTIF(J132:U132,"x")=0,IF(Besatzung!$B$13&lt;&gt;"",1,0),(K132="x"))*(G132-IFERROR(H132,0))/IFERROR(IF(COUNTIF(J132:U132,"x")=0,COUNTA(Besatzung!$B$11:$B$22),COUNTIF(J132:U132,"x")),1)+IF(COUNTIF(J132:U132,"x")=0,(Besatzung!$F$13="x"),(K132="x")*(Besatzung!$F$13="x"))*IFERROR(H132,0)/IFERROR(IF(COUNTIF(J132:U132,"x")=0,SUMPRODUCT((Besatzung!$B$11:$B$22&lt;&gt;"")*(Besatzung!$F$11:$F$22="x")),SUMPRODUCT((J132:U132="x")*(Besatzung!$F$11:$F$22="x"))),1))))),0))))</f>
        <v/>
      </c>
      <c r="Y132" s="247">
        <f>IF(C132="Gutschrift","",IF(G132="","",IF(Besatzung!$B$14="","",IFERROR(IF(I132="Zeitanteilig",(Besatzung!$G$14*(G132-IFERROR(H132,0))+((Besatzung!$B$14&lt;&gt;"")*IF(B132="",1,(IF(Besatzung!$C$14="",Besatzung!$B$5,Besatzung!$C$14)&lt;=B132)*(IF(Besatzung!$D$14="",Besatzung!$B$6,Besatzung!$D$14)&gt;=B132)))*(Besatzung!$F$14="x")*IFERROR(H132,0)/IFERROR(SUMPRODUCT((Besatzung!$B$11:$B$22&lt;&gt;"")*(Besatzung!$F$11:$F$22="x")*(IF(Besatzung!$C$11:$C$22="",Besatzung!$B$5,Besatzung!$C$11:$C$22)&lt;=B132)*(IF(Besatzung!$D$11:$D$22="",Besatzung!$B$6,Besatzung!$D$11:$D$22)&gt;=B132)),1)),IF(I132="An Bord",(((Besatzung!$B$14&lt;&gt;"")*IF(B132="",1,(IF(Besatzung!$C$14="",Besatzung!$B$5,Besatzung!$C$14)&lt;=B132)*(IF(Besatzung!$D$14="",Besatzung!$B$6,Besatzung!$D$14)&gt;=B132)))*((G132-IFERROR(H132,0))/IFERROR(SUMPRODUCT((Besatzung!$B$11:$B$22&lt;&gt;"")*(IF(Besatzung!$C$11:$C$22="",Besatzung!$B$5,Besatzung!$C$11:$C$22)&lt;=B132)*(IF(Besatzung!$D$11:$D$22="",Besatzung!$B$6,Besatzung!$D$11:$D$22)&gt;=B132)),1)+(Besatzung!$F$14="x")*IFERROR(H132,0)/IFERROR(SUMPRODUCT((Besatzung!$B$11:$B$22&lt;&gt;"")*(Besatzung!$F$11:$F$22="x")*(IF(Besatzung!$C$11:$C$22="",Besatzung!$B$5,Besatzung!$C$11:$C$22)&lt;=B132)*(IF(Besatzung!$D$11:$D$22="",Besatzung!$B$6,Besatzung!$D$11:$D$22)&gt;=B132)),1))),IF(I132="Individuell",((M132="x")*((G132-IFERROR(H132,0))/IFERROR(COUNTIF(J132:U132,"x"),1)+(Besatzung!$F$14="x")*IFERROR(H132,0)/IFERROR(SUMPRODUCT((J132:U132="x")*(Besatzung!$F$11:$F$22="x")),1))),(IF(COUNTIF(J132:U132,"x")=0,IF(Besatzung!$B$14&lt;&gt;"",1,0),(M132="x"))*(G132-IFERROR(H132,0))/IFERROR(IF(COUNTIF(J132:U132,"x")=0,COUNTA(Besatzung!$B$11:$B$22),COUNTIF(J132:U132,"x")),1)+IF(COUNTIF(J132:U132,"x")=0,(Besatzung!$F$14="x"),(M132="x")*(Besatzung!$F$14="x"))*IFERROR(H132,0)/IFERROR(IF(COUNTIF(J132:U132,"x")=0,SUMPRODUCT((Besatzung!$B$11:$B$22&lt;&gt;"")*(Besatzung!$F$11:$F$22="x")),SUMPRODUCT((J132:U132="x")*(Besatzung!$F$11:$F$22="x"))),1))))),0))))</f>
        <v/>
      </c>
      <c r="Z132" s="247">
        <f>IF(C132="Gutschrift","",IF(G132="","",IF(Besatzung!$B$13="","",IFERROR(IF(I132="Zeitanteilig",(Besatzung!$G$15*(G132-IFERROR(H132,0))+((Besatzung!$B$13&lt;&gt;"")*IF(B132="",1,(IF(Besatzung!$C$15="",Besatzung!$B$5,Besatzung!$C$15)&lt;=B132)*(IF(Besatzung!$D$15="",Besatzung!$B$6,Besatzung!$D$15)&gt;=B132)))*(Besatzung!$F$15="x")*IFERROR(H132,0)/IFERROR(SUMPRODUCT((Besatzung!$B$11:$B$22&lt;&gt;"")*(Besatzung!$F$11:$F$22="x")*(IF(Besatzung!$C$11:$C$22="",Besatzung!$B$5,Besatzung!$C$11:$C$22)&lt;=B132)*(IF(Besatzung!$D$11:$D$22="",Besatzung!$B$6,Besatzung!$D$11:$D$22)&gt;=B132)),1)),IF(I132="An Bord",(((Besatzung!$B$13&lt;&gt;"")*IF(B132="",1,(IF(Besatzung!$C$15="",Besatzung!$B$5,Besatzung!$C$15)&lt;=B132)*(IF(Besatzung!$D$15="",Besatzung!$B$6,Besatzung!$D$15)&gt;=B132)))*((G132-IFERROR(H132,0))/IFERROR(SUMPRODUCT((Besatzung!$B$11:$B$22&lt;&gt;"")*(IF(Besatzung!$C$11:$C$22="",Besatzung!$B$5,Besatzung!$C$11:$C$22)&lt;=B132)*(IF(Besatzung!$D$11:$D$22="",Besatzung!$B$6,Besatzung!$D$11:$D$22)&gt;=B132)),1)+(Besatzung!$F$15="x")*IFERROR(H132,0)/IFERROR(SUMPRODUCT((Besatzung!$B$11:$B$22&lt;&gt;"")*(Besatzung!$F$11:$F$22="x")*(IF(Besatzung!$C$11:$C$22="",Besatzung!$B$5,Besatzung!$C$11:$C$22)&lt;=B132)*(IF(Besatzung!$D$11:$D$22="",Besatzung!$B$6,Besatzung!$D$11:$D$22)&gt;=B132)),1))),IF(I132="Individuell",((N132="x")*((G132-IFERROR(H132,0))/IFERROR(COUNTIF(J132:U132,"x"),1)+(Besatzung!$F$15="x")*IFERROR(H132,0)/IFERROR(SUMPRODUCT((J132:U132="x")*(Besatzung!$F$11:$F$22="x")),1))),(IF(COUNTIF(J132:U132,"x")=0,IF(Besatzung!$B$13&lt;&gt;"",1,0),(N132="x"))*(G132-IFERROR(H132,0))/IFERROR(IF(COUNTIF(J132:U132,"x")=0,COUNTA(Besatzung!$B$11:$B$22),COUNTIF(J132:U132,"x")),1)+IF(COUNTIF(J132:U132,"x")=0,(Besatzung!$F$15="x"),(N132="x")*(Besatzung!$F$15="x"))*IFERROR(H132,0)/IFERROR(IF(COUNTIF(J132:U132,"x")=0,SUMPRODUCT((Besatzung!$B$11:$B$22&lt;&gt;"")*(Besatzung!$F$11:$F$22="x")),SUMPRODUCT((J132:U132="x")*(Besatzung!$F$11:$F$22="x"))),1))))),0))))</f>
        <v/>
      </c>
      <c r="AA132" s="247">
        <f>IF(C132="Gutschrift","",IF(G132="","",IF(Besatzung!$B$15="","",IFERROR(IF(I132="Zeitanteilig",(Besatzung!$G$16*(G132-IFERROR(H132,0))+((Besatzung!$B$15&lt;&gt;"")*IF(B132="",1,(IF(Besatzung!$C$16="",Besatzung!$B$5,Besatzung!$C$16)&lt;=B132)*(IF(Besatzung!$D$16="",Besatzung!$B$6,Besatzung!$D$16)&gt;=B132)))*(Besatzung!$F$16="x")*IFERROR(H132,0)/IFERROR(SUMPRODUCT((Besatzung!$B$11:$B$22&lt;&gt;"")*(Besatzung!$F$11:$F$22="x")*(IF(Besatzung!$C$11:$C$22="",Besatzung!$B$5,Besatzung!$C$11:$C$22)&lt;=B132)*(IF(Besatzung!$D$11:$D$22="",Besatzung!$B$6,Besatzung!$D$11:$D$22)&gt;=B132)),1)),IF(I132="An Bord",(((Besatzung!$B$15&lt;&gt;"")*IF(B132="",1,(IF(Besatzung!$C$16="",Besatzung!$B$5,Besatzung!$C$16)&lt;=B132)*(IF(Besatzung!$D$16="",Besatzung!$B$6,Besatzung!$D$16)&gt;=B132)))*((G132-IFERROR(H132,0))/IFERROR(SUMPRODUCT((Besatzung!$B$11:$B$22&lt;&gt;"")*(IF(Besatzung!$C$11:$C$22="",Besatzung!$B$5,Besatzung!$C$11:$C$22)&lt;=B132)*(IF(Besatzung!$D$11:$D$22="",Besatzung!$B$6,Besatzung!$D$11:$D$22)&gt;=B132)),1)+(Besatzung!$F$16="x")*IFERROR(H132,0)/IFERROR(SUMPRODUCT((Besatzung!$B$11:$B$22&lt;&gt;"")*(Besatzung!$F$11:$F$22="x")*(IF(Besatzung!$C$11:$C$22="",Besatzung!$B$5,Besatzung!$C$11:$C$22)&lt;=B132)*(IF(Besatzung!$D$11:$D$22="",Besatzung!$B$6,Besatzung!$D$11:$D$22)&gt;=B132)),1))),IF(I132="Individuell",((O132="x")*((G132-IFERROR(H132,0))/IFERROR(COUNTIF(J132:U132,"x"),1)+(Besatzung!$F$16="x")*IFERROR(H132,0)/IFERROR(SUMPRODUCT((J132:U132="x")*(Besatzung!$F$11:$F$22="x")),1))),(IF(COUNTIF(J132:U132,"x")=0,IF(Besatzung!$B$15&lt;&gt;"",1,0),(O132="x"))*(G132-IFERROR(H132,0))/IFERROR(IF(COUNTIF(J132:U132,"x")=0,COUNTA(Besatzung!$B$11:$B$22),COUNTIF(J132:U132,"x")),1)+IF(COUNTIF(J132:U132,"x")=0,(Besatzung!$F$16="x"),(O132="x")*(Besatzung!$F$16="x"))*IFERROR(H132,0)/IFERROR(IF(COUNTIF(J132:U132,"x")=0,SUMPRODUCT((Besatzung!$B$11:$B$22&lt;&gt;"")*(Besatzung!$F$11:$F$22="x")),SUMPRODUCT((J132:U132="x")*(Besatzung!$F$11:$F$22="x"))),1))))),0))))</f>
        <v/>
      </c>
      <c r="AB132" s="247">
        <f>IF(C132="Gutschrift","",IF(G132="","",IF(Besatzung!$B$17="","",IFERROR(IF(I132="Zeitanteilig",(Besatzung!$G$17*(G132-IFERROR(H132,0))+((Besatzung!$B$17&lt;&gt;"")*IF(B132="",1,(IF(Besatzung!$C$17="",Besatzung!$B$5,Besatzung!$C$17)&lt;=B132)*(IF(Besatzung!$D$17="",Besatzung!$B$6,Besatzung!$D$17)&gt;=B132)))*(Besatzung!$F$17="x")*IFERROR(H132,0)/IFERROR(SUMPRODUCT((Besatzung!$B$11:$B$22&lt;&gt;"")*(Besatzung!$F$11:$F$22="x")*(IF(Besatzung!$C$11:$C$22="",Besatzung!$B$5,Besatzung!$C$11:$C$22)&lt;=B132)*(IF(Besatzung!$D$11:$D$22="",Besatzung!$B$6,Besatzung!$D$11:$D$22)&gt;=B132)),1)),IF(I132="An Bord",(((Besatzung!$B$17&lt;&gt;"")*IF(B132="",1,(IF(Besatzung!$C$17="",Besatzung!$B$5,Besatzung!$C$17)&lt;=B132)*(IF(Besatzung!$D$17="",Besatzung!$B$6,Besatzung!$D$17)&gt;=B132)))*((G132-IFERROR(H132,0))/IFERROR(SUMPRODUCT((Besatzung!$B$11:$B$22&lt;&gt;"")*(IF(Besatzung!$C$11:$C$22="",Besatzung!$B$5,Besatzung!$C$11:$C$22)&lt;=B132)*(IF(Besatzung!$D$11:$D$22="",Besatzung!$B$6,Besatzung!$D$11:$D$22)&gt;=B132)),1)+(Besatzung!$F$17="x")*IFERROR(H132,0)/IFERROR(SUMPRODUCT((Besatzung!$B$11:$B$22&lt;&gt;"")*(Besatzung!$F$11:$F$22="x")*(IF(Besatzung!$C$11:$C$22="",Besatzung!$B$5,Besatzung!$C$11:$C$22)&lt;=B132)*(IF(Besatzung!$D$11:$D$22="",Besatzung!$B$6,Besatzung!$D$11:$D$22)&gt;=B132)),1))),IF(I132="Individuell",((P132="x")*((G132-IFERROR(H132,0))/IFERROR(COUNTIF(J132:U132,"x"),1)+(Besatzung!$F$17="x")*IFERROR(H132,0)/IFERROR(SUMPRODUCT((J132:U132="x")*(Besatzung!$F$11:$F$22="x")),1))),(IF(COUNTIF(J132:U132,"x")=0,IF(Besatzung!$B$17&lt;&gt;"",1,0),(P132="x"))*(G132-IFERROR(H132,0))/IFERROR(IF(COUNTIF(J132:U132,"x")=0,COUNTA(Besatzung!$B$11:$B$22),COUNTIF(J132:U132,"x")),1)+IF(COUNTIF(J132:U132,"x")=0,(Besatzung!$F$17="x"),(P132="x")*(Besatzung!$F$17="x"))*IFERROR(H132,0)/IFERROR(IF(COUNTIF(J132:U132,"x")=0,SUMPRODUCT((Besatzung!$B$11:$B$22&lt;&gt;"")*(Besatzung!$F$11:$F$22="x")),SUMPRODUCT((J132:U132="x")*(Besatzung!$F$11:$F$22="x"))),1))))),0))))</f>
        <v/>
      </c>
      <c r="AC132" s="247">
        <f>IF(C132="Gutschrift","",IF(G132="","",IF(Besatzung!$B$18="","",IFERROR(IF(I132="Zeitanteilig",(Besatzung!$G$18*(G132-IFERROR(H132,0))+((Besatzung!$B$18&lt;&gt;"")*IF(B132="",1,(IF(Besatzung!$C$18="",Besatzung!$B$5,Besatzung!$C$18)&lt;=B132)*(IF(Besatzung!$D$18="",Besatzung!$B$6,Besatzung!$D$18)&gt;=B132)))*(Besatzung!$F$18="x")*IFERROR(H132,0)/IFERROR(SUMPRODUCT((Besatzung!$B$11:$B$22&lt;&gt;"")*(Besatzung!$F$11:$F$22="x")*(IF(Besatzung!$C$11:$C$22="",Besatzung!$B$5,Besatzung!$C$11:$C$22)&lt;=B132)*(IF(Besatzung!$D$11:$D$22="",Besatzung!$B$6,Besatzung!$D$11:$D$22)&gt;=B132)),1)),IF(I132="An Bord",(((Besatzung!$B$18&lt;&gt;"")*IF(B132="",1,(IF(Besatzung!$C$18="",Besatzung!$B$5,Besatzung!$C$18)&lt;=B132)*(IF(Besatzung!$D$18="",Besatzung!$B$6,Besatzung!$D$18)&gt;=B132)))*((G132-IFERROR(H132,0))/IFERROR(SUMPRODUCT((Besatzung!$B$11:$B$22&lt;&gt;"")*(IF(Besatzung!$C$11:$C$22="",Besatzung!$B$5,Besatzung!$C$11:$C$22)&lt;=B132)*(IF(Besatzung!$D$11:$D$22="",Besatzung!$B$6,Besatzung!$D$11:$D$22)&gt;=B132)),1)+(Besatzung!$F$18="x")*IFERROR(H132,0)/IFERROR(SUMPRODUCT((Besatzung!$B$11:$B$22&lt;&gt;"")*(Besatzung!$F$11:$F$22="x")*(IF(Besatzung!$C$11:$C$22="",Besatzung!$B$5,Besatzung!$C$11:$C$22)&lt;=B132)*(IF(Besatzung!$D$11:$D$22="",Besatzung!$B$6,Besatzung!$D$11:$D$22)&gt;=B132)),1))),IF(I132="Individuell",((Q132="x")*((G132-IFERROR(H132,0))/IFERROR(COUNTIF(J132:U132,"x"),1)+(Besatzung!$F$18="x")*IFERROR(H132,0)/IFERROR(SUMPRODUCT((J132:U132="x")*(Besatzung!$F$11:$F$22="x")),1))),(IF(COUNTIF(J132:U132,"x")=0,IF(Besatzung!$B$18&lt;&gt;"",1,0),(Q132="x"))*(G132-IFERROR(H132,0))/IFERROR(IF(COUNTIF(J132:U132,"x")=0,COUNTA(Besatzung!$B$11:$B$22),COUNTIF(J132:U132,"x")),1)+IF(COUNTIF(J132:U132,"x")=0,(Besatzung!$F$18="x"),(Q132="x")*(Besatzung!$F$18="x"))*IFERROR(H132,0)/IFERROR(IF(COUNTIF(J132:U132,"x")=0,SUMPRODUCT((Besatzung!$B$11:$B$22&lt;&gt;"")*(Besatzung!$F$11:$F$22="x")),SUMPRODUCT((J132:U132="x")*(Besatzung!$F$11:$F$22="x"))),1))))),0))))</f>
        <v/>
      </c>
      <c r="AD132" s="247">
        <f>IF(C132="Gutschrift","",IF(G132="","",IF(Besatzung!$B$19="","",IFERROR(IF(I132="Zeitanteilig",(Besatzung!$G$19*(G132-IFERROR(H132,0))+((Besatzung!$B$19&lt;&gt;"")*IF(B132="",1,(IF(Besatzung!$C$19="",Besatzung!$B$5,Besatzung!$C$19)&lt;=B132)*(IF(Besatzung!$D$19="",Besatzung!$B$6,Besatzung!$D$19)&gt;=B132)))*(Besatzung!$F$19="x")*IFERROR(H132,0)/IFERROR(SUMPRODUCT((Besatzung!$B$11:$B$22&lt;&gt;"")*(Besatzung!$F$11:$F$22="x")*(IF(Besatzung!$C$11:$C$22="",Besatzung!$B$5,Besatzung!$C$11:$C$22)&lt;=B132)*(IF(Besatzung!$D$11:$D$22="",Besatzung!$B$6,Besatzung!$D$11:$D$22)&gt;=B132)),1)),IF(I132="An Bord",(((Besatzung!$B$19&lt;&gt;"")*IF(B132="",1,(IF(Besatzung!$C$19="",Besatzung!$B$5,Besatzung!$C$19)&lt;=B132)*(IF(Besatzung!$D$19="",Besatzung!$B$6,Besatzung!$D$19)&gt;=B132)))*((G132-IFERROR(H132,0))/IFERROR(SUMPRODUCT((Besatzung!$B$11:$B$22&lt;&gt;"")*(IF(Besatzung!$C$11:$C$22="",Besatzung!$B$5,Besatzung!$C$11:$C$22)&lt;=B132)*(IF(Besatzung!$D$11:$D$22="",Besatzung!$B$6,Besatzung!$D$11:$D$22)&gt;=B132)),1)+(Besatzung!$F$19="x")*IFERROR(H132,0)/IFERROR(SUMPRODUCT((Besatzung!$B$11:$B$22&lt;&gt;"")*(Besatzung!$F$11:$F$22="x")*(IF(Besatzung!$C$11:$C$22="",Besatzung!$B$5,Besatzung!$C$11:$C$22)&lt;=B132)*(IF(Besatzung!$D$11:$D$22="",Besatzung!$B$6,Besatzung!$D$11:$D$22)&gt;=B132)),1))),IF(I132="Individuell",((R132="x")*((G132-IFERROR(H132,0))/IFERROR(COUNTIF(J132:U132,"x"),1)+(Besatzung!$F$19="x")*IFERROR(H132,0)/IFERROR(SUMPRODUCT((J132:U132="x")*(Besatzung!$F$11:$F$22="x")),1))),(IF(COUNTIF(J132:U132,"x")=0,IF(Besatzung!$B$19&lt;&gt;"",1,0),(R132="x"))*(G132-IFERROR(H132,0))/IFERROR(IF(COUNTIF(J132:U132,"x")=0,COUNTA(Besatzung!$B$11:$B$22),COUNTIF(J132:U132,"x")),1)+IF(COUNTIF(J132:U132,"x")=0,(Besatzung!$F$19="x"),(R132="x")*(Besatzung!$F$19="x"))*IFERROR(H132,0)/IFERROR(IF(COUNTIF(J132:U132,"x")=0,SUMPRODUCT((Besatzung!$B$11:$B$22&lt;&gt;"")*(Besatzung!$F$11:$F$22="x")),SUMPRODUCT((J132:U132="x")*(Besatzung!$F$11:$F$22="x"))),1))))),0))))</f>
        <v/>
      </c>
      <c r="AE132" s="247">
        <f>IF(C132="Gutschrift","",IF(G132="","",IF(Besatzung!$B$20="","",IFERROR(IF(I132="Zeitanteilig",(Besatzung!$G$20*(G132-IFERROR(H132,0))+((Besatzung!$B$20&lt;&gt;"")*IF(B132="",1,(IF(Besatzung!$C$20="",Besatzung!$B$5,Besatzung!$C$20)&lt;=B132)*(IF(Besatzung!$D$20="",Besatzung!$B$6,Besatzung!$D$20)&gt;=B132)))*(Besatzung!$F$20="x")*IFERROR(H132,0)/IFERROR(SUMPRODUCT((Besatzung!$B$11:$B$22&lt;&gt;"")*(Besatzung!$F$11:$F$22="x")*(IF(Besatzung!$C$11:$C$22="",Besatzung!$B$5,Besatzung!$C$11:$C$22)&lt;=B132)*(IF(Besatzung!$D$11:$D$22="",Besatzung!$B$6,Besatzung!$D$11:$D$22)&gt;=B132)),1)),IF(I132="An Bord",(((Besatzung!$B$20&lt;&gt;"")*IF(B132="",1,(IF(Besatzung!$C$20="",Besatzung!$B$5,Besatzung!$C$20)&lt;=B132)*(IF(Besatzung!$D$20="",Besatzung!$B$6,Besatzung!$D$20)&gt;=B132)))*((G132-IFERROR(H132,0))/IFERROR(SUMPRODUCT((Besatzung!$B$11:$B$22&lt;&gt;"")*(IF(Besatzung!$C$11:$C$22="",Besatzung!$B$5,Besatzung!$C$11:$C$22)&lt;=B132)*(IF(Besatzung!$D$11:$D$22="",Besatzung!$B$6,Besatzung!$D$11:$D$22)&gt;=B132)),1)+(Besatzung!$F$20="x")*IFERROR(H132,0)/IFERROR(SUMPRODUCT((Besatzung!$B$11:$B$22&lt;&gt;"")*(Besatzung!$F$11:$F$22="x")*(IF(Besatzung!$C$11:$C$22="",Besatzung!$B$5,Besatzung!$C$11:$C$22)&lt;=B132)*(IF(Besatzung!$D$11:$D$22="",Besatzung!$B$6,Besatzung!$D$11:$D$22)&gt;=B132)),1))),IF(I132="Individuell",((S132="x")*((G132-IFERROR(H132,0))/IFERROR(COUNTIF(J132:U132,"x"),1)+(Besatzung!$F$20="x")*IFERROR(H132,0)/IFERROR(SUMPRODUCT((J132:U132="x")*(Besatzung!$F$11:$F$22="x")),1))),(IF(COUNTIF(J132:U132,"x")=0,IF(Besatzung!$B$20&lt;&gt;"",1,0),(S132="x"))*(G132-IFERROR(H132,0))/IFERROR(IF(COUNTIF(J132:U132,"x")=0,COUNTA(Besatzung!$B$11:$B$22),COUNTIF(J132:U132,"x")),1)+IF(COUNTIF(J132:U132,"x")=0,(Besatzung!$F$20="x"),(S132="x")*(Besatzung!$F$20="x"))*IFERROR(H132,0)/IFERROR(IF(COUNTIF(J132:U132,"x")=0,SUMPRODUCT((Besatzung!$B$11:$B$22&lt;&gt;"")*(Besatzung!$F$11:$F$22="x")),SUMPRODUCT((J132:U132="x")*(Besatzung!$F$11:$F$22="x"))),1))))),0))))</f>
        <v/>
      </c>
      <c r="AF132" s="247">
        <f>IF(C132="Gutschrift","",IF(G132="","",IF(Besatzung!$B$21="","",IFERROR(IF(I132="Zeitanteilig",(Besatzung!$G$21*(G132-IFERROR(H132,0))+((Besatzung!$B$21&lt;&gt;"")*IF(B132="",1,(IF(Besatzung!$C$21="",Besatzung!$B$5,Besatzung!$C$21)&lt;=B132)*(IF(Besatzung!$D$21="",Besatzung!$B$6,Besatzung!$D$21)&gt;=B132)))*(Besatzung!$F$21="x")*IFERROR(H132,0)/IFERROR(SUMPRODUCT((Besatzung!$B$11:$B$22&lt;&gt;"")*(Besatzung!$F$11:$F$22="x")*(IF(Besatzung!$C$11:$C$22="",Besatzung!$B$5,Besatzung!$C$11:$C$22)&lt;=B132)*(IF(Besatzung!$D$11:$D$22="",Besatzung!$B$6,Besatzung!$D$11:$D$22)&gt;=B132)),1)),IF(I132="An Bord",(((Besatzung!$B$21&lt;&gt;"")*IF(B132="",1,(IF(Besatzung!$C$21="",Besatzung!$B$5,Besatzung!$C$21)&lt;=B132)*(IF(Besatzung!$D$21="",Besatzung!$B$6,Besatzung!$D$21)&gt;=B132)))*((G132-IFERROR(H132,0))/IFERROR(SUMPRODUCT((Besatzung!$B$11:$B$22&lt;&gt;"")*(IF(Besatzung!$C$11:$C$22="",Besatzung!$B$5,Besatzung!$C$11:$C$22)&lt;=B132)*(IF(Besatzung!$D$11:$D$22="",Besatzung!$B$6,Besatzung!$D$11:$D$22)&gt;=B132)),1)+(Besatzung!$F$21="x")*IFERROR(H132,0)/IFERROR(SUMPRODUCT((Besatzung!$B$11:$B$22&lt;&gt;"")*(Besatzung!$F$11:$F$22="x")*(IF(Besatzung!$C$11:$C$22="",Besatzung!$B$5,Besatzung!$C$11:$C$22)&lt;=B132)*(IF(Besatzung!$D$11:$D$22="",Besatzung!$B$6,Besatzung!$D$11:$D$22)&gt;=B132)),1))),IF(I132="Individuell",((T132="x")*((G132-IFERROR(H132,0))/IFERROR(COUNTIF(J132:U132,"x"),1)+(Besatzung!$F$21="x")*IFERROR(H132,0)/IFERROR(SUMPRODUCT((J132:U132="x")*(Besatzung!$F$11:$F$22="x")),1))),(IF(COUNTIF(J132:U132,"x")=0,IF(Besatzung!$B$21&lt;&gt;"",1,0),(T132="x"))*(G132-IFERROR(H132,0))/IFERROR(IF(COUNTIF(J132:U132,"x")=0,COUNTA(Besatzung!$B$11:$B$22),COUNTIF(J132:U132,"x")),1)+IF(COUNTIF(J132:U132,"x")=0,(Besatzung!$F$21="x"),(T132="x")*(Besatzung!$F$21="x"))*IFERROR(H132,0)/IFERROR(IF(COUNTIF(J132:U132,"x")=0,SUMPRODUCT((Besatzung!$B$11:$B$22&lt;&gt;"")*(Besatzung!$F$11:$F$22="x")),SUMPRODUCT((J132:U132="x")*(Besatzung!$F$11:$F$22="x"))),1))))),0))))</f>
        <v/>
      </c>
      <c r="AG132" s="247">
        <f>IF(C132="Gutschrift","",IF(G132="","",IF(Besatzung!$B$22="","",IFERROR(IF(I132="Zeitanteilig",(Besatzung!$G$22*(G132-IFERROR(H132,0))+((Besatzung!$B$22&lt;&gt;"")*IF(B132="",1,(IF(Besatzung!$C$22="",Besatzung!$B$5,Besatzung!$C$22)&lt;=B132)*(IF(Besatzung!$D$22="",Besatzung!$B$6,Besatzung!$D$22)&gt;=B132)))*(Besatzung!$F$22="x")*IFERROR(H132,0)/IFERROR(SUMPRODUCT((Besatzung!$B$11:$B$22&lt;&gt;"")*(Besatzung!$F$11:$F$22="x")*(IF(Besatzung!$C$11:$C$22="",Besatzung!$B$5,Besatzung!$C$11:$C$22)&lt;=B132)*(IF(Besatzung!$D$11:$D$22="",Besatzung!$B$6,Besatzung!$D$11:$D$22)&gt;=B132)),1)),IF(I132="An Bord",(((Besatzung!$B$22&lt;&gt;"")*IF(B132="",1,(IF(Besatzung!$C$22="",Besatzung!$B$5,Besatzung!$C$22)&lt;=B132)*(IF(Besatzung!$D$22="",Besatzung!$B$6,Besatzung!$D$22)&gt;=B132)))*((G132-IFERROR(H132,0))/IFERROR(SUMPRODUCT((Besatzung!$B$11:$B$22&lt;&gt;"")*(IF(Besatzung!$C$11:$C$22="",Besatzung!$B$5,Besatzung!$C$11:$C$22)&lt;=B132)*(IF(Besatzung!$D$11:$D$22="",Besatzung!$B$6,Besatzung!$D$11:$D$22)&gt;=B132)),1)+(Besatzung!$F$22="x")*IFERROR(H132,0)/IFERROR(SUMPRODUCT((Besatzung!$B$11:$B$22&lt;&gt;"")*(Besatzung!$F$11:$F$22="x")*(IF(Besatzung!$C$11:$C$22="",Besatzung!$B$5,Besatzung!$C$11:$C$22)&lt;=B132)*(IF(Besatzung!$D$11:$D$22="",Besatzung!$B$6,Besatzung!$D$11:$D$22)&gt;=B132)),1))),IF(I132="Individuell",((U132="x")*((G132-IFERROR(H132,0))/IFERROR(COUNTIF(J132:U132,"x"),1)+(Besatzung!$F$22="x")*IFERROR(H132,0)/IFERROR(SUMPRODUCT((J132:U132="x")*(Besatzung!$F$11:$F$22="x")),1))),(IF(COUNTIF(J132:U132,"x")=0,IF(Besatzung!$B$22&lt;&gt;"",1,0),(U132="x"))*(G132-IFERROR(H132,0))/IFERROR(IF(COUNTIF(J132:U132,"x")=0,COUNTA(Besatzung!$B$11:$B$22),COUNTIF(J132:U132,"x")),1)+IF(COUNTIF(J132:U132,"x")=0,(Besatzung!$F$22="x"),(U132="x")*(Besatzung!$F$22="x"))*IFERROR(H132,0)/IFERROR(IF(COUNTIF(J132:U132,"x")=0,SUMPRODUCT((Besatzung!$B$11:$B$22&lt;&gt;"")*(Besatzung!$F$11:$F$22="x")),SUMPRODUCT((J132:U132="x")*(Besatzung!$F$11:$F$22="x"))),1))))),0))))</f>
        <v/>
      </c>
      <c r="AH132" s="248" t="n"/>
      <c r="AI132" s="248" t="n"/>
    </row>
    <row r="133" ht="21.75" customHeight="1" s="154">
      <c r="A133" s="238">
        <f>IF(AND(D133="",C133=""),"",130)</f>
        <v/>
      </c>
      <c r="B133" s="206" t="n"/>
      <c r="C133" s="249" t="n"/>
      <c r="D133" s="250" t="n"/>
      <c r="E133" s="251" t="n"/>
      <c r="F133" s="252" t="n"/>
      <c r="G133" s="253" t="n"/>
      <c r="H133" s="254" t="n"/>
      <c r="I133" s="255" t="n"/>
      <c r="J133" s="256" t="n"/>
      <c r="K133" s="256" t="n"/>
      <c r="L133" s="256" t="n"/>
      <c r="M133" s="256" t="n"/>
      <c r="N133" s="256" t="n"/>
      <c r="O133" s="256" t="n"/>
      <c r="P133" s="256" t="n"/>
      <c r="Q133" s="256" t="n"/>
      <c r="R133" s="256" t="n"/>
      <c r="S133" s="256" t="n"/>
      <c r="T133" s="256" t="n"/>
      <c r="U133" s="256" t="n"/>
      <c r="V133" s="247">
        <f>IF(C133="Gutschrift","",IF(G133="","",IF(Besatzung!$B$11="","",IFERROR(IF(I133="Zeitanteilig",(Besatzung!$G$11*(G133-IFERROR(H133,0))+((Besatzung!$B$11&lt;&gt;"")*IF(B133="",1,(IF(Besatzung!$C$11="",Besatzung!$B$5,Besatzung!$C$11)&lt;=B133)*(IF(Besatzung!$D$11="",Besatzung!$B$6,Besatzung!$D$11)&gt;=B133)))*(Besatzung!$F$11="x")*IFERROR(H133,0)/IFERROR(SUMPRODUCT((Besatzung!$B$11:$B$22&lt;&gt;"")*(Besatzung!$F$11:$F$22="x")*(IF(Besatzung!$C$11:$C$22="",Besatzung!$B$5,Besatzung!$C$11:$C$22)&lt;=B133)*(IF(Besatzung!$D$11:$D$22="",Besatzung!$B$6,Besatzung!$D$11:$D$22)&gt;=B133)),1)),IF(I133="An Bord",(((Besatzung!$B$11&lt;&gt;"")*IF(B133="",1,(IF(Besatzung!$C$11="",Besatzung!$B$5,Besatzung!$C$11)&lt;=B133)*(IF(Besatzung!$D$11="",Besatzung!$B$6,Besatzung!$D$11)&gt;=B133)))*((G133-IFERROR(H133,0))/IFERROR(SUMPRODUCT((Besatzung!$B$11:$B$22&lt;&gt;"")*(IF(Besatzung!$C$11:$C$22="",Besatzung!$B$5,Besatzung!$C$11:$C$22)&lt;=B133)*(IF(Besatzung!$D$11:$D$22="",Besatzung!$B$6,Besatzung!$D$11:$D$22)&gt;=B133)),1)+(Besatzung!$F$11="x")*IFERROR(H133,0)/IFERROR(SUMPRODUCT((Besatzung!$B$11:$B$22&lt;&gt;"")*(Besatzung!$F$11:$F$22="x")*(IF(Besatzung!$C$11:$C$22="",Besatzung!$B$5,Besatzung!$C$11:$C$22)&lt;=B133)*(IF(Besatzung!$D$11:$D$22="",Besatzung!$B$6,Besatzung!$D$11:$D$22)&gt;=B133)),1))),IF(I133="Individuell",((J133="x")*((G133-IFERROR(H133,0))/IFERROR(COUNTIF(J133:U133,"x"),1)+(Besatzung!$F$11="x")*IFERROR(H133,0)/IFERROR(SUMPRODUCT((J133:U133="x")*(Besatzung!$F$11:$F$22="x")),1))),(IF(COUNTIF(J133:U133,"x")=0,IF(Besatzung!$B$11&lt;&gt;"",1,0),(J133="x"))*(G133-IFERROR(H133,0))/IFERROR(IF(COUNTIF(J133:U133,"x")=0,COUNTA(Besatzung!$B$11:$B$22),COUNTIF(J133:U133,"x")),1)+IF(COUNTIF(J133:U133,"x")=0,(Besatzung!$F$11="x"),(J133="x")*(Besatzung!$F$11="x"))*IFERROR(H133,0)/IFERROR(IF(COUNTIF(J133:U133,"x")=0,SUMPRODUCT((Besatzung!$B$11:$B$22&lt;&gt;"")*(Besatzung!$F$11:$F$22="x")),SUMPRODUCT((J133:U133="x")*(Besatzung!$F$11:$F$22="x"))),1))))),0))))</f>
        <v/>
      </c>
      <c r="W133" s="247">
        <f>IF(C133="Gutschrift","",IF(G133="","",IF(Besatzung!$B$12="","",IFERROR(IF(I133="Zeitanteilig",(Besatzung!$G$12*(G133-IFERROR(H133,0))+((Besatzung!$B$12&lt;&gt;"")*IF(B133="",1,(IF(Besatzung!$C$12="",Besatzung!$B$5,Besatzung!$C$12)&lt;=B133)*(IF(Besatzung!$D$12="",Besatzung!$B$6,Besatzung!$D$12)&gt;=B133)))*(Besatzung!$F$12="x")*IFERROR(H133,0)/IFERROR(SUMPRODUCT((Besatzung!$B$11:$B$22&lt;&gt;"")*(Besatzung!$F$11:$F$22="x")*(IF(Besatzung!$C$11:$C$22="",Besatzung!$B$5,Besatzung!$C$11:$C$22)&lt;=B133)*(IF(Besatzung!$D$11:$D$22="",Besatzung!$B$6,Besatzung!$D$11:$D$22)&gt;=B133)),1)),IF(I133="An Bord",(((Besatzung!$B$12&lt;&gt;"")*IF(B133="",1,(IF(Besatzung!$C$12="",Besatzung!$B$5,Besatzung!$C$12)&lt;=B133)*(IF(Besatzung!$D$12="",Besatzung!$B$6,Besatzung!$D$12)&gt;=B133)))*((G133-IFERROR(H133,0))/IFERROR(SUMPRODUCT((Besatzung!$B$11:$B$22&lt;&gt;"")*(IF(Besatzung!$C$11:$C$22="",Besatzung!$B$5,Besatzung!$C$11:$C$22)&lt;=B133)*(IF(Besatzung!$D$11:$D$22="",Besatzung!$B$6,Besatzung!$D$11:$D$22)&gt;=B133)),1)+(Besatzung!$F$12="x")*IFERROR(H133,0)/IFERROR(SUMPRODUCT((Besatzung!$B$11:$B$22&lt;&gt;"")*(Besatzung!$F$11:$F$22="x")*(IF(Besatzung!$C$11:$C$22="",Besatzung!$B$5,Besatzung!$C$11:$C$22)&lt;=B133)*(IF(Besatzung!$D$11:$D$22="",Besatzung!$B$6,Besatzung!$D$11:$D$22)&gt;=B133)),1))),IF(I133="Individuell",((K133="x")*((G133-IFERROR(H133,0))/IFERROR(COUNTIF(J133:U133,"x"),1)+(Besatzung!$F$12="x")*IFERROR(H133,0)/IFERROR(SUMPRODUCT((J133:U133="x")*(Besatzung!$F$11:$F$22="x")),1))),(IF(COUNTIF(J133:U133,"x")=0,IF(Besatzung!$B$12&lt;&gt;"",1,0),(K133="x"))*(G133-IFERROR(H133,0))/IFERROR(IF(COUNTIF(J133:U133,"x")=0,COUNTA(Besatzung!$B$11:$B$22),COUNTIF(J133:U133,"x")),1)+IF(COUNTIF(J133:U133,"x")=0,(Besatzung!$F$12="x"),(K133="x")*(Besatzung!$F$12="x"))*IFERROR(H133,0)/IFERROR(IF(COUNTIF(J133:U133,"x")=0,SUMPRODUCT((Besatzung!$B$11:$B$22&lt;&gt;"")*(Besatzung!$F$11:$F$22="x")),SUMPRODUCT((J133:U133="x")*(Besatzung!$F$11:$F$22="x"))),1))))),0))))</f>
        <v/>
      </c>
      <c r="X133" s="247">
        <f>IF(C133="Gutschrift","",IF(G133="","",IF(Besatzung!$B$13="","",IFERROR(IF(I133="Zeitanteilig",(Besatzung!$G$13*(G133-IFERROR(H133,0))+((Besatzung!$B$13&lt;&gt;"")*IF(B133="",1,(IF(Besatzung!$C$13="",Besatzung!$B$5,Besatzung!$C$13)&lt;=B133)*(IF(Besatzung!$D$13="",Besatzung!$B$6,Besatzung!$D$13)&gt;=B133)))*(Besatzung!$F$13="x")*IFERROR(H133,0)/IFERROR(SUMPRODUCT((Besatzung!$B$11:$B$22&lt;&gt;"")*(Besatzung!$F$11:$F$22="x")*(IF(Besatzung!$C$11:$C$22="",Besatzung!$B$5,Besatzung!$C$11:$C$22)&lt;=B133)*(IF(Besatzung!$D$11:$D$22="",Besatzung!$B$6,Besatzung!$D$11:$D$22)&gt;=B133)),1)),IF(I133="An Bord",(((Besatzung!$B$13&lt;&gt;"")*IF(B133="",1,(IF(Besatzung!$C$13="",Besatzung!$B$5,Besatzung!$C$13)&lt;=B133)*(IF(Besatzung!$D$13="",Besatzung!$B$6,Besatzung!$D$13)&gt;=B133)))*((G133-IFERROR(H133,0))/IFERROR(SUMPRODUCT((Besatzung!$B$11:$B$22&lt;&gt;"")*(IF(Besatzung!$C$11:$C$22="",Besatzung!$B$5,Besatzung!$C$11:$C$22)&lt;=B133)*(IF(Besatzung!$D$11:$D$22="",Besatzung!$B$6,Besatzung!$D$11:$D$22)&gt;=B133)),1)+(Besatzung!$F$13="x")*IFERROR(H133,0)/IFERROR(SUMPRODUCT((Besatzung!$B$11:$B$22&lt;&gt;"")*(Besatzung!$F$11:$F$22="x")*(IF(Besatzung!$C$11:$C$22="",Besatzung!$B$5,Besatzung!$C$11:$C$22)&lt;=B133)*(IF(Besatzung!$D$11:$D$22="",Besatzung!$B$6,Besatzung!$D$11:$D$22)&gt;=B133)),1))),IF(I133="Individuell",((K133="x")*((G133-IFERROR(H133,0))/IFERROR(COUNTIF(J133:U133,"x"),1)+(Besatzung!$F$13="x")*IFERROR(H133,0)/IFERROR(SUMPRODUCT((J133:U133="x")*(Besatzung!$F$11:$F$22="x")),1))),(IF(COUNTIF(J133:U133,"x")=0,IF(Besatzung!$B$13&lt;&gt;"",1,0),(K133="x"))*(G133-IFERROR(H133,0))/IFERROR(IF(COUNTIF(J133:U133,"x")=0,COUNTA(Besatzung!$B$11:$B$22),COUNTIF(J133:U133,"x")),1)+IF(COUNTIF(J133:U133,"x")=0,(Besatzung!$F$13="x"),(K133="x")*(Besatzung!$F$13="x"))*IFERROR(H133,0)/IFERROR(IF(COUNTIF(J133:U133,"x")=0,SUMPRODUCT((Besatzung!$B$11:$B$22&lt;&gt;"")*(Besatzung!$F$11:$F$22="x")),SUMPRODUCT((J133:U133="x")*(Besatzung!$F$11:$F$22="x"))),1))))),0))))</f>
        <v/>
      </c>
      <c r="Y133" s="247">
        <f>IF(C133="Gutschrift","",IF(G133="","",IF(Besatzung!$B$14="","",IFERROR(IF(I133="Zeitanteilig",(Besatzung!$G$14*(G133-IFERROR(H133,0))+((Besatzung!$B$14&lt;&gt;"")*IF(B133="",1,(IF(Besatzung!$C$14="",Besatzung!$B$5,Besatzung!$C$14)&lt;=B133)*(IF(Besatzung!$D$14="",Besatzung!$B$6,Besatzung!$D$14)&gt;=B133)))*(Besatzung!$F$14="x")*IFERROR(H133,0)/IFERROR(SUMPRODUCT((Besatzung!$B$11:$B$22&lt;&gt;"")*(Besatzung!$F$11:$F$22="x")*(IF(Besatzung!$C$11:$C$22="",Besatzung!$B$5,Besatzung!$C$11:$C$22)&lt;=B133)*(IF(Besatzung!$D$11:$D$22="",Besatzung!$B$6,Besatzung!$D$11:$D$22)&gt;=B133)),1)),IF(I133="An Bord",(((Besatzung!$B$14&lt;&gt;"")*IF(B133="",1,(IF(Besatzung!$C$14="",Besatzung!$B$5,Besatzung!$C$14)&lt;=B133)*(IF(Besatzung!$D$14="",Besatzung!$B$6,Besatzung!$D$14)&gt;=B133)))*((G133-IFERROR(H133,0))/IFERROR(SUMPRODUCT((Besatzung!$B$11:$B$22&lt;&gt;"")*(IF(Besatzung!$C$11:$C$22="",Besatzung!$B$5,Besatzung!$C$11:$C$22)&lt;=B133)*(IF(Besatzung!$D$11:$D$22="",Besatzung!$B$6,Besatzung!$D$11:$D$22)&gt;=B133)),1)+(Besatzung!$F$14="x")*IFERROR(H133,0)/IFERROR(SUMPRODUCT((Besatzung!$B$11:$B$22&lt;&gt;"")*(Besatzung!$F$11:$F$22="x")*(IF(Besatzung!$C$11:$C$22="",Besatzung!$B$5,Besatzung!$C$11:$C$22)&lt;=B133)*(IF(Besatzung!$D$11:$D$22="",Besatzung!$B$6,Besatzung!$D$11:$D$22)&gt;=B133)),1))),IF(I133="Individuell",((M133="x")*((G133-IFERROR(H133,0))/IFERROR(COUNTIF(J133:U133,"x"),1)+(Besatzung!$F$14="x")*IFERROR(H133,0)/IFERROR(SUMPRODUCT((J133:U133="x")*(Besatzung!$F$11:$F$22="x")),1))),(IF(COUNTIF(J133:U133,"x")=0,IF(Besatzung!$B$14&lt;&gt;"",1,0),(M133="x"))*(G133-IFERROR(H133,0))/IFERROR(IF(COUNTIF(J133:U133,"x")=0,COUNTA(Besatzung!$B$11:$B$22),COUNTIF(J133:U133,"x")),1)+IF(COUNTIF(J133:U133,"x")=0,(Besatzung!$F$14="x"),(M133="x")*(Besatzung!$F$14="x"))*IFERROR(H133,0)/IFERROR(IF(COUNTIF(J133:U133,"x")=0,SUMPRODUCT((Besatzung!$B$11:$B$22&lt;&gt;"")*(Besatzung!$F$11:$F$22="x")),SUMPRODUCT((J133:U133="x")*(Besatzung!$F$11:$F$22="x"))),1))))),0))))</f>
        <v/>
      </c>
      <c r="Z133" s="247">
        <f>IF(C133="Gutschrift","",IF(G133="","",IF(Besatzung!$B$13="","",IFERROR(IF(I133="Zeitanteilig",(Besatzung!$G$15*(G133-IFERROR(H133,0))+((Besatzung!$B$13&lt;&gt;"")*IF(B133="",1,(IF(Besatzung!$C$15="",Besatzung!$B$5,Besatzung!$C$15)&lt;=B133)*(IF(Besatzung!$D$15="",Besatzung!$B$6,Besatzung!$D$15)&gt;=B133)))*(Besatzung!$F$15="x")*IFERROR(H133,0)/IFERROR(SUMPRODUCT((Besatzung!$B$11:$B$22&lt;&gt;"")*(Besatzung!$F$11:$F$22="x")*(IF(Besatzung!$C$11:$C$22="",Besatzung!$B$5,Besatzung!$C$11:$C$22)&lt;=B133)*(IF(Besatzung!$D$11:$D$22="",Besatzung!$B$6,Besatzung!$D$11:$D$22)&gt;=B133)),1)),IF(I133="An Bord",(((Besatzung!$B$13&lt;&gt;"")*IF(B133="",1,(IF(Besatzung!$C$15="",Besatzung!$B$5,Besatzung!$C$15)&lt;=B133)*(IF(Besatzung!$D$15="",Besatzung!$B$6,Besatzung!$D$15)&gt;=B133)))*((G133-IFERROR(H133,0))/IFERROR(SUMPRODUCT((Besatzung!$B$11:$B$22&lt;&gt;"")*(IF(Besatzung!$C$11:$C$22="",Besatzung!$B$5,Besatzung!$C$11:$C$22)&lt;=B133)*(IF(Besatzung!$D$11:$D$22="",Besatzung!$B$6,Besatzung!$D$11:$D$22)&gt;=B133)),1)+(Besatzung!$F$15="x")*IFERROR(H133,0)/IFERROR(SUMPRODUCT((Besatzung!$B$11:$B$22&lt;&gt;"")*(Besatzung!$F$11:$F$22="x")*(IF(Besatzung!$C$11:$C$22="",Besatzung!$B$5,Besatzung!$C$11:$C$22)&lt;=B133)*(IF(Besatzung!$D$11:$D$22="",Besatzung!$B$6,Besatzung!$D$11:$D$22)&gt;=B133)),1))),IF(I133="Individuell",((N133="x")*((G133-IFERROR(H133,0))/IFERROR(COUNTIF(J133:U133,"x"),1)+(Besatzung!$F$15="x")*IFERROR(H133,0)/IFERROR(SUMPRODUCT((J133:U133="x")*(Besatzung!$F$11:$F$22="x")),1))),(IF(COUNTIF(J133:U133,"x")=0,IF(Besatzung!$B$13&lt;&gt;"",1,0),(N133="x"))*(G133-IFERROR(H133,0))/IFERROR(IF(COUNTIF(J133:U133,"x")=0,COUNTA(Besatzung!$B$11:$B$22),COUNTIF(J133:U133,"x")),1)+IF(COUNTIF(J133:U133,"x")=0,(Besatzung!$F$15="x"),(N133="x")*(Besatzung!$F$15="x"))*IFERROR(H133,0)/IFERROR(IF(COUNTIF(J133:U133,"x")=0,SUMPRODUCT((Besatzung!$B$11:$B$22&lt;&gt;"")*(Besatzung!$F$11:$F$22="x")),SUMPRODUCT((J133:U133="x")*(Besatzung!$F$11:$F$22="x"))),1))))),0))))</f>
        <v/>
      </c>
      <c r="AA133" s="247">
        <f>IF(C133="Gutschrift","",IF(G133="","",IF(Besatzung!$B$15="","",IFERROR(IF(I133="Zeitanteilig",(Besatzung!$G$16*(G133-IFERROR(H133,0))+((Besatzung!$B$15&lt;&gt;"")*IF(B133="",1,(IF(Besatzung!$C$16="",Besatzung!$B$5,Besatzung!$C$16)&lt;=B133)*(IF(Besatzung!$D$16="",Besatzung!$B$6,Besatzung!$D$16)&gt;=B133)))*(Besatzung!$F$16="x")*IFERROR(H133,0)/IFERROR(SUMPRODUCT((Besatzung!$B$11:$B$22&lt;&gt;"")*(Besatzung!$F$11:$F$22="x")*(IF(Besatzung!$C$11:$C$22="",Besatzung!$B$5,Besatzung!$C$11:$C$22)&lt;=B133)*(IF(Besatzung!$D$11:$D$22="",Besatzung!$B$6,Besatzung!$D$11:$D$22)&gt;=B133)),1)),IF(I133="An Bord",(((Besatzung!$B$15&lt;&gt;"")*IF(B133="",1,(IF(Besatzung!$C$16="",Besatzung!$B$5,Besatzung!$C$16)&lt;=B133)*(IF(Besatzung!$D$16="",Besatzung!$B$6,Besatzung!$D$16)&gt;=B133)))*((G133-IFERROR(H133,0))/IFERROR(SUMPRODUCT((Besatzung!$B$11:$B$22&lt;&gt;"")*(IF(Besatzung!$C$11:$C$22="",Besatzung!$B$5,Besatzung!$C$11:$C$22)&lt;=B133)*(IF(Besatzung!$D$11:$D$22="",Besatzung!$B$6,Besatzung!$D$11:$D$22)&gt;=B133)),1)+(Besatzung!$F$16="x")*IFERROR(H133,0)/IFERROR(SUMPRODUCT((Besatzung!$B$11:$B$22&lt;&gt;"")*(Besatzung!$F$11:$F$22="x")*(IF(Besatzung!$C$11:$C$22="",Besatzung!$B$5,Besatzung!$C$11:$C$22)&lt;=B133)*(IF(Besatzung!$D$11:$D$22="",Besatzung!$B$6,Besatzung!$D$11:$D$22)&gt;=B133)),1))),IF(I133="Individuell",((O133="x")*((G133-IFERROR(H133,0))/IFERROR(COUNTIF(J133:U133,"x"),1)+(Besatzung!$F$16="x")*IFERROR(H133,0)/IFERROR(SUMPRODUCT((J133:U133="x")*(Besatzung!$F$11:$F$22="x")),1))),(IF(COUNTIF(J133:U133,"x")=0,IF(Besatzung!$B$15&lt;&gt;"",1,0),(O133="x"))*(G133-IFERROR(H133,0))/IFERROR(IF(COUNTIF(J133:U133,"x")=0,COUNTA(Besatzung!$B$11:$B$22),COUNTIF(J133:U133,"x")),1)+IF(COUNTIF(J133:U133,"x")=0,(Besatzung!$F$16="x"),(O133="x")*(Besatzung!$F$16="x"))*IFERROR(H133,0)/IFERROR(IF(COUNTIF(J133:U133,"x")=0,SUMPRODUCT((Besatzung!$B$11:$B$22&lt;&gt;"")*(Besatzung!$F$11:$F$22="x")),SUMPRODUCT((J133:U133="x")*(Besatzung!$F$11:$F$22="x"))),1))))),0))))</f>
        <v/>
      </c>
      <c r="AB133" s="247">
        <f>IF(C133="Gutschrift","",IF(G133="","",IF(Besatzung!$B$17="","",IFERROR(IF(I133="Zeitanteilig",(Besatzung!$G$17*(G133-IFERROR(H133,0))+((Besatzung!$B$17&lt;&gt;"")*IF(B133="",1,(IF(Besatzung!$C$17="",Besatzung!$B$5,Besatzung!$C$17)&lt;=B133)*(IF(Besatzung!$D$17="",Besatzung!$B$6,Besatzung!$D$17)&gt;=B133)))*(Besatzung!$F$17="x")*IFERROR(H133,0)/IFERROR(SUMPRODUCT((Besatzung!$B$11:$B$22&lt;&gt;"")*(Besatzung!$F$11:$F$22="x")*(IF(Besatzung!$C$11:$C$22="",Besatzung!$B$5,Besatzung!$C$11:$C$22)&lt;=B133)*(IF(Besatzung!$D$11:$D$22="",Besatzung!$B$6,Besatzung!$D$11:$D$22)&gt;=B133)),1)),IF(I133="An Bord",(((Besatzung!$B$17&lt;&gt;"")*IF(B133="",1,(IF(Besatzung!$C$17="",Besatzung!$B$5,Besatzung!$C$17)&lt;=B133)*(IF(Besatzung!$D$17="",Besatzung!$B$6,Besatzung!$D$17)&gt;=B133)))*((G133-IFERROR(H133,0))/IFERROR(SUMPRODUCT((Besatzung!$B$11:$B$22&lt;&gt;"")*(IF(Besatzung!$C$11:$C$22="",Besatzung!$B$5,Besatzung!$C$11:$C$22)&lt;=B133)*(IF(Besatzung!$D$11:$D$22="",Besatzung!$B$6,Besatzung!$D$11:$D$22)&gt;=B133)),1)+(Besatzung!$F$17="x")*IFERROR(H133,0)/IFERROR(SUMPRODUCT((Besatzung!$B$11:$B$22&lt;&gt;"")*(Besatzung!$F$11:$F$22="x")*(IF(Besatzung!$C$11:$C$22="",Besatzung!$B$5,Besatzung!$C$11:$C$22)&lt;=B133)*(IF(Besatzung!$D$11:$D$22="",Besatzung!$B$6,Besatzung!$D$11:$D$22)&gt;=B133)),1))),IF(I133="Individuell",((P133="x")*((G133-IFERROR(H133,0))/IFERROR(COUNTIF(J133:U133,"x"),1)+(Besatzung!$F$17="x")*IFERROR(H133,0)/IFERROR(SUMPRODUCT((J133:U133="x")*(Besatzung!$F$11:$F$22="x")),1))),(IF(COUNTIF(J133:U133,"x")=0,IF(Besatzung!$B$17&lt;&gt;"",1,0),(P133="x"))*(G133-IFERROR(H133,0))/IFERROR(IF(COUNTIF(J133:U133,"x")=0,COUNTA(Besatzung!$B$11:$B$22),COUNTIF(J133:U133,"x")),1)+IF(COUNTIF(J133:U133,"x")=0,(Besatzung!$F$17="x"),(P133="x")*(Besatzung!$F$17="x"))*IFERROR(H133,0)/IFERROR(IF(COUNTIF(J133:U133,"x")=0,SUMPRODUCT((Besatzung!$B$11:$B$22&lt;&gt;"")*(Besatzung!$F$11:$F$22="x")),SUMPRODUCT((J133:U133="x")*(Besatzung!$F$11:$F$22="x"))),1))))),0))))</f>
        <v/>
      </c>
      <c r="AC133" s="247">
        <f>IF(C133="Gutschrift","",IF(G133="","",IF(Besatzung!$B$18="","",IFERROR(IF(I133="Zeitanteilig",(Besatzung!$G$18*(G133-IFERROR(H133,0))+((Besatzung!$B$18&lt;&gt;"")*IF(B133="",1,(IF(Besatzung!$C$18="",Besatzung!$B$5,Besatzung!$C$18)&lt;=B133)*(IF(Besatzung!$D$18="",Besatzung!$B$6,Besatzung!$D$18)&gt;=B133)))*(Besatzung!$F$18="x")*IFERROR(H133,0)/IFERROR(SUMPRODUCT((Besatzung!$B$11:$B$22&lt;&gt;"")*(Besatzung!$F$11:$F$22="x")*(IF(Besatzung!$C$11:$C$22="",Besatzung!$B$5,Besatzung!$C$11:$C$22)&lt;=B133)*(IF(Besatzung!$D$11:$D$22="",Besatzung!$B$6,Besatzung!$D$11:$D$22)&gt;=B133)),1)),IF(I133="An Bord",(((Besatzung!$B$18&lt;&gt;"")*IF(B133="",1,(IF(Besatzung!$C$18="",Besatzung!$B$5,Besatzung!$C$18)&lt;=B133)*(IF(Besatzung!$D$18="",Besatzung!$B$6,Besatzung!$D$18)&gt;=B133)))*((G133-IFERROR(H133,0))/IFERROR(SUMPRODUCT((Besatzung!$B$11:$B$22&lt;&gt;"")*(IF(Besatzung!$C$11:$C$22="",Besatzung!$B$5,Besatzung!$C$11:$C$22)&lt;=B133)*(IF(Besatzung!$D$11:$D$22="",Besatzung!$B$6,Besatzung!$D$11:$D$22)&gt;=B133)),1)+(Besatzung!$F$18="x")*IFERROR(H133,0)/IFERROR(SUMPRODUCT((Besatzung!$B$11:$B$22&lt;&gt;"")*(Besatzung!$F$11:$F$22="x")*(IF(Besatzung!$C$11:$C$22="",Besatzung!$B$5,Besatzung!$C$11:$C$22)&lt;=B133)*(IF(Besatzung!$D$11:$D$22="",Besatzung!$B$6,Besatzung!$D$11:$D$22)&gt;=B133)),1))),IF(I133="Individuell",((Q133="x")*((G133-IFERROR(H133,0))/IFERROR(COUNTIF(J133:U133,"x"),1)+(Besatzung!$F$18="x")*IFERROR(H133,0)/IFERROR(SUMPRODUCT((J133:U133="x")*(Besatzung!$F$11:$F$22="x")),1))),(IF(COUNTIF(J133:U133,"x")=0,IF(Besatzung!$B$18&lt;&gt;"",1,0),(Q133="x"))*(G133-IFERROR(H133,0))/IFERROR(IF(COUNTIF(J133:U133,"x")=0,COUNTA(Besatzung!$B$11:$B$22),COUNTIF(J133:U133,"x")),1)+IF(COUNTIF(J133:U133,"x")=0,(Besatzung!$F$18="x"),(Q133="x")*(Besatzung!$F$18="x"))*IFERROR(H133,0)/IFERROR(IF(COUNTIF(J133:U133,"x")=0,SUMPRODUCT((Besatzung!$B$11:$B$22&lt;&gt;"")*(Besatzung!$F$11:$F$22="x")),SUMPRODUCT((J133:U133="x")*(Besatzung!$F$11:$F$22="x"))),1))))),0))))</f>
        <v/>
      </c>
      <c r="AD133" s="247">
        <f>IF(C133="Gutschrift","",IF(G133="","",IF(Besatzung!$B$19="","",IFERROR(IF(I133="Zeitanteilig",(Besatzung!$G$19*(G133-IFERROR(H133,0))+((Besatzung!$B$19&lt;&gt;"")*IF(B133="",1,(IF(Besatzung!$C$19="",Besatzung!$B$5,Besatzung!$C$19)&lt;=B133)*(IF(Besatzung!$D$19="",Besatzung!$B$6,Besatzung!$D$19)&gt;=B133)))*(Besatzung!$F$19="x")*IFERROR(H133,0)/IFERROR(SUMPRODUCT((Besatzung!$B$11:$B$22&lt;&gt;"")*(Besatzung!$F$11:$F$22="x")*(IF(Besatzung!$C$11:$C$22="",Besatzung!$B$5,Besatzung!$C$11:$C$22)&lt;=B133)*(IF(Besatzung!$D$11:$D$22="",Besatzung!$B$6,Besatzung!$D$11:$D$22)&gt;=B133)),1)),IF(I133="An Bord",(((Besatzung!$B$19&lt;&gt;"")*IF(B133="",1,(IF(Besatzung!$C$19="",Besatzung!$B$5,Besatzung!$C$19)&lt;=B133)*(IF(Besatzung!$D$19="",Besatzung!$B$6,Besatzung!$D$19)&gt;=B133)))*((G133-IFERROR(H133,0))/IFERROR(SUMPRODUCT((Besatzung!$B$11:$B$22&lt;&gt;"")*(IF(Besatzung!$C$11:$C$22="",Besatzung!$B$5,Besatzung!$C$11:$C$22)&lt;=B133)*(IF(Besatzung!$D$11:$D$22="",Besatzung!$B$6,Besatzung!$D$11:$D$22)&gt;=B133)),1)+(Besatzung!$F$19="x")*IFERROR(H133,0)/IFERROR(SUMPRODUCT((Besatzung!$B$11:$B$22&lt;&gt;"")*(Besatzung!$F$11:$F$22="x")*(IF(Besatzung!$C$11:$C$22="",Besatzung!$B$5,Besatzung!$C$11:$C$22)&lt;=B133)*(IF(Besatzung!$D$11:$D$22="",Besatzung!$B$6,Besatzung!$D$11:$D$22)&gt;=B133)),1))),IF(I133="Individuell",((R133="x")*((G133-IFERROR(H133,0))/IFERROR(COUNTIF(J133:U133,"x"),1)+(Besatzung!$F$19="x")*IFERROR(H133,0)/IFERROR(SUMPRODUCT((J133:U133="x")*(Besatzung!$F$11:$F$22="x")),1))),(IF(COUNTIF(J133:U133,"x")=0,IF(Besatzung!$B$19&lt;&gt;"",1,0),(R133="x"))*(G133-IFERROR(H133,0))/IFERROR(IF(COUNTIF(J133:U133,"x")=0,COUNTA(Besatzung!$B$11:$B$22),COUNTIF(J133:U133,"x")),1)+IF(COUNTIF(J133:U133,"x")=0,(Besatzung!$F$19="x"),(R133="x")*(Besatzung!$F$19="x"))*IFERROR(H133,0)/IFERROR(IF(COUNTIF(J133:U133,"x")=0,SUMPRODUCT((Besatzung!$B$11:$B$22&lt;&gt;"")*(Besatzung!$F$11:$F$22="x")),SUMPRODUCT((J133:U133="x")*(Besatzung!$F$11:$F$22="x"))),1))))),0))))</f>
        <v/>
      </c>
      <c r="AE133" s="247">
        <f>IF(C133="Gutschrift","",IF(G133="","",IF(Besatzung!$B$20="","",IFERROR(IF(I133="Zeitanteilig",(Besatzung!$G$20*(G133-IFERROR(H133,0))+((Besatzung!$B$20&lt;&gt;"")*IF(B133="",1,(IF(Besatzung!$C$20="",Besatzung!$B$5,Besatzung!$C$20)&lt;=B133)*(IF(Besatzung!$D$20="",Besatzung!$B$6,Besatzung!$D$20)&gt;=B133)))*(Besatzung!$F$20="x")*IFERROR(H133,0)/IFERROR(SUMPRODUCT((Besatzung!$B$11:$B$22&lt;&gt;"")*(Besatzung!$F$11:$F$22="x")*(IF(Besatzung!$C$11:$C$22="",Besatzung!$B$5,Besatzung!$C$11:$C$22)&lt;=B133)*(IF(Besatzung!$D$11:$D$22="",Besatzung!$B$6,Besatzung!$D$11:$D$22)&gt;=B133)),1)),IF(I133="An Bord",(((Besatzung!$B$20&lt;&gt;"")*IF(B133="",1,(IF(Besatzung!$C$20="",Besatzung!$B$5,Besatzung!$C$20)&lt;=B133)*(IF(Besatzung!$D$20="",Besatzung!$B$6,Besatzung!$D$20)&gt;=B133)))*((G133-IFERROR(H133,0))/IFERROR(SUMPRODUCT((Besatzung!$B$11:$B$22&lt;&gt;"")*(IF(Besatzung!$C$11:$C$22="",Besatzung!$B$5,Besatzung!$C$11:$C$22)&lt;=B133)*(IF(Besatzung!$D$11:$D$22="",Besatzung!$B$6,Besatzung!$D$11:$D$22)&gt;=B133)),1)+(Besatzung!$F$20="x")*IFERROR(H133,0)/IFERROR(SUMPRODUCT((Besatzung!$B$11:$B$22&lt;&gt;"")*(Besatzung!$F$11:$F$22="x")*(IF(Besatzung!$C$11:$C$22="",Besatzung!$B$5,Besatzung!$C$11:$C$22)&lt;=B133)*(IF(Besatzung!$D$11:$D$22="",Besatzung!$B$6,Besatzung!$D$11:$D$22)&gt;=B133)),1))),IF(I133="Individuell",((S133="x")*((G133-IFERROR(H133,0))/IFERROR(COUNTIF(J133:U133,"x"),1)+(Besatzung!$F$20="x")*IFERROR(H133,0)/IFERROR(SUMPRODUCT((J133:U133="x")*(Besatzung!$F$11:$F$22="x")),1))),(IF(COUNTIF(J133:U133,"x")=0,IF(Besatzung!$B$20&lt;&gt;"",1,0),(S133="x"))*(G133-IFERROR(H133,0))/IFERROR(IF(COUNTIF(J133:U133,"x")=0,COUNTA(Besatzung!$B$11:$B$22),COUNTIF(J133:U133,"x")),1)+IF(COUNTIF(J133:U133,"x")=0,(Besatzung!$F$20="x"),(S133="x")*(Besatzung!$F$20="x"))*IFERROR(H133,0)/IFERROR(IF(COUNTIF(J133:U133,"x")=0,SUMPRODUCT((Besatzung!$B$11:$B$22&lt;&gt;"")*(Besatzung!$F$11:$F$22="x")),SUMPRODUCT((J133:U133="x")*(Besatzung!$F$11:$F$22="x"))),1))))),0))))</f>
        <v/>
      </c>
      <c r="AF133" s="247">
        <f>IF(C133="Gutschrift","",IF(G133="","",IF(Besatzung!$B$21="","",IFERROR(IF(I133="Zeitanteilig",(Besatzung!$G$21*(G133-IFERROR(H133,0))+((Besatzung!$B$21&lt;&gt;"")*IF(B133="",1,(IF(Besatzung!$C$21="",Besatzung!$B$5,Besatzung!$C$21)&lt;=B133)*(IF(Besatzung!$D$21="",Besatzung!$B$6,Besatzung!$D$21)&gt;=B133)))*(Besatzung!$F$21="x")*IFERROR(H133,0)/IFERROR(SUMPRODUCT((Besatzung!$B$11:$B$22&lt;&gt;"")*(Besatzung!$F$11:$F$22="x")*(IF(Besatzung!$C$11:$C$22="",Besatzung!$B$5,Besatzung!$C$11:$C$22)&lt;=B133)*(IF(Besatzung!$D$11:$D$22="",Besatzung!$B$6,Besatzung!$D$11:$D$22)&gt;=B133)),1)),IF(I133="An Bord",(((Besatzung!$B$21&lt;&gt;"")*IF(B133="",1,(IF(Besatzung!$C$21="",Besatzung!$B$5,Besatzung!$C$21)&lt;=B133)*(IF(Besatzung!$D$21="",Besatzung!$B$6,Besatzung!$D$21)&gt;=B133)))*((G133-IFERROR(H133,0))/IFERROR(SUMPRODUCT((Besatzung!$B$11:$B$22&lt;&gt;"")*(IF(Besatzung!$C$11:$C$22="",Besatzung!$B$5,Besatzung!$C$11:$C$22)&lt;=B133)*(IF(Besatzung!$D$11:$D$22="",Besatzung!$B$6,Besatzung!$D$11:$D$22)&gt;=B133)),1)+(Besatzung!$F$21="x")*IFERROR(H133,0)/IFERROR(SUMPRODUCT((Besatzung!$B$11:$B$22&lt;&gt;"")*(Besatzung!$F$11:$F$22="x")*(IF(Besatzung!$C$11:$C$22="",Besatzung!$B$5,Besatzung!$C$11:$C$22)&lt;=B133)*(IF(Besatzung!$D$11:$D$22="",Besatzung!$B$6,Besatzung!$D$11:$D$22)&gt;=B133)),1))),IF(I133="Individuell",((T133="x")*((G133-IFERROR(H133,0))/IFERROR(COUNTIF(J133:U133,"x"),1)+(Besatzung!$F$21="x")*IFERROR(H133,0)/IFERROR(SUMPRODUCT((J133:U133="x")*(Besatzung!$F$11:$F$22="x")),1))),(IF(COUNTIF(J133:U133,"x")=0,IF(Besatzung!$B$21&lt;&gt;"",1,0),(T133="x"))*(G133-IFERROR(H133,0))/IFERROR(IF(COUNTIF(J133:U133,"x")=0,COUNTA(Besatzung!$B$11:$B$22),COUNTIF(J133:U133,"x")),1)+IF(COUNTIF(J133:U133,"x")=0,(Besatzung!$F$21="x"),(T133="x")*(Besatzung!$F$21="x"))*IFERROR(H133,0)/IFERROR(IF(COUNTIF(J133:U133,"x")=0,SUMPRODUCT((Besatzung!$B$11:$B$22&lt;&gt;"")*(Besatzung!$F$11:$F$22="x")),SUMPRODUCT((J133:U133="x")*(Besatzung!$F$11:$F$22="x"))),1))))),0))))</f>
        <v/>
      </c>
      <c r="AG133" s="247">
        <f>IF(C133="Gutschrift","",IF(G133="","",IF(Besatzung!$B$22="","",IFERROR(IF(I133="Zeitanteilig",(Besatzung!$G$22*(G133-IFERROR(H133,0))+((Besatzung!$B$22&lt;&gt;"")*IF(B133="",1,(IF(Besatzung!$C$22="",Besatzung!$B$5,Besatzung!$C$22)&lt;=B133)*(IF(Besatzung!$D$22="",Besatzung!$B$6,Besatzung!$D$22)&gt;=B133)))*(Besatzung!$F$22="x")*IFERROR(H133,0)/IFERROR(SUMPRODUCT((Besatzung!$B$11:$B$22&lt;&gt;"")*(Besatzung!$F$11:$F$22="x")*(IF(Besatzung!$C$11:$C$22="",Besatzung!$B$5,Besatzung!$C$11:$C$22)&lt;=B133)*(IF(Besatzung!$D$11:$D$22="",Besatzung!$B$6,Besatzung!$D$11:$D$22)&gt;=B133)),1)),IF(I133="An Bord",(((Besatzung!$B$22&lt;&gt;"")*IF(B133="",1,(IF(Besatzung!$C$22="",Besatzung!$B$5,Besatzung!$C$22)&lt;=B133)*(IF(Besatzung!$D$22="",Besatzung!$B$6,Besatzung!$D$22)&gt;=B133)))*((G133-IFERROR(H133,0))/IFERROR(SUMPRODUCT((Besatzung!$B$11:$B$22&lt;&gt;"")*(IF(Besatzung!$C$11:$C$22="",Besatzung!$B$5,Besatzung!$C$11:$C$22)&lt;=B133)*(IF(Besatzung!$D$11:$D$22="",Besatzung!$B$6,Besatzung!$D$11:$D$22)&gt;=B133)),1)+(Besatzung!$F$22="x")*IFERROR(H133,0)/IFERROR(SUMPRODUCT((Besatzung!$B$11:$B$22&lt;&gt;"")*(Besatzung!$F$11:$F$22="x")*(IF(Besatzung!$C$11:$C$22="",Besatzung!$B$5,Besatzung!$C$11:$C$22)&lt;=B133)*(IF(Besatzung!$D$11:$D$22="",Besatzung!$B$6,Besatzung!$D$11:$D$22)&gt;=B133)),1))),IF(I133="Individuell",((U133="x")*((G133-IFERROR(H133,0))/IFERROR(COUNTIF(J133:U133,"x"),1)+(Besatzung!$F$22="x")*IFERROR(H133,0)/IFERROR(SUMPRODUCT((J133:U133="x")*(Besatzung!$F$11:$F$22="x")),1))),(IF(COUNTIF(J133:U133,"x")=0,IF(Besatzung!$B$22&lt;&gt;"",1,0),(U133="x"))*(G133-IFERROR(H133,0))/IFERROR(IF(COUNTIF(J133:U133,"x")=0,COUNTA(Besatzung!$B$11:$B$22),COUNTIF(J133:U133,"x")),1)+IF(COUNTIF(J133:U133,"x")=0,(Besatzung!$F$22="x"),(U133="x")*(Besatzung!$F$22="x"))*IFERROR(H133,0)/IFERROR(IF(COUNTIF(J133:U133,"x")=0,SUMPRODUCT((Besatzung!$B$11:$B$22&lt;&gt;"")*(Besatzung!$F$11:$F$22="x")),SUMPRODUCT((J133:U133="x")*(Besatzung!$F$11:$F$22="x"))),1))))),0))))</f>
        <v/>
      </c>
      <c r="AH133" s="248" t="n"/>
      <c r="AI133" s="248" t="n"/>
    </row>
    <row r="134" ht="21.75" customHeight="1" s="154">
      <c r="A134" s="238">
        <f>IF(AND(D134="",C134=""),"",131)</f>
        <v/>
      </c>
      <c r="B134" s="199" t="n"/>
      <c r="C134" s="239" t="n"/>
      <c r="D134" s="240" t="n"/>
      <c r="E134" s="241" t="n"/>
      <c r="F134" s="242" t="n"/>
      <c r="G134" s="243" t="n"/>
      <c r="H134" s="244" t="n"/>
      <c r="I134" s="245" t="n"/>
      <c r="J134" s="246" t="n"/>
      <c r="K134" s="246" t="n"/>
      <c r="L134" s="246" t="n"/>
      <c r="M134" s="246" t="n"/>
      <c r="N134" s="246" t="n"/>
      <c r="O134" s="246" t="n"/>
      <c r="P134" s="246" t="n"/>
      <c r="Q134" s="246" t="n"/>
      <c r="R134" s="246" t="n"/>
      <c r="S134" s="246" t="n"/>
      <c r="T134" s="246" t="n"/>
      <c r="U134" s="246" t="n"/>
      <c r="V134" s="247">
        <f>IF(C134="Gutschrift","",IF(G134="","",IF(Besatzung!$B$11="","",IFERROR(IF(I134="Zeitanteilig",(Besatzung!$G$11*(G134-IFERROR(H134,0))+((Besatzung!$B$11&lt;&gt;"")*IF(B134="",1,(IF(Besatzung!$C$11="",Besatzung!$B$5,Besatzung!$C$11)&lt;=B134)*(IF(Besatzung!$D$11="",Besatzung!$B$6,Besatzung!$D$11)&gt;=B134)))*(Besatzung!$F$11="x")*IFERROR(H134,0)/IFERROR(SUMPRODUCT((Besatzung!$B$11:$B$22&lt;&gt;"")*(Besatzung!$F$11:$F$22="x")*(IF(Besatzung!$C$11:$C$22="",Besatzung!$B$5,Besatzung!$C$11:$C$22)&lt;=B134)*(IF(Besatzung!$D$11:$D$22="",Besatzung!$B$6,Besatzung!$D$11:$D$22)&gt;=B134)),1)),IF(I134="An Bord",(((Besatzung!$B$11&lt;&gt;"")*IF(B134="",1,(IF(Besatzung!$C$11="",Besatzung!$B$5,Besatzung!$C$11)&lt;=B134)*(IF(Besatzung!$D$11="",Besatzung!$B$6,Besatzung!$D$11)&gt;=B134)))*((G134-IFERROR(H134,0))/IFERROR(SUMPRODUCT((Besatzung!$B$11:$B$22&lt;&gt;"")*(IF(Besatzung!$C$11:$C$22="",Besatzung!$B$5,Besatzung!$C$11:$C$22)&lt;=B134)*(IF(Besatzung!$D$11:$D$22="",Besatzung!$B$6,Besatzung!$D$11:$D$22)&gt;=B134)),1)+(Besatzung!$F$11="x")*IFERROR(H134,0)/IFERROR(SUMPRODUCT((Besatzung!$B$11:$B$22&lt;&gt;"")*(Besatzung!$F$11:$F$22="x")*(IF(Besatzung!$C$11:$C$22="",Besatzung!$B$5,Besatzung!$C$11:$C$22)&lt;=B134)*(IF(Besatzung!$D$11:$D$22="",Besatzung!$B$6,Besatzung!$D$11:$D$22)&gt;=B134)),1))),IF(I134="Individuell",((J134="x")*((G134-IFERROR(H134,0))/IFERROR(COUNTIF(J134:U134,"x"),1)+(Besatzung!$F$11="x")*IFERROR(H134,0)/IFERROR(SUMPRODUCT((J134:U134="x")*(Besatzung!$F$11:$F$22="x")),1))),(IF(COUNTIF(J134:U134,"x")=0,IF(Besatzung!$B$11&lt;&gt;"",1,0),(J134="x"))*(G134-IFERROR(H134,0))/IFERROR(IF(COUNTIF(J134:U134,"x")=0,COUNTA(Besatzung!$B$11:$B$22),COUNTIF(J134:U134,"x")),1)+IF(COUNTIF(J134:U134,"x")=0,(Besatzung!$F$11="x"),(J134="x")*(Besatzung!$F$11="x"))*IFERROR(H134,0)/IFERROR(IF(COUNTIF(J134:U134,"x")=0,SUMPRODUCT((Besatzung!$B$11:$B$22&lt;&gt;"")*(Besatzung!$F$11:$F$22="x")),SUMPRODUCT((J134:U134="x")*(Besatzung!$F$11:$F$22="x"))),1))))),0))))</f>
        <v/>
      </c>
      <c r="W134" s="247">
        <f>IF(C134="Gutschrift","",IF(G134="","",IF(Besatzung!$B$12="","",IFERROR(IF(I134="Zeitanteilig",(Besatzung!$G$12*(G134-IFERROR(H134,0))+((Besatzung!$B$12&lt;&gt;"")*IF(B134="",1,(IF(Besatzung!$C$12="",Besatzung!$B$5,Besatzung!$C$12)&lt;=B134)*(IF(Besatzung!$D$12="",Besatzung!$B$6,Besatzung!$D$12)&gt;=B134)))*(Besatzung!$F$12="x")*IFERROR(H134,0)/IFERROR(SUMPRODUCT((Besatzung!$B$11:$B$22&lt;&gt;"")*(Besatzung!$F$11:$F$22="x")*(IF(Besatzung!$C$11:$C$22="",Besatzung!$B$5,Besatzung!$C$11:$C$22)&lt;=B134)*(IF(Besatzung!$D$11:$D$22="",Besatzung!$B$6,Besatzung!$D$11:$D$22)&gt;=B134)),1)),IF(I134="An Bord",(((Besatzung!$B$12&lt;&gt;"")*IF(B134="",1,(IF(Besatzung!$C$12="",Besatzung!$B$5,Besatzung!$C$12)&lt;=B134)*(IF(Besatzung!$D$12="",Besatzung!$B$6,Besatzung!$D$12)&gt;=B134)))*((G134-IFERROR(H134,0))/IFERROR(SUMPRODUCT((Besatzung!$B$11:$B$22&lt;&gt;"")*(IF(Besatzung!$C$11:$C$22="",Besatzung!$B$5,Besatzung!$C$11:$C$22)&lt;=B134)*(IF(Besatzung!$D$11:$D$22="",Besatzung!$B$6,Besatzung!$D$11:$D$22)&gt;=B134)),1)+(Besatzung!$F$12="x")*IFERROR(H134,0)/IFERROR(SUMPRODUCT((Besatzung!$B$11:$B$22&lt;&gt;"")*(Besatzung!$F$11:$F$22="x")*(IF(Besatzung!$C$11:$C$22="",Besatzung!$B$5,Besatzung!$C$11:$C$22)&lt;=B134)*(IF(Besatzung!$D$11:$D$22="",Besatzung!$B$6,Besatzung!$D$11:$D$22)&gt;=B134)),1))),IF(I134="Individuell",((K134="x")*((G134-IFERROR(H134,0))/IFERROR(COUNTIF(J134:U134,"x"),1)+(Besatzung!$F$12="x")*IFERROR(H134,0)/IFERROR(SUMPRODUCT((J134:U134="x")*(Besatzung!$F$11:$F$22="x")),1))),(IF(COUNTIF(J134:U134,"x")=0,IF(Besatzung!$B$12&lt;&gt;"",1,0),(K134="x"))*(G134-IFERROR(H134,0))/IFERROR(IF(COUNTIF(J134:U134,"x")=0,COUNTA(Besatzung!$B$11:$B$22),COUNTIF(J134:U134,"x")),1)+IF(COUNTIF(J134:U134,"x")=0,(Besatzung!$F$12="x"),(K134="x")*(Besatzung!$F$12="x"))*IFERROR(H134,0)/IFERROR(IF(COUNTIF(J134:U134,"x")=0,SUMPRODUCT((Besatzung!$B$11:$B$22&lt;&gt;"")*(Besatzung!$F$11:$F$22="x")),SUMPRODUCT((J134:U134="x")*(Besatzung!$F$11:$F$22="x"))),1))))),0))))</f>
        <v/>
      </c>
      <c r="X134" s="247">
        <f>IF(C134="Gutschrift","",IF(G134="","",IF(Besatzung!$B$13="","",IFERROR(IF(I134="Zeitanteilig",(Besatzung!$G$13*(G134-IFERROR(H134,0))+((Besatzung!$B$13&lt;&gt;"")*IF(B134="",1,(IF(Besatzung!$C$13="",Besatzung!$B$5,Besatzung!$C$13)&lt;=B134)*(IF(Besatzung!$D$13="",Besatzung!$B$6,Besatzung!$D$13)&gt;=B134)))*(Besatzung!$F$13="x")*IFERROR(H134,0)/IFERROR(SUMPRODUCT((Besatzung!$B$11:$B$22&lt;&gt;"")*(Besatzung!$F$11:$F$22="x")*(IF(Besatzung!$C$11:$C$22="",Besatzung!$B$5,Besatzung!$C$11:$C$22)&lt;=B134)*(IF(Besatzung!$D$11:$D$22="",Besatzung!$B$6,Besatzung!$D$11:$D$22)&gt;=B134)),1)),IF(I134="An Bord",(((Besatzung!$B$13&lt;&gt;"")*IF(B134="",1,(IF(Besatzung!$C$13="",Besatzung!$B$5,Besatzung!$C$13)&lt;=B134)*(IF(Besatzung!$D$13="",Besatzung!$B$6,Besatzung!$D$13)&gt;=B134)))*((G134-IFERROR(H134,0))/IFERROR(SUMPRODUCT((Besatzung!$B$11:$B$22&lt;&gt;"")*(IF(Besatzung!$C$11:$C$22="",Besatzung!$B$5,Besatzung!$C$11:$C$22)&lt;=B134)*(IF(Besatzung!$D$11:$D$22="",Besatzung!$B$6,Besatzung!$D$11:$D$22)&gt;=B134)),1)+(Besatzung!$F$13="x")*IFERROR(H134,0)/IFERROR(SUMPRODUCT((Besatzung!$B$11:$B$22&lt;&gt;"")*(Besatzung!$F$11:$F$22="x")*(IF(Besatzung!$C$11:$C$22="",Besatzung!$B$5,Besatzung!$C$11:$C$22)&lt;=B134)*(IF(Besatzung!$D$11:$D$22="",Besatzung!$B$6,Besatzung!$D$11:$D$22)&gt;=B134)),1))),IF(I134="Individuell",((K134="x")*((G134-IFERROR(H134,0))/IFERROR(COUNTIF(J134:U134,"x"),1)+(Besatzung!$F$13="x")*IFERROR(H134,0)/IFERROR(SUMPRODUCT((J134:U134="x")*(Besatzung!$F$11:$F$22="x")),1))),(IF(COUNTIF(J134:U134,"x")=0,IF(Besatzung!$B$13&lt;&gt;"",1,0),(K134="x"))*(G134-IFERROR(H134,0))/IFERROR(IF(COUNTIF(J134:U134,"x")=0,COUNTA(Besatzung!$B$11:$B$22),COUNTIF(J134:U134,"x")),1)+IF(COUNTIF(J134:U134,"x")=0,(Besatzung!$F$13="x"),(K134="x")*(Besatzung!$F$13="x"))*IFERROR(H134,0)/IFERROR(IF(COUNTIF(J134:U134,"x")=0,SUMPRODUCT((Besatzung!$B$11:$B$22&lt;&gt;"")*(Besatzung!$F$11:$F$22="x")),SUMPRODUCT((J134:U134="x")*(Besatzung!$F$11:$F$22="x"))),1))))),0))))</f>
        <v/>
      </c>
      <c r="Y134" s="247">
        <f>IF(C134="Gutschrift","",IF(G134="","",IF(Besatzung!$B$14="","",IFERROR(IF(I134="Zeitanteilig",(Besatzung!$G$14*(G134-IFERROR(H134,0))+((Besatzung!$B$14&lt;&gt;"")*IF(B134="",1,(IF(Besatzung!$C$14="",Besatzung!$B$5,Besatzung!$C$14)&lt;=B134)*(IF(Besatzung!$D$14="",Besatzung!$B$6,Besatzung!$D$14)&gt;=B134)))*(Besatzung!$F$14="x")*IFERROR(H134,0)/IFERROR(SUMPRODUCT((Besatzung!$B$11:$B$22&lt;&gt;"")*(Besatzung!$F$11:$F$22="x")*(IF(Besatzung!$C$11:$C$22="",Besatzung!$B$5,Besatzung!$C$11:$C$22)&lt;=B134)*(IF(Besatzung!$D$11:$D$22="",Besatzung!$B$6,Besatzung!$D$11:$D$22)&gt;=B134)),1)),IF(I134="An Bord",(((Besatzung!$B$14&lt;&gt;"")*IF(B134="",1,(IF(Besatzung!$C$14="",Besatzung!$B$5,Besatzung!$C$14)&lt;=B134)*(IF(Besatzung!$D$14="",Besatzung!$B$6,Besatzung!$D$14)&gt;=B134)))*((G134-IFERROR(H134,0))/IFERROR(SUMPRODUCT((Besatzung!$B$11:$B$22&lt;&gt;"")*(IF(Besatzung!$C$11:$C$22="",Besatzung!$B$5,Besatzung!$C$11:$C$22)&lt;=B134)*(IF(Besatzung!$D$11:$D$22="",Besatzung!$B$6,Besatzung!$D$11:$D$22)&gt;=B134)),1)+(Besatzung!$F$14="x")*IFERROR(H134,0)/IFERROR(SUMPRODUCT((Besatzung!$B$11:$B$22&lt;&gt;"")*(Besatzung!$F$11:$F$22="x")*(IF(Besatzung!$C$11:$C$22="",Besatzung!$B$5,Besatzung!$C$11:$C$22)&lt;=B134)*(IF(Besatzung!$D$11:$D$22="",Besatzung!$B$6,Besatzung!$D$11:$D$22)&gt;=B134)),1))),IF(I134="Individuell",((M134="x")*((G134-IFERROR(H134,0))/IFERROR(COUNTIF(J134:U134,"x"),1)+(Besatzung!$F$14="x")*IFERROR(H134,0)/IFERROR(SUMPRODUCT((J134:U134="x")*(Besatzung!$F$11:$F$22="x")),1))),(IF(COUNTIF(J134:U134,"x")=0,IF(Besatzung!$B$14&lt;&gt;"",1,0),(M134="x"))*(G134-IFERROR(H134,0))/IFERROR(IF(COUNTIF(J134:U134,"x")=0,COUNTA(Besatzung!$B$11:$B$22),COUNTIF(J134:U134,"x")),1)+IF(COUNTIF(J134:U134,"x")=0,(Besatzung!$F$14="x"),(M134="x")*(Besatzung!$F$14="x"))*IFERROR(H134,0)/IFERROR(IF(COUNTIF(J134:U134,"x")=0,SUMPRODUCT((Besatzung!$B$11:$B$22&lt;&gt;"")*(Besatzung!$F$11:$F$22="x")),SUMPRODUCT((J134:U134="x")*(Besatzung!$F$11:$F$22="x"))),1))))),0))))</f>
        <v/>
      </c>
      <c r="Z134" s="247">
        <f>IF(C134="Gutschrift","",IF(G134="","",IF(Besatzung!$B$13="","",IFERROR(IF(I134="Zeitanteilig",(Besatzung!$G$15*(G134-IFERROR(H134,0))+((Besatzung!$B$13&lt;&gt;"")*IF(B134="",1,(IF(Besatzung!$C$15="",Besatzung!$B$5,Besatzung!$C$15)&lt;=B134)*(IF(Besatzung!$D$15="",Besatzung!$B$6,Besatzung!$D$15)&gt;=B134)))*(Besatzung!$F$15="x")*IFERROR(H134,0)/IFERROR(SUMPRODUCT((Besatzung!$B$11:$B$22&lt;&gt;"")*(Besatzung!$F$11:$F$22="x")*(IF(Besatzung!$C$11:$C$22="",Besatzung!$B$5,Besatzung!$C$11:$C$22)&lt;=B134)*(IF(Besatzung!$D$11:$D$22="",Besatzung!$B$6,Besatzung!$D$11:$D$22)&gt;=B134)),1)),IF(I134="An Bord",(((Besatzung!$B$13&lt;&gt;"")*IF(B134="",1,(IF(Besatzung!$C$15="",Besatzung!$B$5,Besatzung!$C$15)&lt;=B134)*(IF(Besatzung!$D$15="",Besatzung!$B$6,Besatzung!$D$15)&gt;=B134)))*((G134-IFERROR(H134,0))/IFERROR(SUMPRODUCT((Besatzung!$B$11:$B$22&lt;&gt;"")*(IF(Besatzung!$C$11:$C$22="",Besatzung!$B$5,Besatzung!$C$11:$C$22)&lt;=B134)*(IF(Besatzung!$D$11:$D$22="",Besatzung!$B$6,Besatzung!$D$11:$D$22)&gt;=B134)),1)+(Besatzung!$F$15="x")*IFERROR(H134,0)/IFERROR(SUMPRODUCT((Besatzung!$B$11:$B$22&lt;&gt;"")*(Besatzung!$F$11:$F$22="x")*(IF(Besatzung!$C$11:$C$22="",Besatzung!$B$5,Besatzung!$C$11:$C$22)&lt;=B134)*(IF(Besatzung!$D$11:$D$22="",Besatzung!$B$6,Besatzung!$D$11:$D$22)&gt;=B134)),1))),IF(I134="Individuell",((N134="x")*((G134-IFERROR(H134,0))/IFERROR(COUNTIF(J134:U134,"x"),1)+(Besatzung!$F$15="x")*IFERROR(H134,0)/IFERROR(SUMPRODUCT((J134:U134="x")*(Besatzung!$F$11:$F$22="x")),1))),(IF(COUNTIF(J134:U134,"x")=0,IF(Besatzung!$B$13&lt;&gt;"",1,0),(N134="x"))*(G134-IFERROR(H134,0))/IFERROR(IF(COUNTIF(J134:U134,"x")=0,COUNTA(Besatzung!$B$11:$B$22),COUNTIF(J134:U134,"x")),1)+IF(COUNTIF(J134:U134,"x")=0,(Besatzung!$F$15="x"),(N134="x")*(Besatzung!$F$15="x"))*IFERROR(H134,0)/IFERROR(IF(COUNTIF(J134:U134,"x")=0,SUMPRODUCT((Besatzung!$B$11:$B$22&lt;&gt;"")*(Besatzung!$F$11:$F$22="x")),SUMPRODUCT((J134:U134="x")*(Besatzung!$F$11:$F$22="x"))),1))))),0))))</f>
        <v/>
      </c>
      <c r="AA134" s="247">
        <f>IF(C134="Gutschrift","",IF(G134="","",IF(Besatzung!$B$15="","",IFERROR(IF(I134="Zeitanteilig",(Besatzung!$G$16*(G134-IFERROR(H134,0))+((Besatzung!$B$15&lt;&gt;"")*IF(B134="",1,(IF(Besatzung!$C$16="",Besatzung!$B$5,Besatzung!$C$16)&lt;=B134)*(IF(Besatzung!$D$16="",Besatzung!$B$6,Besatzung!$D$16)&gt;=B134)))*(Besatzung!$F$16="x")*IFERROR(H134,0)/IFERROR(SUMPRODUCT((Besatzung!$B$11:$B$22&lt;&gt;"")*(Besatzung!$F$11:$F$22="x")*(IF(Besatzung!$C$11:$C$22="",Besatzung!$B$5,Besatzung!$C$11:$C$22)&lt;=B134)*(IF(Besatzung!$D$11:$D$22="",Besatzung!$B$6,Besatzung!$D$11:$D$22)&gt;=B134)),1)),IF(I134="An Bord",(((Besatzung!$B$15&lt;&gt;"")*IF(B134="",1,(IF(Besatzung!$C$16="",Besatzung!$B$5,Besatzung!$C$16)&lt;=B134)*(IF(Besatzung!$D$16="",Besatzung!$B$6,Besatzung!$D$16)&gt;=B134)))*((G134-IFERROR(H134,0))/IFERROR(SUMPRODUCT((Besatzung!$B$11:$B$22&lt;&gt;"")*(IF(Besatzung!$C$11:$C$22="",Besatzung!$B$5,Besatzung!$C$11:$C$22)&lt;=B134)*(IF(Besatzung!$D$11:$D$22="",Besatzung!$B$6,Besatzung!$D$11:$D$22)&gt;=B134)),1)+(Besatzung!$F$16="x")*IFERROR(H134,0)/IFERROR(SUMPRODUCT((Besatzung!$B$11:$B$22&lt;&gt;"")*(Besatzung!$F$11:$F$22="x")*(IF(Besatzung!$C$11:$C$22="",Besatzung!$B$5,Besatzung!$C$11:$C$22)&lt;=B134)*(IF(Besatzung!$D$11:$D$22="",Besatzung!$B$6,Besatzung!$D$11:$D$22)&gt;=B134)),1))),IF(I134="Individuell",((O134="x")*((G134-IFERROR(H134,0))/IFERROR(COUNTIF(J134:U134,"x"),1)+(Besatzung!$F$16="x")*IFERROR(H134,0)/IFERROR(SUMPRODUCT((J134:U134="x")*(Besatzung!$F$11:$F$22="x")),1))),(IF(COUNTIF(J134:U134,"x")=0,IF(Besatzung!$B$15&lt;&gt;"",1,0),(O134="x"))*(G134-IFERROR(H134,0))/IFERROR(IF(COUNTIF(J134:U134,"x")=0,COUNTA(Besatzung!$B$11:$B$22),COUNTIF(J134:U134,"x")),1)+IF(COUNTIF(J134:U134,"x")=0,(Besatzung!$F$16="x"),(O134="x")*(Besatzung!$F$16="x"))*IFERROR(H134,0)/IFERROR(IF(COUNTIF(J134:U134,"x")=0,SUMPRODUCT((Besatzung!$B$11:$B$22&lt;&gt;"")*(Besatzung!$F$11:$F$22="x")),SUMPRODUCT((J134:U134="x")*(Besatzung!$F$11:$F$22="x"))),1))))),0))))</f>
        <v/>
      </c>
      <c r="AB134" s="247">
        <f>IF(C134="Gutschrift","",IF(G134="","",IF(Besatzung!$B$17="","",IFERROR(IF(I134="Zeitanteilig",(Besatzung!$G$17*(G134-IFERROR(H134,0))+((Besatzung!$B$17&lt;&gt;"")*IF(B134="",1,(IF(Besatzung!$C$17="",Besatzung!$B$5,Besatzung!$C$17)&lt;=B134)*(IF(Besatzung!$D$17="",Besatzung!$B$6,Besatzung!$D$17)&gt;=B134)))*(Besatzung!$F$17="x")*IFERROR(H134,0)/IFERROR(SUMPRODUCT((Besatzung!$B$11:$B$22&lt;&gt;"")*(Besatzung!$F$11:$F$22="x")*(IF(Besatzung!$C$11:$C$22="",Besatzung!$B$5,Besatzung!$C$11:$C$22)&lt;=B134)*(IF(Besatzung!$D$11:$D$22="",Besatzung!$B$6,Besatzung!$D$11:$D$22)&gt;=B134)),1)),IF(I134="An Bord",(((Besatzung!$B$17&lt;&gt;"")*IF(B134="",1,(IF(Besatzung!$C$17="",Besatzung!$B$5,Besatzung!$C$17)&lt;=B134)*(IF(Besatzung!$D$17="",Besatzung!$B$6,Besatzung!$D$17)&gt;=B134)))*((G134-IFERROR(H134,0))/IFERROR(SUMPRODUCT((Besatzung!$B$11:$B$22&lt;&gt;"")*(IF(Besatzung!$C$11:$C$22="",Besatzung!$B$5,Besatzung!$C$11:$C$22)&lt;=B134)*(IF(Besatzung!$D$11:$D$22="",Besatzung!$B$6,Besatzung!$D$11:$D$22)&gt;=B134)),1)+(Besatzung!$F$17="x")*IFERROR(H134,0)/IFERROR(SUMPRODUCT((Besatzung!$B$11:$B$22&lt;&gt;"")*(Besatzung!$F$11:$F$22="x")*(IF(Besatzung!$C$11:$C$22="",Besatzung!$B$5,Besatzung!$C$11:$C$22)&lt;=B134)*(IF(Besatzung!$D$11:$D$22="",Besatzung!$B$6,Besatzung!$D$11:$D$22)&gt;=B134)),1))),IF(I134="Individuell",((P134="x")*((G134-IFERROR(H134,0))/IFERROR(COUNTIF(J134:U134,"x"),1)+(Besatzung!$F$17="x")*IFERROR(H134,0)/IFERROR(SUMPRODUCT((J134:U134="x")*(Besatzung!$F$11:$F$22="x")),1))),(IF(COUNTIF(J134:U134,"x")=0,IF(Besatzung!$B$17&lt;&gt;"",1,0),(P134="x"))*(G134-IFERROR(H134,0))/IFERROR(IF(COUNTIF(J134:U134,"x")=0,COUNTA(Besatzung!$B$11:$B$22),COUNTIF(J134:U134,"x")),1)+IF(COUNTIF(J134:U134,"x")=0,(Besatzung!$F$17="x"),(P134="x")*(Besatzung!$F$17="x"))*IFERROR(H134,0)/IFERROR(IF(COUNTIF(J134:U134,"x")=0,SUMPRODUCT((Besatzung!$B$11:$B$22&lt;&gt;"")*(Besatzung!$F$11:$F$22="x")),SUMPRODUCT((J134:U134="x")*(Besatzung!$F$11:$F$22="x"))),1))))),0))))</f>
        <v/>
      </c>
      <c r="AC134" s="247">
        <f>IF(C134="Gutschrift","",IF(G134="","",IF(Besatzung!$B$18="","",IFERROR(IF(I134="Zeitanteilig",(Besatzung!$G$18*(G134-IFERROR(H134,0))+((Besatzung!$B$18&lt;&gt;"")*IF(B134="",1,(IF(Besatzung!$C$18="",Besatzung!$B$5,Besatzung!$C$18)&lt;=B134)*(IF(Besatzung!$D$18="",Besatzung!$B$6,Besatzung!$D$18)&gt;=B134)))*(Besatzung!$F$18="x")*IFERROR(H134,0)/IFERROR(SUMPRODUCT((Besatzung!$B$11:$B$22&lt;&gt;"")*(Besatzung!$F$11:$F$22="x")*(IF(Besatzung!$C$11:$C$22="",Besatzung!$B$5,Besatzung!$C$11:$C$22)&lt;=B134)*(IF(Besatzung!$D$11:$D$22="",Besatzung!$B$6,Besatzung!$D$11:$D$22)&gt;=B134)),1)),IF(I134="An Bord",(((Besatzung!$B$18&lt;&gt;"")*IF(B134="",1,(IF(Besatzung!$C$18="",Besatzung!$B$5,Besatzung!$C$18)&lt;=B134)*(IF(Besatzung!$D$18="",Besatzung!$B$6,Besatzung!$D$18)&gt;=B134)))*((G134-IFERROR(H134,0))/IFERROR(SUMPRODUCT((Besatzung!$B$11:$B$22&lt;&gt;"")*(IF(Besatzung!$C$11:$C$22="",Besatzung!$B$5,Besatzung!$C$11:$C$22)&lt;=B134)*(IF(Besatzung!$D$11:$D$22="",Besatzung!$B$6,Besatzung!$D$11:$D$22)&gt;=B134)),1)+(Besatzung!$F$18="x")*IFERROR(H134,0)/IFERROR(SUMPRODUCT((Besatzung!$B$11:$B$22&lt;&gt;"")*(Besatzung!$F$11:$F$22="x")*(IF(Besatzung!$C$11:$C$22="",Besatzung!$B$5,Besatzung!$C$11:$C$22)&lt;=B134)*(IF(Besatzung!$D$11:$D$22="",Besatzung!$B$6,Besatzung!$D$11:$D$22)&gt;=B134)),1))),IF(I134="Individuell",((Q134="x")*((G134-IFERROR(H134,0))/IFERROR(COUNTIF(J134:U134,"x"),1)+(Besatzung!$F$18="x")*IFERROR(H134,0)/IFERROR(SUMPRODUCT((J134:U134="x")*(Besatzung!$F$11:$F$22="x")),1))),(IF(COUNTIF(J134:U134,"x")=0,IF(Besatzung!$B$18&lt;&gt;"",1,0),(Q134="x"))*(G134-IFERROR(H134,0))/IFERROR(IF(COUNTIF(J134:U134,"x")=0,COUNTA(Besatzung!$B$11:$B$22),COUNTIF(J134:U134,"x")),1)+IF(COUNTIF(J134:U134,"x")=0,(Besatzung!$F$18="x"),(Q134="x")*(Besatzung!$F$18="x"))*IFERROR(H134,0)/IFERROR(IF(COUNTIF(J134:U134,"x")=0,SUMPRODUCT((Besatzung!$B$11:$B$22&lt;&gt;"")*(Besatzung!$F$11:$F$22="x")),SUMPRODUCT((J134:U134="x")*(Besatzung!$F$11:$F$22="x"))),1))))),0))))</f>
        <v/>
      </c>
      <c r="AD134" s="247">
        <f>IF(C134="Gutschrift","",IF(G134="","",IF(Besatzung!$B$19="","",IFERROR(IF(I134="Zeitanteilig",(Besatzung!$G$19*(G134-IFERROR(H134,0))+((Besatzung!$B$19&lt;&gt;"")*IF(B134="",1,(IF(Besatzung!$C$19="",Besatzung!$B$5,Besatzung!$C$19)&lt;=B134)*(IF(Besatzung!$D$19="",Besatzung!$B$6,Besatzung!$D$19)&gt;=B134)))*(Besatzung!$F$19="x")*IFERROR(H134,0)/IFERROR(SUMPRODUCT((Besatzung!$B$11:$B$22&lt;&gt;"")*(Besatzung!$F$11:$F$22="x")*(IF(Besatzung!$C$11:$C$22="",Besatzung!$B$5,Besatzung!$C$11:$C$22)&lt;=B134)*(IF(Besatzung!$D$11:$D$22="",Besatzung!$B$6,Besatzung!$D$11:$D$22)&gt;=B134)),1)),IF(I134="An Bord",(((Besatzung!$B$19&lt;&gt;"")*IF(B134="",1,(IF(Besatzung!$C$19="",Besatzung!$B$5,Besatzung!$C$19)&lt;=B134)*(IF(Besatzung!$D$19="",Besatzung!$B$6,Besatzung!$D$19)&gt;=B134)))*((G134-IFERROR(H134,0))/IFERROR(SUMPRODUCT((Besatzung!$B$11:$B$22&lt;&gt;"")*(IF(Besatzung!$C$11:$C$22="",Besatzung!$B$5,Besatzung!$C$11:$C$22)&lt;=B134)*(IF(Besatzung!$D$11:$D$22="",Besatzung!$B$6,Besatzung!$D$11:$D$22)&gt;=B134)),1)+(Besatzung!$F$19="x")*IFERROR(H134,0)/IFERROR(SUMPRODUCT((Besatzung!$B$11:$B$22&lt;&gt;"")*(Besatzung!$F$11:$F$22="x")*(IF(Besatzung!$C$11:$C$22="",Besatzung!$B$5,Besatzung!$C$11:$C$22)&lt;=B134)*(IF(Besatzung!$D$11:$D$22="",Besatzung!$B$6,Besatzung!$D$11:$D$22)&gt;=B134)),1))),IF(I134="Individuell",((R134="x")*((G134-IFERROR(H134,0))/IFERROR(COUNTIF(J134:U134,"x"),1)+(Besatzung!$F$19="x")*IFERROR(H134,0)/IFERROR(SUMPRODUCT((J134:U134="x")*(Besatzung!$F$11:$F$22="x")),1))),(IF(COUNTIF(J134:U134,"x")=0,IF(Besatzung!$B$19&lt;&gt;"",1,0),(R134="x"))*(G134-IFERROR(H134,0))/IFERROR(IF(COUNTIF(J134:U134,"x")=0,COUNTA(Besatzung!$B$11:$B$22),COUNTIF(J134:U134,"x")),1)+IF(COUNTIF(J134:U134,"x")=0,(Besatzung!$F$19="x"),(R134="x")*(Besatzung!$F$19="x"))*IFERROR(H134,0)/IFERROR(IF(COUNTIF(J134:U134,"x")=0,SUMPRODUCT((Besatzung!$B$11:$B$22&lt;&gt;"")*(Besatzung!$F$11:$F$22="x")),SUMPRODUCT((J134:U134="x")*(Besatzung!$F$11:$F$22="x"))),1))))),0))))</f>
        <v/>
      </c>
      <c r="AE134" s="247">
        <f>IF(C134="Gutschrift","",IF(G134="","",IF(Besatzung!$B$20="","",IFERROR(IF(I134="Zeitanteilig",(Besatzung!$G$20*(G134-IFERROR(H134,0))+((Besatzung!$B$20&lt;&gt;"")*IF(B134="",1,(IF(Besatzung!$C$20="",Besatzung!$B$5,Besatzung!$C$20)&lt;=B134)*(IF(Besatzung!$D$20="",Besatzung!$B$6,Besatzung!$D$20)&gt;=B134)))*(Besatzung!$F$20="x")*IFERROR(H134,0)/IFERROR(SUMPRODUCT((Besatzung!$B$11:$B$22&lt;&gt;"")*(Besatzung!$F$11:$F$22="x")*(IF(Besatzung!$C$11:$C$22="",Besatzung!$B$5,Besatzung!$C$11:$C$22)&lt;=B134)*(IF(Besatzung!$D$11:$D$22="",Besatzung!$B$6,Besatzung!$D$11:$D$22)&gt;=B134)),1)),IF(I134="An Bord",(((Besatzung!$B$20&lt;&gt;"")*IF(B134="",1,(IF(Besatzung!$C$20="",Besatzung!$B$5,Besatzung!$C$20)&lt;=B134)*(IF(Besatzung!$D$20="",Besatzung!$B$6,Besatzung!$D$20)&gt;=B134)))*((G134-IFERROR(H134,0))/IFERROR(SUMPRODUCT((Besatzung!$B$11:$B$22&lt;&gt;"")*(IF(Besatzung!$C$11:$C$22="",Besatzung!$B$5,Besatzung!$C$11:$C$22)&lt;=B134)*(IF(Besatzung!$D$11:$D$22="",Besatzung!$B$6,Besatzung!$D$11:$D$22)&gt;=B134)),1)+(Besatzung!$F$20="x")*IFERROR(H134,0)/IFERROR(SUMPRODUCT((Besatzung!$B$11:$B$22&lt;&gt;"")*(Besatzung!$F$11:$F$22="x")*(IF(Besatzung!$C$11:$C$22="",Besatzung!$B$5,Besatzung!$C$11:$C$22)&lt;=B134)*(IF(Besatzung!$D$11:$D$22="",Besatzung!$B$6,Besatzung!$D$11:$D$22)&gt;=B134)),1))),IF(I134="Individuell",((S134="x")*((G134-IFERROR(H134,0))/IFERROR(COUNTIF(J134:U134,"x"),1)+(Besatzung!$F$20="x")*IFERROR(H134,0)/IFERROR(SUMPRODUCT((J134:U134="x")*(Besatzung!$F$11:$F$22="x")),1))),(IF(COUNTIF(J134:U134,"x")=0,IF(Besatzung!$B$20&lt;&gt;"",1,0),(S134="x"))*(G134-IFERROR(H134,0))/IFERROR(IF(COUNTIF(J134:U134,"x")=0,COUNTA(Besatzung!$B$11:$B$22),COUNTIF(J134:U134,"x")),1)+IF(COUNTIF(J134:U134,"x")=0,(Besatzung!$F$20="x"),(S134="x")*(Besatzung!$F$20="x"))*IFERROR(H134,0)/IFERROR(IF(COUNTIF(J134:U134,"x")=0,SUMPRODUCT((Besatzung!$B$11:$B$22&lt;&gt;"")*(Besatzung!$F$11:$F$22="x")),SUMPRODUCT((J134:U134="x")*(Besatzung!$F$11:$F$22="x"))),1))))),0))))</f>
        <v/>
      </c>
      <c r="AF134" s="247">
        <f>IF(C134="Gutschrift","",IF(G134="","",IF(Besatzung!$B$21="","",IFERROR(IF(I134="Zeitanteilig",(Besatzung!$G$21*(G134-IFERROR(H134,0))+((Besatzung!$B$21&lt;&gt;"")*IF(B134="",1,(IF(Besatzung!$C$21="",Besatzung!$B$5,Besatzung!$C$21)&lt;=B134)*(IF(Besatzung!$D$21="",Besatzung!$B$6,Besatzung!$D$21)&gt;=B134)))*(Besatzung!$F$21="x")*IFERROR(H134,0)/IFERROR(SUMPRODUCT((Besatzung!$B$11:$B$22&lt;&gt;"")*(Besatzung!$F$11:$F$22="x")*(IF(Besatzung!$C$11:$C$22="",Besatzung!$B$5,Besatzung!$C$11:$C$22)&lt;=B134)*(IF(Besatzung!$D$11:$D$22="",Besatzung!$B$6,Besatzung!$D$11:$D$22)&gt;=B134)),1)),IF(I134="An Bord",(((Besatzung!$B$21&lt;&gt;"")*IF(B134="",1,(IF(Besatzung!$C$21="",Besatzung!$B$5,Besatzung!$C$21)&lt;=B134)*(IF(Besatzung!$D$21="",Besatzung!$B$6,Besatzung!$D$21)&gt;=B134)))*((G134-IFERROR(H134,0))/IFERROR(SUMPRODUCT((Besatzung!$B$11:$B$22&lt;&gt;"")*(IF(Besatzung!$C$11:$C$22="",Besatzung!$B$5,Besatzung!$C$11:$C$22)&lt;=B134)*(IF(Besatzung!$D$11:$D$22="",Besatzung!$B$6,Besatzung!$D$11:$D$22)&gt;=B134)),1)+(Besatzung!$F$21="x")*IFERROR(H134,0)/IFERROR(SUMPRODUCT((Besatzung!$B$11:$B$22&lt;&gt;"")*(Besatzung!$F$11:$F$22="x")*(IF(Besatzung!$C$11:$C$22="",Besatzung!$B$5,Besatzung!$C$11:$C$22)&lt;=B134)*(IF(Besatzung!$D$11:$D$22="",Besatzung!$B$6,Besatzung!$D$11:$D$22)&gt;=B134)),1))),IF(I134="Individuell",((T134="x")*((G134-IFERROR(H134,0))/IFERROR(COUNTIF(J134:U134,"x"),1)+(Besatzung!$F$21="x")*IFERROR(H134,0)/IFERROR(SUMPRODUCT((J134:U134="x")*(Besatzung!$F$11:$F$22="x")),1))),(IF(COUNTIF(J134:U134,"x")=0,IF(Besatzung!$B$21&lt;&gt;"",1,0),(T134="x"))*(G134-IFERROR(H134,0))/IFERROR(IF(COUNTIF(J134:U134,"x")=0,COUNTA(Besatzung!$B$11:$B$22),COUNTIF(J134:U134,"x")),1)+IF(COUNTIF(J134:U134,"x")=0,(Besatzung!$F$21="x"),(T134="x")*(Besatzung!$F$21="x"))*IFERROR(H134,0)/IFERROR(IF(COUNTIF(J134:U134,"x")=0,SUMPRODUCT((Besatzung!$B$11:$B$22&lt;&gt;"")*(Besatzung!$F$11:$F$22="x")),SUMPRODUCT((J134:U134="x")*(Besatzung!$F$11:$F$22="x"))),1))))),0))))</f>
        <v/>
      </c>
      <c r="AG134" s="247">
        <f>IF(C134="Gutschrift","",IF(G134="","",IF(Besatzung!$B$22="","",IFERROR(IF(I134="Zeitanteilig",(Besatzung!$G$22*(G134-IFERROR(H134,0))+((Besatzung!$B$22&lt;&gt;"")*IF(B134="",1,(IF(Besatzung!$C$22="",Besatzung!$B$5,Besatzung!$C$22)&lt;=B134)*(IF(Besatzung!$D$22="",Besatzung!$B$6,Besatzung!$D$22)&gt;=B134)))*(Besatzung!$F$22="x")*IFERROR(H134,0)/IFERROR(SUMPRODUCT((Besatzung!$B$11:$B$22&lt;&gt;"")*(Besatzung!$F$11:$F$22="x")*(IF(Besatzung!$C$11:$C$22="",Besatzung!$B$5,Besatzung!$C$11:$C$22)&lt;=B134)*(IF(Besatzung!$D$11:$D$22="",Besatzung!$B$6,Besatzung!$D$11:$D$22)&gt;=B134)),1)),IF(I134="An Bord",(((Besatzung!$B$22&lt;&gt;"")*IF(B134="",1,(IF(Besatzung!$C$22="",Besatzung!$B$5,Besatzung!$C$22)&lt;=B134)*(IF(Besatzung!$D$22="",Besatzung!$B$6,Besatzung!$D$22)&gt;=B134)))*((G134-IFERROR(H134,0))/IFERROR(SUMPRODUCT((Besatzung!$B$11:$B$22&lt;&gt;"")*(IF(Besatzung!$C$11:$C$22="",Besatzung!$B$5,Besatzung!$C$11:$C$22)&lt;=B134)*(IF(Besatzung!$D$11:$D$22="",Besatzung!$B$6,Besatzung!$D$11:$D$22)&gt;=B134)),1)+(Besatzung!$F$22="x")*IFERROR(H134,0)/IFERROR(SUMPRODUCT((Besatzung!$B$11:$B$22&lt;&gt;"")*(Besatzung!$F$11:$F$22="x")*(IF(Besatzung!$C$11:$C$22="",Besatzung!$B$5,Besatzung!$C$11:$C$22)&lt;=B134)*(IF(Besatzung!$D$11:$D$22="",Besatzung!$B$6,Besatzung!$D$11:$D$22)&gt;=B134)),1))),IF(I134="Individuell",((U134="x")*((G134-IFERROR(H134,0))/IFERROR(COUNTIF(J134:U134,"x"),1)+(Besatzung!$F$22="x")*IFERROR(H134,0)/IFERROR(SUMPRODUCT((J134:U134="x")*(Besatzung!$F$11:$F$22="x")),1))),(IF(COUNTIF(J134:U134,"x")=0,IF(Besatzung!$B$22&lt;&gt;"",1,0),(U134="x"))*(G134-IFERROR(H134,0))/IFERROR(IF(COUNTIF(J134:U134,"x")=0,COUNTA(Besatzung!$B$11:$B$22),COUNTIF(J134:U134,"x")),1)+IF(COUNTIF(J134:U134,"x")=0,(Besatzung!$F$22="x"),(U134="x")*(Besatzung!$F$22="x"))*IFERROR(H134,0)/IFERROR(IF(COUNTIF(J134:U134,"x")=0,SUMPRODUCT((Besatzung!$B$11:$B$22&lt;&gt;"")*(Besatzung!$F$11:$F$22="x")),SUMPRODUCT((J134:U134="x")*(Besatzung!$F$11:$F$22="x"))),1))))),0))))</f>
        <v/>
      </c>
      <c r="AH134" s="248" t="n"/>
      <c r="AI134" s="248" t="n"/>
    </row>
    <row r="135" ht="21.75" customHeight="1" s="154">
      <c r="A135" s="238">
        <f>IF(AND(D135="",C135=""),"",132)</f>
        <v/>
      </c>
      <c r="B135" s="206" t="n"/>
      <c r="C135" s="249" t="n"/>
      <c r="D135" s="250" t="n"/>
      <c r="E135" s="251" t="n"/>
      <c r="F135" s="252" t="n"/>
      <c r="G135" s="253" t="n"/>
      <c r="H135" s="254" t="n"/>
      <c r="I135" s="255" t="n"/>
      <c r="J135" s="256" t="n"/>
      <c r="K135" s="256" t="n"/>
      <c r="L135" s="256" t="n"/>
      <c r="M135" s="256" t="n"/>
      <c r="N135" s="256" t="n"/>
      <c r="O135" s="256" t="n"/>
      <c r="P135" s="256" t="n"/>
      <c r="Q135" s="256" t="n"/>
      <c r="R135" s="256" t="n"/>
      <c r="S135" s="256" t="n"/>
      <c r="T135" s="256" t="n"/>
      <c r="U135" s="256" t="n"/>
      <c r="V135" s="247">
        <f>IF(C135="Gutschrift","",IF(G135="","",IF(Besatzung!$B$11="","",IFERROR(IF(I135="Zeitanteilig",(Besatzung!$G$11*(G135-IFERROR(H135,0))+((Besatzung!$B$11&lt;&gt;"")*IF(B135="",1,(IF(Besatzung!$C$11="",Besatzung!$B$5,Besatzung!$C$11)&lt;=B135)*(IF(Besatzung!$D$11="",Besatzung!$B$6,Besatzung!$D$11)&gt;=B135)))*(Besatzung!$F$11="x")*IFERROR(H135,0)/IFERROR(SUMPRODUCT((Besatzung!$B$11:$B$22&lt;&gt;"")*(Besatzung!$F$11:$F$22="x")*(IF(Besatzung!$C$11:$C$22="",Besatzung!$B$5,Besatzung!$C$11:$C$22)&lt;=B135)*(IF(Besatzung!$D$11:$D$22="",Besatzung!$B$6,Besatzung!$D$11:$D$22)&gt;=B135)),1)),IF(I135="An Bord",(((Besatzung!$B$11&lt;&gt;"")*IF(B135="",1,(IF(Besatzung!$C$11="",Besatzung!$B$5,Besatzung!$C$11)&lt;=B135)*(IF(Besatzung!$D$11="",Besatzung!$B$6,Besatzung!$D$11)&gt;=B135)))*((G135-IFERROR(H135,0))/IFERROR(SUMPRODUCT((Besatzung!$B$11:$B$22&lt;&gt;"")*(IF(Besatzung!$C$11:$C$22="",Besatzung!$B$5,Besatzung!$C$11:$C$22)&lt;=B135)*(IF(Besatzung!$D$11:$D$22="",Besatzung!$B$6,Besatzung!$D$11:$D$22)&gt;=B135)),1)+(Besatzung!$F$11="x")*IFERROR(H135,0)/IFERROR(SUMPRODUCT((Besatzung!$B$11:$B$22&lt;&gt;"")*(Besatzung!$F$11:$F$22="x")*(IF(Besatzung!$C$11:$C$22="",Besatzung!$B$5,Besatzung!$C$11:$C$22)&lt;=B135)*(IF(Besatzung!$D$11:$D$22="",Besatzung!$B$6,Besatzung!$D$11:$D$22)&gt;=B135)),1))),IF(I135="Individuell",((J135="x")*((G135-IFERROR(H135,0))/IFERROR(COUNTIF(J135:U135,"x"),1)+(Besatzung!$F$11="x")*IFERROR(H135,0)/IFERROR(SUMPRODUCT((J135:U135="x")*(Besatzung!$F$11:$F$22="x")),1))),(IF(COUNTIF(J135:U135,"x")=0,IF(Besatzung!$B$11&lt;&gt;"",1,0),(J135="x"))*(G135-IFERROR(H135,0))/IFERROR(IF(COUNTIF(J135:U135,"x")=0,COUNTA(Besatzung!$B$11:$B$22),COUNTIF(J135:U135,"x")),1)+IF(COUNTIF(J135:U135,"x")=0,(Besatzung!$F$11="x"),(J135="x")*(Besatzung!$F$11="x"))*IFERROR(H135,0)/IFERROR(IF(COUNTIF(J135:U135,"x")=0,SUMPRODUCT((Besatzung!$B$11:$B$22&lt;&gt;"")*(Besatzung!$F$11:$F$22="x")),SUMPRODUCT((J135:U135="x")*(Besatzung!$F$11:$F$22="x"))),1))))),0))))</f>
        <v/>
      </c>
      <c r="W135" s="247">
        <f>IF(C135="Gutschrift","",IF(G135="","",IF(Besatzung!$B$12="","",IFERROR(IF(I135="Zeitanteilig",(Besatzung!$G$12*(G135-IFERROR(H135,0))+((Besatzung!$B$12&lt;&gt;"")*IF(B135="",1,(IF(Besatzung!$C$12="",Besatzung!$B$5,Besatzung!$C$12)&lt;=B135)*(IF(Besatzung!$D$12="",Besatzung!$B$6,Besatzung!$D$12)&gt;=B135)))*(Besatzung!$F$12="x")*IFERROR(H135,0)/IFERROR(SUMPRODUCT((Besatzung!$B$11:$B$22&lt;&gt;"")*(Besatzung!$F$11:$F$22="x")*(IF(Besatzung!$C$11:$C$22="",Besatzung!$B$5,Besatzung!$C$11:$C$22)&lt;=B135)*(IF(Besatzung!$D$11:$D$22="",Besatzung!$B$6,Besatzung!$D$11:$D$22)&gt;=B135)),1)),IF(I135="An Bord",(((Besatzung!$B$12&lt;&gt;"")*IF(B135="",1,(IF(Besatzung!$C$12="",Besatzung!$B$5,Besatzung!$C$12)&lt;=B135)*(IF(Besatzung!$D$12="",Besatzung!$B$6,Besatzung!$D$12)&gt;=B135)))*((G135-IFERROR(H135,0))/IFERROR(SUMPRODUCT((Besatzung!$B$11:$B$22&lt;&gt;"")*(IF(Besatzung!$C$11:$C$22="",Besatzung!$B$5,Besatzung!$C$11:$C$22)&lt;=B135)*(IF(Besatzung!$D$11:$D$22="",Besatzung!$B$6,Besatzung!$D$11:$D$22)&gt;=B135)),1)+(Besatzung!$F$12="x")*IFERROR(H135,0)/IFERROR(SUMPRODUCT((Besatzung!$B$11:$B$22&lt;&gt;"")*(Besatzung!$F$11:$F$22="x")*(IF(Besatzung!$C$11:$C$22="",Besatzung!$B$5,Besatzung!$C$11:$C$22)&lt;=B135)*(IF(Besatzung!$D$11:$D$22="",Besatzung!$B$6,Besatzung!$D$11:$D$22)&gt;=B135)),1))),IF(I135="Individuell",((K135="x")*((G135-IFERROR(H135,0))/IFERROR(COUNTIF(J135:U135,"x"),1)+(Besatzung!$F$12="x")*IFERROR(H135,0)/IFERROR(SUMPRODUCT((J135:U135="x")*(Besatzung!$F$11:$F$22="x")),1))),(IF(COUNTIF(J135:U135,"x")=0,IF(Besatzung!$B$12&lt;&gt;"",1,0),(K135="x"))*(G135-IFERROR(H135,0))/IFERROR(IF(COUNTIF(J135:U135,"x")=0,COUNTA(Besatzung!$B$11:$B$22),COUNTIF(J135:U135,"x")),1)+IF(COUNTIF(J135:U135,"x")=0,(Besatzung!$F$12="x"),(K135="x")*(Besatzung!$F$12="x"))*IFERROR(H135,0)/IFERROR(IF(COUNTIF(J135:U135,"x")=0,SUMPRODUCT((Besatzung!$B$11:$B$22&lt;&gt;"")*(Besatzung!$F$11:$F$22="x")),SUMPRODUCT((J135:U135="x")*(Besatzung!$F$11:$F$22="x"))),1))))),0))))</f>
        <v/>
      </c>
      <c r="X135" s="247">
        <f>IF(C135="Gutschrift","",IF(G135="","",IF(Besatzung!$B$13="","",IFERROR(IF(I135="Zeitanteilig",(Besatzung!$G$13*(G135-IFERROR(H135,0))+((Besatzung!$B$13&lt;&gt;"")*IF(B135="",1,(IF(Besatzung!$C$13="",Besatzung!$B$5,Besatzung!$C$13)&lt;=B135)*(IF(Besatzung!$D$13="",Besatzung!$B$6,Besatzung!$D$13)&gt;=B135)))*(Besatzung!$F$13="x")*IFERROR(H135,0)/IFERROR(SUMPRODUCT((Besatzung!$B$11:$B$22&lt;&gt;"")*(Besatzung!$F$11:$F$22="x")*(IF(Besatzung!$C$11:$C$22="",Besatzung!$B$5,Besatzung!$C$11:$C$22)&lt;=B135)*(IF(Besatzung!$D$11:$D$22="",Besatzung!$B$6,Besatzung!$D$11:$D$22)&gt;=B135)),1)),IF(I135="An Bord",(((Besatzung!$B$13&lt;&gt;"")*IF(B135="",1,(IF(Besatzung!$C$13="",Besatzung!$B$5,Besatzung!$C$13)&lt;=B135)*(IF(Besatzung!$D$13="",Besatzung!$B$6,Besatzung!$D$13)&gt;=B135)))*((G135-IFERROR(H135,0))/IFERROR(SUMPRODUCT((Besatzung!$B$11:$B$22&lt;&gt;"")*(IF(Besatzung!$C$11:$C$22="",Besatzung!$B$5,Besatzung!$C$11:$C$22)&lt;=B135)*(IF(Besatzung!$D$11:$D$22="",Besatzung!$B$6,Besatzung!$D$11:$D$22)&gt;=B135)),1)+(Besatzung!$F$13="x")*IFERROR(H135,0)/IFERROR(SUMPRODUCT((Besatzung!$B$11:$B$22&lt;&gt;"")*(Besatzung!$F$11:$F$22="x")*(IF(Besatzung!$C$11:$C$22="",Besatzung!$B$5,Besatzung!$C$11:$C$22)&lt;=B135)*(IF(Besatzung!$D$11:$D$22="",Besatzung!$B$6,Besatzung!$D$11:$D$22)&gt;=B135)),1))),IF(I135="Individuell",((K135="x")*((G135-IFERROR(H135,0))/IFERROR(COUNTIF(J135:U135,"x"),1)+(Besatzung!$F$13="x")*IFERROR(H135,0)/IFERROR(SUMPRODUCT((J135:U135="x")*(Besatzung!$F$11:$F$22="x")),1))),(IF(COUNTIF(J135:U135,"x")=0,IF(Besatzung!$B$13&lt;&gt;"",1,0),(K135="x"))*(G135-IFERROR(H135,0))/IFERROR(IF(COUNTIF(J135:U135,"x")=0,COUNTA(Besatzung!$B$11:$B$22),COUNTIF(J135:U135,"x")),1)+IF(COUNTIF(J135:U135,"x")=0,(Besatzung!$F$13="x"),(K135="x")*(Besatzung!$F$13="x"))*IFERROR(H135,0)/IFERROR(IF(COUNTIF(J135:U135,"x")=0,SUMPRODUCT((Besatzung!$B$11:$B$22&lt;&gt;"")*(Besatzung!$F$11:$F$22="x")),SUMPRODUCT((J135:U135="x")*(Besatzung!$F$11:$F$22="x"))),1))))),0))))</f>
        <v/>
      </c>
      <c r="Y135" s="247">
        <f>IF(C135="Gutschrift","",IF(G135="","",IF(Besatzung!$B$14="","",IFERROR(IF(I135="Zeitanteilig",(Besatzung!$G$14*(G135-IFERROR(H135,0))+((Besatzung!$B$14&lt;&gt;"")*IF(B135="",1,(IF(Besatzung!$C$14="",Besatzung!$B$5,Besatzung!$C$14)&lt;=B135)*(IF(Besatzung!$D$14="",Besatzung!$B$6,Besatzung!$D$14)&gt;=B135)))*(Besatzung!$F$14="x")*IFERROR(H135,0)/IFERROR(SUMPRODUCT((Besatzung!$B$11:$B$22&lt;&gt;"")*(Besatzung!$F$11:$F$22="x")*(IF(Besatzung!$C$11:$C$22="",Besatzung!$B$5,Besatzung!$C$11:$C$22)&lt;=B135)*(IF(Besatzung!$D$11:$D$22="",Besatzung!$B$6,Besatzung!$D$11:$D$22)&gt;=B135)),1)),IF(I135="An Bord",(((Besatzung!$B$14&lt;&gt;"")*IF(B135="",1,(IF(Besatzung!$C$14="",Besatzung!$B$5,Besatzung!$C$14)&lt;=B135)*(IF(Besatzung!$D$14="",Besatzung!$B$6,Besatzung!$D$14)&gt;=B135)))*((G135-IFERROR(H135,0))/IFERROR(SUMPRODUCT((Besatzung!$B$11:$B$22&lt;&gt;"")*(IF(Besatzung!$C$11:$C$22="",Besatzung!$B$5,Besatzung!$C$11:$C$22)&lt;=B135)*(IF(Besatzung!$D$11:$D$22="",Besatzung!$B$6,Besatzung!$D$11:$D$22)&gt;=B135)),1)+(Besatzung!$F$14="x")*IFERROR(H135,0)/IFERROR(SUMPRODUCT((Besatzung!$B$11:$B$22&lt;&gt;"")*(Besatzung!$F$11:$F$22="x")*(IF(Besatzung!$C$11:$C$22="",Besatzung!$B$5,Besatzung!$C$11:$C$22)&lt;=B135)*(IF(Besatzung!$D$11:$D$22="",Besatzung!$B$6,Besatzung!$D$11:$D$22)&gt;=B135)),1))),IF(I135="Individuell",((M135="x")*((G135-IFERROR(H135,0))/IFERROR(COUNTIF(J135:U135,"x"),1)+(Besatzung!$F$14="x")*IFERROR(H135,0)/IFERROR(SUMPRODUCT((J135:U135="x")*(Besatzung!$F$11:$F$22="x")),1))),(IF(COUNTIF(J135:U135,"x")=0,IF(Besatzung!$B$14&lt;&gt;"",1,0),(M135="x"))*(G135-IFERROR(H135,0))/IFERROR(IF(COUNTIF(J135:U135,"x")=0,COUNTA(Besatzung!$B$11:$B$22),COUNTIF(J135:U135,"x")),1)+IF(COUNTIF(J135:U135,"x")=0,(Besatzung!$F$14="x"),(M135="x")*(Besatzung!$F$14="x"))*IFERROR(H135,0)/IFERROR(IF(COUNTIF(J135:U135,"x")=0,SUMPRODUCT((Besatzung!$B$11:$B$22&lt;&gt;"")*(Besatzung!$F$11:$F$22="x")),SUMPRODUCT((J135:U135="x")*(Besatzung!$F$11:$F$22="x"))),1))))),0))))</f>
        <v/>
      </c>
      <c r="Z135" s="247">
        <f>IF(C135="Gutschrift","",IF(G135="","",IF(Besatzung!$B$13="","",IFERROR(IF(I135="Zeitanteilig",(Besatzung!$G$15*(G135-IFERROR(H135,0))+((Besatzung!$B$13&lt;&gt;"")*IF(B135="",1,(IF(Besatzung!$C$15="",Besatzung!$B$5,Besatzung!$C$15)&lt;=B135)*(IF(Besatzung!$D$15="",Besatzung!$B$6,Besatzung!$D$15)&gt;=B135)))*(Besatzung!$F$15="x")*IFERROR(H135,0)/IFERROR(SUMPRODUCT((Besatzung!$B$11:$B$22&lt;&gt;"")*(Besatzung!$F$11:$F$22="x")*(IF(Besatzung!$C$11:$C$22="",Besatzung!$B$5,Besatzung!$C$11:$C$22)&lt;=B135)*(IF(Besatzung!$D$11:$D$22="",Besatzung!$B$6,Besatzung!$D$11:$D$22)&gt;=B135)),1)),IF(I135="An Bord",(((Besatzung!$B$13&lt;&gt;"")*IF(B135="",1,(IF(Besatzung!$C$15="",Besatzung!$B$5,Besatzung!$C$15)&lt;=B135)*(IF(Besatzung!$D$15="",Besatzung!$B$6,Besatzung!$D$15)&gt;=B135)))*((G135-IFERROR(H135,0))/IFERROR(SUMPRODUCT((Besatzung!$B$11:$B$22&lt;&gt;"")*(IF(Besatzung!$C$11:$C$22="",Besatzung!$B$5,Besatzung!$C$11:$C$22)&lt;=B135)*(IF(Besatzung!$D$11:$D$22="",Besatzung!$B$6,Besatzung!$D$11:$D$22)&gt;=B135)),1)+(Besatzung!$F$15="x")*IFERROR(H135,0)/IFERROR(SUMPRODUCT((Besatzung!$B$11:$B$22&lt;&gt;"")*(Besatzung!$F$11:$F$22="x")*(IF(Besatzung!$C$11:$C$22="",Besatzung!$B$5,Besatzung!$C$11:$C$22)&lt;=B135)*(IF(Besatzung!$D$11:$D$22="",Besatzung!$B$6,Besatzung!$D$11:$D$22)&gt;=B135)),1))),IF(I135="Individuell",((N135="x")*((G135-IFERROR(H135,0))/IFERROR(COUNTIF(J135:U135,"x"),1)+(Besatzung!$F$15="x")*IFERROR(H135,0)/IFERROR(SUMPRODUCT((J135:U135="x")*(Besatzung!$F$11:$F$22="x")),1))),(IF(COUNTIF(J135:U135,"x")=0,IF(Besatzung!$B$13&lt;&gt;"",1,0),(N135="x"))*(G135-IFERROR(H135,0))/IFERROR(IF(COUNTIF(J135:U135,"x")=0,COUNTA(Besatzung!$B$11:$B$22),COUNTIF(J135:U135,"x")),1)+IF(COUNTIF(J135:U135,"x")=0,(Besatzung!$F$15="x"),(N135="x")*(Besatzung!$F$15="x"))*IFERROR(H135,0)/IFERROR(IF(COUNTIF(J135:U135,"x")=0,SUMPRODUCT((Besatzung!$B$11:$B$22&lt;&gt;"")*(Besatzung!$F$11:$F$22="x")),SUMPRODUCT((J135:U135="x")*(Besatzung!$F$11:$F$22="x"))),1))))),0))))</f>
        <v/>
      </c>
      <c r="AA135" s="247">
        <f>IF(C135="Gutschrift","",IF(G135="","",IF(Besatzung!$B$15="","",IFERROR(IF(I135="Zeitanteilig",(Besatzung!$G$16*(G135-IFERROR(H135,0))+((Besatzung!$B$15&lt;&gt;"")*IF(B135="",1,(IF(Besatzung!$C$16="",Besatzung!$B$5,Besatzung!$C$16)&lt;=B135)*(IF(Besatzung!$D$16="",Besatzung!$B$6,Besatzung!$D$16)&gt;=B135)))*(Besatzung!$F$16="x")*IFERROR(H135,0)/IFERROR(SUMPRODUCT((Besatzung!$B$11:$B$22&lt;&gt;"")*(Besatzung!$F$11:$F$22="x")*(IF(Besatzung!$C$11:$C$22="",Besatzung!$B$5,Besatzung!$C$11:$C$22)&lt;=B135)*(IF(Besatzung!$D$11:$D$22="",Besatzung!$B$6,Besatzung!$D$11:$D$22)&gt;=B135)),1)),IF(I135="An Bord",(((Besatzung!$B$15&lt;&gt;"")*IF(B135="",1,(IF(Besatzung!$C$16="",Besatzung!$B$5,Besatzung!$C$16)&lt;=B135)*(IF(Besatzung!$D$16="",Besatzung!$B$6,Besatzung!$D$16)&gt;=B135)))*((G135-IFERROR(H135,0))/IFERROR(SUMPRODUCT((Besatzung!$B$11:$B$22&lt;&gt;"")*(IF(Besatzung!$C$11:$C$22="",Besatzung!$B$5,Besatzung!$C$11:$C$22)&lt;=B135)*(IF(Besatzung!$D$11:$D$22="",Besatzung!$B$6,Besatzung!$D$11:$D$22)&gt;=B135)),1)+(Besatzung!$F$16="x")*IFERROR(H135,0)/IFERROR(SUMPRODUCT((Besatzung!$B$11:$B$22&lt;&gt;"")*(Besatzung!$F$11:$F$22="x")*(IF(Besatzung!$C$11:$C$22="",Besatzung!$B$5,Besatzung!$C$11:$C$22)&lt;=B135)*(IF(Besatzung!$D$11:$D$22="",Besatzung!$B$6,Besatzung!$D$11:$D$22)&gt;=B135)),1))),IF(I135="Individuell",((O135="x")*((G135-IFERROR(H135,0))/IFERROR(COUNTIF(J135:U135,"x"),1)+(Besatzung!$F$16="x")*IFERROR(H135,0)/IFERROR(SUMPRODUCT((J135:U135="x")*(Besatzung!$F$11:$F$22="x")),1))),(IF(COUNTIF(J135:U135,"x")=0,IF(Besatzung!$B$15&lt;&gt;"",1,0),(O135="x"))*(G135-IFERROR(H135,0))/IFERROR(IF(COUNTIF(J135:U135,"x")=0,COUNTA(Besatzung!$B$11:$B$22),COUNTIF(J135:U135,"x")),1)+IF(COUNTIF(J135:U135,"x")=0,(Besatzung!$F$16="x"),(O135="x")*(Besatzung!$F$16="x"))*IFERROR(H135,0)/IFERROR(IF(COUNTIF(J135:U135,"x")=0,SUMPRODUCT((Besatzung!$B$11:$B$22&lt;&gt;"")*(Besatzung!$F$11:$F$22="x")),SUMPRODUCT((J135:U135="x")*(Besatzung!$F$11:$F$22="x"))),1))))),0))))</f>
        <v/>
      </c>
      <c r="AB135" s="247">
        <f>IF(C135="Gutschrift","",IF(G135="","",IF(Besatzung!$B$17="","",IFERROR(IF(I135="Zeitanteilig",(Besatzung!$G$17*(G135-IFERROR(H135,0))+((Besatzung!$B$17&lt;&gt;"")*IF(B135="",1,(IF(Besatzung!$C$17="",Besatzung!$B$5,Besatzung!$C$17)&lt;=B135)*(IF(Besatzung!$D$17="",Besatzung!$B$6,Besatzung!$D$17)&gt;=B135)))*(Besatzung!$F$17="x")*IFERROR(H135,0)/IFERROR(SUMPRODUCT((Besatzung!$B$11:$B$22&lt;&gt;"")*(Besatzung!$F$11:$F$22="x")*(IF(Besatzung!$C$11:$C$22="",Besatzung!$B$5,Besatzung!$C$11:$C$22)&lt;=B135)*(IF(Besatzung!$D$11:$D$22="",Besatzung!$B$6,Besatzung!$D$11:$D$22)&gt;=B135)),1)),IF(I135="An Bord",(((Besatzung!$B$17&lt;&gt;"")*IF(B135="",1,(IF(Besatzung!$C$17="",Besatzung!$B$5,Besatzung!$C$17)&lt;=B135)*(IF(Besatzung!$D$17="",Besatzung!$B$6,Besatzung!$D$17)&gt;=B135)))*((G135-IFERROR(H135,0))/IFERROR(SUMPRODUCT((Besatzung!$B$11:$B$22&lt;&gt;"")*(IF(Besatzung!$C$11:$C$22="",Besatzung!$B$5,Besatzung!$C$11:$C$22)&lt;=B135)*(IF(Besatzung!$D$11:$D$22="",Besatzung!$B$6,Besatzung!$D$11:$D$22)&gt;=B135)),1)+(Besatzung!$F$17="x")*IFERROR(H135,0)/IFERROR(SUMPRODUCT((Besatzung!$B$11:$B$22&lt;&gt;"")*(Besatzung!$F$11:$F$22="x")*(IF(Besatzung!$C$11:$C$22="",Besatzung!$B$5,Besatzung!$C$11:$C$22)&lt;=B135)*(IF(Besatzung!$D$11:$D$22="",Besatzung!$B$6,Besatzung!$D$11:$D$22)&gt;=B135)),1))),IF(I135="Individuell",((P135="x")*((G135-IFERROR(H135,0))/IFERROR(COUNTIF(J135:U135,"x"),1)+(Besatzung!$F$17="x")*IFERROR(H135,0)/IFERROR(SUMPRODUCT((J135:U135="x")*(Besatzung!$F$11:$F$22="x")),1))),(IF(COUNTIF(J135:U135,"x")=0,IF(Besatzung!$B$17&lt;&gt;"",1,0),(P135="x"))*(G135-IFERROR(H135,0))/IFERROR(IF(COUNTIF(J135:U135,"x")=0,COUNTA(Besatzung!$B$11:$B$22),COUNTIF(J135:U135,"x")),1)+IF(COUNTIF(J135:U135,"x")=0,(Besatzung!$F$17="x"),(P135="x")*(Besatzung!$F$17="x"))*IFERROR(H135,0)/IFERROR(IF(COUNTIF(J135:U135,"x")=0,SUMPRODUCT((Besatzung!$B$11:$B$22&lt;&gt;"")*(Besatzung!$F$11:$F$22="x")),SUMPRODUCT((J135:U135="x")*(Besatzung!$F$11:$F$22="x"))),1))))),0))))</f>
        <v/>
      </c>
      <c r="AC135" s="247">
        <f>IF(C135="Gutschrift","",IF(G135="","",IF(Besatzung!$B$18="","",IFERROR(IF(I135="Zeitanteilig",(Besatzung!$G$18*(G135-IFERROR(H135,0))+((Besatzung!$B$18&lt;&gt;"")*IF(B135="",1,(IF(Besatzung!$C$18="",Besatzung!$B$5,Besatzung!$C$18)&lt;=B135)*(IF(Besatzung!$D$18="",Besatzung!$B$6,Besatzung!$D$18)&gt;=B135)))*(Besatzung!$F$18="x")*IFERROR(H135,0)/IFERROR(SUMPRODUCT((Besatzung!$B$11:$B$22&lt;&gt;"")*(Besatzung!$F$11:$F$22="x")*(IF(Besatzung!$C$11:$C$22="",Besatzung!$B$5,Besatzung!$C$11:$C$22)&lt;=B135)*(IF(Besatzung!$D$11:$D$22="",Besatzung!$B$6,Besatzung!$D$11:$D$22)&gt;=B135)),1)),IF(I135="An Bord",(((Besatzung!$B$18&lt;&gt;"")*IF(B135="",1,(IF(Besatzung!$C$18="",Besatzung!$B$5,Besatzung!$C$18)&lt;=B135)*(IF(Besatzung!$D$18="",Besatzung!$B$6,Besatzung!$D$18)&gt;=B135)))*((G135-IFERROR(H135,0))/IFERROR(SUMPRODUCT((Besatzung!$B$11:$B$22&lt;&gt;"")*(IF(Besatzung!$C$11:$C$22="",Besatzung!$B$5,Besatzung!$C$11:$C$22)&lt;=B135)*(IF(Besatzung!$D$11:$D$22="",Besatzung!$B$6,Besatzung!$D$11:$D$22)&gt;=B135)),1)+(Besatzung!$F$18="x")*IFERROR(H135,0)/IFERROR(SUMPRODUCT((Besatzung!$B$11:$B$22&lt;&gt;"")*(Besatzung!$F$11:$F$22="x")*(IF(Besatzung!$C$11:$C$22="",Besatzung!$B$5,Besatzung!$C$11:$C$22)&lt;=B135)*(IF(Besatzung!$D$11:$D$22="",Besatzung!$B$6,Besatzung!$D$11:$D$22)&gt;=B135)),1))),IF(I135="Individuell",((Q135="x")*((G135-IFERROR(H135,0))/IFERROR(COUNTIF(J135:U135,"x"),1)+(Besatzung!$F$18="x")*IFERROR(H135,0)/IFERROR(SUMPRODUCT((J135:U135="x")*(Besatzung!$F$11:$F$22="x")),1))),(IF(COUNTIF(J135:U135,"x")=0,IF(Besatzung!$B$18&lt;&gt;"",1,0),(Q135="x"))*(G135-IFERROR(H135,0))/IFERROR(IF(COUNTIF(J135:U135,"x")=0,COUNTA(Besatzung!$B$11:$B$22),COUNTIF(J135:U135,"x")),1)+IF(COUNTIF(J135:U135,"x")=0,(Besatzung!$F$18="x"),(Q135="x")*(Besatzung!$F$18="x"))*IFERROR(H135,0)/IFERROR(IF(COUNTIF(J135:U135,"x")=0,SUMPRODUCT((Besatzung!$B$11:$B$22&lt;&gt;"")*(Besatzung!$F$11:$F$22="x")),SUMPRODUCT((J135:U135="x")*(Besatzung!$F$11:$F$22="x"))),1))))),0))))</f>
        <v/>
      </c>
      <c r="AD135" s="247">
        <f>IF(C135="Gutschrift","",IF(G135="","",IF(Besatzung!$B$19="","",IFERROR(IF(I135="Zeitanteilig",(Besatzung!$G$19*(G135-IFERROR(H135,0))+((Besatzung!$B$19&lt;&gt;"")*IF(B135="",1,(IF(Besatzung!$C$19="",Besatzung!$B$5,Besatzung!$C$19)&lt;=B135)*(IF(Besatzung!$D$19="",Besatzung!$B$6,Besatzung!$D$19)&gt;=B135)))*(Besatzung!$F$19="x")*IFERROR(H135,0)/IFERROR(SUMPRODUCT((Besatzung!$B$11:$B$22&lt;&gt;"")*(Besatzung!$F$11:$F$22="x")*(IF(Besatzung!$C$11:$C$22="",Besatzung!$B$5,Besatzung!$C$11:$C$22)&lt;=B135)*(IF(Besatzung!$D$11:$D$22="",Besatzung!$B$6,Besatzung!$D$11:$D$22)&gt;=B135)),1)),IF(I135="An Bord",(((Besatzung!$B$19&lt;&gt;"")*IF(B135="",1,(IF(Besatzung!$C$19="",Besatzung!$B$5,Besatzung!$C$19)&lt;=B135)*(IF(Besatzung!$D$19="",Besatzung!$B$6,Besatzung!$D$19)&gt;=B135)))*((G135-IFERROR(H135,0))/IFERROR(SUMPRODUCT((Besatzung!$B$11:$B$22&lt;&gt;"")*(IF(Besatzung!$C$11:$C$22="",Besatzung!$B$5,Besatzung!$C$11:$C$22)&lt;=B135)*(IF(Besatzung!$D$11:$D$22="",Besatzung!$B$6,Besatzung!$D$11:$D$22)&gt;=B135)),1)+(Besatzung!$F$19="x")*IFERROR(H135,0)/IFERROR(SUMPRODUCT((Besatzung!$B$11:$B$22&lt;&gt;"")*(Besatzung!$F$11:$F$22="x")*(IF(Besatzung!$C$11:$C$22="",Besatzung!$B$5,Besatzung!$C$11:$C$22)&lt;=B135)*(IF(Besatzung!$D$11:$D$22="",Besatzung!$B$6,Besatzung!$D$11:$D$22)&gt;=B135)),1))),IF(I135="Individuell",((R135="x")*((G135-IFERROR(H135,0))/IFERROR(COUNTIF(J135:U135,"x"),1)+(Besatzung!$F$19="x")*IFERROR(H135,0)/IFERROR(SUMPRODUCT((J135:U135="x")*(Besatzung!$F$11:$F$22="x")),1))),(IF(COUNTIF(J135:U135,"x")=0,IF(Besatzung!$B$19&lt;&gt;"",1,0),(R135="x"))*(G135-IFERROR(H135,0))/IFERROR(IF(COUNTIF(J135:U135,"x")=0,COUNTA(Besatzung!$B$11:$B$22),COUNTIF(J135:U135,"x")),1)+IF(COUNTIF(J135:U135,"x")=0,(Besatzung!$F$19="x"),(R135="x")*(Besatzung!$F$19="x"))*IFERROR(H135,0)/IFERROR(IF(COUNTIF(J135:U135,"x")=0,SUMPRODUCT((Besatzung!$B$11:$B$22&lt;&gt;"")*(Besatzung!$F$11:$F$22="x")),SUMPRODUCT((J135:U135="x")*(Besatzung!$F$11:$F$22="x"))),1))))),0))))</f>
        <v/>
      </c>
      <c r="AE135" s="247">
        <f>IF(C135="Gutschrift","",IF(G135="","",IF(Besatzung!$B$20="","",IFERROR(IF(I135="Zeitanteilig",(Besatzung!$G$20*(G135-IFERROR(H135,0))+((Besatzung!$B$20&lt;&gt;"")*IF(B135="",1,(IF(Besatzung!$C$20="",Besatzung!$B$5,Besatzung!$C$20)&lt;=B135)*(IF(Besatzung!$D$20="",Besatzung!$B$6,Besatzung!$D$20)&gt;=B135)))*(Besatzung!$F$20="x")*IFERROR(H135,0)/IFERROR(SUMPRODUCT((Besatzung!$B$11:$B$22&lt;&gt;"")*(Besatzung!$F$11:$F$22="x")*(IF(Besatzung!$C$11:$C$22="",Besatzung!$B$5,Besatzung!$C$11:$C$22)&lt;=B135)*(IF(Besatzung!$D$11:$D$22="",Besatzung!$B$6,Besatzung!$D$11:$D$22)&gt;=B135)),1)),IF(I135="An Bord",(((Besatzung!$B$20&lt;&gt;"")*IF(B135="",1,(IF(Besatzung!$C$20="",Besatzung!$B$5,Besatzung!$C$20)&lt;=B135)*(IF(Besatzung!$D$20="",Besatzung!$B$6,Besatzung!$D$20)&gt;=B135)))*((G135-IFERROR(H135,0))/IFERROR(SUMPRODUCT((Besatzung!$B$11:$B$22&lt;&gt;"")*(IF(Besatzung!$C$11:$C$22="",Besatzung!$B$5,Besatzung!$C$11:$C$22)&lt;=B135)*(IF(Besatzung!$D$11:$D$22="",Besatzung!$B$6,Besatzung!$D$11:$D$22)&gt;=B135)),1)+(Besatzung!$F$20="x")*IFERROR(H135,0)/IFERROR(SUMPRODUCT((Besatzung!$B$11:$B$22&lt;&gt;"")*(Besatzung!$F$11:$F$22="x")*(IF(Besatzung!$C$11:$C$22="",Besatzung!$B$5,Besatzung!$C$11:$C$22)&lt;=B135)*(IF(Besatzung!$D$11:$D$22="",Besatzung!$B$6,Besatzung!$D$11:$D$22)&gt;=B135)),1))),IF(I135="Individuell",((S135="x")*((G135-IFERROR(H135,0))/IFERROR(COUNTIF(J135:U135,"x"),1)+(Besatzung!$F$20="x")*IFERROR(H135,0)/IFERROR(SUMPRODUCT((J135:U135="x")*(Besatzung!$F$11:$F$22="x")),1))),(IF(COUNTIF(J135:U135,"x")=0,IF(Besatzung!$B$20&lt;&gt;"",1,0),(S135="x"))*(G135-IFERROR(H135,0))/IFERROR(IF(COUNTIF(J135:U135,"x")=0,COUNTA(Besatzung!$B$11:$B$22),COUNTIF(J135:U135,"x")),1)+IF(COUNTIF(J135:U135,"x")=0,(Besatzung!$F$20="x"),(S135="x")*(Besatzung!$F$20="x"))*IFERROR(H135,0)/IFERROR(IF(COUNTIF(J135:U135,"x")=0,SUMPRODUCT((Besatzung!$B$11:$B$22&lt;&gt;"")*(Besatzung!$F$11:$F$22="x")),SUMPRODUCT((J135:U135="x")*(Besatzung!$F$11:$F$22="x"))),1))))),0))))</f>
        <v/>
      </c>
      <c r="AF135" s="247">
        <f>IF(C135="Gutschrift","",IF(G135="","",IF(Besatzung!$B$21="","",IFERROR(IF(I135="Zeitanteilig",(Besatzung!$G$21*(G135-IFERROR(H135,0))+((Besatzung!$B$21&lt;&gt;"")*IF(B135="",1,(IF(Besatzung!$C$21="",Besatzung!$B$5,Besatzung!$C$21)&lt;=B135)*(IF(Besatzung!$D$21="",Besatzung!$B$6,Besatzung!$D$21)&gt;=B135)))*(Besatzung!$F$21="x")*IFERROR(H135,0)/IFERROR(SUMPRODUCT((Besatzung!$B$11:$B$22&lt;&gt;"")*(Besatzung!$F$11:$F$22="x")*(IF(Besatzung!$C$11:$C$22="",Besatzung!$B$5,Besatzung!$C$11:$C$22)&lt;=B135)*(IF(Besatzung!$D$11:$D$22="",Besatzung!$B$6,Besatzung!$D$11:$D$22)&gt;=B135)),1)),IF(I135="An Bord",(((Besatzung!$B$21&lt;&gt;"")*IF(B135="",1,(IF(Besatzung!$C$21="",Besatzung!$B$5,Besatzung!$C$21)&lt;=B135)*(IF(Besatzung!$D$21="",Besatzung!$B$6,Besatzung!$D$21)&gt;=B135)))*((G135-IFERROR(H135,0))/IFERROR(SUMPRODUCT((Besatzung!$B$11:$B$22&lt;&gt;"")*(IF(Besatzung!$C$11:$C$22="",Besatzung!$B$5,Besatzung!$C$11:$C$22)&lt;=B135)*(IF(Besatzung!$D$11:$D$22="",Besatzung!$B$6,Besatzung!$D$11:$D$22)&gt;=B135)),1)+(Besatzung!$F$21="x")*IFERROR(H135,0)/IFERROR(SUMPRODUCT((Besatzung!$B$11:$B$22&lt;&gt;"")*(Besatzung!$F$11:$F$22="x")*(IF(Besatzung!$C$11:$C$22="",Besatzung!$B$5,Besatzung!$C$11:$C$22)&lt;=B135)*(IF(Besatzung!$D$11:$D$22="",Besatzung!$B$6,Besatzung!$D$11:$D$22)&gt;=B135)),1))),IF(I135="Individuell",((T135="x")*((G135-IFERROR(H135,0))/IFERROR(COUNTIF(J135:U135,"x"),1)+(Besatzung!$F$21="x")*IFERROR(H135,0)/IFERROR(SUMPRODUCT((J135:U135="x")*(Besatzung!$F$11:$F$22="x")),1))),(IF(COUNTIF(J135:U135,"x")=0,IF(Besatzung!$B$21&lt;&gt;"",1,0),(T135="x"))*(G135-IFERROR(H135,0))/IFERROR(IF(COUNTIF(J135:U135,"x")=0,COUNTA(Besatzung!$B$11:$B$22),COUNTIF(J135:U135,"x")),1)+IF(COUNTIF(J135:U135,"x")=0,(Besatzung!$F$21="x"),(T135="x")*(Besatzung!$F$21="x"))*IFERROR(H135,0)/IFERROR(IF(COUNTIF(J135:U135,"x")=0,SUMPRODUCT((Besatzung!$B$11:$B$22&lt;&gt;"")*(Besatzung!$F$11:$F$22="x")),SUMPRODUCT((J135:U135="x")*(Besatzung!$F$11:$F$22="x"))),1))))),0))))</f>
        <v/>
      </c>
      <c r="AG135" s="247">
        <f>IF(C135="Gutschrift","",IF(G135="","",IF(Besatzung!$B$22="","",IFERROR(IF(I135="Zeitanteilig",(Besatzung!$G$22*(G135-IFERROR(H135,0))+((Besatzung!$B$22&lt;&gt;"")*IF(B135="",1,(IF(Besatzung!$C$22="",Besatzung!$B$5,Besatzung!$C$22)&lt;=B135)*(IF(Besatzung!$D$22="",Besatzung!$B$6,Besatzung!$D$22)&gt;=B135)))*(Besatzung!$F$22="x")*IFERROR(H135,0)/IFERROR(SUMPRODUCT((Besatzung!$B$11:$B$22&lt;&gt;"")*(Besatzung!$F$11:$F$22="x")*(IF(Besatzung!$C$11:$C$22="",Besatzung!$B$5,Besatzung!$C$11:$C$22)&lt;=B135)*(IF(Besatzung!$D$11:$D$22="",Besatzung!$B$6,Besatzung!$D$11:$D$22)&gt;=B135)),1)),IF(I135="An Bord",(((Besatzung!$B$22&lt;&gt;"")*IF(B135="",1,(IF(Besatzung!$C$22="",Besatzung!$B$5,Besatzung!$C$22)&lt;=B135)*(IF(Besatzung!$D$22="",Besatzung!$B$6,Besatzung!$D$22)&gt;=B135)))*((G135-IFERROR(H135,0))/IFERROR(SUMPRODUCT((Besatzung!$B$11:$B$22&lt;&gt;"")*(IF(Besatzung!$C$11:$C$22="",Besatzung!$B$5,Besatzung!$C$11:$C$22)&lt;=B135)*(IF(Besatzung!$D$11:$D$22="",Besatzung!$B$6,Besatzung!$D$11:$D$22)&gt;=B135)),1)+(Besatzung!$F$22="x")*IFERROR(H135,0)/IFERROR(SUMPRODUCT((Besatzung!$B$11:$B$22&lt;&gt;"")*(Besatzung!$F$11:$F$22="x")*(IF(Besatzung!$C$11:$C$22="",Besatzung!$B$5,Besatzung!$C$11:$C$22)&lt;=B135)*(IF(Besatzung!$D$11:$D$22="",Besatzung!$B$6,Besatzung!$D$11:$D$22)&gt;=B135)),1))),IF(I135="Individuell",((U135="x")*((G135-IFERROR(H135,0))/IFERROR(COUNTIF(J135:U135,"x"),1)+(Besatzung!$F$22="x")*IFERROR(H135,0)/IFERROR(SUMPRODUCT((J135:U135="x")*(Besatzung!$F$11:$F$22="x")),1))),(IF(COUNTIF(J135:U135,"x")=0,IF(Besatzung!$B$22&lt;&gt;"",1,0),(U135="x"))*(G135-IFERROR(H135,0))/IFERROR(IF(COUNTIF(J135:U135,"x")=0,COUNTA(Besatzung!$B$11:$B$22),COUNTIF(J135:U135,"x")),1)+IF(COUNTIF(J135:U135,"x")=0,(Besatzung!$F$22="x"),(U135="x")*(Besatzung!$F$22="x"))*IFERROR(H135,0)/IFERROR(IF(COUNTIF(J135:U135,"x")=0,SUMPRODUCT((Besatzung!$B$11:$B$22&lt;&gt;"")*(Besatzung!$F$11:$F$22="x")),SUMPRODUCT((J135:U135="x")*(Besatzung!$F$11:$F$22="x"))),1))))),0))))</f>
        <v/>
      </c>
      <c r="AH135" s="248" t="n"/>
      <c r="AI135" s="248" t="n"/>
    </row>
    <row r="136" ht="21.75" customHeight="1" s="154">
      <c r="A136" s="238">
        <f>IF(AND(D136="",C136=""),"",133)</f>
        <v/>
      </c>
      <c r="B136" s="199" t="n"/>
      <c r="C136" s="239" t="n"/>
      <c r="D136" s="240" t="n"/>
      <c r="E136" s="241" t="n"/>
      <c r="F136" s="242" t="n"/>
      <c r="G136" s="243" t="n"/>
      <c r="H136" s="244" t="n"/>
      <c r="I136" s="245" t="n"/>
      <c r="J136" s="246" t="n"/>
      <c r="K136" s="246" t="n"/>
      <c r="L136" s="246" t="n"/>
      <c r="M136" s="246" t="n"/>
      <c r="N136" s="246" t="n"/>
      <c r="O136" s="246" t="n"/>
      <c r="P136" s="246" t="n"/>
      <c r="Q136" s="246" t="n"/>
      <c r="R136" s="246" t="n"/>
      <c r="S136" s="246" t="n"/>
      <c r="T136" s="246" t="n"/>
      <c r="U136" s="246" t="n"/>
      <c r="V136" s="247">
        <f>IF(C136="Gutschrift","",IF(G136="","",IF(Besatzung!$B$11="","",IFERROR(IF(I136="Zeitanteilig",(Besatzung!$G$11*(G136-IFERROR(H136,0))+((Besatzung!$B$11&lt;&gt;"")*IF(B136="",1,(IF(Besatzung!$C$11="",Besatzung!$B$5,Besatzung!$C$11)&lt;=B136)*(IF(Besatzung!$D$11="",Besatzung!$B$6,Besatzung!$D$11)&gt;=B136)))*(Besatzung!$F$11="x")*IFERROR(H136,0)/IFERROR(SUMPRODUCT((Besatzung!$B$11:$B$22&lt;&gt;"")*(Besatzung!$F$11:$F$22="x")*(IF(Besatzung!$C$11:$C$22="",Besatzung!$B$5,Besatzung!$C$11:$C$22)&lt;=B136)*(IF(Besatzung!$D$11:$D$22="",Besatzung!$B$6,Besatzung!$D$11:$D$22)&gt;=B136)),1)),IF(I136="An Bord",(((Besatzung!$B$11&lt;&gt;"")*IF(B136="",1,(IF(Besatzung!$C$11="",Besatzung!$B$5,Besatzung!$C$11)&lt;=B136)*(IF(Besatzung!$D$11="",Besatzung!$B$6,Besatzung!$D$11)&gt;=B136)))*((G136-IFERROR(H136,0))/IFERROR(SUMPRODUCT((Besatzung!$B$11:$B$22&lt;&gt;"")*(IF(Besatzung!$C$11:$C$22="",Besatzung!$B$5,Besatzung!$C$11:$C$22)&lt;=B136)*(IF(Besatzung!$D$11:$D$22="",Besatzung!$B$6,Besatzung!$D$11:$D$22)&gt;=B136)),1)+(Besatzung!$F$11="x")*IFERROR(H136,0)/IFERROR(SUMPRODUCT((Besatzung!$B$11:$B$22&lt;&gt;"")*(Besatzung!$F$11:$F$22="x")*(IF(Besatzung!$C$11:$C$22="",Besatzung!$B$5,Besatzung!$C$11:$C$22)&lt;=B136)*(IF(Besatzung!$D$11:$D$22="",Besatzung!$B$6,Besatzung!$D$11:$D$22)&gt;=B136)),1))),IF(I136="Individuell",((J136="x")*((G136-IFERROR(H136,0))/IFERROR(COUNTIF(J136:U136,"x"),1)+(Besatzung!$F$11="x")*IFERROR(H136,0)/IFERROR(SUMPRODUCT((J136:U136="x")*(Besatzung!$F$11:$F$22="x")),1))),(IF(COUNTIF(J136:U136,"x")=0,IF(Besatzung!$B$11&lt;&gt;"",1,0),(J136="x"))*(G136-IFERROR(H136,0))/IFERROR(IF(COUNTIF(J136:U136,"x")=0,COUNTA(Besatzung!$B$11:$B$22),COUNTIF(J136:U136,"x")),1)+IF(COUNTIF(J136:U136,"x")=0,(Besatzung!$F$11="x"),(J136="x")*(Besatzung!$F$11="x"))*IFERROR(H136,0)/IFERROR(IF(COUNTIF(J136:U136,"x")=0,SUMPRODUCT((Besatzung!$B$11:$B$22&lt;&gt;"")*(Besatzung!$F$11:$F$22="x")),SUMPRODUCT((J136:U136="x")*(Besatzung!$F$11:$F$22="x"))),1))))),0))))</f>
        <v/>
      </c>
      <c r="W136" s="247">
        <f>IF(C136="Gutschrift","",IF(G136="","",IF(Besatzung!$B$12="","",IFERROR(IF(I136="Zeitanteilig",(Besatzung!$G$12*(G136-IFERROR(H136,0))+((Besatzung!$B$12&lt;&gt;"")*IF(B136="",1,(IF(Besatzung!$C$12="",Besatzung!$B$5,Besatzung!$C$12)&lt;=B136)*(IF(Besatzung!$D$12="",Besatzung!$B$6,Besatzung!$D$12)&gt;=B136)))*(Besatzung!$F$12="x")*IFERROR(H136,0)/IFERROR(SUMPRODUCT((Besatzung!$B$11:$B$22&lt;&gt;"")*(Besatzung!$F$11:$F$22="x")*(IF(Besatzung!$C$11:$C$22="",Besatzung!$B$5,Besatzung!$C$11:$C$22)&lt;=B136)*(IF(Besatzung!$D$11:$D$22="",Besatzung!$B$6,Besatzung!$D$11:$D$22)&gt;=B136)),1)),IF(I136="An Bord",(((Besatzung!$B$12&lt;&gt;"")*IF(B136="",1,(IF(Besatzung!$C$12="",Besatzung!$B$5,Besatzung!$C$12)&lt;=B136)*(IF(Besatzung!$D$12="",Besatzung!$B$6,Besatzung!$D$12)&gt;=B136)))*((G136-IFERROR(H136,0))/IFERROR(SUMPRODUCT((Besatzung!$B$11:$B$22&lt;&gt;"")*(IF(Besatzung!$C$11:$C$22="",Besatzung!$B$5,Besatzung!$C$11:$C$22)&lt;=B136)*(IF(Besatzung!$D$11:$D$22="",Besatzung!$B$6,Besatzung!$D$11:$D$22)&gt;=B136)),1)+(Besatzung!$F$12="x")*IFERROR(H136,0)/IFERROR(SUMPRODUCT((Besatzung!$B$11:$B$22&lt;&gt;"")*(Besatzung!$F$11:$F$22="x")*(IF(Besatzung!$C$11:$C$22="",Besatzung!$B$5,Besatzung!$C$11:$C$22)&lt;=B136)*(IF(Besatzung!$D$11:$D$22="",Besatzung!$B$6,Besatzung!$D$11:$D$22)&gt;=B136)),1))),IF(I136="Individuell",((K136="x")*((G136-IFERROR(H136,0))/IFERROR(COUNTIF(J136:U136,"x"),1)+(Besatzung!$F$12="x")*IFERROR(H136,0)/IFERROR(SUMPRODUCT((J136:U136="x")*(Besatzung!$F$11:$F$22="x")),1))),(IF(COUNTIF(J136:U136,"x")=0,IF(Besatzung!$B$12&lt;&gt;"",1,0),(K136="x"))*(G136-IFERROR(H136,0))/IFERROR(IF(COUNTIF(J136:U136,"x")=0,COUNTA(Besatzung!$B$11:$B$22),COUNTIF(J136:U136,"x")),1)+IF(COUNTIF(J136:U136,"x")=0,(Besatzung!$F$12="x"),(K136="x")*(Besatzung!$F$12="x"))*IFERROR(H136,0)/IFERROR(IF(COUNTIF(J136:U136,"x")=0,SUMPRODUCT((Besatzung!$B$11:$B$22&lt;&gt;"")*(Besatzung!$F$11:$F$22="x")),SUMPRODUCT((J136:U136="x")*(Besatzung!$F$11:$F$22="x"))),1))))),0))))</f>
        <v/>
      </c>
      <c r="X136" s="247">
        <f>IF(C136="Gutschrift","",IF(G136="","",IF(Besatzung!$B$13="","",IFERROR(IF(I136="Zeitanteilig",(Besatzung!$G$13*(G136-IFERROR(H136,0))+((Besatzung!$B$13&lt;&gt;"")*IF(B136="",1,(IF(Besatzung!$C$13="",Besatzung!$B$5,Besatzung!$C$13)&lt;=B136)*(IF(Besatzung!$D$13="",Besatzung!$B$6,Besatzung!$D$13)&gt;=B136)))*(Besatzung!$F$13="x")*IFERROR(H136,0)/IFERROR(SUMPRODUCT((Besatzung!$B$11:$B$22&lt;&gt;"")*(Besatzung!$F$11:$F$22="x")*(IF(Besatzung!$C$11:$C$22="",Besatzung!$B$5,Besatzung!$C$11:$C$22)&lt;=B136)*(IF(Besatzung!$D$11:$D$22="",Besatzung!$B$6,Besatzung!$D$11:$D$22)&gt;=B136)),1)),IF(I136="An Bord",(((Besatzung!$B$13&lt;&gt;"")*IF(B136="",1,(IF(Besatzung!$C$13="",Besatzung!$B$5,Besatzung!$C$13)&lt;=B136)*(IF(Besatzung!$D$13="",Besatzung!$B$6,Besatzung!$D$13)&gt;=B136)))*((G136-IFERROR(H136,0))/IFERROR(SUMPRODUCT((Besatzung!$B$11:$B$22&lt;&gt;"")*(IF(Besatzung!$C$11:$C$22="",Besatzung!$B$5,Besatzung!$C$11:$C$22)&lt;=B136)*(IF(Besatzung!$D$11:$D$22="",Besatzung!$B$6,Besatzung!$D$11:$D$22)&gt;=B136)),1)+(Besatzung!$F$13="x")*IFERROR(H136,0)/IFERROR(SUMPRODUCT((Besatzung!$B$11:$B$22&lt;&gt;"")*(Besatzung!$F$11:$F$22="x")*(IF(Besatzung!$C$11:$C$22="",Besatzung!$B$5,Besatzung!$C$11:$C$22)&lt;=B136)*(IF(Besatzung!$D$11:$D$22="",Besatzung!$B$6,Besatzung!$D$11:$D$22)&gt;=B136)),1))),IF(I136="Individuell",((K136="x")*((G136-IFERROR(H136,0))/IFERROR(COUNTIF(J136:U136,"x"),1)+(Besatzung!$F$13="x")*IFERROR(H136,0)/IFERROR(SUMPRODUCT((J136:U136="x")*(Besatzung!$F$11:$F$22="x")),1))),(IF(COUNTIF(J136:U136,"x")=0,IF(Besatzung!$B$13&lt;&gt;"",1,0),(K136="x"))*(G136-IFERROR(H136,0))/IFERROR(IF(COUNTIF(J136:U136,"x")=0,COUNTA(Besatzung!$B$11:$B$22),COUNTIF(J136:U136,"x")),1)+IF(COUNTIF(J136:U136,"x")=0,(Besatzung!$F$13="x"),(K136="x")*(Besatzung!$F$13="x"))*IFERROR(H136,0)/IFERROR(IF(COUNTIF(J136:U136,"x")=0,SUMPRODUCT((Besatzung!$B$11:$B$22&lt;&gt;"")*(Besatzung!$F$11:$F$22="x")),SUMPRODUCT((J136:U136="x")*(Besatzung!$F$11:$F$22="x"))),1))))),0))))</f>
        <v/>
      </c>
      <c r="Y136" s="247">
        <f>IF(C136="Gutschrift","",IF(G136="","",IF(Besatzung!$B$14="","",IFERROR(IF(I136="Zeitanteilig",(Besatzung!$G$14*(G136-IFERROR(H136,0))+((Besatzung!$B$14&lt;&gt;"")*IF(B136="",1,(IF(Besatzung!$C$14="",Besatzung!$B$5,Besatzung!$C$14)&lt;=B136)*(IF(Besatzung!$D$14="",Besatzung!$B$6,Besatzung!$D$14)&gt;=B136)))*(Besatzung!$F$14="x")*IFERROR(H136,0)/IFERROR(SUMPRODUCT((Besatzung!$B$11:$B$22&lt;&gt;"")*(Besatzung!$F$11:$F$22="x")*(IF(Besatzung!$C$11:$C$22="",Besatzung!$B$5,Besatzung!$C$11:$C$22)&lt;=B136)*(IF(Besatzung!$D$11:$D$22="",Besatzung!$B$6,Besatzung!$D$11:$D$22)&gt;=B136)),1)),IF(I136="An Bord",(((Besatzung!$B$14&lt;&gt;"")*IF(B136="",1,(IF(Besatzung!$C$14="",Besatzung!$B$5,Besatzung!$C$14)&lt;=B136)*(IF(Besatzung!$D$14="",Besatzung!$B$6,Besatzung!$D$14)&gt;=B136)))*((G136-IFERROR(H136,0))/IFERROR(SUMPRODUCT((Besatzung!$B$11:$B$22&lt;&gt;"")*(IF(Besatzung!$C$11:$C$22="",Besatzung!$B$5,Besatzung!$C$11:$C$22)&lt;=B136)*(IF(Besatzung!$D$11:$D$22="",Besatzung!$B$6,Besatzung!$D$11:$D$22)&gt;=B136)),1)+(Besatzung!$F$14="x")*IFERROR(H136,0)/IFERROR(SUMPRODUCT((Besatzung!$B$11:$B$22&lt;&gt;"")*(Besatzung!$F$11:$F$22="x")*(IF(Besatzung!$C$11:$C$22="",Besatzung!$B$5,Besatzung!$C$11:$C$22)&lt;=B136)*(IF(Besatzung!$D$11:$D$22="",Besatzung!$B$6,Besatzung!$D$11:$D$22)&gt;=B136)),1))),IF(I136="Individuell",((M136="x")*((G136-IFERROR(H136,0))/IFERROR(COUNTIF(J136:U136,"x"),1)+(Besatzung!$F$14="x")*IFERROR(H136,0)/IFERROR(SUMPRODUCT((J136:U136="x")*(Besatzung!$F$11:$F$22="x")),1))),(IF(COUNTIF(J136:U136,"x")=0,IF(Besatzung!$B$14&lt;&gt;"",1,0),(M136="x"))*(G136-IFERROR(H136,0))/IFERROR(IF(COUNTIF(J136:U136,"x")=0,COUNTA(Besatzung!$B$11:$B$22),COUNTIF(J136:U136,"x")),1)+IF(COUNTIF(J136:U136,"x")=0,(Besatzung!$F$14="x"),(M136="x")*(Besatzung!$F$14="x"))*IFERROR(H136,0)/IFERROR(IF(COUNTIF(J136:U136,"x")=0,SUMPRODUCT((Besatzung!$B$11:$B$22&lt;&gt;"")*(Besatzung!$F$11:$F$22="x")),SUMPRODUCT((J136:U136="x")*(Besatzung!$F$11:$F$22="x"))),1))))),0))))</f>
        <v/>
      </c>
      <c r="Z136" s="247">
        <f>IF(C136="Gutschrift","",IF(G136="","",IF(Besatzung!$B$13="","",IFERROR(IF(I136="Zeitanteilig",(Besatzung!$G$15*(G136-IFERROR(H136,0))+((Besatzung!$B$13&lt;&gt;"")*IF(B136="",1,(IF(Besatzung!$C$15="",Besatzung!$B$5,Besatzung!$C$15)&lt;=B136)*(IF(Besatzung!$D$15="",Besatzung!$B$6,Besatzung!$D$15)&gt;=B136)))*(Besatzung!$F$15="x")*IFERROR(H136,0)/IFERROR(SUMPRODUCT((Besatzung!$B$11:$B$22&lt;&gt;"")*(Besatzung!$F$11:$F$22="x")*(IF(Besatzung!$C$11:$C$22="",Besatzung!$B$5,Besatzung!$C$11:$C$22)&lt;=B136)*(IF(Besatzung!$D$11:$D$22="",Besatzung!$B$6,Besatzung!$D$11:$D$22)&gt;=B136)),1)),IF(I136="An Bord",(((Besatzung!$B$13&lt;&gt;"")*IF(B136="",1,(IF(Besatzung!$C$15="",Besatzung!$B$5,Besatzung!$C$15)&lt;=B136)*(IF(Besatzung!$D$15="",Besatzung!$B$6,Besatzung!$D$15)&gt;=B136)))*((G136-IFERROR(H136,0))/IFERROR(SUMPRODUCT((Besatzung!$B$11:$B$22&lt;&gt;"")*(IF(Besatzung!$C$11:$C$22="",Besatzung!$B$5,Besatzung!$C$11:$C$22)&lt;=B136)*(IF(Besatzung!$D$11:$D$22="",Besatzung!$B$6,Besatzung!$D$11:$D$22)&gt;=B136)),1)+(Besatzung!$F$15="x")*IFERROR(H136,0)/IFERROR(SUMPRODUCT((Besatzung!$B$11:$B$22&lt;&gt;"")*(Besatzung!$F$11:$F$22="x")*(IF(Besatzung!$C$11:$C$22="",Besatzung!$B$5,Besatzung!$C$11:$C$22)&lt;=B136)*(IF(Besatzung!$D$11:$D$22="",Besatzung!$B$6,Besatzung!$D$11:$D$22)&gt;=B136)),1))),IF(I136="Individuell",((N136="x")*((G136-IFERROR(H136,0))/IFERROR(COUNTIF(J136:U136,"x"),1)+(Besatzung!$F$15="x")*IFERROR(H136,0)/IFERROR(SUMPRODUCT((J136:U136="x")*(Besatzung!$F$11:$F$22="x")),1))),(IF(COUNTIF(J136:U136,"x")=0,IF(Besatzung!$B$13&lt;&gt;"",1,0),(N136="x"))*(G136-IFERROR(H136,0))/IFERROR(IF(COUNTIF(J136:U136,"x")=0,COUNTA(Besatzung!$B$11:$B$22),COUNTIF(J136:U136,"x")),1)+IF(COUNTIF(J136:U136,"x")=0,(Besatzung!$F$15="x"),(N136="x")*(Besatzung!$F$15="x"))*IFERROR(H136,0)/IFERROR(IF(COUNTIF(J136:U136,"x")=0,SUMPRODUCT((Besatzung!$B$11:$B$22&lt;&gt;"")*(Besatzung!$F$11:$F$22="x")),SUMPRODUCT((J136:U136="x")*(Besatzung!$F$11:$F$22="x"))),1))))),0))))</f>
        <v/>
      </c>
      <c r="AA136" s="247">
        <f>IF(C136="Gutschrift","",IF(G136="","",IF(Besatzung!$B$15="","",IFERROR(IF(I136="Zeitanteilig",(Besatzung!$G$16*(G136-IFERROR(H136,0))+((Besatzung!$B$15&lt;&gt;"")*IF(B136="",1,(IF(Besatzung!$C$16="",Besatzung!$B$5,Besatzung!$C$16)&lt;=B136)*(IF(Besatzung!$D$16="",Besatzung!$B$6,Besatzung!$D$16)&gt;=B136)))*(Besatzung!$F$16="x")*IFERROR(H136,0)/IFERROR(SUMPRODUCT((Besatzung!$B$11:$B$22&lt;&gt;"")*(Besatzung!$F$11:$F$22="x")*(IF(Besatzung!$C$11:$C$22="",Besatzung!$B$5,Besatzung!$C$11:$C$22)&lt;=B136)*(IF(Besatzung!$D$11:$D$22="",Besatzung!$B$6,Besatzung!$D$11:$D$22)&gt;=B136)),1)),IF(I136="An Bord",(((Besatzung!$B$15&lt;&gt;"")*IF(B136="",1,(IF(Besatzung!$C$16="",Besatzung!$B$5,Besatzung!$C$16)&lt;=B136)*(IF(Besatzung!$D$16="",Besatzung!$B$6,Besatzung!$D$16)&gt;=B136)))*((G136-IFERROR(H136,0))/IFERROR(SUMPRODUCT((Besatzung!$B$11:$B$22&lt;&gt;"")*(IF(Besatzung!$C$11:$C$22="",Besatzung!$B$5,Besatzung!$C$11:$C$22)&lt;=B136)*(IF(Besatzung!$D$11:$D$22="",Besatzung!$B$6,Besatzung!$D$11:$D$22)&gt;=B136)),1)+(Besatzung!$F$16="x")*IFERROR(H136,0)/IFERROR(SUMPRODUCT((Besatzung!$B$11:$B$22&lt;&gt;"")*(Besatzung!$F$11:$F$22="x")*(IF(Besatzung!$C$11:$C$22="",Besatzung!$B$5,Besatzung!$C$11:$C$22)&lt;=B136)*(IF(Besatzung!$D$11:$D$22="",Besatzung!$B$6,Besatzung!$D$11:$D$22)&gt;=B136)),1))),IF(I136="Individuell",((O136="x")*((G136-IFERROR(H136,0))/IFERROR(COUNTIF(J136:U136,"x"),1)+(Besatzung!$F$16="x")*IFERROR(H136,0)/IFERROR(SUMPRODUCT((J136:U136="x")*(Besatzung!$F$11:$F$22="x")),1))),(IF(COUNTIF(J136:U136,"x")=0,IF(Besatzung!$B$15&lt;&gt;"",1,0),(O136="x"))*(G136-IFERROR(H136,0))/IFERROR(IF(COUNTIF(J136:U136,"x")=0,COUNTA(Besatzung!$B$11:$B$22),COUNTIF(J136:U136,"x")),1)+IF(COUNTIF(J136:U136,"x")=0,(Besatzung!$F$16="x"),(O136="x")*(Besatzung!$F$16="x"))*IFERROR(H136,0)/IFERROR(IF(COUNTIF(J136:U136,"x")=0,SUMPRODUCT((Besatzung!$B$11:$B$22&lt;&gt;"")*(Besatzung!$F$11:$F$22="x")),SUMPRODUCT((J136:U136="x")*(Besatzung!$F$11:$F$22="x"))),1))))),0))))</f>
        <v/>
      </c>
      <c r="AB136" s="247">
        <f>IF(C136="Gutschrift","",IF(G136="","",IF(Besatzung!$B$17="","",IFERROR(IF(I136="Zeitanteilig",(Besatzung!$G$17*(G136-IFERROR(H136,0))+((Besatzung!$B$17&lt;&gt;"")*IF(B136="",1,(IF(Besatzung!$C$17="",Besatzung!$B$5,Besatzung!$C$17)&lt;=B136)*(IF(Besatzung!$D$17="",Besatzung!$B$6,Besatzung!$D$17)&gt;=B136)))*(Besatzung!$F$17="x")*IFERROR(H136,0)/IFERROR(SUMPRODUCT((Besatzung!$B$11:$B$22&lt;&gt;"")*(Besatzung!$F$11:$F$22="x")*(IF(Besatzung!$C$11:$C$22="",Besatzung!$B$5,Besatzung!$C$11:$C$22)&lt;=B136)*(IF(Besatzung!$D$11:$D$22="",Besatzung!$B$6,Besatzung!$D$11:$D$22)&gt;=B136)),1)),IF(I136="An Bord",(((Besatzung!$B$17&lt;&gt;"")*IF(B136="",1,(IF(Besatzung!$C$17="",Besatzung!$B$5,Besatzung!$C$17)&lt;=B136)*(IF(Besatzung!$D$17="",Besatzung!$B$6,Besatzung!$D$17)&gt;=B136)))*((G136-IFERROR(H136,0))/IFERROR(SUMPRODUCT((Besatzung!$B$11:$B$22&lt;&gt;"")*(IF(Besatzung!$C$11:$C$22="",Besatzung!$B$5,Besatzung!$C$11:$C$22)&lt;=B136)*(IF(Besatzung!$D$11:$D$22="",Besatzung!$B$6,Besatzung!$D$11:$D$22)&gt;=B136)),1)+(Besatzung!$F$17="x")*IFERROR(H136,0)/IFERROR(SUMPRODUCT((Besatzung!$B$11:$B$22&lt;&gt;"")*(Besatzung!$F$11:$F$22="x")*(IF(Besatzung!$C$11:$C$22="",Besatzung!$B$5,Besatzung!$C$11:$C$22)&lt;=B136)*(IF(Besatzung!$D$11:$D$22="",Besatzung!$B$6,Besatzung!$D$11:$D$22)&gt;=B136)),1))),IF(I136="Individuell",((P136="x")*((G136-IFERROR(H136,0))/IFERROR(COUNTIF(J136:U136,"x"),1)+(Besatzung!$F$17="x")*IFERROR(H136,0)/IFERROR(SUMPRODUCT((J136:U136="x")*(Besatzung!$F$11:$F$22="x")),1))),(IF(COUNTIF(J136:U136,"x")=0,IF(Besatzung!$B$17&lt;&gt;"",1,0),(P136="x"))*(G136-IFERROR(H136,0))/IFERROR(IF(COUNTIF(J136:U136,"x")=0,COUNTA(Besatzung!$B$11:$B$22),COUNTIF(J136:U136,"x")),1)+IF(COUNTIF(J136:U136,"x")=0,(Besatzung!$F$17="x"),(P136="x")*(Besatzung!$F$17="x"))*IFERROR(H136,0)/IFERROR(IF(COUNTIF(J136:U136,"x")=0,SUMPRODUCT((Besatzung!$B$11:$B$22&lt;&gt;"")*(Besatzung!$F$11:$F$22="x")),SUMPRODUCT((J136:U136="x")*(Besatzung!$F$11:$F$22="x"))),1))))),0))))</f>
        <v/>
      </c>
      <c r="AC136" s="247">
        <f>IF(C136="Gutschrift","",IF(G136="","",IF(Besatzung!$B$18="","",IFERROR(IF(I136="Zeitanteilig",(Besatzung!$G$18*(G136-IFERROR(H136,0))+((Besatzung!$B$18&lt;&gt;"")*IF(B136="",1,(IF(Besatzung!$C$18="",Besatzung!$B$5,Besatzung!$C$18)&lt;=B136)*(IF(Besatzung!$D$18="",Besatzung!$B$6,Besatzung!$D$18)&gt;=B136)))*(Besatzung!$F$18="x")*IFERROR(H136,0)/IFERROR(SUMPRODUCT((Besatzung!$B$11:$B$22&lt;&gt;"")*(Besatzung!$F$11:$F$22="x")*(IF(Besatzung!$C$11:$C$22="",Besatzung!$B$5,Besatzung!$C$11:$C$22)&lt;=B136)*(IF(Besatzung!$D$11:$D$22="",Besatzung!$B$6,Besatzung!$D$11:$D$22)&gt;=B136)),1)),IF(I136="An Bord",(((Besatzung!$B$18&lt;&gt;"")*IF(B136="",1,(IF(Besatzung!$C$18="",Besatzung!$B$5,Besatzung!$C$18)&lt;=B136)*(IF(Besatzung!$D$18="",Besatzung!$B$6,Besatzung!$D$18)&gt;=B136)))*((G136-IFERROR(H136,0))/IFERROR(SUMPRODUCT((Besatzung!$B$11:$B$22&lt;&gt;"")*(IF(Besatzung!$C$11:$C$22="",Besatzung!$B$5,Besatzung!$C$11:$C$22)&lt;=B136)*(IF(Besatzung!$D$11:$D$22="",Besatzung!$B$6,Besatzung!$D$11:$D$22)&gt;=B136)),1)+(Besatzung!$F$18="x")*IFERROR(H136,0)/IFERROR(SUMPRODUCT((Besatzung!$B$11:$B$22&lt;&gt;"")*(Besatzung!$F$11:$F$22="x")*(IF(Besatzung!$C$11:$C$22="",Besatzung!$B$5,Besatzung!$C$11:$C$22)&lt;=B136)*(IF(Besatzung!$D$11:$D$22="",Besatzung!$B$6,Besatzung!$D$11:$D$22)&gt;=B136)),1))),IF(I136="Individuell",((Q136="x")*((G136-IFERROR(H136,0))/IFERROR(COUNTIF(J136:U136,"x"),1)+(Besatzung!$F$18="x")*IFERROR(H136,0)/IFERROR(SUMPRODUCT((J136:U136="x")*(Besatzung!$F$11:$F$22="x")),1))),(IF(COUNTIF(J136:U136,"x")=0,IF(Besatzung!$B$18&lt;&gt;"",1,0),(Q136="x"))*(G136-IFERROR(H136,0))/IFERROR(IF(COUNTIF(J136:U136,"x")=0,COUNTA(Besatzung!$B$11:$B$22),COUNTIF(J136:U136,"x")),1)+IF(COUNTIF(J136:U136,"x")=0,(Besatzung!$F$18="x"),(Q136="x")*(Besatzung!$F$18="x"))*IFERROR(H136,0)/IFERROR(IF(COUNTIF(J136:U136,"x")=0,SUMPRODUCT((Besatzung!$B$11:$B$22&lt;&gt;"")*(Besatzung!$F$11:$F$22="x")),SUMPRODUCT((J136:U136="x")*(Besatzung!$F$11:$F$22="x"))),1))))),0))))</f>
        <v/>
      </c>
      <c r="AD136" s="247">
        <f>IF(C136="Gutschrift","",IF(G136="","",IF(Besatzung!$B$19="","",IFERROR(IF(I136="Zeitanteilig",(Besatzung!$G$19*(G136-IFERROR(H136,0))+((Besatzung!$B$19&lt;&gt;"")*IF(B136="",1,(IF(Besatzung!$C$19="",Besatzung!$B$5,Besatzung!$C$19)&lt;=B136)*(IF(Besatzung!$D$19="",Besatzung!$B$6,Besatzung!$D$19)&gt;=B136)))*(Besatzung!$F$19="x")*IFERROR(H136,0)/IFERROR(SUMPRODUCT((Besatzung!$B$11:$B$22&lt;&gt;"")*(Besatzung!$F$11:$F$22="x")*(IF(Besatzung!$C$11:$C$22="",Besatzung!$B$5,Besatzung!$C$11:$C$22)&lt;=B136)*(IF(Besatzung!$D$11:$D$22="",Besatzung!$B$6,Besatzung!$D$11:$D$22)&gt;=B136)),1)),IF(I136="An Bord",(((Besatzung!$B$19&lt;&gt;"")*IF(B136="",1,(IF(Besatzung!$C$19="",Besatzung!$B$5,Besatzung!$C$19)&lt;=B136)*(IF(Besatzung!$D$19="",Besatzung!$B$6,Besatzung!$D$19)&gt;=B136)))*((G136-IFERROR(H136,0))/IFERROR(SUMPRODUCT((Besatzung!$B$11:$B$22&lt;&gt;"")*(IF(Besatzung!$C$11:$C$22="",Besatzung!$B$5,Besatzung!$C$11:$C$22)&lt;=B136)*(IF(Besatzung!$D$11:$D$22="",Besatzung!$B$6,Besatzung!$D$11:$D$22)&gt;=B136)),1)+(Besatzung!$F$19="x")*IFERROR(H136,0)/IFERROR(SUMPRODUCT((Besatzung!$B$11:$B$22&lt;&gt;"")*(Besatzung!$F$11:$F$22="x")*(IF(Besatzung!$C$11:$C$22="",Besatzung!$B$5,Besatzung!$C$11:$C$22)&lt;=B136)*(IF(Besatzung!$D$11:$D$22="",Besatzung!$B$6,Besatzung!$D$11:$D$22)&gt;=B136)),1))),IF(I136="Individuell",((R136="x")*((G136-IFERROR(H136,0))/IFERROR(COUNTIF(J136:U136,"x"),1)+(Besatzung!$F$19="x")*IFERROR(H136,0)/IFERROR(SUMPRODUCT((J136:U136="x")*(Besatzung!$F$11:$F$22="x")),1))),(IF(COUNTIF(J136:U136,"x")=0,IF(Besatzung!$B$19&lt;&gt;"",1,0),(R136="x"))*(G136-IFERROR(H136,0))/IFERROR(IF(COUNTIF(J136:U136,"x")=0,COUNTA(Besatzung!$B$11:$B$22),COUNTIF(J136:U136,"x")),1)+IF(COUNTIF(J136:U136,"x")=0,(Besatzung!$F$19="x"),(R136="x")*(Besatzung!$F$19="x"))*IFERROR(H136,0)/IFERROR(IF(COUNTIF(J136:U136,"x")=0,SUMPRODUCT((Besatzung!$B$11:$B$22&lt;&gt;"")*(Besatzung!$F$11:$F$22="x")),SUMPRODUCT((J136:U136="x")*(Besatzung!$F$11:$F$22="x"))),1))))),0))))</f>
        <v/>
      </c>
      <c r="AE136" s="247">
        <f>IF(C136="Gutschrift","",IF(G136="","",IF(Besatzung!$B$20="","",IFERROR(IF(I136="Zeitanteilig",(Besatzung!$G$20*(G136-IFERROR(H136,0))+((Besatzung!$B$20&lt;&gt;"")*IF(B136="",1,(IF(Besatzung!$C$20="",Besatzung!$B$5,Besatzung!$C$20)&lt;=B136)*(IF(Besatzung!$D$20="",Besatzung!$B$6,Besatzung!$D$20)&gt;=B136)))*(Besatzung!$F$20="x")*IFERROR(H136,0)/IFERROR(SUMPRODUCT((Besatzung!$B$11:$B$22&lt;&gt;"")*(Besatzung!$F$11:$F$22="x")*(IF(Besatzung!$C$11:$C$22="",Besatzung!$B$5,Besatzung!$C$11:$C$22)&lt;=B136)*(IF(Besatzung!$D$11:$D$22="",Besatzung!$B$6,Besatzung!$D$11:$D$22)&gt;=B136)),1)),IF(I136="An Bord",(((Besatzung!$B$20&lt;&gt;"")*IF(B136="",1,(IF(Besatzung!$C$20="",Besatzung!$B$5,Besatzung!$C$20)&lt;=B136)*(IF(Besatzung!$D$20="",Besatzung!$B$6,Besatzung!$D$20)&gt;=B136)))*((G136-IFERROR(H136,0))/IFERROR(SUMPRODUCT((Besatzung!$B$11:$B$22&lt;&gt;"")*(IF(Besatzung!$C$11:$C$22="",Besatzung!$B$5,Besatzung!$C$11:$C$22)&lt;=B136)*(IF(Besatzung!$D$11:$D$22="",Besatzung!$B$6,Besatzung!$D$11:$D$22)&gt;=B136)),1)+(Besatzung!$F$20="x")*IFERROR(H136,0)/IFERROR(SUMPRODUCT((Besatzung!$B$11:$B$22&lt;&gt;"")*(Besatzung!$F$11:$F$22="x")*(IF(Besatzung!$C$11:$C$22="",Besatzung!$B$5,Besatzung!$C$11:$C$22)&lt;=B136)*(IF(Besatzung!$D$11:$D$22="",Besatzung!$B$6,Besatzung!$D$11:$D$22)&gt;=B136)),1))),IF(I136="Individuell",((S136="x")*((G136-IFERROR(H136,0))/IFERROR(COUNTIF(J136:U136,"x"),1)+(Besatzung!$F$20="x")*IFERROR(H136,0)/IFERROR(SUMPRODUCT((J136:U136="x")*(Besatzung!$F$11:$F$22="x")),1))),(IF(COUNTIF(J136:U136,"x")=0,IF(Besatzung!$B$20&lt;&gt;"",1,0),(S136="x"))*(G136-IFERROR(H136,0))/IFERROR(IF(COUNTIF(J136:U136,"x")=0,COUNTA(Besatzung!$B$11:$B$22),COUNTIF(J136:U136,"x")),1)+IF(COUNTIF(J136:U136,"x")=0,(Besatzung!$F$20="x"),(S136="x")*(Besatzung!$F$20="x"))*IFERROR(H136,0)/IFERROR(IF(COUNTIF(J136:U136,"x")=0,SUMPRODUCT((Besatzung!$B$11:$B$22&lt;&gt;"")*(Besatzung!$F$11:$F$22="x")),SUMPRODUCT((J136:U136="x")*(Besatzung!$F$11:$F$22="x"))),1))))),0))))</f>
        <v/>
      </c>
      <c r="AF136" s="247">
        <f>IF(C136="Gutschrift","",IF(G136="","",IF(Besatzung!$B$21="","",IFERROR(IF(I136="Zeitanteilig",(Besatzung!$G$21*(G136-IFERROR(H136,0))+((Besatzung!$B$21&lt;&gt;"")*IF(B136="",1,(IF(Besatzung!$C$21="",Besatzung!$B$5,Besatzung!$C$21)&lt;=B136)*(IF(Besatzung!$D$21="",Besatzung!$B$6,Besatzung!$D$21)&gt;=B136)))*(Besatzung!$F$21="x")*IFERROR(H136,0)/IFERROR(SUMPRODUCT((Besatzung!$B$11:$B$22&lt;&gt;"")*(Besatzung!$F$11:$F$22="x")*(IF(Besatzung!$C$11:$C$22="",Besatzung!$B$5,Besatzung!$C$11:$C$22)&lt;=B136)*(IF(Besatzung!$D$11:$D$22="",Besatzung!$B$6,Besatzung!$D$11:$D$22)&gt;=B136)),1)),IF(I136="An Bord",(((Besatzung!$B$21&lt;&gt;"")*IF(B136="",1,(IF(Besatzung!$C$21="",Besatzung!$B$5,Besatzung!$C$21)&lt;=B136)*(IF(Besatzung!$D$21="",Besatzung!$B$6,Besatzung!$D$21)&gt;=B136)))*((G136-IFERROR(H136,0))/IFERROR(SUMPRODUCT((Besatzung!$B$11:$B$22&lt;&gt;"")*(IF(Besatzung!$C$11:$C$22="",Besatzung!$B$5,Besatzung!$C$11:$C$22)&lt;=B136)*(IF(Besatzung!$D$11:$D$22="",Besatzung!$B$6,Besatzung!$D$11:$D$22)&gt;=B136)),1)+(Besatzung!$F$21="x")*IFERROR(H136,0)/IFERROR(SUMPRODUCT((Besatzung!$B$11:$B$22&lt;&gt;"")*(Besatzung!$F$11:$F$22="x")*(IF(Besatzung!$C$11:$C$22="",Besatzung!$B$5,Besatzung!$C$11:$C$22)&lt;=B136)*(IF(Besatzung!$D$11:$D$22="",Besatzung!$B$6,Besatzung!$D$11:$D$22)&gt;=B136)),1))),IF(I136="Individuell",((T136="x")*((G136-IFERROR(H136,0))/IFERROR(COUNTIF(J136:U136,"x"),1)+(Besatzung!$F$21="x")*IFERROR(H136,0)/IFERROR(SUMPRODUCT((J136:U136="x")*(Besatzung!$F$11:$F$22="x")),1))),(IF(COUNTIF(J136:U136,"x")=0,IF(Besatzung!$B$21&lt;&gt;"",1,0),(T136="x"))*(G136-IFERROR(H136,0))/IFERROR(IF(COUNTIF(J136:U136,"x")=0,COUNTA(Besatzung!$B$11:$B$22),COUNTIF(J136:U136,"x")),1)+IF(COUNTIF(J136:U136,"x")=0,(Besatzung!$F$21="x"),(T136="x")*(Besatzung!$F$21="x"))*IFERROR(H136,0)/IFERROR(IF(COUNTIF(J136:U136,"x")=0,SUMPRODUCT((Besatzung!$B$11:$B$22&lt;&gt;"")*(Besatzung!$F$11:$F$22="x")),SUMPRODUCT((J136:U136="x")*(Besatzung!$F$11:$F$22="x"))),1))))),0))))</f>
        <v/>
      </c>
      <c r="AG136" s="247">
        <f>IF(C136="Gutschrift","",IF(G136="","",IF(Besatzung!$B$22="","",IFERROR(IF(I136="Zeitanteilig",(Besatzung!$G$22*(G136-IFERROR(H136,0))+((Besatzung!$B$22&lt;&gt;"")*IF(B136="",1,(IF(Besatzung!$C$22="",Besatzung!$B$5,Besatzung!$C$22)&lt;=B136)*(IF(Besatzung!$D$22="",Besatzung!$B$6,Besatzung!$D$22)&gt;=B136)))*(Besatzung!$F$22="x")*IFERROR(H136,0)/IFERROR(SUMPRODUCT((Besatzung!$B$11:$B$22&lt;&gt;"")*(Besatzung!$F$11:$F$22="x")*(IF(Besatzung!$C$11:$C$22="",Besatzung!$B$5,Besatzung!$C$11:$C$22)&lt;=B136)*(IF(Besatzung!$D$11:$D$22="",Besatzung!$B$6,Besatzung!$D$11:$D$22)&gt;=B136)),1)),IF(I136="An Bord",(((Besatzung!$B$22&lt;&gt;"")*IF(B136="",1,(IF(Besatzung!$C$22="",Besatzung!$B$5,Besatzung!$C$22)&lt;=B136)*(IF(Besatzung!$D$22="",Besatzung!$B$6,Besatzung!$D$22)&gt;=B136)))*((G136-IFERROR(H136,0))/IFERROR(SUMPRODUCT((Besatzung!$B$11:$B$22&lt;&gt;"")*(IF(Besatzung!$C$11:$C$22="",Besatzung!$B$5,Besatzung!$C$11:$C$22)&lt;=B136)*(IF(Besatzung!$D$11:$D$22="",Besatzung!$B$6,Besatzung!$D$11:$D$22)&gt;=B136)),1)+(Besatzung!$F$22="x")*IFERROR(H136,0)/IFERROR(SUMPRODUCT((Besatzung!$B$11:$B$22&lt;&gt;"")*(Besatzung!$F$11:$F$22="x")*(IF(Besatzung!$C$11:$C$22="",Besatzung!$B$5,Besatzung!$C$11:$C$22)&lt;=B136)*(IF(Besatzung!$D$11:$D$22="",Besatzung!$B$6,Besatzung!$D$11:$D$22)&gt;=B136)),1))),IF(I136="Individuell",((U136="x")*((G136-IFERROR(H136,0))/IFERROR(COUNTIF(J136:U136,"x"),1)+(Besatzung!$F$22="x")*IFERROR(H136,0)/IFERROR(SUMPRODUCT((J136:U136="x")*(Besatzung!$F$11:$F$22="x")),1))),(IF(COUNTIF(J136:U136,"x")=0,IF(Besatzung!$B$22&lt;&gt;"",1,0),(U136="x"))*(G136-IFERROR(H136,0))/IFERROR(IF(COUNTIF(J136:U136,"x")=0,COUNTA(Besatzung!$B$11:$B$22),COUNTIF(J136:U136,"x")),1)+IF(COUNTIF(J136:U136,"x")=0,(Besatzung!$F$22="x"),(U136="x")*(Besatzung!$F$22="x"))*IFERROR(H136,0)/IFERROR(IF(COUNTIF(J136:U136,"x")=0,SUMPRODUCT((Besatzung!$B$11:$B$22&lt;&gt;"")*(Besatzung!$F$11:$F$22="x")),SUMPRODUCT((J136:U136="x")*(Besatzung!$F$11:$F$22="x"))),1))))),0))))</f>
        <v/>
      </c>
      <c r="AH136" s="248" t="n"/>
      <c r="AI136" s="248" t="n"/>
    </row>
    <row r="137" ht="21.75" customHeight="1" s="154">
      <c r="A137" s="238">
        <f>IF(AND(D137="",C137=""),"",134)</f>
        <v/>
      </c>
      <c r="B137" s="206" t="n"/>
      <c r="C137" s="249" t="n"/>
      <c r="D137" s="250" t="n"/>
      <c r="E137" s="251" t="n"/>
      <c r="F137" s="252" t="n"/>
      <c r="G137" s="253" t="n"/>
      <c r="H137" s="254" t="n"/>
      <c r="I137" s="255" t="n"/>
      <c r="J137" s="256" t="n"/>
      <c r="K137" s="256" t="n"/>
      <c r="L137" s="256" t="n"/>
      <c r="M137" s="256" t="n"/>
      <c r="N137" s="256" t="n"/>
      <c r="O137" s="256" t="n"/>
      <c r="P137" s="256" t="n"/>
      <c r="Q137" s="256" t="n"/>
      <c r="R137" s="256" t="n"/>
      <c r="S137" s="256" t="n"/>
      <c r="T137" s="256" t="n"/>
      <c r="U137" s="256" t="n"/>
      <c r="V137" s="247">
        <f>IF(C137="Gutschrift","",IF(G137="","",IF(Besatzung!$B$11="","",IFERROR(IF(I137="Zeitanteilig",(Besatzung!$G$11*(G137-IFERROR(H137,0))+((Besatzung!$B$11&lt;&gt;"")*IF(B137="",1,(IF(Besatzung!$C$11="",Besatzung!$B$5,Besatzung!$C$11)&lt;=B137)*(IF(Besatzung!$D$11="",Besatzung!$B$6,Besatzung!$D$11)&gt;=B137)))*(Besatzung!$F$11="x")*IFERROR(H137,0)/IFERROR(SUMPRODUCT((Besatzung!$B$11:$B$22&lt;&gt;"")*(Besatzung!$F$11:$F$22="x")*(IF(Besatzung!$C$11:$C$22="",Besatzung!$B$5,Besatzung!$C$11:$C$22)&lt;=B137)*(IF(Besatzung!$D$11:$D$22="",Besatzung!$B$6,Besatzung!$D$11:$D$22)&gt;=B137)),1)),IF(I137="An Bord",(((Besatzung!$B$11&lt;&gt;"")*IF(B137="",1,(IF(Besatzung!$C$11="",Besatzung!$B$5,Besatzung!$C$11)&lt;=B137)*(IF(Besatzung!$D$11="",Besatzung!$B$6,Besatzung!$D$11)&gt;=B137)))*((G137-IFERROR(H137,0))/IFERROR(SUMPRODUCT((Besatzung!$B$11:$B$22&lt;&gt;"")*(IF(Besatzung!$C$11:$C$22="",Besatzung!$B$5,Besatzung!$C$11:$C$22)&lt;=B137)*(IF(Besatzung!$D$11:$D$22="",Besatzung!$B$6,Besatzung!$D$11:$D$22)&gt;=B137)),1)+(Besatzung!$F$11="x")*IFERROR(H137,0)/IFERROR(SUMPRODUCT((Besatzung!$B$11:$B$22&lt;&gt;"")*(Besatzung!$F$11:$F$22="x")*(IF(Besatzung!$C$11:$C$22="",Besatzung!$B$5,Besatzung!$C$11:$C$22)&lt;=B137)*(IF(Besatzung!$D$11:$D$22="",Besatzung!$B$6,Besatzung!$D$11:$D$22)&gt;=B137)),1))),IF(I137="Individuell",((J137="x")*((G137-IFERROR(H137,0))/IFERROR(COUNTIF(J137:U137,"x"),1)+(Besatzung!$F$11="x")*IFERROR(H137,0)/IFERROR(SUMPRODUCT((J137:U137="x")*(Besatzung!$F$11:$F$22="x")),1))),(IF(COUNTIF(J137:U137,"x")=0,IF(Besatzung!$B$11&lt;&gt;"",1,0),(J137="x"))*(G137-IFERROR(H137,0))/IFERROR(IF(COUNTIF(J137:U137,"x")=0,COUNTA(Besatzung!$B$11:$B$22),COUNTIF(J137:U137,"x")),1)+IF(COUNTIF(J137:U137,"x")=0,(Besatzung!$F$11="x"),(J137="x")*(Besatzung!$F$11="x"))*IFERROR(H137,0)/IFERROR(IF(COUNTIF(J137:U137,"x")=0,SUMPRODUCT((Besatzung!$B$11:$B$22&lt;&gt;"")*(Besatzung!$F$11:$F$22="x")),SUMPRODUCT((J137:U137="x")*(Besatzung!$F$11:$F$22="x"))),1))))),0))))</f>
        <v/>
      </c>
      <c r="W137" s="247">
        <f>IF(C137="Gutschrift","",IF(G137="","",IF(Besatzung!$B$12="","",IFERROR(IF(I137="Zeitanteilig",(Besatzung!$G$12*(G137-IFERROR(H137,0))+((Besatzung!$B$12&lt;&gt;"")*IF(B137="",1,(IF(Besatzung!$C$12="",Besatzung!$B$5,Besatzung!$C$12)&lt;=B137)*(IF(Besatzung!$D$12="",Besatzung!$B$6,Besatzung!$D$12)&gt;=B137)))*(Besatzung!$F$12="x")*IFERROR(H137,0)/IFERROR(SUMPRODUCT((Besatzung!$B$11:$B$22&lt;&gt;"")*(Besatzung!$F$11:$F$22="x")*(IF(Besatzung!$C$11:$C$22="",Besatzung!$B$5,Besatzung!$C$11:$C$22)&lt;=B137)*(IF(Besatzung!$D$11:$D$22="",Besatzung!$B$6,Besatzung!$D$11:$D$22)&gt;=B137)),1)),IF(I137="An Bord",(((Besatzung!$B$12&lt;&gt;"")*IF(B137="",1,(IF(Besatzung!$C$12="",Besatzung!$B$5,Besatzung!$C$12)&lt;=B137)*(IF(Besatzung!$D$12="",Besatzung!$B$6,Besatzung!$D$12)&gt;=B137)))*((G137-IFERROR(H137,0))/IFERROR(SUMPRODUCT((Besatzung!$B$11:$B$22&lt;&gt;"")*(IF(Besatzung!$C$11:$C$22="",Besatzung!$B$5,Besatzung!$C$11:$C$22)&lt;=B137)*(IF(Besatzung!$D$11:$D$22="",Besatzung!$B$6,Besatzung!$D$11:$D$22)&gt;=B137)),1)+(Besatzung!$F$12="x")*IFERROR(H137,0)/IFERROR(SUMPRODUCT((Besatzung!$B$11:$B$22&lt;&gt;"")*(Besatzung!$F$11:$F$22="x")*(IF(Besatzung!$C$11:$C$22="",Besatzung!$B$5,Besatzung!$C$11:$C$22)&lt;=B137)*(IF(Besatzung!$D$11:$D$22="",Besatzung!$B$6,Besatzung!$D$11:$D$22)&gt;=B137)),1))),IF(I137="Individuell",((K137="x")*((G137-IFERROR(H137,0))/IFERROR(COUNTIF(J137:U137,"x"),1)+(Besatzung!$F$12="x")*IFERROR(H137,0)/IFERROR(SUMPRODUCT((J137:U137="x")*(Besatzung!$F$11:$F$22="x")),1))),(IF(COUNTIF(J137:U137,"x")=0,IF(Besatzung!$B$12&lt;&gt;"",1,0),(K137="x"))*(G137-IFERROR(H137,0))/IFERROR(IF(COUNTIF(J137:U137,"x")=0,COUNTA(Besatzung!$B$11:$B$22),COUNTIF(J137:U137,"x")),1)+IF(COUNTIF(J137:U137,"x")=0,(Besatzung!$F$12="x"),(K137="x")*(Besatzung!$F$12="x"))*IFERROR(H137,0)/IFERROR(IF(COUNTIF(J137:U137,"x")=0,SUMPRODUCT((Besatzung!$B$11:$B$22&lt;&gt;"")*(Besatzung!$F$11:$F$22="x")),SUMPRODUCT((J137:U137="x")*(Besatzung!$F$11:$F$22="x"))),1))))),0))))</f>
        <v/>
      </c>
      <c r="X137" s="247">
        <f>IF(C137="Gutschrift","",IF(G137="","",IF(Besatzung!$B$13="","",IFERROR(IF(I137="Zeitanteilig",(Besatzung!$G$13*(G137-IFERROR(H137,0))+((Besatzung!$B$13&lt;&gt;"")*IF(B137="",1,(IF(Besatzung!$C$13="",Besatzung!$B$5,Besatzung!$C$13)&lt;=B137)*(IF(Besatzung!$D$13="",Besatzung!$B$6,Besatzung!$D$13)&gt;=B137)))*(Besatzung!$F$13="x")*IFERROR(H137,0)/IFERROR(SUMPRODUCT((Besatzung!$B$11:$B$22&lt;&gt;"")*(Besatzung!$F$11:$F$22="x")*(IF(Besatzung!$C$11:$C$22="",Besatzung!$B$5,Besatzung!$C$11:$C$22)&lt;=B137)*(IF(Besatzung!$D$11:$D$22="",Besatzung!$B$6,Besatzung!$D$11:$D$22)&gt;=B137)),1)),IF(I137="An Bord",(((Besatzung!$B$13&lt;&gt;"")*IF(B137="",1,(IF(Besatzung!$C$13="",Besatzung!$B$5,Besatzung!$C$13)&lt;=B137)*(IF(Besatzung!$D$13="",Besatzung!$B$6,Besatzung!$D$13)&gt;=B137)))*((G137-IFERROR(H137,0))/IFERROR(SUMPRODUCT((Besatzung!$B$11:$B$22&lt;&gt;"")*(IF(Besatzung!$C$11:$C$22="",Besatzung!$B$5,Besatzung!$C$11:$C$22)&lt;=B137)*(IF(Besatzung!$D$11:$D$22="",Besatzung!$B$6,Besatzung!$D$11:$D$22)&gt;=B137)),1)+(Besatzung!$F$13="x")*IFERROR(H137,0)/IFERROR(SUMPRODUCT((Besatzung!$B$11:$B$22&lt;&gt;"")*(Besatzung!$F$11:$F$22="x")*(IF(Besatzung!$C$11:$C$22="",Besatzung!$B$5,Besatzung!$C$11:$C$22)&lt;=B137)*(IF(Besatzung!$D$11:$D$22="",Besatzung!$B$6,Besatzung!$D$11:$D$22)&gt;=B137)),1))),IF(I137="Individuell",((K137="x")*((G137-IFERROR(H137,0))/IFERROR(COUNTIF(J137:U137,"x"),1)+(Besatzung!$F$13="x")*IFERROR(H137,0)/IFERROR(SUMPRODUCT((J137:U137="x")*(Besatzung!$F$11:$F$22="x")),1))),(IF(COUNTIF(J137:U137,"x")=0,IF(Besatzung!$B$13&lt;&gt;"",1,0),(K137="x"))*(G137-IFERROR(H137,0))/IFERROR(IF(COUNTIF(J137:U137,"x")=0,COUNTA(Besatzung!$B$11:$B$22),COUNTIF(J137:U137,"x")),1)+IF(COUNTIF(J137:U137,"x")=0,(Besatzung!$F$13="x"),(K137="x")*(Besatzung!$F$13="x"))*IFERROR(H137,0)/IFERROR(IF(COUNTIF(J137:U137,"x")=0,SUMPRODUCT((Besatzung!$B$11:$B$22&lt;&gt;"")*(Besatzung!$F$11:$F$22="x")),SUMPRODUCT((J137:U137="x")*(Besatzung!$F$11:$F$22="x"))),1))))),0))))</f>
        <v/>
      </c>
      <c r="Y137" s="247">
        <f>IF(C137="Gutschrift","",IF(G137="","",IF(Besatzung!$B$14="","",IFERROR(IF(I137="Zeitanteilig",(Besatzung!$G$14*(G137-IFERROR(H137,0))+((Besatzung!$B$14&lt;&gt;"")*IF(B137="",1,(IF(Besatzung!$C$14="",Besatzung!$B$5,Besatzung!$C$14)&lt;=B137)*(IF(Besatzung!$D$14="",Besatzung!$B$6,Besatzung!$D$14)&gt;=B137)))*(Besatzung!$F$14="x")*IFERROR(H137,0)/IFERROR(SUMPRODUCT((Besatzung!$B$11:$B$22&lt;&gt;"")*(Besatzung!$F$11:$F$22="x")*(IF(Besatzung!$C$11:$C$22="",Besatzung!$B$5,Besatzung!$C$11:$C$22)&lt;=B137)*(IF(Besatzung!$D$11:$D$22="",Besatzung!$B$6,Besatzung!$D$11:$D$22)&gt;=B137)),1)),IF(I137="An Bord",(((Besatzung!$B$14&lt;&gt;"")*IF(B137="",1,(IF(Besatzung!$C$14="",Besatzung!$B$5,Besatzung!$C$14)&lt;=B137)*(IF(Besatzung!$D$14="",Besatzung!$B$6,Besatzung!$D$14)&gt;=B137)))*((G137-IFERROR(H137,0))/IFERROR(SUMPRODUCT((Besatzung!$B$11:$B$22&lt;&gt;"")*(IF(Besatzung!$C$11:$C$22="",Besatzung!$B$5,Besatzung!$C$11:$C$22)&lt;=B137)*(IF(Besatzung!$D$11:$D$22="",Besatzung!$B$6,Besatzung!$D$11:$D$22)&gt;=B137)),1)+(Besatzung!$F$14="x")*IFERROR(H137,0)/IFERROR(SUMPRODUCT((Besatzung!$B$11:$B$22&lt;&gt;"")*(Besatzung!$F$11:$F$22="x")*(IF(Besatzung!$C$11:$C$22="",Besatzung!$B$5,Besatzung!$C$11:$C$22)&lt;=B137)*(IF(Besatzung!$D$11:$D$22="",Besatzung!$B$6,Besatzung!$D$11:$D$22)&gt;=B137)),1))),IF(I137="Individuell",((M137="x")*((G137-IFERROR(H137,0))/IFERROR(COUNTIF(J137:U137,"x"),1)+(Besatzung!$F$14="x")*IFERROR(H137,0)/IFERROR(SUMPRODUCT((J137:U137="x")*(Besatzung!$F$11:$F$22="x")),1))),(IF(COUNTIF(J137:U137,"x")=0,IF(Besatzung!$B$14&lt;&gt;"",1,0),(M137="x"))*(G137-IFERROR(H137,0))/IFERROR(IF(COUNTIF(J137:U137,"x")=0,COUNTA(Besatzung!$B$11:$B$22),COUNTIF(J137:U137,"x")),1)+IF(COUNTIF(J137:U137,"x")=0,(Besatzung!$F$14="x"),(M137="x")*(Besatzung!$F$14="x"))*IFERROR(H137,0)/IFERROR(IF(COUNTIF(J137:U137,"x")=0,SUMPRODUCT((Besatzung!$B$11:$B$22&lt;&gt;"")*(Besatzung!$F$11:$F$22="x")),SUMPRODUCT((J137:U137="x")*(Besatzung!$F$11:$F$22="x"))),1))))),0))))</f>
        <v/>
      </c>
      <c r="Z137" s="247">
        <f>IF(C137="Gutschrift","",IF(G137="","",IF(Besatzung!$B$13="","",IFERROR(IF(I137="Zeitanteilig",(Besatzung!$G$15*(G137-IFERROR(H137,0))+((Besatzung!$B$13&lt;&gt;"")*IF(B137="",1,(IF(Besatzung!$C$15="",Besatzung!$B$5,Besatzung!$C$15)&lt;=B137)*(IF(Besatzung!$D$15="",Besatzung!$B$6,Besatzung!$D$15)&gt;=B137)))*(Besatzung!$F$15="x")*IFERROR(H137,0)/IFERROR(SUMPRODUCT((Besatzung!$B$11:$B$22&lt;&gt;"")*(Besatzung!$F$11:$F$22="x")*(IF(Besatzung!$C$11:$C$22="",Besatzung!$B$5,Besatzung!$C$11:$C$22)&lt;=B137)*(IF(Besatzung!$D$11:$D$22="",Besatzung!$B$6,Besatzung!$D$11:$D$22)&gt;=B137)),1)),IF(I137="An Bord",(((Besatzung!$B$13&lt;&gt;"")*IF(B137="",1,(IF(Besatzung!$C$15="",Besatzung!$B$5,Besatzung!$C$15)&lt;=B137)*(IF(Besatzung!$D$15="",Besatzung!$B$6,Besatzung!$D$15)&gt;=B137)))*((G137-IFERROR(H137,0))/IFERROR(SUMPRODUCT((Besatzung!$B$11:$B$22&lt;&gt;"")*(IF(Besatzung!$C$11:$C$22="",Besatzung!$B$5,Besatzung!$C$11:$C$22)&lt;=B137)*(IF(Besatzung!$D$11:$D$22="",Besatzung!$B$6,Besatzung!$D$11:$D$22)&gt;=B137)),1)+(Besatzung!$F$15="x")*IFERROR(H137,0)/IFERROR(SUMPRODUCT((Besatzung!$B$11:$B$22&lt;&gt;"")*(Besatzung!$F$11:$F$22="x")*(IF(Besatzung!$C$11:$C$22="",Besatzung!$B$5,Besatzung!$C$11:$C$22)&lt;=B137)*(IF(Besatzung!$D$11:$D$22="",Besatzung!$B$6,Besatzung!$D$11:$D$22)&gt;=B137)),1))),IF(I137="Individuell",((N137="x")*((G137-IFERROR(H137,0))/IFERROR(COUNTIF(J137:U137,"x"),1)+(Besatzung!$F$15="x")*IFERROR(H137,0)/IFERROR(SUMPRODUCT((J137:U137="x")*(Besatzung!$F$11:$F$22="x")),1))),(IF(COUNTIF(J137:U137,"x")=0,IF(Besatzung!$B$13&lt;&gt;"",1,0),(N137="x"))*(G137-IFERROR(H137,0))/IFERROR(IF(COUNTIF(J137:U137,"x")=0,COUNTA(Besatzung!$B$11:$B$22),COUNTIF(J137:U137,"x")),1)+IF(COUNTIF(J137:U137,"x")=0,(Besatzung!$F$15="x"),(N137="x")*(Besatzung!$F$15="x"))*IFERROR(H137,0)/IFERROR(IF(COUNTIF(J137:U137,"x")=0,SUMPRODUCT((Besatzung!$B$11:$B$22&lt;&gt;"")*(Besatzung!$F$11:$F$22="x")),SUMPRODUCT((J137:U137="x")*(Besatzung!$F$11:$F$22="x"))),1))))),0))))</f>
        <v/>
      </c>
      <c r="AA137" s="247">
        <f>IF(C137="Gutschrift","",IF(G137="","",IF(Besatzung!$B$15="","",IFERROR(IF(I137="Zeitanteilig",(Besatzung!$G$16*(G137-IFERROR(H137,0))+((Besatzung!$B$15&lt;&gt;"")*IF(B137="",1,(IF(Besatzung!$C$16="",Besatzung!$B$5,Besatzung!$C$16)&lt;=B137)*(IF(Besatzung!$D$16="",Besatzung!$B$6,Besatzung!$D$16)&gt;=B137)))*(Besatzung!$F$16="x")*IFERROR(H137,0)/IFERROR(SUMPRODUCT((Besatzung!$B$11:$B$22&lt;&gt;"")*(Besatzung!$F$11:$F$22="x")*(IF(Besatzung!$C$11:$C$22="",Besatzung!$B$5,Besatzung!$C$11:$C$22)&lt;=B137)*(IF(Besatzung!$D$11:$D$22="",Besatzung!$B$6,Besatzung!$D$11:$D$22)&gt;=B137)),1)),IF(I137="An Bord",(((Besatzung!$B$15&lt;&gt;"")*IF(B137="",1,(IF(Besatzung!$C$16="",Besatzung!$B$5,Besatzung!$C$16)&lt;=B137)*(IF(Besatzung!$D$16="",Besatzung!$B$6,Besatzung!$D$16)&gt;=B137)))*((G137-IFERROR(H137,0))/IFERROR(SUMPRODUCT((Besatzung!$B$11:$B$22&lt;&gt;"")*(IF(Besatzung!$C$11:$C$22="",Besatzung!$B$5,Besatzung!$C$11:$C$22)&lt;=B137)*(IF(Besatzung!$D$11:$D$22="",Besatzung!$B$6,Besatzung!$D$11:$D$22)&gt;=B137)),1)+(Besatzung!$F$16="x")*IFERROR(H137,0)/IFERROR(SUMPRODUCT((Besatzung!$B$11:$B$22&lt;&gt;"")*(Besatzung!$F$11:$F$22="x")*(IF(Besatzung!$C$11:$C$22="",Besatzung!$B$5,Besatzung!$C$11:$C$22)&lt;=B137)*(IF(Besatzung!$D$11:$D$22="",Besatzung!$B$6,Besatzung!$D$11:$D$22)&gt;=B137)),1))),IF(I137="Individuell",((O137="x")*((G137-IFERROR(H137,0))/IFERROR(COUNTIF(J137:U137,"x"),1)+(Besatzung!$F$16="x")*IFERROR(H137,0)/IFERROR(SUMPRODUCT((J137:U137="x")*(Besatzung!$F$11:$F$22="x")),1))),(IF(COUNTIF(J137:U137,"x")=0,IF(Besatzung!$B$15&lt;&gt;"",1,0),(O137="x"))*(G137-IFERROR(H137,0))/IFERROR(IF(COUNTIF(J137:U137,"x")=0,COUNTA(Besatzung!$B$11:$B$22),COUNTIF(J137:U137,"x")),1)+IF(COUNTIF(J137:U137,"x")=0,(Besatzung!$F$16="x"),(O137="x")*(Besatzung!$F$16="x"))*IFERROR(H137,0)/IFERROR(IF(COUNTIF(J137:U137,"x")=0,SUMPRODUCT((Besatzung!$B$11:$B$22&lt;&gt;"")*(Besatzung!$F$11:$F$22="x")),SUMPRODUCT((J137:U137="x")*(Besatzung!$F$11:$F$22="x"))),1))))),0))))</f>
        <v/>
      </c>
      <c r="AB137" s="247">
        <f>IF(C137="Gutschrift","",IF(G137="","",IF(Besatzung!$B$17="","",IFERROR(IF(I137="Zeitanteilig",(Besatzung!$G$17*(G137-IFERROR(H137,0))+((Besatzung!$B$17&lt;&gt;"")*IF(B137="",1,(IF(Besatzung!$C$17="",Besatzung!$B$5,Besatzung!$C$17)&lt;=B137)*(IF(Besatzung!$D$17="",Besatzung!$B$6,Besatzung!$D$17)&gt;=B137)))*(Besatzung!$F$17="x")*IFERROR(H137,0)/IFERROR(SUMPRODUCT((Besatzung!$B$11:$B$22&lt;&gt;"")*(Besatzung!$F$11:$F$22="x")*(IF(Besatzung!$C$11:$C$22="",Besatzung!$B$5,Besatzung!$C$11:$C$22)&lt;=B137)*(IF(Besatzung!$D$11:$D$22="",Besatzung!$B$6,Besatzung!$D$11:$D$22)&gt;=B137)),1)),IF(I137="An Bord",(((Besatzung!$B$17&lt;&gt;"")*IF(B137="",1,(IF(Besatzung!$C$17="",Besatzung!$B$5,Besatzung!$C$17)&lt;=B137)*(IF(Besatzung!$D$17="",Besatzung!$B$6,Besatzung!$D$17)&gt;=B137)))*((G137-IFERROR(H137,0))/IFERROR(SUMPRODUCT((Besatzung!$B$11:$B$22&lt;&gt;"")*(IF(Besatzung!$C$11:$C$22="",Besatzung!$B$5,Besatzung!$C$11:$C$22)&lt;=B137)*(IF(Besatzung!$D$11:$D$22="",Besatzung!$B$6,Besatzung!$D$11:$D$22)&gt;=B137)),1)+(Besatzung!$F$17="x")*IFERROR(H137,0)/IFERROR(SUMPRODUCT((Besatzung!$B$11:$B$22&lt;&gt;"")*(Besatzung!$F$11:$F$22="x")*(IF(Besatzung!$C$11:$C$22="",Besatzung!$B$5,Besatzung!$C$11:$C$22)&lt;=B137)*(IF(Besatzung!$D$11:$D$22="",Besatzung!$B$6,Besatzung!$D$11:$D$22)&gt;=B137)),1))),IF(I137="Individuell",((P137="x")*((G137-IFERROR(H137,0))/IFERROR(COUNTIF(J137:U137,"x"),1)+(Besatzung!$F$17="x")*IFERROR(H137,0)/IFERROR(SUMPRODUCT((J137:U137="x")*(Besatzung!$F$11:$F$22="x")),1))),(IF(COUNTIF(J137:U137,"x")=0,IF(Besatzung!$B$17&lt;&gt;"",1,0),(P137="x"))*(G137-IFERROR(H137,0))/IFERROR(IF(COUNTIF(J137:U137,"x")=0,COUNTA(Besatzung!$B$11:$B$22),COUNTIF(J137:U137,"x")),1)+IF(COUNTIF(J137:U137,"x")=0,(Besatzung!$F$17="x"),(P137="x")*(Besatzung!$F$17="x"))*IFERROR(H137,0)/IFERROR(IF(COUNTIF(J137:U137,"x")=0,SUMPRODUCT((Besatzung!$B$11:$B$22&lt;&gt;"")*(Besatzung!$F$11:$F$22="x")),SUMPRODUCT((J137:U137="x")*(Besatzung!$F$11:$F$22="x"))),1))))),0))))</f>
        <v/>
      </c>
      <c r="AC137" s="247">
        <f>IF(C137="Gutschrift","",IF(G137="","",IF(Besatzung!$B$18="","",IFERROR(IF(I137="Zeitanteilig",(Besatzung!$G$18*(G137-IFERROR(H137,0))+((Besatzung!$B$18&lt;&gt;"")*IF(B137="",1,(IF(Besatzung!$C$18="",Besatzung!$B$5,Besatzung!$C$18)&lt;=B137)*(IF(Besatzung!$D$18="",Besatzung!$B$6,Besatzung!$D$18)&gt;=B137)))*(Besatzung!$F$18="x")*IFERROR(H137,0)/IFERROR(SUMPRODUCT((Besatzung!$B$11:$B$22&lt;&gt;"")*(Besatzung!$F$11:$F$22="x")*(IF(Besatzung!$C$11:$C$22="",Besatzung!$B$5,Besatzung!$C$11:$C$22)&lt;=B137)*(IF(Besatzung!$D$11:$D$22="",Besatzung!$B$6,Besatzung!$D$11:$D$22)&gt;=B137)),1)),IF(I137="An Bord",(((Besatzung!$B$18&lt;&gt;"")*IF(B137="",1,(IF(Besatzung!$C$18="",Besatzung!$B$5,Besatzung!$C$18)&lt;=B137)*(IF(Besatzung!$D$18="",Besatzung!$B$6,Besatzung!$D$18)&gt;=B137)))*((G137-IFERROR(H137,0))/IFERROR(SUMPRODUCT((Besatzung!$B$11:$B$22&lt;&gt;"")*(IF(Besatzung!$C$11:$C$22="",Besatzung!$B$5,Besatzung!$C$11:$C$22)&lt;=B137)*(IF(Besatzung!$D$11:$D$22="",Besatzung!$B$6,Besatzung!$D$11:$D$22)&gt;=B137)),1)+(Besatzung!$F$18="x")*IFERROR(H137,0)/IFERROR(SUMPRODUCT((Besatzung!$B$11:$B$22&lt;&gt;"")*(Besatzung!$F$11:$F$22="x")*(IF(Besatzung!$C$11:$C$22="",Besatzung!$B$5,Besatzung!$C$11:$C$22)&lt;=B137)*(IF(Besatzung!$D$11:$D$22="",Besatzung!$B$6,Besatzung!$D$11:$D$22)&gt;=B137)),1))),IF(I137="Individuell",((Q137="x")*((G137-IFERROR(H137,0))/IFERROR(COUNTIF(J137:U137,"x"),1)+(Besatzung!$F$18="x")*IFERROR(H137,0)/IFERROR(SUMPRODUCT((J137:U137="x")*(Besatzung!$F$11:$F$22="x")),1))),(IF(COUNTIF(J137:U137,"x")=0,IF(Besatzung!$B$18&lt;&gt;"",1,0),(Q137="x"))*(G137-IFERROR(H137,0))/IFERROR(IF(COUNTIF(J137:U137,"x")=0,COUNTA(Besatzung!$B$11:$B$22),COUNTIF(J137:U137,"x")),1)+IF(COUNTIF(J137:U137,"x")=0,(Besatzung!$F$18="x"),(Q137="x")*(Besatzung!$F$18="x"))*IFERROR(H137,0)/IFERROR(IF(COUNTIF(J137:U137,"x")=0,SUMPRODUCT((Besatzung!$B$11:$B$22&lt;&gt;"")*(Besatzung!$F$11:$F$22="x")),SUMPRODUCT((J137:U137="x")*(Besatzung!$F$11:$F$22="x"))),1))))),0))))</f>
        <v/>
      </c>
      <c r="AD137" s="247">
        <f>IF(C137="Gutschrift","",IF(G137="","",IF(Besatzung!$B$19="","",IFERROR(IF(I137="Zeitanteilig",(Besatzung!$G$19*(G137-IFERROR(H137,0))+((Besatzung!$B$19&lt;&gt;"")*IF(B137="",1,(IF(Besatzung!$C$19="",Besatzung!$B$5,Besatzung!$C$19)&lt;=B137)*(IF(Besatzung!$D$19="",Besatzung!$B$6,Besatzung!$D$19)&gt;=B137)))*(Besatzung!$F$19="x")*IFERROR(H137,0)/IFERROR(SUMPRODUCT((Besatzung!$B$11:$B$22&lt;&gt;"")*(Besatzung!$F$11:$F$22="x")*(IF(Besatzung!$C$11:$C$22="",Besatzung!$B$5,Besatzung!$C$11:$C$22)&lt;=B137)*(IF(Besatzung!$D$11:$D$22="",Besatzung!$B$6,Besatzung!$D$11:$D$22)&gt;=B137)),1)),IF(I137="An Bord",(((Besatzung!$B$19&lt;&gt;"")*IF(B137="",1,(IF(Besatzung!$C$19="",Besatzung!$B$5,Besatzung!$C$19)&lt;=B137)*(IF(Besatzung!$D$19="",Besatzung!$B$6,Besatzung!$D$19)&gt;=B137)))*((G137-IFERROR(H137,0))/IFERROR(SUMPRODUCT((Besatzung!$B$11:$B$22&lt;&gt;"")*(IF(Besatzung!$C$11:$C$22="",Besatzung!$B$5,Besatzung!$C$11:$C$22)&lt;=B137)*(IF(Besatzung!$D$11:$D$22="",Besatzung!$B$6,Besatzung!$D$11:$D$22)&gt;=B137)),1)+(Besatzung!$F$19="x")*IFERROR(H137,0)/IFERROR(SUMPRODUCT((Besatzung!$B$11:$B$22&lt;&gt;"")*(Besatzung!$F$11:$F$22="x")*(IF(Besatzung!$C$11:$C$22="",Besatzung!$B$5,Besatzung!$C$11:$C$22)&lt;=B137)*(IF(Besatzung!$D$11:$D$22="",Besatzung!$B$6,Besatzung!$D$11:$D$22)&gt;=B137)),1))),IF(I137="Individuell",((R137="x")*((G137-IFERROR(H137,0))/IFERROR(COUNTIF(J137:U137,"x"),1)+(Besatzung!$F$19="x")*IFERROR(H137,0)/IFERROR(SUMPRODUCT((J137:U137="x")*(Besatzung!$F$11:$F$22="x")),1))),(IF(COUNTIF(J137:U137,"x")=0,IF(Besatzung!$B$19&lt;&gt;"",1,0),(R137="x"))*(G137-IFERROR(H137,0))/IFERROR(IF(COUNTIF(J137:U137,"x")=0,COUNTA(Besatzung!$B$11:$B$22),COUNTIF(J137:U137,"x")),1)+IF(COUNTIF(J137:U137,"x")=0,(Besatzung!$F$19="x"),(R137="x")*(Besatzung!$F$19="x"))*IFERROR(H137,0)/IFERROR(IF(COUNTIF(J137:U137,"x")=0,SUMPRODUCT((Besatzung!$B$11:$B$22&lt;&gt;"")*(Besatzung!$F$11:$F$22="x")),SUMPRODUCT((J137:U137="x")*(Besatzung!$F$11:$F$22="x"))),1))))),0))))</f>
        <v/>
      </c>
      <c r="AE137" s="247">
        <f>IF(C137="Gutschrift","",IF(G137="","",IF(Besatzung!$B$20="","",IFERROR(IF(I137="Zeitanteilig",(Besatzung!$G$20*(G137-IFERROR(H137,0))+((Besatzung!$B$20&lt;&gt;"")*IF(B137="",1,(IF(Besatzung!$C$20="",Besatzung!$B$5,Besatzung!$C$20)&lt;=B137)*(IF(Besatzung!$D$20="",Besatzung!$B$6,Besatzung!$D$20)&gt;=B137)))*(Besatzung!$F$20="x")*IFERROR(H137,0)/IFERROR(SUMPRODUCT((Besatzung!$B$11:$B$22&lt;&gt;"")*(Besatzung!$F$11:$F$22="x")*(IF(Besatzung!$C$11:$C$22="",Besatzung!$B$5,Besatzung!$C$11:$C$22)&lt;=B137)*(IF(Besatzung!$D$11:$D$22="",Besatzung!$B$6,Besatzung!$D$11:$D$22)&gt;=B137)),1)),IF(I137="An Bord",(((Besatzung!$B$20&lt;&gt;"")*IF(B137="",1,(IF(Besatzung!$C$20="",Besatzung!$B$5,Besatzung!$C$20)&lt;=B137)*(IF(Besatzung!$D$20="",Besatzung!$B$6,Besatzung!$D$20)&gt;=B137)))*((G137-IFERROR(H137,0))/IFERROR(SUMPRODUCT((Besatzung!$B$11:$B$22&lt;&gt;"")*(IF(Besatzung!$C$11:$C$22="",Besatzung!$B$5,Besatzung!$C$11:$C$22)&lt;=B137)*(IF(Besatzung!$D$11:$D$22="",Besatzung!$B$6,Besatzung!$D$11:$D$22)&gt;=B137)),1)+(Besatzung!$F$20="x")*IFERROR(H137,0)/IFERROR(SUMPRODUCT((Besatzung!$B$11:$B$22&lt;&gt;"")*(Besatzung!$F$11:$F$22="x")*(IF(Besatzung!$C$11:$C$22="",Besatzung!$B$5,Besatzung!$C$11:$C$22)&lt;=B137)*(IF(Besatzung!$D$11:$D$22="",Besatzung!$B$6,Besatzung!$D$11:$D$22)&gt;=B137)),1))),IF(I137="Individuell",((S137="x")*((G137-IFERROR(H137,0))/IFERROR(COUNTIF(J137:U137,"x"),1)+(Besatzung!$F$20="x")*IFERROR(H137,0)/IFERROR(SUMPRODUCT((J137:U137="x")*(Besatzung!$F$11:$F$22="x")),1))),(IF(COUNTIF(J137:U137,"x")=0,IF(Besatzung!$B$20&lt;&gt;"",1,0),(S137="x"))*(G137-IFERROR(H137,0))/IFERROR(IF(COUNTIF(J137:U137,"x")=0,COUNTA(Besatzung!$B$11:$B$22),COUNTIF(J137:U137,"x")),1)+IF(COUNTIF(J137:U137,"x")=0,(Besatzung!$F$20="x"),(S137="x")*(Besatzung!$F$20="x"))*IFERROR(H137,0)/IFERROR(IF(COUNTIF(J137:U137,"x")=0,SUMPRODUCT((Besatzung!$B$11:$B$22&lt;&gt;"")*(Besatzung!$F$11:$F$22="x")),SUMPRODUCT((J137:U137="x")*(Besatzung!$F$11:$F$22="x"))),1))))),0))))</f>
        <v/>
      </c>
      <c r="AF137" s="247">
        <f>IF(C137="Gutschrift","",IF(G137="","",IF(Besatzung!$B$21="","",IFERROR(IF(I137="Zeitanteilig",(Besatzung!$G$21*(G137-IFERROR(H137,0))+((Besatzung!$B$21&lt;&gt;"")*IF(B137="",1,(IF(Besatzung!$C$21="",Besatzung!$B$5,Besatzung!$C$21)&lt;=B137)*(IF(Besatzung!$D$21="",Besatzung!$B$6,Besatzung!$D$21)&gt;=B137)))*(Besatzung!$F$21="x")*IFERROR(H137,0)/IFERROR(SUMPRODUCT((Besatzung!$B$11:$B$22&lt;&gt;"")*(Besatzung!$F$11:$F$22="x")*(IF(Besatzung!$C$11:$C$22="",Besatzung!$B$5,Besatzung!$C$11:$C$22)&lt;=B137)*(IF(Besatzung!$D$11:$D$22="",Besatzung!$B$6,Besatzung!$D$11:$D$22)&gt;=B137)),1)),IF(I137="An Bord",(((Besatzung!$B$21&lt;&gt;"")*IF(B137="",1,(IF(Besatzung!$C$21="",Besatzung!$B$5,Besatzung!$C$21)&lt;=B137)*(IF(Besatzung!$D$21="",Besatzung!$B$6,Besatzung!$D$21)&gt;=B137)))*((G137-IFERROR(H137,0))/IFERROR(SUMPRODUCT((Besatzung!$B$11:$B$22&lt;&gt;"")*(IF(Besatzung!$C$11:$C$22="",Besatzung!$B$5,Besatzung!$C$11:$C$22)&lt;=B137)*(IF(Besatzung!$D$11:$D$22="",Besatzung!$B$6,Besatzung!$D$11:$D$22)&gt;=B137)),1)+(Besatzung!$F$21="x")*IFERROR(H137,0)/IFERROR(SUMPRODUCT((Besatzung!$B$11:$B$22&lt;&gt;"")*(Besatzung!$F$11:$F$22="x")*(IF(Besatzung!$C$11:$C$22="",Besatzung!$B$5,Besatzung!$C$11:$C$22)&lt;=B137)*(IF(Besatzung!$D$11:$D$22="",Besatzung!$B$6,Besatzung!$D$11:$D$22)&gt;=B137)),1))),IF(I137="Individuell",((T137="x")*((G137-IFERROR(H137,0))/IFERROR(COUNTIF(J137:U137,"x"),1)+(Besatzung!$F$21="x")*IFERROR(H137,0)/IFERROR(SUMPRODUCT((J137:U137="x")*(Besatzung!$F$11:$F$22="x")),1))),(IF(COUNTIF(J137:U137,"x")=0,IF(Besatzung!$B$21&lt;&gt;"",1,0),(T137="x"))*(G137-IFERROR(H137,0))/IFERROR(IF(COUNTIF(J137:U137,"x")=0,COUNTA(Besatzung!$B$11:$B$22),COUNTIF(J137:U137,"x")),1)+IF(COUNTIF(J137:U137,"x")=0,(Besatzung!$F$21="x"),(T137="x")*(Besatzung!$F$21="x"))*IFERROR(H137,0)/IFERROR(IF(COUNTIF(J137:U137,"x")=0,SUMPRODUCT((Besatzung!$B$11:$B$22&lt;&gt;"")*(Besatzung!$F$11:$F$22="x")),SUMPRODUCT((J137:U137="x")*(Besatzung!$F$11:$F$22="x"))),1))))),0))))</f>
        <v/>
      </c>
      <c r="AG137" s="247">
        <f>IF(C137="Gutschrift","",IF(G137="","",IF(Besatzung!$B$22="","",IFERROR(IF(I137="Zeitanteilig",(Besatzung!$G$22*(G137-IFERROR(H137,0))+((Besatzung!$B$22&lt;&gt;"")*IF(B137="",1,(IF(Besatzung!$C$22="",Besatzung!$B$5,Besatzung!$C$22)&lt;=B137)*(IF(Besatzung!$D$22="",Besatzung!$B$6,Besatzung!$D$22)&gt;=B137)))*(Besatzung!$F$22="x")*IFERROR(H137,0)/IFERROR(SUMPRODUCT((Besatzung!$B$11:$B$22&lt;&gt;"")*(Besatzung!$F$11:$F$22="x")*(IF(Besatzung!$C$11:$C$22="",Besatzung!$B$5,Besatzung!$C$11:$C$22)&lt;=B137)*(IF(Besatzung!$D$11:$D$22="",Besatzung!$B$6,Besatzung!$D$11:$D$22)&gt;=B137)),1)),IF(I137="An Bord",(((Besatzung!$B$22&lt;&gt;"")*IF(B137="",1,(IF(Besatzung!$C$22="",Besatzung!$B$5,Besatzung!$C$22)&lt;=B137)*(IF(Besatzung!$D$22="",Besatzung!$B$6,Besatzung!$D$22)&gt;=B137)))*((G137-IFERROR(H137,0))/IFERROR(SUMPRODUCT((Besatzung!$B$11:$B$22&lt;&gt;"")*(IF(Besatzung!$C$11:$C$22="",Besatzung!$B$5,Besatzung!$C$11:$C$22)&lt;=B137)*(IF(Besatzung!$D$11:$D$22="",Besatzung!$B$6,Besatzung!$D$11:$D$22)&gt;=B137)),1)+(Besatzung!$F$22="x")*IFERROR(H137,0)/IFERROR(SUMPRODUCT((Besatzung!$B$11:$B$22&lt;&gt;"")*(Besatzung!$F$11:$F$22="x")*(IF(Besatzung!$C$11:$C$22="",Besatzung!$B$5,Besatzung!$C$11:$C$22)&lt;=B137)*(IF(Besatzung!$D$11:$D$22="",Besatzung!$B$6,Besatzung!$D$11:$D$22)&gt;=B137)),1))),IF(I137="Individuell",((U137="x")*((G137-IFERROR(H137,0))/IFERROR(COUNTIF(J137:U137,"x"),1)+(Besatzung!$F$22="x")*IFERROR(H137,0)/IFERROR(SUMPRODUCT((J137:U137="x")*(Besatzung!$F$11:$F$22="x")),1))),(IF(COUNTIF(J137:U137,"x")=0,IF(Besatzung!$B$22&lt;&gt;"",1,0),(U137="x"))*(G137-IFERROR(H137,0))/IFERROR(IF(COUNTIF(J137:U137,"x")=0,COUNTA(Besatzung!$B$11:$B$22),COUNTIF(J137:U137,"x")),1)+IF(COUNTIF(J137:U137,"x")=0,(Besatzung!$F$22="x"),(U137="x")*(Besatzung!$F$22="x"))*IFERROR(H137,0)/IFERROR(IF(COUNTIF(J137:U137,"x")=0,SUMPRODUCT((Besatzung!$B$11:$B$22&lt;&gt;"")*(Besatzung!$F$11:$F$22="x")),SUMPRODUCT((J137:U137="x")*(Besatzung!$F$11:$F$22="x"))),1))))),0))))</f>
        <v/>
      </c>
      <c r="AH137" s="248" t="n"/>
      <c r="AI137" s="248" t="n"/>
    </row>
    <row r="138" ht="21.75" customHeight="1" s="154">
      <c r="A138" s="238">
        <f>IF(AND(D138="",C138=""),"",135)</f>
        <v/>
      </c>
      <c r="B138" s="199" t="n"/>
      <c r="C138" s="239" t="n"/>
      <c r="D138" s="240" t="n"/>
      <c r="E138" s="241" t="n"/>
      <c r="F138" s="242" t="n"/>
      <c r="G138" s="243" t="n"/>
      <c r="H138" s="244" t="n"/>
      <c r="I138" s="245" t="n"/>
      <c r="J138" s="246" t="n"/>
      <c r="K138" s="246" t="n"/>
      <c r="L138" s="246" t="n"/>
      <c r="M138" s="246" t="n"/>
      <c r="N138" s="246" t="n"/>
      <c r="O138" s="246" t="n"/>
      <c r="P138" s="246" t="n"/>
      <c r="Q138" s="246" t="n"/>
      <c r="R138" s="246" t="n"/>
      <c r="S138" s="246" t="n"/>
      <c r="T138" s="246" t="n"/>
      <c r="U138" s="246" t="n"/>
      <c r="V138" s="247">
        <f>IF(C138="Gutschrift","",IF(G138="","",IF(Besatzung!$B$11="","",IFERROR(IF(I138="Zeitanteilig",(Besatzung!$G$11*(G138-IFERROR(H138,0))+((Besatzung!$B$11&lt;&gt;"")*IF(B138="",1,(IF(Besatzung!$C$11="",Besatzung!$B$5,Besatzung!$C$11)&lt;=B138)*(IF(Besatzung!$D$11="",Besatzung!$B$6,Besatzung!$D$11)&gt;=B138)))*(Besatzung!$F$11="x")*IFERROR(H138,0)/IFERROR(SUMPRODUCT((Besatzung!$B$11:$B$22&lt;&gt;"")*(Besatzung!$F$11:$F$22="x")*(IF(Besatzung!$C$11:$C$22="",Besatzung!$B$5,Besatzung!$C$11:$C$22)&lt;=B138)*(IF(Besatzung!$D$11:$D$22="",Besatzung!$B$6,Besatzung!$D$11:$D$22)&gt;=B138)),1)),IF(I138="An Bord",(((Besatzung!$B$11&lt;&gt;"")*IF(B138="",1,(IF(Besatzung!$C$11="",Besatzung!$B$5,Besatzung!$C$11)&lt;=B138)*(IF(Besatzung!$D$11="",Besatzung!$B$6,Besatzung!$D$11)&gt;=B138)))*((G138-IFERROR(H138,0))/IFERROR(SUMPRODUCT((Besatzung!$B$11:$B$22&lt;&gt;"")*(IF(Besatzung!$C$11:$C$22="",Besatzung!$B$5,Besatzung!$C$11:$C$22)&lt;=B138)*(IF(Besatzung!$D$11:$D$22="",Besatzung!$B$6,Besatzung!$D$11:$D$22)&gt;=B138)),1)+(Besatzung!$F$11="x")*IFERROR(H138,0)/IFERROR(SUMPRODUCT((Besatzung!$B$11:$B$22&lt;&gt;"")*(Besatzung!$F$11:$F$22="x")*(IF(Besatzung!$C$11:$C$22="",Besatzung!$B$5,Besatzung!$C$11:$C$22)&lt;=B138)*(IF(Besatzung!$D$11:$D$22="",Besatzung!$B$6,Besatzung!$D$11:$D$22)&gt;=B138)),1))),IF(I138="Individuell",((J138="x")*((G138-IFERROR(H138,0))/IFERROR(COUNTIF(J138:U138,"x"),1)+(Besatzung!$F$11="x")*IFERROR(H138,0)/IFERROR(SUMPRODUCT((J138:U138="x")*(Besatzung!$F$11:$F$22="x")),1))),(IF(COUNTIF(J138:U138,"x")=0,IF(Besatzung!$B$11&lt;&gt;"",1,0),(J138="x"))*(G138-IFERROR(H138,0))/IFERROR(IF(COUNTIF(J138:U138,"x")=0,COUNTA(Besatzung!$B$11:$B$22),COUNTIF(J138:U138,"x")),1)+IF(COUNTIF(J138:U138,"x")=0,(Besatzung!$F$11="x"),(J138="x")*(Besatzung!$F$11="x"))*IFERROR(H138,0)/IFERROR(IF(COUNTIF(J138:U138,"x")=0,SUMPRODUCT((Besatzung!$B$11:$B$22&lt;&gt;"")*(Besatzung!$F$11:$F$22="x")),SUMPRODUCT((J138:U138="x")*(Besatzung!$F$11:$F$22="x"))),1))))),0))))</f>
        <v/>
      </c>
      <c r="W138" s="247">
        <f>IF(C138="Gutschrift","",IF(G138="","",IF(Besatzung!$B$12="","",IFERROR(IF(I138="Zeitanteilig",(Besatzung!$G$12*(G138-IFERROR(H138,0))+((Besatzung!$B$12&lt;&gt;"")*IF(B138="",1,(IF(Besatzung!$C$12="",Besatzung!$B$5,Besatzung!$C$12)&lt;=B138)*(IF(Besatzung!$D$12="",Besatzung!$B$6,Besatzung!$D$12)&gt;=B138)))*(Besatzung!$F$12="x")*IFERROR(H138,0)/IFERROR(SUMPRODUCT((Besatzung!$B$11:$B$22&lt;&gt;"")*(Besatzung!$F$11:$F$22="x")*(IF(Besatzung!$C$11:$C$22="",Besatzung!$B$5,Besatzung!$C$11:$C$22)&lt;=B138)*(IF(Besatzung!$D$11:$D$22="",Besatzung!$B$6,Besatzung!$D$11:$D$22)&gt;=B138)),1)),IF(I138="An Bord",(((Besatzung!$B$12&lt;&gt;"")*IF(B138="",1,(IF(Besatzung!$C$12="",Besatzung!$B$5,Besatzung!$C$12)&lt;=B138)*(IF(Besatzung!$D$12="",Besatzung!$B$6,Besatzung!$D$12)&gt;=B138)))*((G138-IFERROR(H138,0))/IFERROR(SUMPRODUCT((Besatzung!$B$11:$B$22&lt;&gt;"")*(IF(Besatzung!$C$11:$C$22="",Besatzung!$B$5,Besatzung!$C$11:$C$22)&lt;=B138)*(IF(Besatzung!$D$11:$D$22="",Besatzung!$B$6,Besatzung!$D$11:$D$22)&gt;=B138)),1)+(Besatzung!$F$12="x")*IFERROR(H138,0)/IFERROR(SUMPRODUCT((Besatzung!$B$11:$B$22&lt;&gt;"")*(Besatzung!$F$11:$F$22="x")*(IF(Besatzung!$C$11:$C$22="",Besatzung!$B$5,Besatzung!$C$11:$C$22)&lt;=B138)*(IF(Besatzung!$D$11:$D$22="",Besatzung!$B$6,Besatzung!$D$11:$D$22)&gt;=B138)),1))),IF(I138="Individuell",((K138="x")*((G138-IFERROR(H138,0))/IFERROR(COUNTIF(J138:U138,"x"),1)+(Besatzung!$F$12="x")*IFERROR(H138,0)/IFERROR(SUMPRODUCT((J138:U138="x")*(Besatzung!$F$11:$F$22="x")),1))),(IF(COUNTIF(J138:U138,"x")=0,IF(Besatzung!$B$12&lt;&gt;"",1,0),(K138="x"))*(G138-IFERROR(H138,0))/IFERROR(IF(COUNTIF(J138:U138,"x")=0,COUNTA(Besatzung!$B$11:$B$22),COUNTIF(J138:U138,"x")),1)+IF(COUNTIF(J138:U138,"x")=0,(Besatzung!$F$12="x"),(K138="x")*(Besatzung!$F$12="x"))*IFERROR(H138,0)/IFERROR(IF(COUNTIF(J138:U138,"x")=0,SUMPRODUCT((Besatzung!$B$11:$B$22&lt;&gt;"")*(Besatzung!$F$11:$F$22="x")),SUMPRODUCT((J138:U138="x")*(Besatzung!$F$11:$F$22="x"))),1))))),0))))</f>
        <v/>
      </c>
      <c r="X138" s="247">
        <f>IF(C138="Gutschrift","",IF(G138="","",IF(Besatzung!$B$13="","",IFERROR(IF(I138="Zeitanteilig",(Besatzung!$G$13*(G138-IFERROR(H138,0))+((Besatzung!$B$13&lt;&gt;"")*IF(B138="",1,(IF(Besatzung!$C$13="",Besatzung!$B$5,Besatzung!$C$13)&lt;=B138)*(IF(Besatzung!$D$13="",Besatzung!$B$6,Besatzung!$D$13)&gt;=B138)))*(Besatzung!$F$13="x")*IFERROR(H138,0)/IFERROR(SUMPRODUCT((Besatzung!$B$11:$B$22&lt;&gt;"")*(Besatzung!$F$11:$F$22="x")*(IF(Besatzung!$C$11:$C$22="",Besatzung!$B$5,Besatzung!$C$11:$C$22)&lt;=B138)*(IF(Besatzung!$D$11:$D$22="",Besatzung!$B$6,Besatzung!$D$11:$D$22)&gt;=B138)),1)),IF(I138="An Bord",(((Besatzung!$B$13&lt;&gt;"")*IF(B138="",1,(IF(Besatzung!$C$13="",Besatzung!$B$5,Besatzung!$C$13)&lt;=B138)*(IF(Besatzung!$D$13="",Besatzung!$B$6,Besatzung!$D$13)&gt;=B138)))*((G138-IFERROR(H138,0))/IFERROR(SUMPRODUCT((Besatzung!$B$11:$B$22&lt;&gt;"")*(IF(Besatzung!$C$11:$C$22="",Besatzung!$B$5,Besatzung!$C$11:$C$22)&lt;=B138)*(IF(Besatzung!$D$11:$D$22="",Besatzung!$B$6,Besatzung!$D$11:$D$22)&gt;=B138)),1)+(Besatzung!$F$13="x")*IFERROR(H138,0)/IFERROR(SUMPRODUCT((Besatzung!$B$11:$B$22&lt;&gt;"")*(Besatzung!$F$11:$F$22="x")*(IF(Besatzung!$C$11:$C$22="",Besatzung!$B$5,Besatzung!$C$11:$C$22)&lt;=B138)*(IF(Besatzung!$D$11:$D$22="",Besatzung!$B$6,Besatzung!$D$11:$D$22)&gt;=B138)),1))),IF(I138="Individuell",((K138="x")*((G138-IFERROR(H138,0))/IFERROR(COUNTIF(J138:U138,"x"),1)+(Besatzung!$F$13="x")*IFERROR(H138,0)/IFERROR(SUMPRODUCT((J138:U138="x")*(Besatzung!$F$11:$F$22="x")),1))),(IF(COUNTIF(J138:U138,"x")=0,IF(Besatzung!$B$13&lt;&gt;"",1,0),(K138="x"))*(G138-IFERROR(H138,0))/IFERROR(IF(COUNTIF(J138:U138,"x")=0,COUNTA(Besatzung!$B$11:$B$22),COUNTIF(J138:U138,"x")),1)+IF(COUNTIF(J138:U138,"x")=0,(Besatzung!$F$13="x"),(K138="x")*(Besatzung!$F$13="x"))*IFERROR(H138,0)/IFERROR(IF(COUNTIF(J138:U138,"x")=0,SUMPRODUCT((Besatzung!$B$11:$B$22&lt;&gt;"")*(Besatzung!$F$11:$F$22="x")),SUMPRODUCT((J138:U138="x")*(Besatzung!$F$11:$F$22="x"))),1))))),0))))</f>
        <v/>
      </c>
      <c r="Y138" s="247">
        <f>IF(C138="Gutschrift","",IF(G138="","",IF(Besatzung!$B$14="","",IFERROR(IF(I138="Zeitanteilig",(Besatzung!$G$14*(G138-IFERROR(H138,0))+((Besatzung!$B$14&lt;&gt;"")*IF(B138="",1,(IF(Besatzung!$C$14="",Besatzung!$B$5,Besatzung!$C$14)&lt;=B138)*(IF(Besatzung!$D$14="",Besatzung!$B$6,Besatzung!$D$14)&gt;=B138)))*(Besatzung!$F$14="x")*IFERROR(H138,0)/IFERROR(SUMPRODUCT((Besatzung!$B$11:$B$22&lt;&gt;"")*(Besatzung!$F$11:$F$22="x")*(IF(Besatzung!$C$11:$C$22="",Besatzung!$B$5,Besatzung!$C$11:$C$22)&lt;=B138)*(IF(Besatzung!$D$11:$D$22="",Besatzung!$B$6,Besatzung!$D$11:$D$22)&gt;=B138)),1)),IF(I138="An Bord",(((Besatzung!$B$14&lt;&gt;"")*IF(B138="",1,(IF(Besatzung!$C$14="",Besatzung!$B$5,Besatzung!$C$14)&lt;=B138)*(IF(Besatzung!$D$14="",Besatzung!$B$6,Besatzung!$D$14)&gt;=B138)))*((G138-IFERROR(H138,0))/IFERROR(SUMPRODUCT((Besatzung!$B$11:$B$22&lt;&gt;"")*(IF(Besatzung!$C$11:$C$22="",Besatzung!$B$5,Besatzung!$C$11:$C$22)&lt;=B138)*(IF(Besatzung!$D$11:$D$22="",Besatzung!$B$6,Besatzung!$D$11:$D$22)&gt;=B138)),1)+(Besatzung!$F$14="x")*IFERROR(H138,0)/IFERROR(SUMPRODUCT((Besatzung!$B$11:$B$22&lt;&gt;"")*(Besatzung!$F$11:$F$22="x")*(IF(Besatzung!$C$11:$C$22="",Besatzung!$B$5,Besatzung!$C$11:$C$22)&lt;=B138)*(IF(Besatzung!$D$11:$D$22="",Besatzung!$B$6,Besatzung!$D$11:$D$22)&gt;=B138)),1))),IF(I138="Individuell",((M138="x")*((G138-IFERROR(H138,0))/IFERROR(COUNTIF(J138:U138,"x"),1)+(Besatzung!$F$14="x")*IFERROR(H138,0)/IFERROR(SUMPRODUCT((J138:U138="x")*(Besatzung!$F$11:$F$22="x")),1))),(IF(COUNTIF(J138:U138,"x")=0,IF(Besatzung!$B$14&lt;&gt;"",1,0),(M138="x"))*(G138-IFERROR(H138,0))/IFERROR(IF(COUNTIF(J138:U138,"x")=0,COUNTA(Besatzung!$B$11:$B$22),COUNTIF(J138:U138,"x")),1)+IF(COUNTIF(J138:U138,"x")=0,(Besatzung!$F$14="x"),(M138="x")*(Besatzung!$F$14="x"))*IFERROR(H138,0)/IFERROR(IF(COUNTIF(J138:U138,"x")=0,SUMPRODUCT((Besatzung!$B$11:$B$22&lt;&gt;"")*(Besatzung!$F$11:$F$22="x")),SUMPRODUCT((J138:U138="x")*(Besatzung!$F$11:$F$22="x"))),1))))),0))))</f>
        <v/>
      </c>
      <c r="Z138" s="247">
        <f>IF(C138="Gutschrift","",IF(G138="","",IF(Besatzung!$B$13="","",IFERROR(IF(I138="Zeitanteilig",(Besatzung!$G$15*(G138-IFERROR(H138,0))+((Besatzung!$B$13&lt;&gt;"")*IF(B138="",1,(IF(Besatzung!$C$15="",Besatzung!$B$5,Besatzung!$C$15)&lt;=B138)*(IF(Besatzung!$D$15="",Besatzung!$B$6,Besatzung!$D$15)&gt;=B138)))*(Besatzung!$F$15="x")*IFERROR(H138,0)/IFERROR(SUMPRODUCT((Besatzung!$B$11:$B$22&lt;&gt;"")*(Besatzung!$F$11:$F$22="x")*(IF(Besatzung!$C$11:$C$22="",Besatzung!$B$5,Besatzung!$C$11:$C$22)&lt;=B138)*(IF(Besatzung!$D$11:$D$22="",Besatzung!$B$6,Besatzung!$D$11:$D$22)&gt;=B138)),1)),IF(I138="An Bord",(((Besatzung!$B$13&lt;&gt;"")*IF(B138="",1,(IF(Besatzung!$C$15="",Besatzung!$B$5,Besatzung!$C$15)&lt;=B138)*(IF(Besatzung!$D$15="",Besatzung!$B$6,Besatzung!$D$15)&gt;=B138)))*((G138-IFERROR(H138,0))/IFERROR(SUMPRODUCT((Besatzung!$B$11:$B$22&lt;&gt;"")*(IF(Besatzung!$C$11:$C$22="",Besatzung!$B$5,Besatzung!$C$11:$C$22)&lt;=B138)*(IF(Besatzung!$D$11:$D$22="",Besatzung!$B$6,Besatzung!$D$11:$D$22)&gt;=B138)),1)+(Besatzung!$F$15="x")*IFERROR(H138,0)/IFERROR(SUMPRODUCT((Besatzung!$B$11:$B$22&lt;&gt;"")*(Besatzung!$F$11:$F$22="x")*(IF(Besatzung!$C$11:$C$22="",Besatzung!$B$5,Besatzung!$C$11:$C$22)&lt;=B138)*(IF(Besatzung!$D$11:$D$22="",Besatzung!$B$6,Besatzung!$D$11:$D$22)&gt;=B138)),1))),IF(I138="Individuell",((N138="x")*((G138-IFERROR(H138,0))/IFERROR(COUNTIF(J138:U138,"x"),1)+(Besatzung!$F$15="x")*IFERROR(H138,0)/IFERROR(SUMPRODUCT((J138:U138="x")*(Besatzung!$F$11:$F$22="x")),1))),(IF(COUNTIF(J138:U138,"x")=0,IF(Besatzung!$B$13&lt;&gt;"",1,0),(N138="x"))*(G138-IFERROR(H138,0))/IFERROR(IF(COUNTIF(J138:U138,"x")=0,COUNTA(Besatzung!$B$11:$B$22),COUNTIF(J138:U138,"x")),1)+IF(COUNTIF(J138:U138,"x")=0,(Besatzung!$F$15="x"),(N138="x")*(Besatzung!$F$15="x"))*IFERROR(H138,0)/IFERROR(IF(COUNTIF(J138:U138,"x")=0,SUMPRODUCT((Besatzung!$B$11:$B$22&lt;&gt;"")*(Besatzung!$F$11:$F$22="x")),SUMPRODUCT((J138:U138="x")*(Besatzung!$F$11:$F$22="x"))),1))))),0))))</f>
        <v/>
      </c>
      <c r="AA138" s="247">
        <f>IF(C138="Gutschrift","",IF(G138="","",IF(Besatzung!$B$15="","",IFERROR(IF(I138="Zeitanteilig",(Besatzung!$G$16*(G138-IFERROR(H138,0))+((Besatzung!$B$15&lt;&gt;"")*IF(B138="",1,(IF(Besatzung!$C$16="",Besatzung!$B$5,Besatzung!$C$16)&lt;=B138)*(IF(Besatzung!$D$16="",Besatzung!$B$6,Besatzung!$D$16)&gt;=B138)))*(Besatzung!$F$16="x")*IFERROR(H138,0)/IFERROR(SUMPRODUCT((Besatzung!$B$11:$B$22&lt;&gt;"")*(Besatzung!$F$11:$F$22="x")*(IF(Besatzung!$C$11:$C$22="",Besatzung!$B$5,Besatzung!$C$11:$C$22)&lt;=B138)*(IF(Besatzung!$D$11:$D$22="",Besatzung!$B$6,Besatzung!$D$11:$D$22)&gt;=B138)),1)),IF(I138="An Bord",(((Besatzung!$B$15&lt;&gt;"")*IF(B138="",1,(IF(Besatzung!$C$16="",Besatzung!$B$5,Besatzung!$C$16)&lt;=B138)*(IF(Besatzung!$D$16="",Besatzung!$B$6,Besatzung!$D$16)&gt;=B138)))*((G138-IFERROR(H138,0))/IFERROR(SUMPRODUCT((Besatzung!$B$11:$B$22&lt;&gt;"")*(IF(Besatzung!$C$11:$C$22="",Besatzung!$B$5,Besatzung!$C$11:$C$22)&lt;=B138)*(IF(Besatzung!$D$11:$D$22="",Besatzung!$B$6,Besatzung!$D$11:$D$22)&gt;=B138)),1)+(Besatzung!$F$16="x")*IFERROR(H138,0)/IFERROR(SUMPRODUCT((Besatzung!$B$11:$B$22&lt;&gt;"")*(Besatzung!$F$11:$F$22="x")*(IF(Besatzung!$C$11:$C$22="",Besatzung!$B$5,Besatzung!$C$11:$C$22)&lt;=B138)*(IF(Besatzung!$D$11:$D$22="",Besatzung!$B$6,Besatzung!$D$11:$D$22)&gt;=B138)),1))),IF(I138="Individuell",((O138="x")*((G138-IFERROR(H138,0))/IFERROR(COUNTIF(J138:U138,"x"),1)+(Besatzung!$F$16="x")*IFERROR(H138,0)/IFERROR(SUMPRODUCT((J138:U138="x")*(Besatzung!$F$11:$F$22="x")),1))),(IF(COUNTIF(J138:U138,"x")=0,IF(Besatzung!$B$15&lt;&gt;"",1,0),(O138="x"))*(G138-IFERROR(H138,0))/IFERROR(IF(COUNTIF(J138:U138,"x")=0,COUNTA(Besatzung!$B$11:$B$22),COUNTIF(J138:U138,"x")),1)+IF(COUNTIF(J138:U138,"x")=0,(Besatzung!$F$16="x"),(O138="x")*(Besatzung!$F$16="x"))*IFERROR(H138,0)/IFERROR(IF(COUNTIF(J138:U138,"x")=0,SUMPRODUCT((Besatzung!$B$11:$B$22&lt;&gt;"")*(Besatzung!$F$11:$F$22="x")),SUMPRODUCT((J138:U138="x")*(Besatzung!$F$11:$F$22="x"))),1))))),0))))</f>
        <v/>
      </c>
      <c r="AB138" s="247">
        <f>IF(C138="Gutschrift","",IF(G138="","",IF(Besatzung!$B$17="","",IFERROR(IF(I138="Zeitanteilig",(Besatzung!$G$17*(G138-IFERROR(H138,0))+((Besatzung!$B$17&lt;&gt;"")*IF(B138="",1,(IF(Besatzung!$C$17="",Besatzung!$B$5,Besatzung!$C$17)&lt;=B138)*(IF(Besatzung!$D$17="",Besatzung!$B$6,Besatzung!$D$17)&gt;=B138)))*(Besatzung!$F$17="x")*IFERROR(H138,0)/IFERROR(SUMPRODUCT((Besatzung!$B$11:$B$22&lt;&gt;"")*(Besatzung!$F$11:$F$22="x")*(IF(Besatzung!$C$11:$C$22="",Besatzung!$B$5,Besatzung!$C$11:$C$22)&lt;=B138)*(IF(Besatzung!$D$11:$D$22="",Besatzung!$B$6,Besatzung!$D$11:$D$22)&gt;=B138)),1)),IF(I138="An Bord",(((Besatzung!$B$17&lt;&gt;"")*IF(B138="",1,(IF(Besatzung!$C$17="",Besatzung!$B$5,Besatzung!$C$17)&lt;=B138)*(IF(Besatzung!$D$17="",Besatzung!$B$6,Besatzung!$D$17)&gt;=B138)))*((G138-IFERROR(H138,0))/IFERROR(SUMPRODUCT((Besatzung!$B$11:$B$22&lt;&gt;"")*(IF(Besatzung!$C$11:$C$22="",Besatzung!$B$5,Besatzung!$C$11:$C$22)&lt;=B138)*(IF(Besatzung!$D$11:$D$22="",Besatzung!$B$6,Besatzung!$D$11:$D$22)&gt;=B138)),1)+(Besatzung!$F$17="x")*IFERROR(H138,0)/IFERROR(SUMPRODUCT((Besatzung!$B$11:$B$22&lt;&gt;"")*(Besatzung!$F$11:$F$22="x")*(IF(Besatzung!$C$11:$C$22="",Besatzung!$B$5,Besatzung!$C$11:$C$22)&lt;=B138)*(IF(Besatzung!$D$11:$D$22="",Besatzung!$B$6,Besatzung!$D$11:$D$22)&gt;=B138)),1))),IF(I138="Individuell",((P138="x")*((G138-IFERROR(H138,0))/IFERROR(COUNTIF(J138:U138,"x"),1)+(Besatzung!$F$17="x")*IFERROR(H138,0)/IFERROR(SUMPRODUCT((J138:U138="x")*(Besatzung!$F$11:$F$22="x")),1))),(IF(COUNTIF(J138:U138,"x")=0,IF(Besatzung!$B$17&lt;&gt;"",1,0),(P138="x"))*(G138-IFERROR(H138,0))/IFERROR(IF(COUNTIF(J138:U138,"x")=0,COUNTA(Besatzung!$B$11:$B$22),COUNTIF(J138:U138,"x")),1)+IF(COUNTIF(J138:U138,"x")=0,(Besatzung!$F$17="x"),(P138="x")*(Besatzung!$F$17="x"))*IFERROR(H138,0)/IFERROR(IF(COUNTIF(J138:U138,"x")=0,SUMPRODUCT((Besatzung!$B$11:$B$22&lt;&gt;"")*(Besatzung!$F$11:$F$22="x")),SUMPRODUCT((J138:U138="x")*(Besatzung!$F$11:$F$22="x"))),1))))),0))))</f>
        <v/>
      </c>
      <c r="AC138" s="247">
        <f>IF(C138="Gutschrift","",IF(G138="","",IF(Besatzung!$B$18="","",IFERROR(IF(I138="Zeitanteilig",(Besatzung!$G$18*(G138-IFERROR(H138,0))+((Besatzung!$B$18&lt;&gt;"")*IF(B138="",1,(IF(Besatzung!$C$18="",Besatzung!$B$5,Besatzung!$C$18)&lt;=B138)*(IF(Besatzung!$D$18="",Besatzung!$B$6,Besatzung!$D$18)&gt;=B138)))*(Besatzung!$F$18="x")*IFERROR(H138,0)/IFERROR(SUMPRODUCT((Besatzung!$B$11:$B$22&lt;&gt;"")*(Besatzung!$F$11:$F$22="x")*(IF(Besatzung!$C$11:$C$22="",Besatzung!$B$5,Besatzung!$C$11:$C$22)&lt;=B138)*(IF(Besatzung!$D$11:$D$22="",Besatzung!$B$6,Besatzung!$D$11:$D$22)&gt;=B138)),1)),IF(I138="An Bord",(((Besatzung!$B$18&lt;&gt;"")*IF(B138="",1,(IF(Besatzung!$C$18="",Besatzung!$B$5,Besatzung!$C$18)&lt;=B138)*(IF(Besatzung!$D$18="",Besatzung!$B$6,Besatzung!$D$18)&gt;=B138)))*((G138-IFERROR(H138,0))/IFERROR(SUMPRODUCT((Besatzung!$B$11:$B$22&lt;&gt;"")*(IF(Besatzung!$C$11:$C$22="",Besatzung!$B$5,Besatzung!$C$11:$C$22)&lt;=B138)*(IF(Besatzung!$D$11:$D$22="",Besatzung!$B$6,Besatzung!$D$11:$D$22)&gt;=B138)),1)+(Besatzung!$F$18="x")*IFERROR(H138,0)/IFERROR(SUMPRODUCT((Besatzung!$B$11:$B$22&lt;&gt;"")*(Besatzung!$F$11:$F$22="x")*(IF(Besatzung!$C$11:$C$22="",Besatzung!$B$5,Besatzung!$C$11:$C$22)&lt;=B138)*(IF(Besatzung!$D$11:$D$22="",Besatzung!$B$6,Besatzung!$D$11:$D$22)&gt;=B138)),1))),IF(I138="Individuell",((Q138="x")*((G138-IFERROR(H138,0))/IFERROR(COUNTIF(J138:U138,"x"),1)+(Besatzung!$F$18="x")*IFERROR(H138,0)/IFERROR(SUMPRODUCT((J138:U138="x")*(Besatzung!$F$11:$F$22="x")),1))),(IF(COUNTIF(J138:U138,"x")=0,IF(Besatzung!$B$18&lt;&gt;"",1,0),(Q138="x"))*(G138-IFERROR(H138,0))/IFERROR(IF(COUNTIF(J138:U138,"x")=0,COUNTA(Besatzung!$B$11:$B$22),COUNTIF(J138:U138,"x")),1)+IF(COUNTIF(J138:U138,"x")=0,(Besatzung!$F$18="x"),(Q138="x")*(Besatzung!$F$18="x"))*IFERROR(H138,0)/IFERROR(IF(COUNTIF(J138:U138,"x")=0,SUMPRODUCT((Besatzung!$B$11:$B$22&lt;&gt;"")*(Besatzung!$F$11:$F$22="x")),SUMPRODUCT((J138:U138="x")*(Besatzung!$F$11:$F$22="x"))),1))))),0))))</f>
        <v/>
      </c>
      <c r="AD138" s="247">
        <f>IF(C138="Gutschrift","",IF(G138="","",IF(Besatzung!$B$19="","",IFERROR(IF(I138="Zeitanteilig",(Besatzung!$G$19*(G138-IFERROR(H138,0))+((Besatzung!$B$19&lt;&gt;"")*IF(B138="",1,(IF(Besatzung!$C$19="",Besatzung!$B$5,Besatzung!$C$19)&lt;=B138)*(IF(Besatzung!$D$19="",Besatzung!$B$6,Besatzung!$D$19)&gt;=B138)))*(Besatzung!$F$19="x")*IFERROR(H138,0)/IFERROR(SUMPRODUCT((Besatzung!$B$11:$B$22&lt;&gt;"")*(Besatzung!$F$11:$F$22="x")*(IF(Besatzung!$C$11:$C$22="",Besatzung!$B$5,Besatzung!$C$11:$C$22)&lt;=B138)*(IF(Besatzung!$D$11:$D$22="",Besatzung!$B$6,Besatzung!$D$11:$D$22)&gt;=B138)),1)),IF(I138="An Bord",(((Besatzung!$B$19&lt;&gt;"")*IF(B138="",1,(IF(Besatzung!$C$19="",Besatzung!$B$5,Besatzung!$C$19)&lt;=B138)*(IF(Besatzung!$D$19="",Besatzung!$B$6,Besatzung!$D$19)&gt;=B138)))*((G138-IFERROR(H138,0))/IFERROR(SUMPRODUCT((Besatzung!$B$11:$B$22&lt;&gt;"")*(IF(Besatzung!$C$11:$C$22="",Besatzung!$B$5,Besatzung!$C$11:$C$22)&lt;=B138)*(IF(Besatzung!$D$11:$D$22="",Besatzung!$B$6,Besatzung!$D$11:$D$22)&gt;=B138)),1)+(Besatzung!$F$19="x")*IFERROR(H138,0)/IFERROR(SUMPRODUCT((Besatzung!$B$11:$B$22&lt;&gt;"")*(Besatzung!$F$11:$F$22="x")*(IF(Besatzung!$C$11:$C$22="",Besatzung!$B$5,Besatzung!$C$11:$C$22)&lt;=B138)*(IF(Besatzung!$D$11:$D$22="",Besatzung!$B$6,Besatzung!$D$11:$D$22)&gt;=B138)),1))),IF(I138="Individuell",((R138="x")*((G138-IFERROR(H138,0))/IFERROR(COUNTIF(J138:U138,"x"),1)+(Besatzung!$F$19="x")*IFERROR(H138,0)/IFERROR(SUMPRODUCT((J138:U138="x")*(Besatzung!$F$11:$F$22="x")),1))),(IF(COUNTIF(J138:U138,"x")=0,IF(Besatzung!$B$19&lt;&gt;"",1,0),(R138="x"))*(G138-IFERROR(H138,0))/IFERROR(IF(COUNTIF(J138:U138,"x")=0,COUNTA(Besatzung!$B$11:$B$22),COUNTIF(J138:U138,"x")),1)+IF(COUNTIF(J138:U138,"x")=0,(Besatzung!$F$19="x"),(R138="x")*(Besatzung!$F$19="x"))*IFERROR(H138,0)/IFERROR(IF(COUNTIF(J138:U138,"x")=0,SUMPRODUCT((Besatzung!$B$11:$B$22&lt;&gt;"")*(Besatzung!$F$11:$F$22="x")),SUMPRODUCT((J138:U138="x")*(Besatzung!$F$11:$F$22="x"))),1))))),0))))</f>
        <v/>
      </c>
      <c r="AE138" s="247">
        <f>IF(C138="Gutschrift","",IF(G138="","",IF(Besatzung!$B$20="","",IFERROR(IF(I138="Zeitanteilig",(Besatzung!$G$20*(G138-IFERROR(H138,0))+((Besatzung!$B$20&lt;&gt;"")*IF(B138="",1,(IF(Besatzung!$C$20="",Besatzung!$B$5,Besatzung!$C$20)&lt;=B138)*(IF(Besatzung!$D$20="",Besatzung!$B$6,Besatzung!$D$20)&gt;=B138)))*(Besatzung!$F$20="x")*IFERROR(H138,0)/IFERROR(SUMPRODUCT((Besatzung!$B$11:$B$22&lt;&gt;"")*(Besatzung!$F$11:$F$22="x")*(IF(Besatzung!$C$11:$C$22="",Besatzung!$B$5,Besatzung!$C$11:$C$22)&lt;=B138)*(IF(Besatzung!$D$11:$D$22="",Besatzung!$B$6,Besatzung!$D$11:$D$22)&gt;=B138)),1)),IF(I138="An Bord",(((Besatzung!$B$20&lt;&gt;"")*IF(B138="",1,(IF(Besatzung!$C$20="",Besatzung!$B$5,Besatzung!$C$20)&lt;=B138)*(IF(Besatzung!$D$20="",Besatzung!$B$6,Besatzung!$D$20)&gt;=B138)))*((G138-IFERROR(H138,0))/IFERROR(SUMPRODUCT((Besatzung!$B$11:$B$22&lt;&gt;"")*(IF(Besatzung!$C$11:$C$22="",Besatzung!$B$5,Besatzung!$C$11:$C$22)&lt;=B138)*(IF(Besatzung!$D$11:$D$22="",Besatzung!$B$6,Besatzung!$D$11:$D$22)&gt;=B138)),1)+(Besatzung!$F$20="x")*IFERROR(H138,0)/IFERROR(SUMPRODUCT((Besatzung!$B$11:$B$22&lt;&gt;"")*(Besatzung!$F$11:$F$22="x")*(IF(Besatzung!$C$11:$C$22="",Besatzung!$B$5,Besatzung!$C$11:$C$22)&lt;=B138)*(IF(Besatzung!$D$11:$D$22="",Besatzung!$B$6,Besatzung!$D$11:$D$22)&gt;=B138)),1))),IF(I138="Individuell",((S138="x")*((G138-IFERROR(H138,0))/IFERROR(COUNTIF(J138:U138,"x"),1)+(Besatzung!$F$20="x")*IFERROR(H138,0)/IFERROR(SUMPRODUCT((J138:U138="x")*(Besatzung!$F$11:$F$22="x")),1))),(IF(COUNTIF(J138:U138,"x")=0,IF(Besatzung!$B$20&lt;&gt;"",1,0),(S138="x"))*(G138-IFERROR(H138,0))/IFERROR(IF(COUNTIF(J138:U138,"x")=0,COUNTA(Besatzung!$B$11:$B$22),COUNTIF(J138:U138,"x")),1)+IF(COUNTIF(J138:U138,"x")=0,(Besatzung!$F$20="x"),(S138="x")*(Besatzung!$F$20="x"))*IFERROR(H138,0)/IFERROR(IF(COUNTIF(J138:U138,"x")=0,SUMPRODUCT((Besatzung!$B$11:$B$22&lt;&gt;"")*(Besatzung!$F$11:$F$22="x")),SUMPRODUCT((J138:U138="x")*(Besatzung!$F$11:$F$22="x"))),1))))),0))))</f>
        <v/>
      </c>
      <c r="AF138" s="247">
        <f>IF(C138="Gutschrift","",IF(G138="","",IF(Besatzung!$B$21="","",IFERROR(IF(I138="Zeitanteilig",(Besatzung!$G$21*(G138-IFERROR(H138,0))+((Besatzung!$B$21&lt;&gt;"")*IF(B138="",1,(IF(Besatzung!$C$21="",Besatzung!$B$5,Besatzung!$C$21)&lt;=B138)*(IF(Besatzung!$D$21="",Besatzung!$B$6,Besatzung!$D$21)&gt;=B138)))*(Besatzung!$F$21="x")*IFERROR(H138,0)/IFERROR(SUMPRODUCT((Besatzung!$B$11:$B$22&lt;&gt;"")*(Besatzung!$F$11:$F$22="x")*(IF(Besatzung!$C$11:$C$22="",Besatzung!$B$5,Besatzung!$C$11:$C$22)&lt;=B138)*(IF(Besatzung!$D$11:$D$22="",Besatzung!$B$6,Besatzung!$D$11:$D$22)&gt;=B138)),1)),IF(I138="An Bord",(((Besatzung!$B$21&lt;&gt;"")*IF(B138="",1,(IF(Besatzung!$C$21="",Besatzung!$B$5,Besatzung!$C$21)&lt;=B138)*(IF(Besatzung!$D$21="",Besatzung!$B$6,Besatzung!$D$21)&gt;=B138)))*((G138-IFERROR(H138,0))/IFERROR(SUMPRODUCT((Besatzung!$B$11:$B$22&lt;&gt;"")*(IF(Besatzung!$C$11:$C$22="",Besatzung!$B$5,Besatzung!$C$11:$C$22)&lt;=B138)*(IF(Besatzung!$D$11:$D$22="",Besatzung!$B$6,Besatzung!$D$11:$D$22)&gt;=B138)),1)+(Besatzung!$F$21="x")*IFERROR(H138,0)/IFERROR(SUMPRODUCT((Besatzung!$B$11:$B$22&lt;&gt;"")*(Besatzung!$F$11:$F$22="x")*(IF(Besatzung!$C$11:$C$22="",Besatzung!$B$5,Besatzung!$C$11:$C$22)&lt;=B138)*(IF(Besatzung!$D$11:$D$22="",Besatzung!$B$6,Besatzung!$D$11:$D$22)&gt;=B138)),1))),IF(I138="Individuell",((T138="x")*((G138-IFERROR(H138,0))/IFERROR(COUNTIF(J138:U138,"x"),1)+(Besatzung!$F$21="x")*IFERROR(H138,0)/IFERROR(SUMPRODUCT((J138:U138="x")*(Besatzung!$F$11:$F$22="x")),1))),(IF(COUNTIF(J138:U138,"x")=0,IF(Besatzung!$B$21&lt;&gt;"",1,0),(T138="x"))*(G138-IFERROR(H138,0))/IFERROR(IF(COUNTIF(J138:U138,"x")=0,COUNTA(Besatzung!$B$11:$B$22),COUNTIF(J138:U138,"x")),1)+IF(COUNTIF(J138:U138,"x")=0,(Besatzung!$F$21="x"),(T138="x")*(Besatzung!$F$21="x"))*IFERROR(H138,0)/IFERROR(IF(COUNTIF(J138:U138,"x")=0,SUMPRODUCT((Besatzung!$B$11:$B$22&lt;&gt;"")*(Besatzung!$F$11:$F$22="x")),SUMPRODUCT((J138:U138="x")*(Besatzung!$F$11:$F$22="x"))),1))))),0))))</f>
        <v/>
      </c>
      <c r="AG138" s="247">
        <f>IF(C138="Gutschrift","",IF(G138="","",IF(Besatzung!$B$22="","",IFERROR(IF(I138="Zeitanteilig",(Besatzung!$G$22*(G138-IFERROR(H138,0))+((Besatzung!$B$22&lt;&gt;"")*IF(B138="",1,(IF(Besatzung!$C$22="",Besatzung!$B$5,Besatzung!$C$22)&lt;=B138)*(IF(Besatzung!$D$22="",Besatzung!$B$6,Besatzung!$D$22)&gt;=B138)))*(Besatzung!$F$22="x")*IFERROR(H138,0)/IFERROR(SUMPRODUCT((Besatzung!$B$11:$B$22&lt;&gt;"")*(Besatzung!$F$11:$F$22="x")*(IF(Besatzung!$C$11:$C$22="",Besatzung!$B$5,Besatzung!$C$11:$C$22)&lt;=B138)*(IF(Besatzung!$D$11:$D$22="",Besatzung!$B$6,Besatzung!$D$11:$D$22)&gt;=B138)),1)),IF(I138="An Bord",(((Besatzung!$B$22&lt;&gt;"")*IF(B138="",1,(IF(Besatzung!$C$22="",Besatzung!$B$5,Besatzung!$C$22)&lt;=B138)*(IF(Besatzung!$D$22="",Besatzung!$B$6,Besatzung!$D$22)&gt;=B138)))*((G138-IFERROR(H138,0))/IFERROR(SUMPRODUCT((Besatzung!$B$11:$B$22&lt;&gt;"")*(IF(Besatzung!$C$11:$C$22="",Besatzung!$B$5,Besatzung!$C$11:$C$22)&lt;=B138)*(IF(Besatzung!$D$11:$D$22="",Besatzung!$B$6,Besatzung!$D$11:$D$22)&gt;=B138)),1)+(Besatzung!$F$22="x")*IFERROR(H138,0)/IFERROR(SUMPRODUCT((Besatzung!$B$11:$B$22&lt;&gt;"")*(Besatzung!$F$11:$F$22="x")*(IF(Besatzung!$C$11:$C$22="",Besatzung!$B$5,Besatzung!$C$11:$C$22)&lt;=B138)*(IF(Besatzung!$D$11:$D$22="",Besatzung!$B$6,Besatzung!$D$11:$D$22)&gt;=B138)),1))),IF(I138="Individuell",((U138="x")*((G138-IFERROR(H138,0))/IFERROR(COUNTIF(J138:U138,"x"),1)+(Besatzung!$F$22="x")*IFERROR(H138,0)/IFERROR(SUMPRODUCT((J138:U138="x")*(Besatzung!$F$11:$F$22="x")),1))),(IF(COUNTIF(J138:U138,"x")=0,IF(Besatzung!$B$22&lt;&gt;"",1,0),(U138="x"))*(G138-IFERROR(H138,0))/IFERROR(IF(COUNTIF(J138:U138,"x")=0,COUNTA(Besatzung!$B$11:$B$22),COUNTIF(J138:U138,"x")),1)+IF(COUNTIF(J138:U138,"x")=0,(Besatzung!$F$22="x"),(U138="x")*(Besatzung!$F$22="x"))*IFERROR(H138,0)/IFERROR(IF(COUNTIF(J138:U138,"x")=0,SUMPRODUCT((Besatzung!$B$11:$B$22&lt;&gt;"")*(Besatzung!$F$11:$F$22="x")),SUMPRODUCT((J138:U138="x")*(Besatzung!$F$11:$F$22="x"))),1))))),0))))</f>
        <v/>
      </c>
      <c r="AH138" s="248" t="n"/>
      <c r="AI138" s="248" t="n"/>
    </row>
    <row r="139" ht="21.75" customHeight="1" s="154">
      <c r="A139" s="238">
        <f>IF(AND(D139="",C139=""),"",136)</f>
        <v/>
      </c>
      <c r="B139" s="206" t="n"/>
      <c r="C139" s="249" t="n"/>
      <c r="D139" s="250" t="n"/>
      <c r="E139" s="251" t="n"/>
      <c r="F139" s="252" t="n"/>
      <c r="G139" s="253" t="n"/>
      <c r="H139" s="254" t="n"/>
      <c r="I139" s="255" t="n"/>
      <c r="J139" s="256" t="n"/>
      <c r="K139" s="256" t="n"/>
      <c r="L139" s="256" t="n"/>
      <c r="M139" s="256" t="n"/>
      <c r="N139" s="256" t="n"/>
      <c r="O139" s="256" t="n"/>
      <c r="P139" s="256" t="n"/>
      <c r="Q139" s="256" t="n"/>
      <c r="R139" s="256" t="n"/>
      <c r="S139" s="256" t="n"/>
      <c r="T139" s="256" t="n"/>
      <c r="U139" s="256" t="n"/>
      <c r="V139" s="247">
        <f>IF(C139="Gutschrift","",IF(G139="","",IF(Besatzung!$B$11="","",IFERROR(IF(I139="Zeitanteilig",(Besatzung!$G$11*(G139-IFERROR(H139,0))+((Besatzung!$B$11&lt;&gt;"")*IF(B139="",1,(IF(Besatzung!$C$11="",Besatzung!$B$5,Besatzung!$C$11)&lt;=B139)*(IF(Besatzung!$D$11="",Besatzung!$B$6,Besatzung!$D$11)&gt;=B139)))*(Besatzung!$F$11="x")*IFERROR(H139,0)/IFERROR(SUMPRODUCT((Besatzung!$B$11:$B$22&lt;&gt;"")*(Besatzung!$F$11:$F$22="x")*(IF(Besatzung!$C$11:$C$22="",Besatzung!$B$5,Besatzung!$C$11:$C$22)&lt;=B139)*(IF(Besatzung!$D$11:$D$22="",Besatzung!$B$6,Besatzung!$D$11:$D$22)&gt;=B139)),1)),IF(I139="An Bord",(((Besatzung!$B$11&lt;&gt;"")*IF(B139="",1,(IF(Besatzung!$C$11="",Besatzung!$B$5,Besatzung!$C$11)&lt;=B139)*(IF(Besatzung!$D$11="",Besatzung!$B$6,Besatzung!$D$11)&gt;=B139)))*((G139-IFERROR(H139,0))/IFERROR(SUMPRODUCT((Besatzung!$B$11:$B$22&lt;&gt;"")*(IF(Besatzung!$C$11:$C$22="",Besatzung!$B$5,Besatzung!$C$11:$C$22)&lt;=B139)*(IF(Besatzung!$D$11:$D$22="",Besatzung!$B$6,Besatzung!$D$11:$D$22)&gt;=B139)),1)+(Besatzung!$F$11="x")*IFERROR(H139,0)/IFERROR(SUMPRODUCT((Besatzung!$B$11:$B$22&lt;&gt;"")*(Besatzung!$F$11:$F$22="x")*(IF(Besatzung!$C$11:$C$22="",Besatzung!$B$5,Besatzung!$C$11:$C$22)&lt;=B139)*(IF(Besatzung!$D$11:$D$22="",Besatzung!$B$6,Besatzung!$D$11:$D$22)&gt;=B139)),1))),IF(I139="Individuell",((J139="x")*((G139-IFERROR(H139,0))/IFERROR(COUNTIF(J139:U139,"x"),1)+(Besatzung!$F$11="x")*IFERROR(H139,0)/IFERROR(SUMPRODUCT((J139:U139="x")*(Besatzung!$F$11:$F$22="x")),1))),(IF(COUNTIF(J139:U139,"x")=0,IF(Besatzung!$B$11&lt;&gt;"",1,0),(J139="x"))*(G139-IFERROR(H139,0))/IFERROR(IF(COUNTIF(J139:U139,"x")=0,COUNTA(Besatzung!$B$11:$B$22),COUNTIF(J139:U139,"x")),1)+IF(COUNTIF(J139:U139,"x")=0,(Besatzung!$F$11="x"),(J139="x")*(Besatzung!$F$11="x"))*IFERROR(H139,0)/IFERROR(IF(COUNTIF(J139:U139,"x")=0,SUMPRODUCT((Besatzung!$B$11:$B$22&lt;&gt;"")*(Besatzung!$F$11:$F$22="x")),SUMPRODUCT((J139:U139="x")*(Besatzung!$F$11:$F$22="x"))),1))))),0))))</f>
        <v/>
      </c>
      <c r="W139" s="247">
        <f>IF(C139="Gutschrift","",IF(G139="","",IF(Besatzung!$B$12="","",IFERROR(IF(I139="Zeitanteilig",(Besatzung!$G$12*(G139-IFERROR(H139,0))+((Besatzung!$B$12&lt;&gt;"")*IF(B139="",1,(IF(Besatzung!$C$12="",Besatzung!$B$5,Besatzung!$C$12)&lt;=B139)*(IF(Besatzung!$D$12="",Besatzung!$B$6,Besatzung!$D$12)&gt;=B139)))*(Besatzung!$F$12="x")*IFERROR(H139,0)/IFERROR(SUMPRODUCT((Besatzung!$B$11:$B$22&lt;&gt;"")*(Besatzung!$F$11:$F$22="x")*(IF(Besatzung!$C$11:$C$22="",Besatzung!$B$5,Besatzung!$C$11:$C$22)&lt;=B139)*(IF(Besatzung!$D$11:$D$22="",Besatzung!$B$6,Besatzung!$D$11:$D$22)&gt;=B139)),1)),IF(I139="An Bord",(((Besatzung!$B$12&lt;&gt;"")*IF(B139="",1,(IF(Besatzung!$C$12="",Besatzung!$B$5,Besatzung!$C$12)&lt;=B139)*(IF(Besatzung!$D$12="",Besatzung!$B$6,Besatzung!$D$12)&gt;=B139)))*((G139-IFERROR(H139,0))/IFERROR(SUMPRODUCT((Besatzung!$B$11:$B$22&lt;&gt;"")*(IF(Besatzung!$C$11:$C$22="",Besatzung!$B$5,Besatzung!$C$11:$C$22)&lt;=B139)*(IF(Besatzung!$D$11:$D$22="",Besatzung!$B$6,Besatzung!$D$11:$D$22)&gt;=B139)),1)+(Besatzung!$F$12="x")*IFERROR(H139,0)/IFERROR(SUMPRODUCT((Besatzung!$B$11:$B$22&lt;&gt;"")*(Besatzung!$F$11:$F$22="x")*(IF(Besatzung!$C$11:$C$22="",Besatzung!$B$5,Besatzung!$C$11:$C$22)&lt;=B139)*(IF(Besatzung!$D$11:$D$22="",Besatzung!$B$6,Besatzung!$D$11:$D$22)&gt;=B139)),1))),IF(I139="Individuell",((K139="x")*((G139-IFERROR(H139,0))/IFERROR(COUNTIF(J139:U139,"x"),1)+(Besatzung!$F$12="x")*IFERROR(H139,0)/IFERROR(SUMPRODUCT((J139:U139="x")*(Besatzung!$F$11:$F$22="x")),1))),(IF(COUNTIF(J139:U139,"x")=0,IF(Besatzung!$B$12&lt;&gt;"",1,0),(K139="x"))*(G139-IFERROR(H139,0))/IFERROR(IF(COUNTIF(J139:U139,"x")=0,COUNTA(Besatzung!$B$11:$B$22),COUNTIF(J139:U139,"x")),1)+IF(COUNTIF(J139:U139,"x")=0,(Besatzung!$F$12="x"),(K139="x")*(Besatzung!$F$12="x"))*IFERROR(H139,0)/IFERROR(IF(COUNTIF(J139:U139,"x")=0,SUMPRODUCT((Besatzung!$B$11:$B$22&lt;&gt;"")*(Besatzung!$F$11:$F$22="x")),SUMPRODUCT((J139:U139="x")*(Besatzung!$F$11:$F$22="x"))),1))))),0))))</f>
        <v/>
      </c>
      <c r="X139" s="247">
        <f>IF(C139="Gutschrift","",IF(G139="","",IF(Besatzung!$B$13="","",IFERROR(IF(I139="Zeitanteilig",(Besatzung!$G$13*(G139-IFERROR(H139,0))+((Besatzung!$B$13&lt;&gt;"")*IF(B139="",1,(IF(Besatzung!$C$13="",Besatzung!$B$5,Besatzung!$C$13)&lt;=B139)*(IF(Besatzung!$D$13="",Besatzung!$B$6,Besatzung!$D$13)&gt;=B139)))*(Besatzung!$F$13="x")*IFERROR(H139,0)/IFERROR(SUMPRODUCT((Besatzung!$B$11:$B$22&lt;&gt;"")*(Besatzung!$F$11:$F$22="x")*(IF(Besatzung!$C$11:$C$22="",Besatzung!$B$5,Besatzung!$C$11:$C$22)&lt;=B139)*(IF(Besatzung!$D$11:$D$22="",Besatzung!$B$6,Besatzung!$D$11:$D$22)&gt;=B139)),1)),IF(I139="An Bord",(((Besatzung!$B$13&lt;&gt;"")*IF(B139="",1,(IF(Besatzung!$C$13="",Besatzung!$B$5,Besatzung!$C$13)&lt;=B139)*(IF(Besatzung!$D$13="",Besatzung!$B$6,Besatzung!$D$13)&gt;=B139)))*((G139-IFERROR(H139,0))/IFERROR(SUMPRODUCT((Besatzung!$B$11:$B$22&lt;&gt;"")*(IF(Besatzung!$C$11:$C$22="",Besatzung!$B$5,Besatzung!$C$11:$C$22)&lt;=B139)*(IF(Besatzung!$D$11:$D$22="",Besatzung!$B$6,Besatzung!$D$11:$D$22)&gt;=B139)),1)+(Besatzung!$F$13="x")*IFERROR(H139,0)/IFERROR(SUMPRODUCT((Besatzung!$B$11:$B$22&lt;&gt;"")*(Besatzung!$F$11:$F$22="x")*(IF(Besatzung!$C$11:$C$22="",Besatzung!$B$5,Besatzung!$C$11:$C$22)&lt;=B139)*(IF(Besatzung!$D$11:$D$22="",Besatzung!$B$6,Besatzung!$D$11:$D$22)&gt;=B139)),1))),IF(I139="Individuell",((K139="x")*((G139-IFERROR(H139,0))/IFERROR(COUNTIF(J139:U139,"x"),1)+(Besatzung!$F$13="x")*IFERROR(H139,0)/IFERROR(SUMPRODUCT((J139:U139="x")*(Besatzung!$F$11:$F$22="x")),1))),(IF(COUNTIF(J139:U139,"x")=0,IF(Besatzung!$B$13&lt;&gt;"",1,0),(K139="x"))*(G139-IFERROR(H139,0))/IFERROR(IF(COUNTIF(J139:U139,"x")=0,COUNTA(Besatzung!$B$11:$B$22),COUNTIF(J139:U139,"x")),1)+IF(COUNTIF(J139:U139,"x")=0,(Besatzung!$F$13="x"),(K139="x")*(Besatzung!$F$13="x"))*IFERROR(H139,0)/IFERROR(IF(COUNTIF(J139:U139,"x")=0,SUMPRODUCT((Besatzung!$B$11:$B$22&lt;&gt;"")*(Besatzung!$F$11:$F$22="x")),SUMPRODUCT((J139:U139="x")*(Besatzung!$F$11:$F$22="x"))),1))))),0))))</f>
        <v/>
      </c>
      <c r="Y139" s="247">
        <f>IF(C139="Gutschrift","",IF(G139="","",IF(Besatzung!$B$14="","",IFERROR(IF(I139="Zeitanteilig",(Besatzung!$G$14*(G139-IFERROR(H139,0))+((Besatzung!$B$14&lt;&gt;"")*IF(B139="",1,(IF(Besatzung!$C$14="",Besatzung!$B$5,Besatzung!$C$14)&lt;=B139)*(IF(Besatzung!$D$14="",Besatzung!$B$6,Besatzung!$D$14)&gt;=B139)))*(Besatzung!$F$14="x")*IFERROR(H139,0)/IFERROR(SUMPRODUCT((Besatzung!$B$11:$B$22&lt;&gt;"")*(Besatzung!$F$11:$F$22="x")*(IF(Besatzung!$C$11:$C$22="",Besatzung!$B$5,Besatzung!$C$11:$C$22)&lt;=B139)*(IF(Besatzung!$D$11:$D$22="",Besatzung!$B$6,Besatzung!$D$11:$D$22)&gt;=B139)),1)),IF(I139="An Bord",(((Besatzung!$B$14&lt;&gt;"")*IF(B139="",1,(IF(Besatzung!$C$14="",Besatzung!$B$5,Besatzung!$C$14)&lt;=B139)*(IF(Besatzung!$D$14="",Besatzung!$B$6,Besatzung!$D$14)&gt;=B139)))*((G139-IFERROR(H139,0))/IFERROR(SUMPRODUCT((Besatzung!$B$11:$B$22&lt;&gt;"")*(IF(Besatzung!$C$11:$C$22="",Besatzung!$B$5,Besatzung!$C$11:$C$22)&lt;=B139)*(IF(Besatzung!$D$11:$D$22="",Besatzung!$B$6,Besatzung!$D$11:$D$22)&gt;=B139)),1)+(Besatzung!$F$14="x")*IFERROR(H139,0)/IFERROR(SUMPRODUCT((Besatzung!$B$11:$B$22&lt;&gt;"")*(Besatzung!$F$11:$F$22="x")*(IF(Besatzung!$C$11:$C$22="",Besatzung!$B$5,Besatzung!$C$11:$C$22)&lt;=B139)*(IF(Besatzung!$D$11:$D$22="",Besatzung!$B$6,Besatzung!$D$11:$D$22)&gt;=B139)),1))),IF(I139="Individuell",((M139="x")*((G139-IFERROR(H139,0))/IFERROR(COUNTIF(J139:U139,"x"),1)+(Besatzung!$F$14="x")*IFERROR(H139,0)/IFERROR(SUMPRODUCT((J139:U139="x")*(Besatzung!$F$11:$F$22="x")),1))),(IF(COUNTIF(J139:U139,"x")=0,IF(Besatzung!$B$14&lt;&gt;"",1,0),(M139="x"))*(G139-IFERROR(H139,0))/IFERROR(IF(COUNTIF(J139:U139,"x")=0,COUNTA(Besatzung!$B$11:$B$22),COUNTIF(J139:U139,"x")),1)+IF(COUNTIF(J139:U139,"x")=0,(Besatzung!$F$14="x"),(M139="x")*(Besatzung!$F$14="x"))*IFERROR(H139,0)/IFERROR(IF(COUNTIF(J139:U139,"x")=0,SUMPRODUCT((Besatzung!$B$11:$B$22&lt;&gt;"")*(Besatzung!$F$11:$F$22="x")),SUMPRODUCT((J139:U139="x")*(Besatzung!$F$11:$F$22="x"))),1))))),0))))</f>
        <v/>
      </c>
      <c r="Z139" s="247">
        <f>IF(C139="Gutschrift","",IF(G139="","",IF(Besatzung!$B$13="","",IFERROR(IF(I139="Zeitanteilig",(Besatzung!$G$15*(G139-IFERROR(H139,0))+((Besatzung!$B$13&lt;&gt;"")*IF(B139="",1,(IF(Besatzung!$C$15="",Besatzung!$B$5,Besatzung!$C$15)&lt;=B139)*(IF(Besatzung!$D$15="",Besatzung!$B$6,Besatzung!$D$15)&gt;=B139)))*(Besatzung!$F$15="x")*IFERROR(H139,0)/IFERROR(SUMPRODUCT((Besatzung!$B$11:$B$22&lt;&gt;"")*(Besatzung!$F$11:$F$22="x")*(IF(Besatzung!$C$11:$C$22="",Besatzung!$B$5,Besatzung!$C$11:$C$22)&lt;=B139)*(IF(Besatzung!$D$11:$D$22="",Besatzung!$B$6,Besatzung!$D$11:$D$22)&gt;=B139)),1)),IF(I139="An Bord",(((Besatzung!$B$13&lt;&gt;"")*IF(B139="",1,(IF(Besatzung!$C$15="",Besatzung!$B$5,Besatzung!$C$15)&lt;=B139)*(IF(Besatzung!$D$15="",Besatzung!$B$6,Besatzung!$D$15)&gt;=B139)))*((G139-IFERROR(H139,0))/IFERROR(SUMPRODUCT((Besatzung!$B$11:$B$22&lt;&gt;"")*(IF(Besatzung!$C$11:$C$22="",Besatzung!$B$5,Besatzung!$C$11:$C$22)&lt;=B139)*(IF(Besatzung!$D$11:$D$22="",Besatzung!$B$6,Besatzung!$D$11:$D$22)&gt;=B139)),1)+(Besatzung!$F$15="x")*IFERROR(H139,0)/IFERROR(SUMPRODUCT((Besatzung!$B$11:$B$22&lt;&gt;"")*(Besatzung!$F$11:$F$22="x")*(IF(Besatzung!$C$11:$C$22="",Besatzung!$B$5,Besatzung!$C$11:$C$22)&lt;=B139)*(IF(Besatzung!$D$11:$D$22="",Besatzung!$B$6,Besatzung!$D$11:$D$22)&gt;=B139)),1))),IF(I139="Individuell",((N139="x")*((G139-IFERROR(H139,0))/IFERROR(COUNTIF(J139:U139,"x"),1)+(Besatzung!$F$15="x")*IFERROR(H139,0)/IFERROR(SUMPRODUCT((J139:U139="x")*(Besatzung!$F$11:$F$22="x")),1))),(IF(COUNTIF(J139:U139,"x")=0,IF(Besatzung!$B$13&lt;&gt;"",1,0),(N139="x"))*(G139-IFERROR(H139,0))/IFERROR(IF(COUNTIF(J139:U139,"x")=0,COUNTA(Besatzung!$B$11:$B$22),COUNTIF(J139:U139,"x")),1)+IF(COUNTIF(J139:U139,"x")=0,(Besatzung!$F$15="x"),(N139="x")*(Besatzung!$F$15="x"))*IFERROR(H139,0)/IFERROR(IF(COUNTIF(J139:U139,"x")=0,SUMPRODUCT((Besatzung!$B$11:$B$22&lt;&gt;"")*(Besatzung!$F$11:$F$22="x")),SUMPRODUCT((J139:U139="x")*(Besatzung!$F$11:$F$22="x"))),1))))),0))))</f>
        <v/>
      </c>
      <c r="AA139" s="247">
        <f>IF(C139="Gutschrift","",IF(G139="","",IF(Besatzung!$B$15="","",IFERROR(IF(I139="Zeitanteilig",(Besatzung!$G$16*(G139-IFERROR(H139,0))+((Besatzung!$B$15&lt;&gt;"")*IF(B139="",1,(IF(Besatzung!$C$16="",Besatzung!$B$5,Besatzung!$C$16)&lt;=B139)*(IF(Besatzung!$D$16="",Besatzung!$B$6,Besatzung!$D$16)&gt;=B139)))*(Besatzung!$F$16="x")*IFERROR(H139,0)/IFERROR(SUMPRODUCT((Besatzung!$B$11:$B$22&lt;&gt;"")*(Besatzung!$F$11:$F$22="x")*(IF(Besatzung!$C$11:$C$22="",Besatzung!$B$5,Besatzung!$C$11:$C$22)&lt;=B139)*(IF(Besatzung!$D$11:$D$22="",Besatzung!$B$6,Besatzung!$D$11:$D$22)&gt;=B139)),1)),IF(I139="An Bord",(((Besatzung!$B$15&lt;&gt;"")*IF(B139="",1,(IF(Besatzung!$C$16="",Besatzung!$B$5,Besatzung!$C$16)&lt;=B139)*(IF(Besatzung!$D$16="",Besatzung!$B$6,Besatzung!$D$16)&gt;=B139)))*((G139-IFERROR(H139,0))/IFERROR(SUMPRODUCT((Besatzung!$B$11:$B$22&lt;&gt;"")*(IF(Besatzung!$C$11:$C$22="",Besatzung!$B$5,Besatzung!$C$11:$C$22)&lt;=B139)*(IF(Besatzung!$D$11:$D$22="",Besatzung!$B$6,Besatzung!$D$11:$D$22)&gt;=B139)),1)+(Besatzung!$F$16="x")*IFERROR(H139,0)/IFERROR(SUMPRODUCT((Besatzung!$B$11:$B$22&lt;&gt;"")*(Besatzung!$F$11:$F$22="x")*(IF(Besatzung!$C$11:$C$22="",Besatzung!$B$5,Besatzung!$C$11:$C$22)&lt;=B139)*(IF(Besatzung!$D$11:$D$22="",Besatzung!$B$6,Besatzung!$D$11:$D$22)&gt;=B139)),1))),IF(I139="Individuell",((O139="x")*((G139-IFERROR(H139,0))/IFERROR(COUNTIF(J139:U139,"x"),1)+(Besatzung!$F$16="x")*IFERROR(H139,0)/IFERROR(SUMPRODUCT((J139:U139="x")*(Besatzung!$F$11:$F$22="x")),1))),(IF(COUNTIF(J139:U139,"x")=0,IF(Besatzung!$B$15&lt;&gt;"",1,0),(O139="x"))*(G139-IFERROR(H139,0))/IFERROR(IF(COUNTIF(J139:U139,"x")=0,COUNTA(Besatzung!$B$11:$B$22),COUNTIF(J139:U139,"x")),1)+IF(COUNTIF(J139:U139,"x")=0,(Besatzung!$F$16="x"),(O139="x")*(Besatzung!$F$16="x"))*IFERROR(H139,0)/IFERROR(IF(COUNTIF(J139:U139,"x")=0,SUMPRODUCT((Besatzung!$B$11:$B$22&lt;&gt;"")*(Besatzung!$F$11:$F$22="x")),SUMPRODUCT((J139:U139="x")*(Besatzung!$F$11:$F$22="x"))),1))))),0))))</f>
        <v/>
      </c>
      <c r="AB139" s="247">
        <f>IF(C139="Gutschrift","",IF(G139="","",IF(Besatzung!$B$17="","",IFERROR(IF(I139="Zeitanteilig",(Besatzung!$G$17*(G139-IFERROR(H139,0))+((Besatzung!$B$17&lt;&gt;"")*IF(B139="",1,(IF(Besatzung!$C$17="",Besatzung!$B$5,Besatzung!$C$17)&lt;=B139)*(IF(Besatzung!$D$17="",Besatzung!$B$6,Besatzung!$D$17)&gt;=B139)))*(Besatzung!$F$17="x")*IFERROR(H139,0)/IFERROR(SUMPRODUCT((Besatzung!$B$11:$B$22&lt;&gt;"")*(Besatzung!$F$11:$F$22="x")*(IF(Besatzung!$C$11:$C$22="",Besatzung!$B$5,Besatzung!$C$11:$C$22)&lt;=B139)*(IF(Besatzung!$D$11:$D$22="",Besatzung!$B$6,Besatzung!$D$11:$D$22)&gt;=B139)),1)),IF(I139="An Bord",(((Besatzung!$B$17&lt;&gt;"")*IF(B139="",1,(IF(Besatzung!$C$17="",Besatzung!$B$5,Besatzung!$C$17)&lt;=B139)*(IF(Besatzung!$D$17="",Besatzung!$B$6,Besatzung!$D$17)&gt;=B139)))*((G139-IFERROR(H139,0))/IFERROR(SUMPRODUCT((Besatzung!$B$11:$B$22&lt;&gt;"")*(IF(Besatzung!$C$11:$C$22="",Besatzung!$B$5,Besatzung!$C$11:$C$22)&lt;=B139)*(IF(Besatzung!$D$11:$D$22="",Besatzung!$B$6,Besatzung!$D$11:$D$22)&gt;=B139)),1)+(Besatzung!$F$17="x")*IFERROR(H139,0)/IFERROR(SUMPRODUCT((Besatzung!$B$11:$B$22&lt;&gt;"")*(Besatzung!$F$11:$F$22="x")*(IF(Besatzung!$C$11:$C$22="",Besatzung!$B$5,Besatzung!$C$11:$C$22)&lt;=B139)*(IF(Besatzung!$D$11:$D$22="",Besatzung!$B$6,Besatzung!$D$11:$D$22)&gt;=B139)),1))),IF(I139="Individuell",((P139="x")*((G139-IFERROR(H139,0))/IFERROR(COUNTIF(J139:U139,"x"),1)+(Besatzung!$F$17="x")*IFERROR(H139,0)/IFERROR(SUMPRODUCT((J139:U139="x")*(Besatzung!$F$11:$F$22="x")),1))),(IF(COUNTIF(J139:U139,"x")=0,IF(Besatzung!$B$17&lt;&gt;"",1,0),(P139="x"))*(G139-IFERROR(H139,0))/IFERROR(IF(COUNTIF(J139:U139,"x")=0,COUNTA(Besatzung!$B$11:$B$22),COUNTIF(J139:U139,"x")),1)+IF(COUNTIF(J139:U139,"x")=0,(Besatzung!$F$17="x"),(P139="x")*(Besatzung!$F$17="x"))*IFERROR(H139,0)/IFERROR(IF(COUNTIF(J139:U139,"x")=0,SUMPRODUCT((Besatzung!$B$11:$B$22&lt;&gt;"")*(Besatzung!$F$11:$F$22="x")),SUMPRODUCT((J139:U139="x")*(Besatzung!$F$11:$F$22="x"))),1))))),0))))</f>
        <v/>
      </c>
      <c r="AC139" s="247">
        <f>IF(C139="Gutschrift","",IF(G139="","",IF(Besatzung!$B$18="","",IFERROR(IF(I139="Zeitanteilig",(Besatzung!$G$18*(G139-IFERROR(H139,0))+((Besatzung!$B$18&lt;&gt;"")*IF(B139="",1,(IF(Besatzung!$C$18="",Besatzung!$B$5,Besatzung!$C$18)&lt;=B139)*(IF(Besatzung!$D$18="",Besatzung!$B$6,Besatzung!$D$18)&gt;=B139)))*(Besatzung!$F$18="x")*IFERROR(H139,0)/IFERROR(SUMPRODUCT((Besatzung!$B$11:$B$22&lt;&gt;"")*(Besatzung!$F$11:$F$22="x")*(IF(Besatzung!$C$11:$C$22="",Besatzung!$B$5,Besatzung!$C$11:$C$22)&lt;=B139)*(IF(Besatzung!$D$11:$D$22="",Besatzung!$B$6,Besatzung!$D$11:$D$22)&gt;=B139)),1)),IF(I139="An Bord",(((Besatzung!$B$18&lt;&gt;"")*IF(B139="",1,(IF(Besatzung!$C$18="",Besatzung!$B$5,Besatzung!$C$18)&lt;=B139)*(IF(Besatzung!$D$18="",Besatzung!$B$6,Besatzung!$D$18)&gt;=B139)))*((G139-IFERROR(H139,0))/IFERROR(SUMPRODUCT((Besatzung!$B$11:$B$22&lt;&gt;"")*(IF(Besatzung!$C$11:$C$22="",Besatzung!$B$5,Besatzung!$C$11:$C$22)&lt;=B139)*(IF(Besatzung!$D$11:$D$22="",Besatzung!$B$6,Besatzung!$D$11:$D$22)&gt;=B139)),1)+(Besatzung!$F$18="x")*IFERROR(H139,0)/IFERROR(SUMPRODUCT((Besatzung!$B$11:$B$22&lt;&gt;"")*(Besatzung!$F$11:$F$22="x")*(IF(Besatzung!$C$11:$C$22="",Besatzung!$B$5,Besatzung!$C$11:$C$22)&lt;=B139)*(IF(Besatzung!$D$11:$D$22="",Besatzung!$B$6,Besatzung!$D$11:$D$22)&gt;=B139)),1))),IF(I139="Individuell",((Q139="x")*((G139-IFERROR(H139,0))/IFERROR(COUNTIF(J139:U139,"x"),1)+(Besatzung!$F$18="x")*IFERROR(H139,0)/IFERROR(SUMPRODUCT((J139:U139="x")*(Besatzung!$F$11:$F$22="x")),1))),(IF(COUNTIF(J139:U139,"x")=0,IF(Besatzung!$B$18&lt;&gt;"",1,0),(Q139="x"))*(G139-IFERROR(H139,0))/IFERROR(IF(COUNTIF(J139:U139,"x")=0,COUNTA(Besatzung!$B$11:$B$22),COUNTIF(J139:U139,"x")),1)+IF(COUNTIF(J139:U139,"x")=0,(Besatzung!$F$18="x"),(Q139="x")*(Besatzung!$F$18="x"))*IFERROR(H139,0)/IFERROR(IF(COUNTIF(J139:U139,"x")=0,SUMPRODUCT((Besatzung!$B$11:$B$22&lt;&gt;"")*(Besatzung!$F$11:$F$22="x")),SUMPRODUCT((J139:U139="x")*(Besatzung!$F$11:$F$22="x"))),1))))),0))))</f>
        <v/>
      </c>
      <c r="AD139" s="247">
        <f>IF(C139="Gutschrift","",IF(G139="","",IF(Besatzung!$B$19="","",IFERROR(IF(I139="Zeitanteilig",(Besatzung!$G$19*(G139-IFERROR(H139,0))+((Besatzung!$B$19&lt;&gt;"")*IF(B139="",1,(IF(Besatzung!$C$19="",Besatzung!$B$5,Besatzung!$C$19)&lt;=B139)*(IF(Besatzung!$D$19="",Besatzung!$B$6,Besatzung!$D$19)&gt;=B139)))*(Besatzung!$F$19="x")*IFERROR(H139,0)/IFERROR(SUMPRODUCT((Besatzung!$B$11:$B$22&lt;&gt;"")*(Besatzung!$F$11:$F$22="x")*(IF(Besatzung!$C$11:$C$22="",Besatzung!$B$5,Besatzung!$C$11:$C$22)&lt;=B139)*(IF(Besatzung!$D$11:$D$22="",Besatzung!$B$6,Besatzung!$D$11:$D$22)&gt;=B139)),1)),IF(I139="An Bord",(((Besatzung!$B$19&lt;&gt;"")*IF(B139="",1,(IF(Besatzung!$C$19="",Besatzung!$B$5,Besatzung!$C$19)&lt;=B139)*(IF(Besatzung!$D$19="",Besatzung!$B$6,Besatzung!$D$19)&gt;=B139)))*((G139-IFERROR(H139,0))/IFERROR(SUMPRODUCT((Besatzung!$B$11:$B$22&lt;&gt;"")*(IF(Besatzung!$C$11:$C$22="",Besatzung!$B$5,Besatzung!$C$11:$C$22)&lt;=B139)*(IF(Besatzung!$D$11:$D$22="",Besatzung!$B$6,Besatzung!$D$11:$D$22)&gt;=B139)),1)+(Besatzung!$F$19="x")*IFERROR(H139,0)/IFERROR(SUMPRODUCT((Besatzung!$B$11:$B$22&lt;&gt;"")*(Besatzung!$F$11:$F$22="x")*(IF(Besatzung!$C$11:$C$22="",Besatzung!$B$5,Besatzung!$C$11:$C$22)&lt;=B139)*(IF(Besatzung!$D$11:$D$22="",Besatzung!$B$6,Besatzung!$D$11:$D$22)&gt;=B139)),1))),IF(I139="Individuell",((R139="x")*((G139-IFERROR(H139,0))/IFERROR(COUNTIF(J139:U139,"x"),1)+(Besatzung!$F$19="x")*IFERROR(H139,0)/IFERROR(SUMPRODUCT((J139:U139="x")*(Besatzung!$F$11:$F$22="x")),1))),(IF(COUNTIF(J139:U139,"x")=0,IF(Besatzung!$B$19&lt;&gt;"",1,0),(R139="x"))*(G139-IFERROR(H139,0))/IFERROR(IF(COUNTIF(J139:U139,"x")=0,COUNTA(Besatzung!$B$11:$B$22),COUNTIF(J139:U139,"x")),1)+IF(COUNTIF(J139:U139,"x")=0,(Besatzung!$F$19="x"),(R139="x")*(Besatzung!$F$19="x"))*IFERROR(H139,0)/IFERROR(IF(COUNTIF(J139:U139,"x")=0,SUMPRODUCT((Besatzung!$B$11:$B$22&lt;&gt;"")*(Besatzung!$F$11:$F$22="x")),SUMPRODUCT((J139:U139="x")*(Besatzung!$F$11:$F$22="x"))),1))))),0))))</f>
        <v/>
      </c>
      <c r="AE139" s="247">
        <f>IF(C139="Gutschrift","",IF(G139="","",IF(Besatzung!$B$20="","",IFERROR(IF(I139="Zeitanteilig",(Besatzung!$G$20*(G139-IFERROR(H139,0))+((Besatzung!$B$20&lt;&gt;"")*IF(B139="",1,(IF(Besatzung!$C$20="",Besatzung!$B$5,Besatzung!$C$20)&lt;=B139)*(IF(Besatzung!$D$20="",Besatzung!$B$6,Besatzung!$D$20)&gt;=B139)))*(Besatzung!$F$20="x")*IFERROR(H139,0)/IFERROR(SUMPRODUCT((Besatzung!$B$11:$B$22&lt;&gt;"")*(Besatzung!$F$11:$F$22="x")*(IF(Besatzung!$C$11:$C$22="",Besatzung!$B$5,Besatzung!$C$11:$C$22)&lt;=B139)*(IF(Besatzung!$D$11:$D$22="",Besatzung!$B$6,Besatzung!$D$11:$D$22)&gt;=B139)),1)),IF(I139="An Bord",(((Besatzung!$B$20&lt;&gt;"")*IF(B139="",1,(IF(Besatzung!$C$20="",Besatzung!$B$5,Besatzung!$C$20)&lt;=B139)*(IF(Besatzung!$D$20="",Besatzung!$B$6,Besatzung!$D$20)&gt;=B139)))*((G139-IFERROR(H139,0))/IFERROR(SUMPRODUCT((Besatzung!$B$11:$B$22&lt;&gt;"")*(IF(Besatzung!$C$11:$C$22="",Besatzung!$B$5,Besatzung!$C$11:$C$22)&lt;=B139)*(IF(Besatzung!$D$11:$D$22="",Besatzung!$B$6,Besatzung!$D$11:$D$22)&gt;=B139)),1)+(Besatzung!$F$20="x")*IFERROR(H139,0)/IFERROR(SUMPRODUCT((Besatzung!$B$11:$B$22&lt;&gt;"")*(Besatzung!$F$11:$F$22="x")*(IF(Besatzung!$C$11:$C$22="",Besatzung!$B$5,Besatzung!$C$11:$C$22)&lt;=B139)*(IF(Besatzung!$D$11:$D$22="",Besatzung!$B$6,Besatzung!$D$11:$D$22)&gt;=B139)),1))),IF(I139="Individuell",((S139="x")*((G139-IFERROR(H139,0))/IFERROR(COUNTIF(J139:U139,"x"),1)+(Besatzung!$F$20="x")*IFERROR(H139,0)/IFERROR(SUMPRODUCT((J139:U139="x")*(Besatzung!$F$11:$F$22="x")),1))),(IF(COUNTIF(J139:U139,"x")=0,IF(Besatzung!$B$20&lt;&gt;"",1,0),(S139="x"))*(G139-IFERROR(H139,0))/IFERROR(IF(COUNTIF(J139:U139,"x")=0,COUNTA(Besatzung!$B$11:$B$22),COUNTIF(J139:U139,"x")),1)+IF(COUNTIF(J139:U139,"x")=0,(Besatzung!$F$20="x"),(S139="x")*(Besatzung!$F$20="x"))*IFERROR(H139,0)/IFERROR(IF(COUNTIF(J139:U139,"x")=0,SUMPRODUCT((Besatzung!$B$11:$B$22&lt;&gt;"")*(Besatzung!$F$11:$F$22="x")),SUMPRODUCT((J139:U139="x")*(Besatzung!$F$11:$F$22="x"))),1))))),0))))</f>
        <v/>
      </c>
      <c r="AF139" s="247">
        <f>IF(C139="Gutschrift","",IF(G139="","",IF(Besatzung!$B$21="","",IFERROR(IF(I139="Zeitanteilig",(Besatzung!$G$21*(G139-IFERROR(H139,0))+((Besatzung!$B$21&lt;&gt;"")*IF(B139="",1,(IF(Besatzung!$C$21="",Besatzung!$B$5,Besatzung!$C$21)&lt;=B139)*(IF(Besatzung!$D$21="",Besatzung!$B$6,Besatzung!$D$21)&gt;=B139)))*(Besatzung!$F$21="x")*IFERROR(H139,0)/IFERROR(SUMPRODUCT((Besatzung!$B$11:$B$22&lt;&gt;"")*(Besatzung!$F$11:$F$22="x")*(IF(Besatzung!$C$11:$C$22="",Besatzung!$B$5,Besatzung!$C$11:$C$22)&lt;=B139)*(IF(Besatzung!$D$11:$D$22="",Besatzung!$B$6,Besatzung!$D$11:$D$22)&gt;=B139)),1)),IF(I139="An Bord",(((Besatzung!$B$21&lt;&gt;"")*IF(B139="",1,(IF(Besatzung!$C$21="",Besatzung!$B$5,Besatzung!$C$21)&lt;=B139)*(IF(Besatzung!$D$21="",Besatzung!$B$6,Besatzung!$D$21)&gt;=B139)))*((G139-IFERROR(H139,0))/IFERROR(SUMPRODUCT((Besatzung!$B$11:$B$22&lt;&gt;"")*(IF(Besatzung!$C$11:$C$22="",Besatzung!$B$5,Besatzung!$C$11:$C$22)&lt;=B139)*(IF(Besatzung!$D$11:$D$22="",Besatzung!$B$6,Besatzung!$D$11:$D$22)&gt;=B139)),1)+(Besatzung!$F$21="x")*IFERROR(H139,0)/IFERROR(SUMPRODUCT((Besatzung!$B$11:$B$22&lt;&gt;"")*(Besatzung!$F$11:$F$22="x")*(IF(Besatzung!$C$11:$C$22="",Besatzung!$B$5,Besatzung!$C$11:$C$22)&lt;=B139)*(IF(Besatzung!$D$11:$D$22="",Besatzung!$B$6,Besatzung!$D$11:$D$22)&gt;=B139)),1))),IF(I139="Individuell",((T139="x")*((G139-IFERROR(H139,0))/IFERROR(COUNTIF(J139:U139,"x"),1)+(Besatzung!$F$21="x")*IFERROR(H139,0)/IFERROR(SUMPRODUCT((J139:U139="x")*(Besatzung!$F$11:$F$22="x")),1))),(IF(COUNTIF(J139:U139,"x")=0,IF(Besatzung!$B$21&lt;&gt;"",1,0),(T139="x"))*(G139-IFERROR(H139,0))/IFERROR(IF(COUNTIF(J139:U139,"x")=0,COUNTA(Besatzung!$B$11:$B$22),COUNTIF(J139:U139,"x")),1)+IF(COUNTIF(J139:U139,"x")=0,(Besatzung!$F$21="x"),(T139="x")*(Besatzung!$F$21="x"))*IFERROR(H139,0)/IFERROR(IF(COUNTIF(J139:U139,"x")=0,SUMPRODUCT((Besatzung!$B$11:$B$22&lt;&gt;"")*(Besatzung!$F$11:$F$22="x")),SUMPRODUCT((J139:U139="x")*(Besatzung!$F$11:$F$22="x"))),1))))),0))))</f>
        <v/>
      </c>
      <c r="AG139" s="247">
        <f>IF(C139="Gutschrift","",IF(G139="","",IF(Besatzung!$B$22="","",IFERROR(IF(I139="Zeitanteilig",(Besatzung!$G$22*(G139-IFERROR(H139,0))+((Besatzung!$B$22&lt;&gt;"")*IF(B139="",1,(IF(Besatzung!$C$22="",Besatzung!$B$5,Besatzung!$C$22)&lt;=B139)*(IF(Besatzung!$D$22="",Besatzung!$B$6,Besatzung!$D$22)&gt;=B139)))*(Besatzung!$F$22="x")*IFERROR(H139,0)/IFERROR(SUMPRODUCT((Besatzung!$B$11:$B$22&lt;&gt;"")*(Besatzung!$F$11:$F$22="x")*(IF(Besatzung!$C$11:$C$22="",Besatzung!$B$5,Besatzung!$C$11:$C$22)&lt;=B139)*(IF(Besatzung!$D$11:$D$22="",Besatzung!$B$6,Besatzung!$D$11:$D$22)&gt;=B139)),1)),IF(I139="An Bord",(((Besatzung!$B$22&lt;&gt;"")*IF(B139="",1,(IF(Besatzung!$C$22="",Besatzung!$B$5,Besatzung!$C$22)&lt;=B139)*(IF(Besatzung!$D$22="",Besatzung!$B$6,Besatzung!$D$22)&gt;=B139)))*((G139-IFERROR(H139,0))/IFERROR(SUMPRODUCT((Besatzung!$B$11:$B$22&lt;&gt;"")*(IF(Besatzung!$C$11:$C$22="",Besatzung!$B$5,Besatzung!$C$11:$C$22)&lt;=B139)*(IF(Besatzung!$D$11:$D$22="",Besatzung!$B$6,Besatzung!$D$11:$D$22)&gt;=B139)),1)+(Besatzung!$F$22="x")*IFERROR(H139,0)/IFERROR(SUMPRODUCT((Besatzung!$B$11:$B$22&lt;&gt;"")*(Besatzung!$F$11:$F$22="x")*(IF(Besatzung!$C$11:$C$22="",Besatzung!$B$5,Besatzung!$C$11:$C$22)&lt;=B139)*(IF(Besatzung!$D$11:$D$22="",Besatzung!$B$6,Besatzung!$D$11:$D$22)&gt;=B139)),1))),IF(I139="Individuell",((U139="x")*((G139-IFERROR(H139,0))/IFERROR(COUNTIF(J139:U139,"x"),1)+(Besatzung!$F$22="x")*IFERROR(H139,0)/IFERROR(SUMPRODUCT((J139:U139="x")*(Besatzung!$F$11:$F$22="x")),1))),(IF(COUNTIF(J139:U139,"x")=0,IF(Besatzung!$B$22&lt;&gt;"",1,0),(U139="x"))*(G139-IFERROR(H139,0))/IFERROR(IF(COUNTIF(J139:U139,"x")=0,COUNTA(Besatzung!$B$11:$B$22),COUNTIF(J139:U139,"x")),1)+IF(COUNTIF(J139:U139,"x")=0,(Besatzung!$F$22="x"),(U139="x")*(Besatzung!$F$22="x"))*IFERROR(H139,0)/IFERROR(IF(COUNTIF(J139:U139,"x")=0,SUMPRODUCT((Besatzung!$B$11:$B$22&lt;&gt;"")*(Besatzung!$F$11:$F$22="x")),SUMPRODUCT((J139:U139="x")*(Besatzung!$F$11:$F$22="x"))),1))))),0))))</f>
        <v/>
      </c>
      <c r="AH139" s="248" t="n"/>
      <c r="AI139" s="248" t="n"/>
    </row>
    <row r="140" ht="21.75" customHeight="1" s="154">
      <c r="A140" s="238">
        <f>IF(AND(D140="",C140=""),"",137)</f>
        <v/>
      </c>
      <c r="B140" s="199" t="n"/>
      <c r="C140" s="239" t="n"/>
      <c r="D140" s="240" t="n"/>
      <c r="E140" s="241" t="n"/>
      <c r="F140" s="242" t="n"/>
      <c r="G140" s="243" t="n"/>
      <c r="H140" s="244" t="n"/>
      <c r="I140" s="245" t="n"/>
      <c r="J140" s="246" t="n"/>
      <c r="K140" s="246" t="n"/>
      <c r="L140" s="246" t="n"/>
      <c r="M140" s="246" t="n"/>
      <c r="N140" s="246" t="n"/>
      <c r="O140" s="246" t="n"/>
      <c r="P140" s="246" t="n"/>
      <c r="Q140" s="246" t="n"/>
      <c r="R140" s="246" t="n"/>
      <c r="S140" s="246" t="n"/>
      <c r="T140" s="246" t="n"/>
      <c r="U140" s="246" t="n"/>
      <c r="V140" s="247">
        <f>IF(C140="Gutschrift","",IF(G140="","",IF(Besatzung!$B$11="","",IFERROR(IF(I140="Zeitanteilig",(Besatzung!$G$11*(G140-IFERROR(H140,0))+((Besatzung!$B$11&lt;&gt;"")*IF(B140="",1,(IF(Besatzung!$C$11="",Besatzung!$B$5,Besatzung!$C$11)&lt;=B140)*(IF(Besatzung!$D$11="",Besatzung!$B$6,Besatzung!$D$11)&gt;=B140)))*(Besatzung!$F$11="x")*IFERROR(H140,0)/IFERROR(SUMPRODUCT((Besatzung!$B$11:$B$22&lt;&gt;"")*(Besatzung!$F$11:$F$22="x")*(IF(Besatzung!$C$11:$C$22="",Besatzung!$B$5,Besatzung!$C$11:$C$22)&lt;=B140)*(IF(Besatzung!$D$11:$D$22="",Besatzung!$B$6,Besatzung!$D$11:$D$22)&gt;=B140)),1)),IF(I140="An Bord",(((Besatzung!$B$11&lt;&gt;"")*IF(B140="",1,(IF(Besatzung!$C$11="",Besatzung!$B$5,Besatzung!$C$11)&lt;=B140)*(IF(Besatzung!$D$11="",Besatzung!$B$6,Besatzung!$D$11)&gt;=B140)))*((G140-IFERROR(H140,0))/IFERROR(SUMPRODUCT((Besatzung!$B$11:$B$22&lt;&gt;"")*(IF(Besatzung!$C$11:$C$22="",Besatzung!$B$5,Besatzung!$C$11:$C$22)&lt;=B140)*(IF(Besatzung!$D$11:$D$22="",Besatzung!$B$6,Besatzung!$D$11:$D$22)&gt;=B140)),1)+(Besatzung!$F$11="x")*IFERROR(H140,0)/IFERROR(SUMPRODUCT((Besatzung!$B$11:$B$22&lt;&gt;"")*(Besatzung!$F$11:$F$22="x")*(IF(Besatzung!$C$11:$C$22="",Besatzung!$B$5,Besatzung!$C$11:$C$22)&lt;=B140)*(IF(Besatzung!$D$11:$D$22="",Besatzung!$B$6,Besatzung!$D$11:$D$22)&gt;=B140)),1))),IF(I140="Individuell",((J140="x")*((G140-IFERROR(H140,0))/IFERROR(COUNTIF(J140:U140,"x"),1)+(Besatzung!$F$11="x")*IFERROR(H140,0)/IFERROR(SUMPRODUCT((J140:U140="x")*(Besatzung!$F$11:$F$22="x")),1))),(IF(COUNTIF(J140:U140,"x")=0,IF(Besatzung!$B$11&lt;&gt;"",1,0),(J140="x"))*(G140-IFERROR(H140,0))/IFERROR(IF(COUNTIF(J140:U140,"x")=0,COUNTA(Besatzung!$B$11:$B$22),COUNTIF(J140:U140,"x")),1)+IF(COUNTIF(J140:U140,"x")=0,(Besatzung!$F$11="x"),(J140="x")*(Besatzung!$F$11="x"))*IFERROR(H140,0)/IFERROR(IF(COUNTIF(J140:U140,"x")=0,SUMPRODUCT((Besatzung!$B$11:$B$22&lt;&gt;"")*(Besatzung!$F$11:$F$22="x")),SUMPRODUCT((J140:U140="x")*(Besatzung!$F$11:$F$22="x"))),1))))),0))))</f>
        <v/>
      </c>
      <c r="W140" s="247">
        <f>IF(C140="Gutschrift","",IF(G140="","",IF(Besatzung!$B$12="","",IFERROR(IF(I140="Zeitanteilig",(Besatzung!$G$12*(G140-IFERROR(H140,0))+((Besatzung!$B$12&lt;&gt;"")*IF(B140="",1,(IF(Besatzung!$C$12="",Besatzung!$B$5,Besatzung!$C$12)&lt;=B140)*(IF(Besatzung!$D$12="",Besatzung!$B$6,Besatzung!$D$12)&gt;=B140)))*(Besatzung!$F$12="x")*IFERROR(H140,0)/IFERROR(SUMPRODUCT((Besatzung!$B$11:$B$22&lt;&gt;"")*(Besatzung!$F$11:$F$22="x")*(IF(Besatzung!$C$11:$C$22="",Besatzung!$B$5,Besatzung!$C$11:$C$22)&lt;=B140)*(IF(Besatzung!$D$11:$D$22="",Besatzung!$B$6,Besatzung!$D$11:$D$22)&gt;=B140)),1)),IF(I140="An Bord",(((Besatzung!$B$12&lt;&gt;"")*IF(B140="",1,(IF(Besatzung!$C$12="",Besatzung!$B$5,Besatzung!$C$12)&lt;=B140)*(IF(Besatzung!$D$12="",Besatzung!$B$6,Besatzung!$D$12)&gt;=B140)))*((G140-IFERROR(H140,0))/IFERROR(SUMPRODUCT((Besatzung!$B$11:$B$22&lt;&gt;"")*(IF(Besatzung!$C$11:$C$22="",Besatzung!$B$5,Besatzung!$C$11:$C$22)&lt;=B140)*(IF(Besatzung!$D$11:$D$22="",Besatzung!$B$6,Besatzung!$D$11:$D$22)&gt;=B140)),1)+(Besatzung!$F$12="x")*IFERROR(H140,0)/IFERROR(SUMPRODUCT((Besatzung!$B$11:$B$22&lt;&gt;"")*(Besatzung!$F$11:$F$22="x")*(IF(Besatzung!$C$11:$C$22="",Besatzung!$B$5,Besatzung!$C$11:$C$22)&lt;=B140)*(IF(Besatzung!$D$11:$D$22="",Besatzung!$B$6,Besatzung!$D$11:$D$22)&gt;=B140)),1))),IF(I140="Individuell",((K140="x")*((G140-IFERROR(H140,0))/IFERROR(COUNTIF(J140:U140,"x"),1)+(Besatzung!$F$12="x")*IFERROR(H140,0)/IFERROR(SUMPRODUCT((J140:U140="x")*(Besatzung!$F$11:$F$22="x")),1))),(IF(COUNTIF(J140:U140,"x")=0,IF(Besatzung!$B$12&lt;&gt;"",1,0),(K140="x"))*(G140-IFERROR(H140,0))/IFERROR(IF(COUNTIF(J140:U140,"x")=0,COUNTA(Besatzung!$B$11:$B$22),COUNTIF(J140:U140,"x")),1)+IF(COUNTIF(J140:U140,"x")=0,(Besatzung!$F$12="x"),(K140="x")*(Besatzung!$F$12="x"))*IFERROR(H140,0)/IFERROR(IF(COUNTIF(J140:U140,"x")=0,SUMPRODUCT((Besatzung!$B$11:$B$22&lt;&gt;"")*(Besatzung!$F$11:$F$22="x")),SUMPRODUCT((J140:U140="x")*(Besatzung!$F$11:$F$22="x"))),1))))),0))))</f>
        <v/>
      </c>
      <c r="X140" s="247">
        <f>IF(C140="Gutschrift","",IF(G140="","",IF(Besatzung!$B$13="","",IFERROR(IF(I140="Zeitanteilig",(Besatzung!$G$13*(G140-IFERROR(H140,0))+((Besatzung!$B$13&lt;&gt;"")*IF(B140="",1,(IF(Besatzung!$C$13="",Besatzung!$B$5,Besatzung!$C$13)&lt;=B140)*(IF(Besatzung!$D$13="",Besatzung!$B$6,Besatzung!$D$13)&gt;=B140)))*(Besatzung!$F$13="x")*IFERROR(H140,0)/IFERROR(SUMPRODUCT((Besatzung!$B$11:$B$22&lt;&gt;"")*(Besatzung!$F$11:$F$22="x")*(IF(Besatzung!$C$11:$C$22="",Besatzung!$B$5,Besatzung!$C$11:$C$22)&lt;=B140)*(IF(Besatzung!$D$11:$D$22="",Besatzung!$B$6,Besatzung!$D$11:$D$22)&gt;=B140)),1)),IF(I140="An Bord",(((Besatzung!$B$13&lt;&gt;"")*IF(B140="",1,(IF(Besatzung!$C$13="",Besatzung!$B$5,Besatzung!$C$13)&lt;=B140)*(IF(Besatzung!$D$13="",Besatzung!$B$6,Besatzung!$D$13)&gt;=B140)))*((G140-IFERROR(H140,0))/IFERROR(SUMPRODUCT((Besatzung!$B$11:$B$22&lt;&gt;"")*(IF(Besatzung!$C$11:$C$22="",Besatzung!$B$5,Besatzung!$C$11:$C$22)&lt;=B140)*(IF(Besatzung!$D$11:$D$22="",Besatzung!$B$6,Besatzung!$D$11:$D$22)&gt;=B140)),1)+(Besatzung!$F$13="x")*IFERROR(H140,0)/IFERROR(SUMPRODUCT((Besatzung!$B$11:$B$22&lt;&gt;"")*(Besatzung!$F$11:$F$22="x")*(IF(Besatzung!$C$11:$C$22="",Besatzung!$B$5,Besatzung!$C$11:$C$22)&lt;=B140)*(IF(Besatzung!$D$11:$D$22="",Besatzung!$B$6,Besatzung!$D$11:$D$22)&gt;=B140)),1))),IF(I140="Individuell",((K140="x")*((G140-IFERROR(H140,0))/IFERROR(COUNTIF(J140:U140,"x"),1)+(Besatzung!$F$13="x")*IFERROR(H140,0)/IFERROR(SUMPRODUCT((J140:U140="x")*(Besatzung!$F$11:$F$22="x")),1))),(IF(COUNTIF(J140:U140,"x")=0,IF(Besatzung!$B$13&lt;&gt;"",1,0),(K140="x"))*(G140-IFERROR(H140,0))/IFERROR(IF(COUNTIF(J140:U140,"x")=0,COUNTA(Besatzung!$B$11:$B$22),COUNTIF(J140:U140,"x")),1)+IF(COUNTIF(J140:U140,"x")=0,(Besatzung!$F$13="x"),(K140="x")*(Besatzung!$F$13="x"))*IFERROR(H140,0)/IFERROR(IF(COUNTIF(J140:U140,"x")=0,SUMPRODUCT((Besatzung!$B$11:$B$22&lt;&gt;"")*(Besatzung!$F$11:$F$22="x")),SUMPRODUCT((J140:U140="x")*(Besatzung!$F$11:$F$22="x"))),1))))),0))))</f>
        <v/>
      </c>
      <c r="Y140" s="247">
        <f>IF(C140="Gutschrift","",IF(G140="","",IF(Besatzung!$B$14="","",IFERROR(IF(I140="Zeitanteilig",(Besatzung!$G$14*(G140-IFERROR(H140,0))+((Besatzung!$B$14&lt;&gt;"")*IF(B140="",1,(IF(Besatzung!$C$14="",Besatzung!$B$5,Besatzung!$C$14)&lt;=B140)*(IF(Besatzung!$D$14="",Besatzung!$B$6,Besatzung!$D$14)&gt;=B140)))*(Besatzung!$F$14="x")*IFERROR(H140,0)/IFERROR(SUMPRODUCT((Besatzung!$B$11:$B$22&lt;&gt;"")*(Besatzung!$F$11:$F$22="x")*(IF(Besatzung!$C$11:$C$22="",Besatzung!$B$5,Besatzung!$C$11:$C$22)&lt;=B140)*(IF(Besatzung!$D$11:$D$22="",Besatzung!$B$6,Besatzung!$D$11:$D$22)&gt;=B140)),1)),IF(I140="An Bord",(((Besatzung!$B$14&lt;&gt;"")*IF(B140="",1,(IF(Besatzung!$C$14="",Besatzung!$B$5,Besatzung!$C$14)&lt;=B140)*(IF(Besatzung!$D$14="",Besatzung!$B$6,Besatzung!$D$14)&gt;=B140)))*((G140-IFERROR(H140,0))/IFERROR(SUMPRODUCT((Besatzung!$B$11:$B$22&lt;&gt;"")*(IF(Besatzung!$C$11:$C$22="",Besatzung!$B$5,Besatzung!$C$11:$C$22)&lt;=B140)*(IF(Besatzung!$D$11:$D$22="",Besatzung!$B$6,Besatzung!$D$11:$D$22)&gt;=B140)),1)+(Besatzung!$F$14="x")*IFERROR(H140,0)/IFERROR(SUMPRODUCT((Besatzung!$B$11:$B$22&lt;&gt;"")*(Besatzung!$F$11:$F$22="x")*(IF(Besatzung!$C$11:$C$22="",Besatzung!$B$5,Besatzung!$C$11:$C$22)&lt;=B140)*(IF(Besatzung!$D$11:$D$22="",Besatzung!$B$6,Besatzung!$D$11:$D$22)&gt;=B140)),1))),IF(I140="Individuell",((M140="x")*((G140-IFERROR(H140,0))/IFERROR(COUNTIF(J140:U140,"x"),1)+(Besatzung!$F$14="x")*IFERROR(H140,0)/IFERROR(SUMPRODUCT((J140:U140="x")*(Besatzung!$F$11:$F$22="x")),1))),(IF(COUNTIF(J140:U140,"x")=0,IF(Besatzung!$B$14&lt;&gt;"",1,0),(M140="x"))*(G140-IFERROR(H140,0))/IFERROR(IF(COUNTIF(J140:U140,"x")=0,COUNTA(Besatzung!$B$11:$B$22),COUNTIF(J140:U140,"x")),1)+IF(COUNTIF(J140:U140,"x")=0,(Besatzung!$F$14="x"),(M140="x")*(Besatzung!$F$14="x"))*IFERROR(H140,0)/IFERROR(IF(COUNTIF(J140:U140,"x")=0,SUMPRODUCT((Besatzung!$B$11:$B$22&lt;&gt;"")*(Besatzung!$F$11:$F$22="x")),SUMPRODUCT((J140:U140="x")*(Besatzung!$F$11:$F$22="x"))),1))))),0))))</f>
        <v/>
      </c>
      <c r="Z140" s="247">
        <f>IF(C140="Gutschrift","",IF(G140="","",IF(Besatzung!$B$13="","",IFERROR(IF(I140="Zeitanteilig",(Besatzung!$G$15*(G140-IFERROR(H140,0))+((Besatzung!$B$13&lt;&gt;"")*IF(B140="",1,(IF(Besatzung!$C$15="",Besatzung!$B$5,Besatzung!$C$15)&lt;=B140)*(IF(Besatzung!$D$15="",Besatzung!$B$6,Besatzung!$D$15)&gt;=B140)))*(Besatzung!$F$15="x")*IFERROR(H140,0)/IFERROR(SUMPRODUCT((Besatzung!$B$11:$B$22&lt;&gt;"")*(Besatzung!$F$11:$F$22="x")*(IF(Besatzung!$C$11:$C$22="",Besatzung!$B$5,Besatzung!$C$11:$C$22)&lt;=B140)*(IF(Besatzung!$D$11:$D$22="",Besatzung!$B$6,Besatzung!$D$11:$D$22)&gt;=B140)),1)),IF(I140="An Bord",(((Besatzung!$B$13&lt;&gt;"")*IF(B140="",1,(IF(Besatzung!$C$15="",Besatzung!$B$5,Besatzung!$C$15)&lt;=B140)*(IF(Besatzung!$D$15="",Besatzung!$B$6,Besatzung!$D$15)&gt;=B140)))*((G140-IFERROR(H140,0))/IFERROR(SUMPRODUCT((Besatzung!$B$11:$B$22&lt;&gt;"")*(IF(Besatzung!$C$11:$C$22="",Besatzung!$B$5,Besatzung!$C$11:$C$22)&lt;=B140)*(IF(Besatzung!$D$11:$D$22="",Besatzung!$B$6,Besatzung!$D$11:$D$22)&gt;=B140)),1)+(Besatzung!$F$15="x")*IFERROR(H140,0)/IFERROR(SUMPRODUCT((Besatzung!$B$11:$B$22&lt;&gt;"")*(Besatzung!$F$11:$F$22="x")*(IF(Besatzung!$C$11:$C$22="",Besatzung!$B$5,Besatzung!$C$11:$C$22)&lt;=B140)*(IF(Besatzung!$D$11:$D$22="",Besatzung!$B$6,Besatzung!$D$11:$D$22)&gt;=B140)),1))),IF(I140="Individuell",((N140="x")*((G140-IFERROR(H140,0))/IFERROR(COUNTIF(J140:U140,"x"),1)+(Besatzung!$F$15="x")*IFERROR(H140,0)/IFERROR(SUMPRODUCT((J140:U140="x")*(Besatzung!$F$11:$F$22="x")),1))),(IF(COUNTIF(J140:U140,"x")=0,IF(Besatzung!$B$13&lt;&gt;"",1,0),(N140="x"))*(G140-IFERROR(H140,0))/IFERROR(IF(COUNTIF(J140:U140,"x")=0,COUNTA(Besatzung!$B$11:$B$22),COUNTIF(J140:U140,"x")),1)+IF(COUNTIF(J140:U140,"x")=0,(Besatzung!$F$15="x"),(N140="x")*(Besatzung!$F$15="x"))*IFERROR(H140,0)/IFERROR(IF(COUNTIF(J140:U140,"x")=0,SUMPRODUCT((Besatzung!$B$11:$B$22&lt;&gt;"")*(Besatzung!$F$11:$F$22="x")),SUMPRODUCT((J140:U140="x")*(Besatzung!$F$11:$F$22="x"))),1))))),0))))</f>
        <v/>
      </c>
      <c r="AA140" s="247">
        <f>IF(C140="Gutschrift","",IF(G140="","",IF(Besatzung!$B$15="","",IFERROR(IF(I140="Zeitanteilig",(Besatzung!$G$16*(G140-IFERROR(H140,0))+((Besatzung!$B$15&lt;&gt;"")*IF(B140="",1,(IF(Besatzung!$C$16="",Besatzung!$B$5,Besatzung!$C$16)&lt;=B140)*(IF(Besatzung!$D$16="",Besatzung!$B$6,Besatzung!$D$16)&gt;=B140)))*(Besatzung!$F$16="x")*IFERROR(H140,0)/IFERROR(SUMPRODUCT((Besatzung!$B$11:$B$22&lt;&gt;"")*(Besatzung!$F$11:$F$22="x")*(IF(Besatzung!$C$11:$C$22="",Besatzung!$B$5,Besatzung!$C$11:$C$22)&lt;=B140)*(IF(Besatzung!$D$11:$D$22="",Besatzung!$B$6,Besatzung!$D$11:$D$22)&gt;=B140)),1)),IF(I140="An Bord",(((Besatzung!$B$15&lt;&gt;"")*IF(B140="",1,(IF(Besatzung!$C$16="",Besatzung!$B$5,Besatzung!$C$16)&lt;=B140)*(IF(Besatzung!$D$16="",Besatzung!$B$6,Besatzung!$D$16)&gt;=B140)))*((G140-IFERROR(H140,0))/IFERROR(SUMPRODUCT((Besatzung!$B$11:$B$22&lt;&gt;"")*(IF(Besatzung!$C$11:$C$22="",Besatzung!$B$5,Besatzung!$C$11:$C$22)&lt;=B140)*(IF(Besatzung!$D$11:$D$22="",Besatzung!$B$6,Besatzung!$D$11:$D$22)&gt;=B140)),1)+(Besatzung!$F$16="x")*IFERROR(H140,0)/IFERROR(SUMPRODUCT((Besatzung!$B$11:$B$22&lt;&gt;"")*(Besatzung!$F$11:$F$22="x")*(IF(Besatzung!$C$11:$C$22="",Besatzung!$B$5,Besatzung!$C$11:$C$22)&lt;=B140)*(IF(Besatzung!$D$11:$D$22="",Besatzung!$B$6,Besatzung!$D$11:$D$22)&gt;=B140)),1))),IF(I140="Individuell",((O140="x")*((G140-IFERROR(H140,0))/IFERROR(COUNTIF(J140:U140,"x"),1)+(Besatzung!$F$16="x")*IFERROR(H140,0)/IFERROR(SUMPRODUCT((J140:U140="x")*(Besatzung!$F$11:$F$22="x")),1))),(IF(COUNTIF(J140:U140,"x")=0,IF(Besatzung!$B$15&lt;&gt;"",1,0),(O140="x"))*(G140-IFERROR(H140,0))/IFERROR(IF(COUNTIF(J140:U140,"x")=0,COUNTA(Besatzung!$B$11:$B$22),COUNTIF(J140:U140,"x")),1)+IF(COUNTIF(J140:U140,"x")=0,(Besatzung!$F$16="x"),(O140="x")*(Besatzung!$F$16="x"))*IFERROR(H140,0)/IFERROR(IF(COUNTIF(J140:U140,"x")=0,SUMPRODUCT((Besatzung!$B$11:$B$22&lt;&gt;"")*(Besatzung!$F$11:$F$22="x")),SUMPRODUCT((J140:U140="x")*(Besatzung!$F$11:$F$22="x"))),1))))),0))))</f>
        <v/>
      </c>
      <c r="AB140" s="247">
        <f>IF(C140="Gutschrift","",IF(G140="","",IF(Besatzung!$B$17="","",IFERROR(IF(I140="Zeitanteilig",(Besatzung!$G$17*(G140-IFERROR(H140,0))+((Besatzung!$B$17&lt;&gt;"")*IF(B140="",1,(IF(Besatzung!$C$17="",Besatzung!$B$5,Besatzung!$C$17)&lt;=B140)*(IF(Besatzung!$D$17="",Besatzung!$B$6,Besatzung!$D$17)&gt;=B140)))*(Besatzung!$F$17="x")*IFERROR(H140,0)/IFERROR(SUMPRODUCT((Besatzung!$B$11:$B$22&lt;&gt;"")*(Besatzung!$F$11:$F$22="x")*(IF(Besatzung!$C$11:$C$22="",Besatzung!$B$5,Besatzung!$C$11:$C$22)&lt;=B140)*(IF(Besatzung!$D$11:$D$22="",Besatzung!$B$6,Besatzung!$D$11:$D$22)&gt;=B140)),1)),IF(I140="An Bord",(((Besatzung!$B$17&lt;&gt;"")*IF(B140="",1,(IF(Besatzung!$C$17="",Besatzung!$B$5,Besatzung!$C$17)&lt;=B140)*(IF(Besatzung!$D$17="",Besatzung!$B$6,Besatzung!$D$17)&gt;=B140)))*((G140-IFERROR(H140,0))/IFERROR(SUMPRODUCT((Besatzung!$B$11:$B$22&lt;&gt;"")*(IF(Besatzung!$C$11:$C$22="",Besatzung!$B$5,Besatzung!$C$11:$C$22)&lt;=B140)*(IF(Besatzung!$D$11:$D$22="",Besatzung!$B$6,Besatzung!$D$11:$D$22)&gt;=B140)),1)+(Besatzung!$F$17="x")*IFERROR(H140,0)/IFERROR(SUMPRODUCT((Besatzung!$B$11:$B$22&lt;&gt;"")*(Besatzung!$F$11:$F$22="x")*(IF(Besatzung!$C$11:$C$22="",Besatzung!$B$5,Besatzung!$C$11:$C$22)&lt;=B140)*(IF(Besatzung!$D$11:$D$22="",Besatzung!$B$6,Besatzung!$D$11:$D$22)&gt;=B140)),1))),IF(I140="Individuell",((P140="x")*((G140-IFERROR(H140,0))/IFERROR(COUNTIF(J140:U140,"x"),1)+(Besatzung!$F$17="x")*IFERROR(H140,0)/IFERROR(SUMPRODUCT((J140:U140="x")*(Besatzung!$F$11:$F$22="x")),1))),(IF(COUNTIF(J140:U140,"x")=0,IF(Besatzung!$B$17&lt;&gt;"",1,0),(P140="x"))*(G140-IFERROR(H140,0))/IFERROR(IF(COUNTIF(J140:U140,"x")=0,COUNTA(Besatzung!$B$11:$B$22),COUNTIF(J140:U140,"x")),1)+IF(COUNTIF(J140:U140,"x")=0,(Besatzung!$F$17="x"),(P140="x")*(Besatzung!$F$17="x"))*IFERROR(H140,0)/IFERROR(IF(COUNTIF(J140:U140,"x")=0,SUMPRODUCT((Besatzung!$B$11:$B$22&lt;&gt;"")*(Besatzung!$F$11:$F$22="x")),SUMPRODUCT((J140:U140="x")*(Besatzung!$F$11:$F$22="x"))),1))))),0))))</f>
        <v/>
      </c>
      <c r="AC140" s="247">
        <f>IF(C140="Gutschrift","",IF(G140="","",IF(Besatzung!$B$18="","",IFERROR(IF(I140="Zeitanteilig",(Besatzung!$G$18*(G140-IFERROR(H140,0))+((Besatzung!$B$18&lt;&gt;"")*IF(B140="",1,(IF(Besatzung!$C$18="",Besatzung!$B$5,Besatzung!$C$18)&lt;=B140)*(IF(Besatzung!$D$18="",Besatzung!$B$6,Besatzung!$D$18)&gt;=B140)))*(Besatzung!$F$18="x")*IFERROR(H140,0)/IFERROR(SUMPRODUCT((Besatzung!$B$11:$B$22&lt;&gt;"")*(Besatzung!$F$11:$F$22="x")*(IF(Besatzung!$C$11:$C$22="",Besatzung!$B$5,Besatzung!$C$11:$C$22)&lt;=B140)*(IF(Besatzung!$D$11:$D$22="",Besatzung!$B$6,Besatzung!$D$11:$D$22)&gt;=B140)),1)),IF(I140="An Bord",(((Besatzung!$B$18&lt;&gt;"")*IF(B140="",1,(IF(Besatzung!$C$18="",Besatzung!$B$5,Besatzung!$C$18)&lt;=B140)*(IF(Besatzung!$D$18="",Besatzung!$B$6,Besatzung!$D$18)&gt;=B140)))*((G140-IFERROR(H140,0))/IFERROR(SUMPRODUCT((Besatzung!$B$11:$B$22&lt;&gt;"")*(IF(Besatzung!$C$11:$C$22="",Besatzung!$B$5,Besatzung!$C$11:$C$22)&lt;=B140)*(IF(Besatzung!$D$11:$D$22="",Besatzung!$B$6,Besatzung!$D$11:$D$22)&gt;=B140)),1)+(Besatzung!$F$18="x")*IFERROR(H140,0)/IFERROR(SUMPRODUCT((Besatzung!$B$11:$B$22&lt;&gt;"")*(Besatzung!$F$11:$F$22="x")*(IF(Besatzung!$C$11:$C$22="",Besatzung!$B$5,Besatzung!$C$11:$C$22)&lt;=B140)*(IF(Besatzung!$D$11:$D$22="",Besatzung!$B$6,Besatzung!$D$11:$D$22)&gt;=B140)),1))),IF(I140="Individuell",((Q140="x")*((G140-IFERROR(H140,0))/IFERROR(COUNTIF(J140:U140,"x"),1)+(Besatzung!$F$18="x")*IFERROR(H140,0)/IFERROR(SUMPRODUCT((J140:U140="x")*(Besatzung!$F$11:$F$22="x")),1))),(IF(COUNTIF(J140:U140,"x")=0,IF(Besatzung!$B$18&lt;&gt;"",1,0),(Q140="x"))*(G140-IFERROR(H140,0))/IFERROR(IF(COUNTIF(J140:U140,"x")=0,COUNTA(Besatzung!$B$11:$B$22),COUNTIF(J140:U140,"x")),1)+IF(COUNTIF(J140:U140,"x")=0,(Besatzung!$F$18="x"),(Q140="x")*(Besatzung!$F$18="x"))*IFERROR(H140,0)/IFERROR(IF(COUNTIF(J140:U140,"x")=0,SUMPRODUCT((Besatzung!$B$11:$B$22&lt;&gt;"")*(Besatzung!$F$11:$F$22="x")),SUMPRODUCT((J140:U140="x")*(Besatzung!$F$11:$F$22="x"))),1))))),0))))</f>
        <v/>
      </c>
      <c r="AD140" s="247">
        <f>IF(C140="Gutschrift","",IF(G140="","",IF(Besatzung!$B$19="","",IFERROR(IF(I140="Zeitanteilig",(Besatzung!$G$19*(G140-IFERROR(H140,0))+((Besatzung!$B$19&lt;&gt;"")*IF(B140="",1,(IF(Besatzung!$C$19="",Besatzung!$B$5,Besatzung!$C$19)&lt;=B140)*(IF(Besatzung!$D$19="",Besatzung!$B$6,Besatzung!$D$19)&gt;=B140)))*(Besatzung!$F$19="x")*IFERROR(H140,0)/IFERROR(SUMPRODUCT((Besatzung!$B$11:$B$22&lt;&gt;"")*(Besatzung!$F$11:$F$22="x")*(IF(Besatzung!$C$11:$C$22="",Besatzung!$B$5,Besatzung!$C$11:$C$22)&lt;=B140)*(IF(Besatzung!$D$11:$D$22="",Besatzung!$B$6,Besatzung!$D$11:$D$22)&gt;=B140)),1)),IF(I140="An Bord",(((Besatzung!$B$19&lt;&gt;"")*IF(B140="",1,(IF(Besatzung!$C$19="",Besatzung!$B$5,Besatzung!$C$19)&lt;=B140)*(IF(Besatzung!$D$19="",Besatzung!$B$6,Besatzung!$D$19)&gt;=B140)))*((G140-IFERROR(H140,0))/IFERROR(SUMPRODUCT((Besatzung!$B$11:$B$22&lt;&gt;"")*(IF(Besatzung!$C$11:$C$22="",Besatzung!$B$5,Besatzung!$C$11:$C$22)&lt;=B140)*(IF(Besatzung!$D$11:$D$22="",Besatzung!$B$6,Besatzung!$D$11:$D$22)&gt;=B140)),1)+(Besatzung!$F$19="x")*IFERROR(H140,0)/IFERROR(SUMPRODUCT((Besatzung!$B$11:$B$22&lt;&gt;"")*(Besatzung!$F$11:$F$22="x")*(IF(Besatzung!$C$11:$C$22="",Besatzung!$B$5,Besatzung!$C$11:$C$22)&lt;=B140)*(IF(Besatzung!$D$11:$D$22="",Besatzung!$B$6,Besatzung!$D$11:$D$22)&gt;=B140)),1))),IF(I140="Individuell",((R140="x")*((G140-IFERROR(H140,0))/IFERROR(COUNTIF(J140:U140,"x"),1)+(Besatzung!$F$19="x")*IFERROR(H140,0)/IFERROR(SUMPRODUCT((J140:U140="x")*(Besatzung!$F$11:$F$22="x")),1))),(IF(COUNTIF(J140:U140,"x")=0,IF(Besatzung!$B$19&lt;&gt;"",1,0),(R140="x"))*(G140-IFERROR(H140,0))/IFERROR(IF(COUNTIF(J140:U140,"x")=0,COUNTA(Besatzung!$B$11:$B$22),COUNTIF(J140:U140,"x")),1)+IF(COUNTIF(J140:U140,"x")=0,(Besatzung!$F$19="x"),(R140="x")*(Besatzung!$F$19="x"))*IFERROR(H140,0)/IFERROR(IF(COUNTIF(J140:U140,"x")=0,SUMPRODUCT((Besatzung!$B$11:$B$22&lt;&gt;"")*(Besatzung!$F$11:$F$22="x")),SUMPRODUCT((J140:U140="x")*(Besatzung!$F$11:$F$22="x"))),1))))),0))))</f>
        <v/>
      </c>
      <c r="AE140" s="247">
        <f>IF(C140="Gutschrift","",IF(G140="","",IF(Besatzung!$B$20="","",IFERROR(IF(I140="Zeitanteilig",(Besatzung!$G$20*(G140-IFERROR(H140,0))+((Besatzung!$B$20&lt;&gt;"")*IF(B140="",1,(IF(Besatzung!$C$20="",Besatzung!$B$5,Besatzung!$C$20)&lt;=B140)*(IF(Besatzung!$D$20="",Besatzung!$B$6,Besatzung!$D$20)&gt;=B140)))*(Besatzung!$F$20="x")*IFERROR(H140,0)/IFERROR(SUMPRODUCT((Besatzung!$B$11:$B$22&lt;&gt;"")*(Besatzung!$F$11:$F$22="x")*(IF(Besatzung!$C$11:$C$22="",Besatzung!$B$5,Besatzung!$C$11:$C$22)&lt;=B140)*(IF(Besatzung!$D$11:$D$22="",Besatzung!$B$6,Besatzung!$D$11:$D$22)&gt;=B140)),1)),IF(I140="An Bord",(((Besatzung!$B$20&lt;&gt;"")*IF(B140="",1,(IF(Besatzung!$C$20="",Besatzung!$B$5,Besatzung!$C$20)&lt;=B140)*(IF(Besatzung!$D$20="",Besatzung!$B$6,Besatzung!$D$20)&gt;=B140)))*((G140-IFERROR(H140,0))/IFERROR(SUMPRODUCT((Besatzung!$B$11:$B$22&lt;&gt;"")*(IF(Besatzung!$C$11:$C$22="",Besatzung!$B$5,Besatzung!$C$11:$C$22)&lt;=B140)*(IF(Besatzung!$D$11:$D$22="",Besatzung!$B$6,Besatzung!$D$11:$D$22)&gt;=B140)),1)+(Besatzung!$F$20="x")*IFERROR(H140,0)/IFERROR(SUMPRODUCT((Besatzung!$B$11:$B$22&lt;&gt;"")*(Besatzung!$F$11:$F$22="x")*(IF(Besatzung!$C$11:$C$22="",Besatzung!$B$5,Besatzung!$C$11:$C$22)&lt;=B140)*(IF(Besatzung!$D$11:$D$22="",Besatzung!$B$6,Besatzung!$D$11:$D$22)&gt;=B140)),1))),IF(I140="Individuell",((S140="x")*((G140-IFERROR(H140,0))/IFERROR(COUNTIF(J140:U140,"x"),1)+(Besatzung!$F$20="x")*IFERROR(H140,0)/IFERROR(SUMPRODUCT((J140:U140="x")*(Besatzung!$F$11:$F$22="x")),1))),(IF(COUNTIF(J140:U140,"x")=0,IF(Besatzung!$B$20&lt;&gt;"",1,0),(S140="x"))*(G140-IFERROR(H140,0))/IFERROR(IF(COUNTIF(J140:U140,"x")=0,COUNTA(Besatzung!$B$11:$B$22),COUNTIF(J140:U140,"x")),1)+IF(COUNTIF(J140:U140,"x")=0,(Besatzung!$F$20="x"),(S140="x")*(Besatzung!$F$20="x"))*IFERROR(H140,0)/IFERROR(IF(COUNTIF(J140:U140,"x")=0,SUMPRODUCT((Besatzung!$B$11:$B$22&lt;&gt;"")*(Besatzung!$F$11:$F$22="x")),SUMPRODUCT((J140:U140="x")*(Besatzung!$F$11:$F$22="x"))),1))))),0))))</f>
        <v/>
      </c>
      <c r="AF140" s="247">
        <f>IF(C140="Gutschrift","",IF(G140="","",IF(Besatzung!$B$21="","",IFERROR(IF(I140="Zeitanteilig",(Besatzung!$G$21*(G140-IFERROR(H140,0))+((Besatzung!$B$21&lt;&gt;"")*IF(B140="",1,(IF(Besatzung!$C$21="",Besatzung!$B$5,Besatzung!$C$21)&lt;=B140)*(IF(Besatzung!$D$21="",Besatzung!$B$6,Besatzung!$D$21)&gt;=B140)))*(Besatzung!$F$21="x")*IFERROR(H140,0)/IFERROR(SUMPRODUCT((Besatzung!$B$11:$B$22&lt;&gt;"")*(Besatzung!$F$11:$F$22="x")*(IF(Besatzung!$C$11:$C$22="",Besatzung!$B$5,Besatzung!$C$11:$C$22)&lt;=B140)*(IF(Besatzung!$D$11:$D$22="",Besatzung!$B$6,Besatzung!$D$11:$D$22)&gt;=B140)),1)),IF(I140="An Bord",(((Besatzung!$B$21&lt;&gt;"")*IF(B140="",1,(IF(Besatzung!$C$21="",Besatzung!$B$5,Besatzung!$C$21)&lt;=B140)*(IF(Besatzung!$D$21="",Besatzung!$B$6,Besatzung!$D$21)&gt;=B140)))*((G140-IFERROR(H140,0))/IFERROR(SUMPRODUCT((Besatzung!$B$11:$B$22&lt;&gt;"")*(IF(Besatzung!$C$11:$C$22="",Besatzung!$B$5,Besatzung!$C$11:$C$22)&lt;=B140)*(IF(Besatzung!$D$11:$D$22="",Besatzung!$B$6,Besatzung!$D$11:$D$22)&gt;=B140)),1)+(Besatzung!$F$21="x")*IFERROR(H140,0)/IFERROR(SUMPRODUCT((Besatzung!$B$11:$B$22&lt;&gt;"")*(Besatzung!$F$11:$F$22="x")*(IF(Besatzung!$C$11:$C$22="",Besatzung!$B$5,Besatzung!$C$11:$C$22)&lt;=B140)*(IF(Besatzung!$D$11:$D$22="",Besatzung!$B$6,Besatzung!$D$11:$D$22)&gt;=B140)),1))),IF(I140="Individuell",((T140="x")*((G140-IFERROR(H140,0))/IFERROR(COUNTIF(J140:U140,"x"),1)+(Besatzung!$F$21="x")*IFERROR(H140,0)/IFERROR(SUMPRODUCT((J140:U140="x")*(Besatzung!$F$11:$F$22="x")),1))),(IF(COUNTIF(J140:U140,"x")=0,IF(Besatzung!$B$21&lt;&gt;"",1,0),(T140="x"))*(G140-IFERROR(H140,0))/IFERROR(IF(COUNTIF(J140:U140,"x")=0,COUNTA(Besatzung!$B$11:$B$22),COUNTIF(J140:U140,"x")),1)+IF(COUNTIF(J140:U140,"x")=0,(Besatzung!$F$21="x"),(T140="x")*(Besatzung!$F$21="x"))*IFERROR(H140,0)/IFERROR(IF(COUNTIF(J140:U140,"x")=0,SUMPRODUCT((Besatzung!$B$11:$B$22&lt;&gt;"")*(Besatzung!$F$11:$F$22="x")),SUMPRODUCT((J140:U140="x")*(Besatzung!$F$11:$F$22="x"))),1))))),0))))</f>
        <v/>
      </c>
      <c r="AG140" s="247">
        <f>IF(C140="Gutschrift","",IF(G140="","",IF(Besatzung!$B$22="","",IFERROR(IF(I140="Zeitanteilig",(Besatzung!$G$22*(G140-IFERROR(H140,0))+((Besatzung!$B$22&lt;&gt;"")*IF(B140="",1,(IF(Besatzung!$C$22="",Besatzung!$B$5,Besatzung!$C$22)&lt;=B140)*(IF(Besatzung!$D$22="",Besatzung!$B$6,Besatzung!$D$22)&gt;=B140)))*(Besatzung!$F$22="x")*IFERROR(H140,0)/IFERROR(SUMPRODUCT((Besatzung!$B$11:$B$22&lt;&gt;"")*(Besatzung!$F$11:$F$22="x")*(IF(Besatzung!$C$11:$C$22="",Besatzung!$B$5,Besatzung!$C$11:$C$22)&lt;=B140)*(IF(Besatzung!$D$11:$D$22="",Besatzung!$B$6,Besatzung!$D$11:$D$22)&gt;=B140)),1)),IF(I140="An Bord",(((Besatzung!$B$22&lt;&gt;"")*IF(B140="",1,(IF(Besatzung!$C$22="",Besatzung!$B$5,Besatzung!$C$22)&lt;=B140)*(IF(Besatzung!$D$22="",Besatzung!$B$6,Besatzung!$D$22)&gt;=B140)))*((G140-IFERROR(H140,0))/IFERROR(SUMPRODUCT((Besatzung!$B$11:$B$22&lt;&gt;"")*(IF(Besatzung!$C$11:$C$22="",Besatzung!$B$5,Besatzung!$C$11:$C$22)&lt;=B140)*(IF(Besatzung!$D$11:$D$22="",Besatzung!$B$6,Besatzung!$D$11:$D$22)&gt;=B140)),1)+(Besatzung!$F$22="x")*IFERROR(H140,0)/IFERROR(SUMPRODUCT((Besatzung!$B$11:$B$22&lt;&gt;"")*(Besatzung!$F$11:$F$22="x")*(IF(Besatzung!$C$11:$C$22="",Besatzung!$B$5,Besatzung!$C$11:$C$22)&lt;=B140)*(IF(Besatzung!$D$11:$D$22="",Besatzung!$B$6,Besatzung!$D$11:$D$22)&gt;=B140)),1))),IF(I140="Individuell",((U140="x")*((G140-IFERROR(H140,0))/IFERROR(COUNTIF(J140:U140,"x"),1)+(Besatzung!$F$22="x")*IFERROR(H140,0)/IFERROR(SUMPRODUCT((J140:U140="x")*(Besatzung!$F$11:$F$22="x")),1))),(IF(COUNTIF(J140:U140,"x")=0,IF(Besatzung!$B$22&lt;&gt;"",1,0),(U140="x"))*(G140-IFERROR(H140,0))/IFERROR(IF(COUNTIF(J140:U140,"x")=0,COUNTA(Besatzung!$B$11:$B$22),COUNTIF(J140:U140,"x")),1)+IF(COUNTIF(J140:U140,"x")=0,(Besatzung!$F$22="x"),(U140="x")*(Besatzung!$F$22="x"))*IFERROR(H140,0)/IFERROR(IF(COUNTIF(J140:U140,"x")=0,SUMPRODUCT((Besatzung!$B$11:$B$22&lt;&gt;"")*(Besatzung!$F$11:$F$22="x")),SUMPRODUCT((J140:U140="x")*(Besatzung!$F$11:$F$22="x"))),1))))),0))))</f>
        <v/>
      </c>
      <c r="AH140" s="248" t="n"/>
      <c r="AI140" s="248" t="n"/>
    </row>
    <row r="141" ht="21.75" customHeight="1" s="154">
      <c r="A141" s="238">
        <f>IF(AND(D141="",C141=""),"",138)</f>
        <v/>
      </c>
      <c r="B141" s="206" t="n"/>
      <c r="C141" s="249" t="n"/>
      <c r="D141" s="250" t="n"/>
      <c r="E141" s="251" t="n"/>
      <c r="F141" s="252" t="n"/>
      <c r="G141" s="253" t="n"/>
      <c r="H141" s="254" t="n"/>
      <c r="I141" s="255" t="n"/>
      <c r="J141" s="256" t="n"/>
      <c r="K141" s="256" t="n"/>
      <c r="L141" s="256" t="n"/>
      <c r="M141" s="256" t="n"/>
      <c r="N141" s="256" t="n"/>
      <c r="O141" s="256" t="n"/>
      <c r="P141" s="256" t="n"/>
      <c r="Q141" s="256" t="n"/>
      <c r="R141" s="256" t="n"/>
      <c r="S141" s="256" t="n"/>
      <c r="T141" s="256" t="n"/>
      <c r="U141" s="256" t="n"/>
      <c r="V141" s="247">
        <f>IF(C141="Gutschrift","",IF(G141="","",IF(Besatzung!$B$11="","",IFERROR(IF(I141="Zeitanteilig",(Besatzung!$G$11*(G141-IFERROR(H141,0))+((Besatzung!$B$11&lt;&gt;"")*IF(B141="",1,(IF(Besatzung!$C$11="",Besatzung!$B$5,Besatzung!$C$11)&lt;=B141)*(IF(Besatzung!$D$11="",Besatzung!$B$6,Besatzung!$D$11)&gt;=B141)))*(Besatzung!$F$11="x")*IFERROR(H141,0)/IFERROR(SUMPRODUCT((Besatzung!$B$11:$B$22&lt;&gt;"")*(Besatzung!$F$11:$F$22="x")*(IF(Besatzung!$C$11:$C$22="",Besatzung!$B$5,Besatzung!$C$11:$C$22)&lt;=B141)*(IF(Besatzung!$D$11:$D$22="",Besatzung!$B$6,Besatzung!$D$11:$D$22)&gt;=B141)),1)),IF(I141="An Bord",(((Besatzung!$B$11&lt;&gt;"")*IF(B141="",1,(IF(Besatzung!$C$11="",Besatzung!$B$5,Besatzung!$C$11)&lt;=B141)*(IF(Besatzung!$D$11="",Besatzung!$B$6,Besatzung!$D$11)&gt;=B141)))*((G141-IFERROR(H141,0))/IFERROR(SUMPRODUCT((Besatzung!$B$11:$B$22&lt;&gt;"")*(IF(Besatzung!$C$11:$C$22="",Besatzung!$B$5,Besatzung!$C$11:$C$22)&lt;=B141)*(IF(Besatzung!$D$11:$D$22="",Besatzung!$B$6,Besatzung!$D$11:$D$22)&gt;=B141)),1)+(Besatzung!$F$11="x")*IFERROR(H141,0)/IFERROR(SUMPRODUCT((Besatzung!$B$11:$B$22&lt;&gt;"")*(Besatzung!$F$11:$F$22="x")*(IF(Besatzung!$C$11:$C$22="",Besatzung!$B$5,Besatzung!$C$11:$C$22)&lt;=B141)*(IF(Besatzung!$D$11:$D$22="",Besatzung!$B$6,Besatzung!$D$11:$D$22)&gt;=B141)),1))),IF(I141="Individuell",((J141="x")*((G141-IFERROR(H141,0))/IFERROR(COUNTIF(J141:U141,"x"),1)+(Besatzung!$F$11="x")*IFERROR(H141,0)/IFERROR(SUMPRODUCT((J141:U141="x")*(Besatzung!$F$11:$F$22="x")),1))),(IF(COUNTIF(J141:U141,"x")=0,IF(Besatzung!$B$11&lt;&gt;"",1,0),(J141="x"))*(G141-IFERROR(H141,0))/IFERROR(IF(COUNTIF(J141:U141,"x")=0,COUNTA(Besatzung!$B$11:$B$22),COUNTIF(J141:U141,"x")),1)+IF(COUNTIF(J141:U141,"x")=0,(Besatzung!$F$11="x"),(J141="x")*(Besatzung!$F$11="x"))*IFERROR(H141,0)/IFERROR(IF(COUNTIF(J141:U141,"x")=0,SUMPRODUCT((Besatzung!$B$11:$B$22&lt;&gt;"")*(Besatzung!$F$11:$F$22="x")),SUMPRODUCT((J141:U141="x")*(Besatzung!$F$11:$F$22="x"))),1))))),0))))</f>
        <v/>
      </c>
      <c r="W141" s="247">
        <f>IF(C141="Gutschrift","",IF(G141="","",IF(Besatzung!$B$12="","",IFERROR(IF(I141="Zeitanteilig",(Besatzung!$G$12*(G141-IFERROR(H141,0))+((Besatzung!$B$12&lt;&gt;"")*IF(B141="",1,(IF(Besatzung!$C$12="",Besatzung!$B$5,Besatzung!$C$12)&lt;=B141)*(IF(Besatzung!$D$12="",Besatzung!$B$6,Besatzung!$D$12)&gt;=B141)))*(Besatzung!$F$12="x")*IFERROR(H141,0)/IFERROR(SUMPRODUCT((Besatzung!$B$11:$B$22&lt;&gt;"")*(Besatzung!$F$11:$F$22="x")*(IF(Besatzung!$C$11:$C$22="",Besatzung!$B$5,Besatzung!$C$11:$C$22)&lt;=B141)*(IF(Besatzung!$D$11:$D$22="",Besatzung!$B$6,Besatzung!$D$11:$D$22)&gt;=B141)),1)),IF(I141="An Bord",(((Besatzung!$B$12&lt;&gt;"")*IF(B141="",1,(IF(Besatzung!$C$12="",Besatzung!$B$5,Besatzung!$C$12)&lt;=B141)*(IF(Besatzung!$D$12="",Besatzung!$B$6,Besatzung!$D$12)&gt;=B141)))*((G141-IFERROR(H141,0))/IFERROR(SUMPRODUCT((Besatzung!$B$11:$B$22&lt;&gt;"")*(IF(Besatzung!$C$11:$C$22="",Besatzung!$B$5,Besatzung!$C$11:$C$22)&lt;=B141)*(IF(Besatzung!$D$11:$D$22="",Besatzung!$B$6,Besatzung!$D$11:$D$22)&gt;=B141)),1)+(Besatzung!$F$12="x")*IFERROR(H141,0)/IFERROR(SUMPRODUCT((Besatzung!$B$11:$B$22&lt;&gt;"")*(Besatzung!$F$11:$F$22="x")*(IF(Besatzung!$C$11:$C$22="",Besatzung!$B$5,Besatzung!$C$11:$C$22)&lt;=B141)*(IF(Besatzung!$D$11:$D$22="",Besatzung!$B$6,Besatzung!$D$11:$D$22)&gt;=B141)),1))),IF(I141="Individuell",((K141="x")*((G141-IFERROR(H141,0))/IFERROR(COUNTIF(J141:U141,"x"),1)+(Besatzung!$F$12="x")*IFERROR(H141,0)/IFERROR(SUMPRODUCT((J141:U141="x")*(Besatzung!$F$11:$F$22="x")),1))),(IF(COUNTIF(J141:U141,"x")=0,IF(Besatzung!$B$12&lt;&gt;"",1,0),(K141="x"))*(G141-IFERROR(H141,0))/IFERROR(IF(COUNTIF(J141:U141,"x")=0,COUNTA(Besatzung!$B$11:$B$22),COUNTIF(J141:U141,"x")),1)+IF(COUNTIF(J141:U141,"x")=0,(Besatzung!$F$12="x"),(K141="x")*(Besatzung!$F$12="x"))*IFERROR(H141,0)/IFERROR(IF(COUNTIF(J141:U141,"x")=0,SUMPRODUCT((Besatzung!$B$11:$B$22&lt;&gt;"")*(Besatzung!$F$11:$F$22="x")),SUMPRODUCT((J141:U141="x")*(Besatzung!$F$11:$F$22="x"))),1))))),0))))</f>
        <v/>
      </c>
      <c r="X141" s="247">
        <f>IF(C141="Gutschrift","",IF(G141="","",IF(Besatzung!$B$13="","",IFERROR(IF(I141="Zeitanteilig",(Besatzung!$G$13*(G141-IFERROR(H141,0))+((Besatzung!$B$13&lt;&gt;"")*IF(B141="",1,(IF(Besatzung!$C$13="",Besatzung!$B$5,Besatzung!$C$13)&lt;=B141)*(IF(Besatzung!$D$13="",Besatzung!$B$6,Besatzung!$D$13)&gt;=B141)))*(Besatzung!$F$13="x")*IFERROR(H141,0)/IFERROR(SUMPRODUCT((Besatzung!$B$11:$B$22&lt;&gt;"")*(Besatzung!$F$11:$F$22="x")*(IF(Besatzung!$C$11:$C$22="",Besatzung!$B$5,Besatzung!$C$11:$C$22)&lt;=B141)*(IF(Besatzung!$D$11:$D$22="",Besatzung!$B$6,Besatzung!$D$11:$D$22)&gt;=B141)),1)),IF(I141="An Bord",(((Besatzung!$B$13&lt;&gt;"")*IF(B141="",1,(IF(Besatzung!$C$13="",Besatzung!$B$5,Besatzung!$C$13)&lt;=B141)*(IF(Besatzung!$D$13="",Besatzung!$B$6,Besatzung!$D$13)&gt;=B141)))*((G141-IFERROR(H141,0))/IFERROR(SUMPRODUCT((Besatzung!$B$11:$B$22&lt;&gt;"")*(IF(Besatzung!$C$11:$C$22="",Besatzung!$B$5,Besatzung!$C$11:$C$22)&lt;=B141)*(IF(Besatzung!$D$11:$D$22="",Besatzung!$B$6,Besatzung!$D$11:$D$22)&gt;=B141)),1)+(Besatzung!$F$13="x")*IFERROR(H141,0)/IFERROR(SUMPRODUCT((Besatzung!$B$11:$B$22&lt;&gt;"")*(Besatzung!$F$11:$F$22="x")*(IF(Besatzung!$C$11:$C$22="",Besatzung!$B$5,Besatzung!$C$11:$C$22)&lt;=B141)*(IF(Besatzung!$D$11:$D$22="",Besatzung!$B$6,Besatzung!$D$11:$D$22)&gt;=B141)),1))),IF(I141="Individuell",((K141="x")*((G141-IFERROR(H141,0))/IFERROR(COUNTIF(J141:U141,"x"),1)+(Besatzung!$F$13="x")*IFERROR(H141,0)/IFERROR(SUMPRODUCT((J141:U141="x")*(Besatzung!$F$11:$F$22="x")),1))),(IF(COUNTIF(J141:U141,"x")=0,IF(Besatzung!$B$13&lt;&gt;"",1,0),(K141="x"))*(G141-IFERROR(H141,0))/IFERROR(IF(COUNTIF(J141:U141,"x")=0,COUNTA(Besatzung!$B$11:$B$22),COUNTIF(J141:U141,"x")),1)+IF(COUNTIF(J141:U141,"x")=0,(Besatzung!$F$13="x"),(K141="x")*(Besatzung!$F$13="x"))*IFERROR(H141,0)/IFERROR(IF(COUNTIF(J141:U141,"x")=0,SUMPRODUCT((Besatzung!$B$11:$B$22&lt;&gt;"")*(Besatzung!$F$11:$F$22="x")),SUMPRODUCT((J141:U141="x")*(Besatzung!$F$11:$F$22="x"))),1))))),0))))</f>
        <v/>
      </c>
      <c r="Y141" s="247">
        <f>IF(C141="Gutschrift","",IF(G141="","",IF(Besatzung!$B$14="","",IFERROR(IF(I141="Zeitanteilig",(Besatzung!$G$14*(G141-IFERROR(H141,0))+((Besatzung!$B$14&lt;&gt;"")*IF(B141="",1,(IF(Besatzung!$C$14="",Besatzung!$B$5,Besatzung!$C$14)&lt;=B141)*(IF(Besatzung!$D$14="",Besatzung!$B$6,Besatzung!$D$14)&gt;=B141)))*(Besatzung!$F$14="x")*IFERROR(H141,0)/IFERROR(SUMPRODUCT((Besatzung!$B$11:$B$22&lt;&gt;"")*(Besatzung!$F$11:$F$22="x")*(IF(Besatzung!$C$11:$C$22="",Besatzung!$B$5,Besatzung!$C$11:$C$22)&lt;=B141)*(IF(Besatzung!$D$11:$D$22="",Besatzung!$B$6,Besatzung!$D$11:$D$22)&gt;=B141)),1)),IF(I141="An Bord",(((Besatzung!$B$14&lt;&gt;"")*IF(B141="",1,(IF(Besatzung!$C$14="",Besatzung!$B$5,Besatzung!$C$14)&lt;=B141)*(IF(Besatzung!$D$14="",Besatzung!$B$6,Besatzung!$D$14)&gt;=B141)))*((G141-IFERROR(H141,0))/IFERROR(SUMPRODUCT((Besatzung!$B$11:$B$22&lt;&gt;"")*(IF(Besatzung!$C$11:$C$22="",Besatzung!$B$5,Besatzung!$C$11:$C$22)&lt;=B141)*(IF(Besatzung!$D$11:$D$22="",Besatzung!$B$6,Besatzung!$D$11:$D$22)&gt;=B141)),1)+(Besatzung!$F$14="x")*IFERROR(H141,0)/IFERROR(SUMPRODUCT((Besatzung!$B$11:$B$22&lt;&gt;"")*(Besatzung!$F$11:$F$22="x")*(IF(Besatzung!$C$11:$C$22="",Besatzung!$B$5,Besatzung!$C$11:$C$22)&lt;=B141)*(IF(Besatzung!$D$11:$D$22="",Besatzung!$B$6,Besatzung!$D$11:$D$22)&gt;=B141)),1))),IF(I141="Individuell",((M141="x")*((G141-IFERROR(H141,0))/IFERROR(COUNTIF(J141:U141,"x"),1)+(Besatzung!$F$14="x")*IFERROR(H141,0)/IFERROR(SUMPRODUCT((J141:U141="x")*(Besatzung!$F$11:$F$22="x")),1))),(IF(COUNTIF(J141:U141,"x")=0,IF(Besatzung!$B$14&lt;&gt;"",1,0),(M141="x"))*(G141-IFERROR(H141,0))/IFERROR(IF(COUNTIF(J141:U141,"x")=0,COUNTA(Besatzung!$B$11:$B$22),COUNTIF(J141:U141,"x")),1)+IF(COUNTIF(J141:U141,"x")=0,(Besatzung!$F$14="x"),(M141="x")*(Besatzung!$F$14="x"))*IFERROR(H141,0)/IFERROR(IF(COUNTIF(J141:U141,"x")=0,SUMPRODUCT((Besatzung!$B$11:$B$22&lt;&gt;"")*(Besatzung!$F$11:$F$22="x")),SUMPRODUCT((J141:U141="x")*(Besatzung!$F$11:$F$22="x"))),1))))),0))))</f>
        <v/>
      </c>
      <c r="Z141" s="247">
        <f>IF(C141="Gutschrift","",IF(G141="","",IF(Besatzung!$B$13="","",IFERROR(IF(I141="Zeitanteilig",(Besatzung!$G$15*(G141-IFERROR(H141,0))+((Besatzung!$B$13&lt;&gt;"")*IF(B141="",1,(IF(Besatzung!$C$15="",Besatzung!$B$5,Besatzung!$C$15)&lt;=B141)*(IF(Besatzung!$D$15="",Besatzung!$B$6,Besatzung!$D$15)&gt;=B141)))*(Besatzung!$F$15="x")*IFERROR(H141,0)/IFERROR(SUMPRODUCT((Besatzung!$B$11:$B$22&lt;&gt;"")*(Besatzung!$F$11:$F$22="x")*(IF(Besatzung!$C$11:$C$22="",Besatzung!$B$5,Besatzung!$C$11:$C$22)&lt;=B141)*(IF(Besatzung!$D$11:$D$22="",Besatzung!$B$6,Besatzung!$D$11:$D$22)&gt;=B141)),1)),IF(I141="An Bord",(((Besatzung!$B$13&lt;&gt;"")*IF(B141="",1,(IF(Besatzung!$C$15="",Besatzung!$B$5,Besatzung!$C$15)&lt;=B141)*(IF(Besatzung!$D$15="",Besatzung!$B$6,Besatzung!$D$15)&gt;=B141)))*((G141-IFERROR(H141,0))/IFERROR(SUMPRODUCT((Besatzung!$B$11:$B$22&lt;&gt;"")*(IF(Besatzung!$C$11:$C$22="",Besatzung!$B$5,Besatzung!$C$11:$C$22)&lt;=B141)*(IF(Besatzung!$D$11:$D$22="",Besatzung!$B$6,Besatzung!$D$11:$D$22)&gt;=B141)),1)+(Besatzung!$F$15="x")*IFERROR(H141,0)/IFERROR(SUMPRODUCT((Besatzung!$B$11:$B$22&lt;&gt;"")*(Besatzung!$F$11:$F$22="x")*(IF(Besatzung!$C$11:$C$22="",Besatzung!$B$5,Besatzung!$C$11:$C$22)&lt;=B141)*(IF(Besatzung!$D$11:$D$22="",Besatzung!$B$6,Besatzung!$D$11:$D$22)&gt;=B141)),1))),IF(I141="Individuell",((N141="x")*((G141-IFERROR(H141,0))/IFERROR(COUNTIF(J141:U141,"x"),1)+(Besatzung!$F$15="x")*IFERROR(H141,0)/IFERROR(SUMPRODUCT((J141:U141="x")*(Besatzung!$F$11:$F$22="x")),1))),(IF(COUNTIF(J141:U141,"x")=0,IF(Besatzung!$B$13&lt;&gt;"",1,0),(N141="x"))*(G141-IFERROR(H141,0))/IFERROR(IF(COUNTIF(J141:U141,"x")=0,COUNTA(Besatzung!$B$11:$B$22),COUNTIF(J141:U141,"x")),1)+IF(COUNTIF(J141:U141,"x")=0,(Besatzung!$F$15="x"),(N141="x")*(Besatzung!$F$15="x"))*IFERROR(H141,0)/IFERROR(IF(COUNTIF(J141:U141,"x")=0,SUMPRODUCT((Besatzung!$B$11:$B$22&lt;&gt;"")*(Besatzung!$F$11:$F$22="x")),SUMPRODUCT((J141:U141="x")*(Besatzung!$F$11:$F$22="x"))),1))))),0))))</f>
        <v/>
      </c>
      <c r="AA141" s="247">
        <f>IF(C141="Gutschrift","",IF(G141="","",IF(Besatzung!$B$15="","",IFERROR(IF(I141="Zeitanteilig",(Besatzung!$G$16*(G141-IFERROR(H141,0))+((Besatzung!$B$15&lt;&gt;"")*IF(B141="",1,(IF(Besatzung!$C$16="",Besatzung!$B$5,Besatzung!$C$16)&lt;=B141)*(IF(Besatzung!$D$16="",Besatzung!$B$6,Besatzung!$D$16)&gt;=B141)))*(Besatzung!$F$16="x")*IFERROR(H141,0)/IFERROR(SUMPRODUCT((Besatzung!$B$11:$B$22&lt;&gt;"")*(Besatzung!$F$11:$F$22="x")*(IF(Besatzung!$C$11:$C$22="",Besatzung!$B$5,Besatzung!$C$11:$C$22)&lt;=B141)*(IF(Besatzung!$D$11:$D$22="",Besatzung!$B$6,Besatzung!$D$11:$D$22)&gt;=B141)),1)),IF(I141="An Bord",(((Besatzung!$B$15&lt;&gt;"")*IF(B141="",1,(IF(Besatzung!$C$16="",Besatzung!$B$5,Besatzung!$C$16)&lt;=B141)*(IF(Besatzung!$D$16="",Besatzung!$B$6,Besatzung!$D$16)&gt;=B141)))*((G141-IFERROR(H141,0))/IFERROR(SUMPRODUCT((Besatzung!$B$11:$B$22&lt;&gt;"")*(IF(Besatzung!$C$11:$C$22="",Besatzung!$B$5,Besatzung!$C$11:$C$22)&lt;=B141)*(IF(Besatzung!$D$11:$D$22="",Besatzung!$B$6,Besatzung!$D$11:$D$22)&gt;=B141)),1)+(Besatzung!$F$16="x")*IFERROR(H141,0)/IFERROR(SUMPRODUCT((Besatzung!$B$11:$B$22&lt;&gt;"")*(Besatzung!$F$11:$F$22="x")*(IF(Besatzung!$C$11:$C$22="",Besatzung!$B$5,Besatzung!$C$11:$C$22)&lt;=B141)*(IF(Besatzung!$D$11:$D$22="",Besatzung!$B$6,Besatzung!$D$11:$D$22)&gt;=B141)),1))),IF(I141="Individuell",((O141="x")*((G141-IFERROR(H141,0))/IFERROR(COUNTIF(J141:U141,"x"),1)+(Besatzung!$F$16="x")*IFERROR(H141,0)/IFERROR(SUMPRODUCT((J141:U141="x")*(Besatzung!$F$11:$F$22="x")),1))),(IF(COUNTIF(J141:U141,"x")=0,IF(Besatzung!$B$15&lt;&gt;"",1,0),(O141="x"))*(G141-IFERROR(H141,0))/IFERROR(IF(COUNTIF(J141:U141,"x")=0,COUNTA(Besatzung!$B$11:$B$22),COUNTIF(J141:U141,"x")),1)+IF(COUNTIF(J141:U141,"x")=0,(Besatzung!$F$16="x"),(O141="x")*(Besatzung!$F$16="x"))*IFERROR(H141,0)/IFERROR(IF(COUNTIF(J141:U141,"x")=0,SUMPRODUCT((Besatzung!$B$11:$B$22&lt;&gt;"")*(Besatzung!$F$11:$F$22="x")),SUMPRODUCT((J141:U141="x")*(Besatzung!$F$11:$F$22="x"))),1))))),0))))</f>
        <v/>
      </c>
      <c r="AB141" s="247">
        <f>IF(C141="Gutschrift","",IF(G141="","",IF(Besatzung!$B$17="","",IFERROR(IF(I141="Zeitanteilig",(Besatzung!$G$17*(G141-IFERROR(H141,0))+((Besatzung!$B$17&lt;&gt;"")*IF(B141="",1,(IF(Besatzung!$C$17="",Besatzung!$B$5,Besatzung!$C$17)&lt;=B141)*(IF(Besatzung!$D$17="",Besatzung!$B$6,Besatzung!$D$17)&gt;=B141)))*(Besatzung!$F$17="x")*IFERROR(H141,0)/IFERROR(SUMPRODUCT((Besatzung!$B$11:$B$22&lt;&gt;"")*(Besatzung!$F$11:$F$22="x")*(IF(Besatzung!$C$11:$C$22="",Besatzung!$B$5,Besatzung!$C$11:$C$22)&lt;=B141)*(IF(Besatzung!$D$11:$D$22="",Besatzung!$B$6,Besatzung!$D$11:$D$22)&gt;=B141)),1)),IF(I141="An Bord",(((Besatzung!$B$17&lt;&gt;"")*IF(B141="",1,(IF(Besatzung!$C$17="",Besatzung!$B$5,Besatzung!$C$17)&lt;=B141)*(IF(Besatzung!$D$17="",Besatzung!$B$6,Besatzung!$D$17)&gt;=B141)))*((G141-IFERROR(H141,0))/IFERROR(SUMPRODUCT((Besatzung!$B$11:$B$22&lt;&gt;"")*(IF(Besatzung!$C$11:$C$22="",Besatzung!$B$5,Besatzung!$C$11:$C$22)&lt;=B141)*(IF(Besatzung!$D$11:$D$22="",Besatzung!$B$6,Besatzung!$D$11:$D$22)&gt;=B141)),1)+(Besatzung!$F$17="x")*IFERROR(H141,0)/IFERROR(SUMPRODUCT((Besatzung!$B$11:$B$22&lt;&gt;"")*(Besatzung!$F$11:$F$22="x")*(IF(Besatzung!$C$11:$C$22="",Besatzung!$B$5,Besatzung!$C$11:$C$22)&lt;=B141)*(IF(Besatzung!$D$11:$D$22="",Besatzung!$B$6,Besatzung!$D$11:$D$22)&gt;=B141)),1))),IF(I141="Individuell",((P141="x")*((G141-IFERROR(H141,0))/IFERROR(COUNTIF(J141:U141,"x"),1)+(Besatzung!$F$17="x")*IFERROR(H141,0)/IFERROR(SUMPRODUCT((J141:U141="x")*(Besatzung!$F$11:$F$22="x")),1))),(IF(COUNTIF(J141:U141,"x")=0,IF(Besatzung!$B$17&lt;&gt;"",1,0),(P141="x"))*(G141-IFERROR(H141,0))/IFERROR(IF(COUNTIF(J141:U141,"x")=0,COUNTA(Besatzung!$B$11:$B$22),COUNTIF(J141:U141,"x")),1)+IF(COUNTIF(J141:U141,"x")=0,(Besatzung!$F$17="x"),(P141="x")*(Besatzung!$F$17="x"))*IFERROR(H141,0)/IFERROR(IF(COUNTIF(J141:U141,"x")=0,SUMPRODUCT((Besatzung!$B$11:$B$22&lt;&gt;"")*(Besatzung!$F$11:$F$22="x")),SUMPRODUCT((J141:U141="x")*(Besatzung!$F$11:$F$22="x"))),1))))),0))))</f>
        <v/>
      </c>
      <c r="AC141" s="247">
        <f>IF(C141="Gutschrift","",IF(G141="","",IF(Besatzung!$B$18="","",IFERROR(IF(I141="Zeitanteilig",(Besatzung!$G$18*(G141-IFERROR(H141,0))+((Besatzung!$B$18&lt;&gt;"")*IF(B141="",1,(IF(Besatzung!$C$18="",Besatzung!$B$5,Besatzung!$C$18)&lt;=B141)*(IF(Besatzung!$D$18="",Besatzung!$B$6,Besatzung!$D$18)&gt;=B141)))*(Besatzung!$F$18="x")*IFERROR(H141,0)/IFERROR(SUMPRODUCT((Besatzung!$B$11:$B$22&lt;&gt;"")*(Besatzung!$F$11:$F$22="x")*(IF(Besatzung!$C$11:$C$22="",Besatzung!$B$5,Besatzung!$C$11:$C$22)&lt;=B141)*(IF(Besatzung!$D$11:$D$22="",Besatzung!$B$6,Besatzung!$D$11:$D$22)&gt;=B141)),1)),IF(I141="An Bord",(((Besatzung!$B$18&lt;&gt;"")*IF(B141="",1,(IF(Besatzung!$C$18="",Besatzung!$B$5,Besatzung!$C$18)&lt;=B141)*(IF(Besatzung!$D$18="",Besatzung!$B$6,Besatzung!$D$18)&gt;=B141)))*((G141-IFERROR(H141,0))/IFERROR(SUMPRODUCT((Besatzung!$B$11:$B$22&lt;&gt;"")*(IF(Besatzung!$C$11:$C$22="",Besatzung!$B$5,Besatzung!$C$11:$C$22)&lt;=B141)*(IF(Besatzung!$D$11:$D$22="",Besatzung!$B$6,Besatzung!$D$11:$D$22)&gt;=B141)),1)+(Besatzung!$F$18="x")*IFERROR(H141,0)/IFERROR(SUMPRODUCT((Besatzung!$B$11:$B$22&lt;&gt;"")*(Besatzung!$F$11:$F$22="x")*(IF(Besatzung!$C$11:$C$22="",Besatzung!$B$5,Besatzung!$C$11:$C$22)&lt;=B141)*(IF(Besatzung!$D$11:$D$22="",Besatzung!$B$6,Besatzung!$D$11:$D$22)&gt;=B141)),1))),IF(I141="Individuell",((Q141="x")*((G141-IFERROR(H141,0))/IFERROR(COUNTIF(J141:U141,"x"),1)+(Besatzung!$F$18="x")*IFERROR(H141,0)/IFERROR(SUMPRODUCT((J141:U141="x")*(Besatzung!$F$11:$F$22="x")),1))),(IF(COUNTIF(J141:U141,"x")=0,IF(Besatzung!$B$18&lt;&gt;"",1,0),(Q141="x"))*(G141-IFERROR(H141,0))/IFERROR(IF(COUNTIF(J141:U141,"x")=0,COUNTA(Besatzung!$B$11:$B$22),COUNTIF(J141:U141,"x")),1)+IF(COUNTIF(J141:U141,"x")=0,(Besatzung!$F$18="x"),(Q141="x")*(Besatzung!$F$18="x"))*IFERROR(H141,0)/IFERROR(IF(COUNTIF(J141:U141,"x")=0,SUMPRODUCT((Besatzung!$B$11:$B$22&lt;&gt;"")*(Besatzung!$F$11:$F$22="x")),SUMPRODUCT((J141:U141="x")*(Besatzung!$F$11:$F$22="x"))),1))))),0))))</f>
        <v/>
      </c>
      <c r="AD141" s="247">
        <f>IF(C141="Gutschrift","",IF(G141="","",IF(Besatzung!$B$19="","",IFERROR(IF(I141="Zeitanteilig",(Besatzung!$G$19*(G141-IFERROR(H141,0))+((Besatzung!$B$19&lt;&gt;"")*IF(B141="",1,(IF(Besatzung!$C$19="",Besatzung!$B$5,Besatzung!$C$19)&lt;=B141)*(IF(Besatzung!$D$19="",Besatzung!$B$6,Besatzung!$D$19)&gt;=B141)))*(Besatzung!$F$19="x")*IFERROR(H141,0)/IFERROR(SUMPRODUCT((Besatzung!$B$11:$B$22&lt;&gt;"")*(Besatzung!$F$11:$F$22="x")*(IF(Besatzung!$C$11:$C$22="",Besatzung!$B$5,Besatzung!$C$11:$C$22)&lt;=B141)*(IF(Besatzung!$D$11:$D$22="",Besatzung!$B$6,Besatzung!$D$11:$D$22)&gt;=B141)),1)),IF(I141="An Bord",(((Besatzung!$B$19&lt;&gt;"")*IF(B141="",1,(IF(Besatzung!$C$19="",Besatzung!$B$5,Besatzung!$C$19)&lt;=B141)*(IF(Besatzung!$D$19="",Besatzung!$B$6,Besatzung!$D$19)&gt;=B141)))*((G141-IFERROR(H141,0))/IFERROR(SUMPRODUCT((Besatzung!$B$11:$B$22&lt;&gt;"")*(IF(Besatzung!$C$11:$C$22="",Besatzung!$B$5,Besatzung!$C$11:$C$22)&lt;=B141)*(IF(Besatzung!$D$11:$D$22="",Besatzung!$B$6,Besatzung!$D$11:$D$22)&gt;=B141)),1)+(Besatzung!$F$19="x")*IFERROR(H141,0)/IFERROR(SUMPRODUCT((Besatzung!$B$11:$B$22&lt;&gt;"")*(Besatzung!$F$11:$F$22="x")*(IF(Besatzung!$C$11:$C$22="",Besatzung!$B$5,Besatzung!$C$11:$C$22)&lt;=B141)*(IF(Besatzung!$D$11:$D$22="",Besatzung!$B$6,Besatzung!$D$11:$D$22)&gt;=B141)),1))),IF(I141="Individuell",((R141="x")*((G141-IFERROR(H141,0))/IFERROR(COUNTIF(J141:U141,"x"),1)+(Besatzung!$F$19="x")*IFERROR(H141,0)/IFERROR(SUMPRODUCT((J141:U141="x")*(Besatzung!$F$11:$F$22="x")),1))),(IF(COUNTIF(J141:U141,"x")=0,IF(Besatzung!$B$19&lt;&gt;"",1,0),(R141="x"))*(G141-IFERROR(H141,0))/IFERROR(IF(COUNTIF(J141:U141,"x")=0,COUNTA(Besatzung!$B$11:$B$22),COUNTIF(J141:U141,"x")),1)+IF(COUNTIF(J141:U141,"x")=0,(Besatzung!$F$19="x"),(R141="x")*(Besatzung!$F$19="x"))*IFERROR(H141,0)/IFERROR(IF(COUNTIF(J141:U141,"x")=0,SUMPRODUCT((Besatzung!$B$11:$B$22&lt;&gt;"")*(Besatzung!$F$11:$F$22="x")),SUMPRODUCT((J141:U141="x")*(Besatzung!$F$11:$F$22="x"))),1))))),0))))</f>
        <v/>
      </c>
      <c r="AE141" s="247">
        <f>IF(C141="Gutschrift","",IF(G141="","",IF(Besatzung!$B$20="","",IFERROR(IF(I141="Zeitanteilig",(Besatzung!$G$20*(G141-IFERROR(H141,0))+((Besatzung!$B$20&lt;&gt;"")*IF(B141="",1,(IF(Besatzung!$C$20="",Besatzung!$B$5,Besatzung!$C$20)&lt;=B141)*(IF(Besatzung!$D$20="",Besatzung!$B$6,Besatzung!$D$20)&gt;=B141)))*(Besatzung!$F$20="x")*IFERROR(H141,0)/IFERROR(SUMPRODUCT((Besatzung!$B$11:$B$22&lt;&gt;"")*(Besatzung!$F$11:$F$22="x")*(IF(Besatzung!$C$11:$C$22="",Besatzung!$B$5,Besatzung!$C$11:$C$22)&lt;=B141)*(IF(Besatzung!$D$11:$D$22="",Besatzung!$B$6,Besatzung!$D$11:$D$22)&gt;=B141)),1)),IF(I141="An Bord",(((Besatzung!$B$20&lt;&gt;"")*IF(B141="",1,(IF(Besatzung!$C$20="",Besatzung!$B$5,Besatzung!$C$20)&lt;=B141)*(IF(Besatzung!$D$20="",Besatzung!$B$6,Besatzung!$D$20)&gt;=B141)))*((G141-IFERROR(H141,0))/IFERROR(SUMPRODUCT((Besatzung!$B$11:$B$22&lt;&gt;"")*(IF(Besatzung!$C$11:$C$22="",Besatzung!$B$5,Besatzung!$C$11:$C$22)&lt;=B141)*(IF(Besatzung!$D$11:$D$22="",Besatzung!$B$6,Besatzung!$D$11:$D$22)&gt;=B141)),1)+(Besatzung!$F$20="x")*IFERROR(H141,0)/IFERROR(SUMPRODUCT((Besatzung!$B$11:$B$22&lt;&gt;"")*(Besatzung!$F$11:$F$22="x")*(IF(Besatzung!$C$11:$C$22="",Besatzung!$B$5,Besatzung!$C$11:$C$22)&lt;=B141)*(IF(Besatzung!$D$11:$D$22="",Besatzung!$B$6,Besatzung!$D$11:$D$22)&gt;=B141)),1))),IF(I141="Individuell",((S141="x")*((G141-IFERROR(H141,0))/IFERROR(COUNTIF(J141:U141,"x"),1)+(Besatzung!$F$20="x")*IFERROR(H141,0)/IFERROR(SUMPRODUCT((J141:U141="x")*(Besatzung!$F$11:$F$22="x")),1))),(IF(COUNTIF(J141:U141,"x")=0,IF(Besatzung!$B$20&lt;&gt;"",1,0),(S141="x"))*(G141-IFERROR(H141,0))/IFERROR(IF(COUNTIF(J141:U141,"x")=0,COUNTA(Besatzung!$B$11:$B$22),COUNTIF(J141:U141,"x")),1)+IF(COUNTIF(J141:U141,"x")=0,(Besatzung!$F$20="x"),(S141="x")*(Besatzung!$F$20="x"))*IFERROR(H141,0)/IFERROR(IF(COUNTIF(J141:U141,"x")=0,SUMPRODUCT((Besatzung!$B$11:$B$22&lt;&gt;"")*(Besatzung!$F$11:$F$22="x")),SUMPRODUCT((J141:U141="x")*(Besatzung!$F$11:$F$22="x"))),1))))),0))))</f>
        <v/>
      </c>
      <c r="AF141" s="247">
        <f>IF(C141="Gutschrift","",IF(G141="","",IF(Besatzung!$B$21="","",IFERROR(IF(I141="Zeitanteilig",(Besatzung!$G$21*(G141-IFERROR(H141,0))+((Besatzung!$B$21&lt;&gt;"")*IF(B141="",1,(IF(Besatzung!$C$21="",Besatzung!$B$5,Besatzung!$C$21)&lt;=B141)*(IF(Besatzung!$D$21="",Besatzung!$B$6,Besatzung!$D$21)&gt;=B141)))*(Besatzung!$F$21="x")*IFERROR(H141,0)/IFERROR(SUMPRODUCT((Besatzung!$B$11:$B$22&lt;&gt;"")*(Besatzung!$F$11:$F$22="x")*(IF(Besatzung!$C$11:$C$22="",Besatzung!$B$5,Besatzung!$C$11:$C$22)&lt;=B141)*(IF(Besatzung!$D$11:$D$22="",Besatzung!$B$6,Besatzung!$D$11:$D$22)&gt;=B141)),1)),IF(I141="An Bord",(((Besatzung!$B$21&lt;&gt;"")*IF(B141="",1,(IF(Besatzung!$C$21="",Besatzung!$B$5,Besatzung!$C$21)&lt;=B141)*(IF(Besatzung!$D$21="",Besatzung!$B$6,Besatzung!$D$21)&gt;=B141)))*((G141-IFERROR(H141,0))/IFERROR(SUMPRODUCT((Besatzung!$B$11:$B$22&lt;&gt;"")*(IF(Besatzung!$C$11:$C$22="",Besatzung!$B$5,Besatzung!$C$11:$C$22)&lt;=B141)*(IF(Besatzung!$D$11:$D$22="",Besatzung!$B$6,Besatzung!$D$11:$D$22)&gt;=B141)),1)+(Besatzung!$F$21="x")*IFERROR(H141,0)/IFERROR(SUMPRODUCT((Besatzung!$B$11:$B$22&lt;&gt;"")*(Besatzung!$F$11:$F$22="x")*(IF(Besatzung!$C$11:$C$22="",Besatzung!$B$5,Besatzung!$C$11:$C$22)&lt;=B141)*(IF(Besatzung!$D$11:$D$22="",Besatzung!$B$6,Besatzung!$D$11:$D$22)&gt;=B141)),1))),IF(I141="Individuell",((T141="x")*((G141-IFERROR(H141,0))/IFERROR(COUNTIF(J141:U141,"x"),1)+(Besatzung!$F$21="x")*IFERROR(H141,0)/IFERROR(SUMPRODUCT((J141:U141="x")*(Besatzung!$F$11:$F$22="x")),1))),(IF(COUNTIF(J141:U141,"x")=0,IF(Besatzung!$B$21&lt;&gt;"",1,0),(T141="x"))*(G141-IFERROR(H141,0))/IFERROR(IF(COUNTIF(J141:U141,"x")=0,COUNTA(Besatzung!$B$11:$B$22),COUNTIF(J141:U141,"x")),1)+IF(COUNTIF(J141:U141,"x")=0,(Besatzung!$F$21="x"),(T141="x")*(Besatzung!$F$21="x"))*IFERROR(H141,0)/IFERROR(IF(COUNTIF(J141:U141,"x")=0,SUMPRODUCT((Besatzung!$B$11:$B$22&lt;&gt;"")*(Besatzung!$F$11:$F$22="x")),SUMPRODUCT((J141:U141="x")*(Besatzung!$F$11:$F$22="x"))),1))))),0))))</f>
        <v/>
      </c>
      <c r="AG141" s="247">
        <f>IF(C141="Gutschrift","",IF(G141="","",IF(Besatzung!$B$22="","",IFERROR(IF(I141="Zeitanteilig",(Besatzung!$G$22*(G141-IFERROR(H141,0))+((Besatzung!$B$22&lt;&gt;"")*IF(B141="",1,(IF(Besatzung!$C$22="",Besatzung!$B$5,Besatzung!$C$22)&lt;=B141)*(IF(Besatzung!$D$22="",Besatzung!$B$6,Besatzung!$D$22)&gt;=B141)))*(Besatzung!$F$22="x")*IFERROR(H141,0)/IFERROR(SUMPRODUCT((Besatzung!$B$11:$B$22&lt;&gt;"")*(Besatzung!$F$11:$F$22="x")*(IF(Besatzung!$C$11:$C$22="",Besatzung!$B$5,Besatzung!$C$11:$C$22)&lt;=B141)*(IF(Besatzung!$D$11:$D$22="",Besatzung!$B$6,Besatzung!$D$11:$D$22)&gt;=B141)),1)),IF(I141="An Bord",(((Besatzung!$B$22&lt;&gt;"")*IF(B141="",1,(IF(Besatzung!$C$22="",Besatzung!$B$5,Besatzung!$C$22)&lt;=B141)*(IF(Besatzung!$D$22="",Besatzung!$B$6,Besatzung!$D$22)&gt;=B141)))*((G141-IFERROR(H141,0))/IFERROR(SUMPRODUCT((Besatzung!$B$11:$B$22&lt;&gt;"")*(IF(Besatzung!$C$11:$C$22="",Besatzung!$B$5,Besatzung!$C$11:$C$22)&lt;=B141)*(IF(Besatzung!$D$11:$D$22="",Besatzung!$B$6,Besatzung!$D$11:$D$22)&gt;=B141)),1)+(Besatzung!$F$22="x")*IFERROR(H141,0)/IFERROR(SUMPRODUCT((Besatzung!$B$11:$B$22&lt;&gt;"")*(Besatzung!$F$11:$F$22="x")*(IF(Besatzung!$C$11:$C$22="",Besatzung!$B$5,Besatzung!$C$11:$C$22)&lt;=B141)*(IF(Besatzung!$D$11:$D$22="",Besatzung!$B$6,Besatzung!$D$11:$D$22)&gt;=B141)),1))),IF(I141="Individuell",((U141="x")*((G141-IFERROR(H141,0))/IFERROR(COUNTIF(J141:U141,"x"),1)+(Besatzung!$F$22="x")*IFERROR(H141,0)/IFERROR(SUMPRODUCT((J141:U141="x")*(Besatzung!$F$11:$F$22="x")),1))),(IF(COUNTIF(J141:U141,"x")=0,IF(Besatzung!$B$22&lt;&gt;"",1,0),(U141="x"))*(G141-IFERROR(H141,0))/IFERROR(IF(COUNTIF(J141:U141,"x")=0,COUNTA(Besatzung!$B$11:$B$22),COUNTIF(J141:U141,"x")),1)+IF(COUNTIF(J141:U141,"x")=0,(Besatzung!$F$22="x"),(U141="x")*(Besatzung!$F$22="x"))*IFERROR(H141,0)/IFERROR(IF(COUNTIF(J141:U141,"x")=0,SUMPRODUCT((Besatzung!$B$11:$B$22&lt;&gt;"")*(Besatzung!$F$11:$F$22="x")),SUMPRODUCT((J141:U141="x")*(Besatzung!$F$11:$F$22="x"))),1))))),0))))</f>
        <v/>
      </c>
      <c r="AH141" s="248" t="n"/>
      <c r="AI141" s="248" t="n"/>
    </row>
    <row r="142" ht="21.75" customHeight="1" s="154">
      <c r="A142" s="238">
        <f>IF(AND(D142="",C142=""),"",139)</f>
        <v/>
      </c>
      <c r="B142" s="199" t="n"/>
      <c r="C142" s="239" t="n"/>
      <c r="D142" s="240" t="n"/>
      <c r="E142" s="241" t="n"/>
      <c r="F142" s="242" t="n"/>
      <c r="G142" s="243" t="n"/>
      <c r="H142" s="244" t="n"/>
      <c r="I142" s="245" t="n"/>
      <c r="J142" s="246" t="n"/>
      <c r="K142" s="246" t="n"/>
      <c r="L142" s="246" t="n"/>
      <c r="M142" s="246" t="n"/>
      <c r="N142" s="246" t="n"/>
      <c r="O142" s="246" t="n"/>
      <c r="P142" s="246" t="n"/>
      <c r="Q142" s="246" t="n"/>
      <c r="R142" s="246" t="n"/>
      <c r="S142" s="246" t="n"/>
      <c r="T142" s="246" t="n"/>
      <c r="U142" s="246" t="n"/>
      <c r="V142" s="247">
        <f>IF(C142="Gutschrift","",IF(G142="","",IF(Besatzung!$B$11="","",IFERROR(IF(I142="Zeitanteilig",(Besatzung!$G$11*(G142-IFERROR(H142,0))+((Besatzung!$B$11&lt;&gt;"")*IF(B142="",1,(IF(Besatzung!$C$11="",Besatzung!$B$5,Besatzung!$C$11)&lt;=B142)*(IF(Besatzung!$D$11="",Besatzung!$B$6,Besatzung!$D$11)&gt;=B142)))*(Besatzung!$F$11="x")*IFERROR(H142,0)/IFERROR(SUMPRODUCT((Besatzung!$B$11:$B$22&lt;&gt;"")*(Besatzung!$F$11:$F$22="x")*(IF(Besatzung!$C$11:$C$22="",Besatzung!$B$5,Besatzung!$C$11:$C$22)&lt;=B142)*(IF(Besatzung!$D$11:$D$22="",Besatzung!$B$6,Besatzung!$D$11:$D$22)&gt;=B142)),1)),IF(I142="An Bord",(((Besatzung!$B$11&lt;&gt;"")*IF(B142="",1,(IF(Besatzung!$C$11="",Besatzung!$B$5,Besatzung!$C$11)&lt;=B142)*(IF(Besatzung!$D$11="",Besatzung!$B$6,Besatzung!$D$11)&gt;=B142)))*((G142-IFERROR(H142,0))/IFERROR(SUMPRODUCT((Besatzung!$B$11:$B$22&lt;&gt;"")*(IF(Besatzung!$C$11:$C$22="",Besatzung!$B$5,Besatzung!$C$11:$C$22)&lt;=B142)*(IF(Besatzung!$D$11:$D$22="",Besatzung!$B$6,Besatzung!$D$11:$D$22)&gt;=B142)),1)+(Besatzung!$F$11="x")*IFERROR(H142,0)/IFERROR(SUMPRODUCT((Besatzung!$B$11:$B$22&lt;&gt;"")*(Besatzung!$F$11:$F$22="x")*(IF(Besatzung!$C$11:$C$22="",Besatzung!$B$5,Besatzung!$C$11:$C$22)&lt;=B142)*(IF(Besatzung!$D$11:$D$22="",Besatzung!$B$6,Besatzung!$D$11:$D$22)&gt;=B142)),1))),IF(I142="Individuell",((J142="x")*((G142-IFERROR(H142,0))/IFERROR(COUNTIF(J142:U142,"x"),1)+(Besatzung!$F$11="x")*IFERROR(H142,0)/IFERROR(SUMPRODUCT((J142:U142="x")*(Besatzung!$F$11:$F$22="x")),1))),(IF(COUNTIF(J142:U142,"x")=0,IF(Besatzung!$B$11&lt;&gt;"",1,0),(J142="x"))*(G142-IFERROR(H142,0))/IFERROR(IF(COUNTIF(J142:U142,"x")=0,COUNTA(Besatzung!$B$11:$B$22),COUNTIF(J142:U142,"x")),1)+IF(COUNTIF(J142:U142,"x")=0,(Besatzung!$F$11="x"),(J142="x")*(Besatzung!$F$11="x"))*IFERROR(H142,0)/IFERROR(IF(COUNTIF(J142:U142,"x")=0,SUMPRODUCT((Besatzung!$B$11:$B$22&lt;&gt;"")*(Besatzung!$F$11:$F$22="x")),SUMPRODUCT((J142:U142="x")*(Besatzung!$F$11:$F$22="x"))),1))))),0))))</f>
        <v/>
      </c>
      <c r="W142" s="247">
        <f>IF(C142="Gutschrift","",IF(G142="","",IF(Besatzung!$B$12="","",IFERROR(IF(I142="Zeitanteilig",(Besatzung!$G$12*(G142-IFERROR(H142,0))+((Besatzung!$B$12&lt;&gt;"")*IF(B142="",1,(IF(Besatzung!$C$12="",Besatzung!$B$5,Besatzung!$C$12)&lt;=B142)*(IF(Besatzung!$D$12="",Besatzung!$B$6,Besatzung!$D$12)&gt;=B142)))*(Besatzung!$F$12="x")*IFERROR(H142,0)/IFERROR(SUMPRODUCT((Besatzung!$B$11:$B$22&lt;&gt;"")*(Besatzung!$F$11:$F$22="x")*(IF(Besatzung!$C$11:$C$22="",Besatzung!$B$5,Besatzung!$C$11:$C$22)&lt;=B142)*(IF(Besatzung!$D$11:$D$22="",Besatzung!$B$6,Besatzung!$D$11:$D$22)&gt;=B142)),1)),IF(I142="An Bord",(((Besatzung!$B$12&lt;&gt;"")*IF(B142="",1,(IF(Besatzung!$C$12="",Besatzung!$B$5,Besatzung!$C$12)&lt;=B142)*(IF(Besatzung!$D$12="",Besatzung!$B$6,Besatzung!$D$12)&gt;=B142)))*((G142-IFERROR(H142,0))/IFERROR(SUMPRODUCT((Besatzung!$B$11:$B$22&lt;&gt;"")*(IF(Besatzung!$C$11:$C$22="",Besatzung!$B$5,Besatzung!$C$11:$C$22)&lt;=B142)*(IF(Besatzung!$D$11:$D$22="",Besatzung!$B$6,Besatzung!$D$11:$D$22)&gt;=B142)),1)+(Besatzung!$F$12="x")*IFERROR(H142,0)/IFERROR(SUMPRODUCT((Besatzung!$B$11:$B$22&lt;&gt;"")*(Besatzung!$F$11:$F$22="x")*(IF(Besatzung!$C$11:$C$22="",Besatzung!$B$5,Besatzung!$C$11:$C$22)&lt;=B142)*(IF(Besatzung!$D$11:$D$22="",Besatzung!$B$6,Besatzung!$D$11:$D$22)&gt;=B142)),1))),IF(I142="Individuell",((K142="x")*((G142-IFERROR(H142,0))/IFERROR(COUNTIF(J142:U142,"x"),1)+(Besatzung!$F$12="x")*IFERROR(H142,0)/IFERROR(SUMPRODUCT((J142:U142="x")*(Besatzung!$F$11:$F$22="x")),1))),(IF(COUNTIF(J142:U142,"x")=0,IF(Besatzung!$B$12&lt;&gt;"",1,0),(K142="x"))*(G142-IFERROR(H142,0))/IFERROR(IF(COUNTIF(J142:U142,"x")=0,COUNTA(Besatzung!$B$11:$B$22),COUNTIF(J142:U142,"x")),1)+IF(COUNTIF(J142:U142,"x")=0,(Besatzung!$F$12="x"),(K142="x")*(Besatzung!$F$12="x"))*IFERROR(H142,0)/IFERROR(IF(COUNTIF(J142:U142,"x")=0,SUMPRODUCT((Besatzung!$B$11:$B$22&lt;&gt;"")*(Besatzung!$F$11:$F$22="x")),SUMPRODUCT((J142:U142="x")*(Besatzung!$F$11:$F$22="x"))),1))))),0))))</f>
        <v/>
      </c>
      <c r="X142" s="247">
        <f>IF(C142="Gutschrift","",IF(G142="","",IF(Besatzung!$B$13="","",IFERROR(IF(I142="Zeitanteilig",(Besatzung!$G$13*(G142-IFERROR(H142,0))+((Besatzung!$B$13&lt;&gt;"")*IF(B142="",1,(IF(Besatzung!$C$13="",Besatzung!$B$5,Besatzung!$C$13)&lt;=B142)*(IF(Besatzung!$D$13="",Besatzung!$B$6,Besatzung!$D$13)&gt;=B142)))*(Besatzung!$F$13="x")*IFERROR(H142,0)/IFERROR(SUMPRODUCT((Besatzung!$B$11:$B$22&lt;&gt;"")*(Besatzung!$F$11:$F$22="x")*(IF(Besatzung!$C$11:$C$22="",Besatzung!$B$5,Besatzung!$C$11:$C$22)&lt;=B142)*(IF(Besatzung!$D$11:$D$22="",Besatzung!$B$6,Besatzung!$D$11:$D$22)&gt;=B142)),1)),IF(I142="An Bord",(((Besatzung!$B$13&lt;&gt;"")*IF(B142="",1,(IF(Besatzung!$C$13="",Besatzung!$B$5,Besatzung!$C$13)&lt;=B142)*(IF(Besatzung!$D$13="",Besatzung!$B$6,Besatzung!$D$13)&gt;=B142)))*((G142-IFERROR(H142,0))/IFERROR(SUMPRODUCT((Besatzung!$B$11:$B$22&lt;&gt;"")*(IF(Besatzung!$C$11:$C$22="",Besatzung!$B$5,Besatzung!$C$11:$C$22)&lt;=B142)*(IF(Besatzung!$D$11:$D$22="",Besatzung!$B$6,Besatzung!$D$11:$D$22)&gt;=B142)),1)+(Besatzung!$F$13="x")*IFERROR(H142,0)/IFERROR(SUMPRODUCT((Besatzung!$B$11:$B$22&lt;&gt;"")*(Besatzung!$F$11:$F$22="x")*(IF(Besatzung!$C$11:$C$22="",Besatzung!$B$5,Besatzung!$C$11:$C$22)&lt;=B142)*(IF(Besatzung!$D$11:$D$22="",Besatzung!$B$6,Besatzung!$D$11:$D$22)&gt;=B142)),1))),IF(I142="Individuell",((K142="x")*((G142-IFERROR(H142,0))/IFERROR(COUNTIF(J142:U142,"x"),1)+(Besatzung!$F$13="x")*IFERROR(H142,0)/IFERROR(SUMPRODUCT((J142:U142="x")*(Besatzung!$F$11:$F$22="x")),1))),(IF(COUNTIF(J142:U142,"x")=0,IF(Besatzung!$B$13&lt;&gt;"",1,0),(K142="x"))*(G142-IFERROR(H142,0))/IFERROR(IF(COUNTIF(J142:U142,"x")=0,COUNTA(Besatzung!$B$11:$B$22),COUNTIF(J142:U142,"x")),1)+IF(COUNTIF(J142:U142,"x")=0,(Besatzung!$F$13="x"),(K142="x")*(Besatzung!$F$13="x"))*IFERROR(H142,0)/IFERROR(IF(COUNTIF(J142:U142,"x")=0,SUMPRODUCT((Besatzung!$B$11:$B$22&lt;&gt;"")*(Besatzung!$F$11:$F$22="x")),SUMPRODUCT((J142:U142="x")*(Besatzung!$F$11:$F$22="x"))),1))))),0))))</f>
        <v/>
      </c>
      <c r="Y142" s="247">
        <f>IF(C142="Gutschrift","",IF(G142="","",IF(Besatzung!$B$14="","",IFERROR(IF(I142="Zeitanteilig",(Besatzung!$G$14*(G142-IFERROR(H142,0))+((Besatzung!$B$14&lt;&gt;"")*IF(B142="",1,(IF(Besatzung!$C$14="",Besatzung!$B$5,Besatzung!$C$14)&lt;=B142)*(IF(Besatzung!$D$14="",Besatzung!$B$6,Besatzung!$D$14)&gt;=B142)))*(Besatzung!$F$14="x")*IFERROR(H142,0)/IFERROR(SUMPRODUCT((Besatzung!$B$11:$B$22&lt;&gt;"")*(Besatzung!$F$11:$F$22="x")*(IF(Besatzung!$C$11:$C$22="",Besatzung!$B$5,Besatzung!$C$11:$C$22)&lt;=B142)*(IF(Besatzung!$D$11:$D$22="",Besatzung!$B$6,Besatzung!$D$11:$D$22)&gt;=B142)),1)),IF(I142="An Bord",(((Besatzung!$B$14&lt;&gt;"")*IF(B142="",1,(IF(Besatzung!$C$14="",Besatzung!$B$5,Besatzung!$C$14)&lt;=B142)*(IF(Besatzung!$D$14="",Besatzung!$B$6,Besatzung!$D$14)&gt;=B142)))*((G142-IFERROR(H142,0))/IFERROR(SUMPRODUCT((Besatzung!$B$11:$B$22&lt;&gt;"")*(IF(Besatzung!$C$11:$C$22="",Besatzung!$B$5,Besatzung!$C$11:$C$22)&lt;=B142)*(IF(Besatzung!$D$11:$D$22="",Besatzung!$B$6,Besatzung!$D$11:$D$22)&gt;=B142)),1)+(Besatzung!$F$14="x")*IFERROR(H142,0)/IFERROR(SUMPRODUCT((Besatzung!$B$11:$B$22&lt;&gt;"")*(Besatzung!$F$11:$F$22="x")*(IF(Besatzung!$C$11:$C$22="",Besatzung!$B$5,Besatzung!$C$11:$C$22)&lt;=B142)*(IF(Besatzung!$D$11:$D$22="",Besatzung!$B$6,Besatzung!$D$11:$D$22)&gt;=B142)),1))),IF(I142="Individuell",((M142="x")*((G142-IFERROR(H142,0))/IFERROR(COUNTIF(J142:U142,"x"),1)+(Besatzung!$F$14="x")*IFERROR(H142,0)/IFERROR(SUMPRODUCT((J142:U142="x")*(Besatzung!$F$11:$F$22="x")),1))),(IF(COUNTIF(J142:U142,"x")=0,IF(Besatzung!$B$14&lt;&gt;"",1,0),(M142="x"))*(G142-IFERROR(H142,0))/IFERROR(IF(COUNTIF(J142:U142,"x")=0,COUNTA(Besatzung!$B$11:$B$22),COUNTIF(J142:U142,"x")),1)+IF(COUNTIF(J142:U142,"x")=0,(Besatzung!$F$14="x"),(M142="x")*(Besatzung!$F$14="x"))*IFERROR(H142,0)/IFERROR(IF(COUNTIF(J142:U142,"x")=0,SUMPRODUCT((Besatzung!$B$11:$B$22&lt;&gt;"")*(Besatzung!$F$11:$F$22="x")),SUMPRODUCT((J142:U142="x")*(Besatzung!$F$11:$F$22="x"))),1))))),0))))</f>
        <v/>
      </c>
      <c r="Z142" s="247">
        <f>IF(C142="Gutschrift","",IF(G142="","",IF(Besatzung!$B$13="","",IFERROR(IF(I142="Zeitanteilig",(Besatzung!$G$15*(G142-IFERROR(H142,0))+((Besatzung!$B$13&lt;&gt;"")*IF(B142="",1,(IF(Besatzung!$C$15="",Besatzung!$B$5,Besatzung!$C$15)&lt;=B142)*(IF(Besatzung!$D$15="",Besatzung!$B$6,Besatzung!$D$15)&gt;=B142)))*(Besatzung!$F$15="x")*IFERROR(H142,0)/IFERROR(SUMPRODUCT((Besatzung!$B$11:$B$22&lt;&gt;"")*(Besatzung!$F$11:$F$22="x")*(IF(Besatzung!$C$11:$C$22="",Besatzung!$B$5,Besatzung!$C$11:$C$22)&lt;=B142)*(IF(Besatzung!$D$11:$D$22="",Besatzung!$B$6,Besatzung!$D$11:$D$22)&gt;=B142)),1)),IF(I142="An Bord",(((Besatzung!$B$13&lt;&gt;"")*IF(B142="",1,(IF(Besatzung!$C$15="",Besatzung!$B$5,Besatzung!$C$15)&lt;=B142)*(IF(Besatzung!$D$15="",Besatzung!$B$6,Besatzung!$D$15)&gt;=B142)))*((G142-IFERROR(H142,0))/IFERROR(SUMPRODUCT((Besatzung!$B$11:$B$22&lt;&gt;"")*(IF(Besatzung!$C$11:$C$22="",Besatzung!$B$5,Besatzung!$C$11:$C$22)&lt;=B142)*(IF(Besatzung!$D$11:$D$22="",Besatzung!$B$6,Besatzung!$D$11:$D$22)&gt;=B142)),1)+(Besatzung!$F$15="x")*IFERROR(H142,0)/IFERROR(SUMPRODUCT((Besatzung!$B$11:$B$22&lt;&gt;"")*(Besatzung!$F$11:$F$22="x")*(IF(Besatzung!$C$11:$C$22="",Besatzung!$B$5,Besatzung!$C$11:$C$22)&lt;=B142)*(IF(Besatzung!$D$11:$D$22="",Besatzung!$B$6,Besatzung!$D$11:$D$22)&gt;=B142)),1))),IF(I142="Individuell",((N142="x")*((G142-IFERROR(H142,0))/IFERROR(COUNTIF(J142:U142,"x"),1)+(Besatzung!$F$15="x")*IFERROR(H142,0)/IFERROR(SUMPRODUCT((J142:U142="x")*(Besatzung!$F$11:$F$22="x")),1))),(IF(COUNTIF(J142:U142,"x")=0,IF(Besatzung!$B$13&lt;&gt;"",1,0),(N142="x"))*(G142-IFERROR(H142,0))/IFERROR(IF(COUNTIF(J142:U142,"x")=0,COUNTA(Besatzung!$B$11:$B$22),COUNTIF(J142:U142,"x")),1)+IF(COUNTIF(J142:U142,"x")=0,(Besatzung!$F$15="x"),(N142="x")*(Besatzung!$F$15="x"))*IFERROR(H142,0)/IFERROR(IF(COUNTIF(J142:U142,"x")=0,SUMPRODUCT((Besatzung!$B$11:$B$22&lt;&gt;"")*(Besatzung!$F$11:$F$22="x")),SUMPRODUCT((J142:U142="x")*(Besatzung!$F$11:$F$22="x"))),1))))),0))))</f>
        <v/>
      </c>
      <c r="AA142" s="247">
        <f>IF(C142="Gutschrift","",IF(G142="","",IF(Besatzung!$B$15="","",IFERROR(IF(I142="Zeitanteilig",(Besatzung!$G$16*(G142-IFERROR(H142,0))+((Besatzung!$B$15&lt;&gt;"")*IF(B142="",1,(IF(Besatzung!$C$16="",Besatzung!$B$5,Besatzung!$C$16)&lt;=B142)*(IF(Besatzung!$D$16="",Besatzung!$B$6,Besatzung!$D$16)&gt;=B142)))*(Besatzung!$F$16="x")*IFERROR(H142,0)/IFERROR(SUMPRODUCT((Besatzung!$B$11:$B$22&lt;&gt;"")*(Besatzung!$F$11:$F$22="x")*(IF(Besatzung!$C$11:$C$22="",Besatzung!$B$5,Besatzung!$C$11:$C$22)&lt;=B142)*(IF(Besatzung!$D$11:$D$22="",Besatzung!$B$6,Besatzung!$D$11:$D$22)&gt;=B142)),1)),IF(I142="An Bord",(((Besatzung!$B$15&lt;&gt;"")*IF(B142="",1,(IF(Besatzung!$C$16="",Besatzung!$B$5,Besatzung!$C$16)&lt;=B142)*(IF(Besatzung!$D$16="",Besatzung!$B$6,Besatzung!$D$16)&gt;=B142)))*((G142-IFERROR(H142,0))/IFERROR(SUMPRODUCT((Besatzung!$B$11:$B$22&lt;&gt;"")*(IF(Besatzung!$C$11:$C$22="",Besatzung!$B$5,Besatzung!$C$11:$C$22)&lt;=B142)*(IF(Besatzung!$D$11:$D$22="",Besatzung!$B$6,Besatzung!$D$11:$D$22)&gt;=B142)),1)+(Besatzung!$F$16="x")*IFERROR(H142,0)/IFERROR(SUMPRODUCT((Besatzung!$B$11:$B$22&lt;&gt;"")*(Besatzung!$F$11:$F$22="x")*(IF(Besatzung!$C$11:$C$22="",Besatzung!$B$5,Besatzung!$C$11:$C$22)&lt;=B142)*(IF(Besatzung!$D$11:$D$22="",Besatzung!$B$6,Besatzung!$D$11:$D$22)&gt;=B142)),1))),IF(I142="Individuell",((O142="x")*((G142-IFERROR(H142,0))/IFERROR(COUNTIF(J142:U142,"x"),1)+(Besatzung!$F$16="x")*IFERROR(H142,0)/IFERROR(SUMPRODUCT((J142:U142="x")*(Besatzung!$F$11:$F$22="x")),1))),(IF(COUNTIF(J142:U142,"x")=0,IF(Besatzung!$B$15&lt;&gt;"",1,0),(O142="x"))*(G142-IFERROR(H142,0))/IFERROR(IF(COUNTIF(J142:U142,"x")=0,COUNTA(Besatzung!$B$11:$B$22),COUNTIF(J142:U142,"x")),1)+IF(COUNTIF(J142:U142,"x")=0,(Besatzung!$F$16="x"),(O142="x")*(Besatzung!$F$16="x"))*IFERROR(H142,0)/IFERROR(IF(COUNTIF(J142:U142,"x")=0,SUMPRODUCT((Besatzung!$B$11:$B$22&lt;&gt;"")*(Besatzung!$F$11:$F$22="x")),SUMPRODUCT((J142:U142="x")*(Besatzung!$F$11:$F$22="x"))),1))))),0))))</f>
        <v/>
      </c>
      <c r="AB142" s="247">
        <f>IF(C142="Gutschrift","",IF(G142="","",IF(Besatzung!$B$17="","",IFERROR(IF(I142="Zeitanteilig",(Besatzung!$G$17*(G142-IFERROR(H142,0))+((Besatzung!$B$17&lt;&gt;"")*IF(B142="",1,(IF(Besatzung!$C$17="",Besatzung!$B$5,Besatzung!$C$17)&lt;=B142)*(IF(Besatzung!$D$17="",Besatzung!$B$6,Besatzung!$D$17)&gt;=B142)))*(Besatzung!$F$17="x")*IFERROR(H142,0)/IFERROR(SUMPRODUCT((Besatzung!$B$11:$B$22&lt;&gt;"")*(Besatzung!$F$11:$F$22="x")*(IF(Besatzung!$C$11:$C$22="",Besatzung!$B$5,Besatzung!$C$11:$C$22)&lt;=B142)*(IF(Besatzung!$D$11:$D$22="",Besatzung!$B$6,Besatzung!$D$11:$D$22)&gt;=B142)),1)),IF(I142="An Bord",(((Besatzung!$B$17&lt;&gt;"")*IF(B142="",1,(IF(Besatzung!$C$17="",Besatzung!$B$5,Besatzung!$C$17)&lt;=B142)*(IF(Besatzung!$D$17="",Besatzung!$B$6,Besatzung!$D$17)&gt;=B142)))*((G142-IFERROR(H142,0))/IFERROR(SUMPRODUCT((Besatzung!$B$11:$B$22&lt;&gt;"")*(IF(Besatzung!$C$11:$C$22="",Besatzung!$B$5,Besatzung!$C$11:$C$22)&lt;=B142)*(IF(Besatzung!$D$11:$D$22="",Besatzung!$B$6,Besatzung!$D$11:$D$22)&gt;=B142)),1)+(Besatzung!$F$17="x")*IFERROR(H142,0)/IFERROR(SUMPRODUCT((Besatzung!$B$11:$B$22&lt;&gt;"")*(Besatzung!$F$11:$F$22="x")*(IF(Besatzung!$C$11:$C$22="",Besatzung!$B$5,Besatzung!$C$11:$C$22)&lt;=B142)*(IF(Besatzung!$D$11:$D$22="",Besatzung!$B$6,Besatzung!$D$11:$D$22)&gt;=B142)),1))),IF(I142="Individuell",((P142="x")*((G142-IFERROR(H142,0))/IFERROR(COUNTIF(J142:U142,"x"),1)+(Besatzung!$F$17="x")*IFERROR(H142,0)/IFERROR(SUMPRODUCT((J142:U142="x")*(Besatzung!$F$11:$F$22="x")),1))),(IF(COUNTIF(J142:U142,"x")=0,IF(Besatzung!$B$17&lt;&gt;"",1,0),(P142="x"))*(G142-IFERROR(H142,0))/IFERROR(IF(COUNTIF(J142:U142,"x")=0,COUNTA(Besatzung!$B$11:$B$22),COUNTIF(J142:U142,"x")),1)+IF(COUNTIF(J142:U142,"x")=0,(Besatzung!$F$17="x"),(P142="x")*(Besatzung!$F$17="x"))*IFERROR(H142,0)/IFERROR(IF(COUNTIF(J142:U142,"x")=0,SUMPRODUCT((Besatzung!$B$11:$B$22&lt;&gt;"")*(Besatzung!$F$11:$F$22="x")),SUMPRODUCT((J142:U142="x")*(Besatzung!$F$11:$F$22="x"))),1))))),0))))</f>
        <v/>
      </c>
      <c r="AC142" s="247">
        <f>IF(C142="Gutschrift","",IF(G142="","",IF(Besatzung!$B$18="","",IFERROR(IF(I142="Zeitanteilig",(Besatzung!$G$18*(G142-IFERROR(H142,0))+((Besatzung!$B$18&lt;&gt;"")*IF(B142="",1,(IF(Besatzung!$C$18="",Besatzung!$B$5,Besatzung!$C$18)&lt;=B142)*(IF(Besatzung!$D$18="",Besatzung!$B$6,Besatzung!$D$18)&gt;=B142)))*(Besatzung!$F$18="x")*IFERROR(H142,0)/IFERROR(SUMPRODUCT((Besatzung!$B$11:$B$22&lt;&gt;"")*(Besatzung!$F$11:$F$22="x")*(IF(Besatzung!$C$11:$C$22="",Besatzung!$B$5,Besatzung!$C$11:$C$22)&lt;=B142)*(IF(Besatzung!$D$11:$D$22="",Besatzung!$B$6,Besatzung!$D$11:$D$22)&gt;=B142)),1)),IF(I142="An Bord",(((Besatzung!$B$18&lt;&gt;"")*IF(B142="",1,(IF(Besatzung!$C$18="",Besatzung!$B$5,Besatzung!$C$18)&lt;=B142)*(IF(Besatzung!$D$18="",Besatzung!$B$6,Besatzung!$D$18)&gt;=B142)))*((G142-IFERROR(H142,0))/IFERROR(SUMPRODUCT((Besatzung!$B$11:$B$22&lt;&gt;"")*(IF(Besatzung!$C$11:$C$22="",Besatzung!$B$5,Besatzung!$C$11:$C$22)&lt;=B142)*(IF(Besatzung!$D$11:$D$22="",Besatzung!$B$6,Besatzung!$D$11:$D$22)&gt;=B142)),1)+(Besatzung!$F$18="x")*IFERROR(H142,0)/IFERROR(SUMPRODUCT((Besatzung!$B$11:$B$22&lt;&gt;"")*(Besatzung!$F$11:$F$22="x")*(IF(Besatzung!$C$11:$C$22="",Besatzung!$B$5,Besatzung!$C$11:$C$22)&lt;=B142)*(IF(Besatzung!$D$11:$D$22="",Besatzung!$B$6,Besatzung!$D$11:$D$22)&gt;=B142)),1))),IF(I142="Individuell",((Q142="x")*((G142-IFERROR(H142,0))/IFERROR(COUNTIF(J142:U142,"x"),1)+(Besatzung!$F$18="x")*IFERROR(H142,0)/IFERROR(SUMPRODUCT((J142:U142="x")*(Besatzung!$F$11:$F$22="x")),1))),(IF(COUNTIF(J142:U142,"x")=0,IF(Besatzung!$B$18&lt;&gt;"",1,0),(Q142="x"))*(G142-IFERROR(H142,0))/IFERROR(IF(COUNTIF(J142:U142,"x")=0,COUNTA(Besatzung!$B$11:$B$22),COUNTIF(J142:U142,"x")),1)+IF(COUNTIF(J142:U142,"x")=0,(Besatzung!$F$18="x"),(Q142="x")*(Besatzung!$F$18="x"))*IFERROR(H142,0)/IFERROR(IF(COUNTIF(J142:U142,"x")=0,SUMPRODUCT((Besatzung!$B$11:$B$22&lt;&gt;"")*(Besatzung!$F$11:$F$22="x")),SUMPRODUCT((J142:U142="x")*(Besatzung!$F$11:$F$22="x"))),1))))),0))))</f>
        <v/>
      </c>
      <c r="AD142" s="247">
        <f>IF(C142="Gutschrift","",IF(G142="","",IF(Besatzung!$B$19="","",IFERROR(IF(I142="Zeitanteilig",(Besatzung!$G$19*(G142-IFERROR(H142,0))+((Besatzung!$B$19&lt;&gt;"")*IF(B142="",1,(IF(Besatzung!$C$19="",Besatzung!$B$5,Besatzung!$C$19)&lt;=B142)*(IF(Besatzung!$D$19="",Besatzung!$B$6,Besatzung!$D$19)&gt;=B142)))*(Besatzung!$F$19="x")*IFERROR(H142,0)/IFERROR(SUMPRODUCT((Besatzung!$B$11:$B$22&lt;&gt;"")*(Besatzung!$F$11:$F$22="x")*(IF(Besatzung!$C$11:$C$22="",Besatzung!$B$5,Besatzung!$C$11:$C$22)&lt;=B142)*(IF(Besatzung!$D$11:$D$22="",Besatzung!$B$6,Besatzung!$D$11:$D$22)&gt;=B142)),1)),IF(I142="An Bord",(((Besatzung!$B$19&lt;&gt;"")*IF(B142="",1,(IF(Besatzung!$C$19="",Besatzung!$B$5,Besatzung!$C$19)&lt;=B142)*(IF(Besatzung!$D$19="",Besatzung!$B$6,Besatzung!$D$19)&gt;=B142)))*((G142-IFERROR(H142,0))/IFERROR(SUMPRODUCT((Besatzung!$B$11:$B$22&lt;&gt;"")*(IF(Besatzung!$C$11:$C$22="",Besatzung!$B$5,Besatzung!$C$11:$C$22)&lt;=B142)*(IF(Besatzung!$D$11:$D$22="",Besatzung!$B$6,Besatzung!$D$11:$D$22)&gt;=B142)),1)+(Besatzung!$F$19="x")*IFERROR(H142,0)/IFERROR(SUMPRODUCT((Besatzung!$B$11:$B$22&lt;&gt;"")*(Besatzung!$F$11:$F$22="x")*(IF(Besatzung!$C$11:$C$22="",Besatzung!$B$5,Besatzung!$C$11:$C$22)&lt;=B142)*(IF(Besatzung!$D$11:$D$22="",Besatzung!$B$6,Besatzung!$D$11:$D$22)&gt;=B142)),1))),IF(I142="Individuell",((R142="x")*((G142-IFERROR(H142,0))/IFERROR(COUNTIF(J142:U142,"x"),1)+(Besatzung!$F$19="x")*IFERROR(H142,0)/IFERROR(SUMPRODUCT((J142:U142="x")*(Besatzung!$F$11:$F$22="x")),1))),(IF(COUNTIF(J142:U142,"x")=0,IF(Besatzung!$B$19&lt;&gt;"",1,0),(R142="x"))*(G142-IFERROR(H142,0))/IFERROR(IF(COUNTIF(J142:U142,"x")=0,COUNTA(Besatzung!$B$11:$B$22),COUNTIF(J142:U142,"x")),1)+IF(COUNTIF(J142:U142,"x")=0,(Besatzung!$F$19="x"),(R142="x")*(Besatzung!$F$19="x"))*IFERROR(H142,0)/IFERROR(IF(COUNTIF(J142:U142,"x")=0,SUMPRODUCT((Besatzung!$B$11:$B$22&lt;&gt;"")*(Besatzung!$F$11:$F$22="x")),SUMPRODUCT((J142:U142="x")*(Besatzung!$F$11:$F$22="x"))),1))))),0))))</f>
        <v/>
      </c>
      <c r="AE142" s="247">
        <f>IF(C142="Gutschrift","",IF(G142="","",IF(Besatzung!$B$20="","",IFERROR(IF(I142="Zeitanteilig",(Besatzung!$G$20*(G142-IFERROR(H142,0))+((Besatzung!$B$20&lt;&gt;"")*IF(B142="",1,(IF(Besatzung!$C$20="",Besatzung!$B$5,Besatzung!$C$20)&lt;=B142)*(IF(Besatzung!$D$20="",Besatzung!$B$6,Besatzung!$D$20)&gt;=B142)))*(Besatzung!$F$20="x")*IFERROR(H142,0)/IFERROR(SUMPRODUCT((Besatzung!$B$11:$B$22&lt;&gt;"")*(Besatzung!$F$11:$F$22="x")*(IF(Besatzung!$C$11:$C$22="",Besatzung!$B$5,Besatzung!$C$11:$C$22)&lt;=B142)*(IF(Besatzung!$D$11:$D$22="",Besatzung!$B$6,Besatzung!$D$11:$D$22)&gt;=B142)),1)),IF(I142="An Bord",(((Besatzung!$B$20&lt;&gt;"")*IF(B142="",1,(IF(Besatzung!$C$20="",Besatzung!$B$5,Besatzung!$C$20)&lt;=B142)*(IF(Besatzung!$D$20="",Besatzung!$B$6,Besatzung!$D$20)&gt;=B142)))*((G142-IFERROR(H142,0))/IFERROR(SUMPRODUCT((Besatzung!$B$11:$B$22&lt;&gt;"")*(IF(Besatzung!$C$11:$C$22="",Besatzung!$B$5,Besatzung!$C$11:$C$22)&lt;=B142)*(IF(Besatzung!$D$11:$D$22="",Besatzung!$B$6,Besatzung!$D$11:$D$22)&gt;=B142)),1)+(Besatzung!$F$20="x")*IFERROR(H142,0)/IFERROR(SUMPRODUCT((Besatzung!$B$11:$B$22&lt;&gt;"")*(Besatzung!$F$11:$F$22="x")*(IF(Besatzung!$C$11:$C$22="",Besatzung!$B$5,Besatzung!$C$11:$C$22)&lt;=B142)*(IF(Besatzung!$D$11:$D$22="",Besatzung!$B$6,Besatzung!$D$11:$D$22)&gt;=B142)),1))),IF(I142="Individuell",((S142="x")*((G142-IFERROR(H142,0))/IFERROR(COUNTIF(J142:U142,"x"),1)+(Besatzung!$F$20="x")*IFERROR(H142,0)/IFERROR(SUMPRODUCT((J142:U142="x")*(Besatzung!$F$11:$F$22="x")),1))),(IF(COUNTIF(J142:U142,"x")=0,IF(Besatzung!$B$20&lt;&gt;"",1,0),(S142="x"))*(G142-IFERROR(H142,0))/IFERROR(IF(COUNTIF(J142:U142,"x")=0,COUNTA(Besatzung!$B$11:$B$22),COUNTIF(J142:U142,"x")),1)+IF(COUNTIF(J142:U142,"x")=0,(Besatzung!$F$20="x"),(S142="x")*(Besatzung!$F$20="x"))*IFERROR(H142,0)/IFERROR(IF(COUNTIF(J142:U142,"x")=0,SUMPRODUCT((Besatzung!$B$11:$B$22&lt;&gt;"")*(Besatzung!$F$11:$F$22="x")),SUMPRODUCT((J142:U142="x")*(Besatzung!$F$11:$F$22="x"))),1))))),0))))</f>
        <v/>
      </c>
      <c r="AF142" s="247">
        <f>IF(C142="Gutschrift","",IF(G142="","",IF(Besatzung!$B$21="","",IFERROR(IF(I142="Zeitanteilig",(Besatzung!$G$21*(G142-IFERROR(H142,0))+((Besatzung!$B$21&lt;&gt;"")*IF(B142="",1,(IF(Besatzung!$C$21="",Besatzung!$B$5,Besatzung!$C$21)&lt;=B142)*(IF(Besatzung!$D$21="",Besatzung!$B$6,Besatzung!$D$21)&gt;=B142)))*(Besatzung!$F$21="x")*IFERROR(H142,0)/IFERROR(SUMPRODUCT((Besatzung!$B$11:$B$22&lt;&gt;"")*(Besatzung!$F$11:$F$22="x")*(IF(Besatzung!$C$11:$C$22="",Besatzung!$B$5,Besatzung!$C$11:$C$22)&lt;=B142)*(IF(Besatzung!$D$11:$D$22="",Besatzung!$B$6,Besatzung!$D$11:$D$22)&gt;=B142)),1)),IF(I142="An Bord",(((Besatzung!$B$21&lt;&gt;"")*IF(B142="",1,(IF(Besatzung!$C$21="",Besatzung!$B$5,Besatzung!$C$21)&lt;=B142)*(IF(Besatzung!$D$21="",Besatzung!$B$6,Besatzung!$D$21)&gt;=B142)))*((G142-IFERROR(H142,0))/IFERROR(SUMPRODUCT((Besatzung!$B$11:$B$22&lt;&gt;"")*(IF(Besatzung!$C$11:$C$22="",Besatzung!$B$5,Besatzung!$C$11:$C$22)&lt;=B142)*(IF(Besatzung!$D$11:$D$22="",Besatzung!$B$6,Besatzung!$D$11:$D$22)&gt;=B142)),1)+(Besatzung!$F$21="x")*IFERROR(H142,0)/IFERROR(SUMPRODUCT((Besatzung!$B$11:$B$22&lt;&gt;"")*(Besatzung!$F$11:$F$22="x")*(IF(Besatzung!$C$11:$C$22="",Besatzung!$B$5,Besatzung!$C$11:$C$22)&lt;=B142)*(IF(Besatzung!$D$11:$D$22="",Besatzung!$B$6,Besatzung!$D$11:$D$22)&gt;=B142)),1))),IF(I142="Individuell",((T142="x")*((G142-IFERROR(H142,0))/IFERROR(COUNTIF(J142:U142,"x"),1)+(Besatzung!$F$21="x")*IFERROR(H142,0)/IFERROR(SUMPRODUCT((J142:U142="x")*(Besatzung!$F$11:$F$22="x")),1))),(IF(COUNTIF(J142:U142,"x")=0,IF(Besatzung!$B$21&lt;&gt;"",1,0),(T142="x"))*(G142-IFERROR(H142,0))/IFERROR(IF(COUNTIF(J142:U142,"x")=0,COUNTA(Besatzung!$B$11:$B$22),COUNTIF(J142:U142,"x")),1)+IF(COUNTIF(J142:U142,"x")=0,(Besatzung!$F$21="x"),(T142="x")*(Besatzung!$F$21="x"))*IFERROR(H142,0)/IFERROR(IF(COUNTIF(J142:U142,"x")=0,SUMPRODUCT((Besatzung!$B$11:$B$22&lt;&gt;"")*(Besatzung!$F$11:$F$22="x")),SUMPRODUCT((J142:U142="x")*(Besatzung!$F$11:$F$22="x"))),1))))),0))))</f>
        <v/>
      </c>
      <c r="AG142" s="247">
        <f>IF(C142="Gutschrift","",IF(G142="","",IF(Besatzung!$B$22="","",IFERROR(IF(I142="Zeitanteilig",(Besatzung!$G$22*(G142-IFERROR(H142,0))+((Besatzung!$B$22&lt;&gt;"")*IF(B142="",1,(IF(Besatzung!$C$22="",Besatzung!$B$5,Besatzung!$C$22)&lt;=B142)*(IF(Besatzung!$D$22="",Besatzung!$B$6,Besatzung!$D$22)&gt;=B142)))*(Besatzung!$F$22="x")*IFERROR(H142,0)/IFERROR(SUMPRODUCT((Besatzung!$B$11:$B$22&lt;&gt;"")*(Besatzung!$F$11:$F$22="x")*(IF(Besatzung!$C$11:$C$22="",Besatzung!$B$5,Besatzung!$C$11:$C$22)&lt;=B142)*(IF(Besatzung!$D$11:$D$22="",Besatzung!$B$6,Besatzung!$D$11:$D$22)&gt;=B142)),1)),IF(I142="An Bord",(((Besatzung!$B$22&lt;&gt;"")*IF(B142="",1,(IF(Besatzung!$C$22="",Besatzung!$B$5,Besatzung!$C$22)&lt;=B142)*(IF(Besatzung!$D$22="",Besatzung!$B$6,Besatzung!$D$22)&gt;=B142)))*((G142-IFERROR(H142,0))/IFERROR(SUMPRODUCT((Besatzung!$B$11:$B$22&lt;&gt;"")*(IF(Besatzung!$C$11:$C$22="",Besatzung!$B$5,Besatzung!$C$11:$C$22)&lt;=B142)*(IF(Besatzung!$D$11:$D$22="",Besatzung!$B$6,Besatzung!$D$11:$D$22)&gt;=B142)),1)+(Besatzung!$F$22="x")*IFERROR(H142,0)/IFERROR(SUMPRODUCT((Besatzung!$B$11:$B$22&lt;&gt;"")*(Besatzung!$F$11:$F$22="x")*(IF(Besatzung!$C$11:$C$22="",Besatzung!$B$5,Besatzung!$C$11:$C$22)&lt;=B142)*(IF(Besatzung!$D$11:$D$22="",Besatzung!$B$6,Besatzung!$D$11:$D$22)&gt;=B142)),1))),IF(I142="Individuell",((U142="x")*((G142-IFERROR(H142,0))/IFERROR(COUNTIF(J142:U142,"x"),1)+(Besatzung!$F$22="x")*IFERROR(H142,0)/IFERROR(SUMPRODUCT((J142:U142="x")*(Besatzung!$F$11:$F$22="x")),1))),(IF(COUNTIF(J142:U142,"x")=0,IF(Besatzung!$B$22&lt;&gt;"",1,0),(U142="x"))*(G142-IFERROR(H142,0))/IFERROR(IF(COUNTIF(J142:U142,"x")=0,COUNTA(Besatzung!$B$11:$B$22),COUNTIF(J142:U142,"x")),1)+IF(COUNTIF(J142:U142,"x")=0,(Besatzung!$F$22="x"),(U142="x")*(Besatzung!$F$22="x"))*IFERROR(H142,0)/IFERROR(IF(COUNTIF(J142:U142,"x")=0,SUMPRODUCT((Besatzung!$B$11:$B$22&lt;&gt;"")*(Besatzung!$F$11:$F$22="x")),SUMPRODUCT((J142:U142="x")*(Besatzung!$F$11:$F$22="x"))),1))))),0))))</f>
        <v/>
      </c>
      <c r="AH142" s="248" t="n"/>
      <c r="AI142" s="248" t="n"/>
    </row>
    <row r="143" ht="21.75" customHeight="1" s="154">
      <c r="A143" s="238">
        <f>IF(AND(D143="",C143=""),"",140)</f>
        <v/>
      </c>
      <c r="B143" s="206" t="n"/>
      <c r="C143" s="249" t="n"/>
      <c r="D143" s="250" t="n"/>
      <c r="E143" s="251" t="n"/>
      <c r="F143" s="252" t="n"/>
      <c r="G143" s="253" t="n"/>
      <c r="H143" s="254" t="n"/>
      <c r="I143" s="255" t="n"/>
      <c r="J143" s="256" t="n"/>
      <c r="K143" s="256" t="n"/>
      <c r="L143" s="256" t="n"/>
      <c r="M143" s="256" t="n"/>
      <c r="N143" s="256" t="n"/>
      <c r="O143" s="256" t="n"/>
      <c r="P143" s="256" t="n"/>
      <c r="Q143" s="256" t="n"/>
      <c r="R143" s="256" t="n"/>
      <c r="S143" s="256" t="n"/>
      <c r="T143" s="256" t="n"/>
      <c r="U143" s="256" t="n"/>
      <c r="V143" s="247">
        <f>IF(C143="Gutschrift","",IF(G143="","",IF(Besatzung!$B$11="","",IFERROR(IF(I143="Zeitanteilig",(Besatzung!$G$11*(G143-IFERROR(H143,0))+((Besatzung!$B$11&lt;&gt;"")*IF(B143="",1,(IF(Besatzung!$C$11="",Besatzung!$B$5,Besatzung!$C$11)&lt;=B143)*(IF(Besatzung!$D$11="",Besatzung!$B$6,Besatzung!$D$11)&gt;=B143)))*(Besatzung!$F$11="x")*IFERROR(H143,0)/IFERROR(SUMPRODUCT((Besatzung!$B$11:$B$22&lt;&gt;"")*(Besatzung!$F$11:$F$22="x")*(IF(Besatzung!$C$11:$C$22="",Besatzung!$B$5,Besatzung!$C$11:$C$22)&lt;=B143)*(IF(Besatzung!$D$11:$D$22="",Besatzung!$B$6,Besatzung!$D$11:$D$22)&gt;=B143)),1)),IF(I143="An Bord",(((Besatzung!$B$11&lt;&gt;"")*IF(B143="",1,(IF(Besatzung!$C$11="",Besatzung!$B$5,Besatzung!$C$11)&lt;=B143)*(IF(Besatzung!$D$11="",Besatzung!$B$6,Besatzung!$D$11)&gt;=B143)))*((G143-IFERROR(H143,0))/IFERROR(SUMPRODUCT((Besatzung!$B$11:$B$22&lt;&gt;"")*(IF(Besatzung!$C$11:$C$22="",Besatzung!$B$5,Besatzung!$C$11:$C$22)&lt;=B143)*(IF(Besatzung!$D$11:$D$22="",Besatzung!$B$6,Besatzung!$D$11:$D$22)&gt;=B143)),1)+(Besatzung!$F$11="x")*IFERROR(H143,0)/IFERROR(SUMPRODUCT((Besatzung!$B$11:$B$22&lt;&gt;"")*(Besatzung!$F$11:$F$22="x")*(IF(Besatzung!$C$11:$C$22="",Besatzung!$B$5,Besatzung!$C$11:$C$22)&lt;=B143)*(IF(Besatzung!$D$11:$D$22="",Besatzung!$B$6,Besatzung!$D$11:$D$22)&gt;=B143)),1))),IF(I143="Individuell",((J143="x")*((G143-IFERROR(H143,0))/IFERROR(COUNTIF(J143:U143,"x"),1)+(Besatzung!$F$11="x")*IFERROR(H143,0)/IFERROR(SUMPRODUCT((J143:U143="x")*(Besatzung!$F$11:$F$22="x")),1))),(IF(COUNTIF(J143:U143,"x")=0,IF(Besatzung!$B$11&lt;&gt;"",1,0),(J143="x"))*(G143-IFERROR(H143,0))/IFERROR(IF(COUNTIF(J143:U143,"x")=0,COUNTA(Besatzung!$B$11:$B$22),COUNTIF(J143:U143,"x")),1)+IF(COUNTIF(J143:U143,"x")=0,(Besatzung!$F$11="x"),(J143="x")*(Besatzung!$F$11="x"))*IFERROR(H143,0)/IFERROR(IF(COUNTIF(J143:U143,"x")=0,SUMPRODUCT((Besatzung!$B$11:$B$22&lt;&gt;"")*(Besatzung!$F$11:$F$22="x")),SUMPRODUCT((J143:U143="x")*(Besatzung!$F$11:$F$22="x"))),1))))),0))))</f>
        <v/>
      </c>
      <c r="W143" s="247">
        <f>IF(C143="Gutschrift","",IF(G143="","",IF(Besatzung!$B$12="","",IFERROR(IF(I143="Zeitanteilig",(Besatzung!$G$12*(G143-IFERROR(H143,0))+((Besatzung!$B$12&lt;&gt;"")*IF(B143="",1,(IF(Besatzung!$C$12="",Besatzung!$B$5,Besatzung!$C$12)&lt;=B143)*(IF(Besatzung!$D$12="",Besatzung!$B$6,Besatzung!$D$12)&gt;=B143)))*(Besatzung!$F$12="x")*IFERROR(H143,0)/IFERROR(SUMPRODUCT((Besatzung!$B$11:$B$22&lt;&gt;"")*(Besatzung!$F$11:$F$22="x")*(IF(Besatzung!$C$11:$C$22="",Besatzung!$B$5,Besatzung!$C$11:$C$22)&lt;=B143)*(IF(Besatzung!$D$11:$D$22="",Besatzung!$B$6,Besatzung!$D$11:$D$22)&gt;=B143)),1)),IF(I143="An Bord",(((Besatzung!$B$12&lt;&gt;"")*IF(B143="",1,(IF(Besatzung!$C$12="",Besatzung!$B$5,Besatzung!$C$12)&lt;=B143)*(IF(Besatzung!$D$12="",Besatzung!$B$6,Besatzung!$D$12)&gt;=B143)))*((G143-IFERROR(H143,0))/IFERROR(SUMPRODUCT((Besatzung!$B$11:$B$22&lt;&gt;"")*(IF(Besatzung!$C$11:$C$22="",Besatzung!$B$5,Besatzung!$C$11:$C$22)&lt;=B143)*(IF(Besatzung!$D$11:$D$22="",Besatzung!$B$6,Besatzung!$D$11:$D$22)&gt;=B143)),1)+(Besatzung!$F$12="x")*IFERROR(H143,0)/IFERROR(SUMPRODUCT((Besatzung!$B$11:$B$22&lt;&gt;"")*(Besatzung!$F$11:$F$22="x")*(IF(Besatzung!$C$11:$C$22="",Besatzung!$B$5,Besatzung!$C$11:$C$22)&lt;=B143)*(IF(Besatzung!$D$11:$D$22="",Besatzung!$B$6,Besatzung!$D$11:$D$22)&gt;=B143)),1))),IF(I143="Individuell",((K143="x")*((G143-IFERROR(H143,0))/IFERROR(COUNTIF(J143:U143,"x"),1)+(Besatzung!$F$12="x")*IFERROR(H143,0)/IFERROR(SUMPRODUCT((J143:U143="x")*(Besatzung!$F$11:$F$22="x")),1))),(IF(COUNTIF(J143:U143,"x")=0,IF(Besatzung!$B$12&lt;&gt;"",1,0),(K143="x"))*(G143-IFERROR(H143,0))/IFERROR(IF(COUNTIF(J143:U143,"x")=0,COUNTA(Besatzung!$B$11:$B$22),COUNTIF(J143:U143,"x")),1)+IF(COUNTIF(J143:U143,"x")=0,(Besatzung!$F$12="x"),(K143="x")*(Besatzung!$F$12="x"))*IFERROR(H143,0)/IFERROR(IF(COUNTIF(J143:U143,"x")=0,SUMPRODUCT((Besatzung!$B$11:$B$22&lt;&gt;"")*(Besatzung!$F$11:$F$22="x")),SUMPRODUCT((J143:U143="x")*(Besatzung!$F$11:$F$22="x"))),1))))),0))))</f>
        <v/>
      </c>
      <c r="X143" s="247">
        <f>IF(C143="Gutschrift","",IF(G143="","",IF(Besatzung!$B$13="","",IFERROR(IF(I143="Zeitanteilig",(Besatzung!$G$13*(G143-IFERROR(H143,0))+((Besatzung!$B$13&lt;&gt;"")*IF(B143="",1,(IF(Besatzung!$C$13="",Besatzung!$B$5,Besatzung!$C$13)&lt;=B143)*(IF(Besatzung!$D$13="",Besatzung!$B$6,Besatzung!$D$13)&gt;=B143)))*(Besatzung!$F$13="x")*IFERROR(H143,0)/IFERROR(SUMPRODUCT((Besatzung!$B$11:$B$22&lt;&gt;"")*(Besatzung!$F$11:$F$22="x")*(IF(Besatzung!$C$11:$C$22="",Besatzung!$B$5,Besatzung!$C$11:$C$22)&lt;=B143)*(IF(Besatzung!$D$11:$D$22="",Besatzung!$B$6,Besatzung!$D$11:$D$22)&gt;=B143)),1)),IF(I143="An Bord",(((Besatzung!$B$13&lt;&gt;"")*IF(B143="",1,(IF(Besatzung!$C$13="",Besatzung!$B$5,Besatzung!$C$13)&lt;=B143)*(IF(Besatzung!$D$13="",Besatzung!$B$6,Besatzung!$D$13)&gt;=B143)))*((G143-IFERROR(H143,0))/IFERROR(SUMPRODUCT((Besatzung!$B$11:$B$22&lt;&gt;"")*(IF(Besatzung!$C$11:$C$22="",Besatzung!$B$5,Besatzung!$C$11:$C$22)&lt;=B143)*(IF(Besatzung!$D$11:$D$22="",Besatzung!$B$6,Besatzung!$D$11:$D$22)&gt;=B143)),1)+(Besatzung!$F$13="x")*IFERROR(H143,0)/IFERROR(SUMPRODUCT((Besatzung!$B$11:$B$22&lt;&gt;"")*(Besatzung!$F$11:$F$22="x")*(IF(Besatzung!$C$11:$C$22="",Besatzung!$B$5,Besatzung!$C$11:$C$22)&lt;=B143)*(IF(Besatzung!$D$11:$D$22="",Besatzung!$B$6,Besatzung!$D$11:$D$22)&gt;=B143)),1))),IF(I143="Individuell",((K143="x")*((G143-IFERROR(H143,0))/IFERROR(COUNTIF(J143:U143,"x"),1)+(Besatzung!$F$13="x")*IFERROR(H143,0)/IFERROR(SUMPRODUCT((J143:U143="x")*(Besatzung!$F$11:$F$22="x")),1))),(IF(COUNTIF(J143:U143,"x")=0,IF(Besatzung!$B$13&lt;&gt;"",1,0),(K143="x"))*(G143-IFERROR(H143,0))/IFERROR(IF(COUNTIF(J143:U143,"x")=0,COUNTA(Besatzung!$B$11:$B$22),COUNTIF(J143:U143,"x")),1)+IF(COUNTIF(J143:U143,"x")=0,(Besatzung!$F$13="x"),(K143="x")*(Besatzung!$F$13="x"))*IFERROR(H143,0)/IFERROR(IF(COUNTIF(J143:U143,"x")=0,SUMPRODUCT((Besatzung!$B$11:$B$22&lt;&gt;"")*(Besatzung!$F$11:$F$22="x")),SUMPRODUCT((J143:U143="x")*(Besatzung!$F$11:$F$22="x"))),1))))),0))))</f>
        <v/>
      </c>
      <c r="Y143" s="247">
        <f>IF(C143="Gutschrift","",IF(G143="","",IF(Besatzung!$B$14="","",IFERROR(IF(I143="Zeitanteilig",(Besatzung!$G$14*(G143-IFERROR(H143,0))+((Besatzung!$B$14&lt;&gt;"")*IF(B143="",1,(IF(Besatzung!$C$14="",Besatzung!$B$5,Besatzung!$C$14)&lt;=B143)*(IF(Besatzung!$D$14="",Besatzung!$B$6,Besatzung!$D$14)&gt;=B143)))*(Besatzung!$F$14="x")*IFERROR(H143,0)/IFERROR(SUMPRODUCT((Besatzung!$B$11:$B$22&lt;&gt;"")*(Besatzung!$F$11:$F$22="x")*(IF(Besatzung!$C$11:$C$22="",Besatzung!$B$5,Besatzung!$C$11:$C$22)&lt;=B143)*(IF(Besatzung!$D$11:$D$22="",Besatzung!$B$6,Besatzung!$D$11:$D$22)&gt;=B143)),1)),IF(I143="An Bord",(((Besatzung!$B$14&lt;&gt;"")*IF(B143="",1,(IF(Besatzung!$C$14="",Besatzung!$B$5,Besatzung!$C$14)&lt;=B143)*(IF(Besatzung!$D$14="",Besatzung!$B$6,Besatzung!$D$14)&gt;=B143)))*((G143-IFERROR(H143,0))/IFERROR(SUMPRODUCT((Besatzung!$B$11:$B$22&lt;&gt;"")*(IF(Besatzung!$C$11:$C$22="",Besatzung!$B$5,Besatzung!$C$11:$C$22)&lt;=B143)*(IF(Besatzung!$D$11:$D$22="",Besatzung!$B$6,Besatzung!$D$11:$D$22)&gt;=B143)),1)+(Besatzung!$F$14="x")*IFERROR(H143,0)/IFERROR(SUMPRODUCT((Besatzung!$B$11:$B$22&lt;&gt;"")*(Besatzung!$F$11:$F$22="x")*(IF(Besatzung!$C$11:$C$22="",Besatzung!$B$5,Besatzung!$C$11:$C$22)&lt;=B143)*(IF(Besatzung!$D$11:$D$22="",Besatzung!$B$6,Besatzung!$D$11:$D$22)&gt;=B143)),1))),IF(I143="Individuell",((M143="x")*((G143-IFERROR(H143,0))/IFERROR(COUNTIF(J143:U143,"x"),1)+(Besatzung!$F$14="x")*IFERROR(H143,0)/IFERROR(SUMPRODUCT((J143:U143="x")*(Besatzung!$F$11:$F$22="x")),1))),(IF(COUNTIF(J143:U143,"x")=0,IF(Besatzung!$B$14&lt;&gt;"",1,0),(M143="x"))*(G143-IFERROR(H143,0))/IFERROR(IF(COUNTIF(J143:U143,"x")=0,COUNTA(Besatzung!$B$11:$B$22),COUNTIF(J143:U143,"x")),1)+IF(COUNTIF(J143:U143,"x")=0,(Besatzung!$F$14="x"),(M143="x")*(Besatzung!$F$14="x"))*IFERROR(H143,0)/IFERROR(IF(COUNTIF(J143:U143,"x")=0,SUMPRODUCT((Besatzung!$B$11:$B$22&lt;&gt;"")*(Besatzung!$F$11:$F$22="x")),SUMPRODUCT((J143:U143="x")*(Besatzung!$F$11:$F$22="x"))),1))))),0))))</f>
        <v/>
      </c>
      <c r="Z143" s="247">
        <f>IF(C143="Gutschrift","",IF(G143="","",IF(Besatzung!$B$13="","",IFERROR(IF(I143="Zeitanteilig",(Besatzung!$G$15*(G143-IFERROR(H143,0))+((Besatzung!$B$13&lt;&gt;"")*IF(B143="",1,(IF(Besatzung!$C$15="",Besatzung!$B$5,Besatzung!$C$15)&lt;=B143)*(IF(Besatzung!$D$15="",Besatzung!$B$6,Besatzung!$D$15)&gt;=B143)))*(Besatzung!$F$15="x")*IFERROR(H143,0)/IFERROR(SUMPRODUCT((Besatzung!$B$11:$B$22&lt;&gt;"")*(Besatzung!$F$11:$F$22="x")*(IF(Besatzung!$C$11:$C$22="",Besatzung!$B$5,Besatzung!$C$11:$C$22)&lt;=B143)*(IF(Besatzung!$D$11:$D$22="",Besatzung!$B$6,Besatzung!$D$11:$D$22)&gt;=B143)),1)),IF(I143="An Bord",(((Besatzung!$B$13&lt;&gt;"")*IF(B143="",1,(IF(Besatzung!$C$15="",Besatzung!$B$5,Besatzung!$C$15)&lt;=B143)*(IF(Besatzung!$D$15="",Besatzung!$B$6,Besatzung!$D$15)&gt;=B143)))*((G143-IFERROR(H143,0))/IFERROR(SUMPRODUCT((Besatzung!$B$11:$B$22&lt;&gt;"")*(IF(Besatzung!$C$11:$C$22="",Besatzung!$B$5,Besatzung!$C$11:$C$22)&lt;=B143)*(IF(Besatzung!$D$11:$D$22="",Besatzung!$B$6,Besatzung!$D$11:$D$22)&gt;=B143)),1)+(Besatzung!$F$15="x")*IFERROR(H143,0)/IFERROR(SUMPRODUCT((Besatzung!$B$11:$B$22&lt;&gt;"")*(Besatzung!$F$11:$F$22="x")*(IF(Besatzung!$C$11:$C$22="",Besatzung!$B$5,Besatzung!$C$11:$C$22)&lt;=B143)*(IF(Besatzung!$D$11:$D$22="",Besatzung!$B$6,Besatzung!$D$11:$D$22)&gt;=B143)),1))),IF(I143="Individuell",((N143="x")*((G143-IFERROR(H143,0))/IFERROR(COUNTIF(J143:U143,"x"),1)+(Besatzung!$F$15="x")*IFERROR(H143,0)/IFERROR(SUMPRODUCT((J143:U143="x")*(Besatzung!$F$11:$F$22="x")),1))),(IF(COUNTIF(J143:U143,"x")=0,IF(Besatzung!$B$13&lt;&gt;"",1,0),(N143="x"))*(G143-IFERROR(H143,0))/IFERROR(IF(COUNTIF(J143:U143,"x")=0,COUNTA(Besatzung!$B$11:$B$22),COUNTIF(J143:U143,"x")),1)+IF(COUNTIF(J143:U143,"x")=0,(Besatzung!$F$15="x"),(N143="x")*(Besatzung!$F$15="x"))*IFERROR(H143,0)/IFERROR(IF(COUNTIF(J143:U143,"x")=0,SUMPRODUCT((Besatzung!$B$11:$B$22&lt;&gt;"")*(Besatzung!$F$11:$F$22="x")),SUMPRODUCT((J143:U143="x")*(Besatzung!$F$11:$F$22="x"))),1))))),0))))</f>
        <v/>
      </c>
      <c r="AA143" s="247">
        <f>IF(C143="Gutschrift","",IF(G143="","",IF(Besatzung!$B$15="","",IFERROR(IF(I143="Zeitanteilig",(Besatzung!$G$16*(G143-IFERROR(H143,0))+((Besatzung!$B$15&lt;&gt;"")*IF(B143="",1,(IF(Besatzung!$C$16="",Besatzung!$B$5,Besatzung!$C$16)&lt;=B143)*(IF(Besatzung!$D$16="",Besatzung!$B$6,Besatzung!$D$16)&gt;=B143)))*(Besatzung!$F$16="x")*IFERROR(H143,0)/IFERROR(SUMPRODUCT((Besatzung!$B$11:$B$22&lt;&gt;"")*(Besatzung!$F$11:$F$22="x")*(IF(Besatzung!$C$11:$C$22="",Besatzung!$B$5,Besatzung!$C$11:$C$22)&lt;=B143)*(IF(Besatzung!$D$11:$D$22="",Besatzung!$B$6,Besatzung!$D$11:$D$22)&gt;=B143)),1)),IF(I143="An Bord",(((Besatzung!$B$15&lt;&gt;"")*IF(B143="",1,(IF(Besatzung!$C$16="",Besatzung!$B$5,Besatzung!$C$16)&lt;=B143)*(IF(Besatzung!$D$16="",Besatzung!$B$6,Besatzung!$D$16)&gt;=B143)))*((G143-IFERROR(H143,0))/IFERROR(SUMPRODUCT((Besatzung!$B$11:$B$22&lt;&gt;"")*(IF(Besatzung!$C$11:$C$22="",Besatzung!$B$5,Besatzung!$C$11:$C$22)&lt;=B143)*(IF(Besatzung!$D$11:$D$22="",Besatzung!$B$6,Besatzung!$D$11:$D$22)&gt;=B143)),1)+(Besatzung!$F$16="x")*IFERROR(H143,0)/IFERROR(SUMPRODUCT((Besatzung!$B$11:$B$22&lt;&gt;"")*(Besatzung!$F$11:$F$22="x")*(IF(Besatzung!$C$11:$C$22="",Besatzung!$B$5,Besatzung!$C$11:$C$22)&lt;=B143)*(IF(Besatzung!$D$11:$D$22="",Besatzung!$B$6,Besatzung!$D$11:$D$22)&gt;=B143)),1))),IF(I143="Individuell",((O143="x")*((G143-IFERROR(H143,0))/IFERROR(COUNTIF(J143:U143,"x"),1)+(Besatzung!$F$16="x")*IFERROR(H143,0)/IFERROR(SUMPRODUCT((J143:U143="x")*(Besatzung!$F$11:$F$22="x")),1))),(IF(COUNTIF(J143:U143,"x")=0,IF(Besatzung!$B$15&lt;&gt;"",1,0),(O143="x"))*(G143-IFERROR(H143,0))/IFERROR(IF(COUNTIF(J143:U143,"x")=0,COUNTA(Besatzung!$B$11:$B$22),COUNTIF(J143:U143,"x")),1)+IF(COUNTIF(J143:U143,"x")=0,(Besatzung!$F$16="x"),(O143="x")*(Besatzung!$F$16="x"))*IFERROR(H143,0)/IFERROR(IF(COUNTIF(J143:U143,"x")=0,SUMPRODUCT((Besatzung!$B$11:$B$22&lt;&gt;"")*(Besatzung!$F$11:$F$22="x")),SUMPRODUCT((J143:U143="x")*(Besatzung!$F$11:$F$22="x"))),1))))),0))))</f>
        <v/>
      </c>
      <c r="AB143" s="247">
        <f>IF(C143="Gutschrift","",IF(G143="","",IF(Besatzung!$B$17="","",IFERROR(IF(I143="Zeitanteilig",(Besatzung!$G$17*(G143-IFERROR(H143,0))+((Besatzung!$B$17&lt;&gt;"")*IF(B143="",1,(IF(Besatzung!$C$17="",Besatzung!$B$5,Besatzung!$C$17)&lt;=B143)*(IF(Besatzung!$D$17="",Besatzung!$B$6,Besatzung!$D$17)&gt;=B143)))*(Besatzung!$F$17="x")*IFERROR(H143,0)/IFERROR(SUMPRODUCT((Besatzung!$B$11:$B$22&lt;&gt;"")*(Besatzung!$F$11:$F$22="x")*(IF(Besatzung!$C$11:$C$22="",Besatzung!$B$5,Besatzung!$C$11:$C$22)&lt;=B143)*(IF(Besatzung!$D$11:$D$22="",Besatzung!$B$6,Besatzung!$D$11:$D$22)&gt;=B143)),1)),IF(I143="An Bord",(((Besatzung!$B$17&lt;&gt;"")*IF(B143="",1,(IF(Besatzung!$C$17="",Besatzung!$B$5,Besatzung!$C$17)&lt;=B143)*(IF(Besatzung!$D$17="",Besatzung!$B$6,Besatzung!$D$17)&gt;=B143)))*((G143-IFERROR(H143,0))/IFERROR(SUMPRODUCT((Besatzung!$B$11:$B$22&lt;&gt;"")*(IF(Besatzung!$C$11:$C$22="",Besatzung!$B$5,Besatzung!$C$11:$C$22)&lt;=B143)*(IF(Besatzung!$D$11:$D$22="",Besatzung!$B$6,Besatzung!$D$11:$D$22)&gt;=B143)),1)+(Besatzung!$F$17="x")*IFERROR(H143,0)/IFERROR(SUMPRODUCT((Besatzung!$B$11:$B$22&lt;&gt;"")*(Besatzung!$F$11:$F$22="x")*(IF(Besatzung!$C$11:$C$22="",Besatzung!$B$5,Besatzung!$C$11:$C$22)&lt;=B143)*(IF(Besatzung!$D$11:$D$22="",Besatzung!$B$6,Besatzung!$D$11:$D$22)&gt;=B143)),1))),IF(I143="Individuell",((P143="x")*((G143-IFERROR(H143,0))/IFERROR(COUNTIF(J143:U143,"x"),1)+(Besatzung!$F$17="x")*IFERROR(H143,0)/IFERROR(SUMPRODUCT((J143:U143="x")*(Besatzung!$F$11:$F$22="x")),1))),(IF(COUNTIF(J143:U143,"x")=0,IF(Besatzung!$B$17&lt;&gt;"",1,0),(P143="x"))*(G143-IFERROR(H143,0))/IFERROR(IF(COUNTIF(J143:U143,"x")=0,COUNTA(Besatzung!$B$11:$B$22),COUNTIF(J143:U143,"x")),1)+IF(COUNTIF(J143:U143,"x")=0,(Besatzung!$F$17="x"),(P143="x")*(Besatzung!$F$17="x"))*IFERROR(H143,0)/IFERROR(IF(COUNTIF(J143:U143,"x")=0,SUMPRODUCT((Besatzung!$B$11:$B$22&lt;&gt;"")*(Besatzung!$F$11:$F$22="x")),SUMPRODUCT((J143:U143="x")*(Besatzung!$F$11:$F$22="x"))),1))))),0))))</f>
        <v/>
      </c>
      <c r="AC143" s="247">
        <f>IF(C143="Gutschrift","",IF(G143="","",IF(Besatzung!$B$18="","",IFERROR(IF(I143="Zeitanteilig",(Besatzung!$G$18*(G143-IFERROR(H143,0))+((Besatzung!$B$18&lt;&gt;"")*IF(B143="",1,(IF(Besatzung!$C$18="",Besatzung!$B$5,Besatzung!$C$18)&lt;=B143)*(IF(Besatzung!$D$18="",Besatzung!$B$6,Besatzung!$D$18)&gt;=B143)))*(Besatzung!$F$18="x")*IFERROR(H143,0)/IFERROR(SUMPRODUCT((Besatzung!$B$11:$B$22&lt;&gt;"")*(Besatzung!$F$11:$F$22="x")*(IF(Besatzung!$C$11:$C$22="",Besatzung!$B$5,Besatzung!$C$11:$C$22)&lt;=B143)*(IF(Besatzung!$D$11:$D$22="",Besatzung!$B$6,Besatzung!$D$11:$D$22)&gt;=B143)),1)),IF(I143="An Bord",(((Besatzung!$B$18&lt;&gt;"")*IF(B143="",1,(IF(Besatzung!$C$18="",Besatzung!$B$5,Besatzung!$C$18)&lt;=B143)*(IF(Besatzung!$D$18="",Besatzung!$B$6,Besatzung!$D$18)&gt;=B143)))*((G143-IFERROR(H143,0))/IFERROR(SUMPRODUCT((Besatzung!$B$11:$B$22&lt;&gt;"")*(IF(Besatzung!$C$11:$C$22="",Besatzung!$B$5,Besatzung!$C$11:$C$22)&lt;=B143)*(IF(Besatzung!$D$11:$D$22="",Besatzung!$B$6,Besatzung!$D$11:$D$22)&gt;=B143)),1)+(Besatzung!$F$18="x")*IFERROR(H143,0)/IFERROR(SUMPRODUCT((Besatzung!$B$11:$B$22&lt;&gt;"")*(Besatzung!$F$11:$F$22="x")*(IF(Besatzung!$C$11:$C$22="",Besatzung!$B$5,Besatzung!$C$11:$C$22)&lt;=B143)*(IF(Besatzung!$D$11:$D$22="",Besatzung!$B$6,Besatzung!$D$11:$D$22)&gt;=B143)),1))),IF(I143="Individuell",((Q143="x")*((G143-IFERROR(H143,0))/IFERROR(COUNTIF(J143:U143,"x"),1)+(Besatzung!$F$18="x")*IFERROR(H143,0)/IFERROR(SUMPRODUCT((J143:U143="x")*(Besatzung!$F$11:$F$22="x")),1))),(IF(COUNTIF(J143:U143,"x")=0,IF(Besatzung!$B$18&lt;&gt;"",1,0),(Q143="x"))*(G143-IFERROR(H143,0))/IFERROR(IF(COUNTIF(J143:U143,"x")=0,COUNTA(Besatzung!$B$11:$B$22),COUNTIF(J143:U143,"x")),1)+IF(COUNTIF(J143:U143,"x")=0,(Besatzung!$F$18="x"),(Q143="x")*(Besatzung!$F$18="x"))*IFERROR(H143,0)/IFERROR(IF(COUNTIF(J143:U143,"x")=0,SUMPRODUCT((Besatzung!$B$11:$B$22&lt;&gt;"")*(Besatzung!$F$11:$F$22="x")),SUMPRODUCT((J143:U143="x")*(Besatzung!$F$11:$F$22="x"))),1))))),0))))</f>
        <v/>
      </c>
      <c r="AD143" s="247">
        <f>IF(C143="Gutschrift","",IF(G143="","",IF(Besatzung!$B$19="","",IFERROR(IF(I143="Zeitanteilig",(Besatzung!$G$19*(G143-IFERROR(H143,0))+((Besatzung!$B$19&lt;&gt;"")*IF(B143="",1,(IF(Besatzung!$C$19="",Besatzung!$B$5,Besatzung!$C$19)&lt;=B143)*(IF(Besatzung!$D$19="",Besatzung!$B$6,Besatzung!$D$19)&gt;=B143)))*(Besatzung!$F$19="x")*IFERROR(H143,0)/IFERROR(SUMPRODUCT((Besatzung!$B$11:$B$22&lt;&gt;"")*(Besatzung!$F$11:$F$22="x")*(IF(Besatzung!$C$11:$C$22="",Besatzung!$B$5,Besatzung!$C$11:$C$22)&lt;=B143)*(IF(Besatzung!$D$11:$D$22="",Besatzung!$B$6,Besatzung!$D$11:$D$22)&gt;=B143)),1)),IF(I143="An Bord",(((Besatzung!$B$19&lt;&gt;"")*IF(B143="",1,(IF(Besatzung!$C$19="",Besatzung!$B$5,Besatzung!$C$19)&lt;=B143)*(IF(Besatzung!$D$19="",Besatzung!$B$6,Besatzung!$D$19)&gt;=B143)))*((G143-IFERROR(H143,0))/IFERROR(SUMPRODUCT((Besatzung!$B$11:$B$22&lt;&gt;"")*(IF(Besatzung!$C$11:$C$22="",Besatzung!$B$5,Besatzung!$C$11:$C$22)&lt;=B143)*(IF(Besatzung!$D$11:$D$22="",Besatzung!$B$6,Besatzung!$D$11:$D$22)&gt;=B143)),1)+(Besatzung!$F$19="x")*IFERROR(H143,0)/IFERROR(SUMPRODUCT((Besatzung!$B$11:$B$22&lt;&gt;"")*(Besatzung!$F$11:$F$22="x")*(IF(Besatzung!$C$11:$C$22="",Besatzung!$B$5,Besatzung!$C$11:$C$22)&lt;=B143)*(IF(Besatzung!$D$11:$D$22="",Besatzung!$B$6,Besatzung!$D$11:$D$22)&gt;=B143)),1))),IF(I143="Individuell",((R143="x")*((G143-IFERROR(H143,0))/IFERROR(COUNTIF(J143:U143,"x"),1)+(Besatzung!$F$19="x")*IFERROR(H143,0)/IFERROR(SUMPRODUCT((J143:U143="x")*(Besatzung!$F$11:$F$22="x")),1))),(IF(COUNTIF(J143:U143,"x")=0,IF(Besatzung!$B$19&lt;&gt;"",1,0),(R143="x"))*(G143-IFERROR(H143,0))/IFERROR(IF(COUNTIF(J143:U143,"x")=0,COUNTA(Besatzung!$B$11:$B$22),COUNTIF(J143:U143,"x")),1)+IF(COUNTIF(J143:U143,"x")=0,(Besatzung!$F$19="x"),(R143="x")*(Besatzung!$F$19="x"))*IFERROR(H143,0)/IFERROR(IF(COUNTIF(J143:U143,"x")=0,SUMPRODUCT((Besatzung!$B$11:$B$22&lt;&gt;"")*(Besatzung!$F$11:$F$22="x")),SUMPRODUCT((J143:U143="x")*(Besatzung!$F$11:$F$22="x"))),1))))),0))))</f>
        <v/>
      </c>
      <c r="AE143" s="247">
        <f>IF(C143="Gutschrift","",IF(G143="","",IF(Besatzung!$B$20="","",IFERROR(IF(I143="Zeitanteilig",(Besatzung!$G$20*(G143-IFERROR(H143,0))+((Besatzung!$B$20&lt;&gt;"")*IF(B143="",1,(IF(Besatzung!$C$20="",Besatzung!$B$5,Besatzung!$C$20)&lt;=B143)*(IF(Besatzung!$D$20="",Besatzung!$B$6,Besatzung!$D$20)&gt;=B143)))*(Besatzung!$F$20="x")*IFERROR(H143,0)/IFERROR(SUMPRODUCT((Besatzung!$B$11:$B$22&lt;&gt;"")*(Besatzung!$F$11:$F$22="x")*(IF(Besatzung!$C$11:$C$22="",Besatzung!$B$5,Besatzung!$C$11:$C$22)&lt;=B143)*(IF(Besatzung!$D$11:$D$22="",Besatzung!$B$6,Besatzung!$D$11:$D$22)&gt;=B143)),1)),IF(I143="An Bord",(((Besatzung!$B$20&lt;&gt;"")*IF(B143="",1,(IF(Besatzung!$C$20="",Besatzung!$B$5,Besatzung!$C$20)&lt;=B143)*(IF(Besatzung!$D$20="",Besatzung!$B$6,Besatzung!$D$20)&gt;=B143)))*((G143-IFERROR(H143,0))/IFERROR(SUMPRODUCT((Besatzung!$B$11:$B$22&lt;&gt;"")*(IF(Besatzung!$C$11:$C$22="",Besatzung!$B$5,Besatzung!$C$11:$C$22)&lt;=B143)*(IF(Besatzung!$D$11:$D$22="",Besatzung!$B$6,Besatzung!$D$11:$D$22)&gt;=B143)),1)+(Besatzung!$F$20="x")*IFERROR(H143,0)/IFERROR(SUMPRODUCT((Besatzung!$B$11:$B$22&lt;&gt;"")*(Besatzung!$F$11:$F$22="x")*(IF(Besatzung!$C$11:$C$22="",Besatzung!$B$5,Besatzung!$C$11:$C$22)&lt;=B143)*(IF(Besatzung!$D$11:$D$22="",Besatzung!$B$6,Besatzung!$D$11:$D$22)&gt;=B143)),1))),IF(I143="Individuell",((S143="x")*((G143-IFERROR(H143,0))/IFERROR(COUNTIF(J143:U143,"x"),1)+(Besatzung!$F$20="x")*IFERROR(H143,0)/IFERROR(SUMPRODUCT((J143:U143="x")*(Besatzung!$F$11:$F$22="x")),1))),(IF(COUNTIF(J143:U143,"x")=0,IF(Besatzung!$B$20&lt;&gt;"",1,0),(S143="x"))*(G143-IFERROR(H143,0))/IFERROR(IF(COUNTIF(J143:U143,"x")=0,COUNTA(Besatzung!$B$11:$B$22),COUNTIF(J143:U143,"x")),1)+IF(COUNTIF(J143:U143,"x")=0,(Besatzung!$F$20="x"),(S143="x")*(Besatzung!$F$20="x"))*IFERROR(H143,0)/IFERROR(IF(COUNTIF(J143:U143,"x")=0,SUMPRODUCT((Besatzung!$B$11:$B$22&lt;&gt;"")*(Besatzung!$F$11:$F$22="x")),SUMPRODUCT((J143:U143="x")*(Besatzung!$F$11:$F$22="x"))),1))))),0))))</f>
        <v/>
      </c>
      <c r="AF143" s="247">
        <f>IF(C143="Gutschrift","",IF(G143="","",IF(Besatzung!$B$21="","",IFERROR(IF(I143="Zeitanteilig",(Besatzung!$G$21*(G143-IFERROR(H143,0))+((Besatzung!$B$21&lt;&gt;"")*IF(B143="",1,(IF(Besatzung!$C$21="",Besatzung!$B$5,Besatzung!$C$21)&lt;=B143)*(IF(Besatzung!$D$21="",Besatzung!$B$6,Besatzung!$D$21)&gt;=B143)))*(Besatzung!$F$21="x")*IFERROR(H143,0)/IFERROR(SUMPRODUCT((Besatzung!$B$11:$B$22&lt;&gt;"")*(Besatzung!$F$11:$F$22="x")*(IF(Besatzung!$C$11:$C$22="",Besatzung!$B$5,Besatzung!$C$11:$C$22)&lt;=B143)*(IF(Besatzung!$D$11:$D$22="",Besatzung!$B$6,Besatzung!$D$11:$D$22)&gt;=B143)),1)),IF(I143="An Bord",(((Besatzung!$B$21&lt;&gt;"")*IF(B143="",1,(IF(Besatzung!$C$21="",Besatzung!$B$5,Besatzung!$C$21)&lt;=B143)*(IF(Besatzung!$D$21="",Besatzung!$B$6,Besatzung!$D$21)&gt;=B143)))*((G143-IFERROR(H143,0))/IFERROR(SUMPRODUCT((Besatzung!$B$11:$B$22&lt;&gt;"")*(IF(Besatzung!$C$11:$C$22="",Besatzung!$B$5,Besatzung!$C$11:$C$22)&lt;=B143)*(IF(Besatzung!$D$11:$D$22="",Besatzung!$B$6,Besatzung!$D$11:$D$22)&gt;=B143)),1)+(Besatzung!$F$21="x")*IFERROR(H143,0)/IFERROR(SUMPRODUCT((Besatzung!$B$11:$B$22&lt;&gt;"")*(Besatzung!$F$11:$F$22="x")*(IF(Besatzung!$C$11:$C$22="",Besatzung!$B$5,Besatzung!$C$11:$C$22)&lt;=B143)*(IF(Besatzung!$D$11:$D$22="",Besatzung!$B$6,Besatzung!$D$11:$D$22)&gt;=B143)),1))),IF(I143="Individuell",((T143="x")*((G143-IFERROR(H143,0))/IFERROR(COUNTIF(J143:U143,"x"),1)+(Besatzung!$F$21="x")*IFERROR(H143,0)/IFERROR(SUMPRODUCT((J143:U143="x")*(Besatzung!$F$11:$F$22="x")),1))),(IF(COUNTIF(J143:U143,"x")=0,IF(Besatzung!$B$21&lt;&gt;"",1,0),(T143="x"))*(G143-IFERROR(H143,0))/IFERROR(IF(COUNTIF(J143:U143,"x")=0,COUNTA(Besatzung!$B$11:$B$22),COUNTIF(J143:U143,"x")),1)+IF(COUNTIF(J143:U143,"x")=0,(Besatzung!$F$21="x"),(T143="x")*(Besatzung!$F$21="x"))*IFERROR(H143,0)/IFERROR(IF(COUNTIF(J143:U143,"x")=0,SUMPRODUCT((Besatzung!$B$11:$B$22&lt;&gt;"")*(Besatzung!$F$11:$F$22="x")),SUMPRODUCT((J143:U143="x")*(Besatzung!$F$11:$F$22="x"))),1))))),0))))</f>
        <v/>
      </c>
      <c r="AG143" s="247">
        <f>IF(C143="Gutschrift","",IF(G143="","",IF(Besatzung!$B$22="","",IFERROR(IF(I143="Zeitanteilig",(Besatzung!$G$22*(G143-IFERROR(H143,0))+((Besatzung!$B$22&lt;&gt;"")*IF(B143="",1,(IF(Besatzung!$C$22="",Besatzung!$B$5,Besatzung!$C$22)&lt;=B143)*(IF(Besatzung!$D$22="",Besatzung!$B$6,Besatzung!$D$22)&gt;=B143)))*(Besatzung!$F$22="x")*IFERROR(H143,0)/IFERROR(SUMPRODUCT((Besatzung!$B$11:$B$22&lt;&gt;"")*(Besatzung!$F$11:$F$22="x")*(IF(Besatzung!$C$11:$C$22="",Besatzung!$B$5,Besatzung!$C$11:$C$22)&lt;=B143)*(IF(Besatzung!$D$11:$D$22="",Besatzung!$B$6,Besatzung!$D$11:$D$22)&gt;=B143)),1)),IF(I143="An Bord",(((Besatzung!$B$22&lt;&gt;"")*IF(B143="",1,(IF(Besatzung!$C$22="",Besatzung!$B$5,Besatzung!$C$22)&lt;=B143)*(IF(Besatzung!$D$22="",Besatzung!$B$6,Besatzung!$D$22)&gt;=B143)))*((G143-IFERROR(H143,0))/IFERROR(SUMPRODUCT((Besatzung!$B$11:$B$22&lt;&gt;"")*(IF(Besatzung!$C$11:$C$22="",Besatzung!$B$5,Besatzung!$C$11:$C$22)&lt;=B143)*(IF(Besatzung!$D$11:$D$22="",Besatzung!$B$6,Besatzung!$D$11:$D$22)&gt;=B143)),1)+(Besatzung!$F$22="x")*IFERROR(H143,0)/IFERROR(SUMPRODUCT((Besatzung!$B$11:$B$22&lt;&gt;"")*(Besatzung!$F$11:$F$22="x")*(IF(Besatzung!$C$11:$C$22="",Besatzung!$B$5,Besatzung!$C$11:$C$22)&lt;=B143)*(IF(Besatzung!$D$11:$D$22="",Besatzung!$B$6,Besatzung!$D$11:$D$22)&gt;=B143)),1))),IF(I143="Individuell",((U143="x")*((G143-IFERROR(H143,0))/IFERROR(COUNTIF(J143:U143,"x"),1)+(Besatzung!$F$22="x")*IFERROR(H143,0)/IFERROR(SUMPRODUCT((J143:U143="x")*(Besatzung!$F$11:$F$22="x")),1))),(IF(COUNTIF(J143:U143,"x")=0,IF(Besatzung!$B$22&lt;&gt;"",1,0),(U143="x"))*(G143-IFERROR(H143,0))/IFERROR(IF(COUNTIF(J143:U143,"x")=0,COUNTA(Besatzung!$B$11:$B$22),COUNTIF(J143:U143,"x")),1)+IF(COUNTIF(J143:U143,"x")=0,(Besatzung!$F$22="x"),(U143="x")*(Besatzung!$F$22="x"))*IFERROR(H143,0)/IFERROR(IF(COUNTIF(J143:U143,"x")=0,SUMPRODUCT((Besatzung!$B$11:$B$22&lt;&gt;"")*(Besatzung!$F$11:$F$22="x")),SUMPRODUCT((J143:U143="x")*(Besatzung!$F$11:$F$22="x"))),1))))),0))))</f>
        <v/>
      </c>
      <c r="AH143" s="248" t="n"/>
      <c r="AI143" s="248" t="n"/>
    </row>
    <row r="144" ht="21.75" customHeight="1" s="154">
      <c r="A144" s="238">
        <f>IF(AND(D144="",C144=""),"",141)</f>
        <v/>
      </c>
      <c r="B144" s="199" t="n"/>
      <c r="C144" s="239" t="n"/>
      <c r="D144" s="240" t="n"/>
      <c r="E144" s="241" t="n"/>
      <c r="F144" s="242" t="n"/>
      <c r="G144" s="243" t="n"/>
      <c r="H144" s="244" t="n"/>
      <c r="I144" s="245" t="n"/>
      <c r="J144" s="246" t="n"/>
      <c r="K144" s="246" t="n"/>
      <c r="L144" s="246" t="n"/>
      <c r="M144" s="246" t="n"/>
      <c r="N144" s="246" t="n"/>
      <c r="O144" s="246" t="n"/>
      <c r="P144" s="246" t="n"/>
      <c r="Q144" s="246" t="n"/>
      <c r="R144" s="246" t="n"/>
      <c r="S144" s="246" t="n"/>
      <c r="T144" s="246" t="n"/>
      <c r="U144" s="246" t="n"/>
      <c r="V144" s="247">
        <f>IF(C144="Gutschrift","",IF(G144="","",IF(Besatzung!$B$11="","",IFERROR(IF(I144="Zeitanteilig",(Besatzung!$G$11*(G144-IFERROR(H144,0))+((Besatzung!$B$11&lt;&gt;"")*IF(B144="",1,(IF(Besatzung!$C$11="",Besatzung!$B$5,Besatzung!$C$11)&lt;=B144)*(IF(Besatzung!$D$11="",Besatzung!$B$6,Besatzung!$D$11)&gt;=B144)))*(Besatzung!$F$11="x")*IFERROR(H144,0)/IFERROR(SUMPRODUCT((Besatzung!$B$11:$B$22&lt;&gt;"")*(Besatzung!$F$11:$F$22="x")*(IF(Besatzung!$C$11:$C$22="",Besatzung!$B$5,Besatzung!$C$11:$C$22)&lt;=B144)*(IF(Besatzung!$D$11:$D$22="",Besatzung!$B$6,Besatzung!$D$11:$D$22)&gt;=B144)),1)),IF(I144="An Bord",(((Besatzung!$B$11&lt;&gt;"")*IF(B144="",1,(IF(Besatzung!$C$11="",Besatzung!$B$5,Besatzung!$C$11)&lt;=B144)*(IF(Besatzung!$D$11="",Besatzung!$B$6,Besatzung!$D$11)&gt;=B144)))*((G144-IFERROR(H144,0))/IFERROR(SUMPRODUCT((Besatzung!$B$11:$B$22&lt;&gt;"")*(IF(Besatzung!$C$11:$C$22="",Besatzung!$B$5,Besatzung!$C$11:$C$22)&lt;=B144)*(IF(Besatzung!$D$11:$D$22="",Besatzung!$B$6,Besatzung!$D$11:$D$22)&gt;=B144)),1)+(Besatzung!$F$11="x")*IFERROR(H144,0)/IFERROR(SUMPRODUCT((Besatzung!$B$11:$B$22&lt;&gt;"")*(Besatzung!$F$11:$F$22="x")*(IF(Besatzung!$C$11:$C$22="",Besatzung!$B$5,Besatzung!$C$11:$C$22)&lt;=B144)*(IF(Besatzung!$D$11:$D$22="",Besatzung!$B$6,Besatzung!$D$11:$D$22)&gt;=B144)),1))),IF(I144="Individuell",((J144="x")*((G144-IFERROR(H144,0))/IFERROR(COUNTIF(J144:U144,"x"),1)+(Besatzung!$F$11="x")*IFERROR(H144,0)/IFERROR(SUMPRODUCT((J144:U144="x")*(Besatzung!$F$11:$F$22="x")),1))),(IF(COUNTIF(J144:U144,"x")=0,IF(Besatzung!$B$11&lt;&gt;"",1,0),(J144="x"))*(G144-IFERROR(H144,0))/IFERROR(IF(COUNTIF(J144:U144,"x")=0,COUNTA(Besatzung!$B$11:$B$22),COUNTIF(J144:U144,"x")),1)+IF(COUNTIF(J144:U144,"x")=0,(Besatzung!$F$11="x"),(J144="x")*(Besatzung!$F$11="x"))*IFERROR(H144,0)/IFERROR(IF(COUNTIF(J144:U144,"x")=0,SUMPRODUCT((Besatzung!$B$11:$B$22&lt;&gt;"")*(Besatzung!$F$11:$F$22="x")),SUMPRODUCT((J144:U144="x")*(Besatzung!$F$11:$F$22="x"))),1))))),0))))</f>
        <v/>
      </c>
      <c r="W144" s="247">
        <f>IF(C144="Gutschrift","",IF(G144="","",IF(Besatzung!$B$12="","",IFERROR(IF(I144="Zeitanteilig",(Besatzung!$G$12*(G144-IFERROR(H144,0))+((Besatzung!$B$12&lt;&gt;"")*IF(B144="",1,(IF(Besatzung!$C$12="",Besatzung!$B$5,Besatzung!$C$12)&lt;=B144)*(IF(Besatzung!$D$12="",Besatzung!$B$6,Besatzung!$D$12)&gt;=B144)))*(Besatzung!$F$12="x")*IFERROR(H144,0)/IFERROR(SUMPRODUCT((Besatzung!$B$11:$B$22&lt;&gt;"")*(Besatzung!$F$11:$F$22="x")*(IF(Besatzung!$C$11:$C$22="",Besatzung!$B$5,Besatzung!$C$11:$C$22)&lt;=B144)*(IF(Besatzung!$D$11:$D$22="",Besatzung!$B$6,Besatzung!$D$11:$D$22)&gt;=B144)),1)),IF(I144="An Bord",(((Besatzung!$B$12&lt;&gt;"")*IF(B144="",1,(IF(Besatzung!$C$12="",Besatzung!$B$5,Besatzung!$C$12)&lt;=B144)*(IF(Besatzung!$D$12="",Besatzung!$B$6,Besatzung!$D$12)&gt;=B144)))*((G144-IFERROR(H144,0))/IFERROR(SUMPRODUCT((Besatzung!$B$11:$B$22&lt;&gt;"")*(IF(Besatzung!$C$11:$C$22="",Besatzung!$B$5,Besatzung!$C$11:$C$22)&lt;=B144)*(IF(Besatzung!$D$11:$D$22="",Besatzung!$B$6,Besatzung!$D$11:$D$22)&gt;=B144)),1)+(Besatzung!$F$12="x")*IFERROR(H144,0)/IFERROR(SUMPRODUCT((Besatzung!$B$11:$B$22&lt;&gt;"")*(Besatzung!$F$11:$F$22="x")*(IF(Besatzung!$C$11:$C$22="",Besatzung!$B$5,Besatzung!$C$11:$C$22)&lt;=B144)*(IF(Besatzung!$D$11:$D$22="",Besatzung!$B$6,Besatzung!$D$11:$D$22)&gt;=B144)),1))),IF(I144="Individuell",((K144="x")*((G144-IFERROR(H144,0))/IFERROR(COUNTIF(J144:U144,"x"),1)+(Besatzung!$F$12="x")*IFERROR(H144,0)/IFERROR(SUMPRODUCT((J144:U144="x")*(Besatzung!$F$11:$F$22="x")),1))),(IF(COUNTIF(J144:U144,"x")=0,IF(Besatzung!$B$12&lt;&gt;"",1,0),(K144="x"))*(G144-IFERROR(H144,0))/IFERROR(IF(COUNTIF(J144:U144,"x")=0,COUNTA(Besatzung!$B$11:$B$22),COUNTIF(J144:U144,"x")),1)+IF(COUNTIF(J144:U144,"x")=0,(Besatzung!$F$12="x"),(K144="x")*(Besatzung!$F$12="x"))*IFERROR(H144,0)/IFERROR(IF(COUNTIF(J144:U144,"x")=0,SUMPRODUCT((Besatzung!$B$11:$B$22&lt;&gt;"")*(Besatzung!$F$11:$F$22="x")),SUMPRODUCT((J144:U144="x")*(Besatzung!$F$11:$F$22="x"))),1))))),0))))</f>
        <v/>
      </c>
      <c r="X144" s="247">
        <f>IF(C144="Gutschrift","",IF(G144="","",IF(Besatzung!$B$13="","",IFERROR(IF(I144="Zeitanteilig",(Besatzung!$G$13*(G144-IFERROR(H144,0))+((Besatzung!$B$13&lt;&gt;"")*IF(B144="",1,(IF(Besatzung!$C$13="",Besatzung!$B$5,Besatzung!$C$13)&lt;=B144)*(IF(Besatzung!$D$13="",Besatzung!$B$6,Besatzung!$D$13)&gt;=B144)))*(Besatzung!$F$13="x")*IFERROR(H144,0)/IFERROR(SUMPRODUCT((Besatzung!$B$11:$B$22&lt;&gt;"")*(Besatzung!$F$11:$F$22="x")*(IF(Besatzung!$C$11:$C$22="",Besatzung!$B$5,Besatzung!$C$11:$C$22)&lt;=B144)*(IF(Besatzung!$D$11:$D$22="",Besatzung!$B$6,Besatzung!$D$11:$D$22)&gt;=B144)),1)),IF(I144="An Bord",(((Besatzung!$B$13&lt;&gt;"")*IF(B144="",1,(IF(Besatzung!$C$13="",Besatzung!$B$5,Besatzung!$C$13)&lt;=B144)*(IF(Besatzung!$D$13="",Besatzung!$B$6,Besatzung!$D$13)&gt;=B144)))*((G144-IFERROR(H144,0))/IFERROR(SUMPRODUCT((Besatzung!$B$11:$B$22&lt;&gt;"")*(IF(Besatzung!$C$11:$C$22="",Besatzung!$B$5,Besatzung!$C$11:$C$22)&lt;=B144)*(IF(Besatzung!$D$11:$D$22="",Besatzung!$B$6,Besatzung!$D$11:$D$22)&gt;=B144)),1)+(Besatzung!$F$13="x")*IFERROR(H144,0)/IFERROR(SUMPRODUCT((Besatzung!$B$11:$B$22&lt;&gt;"")*(Besatzung!$F$11:$F$22="x")*(IF(Besatzung!$C$11:$C$22="",Besatzung!$B$5,Besatzung!$C$11:$C$22)&lt;=B144)*(IF(Besatzung!$D$11:$D$22="",Besatzung!$B$6,Besatzung!$D$11:$D$22)&gt;=B144)),1))),IF(I144="Individuell",((K144="x")*((G144-IFERROR(H144,0))/IFERROR(COUNTIF(J144:U144,"x"),1)+(Besatzung!$F$13="x")*IFERROR(H144,0)/IFERROR(SUMPRODUCT((J144:U144="x")*(Besatzung!$F$11:$F$22="x")),1))),(IF(COUNTIF(J144:U144,"x")=0,IF(Besatzung!$B$13&lt;&gt;"",1,0),(K144="x"))*(G144-IFERROR(H144,0))/IFERROR(IF(COUNTIF(J144:U144,"x")=0,COUNTA(Besatzung!$B$11:$B$22),COUNTIF(J144:U144,"x")),1)+IF(COUNTIF(J144:U144,"x")=0,(Besatzung!$F$13="x"),(K144="x")*(Besatzung!$F$13="x"))*IFERROR(H144,0)/IFERROR(IF(COUNTIF(J144:U144,"x")=0,SUMPRODUCT((Besatzung!$B$11:$B$22&lt;&gt;"")*(Besatzung!$F$11:$F$22="x")),SUMPRODUCT((J144:U144="x")*(Besatzung!$F$11:$F$22="x"))),1))))),0))))</f>
        <v/>
      </c>
      <c r="Y144" s="247">
        <f>IF(C144="Gutschrift","",IF(G144="","",IF(Besatzung!$B$14="","",IFERROR(IF(I144="Zeitanteilig",(Besatzung!$G$14*(G144-IFERROR(H144,0))+((Besatzung!$B$14&lt;&gt;"")*IF(B144="",1,(IF(Besatzung!$C$14="",Besatzung!$B$5,Besatzung!$C$14)&lt;=B144)*(IF(Besatzung!$D$14="",Besatzung!$B$6,Besatzung!$D$14)&gt;=B144)))*(Besatzung!$F$14="x")*IFERROR(H144,0)/IFERROR(SUMPRODUCT((Besatzung!$B$11:$B$22&lt;&gt;"")*(Besatzung!$F$11:$F$22="x")*(IF(Besatzung!$C$11:$C$22="",Besatzung!$B$5,Besatzung!$C$11:$C$22)&lt;=B144)*(IF(Besatzung!$D$11:$D$22="",Besatzung!$B$6,Besatzung!$D$11:$D$22)&gt;=B144)),1)),IF(I144="An Bord",(((Besatzung!$B$14&lt;&gt;"")*IF(B144="",1,(IF(Besatzung!$C$14="",Besatzung!$B$5,Besatzung!$C$14)&lt;=B144)*(IF(Besatzung!$D$14="",Besatzung!$B$6,Besatzung!$D$14)&gt;=B144)))*((G144-IFERROR(H144,0))/IFERROR(SUMPRODUCT((Besatzung!$B$11:$B$22&lt;&gt;"")*(IF(Besatzung!$C$11:$C$22="",Besatzung!$B$5,Besatzung!$C$11:$C$22)&lt;=B144)*(IF(Besatzung!$D$11:$D$22="",Besatzung!$B$6,Besatzung!$D$11:$D$22)&gt;=B144)),1)+(Besatzung!$F$14="x")*IFERROR(H144,0)/IFERROR(SUMPRODUCT((Besatzung!$B$11:$B$22&lt;&gt;"")*(Besatzung!$F$11:$F$22="x")*(IF(Besatzung!$C$11:$C$22="",Besatzung!$B$5,Besatzung!$C$11:$C$22)&lt;=B144)*(IF(Besatzung!$D$11:$D$22="",Besatzung!$B$6,Besatzung!$D$11:$D$22)&gt;=B144)),1))),IF(I144="Individuell",((M144="x")*((G144-IFERROR(H144,0))/IFERROR(COUNTIF(J144:U144,"x"),1)+(Besatzung!$F$14="x")*IFERROR(H144,0)/IFERROR(SUMPRODUCT((J144:U144="x")*(Besatzung!$F$11:$F$22="x")),1))),(IF(COUNTIF(J144:U144,"x")=0,IF(Besatzung!$B$14&lt;&gt;"",1,0),(M144="x"))*(G144-IFERROR(H144,0))/IFERROR(IF(COUNTIF(J144:U144,"x")=0,COUNTA(Besatzung!$B$11:$B$22),COUNTIF(J144:U144,"x")),1)+IF(COUNTIF(J144:U144,"x")=0,(Besatzung!$F$14="x"),(M144="x")*(Besatzung!$F$14="x"))*IFERROR(H144,0)/IFERROR(IF(COUNTIF(J144:U144,"x")=0,SUMPRODUCT((Besatzung!$B$11:$B$22&lt;&gt;"")*(Besatzung!$F$11:$F$22="x")),SUMPRODUCT((J144:U144="x")*(Besatzung!$F$11:$F$22="x"))),1))))),0))))</f>
        <v/>
      </c>
      <c r="Z144" s="247">
        <f>IF(C144="Gutschrift","",IF(G144="","",IF(Besatzung!$B$13="","",IFERROR(IF(I144="Zeitanteilig",(Besatzung!$G$15*(G144-IFERROR(H144,0))+((Besatzung!$B$13&lt;&gt;"")*IF(B144="",1,(IF(Besatzung!$C$15="",Besatzung!$B$5,Besatzung!$C$15)&lt;=B144)*(IF(Besatzung!$D$15="",Besatzung!$B$6,Besatzung!$D$15)&gt;=B144)))*(Besatzung!$F$15="x")*IFERROR(H144,0)/IFERROR(SUMPRODUCT((Besatzung!$B$11:$B$22&lt;&gt;"")*(Besatzung!$F$11:$F$22="x")*(IF(Besatzung!$C$11:$C$22="",Besatzung!$B$5,Besatzung!$C$11:$C$22)&lt;=B144)*(IF(Besatzung!$D$11:$D$22="",Besatzung!$B$6,Besatzung!$D$11:$D$22)&gt;=B144)),1)),IF(I144="An Bord",(((Besatzung!$B$13&lt;&gt;"")*IF(B144="",1,(IF(Besatzung!$C$15="",Besatzung!$B$5,Besatzung!$C$15)&lt;=B144)*(IF(Besatzung!$D$15="",Besatzung!$B$6,Besatzung!$D$15)&gt;=B144)))*((G144-IFERROR(H144,0))/IFERROR(SUMPRODUCT((Besatzung!$B$11:$B$22&lt;&gt;"")*(IF(Besatzung!$C$11:$C$22="",Besatzung!$B$5,Besatzung!$C$11:$C$22)&lt;=B144)*(IF(Besatzung!$D$11:$D$22="",Besatzung!$B$6,Besatzung!$D$11:$D$22)&gt;=B144)),1)+(Besatzung!$F$15="x")*IFERROR(H144,0)/IFERROR(SUMPRODUCT((Besatzung!$B$11:$B$22&lt;&gt;"")*(Besatzung!$F$11:$F$22="x")*(IF(Besatzung!$C$11:$C$22="",Besatzung!$B$5,Besatzung!$C$11:$C$22)&lt;=B144)*(IF(Besatzung!$D$11:$D$22="",Besatzung!$B$6,Besatzung!$D$11:$D$22)&gt;=B144)),1))),IF(I144="Individuell",((N144="x")*((G144-IFERROR(H144,0))/IFERROR(COUNTIF(J144:U144,"x"),1)+(Besatzung!$F$15="x")*IFERROR(H144,0)/IFERROR(SUMPRODUCT((J144:U144="x")*(Besatzung!$F$11:$F$22="x")),1))),(IF(COUNTIF(J144:U144,"x")=0,IF(Besatzung!$B$13&lt;&gt;"",1,0),(N144="x"))*(G144-IFERROR(H144,0))/IFERROR(IF(COUNTIF(J144:U144,"x")=0,COUNTA(Besatzung!$B$11:$B$22),COUNTIF(J144:U144,"x")),1)+IF(COUNTIF(J144:U144,"x")=0,(Besatzung!$F$15="x"),(N144="x")*(Besatzung!$F$15="x"))*IFERROR(H144,0)/IFERROR(IF(COUNTIF(J144:U144,"x")=0,SUMPRODUCT((Besatzung!$B$11:$B$22&lt;&gt;"")*(Besatzung!$F$11:$F$22="x")),SUMPRODUCT((J144:U144="x")*(Besatzung!$F$11:$F$22="x"))),1))))),0))))</f>
        <v/>
      </c>
      <c r="AA144" s="247">
        <f>IF(C144="Gutschrift","",IF(G144="","",IF(Besatzung!$B$15="","",IFERROR(IF(I144="Zeitanteilig",(Besatzung!$G$16*(G144-IFERROR(H144,0))+((Besatzung!$B$15&lt;&gt;"")*IF(B144="",1,(IF(Besatzung!$C$16="",Besatzung!$B$5,Besatzung!$C$16)&lt;=B144)*(IF(Besatzung!$D$16="",Besatzung!$B$6,Besatzung!$D$16)&gt;=B144)))*(Besatzung!$F$16="x")*IFERROR(H144,0)/IFERROR(SUMPRODUCT((Besatzung!$B$11:$B$22&lt;&gt;"")*(Besatzung!$F$11:$F$22="x")*(IF(Besatzung!$C$11:$C$22="",Besatzung!$B$5,Besatzung!$C$11:$C$22)&lt;=B144)*(IF(Besatzung!$D$11:$D$22="",Besatzung!$B$6,Besatzung!$D$11:$D$22)&gt;=B144)),1)),IF(I144="An Bord",(((Besatzung!$B$15&lt;&gt;"")*IF(B144="",1,(IF(Besatzung!$C$16="",Besatzung!$B$5,Besatzung!$C$16)&lt;=B144)*(IF(Besatzung!$D$16="",Besatzung!$B$6,Besatzung!$D$16)&gt;=B144)))*((G144-IFERROR(H144,0))/IFERROR(SUMPRODUCT((Besatzung!$B$11:$B$22&lt;&gt;"")*(IF(Besatzung!$C$11:$C$22="",Besatzung!$B$5,Besatzung!$C$11:$C$22)&lt;=B144)*(IF(Besatzung!$D$11:$D$22="",Besatzung!$B$6,Besatzung!$D$11:$D$22)&gt;=B144)),1)+(Besatzung!$F$16="x")*IFERROR(H144,0)/IFERROR(SUMPRODUCT((Besatzung!$B$11:$B$22&lt;&gt;"")*(Besatzung!$F$11:$F$22="x")*(IF(Besatzung!$C$11:$C$22="",Besatzung!$B$5,Besatzung!$C$11:$C$22)&lt;=B144)*(IF(Besatzung!$D$11:$D$22="",Besatzung!$B$6,Besatzung!$D$11:$D$22)&gt;=B144)),1))),IF(I144="Individuell",((O144="x")*((G144-IFERROR(H144,0))/IFERROR(COUNTIF(J144:U144,"x"),1)+(Besatzung!$F$16="x")*IFERROR(H144,0)/IFERROR(SUMPRODUCT((J144:U144="x")*(Besatzung!$F$11:$F$22="x")),1))),(IF(COUNTIF(J144:U144,"x")=0,IF(Besatzung!$B$15&lt;&gt;"",1,0),(O144="x"))*(G144-IFERROR(H144,0))/IFERROR(IF(COUNTIF(J144:U144,"x")=0,COUNTA(Besatzung!$B$11:$B$22),COUNTIF(J144:U144,"x")),1)+IF(COUNTIF(J144:U144,"x")=0,(Besatzung!$F$16="x"),(O144="x")*(Besatzung!$F$16="x"))*IFERROR(H144,0)/IFERROR(IF(COUNTIF(J144:U144,"x")=0,SUMPRODUCT((Besatzung!$B$11:$B$22&lt;&gt;"")*(Besatzung!$F$11:$F$22="x")),SUMPRODUCT((J144:U144="x")*(Besatzung!$F$11:$F$22="x"))),1))))),0))))</f>
        <v/>
      </c>
      <c r="AB144" s="247">
        <f>IF(C144="Gutschrift","",IF(G144="","",IF(Besatzung!$B$17="","",IFERROR(IF(I144="Zeitanteilig",(Besatzung!$G$17*(G144-IFERROR(H144,0))+((Besatzung!$B$17&lt;&gt;"")*IF(B144="",1,(IF(Besatzung!$C$17="",Besatzung!$B$5,Besatzung!$C$17)&lt;=B144)*(IF(Besatzung!$D$17="",Besatzung!$B$6,Besatzung!$D$17)&gt;=B144)))*(Besatzung!$F$17="x")*IFERROR(H144,0)/IFERROR(SUMPRODUCT((Besatzung!$B$11:$B$22&lt;&gt;"")*(Besatzung!$F$11:$F$22="x")*(IF(Besatzung!$C$11:$C$22="",Besatzung!$B$5,Besatzung!$C$11:$C$22)&lt;=B144)*(IF(Besatzung!$D$11:$D$22="",Besatzung!$B$6,Besatzung!$D$11:$D$22)&gt;=B144)),1)),IF(I144="An Bord",(((Besatzung!$B$17&lt;&gt;"")*IF(B144="",1,(IF(Besatzung!$C$17="",Besatzung!$B$5,Besatzung!$C$17)&lt;=B144)*(IF(Besatzung!$D$17="",Besatzung!$B$6,Besatzung!$D$17)&gt;=B144)))*((G144-IFERROR(H144,0))/IFERROR(SUMPRODUCT((Besatzung!$B$11:$B$22&lt;&gt;"")*(IF(Besatzung!$C$11:$C$22="",Besatzung!$B$5,Besatzung!$C$11:$C$22)&lt;=B144)*(IF(Besatzung!$D$11:$D$22="",Besatzung!$B$6,Besatzung!$D$11:$D$22)&gt;=B144)),1)+(Besatzung!$F$17="x")*IFERROR(H144,0)/IFERROR(SUMPRODUCT((Besatzung!$B$11:$B$22&lt;&gt;"")*(Besatzung!$F$11:$F$22="x")*(IF(Besatzung!$C$11:$C$22="",Besatzung!$B$5,Besatzung!$C$11:$C$22)&lt;=B144)*(IF(Besatzung!$D$11:$D$22="",Besatzung!$B$6,Besatzung!$D$11:$D$22)&gt;=B144)),1))),IF(I144="Individuell",((P144="x")*((G144-IFERROR(H144,0))/IFERROR(COUNTIF(J144:U144,"x"),1)+(Besatzung!$F$17="x")*IFERROR(H144,0)/IFERROR(SUMPRODUCT((J144:U144="x")*(Besatzung!$F$11:$F$22="x")),1))),(IF(COUNTIF(J144:U144,"x")=0,IF(Besatzung!$B$17&lt;&gt;"",1,0),(P144="x"))*(G144-IFERROR(H144,0))/IFERROR(IF(COUNTIF(J144:U144,"x")=0,COUNTA(Besatzung!$B$11:$B$22),COUNTIF(J144:U144,"x")),1)+IF(COUNTIF(J144:U144,"x")=0,(Besatzung!$F$17="x"),(P144="x")*(Besatzung!$F$17="x"))*IFERROR(H144,0)/IFERROR(IF(COUNTIF(J144:U144,"x")=0,SUMPRODUCT((Besatzung!$B$11:$B$22&lt;&gt;"")*(Besatzung!$F$11:$F$22="x")),SUMPRODUCT((J144:U144="x")*(Besatzung!$F$11:$F$22="x"))),1))))),0))))</f>
        <v/>
      </c>
      <c r="AC144" s="247">
        <f>IF(C144="Gutschrift","",IF(G144="","",IF(Besatzung!$B$18="","",IFERROR(IF(I144="Zeitanteilig",(Besatzung!$G$18*(G144-IFERROR(H144,0))+((Besatzung!$B$18&lt;&gt;"")*IF(B144="",1,(IF(Besatzung!$C$18="",Besatzung!$B$5,Besatzung!$C$18)&lt;=B144)*(IF(Besatzung!$D$18="",Besatzung!$B$6,Besatzung!$D$18)&gt;=B144)))*(Besatzung!$F$18="x")*IFERROR(H144,0)/IFERROR(SUMPRODUCT((Besatzung!$B$11:$B$22&lt;&gt;"")*(Besatzung!$F$11:$F$22="x")*(IF(Besatzung!$C$11:$C$22="",Besatzung!$B$5,Besatzung!$C$11:$C$22)&lt;=B144)*(IF(Besatzung!$D$11:$D$22="",Besatzung!$B$6,Besatzung!$D$11:$D$22)&gt;=B144)),1)),IF(I144="An Bord",(((Besatzung!$B$18&lt;&gt;"")*IF(B144="",1,(IF(Besatzung!$C$18="",Besatzung!$B$5,Besatzung!$C$18)&lt;=B144)*(IF(Besatzung!$D$18="",Besatzung!$B$6,Besatzung!$D$18)&gt;=B144)))*((G144-IFERROR(H144,0))/IFERROR(SUMPRODUCT((Besatzung!$B$11:$B$22&lt;&gt;"")*(IF(Besatzung!$C$11:$C$22="",Besatzung!$B$5,Besatzung!$C$11:$C$22)&lt;=B144)*(IF(Besatzung!$D$11:$D$22="",Besatzung!$B$6,Besatzung!$D$11:$D$22)&gt;=B144)),1)+(Besatzung!$F$18="x")*IFERROR(H144,0)/IFERROR(SUMPRODUCT((Besatzung!$B$11:$B$22&lt;&gt;"")*(Besatzung!$F$11:$F$22="x")*(IF(Besatzung!$C$11:$C$22="",Besatzung!$B$5,Besatzung!$C$11:$C$22)&lt;=B144)*(IF(Besatzung!$D$11:$D$22="",Besatzung!$B$6,Besatzung!$D$11:$D$22)&gt;=B144)),1))),IF(I144="Individuell",((Q144="x")*((G144-IFERROR(H144,0))/IFERROR(COUNTIF(J144:U144,"x"),1)+(Besatzung!$F$18="x")*IFERROR(H144,0)/IFERROR(SUMPRODUCT((J144:U144="x")*(Besatzung!$F$11:$F$22="x")),1))),(IF(COUNTIF(J144:U144,"x")=0,IF(Besatzung!$B$18&lt;&gt;"",1,0),(Q144="x"))*(G144-IFERROR(H144,0))/IFERROR(IF(COUNTIF(J144:U144,"x")=0,COUNTA(Besatzung!$B$11:$B$22),COUNTIF(J144:U144,"x")),1)+IF(COUNTIF(J144:U144,"x")=0,(Besatzung!$F$18="x"),(Q144="x")*(Besatzung!$F$18="x"))*IFERROR(H144,0)/IFERROR(IF(COUNTIF(J144:U144,"x")=0,SUMPRODUCT((Besatzung!$B$11:$B$22&lt;&gt;"")*(Besatzung!$F$11:$F$22="x")),SUMPRODUCT((J144:U144="x")*(Besatzung!$F$11:$F$22="x"))),1))))),0))))</f>
        <v/>
      </c>
      <c r="AD144" s="247">
        <f>IF(C144="Gutschrift","",IF(G144="","",IF(Besatzung!$B$19="","",IFERROR(IF(I144="Zeitanteilig",(Besatzung!$G$19*(G144-IFERROR(H144,0))+((Besatzung!$B$19&lt;&gt;"")*IF(B144="",1,(IF(Besatzung!$C$19="",Besatzung!$B$5,Besatzung!$C$19)&lt;=B144)*(IF(Besatzung!$D$19="",Besatzung!$B$6,Besatzung!$D$19)&gt;=B144)))*(Besatzung!$F$19="x")*IFERROR(H144,0)/IFERROR(SUMPRODUCT((Besatzung!$B$11:$B$22&lt;&gt;"")*(Besatzung!$F$11:$F$22="x")*(IF(Besatzung!$C$11:$C$22="",Besatzung!$B$5,Besatzung!$C$11:$C$22)&lt;=B144)*(IF(Besatzung!$D$11:$D$22="",Besatzung!$B$6,Besatzung!$D$11:$D$22)&gt;=B144)),1)),IF(I144="An Bord",(((Besatzung!$B$19&lt;&gt;"")*IF(B144="",1,(IF(Besatzung!$C$19="",Besatzung!$B$5,Besatzung!$C$19)&lt;=B144)*(IF(Besatzung!$D$19="",Besatzung!$B$6,Besatzung!$D$19)&gt;=B144)))*((G144-IFERROR(H144,0))/IFERROR(SUMPRODUCT((Besatzung!$B$11:$B$22&lt;&gt;"")*(IF(Besatzung!$C$11:$C$22="",Besatzung!$B$5,Besatzung!$C$11:$C$22)&lt;=B144)*(IF(Besatzung!$D$11:$D$22="",Besatzung!$B$6,Besatzung!$D$11:$D$22)&gt;=B144)),1)+(Besatzung!$F$19="x")*IFERROR(H144,0)/IFERROR(SUMPRODUCT((Besatzung!$B$11:$B$22&lt;&gt;"")*(Besatzung!$F$11:$F$22="x")*(IF(Besatzung!$C$11:$C$22="",Besatzung!$B$5,Besatzung!$C$11:$C$22)&lt;=B144)*(IF(Besatzung!$D$11:$D$22="",Besatzung!$B$6,Besatzung!$D$11:$D$22)&gt;=B144)),1))),IF(I144="Individuell",((R144="x")*((G144-IFERROR(H144,0))/IFERROR(COUNTIF(J144:U144,"x"),1)+(Besatzung!$F$19="x")*IFERROR(H144,0)/IFERROR(SUMPRODUCT((J144:U144="x")*(Besatzung!$F$11:$F$22="x")),1))),(IF(COUNTIF(J144:U144,"x")=0,IF(Besatzung!$B$19&lt;&gt;"",1,0),(R144="x"))*(G144-IFERROR(H144,0))/IFERROR(IF(COUNTIF(J144:U144,"x")=0,COUNTA(Besatzung!$B$11:$B$22),COUNTIF(J144:U144,"x")),1)+IF(COUNTIF(J144:U144,"x")=0,(Besatzung!$F$19="x"),(R144="x")*(Besatzung!$F$19="x"))*IFERROR(H144,0)/IFERROR(IF(COUNTIF(J144:U144,"x")=0,SUMPRODUCT((Besatzung!$B$11:$B$22&lt;&gt;"")*(Besatzung!$F$11:$F$22="x")),SUMPRODUCT((J144:U144="x")*(Besatzung!$F$11:$F$22="x"))),1))))),0))))</f>
        <v/>
      </c>
      <c r="AE144" s="247">
        <f>IF(C144="Gutschrift","",IF(G144="","",IF(Besatzung!$B$20="","",IFERROR(IF(I144="Zeitanteilig",(Besatzung!$G$20*(G144-IFERROR(H144,0))+((Besatzung!$B$20&lt;&gt;"")*IF(B144="",1,(IF(Besatzung!$C$20="",Besatzung!$B$5,Besatzung!$C$20)&lt;=B144)*(IF(Besatzung!$D$20="",Besatzung!$B$6,Besatzung!$D$20)&gt;=B144)))*(Besatzung!$F$20="x")*IFERROR(H144,0)/IFERROR(SUMPRODUCT((Besatzung!$B$11:$B$22&lt;&gt;"")*(Besatzung!$F$11:$F$22="x")*(IF(Besatzung!$C$11:$C$22="",Besatzung!$B$5,Besatzung!$C$11:$C$22)&lt;=B144)*(IF(Besatzung!$D$11:$D$22="",Besatzung!$B$6,Besatzung!$D$11:$D$22)&gt;=B144)),1)),IF(I144="An Bord",(((Besatzung!$B$20&lt;&gt;"")*IF(B144="",1,(IF(Besatzung!$C$20="",Besatzung!$B$5,Besatzung!$C$20)&lt;=B144)*(IF(Besatzung!$D$20="",Besatzung!$B$6,Besatzung!$D$20)&gt;=B144)))*((G144-IFERROR(H144,0))/IFERROR(SUMPRODUCT((Besatzung!$B$11:$B$22&lt;&gt;"")*(IF(Besatzung!$C$11:$C$22="",Besatzung!$B$5,Besatzung!$C$11:$C$22)&lt;=B144)*(IF(Besatzung!$D$11:$D$22="",Besatzung!$B$6,Besatzung!$D$11:$D$22)&gt;=B144)),1)+(Besatzung!$F$20="x")*IFERROR(H144,0)/IFERROR(SUMPRODUCT((Besatzung!$B$11:$B$22&lt;&gt;"")*(Besatzung!$F$11:$F$22="x")*(IF(Besatzung!$C$11:$C$22="",Besatzung!$B$5,Besatzung!$C$11:$C$22)&lt;=B144)*(IF(Besatzung!$D$11:$D$22="",Besatzung!$B$6,Besatzung!$D$11:$D$22)&gt;=B144)),1))),IF(I144="Individuell",((S144="x")*((G144-IFERROR(H144,0))/IFERROR(COUNTIF(J144:U144,"x"),1)+(Besatzung!$F$20="x")*IFERROR(H144,0)/IFERROR(SUMPRODUCT((J144:U144="x")*(Besatzung!$F$11:$F$22="x")),1))),(IF(COUNTIF(J144:U144,"x")=0,IF(Besatzung!$B$20&lt;&gt;"",1,0),(S144="x"))*(G144-IFERROR(H144,0))/IFERROR(IF(COUNTIF(J144:U144,"x")=0,COUNTA(Besatzung!$B$11:$B$22),COUNTIF(J144:U144,"x")),1)+IF(COUNTIF(J144:U144,"x")=0,(Besatzung!$F$20="x"),(S144="x")*(Besatzung!$F$20="x"))*IFERROR(H144,0)/IFERROR(IF(COUNTIF(J144:U144,"x")=0,SUMPRODUCT((Besatzung!$B$11:$B$22&lt;&gt;"")*(Besatzung!$F$11:$F$22="x")),SUMPRODUCT((J144:U144="x")*(Besatzung!$F$11:$F$22="x"))),1))))),0))))</f>
        <v/>
      </c>
      <c r="AF144" s="247">
        <f>IF(C144="Gutschrift","",IF(G144="","",IF(Besatzung!$B$21="","",IFERROR(IF(I144="Zeitanteilig",(Besatzung!$G$21*(G144-IFERROR(H144,0))+((Besatzung!$B$21&lt;&gt;"")*IF(B144="",1,(IF(Besatzung!$C$21="",Besatzung!$B$5,Besatzung!$C$21)&lt;=B144)*(IF(Besatzung!$D$21="",Besatzung!$B$6,Besatzung!$D$21)&gt;=B144)))*(Besatzung!$F$21="x")*IFERROR(H144,0)/IFERROR(SUMPRODUCT((Besatzung!$B$11:$B$22&lt;&gt;"")*(Besatzung!$F$11:$F$22="x")*(IF(Besatzung!$C$11:$C$22="",Besatzung!$B$5,Besatzung!$C$11:$C$22)&lt;=B144)*(IF(Besatzung!$D$11:$D$22="",Besatzung!$B$6,Besatzung!$D$11:$D$22)&gt;=B144)),1)),IF(I144="An Bord",(((Besatzung!$B$21&lt;&gt;"")*IF(B144="",1,(IF(Besatzung!$C$21="",Besatzung!$B$5,Besatzung!$C$21)&lt;=B144)*(IF(Besatzung!$D$21="",Besatzung!$B$6,Besatzung!$D$21)&gt;=B144)))*((G144-IFERROR(H144,0))/IFERROR(SUMPRODUCT((Besatzung!$B$11:$B$22&lt;&gt;"")*(IF(Besatzung!$C$11:$C$22="",Besatzung!$B$5,Besatzung!$C$11:$C$22)&lt;=B144)*(IF(Besatzung!$D$11:$D$22="",Besatzung!$B$6,Besatzung!$D$11:$D$22)&gt;=B144)),1)+(Besatzung!$F$21="x")*IFERROR(H144,0)/IFERROR(SUMPRODUCT((Besatzung!$B$11:$B$22&lt;&gt;"")*(Besatzung!$F$11:$F$22="x")*(IF(Besatzung!$C$11:$C$22="",Besatzung!$B$5,Besatzung!$C$11:$C$22)&lt;=B144)*(IF(Besatzung!$D$11:$D$22="",Besatzung!$B$6,Besatzung!$D$11:$D$22)&gt;=B144)),1))),IF(I144="Individuell",((T144="x")*((G144-IFERROR(H144,0))/IFERROR(COUNTIF(J144:U144,"x"),1)+(Besatzung!$F$21="x")*IFERROR(H144,0)/IFERROR(SUMPRODUCT((J144:U144="x")*(Besatzung!$F$11:$F$22="x")),1))),(IF(COUNTIF(J144:U144,"x")=0,IF(Besatzung!$B$21&lt;&gt;"",1,0),(T144="x"))*(G144-IFERROR(H144,0))/IFERROR(IF(COUNTIF(J144:U144,"x")=0,COUNTA(Besatzung!$B$11:$B$22),COUNTIF(J144:U144,"x")),1)+IF(COUNTIF(J144:U144,"x")=0,(Besatzung!$F$21="x"),(T144="x")*(Besatzung!$F$21="x"))*IFERROR(H144,0)/IFERROR(IF(COUNTIF(J144:U144,"x")=0,SUMPRODUCT((Besatzung!$B$11:$B$22&lt;&gt;"")*(Besatzung!$F$11:$F$22="x")),SUMPRODUCT((J144:U144="x")*(Besatzung!$F$11:$F$22="x"))),1))))),0))))</f>
        <v/>
      </c>
      <c r="AG144" s="247">
        <f>IF(C144="Gutschrift","",IF(G144="","",IF(Besatzung!$B$22="","",IFERROR(IF(I144="Zeitanteilig",(Besatzung!$G$22*(G144-IFERROR(H144,0))+((Besatzung!$B$22&lt;&gt;"")*IF(B144="",1,(IF(Besatzung!$C$22="",Besatzung!$B$5,Besatzung!$C$22)&lt;=B144)*(IF(Besatzung!$D$22="",Besatzung!$B$6,Besatzung!$D$22)&gt;=B144)))*(Besatzung!$F$22="x")*IFERROR(H144,0)/IFERROR(SUMPRODUCT((Besatzung!$B$11:$B$22&lt;&gt;"")*(Besatzung!$F$11:$F$22="x")*(IF(Besatzung!$C$11:$C$22="",Besatzung!$B$5,Besatzung!$C$11:$C$22)&lt;=B144)*(IF(Besatzung!$D$11:$D$22="",Besatzung!$B$6,Besatzung!$D$11:$D$22)&gt;=B144)),1)),IF(I144="An Bord",(((Besatzung!$B$22&lt;&gt;"")*IF(B144="",1,(IF(Besatzung!$C$22="",Besatzung!$B$5,Besatzung!$C$22)&lt;=B144)*(IF(Besatzung!$D$22="",Besatzung!$B$6,Besatzung!$D$22)&gt;=B144)))*((G144-IFERROR(H144,0))/IFERROR(SUMPRODUCT((Besatzung!$B$11:$B$22&lt;&gt;"")*(IF(Besatzung!$C$11:$C$22="",Besatzung!$B$5,Besatzung!$C$11:$C$22)&lt;=B144)*(IF(Besatzung!$D$11:$D$22="",Besatzung!$B$6,Besatzung!$D$11:$D$22)&gt;=B144)),1)+(Besatzung!$F$22="x")*IFERROR(H144,0)/IFERROR(SUMPRODUCT((Besatzung!$B$11:$B$22&lt;&gt;"")*(Besatzung!$F$11:$F$22="x")*(IF(Besatzung!$C$11:$C$22="",Besatzung!$B$5,Besatzung!$C$11:$C$22)&lt;=B144)*(IF(Besatzung!$D$11:$D$22="",Besatzung!$B$6,Besatzung!$D$11:$D$22)&gt;=B144)),1))),IF(I144="Individuell",((U144="x")*((G144-IFERROR(H144,0))/IFERROR(COUNTIF(J144:U144,"x"),1)+(Besatzung!$F$22="x")*IFERROR(H144,0)/IFERROR(SUMPRODUCT((J144:U144="x")*(Besatzung!$F$11:$F$22="x")),1))),(IF(COUNTIF(J144:U144,"x")=0,IF(Besatzung!$B$22&lt;&gt;"",1,0),(U144="x"))*(G144-IFERROR(H144,0))/IFERROR(IF(COUNTIF(J144:U144,"x")=0,COUNTA(Besatzung!$B$11:$B$22),COUNTIF(J144:U144,"x")),1)+IF(COUNTIF(J144:U144,"x")=0,(Besatzung!$F$22="x"),(U144="x")*(Besatzung!$F$22="x"))*IFERROR(H144,0)/IFERROR(IF(COUNTIF(J144:U144,"x")=0,SUMPRODUCT((Besatzung!$B$11:$B$22&lt;&gt;"")*(Besatzung!$F$11:$F$22="x")),SUMPRODUCT((J144:U144="x")*(Besatzung!$F$11:$F$22="x"))),1))))),0))))</f>
        <v/>
      </c>
      <c r="AH144" s="248" t="n"/>
      <c r="AI144" s="248" t="n"/>
    </row>
    <row r="145" ht="21.75" customHeight="1" s="154">
      <c r="A145" s="238">
        <f>IF(AND(D145="",C145=""),"",142)</f>
        <v/>
      </c>
      <c r="B145" s="206" t="n"/>
      <c r="C145" s="249" t="n"/>
      <c r="D145" s="250" t="n"/>
      <c r="E145" s="251" t="n"/>
      <c r="F145" s="252" t="n"/>
      <c r="G145" s="253" t="n"/>
      <c r="H145" s="254" t="n"/>
      <c r="I145" s="255" t="n"/>
      <c r="J145" s="256" t="n"/>
      <c r="K145" s="256" t="n"/>
      <c r="L145" s="256" t="n"/>
      <c r="M145" s="256" t="n"/>
      <c r="N145" s="256" t="n"/>
      <c r="O145" s="256" t="n"/>
      <c r="P145" s="256" t="n"/>
      <c r="Q145" s="256" t="n"/>
      <c r="R145" s="256" t="n"/>
      <c r="S145" s="256" t="n"/>
      <c r="T145" s="256" t="n"/>
      <c r="U145" s="256" t="n"/>
      <c r="V145" s="247">
        <f>IF(C145="Gutschrift","",IF(G145="","",IF(Besatzung!$B$11="","",IFERROR(IF(I145="Zeitanteilig",(Besatzung!$G$11*(G145-IFERROR(H145,0))+((Besatzung!$B$11&lt;&gt;"")*IF(B145="",1,(IF(Besatzung!$C$11="",Besatzung!$B$5,Besatzung!$C$11)&lt;=B145)*(IF(Besatzung!$D$11="",Besatzung!$B$6,Besatzung!$D$11)&gt;=B145)))*(Besatzung!$F$11="x")*IFERROR(H145,0)/IFERROR(SUMPRODUCT((Besatzung!$B$11:$B$22&lt;&gt;"")*(Besatzung!$F$11:$F$22="x")*(IF(Besatzung!$C$11:$C$22="",Besatzung!$B$5,Besatzung!$C$11:$C$22)&lt;=B145)*(IF(Besatzung!$D$11:$D$22="",Besatzung!$B$6,Besatzung!$D$11:$D$22)&gt;=B145)),1)),IF(I145="An Bord",(((Besatzung!$B$11&lt;&gt;"")*IF(B145="",1,(IF(Besatzung!$C$11="",Besatzung!$B$5,Besatzung!$C$11)&lt;=B145)*(IF(Besatzung!$D$11="",Besatzung!$B$6,Besatzung!$D$11)&gt;=B145)))*((G145-IFERROR(H145,0))/IFERROR(SUMPRODUCT((Besatzung!$B$11:$B$22&lt;&gt;"")*(IF(Besatzung!$C$11:$C$22="",Besatzung!$B$5,Besatzung!$C$11:$C$22)&lt;=B145)*(IF(Besatzung!$D$11:$D$22="",Besatzung!$B$6,Besatzung!$D$11:$D$22)&gt;=B145)),1)+(Besatzung!$F$11="x")*IFERROR(H145,0)/IFERROR(SUMPRODUCT((Besatzung!$B$11:$B$22&lt;&gt;"")*(Besatzung!$F$11:$F$22="x")*(IF(Besatzung!$C$11:$C$22="",Besatzung!$B$5,Besatzung!$C$11:$C$22)&lt;=B145)*(IF(Besatzung!$D$11:$D$22="",Besatzung!$B$6,Besatzung!$D$11:$D$22)&gt;=B145)),1))),IF(I145="Individuell",((J145="x")*((G145-IFERROR(H145,0))/IFERROR(COUNTIF(J145:U145,"x"),1)+(Besatzung!$F$11="x")*IFERROR(H145,0)/IFERROR(SUMPRODUCT((J145:U145="x")*(Besatzung!$F$11:$F$22="x")),1))),(IF(COUNTIF(J145:U145,"x")=0,IF(Besatzung!$B$11&lt;&gt;"",1,0),(J145="x"))*(G145-IFERROR(H145,0))/IFERROR(IF(COUNTIF(J145:U145,"x")=0,COUNTA(Besatzung!$B$11:$B$22),COUNTIF(J145:U145,"x")),1)+IF(COUNTIF(J145:U145,"x")=0,(Besatzung!$F$11="x"),(J145="x")*(Besatzung!$F$11="x"))*IFERROR(H145,0)/IFERROR(IF(COUNTIF(J145:U145,"x")=0,SUMPRODUCT((Besatzung!$B$11:$B$22&lt;&gt;"")*(Besatzung!$F$11:$F$22="x")),SUMPRODUCT((J145:U145="x")*(Besatzung!$F$11:$F$22="x"))),1))))),0))))</f>
        <v/>
      </c>
      <c r="W145" s="247">
        <f>IF(C145="Gutschrift","",IF(G145="","",IF(Besatzung!$B$12="","",IFERROR(IF(I145="Zeitanteilig",(Besatzung!$G$12*(G145-IFERROR(H145,0))+((Besatzung!$B$12&lt;&gt;"")*IF(B145="",1,(IF(Besatzung!$C$12="",Besatzung!$B$5,Besatzung!$C$12)&lt;=B145)*(IF(Besatzung!$D$12="",Besatzung!$B$6,Besatzung!$D$12)&gt;=B145)))*(Besatzung!$F$12="x")*IFERROR(H145,0)/IFERROR(SUMPRODUCT((Besatzung!$B$11:$B$22&lt;&gt;"")*(Besatzung!$F$11:$F$22="x")*(IF(Besatzung!$C$11:$C$22="",Besatzung!$B$5,Besatzung!$C$11:$C$22)&lt;=B145)*(IF(Besatzung!$D$11:$D$22="",Besatzung!$B$6,Besatzung!$D$11:$D$22)&gt;=B145)),1)),IF(I145="An Bord",(((Besatzung!$B$12&lt;&gt;"")*IF(B145="",1,(IF(Besatzung!$C$12="",Besatzung!$B$5,Besatzung!$C$12)&lt;=B145)*(IF(Besatzung!$D$12="",Besatzung!$B$6,Besatzung!$D$12)&gt;=B145)))*((G145-IFERROR(H145,0))/IFERROR(SUMPRODUCT((Besatzung!$B$11:$B$22&lt;&gt;"")*(IF(Besatzung!$C$11:$C$22="",Besatzung!$B$5,Besatzung!$C$11:$C$22)&lt;=B145)*(IF(Besatzung!$D$11:$D$22="",Besatzung!$B$6,Besatzung!$D$11:$D$22)&gt;=B145)),1)+(Besatzung!$F$12="x")*IFERROR(H145,0)/IFERROR(SUMPRODUCT((Besatzung!$B$11:$B$22&lt;&gt;"")*(Besatzung!$F$11:$F$22="x")*(IF(Besatzung!$C$11:$C$22="",Besatzung!$B$5,Besatzung!$C$11:$C$22)&lt;=B145)*(IF(Besatzung!$D$11:$D$22="",Besatzung!$B$6,Besatzung!$D$11:$D$22)&gt;=B145)),1))),IF(I145="Individuell",((K145="x")*((G145-IFERROR(H145,0))/IFERROR(COUNTIF(J145:U145,"x"),1)+(Besatzung!$F$12="x")*IFERROR(H145,0)/IFERROR(SUMPRODUCT((J145:U145="x")*(Besatzung!$F$11:$F$22="x")),1))),(IF(COUNTIF(J145:U145,"x")=0,IF(Besatzung!$B$12&lt;&gt;"",1,0),(K145="x"))*(G145-IFERROR(H145,0))/IFERROR(IF(COUNTIF(J145:U145,"x")=0,COUNTA(Besatzung!$B$11:$B$22),COUNTIF(J145:U145,"x")),1)+IF(COUNTIF(J145:U145,"x")=0,(Besatzung!$F$12="x"),(K145="x")*(Besatzung!$F$12="x"))*IFERROR(H145,0)/IFERROR(IF(COUNTIF(J145:U145,"x")=0,SUMPRODUCT((Besatzung!$B$11:$B$22&lt;&gt;"")*(Besatzung!$F$11:$F$22="x")),SUMPRODUCT((J145:U145="x")*(Besatzung!$F$11:$F$22="x"))),1))))),0))))</f>
        <v/>
      </c>
      <c r="X145" s="247">
        <f>IF(C145="Gutschrift","",IF(G145="","",IF(Besatzung!$B$13="","",IFERROR(IF(I145="Zeitanteilig",(Besatzung!$G$13*(G145-IFERROR(H145,0))+((Besatzung!$B$13&lt;&gt;"")*IF(B145="",1,(IF(Besatzung!$C$13="",Besatzung!$B$5,Besatzung!$C$13)&lt;=B145)*(IF(Besatzung!$D$13="",Besatzung!$B$6,Besatzung!$D$13)&gt;=B145)))*(Besatzung!$F$13="x")*IFERROR(H145,0)/IFERROR(SUMPRODUCT((Besatzung!$B$11:$B$22&lt;&gt;"")*(Besatzung!$F$11:$F$22="x")*(IF(Besatzung!$C$11:$C$22="",Besatzung!$B$5,Besatzung!$C$11:$C$22)&lt;=B145)*(IF(Besatzung!$D$11:$D$22="",Besatzung!$B$6,Besatzung!$D$11:$D$22)&gt;=B145)),1)),IF(I145="An Bord",(((Besatzung!$B$13&lt;&gt;"")*IF(B145="",1,(IF(Besatzung!$C$13="",Besatzung!$B$5,Besatzung!$C$13)&lt;=B145)*(IF(Besatzung!$D$13="",Besatzung!$B$6,Besatzung!$D$13)&gt;=B145)))*((G145-IFERROR(H145,0))/IFERROR(SUMPRODUCT((Besatzung!$B$11:$B$22&lt;&gt;"")*(IF(Besatzung!$C$11:$C$22="",Besatzung!$B$5,Besatzung!$C$11:$C$22)&lt;=B145)*(IF(Besatzung!$D$11:$D$22="",Besatzung!$B$6,Besatzung!$D$11:$D$22)&gt;=B145)),1)+(Besatzung!$F$13="x")*IFERROR(H145,0)/IFERROR(SUMPRODUCT((Besatzung!$B$11:$B$22&lt;&gt;"")*(Besatzung!$F$11:$F$22="x")*(IF(Besatzung!$C$11:$C$22="",Besatzung!$B$5,Besatzung!$C$11:$C$22)&lt;=B145)*(IF(Besatzung!$D$11:$D$22="",Besatzung!$B$6,Besatzung!$D$11:$D$22)&gt;=B145)),1))),IF(I145="Individuell",((K145="x")*((G145-IFERROR(H145,0))/IFERROR(COUNTIF(J145:U145,"x"),1)+(Besatzung!$F$13="x")*IFERROR(H145,0)/IFERROR(SUMPRODUCT((J145:U145="x")*(Besatzung!$F$11:$F$22="x")),1))),(IF(COUNTIF(J145:U145,"x")=0,IF(Besatzung!$B$13&lt;&gt;"",1,0),(K145="x"))*(G145-IFERROR(H145,0))/IFERROR(IF(COUNTIF(J145:U145,"x")=0,COUNTA(Besatzung!$B$11:$B$22),COUNTIF(J145:U145,"x")),1)+IF(COUNTIF(J145:U145,"x")=0,(Besatzung!$F$13="x"),(K145="x")*(Besatzung!$F$13="x"))*IFERROR(H145,0)/IFERROR(IF(COUNTIF(J145:U145,"x")=0,SUMPRODUCT((Besatzung!$B$11:$B$22&lt;&gt;"")*(Besatzung!$F$11:$F$22="x")),SUMPRODUCT((J145:U145="x")*(Besatzung!$F$11:$F$22="x"))),1))))),0))))</f>
        <v/>
      </c>
      <c r="Y145" s="247">
        <f>IF(C145="Gutschrift","",IF(G145="","",IF(Besatzung!$B$14="","",IFERROR(IF(I145="Zeitanteilig",(Besatzung!$G$14*(G145-IFERROR(H145,0))+((Besatzung!$B$14&lt;&gt;"")*IF(B145="",1,(IF(Besatzung!$C$14="",Besatzung!$B$5,Besatzung!$C$14)&lt;=B145)*(IF(Besatzung!$D$14="",Besatzung!$B$6,Besatzung!$D$14)&gt;=B145)))*(Besatzung!$F$14="x")*IFERROR(H145,0)/IFERROR(SUMPRODUCT((Besatzung!$B$11:$B$22&lt;&gt;"")*(Besatzung!$F$11:$F$22="x")*(IF(Besatzung!$C$11:$C$22="",Besatzung!$B$5,Besatzung!$C$11:$C$22)&lt;=B145)*(IF(Besatzung!$D$11:$D$22="",Besatzung!$B$6,Besatzung!$D$11:$D$22)&gt;=B145)),1)),IF(I145="An Bord",(((Besatzung!$B$14&lt;&gt;"")*IF(B145="",1,(IF(Besatzung!$C$14="",Besatzung!$B$5,Besatzung!$C$14)&lt;=B145)*(IF(Besatzung!$D$14="",Besatzung!$B$6,Besatzung!$D$14)&gt;=B145)))*((G145-IFERROR(H145,0))/IFERROR(SUMPRODUCT((Besatzung!$B$11:$B$22&lt;&gt;"")*(IF(Besatzung!$C$11:$C$22="",Besatzung!$B$5,Besatzung!$C$11:$C$22)&lt;=B145)*(IF(Besatzung!$D$11:$D$22="",Besatzung!$B$6,Besatzung!$D$11:$D$22)&gt;=B145)),1)+(Besatzung!$F$14="x")*IFERROR(H145,0)/IFERROR(SUMPRODUCT((Besatzung!$B$11:$B$22&lt;&gt;"")*(Besatzung!$F$11:$F$22="x")*(IF(Besatzung!$C$11:$C$22="",Besatzung!$B$5,Besatzung!$C$11:$C$22)&lt;=B145)*(IF(Besatzung!$D$11:$D$22="",Besatzung!$B$6,Besatzung!$D$11:$D$22)&gt;=B145)),1))),IF(I145="Individuell",((M145="x")*((G145-IFERROR(H145,0))/IFERROR(COUNTIF(J145:U145,"x"),1)+(Besatzung!$F$14="x")*IFERROR(H145,0)/IFERROR(SUMPRODUCT((J145:U145="x")*(Besatzung!$F$11:$F$22="x")),1))),(IF(COUNTIF(J145:U145,"x")=0,IF(Besatzung!$B$14&lt;&gt;"",1,0),(M145="x"))*(G145-IFERROR(H145,0))/IFERROR(IF(COUNTIF(J145:U145,"x")=0,COUNTA(Besatzung!$B$11:$B$22),COUNTIF(J145:U145,"x")),1)+IF(COUNTIF(J145:U145,"x")=0,(Besatzung!$F$14="x"),(M145="x")*(Besatzung!$F$14="x"))*IFERROR(H145,0)/IFERROR(IF(COUNTIF(J145:U145,"x")=0,SUMPRODUCT((Besatzung!$B$11:$B$22&lt;&gt;"")*(Besatzung!$F$11:$F$22="x")),SUMPRODUCT((J145:U145="x")*(Besatzung!$F$11:$F$22="x"))),1))))),0))))</f>
        <v/>
      </c>
      <c r="Z145" s="247">
        <f>IF(C145="Gutschrift","",IF(G145="","",IF(Besatzung!$B$13="","",IFERROR(IF(I145="Zeitanteilig",(Besatzung!$G$15*(G145-IFERROR(H145,0))+((Besatzung!$B$13&lt;&gt;"")*IF(B145="",1,(IF(Besatzung!$C$15="",Besatzung!$B$5,Besatzung!$C$15)&lt;=B145)*(IF(Besatzung!$D$15="",Besatzung!$B$6,Besatzung!$D$15)&gt;=B145)))*(Besatzung!$F$15="x")*IFERROR(H145,0)/IFERROR(SUMPRODUCT((Besatzung!$B$11:$B$22&lt;&gt;"")*(Besatzung!$F$11:$F$22="x")*(IF(Besatzung!$C$11:$C$22="",Besatzung!$B$5,Besatzung!$C$11:$C$22)&lt;=B145)*(IF(Besatzung!$D$11:$D$22="",Besatzung!$B$6,Besatzung!$D$11:$D$22)&gt;=B145)),1)),IF(I145="An Bord",(((Besatzung!$B$13&lt;&gt;"")*IF(B145="",1,(IF(Besatzung!$C$15="",Besatzung!$B$5,Besatzung!$C$15)&lt;=B145)*(IF(Besatzung!$D$15="",Besatzung!$B$6,Besatzung!$D$15)&gt;=B145)))*((G145-IFERROR(H145,0))/IFERROR(SUMPRODUCT((Besatzung!$B$11:$B$22&lt;&gt;"")*(IF(Besatzung!$C$11:$C$22="",Besatzung!$B$5,Besatzung!$C$11:$C$22)&lt;=B145)*(IF(Besatzung!$D$11:$D$22="",Besatzung!$B$6,Besatzung!$D$11:$D$22)&gt;=B145)),1)+(Besatzung!$F$15="x")*IFERROR(H145,0)/IFERROR(SUMPRODUCT((Besatzung!$B$11:$B$22&lt;&gt;"")*(Besatzung!$F$11:$F$22="x")*(IF(Besatzung!$C$11:$C$22="",Besatzung!$B$5,Besatzung!$C$11:$C$22)&lt;=B145)*(IF(Besatzung!$D$11:$D$22="",Besatzung!$B$6,Besatzung!$D$11:$D$22)&gt;=B145)),1))),IF(I145="Individuell",((N145="x")*((G145-IFERROR(H145,0))/IFERROR(COUNTIF(J145:U145,"x"),1)+(Besatzung!$F$15="x")*IFERROR(H145,0)/IFERROR(SUMPRODUCT((J145:U145="x")*(Besatzung!$F$11:$F$22="x")),1))),(IF(COUNTIF(J145:U145,"x")=0,IF(Besatzung!$B$13&lt;&gt;"",1,0),(N145="x"))*(G145-IFERROR(H145,0))/IFERROR(IF(COUNTIF(J145:U145,"x")=0,COUNTA(Besatzung!$B$11:$B$22),COUNTIF(J145:U145,"x")),1)+IF(COUNTIF(J145:U145,"x")=0,(Besatzung!$F$15="x"),(N145="x")*(Besatzung!$F$15="x"))*IFERROR(H145,0)/IFERROR(IF(COUNTIF(J145:U145,"x")=0,SUMPRODUCT((Besatzung!$B$11:$B$22&lt;&gt;"")*(Besatzung!$F$11:$F$22="x")),SUMPRODUCT((J145:U145="x")*(Besatzung!$F$11:$F$22="x"))),1))))),0))))</f>
        <v/>
      </c>
      <c r="AA145" s="247">
        <f>IF(C145="Gutschrift","",IF(G145="","",IF(Besatzung!$B$15="","",IFERROR(IF(I145="Zeitanteilig",(Besatzung!$G$16*(G145-IFERROR(H145,0))+((Besatzung!$B$15&lt;&gt;"")*IF(B145="",1,(IF(Besatzung!$C$16="",Besatzung!$B$5,Besatzung!$C$16)&lt;=B145)*(IF(Besatzung!$D$16="",Besatzung!$B$6,Besatzung!$D$16)&gt;=B145)))*(Besatzung!$F$16="x")*IFERROR(H145,0)/IFERROR(SUMPRODUCT((Besatzung!$B$11:$B$22&lt;&gt;"")*(Besatzung!$F$11:$F$22="x")*(IF(Besatzung!$C$11:$C$22="",Besatzung!$B$5,Besatzung!$C$11:$C$22)&lt;=B145)*(IF(Besatzung!$D$11:$D$22="",Besatzung!$B$6,Besatzung!$D$11:$D$22)&gt;=B145)),1)),IF(I145="An Bord",(((Besatzung!$B$15&lt;&gt;"")*IF(B145="",1,(IF(Besatzung!$C$16="",Besatzung!$B$5,Besatzung!$C$16)&lt;=B145)*(IF(Besatzung!$D$16="",Besatzung!$B$6,Besatzung!$D$16)&gt;=B145)))*((G145-IFERROR(H145,0))/IFERROR(SUMPRODUCT((Besatzung!$B$11:$B$22&lt;&gt;"")*(IF(Besatzung!$C$11:$C$22="",Besatzung!$B$5,Besatzung!$C$11:$C$22)&lt;=B145)*(IF(Besatzung!$D$11:$D$22="",Besatzung!$B$6,Besatzung!$D$11:$D$22)&gt;=B145)),1)+(Besatzung!$F$16="x")*IFERROR(H145,0)/IFERROR(SUMPRODUCT((Besatzung!$B$11:$B$22&lt;&gt;"")*(Besatzung!$F$11:$F$22="x")*(IF(Besatzung!$C$11:$C$22="",Besatzung!$B$5,Besatzung!$C$11:$C$22)&lt;=B145)*(IF(Besatzung!$D$11:$D$22="",Besatzung!$B$6,Besatzung!$D$11:$D$22)&gt;=B145)),1))),IF(I145="Individuell",((O145="x")*((G145-IFERROR(H145,0))/IFERROR(COUNTIF(J145:U145,"x"),1)+(Besatzung!$F$16="x")*IFERROR(H145,0)/IFERROR(SUMPRODUCT((J145:U145="x")*(Besatzung!$F$11:$F$22="x")),1))),(IF(COUNTIF(J145:U145,"x")=0,IF(Besatzung!$B$15&lt;&gt;"",1,0),(O145="x"))*(G145-IFERROR(H145,0))/IFERROR(IF(COUNTIF(J145:U145,"x")=0,COUNTA(Besatzung!$B$11:$B$22),COUNTIF(J145:U145,"x")),1)+IF(COUNTIF(J145:U145,"x")=0,(Besatzung!$F$16="x"),(O145="x")*(Besatzung!$F$16="x"))*IFERROR(H145,0)/IFERROR(IF(COUNTIF(J145:U145,"x")=0,SUMPRODUCT((Besatzung!$B$11:$B$22&lt;&gt;"")*(Besatzung!$F$11:$F$22="x")),SUMPRODUCT((J145:U145="x")*(Besatzung!$F$11:$F$22="x"))),1))))),0))))</f>
        <v/>
      </c>
      <c r="AB145" s="247">
        <f>IF(C145="Gutschrift","",IF(G145="","",IF(Besatzung!$B$17="","",IFERROR(IF(I145="Zeitanteilig",(Besatzung!$G$17*(G145-IFERROR(H145,0))+((Besatzung!$B$17&lt;&gt;"")*IF(B145="",1,(IF(Besatzung!$C$17="",Besatzung!$B$5,Besatzung!$C$17)&lt;=B145)*(IF(Besatzung!$D$17="",Besatzung!$B$6,Besatzung!$D$17)&gt;=B145)))*(Besatzung!$F$17="x")*IFERROR(H145,0)/IFERROR(SUMPRODUCT((Besatzung!$B$11:$B$22&lt;&gt;"")*(Besatzung!$F$11:$F$22="x")*(IF(Besatzung!$C$11:$C$22="",Besatzung!$B$5,Besatzung!$C$11:$C$22)&lt;=B145)*(IF(Besatzung!$D$11:$D$22="",Besatzung!$B$6,Besatzung!$D$11:$D$22)&gt;=B145)),1)),IF(I145="An Bord",(((Besatzung!$B$17&lt;&gt;"")*IF(B145="",1,(IF(Besatzung!$C$17="",Besatzung!$B$5,Besatzung!$C$17)&lt;=B145)*(IF(Besatzung!$D$17="",Besatzung!$B$6,Besatzung!$D$17)&gt;=B145)))*((G145-IFERROR(H145,0))/IFERROR(SUMPRODUCT((Besatzung!$B$11:$B$22&lt;&gt;"")*(IF(Besatzung!$C$11:$C$22="",Besatzung!$B$5,Besatzung!$C$11:$C$22)&lt;=B145)*(IF(Besatzung!$D$11:$D$22="",Besatzung!$B$6,Besatzung!$D$11:$D$22)&gt;=B145)),1)+(Besatzung!$F$17="x")*IFERROR(H145,0)/IFERROR(SUMPRODUCT((Besatzung!$B$11:$B$22&lt;&gt;"")*(Besatzung!$F$11:$F$22="x")*(IF(Besatzung!$C$11:$C$22="",Besatzung!$B$5,Besatzung!$C$11:$C$22)&lt;=B145)*(IF(Besatzung!$D$11:$D$22="",Besatzung!$B$6,Besatzung!$D$11:$D$22)&gt;=B145)),1))),IF(I145="Individuell",((P145="x")*((G145-IFERROR(H145,0))/IFERROR(COUNTIF(J145:U145,"x"),1)+(Besatzung!$F$17="x")*IFERROR(H145,0)/IFERROR(SUMPRODUCT((J145:U145="x")*(Besatzung!$F$11:$F$22="x")),1))),(IF(COUNTIF(J145:U145,"x")=0,IF(Besatzung!$B$17&lt;&gt;"",1,0),(P145="x"))*(G145-IFERROR(H145,0))/IFERROR(IF(COUNTIF(J145:U145,"x")=0,COUNTA(Besatzung!$B$11:$B$22),COUNTIF(J145:U145,"x")),1)+IF(COUNTIF(J145:U145,"x")=0,(Besatzung!$F$17="x"),(P145="x")*(Besatzung!$F$17="x"))*IFERROR(H145,0)/IFERROR(IF(COUNTIF(J145:U145,"x")=0,SUMPRODUCT((Besatzung!$B$11:$B$22&lt;&gt;"")*(Besatzung!$F$11:$F$22="x")),SUMPRODUCT((J145:U145="x")*(Besatzung!$F$11:$F$22="x"))),1))))),0))))</f>
        <v/>
      </c>
      <c r="AC145" s="247">
        <f>IF(C145="Gutschrift","",IF(G145="","",IF(Besatzung!$B$18="","",IFERROR(IF(I145="Zeitanteilig",(Besatzung!$G$18*(G145-IFERROR(H145,0))+((Besatzung!$B$18&lt;&gt;"")*IF(B145="",1,(IF(Besatzung!$C$18="",Besatzung!$B$5,Besatzung!$C$18)&lt;=B145)*(IF(Besatzung!$D$18="",Besatzung!$B$6,Besatzung!$D$18)&gt;=B145)))*(Besatzung!$F$18="x")*IFERROR(H145,0)/IFERROR(SUMPRODUCT((Besatzung!$B$11:$B$22&lt;&gt;"")*(Besatzung!$F$11:$F$22="x")*(IF(Besatzung!$C$11:$C$22="",Besatzung!$B$5,Besatzung!$C$11:$C$22)&lt;=B145)*(IF(Besatzung!$D$11:$D$22="",Besatzung!$B$6,Besatzung!$D$11:$D$22)&gt;=B145)),1)),IF(I145="An Bord",(((Besatzung!$B$18&lt;&gt;"")*IF(B145="",1,(IF(Besatzung!$C$18="",Besatzung!$B$5,Besatzung!$C$18)&lt;=B145)*(IF(Besatzung!$D$18="",Besatzung!$B$6,Besatzung!$D$18)&gt;=B145)))*((G145-IFERROR(H145,0))/IFERROR(SUMPRODUCT((Besatzung!$B$11:$B$22&lt;&gt;"")*(IF(Besatzung!$C$11:$C$22="",Besatzung!$B$5,Besatzung!$C$11:$C$22)&lt;=B145)*(IF(Besatzung!$D$11:$D$22="",Besatzung!$B$6,Besatzung!$D$11:$D$22)&gt;=B145)),1)+(Besatzung!$F$18="x")*IFERROR(H145,0)/IFERROR(SUMPRODUCT((Besatzung!$B$11:$B$22&lt;&gt;"")*(Besatzung!$F$11:$F$22="x")*(IF(Besatzung!$C$11:$C$22="",Besatzung!$B$5,Besatzung!$C$11:$C$22)&lt;=B145)*(IF(Besatzung!$D$11:$D$22="",Besatzung!$B$6,Besatzung!$D$11:$D$22)&gt;=B145)),1))),IF(I145="Individuell",((Q145="x")*((G145-IFERROR(H145,0))/IFERROR(COUNTIF(J145:U145,"x"),1)+(Besatzung!$F$18="x")*IFERROR(H145,0)/IFERROR(SUMPRODUCT((J145:U145="x")*(Besatzung!$F$11:$F$22="x")),1))),(IF(COUNTIF(J145:U145,"x")=0,IF(Besatzung!$B$18&lt;&gt;"",1,0),(Q145="x"))*(G145-IFERROR(H145,0))/IFERROR(IF(COUNTIF(J145:U145,"x")=0,COUNTA(Besatzung!$B$11:$B$22),COUNTIF(J145:U145,"x")),1)+IF(COUNTIF(J145:U145,"x")=0,(Besatzung!$F$18="x"),(Q145="x")*(Besatzung!$F$18="x"))*IFERROR(H145,0)/IFERROR(IF(COUNTIF(J145:U145,"x")=0,SUMPRODUCT((Besatzung!$B$11:$B$22&lt;&gt;"")*(Besatzung!$F$11:$F$22="x")),SUMPRODUCT((J145:U145="x")*(Besatzung!$F$11:$F$22="x"))),1))))),0))))</f>
        <v/>
      </c>
      <c r="AD145" s="247">
        <f>IF(C145="Gutschrift","",IF(G145="","",IF(Besatzung!$B$19="","",IFERROR(IF(I145="Zeitanteilig",(Besatzung!$G$19*(G145-IFERROR(H145,0))+((Besatzung!$B$19&lt;&gt;"")*IF(B145="",1,(IF(Besatzung!$C$19="",Besatzung!$B$5,Besatzung!$C$19)&lt;=B145)*(IF(Besatzung!$D$19="",Besatzung!$B$6,Besatzung!$D$19)&gt;=B145)))*(Besatzung!$F$19="x")*IFERROR(H145,0)/IFERROR(SUMPRODUCT((Besatzung!$B$11:$B$22&lt;&gt;"")*(Besatzung!$F$11:$F$22="x")*(IF(Besatzung!$C$11:$C$22="",Besatzung!$B$5,Besatzung!$C$11:$C$22)&lt;=B145)*(IF(Besatzung!$D$11:$D$22="",Besatzung!$B$6,Besatzung!$D$11:$D$22)&gt;=B145)),1)),IF(I145="An Bord",(((Besatzung!$B$19&lt;&gt;"")*IF(B145="",1,(IF(Besatzung!$C$19="",Besatzung!$B$5,Besatzung!$C$19)&lt;=B145)*(IF(Besatzung!$D$19="",Besatzung!$B$6,Besatzung!$D$19)&gt;=B145)))*((G145-IFERROR(H145,0))/IFERROR(SUMPRODUCT((Besatzung!$B$11:$B$22&lt;&gt;"")*(IF(Besatzung!$C$11:$C$22="",Besatzung!$B$5,Besatzung!$C$11:$C$22)&lt;=B145)*(IF(Besatzung!$D$11:$D$22="",Besatzung!$B$6,Besatzung!$D$11:$D$22)&gt;=B145)),1)+(Besatzung!$F$19="x")*IFERROR(H145,0)/IFERROR(SUMPRODUCT((Besatzung!$B$11:$B$22&lt;&gt;"")*(Besatzung!$F$11:$F$22="x")*(IF(Besatzung!$C$11:$C$22="",Besatzung!$B$5,Besatzung!$C$11:$C$22)&lt;=B145)*(IF(Besatzung!$D$11:$D$22="",Besatzung!$B$6,Besatzung!$D$11:$D$22)&gt;=B145)),1))),IF(I145="Individuell",((R145="x")*((G145-IFERROR(H145,0))/IFERROR(COUNTIF(J145:U145,"x"),1)+(Besatzung!$F$19="x")*IFERROR(H145,0)/IFERROR(SUMPRODUCT((J145:U145="x")*(Besatzung!$F$11:$F$22="x")),1))),(IF(COUNTIF(J145:U145,"x")=0,IF(Besatzung!$B$19&lt;&gt;"",1,0),(R145="x"))*(G145-IFERROR(H145,0))/IFERROR(IF(COUNTIF(J145:U145,"x")=0,COUNTA(Besatzung!$B$11:$B$22),COUNTIF(J145:U145,"x")),1)+IF(COUNTIF(J145:U145,"x")=0,(Besatzung!$F$19="x"),(R145="x")*(Besatzung!$F$19="x"))*IFERROR(H145,0)/IFERROR(IF(COUNTIF(J145:U145,"x")=0,SUMPRODUCT((Besatzung!$B$11:$B$22&lt;&gt;"")*(Besatzung!$F$11:$F$22="x")),SUMPRODUCT((J145:U145="x")*(Besatzung!$F$11:$F$22="x"))),1))))),0))))</f>
        <v/>
      </c>
      <c r="AE145" s="247">
        <f>IF(C145="Gutschrift","",IF(G145="","",IF(Besatzung!$B$20="","",IFERROR(IF(I145="Zeitanteilig",(Besatzung!$G$20*(G145-IFERROR(H145,0))+((Besatzung!$B$20&lt;&gt;"")*IF(B145="",1,(IF(Besatzung!$C$20="",Besatzung!$B$5,Besatzung!$C$20)&lt;=B145)*(IF(Besatzung!$D$20="",Besatzung!$B$6,Besatzung!$D$20)&gt;=B145)))*(Besatzung!$F$20="x")*IFERROR(H145,0)/IFERROR(SUMPRODUCT((Besatzung!$B$11:$B$22&lt;&gt;"")*(Besatzung!$F$11:$F$22="x")*(IF(Besatzung!$C$11:$C$22="",Besatzung!$B$5,Besatzung!$C$11:$C$22)&lt;=B145)*(IF(Besatzung!$D$11:$D$22="",Besatzung!$B$6,Besatzung!$D$11:$D$22)&gt;=B145)),1)),IF(I145="An Bord",(((Besatzung!$B$20&lt;&gt;"")*IF(B145="",1,(IF(Besatzung!$C$20="",Besatzung!$B$5,Besatzung!$C$20)&lt;=B145)*(IF(Besatzung!$D$20="",Besatzung!$B$6,Besatzung!$D$20)&gt;=B145)))*((G145-IFERROR(H145,0))/IFERROR(SUMPRODUCT((Besatzung!$B$11:$B$22&lt;&gt;"")*(IF(Besatzung!$C$11:$C$22="",Besatzung!$B$5,Besatzung!$C$11:$C$22)&lt;=B145)*(IF(Besatzung!$D$11:$D$22="",Besatzung!$B$6,Besatzung!$D$11:$D$22)&gt;=B145)),1)+(Besatzung!$F$20="x")*IFERROR(H145,0)/IFERROR(SUMPRODUCT((Besatzung!$B$11:$B$22&lt;&gt;"")*(Besatzung!$F$11:$F$22="x")*(IF(Besatzung!$C$11:$C$22="",Besatzung!$B$5,Besatzung!$C$11:$C$22)&lt;=B145)*(IF(Besatzung!$D$11:$D$22="",Besatzung!$B$6,Besatzung!$D$11:$D$22)&gt;=B145)),1))),IF(I145="Individuell",((S145="x")*((G145-IFERROR(H145,0))/IFERROR(COUNTIF(J145:U145,"x"),1)+(Besatzung!$F$20="x")*IFERROR(H145,0)/IFERROR(SUMPRODUCT((J145:U145="x")*(Besatzung!$F$11:$F$22="x")),1))),(IF(COUNTIF(J145:U145,"x")=0,IF(Besatzung!$B$20&lt;&gt;"",1,0),(S145="x"))*(G145-IFERROR(H145,0))/IFERROR(IF(COUNTIF(J145:U145,"x")=0,COUNTA(Besatzung!$B$11:$B$22),COUNTIF(J145:U145,"x")),1)+IF(COUNTIF(J145:U145,"x")=0,(Besatzung!$F$20="x"),(S145="x")*(Besatzung!$F$20="x"))*IFERROR(H145,0)/IFERROR(IF(COUNTIF(J145:U145,"x")=0,SUMPRODUCT((Besatzung!$B$11:$B$22&lt;&gt;"")*(Besatzung!$F$11:$F$22="x")),SUMPRODUCT((J145:U145="x")*(Besatzung!$F$11:$F$22="x"))),1))))),0))))</f>
        <v/>
      </c>
      <c r="AF145" s="247">
        <f>IF(C145="Gutschrift","",IF(G145="","",IF(Besatzung!$B$21="","",IFERROR(IF(I145="Zeitanteilig",(Besatzung!$G$21*(G145-IFERROR(H145,0))+((Besatzung!$B$21&lt;&gt;"")*IF(B145="",1,(IF(Besatzung!$C$21="",Besatzung!$B$5,Besatzung!$C$21)&lt;=B145)*(IF(Besatzung!$D$21="",Besatzung!$B$6,Besatzung!$D$21)&gt;=B145)))*(Besatzung!$F$21="x")*IFERROR(H145,0)/IFERROR(SUMPRODUCT((Besatzung!$B$11:$B$22&lt;&gt;"")*(Besatzung!$F$11:$F$22="x")*(IF(Besatzung!$C$11:$C$22="",Besatzung!$B$5,Besatzung!$C$11:$C$22)&lt;=B145)*(IF(Besatzung!$D$11:$D$22="",Besatzung!$B$6,Besatzung!$D$11:$D$22)&gt;=B145)),1)),IF(I145="An Bord",(((Besatzung!$B$21&lt;&gt;"")*IF(B145="",1,(IF(Besatzung!$C$21="",Besatzung!$B$5,Besatzung!$C$21)&lt;=B145)*(IF(Besatzung!$D$21="",Besatzung!$B$6,Besatzung!$D$21)&gt;=B145)))*((G145-IFERROR(H145,0))/IFERROR(SUMPRODUCT((Besatzung!$B$11:$B$22&lt;&gt;"")*(IF(Besatzung!$C$11:$C$22="",Besatzung!$B$5,Besatzung!$C$11:$C$22)&lt;=B145)*(IF(Besatzung!$D$11:$D$22="",Besatzung!$B$6,Besatzung!$D$11:$D$22)&gt;=B145)),1)+(Besatzung!$F$21="x")*IFERROR(H145,0)/IFERROR(SUMPRODUCT((Besatzung!$B$11:$B$22&lt;&gt;"")*(Besatzung!$F$11:$F$22="x")*(IF(Besatzung!$C$11:$C$22="",Besatzung!$B$5,Besatzung!$C$11:$C$22)&lt;=B145)*(IF(Besatzung!$D$11:$D$22="",Besatzung!$B$6,Besatzung!$D$11:$D$22)&gt;=B145)),1))),IF(I145="Individuell",((T145="x")*((G145-IFERROR(H145,0))/IFERROR(COUNTIF(J145:U145,"x"),1)+(Besatzung!$F$21="x")*IFERROR(H145,0)/IFERROR(SUMPRODUCT((J145:U145="x")*(Besatzung!$F$11:$F$22="x")),1))),(IF(COUNTIF(J145:U145,"x")=0,IF(Besatzung!$B$21&lt;&gt;"",1,0),(T145="x"))*(G145-IFERROR(H145,0))/IFERROR(IF(COUNTIF(J145:U145,"x")=0,COUNTA(Besatzung!$B$11:$B$22),COUNTIF(J145:U145,"x")),1)+IF(COUNTIF(J145:U145,"x")=0,(Besatzung!$F$21="x"),(T145="x")*(Besatzung!$F$21="x"))*IFERROR(H145,0)/IFERROR(IF(COUNTIF(J145:U145,"x")=0,SUMPRODUCT((Besatzung!$B$11:$B$22&lt;&gt;"")*(Besatzung!$F$11:$F$22="x")),SUMPRODUCT((J145:U145="x")*(Besatzung!$F$11:$F$22="x"))),1))))),0))))</f>
        <v/>
      </c>
      <c r="AG145" s="247">
        <f>IF(C145="Gutschrift","",IF(G145="","",IF(Besatzung!$B$22="","",IFERROR(IF(I145="Zeitanteilig",(Besatzung!$G$22*(G145-IFERROR(H145,0))+((Besatzung!$B$22&lt;&gt;"")*IF(B145="",1,(IF(Besatzung!$C$22="",Besatzung!$B$5,Besatzung!$C$22)&lt;=B145)*(IF(Besatzung!$D$22="",Besatzung!$B$6,Besatzung!$D$22)&gt;=B145)))*(Besatzung!$F$22="x")*IFERROR(H145,0)/IFERROR(SUMPRODUCT((Besatzung!$B$11:$B$22&lt;&gt;"")*(Besatzung!$F$11:$F$22="x")*(IF(Besatzung!$C$11:$C$22="",Besatzung!$B$5,Besatzung!$C$11:$C$22)&lt;=B145)*(IF(Besatzung!$D$11:$D$22="",Besatzung!$B$6,Besatzung!$D$11:$D$22)&gt;=B145)),1)),IF(I145="An Bord",(((Besatzung!$B$22&lt;&gt;"")*IF(B145="",1,(IF(Besatzung!$C$22="",Besatzung!$B$5,Besatzung!$C$22)&lt;=B145)*(IF(Besatzung!$D$22="",Besatzung!$B$6,Besatzung!$D$22)&gt;=B145)))*((G145-IFERROR(H145,0))/IFERROR(SUMPRODUCT((Besatzung!$B$11:$B$22&lt;&gt;"")*(IF(Besatzung!$C$11:$C$22="",Besatzung!$B$5,Besatzung!$C$11:$C$22)&lt;=B145)*(IF(Besatzung!$D$11:$D$22="",Besatzung!$B$6,Besatzung!$D$11:$D$22)&gt;=B145)),1)+(Besatzung!$F$22="x")*IFERROR(H145,0)/IFERROR(SUMPRODUCT((Besatzung!$B$11:$B$22&lt;&gt;"")*(Besatzung!$F$11:$F$22="x")*(IF(Besatzung!$C$11:$C$22="",Besatzung!$B$5,Besatzung!$C$11:$C$22)&lt;=B145)*(IF(Besatzung!$D$11:$D$22="",Besatzung!$B$6,Besatzung!$D$11:$D$22)&gt;=B145)),1))),IF(I145="Individuell",((U145="x")*((G145-IFERROR(H145,0))/IFERROR(COUNTIF(J145:U145,"x"),1)+(Besatzung!$F$22="x")*IFERROR(H145,0)/IFERROR(SUMPRODUCT((J145:U145="x")*(Besatzung!$F$11:$F$22="x")),1))),(IF(COUNTIF(J145:U145,"x")=0,IF(Besatzung!$B$22&lt;&gt;"",1,0),(U145="x"))*(G145-IFERROR(H145,0))/IFERROR(IF(COUNTIF(J145:U145,"x")=0,COUNTA(Besatzung!$B$11:$B$22),COUNTIF(J145:U145,"x")),1)+IF(COUNTIF(J145:U145,"x")=0,(Besatzung!$F$22="x"),(U145="x")*(Besatzung!$F$22="x"))*IFERROR(H145,0)/IFERROR(IF(COUNTIF(J145:U145,"x")=0,SUMPRODUCT((Besatzung!$B$11:$B$22&lt;&gt;"")*(Besatzung!$F$11:$F$22="x")),SUMPRODUCT((J145:U145="x")*(Besatzung!$F$11:$F$22="x"))),1))))),0))))</f>
        <v/>
      </c>
      <c r="AH145" s="248" t="n"/>
      <c r="AI145" s="248" t="n"/>
    </row>
    <row r="146" ht="21.75" customHeight="1" s="154">
      <c r="A146" s="238">
        <f>IF(AND(D146="",C146=""),"",143)</f>
        <v/>
      </c>
      <c r="B146" s="199" t="n"/>
      <c r="C146" s="239" t="n"/>
      <c r="D146" s="240" t="n"/>
      <c r="E146" s="241" t="n"/>
      <c r="F146" s="242" t="n"/>
      <c r="G146" s="243" t="n"/>
      <c r="H146" s="244" t="n"/>
      <c r="I146" s="245" t="n"/>
      <c r="J146" s="246" t="n"/>
      <c r="K146" s="246" t="n"/>
      <c r="L146" s="246" t="n"/>
      <c r="M146" s="246" t="n"/>
      <c r="N146" s="246" t="n"/>
      <c r="O146" s="246" t="n"/>
      <c r="P146" s="246" t="n"/>
      <c r="Q146" s="246" t="n"/>
      <c r="R146" s="246" t="n"/>
      <c r="S146" s="246" t="n"/>
      <c r="T146" s="246" t="n"/>
      <c r="U146" s="246" t="n"/>
      <c r="V146" s="247">
        <f>IF(C146="Gutschrift","",IF(G146="","",IF(Besatzung!$B$11="","",IFERROR(IF(I146="Zeitanteilig",(Besatzung!$G$11*(G146-IFERROR(H146,0))+((Besatzung!$B$11&lt;&gt;"")*IF(B146="",1,(IF(Besatzung!$C$11="",Besatzung!$B$5,Besatzung!$C$11)&lt;=B146)*(IF(Besatzung!$D$11="",Besatzung!$B$6,Besatzung!$D$11)&gt;=B146)))*(Besatzung!$F$11="x")*IFERROR(H146,0)/IFERROR(SUMPRODUCT((Besatzung!$B$11:$B$22&lt;&gt;"")*(Besatzung!$F$11:$F$22="x")*(IF(Besatzung!$C$11:$C$22="",Besatzung!$B$5,Besatzung!$C$11:$C$22)&lt;=B146)*(IF(Besatzung!$D$11:$D$22="",Besatzung!$B$6,Besatzung!$D$11:$D$22)&gt;=B146)),1)),IF(I146="An Bord",(((Besatzung!$B$11&lt;&gt;"")*IF(B146="",1,(IF(Besatzung!$C$11="",Besatzung!$B$5,Besatzung!$C$11)&lt;=B146)*(IF(Besatzung!$D$11="",Besatzung!$B$6,Besatzung!$D$11)&gt;=B146)))*((G146-IFERROR(H146,0))/IFERROR(SUMPRODUCT((Besatzung!$B$11:$B$22&lt;&gt;"")*(IF(Besatzung!$C$11:$C$22="",Besatzung!$B$5,Besatzung!$C$11:$C$22)&lt;=B146)*(IF(Besatzung!$D$11:$D$22="",Besatzung!$B$6,Besatzung!$D$11:$D$22)&gt;=B146)),1)+(Besatzung!$F$11="x")*IFERROR(H146,0)/IFERROR(SUMPRODUCT((Besatzung!$B$11:$B$22&lt;&gt;"")*(Besatzung!$F$11:$F$22="x")*(IF(Besatzung!$C$11:$C$22="",Besatzung!$B$5,Besatzung!$C$11:$C$22)&lt;=B146)*(IF(Besatzung!$D$11:$D$22="",Besatzung!$B$6,Besatzung!$D$11:$D$22)&gt;=B146)),1))),IF(I146="Individuell",((J146="x")*((G146-IFERROR(H146,0))/IFERROR(COUNTIF(J146:U146,"x"),1)+(Besatzung!$F$11="x")*IFERROR(H146,0)/IFERROR(SUMPRODUCT((J146:U146="x")*(Besatzung!$F$11:$F$22="x")),1))),(IF(COUNTIF(J146:U146,"x")=0,IF(Besatzung!$B$11&lt;&gt;"",1,0),(J146="x"))*(G146-IFERROR(H146,0))/IFERROR(IF(COUNTIF(J146:U146,"x")=0,COUNTA(Besatzung!$B$11:$B$22),COUNTIF(J146:U146,"x")),1)+IF(COUNTIF(J146:U146,"x")=0,(Besatzung!$F$11="x"),(J146="x")*(Besatzung!$F$11="x"))*IFERROR(H146,0)/IFERROR(IF(COUNTIF(J146:U146,"x")=0,SUMPRODUCT((Besatzung!$B$11:$B$22&lt;&gt;"")*(Besatzung!$F$11:$F$22="x")),SUMPRODUCT((J146:U146="x")*(Besatzung!$F$11:$F$22="x"))),1))))),0))))</f>
        <v/>
      </c>
      <c r="W146" s="247">
        <f>IF(C146="Gutschrift","",IF(G146="","",IF(Besatzung!$B$12="","",IFERROR(IF(I146="Zeitanteilig",(Besatzung!$G$12*(G146-IFERROR(H146,0))+((Besatzung!$B$12&lt;&gt;"")*IF(B146="",1,(IF(Besatzung!$C$12="",Besatzung!$B$5,Besatzung!$C$12)&lt;=B146)*(IF(Besatzung!$D$12="",Besatzung!$B$6,Besatzung!$D$12)&gt;=B146)))*(Besatzung!$F$12="x")*IFERROR(H146,0)/IFERROR(SUMPRODUCT((Besatzung!$B$11:$B$22&lt;&gt;"")*(Besatzung!$F$11:$F$22="x")*(IF(Besatzung!$C$11:$C$22="",Besatzung!$B$5,Besatzung!$C$11:$C$22)&lt;=B146)*(IF(Besatzung!$D$11:$D$22="",Besatzung!$B$6,Besatzung!$D$11:$D$22)&gt;=B146)),1)),IF(I146="An Bord",(((Besatzung!$B$12&lt;&gt;"")*IF(B146="",1,(IF(Besatzung!$C$12="",Besatzung!$B$5,Besatzung!$C$12)&lt;=B146)*(IF(Besatzung!$D$12="",Besatzung!$B$6,Besatzung!$D$12)&gt;=B146)))*((G146-IFERROR(H146,0))/IFERROR(SUMPRODUCT((Besatzung!$B$11:$B$22&lt;&gt;"")*(IF(Besatzung!$C$11:$C$22="",Besatzung!$B$5,Besatzung!$C$11:$C$22)&lt;=B146)*(IF(Besatzung!$D$11:$D$22="",Besatzung!$B$6,Besatzung!$D$11:$D$22)&gt;=B146)),1)+(Besatzung!$F$12="x")*IFERROR(H146,0)/IFERROR(SUMPRODUCT((Besatzung!$B$11:$B$22&lt;&gt;"")*(Besatzung!$F$11:$F$22="x")*(IF(Besatzung!$C$11:$C$22="",Besatzung!$B$5,Besatzung!$C$11:$C$22)&lt;=B146)*(IF(Besatzung!$D$11:$D$22="",Besatzung!$B$6,Besatzung!$D$11:$D$22)&gt;=B146)),1))),IF(I146="Individuell",((K146="x")*((G146-IFERROR(H146,0))/IFERROR(COUNTIF(J146:U146,"x"),1)+(Besatzung!$F$12="x")*IFERROR(H146,0)/IFERROR(SUMPRODUCT((J146:U146="x")*(Besatzung!$F$11:$F$22="x")),1))),(IF(COUNTIF(J146:U146,"x")=0,IF(Besatzung!$B$12&lt;&gt;"",1,0),(K146="x"))*(G146-IFERROR(H146,0))/IFERROR(IF(COUNTIF(J146:U146,"x")=0,COUNTA(Besatzung!$B$11:$B$22),COUNTIF(J146:U146,"x")),1)+IF(COUNTIF(J146:U146,"x")=0,(Besatzung!$F$12="x"),(K146="x")*(Besatzung!$F$12="x"))*IFERROR(H146,0)/IFERROR(IF(COUNTIF(J146:U146,"x")=0,SUMPRODUCT((Besatzung!$B$11:$B$22&lt;&gt;"")*(Besatzung!$F$11:$F$22="x")),SUMPRODUCT((J146:U146="x")*(Besatzung!$F$11:$F$22="x"))),1))))),0))))</f>
        <v/>
      </c>
      <c r="X146" s="247">
        <f>IF(C146="Gutschrift","",IF(G146="","",IF(Besatzung!$B$13="","",IFERROR(IF(I146="Zeitanteilig",(Besatzung!$G$13*(G146-IFERROR(H146,0))+((Besatzung!$B$13&lt;&gt;"")*IF(B146="",1,(IF(Besatzung!$C$13="",Besatzung!$B$5,Besatzung!$C$13)&lt;=B146)*(IF(Besatzung!$D$13="",Besatzung!$B$6,Besatzung!$D$13)&gt;=B146)))*(Besatzung!$F$13="x")*IFERROR(H146,0)/IFERROR(SUMPRODUCT((Besatzung!$B$11:$B$22&lt;&gt;"")*(Besatzung!$F$11:$F$22="x")*(IF(Besatzung!$C$11:$C$22="",Besatzung!$B$5,Besatzung!$C$11:$C$22)&lt;=B146)*(IF(Besatzung!$D$11:$D$22="",Besatzung!$B$6,Besatzung!$D$11:$D$22)&gt;=B146)),1)),IF(I146="An Bord",(((Besatzung!$B$13&lt;&gt;"")*IF(B146="",1,(IF(Besatzung!$C$13="",Besatzung!$B$5,Besatzung!$C$13)&lt;=B146)*(IF(Besatzung!$D$13="",Besatzung!$B$6,Besatzung!$D$13)&gt;=B146)))*((G146-IFERROR(H146,0))/IFERROR(SUMPRODUCT((Besatzung!$B$11:$B$22&lt;&gt;"")*(IF(Besatzung!$C$11:$C$22="",Besatzung!$B$5,Besatzung!$C$11:$C$22)&lt;=B146)*(IF(Besatzung!$D$11:$D$22="",Besatzung!$B$6,Besatzung!$D$11:$D$22)&gt;=B146)),1)+(Besatzung!$F$13="x")*IFERROR(H146,0)/IFERROR(SUMPRODUCT((Besatzung!$B$11:$B$22&lt;&gt;"")*(Besatzung!$F$11:$F$22="x")*(IF(Besatzung!$C$11:$C$22="",Besatzung!$B$5,Besatzung!$C$11:$C$22)&lt;=B146)*(IF(Besatzung!$D$11:$D$22="",Besatzung!$B$6,Besatzung!$D$11:$D$22)&gt;=B146)),1))),IF(I146="Individuell",((K146="x")*((G146-IFERROR(H146,0))/IFERROR(COUNTIF(J146:U146,"x"),1)+(Besatzung!$F$13="x")*IFERROR(H146,0)/IFERROR(SUMPRODUCT((J146:U146="x")*(Besatzung!$F$11:$F$22="x")),1))),(IF(COUNTIF(J146:U146,"x")=0,IF(Besatzung!$B$13&lt;&gt;"",1,0),(K146="x"))*(G146-IFERROR(H146,0))/IFERROR(IF(COUNTIF(J146:U146,"x")=0,COUNTA(Besatzung!$B$11:$B$22),COUNTIF(J146:U146,"x")),1)+IF(COUNTIF(J146:U146,"x")=0,(Besatzung!$F$13="x"),(K146="x")*(Besatzung!$F$13="x"))*IFERROR(H146,0)/IFERROR(IF(COUNTIF(J146:U146,"x")=0,SUMPRODUCT((Besatzung!$B$11:$B$22&lt;&gt;"")*(Besatzung!$F$11:$F$22="x")),SUMPRODUCT((J146:U146="x")*(Besatzung!$F$11:$F$22="x"))),1))))),0))))</f>
        <v/>
      </c>
      <c r="Y146" s="247">
        <f>IF(C146="Gutschrift","",IF(G146="","",IF(Besatzung!$B$14="","",IFERROR(IF(I146="Zeitanteilig",(Besatzung!$G$14*(G146-IFERROR(H146,0))+((Besatzung!$B$14&lt;&gt;"")*IF(B146="",1,(IF(Besatzung!$C$14="",Besatzung!$B$5,Besatzung!$C$14)&lt;=B146)*(IF(Besatzung!$D$14="",Besatzung!$B$6,Besatzung!$D$14)&gt;=B146)))*(Besatzung!$F$14="x")*IFERROR(H146,0)/IFERROR(SUMPRODUCT((Besatzung!$B$11:$B$22&lt;&gt;"")*(Besatzung!$F$11:$F$22="x")*(IF(Besatzung!$C$11:$C$22="",Besatzung!$B$5,Besatzung!$C$11:$C$22)&lt;=B146)*(IF(Besatzung!$D$11:$D$22="",Besatzung!$B$6,Besatzung!$D$11:$D$22)&gt;=B146)),1)),IF(I146="An Bord",(((Besatzung!$B$14&lt;&gt;"")*IF(B146="",1,(IF(Besatzung!$C$14="",Besatzung!$B$5,Besatzung!$C$14)&lt;=B146)*(IF(Besatzung!$D$14="",Besatzung!$B$6,Besatzung!$D$14)&gt;=B146)))*((G146-IFERROR(H146,0))/IFERROR(SUMPRODUCT((Besatzung!$B$11:$B$22&lt;&gt;"")*(IF(Besatzung!$C$11:$C$22="",Besatzung!$B$5,Besatzung!$C$11:$C$22)&lt;=B146)*(IF(Besatzung!$D$11:$D$22="",Besatzung!$B$6,Besatzung!$D$11:$D$22)&gt;=B146)),1)+(Besatzung!$F$14="x")*IFERROR(H146,0)/IFERROR(SUMPRODUCT((Besatzung!$B$11:$B$22&lt;&gt;"")*(Besatzung!$F$11:$F$22="x")*(IF(Besatzung!$C$11:$C$22="",Besatzung!$B$5,Besatzung!$C$11:$C$22)&lt;=B146)*(IF(Besatzung!$D$11:$D$22="",Besatzung!$B$6,Besatzung!$D$11:$D$22)&gt;=B146)),1))),IF(I146="Individuell",((M146="x")*((G146-IFERROR(H146,0))/IFERROR(COUNTIF(J146:U146,"x"),1)+(Besatzung!$F$14="x")*IFERROR(H146,0)/IFERROR(SUMPRODUCT((J146:U146="x")*(Besatzung!$F$11:$F$22="x")),1))),(IF(COUNTIF(J146:U146,"x")=0,IF(Besatzung!$B$14&lt;&gt;"",1,0),(M146="x"))*(G146-IFERROR(H146,0))/IFERROR(IF(COUNTIF(J146:U146,"x")=0,COUNTA(Besatzung!$B$11:$B$22),COUNTIF(J146:U146,"x")),1)+IF(COUNTIF(J146:U146,"x")=0,(Besatzung!$F$14="x"),(M146="x")*(Besatzung!$F$14="x"))*IFERROR(H146,0)/IFERROR(IF(COUNTIF(J146:U146,"x")=0,SUMPRODUCT((Besatzung!$B$11:$B$22&lt;&gt;"")*(Besatzung!$F$11:$F$22="x")),SUMPRODUCT((J146:U146="x")*(Besatzung!$F$11:$F$22="x"))),1))))),0))))</f>
        <v/>
      </c>
      <c r="Z146" s="247">
        <f>IF(C146="Gutschrift","",IF(G146="","",IF(Besatzung!$B$13="","",IFERROR(IF(I146="Zeitanteilig",(Besatzung!$G$15*(G146-IFERROR(H146,0))+((Besatzung!$B$13&lt;&gt;"")*IF(B146="",1,(IF(Besatzung!$C$15="",Besatzung!$B$5,Besatzung!$C$15)&lt;=B146)*(IF(Besatzung!$D$15="",Besatzung!$B$6,Besatzung!$D$15)&gt;=B146)))*(Besatzung!$F$15="x")*IFERROR(H146,0)/IFERROR(SUMPRODUCT((Besatzung!$B$11:$B$22&lt;&gt;"")*(Besatzung!$F$11:$F$22="x")*(IF(Besatzung!$C$11:$C$22="",Besatzung!$B$5,Besatzung!$C$11:$C$22)&lt;=B146)*(IF(Besatzung!$D$11:$D$22="",Besatzung!$B$6,Besatzung!$D$11:$D$22)&gt;=B146)),1)),IF(I146="An Bord",(((Besatzung!$B$13&lt;&gt;"")*IF(B146="",1,(IF(Besatzung!$C$15="",Besatzung!$B$5,Besatzung!$C$15)&lt;=B146)*(IF(Besatzung!$D$15="",Besatzung!$B$6,Besatzung!$D$15)&gt;=B146)))*((G146-IFERROR(H146,0))/IFERROR(SUMPRODUCT((Besatzung!$B$11:$B$22&lt;&gt;"")*(IF(Besatzung!$C$11:$C$22="",Besatzung!$B$5,Besatzung!$C$11:$C$22)&lt;=B146)*(IF(Besatzung!$D$11:$D$22="",Besatzung!$B$6,Besatzung!$D$11:$D$22)&gt;=B146)),1)+(Besatzung!$F$15="x")*IFERROR(H146,0)/IFERROR(SUMPRODUCT((Besatzung!$B$11:$B$22&lt;&gt;"")*(Besatzung!$F$11:$F$22="x")*(IF(Besatzung!$C$11:$C$22="",Besatzung!$B$5,Besatzung!$C$11:$C$22)&lt;=B146)*(IF(Besatzung!$D$11:$D$22="",Besatzung!$B$6,Besatzung!$D$11:$D$22)&gt;=B146)),1))),IF(I146="Individuell",((N146="x")*((G146-IFERROR(H146,0))/IFERROR(COUNTIF(J146:U146,"x"),1)+(Besatzung!$F$15="x")*IFERROR(H146,0)/IFERROR(SUMPRODUCT((J146:U146="x")*(Besatzung!$F$11:$F$22="x")),1))),(IF(COUNTIF(J146:U146,"x")=0,IF(Besatzung!$B$13&lt;&gt;"",1,0),(N146="x"))*(G146-IFERROR(H146,0))/IFERROR(IF(COUNTIF(J146:U146,"x")=0,COUNTA(Besatzung!$B$11:$B$22),COUNTIF(J146:U146,"x")),1)+IF(COUNTIF(J146:U146,"x")=0,(Besatzung!$F$15="x"),(N146="x")*(Besatzung!$F$15="x"))*IFERROR(H146,0)/IFERROR(IF(COUNTIF(J146:U146,"x")=0,SUMPRODUCT((Besatzung!$B$11:$B$22&lt;&gt;"")*(Besatzung!$F$11:$F$22="x")),SUMPRODUCT((J146:U146="x")*(Besatzung!$F$11:$F$22="x"))),1))))),0))))</f>
        <v/>
      </c>
      <c r="AA146" s="247">
        <f>IF(C146="Gutschrift","",IF(G146="","",IF(Besatzung!$B$15="","",IFERROR(IF(I146="Zeitanteilig",(Besatzung!$G$16*(G146-IFERROR(H146,0))+((Besatzung!$B$15&lt;&gt;"")*IF(B146="",1,(IF(Besatzung!$C$16="",Besatzung!$B$5,Besatzung!$C$16)&lt;=B146)*(IF(Besatzung!$D$16="",Besatzung!$B$6,Besatzung!$D$16)&gt;=B146)))*(Besatzung!$F$16="x")*IFERROR(H146,0)/IFERROR(SUMPRODUCT((Besatzung!$B$11:$B$22&lt;&gt;"")*(Besatzung!$F$11:$F$22="x")*(IF(Besatzung!$C$11:$C$22="",Besatzung!$B$5,Besatzung!$C$11:$C$22)&lt;=B146)*(IF(Besatzung!$D$11:$D$22="",Besatzung!$B$6,Besatzung!$D$11:$D$22)&gt;=B146)),1)),IF(I146="An Bord",(((Besatzung!$B$15&lt;&gt;"")*IF(B146="",1,(IF(Besatzung!$C$16="",Besatzung!$B$5,Besatzung!$C$16)&lt;=B146)*(IF(Besatzung!$D$16="",Besatzung!$B$6,Besatzung!$D$16)&gt;=B146)))*((G146-IFERROR(H146,0))/IFERROR(SUMPRODUCT((Besatzung!$B$11:$B$22&lt;&gt;"")*(IF(Besatzung!$C$11:$C$22="",Besatzung!$B$5,Besatzung!$C$11:$C$22)&lt;=B146)*(IF(Besatzung!$D$11:$D$22="",Besatzung!$B$6,Besatzung!$D$11:$D$22)&gt;=B146)),1)+(Besatzung!$F$16="x")*IFERROR(H146,0)/IFERROR(SUMPRODUCT((Besatzung!$B$11:$B$22&lt;&gt;"")*(Besatzung!$F$11:$F$22="x")*(IF(Besatzung!$C$11:$C$22="",Besatzung!$B$5,Besatzung!$C$11:$C$22)&lt;=B146)*(IF(Besatzung!$D$11:$D$22="",Besatzung!$B$6,Besatzung!$D$11:$D$22)&gt;=B146)),1))),IF(I146="Individuell",((O146="x")*((G146-IFERROR(H146,0))/IFERROR(COUNTIF(J146:U146,"x"),1)+(Besatzung!$F$16="x")*IFERROR(H146,0)/IFERROR(SUMPRODUCT((J146:U146="x")*(Besatzung!$F$11:$F$22="x")),1))),(IF(COUNTIF(J146:U146,"x")=0,IF(Besatzung!$B$15&lt;&gt;"",1,0),(O146="x"))*(G146-IFERROR(H146,0))/IFERROR(IF(COUNTIF(J146:U146,"x")=0,COUNTA(Besatzung!$B$11:$B$22),COUNTIF(J146:U146,"x")),1)+IF(COUNTIF(J146:U146,"x")=0,(Besatzung!$F$16="x"),(O146="x")*(Besatzung!$F$16="x"))*IFERROR(H146,0)/IFERROR(IF(COUNTIF(J146:U146,"x")=0,SUMPRODUCT((Besatzung!$B$11:$B$22&lt;&gt;"")*(Besatzung!$F$11:$F$22="x")),SUMPRODUCT((J146:U146="x")*(Besatzung!$F$11:$F$22="x"))),1))))),0))))</f>
        <v/>
      </c>
      <c r="AB146" s="247">
        <f>IF(C146="Gutschrift","",IF(G146="","",IF(Besatzung!$B$17="","",IFERROR(IF(I146="Zeitanteilig",(Besatzung!$G$17*(G146-IFERROR(H146,0))+((Besatzung!$B$17&lt;&gt;"")*IF(B146="",1,(IF(Besatzung!$C$17="",Besatzung!$B$5,Besatzung!$C$17)&lt;=B146)*(IF(Besatzung!$D$17="",Besatzung!$B$6,Besatzung!$D$17)&gt;=B146)))*(Besatzung!$F$17="x")*IFERROR(H146,0)/IFERROR(SUMPRODUCT((Besatzung!$B$11:$B$22&lt;&gt;"")*(Besatzung!$F$11:$F$22="x")*(IF(Besatzung!$C$11:$C$22="",Besatzung!$B$5,Besatzung!$C$11:$C$22)&lt;=B146)*(IF(Besatzung!$D$11:$D$22="",Besatzung!$B$6,Besatzung!$D$11:$D$22)&gt;=B146)),1)),IF(I146="An Bord",(((Besatzung!$B$17&lt;&gt;"")*IF(B146="",1,(IF(Besatzung!$C$17="",Besatzung!$B$5,Besatzung!$C$17)&lt;=B146)*(IF(Besatzung!$D$17="",Besatzung!$B$6,Besatzung!$D$17)&gt;=B146)))*((G146-IFERROR(H146,0))/IFERROR(SUMPRODUCT((Besatzung!$B$11:$B$22&lt;&gt;"")*(IF(Besatzung!$C$11:$C$22="",Besatzung!$B$5,Besatzung!$C$11:$C$22)&lt;=B146)*(IF(Besatzung!$D$11:$D$22="",Besatzung!$B$6,Besatzung!$D$11:$D$22)&gt;=B146)),1)+(Besatzung!$F$17="x")*IFERROR(H146,0)/IFERROR(SUMPRODUCT((Besatzung!$B$11:$B$22&lt;&gt;"")*(Besatzung!$F$11:$F$22="x")*(IF(Besatzung!$C$11:$C$22="",Besatzung!$B$5,Besatzung!$C$11:$C$22)&lt;=B146)*(IF(Besatzung!$D$11:$D$22="",Besatzung!$B$6,Besatzung!$D$11:$D$22)&gt;=B146)),1))),IF(I146="Individuell",((P146="x")*((G146-IFERROR(H146,0))/IFERROR(COUNTIF(J146:U146,"x"),1)+(Besatzung!$F$17="x")*IFERROR(H146,0)/IFERROR(SUMPRODUCT((J146:U146="x")*(Besatzung!$F$11:$F$22="x")),1))),(IF(COUNTIF(J146:U146,"x")=0,IF(Besatzung!$B$17&lt;&gt;"",1,0),(P146="x"))*(G146-IFERROR(H146,0))/IFERROR(IF(COUNTIF(J146:U146,"x")=0,COUNTA(Besatzung!$B$11:$B$22),COUNTIF(J146:U146,"x")),1)+IF(COUNTIF(J146:U146,"x")=0,(Besatzung!$F$17="x"),(P146="x")*(Besatzung!$F$17="x"))*IFERROR(H146,0)/IFERROR(IF(COUNTIF(J146:U146,"x")=0,SUMPRODUCT((Besatzung!$B$11:$B$22&lt;&gt;"")*(Besatzung!$F$11:$F$22="x")),SUMPRODUCT((J146:U146="x")*(Besatzung!$F$11:$F$22="x"))),1))))),0))))</f>
        <v/>
      </c>
      <c r="AC146" s="247">
        <f>IF(C146="Gutschrift","",IF(G146="","",IF(Besatzung!$B$18="","",IFERROR(IF(I146="Zeitanteilig",(Besatzung!$G$18*(G146-IFERROR(H146,0))+((Besatzung!$B$18&lt;&gt;"")*IF(B146="",1,(IF(Besatzung!$C$18="",Besatzung!$B$5,Besatzung!$C$18)&lt;=B146)*(IF(Besatzung!$D$18="",Besatzung!$B$6,Besatzung!$D$18)&gt;=B146)))*(Besatzung!$F$18="x")*IFERROR(H146,0)/IFERROR(SUMPRODUCT((Besatzung!$B$11:$B$22&lt;&gt;"")*(Besatzung!$F$11:$F$22="x")*(IF(Besatzung!$C$11:$C$22="",Besatzung!$B$5,Besatzung!$C$11:$C$22)&lt;=B146)*(IF(Besatzung!$D$11:$D$22="",Besatzung!$B$6,Besatzung!$D$11:$D$22)&gt;=B146)),1)),IF(I146="An Bord",(((Besatzung!$B$18&lt;&gt;"")*IF(B146="",1,(IF(Besatzung!$C$18="",Besatzung!$B$5,Besatzung!$C$18)&lt;=B146)*(IF(Besatzung!$D$18="",Besatzung!$B$6,Besatzung!$D$18)&gt;=B146)))*((G146-IFERROR(H146,0))/IFERROR(SUMPRODUCT((Besatzung!$B$11:$B$22&lt;&gt;"")*(IF(Besatzung!$C$11:$C$22="",Besatzung!$B$5,Besatzung!$C$11:$C$22)&lt;=B146)*(IF(Besatzung!$D$11:$D$22="",Besatzung!$B$6,Besatzung!$D$11:$D$22)&gt;=B146)),1)+(Besatzung!$F$18="x")*IFERROR(H146,0)/IFERROR(SUMPRODUCT((Besatzung!$B$11:$B$22&lt;&gt;"")*(Besatzung!$F$11:$F$22="x")*(IF(Besatzung!$C$11:$C$22="",Besatzung!$B$5,Besatzung!$C$11:$C$22)&lt;=B146)*(IF(Besatzung!$D$11:$D$22="",Besatzung!$B$6,Besatzung!$D$11:$D$22)&gt;=B146)),1))),IF(I146="Individuell",((Q146="x")*((G146-IFERROR(H146,0))/IFERROR(COUNTIF(J146:U146,"x"),1)+(Besatzung!$F$18="x")*IFERROR(H146,0)/IFERROR(SUMPRODUCT((J146:U146="x")*(Besatzung!$F$11:$F$22="x")),1))),(IF(COUNTIF(J146:U146,"x")=0,IF(Besatzung!$B$18&lt;&gt;"",1,0),(Q146="x"))*(G146-IFERROR(H146,0))/IFERROR(IF(COUNTIF(J146:U146,"x")=0,COUNTA(Besatzung!$B$11:$B$22),COUNTIF(J146:U146,"x")),1)+IF(COUNTIF(J146:U146,"x")=0,(Besatzung!$F$18="x"),(Q146="x")*(Besatzung!$F$18="x"))*IFERROR(H146,0)/IFERROR(IF(COUNTIF(J146:U146,"x")=0,SUMPRODUCT((Besatzung!$B$11:$B$22&lt;&gt;"")*(Besatzung!$F$11:$F$22="x")),SUMPRODUCT((J146:U146="x")*(Besatzung!$F$11:$F$22="x"))),1))))),0))))</f>
        <v/>
      </c>
      <c r="AD146" s="247">
        <f>IF(C146="Gutschrift","",IF(G146="","",IF(Besatzung!$B$19="","",IFERROR(IF(I146="Zeitanteilig",(Besatzung!$G$19*(G146-IFERROR(H146,0))+((Besatzung!$B$19&lt;&gt;"")*IF(B146="",1,(IF(Besatzung!$C$19="",Besatzung!$B$5,Besatzung!$C$19)&lt;=B146)*(IF(Besatzung!$D$19="",Besatzung!$B$6,Besatzung!$D$19)&gt;=B146)))*(Besatzung!$F$19="x")*IFERROR(H146,0)/IFERROR(SUMPRODUCT((Besatzung!$B$11:$B$22&lt;&gt;"")*(Besatzung!$F$11:$F$22="x")*(IF(Besatzung!$C$11:$C$22="",Besatzung!$B$5,Besatzung!$C$11:$C$22)&lt;=B146)*(IF(Besatzung!$D$11:$D$22="",Besatzung!$B$6,Besatzung!$D$11:$D$22)&gt;=B146)),1)),IF(I146="An Bord",(((Besatzung!$B$19&lt;&gt;"")*IF(B146="",1,(IF(Besatzung!$C$19="",Besatzung!$B$5,Besatzung!$C$19)&lt;=B146)*(IF(Besatzung!$D$19="",Besatzung!$B$6,Besatzung!$D$19)&gt;=B146)))*((G146-IFERROR(H146,0))/IFERROR(SUMPRODUCT((Besatzung!$B$11:$B$22&lt;&gt;"")*(IF(Besatzung!$C$11:$C$22="",Besatzung!$B$5,Besatzung!$C$11:$C$22)&lt;=B146)*(IF(Besatzung!$D$11:$D$22="",Besatzung!$B$6,Besatzung!$D$11:$D$22)&gt;=B146)),1)+(Besatzung!$F$19="x")*IFERROR(H146,0)/IFERROR(SUMPRODUCT((Besatzung!$B$11:$B$22&lt;&gt;"")*(Besatzung!$F$11:$F$22="x")*(IF(Besatzung!$C$11:$C$22="",Besatzung!$B$5,Besatzung!$C$11:$C$22)&lt;=B146)*(IF(Besatzung!$D$11:$D$22="",Besatzung!$B$6,Besatzung!$D$11:$D$22)&gt;=B146)),1))),IF(I146="Individuell",((R146="x")*((G146-IFERROR(H146,0))/IFERROR(COUNTIF(J146:U146,"x"),1)+(Besatzung!$F$19="x")*IFERROR(H146,0)/IFERROR(SUMPRODUCT((J146:U146="x")*(Besatzung!$F$11:$F$22="x")),1))),(IF(COUNTIF(J146:U146,"x")=0,IF(Besatzung!$B$19&lt;&gt;"",1,0),(R146="x"))*(G146-IFERROR(H146,0))/IFERROR(IF(COUNTIF(J146:U146,"x")=0,COUNTA(Besatzung!$B$11:$B$22),COUNTIF(J146:U146,"x")),1)+IF(COUNTIF(J146:U146,"x")=0,(Besatzung!$F$19="x"),(R146="x")*(Besatzung!$F$19="x"))*IFERROR(H146,0)/IFERROR(IF(COUNTIF(J146:U146,"x")=0,SUMPRODUCT((Besatzung!$B$11:$B$22&lt;&gt;"")*(Besatzung!$F$11:$F$22="x")),SUMPRODUCT((J146:U146="x")*(Besatzung!$F$11:$F$22="x"))),1))))),0))))</f>
        <v/>
      </c>
      <c r="AE146" s="247">
        <f>IF(C146="Gutschrift","",IF(G146="","",IF(Besatzung!$B$20="","",IFERROR(IF(I146="Zeitanteilig",(Besatzung!$G$20*(G146-IFERROR(H146,0))+((Besatzung!$B$20&lt;&gt;"")*IF(B146="",1,(IF(Besatzung!$C$20="",Besatzung!$B$5,Besatzung!$C$20)&lt;=B146)*(IF(Besatzung!$D$20="",Besatzung!$B$6,Besatzung!$D$20)&gt;=B146)))*(Besatzung!$F$20="x")*IFERROR(H146,0)/IFERROR(SUMPRODUCT((Besatzung!$B$11:$B$22&lt;&gt;"")*(Besatzung!$F$11:$F$22="x")*(IF(Besatzung!$C$11:$C$22="",Besatzung!$B$5,Besatzung!$C$11:$C$22)&lt;=B146)*(IF(Besatzung!$D$11:$D$22="",Besatzung!$B$6,Besatzung!$D$11:$D$22)&gt;=B146)),1)),IF(I146="An Bord",(((Besatzung!$B$20&lt;&gt;"")*IF(B146="",1,(IF(Besatzung!$C$20="",Besatzung!$B$5,Besatzung!$C$20)&lt;=B146)*(IF(Besatzung!$D$20="",Besatzung!$B$6,Besatzung!$D$20)&gt;=B146)))*((G146-IFERROR(H146,0))/IFERROR(SUMPRODUCT((Besatzung!$B$11:$B$22&lt;&gt;"")*(IF(Besatzung!$C$11:$C$22="",Besatzung!$B$5,Besatzung!$C$11:$C$22)&lt;=B146)*(IF(Besatzung!$D$11:$D$22="",Besatzung!$B$6,Besatzung!$D$11:$D$22)&gt;=B146)),1)+(Besatzung!$F$20="x")*IFERROR(H146,0)/IFERROR(SUMPRODUCT((Besatzung!$B$11:$B$22&lt;&gt;"")*(Besatzung!$F$11:$F$22="x")*(IF(Besatzung!$C$11:$C$22="",Besatzung!$B$5,Besatzung!$C$11:$C$22)&lt;=B146)*(IF(Besatzung!$D$11:$D$22="",Besatzung!$B$6,Besatzung!$D$11:$D$22)&gt;=B146)),1))),IF(I146="Individuell",((S146="x")*((G146-IFERROR(H146,0))/IFERROR(COUNTIF(J146:U146,"x"),1)+(Besatzung!$F$20="x")*IFERROR(H146,0)/IFERROR(SUMPRODUCT((J146:U146="x")*(Besatzung!$F$11:$F$22="x")),1))),(IF(COUNTIF(J146:U146,"x")=0,IF(Besatzung!$B$20&lt;&gt;"",1,0),(S146="x"))*(G146-IFERROR(H146,0))/IFERROR(IF(COUNTIF(J146:U146,"x")=0,COUNTA(Besatzung!$B$11:$B$22),COUNTIF(J146:U146,"x")),1)+IF(COUNTIF(J146:U146,"x")=0,(Besatzung!$F$20="x"),(S146="x")*(Besatzung!$F$20="x"))*IFERROR(H146,0)/IFERROR(IF(COUNTIF(J146:U146,"x")=0,SUMPRODUCT((Besatzung!$B$11:$B$22&lt;&gt;"")*(Besatzung!$F$11:$F$22="x")),SUMPRODUCT((J146:U146="x")*(Besatzung!$F$11:$F$22="x"))),1))))),0))))</f>
        <v/>
      </c>
      <c r="AF146" s="247">
        <f>IF(C146="Gutschrift","",IF(G146="","",IF(Besatzung!$B$21="","",IFERROR(IF(I146="Zeitanteilig",(Besatzung!$G$21*(G146-IFERROR(H146,0))+((Besatzung!$B$21&lt;&gt;"")*IF(B146="",1,(IF(Besatzung!$C$21="",Besatzung!$B$5,Besatzung!$C$21)&lt;=B146)*(IF(Besatzung!$D$21="",Besatzung!$B$6,Besatzung!$D$21)&gt;=B146)))*(Besatzung!$F$21="x")*IFERROR(H146,0)/IFERROR(SUMPRODUCT((Besatzung!$B$11:$B$22&lt;&gt;"")*(Besatzung!$F$11:$F$22="x")*(IF(Besatzung!$C$11:$C$22="",Besatzung!$B$5,Besatzung!$C$11:$C$22)&lt;=B146)*(IF(Besatzung!$D$11:$D$22="",Besatzung!$B$6,Besatzung!$D$11:$D$22)&gt;=B146)),1)),IF(I146="An Bord",(((Besatzung!$B$21&lt;&gt;"")*IF(B146="",1,(IF(Besatzung!$C$21="",Besatzung!$B$5,Besatzung!$C$21)&lt;=B146)*(IF(Besatzung!$D$21="",Besatzung!$B$6,Besatzung!$D$21)&gt;=B146)))*((G146-IFERROR(H146,0))/IFERROR(SUMPRODUCT((Besatzung!$B$11:$B$22&lt;&gt;"")*(IF(Besatzung!$C$11:$C$22="",Besatzung!$B$5,Besatzung!$C$11:$C$22)&lt;=B146)*(IF(Besatzung!$D$11:$D$22="",Besatzung!$B$6,Besatzung!$D$11:$D$22)&gt;=B146)),1)+(Besatzung!$F$21="x")*IFERROR(H146,0)/IFERROR(SUMPRODUCT((Besatzung!$B$11:$B$22&lt;&gt;"")*(Besatzung!$F$11:$F$22="x")*(IF(Besatzung!$C$11:$C$22="",Besatzung!$B$5,Besatzung!$C$11:$C$22)&lt;=B146)*(IF(Besatzung!$D$11:$D$22="",Besatzung!$B$6,Besatzung!$D$11:$D$22)&gt;=B146)),1))),IF(I146="Individuell",((T146="x")*((G146-IFERROR(H146,0))/IFERROR(COUNTIF(J146:U146,"x"),1)+(Besatzung!$F$21="x")*IFERROR(H146,0)/IFERROR(SUMPRODUCT((J146:U146="x")*(Besatzung!$F$11:$F$22="x")),1))),(IF(COUNTIF(J146:U146,"x")=0,IF(Besatzung!$B$21&lt;&gt;"",1,0),(T146="x"))*(G146-IFERROR(H146,0))/IFERROR(IF(COUNTIF(J146:U146,"x")=0,COUNTA(Besatzung!$B$11:$B$22),COUNTIF(J146:U146,"x")),1)+IF(COUNTIF(J146:U146,"x")=0,(Besatzung!$F$21="x"),(T146="x")*(Besatzung!$F$21="x"))*IFERROR(H146,0)/IFERROR(IF(COUNTIF(J146:U146,"x")=0,SUMPRODUCT((Besatzung!$B$11:$B$22&lt;&gt;"")*(Besatzung!$F$11:$F$22="x")),SUMPRODUCT((J146:U146="x")*(Besatzung!$F$11:$F$22="x"))),1))))),0))))</f>
        <v/>
      </c>
      <c r="AG146" s="247">
        <f>IF(C146="Gutschrift","",IF(G146="","",IF(Besatzung!$B$22="","",IFERROR(IF(I146="Zeitanteilig",(Besatzung!$G$22*(G146-IFERROR(H146,0))+((Besatzung!$B$22&lt;&gt;"")*IF(B146="",1,(IF(Besatzung!$C$22="",Besatzung!$B$5,Besatzung!$C$22)&lt;=B146)*(IF(Besatzung!$D$22="",Besatzung!$B$6,Besatzung!$D$22)&gt;=B146)))*(Besatzung!$F$22="x")*IFERROR(H146,0)/IFERROR(SUMPRODUCT((Besatzung!$B$11:$B$22&lt;&gt;"")*(Besatzung!$F$11:$F$22="x")*(IF(Besatzung!$C$11:$C$22="",Besatzung!$B$5,Besatzung!$C$11:$C$22)&lt;=B146)*(IF(Besatzung!$D$11:$D$22="",Besatzung!$B$6,Besatzung!$D$11:$D$22)&gt;=B146)),1)),IF(I146="An Bord",(((Besatzung!$B$22&lt;&gt;"")*IF(B146="",1,(IF(Besatzung!$C$22="",Besatzung!$B$5,Besatzung!$C$22)&lt;=B146)*(IF(Besatzung!$D$22="",Besatzung!$B$6,Besatzung!$D$22)&gt;=B146)))*((G146-IFERROR(H146,0))/IFERROR(SUMPRODUCT((Besatzung!$B$11:$B$22&lt;&gt;"")*(IF(Besatzung!$C$11:$C$22="",Besatzung!$B$5,Besatzung!$C$11:$C$22)&lt;=B146)*(IF(Besatzung!$D$11:$D$22="",Besatzung!$B$6,Besatzung!$D$11:$D$22)&gt;=B146)),1)+(Besatzung!$F$22="x")*IFERROR(H146,0)/IFERROR(SUMPRODUCT((Besatzung!$B$11:$B$22&lt;&gt;"")*(Besatzung!$F$11:$F$22="x")*(IF(Besatzung!$C$11:$C$22="",Besatzung!$B$5,Besatzung!$C$11:$C$22)&lt;=B146)*(IF(Besatzung!$D$11:$D$22="",Besatzung!$B$6,Besatzung!$D$11:$D$22)&gt;=B146)),1))),IF(I146="Individuell",((U146="x")*((G146-IFERROR(H146,0))/IFERROR(COUNTIF(J146:U146,"x"),1)+(Besatzung!$F$22="x")*IFERROR(H146,0)/IFERROR(SUMPRODUCT((J146:U146="x")*(Besatzung!$F$11:$F$22="x")),1))),(IF(COUNTIF(J146:U146,"x")=0,IF(Besatzung!$B$22&lt;&gt;"",1,0),(U146="x"))*(G146-IFERROR(H146,0))/IFERROR(IF(COUNTIF(J146:U146,"x")=0,COUNTA(Besatzung!$B$11:$B$22),COUNTIF(J146:U146,"x")),1)+IF(COUNTIF(J146:U146,"x")=0,(Besatzung!$F$22="x"),(U146="x")*(Besatzung!$F$22="x"))*IFERROR(H146,0)/IFERROR(IF(COUNTIF(J146:U146,"x")=0,SUMPRODUCT((Besatzung!$B$11:$B$22&lt;&gt;"")*(Besatzung!$F$11:$F$22="x")),SUMPRODUCT((J146:U146="x")*(Besatzung!$F$11:$F$22="x"))),1))))),0))))</f>
        <v/>
      </c>
      <c r="AH146" s="248" t="n"/>
      <c r="AI146" s="248" t="n"/>
    </row>
    <row r="147" ht="21.75" customHeight="1" s="154">
      <c r="A147" s="238">
        <f>IF(AND(D147="",C147=""),"",144)</f>
        <v/>
      </c>
      <c r="B147" s="206" t="n"/>
      <c r="C147" s="249" t="n"/>
      <c r="D147" s="250" t="n"/>
      <c r="E147" s="251" t="n"/>
      <c r="F147" s="252" t="n"/>
      <c r="G147" s="253" t="n"/>
      <c r="H147" s="254" t="n"/>
      <c r="I147" s="255" t="n"/>
      <c r="J147" s="256" t="n"/>
      <c r="K147" s="256" t="n"/>
      <c r="L147" s="256" t="n"/>
      <c r="M147" s="256" t="n"/>
      <c r="N147" s="256" t="n"/>
      <c r="O147" s="256" t="n"/>
      <c r="P147" s="256" t="n"/>
      <c r="Q147" s="256" t="n"/>
      <c r="R147" s="256" t="n"/>
      <c r="S147" s="256" t="n"/>
      <c r="T147" s="256" t="n"/>
      <c r="U147" s="256" t="n"/>
      <c r="V147" s="247">
        <f>IF(C147="Gutschrift","",IF(G147="","",IF(Besatzung!$B$11="","",IFERROR(IF(I147="Zeitanteilig",(Besatzung!$G$11*(G147-IFERROR(H147,0))+((Besatzung!$B$11&lt;&gt;"")*IF(B147="",1,(IF(Besatzung!$C$11="",Besatzung!$B$5,Besatzung!$C$11)&lt;=B147)*(IF(Besatzung!$D$11="",Besatzung!$B$6,Besatzung!$D$11)&gt;=B147)))*(Besatzung!$F$11="x")*IFERROR(H147,0)/IFERROR(SUMPRODUCT((Besatzung!$B$11:$B$22&lt;&gt;"")*(Besatzung!$F$11:$F$22="x")*(IF(Besatzung!$C$11:$C$22="",Besatzung!$B$5,Besatzung!$C$11:$C$22)&lt;=B147)*(IF(Besatzung!$D$11:$D$22="",Besatzung!$B$6,Besatzung!$D$11:$D$22)&gt;=B147)),1)),IF(I147="An Bord",(((Besatzung!$B$11&lt;&gt;"")*IF(B147="",1,(IF(Besatzung!$C$11="",Besatzung!$B$5,Besatzung!$C$11)&lt;=B147)*(IF(Besatzung!$D$11="",Besatzung!$B$6,Besatzung!$D$11)&gt;=B147)))*((G147-IFERROR(H147,0))/IFERROR(SUMPRODUCT((Besatzung!$B$11:$B$22&lt;&gt;"")*(IF(Besatzung!$C$11:$C$22="",Besatzung!$B$5,Besatzung!$C$11:$C$22)&lt;=B147)*(IF(Besatzung!$D$11:$D$22="",Besatzung!$B$6,Besatzung!$D$11:$D$22)&gt;=B147)),1)+(Besatzung!$F$11="x")*IFERROR(H147,0)/IFERROR(SUMPRODUCT((Besatzung!$B$11:$B$22&lt;&gt;"")*(Besatzung!$F$11:$F$22="x")*(IF(Besatzung!$C$11:$C$22="",Besatzung!$B$5,Besatzung!$C$11:$C$22)&lt;=B147)*(IF(Besatzung!$D$11:$D$22="",Besatzung!$B$6,Besatzung!$D$11:$D$22)&gt;=B147)),1))),IF(I147="Individuell",((J147="x")*((G147-IFERROR(H147,0))/IFERROR(COUNTIF(J147:U147,"x"),1)+(Besatzung!$F$11="x")*IFERROR(H147,0)/IFERROR(SUMPRODUCT((J147:U147="x")*(Besatzung!$F$11:$F$22="x")),1))),(IF(COUNTIF(J147:U147,"x")=0,IF(Besatzung!$B$11&lt;&gt;"",1,0),(J147="x"))*(G147-IFERROR(H147,0))/IFERROR(IF(COUNTIF(J147:U147,"x")=0,COUNTA(Besatzung!$B$11:$B$22),COUNTIF(J147:U147,"x")),1)+IF(COUNTIF(J147:U147,"x")=0,(Besatzung!$F$11="x"),(J147="x")*(Besatzung!$F$11="x"))*IFERROR(H147,0)/IFERROR(IF(COUNTIF(J147:U147,"x")=0,SUMPRODUCT((Besatzung!$B$11:$B$22&lt;&gt;"")*(Besatzung!$F$11:$F$22="x")),SUMPRODUCT((J147:U147="x")*(Besatzung!$F$11:$F$22="x"))),1))))),0))))</f>
        <v/>
      </c>
      <c r="W147" s="247">
        <f>IF(C147="Gutschrift","",IF(G147="","",IF(Besatzung!$B$12="","",IFERROR(IF(I147="Zeitanteilig",(Besatzung!$G$12*(G147-IFERROR(H147,0))+((Besatzung!$B$12&lt;&gt;"")*IF(B147="",1,(IF(Besatzung!$C$12="",Besatzung!$B$5,Besatzung!$C$12)&lt;=B147)*(IF(Besatzung!$D$12="",Besatzung!$B$6,Besatzung!$D$12)&gt;=B147)))*(Besatzung!$F$12="x")*IFERROR(H147,0)/IFERROR(SUMPRODUCT((Besatzung!$B$11:$B$22&lt;&gt;"")*(Besatzung!$F$11:$F$22="x")*(IF(Besatzung!$C$11:$C$22="",Besatzung!$B$5,Besatzung!$C$11:$C$22)&lt;=B147)*(IF(Besatzung!$D$11:$D$22="",Besatzung!$B$6,Besatzung!$D$11:$D$22)&gt;=B147)),1)),IF(I147="An Bord",(((Besatzung!$B$12&lt;&gt;"")*IF(B147="",1,(IF(Besatzung!$C$12="",Besatzung!$B$5,Besatzung!$C$12)&lt;=B147)*(IF(Besatzung!$D$12="",Besatzung!$B$6,Besatzung!$D$12)&gt;=B147)))*((G147-IFERROR(H147,0))/IFERROR(SUMPRODUCT((Besatzung!$B$11:$B$22&lt;&gt;"")*(IF(Besatzung!$C$11:$C$22="",Besatzung!$B$5,Besatzung!$C$11:$C$22)&lt;=B147)*(IF(Besatzung!$D$11:$D$22="",Besatzung!$B$6,Besatzung!$D$11:$D$22)&gt;=B147)),1)+(Besatzung!$F$12="x")*IFERROR(H147,0)/IFERROR(SUMPRODUCT((Besatzung!$B$11:$B$22&lt;&gt;"")*(Besatzung!$F$11:$F$22="x")*(IF(Besatzung!$C$11:$C$22="",Besatzung!$B$5,Besatzung!$C$11:$C$22)&lt;=B147)*(IF(Besatzung!$D$11:$D$22="",Besatzung!$B$6,Besatzung!$D$11:$D$22)&gt;=B147)),1))),IF(I147="Individuell",((K147="x")*((G147-IFERROR(H147,0))/IFERROR(COUNTIF(J147:U147,"x"),1)+(Besatzung!$F$12="x")*IFERROR(H147,0)/IFERROR(SUMPRODUCT((J147:U147="x")*(Besatzung!$F$11:$F$22="x")),1))),(IF(COUNTIF(J147:U147,"x")=0,IF(Besatzung!$B$12&lt;&gt;"",1,0),(K147="x"))*(G147-IFERROR(H147,0))/IFERROR(IF(COUNTIF(J147:U147,"x")=0,COUNTA(Besatzung!$B$11:$B$22),COUNTIF(J147:U147,"x")),1)+IF(COUNTIF(J147:U147,"x")=0,(Besatzung!$F$12="x"),(K147="x")*(Besatzung!$F$12="x"))*IFERROR(H147,0)/IFERROR(IF(COUNTIF(J147:U147,"x")=0,SUMPRODUCT((Besatzung!$B$11:$B$22&lt;&gt;"")*(Besatzung!$F$11:$F$22="x")),SUMPRODUCT((J147:U147="x")*(Besatzung!$F$11:$F$22="x"))),1))))),0))))</f>
        <v/>
      </c>
      <c r="X147" s="247">
        <f>IF(C147="Gutschrift","",IF(G147="","",IF(Besatzung!$B$13="","",IFERROR(IF(I147="Zeitanteilig",(Besatzung!$G$13*(G147-IFERROR(H147,0))+((Besatzung!$B$13&lt;&gt;"")*IF(B147="",1,(IF(Besatzung!$C$13="",Besatzung!$B$5,Besatzung!$C$13)&lt;=B147)*(IF(Besatzung!$D$13="",Besatzung!$B$6,Besatzung!$D$13)&gt;=B147)))*(Besatzung!$F$13="x")*IFERROR(H147,0)/IFERROR(SUMPRODUCT((Besatzung!$B$11:$B$22&lt;&gt;"")*(Besatzung!$F$11:$F$22="x")*(IF(Besatzung!$C$11:$C$22="",Besatzung!$B$5,Besatzung!$C$11:$C$22)&lt;=B147)*(IF(Besatzung!$D$11:$D$22="",Besatzung!$B$6,Besatzung!$D$11:$D$22)&gt;=B147)),1)),IF(I147="An Bord",(((Besatzung!$B$13&lt;&gt;"")*IF(B147="",1,(IF(Besatzung!$C$13="",Besatzung!$B$5,Besatzung!$C$13)&lt;=B147)*(IF(Besatzung!$D$13="",Besatzung!$B$6,Besatzung!$D$13)&gt;=B147)))*((G147-IFERROR(H147,0))/IFERROR(SUMPRODUCT((Besatzung!$B$11:$B$22&lt;&gt;"")*(IF(Besatzung!$C$11:$C$22="",Besatzung!$B$5,Besatzung!$C$11:$C$22)&lt;=B147)*(IF(Besatzung!$D$11:$D$22="",Besatzung!$B$6,Besatzung!$D$11:$D$22)&gt;=B147)),1)+(Besatzung!$F$13="x")*IFERROR(H147,0)/IFERROR(SUMPRODUCT((Besatzung!$B$11:$B$22&lt;&gt;"")*(Besatzung!$F$11:$F$22="x")*(IF(Besatzung!$C$11:$C$22="",Besatzung!$B$5,Besatzung!$C$11:$C$22)&lt;=B147)*(IF(Besatzung!$D$11:$D$22="",Besatzung!$B$6,Besatzung!$D$11:$D$22)&gt;=B147)),1))),IF(I147="Individuell",((K147="x")*((G147-IFERROR(H147,0))/IFERROR(COUNTIF(J147:U147,"x"),1)+(Besatzung!$F$13="x")*IFERROR(H147,0)/IFERROR(SUMPRODUCT((J147:U147="x")*(Besatzung!$F$11:$F$22="x")),1))),(IF(COUNTIF(J147:U147,"x")=0,IF(Besatzung!$B$13&lt;&gt;"",1,0),(K147="x"))*(G147-IFERROR(H147,0))/IFERROR(IF(COUNTIF(J147:U147,"x")=0,COUNTA(Besatzung!$B$11:$B$22),COUNTIF(J147:U147,"x")),1)+IF(COUNTIF(J147:U147,"x")=0,(Besatzung!$F$13="x"),(K147="x")*(Besatzung!$F$13="x"))*IFERROR(H147,0)/IFERROR(IF(COUNTIF(J147:U147,"x")=0,SUMPRODUCT((Besatzung!$B$11:$B$22&lt;&gt;"")*(Besatzung!$F$11:$F$22="x")),SUMPRODUCT((J147:U147="x")*(Besatzung!$F$11:$F$22="x"))),1))))),0))))</f>
        <v/>
      </c>
      <c r="Y147" s="247">
        <f>IF(C147="Gutschrift","",IF(G147="","",IF(Besatzung!$B$14="","",IFERROR(IF(I147="Zeitanteilig",(Besatzung!$G$14*(G147-IFERROR(H147,0))+((Besatzung!$B$14&lt;&gt;"")*IF(B147="",1,(IF(Besatzung!$C$14="",Besatzung!$B$5,Besatzung!$C$14)&lt;=B147)*(IF(Besatzung!$D$14="",Besatzung!$B$6,Besatzung!$D$14)&gt;=B147)))*(Besatzung!$F$14="x")*IFERROR(H147,0)/IFERROR(SUMPRODUCT((Besatzung!$B$11:$B$22&lt;&gt;"")*(Besatzung!$F$11:$F$22="x")*(IF(Besatzung!$C$11:$C$22="",Besatzung!$B$5,Besatzung!$C$11:$C$22)&lt;=B147)*(IF(Besatzung!$D$11:$D$22="",Besatzung!$B$6,Besatzung!$D$11:$D$22)&gt;=B147)),1)),IF(I147="An Bord",(((Besatzung!$B$14&lt;&gt;"")*IF(B147="",1,(IF(Besatzung!$C$14="",Besatzung!$B$5,Besatzung!$C$14)&lt;=B147)*(IF(Besatzung!$D$14="",Besatzung!$B$6,Besatzung!$D$14)&gt;=B147)))*((G147-IFERROR(H147,0))/IFERROR(SUMPRODUCT((Besatzung!$B$11:$B$22&lt;&gt;"")*(IF(Besatzung!$C$11:$C$22="",Besatzung!$B$5,Besatzung!$C$11:$C$22)&lt;=B147)*(IF(Besatzung!$D$11:$D$22="",Besatzung!$B$6,Besatzung!$D$11:$D$22)&gt;=B147)),1)+(Besatzung!$F$14="x")*IFERROR(H147,0)/IFERROR(SUMPRODUCT((Besatzung!$B$11:$B$22&lt;&gt;"")*(Besatzung!$F$11:$F$22="x")*(IF(Besatzung!$C$11:$C$22="",Besatzung!$B$5,Besatzung!$C$11:$C$22)&lt;=B147)*(IF(Besatzung!$D$11:$D$22="",Besatzung!$B$6,Besatzung!$D$11:$D$22)&gt;=B147)),1))),IF(I147="Individuell",((M147="x")*((G147-IFERROR(H147,0))/IFERROR(COUNTIF(J147:U147,"x"),1)+(Besatzung!$F$14="x")*IFERROR(H147,0)/IFERROR(SUMPRODUCT((J147:U147="x")*(Besatzung!$F$11:$F$22="x")),1))),(IF(COUNTIF(J147:U147,"x")=0,IF(Besatzung!$B$14&lt;&gt;"",1,0),(M147="x"))*(G147-IFERROR(H147,0))/IFERROR(IF(COUNTIF(J147:U147,"x")=0,COUNTA(Besatzung!$B$11:$B$22),COUNTIF(J147:U147,"x")),1)+IF(COUNTIF(J147:U147,"x")=0,(Besatzung!$F$14="x"),(M147="x")*(Besatzung!$F$14="x"))*IFERROR(H147,0)/IFERROR(IF(COUNTIF(J147:U147,"x")=0,SUMPRODUCT((Besatzung!$B$11:$B$22&lt;&gt;"")*(Besatzung!$F$11:$F$22="x")),SUMPRODUCT((J147:U147="x")*(Besatzung!$F$11:$F$22="x"))),1))))),0))))</f>
        <v/>
      </c>
      <c r="Z147" s="247">
        <f>IF(C147="Gutschrift","",IF(G147="","",IF(Besatzung!$B$13="","",IFERROR(IF(I147="Zeitanteilig",(Besatzung!$G$15*(G147-IFERROR(H147,0))+((Besatzung!$B$13&lt;&gt;"")*IF(B147="",1,(IF(Besatzung!$C$15="",Besatzung!$B$5,Besatzung!$C$15)&lt;=B147)*(IF(Besatzung!$D$15="",Besatzung!$B$6,Besatzung!$D$15)&gt;=B147)))*(Besatzung!$F$15="x")*IFERROR(H147,0)/IFERROR(SUMPRODUCT((Besatzung!$B$11:$B$22&lt;&gt;"")*(Besatzung!$F$11:$F$22="x")*(IF(Besatzung!$C$11:$C$22="",Besatzung!$B$5,Besatzung!$C$11:$C$22)&lt;=B147)*(IF(Besatzung!$D$11:$D$22="",Besatzung!$B$6,Besatzung!$D$11:$D$22)&gt;=B147)),1)),IF(I147="An Bord",(((Besatzung!$B$13&lt;&gt;"")*IF(B147="",1,(IF(Besatzung!$C$15="",Besatzung!$B$5,Besatzung!$C$15)&lt;=B147)*(IF(Besatzung!$D$15="",Besatzung!$B$6,Besatzung!$D$15)&gt;=B147)))*((G147-IFERROR(H147,0))/IFERROR(SUMPRODUCT((Besatzung!$B$11:$B$22&lt;&gt;"")*(IF(Besatzung!$C$11:$C$22="",Besatzung!$B$5,Besatzung!$C$11:$C$22)&lt;=B147)*(IF(Besatzung!$D$11:$D$22="",Besatzung!$B$6,Besatzung!$D$11:$D$22)&gt;=B147)),1)+(Besatzung!$F$15="x")*IFERROR(H147,0)/IFERROR(SUMPRODUCT((Besatzung!$B$11:$B$22&lt;&gt;"")*(Besatzung!$F$11:$F$22="x")*(IF(Besatzung!$C$11:$C$22="",Besatzung!$B$5,Besatzung!$C$11:$C$22)&lt;=B147)*(IF(Besatzung!$D$11:$D$22="",Besatzung!$B$6,Besatzung!$D$11:$D$22)&gt;=B147)),1))),IF(I147="Individuell",((N147="x")*((G147-IFERROR(H147,0))/IFERROR(COUNTIF(J147:U147,"x"),1)+(Besatzung!$F$15="x")*IFERROR(H147,0)/IFERROR(SUMPRODUCT((J147:U147="x")*(Besatzung!$F$11:$F$22="x")),1))),(IF(COUNTIF(J147:U147,"x")=0,IF(Besatzung!$B$13&lt;&gt;"",1,0),(N147="x"))*(G147-IFERROR(H147,0))/IFERROR(IF(COUNTIF(J147:U147,"x")=0,COUNTA(Besatzung!$B$11:$B$22),COUNTIF(J147:U147,"x")),1)+IF(COUNTIF(J147:U147,"x")=0,(Besatzung!$F$15="x"),(N147="x")*(Besatzung!$F$15="x"))*IFERROR(H147,0)/IFERROR(IF(COUNTIF(J147:U147,"x")=0,SUMPRODUCT((Besatzung!$B$11:$B$22&lt;&gt;"")*(Besatzung!$F$11:$F$22="x")),SUMPRODUCT((J147:U147="x")*(Besatzung!$F$11:$F$22="x"))),1))))),0))))</f>
        <v/>
      </c>
      <c r="AA147" s="247">
        <f>IF(C147="Gutschrift","",IF(G147="","",IF(Besatzung!$B$15="","",IFERROR(IF(I147="Zeitanteilig",(Besatzung!$G$16*(G147-IFERROR(H147,0))+((Besatzung!$B$15&lt;&gt;"")*IF(B147="",1,(IF(Besatzung!$C$16="",Besatzung!$B$5,Besatzung!$C$16)&lt;=B147)*(IF(Besatzung!$D$16="",Besatzung!$B$6,Besatzung!$D$16)&gt;=B147)))*(Besatzung!$F$16="x")*IFERROR(H147,0)/IFERROR(SUMPRODUCT((Besatzung!$B$11:$B$22&lt;&gt;"")*(Besatzung!$F$11:$F$22="x")*(IF(Besatzung!$C$11:$C$22="",Besatzung!$B$5,Besatzung!$C$11:$C$22)&lt;=B147)*(IF(Besatzung!$D$11:$D$22="",Besatzung!$B$6,Besatzung!$D$11:$D$22)&gt;=B147)),1)),IF(I147="An Bord",(((Besatzung!$B$15&lt;&gt;"")*IF(B147="",1,(IF(Besatzung!$C$16="",Besatzung!$B$5,Besatzung!$C$16)&lt;=B147)*(IF(Besatzung!$D$16="",Besatzung!$B$6,Besatzung!$D$16)&gt;=B147)))*((G147-IFERROR(H147,0))/IFERROR(SUMPRODUCT((Besatzung!$B$11:$B$22&lt;&gt;"")*(IF(Besatzung!$C$11:$C$22="",Besatzung!$B$5,Besatzung!$C$11:$C$22)&lt;=B147)*(IF(Besatzung!$D$11:$D$22="",Besatzung!$B$6,Besatzung!$D$11:$D$22)&gt;=B147)),1)+(Besatzung!$F$16="x")*IFERROR(H147,0)/IFERROR(SUMPRODUCT((Besatzung!$B$11:$B$22&lt;&gt;"")*(Besatzung!$F$11:$F$22="x")*(IF(Besatzung!$C$11:$C$22="",Besatzung!$B$5,Besatzung!$C$11:$C$22)&lt;=B147)*(IF(Besatzung!$D$11:$D$22="",Besatzung!$B$6,Besatzung!$D$11:$D$22)&gt;=B147)),1))),IF(I147="Individuell",((O147="x")*((G147-IFERROR(H147,0))/IFERROR(COUNTIF(J147:U147,"x"),1)+(Besatzung!$F$16="x")*IFERROR(H147,0)/IFERROR(SUMPRODUCT((J147:U147="x")*(Besatzung!$F$11:$F$22="x")),1))),(IF(COUNTIF(J147:U147,"x")=0,IF(Besatzung!$B$15&lt;&gt;"",1,0),(O147="x"))*(G147-IFERROR(H147,0))/IFERROR(IF(COUNTIF(J147:U147,"x")=0,COUNTA(Besatzung!$B$11:$B$22),COUNTIF(J147:U147,"x")),1)+IF(COUNTIF(J147:U147,"x")=0,(Besatzung!$F$16="x"),(O147="x")*(Besatzung!$F$16="x"))*IFERROR(H147,0)/IFERROR(IF(COUNTIF(J147:U147,"x")=0,SUMPRODUCT((Besatzung!$B$11:$B$22&lt;&gt;"")*(Besatzung!$F$11:$F$22="x")),SUMPRODUCT((J147:U147="x")*(Besatzung!$F$11:$F$22="x"))),1))))),0))))</f>
        <v/>
      </c>
      <c r="AB147" s="247">
        <f>IF(C147="Gutschrift","",IF(G147="","",IF(Besatzung!$B$17="","",IFERROR(IF(I147="Zeitanteilig",(Besatzung!$G$17*(G147-IFERROR(H147,0))+((Besatzung!$B$17&lt;&gt;"")*IF(B147="",1,(IF(Besatzung!$C$17="",Besatzung!$B$5,Besatzung!$C$17)&lt;=B147)*(IF(Besatzung!$D$17="",Besatzung!$B$6,Besatzung!$D$17)&gt;=B147)))*(Besatzung!$F$17="x")*IFERROR(H147,0)/IFERROR(SUMPRODUCT((Besatzung!$B$11:$B$22&lt;&gt;"")*(Besatzung!$F$11:$F$22="x")*(IF(Besatzung!$C$11:$C$22="",Besatzung!$B$5,Besatzung!$C$11:$C$22)&lt;=B147)*(IF(Besatzung!$D$11:$D$22="",Besatzung!$B$6,Besatzung!$D$11:$D$22)&gt;=B147)),1)),IF(I147="An Bord",(((Besatzung!$B$17&lt;&gt;"")*IF(B147="",1,(IF(Besatzung!$C$17="",Besatzung!$B$5,Besatzung!$C$17)&lt;=B147)*(IF(Besatzung!$D$17="",Besatzung!$B$6,Besatzung!$D$17)&gt;=B147)))*((G147-IFERROR(H147,0))/IFERROR(SUMPRODUCT((Besatzung!$B$11:$B$22&lt;&gt;"")*(IF(Besatzung!$C$11:$C$22="",Besatzung!$B$5,Besatzung!$C$11:$C$22)&lt;=B147)*(IF(Besatzung!$D$11:$D$22="",Besatzung!$B$6,Besatzung!$D$11:$D$22)&gt;=B147)),1)+(Besatzung!$F$17="x")*IFERROR(H147,0)/IFERROR(SUMPRODUCT((Besatzung!$B$11:$B$22&lt;&gt;"")*(Besatzung!$F$11:$F$22="x")*(IF(Besatzung!$C$11:$C$22="",Besatzung!$B$5,Besatzung!$C$11:$C$22)&lt;=B147)*(IF(Besatzung!$D$11:$D$22="",Besatzung!$B$6,Besatzung!$D$11:$D$22)&gt;=B147)),1))),IF(I147="Individuell",((P147="x")*((G147-IFERROR(H147,0))/IFERROR(COUNTIF(J147:U147,"x"),1)+(Besatzung!$F$17="x")*IFERROR(H147,0)/IFERROR(SUMPRODUCT((J147:U147="x")*(Besatzung!$F$11:$F$22="x")),1))),(IF(COUNTIF(J147:U147,"x")=0,IF(Besatzung!$B$17&lt;&gt;"",1,0),(P147="x"))*(G147-IFERROR(H147,0))/IFERROR(IF(COUNTIF(J147:U147,"x")=0,COUNTA(Besatzung!$B$11:$B$22),COUNTIF(J147:U147,"x")),1)+IF(COUNTIF(J147:U147,"x")=0,(Besatzung!$F$17="x"),(P147="x")*(Besatzung!$F$17="x"))*IFERROR(H147,0)/IFERROR(IF(COUNTIF(J147:U147,"x")=0,SUMPRODUCT((Besatzung!$B$11:$B$22&lt;&gt;"")*(Besatzung!$F$11:$F$22="x")),SUMPRODUCT((J147:U147="x")*(Besatzung!$F$11:$F$22="x"))),1))))),0))))</f>
        <v/>
      </c>
      <c r="AC147" s="247">
        <f>IF(C147="Gutschrift","",IF(G147="","",IF(Besatzung!$B$18="","",IFERROR(IF(I147="Zeitanteilig",(Besatzung!$G$18*(G147-IFERROR(H147,0))+((Besatzung!$B$18&lt;&gt;"")*IF(B147="",1,(IF(Besatzung!$C$18="",Besatzung!$B$5,Besatzung!$C$18)&lt;=B147)*(IF(Besatzung!$D$18="",Besatzung!$B$6,Besatzung!$D$18)&gt;=B147)))*(Besatzung!$F$18="x")*IFERROR(H147,0)/IFERROR(SUMPRODUCT((Besatzung!$B$11:$B$22&lt;&gt;"")*(Besatzung!$F$11:$F$22="x")*(IF(Besatzung!$C$11:$C$22="",Besatzung!$B$5,Besatzung!$C$11:$C$22)&lt;=B147)*(IF(Besatzung!$D$11:$D$22="",Besatzung!$B$6,Besatzung!$D$11:$D$22)&gt;=B147)),1)),IF(I147="An Bord",(((Besatzung!$B$18&lt;&gt;"")*IF(B147="",1,(IF(Besatzung!$C$18="",Besatzung!$B$5,Besatzung!$C$18)&lt;=B147)*(IF(Besatzung!$D$18="",Besatzung!$B$6,Besatzung!$D$18)&gt;=B147)))*((G147-IFERROR(H147,0))/IFERROR(SUMPRODUCT((Besatzung!$B$11:$B$22&lt;&gt;"")*(IF(Besatzung!$C$11:$C$22="",Besatzung!$B$5,Besatzung!$C$11:$C$22)&lt;=B147)*(IF(Besatzung!$D$11:$D$22="",Besatzung!$B$6,Besatzung!$D$11:$D$22)&gt;=B147)),1)+(Besatzung!$F$18="x")*IFERROR(H147,0)/IFERROR(SUMPRODUCT((Besatzung!$B$11:$B$22&lt;&gt;"")*(Besatzung!$F$11:$F$22="x")*(IF(Besatzung!$C$11:$C$22="",Besatzung!$B$5,Besatzung!$C$11:$C$22)&lt;=B147)*(IF(Besatzung!$D$11:$D$22="",Besatzung!$B$6,Besatzung!$D$11:$D$22)&gt;=B147)),1))),IF(I147="Individuell",((Q147="x")*((G147-IFERROR(H147,0))/IFERROR(COUNTIF(J147:U147,"x"),1)+(Besatzung!$F$18="x")*IFERROR(H147,0)/IFERROR(SUMPRODUCT((J147:U147="x")*(Besatzung!$F$11:$F$22="x")),1))),(IF(COUNTIF(J147:U147,"x")=0,IF(Besatzung!$B$18&lt;&gt;"",1,0),(Q147="x"))*(G147-IFERROR(H147,0))/IFERROR(IF(COUNTIF(J147:U147,"x")=0,COUNTA(Besatzung!$B$11:$B$22),COUNTIF(J147:U147,"x")),1)+IF(COUNTIF(J147:U147,"x")=0,(Besatzung!$F$18="x"),(Q147="x")*(Besatzung!$F$18="x"))*IFERROR(H147,0)/IFERROR(IF(COUNTIF(J147:U147,"x")=0,SUMPRODUCT((Besatzung!$B$11:$B$22&lt;&gt;"")*(Besatzung!$F$11:$F$22="x")),SUMPRODUCT((J147:U147="x")*(Besatzung!$F$11:$F$22="x"))),1))))),0))))</f>
        <v/>
      </c>
      <c r="AD147" s="247">
        <f>IF(C147="Gutschrift","",IF(G147="","",IF(Besatzung!$B$19="","",IFERROR(IF(I147="Zeitanteilig",(Besatzung!$G$19*(G147-IFERROR(H147,0))+((Besatzung!$B$19&lt;&gt;"")*IF(B147="",1,(IF(Besatzung!$C$19="",Besatzung!$B$5,Besatzung!$C$19)&lt;=B147)*(IF(Besatzung!$D$19="",Besatzung!$B$6,Besatzung!$D$19)&gt;=B147)))*(Besatzung!$F$19="x")*IFERROR(H147,0)/IFERROR(SUMPRODUCT((Besatzung!$B$11:$B$22&lt;&gt;"")*(Besatzung!$F$11:$F$22="x")*(IF(Besatzung!$C$11:$C$22="",Besatzung!$B$5,Besatzung!$C$11:$C$22)&lt;=B147)*(IF(Besatzung!$D$11:$D$22="",Besatzung!$B$6,Besatzung!$D$11:$D$22)&gt;=B147)),1)),IF(I147="An Bord",(((Besatzung!$B$19&lt;&gt;"")*IF(B147="",1,(IF(Besatzung!$C$19="",Besatzung!$B$5,Besatzung!$C$19)&lt;=B147)*(IF(Besatzung!$D$19="",Besatzung!$B$6,Besatzung!$D$19)&gt;=B147)))*((G147-IFERROR(H147,0))/IFERROR(SUMPRODUCT((Besatzung!$B$11:$B$22&lt;&gt;"")*(IF(Besatzung!$C$11:$C$22="",Besatzung!$B$5,Besatzung!$C$11:$C$22)&lt;=B147)*(IF(Besatzung!$D$11:$D$22="",Besatzung!$B$6,Besatzung!$D$11:$D$22)&gt;=B147)),1)+(Besatzung!$F$19="x")*IFERROR(H147,0)/IFERROR(SUMPRODUCT((Besatzung!$B$11:$B$22&lt;&gt;"")*(Besatzung!$F$11:$F$22="x")*(IF(Besatzung!$C$11:$C$22="",Besatzung!$B$5,Besatzung!$C$11:$C$22)&lt;=B147)*(IF(Besatzung!$D$11:$D$22="",Besatzung!$B$6,Besatzung!$D$11:$D$22)&gt;=B147)),1))),IF(I147="Individuell",((R147="x")*((G147-IFERROR(H147,0))/IFERROR(COUNTIF(J147:U147,"x"),1)+(Besatzung!$F$19="x")*IFERROR(H147,0)/IFERROR(SUMPRODUCT((J147:U147="x")*(Besatzung!$F$11:$F$22="x")),1))),(IF(COUNTIF(J147:U147,"x")=0,IF(Besatzung!$B$19&lt;&gt;"",1,0),(R147="x"))*(G147-IFERROR(H147,0))/IFERROR(IF(COUNTIF(J147:U147,"x")=0,COUNTA(Besatzung!$B$11:$B$22),COUNTIF(J147:U147,"x")),1)+IF(COUNTIF(J147:U147,"x")=0,(Besatzung!$F$19="x"),(R147="x")*(Besatzung!$F$19="x"))*IFERROR(H147,0)/IFERROR(IF(COUNTIF(J147:U147,"x")=0,SUMPRODUCT((Besatzung!$B$11:$B$22&lt;&gt;"")*(Besatzung!$F$11:$F$22="x")),SUMPRODUCT((J147:U147="x")*(Besatzung!$F$11:$F$22="x"))),1))))),0))))</f>
        <v/>
      </c>
      <c r="AE147" s="247">
        <f>IF(C147="Gutschrift","",IF(G147="","",IF(Besatzung!$B$20="","",IFERROR(IF(I147="Zeitanteilig",(Besatzung!$G$20*(G147-IFERROR(H147,0))+((Besatzung!$B$20&lt;&gt;"")*IF(B147="",1,(IF(Besatzung!$C$20="",Besatzung!$B$5,Besatzung!$C$20)&lt;=B147)*(IF(Besatzung!$D$20="",Besatzung!$B$6,Besatzung!$D$20)&gt;=B147)))*(Besatzung!$F$20="x")*IFERROR(H147,0)/IFERROR(SUMPRODUCT((Besatzung!$B$11:$B$22&lt;&gt;"")*(Besatzung!$F$11:$F$22="x")*(IF(Besatzung!$C$11:$C$22="",Besatzung!$B$5,Besatzung!$C$11:$C$22)&lt;=B147)*(IF(Besatzung!$D$11:$D$22="",Besatzung!$B$6,Besatzung!$D$11:$D$22)&gt;=B147)),1)),IF(I147="An Bord",(((Besatzung!$B$20&lt;&gt;"")*IF(B147="",1,(IF(Besatzung!$C$20="",Besatzung!$B$5,Besatzung!$C$20)&lt;=B147)*(IF(Besatzung!$D$20="",Besatzung!$B$6,Besatzung!$D$20)&gt;=B147)))*((G147-IFERROR(H147,0))/IFERROR(SUMPRODUCT((Besatzung!$B$11:$B$22&lt;&gt;"")*(IF(Besatzung!$C$11:$C$22="",Besatzung!$B$5,Besatzung!$C$11:$C$22)&lt;=B147)*(IF(Besatzung!$D$11:$D$22="",Besatzung!$B$6,Besatzung!$D$11:$D$22)&gt;=B147)),1)+(Besatzung!$F$20="x")*IFERROR(H147,0)/IFERROR(SUMPRODUCT((Besatzung!$B$11:$B$22&lt;&gt;"")*(Besatzung!$F$11:$F$22="x")*(IF(Besatzung!$C$11:$C$22="",Besatzung!$B$5,Besatzung!$C$11:$C$22)&lt;=B147)*(IF(Besatzung!$D$11:$D$22="",Besatzung!$B$6,Besatzung!$D$11:$D$22)&gt;=B147)),1))),IF(I147="Individuell",((S147="x")*((G147-IFERROR(H147,0))/IFERROR(COUNTIF(J147:U147,"x"),1)+(Besatzung!$F$20="x")*IFERROR(H147,0)/IFERROR(SUMPRODUCT((J147:U147="x")*(Besatzung!$F$11:$F$22="x")),1))),(IF(COUNTIF(J147:U147,"x")=0,IF(Besatzung!$B$20&lt;&gt;"",1,0),(S147="x"))*(G147-IFERROR(H147,0))/IFERROR(IF(COUNTIF(J147:U147,"x")=0,COUNTA(Besatzung!$B$11:$B$22),COUNTIF(J147:U147,"x")),1)+IF(COUNTIF(J147:U147,"x")=0,(Besatzung!$F$20="x"),(S147="x")*(Besatzung!$F$20="x"))*IFERROR(H147,0)/IFERROR(IF(COUNTIF(J147:U147,"x")=0,SUMPRODUCT((Besatzung!$B$11:$B$22&lt;&gt;"")*(Besatzung!$F$11:$F$22="x")),SUMPRODUCT((J147:U147="x")*(Besatzung!$F$11:$F$22="x"))),1))))),0))))</f>
        <v/>
      </c>
      <c r="AF147" s="247">
        <f>IF(C147="Gutschrift","",IF(G147="","",IF(Besatzung!$B$21="","",IFERROR(IF(I147="Zeitanteilig",(Besatzung!$G$21*(G147-IFERROR(H147,0))+((Besatzung!$B$21&lt;&gt;"")*IF(B147="",1,(IF(Besatzung!$C$21="",Besatzung!$B$5,Besatzung!$C$21)&lt;=B147)*(IF(Besatzung!$D$21="",Besatzung!$B$6,Besatzung!$D$21)&gt;=B147)))*(Besatzung!$F$21="x")*IFERROR(H147,0)/IFERROR(SUMPRODUCT((Besatzung!$B$11:$B$22&lt;&gt;"")*(Besatzung!$F$11:$F$22="x")*(IF(Besatzung!$C$11:$C$22="",Besatzung!$B$5,Besatzung!$C$11:$C$22)&lt;=B147)*(IF(Besatzung!$D$11:$D$22="",Besatzung!$B$6,Besatzung!$D$11:$D$22)&gt;=B147)),1)),IF(I147="An Bord",(((Besatzung!$B$21&lt;&gt;"")*IF(B147="",1,(IF(Besatzung!$C$21="",Besatzung!$B$5,Besatzung!$C$21)&lt;=B147)*(IF(Besatzung!$D$21="",Besatzung!$B$6,Besatzung!$D$21)&gt;=B147)))*((G147-IFERROR(H147,0))/IFERROR(SUMPRODUCT((Besatzung!$B$11:$B$22&lt;&gt;"")*(IF(Besatzung!$C$11:$C$22="",Besatzung!$B$5,Besatzung!$C$11:$C$22)&lt;=B147)*(IF(Besatzung!$D$11:$D$22="",Besatzung!$B$6,Besatzung!$D$11:$D$22)&gt;=B147)),1)+(Besatzung!$F$21="x")*IFERROR(H147,0)/IFERROR(SUMPRODUCT((Besatzung!$B$11:$B$22&lt;&gt;"")*(Besatzung!$F$11:$F$22="x")*(IF(Besatzung!$C$11:$C$22="",Besatzung!$B$5,Besatzung!$C$11:$C$22)&lt;=B147)*(IF(Besatzung!$D$11:$D$22="",Besatzung!$B$6,Besatzung!$D$11:$D$22)&gt;=B147)),1))),IF(I147="Individuell",((T147="x")*((G147-IFERROR(H147,0))/IFERROR(COUNTIF(J147:U147,"x"),1)+(Besatzung!$F$21="x")*IFERROR(H147,0)/IFERROR(SUMPRODUCT((J147:U147="x")*(Besatzung!$F$11:$F$22="x")),1))),(IF(COUNTIF(J147:U147,"x")=0,IF(Besatzung!$B$21&lt;&gt;"",1,0),(T147="x"))*(G147-IFERROR(H147,0))/IFERROR(IF(COUNTIF(J147:U147,"x")=0,COUNTA(Besatzung!$B$11:$B$22),COUNTIF(J147:U147,"x")),1)+IF(COUNTIF(J147:U147,"x")=0,(Besatzung!$F$21="x"),(T147="x")*(Besatzung!$F$21="x"))*IFERROR(H147,0)/IFERROR(IF(COUNTIF(J147:U147,"x")=0,SUMPRODUCT((Besatzung!$B$11:$B$22&lt;&gt;"")*(Besatzung!$F$11:$F$22="x")),SUMPRODUCT((J147:U147="x")*(Besatzung!$F$11:$F$22="x"))),1))))),0))))</f>
        <v/>
      </c>
      <c r="AG147" s="247">
        <f>IF(C147="Gutschrift","",IF(G147="","",IF(Besatzung!$B$22="","",IFERROR(IF(I147="Zeitanteilig",(Besatzung!$G$22*(G147-IFERROR(H147,0))+((Besatzung!$B$22&lt;&gt;"")*IF(B147="",1,(IF(Besatzung!$C$22="",Besatzung!$B$5,Besatzung!$C$22)&lt;=B147)*(IF(Besatzung!$D$22="",Besatzung!$B$6,Besatzung!$D$22)&gt;=B147)))*(Besatzung!$F$22="x")*IFERROR(H147,0)/IFERROR(SUMPRODUCT((Besatzung!$B$11:$B$22&lt;&gt;"")*(Besatzung!$F$11:$F$22="x")*(IF(Besatzung!$C$11:$C$22="",Besatzung!$B$5,Besatzung!$C$11:$C$22)&lt;=B147)*(IF(Besatzung!$D$11:$D$22="",Besatzung!$B$6,Besatzung!$D$11:$D$22)&gt;=B147)),1)),IF(I147="An Bord",(((Besatzung!$B$22&lt;&gt;"")*IF(B147="",1,(IF(Besatzung!$C$22="",Besatzung!$B$5,Besatzung!$C$22)&lt;=B147)*(IF(Besatzung!$D$22="",Besatzung!$B$6,Besatzung!$D$22)&gt;=B147)))*((G147-IFERROR(H147,0))/IFERROR(SUMPRODUCT((Besatzung!$B$11:$B$22&lt;&gt;"")*(IF(Besatzung!$C$11:$C$22="",Besatzung!$B$5,Besatzung!$C$11:$C$22)&lt;=B147)*(IF(Besatzung!$D$11:$D$22="",Besatzung!$B$6,Besatzung!$D$11:$D$22)&gt;=B147)),1)+(Besatzung!$F$22="x")*IFERROR(H147,0)/IFERROR(SUMPRODUCT((Besatzung!$B$11:$B$22&lt;&gt;"")*(Besatzung!$F$11:$F$22="x")*(IF(Besatzung!$C$11:$C$22="",Besatzung!$B$5,Besatzung!$C$11:$C$22)&lt;=B147)*(IF(Besatzung!$D$11:$D$22="",Besatzung!$B$6,Besatzung!$D$11:$D$22)&gt;=B147)),1))),IF(I147="Individuell",((U147="x")*((G147-IFERROR(H147,0))/IFERROR(COUNTIF(J147:U147,"x"),1)+(Besatzung!$F$22="x")*IFERROR(H147,0)/IFERROR(SUMPRODUCT((J147:U147="x")*(Besatzung!$F$11:$F$22="x")),1))),(IF(COUNTIF(J147:U147,"x")=0,IF(Besatzung!$B$22&lt;&gt;"",1,0),(U147="x"))*(G147-IFERROR(H147,0))/IFERROR(IF(COUNTIF(J147:U147,"x")=0,COUNTA(Besatzung!$B$11:$B$22),COUNTIF(J147:U147,"x")),1)+IF(COUNTIF(J147:U147,"x")=0,(Besatzung!$F$22="x"),(U147="x")*(Besatzung!$F$22="x"))*IFERROR(H147,0)/IFERROR(IF(COUNTIF(J147:U147,"x")=0,SUMPRODUCT((Besatzung!$B$11:$B$22&lt;&gt;"")*(Besatzung!$F$11:$F$22="x")),SUMPRODUCT((J147:U147="x")*(Besatzung!$F$11:$F$22="x"))),1))))),0))))</f>
        <v/>
      </c>
      <c r="AH147" s="248" t="n"/>
      <c r="AI147" s="248" t="n"/>
    </row>
    <row r="148" ht="21.75" customHeight="1" s="154">
      <c r="A148" s="238">
        <f>IF(AND(D148="",C148=""),"",145)</f>
        <v/>
      </c>
      <c r="B148" s="199" t="n"/>
      <c r="C148" s="239" t="n"/>
      <c r="D148" s="240" t="n"/>
      <c r="E148" s="241" t="n"/>
      <c r="F148" s="242" t="n"/>
      <c r="G148" s="243" t="n"/>
      <c r="H148" s="244" t="n"/>
      <c r="I148" s="245" t="n"/>
      <c r="J148" s="246" t="n"/>
      <c r="K148" s="246" t="n"/>
      <c r="L148" s="246" t="n"/>
      <c r="M148" s="246" t="n"/>
      <c r="N148" s="246" t="n"/>
      <c r="O148" s="246" t="n"/>
      <c r="P148" s="246" t="n"/>
      <c r="Q148" s="246" t="n"/>
      <c r="R148" s="246" t="n"/>
      <c r="S148" s="246" t="n"/>
      <c r="T148" s="246" t="n"/>
      <c r="U148" s="246" t="n"/>
      <c r="V148" s="247">
        <f>IF(C148="Gutschrift","",IF(G148="","",IF(Besatzung!$B$11="","",IFERROR(IF(I148="Zeitanteilig",(Besatzung!$G$11*(G148-IFERROR(H148,0))+((Besatzung!$B$11&lt;&gt;"")*IF(B148="",1,(IF(Besatzung!$C$11="",Besatzung!$B$5,Besatzung!$C$11)&lt;=B148)*(IF(Besatzung!$D$11="",Besatzung!$B$6,Besatzung!$D$11)&gt;=B148)))*(Besatzung!$F$11="x")*IFERROR(H148,0)/IFERROR(SUMPRODUCT((Besatzung!$B$11:$B$22&lt;&gt;"")*(Besatzung!$F$11:$F$22="x")*(IF(Besatzung!$C$11:$C$22="",Besatzung!$B$5,Besatzung!$C$11:$C$22)&lt;=B148)*(IF(Besatzung!$D$11:$D$22="",Besatzung!$B$6,Besatzung!$D$11:$D$22)&gt;=B148)),1)),IF(I148="An Bord",(((Besatzung!$B$11&lt;&gt;"")*IF(B148="",1,(IF(Besatzung!$C$11="",Besatzung!$B$5,Besatzung!$C$11)&lt;=B148)*(IF(Besatzung!$D$11="",Besatzung!$B$6,Besatzung!$D$11)&gt;=B148)))*((G148-IFERROR(H148,0))/IFERROR(SUMPRODUCT((Besatzung!$B$11:$B$22&lt;&gt;"")*(IF(Besatzung!$C$11:$C$22="",Besatzung!$B$5,Besatzung!$C$11:$C$22)&lt;=B148)*(IF(Besatzung!$D$11:$D$22="",Besatzung!$B$6,Besatzung!$D$11:$D$22)&gt;=B148)),1)+(Besatzung!$F$11="x")*IFERROR(H148,0)/IFERROR(SUMPRODUCT((Besatzung!$B$11:$B$22&lt;&gt;"")*(Besatzung!$F$11:$F$22="x")*(IF(Besatzung!$C$11:$C$22="",Besatzung!$B$5,Besatzung!$C$11:$C$22)&lt;=B148)*(IF(Besatzung!$D$11:$D$22="",Besatzung!$B$6,Besatzung!$D$11:$D$22)&gt;=B148)),1))),IF(I148="Individuell",((J148="x")*((G148-IFERROR(H148,0))/IFERROR(COUNTIF(J148:U148,"x"),1)+(Besatzung!$F$11="x")*IFERROR(H148,0)/IFERROR(SUMPRODUCT((J148:U148="x")*(Besatzung!$F$11:$F$22="x")),1))),(IF(COUNTIF(J148:U148,"x")=0,IF(Besatzung!$B$11&lt;&gt;"",1,0),(J148="x"))*(G148-IFERROR(H148,0))/IFERROR(IF(COUNTIF(J148:U148,"x")=0,COUNTA(Besatzung!$B$11:$B$22),COUNTIF(J148:U148,"x")),1)+IF(COUNTIF(J148:U148,"x")=0,(Besatzung!$F$11="x"),(J148="x")*(Besatzung!$F$11="x"))*IFERROR(H148,0)/IFERROR(IF(COUNTIF(J148:U148,"x")=0,SUMPRODUCT((Besatzung!$B$11:$B$22&lt;&gt;"")*(Besatzung!$F$11:$F$22="x")),SUMPRODUCT((J148:U148="x")*(Besatzung!$F$11:$F$22="x"))),1))))),0))))</f>
        <v/>
      </c>
      <c r="W148" s="247">
        <f>IF(C148="Gutschrift","",IF(G148="","",IF(Besatzung!$B$12="","",IFERROR(IF(I148="Zeitanteilig",(Besatzung!$G$12*(G148-IFERROR(H148,0))+((Besatzung!$B$12&lt;&gt;"")*IF(B148="",1,(IF(Besatzung!$C$12="",Besatzung!$B$5,Besatzung!$C$12)&lt;=B148)*(IF(Besatzung!$D$12="",Besatzung!$B$6,Besatzung!$D$12)&gt;=B148)))*(Besatzung!$F$12="x")*IFERROR(H148,0)/IFERROR(SUMPRODUCT((Besatzung!$B$11:$B$22&lt;&gt;"")*(Besatzung!$F$11:$F$22="x")*(IF(Besatzung!$C$11:$C$22="",Besatzung!$B$5,Besatzung!$C$11:$C$22)&lt;=B148)*(IF(Besatzung!$D$11:$D$22="",Besatzung!$B$6,Besatzung!$D$11:$D$22)&gt;=B148)),1)),IF(I148="An Bord",(((Besatzung!$B$12&lt;&gt;"")*IF(B148="",1,(IF(Besatzung!$C$12="",Besatzung!$B$5,Besatzung!$C$12)&lt;=B148)*(IF(Besatzung!$D$12="",Besatzung!$B$6,Besatzung!$D$12)&gt;=B148)))*((G148-IFERROR(H148,0))/IFERROR(SUMPRODUCT((Besatzung!$B$11:$B$22&lt;&gt;"")*(IF(Besatzung!$C$11:$C$22="",Besatzung!$B$5,Besatzung!$C$11:$C$22)&lt;=B148)*(IF(Besatzung!$D$11:$D$22="",Besatzung!$B$6,Besatzung!$D$11:$D$22)&gt;=B148)),1)+(Besatzung!$F$12="x")*IFERROR(H148,0)/IFERROR(SUMPRODUCT((Besatzung!$B$11:$B$22&lt;&gt;"")*(Besatzung!$F$11:$F$22="x")*(IF(Besatzung!$C$11:$C$22="",Besatzung!$B$5,Besatzung!$C$11:$C$22)&lt;=B148)*(IF(Besatzung!$D$11:$D$22="",Besatzung!$B$6,Besatzung!$D$11:$D$22)&gt;=B148)),1))),IF(I148="Individuell",((K148="x")*((G148-IFERROR(H148,0))/IFERROR(COUNTIF(J148:U148,"x"),1)+(Besatzung!$F$12="x")*IFERROR(H148,0)/IFERROR(SUMPRODUCT((J148:U148="x")*(Besatzung!$F$11:$F$22="x")),1))),(IF(COUNTIF(J148:U148,"x")=0,IF(Besatzung!$B$12&lt;&gt;"",1,0),(K148="x"))*(G148-IFERROR(H148,0))/IFERROR(IF(COUNTIF(J148:U148,"x")=0,COUNTA(Besatzung!$B$11:$B$22),COUNTIF(J148:U148,"x")),1)+IF(COUNTIF(J148:U148,"x")=0,(Besatzung!$F$12="x"),(K148="x")*(Besatzung!$F$12="x"))*IFERROR(H148,0)/IFERROR(IF(COUNTIF(J148:U148,"x")=0,SUMPRODUCT((Besatzung!$B$11:$B$22&lt;&gt;"")*(Besatzung!$F$11:$F$22="x")),SUMPRODUCT((J148:U148="x")*(Besatzung!$F$11:$F$22="x"))),1))))),0))))</f>
        <v/>
      </c>
      <c r="X148" s="247">
        <f>IF(C148="Gutschrift","",IF(G148="","",IF(Besatzung!$B$13="","",IFERROR(IF(I148="Zeitanteilig",(Besatzung!$G$13*(G148-IFERROR(H148,0))+((Besatzung!$B$13&lt;&gt;"")*IF(B148="",1,(IF(Besatzung!$C$13="",Besatzung!$B$5,Besatzung!$C$13)&lt;=B148)*(IF(Besatzung!$D$13="",Besatzung!$B$6,Besatzung!$D$13)&gt;=B148)))*(Besatzung!$F$13="x")*IFERROR(H148,0)/IFERROR(SUMPRODUCT((Besatzung!$B$11:$B$22&lt;&gt;"")*(Besatzung!$F$11:$F$22="x")*(IF(Besatzung!$C$11:$C$22="",Besatzung!$B$5,Besatzung!$C$11:$C$22)&lt;=B148)*(IF(Besatzung!$D$11:$D$22="",Besatzung!$B$6,Besatzung!$D$11:$D$22)&gt;=B148)),1)),IF(I148="An Bord",(((Besatzung!$B$13&lt;&gt;"")*IF(B148="",1,(IF(Besatzung!$C$13="",Besatzung!$B$5,Besatzung!$C$13)&lt;=B148)*(IF(Besatzung!$D$13="",Besatzung!$B$6,Besatzung!$D$13)&gt;=B148)))*((G148-IFERROR(H148,0))/IFERROR(SUMPRODUCT((Besatzung!$B$11:$B$22&lt;&gt;"")*(IF(Besatzung!$C$11:$C$22="",Besatzung!$B$5,Besatzung!$C$11:$C$22)&lt;=B148)*(IF(Besatzung!$D$11:$D$22="",Besatzung!$B$6,Besatzung!$D$11:$D$22)&gt;=B148)),1)+(Besatzung!$F$13="x")*IFERROR(H148,0)/IFERROR(SUMPRODUCT((Besatzung!$B$11:$B$22&lt;&gt;"")*(Besatzung!$F$11:$F$22="x")*(IF(Besatzung!$C$11:$C$22="",Besatzung!$B$5,Besatzung!$C$11:$C$22)&lt;=B148)*(IF(Besatzung!$D$11:$D$22="",Besatzung!$B$6,Besatzung!$D$11:$D$22)&gt;=B148)),1))),IF(I148="Individuell",((K148="x")*((G148-IFERROR(H148,0))/IFERROR(COUNTIF(J148:U148,"x"),1)+(Besatzung!$F$13="x")*IFERROR(H148,0)/IFERROR(SUMPRODUCT((J148:U148="x")*(Besatzung!$F$11:$F$22="x")),1))),(IF(COUNTIF(J148:U148,"x")=0,IF(Besatzung!$B$13&lt;&gt;"",1,0),(K148="x"))*(G148-IFERROR(H148,0))/IFERROR(IF(COUNTIF(J148:U148,"x")=0,COUNTA(Besatzung!$B$11:$B$22),COUNTIF(J148:U148,"x")),1)+IF(COUNTIF(J148:U148,"x")=0,(Besatzung!$F$13="x"),(K148="x")*(Besatzung!$F$13="x"))*IFERROR(H148,0)/IFERROR(IF(COUNTIF(J148:U148,"x")=0,SUMPRODUCT((Besatzung!$B$11:$B$22&lt;&gt;"")*(Besatzung!$F$11:$F$22="x")),SUMPRODUCT((J148:U148="x")*(Besatzung!$F$11:$F$22="x"))),1))))),0))))</f>
        <v/>
      </c>
      <c r="Y148" s="247">
        <f>IF(C148="Gutschrift","",IF(G148="","",IF(Besatzung!$B$14="","",IFERROR(IF(I148="Zeitanteilig",(Besatzung!$G$14*(G148-IFERROR(H148,0))+((Besatzung!$B$14&lt;&gt;"")*IF(B148="",1,(IF(Besatzung!$C$14="",Besatzung!$B$5,Besatzung!$C$14)&lt;=B148)*(IF(Besatzung!$D$14="",Besatzung!$B$6,Besatzung!$D$14)&gt;=B148)))*(Besatzung!$F$14="x")*IFERROR(H148,0)/IFERROR(SUMPRODUCT((Besatzung!$B$11:$B$22&lt;&gt;"")*(Besatzung!$F$11:$F$22="x")*(IF(Besatzung!$C$11:$C$22="",Besatzung!$B$5,Besatzung!$C$11:$C$22)&lt;=B148)*(IF(Besatzung!$D$11:$D$22="",Besatzung!$B$6,Besatzung!$D$11:$D$22)&gt;=B148)),1)),IF(I148="An Bord",(((Besatzung!$B$14&lt;&gt;"")*IF(B148="",1,(IF(Besatzung!$C$14="",Besatzung!$B$5,Besatzung!$C$14)&lt;=B148)*(IF(Besatzung!$D$14="",Besatzung!$B$6,Besatzung!$D$14)&gt;=B148)))*((G148-IFERROR(H148,0))/IFERROR(SUMPRODUCT((Besatzung!$B$11:$B$22&lt;&gt;"")*(IF(Besatzung!$C$11:$C$22="",Besatzung!$B$5,Besatzung!$C$11:$C$22)&lt;=B148)*(IF(Besatzung!$D$11:$D$22="",Besatzung!$B$6,Besatzung!$D$11:$D$22)&gt;=B148)),1)+(Besatzung!$F$14="x")*IFERROR(H148,0)/IFERROR(SUMPRODUCT((Besatzung!$B$11:$B$22&lt;&gt;"")*(Besatzung!$F$11:$F$22="x")*(IF(Besatzung!$C$11:$C$22="",Besatzung!$B$5,Besatzung!$C$11:$C$22)&lt;=B148)*(IF(Besatzung!$D$11:$D$22="",Besatzung!$B$6,Besatzung!$D$11:$D$22)&gt;=B148)),1))),IF(I148="Individuell",((M148="x")*((G148-IFERROR(H148,0))/IFERROR(COUNTIF(J148:U148,"x"),1)+(Besatzung!$F$14="x")*IFERROR(H148,0)/IFERROR(SUMPRODUCT((J148:U148="x")*(Besatzung!$F$11:$F$22="x")),1))),(IF(COUNTIF(J148:U148,"x")=0,IF(Besatzung!$B$14&lt;&gt;"",1,0),(M148="x"))*(G148-IFERROR(H148,0))/IFERROR(IF(COUNTIF(J148:U148,"x")=0,COUNTA(Besatzung!$B$11:$B$22),COUNTIF(J148:U148,"x")),1)+IF(COUNTIF(J148:U148,"x")=0,(Besatzung!$F$14="x"),(M148="x")*(Besatzung!$F$14="x"))*IFERROR(H148,0)/IFERROR(IF(COUNTIF(J148:U148,"x")=0,SUMPRODUCT((Besatzung!$B$11:$B$22&lt;&gt;"")*(Besatzung!$F$11:$F$22="x")),SUMPRODUCT((J148:U148="x")*(Besatzung!$F$11:$F$22="x"))),1))))),0))))</f>
        <v/>
      </c>
      <c r="Z148" s="247">
        <f>IF(C148="Gutschrift","",IF(G148="","",IF(Besatzung!$B$13="","",IFERROR(IF(I148="Zeitanteilig",(Besatzung!$G$15*(G148-IFERROR(H148,0))+((Besatzung!$B$13&lt;&gt;"")*IF(B148="",1,(IF(Besatzung!$C$15="",Besatzung!$B$5,Besatzung!$C$15)&lt;=B148)*(IF(Besatzung!$D$15="",Besatzung!$B$6,Besatzung!$D$15)&gt;=B148)))*(Besatzung!$F$15="x")*IFERROR(H148,0)/IFERROR(SUMPRODUCT((Besatzung!$B$11:$B$22&lt;&gt;"")*(Besatzung!$F$11:$F$22="x")*(IF(Besatzung!$C$11:$C$22="",Besatzung!$B$5,Besatzung!$C$11:$C$22)&lt;=B148)*(IF(Besatzung!$D$11:$D$22="",Besatzung!$B$6,Besatzung!$D$11:$D$22)&gt;=B148)),1)),IF(I148="An Bord",(((Besatzung!$B$13&lt;&gt;"")*IF(B148="",1,(IF(Besatzung!$C$15="",Besatzung!$B$5,Besatzung!$C$15)&lt;=B148)*(IF(Besatzung!$D$15="",Besatzung!$B$6,Besatzung!$D$15)&gt;=B148)))*((G148-IFERROR(H148,0))/IFERROR(SUMPRODUCT((Besatzung!$B$11:$B$22&lt;&gt;"")*(IF(Besatzung!$C$11:$C$22="",Besatzung!$B$5,Besatzung!$C$11:$C$22)&lt;=B148)*(IF(Besatzung!$D$11:$D$22="",Besatzung!$B$6,Besatzung!$D$11:$D$22)&gt;=B148)),1)+(Besatzung!$F$15="x")*IFERROR(H148,0)/IFERROR(SUMPRODUCT((Besatzung!$B$11:$B$22&lt;&gt;"")*(Besatzung!$F$11:$F$22="x")*(IF(Besatzung!$C$11:$C$22="",Besatzung!$B$5,Besatzung!$C$11:$C$22)&lt;=B148)*(IF(Besatzung!$D$11:$D$22="",Besatzung!$B$6,Besatzung!$D$11:$D$22)&gt;=B148)),1))),IF(I148="Individuell",((N148="x")*((G148-IFERROR(H148,0))/IFERROR(COUNTIF(J148:U148,"x"),1)+(Besatzung!$F$15="x")*IFERROR(H148,0)/IFERROR(SUMPRODUCT((J148:U148="x")*(Besatzung!$F$11:$F$22="x")),1))),(IF(COUNTIF(J148:U148,"x")=0,IF(Besatzung!$B$13&lt;&gt;"",1,0),(N148="x"))*(G148-IFERROR(H148,0))/IFERROR(IF(COUNTIF(J148:U148,"x")=0,COUNTA(Besatzung!$B$11:$B$22),COUNTIF(J148:U148,"x")),1)+IF(COUNTIF(J148:U148,"x")=0,(Besatzung!$F$15="x"),(N148="x")*(Besatzung!$F$15="x"))*IFERROR(H148,0)/IFERROR(IF(COUNTIF(J148:U148,"x")=0,SUMPRODUCT((Besatzung!$B$11:$B$22&lt;&gt;"")*(Besatzung!$F$11:$F$22="x")),SUMPRODUCT((J148:U148="x")*(Besatzung!$F$11:$F$22="x"))),1))))),0))))</f>
        <v/>
      </c>
      <c r="AA148" s="247">
        <f>IF(C148="Gutschrift","",IF(G148="","",IF(Besatzung!$B$15="","",IFERROR(IF(I148="Zeitanteilig",(Besatzung!$G$16*(G148-IFERROR(H148,0))+((Besatzung!$B$15&lt;&gt;"")*IF(B148="",1,(IF(Besatzung!$C$16="",Besatzung!$B$5,Besatzung!$C$16)&lt;=B148)*(IF(Besatzung!$D$16="",Besatzung!$B$6,Besatzung!$D$16)&gt;=B148)))*(Besatzung!$F$16="x")*IFERROR(H148,0)/IFERROR(SUMPRODUCT((Besatzung!$B$11:$B$22&lt;&gt;"")*(Besatzung!$F$11:$F$22="x")*(IF(Besatzung!$C$11:$C$22="",Besatzung!$B$5,Besatzung!$C$11:$C$22)&lt;=B148)*(IF(Besatzung!$D$11:$D$22="",Besatzung!$B$6,Besatzung!$D$11:$D$22)&gt;=B148)),1)),IF(I148="An Bord",(((Besatzung!$B$15&lt;&gt;"")*IF(B148="",1,(IF(Besatzung!$C$16="",Besatzung!$B$5,Besatzung!$C$16)&lt;=B148)*(IF(Besatzung!$D$16="",Besatzung!$B$6,Besatzung!$D$16)&gt;=B148)))*((G148-IFERROR(H148,0))/IFERROR(SUMPRODUCT((Besatzung!$B$11:$B$22&lt;&gt;"")*(IF(Besatzung!$C$11:$C$22="",Besatzung!$B$5,Besatzung!$C$11:$C$22)&lt;=B148)*(IF(Besatzung!$D$11:$D$22="",Besatzung!$B$6,Besatzung!$D$11:$D$22)&gt;=B148)),1)+(Besatzung!$F$16="x")*IFERROR(H148,0)/IFERROR(SUMPRODUCT((Besatzung!$B$11:$B$22&lt;&gt;"")*(Besatzung!$F$11:$F$22="x")*(IF(Besatzung!$C$11:$C$22="",Besatzung!$B$5,Besatzung!$C$11:$C$22)&lt;=B148)*(IF(Besatzung!$D$11:$D$22="",Besatzung!$B$6,Besatzung!$D$11:$D$22)&gt;=B148)),1))),IF(I148="Individuell",((O148="x")*((G148-IFERROR(H148,0))/IFERROR(COUNTIF(J148:U148,"x"),1)+(Besatzung!$F$16="x")*IFERROR(H148,0)/IFERROR(SUMPRODUCT((J148:U148="x")*(Besatzung!$F$11:$F$22="x")),1))),(IF(COUNTIF(J148:U148,"x")=0,IF(Besatzung!$B$15&lt;&gt;"",1,0),(O148="x"))*(G148-IFERROR(H148,0))/IFERROR(IF(COUNTIF(J148:U148,"x")=0,COUNTA(Besatzung!$B$11:$B$22),COUNTIF(J148:U148,"x")),1)+IF(COUNTIF(J148:U148,"x")=0,(Besatzung!$F$16="x"),(O148="x")*(Besatzung!$F$16="x"))*IFERROR(H148,0)/IFERROR(IF(COUNTIF(J148:U148,"x")=0,SUMPRODUCT((Besatzung!$B$11:$B$22&lt;&gt;"")*(Besatzung!$F$11:$F$22="x")),SUMPRODUCT((J148:U148="x")*(Besatzung!$F$11:$F$22="x"))),1))))),0))))</f>
        <v/>
      </c>
      <c r="AB148" s="247">
        <f>IF(C148="Gutschrift","",IF(G148="","",IF(Besatzung!$B$17="","",IFERROR(IF(I148="Zeitanteilig",(Besatzung!$G$17*(G148-IFERROR(H148,0))+((Besatzung!$B$17&lt;&gt;"")*IF(B148="",1,(IF(Besatzung!$C$17="",Besatzung!$B$5,Besatzung!$C$17)&lt;=B148)*(IF(Besatzung!$D$17="",Besatzung!$B$6,Besatzung!$D$17)&gt;=B148)))*(Besatzung!$F$17="x")*IFERROR(H148,0)/IFERROR(SUMPRODUCT((Besatzung!$B$11:$B$22&lt;&gt;"")*(Besatzung!$F$11:$F$22="x")*(IF(Besatzung!$C$11:$C$22="",Besatzung!$B$5,Besatzung!$C$11:$C$22)&lt;=B148)*(IF(Besatzung!$D$11:$D$22="",Besatzung!$B$6,Besatzung!$D$11:$D$22)&gt;=B148)),1)),IF(I148="An Bord",(((Besatzung!$B$17&lt;&gt;"")*IF(B148="",1,(IF(Besatzung!$C$17="",Besatzung!$B$5,Besatzung!$C$17)&lt;=B148)*(IF(Besatzung!$D$17="",Besatzung!$B$6,Besatzung!$D$17)&gt;=B148)))*((G148-IFERROR(H148,0))/IFERROR(SUMPRODUCT((Besatzung!$B$11:$B$22&lt;&gt;"")*(IF(Besatzung!$C$11:$C$22="",Besatzung!$B$5,Besatzung!$C$11:$C$22)&lt;=B148)*(IF(Besatzung!$D$11:$D$22="",Besatzung!$B$6,Besatzung!$D$11:$D$22)&gt;=B148)),1)+(Besatzung!$F$17="x")*IFERROR(H148,0)/IFERROR(SUMPRODUCT((Besatzung!$B$11:$B$22&lt;&gt;"")*(Besatzung!$F$11:$F$22="x")*(IF(Besatzung!$C$11:$C$22="",Besatzung!$B$5,Besatzung!$C$11:$C$22)&lt;=B148)*(IF(Besatzung!$D$11:$D$22="",Besatzung!$B$6,Besatzung!$D$11:$D$22)&gt;=B148)),1))),IF(I148="Individuell",((P148="x")*((G148-IFERROR(H148,0))/IFERROR(COUNTIF(J148:U148,"x"),1)+(Besatzung!$F$17="x")*IFERROR(H148,0)/IFERROR(SUMPRODUCT((J148:U148="x")*(Besatzung!$F$11:$F$22="x")),1))),(IF(COUNTIF(J148:U148,"x")=0,IF(Besatzung!$B$17&lt;&gt;"",1,0),(P148="x"))*(G148-IFERROR(H148,0))/IFERROR(IF(COUNTIF(J148:U148,"x")=0,COUNTA(Besatzung!$B$11:$B$22),COUNTIF(J148:U148,"x")),1)+IF(COUNTIF(J148:U148,"x")=0,(Besatzung!$F$17="x"),(P148="x")*(Besatzung!$F$17="x"))*IFERROR(H148,0)/IFERROR(IF(COUNTIF(J148:U148,"x")=0,SUMPRODUCT((Besatzung!$B$11:$B$22&lt;&gt;"")*(Besatzung!$F$11:$F$22="x")),SUMPRODUCT((J148:U148="x")*(Besatzung!$F$11:$F$22="x"))),1))))),0))))</f>
        <v/>
      </c>
      <c r="AC148" s="247">
        <f>IF(C148="Gutschrift","",IF(G148="","",IF(Besatzung!$B$18="","",IFERROR(IF(I148="Zeitanteilig",(Besatzung!$G$18*(G148-IFERROR(H148,0))+((Besatzung!$B$18&lt;&gt;"")*IF(B148="",1,(IF(Besatzung!$C$18="",Besatzung!$B$5,Besatzung!$C$18)&lt;=B148)*(IF(Besatzung!$D$18="",Besatzung!$B$6,Besatzung!$D$18)&gt;=B148)))*(Besatzung!$F$18="x")*IFERROR(H148,0)/IFERROR(SUMPRODUCT((Besatzung!$B$11:$B$22&lt;&gt;"")*(Besatzung!$F$11:$F$22="x")*(IF(Besatzung!$C$11:$C$22="",Besatzung!$B$5,Besatzung!$C$11:$C$22)&lt;=B148)*(IF(Besatzung!$D$11:$D$22="",Besatzung!$B$6,Besatzung!$D$11:$D$22)&gt;=B148)),1)),IF(I148="An Bord",(((Besatzung!$B$18&lt;&gt;"")*IF(B148="",1,(IF(Besatzung!$C$18="",Besatzung!$B$5,Besatzung!$C$18)&lt;=B148)*(IF(Besatzung!$D$18="",Besatzung!$B$6,Besatzung!$D$18)&gt;=B148)))*((G148-IFERROR(H148,0))/IFERROR(SUMPRODUCT((Besatzung!$B$11:$B$22&lt;&gt;"")*(IF(Besatzung!$C$11:$C$22="",Besatzung!$B$5,Besatzung!$C$11:$C$22)&lt;=B148)*(IF(Besatzung!$D$11:$D$22="",Besatzung!$B$6,Besatzung!$D$11:$D$22)&gt;=B148)),1)+(Besatzung!$F$18="x")*IFERROR(H148,0)/IFERROR(SUMPRODUCT((Besatzung!$B$11:$B$22&lt;&gt;"")*(Besatzung!$F$11:$F$22="x")*(IF(Besatzung!$C$11:$C$22="",Besatzung!$B$5,Besatzung!$C$11:$C$22)&lt;=B148)*(IF(Besatzung!$D$11:$D$22="",Besatzung!$B$6,Besatzung!$D$11:$D$22)&gt;=B148)),1))),IF(I148="Individuell",((Q148="x")*((G148-IFERROR(H148,0))/IFERROR(COUNTIF(J148:U148,"x"),1)+(Besatzung!$F$18="x")*IFERROR(H148,0)/IFERROR(SUMPRODUCT((J148:U148="x")*(Besatzung!$F$11:$F$22="x")),1))),(IF(COUNTIF(J148:U148,"x")=0,IF(Besatzung!$B$18&lt;&gt;"",1,0),(Q148="x"))*(G148-IFERROR(H148,0))/IFERROR(IF(COUNTIF(J148:U148,"x")=0,COUNTA(Besatzung!$B$11:$B$22),COUNTIF(J148:U148,"x")),1)+IF(COUNTIF(J148:U148,"x")=0,(Besatzung!$F$18="x"),(Q148="x")*(Besatzung!$F$18="x"))*IFERROR(H148,0)/IFERROR(IF(COUNTIF(J148:U148,"x")=0,SUMPRODUCT((Besatzung!$B$11:$B$22&lt;&gt;"")*(Besatzung!$F$11:$F$22="x")),SUMPRODUCT((J148:U148="x")*(Besatzung!$F$11:$F$22="x"))),1))))),0))))</f>
        <v/>
      </c>
      <c r="AD148" s="247">
        <f>IF(C148="Gutschrift","",IF(G148="","",IF(Besatzung!$B$19="","",IFERROR(IF(I148="Zeitanteilig",(Besatzung!$G$19*(G148-IFERROR(H148,0))+((Besatzung!$B$19&lt;&gt;"")*IF(B148="",1,(IF(Besatzung!$C$19="",Besatzung!$B$5,Besatzung!$C$19)&lt;=B148)*(IF(Besatzung!$D$19="",Besatzung!$B$6,Besatzung!$D$19)&gt;=B148)))*(Besatzung!$F$19="x")*IFERROR(H148,0)/IFERROR(SUMPRODUCT((Besatzung!$B$11:$B$22&lt;&gt;"")*(Besatzung!$F$11:$F$22="x")*(IF(Besatzung!$C$11:$C$22="",Besatzung!$B$5,Besatzung!$C$11:$C$22)&lt;=B148)*(IF(Besatzung!$D$11:$D$22="",Besatzung!$B$6,Besatzung!$D$11:$D$22)&gt;=B148)),1)),IF(I148="An Bord",(((Besatzung!$B$19&lt;&gt;"")*IF(B148="",1,(IF(Besatzung!$C$19="",Besatzung!$B$5,Besatzung!$C$19)&lt;=B148)*(IF(Besatzung!$D$19="",Besatzung!$B$6,Besatzung!$D$19)&gt;=B148)))*((G148-IFERROR(H148,0))/IFERROR(SUMPRODUCT((Besatzung!$B$11:$B$22&lt;&gt;"")*(IF(Besatzung!$C$11:$C$22="",Besatzung!$B$5,Besatzung!$C$11:$C$22)&lt;=B148)*(IF(Besatzung!$D$11:$D$22="",Besatzung!$B$6,Besatzung!$D$11:$D$22)&gt;=B148)),1)+(Besatzung!$F$19="x")*IFERROR(H148,0)/IFERROR(SUMPRODUCT((Besatzung!$B$11:$B$22&lt;&gt;"")*(Besatzung!$F$11:$F$22="x")*(IF(Besatzung!$C$11:$C$22="",Besatzung!$B$5,Besatzung!$C$11:$C$22)&lt;=B148)*(IF(Besatzung!$D$11:$D$22="",Besatzung!$B$6,Besatzung!$D$11:$D$22)&gt;=B148)),1))),IF(I148="Individuell",((R148="x")*((G148-IFERROR(H148,0))/IFERROR(COUNTIF(J148:U148,"x"),1)+(Besatzung!$F$19="x")*IFERROR(H148,0)/IFERROR(SUMPRODUCT((J148:U148="x")*(Besatzung!$F$11:$F$22="x")),1))),(IF(COUNTIF(J148:U148,"x")=0,IF(Besatzung!$B$19&lt;&gt;"",1,0),(R148="x"))*(G148-IFERROR(H148,0))/IFERROR(IF(COUNTIF(J148:U148,"x")=0,COUNTA(Besatzung!$B$11:$B$22),COUNTIF(J148:U148,"x")),1)+IF(COUNTIF(J148:U148,"x")=0,(Besatzung!$F$19="x"),(R148="x")*(Besatzung!$F$19="x"))*IFERROR(H148,0)/IFERROR(IF(COUNTIF(J148:U148,"x")=0,SUMPRODUCT((Besatzung!$B$11:$B$22&lt;&gt;"")*(Besatzung!$F$11:$F$22="x")),SUMPRODUCT((J148:U148="x")*(Besatzung!$F$11:$F$22="x"))),1))))),0))))</f>
        <v/>
      </c>
      <c r="AE148" s="247">
        <f>IF(C148="Gutschrift","",IF(G148="","",IF(Besatzung!$B$20="","",IFERROR(IF(I148="Zeitanteilig",(Besatzung!$G$20*(G148-IFERROR(H148,0))+((Besatzung!$B$20&lt;&gt;"")*IF(B148="",1,(IF(Besatzung!$C$20="",Besatzung!$B$5,Besatzung!$C$20)&lt;=B148)*(IF(Besatzung!$D$20="",Besatzung!$B$6,Besatzung!$D$20)&gt;=B148)))*(Besatzung!$F$20="x")*IFERROR(H148,0)/IFERROR(SUMPRODUCT((Besatzung!$B$11:$B$22&lt;&gt;"")*(Besatzung!$F$11:$F$22="x")*(IF(Besatzung!$C$11:$C$22="",Besatzung!$B$5,Besatzung!$C$11:$C$22)&lt;=B148)*(IF(Besatzung!$D$11:$D$22="",Besatzung!$B$6,Besatzung!$D$11:$D$22)&gt;=B148)),1)),IF(I148="An Bord",(((Besatzung!$B$20&lt;&gt;"")*IF(B148="",1,(IF(Besatzung!$C$20="",Besatzung!$B$5,Besatzung!$C$20)&lt;=B148)*(IF(Besatzung!$D$20="",Besatzung!$B$6,Besatzung!$D$20)&gt;=B148)))*((G148-IFERROR(H148,0))/IFERROR(SUMPRODUCT((Besatzung!$B$11:$B$22&lt;&gt;"")*(IF(Besatzung!$C$11:$C$22="",Besatzung!$B$5,Besatzung!$C$11:$C$22)&lt;=B148)*(IF(Besatzung!$D$11:$D$22="",Besatzung!$B$6,Besatzung!$D$11:$D$22)&gt;=B148)),1)+(Besatzung!$F$20="x")*IFERROR(H148,0)/IFERROR(SUMPRODUCT((Besatzung!$B$11:$B$22&lt;&gt;"")*(Besatzung!$F$11:$F$22="x")*(IF(Besatzung!$C$11:$C$22="",Besatzung!$B$5,Besatzung!$C$11:$C$22)&lt;=B148)*(IF(Besatzung!$D$11:$D$22="",Besatzung!$B$6,Besatzung!$D$11:$D$22)&gt;=B148)),1))),IF(I148="Individuell",((S148="x")*((G148-IFERROR(H148,0))/IFERROR(COUNTIF(J148:U148,"x"),1)+(Besatzung!$F$20="x")*IFERROR(H148,0)/IFERROR(SUMPRODUCT((J148:U148="x")*(Besatzung!$F$11:$F$22="x")),1))),(IF(COUNTIF(J148:U148,"x")=0,IF(Besatzung!$B$20&lt;&gt;"",1,0),(S148="x"))*(G148-IFERROR(H148,0))/IFERROR(IF(COUNTIF(J148:U148,"x")=0,COUNTA(Besatzung!$B$11:$B$22),COUNTIF(J148:U148,"x")),1)+IF(COUNTIF(J148:U148,"x")=0,(Besatzung!$F$20="x"),(S148="x")*(Besatzung!$F$20="x"))*IFERROR(H148,0)/IFERROR(IF(COUNTIF(J148:U148,"x")=0,SUMPRODUCT((Besatzung!$B$11:$B$22&lt;&gt;"")*(Besatzung!$F$11:$F$22="x")),SUMPRODUCT((J148:U148="x")*(Besatzung!$F$11:$F$22="x"))),1))))),0))))</f>
        <v/>
      </c>
      <c r="AF148" s="247">
        <f>IF(C148="Gutschrift","",IF(G148="","",IF(Besatzung!$B$21="","",IFERROR(IF(I148="Zeitanteilig",(Besatzung!$G$21*(G148-IFERROR(H148,0))+((Besatzung!$B$21&lt;&gt;"")*IF(B148="",1,(IF(Besatzung!$C$21="",Besatzung!$B$5,Besatzung!$C$21)&lt;=B148)*(IF(Besatzung!$D$21="",Besatzung!$B$6,Besatzung!$D$21)&gt;=B148)))*(Besatzung!$F$21="x")*IFERROR(H148,0)/IFERROR(SUMPRODUCT((Besatzung!$B$11:$B$22&lt;&gt;"")*(Besatzung!$F$11:$F$22="x")*(IF(Besatzung!$C$11:$C$22="",Besatzung!$B$5,Besatzung!$C$11:$C$22)&lt;=B148)*(IF(Besatzung!$D$11:$D$22="",Besatzung!$B$6,Besatzung!$D$11:$D$22)&gt;=B148)),1)),IF(I148="An Bord",(((Besatzung!$B$21&lt;&gt;"")*IF(B148="",1,(IF(Besatzung!$C$21="",Besatzung!$B$5,Besatzung!$C$21)&lt;=B148)*(IF(Besatzung!$D$21="",Besatzung!$B$6,Besatzung!$D$21)&gt;=B148)))*((G148-IFERROR(H148,0))/IFERROR(SUMPRODUCT((Besatzung!$B$11:$B$22&lt;&gt;"")*(IF(Besatzung!$C$11:$C$22="",Besatzung!$B$5,Besatzung!$C$11:$C$22)&lt;=B148)*(IF(Besatzung!$D$11:$D$22="",Besatzung!$B$6,Besatzung!$D$11:$D$22)&gt;=B148)),1)+(Besatzung!$F$21="x")*IFERROR(H148,0)/IFERROR(SUMPRODUCT((Besatzung!$B$11:$B$22&lt;&gt;"")*(Besatzung!$F$11:$F$22="x")*(IF(Besatzung!$C$11:$C$22="",Besatzung!$B$5,Besatzung!$C$11:$C$22)&lt;=B148)*(IF(Besatzung!$D$11:$D$22="",Besatzung!$B$6,Besatzung!$D$11:$D$22)&gt;=B148)),1))),IF(I148="Individuell",((T148="x")*((G148-IFERROR(H148,0))/IFERROR(COUNTIF(J148:U148,"x"),1)+(Besatzung!$F$21="x")*IFERROR(H148,0)/IFERROR(SUMPRODUCT((J148:U148="x")*(Besatzung!$F$11:$F$22="x")),1))),(IF(COUNTIF(J148:U148,"x")=0,IF(Besatzung!$B$21&lt;&gt;"",1,0),(T148="x"))*(G148-IFERROR(H148,0))/IFERROR(IF(COUNTIF(J148:U148,"x")=0,COUNTA(Besatzung!$B$11:$B$22),COUNTIF(J148:U148,"x")),1)+IF(COUNTIF(J148:U148,"x")=0,(Besatzung!$F$21="x"),(T148="x")*(Besatzung!$F$21="x"))*IFERROR(H148,0)/IFERROR(IF(COUNTIF(J148:U148,"x")=0,SUMPRODUCT((Besatzung!$B$11:$B$22&lt;&gt;"")*(Besatzung!$F$11:$F$22="x")),SUMPRODUCT((J148:U148="x")*(Besatzung!$F$11:$F$22="x"))),1))))),0))))</f>
        <v/>
      </c>
      <c r="AG148" s="247">
        <f>IF(C148="Gutschrift","",IF(G148="","",IF(Besatzung!$B$22="","",IFERROR(IF(I148="Zeitanteilig",(Besatzung!$G$22*(G148-IFERROR(H148,0))+((Besatzung!$B$22&lt;&gt;"")*IF(B148="",1,(IF(Besatzung!$C$22="",Besatzung!$B$5,Besatzung!$C$22)&lt;=B148)*(IF(Besatzung!$D$22="",Besatzung!$B$6,Besatzung!$D$22)&gt;=B148)))*(Besatzung!$F$22="x")*IFERROR(H148,0)/IFERROR(SUMPRODUCT((Besatzung!$B$11:$B$22&lt;&gt;"")*(Besatzung!$F$11:$F$22="x")*(IF(Besatzung!$C$11:$C$22="",Besatzung!$B$5,Besatzung!$C$11:$C$22)&lt;=B148)*(IF(Besatzung!$D$11:$D$22="",Besatzung!$B$6,Besatzung!$D$11:$D$22)&gt;=B148)),1)),IF(I148="An Bord",(((Besatzung!$B$22&lt;&gt;"")*IF(B148="",1,(IF(Besatzung!$C$22="",Besatzung!$B$5,Besatzung!$C$22)&lt;=B148)*(IF(Besatzung!$D$22="",Besatzung!$B$6,Besatzung!$D$22)&gt;=B148)))*((G148-IFERROR(H148,0))/IFERROR(SUMPRODUCT((Besatzung!$B$11:$B$22&lt;&gt;"")*(IF(Besatzung!$C$11:$C$22="",Besatzung!$B$5,Besatzung!$C$11:$C$22)&lt;=B148)*(IF(Besatzung!$D$11:$D$22="",Besatzung!$B$6,Besatzung!$D$11:$D$22)&gt;=B148)),1)+(Besatzung!$F$22="x")*IFERROR(H148,0)/IFERROR(SUMPRODUCT((Besatzung!$B$11:$B$22&lt;&gt;"")*(Besatzung!$F$11:$F$22="x")*(IF(Besatzung!$C$11:$C$22="",Besatzung!$B$5,Besatzung!$C$11:$C$22)&lt;=B148)*(IF(Besatzung!$D$11:$D$22="",Besatzung!$B$6,Besatzung!$D$11:$D$22)&gt;=B148)),1))),IF(I148="Individuell",((U148="x")*((G148-IFERROR(H148,0))/IFERROR(COUNTIF(J148:U148,"x"),1)+(Besatzung!$F$22="x")*IFERROR(H148,0)/IFERROR(SUMPRODUCT((J148:U148="x")*(Besatzung!$F$11:$F$22="x")),1))),(IF(COUNTIF(J148:U148,"x")=0,IF(Besatzung!$B$22&lt;&gt;"",1,0),(U148="x"))*(G148-IFERROR(H148,0))/IFERROR(IF(COUNTIF(J148:U148,"x")=0,COUNTA(Besatzung!$B$11:$B$22),COUNTIF(J148:U148,"x")),1)+IF(COUNTIF(J148:U148,"x")=0,(Besatzung!$F$22="x"),(U148="x")*(Besatzung!$F$22="x"))*IFERROR(H148,0)/IFERROR(IF(COUNTIF(J148:U148,"x")=0,SUMPRODUCT((Besatzung!$B$11:$B$22&lt;&gt;"")*(Besatzung!$F$11:$F$22="x")),SUMPRODUCT((J148:U148="x")*(Besatzung!$F$11:$F$22="x"))),1))))),0))))</f>
        <v/>
      </c>
      <c r="AH148" s="248" t="n"/>
      <c r="AI148" s="248" t="n"/>
    </row>
    <row r="149" ht="21.75" customHeight="1" s="154">
      <c r="A149" s="238">
        <f>IF(AND(D149="",C149=""),"",146)</f>
        <v/>
      </c>
      <c r="B149" s="206" t="n"/>
      <c r="C149" s="249" t="n"/>
      <c r="D149" s="250" t="n"/>
      <c r="E149" s="251" t="n"/>
      <c r="F149" s="252" t="n"/>
      <c r="G149" s="253" t="n"/>
      <c r="H149" s="254" t="n"/>
      <c r="I149" s="255" t="n"/>
      <c r="J149" s="256" t="n"/>
      <c r="K149" s="256" t="n"/>
      <c r="L149" s="256" t="n"/>
      <c r="M149" s="256" t="n"/>
      <c r="N149" s="256" t="n"/>
      <c r="O149" s="256" t="n"/>
      <c r="P149" s="256" t="n"/>
      <c r="Q149" s="256" t="n"/>
      <c r="R149" s="256" t="n"/>
      <c r="S149" s="256" t="n"/>
      <c r="T149" s="256" t="n"/>
      <c r="U149" s="256" t="n"/>
      <c r="V149" s="247">
        <f>IF(C149="Gutschrift","",IF(G149="","",IF(Besatzung!$B$11="","",IFERROR(IF(I149="Zeitanteilig",(Besatzung!$G$11*(G149-IFERROR(H149,0))+((Besatzung!$B$11&lt;&gt;"")*IF(B149="",1,(IF(Besatzung!$C$11="",Besatzung!$B$5,Besatzung!$C$11)&lt;=B149)*(IF(Besatzung!$D$11="",Besatzung!$B$6,Besatzung!$D$11)&gt;=B149)))*(Besatzung!$F$11="x")*IFERROR(H149,0)/IFERROR(SUMPRODUCT((Besatzung!$B$11:$B$22&lt;&gt;"")*(Besatzung!$F$11:$F$22="x")*(IF(Besatzung!$C$11:$C$22="",Besatzung!$B$5,Besatzung!$C$11:$C$22)&lt;=B149)*(IF(Besatzung!$D$11:$D$22="",Besatzung!$B$6,Besatzung!$D$11:$D$22)&gt;=B149)),1)),IF(I149="An Bord",(((Besatzung!$B$11&lt;&gt;"")*IF(B149="",1,(IF(Besatzung!$C$11="",Besatzung!$B$5,Besatzung!$C$11)&lt;=B149)*(IF(Besatzung!$D$11="",Besatzung!$B$6,Besatzung!$D$11)&gt;=B149)))*((G149-IFERROR(H149,0))/IFERROR(SUMPRODUCT((Besatzung!$B$11:$B$22&lt;&gt;"")*(IF(Besatzung!$C$11:$C$22="",Besatzung!$B$5,Besatzung!$C$11:$C$22)&lt;=B149)*(IF(Besatzung!$D$11:$D$22="",Besatzung!$B$6,Besatzung!$D$11:$D$22)&gt;=B149)),1)+(Besatzung!$F$11="x")*IFERROR(H149,0)/IFERROR(SUMPRODUCT((Besatzung!$B$11:$B$22&lt;&gt;"")*(Besatzung!$F$11:$F$22="x")*(IF(Besatzung!$C$11:$C$22="",Besatzung!$B$5,Besatzung!$C$11:$C$22)&lt;=B149)*(IF(Besatzung!$D$11:$D$22="",Besatzung!$B$6,Besatzung!$D$11:$D$22)&gt;=B149)),1))),IF(I149="Individuell",((J149="x")*((G149-IFERROR(H149,0))/IFERROR(COUNTIF(J149:U149,"x"),1)+(Besatzung!$F$11="x")*IFERROR(H149,0)/IFERROR(SUMPRODUCT((J149:U149="x")*(Besatzung!$F$11:$F$22="x")),1))),(IF(COUNTIF(J149:U149,"x")=0,IF(Besatzung!$B$11&lt;&gt;"",1,0),(J149="x"))*(G149-IFERROR(H149,0))/IFERROR(IF(COUNTIF(J149:U149,"x")=0,COUNTA(Besatzung!$B$11:$B$22),COUNTIF(J149:U149,"x")),1)+IF(COUNTIF(J149:U149,"x")=0,(Besatzung!$F$11="x"),(J149="x")*(Besatzung!$F$11="x"))*IFERROR(H149,0)/IFERROR(IF(COUNTIF(J149:U149,"x")=0,SUMPRODUCT((Besatzung!$B$11:$B$22&lt;&gt;"")*(Besatzung!$F$11:$F$22="x")),SUMPRODUCT((J149:U149="x")*(Besatzung!$F$11:$F$22="x"))),1))))),0))))</f>
        <v/>
      </c>
      <c r="W149" s="247">
        <f>IF(C149="Gutschrift","",IF(G149="","",IF(Besatzung!$B$12="","",IFERROR(IF(I149="Zeitanteilig",(Besatzung!$G$12*(G149-IFERROR(H149,0))+((Besatzung!$B$12&lt;&gt;"")*IF(B149="",1,(IF(Besatzung!$C$12="",Besatzung!$B$5,Besatzung!$C$12)&lt;=B149)*(IF(Besatzung!$D$12="",Besatzung!$B$6,Besatzung!$D$12)&gt;=B149)))*(Besatzung!$F$12="x")*IFERROR(H149,0)/IFERROR(SUMPRODUCT((Besatzung!$B$11:$B$22&lt;&gt;"")*(Besatzung!$F$11:$F$22="x")*(IF(Besatzung!$C$11:$C$22="",Besatzung!$B$5,Besatzung!$C$11:$C$22)&lt;=B149)*(IF(Besatzung!$D$11:$D$22="",Besatzung!$B$6,Besatzung!$D$11:$D$22)&gt;=B149)),1)),IF(I149="An Bord",(((Besatzung!$B$12&lt;&gt;"")*IF(B149="",1,(IF(Besatzung!$C$12="",Besatzung!$B$5,Besatzung!$C$12)&lt;=B149)*(IF(Besatzung!$D$12="",Besatzung!$B$6,Besatzung!$D$12)&gt;=B149)))*((G149-IFERROR(H149,0))/IFERROR(SUMPRODUCT((Besatzung!$B$11:$B$22&lt;&gt;"")*(IF(Besatzung!$C$11:$C$22="",Besatzung!$B$5,Besatzung!$C$11:$C$22)&lt;=B149)*(IF(Besatzung!$D$11:$D$22="",Besatzung!$B$6,Besatzung!$D$11:$D$22)&gt;=B149)),1)+(Besatzung!$F$12="x")*IFERROR(H149,0)/IFERROR(SUMPRODUCT((Besatzung!$B$11:$B$22&lt;&gt;"")*(Besatzung!$F$11:$F$22="x")*(IF(Besatzung!$C$11:$C$22="",Besatzung!$B$5,Besatzung!$C$11:$C$22)&lt;=B149)*(IF(Besatzung!$D$11:$D$22="",Besatzung!$B$6,Besatzung!$D$11:$D$22)&gt;=B149)),1))),IF(I149="Individuell",((K149="x")*((G149-IFERROR(H149,0))/IFERROR(COUNTIF(J149:U149,"x"),1)+(Besatzung!$F$12="x")*IFERROR(H149,0)/IFERROR(SUMPRODUCT((J149:U149="x")*(Besatzung!$F$11:$F$22="x")),1))),(IF(COUNTIF(J149:U149,"x")=0,IF(Besatzung!$B$12&lt;&gt;"",1,0),(K149="x"))*(G149-IFERROR(H149,0))/IFERROR(IF(COUNTIF(J149:U149,"x")=0,COUNTA(Besatzung!$B$11:$B$22),COUNTIF(J149:U149,"x")),1)+IF(COUNTIF(J149:U149,"x")=0,(Besatzung!$F$12="x"),(K149="x")*(Besatzung!$F$12="x"))*IFERROR(H149,0)/IFERROR(IF(COUNTIF(J149:U149,"x")=0,SUMPRODUCT((Besatzung!$B$11:$B$22&lt;&gt;"")*(Besatzung!$F$11:$F$22="x")),SUMPRODUCT((J149:U149="x")*(Besatzung!$F$11:$F$22="x"))),1))))),0))))</f>
        <v/>
      </c>
      <c r="X149" s="247">
        <f>IF(C149="Gutschrift","",IF(G149="","",IF(Besatzung!$B$13="","",IFERROR(IF(I149="Zeitanteilig",(Besatzung!$G$13*(G149-IFERROR(H149,0))+((Besatzung!$B$13&lt;&gt;"")*IF(B149="",1,(IF(Besatzung!$C$13="",Besatzung!$B$5,Besatzung!$C$13)&lt;=B149)*(IF(Besatzung!$D$13="",Besatzung!$B$6,Besatzung!$D$13)&gt;=B149)))*(Besatzung!$F$13="x")*IFERROR(H149,0)/IFERROR(SUMPRODUCT((Besatzung!$B$11:$B$22&lt;&gt;"")*(Besatzung!$F$11:$F$22="x")*(IF(Besatzung!$C$11:$C$22="",Besatzung!$B$5,Besatzung!$C$11:$C$22)&lt;=B149)*(IF(Besatzung!$D$11:$D$22="",Besatzung!$B$6,Besatzung!$D$11:$D$22)&gt;=B149)),1)),IF(I149="An Bord",(((Besatzung!$B$13&lt;&gt;"")*IF(B149="",1,(IF(Besatzung!$C$13="",Besatzung!$B$5,Besatzung!$C$13)&lt;=B149)*(IF(Besatzung!$D$13="",Besatzung!$B$6,Besatzung!$D$13)&gt;=B149)))*((G149-IFERROR(H149,0))/IFERROR(SUMPRODUCT((Besatzung!$B$11:$B$22&lt;&gt;"")*(IF(Besatzung!$C$11:$C$22="",Besatzung!$B$5,Besatzung!$C$11:$C$22)&lt;=B149)*(IF(Besatzung!$D$11:$D$22="",Besatzung!$B$6,Besatzung!$D$11:$D$22)&gt;=B149)),1)+(Besatzung!$F$13="x")*IFERROR(H149,0)/IFERROR(SUMPRODUCT((Besatzung!$B$11:$B$22&lt;&gt;"")*(Besatzung!$F$11:$F$22="x")*(IF(Besatzung!$C$11:$C$22="",Besatzung!$B$5,Besatzung!$C$11:$C$22)&lt;=B149)*(IF(Besatzung!$D$11:$D$22="",Besatzung!$B$6,Besatzung!$D$11:$D$22)&gt;=B149)),1))),IF(I149="Individuell",((K149="x")*((G149-IFERROR(H149,0))/IFERROR(COUNTIF(J149:U149,"x"),1)+(Besatzung!$F$13="x")*IFERROR(H149,0)/IFERROR(SUMPRODUCT((J149:U149="x")*(Besatzung!$F$11:$F$22="x")),1))),(IF(COUNTIF(J149:U149,"x")=0,IF(Besatzung!$B$13&lt;&gt;"",1,0),(K149="x"))*(G149-IFERROR(H149,0))/IFERROR(IF(COUNTIF(J149:U149,"x")=0,COUNTA(Besatzung!$B$11:$B$22),COUNTIF(J149:U149,"x")),1)+IF(COUNTIF(J149:U149,"x")=0,(Besatzung!$F$13="x"),(K149="x")*(Besatzung!$F$13="x"))*IFERROR(H149,0)/IFERROR(IF(COUNTIF(J149:U149,"x")=0,SUMPRODUCT((Besatzung!$B$11:$B$22&lt;&gt;"")*(Besatzung!$F$11:$F$22="x")),SUMPRODUCT((J149:U149="x")*(Besatzung!$F$11:$F$22="x"))),1))))),0))))</f>
        <v/>
      </c>
      <c r="Y149" s="247">
        <f>IF(C149="Gutschrift","",IF(G149="","",IF(Besatzung!$B$14="","",IFERROR(IF(I149="Zeitanteilig",(Besatzung!$G$14*(G149-IFERROR(H149,0))+((Besatzung!$B$14&lt;&gt;"")*IF(B149="",1,(IF(Besatzung!$C$14="",Besatzung!$B$5,Besatzung!$C$14)&lt;=B149)*(IF(Besatzung!$D$14="",Besatzung!$B$6,Besatzung!$D$14)&gt;=B149)))*(Besatzung!$F$14="x")*IFERROR(H149,0)/IFERROR(SUMPRODUCT((Besatzung!$B$11:$B$22&lt;&gt;"")*(Besatzung!$F$11:$F$22="x")*(IF(Besatzung!$C$11:$C$22="",Besatzung!$B$5,Besatzung!$C$11:$C$22)&lt;=B149)*(IF(Besatzung!$D$11:$D$22="",Besatzung!$B$6,Besatzung!$D$11:$D$22)&gt;=B149)),1)),IF(I149="An Bord",(((Besatzung!$B$14&lt;&gt;"")*IF(B149="",1,(IF(Besatzung!$C$14="",Besatzung!$B$5,Besatzung!$C$14)&lt;=B149)*(IF(Besatzung!$D$14="",Besatzung!$B$6,Besatzung!$D$14)&gt;=B149)))*((G149-IFERROR(H149,0))/IFERROR(SUMPRODUCT((Besatzung!$B$11:$B$22&lt;&gt;"")*(IF(Besatzung!$C$11:$C$22="",Besatzung!$B$5,Besatzung!$C$11:$C$22)&lt;=B149)*(IF(Besatzung!$D$11:$D$22="",Besatzung!$B$6,Besatzung!$D$11:$D$22)&gt;=B149)),1)+(Besatzung!$F$14="x")*IFERROR(H149,0)/IFERROR(SUMPRODUCT((Besatzung!$B$11:$B$22&lt;&gt;"")*(Besatzung!$F$11:$F$22="x")*(IF(Besatzung!$C$11:$C$22="",Besatzung!$B$5,Besatzung!$C$11:$C$22)&lt;=B149)*(IF(Besatzung!$D$11:$D$22="",Besatzung!$B$6,Besatzung!$D$11:$D$22)&gt;=B149)),1))),IF(I149="Individuell",((M149="x")*((G149-IFERROR(H149,0))/IFERROR(COUNTIF(J149:U149,"x"),1)+(Besatzung!$F$14="x")*IFERROR(H149,0)/IFERROR(SUMPRODUCT((J149:U149="x")*(Besatzung!$F$11:$F$22="x")),1))),(IF(COUNTIF(J149:U149,"x")=0,IF(Besatzung!$B$14&lt;&gt;"",1,0),(M149="x"))*(G149-IFERROR(H149,0))/IFERROR(IF(COUNTIF(J149:U149,"x")=0,COUNTA(Besatzung!$B$11:$B$22),COUNTIF(J149:U149,"x")),1)+IF(COUNTIF(J149:U149,"x")=0,(Besatzung!$F$14="x"),(M149="x")*(Besatzung!$F$14="x"))*IFERROR(H149,0)/IFERROR(IF(COUNTIF(J149:U149,"x")=0,SUMPRODUCT((Besatzung!$B$11:$B$22&lt;&gt;"")*(Besatzung!$F$11:$F$22="x")),SUMPRODUCT((J149:U149="x")*(Besatzung!$F$11:$F$22="x"))),1))))),0))))</f>
        <v/>
      </c>
      <c r="Z149" s="247">
        <f>IF(C149="Gutschrift","",IF(G149="","",IF(Besatzung!$B$13="","",IFERROR(IF(I149="Zeitanteilig",(Besatzung!$G$15*(G149-IFERROR(H149,0))+((Besatzung!$B$13&lt;&gt;"")*IF(B149="",1,(IF(Besatzung!$C$15="",Besatzung!$B$5,Besatzung!$C$15)&lt;=B149)*(IF(Besatzung!$D$15="",Besatzung!$B$6,Besatzung!$D$15)&gt;=B149)))*(Besatzung!$F$15="x")*IFERROR(H149,0)/IFERROR(SUMPRODUCT((Besatzung!$B$11:$B$22&lt;&gt;"")*(Besatzung!$F$11:$F$22="x")*(IF(Besatzung!$C$11:$C$22="",Besatzung!$B$5,Besatzung!$C$11:$C$22)&lt;=B149)*(IF(Besatzung!$D$11:$D$22="",Besatzung!$B$6,Besatzung!$D$11:$D$22)&gt;=B149)),1)),IF(I149="An Bord",(((Besatzung!$B$13&lt;&gt;"")*IF(B149="",1,(IF(Besatzung!$C$15="",Besatzung!$B$5,Besatzung!$C$15)&lt;=B149)*(IF(Besatzung!$D$15="",Besatzung!$B$6,Besatzung!$D$15)&gt;=B149)))*((G149-IFERROR(H149,0))/IFERROR(SUMPRODUCT((Besatzung!$B$11:$B$22&lt;&gt;"")*(IF(Besatzung!$C$11:$C$22="",Besatzung!$B$5,Besatzung!$C$11:$C$22)&lt;=B149)*(IF(Besatzung!$D$11:$D$22="",Besatzung!$B$6,Besatzung!$D$11:$D$22)&gt;=B149)),1)+(Besatzung!$F$15="x")*IFERROR(H149,0)/IFERROR(SUMPRODUCT((Besatzung!$B$11:$B$22&lt;&gt;"")*(Besatzung!$F$11:$F$22="x")*(IF(Besatzung!$C$11:$C$22="",Besatzung!$B$5,Besatzung!$C$11:$C$22)&lt;=B149)*(IF(Besatzung!$D$11:$D$22="",Besatzung!$B$6,Besatzung!$D$11:$D$22)&gt;=B149)),1))),IF(I149="Individuell",((N149="x")*((G149-IFERROR(H149,0))/IFERROR(COUNTIF(J149:U149,"x"),1)+(Besatzung!$F$15="x")*IFERROR(H149,0)/IFERROR(SUMPRODUCT((J149:U149="x")*(Besatzung!$F$11:$F$22="x")),1))),(IF(COUNTIF(J149:U149,"x")=0,IF(Besatzung!$B$13&lt;&gt;"",1,0),(N149="x"))*(G149-IFERROR(H149,0))/IFERROR(IF(COUNTIF(J149:U149,"x")=0,COUNTA(Besatzung!$B$11:$B$22),COUNTIF(J149:U149,"x")),1)+IF(COUNTIF(J149:U149,"x")=0,(Besatzung!$F$15="x"),(N149="x")*(Besatzung!$F$15="x"))*IFERROR(H149,0)/IFERROR(IF(COUNTIF(J149:U149,"x")=0,SUMPRODUCT((Besatzung!$B$11:$B$22&lt;&gt;"")*(Besatzung!$F$11:$F$22="x")),SUMPRODUCT((J149:U149="x")*(Besatzung!$F$11:$F$22="x"))),1))))),0))))</f>
        <v/>
      </c>
      <c r="AA149" s="247">
        <f>IF(C149="Gutschrift","",IF(G149="","",IF(Besatzung!$B$15="","",IFERROR(IF(I149="Zeitanteilig",(Besatzung!$G$16*(G149-IFERROR(H149,0))+((Besatzung!$B$15&lt;&gt;"")*IF(B149="",1,(IF(Besatzung!$C$16="",Besatzung!$B$5,Besatzung!$C$16)&lt;=B149)*(IF(Besatzung!$D$16="",Besatzung!$B$6,Besatzung!$D$16)&gt;=B149)))*(Besatzung!$F$16="x")*IFERROR(H149,0)/IFERROR(SUMPRODUCT((Besatzung!$B$11:$B$22&lt;&gt;"")*(Besatzung!$F$11:$F$22="x")*(IF(Besatzung!$C$11:$C$22="",Besatzung!$B$5,Besatzung!$C$11:$C$22)&lt;=B149)*(IF(Besatzung!$D$11:$D$22="",Besatzung!$B$6,Besatzung!$D$11:$D$22)&gt;=B149)),1)),IF(I149="An Bord",(((Besatzung!$B$15&lt;&gt;"")*IF(B149="",1,(IF(Besatzung!$C$16="",Besatzung!$B$5,Besatzung!$C$16)&lt;=B149)*(IF(Besatzung!$D$16="",Besatzung!$B$6,Besatzung!$D$16)&gt;=B149)))*((G149-IFERROR(H149,0))/IFERROR(SUMPRODUCT((Besatzung!$B$11:$B$22&lt;&gt;"")*(IF(Besatzung!$C$11:$C$22="",Besatzung!$B$5,Besatzung!$C$11:$C$22)&lt;=B149)*(IF(Besatzung!$D$11:$D$22="",Besatzung!$B$6,Besatzung!$D$11:$D$22)&gt;=B149)),1)+(Besatzung!$F$16="x")*IFERROR(H149,0)/IFERROR(SUMPRODUCT((Besatzung!$B$11:$B$22&lt;&gt;"")*(Besatzung!$F$11:$F$22="x")*(IF(Besatzung!$C$11:$C$22="",Besatzung!$B$5,Besatzung!$C$11:$C$22)&lt;=B149)*(IF(Besatzung!$D$11:$D$22="",Besatzung!$B$6,Besatzung!$D$11:$D$22)&gt;=B149)),1))),IF(I149="Individuell",((O149="x")*((G149-IFERROR(H149,0))/IFERROR(COUNTIF(J149:U149,"x"),1)+(Besatzung!$F$16="x")*IFERROR(H149,0)/IFERROR(SUMPRODUCT((J149:U149="x")*(Besatzung!$F$11:$F$22="x")),1))),(IF(COUNTIF(J149:U149,"x")=0,IF(Besatzung!$B$15&lt;&gt;"",1,0),(O149="x"))*(G149-IFERROR(H149,0))/IFERROR(IF(COUNTIF(J149:U149,"x")=0,COUNTA(Besatzung!$B$11:$B$22),COUNTIF(J149:U149,"x")),1)+IF(COUNTIF(J149:U149,"x")=0,(Besatzung!$F$16="x"),(O149="x")*(Besatzung!$F$16="x"))*IFERROR(H149,0)/IFERROR(IF(COUNTIF(J149:U149,"x")=0,SUMPRODUCT((Besatzung!$B$11:$B$22&lt;&gt;"")*(Besatzung!$F$11:$F$22="x")),SUMPRODUCT((J149:U149="x")*(Besatzung!$F$11:$F$22="x"))),1))))),0))))</f>
        <v/>
      </c>
      <c r="AB149" s="247">
        <f>IF(C149="Gutschrift","",IF(G149="","",IF(Besatzung!$B$17="","",IFERROR(IF(I149="Zeitanteilig",(Besatzung!$G$17*(G149-IFERROR(H149,0))+((Besatzung!$B$17&lt;&gt;"")*IF(B149="",1,(IF(Besatzung!$C$17="",Besatzung!$B$5,Besatzung!$C$17)&lt;=B149)*(IF(Besatzung!$D$17="",Besatzung!$B$6,Besatzung!$D$17)&gt;=B149)))*(Besatzung!$F$17="x")*IFERROR(H149,0)/IFERROR(SUMPRODUCT((Besatzung!$B$11:$B$22&lt;&gt;"")*(Besatzung!$F$11:$F$22="x")*(IF(Besatzung!$C$11:$C$22="",Besatzung!$B$5,Besatzung!$C$11:$C$22)&lt;=B149)*(IF(Besatzung!$D$11:$D$22="",Besatzung!$B$6,Besatzung!$D$11:$D$22)&gt;=B149)),1)),IF(I149="An Bord",(((Besatzung!$B$17&lt;&gt;"")*IF(B149="",1,(IF(Besatzung!$C$17="",Besatzung!$B$5,Besatzung!$C$17)&lt;=B149)*(IF(Besatzung!$D$17="",Besatzung!$B$6,Besatzung!$D$17)&gt;=B149)))*((G149-IFERROR(H149,0))/IFERROR(SUMPRODUCT((Besatzung!$B$11:$B$22&lt;&gt;"")*(IF(Besatzung!$C$11:$C$22="",Besatzung!$B$5,Besatzung!$C$11:$C$22)&lt;=B149)*(IF(Besatzung!$D$11:$D$22="",Besatzung!$B$6,Besatzung!$D$11:$D$22)&gt;=B149)),1)+(Besatzung!$F$17="x")*IFERROR(H149,0)/IFERROR(SUMPRODUCT((Besatzung!$B$11:$B$22&lt;&gt;"")*(Besatzung!$F$11:$F$22="x")*(IF(Besatzung!$C$11:$C$22="",Besatzung!$B$5,Besatzung!$C$11:$C$22)&lt;=B149)*(IF(Besatzung!$D$11:$D$22="",Besatzung!$B$6,Besatzung!$D$11:$D$22)&gt;=B149)),1))),IF(I149="Individuell",((P149="x")*((G149-IFERROR(H149,0))/IFERROR(COUNTIF(J149:U149,"x"),1)+(Besatzung!$F$17="x")*IFERROR(H149,0)/IFERROR(SUMPRODUCT((J149:U149="x")*(Besatzung!$F$11:$F$22="x")),1))),(IF(COUNTIF(J149:U149,"x")=0,IF(Besatzung!$B$17&lt;&gt;"",1,0),(P149="x"))*(G149-IFERROR(H149,0))/IFERROR(IF(COUNTIF(J149:U149,"x")=0,COUNTA(Besatzung!$B$11:$B$22),COUNTIF(J149:U149,"x")),1)+IF(COUNTIF(J149:U149,"x")=0,(Besatzung!$F$17="x"),(P149="x")*(Besatzung!$F$17="x"))*IFERROR(H149,0)/IFERROR(IF(COUNTIF(J149:U149,"x")=0,SUMPRODUCT((Besatzung!$B$11:$B$22&lt;&gt;"")*(Besatzung!$F$11:$F$22="x")),SUMPRODUCT((J149:U149="x")*(Besatzung!$F$11:$F$22="x"))),1))))),0))))</f>
        <v/>
      </c>
      <c r="AC149" s="247">
        <f>IF(C149="Gutschrift","",IF(G149="","",IF(Besatzung!$B$18="","",IFERROR(IF(I149="Zeitanteilig",(Besatzung!$G$18*(G149-IFERROR(H149,0))+((Besatzung!$B$18&lt;&gt;"")*IF(B149="",1,(IF(Besatzung!$C$18="",Besatzung!$B$5,Besatzung!$C$18)&lt;=B149)*(IF(Besatzung!$D$18="",Besatzung!$B$6,Besatzung!$D$18)&gt;=B149)))*(Besatzung!$F$18="x")*IFERROR(H149,0)/IFERROR(SUMPRODUCT((Besatzung!$B$11:$B$22&lt;&gt;"")*(Besatzung!$F$11:$F$22="x")*(IF(Besatzung!$C$11:$C$22="",Besatzung!$B$5,Besatzung!$C$11:$C$22)&lt;=B149)*(IF(Besatzung!$D$11:$D$22="",Besatzung!$B$6,Besatzung!$D$11:$D$22)&gt;=B149)),1)),IF(I149="An Bord",(((Besatzung!$B$18&lt;&gt;"")*IF(B149="",1,(IF(Besatzung!$C$18="",Besatzung!$B$5,Besatzung!$C$18)&lt;=B149)*(IF(Besatzung!$D$18="",Besatzung!$B$6,Besatzung!$D$18)&gt;=B149)))*((G149-IFERROR(H149,0))/IFERROR(SUMPRODUCT((Besatzung!$B$11:$B$22&lt;&gt;"")*(IF(Besatzung!$C$11:$C$22="",Besatzung!$B$5,Besatzung!$C$11:$C$22)&lt;=B149)*(IF(Besatzung!$D$11:$D$22="",Besatzung!$B$6,Besatzung!$D$11:$D$22)&gt;=B149)),1)+(Besatzung!$F$18="x")*IFERROR(H149,0)/IFERROR(SUMPRODUCT((Besatzung!$B$11:$B$22&lt;&gt;"")*(Besatzung!$F$11:$F$22="x")*(IF(Besatzung!$C$11:$C$22="",Besatzung!$B$5,Besatzung!$C$11:$C$22)&lt;=B149)*(IF(Besatzung!$D$11:$D$22="",Besatzung!$B$6,Besatzung!$D$11:$D$22)&gt;=B149)),1))),IF(I149="Individuell",((Q149="x")*((G149-IFERROR(H149,0))/IFERROR(COUNTIF(J149:U149,"x"),1)+(Besatzung!$F$18="x")*IFERROR(H149,0)/IFERROR(SUMPRODUCT((J149:U149="x")*(Besatzung!$F$11:$F$22="x")),1))),(IF(COUNTIF(J149:U149,"x")=0,IF(Besatzung!$B$18&lt;&gt;"",1,0),(Q149="x"))*(G149-IFERROR(H149,0))/IFERROR(IF(COUNTIF(J149:U149,"x")=0,COUNTA(Besatzung!$B$11:$B$22),COUNTIF(J149:U149,"x")),1)+IF(COUNTIF(J149:U149,"x")=0,(Besatzung!$F$18="x"),(Q149="x")*(Besatzung!$F$18="x"))*IFERROR(H149,0)/IFERROR(IF(COUNTIF(J149:U149,"x")=0,SUMPRODUCT((Besatzung!$B$11:$B$22&lt;&gt;"")*(Besatzung!$F$11:$F$22="x")),SUMPRODUCT((J149:U149="x")*(Besatzung!$F$11:$F$22="x"))),1))))),0))))</f>
        <v/>
      </c>
      <c r="AD149" s="247">
        <f>IF(C149="Gutschrift","",IF(G149="","",IF(Besatzung!$B$19="","",IFERROR(IF(I149="Zeitanteilig",(Besatzung!$G$19*(G149-IFERROR(H149,0))+((Besatzung!$B$19&lt;&gt;"")*IF(B149="",1,(IF(Besatzung!$C$19="",Besatzung!$B$5,Besatzung!$C$19)&lt;=B149)*(IF(Besatzung!$D$19="",Besatzung!$B$6,Besatzung!$D$19)&gt;=B149)))*(Besatzung!$F$19="x")*IFERROR(H149,0)/IFERROR(SUMPRODUCT((Besatzung!$B$11:$B$22&lt;&gt;"")*(Besatzung!$F$11:$F$22="x")*(IF(Besatzung!$C$11:$C$22="",Besatzung!$B$5,Besatzung!$C$11:$C$22)&lt;=B149)*(IF(Besatzung!$D$11:$D$22="",Besatzung!$B$6,Besatzung!$D$11:$D$22)&gt;=B149)),1)),IF(I149="An Bord",(((Besatzung!$B$19&lt;&gt;"")*IF(B149="",1,(IF(Besatzung!$C$19="",Besatzung!$B$5,Besatzung!$C$19)&lt;=B149)*(IF(Besatzung!$D$19="",Besatzung!$B$6,Besatzung!$D$19)&gt;=B149)))*((G149-IFERROR(H149,0))/IFERROR(SUMPRODUCT((Besatzung!$B$11:$B$22&lt;&gt;"")*(IF(Besatzung!$C$11:$C$22="",Besatzung!$B$5,Besatzung!$C$11:$C$22)&lt;=B149)*(IF(Besatzung!$D$11:$D$22="",Besatzung!$B$6,Besatzung!$D$11:$D$22)&gt;=B149)),1)+(Besatzung!$F$19="x")*IFERROR(H149,0)/IFERROR(SUMPRODUCT((Besatzung!$B$11:$B$22&lt;&gt;"")*(Besatzung!$F$11:$F$22="x")*(IF(Besatzung!$C$11:$C$22="",Besatzung!$B$5,Besatzung!$C$11:$C$22)&lt;=B149)*(IF(Besatzung!$D$11:$D$22="",Besatzung!$B$6,Besatzung!$D$11:$D$22)&gt;=B149)),1))),IF(I149="Individuell",((R149="x")*((G149-IFERROR(H149,0))/IFERROR(COUNTIF(J149:U149,"x"),1)+(Besatzung!$F$19="x")*IFERROR(H149,0)/IFERROR(SUMPRODUCT((J149:U149="x")*(Besatzung!$F$11:$F$22="x")),1))),(IF(COUNTIF(J149:U149,"x")=0,IF(Besatzung!$B$19&lt;&gt;"",1,0),(R149="x"))*(G149-IFERROR(H149,0))/IFERROR(IF(COUNTIF(J149:U149,"x")=0,COUNTA(Besatzung!$B$11:$B$22),COUNTIF(J149:U149,"x")),1)+IF(COUNTIF(J149:U149,"x")=0,(Besatzung!$F$19="x"),(R149="x")*(Besatzung!$F$19="x"))*IFERROR(H149,0)/IFERROR(IF(COUNTIF(J149:U149,"x")=0,SUMPRODUCT((Besatzung!$B$11:$B$22&lt;&gt;"")*(Besatzung!$F$11:$F$22="x")),SUMPRODUCT((J149:U149="x")*(Besatzung!$F$11:$F$22="x"))),1))))),0))))</f>
        <v/>
      </c>
      <c r="AE149" s="247">
        <f>IF(C149="Gutschrift","",IF(G149="","",IF(Besatzung!$B$20="","",IFERROR(IF(I149="Zeitanteilig",(Besatzung!$G$20*(G149-IFERROR(H149,0))+((Besatzung!$B$20&lt;&gt;"")*IF(B149="",1,(IF(Besatzung!$C$20="",Besatzung!$B$5,Besatzung!$C$20)&lt;=B149)*(IF(Besatzung!$D$20="",Besatzung!$B$6,Besatzung!$D$20)&gt;=B149)))*(Besatzung!$F$20="x")*IFERROR(H149,0)/IFERROR(SUMPRODUCT((Besatzung!$B$11:$B$22&lt;&gt;"")*(Besatzung!$F$11:$F$22="x")*(IF(Besatzung!$C$11:$C$22="",Besatzung!$B$5,Besatzung!$C$11:$C$22)&lt;=B149)*(IF(Besatzung!$D$11:$D$22="",Besatzung!$B$6,Besatzung!$D$11:$D$22)&gt;=B149)),1)),IF(I149="An Bord",(((Besatzung!$B$20&lt;&gt;"")*IF(B149="",1,(IF(Besatzung!$C$20="",Besatzung!$B$5,Besatzung!$C$20)&lt;=B149)*(IF(Besatzung!$D$20="",Besatzung!$B$6,Besatzung!$D$20)&gt;=B149)))*((G149-IFERROR(H149,0))/IFERROR(SUMPRODUCT((Besatzung!$B$11:$B$22&lt;&gt;"")*(IF(Besatzung!$C$11:$C$22="",Besatzung!$B$5,Besatzung!$C$11:$C$22)&lt;=B149)*(IF(Besatzung!$D$11:$D$22="",Besatzung!$B$6,Besatzung!$D$11:$D$22)&gt;=B149)),1)+(Besatzung!$F$20="x")*IFERROR(H149,0)/IFERROR(SUMPRODUCT((Besatzung!$B$11:$B$22&lt;&gt;"")*(Besatzung!$F$11:$F$22="x")*(IF(Besatzung!$C$11:$C$22="",Besatzung!$B$5,Besatzung!$C$11:$C$22)&lt;=B149)*(IF(Besatzung!$D$11:$D$22="",Besatzung!$B$6,Besatzung!$D$11:$D$22)&gt;=B149)),1))),IF(I149="Individuell",((S149="x")*((G149-IFERROR(H149,0))/IFERROR(COUNTIF(J149:U149,"x"),1)+(Besatzung!$F$20="x")*IFERROR(H149,0)/IFERROR(SUMPRODUCT((J149:U149="x")*(Besatzung!$F$11:$F$22="x")),1))),(IF(COUNTIF(J149:U149,"x")=0,IF(Besatzung!$B$20&lt;&gt;"",1,0),(S149="x"))*(G149-IFERROR(H149,0))/IFERROR(IF(COUNTIF(J149:U149,"x")=0,COUNTA(Besatzung!$B$11:$B$22),COUNTIF(J149:U149,"x")),1)+IF(COUNTIF(J149:U149,"x")=0,(Besatzung!$F$20="x"),(S149="x")*(Besatzung!$F$20="x"))*IFERROR(H149,0)/IFERROR(IF(COUNTIF(J149:U149,"x")=0,SUMPRODUCT((Besatzung!$B$11:$B$22&lt;&gt;"")*(Besatzung!$F$11:$F$22="x")),SUMPRODUCT((J149:U149="x")*(Besatzung!$F$11:$F$22="x"))),1))))),0))))</f>
        <v/>
      </c>
      <c r="AF149" s="247">
        <f>IF(C149="Gutschrift","",IF(G149="","",IF(Besatzung!$B$21="","",IFERROR(IF(I149="Zeitanteilig",(Besatzung!$G$21*(G149-IFERROR(H149,0))+((Besatzung!$B$21&lt;&gt;"")*IF(B149="",1,(IF(Besatzung!$C$21="",Besatzung!$B$5,Besatzung!$C$21)&lt;=B149)*(IF(Besatzung!$D$21="",Besatzung!$B$6,Besatzung!$D$21)&gt;=B149)))*(Besatzung!$F$21="x")*IFERROR(H149,0)/IFERROR(SUMPRODUCT((Besatzung!$B$11:$B$22&lt;&gt;"")*(Besatzung!$F$11:$F$22="x")*(IF(Besatzung!$C$11:$C$22="",Besatzung!$B$5,Besatzung!$C$11:$C$22)&lt;=B149)*(IF(Besatzung!$D$11:$D$22="",Besatzung!$B$6,Besatzung!$D$11:$D$22)&gt;=B149)),1)),IF(I149="An Bord",(((Besatzung!$B$21&lt;&gt;"")*IF(B149="",1,(IF(Besatzung!$C$21="",Besatzung!$B$5,Besatzung!$C$21)&lt;=B149)*(IF(Besatzung!$D$21="",Besatzung!$B$6,Besatzung!$D$21)&gt;=B149)))*((G149-IFERROR(H149,0))/IFERROR(SUMPRODUCT((Besatzung!$B$11:$B$22&lt;&gt;"")*(IF(Besatzung!$C$11:$C$22="",Besatzung!$B$5,Besatzung!$C$11:$C$22)&lt;=B149)*(IF(Besatzung!$D$11:$D$22="",Besatzung!$B$6,Besatzung!$D$11:$D$22)&gt;=B149)),1)+(Besatzung!$F$21="x")*IFERROR(H149,0)/IFERROR(SUMPRODUCT((Besatzung!$B$11:$B$22&lt;&gt;"")*(Besatzung!$F$11:$F$22="x")*(IF(Besatzung!$C$11:$C$22="",Besatzung!$B$5,Besatzung!$C$11:$C$22)&lt;=B149)*(IF(Besatzung!$D$11:$D$22="",Besatzung!$B$6,Besatzung!$D$11:$D$22)&gt;=B149)),1))),IF(I149="Individuell",((T149="x")*((G149-IFERROR(H149,0))/IFERROR(COUNTIF(J149:U149,"x"),1)+(Besatzung!$F$21="x")*IFERROR(H149,0)/IFERROR(SUMPRODUCT((J149:U149="x")*(Besatzung!$F$11:$F$22="x")),1))),(IF(COUNTIF(J149:U149,"x")=0,IF(Besatzung!$B$21&lt;&gt;"",1,0),(T149="x"))*(G149-IFERROR(H149,0))/IFERROR(IF(COUNTIF(J149:U149,"x")=0,COUNTA(Besatzung!$B$11:$B$22),COUNTIF(J149:U149,"x")),1)+IF(COUNTIF(J149:U149,"x")=0,(Besatzung!$F$21="x"),(T149="x")*(Besatzung!$F$21="x"))*IFERROR(H149,0)/IFERROR(IF(COUNTIF(J149:U149,"x")=0,SUMPRODUCT((Besatzung!$B$11:$B$22&lt;&gt;"")*(Besatzung!$F$11:$F$22="x")),SUMPRODUCT((J149:U149="x")*(Besatzung!$F$11:$F$22="x"))),1))))),0))))</f>
        <v/>
      </c>
      <c r="AG149" s="247">
        <f>IF(C149="Gutschrift","",IF(G149="","",IF(Besatzung!$B$22="","",IFERROR(IF(I149="Zeitanteilig",(Besatzung!$G$22*(G149-IFERROR(H149,0))+((Besatzung!$B$22&lt;&gt;"")*IF(B149="",1,(IF(Besatzung!$C$22="",Besatzung!$B$5,Besatzung!$C$22)&lt;=B149)*(IF(Besatzung!$D$22="",Besatzung!$B$6,Besatzung!$D$22)&gt;=B149)))*(Besatzung!$F$22="x")*IFERROR(H149,0)/IFERROR(SUMPRODUCT((Besatzung!$B$11:$B$22&lt;&gt;"")*(Besatzung!$F$11:$F$22="x")*(IF(Besatzung!$C$11:$C$22="",Besatzung!$B$5,Besatzung!$C$11:$C$22)&lt;=B149)*(IF(Besatzung!$D$11:$D$22="",Besatzung!$B$6,Besatzung!$D$11:$D$22)&gt;=B149)),1)),IF(I149="An Bord",(((Besatzung!$B$22&lt;&gt;"")*IF(B149="",1,(IF(Besatzung!$C$22="",Besatzung!$B$5,Besatzung!$C$22)&lt;=B149)*(IF(Besatzung!$D$22="",Besatzung!$B$6,Besatzung!$D$22)&gt;=B149)))*((G149-IFERROR(H149,0))/IFERROR(SUMPRODUCT((Besatzung!$B$11:$B$22&lt;&gt;"")*(IF(Besatzung!$C$11:$C$22="",Besatzung!$B$5,Besatzung!$C$11:$C$22)&lt;=B149)*(IF(Besatzung!$D$11:$D$22="",Besatzung!$B$6,Besatzung!$D$11:$D$22)&gt;=B149)),1)+(Besatzung!$F$22="x")*IFERROR(H149,0)/IFERROR(SUMPRODUCT((Besatzung!$B$11:$B$22&lt;&gt;"")*(Besatzung!$F$11:$F$22="x")*(IF(Besatzung!$C$11:$C$22="",Besatzung!$B$5,Besatzung!$C$11:$C$22)&lt;=B149)*(IF(Besatzung!$D$11:$D$22="",Besatzung!$B$6,Besatzung!$D$11:$D$22)&gt;=B149)),1))),IF(I149="Individuell",((U149="x")*((G149-IFERROR(H149,0))/IFERROR(COUNTIF(J149:U149,"x"),1)+(Besatzung!$F$22="x")*IFERROR(H149,0)/IFERROR(SUMPRODUCT((J149:U149="x")*(Besatzung!$F$11:$F$22="x")),1))),(IF(COUNTIF(J149:U149,"x")=0,IF(Besatzung!$B$22&lt;&gt;"",1,0),(U149="x"))*(G149-IFERROR(H149,0))/IFERROR(IF(COUNTIF(J149:U149,"x")=0,COUNTA(Besatzung!$B$11:$B$22),COUNTIF(J149:U149,"x")),1)+IF(COUNTIF(J149:U149,"x")=0,(Besatzung!$F$22="x"),(U149="x")*(Besatzung!$F$22="x"))*IFERROR(H149,0)/IFERROR(IF(COUNTIF(J149:U149,"x")=0,SUMPRODUCT((Besatzung!$B$11:$B$22&lt;&gt;"")*(Besatzung!$F$11:$F$22="x")),SUMPRODUCT((J149:U149="x")*(Besatzung!$F$11:$F$22="x"))),1))))),0))))</f>
        <v/>
      </c>
      <c r="AH149" s="248" t="n"/>
      <c r="AI149" s="248" t="n"/>
    </row>
    <row r="150" ht="21.75" customHeight="1" s="154">
      <c r="A150" s="238">
        <f>IF(AND(D150="",C150=""),"",147)</f>
        <v/>
      </c>
      <c r="B150" s="199" t="n"/>
      <c r="C150" s="239" t="n"/>
      <c r="D150" s="240" t="n"/>
      <c r="E150" s="241" t="n"/>
      <c r="F150" s="242" t="n"/>
      <c r="G150" s="243" t="n"/>
      <c r="H150" s="244" t="n"/>
      <c r="I150" s="245" t="n"/>
      <c r="J150" s="246" t="n"/>
      <c r="K150" s="246" t="n"/>
      <c r="L150" s="246" t="n"/>
      <c r="M150" s="246" t="n"/>
      <c r="N150" s="246" t="n"/>
      <c r="O150" s="246" t="n"/>
      <c r="P150" s="246" t="n"/>
      <c r="Q150" s="246" t="n"/>
      <c r="R150" s="246" t="n"/>
      <c r="S150" s="246" t="n"/>
      <c r="T150" s="246" t="n"/>
      <c r="U150" s="246" t="n"/>
      <c r="V150" s="247">
        <f>IF(C150="Gutschrift","",IF(G150="","",IF(Besatzung!$B$11="","",IFERROR(IF(I150="Zeitanteilig",(Besatzung!$G$11*(G150-IFERROR(H150,0))+((Besatzung!$B$11&lt;&gt;"")*IF(B150="",1,(IF(Besatzung!$C$11="",Besatzung!$B$5,Besatzung!$C$11)&lt;=B150)*(IF(Besatzung!$D$11="",Besatzung!$B$6,Besatzung!$D$11)&gt;=B150)))*(Besatzung!$F$11="x")*IFERROR(H150,0)/IFERROR(SUMPRODUCT((Besatzung!$B$11:$B$22&lt;&gt;"")*(Besatzung!$F$11:$F$22="x")*(IF(Besatzung!$C$11:$C$22="",Besatzung!$B$5,Besatzung!$C$11:$C$22)&lt;=B150)*(IF(Besatzung!$D$11:$D$22="",Besatzung!$B$6,Besatzung!$D$11:$D$22)&gt;=B150)),1)),IF(I150="An Bord",(((Besatzung!$B$11&lt;&gt;"")*IF(B150="",1,(IF(Besatzung!$C$11="",Besatzung!$B$5,Besatzung!$C$11)&lt;=B150)*(IF(Besatzung!$D$11="",Besatzung!$B$6,Besatzung!$D$11)&gt;=B150)))*((G150-IFERROR(H150,0))/IFERROR(SUMPRODUCT((Besatzung!$B$11:$B$22&lt;&gt;"")*(IF(Besatzung!$C$11:$C$22="",Besatzung!$B$5,Besatzung!$C$11:$C$22)&lt;=B150)*(IF(Besatzung!$D$11:$D$22="",Besatzung!$B$6,Besatzung!$D$11:$D$22)&gt;=B150)),1)+(Besatzung!$F$11="x")*IFERROR(H150,0)/IFERROR(SUMPRODUCT((Besatzung!$B$11:$B$22&lt;&gt;"")*(Besatzung!$F$11:$F$22="x")*(IF(Besatzung!$C$11:$C$22="",Besatzung!$B$5,Besatzung!$C$11:$C$22)&lt;=B150)*(IF(Besatzung!$D$11:$D$22="",Besatzung!$B$6,Besatzung!$D$11:$D$22)&gt;=B150)),1))),IF(I150="Individuell",((J150="x")*((G150-IFERROR(H150,0))/IFERROR(COUNTIF(J150:U150,"x"),1)+(Besatzung!$F$11="x")*IFERROR(H150,0)/IFERROR(SUMPRODUCT((J150:U150="x")*(Besatzung!$F$11:$F$22="x")),1))),(IF(COUNTIF(J150:U150,"x")=0,IF(Besatzung!$B$11&lt;&gt;"",1,0),(J150="x"))*(G150-IFERROR(H150,0))/IFERROR(IF(COUNTIF(J150:U150,"x")=0,COUNTA(Besatzung!$B$11:$B$22),COUNTIF(J150:U150,"x")),1)+IF(COUNTIF(J150:U150,"x")=0,(Besatzung!$F$11="x"),(J150="x")*(Besatzung!$F$11="x"))*IFERROR(H150,0)/IFERROR(IF(COUNTIF(J150:U150,"x")=0,SUMPRODUCT((Besatzung!$B$11:$B$22&lt;&gt;"")*(Besatzung!$F$11:$F$22="x")),SUMPRODUCT((J150:U150="x")*(Besatzung!$F$11:$F$22="x"))),1))))),0))))</f>
        <v/>
      </c>
      <c r="W150" s="247">
        <f>IF(C150="Gutschrift","",IF(G150="","",IF(Besatzung!$B$12="","",IFERROR(IF(I150="Zeitanteilig",(Besatzung!$G$12*(G150-IFERROR(H150,0))+((Besatzung!$B$12&lt;&gt;"")*IF(B150="",1,(IF(Besatzung!$C$12="",Besatzung!$B$5,Besatzung!$C$12)&lt;=B150)*(IF(Besatzung!$D$12="",Besatzung!$B$6,Besatzung!$D$12)&gt;=B150)))*(Besatzung!$F$12="x")*IFERROR(H150,0)/IFERROR(SUMPRODUCT((Besatzung!$B$11:$B$22&lt;&gt;"")*(Besatzung!$F$11:$F$22="x")*(IF(Besatzung!$C$11:$C$22="",Besatzung!$B$5,Besatzung!$C$11:$C$22)&lt;=B150)*(IF(Besatzung!$D$11:$D$22="",Besatzung!$B$6,Besatzung!$D$11:$D$22)&gt;=B150)),1)),IF(I150="An Bord",(((Besatzung!$B$12&lt;&gt;"")*IF(B150="",1,(IF(Besatzung!$C$12="",Besatzung!$B$5,Besatzung!$C$12)&lt;=B150)*(IF(Besatzung!$D$12="",Besatzung!$B$6,Besatzung!$D$12)&gt;=B150)))*((G150-IFERROR(H150,0))/IFERROR(SUMPRODUCT((Besatzung!$B$11:$B$22&lt;&gt;"")*(IF(Besatzung!$C$11:$C$22="",Besatzung!$B$5,Besatzung!$C$11:$C$22)&lt;=B150)*(IF(Besatzung!$D$11:$D$22="",Besatzung!$B$6,Besatzung!$D$11:$D$22)&gt;=B150)),1)+(Besatzung!$F$12="x")*IFERROR(H150,0)/IFERROR(SUMPRODUCT((Besatzung!$B$11:$B$22&lt;&gt;"")*(Besatzung!$F$11:$F$22="x")*(IF(Besatzung!$C$11:$C$22="",Besatzung!$B$5,Besatzung!$C$11:$C$22)&lt;=B150)*(IF(Besatzung!$D$11:$D$22="",Besatzung!$B$6,Besatzung!$D$11:$D$22)&gt;=B150)),1))),IF(I150="Individuell",((K150="x")*((G150-IFERROR(H150,0))/IFERROR(COUNTIF(J150:U150,"x"),1)+(Besatzung!$F$12="x")*IFERROR(H150,0)/IFERROR(SUMPRODUCT((J150:U150="x")*(Besatzung!$F$11:$F$22="x")),1))),(IF(COUNTIF(J150:U150,"x")=0,IF(Besatzung!$B$12&lt;&gt;"",1,0),(K150="x"))*(G150-IFERROR(H150,0))/IFERROR(IF(COUNTIF(J150:U150,"x")=0,COUNTA(Besatzung!$B$11:$B$22),COUNTIF(J150:U150,"x")),1)+IF(COUNTIF(J150:U150,"x")=0,(Besatzung!$F$12="x"),(K150="x")*(Besatzung!$F$12="x"))*IFERROR(H150,0)/IFERROR(IF(COUNTIF(J150:U150,"x")=0,SUMPRODUCT((Besatzung!$B$11:$B$22&lt;&gt;"")*(Besatzung!$F$11:$F$22="x")),SUMPRODUCT((J150:U150="x")*(Besatzung!$F$11:$F$22="x"))),1))))),0))))</f>
        <v/>
      </c>
      <c r="X150" s="247">
        <f>IF(C150="Gutschrift","",IF(G150="","",IF(Besatzung!$B$13="","",IFERROR(IF(I150="Zeitanteilig",(Besatzung!$G$13*(G150-IFERROR(H150,0))+((Besatzung!$B$13&lt;&gt;"")*IF(B150="",1,(IF(Besatzung!$C$13="",Besatzung!$B$5,Besatzung!$C$13)&lt;=B150)*(IF(Besatzung!$D$13="",Besatzung!$B$6,Besatzung!$D$13)&gt;=B150)))*(Besatzung!$F$13="x")*IFERROR(H150,0)/IFERROR(SUMPRODUCT((Besatzung!$B$11:$B$22&lt;&gt;"")*(Besatzung!$F$11:$F$22="x")*(IF(Besatzung!$C$11:$C$22="",Besatzung!$B$5,Besatzung!$C$11:$C$22)&lt;=B150)*(IF(Besatzung!$D$11:$D$22="",Besatzung!$B$6,Besatzung!$D$11:$D$22)&gt;=B150)),1)),IF(I150="An Bord",(((Besatzung!$B$13&lt;&gt;"")*IF(B150="",1,(IF(Besatzung!$C$13="",Besatzung!$B$5,Besatzung!$C$13)&lt;=B150)*(IF(Besatzung!$D$13="",Besatzung!$B$6,Besatzung!$D$13)&gt;=B150)))*((G150-IFERROR(H150,0))/IFERROR(SUMPRODUCT((Besatzung!$B$11:$B$22&lt;&gt;"")*(IF(Besatzung!$C$11:$C$22="",Besatzung!$B$5,Besatzung!$C$11:$C$22)&lt;=B150)*(IF(Besatzung!$D$11:$D$22="",Besatzung!$B$6,Besatzung!$D$11:$D$22)&gt;=B150)),1)+(Besatzung!$F$13="x")*IFERROR(H150,0)/IFERROR(SUMPRODUCT((Besatzung!$B$11:$B$22&lt;&gt;"")*(Besatzung!$F$11:$F$22="x")*(IF(Besatzung!$C$11:$C$22="",Besatzung!$B$5,Besatzung!$C$11:$C$22)&lt;=B150)*(IF(Besatzung!$D$11:$D$22="",Besatzung!$B$6,Besatzung!$D$11:$D$22)&gt;=B150)),1))),IF(I150="Individuell",((K150="x")*((G150-IFERROR(H150,0))/IFERROR(COUNTIF(J150:U150,"x"),1)+(Besatzung!$F$13="x")*IFERROR(H150,0)/IFERROR(SUMPRODUCT((J150:U150="x")*(Besatzung!$F$11:$F$22="x")),1))),(IF(COUNTIF(J150:U150,"x")=0,IF(Besatzung!$B$13&lt;&gt;"",1,0),(K150="x"))*(G150-IFERROR(H150,0))/IFERROR(IF(COUNTIF(J150:U150,"x")=0,COUNTA(Besatzung!$B$11:$B$22),COUNTIF(J150:U150,"x")),1)+IF(COUNTIF(J150:U150,"x")=0,(Besatzung!$F$13="x"),(K150="x")*(Besatzung!$F$13="x"))*IFERROR(H150,0)/IFERROR(IF(COUNTIF(J150:U150,"x")=0,SUMPRODUCT((Besatzung!$B$11:$B$22&lt;&gt;"")*(Besatzung!$F$11:$F$22="x")),SUMPRODUCT((J150:U150="x")*(Besatzung!$F$11:$F$22="x"))),1))))),0))))</f>
        <v/>
      </c>
      <c r="Y150" s="247">
        <f>IF(C150="Gutschrift","",IF(G150="","",IF(Besatzung!$B$14="","",IFERROR(IF(I150="Zeitanteilig",(Besatzung!$G$14*(G150-IFERROR(H150,0))+((Besatzung!$B$14&lt;&gt;"")*IF(B150="",1,(IF(Besatzung!$C$14="",Besatzung!$B$5,Besatzung!$C$14)&lt;=B150)*(IF(Besatzung!$D$14="",Besatzung!$B$6,Besatzung!$D$14)&gt;=B150)))*(Besatzung!$F$14="x")*IFERROR(H150,0)/IFERROR(SUMPRODUCT((Besatzung!$B$11:$B$22&lt;&gt;"")*(Besatzung!$F$11:$F$22="x")*(IF(Besatzung!$C$11:$C$22="",Besatzung!$B$5,Besatzung!$C$11:$C$22)&lt;=B150)*(IF(Besatzung!$D$11:$D$22="",Besatzung!$B$6,Besatzung!$D$11:$D$22)&gt;=B150)),1)),IF(I150="An Bord",(((Besatzung!$B$14&lt;&gt;"")*IF(B150="",1,(IF(Besatzung!$C$14="",Besatzung!$B$5,Besatzung!$C$14)&lt;=B150)*(IF(Besatzung!$D$14="",Besatzung!$B$6,Besatzung!$D$14)&gt;=B150)))*((G150-IFERROR(H150,0))/IFERROR(SUMPRODUCT((Besatzung!$B$11:$B$22&lt;&gt;"")*(IF(Besatzung!$C$11:$C$22="",Besatzung!$B$5,Besatzung!$C$11:$C$22)&lt;=B150)*(IF(Besatzung!$D$11:$D$22="",Besatzung!$B$6,Besatzung!$D$11:$D$22)&gt;=B150)),1)+(Besatzung!$F$14="x")*IFERROR(H150,0)/IFERROR(SUMPRODUCT((Besatzung!$B$11:$B$22&lt;&gt;"")*(Besatzung!$F$11:$F$22="x")*(IF(Besatzung!$C$11:$C$22="",Besatzung!$B$5,Besatzung!$C$11:$C$22)&lt;=B150)*(IF(Besatzung!$D$11:$D$22="",Besatzung!$B$6,Besatzung!$D$11:$D$22)&gt;=B150)),1))),IF(I150="Individuell",((M150="x")*((G150-IFERROR(H150,0))/IFERROR(COUNTIF(J150:U150,"x"),1)+(Besatzung!$F$14="x")*IFERROR(H150,0)/IFERROR(SUMPRODUCT((J150:U150="x")*(Besatzung!$F$11:$F$22="x")),1))),(IF(COUNTIF(J150:U150,"x")=0,IF(Besatzung!$B$14&lt;&gt;"",1,0),(M150="x"))*(G150-IFERROR(H150,0))/IFERROR(IF(COUNTIF(J150:U150,"x")=0,COUNTA(Besatzung!$B$11:$B$22),COUNTIF(J150:U150,"x")),1)+IF(COUNTIF(J150:U150,"x")=0,(Besatzung!$F$14="x"),(M150="x")*(Besatzung!$F$14="x"))*IFERROR(H150,0)/IFERROR(IF(COUNTIF(J150:U150,"x")=0,SUMPRODUCT((Besatzung!$B$11:$B$22&lt;&gt;"")*(Besatzung!$F$11:$F$22="x")),SUMPRODUCT((J150:U150="x")*(Besatzung!$F$11:$F$22="x"))),1))))),0))))</f>
        <v/>
      </c>
      <c r="Z150" s="247">
        <f>IF(C150="Gutschrift","",IF(G150="","",IF(Besatzung!$B$13="","",IFERROR(IF(I150="Zeitanteilig",(Besatzung!$G$15*(G150-IFERROR(H150,0))+((Besatzung!$B$13&lt;&gt;"")*IF(B150="",1,(IF(Besatzung!$C$15="",Besatzung!$B$5,Besatzung!$C$15)&lt;=B150)*(IF(Besatzung!$D$15="",Besatzung!$B$6,Besatzung!$D$15)&gt;=B150)))*(Besatzung!$F$15="x")*IFERROR(H150,0)/IFERROR(SUMPRODUCT((Besatzung!$B$11:$B$22&lt;&gt;"")*(Besatzung!$F$11:$F$22="x")*(IF(Besatzung!$C$11:$C$22="",Besatzung!$B$5,Besatzung!$C$11:$C$22)&lt;=B150)*(IF(Besatzung!$D$11:$D$22="",Besatzung!$B$6,Besatzung!$D$11:$D$22)&gt;=B150)),1)),IF(I150="An Bord",(((Besatzung!$B$13&lt;&gt;"")*IF(B150="",1,(IF(Besatzung!$C$15="",Besatzung!$B$5,Besatzung!$C$15)&lt;=B150)*(IF(Besatzung!$D$15="",Besatzung!$B$6,Besatzung!$D$15)&gt;=B150)))*((G150-IFERROR(H150,0))/IFERROR(SUMPRODUCT((Besatzung!$B$11:$B$22&lt;&gt;"")*(IF(Besatzung!$C$11:$C$22="",Besatzung!$B$5,Besatzung!$C$11:$C$22)&lt;=B150)*(IF(Besatzung!$D$11:$D$22="",Besatzung!$B$6,Besatzung!$D$11:$D$22)&gt;=B150)),1)+(Besatzung!$F$15="x")*IFERROR(H150,0)/IFERROR(SUMPRODUCT((Besatzung!$B$11:$B$22&lt;&gt;"")*(Besatzung!$F$11:$F$22="x")*(IF(Besatzung!$C$11:$C$22="",Besatzung!$B$5,Besatzung!$C$11:$C$22)&lt;=B150)*(IF(Besatzung!$D$11:$D$22="",Besatzung!$B$6,Besatzung!$D$11:$D$22)&gt;=B150)),1))),IF(I150="Individuell",((N150="x")*((G150-IFERROR(H150,0))/IFERROR(COUNTIF(J150:U150,"x"),1)+(Besatzung!$F$15="x")*IFERROR(H150,0)/IFERROR(SUMPRODUCT((J150:U150="x")*(Besatzung!$F$11:$F$22="x")),1))),(IF(COUNTIF(J150:U150,"x")=0,IF(Besatzung!$B$13&lt;&gt;"",1,0),(N150="x"))*(G150-IFERROR(H150,0))/IFERROR(IF(COUNTIF(J150:U150,"x")=0,COUNTA(Besatzung!$B$11:$B$22),COUNTIF(J150:U150,"x")),1)+IF(COUNTIF(J150:U150,"x")=0,(Besatzung!$F$15="x"),(N150="x")*(Besatzung!$F$15="x"))*IFERROR(H150,0)/IFERROR(IF(COUNTIF(J150:U150,"x")=0,SUMPRODUCT((Besatzung!$B$11:$B$22&lt;&gt;"")*(Besatzung!$F$11:$F$22="x")),SUMPRODUCT((J150:U150="x")*(Besatzung!$F$11:$F$22="x"))),1))))),0))))</f>
        <v/>
      </c>
      <c r="AA150" s="247">
        <f>IF(C150="Gutschrift","",IF(G150="","",IF(Besatzung!$B$15="","",IFERROR(IF(I150="Zeitanteilig",(Besatzung!$G$16*(G150-IFERROR(H150,0))+((Besatzung!$B$15&lt;&gt;"")*IF(B150="",1,(IF(Besatzung!$C$16="",Besatzung!$B$5,Besatzung!$C$16)&lt;=B150)*(IF(Besatzung!$D$16="",Besatzung!$B$6,Besatzung!$D$16)&gt;=B150)))*(Besatzung!$F$16="x")*IFERROR(H150,0)/IFERROR(SUMPRODUCT((Besatzung!$B$11:$B$22&lt;&gt;"")*(Besatzung!$F$11:$F$22="x")*(IF(Besatzung!$C$11:$C$22="",Besatzung!$B$5,Besatzung!$C$11:$C$22)&lt;=B150)*(IF(Besatzung!$D$11:$D$22="",Besatzung!$B$6,Besatzung!$D$11:$D$22)&gt;=B150)),1)),IF(I150="An Bord",(((Besatzung!$B$15&lt;&gt;"")*IF(B150="",1,(IF(Besatzung!$C$16="",Besatzung!$B$5,Besatzung!$C$16)&lt;=B150)*(IF(Besatzung!$D$16="",Besatzung!$B$6,Besatzung!$D$16)&gt;=B150)))*((G150-IFERROR(H150,0))/IFERROR(SUMPRODUCT((Besatzung!$B$11:$B$22&lt;&gt;"")*(IF(Besatzung!$C$11:$C$22="",Besatzung!$B$5,Besatzung!$C$11:$C$22)&lt;=B150)*(IF(Besatzung!$D$11:$D$22="",Besatzung!$B$6,Besatzung!$D$11:$D$22)&gt;=B150)),1)+(Besatzung!$F$16="x")*IFERROR(H150,0)/IFERROR(SUMPRODUCT((Besatzung!$B$11:$B$22&lt;&gt;"")*(Besatzung!$F$11:$F$22="x")*(IF(Besatzung!$C$11:$C$22="",Besatzung!$B$5,Besatzung!$C$11:$C$22)&lt;=B150)*(IF(Besatzung!$D$11:$D$22="",Besatzung!$B$6,Besatzung!$D$11:$D$22)&gt;=B150)),1))),IF(I150="Individuell",((O150="x")*((G150-IFERROR(H150,0))/IFERROR(COUNTIF(J150:U150,"x"),1)+(Besatzung!$F$16="x")*IFERROR(H150,0)/IFERROR(SUMPRODUCT((J150:U150="x")*(Besatzung!$F$11:$F$22="x")),1))),(IF(COUNTIF(J150:U150,"x")=0,IF(Besatzung!$B$15&lt;&gt;"",1,0),(O150="x"))*(G150-IFERROR(H150,0))/IFERROR(IF(COUNTIF(J150:U150,"x")=0,COUNTA(Besatzung!$B$11:$B$22),COUNTIF(J150:U150,"x")),1)+IF(COUNTIF(J150:U150,"x")=0,(Besatzung!$F$16="x"),(O150="x")*(Besatzung!$F$16="x"))*IFERROR(H150,0)/IFERROR(IF(COUNTIF(J150:U150,"x")=0,SUMPRODUCT((Besatzung!$B$11:$B$22&lt;&gt;"")*(Besatzung!$F$11:$F$22="x")),SUMPRODUCT((J150:U150="x")*(Besatzung!$F$11:$F$22="x"))),1))))),0))))</f>
        <v/>
      </c>
      <c r="AB150" s="247">
        <f>IF(C150="Gutschrift","",IF(G150="","",IF(Besatzung!$B$17="","",IFERROR(IF(I150="Zeitanteilig",(Besatzung!$G$17*(G150-IFERROR(H150,0))+((Besatzung!$B$17&lt;&gt;"")*IF(B150="",1,(IF(Besatzung!$C$17="",Besatzung!$B$5,Besatzung!$C$17)&lt;=B150)*(IF(Besatzung!$D$17="",Besatzung!$B$6,Besatzung!$D$17)&gt;=B150)))*(Besatzung!$F$17="x")*IFERROR(H150,0)/IFERROR(SUMPRODUCT((Besatzung!$B$11:$B$22&lt;&gt;"")*(Besatzung!$F$11:$F$22="x")*(IF(Besatzung!$C$11:$C$22="",Besatzung!$B$5,Besatzung!$C$11:$C$22)&lt;=B150)*(IF(Besatzung!$D$11:$D$22="",Besatzung!$B$6,Besatzung!$D$11:$D$22)&gt;=B150)),1)),IF(I150="An Bord",(((Besatzung!$B$17&lt;&gt;"")*IF(B150="",1,(IF(Besatzung!$C$17="",Besatzung!$B$5,Besatzung!$C$17)&lt;=B150)*(IF(Besatzung!$D$17="",Besatzung!$B$6,Besatzung!$D$17)&gt;=B150)))*((G150-IFERROR(H150,0))/IFERROR(SUMPRODUCT((Besatzung!$B$11:$B$22&lt;&gt;"")*(IF(Besatzung!$C$11:$C$22="",Besatzung!$B$5,Besatzung!$C$11:$C$22)&lt;=B150)*(IF(Besatzung!$D$11:$D$22="",Besatzung!$B$6,Besatzung!$D$11:$D$22)&gt;=B150)),1)+(Besatzung!$F$17="x")*IFERROR(H150,0)/IFERROR(SUMPRODUCT((Besatzung!$B$11:$B$22&lt;&gt;"")*(Besatzung!$F$11:$F$22="x")*(IF(Besatzung!$C$11:$C$22="",Besatzung!$B$5,Besatzung!$C$11:$C$22)&lt;=B150)*(IF(Besatzung!$D$11:$D$22="",Besatzung!$B$6,Besatzung!$D$11:$D$22)&gt;=B150)),1))),IF(I150="Individuell",((P150="x")*((G150-IFERROR(H150,0))/IFERROR(COUNTIF(J150:U150,"x"),1)+(Besatzung!$F$17="x")*IFERROR(H150,0)/IFERROR(SUMPRODUCT((J150:U150="x")*(Besatzung!$F$11:$F$22="x")),1))),(IF(COUNTIF(J150:U150,"x")=0,IF(Besatzung!$B$17&lt;&gt;"",1,0),(P150="x"))*(G150-IFERROR(H150,0))/IFERROR(IF(COUNTIF(J150:U150,"x")=0,COUNTA(Besatzung!$B$11:$B$22),COUNTIF(J150:U150,"x")),1)+IF(COUNTIF(J150:U150,"x")=0,(Besatzung!$F$17="x"),(P150="x")*(Besatzung!$F$17="x"))*IFERROR(H150,0)/IFERROR(IF(COUNTIF(J150:U150,"x")=0,SUMPRODUCT((Besatzung!$B$11:$B$22&lt;&gt;"")*(Besatzung!$F$11:$F$22="x")),SUMPRODUCT((J150:U150="x")*(Besatzung!$F$11:$F$22="x"))),1))))),0))))</f>
        <v/>
      </c>
      <c r="AC150" s="247">
        <f>IF(C150="Gutschrift","",IF(G150="","",IF(Besatzung!$B$18="","",IFERROR(IF(I150="Zeitanteilig",(Besatzung!$G$18*(G150-IFERROR(H150,0))+((Besatzung!$B$18&lt;&gt;"")*IF(B150="",1,(IF(Besatzung!$C$18="",Besatzung!$B$5,Besatzung!$C$18)&lt;=B150)*(IF(Besatzung!$D$18="",Besatzung!$B$6,Besatzung!$D$18)&gt;=B150)))*(Besatzung!$F$18="x")*IFERROR(H150,0)/IFERROR(SUMPRODUCT((Besatzung!$B$11:$B$22&lt;&gt;"")*(Besatzung!$F$11:$F$22="x")*(IF(Besatzung!$C$11:$C$22="",Besatzung!$B$5,Besatzung!$C$11:$C$22)&lt;=B150)*(IF(Besatzung!$D$11:$D$22="",Besatzung!$B$6,Besatzung!$D$11:$D$22)&gt;=B150)),1)),IF(I150="An Bord",(((Besatzung!$B$18&lt;&gt;"")*IF(B150="",1,(IF(Besatzung!$C$18="",Besatzung!$B$5,Besatzung!$C$18)&lt;=B150)*(IF(Besatzung!$D$18="",Besatzung!$B$6,Besatzung!$D$18)&gt;=B150)))*((G150-IFERROR(H150,0))/IFERROR(SUMPRODUCT((Besatzung!$B$11:$B$22&lt;&gt;"")*(IF(Besatzung!$C$11:$C$22="",Besatzung!$B$5,Besatzung!$C$11:$C$22)&lt;=B150)*(IF(Besatzung!$D$11:$D$22="",Besatzung!$B$6,Besatzung!$D$11:$D$22)&gt;=B150)),1)+(Besatzung!$F$18="x")*IFERROR(H150,0)/IFERROR(SUMPRODUCT((Besatzung!$B$11:$B$22&lt;&gt;"")*(Besatzung!$F$11:$F$22="x")*(IF(Besatzung!$C$11:$C$22="",Besatzung!$B$5,Besatzung!$C$11:$C$22)&lt;=B150)*(IF(Besatzung!$D$11:$D$22="",Besatzung!$B$6,Besatzung!$D$11:$D$22)&gt;=B150)),1))),IF(I150="Individuell",((Q150="x")*((G150-IFERROR(H150,0))/IFERROR(COUNTIF(J150:U150,"x"),1)+(Besatzung!$F$18="x")*IFERROR(H150,0)/IFERROR(SUMPRODUCT((J150:U150="x")*(Besatzung!$F$11:$F$22="x")),1))),(IF(COUNTIF(J150:U150,"x")=0,IF(Besatzung!$B$18&lt;&gt;"",1,0),(Q150="x"))*(G150-IFERROR(H150,0))/IFERROR(IF(COUNTIF(J150:U150,"x")=0,COUNTA(Besatzung!$B$11:$B$22),COUNTIF(J150:U150,"x")),1)+IF(COUNTIF(J150:U150,"x")=0,(Besatzung!$F$18="x"),(Q150="x")*(Besatzung!$F$18="x"))*IFERROR(H150,0)/IFERROR(IF(COUNTIF(J150:U150,"x")=0,SUMPRODUCT((Besatzung!$B$11:$B$22&lt;&gt;"")*(Besatzung!$F$11:$F$22="x")),SUMPRODUCT((J150:U150="x")*(Besatzung!$F$11:$F$22="x"))),1))))),0))))</f>
        <v/>
      </c>
      <c r="AD150" s="247">
        <f>IF(C150="Gutschrift","",IF(G150="","",IF(Besatzung!$B$19="","",IFERROR(IF(I150="Zeitanteilig",(Besatzung!$G$19*(G150-IFERROR(H150,0))+((Besatzung!$B$19&lt;&gt;"")*IF(B150="",1,(IF(Besatzung!$C$19="",Besatzung!$B$5,Besatzung!$C$19)&lt;=B150)*(IF(Besatzung!$D$19="",Besatzung!$B$6,Besatzung!$D$19)&gt;=B150)))*(Besatzung!$F$19="x")*IFERROR(H150,0)/IFERROR(SUMPRODUCT((Besatzung!$B$11:$B$22&lt;&gt;"")*(Besatzung!$F$11:$F$22="x")*(IF(Besatzung!$C$11:$C$22="",Besatzung!$B$5,Besatzung!$C$11:$C$22)&lt;=B150)*(IF(Besatzung!$D$11:$D$22="",Besatzung!$B$6,Besatzung!$D$11:$D$22)&gt;=B150)),1)),IF(I150="An Bord",(((Besatzung!$B$19&lt;&gt;"")*IF(B150="",1,(IF(Besatzung!$C$19="",Besatzung!$B$5,Besatzung!$C$19)&lt;=B150)*(IF(Besatzung!$D$19="",Besatzung!$B$6,Besatzung!$D$19)&gt;=B150)))*((G150-IFERROR(H150,0))/IFERROR(SUMPRODUCT((Besatzung!$B$11:$B$22&lt;&gt;"")*(IF(Besatzung!$C$11:$C$22="",Besatzung!$B$5,Besatzung!$C$11:$C$22)&lt;=B150)*(IF(Besatzung!$D$11:$D$22="",Besatzung!$B$6,Besatzung!$D$11:$D$22)&gt;=B150)),1)+(Besatzung!$F$19="x")*IFERROR(H150,0)/IFERROR(SUMPRODUCT((Besatzung!$B$11:$B$22&lt;&gt;"")*(Besatzung!$F$11:$F$22="x")*(IF(Besatzung!$C$11:$C$22="",Besatzung!$B$5,Besatzung!$C$11:$C$22)&lt;=B150)*(IF(Besatzung!$D$11:$D$22="",Besatzung!$B$6,Besatzung!$D$11:$D$22)&gt;=B150)),1))),IF(I150="Individuell",((R150="x")*((G150-IFERROR(H150,0))/IFERROR(COUNTIF(J150:U150,"x"),1)+(Besatzung!$F$19="x")*IFERROR(H150,0)/IFERROR(SUMPRODUCT((J150:U150="x")*(Besatzung!$F$11:$F$22="x")),1))),(IF(COUNTIF(J150:U150,"x")=0,IF(Besatzung!$B$19&lt;&gt;"",1,0),(R150="x"))*(G150-IFERROR(H150,0))/IFERROR(IF(COUNTIF(J150:U150,"x")=0,COUNTA(Besatzung!$B$11:$B$22),COUNTIF(J150:U150,"x")),1)+IF(COUNTIF(J150:U150,"x")=0,(Besatzung!$F$19="x"),(R150="x")*(Besatzung!$F$19="x"))*IFERROR(H150,0)/IFERROR(IF(COUNTIF(J150:U150,"x")=0,SUMPRODUCT((Besatzung!$B$11:$B$22&lt;&gt;"")*(Besatzung!$F$11:$F$22="x")),SUMPRODUCT((J150:U150="x")*(Besatzung!$F$11:$F$22="x"))),1))))),0))))</f>
        <v/>
      </c>
      <c r="AE150" s="247">
        <f>IF(C150="Gutschrift","",IF(G150="","",IF(Besatzung!$B$20="","",IFERROR(IF(I150="Zeitanteilig",(Besatzung!$G$20*(G150-IFERROR(H150,0))+((Besatzung!$B$20&lt;&gt;"")*IF(B150="",1,(IF(Besatzung!$C$20="",Besatzung!$B$5,Besatzung!$C$20)&lt;=B150)*(IF(Besatzung!$D$20="",Besatzung!$B$6,Besatzung!$D$20)&gt;=B150)))*(Besatzung!$F$20="x")*IFERROR(H150,0)/IFERROR(SUMPRODUCT((Besatzung!$B$11:$B$22&lt;&gt;"")*(Besatzung!$F$11:$F$22="x")*(IF(Besatzung!$C$11:$C$22="",Besatzung!$B$5,Besatzung!$C$11:$C$22)&lt;=B150)*(IF(Besatzung!$D$11:$D$22="",Besatzung!$B$6,Besatzung!$D$11:$D$22)&gt;=B150)),1)),IF(I150="An Bord",(((Besatzung!$B$20&lt;&gt;"")*IF(B150="",1,(IF(Besatzung!$C$20="",Besatzung!$B$5,Besatzung!$C$20)&lt;=B150)*(IF(Besatzung!$D$20="",Besatzung!$B$6,Besatzung!$D$20)&gt;=B150)))*((G150-IFERROR(H150,0))/IFERROR(SUMPRODUCT((Besatzung!$B$11:$B$22&lt;&gt;"")*(IF(Besatzung!$C$11:$C$22="",Besatzung!$B$5,Besatzung!$C$11:$C$22)&lt;=B150)*(IF(Besatzung!$D$11:$D$22="",Besatzung!$B$6,Besatzung!$D$11:$D$22)&gt;=B150)),1)+(Besatzung!$F$20="x")*IFERROR(H150,0)/IFERROR(SUMPRODUCT((Besatzung!$B$11:$B$22&lt;&gt;"")*(Besatzung!$F$11:$F$22="x")*(IF(Besatzung!$C$11:$C$22="",Besatzung!$B$5,Besatzung!$C$11:$C$22)&lt;=B150)*(IF(Besatzung!$D$11:$D$22="",Besatzung!$B$6,Besatzung!$D$11:$D$22)&gt;=B150)),1))),IF(I150="Individuell",((S150="x")*((G150-IFERROR(H150,0))/IFERROR(COUNTIF(J150:U150,"x"),1)+(Besatzung!$F$20="x")*IFERROR(H150,0)/IFERROR(SUMPRODUCT((J150:U150="x")*(Besatzung!$F$11:$F$22="x")),1))),(IF(COUNTIF(J150:U150,"x")=0,IF(Besatzung!$B$20&lt;&gt;"",1,0),(S150="x"))*(G150-IFERROR(H150,0))/IFERROR(IF(COUNTIF(J150:U150,"x")=0,COUNTA(Besatzung!$B$11:$B$22),COUNTIF(J150:U150,"x")),1)+IF(COUNTIF(J150:U150,"x")=0,(Besatzung!$F$20="x"),(S150="x")*(Besatzung!$F$20="x"))*IFERROR(H150,0)/IFERROR(IF(COUNTIF(J150:U150,"x")=0,SUMPRODUCT((Besatzung!$B$11:$B$22&lt;&gt;"")*(Besatzung!$F$11:$F$22="x")),SUMPRODUCT((J150:U150="x")*(Besatzung!$F$11:$F$22="x"))),1))))),0))))</f>
        <v/>
      </c>
      <c r="AF150" s="247">
        <f>IF(C150="Gutschrift","",IF(G150="","",IF(Besatzung!$B$21="","",IFERROR(IF(I150="Zeitanteilig",(Besatzung!$G$21*(G150-IFERROR(H150,0))+((Besatzung!$B$21&lt;&gt;"")*IF(B150="",1,(IF(Besatzung!$C$21="",Besatzung!$B$5,Besatzung!$C$21)&lt;=B150)*(IF(Besatzung!$D$21="",Besatzung!$B$6,Besatzung!$D$21)&gt;=B150)))*(Besatzung!$F$21="x")*IFERROR(H150,0)/IFERROR(SUMPRODUCT((Besatzung!$B$11:$B$22&lt;&gt;"")*(Besatzung!$F$11:$F$22="x")*(IF(Besatzung!$C$11:$C$22="",Besatzung!$B$5,Besatzung!$C$11:$C$22)&lt;=B150)*(IF(Besatzung!$D$11:$D$22="",Besatzung!$B$6,Besatzung!$D$11:$D$22)&gt;=B150)),1)),IF(I150="An Bord",(((Besatzung!$B$21&lt;&gt;"")*IF(B150="",1,(IF(Besatzung!$C$21="",Besatzung!$B$5,Besatzung!$C$21)&lt;=B150)*(IF(Besatzung!$D$21="",Besatzung!$B$6,Besatzung!$D$21)&gt;=B150)))*((G150-IFERROR(H150,0))/IFERROR(SUMPRODUCT((Besatzung!$B$11:$B$22&lt;&gt;"")*(IF(Besatzung!$C$11:$C$22="",Besatzung!$B$5,Besatzung!$C$11:$C$22)&lt;=B150)*(IF(Besatzung!$D$11:$D$22="",Besatzung!$B$6,Besatzung!$D$11:$D$22)&gt;=B150)),1)+(Besatzung!$F$21="x")*IFERROR(H150,0)/IFERROR(SUMPRODUCT((Besatzung!$B$11:$B$22&lt;&gt;"")*(Besatzung!$F$11:$F$22="x")*(IF(Besatzung!$C$11:$C$22="",Besatzung!$B$5,Besatzung!$C$11:$C$22)&lt;=B150)*(IF(Besatzung!$D$11:$D$22="",Besatzung!$B$6,Besatzung!$D$11:$D$22)&gt;=B150)),1))),IF(I150="Individuell",((T150="x")*((G150-IFERROR(H150,0))/IFERROR(COUNTIF(J150:U150,"x"),1)+(Besatzung!$F$21="x")*IFERROR(H150,0)/IFERROR(SUMPRODUCT((J150:U150="x")*(Besatzung!$F$11:$F$22="x")),1))),(IF(COUNTIF(J150:U150,"x")=0,IF(Besatzung!$B$21&lt;&gt;"",1,0),(T150="x"))*(G150-IFERROR(H150,0))/IFERROR(IF(COUNTIF(J150:U150,"x")=0,COUNTA(Besatzung!$B$11:$B$22),COUNTIF(J150:U150,"x")),1)+IF(COUNTIF(J150:U150,"x")=0,(Besatzung!$F$21="x"),(T150="x")*(Besatzung!$F$21="x"))*IFERROR(H150,0)/IFERROR(IF(COUNTIF(J150:U150,"x")=0,SUMPRODUCT((Besatzung!$B$11:$B$22&lt;&gt;"")*(Besatzung!$F$11:$F$22="x")),SUMPRODUCT((J150:U150="x")*(Besatzung!$F$11:$F$22="x"))),1))))),0))))</f>
        <v/>
      </c>
      <c r="AG150" s="247">
        <f>IF(C150="Gutschrift","",IF(G150="","",IF(Besatzung!$B$22="","",IFERROR(IF(I150="Zeitanteilig",(Besatzung!$G$22*(G150-IFERROR(H150,0))+((Besatzung!$B$22&lt;&gt;"")*IF(B150="",1,(IF(Besatzung!$C$22="",Besatzung!$B$5,Besatzung!$C$22)&lt;=B150)*(IF(Besatzung!$D$22="",Besatzung!$B$6,Besatzung!$D$22)&gt;=B150)))*(Besatzung!$F$22="x")*IFERROR(H150,0)/IFERROR(SUMPRODUCT((Besatzung!$B$11:$B$22&lt;&gt;"")*(Besatzung!$F$11:$F$22="x")*(IF(Besatzung!$C$11:$C$22="",Besatzung!$B$5,Besatzung!$C$11:$C$22)&lt;=B150)*(IF(Besatzung!$D$11:$D$22="",Besatzung!$B$6,Besatzung!$D$11:$D$22)&gt;=B150)),1)),IF(I150="An Bord",(((Besatzung!$B$22&lt;&gt;"")*IF(B150="",1,(IF(Besatzung!$C$22="",Besatzung!$B$5,Besatzung!$C$22)&lt;=B150)*(IF(Besatzung!$D$22="",Besatzung!$B$6,Besatzung!$D$22)&gt;=B150)))*((G150-IFERROR(H150,0))/IFERROR(SUMPRODUCT((Besatzung!$B$11:$B$22&lt;&gt;"")*(IF(Besatzung!$C$11:$C$22="",Besatzung!$B$5,Besatzung!$C$11:$C$22)&lt;=B150)*(IF(Besatzung!$D$11:$D$22="",Besatzung!$B$6,Besatzung!$D$11:$D$22)&gt;=B150)),1)+(Besatzung!$F$22="x")*IFERROR(H150,0)/IFERROR(SUMPRODUCT((Besatzung!$B$11:$B$22&lt;&gt;"")*(Besatzung!$F$11:$F$22="x")*(IF(Besatzung!$C$11:$C$22="",Besatzung!$B$5,Besatzung!$C$11:$C$22)&lt;=B150)*(IF(Besatzung!$D$11:$D$22="",Besatzung!$B$6,Besatzung!$D$11:$D$22)&gt;=B150)),1))),IF(I150="Individuell",((U150="x")*((G150-IFERROR(H150,0))/IFERROR(COUNTIF(J150:U150,"x"),1)+(Besatzung!$F$22="x")*IFERROR(H150,0)/IFERROR(SUMPRODUCT((J150:U150="x")*(Besatzung!$F$11:$F$22="x")),1))),(IF(COUNTIF(J150:U150,"x")=0,IF(Besatzung!$B$22&lt;&gt;"",1,0),(U150="x"))*(G150-IFERROR(H150,0))/IFERROR(IF(COUNTIF(J150:U150,"x")=0,COUNTA(Besatzung!$B$11:$B$22),COUNTIF(J150:U150,"x")),1)+IF(COUNTIF(J150:U150,"x")=0,(Besatzung!$F$22="x"),(U150="x")*(Besatzung!$F$22="x"))*IFERROR(H150,0)/IFERROR(IF(COUNTIF(J150:U150,"x")=0,SUMPRODUCT((Besatzung!$B$11:$B$22&lt;&gt;"")*(Besatzung!$F$11:$F$22="x")),SUMPRODUCT((J150:U150="x")*(Besatzung!$F$11:$F$22="x"))),1))))),0))))</f>
        <v/>
      </c>
      <c r="AH150" s="248" t="n"/>
      <c r="AI150" s="248" t="n"/>
    </row>
    <row r="151" ht="21.75" customHeight="1" s="154">
      <c r="A151" s="238">
        <f>IF(AND(D151="",C151=""),"",148)</f>
        <v/>
      </c>
      <c r="B151" s="206" t="n"/>
      <c r="C151" s="249" t="n"/>
      <c r="D151" s="250" t="n"/>
      <c r="E151" s="251" t="n"/>
      <c r="F151" s="252" t="n"/>
      <c r="G151" s="253" t="n"/>
      <c r="H151" s="254" t="n"/>
      <c r="I151" s="255" t="n"/>
      <c r="J151" s="256" t="n"/>
      <c r="K151" s="256" t="n"/>
      <c r="L151" s="256" t="n"/>
      <c r="M151" s="256" t="n"/>
      <c r="N151" s="256" t="n"/>
      <c r="O151" s="256" t="n"/>
      <c r="P151" s="256" t="n"/>
      <c r="Q151" s="256" t="n"/>
      <c r="R151" s="256" t="n"/>
      <c r="S151" s="256" t="n"/>
      <c r="T151" s="256" t="n"/>
      <c r="U151" s="256" t="n"/>
      <c r="V151" s="247">
        <f>IF(C151="Gutschrift","",IF(G151="","",IF(Besatzung!$B$11="","",IFERROR(IF(I151="Zeitanteilig",(Besatzung!$G$11*(G151-IFERROR(H151,0))+((Besatzung!$B$11&lt;&gt;"")*IF(B151="",1,(IF(Besatzung!$C$11="",Besatzung!$B$5,Besatzung!$C$11)&lt;=B151)*(IF(Besatzung!$D$11="",Besatzung!$B$6,Besatzung!$D$11)&gt;=B151)))*(Besatzung!$F$11="x")*IFERROR(H151,0)/IFERROR(SUMPRODUCT((Besatzung!$B$11:$B$22&lt;&gt;"")*(Besatzung!$F$11:$F$22="x")*(IF(Besatzung!$C$11:$C$22="",Besatzung!$B$5,Besatzung!$C$11:$C$22)&lt;=B151)*(IF(Besatzung!$D$11:$D$22="",Besatzung!$B$6,Besatzung!$D$11:$D$22)&gt;=B151)),1)),IF(I151="An Bord",(((Besatzung!$B$11&lt;&gt;"")*IF(B151="",1,(IF(Besatzung!$C$11="",Besatzung!$B$5,Besatzung!$C$11)&lt;=B151)*(IF(Besatzung!$D$11="",Besatzung!$B$6,Besatzung!$D$11)&gt;=B151)))*((G151-IFERROR(H151,0))/IFERROR(SUMPRODUCT((Besatzung!$B$11:$B$22&lt;&gt;"")*(IF(Besatzung!$C$11:$C$22="",Besatzung!$B$5,Besatzung!$C$11:$C$22)&lt;=B151)*(IF(Besatzung!$D$11:$D$22="",Besatzung!$B$6,Besatzung!$D$11:$D$22)&gt;=B151)),1)+(Besatzung!$F$11="x")*IFERROR(H151,0)/IFERROR(SUMPRODUCT((Besatzung!$B$11:$B$22&lt;&gt;"")*(Besatzung!$F$11:$F$22="x")*(IF(Besatzung!$C$11:$C$22="",Besatzung!$B$5,Besatzung!$C$11:$C$22)&lt;=B151)*(IF(Besatzung!$D$11:$D$22="",Besatzung!$B$6,Besatzung!$D$11:$D$22)&gt;=B151)),1))),IF(I151="Individuell",((J151="x")*((G151-IFERROR(H151,0))/IFERROR(COUNTIF(J151:U151,"x"),1)+(Besatzung!$F$11="x")*IFERROR(H151,0)/IFERROR(SUMPRODUCT((J151:U151="x")*(Besatzung!$F$11:$F$22="x")),1))),(IF(COUNTIF(J151:U151,"x")=0,IF(Besatzung!$B$11&lt;&gt;"",1,0),(J151="x"))*(G151-IFERROR(H151,0))/IFERROR(IF(COUNTIF(J151:U151,"x")=0,COUNTA(Besatzung!$B$11:$B$22),COUNTIF(J151:U151,"x")),1)+IF(COUNTIF(J151:U151,"x")=0,(Besatzung!$F$11="x"),(J151="x")*(Besatzung!$F$11="x"))*IFERROR(H151,0)/IFERROR(IF(COUNTIF(J151:U151,"x")=0,SUMPRODUCT((Besatzung!$B$11:$B$22&lt;&gt;"")*(Besatzung!$F$11:$F$22="x")),SUMPRODUCT((J151:U151="x")*(Besatzung!$F$11:$F$22="x"))),1))))),0))))</f>
        <v/>
      </c>
      <c r="W151" s="247">
        <f>IF(C151="Gutschrift","",IF(G151="","",IF(Besatzung!$B$12="","",IFERROR(IF(I151="Zeitanteilig",(Besatzung!$G$12*(G151-IFERROR(H151,0))+((Besatzung!$B$12&lt;&gt;"")*IF(B151="",1,(IF(Besatzung!$C$12="",Besatzung!$B$5,Besatzung!$C$12)&lt;=B151)*(IF(Besatzung!$D$12="",Besatzung!$B$6,Besatzung!$D$12)&gt;=B151)))*(Besatzung!$F$12="x")*IFERROR(H151,0)/IFERROR(SUMPRODUCT((Besatzung!$B$11:$B$22&lt;&gt;"")*(Besatzung!$F$11:$F$22="x")*(IF(Besatzung!$C$11:$C$22="",Besatzung!$B$5,Besatzung!$C$11:$C$22)&lt;=B151)*(IF(Besatzung!$D$11:$D$22="",Besatzung!$B$6,Besatzung!$D$11:$D$22)&gt;=B151)),1)),IF(I151="An Bord",(((Besatzung!$B$12&lt;&gt;"")*IF(B151="",1,(IF(Besatzung!$C$12="",Besatzung!$B$5,Besatzung!$C$12)&lt;=B151)*(IF(Besatzung!$D$12="",Besatzung!$B$6,Besatzung!$D$12)&gt;=B151)))*((G151-IFERROR(H151,0))/IFERROR(SUMPRODUCT((Besatzung!$B$11:$B$22&lt;&gt;"")*(IF(Besatzung!$C$11:$C$22="",Besatzung!$B$5,Besatzung!$C$11:$C$22)&lt;=B151)*(IF(Besatzung!$D$11:$D$22="",Besatzung!$B$6,Besatzung!$D$11:$D$22)&gt;=B151)),1)+(Besatzung!$F$12="x")*IFERROR(H151,0)/IFERROR(SUMPRODUCT((Besatzung!$B$11:$B$22&lt;&gt;"")*(Besatzung!$F$11:$F$22="x")*(IF(Besatzung!$C$11:$C$22="",Besatzung!$B$5,Besatzung!$C$11:$C$22)&lt;=B151)*(IF(Besatzung!$D$11:$D$22="",Besatzung!$B$6,Besatzung!$D$11:$D$22)&gt;=B151)),1))),IF(I151="Individuell",((K151="x")*((G151-IFERROR(H151,0))/IFERROR(COUNTIF(J151:U151,"x"),1)+(Besatzung!$F$12="x")*IFERROR(H151,0)/IFERROR(SUMPRODUCT((J151:U151="x")*(Besatzung!$F$11:$F$22="x")),1))),(IF(COUNTIF(J151:U151,"x")=0,IF(Besatzung!$B$12&lt;&gt;"",1,0),(K151="x"))*(G151-IFERROR(H151,0))/IFERROR(IF(COUNTIF(J151:U151,"x")=0,COUNTA(Besatzung!$B$11:$B$22),COUNTIF(J151:U151,"x")),1)+IF(COUNTIF(J151:U151,"x")=0,(Besatzung!$F$12="x"),(K151="x")*(Besatzung!$F$12="x"))*IFERROR(H151,0)/IFERROR(IF(COUNTIF(J151:U151,"x")=0,SUMPRODUCT((Besatzung!$B$11:$B$22&lt;&gt;"")*(Besatzung!$F$11:$F$22="x")),SUMPRODUCT((J151:U151="x")*(Besatzung!$F$11:$F$22="x"))),1))))),0))))</f>
        <v/>
      </c>
      <c r="X151" s="247">
        <f>IF(C151="Gutschrift","",IF(G151="","",IF(Besatzung!$B$13="","",IFERROR(IF(I151="Zeitanteilig",(Besatzung!$G$13*(G151-IFERROR(H151,0))+((Besatzung!$B$13&lt;&gt;"")*IF(B151="",1,(IF(Besatzung!$C$13="",Besatzung!$B$5,Besatzung!$C$13)&lt;=B151)*(IF(Besatzung!$D$13="",Besatzung!$B$6,Besatzung!$D$13)&gt;=B151)))*(Besatzung!$F$13="x")*IFERROR(H151,0)/IFERROR(SUMPRODUCT((Besatzung!$B$11:$B$22&lt;&gt;"")*(Besatzung!$F$11:$F$22="x")*(IF(Besatzung!$C$11:$C$22="",Besatzung!$B$5,Besatzung!$C$11:$C$22)&lt;=B151)*(IF(Besatzung!$D$11:$D$22="",Besatzung!$B$6,Besatzung!$D$11:$D$22)&gt;=B151)),1)),IF(I151="An Bord",(((Besatzung!$B$13&lt;&gt;"")*IF(B151="",1,(IF(Besatzung!$C$13="",Besatzung!$B$5,Besatzung!$C$13)&lt;=B151)*(IF(Besatzung!$D$13="",Besatzung!$B$6,Besatzung!$D$13)&gt;=B151)))*((G151-IFERROR(H151,0))/IFERROR(SUMPRODUCT((Besatzung!$B$11:$B$22&lt;&gt;"")*(IF(Besatzung!$C$11:$C$22="",Besatzung!$B$5,Besatzung!$C$11:$C$22)&lt;=B151)*(IF(Besatzung!$D$11:$D$22="",Besatzung!$B$6,Besatzung!$D$11:$D$22)&gt;=B151)),1)+(Besatzung!$F$13="x")*IFERROR(H151,0)/IFERROR(SUMPRODUCT((Besatzung!$B$11:$B$22&lt;&gt;"")*(Besatzung!$F$11:$F$22="x")*(IF(Besatzung!$C$11:$C$22="",Besatzung!$B$5,Besatzung!$C$11:$C$22)&lt;=B151)*(IF(Besatzung!$D$11:$D$22="",Besatzung!$B$6,Besatzung!$D$11:$D$22)&gt;=B151)),1))),IF(I151="Individuell",((K151="x")*((G151-IFERROR(H151,0))/IFERROR(COUNTIF(J151:U151,"x"),1)+(Besatzung!$F$13="x")*IFERROR(H151,0)/IFERROR(SUMPRODUCT((J151:U151="x")*(Besatzung!$F$11:$F$22="x")),1))),(IF(COUNTIF(J151:U151,"x")=0,IF(Besatzung!$B$13&lt;&gt;"",1,0),(K151="x"))*(G151-IFERROR(H151,0))/IFERROR(IF(COUNTIF(J151:U151,"x")=0,COUNTA(Besatzung!$B$11:$B$22),COUNTIF(J151:U151,"x")),1)+IF(COUNTIF(J151:U151,"x")=0,(Besatzung!$F$13="x"),(K151="x")*(Besatzung!$F$13="x"))*IFERROR(H151,0)/IFERROR(IF(COUNTIF(J151:U151,"x")=0,SUMPRODUCT((Besatzung!$B$11:$B$22&lt;&gt;"")*(Besatzung!$F$11:$F$22="x")),SUMPRODUCT((J151:U151="x")*(Besatzung!$F$11:$F$22="x"))),1))))),0))))</f>
        <v/>
      </c>
      <c r="Y151" s="247">
        <f>IF(C151="Gutschrift","",IF(G151="","",IF(Besatzung!$B$14="","",IFERROR(IF(I151="Zeitanteilig",(Besatzung!$G$14*(G151-IFERROR(H151,0))+((Besatzung!$B$14&lt;&gt;"")*IF(B151="",1,(IF(Besatzung!$C$14="",Besatzung!$B$5,Besatzung!$C$14)&lt;=B151)*(IF(Besatzung!$D$14="",Besatzung!$B$6,Besatzung!$D$14)&gt;=B151)))*(Besatzung!$F$14="x")*IFERROR(H151,0)/IFERROR(SUMPRODUCT((Besatzung!$B$11:$B$22&lt;&gt;"")*(Besatzung!$F$11:$F$22="x")*(IF(Besatzung!$C$11:$C$22="",Besatzung!$B$5,Besatzung!$C$11:$C$22)&lt;=B151)*(IF(Besatzung!$D$11:$D$22="",Besatzung!$B$6,Besatzung!$D$11:$D$22)&gt;=B151)),1)),IF(I151="An Bord",(((Besatzung!$B$14&lt;&gt;"")*IF(B151="",1,(IF(Besatzung!$C$14="",Besatzung!$B$5,Besatzung!$C$14)&lt;=B151)*(IF(Besatzung!$D$14="",Besatzung!$B$6,Besatzung!$D$14)&gt;=B151)))*((G151-IFERROR(H151,0))/IFERROR(SUMPRODUCT((Besatzung!$B$11:$B$22&lt;&gt;"")*(IF(Besatzung!$C$11:$C$22="",Besatzung!$B$5,Besatzung!$C$11:$C$22)&lt;=B151)*(IF(Besatzung!$D$11:$D$22="",Besatzung!$B$6,Besatzung!$D$11:$D$22)&gt;=B151)),1)+(Besatzung!$F$14="x")*IFERROR(H151,0)/IFERROR(SUMPRODUCT((Besatzung!$B$11:$B$22&lt;&gt;"")*(Besatzung!$F$11:$F$22="x")*(IF(Besatzung!$C$11:$C$22="",Besatzung!$B$5,Besatzung!$C$11:$C$22)&lt;=B151)*(IF(Besatzung!$D$11:$D$22="",Besatzung!$B$6,Besatzung!$D$11:$D$22)&gt;=B151)),1))),IF(I151="Individuell",((M151="x")*((G151-IFERROR(H151,0))/IFERROR(COUNTIF(J151:U151,"x"),1)+(Besatzung!$F$14="x")*IFERROR(H151,0)/IFERROR(SUMPRODUCT((J151:U151="x")*(Besatzung!$F$11:$F$22="x")),1))),(IF(COUNTIF(J151:U151,"x")=0,IF(Besatzung!$B$14&lt;&gt;"",1,0),(M151="x"))*(G151-IFERROR(H151,0))/IFERROR(IF(COUNTIF(J151:U151,"x")=0,COUNTA(Besatzung!$B$11:$B$22),COUNTIF(J151:U151,"x")),1)+IF(COUNTIF(J151:U151,"x")=0,(Besatzung!$F$14="x"),(M151="x")*(Besatzung!$F$14="x"))*IFERROR(H151,0)/IFERROR(IF(COUNTIF(J151:U151,"x")=0,SUMPRODUCT((Besatzung!$B$11:$B$22&lt;&gt;"")*(Besatzung!$F$11:$F$22="x")),SUMPRODUCT((J151:U151="x")*(Besatzung!$F$11:$F$22="x"))),1))))),0))))</f>
        <v/>
      </c>
      <c r="Z151" s="247">
        <f>IF(C151="Gutschrift","",IF(G151="","",IF(Besatzung!$B$13="","",IFERROR(IF(I151="Zeitanteilig",(Besatzung!$G$15*(G151-IFERROR(H151,0))+((Besatzung!$B$13&lt;&gt;"")*IF(B151="",1,(IF(Besatzung!$C$15="",Besatzung!$B$5,Besatzung!$C$15)&lt;=B151)*(IF(Besatzung!$D$15="",Besatzung!$B$6,Besatzung!$D$15)&gt;=B151)))*(Besatzung!$F$15="x")*IFERROR(H151,0)/IFERROR(SUMPRODUCT((Besatzung!$B$11:$B$22&lt;&gt;"")*(Besatzung!$F$11:$F$22="x")*(IF(Besatzung!$C$11:$C$22="",Besatzung!$B$5,Besatzung!$C$11:$C$22)&lt;=B151)*(IF(Besatzung!$D$11:$D$22="",Besatzung!$B$6,Besatzung!$D$11:$D$22)&gt;=B151)),1)),IF(I151="An Bord",(((Besatzung!$B$13&lt;&gt;"")*IF(B151="",1,(IF(Besatzung!$C$15="",Besatzung!$B$5,Besatzung!$C$15)&lt;=B151)*(IF(Besatzung!$D$15="",Besatzung!$B$6,Besatzung!$D$15)&gt;=B151)))*((G151-IFERROR(H151,0))/IFERROR(SUMPRODUCT((Besatzung!$B$11:$B$22&lt;&gt;"")*(IF(Besatzung!$C$11:$C$22="",Besatzung!$B$5,Besatzung!$C$11:$C$22)&lt;=B151)*(IF(Besatzung!$D$11:$D$22="",Besatzung!$B$6,Besatzung!$D$11:$D$22)&gt;=B151)),1)+(Besatzung!$F$15="x")*IFERROR(H151,0)/IFERROR(SUMPRODUCT((Besatzung!$B$11:$B$22&lt;&gt;"")*(Besatzung!$F$11:$F$22="x")*(IF(Besatzung!$C$11:$C$22="",Besatzung!$B$5,Besatzung!$C$11:$C$22)&lt;=B151)*(IF(Besatzung!$D$11:$D$22="",Besatzung!$B$6,Besatzung!$D$11:$D$22)&gt;=B151)),1))),IF(I151="Individuell",((N151="x")*((G151-IFERROR(H151,0))/IFERROR(COUNTIF(J151:U151,"x"),1)+(Besatzung!$F$15="x")*IFERROR(H151,0)/IFERROR(SUMPRODUCT((J151:U151="x")*(Besatzung!$F$11:$F$22="x")),1))),(IF(COUNTIF(J151:U151,"x")=0,IF(Besatzung!$B$13&lt;&gt;"",1,0),(N151="x"))*(G151-IFERROR(H151,0))/IFERROR(IF(COUNTIF(J151:U151,"x")=0,COUNTA(Besatzung!$B$11:$B$22),COUNTIF(J151:U151,"x")),1)+IF(COUNTIF(J151:U151,"x")=0,(Besatzung!$F$15="x"),(N151="x")*(Besatzung!$F$15="x"))*IFERROR(H151,0)/IFERROR(IF(COUNTIF(J151:U151,"x")=0,SUMPRODUCT((Besatzung!$B$11:$B$22&lt;&gt;"")*(Besatzung!$F$11:$F$22="x")),SUMPRODUCT((J151:U151="x")*(Besatzung!$F$11:$F$22="x"))),1))))),0))))</f>
        <v/>
      </c>
      <c r="AA151" s="247">
        <f>IF(C151="Gutschrift","",IF(G151="","",IF(Besatzung!$B$15="","",IFERROR(IF(I151="Zeitanteilig",(Besatzung!$G$16*(G151-IFERROR(H151,0))+((Besatzung!$B$15&lt;&gt;"")*IF(B151="",1,(IF(Besatzung!$C$16="",Besatzung!$B$5,Besatzung!$C$16)&lt;=B151)*(IF(Besatzung!$D$16="",Besatzung!$B$6,Besatzung!$D$16)&gt;=B151)))*(Besatzung!$F$16="x")*IFERROR(H151,0)/IFERROR(SUMPRODUCT((Besatzung!$B$11:$B$22&lt;&gt;"")*(Besatzung!$F$11:$F$22="x")*(IF(Besatzung!$C$11:$C$22="",Besatzung!$B$5,Besatzung!$C$11:$C$22)&lt;=B151)*(IF(Besatzung!$D$11:$D$22="",Besatzung!$B$6,Besatzung!$D$11:$D$22)&gt;=B151)),1)),IF(I151="An Bord",(((Besatzung!$B$15&lt;&gt;"")*IF(B151="",1,(IF(Besatzung!$C$16="",Besatzung!$B$5,Besatzung!$C$16)&lt;=B151)*(IF(Besatzung!$D$16="",Besatzung!$B$6,Besatzung!$D$16)&gt;=B151)))*((G151-IFERROR(H151,0))/IFERROR(SUMPRODUCT((Besatzung!$B$11:$B$22&lt;&gt;"")*(IF(Besatzung!$C$11:$C$22="",Besatzung!$B$5,Besatzung!$C$11:$C$22)&lt;=B151)*(IF(Besatzung!$D$11:$D$22="",Besatzung!$B$6,Besatzung!$D$11:$D$22)&gt;=B151)),1)+(Besatzung!$F$16="x")*IFERROR(H151,0)/IFERROR(SUMPRODUCT((Besatzung!$B$11:$B$22&lt;&gt;"")*(Besatzung!$F$11:$F$22="x")*(IF(Besatzung!$C$11:$C$22="",Besatzung!$B$5,Besatzung!$C$11:$C$22)&lt;=B151)*(IF(Besatzung!$D$11:$D$22="",Besatzung!$B$6,Besatzung!$D$11:$D$22)&gt;=B151)),1))),IF(I151="Individuell",((O151="x")*((G151-IFERROR(H151,0))/IFERROR(COUNTIF(J151:U151,"x"),1)+(Besatzung!$F$16="x")*IFERROR(H151,0)/IFERROR(SUMPRODUCT((J151:U151="x")*(Besatzung!$F$11:$F$22="x")),1))),(IF(COUNTIF(J151:U151,"x")=0,IF(Besatzung!$B$15&lt;&gt;"",1,0),(O151="x"))*(G151-IFERROR(H151,0))/IFERROR(IF(COUNTIF(J151:U151,"x")=0,COUNTA(Besatzung!$B$11:$B$22),COUNTIF(J151:U151,"x")),1)+IF(COUNTIF(J151:U151,"x")=0,(Besatzung!$F$16="x"),(O151="x")*(Besatzung!$F$16="x"))*IFERROR(H151,0)/IFERROR(IF(COUNTIF(J151:U151,"x")=0,SUMPRODUCT((Besatzung!$B$11:$B$22&lt;&gt;"")*(Besatzung!$F$11:$F$22="x")),SUMPRODUCT((J151:U151="x")*(Besatzung!$F$11:$F$22="x"))),1))))),0))))</f>
        <v/>
      </c>
      <c r="AB151" s="247">
        <f>IF(C151="Gutschrift","",IF(G151="","",IF(Besatzung!$B$17="","",IFERROR(IF(I151="Zeitanteilig",(Besatzung!$G$17*(G151-IFERROR(H151,0))+((Besatzung!$B$17&lt;&gt;"")*IF(B151="",1,(IF(Besatzung!$C$17="",Besatzung!$B$5,Besatzung!$C$17)&lt;=B151)*(IF(Besatzung!$D$17="",Besatzung!$B$6,Besatzung!$D$17)&gt;=B151)))*(Besatzung!$F$17="x")*IFERROR(H151,0)/IFERROR(SUMPRODUCT((Besatzung!$B$11:$B$22&lt;&gt;"")*(Besatzung!$F$11:$F$22="x")*(IF(Besatzung!$C$11:$C$22="",Besatzung!$B$5,Besatzung!$C$11:$C$22)&lt;=B151)*(IF(Besatzung!$D$11:$D$22="",Besatzung!$B$6,Besatzung!$D$11:$D$22)&gt;=B151)),1)),IF(I151="An Bord",(((Besatzung!$B$17&lt;&gt;"")*IF(B151="",1,(IF(Besatzung!$C$17="",Besatzung!$B$5,Besatzung!$C$17)&lt;=B151)*(IF(Besatzung!$D$17="",Besatzung!$B$6,Besatzung!$D$17)&gt;=B151)))*((G151-IFERROR(H151,0))/IFERROR(SUMPRODUCT((Besatzung!$B$11:$B$22&lt;&gt;"")*(IF(Besatzung!$C$11:$C$22="",Besatzung!$B$5,Besatzung!$C$11:$C$22)&lt;=B151)*(IF(Besatzung!$D$11:$D$22="",Besatzung!$B$6,Besatzung!$D$11:$D$22)&gt;=B151)),1)+(Besatzung!$F$17="x")*IFERROR(H151,0)/IFERROR(SUMPRODUCT((Besatzung!$B$11:$B$22&lt;&gt;"")*(Besatzung!$F$11:$F$22="x")*(IF(Besatzung!$C$11:$C$22="",Besatzung!$B$5,Besatzung!$C$11:$C$22)&lt;=B151)*(IF(Besatzung!$D$11:$D$22="",Besatzung!$B$6,Besatzung!$D$11:$D$22)&gt;=B151)),1))),IF(I151="Individuell",((P151="x")*((G151-IFERROR(H151,0))/IFERROR(COUNTIF(J151:U151,"x"),1)+(Besatzung!$F$17="x")*IFERROR(H151,0)/IFERROR(SUMPRODUCT((J151:U151="x")*(Besatzung!$F$11:$F$22="x")),1))),(IF(COUNTIF(J151:U151,"x")=0,IF(Besatzung!$B$17&lt;&gt;"",1,0),(P151="x"))*(G151-IFERROR(H151,0))/IFERROR(IF(COUNTIF(J151:U151,"x")=0,COUNTA(Besatzung!$B$11:$B$22),COUNTIF(J151:U151,"x")),1)+IF(COUNTIF(J151:U151,"x")=0,(Besatzung!$F$17="x"),(P151="x")*(Besatzung!$F$17="x"))*IFERROR(H151,0)/IFERROR(IF(COUNTIF(J151:U151,"x")=0,SUMPRODUCT((Besatzung!$B$11:$B$22&lt;&gt;"")*(Besatzung!$F$11:$F$22="x")),SUMPRODUCT((J151:U151="x")*(Besatzung!$F$11:$F$22="x"))),1))))),0))))</f>
        <v/>
      </c>
      <c r="AC151" s="247">
        <f>IF(C151="Gutschrift","",IF(G151="","",IF(Besatzung!$B$18="","",IFERROR(IF(I151="Zeitanteilig",(Besatzung!$G$18*(G151-IFERROR(H151,0))+((Besatzung!$B$18&lt;&gt;"")*IF(B151="",1,(IF(Besatzung!$C$18="",Besatzung!$B$5,Besatzung!$C$18)&lt;=B151)*(IF(Besatzung!$D$18="",Besatzung!$B$6,Besatzung!$D$18)&gt;=B151)))*(Besatzung!$F$18="x")*IFERROR(H151,0)/IFERROR(SUMPRODUCT((Besatzung!$B$11:$B$22&lt;&gt;"")*(Besatzung!$F$11:$F$22="x")*(IF(Besatzung!$C$11:$C$22="",Besatzung!$B$5,Besatzung!$C$11:$C$22)&lt;=B151)*(IF(Besatzung!$D$11:$D$22="",Besatzung!$B$6,Besatzung!$D$11:$D$22)&gt;=B151)),1)),IF(I151="An Bord",(((Besatzung!$B$18&lt;&gt;"")*IF(B151="",1,(IF(Besatzung!$C$18="",Besatzung!$B$5,Besatzung!$C$18)&lt;=B151)*(IF(Besatzung!$D$18="",Besatzung!$B$6,Besatzung!$D$18)&gt;=B151)))*((G151-IFERROR(H151,0))/IFERROR(SUMPRODUCT((Besatzung!$B$11:$B$22&lt;&gt;"")*(IF(Besatzung!$C$11:$C$22="",Besatzung!$B$5,Besatzung!$C$11:$C$22)&lt;=B151)*(IF(Besatzung!$D$11:$D$22="",Besatzung!$B$6,Besatzung!$D$11:$D$22)&gt;=B151)),1)+(Besatzung!$F$18="x")*IFERROR(H151,0)/IFERROR(SUMPRODUCT((Besatzung!$B$11:$B$22&lt;&gt;"")*(Besatzung!$F$11:$F$22="x")*(IF(Besatzung!$C$11:$C$22="",Besatzung!$B$5,Besatzung!$C$11:$C$22)&lt;=B151)*(IF(Besatzung!$D$11:$D$22="",Besatzung!$B$6,Besatzung!$D$11:$D$22)&gt;=B151)),1))),IF(I151="Individuell",((Q151="x")*((G151-IFERROR(H151,0))/IFERROR(COUNTIF(J151:U151,"x"),1)+(Besatzung!$F$18="x")*IFERROR(H151,0)/IFERROR(SUMPRODUCT((J151:U151="x")*(Besatzung!$F$11:$F$22="x")),1))),(IF(COUNTIF(J151:U151,"x")=0,IF(Besatzung!$B$18&lt;&gt;"",1,0),(Q151="x"))*(G151-IFERROR(H151,0))/IFERROR(IF(COUNTIF(J151:U151,"x")=0,COUNTA(Besatzung!$B$11:$B$22),COUNTIF(J151:U151,"x")),1)+IF(COUNTIF(J151:U151,"x")=0,(Besatzung!$F$18="x"),(Q151="x")*(Besatzung!$F$18="x"))*IFERROR(H151,0)/IFERROR(IF(COUNTIF(J151:U151,"x")=0,SUMPRODUCT((Besatzung!$B$11:$B$22&lt;&gt;"")*(Besatzung!$F$11:$F$22="x")),SUMPRODUCT((J151:U151="x")*(Besatzung!$F$11:$F$22="x"))),1))))),0))))</f>
        <v/>
      </c>
      <c r="AD151" s="247">
        <f>IF(C151="Gutschrift","",IF(G151="","",IF(Besatzung!$B$19="","",IFERROR(IF(I151="Zeitanteilig",(Besatzung!$G$19*(G151-IFERROR(H151,0))+((Besatzung!$B$19&lt;&gt;"")*IF(B151="",1,(IF(Besatzung!$C$19="",Besatzung!$B$5,Besatzung!$C$19)&lt;=B151)*(IF(Besatzung!$D$19="",Besatzung!$B$6,Besatzung!$D$19)&gt;=B151)))*(Besatzung!$F$19="x")*IFERROR(H151,0)/IFERROR(SUMPRODUCT((Besatzung!$B$11:$B$22&lt;&gt;"")*(Besatzung!$F$11:$F$22="x")*(IF(Besatzung!$C$11:$C$22="",Besatzung!$B$5,Besatzung!$C$11:$C$22)&lt;=B151)*(IF(Besatzung!$D$11:$D$22="",Besatzung!$B$6,Besatzung!$D$11:$D$22)&gt;=B151)),1)),IF(I151="An Bord",(((Besatzung!$B$19&lt;&gt;"")*IF(B151="",1,(IF(Besatzung!$C$19="",Besatzung!$B$5,Besatzung!$C$19)&lt;=B151)*(IF(Besatzung!$D$19="",Besatzung!$B$6,Besatzung!$D$19)&gt;=B151)))*((G151-IFERROR(H151,0))/IFERROR(SUMPRODUCT((Besatzung!$B$11:$B$22&lt;&gt;"")*(IF(Besatzung!$C$11:$C$22="",Besatzung!$B$5,Besatzung!$C$11:$C$22)&lt;=B151)*(IF(Besatzung!$D$11:$D$22="",Besatzung!$B$6,Besatzung!$D$11:$D$22)&gt;=B151)),1)+(Besatzung!$F$19="x")*IFERROR(H151,0)/IFERROR(SUMPRODUCT((Besatzung!$B$11:$B$22&lt;&gt;"")*(Besatzung!$F$11:$F$22="x")*(IF(Besatzung!$C$11:$C$22="",Besatzung!$B$5,Besatzung!$C$11:$C$22)&lt;=B151)*(IF(Besatzung!$D$11:$D$22="",Besatzung!$B$6,Besatzung!$D$11:$D$22)&gt;=B151)),1))),IF(I151="Individuell",((R151="x")*((G151-IFERROR(H151,0))/IFERROR(COUNTIF(J151:U151,"x"),1)+(Besatzung!$F$19="x")*IFERROR(H151,0)/IFERROR(SUMPRODUCT((J151:U151="x")*(Besatzung!$F$11:$F$22="x")),1))),(IF(COUNTIF(J151:U151,"x")=0,IF(Besatzung!$B$19&lt;&gt;"",1,0),(R151="x"))*(G151-IFERROR(H151,0))/IFERROR(IF(COUNTIF(J151:U151,"x")=0,COUNTA(Besatzung!$B$11:$B$22),COUNTIF(J151:U151,"x")),1)+IF(COUNTIF(J151:U151,"x")=0,(Besatzung!$F$19="x"),(R151="x")*(Besatzung!$F$19="x"))*IFERROR(H151,0)/IFERROR(IF(COUNTIF(J151:U151,"x")=0,SUMPRODUCT((Besatzung!$B$11:$B$22&lt;&gt;"")*(Besatzung!$F$11:$F$22="x")),SUMPRODUCT((J151:U151="x")*(Besatzung!$F$11:$F$22="x"))),1))))),0))))</f>
        <v/>
      </c>
      <c r="AE151" s="247">
        <f>IF(C151="Gutschrift","",IF(G151="","",IF(Besatzung!$B$20="","",IFERROR(IF(I151="Zeitanteilig",(Besatzung!$G$20*(G151-IFERROR(H151,0))+((Besatzung!$B$20&lt;&gt;"")*IF(B151="",1,(IF(Besatzung!$C$20="",Besatzung!$B$5,Besatzung!$C$20)&lt;=B151)*(IF(Besatzung!$D$20="",Besatzung!$B$6,Besatzung!$D$20)&gt;=B151)))*(Besatzung!$F$20="x")*IFERROR(H151,0)/IFERROR(SUMPRODUCT((Besatzung!$B$11:$B$22&lt;&gt;"")*(Besatzung!$F$11:$F$22="x")*(IF(Besatzung!$C$11:$C$22="",Besatzung!$B$5,Besatzung!$C$11:$C$22)&lt;=B151)*(IF(Besatzung!$D$11:$D$22="",Besatzung!$B$6,Besatzung!$D$11:$D$22)&gt;=B151)),1)),IF(I151="An Bord",(((Besatzung!$B$20&lt;&gt;"")*IF(B151="",1,(IF(Besatzung!$C$20="",Besatzung!$B$5,Besatzung!$C$20)&lt;=B151)*(IF(Besatzung!$D$20="",Besatzung!$B$6,Besatzung!$D$20)&gt;=B151)))*((G151-IFERROR(H151,0))/IFERROR(SUMPRODUCT((Besatzung!$B$11:$B$22&lt;&gt;"")*(IF(Besatzung!$C$11:$C$22="",Besatzung!$B$5,Besatzung!$C$11:$C$22)&lt;=B151)*(IF(Besatzung!$D$11:$D$22="",Besatzung!$B$6,Besatzung!$D$11:$D$22)&gt;=B151)),1)+(Besatzung!$F$20="x")*IFERROR(H151,0)/IFERROR(SUMPRODUCT((Besatzung!$B$11:$B$22&lt;&gt;"")*(Besatzung!$F$11:$F$22="x")*(IF(Besatzung!$C$11:$C$22="",Besatzung!$B$5,Besatzung!$C$11:$C$22)&lt;=B151)*(IF(Besatzung!$D$11:$D$22="",Besatzung!$B$6,Besatzung!$D$11:$D$22)&gt;=B151)),1))),IF(I151="Individuell",((S151="x")*((G151-IFERROR(H151,0))/IFERROR(COUNTIF(J151:U151,"x"),1)+(Besatzung!$F$20="x")*IFERROR(H151,0)/IFERROR(SUMPRODUCT((J151:U151="x")*(Besatzung!$F$11:$F$22="x")),1))),(IF(COUNTIF(J151:U151,"x")=0,IF(Besatzung!$B$20&lt;&gt;"",1,0),(S151="x"))*(G151-IFERROR(H151,0))/IFERROR(IF(COUNTIF(J151:U151,"x")=0,COUNTA(Besatzung!$B$11:$B$22),COUNTIF(J151:U151,"x")),1)+IF(COUNTIF(J151:U151,"x")=0,(Besatzung!$F$20="x"),(S151="x")*(Besatzung!$F$20="x"))*IFERROR(H151,0)/IFERROR(IF(COUNTIF(J151:U151,"x")=0,SUMPRODUCT((Besatzung!$B$11:$B$22&lt;&gt;"")*(Besatzung!$F$11:$F$22="x")),SUMPRODUCT((J151:U151="x")*(Besatzung!$F$11:$F$22="x"))),1))))),0))))</f>
        <v/>
      </c>
      <c r="AF151" s="247">
        <f>IF(C151="Gutschrift","",IF(G151="","",IF(Besatzung!$B$21="","",IFERROR(IF(I151="Zeitanteilig",(Besatzung!$G$21*(G151-IFERROR(H151,0))+((Besatzung!$B$21&lt;&gt;"")*IF(B151="",1,(IF(Besatzung!$C$21="",Besatzung!$B$5,Besatzung!$C$21)&lt;=B151)*(IF(Besatzung!$D$21="",Besatzung!$B$6,Besatzung!$D$21)&gt;=B151)))*(Besatzung!$F$21="x")*IFERROR(H151,0)/IFERROR(SUMPRODUCT((Besatzung!$B$11:$B$22&lt;&gt;"")*(Besatzung!$F$11:$F$22="x")*(IF(Besatzung!$C$11:$C$22="",Besatzung!$B$5,Besatzung!$C$11:$C$22)&lt;=B151)*(IF(Besatzung!$D$11:$D$22="",Besatzung!$B$6,Besatzung!$D$11:$D$22)&gt;=B151)),1)),IF(I151="An Bord",(((Besatzung!$B$21&lt;&gt;"")*IF(B151="",1,(IF(Besatzung!$C$21="",Besatzung!$B$5,Besatzung!$C$21)&lt;=B151)*(IF(Besatzung!$D$21="",Besatzung!$B$6,Besatzung!$D$21)&gt;=B151)))*((G151-IFERROR(H151,0))/IFERROR(SUMPRODUCT((Besatzung!$B$11:$B$22&lt;&gt;"")*(IF(Besatzung!$C$11:$C$22="",Besatzung!$B$5,Besatzung!$C$11:$C$22)&lt;=B151)*(IF(Besatzung!$D$11:$D$22="",Besatzung!$B$6,Besatzung!$D$11:$D$22)&gt;=B151)),1)+(Besatzung!$F$21="x")*IFERROR(H151,0)/IFERROR(SUMPRODUCT((Besatzung!$B$11:$B$22&lt;&gt;"")*(Besatzung!$F$11:$F$22="x")*(IF(Besatzung!$C$11:$C$22="",Besatzung!$B$5,Besatzung!$C$11:$C$22)&lt;=B151)*(IF(Besatzung!$D$11:$D$22="",Besatzung!$B$6,Besatzung!$D$11:$D$22)&gt;=B151)),1))),IF(I151="Individuell",((T151="x")*((G151-IFERROR(H151,0))/IFERROR(COUNTIF(J151:U151,"x"),1)+(Besatzung!$F$21="x")*IFERROR(H151,0)/IFERROR(SUMPRODUCT((J151:U151="x")*(Besatzung!$F$11:$F$22="x")),1))),(IF(COUNTIF(J151:U151,"x")=0,IF(Besatzung!$B$21&lt;&gt;"",1,0),(T151="x"))*(G151-IFERROR(H151,0))/IFERROR(IF(COUNTIF(J151:U151,"x")=0,COUNTA(Besatzung!$B$11:$B$22),COUNTIF(J151:U151,"x")),1)+IF(COUNTIF(J151:U151,"x")=0,(Besatzung!$F$21="x"),(T151="x")*(Besatzung!$F$21="x"))*IFERROR(H151,0)/IFERROR(IF(COUNTIF(J151:U151,"x")=0,SUMPRODUCT((Besatzung!$B$11:$B$22&lt;&gt;"")*(Besatzung!$F$11:$F$22="x")),SUMPRODUCT((J151:U151="x")*(Besatzung!$F$11:$F$22="x"))),1))))),0))))</f>
        <v/>
      </c>
      <c r="AG151" s="247">
        <f>IF(C151="Gutschrift","",IF(G151="","",IF(Besatzung!$B$22="","",IFERROR(IF(I151="Zeitanteilig",(Besatzung!$G$22*(G151-IFERROR(H151,0))+((Besatzung!$B$22&lt;&gt;"")*IF(B151="",1,(IF(Besatzung!$C$22="",Besatzung!$B$5,Besatzung!$C$22)&lt;=B151)*(IF(Besatzung!$D$22="",Besatzung!$B$6,Besatzung!$D$22)&gt;=B151)))*(Besatzung!$F$22="x")*IFERROR(H151,0)/IFERROR(SUMPRODUCT((Besatzung!$B$11:$B$22&lt;&gt;"")*(Besatzung!$F$11:$F$22="x")*(IF(Besatzung!$C$11:$C$22="",Besatzung!$B$5,Besatzung!$C$11:$C$22)&lt;=B151)*(IF(Besatzung!$D$11:$D$22="",Besatzung!$B$6,Besatzung!$D$11:$D$22)&gt;=B151)),1)),IF(I151="An Bord",(((Besatzung!$B$22&lt;&gt;"")*IF(B151="",1,(IF(Besatzung!$C$22="",Besatzung!$B$5,Besatzung!$C$22)&lt;=B151)*(IF(Besatzung!$D$22="",Besatzung!$B$6,Besatzung!$D$22)&gt;=B151)))*((G151-IFERROR(H151,0))/IFERROR(SUMPRODUCT((Besatzung!$B$11:$B$22&lt;&gt;"")*(IF(Besatzung!$C$11:$C$22="",Besatzung!$B$5,Besatzung!$C$11:$C$22)&lt;=B151)*(IF(Besatzung!$D$11:$D$22="",Besatzung!$B$6,Besatzung!$D$11:$D$22)&gt;=B151)),1)+(Besatzung!$F$22="x")*IFERROR(H151,0)/IFERROR(SUMPRODUCT((Besatzung!$B$11:$B$22&lt;&gt;"")*(Besatzung!$F$11:$F$22="x")*(IF(Besatzung!$C$11:$C$22="",Besatzung!$B$5,Besatzung!$C$11:$C$22)&lt;=B151)*(IF(Besatzung!$D$11:$D$22="",Besatzung!$B$6,Besatzung!$D$11:$D$22)&gt;=B151)),1))),IF(I151="Individuell",((U151="x")*((G151-IFERROR(H151,0))/IFERROR(COUNTIF(J151:U151,"x"),1)+(Besatzung!$F$22="x")*IFERROR(H151,0)/IFERROR(SUMPRODUCT((J151:U151="x")*(Besatzung!$F$11:$F$22="x")),1))),(IF(COUNTIF(J151:U151,"x")=0,IF(Besatzung!$B$22&lt;&gt;"",1,0),(U151="x"))*(G151-IFERROR(H151,0))/IFERROR(IF(COUNTIF(J151:U151,"x")=0,COUNTA(Besatzung!$B$11:$B$22),COUNTIF(J151:U151,"x")),1)+IF(COUNTIF(J151:U151,"x")=0,(Besatzung!$F$22="x"),(U151="x")*(Besatzung!$F$22="x"))*IFERROR(H151,0)/IFERROR(IF(COUNTIF(J151:U151,"x")=0,SUMPRODUCT((Besatzung!$B$11:$B$22&lt;&gt;"")*(Besatzung!$F$11:$F$22="x")),SUMPRODUCT((J151:U151="x")*(Besatzung!$F$11:$F$22="x"))),1))))),0))))</f>
        <v/>
      </c>
      <c r="AH151" s="248" t="n"/>
      <c r="AI151" s="248" t="n"/>
    </row>
    <row r="152" ht="21.75" customHeight="1" s="154">
      <c r="A152" s="238">
        <f>IF(AND(D152="",C152=""),"",149)</f>
        <v/>
      </c>
      <c r="B152" s="199" t="n"/>
      <c r="C152" s="239" t="n"/>
      <c r="D152" s="240" t="n"/>
      <c r="E152" s="241" t="n"/>
      <c r="F152" s="242" t="n"/>
      <c r="G152" s="243" t="n"/>
      <c r="H152" s="244" t="n"/>
      <c r="I152" s="245" t="n"/>
      <c r="J152" s="246" t="n"/>
      <c r="K152" s="246" t="n"/>
      <c r="L152" s="246" t="n"/>
      <c r="M152" s="246" t="n"/>
      <c r="N152" s="246" t="n"/>
      <c r="O152" s="246" t="n"/>
      <c r="P152" s="246" t="n"/>
      <c r="Q152" s="246" t="n"/>
      <c r="R152" s="246" t="n"/>
      <c r="S152" s="246" t="n"/>
      <c r="T152" s="246" t="n"/>
      <c r="U152" s="246" t="n"/>
      <c r="V152" s="247">
        <f>IF(C152="Gutschrift","",IF(G152="","",IF(Besatzung!$B$11="","",IFERROR(IF(I152="Zeitanteilig",(Besatzung!$G$11*(G152-IFERROR(H152,0))+((Besatzung!$B$11&lt;&gt;"")*IF(B152="",1,(IF(Besatzung!$C$11="",Besatzung!$B$5,Besatzung!$C$11)&lt;=B152)*(IF(Besatzung!$D$11="",Besatzung!$B$6,Besatzung!$D$11)&gt;=B152)))*(Besatzung!$F$11="x")*IFERROR(H152,0)/IFERROR(SUMPRODUCT((Besatzung!$B$11:$B$22&lt;&gt;"")*(Besatzung!$F$11:$F$22="x")*(IF(Besatzung!$C$11:$C$22="",Besatzung!$B$5,Besatzung!$C$11:$C$22)&lt;=B152)*(IF(Besatzung!$D$11:$D$22="",Besatzung!$B$6,Besatzung!$D$11:$D$22)&gt;=B152)),1)),IF(I152="An Bord",(((Besatzung!$B$11&lt;&gt;"")*IF(B152="",1,(IF(Besatzung!$C$11="",Besatzung!$B$5,Besatzung!$C$11)&lt;=B152)*(IF(Besatzung!$D$11="",Besatzung!$B$6,Besatzung!$D$11)&gt;=B152)))*((G152-IFERROR(H152,0))/IFERROR(SUMPRODUCT((Besatzung!$B$11:$B$22&lt;&gt;"")*(IF(Besatzung!$C$11:$C$22="",Besatzung!$B$5,Besatzung!$C$11:$C$22)&lt;=B152)*(IF(Besatzung!$D$11:$D$22="",Besatzung!$B$6,Besatzung!$D$11:$D$22)&gt;=B152)),1)+(Besatzung!$F$11="x")*IFERROR(H152,0)/IFERROR(SUMPRODUCT((Besatzung!$B$11:$B$22&lt;&gt;"")*(Besatzung!$F$11:$F$22="x")*(IF(Besatzung!$C$11:$C$22="",Besatzung!$B$5,Besatzung!$C$11:$C$22)&lt;=B152)*(IF(Besatzung!$D$11:$D$22="",Besatzung!$B$6,Besatzung!$D$11:$D$22)&gt;=B152)),1))),IF(I152="Individuell",((J152="x")*((G152-IFERROR(H152,0))/IFERROR(COUNTIF(J152:U152,"x"),1)+(Besatzung!$F$11="x")*IFERROR(H152,0)/IFERROR(SUMPRODUCT((J152:U152="x")*(Besatzung!$F$11:$F$22="x")),1))),(IF(COUNTIF(J152:U152,"x")=0,IF(Besatzung!$B$11&lt;&gt;"",1,0),(J152="x"))*(G152-IFERROR(H152,0))/IFERROR(IF(COUNTIF(J152:U152,"x")=0,COUNTA(Besatzung!$B$11:$B$22),COUNTIF(J152:U152,"x")),1)+IF(COUNTIF(J152:U152,"x")=0,(Besatzung!$F$11="x"),(J152="x")*(Besatzung!$F$11="x"))*IFERROR(H152,0)/IFERROR(IF(COUNTIF(J152:U152,"x")=0,SUMPRODUCT((Besatzung!$B$11:$B$22&lt;&gt;"")*(Besatzung!$F$11:$F$22="x")),SUMPRODUCT((J152:U152="x")*(Besatzung!$F$11:$F$22="x"))),1))))),0))))</f>
        <v/>
      </c>
      <c r="W152" s="247">
        <f>IF(C152="Gutschrift","",IF(G152="","",IF(Besatzung!$B$12="","",IFERROR(IF(I152="Zeitanteilig",(Besatzung!$G$12*(G152-IFERROR(H152,0))+((Besatzung!$B$12&lt;&gt;"")*IF(B152="",1,(IF(Besatzung!$C$12="",Besatzung!$B$5,Besatzung!$C$12)&lt;=B152)*(IF(Besatzung!$D$12="",Besatzung!$B$6,Besatzung!$D$12)&gt;=B152)))*(Besatzung!$F$12="x")*IFERROR(H152,0)/IFERROR(SUMPRODUCT((Besatzung!$B$11:$B$22&lt;&gt;"")*(Besatzung!$F$11:$F$22="x")*(IF(Besatzung!$C$11:$C$22="",Besatzung!$B$5,Besatzung!$C$11:$C$22)&lt;=B152)*(IF(Besatzung!$D$11:$D$22="",Besatzung!$B$6,Besatzung!$D$11:$D$22)&gt;=B152)),1)),IF(I152="An Bord",(((Besatzung!$B$12&lt;&gt;"")*IF(B152="",1,(IF(Besatzung!$C$12="",Besatzung!$B$5,Besatzung!$C$12)&lt;=B152)*(IF(Besatzung!$D$12="",Besatzung!$B$6,Besatzung!$D$12)&gt;=B152)))*((G152-IFERROR(H152,0))/IFERROR(SUMPRODUCT((Besatzung!$B$11:$B$22&lt;&gt;"")*(IF(Besatzung!$C$11:$C$22="",Besatzung!$B$5,Besatzung!$C$11:$C$22)&lt;=B152)*(IF(Besatzung!$D$11:$D$22="",Besatzung!$B$6,Besatzung!$D$11:$D$22)&gt;=B152)),1)+(Besatzung!$F$12="x")*IFERROR(H152,0)/IFERROR(SUMPRODUCT((Besatzung!$B$11:$B$22&lt;&gt;"")*(Besatzung!$F$11:$F$22="x")*(IF(Besatzung!$C$11:$C$22="",Besatzung!$B$5,Besatzung!$C$11:$C$22)&lt;=B152)*(IF(Besatzung!$D$11:$D$22="",Besatzung!$B$6,Besatzung!$D$11:$D$22)&gt;=B152)),1))),IF(I152="Individuell",((K152="x")*((G152-IFERROR(H152,0))/IFERROR(COUNTIF(J152:U152,"x"),1)+(Besatzung!$F$12="x")*IFERROR(H152,0)/IFERROR(SUMPRODUCT((J152:U152="x")*(Besatzung!$F$11:$F$22="x")),1))),(IF(COUNTIF(J152:U152,"x")=0,IF(Besatzung!$B$12&lt;&gt;"",1,0),(K152="x"))*(G152-IFERROR(H152,0))/IFERROR(IF(COUNTIF(J152:U152,"x")=0,COUNTA(Besatzung!$B$11:$B$22),COUNTIF(J152:U152,"x")),1)+IF(COUNTIF(J152:U152,"x")=0,(Besatzung!$F$12="x"),(K152="x")*(Besatzung!$F$12="x"))*IFERROR(H152,0)/IFERROR(IF(COUNTIF(J152:U152,"x")=0,SUMPRODUCT((Besatzung!$B$11:$B$22&lt;&gt;"")*(Besatzung!$F$11:$F$22="x")),SUMPRODUCT((J152:U152="x")*(Besatzung!$F$11:$F$22="x"))),1))))),0))))</f>
        <v/>
      </c>
      <c r="X152" s="247">
        <f>IF(C152="Gutschrift","",IF(G152="","",IF(Besatzung!$B$13="","",IFERROR(IF(I152="Zeitanteilig",(Besatzung!$G$13*(G152-IFERROR(H152,0))+((Besatzung!$B$13&lt;&gt;"")*IF(B152="",1,(IF(Besatzung!$C$13="",Besatzung!$B$5,Besatzung!$C$13)&lt;=B152)*(IF(Besatzung!$D$13="",Besatzung!$B$6,Besatzung!$D$13)&gt;=B152)))*(Besatzung!$F$13="x")*IFERROR(H152,0)/IFERROR(SUMPRODUCT((Besatzung!$B$11:$B$22&lt;&gt;"")*(Besatzung!$F$11:$F$22="x")*(IF(Besatzung!$C$11:$C$22="",Besatzung!$B$5,Besatzung!$C$11:$C$22)&lt;=B152)*(IF(Besatzung!$D$11:$D$22="",Besatzung!$B$6,Besatzung!$D$11:$D$22)&gt;=B152)),1)),IF(I152="An Bord",(((Besatzung!$B$13&lt;&gt;"")*IF(B152="",1,(IF(Besatzung!$C$13="",Besatzung!$B$5,Besatzung!$C$13)&lt;=B152)*(IF(Besatzung!$D$13="",Besatzung!$B$6,Besatzung!$D$13)&gt;=B152)))*((G152-IFERROR(H152,0))/IFERROR(SUMPRODUCT((Besatzung!$B$11:$B$22&lt;&gt;"")*(IF(Besatzung!$C$11:$C$22="",Besatzung!$B$5,Besatzung!$C$11:$C$22)&lt;=B152)*(IF(Besatzung!$D$11:$D$22="",Besatzung!$B$6,Besatzung!$D$11:$D$22)&gt;=B152)),1)+(Besatzung!$F$13="x")*IFERROR(H152,0)/IFERROR(SUMPRODUCT((Besatzung!$B$11:$B$22&lt;&gt;"")*(Besatzung!$F$11:$F$22="x")*(IF(Besatzung!$C$11:$C$22="",Besatzung!$B$5,Besatzung!$C$11:$C$22)&lt;=B152)*(IF(Besatzung!$D$11:$D$22="",Besatzung!$B$6,Besatzung!$D$11:$D$22)&gt;=B152)),1))),IF(I152="Individuell",((K152="x")*((G152-IFERROR(H152,0))/IFERROR(COUNTIF(J152:U152,"x"),1)+(Besatzung!$F$13="x")*IFERROR(H152,0)/IFERROR(SUMPRODUCT((J152:U152="x")*(Besatzung!$F$11:$F$22="x")),1))),(IF(COUNTIF(J152:U152,"x")=0,IF(Besatzung!$B$13&lt;&gt;"",1,0),(K152="x"))*(G152-IFERROR(H152,0))/IFERROR(IF(COUNTIF(J152:U152,"x")=0,COUNTA(Besatzung!$B$11:$B$22),COUNTIF(J152:U152,"x")),1)+IF(COUNTIF(J152:U152,"x")=0,(Besatzung!$F$13="x"),(K152="x")*(Besatzung!$F$13="x"))*IFERROR(H152,0)/IFERROR(IF(COUNTIF(J152:U152,"x")=0,SUMPRODUCT((Besatzung!$B$11:$B$22&lt;&gt;"")*(Besatzung!$F$11:$F$22="x")),SUMPRODUCT((J152:U152="x")*(Besatzung!$F$11:$F$22="x"))),1))))),0))))</f>
        <v/>
      </c>
      <c r="Y152" s="247">
        <f>IF(C152="Gutschrift","",IF(G152="","",IF(Besatzung!$B$14="","",IFERROR(IF(I152="Zeitanteilig",(Besatzung!$G$14*(G152-IFERROR(H152,0))+((Besatzung!$B$14&lt;&gt;"")*IF(B152="",1,(IF(Besatzung!$C$14="",Besatzung!$B$5,Besatzung!$C$14)&lt;=B152)*(IF(Besatzung!$D$14="",Besatzung!$B$6,Besatzung!$D$14)&gt;=B152)))*(Besatzung!$F$14="x")*IFERROR(H152,0)/IFERROR(SUMPRODUCT((Besatzung!$B$11:$B$22&lt;&gt;"")*(Besatzung!$F$11:$F$22="x")*(IF(Besatzung!$C$11:$C$22="",Besatzung!$B$5,Besatzung!$C$11:$C$22)&lt;=B152)*(IF(Besatzung!$D$11:$D$22="",Besatzung!$B$6,Besatzung!$D$11:$D$22)&gt;=B152)),1)),IF(I152="An Bord",(((Besatzung!$B$14&lt;&gt;"")*IF(B152="",1,(IF(Besatzung!$C$14="",Besatzung!$B$5,Besatzung!$C$14)&lt;=B152)*(IF(Besatzung!$D$14="",Besatzung!$B$6,Besatzung!$D$14)&gt;=B152)))*((G152-IFERROR(H152,0))/IFERROR(SUMPRODUCT((Besatzung!$B$11:$B$22&lt;&gt;"")*(IF(Besatzung!$C$11:$C$22="",Besatzung!$B$5,Besatzung!$C$11:$C$22)&lt;=B152)*(IF(Besatzung!$D$11:$D$22="",Besatzung!$B$6,Besatzung!$D$11:$D$22)&gt;=B152)),1)+(Besatzung!$F$14="x")*IFERROR(H152,0)/IFERROR(SUMPRODUCT((Besatzung!$B$11:$B$22&lt;&gt;"")*(Besatzung!$F$11:$F$22="x")*(IF(Besatzung!$C$11:$C$22="",Besatzung!$B$5,Besatzung!$C$11:$C$22)&lt;=B152)*(IF(Besatzung!$D$11:$D$22="",Besatzung!$B$6,Besatzung!$D$11:$D$22)&gt;=B152)),1))),IF(I152="Individuell",((M152="x")*((G152-IFERROR(H152,0))/IFERROR(COUNTIF(J152:U152,"x"),1)+(Besatzung!$F$14="x")*IFERROR(H152,0)/IFERROR(SUMPRODUCT((J152:U152="x")*(Besatzung!$F$11:$F$22="x")),1))),(IF(COUNTIF(J152:U152,"x")=0,IF(Besatzung!$B$14&lt;&gt;"",1,0),(M152="x"))*(G152-IFERROR(H152,0))/IFERROR(IF(COUNTIF(J152:U152,"x")=0,COUNTA(Besatzung!$B$11:$B$22),COUNTIF(J152:U152,"x")),1)+IF(COUNTIF(J152:U152,"x")=0,(Besatzung!$F$14="x"),(M152="x")*(Besatzung!$F$14="x"))*IFERROR(H152,0)/IFERROR(IF(COUNTIF(J152:U152,"x")=0,SUMPRODUCT((Besatzung!$B$11:$B$22&lt;&gt;"")*(Besatzung!$F$11:$F$22="x")),SUMPRODUCT((J152:U152="x")*(Besatzung!$F$11:$F$22="x"))),1))))),0))))</f>
        <v/>
      </c>
      <c r="Z152" s="247">
        <f>IF(C152="Gutschrift","",IF(G152="","",IF(Besatzung!$B$13="","",IFERROR(IF(I152="Zeitanteilig",(Besatzung!$G$15*(G152-IFERROR(H152,0))+((Besatzung!$B$13&lt;&gt;"")*IF(B152="",1,(IF(Besatzung!$C$15="",Besatzung!$B$5,Besatzung!$C$15)&lt;=B152)*(IF(Besatzung!$D$15="",Besatzung!$B$6,Besatzung!$D$15)&gt;=B152)))*(Besatzung!$F$15="x")*IFERROR(H152,0)/IFERROR(SUMPRODUCT((Besatzung!$B$11:$B$22&lt;&gt;"")*(Besatzung!$F$11:$F$22="x")*(IF(Besatzung!$C$11:$C$22="",Besatzung!$B$5,Besatzung!$C$11:$C$22)&lt;=B152)*(IF(Besatzung!$D$11:$D$22="",Besatzung!$B$6,Besatzung!$D$11:$D$22)&gt;=B152)),1)),IF(I152="An Bord",(((Besatzung!$B$13&lt;&gt;"")*IF(B152="",1,(IF(Besatzung!$C$15="",Besatzung!$B$5,Besatzung!$C$15)&lt;=B152)*(IF(Besatzung!$D$15="",Besatzung!$B$6,Besatzung!$D$15)&gt;=B152)))*((G152-IFERROR(H152,0))/IFERROR(SUMPRODUCT((Besatzung!$B$11:$B$22&lt;&gt;"")*(IF(Besatzung!$C$11:$C$22="",Besatzung!$B$5,Besatzung!$C$11:$C$22)&lt;=B152)*(IF(Besatzung!$D$11:$D$22="",Besatzung!$B$6,Besatzung!$D$11:$D$22)&gt;=B152)),1)+(Besatzung!$F$15="x")*IFERROR(H152,0)/IFERROR(SUMPRODUCT((Besatzung!$B$11:$B$22&lt;&gt;"")*(Besatzung!$F$11:$F$22="x")*(IF(Besatzung!$C$11:$C$22="",Besatzung!$B$5,Besatzung!$C$11:$C$22)&lt;=B152)*(IF(Besatzung!$D$11:$D$22="",Besatzung!$B$6,Besatzung!$D$11:$D$22)&gt;=B152)),1))),IF(I152="Individuell",((N152="x")*((G152-IFERROR(H152,0))/IFERROR(COUNTIF(J152:U152,"x"),1)+(Besatzung!$F$15="x")*IFERROR(H152,0)/IFERROR(SUMPRODUCT((J152:U152="x")*(Besatzung!$F$11:$F$22="x")),1))),(IF(COUNTIF(J152:U152,"x")=0,IF(Besatzung!$B$13&lt;&gt;"",1,0),(N152="x"))*(G152-IFERROR(H152,0))/IFERROR(IF(COUNTIF(J152:U152,"x")=0,COUNTA(Besatzung!$B$11:$B$22),COUNTIF(J152:U152,"x")),1)+IF(COUNTIF(J152:U152,"x")=0,(Besatzung!$F$15="x"),(N152="x")*(Besatzung!$F$15="x"))*IFERROR(H152,0)/IFERROR(IF(COUNTIF(J152:U152,"x")=0,SUMPRODUCT((Besatzung!$B$11:$B$22&lt;&gt;"")*(Besatzung!$F$11:$F$22="x")),SUMPRODUCT((J152:U152="x")*(Besatzung!$F$11:$F$22="x"))),1))))),0))))</f>
        <v/>
      </c>
      <c r="AA152" s="247">
        <f>IF(C152="Gutschrift","",IF(G152="","",IF(Besatzung!$B$15="","",IFERROR(IF(I152="Zeitanteilig",(Besatzung!$G$16*(G152-IFERROR(H152,0))+((Besatzung!$B$15&lt;&gt;"")*IF(B152="",1,(IF(Besatzung!$C$16="",Besatzung!$B$5,Besatzung!$C$16)&lt;=B152)*(IF(Besatzung!$D$16="",Besatzung!$B$6,Besatzung!$D$16)&gt;=B152)))*(Besatzung!$F$16="x")*IFERROR(H152,0)/IFERROR(SUMPRODUCT((Besatzung!$B$11:$B$22&lt;&gt;"")*(Besatzung!$F$11:$F$22="x")*(IF(Besatzung!$C$11:$C$22="",Besatzung!$B$5,Besatzung!$C$11:$C$22)&lt;=B152)*(IF(Besatzung!$D$11:$D$22="",Besatzung!$B$6,Besatzung!$D$11:$D$22)&gt;=B152)),1)),IF(I152="An Bord",(((Besatzung!$B$15&lt;&gt;"")*IF(B152="",1,(IF(Besatzung!$C$16="",Besatzung!$B$5,Besatzung!$C$16)&lt;=B152)*(IF(Besatzung!$D$16="",Besatzung!$B$6,Besatzung!$D$16)&gt;=B152)))*((G152-IFERROR(H152,0))/IFERROR(SUMPRODUCT((Besatzung!$B$11:$B$22&lt;&gt;"")*(IF(Besatzung!$C$11:$C$22="",Besatzung!$B$5,Besatzung!$C$11:$C$22)&lt;=B152)*(IF(Besatzung!$D$11:$D$22="",Besatzung!$B$6,Besatzung!$D$11:$D$22)&gt;=B152)),1)+(Besatzung!$F$16="x")*IFERROR(H152,0)/IFERROR(SUMPRODUCT((Besatzung!$B$11:$B$22&lt;&gt;"")*(Besatzung!$F$11:$F$22="x")*(IF(Besatzung!$C$11:$C$22="",Besatzung!$B$5,Besatzung!$C$11:$C$22)&lt;=B152)*(IF(Besatzung!$D$11:$D$22="",Besatzung!$B$6,Besatzung!$D$11:$D$22)&gt;=B152)),1))),IF(I152="Individuell",((O152="x")*((G152-IFERROR(H152,0))/IFERROR(COUNTIF(J152:U152,"x"),1)+(Besatzung!$F$16="x")*IFERROR(H152,0)/IFERROR(SUMPRODUCT((J152:U152="x")*(Besatzung!$F$11:$F$22="x")),1))),(IF(COUNTIF(J152:U152,"x")=0,IF(Besatzung!$B$15&lt;&gt;"",1,0),(O152="x"))*(G152-IFERROR(H152,0))/IFERROR(IF(COUNTIF(J152:U152,"x")=0,COUNTA(Besatzung!$B$11:$B$22),COUNTIF(J152:U152,"x")),1)+IF(COUNTIF(J152:U152,"x")=0,(Besatzung!$F$16="x"),(O152="x")*(Besatzung!$F$16="x"))*IFERROR(H152,0)/IFERROR(IF(COUNTIF(J152:U152,"x")=0,SUMPRODUCT((Besatzung!$B$11:$B$22&lt;&gt;"")*(Besatzung!$F$11:$F$22="x")),SUMPRODUCT((J152:U152="x")*(Besatzung!$F$11:$F$22="x"))),1))))),0))))</f>
        <v/>
      </c>
      <c r="AB152" s="247">
        <f>IF(C152="Gutschrift","",IF(G152="","",IF(Besatzung!$B$17="","",IFERROR(IF(I152="Zeitanteilig",(Besatzung!$G$17*(G152-IFERROR(H152,0))+((Besatzung!$B$17&lt;&gt;"")*IF(B152="",1,(IF(Besatzung!$C$17="",Besatzung!$B$5,Besatzung!$C$17)&lt;=B152)*(IF(Besatzung!$D$17="",Besatzung!$B$6,Besatzung!$D$17)&gt;=B152)))*(Besatzung!$F$17="x")*IFERROR(H152,0)/IFERROR(SUMPRODUCT((Besatzung!$B$11:$B$22&lt;&gt;"")*(Besatzung!$F$11:$F$22="x")*(IF(Besatzung!$C$11:$C$22="",Besatzung!$B$5,Besatzung!$C$11:$C$22)&lt;=B152)*(IF(Besatzung!$D$11:$D$22="",Besatzung!$B$6,Besatzung!$D$11:$D$22)&gt;=B152)),1)),IF(I152="An Bord",(((Besatzung!$B$17&lt;&gt;"")*IF(B152="",1,(IF(Besatzung!$C$17="",Besatzung!$B$5,Besatzung!$C$17)&lt;=B152)*(IF(Besatzung!$D$17="",Besatzung!$B$6,Besatzung!$D$17)&gt;=B152)))*((G152-IFERROR(H152,0))/IFERROR(SUMPRODUCT((Besatzung!$B$11:$B$22&lt;&gt;"")*(IF(Besatzung!$C$11:$C$22="",Besatzung!$B$5,Besatzung!$C$11:$C$22)&lt;=B152)*(IF(Besatzung!$D$11:$D$22="",Besatzung!$B$6,Besatzung!$D$11:$D$22)&gt;=B152)),1)+(Besatzung!$F$17="x")*IFERROR(H152,0)/IFERROR(SUMPRODUCT((Besatzung!$B$11:$B$22&lt;&gt;"")*(Besatzung!$F$11:$F$22="x")*(IF(Besatzung!$C$11:$C$22="",Besatzung!$B$5,Besatzung!$C$11:$C$22)&lt;=B152)*(IF(Besatzung!$D$11:$D$22="",Besatzung!$B$6,Besatzung!$D$11:$D$22)&gt;=B152)),1))),IF(I152="Individuell",((P152="x")*((G152-IFERROR(H152,0))/IFERROR(COUNTIF(J152:U152,"x"),1)+(Besatzung!$F$17="x")*IFERROR(H152,0)/IFERROR(SUMPRODUCT((J152:U152="x")*(Besatzung!$F$11:$F$22="x")),1))),(IF(COUNTIF(J152:U152,"x")=0,IF(Besatzung!$B$17&lt;&gt;"",1,0),(P152="x"))*(G152-IFERROR(H152,0))/IFERROR(IF(COUNTIF(J152:U152,"x")=0,COUNTA(Besatzung!$B$11:$B$22),COUNTIF(J152:U152,"x")),1)+IF(COUNTIF(J152:U152,"x")=0,(Besatzung!$F$17="x"),(P152="x")*(Besatzung!$F$17="x"))*IFERROR(H152,0)/IFERROR(IF(COUNTIF(J152:U152,"x")=0,SUMPRODUCT((Besatzung!$B$11:$B$22&lt;&gt;"")*(Besatzung!$F$11:$F$22="x")),SUMPRODUCT((J152:U152="x")*(Besatzung!$F$11:$F$22="x"))),1))))),0))))</f>
        <v/>
      </c>
      <c r="AC152" s="247">
        <f>IF(C152="Gutschrift","",IF(G152="","",IF(Besatzung!$B$18="","",IFERROR(IF(I152="Zeitanteilig",(Besatzung!$G$18*(G152-IFERROR(H152,0))+((Besatzung!$B$18&lt;&gt;"")*IF(B152="",1,(IF(Besatzung!$C$18="",Besatzung!$B$5,Besatzung!$C$18)&lt;=B152)*(IF(Besatzung!$D$18="",Besatzung!$B$6,Besatzung!$D$18)&gt;=B152)))*(Besatzung!$F$18="x")*IFERROR(H152,0)/IFERROR(SUMPRODUCT((Besatzung!$B$11:$B$22&lt;&gt;"")*(Besatzung!$F$11:$F$22="x")*(IF(Besatzung!$C$11:$C$22="",Besatzung!$B$5,Besatzung!$C$11:$C$22)&lt;=B152)*(IF(Besatzung!$D$11:$D$22="",Besatzung!$B$6,Besatzung!$D$11:$D$22)&gt;=B152)),1)),IF(I152="An Bord",(((Besatzung!$B$18&lt;&gt;"")*IF(B152="",1,(IF(Besatzung!$C$18="",Besatzung!$B$5,Besatzung!$C$18)&lt;=B152)*(IF(Besatzung!$D$18="",Besatzung!$B$6,Besatzung!$D$18)&gt;=B152)))*((G152-IFERROR(H152,0))/IFERROR(SUMPRODUCT((Besatzung!$B$11:$B$22&lt;&gt;"")*(IF(Besatzung!$C$11:$C$22="",Besatzung!$B$5,Besatzung!$C$11:$C$22)&lt;=B152)*(IF(Besatzung!$D$11:$D$22="",Besatzung!$B$6,Besatzung!$D$11:$D$22)&gt;=B152)),1)+(Besatzung!$F$18="x")*IFERROR(H152,0)/IFERROR(SUMPRODUCT((Besatzung!$B$11:$B$22&lt;&gt;"")*(Besatzung!$F$11:$F$22="x")*(IF(Besatzung!$C$11:$C$22="",Besatzung!$B$5,Besatzung!$C$11:$C$22)&lt;=B152)*(IF(Besatzung!$D$11:$D$22="",Besatzung!$B$6,Besatzung!$D$11:$D$22)&gt;=B152)),1))),IF(I152="Individuell",((Q152="x")*((G152-IFERROR(H152,0))/IFERROR(COUNTIF(J152:U152,"x"),1)+(Besatzung!$F$18="x")*IFERROR(H152,0)/IFERROR(SUMPRODUCT((J152:U152="x")*(Besatzung!$F$11:$F$22="x")),1))),(IF(COUNTIF(J152:U152,"x")=0,IF(Besatzung!$B$18&lt;&gt;"",1,0),(Q152="x"))*(G152-IFERROR(H152,0))/IFERROR(IF(COUNTIF(J152:U152,"x")=0,COUNTA(Besatzung!$B$11:$B$22),COUNTIF(J152:U152,"x")),1)+IF(COUNTIF(J152:U152,"x")=0,(Besatzung!$F$18="x"),(Q152="x")*(Besatzung!$F$18="x"))*IFERROR(H152,0)/IFERROR(IF(COUNTIF(J152:U152,"x")=0,SUMPRODUCT((Besatzung!$B$11:$B$22&lt;&gt;"")*(Besatzung!$F$11:$F$22="x")),SUMPRODUCT((J152:U152="x")*(Besatzung!$F$11:$F$22="x"))),1))))),0))))</f>
        <v/>
      </c>
      <c r="AD152" s="247">
        <f>IF(C152="Gutschrift","",IF(G152="","",IF(Besatzung!$B$19="","",IFERROR(IF(I152="Zeitanteilig",(Besatzung!$G$19*(G152-IFERROR(H152,0))+((Besatzung!$B$19&lt;&gt;"")*IF(B152="",1,(IF(Besatzung!$C$19="",Besatzung!$B$5,Besatzung!$C$19)&lt;=B152)*(IF(Besatzung!$D$19="",Besatzung!$B$6,Besatzung!$D$19)&gt;=B152)))*(Besatzung!$F$19="x")*IFERROR(H152,0)/IFERROR(SUMPRODUCT((Besatzung!$B$11:$B$22&lt;&gt;"")*(Besatzung!$F$11:$F$22="x")*(IF(Besatzung!$C$11:$C$22="",Besatzung!$B$5,Besatzung!$C$11:$C$22)&lt;=B152)*(IF(Besatzung!$D$11:$D$22="",Besatzung!$B$6,Besatzung!$D$11:$D$22)&gt;=B152)),1)),IF(I152="An Bord",(((Besatzung!$B$19&lt;&gt;"")*IF(B152="",1,(IF(Besatzung!$C$19="",Besatzung!$B$5,Besatzung!$C$19)&lt;=B152)*(IF(Besatzung!$D$19="",Besatzung!$B$6,Besatzung!$D$19)&gt;=B152)))*((G152-IFERROR(H152,0))/IFERROR(SUMPRODUCT((Besatzung!$B$11:$B$22&lt;&gt;"")*(IF(Besatzung!$C$11:$C$22="",Besatzung!$B$5,Besatzung!$C$11:$C$22)&lt;=B152)*(IF(Besatzung!$D$11:$D$22="",Besatzung!$B$6,Besatzung!$D$11:$D$22)&gt;=B152)),1)+(Besatzung!$F$19="x")*IFERROR(H152,0)/IFERROR(SUMPRODUCT((Besatzung!$B$11:$B$22&lt;&gt;"")*(Besatzung!$F$11:$F$22="x")*(IF(Besatzung!$C$11:$C$22="",Besatzung!$B$5,Besatzung!$C$11:$C$22)&lt;=B152)*(IF(Besatzung!$D$11:$D$22="",Besatzung!$B$6,Besatzung!$D$11:$D$22)&gt;=B152)),1))),IF(I152="Individuell",((R152="x")*((G152-IFERROR(H152,0))/IFERROR(COUNTIF(J152:U152,"x"),1)+(Besatzung!$F$19="x")*IFERROR(H152,0)/IFERROR(SUMPRODUCT((J152:U152="x")*(Besatzung!$F$11:$F$22="x")),1))),(IF(COUNTIF(J152:U152,"x")=0,IF(Besatzung!$B$19&lt;&gt;"",1,0),(R152="x"))*(G152-IFERROR(H152,0))/IFERROR(IF(COUNTIF(J152:U152,"x")=0,COUNTA(Besatzung!$B$11:$B$22),COUNTIF(J152:U152,"x")),1)+IF(COUNTIF(J152:U152,"x")=0,(Besatzung!$F$19="x"),(R152="x")*(Besatzung!$F$19="x"))*IFERROR(H152,0)/IFERROR(IF(COUNTIF(J152:U152,"x")=0,SUMPRODUCT((Besatzung!$B$11:$B$22&lt;&gt;"")*(Besatzung!$F$11:$F$22="x")),SUMPRODUCT((J152:U152="x")*(Besatzung!$F$11:$F$22="x"))),1))))),0))))</f>
        <v/>
      </c>
      <c r="AE152" s="247">
        <f>IF(C152="Gutschrift","",IF(G152="","",IF(Besatzung!$B$20="","",IFERROR(IF(I152="Zeitanteilig",(Besatzung!$G$20*(G152-IFERROR(H152,0))+((Besatzung!$B$20&lt;&gt;"")*IF(B152="",1,(IF(Besatzung!$C$20="",Besatzung!$B$5,Besatzung!$C$20)&lt;=B152)*(IF(Besatzung!$D$20="",Besatzung!$B$6,Besatzung!$D$20)&gt;=B152)))*(Besatzung!$F$20="x")*IFERROR(H152,0)/IFERROR(SUMPRODUCT((Besatzung!$B$11:$B$22&lt;&gt;"")*(Besatzung!$F$11:$F$22="x")*(IF(Besatzung!$C$11:$C$22="",Besatzung!$B$5,Besatzung!$C$11:$C$22)&lt;=B152)*(IF(Besatzung!$D$11:$D$22="",Besatzung!$B$6,Besatzung!$D$11:$D$22)&gt;=B152)),1)),IF(I152="An Bord",(((Besatzung!$B$20&lt;&gt;"")*IF(B152="",1,(IF(Besatzung!$C$20="",Besatzung!$B$5,Besatzung!$C$20)&lt;=B152)*(IF(Besatzung!$D$20="",Besatzung!$B$6,Besatzung!$D$20)&gt;=B152)))*((G152-IFERROR(H152,0))/IFERROR(SUMPRODUCT((Besatzung!$B$11:$B$22&lt;&gt;"")*(IF(Besatzung!$C$11:$C$22="",Besatzung!$B$5,Besatzung!$C$11:$C$22)&lt;=B152)*(IF(Besatzung!$D$11:$D$22="",Besatzung!$B$6,Besatzung!$D$11:$D$22)&gt;=B152)),1)+(Besatzung!$F$20="x")*IFERROR(H152,0)/IFERROR(SUMPRODUCT((Besatzung!$B$11:$B$22&lt;&gt;"")*(Besatzung!$F$11:$F$22="x")*(IF(Besatzung!$C$11:$C$22="",Besatzung!$B$5,Besatzung!$C$11:$C$22)&lt;=B152)*(IF(Besatzung!$D$11:$D$22="",Besatzung!$B$6,Besatzung!$D$11:$D$22)&gt;=B152)),1))),IF(I152="Individuell",((S152="x")*((G152-IFERROR(H152,0))/IFERROR(COUNTIF(J152:U152,"x"),1)+(Besatzung!$F$20="x")*IFERROR(H152,0)/IFERROR(SUMPRODUCT((J152:U152="x")*(Besatzung!$F$11:$F$22="x")),1))),(IF(COUNTIF(J152:U152,"x")=0,IF(Besatzung!$B$20&lt;&gt;"",1,0),(S152="x"))*(G152-IFERROR(H152,0))/IFERROR(IF(COUNTIF(J152:U152,"x")=0,COUNTA(Besatzung!$B$11:$B$22),COUNTIF(J152:U152,"x")),1)+IF(COUNTIF(J152:U152,"x")=0,(Besatzung!$F$20="x"),(S152="x")*(Besatzung!$F$20="x"))*IFERROR(H152,0)/IFERROR(IF(COUNTIF(J152:U152,"x")=0,SUMPRODUCT((Besatzung!$B$11:$B$22&lt;&gt;"")*(Besatzung!$F$11:$F$22="x")),SUMPRODUCT((J152:U152="x")*(Besatzung!$F$11:$F$22="x"))),1))))),0))))</f>
        <v/>
      </c>
      <c r="AF152" s="247">
        <f>IF(C152="Gutschrift","",IF(G152="","",IF(Besatzung!$B$21="","",IFERROR(IF(I152="Zeitanteilig",(Besatzung!$G$21*(G152-IFERROR(H152,0))+((Besatzung!$B$21&lt;&gt;"")*IF(B152="",1,(IF(Besatzung!$C$21="",Besatzung!$B$5,Besatzung!$C$21)&lt;=B152)*(IF(Besatzung!$D$21="",Besatzung!$B$6,Besatzung!$D$21)&gt;=B152)))*(Besatzung!$F$21="x")*IFERROR(H152,0)/IFERROR(SUMPRODUCT((Besatzung!$B$11:$B$22&lt;&gt;"")*(Besatzung!$F$11:$F$22="x")*(IF(Besatzung!$C$11:$C$22="",Besatzung!$B$5,Besatzung!$C$11:$C$22)&lt;=B152)*(IF(Besatzung!$D$11:$D$22="",Besatzung!$B$6,Besatzung!$D$11:$D$22)&gt;=B152)),1)),IF(I152="An Bord",(((Besatzung!$B$21&lt;&gt;"")*IF(B152="",1,(IF(Besatzung!$C$21="",Besatzung!$B$5,Besatzung!$C$21)&lt;=B152)*(IF(Besatzung!$D$21="",Besatzung!$B$6,Besatzung!$D$21)&gt;=B152)))*((G152-IFERROR(H152,0))/IFERROR(SUMPRODUCT((Besatzung!$B$11:$B$22&lt;&gt;"")*(IF(Besatzung!$C$11:$C$22="",Besatzung!$B$5,Besatzung!$C$11:$C$22)&lt;=B152)*(IF(Besatzung!$D$11:$D$22="",Besatzung!$B$6,Besatzung!$D$11:$D$22)&gt;=B152)),1)+(Besatzung!$F$21="x")*IFERROR(H152,0)/IFERROR(SUMPRODUCT((Besatzung!$B$11:$B$22&lt;&gt;"")*(Besatzung!$F$11:$F$22="x")*(IF(Besatzung!$C$11:$C$22="",Besatzung!$B$5,Besatzung!$C$11:$C$22)&lt;=B152)*(IF(Besatzung!$D$11:$D$22="",Besatzung!$B$6,Besatzung!$D$11:$D$22)&gt;=B152)),1))),IF(I152="Individuell",((T152="x")*((G152-IFERROR(H152,0))/IFERROR(COUNTIF(J152:U152,"x"),1)+(Besatzung!$F$21="x")*IFERROR(H152,0)/IFERROR(SUMPRODUCT((J152:U152="x")*(Besatzung!$F$11:$F$22="x")),1))),(IF(COUNTIF(J152:U152,"x")=0,IF(Besatzung!$B$21&lt;&gt;"",1,0),(T152="x"))*(G152-IFERROR(H152,0))/IFERROR(IF(COUNTIF(J152:U152,"x")=0,COUNTA(Besatzung!$B$11:$B$22),COUNTIF(J152:U152,"x")),1)+IF(COUNTIF(J152:U152,"x")=0,(Besatzung!$F$21="x"),(T152="x")*(Besatzung!$F$21="x"))*IFERROR(H152,0)/IFERROR(IF(COUNTIF(J152:U152,"x")=0,SUMPRODUCT((Besatzung!$B$11:$B$22&lt;&gt;"")*(Besatzung!$F$11:$F$22="x")),SUMPRODUCT((J152:U152="x")*(Besatzung!$F$11:$F$22="x"))),1))))),0))))</f>
        <v/>
      </c>
      <c r="AG152" s="247">
        <f>IF(C152="Gutschrift","",IF(G152="","",IF(Besatzung!$B$22="","",IFERROR(IF(I152="Zeitanteilig",(Besatzung!$G$22*(G152-IFERROR(H152,0))+((Besatzung!$B$22&lt;&gt;"")*IF(B152="",1,(IF(Besatzung!$C$22="",Besatzung!$B$5,Besatzung!$C$22)&lt;=B152)*(IF(Besatzung!$D$22="",Besatzung!$B$6,Besatzung!$D$22)&gt;=B152)))*(Besatzung!$F$22="x")*IFERROR(H152,0)/IFERROR(SUMPRODUCT((Besatzung!$B$11:$B$22&lt;&gt;"")*(Besatzung!$F$11:$F$22="x")*(IF(Besatzung!$C$11:$C$22="",Besatzung!$B$5,Besatzung!$C$11:$C$22)&lt;=B152)*(IF(Besatzung!$D$11:$D$22="",Besatzung!$B$6,Besatzung!$D$11:$D$22)&gt;=B152)),1)),IF(I152="An Bord",(((Besatzung!$B$22&lt;&gt;"")*IF(B152="",1,(IF(Besatzung!$C$22="",Besatzung!$B$5,Besatzung!$C$22)&lt;=B152)*(IF(Besatzung!$D$22="",Besatzung!$B$6,Besatzung!$D$22)&gt;=B152)))*((G152-IFERROR(H152,0))/IFERROR(SUMPRODUCT((Besatzung!$B$11:$B$22&lt;&gt;"")*(IF(Besatzung!$C$11:$C$22="",Besatzung!$B$5,Besatzung!$C$11:$C$22)&lt;=B152)*(IF(Besatzung!$D$11:$D$22="",Besatzung!$B$6,Besatzung!$D$11:$D$22)&gt;=B152)),1)+(Besatzung!$F$22="x")*IFERROR(H152,0)/IFERROR(SUMPRODUCT((Besatzung!$B$11:$B$22&lt;&gt;"")*(Besatzung!$F$11:$F$22="x")*(IF(Besatzung!$C$11:$C$22="",Besatzung!$B$5,Besatzung!$C$11:$C$22)&lt;=B152)*(IF(Besatzung!$D$11:$D$22="",Besatzung!$B$6,Besatzung!$D$11:$D$22)&gt;=B152)),1))),IF(I152="Individuell",((U152="x")*((G152-IFERROR(H152,0))/IFERROR(COUNTIF(J152:U152,"x"),1)+(Besatzung!$F$22="x")*IFERROR(H152,0)/IFERROR(SUMPRODUCT((J152:U152="x")*(Besatzung!$F$11:$F$22="x")),1))),(IF(COUNTIF(J152:U152,"x")=0,IF(Besatzung!$B$22&lt;&gt;"",1,0),(U152="x"))*(G152-IFERROR(H152,0))/IFERROR(IF(COUNTIF(J152:U152,"x")=0,COUNTA(Besatzung!$B$11:$B$22),COUNTIF(J152:U152,"x")),1)+IF(COUNTIF(J152:U152,"x")=0,(Besatzung!$F$22="x"),(U152="x")*(Besatzung!$F$22="x"))*IFERROR(H152,0)/IFERROR(IF(COUNTIF(J152:U152,"x")=0,SUMPRODUCT((Besatzung!$B$11:$B$22&lt;&gt;"")*(Besatzung!$F$11:$F$22="x")),SUMPRODUCT((J152:U152="x")*(Besatzung!$F$11:$F$22="x"))),1))))),0))))</f>
        <v/>
      </c>
      <c r="AH152" s="248" t="n"/>
      <c r="AI152" s="248" t="n"/>
    </row>
    <row r="153" ht="21.75" customHeight="1" s="154">
      <c r="A153" s="238">
        <f>IF(AND(D153="",C153=""),"",150)</f>
        <v/>
      </c>
      <c r="B153" s="206" t="n"/>
      <c r="C153" s="249" t="n"/>
      <c r="D153" s="250" t="n"/>
      <c r="E153" s="251" t="n"/>
      <c r="F153" s="252" t="n"/>
      <c r="G153" s="253" t="n"/>
      <c r="H153" s="254" t="n"/>
      <c r="I153" s="255" t="n"/>
      <c r="J153" s="256" t="n"/>
      <c r="K153" s="256" t="n"/>
      <c r="L153" s="256" t="n"/>
      <c r="M153" s="256" t="n"/>
      <c r="N153" s="256" t="n"/>
      <c r="O153" s="256" t="n"/>
      <c r="P153" s="256" t="n"/>
      <c r="Q153" s="256" t="n"/>
      <c r="R153" s="256" t="n"/>
      <c r="S153" s="256" t="n"/>
      <c r="T153" s="256" t="n"/>
      <c r="U153" s="256" t="n"/>
      <c r="V153" s="247">
        <f>IF(C153="Gutschrift","",IF(G153="","",IF(Besatzung!$B$11="","",IFERROR(IF(I153="Zeitanteilig",(Besatzung!$G$11*(G153-IFERROR(H153,0))+((Besatzung!$B$11&lt;&gt;"")*IF(B153="",1,(IF(Besatzung!$C$11="",Besatzung!$B$5,Besatzung!$C$11)&lt;=B153)*(IF(Besatzung!$D$11="",Besatzung!$B$6,Besatzung!$D$11)&gt;=B153)))*(Besatzung!$F$11="x")*IFERROR(H153,0)/IFERROR(SUMPRODUCT((Besatzung!$B$11:$B$22&lt;&gt;"")*(Besatzung!$F$11:$F$22="x")*(IF(Besatzung!$C$11:$C$22="",Besatzung!$B$5,Besatzung!$C$11:$C$22)&lt;=B153)*(IF(Besatzung!$D$11:$D$22="",Besatzung!$B$6,Besatzung!$D$11:$D$22)&gt;=B153)),1)),IF(I153="An Bord",(((Besatzung!$B$11&lt;&gt;"")*IF(B153="",1,(IF(Besatzung!$C$11="",Besatzung!$B$5,Besatzung!$C$11)&lt;=B153)*(IF(Besatzung!$D$11="",Besatzung!$B$6,Besatzung!$D$11)&gt;=B153)))*((G153-IFERROR(H153,0))/IFERROR(SUMPRODUCT((Besatzung!$B$11:$B$22&lt;&gt;"")*(IF(Besatzung!$C$11:$C$22="",Besatzung!$B$5,Besatzung!$C$11:$C$22)&lt;=B153)*(IF(Besatzung!$D$11:$D$22="",Besatzung!$B$6,Besatzung!$D$11:$D$22)&gt;=B153)),1)+(Besatzung!$F$11="x")*IFERROR(H153,0)/IFERROR(SUMPRODUCT((Besatzung!$B$11:$B$22&lt;&gt;"")*(Besatzung!$F$11:$F$22="x")*(IF(Besatzung!$C$11:$C$22="",Besatzung!$B$5,Besatzung!$C$11:$C$22)&lt;=B153)*(IF(Besatzung!$D$11:$D$22="",Besatzung!$B$6,Besatzung!$D$11:$D$22)&gt;=B153)),1))),IF(I153="Individuell",((J153="x")*((G153-IFERROR(H153,0))/IFERROR(COUNTIF(J153:U153,"x"),1)+(Besatzung!$F$11="x")*IFERROR(H153,0)/IFERROR(SUMPRODUCT((J153:U153="x")*(Besatzung!$F$11:$F$22="x")),1))),(IF(COUNTIF(J153:U153,"x")=0,IF(Besatzung!$B$11&lt;&gt;"",1,0),(J153="x"))*(G153-IFERROR(H153,0))/IFERROR(IF(COUNTIF(J153:U153,"x")=0,COUNTA(Besatzung!$B$11:$B$22),COUNTIF(J153:U153,"x")),1)+IF(COUNTIF(J153:U153,"x")=0,(Besatzung!$F$11="x"),(J153="x")*(Besatzung!$F$11="x"))*IFERROR(H153,0)/IFERROR(IF(COUNTIF(J153:U153,"x")=0,SUMPRODUCT((Besatzung!$B$11:$B$22&lt;&gt;"")*(Besatzung!$F$11:$F$22="x")),SUMPRODUCT((J153:U153="x")*(Besatzung!$F$11:$F$22="x"))),1))))),0))))</f>
        <v/>
      </c>
      <c r="W153" s="247">
        <f>IF(C153="Gutschrift","",IF(G153="","",IF(Besatzung!$B$12="","",IFERROR(IF(I153="Zeitanteilig",(Besatzung!$G$12*(G153-IFERROR(H153,0))+((Besatzung!$B$12&lt;&gt;"")*IF(B153="",1,(IF(Besatzung!$C$12="",Besatzung!$B$5,Besatzung!$C$12)&lt;=B153)*(IF(Besatzung!$D$12="",Besatzung!$B$6,Besatzung!$D$12)&gt;=B153)))*(Besatzung!$F$12="x")*IFERROR(H153,0)/IFERROR(SUMPRODUCT((Besatzung!$B$11:$B$22&lt;&gt;"")*(Besatzung!$F$11:$F$22="x")*(IF(Besatzung!$C$11:$C$22="",Besatzung!$B$5,Besatzung!$C$11:$C$22)&lt;=B153)*(IF(Besatzung!$D$11:$D$22="",Besatzung!$B$6,Besatzung!$D$11:$D$22)&gt;=B153)),1)),IF(I153="An Bord",(((Besatzung!$B$12&lt;&gt;"")*IF(B153="",1,(IF(Besatzung!$C$12="",Besatzung!$B$5,Besatzung!$C$12)&lt;=B153)*(IF(Besatzung!$D$12="",Besatzung!$B$6,Besatzung!$D$12)&gt;=B153)))*((G153-IFERROR(H153,0))/IFERROR(SUMPRODUCT((Besatzung!$B$11:$B$22&lt;&gt;"")*(IF(Besatzung!$C$11:$C$22="",Besatzung!$B$5,Besatzung!$C$11:$C$22)&lt;=B153)*(IF(Besatzung!$D$11:$D$22="",Besatzung!$B$6,Besatzung!$D$11:$D$22)&gt;=B153)),1)+(Besatzung!$F$12="x")*IFERROR(H153,0)/IFERROR(SUMPRODUCT((Besatzung!$B$11:$B$22&lt;&gt;"")*(Besatzung!$F$11:$F$22="x")*(IF(Besatzung!$C$11:$C$22="",Besatzung!$B$5,Besatzung!$C$11:$C$22)&lt;=B153)*(IF(Besatzung!$D$11:$D$22="",Besatzung!$B$6,Besatzung!$D$11:$D$22)&gt;=B153)),1))),IF(I153="Individuell",((K153="x")*((G153-IFERROR(H153,0))/IFERROR(COUNTIF(J153:U153,"x"),1)+(Besatzung!$F$12="x")*IFERROR(H153,0)/IFERROR(SUMPRODUCT((J153:U153="x")*(Besatzung!$F$11:$F$22="x")),1))),(IF(COUNTIF(J153:U153,"x")=0,IF(Besatzung!$B$12&lt;&gt;"",1,0),(K153="x"))*(G153-IFERROR(H153,0))/IFERROR(IF(COUNTIF(J153:U153,"x")=0,COUNTA(Besatzung!$B$11:$B$22),COUNTIF(J153:U153,"x")),1)+IF(COUNTIF(J153:U153,"x")=0,(Besatzung!$F$12="x"),(K153="x")*(Besatzung!$F$12="x"))*IFERROR(H153,0)/IFERROR(IF(COUNTIF(J153:U153,"x")=0,SUMPRODUCT((Besatzung!$B$11:$B$22&lt;&gt;"")*(Besatzung!$F$11:$F$22="x")),SUMPRODUCT((J153:U153="x")*(Besatzung!$F$11:$F$22="x"))),1))))),0))))</f>
        <v/>
      </c>
      <c r="X153" s="247">
        <f>IF(C153="Gutschrift","",IF(G153="","",IF(Besatzung!$B$13="","",IFERROR(IF(I153="Zeitanteilig",(Besatzung!$G$13*(G153-IFERROR(H153,0))+((Besatzung!$B$13&lt;&gt;"")*IF(B153="",1,(IF(Besatzung!$C$13="",Besatzung!$B$5,Besatzung!$C$13)&lt;=B153)*(IF(Besatzung!$D$13="",Besatzung!$B$6,Besatzung!$D$13)&gt;=B153)))*(Besatzung!$F$13="x")*IFERROR(H153,0)/IFERROR(SUMPRODUCT((Besatzung!$B$11:$B$22&lt;&gt;"")*(Besatzung!$F$11:$F$22="x")*(IF(Besatzung!$C$11:$C$22="",Besatzung!$B$5,Besatzung!$C$11:$C$22)&lt;=B153)*(IF(Besatzung!$D$11:$D$22="",Besatzung!$B$6,Besatzung!$D$11:$D$22)&gt;=B153)),1)),IF(I153="An Bord",(((Besatzung!$B$13&lt;&gt;"")*IF(B153="",1,(IF(Besatzung!$C$13="",Besatzung!$B$5,Besatzung!$C$13)&lt;=B153)*(IF(Besatzung!$D$13="",Besatzung!$B$6,Besatzung!$D$13)&gt;=B153)))*((G153-IFERROR(H153,0))/IFERROR(SUMPRODUCT((Besatzung!$B$11:$B$22&lt;&gt;"")*(IF(Besatzung!$C$11:$C$22="",Besatzung!$B$5,Besatzung!$C$11:$C$22)&lt;=B153)*(IF(Besatzung!$D$11:$D$22="",Besatzung!$B$6,Besatzung!$D$11:$D$22)&gt;=B153)),1)+(Besatzung!$F$13="x")*IFERROR(H153,0)/IFERROR(SUMPRODUCT((Besatzung!$B$11:$B$22&lt;&gt;"")*(Besatzung!$F$11:$F$22="x")*(IF(Besatzung!$C$11:$C$22="",Besatzung!$B$5,Besatzung!$C$11:$C$22)&lt;=B153)*(IF(Besatzung!$D$11:$D$22="",Besatzung!$B$6,Besatzung!$D$11:$D$22)&gt;=B153)),1))),IF(I153="Individuell",((K153="x")*((G153-IFERROR(H153,0))/IFERROR(COUNTIF(J153:U153,"x"),1)+(Besatzung!$F$13="x")*IFERROR(H153,0)/IFERROR(SUMPRODUCT((J153:U153="x")*(Besatzung!$F$11:$F$22="x")),1))),(IF(COUNTIF(J153:U153,"x")=0,IF(Besatzung!$B$13&lt;&gt;"",1,0),(K153="x"))*(G153-IFERROR(H153,0))/IFERROR(IF(COUNTIF(J153:U153,"x")=0,COUNTA(Besatzung!$B$11:$B$22),COUNTIF(J153:U153,"x")),1)+IF(COUNTIF(J153:U153,"x")=0,(Besatzung!$F$13="x"),(K153="x")*(Besatzung!$F$13="x"))*IFERROR(H153,0)/IFERROR(IF(COUNTIF(J153:U153,"x")=0,SUMPRODUCT((Besatzung!$B$11:$B$22&lt;&gt;"")*(Besatzung!$F$11:$F$22="x")),SUMPRODUCT((J153:U153="x")*(Besatzung!$F$11:$F$22="x"))),1))))),0))))</f>
        <v/>
      </c>
      <c r="Y153" s="247">
        <f>IF(C153="Gutschrift","",IF(G153="","",IF(Besatzung!$B$14="","",IFERROR(IF(I153="Zeitanteilig",(Besatzung!$G$14*(G153-IFERROR(H153,0))+((Besatzung!$B$14&lt;&gt;"")*IF(B153="",1,(IF(Besatzung!$C$14="",Besatzung!$B$5,Besatzung!$C$14)&lt;=B153)*(IF(Besatzung!$D$14="",Besatzung!$B$6,Besatzung!$D$14)&gt;=B153)))*(Besatzung!$F$14="x")*IFERROR(H153,0)/IFERROR(SUMPRODUCT((Besatzung!$B$11:$B$22&lt;&gt;"")*(Besatzung!$F$11:$F$22="x")*(IF(Besatzung!$C$11:$C$22="",Besatzung!$B$5,Besatzung!$C$11:$C$22)&lt;=B153)*(IF(Besatzung!$D$11:$D$22="",Besatzung!$B$6,Besatzung!$D$11:$D$22)&gt;=B153)),1)),IF(I153="An Bord",(((Besatzung!$B$14&lt;&gt;"")*IF(B153="",1,(IF(Besatzung!$C$14="",Besatzung!$B$5,Besatzung!$C$14)&lt;=B153)*(IF(Besatzung!$D$14="",Besatzung!$B$6,Besatzung!$D$14)&gt;=B153)))*((G153-IFERROR(H153,0))/IFERROR(SUMPRODUCT((Besatzung!$B$11:$B$22&lt;&gt;"")*(IF(Besatzung!$C$11:$C$22="",Besatzung!$B$5,Besatzung!$C$11:$C$22)&lt;=B153)*(IF(Besatzung!$D$11:$D$22="",Besatzung!$B$6,Besatzung!$D$11:$D$22)&gt;=B153)),1)+(Besatzung!$F$14="x")*IFERROR(H153,0)/IFERROR(SUMPRODUCT((Besatzung!$B$11:$B$22&lt;&gt;"")*(Besatzung!$F$11:$F$22="x")*(IF(Besatzung!$C$11:$C$22="",Besatzung!$B$5,Besatzung!$C$11:$C$22)&lt;=B153)*(IF(Besatzung!$D$11:$D$22="",Besatzung!$B$6,Besatzung!$D$11:$D$22)&gt;=B153)),1))),IF(I153="Individuell",((M153="x")*((G153-IFERROR(H153,0))/IFERROR(COUNTIF(J153:U153,"x"),1)+(Besatzung!$F$14="x")*IFERROR(H153,0)/IFERROR(SUMPRODUCT((J153:U153="x")*(Besatzung!$F$11:$F$22="x")),1))),(IF(COUNTIF(J153:U153,"x")=0,IF(Besatzung!$B$14&lt;&gt;"",1,0),(M153="x"))*(G153-IFERROR(H153,0))/IFERROR(IF(COUNTIF(J153:U153,"x")=0,COUNTA(Besatzung!$B$11:$B$22),COUNTIF(J153:U153,"x")),1)+IF(COUNTIF(J153:U153,"x")=0,(Besatzung!$F$14="x"),(M153="x")*(Besatzung!$F$14="x"))*IFERROR(H153,0)/IFERROR(IF(COUNTIF(J153:U153,"x")=0,SUMPRODUCT((Besatzung!$B$11:$B$22&lt;&gt;"")*(Besatzung!$F$11:$F$22="x")),SUMPRODUCT((J153:U153="x")*(Besatzung!$F$11:$F$22="x"))),1))))),0))))</f>
        <v/>
      </c>
      <c r="Z153" s="247">
        <f>IF(C153="Gutschrift","",IF(G153="","",IF(Besatzung!$B$13="","",IFERROR(IF(I153="Zeitanteilig",(Besatzung!$G$15*(G153-IFERROR(H153,0))+((Besatzung!$B$13&lt;&gt;"")*IF(B153="",1,(IF(Besatzung!$C$15="",Besatzung!$B$5,Besatzung!$C$15)&lt;=B153)*(IF(Besatzung!$D$15="",Besatzung!$B$6,Besatzung!$D$15)&gt;=B153)))*(Besatzung!$F$15="x")*IFERROR(H153,0)/IFERROR(SUMPRODUCT((Besatzung!$B$11:$B$22&lt;&gt;"")*(Besatzung!$F$11:$F$22="x")*(IF(Besatzung!$C$11:$C$22="",Besatzung!$B$5,Besatzung!$C$11:$C$22)&lt;=B153)*(IF(Besatzung!$D$11:$D$22="",Besatzung!$B$6,Besatzung!$D$11:$D$22)&gt;=B153)),1)),IF(I153="An Bord",(((Besatzung!$B$13&lt;&gt;"")*IF(B153="",1,(IF(Besatzung!$C$15="",Besatzung!$B$5,Besatzung!$C$15)&lt;=B153)*(IF(Besatzung!$D$15="",Besatzung!$B$6,Besatzung!$D$15)&gt;=B153)))*((G153-IFERROR(H153,0))/IFERROR(SUMPRODUCT((Besatzung!$B$11:$B$22&lt;&gt;"")*(IF(Besatzung!$C$11:$C$22="",Besatzung!$B$5,Besatzung!$C$11:$C$22)&lt;=B153)*(IF(Besatzung!$D$11:$D$22="",Besatzung!$B$6,Besatzung!$D$11:$D$22)&gt;=B153)),1)+(Besatzung!$F$15="x")*IFERROR(H153,0)/IFERROR(SUMPRODUCT((Besatzung!$B$11:$B$22&lt;&gt;"")*(Besatzung!$F$11:$F$22="x")*(IF(Besatzung!$C$11:$C$22="",Besatzung!$B$5,Besatzung!$C$11:$C$22)&lt;=B153)*(IF(Besatzung!$D$11:$D$22="",Besatzung!$B$6,Besatzung!$D$11:$D$22)&gt;=B153)),1))),IF(I153="Individuell",((N153="x")*((G153-IFERROR(H153,0))/IFERROR(COUNTIF(J153:U153,"x"),1)+(Besatzung!$F$15="x")*IFERROR(H153,0)/IFERROR(SUMPRODUCT((J153:U153="x")*(Besatzung!$F$11:$F$22="x")),1))),(IF(COUNTIF(J153:U153,"x")=0,IF(Besatzung!$B$13&lt;&gt;"",1,0),(N153="x"))*(G153-IFERROR(H153,0))/IFERROR(IF(COUNTIF(J153:U153,"x")=0,COUNTA(Besatzung!$B$11:$B$22),COUNTIF(J153:U153,"x")),1)+IF(COUNTIF(J153:U153,"x")=0,(Besatzung!$F$15="x"),(N153="x")*(Besatzung!$F$15="x"))*IFERROR(H153,0)/IFERROR(IF(COUNTIF(J153:U153,"x")=0,SUMPRODUCT((Besatzung!$B$11:$B$22&lt;&gt;"")*(Besatzung!$F$11:$F$22="x")),SUMPRODUCT((J153:U153="x")*(Besatzung!$F$11:$F$22="x"))),1))))),0))))</f>
        <v/>
      </c>
      <c r="AA153" s="247">
        <f>IF(C153="Gutschrift","",IF(G153="","",IF(Besatzung!$B$15="","",IFERROR(IF(I153="Zeitanteilig",(Besatzung!$G$16*(G153-IFERROR(H153,0))+((Besatzung!$B$15&lt;&gt;"")*IF(B153="",1,(IF(Besatzung!$C$16="",Besatzung!$B$5,Besatzung!$C$16)&lt;=B153)*(IF(Besatzung!$D$16="",Besatzung!$B$6,Besatzung!$D$16)&gt;=B153)))*(Besatzung!$F$16="x")*IFERROR(H153,0)/IFERROR(SUMPRODUCT((Besatzung!$B$11:$B$22&lt;&gt;"")*(Besatzung!$F$11:$F$22="x")*(IF(Besatzung!$C$11:$C$22="",Besatzung!$B$5,Besatzung!$C$11:$C$22)&lt;=B153)*(IF(Besatzung!$D$11:$D$22="",Besatzung!$B$6,Besatzung!$D$11:$D$22)&gt;=B153)),1)),IF(I153="An Bord",(((Besatzung!$B$15&lt;&gt;"")*IF(B153="",1,(IF(Besatzung!$C$16="",Besatzung!$B$5,Besatzung!$C$16)&lt;=B153)*(IF(Besatzung!$D$16="",Besatzung!$B$6,Besatzung!$D$16)&gt;=B153)))*((G153-IFERROR(H153,0))/IFERROR(SUMPRODUCT((Besatzung!$B$11:$B$22&lt;&gt;"")*(IF(Besatzung!$C$11:$C$22="",Besatzung!$B$5,Besatzung!$C$11:$C$22)&lt;=B153)*(IF(Besatzung!$D$11:$D$22="",Besatzung!$B$6,Besatzung!$D$11:$D$22)&gt;=B153)),1)+(Besatzung!$F$16="x")*IFERROR(H153,0)/IFERROR(SUMPRODUCT((Besatzung!$B$11:$B$22&lt;&gt;"")*(Besatzung!$F$11:$F$22="x")*(IF(Besatzung!$C$11:$C$22="",Besatzung!$B$5,Besatzung!$C$11:$C$22)&lt;=B153)*(IF(Besatzung!$D$11:$D$22="",Besatzung!$B$6,Besatzung!$D$11:$D$22)&gt;=B153)),1))),IF(I153="Individuell",((O153="x")*((G153-IFERROR(H153,0))/IFERROR(COUNTIF(J153:U153,"x"),1)+(Besatzung!$F$16="x")*IFERROR(H153,0)/IFERROR(SUMPRODUCT((J153:U153="x")*(Besatzung!$F$11:$F$22="x")),1))),(IF(COUNTIF(J153:U153,"x")=0,IF(Besatzung!$B$15&lt;&gt;"",1,0),(O153="x"))*(G153-IFERROR(H153,0))/IFERROR(IF(COUNTIF(J153:U153,"x")=0,COUNTA(Besatzung!$B$11:$B$22),COUNTIF(J153:U153,"x")),1)+IF(COUNTIF(J153:U153,"x")=0,(Besatzung!$F$16="x"),(O153="x")*(Besatzung!$F$16="x"))*IFERROR(H153,0)/IFERROR(IF(COUNTIF(J153:U153,"x")=0,SUMPRODUCT((Besatzung!$B$11:$B$22&lt;&gt;"")*(Besatzung!$F$11:$F$22="x")),SUMPRODUCT((J153:U153="x")*(Besatzung!$F$11:$F$22="x"))),1))))),0))))</f>
        <v/>
      </c>
      <c r="AB153" s="247">
        <f>IF(C153="Gutschrift","",IF(G153="","",IF(Besatzung!$B$17="","",IFERROR(IF(I153="Zeitanteilig",(Besatzung!$G$17*(G153-IFERROR(H153,0))+((Besatzung!$B$17&lt;&gt;"")*IF(B153="",1,(IF(Besatzung!$C$17="",Besatzung!$B$5,Besatzung!$C$17)&lt;=B153)*(IF(Besatzung!$D$17="",Besatzung!$B$6,Besatzung!$D$17)&gt;=B153)))*(Besatzung!$F$17="x")*IFERROR(H153,0)/IFERROR(SUMPRODUCT((Besatzung!$B$11:$B$22&lt;&gt;"")*(Besatzung!$F$11:$F$22="x")*(IF(Besatzung!$C$11:$C$22="",Besatzung!$B$5,Besatzung!$C$11:$C$22)&lt;=B153)*(IF(Besatzung!$D$11:$D$22="",Besatzung!$B$6,Besatzung!$D$11:$D$22)&gt;=B153)),1)),IF(I153="An Bord",(((Besatzung!$B$17&lt;&gt;"")*IF(B153="",1,(IF(Besatzung!$C$17="",Besatzung!$B$5,Besatzung!$C$17)&lt;=B153)*(IF(Besatzung!$D$17="",Besatzung!$B$6,Besatzung!$D$17)&gt;=B153)))*((G153-IFERROR(H153,0))/IFERROR(SUMPRODUCT((Besatzung!$B$11:$B$22&lt;&gt;"")*(IF(Besatzung!$C$11:$C$22="",Besatzung!$B$5,Besatzung!$C$11:$C$22)&lt;=B153)*(IF(Besatzung!$D$11:$D$22="",Besatzung!$B$6,Besatzung!$D$11:$D$22)&gt;=B153)),1)+(Besatzung!$F$17="x")*IFERROR(H153,0)/IFERROR(SUMPRODUCT((Besatzung!$B$11:$B$22&lt;&gt;"")*(Besatzung!$F$11:$F$22="x")*(IF(Besatzung!$C$11:$C$22="",Besatzung!$B$5,Besatzung!$C$11:$C$22)&lt;=B153)*(IF(Besatzung!$D$11:$D$22="",Besatzung!$B$6,Besatzung!$D$11:$D$22)&gt;=B153)),1))),IF(I153="Individuell",((P153="x")*((G153-IFERROR(H153,0))/IFERROR(COUNTIF(J153:U153,"x"),1)+(Besatzung!$F$17="x")*IFERROR(H153,0)/IFERROR(SUMPRODUCT((J153:U153="x")*(Besatzung!$F$11:$F$22="x")),1))),(IF(COUNTIF(J153:U153,"x")=0,IF(Besatzung!$B$17&lt;&gt;"",1,0),(P153="x"))*(G153-IFERROR(H153,0))/IFERROR(IF(COUNTIF(J153:U153,"x")=0,COUNTA(Besatzung!$B$11:$B$22),COUNTIF(J153:U153,"x")),1)+IF(COUNTIF(J153:U153,"x")=0,(Besatzung!$F$17="x"),(P153="x")*(Besatzung!$F$17="x"))*IFERROR(H153,0)/IFERROR(IF(COUNTIF(J153:U153,"x")=0,SUMPRODUCT((Besatzung!$B$11:$B$22&lt;&gt;"")*(Besatzung!$F$11:$F$22="x")),SUMPRODUCT((J153:U153="x")*(Besatzung!$F$11:$F$22="x"))),1))))),0))))</f>
        <v/>
      </c>
      <c r="AC153" s="247">
        <f>IF(C153="Gutschrift","",IF(G153="","",IF(Besatzung!$B$18="","",IFERROR(IF(I153="Zeitanteilig",(Besatzung!$G$18*(G153-IFERROR(H153,0))+((Besatzung!$B$18&lt;&gt;"")*IF(B153="",1,(IF(Besatzung!$C$18="",Besatzung!$B$5,Besatzung!$C$18)&lt;=B153)*(IF(Besatzung!$D$18="",Besatzung!$B$6,Besatzung!$D$18)&gt;=B153)))*(Besatzung!$F$18="x")*IFERROR(H153,0)/IFERROR(SUMPRODUCT((Besatzung!$B$11:$B$22&lt;&gt;"")*(Besatzung!$F$11:$F$22="x")*(IF(Besatzung!$C$11:$C$22="",Besatzung!$B$5,Besatzung!$C$11:$C$22)&lt;=B153)*(IF(Besatzung!$D$11:$D$22="",Besatzung!$B$6,Besatzung!$D$11:$D$22)&gt;=B153)),1)),IF(I153="An Bord",(((Besatzung!$B$18&lt;&gt;"")*IF(B153="",1,(IF(Besatzung!$C$18="",Besatzung!$B$5,Besatzung!$C$18)&lt;=B153)*(IF(Besatzung!$D$18="",Besatzung!$B$6,Besatzung!$D$18)&gt;=B153)))*((G153-IFERROR(H153,0))/IFERROR(SUMPRODUCT((Besatzung!$B$11:$B$22&lt;&gt;"")*(IF(Besatzung!$C$11:$C$22="",Besatzung!$B$5,Besatzung!$C$11:$C$22)&lt;=B153)*(IF(Besatzung!$D$11:$D$22="",Besatzung!$B$6,Besatzung!$D$11:$D$22)&gt;=B153)),1)+(Besatzung!$F$18="x")*IFERROR(H153,0)/IFERROR(SUMPRODUCT((Besatzung!$B$11:$B$22&lt;&gt;"")*(Besatzung!$F$11:$F$22="x")*(IF(Besatzung!$C$11:$C$22="",Besatzung!$B$5,Besatzung!$C$11:$C$22)&lt;=B153)*(IF(Besatzung!$D$11:$D$22="",Besatzung!$B$6,Besatzung!$D$11:$D$22)&gt;=B153)),1))),IF(I153="Individuell",((Q153="x")*((G153-IFERROR(H153,0))/IFERROR(COUNTIF(J153:U153,"x"),1)+(Besatzung!$F$18="x")*IFERROR(H153,0)/IFERROR(SUMPRODUCT((J153:U153="x")*(Besatzung!$F$11:$F$22="x")),1))),(IF(COUNTIF(J153:U153,"x")=0,IF(Besatzung!$B$18&lt;&gt;"",1,0),(Q153="x"))*(G153-IFERROR(H153,0))/IFERROR(IF(COUNTIF(J153:U153,"x")=0,COUNTA(Besatzung!$B$11:$B$22),COUNTIF(J153:U153,"x")),1)+IF(COUNTIF(J153:U153,"x")=0,(Besatzung!$F$18="x"),(Q153="x")*(Besatzung!$F$18="x"))*IFERROR(H153,0)/IFERROR(IF(COUNTIF(J153:U153,"x")=0,SUMPRODUCT((Besatzung!$B$11:$B$22&lt;&gt;"")*(Besatzung!$F$11:$F$22="x")),SUMPRODUCT((J153:U153="x")*(Besatzung!$F$11:$F$22="x"))),1))))),0))))</f>
        <v/>
      </c>
      <c r="AD153" s="247">
        <f>IF(C153="Gutschrift","",IF(G153="","",IF(Besatzung!$B$19="","",IFERROR(IF(I153="Zeitanteilig",(Besatzung!$G$19*(G153-IFERROR(H153,0))+((Besatzung!$B$19&lt;&gt;"")*IF(B153="",1,(IF(Besatzung!$C$19="",Besatzung!$B$5,Besatzung!$C$19)&lt;=B153)*(IF(Besatzung!$D$19="",Besatzung!$B$6,Besatzung!$D$19)&gt;=B153)))*(Besatzung!$F$19="x")*IFERROR(H153,0)/IFERROR(SUMPRODUCT((Besatzung!$B$11:$B$22&lt;&gt;"")*(Besatzung!$F$11:$F$22="x")*(IF(Besatzung!$C$11:$C$22="",Besatzung!$B$5,Besatzung!$C$11:$C$22)&lt;=B153)*(IF(Besatzung!$D$11:$D$22="",Besatzung!$B$6,Besatzung!$D$11:$D$22)&gt;=B153)),1)),IF(I153="An Bord",(((Besatzung!$B$19&lt;&gt;"")*IF(B153="",1,(IF(Besatzung!$C$19="",Besatzung!$B$5,Besatzung!$C$19)&lt;=B153)*(IF(Besatzung!$D$19="",Besatzung!$B$6,Besatzung!$D$19)&gt;=B153)))*((G153-IFERROR(H153,0))/IFERROR(SUMPRODUCT((Besatzung!$B$11:$B$22&lt;&gt;"")*(IF(Besatzung!$C$11:$C$22="",Besatzung!$B$5,Besatzung!$C$11:$C$22)&lt;=B153)*(IF(Besatzung!$D$11:$D$22="",Besatzung!$B$6,Besatzung!$D$11:$D$22)&gt;=B153)),1)+(Besatzung!$F$19="x")*IFERROR(H153,0)/IFERROR(SUMPRODUCT((Besatzung!$B$11:$B$22&lt;&gt;"")*(Besatzung!$F$11:$F$22="x")*(IF(Besatzung!$C$11:$C$22="",Besatzung!$B$5,Besatzung!$C$11:$C$22)&lt;=B153)*(IF(Besatzung!$D$11:$D$22="",Besatzung!$B$6,Besatzung!$D$11:$D$22)&gt;=B153)),1))),IF(I153="Individuell",((R153="x")*((G153-IFERROR(H153,0))/IFERROR(COUNTIF(J153:U153,"x"),1)+(Besatzung!$F$19="x")*IFERROR(H153,0)/IFERROR(SUMPRODUCT((J153:U153="x")*(Besatzung!$F$11:$F$22="x")),1))),(IF(COUNTIF(J153:U153,"x")=0,IF(Besatzung!$B$19&lt;&gt;"",1,0),(R153="x"))*(G153-IFERROR(H153,0))/IFERROR(IF(COUNTIF(J153:U153,"x")=0,COUNTA(Besatzung!$B$11:$B$22),COUNTIF(J153:U153,"x")),1)+IF(COUNTIF(J153:U153,"x")=0,(Besatzung!$F$19="x"),(R153="x")*(Besatzung!$F$19="x"))*IFERROR(H153,0)/IFERROR(IF(COUNTIF(J153:U153,"x")=0,SUMPRODUCT((Besatzung!$B$11:$B$22&lt;&gt;"")*(Besatzung!$F$11:$F$22="x")),SUMPRODUCT((J153:U153="x")*(Besatzung!$F$11:$F$22="x"))),1))))),0))))</f>
        <v/>
      </c>
      <c r="AE153" s="247">
        <f>IF(C153="Gutschrift","",IF(G153="","",IF(Besatzung!$B$20="","",IFERROR(IF(I153="Zeitanteilig",(Besatzung!$G$20*(G153-IFERROR(H153,0))+((Besatzung!$B$20&lt;&gt;"")*IF(B153="",1,(IF(Besatzung!$C$20="",Besatzung!$B$5,Besatzung!$C$20)&lt;=B153)*(IF(Besatzung!$D$20="",Besatzung!$B$6,Besatzung!$D$20)&gt;=B153)))*(Besatzung!$F$20="x")*IFERROR(H153,0)/IFERROR(SUMPRODUCT((Besatzung!$B$11:$B$22&lt;&gt;"")*(Besatzung!$F$11:$F$22="x")*(IF(Besatzung!$C$11:$C$22="",Besatzung!$B$5,Besatzung!$C$11:$C$22)&lt;=B153)*(IF(Besatzung!$D$11:$D$22="",Besatzung!$B$6,Besatzung!$D$11:$D$22)&gt;=B153)),1)),IF(I153="An Bord",(((Besatzung!$B$20&lt;&gt;"")*IF(B153="",1,(IF(Besatzung!$C$20="",Besatzung!$B$5,Besatzung!$C$20)&lt;=B153)*(IF(Besatzung!$D$20="",Besatzung!$B$6,Besatzung!$D$20)&gt;=B153)))*((G153-IFERROR(H153,0))/IFERROR(SUMPRODUCT((Besatzung!$B$11:$B$22&lt;&gt;"")*(IF(Besatzung!$C$11:$C$22="",Besatzung!$B$5,Besatzung!$C$11:$C$22)&lt;=B153)*(IF(Besatzung!$D$11:$D$22="",Besatzung!$B$6,Besatzung!$D$11:$D$22)&gt;=B153)),1)+(Besatzung!$F$20="x")*IFERROR(H153,0)/IFERROR(SUMPRODUCT((Besatzung!$B$11:$B$22&lt;&gt;"")*(Besatzung!$F$11:$F$22="x")*(IF(Besatzung!$C$11:$C$22="",Besatzung!$B$5,Besatzung!$C$11:$C$22)&lt;=B153)*(IF(Besatzung!$D$11:$D$22="",Besatzung!$B$6,Besatzung!$D$11:$D$22)&gt;=B153)),1))),IF(I153="Individuell",((S153="x")*((G153-IFERROR(H153,0))/IFERROR(COUNTIF(J153:U153,"x"),1)+(Besatzung!$F$20="x")*IFERROR(H153,0)/IFERROR(SUMPRODUCT((J153:U153="x")*(Besatzung!$F$11:$F$22="x")),1))),(IF(COUNTIF(J153:U153,"x")=0,IF(Besatzung!$B$20&lt;&gt;"",1,0),(S153="x"))*(G153-IFERROR(H153,0))/IFERROR(IF(COUNTIF(J153:U153,"x")=0,COUNTA(Besatzung!$B$11:$B$22),COUNTIF(J153:U153,"x")),1)+IF(COUNTIF(J153:U153,"x")=0,(Besatzung!$F$20="x"),(S153="x")*(Besatzung!$F$20="x"))*IFERROR(H153,0)/IFERROR(IF(COUNTIF(J153:U153,"x")=0,SUMPRODUCT((Besatzung!$B$11:$B$22&lt;&gt;"")*(Besatzung!$F$11:$F$22="x")),SUMPRODUCT((J153:U153="x")*(Besatzung!$F$11:$F$22="x"))),1))))),0))))</f>
        <v/>
      </c>
      <c r="AF153" s="247">
        <f>IF(C153="Gutschrift","",IF(G153="","",IF(Besatzung!$B$21="","",IFERROR(IF(I153="Zeitanteilig",(Besatzung!$G$21*(G153-IFERROR(H153,0))+((Besatzung!$B$21&lt;&gt;"")*IF(B153="",1,(IF(Besatzung!$C$21="",Besatzung!$B$5,Besatzung!$C$21)&lt;=B153)*(IF(Besatzung!$D$21="",Besatzung!$B$6,Besatzung!$D$21)&gt;=B153)))*(Besatzung!$F$21="x")*IFERROR(H153,0)/IFERROR(SUMPRODUCT((Besatzung!$B$11:$B$22&lt;&gt;"")*(Besatzung!$F$11:$F$22="x")*(IF(Besatzung!$C$11:$C$22="",Besatzung!$B$5,Besatzung!$C$11:$C$22)&lt;=B153)*(IF(Besatzung!$D$11:$D$22="",Besatzung!$B$6,Besatzung!$D$11:$D$22)&gt;=B153)),1)),IF(I153="An Bord",(((Besatzung!$B$21&lt;&gt;"")*IF(B153="",1,(IF(Besatzung!$C$21="",Besatzung!$B$5,Besatzung!$C$21)&lt;=B153)*(IF(Besatzung!$D$21="",Besatzung!$B$6,Besatzung!$D$21)&gt;=B153)))*((G153-IFERROR(H153,0))/IFERROR(SUMPRODUCT((Besatzung!$B$11:$B$22&lt;&gt;"")*(IF(Besatzung!$C$11:$C$22="",Besatzung!$B$5,Besatzung!$C$11:$C$22)&lt;=B153)*(IF(Besatzung!$D$11:$D$22="",Besatzung!$B$6,Besatzung!$D$11:$D$22)&gt;=B153)),1)+(Besatzung!$F$21="x")*IFERROR(H153,0)/IFERROR(SUMPRODUCT((Besatzung!$B$11:$B$22&lt;&gt;"")*(Besatzung!$F$11:$F$22="x")*(IF(Besatzung!$C$11:$C$22="",Besatzung!$B$5,Besatzung!$C$11:$C$22)&lt;=B153)*(IF(Besatzung!$D$11:$D$22="",Besatzung!$B$6,Besatzung!$D$11:$D$22)&gt;=B153)),1))),IF(I153="Individuell",((T153="x")*((G153-IFERROR(H153,0))/IFERROR(COUNTIF(J153:U153,"x"),1)+(Besatzung!$F$21="x")*IFERROR(H153,0)/IFERROR(SUMPRODUCT((J153:U153="x")*(Besatzung!$F$11:$F$22="x")),1))),(IF(COUNTIF(J153:U153,"x")=0,IF(Besatzung!$B$21&lt;&gt;"",1,0),(T153="x"))*(G153-IFERROR(H153,0))/IFERROR(IF(COUNTIF(J153:U153,"x")=0,COUNTA(Besatzung!$B$11:$B$22),COUNTIF(J153:U153,"x")),1)+IF(COUNTIF(J153:U153,"x")=0,(Besatzung!$F$21="x"),(T153="x")*(Besatzung!$F$21="x"))*IFERROR(H153,0)/IFERROR(IF(COUNTIF(J153:U153,"x")=0,SUMPRODUCT((Besatzung!$B$11:$B$22&lt;&gt;"")*(Besatzung!$F$11:$F$22="x")),SUMPRODUCT((J153:U153="x")*(Besatzung!$F$11:$F$22="x"))),1))))),0))))</f>
        <v/>
      </c>
      <c r="AG153" s="247">
        <f>IF(C153="Gutschrift","",IF(G153="","",IF(Besatzung!$B$22="","",IFERROR(IF(I153="Zeitanteilig",(Besatzung!$G$22*(G153-IFERROR(H153,0))+((Besatzung!$B$22&lt;&gt;"")*IF(B153="",1,(IF(Besatzung!$C$22="",Besatzung!$B$5,Besatzung!$C$22)&lt;=B153)*(IF(Besatzung!$D$22="",Besatzung!$B$6,Besatzung!$D$22)&gt;=B153)))*(Besatzung!$F$22="x")*IFERROR(H153,0)/IFERROR(SUMPRODUCT((Besatzung!$B$11:$B$22&lt;&gt;"")*(Besatzung!$F$11:$F$22="x")*(IF(Besatzung!$C$11:$C$22="",Besatzung!$B$5,Besatzung!$C$11:$C$22)&lt;=B153)*(IF(Besatzung!$D$11:$D$22="",Besatzung!$B$6,Besatzung!$D$11:$D$22)&gt;=B153)),1)),IF(I153="An Bord",(((Besatzung!$B$22&lt;&gt;"")*IF(B153="",1,(IF(Besatzung!$C$22="",Besatzung!$B$5,Besatzung!$C$22)&lt;=B153)*(IF(Besatzung!$D$22="",Besatzung!$B$6,Besatzung!$D$22)&gt;=B153)))*((G153-IFERROR(H153,0))/IFERROR(SUMPRODUCT((Besatzung!$B$11:$B$22&lt;&gt;"")*(IF(Besatzung!$C$11:$C$22="",Besatzung!$B$5,Besatzung!$C$11:$C$22)&lt;=B153)*(IF(Besatzung!$D$11:$D$22="",Besatzung!$B$6,Besatzung!$D$11:$D$22)&gt;=B153)),1)+(Besatzung!$F$22="x")*IFERROR(H153,0)/IFERROR(SUMPRODUCT((Besatzung!$B$11:$B$22&lt;&gt;"")*(Besatzung!$F$11:$F$22="x")*(IF(Besatzung!$C$11:$C$22="",Besatzung!$B$5,Besatzung!$C$11:$C$22)&lt;=B153)*(IF(Besatzung!$D$11:$D$22="",Besatzung!$B$6,Besatzung!$D$11:$D$22)&gt;=B153)),1))),IF(I153="Individuell",((U153="x")*((G153-IFERROR(H153,0))/IFERROR(COUNTIF(J153:U153,"x"),1)+(Besatzung!$F$22="x")*IFERROR(H153,0)/IFERROR(SUMPRODUCT((J153:U153="x")*(Besatzung!$F$11:$F$22="x")),1))),(IF(COUNTIF(J153:U153,"x")=0,IF(Besatzung!$B$22&lt;&gt;"",1,0),(U153="x"))*(G153-IFERROR(H153,0))/IFERROR(IF(COUNTIF(J153:U153,"x")=0,COUNTA(Besatzung!$B$11:$B$22),COUNTIF(J153:U153,"x")),1)+IF(COUNTIF(J153:U153,"x")=0,(Besatzung!$F$22="x"),(U153="x")*(Besatzung!$F$22="x"))*IFERROR(H153,0)/IFERROR(IF(COUNTIF(J153:U153,"x")=0,SUMPRODUCT((Besatzung!$B$11:$B$22&lt;&gt;"")*(Besatzung!$F$11:$F$22="x")),SUMPRODUCT((J153:U153="x")*(Besatzung!$F$11:$F$22="x"))),1))))),0))))</f>
        <v/>
      </c>
      <c r="AH153" s="248" t="n"/>
      <c r="AI153" s="248" t="n"/>
    </row>
    <row r="154" ht="21.75" customHeight="1" s="154">
      <c r="A154" s="238">
        <f>IF(AND(D154="",C154=""),"",151)</f>
        <v/>
      </c>
      <c r="B154" s="199" t="n"/>
      <c r="C154" s="239" t="n"/>
      <c r="D154" s="240" t="n"/>
      <c r="E154" s="241" t="n"/>
      <c r="F154" s="242" t="n"/>
      <c r="G154" s="243" t="n"/>
      <c r="H154" s="244" t="n"/>
      <c r="I154" s="245" t="n"/>
      <c r="J154" s="246" t="n"/>
      <c r="K154" s="246" t="n"/>
      <c r="L154" s="246" t="n"/>
      <c r="M154" s="246" t="n"/>
      <c r="N154" s="246" t="n"/>
      <c r="O154" s="246" t="n"/>
      <c r="P154" s="246" t="n"/>
      <c r="Q154" s="246" t="n"/>
      <c r="R154" s="246" t="n"/>
      <c r="S154" s="246" t="n"/>
      <c r="T154" s="246" t="n"/>
      <c r="U154" s="246" t="n"/>
      <c r="V154" s="247">
        <f>IF(C154="Gutschrift","",IF(G154="","",IF(Besatzung!$B$11="","",IFERROR(IF(I154="Zeitanteilig",(Besatzung!$G$11*(G154-IFERROR(H154,0))+((Besatzung!$B$11&lt;&gt;"")*IF(B154="",1,(IF(Besatzung!$C$11="",Besatzung!$B$5,Besatzung!$C$11)&lt;=B154)*(IF(Besatzung!$D$11="",Besatzung!$B$6,Besatzung!$D$11)&gt;=B154)))*(Besatzung!$F$11="x")*IFERROR(H154,0)/IFERROR(SUMPRODUCT((Besatzung!$B$11:$B$22&lt;&gt;"")*(Besatzung!$F$11:$F$22="x")*(IF(Besatzung!$C$11:$C$22="",Besatzung!$B$5,Besatzung!$C$11:$C$22)&lt;=B154)*(IF(Besatzung!$D$11:$D$22="",Besatzung!$B$6,Besatzung!$D$11:$D$22)&gt;=B154)),1)),IF(I154="An Bord",(((Besatzung!$B$11&lt;&gt;"")*IF(B154="",1,(IF(Besatzung!$C$11="",Besatzung!$B$5,Besatzung!$C$11)&lt;=B154)*(IF(Besatzung!$D$11="",Besatzung!$B$6,Besatzung!$D$11)&gt;=B154)))*((G154-IFERROR(H154,0))/IFERROR(SUMPRODUCT((Besatzung!$B$11:$B$22&lt;&gt;"")*(IF(Besatzung!$C$11:$C$22="",Besatzung!$B$5,Besatzung!$C$11:$C$22)&lt;=B154)*(IF(Besatzung!$D$11:$D$22="",Besatzung!$B$6,Besatzung!$D$11:$D$22)&gt;=B154)),1)+(Besatzung!$F$11="x")*IFERROR(H154,0)/IFERROR(SUMPRODUCT((Besatzung!$B$11:$B$22&lt;&gt;"")*(Besatzung!$F$11:$F$22="x")*(IF(Besatzung!$C$11:$C$22="",Besatzung!$B$5,Besatzung!$C$11:$C$22)&lt;=B154)*(IF(Besatzung!$D$11:$D$22="",Besatzung!$B$6,Besatzung!$D$11:$D$22)&gt;=B154)),1))),IF(I154="Individuell",((J154="x")*((G154-IFERROR(H154,0))/IFERROR(COUNTIF(J154:U154,"x"),1)+(Besatzung!$F$11="x")*IFERROR(H154,0)/IFERROR(SUMPRODUCT((J154:U154="x")*(Besatzung!$F$11:$F$22="x")),1))),(IF(COUNTIF(J154:U154,"x")=0,IF(Besatzung!$B$11&lt;&gt;"",1,0),(J154="x"))*(G154-IFERROR(H154,0))/IFERROR(IF(COUNTIF(J154:U154,"x")=0,COUNTA(Besatzung!$B$11:$B$22),COUNTIF(J154:U154,"x")),1)+IF(COUNTIF(J154:U154,"x")=0,(Besatzung!$F$11="x"),(J154="x")*(Besatzung!$F$11="x"))*IFERROR(H154,0)/IFERROR(IF(COUNTIF(J154:U154,"x")=0,SUMPRODUCT((Besatzung!$B$11:$B$22&lt;&gt;"")*(Besatzung!$F$11:$F$22="x")),SUMPRODUCT((J154:U154="x")*(Besatzung!$F$11:$F$22="x"))),1))))),0))))</f>
        <v/>
      </c>
      <c r="W154" s="247">
        <f>IF(C154="Gutschrift","",IF(G154="","",IF(Besatzung!$B$12="","",IFERROR(IF(I154="Zeitanteilig",(Besatzung!$G$12*(G154-IFERROR(H154,0))+((Besatzung!$B$12&lt;&gt;"")*IF(B154="",1,(IF(Besatzung!$C$12="",Besatzung!$B$5,Besatzung!$C$12)&lt;=B154)*(IF(Besatzung!$D$12="",Besatzung!$B$6,Besatzung!$D$12)&gt;=B154)))*(Besatzung!$F$12="x")*IFERROR(H154,0)/IFERROR(SUMPRODUCT((Besatzung!$B$11:$B$22&lt;&gt;"")*(Besatzung!$F$11:$F$22="x")*(IF(Besatzung!$C$11:$C$22="",Besatzung!$B$5,Besatzung!$C$11:$C$22)&lt;=B154)*(IF(Besatzung!$D$11:$D$22="",Besatzung!$B$6,Besatzung!$D$11:$D$22)&gt;=B154)),1)),IF(I154="An Bord",(((Besatzung!$B$12&lt;&gt;"")*IF(B154="",1,(IF(Besatzung!$C$12="",Besatzung!$B$5,Besatzung!$C$12)&lt;=B154)*(IF(Besatzung!$D$12="",Besatzung!$B$6,Besatzung!$D$12)&gt;=B154)))*((G154-IFERROR(H154,0))/IFERROR(SUMPRODUCT((Besatzung!$B$11:$B$22&lt;&gt;"")*(IF(Besatzung!$C$11:$C$22="",Besatzung!$B$5,Besatzung!$C$11:$C$22)&lt;=B154)*(IF(Besatzung!$D$11:$D$22="",Besatzung!$B$6,Besatzung!$D$11:$D$22)&gt;=B154)),1)+(Besatzung!$F$12="x")*IFERROR(H154,0)/IFERROR(SUMPRODUCT((Besatzung!$B$11:$B$22&lt;&gt;"")*(Besatzung!$F$11:$F$22="x")*(IF(Besatzung!$C$11:$C$22="",Besatzung!$B$5,Besatzung!$C$11:$C$22)&lt;=B154)*(IF(Besatzung!$D$11:$D$22="",Besatzung!$B$6,Besatzung!$D$11:$D$22)&gt;=B154)),1))),IF(I154="Individuell",((K154="x")*((G154-IFERROR(H154,0))/IFERROR(COUNTIF(J154:U154,"x"),1)+(Besatzung!$F$12="x")*IFERROR(H154,0)/IFERROR(SUMPRODUCT((J154:U154="x")*(Besatzung!$F$11:$F$22="x")),1))),(IF(COUNTIF(J154:U154,"x")=0,IF(Besatzung!$B$12&lt;&gt;"",1,0),(K154="x"))*(G154-IFERROR(H154,0))/IFERROR(IF(COUNTIF(J154:U154,"x")=0,COUNTA(Besatzung!$B$11:$B$22),COUNTIF(J154:U154,"x")),1)+IF(COUNTIF(J154:U154,"x")=0,(Besatzung!$F$12="x"),(K154="x")*(Besatzung!$F$12="x"))*IFERROR(H154,0)/IFERROR(IF(COUNTIF(J154:U154,"x")=0,SUMPRODUCT((Besatzung!$B$11:$B$22&lt;&gt;"")*(Besatzung!$F$11:$F$22="x")),SUMPRODUCT((J154:U154="x")*(Besatzung!$F$11:$F$22="x"))),1))))),0))))</f>
        <v/>
      </c>
      <c r="X154" s="247">
        <f>IF(C154="Gutschrift","",IF(G154="","",IF(Besatzung!$B$13="","",IFERROR(IF(I154="Zeitanteilig",(Besatzung!$G$13*(G154-IFERROR(H154,0))+((Besatzung!$B$13&lt;&gt;"")*IF(B154="",1,(IF(Besatzung!$C$13="",Besatzung!$B$5,Besatzung!$C$13)&lt;=B154)*(IF(Besatzung!$D$13="",Besatzung!$B$6,Besatzung!$D$13)&gt;=B154)))*(Besatzung!$F$13="x")*IFERROR(H154,0)/IFERROR(SUMPRODUCT((Besatzung!$B$11:$B$22&lt;&gt;"")*(Besatzung!$F$11:$F$22="x")*(IF(Besatzung!$C$11:$C$22="",Besatzung!$B$5,Besatzung!$C$11:$C$22)&lt;=B154)*(IF(Besatzung!$D$11:$D$22="",Besatzung!$B$6,Besatzung!$D$11:$D$22)&gt;=B154)),1)),IF(I154="An Bord",(((Besatzung!$B$13&lt;&gt;"")*IF(B154="",1,(IF(Besatzung!$C$13="",Besatzung!$B$5,Besatzung!$C$13)&lt;=B154)*(IF(Besatzung!$D$13="",Besatzung!$B$6,Besatzung!$D$13)&gt;=B154)))*((G154-IFERROR(H154,0))/IFERROR(SUMPRODUCT((Besatzung!$B$11:$B$22&lt;&gt;"")*(IF(Besatzung!$C$11:$C$22="",Besatzung!$B$5,Besatzung!$C$11:$C$22)&lt;=B154)*(IF(Besatzung!$D$11:$D$22="",Besatzung!$B$6,Besatzung!$D$11:$D$22)&gt;=B154)),1)+(Besatzung!$F$13="x")*IFERROR(H154,0)/IFERROR(SUMPRODUCT((Besatzung!$B$11:$B$22&lt;&gt;"")*(Besatzung!$F$11:$F$22="x")*(IF(Besatzung!$C$11:$C$22="",Besatzung!$B$5,Besatzung!$C$11:$C$22)&lt;=B154)*(IF(Besatzung!$D$11:$D$22="",Besatzung!$B$6,Besatzung!$D$11:$D$22)&gt;=B154)),1))),IF(I154="Individuell",((K154="x")*((G154-IFERROR(H154,0))/IFERROR(COUNTIF(J154:U154,"x"),1)+(Besatzung!$F$13="x")*IFERROR(H154,0)/IFERROR(SUMPRODUCT((J154:U154="x")*(Besatzung!$F$11:$F$22="x")),1))),(IF(COUNTIF(J154:U154,"x")=0,IF(Besatzung!$B$13&lt;&gt;"",1,0),(K154="x"))*(G154-IFERROR(H154,0))/IFERROR(IF(COUNTIF(J154:U154,"x")=0,COUNTA(Besatzung!$B$11:$B$22),COUNTIF(J154:U154,"x")),1)+IF(COUNTIF(J154:U154,"x")=0,(Besatzung!$F$13="x"),(K154="x")*(Besatzung!$F$13="x"))*IFERROR(H154,0)/IFERROR(IF(COUNTIF(J154:U154,"x")=0,SUMPRODUCT((Besatzung!$B$11:$B$22&lt;&gt;"")*(Besatzung!$F$11:$F$22="x")),SUMPRODUCT((J154:U154="x")*(Besatzung!$F$11:$F$22="x"))),1))))),0))))</f>
        <v/>
      </c>
      <c r="Y154" s="247">
        <f>IF(C154="Gutschrift","",IF(G154="","",IF(Besatzung!$B$14="","",IFERROR(IF(I154="Zeitanteilig",(Besatzung!$G$14*(G154-IFERROR(H154,0))+((Besatzung!$B$14&lt;&gt;"")*IF(B154="",1,(IF(Besatzung!$C$14="",Besatzung!$B$5,Besatzung!$C$14)&lt;=B154)*(IF(Besatzung!$D$14="",Besatzung!$B$6,Besatzung!$D$14)&gt;=B154)))*(Besatzung!$F$14="x")*IFERROR(H154,0)/IFERROR(SUMPRODUCT((Besatzung!$B$11:$B$22&lt;&gt;"")*(Besatzung!$F$11:$F$22="x")*(IF(Besatzung!$C$11:$C$22="",Besatzung!$B$5,Besatzung!$C$11:$C$22)&lt;=B154)*(IF(Besatzung!$D$11:$D$22="",Besatzung!$B$6,Besatzung!$D$11:$D$22)&gt;=B154)),1)),IF(I154="An Bord",(((Besatzung!$B$14&lt;&gt;"")*IF(B154="",1,(IF(Besatzung!$C$14="",Besatzung!$B$5,Besatzung!$C$14)&lt;=B154)*(IF(Besatzung!$D$14="",Besatzung!$B$6,Besatzung!$D$14)&gt;=B154)))*((G154-IFERROR(H154,0))/IFERROR(SUMPRODUCT((Besatzung!$B$11:$B$22&lt;&gt;"")*(IF(Besatzung!$C$11:$C$22="",Besatzung!$B$5,Besatzung!$C$11:$C$22)&lt;=B154)*(IF(Besatzung!$D$11:$D$22="",Besatzung!$B$6,Besatzung!$D$11:$D$22)&gt;=B154)),1)+(Besatzung!$F$14="x")*IFERROR(H154,0)/IFERROR(SUMPRODUCT((Besatzung!$B$11:$B$22&lt;&gt;"")*(Besatzung!$F$11:$F$22="x")*(IF(Besatzung!$C$11:$C$22="",Besatzung!$B$5,Besatzung!$C$11:$C$22)&lt;=B154)*(IF(Besatzung!$D$11:$D$22="",Besatzung!$B$6,Besatzung!$D$11:$D$22)&gt;=B154)),1))),IF(I154="Individuell",((M154="x")*((G154-IFERROR(H154,0))/IFERROR(COUNTIF(J154:U154,"x"),1)+(Besatzung!$F$14="x")*IFERROR(H154,0)/IFERROR(SUMPRODUCT((J154:U154="x")*(Besatzung!$F$11:$F$22="x")),1))),(IF(COUNTIF(J154:U154,"x")=0,IF(Besatzung!$B$14&lt;&gt;"",1,0),(M154="x"))*(G154-IFERROR(H154,0))/IFERROR(IF(COUNTIF(J154:U154,"x")=0,COUNTA(Besatzung!$B$11:$B$22),COUNTIF(J154:U154,"x")),1)+IF(COUNTIF(J154:U154,"x")=0,(Besatzung!$F$14="x"),(M154="x")*(Besatzung!$F$14="x"))*IFERROR(H154,0)/IFERROR(IF(COUNTIF(J154:U154,"x")=0,SUMPRODUCT((Besatzung!$B$11:$B$22&lt;&gt;"")*(Besatzung!$F$11:$F$22="x")),SUMPRODUCT((J154:U154="x")*(Besatzung!$F$11:$F$22="x"))),1))))),0))))</f>
        <v/>
      </c>
      <c r="Z154" s="247">
        <f>IF(C154="Gutschrift","",IF(G154="","",IF(Besatzung!$B$13="","",IFERROR(IF(I154="Zeitanteilig",(Besatzung!$G$15*(G154-IFERROR(H154,0))+((Besatzung!$B$13&lt;&gt;"")*IF(B154="",1,(IF(Besatzung!$C$15="",Besatzung!$B$5,Besatzung!$C$15)&lt;=B154)*(IF(Besatzung!$D$15="",Besatzung!$B$6,Besatzung!$D$15)&gt;=B154)))*(Besatzung!$F$15="x")*IFERROR(H154,0)/IFERROR(SUMPRODUCT((Besatzung!$B$11:$B$22&lt;&gt;"")*(Besatzung!$F$11:$F$22="x")*(IF(Besatzung!$C$11:$C$22="",Besatzung!$B$5,Besatzung!$C$11:$C$22)&lt;=B154)*(IF(Besatzung!$D$11:$D$22="",Besatzung!$B$6,Besatzung!$D$11:$D$22)&gt;=B154)),1)),IF(I154="An Bord",(((Besatzung!$B$13&lt;&gt;"")*IF(B154="",1,(IF(Besatzung!$C$15="",Besatzung!$B$5,Besatzung!$C$15)&lt;=B154)*(IF(Besatzung!$D$15="",Besatzung!$B$6,Besatzung!$D$15)&gt;=B154)))*((G154-IFERROR(H154,0))/IFERROR(SUMPRODUCT((Besatzung!$B$11:$B$22&lt;&gt;"")*(IF(Besatzung!$C$11:$C$22="",Besatzung!$B$5,Besatzung!$C$11:$C$22)&lt;=B154)*(IF(Besatzung!$D$11:$D$22="",Besatzung!$B$6,Besatzung!$D$11:$D$22)&gt;=B154)),1)+(Besatzung!$F$15="x")*IFERROR(H154,0)/IFERROR(SUMPRODUCT((Besatzung!$B$11:$B$22&lt;&gt;"")*(Besatzung!$F$11:$F$22="x")*(IF(Besatzung!$C$11:$C$22="",Besatzung!$B$5,Besatzung!$C$11:$C$22)&lt;=B154)*(IF(Besatzung!$D$11:$D$22="",Besatzung!$B$6,Besatzung!$D$11:$D$22)&gt;=B154)),1))),IF(I154="Individuell",((N154="x")*((G154-IFERROR(H154,0))/IFERROR(COUNTIF(J154:U154,"x"),1)+(Besatzung!$F$15="x")*IFERROR(H154,0)/IFERROR(SUMPRODUCT((J154:U154="x")*(Besatzung!$F$11:$F$22="x")),1))),(IF(COUNTIF(J154:U154,"x")=0,IF(Besatzung!$B$13&lt;&gt;"",1,0),(N154="x"))*(G154-IFERROR(H154,0))/IFERROR(IF(COUNTIF(J154:U154,"x")=0,COUNTA(Besatzung!$B$11:$B$22),COUNTIF(J154:U154,"x")),1)+IF(COUNTIF(J154:U154,"x")=0,(Besatzung!$F$15="x"),(N154="x")*(Besatzung!$F$15="x"))*IFERROR(H154,0)/IFERROR(IF(COUNTIF(J154:U154,"x")=0,SUMPRODUCT((Besatzung!$B$11:$B$22&lt;&gt;"")*(Besatzung!$F$11:$F$22="x")),SUMPRODUCT((J154:U154="x")*(Besatzung!$F$11:$F$22="x"))),1))))),0))))</f>
        <v/>
      </c>
      <c r="AA154" s="247">
        <f>IF(C154="Gutschrift","",IF(G154="","",IF(Besatzung!$B$15="","",IFERROR(IF(I154="Zeitanteilig",(Besatzung!$G$16*(G154-IFERROR(H154,0))+((Besatzung!$B$15&lt;&gt;"")*IF(B154="",1,(IF(Besatzung!$C$16="",Besatzung!$B$5,Besatzung!$C$16)&lt;=B154)*(IF(Besatzung!$D$16="",Besatzung!$B$6,Besatzung!$D$16)&gt;=B154)))*(Besatzung!$F$16="x")*IFERROR(H154,0)/IFERROR(SUMPRODUCT((Besatzung!$B$11:$B$22&lt;&gt;"")*(Besatzung!$F$11:$F$22="x")*(IF(Besatzung!$C$11:$C$22="",Besatzung!$B$5,Besatzung!$C$11:$C$22)&lt;=B154)*(IF(Besatzung!$D$11:$D$22="",Besatzung!$B$6,Besatzung!$D$11:$D$22)&gt;=B154)),1)),IF(I154="An Bord",(((Besatzung!$B$15&lt;&gt;"")*IF(B154="",1,(IF(Besatzung!$C$16="",Besatzung!$B$5,Besatzung!$C$16)&lt;=B154)*(IF(Besatzung!$D$16="",Besatzung!$B$6,Besatzung!$D$16)&gt;=B154)))*((G154-IFERROR(H154,0))/IFERROR(SUMPRODUCT((Besatzung!$B$11:$B$22&lt;&gt;"")*(IF(Besatzung!$C$11:$C$22="",Besatzung!$B$5,Besatzung!$C$11:$C$22)&lt;=B154)*(IF(Besatzung!$D$11:$D$22="",Besatzung!$B$6,Besatzung!$D$11:$D$22)&gt;=B154)),1)+(Besatzung!$F$16="x")*IFERROR(H154,0)/IFERROR(SUMPRODUCT((Besatzung!$B$11:$B$22&lt;&gt;"")*(Besatzung!$F$11:$F$22="x")*(IF(Besatzung!$C$11:$C$22="",Besatzung!$B$5,Besatzung!$C$11:$C$22)&lt;=B154)*(IF(Besatzung!$D$11:$D$22="",Besatzung!$B$6,Besatzung!$D$11:$D$22)&gt;=B154)),1))),IF(I154="Individuell",((O154="x")*((G154-IFERROR(H154,0))/IFERROR(COUNTIF(J154:U154,"x"),1)+(Besatzung!$F$16="x")*IFERROR(H154,0)/IFERROR(SUMPRODUCT((J154:U154="x")*(Besatzung!$F$11:$F$22="x")),1))),(IF(COUNTIF(J154:U154,"x")=0,IF(Besatzung!$B$15&lt;&gt;"",1,0),(O154="x"))*(G154-IFERROR(H154,0))/IFERROR(IF(COUNTIF(J154:U154,"x")=0,COUNTA(Besatzung!$B$11:$B$22),COUNTIF(J154:U154,"x")),1)+IF(COUNTIF(J154:U154,"x")=0,(Besatzung!$F$16="x"),(O154="x")*(Besatzung!$F$16="x"))*IFERROR(H154,0)/IFERROR(IF(COUNTIF(J154:U154,"x")=0,SUMPRODUCT((Besatzung!$B$11:$B$22&lt;&gt;"")*(Besatzung!$F$11:$F$22="x")),SUMPRODUCT((J154:U154="x")*(Besatzung!$F$11:$F$22="x"))),1))))),0))))</f>
        <v/>
      </c>
      <c r="AB154" s="247">
        <f>IF(C154="Gutschrift","",IF(G154="","",IF(Besatzung!$B$17="","",IFERROR(IF(I154="Zeitanteilig",(Besatzung!$G$17*(G154-IFERROR(H154,0))+((Besatzung!$B$17&lt;&gt;"")*IF(B154="",1,(IF(Besatzung!$C$17="",Besatzung!$B$5,Besatzung!$C$17)&lt;=B154)*(IF(Besatzung!$D$17="",Besatzung!$B$6,Besatzung!$D$17)&gt;=B154)))*(Besatzung!$F$17="x")*IFERROR(H154,0)/IFERROR(SUMPRODUCT((Besatzung!$B$11:$B$22&lt;&gt;"")*(Besatzung!$F$11:$F$22="x")*(IF(Besatzung!$C$11:$C$22="",Besatzung!$B$5,Besatzung!$C$11:$C$22)&lt;=B154)*(IF(Besatzung!$D$11:$D$22="",Besatzung!$B$6,Besatzung!$D$11:$D$22)&gt;=B154)),1)),IF(I154="An Bord",(((Besatzung!$B$17&lt;&gt;"")*IF(B154="",1,(IF(Besatzung!$C$17="",Besatzung!$B$5,Besatzung!$C$17)&lt;=B154)*(IF(Besatzung!$D$17="",Besatzung!$B$6,Besatzung!$D$17)&gt;=B154)))*((G154-IFERROR(H154,0))/IFERROR(SUMPRODUCT((Besatzung!$B$11:$B$22&lt;&gt;"")*(IF(Besatzung!$C$11:$C$22="",Besatzung!$B$5,Besatzung!$C$11:$C$22)&lt;=B154)*(IF(Besatzung!$D$11:$D$22="",Besatzung!$B$6,Besatzung!$D$11:$D$22)&gt;=B154)),1)+(Besatzung!$F$17="x")*IFERROR(H154,0)/IFERROR(SUMPRODUCT((Besatzung!$B$11:$B$22&lt;&gt;"")*(Besatzung!$F$11:$F$22="x")*(IF(Besatzung!$C$11:$C$22="",Besatzung!$B$5,Besatzung!$C$11:$C$22)&lt;=B154)*(IF(Besatzung!$D$11:$D$22="",Besatzung!$B$6,Besatzung!$D$11:$D$22)&gt;=B154)),1))),IF(I154="Individuell",((P154="x")*((G154-IFERROR(H154,0))/IFERROR(COUNTIF(J154:U154,"x"),1)+(Besatzung!$F$17="x")*IFERROR(H154,0)/IFERROR(SUMPRODUCT((J154:U154="x")*(Besatzung!$F$11:$F$22="x")),1))),(IF(COUNTIF(J154:U154,"x")=0,IF(Besatzung!$B$17&lt;&gt;"",1,0),(P154="x"))*(G154-IFERROR(H154,0))/IFERROR(IF(COUNTIF(J154:U154,"x")=0,COUNTA(Besatzung!$B$11:$B$22),COUNTIF(J154:U154,"x")),1)+IF(COUNTIF(J154:U154,"x")=0,(Besatzung!$F$17="x"),(P154="x")*(Besatzung!$F$17="x"))*IFERROR(H154,0)/IFERROR(IF(COUNTIF(J154:U154,"x")=0,SUMPRODUCT((Besatzung!$B$11:$B$22&lt;&gt;"")*(Besatzung!$F$11:$F$22="x")),SUMPRODUCT((J154:U154="x")*(Besatzung!$F$11:$F$22="x"))),1))))),0))))</f>
        <v/>
      </c>
      <c r="AC154" s="247">
        <f>IF(C154="Gutschrift","",IF(G154="","",IF(Besatzung!$B$18="","",IFERROR(IF(I154="Zeitanteilig",(Besatzung!$G$18*(G154-IFERROR(H154,0))+((Besatzung!$B$18&lt;&gt;"")*IF(B154="",1,(IF(Besatzung!$C$18="",Besatzung!$B$5,Besatzung!$C$18)&lt;=B154)*(IF(Besatzung!$D$18="",Besatzung!$B$6,Besatzung!$D$18)&gt;=B154)))*(Besatzung!$F$18="x")*IFERROR(H154,0)/IFERROR(SUMPRODUCT((Besatzung!$B$11:$B$22&lt;&gt;"")*(Besatzung!$F$11:$F$22="x")*(IF(Besatzung!$C$11:$C$22="",Besatzung!$B$5,Besatzung!$C$11:$C$22)&lt;=B154)*(IF(Besatzung!$D$11:$D$22="",Besatzung!$B$6,Besatzung!$D$11:$D$22)&gt;=B154)),1)),IF(I154="An Bord",(((Besatzung!$B$18&lt;&gt;"")*IF(B154="",1,(IF(Besatzung!$C$18="",Besatzung!$B$5,Besatzung!$C$18)&lt;=B154)*(IF(Besatzung!$D$18="",Besatzung!$B$6,Besatzung!$D$18)&gt;=B154)))*((G154-IFERROR(H154,0))/IFERROR(SUMPRODUCT((Besatzung!$B$11:$B$22&lt;&gt;"")*(IF(Besatzung!$C$11:$C$22="",Besatzung!$B$5,Besatzung!$C$11:$C$22)&lt;=B154)*(IF(Besatzung!$D$11:$D$22="",Besatzung!$B$6,Besatzung!$D$11:$D$22)&gt;=B154)),1)+(Besatzung!$F$18="x")*IFERROR(H154,0)/IFERROR(SUMPRODUCT((Besatzung!$B$11:$B$22&lt;&gt;"")*(Besatzung!$F$11:$F$22="x")*(IF(Besatzung!$C$11:$C$22="",Besatzung!$B$5,Besatzung!$C$11:$C$22)&lt;=B154)*(IF(Besatzung!$D$11:$D$22="",Besatzung!$B$6,Besatzung!$D$11:$D$22)&gt;=B154)),1))),IF(I154="Individuell",((Q154="x")*((G154-IFERROR(H154,0))/IFERROR(COUNTIF(J154:U154,"x"),1)+(Besatzung!$F$18="x")*IFERROR(H154,0)/IFERROR(SUMPRODUCT((J154:U154="x")*(Besatzung!$F$11:$F$22="x")),1))),(IF(COUNTIF(J154:U154,"x")=0,IF(Besatzung!$B$18&lt;&gt;"",1,0),(Q154="x"))*(G154-IFERROR(H154,0))/IFERROR(IF(COUNTIF(J154:U154,"x")=0,COUNTA(Besatzung!$B$11:$B$22),COUNTIF(J154:U154,"x")),1)+IF(COUNTIF(J154:U154,"x")=0,(Besatzung!$F$18="x"),(Q154="x")*(Besatzung!$F$18="x"))*IFERROR(H154,0)/IFERROR(IF(COUNTIF(J154:U154,"x")=0,SUMPRODUCT((Besatzung!$B$11:$B$22&lt;&gt;"")*(Besatzung!$F$11:$F$22="x")),SUMPRODUCT((J154:U154="x")*(Besatzung!$F$11:$F$22="x"))),1))))),0))))</f>
        <v/>
      </c>
      <c r="AD154" s="247">
        <f>IF(C154="Gutschrift","",IF(G154="","",IF(Besatzung!$B$19="","",IFERROR(IF(I154="Zeitanteilig",(Besatzung!$G$19*(G154-IFERROR(H154,0))+((Besatzung!$B$19&lt;&gt;"")*IF(B154="",1,(IF(Besatzung!$C$19="",Besatzung!$B$5,Besatzung!$C$19)&lt;=B154)*(IF(Besatzung!$D$19="",Besatzung!$B$6,Besatzung!$D$19)&gt;=B154)))*(Besatzung!$F$19="x")*IFERROR(H154,0)/IFERROR(SUMPRODUCT((Besatzung!$B$11:$B$22&lt;&gt;"")*(Besatzung!$F$11:$F$22="x")*(IF(Besatzung!$C$11:$C$22="",Besatzung!$B$5,Besatzung!$C$11:$C$22)&lt;=B154)*(IF(Besatzung!$D$11:$D$22="",Besatzung!$B$6,Besatzung!$D$11:$D$22)&gt;=B154)),1)),IF(I154="An Bord",(((Besatzung!$B$19&lt;&gt;"")*IF(B154="",1,(IF(Besatzung!$C$19="",Besatzung!$B$5,Besatzung!$C$19)&lt;=B154)*(IF(Besatzung!$D$19="",Besatzung!$B$6,Besatzung!$D$19)&gt;=B154)))*((G154-IFERROR(H154,0))/IFERROR(SUMPRODUCT((Besatzung!$B$11:$B$22&lt;&gt;"")*(IF(Besatzung!$C$11:$C$22="",Besatzung!$B$5,Besatzung!$C$11:$C$22)&lt;=B154)*(IF(Besatzung!$D$11:$D$22="",Besatzung!$B$6,Besatzung!$D$11:$D$22)&gt;=B154)),1)+(Besatzung!$F$19="x")*IFERROR(H154,0)/IFERROR(SUMPRODUCT((Besatzung!$B$11:$B$22&lt;&gt;"")*(Besatzung!$F$11:$F$22="x")*(IF(Besatzung!$C$11:$C$22="",Besatzung!$B$5,Besatzung!$C$11:$C$22)&lt;=B154)*(IF(Besatzung!$D$11:$D$22="",Besatzung!$B$6,Besatzung!$D$11:$D$22)&gt;=B154)),1))),IF(I154="Individuell",((R154="x")*((G154-IFERROR(H154,0))/IFERROR(COUNTIF(J154:U154,"x"),1)+(Besatzung!$F$19="x")*IFERROR(H154,0)/IFERROR(SUMPRODUCT((J154:U154="x")*(Besatzung!$F$11:$F$22="x")),1))),(IF(COUNTIF(J154:U154,"x")=0,IF(Besatzung!$B$19&lt;&gt;"",1,0),(R154="x"))*(G154-IFERROR(H154,0))/IFERROR(IF(COUNTIF(J154:U154,"x")=0,COUNTA(Besatzung!$B$11:$B$22),COUNTIF(J154:U154,"x")),1)+IF(COUNTIF(J154:U154,"x")=0,(Besatzung!$F$19="x"),(R154="x")*(Besatzung!$F$19="x"))*IFERROR(H154,0)/IFERROR(IF(COUNTIF(J154:U154,"x")=0,SUMPRODUCT((Besatzung!$B$11:$B$22&lt;&gt;"")*(Besatzung!$F$11:$F$22="x")),SUMPRODUCT((J154:U154="x")*(Besatzung!$F$11:$F$22="x"))),1))))),0))))</f>
        <v/>
      </c>
      <c r="AE154" s="247">
        <f>IF(C154="Gutschrift","",IF(G154="","",IF(Besatzung!$B$20="","",IFERROR(IF(I154="Zeitanteilig",(Besatzung!$G$20*(G154-IFERROR(H154,0))+((Besatzung!$B$20&lt;&gt;"")*IF(B154="",1,(IF(Besatzung!$C$20="",Besatzung!$B$5,Besatzung!$C$20)&lt;=B154)*(IF(Besatzung!$D$20="",Besatzung!$B$6,Besatzung!$D$20)&gt;=B154)))*(Besatzung!$F$20="x")*IFERROR(H154,0)/IFERROR(SUMPRODUCT((Besatzung!$B$11:$B$22&lt;&gt;"")*(Besatzung!$F$11:$F$22="x")*(IF(Besatzung!$C$11:$C$22="",Besatzung!$B$5,Besatzung!$C$11:$C$22)&lt;=B154)*(IF(Besatzung!$D$11:$D$22="",Besatzung!$B$6,Besatzung!$D$11:$D$22)&gt;=B154)),1)),IF(I154="An Bord",(((Besatzung!$B$20&lt;&gt;"")*IF(B154="",1,(IF(Besatzung!$C$20="",Besatzung!$B$5,Besatzung!$C$20)&lt;=B154)*(IF(Besatzung!$D$20="",Besatzung!$B$6,Besatzung!$D$20)&gt;=B154)))*((G154-IFERROR(H154,0))/IFERROR(SUMPRODUCT((Besatzung!$B$11:$B$22&lt;&gt;"")*(IF(Besatzung!$C$11:$C$22="",Besatzung!$B$5,Besatzung!$C$11:$C$22)&lt;=B154)*(IF(Besatzung!$D$11:$D$22="",Besatzung!$B$6,Besatzung!$D$11:$D$22)&gt;=B154)),1)+(Besatzung!$F$20="x")*IFERROR(H154,0)/IFERROR(SUMPRODUCT((Besatzung!$B$11:$B$22&lt;&gt;"")*(Besatzung!$F$11:$F$22="x")*(IF(Besatzung!$C$11:$C$22="",Besatzung!$B$5,Besatzung!$C$11:$C$22)&lt;=B154)*(IF(Besatzung!$D$11:$D$22="",Besatzung!$B$6,Besatzung!$D$11:$D$22)&gt;=B154)),1))),IF(I154="Individuell",((S154="x")*((G154-IFERROR(H154,0))/IFERROR(COUNTIF(J154:U154,"x"),1)+(Besatzung!$F$20="x")*IFERROR(H154,0)/IFERROR(SUMPRODUCT((J154:U154="x")*(Besatzung!$F$11:$F$22="x")),1))),(IF(COUNTIF(J154:U154,"x")=0,IF(Besatzung!$B$20&lt;&gt;"",1,0),(S154="x"))*(G154-IFERROR(H154,0))/IFERROR(IF(COUNTIF(J154:U154,"x")=0,COUNTA(Besatzung!$B$11:$B$22),COUNTIF(J154:U154,"x")),1)+IF(COUNTIF(J154:U154,"x")=0,(Besatzung!$F$20="x"),(S154="x")*(Besatzung!$F$20="x"))*IFERROR(H154,0)/IFERROR(IF(COUNTIF(J154:U154,"x")=0,SUMPRODUCT((Besatzung!$B$11:$B$22&lt;&gt;"")*(Besatzung!$F$11:$F$22="x")),SUMPRODUCT((J154:U154="x")*(Besatzung!$F$11:$F$22="x"))),1))))),0))))</f>
        <v/>
      </c>
      <c r="AF154" s="247">
        <f>IF(C154="Gutschrift","",IF(G154="","",IF(Besatzung!$B$21="","",IFERROR(IF(I154="Zeitanteilig",(Besatzung!$G$21*(G154-IFERROR(H154,0))+((Besatzung!$B$21&lt;&gt;"")*IF(B154="",1,(IF(Besatzung!$C$21="",Besatzung!$B$5,Besatzung!$C$21)&lt;=B154)*(IF(Besatzung!$D$21="",Besatzung!$B$6,Besatzung!$D$21)&gt;=B154)))*(Besatzung!$F$21="x")*IFERROR(H154,0)/IFERROR(SUMPRODUCT((Besatzung!$B$11:$B$22&lt;&gt;"")*(Besatzung!$F$11:$F$22="x")*(IF(Besatzung!$C$11:$C$22="",Besatzung!$B$5,Besatzung!$C$11:$C$22)&lt;=B154)*(IF(Besatzung!$D$11:$D$22="",Besatzung!$B$6,Besatzung!$D$11:$D$22)&gt;=B154)),1)),IF(I154="An Bord",(((Besatzung!$B$21&lt;&gt;"")*IF(B154="",1,(IF(Besatzung!$C$21="",Besatzung!$B$5,Besatzung!$C$21)&lt;=B154)*(IF(Besatzung!$D$21="",Besatzung!$B$6,Besatzung!$D$21)&gt;=B154)))*((G154-IFERROR(H154,0))/IFERROR(SUMPRODUCT((Besatzung!$B$11:$B$22&lt;&gt;"")*(IF(Besatzung!$C$11:$C$22="",Besatzung!$B$5,Besatzung!$C$11:$C$22)&lt;=B154)*(IF(Besatzung!$D$11:$D$22="",Besatzung!$B$6,Besatzung!$D$11:$D$22)&gt;=B154)),1)+(Besatzung!$F$21="x")*IFERROR(H154,0)/IFERROR(SUMPRODUCT((Besatzung!$B$11:$B$22&lt;&gt;"")*(Besatzung!$F$11:$F$22="x")*(IF(Besatzung!$C$11:$C$22="",Besatzung!$B$5,Besatzung!$C$11:$C$22)&lt;=B154)*(IF(Besatzung!$D$11:$D$22="",Besatzung!$B$6,Besatzung!$D$11:$D$22)&gt;=B154)),1))),IF(I154="Individuell",((T154="x")*((G154-IFERROR(H154,0))/IFERROR(COUNTIF(J154:U154,"x"),1)+(Besatzung!$F$21="x")*IFERROR(H154,0)/IFERROR(SUMPRODUCT((J154:U154="x")*(Besatzung!$F$11:$F$22="x")),1))),(IF(COUNTIF(J154:U154,"x")=0,IF(Besatzung!$B$21&lt;&gt;"",1,0),(T154="x"))*(G154-IFERROR(H154,0))/IFERROR(IF(COUNTIF(J154:U154,"x")=0,COUNTA(Besatzung!$B$11:$B$22),COUNTIF(J154:U154,"x")),1)+IF(COUNTIF(J154:U154,"x")=0,(Besatzung!$F$21="x"),(T154="x")*(Besatzung!$F$21="x"))*IFERROR(H154,0)/IFERROR(IF(COUNTIF(J154:U154,"x")=0,SUMPRODUCT((Besatzung!$B$11:$B$22&lt;&gt;"")*(Besatzung!$F$11:$F$22="x")),SUMPRODUCT((J154:U154="x")*(Besatzung!$F$11:$F$22="x"))),1))))),0))))</f>
        <v/>
      </c>
      <c r="AG154" s="247">
        <f>IF(C154="Gutschrift","",IF(G154="","",IF(Besatzung!$B$22="","",IFERROR(IF(I154="Zeitanteilig",(Besatzung!$G$22*(G154-IFERROR(H154,0))+((Besatzung!$B$22&lt;&gt;"")*IF(B154="",1,(IF(Besatzung!$C$22="",Besatzung!$B$5,Besatzung!$C$22)&lt;=B154)*(IF(Besatzung!$D$22="",Besatzung!$B$6,Besatzung!$D$22)&gt;=B154)))*(Besatzung!$F$22="x")*IFERROR(H154,0)/IFERROR(SUMPRODUCT((Besatzung!$B$11:$B$22&lt;&gt;"")*(Besatzung!$F$11:$F$22="x")*(IF(Besatzung!$C$11:$C$22="",Besatzung!$B$5,Besatzung!$C$11:$C$22)&lt;=B154)*(IF(Besatzung!$D$11:$D$22="",Besatzung!$B$6,Besatzung!$D$11:$D$22)&gt;=B154)),1)),IF(I154="An Bord",(((Besatzung!$B$22&lt;&gt;"")*IF(B154="",1,(IF(Besatzung!$C$22="",Besatzung!$B$5,Besatzung!$C$22)&lt;=B154)*(IF(Besatzung!$D$22="",Besatzung!$B$6,Besatzung!$D$22)&gt;=B154)))*((G154-IFERROR(H154,0))/IFERROR(SUMPRODUCT((Besatzung!$B$11:$B$22&lt;&gt;"")*(IF(Besatzung!$C$11:$C$22="",Besatzung!$B$5,Besatzung!$C$11:$C$22)&lt;=B154)*(IF(Besatzung!$D$11:$D$22="",Besatzung!$B$6,Besatzung!$D$11:$D$22)&gt;=B154)),1)+(Besatzung!$F$22="x")*IFERROR(H154,0)/IFERROR(SUMPRODUCT((Besatzung!$B$11:$B$22&lt;&gt;"")*(Besatzung!$F$11:$F$22="x")*(IF(Besatzung!$C$11:$C$22="",Besatzung!$B$5,Besatzung!$C$11:$C$22)&lt;=B154)*(IF(Besatzung!$D$11:$D$22="",Besatzung!$B$6,Besatzung!$D$11:$D$22)&gt;=B154)),1))),IF(I154="Individuell",((U154="x")*((G154-IFERROR(H154,0))/IFERROR(COUNTIF(J154:U154,"x"),1)+(Besatzung!$F$22="x")*IFERROR(H154,0)/IFERROR(SUMPRODUCT((J154:U154="x")*(Besatzung!$F$11:$F$22="x")),1))),(IF(COUNTIF(J154:U154,"x")=0,IF(Besatzung!$B$22&lt;&gt;"",1,0),(U154="x"))*(G154-IFERROR(H154,0))/IFERROR(IF(COUNTIF(J154:U154,"x")=0,COUNTA(Besatzung!$B$11:$B$22),COUNTIF(J154:U154,"x")),1)+IF(COUNTIF(J154:U154,"x")=0,(Besatzung!$F$22="x"),(U154="x")*(Besatzung!$F$22="x"))*IFERROR(H154,0)/IFERROR(IF(COUNTIF(J154:U154,"x")=0,SUMPRODUCT((Besatzung!$B$11:$B$22&lt;&gt;"")*(Besatzung!$F$11:$F$22="x")),SUMPRODUCT((J154:U154="x")*(Besatzung!$F$11:$F$22="x"))),1))))),0))))</f>
        <v/>
      </c>
      <c r="AH154" s="248" t="n"/>
      <c r="AI154" s="248" t="n"/>
    </row>
    <row r="155" ht="21.75" customHeight="1" s="154">
      <c r="A155" s="238">
        <f>IF(AND(D155="",C155=""),"",152)</f>
        <v/>
      </c>
      <c r="B155" s="206" t="n"/>
      <c r="C155" s="249" t="n"/>
      <c r="D155" s="250" t="n"/>
      <c r="E155" s="251" t="n"/>
      <c r="F155" s="252" t="n"/>
      <c r="G155" s="253" t="n"/>
      <c r="H155" s="254" t="n"/>
      <c r="I155" s="255" t="n"/>
      <c r="J155" s="256" t="n"/>
      <c r="K155" s="256" t="n"/>
      <c r="L155" s="256" t="n"/>
      <c r="M155" s="256" t="n"/>
      <c r="N155" s="256" t="n"/>
      <c r="O155" s="256" t="n"/>
      <c r="P155" s="256" t="n"/>
      <c r="Q155" s="256" t="n"/>
      <c r="R155" s="256" t="n"/>
      <c r="S155" s="256" t="n"/>
      <c r="T155" s="256" t="n"/>
      <c r="U155" s="256" t="n"/>
      <c r="V155" s="247">
        <f>IF(C155="Gutschrift","",IF(G155="","",IF(Besatzung!$B$11="","",IFERROR(IF(I155="Zeitanteilig",(Besatzung!$G$11*(G155-IFERROR(H155,0))+((Besatzung!$B$11&lt;&gt;"")*IF(B155="",1,(IF(Besatzung!$C$11="",Besatzung!$B$5,Besatzung!$C$11)&lt;=B155)*(IF(Besatzung!$D$11="",Besatzung!$B$6,Besatzung!$D$11)&gt;=B155)))*(Besatzung!$F$11="x")*IFERROR(H155,0)/IFERROR(SUMPRODUCT((Besatzung!$B$11:$B$22&lt;&gt;"")*(Besatzung!$F$11:$F$22="x")*(IF(Besatzung!$C$11:$C$22="",Besatzung!$B$5,Besatzung!$C$11:$C$22)&lt;=B155)*(IF(Besatzung!$D$11:$D$22="",Besatzung!$B$6,Besatzung!$D$11:$D$22)&gt;=B155)),1)),IF(I155="An Bord",(((Besatzung!$B$11&lt;&gt;"")*IF(B155="",1,(IF(Besatzung!$C$11="",Besatzung!$B$5,Besatzung!$C$11)&lt;=B155)*(IF(Besatzung!$D$11="",Besatzung!$B$6,Besatzung!$D$11)&gt;=B155)))*((G155-IFERROR(H155,0))/IFERROR(SUMPRODUCT((Besatzung!$B$11:$B$22&lt;&gt;"")*(IF(Besatzung!$C$11:$C$22="",Besatzung!$B$5,Besatzung!$C$11:$C$22)&lt;=B155)*(IF(Besatzung!$D$11:$D$22="",Besatzung!$B$6,Besatzung!$D$11:$D$22)&gt;=B155)),1)+(Besatzung!$F$11="x")*IFERROR(H155,0)/IFERROR(SUMPRODUCT((Besatzung!$B$11:$B$22&lt;&gt;"")*(Besatzung!$F$11:$F$22="x")*(IF(Besatzung!$C$11:$C$22="",Besatzung!$B$5,Besatzung!$C$11:$C$22)&lt;=B155)*(IF(Besatzung!$D$11:$D$22="",Besatzung!$B$6,Besatzung!$D$11:$D$22)&gt;=B155)),1))),IF(I155="Individuell",((J155="x")*((G155-IFERROR(H155,0))/IFERROR(COUNTIF(J155:U155,"x"),1)+(Besatzung!$F$11="x")*IFERROR(H155,0)/IFERROR(SUMPRODUCT((J155:U155="x")*(Besatzung!$F$11:$F$22="x")),1))),(IF(COUNTIF(J155:U155,"x")=0,IF(Besatzung!$B$11&lt;&gt;"",1,0),(J155="x"))*(G155-IFERROR(H155,0))/IFERROR(IF(COUNTIF(J155:U155,"x")=0,COUNTA(Besatzung!$B$11:$B$22),COUNTIF(J155:U155,"x")),1)+IF(COUNTIF(J155:U155,"x")=0,(Besatzung!$F$11="x"),(J155="x")*(Besatzung!$F$11="x"))*IFERROR(H155,0)/IFERROR(IF(COUNTIF(J155:U155,"x")=0,SUMPRODUCT((Besatzung!$B$11:$B$22&lt;&gt;"")*(Besatzung!$F$11:$F$22="x")),SUMPRODUCT((J155:U155="x")*(Besatzung!$F$11:$F$22="x"))),1))))),0))))</f>
        <v/>
      </c>
      <c r="W155" s="247">
        <f>IF(C155="Gutschrift","",IF(G155="","",IF(Besatzung!$B$12="","",IFERROR(IF(I155="Zeitanteilig",(Besatzung!$G$12*(G155-IFERROR(H155,0))+((Besatzung!$B$12&lt;&gt;"")*IF(B155="",1,(IF(Besatzung!$C$12="",Besatzung!$B$5,Besatzung!$C$12)&lt;=B155)*(IF(Besatzung!$D$12="",Besatzung!$B$6,Besatzung!$D$12)&gt;=B155)))*(Besatzung!$F$12="x")*IFERROR(H155,0)/IFERROR(SUMPRODUCT((Besatzung!$B$11:$B$22&lt;&gt;"")*(Besatzung!$F$11:$F$22="x")*(IF(Besatzung!$C$11:$C$22="",Besatzung!$B$5,Besatzung!$C$11:$C$22)&lt;=B155)*(IF(Besatzung!$D$11:$D$22="",Besatzung!$B$6,Besatzung!$D$11:$D$22)&gt;=B155)),1)),IF(I155="An Bord",(((Besatzung!$B$12&lt;&gt;"")*IF(B155="",1,(IF(Besatzung!$C$12="",Besatzung!$B$5,Besatzung!$C$12)&lt;=B155)*(IF(Besatzung!$D$12="",Besatzung!$B$6,Besatzung!$D$12)&gt;=B155)))*((G155-IFERROR(H155,0))/IFERROR(SUMPRODUCT((Besatzung!$B$11:$B$22&lt;&gt;"")*(IF(Besatzung!$C$11:$C$22="",Besatzung!$B$5,Besatzung!$C$11:$C$22)&lt;=B155)*(IF(Besatzung!$D$11:$D$22="",Besatzung!$B$6,Besatzung!$D$11:$D$22)&gt;=B155)),1)+(Besatzung!$F$12="x")*IFERROR(H155,0)/IFERROR(SUMPRODUCT((Besatzung!$B$11:$B$22&lt;&gt;"")*(Besatzung!$F$11:$F$22="x")*(IF(Besatzung!$C$11:$C$22="",Besatzung!$B$5,Besatzung!$C$11:$C$22)&lt;=B155)*(IF(Besatzung!$D$11:$D$22="",Besatzung!$B$6,Besatzung!$D$11:$D$22)&gt;=B155)),1))),IF(I155="Individuell",((K155="x")*((G155-IFERROR(H155,0))/IFERROR(COUNTIF(J155:U155,"x"),1)+(Besatzung!$F$12="x")*IFERROR(H155,0)/IFERROR(SUMPRODUCT((J155:U155="x")*(Besatzung!$F$11:$F$22="x")),1))),(IF(COUNTIF(J155:U155,"x")=0,IF(Besatzung!$B$12&lt;&gt;"",1,0),(K155="x"))*(G155-IFERROR(H155,0))/IFERROR(IF(COUNTIF(J155:U155,"x")=0,COUNTA(Besatzung!$B$11:$B$22),COUNTIF(J155:U155,"x")),1)+IF(COUNTIF(J155:U155,"x")=0,(Besatzung!$F$12="x"),(K155="x")*(Besatzung!$F$12="x"))*IFERROR(H155,0)/IFERROR(IF(COUNTIF(J155:U155,"x")=0,SUMPRODUCT((Besatzung!$B$11:$B$22&lt;&gt;"")*(Besatzung!$F$11:$F$22="x")),SUMPRODUCT((J155:U155="x")*(Besatzung!$F$11:$F$22="x"))),1))))),0))))</f>
        <v/>
      </c>
      <c r="X155" s="247">
        <f>IF(C155="Gutschrift","",IF(G155="","",IF(Besatzung!$B$13="","",IFERROR(IF(I155="Zeitanteilig",(Besatzung!$G$13*(G155-IFERROR(H155,0))+((Besatzung!$B$13&lt;&gt;"")*IF(B155="",1,(IF(Besatzung!$C$13="",Besatzung!$B$5,Besatzung!$C$13)&lt;=B155)*(IF(Besatzung!$D$13="",Besatzung!$B$6,Besatzung!$D$13)&gt;=B155)))*(Besatzung!$F$13="x")*IFERROR(H155,0)/IFERROR(SUMPRODUCT((Besatzung!$B$11:$B$22&lt;&gt;"")*(Besatzung!$F$11:$F$22="x")*(IF(Besatzung!$C$11:$C$22="",Besatzung!$B$5,Besatzung!$C$11:$C$22)&lt;=B155)*(IF(Besatzung!$D$11:$D$22="",Besatzung!$B$6,Besatzung!$D$11:$D$22)&gt;=B155)),1)),IF(I155="An Bord",(((Besatzung!$B$13&lt;&gt;"")*IF(B155="",1,(IF(Besatzung!$C$13="",Besatzung!$B$5,Besatzung!$C$13)&lt;=B155)*(IF(Besatzung!$D$13="",Besatzung!$B$6,Besatzung!$D$13)&gt;=B155)))*((G155-IFERROR(H155,0))/IFERROR(SUMPRODUCT((Besatzung!$B$11:$B$22&lt;&gt;"")*(IF(Besatzung!$C$11:$C$22="",Besatzung!$B$5,Besatzung!$C$11:$C$22)&lt;=B155)*(IF(Besatzung!$D$11:$D$22="",Besatzung!$B$6,Besatzung!$D$11:$D$22)&gt;=B155)),1)+(Besatzung!$F$13="x")*IFERROR(H155,0)/IFERROR(SUMPRODUCT((Besatzung!$B$11:$B$22&lt;&gt;"")*(Besatzung!$F$11:$F$22="x")*(IF(Besatzung!$C$11:$C$22="",Besatzung!$B$5,Besatzung!$C$11:$C$22)&lt;=B155)*(IF(Besatzung!$D$11:$D$22="",Besatzung!$B$6,Besatzung!$D$11:$D$22)&gt;=B155)),1))),IF(I155="Individuell",((K155="x")*((G155-IFERROR(H155,0))/IFERROR(COUNTIF(J155:U155,"x"),1)+(Besatzung!$F$13="x")*IFERROR(H155,0)/IFERROR(SUMPRODUCT((J155:U155="x")*(Besatzung!$F$11:$F$22="x")),1))),(IF(COUNTIF(J155:U155,"x")=0,IF(Besatzung!$B$13&lt;&gt;"",1,0),(K155="x"))*(G155-IFERROR(H155,0))/IFERROR(IF(COUNTIF(J155:U155,"x")=0,COUNTA(Besatzung!$B$11:$B$22),COUNTIF(J155:U155,"x")),1)+IF(COUNTIF(J155:U155,"x")=0,(Besatzung!$F$13="x"),(K155="x")*(Besatzung!$F$13="x"))*IFERROR(H155,0)/IFERROR(IF(COUNTIF(J155:U155,"x")=0,SUMPRODUCT((Besatzung!$B$11:$B$22&lt;&gt;"")*(Besatzung!$F$11:$F$22="x")),SUMPRODUCT((J155:U155="x")*(Besatzung!$F$11:$F$22="x"))),1))))),0))))</f>
        <v/>
      </c>
      <c r="Y155" s="247">
        <f>IF(C155="Gutschrift","",IF(G155="","",IF(Besatzung!$B$14="","",IFERROR(IF(I155="Zeitanteilig",(Besatzung!$G$14*(G155-IFERROR(H155,0))+((Besatzung!$B$14&lt;&gt;"")*IF(B155="",1,(IF(Besatzung!$C$14="",Besatzung!$B$5,Besatzung!$C$14)&lt;=B155)*(IF(Besatzung!$D$14="",Besatzung!$B$6,Besatzung!$D$14)&gt;=B155)))*(Besatzung!$F$14="x")*IFERROR(H155,0)/IFERROR(SUMPRODUCT((Besatzung!$B$11:$B$22&lt;&gt;"")*(Besatzung!$F$11:$F$22="x")*(IF(Besatzung!$C$11:$C$22="",Besatzung!$B$5,Besatzung!$C$11:$C$22)&lt;=B155)*(IF(Besatzung!$D$11:$D$22="",Besatzung!$B$6,Besatzung!$D$11:$D$22)&gt;=B155)),1)),IF(I155="An Bord",(((Besatzung!$B$14&lt;&gt;"")*IF(B155="",1,(IF(Besatzung!$C$14="",Besatzung!$B$5,Besatzung!$C$14)&lt;=B155)*(IF(Besatzung!$D$14="",Besatzung!$B$6,Besatzung!$D$14)&gt;=B155)))*((G155-IFERROR(H155,0))/IFERROR(SUMPRODUCT((Besatzung!$B$11:$B$22&lt;&gt;"")*(IF(Besatzung!$C$11:$C$22="",Besatzung!$B$5,Besatzung!$C$11:$C$22)&lt;=B155)*(IF(Besatzung!$D$11:$D$22="",Besatzung!$B$6,Besatzung!$D$11:$D$22)&gt;=B155)),1)+(Besatzung!$F$14="x")*IFERROR(H155,0)/IFERROR(SUMPRODUCT((Besatzung!$B$11:$B$22&lt;&gt;"")*(Besatzung!$F$11:$F$22="x")*(IF(Besatzung!$C$11:$C$22="",Besatzung!$B$5,Besatzung!$C$11:$C$22)&lt;=B155)*(IF(Besatzung!$D$11:$D$22="",Besatzung!$B$6,Besatzung!$D$11:$D$22)&gt;=B155)),1))),IF(I155="Individuell",((M155="x")*((G155-IFERROR(H155,0))/IFERROR(COUNTIF(J155:U155,"x"),1)+(Besatzung!$F$14="x")*IFERROR(H155,0)/IFERROR(SUMPRODUCT((J155:U155="x")*(Besatzung!$F$11:$F$22="x")),1))),(IF(COUNTIF(J155:U155,"x")=0,IF(Besatzung!$B$14&lt;&gt;"",1,0),(M155="x"))*(G155-IFERROR(H155,0))/IFERROR(IF(COUNTIF(J155:U155,"x")=0,COUNTA(Besatzung!$B$11:$B$22),COUNTIF(J155:U155,"x")),1)+IF(COUNTIF(J155:U155,"x")=0,(Besatzung!$F$14="x"),(M155="x")*(Besatzung!$F$14="x"))*IFERROR(H155,0)/IFERROR(IF(COUNTIF(J155:U155,"x")=0,SUMPRODUCT((Besatzung!$B$11:$B$22&lt;&gt;"")*(Besatzung!$F$11:$F$22="x")),SUMPRODUCT((J155:U155="x")*(Besatzung!$F$11:$F$22="x"))),1))))),0))))</f>
        <v/>
      </c>
      <c r="Z155" s="247">
        <f>IF(C155="Gutschrift","",IF(G155="","",IF(Besatzung!$B$13="","",IFERROR(IF(I155="Zeitanteilig",(Besatzung!$G$15*(G155-IFERROR(H155,0))+((Besatzung!$B$13&lt;&gt;"")*IF(B155="",1,(IF(Besatzung!$C$15="",Besatzung!$B$5,Besatzung!$C$15)&lt;=B155)*(IF(Besatzung!$D$15="",Besatzung!$B$6,Besatzung!$D$15)&gt;=B155)))*(Besatzung!$F$15="x")*IFERROR(H155,0)/IFERROR(SUMPRODUCT((Besatzung!$B$11:$B$22&lt;&gt;"")*(Besatzung!$F$11:$F$22="x")*(IF(Besatzung!$C$11:$C$22="",Besatzung!$B$5,Besatzung!$C$11:$C$22)&lt;=B155)*(IF(Besatzung!$D$11:$D$22="",Besatzung!$B$6,Besatzung!$D$11:$D$22)&gt;=B155)),1)),IF(I155="An Bord",(((Besatzung!$B$13&lt;&gt;"")*IF(B155="",1,(IF(Besatzung!$C$15="",Besatzung!$B$5,Besatzung!$C$15)&lt;=B155)*(IF(Besatzung!$D$15="",Besatzung!$B$6,Besatzung!$D$15)&gt;=B155)))*((G155-IFERROR(H155,0))/IFERROR(SUMPRODUCT((Besatzung!$B$11:$B$22&lt;&gt;"")*(IF(Besatzung!$C$11:$C$22="",Besatzung!$B$5,Besatzung!$C$11:$C$22)&lt;=B155)*(IF(Besatzung!$D$11:$D$22="",Besatzung!$B$6,Besatzung!$D$11:$D$22)&gt;=B155)),1)+(Besatzung!$F$15="x")*IFERROR(H155,0)/IFERROR(SUMPRODUCT((Besatzung!$B$11:$B$22&lt;&gt;"")*(Besatzung!$F$11:$F$22="x")*(IF(Besatzung!$C$11:$C$22="",Besatzung!$B$5,Besatzung!$C$11:$C$22)&lt;=B155)*(IF(Besatzung!$D$11:$D$22="",Besatzung!$B$6,Besatzung!$D$11:$D$22)&gt;=B155)),1))),IF(I155="Individuell",((N155="x")*((G155-IFERROR(H155,0))/IFERROR(COUNTIF(J155:U155,"x"),1)+(Besatzung!$F$15="x")*IFERROR(H155,0)/IFERROR(SUMPRODUCT((J155:U155="x")*(Besatzung!$F$11:$F$22="x")),1))),(IF(COUNTIF(J155:U155,"x")=0,IF(Besatzung!$B$13&lt;&gt;"",1,0),(N155="x"))*(G155-IFERROR(H155,0))/IFERROR(IF(COUNTIF(J155:U155,"x")=0,COUNTA(Besatzung!$B$11:$B$22),COUNTIF(J155:U155,"x")),1)+IF(COUNTIF(J155:U155,"x")=0,(Besatzung!$F$15="x"),(N155="x")*(Besatzung!$F$15="x"))*IFERROR(H155,0)/IFERROR(IF(COUNTIF(J155:U155,"x")=0,SUMPRODUCT((Besatzung!$B$11:$B$22&lt;&gt;"")*(Besatzung!$F$11:$F$22="x")),SUMPRODUCT((J155:U155="x")*(Besatzung!$F$11:$F$22="x"))),1))))),0))))</f>
        <v/>
      </c>
      <c r="AA155" s="247">
        <f>IF(C155="Gutschrift","",IF(G155="","",IF(Besatzung!$B$15="","",IFERROR(IF(I155="Zeitanteilig",(Besatzung!$G$16*(G155-IFERROR(H155,0))+((Besatzung!$B$15&lt;&gt;"")*IF(B155="",1,(IF(Besatzung!$C$16="",Besatzung!$B$5,Besatzung!$C$16)&lt;=B155)*(IF(Besatzung!$D$16="",Besatzung!$B$6,Besatzung!$D$16)&gt;=B155)))*(Besatzung!$F$16="x")*IFERROR(H155,0)/IFERROR(SUMPRODUCT((Besatzung!$B$11:$B$22&lt;&gt;"")*(Besatzung!$F$11:$F$22="x")*(IF(Besatzung!$C$11:$C$22="",Besatzung!$B$5,Besatzung!$C$11:$C$22)&lt;=B155)*(IF(Besatzung!$D$11:$D$22="",Besatzung!$B$6,Besatzung!$D$11:$D$22)&gt;=B155)),1)),IF(I155="An Bord",(((Besatzung!$B$15&lt;&gt;"")*IF(B155="",1,(IF(Besatzung!$C$16="",Besatzung!$B$5,Besatzung!$C$16)&lt;=B155)*(IF(Besatzung!$D$16="",Besatzung!$B$6,Besatzung!$D$16)&gt;=B155)))*((G155-IFERROR(H155,0))/IFERROR(SUMPRODUCT((Besatzung!$B$11:$B$22&lt;&gt;"")*(IF(Besatzung!$C$11:$C$22="",Besatzung!$B$5,Besatzung!$C$11:$C$22)&lt;=B155)*(IF(Besatzung!$D$11:$D$22="",Besatzung!$B$6,Besatzung!$D$11:$D$22)&gt;=B155)),1)+(Besatzung!$F$16="x")*IFERROR(H155,0)/IFERROR(SUMPRODUCT((Besatzung!$B$11:$B$22&lt;&gt;"")*(Besatzung!$F$11:$F$22="x")*(IF(Besatzung!$C$11:$C$22="",Besatzung!$B$5,Besatzung!$C$11:$C$22)&lt;=B155)*(IF(Besatzung!$D$11:$D$22="",Besatzung!$B$6,Besatzung!$D$11:$D$22)&gt;=B155)),1))),IF(I155="Individuell",((O155="x")*((G155-IFERROR(H155,0))/IFERROR(COUNTIF(J155:U155,"x"),1)+(Besatzung!$F$16="x")*IFERROR(H155,0)/IFERROR(SUMPRODUCT((J155:U155="x")*(Besatzung!$F$11:$F$22="x")),1))),(IF(COUNTIF(J155:U155,"x")=0,IF(Besatzung!$B$15&lt;&gt;"",1,0),(O155="x"))*(G155-IFERROR(H155,0))/IFERROR(IF(COUNTIF(J155:U155,"x")=0,COUNTA(Besatzung!$B$11:$B$22),COUNTIF(J155:U155,"x")),1)+IF(COUNTIF(J155:U155,"x")=0,(Besatzung!$F$16="x"),(O155="x")*(Besatzung!$F$16="x"))*IFERROR(H155,0)/IFERROR(IF(COUNTIF(J155:U155,"x")=0,SUMPRODUCT((Besatzung!$B$11:$B$22&lt;&gt;"")*(Besatzung!$F$11:$F$22="x")),SUMPRODUCT((J155:U155="x")*(Besatzung!$F$11:$F$22="x"))),1))))),0))))</f>
        <v/>
      </c>
      <c r="AB155" s="247">
        <f>IF(C155="Gutschrift","",IF(G155="","",IF(Besatzung!$B$17="","",IFERROR(IF(I155="Zeitanteilig",(Besatzung!$G$17*(G155-IFERROR(H155,0))+((Besatzung!$B$17&lt;&gt;"")*IF(B155="",1,(IF(Besatzung!$C$17="",Besatzung!$B$5,Besatzung!$C$17)&lt;=B155)*(IF(Besatzung!$D$17="",Besatzung!$B$6,Besatzung!$D$17)&gt;=B155)))*(Besatzung!$F$17="x")*IFERROR(H155,0)/IFERROR(SUMPRODUCT((Besatzung!$B$11:$B$22&lt;&gt;"")*(Besatzung!$F$11:$F$22="x")*(IF(Besatzung!$C$11:$C$22="",Besatzung!$B$5,Besatzung!$C$11:$C$22)&lt;=B155)*(IF(Besatzung!$D$11:$D$22="",Besatzung!$B$6,Besatzung!$D$11:$D$22)&gt;=B155)),1)),IF(I155="An Bord",(((Besatzung!$B$17&lt;&gt;"")*IF(B155="",1,(IF(Besatzung!$C$17="",Besatzung!$B$5,Besatzung!$C$17)&lt;=B155)*(IF(Besatzung!$D$17="",Besatzung!$B$6,Besatzung!$D$17)&gt;=B155)))*((G155-IFERROR(H155,0))/IFERROR(SUMPRODUCT((Besatzung!$B$11:$B$22&lt;&gt;"")*(IF(Besatzung!$C$11:$C$22="",Besatzung!$B$5,Besatzung!$C$11:$C$22)&lt;=B155)*(IF(Besatzung!$D$11:$D$22="",Besatzung!$B$6,Besatzung!$D$11:$D$22)&gt;=B155)),1)+(Besatzung!$F$17="x")*IFERROR(H155,0)/IFERROR(SUMPRODUCT((Besatzung!$B$11:$B$22&lt;&gt;"")*(Besatzung!$F$11:$F$22="x")*(IF(Besatzung!$C$11:$C$22="",Besatzung!$B$5,Besatzung!$C$11:$C$22)&lt;=B155)*(IF(Besatzung!$D$11:$D$22="",Besatzung!$B$6,Besatzung!$D$11:$D$22)&gt;=B155)),1))),IF(I155="Individuell",((P155="x")*((G155-IFERROR(H155,0))/IFERROR(COUNTIF(J155:U155,"x"),1)+(Besatzung!$F$17="x")*IFERROR(H155,0)/IFERROR(SUMPRODUCT((J155:U155="x")*(Besatzung!$F$11:$F$22="x")),1))),(IF(COUNTIF(J155:U155,"x")=0,IF(Besatzung!$B$17&lt;&gt;"",1,0),(P155="x"))*(G155-IFERROR(H155,0))/IFERROR(IF(COUNTIF(J155:U155,"x")=0,COUNTA(Besatzung!$B$11:$B$22),COUNTIF(J155:U155,"x")),1)+IF(COUNTIF(J155:U155,"x")=0,(Besatzung!$F$17="x"),(P155="x")*(Besatzung!$F$17="x"))*IFERROR(H155,0)/IFERROR(IF(COUNTIF(J155:U155,"x")=0,SUMPRODUCT((Besatzung!$B$11:$B$22&lt;&gt;"")*(Besatzung!$F$11:$F$22="x")),SUMPRODUCT((J155:U155="x")*(Besatzung!$F$11:$F$22="x"))),1))))),0))))</f>
        <v/>
      </c>
      <c r="AC155" s="247">
        <f>IF(C155="Gutschrift","",IF(G155="","",IF(Besatzung!$B$18="","",IFERROR(IF(I155="Zeitanteilig",(Besatzung!$G$18*(G155-IFERROR(H155,0))+((Besatzung!$B$18&lt;&gt;"")*IF(B155="",1,(IF(Besatzung!$C$18="",Besatzung!$B$5,Besatzung!$C$18)&lt;=B155)*(IF(Besatzung!$D$18="",Besatzung!$B$6,Besatzung!$D$18)&gt;=B155)))*(Besatzung!$F$18="x")*IFERROR(H155,0)/IFERROR(SUMPRODUCT((Besatzung!$B$11:$B$22&lt;&gt;"")*(Besatzung!$F$11:$F$22="x")*(IF(Besatzung!$C$11:$C$22="",Besatzung!$B$5,Besatzung!$C$11:$C$22)&lt;=B155)*(IF(Besatzung!$D$11:$D$22="",Besatzung!$B$6,Besatzung!$D$11:$D$22)&gt;=B155)),1)),IF(I155="An Bord",(((Besatzung!$B$18&lt;&gt;"")*IF(B155="",1,(IF(Besatzung!$C$18="",Besatzung!$B$5,Besatzung!$C$18)&lt;=B155)*(IF(Besatzung!$D$18="",Besatzung!$B$6,Besatzung!$D$18)&gt;=B155)))*((G155-IFERROR(H155,0))/IFERROR(SUMPRODUCT((Besatzung!$B$11:$B$22&lt;&gt;"")*(IF(Besatzung!$C$11:$C$22="",Besatzung!$B$5,Besatzung!$C$11:$C$22)&lt;=B155)*(IF(Besatzung!$D$11:$D$22="",Besatzung!$B$6,Besatzung!$D$11:$D$22)&gt;=B155)),1)+(Besatzung!$F$18="x")*IFERROR(H155,0)/IFERROR(SUMPRODUCT((Besatzung!$B$11:$B$22&lt;&gt;"")*(Besatzung!$F$11:$F$22="x")*(IF(Besatzung!$C$11:$C$22="",Besatzung!$B$5,Besatzung!$C$11:$C$22)&lt;=B155)*(IF(Besatzung!$D$11:$D$22="",Besatzung!$B$6,Besatzung!$D$11:$D$22)&gt;=B155)),1))),IF(I155="Individuell",((Q155="x")*((G155-IFERROR(H155,0))/IFERROR(COUNTIF(J155:U155,"x"),1)+(Besatzung!$F$18="x")*IFERROR(H155,0)/IFERROR(SUMPRODUCT((J155:U155="x")*(Besatzung!$F$11:$F$22="x")),1))),(IF(COUNTIF(J155:U155,"x")=0,IF(Besatzung!$B$18&lt;&gt;"",1,0),(Q155="x"))*(G155-IFERROR(H155,0))/IFERROR(IF(COUNTIF(J155:U155,"x")=0,COUNTA(Besatzung!$B$11:$B$22),COUNTIF(J155:U155,"x")),1)+IF(COUNTIF(J155:U155,"x")=0,(Besatzung!$F$18="x"),(Q155="x")*(Besatzung!$F$18="x"))*IFERROR(H155,0)/IFERROR(IF(COUNTIF(J155:U155,"x")=0,SUMPRODUCT((Besatzung!$B$11:$B$22&lt;&gt;"")*(Besatzung!$F$11:$F$22="x")),SUMPRODUCT((J155:U155="x")*(Besatzung!$F$11:$F$22="x"))),1))))),0))))</f>
        <v/>
      </c>
      <c r="AD155" s="247">
        <f>IF(C155="Gutschrift","",IF(G155="","",IF(Besatzung!$B$19="","",IFERROR(IF(I155="Zeitanteilig",(Besatzung!$G$19*(G155-IFERROR(H155,0))+((Besatzung!$B$19&lt;&gt;"")*IF(B155="",1,(IF(Besatzung!$C$19="",Besatzung!$B$5,Besatzung!$C$19)&lt;=B155)*(IF(Besatzung!$D$19="",Besatzung!$B$6,Besatzung!$D$19)&gt;=B155)))*(Besatzung!$F$19="x")*IFERROR(H155,0)/IFERROR(SUMPRODUCT((Besatzung!$B$11:$B$22&lt;&gt;"")*(Besatzung!$F$11:$F$22="x")*(IF(Besatzung!$C$11:$C$22="",Besatzung!$B$5,Besatzung!$C$11:$C$22)&lt;=B155)*(IF(Besatzung!$D$11:$D$22="",Besatzung!$B$6,Besatzung!$D$11:$D$22)&gt;=B155)),1)),IF(I155="An Bord",(((Besatzung!$B$19&lt;&gt;"")*IF(B155="",1,(IF(Besatzung!$C$19="",Besatzung!$B$5,Besatzung!$C$19)&lt;=B155)*(IF(Besatzung!$D$19="",Besatzung!$B$6,Besatzung!$D$19)&gt;=B155)))*((G155-IFERROR(H155,0))/IFERROR(SUMPRODUCT((Besatzung!$B$11:$B$22&lt;&gt;"")*(IF(Besatzung!$C$11:$C$22="",Besatzung!$B$5,Besatzung!$C$11:$C$22)&lt;=B155)*(IF(Besatzung!$D$11:$D$22="",Besatzung!$B$6,Besatzung!$D$11:$D$22)&gt;=B155)),1)+(Besatzung!$F$19="x")*IFERROR(H155,0)/IFERROR(SUMPRODUCT((Besatzung!$B$11:$B$22&lt;&gt;"")*(Besatzung!$F$11:$F$22="x")*(IF(Besatzung!$C$11:$C$22="",Besatzung!$B$5,Besatzung!$C$11:$C$22)&lt;=B155)*(IF(Besatzung!$D$11:$D$22="",Besatzung!$B$6,Besatzung!$D$11:$D$22)&gt;=B155)),1))),IF(I155="Individuell",((R155="x")*((G155-IFERROR(H155,0))/IFERROR(COUNTIF(J155:U155,"x"),1)+(Besatzung!$F$19="x")*IFERROR(H155,0)/IFERROR(SUMPRODUCT((J155:U155="x")*(Besatzung!$F$11:$F$22="x")),1))),(IF(COUNTIF(J155:U155,"x")=0,IF(Besatzung!$B$19&lt;&gt;"",1,0),(R155="x"))*(G155-IFERROR(H155,0))/IFERROR(IF(COUNTIF(J155:U155,"x")=0,COUNTA(Besatzung!$B$11:$B$22),COUNTIF(J155:U155,"x")),1)+IF(COUNTIF(J155:U155,"x")=0,(Besatzung!$F$19="x"),(R155="x")*(Besatzung!$F$19="x"))*IFERROR(H155,0)/IFERROR(IF(COUNTIF(J155:U155,"x")=0,SUMPRODUCT((Besatzung!$B$11:$B$22&lt;&gt;"")*(Besatzung!$F$11:$F$22="x")),SUMPRODUCT((J155:U155="x")*(Besatzung!$F$11:$F$22="x"))),1))))),0))))</f>
        <v/>
      </c>
      <c r="AE155" s="247">
        <f>IF(C155="Gutschrift","",IF(G155="","",IF(Besatzung!$B$20="","",IFERROR(IF(I155="Zeitanteilig",(Besatzung!$G$20*(G155-IFERROR(H155,0))+((Besatzung!$B$20&lt;&gt;"")*IF(B155="",1,(IF(Besatzung!$C$20="",Besatzung!$B$5,Besatzung!$C$20)&lt;=B155)*(IF(Besatzung!$D$20="",Besatzung!$B$6,Besatzung!$D$20)&gt;=B155)))*(Besatzung!$F$20="x")*IFERROR(H155,0)/IFERROR(SUMPRODUCT((Besatzung!$B$11:$B$22&lt;&gt;"")*(Besatzung!$F$11:$F$22="x")*(IF(Besatzung!$C$11:$C$22="",Besatzung!$B$5,Besatzung!$C$11:$C$22)&lt;=B155)*(IF(Besatzung!$D$11:$D$22="",Besatzung!$B$6,Besatzung!$D$11:$D$22)&gt;=B155)),1)),IF(I155="An Bord",(((Besatzung!$B$20&lt;&gt;"")*IF(B155="",1,(IF(Besatzung!$C$20="",Besatzung!$B$5,Besatzung!$C$20)&lt;=B155)*(IF(Besatzung!$D$20="",Besatzung!$B$6,Besatzung!$D$20)&gt;=B155)))*((G155-IFERROR(H155,0))/IFERROR(SUMPRODUCT((Besatzung!$B$11:$B$22&lt;&gt;"")*(IF(Besatzung!$C$11:$C$22="",Besatzung!$B$5,Besatzung!$C$11:$C$22)&lt;=B155)*(IF(Besatzung!$D$11:$D$22="",Besatzung!$B$6,Besatzung!$D$11:$D$22)&gt;=B155)),1)+(Besatzung!$F$20="x")*IFERROR(H155,0)/IFERROR(SUMPRODUCT((Besatzung!$B$11:$B$22&lt;&gt;"")*(Besatzung!$F$11:$F$22="x")*(IF(Besatzung!$C$11:$C$22="",Besatzung!$B$5,Besatzung!$C$11:$C$22)&lt;=B155)*(IF(Besatzung!$D$11:$D$22="",Besatzung!$B$6,Besatzung!$D$11:$D$22)&gt;=B155)),1))),IF(I155="Individuell",((S155="x")*((G155-IFERROR(H155,0))/IFERROR(COUNTIF(J155:U155,"x"),1)+(Besatzung!$F$20="x")*IFERROR(H155,0)/IFERROR(SUMPRODUCT((J155:U155="x")*(Besatzung!$F$11:$F$22="x")),1))),(IF(COUNTIF(J155:U155,"x")=0,IF(Besatzung!$B$20&lt;&gt;"",1,0),(S155="x"))*(G155-IFERROR(H155,0))/IFERROR(IF(COUNTIF(J155:U155,"x")=0,COUNTA(Besatzung!$B$11:$B$22),COUNTIF(J155:U155,"x")),1)+IF(COUNTIF(J155:U155,"x")=0,(Besatzung!$F$20="x"),(S155="x")*(Besatzung!$F$20="x"))*IFERROR(H155,0)/IFERROR(IF(COUNTIF(J155:U155,"x")=0,SUMPRODUCT((Besatzung!$B$11:$B$22&lt;&gt;"")*(Besatzung!$F$11:$F$22="x")),SUMPRODUCT((J155:U155="x")*(Besatzung!$F$11:$F$22="x"))),1))))),0))))</f>
        <v/>
      </c>
      <c r="AF155" s="247">
        <f>IF(C155="Gutschrift","",IF(G155="","",IF(Besatzung!$B$21="","",IFERROR(IF(I155="Zeitanteilig",(Besatzung!$G$21*(G155-IFERROR(H155,0))+((Besatzung!$B$21&lt;&gt;"")*IF(B155="",1,(IF(Besatzung!$C$21="",Besatzung!$B$5,Besatzung!$C$21)&lt;=B155)*(IF(Besatzung!$D$21="",Besatzung!$B$6,Besatzung!$D$21)&gt;=B155)))*(Besatzung!$F$21="x")*IFERROR(H155,0)/IFERROR(SUMPRODUCT((Besatzung!$B$11:$B$22&lt;&gt;"")*(Besatzung!$F$11:$F$22="x")*(IF(Besatzung!$C$11:$C$22="",Besatzung!$B$5,Besatzung!$C$11:$C$22)&lt;=B155)*(IF(Besatzung!$D$11:$D$22="",Besatzung!$B$6,Besatzung!$D$11:$D$22)&gt;=B155)),1)),IF(I155="An Bord",(((Besatzung!$B$21&lt;&gt;"")*IF(B155="",1,(IF(Besatzung!$C$21="",Besatzung!$B$5,Besatzung!$C$21)&lt;=B155)*(IF(Besatzung!$D$21="",Besatzung!$B$6,Besatzung!$D$21)&gt;=B155)))*((G155-IFERROR(H155,0))/IFERROR(SUMPRODUCT((Besatzung!$B$11:$B$22&lt;&gt;"")*(IF(Besatzung!$C$11:$C$22="",Besatzung!$B$5,Besatzung!$C$11:$C$22)&lt;=B155)*(IF(Besatzung!$D$11:$D$22="",Besatzung!$B$6,Besatzung!$D$11:$D$22)&gt;=B155)),1)+(Besatzung!$F$21="x")*IFERROR(H155,0)/IFERROR(SUMPRODUCT((Besatzung!$B$11:$B$22&lt;&gt;"")*(Besatzung!$F$11:$F$22="x")*(IF(Besatzung!$C$11:$C$22="",Besatzung!$B$5,Besatzung!$C$11:$C$22)&lt;=B155)*(IF(Besatzung!$D$11:$D$22="",Besatzung!$B$6,Besatzung!$D$11:$D$22)&gt;=B155)),1))),IF(I155="Individuell",((T155="x")*((G155-IFERROR(H155,0))/IFERROR(COUNTIF(J155:U155,"x"),1)+(Besatzung!$F$21="x")*IFERROR(H155,0)/IFERROR(SUMPRODUCT((J155:U155="x")*(Besatzung!$F$11:$F$22="x")),1))),(IF(COUNTIF(J155:U155,"x")=0,IF(Besatzung!$B$21&lt;&gt;"",1,0),(T155="x"))*(G155-IFERROR(H155,0))/IFERROR(IF(COUNTIF(J155:U155,"x")=0,COUNTA(Besatzung!$B$11:$B$22),COUNTIF(J155:U155,"x")),1)+IF(COUNTIF(J155:U155,"x")=0,(Besatzung!$F$21="x"),(T155="x")*(Besatzung!$F$21="x"))*IFERROR(H155,0)/IFERROR(IF(COUNTIF(J155:U155,"x")=0,SUMPRODUCT((Besatzung!$B$11:$B$22&lt;&gt;"")*(Besatzung!$F$11:$F$22="x")),SUMPRODUCT((J155:U155="x")*(Besatzung!$F$11:$F$22="x"))),1))))),0))))</f>
        <v/>
      </c>
      <c r="AG155" s="247">
        <f>IF(C155="Gutschrift","",IF(G155="","",IF(Besatzung!$B$22="","",IFERROR(IF(I155="Zeitanteilig",(Besatzung!$G$22*(G155-IFERROR(H155,0))+((Besatzung!$B$22&lt;&gt;"")*IF(B155="",1,(IF(Besatzung!$C$22="",Besatzung!$B$5,Besatzung!$C$22)&lt;=B155)*(IF(Besatzung!$D$22="",Besatzung!$B$6,Besatzung!$D$22)&gt;=B155)))*(Besatzung!$F$22="x")*IFERROR(H155,0)/IFERROR(SUMPRODUCT((Besatzung!$B$11:$B$22&lt;&gt;"")*(Besatzung!$F$11:$F$22="x")*(IF(Besatzung!$C$11:$C$22="",Besatzung!$B$5,Besatzung!$C$11:$C$22)&lt;=B155)*(IF(Besatzung!$D$11:$D$22="",Besatzung!$B$6,Besatzung!$D$11:$D$22)&gt;=B155)),1)),IF(I155="An Bord",(((Besatzung!$B$22&lt;&gt;"")*IF(B155="",1,(IF(Besatzung!$C$22="",Besatzung!$B$5,Besatzung!$C$22)&lt;=B155)*(IF(Besatzung!$D$22="",Besatzung!$B$6,Besatzung!$D$22)&gt;=B155)))*((G155-IFERROR(H155,0))/IFERROR(SUMPRODUCT((Besatzung!$B$11:$B$22&lt;&gt;"")*(IF(Besatzung!$C$11:$C$22="",Besatzung!$B$5,Besatzung!$C$11:$C$22)&lt;=B155)*(IF(Besatzung!$D$11:$D$22="",Besatzung!$B$6,Besatzung!$D$11:$D$22)&gt;=B155)),1)+(Besatzung!$F$22="x")*IFERROR(H155,0)/IFERROR(SUMPRODUCT((Besatzung!$B$11:$B$22&lt;&gt;"")*(Besatzung!$F$11:$F$22="x")*(IF(Besatzung!$C$11:$C$22="",Besatzung!$B$5,Besatzung!$C$11:$C$22)&lt;=B155)*(IF(Besatzung!$D$11:$D$22="",Besatzung!$B$6,Besatzung!$D$11:$D$22)&gt;=B155)),1))),IF(I155="Individuell",((U155="x")*((G155-IFERROR(H155,0))/IFERROR(COUNTIF(J155:U155,"x"),1)+(Besatzung!$F$22="x")*IFERROR(H155,0)/IFERROR(SUMPRODUCT((J155:U155="x")*(Besatzung!$F$11:$F$22="x")),1))),(IF(COUNTIF(J155:U155,"x")=0,IF(Besatzung!$B$22&lt;&gt;"",1,0),(U155="x"))*(G155-IFERROR(H155,0))/IFERROR(IF(COUNTIF(J155:U155,"x")=0,COUNTA(Besatzung!$B$11:$B$22),COUNTIF(J155:U155,"x")),1)+IF(COUNTIF(J155:U155,"x")=0,(Besatzung!$F$22="x"),(U155="x")*(Besatzung!$F$22="x"))*IFERROR(H155,0)/IFERROR(IF(COUNTIF(J155:U155,"x")=0,SUMPRODUCT((Besatzung!$B$11:$B$22&lt;&gt;"")*(Besatzung!$F$11:$F$22="x")),SUMPRODUCT((J155:U155="x")*(Besatzung!$F$11:$F$22="x"))),1))))),0))))</f>
        <v/>
      </c>
      <c r="AH155" s="248" t="n"/>
      <c r="AI155" s="248" t="n"/>
    </row>
    <row r="156" ht="21.75" customHeight="1" s="154">
      <c r="A156" s="238">
        <f>IF(AND(D156="",C156=""),"",153)</f>
        <v/>
      </c>
      <c r="B156" s="199" t="n"/>
      <c r="C156" s="239" t="n"/>
      <c r="D156" s="240" t="n"/>
      <c r="E156" s="241" t="n"/>
      <c r="F156" s="242" t="n"/>
      <c r="G156" s="243" t="n"/>
      <c r="H156" s="244" t="n"/>
      <c r="I156" s="245" t="n"/>
      <c r="J156" s="246" t="n"/>
      <c r="K156" s="246" t="n"/>
      <c r="L156" s="246" t="n"/>
      <c r="M156" s="246" t="n"/>
      <c r="N156" s="246" t="n"/>
      <c r="O156" s="246" t="n"/>
      <c r="P156" s="246" t="n"/>
      <c r="Q156" s="246" t="n"/>
      <c r="R156" s="246" t="n"/>
      <c r="S156" s="246" t="n"/>
      <c r="T156" s="246" t="n"/>
      <c r="U156" s="246" t="n"/>
      <c r="V156" s="247">
        <f>IF(C156="Gutschrift","",IF(G156="","",IF(Besatzung!$B$11="","",IFERROR(IF(I156="Zeitanteilig",(Besatzung!$G$11*(G156-IFERROR(H156,0))+((Besatzung!$B$11&lt;&gt;"")*IF(B156="",1,(IF(Besatzung!$C$11="",Besatzung!$B$5,Besatzung!$C$11)&lt;=B156)*(IF(Besatzung!$D$11="",Besatzung!$B$6,Besatzung!$D$11)&gt;=B156)))*(Besatzung!$F$11="x")*IFERROR(H156,0)/IFERROR(SUMPRODUCT((Besatzung!$B$11:$B$22&lt;&gt;"")*(Besatzung!$F$11:$F$22="x")*(IF(Besatzung!$C$11:$C$22="",Besatzung!$B$5,Besatzung!$C$11:$C$22)&lt;=B156)*(IF(Besatzung!$D$11:$D$22="",Besatzung!$B$6,Besatzung!$D$11:$D$22)&gt;=B156)),1)),IF(I156="An Bord",(((Besatzung!$B$11&lt;&gt;"")*IF(B156="",1,(IF(Besatzung!$C$11="",Besatzung!$B$5,Besatzung!$C$11)&lt;=B156)*(IF(Besatzung!$D$11="",Besatzung!$B$6,Besatzung!$D$11)&gt;=B156)))*((G156-IFERROR(H156,0))/IFERROR(SUMPRODUCT((Besatzung!$B$11:$B$22&lt;&gt;"")*(IF(Besatzung!$C$11:$C$22="",Besatzung!$B$5,Besatzung!$C$11:$C$22)&lt;=B156)*(IF(Besatzung!$D$11:$D$22="",Besatzung!$B$6,Besatzung!$D$11:$D$22)&gt;=B156)),1)+(Besatzung!$F$11="x")*IFERROR(H156,0)/IFERROR(SUMPRODUCT((Besatzung!$B$11:$B$22&lt;&gt;"")*(Besatzung!$F$11:$F$22="x")*(IF(Besatzung!$C$11:$C$22="",Besatzung!$B$5,Besatzung!$C$11:$C$22)&lt;=B156)*(IF(Besatzung!$D$11:$D$22="",Besatzung!$B$6,Besatzung!$D$11:$D$22)&gt;=B156)),1))),IF(I156="Individuell",((J156="x")*((G156-IFERROR(H156,0))/IFERROR(COUNTIF(J156:U156,"x"),1)+(Besatzung!$F$11="x")*IFERROR(H156,0)/IFERROR(SUMPRODUCT((J156:U156="x")*(Besatzung!$F$11:$F$22="x")),1))),(IF(COUNTIF(J156:U156,"x")=0,IF(Besatzung!$B$11&lt;&gt;"",1,0),(J156="x"))*(G156-IFERROR(H156,0))/IFERROR(IF(COUNTIF(J156:U156,"x")=0,COUNTA(Besatzung!$B$11:$B$22),COUNTIF(J156:U156,"x")),1)+IF(COUNTIF(J156:U156,"x")=0,(Besatzung!$F$11="x"),(J156="x")*(Besatzung!$F$11="x"))*IFERROR(H156,0)/IFERROR(IF(COUNTIF(J156:U156,"x")=0,SUMPRODUCT((Besatzung!$B$11:$B$22&lt;&gt;"")*(Besatzung!$F$11:$F$22="x")),SUMPRODUCT((J156:U156="x")*(Besatzung!$F$11:$F$22="x"))),1))))),0))))</f>
        <v/>
      </c>
      <c r="W156" s="247">
        <f>IF(C156="Gutschrift","",IF(G156="","",IF(Besatzung!$B$12="","",IFERROR(IF(I156="Zeitanteilig",(Besatzung!$G$12*(G156-IFERROR(H156,0))+((Besatzung!$B$12&lt;&gt;"")*IF(B156="",1,(IF(Besatzung!$C$12="",Besatzung!$B$5,Besatzung!$C$12)&lt;=B156)*(IF(Besatzung!$D$12="",Besatzung!$B$6,Besatzung!$D$12)&gt;=B156)))*(Besatzung!$F$12="x")*IFERROR(H156,0)/IFERROR(SUMPRODUCT((Besatzung!$B$11:$B$22&lt;&gt;"")*(Besatzung!$F$11:$F$22="x")*(IF(Besatzung!$C$11:$C$22="",Besatzung!$B$5,Besatzung!$C$11:$C$22)&lt;=B156)*(IF(Besatzung!$D$11:$D$22="",Besatzung!$B$6,Besatzung!$D$11:$D$22)&gt;=B156)),1)),IF(I156="An Bord",(((Besatzung!$B$12&lt;&gt;"")*IF(B156="",1,(IF(Besatzung!$C$12="",Besatzung!$B$5,Besatzung!$C$12)&lt;=B156)*(IF(Besatzung!$D$12="",Besatzung!$B$6,Besatzung!$D$12)&gt;=B156)))*((G156-IFERROR(H156,0))/IFERROR(SUMPRODUCT((Besatzung!$B$11:$B$22&lt;&gt;"")*(IF(Besatzung!$C$11:$C$22="",Besatzung!$B$5,Besatzung!$C$11:$C$22)&lt;=B156)*(IF(Besatzung!$D$11:$D$22="",Besatzung!$B$6,Besatzung!$D$11:$D$22)&gt;=B156)),1)+(Besatzung!$F$12="x")*IFERROR(H156,0)/IFERROR(SUMPRODUCT((Besatzung!$B$11:$B$22&lt;&gt;"")*(Besatzung!$F$11:$F$22="x")*(IF(Besatzung!$C$11:$C$22="",Besatzung!$B$5,Besatzung!$C$11:$C$22)&lt;=B156)*(IF(Besatzung!$D$11:$D$22="",Besatzung!$B$6,Besatzung!$D$11:$D$22)&gt;=B156)),1))),IF(I156="Individuell",((K156="x")*((G156-IFERROR(H156,0))/IFERROR(COUNTIF(J156:U156,"x"),1)+(Besatzung!$F$12="x")*IFERROR(H156,0)/IFERROR(SUMPRODUCT((J156:U156="x")*(Besatzung!$F$11:$F$22="x")),1))),(IF(COUNTIF(J156:U156,"x")=0,IF(Besatzung!$B$12&lt;&gt;"",1,0),(K156="x"))*(G156-IFERROR(H156,0))/IFERROR(IF(COUNTIF(J156:U156,"x")=0,COUNTA(Besatzung!$B$11:$B$22),COUNTIF(J156:U156,"x")),1)+IF(COUNTIF(J156:U156,"x")=0,(Besatzung!$F$12="x"),(K156="x")*(Besatzung!$F$12="x"))*IFERROR(H156,0)/IFERROR(IF(COUNTIF(J156:U156,"x")=0,SUMPRODUCT((Besatzung!$B$11:$B$22&lt;&gt;"")*(Besatzung!$F$11:$F$22="x")),SUMPRODUCT((J156:U156="x")*(Besatzung!$F$11:$F$22="x"))),1))))),0))))</f>
        <v/>
      </c>
      <c r="X156" s="247">
        <f>IF(C156="Gutschrift","",IF(G156="","",IF(Besatzung!$B$13="","",IFERROR(IF(I156="Zeitanteilig",(Besatzung!$G$13*(G156-IFERROR(H156,0))+((Besatzung!$B$13&lt;&gt;"")*IF(B156="",1,(IF(Besatzung!$C$13="",Besatzung!$B$5,Besatzung!$C$13)&lt;=B156)*(IF(Besatzung!$D$13="",Besatzung!$B$6,Besatzung!$D$13)&gt;=B156)))*(Besatzung!$F$13="x")*IFERROR(H156,0)/IFERROR(SUMPRODUCT((Besatzung!$B$11:$B$22&lt;&gt;"")*(Besatzung!$F$11:$F$22="x")*(IF(Besatzung!$C$11:$C$22="",Besatzung!$B$5,Besatzung!$C$11:$C$22)&lt;=B156)*(IF(Besatzung!$D$11:$D$22="",Besatzung!$B$6,Besatzung!$D$11:$D$22)&gt;=B156)),1)),IF(I156="An Bord",(((Besatzung!$B$13&lt;&gt;"")*IF(B156="",1,(IF(Besatzung!$C$13="",Besatzung!$B$5,Besatzung!$C$13)&lt;=B156)*(IF(Besatzung!$D$13="",Besatzung!$B$6,Besatzung!$D$13)&gt;=B156)))*((G156-IFERROR(H156,0))/IFERROR(SUMPRODUCT((Besatzung!$B$11:$B$22&lt;&gt;"")*(IF(Besatzung!$C$11:$C$22="",Besatzung!$B$5,Besatzung!$C$11:$C$22)&lt;=B156)*(IF(Besatzung!$D$11:$D$22="",Besatzung!$B$6,Besatzung!$D$11:$D$22)&gt;=B156)),1)+(Besatzung!$F$13="x")*IFERROR(H156,0)/IFERROR(SUMPRODUCT((Besatzung!$B$11:$B$22&lt;&gt;"")*(Besatzung!$F$11:$F$22="x")*(IF(Besatzung!$C$11:$C$22="",Besatzung!$B$5,Besatzung!$C$11:$C$22)&lt;=B156)*(IF(Besatzung!$D$11:$D$22="",Besatzung!$B$6,Besatzung!$D$11:$D$22)&gt;=B156)),1))),IF(I156="Individuell",((K156="x")*((G156-IFERROR(H156,0))/IFERROR(COUNTIF(J156:U156,"x"),1)+(Besatzung!$F$13="x")*IFERROR(H156,0)/IFERROR(SUMPRODUCT((J156:U156="x")*(Besatzung!$F$11:$F$22="x")),1))),(IF(COUNTIF(J156:U156,"x")=0,IF(Besatzung!$B$13&lt;&gt;"",1,0),(K156="x"))*(G156-IFERROR(H156,0))/IFERROR(IF(COUNTIF(J156:U156,"x")=0,COUNTA(Besatzung!$B$11:$B$22),COUNTIF(J156:U156,"x")),1)+IF(COUNTIF(J156:U156,"x")=0,(Besatzung!$F$13="x"),(K156="x")*(Besatzung!$F$13="x"))*IFERROR(H156,0)/IFERROR(IF(COUNTIF(J156:U156,"x")=0,SUMPRODUCT((Besatzung!$B$11:$B$22&lt;&gt;"")*(Besatzung!$F$11:$F$22="x")),SUMPRODUCT((J156:U156="x")*(Besatzung!$F$11:$F$22="x"))),1))))),0))))</f>
        <v/>
      </c>
      <c r="Y156" s="247">
        <f>IF(C156="Gutschrift","",IF(G156="","",IF(Besatzung!$B$14="","",IFERROR(IF(I156="Zeitanteilig",(Besatzung!$G$14*(G156-IFERROR(H156,0))+((Besatzung!$B$14&lt;&gt;"")*IF(B156="",1,(IF(Besatzung!$C$14="",Besatzung!$B$5,Besatzung!$C$14)&lt;=B156)*(IF(Besatzung!$D$14="",Besatzung!$B$6,Besatzung!$D$14)&gt;=B156)))*(Besatzung!$F$14="x")*IFERROR(H156,0)/IFERROR(SUMPRODUCT((Besatzung!$B$11:$B$22&lt;&gt;"")*(Besatzung!$F$11:$F$22="x")*(IF(Besatzung!$C$11:$C$22="",Besatzung!$B$5,Besatzung!$C$11:$C$22)&lt;=B156)*(IF(Besatzung!$D$11:$D$22="",Besatzung!$B$6,Besatzung!$D$11:$D$22)&gt;=B156)),1)),IF(I156="An Bord",(((Besatzung!$B$14&lt;&gt;"")*IF(B156="",1,(IF(Besatzung!$C$14="",Besatzung!$B$5,Besatzung!$C$14)&lt;=B156)*(IF(Besatzung!$D$14="",Besatzung!$B$6,Besatzung!$D$14)&gt;=B156)))*((G156-IFERROR(H156,0))/IFERROR(SUMPRODUCT((Besatzung!$B$11:$B$22&lt;&gt;"")*(IF(Besatzung!$C$11:$C$22="",Besatzung!$B$5,Besatzung!$C$11:$C$22)&lt;=B156)*(IF(Besatzung!$D$11:$D$22="",Besatzung!$B$6,Besatzung!$D$11:$D$22)&gt;=B156)),1)+(Besatzung!$F$14="x")*IFERROR(H156,0)/IFERROR(SUMPRODUCT((Besatzung!$B$11:$B$22&lt;&gt;"")*(Besatzung!$F$11:$F$22="x")*(IF(Besatzung!$C$11:$C$22="",Besatzung!$B$5,Besatzung!$C$11:$C$22)&lt;=B156)*(IF(Besatzung!$D$11:$D$22="",Besatzung!$B$6,Besatzung!$D$11:$D$22)&gt;=B156)),1))),IF(I156="Individuell",((M156="x")*((G156-IFERROR(H156,0))/IFERROR(COUNTIF(J156:U156,"x"),1)+(Besatzung!$F$14="x")*IFERROR(H156,0)/IFERROR(SUMPRODUCT((J156:U156="x")*(Besatzung!$F$11:$F$22="x")),1))),(IF(COUNTIF(J156:U156,"x")=0,IF(Besatzung!$B$14&lt;&gt;"",1,0),(M156="x"))*(G156-IFERROR(H156,0))/IFERROR(IF(COUNTIF(J156:U156,"x")=0,COUNTA(Besatzung!$B$11:$B$22),COUNTIF(J156:U156,"x")),1)+IF(COUNTIF(J156:U156,"x")=0,(Besatzung!$F$14="x"),(M156="x")*(Besatzung!$F$14="x"))*IFERROR(H156,0)/IFERROR(IF(COUNTIF(J156:U156,"x")=0,SUMPRODUCT((Besatzung!$B$11:$B$22&lt;&gt;"")*(Besatzung!$F$11:$F$22="x")),SUMPRODUCT((J156:U156="x")*(Besatzung!$F$11:$F$22="x"))),1))))),0))))</f>
        <v/>
      </c>
      <c r="Z156" s="247">
        <f>IF(C156="Gutschrift","",IF(G156="","",IF(Besatzung!$B$13="","",IFERROR(IF(I156="Zeitanteilig",(Besatzung!$G$15*(G156-IFERROR(H156,0))+((Besatzung!$B$13&lt;&gt;"")*IF(B156="",1,(IF(Besatzung!$C$15="",Besatzung!$B$5,Besatzung!$C$15)&lt;=B156)*(IF(Besatzung!$D$15="",Besatzung!$B$6,Besatzung!$D$15)&gt;=B156)))*(Besatzung!$F$15="x")*IFERROR(H156,0)/IFERROR(SUMPRODUCT((Besatzung!$B$11:$B$22&lt;&gt;"")*(Besatzung!$F$11:$F$22="x")*(IF(Besatzung!$C$11:$C$22="",Besatzung!$B$5,Besatzung!$C$11:$C$22)&lt;=B156)*(IF(Besatzung!$D$11:$D$22="",Besatzung!$B$6,Besatzung!$D$11:$D$22)&gt;=B156)),1)),IF(I156="An Bord",(((Besatzung!$B$13&lt;&gt;"")*IF(B156="",1,(IF(Besatzung!$C$15="",Besatzung!$B$5,Besatzung!$C$15)&lt;=B156)*(IF(Besatzung!$D$15="",Besatzung!$B$6,Besatzung!$D$15)&gt;=B156)))*((G156-IFERROR(H156,0))/IFERROR(SUMPRODUCT((Besatzung!$B$11:$B$22&lt;&gt;"")*(IF(Besatzung!$C$11:$C$22="",Besatzung!$B$5,Besatzung!$C$11:$C$22)&lt;=B156)*(IF(Besatzung!$D$11:$D$22="",Besatzung!$B$6,Besatzung!$D$11:$D$22)&gt;=B156)),1)+(Besatzung!$F$15="x")*IFERROR(H156,0)/IFERROR(SUMPRODUCT((Besatzung!$B$11:$B$22&lt;&gt;"")*(Besatzung!$F$11:$F$22="x")*(IF(Besatzung!$C$11:$C$22="",Besatzung!$B$5,Besatzung!$C$11:$C$22)&lt;=B156)*(IF(Besatzung!$D$11:$D$22="",Besatzung!$B$6,Besatzung!$D$11:$D$22)&gt;=B156)),1))),IF(I156="Individuell",((N156="x")*((G156-IFERROR(H156,0))/IFERROR(COUNTIF(J156:U156,"x"),1)+(Besatzung!$F$15="x")*IFERROR(H156,0)/IFERROR(SUMPRODUCT((J156:U156="x")*(Besatzung!$F$11:$F$22="x")),1))),(IF(COUNTIF(J156:U156,"x")=0,IF(Besatzung!$B$13&lt;&gt;"",1,0),(N156="x"))*(G156-IFERROR(H156,0))/IFERROR(IF(COUNTIF(J156:U156,"x")=0,COUNTA(Besatzung!$B$11:$B$22),COUNTIF(J156:U156,"x")),1)+IF(COUNTIF(J156:U156,"x")=0,(Besatzung!$F$15="x"),(N156="x")*(Besatzung!$F$15="x"))*IFERROR(H156,0)/IFERROR(IF(COUNTIF(J156:U156,"x")=0,SUMPRODUCT((Besatzung!$B$11:$B$22&lt;&gt;"")*(Besatzung!$F$11:$F$22="x")),SUMPRODUCT((J156:U156="x")*(Besatzung!$F$11:$F$22="x"))),1))))),0))))</f>
        <v/>
      </c>
      <c r="AA156" s="247">
        <f>IF(C156="Gutschrift","",IF(G156="","",IF(Besatzung!$B$15="","",IFERROR(IF(I156="Zeitanteilig",(Besatzung!$G$16*(G156-IFERROR(H156,0))+((Besatzung!$B$15&lt;&gt;"")*IF(B156="",1,(IF(Besatzung!$C$16="",Besatzung!$B$5,Besatzung!$C$16)&lt;=B156)*(IF(Besatzung!$D$16="",Besatzung!$B$6,Besatzung!$D$16)&gt;=B156)))*(Besatzung!$F$16="x")*IFERROR(H156,0)/IFERROR(SUMPRODUCT((Besatzung!$B$11:$B$22&lt;&gt;"")*(Besatzung!$F$11:$F$22="x")*(IF(Besatzung!$C$11:$C$22="",Besatzung!$B$5,Besatzung!$C$11:$C$22)&lt;=B156)*(IF(Besatzung!$D$11:$D$22="",Besatzung!$B$6,Besatzung!$D$11:$D$22)&gt;=B156)),1)),IF(I156="An Bord",(((Besatzung!$B$15&lt;&gt;"")*IF(B156="",1,(IF(Besatzung!$C$16="",Besatzung!$B$5,Besatzung!$C$16)&lt;=B156)*(IF(Besatzung!$D$16="",Besatzung!$B$6,Besatzung!$D$16)&gt;=B156)))*((G156-IFERROR(H156,0))/IFERROR(SUMPRODUCT((Besatzung!$B$11:$B$22&lt;&gt;"")*(IF(Besatzung!$C$11:$C$22="",Besatzung!$B$5,Besatzung!$C$11:$C$22)&lt;=B156)*(IF(Besatzung!$D$11:$D$22="",Besatzung!$B$6,Besatzung!$D$11:$D$22)&gt;=B156)),1)+(Besatzung!$F$16="x")*IFERROR(H156,0)/IFERROR(SUMPRODUCT((Besatzung!$B$11:$B$22&lt;&gt;"")*(Besatzung!$F$11:$F$22="x")*(IF(Besatzung!$C$11:$C$22="",Besatzung!$B$5,Besatzung!$C$11:$C$22)&lt;=B156)*(IF(Besatzung!$D$11:$D$22="",Besatzung!$B$6,Besatzung!$D$11:$D$22)&gt;=B156)),1))),IF(I156="Individuell",((O156="x")*((G156-IFERROR(H156,0))/IFERROR(COUNTIF(J156:U156,"x"),1)+(Besatzung!$F$16="x")*IFERROR(H156,0)/IFERROR(SUMPRODUCT((J156:U156="x")*(Besatzung!$F$11:$F$22="x")),1))),(IF(COUNTIF(J156:U156,"x")=0,IF(Besatzung!$B$15&lt;&gt;"",1,0),(O156="x"))*(G156-IFERROR(H156,0))/IFERROR(IF(COUNTIF(J156:U156,"x")=0,COUNTA(Besatzung!$B$11:$B$22),COUNTIF(J156:U156,"x")),1)+IF(COUNTIF(J156:U156,"x")=0,(Besatzung!$F$16="x"),(O156="x")*(Besatzung!$F$16="x"))*IFERROR(H156,0)/IFERROR(IF(COUNTIF(J156:U156,"x")=0,SUMPRODUCT((Besatzung!$B$11:$B$22&lt;&gt;"")*(Besatzung!$F$11:$F$22="x")),SUMPRODUCT((J156:U156="x")*(Besatzung!$F$11:$F$22="x"))),1))))),0))))</f>
        <v/>
      </c>
      <c r="AB156" s="247">
        <f>IF(C156="Gutschrift","",IF(G156="","",IF(Besatzung!$B$17="","",IFERROR(IF(I156="Zeitanteilig",(Besatzung!$G$17*(G156-IFERROR(H156,0))+((Besatzung!$B$17&lt;&gt;"")*IF(B156="",1,(IF(Besatzung!$C$17="",Besatzung!$B$5,Besatzung!$C$17)&lt;=B156)*(IF(Besatzung!$D$17="",Besatzung!$B$6,Besatzung!$D$17)&gt;=B156)))*(Besatzung!$F$17="x")*IFERROR(H156,0)/IFERROR(SUMPRODUCT((Besatzung!$B$11:$B$22&lt;&gt;"")*(Besatzung!$F$11:$F$22="x")*(IF(Besatzung!$C$11:$C$22="",Besatzung!$B$5,Besatzung!$C$11:$C$22)&lt;=B156)*(IF(Besatzung!$D$11:$D$22="",Besatzung!$B$6,Besatzung!$D$11:$D$22)&gt;=B156)),1)),IF(I156="An Bord",(((Besatzung!$B$17&lt;&gt;"")*IF(B156="",1,(IF(Besatzung!$C$17="",Besatzung!$B$5,Besatzung!$C$17)&lt;=B156)*(IF(Besatzung!$D$17="",Besatzung!$B$6,Besatzung!$D$17)&gt;=B156)))*((G156-IFERROR(H156,0))/IFERROR(SUMPRODUCT((Besatzung!$B$11:$B$22&lt;&gt;"")*(IF(Besatzung!$C$11:$C$22="",Besatzung!$B$5,Besatzung!$C$11:$C$22)&lt;=B156)*(IF(Besatzung!$D$11:$D$22="",Besatzung!$B$6,Besatzung!$D$11:$D$22)&gt;=B156)),1)+(Besatzung!$F$17="x")*IFERROR(H156,0)/IFERROR(SUMPRODUCT((Besatzung!$B$11:$B$22&lt;&gt;"")*(Besatzung!$F$11:$F$22="x")*(IF(Besatzung!$C$11:$C$22="",Besatzung!$B$5,Besatzung!$C$11:$C$22)&lt;=B156)*(IF(Besatzung!$D$11:$D$22="",Besatzung!$B$6,Besatzung!$D$11:$D$22)&gt;=B156)),1))),IF(I156="Individuell",((P156="x")*((G156-IFERROR(H156,0))/IFERROR(COUNTIF(J156:U156,"x"),1)+(Besatzung!$F$17="x")*IFERROR(H156,0)/IFERROR(SUMPRODUCT((J156:U156="x")*(Besatzung!$F$11:$F$22="x")),1))),(IF(COUNTIF(J156:U156,"x")=0,IF(Besatzung!$B$17&lt;&gt;"",1,0),(P156="x"))*(G156-IFERROR(H156,0))/IFERROR(IF(COUNTIF(J156:U156,"x")=0,COUNTA(Besatzung!$B$11:$B$22),COUNTIF(J156:U156,"x")),1)+IF(COUNTIF(J156:U156,"x")=0,(Besatzung!$F$17="x"),(P156="x")*(Besatzung!$F$17="x"))*IFERROR(H156,0)/IFERROR(IF(COUNTIF(J156:U156,"x")=0,SUMPRODUCT((Besatzung!$B$11:$B$22&lt;&gt;"")*(Besatzung!$F$11:$F$22="x")),SUMPRODUCT((J156:U156="x")*(Besatzung!$F$11:$F$22="x"))),1))))),0))))</f>
        <v/>
      </c>
      <c r="AC156" s="247">
        <f>IF(C156="Gutschrift","",IF(G156="","",IF(Besatzung!$B$18="","",IFERROR(IF(I156="Zeitanteilig",(Besatzung!$G$18*(G156-IFERROR(H156,0))+((Besatzung!$B$18&lt;&gt;"")*IF(B156="",1,(IF(Besatzung!$C$18="",Besatzung!$B$5,Besatzung!$C$18)&lt;=B156)*(IF(Besatzung!$D$18="",Besatzung!$B$6,Besatzung!$D$18)&gt;=B156)))*(Besatzung!$F$18="x")*IFERROR(H156,0)/IFERROR(SUMPRODUCT((Besatzung!$B$11:$B$22&lt;&gt;"")*(Besatzung!$F$11:$F$22="x")*(IF(Besatzung!$C$11:$C$22="",Besatzung!$B$5,Besatzung!$C$11:$C$22)&lt;=B156)*(IF(Besatzung!$D$11:$D$22="",Besatzung!$B$6,Besatzung!$D$11:$D$22)&gt;=B156)),1)),IF(I156="An Bord",(((Besatzung!$B$18&lt;&gt;"")*IF(B156="",1,(IF(Besatzung!$C$18="",Besatzung!$B$5,Besatzung!$C$18)&lt;=B156)*(IF(Besatzung!$D$18="",Besatzung!$B$6,Besatzung!$D$18)&gt;=B156)))*((G156-IFERROR(H156,0))/IFERROR(SUMPRODUCT((Besatzung!$B$11:$B$22&lt;&gt;"")*(IF(Besatzung!$C$11:$C$22="",Besatzung!$B$5,Besatzung!$C$11:$C$22)&lt;=B156)*(IF(Besatzung!$D$11:$D$22="",Besatzung!$B$6,Besatzung!$D$11:$D$22)&gt;=B156)),1)+(Besatzung!$F$18="x")*IFERROR(H156,0)/IFERROR(SUMPRODUCT((Besatzung!$B$11:$B$22&lt;&gt;"")*(Besatzung!$F$11:$F$22="x")*(IF(Besatzung!$C$11:$C$22="",Besatzung!$B$5,Besatzung!$C$11:$C$22)&lt;=B156)*(IF(Besatzung!$D$11:$D$22="",Besatzung!$B$6,Besatzung!$D$11:$D$22)&gt;=B156)),1))),IF(I156="Individuell",((Q156="x")*((G156-IFERROR(H156,0))/IFERROR(COUNTIF(J156:U156,"x"),1)+(Besatzung!$F$18="x")*IFERROR(H156,0)/IFERROR(SUMPRODUCT((J156:U156="x")*(Besatzung!$F$11:$F$22="x")),1))),(IF(COUNTIF(J156:U156,"x")=0,IF(Besatzung!$B$18&lt;&gt;"",1,0),(Q156="x"))*(G156-IFERROR(H156,0))/IFERROR(IF(COUNTIF(J156:U156,"x")=0,COUNTA(Besatzung!$B$11:$B$22),COUNTIF(J156:U156,"x")),1)+IF(COUNTIF(J156:U156,"x")=0,(Besatzung!$F$18="x"),(Q156="x")*(Besatzung!$F$18="x"))*IFERROR(H156,0)/IFERROR(IF(COUNTIF(J156:U156,"x")=0,SUMPRODUCT((Besatzung!$B$11:$B$22&lt;&gt;"")*(Besatzung!$F$11:$F$22="x")),SUMPRODUCT((J156:U156="x")*(Besatzung!$F$11:$F$22="x"))),1))))),0))))</f>
        <v/>
      </c>
      <c r="AD156" s="247">
        <f>IF(C156="Gutschrift","",IF(G156="","",IF(Besatzung!$B$19="","",IFERROR(IF(I156="Zeitanteilig",(Besatzung!$G$19*(G156-IFERROR(H156,0))+((Besatzung!$B$19&lt;&gt;"")*IF(B156="",1,(IF(Besatzung!$C$19="",Besatzung!$B$5,Besatzung!$C$19)&lt;=B156)*(IF(Besatzung!$D$19="",Besatzung!$B$6,Besatzung!$D$19)&gt;=B156)))*(Besatzung!$F$19="x")*IFERROR(H156,0)/IFERROR(SUMPRODUCT((Besatzung!$B$11:$B$22&lt;&gt;"")*(Besatzung!$F$11:$F$22="x")*(IF(Besatzung!$C$11:$C$22="",Besatzung!$B$5,Besatzung!$C$11:$C$22)&lt;=B156)*(IF(Besatzung!$D$11:$D$22="",Besatzung!$B$6,Besatzung!$D$11:$D$22)&gt;=B156)),1)),IF(I156="An Bord",(((Besatzung!$B$19&lt;&gt;"")*IF(B156="",1,(IF(Besatzung!$C$19="",Besatzung!$B$5,Besatzung!$C$19)&lt;=B156)*(IF(Besatzung!$D$19="",Besatzung!$B$6,Besatzung!$D$19)&gt;=B156)))*((G156-IFERROR(H156,0))/IFERROR(SUMPRODUCT((Besatzung!$B$11:$B$22&lt;&gt;"")*(IF(Besatzung!$C$11:$C$22="",Besatzung!$B$5,Besatzung!$C$11:$C$22)&lt;=B156)*(IF(Besatzung!$D$11:$D$22="",Besatzung!$B$6,Besatzung!$D$11:$D$22)&gt;=B156)),1)+(Besatzung!$F$19="x")*IFERROR(H156,0)/IFERROR(SUMPRODUCT((Besatzung!$B$11:$B$22&lt;&gt;"")*(Besatzung!$F$11:$F$22="x")*(IF(Besatzung!$C$11:$C$22="",Besatzung!$B$5,Besatzung!$C$11:$C$22)&lt;=B156)*(IF(Besatzung!$D$11:$D$22="",Besatzung!$B$6,Besatzung!$D$11:$D$22)&gt;=B156)),1))),IF(I156="Individuell",((R156="x")*((G156-IFERROR(H156,0))/IFERROR(COUNTIF(J156:U156,"x"),1)+(Besatzung!$F$19="x")*IFERROR(H156,0)/IFERROR(SUMPRODUCT((J156:U156="x")*(Besatzung!$F$11:$F$22="x")),1))),(IF(COUNTIF(J156:U156,"x")=0,IF(Besatzung!$B$19&lt;&gt;"",1,0),(R156="x"))*(G156-IFERROR(H156,0))/IFERROR(IF(COUNTIF(J156:U156,"x")=0,COUNTA(Besatzung!$B$11:$B$22),COUNTIF(J156:U156,"x")),1)+IF(COUNTIF(J156:U156,"x")=0,(Besatzung!$F$19="x"),(R156="x")*(Besatzung!$F$19="x"))*IFERROR(H156,0)/IFERROR(IF(COUNTIF(J156:U156,"x")=0,SUMPRODUCT((Besatzung!$B$11:$B$22&lt;&gt;"")*(Besatzung!$F$11:$F$22="x")),SUMPRODUCT((J156:U156="x")*(Besatzung!$F$11:$F$22="x"))),1))))),0))))</f>
        <v/>
      </c>
      <c r="AE156" s="247">
        <f>IF(C156="Gutschrift","",IF(G156="","",IF(Besatzung!$B$20="","",IFERROR(IF(I156="Zeitanteilig",(Besatzung!$G$20*(G156-IFERROR(H156,0))+((Besatzung!$B$20&lt;&gt;"")*IF(B156="",1,(IF(Besatzung!$C$20="",Besatzung!$B$5,Besatzung!$C$20)&lt;=B156)*(IF(Besatzung!$D$20="",Besatzung!$B$6,Besatzung!$D$20)&gt;=B156)))*(Besatzung!$F$20="x")*IFERROR(H156,0)/IFERROR(SUMPRODUCT((Besatzung!$B$11:$B$22&lt;&gt;"")*(Besatzung!$F$11:$F$22="x")*(IF(Besatzung!$C$11:$C$22="",Besatzung!$B$5,Besatzung!$C$11:$C$22)&lt;=B156)*(IF(Besatzung!$D$11:$D$22="",Besatzung!$B$6,Besatzung!$D$11:$D$22)&gt;=B156)),1)),IF(I156="An Bord",(((Besatzung!$B$20&lt;&gt;"")*IF(B156="",1,(IF(Besatzung!$C$20="",Besatzung!$B$5,Besatzung!$C$20)&lt;=B156)*(IF(Besatzung!$D$20="",Besatzung!$B$6,Besatzung!$D$20)&gt;=B156)))*((G156-IFERROR(H156,0))/IFERROR(SUMPRODUCT((Besatzung!$B$11:$B$22&lt;&gt;"")*(IF(Besatzung!$C$11:$C$22="",Besatzung!$B$5,Besatzung!$C$11:$C$22)&lt;=B156)*(IF(Besatzung!$D$11:$D$22="",Besatzung!$B$6,Besatzung!$D$11:$D$22)&gt;=B156)),1)+(Besatzung!$F$20="x")*IFERROR(H156,0)/IFERROR(SUMPRODUCT((Besatzung!$B$11:$B$22&lt;&gt;"")*(Besatzung!$F$11:$F$22="x")*(IF(Besatzung!$C$11:$C$22="",Besatzung!$B$5,Besatzung!$C$11:$C$22)&lt;=B156)*(IF(Besatzung!$D$11:$D$22="",Besatzung!$B$6,Besatzung!$D$11:$D$22)&gt;=B156)),1))),IF(I156="Individuell",((S156="x")*((G156-IFERROR(H156,0))/IFERROR(COUNTIF(J156:U156,"x"),1)+(Besatzung!$F$20="x")*IFERROR(H156,0)/IFERROR(SUMPRODUCT((J156:U156="x")*(Besatzung!$F$11:$F$22="x")),1))),(IF(COUNTIF(J156:U156,"x")=0,IF(Besatzung!$B$20&lt;&gt;"",1,0),(S156="x"))*(G156-IFERROR(H156,0))/IFERROR(IF(COUNTIF(J156:U156,"x")=0,COUNTA(Besatzung!$B$11:$B$22),COUNTIF(J156:U156,"x")),1)+IF(COUNTIF(J156:U156,"x")=0,(Besatzung!$F$20="x"),(S156="x")*(Besatzung!$F$20="x"))*IFERROR(H156,0)/IFERROR(IF(COUNTIF(J156:U156,"x")=0,SUMPRODUCT((Besatzung!$B$11:$B$22&lt;&gt;"")*(Besatzung!$F$11:$F$22="x")),SUMPRODUCT((J156:U156="x")*(Besatzung!$F$11:$F$22="x"))),1))))),0))))</f>
        <v/>
      </c>
      <c r="AF156" s="247">
        <f>IF(C156="Gutschrift","",IF(G156="","",IF(Besatzung!$B$21="","",IFERROR(IF(I156="Zeitanteilig",(Besatzung!$G$21*(G156-IFERROR(H156,0))+((Besatzung!$B$21&lt;&gt;"")*IF(B156="",1,(IF(Besatzung!$C$21="",Besatzung!$B$5,Besatzung!$C$21)&lt;=B156)*(IF(Besatzung!$D$21="",Besatzung!$B$6,Besatzung!$D$21)&gt;=B156)))*(Besatzung!$F$21="x")*IFERROR(H156,0)/IFERROR(SUMPRODUCT((Besatzung!$B$11:$B$22&lt;&gt;"")*(Besatzung!$F$11:$F$22="x")*(IF(Besatzung!$C$11:$C$22="",Besatzung!$B$5,Besatzung!$C$11:$C$22)&lt;=B156)*(IF(Besatzung!$D$11:$D$22="",Besatzung!$B$6,Besatzung!$D$11:$D$22)&gt;=B156)),1)),IF(I156="An Bord",(((Besatzung!$B$21&lt;&gt;"")*IF(B156="",1,(IF(Besatzung!$C$21="",Besatzung!$B$5,Besatzung!$C$21)&lt;=B156)*(IF(Besatzung!$D$21="",Besatzung!$B$6,Besatzung!$D$21)&gt;=B156)))*((G156-IFERROR(H156,0))/IFERROR(SUMPRODUCT((Besatzung!$B$11:$B$22&lt;&gt;"")*(IF(Besatzung!$C$11:$C$22="",Besatzung!$B$5,Besatzung!$C$11:$C$22)&lt;=B156)*(IF(Besatzung!$D$11:$D$22="",Besatzung!$B$6,Besatzung!$D$11:$D$22)&gt;=B156)),1)+(Besatzung!$F$21="x")*IFERROR(H156,0)/IFERROR(SUMPRODUCT((Besatzung!$B$11:$B$22&lt;&gt;"")*(Besatzung!$F$11:$F$22="x")*(IF(Besatzung!$C$11:$C$22="",Besatzung!$B$5,Besatzung!$C$11:$C$22)&lt;=B156)*(IF(Besatzung!$D$11:$D$22="",Besatzung!$B$6,Besatzung!$D$11:$D$22)&gt;=B156)),1))),IF(I156="Individuell",((T156="x")*((G156-IFERROR(H156,0))/IFERROR(COUNTIF(J156:U156,"x"),1)+(Besatzung!$F$21="x")*IFERROR(H156,0)/IFERROR(SUMPRODUCT((J156:U156="x")*(Besatzung!$F$11:$F$22="x")),1))),(IF(COUNTIF(J156:U156,"x")=0,IF(Besatzung!$B$21&lt;&gt;"",1,0),(T156="x"))*(G156-IFERROR(H156,0))/IFERROR(IF(COUNTIF(J156:U156,"x")=0,COUNTA(Besatzung!$B$11:$B$22),COUNTIF(J156:U156,"x")),1)+IF(COUNTIF(J156:U156,"x")=0,(Besatzung!$F$21="x"),(T156="x")*(Besatzung!$F$21="x"))*IFERROR(H156,0)/IFERROR(IF(COUNTIF(J156:U156,"x")=0,SUMPRODUCT((Besatzung!$B$11:$B$22&lt;&gt;"")*(Besatzung!$F$11:$F$22="x")),SUMPRODUCT((J156:U156="x")*(Besatzung!$F$11:$F$22="x"))),1))))),0))))</f>
        <v/>
      </c>
      <c r="AG156" s="247">
        <f>IF(C156="Gutschrift","",IF(G156="","",IF(Besatzung!$B$22="","",IFERROR(IF(I156="Zeitanteilig",(Besatzung!$G$22*(G156-IFERROR(H156,0))+((Besatzung!$B$22&lt;&gt;"")*IF(B156="",1,(IF(Besatzung!$C$22="",Besatzung!$B$5,Besatzung!$C$22)&lt;=B156)*(IF(Besatzung!$D$22="",Besatzung!$B$6,Besatzung!$D$22)&gt;=B156)))*(Besatzung!$F$22="x")*IFERROR(H156,0)/IFERROR(SUMPRODUCT((Besatzung!$B$11:$B$22&lt;&gt;"")*(Besatzung!$F$11:$F$22="x")*(IF(Besatzung!$C$11:$C$22="",Besatzung!$B$5,Besatzung!$C$11:$C$22)&lt;=B156)*(IF(Besatzung!$D$11:$D$22="",Besatzung!$B$6,Besatzung!$D$11:$D$22)&gt;=B156)),1)),IF(I156="An Bord",(((Besatzung!$B$22&lt;&gt;"")*IF(B156="",1,(IF(Besatzung!$C$22="",Besatzung!$B$5,Besatzung!$C$22)&lt;=B156)*(IF(Besatzung!$D$22="",Besatzung!$B$6,Besatzung!$D$22)&gt;=B156)))*((G156-IFERROR(H156,0))/IFERROR(SUMPRODUCT((Besatzung!$B$11:$B$22&lt;&gt;"")*(IF(Besatzung!$C$11:$C$22="",Besatzung!$B$5,Besatzung!$C$11:$C$22)&lt;=B156)*(IF(Besatzung!$D$11:$D$22="",Besatzung!$B$6,Besatzung!$D$11:$D$22)&gt;=B156)),1)+(Besatzung!$F$22="x")*IFERROR(H156,0)/IFERROR(SUMPRODUCT((Besatzung!$B$11:$B$22&lt;&gt;"")*(Besatzung!$F$11:$F$22="x")*(IF(Besatzung!$C$11:$C$22="",Besatzung!$B$5,Besatzung!$C$11:$C$22)&lt;=B156)*(IF(Besatzung!$D$11:$D$22="",Besatzung!$B$6,Besatzung!$D$11:$D$22)&gt;=B156)),1))),IF(I156="Individuell",((U156="x")*((G156-IFERROR(H156,0))/IFERROR(COUNTIF(J156:U156,"x"),1)+(Besatzung!$F$22="x")*IFERROR(H156,0)/IFERROR(SUMPRODUCT((J156:U156="x")*(Besatzung!$F$11:$F$22="x")),1))),(IF(COUNTIF(J156:U156,"x")=0,IF(Besatzung!$B$22&lt;&gt;"",1,0),(U156="x"))*(G156-IFERROR(H156,0))/IFERROR(IF(COUNTIF(J156:U156,"x")=0,COUNTA(Besatzung!$B$11:$B$22),COUNTIF(J156:U156,"x")),1)+IF(COUNTIF(J156:U156,"x")=0,(Besatzung!$F$22="x"),(U156="x")*(Besatzung!$F$22="x"))*IFERROR(H156,0)/IFERROR(IF(COUNTIF(J156:U156,"x")=0,SUMPRODUCT((Besatzung!$B$11:$B$22&lt;&gt;"")*(Besatzung!$F$11:$F$22="x")),SUMPRODUCT((J156:U156="x")*(Besatzung!$F$11:$F$22="x"))),1))))),0))))</f>
        <v/>
      </c>
      <c r="AH156" s="248" t="n"/>
      <c r="AI156" s="248" t="n"/>
    </row>
    <row r="157" ht="21.75" customHeight="1" s="154">
      <c r="A157" s="238">
        <f>IF(AND(D157="",C157=""),"",154)</f>
        <v/>
      </c>
      <c r="B157" s="206" t="n"/>
      <c r="C157" s="249" t="n"/>
      <c r="D157" s="250" t="n"/>
      <c r="E157" s="251" t="n"/>
      <c r="F157" s="252" t="n"/>
      <c r="G157" s="253" t="n"/>
      <c r="H157" s="254" t="n"/>
      <c r="I157" s="255" t="n"/>
      <c r="J157" s="256" t="n"/>
      <c r="K157" s="256" t="n"/>
      <c r="L157" s="256" t="n"/>
      <c r="M157" s="256" t="n"/>
      <c r="N157" s="256" t="n"/>
      <c r="O157" s="256" t="n"/>
      <c r="P157" s="256" t="n"/>
      <c r="Q157" s="256" t="n"/>
      <c r="R157" s="256" t="n"/>
      <c r="S157" s="256" t="n"/>
      <c r="T157" s="256" t="n"/>
      <c r="U157" s="256" t="n"/>
      <c r="V157" s="247">
        <f>IF(C157="Gutschrift","",IF(G157="","",IF(Besatzung!$B$11="","",IFERROR(IF(I157="Zeitanteilig",(Besatzung!$G$11*(G157-IFERROR(H157,0))+((Besatzung!$B$11&lt;&gt;"")*IF(B157="",1,(IF(Besatzung!$C$11="",Besatzung!$B$5,Besatzung!$C$11)&lt;=B157)*(IF(Besatzung!$D$11="",Besatzung!$B$6,Besatzung!$D$11)&gt;=B157)))*(Besatzung!$F$11="x")*IFERROR(H157,0)/IFERROR(SUMPRODUCT((Besatzung!$B$11:$B$22&lt;&gt;"")*(Besatzung!$F$11:$F$22="x")*(IF(Besatzung!$C$11:$C$22="",Besatzung!$B$5,Besatzung!$C$11:$C$22)&lt;=B157)*(IF(Besatzung!$D$11:$D$22="",Besatzung!$B$6,Besatzung!$D$11:$D$22)&gt;=B157)),1)),IF(I157="An Bord",(((Besatzung!$B$11&lt;&gt;"")*IF(B157="",1,(IF(Besatzung!$C$11="",Besatzung!$B$5,Besatzung!$C$11)&lt;=B157)*(IF(Besatzung!$D$11="",Besatzung!$B$6,Besatzung!$D$11)&gt;=B157)))*((G157-IFERROR(H157,0))/IFERROR(SUMPRODUCT((Besatzung!$B$11:$B$22&lt;&gt;"")*(IF(Besatzung!$C$11:$C$22="",Besatzung!$B$5,Besatzung!$C$11:$C$22)&lt;=B157)*(IF(Besatzung!$D$11:$D$22="",Besatzung!$B$6,Besatzung!$D$11:$D$22)&gt;=B157)),1)+(Besatzung!$F$11="x")*IFERROR(H157,0)/IFERROR(SUMPRODUCT((Besatzung!$B$11:$B$22&lt;&gt;"")*(Besatzung!$F$11:$F$22="x")*(IF(Besatzung!$C$11:$C$22="",Besatzung!$B$5,Besatzung!$C$11:$C$22)&lt;=B157)*(IF(Besatzung!$D$11:$D$22="",Besatzung!$B$6,Besatzung!$D$11:$D$22)&gt;=B157)),1))),IF(I157="Individuell",((J157="x")*((G157-IFERROR(H157,0))/IFERROR(COUNTIF(J157:U157,"x"),1)+(Besatzung!$F$11="x")*IFERROR(H157,0)/IFERROR(SUMPRODUCT((J157:U157="x")*(Besatzung!$F$11:$F$22="x")),1))),(IF(COUNTIF(J157:U157,"x")=0,IF(Besatzung!$B$11&lt;&gt;"",1,0),(J157="x"))*(G157-IFERROR(H157,0))/IFERROR(IF(COUNTIF(J157:U157,"x")=0,COUNTA(Besatzung!$B$11:$B$22),COUNTIF(J157:U157,"x")),1)+IF(COUNTIF(J157:U157,"x")=0,(Besatzung!$F$11="x"),(J157="x")*(Besatzung!$F$11="x"))*IFERROR(H157,0)/IFERROR(IF(COUNTIF(J157:U157,"x")=0,SUMPRODUCT((Besatzung!$B$11:$B$22&lt;&gt;"")*(Besatzung!$F$11:$F$22="x")),SUMPRODUCT((J157:U157="x")*(Besatzung!$F$11:$F$22="x"))),1))))),0))))</f>
        <v/>
      </c>
      <c r="W157" s="247">
        <f>IF(C157="Gutschrift","",IF(G157="","",IF(Besatzung!$B$12="","",IFERROR(IF(I157="Zeitanteilig",(Besatzung!$G$12*(G157-IFERROR(H157,0))+((Besatzung!$B$12&lt;&gt;"")*IF(B157="",1,(IF(Besatzung!$C$12="",Besatzung!$B$5,Besatzung!$C$12)&lt;=B157)*(IF(Besatzung!$D$12="",Besatzung!$B$6,Besatzung!$D$12)&gt;=B157)))*(Besatzung!$F$12="x")*IFERROR(H157,0)/IFERROR(SUMPRODUCT((Besatzung!$B$11:$B$22&lt;&gt;"")*(Besatzung!$F$11:$F$22="x")*(IF(Besatzung!$C$11:$C$22="",Besatzung!$B$5,Besatzung!$C$11:$C$22)&lt;=B157)*(IF(Besatzung!$D$11:$D$22="",Besatzung!$B$6,Besatzung!$D$11:$D$22)&gt;=B157)),1)),IF(I157="An Bord",(((Besatzung!$B$12&lt;&gt;"")*IF(B157="",1,(IF(Besatzung!$C$12="",Besatzung!$B$5,Besatzung!$C$12)&lt;=B157)*(IF(Besatzung!$D$12="",Besatzung!$B$6,Besatzung!$D$12)&gt;=B157)))*((G157-IFERROR(H157,0))/IFERROR(SUMPRODUCT((Besatzung!$B$11:$B$22&lt;&gt;"")*(IF(Besatzung!$C$11:$C$22="",Besatzung!$B$5,Besatzung!$C$11:$C$22)&lt;=B157)*(IF(Besatzung!$D$11:$D$22="",Besatzung!$B$6,Besatzung!$D$11:$D$22)&gt;=B157)),1)+(Besatzung!$F$12="x")*IFERROR(H157,0)/IFERROR(SUMPRODUCT((Besatzung!$B$11:$B$22&lt;&gt;"")*(Besatzung!$F$11:$F$22="x")*(IF(Besatzung!$C$11:$C$22="",Besatzung!$B$5,Besatzung!$C$11:$C$22)&lt;=B157)*(IF(Besatzung!$D$11:$D$22="",Besatzung!$B$6,Besatzung!$D$11:$D$22)&gt;=B157)),1))),IF(I157="Individuell",((K157="x")*((G157-IFERROR(H157,0))/IFERROR(COUNTIF(J157:U157,"x"),1)+(Besatzung!$F$12="x")*IFERROR(H157,0)/IFERROR(SUMPRODUCT((J157:U157="x")*(Besatzung!$F$11:$F$22="x")),1))),(IF(COUNTIF(J157:U157,"x")=0,IF(Besatzung!$B$12&lt;&gt;"",1,0),(K157="x"))*(G157-IFERROR(H157,0))/IFERROR(IF(COUNTIF(J157:U157,"x")=0,COUNTA(Besatzung!$B$11:$B$22),COUNTIF(J157:U157,"x")),1)+IF(COUNTIF(J157:U157,"x")=0,(Besatzung!$F$12="x"),(K157="x")*(Besatzung!$F$12="x"))*IFERROR(H157,0)/IFERROR(IF(COUNTIF(J157:U157,"x")=0,SUMPRODUCT((Besatzung!$B$11:$B$22&lt;&gt;"")*(Besatzung!$F$11:$F$22="x")),SUMPRODUCT((J157:U157="x")*(Besatzung!$F$11:$F$22="x"))),1))))),0))))</f>
        <v/>
      </c>
      <c r="X157" s="247">
        <f>IF(C157="Gutschrift","",IF(G157="","",IF(Besatzung!$B$13="","",IFERROR(IF(I157="Zeitanteilig",(Besatzung!$G$13*(G157-IFERROR(H157,0))+((Besatzung!$B$13&lt;&gt;"")*IF(B157="",1,(IF(Besatzung!$C$13="",Besatzung!$B$5,Besatzung!$C$13)&lt;=B157)*(IF(Besatzung!$D$13="",Besatzung!$B$6,Besatzung!$D$13)&gt;=B157)))*(Besatzung!$F$13="x")*IFERROR(H157,0)/IFERROR(SUMPRODUCT((Besatzung!$B$11:$B$22&lt;&gt;"")*(Besatzung!$F$11:$F$22="x")*(IF(Besatzung!$C$11:$C$22="",Besatzung!$B$5,Besatzung!$C$11:$C$22)&lt;=B157)*(IF(Besatzung!$D$11:$D$22="",Besatzung!$B$6,Besatzung!$D$11:$D$22)&gt;=B157)),1)),IF(I157="An Bord",(((Besatzung!$B$13&lt;&gt;"")*IF(B157="",1,(IF(Besatzung!$C$13="",Besatzung!$B$5,Besatzung!$C$13)&lt;=B157)*(IF(Besatzung!$D$13="",Besatzung!$B$6,Besatzung!$D$13)&gt;=B157)))*((G157-IFERROR(H157,0))/IFERROR(SUMPRODUCT((Besatzung!$B$11:$B$22&lt;&gt;"")*(IF(Besatzung!$C$11:$C$22="",Besatzung!$B$5,Besatzung!$C$11:$C$22)&lt;=B157)*(IF(Besatzung!$D$11:$D$22="",Besatzung!$B$6,Besatzung!$D$11:$D$22)&gt;=B157)),1)+(Besatzung!$F$13="x")*IFERROR(H157,0)/IFERROR(SUMPRODUCT((Besatzung!$B$11:$B$22&lt;&gt;"")*(Besatzung!$F$11:$F$22="x")*(IF(Besatzung!$C$11:$C$22="",Besatzung!$B$5,Besatzung!$C$11:$C$22)&lt;=B157)*(IF(Besatzung!$D$11:$D$22="",Besatzung!$B$6,Besatzung!$D$11:$D$22)&gt;=B157)),1))),IF(I157="Individuell",((K157="x")*((G157-IFERROR(H157,0))/IFERROR(COUNTIF(J157:U157,"x"),1)+(Besatzung!$F$13="x")*IFERROR(H157,0)/IFERROR(SUMPRODUCT((J157:U157="x")*(Besatzung!$F$11:$F$22="x")),1))),(IF(COUNTIF(J157:U157,"x")=0,IF(Besatzung!$B$13&lt;&gt;"",1,0),(K157="x"))*(G157-IFERROR(H157,0))/IFERROR(IF(COUNTIF(J157:U157,"x")=0,COUNTA(Besatzung!$B$11:$B$22),COUNTIF(J157:U157,"x")),1)+IF(COUNTIF(J157:U157,"x")=0,(Besatzung!$F$13="x"),(K157="x")*(Besatzung!$F$13="x"))*IFERROR(H157,0)/IFERROR(IF(COUNTIF(J157:U157,"x")=0,SUMPRODUCT((Besatzung!$B$11:$B$22&lt;&gt;"")*(Besatzung!$F$11:$F$22="x")),SUMPRODUCT((J157:U157="x")*(Besatzung!$F$11:$F$22="x"))),1))))),0))))</f>
        <v/>
      </c>
      <c r="Y157" s="247">
        <f>IF(C157="Gutschrift","",IF(G157="","",IF(Besatzung!$B$14="","",IFERROR(IF(I157="Zeitanteilig",(Besatzung!$G$14*(G157-IFERROR(H157,0))+((Besatzung!$B$14&lt;&gt;"")*IF(B157="",1,(IF(Besatzung!$C$14="",Besatzung!$B$5,Besatzung!$C$14)&lt;=B157)*(IF(Besatzung!$D$14="",Besatzung!$B$6,Besatzung!$D$14)&gt;=B157)))*(Besatzung!$F$14="x")*IFERROR(H157,0)/IFERROR(SUMPRODUCT((Besatzung!$B$11:$B$22&lt;&gt;"")*(Besatzung!$F$11:$F$22="x")*(IF(Besatzung!$C$11:$C$22="",Besatzung!$B$5,Besatzung!$C$11:$C$22)&lt;=B157)*(IF(Besatzung!$D$11:$D$22="",Besatzung!$B$6,Besatzung!$D$11:$D$22)&gt;=B157)),1)),IF(I157="An Bord",(((Besatzung!$B$14&lt;&gt;"")*IF(B157="",1,(IF(Besatzung!$C$14="",Besatzung!$B$5,Besatzung!$C$14)&lt;=B157)*(IF(Besatzung!$D$14="",Besatzung!$B$6,Besatzung!$D$14)&gt;=B157)))*((G157-IFERROR(H157,0))/IFERROR(SUMPRODUCT((Besatzung!$B$11:$B$22&lt;&gt;"")*(IF(Besatzung!$C$11:$C$22="",Besatzung!$B$5,Besatzung!$C$11:$C$22)&lt;=B157)*(IF(Besatzung!$D$11:$D$22="",Besatzung!$B$6,Besatzung!$D$11:$D$22)&gt;=B157)),1)+(Besatzung!$F$14="x")*IFERROR(H157,0)/IFERROR(SUMPRODUCT((Besatzung!$B$11:$B$22&lt;&gt;"")*(Besatzung!$F$11:$F$22="x")*(IF(Besatzung!$C$11:$C$22="",Besatzung!$B$5,Besatzung!$C$11:$C$22)&lt;=B157)*(IF(Besatzung!$D$11:$D$22="",Besatzung!$B$6,Besatzung!$D$11:$D$22)&gt;=B157)),1))),IF(I157="Individuell",((M157="x")*((G157-IFERROR(H157,0))/IFERROR(COUNTIF(J157:U157,"x"),1)+(Besatzung!$F$14="x")*IFERROR(H157,0)/IFERROR(SUMPRODUCT((J157:U157="x")*(Besatzung!$F$11:$F$22="x")),1))),(IF(COUNTIF(J157:U157,"x")=0,IF(Besatzung!$B$14&lt;&gt;"",1,0),(M157="x"))*(G157-IFERROR(H157,0))/IFERROR(IF(COUNTIF(J157:U157,"x")=0,COUNTA(Besatzung!$B$11:$B$22),COUNTIF(J157:U157,"x")),1)+IF(COUNTIF(J157:U157,"x")=0,(Besatzung!$F$14="x"),(M157="x")*(Besatzung!$F$14="x"))*IFERROR(H157,0)/IFERROR(IF(COUNTIF(J157:U157,"x")=0,SUMPRODUCT((Besatzung!$B$11:$B$22&lt;&gt;"")*(Besatzung!$F$11:$F$22="x")),SUMPRODUCT((J157:U157="x")*(Besatzung!$F$11:$F$22="x"))),1))))),0))))</f>
        <v/>
      </c>
      <c r="Z157" s="247">
        <f>IF(C157="Gutschrift","",IF(G157="","",IF(Besatzung!$B$13="","",IFERROR(IF(I157="Zeitanteilig",(Besatzung!$G$15*(G157-IFERROR(H157,0))+((Besatzung!$B$13&lt;&gt;"")*IF(B157="",1,(IF(Besatzung!$C$15="",Besatzung!$B$5,Besatzung!$C$15)&lt;=B157)*(IF(Besatzung!$D$15="",Besatzung!$B$6,Besatzung!$D$15)&gt;=B157)))*(Besatzung!$F$15="x")*IFERROR(H157,0)/IFERROR(SUMPRODUCT((Besatzung!$B$11:$B$22&lt;&gt;"")*(Besatzung!$F$11:$F$22="x")*(IF(Besatzung!$C$11:$C$22="",Besatzung!$B$5,Besatzung!$C$11:$C$22)&lt;=B157)*(IF(Besatzung!$D$11:$D$22="",Besatzung!$B$6,Besatzung!$D$11:$D$22)&gt;=B157)),1)),IF(I157="An Bord",(((Besatzung!$B$13&lt;&gt;"")*IF(B157="",1,(IF(Besatzung!$C$15="",Besatzung!$B$5,Besatzung!$C$15)&lt;=B157)*(IF(Besatzung!$D$15="",Besatzung!$B$6,Besatzung!$D$15)&gt;=B157)))*((G157-IFERROR(H157,0))/IFERROR(SUMPRODUCT((Besatzung!$B$11:$B$22&lt;&gt;"")*(IF(Besatzung!$C$11:$C$22="",Besatzung!$B$5,Besatzung!$C$11:$C$22)&lt;=B157)*(IF(Besatzung!$D$11:$D$22="",Besatzung!$B$6,Besatzung!$D$11:$D$22)&gt;=B157)),1)+(Besatzung!$F$15="x")*IFERROR(H157,0)/IFERROR(SUMPRODUCT((Besatzung!$B$11:$B$22&lt;&gt;"")*(Besatzung!$F$11:$F$22="x")*(IF(Besatzung!$C$11:$C$22="",Besatzung!$B$5,Besatzung!$C$11:$C$22)&lt;=B157)*(IF(Besatzung!$D$11:$D$22="",Besatzung!$B$6,Besatzung!$D$11:$D$22)&gt;=B157)),1))),IF(I157="Individuell",((N157="x")*((G157-IFERROR(H157,0))/IFERROR(COUNTIF(J157:U157,"x"),1)+(Besatzung!$F$15="x")*IFERROR(H157,0)/IFERROR(SUMPRODUCT((J157:U157="x")*(Besatzung!$F$11:$F$22="x")),1))),(IF(COUNTIF(J157:U157,"x")=0,IF(Besatzung!$B$13&lt;&gt;"",1,0),(N157="x"))*(G157-IFERROR(H157,0))/IFERROR(IF(COUNTIF(J157:U157,"x")=0,COUNTA(Besatzung!$B$11:$B$22),COUNTIF(J157:U157,"x")),1)+IF(COUNTIF(J157:U157,"x")=0,(Besatzung!$F$15="x"),(N157="x")*(Besatzung!$F$15="x"))*IFERROR(H157,0)/IFERROR(IF(COUNTIF(J157:U157,"x")=0,SUMPRODUCT((Besatzung!$B$11:$B$22&lt;&gt;"")*(Besatzung!$F$11:$F$22="x")),SUMPRODUCT((J157:U157="x")*(Besatzung!$F$11:$F$22="x"))),1))))),0))))</f>
        <v/>
      </c>
      <c r="AA157" s="247">
        <f>IF(C157="Gutschrift","",IF(G157="","",IF(Besatzung!$B$15="","",IFERROR(IF(I157="Zeitanteilig",(Besatzung!$G$16*(G157-IFERROR(H157,0))+((Besatzung!$B$15&lt;&gt;"")*IF(B157="",1,(IF(Besatzung!$C$16="",Besatzung!$B$5,Besatzung!$C$16)&lt;=B157)*(IF(Besatzung!$D$16="",Besatzung!$B$6,Besatzung!$D$16)&gt;=B157)))*(Besatzung!$F$16="x")*IFERROR(H157,0)/IFERROR(SUMPRODUCT((Besatzung!$B$11:$B$22&lt;&gt;"")*(Besatzung!$F$11:$F$22="x")*(IF(Besatzung!$C$11:$C$22="",Besatzung!$B$5,Besatzung!$C$11:$C$22)&lt;=B157)*(IF(Besatzung!$D$11:$D$22="",Besatzung!$B$6,Besatzung!$D$11:$D$22)&gt;=B157)),1)),IF(I157="An Bord",(((Besatzung!$B$15&lt;&gt;"")*IF(B157="",1,(IF(Besatzung!$C$16="",Besatzung!$B$5,Besatzung!$C$16)&lt;=B157)*(IF(Besatzung!$D$16="",Besatzung!$B$6,Besatzung!$D$16)&gt;=B157)))*((G157-IFERROR(H157,0))/IFERROR(SUMPRODUCT((Besatzung!$B$11:$B$22&lt;&gt;"")*(IF(Besatzung!$C$11:$C$22="",Besatzung!$B$5,Besatzung!$C$11:$C$22)&lt;=B157)*(IF(Besatzung!$D$11:$D$22="",Besatzung!$B$6,Besatzung!$D$11:$D$22)&gt;=B157)),1)+(Besatzung!$F$16="x")*IFERROR(H157,0)/IFERROR(SUMPRODUCT((Besatzung!$B$11:$B$22&lt;&gt;"")*(Besatzung!$F$11:$F$22="x")*(IF(Besatzung!$C$11:$C$22="",Besatzung!$B$5,Besatzung!$C$11:$C$22)&lt;=B157)*(IF(Besatzung!$D$11:$D$22="",Besatzung!$B$6,Besatzung!$D$11:$D$22)&gt;=B157)),1))),IF(I157="Individuell",((O157="x")*((G157-IFERROR(H157,0))/IFERROR(COUNTIF(J157:U157,"x"),1)+(Besatzung!$F$16="x")*IFERROR(H157,0)/IFERROR(SUMPRODUCT((J157:U157="x")*(Besatzung!$F$11:$F$22="x")),1))),(IF(COUNTIF(J157:U157,"x")=0,IF(Besatzung!$B$15&lt;&gt;"",1,0),(O157="x"))*(G157-IFERROR(H157,0))/IFERROR(IF(COUNTIF(J157:U157,"x")=0,COUNTA(Besatzung!$B$11:$B$22),COUNTIF(J157:U157,"x")),1)+IF(COUNTIF(J157:U157,"x")=0,(Besatzung!$F$16="x"),(O157="x")*(Besatzung!$F$16="x"))*IFERROR(H157,0)/IFERROR(IF(COUNTIF(J157:U157,"x")=0,SUMPRODUCT((Besatzung!$B$11:$B$22&lt;&gt;"")*(Besatzung!$F$11:$F$22="x")),SUMPRODUCT((J157:U157="x")*(Besatzung!$F$11:$F$22="x"))),1))))),0))))</f>
        <v/>
      </c>
      <c r="AB157" s="247">
        <f>IF(C157="Gutschrift","",IF(G157="","",IF(Besatzung!$B$17="","",IFERROR(IF(I157="Zeitanteilig",(Besatzung!$G$17*(G157-IFERROR(H157,0))+((Besatzung!$B$17&lt;&gt;"")*IF(B157="",1,(IF(Besatzung!$C$17="",Besatzung!$B$5,Besatzung!$C$17)&lt;=B157)*(IF(Besatzung!$D$17="",Besatzung!$B$6,Besatzung!$D$17)&gt;=B157)))*(Besatzung!$F$17="x")*IFERROR(H157,0)/IFERROR(SUMPRODUCT((Besatzung!$B$11:$B$22&lt;&gt;"")*(Besatzung!$F$11:$F$22="x")*(IF(Besatzung!$C$11:$C$22="",Besatzung!$B$5,Besatzung!$C$11:$C$22)&lt;=B157)*(IF(Besatzung!$D$11:$D$22="",Besatzung!$B$6,Besatzung!$D$11:$D$22)&gt;=B157)),1)),IF(I157="An Bord",(((Besatzung!$B$17&lt;&gt;"")*IF(B157="",1,(IF(Besatzung!$C$17="",Besatzung!$B$5,Besatzung!$C$17)&lt;=B157)*(IF(Besatzung!$D$17="",Besatzung!$B$6,Besatzung!$D$17)&gt;=B157)))*((G157-IFERROR(H157,0))/IFERROR(SUMPRODUCT((Besatzung!$B$11:$B$22&lt;&gt;"")*(IF(Besatzung!$C$11:$C$22="",Besatzung!$B$5,Besatzung!$C$11:$C$22)&lt;=B157)*(IF(Besatzung!$D$11:$D$22="",Besatzung!$B$6,Besatzung!$D$11:$D$22)&gt;=B157)),1)+(Besatzung!$F$17="x")*IFERROR(H157,0)/IFERROR(SUMPRODUCT((Besatzung!$B$11:$B$22&lt;&gt;"")*(Besatzung!$F$11:$F$22="x")*(IF(Besatzung!$C$11:$C$22="",Besatzung!$B$5,Besatzung!$C$11:$C$22)&lt;=B157)*(IF(Besatzung!$D$11:$D$22="",Besatzung!$B$6,Besatzung!$D$11:$D$22)&gt;=B157)),1))),IF(I157="Individuell",((P157="x")*((G157-IFERROR(H157,0))/IFERROR(COUNTIF(J157:U157,"x"),1)+(Besatzung!$F$17="x")*IFERROR(H157,0)/IFERROR(SUMPRODUCT((J157:U157="x")*(Besatzung!$F$11:$F$22="x")),1))),(IF(COUNTIF(J157:U157,"x")=0,IF(Besatzung!$B$17&lt;&gt;"",1,0),(P157="x"))*(G157-IFERROR(H157,0))/IFERROR(IF(COUNTIF(J157:U157,"x")=0,COUNTA(Besatzung!$B$11:$B$22),COUNTIF(J157:U157,"x")),1)+IF(COUNTIF(J157:U157,"x")=0,(Besatzung!$F$17="x"),(P157="x")*(Besatzung!$F$17="x"))*IFERROR(H157,0)/IFERROR(IF(COUNTIF(J157:U157,"x")=0,SUMPRODUCT((Besatzung!$B$11:$B$22&lt;&gt;"")*(Besatzung!$F$11:$F$22="x")),SUMPRODUCT((J157:U157="x")*(Besatzung!$F$11:$F$22="x"))),1))))),0))))</f>
        <v/>
      </c>
      <c r="AC157" s="247">
        <f>IF(C157="Gutschrift","",IF(G157="","",IF(Besatzung!$B$18="","",IFERROR(IF(I157="Zeitanteilig",(Besatzung!$G$18*(G157-IFERROR(H157,0))+((Besatzung!$B$18&lt;&gt;"")*IF(B157="",1,(IF(Besatzung!$C$18="",Besatzung!$B$5,Besatzung!$C$18)&lt;=B157)*(IF(Besatzung!$D$18="",Besatzung!$B$6,Besatzung!$D$18)&gt;=B157)))*(Besatzung!$F$18="x")*IFERROR(H157,0)/IFERROR(SUMPRODUCT((Besatzung!$B$11:$B$22&lt;&gt;"")*(Besatzung!$F$11:$F$22="x")*(IF(Besatzung!$C$11:$C$22="",Besatzung!$B$5,Besatzung!$C$11:$C$22)&lt;=B157)*(IF(Besatzung!$D$11:$D$22="",Besatzung!$B$6,Besatzung!$D$11:$D$22)&gt;=B157)),1)),IF(I157="An Bord",(((Besatzung!$B$18&lt;&gt;"")*IF(B157="",1,(IF(Besatzung!$C$18="",Besatzung!$B$5,Besatzung!$C$18)&lt;=B157)*(IF(Besatzung!$D$18="",Besatzung!$B$6,Besatzung!$D$18)&gt;=B157)))*((G157-IFERROR(H157,0))/IFERROR(SUMPRODUCT((Besatzung!$B$11:$B$22&lt;&gt;"")*(IF(Besatzung!$C$11:$C$22="",Besatzung!$B$5,Besatzung!$C$11:$C$22)&lt;=B157)*(IF(Besatzung!$D$11:$D$22="",Besatzung!$B$6,Besatzung!$D$11:$D$22)&gt;=B157)),1)+(Besatzung!$F$18="x")*IFERROR(H157,0)/IFERROR(SUMPRODUCT((Besatzung!$B$11:$B$22&lt;&gt;"")*(Besatzung!$F$11:$F$22="x")*(IF(Besatzung!$C$11:$C$22="",Besatzung!$B$5,Besatzung!$C$11:$C$22)&lt;=B157)*(IF(Besatzung!$D$11:$D$22="",Besatzung!$B$6,Besatzung!$D$11:$D$22)&gt;=B157)),1))),IF(I157="Individuell",((Q157="x")*((G157-IFERROR(H157,0))/IFERROR(COUNTIF(J157:U157,"x"),1)+(Besatzung!$F$18="x")*IFERROR(H157,0)/IFERROR(SUMPRODUCT((J157:U157="x")*(Besatzung!$F$11:$F$22="x")),1))),(IF(COUNTIF(J157:U157,"x")=0,IF(Besatzung!$B$18&lt;&gt;"",1,0),(Q157="x"))*(G157-IFERROR(H157,0))/IFERROR(IF(COUNTIF(J157:U157,"x")=0,COUNTA(Besatzung!$B$11:$B$22),COUNTIF(J157:U157,"x")),1)+IF(COUNTIF(J157:U157,"x")=0,(Besatzung!$F$18="x"),(Q157="x")*(Besatzung!$F$18="x"))*IFERROR(H157,0)/IFERROR(IF(COUNTIF(J157:U157,"x")=0,SUMPRODUCT((Besatzung!$B$11:$B$22&lt;&gt;"")*(Besatzung!$F$11:$F$22="x")),SUMPRODUCT((J157:U157="x")*(Besatzung!$F$11:$F$22="x"))),1))))),0))))</f>
        <v/>
      </c>
      <c r="AD157" s="247">
        <f>IF(C157="Gutschrift","",IF(G157="","",IF(Besatzung!$B$19="","",IFERROR(IF(I157="Zeitanteilig",(Besatzung!$G$19*(G157-IFERROR(H157,0))+((Besatzung!$B$19&lt;&gt;"")*IF(B157="",1,(IF(Besatzung!$C$19="",Besatzung!$B$5,Besatzung!$C$19)&lt;=B157)*(IF(Besatzung!$D$19="",Besatzung!$B$6,Besatzung!$D$19)&gt;=B157)))*(Besatzung!$F$19="x")*IFERROR(H157,0)/IFERROR(SUMPRODUCT((Besatzung!$B$11:$B$22&lt;&gt;"")*(Besatzung!$F$11:$F$22="x")*(IF(Besatzung!$C$11:$C$22="",Besatzung!$B$5,Besatzung!$C$11:$C$22)&lt;=B157)*(IF(Besatzung!$D$11:$D$22="",Besatzung!$B$6,Besatzung!$D$11:$D$22)&gt;=B157)),1)),IF(I157="An Bord",(((Besatzung!$B$19&lt;&gt;"")*IF(B157="",1,(IF(Besatzung!$C$19="",Besatzung!$B$5,Besatzung!$C$19)&lt;=B157)*(IF(Besatzung!$D$19="",Besatzung!$B$6,Besatzung!$D$19)&gt;=B157)))*((G157-IFERROR(H157,0))/IFERROR(SUMPRODUCT((Besatzung!$B$11:$B$22&lt;&gt;"")*(IF(Besatzung!$C$11:$C$22="",Besatzung!$B$5,Besatzung!$C$11:$C$22)&lt;=B157)*(IF(Besatzung!$D$11:$D$22="",Besatzung!$B$6,Besatzung!$D$11:$D$22)&gt;=B157)),1)+(Besatzung!$F$19="x")*IFERROR(H157,0)/IFERROR(SUMPRODUCT((Besatzung!$B$11:$B$22&lt;&gt;"")*(Besatzung!$F$11:$F$22="x")*(IF(Besatzung!$C$11:$C$22="",Besatzung!$B$5,Besatzung!$C$11:$C$22)&lt;=B157)*(IF(Besatzung!$D$11:$D$22="",Besatzung!$B$6,Besatzung!$D$11:$D$22)&gt;=B157)),1))),IF(I157="Individuell",((R157="x")*((G157-IFERROR(H157,0))/IFERROR(COUNTIF(J157:U157,"x"),1)+(Besatzung!$F$19="x")*IFERROR(H157,0)/IFERROR(SUMPRODUCT((J157:U157="x")*(Besatzung!$F$11:$F$22="x")),1))),(IF(COUNTIF(J157:U157,"x")=0,IF(Besatzung!$B$19&lt;&gt;"",1,0),(R157="x"))*(G157-IFERROR(H157,0))/IFERROR(IF(COUNTIF(J157:U157,"x")=0,COUNTA(Besatzung!$B$11:$B$22),COUNTIF(J157:U157,"x")),1)+IF(COUNTIF(J157:U157,"x")=0,(Besatzung!$F$19="x"),(R157="x")*(Besatzung!$F$19="x"))*IFERROR(H157,0)/IFERROR(IF(COUNTIF(J157:U157,"x")=0,SUMPRODUCT((Besatzung!$B$11:$B$22&lt;&gt;"")*(Besatzung!$F$11:$F$22="x")),SUMPRODUCT((J157:U157="x")*(Besatzung!$F$11:$F$22="x"))),1))))),0))))</f>
        <v/>
      </c>
      <c r="AE157" s="247">
        <f>IF(C157="Gutschrift","",IF(G157="","",IF(Besatzung!$B$20="","",IFERROR(IF(I157="Zeitanteilig",(Besatzung!$G$20*(G157-IFERROR(H157,0))+((Besatzung!$B$20&lt;&gt;"")*IF(B157="",1,(IF(Besatzung!$C$20="",Besatzung!$B$5,Besatzung!$C$20)&lt;=B157)*(IF(Besatzung!$D$20="",Besatzung!$B$6,Besatzung!$D$20)&gt;=B157)))*(Besatzung!$F$20="x")*IFERROR(H157,0)/IFERROR(SUMPRODUCT((Besatzung!$B$11:$B$22&lt;&gt;"")*(Besatzung!$F$11:$F$22="x")*(IF(Besatzung!$C$11:$C$22="",Besatzung!$B$5,Besatzung!$C$11:$C$22)&lt;=B157)*(IF(Besatzung!$D$11:$D$22="",Besatzung!$B$6,Besatzung!$D$11:$D$22)&gt;=B157)),1)),IF(I157="An Bord",(((Besatzung!$B$20&lt;&gt;"")*IF(B157="",1,(IF(Besatzung!$C$20="",Besatzung!$B$5,Besatzung!$C$20)&lt;=B157)*(IF(Besatzung!$D$20="",Besatzung!$B$6,Besatzung!$D$20)&gt;=B157)))*((G157-IFERROR(H157,0))/IFERROR(SUMPRODUCT((Besatzung!$B$11:$B$22&lt;&gt;"")*(IF(Besatzung!$C$11:$C$22="",Besatzung!$B$5,Besatzung!$C$11:$C$22)&lt;=B157)*(IF(Besatzung!$D$11:$D$22="",Besatzung!$B$6,Besatzung!$D$11:$D$22)&gt;=B157)),1)+(Besatzung!$F$20="x")*IFERROR(H157,0)/IFERROR(SUMPRODUCT((Besatzung!$B$11:$B$22&lt;&gt;"")*(Besatzung!$F$11:$F$22="x")*(IF(Besatzung!$C$11:$C$22="",Besatzung!$B$5,Besatzung!$C$11:$C$22)&lt;=B157)*(IF(Besatzung!$D$11:$D$22="",Besatzung!$B$6,Besatzung!$D$11:$D$22)&gt;=B157)),1))),IF(I157="Individuell",((S157="x")*((G157-IFERROR(H157,0))/IFERROR(COUNTIF(J157:U157,"x"),1)+(Besatzung!$F$20="x")*IFERROR(H157,0)/IFERROR(SUMPRODUCT((J157:U157="x")*(Besatzung!$F$11:$F$22="x")),1))),(IF(COUNTIF(J157:U157,"x")=0,IF(Besatzung!$B$20&lt;&gt;"",1,0),(S157="x"))*(G157-IFERROR(H157,0))/IFERROR(IF(COUNTIF(J157:U157,"x")=0,COUNTA(Besatzung!$B$11:$B$22),COUNTIF(J157:U157,"x")),1)+IF(COUNTIF(J157:U157,"x")=0,(Besatzung!$F$20="x"),(S157="x")*(Besatzung!$F$20="x"))*IFERROR(H157,0)/IFERROR(IF(COUNTIF(J157:U157,"x")=0,SUMPRODUCT((Besatzung!$B$11:$B$22&lt;&gt;"")*(Besatzung!$F$11:$F$22="x")),SUMPRODUCT((J157:U157="x")*(Besatzung!$F$11:$F$22="x"))),1))))),0))))</f>
        <v/>
      </c>
      <c r="AF157" s="247">
        <f>IF(C157="Gutschrift","",IF(G157="","",IF(Besatzung!$B$21="","",IFERROR(IF(I157="Zeitanteilig",(Besatzung!$G$21*(G157-IFERROR(H157,0))+((Besatzung!$B$21&lt;&gt;"")*IF(B157="",1,(IF(Besatzung!$C$21="",Besatzung!$B$5,Besatzung!$C$21)&lt;=B157)*(IF(Besatzung!$D$21="",Besatzung!$B$6,Besatzung!$D$21)&gt;=B157)))*(Besatzung!$F$21="x")*IFERROR(H157,0)/IFERROR(SUMPRODUCT((Besatzung!$B$11:$B$22&lt;&gt;"")*(Besatzung!$F$11:$F$22="x")*(IF(Besatzung!$C$11:$C$22="",Besatzung!$B$5,Besatzung!$C$11:$C$22)&lt;=B157)*(IF(Besatzung!$D$11:$D$22="",Besatzung!$B$6,Besatzung!$D$11:$D$22)&gt;=B157)),1)),IF(I157="An Bord",(((Besatzung!$B$21&lt;&gt;"")*IF(B157="",1,(IF(Besatzung!$C$21="",Besatzung!$B$5,Besatzung!$C$21)&lt;=B157)*(IF(Besatzung!$D$21="",Besatzung!$B$6,Besatzung!$D$21)&gt;=B157)))*((G157-IFERROR(H157,0))/IFERROR(SUMPRODUCT((Besatzung!$B$11:$B$22&lt;&gt;"")*(IF(Besatzung!$C$11:$C$22="",Besatzung!$B$5,Besatzung!$C$11:$C$22)&lt;=B157)*(IF(Besatzung!$D$11:$D$22="",Besatzung!$B$6,Besatzung!$D$11:$D$22)&gt;=B157)),1)+(Besatzung!$F$21="x")*IFERROR(H157,0)/IFERROR(SUMPRODUCT((Besatzung!$B$11:$B$22&lt;&gt;"")*(Besatzung!$F$11:$F$22="x")*(IF(Besatzung!$C$11:$C$22="",Besatzung!$B$5,Besatzung!$C$11:$C$22)&lt;=B157)*(IF(Besatzung!$D$11:$D$22="",Besatzung!$B$6,Besatzung!$D$11:$D$22)&gt;=B157)),1))),IF(I157="Individuell",((T157="x")*((G157-IFERROR(H157,0))/IFERROR(COUNTIF(J157:U157,"x"),1)+(Besatzung!$F$21="x")*IFERROR(H157,0)/IFERROR(SUMPRODUCT((J157:U157="x")*(Besatzung!$F$11:$F$22="x")),1))),(IF(COUNTIF(J157:U157,"x")=0,IF(Besatzung!$B$21&lt;&gt;"",1,0),(T157="x"))*(G157-IFERROR(H157,0))/IFERROR(IF(COUNTIF(J157:U157,"x")=0,COUNTA(Besatzung!$B$11:$B$22),COUNTIF(J157:U157,"x")),1)+IF(COUNTIF(J157:U157,"x")=0,(Besatzung!$F$21="x"),(T157="x")*(Besatzung!$F$21="x"))*IFERROR(H157,0)/IFERROR(IF(COUNTIF(J157:U157,"x")=0,SUMPRODUCT((Besatzung!$B$11:$B$22&lt;&gt;"")*(Besatzung!$F$11:$F$22="x")),SUMPRODUCT((J157:U157="x")*(Besatzung!$F$11:$F$22="x"))),1))))),0))))</f>
        <v/>
      </c>
      <c r="AG157" s="247">
        <f>IF(C157="Gutschrift","",IF(G157="","",IF(Besatzung!$B$22="","",IFERROR(IF(I157="Zeitanteilig",(Besatzung!$G$22*(G157-IFERROR(H157,0))+((Besatzung!$B$22&lt;&gt;"")*IF(B157="",1,(IF(Besatzung!$C$22="",Besatzung!$B$5,Besatzung!$C$22)&lt;=B157)*(IF(Besatzung!$D$22="",Besatzung!$B$6,Besatzung!$D$22)&gt;=B157)))*(Besatzung!$F$22="x")*IFERROR(H157,0)/IFERROR(SUMPRODUCT((Besatzung!$B$11:$B$22&lt;&gt;"")*(Besatzung!$F$11:$F$22="x")*(IF(Besatzung!$C$11:$C$22="",Besatzung!$B$5,Besatzung!$C$11:$C$22)&lt;=B157)*(IF(Besatzung!$D$11:$D$22="",Besatzung!$B$6,Besatzung!$D$11:$D$22)&gt;=B157)),1)),IF(I157="An Bord",(((Besatzung!$B$22&lt;&gt;"")*IF(B157="",1,(IF(Besatzung!$C$22="",Besatzung!$B$5,Besatzung!$C$22)&lt;=B157)*(IF(Besatzung!$D$22="",Besatzung!$B$6,Besatzung!$D$22)&gt;=B157)))*((G157-IFERROR(H157,0))/IFERROR(SUMPRODUCT((Besatzung!$B$11:$B$22&lt;&gt;"")*(IF(Besatzung!$C$11:$C$22="",Besatzung!$B$5,Besatzung!$C$11:$C$22)&lt;=B157)*(IF(Besatzung!$D$11:$D$22="",Besatzung!$B$6,Besatzung!$D$11:$D$22)&gt;=B157)),1)+(Besatzung!$F$22="x")*IFERROR(H157,0)/IFERROR(SUMPRODUCT((Besatzung!$B$11:$B$22&lt;&gt;"")*(Besatzung!$F$11:$F$22="x")*(IF(Besatzung!$C$11:$C$22="",Besatzung!$B$5,Besatzung!$C$11:$C$22)&lt;=B157)*(IF(Besatzung!$D$11:$D$22="",Besatzung!$B$6,Besatzung!$D$11:$D$22)&gt;=B157)),1))),IF(I157="Individuell",((U157="x")*((G157-IFERROR(H157,0))/IFERROR(COUNTIF(J157:U157,"x"),1)+(Besatzung!$F$22="x")*IFERROR(H157,0)/IFERROR(SUMPRODUCT((J157:U157="x")*(Besatzung!$F$11:$F$22="x")),1))),(IF(COUNTIF(J157:U157,"x")=0,IF(Besatzung!$B$22&lt;&gt;"",1,0),(U157="x"))*(G157-IFERROR(H157,0))/IFERROR(IF(COUNTIF(J157:U157,"x")=0,COUNTA(Besatzung!$B$11:$B$22),COUNTIF(J157:U157,"x")),1)+IF(COUNTIF(J157:U157,"x")=0,(Besatzung!$F$22="x"),(U157="x")*(Besatzung!$F$22="x"))*IFERROR(H157,0)/IFERROR(IF(COUNTIF(J157:U157,"x")=0,SUMPRODUCT((Besatzung!$B$11:$B$22&lt;&gt;"")*(Besatzung!$F$11:$F$22="x")),SUMPRODUCT((J157:U157="x")*(Besatzung!$F$11:$F$22="x"))),1))))),0))))</f>
        <v/>
      </c>
      <c r="AH157" s="248" t="n"/>
      <c r="AI157" s="248" t="n"/>
    </row>
    <row r="158" ht="21.75" customHeight="1" s="154">
      <c r="A158" s="238">
        <f>IF(AND(D158="",C158=""),"",155)</f>
        <v/>
      </c>
      <c r="B158" s="199" t="n"/>
      <c r="C158" s="239" t="n"/>
      <c r="D158" s="240" t="n"/>
      <c r="E158" s="241" t="n"/>
      <c r="F158" s="242" t="n"/>
      <c r="G158" s="243" t="n"/>
      <c r="H158" s="244" t="n"/>
      <c r="I158" s="245" t="n"/>
      <c r="J158" s="246" t="n"/>
      <c r="K158" s="246" t="n"/>
      <c r="L158" s="246" t="n"/>
      <c r="M158" s="246" t="n"/>
      <c r="N158" s="246" t="n"/>
      <c r="O158" s="246" t="n"/>
      <c r="P158" s="246" t="n"/>
      <c r="Q158" s="246" t="n"/>
      <c r="R158" s="246" t="n"/>
      <c r="S158" s="246" t="n"/>
      <c r="T158" s="246" t="n"/>
      <c r="U158" s="246" t="n"/>
      <c r="V158" s="247">
        <f>IF(C158="Gutschrift","",IF(G158="","",IF(Besatzung!$B$11="","",IFERROR(IF(I158="Zeitanteilig",(Besatzung!$G$11*(G158-IFERROR(H158,0))+((Besatzung!$B$11&lt;&gt;"")*IF(B158="",1,(IF(Besatzung!$C$11="",Besatzung!$B$5,Besatzung!$C$11)&lt;=B158)*(IF(Besatzung!$D$11="",Besatzung!$B$6,Besatzung!$D$11)&gt;=B158)))*(Besatzung!$F$11="x")*IFERROR(H158,0)/IFERROR(SUMPRODUCT((Besatzung!$B$11:$B$22&lt;&gt;"")*(Besatzung!$F$11:$F$22="x")*(IF(Besatzung!$C$11:$C$22="",Besatzung!$B$5,Besatzung!$C$11:$C$22)&lt;=B158)*(IF(Besatzung!$D$11:$D$22="",Besatzung!$B$6,Besatzung!$D$11:$D$22)&gt;=B158)),1)),IF(I158="An Bord",(((Besatzung!$B$11&lt;&gt;"")*IF(B158="",1,(IF(Besatzung!$C$11="",Besatzung!$B$5,Besatzung!$C$11)&lt;=B158)*(IF(Besatzung!$D$11="",Besatzung!$B$6,Besatzung!$D$11)&gt;=B158)))*((G158-IFERROR(H158,0))/IFERROR(SUMPRODUCT((Besatzung!$B$11:$B$22&lt;&gt;"")*(IF(Besatzung!$C$11:$C$22="",Besatzung!$B$5,Besatzung!$C$11:$C$22)&lt;=B158)*(IF(Besatzung!$D$11:$D$22="",Besatzung!$B$6,Besatzung!$D$11:$D$22)&gt;=B158)),1)+(Besatzung!$F$11="x")*IFERROR(H158,0)/IFERROR(SUMPRODUCT((Besatzung!$B$11:$B$22&lt;&gt;"")*(Besatzung!$F$11:$F$22="x")*(IF(Besatzung!$C$11:$C$22="",Besatzung!$B$5,Besatzung!$C$11:$C$22)&lt;=B158)*(IF(Besatzung!$D$11:$D$22="",Besatzung!$B$6,Besatzung!$D$11:$D$22)&gt;=B158)),1))),IF(I158="Individuell",((J158="x")*((G158-IFERROR(H158,0))/IFERROR(COUNTIF(J158:U158,"x"),1)+(Besatzung!$F$11="x")*IFERROR(H158,0)/IFERROR(SUMPRODUCT((J158:U158="x")*(Besatzung!$F$11:$F$22="x")),1))),(IF(COUNTIF(J158:U158,"x")=0,IF(Besatzung!$B$11&lt;&gt;"",1,0),(J158="x"))*(G158-IFERROR(H158,0))/IFERROR(IF(COUNTIF(J158:U158,"x")=0,COUNTA(Besatzung!$B$11:$B$22),COUNTIF(J158:U158,"x")),1)+IF(COUNTIF(J158:U158,"x")=0,(Besatzung!$F$11="x"),(J158="x")*(Besatzung!$F$11="x"))*IFERROR(H158,0)/IFERROR(IF(COUNTIF(J158:U158,"x")=0,SUMPRODUCT((Besatzung!$B$11:$B$22&lt;&gt;"")*(Besatzung!$F$11:$F$22="x")),SUMPRODUCT((J158:U158="x")*(Besatzung!$F$11:$F$22="x"))),1))))),0))))</f>
        <v/>
      </c>
      <c r="W158" s="247">
        <f>IF(C158="Gutschrift","",IF(G158="","",IF(Besatzung!$B$12="","",IFERROR(IF(I158="Zeitanteilig",(Besatzung!$G$12*(G158-IFERROR(H158,0))+((Besatzung!$B$12&lt;&gt;"")*IF(B158="",1,(IF(Besatzung!$C$12="",Besatzung!$B$5,Besatzung!$C$12)&lt;=B158)*(IF(Besatzung!$D$12="",Besatzung!$B$6,Besatzung!$D$12)&gt;=B158)))*(Besatzung!$F$12="x")*IFERROR(H158,0)/IFERROR(SUMPRODUCT((Besatzung!$B$11:$B$22&lt;&gt;"")*(Besatzung!$F$11:$F$22="x")*(IF(Besatzung!$C$11:$C$22="",Besatzung!$B$5,Besatzung!$C$11:$C$22)&lt;=B158)*(IF(Besatzung!$D$11:$D$22="",Besatzung!$B$6,Besatzung!$D$11:$D$22)&gt;=B158)),1)),IF(I158="An Bord",(((Besatzung!$B$12&lt;&gt;"")*IF(B158="",1,(IF(Besatzung!$C$12="",Besatzung!$B$5,Besatzung!$C$12)&lt;=B158)*(IF(Besatzung!$D$12="",Besatzung!$B$6,Besatzung!$D$12)&gt;=B158)))*((G158-IFERROR(H158,0))/IFERROR(SUMPRODUCT((Besatzung!$B$11:$B$22&lt;&gt;"")*(IF(Besatzung!$C$11:$C$22="",Besatzung!$B$5,Besatzung!$C$11:$C$22)&lt;=B158)*(IF(Besatzung!$D$11:$D$22="",Besatzung!$B$6,Besatzung!$D$11:$D$22)&gt;=B158)),1)+(Besatzung!$F$12="x")*IFERROR(H158,0)/IFERROR(SUMPRODUCT((Besatzung!$B$11:$B$22&lt;&gt;"")*(Besatzung!$F$11:$F$22="x")*(IF(Besatzung!$C$11:$C$22="",Besatzung!$B$5,Besatzung!$C$11:$C$22)&lt;=B158)*(IF(Besatzung!$D$11:$D$22="",Besatzung!$B$6,Besatzung!$D$11:$D$22)&gt;=B158)),1))),IF(I158="Individuell",((K158="x")*((G158-IFERROR(H158,0))/IFERROR(COUNTIF(J158:U158,"x"),1)+(Besatzung!$F$12="x")*IFERROR(H158,0)/IFERROR(SUMPRODUCT((J158:U158="x")*(Besatzung!$F$11:$F$22="x")),1))),(IF(COUNTIF(J158:U158,"x")=0,IF(Besatzung!$B$12&lt;&gt;"",1,0),(K158="x"))*(G158-IFERROR(H158,0))/IFERROR(IF(COUNTIF(J158:U158,"x")=0,COUNTA(Besatzung!$B$11:$B$22),COUNTIF(J158:U158,"x")),1)+IF(COUNTIF(J158:U158,"x")=0,(Besatzung!$F$12="x"),(K158="x")*(Besatzung!$F$12="x"))*IFERROR(H158,0)/IFERROR(IF(COUNTIF(J158:U158,"x")=0,SUMPRODUCT((Besatzung!$B$11:$B$22&lt;&gt;"")*(Besatzung!$F$11:$F$22="x")),SUMPRODUCT((J158:U158="x")*(Besatzung!$F$11:$F$22="x"))),1))))),0))))</f>
        <v/>
      </c>
      <c r="X158" s="247">
        <f>IF(C158="Gutschrift","",IF(G158="","",IF(Besatzung!$B$13="","",IFERROR(IF(I158="Zeitanteilig",(Besatzung!$G$13*(G158-IFERROR(H158,0))+((Besatzung!$B$13&lt;&gt;"")*IF(B158="",1,(IF(Besatzung!$C$13="",Besatzung!$B$5,Besatzung!$C$13)&lt;=B158)*(IF(Besatzung!$D$13="",Besatzung!$B$6,Besatzung!$D$13)&gt;=B158)))*(Besatzung!$F$13="x")*IFERROR(H158,0)/IFERROR(SUMPRODUCT((Besatzung!$B$11:$B$22&lt;&gt;"")*(Besatzung!$F$11:$F$22="x")*(IF(Besatzung!$C$11:$C$22="",Besatzung!$B$5,Besatzung!$C$11:$C$22)&lt;=B158)*(IF(Besatzung!$D$11:$D$22="",Besatzung!$B$6,Besatzung!$D$11:$D$22)&gt;=B158)),1)),IF(I158="An Bord",(((Besatzung!$B$13&lt;&gt;"")*IF(B158="",1,(IF(Besatzung!$C$13="",Besatzung!$B$5,Besatzung!$C$13)&lt;=B158)*(IF(Besatzung!$D$13="",Besatzung!$B$6,Besatzung!$D$13)&gt;=B158)))*((G158-IFERROR(H158,0))/IFERROR(SUMPRODUCT((Besatzung!$B$11:$B$22&lt;&gt;"")*(IF(Besatzung!$C$11:$C$22="",Besatzung!$B$5,Besatzung!$C$11:$C$22)&lt;=B158)*(IF(Besatzung!$D$11:$D$22="",Besatzung!$B$6,Besatzung!$D$11:$D$22)&gt;=B158)),1)+(Besatzung!$F$13="x")*IFERROR(H158,0)/IFERROR(SUMPRODUCT((Besatzung!$B$11:$B$22&lt;&gt;"")*(Besatzung!$F$11:$F$22="x")*(IF(Besatzung!$C$11:$C$22="",Besatzung!$B$5,Besatzung!$C$11:$C$22)&lt;=B158)*(IF(Besatzung!$D$11:$D$22="",Besatzung!$B$6,Besatzung!$D$11:$D$22)&gt;=B158)),1))),IF(I158="Individuell",((K158="x")*((G158-IFERROR(H158,0))/IFERROR(COUNTIF(J158:U158,"x"),1)+(Besatzung!$F$13="x")*IFERROR(H158,0)/IFERROR(SUMPRODUCT((J158:U158="x")*(Besatzung!$F$11:$F$22="x")),1))),(IF(COUNTIF(J158:U158,"x")=0,IF(Besatzung!$B$13&lt;&gt;"",1,0),(K158="x"))*(G158-IFERROR(H158,0))/IFERROR(IF(COUNTIF(J158:U158,"x")=0,COUNTA(Besatzung!$B$11:$B$22),COUNTIF(J158:U158,"x")),1)+IF(COUNTIF(J158:U158,"x")=0,(Besatzung!$F$13="x"),(K158="x")*(Besatzung!$F$13="x"))*IFERROR(H158,0)/IFERROR(IF(COUNTIF(J158:U158,"x")=0,SUMPRODUCT((Besatzung!$B$11:$B$22&lt;&gt;"")*(Besatzung!$F$11:$F$22="x")),SUMPRODUCT((J158:U158="x")*(Besatzung!$F$11:$F$22="x"))),1))))),0))))</f>
        <v/>
      </c>
      <c r="Y158" s="247">
        <f>IF(C158="Gutschrift","",IF(G158="","",IF(Besatzung!$B$14="","",IFERROR(IF(I158="Zeitanteilig",(Besatzung!$G$14*(G158-IFERROR(H158,0))+((Besatzung!$B$14&lt;&gt;"")*IF(B158="",1,(IF(Besatzung!$C$14="",Besatzung!$B$5,Besatzung!$C$14)&lt;=B158)*(IF(Besatzung!$D$14="",Besatzung!$B$6,Besatzung!$D$14)&gt;=B158)))*(Besatzung!$F$14="x")*IFERROR(H158,0)/IFERROR(SUMPRODUCT((Besatzung!$B$11:$B$22&lt;&gt;"")*(Besatzung!$F$11:$F$22="x")*(IF(Besatzung!$C$11:$C$22="",Besatzung!$B$5,Besatzung!$C$11:$C$22)&lt;=B158)*(IF(Besatzung!$D$11:$D$22="",Besatzung!$B$6,Besatzung!$D$11:$D$22)&gt;=B158)),1)),IF(I158="An Bord",(((Besatzung!$B$14&lt;&gt;"")*IF(B158="",1,(IF(Besatzung!$C$14="",Besatzung!$B$5,Besatzung!$C$14)&lt;=B158)*(IF(Besatzung!$D$14="",Besatzung!$B$6,Besatzung!$D$14)&gt;=B158)))*((G158-IFERROR(H158,0))/IFERROR(SUMPRODUCT((Besatzung!$B$11:$B$22&lt;&gt;"")*(IF(Besatzung!$C$11:$C$22="",Besatzung!$B$5,Besatzung!$C$11:$C$22)&lt;=B158)*(IF(Besatzung!$D$11:$D$22="",Besatzung!$B$6,Besatzung!$D$11:$D$22)&gt;=B158)),1)+(Besatzung!$F$14="x")*IFERROR(H158,0)/IFERROR(SUMPRODUCT((Besatzung!$B$11:$B$22&lt;&gt;"")*(Besatzung!$F$11:$F$22="x")*(IF(Besatzung!$C$11:$C$22="",Besatzung!$B$5,Besatzung!$C$11:$C$22)&lt;=B158)*(IF(Besatzung!$D$11:$D$22="",Besatzung!$B$6,Besatzung!$D$11:$D$22)&gt;=B158)),1))),IF(I158="Individuell",((M158="x")*((G158-IFERROR(H158,0))/IFERROR(COUNTIF(J158:U158,"x"),1)+(Besatzung!$F$14="x")*IFERROR(H158,0)/IFERROR(SUMPRODUCT((J158:U158="x")*(Besatzung!$F$11:$F$22="x")),1))),(IF(COUNTIF(J158:U158,"x")=0,IF(Besatzung!$B$14&lt;&gt;"",1,0),(M158="x"))*(G158-IFERROR(H158,0))/IFERROR(IF(COUNTIF(J158:U158,"x")=0,COUNTA(Besatzung!$B$11:$B$22),COUNTIF(J158:U158,"x")),1)+IF(COUNTIF(J158:U158,"x")=0,(Besatzung!$F$14="x"),(M158="x")*(Besatzung!$F$14="x"))*IFERROR(H158,0)/IFERROR(IF(COUNTIF(J158:U158,"x")=0,SUMPRODUCT((Besatzung!$B$11:$B$22&lt;&gt;"")*(Besatzung!$F$11:$F$22="x")),SUMPRODUCT((J158:U158="x")*(Besatzung!$F$11:$F$22="x"))),1))))),0))))</f>
        <v/>
      </c>
      <c r="Z158" s="247">
        <f>IF(C158="Gutschrift","",IF(G158="","",IF(Besatzung!$B$13="","",IFERROR(IF(I158="Zeitanteilig",(Besatzung!$G$15*(G158-IFERROR(H158,0))+((Besatzung!$B$13&lt;&gt;"")*IF(B158="",1,(IF(Besatzung!$C$15="",Besatzung!$B$5,Besatzung!$C$15)&lt;=B158)*(IF(Besatzung!$D$15="",Besatzung!$B$6,Besatzung!$D$15)&gt;=B158)))*(Besatzung!$F$15="x")*IFERROR(H158,0)/IFERROR(SUMPRODUCT((Besatzung!$B$11:$B$22&lt;&gt;"")*(Besatzung!$F$11:$F$22="x")*(IF(Besatzung!$C$11:$C$22="",Besatzung!$B$5,Besatzung!$C$11:$C$22)&lt;=B158)*(IF(Besatzung!$D$11:$D$22="",Besatzung!$B$6,Besatzung!$D$11:$D$22)&gt;=B158)),1)),IF(I158="An Bord",(((Besatzung!$B$13&lt;&gt;"")*IF(B158="",1,(IF(Besatzung!$C$15="",Besatzung!$B$5,Besatzung!$C$15)&lt;=B158)*(IF(Besatzung!$D$15="",Besatzung!$B$6,Besatzung!$D$15)&gt;=B158)))*((G158-IFERROR(H158,0))/IFERROR(SUMPRODUCT((Besatzung!$B$11:$B$22&lt;&gt;"")*(IF(Besatzung!$C$11:$C$22="",Besatzung!$B$5,Besatzung!$C$11:$C$22)&lt;=B158)*(IF(Besatzung!$D$11:$D$22="",Besatzung!$B$6,Besatzung!$D$11:$D$22)&gt;=B158)),1)+(Besatzung!$F$15="x")*IFERROR(H158,0)/IFERROR(SUMPRODUCT((Besatzung!$B$11:$B$22&lt;&gt;"")*(Besatzung!$F$11:$F$22="x")*(IF(Besatzung!$C$11:$C$22="",Besatzung!$B$5,Besatzung!$C$11:$C$22)&lt;=B158)*(IF(Besatzung!$D$11:$D$22="",Besatzung!$B$6,Besatzung!$D$11:$D$22)&gt;=B158)),1))),IF(I158="Individuell",((N158="x")*((G158-IFERROR(H158,0))/IFERROR(COUNTIF(J158:U158,"x"),1)+(Besatzung!$F$15="x")*IFERROR(H158,0)/IFERROR(SUMPRODUCT((J158:U158="x")*(Besatzung!$F$11:$F$22="x")),1))),(IF(COUNTIF(J158:U158,"x")=0,IF(Besatzung!$B$13&lt;&gt;"",1,0),(N158="x"))*(G158-IFERROR(H158,0))/IFERROR(IF(COUNTIF(J158:U158,"x")=0,COUNTA(Besatzung!$B$11:$B$22),COUNTIF(J158:U158,"x")),1)+IF(COUNTIF(J158:U158,"x")=0,(Besatzung!$F$15="x"),(N158="x")*(Besatzung!$F$15="x"))*IFERROR(H158,0)/IFERROR(IF(COUNTIF(J158:U158,"x")=0,SUMPRODUCT((Besatzung!$B$11:$B$22&lt;&gt;"")*(Besatzung!$F$11:$F$22="x")),SUMPRODUCT((J158:U158="x")*(Besatzung!$F$11:$F$22="x"))),1))))),0))))</f>
        <v/>
      </c>
      <c r="AA158" s="247">
        <f>IF(C158="Gutschrift","",IF(G158="","",IF(Besatzung!$B$15="","",IFERROR(IF(I158="Zeitanteilig",(Besatzung!$G$16*(G158-IFERROR(H158,0))+((Besatzung!$B$15&lt;&gt;"")*IF(B158="",1,(IF(Besatzung!$C$16="",Besatzung!$B$5,Besatzung!$C$16)&lt;=B158)*(IF(Besatzung!$D$16="",Besatzung!$B$6,Besatzung!$D$16)&gt;=B158)))*(Besatzung!$F$16="x")*IFERROR(H158,0)/IFERROR(SUMPRODUCT((Besatzung!$B$11:$B$22&lt;&gt;"")*(Besatzung!$F$11:$F$22="x")*(IF(Besatzung!$C$11:$C$22="",Besatzung!$B$5,Besatzung!$C$11:$C$22)&lt;=B158)*(IF(Besatzung!$D$11:$D$22="",Besatzung!$B$6,Besatzung!$D$11:$D$22)&gt;=B158)),1)),IF(I158="An Bord",(((Besatzung!$B$15&lt;&gt;"")*IF(B158="",1,(IF(Besatzung!$C$16="",Besatzung!$B$5,Besatzung!$C$16)&lt;=B158)*(IF(Besatzung!$D$16="",Besatzung!$B$6,Besatzung!$D$16)&gt;=B158)))*((G158-IFERROR(H158,0))/IFERROR(SUMPRODUCT((Besatzung!$B$11:$B$22&lt;&gt;"")*(IF(Besatzung!$C$11:$C$22="",Besatzung!$B$5,Besatzung!$C$11:$C$22)&lt;=B158)*(IF(Besatzung!$D$11:$D$22="",Besatzung!$B$6,Besatzung!$D$11:$D$22)&gt;=B158)),1)+(Besatzung!$F$16="x")*IFERROR(H158,0)/IFERROR(SUMPRODUCT((Besatzung!$B$11:$B$22&lt;&gt;"")*(Besatzung!$F$11:$F$22="x")*(IF(Besatzung!$C$11:$C$22="",Besatzung!$B$5,Besatzung!$C$11:$C$22)&lt;=B158)*(IF(Besatzung!$D$11:$D$22="",Besatzung!$B$6,Besatzung!$D$11:$D$22)&gt;=B158)),1))),IF(I158="Individuell",((O158="x")*((G158-IFERROR(H158,0))/IFERROR(COUNTIF(J158:U158,"x"),1)+(Besatzung!$F$16="x")*IFERROR(H158,0)/IFERROR(SUMPRODUCT((J158:U158="x")*(Besatzung!$F$11:$F$22="x")),1))),(IF(COUNTIF(J158:U158,"x")=0,IF(Besatzung!$B$15&lt;&gt;"",1,0),(O158="x"))*(G158-IFERROR(H158,0))/IFERROR(IF(COUNTIF(J158:U158,"x")=0,COUNTA(Besatzung!$B$11:$B$22),COUNTIF(J158:U158,"x")),1)+IF(COUNTIF(J158:U158,"x")=0,(Besatzung!$F$16="x"),(O158="x")*(Besatzung!$F$16="x"))*IFERROR(H158,0)/IFERROR(IF(COUNTIF(J158:U158,"x")=0,SUMPRODUCT((Besatzung!$B$11:$B$22&lt;&gt;"")*(Besatzung!$F$11:$F$22="x")),SUMPRODUCT((J158:U158="x")*(Besatzung!$F$11:$F$22="x"))),1))))),0))))</f>
        <v/>
      </c>
      <c r="AB158" s="247">
        <f>IF(C158="Gutschrift","",IF(G158="","",IF(Besatzung!$B$17="","",IFERROR(IF(I158="Zeitanteilig",(Besatzung!$G$17*(G158-IFERROR(H158,0))+((Besatzung!$B$17&lt;&gt;"")*IF(B158="",1,(IF(Besatzung!$C$17="",Besatzung!$B$5,Besatzung!$C$17)&lt;=B158)*(IF(Besatzung!$D$17="",Besatzung!$B$6,Besatzung!$D$17)&gt;=B158)))*(Besatzung!$F$17="x")*IFERROR(H158,0)/IFERROR(SUMPRODUCT((Besatzung!$B$11:$B$22&lt;&gt;"")*(Besatzung!$F$11:$F$22="x")*(IF(Besatzung!$C$11:$C$22="",Besatzung!$B$5,Besatzung!$C$11:$C$22)&lt;=B158)*(IF(Besatzung!$D$11:$D$22="",Besatzung!$B$6,Besatzung!$D$11:$D$22)&gt;=B158)),1)),IF(I158="An Bord",(((Besatzung!$B$17&lt;&gt;"")*IF(B158="",1,(IF(Besatzung!$C$17="",Besatzung!$B$5,Besatzung!$C$17)&lt;=B158)*(IF(Besatzung!$D$17="",Besatzung!$B$6,Besatzung!$D$17)&gt;=B158)))*((G158-IFERROR(H158,0))/IFERROR(SUMPRODUCT((Besatzung!$B$11:$B$22&lt;&gt;"")*(IF(Besatzung!$C$11:$C$22="",Besatzung!$B$5,Besatzung!$C$11:$C$22)&lt;=B158)*(IF(Besatzung!$D$11:$D$22="",Besatzung!$B$6,Besatzung!$D$11:$D$22)&gt;=B158)),1)+(Besatzung!$F$17="x")*IFERROR(H158,0)/IFERROR(SUMPRODUCT((Besatzung!$B$11:$B$22&lt;&gt;"")*(Besatzung!$F$11:$F$22="x")*(IF(Besatzung!$C$11:$C$22="",Besatzung!$B$5,Besatzung!$C$11:$C$22)&lt;=B158)*(IF(Besatzung!$D$11:$D$22="",Besatzung!$B$6,Besatzung!$D$11:$D$22)&gt;=B158)),1))),IF(I158="Individuell",((P158="x")*((G158-IFERROR(H158,0))/IFERROR(COUNTIF(J158:U158,"x"),1)+(Besatzung!$F$17="x")*IFERROR(H158,0)/IFERROR(SUMPRODUCT((J158:U158="x")*(Besatzung!$F$11:$F$22="x")),1))),(IF(COUNTIF(J158:U158,"x")=0,IF(Besatzung!$B$17&lt;&gt;"",1,0),(P158="x"))*(G158-IFERROR(H158,0))/IFERROR(IF(COUNTIF(J158:U158,"x")=0,COUNTA(Besatzung!$B$11:$B$22),COUNTIF(J158:U158,"x")),1)+IF(COUNTIF(J158:U158,"x")=0,(Besatzung!$F$17="x"),(P158="x")*(Besatzung!$F$17="x"))*IFERROR(H158,0)/IFERROR(IF(COUNTIF(J158:U158,"x")=0,SUMPRODUCT((Besatzung!$B$11:$B$22&lt;&gt;"")*(Besatzung!$F$11:$F$22="x")),SUMPRODUCT((J158:U158="x")*(Besatzung!$F$11:$F$22="x"))),1))))),0))))</f>
        <v/>
      </c>
      <c r="AC158" s="247">
        <f>IF(C158="Gutschrift","",IF(G158="","",IF(Besatzung!$B$18="","",IFERROR(IF(I158="Zeitanteilig",(Besatzung!$G$18*(G158-IFERROR(H158,0))+((Besatzung!$B$18&lt;&gt;"")*IF(B158="",1,(IF(Besatzung!$C$18="",Besatzung!$B$5,Besatzung!$C$18)&lt;=B158)*(IF(Besatzung!$D$18="",Besatzung!$B$6,Besatzung!$D$18)&gt;=B158)))*(Besatzung!$F$18="x")*IFERROR(H158,0)/IFERROR(SUMPRODUCT((Besatzung!$B$11:$B$22&lt;&gt;"")*(Besatzung!$F$11:$F$22="x")*(IF(Besatzung!$C$11:$C$22="",Besatzung!$B$5,Besatzung!$C$11:$C$22)&lt;=B158)*(IF(Besatzung!$D$11:$D$22="",Besatzung!$B$6,Besatzung!$D$11:$D$22)&gt;=B158)),1)),IF(I158="An Bord",(((Besatzung!$B$18&lt;&gt;"")*IF(B158="",1,(IF(Besatzung!$C$18="",Besatzung!$B$5,Besatzung!$C$18)&lt;=B158)*(IF(Besatzung!$D$18="",Besatzung!$B$6,Besatzung!$D$18)&gt;=B158)))*((G158-IFERROR(H158,0))/IFERROR(SUMPRODUCT((Besatzung!$B$11:$B$22&lt;&gt;"")*(IF(Besatzung!$C$11:$C$22="",Besatzung!$B$5,Besatzung!$C$11:$C$22)&lt;=B158)*(IF(Besatzung!$D$11:$D$22="",Besatzung!$B$6,Besatzung!$D$11:$D$22)&gt;=B158)),1)+(Besatzung!$F$18="x")*IFERROR(H158,0)/IFERROR(SUMPRODUCT((Besatzung!$B$11:$B$22&lt;&gt;"")*(Besatzung!$F$11:$F$22="x")*(IF(Besatzung!$C$11:$C$22="",Besatzung!$B$5,Besatzung!$C$11:$C$22)&lt;=B158)*(IF(Besatzung!$D$11:$D$22="",Besatzung!$B$6,Besatzung!$D$11:$D$22)&gt;=B158)),1))),IF(I158="Individuell",((Q158="x")*((G158-IFERROR(H158,0))/IFERROR(COUNTIF(J158:U158,"x"),1)+(Besatzung!$F$18="x")*IFERROR(H158,0)/IFERROR(SUMPRODUCT((J158:U158="x")*(Besatzung!$F$11:$F$22="x")),1))),(IF(COUNTIF(J158:U158,"x")=0,IF(Besatzung!$B$18&lt;&gt;"",1,0),(Q158="x"))*(G158-IFERROR(H158,0))/IFERROR(IF(COUNTIF(J158:U158,"x")=0,COUNTA(Besatzung!$B$11:$B$22),COUNTIF(J158:U158,"x")),1)+IF(COUNTIF(J158:U158,"x")=0,(Besatzung!$F$18="x"),(Q158="x")*(Besatzung!$F$18="x"))*IFERROR(H158,0)/IFERROR(IF(COUNTIF(J158:U158,"x")=0,SUMPRODUCT((Besatzung!$B$11:$B$22&lt;&gt;"")*(Besatzung!$F$11:$F$22="x")),SUMPRODUCT((J158:U158="x")*(Besatzung!$F$11:$F$22="x"))),1))))),0))))</f>
        <v/>
      </c>
      <c r="AD158" s="247">
        <f>IF(C158="Gutschrift","",IF(G158="","",IF(Besatzung!$B$19="","",IFERROR(IF(I158="Zeitanteilig",(Besatzung!$G$19*(G158-IFERROR(H158,0))+((Besatzung!$B$19&lt;&gt;"")*IF(B158="",1,(IF(Besatzung!$C$19="",Besatzung!$B$5,Besatzung!$C$19)&lt;=B158)*(IF(Besatzung!$D$19="",Besatzung!$B$6,Besatzung!$D$19)&gt;=B158)))*(Besatzung!$F$19="x")*IFERROR(H158,0)/IFERROR(SUMPRODUCT((Besatzung!$B$11:$B$22&lt;&gt;"")*(Besatzung!$F$11:$F$22="x")*(IF(Besatzung!$C$11:$C$22="",Besatzung!$B$5,Besatzung!$C$11:$C$22)&lt;=B158)*(IF(Besatzung!$D$11:$D$22="",Besatzung!$B$6,Besatzung!$D$11:$D$22)&gt;=B158)),1)),IF(I158="An Bord",(((Besatzung!$B$19&lt;&gt;"")*IF(B158="",1,(IF(Besatzung!$C$19="",Besatzung!$B$5,Besatzung!$C$19)&lt;=B158)*(IF(Besatzung!$D$19="",Besatzung!$B$6,Besatzung!$D$19)&gt;=B158)))*((G158-IFERROR(H158,0))/IFERROR(SUMPRODUCT((Besatzung!$B$11:$B$22&lt;&gt;"")*(IF(Besatzung!$C$11:$C$22="",Besatzung!$B$5,Besatzung!$C$11:$C$22)&lt;=B158)*(IF(Besatzung!$D$11:$D$22="",Besatzung!$B$6,Besatzung!$D$11:$D$22)&gt;=B158)),1)+(Besatzung!$F$19="x")*IFERROR(H158,0)/IFERROR(SUMPRODUCT((Besatzung!$B$11:$B$22&lt;&gt;"")*(Besatzung!$F$11:$F$22="x")*(IF(Besatzung!$C$11:$C$22="",Besatzung!$B$5,Besatzung!$C$11:$C$22)&lt;=B158)*(IF(Besatzung!$D$11:$D$22="",Besatzung!$B$6,Besatzung!$D$11:$D$22)&gt;=B158)),1))),IF(I158="Individuell",((R158="x")*((G158-IFERROR(H158,0))/IFERROR(COUNTIF(J158:U158,"x"),1)+(Besatzung!$F$19="x")*IFERROR(H158,0)/IFERROR(SUMPRODUCT((J158:U158="x")*(Besatzung!$F$11:$F$22="x")),1))),(IF(COUNTIF(J158:U158,"x")=0,IF(Besatzung!$B$19&lt;&gt;"",1,0),(R158="x"))*(G158-IFERROR(H158,0))/IFERROR(IF(COUNTIF(J158:U158,"x")=0,COUNTA(Besatzung!$B$11:$B$22),COUNTIF(J158:U158,"x")),1)+IF(COUNTIF(J158:U158,"x")=0,(Besatzung!$F$19="x"),(R158="x")*(Besatzung!$F$19="x"))*IFERROR(H158,0)/IFERROR(IF(COUNTIF(J158:U158,"x")=0,SUMPRODUCT((Besatzung!$B$11:$B$22&lt;&gt;"")*(Besatzung!$F$11:$F$22="x")),SUMPRODUCT((J158:U158="x")*(Besatzung!$F$11:$F$22="x"))),1))))),0))))</f>
        <v/>
      </c>
      <c r="AE158" s="247">
        <f>IF(C158="Gutschrift","",IF(G158="","",IF(Besatzung!$B$20="","",IFERROR(IF(I158="Zeitanteilig",(Besatzung!$G$20*(G158-IFERROR(H158,0))+((Besatzung!$B$20&lt;&gt;"")*IF(B158="",1,(IF(Besatzung!$C$20="",Besatzung!$B$5,Besatzung!$C$20)&lt;=B158)*(IF(Besatzung!$D$20="",Besatzung!$B$6,Besatzung!$D$20)&gt;=B158)))*(Besatzung!$F$20="x")*IFERROR(H158,0)/IFERROR(SUMPRODUCT((Besatzung!$B$11:$B$22&lt;&gt;"")*(Besatzung!$F$11:$F$22="x")*(IF(Besatzung!$C$11:$C$22="",Besatzung!$B$5,Besatzung!$C$11:$C$22)&lt;=B158)*(IF(Besatzung!$D$11:$D$22="",Besatzung!$B$6,Besatzung!$D$11:$D$22)&gt;=B158)),1)),IF(I158="An Bord",(((Besatzung!$B$20&lt;&gt;"")*IF(B158="",1,(IF(Besatzung!$C$20="",Besatzung!$B$5,Besatzung!$C$20)&lt;=B158)*(IF(Besatzung!$D$20="",Besatzung!$B$6,Besatzung!$D$20)&gt;=B158)))*((G158-IFERROR(H158,0))/IFERROR(SUMPRODUCT((Besatzung!$B$11:$B$22&lt;&gt;"")*(IF(Besatzung!$C$11:$C$22="",Besatzung!$B$5,Besatzung!$C$11:$C$22)&lt;=B158)*(IF(Besatzung!$D$11:$D$22="",Besatzung!$B$6,Besatzung!$D$11:$D$22)&gt;=B158)),1)+(Besatzung!$F$20="x")*IFERROR(H158,0)/IFERROR(SUMPRODUCT((Besatzung!$B$11:$B$22&lt;&gt;"")*(Besatzung!$F$11:$F$22="x")*(IF(Besatzung!$C$11:$C$22="",Besatzung!$B$5,Besatzung!$C$11:$C$22)&lt;=B158)*(IF(Besatzung!$D$11:$D$22="",Besatzung!$B$6,Besatzung!$D$11:$D$22)&gt;=B158)),1))),IF(I158="Individuell",((S158="x")*((G158-IFERROR(H158,0))/IFERROR(COUNTIF(J158:U158,"x"),1)+(Besatzung!$F$20="x")*IFERROR(H158,0)/IFERROR(SUMPRODUCT((J158:U158="x")*(Besatzung!$F$11:$F$22="x")),1))),(IF(COUNTIF(J158:U158,"x")=0,IF(Besatzung!$B$20&lt;&gt;"",1,0),(S158="x"))*(G158-IFERROR(H158,0))/IFERROR(IF(COUNTIF(J158:U158,"x")=0,COUNTA(Besatzung!$B$11:$B$22),COUNTIF(J158:U158,"x")),1)+IF(COUNTIF(J158:U158,"x")=0,(Besatzung!$F$20="x"),(S158="x")*(Besatzung!$F$20="x"))*IFERROR(H158,0)/IFERROR(IF(COUNTIF(J158:U158,"x")=0,SUMPRODUCT((Besatzung!$B$11:$B$22&lt;&gt;"")*(Besatzung!$F$11:$F$22="x")),SUMPRODUCT((J158:U158="x")*(Besatzung!$F$11:$F$22="x"))),1))))),0))))</f>
        <v/>
      </c>
      <c r="AF158" s="247">
        <f>IF(C158="Gutschrift","",IF(G158="","",IF(Besatzung!$B$21="","",IFERROR(IF(I158="Zeitanteilig",(Besatzung!$G$21*(G158-IFERROR(H158,0))+((Besatzung!$B$21&lt;&gt;"")*IF(B158="",1,(IF(Besatzung!$C$21="",Besatzung!$B$5,Besatzung!$C$21)&lt;=B158)*(IF(Besatzung!$D$21="",Besatzung!$B$6,Besatzung!$D$21)&gt;=B158)))*(Besatzung!$F$21="x")*IFERROR(H158,0)/IFERROR(SUMPRODUCT((Besatzung!$B$11:$B$22&lt;&gt;"")*(Besatzung!$F$11:$F$22="x")*(IF(Besatzung!$C$11:$C$22="",Besatzung!$B$5,Besatzung!$C$11:$C$22)&lt;=B158)*(IF(Besatzung!$D$11:$D$22="",Besatzung!$B$6,Besatzung!$D$11:$D$22)&gt;=B158)),1)),IF(I158="An Bord",(((Besatzung!$B$21&lt;&gt;"")*IF(B158="",1,(IF(Besatzung!$C$21="",Besatzung!$B$5,Besatzung!$C$21)&lt;=B158)*(IF(Besatzung!$D$21="",Besatzung!$B$6,Besatzung!$D$21)&gt;=B158)))*((G158-IFERROR(H158,0))/IFERROR(SUMPRODUCT((Besatzung!$B$11:$B$22&lt;&gt;"")*(IF(Besatzung!$C$11:$C$22="",Besatzung!$B$5,Besatzung!$C$11:$C$22)&lt;=B158)*(IF(Besatzung!$D$11:$D$22="",Besatzung!$B$6,Besatzung!$D$11:$D$22)&gt;=B158)),1)+(Besatzung!$F$21="x")*IFERROR(H158,0)/IFERROR(SUMPRODUCT((Besatzung!$B$11:$B$22&lt;&gt;"")*(Besatzung!$F$11:$F$22="x")*(IF(Besatzung!$C$11:$C$22="",Besatzung!$B$5,Besatzung!$C$11:$C$22)&lt;=B158)*(IF(Besatzung!$D$11:$D$22="",Besatzung!$B$6,Besatzung!$D$11:$D$22)&gt;=B158)),1))),IF(I158="Individuell",((T158="x")*((G158-IFERROR(H158,0))/IFERROR(COUNTIF(J158:U158,"x"),1)+(Besatzung!$F$21="x")*IFERROR(H158,0)/IFERROR(SUMPRODUCT((J158:U158="x")*(Besatzung!$F$11:$F$22="x")),1))),(IF(COUNTIF(J158:U158,"x")=0,IF(Besatzung!$B$21&lt;&gt;"",1,0),(T158="x"))*(G158-IFERROR(H158,0))/IFERROR(IF(COUNTIF(J158:U158,"x")=0,COUNTA(Besatzung!$B$11:$B$22),COUNTIF(J158:U158,"x")),1)+IF(COUNTIF(J158:U158,"x")=0,(Besatzung!$F$21="x"),(T158="x")*(Besatzung!$F$21="x"))*IFERROR(H158,0)/IFERROR(IF(COUNTIF(J158:U158,"x")=0,SUMPRODUCT((Besatzung!$B$11:$B$22&lt;&gt;"")*(Besatzung!$F$11:$F$22="x")),SUMPRODUCT((J158:U158="x")*(Besatzung!$F$11:$F$22="x"))),1))))),0))))</f>
        <v/>
      </c>
      <c r="AG158" s="247">
        <f>IF(C158="Gutschrift","",IF(G158="","",IF(Besatzung!$B$22="","",IFERROR(IF(I158="Zeitanteilig",(Besatzung!$G$22*(G158-IFERROR(H158,0))+((Besatzung!$B$22&lt;&gt;"")*IF(B158="",1,(IF(Besatzung!$C$22="",Besatzung!$B$5,Besatzung!$C$22)&lt;=B158)*(IF(Besatzung!$D$22="",Besatzung!$B$6,Besatzung!$D$22)&gt;=B158)))*(Besatzung!$F$22="x")*IFERROR(H158,0)/IFERROR(SUMPRODUCT((Besatzung!$B$11:$B$22&lt;&gt;"")*(Besatzung!$F$11:$F$22="x")*(IF(Besatzung!$C$11:$C$22="",Besatzung!$B$5,Besatzung!$C$11:$C$22)&lt;=B158)*(IF(Besatzung!$D$11:$D$22="",Besatzung!$B$6,Besatzung!$D$11:$D$22)&gt;=B158)),1)),IF(I158="An Bord",(((Besatzung!$B$22&lt;&gt;"")*IF(B158="",1,(IF(Besatzung!$C$22="",Besatzung!$B$5,Besatzung!$C$22)&lt;=B158)*(IF(Besatzung!$D$22="",Besatzung!$B$6,Besatzung!$D$22)&gt;=B158)))*((G158-IFERROR(H158,0))/IFERROR(SUMPRODUCT((Besatzung!$B$11:$B$22&lt;&gt;"")*(IF(Besatzung!$C$11:$C$22="",Besatzung!$B$5,Besatzung!$C$11:$C$22)&lt;=B158)*(IF(Besatzung!$D$11:$D$22="",Besatzung!$B$6,Besatzung!$D$11:$D$22)&gt;=B158)),1)+(Besatzung!$F$22="x")*IFERROR(H158,0)/IFERROR(SUMPRODUCT((Besatzung!$B$11:$B$22&lt;&gt;"")*(Besatzung!$F$11:$F$22="x")*(IF(Besatzung!$C$11:$C$22="",Besatzung!$B$5,Besatzung!$C$11:$C$22)&lt;=B158)*(IF(Besatzung!$D$11:$D$22="",Besatzung!$B$6,Besatzung!$D$11:$D$22)&gt;=B158)),1))),IF(I158="Individuell",((U158="x")*((G158-IFERROR(H158,0))/IFERROR(COUNTIF(J158:U158,"x"),1)+(Besatzung!$F$22="x")*IFERROR(H158,0)/IFERROR(SUMPRODUCT((J158:U158="x")*(Besatzung!$F$11:$F$22="x")),1))),(IF(COUNTIF(J158:U158,"x")=0,IF(Besatzung!$B$22&lt;&gt;"",1,0),(U158="x"))*(G158-IFERROR(H158,0))/IFERROR(IF(COUNTIF(J158:U158,"x")=0,COUNTA(Besatzung!$B$11:$B$22),COUNTIF(J158:U158,"x")),1)+IF(COUNTIF(J158:U158,"x")=0,(Besatzung!$F$22="x"),(U158="x")*(Besatzung!$F$22="x"))*IFERROR(H158,0)/IFERROR(IF(COUNTIF(J158:U158,"x")=0,SUMPRODUCT((Besatzung!$B$11:$B$22&lt;&gt;"")*(Besatzung!$F$11:$F$22="x")),SUMPRODUCT((J158:U158="x")*(Besatzung!$F$11:$F$22="x"))),1))))),0))))</f>
        <v/>
      </c>
      <c r="AH158" s="248" t="n"/>
      <c r="AI158" s="248" t="n"/>
    </row>
    <row r="159" ht="21.75" customHeight="1" s="154">
      <c r="A159" s="238">
        <f>IF(AND(D159="",C159=""),"",156)</f>
        <v/>
      </c>
      <c r="B159" s="206" t="n"/>
      <c r="C159" s="249" t="n"/>
      <c r="D159" s="250" t="n"/>
      <c r="E159" s="251" t="n"/>
      <c r="F159" s="252" t="n"/>
      <c r="G159" s="253" t="n"/>
      <c r="H159" s="254" t="n"/>
      <c r="I159" s="255" t="n"/>
      <c r="J159" s="256" t="n"/>
      <c r="K159" s="256" t="n"/>
      <c r="L159" s="256" t="n"/>
      <c r="M159" s="256" t="n"/>
      <c r="N159" s="256" t="n"/>
      <c r="O159" s="256" t="n"/>
      <c r="P159" s="256" t="n"/>
      <c r="Q159" s="256" t="n"/>
      <c r="R159" s="256" t="n"/>
      <c r="S159" s="256" t="n"/>
      <c r="T159" s="256" t="n"/>
      <c r="U159" s="256" t="n"/>
      <c r="V159" s="247">
        <f>IF(C159="Gutschrift","",IF(G159="","",IF(Besatzung!$B$11="","",IFERROR(IF(I159="Zeitanteilig",(Besatzung!$G$11*(G159-IFERROR(H159,0))+((Besatzung!$B$11&lt;&gt;"")*IF(B159="",1,(IF(Besatzung!$C$11="",Besatzung!$B$5,Besatzung!$C$11)&lt;=B159)*(IF(Besatzung!$D$11="",Besatzung!$B$6,Besatzung!$D$11)&gt;=B159)))*(Besatzung!$F$11="x")*IFERROR(H159,0)/IFERROR(SUMPRODUCT((Besatzung!$B$11:$B$22&lt;&gt;"")*(Besatzung!$F$11:$F$22="x")*(IF(Besatzung!$C$11:$C$22="",Besatzung!$B$5,Besatzung!$C$11:$C$22)&lt;=B159)*(IF(Besatzung!$D$11:$D$22="",Besatzung!$B$6,Besatzung!$D$11:$D$22)&gt;=B159)),1)),IF(I159="An Bord",(((Besatzung!$B$11&lt;&gt;"")*IF(B159="",1,(IF(Besatzung!$C$11="",Besatzung!$B$5,Besatzung!$C$11)&lt;=B159)*(IF(Besatzung!$D$11="",Besatzung!$B$6,Besatzung!$D$11)&gt;=B159)))*((G159-IFERROR(H159,0))/IFERROR(SUMPRODUCT((Besatzung!$B$11:$B$22&lt;&gt;"")*(IF(Besatzung!$C$11:$C$22="",Besatzung!$B$5,Besatzung!$C$11:$C$22)&lt;=B159)*(IF(Besatzung!$D$11:$D$22="",Besatzung!$B$6,Besatzung!$D$11:$D$22)&gt;=B159)),1)+(Besatzung!$F$11="x")*IFERROR(H159,0)/IFERROR(SUMPRODUCT((Besatzung!$B$11:$B$22&lt;&gt;"")*(Besatzung!$F$11:$F$22="x")*(IF(Besatzung!$C$11:$C$22="",Besatzung!$B$5,Besatzung!$C$11:$C$22)&lt;=B159)*(IF(Besatzung!$D$11:$D$22="",Besatzung!$B$6,Besatzung!$D$11:$D$22)&gt;=B159)),1))),IF(I159="Individuell",((J159="x")*((G159-IFERROR(H159,0))/IFERROR(COUNTIF(J159:U159,"x"),1)+(Besatzung!$F$11="x")*IFERROR(H159,0)/IFERROR(SUMPRODUCT((J159:U159="x")*(Besatzung!$F$11:$F$22="x")),1))),(IF(COUNTIF(J159:U159,"x")=0,IF(Besatzung!$B$11&lt;&gt;"",1,0),(J159="x"))*(G159-IFERROR(H159,0))/IFERROR(IF(COUNTIF(J159:U159,"x")=0,COUNTA(Besatzung!$B$11:$B$22),COUNTIF(J159:U159,"x")),1)+IF(COUNTIF(J159:U159,"x")=0,(Besatzung!$F$11="x"),(J159="x")*(Besatzung!$F$11="x"))*IFERROR(H159,0)/IFERROR(IF(COUNTIF(J159:U159,"x")=0,SUMPRODUCT((Besatzung!$B$11:$B$22&lt;&gt;"")*(Besatzung!$F$11:$F$22="x")),SUMPRODUCT((J159:U159="x")*(Besatzung!$F$11:$F$22="x"))),1))))),0))))</f>
        <v/>
      </c>
      <c r="W159" s="247">
        <f>IF(C159="Gutschrift","",IF(G159="","",IF(Besatzung!$B$12="","",IFERROR(IF(I159="Zeitanteilig",(Besatzung!$G$12*(G159-IFERROR(H159,0))+((Besatzung!$B$12&lt;&gt;"")*IF(B159="",1,(IF(Besatzung!$C$12="",Besatzung!$B$5,Besatzung!$C$12)&lt;=B159)*(IF(Besatzung!$D$12="",Besatzung!$B$6,Besatzung!$D$12)&gt;=B159)))*(Besatzung!$F$12="x")*IFERROR(H159,0)/IFERROR(SUMPRODUCT((Besatzung!$B$11:$B$22&lt;&gt;"")*(Besatzung!$F$11:$F$22="x")*(IF(Besatzung!$C$11:$C$22="",Besatzung!$B$5,Besatzung!$C$11:$C$22)&lt;=B159)*(IF(Besatzung!$D$11:$D$22="",Besatzung!$B$6,Besatzung!$D$11:$D$22)&gt;=B159)),1)),IF(I159="An Bord",(((Besatzung!$B$12&lt;&gt;"")*IF(B159="",1,(IF(Besatzung!$C$12="",Besatzung!$B$5,Besatzung!$C$12)&lt;=B159)*(IF(Besatzung!$D$12="",Besatzung!$B$6,Besatzung!$D$12)&gt;=B159)))*((G159-IFERROR(H159,0))/IFERROR(SUMPRODUCT((Besatzung!$B$11:$B$22&lt;&gt;"")*(IF(Besatzung!$C$11:$C$22="",Besatzung!$B$5,Besatzung!$C$11:$C$22)&lt;=B159)*(IF(Besatzung!$D$11:$D$22="",Besatzung!$B$6,Besatzung!$D$11:$D$22)&gt;=B159)),1)+(Besatzung!$F$12="x")*IFERROR(H159,0)/IFERROR(SUMPRODUCT((Besatzung!$B$11:$B$22&lt;&gt;"")*(Besatzung!$F$11:$F$22="x")*(IF(Besatzung!$C$11:$C$22="",Besatzung!$B$5,Besatzung!$C$11:$C$22)&lt;=B159)*(IF(Besatzung!$D$11:$D$22="",Besatzung!$B$6,Besatzung!$D$11:$D$22)&gt;=B159)),1))),IF(I159="Individuell",((K159="x")*((G159-IFERROR(H159,0))/IFERROR(COUNTIF(J159:U159,"x"),1)+(Besatzung!$F$12="x")*IFERROR(H159,0)/IFERROR(SUMPRODUCT((J159:U159="x")*(Besatzung!$F$11:$F$22="x")),1))),(IF(COUNTIF(J159:U159,"x")=0,IF(Besatzung!$B$12&lt;&gt;"",1,0),(K159="x"))*(G159-IFERROR(H159,0))/IFERROR(IF(COUNTIF(J159:U159,"x")=0,COUNTA(Besatzung!$B$11:$B$22),COUNTIF(J159:U159,"x")),1)+IF(COUNTIF(J159:U159,"x")=0,(Besatzung!$F$12="x"),(K159="x")*(Besatzung!$F$12="x"))*IFERROR(H159,0)/IFERROR(IF(COUNTIF(J159:U159,"x")=0,SUMPRODUCT((Besatzung!$B$11:$B$22&lt;&gt;"")*(Besatzung!$F$11:$F$22="x")),SUMPRODUCT((J159:U159="x")*(Besatzung!$F$11:$F$22="x"))),1))))),0))))</f>
        <v/>
      </c>
      <c r="X159" s="247">
        <f>IF(C159="Gutschrift","",IF(G159="","",IF(Besatzung!$B$13="","",IFERROR(IF(I159="Zeitanteilig",(Besatzung!$G$13*(G159-IFERROR(H159,0))+((Besatzung!$B$13&lt;&gt;"")*IF(B159="",1,(IF(Besatzung!$C$13="",Besatzung!$B$5,Besatzung!$C$13)&lt;=B159)*(IF(Besatzung!$D$13="",Besatzung!$B$6,Besatzung!$D$13)&gt;=B159)))*(Besatzung!$F$13="x")*IFERROR(H159,0)/IFERROR(SUMPRODUCT((Besatzung!$B$11:$B$22&lt;&gt;"")*(Besatzung!$F$11:$F$22="x")*(IF(Besatzung!$C$11:$C$22="",Besatzung!$B$5,Besatzung!$C$11:$C$22)&lt;=B159)*(IF(Besatzung!$D$11:$D$22="",Besatzung!$B$6,Besatzung!$D$11:$D$22)&gt;=B159)),1)),IF(I159="An Bord",(((Besatzung!$B$13&lt;&gt;"")*IF(B159="",1,(IF(Besatzung!$C$13="",Besatzung!$B$5,Besatzung!$C$13)&lt;=B159)*(IF(Besatzung!$D$13="",Besatzung!$B$6,Besatzung!$D$13)&gt;=B159)))*((G159-IFERROR(H159,0))/IFERROR(SUMPRODUCT((Besatzung!$B$11:$B$22&lt;&gt;"")*(IF(Besatzung!$C$11:$C$22="",Besatzung!$B$5,Besatzung!$C$11:$C$22)&lt;=B159)*(IF(Besatzung!$D$11:$D$22="",Besatzung!$B$6,Besatzung!$D$11:$D$22)&gt;=B159)),1)+(Besatzung!$F$13="x")*IFERROR(H159,0)/IFERROR(SUMPRODUCT((Besatzung!$B$11:$B$22&lt;&gt;"")*(Besatzung!$F$11:$F$22="x")*(IF(Besatzung!$C$11:$C$22="",Besatzung!$B$5,Besatzung!$C$11:$C$22)&lt;=B159)*(IF(Besatzung!$D$11:$D$22="",Besatzung!$B$6,Besatzung!$D$11:$D$22)&gt;=B159)),1))),IF(I159="Individuell",((K159="x")*((G159-IFERROR(H159,0))/IFERROR(COUNTIF(J159:U159,"x"),1)+(Besatzung!$F$13="x")*IFERROR(H159,0)/IFERROR(SUMPRODUCT((J159:U159="x")*(Besatzung!$F$11:$F$22="x")),1))),(IF(COUNTIF(J159:U159,"x")=0,IF(Besatzung!$B$13&lt;&gt;"",1,0),(K159="x"))*(G159-IFERROR(H159,0))/IFERROR(IF(COUNTIF(J159:U159,"x")=0,COUNTA(Besatzung!$B$11:$B$22),COUNTIF(J159:U159,"x")),1)+IF(COUNTIF(J159:U159,"x")=0,(Besatzung!$F$13="x"),(K159="x")*(Besatzung!$F$13="x"))*IFERROR(H159,0)/IFERROR(IF(COUNTIF(J159:U159,"x")=0,SUMPRODUCT((Besatzung!$B$11:$B$22&lt;&gt;"")*(Besatzung!$F$11:$F$22="x")),SUMPRODUCT((J159:U159="x")*(Besatzung!$F$11:$F$22="x"))),1))))),0))))</f>
        <v/>
      </c>
      <c r="Y159" s="247">
        <f>IF(C159="Gutschrift","",IF(G159="","",IF(Besatzung!$B$14="","",IFERROR(IF(I159="Zeitanteilig",(Besatzung!$G$14*(G159-IFERROR(H159,0))+((Besatzung!$B$14&lt;&gt;"")*IF(B159="",1,(IF(Besatzung!$C$14="",Besatzung!$B$5,Besatzung!$C$14)&lt;=B159)*(IF(Besatzung!$D$14="",Besatzung!$B$6,Besatzung!$D$14)&gt;=B159)))*(Besatzung!$F$14="x")*IFERROR(H159,0)/IFERROR(SUMPRODUCT((Besatzung!$B$11:$B$22&lt;&gt;"")*(Besatzung!$F$11:$F$22="x")*(IF(Besatzung!$C$11:$C$22="",Besatzung!$B$5,Besatzung!$C$11:$C$22)&lt;=B159)*(IF(Besatzung!$D$11:$D$22="",Besatzung!$B$6,Besatzung!$D$11:$D$22)&gt;=B159)),1)),IF(I159="An Bord",(((Besatzung!$B$14&lt;&gt;"")*IF(B159="",1,(IF(Besatzung!$C$14="",Besatzung!$B$5,Besatzung!$C$14)&lt;=B159)*(IF(Besatzung!$D$14="",Besatzung!$B$6,Besatzung!$D$14)&gt;=B159)))*((G159-IFERROR(H159,0))/IFERROR(SUMPRODUCT((Besatzung!$B$11:$B$22&lt;&gt;"")*(IF(Besatzung!$C$11:$C$22="",Besatzung!$B$5,Besatzung!$C$11:$C$22)&lt;=B159)*(IF(Besatzung!$D$11:$D$22="",Besatzung!$B$6,Besatzung!$D$11:$D$22)&gt;=B159)),1)+(Besatzung!$F$14="x")*IFERROR(H159,0)/IFERROR(SUMPRODUCT((Besatzung!$B$11:$B$22&lt;&gt;"")*(Besatzung!$F$11:$F$22="x")*(IF(Besatzung!$C$11:$C$22="",Besatzung!$B$5,Besatzung!$C$11:$C$22)&lt;=B159)*(IF(Besatzung!$D$11:$D$22="",Besatzung!$B$6,Besatzung!$D$11:$D$22)&gt;=B159)),1))),IF(I159="Individuell",((M159="x")*((G159-IFERROR(H159,0))/IFERROR(COUNTIF(J159:U159,"x"),1)+(Besatzung!$F$14="x")*IFERROR(H159,0)/IFERROR(SUMPRODUCT((J159:U159="x")*(Besatzung!$F$11:$F$22="x")),1))),(IF(COUNTIF(J159:U159,"x")=0,IF(Besatzung!$B$14&lt;&gt;"",1,0),(M159="x"))*(G159-IFERROR(H159,0))/IFERROR(IF(COUNTIF(J159:U159,"x")=0,COUNTA(Besatzung!$B$11:$B$22),COUNTIF(J159:U159,"x")),1)+IF(COUNTIF(J159:U159,"x")=0,(Besatzung!$F$14="x"),(M159="x")*(Besatzung!$F$14="x"))*IFERROR(H159,0)/IFERROR(IF(COUNTIF(J159:U159,"x")=0,SUMPRODUCT((Besatzung!$B$11:$B$22&lt;&gt;"")*(Besatzung!$F$11:$F$22="x")),SUMPRODUCT((J159:U159="x")*(Besatzung!$F$11:$F$22="x"))),1))))),0))))</f>
        <v/>
      </c>
      <c r="Z159" s="247">
        <f>IF(C159="Gutschrift","",IF(G159="","",IF(Besatzung!$B$13="","",IFERROR(IF(I159="Zeitanteilig",(Besatzung!$G$15*(G159-IFERROR(H159,0))+((Besatzung!$B$13&lt;&gt;"")*IF(B159="",1,(IF(Besatzung!$C$15="",Besatzung!$B$5,Besatzung!$C$15)&lt;=B159)*(IF(Besatzung!$D$15="",Besatzung!$B$6,Besatzung!$D$15)&gt;=B159)))*(Besatzung!$F$15="x")*IFERROR(H159,0)/IFERROR(SUMPRODUCT((Besatzung!$B$11:$B$22&lt;&gt;"")*(Besatzung!$F$11:$F$22="x")*(IF(Besatzung!$C$11:$C$22="",Besatzung!$B$5,Besatzung!$C$11:$C$22)&lt;=B159)*(IF(Besatzung!$D$11:$D$22="",Besatzung!$B$6,Besatzung!$D$11:$D$22)&gt;=B159)),1)),IF(I159="An Bord",(((Besatzung!$B$13&lt;&gt;"")*IF(B159="",1,(IF(Besatzung!$C$15="",Besatzung!$B$5,Besatzung!$C$15)&lt;=B159)*(IF(Besatzung!$D$15="",Besatzung!$B$6,Besatzung!$D$15)&gt;=B159)))*((G159-IFERROR(H159,0))/IFERROR(SUMPRODUCT((Besatzung!$B$11:$B$22&lt;&gt;"")*(IF(Besatzung!$C$11:$C$22="",Besatzung!$B$5,Besatzung!$C$11:$C$22)&lt;=B159)*(IF(Besatzung!$D$11:$D$22="",Besatzung!$B$6,Besatzung!$D$11:$D$22)&gt;=B159)),1)+(Besatzung!$F$15="x")*IFERROR(H159,0)/IFERROR(SUMPRODUCT((Besatzung!$B$11:$B$22&lt;&gt;"")*(Besatzung!$F$11:$F$22="x")*(IF(Besatzung!$C$11:$C$22="",Besatzung!$B$5,Besatzung!$C$11:$C$22)&lt;=B159)*(IF(Besatzung!$D$11:$D$22="",Besatzung!$B$6,Besatzung!$D$11:$D$22)&gt;=B159)),1))),IF(I159="Individuell",((N159="x")*((G159-IFERROR(H159,0))/IFERROR(COUNTIF(J159:U159,"x"),1)+(Besatzung!$F$15="x")*IFERROR(H159,0)/IFERROR(SUMPRODUCT((J159:U159="x")*(Besatzung!$F$11:$F$22="x")),1))),(IF(COUNTIF(J159:U159,"x")=0,IF(Besatzung!$B$13&lt;&gt;"",1,0),(N159="x"))*(G159-IFERROR(H159,0))/IFERROR(IF(COUNTIF(J159:U159,"x")=0,COUNTA(Besatzung!$B$11:$B$22),COUNTIF(J159:U159,"x")),1)+IF(COUNTIF(J159:U159,"x")=0,(Besatzung!$F$15="x"),(N159="x")*(Besatzung!$F$15="x"))*IFERROR(H159,0)/IFERROR(IF(COUNTIF(J159:U159,"x")=0,SUMPRODUCT((Besatzung!$B$11:$B$22&lt;&gt;"")*(Besatzung!$F$11:$F$22="x")),SUMPRODUCT((J159:U159="x")*(Besatzung!$F$11:$F$22="x"))),1))))),0))))</f>
        <v/>
      </c>
      <c r="AA159" s="247">
        <f>IF(C159="Gutschrift","",IF(G159="","",IF(Besatzung!$B$15="","",IFERROR(IF(I159="Zeitanteilig",(Besatzung!$G$16*(G159-IFERROR(H159,0))+((Besatzung!$B$15&lt;&gt;"")*IF(B159="",1,(IF(Besatzung!$C$16="",Besatzung!$B$5,Besatzung!$C$16)&lt;=B159)*(IF(Besatzung!$D$16="",Besatzung!$B$6,Besatzung!$D$16)&gt;=B159)))*(Besatzung!$F$16="x")*IFERROR(H159,0)/IFERROR(SUMPRODUCT((Besatzung!$B$11:$B$22&lt;&gt;"")*(Besatzung!$F$11:$F$22="x")*(IF(Besatzung!$C$11:$C$22="",Besatzung!$B$5,Besatzung!$C$11:$C$22)&lt;=B159)*(IF(Besatzung!$D$11:$D$22="",Besatzung!$B$6,Besatzung!$D$11:$D$22)&gt;=B159)),1)),IF(I159="An Bord",(((Besatzung!$B$15&lt;&gt;"")*IF(B159="",1,(IF(Besatzung!$C$16="",Besatzung!$B$5,Besatzung!$C$16)&lt;=B159)*(IF(Besatzung!$D$16="",Besatzung!$B$6,Besatzung!$D$16)&gt;=B159)))*((G159-IFERROR(H159,0))/IFERROR(SUMPRODUCT((Besatzung!$B$11:$B$22&lt;&gt;"")*(IF(Besatzung!$C$11:$C$22="",Besatzung!$B$5,Besatzung!$C$11:$C$22)&lt;=B159)*(IF(Besatzung!$D$11:$D$22="",Besatzung!$B$6,Besatzung!$D$11:$D$22)&gt;=B159)),1)+(Besatzung!$F$16="x")*IFERROR(H159,0)/IFERROR(SUMPRODUCT((Besatzung!$B$11:$B$22&lt;&gt;"")*(Besatzung!$F$11:$F$22="x")*(IF(Besatzung!$C$11:$C$22="",Besatzung!$B$5,Besatzung!$C$11:$C$22)&lt;=B159)*(IF(Besatzung!$D$11:$D$22="",Besatzung!$B$6,Besatzung!$D$11:$D$22)&gt;=B159)),1))),IF(I159="Individuell",((O159="x")*((G159-IFERROR(H159,0))/IFERROR(COUNTIF(J159:U159,"x"),1)+(Besatzung!$F$16="x")*IFERROR(H159,0)/IFERROR(SUMPRODUCT((J159:U159="x")*(Besatzung!$F$11:$F$22="x")),1))),(IF(COUNTIF(J159:U159,"x")=0,IF(Besatzung!$B$15&lt;&gt;"",1,0),(O159="x"))*(G159-IFERROR(H159,0))/IFERROR(IF(COUNTIF(J159:U159,"x")=0,COUNTA(Besatzung!$B$11:$B$22),COUNTIF(J159:U159,"x")),1)+IF(COUNTIF(J159:U159,"x")=0,(Besatzung!$F$16="x"),(O159="x")*(Besatzung!$F$16="x"))*IFERROR(H159,0)/IFERROR(IF(COUNTIF(J159:U159,"x")=0,SUMPRODUCT((Besatzung!$B$11:$B$22&lt;&gt;"")*(Besatzung!$F$11:$F$22="x")),SUMPRODUCT((J159:U159="x")*(Besatzung!$F$11:$F$22="x"))),1))))),0))))</f>
        <v/>
      </c>
      <c r="AB159" s="247">
        <f>IF(C159="Gutschrift","",IF(G159="","",IF(Besatzung!$B$17="","",IFERROR(IF(I159="Zeitanteilig",(Besatzung!$G$17*(G159-IFERROR(H159,0))+((Besatzung!$B$17&lt;&gt;"")*IF(B159="",1,(IF(Besatzung!$C$17="",Besatzung!$B$5,Besatzung!$C$17)&lt;=B159)*(IF(Besatzung!$D$17="",Besatzung!$B$6,Besatzung!$D$17)&gt;=B159)))*(Besatzung!$F$17="x")*IFERROR(H159,0)/IFERROR(SUMPRODUCT((Besatzung!$B$11:$B$22&lt;&gt;"")*(Besatzung!$F$11:$F$22="x")*(IF(Besatzung!$C$11:$C$22="",Besatzung!$B$5,Besatzung!$C$11:$C$22)&lt;=B159)*(IF(Besatzung!$D$11:$D$22="",Besatzung!$B$6,Besatzung!$D$11:$D$22)&gt;=B159)),1)),IF(I159="An Bord",(((Besatzung!$B$17&lt;&gt;"")*IF(B159="",1,(IF(Besatzung!$C$17="",Besatzung!$B$5,Besatzung!$C$17)&lt;=B159)*(IF(Besatzung!$D$17="",Besatzung!$B$6,Besatzung!$D$17)&gt;=B159)))*((G159-IFERROR(H159,0))/IFERROR(SUMPRODUCT((Besatzung!$B$11:$B$22&lt;&gt;"")*(IF(Besatzung!$C$11:$C$22="",Besatzung!$B$5,Besatzung!$C$11:$C$22)&lt;=B159)*(IF(Besatzung!$D$11:$D$22="",Besatzung!$B$6,Besatzung!$D$11:$D$22)&gt;=B159)),1)+(Besatzung!$F$17="x")*IFERROR(H159,0)/IFERROR(SUMPRODUCT((Besatzung!$B$11:$B$22&lt;&gt;"")*(Besatzung!$F$11:$F$22="x")*(IF(Besatzung!$C$11:$C$22="",Besatzung!$B$5,Besatzung!$C$11:$C$22)&lt;=B159)*(IF(Besatzung!$D$11:$D$22="",Besatzung!$B$6,Besatzung!$D$11:$D$22)&gt;=B159)),1))),IF(I159="Individuell",((P159="x")*((G159-IFERROR(H159,0))/IFERROR(COUNTIF(J159:U159,"x"),1)+(Besatzung!$F$17="x")*IFERROR(H159,0)/IFERROR(SUMPRODUCT((J159:U159="x")*(Besatzung!$F$11:$F$22="x")),1))),(IF(COUNTIF(J159:U159,"x")=0,IF(Besatzung!$B$17&lt;&gt;"",1,0),(P159="x"))*(G159-IFERROR(H159,0))/IFERROR(IF(COUNTIF(J159:U159,"x")=0,COUNTA(Besatzung!$B$11:$B$22),COUNTIF(J159:U159,"x")),1)+IF(COUNTIF(J159:U159,"x")=0,(Besatzung!$F$17="x"),(P159="x")*(Besatzung!$F$17="x"))*IFERROR(H159,0)/IFERROR(IF(COUNTIF(J159:U159,"x")=0,SUMPRODUCT((Besatzung!$B$11:$B$22&lt;&gt;"")*(Besatzung!$F$11:$F$22="x")),SUMPRODUCT((J159:U159="x")*(Besatzung!$F$11:$F$22="x"))),1))))),0))))</f>
        <v/>
      </c>
      <c r="AC159" s="247">
        <f>IF(C159="Gutschrift","",IF(G159="","",IF(Besatzung!$B$18="","",IFERROR(IF(I159="Zeitanteilig",(Besatzung!$G$18*(G159-IFERROR(H159,0))+((Besatzung!$B$18&lt;&gt;"")*IF(B159="",1,(IF(Besatzung!$C$18="",Besatzung!$B$5,Besatzung!$C$18)&lt;=B159)*(IF(Besatzung!$D$18="",Besatzung!$B$6,Besatzung!$D$18)&gt;=B159)))*(Besatzung!$F$18="x")*IFERROR(H159,0)/IFERROR(SUMPRODUCT((Besatzung!$B$11:$B$22&lt;&gt;"")*(Besatzung!$F$11:$F$22="x")*(IF(Besatzung!$C$11:$C$22="",Besatzung!$B$5,Besatzung!$C$11:$C$22)&lt;=B159)*(IF(Besatzung!$D$11:$D$22="",Besatzung!$B$6,Besatzung!$D$11:$D$22)&gt;=B159)),1)),IF(I159="An Bord",(((Besatzung!$B$18&lt;&gt;"")*IF(B159="",1,(IF(Besatzung!$C$18="",Besatzung!$B$5,Besatzung!$C$18)&lt;=B159)*(IF(Besatzung!$D$18="",Besatzung!$B$6,Besatzung!$D$18)&gt;=B159)))*((G159-IFERROR(H159,0))/IFERROR(SUMPRODUCT((Besatzung!$B$11:$B$22&lt;&gt;"")*(IF(Besatzung!$C$11:$C$22="",Besatzung!$B$5,Besatzung!$C$11:$C$22)&lt;=B159)*(IF(Besatzung!$D$11:$D$22="",Besatzung!$B$6,Besatzung!$D$11:$D$22)&gt;=B159)),1)+(Besatzung!$F$18="x")*IFERROR(H159,0)/IFERROR(SUMPRODUCT((Besatzung!$B$11:$B$22&lt;&gt;"")*(Besatzung!$F$11:$F$22="x")*(IF(Besatzung!$C$11:$C$22="",Besatzung!$B$5,Besatzung!$C$11:$C$22)&lt;=B159)*(IF(Besatzung!$D$11:$D$22="",Besatzung!$B$6,Besatzung!$D$11:$D$22)&gt;=B159)),1))),IF(I159="Individuell",((Q159="x")*((G159-IFERROR(H159,0))/IFERROR(COUNTIF(J159:U159,"x"),1)+(Besatzung!$F$18="x")*IFERROR(H159,0)/IFERROR(SUMPRODUCT((J159:U159="x")*(Besatzung!$F$11:$F$22="x")),1))),(IF(COUNTIF(J159:U159,"x")=0,IF(Besatzung!$B$18&lt;&gt;"",1,0),(Q159="x"))*(G159-IFERROR(H159,0))/IFERROR(IF(COUNTIF(J159:U159,"x")=0,COUNTA(Besatzung!$B$11:$B$22),COUNTIF(J159:U159,"x")),1)+IF(COUNTIF(J159:U159,"x")=0,(Besatzung!$F$18="x"),(Q159="x")*(Besatzung!$F$18="x"))*IFERROR(H159,0)/IFERROR(IF(COUNTIF(J159:U159,"x")=0,SUMPRODUCT((Besatzung!$B$11:$B$22&lt;&gt;"")*(Besatzung!$F$11:$F$22="x")),SUMPRODUCT((J159:U159="x")*(Besatzung!$F$11:$F$22="x"))),1))))),0))))</f>
        <v/>
      </c>
      <c r="AD159" s="247">
        <f>IF(C159="Gutschrift","",IF(G159="","",IF(Besatzung!$B$19="","",IFERROR(IF(I159="Zeitanteilig",(Besatzung!$G$19*(G159-IFERROR(H159,0))+((Besatzung!$B$19&lt;&gt;"")*IF(B159="",1,(IF(Besatzung!$C$19="",Besatzung!$B$5,Besatzung!$C$19)&lt;=B159)*(IF(Besatzung!$D$19="",Besatzung!$B$6,Besatzung!$D$19)&gt;=B159)))*(Besatzung!$F$19="x")*IFERROR(H159,0)/IFERROR(SUMPRODUCT((Besatzung!$B$11:$B$22&lt;&gt;"")*(Besatzung!$F$11:$F$22="x")*(IF(Besatzung!$C$11:$C$22="",Besatzung!$B$5,Besatzung!$C$11:$C$22)&lt;=B159)*(IF(Besatzung!$D$11:$D$22="",Besatzung!$B$6,Besatzung!$D$11:$D$22)&gt;=B159)),1)),IF(I159="An Bord",(((Besatzung!$B$19&lt;&gt;"")*IF(B159="",1,(IF(Besatzung!$C$19="",Besatzung!$B$5,Besatzung!$C$19)&lt;=B159)*(IF(Besatzung!$D$19="",Besatzung!$B$6,Besatzung!$D$19)&gt;=B159)))*((G159-IFERROR(H159,0))/IFERROR(SUMPRODUCT((Besatzung!$B$11:$B$22&lt;&gt;"")*(IF(Besatzung!$C$11:$C$22="",Besatzung!$B$5,Besatzung!$C$11:$C$22)&lt;=B159)*(IF(Besatzung!$D$11:$D$22="",Besatzung!$B$6,Besatzung!$D$11:$D$22)&gt;=B159)),1)+(Besatzung!$F$19="x")*IFERROR(H159,0)/IFERROR(SUMPRODUCT((Besatzung!$B$11:$B$22&lt;&gt;"")*(Besatzung!$F$11:$F$22="x")*(IF(Besatzung!$C$11:$C$22="",Besatzung!$B$5,Besatzung!$C$11:$C$22)&lt;=B159)*(IF(Besatzung!$D$11:$D$22="",Besatzung!$B$6,Besatzung!$D$11:$D$22)&gt;=B159)),1))),IF(I159="Individuell",((R159="x")*((G159-IFERROR(H159,0))/IFERROR(COUNTIF(J159:U159,"x"),1)+(Besatzung!$F$19="x")*IFERROR(H159,0)/IFERROR(SUMPRODUCT((J159:U159="x")*(Besatzung!$F$11:$F$22="x")),1))),(IF(COUNTIF(J159:U159,"x")=0,IF(Besatzung!$B$19&lt;&gt;"",1,0),(R159="x"))*(G159-IFERROR(H159,0))/IFERROR(IF(COUNTIF(J159:U159,"x")=0,COUNTA(Besatzung!$B$11:$B$22),COUNTIF(J159:U159,"x")),1)+IF(COUNTIF(J159:U159,"x")=0,(Besatzung!$F$19="x"),(R159="x")*(Besatzung!$F$19="x"))*IFERROR(H159,0)/IFERROR(IF(COUNTIF(J159:U159,"x")=0,SUMPRODUCT((Besatzung!$B$11:$B$22&lt;&gt;"")*(Besatzung!$F$11:$F$22="x")),SUMPRODUCT((J159:U159="x")*(Besatzung!$F$11:$F$22="x"))),1))))),0))))</f>
        <v/>
      </c>
      <c r="AE159" s="247">
        <f>IF(C159="Gutschrift","",IF(G159="","",IF(Besatzung!$B$20="","",IFERROR(IF(I159="Zeitanteilig",(Besatzung!$G$20*(G159-IFERROR(H159,0))+((Besatzung!$B$20&lt;&gt;"")*IF(B159="",1,(IF(Besatzung!$C$20="",Besatzung!$B$5,Besatzung!$C$20)&lt;=B159)*(IF(Besatzung!$D$20="",Besatzung!$B$6,Besatzung!$D$20)&gt;=B159)))*(Besatzung!$F$20="x")*IFERROR(H159,0)/IFERROR(SUMPRODUCT((Besatzung!$B$11:$B$22&lt;&gt;"")*(Besatzung!$F$11:$F$22="x")*(IF(Besatzung!$C$11:$C$22="",Besatzung!$B$5,Besatzung!$C$11:$C$22)&lt;=B159)*(IF(Besatzung!$D$11:$D$22="",Besatzung!$B$6,Besatzung!$D$11:$D$22)&gt;=B159)),1)),IF(I159="An Bord",(((Besatzung!$B$20&lt;&gt;"")*IF(B159="",1,(IF(Besatzung!$C$20="",Besatzung!$B$5,Besatzung!$C$20)&lt;=B159)*(IF(Besatzung!$D$20="",Besatzung!$B$6,Besatzung!$D$20)&gt;=B159)))*((G159-IFERROR(H159,0))/IFERROR(SUMPRODUCT((Besatzung!$B$11:$B$22&lt;&gt;"")*(IF(Besatzung!$C$11:$C$22="",Besatzung!$B$5,Besatzung!$C$11:$C$22)&lt;=B159)*(IF(Besatzung!$D$11:$D$22="",Besatzung!$B$6,Besatzung!$D$11:$D$22)&gt;=B159)),1)+(Besatzung!$F$20="x")*IFERROR(H159,0)/IFERROR(SUMPRODUCT((Besatzung!$B$11:$B$22&lt;&gt;"")*(Besatzung!$F$11:$F$22="x")*(IF(Besatzung!$C$11:$C$22="",Besatzung!$B$5,Besatzung!$C$11:$C$22)&lt;=B159)*(IF(Besatzung!$D$11:$D$22="",Besatzung!$B$6,Besatzung!$D$11:$D$22)&gt;=B159)),1))),IF(I159="Individuell",((S159="x")*((G159-IFERROR(H159,0))/IFERROR(COUNTIF(J159:U159,"x"),1)+(Besatzung!$F$20="x")*IFERROR(H159,0)/IFERROR(SUMPRODUCT((J159:U159="x")*(Besatzung!$F$11:$F$22="x")),1))),(IF(COUNTIF(J159:U159,"x")=0,IF(Besatzung!$B$20&lt;&gt;"",1,0),(S159="x"))*(G159-IFERROR(H159,0))/IFERROR(IF(COUNTIF(J159:U159,"x")=0,COUNTA(Besatzung!$B$11:$B$22),COUNTIF(J159:U159,"x")),1)+IF(COUNTIF(J159:U159,"x")=0,(Besatzung!$F$20="x"),(S159="x")*(Besatzung!$F$20="x"))*IFERROR(H159,0)/IFERROR(IF(COUNTIF(J159:U159,"x")=0,SUMPRODUCT((Besatzung!$B$11:$B$22&lt;&gt;"")*(Besatzung!$F$11:$F$22="x")),SUMPRODUCT((J159:U159="x")*(Besatzung!$F$11:$F$22="x"))),1))))),0))))</f>
        <v/>
      </c>
      <c r="AF159" s="247">
        <f>IF(C159="Gutschrift","",IF(G159="","",IF(Besatzung!$B$21="","",IFERROR(IF(I159="Zeitanteilig",(Besatzung!$G$21*(G159-IFERROR(H159,0))+((Besatzung!$B$21&lt;&gt;"")*IF(B159="",1,(IF(Besatzung!$C$21="",Besatzung!$B$5,Besatzung!$C$21)&lt;=B159)*(IF(Besatzung!$D$21="",Besatzung!$B$6,Besatzung!$D$21)&gt;=B159)))*(Besatzung!$F$21="x")*IFERROR(H159,0)/IFERROR(SUMPRODUCT((Besatzung!$B$11:$B$22&lt;&gt;"")*(Besatzung!$F$11:$F$22="x")*(IF(Besatzung!$C$11:$C$22="",Besatzung!$B$5,Besatzung!$C$11:$C$22)&lt;=B159)*(IF(Besatzung!$D$11:$D$22="",Besatzung!$B$6,Besatzung!$D$11:$D$22)&gt;=B159)),1)),IF(I159="An Bord",(((Besatzung!$B$21&lt;&gt;"")*IF(B159="",1,(IF(Besatzung!$C$21="",Besatzung!$B$5,Besatzung!$C$21)&lt;=B159)*(IF(Besatzung!$D$21="",Besatzung!$B$6,Besatzung!$D$21)&gt;=B159)))*((G159-IFERROR(H159,0))/IFERROR(SUMPRODUCT((Besatzung!$B$11:$B$22&lt;&gt;"")*(IF(Besatzung!$C$11:$C$22="",Besatzung!$B$5,Besatzung!$C$11:$C$22)&lt;=B159)*(IF(Besatzung!$D$11:$D$22="",Besatzung!$B$6,Besatzung!$D$11:$D$22)&gt;=B159)),1)+(Besatzung!$F$21="x")*IFERROR(H159,0)/IFERROR(SUMPRODUCT((Besatzung!$B$11:$B$22&lt;&gt;"")*(Besatzung!$F$11:$F$22="x")*(IF(Besatzung!$C$11:$C$22="",Besatzung!$B$5,Besatzung!$C$11:$C$22)&lt;=B159)*(IF(Besatzung!$D$11:$D$22="",Besatzung!$B$6,Besatzung!$D$11:$D$22)&gt;=B159)),1))),IF(I159="Individuell",((T159="x")*((G159-IFERROR(H159,0))/IFERROR(COUNTIF(J159:U159,"x"),1)+(Besatzung!$F$21="x")*IFERROR(H159,0)/IFERROR(SUMPRODUCT((J159:U159="x")*(Besatzung!$F$11:$F$22="x")),1))),(IF(COUNTIF(J159:U159,"x")=0,IF(Besatzung!$B$21&lt;&gt;"",1,0),(T159="x"))*(G159-IFERROR(H159,0))/IFERROR(IF(COUNTIF(J159:U159,"x")=0,COUNTA(Besatzung!$B$11:$B$22),COUNTIF(J159:U159,"x")),1)+IF(COUNTIF(J159:U159,"x")=0,(Besatzung!$F$21="x"),(T159="x")*(Besatzung!$F$21="x"))*IFERROR(H159,0)/IFERROR(IF(COUNTIF(J159:U159,"x")=0,SUMPRODUCT((Besatzung!$B$11:$B$22&lt;&gt;"")*(Besatzung!$F$11:$F$22="x")),SUMPRODUCT((J159:U159="x")*(Besatzung!$F$11:$F$22="x"))),1))))),0))))</f>
        <v/>
      </c>
      <c r="AG159" s="247">
        <f>IF(C159="Gutschrift","",IF(G159="","",IF(Besatzung!$B$22="","",IFERROR(IF(I159="Zeitanteilig",(Besatzung!$G$22*(G159-IFERROR(H159,0))+((Besatzung!$B$22&lt;&gt;"")*IF(B159="",1,(IF(Besatzung!$C$22="",Besatzung!$B$5,Besatzung!$C$22)&lt;=B159)*(IF(Besatzung!$D$22="",Besatzung!$B$6,Besatzung!$D$22)&gt;=B159)))*(Besatzung!$F$22="x")*IFERROR(H159,0)/IFERROR(SUMPRODUCT((Besatzung!$B$11:$B$22&lt;&gt;"")*(Besatzung!$F$11:$F$22="x")*(IF(Besatzung!$C$11:$C$22="",Besatzung!$B$5,Besatzung!$C$11:$C$22)&lt;=B159)*(IF(Besatzung!$D$11:$D$22="",Besatzung!$B$6,Besatzung!$D$11:$D$22)&gt;=B159)),1)),IF(I159="An Bord",(((Besatzung!$B$22&lt;&gt;"")*IF(B159="",1,(IF(Besatzung!$C$22="",Besatzung!$B$5,Besatzung!$C$22)&lt;=B159)*(IF(Besatzung!$D$22="",Besatzung!$B$6,Besatzung!$D$22)&gt;=B159)))*((G159-IFERROR(H159,0))/IFERROR(SUMPRODUCT((Besatzung!$B$11:$B$22&lt;&gt;"")*(IF(Besatzung!$C$11:$C$22="",Besatzung!$B$5,Besatzung!$C$11:$C$22)&lt;=B159)*(IF(Besatzung!$D$11:$D$22="",Besatzung!$B$6,Besatzung!$D$11:$D$22)&gt;=B159)),1)+(Besatzung!$F$22="x")*IFERROR(H159,0)/IFERROR(SUMPRODUCT((Besatzung!$B$11:$B$22&lt;&gt;"")*(Besatzung!$F$11:$F$22="x")*(IF(Besatzung!$C$11:$C$22="",Besatzung!$B$5,Besatzung!$C$11:$C$22)&lt;=B159)*(IF(Besatzung!$D$11:$D$22="",Besatzung!$B$6,Besatzung!$D$11:$D$22)&gt;=B159)),1))),IF(I159="Individuell",((U159="x")*((G159-IFERROR(H159,0))/IFERROR(COUNTIF(J159:U159,"x"),1)+(Besatzung!$F$22="x")*IFERROR(H159,0)/IFERROR(SUMPRODUCT((J159:U159="x")*(Besatzung!$F$11:$F$22="x")),1))),(IF(COUNTIF(J159:U159,"x")=0,IF(Besatzung!$B$22&lt;&gt;"",1,0),(U159="x"))*(G159-IFERROR(H159,0))/IFERROR(IF(COUNTIF(J159:U159,"x")=0,COUNTA(Besatzung!$B$11:$B$22),COUNTIF(J159:U159,"x")),1)+IF(COUNTIF(J159:U159,"x")=0,(Besatzung!$F$22="x"),(U159="x")*(Besatzung!$F$22="x"))*IFERROR(H159,0)/IFERROR(IF(COUNTIF(J159:U159,"x")=0,SUMPRODUCT((Besatzung!$B$11:$B$22&lt;&gt;"")*(Besatzung!$F$11:$F$22="x")),SUMPRODUCT((J159:U159="x")*(Besatzung!$F$11:$F$22="x"))),1))))),0))))</f>
        <v/>
      </c>
      <c r="AH159" s="248" t="n"/>
      <c r="AI159" s="248" t="n"/>
    </row>
    <row r="160" ht="21.75" customHeight="1" s="154">
      <c r="A160" s="238">
        <f>IF(AND(D160="",C160=""),"",157)</f>
        <v/>
      </c>
      <c r="B160" s="199" t="n"/>
      <c r="C160" s="239" t="n"/>
      <c r="D160" s="240" t="n"/>
      <c r="E160" s="241" t="n"/>
      <c r="F160" s="242" t="n"/>
      <c r="G160" s="243" t="n"/>
      <c r="H160" s="244" t="n"/>
      <c r="I160" s="245" t="n"/>
      <c r="J160" s="246" t="n"/>
      <c r="K160" s="246" t="n"/>
      <c r="L160" s="246" t="n"/>
      <c r="M160" s="246" t="n"/>
      <c r="N160" s="246" t="n"/>
      <c r="O160" s="246" t="n"/>
      <c r="P160" s="246" t="n"/>
      <c r="Q160" s="246" t="n"/>
      <c r="R160" s="246" t="n"/>
      <c r="S160" s="246" t="n"/>
      <c r="T160" s="246" t="n"/>
      <c r="U160" s="246" t="n"/>
      <c r="V160" s="247">
        <f>IF(C160="Gutschrift","",IF(G160="","",IF(Besatzung!$B$11="","",IFERROR(IF(I160="Zeitanteilig",(Besatzung!$G$11*(G160-IFERROR(H160,0))+((Besatzung!$B$11&lt;&gt;"")*IF(B160="",1,(IF(Besatzung!$C$11="",Besatzung!$B$5,Besatzung!$C$11)&lt;=B160)*(IF(Besatzung!$D$11="",Besatzung!$B$6,Besatzung!$D$11)&gt;=B160)))*(Besatzung!$F$11="x")*IFERROR(H160,0)/IFERROR(SUMPRODUCT((Besatzung!$B$11:$B$22&lt;&gt;"")*(Besatzung!$F$11:$F$22="x")*(IF(Besatzung!$C$11:$C$22="",Besatzung!$B$5,Besatzung!$C$11:$C$22)&lt;=B160)*(IF(Besatzung!$D$11:$D$22="",Besatzung!$B$6,Besatzung!$D$11:$D$22)&gt;=B160)),1)),IF(I160="An Bord",(((Besatzung!$B$11&lt;&gt;"")*IF(B160="",1,(IF(Besatzung!$C$11="",Besatzung!$B$5,Besatzung!$C$11)&lt;=B160)*(IF(Besatzung!$D$11="",Besatzung!$B$6,Besatzung!$D$11)&gt;=B160)))*((G160-IFERROR(H160,0))/IFERROR(SUMPRODUCT((Besatzung!$B$11:$B$22&lt;&gt;"")*(IF(Besatzung!$C$11:$C$22="",Besatzung!$B$5,Besatzung!$C$11:$C$22)&lt;=B160)*(IF(Besatzung!$D$11:$D$22="",Besatzung!$B$6,Besatzung!$D$11:$D$22)&gt;=B160)),1)+(Besatzung!$F$11="x")*IFERROR(H160,0)/IFERROR(SUMPRODUCT((Besatzung!$B$11:$B$22&lt;&gt;"")*(Besatzung!$F$11:$F$22="x")*(IF(Besatzung!$C$11:$C$22="",Besatzung!$B$5,Besatzung!$C$11:$C$22)&lt;=B160)*(IF(Besatzung!$D$11:$D$22="",Besatzung!$B$6,Besatzung!$D$11:$D$22)&gt;=B160)),1))),IF(I160="Individuell",((J160="x")*((G160-IFERROR(H160,0))/IFERROR(COUNTIF(J160:U160,"x"),1)+(Besatzung!$F$11="x")*IFERROR(H160,0)/IFERROR(SUMPRODUCT((J160:U160="x")*(Besatzung!$F$11:$F$22="x")),1))),(IF(COUNTIF(J160:U160,"x")=0,IF(Besatzung!$B$11&lt;&gt;"",1,0),(J160="x"))*(G160-IFERROR(H160,0))/IFERROR(IF(COUNTIF(J160:U160,"x")=0,COUNTA(Besatzung!$B$11:$B$22),COUNTIF(J160:U160,"x")),1)+IF(COUNTIF(J160:U160,"x")=0,(Besatzung!$F$11="x"),(J160="x")*(Besatzung!$F$11="x"))*IFERROR(H160,0)/IFERROR(IF(COUNTIF(J160:U160,"x")=0,SUMPRODUCT((Besatzung!$B$11:$B$22&lt;&gt;"")*(Besatzung!$F$11:$F$22="x")),SUMPRODUCT((J160:U160="x")*(Besatzung!$F$11:$F$22="x"))),1))))),0))))</f>
        <v/>
      </c>
      <c r="W160" s="247">
        <f>IF(C160="Gutschrift","",IF(G160="","",IF(Besatzung!$B$12="","",IFERROR(IF(I160="Zeitanteilig",(Besatzung!$G$12*(G160-IFERROR(H160,0))+((Besatzung!$B$12&lt;&gt;"")*IF(B160="",1,(IF(Besatzung!$C$12="",Besatzung!$B$5,Besatzung!$C$12)&lt;=B160)*(IF(Besatzung!$D$12="",Besatzung!$B$6,Besatzung!$D$12)&gt;=B160)))*(Besatzung!$F$12="x")*IFERROR(H160,0)/IFERROR(SUMPRODUCT((Besatzung!$B$11:$B$22&lt;&gt;"")*(Besatzung!$F$11:$F$22="x")*(IF(Besatzung!$C$11:$C$22="",Besatzung!$B$5,Besatzung!$C$11:$C$22)&lt;=B160)*(IF(Besatzung!$D$11:$D$22="",Besatzung!$B$6,Besatzung!$D$11:$D$22)&gt;=B160)),1)),IF(I160="An Bord",(((Besatzung!$B$12&lt;&gt;"")*IF(B160="",1,(IF(Besatzung!$C$12="",Besatzung!$B$5,Besatzung!$C$12)&lt;=B160)*(IF(Besatzung!$D$12="",Besatzung!$B$6,Besatzung!$D$12)&gt;=B160)))*((G160-IFERROR(H160,0))/IFERROR(SUMPRODUCT((Besatzung!$B$11:$B$22&lt;&gt;"")*(IF(Besatzung!$C$11:$C$22="",Besatzung!$B$5,Besatzung!$C$11:$C$22)&lt;=B160)*(IF(Besatzung!$D$11:$D$22="",Besatzung!$B$6,Besatzung!$D$11:$D$22)&gt;=B160)),1)+(Besatzung!$F$12="x")*IFERROR(H160,0)/IFERROR(SUMPRODUCT((Besatzung!$B$11:$B$22&lt;&gt;"")*(Besatzung!$F$11:$F$22="x")*(IF(Besatzung!$C$11:$C$22="",Besatzung!$B$5,Besatzung!$C$11:$C$22)&lt;=B160)*(IF(Besatzung!$D$11:$D$22="",Besatzung!$B$6,Besatzung!$D$11:$D$22)&gt;=B160)),1))),IF(I160="Individuell",((K160="x")*((G160-IFERROR(H160,0))/IFERROR(COUNTIF(J160:U160,"x"),1)+(Besatzung!$F$12="x")*IFERROR(H160,0)/IFERROR(SUMPRODUCT((J160:U160="x")*(Besatzung!$F$11:$F$22="x")),1))),(IF(COUNTIF(J160:U160,"x")=0,IF(Besatzung!$B$12&lt;&gt;"",1,0),(K160="x"))*(G160-IFERROR(H160,0))/IFERROR(IF(COUNTIF(J160:U160,"x")=0,COUNTA(Besatzung!$B$11:$B$22),COUNTIF(J160:U160,"x")),1)+IF(COUNTIF(J160:U160,"x")=0,(Besatzung!$F$12="x"),(K160="x")*(Besatzung!$F$12="x"))*IFERROR(H160,0)/IFERROR(IF(COUNTIF(J160:U160,"x")=0,SUMPRODUCT((Besatzung!$B$11:$B$22&lt;&gt;"")*(Besatzung!$F$11:$F$22="x")),SUMPRODUCT((J160:U160="x")*(Besatzung!$F$11:$F$22="x"))),1))))),0))))</f>
        <v/>
      </c>
      <c r="X160" s="247">
        <f>IF(C160="Gutschrift","",IF(G160="","",IF(Besatzung!$B$13="","",IFERROR(IF(I160="Zeitanteilig",(Besatzung!$G$13*(G160-IFERROR(H160,0))+((Besatzung!$B$13&lt;&gt;"")*IF(B160="",1,(IF(Besatzung!$C$13="",Besatzung!$B$5,Besatzung!$C$13)&lt;=B160)*(IF(Besatzung!$D$13="",Besatzung!$B$6,Besatzung!$D$13)&gt;=B160)))*(Besatzung!$F$13="x")*IFERROR(H160,0)/IFERROR(SUMPRODUCT((Besatzung!$B$11:$B$22&lt;&gt;"")*(Besatzung!$F$11:$F$22="x")*(IF(Besatzung!$C$11:$C$22="",Besatzung!$B$5,Besatzung!$C$11:$C$22)&lt;=B160)*(IF(Besatzung!$D$11:$D$22="",Besatzung!$B$6,Besatzung!$D$11:$D$22)&gt;=B160)),1)),IF(I160="An Bord",(((Besatzung!$B$13&lt;&gt;"")*IF(B160="",1,(IF(Besatzung!$C$13="",Besatzung!$B$5,Besatzung!$C$13)&lt;=B160)*(IF(Besatzung!$D$13="",Besatzung!$B$6,Besatzung!$D$13)&gt;=B160)))*((G160-IFERROR(H160,0))/IFERROR(SUMPRODUCT((Besatzung!$B$11:$B$22&lt;&gt;"")*(IF(Besatzung!$C$11:$C$22="",Besatzung!$B$5,Besatzung!$C$11:$C$22)&lt;=B160)*(IF(Besatzung!$D$11:$D$22="",Besatzung!$B$6,Besatzung!$D$11:$D$22)&gt;=B160)),1)+(Besatzung!$F$13="x")*IFERROR(H160,0)/IFERROR(SUMPRODUCT((Besatzung!$B$11:$B$22&lt;&gt;"")*(Besatzung!$F$11:$F$22="x")*(IF(Besatzung!$C$11:$C$22="",Besatzung!$B$5,Besatzung!$C$11:$C$22)&lt;=B160)*(IF(Besatzung!$D$11:$D$22="",Besatzung!$B$6,Besatzung!$D$11:$D$22)&gt;=B160)),1))),IF(I160="Individuell",((K160="x")*((G160-IFERROR(H160,0))/IFERROR(COUNTIF(J160:U160,"x"),1)+(Besatzung!$F$13="x")*IFERROR(H160,0)/IFERROR(SUMPRODUCT((J160:U160="x")*(Besatzung!$F$11:$F$22="x")),1))),(IF(COUNTIF(J160:U160,"x")=0,IF(Besatzung!$B$13&lt;&gt;"",1,0),(K160="x"))*(G160-IFERROR(H160,0))/IFERROR(IF(COUNTIF(J160:U160,"x")=0,COUNTA(Besatzung!$B$11:$B$22),COUNTIF(J160:U160,"x")),1)+IF(COUNTIF(J160:U160,"x")=0,(Besatzung!$F$13="x"),(K160="x")*(Besatzung!$F$13="x"))*IFERROR(H160,0)/IFERROR(IF(COUNTIF(J160:U160,"x")=0,SUMPRODUCT((Besatzung!$B$11:$B$22&lt;&gt;"")*(Besatzung!$F$11:$F$22="x")),SUMPRODUCT((J160:U160="x")*(Besatzung!$F$11:$F$22="x"))),1))))),0))))</f>
        <v/>
      </c>
      <c r="Y160" s="247">
        <f>IF(C160="Gutschrift","",IF(G160="","",IF(Besatzung!$B$14="","",IFERROR(IF(I160="Zeitanteilig",(Besatzung!$G$14*(G160-IFERROR(H160,0))+((Besatzung!$B$14&lt;&gt;"")*IF(B160="",1,(IF(Besatzung!$C$14="",Besatzung!$B$5,Besatzung!$C$14)&lt;=B160)*(IF(Besatzung!$D$14="",Besatzung!$B$6,Besatzung!$D$14)&gt;=B160)))*(Besatzung!$F$14="x")*IFERROR(H160,0)/IFERROR(SUMPRODUCT((Besatzung!$B$11:$B$22&lt;&gt;"")*(Besatzung!$F$11:$F$22="x")*(IF(Besatzung!$C$11:$C$22="",Besatzung!$B$5,Besatzung!$C$11:$C$22)&lt;=B160)*(IF(Besatzung!$D$11:$D$22="",Besatzung!$B$6,Besatzung!$D$11:$D$22)&gt;=B160)),1)),IF(I160="An Bord",(((Besatzung!$B$14&lt;&gt;"")*IF(B160="",1,(IF(Besatzung!$C$14="",Besatzung!$B$5,Besatzung!$C$14)&lt;=B160)*(IF(Besatzung!$D$14="",Besatzung!$B$6,Besatzung!$D$14)&gt;=B160)))*((G160-IFERROR(H160,0))/IFERROR(SUMPRODUCT((Besatzung!$B$11:$B$22&lt;&gt;"")*(IF(Besatzung!$C$11:$C$22="",Besatzung!$B$5,Besatzung!$C$11:$C$22)&lt;=B160)*(IF(Besatzung!$D$11:$D$22="",Besatzung!$B$6,Besatzung!$D$11:$D$22)&gt;=B160)),1)+(Besatzung!$F$14="x")*IFERROR(H160,0)/IFERROR(SUMPRODUCT((Besatzung!$B$11:$B$22&lt;&gt;"")*(Besatzung!$F$11:$F$22="x")*(IF(Besatzung!$C$11:$C$22="",Besatzung!$B$5,Besatzung!$C$11:$C$22)&lt;=B160)*(IF(Besatzung!$D$11:$D$22="",Besatzung!$B$6,Besatzung!$D$11:$D$22)&gt;=B160)),1))),IF(I160="Individuell",((M160="x")*((G160-IFERROR(H160,0))/IFERROR(COUNTIF(J160:U160,"x"),1)+(Besatzung!$F$14="x")*IFERROR(H160,0)/IFERROR(SUMPRODUCT((J160:U160="x")*(Besatzung!$F$11:$F$22="x")),1))),(IF(COUNTIF(J160:U160,"x")=0,IF(Besatzung!$B$14&lt;&gt;"",1,0),(M160="x"))*(G160-IFERROR(H160,0))/IFERROR(IF(COUNTIF(J160:U160,"x")=0,COUNTA(Besatzung!$B$11:$B$22),COUNTIF(J160:U160,"x")),1)+IF(COUNTIF(J160:U160,"x")=0,(Besatzung!$F$14="x"),(M160="x")*(Besatzung!$F$14="x"))*IFERROR(H160,0)/IFERROR(IF(COUNTIF(J160:U160,"x")=0,SUMPRODUCT((Besatzung!$B$11:$B$22&lt;&gt;"")*(Besatzung!$F$11:$F$22="x")),SUMPRODUCT((J160:U160="x")*(Besatzung!$F$11:$F$22="x"))),1))))),0))))</f>
        <v/>
      </c>
      <c r="Z160" s="247">
        <f>IF(C160="Gutschrift","",IF(G160="","",IF(Besatzung!$B$13="","",IFERROR(IF(I160="Zeitanteilig",(Besatzung!$G$15*(G160-IFERROR(H160,0))+((Besatzung!$B$13&lt;&gt;"")*IF(B160="",1,(IF(Besatzung!$C$15="",Besatzung!$B$5,Besatzung!$C$15)&lt;=B160)*(IF(Besatzung!$D$15="",Besatzung!$B$6,Besatzung!$D$15)&gt;=B160)))*(Besatzung!$F$15="x")*IFERROR(H160,0)/IFERROR(SUMPRODUCT((Besatzung!$B$11:$B$22&lt;&gt;"")*(Besatzung!$F$11:$F$22="x")*(IF(Besatzung!$C$11:$C$22="",Besatzung!$B$5,Besatzung!$C$11:$C$22)&lt;=B160)*(IF(Besatzung!$D$11:$D$22="",Besatzung!$B$6,Besatzung!$D$11:$D$22)&gt;=B160)),1)),IF(I160="An Bord",(((Besatzung!$B$13&lt;&gt;"")*IF(B160="",1,(IF(Besatzung!$C$15="",Besatzung!$B$5,Besatzung!$C$15)&lt;=B160)*(IF(Besatzung!$D$15="",Besatzung!$B$6,Besatzung!$D$15)&gt;=B160)))*((G160-IFERROR(H160,0))/IFERROR(SUMPRODUCT((Besatzung!$B$11:$B$22&lt;&gt;"")*(IF(Besatzung!$C$11:$C$22="",Besatzung!$B$5,Besatzung!$C$11:$C$22)&lt;=B160)*(IF(Besatzung!$D$11:$D$22="",Besatzung!$B$6,Besatzung!$D$11:$D$22)&gt;=B160)),1)+(Besatzung!$F$15="x")*IFERROR(H160,0)/IFERROR(SUMPRODUCT((Besatzung!$B$11:$B$22&lt;&gt;"")*(Besatzung!$F$11:$F$22="x")*(IF(Besatzung!$C$11:$C$22="",Besatzung!$B$5,Besatzung!$C$11:$C$22)&lt;=B160)*(IF(Besatzung!$D$11:$D$22="",Besatzung!$B$6,Besatzung!$D$11:$D$22)&gt;=B160)),1))),IF(I160="Individuell",((N160="x")*((G160-IFERROR(H160,0))/IFERROR(COUNTIF(J160:U160,"x"),1)+(Besatzung!$F$15="x")*IFERROR(H160,0)/IFERROR(SUMPRODUCT((J160:U160="x")*(Besatzung!$F$11:$F$22="x")),1))),(IF(COUNTIF(J160:U160,"x")=0,IF(Besatzung!$B$13&lt;&gt;"",1,0),(N160="x"))*(G160-IFERROR(H160,0))/IFERROR(IF(COUNTIF(J160:U160,"x")=0,COUNTA(Besatzung!$B$11:$B$22),COUNTIF(J160:U160,"x")),1)+IF(COUNTIF(J160:U160,"x")=0,(Besatzung!$F$15="x"),(N160="x")*(Besatzung!$F$15="x"))*IFERROR(H160,0)/IFERROR(IF(COUNTIF(J160:U160,"x")=0,SUMPRODUCT((Besatzung!$B$11:$B$22&lt;&gt;"")*(Besatzung!$F$11:$F$22="x")),SUMPRODUCT((J160:U160="x")*(Besatzung!$F$11:$F$22="x"))),1))))),0))))</f>
        <v/>
      </c>
      <c r="AA160" s="247">
        <f>IF(C160="Gutschrift","",IF(G160="","",IF(Besatzung!$B$15="","",IFERROR(IF(I160="Zeitanteilig",(Besatzung!$G$16*(G160-IFERROR(H160,0))+((Besatzung!$B$15&lt;&gt;"")*IF(B160="",1,(IF(Besatzung!$C$16="",Besatzung!$B$5,Besatzung!$C$16)&lt;=B160)*(IF(Besatzung!$D$16="",Besatzung!$B$6,Besatzung!$D$16)&gt;=B160)))*(Besatzung!$F$16="x")*IFERROR(H160,0)/IFERROR(SUMPRODUCT((Besatzung!$B$11:$B$22&lt;&gt;"")*(Besatzung!$F$11:$F$22="x")*(IF(Besatzung!$C$11:$C$22="",Besatzung!$B$5,Besatzung!$C$11:$C$22)&lt;=B160)*(IF(Besatzung!$D$11:$D$22="",Besatzung!$B$6,Besatzung!$D$11:$D$22)&gt;=B160)),1)),IF(I160="An Bord",(((Besatzung!$B$15&lt;&gt;"")*IF(B160="",1,(IF(Besatzung!$C$16="",Besatzung!$B$5,Besatzung!$C$16)&lt;=B160)*(IF(Besatzung!$D$16="",Besatzung!$B$6,Besatzung!$D$16)&gt;=B160)))*((G160-IFERROR(H160,0))/IFERROR(SUMPRODUCT((Besatzung!$B$11:$B$22&lt;&gt;"")*(IF(Besatzung!$C$11:$C$22="",Besatzung!$B$5,Besatzung!$C$11:$C$22)&lt;=B160)*(IF(Besatzung!$D$11:$D$22="",Besatzung!$B$6,Besatzung!$D$11:$D$22)&gt;=B160)),1)+(Besatzung!$F$16="x")*IFERROR(H160,0)/IFERROR(SUMPRODUCT((Besatzung!$B$11:$B$22&lt;&gt;"")*(Besatzung!$F$11:$F$22="x")*(IF(Besatzung!$C$11:$C$22="",Besatzung!$B$5,Besatzung!$C$11:$C$22)&lt;=B160)*(IF(Besatzung!$D$11:$D$22="",Besatzung!$B$6,Besatzung!$D$11:$D$22)&gt;=B160)),1))),IF(I160="Individuell",((O160="x")*((G160-IFERROR(H160,0))/IFERROR(COUNTIF(J160:U160,"x"),1)+(Besatzung!$F$16="x")*IFERROR(H160,0)/IFERROR(SUMPRODUCT((J160:U160="x")*(Besatzung!$F$11:$F$22="x")),1))),(IF(COUNTIF(J160:U160,"x")=0,IF(Besatzung!$B$15&lt;&gt;"",1,0),(O160="x"))*(G160-IFERROR(H160,0))/IFERROR(IF(COUNTIF(J160:U160,"x")=0,COUNTA(Besatzung!$B$11:$B$22),COUNTIF(J160:U160,"x")),1)+IF(COUNTIF(J160:U160,"x")=0,(Besatzung!$F$16="x"),(O160="x")*(Besatzung!$F$16="x"))*IFERROR(H160,0)/IFERROR(IF(COUNTIF(J160:U160,"x")=0,SUMPRODUCT((Besatzung!$B$11:$B$22&lt;&gt;"")*(Besatzung!$F$11:$F$22="x")),SUMPRODUCT((J160:U160="x")*(Besatzung!$F$11:$F$22="x"))),1))))),0))))</f>
        <v/>
      </c>
      <c r="AB160" s="247">
        <f>IF(C160="Gutschrift","",IF(G160="","",IF(Besatzung!$B$17="","",IFERROR(IF(I160="Zeitanteilig",(Besatzung!$G$17*(G160-IFERROR(H160,0))+((Besatzung!$B$17&lt;&gt;"")*IF(B160="",1,(IF(Besatzung!$C$17="",Besatzung!$B$5,Besatzung!$C$17)&lt;=B160)*(IF(Besatzung!$D$17="",Besatzung!$B$6,Besatzung!$D$17)&gt;=B160)))*(Besatzung!$F$17="x")*IFERROR(H160,0)/IFERROR(SUMPRODUCT((Besatzung!$B$11:$B$22&lt;&gt;"")*(Besatzung!$F$11:$F$22="x")*(IF(Besatzung!$C$11:$C$22="",Besatzung!$B$5,Besatzung!$C$11:$C$22)&lt;=B160)*(IF(Besatzung!$D$11:$D$22="",Besatzung!$B$6,Besatzung!$D$11:$D$22)&gt;=B160)),1)),IF(I160="An Bord",(((Besatzung!$B$17&lt;&gt;"")*IF(B160="",1,(IF(Besatzung!$C$17="",Besatzung!$B$5,Besatzung!$C$17)&lt;=B160)*(IF(Besatzung!$D$17="",Besatzung!$B$6,Besatzung!$D$17)&gt;=B160)))*((G160-IFERROR(H160,0))/IFERROR(SUMPRODUCT((Besatzung!$B$11:$B$22&lt;&gt;"")*(IF(Besatzung!$C$11:$C$22="",Besatzung!$B$5,Besatzung!$C$11:$C$22)&lt;=B160)*(IF(Besatzung!$D$11:$D$22="",Besatzung!$B$6,Besatzung!$D$11:$D$22)&gt;=B160)),1)+(Besatzung!$F$17="x")*IFERROR(H160,0)/IFERROR(SUMPRODUCT((Besatzung!$B$11:$B$22&lt;&gt;"")*(Besatzung!$F$11:$F$22="x")*(IF(Besatzung!$C$11:$C$22="",Besatzung!$B$5,Besatzung!$C$11:$C$22)&lt;=B160)*(IF(Besatzung!$D$11:$D$22="",Besatzung!$B$6,Besatzung!$D$11:$D$22)&gt;=B160)),1))),IF(I160="Individuell",((P160="x")*((G160-IFERROR(H160,0))/IFERROR(COUNTIF(J160:U160,"x"),1)+(Besatzung!$F$17="x")*IFERROR(H160,0)/IFERROR(SUMPRODUCT((J160:U160="x")*(Besatzung!$F$11:$F$22="x")),1))),(IF(COUNTIF(J160:U160,"x")=0,IF(Besatzung!$B$17&lt;&gt;"",1,0),(P160="x"))*(G160-IFERROR(H160,0))/IFERROR(IF(COUNTIF(J160:U160,"x")=0,COUNTA(Besatzung!$B$11:$B$22),COUNTIF(J160:U160,"x")),1)+IF(COUNTIF(J160:U160,"x")=0,(Besatzung!$F$17="x"),(P160="x")*(Besatzung!$F$17="x"))*IFERROR(H160,0)/IFERROR(IF(COUNTIF(J160:U160,"x")=0,SUMPRODUCT((Besatzung!$B$11:$B$22&lt;&gt;"")*(Besatzung!$F$11:$F$22="x")),SUMPRODUCT((J160:U160="x")*(Besatzung!$F$11:$F$22="x"))),1))))),0))))</f>
        <v/>
      </c>
      <c r="AC160" s="247">
        <f>IF(C160="Gutschrift","",IF(G160="","",IF(Besatzung!$B$18="","",IFERROR(IF(I160="Zeitanteilig",(Besatzung!$G$18*(G160-IFERROR(H160,0))+((Besatzung!$B$18&lt;&gt;"")*IF(B160="",1,(IF(Besatzung!$C$18="",Besatzung!$B$5,Besatzung!$C$18)&lt;=B160)*(IF(Besatzung!$D$18="",Besatzung!$B$6,Besatzung!$D$18)&gt;=B160)))*(Besatzung!$F$18="x")*IFERROR(H160,0)/IFERROR(SUMPRODUCT((Besatzung!$B$11:$B$22&lt;&gt;"")*(Besatzung!$F$11:$F$22="x")*(IF(Besatzung!$C$11:$C$22="",Besatzung!$B$5,Besatzung!$C$11:$C$22)&lt;=B160)*(IF(Besatzung!$D$11:$D$22="",Besatzung!$B$6,Besatzung!$D$11:$D$22)&gt;=B160)),1)),IF(I160="An Bord",(((Besatzung!$B$18&lt;&gt;"")*IF(B160="",1,(IF(Besatzung!$C$18="",Besatzung!$B$5,Besatzung!$C$18)&lt;=B160)*(IF(Besatzung!$D$18="",Besatzung!$B$6,Besatzung!$D$18)&gt;=B160)))*((G160-IFERROR(H160,0))/IFERROR(SUMPRODUCT((Besatzung!$B$11:$B$22&lt;&gt;"")*(IF(Besatzung!$C$11:$C$22="",Besatzung!$B$5,Besatzung!$C$11:$C$22)&lt;=B160)*(IF(Besatzung!$D$11:$D$22="",Besatzung!$B$6,Besatzung!$D$11:$D$22)&gt;=B160)),1)+(Besatzung!$F$18="x")*IFERROR(H160,0)/IFERROR(SUMPRODUCT((Besatzung!$B$11:$B$22&lt;&gt;"")*(Besatzung!$F$11:$F$22="x")*(IF(Besatzung!$C$11:$C$22="",Besatzung!$B$5,Besatzung!$C$11:$C$22)&lt;=B160)*(IF(Besatzung!$D$11:$D$22="",Besatzung!$B$6,Besatzung!$D$11:$D$22)&gt;=B160)),1))),IF(I160="Individuell",((Q160="x")*((G160-IFERROR(H160,0))/IFERROR(COUNTIF(J160:U160,"x"),1)+(Besatzung!$F$18="x")*IFERROR(H160,0)/IFERROR(SUMPRODUCT((J160:U160="x")*(Besatzung!$F$11:$F$22="x")),1))),(IF(COUNTIF(J160:U160,"x")=0,IF(Besatzung!$B$18&lt;&gt;"",1,0),(Q160="x"))*(G160-IFERROR(H160,0))/IFERROR(IF(COUNTIF(J160:U160,"x")=0,COUNTA(Besatzung!$B$11:$B$22),COUNTIF(J160:U160,"x")),1)+IF(COUNTIF(J160:U160,"x")=0,(Besatzung!$F$18="x"),(Q160="x")*(Besatzung!$F$18="x"))*IFERROR(H160,0)/IFERROR(IF(COUNTIF(J160:U160,"x")=0,SUMPRODUCT((Besatzung!$B$11:$B$22&lt;&gt;"")*(Besatzung!$F$11:$F$22="x")),SUMPRODUCT((J160:U160="x")*(Besatzung!$F$11:$F$22="x"))),1))))),0))))</f>
        <v/>
      </c>
      <c r="AD160" s="247">
        <f>IF(C160="Gutschrift","",IF(G160="","",IF(Besatzung!$B$19="","",IFERROR(IF(I160="Zeitanteilig",(Besatzung!$G$19*(G160-IFERROR(H160,0))+((Besatzung!$B$19&lt;&gt;"")*IF(B160="",1,(IF(Besatzung!$C$19="",Besatzung!$B$5,Besatzung!$C$19)&lt;=B160)*(IF(Besatzung!$D$19="",Besatzung!$B$6,Besatzung!$D$19)&gt;=B160)))*(Besatzung!$F$19="x")*IFERROR(H160,0)/IFERROR(SUMPRODUCT((Besatzung!$B$11:$B$22&lt;&gt;"")*(Besatzung!$F$11:$F$22="x")*(IF(Besatzung!$C$11:$C$22="",Besatzung!$B$5,Besatzung!$C$11:$C$22)&lt;=B160)*(IF(Besatzung!$D$11:$D$22="",Besatzung!$B$6,Besatzung!$D$11:$D$22)&gt;=B160)),1)),IF(I160="An Bord",(((Besatzung!$B$19&lt;&gt;"")*IF(B160="",1,(IF(Besatzung!$C$19="",Besatzung!$B$5,Besatzung!$C$19)&lt;=B160)*(IF(Besatzung!$D$19="",Besatzung!$B$6,Besatzung!$D$19)&gt;=B160)))*((G160-IFERROR(H160,0))/IFERROR(SUMPRODUCT((Besatzung!$B$11:$B$22&lt;&gt;"")*(IF(Besatzung!$C$11:$C$22="",Besatzung!$B$5,Besatzung!$C$11:$C$22)&lt;=B160)*(IF(Besatzung!$D$11:$D$22="",Besatzung!$B$6,Besatzung!$D$11:$D$22)&gt;=B160)),1)+(Besatzung!$F$19="x")*IFERROR(H160,0)/IFERROR(SUMPRODUCT((Besatzung!$B$11:$B$22&lt;&gt;"")*(Besatzung!$F$11:$F$22="x")*(IF(Besatzung!$C$11:$C$22="",Besatzung!$B$5,Besatzung!$C$11:$C$22)&lt;=B160)*(IF(Besatzung!$D$11:$D$22="",Besatzung!$B$6,Besatzung!$D$11:$D$22)&gt;=B160)),1))),IF(I160="Individuell",((R160="x")*((G160-IFERROR(H160,0))/IFERROR(COUNTIF(J160:U160,"x"),1)+(Besatzung!$F$19="x")*IFERROR(H160,0)/IFERROR(SUMPRODUCT((J160:U160="x")*(Besatzung!$F$11:$F$22="x")),1))),(IF(COUNTIF(J160:U160,"x")=0,IF(Besatzung!$B$19&lt;&gt;"",1,0),(R160="x"))*(G160-IFERROR(H160,0))/IFERROR(IF(COUNTIF(J160:U160,"x")=0,COUNTA(Besatzung!$B$11:$B$22),COUNTIF(J160:U160,"x")),1)+IF(COUNTIF(J160:U160,"x")=0,(Besatzung!$F$19="x"),(R160="x")*(Besatzung!$F$19="x"))*IFERROR(H160,0)/IFERROR(IF(COUNTIF(J160:U160,"x")=0,SUMPRODUCT((Besatzung!$B$11:$B$22&lt;&gt;"")*(Besatzung!$F$11:$F$22="x")),SUMPRODUCT((J160:U160="x")*(Besatzung!$F$11:$F$22="x"))),1))))),0))))</f>
        <v/>
      </c>
      <c r="AE160" s="247">
        <f>IF(C160="Gutschrift","",IF(G160="","",IF(Besatzung!$B$20="","",IFERROR(IF(I160="Zeitanteilig",(Besatzung!$G$20*(G160-IFERROR(H160,0))+((Besatzung!$B$20&lt;&gt;"")*IF(B160="",1,(IF(Besatzung!$C$20="",Besatzung!$B$5,Besatzung!$C$20)&lt;=B160)*(IF(Besatzung!$D$20="",Besatzung!$B$6,Besatzung!$D$20)&gt;=B160)))*(Besatzung!$F$20="x")*IFERROR(H160,0)/IFERROR(SUMPRODUCT((Besatzung!$B$11:$B$22&lt;&gt;"")*(Besatzung!$F$11:$F$22="x")*(IF(Besatzung!$C$11:$C$22="",Besatzung!$B$5,Besatzung!$C$11:$C$22)&lt;=B160)*(IF(Besatzung!$D$11:$D$22="",Besatzung!$B$6,Besatzung!$D$11:$D$22)&gt;=B160)),1)),IF(I160="An Bord",(((Besatzung!$B$20&lt;&gt;"")*IF(B160="",1,(IF(Besatzung!$C$20="",Besatzung!$B$5,Besatzung!$C$20)&lt;=B160)*(IF(Besatzung!$D$20="",Besatzung!$B$6,Besatzung!$D$20)&gt;=B160)))*((G160-IFERROR(H160,0))/IFERROR(SUMPRODUCT((Besatzung!$B$11:$B$22&lt;&gt;"")*(IF(Besatzung!$C$11:$C$22="",Besatzung!$B$5,Besatzung!$C$11:$C$22)&lt;=B160)*(IF(Besatzung!$D$11:$D$22="",Besatzung!$B$6,Besatzung!$D$11:$D$22)&gt;=B160)),1)+(Besatzung!$F$20="x")*IFERROR(H160,0)/IFERROR(SUMPRODUCT((Besatzung!$B$11:$B$22&lt;&gt;"")*(Besatzung!$F$11:$F$22="x")*(IF(Besatzung!$C$11:$C$22="",Besatzung!$B$5,Besatzung!$C$11:$C$22)&lt;=B160)*(IF(Besatzung!$D$11:$D$22="",Besatzung!$B$6,Besatzung!$D$11:$D$22)&gt;=B160)),1))),IF(I160="Individuell",((S160="x")*((G160-IFERROR(H160,0))/IFERROR(COUNTIF(J160:U160,"x"),1)+(Besatzung!$F$20="x")*IFERROR(H160,0)/IFERROR(SUMPRODUCT((J160:U160="x")*(Besatzung!$F$11:$F$22="x")),1))),(IF(COUNTIF(J160:U160,"x")=0,IF(Besatzung!$B$20&lt;&gt;"",1,0),(S160="x"))*(G160-IFERROR(H160,0))/IFERROR(IF(COUNTIF(J160:U160,"x")=0,COUNTA(Besatzung!$B$11:$B$22),COUNTIF(J160:U160,"x")),1)+IF(COUNTIF(J160:U160,"x")=0,(Besatzung!$F$20="x"),(S160="x")*(Besatzung!$F$20="x"))*IFERROR(H160,0)/IFERROR(IF(COUNTIF(J160:U160,"x")=0,SUMPRODUCT((Besatzung!$B$11:$B$22&lt;&gt;"")*(Besatzung!$F$11:$F$22="x")),SUMPRODUCT((J160:U160="x")*(Besatzung!$F$11:$F$22="x"))),1))))),0))))</f>
        <v/>
      </c>
      <c r="AF160" s="247">
        <f>IF(C160="Gutschrift","",IF(G160="","",IF(Besatzung!$B$21="","",IFERROR(IF(I160="Zeitanteilig",(Besatzung!$G$21*(G160-IFERROR(H160,0))+((Besatzung!$B$21&lt;&gt;"")*IF(B160="",1,(IF(Besatzung!$C$21="",Besatzung!$B$5,Besatzung!$C$21)&lt;=B160)*(IF(Besatzung!$D$21="",Besatzung!$B$6,Besatzung!$D$21)&gt;=B160)))*(Besatzung!$F$21="x")*IFERROR(H160,0)/IFERROR(SUMPRODUCT((Besatzung!$B$11:$B$22&lt;&gt;"")*(Besatzung!$F$11:$F$22="x")*(IF(Besatzung!$C$11:$C$22="",Besatzung!$B$5,Besatzung!$C$11:$C$22)&lt;=B160)*(IF(Besatzung!$D$11:$D$22="",Besatzung!$B$6,Besatzung!$D$11:$D$22)&gt;=B160)),1)),IF(I160="An Bord",(((Besatzung!$B$21&lt;&gt;"")*IF(B160="",1,(IF(Besatzung!$C$21="",Besatzung!$B$5,Besatzung!$C$21)&lt;=B160)*(IF(Besatzung!$D$21="",Besatzung!$B$6,Besatzung!$D$21)&gt;=B160)))*((G160-IFERROR(H160,0))/IFERROR(SUMPRODUCT((Besatzung!$B$11:$B$22&lt;&gt;"")*(IF(Besatzung!$C$11:$C$22="",Besatzung!$B$5,Besatzung!$C$11:$C$22)&lt;=B160)*(IF(Besatzung!$D$11:$D$22="",Besatzung!$B$6,Besatzung!$D$11:$D$22)&gt;=B160)),1)+(Besatzung!$F$21="x")*IFERROR(H160,0)/IFERROR(SUMPRODUCT((Besatzung!$B$11:$B$22&lt;&gt;"")*(Besatzung!$F$11:$F$22="x")*(IF(Besatzung!$C$11:$C$22="",Besatzung!$B$5,Besatzung!$C$11:$C$22)&lt;=B160)*(IF(Besatzung!$D$11:$D$22="",Besatzung!$B$6,Besatzung!$D$11:$D$22)&gt;=B160)),1))),IF(I160="Individuell",((T160="x")*((G160-IFERROR(H160,0))/IFERROR(COUNTIF(J160:U160,"x"),1)+(Besatzung!$F$21="x")*IFERROR(H160,0)/IFERROR(SUMPRODUCT((J160:U160="x")*(Besatzung!$F$11:$F$22="x")),1))),(IF(COUNTIF(J160:U160,"x")=0,IF(Besatzung!$B$21&lt;&gt;"",1,0),(T160="x"))*(G160-IFERROR(H160,0))/IFERROR(IF(COUNTIF(J160:U160,"x")=0,COUNTA(Besatzung!$B$11:$B$22),COUNTIF(J160:U160,"x")),1)+IF(COUNTIF(J160:U160,"x")=0,(Besatzung!$F$21="x"),(T160="x")*(Besatzung!$F$21="x"))*IFERROR(H160,0)/IFERROR(IF(COUNTIF(J160:U160,"x")=0,SUMPRODUCT((Besatzung!$B$11:$B$22&lt;&gt;"")*(Besatzung!$F$11:$F$22="x")),SUMPRODUCT((J160:U160="x")*(Besatzung!$F$11:$F$22="x"))),1))))),0))))</f>
        <v/>
      </c>
      <c r="AG160" s="247">
        <f>IF(C160="Gutschrift","",IF(G160="","",IF(Besatzung!$B$22="","",IFERROR(IF(I160="Zeitanteilig",(Besatzung!$G$22*(G160-IFERROR(H160,0))+((Besatzung!$B$22&lt;&gt;"")*IF(B160="",1,(IF(Besatzung!$C$22="",Besatzung!$B$5,Besatzung!$C$22)&lt;=B160)*(IF(Besatzung!$D$22="",Besatzung!$B$6,Besatzung!$D$22)&gt;=B160)))*(Besatzung!$F$22="x")*IFERROR(H160,0)/IFERROR(SUMPRODUCT((Besatzung!$B$11:$B$22&lt;&gt;"")*(Besatzung!$F$11:$F$22="x")*(IF(Besatzung!$C$11:$C$22="",Besatzung!$B$5,Besatzung!$C$11:$C$22)&lt;=B160)*(IF(Besatzung!$D$11:$D$22="",Besatzung!$B$6,Besatzung!$D$11:$D$22)&gt;=B160)),1)),IF(I160="An Bord",(((Besatzung!$B$22&lt;&gt;"")*IF(B160="",1,(IF(Besatzung!$C$22="",Besatzung!$B$5,Besatzung!$C$22)&lt;=B160)*(IF(Besatzung!$D$22="",Besatzung!$B$6,Besatzung!$D$22)&gt;=B160)))*((G160-IFERROR(H160,0))/IFERROR(SUMPRODUCT((Besatzung!$B$11:$B$22&lt;&gt;"")*(IF(Besatzung!$C$11:$C$22="",Besatzung!$B$5,Besatzung!$C$11:$C$22)&lt;=B160)*(IF(Besatzung!$D$11:$D$22="",Besatzung!$B$6,Besatzung!$D$11:$D$22)&gt;=B160)),1)+(Besatzung!$F$22="x")*IFERROR(H160,0)/IFERROR(SUMPRODUCT((Besatzung!$B$11:$B$22&lt;&gt;"")*(Besatzung!$F$11:$F$22="x")*(IF(Besatzung!$C$11:$C$22="",Besatzung!$B$5,Besatzung!$C$11:$C$22)&lt;=B160)*(IF(Besatzung!$D$11:$D$22="",Besatzung!$B$6,Besatzung!$D$11:$D$22)&gt;=B160)),1))),IF(I160="Individuell",((U160="x")*((G160-IFERROR(H160,0))/IFERROR(COUNTIF(J160:U160,"x"),1)+(Besatzung!$F$22="x")*IFERROR(H160,0)/IFERROR(SUMPRODUCT((J160:U160="x")*(Besatzung!$F$11:$F$22="x")),1))),(IF(COUNTIF(J160:U160,"x")=0,IF(Besatzung!$B$22&lt;&gt;"",1,0),(U160="x"))*(G160-IFERROR(H160,0))/IFERROR(IF(COUNTIF(J160:U160,"x")=0,COUNTA(Besatzung!$B$11:$B$22),COUNTIF(J160:U160,"x")),1)+IF(COUNTIF(J160:U160,"x")=0,(Besatzung!$F$22="x"),(U160="x")*(Besatzung!$F$22="x"))*IFERROR(H160,0)/IFERROR(IF(COUNTIF(J160:U160,"x")=0,SUMPRODUCT((Besatzung!$B$11:$B$22&lt;&gt;"")*(Besatzung!$F$11:$F$22="x")),SUMPRODUCT((J160:U160="x")*(Besatzung!$F$11:$F$22="x"))),1))))),0))))</f>
        <v/>
      </c>
      <c r="AH160" s="248" t="n"/>
      <c r="AI160" s="248" t="n"/>
    </row>
    <row r="161" ht="21.75" customHeight="1" s="154">
      <c r="A161" s="238">
        <f>IF(AND(D161="",C161=""),"",158)</f>
        <v/>
      </c>
      <c r="B161" s="206" t="n"/>
      <c r="C161" s="249" t="n"/>
      <c r="D161" s="250" t="n"/>
      <c r="E161" s="251" t="n"/>
      <c r="F161" s="252" t="n"/>
      <c r="G161" s="253" t="n"/>
      <c r="H161" s="254" t="n"/>
      <c r="I161" s="255" t="n"/>
      <c r="J161" s="256" t="n"/>
      <c r="K161" s="256" t="n"/>
      <c r="L161" s="256" t="n"/>
      <c r="M161" s="256" t="n"/>
      <c r="N161" s="256" t="n"/>
      <c r="O161" s="256" t="n"/>
      <c r="P161" s="256" t="n"/>
      <c r="Q161" s="256" t="n"/>
      <c r="R161" s="256" t="n"/>
      <c r="S161" s="256" t="n"/>
      <c r="T161" s="256" t="n"/>
      <c r="U161" s="256" t="n"/>
      <c r="V161" s="247">
        <f>IF(C161="Gutschrift","",IF(G161="","",IF(Besatzung!$B$11="","",IFERROR(IF(I161="Zeitanteilig",(Besatzung!$G$11*(G161-IFERROR(H161,0))+((Besatzung!$B$11&lt;&gt;"")*IF(B161="",1,(IF(Besatzung!$C$11="",Besatzung!$B$5,Besatzung!$C$11)&lt;=B161)*(IF(Besatzung!$D$11="",Besatzung!$B$6,Besatzung!$D$11)&gt;=B161)))*(Besatzung!$F$11="x")*IFERROR(H161,0)/IFERROR(SUMPRODUCT((Besatzung!$B$11:$B$22&lt;&gt;"")*(Besatzung!$F$11:$F$22="x")*(IF(Besatzung!$C$11:$C$22="",Besatzung!$B$5,Besatzung!$C$11:$C$22)&lt;=B161)*(IF(Besatzung!$D$11:$D$22="",Besatzung!$B$6,Besatzung!$D$11:$D$22)&gt;=B161)),1)),IF(I161="An Bord",(((Besatzung!$B$11&lt;&gt;"")*IF(B161="",1,(IF(Besatzung!$C$11="",Besatzung!$B$5,Besatzung!$C$11)&lt;=B161)*(IF(Besatzung!$D$11="",Besatzung!$B$6,Besatzung!$D$11)&gt;=B161)))*((G161-IFERROR(H161,0))/IFERROR(SUMPRODUCT((Besatzung!$B$11:$B$22&lt;&gt;"")*(IF(Besatzung!$C$11:$C$22="",Besatzung!$B$5,Besatzung!$C$11:$C$22)&lt;=B161)*(IF(Besatzung!$D$11:$D$22="",Besatzung!$B$6,Besatzung!$D$11:$D$22)&gt;=B161)),1)+(Besatzung!$F$11="x")*IFERROR(H161,0)/IFERROR(SUMPRODUCT((Besatzung!$B$11:$B$22&lt;&gt;"")*(Besatzung!$F$11:$F$22="x")*(IF(Besatzung!$C$11:$C$22="",Besatzung!$B$5,Besatzung!$C$11:$C$22)&lt;=B161)*(IF(Besatzung!$D$11:$D$22="",Besatzung!$B$6,Besatzung!$D$11:$D$22)&gt;=B161)),1))),IF(I161="Individuell",((J161="x")*((G161-IFERROR(H161,0))/IFERROR(COUNTIF(J161:U161,"x"),1)+(Besatzung!$F$11="x")*IFERROR(H161,0)/IFERROR(SUMPRODUCT((J161:U161="x")*(Besatzung!$F$11:$F$22="x")),1))),(IF(COUNTIF(J161:U161,"x")=0,IF(Besatzung!$B$11&lt;&gt;"",1,0),(J161="x"))*(G161-IFERROR(H161,0))/IFERROR(IF(COUNTIF(J161:U161,"x")=0,COUNTA(Besatzung!$B$11:$B$22),COUNTIF(J161:U161,"x")),1)+IF(COUNTIF(J161:U161,"x")=0,(Besatzung!$F$11="x"),(J161="x")*(Besatzung!$F$11="x"))*IFERROR(H161,0)/IFERROR(IF(COUNTIF(J161:U161,"x")=0,SUMPRODUCT((Besatzung!$B$11:$B$22&lt;&gt;"")*(Besatzung!$F$11:$F$22="x")),SUMPRODUCT((J161:U161="x")*(Besatzung!$F$11:$F$22="x"))),1))))),0))))</f>
        <v/>
      </c>
      <c r="W161" s="247">
        <f>IF(C161="Gutschrift","",IF(G161="","",IF(Besatzung!$B$12="","",IFERROR(IF(I161="Zeitanteilig",(Besatzung!$G$12*(G161-IFERROR(H161,0))+((Besatzung!$B$12&lt;&gt;"")*IF(B161="",1,(IF(Besatzung!$C$12="",Besatzung!$B$5,Besatzung!$C$12)&lt;=B161)*(IF(Besatzung!$D$12="",Besatzung!$B$6,Besatzung!$D$12)&gt;=B161)))*(Besatzung!$F$12="x")*IFERROR(H161,0)/IFERROR(SUMPRODUCT((Besatzung!$B$11:$B$22&lt;&gt;"")*(Besatzung!$F$11:$F$22="x")*(IF(Besatzung!$C$11:$C$22="",Besatzung!$B$5,Besatzung!$C$11:$C$22)&lt;=B161)*(IF(Besatzung!$D$11:$D$22="",Besatzung!$B$6,Besatzung!$D$11:$D$22)&gt;=B161)),1)),IF(I161="An Bord",(((Besatzung!$B$12&lt;&gt;"")*IF(B161="",1,(IF(Besatzung!$C$12="",Besatzung!$B$5,Besatzung!$C$12)&lt;=B161)*(IF(Besatzung!$D$12="",Besatzung!$B$6,Besatzung!$D$12)&gt;=B161)))*((G161-IFERROR(H161,0))/IFERROR(SUMPRODUCT((Besatzung!$B$11:$B$22&lt;&gt;"")*(IF(Besatzung!$C$11:$C$22="",Besatzung!$B$5,Besatzung!$C$11:$C$22)&lt;=B161)*(IF(Besatzung!$D$11:$D$22="",Besatzung!$B$6,Besatzung!$D$11:$D$22)&gt;=B161)),1)+(Besatzung!$F$12="x")*IFERROR(H161,0)/IFERROR(SUMPRODUCT((Besatzung!$B$11:$B$22&lt;&gt;"")*(Besatzung!$F$11:$F$22="x")*(IF(Besatzung!$C$11:$C$22="",Besatzung!$B$5,Besatzung!$C$11:$C$22)&lt;=B161)*(IF(Besatzung!$D$11:$D$22="",Besatzung!$B$6,Besatzung!$D$11:$D$22)&gt;=B161)),1))),IF(I161="Individuell",((K161="x")*((G161-IFERROR(H161,0))/IFERROR(COUNTIF(J161:U161,"x"),1)+(Besatzung!$F$12="x")*IFERROR(H161,0)/IFERROR(SUMPRODUCT((J161:U161="x")*(Besatzung!$F$11:$F$22="x")),1))),(IF(COUNTIF(J161:U161,"x")=0,IF(Besatzung!$B$12&lt;&gt;"",1,0),(K161="x"))*(G161-IFERROR(H161,0))/IFERROR(IF(COUNTIF(J161:U161,"x")=0,COUNTA(Besatzung!$B$11:$B$22),COUNTIF(J161:U161,"x")),1)+IF(COUNTIF(J161:U161,"x")=0,(Besatzung!$F$12="x"),(K161="x")*(Besatzung!$F$12="x"))*IFERROR(H161,0)/IFERROR(IF(COUNTIF(J161:U161,"x")=0,SUMPRODUCT((Besatzung!$B$11:$B$22&lt;&gt;"")*(Besatzung!$F$11:$F$22="x")),SUMPRODUCT((J161:U161="x")*(Besatzung!$F$11:$F$22="x"))),1))))),0))))</f>
        <v/>
      </c>
      <c r="X161" s="247">
        <f>IF(C161="Gutschrift","",IF(G161="","",IF(Besatzung!$B$13="","",IFERROR(IF(I161="Zeitanteilig",(Besatzung!$G$13*(G161-IFERROR(H161,0))+((Besatzung!$B$13&lt;&gt;"")*IF(B161="",1,(IF(Besatzung!$C$13="",Besatzung!$B$5,Besatzung!$C$13)&lt;=B161)*(IF(Besatzung!$D$13="",Besatzung!$B$6,Besatzung!$D$13)&gt;=B161)))*(Besatzung!$F$13="x")*IFERROR(H161,0)/IFERROR(SUMPRODUCT((Besatzung!$B$11:$B$22&lt;&gt;"")*(Besatzung!$F$11:$F$22="x")*(IF(Besatzung!$C$11:$C$22="",Besatzung!$B$5,Besatzung!$C$11:$C$22)&lt;=B161)*(IF(Besatzung!$D$11:$D$22="",Besatzung!$B$6,Besatzung!$D$11:$D$22)&gt;=B161)),1)),IF(I161="An Bord",(((Besatzung!$B$13&lt;&gt;"")*IF(B161="",1,(IF(Besatzung!$C$13="",Besatzung!$B$5,Besatzung!$C$13)&lt;=B161)*(IF(Besatzung!$D$13="",Besatzung!$B$6,Besatzung!$D$13)&gt;=B161)))*((G161-IFERROR(H161,0))/IFERROR(SUMPRODUCT((Besatzung!$B$11:$B$22&lt;&gt;"")*(IF(Besatzung!$C$11:$C$22="",Besatzung!$B$5,Besatzung!$C$11:$C$22)&lt;=B161)*(IF(Besatzung!$D$11:$D$22="",Besatzung!$B$6,Besatzung!$D$11:$D$22)&gt;=B161)),1)+(Besatzung!$F$13="x")*IFERROR(H161,0)/IFERROR(SUMPRODUCT((Besatzung!$B$11:$B$22&lt;&gt;"")*(Besatzung!$F$11:$F$22="x")*(IF(Besatzung!$C$11:$C$22="",Besatzung!$B$5,Besatzung!$C$11:$C$22)&lt;=B161)*(IF(Besatzung!$D$11:$D$22="",Besatzung!$B$6,Besatzung!$D$11:$D$22)&gt;=B161)),1))),IF(I161="Individuell",((K161="x")*((G161-IFERROR(H161,0))/IFERROR(COUNTIF(J161:U161,"x"),1)+(Besatzung!$F$13="x")*IFERROR(H161,0)/IFERROR(SUMPRODUCT((J161:U161="x")*(Besatzung!$F$11:$F$22="x")),1))),(IF(COUNTIF(J161:U161,"x")=0,IF(Besatzung!$B$13&lt;&gt;"",1,0),(K161="x"))*(G161-IFERROR(H161,0))/IFERROR(IF(COUNTIF(J161:U161,"x")=0,COUNTA(Besatzung!$B$11:$B$22),COUNTIF(J161:U161,"x")),1)+IF(COUNTIF(J161:U161,"x")=0,(Besatzung!$F$13="x"),(K161="x")*(Besatzung!$F$13="x"))*IFERROR(H161,0)/IFERROR(IF(COUNTIF(J161:U161,"x")=0,SUMPRODUCT((Besatzung!$B$11:$B$22&lt;&gt;"")*(Besatzung!$F$11:$F$22="x")),SUMPRODUCT((J161:U161="x")*(Besatzung!$F$11:$F$22="x"))),1))))),0))))</f>
        <v/>
      </c>
      <c r="Y161" s="247">
        <f>IF(C161="Gutschrift","",IF(G161="","",IF(Besatzung!$B$14="","",IFERROR(IF(I161="Zeitanteilig",(Besatzung!$G$14*(G161-IFERROR(H161,0))+((Besatzung!$B$14&lt;&gt;"")*IF(B161="",1,(IF(Besatzung!$C$14="",Besatzung!$B$5,Besatzung!$C$14)&lt;=B161)*(IF(Besatzung!$D$14="",Besatzung!$B$6,Besatzung!$D$14)&gt;=B161)))*(Besatzung!$F$14="x")*IFERROR(H161,0)/IFERROR(SUMPRODUCT((Besatzung!$B$11:$B$22&lt;&gt;"")*(Besatzung!$F$11:$F$22="x")*(IF(Besatzung!$C$11:$C$22="",Besatzung!$B$5,Besatzung!$C$11:$C$22)&lt;=B161)*(IF(Besatzung!$D$11:$D$22="",Besatzung!$B$6,Besatzung!$D$11:$D$22)&gt;=B161)),1)),IF(I161="An Bord",(((Besatzung!$B$14&lt;&gt;"")*IF(B161="",1,(IF(Besatzung!$C$14="",Besatzung!$B$5,Besatzung!$C$14)&lt;=B161)*(IF(Besatzung!$D$14="",Besatzung!$B$6,Besatzung!$D$14)&gt;=B161)))*((G161-IFERROR(H161,0))/IFERROR(SUMPRODUCT((Besatzung!$B$11:$B$22&lt;&gt;"")*(IF(Besatzung!$C$11:$C$22="",Besatzung!$B$5,Besatzung!$C$11:$C$22)&lt;=B161)*(IF(Besatzung!$D$11:$D$22="",Besatzung!$B$6,Besatzung!$D$11:$D$22)&gt;=B161)),1)+(Besatzung!$F$14="x")*IFERROR(H161,0)/IFERROR(SUMPRODUCT((Besatzung!$B$11:$B$22&lt;&gt;"")*(Besatzung!$F$11:$F$22="x")*(IF(Besatzung!$C$11:$C$22="",Besatzung!$B$5,Besatzung!$C$11:$C$22)&lt;=B161)*(IF(Besatzung!$D$11:$D$22="",Besatzung!$B$6,Besatzung!$D$11:$D$22)&gt;=B161)),1))),IF(I161="Individuell",((M161="x")*((G161-IFERROR(H161,0))/IFERROR(COUNTIF(J161:U161,"x"),1)+(Besatzung!$F$14="x")*IFERROR(H161,0)/IFERROR(SUMPRODUCT((J161:U161="x")*(Besatzung!$F$11:$F$22="x")),1))),(IF(COUNTIF(J161:U161,"x")=0,IF(Besatzung!$B$14&lt;&gt;"",1,0),(M161="x"))*(G161-IFERROR(H161,0))/IFERROR(IF(COUNTIF(J161:U161,"x")=0,COUNTA(Besatzung!$B$11:$B$22),COUNTIF(J161:U161,"x")),1)+IF(COUNTIF(J161:U161,"x")=0,(Besatzung!$F$14="x"),(M161="x")*(Besatzung!$F$14="x"))*IFERROR(H161,0)/IFERROR(IF(COUNTIF(J161:U161,"x")=0,SUMPRODUCT((Besatzung!$B$11:$B$22&lt;&gt;"")*(Besatzung!$F$11:$F$22="x")),SUMPRODUCT((J161:U161="x")*(Besatzung!$F$11:$F$22="x"))),1))))),0))))</f>
        <v/>
      </c>
      <c r="Z161" s="247">
        <f>IF(C161="Gutschrift","",IF(G161="","",IF(Besatzung!$B$13="","",IFERROR(IF(I161="Zeitanteilig",(Besatzung!$G$15*(G161-IFERROR(H161,0))+((Besatzung!$B$13&lt;&gt;"")*IF(B161="",1,(IF(Besatzung!$C$15="",Besatzung!$B$5,Besatzung!$C$15)&lt;=B161)*(IF(Besatzung!$D$15="",Besatzung!$B$6,Besatzung!$D$15)&gt;=B161)))*(Besatzung!$F$15="x")*IFERROR(H161,0)/IFERROR(SUMPRODUCT((Besatzung!$B$11:$B$22&lt;&gt;"")*(Besatzung!$F$11:$F$22="x")*(IF(Besatzung!$C$11:$C$22="",Besatzung!$B$5,Besatzung!$C$11:$C$22)&lt;=B161)*(IF(Besatzung!$D$11:$D$22="",Besatzung!$B$6,Besatzung!$D$11:$D$22)&gt;=B161)),1)),IF(I161="An Bord",(((Besatzung!$B$13&lt;&gt;"")*IF(B161="",1,(IF(Besatzung!$C$15="",Besatzung!$B$5,Besatzung!$C$15)&lt;=B161)*(IF(Besatzung!$D$15="",Besatzung!$B$6,Besatzung!$D$15)&gt;=B161)))*((G161-IFERROR(H161,0))/IFERROR(SUMPRODUCT((Besatzung!$B$11:$B$22&lt;&gt;"")*(IF(Besatzung!$C$11:$C$22="",Besatzung!$B$5,Besatzung!$C$11:$C$22)&lt;=B161)*(IF(Besatzung!$D$11:$D$22="",Besatzung!$B$6,Besatzung!$D$11:$D$22)&gt;=B161)),1)+(Besatzung!$F$15="x")*IFERROR(H161,0)/IFERROR(SUMPRODUCT((Besatzung!$B$11:$B$22&lt;&gt;"")*(Besatzung!$F$11:$F$22="x")*(IF(Besatzung!$C$11:$C$22="",Besatzung!$B$5,Besatzung!$C$11:$C$22)&lt;=B161)*(IF(Besatzung!$D$11:$D$22="",Besatzung!$B$6,Besatzung!$D$11:$D$22)&gt;=B161)),1))),IF(I161="Individuell",((N161="x")*((G161-IFERROR(H161,0))/IFERROR(COUNTIF(J161:U161,"x"),1)+(Besatzung!$F$15="x")*IFERROR(H161,0)/IFERROR(SUMPRODUCT((J161:U161="x")*(Besatzung!$F$11:$F$22="x")),1))),(IF(COUNTIF(J161:U161,"x")=0,IF(Besatzung!$B$13&lt;&gt;"",1,0),(N161="x"))*(G161-IFERROR(H161,0))/IFERROR(IF(COUNTIF(J161:U161,"x")=0,COUNTA(Besatzung!$B$11:$B$22),COUNTIF(J161:U161,"x")),1)+IF(COUNTIF(J161:U161,"x")=0,(Besatzung!$F$15="x"),(N161="x")*(Besatzung!$F$15="x"))*IFERROR(H161,0)/IFERROR(IF(COUNTIF(J161:U161,"x")=0,SUMPRODUCT((Besatzung!$B$11:$B$22&lt;&gt;"")*(Besatzung!$F$11:$F$22="x")),SUMPRODUCT((J161:U161="x")*(Besatzung!$F$11:$F$22="x"))),1))))),0))))</f>
        <v/>
      </c>
      <c r="AA161" s="247">
        <f>IF(C161="Gutschrift","",IF(G161="","",IF(Besatzung!$B$15="","",IFERROR(IF(I161="Zeitanteilig",(Besatzung!$G$16*(G161-IFERROR(H161,0))+((Besatzung!$B$15&lt;&gt;"")*IF(B161="",1,(IF(Besatzung!$C$16="",Besatzung!$B$5,Besatzung!$C$16)&lt;=B161)*(IF(Besatzung!$D$16="",Besatzung!$B$6,Besatzung!$D$16)&gt;=B161)))*(Besatzung!$F$16="x")*IFERROR(H161,0)/IFERROR(SUMPRODUCT((Besatzung!$B$11:$B$22&lt;&gt;"")*(Besatzung!$F$11:$F$22="x")*(IF(Besatzung!$C$11:$C$22="",Besatzung!$B$5,Besatzung!$C$11:$C$22)&lt;=B161)*(IF(Besatzung!$D$11:$D$22="",Besatzung!$B$6,Besatzung!$D$11:$D$22)&gt;=B161)),1)),IF(I161="An Bord",(((Besatzung!$B$15&lt;&gt;"")*IF(B161="",1,(IF(Besatzung!$C$16="",Besatzung!$B$5,Besatzung!$C$16)&lt;=B161)*(IF(Besatzung!$D$16="",Besatzung!$B$6,Besatzung!$D$16)&gt;=B161)))*((G161-IFERROR(H161,0))/IFERROR(SUMPRODUCT((Besatzung!$B$11:$B$22&lt;&gt;"")*(IF(Besatzung!$C$11:$C$22="",Besatzung!$B$5,Besatzung!$C$11:$C$22)&lt;=B161)*(IF(Besatzung!$D$11:$D$22="",Besatzung!$B$6,Besatzung!$D$11:$D$22)&gt;=B161)),1)+(Besatzung!$F$16="x")*IFERROR(H161,0)/IFERROR(SUMPRODUCT((Besatzung!$B$11:$B$22&lt;&gt;"")*(Besatzung!$F$11:$F$22="x")*(IF(Besatzung!$C$11:$C$22="",Besatzung!$B$5,Besatzung!$C$11:$C$22)&lt;=B161)*(IF(Besatzung!$D$11:$D$22="",Besatzung!$B$6,Besatzung!$D$11:$D$22)&gt;=B161)),1))),IF(I161="Individuell",((O161="x")*((G161-IFERROR(H161,0))/IFERROR(COUNTIF(J161:U161,"x"),1)+(Besatzung!$F$16="x")*IFERROR(H161,0)/IFERROR(SUMPRODUCT((J161:U161="x")*(Besatzung!$F$11:$F$22="x")),1))),(IF(COUNTIF(J161:U161,"x")=0,IF(Besatzung!$B$15&lt;&gt;"",1,0),(O161="x"))*(G161-IFERROR(H161,0))/IFERROR(IF(COUNTIF(J161:U161,"x")=0,COUNTA(Besatzung!$B$11:$B$22),COUNTIF(J161:U161,"x")),1)+IF(COUNTIF(J161:U161,"x")=0,(Besatzung!$F$16="x"),(O161="x")*(Besatzung!$F$16="x"))*IFERROR(H161,0)/IFERROR(IF(COUNTIF(J161:U161,"x")=0,SUMPRODUCT((Besatzung!$B$11:$B$22&lt;&gt;"")*(Besatzung!$F$11:$F$22="x")),SUMPRODUCT((J161:U161="x")*(Besatzung!$F$11:$F$22="x"))),1))))),0))))</f>
        <v/>
      </c>
      <c r="AB161" s="247">
        <f>IF(C161="Gutschrift","",IF(G161="","",IF(Besatzung!$B$17="","",IFERROR(IF(I161="Zeitanteilig",(Besatzung!$G$17*(G161-IFERROR(H161,0))+((Besatzung!$B$17&lt;&gt;"")*IF(B161="",1,(IF(Besatzung!$C$17="",Besatzung!$B$5,Besatzung!$C$17)&lt;=B161)*(IF(Besatzung!$D$17="",Besatzung!$B$6,Besatzung!$D$17)&gt;=B161)))*(Besatzung!$F$17="x")*IFERROR(H161,0)/IFERROR(SUMPRODUCT((Besatzung!$B$11:$B$22&lt;&gt;"")*(Besatzung!$F$11:$F$22="x")*(IF(Besatzung!$C$11:$C$22="",Besatzung!$B$5,Besatzung!$C$11:$C$22)&lt;=B161)*(IF(Besatzung!$D$11:$D$22="",Besatzung!$B$6,Besatzung!$D$11:$D$22)&gt;=B161)),1)),IF(I161="An Bord",(((Besatzung!$B$17&lt;&gt;"")*IF(B161="",1,(IF(Besatzung!$C$17="",Besatzung!$B$5,Besatzung!$C$17)&lt;=B161)*(IF(Besatzung!$D$17="",Besatzung!$B$6,Besatzung!$D$17)&gt;=B161)))*((G161-IFERROR(H161,0))/IFERROR(SUMPRODUCT((Besatzung!$B$11:$B$22&lt;&gt;"")*(IF(Besatzung!$C$11:$C$22="",Besatzung!$B$5,Besatzung!$C$11:$C$22)&lt;=B161)*(IF(Besatzung!$D$11:$D$22="",Besatzung!$B$6,Besatzung!$D$11:$D$22)&gt;=B161)),1)+(Besatzung!$F$17="x")*IFERROR(H161,0)/IFERROR(SUMPRODUCT((Besatzung!$B$11:$B$22&lt;&gt;"")*(Besatzung!$F$11:$F$22="x")*(IF(Besatzung!$C$11:$C$22="",Besatzung!$B$5,Besatzung!$C$11:$C$22)&lt;=B161)*(IF(Besatzung!$D$11:$D$22="",Besatzung!$B$6,Besatzung!$D$11:$D$22)&gt;=B161)),1))),IF(I161="Individuell",((P161="x")*((G161-IFERROR(H161,0))/IFERROR(COUNTIF(J161:U161,"x"),1)+(Besatzung!$F$17="x")*IFERROR(H161,0)/IFERROR(SUMPRODUCT((J161:U161="x")*(Besatzung!$F$11:$F$22="x")),1))),(IF(COUNTIF(J161:U161,"x")=0,IF(Besatzung!$B$17&lt;&gt;"",1,0),(P161="x"))*(G161-IFERROR(H161,0))/IFERROR(IF(COUNTIF(J161:U161,"x")=0,COUNTA(Besatzung!$B$11:$B$22),COUNTIF(J161:U161,"x")),1)+IF(COUNTIF(J161:U161,"x")=0,(Besatzung!$F$17="x"),(P161="x")*(Besatzung!$F$17="x"))*IFERROR(H161,0)/IFERROR(IF(COUNTIF(J161:U161,"x")=0,SUMPRODUCT((Besatzung!$B$11:$B$22&lt;&gt;"")*(Besatzung!$F$11:$F$22="x")),SUMPRODUCT((J161:U161="x")*(Besatzung!$F$11:$F$22="x"))),1))))),0))))</f>
        <v/>
      </c>
      <c r="AC161" s="247">
        <f>IF(C161="Gutschrift","",IF(G161="","",IF(Besatzung!$B$18="","",IFERROR(IF(I161="Zeitanteilig",(Besatzung!$G$18*(G161-IFERROR(H161,0))+((Besatzung!$B$18&lt;&gt;"")*IF(B161="",1,(IF(Besatzung!$C$18="",Besatzung!$B$5,Besatzung!$C$18)&lt;=B161)*(IF(Besatzung!$D$18="",Besatzung!$B$6,Besatzung!$D$18)&gt;=B161)))*(Besatzung!$F$18="x")*IFERROR(H161,0)/IFERROR(SUMPRODUCT((Besatzung!$B$11:$B$22&lt;&gt;"")*(Besatzung!$F$11:$F$22="x")*(IF(Besatzung!$C$11:$C$22="",Besatzung!$B$5,Besatzung!$C$11:$C$22)&lt;=B161)*(IF(Besatzung!$D$11:$D$22="",Besatzung!$B$6,Besatzung!$D$11:$D$22)&gt;=B161)),1)),IF(I161="An Bord",(((Besatzung!$B$18&lt;&gt;"")*IF(B161="",1,(IF(Besatzung!$C$18="",Besatzung!$B$5,Besatzung!$C$18)&lt;=B161)*(IF(Besatzung!$D$18="",Besatzung!$B$6,Besatzung!$D$18)&gt;=B161)))*((G161-IFERROR(H161,0))/IFERROR(SUMPRODUCT((Besatzung!$B$11:$B$22&lt;&gt;"")*(IF(Besatzung!$C$11:$C$22="",Besatzung!$B$5,Besatzung!$C$11:$C$22)&lt;=B161)*(IF(Besatzung!$D$11:$D$22="",Besatzung!$B$6,Besatzung!$D$11:$D$22)&gt;=B161)),1)+(Besatzung!$F$18="x")*IFERROR(H161,0)/IFERROR(SUMPRODUCT((Besatzung!$B$11:$B$22&lt;&gt;"")*(Besatzung!$F$11:$F$22="x")*(IF(Besatzung!$C$11:$C$22="",Besatzung!$B$5,Besatzung!$C$11:$C$22)&lt;=B161)*(IF(Besatzung!$D$11:$D$22="",Besatzung!$B$6,Besatzung!$D$11:$D$22)&gt;=B161)),1))),IF(I161="Individuell",((Q161="x")*((G161-IFERROR(H161,0))/IFERROR(COUNTIF(J161:U161,"x"),1)+(Besatzung!$F$18="x")*IFERROR(H161,0)/IFERROR(SUMPRODUCT((J161:U161="x")*(Besatzung!$F$11:$F$22="x")),1))),(IF(COUNTIF(J161:U161,"x")=0,IF(Besatzung!$B$18&lt;&gt;"",1,0),(Q161="x"))*(G161-IFERROR(H161,0))/IFERROR(IF(COUNTIF(J161:U161,"x")=0,COUNTA(Besatzung!$B$11:$B$22),COUNTIF(J161:U161,"x")),1)+IF(COUNTIF(J161:U161,"x")=0,(Besatzung!$F$18="x"),(Q161="x")*(Besatzung!$F$18="x"))*IFERROR(H161,0)/IFERROR(IF(COUNTIF(J161:U161,"x")=0,SUMPRODUCT((Besatzung!$B$11:$B$22&lt;&gt;"")*(Besatzung!$F$11:$F$22="x")),SUMPRODUCT((J161:U161="x")*(Besatzung!$F$11:$F$22="x"))),1))))),0))))</f>
        <v/>
      </c>
      <c r="AD161" s="247">
        <f>IF(C161="Gutschrift","",IF(G161="","",IF(Besatzung!$B$19="","",IFERROR(IF(I161="Zeitanteilig",(Besatzung!$G$19*(G161-IFERROR(H161,0))+((Besatzung!$B$19&lt;&gt;"")*IF(B161="",1,(IF(Besatzung!$C$19="",Besatzung!$B$5,Besatzung!$C$19)&lt;=B161)*(IF(Besatzung!$D$19="",Besatzung!$B$6,Besatzung!$D$19)&gt;=B161)))*(Besatzung!$F$19="x")*IFERROR(H161,0)/IFERROR(SUMPRODUCT((Besatzung!$B$11:$B$22&lt;&gt;"")*(Besatzung!$F$11:$F$22="x")*(IF(Besatzung!$C$11:$C$22="",Besatzung!$B$5,Besatzung!$C$11:$C$22)&lt;=B161)*(IF(Besatzung!$D$11:$D$22="",Besatzung!$B$6,Besatzung!$D$11:$D$22)&gt;=B161)),1)),IF(I161="An Bord",(((Besatzung!$B$19&lt;&gt;"")*IF(B161="",1,(IF(Besatzung!$C$19="",Besatzung!$B$5,Besatzung!$C$19)&lt;=B161)*(IF(Besatzung!$D$19="",Besatzung!$B$6,Besatzung!$D$19)&gt;=B161)))*((G161-IFERROR(H161,0))/IFERROR(SUMPRODUCT((Besatzung!$B$11:$B$22&lt;&gt;"")*(IF(Besatzung!$C$11:$C$22="",Besatzung!$B$5,Besatzung!$C$11:$C$22)&lt;=B161)*(IF(Besatzung!$D$11:$D$22="",Besatzung!$B$6,Besatzung!$D$11:$D$22)&gt;=B161)),1)+(Besatzung!$F$19="x")*IFERROR(H161,0)/IFERROR(SUMPRODUCT((Besatzung!$B$11:$B$22&lt;&gt;"")*(Besatzung!$F$11:$F$22="x")*(IF(Besatzung!$C$11:$C$22="",Besatzung!$B$5,Besatzung!$C$11:$C$22)&lt;=B161)*(IF(Besatzung!$D$11:$D$22="",Besatzung!$B$6,Besatzung!$D$11:$D$22)&gt;=B161)),1))),IF(I161="Individuell",((R161="x")*((G161-IFERROR(H161,0))/IFERROR(COUNTIF(J161:U161,"x"),1)+(Besatzung!$F$19="x")*IFERROR(H161,0)/IFERROR(SUMPRODUCT((J161:U161="x")*(Besatzung!$F$11:$F$22="x")),1))),(IF(COUNTIF(J161:U161,"x")=0,IF(Besatzung!$B$19&lt;&gt;"",1,0),(R161="x"))*(G161-IFERROR(H161,0))/IFERROR(IF(COUNTIF(J161:U161,"x")=0,COUNTA(Besatzung!$B$11:$B$22),COUNTIF(J161:U161,"x")),1)+IF(COUNTIF(J161:U161,"x")=0,(Besatzung!$F$19="x"),(R161="x")*(Besatzung!$F$19="x"))*IFERROR(H161,0)/IFERROR(IF(COUNTIF(J161:U161,"x")=0,SUMPRODUCT((Besatzung!$B$11:$B$22&lt;&gt;"")*(Besatzung!$F$11:$F$22="x")),SUMPRODUCT((J161:U161="x")*(Besatzung!$F$11:$F$22="x"))),1))))),0))))</f>
        <v/>
      </c>
      <c r="AE161" s="247">
        <f>IF(C161="Gutschrift","",IF(G161="","",IF(Besatzung!$B$20="","",IFERROR(IF(I161="Zeitanteilig",(Besatzung!$G$20*(G161-IFERROR(H161,0))+((Besatzung!$B$20&lt;&gt;"")*IF(B161="",1,(IF(Besatzung!$C$20="",Besatzung!$B$5,Besatzung!$C$20)&lt;=B161)*(IF(Besatzung!$D$20="",Besatzung!$B$6,Besatzung!$D$20)&gt;=B161)))*(Besatzung!$F$20="x")*IFERROR(H161,0)/IFERROR(SUMPRODUCT((Besatzung!$B$11:$B$22&lt;&gt;"")*(Besatzung!$F$11:$F$22="x")*(IF(Besatzung!$C$11:$C$22="",Besatzung!$B$5,Besatzung!$C$11:$C$22)&lt;=B161)*(IF(Besatzung!$D$11:$D$22="",Besatzung!$B$6,Besatzung!$D$11:$D$22)&gt;=B161)),1)),IF(I161="An Bord",(((Besatzung!$B$20&lt;&gt;"")*IF(B161="",1,(IF(Besatzung!$C$20="",Besatzung!$B$5,Besatzung!$C$20)&lt;=B161)*(IF(Besatzung!$D$20="",Besatzung!$B$6,Besatzung!$D$20)&gt;=B161)))*((G161-IFERROR(H161,0))/IFERROR(SUMPRODUCT((Besatzung!$B$11:$B$22&lt;&gt;"")*(IF(Besatzung!$C$11:$C$22="",Besatzung!$B$5,Besatzung!$C$11:$C$22)&lt;=B161)*(IF(Besatzung!$D$11:$D$22="",Besatzung!$B$6,Besatzung!$D$11:$D$22)&gt;=B161)),1)+(Besatzung!$F$20="x")*IFERROR(H161,0)/IFERROR(SUMPRODUCT((Besatzung!$B$11:$B$22&lt;&gt;"")*(Besatzung!$F$11:$F$22="x")*(IF(Besatzung!$C$11:$C$22="",Besatzung!$B$5,Besatzung!$C$11:$C$22)&lt;=B161)*(IF(Besatzung!$D$11:$D$22="",Besatzung!$B$6,Besatzung!$D$11:$D$22)&gt;=B161)),1))),IF(I161="Individuell",((S161="x")*((G161-IFERROR(H161,0))/IFERROR(COUNTIF(J161:U161,"x"),1)+(Besatzung!$F$20="x")*IFERROR(H161,0)/IFERROR(SUMPRODUCT((J161:U161="x")*(Besatzung!$F$11:$F$22="x")),1))),(IF(COUNTIF(J161:U161,"x")=0,IF(Besatzung!$B$20&lt;&gt;"",1,0),(S161="x"))*(G161-IFERROR(H161,0))/IFERROR(IF(COUNTIF(J161:U161,"x")=0,COUNTA(Besatzung!$B$11:$B$22),COUNTIF(J161:U161,"x")),1)+IF(COUNTIF(J161:U161,"x")=0,(Besatzung!$F$20="x"),(S161="x")*(Besatzung!$F$20="x"))*IFERROR(H161,0)/IFERROR(IF(COUNTIF(J161:U161,"x")=0,SUMPRODUCT((Besatzung!$B$11:$B$22&lt;&gt;"")*(Besatzung!$F$11:$F$22="x")),SUMPRODUCT((J161:U161="x")*(Besatzung!$F$11:$F$22="x"))),1))))),0))))</f>
        <v/>
      </c>
      <c r="AF161" s="247">
        <f>IF(C161="Gutschrift","",IF(G161="","",IF(Besatzung!$B$21="","",IFERROR(IF(I161="Zeitanteilig",(Besatzung!$G$21*(G161-IFERROR(H161,0))+((Besatzung!$B$21&lt;&gt;"")*IF(B161="",1,(IF(Besatzung!$C$21="",Besatzung!$B$5,Besatzung!$C$21)&lt;=B161)*(IF(Besatzung!$D$21="",Besatzung!$B$6,Besatzung!$D$21)&gt;=B161)))*(Besatzung!$F$21="x")*IFERROR(H161,0)/IFERROR(SUMPRODUCT((Besatzung!$B$11:$B$22&lt;&gt;"")*(Besatzung!$F$11:$F$22="x")*(IF(Besatzung!$C$11:$C$22="",Besatzung!$B$5,Besatzung!$C$11:$C$22)&lt;=B161)*(IF(Besatzung!$D$11:$D$22="",Besatzung!$B$6,Besatzung!$D$11:$D$22)&gt;=B161)),1)),IF(I161="An Bord",(((Besatzung!$B$21&lt;&gt;"")*IF(B161="",1,(IF(Besatzung!$C$21="",Besatzung!$B$5,Besatzung!$C$21)&lt;=B161)*(IF(Besatzung!$D$21="",Besatzung!$B$6,Besatzung!$D$21)&gt;=B161)))*((G161-IFERROR(H161,0))/IFERROR(SUMPRODUCT((Besatzung!$B$11:$B$22&lt;&gt;"")*(IF(Besatzung!$C$11:$C$22="",Besatzung!$B$5,Besatzung!$C$11:$C$22)&lt;=B161)*(IF(Besatzung!$D$11:$D$22="",Besatzung!$B$6,Besatzung!$D$11:$D$22)&gt;=B161)),1)+(Besatzung!$F$21="x")*IFERROR(H161,0)/IFERROR(SUMPRODUCT((Besatzung!$B$11:$B$22&lt;&gt;"")*(Besatzung!$F$11:$F$22="x")*(IF(Besatzung!$C$11:$C$22="",Besatzung!$B$5,Besatzung!$C$11:$C$22)&lt;=B161)*(IF(Besatzung!$D$11:$D$22="",Besatzung!$B$6,Besatzung!$D$11:$D$22)&gt;=B161)),1))),IF(I161="Individuell",((T161="x")*((G161-IFERROR(H161,0))/IFERROR(COUNTIF(J161:U161,"x"),1)+(Besatzung!$F$21="x")*IFERROR(H161,0)/IFERROR(SUMPRODUCT((J161:U161="x")*(Besatzung!$F$11:$F$22="x")),1))),(IF(COUNTIF(J161:U161,"x")=0,IF(Besatzung!$B$21&lt;&gt;"",1,0),(T161="x"))*(G161-IFERROR(H161,0))/IFERROR(IF(COUNTIF(J161:U161,"x")=0,COUNTA(Besatzung!$B$11:$B$22),COUNTIF(J161:U161,"x")),1)+IF(COUNTIF(J161:U161,"x")=0,(Besatzung!$F$21="x"),(T161="x")*(Besatzung!$F$21="x"))*IFERROR(H161,0)/IFERROR(IF(COUNTIF(J161:U161,"x")=0,SUMPRODUCT((Besatzung!$B$11:$B$22&lt;&gt;"")*(Besatzung!$F$11:$F$22="x")),SUMPRODUCT((J161:U161="x")*(Besatzung!$F$11:$F$22="x"))),1))))),0))))</f>
        <v/>
      </c>
      <c r="AG161" s="247">
        <f>IF(C161="Gutschrift","",IF(G161="","",IF(Besatzung!$B$22="","",IFERROR(IF(I161="Zeitanteilig",(Besatzung!$G$22*(G161-IFERROR(H161,0))+((Besatzung!$B$22&lt;&gt;"")*IF(B161="",1,(IF(Besatzung!$C$22="",Besatzung!$B$5,Besatzung!$C$22)&lt;=B161)*(IF(Besatzung!$D$22="",Besatzung!$B$6,Besatzung!$D$22)&gt;=B161)))*(Besatzung!$F$22="x")*IFERROR(H161,0)/IFERROR(SUMPRODUCT((Besatzung!$B$11:$B$22&lt;&gt;"")*(Besatzung!$F$11:$F$22="x")*(IF(Besatzung!$C$11:$C$22="",Besatzung!$B$5,Besatzung!$C$11:$C$22)&lt;=B161)*(IF(Besatzung!$D$11:$D$22="",Besatzung!$B$6,Besatzung!$D$11:$D$22)&gt;=B161)),1)),IF(I161="An Bord",(((Besatzung!$B$22&lt;&gt;"")*IF(B161="",1,(IF(Besatzung!$C$22="",Besatzung!$B$5,Besatzung!$C$22)&lt;=B161)*(IF(Besatzung!$D$22="",Besatzung!$B$6,Besatzung!$D$22)&gt;=B161)))*((G161-IFERROR(H161,0))/IFERROR(SUMPRODUCT((Besatzung!$B$11:$B$22&lt;&gt;"")*(IF(Besatzung!$C$11:$C$22="",Besatzung!$B$5,Besatzung!$C$11:$C$22)&lt;=B161)*(IF(Besatzung!$D$11:$D$22="",Besatzung!$B$6,Besatzung!$D$11:$D$22)&gt;=B161)),1)+(Besatzung!$F$22="x")*IFERROR(H161,0)/IFERROR(SUMPRODUCT((Besatzung!$B$11:$B$22&lt;&gt;"")*(Besatzung!$F$11:$F$22="x")*(IF(Besatzung!$C$11:$C$22="",Besatzung!$B$5,Besatzung!$C$11:$C$22)&lt;=B161)*(IF(Besatzung!$D$11:$D$22="",Besatzung!$B$6,Besatzung!$D$11:$D$22)&gt;=B161)),1))),IF(I161="Individuell",((U161="x")*((G161-IFERROR(H161,0))/IFERROR(COUNTIF(J161:U161,"x"),1)+(Besatzung!$F$22="x")*IFERROR(H161,0)/IFERROR(SUMPRODUCT((J161:U161="x")*(Besatzung!$F$11:$F$22="x")),1))),(IF(COUNTIF(J161:U161,"x")=0,IF(Besatzung!$B$22&lt;&gt;"",1,0),(U161="x"))*(G161-IFERROR(H161,0))/IFERROR(IF(COUNTIF(J161:U161,"x")=0,COUNTA(Besatzung!$B$11:$B$22),COUNTIF(J161:U161,"x")),1)+IF(COUNTIF(J161:U161,"x")=0,(Besatzung!$F$22="x"),(U161="x")*(Besatzung!$F$22="x"))*IFERROR(H161,0)/IFERROR(IF(COUNTIF(J161:U161,"x")=0,SUMPRODUCT((Besatzung!$B$11:$B$22&lt;&gt;"")*(Besatzung!$F$11:$F$22="x")),SUMPRODUCT((J161:U161="x")*(Besatzung!$F$11:$F$22="x"))),1))))),0))))</f>
        <v/>
      </c>
      <c r="AH161" s="248" t="n"/>
      <c r="AI161" s="248" t="n"/>
    </row>
    <row r="162" ht="21.75" customHeight="1" s="154">
      <c r="A162" s="238">
        <f>IF(AND(D162="",C162=""),"",159)</f>
        <v/>
      </c>
      <c r="B162" s="199" t="n"/>
      <c r="C162" s="239" t="n"/>
      <c r="D162" s="240" t="n"/>
      <c r="E162" s="241" t="n"/>
      <c r="F162" s="242" t="n"/>
      <c r="G162" s="243" t="n"/>
      <c r="H162" s="244" t="n"/>
      <c r="I162" s="245" t="n"/>
      <c r="J162" s="246" t="n"/>
      <c r="K162" s="246" t="n"/>
      <c r="L162" s="246" t="n"/>
      <c r="M162" s="246" t="n"/>
      <c r="N162" s="246" t="n"/>
      <c r="O162" s="246" t="n"/>
      <c r="P162" s="246" t="n"/>
      <c r="Q162" s="246" t="n"/>
      <c r="R162" s="246" t="n"/>
      <c r="S162" s="246" t="n"/>
      <c r="T162" s="246" t="n"/>
      <c r="U162" s="246" t="n"/>
      <c r="V162" s="247">
        <f>IF(C162="Gutschrift","",IF(G162="","",IF(Besatzung!$B$11="","",IFERROR(IF(I162="Zeitanteilig",(Besatzung!$G$11*(G162-IFERROR(H162,0))+((Besatzung!$B$11&lt;&gt;"")*IF(B162="",1,(IF(Besatzung!$C$11="",Besatzung!$B$5,Besatzung!$C$11)&lt;=B162)*(IF(Besatzung!$D$11="",Besatzung!$B$6,Besatzung!$D$11)&gt;=B162)))*(Besatzung!$F$11="x")*IFERROR(H162,0)/IFERROR(SUMPRODUCT((Besatzung!$B$11:$B$22&lt;&gt;"")*(Besatzung!$F$11:$F$22="x")*(IF(Besatzung!$C$11:$C$22="",Besatzung!$B$5,Besatzung!$C$11:$C$22)&lt;=B162)*(IF(Besatzung!$D$11:$D$22="",Besatzung!$B$6,Besatzung!$D$11:$D$22)&gt;=B162)),1)),IF(I162="An Bord",(((Besatzung!$B$11&lt;&gt;"")*IF(B162="",1,(IF(Besatzung!$C$11="",Besatzung!$B$5,Besatzung!$C$11)&lt;=B162)*(IF(Besatzung!$D$11="",Besatzung!$B$6,Besatzung!$D$11)&gt;=B162)))*((G162-IFERROR(H162,0))/IFERROR(SUMPRODUCT((Besatzung!$B$11:$B$22&lt;&gt;"")*(IF(Besatzung!$C$11:$C$22="",Besatzung!$B$5,Besatzung!$C$11:$C$22)&lt;=B162)*(IF(Besatzung!$D$11:$D$22="",Besatzung!$B$6,Besatzung!$D$11:$D$22)&gt;=B162)),1)+(Besatzung!$F$11="x")*IFERROR(H162,0)/IFERROR(SUMPRODUCT((Besatzung!$B$11:$B$22&lt;&gt;"")*(Besatzung!$F$11:$F$22="x")*(IF(Besatzung!$C$11:$C$22="",Besatzung!$B$5,Besatzung!$C$11:$C$22)&lt;=B162)*(IF(Besatzung!$D$11:$D$22="",Besatzung!$B$6,Besatzung!$D$11:$D$22)&gt;=B162)),1))),IF(I162="Individuell",((J162="x")*((G162-IFERROR(H162,0))/IFERROR(COUNTIF(J162:U162,"x"),1)+(Besatzung!$F$11="x")*IFERROR(H162,0)/IFERROR(SUMPRODUCT((J162:U162="x")*(Besatzung!$F$11:$F$22="x")),1))),(IF(COUNTIF(J162:U162,"x")=0,IF(Besatzung!$B$11&lt;&gt;"",1,0),(J162="x"))*(G162-IFERROR(H162,0))/IFERROR(IF(COUNTIF(J162:U162,"x")=0,COUNTA(Besatzung!$B$11:$B$22),COUNTIF(J162:U162,"x")),1)+IF(COUNTIF(J162:U162,"x")=0,(Besatzung!$F$11="x"),(J162="x")*(Besatzung!$F$11="x"))*IFERROR(H162,0)/IFERROR(IF(COUNTIF(J162:U162,"x")=0,SUMPRODUCT((Besatzung!$B$11:$B$22&lt;&gt;"")*(Besatzung!$F$11:$F$22="x")),SUMPRODUCT((J162:U162="x")*(Besatzung!$F$11:$F$22="x"))),1))))),0))))</f>
        <v/>
      </c>
      <c r="W162" s="247">
        <f>IF(C162="Gutschrift","",IF(G162="","",IF(Besatzung!$B$12="","",IFERROR(IF(I162="Zeitanteilig",(Besatzung!$G$12*(G162-IFERROR(H162,0))+((Besatzung!$B$12&lt;&gt;"")*IF(B162="",1,(IF(Besatzung!$C$12="",Besatzung!$B$5,Besatzung!$C$12)&lt;=B162)*(IF(Besatzung!$D$12="",Besatzung!$B$6,Besatzung!$D$12)&gt;=B162)))*(Besatzung!$F$12="x")*IFERROR(H162,0)/IFERROR(SUMPRODUCT((Besatzung!$B$11:$B$22&lt;&gt;"")*(Besatzung!$F$11:$F$22="x")*(IF(Besatzung!$C$11:$C$22="",Besatzung!$B$5,Besatzung!$C$11:$C$22)&lt;=B162)*(IF(Besatzung!$D$11:$D$22="",Besatzung!$B$6,Besatzung!$D$11:$D$22)&gt;=B162)),1)),IF(I162="An Bord",(((Besatzung!$B$12&lt;&gt;"")*IF(B162="",1,(IF(Besatzung!$C$12="",Besatzung!$B$5,Besatzung!$C$12)&lt;=B162)*(IF(Besatzung!$D$12="",Besatzung!$B$6,Besatzung!$D$12)&gt;=B162)))*((G162-IFERROR(H162,0))/IFERROR(SUMPRODUCT((Besatzung!$B$11:$B$22&lt;&gt;"")*(IF(Besatzung!$C$11:$C$22="",Besatzung!$B$5,Besatzung!$C$11:$C$22)&lt;=B162)*(IF(Besatzung!$D$11:$D$22="",Besatzung!$B$6,Besatzung!$D$11:$D$22)&gt;=B162)),1)+(Besatzung!$F$12="x")*IFERROR(H162,0)/IFERROR(SUMPRODUCT((Besatzung!$B$11:$B$22&lt;&gt;"")*(Besatzung!$F$11:$F$22="x")*(IF(Besatzung!$C$11:$C$22="",Besatzung!$B$5,Besatzung!$C$11:$C$22)&lt;=B162)*(IF(Besatzung!$D$11:$D$22="",Besatzung!$B$6,Besatzung!$D$11:$D$22)&gt;=B162)),1))),IF(I162="Individuell",((K162="x")*((G162-IFERROR(H162,0))/IFERROR(COUNTIF(J162:U162,"x"),1)+(Besatzung!$F$12="x")*IFERROR(H162,0)/IFERROR(SUMPRODUCT((J162:U162="x")*(Besatzung!$F$11:$F$22="x")),1))),(IF(COUNTIF(J162:U162,"x")=0,IF(Besatzung!$B$12&lt;&gt;"",1,0),(K162="x"))*(G162-IFERROR(H162,0))/IFERROR(IF(COUNTIF(J162:U162,"x")=0,COUNTA(Besatzung!$B$11:$B$22),COUNTIF(J162:U162,"x")),1)+IF(COUNTIF(J162:U162,"x")=0,(Besatzung!$F$12="x"),(K162="x")*(Besatzung!$F$12="x"))*IFERROR(H162,0)/IFERROR(IF(COUNTIF(J162:U162,"x")=0,SUMPRODUCT((Besatzung!$B$11:$B$22&lt;&gt;"")*(Besatzung!$F$11:$F$22="x")),SUMPRODUCT((J162:U162="x")*(Besatzung!$F$11:$F$22="x"))),1))))),0))))</f>
        <v/>
      </c>
      <c r="X162" s="247">
        <f>IF(C162="Gutschrift","",IF(G162="","",IF(Besatzung!$B$13="","",IFERROR(IF(I162="Zeitanteilig",(Besatzung!$G$13*(G162-IFERROR(H162,0))+((Besatzung!$B$13&lt;&gt;"")*IF(B162="",1,(IF(Besatzung!$C$13="",Besatzung!$B$5,Besatzung!$C$13)&lt;=B162)*(IF(Besatzung!$D$13="",Besatzung!$B$6,Besatzung!$D$13)&gt;=B162)))*(Besatzung!$F$13="x")*IFERROR(H162,0)/IFERROR(SUMPRODUCT((Besatzung!$B$11:$B$22&lt;&gt;"")*(Besatzung!$F$11:$F$22="x")*(IF(Besatzung!$C$11:$C$22="",Besatzung!$B$5,Besatzung!$C$11:$C$22)&lt;=B162)*(IF(Besatzung!$D$11:$D$22="",Besatzung!$B$6,Besatzung!$D$11:$D$22)&gt;=B162)),1)),IF(I162="An Bord",(((Besatzung!$B$13&lt;&gt;"")*IF(B162="",1,(IF(Besatzung!$C$13="",Besatzung!$B$5,Besatzung!$C$13)&lt;=B162)*(IF(Besatzung!$D$13="",Besatzung!$B$6,Besatzung!$D$13)&gt;=B162)))*((G162-IFERROR(H162,0))/IFERROR(SUMPRODUCT((Besatzung!$B$11:$B$22&lt;&gt;"")*(IF(Besatzung!$C$11:$C$22="",Besatzung!$B$5,Besatzung!$C$11:$C$22)&lt;=B162)*(IF(Besatzung!$D$11:$D$22="",Besatzung!$B$6,Besatzung!$D$11:$D$22)&gt;=B162)),1)+(Besatzung!$F$13="x")*IFERROR(H162,0)/IFERROR(SUMPRODUCT((Besatzung!$B$11:$B$22&lt;&gt;"")*(Besatzung!$F$11:$F$22="x")*(IF(Besatzung!$C$11:$C$22="",Besatzung!$B$5,Besatzung!$C$11:$C$22)&lt;=B162)*(IF(Besatzung!$D$11:$D$22="",Besatzung!$B$6,Besatzung!$D$11:$D$22)&gt;=B162)),1))),IF(I162="Individuell",((K162="x")*((G162-IFERROR(H162,0))/IFERROR(COUNTIF(J162:U162,"x"),1)+(Besatzung!$F$13="x")*IFERROR(H162,0)/IFERROR(SUMPRODUCT((J162:U162="x")*(Besatzung!$F$11:$F$22="x")),1))),(IF(COUNTIF(J162:U162,"x")=0,IF(Besatzung!$B$13&lt;&gt;"",1,0),(K162="x"))*(G162-IFERROR(H162,0))/IFERROR(IF(COUNTIF(J162:U162,"x")=0,COUNTA(Besatzung!$B$11:$B$22),COUNTIF(J162:U162,"x")),1)+IF(COUNTIF(J162:U162,"x")=0,(Besatzung!$F$13="x"),(K162="x")*(Besatzung!$F$13="x"))*IFERROR(H162,0)/IFERROR(IF(COUNTIF(J162:U162,"x")=0,SUMPRODUCT((Besatzung!$B$11:$B$22&lt;&gt;"")*(Besatzung!$F$11:$F$22="x")),SUMPRODUCT((J162:U162="x")*(Besatzung!$F$11:$F$22="x"))),1))))),0))))</f>
        <v/>
      </c>
      <c r="Y162" s="247">
        <f>IF(C162="Gutschrift","",IF(G162="","",IF(Besatzung!$B$14="","",IFERROR(IF(I162="Zeitanteilig",(Besatzung!$G$14*(G162-IFERROR(H162,0))+((Besatzung!$B$14&lt;&gt;"")*IF(B162="",1,(IF(Besatzung!$C$14="",Besatzung!$B$5,Besatzung!$C$14)&lt;=B162)*(IF(Besatzung!$D$14="",Besatzung!$B$6,Besatzung!$D$14)&gt;=B162)))*(Besatzung!$F$14="x")*IFERROR(H162,0)/IFERROR(SUMPRODUCT((Besatzung!$B$11:$B$22&lt;&gt;"")*(Besatzung!$F$11:$F$22="x")*(IF(Besatzung!$C$11:$C$22="",Besatzung!$B$5,Besatzung!$C$11:$C$22)&lt;=B162)*(IF(Besatzung!$D$11:$D$22="",Besatzung!$B$6,Besatzung!$D$11:$D$22)&gt;=B162)),1)),IF(I162="An Bord",(((Besatzung!$B$14&lt;&gt;"")*IF(B162="",1,(IF(Besatzung!$C$14="",Besatzung!$B$5,Besatzung!$C$14)&lt;=B162)*(IF(Besatzung!$D$14="",Besatzung!$B$6,Besatzung!$D$14)&gt;=B162)))*((G162-IFERROR(H162,0))/IFERROR(SUMPRODUCT((Besatzung!$B$11:$B$22&lt;&gt;"")*(IF(Besatzung!$C$11:$C$22="",Besatzung!$B$5,Besatzung!$C$11:$C$22)&lt;=B162)*(IF(Besatzung!$D$11:$D$22="",Besatzung!$B$6,Besatzung!$D$11:$D$22)&gt;=B162)),1)+(Besatzung!$F$14="x")*IFERROR(H162,0)/IFERROR(SUMPRODUCT((Besatzung!$B$11:$B$22&lt;&gt;"")*(Besatzung!$F$11:$F$22="x")*(IF(Besatzung!$C$11:$C$22="",Besatzung!$B$5,Besatzung!$C$11:$C$22)&lt;=B162)*(IF(Besatzung!$D$11:$D$22="",Besatzung!$B$6,Besatzung!$D$11:$D$22)&gt;=B162)),1))),IF(I162="Individuell",((M162="x")*((G162-IFERROR(H162,0))/IFERROR(COUNTIF(J162:U162,"x"),1)+(Besatzung!$F$14="x")*IFERROR(H162,0)/IFERROR(SUMPRODUCT((J162:U162="x")*(Besatzung!$F$11:$F$22="x")),1))),(IF(COUNTIF(J162:U162,"x")=0,IF(Besatzung!$B$14&lt;&gt;"",1,0),(M162="x"))*(G162-IFERROR(H162,0))/IFERROR(IF(COUNTIF(J162:U162,"x")=0,COUNTA(Besatzung!$B$11:$B$22),COUNTIF(J162:U162,"x")),1)+IF(COUNTIF(J162:U162,"x")=0,(Besatzung!$F$14="x"),(M162="x")*(Besatzung!$F$14="x"))*IFERROR(H162,0)/IFERROR(IF(COUNTIF(J162:U162,"x")=0,SUMPRODUCT((Besatzung!$B$11:$B$22&lt;&gt;"")*(Besatzung!$F$11:$F$22="x")),SUMPRODUCT((J162:U162="x")*(Besatzung!$F$11:$F$22="x"))),1))))),0))))</f>
        <v/>
      </c>
      <c r="Z162" s="247">
        <f>IF(C162="Gutschrift","",IF(G162="","",IF(Besatzung!$B$13="","",IFERROR(IF(I162="Zeitanteilig",(Besatzung!$G$15*(G162-IFERROR(H162,0))+((Besatzung!$B$13&lt;&gt;"")*IF(B162="",1,(IF(Besatzung!$C$15="",Besatzung!$B$5,Besatzung!$C$15)&lt;=B162)*(IF(Besatzung!$D$15="",Besatzung!$B$6,Besatzung!$D$15)&gt;=B162)))*(Besatzung!$F$15="x")*IFERROR(H162,0)/IFERROR(SUMPRODUCT((Besatzung!$B$11:$B$22&lt;&gt;"")*(Besatzung!$F$11:$F$22="x")*(IF(Besatzung!$C$11:$C$22="",Besatzung!$B$5,Besatzung!$C$11:$C$22)&lt;=B162)*(IF(Besatzung!$D$11:$D$22="",Besatzung!$B$6,Besatzung!$D$11:$D$22)&gt;=B162)),1)),IF(I162="An Bord",(((Besatzung!$B$13&lt;&gt;"")*IF(B162="",1,(IF(Besatzung!$C$15="",Besatzung!$B$5,Besatzung!$C$15)&lt;=B162)*(IF(Besatzung!$D$15="",Besatzung!$B$6,Besatzung!$D$15)&gt;=B162)))*((G162-IFERROR(H162,0))/IFERROR(SUMPRODUCT((Besatzung!$B$11:$B$22&lt;&gt;"")*(IF(Besatzung!$C$11:$C$22="",Besatzung!$B$5,Besatzung!$C$11:$C$22)&lt;=B162)*(IF(Besatzung!$D$11:$D$22="",Besatzung!$B$6,Besatzung!$D$11:$D$22)&gt;=B162)),1)+(Besatzung!$F$15="x")*IFERROR(H162,0)/IFERROR(SUMPRODUCT((Besatzung!$B$11:$B$22&lt;&gt;"")*(Besatzung!$F$11:$F$22="x")*(IF(Besatzung!$C$11:$C$22="",Besatzung!$B$5,Besatzung!$C$11:$C$22)&lt;=B162)*(IF(Besatzung!$D$11:$D$22="",Besatzung!$B$6,Besatzung!$D$11:$D$22)&gt;=B162)),1))),IF(I162="Individuell",((N162="x")*((G162-IFERROR(H162,0))/IFERROR(COUNTIF(J162:U162,"x"),1)+(Besatzung!$F$15="x")*IFERROR(H162,0)/IFERROR(SUMPRODUCT((J162:U162="x")*(Besatzung!$F$11:$F$22="x")),1))),(IF(COUNTIF(J162:U162,"x")=0,IF(Besatzung!$B$13&lt;&gt;"",1,0),(N162="x"))*(G162-IFERROR(H162,0))/IFERROR(IF(COUNTIF(J162:U162,"x")=0,COUNTA(Besatzung!$B$11:$B$22),COUNTIF(J162:U162,"x")),1)+IF(COUNTIF(J162:U162,"x")=0,(Besatzung!$F$15="x"),(N162="x")*(Besatzung!$F$15="x"))*IFERROR(H162,0)/IFERROR(IF(COUNTIF(J162:U162,"x")=0,SUMPRODUCT((Besatzung!$B$11:$B$22&lt;&gt;"")*(Besatzung!$F$11:$F$22="x")),SUMPRODUCT((J162:U162="x")*(Besatzung!$F$11:$F$22="x"))),1))))),0))))</f>
        <v/>
      </c>
      <c r="AA162" s="247">
        <f>IF(C162="Gutschrift","",IF(G162="","",IF(Besatzung!$B$15="","",IFERROR(IF(I162="Zeitanteilig",(Besatzung!$G$16*(G162-IFERROR(H162,0))+((Besatzung!$B$15&lt;&gt;"")*IF(B162="",1,(IF(Besatzung!$C$16="",Besatzung!$B$5,Besatzung!$C$16)&lt;=B162)*(IF(Besatzung!$D$16="",Besatzung!$B$6,Besatzung!$D$16)&gt;=B162)))*(Besatzung!$F$16="x")*IFERROR(H162,0)/IFERROR(SUMPRODUCT((Besatzung!$B$11:$B$22&lt;&gt;"")*(Besatzung!$F$11:$F$22="x")*(IF(Besatzung!$C$11:$C$22="",Besatzung!$B$5,Besatzung!$C$11:$C$22)&lt;=B162)*(IF(Besatzung!$D$11:$D$22="",Besatzung!$B$6,Besatzung!$D$11:$D$22)&gt;=B162)),1)),IF(I162="An Bord",(((Besatzung!$B$15&lt;&gt;"")*IF(B162="",1,(IF(Besatzung!$C$16="",Besatzung!$B$5,Besatzung!$C$16)&lt;=B162)*(IF(Besatzung!$D$16="",Besatzung!$B$6,Besatzung!$D$16)&gt;=B162)))*((G162-IFERROR(H162,0))/IFERROR(SUMPRODUCT((Besatzung!$B$11:$B$22&lt;&gt;"")*(IF(Besatzung!$C$11:$C$22="",Besatzung!$B$5,Besatzung!$C$11:$C$22)&lt;=B162)*(IF(Besatzung!$D$11:$D$22="",Besatzung!$B$6,Besatzung!$D$11:$D$22)&gt;=B162)),1)+(Besatzung!$F$16="x")*IFERROR(H162,0)/IFERROR(SUMPRODUCT((Besatzung!$B$11:$B$22&lt;&gt;"")*(Besatzung!$F$11:$F$22="x")*(IF(Besatzung!$C$11:$C$22="",Besatzung!$B$5,Besatzung!$C$11:$C$22)&lt;=B162)*(IF(Besatzung!$D$11:$D$22="",Besatzung!$B$6,Besatzung!$D$11:$D$22)&gt;=B162)),1))),IF(I162="Individuell",((O162="x")*((G162-IFERROR(H162,0))/IFERROR(COUNTIF(J162:U162,"x"),1)+(Besatzung!$F$16="x")*IFERROR(H162,0)/IFERROR(SUMPRODUCT((J162:U162="x")*(Besatzung!$F$11:$F$22="x")),1))),(IF(COUNTIF(J162:U162,"x")=0,IF(Besatzung!$B$15&lt;&gt;"",1,0),(O162="x"))*(G162-IFERROR(H162,0))/IFERROR(IF(COUNTIF(J162:U162,"x")=0,COUNTA(Besatzung!$B$11:$B$22),COUNTIF(J162:U162,"x")),1)+IF(COUNTIF(J162:U162,"x")=0,(Besatzung!$F$16="x"),(O162="x")*(Besatzung!$F$16="x"))*IFERROR(H162,0)/IFERROR(IF(COUNTIF(J162:U162,"x")=0,SUMPRODUCT((Besatzung!$B$11:$B$22&lt;&gt;"")*(Besatzung!$F$11:$F$22="x")),SUMPRODUCT((J162:U162="x")*(Besatzung!$F$11:$F$22="x"))),1))))),0))))</f>
        <v/>
      </c>
      <c r="AB162" s="247">
        <f>IF(C162="Gutschrift","",IF(G162="","",IF(Besatzung!$B$17="","",IFERROR(IF(I162="Zeitanteilig",(Besatzung!$G$17*(G162-IFERROR(H162,0))+((Besatzung!$B$17&lt;&gt;"")*IF(B162="",1,(IF(Besatzung!$C$17="",Besatzung!$B$5,Besatzung!$C$17)&lt;=B162)*(IF(Besatzung!$D$17="",Besatzung!$B$6,Besatzung!$D$17)&gt;=B162)))*(Besatzung!$F$17="x")*IFERROR(H162,0)/IFERROR(SUMPRODUCT((Besatzung!$B$11:$B$22&lt;&gt;"")*(Besatzung!$F$11:$F$22="x")*(IF(Besatzung!$C$11:$C$22="",Besatzung!$B$5,Besatzung!$C$11:$C$22)&lt;=B162)*(IF(Besatzung!$D$11:$D$22="",Besatzung!$B$6,Besatzung!$D$11:$D$22)&gt;=B162)),1)),IF(I162="An Bord",(((Besatzung!$B$17&lt;&gt;"")*IF(B162="",1,(IF(Besatzung!$C$17="",Besatzung!$B$5,Besatzung!$C$17)&lt;=B162)*(IF(Besatzung!$D$17="",Besatzung!$B$6,Besatzung!$D$17)&gt;=B162)))*((G162-IFERROR(H162,0))/IFERROR(SUMPRODUCT((Besatzung!$B$11:$B$22&lt;&gt;"")*(IF(Besatzung!$C$11:$C$22="",Besatzung!$B$5,Besatzung!$C$11:$C$22)&lt;=B162)*(IF(Besatzung!$D$11:$D$22="",Besatzung!$B$6,Besatzung!$D$11:$D$22)&gt;=B162)),1)+(Besatzung!$F$17="x")*IFERROR(H162,0)/IFERROR(SUMPRODUCT((Besatzung!$B$11:$B$22&lt;&gt;"")*(Besatzung!$F$11:$F$22="x")*(IF(Besatzung!$C$11:$C$22="",Besatzung!$B$5,Besatzung!$C$11:$C$22)&lt;=B162)*(IF(Besatzung!$D$11:$D$22="",Besatzung!$B$6,Besatzung!$D$11:$D$22)&gt;=B162)),1))),IF(I162="Individuell",((P162="x")*((G162-IFERROR(H162,0))/IFERROR(COUNTIF(J162:U162,"x"),1)+(Besatzung!$F$17="x")*IFERROR(H162,0)/IFERROR(SUMPRODUCT((J162:U162="x")*(Besatzung!$F$11:$F$22="x")),1))),(IF(COUNTIF(J162:U162,"x")=0,IF(Besatzung!$B$17&lt;&gt;"",1,0),(P162="x"))*(G162-IFERROR(H162,0))/IFERROR(IF(COUNTIF(J162:U162,"x")=0,COUNTA(Besatzung!$B$11:$B$22),COUNTIF(J162:U162,"x")),1)+IF(COUNTIF(J162:U162,"x")=0,(Besatzung!$F$17="x"),(P162="x")*(Besatzung!$F$17="x"))*IFERROR(H162,0)/IFERROR(IF(COUNTIF(J162:U162,"x")=0,SUMPRODUCT((Besatzung!$B$11:$B$22&lt;&gt;"")*(Besatzung!$F$11:$F$22="x")),SUMPRODUCT((J162:U162="x")*(Besatzung!$F$11:$F$22="x"))),1))))),0))))</f>
        <v/>
      </c>
      <c r="AC162" s="247">
        <f>IF(C162="Gutschrift","",IF(G162="","",IF(Besatzung!$B$18="","",IFERROR(IF(I162="Zeitanteilig",(Besatzung!$G$18*(G162-IFERROR(H162,0))+((Besatzung!$B$18&lt;&gt;"")*IF(B162="",1,(IF(Besatzung!$C$18="",Besatzung!$B$5,Besatzung!$C$18)&lt;=B162)*(IF(Besatzung!$D$18="",Besatzung!$B$6,Besatzung!$D$18)&gt;=B162)))*(Besatzung!$F$18="x")*IFERROR(H162,0)/IFERROR(SUMPRODUCT((Besatzung!$B$11:$B$22&lt;&gt;"")*(Besatzung!$F$11:$F$22="x")*(IF(Besatzung!$C$11:$C$22="",Besatzung!$B$5,Besatzung!$C$11:$C$22)&lt;=B162)*(IF(Besatzung!$D$11:$D$22="",Besatzung!$B$6,Besatzung!$D$11:$D$22)&gt;=B162)),1)),IF(I162="An Bord",(((Besatzung!$B$18&lt;&gt;"")*IF(B162="",1,(IF(Besatzung!$C$18="",Besatzung!$B$5,Besatzung!$C$18)&lt;=B162)*(IF(Besatzung!$D$18="",Besatzung!$B$6,Besatzung!$D$18)&gt;=B162)))*((G162-IFERROR(H162,0))/IFERROR(SUMPRODUCT((Besatzung!$B$11:$B$22&lt;&gt;"")*(IF(Besatzung!$C$11:$C$22="",Besatzung!$B$5,Besatzung!$C$11:$C$22)&lt;=B162)*(IF(Besatzung!$D$11:$D$22="",Besatzung!$B$6,Besatzung!$D$11:$D$22)&gt;=B162)),1)+(Besatzung!$F$18="x")*IFERROR(H162,0)/IFERROR(SUMPRODUCT((Besatzung!$B$11:$B$22&lt;&gt;"")*(Besatzung!$F$11:$F$22="x")*(IF(Besatzung!$C$11:$C$22="",Besatzung!$B$5,Besatzung!$C$11:$C$22)&lt;=B162)*(IF(Besatzung!$D$11:$D$22="",Besatzung!$B$6,Besatzung!$D$11:$D$22)&gt;=B162)),1))),IF(I162="Individuell",((Q162="x")*((G162-IFERROR(H162,0))/IFERROR(COUNTIF(J162:U162,"x"),1)+(Besatzung!$F$18="x")*IFERROR(H162,0)/IFERROR(SUMPRODUCT((J162:U162="x")*(Besatzung!$F$11:$F$22="x")),1))),(IF(COUNTIF(J162:U162,"x")=0,IF(Besatzung!$B$18&lt;&gt;"",1,0),(Q162="x"))*(G162-IFERROR(H162,0))/IFERROR(IF(COUNTIF(J162:U162,"x")=0,COUNTA(Besatzung!$B$11:$B$22),COUNTIF(J162:U162,"x")),1)+IF(COUNTIF(J162:U162,"x")=0,(Besatzung!$F$18="x"),(Q162="x")*(Besatzung!$F$18="x"))*IFERROR(H162,0)/IFERROR(IF(COUNTIF(J162:U162,"x")=0,SUMPRODUCT((Besatzung!$B$11:$B$22&lt;&gt;"")*(Besatzung!$F$11:$F$22="x")),SUMPRODUCT((J162:U162="x")*(Besatzung!$F$11:$F$22="x"))),1))))),0))))</f>
        <v/>
      </c>
      <c r="AD162" s="247">
        <f>IF(C162="Gutschrift","",IF(G162="","",IF(Besatzung!$B$19="","",IFERROR(IF(I162="Zeitanteilig",(Besatzung!$G$19*(G162-IFERROR(H162,0))+((Besatzung!$B$19&lt;&gt;"")*IF(B162="",1,(IF(Besatzung!$C$19="",Besatzung!$B$5,Besatzung!$C$19)&lt;=B162)*(IF(Besatzung!$D$19="",Besatzung!$B$6,Besatzung!$D$19)&gt;=B162)))*(Besatzung!$F$19="x")*IFERROR(H162,0)/IFERROR(SUMPRODUCT((Besatzung!$B$11:$B$22&lt;&gt;"")*(Besatzung!$F$11:$F$22="x")*(IF(Besatzung!$C$11:$C$22="",Besatzung!$B$5,Besatzung!$C$11:$C$22)&lt;=B162)*(IF(Besatzung!$D$11:$D$22="",Besatzung!$B$6,Besatzung!$D$11:$D$22)&gt;=B162)),1)),IF(I162="An Bord",(((Besatzung!$B$19&lt;&gt;"")*IF(B162="",1,(IF(Besatzung!$C$19="",Besatzung!$B$5,Besatzung!$C$19)&lt;=B162)*(IF(Besatzung!$D$19="",Besatzung!$B$6,Besatzung!$D$19)&gt;=B162)))*((G162-IFERROR(H162,0))/IFERROR(SUMPRODUCT((Besatzung!$B$11:$B$22&lt;&gt;"")*(IF(Besatzung!$C$11:$C$22="",Besatzung!$B$5,Besatzung!$C$11:$C$22)&lt;=B162)*(IF(Besatzung!$D$11:$D$22="",Besatzung!$B$6,Besatzung!$D$11:$D$22)&gt;=B162)),1)+(Besatzung!$F$19="x")*IFERROR(H162,0)/IFERROR(SUMPRODUCT((Besatzung!$B$11:$B$22&lt;&gt;"")*(Besatzung!$F$11:$F$22="x")*(IF(Besatzung!$C$11:$C$22="",Besatzung!$B$5,Besatzung!$C$11:$C$22)&lt;=B162)*(IF(Besatzung!$D$11:$D$22="",Besatzung!$B$6,Besatzung!$D$11:$D$22)&gt;=B162)),1))),IF(I162="Individuell",((R162="x")*((G162-IFERROR(H162,0))/IFERROR(COUNTIF(J162:U162,"x"),1)+(Besatzung!$F$19="x")*IFERROR(H162,0)/IFERROR(SUMPRODUCT((J162:U162="x")*(Besatzung!$F$11:$F$22="x")),1))),(IF(COUNTIF(J162:U162,"x")=0,IF(Besatzung!$B$19&lt;&gt;"",1,0),(R162="x"))*(G162-IFERROR(H162,0))/IFERROR(IF(COUNTIF(J162:U162,"x")=0,COUNTA(Besatzung!$B$11:$B$22),COUNTIF(J162:U162,"x")),1)+IF(COUNTIF(J162:U162,"x")=0,(Besatzung!$F$19="x"),(R162="x")*(Besatzung!$F$19="x"))*IFERROR(H162,0)/IFERROR(IF(COUNTIF(J162:U162,"x")=0,SUMPRODUCT((Besatzung!$B$11:$B$22&lt;&gt;"")*(Besatzung!$F$11:$F$22="x")),SUMPRODUCT((J162:U162="x")*(Besatzung!$F$11:$F$22="x"))),1))))),0))))</f>
        <v/>
      </c>
      <c r="AE162" s="247">
        <f>IF(C162="Gutschrift","",IF(G162="","",IF(Besatzung!$B$20="","",IFERROR(IF(I162="Zeitanteilig",(Besatzung!$G$20*(G162-IFERROR(H162,0))+((Besatzung!$B$20&lt;&gt;"")*IF(B162="",1,(IF(Besatzung!$C$20="",Besatzung!$B$5,Besatzung!$C$20)&lt;=B162)*(IF(Besatzung!$D$20="",Besatzung!$B$6,Besatzung!$D$20)&gt;=B162)))*(Besatzung!$F$20="x")*IFERROR(H162,0)/IFERROR(SUMPRODUCT((Besatzung!$B$11:$B$22&lt;&gt;"")*(Besatzung!$F$11:$F$22="x")*(IF(Besatzung!$C$11:$C$22="",Besatzung!$B$5,Besatzung!$C$11:$C$22)&lt;=B162)*(IF(Besatzung!$D$11:$D$22="",Besatzung!$B$6,Besatzung!$D$11:$D$22)&gt;=B162)),1)),IF(I162="An Bord",(((Besatzung!$B$20&lt;&gt;"")*IF(B162="",1,(IF(Besatzung!$C$20="",Besatzung!$B$5,Besatzung!$C$20)&lt;=B162)*(IF(Besatzung!$D$20="",Besatzung!$B$6,Besatzung!$D$20)&gt;=B162)))*((G162-IFERROR(H162,0))/IFERROR(SUMPRODUCT((Besatzung!$B$11:$B$22&lt;&gt;"")*(IF(Besatzung!$C$11:$C$22="",Besatzung!$B$5,Besatzung!$C$11:$C$22)&lt;=B162)*(IF(Besatzung!$D$11:$D$22="",Besatzung!$B$6,Besatzung!$D$11:$D$22)&gt;=B162)),1)+(Besatzung!$F$20="x")*IFERROR(H162,0)/IFERROR(SUMPRODUCT((Besatzung!$B$11:$B$22&lt;&gt;"")*(Besatzung!$F$11:$F$22="x")*(IF(Besatzung!$C$11:$C$22="",Besatzung!$B$5,Besatzung!$C$11:$C$22)&lt;=B162)*(IF(Besatzung!$D$11:$D$22="",Besatzung!$B$6,Besatzung!$D$11:$D$22)&gt;=B162)),1))),IF(I162="Individuell",((S162="x")*((G162-IFERROR(H162,0))/IFERROR(COUNTIF(J162:U162,"x"),1)+(Besatzung!$F$20="x")*IFERROR(H162,0)/IFERROR(SUMPRODUCT((J162:U162="x")*(Besatzung!$F$11:$F$22="x")),1))),(IF(COUNTIF(J162:U162,"x")=0,IF(Besatzung!$B$20&lt;&gt;"",1,0),(S162="x"))*(G162-IFERROR(H162,0))/IFERROR(IF(COUNTIF(J162:U162,"x")=0,COUNTA(Besatzung!$B$11:$B$22),COUNTIF(J162:U162,"x")),1)+IF(COUNTIF(J162:U162,"x")=0,(Besatzung!$F$20="x"),(S162="x")*(Besatzung!$F$20="x"))*IFERROR(H162,0)/IFERROR(IF(COUNTIF(J162:U162,"x")=0,SUMPRODUCT((Besatzung!$B$11:$B$22&lt;&gt;"")*(Besatzung!$F$11:$F$22="x")),SUMPRODUCT((J162:U162="x")*(Besatzung!$F$11:$F$22="x"))),1))))),0))))</f>
        <v/>
      </c>
      <c r="AF162" s="247">
        <f>IF(C162="Gutschrift","",IF(G162="","",IF(Besatzung!$B$21="","",IFERROR(IF(I162="Zeitanteilig",(Besatzung!$G$21*(G162-IFERROR(H162,0))+((Besatzung!$B$21&lt;&gt;"")*IF(B162="",1,(IF(Besatzung!$C$21="",Besatzung!$B$5,Besatzung!$C$21)&lt;=B162)*(IF(Besatzung!$D$21="",Besatzung!$B$6,Besatzung!$D$21)&gt;=B162)))*(Besatzung!$F$21="x")*IFERROR(H162,0)/IFERROR(SUMPRODUCT((Besatzung!$B$11:$B$22&lt;&gt;"")*(Besatzung!$F$11:$F$22="x")*(IF(Besatzung!$C$11:$C$22="",Besatzung!$B$5,Besatzung!$C$11:$C$22)&lt;=B162)*(IF(Besatzung!$D$11:$D$22="",Besatzung!$B$6,Besatzung!$D$11:$D$22)&gt;=B162)),1)),IF(I162="An Bord",(((Besatzung!$B$21&lt;&gt;"")*IF(B162="",1,(IF(Besatzung!$C$21="",Besatzung!$B$5,Besatzung!$C$21)&lt;=B162)*(IF(Besatzung!$D$21="",Besatzung!$B$6,Besatzung!$D$21)&gt;=B162)))*((G162-IFERROR(H162,0))/IFERROR(SUMPRODUCT((Besatzung!$B$11:$B$22&lt;&gt;"")*(IF(Besatzung!$C$11:$C$22="",Besatzung!$B$5,Besatzung!$C$11:$C$22)&lt;=B162)*(IF(Besatzung!$D$11:$D$22="",Besatzung!$B$6,Besatzung!$D$11:$D$22)&gt;=B162)),1)+(Besatzung!$F$21="x")*IFERROR(H162,0)/IFERROR(SUMPRODUCT((Besatzung!$B$11:$B$22&lt;&gt;"")*(Besatzung!$F$11:$F$22="x")*(IF(Besatzung!$C$11:$C$22="",Besatzung!$B$5,Besatzung!$C$11:$C$22)&lt;=B162)*(IF(Besatzung!$D$11:$D$22="",Besatzung!$B$6,Besatzung!$D$11:$D$22)&gt;=B162)),1))),IF(I162="Individuell",((T162="x")*((G162-IFERROR(H162,0))/IFERROR(COUNTIF(J162:U162,"x"),1)+(Besatzung!$F$21="x")*IFERROR(H162,0)/IFERROR(SUMPRODUCT((J162:U162="x")*(Besatzung!$F$11:$F$22="x")),1))),(IF(COUNTIF(J162:U162,"x")=0,IF(Besatzung!$B$21&lt;&gt;"",1,0),(T162="x"))*(G162-IFERROR(H162,0))/IFERROR(IF(COUNTIF(J162:U162,"x")=0,COUNTA(Besatzung!$B$11:$B$22),COUNTIF(J162:U162,"x")),1)+IF(COUNTIF(J162:U162,"x")=0,(Besatzung!$F$21="x"),(T162="x")*(Besatzung!$F$21="x"))*IFERROR(H162,0)/IFERROR(IF(COUNTIF(J162:U162,"x")=0,SUMPRODUCT((Besatzung!$B$11:$B$22&lt;&gt;"")*(Besatzung!$F$11:$F$22="x")),SUMPRODUCT((J162:U162="x")*(Besatzung!$F$11:$F$22="x"))),1))))),0))))</f>
        <v/>
      </c>
      <c r="AG162" s="247">
        <f>IF(C162="Gutschrift","",IF(G162="","",IF(Besatzung!$B$22="","",IFERROR(IF(I162="Zeitanteilig",(Besatzung!$G$22*(G162-IFERROR(H162,0))+((Besatzung!$B$22&lt;&gt;"")*IF(B162="",1,(IF(Besatzung!$C$22="",Besatzung!$B$5,Besatzung!$C$22)&lt;=B162)*(IF(Besatzung!$D$22="",Besatzung!$B$6,Besatzung!$D$22)&gt;=B162)))*(Besatzung!$F$22="x")*IFERROR(H162,0)/IFERROR(SUMPRODUCT((Besatzung!$B$11:$B$22&lt;&gt;"")*(Besatzung!$F$11:$F$22="x")*(IF(Besatzung!$C$11:$C$22="",Besatzung!$B$5,Besatzung!$C$11:$C$22)&lt;=B162)*(IF(Besatzung!$D$11:$D$22="",Besatzung!$B$6,Besatzung!$D$11:$D$22)&gt;=B162)),1)),IF(I162="An Bord",(((Besatzung!$B$22&lt;&gt;"")*IF(B162="",1,(IF(Besatzung!$C$22="",Besatzung!$B$5,Besatzung!$C$22)&lt;=B162)*(IF(Besatzung!$D$22="",Besatzung!$B$6,Besatzung!$D$22)&gt;=B162)))*((G162-IFERROR(H162,0))/IFERROR(SUMPRODUCT((Besatzung!$B$11:$B$22&lt;&gt;"")*(IF(Besatzung!$C$11:$C$22="",Besatzung!$B$5,Besatzung!$C$11:$C$22)&lt;=B162)*(IF(Besatzung!$D$11:$D$22="",Besatzung!$B$6,Besatzung!$D$11:$D$22)&gt;=B162)),1)+(Besatzung!$F$22="x")*IFERROR(H162,0)/IFERROR(SUMPRODUCT((Besatzung!$B$11:$B$22&lt;&gt;"")*(Besatzung!$F$11:$F$22="x")*(IF(Besatzung!$C$11:$C$22="",Besatzung!$B$5,Besatzung!$C$11:$C$22)&lt;=B162)*(IF(Besatzung!$D$11:$D$22="",Besatzung!$B$6,Besatzung!$D$11:$D$22)&gt;=B162)),1))),IF(I162="Individuell",((U162="x")*((G162-IFERROR(H162,0))/IFERROR(COUNTIF(J162:U162,"x"),1)+(Besatzung!$F$22="x")*IFERROR(H162,0)/IFERROR(SUMPRODUCT((J162:U162="x")*(Besatzung!$F$11:$F$22="x")),1))),(IF(COUNTIF(J162:U162,"x")=0,IF(Besatzung!$B$22&lt;&gt;"",1,0),(U162="x"))*(G162-IFERROR(H162,0))/IFERROR(IF(COUNTIF(J162:U162,"x")=0,COUNTA(Besatzung!$B$11:$B$22),COUNTIF(J162:U162,"x")),1)+IF(COUNTIF(J162:U162,"x")=0,(Besatzung!$F$22="x"),(U162="x")*(Besatzung!$F$22="x"))*IFERROR(H162,0)/IFERROR(IF(COUNTIF(J162:U162,"x")=0,SUMPRODUCT((Besatzung!$B$11:$B$22&lt;&gt;"")*(Besatzung!$F$11:$F$22="x")),SUMPRODUCT((J162:U162="x")*(Besatzung!$F$11:$F$22="x"))),1))))),0))))</f>
        <v/>
      </c>
      <c r="AH162" s="248" t="n"/>
      <c r="AI162" s="248" t="n"/>
    </row>
    <row r="163" ht="21.75" customHeight="1" s="154">
      <c r="A163" s="238">
        <f>IF(AND(D163="",C163=""),"",160)</f>
        <v/>
      </c>
      <c r="B163" s="206" t="n"/>
      <c r="C163" s="249" t="n"/>
      <c r="D163" s="250" t="n"/>
      <c r="E163" s="251" t="n"/>
      <c r="F163" s="252" t="n"/>
      <c r="G163" s="253" t="n"/>
      <c r="H163" s="254" t="n"/>
      <c r="I163" s="255" t="n"/>
      <c r="J163" s="256" t="n"/>
      <c r="K163" s="256" t="n"/>
      <c r="L163" s="256" t="n"/>
      <c r="M163" s="256" t="n"/>
      <c r="N163" s="256" t="n"/>
      <c r="O163" s="256" t="n"/>
      <c r="P163" s="256" t="n"/>
      <c r="Q163" s="256" t="n"/>
      <c r="R163" s="256" t="n"/>
      <c r="S163" s="256" t="n"/>
      <c r="T163" s="256" t="n"/>
      <c r="U163" s="256" t="n"/>
      <c r="V163" s="247">
        <f>IF(C163="Gutschrift","",IF(G163="","",IF(Besatzung!$B$11="","",IFERROR(IF(I163="Zeitanteilig",(Besatzung!$G$11*(G163-IFERROR(H163,0))+((Besatzung!$B$11&lt;&gt;"")*IF(B163="",1,(IF(Besatzung!$C$11="",Besatzung!$B$5,Besatzung!$C$11)&lt;=B163)*(IF(Besatzung!$D$11="",Besatzung!$B$6,Besatzung!$D$11)&gt;=B163)))*(Besatzung!$F$11="x")*IFERROR(H163,0)/IFERROR(SUMPRODUCT((Besatzung!$B$11:$B$22&lt;&gt;"")*(Besatzung!$F$11:$F$22="x")*(IF(Besatzung!$C$11:$C$22="",Besatzung!$B$5,Besatzung!$C$11:$C$22)&lt;=B163)*(IF(Besatzung!$D$11:$D$22="",Besatzung!$B$6,Besatzung!$D$11:$D$22)&gt;=B163)),1)),IF(I163="An Bord",(((Besatzung!$B$11&lt;&gt;"")*IF(B163="",1,(IF(Besatzung!$C$11="",Besatzung!$B$5,Besatzung!$C$11)&lt;=B163)*(IF(Besatzung!$D$11="",Besatzung!$B$6,Besatzung!$D$11)&gt;=B163)))*((G163-IFERROR(H163,0))/IFERROR(SUMPRODUCT((Besatzung!$B$11:$B$22&lt;&gt;"")*(IF(Besatzung!$C$11:$C$22="",Besatzung!$B$5,Besatzung!$C$11:$C$22)&lt;=B163)*(IF(Besatzung!$D$11:$D$22="",Besatzung!$B$6,Besatzung!$D$11:$D$22)&gt;=B163)),1)+(Besatzung!$F$11="x")*IFERROR(H163,0)/IFERROR(SUMPRODUCT((Besatzung!$B$11:$B$22&lt;&gt;"")*(Besatzung!$F$11:$F$22="x")*(IF(Besatzung!$C$11:$C$22="",Besatzung!$B$5,Besatzung!$C$11:$C$22)&lt;=B163)*(IF(Besatzung!$D$11:$D$22="",Besatzung!$B$6,Besatzung!$D$11:$D$22)&gt;=B163)),1))),IF(I163="Individuell",((J163="x")*((G163-IFERROR(H163,0))/IFERROR(COUNTIF(J163:U163,"x"),1)+(Besatzung!$F$11="x")*IFERROR(H163,0)/IFERROR(SUMPRODUCT((J163:U163="x")*(Besatzung!$F$11:$F$22="x")),1))),(IF(COUNTIF(J163:U163,"x")=0,IF(Besatzung!$B$11&lt;&gt;"",1,0),(J163="x"))*(G163-IFERROR(H163,0))/IFERROR(IF(COUNTIF(J163:U163,"x")=0,COUNTA(Besatzung!$B$11:$B$22),COUNTIF(J163:U163,"x")),1)+IF(COUNTIF(J163:U163,"x")=0,(Besatzung!$F$11="x"),(J163="x")*(Besatzung!$F$11="x"))*IFERROR(H163,0)/IFERROR(IF(COUNTIF(J163:U163,"x")=0,SUMPRODUCT((Besatzung!$B$11:$B$22&lt;&gt;"")*(Besatzung!$F$11:$F$22="x")),SUMPRODUCT((J163:U163="x")*(Besatzung!$F$11:$F$22="x"))),1))))),0))))</f>
        <v/>
      </c>
      <c r="W163" s="247">
        <f>IF(C163="Gutschrift","",IF(G163="","",IF(Besatzung!$B$12="","",IFERROR(IF(I163="Zeitanteilig",(Besatzung!$G$12*(G163-IFERROR(H163,0))+((Besatzung!$B$12&lt;&gt;"")*IF(B163="",1,(IF(Besatzung!$C$12="",Besatzung!$B$5,Besatzung!$C$12)&lt;=B163)*(IF(Besatzung!$D$12="",Besatzung!$B$6,Besatzung!$D$12)&gt;=B163)))*(Besatzung!$F$12="x")*IFERROR(H163,0)/IFERROR(SUMPRODUCT((Besatzung!$B$11:$B$22&lt;&gt;"")*(Besatzung!$F$11:$F$22="x")*(IF(Besatzung!$C$11:$C$22="",Besatzung!$B$5,Besatzung!$C$11:$C$22)&lt;=B163)*(IF(Besatzung!$D$11:$D$22="",Besatzung!$B$6,Besatzung!$D$11:$D$22)&gt;=B163)),1)),IF(I163="An Bord",(((Besatzung!$B$12&lt;&gt;"")*IF(B163="",1,(IF(Besatzung!$C$12="",Besatzung!$B$5,Besatzung!$C$12)&lt;=B163)*(IF(Besatzung!$D$12="",Besatzung!$B$6,Besatzung!$D$12)&gt;=B163)))*((G163-IFERROR(H163,0))/IFERROR(SUMPRODUCT((Besatzung!$B$11:$B$22&lt;&gt;"")*(IF(Besatzung!$C$11:$C$22="",Besatzung!$B$5,Besatzung!$C$11:$C$22)&lt;=B163)*(IF(Besatzung!$D$11:$D$22="",Besatzung!$B$6,Besatzung!$D$11:$D$22)&gt;=B163)),1)+(Besatzung!$F$12="x")*IFERROR(H163,0)/IFERROR(SUMPRODUCT((Besatzung!$B$11:$B$22&lt;&gt;"")*(Besatzung!$F$11:$F$22="x")*(IF(Besatzung!$C$11:$C$22="",Besatzung!$B$5,Besatzung!$C$11:$C$22)&lt;=B163)*(IF(Besatzung!$D$11:$D$22="",Besatzung!$B$6,Besatzung!$D$11:$D$22)&gt;=B163)),1))),IF(I163="Individuell",((K163="x")*((G163-IFERROR(H163,0))/IFERROR(COUNTIF(J163:U163,"x"),1)+(Besatzung!$F$12="x")*IFERROR(H163,0)/IFERROR(SUMPRODUCT((J163:U163="x")*(Besatzung!$F$11:$F$22="x")),1))),(IF(COUNTIF(J163:U163,"x")=0,IF(Besatzung!$B$12&lt;&gt;"",1,0),(K163="x"))*(G163-IFERROR(H163,0))/IFERROR(IF(COUNTIF(J163:U163,"x")=0,COUNTA(Besatzung!$B$11:$B$22),COUNTIF(J163:U163,"x")),1)+IF(COUNTIF(J163:U163,"x")=0,(Besatzung!$F$12="x"),(K163="x")*(Besatzung!$F$12="x"))*IFERROR(H163,0)/IFERROR(IF(COUNTIF(J163:U163,"x")=0,SUMPRODUCT((Besatzung!$B$11:$B$22&lt;&gt;"")*(Besatzung!$F$11:$F$22="x")),SUMPRODUCT((J163:U163="x")*(Besatzung!$F$11:$F$22="x"))),1))))),0))))</f>
        <v/>
      </c>
      <c r="X163" s="247">
        <f>IF(C163="Gutschrift","",IF(G163="","",IF(Besatzung!$B$13="","",IFERROR(IF(I163="Zeitanteilig",(Besatzung!$G$13*(G163-IFERROR(H163,0))+((Besatzung!$B$13&lt;&gt;"")*IF(B163="",1,(IF(Besatzung!$C$13="",Besatzung!$B$5,Besatzung!$C$13)&lt;=B163)*(IF(Besatzung!$D$13="",Besatzung!$B$6,Besatzung!$D$13)&gt;=B163)))*(Besatzung!$F$13="x")*IFERROR(H163,0)/IFERROR(SUMPRODUCT((Besatzung!$B$11:$B$22&lt;&gt;"")*(Besatzung!$F$11:$F$22="x")*(IF(Besatzung!$C$11:$C$22="",Besatzung!$B$5,Besatzung!$C$11:$C$22)&lt;=B163)*(IF(Besatzung!$D$11:$D$22="",Besatzung!$B$6,Besatzung!$D$11:$D$22)&gt;=B163)),1)),IF(I163="An Bord",(((Besatzung!$B$13&lt;&gt;"")*IF(B163="",1,(IF(Besatzung!$C$13="",Besatzung!$B$5,Besatzung!$C$13)&lt;=B163)*(IF(Besatzung!$D$13="",Besatzung!$B$6,Besatzung!$D$13)&gt;=B163)))*((G163-IFERROR(H163,0))/IFERROR(SUMPRODUCT((Besatzung!$B$11:$B$22&lt;&gt;"")*(IF(Besatzung!$C$11:$C$22="",Besatzung!$B$5,Besatzung!$C$11:$C$22)&lt;=B163)*(IF(Besatzung!$D$11:$D$22="",Besatzung!$B$6,Besatzung!$D$11:$D$22)&gt;=B163)),1)+(Besatzung!$F$13="x")*IFERROR(H163,0)/IFERROR(SUMPRODUCT((Besatzung!$B$11:$B$22&lt;&gt;"")*(Besatzung!$F$11:$F$22="x")*(IF(Besatzung!$C$11:$C$22="",Besatzung!$B$5,Besatzung!$C$11:$C$22)&lt;=B163)*(IF(Besatzung!$D$11:$D$22="",Besatzung!$B$6,Besatzung!$D$11:$D$22)&gt;=B163)),1))),IF(I163="Individuell",((K163="x")*((G163-IFERROR(H163,0))/IFERROR(COUNTIF(J163:U163,"x"),1)+(Besatzung!$F$13="x")*IFERROR(H163,0)/IFERROR(SUMPRODUCT((J163:U163="x")*(Besatzung!$F$11:$F$22="x")),1))),(IF(COUNTIF(J163:U163,"x")=0,IF(Besatzung!$B$13&lt;&gt;"",1,0),(K163="x"))*(G163-IFERROR(H163,0))/IFERROR(IF(COUNTIF(J163:U163,"x")=0,COUNTA(Besatzung!$B$11:$B$22),COUNTIF(J163:U163,"x")),1)+IF(COUNTIF(J163:U163,"x")=0,(Besatzung!$F$13="x"),(K163="x")*(Besatzung!$F$13="x"))*IFERROR(H163,0)/IFERROR(IF(COUNTIF(J163:U163,"x")=0,SUMPRODUCT((Besatzung!$B$11:$B$22&lt;&gt;"")*(Besatzung!$F$11:$F$22="x")),SUMPRODUCT((J163:U163="x")*(Besatzung!$F$11:$F$22="x"))),1))))),0))))</f>
        <v/>
      </c>
      <c r="Y163" s="247">
        <f>IF(C163="Gutschrift","",IF(G163="","",IF(Besatzung!$B$14="","",IFERROR(IF(I163="Zeitanteilig",(Besatzung!$G$14*(G163-IFERROR(H163,0))+((Besatzung!$B$14&lt;&gt;"")*IF(B163="",1,(IF(Besatzung!$C$14="",Besatzung!$B$5,Besatzung!$C$14)&lt;=B163)*(IF(Besatzung!$D$14="",Besatzung!$B$6,Besatzung!$D$14)&gt;=B163)))*(Besatzung!$F$14="x")*IFERROR(H163,0)/IFERROR(SUMPRODUCT((Besatzung!$B$11:$B$22&lt;&gt;"")*(Besatzung!$F$11:$F$22="x")*(IF(Besatzung!$C$11:$C$22="",Besatzung!$B$5,Besatzung!$C$11:$C$22)&lt;=B163)*(IF(Besatzung!$D$11:$D$22="",Besatzung!$B$6,Besatzung!$D$11:$D$22)&gt;=B163)),1)),IF(I163="An Bord",(((Besatzung!$B$14&lt;&gt;"")*IF(B163="",1,(IF(Besatzung!$C$14="",Besatzung!$B$5,Besatzung!$C$14)&lt;=B163)*(IF(Besatzung!$D$14="",Besatzung!$B$6,Besatzung!$D$14)&gt;=B163)))*((G163-IFERROR(H163,0))/IFERROR(SUMPRODUCT((Besatzung!$B$11:$B$22&lt;&gt;"")*(IF(Besatzung!$C$11:$C$22="",Besatzung!$B$5,Besatzung!$C$11:$C$22)&lt;=B163)*(IF(Besatzung!$D$11:$D$22="",Besatzung!$B$6,Besatzung!$D$11:$D$22)&gt;=B163)),1)+(Besatzung!$F$14="x")*IFERROR(H163,0)/IFERROR(SUMPRODUCT((Besatzung!$B$11:$B$22&lt;&gt;"")*(Besatzung!$F$11:$F$22="x")*(IF(Besatzung!$C$11:$C$22="",Besatzung!$B$5,Besatzung!$C$11:$C$22)&lt;=B163)*(IF(Besatzung!$D$11:$D$22="",Besatzung!$B$6,Besatzung!$D$11:$D$22)&gt;=B163)),1))),IF(I163="Individuell",((M163="x")*((G163-IFERROR(H163,0))/IFERROR(COUNTIF(J163:U163,"x"),1)+(Besatzung!$F$14="x")*IFERROR(H163,0)/IFERROR(SUMPRODUCT((J163:U163="x")*(Besatzung!$F$11:$F$22="x")),1))),(IF(COUNTIF(J163:U163,"x")=0,IF(Besatzung!$B$14&lt;&gt;"",1,0),(M163="x"))*(G163-IFERROR(H163,0))/IFERROR(IF(COUNTIF(J163:U163,"x")=0,COUNTA(Besatzung!$B$11:$B$22),COUNTIF(J163:U163,"x")),1)+IF(COUNTIF(J163:U163,"x")=0,(Besatzung!$F$14="x"),(M163="x")*(Besatzung!$F$14="x"))*IFERROR(H163,0)/IFERROR(IF(COUNTIF(J163:U163,"x")=0,SUMPRODUCT((Besatzung!$B$11:$B$22&lt;&gt;"")*(Besatzung!$F$11:$F$22="x")),SUMPRODUCT((J163:U163="x")*(Besatzung!$F$11:$F$22="x"))),1))))),0))))</f>
        <v/>
      </c>
      <c r="Z163" s="247">
        <f>IF(C163="Gutschrift","",IF(G163="","",IF(Besatzung!$B$13="","",IFERROR(IF(I163="Zeitanteilig",(Besatzung!$G$15*(G163-IFERROR(H163,0))+((Besatzung!$B$13&lt;&gt;"")*IF(B163="",1,(IF(Besatzung!$C$15="",Besatzung!$B$5,Besatzung!$C$15)&lt;=B163)*(IF(Besatzung!$D$15="",Besatzung!$B$6,Besatzung!$D$15)&gt;=B163)))*(Besatzung!$F$15="x")*IFERROR(H163,0)/IFERROR(SUMPRODUCT((Besatzung!$B$11:$B$22&lt;&gt;"")*(Besatzung!$F$11:$F$22="x")*(IF(Besatzung!$C$11:$C$22="",Besatzung!$B$5,Besatzung!$C$11:$C$22)&lt;=B163)*(IF(Besatzung!$D$11:$D$22="",Besatzung!$B$6,Besatzung!$D$11:$D$22)&gt;=B163)),1)),IF(I163="An Bord",(((Besatzung!$B$13&lt;&gt;"")*IF(B163="",1,(IF(Besatzung!$C$15="",Besatzung!$B$5,Besatzung!$C$15)&lt;=B163)*(IF(Besatzung!$D$15="",Besatzung!$B$6,Besatzung!$D$15)&gt;=B163)))*((G163-IFERROR(H163,0))/IFERROR(SUMPRODUCT((Besatzung!$B$11:$B$22&lt;&gt;"")*(IF(Besatzung!$C$11:$C$22="",Besatzung!$B$5,Besatzung!$C$11:$C$22)&lt;=B163)*(IF(Besatzung!$D$11:$D$22="",Besatzung!$B$6,Besatzung!$D$11:$D$22)&gt;=B163)),1)+(Besatzung!$F$15="x")*IFERROR(H163,0)/IFERROR(SUMPRODUCT((Besatzung!$B$11:$B$22&lt;&gt;"")*(Besatzung!$F$11:$F$22="x")*(IF(Besatzung!$C$11:$C$22="",Besatzung!$B$5,Besatzung!$C$11:$C$22)&lt;=B163)*(IF(Besatzung!$D$11:$D$22="",Besatzung!$B$6,Besatzung!$D$11:$D$22)&gt;=B163)),1))),IF(I163="Individuell",((N163="x")*((G163-IFERROR(H163,0))/IFERROR(COUNTIF(J163:U163,"x"),1)+(Besatzung!$F$15="x")*IFERROR(H163,0)/IFERROR(SUMPRODUCT((J163:U163="x")*(Besatzung!$F$11:$F$22="x")),1))),(IF(COUNTIF(J163:U163,"x")=0,IF(Besatzung!$B$13&lt;&gt;"",1,0),(N163="x"))*(G163-IFERROR(H163,0))/IFERROR(IF(COUNTIF(J163:U163,"x")=0,COUNTA(Besatzung!$B$11:$B$22),COUNTIF(J163:U163,"x")),1)+IF(COUNTIF(J163:U163,"x")=0,(Besatzung!$F$15="x"),(N163="x")*(Besatzung!$F$15="x"))*IFERROR(H163,0)/IFERROR(IF(COUNTIF(J163:U163,"x")=0,SUMPRODUCT((Besatzung!$B$11:$B$22&lt;&gt;"")*(Besatzung!$F$11:$F$22="x")),SUMPRODUCT((J163:U163="x")*(Besatzung!$F$11:$F$22="x"))),1))))),0))))</f>
        <v/>
      </c>
      <c r="AA163" s="247">
        <f>IF(C163="Gutschrift","",IF(G163="","",IF(Besatzung!$B$15="","",IFERROR(IF(I163="Zeitanteilig",(Besatzung!$G$16*(G163-IFERROR(H163,0))+((Besatzung!$B$15&lt;&gt;"")*IF(B163="",1,(IF(Besatzung!$C$16="",Besatzung!$B$5,Besatzung!$C$16)&lt;=B163)*(IF(Besatzung!$D$16="",Besatzung!$B$6,Besatzung!$D$16)&gt;=B163)))*(Besatzung!$F$16="x")*IFERROR(H163,0)/IFERROR(SUMPRODUCT((Besatzung!$B$11:$B$22&lt;&gt;"")*(Besatzung!$F$11:$F$22="x")*(IF(Besatzung!$C$11:$C$22="",Besatzung!$B$5,Besatzung!$C$11:$C$22)&lt;=B163)*(IF(Besatzung!$D$11:$D$22="",Besatzung!$B$6,Besatzung!$D$11:$D$22)&gt;=B163)),1)),IF(I163="An Bord",(((Besatzung!$B$15&lt;&gt;"")*IF(B163="",1,(IF(Besatzung!$C$16="",Besatzung!$B$5,Besatzung!$C$16)&lt;=B163)*(IF(Besatzung!$D$16="",Besatzung!$B$6,Besatzung!$D$16)&gt;=B163)))*((G163-IFERROR(H163,0))/IFERROR(SUMPRODUCT((Besatzung!$B$11:$B$22&lt;&gt;"")*(IF(Besatzung!$C$11:$C$22="",Besatzung!$B$5,Besatzung!$C$11:$C$22)&lt;=B163)*(IF(Besatzung!$D$11:$D$22="",Besatzung!$B$6,Besatzung!$D$11:$D$22)&gt;=B163)),1)+(Besatzung!$F$16="x")*IFERROR(H163,0)/IFERROR(SUMPRODUCT((Besatzung!$B$11:$B$22&lt;&gt;"")*(Besatzung!$F$11:$F$22="x")*(IF(Besatzung!$C$11:$C$22="",Besatzung!$B$5,Besatzung!$C$11:$C$22)&lt;=B163)*(IF(Besatzung!$D$11:$D$22="",Besatzung!$B$6,Besatzung!$D$11:$D$22)&gt;=B163)),1))),IF(I163="Individuell",((O163="x")*((G163-IFERROR(H163,0))/IFERROR(COUNTIF(J163:U163,"x"),1)+(Besatzung!$F$16="x")*IFERROR(H163,0)/IFERROR(SUMPRODUCT((J163:U163="x")*(Besatzung!$F$11:$F$22="x")),1))),(IF(COUNTIF(J163:U163,"x")=0,IF(Besatzung!$B$15&lt;&gt;"",1,0),(O163="x"))*(G163-IFERROR(H163,0))/IFERROR(IF(COUNTIF(J163:U163,"x")=0,COUNTA(Besatzung!$B$11:$B$22),COUNTIF(J163:U163,"x")),1)+IF(COUNTIF(J163:U163,"x")=0,(Besatzung!$F$16="x"),(O163="x")*(Besatzung!$F$16="x"))*IFERROR(H163,0)/IFERROR(IF(COUNTIF(J163:U163,"x")=0,SUMPRODUCT((Besatzung!$B$11:$B$22&lt;&gt;"")*(Besatzung!$F$11:$F$22="x")),SUMPRODUCT((J163:U163="x")*(Besatzung!$F$11:$F$22="x"))),1))))),0))))</f>
        <v/>
      </c>
      <c r="AB163" s="247">
        <f>IF(C163="Gutschrift","",IF(G163="","",IF(Besatzung!$B$17="","",IFERROR(IF(I163="Zeitanteilig",(Besatzung!$G$17*(G163-IFERROR(H163,0))+((Besatzung!$B$17&lt;&gt;"")*IF(B163="",1,(IF(Besatzung!$C$17="",Besatzung!$B$5,Besatzung!$C$17)&lt;=B163)*(IF(Besatzung!$D$17="",Besatzung!$B$6,Besatzung!$D$17)&gt;=B163)))*(Besatzung!$F$17="x")*IFERROR(H163,0)/IFERROR(SUMPRODUCT((Besatzung!$B$11:$B$22&lt;&gt;"")*(Besatzung!$F$11:$F$22="x")*(IF(Besatzung!$C$11:$C$22="",Besatzung!$B$5,Besatzung!$C$11:$C$22)&lt;=B163)*(IF(Besatzung!$D$11:$D$22="",Besatzung!$B$6,Besatzung!$D$11:$D$22)&gt;=B163)),1)),IF(I163="An Bord",(((Besatzung!$B$17&lt;&gt;"")*IF(B163="",1,(IF(Besatzung!$C$17="",Besatzung!$B$5,Besatzung!$C$17)&lt;=B163)*(IF(Besatzung!$D$17="",Besatzung!$B$6,Besatzung!$D$17)&gt;=B163)))*((G163-IFERROR(H163,0))/IFERROR(SUMPRODUCT((Besatzung!$B$11:$B$22&lt;&gt;"")*(IF(Besatzung!$C$11:$C$22="",Besatzung!$B$5,Besatzung!$C$11:$C$22)&lt;=B163)*(IF(Besatzung!$D$11:$D$22="",Besatzung!$B$6,Besatzung!$D$11:$D$22)&gt;=B163)),1)+(Besatzung!$F$17="x")*IFERROR(H163,0)/IFERROR(SUMPRODUCT((Besatzung!$B$11:$B$22&lt;&gt;"")*(Besatzung!$F$11:$F$22="x")*(IF(Besatzung!$C$11:$C$22="",Besatzung!$B$5,Besatzung!$C$11:$C$22)&lt;=B163)*(IF(Besatzung!$D$11:$D$22="",Besatzung!$B$6,Besatzung!$D$11:$D$22)&gt;=B163)),1))),IF(I163="Individuell",((P163="x")*((G163-IFERROR(H163,0))/IFERROR(COUNTIF(J163:U163,"x"),1)+(Besatzung!$F$17="x")*IFERROR(H163,0)/IFERROR(SUMPRODUCT((J163:U163="x")*(Besatzung!$F$11:$F$22="x")),1))),(IF(COUNTIF(J163:U163,"x")=0,IF(Besatzung!$B$17&lt;&gt;"",1,0),(P163="x"))*(G163-IFERROR(H163,0))/IFERROR(IF(COUNTIF(J163:U163,"x")=0,COUNTA(Besatzung!$B$11:$B$22),COUNTIF(J163:U163,"x")),1)+IF(COUNTIF(J163:U163,"x")=0,(Besatzung!$F$17="x"),(P163="x")*(Besatzung!$F$17="x"))*IFERROR(H163,0)/IFERROR(IF(COUNTIF(J163:U163,"x")=0,SUMPRODUCT((Besatzung!$B$11:$B$22&lt;&gt;"")*(Besatzung!$F$11:$F$22="x")),SUMPRODUCT((J163:U163="x")*(Besatzung!$F$11:$F$22="x"))),1))))),0))))</f>
        <v/>
      </c>
      <c r="AC163" s="247">
        <f>IF(C163="Gutschrift","",IF(G163="","",IF(Besatzung!$B$18="","",IFERROR(IF(I163="Zeitanteilig",(Besatzung!$G$18*(G163-IFERROR(H163,0))+((Besatzung!$B$18&lt;&gt;"")*IF(B163="",1,(IF(Besatzung!$C$18="",Besatzung!$B$5,Besatzung!$C$18)&lt;=B163)*(IF(Besatzung!$D$18="",Besatzung!$B$6,Besatzung!$D$18)&gt;=B163)))*(Besatzung!$F$18="x")*IFERROR(H163,0)/IFERROR(SUMPRODUCT((Besatzung!$B$11:$B$22&lt;&gt;"")*(Besatzung!$F$11:$F$22="x")*(IF(Besatzung!$C$11:$C$22="",Besatzung!$B$5,Besatzung!$C$11:$C$22)&lt;=B163)*(IF(Besatzung!$D$11:$D$22="",Besatzung!$B$6,Besatzung!$D$11:$D$22)&gt;=B163)),1)),IF(I163="An Bord",(((Besatzung!$B$18&lt;&gt;"")*IF(B163="",1,(IF(Besatzung!$C$18="",Besatzung!$B$5,Besatzung!$C$18)&lt;=B163)*(IF(Besatzung!$D$18="",Besatzung!$B$6,Besatzung!$D$18)&gt;=B163)))*((G163-IFERROR(H163,0))/IFERROR(SUMPRODUCT((Besatzung!$B$11:$B$22&lt;&gt;"")*(IF(Besatzung!$C$11:$C$22="",Besatzung!$B$5,Besatzung!$C$11:$C$22)&lt;=B163)*(IF(Besatzung!$D$11:$D$22="",Besatzung!$B$6,Besatzung!$D$11:$D$22)&gt;=B163)),1)+(Besatzung!$F$18="x")*IFERROR(H163,0)/IFERROR(SUMPRODUCT((Besatzung!$B$11:$B$22&lt;&gt;"")*(Besatzung!$F$11:$F$22="x")*(IF(Besatzung!$C$11:$C$22="",Besatzung!$B$5,Besatzung!$C$11:$C$22)&lt;=B163)*(IF(Besatzung!$D$11:$D$22="",Besatzung!$B$6,Besatzung!$D$11:$D$22)&gt;=B163)),1))),IF(I163="Individuell",((Q163="x")*((G163-IFERROR(H163,0))/IFERROR(COUNTIF(J163:U163,"x"),1)+(Besatzung!$F$18="x")*IFERROR(H163,0)/IFERROR(SUMPRODUCT((J163:U163="x")*(Besatzung!$F$11:$F$22="x")),1))),(IF(COUNTIF(J163:U163,"x")=0,IF(Besatzung!$B$18&lt;&gt;"",1,0),(Q163="x"))*(G163-IFERROR(H163,0))/IFERROR(IF(COUNTIF(J163:U163,"x")=0,COUNTA(Besatzung!$B$11:$B$22),COUNTIF(J163:U163,"x")),1)+IF(COUNTIF(J163:U163,"x")=0,(Besatzung!$F$18="x"),(Q163="x")*(Besatzung!$F$18="x"))*IFERROR(H163,0)/IFERROR(IF(COUNTIF(J163:U163,"x")=0,SUMPRODUCT((Besatzung!$B$11:$B$22&lt;&gt;"")*(Besatzung!$F$11:$F$22="x")),SUMPRODUCT((J163:U163="x")*(Besatzung!$F$11:$F$22="x"))),1))))),0))))</f>
        <v/>
      </c>
      <c r="AD163" s="247">
        <f>IF(C163="Gutschrift","",IF(G163="","",IF(Besatzung!$B$19="","",IFERROR(IF(I163="Zeitanteilig",(Besatzung!$G$19*(G163-IFERROR(H163,0))+((Besatzung!$B$19&lt;&gt;"")*IF(B163="",1,(IF(Besatzung!$C$19="",Besatzung!$B$5,Besatzung!$C$19)&lt;=B163)*(IF(Besatzung!$D$19="",Besatzung!$B$6,Besatzung!$D$19)&gt;=B163)))*(Besatzung!$F$19="x")*IFERROR(H163,0)/IFERROR(SUMPRODUCT((Besatzung!$B$11:$B$22&lt;&gt;"")*(Besatzung!$F$11:$F$22="x")*(IF(Besatzung!$C$11:$C$22="",Besatzung!$B$5,Besatzung!$C$11:$C$22)&lt;=B163)*(IF(Besatzung!$D$11:$D$22="",Besatzung!$B$6,Besatzung!$D$11:$D$22)&gt;=B163)),1)),IF(I163="An Bord",(((Besatzung!$B$19&lt;&gt;"")*IF(B163="",1,(IF(Besatzung!$C$19="",Besatzung!$B$5,Besatzung!$C$19)&lt;=B163)*(IF(Besatzung!$D$19="",Besatzung!$B$6,Besatzung!$D$19)&gt;=B163)))*((G163-IFERROR(H163,0))/IFERROR(SUMPRODUCT((Besatzung!$B$11:$B$22&lt;&gt;"")*(IF(Besatzung!$C$11:$C$22="",Besatzung!$B$5,Besatzung!$C$11:$C$22)&lt;=B163)*(IF(Besatzung!$D$11:$D$22="",Besatzung!$B$6,Besatzung!$D$11:$D$22)&gt;=B163)),1)+(Besatzung!$F$19="x")*IFERROR(H163,0)/IFERROR(SUMPRODUCT((Besatzung!$B$11:$B$22&lt;&gt;"")*(Besatzung!$F$11:$F$22="x")*(IF(Besatzung!$C$11:$C$22="",Besatzung!$B$5,Besatzung!$C$11:$C$22)&lt;=B163)*(IF(Besatzung!$D$11:$D$22="",Besatzung!$B$6,Besatzung!$D$11:$D$22)&gt;=B163)),1))),IF(I163="Individuell",((R163="x")*((G163-IFERROR(H163,0))/IFERROR(COUNTIF(J163:U163,"x"),1)+(Besatzung!$F$19="x")*IFERROR(H163,0)/IFERROR(SUMPRODUCT((J163:U163="x")*(Besatzung!$F$11:$F$22="x")),1))),(IF(COUNTIF(J163:U163,"x")=0,IF(Besatzung!$B$19&lt;&gt;"",1,0),(R163="x"))*(G163-IFERROR(H163,0))/IFERROR(IF(COUNTIF(J163:U163,"x")=0,COUNTA(Besatzung!$B$11:$B$22),COUNTIF(J163:U163,"x")),1)+IF(COUNTIF(J163:U163,"x")=0,(Besatzung!$F$19="x"),(R163="x")*(Besatzung!$F$19="x"))*IFERROR(H163,0)/IFERROR(IF(COUNTIF(J163:U163,"x")=0,SUMPRODUCT((Besatzung!$B$11:$B$22&lt;&gt;"")*(Besatzung!$F$11:$F$22="x")),SUMPRODUCT((J163:U163="x")*(Besatzung!$F$11:$F$22="x"))),1))))),0))))</f>
        <v/>
      </c>
      <c r="AE163" s="247">
        <f>IF(C163="Gutschrift","",IF(G163="","",IF(Besatzung!$B$20="","",IFERROR(IF(I163="Zeitanteilig",(Besatzung!$G$20*(G163-IFERROR(H163,0))+((Besatzung!$B$20&lt;&gt;"")*IF(B163="",1,(IF(Besatzung!$C$20="",Besatzung!$B$5,Besatzung!$C$20)&lt;=B163)*(IF(Besatzung!$D$20="",Besatzung!$B$6,Besatzung!$D$20)&gt;=B163)))*(Besatzung!$F$20="x")*IFERROR(H163,0)/IFERROR(SUMPRODUCT((Besatzung!$B$11:$B$22&lt;&gt;"")*(Besatzung!$F$11:$F$22="x")*(IF(Besatzung!$C$11:$C$22="",Besatzung!$B$5,Besatzung!$C$11:$C$22)&lt;=B163)*(IF(Besatzung!$D$11:$D$22="",Besatzung!$B$6,Besatzung!$D$11:$D$22)&gt;=B163)),1)),IF(I163="An Bord",(((Besatzung!$B$20&lt;&gt;"")*IF(B163="",1,(IF(Besatzung!$C$20="",Besatzung!$B$5,Besatzung!$C$20)&lt;=B163)*(IF(Besatzung!$D$20="",Besatzung!$B$6,Besatzung!$D$20)&gt;=B163)))*((G163-IFERROR(H163,0))/IFERROR(SUMPRODUCT((Besatzung!$B$11:$B$22&lt;&gt;"")*(IF(Besatzung!$C$11:$C$22="",Besatzung!$B$5,Besatzung!$C$11:$C$22)&lt;=B163)*(IF(Besatzung!$D$11:$D$22="",Besatzung!$B$6,Besatzung!$D$11:$D$22)&gt;=B163)),1)+(Besatzung!$F$20="x")*IFERROR(H163,0)/IFERROR(SUMPRODUCT((Besatzung!$B$11:$B$22&lt;&gt;"")*(Besatzung!$F$11:$F$22="x")*(IF(Besatzung!$C$11:$C$22="",Besatzung!$B$5,Besatzung!$C$11:$C$22)&lt;=B163)*(IF(Besatzung!$D$11:$D$22="",Besatzung!$B$6,Besatzung!$D$11:$D$22)&gt;=B163)),1))),IF(I163="Individuell",((S163="x")*((G163-IFERROR(H163,0))/IFERROR(COUNTIF(J163:U163,"x"),1)+(Besatzung!$F$20="x")*IFERROR(H163,0)/IFERROR(SUMPRODUCT((J163:U163="x")*(Besatzung!$F$11:$F$22="x")),1))),(IF(COUNTIF(J163:U163,"x")=0,IF(Besatzung!$B$20&lt;&gt;"",1,0),(S163="x"))*(G163-IFERROR(H163,0))/IFERROR(IF(COUNTIF(J163:U163,"x")=0,COUNTA(Besatzung!$B$11:$B$22),COUNTIF(J163:U163,"x")),1)+IF(COUNTIF(J163:U163,"x")=0,(Besatzung!$F$20="x"),(S163="x")*(Besatzung!$F$20="x"))*IFERROR(H163,0)/IFERROR(IF(COUNTIF(J163:U163,"x")=0,SUMPRODUCT((Besatzung!$B$11:$B$22&lt;&gt;"")*(Besatzung!$F$11:$F$22="x")),SUMPRODUCT((J163:U163="x")*(Besatzung!$F$11:$F$22="x"))),1))))),0))))</f>
        <v/>
      </c>
      <c r="AF163" s="247">
        <f>IF(C163="Gutschrift","",IF(G163="","",IF(Besatzung!$B$21="","",IFERROR(IF(I163="Zeitanteilig",(Besatzung!$G$21*(G163-IFERROR(H163,0))+((Besatzung!$B$21&lt;&gt;"")*IF(B163="",1,(IF(Besatzung!$C$21="",Besatzung!$B$5,Besatzung!$C$21)&lt;=B163)*(IF(Besatzung!$D$21="",Besatzung!$B$6,Besatzung!$D$21)&gt;=B163)))*(Besatzung!$F$21="x")*IFERROR(H163,0)/IFERROR(SUMPRODUCT((Besatzung!$B$11:$B$22&lt;&gt;"")*(Besatzung!$F$11:$F$22="x")*(IF(Besatzung!$C$11:$C$22="",Besatzung!$B$5,Besatzung!$C$11:$C$22)&lt;=B163)*(IF(Besatzung!$D$11:$D$22="",Besatzung!$B$6,Besatzung!$D$11:$D$22)&gt;=B163)),1)),IF(I163="An Bord",(((Besatzung!$B$21&lt;&gt;"")*IF(B163="",1,(IF(Besatzung!$C$21="",Besatzung!$B$5,Besatzung!$C$21)&lt;=B163)*(IF(Besatzung!$D$21="",Besatzung!$B$6,Besatzung!$D$21)&gt;=B163)))*((G163-IFERROR(H163,0))/IFERROR(SUMPRODUCT((Besatzung!$B$11:$B$22&lt;&gt;"")*(IF(Besatzung!$C$11:$C$22="",Besatzung!$B$5,Besatzung!$C$11:$C$22)&lt;=B163)*(IF(Besatzung!$D$11:$D$22="",Besatzung!$B$6,Besatzung!$D$11:$D$22)&gt;=B163)),1)+(Besatzung!$F$21="x")*IFERROR(H163,0)/IFERROR(SUMPRODUCT((Besatzung!$B$11:$B$22&lt;&gt;"")*(Besatzung!$F$11:$F$22="x")*(IF(Besatzung!$C$11:$C$22="",Besatzung!$B$5,Besatzung!$C$11:$C$22)&lt;=B163)*(IF(Besatzung!$D$11:$D$22="",Besatzung!$B$6,Besatzung!$D$11:$D$22)&gt;=B163)),1))),IF(I163="Individuell",((T163="x")*((G163-IFERROR(H163,0))/IFERROR(COUNTIF(J163:U163,"x"),1)+(Besatzung!$F$21="x")*IFERROR(H163,0)/IFERROR(SUMPRODUCT((J163:U163="x")*(Besatzung!$F$11:$F$22="x")),1))),(IF(COUNTIF(J163:U163,"x")=0,IF(Besatzung!$B$21&lt;&gt;"",1,0),(T163="x"))*(G163-IFERROR(H163,0))/IFERROR(IF(COUNTIF(J163:U163,"x")=0,COUNTA(Besatzung!$B$11:$B$22),COUNTIF(J163:U163,"x")),1)+IF(COUNTIF(J163:U163,"x")=0,(Besatzung!$F$21="x"),(T163="x")*(Besatzung!$F$21="x"))*IFERROR(H163,0)/IFERROR(IF(COUNTIF(J163:U163,"x")=0,SUMPRODUCT((Besatzung!$B$11:$B$22&lt;&gt;"")*(Besatzung!$F$11:$F$22="x")),SUMPRODUCT((J163:U163="x")*(Besatzung!$F$11:$F$22="x"))),1))))),0))))</f>
        <v/>
      </c>
      <c r="AG163" s="247">
        <f>IF(C163="Gutschrift","",IF(G163="","",IF(Besatzung!$B$22="","",IFERROR(IF(I163="Zeitanteilig",(Besatzung!$G$22*(G163-IFERROR(H163,0))+((Besatzung!$B$22&lt;&gt;"")*IF(B163="",1,(IF(Besatzung!$C$22="",Besatzung!$B$5,Besatzung!$C$22)&lt;=B163)*(IF(Besatzung!$D$22="",Besatzung!$B$6,Besatzung!$D$22)&gt;=B163)))*(Besatzung!$F$22="x")*IFERROR(H163,0)/IFERROR(SUMPRODUCT((Besatzung!$B$11:$B$22&lt;&gt;"")*(Besatzung!$F$11:$F$22="x")*(IF(Besatzung!$C$11:$C$22="",Besatzung!$B$5,Besatzung!$C$11:$C$22)&lt;=B163)*(IF(Besatzung!$D$11:$D$22="",Besatzung!$B$6,Besatzung!$D$11:$D$22)&gt;=B163)),1)),IF(I163="An Bord",(((Besatzung!$B$22&lt;&gt;"")*IF(B163="",1,(IF(Besatzung!$C$22="",Besatzung!$B$5,Besatzung!$C$22)&lt;=B163)*(IF(Besatzung!$D$22="",Besatzung!$B$6,Besatzung!$D$22)&gt;=B163)))*((G163-IFERROR(H163,0))/IFERROR(SUMPRODUCT((Besatzung!$B$11:$B$22&lt;&gt;"")*(IF(Besatzung!$C$11:$C$22="",Besatzung!$B$5,Besatzung!$C$11:$C$22)&lt;=B163)*(IF(Besatzung!$D$11:$D$22="",Besatzung!$B$6,Besatzung!$D$11:$D$22)&gt;=B163)),1)+(Besatzung!$F$22="x")*IFERROR(H163,0)/IFERROR(SUMPRODUCT((Besatzung!$B$11:$B$22&lt;&gt;"")*(Besatzung!$F$11:$F$22="x")*(IF(Besatzung!$C$11:$C$22="",Besatzung!$B$5,Besatzung!$C$11:$C$22)&lt;=B163)*(IF(Besatzung!$D$11:$D$22="",Besatzung!$B$6,Besatzung!$D$11:$D$22)&gt;=B163)),1))),IF(I163="Individuell",((U163="x")*((G163-IFERROR(H163,0))/IFERROR(COUNTIF(J163:U163,"x"),1)+(Besatzung!$F$22="x")*IFERROR(H163,0)/IFERROR(SUMPRODUCT((J163:U163="x")*(Besatzung!$F$11:$F$22="x")),1))),(IF(COUNTIF(J163:U163,"x")=0,IF(Besatzung!$B$22&lt;&gt;"",1,0),(U163="x"))*(G163-IFERROR(H163,0))/IFERROR(IF(COUNTIF(J163:U163,"x")=0,COUNTA(Besatzung!$B$11:$B$22),COUNTIF(J163:U163,"x")),1)+IF(COUNTIF(J163:U163,"x")=0,(Besatzung!$F$22="x"),(U163="x")*(Besatzung!$F$22="x"))*IFERROR(H163,0)/IFERROR(IF(COUNTIF(J163:U163,"x")=0,SUMPRODUCT((Besatzung!$B$11:$B$22&lt;&gt;"")*(Besatzung!$F$11:$F$22="x")),SUMPRODUCT((J163:U163="x")*(Besatzung!$F$11:$F$22="x"))),1))))),0))))</f>
        <v/>
      </c>
      <c r="AH163" s="248" t="n"/>
      <c r="AI163" s="248" t="n"/>
    </row>
    <row r="164" ht="21.75" customHeight="1" s="154">
      <c r="A164" s="238">
        <f>IF(AND(D164="",C164=""),"",161)</f>
        <v/>
      </c>
      <c r="B164" s="199" t="n"/>
      <c r="C164" s="239" t="n"/>
      <c r="D164" s="240" t="n"/>
      <c r="E164" s="241" t="n"/>
      <c r="F164" s="242" t="n"/>
      <c r="G164" s="243" t="n"/>
      <c r="H164" s="244" t="n"/>
      <c r="I164" s="245" t="n"/>
      <c r="J164" s="246" t="n"/>
      <c r="K164" s="246" t="n"/>
      <c r="L164" s="246" t="n"/>
      <c r="M164" s="246" t="n"/>
      <c r="N164" s="246" t="n"/>
      <c r="O164" s="246" t="n"/>
      <c r="P164" s="246" t="n"/>
      <c r="Q164" s="246" t="n"/>
      <c r="R164" s="246" t="n"/>
      <c r="S164" s="246" t="n"/>
      <c r="T164" s="246" t="n"/>
      <c r="U164" s="246" t="n"/>
      <c r="V164" s="247">
        <f>IF(C164="Gutschrift","",IF(G164="","",IF(Besatzung!$B$11="","",IFERROR(IF(I164="Zeitanteilig",(Besatzung!$G$11*(G164-IFERROR(H164,0))+((Besatzung!$B$11&lt;&gt;"")*IF(B164="",1,(IF(Besatzung!$C$11="",Besatzung!$B$5,Besatzung!$C$11)&lt;=B164)*(IF(Besatzung!$D$11="",Besatzung!$B$6,Besatzung!$D$11)&gt;=B164)))*(Besatzung!$F$11="x")*IFERROR(H164,0)/IFERROR(SUMPRODUCT((Besatzung!$B$11:$B$22&lt;&gt;"")*(Besatzung!$F$11:$F$22="x")*(IF(Besatzung!$C$11:$C$22="",Besatzung!$B$5,Besatzung!$C$11:$C$22)&lt;=B164)*(IF(Besatzung!$D$11:$D$22="",Besatzung!$B$6,Besatzung!$D$11:$D$22)&gt;=B164)),1)),IF(I164="An Bord",(((Besatzung!$B$11&lt;&gt;"")*IF(B164="",1,(IF(Besatzung!$C$11="",Besatzung!$B$5,Besatzung!$C$11)&lt;=B164)*(IF(Besatzung!$D$11="",Besatzung!$B$6,Besatzung!$D$11)&gt;=B164)))*((G164-IFERROR(H164,0))/IFERROR(SUMPRODUCT((Besatzung!$B$11:$B$22&lt;&gt;"")*(IF(Besatzung!$C$11:$C$22="",Besatzung!$B$5,Besatzung!$C$11:$C$22)&lt;=B164)*(IF(Besatzung!$D$11:$D$22="",Besatzung!$B$6,Besatzung!$D$11:$D$22)&gt;=B164)),1)+(Besatzung!$F$11="x")*IFERROR(H164,0)/IFERROR(SUMPRODUCT((Besatzung!$B$11:$B$22&lt;&gt;"")*(Besatzung!$F$11:$F$22="x")*(IF(Besatzung!$C$11:$C$22="",Besatzung!$B$5,Besatzung!$C$11:$C$22)&lt;=B164)*(IF(Besatzung!$D$11:$D$22="",Besatzung!$B$6,Besatzung!$D$11:$D$22)&gt;=B164)),1))),IF(I164="Individuell",((J164="x")*((G164-IFERROR(H164,0))/IFERROR(COUNTIF(J164:U164,"x"),1)+(Besatzung!$F$11="x")*IFERROR(H164,0)/IFERROR(SUMPRODUCT((J164:U164="x")*(Besatzung!$F$11:$F$22="x")),1))),(IF(COUNTIF(J164:U164,"x")=0,IF(Besatzung!$B$11&lt;&gt;"",1,0),(J164="x"))*(G164-IFERROR(H164,0))/IFERROR(IF(COUNTIF(J164:U164,"x")=0,COUNTA(Besatzung!$B$11:$B$22),COUNTIF(J164:U164,"x")),1)+IF(COUNTIF(J164:U164,"x")=0,(Besatzung!$F$11="x"),(J164="x")*(Besatzung!$F$11="x"))*IFERROR(H164,0)/IFERROR(IF(COUNTIF(J164:U164,"x")=0,SUMPRODUCT((Besatzung!$B$11:$B$22&lt;&gt;"")*(Besatzung!$F$11:$F$22="x")),SUMPRODUCT((J164:U164="x")*(Besatzung!$F$11:$F$22="x"))),1))))),0))))</f>
        <v/>
      </c>
      <c r="W164" s="247">
        <f>IF(C164="Gutschrift","",IF(G164="","",IF(Besatzung!$B$12="","",IFERROR(IF(I164="Zeitanteilig",(Besatzung!$G$12*(G164-IFERROR(H164,0))+((Besatzung!$B$12&lt;&gt;"")*IF(B164="",1,(IF(Besatzung!$C$12="",Besatzung!$B$5,Besatzung!$C$12)&lt;=B164)*(IF(Besatzung!$D$12="",Besatzung!$B$6,Besatzung!$D$12)&gt;=B164)))*(Besatzung!$F$12="x")*IFERROR(H164,0)/IFERROR(SUMPRODUCT((Besatzung!$B$11:$B$22&lt;&gt;"")*(Besatzung!$F$11:$F$22="x")*(IF(Besatzung!$C$11:$C$22="",Besatzung!$B$5,Besatzung!$C$11:$C$22)&lt;=B164)*(IF(Besatzung!$D$11:$D$22="",Besatzung!$B$6,Besatzung!$D$11:$D$22)&gt;=B164)),1)),IF(I164="An Bord",(((Besatzung!$B$12&lt;&gt;"")*IF(B164="",1,(IF(Besatzung!$C$12="",Besatzung!$B$5,Besatzung!$C$12)&lt;=B164)*(IF(Besatzung!$D$12="",Besatzung!$B$6,Besatzung!$D$12)&gt;=B164)))*((G164-IFERROR(H164,0))/IFERROR(SUMPRODUCT((Besatzung!$B$11:$B$22&lt;&gt;"")*(IF(Besatzung!$C$11:$C$22="",Besatzung!$B$5,Besatzung!$C$11:$C$22)&lt;=B164)*(IF(Besatzung!$D$11:$D$22="",Besatzung!$B$6,Besatzung!$D$11:$D$22)&gt;=B164)),1)+(Besatzung!$F$12="x")*IFERROR(H164,0)/IFERROR(SUMPRODUCT((Besatzung!$B$11:$B$22&lt;&gt;"")*(Besatzung!$F$11:$F$22="x")*(IF(Besatzung!$C$11:$C$22="",Besatzung!$B$5,Besatzung!$C$11:$C$22)&lt;=B164)*(IF(Besatzung!$D$11:$D$22="",Besatzung!$B$6,Besatzung!$D$11:$D$22)&gt;=B164)),1))),IF(I164="Individuell",((K164="x")*((G164-IFERROR(H164,0))/IFERROR(COUNTIF(J164:U164,"x"),1)+(Besatzung!$F$12="x")*IFERROR(H164,0)/IFERROR(SUMPRODUCT((J164:U164="x")*(Besatzung!$F$11:$F$22="x")),1))),(IF(COUNTIF(J164:U164,"x")=0,IF(Besatzung!$B$12&lt;&gt;"",1,0),(K164="x"))*(G164-IFERROR(H164,0))/IFERROR(IF(COUNTIF(J164:U164,"x")=0,COUNTA(Besatzung!$B$11:$B$22),COUNTIF(J164:U164,"x")),1)+IF(COUNTIF(J164:U164,"x")=0,(Besatzung!$F$12="x"),(K164="x")*(Besatzung!$F$12="x"))*IFERROR(H164,0)/IFERROR(IF(COUNTIF(J164:U164,"x")=0,SUMPRODUCT((Besatzung!$B$11:$B$22&lt;&gt;"")*(Besatzung!$F$11:$F$22="x")),SUMPRODUCT((J164:U164="x")*(Besatzung!$F$11:$F$22="x"))),1))))),0))))</f>
        <v/>
      </c>
      <c r="X164" s="247">
        <f>IF(C164="Gutschrift","",IF(G164="","",IF(Besatzung!$B$13="","",IFERROR(IF(I164="Zeitanteilig",(Besatzung!$G$13*(G164-IFERROR(H164,0))+((Besatzung!$B$13&lt;&gt;"")*IF(B164="",1,(IF(Besatzung!$C$13="",Besatzung!$B$5,Besatzung!$C$13)&lt;=B164)*(IF(Besatzung!$D$13="",Besatzung!$B$6,Besatzung!$D$13)&gt;=B164)))*(Besatzung!$F$13="x")*IFERROR(H164,0)/IFERROR(SUMPRODUCT((Besatzung!$B$11:$B$22&lt;&gt;"")*(Besatzung!$F$11:$F$22="x")*(IF(Besatzung!$C$11:$C$22="",Besatzung!$B$5,Besatzung!$C$11:$C$22)&lt;=B164)*(IF(Besatzung!$D$11:$D$22="",Besatzung!$B$6,Besatzung!$D$11:$D$22)&gt;=B164)),1)),IF(I164="An Bord",(((Besatzung!$B$13&lt;&gt;"")*IF(B164="",1,(IF(Besatzung!$C$13="",Besatzung!$B$5,Besatzung!$C$13)&lt;=B164)*(IF(Besatzung!$D$13="",Besatzung!$B$6,Besatzung!$D$13)&gt;=B164)))*((G164-IFERROR(H164,0))/IFERROR(SUMPRODUCT((Besatzung!$B$11:$B$22&lt;&gt;"")*(IF(Besatzung!$C$11:$C$22="",Besatzung!$B$5,Besatzung!$C$11:$C$22)&lt;=B164)*(IF(Besatzung!$D$11:$D$22="",Besatzung!$B$6,Besatzung!$D$11:$D$22)&gt;=B164)),1)+(Besatzung!$F$13="x")*IFERROR(H164,0)/IFERROR(SUMPRODUCT((Besatzung!$B$11:$B$22&lt;&gt;"")*(Besatzung!$F$11:$F$22="x")*(IF(Besatzung!$C$11:$C$22="",Besatzung!$B$5,Besatzung!$C$11:$C$22)&lt;=B164)*(IF(Besatzung!$D$11:$D$22="",Besatzung!$B$6,Besatzung!$D$11:$D$22)&gt;=B164)),1))),IF(I164="Individuell",((K164="x")*((G164-IFERROR(H164,0))/IFERROR(COUNTIF(J164:U164,"x"),1)+(Besatzung!$F$13="x")*IFERROR(H164,0)/IFERROR(SUMPRODUCT((J164:U164="x")*(Besatzung!$F$11:$F$22="x")),1))),(IF(COUNTIF(J164:U164,"x")=0,IF(Besatzung!$B$13&lt;&gt;"",1,0),(K164="x"))*(G164-IFERROR(H164,0))/IFERROR(IF(COUNTIF(J164:U164,"x")=0,COUNTA(Besatzung!$B$11:$B$22),COUNTIF(J164:U164,"x")),1)+IF(COUNTIF(J164:U164,"x")=0,(Besatzung!$F$13="x"),(K164="x")*(Besatzung!$F$13="x"))*IFERROR(H164,0)/IFERROR(IF(COUNTIF(J164:U164,"x")=0,SUMPRODUCT((Besatzung!$B$11:$B$22&lt;&gt;"")*(Besatzung!$F$11:$F$22="x")),SUMPRODUCT((J164:U164="x")*(Besatzung!$F$11:$F$22="x"))),1))))),0))))</f>
        <v/>
      </c>
      <c r="Y164" s="247">
        <f>IF(C164="Gutschrift","",IF(G164="","",IF(Besatzung!$B$14="","",IFERROR(IF(I164="Zeitanteilig",(Besatzung!$G$14*(G164-IFERROR(H164,0))+((Besatzung!$B$14&lt;&gt;"")*IF(B164="",1,(IF(Besatzung!$C$14="",Besatzung!$B$5,Besatzung!$C$14)&lt;=B164)*(IF(Besatzung!$D$14="",Besatzung!$B$6,Besatzung!$D$14)&gt;=B164)))*(Besatzung!$F$14="x")*IFERROR(H164,0)/IFERROR(SUMPRODUCT((Besatzung!$B$11:$B$22&lt;&gt;"")*(Besatzung!$F$11:$F$22="x")*(IF(Besatzung!$C$11:$C$22="",Besatzung!$B$5,Besatzung!$C$11:$C$22)&lt;=B164)*(IF(Besatzung!$D$11:$D$22="",Besatzung!$B$6,Besatzung!$D$11:$D$22)&gt;=B164)),1)),IF(I164="An Bord",(((Besatzung!$B$14&lt;&gt;"")*IF(B164="",1,(IF(Besatzung!$C$14="",Besatzung!$B$5,Besatzung!$C$14)&lt;=B164)*(IF(Besatzung!$D$14="",Besatzung!$B$6,Besatzung!$D$14)&gt;=B164)))*((G164-IFERROR(H164,0))/IFERROR(SUMPRODUCT((Besatzung!$B$11:$B$22&lt;&gt;"")*(IF(Besatzung!$C$11:$C$22="",Besatzung!$B$5,Besatzung!$C$11:$C$22)&lt;=B164)*(IF(Besatzung!$D$11:$D$22="",Besatzung!$B$6,Besatzung!$D$11:$D$22)&gt;=B164)),1)+(Besatzung!$F$14="x")*IFERROR(H164,0)/IFERROR(SUMPRODUCT((Besatzung!$B$11:$B$22&lt;&gt;"")*(Besatzung!$F$11:$F$22="x")*(IF(Besatzung!$C$11:$C$22="",Besatzung!$B$5,Besatzung!$C$11:$C$22)&lt;=B164)*(IF(Besatzung!$D$11:$D$22="",Besatzung!$B$6,Besatzung!$D$11:$D$22)&gt;=B164)),1))),IF(I164="Individuell",((M164="x")*((G164-IFERROR(H164,0))/IFERROR(COUNTIF(J164:U164,"x"),1)+(Besatzung!$F$14="x")*IFERROR(H164,0)/IFERROR(SUMPRODUCT((J164:U164="x")*(Besatzung!$F$11:$F$22="x")),1))),(IF(COUNTIF(J164:U164,"x")=0,IF(Besatzung!$B$14&lt;&gt;"",1,0),(M164="x"))*(G164-IFERROR(H164,0))/IFERROR(IF(COUNTIF(J164:U164,"x")=0,COUNTA(Besatzung!$B$11:$B$22),COUNTIF(J164:U164,"x")),1)+IF(COUNTIF(J164:U164,"x")=0,(Besatzung!$F$14="x"),(M164="x")*(Besatzung!$F$14="x"))*IFERROR(H164,0)/IFERROR(IF(COUNTIF(J164:U164,"x")=0,SUMPRODUCT((Besatzung!$B$11:$B$22&lt;&gt;"")*(Besatzung!$F$11:$F$22="x")),SUMPRODUCT((J164:U164="x")*(Besatzung!$F$11:$F$22="x"))),1))))),0))))</f>
        <v/>
      </c>
      <c r="Z164" s="247">
        <f>IF(C164="Gutschrift","",IF(G164="","",IF(Besatzung!$B$13="","",IFERROR(IF(I164="Zeitanteilig",(Besatzung!$G$15*(G164-IFERROR(H164,0))+((Besatzung!$B$13&lt;&gt;"")*IF(B164="",1,(IF(Besatzung!$C$15="",Besatzung!$B$5,Besatzung!$C$15)&lt;=B164)*(IF(Besatzung!$D$15="",Besatzung!$B$6,Besatzung!$D$15)&gt;=B164)))*(Besatzung!$F$15="x")*IFERROR(H164,0)/IFERROR(SUMPRODUCT((Besatzung!$B$11:$B$22&lt;&gt;"")*(Besatzung!$F$11:$F$22="x")*(IF(Besatzung!$C$11:$C$22="",Besatzung!$B$5,Besatzung!$C$11:$C$22)&lt;=B164)*(IF(Besatzung!$D$11:$D$22="",Besatzung!$B$6,Besatzung!$D$11:$D$22)&gt;=B164)),1)),IF(I164="An Bord",(((Besatzung!$B$13&lt;&gt;"")*IF(B164="",1,(IF(Besatzung!$C$15="",Besatzung!$B$5,Besatzung!$C$15)&lt;=B164)*(IF(Besatzung!$D$15="",Besatzung!$B$6,Besatzung!$D$15)&gt;=B164)))*((G164-IFERROR(H164,0))/IFERROR(SUMPRODUCT((Besatzung!$B$11:$B$22&lt;&gt;"")*(IF(Besatzung!$C$11:$C$22="",Besatzung!$B$5,Besatzung!$C$11:$C$22)&lt;=B164)*(IF(Besatzung!$D$11:$D$22="",Besatzung!$B$6,Besatzung!$D$11:$D$22)&gt;=B164)),1)+(Besatzung!$F$15="x")*IFERROR(H164,0)/IFERROR(SUMPRODUCT((Besatzung!$B$11:$B$22&lt;&gt;"")*(Besatzung!$F$11:$F$22="x")*(IF(Besatzung!$C$11:$C$22="",Besatzung!$B$5,Besatzung!$C$11:$C$22)&lt;=B164)*(IF(Besatzung!$D$11:$D$22="",Besatzung!$B$6,Besatzung!$D$11:$D$22)&gt;=B164)),1))),IF(I164="Individuell",((N164="x")*((G164-IFERROR(H164,0))/IFERROR(COUNTIF(J164:U164,"x"),1)+(Besatzung!$F$15="x")*IFERROR(H164,0)/IFERROR(SUMPRODUCT((J164:U164="x")*(Besatzung!$F$11:$F$22="x")),1))),(IF(COUNTIF(J164:U164,"x")=0,IF(Besatzung!$B$13&lt;&gt;"",1,0),(N164="x"))*(G164-IFERROR(H164,0))/IFERROR(IF(COUNTIF(J164:U164,"x")=0,COUNTA(Besatzung!$B$11:$B$22),COUNTIF(J164:U164,"x")),1)+IF(COUNTIF(J164:U164,"x")=0,(Besatzung!$F$15="x"),(N164="x")*(Besatzung!$F$15="x"))*IFERROR(H164,0)/IFERROR(IF(COUNTIF(J164:U164,"x")=0,SUMPRODUCT((Besatzung!$B$11:$B$22&lt;&gt;"")*(Besatzung!$F$11:$F$22="x")),SUMPRODUCT((J164:U164="x")*(Besatzung!$F$11:$F$22="x"))),1))))),0))))</f>
        <v/>
      </c>
      <c r="AA164" s="247">
        <f>IF(C164="Gutschrift","",IF(G164="","",IF(Besatzung!$B$15="","",IFERROR(IF(I164="Zeitanteilig",(Besatzung!$G$16*(G164-IFERROR(H164,0))+((Besatzung!$B$15&lt;&gt;"")*IF(B164="",1,(IF(Besatzung!$C$16="",Besatzung!$B$5,Besatzung!$C$16)&lt;=B164)*(IF(Besatzung!$D$16="",Besatzung!$B$6,Besatzung!$D$16)&gt;=B164)))*(Besatzung!$F$16="x")*IFERROR(H164,0)/IFERROR(SUMPRODUCT((Besatzung!$B$11:$B$22&lt;&gt;"")*(Besatzung!$F$11:$F$22="x")*(IF(Besatzung!$C$11:$C$22="",Besatzung!$B$5,Besatzung!$C$11:$C$22)&lt;=B164)*(IF(Besatzung!$D$11:$D$22="",Besatzung!$B$6,Besatzung!$D$11:$D$22)&gt;=B164)),1)),IF(I164="An Bord",(((Besatzung!$B$15&lt;&gt;"")*IF(B164="",1,(IF(Besatzung!$C$16="",Besatzung!$B$5,Besatzung!$C$16)&lt;=B164)*(IF(Besatzung!$D$16="",Besatzung!$B$6,Besatzung!$D$16)&gt;=B164)))*((G164-IFERROR(H164,0))/IFERROR(SUMPRODUCT((Besatzung!$B$11:$B$22&lt;&gt;"")*(IF(Besatzung!$C$11:$C$22="",Besatzung!$B$5,Besatzung!$C$11:$C$22)&lt;=B164)*(IF(Besatzung!$D$11:$D$22="",Besatzung!$B$6,Besatzung!$D$11:$D$22)&gt;=B164)),1)+(Besatzung!$F$16="x")*IFERROR(H164,0)/IFERROR(SUMPRODUCT((Besatzung!$B$11:$B$22&lt;&gt;"")*(Besatzung!$F$11:$F$22="x")*(IF(Besatzung!$C$11:$C$22="",Besatzung!$B$5,Besatzung!$C$11:$C$22)&lt;=B164)*(IF(Besatzung!$D$11:$D$22="",Besatzung!$B$6,Besatzung!$D$11:$D$22)&gt;=B164)),1))),IF(I164="Individuell",((O164="x")*((G164-IFERROR(H164,0))/IFERROR(COUNTIF(J164:U164,"x"),1)+(Besatzung!$F$16="x")*IFERROR(H164,0)/IFERROR(SUMPRODUCT((J164:U164="x")*(Besatzung!$F$11:$F$22="x")),1))),(IF(COUNTIF(J164:U164,"x")=0,IF(Besatzung!$B$15&lt;&gt;"",1,0),(O164="x"))*(G164-IFERROR(H164,0))/IFERROR(IF(COUNTIF(J164:U164,"x")=0,COUNTA(Besatzung!$B$11:$B$22),COUNTIF(J164:U164,"x")),1)+IF(COUNTIF(J164:U164,"x")=0,(Besatzung!$F$16="x"),(O164="x")*(Besatzung!$F$16="x"))*IFERROR(H164,0)/IFERROR(IF(COUNTIF(J164:U164,"x")=0,SUMPRODUCT((Besatzung!$B$11:$B$22&lt;&gt;"")*(Besatzung!$F$11:$F$22="x")),SUMPRODUCT((J164:U164="x")*(Besatzung!$F$11:$F$22="x"))),1))))),0))))</f>
        <v/>
      </c>
      <c r="AB164" s="247">
        <f>IF(C164="Gutschrift","",IF(G164="","",IF(Besatzung!$B$17="","",IFERROR(IF(I164="Zeitanteilig",(Besatzung!$G$17*(G164-IFERROR(H164,0))+((Besatzung!$B$17&lt;&gt;"")*IF(B164="",1,(IF(Besatzung!$C$17="",Besatzung!$B$5,Besatzung!$C$17)&lt;=B164)*(IF(Besatzung!$D$17="",Besatzung!$B$6,Besatzung!$D$17)&gt;=B164)))*(Besatzung!$F$17="x")*IFERROR(H164,0)/IFERROR(SUMPRODUCT((Besatzung!$B$11:$B$22&lt;&gt;"")*(Besatzung!$F$11:$F$22="x")*(IF(Besatzung!$C$11:$C$22="",Besatzung!$B$5,Besatzung!$C$11:$C$22)&lt;=B164)*(IF(Besatzung!$D$11:$D$22="",Besatzung!$B$6,Besatzung!$D$11:$D$22)&gt;=B164)),1)),IF(I164="An Bord",(((Besatzung!$B$17&lt;&gt;"")*IF(B164="",1,(IF(Besatzung!$C$17="",Besatzung!$B$5,Besatzung!$C$17)&lt;=B164)*(IF(Besatzung!$D$17="",Besatzung!$B$6,Besatzung!$D$17)&gt;=B164)))*((G164-IFERROR(H164,0))/IFERROR(SUMPRODUCT((Besatzung!$B$11:$B$22&lt;&gt;"")*(IF(Besatzung!$C$11:$C$22="",Besatzung!$B$5,Besatzung!$C$11:$C$22)&lt;=B164)*(IF(Besatzung!$D$11:$D$22="",Besatzung!$B$6,Besatzung!$D$11:$D$22)&gt;=B164)),1)+(Besatzung!$F$17="x")*IFERROR(H164,0)/IFERROR(SUMPRODUCT((Besatzung!$B$11:$B$22&lt;&gt;"")*(Besatzung!$F$11:$F$22="x")*(IF(Besatzung!$C$11:$C$22="",Besatzung!$B$5,Besatzung!$C$11:$C$22)&lt;=B164)*(IF(Besatzung!$D$11:$D$22="",Besatzung!$B$6,Besatzung!$D$11:$D$22)&gt;=B164)),1))),IF(I164="Individuell",((P164="x")*((G164-IFERROR(H164,0))/IFERROR(COUNTIF(J164:U164,"x"),1)+(Besatzung!$F$17="x")*IFERROR(H164,0)/IFERROR(SUMPRODUCT((J164:U164="x")*(Besatzung!$F$11:$F$22="x")),1))),(IF(COUNTIF(J164:U164,"x")=0,IF(Besatzung!$B$17&lt;&gt;"",1,0),(P164="x"))*(G164-IFERROR(H164,0))/IFERROR(IF(COUNTIF(J164:U164,"x")=0,COUNTA(Besatzung!$B$11:$B$22),COUNTIF(J164:U164,"x")),1)+IF(COUNTIF(J164:U164,"x")=0,(Besatzung!$F$17="x"),(P164="x")*(Besatzung!$F$17="x"))*IFERROR(H164,0)/IFERROR(IF(COUNTIF(J164:U164,"x")=0,SUMPRODUCT((Besatzung!$B$11:$B$22&lt;&gt;"")*(Besatzung!$F$11:$F$22="x")),SUMPRODUCT((J164:U164="x")*(Besatzung!$F$11:$F$22="x"))),1))))),0))))</f>
        <v/>
      </c>
      <c r="AC164" s="247">
        <f>IF(C164="Gutschrift","",IF(G164="","",IF(Besatzung!$B$18="","",IFERROR(IF(I164="Zeitanteilig",(Besatzung!$G$18*(G164-IFERROR(H164,0))+((Besatzung!$B$18&lt;&gt;"")*IF(B164="",1,(IF(Besatzung!$C$18="",Besatzung!$B$5,Besatzung!$C$18)&lt;=B164)*(IF(Besatzung!$D$18="",Besatzung!$B$6,Besatzung!$D$18)&gt;=B164)))*(Besatzung!$F$18="x")*IFERROR(H164,0)/IFERROR(SUMPRODUCT((Besatzung!$B$11:$B$22&lt;&gt;"")*(Besatzung!$F$11:$F$22="x")*(IF(Besatzung!$C$11:$C$22="",Besatzung!$B$5,Besatzung!$C$11:$C$22)&lt;=B164)*(IF(Besatzung!$D$11:$D$22="",Besatzung!$B$6,Besatzung!$D$11:$D$22)&gt;=B164)),1)),IF(I164="An Bord",(((Besatzung!$B$18&lt;&gt;"")*IF(B164="",1,(IF(Besatzung!$C$18="",Besatzung!$B$5,Besatzung!$C$18)&lt;=B164)*(IF(Besatzung!$D$18="",Besatzung!$B$6,Besatzung!$D$18)&gt;=B164)))*((G164-IFERROR(H164,0))/IFERROR(SUMPRODUCT((Besatzung!$B$11:$B$22&lt;&gt;"")*(IF(Besatzung!$C$11:$C$22="",Besatzung!$B$5,Besatzung!$C$11:$C$22)&lt;=B164)*(IF(Besatzung!$D$11:$D$22="",Besatzung!$B$6,Besatzung!$D$11:$D$22)&gt;=B164)),1)+(Besatzung!$F$18="x")*IFERROR(H164,0)/IFERROR(SUMPRODUCT((Besatzung!$B$11:$B$22&lt;&gt;"")*(Besatzung!$F$11:$F$22="x")*(IF(Besatzung!$C$11:$C$22="",Besatzung!$B$5,Besatzung!$C$11:$C$22)&lt;=B164)*(IF(Besatzung!$D$11:$D$22="",Besatzung!$B$6,Besatzung!$D$11:$D$22)&gt;=B164)),1))),IF(I164="Individuell",((Q164="x")*((G164-IFERROR(H164,0))/IFERROR(COUNTIF(J164:U164,"x"),1)+(Besatzung!$F$18="x")*IFERROR(H164,0)/IFERROR(SUMPRODUCT((J164:U164="x")*(Besatzung!$F$11:$F$22="x")),1))),(IF(COUNTIF(J164:U164,"x")=0,IF(Besatzung!$B$18&lt;&gt;"",1,0),(Q164="x"))*(G164-IFERROR(H164,0))/IFERROR(IF(COUNTIF(J164:U164,"x")=0,COUNTA(Besatzung!$B$11:$B$22),COUNTIF(J164:U164,"x")),1)+IF(COUNTIF(J164:U164,"x")=0,(Besatzung!$F$18="x"),(Q164="x")*(Besatzung!$F$18="x"))*IFERROR(H164,0)/IFERROR(IF(COUNTIF(J164:U164,"x")=0,SUMPRODUCT((Besatzung!$B$11:$B$22&lt;&gt;"")*(Besatzung!$F$11:$F$22="x")),SUMPRODUCT((J164:U164="x")*(Besatzung!$F$11:$F$22="x"))),1))))),0))))</f>
        <v/>
      </c>
      <c r="AD164" s="247">
        <f>IF(C164="Gutschrift","",IF(G164="","",IF(Besatzung!$B$19="","",IFERROR(IF(I164="Zeitanteilig",(Besatzung!$G$19*(G164-IFERROR(H164,0))+((Besatzung!$B$19&lt;&gt;"")*IF(B164="",1,(IF(Besatzung!$C$19="",Besatzung!$B$5,Besatzung!$C$19)&lt;=B164)*(IF(Besatzung!$D$19="",Besatzung!$B$6,Besatzung!$D$19)&gt;=B164)))*(Besatzung!$F$19="x")*IFERROR(H164,0)/IFERROR(SUMPRODUCT((Besatzung!$B$11:$B$22&lt;&gt;"")*(Besatzung!$F$11:$F$22="x")*(IF(Besatzung!$C$11:$C$22="",Besatzung!$B$5,Besatzung!$C$11:$C$22)&lt;=B164)*(IF(Besatzung!$D$11:$D$22="",Besatzung!$B$6,Besatzung!$D$11:$D$22)&gt;=B164)),1)),IF(I164="An Bord",(((Besatzung!$B$19&lt;&gt;"")*IF(B164="",1,(IF(Besatzung!$C$19="",Besatzung!$B$5,Besatzung!$C$19)&lt;=B164)*(IF(Besatzung!$D$19="",Besatzung!$B$6,Besatzung!$D$19)&gt;=B164)))*((G164-IFERROR(H164,0))/IFERROR(SUMPRODUCT((Besatzung!$B$11:$B$22&lt;&gt;"")*(IF(Besatzung!$C$11:$C$22="",Besatzung!$B$5,Besatzung!$C$11:$C$22)&lt;=B164)*(IF(Besatzung!$D$11:$D$22="",Besatzung!$B$6,Besatzung!$D$11:$D$22)&gt;=B164)),1)+(Besatzung!$F$19="x")*IFERROR(H164,0)/IFERROR(SUMPRODUCT((Besatzung!$B$11:$B$22&lt;&gt;"")*(Besatzung!$F$11:$F$22="x")*(IF(Besatzung!$C$11:$C$22="",Besatzung!$B$5,Besatzung!$C$11:$C$22)&lt;=B164)*(IF(Besatzung!$D$11:$D$22="",Besatzung!$B$6,Besatzung!$D$11:$D$22)&gt;=B164)),1))),IF(I164="Individuell",((R164="x")*((G164-IFERROR(H164,0))/IFERROR(COUNTIF(J164:U164,"x"),1)+(Besatzung!$F$19="x")*IFERROR(H164,0)/IFERROR(SUMPRODUCT((J164:U164="x")*(Besatzung!$F$11:$F$22="x")),1))),(IF(COUNTIF(J164:U164,"x")=0,IF(Besatzung!$B$19&lt;&gt;"",1,0),(R164="x"))*(G164-IFERROR(H164,0))/IFERROR(IF(COUNTIF(J164:U164,"x")=0,COUNTA(Besatzung!$B$11:$B$22),COUNTIF(J164:U164,"x")),1)+IF(COUNTIF(J164:U164,"x")=0,(Besatzung!$F$19="x"),(R164="x")*(Besatzung!$F$19="x"))*IFERROR(H164,0)/IFERROR(IF(COUNTIF(J164:U164,"x")=0,SUMPRODUCT((Besatzung!$B$11:$B$22&lt;&gt;"")*(Besatzung!$F$11:$F$22="x")),SUMPRODUCT((J164:U164="x")*(Besatzung!$F$11:$F$22="x"))),1))))),0))))</f>
        <v/>
      </c>
      <c r="AE164" s="247">
        <f>IF(C164="Gutschrift","",IF(G164="","",IF(Besatzung!$B$20="","",IFERROR(IF(I164="Zeitanteilig",(Besatzung!$G$20*(G164-IFERROR(H164,0))+((Besatzung!$B$20&lt;&gt;"")*IF(B164="",1,(IF(Besatzung!$C$20="",Besatzung!$B$5,Besatzung!$C$20)&lt;=B164)*(IF(Besatzung!$D$20="",Besatzung!$B$6,Besatzung!$D$20)&gt;=B164)))*(Besatzung!$F$20="x")*IFERROR(H164,0)/IFERROR(SUMPRODUCT((Besatzung!$B$11:$B$22&lt;&gt;"")*(Besatzung!$F$11:$F$22="x")*(IF(Besatzung!$C$11:$C$22="",Besatzung!$B$5,Besatzung!$C$11:$C$22)&lt;=B164)*(IF(Besatzung!$D$11:$D$22="",Besatzung!$B$6,Besatzung!$D$11:$D$22)&gt;=B164)),1)),IF(I164="An Bord",(((Besatzung!$B$20&lt;&gt;"")*IF(B164="",1,(IF(Besatzung!$C$20="",Besatzung!$B$5,Besatzung!$C$20)&lt;=B164)*(IF(Besatzung!$D$20="",Besatzung!$B$6,Besatzung!$D$20)&gt;=B164)))*((G164-IFERROR(H164,0))/IFERROR(SUMPRODUCT((Besatzung!$B$11:$B$22&lt;&gt;"")*(IF(Besatzung!$C$11:$C$22="",Besatzung!$B$5,Besatzung!$C$11:$C$22)&lt;=B164)*(IF(Besatzung!$D$11:$D$22="",Besatzung!$B$6,Besatzung!$D$11:$D$22)&gt;=B164)),1)+(Besatzung!$F$20="x")*IFERROR(H164,0)/IFERROR(SUMPRODUCT((Besatzung!$B$11:$B$22&lt;&gt;"")*(Besatzung!$F$11:$F$22="x")*(IF(Besatzung!$C$11:$C$22="",Besatzung!$B$5,Besatzung!$C$11:$C$22)&lt;=B164)*(IF(Besatzung!$D$11:$D$22="",Besatzung!$B$6,Besatzung!$D$11:$D$22)&gt;=B164)),1))),IF(I164="Individuell",((S164="x")*((G164-IFERROR(H164,0))/IFERROR(COUNTIF(J164:U164,"x"),1)+(Besatzung!$F$20="x")*IFERROR(H164,0)/IFERROR(SUMPRODUCT((J164:U164="x")*(Besatzung!$F$11:$F$22="x")),1))),(IF(COUNTIF(J164:U164,"x")=0,IF(Besatzung!$B$20&lt;&gt;"",1,0),(S164="x"))*(G164-IFERROR(H164,0))/IFERROR(IF(COUNTIF(J164:U164,"x")=0,COUNTA(Besatzung!$B$11:$B$22),COUNTIF(J164:U164,"x")),1)+IF(COUNTIF(J164:U164,"x")=0,(Besatzung!$F$20="x"),(S164="x")*(Besatzung!$F$20="x"))*IFERROR(H164,0)/IFERROR(IF(COUNTIF(J164:U164,"x")=0,SUMPRODUCT((Besatzung!$B$11:$B$22&lt;&gt;"")*(Besatzung!$F$11:$F$22="x")),SUMPRODUCT((J164:U164="x")*(Besatzung!$F$11:$F$22="x"))),1))))),0))))</f>
        <v/>
      </c>
      <c r="AF164" s="247">
        <f>IF(C164="Gutschrift","",IF(G164="","",IF(Besatzung!$B$21="","",IFERROR(IF(I164="Zeitanteilig",(Besatzung!$G$21*(G164-IFERROR(H164,0))+((Besatzung!$B$21&lt;&gt;"")*IF(B164="",1,(IF(Besatzung!$C$21="",Besatzung!$B$5,Besatzung!$C$21)&lt;=B164)*(IF(Besatzung!$D$21="",Besatzung!$B$6,Besatzung!$D$21)&gt;=B164)))*(Besatzung!$F$21="x")*IFERROR(H164,0)/IFERROR(SUMPRODUCT((Besatzung!$B$11:$B$22&lt;&gt;"")*(Besatzung!$F$11:$F$22="x")*(IF(Besatzung!$C$11:$C$22="",Besatzung!$B$5,Besatzung!$C$11:$C$22)&lt;=B164)*(IF(Besatzung!$D$11:$D$22="",Besatzung!$B$6,Besatzung!$D$11:$D$22)&gt;=B164)),1)),IF(I164="An Bord",(((Besatzung!$B$21&lt;&gt;"")*IF(B164="",1,(IF(Besatzung!$C$21="",Besatzung!$B$5,Besatzung!$C$21)&lt;=B164)*(IF(Besatzung!$D$21="",Besatzung!$B$6,Besatzung!$D$21)&gt;=B164)))*((G164-IFERROR(H164,0))/IFERROR(SUMPRODUCT((Besatzung!$B$11:$B$22&lt;&gt;"")*(IF(Besatzung!$C$11:$C$22="",Besatzung!$B$5,Besatzung!$C$11:$C$22)&lt;=B164)*(IF(Besatzung!$D$11:$D$22="",Besatzung!$B$6,Besatzung!$D$11:$D$22)&gt;=B164)),1)+(Besatzung!$F$21="x")*IFERROR(H164,0)/IFERROR(SUMPRODUCT((Besatzung!$B$11:$B$22&lt;&gt;"")*(Besatzung!$F$11:$F$22="x")*(IF(Besatzung!$C$11:$C$22="",Besatzung!$B$5,Besatzung!$C$11:$C$22)&lt;=B164)*(IF(Besatzung!$D$11:$D$22="",Besatzung!$B$6,Besatzung!$D$11:$D$22)&gt;=B164)),1))),IF(I164="Individuell",((T164="x")*((G164-IFERROR(H164,0))/IFERROR(COUNTIF(J164:U164,"x"),1)+(Besatzung!$F$21="x")*IFERROR(H164,0)/IFERROR(SUMPRODUCT((J164:U164="x")*(Besatzung!$F$11:$F$22="x")),1))),(IF(COUNTIF(J164:U164,"x")=0,IF(Besatzung!$B$21&lt;&gt;"",1,0),(T164="x"))*(G164-IFERROR(H164,0))/IFERROR(IF(COUNTIF(J164:U164,"x")=0,COUNTA(Besatzung!$B$11:$B$22),COUNTIF(J164:U164,"x")),1)+IF(COUNTIF(J164:U164,"x")=0,(Besatzung!$F$21="x"),(T164="x")*(Besatzung!$F$21="x"))*IFERROR(H164,0)/IFERROR(IF(COUNTIF(J164:U164,"x")=0,SUMPRODUCT((Besatzung!$B$11:$B$22&lt;&gt;"")*(Besatzung!$F$11:$F$22="x")),SUMPRODUCT((J164:U164="x")*(Besatzung!$F$11:$F$22="x"))),1))))),0))))</f>
        <v/>
      </c>
      <c r="AG164" s="247">
        <f>IF(C164="Gutschrift","",IF(G164="","",IF(Besatzung!$B$22="","",IFERROR(IF(I164="Zeitanteilig",(Besatzung!$G$22*(G164-IFERROR(H164,0))+((Besatzung!$B$22&lt;&gt;"")*IF(B164="",1,(IF(Besatzung!$C$22="",Besatzung!$B$5,Besatzung!$C$22)&lt;=B164)*(IF(Besatzung!$D$22="",Besatzung!$B$6,Besatzung!$D$22)&gt;=B164)))*(Besatzung!$F$22="x")*IFERROR(H164,0)/IFERROR(SUMPRODUCT((Besatzung!$B$11:$B$22&lt;&gt;"")*(Besatzung!$F$11:$F$22="x")*(IF(Besatzung!$C$11:$C$22="",Besatzung!$B$5,Besatzung!$C$11:$C$22)&lt;=B164)*(IF(Besatzung!$D$11:$D$22="",Besatzung!$B$6,Besatzung!$D$11:$D$22)&gt;=B164)),1)),IF(I164="An Bord",(((Besatzung!$B$22&lt;&gt;"")*IF(B164="",1,(IF(Besatzung!$C$22="",Besatzung!$B$5,Besatzung!$C$22)&lt;=B164)*(IF(Besatzung!$D$22="",Besatzung!$B$6,Besatzung!$D$22)&gt;=B164)))*((G164-IFERROR(H164,0))/IFERROR(SUMPRODUCT((Besatzung!$B$11:$B$22&lt;&gt;"")*(IF(Besatzung!$C$11:$C$22="",Besatzung!$B$5,Besatzung!$C$11:$C$22)&lt;=B164)*(IF(Besatzung!$D$11:$D$22="",Besatzung!$B$6,Besatzung!$D$11:$D$22)&gt;=B164)),1)+(Besatzung!$F$22="x")*IFERROR(H164,0)/IFERROR(SUMPRODUCT((Besatzung!$B$11:$B$22&lt;&gt;"")*(Besatzung!$F$11:$F$22="x")*(IF(Besatzung!$C$11:$C$22="",Besatzung!$B$5,Besatzung!$C$11:$C$22)&lt;=B164)*(IF(Besatzung!$D$11:$D$22="",Besatzung!$B$6,Besatzung!$D$11:$D$22)&gt;=B164)),1))),IF(I164="Individuell",((U164="x")*((G164-IFERROR(H164,0))/IFERROR(COUNTIF(J164:U164,"x"),1)+(Besatzung!$F$22="x")*IFERROR(H164,0)/IFERROR(SUMPRODUCT((J164:U164="x")*(Besatzung!$F$11:$F$22="x")),1))),(IF(COUNTIF(J164:U164,"x")=0,IF(Besatzung!$B$22&lt;&gt;"",1,0),(U164="x"))*(G164-IFERROR(H164,0))/IFERROR(IF(COUNTIF(J164:U164,"x")=0,COUNTA(Besatzung!$B$11:$B$22),COUNTIF(J164:U164,"x")),1)+IF(COUNTIF(J164:U164,"x")=0,(Besatzung!$F$22="x"),(U164="x")*(Besatzung!$F$22="x"))*IFERROR(H164,0)/IFERROR(IF(COUNTIF(J164:U164,"x")=0,SUMPRODUCT((Besatzung!$B$11:$B$22&lt;&gt;"")*(Besatzung!$F$11:$F$22="x")),SUMPRODUCT((J164:U164="x")*(Besatzung!$F$11:$F$22="x"))),1))))),0))))</f>
        <v/>
      </c>
      <c r="AH164" s="248" t="n"/>
      <c r="AI164" s="248" t="n"/>
    </row>
    <row r="165" ht="21.75" customHeight="1" s="154">
      <c r="A165" s="238">
        <f>IF(AND(D165="",C165=""),"",162)</f>
        <v/>
      </c>
      <c r="B165" s="206" t="n"/>
      <c r="C165" s="249" t="n"/>
      <c r="D165" s="250" t="n"/>
      <c r="E165" s="251" t="n"/>
      <c r="F165" s="252" t="n"/>
      <c r="G165" s="253" t="n"/>
      <c r="H165" s="254" t="n"/>
      <c r="I165" s="255" t="n"/>
      <c r="J165" s="256" t="n"/>
      <c r="K165" s="256" t="n"/>
      <c r="L165" s="256" t="n"/>
      <c r="M165" s="256" t="n"/>
      <c r="N165" s="256" t="n"/>
      <c r="O165" s="256" t="n"/>
      <c r="P165" s="256" t="n"/>
      <c r="Q165" s="256" t="n"/>
      <c r="R165" s="256" t="n"/>
      <c r="S165" s="256" t="n"/>
      <c r="T165" s="256" t="n"/>
      <c r="U165" s="256" t="n"/>
      <c r="V165" s="247">
        <f>IF(C165="Gutschrift","",IF(G165="","",IF(Besatzung!$B$11="","",IFERROR(IF(I165="Zeitanteilig",(Besatzung!$G$11*(G165-IFERROR(H165,0))+((Besatzung!$B$11&lt;&gt;"")*IF(B165="",1,(IF(Besatzung!$C$11="",Besatzung!$B$5,Besatzung!$C$11)&lt;=B165)*(IF(Besatzung!$D$11="",Besatzung!$B$6,Besatzung!$D$11)&gt;=B165)))*(Besatzung!$F$11="x")*IFERROR(H165,0)/IFERROR(SUMPRODUCT((Besatzung!$B$11:$B$22&lt;&gt;"")*(Besatzung!$F$11:$F$22="x")*(IF(Besatzung!$C$11:$C$22="",Besatzung!$B$5,Besatzung!$C$11:$C$22)&lt;=B165)*(IF(Besatzung!$D$11:$D$22="",Besatzung!$B$6,Besatzung!$D$11:$D$22)&gt;=B165)),1)),IF(I165="An Bord",(((Besatzung!$B$11&lt;&gt;"")*IF(B165="",1,(IF(Besatzung!$C$11="",Besatzung!$B$5,Besatzung!$C$11)&lt;=B165)*(IF(Besatzung!$D$11="",Besatzung!$B$6,Besatzung!$D$11)&gt;=B165)))*((G165-IFERROR(H165,0))/IFERROR(SUMPRODUCT((Besatzung!$B$11:$B$22&lt;&gt;"")*(IF(Besatzung!$C$11:$C$22="",Besatzung!$B$5,Besatzung!$C$11:$C$22)&lt;=B165)*(IF(Besatzung!$D$11:$D$22="",Besatzung!$B$6,Besatzung!$D$11:$D$22)&gt;=B165)),1)+(Besatzung!$F$11="x")*IFERROR(H165,0)/IFERROR(SUMPRODUCT((Besatzung!$B$11:$B$22&lt;&gt;"")*(Besatzung!$F$11:$F$22="x")*(IF(Besatzung!$C$11:$C$22="",Besatzung!$B$5,Besatzung!$C$11:$C$22)&lt;=B165)*(IF(Besatzung!$D$11:$D$22="",Besatzung!$B$6,Besatzung!$D$11:$D$22)&gt;=B165)),1))),IF(I165="Individuell",((J165="x")*((G165-IFERROR(H165,0))/IFERROR(COUNTIF(J165:U165,"x"),1)+(Besatzung!$F$11="x")*IFERROR(H165,0)/IFERROR(SUMPRODUCT((J165:U165="x")*(Besatzung!$F$11:$F$22="x")),1))),(IF(COUNTIF(J165:U165,"x")=0,IF(Besatzung!$B$11&lt;&gt;"",1,0),(J165="x"))*(G165-IFERROR(H165,0))/IFERROR(IF(COUNTIF(J165:U165,"x")=0,COUNTA(Besatzung!$B$11:$B$22),COUNTIF(J165:U165,"x")),1)+IF(COUNTIF(J165:U165,"x")=0,(Besatzung!$F$11="x"),(J165="x")*(Besatzung!$F$11="x"))*IFERROR(H165,0)/IFERROR(IF(COUNTIF(J165:U165,"x")=0,SUMPRODUCT((Besatzung!$B$11:$B$22&lt;&gt;"")*(Besatzung!$F$11:$F$22="x")),SUMPRODUCT((J165:U165="x")*(Besatzung!$F$11:$F$22="x"))),1))))),0))))</f>
        <v/>
      </c>
      <c r="W165" s="247">
        <f>IF(C165="Gutschrift","",IF(G165="","",IF(Besatzung!$B$12="","",IFERROR(IF(I165="Zeitanteilig",(Besatzung!$G$12*(G165-IFERROR(H165,0))+((Besatzung!$B$12&lt;&gt;"")*IF(B165="",1,(IF(Besatzung!$C$12="",Besatzung!$B$5,Besatzung!$C$12)&lt;=B165)*(IF(Besatzung!$D$12="",Besatzung!$B$6,Besatzung!$D$12)&gt;=B165)))*(Besatzung!$F$12="x")*IFERROR(H165,0)/IFERROR(SUMPRODUCT((Besatzung!$B$11:$B$22&lt;&gt;"")*(Besatzung!$F$11:$F$22="x")*(IF(Besatzung!$C$11:$C$22="",Besatzung!$B$5,Besatzung!$C$11:$C$22)&lt;=B165)*(IF(Besatzung!$D$11:$D$22="",Besatzung!$B$6,Besatzung!$D$11:$D$22)&gt;=B165)),1)),IF(I165="An Bord",(((Besatzung!$B$12&lt;&gt;"")*IF(B165="",1,(IF(Besatzung!$C$12="",Besatzung!$B$5,Besatzung!$C$12)&lt;=B165)*(IF(Besatzung!$D$12="",Besatzung!$B$6,Besatzung!$D$12)&gt;=B165)))*((G165-IFERROR(H165,0))/IFERROR(SUMPRODUCT((Besatzung!$B$11:$B$22&lt;&gt;"")*(IF(Besatzung!$C$11:$C$22="",Besatzung!$B$5,Besatzung!$C$11:$C$22)&lt;=B165)*(IF(Besatzung!$D$11:$D$22="",Besatzung!$B$6,Besatzung!$D$11:$D$22)&gt;=B165)),1)+(Besatzung!$F$12="x")*IFERROR(H165,0)/IFERROR(SUMPRODUCT((Besatzung!$B$11:$B$22&lt;&gt;"")*(Besatzung!$F$11:$F$22="x")*(IF(Besatzung!$C$11:$C$22="",Besatzung!$B$5,Besatzung!$C$11:$C$22)&lt;=B165)*(IF(Besatzung!$D$11:$D$22="",Besatzung!$B$6,Besatzung!$D$11:$D$22)&gt;=B165)),1))),IF(I165="Individuell",((K165="x")*((G165-IFERROR(H165,0))/IFERROR(COUNTIF(J165:U165,"x"),1)+(Besatzung!$F$12="x")*IFERROR(H165,0)/IFERROR(SUMPRODUCT((J165:U165="x")*(Besatzung!$F$11:$F$22="x")),1))),(IF(COUNTIF(J165:U165,"x")=0,IF(Besatzung!$B$12&lt;&gt;"",1,0),(K165="x"))*(G165-IFERROR(H165,0))/IFERROR(IF(COUNTIF(J165:U165,"x")=0,COUNTA(Besatzung!$B$11:$B$22),COUNTIF(J165:U165,"x")),1)+IF(COUNTIF(J165:U165,"x")=0,(Besatzung!$F$12="x"),(K165="x")*(Besatzung!$F$12="x"))*IFERROR(H165,0)/IFERROR(IF(COUNTIF(J165:U165,"x")=0,SUMPRODUCT((Besatzung!$B$11:$B$22&lt;&gt;"")*(Besatzung!$F$11:$F$22="x")),SUMPRODUCT((J165:U165="x")*(Besatzung!$F$11:$F$22="x"))),1))))),0))))</f>
        <v/>
      </c>
      <c r="X165" s="247">
        <f>IF(C165="Gutschrift","",IF(G165="","",IF(Besatzung!$B$13="","",IFERROR(IF(I165="Zeitanteilig",(Besatzung!$G$13*(G165-IFERROR(H165,0))+((Besatzung!$B$13&lt;&gt;"")*IF(B165="",1,(IF(Besatzung!$C$13="",Besatzung!$B$5,Besatzung!$C$13)&lt;=B165)*(IF(Besatzung!$D$13="",Besatzung!$B$6,Besatzung!$D$13)&gt;=B165)))*(Besatzung!$F$13="x")*IFERROR(H165,0)/IFERROR(SUMPRODUCT((Besatzung!$B$11:$B$22&lt;&gt;"")*(Besatzung!$F$11:$F$22="x")*(IF(Besatzung!$C$11:$C$22="",Besatzung!$B$5,Besatzung!$C$11:$C$22)&lt;=B165)*(IF(Besatzung!$D$11:$D$22="",Besatzung!$B$6,Besatzung!$D$11:$D$22)&gt;=B165)),1)),IF(I165="An Bord",(((Besatzung!$B$13&lt;&gt;"")*IF(B165="",1,(IF(Besatzung!$C$13="",Besatzung!$B$5,Besatzung!$C$13)&lt;=B165)*(IF(Besatzung!$D$13="",Besatzung!$B$6,Besatzung!$D$13)&gt;=B165)))*((G165-IFERROR(H165,0))/IFERROR(SUMPRODUCT((Besatzung!$B$11:$B$22&lt;&gt;"")*(IF(Besatzung!$C$11:$C$22="",Besatzung!$B$5,Besatzung!$C$11:$C$22)&lt;=B165)*(IF(Besatzung!$D$11:$D$22="",Besatzung!$B$6,Besatzung!$D$11:$D$22)&gt;=B165)),1)+(Besatzung!$F$13="x")*IFERROR(H165,0)/IFERROR(SUMPRODUCT((Besatzung!$B$11:$B$22&lt;&gt;"")*(Besatzung!$F$11:$F$22="x")*(IF(Besatzung!$C$11:$C$22="",Besatzung!$B$5,Besatzung!$C$11:$C$22)&lt;=B165)*(IF(Besatzung!$D$11:$D$22="",Besatzung!$B$6,Besatzung!$D$11:$D$22)&gt;=B165)),1))),IF(I165="Individuell",((K165="x")*((G165-IFERROR(H165,0))/IFERROR(COUNTIF(J165:U165,"x"),1)+(Besatzung!$F$13="x")*IFERROR(H165,0)/IFERROR(SUMPRODUCT((J165:U165="x")*(Besatzung!$F$11:$F$22="x")),1))),(IF(COUNTIF(J165:U165,"x")=0,IF(Besatzung!$B$13&lt;&gt;"",1,0),(K165="x"))*(G165-IFERROR(H165,0))/IFERROR(IF(COUNTIF(J165:U165,"x")=0,COUNTA(Besatzung!$B$11:$B$22),COUNTIF(J165:U165,"x")),1)+IF(COUNTIF(J165:U165,"x")=0,(Besatzung!$F$13="x"),(K165="x")*(Besatzung!$F$13="x"))*IFERROR(H165,0)/IFERROR(IF(COUNTIF(J165:U165,"x")=0,SUMPRODUCT((Besatzung!$B$11:$B$22&lt;&gt;"")*(Besatzung!$F$11:$F$22="x")),SUMPRODUCT((J165:U165="x")*(Besatzung!$F$11:$F$22="x"))),1))))),0))))</f>
        <v/>
      </c>
      <c r="Y165" s="247">
        <f>IF(C165="Gutschrift","",IF(G165="","",IF(Besatzung!$B$14="","",IFERROR(IF(I165="Zeitanteilig",(Besatzung!$G$14*(G165-IFERROR(H165,0))+((Besatzung!$B$14&lt;&gt;"")*IF(B165="",1,(IF(Besatzung!$C$14="",Besatzung!$B$5,Besatzung!$C$14)&lt;=B165)*(IF(Besatzung!$D$14="",Besatzung!$B$6,Besatzung!$D$14)&gt;=B165)))*(Besatzung!$F$14="x")*IFERROR(H165,0)/IFERROR(SUMPRODUCT((Besatzung!$B$11:$B$22&lt;&gt;"")*(Besatzung!$F$11:$F$22="x")*(IF(Besatzung!$C$11:$C$22="",Besatzung!$B$5,Besatzung!$C$11:$C$22)&lt;=B165)*(IF(Besatzung!$D$11:$D$22="",Besatzung!$B$6,Besatzung!$D$11:$D$22)&gt;=B165)),1)),IF(I165="An Bord",(((Besatzung!$B$14&lt;&gt;"")*IF(B165="",1,(IF(Besatzung!$C$14="",Besatzung!$B$5,Besatzung!$C$14)&lt;=B165)*(IF(Besatzung!$D$14="",Besatzung!$B$6,Besatzung!$D$14)&gt;=B165)))*((G165-IFERROR(H165,0))/IFERROR(SUMPRODUCT((Besatzung!$B$11:$B$22&lt;&gt;"")*(IF(Besatzung!$C$11:$C$22="",Besatzung!$B$5,Besatzung!$C$11:$C$22)&lt;=B165)*(IF(Besatzung!$D$11:$D$22="",Besatzung!$B$6,Besatzung!$D$11:$D$22)&gt;=B165)),1)+(Besatzung!$F$14="x")*IFERROR(H165,0)/IFERROR(SUMPRODUCT((Besatzung!$B$11:$B$22&lt;&gt;"")*(Besatzung!$F$11:$F$22="x")*(IF(Besatzung!$C$11:$C$22="",Besatzung!$B$5,Besatzung!$C$11:$C$22)&lt;=B165)*(IF(Besatzung!$D$11:$D$22="",Besatzung!$B$6,Besatzung!$D$11:$D$22)&gt;=B165)),1))),IF(I165="Individuell",((M165="x")*((G165-IFERROR(H165,0))/IFERROR(COUNTIF(J165:U165,"x"),1)+(Besatzung!$F$14="x")*IFERROR(H165,0)/IFERROR(SUMPRODUCT((J165:U165="x")*(Besatzung!$F$11:$F$22="x")),1))),(IF(COUNTIF(J165:U165,"x")=0,IF(Besatzung!$B$14&lt;&gt;"",1,0),(M165="x"))*(G165-IFERROR(H165,0))/IFERROR(IF(COUNTIF(J165:U165,"x")=0,COUNTA(Besatzung!$B$11:$B$22),COUNTIF(J165:U165,"x")),1)+IF(COUNTIF(J165:U165,"x")=0,(Besatzung!$F$14="x"),(M165="x")*(Besatzung!$F$14="x"))*IFERROR(H165,0)/IFERROR(IF(COUNTIF(J165:U165,"x")=0,SUMPRODUCT((Besatzung!$B$11:$B$22&lt;&gt;"")*(Besatzung!$F$11:$F$22="x")),SUMPRODUCT((J165:U165="x")*(Besatzung!$F$11:$F$22="x"))),1))))),0))))</f>
        <v/>
      </c>
      <c r="Z165" s="247">
        <f>IF(C165="Gutschrift","",IF(G165="","",IF(Besatzung!$B$13="","",IFERROR(IF(I165="Zeitanteilig",(Besatzung!$G$15*(G165-IFERROR(H165,0))+((Besatzung!$B$13&lt;&gt;"")*IF(B165="",1,(IF(Besatzung!$C$15="",Besatzung!$B$5,Besatzung!$C$15)&lt;=B165)*(IF(Besatzung!$D$15="",Besatzung!$B$6,Besatzung!$D$15)&gt;=B165)))*(Besatzung!$F$15="x")*IFERROR(H165,0)/IFERROR(SUMPRODUCT((Besatzung!$B$11:$B$22&lt;&gt;"")*(Besatzung!$F$11:$F$22="x")*(IF(Besatzung!$C$11:$C$22="",Besatzung!$B$5,Besatzung!$C$11:$C$22)&lt;=B165)*(IF(Besatzung!$D$11:$D$22="",Besatzung!$B$6,Besatzung!$D$11:$D$22)&gt;=B165)),1)),IF(I165="An Bord",(((Besatzung!$B$13&lt;&gt;"")*IF(B165="",1,(IF(Besatzung!$C$15="",Besatzung!$B$5,Besatzung!$C$15)&lt;=B165)*(IF(Besatzung!$D$15="",Besatzung!$B$6,Besatzung!$D$15)&gt;=B165)))*((G165-IFERROR(H165,0))/IFERROR(SUMPRODUCT((Besatzung!$B$11:$B$22&lt;&gt;"")*(IF(Besatzung!$C$11:$C$22="",Besatzung!$B$5,Besatzung!$C$11:$C$22)&lt;=B165)*(IF(Besatzung!$D$11:$D$22="",Besatzung!$B$6,Besatzung!$D$11:$D$22)&gt;=B165)),1)+(Besatzung!$F$15="x")*IFERROR(H165,0)/IFERROR(SUMPRODUCT((Besatzung!$B$11:$B$22&lt;&gt;"")*(Besatzung!$F$11:$F$22="x")*(IF(Besatzung!$C$11:$C$22="",Besatzung!$B$5,Besatzung!$C$11:$C$22)&lt;=B165)*(IF(Besatzung!$D$11:$D$22="",Besatzung!$B$6,Besatzung!$D$11:$D$22)&gt;=B165)),1))),IF(I165="Individuell",((N165="x")*((G165-IFERROR(H165,0))/IFERROR(COUNTIF(J165:U165,"x"),1)+(Besatzung!$F$15="x")*IFERROR(H165,0)/IFERROR(SUMPRODUCT((J165:U165="x")*(Besatzung!$F$11:$F$22="x")),1))),(IF(COUNTIF(J165:U165,"x")=0,IF(Besatzung!$B$13&lt;&gt;"",1,0),(N165="x"))*(G165-IFERROR(H165,0))/IFERROR(IF(COUNTIF(J165:U165,"x")=0,COUNTA(Besatzung!$B$11:$B$22),COUNTIF(J165:U165,"x")),1)+IF(COUNTIF(J165:U165,"x")=0,(Besatzung!$F$15="x"),(N165="x")*(Besatzung!$F$15="x"))*IFERROR(H165,0)/IFERROR(IF(COUNTIF(J165:U165,"x")=0,SUMPRODUCT((Besatzung!$B$11:$B$22&lt;&gt;"")*(Besatzung!$F$11:$F$22="x")),SUMPRODUCT((J165:U165="x")*(Besatzung!$F$11:$F$22="x"))),1))))),0))))</f>
        <v/>
      </c>
      <c r="AA165" s="247">
        <f>IF(C165="Gutschrift","",IF(G165="","",IF(Besatzung!$B$15="","",IFERROR(IF(I165="Zeitanteilig",(Besatzung!$G$16*(G165-IFERROR(H165,0))+((Besatzung!$B$15&lt;&gt;"")*IF(B165="",1,(IF(Besatzung!$C$16="",Besatzung!$B$5,Besatzung!$C$16)&lt;=B165)*(IF(Besatzung!$D$16="",Besatzung!$B$6,Besatzung!$D$16)&gt;=B165)))*(Besatzung!$F$16="x")*IFERROR(H165,0)/IFERROR(SUMPRODUCT((Besatzung!$B$11:$B$22&lt;&gt;"")*(Besatzung!$F$11:$F$22="x")*(IF(Besatzung!$C$11:$C$22="",Besatzung!$B$5,Besatzung!$C$11:$C$22)&lt;=B165)*(IF(Besatzung!$D$11:$D$22="",Besatzung!$B$6,Besatzung!$D$11:$D$22)&gt;=B165)),1)),IF(I165="An Bord",(((Besatzung!$B$15&lt;&gt;"")*IF(B165="",1,(IF(Besatzung!$C$16="",Besatzung!$B$5,Besatzung!$C$16)&lt;=B165)*(IF(Besatzung!$D$16="",Besatzung!$B$6,Besatzung!$D$16)&gt;=B165)))*((G165-IFERROR(H165,0))/IFERROR(SUMPRODUCT((Besatzung!$B$11:$B$22&lt;&gt;"")*(IF(Besatzung!$C$11:$C$22="",Besatzung!$B$5,Besatzung!$C$11:$C$22)&lt;=B165)*(IF(Besatzung!$D$11:$D$22="",Besatzung!$B$6,Besatzung!$D$11:$D$22)&gt;=B165)),1)+(Besatzung!$F$16="x")*IFERROR(H165,0)/IFERROR(SUMPRODUCT((Besatzung!$B$11:$B$22&lt;&gt;"")*(Besatzung!$F$11:$F$22="x")*(IF(Besatzung!$C$11:$C$22="",Besatzung!$B$5,Besatzung!$C$11:$C$22)&lt;=B165)*(IF(Besatzung!$D$11:$D$22="",Besatzung!$B$6,Besatzung!$D$11:$D$22)&gt;=B165)),1))),IF(I165="Individuell",((O165="x")*((G165-IFERROR(H165,0))/IFERROR(COUNTIF(J165:U165,"x"),1)+(Besatzung!$F$16="x")*IFERROR(H165,0)/IFERROR(SUMPRODUCT((J165:U165="x")*(Besatzung!$F$11:$F$22="x")),1))),(IF(COUNTIF(J165:U165,"x")=0,IF(Besatzung!$B$15&lt;&gt;"",1,0),(O165="x"))*(G165-IFERROR(H165,0))/IFERROR(IF(COUNTIF(J165:U165,"x")=0,COUNTA(Besatzung!$B$11:$B$22),COUNTIF(J165:U165,"x")),1)+IF(COUNTIF(J165:U165,"x")=0,(Besatzung!$F$16="x"),(O165="x")*(Besatzung!$F$16="x"))*IFERROR(H165,0)/IFERROR(IF(COUNTIF(J165:U165,"x")=0,SUMPRODUCT((Besatzung!$B$11:$B$22&lt;&gt;"")*(Besatzung!$F$11:$F$22="x")),SUMPRODUCT((J165:U165="x")*(Besatzung!$F$11:$F$22="x"))),1))))),0))))</f>
        <v/>
      </c>
      <c r="AB165" s="247">
        <f>IF(C165="Gutschrift","",IF(G165="","",IF(Besatzung!$B$17="","",IFERROR(IF(I165="Zeitanteilig",(Besatzung!$G$17*(G165-IFERROR(H165,0))+((Besatzung!$B$17&lt;&gt;"")*IF(B165="",1,(IF(Besatzung!$C$17="",Besatzung!$B$5,Besatzung!$C$17)&lt;=B165)*(IF(Besatzung!$D$17="",Besatzung!$B$6,Besatzung!$D$17)&gt;=B165)))*(Besatzung!$F$17="x")*IFERROR(H165,0)/IFERROR(SUMPRODUCT((Besatzung!$B$11:$B$22&lt;&gt;"")*(Besatzung!$F$11:$F$22="x")*(IF(Besatzung!$C$11:$C$22="",Besatzung!$B$5,Besatzung!$C$11:$C$22)&lt;=B165)*(IF(Besatzung!$D$11:$D$22="",Besatzung!$B$6,Besatzung!$D$11:$D$22)&gt;=B165)),1)),IF(I165="An Bord",(((Besatzung!$B$17&lt;&gt;"")*IF(B165="",1,(IF(Besatzung!$C$17="",Besatzung!$B$5,Besatzung!$C$17)&lt;=B165)*(IF(Besatzung!$D$17="",Besatzung!$B$6,Besatzung!$D$17)&gt;=B165)))*((G165-IFERROR(H165,0))/IFERROR(SUMPRODUCT((Besatzung!$B$11:$B$22&lt;&gt;"")*(IF(Besatzung!$C$11:$C$22="",Besatzung!$B$5,Besatzung!$C$11:$C$22)&lt;=B165)*(IF(Besatzung!$D$11:$D$22="",Besatzung!$B$6,Besatzung!$D$11:$D$22)&gt;=B165)),1)+(Besatzung!$F$17="x")*IFERROR(H165,0)/IFERROR(SUMPRODUCT((Besatzung!$B$11:$B$22&lt;&gt;"")*(Besatzung!$F$11:$F$22="x")*(IF(Besatzung!$C$11:$C$22="",Besatzung!$B$5,Besatzung!$C$11:$C$22)&lt;=B165)*(IF(Besatzung!$D$11:$D$22="",Besatzung!$B$6,Besatzung!$D$11:$D$22)&gt;=B165)),1))),IF(I165="Individuell",((P165="x")*((G165-IFERROR(H165,0))/IFERROR(COUNTIF(J165:U165,"x"),1)+(Besatzung!$F$17="x")*IFERROR(H165,0)/IFERROR(SUMPRODUCT((J165:U165="x")*(Besatzung!$F$11:$F$22="x")),1))),(IF(COUNTIF(J165:U165,"x")=0,IF(Besatzung!$B$17&lt;&gt;"",1,0),(P165="x"))*(G165-IFERROR(H165,0))/IFERROR(IF(COUNTIF(J165:U165,"x")=0,COUNTA(Besatzung!$B$11:$B$22),COUNTIF(J165:U165,"x")),1)+IF(COUNTIF(J165:U165,"x")=0,(Besatzung!$F$17="x"),(P165="x")*(Besatzung!$F$17="x"))*IFERROR(H165,0)/IFERROR(IF(COUNTIF(J165:U165,"x")=0,SUMPRODUCT((Besatzung!$B$11:$B$22&lt;&gt;"")*(Besatzung!$F$11:$F$22="x")),SUMPRODUCT((J165:U165="x")*(Besatzung!$F$11:$F$22="x"))),1))))),0))))</f>
        <v/>
      </c>
      <c r="AC165" s="247">
        <f>IF(C165="Gutschrift","",IF(G165="","",IF(Besatzung!$B$18="","",IFERROR(IF(I165="Zeitanteilig",(Besatzung!$G$18*(G165-IFERROR(H165,0))+((Besatzung!$B$18&lt;&gt;"")*IF(B165="",1,(IF(Besatzung!$C$18="",Besatzung!$B$5,Besatzung!$C$18)&lt;=B165)*(IF(Besatzung!$D$18="",Besatzung!$B$6,Besatzung!$D$18)&gt;=B165)))*(Besatzung!$F$18="x")*IFERROR(H165,0)/IFERROR(SUMPRODUCT((Besatzung!$B$11:$B$22&lt;&gt;"")*(Besatzung!$F$11:$F$22="x")*(IF(Besatzung!$C$11:$C$22="",Besatzung!$B$5,Besatzung!$C$11:$C$22)&lt;=B165)*(IF(Besatzung!$D$11:$D$22="",Besatzung!$B$6,Besatzung!$D$11:$D$22)&gt;=B165)),1)),IF(I165="An Bord",(((Besatzung!$B$18&lt;&gt;"")*IF(B165="",1,(IF(Besatzung!$C$18="",Besatzung!$B$5,Besatzung!$C$18)&lt;=B165)*(IF(Besatzung!$D$18="",Besatzung!$B$6,Besatzung!$D$18)&gt;=B165)))*((G165-IFERROR(H165,0))/IFERROR(SUMPRODUCT((Besatzung!$B$11:$B$22&lt;&gt;"")*(IF(Besatzung!$C$11:$C$22="",Besatzung!$B$5,Besatzung!$C$11:$C$22)&lt;=B165)*(IF(Besatzung!$D$11:$D$22="",Besatzung!$B$6,Besatzung!$D$11:$D$22)&gt;=B165)),1)+(Besatzung!$F$18="x")*IFERROR(H165,0)/IFERROR(SUMPRODUCT((Besatzung!$B$11:$B$22&lt;&gt;"")*(Besatzung!$F$11:$F$22="x")*(IF(Besatzung!$C$11:$C$22="",Besatzung!$B$5,Besatzung!$C$11:$C$22)&lt;=B165)*(IF(Besatzung!$D$11:$D$22="",Besatzung!$B$6,Besatzung!$D$11:$D$22)&gt;=B165)),1))),IF(I165="Individuell",((Q165="x")*((G165-IFERROR(H165,0))/IFERROR(COUNTIF(J165:U165,"x"),1)+(Besatzung!$F$18="x")*IFERROR(H165,0)/IFERROR(SUMPRODUCT((J165:U165="x")*(Besatzung!$F$11:$F$22="x")),1))),(IF(COUNTIF(J165:U165,"x")=0,IF(Besatzung!$B$18&lt;&gt;"",1,0),(Q165="x"))*(G165-IFERROR(H165,0))/IFERROR(IF(COUNTIF(J165:U165,"x")=0,COUNTA(Besatzung!$B$11:$B$22),COUNTIF(J165:U165,"x")),1)+IF(COUNTIF(J165:U165,"x")=0,(Besatzung!$F$18="x"),(Q165="x")*(Besatzung!$F$18="x"))*IFERROR(H165,0)/IFERROR(IF(COUNTIF(J165:U165,"x")=0,SUMPRODUCT((Besatzung!$B$11:$B$22&lt;&gt;"")*(Besatzung!$F$11:$F$22="x")),SUMPRODUCT((J165:U165="x")*(Besatzung!$F$11:$F$22="x"))),1))))),0))))</f>
        <v/>
      </c>
      <c r="AD165" s="247">
        <f>IF(C165="Gutschrift","",IF(G165="","",IF(Besatzung!$B$19="","",IFERROR(IF(I165="Zeitanteilig",(Besatzung!$G$19*(G165-IFERROR(H165,0))+((Besatzung!$B$19&lt;&gt;"")*IF(B165="",1,(IF(Besatzung!$C$19="",Besatzung!$B$5,Besatzung!$C$19)&lt;=B165)*(IF(Besatzung!$D$19="",Besatzung!$B$6,Besatzung!$D$19)&gt;=B165)))*(Besatzung!$F$19="x")*IFERROR(H165,0)/IFERROR(SUMPRODUCT((Besatzung!$B$11:$B$22&lt;&gt;"")*(Besatzung!$F$11:$F$22="x")*(IF(Besatzung!$C$11:$C$22="",Besatzung!$B$5,Besatzung!$C$11:$C$22)&lt;=B165)*(IF(Besatzung!$D$11:$D$22="",Besatzung!$B$6,Besatzung!$D$11:$D$22)&gt;=B165)),1)),IF(I165="An Bord",(((Besatzung!$B$19&lt;&gt;"")*IF(B165="",1,(IF(Besatzung!$C$19="",Besatzung!$B$5,Besatzung!$C$19)&lt;=B165)*(IF(Besatzung!$D$19="",Besatzung!$B$6,Besatzung!$D$19)&gt;=B165)))*((G165-IFERROR(H165,0))/IFERROR(SUMPRODUCT((Besatzung!$B$11:$B$22&lt;&gt;"")*(IF(Besatzung!$C$11:$C$22="",Besatzung!$B$5,Besatzung!$C$11:$C$22)&lt;=B165)*(IF(Besatzung!$D$11:$D$22="",Besatzung!$B$6,Besatzung!$D$11:$D$22)&gt;=B165)),1)+(Besatzung!$F$19="x")*IFERROR(H165,0)/IFERROR(SUMPRODUCT((Besatzung!$B$11:$B$22&lt;&gt;"")*(Besatzung!$F$11:$F$22="x")*(IF(Besatzung!$C$11:$C$22="",Besatzung!$B$5,Besatzung!$C$11:$C$22)&lt;=B165)*(IF(Besatzung!$D$11:$D$22="",Besatzung!$B$6,Besatzung!$D$11:$D$22)&gt;=B165)),1))),IF(I165="Individuell",((R165="x")*((G165-IFERROR(H165,0))/IFERROR(COUNTIF(J165:U165,"x"),1)+(Besatzung!$F$19="x")*IFERROR(H165,0)/IFERROR(SUMPRODUCT((J165:U165="x")*(Besatzung!$F$11:$F$22="x")),1))),(IF(COUNTIF(J165:U165,"x")=0,IF(Besatzung!$B$19&lt;&gt;"",1,0),(R165="x"))*(G165-IFERROR(H165,0))/IFERROR(IF(COUNTIF(J165:U165,"x")=0,COUNTA(Besatzung!$B$11:$B$22),COUNTIF(J165:U165,"x")),1)+IF(COUNTIF(J165:U165,"x")=0,(Besatzung!$F$19="x"),(R165="x")*(Besatzung!$F$19="x"))*IFERROR(H165,0)/IFERROR(IF(COUNTIF(J165:U165,"x")=0,SUMPRODUCT((Besatzung!$B$11:$B$22&lt;&gt;"")*(Besatzung!$F$11:$F$22="x")),SUMPRODUCT((J165:U165="x")*(Besatzung!$F$11:$F$22="x"))),1))))),0))))</f>
        <v/>
      </c>
      <c r="AE165" s="247">
        <f>IF(C165="Gutschrift","",IF(G165="","",IF(Besatzung!$B$20="","",IFERROR(IF(I165="Zeitanteilig",(Besatzung!$G$20*(G165-IFERROR(H165,0))+((Besatzung!$B$20&lt;&gt;"")*IF(B165="",1,(IF(Besatzung!$C$20="",Besatzung!$B$5,Besatzung!$C$20)&lt;=B165)*(IF(Besatzung!$D$20="",Besatzung!$B$6,Besatzung!$D$20)&gt;=B165)))*(Besatzung!$F$20="x")*IFERROR(H165,0)/IFERROR(SUMPRODUCT((Besatzung!$B$11:$B$22&lt;&gt;"")*(Besatzung!$F$11:$F$22="x")*(IF(Besatzung!$C$11:$C$22="",Besatzung!$B$5,Besatzung!$C$11:$C$22)&lt;=B165)*(IF(Besatzung!$D$11:$D$22="",Besatzung!$B$6,Besatzung!$D$11:$D$22)&gt;=B165)),1)),IF(I165="An Bord",(((Besatzung!$B$20&lt;&gt;"")*IF(B165="",1,(IF(Besatzung!$C$20="",Besatzung!$B$5,Besatzung!$C$20)&lt;=B165)*(IF(Besatzung!$D$20="",Besatzung!$B$6,Besatzung!$D$20)&gt;=B165)))*((G165-IFERROR(H165,0))/IFERROR(SUMPRODUCT((Besatzung!$B$11:$B$22&lt;&gt;"")*(IF(Besatzung!$C$11:$C$22="",Besatzung!$B$5,Besatzung!$C$11:$C$22)&lt;=B165)*(IF(Besatzung!$D$11:$D$22="",Besatzung!$B$6,Besatzung!$D$11:$D$22)&gt;=B165)),1)+(Besatzung!$F$20="x")*IFERROR(H165,0)/IFERROR(SUMPRODUCT((Besatzung!$B$11:$B$22&lt;&gt;"")*(Besatzung!$F$11:$F$22="x")*(IF(Besatzung!$C$11:$C$22="",Besatzung!$B$5,Besatzung!$C$11:$C$22)&lt;=B165)*(IF(Besatzung!$D$11:$D$22="",Besatzung!$B$6,Besatzung!$D$11:$D$22)&gt;=B165)),1))),IF(I165="Individuell",((S165="x")*((G165-IFERROR(H165,0))/IFERROR(COUNTIF(J165:U165,"x"),1)+(Besatzung!$F$20="x")*IFERROR(H165,0)/IFERROR(SUMPRODUCT((J165:U165="x")*(Besatzung!$F$11:$F$22="x")),1))),(IF(COUNTIF(J165:U165,"x")=0,IF(Besatzung!$B$20&lt;&gt;"",1,0),(S165="x"))*(G165-IFERROR(H165,0))/IFERROR(IF(COUNTIF(J165:U165,"x")=0,COUNTA(Besatzung!$B$11:$B$22),COUNTIF(J165:U165,"x")),1)+IF(COUNTIF(J165:U165,"x")=0,(Besatzung!$F$20="x"),(S165="x")*(Besatzung!$F$20="x"))*IFERROR(H165,0)/IFERROR(IF(COUNTIF(J165:U165,"x")=0,SUMPRODUCT((Besatzung!$B$11:$B$22&lt;&gt;"")*(Besatzung!$F$11:$F$22="x")),SUMPRODUCT((J165:U165="x")*(Besatzung!$F$11:$F$22="x"))),1))))),0))))</f>
        <v/>
      </c>
      <c r="AF165" s="247">
        <f>IF(C165="Gutschrift","",IF(G165="","",IF(Besatzung!$B$21="","",IFERROR(IF(I165="Zeitanteilig",(Besatzung!$G$21*(G165-IFERROR(H165,0))+((Besatzung!$B$21&lt;&gt;"")*IF(B165="",1,(IF(Besatzung!$C$21="",Besatzung!$B$5,Besatzung!$C$21)&lt;=B165)*(IF(Besatzung!$D$21="",Besatzung!$B$6,Besatzung!$D$21)&gt;=B165)))*(Besatzung!$F$21="x")*IFERROR(H165,0)/IFERROR(SUMPRODUCT((Besatzung!$B$11:$B$22&lt;&gt;"")*(Besatzung!$F$11:$F$22="x")*(IF(Besatzung!$C$11:$C$22="",Besatzung!$B$5,Besatzung!$C$11:$C$22)&lt;=B165)*(IF(Besatzung!$D$11:$D$22="",Besatzung!$B$6,Besatzung!$D$11:$D$22)&gt;=B165)),1)),IF(I165="An Bord",(((Besatzung!$B$21&lt;&gt;"")*IF(B165="",1,(IF(Besatzung!$C$21="",Besatzung!$B$5,Besatzung!$C$21)&lt;=B165)*(IF(Besatzung!$D$21="",Besatzung!$B$6,Besatzung!$D$21)&gt;=B165)))*((G165-IFERROR(H165,0))/IFERROR(SUMPRODUCT((Besatzung!$B$11:$B$22&lt;&gt;"")*(IF(Besatzung!$C$11:$C$22="",Besatzung!$B$5,Besatzung!$C$11:$C$22)&lt;=B165)*(IF(Besatzung!$D$11:$D$22="",Besatzung!$B$6,Besatzung!$D$11:$D$22)&gt;=B165)),1)+(Besatzung!$F$21="x")*IFERROR(H165,0)/IFERROR(SUMPRODUCT((Besatzung!$B$11:$B$22&lt;&gt;"")*(Besatzung!$F$11:$F$22="x")*(IF(Besatzung!$C$11:$C$22="",Besatzung!$B$5,Besatzung!$C$11:$C$22)&lt;=B165)*(IF(Besatzung!$D$11:$D$22="",Besatzung!$B$6,Besatzung!$D$11:$D$22)&gt;=B165)),1))),IF(I165="Individuell",((T165="x")*((G165-IFERROR(H165,0))/IFERROR(COUNTIF(J165:U165,"x"),1)+(Besatzung!$F$21="x")*IFERROR(H165,0)/IFERROR(SUMPRODUCT((J165:U165="x")*(Besatzung!$F$11:$F$22="x")),1))),(IF(COUNTIF(J165:U165,"x")=0,IF(Besatzung!$B$21&lt;&gt;"",1,0),(T165="x"))*(G165-IFERROR(H165,0))/IFERROR(IF(COUNTIF(J165:U165,"x")=0,COUNTA(Besatzung!$B$11:$B$22),COUNTIF(J165:U165,"x")),1)+IF(COUNTIF(J165:U165,"x")=0,(Besatzung!$F$21="x"),(T165="x")*(Besatzung!$F$21="x"))*IFERROR(H165,0)/IFERROR(IF(COUNTIF(J165:U165,"x")=0,SUMPRODUCT((Besatzung!$B$11:$B$22&lt;&gt;"")*(Besatzung!$F$11:$F$22="x")),SUMPRODUCT((J165:U165="x")*(Besatzung!$F$11:$F$22="x"))),1))))),0))))</f>
        <v/>
      </c>
      <c r="AG165" s="247">
        <f>IF(C165="Gutschrift","",IF(G165="","",IF(Besatzung!$B$22="","",IFERROR(IF(I165="Zeitanteilig",(Besatzung!$G$22*(G165-IFERROR(H165,0))+((Besatzung!$B$22&lt;&gt;"")*IF(B165="",1,(IF(Besatzung!$C$22="",Besatzung!$B$5,Besatzung!$C$22)&lt;=B165)*(IF(Besatzung!$D$22="",Besatzung!$B$6,Besatzung!$D$22)&gt;=B165)))*(Besatzung!$F$22="x")*IFERROR(H165,0)/IFERROR(SUMPRODUCT((Besatzung!$B$11:$B$22&lt;&gt;"")*(Besatzung!$F$11:$F$22="x")*(IF(Besatzung!$C$11:$C$22="",Besatzung!$B$5,Besatzung!$C$11:$C$22)&lt;=B165)*(IF(Besatzung!$D$11:$D$22="",Besatzung!$B$6,Besatzung!$D$11:$D$22)&gt;=B165)),1)),IF(I165="An Bord",(((Besatzung!$B$22&lt;&gt;"")*IF(B165="",1,(IF(Besatzung!$C$22="",Besatzung!$B$5,Besatzung!$C$22)&lt;=B165)*(IF(Besatzung!$D$22="",Besatzung!$B$6,Besatzung!$D$22)&gt;=B165)))*((G165-IFERROR(H165,0))/IFERROR(SUMPRODUCT((Besatzung!$B$11:$B$22&lt;&gt;"")*(IF(Besatzung!$C$11:$C$22="",Besatzung!$B$5,Besatzung!$C$11:$C$22)&lt;=B165)*(IF(Besatzung!$D$11:$D$22="",Besatzung!$B$6,Besatzung!$D$11:$D$22)&gt;=B165)),1)+(Besatzung!$F$22="x")*IFERROR(H165,0)/IFERROR(SUMPRODUCT((Besatzung!$B$11:$B$22&lt;&gt;"")*(Besatzung!$F$11:$F$22="x")*(IF(Besatzung!$C$11:$C$22="",Besatzung!$B$5,Besatzung!$C$11:$C$22)&lt;=B165)*(IF(Besatzung!$D$11:$D$22="",Besatzung!$B$6,Besatzung!$D$11:$D$22)&gt;=B165)),1))),IF(I165="Individuell",((U165="x")*((G165-IFERROR(H165,0))/IFERROR(COUNTIF(J165:U165,"x"),1)+(Besatzung!$F$22="x")*IFERROR(H165,0)/IFERROR(SUMPRODUCT((J165:U165="x")*(Besatzung!$F$11:$F$22="x")),1))),(IF(COUNTIF(J165:U165,"x")=0,IF(Besatzung!$B$22&lt;&gt;"",1,0),(U165="x"))*(G165-IFERROR(H165,0))/IFERROR(IF(COUNTIF(J165:U165,"x")=0,COUNTA(Besatzung!$B$11:$B$22),COUNTIF(J165:U165,"x")),1)+IF(COUNTIF(J165:U165,"x")=0,(Besatzung!$F$22="x"),(U165="x")*(Besatzung!$F$22="x"))*IFERROR(H165,0)/IFERROR(IF(COUNTIF(J165:U165,"x")=0,SUMPRODUCT((Besatzung!$B$11:$B$22&lt;&gt;"")*(Besatzung!$F$11:$F$22="x")),SUMPRODUCT((J165:U165="x")*(Besatzung!$F$11:$F$22="x"))),1))))),0))))</f>
        <v/>
      </c>
      <c r="AH165" s="248" t="n"/>
      <c r="AI165" s="248" t="n"/>
    </row>
    <row r="166" ht="21.75" customHeight="1" s="154">
      <c r="A166" s="238">
        <f>IF(AND(D166="",C166=""),"",163)</f>
        <v/>
      </c>
      <c r="B166" s="199" t="n"/>
      <c r="C166" s="239" t="n"/>
      <c r="D166" s="240" t="n"/>
      <c r="E166" s="241" t="n"/>
      <c r="F166" s="242" t="n"/>
      <c r="G166" s="243" t="n"/>
      <c r="H166" s="244" t="n"/>
      <c r="I166" s="245" t="n"/>
      <c r="J166" s="246" t="n"/>
      <c r="K166" s="246" t="n"/>
      <c r="L166" s="246" t="n"/>
      <c r="M166" s="246" t="n"/>
      <c r="N166" s="246" t="n"/>
      <c r="O166" s="246" t="n"/>
      <c r="P166" s="246" t="n"/>
      <c r="Q166" s="246" t="n"/>
      <c r="R166" s="246" t="n"/>
      <c r="S166" s="246" t="n"/>
      <c r="T166" s="246" t="n"/>
      <c r="U166" s="246" t="n"/>
      <c r="V166" s="247">
        <f>IF(C166="Gutschrift","",IF(G166="","",IF(Besatzung!$B$11="","",IFERROR(IF(I166="Zeitanteilig",(Besatzung!$G$11*(G166-IFERROR(H166,0))+((Besatzung!$B$11&lt;&gt;"")*IF(B166="",1,(IF(Besatzung!$C$11="",Besatzung!$B$5,Besatzung!$C$11)&lt;=B166)*(IF(Besatzung!$D$11="",Besatzung!$B$6,Besatzung!$D$11)&gt;=B166)))*(Besatzung!$F$11="x")*IFERROR(H166,0)/IFERROR(SUMPRODUCT((Besatzung!$B$11:$B$22&lt;&gt;"")*(Besatzung!$F$11:$F$22="x")*(IF(Besatzung!$C$11:$C$22="",Besatzung!$B$5,Besatzung!$C$11:$C$22)&lt;=B166)*(IF(Besatzung!$D$11:$D$22="",Besatzung!$B$6,Besatzung!$D$11:$D$22)&gt;=B166)),1)),IF(I166="An Bord",(((Besatzung!$B$11&lt;&gt;"")*IF(B166="",1,(IF(Besatzung!$C$11="",Besatzung!$B$5,Besatzung!$C$11)&lt;=B166)*(IF(Besatzung!$D$11="",Besatzung!$B$6,Besatzung!$D$11)&gt;=B166)))*((G166-IFERROR(H166,0))/IFERROR(SUMPRODUCT((Besatzung!$B$11:$B$22&lt;&gt;"")*(IF(Besatzung!$C$11:$C$22="",Besatzung!$B$5,Besatzung!$C$11:$C$22)&lt;=B166)*(IF(Besatzung!$D$11:$D$22="",Besatzung!$B$6,Besatzung!$D$11:$D$22)&gt;=B166)),1)+(Besatzung!$F$11="x")*IFERROR(H166,0)/IFERROR(SUMPRODUCT((Besatzung!$B$11:$B$22&lt;&gt;"")*(Besatzung!$F$11:$F$22="x")*(IF(Besatzung!$C$11:$C$22="",Besatzung!$B$5,Besatzung!$C$11:$C$22)&lt;=B166)*(IF(Besatzung!$D$11:$D$22="",Besatzung!$B$6,Besatzung!$D$11:$D$22)&gt;=B166)),1))),IF(I166="Individuell",((J166="x")*((G166-IFERROR(H166,0))/IFERROR(COUNTIF(J166:U166,"x"),1)+(Besatzung!$F$11="x")*IFERROR(H166,0)/IFERROR(SUMPRODUCT((J166:U166="x")*(Besatzung!$F$11:$F$22="x")),1))),(IF(COUNTIF(J166:U166,"x")=0,IF(Besatzung!$B$11&lt;&gt;"",1,0),(J166="x"))*(G166-IFERROR(H166,0))/IFERROR(IF(COUNTIF(J166:U166,"x")=0,COUNTA(Besatzung!$B$11:$B$22),COUNTIF(J166:U166,"x")),1)+IF(COUNTIF(J166:U166,"x")=0,(Besatzung!$F$11="x"),(J166="x")*(Besatzung!$F$11="x"))*IFERROR(H166,0)/IFERROR(IF(COUNTIF(J166:U166,"x")=0,SUMPRODUCT((Besatzung!$B$11:$B$22&lt;&gt;"")*(Besatzung!$F$11:$F$22="x")),SUMPRODUCT((J166:U166="x")*(Besatzung!$F$11:$F$22="x"))),1))))),0))))</f>
        <v/>
      </c>
      <c r="W166" s="247">
        <f>IF(C166="Gutschrift","",IF(G166="","",IF(Besatzung!$B$12="","",IFERROR(IF(I166="Zeitanteilig",(Besatzung!$G$12*(G166-IFERROR(H166,0))+((Besatzung!$B$12&lt;&gt;"")*IF(B166="",1,(IF(Besatzung!$C$12="",Besatzung!$B$5,Besatzung!$C$12)&lt;=B166)*(IF(Besatzung!$D$12="",Besatzung!$B$6,Besatzung!$D$12)&gt;=B166)))*(Besatzung!$F$12="x")*IFERROR(H166,0)/IFERROR(SUMPRODUCT((Besatzung!$B$11:$B$22&lt;&gt;"")*(Besatzung!$F$11:$F$22="x")*(IF(Besatzung!$C$11:$C$22="",Besatzung!$B$5,Besatzung!$C$11:$C$22)&lt;=B166)*(IF(Besatzung!$D$11:$D$22="",Besatzung!$B$6,Besatzung!$D$11:$D$22)&gt;=B166)),1)),IF(I166="An Bord",(((Besatzung!$B$12&lt;&gt;"")*IF(B166="",1,(IF(Besatzung!$C$12="",Besatzung!$B$5,Besatzung!$C$12)&lt;=B166)*(IF(Besatzung!$D$12="",Besatzung!$B$6,Besatzung!$D$12)&gt;=B166)))*((G166-IFERROR(H166,0))/IFERROR(SUMPRODUCT((Besatzung!$B$11:$B$22&lt;&gt;"")*(IF(Besatzung!$C$11:$C$22="",Besatzung!$B$5,Besatzung!$C$11:$C$22)&lt;=B166)*(IF(Besatzung!$D$11:$D$22="",Besatzung!$B$6,Besatzung!$D$11:$D$22)&gt;=B166)),1)+(Besatzung!$F$12="x")*IFERROR(H166,0)/IFERROR(SUMPRODUCT((Besatzung!$B$11:$B$22&lt;&gt;"")*(Besatzung!$F$11:$F$22="x")*(IF(Besatzung!$C$11:$C$22="",Besatzung!$B$5,Besatzung!$C$11:$C$22)&lt;=B166)*(IF(Besatzung!$D$11:$D$22="",Besatzung!$B$6,Besatzung!$D$11:$D$22)&gt;=B166)),1))),IF(I166="Individuell",((K166="x")*((G166-IFERROR(H166,0))/IFERROR(COUNTIF(J166:U166,"x"),1)+(Besatzung!$F$12="x")*IFERROR(H166,0)/IFERROR(SUMPRODUCT((J166:U166="x")*(Besatzung!$F$11:$F$22="x")),1))),(IF(COUNTIF(J166:U166,"x")=0,IF(Besatzung!$B$12&lt;&gt;"",1,0),(K166="x"))*(G166-IFERROR(H166,0))/IFERROR(IF(COUNTIF(J166:U166,"x")=0,COUNTA(Besatzung!$B$11:$B$22),COUNTIF(J166:U166,"x")),1)+IF(COUNTIF(J166:U166,"x")=0,(Besatzung!$F$12="x"),(K166="x")*(Besatzung!$F$12="x"))*IFERROR(H166,0)/IFERROR(IF(COUNTIF(J166:U166,"x")=0,SUMPRODUCT((Besatzung!$B$11:$B$22&lt;&gt;"")*(Besatzung!$F$11:$F$22="x")),SUMPRODUCT((J166:U166="x")*(Besatzung!$F$11:$F$22="x"))),1))))),0))))</f>
        <v/>
      </c>
      <c r="X166" s="247">
        <f>IF(C166="Gutschrift","",IF(G166="","",IF(Besatzung!$B$13="","",IFERROR(IF(I166="Zeitanteilig",(Besatzung!$G$13*(G166-IFERROR(H166,0))+((Besatzung!$B$13&lt;&gt;"")*IF(B166="",1,(IF(Besatzung!$C$13="",Besatzung!$B$5,Besatzung!$C$13)&lt;=B166)*(IF(Besatzung!$D$13="",Besatzung!$B$6,Besatzung!$D$13)&gt;=B166)))*(Besatzung!$F$13="x")*IFERROR(H166,0)/IFERROR(SUMPRODUCT((Besatzung!$B$11:$B$22&lt;&gt;"")*(Besatzung!$F$11:$F$22="x")*(IF(Besatzung!$C$11:$C$22="",Besatzung!$B$5,Besatzung!$C$11:$C$22)&lt;=B166)*(IF(Besatzung!$D$11:$D$22="",Besatzung!$B$6,Besatzung!$D$11:$D$22)&gt;=B166)),1)),IF(I166="An Bord",(((Besatzung!$B$13&lt;&gt;"")*IF(B166="",1,(IF(Besatzung!$C$13="",Besatzung!$B$5,Besatzung!$C$13)&lt;=B166)*(IF(Besatzung!$D$13="",Besatzung!$B$6,Besatzung!$D$13)&gt;=B166)))*((G166-IFERROR(H166,0))/IFERROR(SUMPRODUCT((Besatzung!$B$11:$B$22&lt;&gt;"")*(IF(Besatzung!$C$11:$C$22="",Besatzung!$B$5,Besatzung!$C$11:$C$22)&lt;=B166)*(IF(Besatzung!$D$11:$D$22="",Besatzung!$B$6,Besatzung!$D$11:$D$22)&gt;=B166)),1)+(Besatzung!$F$13="x")*IFERROR(H166,0)/IFERROR(SUMPRODUCT((Besatzung!$B$11:$B$22&lt;&gt;"")*(Besatzung!$F$11:$F$22="x")*(IF(Besatzung!$C$11:$C$22="",Besatzung!$B$5,Besatzung!$C$11:$C$22)&lt;=B166)*(IF(Besatzung!$D$11:$D$22="",Besatzung!$B$6,Besatzung!$D$11:$D$22)&gt;=B166)),1))),IF(I166="Individuell",((K166="x")*((G166-IFERROR(H166,0))/IFERROR(COUNTIF(J166:U166,"x"),1)+(Besatzung!$F$13="x")*IFERROR(H166,0)/IFERROR(SUMPRODUCT((J166:U166="x")*(Besatzung!$F$11:$F$22="x")),1))),(IF(COUNTIF(J166:U166,"x")=0,IF(Besatzung!$B$13&lt;&gt;"",1,0),(K166="x"))*(G166-IFERROR(H166,0))/IFERROR(IF(COUNTIF(J166:U166,"x")=0,COUNTA(Besatzung!$B$11:$B$22),COUNTIF(J166:U166,"x")),1)+IF(COUNTIF(J166:U166,"x")=0,(Besatzung!$F$13="x"),(K166="x")*(Besatzung!$F$13="x"))*IFERROR(H166,0)/IFERROR(IF(COUNTIF(J166:U166,"x")=0,SUMPRODUCT((Besatzung!$B$11:$B$22&lt;&gt;"")*(Besatzung!$F$11:$F$22="x")),SUMPRODUCT((J166:U166="x")*(Besatzung!$F$11:$F$22="x"))),1))))),0))))</f>
        <v/>
      </c>
      <c r="Y166" s="247">
        <f>IF(C166="Gutschrift","",IF(G166="","",IF(Besatzung!$B$14="","",IFERROR(IF(I166="Zeitanteilig",(Besatzung!$G$14*(G166-IFERROR(H166,0))+((Besatzung!$B$14&lt;&gt;"")*IF(B166="",1,(IF(Besatzung!$C$14="",Besatzung!$B$5,Besatzung!$C$14)&lt;=B166)*(IF(Besatzung!$D$14="",Besatzung!$B$6,Besatzung!$D$14)&gt;=B166)))*(Besatzung!$F$14="x")*IFERROR(H166,0)/IFERROR(SUMPRODUCT((Besatzung!$B$11:$B$22&lt;&gt;"")*(Besatzung!$F$11:$F$22="x")*(IF(Besatzung!$C$11:$C$22="",Besatzung!$B$5,Besatzung!$C$11:$C$22)&lt;=B166)*(IF(Besatzung!$D$11:$D$22="",Besatzung!$B$6,Besatzung!$D$11:$D$22)&gt;=B166)),1)),IF(I166="An Bord",(((Besatzung!$B$14&lt;&gt;"")*IF(B166="",1,(IF(Besatzung!$C$14="",Besatzung!$B$5,Besatzung!$C$14)&lt;=B166)*(IF(Besatzung!$D$14="",Besatzung!$B$6,Besatzung!$D$14)&gt;=B166)))*((G166-IFERROR(H166,0))/IFERROR(SUMPRODUCT((Besatzung!$B$11:$B$22&lt;&gt;"")*(IF(Besatzung!$C$11:$C$22="",Besatzung!$B$5,Besatzung!$C$11:$C$22)&lt;=B166)*(IF(Besatzung!$D$11:$D$22="",Besatzung!$B$6,Besatzung!$D$11:$D$22)&gt;=B166)),1)+(Besatzung!$F$14="x")*IFERROR(H166,0)/IFERROR(SUMPRODUCT((Besatzung!$B$11:$B$22&lt;&gt;"")*(Besatzung!$F$11:$F$22="x")*(IF(Besatzung!$C$11:$C$22="",Besatzung!$B$5,Besatzung!$C$11:$C$22)&lt;=B166)*(IF(Besatzung!$D$11:$D$22="",Besatzung!$B$6,Besatzung!$D$11:$D$22)&gt;=B166)),1))),IF(I166="Individuell",((M166="x")*((G166-IFERROR(H166,0))/IFERROR(COUNTIF(J166:U166,"x"),1)+(Besatzung!$F$14="x")*IFERROR(H166,0)/IFERROR(SUMPRODUCT((J166:U166="x")*(Besatzung!$F$11:$F$22="x")),1))),(IF(COUNTIF(J166:U166,"x")=0,IF(Besatzung!$B$14&lt;&gt;"",1,0),(M166="x"))*(G166-IFERROR(H166,0))/IFERROR(IF(COUNTIF(J166:U166,"x")=0,COUNTA(Besatzung!$B$11:$B$22),COUNTIF(J166:U166,"x")),1)+IF(COUNTIF(J166:U166,"x")=0,(Besatzung!$F$14="x"),(M166="x")*(Besatzung!$F$14="x"))*IFERROR(H166,0)/IFERROR(IF(COUNTIF(J166:U166,"x")=0,SUMPRODUCT((Besatzung!$B$11:$B$22&lt;&gt;"")*(Besatzung!$F$11:$F$22="x")),SUMPRODUCT((J166:U166="x")*(Besatzung!$F$11:$F$22="x"))),1))))),0))))</f>
        <v/>
      </c>
      <c r="Z166" s="247">
        <f>IF(C166="Gutschrift","",IF(G166="","",IF(Besatzung!$B$13="","",IFERROR(IF(I166="Zeitanteilig",(Besatzung!$G$15*(G166-IFERROR(H166,0))+((Besatzung!$B$13&lt;&gt;"")*IF(B166="",1,(IF(Besatzung!$C$15="",Besatzung!$B$5,Besatzung!$C$15)&lt;=B166)*(IF(Besatzung!$D$15="",Besatzung!$B$6,Besatzung!$D$15)&gt;=B166)))*(Besatzung!$F$15="x")*IFERROR(H166,0)/IFERROR(SUMPRODUCT((Besatzung!$B$11:$B$22&lt;&gt;"")*(Besatzung!$F$11:$F$22="x")*(IF(Besatzung!$C$11:$C$22="",Besatzung!$B$5,Besatzung!$C$11:$C$22)&lt;=B166)*(IF(Besatzung!$D$11:$D$22="",Besatzung!$B$6,Besatzung!$D$11:$D$22)&gt;=B166)),1)),IF(I166="An Bord",(((Besatzung!$B$13&lt;&gt;"")*IF(B166="",1,(IF(Besatzung!$C$15="",Besatzung!$B$5,Besatzung!$C$15)&lt;=B166)*(IF(Besatzung!$D$15="",Besatzung!$B$6,Besatzung!$D$15)&gt;=B166)))*((G166-IFERROR(H166,0))/IFERROR(SUMPRODUCT((Besatzung!$B$11:$B$22&lt;&gt;"")*(IF(Besatzung!$C$11:$C$22="",Besatzung!$B$5,Besatzung!$C$11:$C$22)&lt;=B166)*(IF(Besatzung!$D$11:$D$22="",Besatzung!$B$6,Besatzung!$D$11:$D$22)&gt;=B166)),1)+(Besatzung!$F$15="x")*IFERROR(H166,0)/IFERROR(SUMPRODUCT((Besatzung!$B$11:$B$22&lt;&gt;"")*(Besatzung!$F$11:$F$22="x")*(IF(Besatzung!$C$11:$C$22="",Besatzung!$B$5,Besatzung!$C$11:$C$22)&lt;=B166)*(IF(Besatzung!$D$11:$D$22="",Besatzung!$B$6,Besatzung!$D$11:$D$22)&gt;=B166)),1))),IF(I166="Individuell",((N166="x")*((G166-IFERROR(H166,0))/IFERROR(COUNTIF(J166:U166,"x"),1)+(Besatzung!$F$15="x")*IFERROR(H166,0)/IFERROR(SUMPRODUCT((J166:U166="x")*(Besatzung!$F$11:$F$22="x")),1))),(IF(COUNTIF(J166:U166,"x")=0,IF(Besatzung!$B$13&lt;&gt;"",1,0),(N166="x"))*(G166-IFERROR(H166,0))/IFERROR(IF(COUNTIF(J166:U166,"x")=0,COUNTA(Besatzung!$B$11:$B$22),COUNTIF(J166:U166,"x")),1)+IF(COUNTIF(J166:U166,"x")=0,(Besatzung!$F$15="x"),(N166="x")*(Besatzung!$F$15="x"))*IFERROR(H166,0)/IFERROR(IF(COUNTIF(J166:U166,"x")=0,SUMPRODUCT((Besatzung!$B$11:$B$22&lt;&gt;"")*(Besatzung!$F$11:$F$22="x")),SUMPRODUCT((J166:U166="x")*(Besatzung!$F$11:$F$22="x"))),1))))),0))))</f>
        <v/>
      </c>
      <c r="AA166" s="247">
        <f>IF(C166="Gutschrift","",IF(G166="","",IF(Besatzung!$B$15="","",IFERROR(IF(I166="Zeitanteilig",(Besatzung!$G$16*(G166-IFERROR(H166,0))+((Besatzung!$B$15&lt;&gt;"")*IF(B166="",1,(IF(Besatzung!$C$16="",Besatzung!$B$5,Besatzung!$C$16)&lt;=B166)*(IF(Besatzung!$D$16="",Besatzung!$B$6,Besatzung!$D$16)&gt;=B166)))*(Besatzung!$F$16="x")*IFERROR(H166,0)/IFERROR(SUMPRODUCT((Besatzung!$B$11:$B$22&lt;&gt;"")*(Besatzung!$F$11:$F$22="x")*(IF(Besatzung!$C$11:$C$22="",Besatzung!$B$5,Besatzung!$C$11:$C$22)&lt;=B166)*(IF(Besatzung!$D$11:$D$22="",Besatzung!$B$6,Besatzung!$D$11:$D$22)&gt;=B166)),1)),IF(I166="An Bord",(((Besatzung!$B$15&lt;&gt;"")*IF(B166="",1,(IF(Besatzung!$C$16="",Besatzung!$B$5,Besatzung!$C$16)&lt;=B166)*(IF(Besatzung!$D$16="",Besatzung!$B$6,Besatzung!$D$16)&gt;=B166)))*((G166-IFERROR(H166,0))/IFERROR(SUMPRODUCT((Besatzung!$B$11:$B$22&lt;&gt;"")*(IF(Besatzung!$C$11:$C$22="",Besatzung!$B$5,Besatzung!$C$11:$C$22)&lt;=B166)*(IF(Besatzung!$D$11:$D$22="",Besatzung!$B$6,Besatzung!$D$11:$D$22)&gt;=B166)),1)+(Besatzung!$F$16="x")*IFERROR(H166,0)/IFERROR(SUMPRODUCT((Besatzung!$B$11:$B$22&lt;&gt;"")*(Besatzung!$F$11:$F$22="x")*(IF(Besatzung!$C$11:$C$22="",Besatzung!$B$5,Besatzung!$C$11:$C$22)&lt;=B166)*(IF(Besatzung!$D$11:$D$22="",Besatzung!$B$6,Besatzung!$D$11:$D$22)&gt;=B166)),1))),IF(I166="Individuell",((O166="x")*((G166-IFERROR(H166,0))/IFERROR(COUNTIF(J166:U166,"x"),1)+(Besatzung!$F$16="x")*IFERROR(H166,0)/IFERROR(SUMPRODUCT((J166:U166="x")*(Besatzung!$F$11:$F$22="x")),1))),(IF(COUNTIF(J166:U166,"x")=0,IF(Besatzung!$B$15&lt;&gt;"",1,0),(O166="x"))*(G166-IFERROR(H166,0))/IFERROR(IF(COUNTIF(J166:U166,"x")=0,COUNTA(Besatzung!$B$11:$B$22),COUNTIF(J166:U166,"x")),1)+IF(COUNTIF(J166:U166,"x")=0,(Besatzung!$F$16="x"),(O166="x")*(Besatzung!$F$16="x"))*IFERROR(H166,0)/IFERROR(IF(COUNTIF(J166:U166,"x")=0,SUMPRODUCT((Besatzung!$B$11:$B$22&lt;&gt;"")*(Besatzung!$F$11:$F$22="x")),SUMPRODUCT((J166:U166="x")*(Besatzung!$F$11:$F$22="x"))),1))))),0))))</f>
        <v/>
      </c>
      <c r="AB166" s="247">
        <f>IF(C166="Gutschrift","",IF(G166="","",IF(Besatzung!$B$17="","",IFERROR(IF(I166="Zeitanteilig",(Besatzung!$G$17*(G166-IFERROR(H166,0))+((Besatzung!$B$17&lt;&gt;"")*IF(B166="",1,(IF(Besatzung!$C$17="",Besatzung!$B$5,Besatzung!$C$17)&lt;=B166)*(IF(Besatzung!$D$17="",Besatzung!$B$6,Besatzung!$D$17)&gt;=B166)))*(Besatzung!$F$17="x")*IFERROR(H166,0)/IFERROR(SUMPRODUCT((Besatzung!$B$11:$B$22&lt;&gt;"")*(Besatzung!$F$11:$F$22="x")*(IF(Besatzung!$C$11:$C$22="",Besatzung!$B$5,Besatzung!$C$11:$C$22)&lt;=B166)*(IF(Besatzung!$D$11:$D$22="",Besatzung!$B$6,Besatzung!$D$11:$D$22)&gt;=B166)),1)),IF(I166="An Bord",(((Besatzung!$B$17&lt;&gt;"")*IF(B166="",1,(IF(Besatzung!$C$17="",Besatzung!$B$5,Besatzung!$C$17)&lt;=B166)*(IF(Besatzung!$D$17="",Besatzung!$B$6,Besatzung!$D$17)&gt;=B166)))*((G166-IFERROR(H166,0))/IFERROR(SUMPRODUCT((Besatzung!$B$11:$B$22&lt;&gt;"")*(IF(Besatzung!$C$11:$C$22="",Besatzung!$B$5,Besatzung!$C$11:$C$22)&lt;=B166)*(IF(Besatzung!$D$11:$D$22="",Besatzung!$B$6,Besatzung!$D$11:$D$22)&gt;=B166)),1)+(Besatzung!$F$17="x")*IFERROR(H166,0)/IFERROR(SUMPRODUCT((Besatzung!$B$11:$B$22&lt;&gt;"")*(Besatzung!$F$11:$F$22="x")*(IF(Besatzung!$C$11:$C$22="",Besatzung!$B$5,Besatzung!$C$11:$C$22)&lt;=B166)*(IF(Besatzung!$D$11:$D$22="",Besatzung!$B$6,Besatzung!$D$11:$D$22)&gt;=B166)),1))),IF(I166="Individuell",((P166="x")*((G166-IFERROR(H166,0))/IFERROR(COUNTIF(J166:U166,"x"),1)+(Besatzung!$F$17="x")*IFERROR(H166,0)/IFERROR(SUMPRODUCT((J166:U166="x")*(Besatzung!$F$11:$F$22="x")),1))),(IF(COUNTIF(J166:U166,"x")=0,IF(Besatzung!$B$17&lt;&gt;"",1,0),(P166="x"))*(G166-IFERROR(H166,0))/IFERROR(IF(COUNTIF(J166:U166,"x")=0,COUNTA(Besatzung!$B$11:$B$22),COUNTIF(J166:U166,"x")),1)+IF(COUNTIF(J166:U166,"x")=0,(Besatzung!$F$17="x"),(P166="x")*(Besatzung!$F$17="x"))*IFERROR(H166,0)/IFERROR(IF(COUNTIF(J166:U166,"x")=0,SUMPRODUCT((Besatzung!$B$11:$B$22&lt;&gt;"")*(Besatzung!$F$11:$F$22="x")),SUMPRODUCT((J166:U166="x")*(Besatzung!$F$11:$F$22="x"))),1))))),0))))</f>
        <v/>
      </c>
      <c r="AC166" s="247">
        <f>IF(C166="Gutschrift","",IF(G166="","",IF(Besatzung!$B$18="","",IFERROR(IF(I166="Zeitanteilig",(Besatzung!$G$18*(G166-IFERROR(H166,0))+((Besatzung!$B$18&lt;&gt;"")*IF(B166="",1,(IF(Besatzung!$C$18="",Besatzung!$B$5,Besatzung!$C$18)&lt;=B166)*(IF(Besatzung!$D$18="",Besatzung!$B$6,Besatzung!$D$18)&gt;=B166)))*(Besatzung!$F$18="x")*IFERROR(H166,0)/IFERROR(SUMPRODUCT((Besatzung!$B$11:$B$22&lt;&gt;"")*(Besatzung!$F$11:$F$22="x")*(IF(Besatzung!$C$11:$C$22="",Besatzung!$B$5,Besatzung!$C$11:$C$22)&lt;=B166)*(IF(Besatzung!$D$11:$D$22="",Besatzung!$B$6,Besatzung!$D$11:$D$22)&gt;=B166)),1)),IF(I166="An Bord",(((Besatzung!$B$18&lt;&gt;"")*IF(B166="",1,(IF(Besatzung!$C$18="",Besatzung!$B$5,Besatzung!$C$18)&lt;=B166)*(IF(Besatzung!$D$18="",Besatzung!$B$6,Besatzung!$D$18)&gt;=B166)))*((G166-IFERROR(H166,0))/IFERROR(SUMPRODUCT((Besatzung!$B$11:$B$22&lt;&gt;"")*(IF(Besatzung!$C$11:$C$22="",Besatzung!$B$5,Besatzung!$C$11:$C$22)&lt;=B166)*(IF(Besatzung!$D$11:$D$22="",Besatzung!$B$6,Besatzung!$D$11:$D$22)&gt;=B166)),1)+(Besatzung!$F$18="x")*IFERROR(H166,0)/IFERROR(SUMPRODUCT((Besatzung!$B$11:$B$22&lt;&gt;"")*(Besatzung!$F$11:$F$22="x")*(IF(Besatzung!$C$11:$C$22="",Besatzung!$B$5,Besatzung!$C$11:$C$22)&lt;=B166)*(IF(Besatzung!$D$11:$D$22="",Besatzung!$B$6,Besatzung!$D$11:$D$22)&gt;=B166)),1))),IF(I166="Individuell",((Q166="x")*((G166-IFERROR(H166,0))/IFERROR(COUNTIF(J166:U166,"x"),1)+(Besatzung!$F$18="x")*IFERROR(H166,0)/IFERROR(SUMPRODUCT((J166:U166="x")*(Besatzung!$F$11:$F$22="x")),1))),(IF(COUNTIF(J166:U166,"x")=0,IF(Besatzung!$B$18&lt;&gt;"",1,0),(Q166="x"))*(G166-IFERROR(H166,0))/IFERROR(IF(COUNTIF(J166:U166,"x")=0,COUNTA(Besatzung!$B$11:$B$22),COUNTIF(J166:U166,"x")),1)+IF(COUNTIF(J166:U166,"x")=0,(Besatzung!$F$18="x"),(Q166="x")*(Besatzung!$F$18="x"))*IFERROR(H166,0)/IFERROR(IF(COUNTIF(J166:U166,"x")=0,SUMPRODUCT((Besatzung!$B$11:$B$22&lt;&gt;"")*(Besatzung!$F$11:$F$22="x")),SUMPRODUCT((J166:U166="x")*(Besatzung!$F$11:$F$22="x"))),1))))),0))))</f>
        <v/>
      </c>
      <c r="AD166" s="247">
        <f>IF(C166="Gutschrift","",IF(G166="","",IF(Besatzung!$B$19="","",IFERROR(IF(I166="Zeitanteilig",(Besatzung!$G$19*(G166-IFERROR(H166,0))+((Besatzung!$B$19&lt;&gt;"")*IF(B166="",1,(IF(Besatzung!$C$19="",Besatzung!$B$5,Besatzung!$C$19)&lt;=B166)*(IF(Besatzung!$D$19="",Besatzung!$B$6,Besatzung!$D$19)&gt;=B166)))*(Besatzung!$F$19="x")*IFERROR(H166,0)/IFERROR(SUMPRODUCT((Besatzung!$B$11:$B$22&lt;&gt;"")*(Besatzung!$F$11:$F$22="x")*(IF(Besatzung!$C$11:$C$22="",Besatzung!$B$5,Besatzung!$C$11:$C$22)&lt;=B166)*(IF(Besatzung!$D$11:$D$22="",Besatzung!$B$6,Besatzung!$D$11:$D$22)&gt;=B166)),1)),IF(I166="An Bord",(((Besatzung!$B$19&lt;&gt;"")*IF(B166="",1,(IF(Besatzung!$C$19="",Besatzung!$B$5,Besatzung!$C$19)&lt;=B166)*(IF(Besatzung!$D$19="",Besatzung!$B$6,Besatzung!$D$19)&gt;=B166)))*((G166-IFERROR(H166,0))/IFERROR(SUMPRODUCT((Besatzung!$B$11:$B$22&lt;&gt;"")*(IF(Besatzung!$C$11:$C$22="",Besatzung!$B$5,Besatzung!$C$11:$C$22)&lt;=B166)*(IF(Besatzung!$D$11:$D$22="",Besatzung!$B$6,Besatzung!$D$11:$D$22)&gt;=B166)),1)+(Besatzung!$F$19="x")*IFERROR(H166,0)/IFERROR(SUMPRODUCT((Besatzung!$B$11:$B$22&lt;&gt;"")*(Besatzung!$F$11:$F$22="x")*(IF(Besatzung!$C$11:$C$22="",Besatzung!$B$5,Besatzung!$C$11:$C$22)&lt;=B166)*(IF(Besatzung!$D$11:$D$22="",Besatzung!$B$6,Besatzung!$D$11:$D$22)&gt;=B166)),1))),IF(I166="Individuell",((R166="x")*((G166-IFERROR(H166,0))/IFERROR(COUNTIF(J166:U166,"x"),1)+(Besatzung!$F$19="x")*IFERROR(H166,0)/IFERROR(SUMPRODUCT((J166:U166="x")*(Besatzung!$F$11:$F$22="x")),1))),(IF(COUNTIF(J166:U166,"x")=0,IF(Besatzung!$B$19&lt;&gt;"",1,0),(R166="x"))*(G166-IFERROR(H166,0))/IFERROR(IF(COUNTIF(J166:U166,"x")=0,COUNTA(Besatzung!$B$11:$B$22),COUNTIF(J166:U166,"x")),1)+IF(COUNTIF(J166:U166,"x")=0,(Besatzung!$F$19="x"),(R166="x")*(Besatzung!$F$19="x"))*IFERROR(H166,0)/IFERROR(IF(COUNTIF(J166:U166,"x")=0,SUMPRODUCT((Besatzung!$B$11:$B$22&lt;&gt;"")*(Besatzung!$F$11:$F$22="x")),SUMPRODUCT((J166:U166="x")*(Besatzung!$F$11:$F$22="x"))),1))))),0))))</f>
        <v/>
      </c>
      <c r="AE166" s="247">
        <f>IF(C166="Gutschrift","",IF(G166="","",IF(Besatzung!$B$20="","",IFERROR(IF(I166="Zeitanteilig",(Besatzung!$G$20*(G166-IFERROR(H166,0))+((Besatzung!$B$20&lt;&gt;"")*IF(B166="",1,(IF(Besatzung!$C$20="",Besatzung!$B$5,Besatzung!$C$20)&lt;=B166)*(IF(Besatzung!$D$20="",Besatzung!$B$6,Besatzung!$D$20)&gt;=B166)))*(Besatzung!$F$20="x")*IFERROR(H166,0)/IFERROR(SUMPRODUCT((Besatzung!$B$11:$B$22&lt;&gt;"")*(Besatzung!$F$11:$F$22="x")*(IF(Besatzung!$C$11:$C$22="",Besatzung!$B$5,Besatzung!$C$11:$C$22)&lt;=B166)*(IF(Besatzung!$D$11:$D$22="",Besatzung!$B$6,Besatzung!$D$11:$D$22)&gt;=B166)),1)),IF(I166="An Bord",(((Besatzung!$B$20&lt;&gt;"")*IF(B166="",1,(IF(Besatzung!$C$20="",Besatzung!$B$5,Besatzung!$C$20)&lt;=B166)*(IF(Besatzung!$D$20="",Besatzung!$B$6,Besatzung!$D$20)&gt;=B166)))*((G166-IFERROR(H166,0))/IFERROR(SUMPRODUCT((Besatzung!$B$11:$B$22&lt;&gt;"")*(IF(Besatzung!$C$11:$C$22="",Besatzung!$B$5,Besatzung!$C$11:$C$22)&lt;=B166)*(IF(Besatzung!$D$11:$D$22="",Besatzung!$B$6,Besatzung!$D$11:$D$22)&gt;=B166)),1)+(Besatzung!$F$20="x")*IFERROR(H166,0)/IFERROR(SUMPRODUCT((Besatzung!$B$11:$B$22&lt;&gt;"")*(Besatzung!$F$11:$F$22="x")*(IF(Besatzung!$C$11:$C$22="",Besatzung!$B$5,Besatzung!$C$11:$C$22)&lt;=B166)*(IF(Besatzung!$D$11:$D$22="",Besatzung!$B$6,Besatzung!$D$11:$D$22)&gt;=B166)),1))),IF(I166="Individuell",((S166="x")*((G166-IFERROR(H166,0))/IFERROR(COUNTIF(J166:U166,"x"),1)+(Besatzung!$F$20="x")*IFERROR(H166,0)/IFERROR(SUMPRODUCT((J166:U166="x")*(Besatzung!$F$11:$F$22="x")),1))),(IF(COUNTIF(J166:U166,"x")=0,IF(Besatzung!$B$20&lt;&gt;"",1,0),(S166="x"))*(G166-IFERROR(H166,0))/IFERROR(IF(COUNTIF(J166:U166,"x")=0,COUNTA(Besatzung!$B$11:$B$22),COUNTIF(J166:U166,"x")),1)+IF(COUNTIF(J166:U166,"x")=0,(Besatzung!$F$20="x"),(S166="x")*(Besatzung!$F$20="x"))*IFERROR(H166,0)/IFERROR(IF(COUNTIF(J166:U166,"x")=0,SUMPRODUCT((Besatzung!$B$11:$B$22&lt;&gt;"")*(Besatzung!$F$11:$F$22="x")),SUMPRODUCT((J166:U166="x")*(Besatzung!$F$11:$F$22="x"))),1))))),0))))</f>
        <v/>
      </c>
      <c r="AF166" s="247">
        <f>IF(C166="Gutschrift","",IF(G166="","",IF(Besatzung!$B$21="","",IFERROR(IF(I166="Zeitanteilig",(Besatzung!$G$21*(G166-IFERROR(H166,0))+((Besatzung!$B$21&lt;&gt;"")*IF(B166="",1,(IF(Besatzung!$C$21="",Besatzung!$B$5,Besatzung!$C$21)&lt;=B166)*(IF(Besatzung!$D$21="",Besatzung!$B$6,Besatzung!$D$21)&gt;=B166)))*(Besatzung!$F$21="x")*IFERROR(H166,0)/IFERROR(SUMPRODUCT((Besatzung!$B$11:$B$22&lt;&gt;"")*(Besatzung!$F$11:$F$22="x")*(IF(Besatzung!$C$11:$C$22="",Besatzung!$B$5,Besatzung!$C$11:$C$22)&lt;=B166)*(IF(Besatzung!$D$11:$D$22="",Besatzung!$B$6,Besatzung!$D$11:$D$22)&gt;=B166)),1)),IF(I166="An Bord",(((Besatzung!$B$21&lt;&gt;"")*IF(B166="",1,(IF(Besatzung!$C$21="",Besatzung!$B$5,Besatzung!$C$21)&lt;=B166)*(IF(Besatzung!$D$21="",Besatzung!$B$6,Besatzung!$D$21)&gt;=B166)))*((G166-IFERROR(H166,0))/IFERROR(SUMPRODUCT((Besatzung!$B$11:$B$22&lt;&gt;"")*(IF(Besatzung!$C$11:$C$22="",Besatzung!$B$5,Besatzung!$C$11:$C$22)&lt;=B166)*(IF(Besatzung!$D$11:$D$22="",Besatzung!$B$6,Besatzung!$D$11:$D$22)&gt;=B166)),1)+(Besatzung!$F$21="x")*IFERROR(H166,0)/IFERROR(SUMPRODUCT((Besatzung!$B$11:$B$22&lt;&gt;"")*(Besatzung!$F$11:$F$22="x")*(IF(Besatzung!$C$11:$C$22="",Besatzung!$B$5,Besatzung!$C$11:$C$22)&lt;=B166)*(IF(Besatzung!$D$11:$D$22="",Besatzung!$B$6,Besatzung!$D$11:$D$22)&gt;=B166)),1))),IF(I166="Individuell",((T166="x")*((G166-IFERROR(H166,0))/IFERROR(COUNTIF(J166:U166,"x"),1)+(Besatzung!$F$21="x")*IFERROR(H166,0)/IFERROR(SUMPRODUCT((J166:U166="x")*(Besatzung!$F$11:$F$22="x")),1))),(IF(COUNTIF(J166:U166,"x")=0,IF(Besatzung!$B$21&lt;&gt;"",1,0),(T166="x"))*(G166-IFERROR(H166,0))/IFERROR(IF(COUNTIF(J166:U166,"x")=0,COUNTA(Besatzung!$B$11:$B$22),COUNTIF(J166:U166,"x")),1)+IF(COUNTIF(J166:U166,"x")=0,(Besatzung!$F$21="x"),(T166="x")*(Besatzung!$F$21="x"))*IFERROR(H166,0)/IFERROR(IF(COUNTIF(J166:U166,"x")=0,SUMPRODUCT((Besatzung!$B$11:$B$22&lt;&gt;"")*(Besatzung!$F$11:$F$22="x")),SUMPRODUCT((J166:U166="x")*(Besatzung!$F$11:$F$22="x"))),1))))),0))))</f>
        <v/>
      </c>
      <c r="AG166" s="247">
        <f>IF(C166="Gutschrift","",IF(G166="","",IF(Besatzung!$B$22="","",IFERROR(IF(I166="Zeitanteilig",(Besatzung!$G$22*(G166-IFERROR(H166,0))+((Besatzung!$B$22&lt;&gt;"")*IF(B166="",1,(IF(Besatzung!$C$22="",Besatzung!$B$5,Besatzung!$C$22)&lt;=B166)*(IF(Besatzung!$D$22="",Besatzung!$B$6,Besatzung!$D$22)&gt;=B166)))*(Besatzung!$F$22="x")*IFERROR(H166,0)/IFERROR(SUMPRODUCT((Besatzung!$B$11:$B$22&lt;&gt;"")*(Besatzung!$F$11:$F$22="x")*(IF(Besatzung!$C$11:$C$22="",Besatzung!$B$5,Besatzung!$C$11:$C$22)&lt;=B166)*(IF(Besatzung!$D$11:$D$22="",Besatzung!$B$6,Besatzung!$D$11:$D$22)&gt;=B166)),1)),IF(I166="An Bord",(((Besatzung!$B$22&lt;&gt;"")*IF(B166="",1,(IF(Besatzung!$C$22="",Besatzung!$B$5,Besatzung!$C$22)&lt;=B166)*(IF(Besatzung!$D$22="",Besatzung!$B$6,Besatzung!$D$22)&gt;=B166)))*((G166-IFERROR(H166,0))/IFERROR(SUMPRODUCT((Besatzung!$B$11:$B$22&lt;&gt;"")*(IF(Besatzung!$C$11:$C$22="",Besatzung!$B$5,Besatzung!$C$11:$C$22)&lt;=B166)*(IF(Besatzung!$D$11:$D$22="",Besatzung!$B$6,Besatzung!$D$11:$D$22)&gt;=B166)),1)+(Besatzung!$F$22="x")*IFERROR(H166,0)/IFERROR(SUMPRODUCT((Besatzung!$B$11:$B$22&lt;&gt;"")*(Besatzung!$F$11:$F$22="x")*(IF(Besatzung!$C$11:$C$22="",Besatzung!$B$5,Besatzung!$C$11:$C$22)&lt;=B166)*(IF(Besatzung!$D$11:$D$22="",Besatzung!$B$6,Besatzung!$D$11:$D$22)&gt;=B166)),1))),IF(I166="Individuell",((U166="x")*((G166-IFERROR(H166,0))/IFERROR(COUNTIF(J166:U166,"x"),1)+(Besatzung!$F$22="x")*IFERROR(H166,0)/IFERROR(SUMPRODUCT((J166:U166="x")*(Besatzung!$F$11:$F$22="x")),1))),(IF(COUNTIF(J166:U166,"x")=0,IF(Besatzung!$B$22&lt;&gt;"",1,0),(U166="x"))*(G166-IFERROR(H166,0))/IFERROR(IF(COUNTIF(J166:U166,"x")=0,COUNTA(Besatzung!$B$11:$B$22),COUNTIF(J166:U166,"x")),1)+IF(COUNTIF(J166:U166,"x")=0,(Besatzung!$F$22="x"),(U166="x")*(Besatzung!$F$22="x"))*IFERROR(H166,0)/IFERROR(IF(COUNTIF(J166:U166,"x")=0,SUMPRODUCT((Besatzung!$B$11:$B$22&lt;&gt;"")*(Besatzung!$F$11:$F$22="x")),SUMPRODUCT((J166:U166="x")*(Besatzung!$F$11:$F$22="x"))),1))))),0))))</f>
        <v/>
      </c>
      <c r="AH166" s="248" t="n"/>
      <c r="AI166" s="248" t="n"/>
    </row>
    <row r="167" ht="21.75" customHeight="1" s="154">
      <c r="A167" s="238">
        <f>IF(AND(D167="",C167=""),"",164)</f>
        <v/>
      </c>
      <c r="B167" s="206" t="n"/>
      <c r="C167" s="249" t="n"/>
      <c r="D167" s="250" t="n"/>
      <c r="E167" s="251" t="n"/>
      <c r="F167" s="252" t="n"/>
      <c r="G167" s="253" t="n"/>
      <c r="H167" s="254" t="n"/>
      <c r="I167" s="255" t="n"/>
      <c r="J167" s="256" t="n"/>
      <c r="K167" s="256" t="n"/>
      <c r="L167" s="256" t="n"/>
      <c r="M167" s="256" t="n"/>
      <c r="N167" s="256" t="n"/>
      <c r="O167" s="256" t="n"/>
      <c r="P167" s="256" t="n"/>
      <c r="Q167" s="256" t="n"/>
      <c r="R167" s="256" t="n"/>
      <c r="S167" s="256" t="n"/>
      <c r="T167" s="256" t="n"/>
      <c r="U167" s="256" t="n"/>
      <c r="V167" s="247">
        <f>IF(C167="Gutschrift","",IF(G167="","",IF(Besatzung!$B$11="","",IFERROR(IF(I167="Zeitanteilig",(Besatzung!$G$11*(G167-IFERROR(H167,0))+((Besatzung!$B$11&lt;&gt;"")*IF(B167="",1,(IF(Besatzung!$C$11="",Besatzung!$B$5,Besatzung!$C$11)&lt;=B167)*(IF(Besatzung!$D$11="",Besatzung!$B$6,Besatzung!$D$11)&gt;=B167)))*(Besatzung!$F$11="x")*IFERROR(H167,0)/IFERROR(SUMPRODUCT((Besatzung!$B$11:$B$22&lt;&gt;"")*(Besatzung!$F$11:$F$22="x")*(IF(Besatzung!$C$11:$C$22="",Besatzung!$B$5,Besatzung!$C$11:$C$22)&lt;=B167)*(IF(Besatzung!$D$11:$D$22="",Besatzung!$B$6,Besatzung!$D$11:$D$22)&gt;=B167)),1)),IF(I167="An Bord",(((Besatzung!$B$11&lt;&gt;"")*IF(B167="",1,(IF(Besatzung!$C$11="",Besatzung!$B$5,Besatzung!$C$11)&lt;=B167)*(IF(Besatzung!$D$11="",Besatzung!$B$6,Besatzung!$D$11)&gt;=B167)))*((G167-IFERROR(H167,0))/IFERROR(SUMPRODUCT((Besatzung!$B$11:$B$22&lt;&gt;"")*(IF(Besatzung!$C$11:$C$22="",Besatzung!$B$5,Besatzung!$C$11:$C$22)&lt;=B167)*(IF(Besatzung!$D$11:$D$22="",Besatzung!$B$6,Besatzung!$D$11:$D$22)&gt;=B167)),1)+(Besatzung!$F$11="x")*IFERROR(H167,0)/IFERROR(SUMPRODUCT((Besatzung!$B$11:$B$22&lt;&gt;"")*(Besatzung!$F$11:$F$22="x")*(IF(Besatzung!$C$11:$C$22="",Besatzung!$B$5,Besatzung!$C$11:$C$22)&lt;=B167)*(IF(Besatzung!$D$11:$D$22="",Besatzung!$B$6,Besatzung!$D$11:$D$22)&gt;=B167)),1))),IF(I167="Individuell",((J167="x")*((G167-IFERROR(H167,0))/IFERROR(COUNTIF(J167:U167,"x"),1)+(Besatzung!$F$11="x")*IFERROR(H167,0)/IFERROR(SUMPRODUCT((J167:U167="x")*(Besatzung!$F$11:$F$22="x")),1))),(IF(COUNTIF(J167:U167,"x")=0,IF(Besatzung!$B$11&lt;&gt;"",1,0),(J167="x"))*(G167-IFERROR(H167,0))/IFERROR(IF(COUNTIF(J167:U167,"x")=0,COUNTA(Besatzung!$B$11:$B$22),COUNTIF(J167:U167,"x")),1)+IF(COUNTIF(J167:U167,"x")=0,(Besatzung!$F$11="x"),(J167="x")*(Besatzung!$F$11="x"))*IFERROR(H167,0)/IFERROR(IF(COUNTIF(J167:U167,"x")=0,SUMPRODUCT((Besatzung!$B$11:$B$22&lt;&gt;"")*(Besatzung!$F$11:$F$22="x")),SUMPRODUCT((J167:U167="x")*(Besatzung!$F$11:$F$22="x"))),1))))),0))))</f>
        <v/>
      </c>
      <c r="W167" s="247">
        <f>IF(C167="Gutschrift","",IF(G167="","",IF(Besatzung!$B$12="","",IFERROR(IF(I167="Zeitanteilig",(Besatzung!$G$12*(G167-IFERROR(H167,0))+((Besatzung!$B$12&lt;&gt;"")*IF(B167="",1,(IF(Besatzung!$C$12="",Besatzung!$B$5,Besatzung!$C$12)&lt;=B167)*(IF(Besatzung!$D$12="",Besatzung!$B$6,Besatzung!$D$12)&gt;=B167)))*(Besatzung!$F$12="x")*IFERROR(H167,0)/IFERROR(SUMPRODUCT((Besatzung!$B$11:$B$22&lt;&gt;"")*(Besatzung!$F$11:$F$22="x")*(IF(Besatzung!$C$11:$C$22="",Besatzung!$B$5,Besatzung!$C$11:$C$22)&lt;=B167)*(IF(Besatzung!$D$11:$D$22="",Besatzung!$B$6,Besatzung!$D$11:$D$22)&gt;=B167)),1)),IF(I167="An Bord",(((Besatzung!$B$12&lt;&gt;"")*IF(B167="",1,(IF(Besatzung!$C$12="",Besatzung!$B$5,Besatzung!$C$12)&lt;=B167)*(IF(Besatzung!$D$12="",Besatzung!$B$6,Besatzung!$D$12)&gt;=B167)))*((G167-IFERROR(H167,0))/IFERROR(SUMPRODUCT((Besatzung!$B$11:$B$22&lt;&gt;"")*(IF(Besatzung!$C$11:$C$22="",Besatzung!$B$5,Besatzung!$C$11:$C$22)&lt;=B167)*(IF(Besatzung!$D$11:$D$22="",Besatzung!$B$6,Besatzung!$D$11:$D$22)&gt;=B167)),1)+(Besatzung!$F$12="x")*IFERROR(H167,0)/IFERROR(SUMPRODUCT((Besatzung!$B$11:$B$22&lt;&gt;"")*(Besatzung!$F$11:$F$22="x")*(IF(Besatzung!$C$11:$C$22="",Besatzung!$B$5,Besatzung!$C$11:$C$22)&lt;=B167)*(IF(Besatzung!$D$11:$D$22="",Besatzung!$B$6,Besatzung!$D$11:$D$22)&gt;=B167)),1))),IF(I167="Individuell",((K167="x")*((G167-IFERROR(H167,0))/IFERROR(COUNTIF(J167:U167,"x"),1)+(Besatzung!$F$12="x")*IFERROR(H167,0)/IFERROR(SUMPRODUCT((J167:U167="x")*(Besatzung!$F$11:$F$22="x")),1))),(IF(COUNTIF(J167:U167,"x")=0,IF(Besatzung!$B$12&lt;&gt;"",1,0),(K167="x"))*(G167-IFERROR(H167,0))/IFERROR(IF(COUNTIF(J167:U167,"x")=0,COUNTA(Besatzung!$B$11:$B$22),COUNTIF(J167:U167,"x")),1)+IF(COUNTIF(J167:U167,"x")=0,(Besatzung!$F$12="x"),(K167="x")*(Besatzung!$F$12="x"))*IFERROR(H167,0)/IFERROR(IF(COUNTIF(J167:U167,"x")=0,SUMPRODUCT((Besatzung!$B$11:$B$22&lt;&gt;"")*(Besatzung!$F$11:$F$22="x")),SUMPRODUCT((J167:U167="x")*(Besatzung!$F$11:$F$22="x"))),1))))),0))))</f>
        <v/>
      </c>
      <c r="X167" s="247">
        <f>IF(C167="Gutschrift","",IF(G167="","",IF(Besatzung!$B$13="","",IFERROR(IF(I167="Zeitanteilig",(Besatzung!$G$13*(G167-IFERROR(H167,0))+((Besatzung!$B$13&lt;&gt;"")*IF(B167="",1,(IF(Besatzung!$C$13="",Besatzung!$B$5,Besatzung!$C$13)&lt;=B167)*(IF(Besatzung!$D$13="",Besatzung!$B$6,Besatzung!$D$13)&gt;=B167)))*(Besatzung!$F$13="x")*IFERROR(H167,0)/IFERROR(SUMPRODUCT((Besatzung!$B$11:$B$22&lt;&gt;"")*(Besatzung!$F$11:$F$22="x")*(IF(Besatzung!$C$11:$C$22="",Besatzung!$B$5,Besatzung!$C$11:$C$22)&lt;=B167)*(IF(Besatzung!$D$11:$D$22="",Besatzung!$B$6,Besatzung!$D$11:$D$22)&gt;=B167)),1)),IF(I167="An Bord",(((Besatzung!$B$13&lt;&gt;"")*IF(B167="",1,(IF(Besatzung!$C$13="",Besatzung!$B$5,Besatzung!$C$13)&lt;=B167)*(IF(Besatzung!$D$13="",Besatzung!$B$6,Besatzung!$D$13)&gt;=B167)))*((G167-IFERROR(H167,0))/IFERROR(SUMPRODUCT((Besatzung!$B$11:$B$22&lt;&gt;"")*(IF(Besatzung!$C$11:$C$22="",Besatzung!$B$5,Besatzung!$C$11:$C$22)&lt;=B167)*(IF(Besatzung!$D$11:$D$22="",Besatzung!$B$6,Besatzung!$D$11:$D$22)&gt;=B167)),1)+(Besatzung!$F$13="x")*IFERROR(H167,0)/IFERROR(SUMPRODUCT((Besatzung!$B$11:$B$22&lt;&gt;"")*(Besatzung!$F$11:$F$22="x")*(IF(Besatzung!$C$11:$C$22="",Besatzung!$B$5,Besatzung!$C$11:$C$22)&lt;=B167)*(IF(Besatzung!$D$11:$D$22="",Besatzung!$B$6,Besatzung!$D$11:$D$22)&gt;=B167)),1))),IF(I167="Individuell",((K167="x")*((G167-IFERROR(H167,0))/IFERROR(COUNTIF(J167:U167,"x"),1)+(Besatzung!$F$13="x")*IFERROR(H167,0)/IFERROR(SUMPRODUCT((J167:U167="x")*(Besatzung!$F$11:$F$22="x")),1))),(IF(COUNTIF(J167:U167,"x")=0,IF(Besatzung!$B$13&lt;&gt;"",1,0),(K167="x"))*(G167-IFERROR(H167,0))/IFERROR(IF(COUNTIF(J167:U167,"x")=0,COUNTA(Besatzung!$B$11:$B$22),COUNTIF(J167:U167,"x")),1)+IF(COUNTIF(J167:U167,"x")=0,(Besatzung!$F$13="x"),(K167="x")*(Besatzung!$F$13="x"))*IFERROR(H167,0)/IFERROR(IF(COUNTIF(J167:U167,"x")=0,SUMPRODUCT((Besatzung!$B$11:$B$22&lt;&gt;"")*(Besatzung!$F$11:$F$22="x")),SUMPRODUCT((J167:U167="x")*(Besatzung!$F$11:$F$22="x"))),1))))),0))))</f>
        <v/>
      </c>
      <c r="Y167" s="247">
        <f>IF(C167="Gutschrift","",IF(G167="","",IF(Besatzung!$B$14="","",IFERROR(IF(I167="Zeitanteilig",(Besatzung!$G$14*(G167-IFERROR(H167,0))+((Besatzung!$B$14&lt;&gt;"")*IF(B167="",1,(IF(Besatzung!$C$14="",Besatzung!$B$5,Besatzung!$C$14)&lt;=B167)*(IF(Besatzung!$D$14="",Besatzung!$B$6,Besatzung!$D$14)&gt;=B167)))*(Besatzung!$F$14="x")*IFERROR(H167,0)/IFERROR(SUMPRODUCT((Besatzung!$B$11:$B$22&lt;&gt;"")*(Besatzung!$F$11:$F$22="x")*(IF(Besatzung!$C$11:$C$22="",Besatzung!$B$5,Besatzung!$C$11:$C$22)&lt;=B167)*(IF(Besatzung!$D$11:$D$22="",Besatzung!$B$6,Besatzung!$D$11:$D$22)&gt;=B167)),1)),IF(I167="An Bord",(((Besatzung!$B$14&lt;&gt;"")*IF(B167="",1,(IF(Besatzung!$C$14="",Besatzung!$B$5,Besatzung!$C$14)&lt;=B167)*(IF(Besatzung!$D$14="",Besatzung!$B$6,Besatzung!$D$14)&gt;=B167)))*((G167-IFERROR(H167,0))/IFERROR(SUMPRODUCT((Besatzung!$B$11:$B$22&lt;&gt;"")*(IF(Besatzung!$C$11:$C$22="",Besatzung!$B$5,Besatzung!$C$11:$C$22)&lt;=B167)*(IF(Besatzung!$D$11:$D$22="",Besatzung!$B$6,Besatzung!$D$11:$D$22)&gt;=B167)),1)+(Besatzung!$F$14="x")*IFERROR(H167,0)/IFERROR(SUMPRODUCT((Besatzung!$B$11:$B$22&lt;&gt;"")*(Besatzung!$F$11:$F$22="x")*(IF(Besatzung!$C$11:$C$22="",Besatzung!$B$5,Besatzung!$C$11:$C$22)&lt;=B167)*(IF(Besatzung!$D$11:$D$22="",Besatzung!$B$6,Besatzung!$D$11:$D$22)&gt;=B167)),1))),IF(I167="Individuell",((M167="x")*((G167-IFERROR(H167,0))/IFERROR(COUNTIF(J167:U167,"x"),1)+(Besatzung!$F$14="x")*IFERROR(H167,0)/IFERROR(SUMPRODUCT((J167:U167="x")*(Besatzung!$F$11:$F$22="x")),1))),(IF(COUNTIF(J167:U167,"x")=0,IF(Besatzung!$B$14&lt;&gt;"",1,0),(M167="x"))*(G167-IFERROR(H167,0))/IFERROR(IF(COUNTIF(J167:U167,"x")=0,COUNTA(Besatzung!$B$11:$B$22),COUNTIF(J167:U167,"x")),1)+IF(COUNTIF(J167:U167,"x")=0,(Besatzung!$F$14="x"),(M167="x")*(Besatzung!$F$14="x"))*IFERROR(H167,0)/IFERROR(IF(COUNTIF(J167:U167,"x")=0,SUMPRODUCT((Besatzung!$B$11:$B$22&lt;&gt;"")*(Besatzung!$F$11:$F$22="x")),SUMPRODUCT((J167:U167="x")*(Besatzung!$F$11:$F$22="x"))),1))))),0))))</f>
        <v/>
      </c>
      <c r="Z167" s="247">
        <f>IF(C167="Gutschrift","",IF(G167="","",IF(Besatzung!$B$13="","",IFERROR(IF(I167="Zeitanteilig",(Besatzung!$G$15*(G167-IFERROR(H167,0))+((Besatzung!$B$13&lt;&gt;"")*IF(B167="",1,(IF(Besatzung!$C$15="",Besatzung!$B$5,Besatzung!$C$15)&lt;=B167)*(IF(Besatzung!$D$15="",Besatzung!$B$6,Besatzung!$D$15)&gt;=B167)))*(Besatzung!$F$15="x")*IFERROR(H167,0)/IFERROR(SUMPRODUCT((Besatzung!$B$11:$B$22&lt;&gt;"")*(Besatzung!$F$11:$F$22="x")*(IF(Besatzung!$C$11:$C$22="",Besatzung!$B$5,Besatzung!$C$11:$C$22)&lt;=B167)*(IF(Besatzung!$D$11:$D$22="",Besatzung!$B$6,Besatzung!$D$11:$D$22)&gt;=B167)),1)),IF(I167="An Bord",(((Besatzung!$B$13&lt;&gt;"")*IF(B167="",1,(IF(Besatzung!$C$15="",Besatzung!$B$5,Besatzung!$C$15)&lt;=B167)*(IF(Besatzung!$D$15="",Besatzung!$B$6,Besatzung!$D$15)&gt;=B167)))*((G167-IFERROR(H167,0))/IFERROR(SUMPRODUCT((Besatzung!$B$11:$B$22&lt;&gt;"")*(IF(Besatzung!$C$11:$C$22="",Besatzung!$B$5,Besatzung!$C$11:$C$22)&lt;=B167)*(IF(Besatzung!$D$11:$D$22="",Besatzung!$B$6,Besatzung!$D$11:$D$22)&gt;=B167)),1)+(Besatzung!$F$15="x")*IFERROR(H167,0)/IFERROR(SUMPRODUCT((Besatzung!$B$11:$B$22&lt;&gt;"")*(Besatzung!$F$11:$F$22="x")*(IF(Besatzung!$C$11:$C$22="",Besatzung!$B$5,Besatzung!$C$11:$C$22)&lt;=B167)*(IF(Besatzung!$D$11:$D$22="",Besatzung!$B$6,Besatzung!$D$11:$D$22)&gt;=B167)),1))),IF(I167="Individuell",((N167="x")*((G167-IFERROR(H167,0))/IFERROR(COUNTIF(J167:U167,"x"),1)+(Besatzung!$F$15="x")*IFERROR(H167,0)/IFERROR(SUMPRODUCT((J167:U167="x")*(Besatzung!$F$11:$F$22="x")),1))),(IF(COUNTIF(J167:U167,"x")=0,IF(Besatzung!$B$13&lt;&gt;"",1,0),(N167="x"))*(G167-IFERROR(H167,0))/IFERROR(IF(COUNTIF(J167:U167,"x")=0,COUNTA(Besatzung!$B$11:$B$22),COUNTIF(J167:U167,"x")),1)+IF(COUNTIF(J167:U167,"x")=0,(Besatzung!$F$15="x"),(N167="x")*(Besatzung!$F$15="x"))*IFERROR(H167,0)/IFERROR(IF(COUNTIF(J167:U167,"x")=0,SUMPRODUCT((Besatzung!$B$11:$B$22&lt;&gt;"")*(Besatzung!$F$11:$F$22="x")),SUMPRODUCT((J167:U167="x")*(Besatzung!$F$11:$F$22="x"))),1))))),0))))</f>
        <v/>
      </c>
      <c r="AA167" s="247">
        <f>IF(C167="Gutschrift","",IF(G167="","",IF(Besatzung!$B$15="","",IFERROR(IF(I167="Zeitanteilig",(Besatzung!$G$16*(G167-IFERROR(H167,0))+((Besatzung!$B$15&lt;&gt;"")*IF(B167="",1,(IF(Besatzung!$C$16="",Besatzung!$B$5,Besatzung!$C$16)&lt;=B167)*(IF(Besatzung!$D$16="",Besatzung!$B$6,Besatzung!$D$16)&gt;=B167)))*(Besatzung!$F$16="x")*IFERROR(H167,0)/IFERROR(SUMPRODUCT((Besatzung!$B$11:$B$22&lt;&gt;"")*(Besatzung!$F$11:$F$22="x")*(IF(Besatzung!$C$11:$C$22="",Besatzung!$B$5,Besatzung!$C$11:$C$22)&lt;=B167)*(IF(Besatzung!$D$11:$D$22="",Besatzung!$B$6,Besatzung!$D$11:$D$22)&gt;=B167)),1)),IF(I167="An Bord",(((Besatzung!$B$15&lt;&gt;"")*IF(B167="",1,(IF(Besatzung!$C$16="",Besatzung!$B$5,Besatzung!$C$16)&lt;=B167)*(IF(Besatzung!$D$16="",Besatzung!$B$6,Besatzung!$D$16)&gt;=B167)))*((G167-IFERROR(H167,0))/IFERROR(SUMPRODUCT((Besatzung!$B$11:$B$22&lt;&gt;"")*(IF(Besatzung!$C$11:$C$22="",Besatzung!$B$5,Besatzung!$C$11:$C$22)&lt;=B167)*(IF(Besatzung!$D$11:$D$22="",Besatzung!$B$6,Besatzung!$D$11:$D$22)&gt;=B167)),1)+(Besatzung!$F$16="x")*IFERROR(H167,0)/IFERROR(SUMPRODUCT((Besatzung!$B$11:$B$22&lt;&gt;"")*(Besatzung!$F$11:$F$22="x")*(IF(Besatzung!$C$11:$C$22="",Besatzung!$B$5,Besatzung!$C$11:$C$22)&lt;=B167)*(IF(Besatzung!$D$11:$D$22="",Besatzung!$B$6,Besatzung!$D$11:$D$22)&gt;=B167)),1))),IF(I167="Individuell",((O167="x")*((G167-IFERROR(H167,0))/IFERROR(COUNTIF(J167:U167,"x"),1)+(Besatzung!$F$16="x")*IFERROR(H167,0)/IFERROR(SUMPRODUCT((J167:U167="x")*(Besatzung!$F$11:$F$22="x")),1))),(IF(COUNTIF(J167:U167,"x")=0,IF(Besatzung!$B$15&lt;&gt;"",1,0),(O167="x"))*(G167-IFERROR(H167,0))/IFERROR(IF(COUNTIF(J167:U167,"x")=0,COUNTA(Besatzung!$B$11:$B$22),COUNTIF(J167:U167,"x")),1)+IF(COUNTIF(J167:U167,"x")=0,(Besatzung!$F$16="x"),(O167="x")*(Besatzung!$F$16="x"))*IFERROR(H167,0)/IFERROR(IF(COUNTIF(J167:U167,"x")=0,SUMPRODUCT((Besatzung!$B$11:$B$22&lt;&gt;"")*(Besatzung!$F$11:$F$22="x")),SUMPRODUCT((J167:U167="x")*(Besatzung!$F$11:$F$22="x"))),1))))),0))))</f>
        <v/>
      </c>
      <c r="AB167" s="247">
        <f>IF(C167="Gutschrift","",IF(G167="","",IF(Besatzung!$B$17="","",IFERROR(IF(I167="Zeitanteilig",(Besatzung!$G$17*(G167-IFERROR(H167,0))+((Besatzung!$B$17&lt;&gt;"")*IF(B167="",1,(IF(Besatzung!$C$17="",Besatzung!$B$5,Besatzung!$C$17)&lt;=B167)*(IF(Besatzung!$D$17="",Besatzung!$B$6,Besatzung!$D$17)&gt;=B167)))*(Besatzung!$F$17="x")*IFERROR(H167,0)/IFERROR(SUMPRODUCT((Besatzung!$B$11:$B$22&lt;&gt;"")*(Besatzung!$F$11:$F$22="x")*(IF(Besatzung!$C$11:$C$22="",Besatzung!$B$5,Besatzung!$C$11:$C$22)&lt;=B167)*(IF(Besatzung!$D$11:$D$22="",Besatzung!$B$6,Besatzung!$D$11:$D$22)&gt;=B167)),1)),IF(I167="An Bord",(((Besatzung!$B$17&lt;&gt;"")*IF(B167="",1,(IF(Besatzung!$C$17="",Besatzung!$B$5,Besatzung!$C$17)&lt;=B167)*(IF(Besatzung!$D$17="",Besatzung!$B$6,Besatzung!$D$17)&gt;=B167)))*((G167-IFERROR(H167,0))/IFERROR(SUMPRODUCT((Besatzung!$B$11:$B$22&lt;&gt;"")*(IF(Besatzung!$C$11:$C$22="",Besatzung!$B$5,Besatzung!$C$11:$C$22)&lt;=B167)*(IF(Besatzung!$D$11:$D$22="",Besatzung!$B$6,Besatzung!$D$11:$D$22)&gt;=B167)),1)+(Besatzung!$F$17="x")*IFERROR(H167,0)/IFERROR(SUMPRODUCT((Besatzung!$B$11:$B$22&lt;&gt;"")*(Besatzung!$F$11:$F$22="x")*(IF(Besatzung!$C$11:$C$22="",Besatzung!$B$5,Besatzung!$C$11:$C$22)&lt;=B167)*(IF(Besatzung!$D$11:$D$22="",Besatzung!$B$6,Besatzung!$D$11:$D$22)&gt;=B167)),1))),IF(I167="Individuell",((P167="x")*((G167-IFERROR(H167,0))/IFERROR(COUNTIF(J167:U167,"x"),1)+(Besatzung!$F$17="x")*IFERROR(H167,0)/IFERROR(SUMPRODUCT((J167:U167="x")*(Besatzung!$F$11:$F$22="x")),1))),(IF(COUNTIF(J167:U167,"x")=0,IF(Besatzung!$B$17&lt;&gt;"",1,0),(P167="x"))*(G167-IFERROR(H167,0))/IFERROR(IF(COUNTIF(J167:U167,"x")=0,COUNTA(Besatzung!$B$11:$B$22),COUNTIF(J167:U167,"x")),1)+IF(COUNTIF(J167:U167,"x")=0,(Besatzung!$F$17="x"),(P167="x")*(Besatzung!$F$17="x"))*IFERROR(H167,0)/IFERROR(IF(COUNTIF(J167:U167,"x")=0,SUMPRODUCT((Besatzung!$B$11:$B$22&lt;&gt;"")*(Besatzung!$F$11:$F$22="x")),SUMPRODUCT((J167:U167="x")*(Besatzung!$F$11:$F$22="x"))),1))))),0))))</f>
        <v/>
      </c>
      <c r="AC167" s="247">
        <f>IF(C167="Gutschrift","",IF(G167="","",IF(Besatzung!$B$18="","",IFERROR(IF(I167="Zeitanteilig",(Besatzung!$G$18*(G167-IFERROR(H167,0))+((Besatzung!$B$18&lt;&gt;"")*IF(B167="",1,(IF(Besatzung!$C$18="",Besatzung!$B$5,Besatzung!$C$18)&lt;=B167)*(IF(Besatzung!$D$18="",Besatzung!$B$6,Besatzung!$D$18)&gt;=B167)))*(Besatzung!$F$18="x")*IFERROR(H167,0)/IFERROR(SUMPRODUCT((Besatzung!$B$11:$B$22&lt;&gt;"")*(Besatzung!$F$11:$F$22="x")*(IF(Besatzung!$C$11:$C$22="",Besatzung!$B$5,Besatzung!$C$11:$C$22)&lt;=B167)*(IF(Besatzung!$D$11:$D$22="",Besatzung!$B$6,Besatzung!$D$11:$D$22)&gt;=B167)),1)),IF(I167="An Bord",(((Besatzung!$B$18&lt;&gt;"")*IF(B167="",1,(IF(Besatzung!$C$18="",Besatzung!$B$5,Besatzung!$C$18)&lt;=B167)*(IF(Besatzung!$D$18="",Besatzung!$B$6,Besatzung!$D$18)&gt;=B167)))*((G167-IFERROR(H167,0))/IFERROR(SUMPRODUCT((Besatzung!$B$11:$B$22&lt;&gt;"")*(IF(Besatzung!$C$11:$C$22="",Besatzung!$B$5,Besatzung!$C$11:$C$22)&lt;=B167)*(IF(Besatzung!$D$11:$D$22="",Besatzung!$B$6,Besatzung!$D$11:$D$22)&gt;=B167)),1)+(Besatzung!$F$18="x")*IFERROR(H167,0)/IFERROR(SUMPRODUCT((Besatzung!$B$11:$B$22&lt;&gt;"")*(Besatzung!$F$11:$F$22="x")*(IF(Besatzung!$C$11:$C$22="",Besatzung!$B$5,Besatzung!$C$11:$C$22)&lt;=B167)*(IF(Besatzung!$D$11:$D$22="",Besatzung!$B$6,Besatzung!$D$11:$D$22)&gt;=B167)),1))),IF(I167="Individuell",((Q167="x")*((G167-IFERROR(H167,0))/IFERROR(COUNTIF(J167:U167,"x"),1)+(Besatzung!$F$18="x")*IFERROR(H167,0)/IFERROR(SUMPRODUCT((J167:U167="x")*(Besatzung!$F$11:$F$22="x")),1))),(IF(COUNTIF(J167:U167,"x")=0,IF(Besatzung!$B$18&lt;&gt;"",1,0),(Q167="x"))*(G167-IFERROR(H167,0))/IFERROR(IF(COUNTIF(J167:U167,"x")=0,COUNTA(Besatzung!$B$11:$B$22),COUNTIF(J167:U167,"x")),1)+IF(COUNTIF(J167:U167,"x")=0,(Besatzung!$F$18="x"),(Q167="x")*(Besatzung!$F$18="x"))*IFERROR(H167,0)/IFERROR(IF(COUNTIF(J167:U167,"x")=0,SUMPRODUCT((Besatzung!$B$11:$B$22&lt;&gt;"")*(Besatzung!$F$11:$F$22="x")),SUMPRODUCT((J167:U167="x")*(Besatzung!$F$11:$F$22="x"))),1))))),0))))</f>
        <v/>
      </c>
      <c r="AD167" s="247">
        <f>IF(C167="Gutschrift","",IF(G167="","",IF(Besatzung!$B$19="","",IFERROR(IF(I167="Zeitanteilig",(Besatzung!$G$19*(G167-IFERROR(H167,0))+((Besatzung!$B$19&lt;&gt;"")*IF(B167="",1,(IF(Besatzung!$C$19="",Besatzung!$B$5,Besatzung!$C$19)&lt;=B167)*(IF(Besatzung!$D$19="",Besatzung!$B$6,Besatzung!$D$19)&gt;=B167)))*(Besatzung!$F$19="x")*IFERROR(H167,0)/IFERROR(SUMPRODUCT((Besatzung!$B$11:$B$22&lt;&gt;"")*(Besatzung!$F$11:$F$22="x")*(IF(Besatzung!$C$11:$C$22="",Besatzung!$B$5,Besatzung!$C$11:$C$22)&lt;=B167)*(IF(Besatzung!$D$11:$D$22="",Besatzung!$B$6,Besatzung!$D$11:$D$22)&gt;=B167)),1)),IF(I167="An Bord",(((Besatzung!$B$19&lt;&gt;"")*IF(B167="",1,(IF(Besatzung!$C$19="",Besatzung!$B$5,Besatzung!$C$19)&lt;=B167)*(IF(Besatzung!$D$19="",Besatzung!$B$6,Besatzung!$D$19)&gt;=B167)))*((G167-IFERROR(H167,0))/IFERROR(SUMPRODUCT((Besatzung!$B$11:$B$22&lt;&gt;"")*(IF(Besatzung!$C$11:$C$22="",Besatzung!$B$5,Besatzung!$C$11:$C$22)&lt;=B167)*(IF(Besatzung!$D$11:$D$22="",Besatzung!$B$6,Besatzung!$D$11:$D$22)&gt;=B167)),1)+(Besatzung!$F$19="x")*IFERROR(H167,0)/IFERROR(SUMPRODUCT((Besatzung!$B$11:$B$22&lt;&gt;"")*(Besatzung!$F$11:$F$22="x")*(IF(Besatzung!$C$11:$C$22="",Besatzung!$B$5,Besatzung!$C$11:$C$22)&lt;=B167)*(IF(Besatzung!$D$11:$D$22="",Besatzung!$B$6,Besatzung!$D$11:$D$22)&gt;=B167)),1))),IF(I167="Individuell",((R167="x")*((G167-IFERROR(H167,0))/IFERROR(COUNTIF(J167:U167,"x"),1)+(Besatzung!$F$19="x")*IFERROR(H167,0)/IFERROR(SUMPRODUCT((J167:U167="x")*(Besatzung!$F$11:$F$22="x")),1))),(IF(COUNTIF(J167:U167,"x")=0,IF(Besatzung!$B$19&lt;&gt;"",1,0),(R167="x"))*(G167-IFERROR(H167,0))/IFERROR(IF(COUNTIF(J167:U167,"x")=0,COUNTA(Besatzung!$B$11:$B$22),COUNTIF(J167:U167,"x")),1)+IF(COUNTIF(J167:U167,"x")=0,(Besatzung!$F$19="x"),(R167="x")*(Besatzung!$F$19="x"))*IFERROR(H167,0)/IFERROR(IF(COUNTIF(J167:U167,"x")=0,SUMPRODUCT((Besatzung!$B$11:$B$22&lt;&gt;"")*(Besatzung!$F$11:$F$22="x")),SUMPRODUCT((J167:U167="x")*(Besatzung!$F$11:$F$22="x"))),1))))),0))))</f>
        <v/>
      </c>
      <c r="AE167" s="247">
        <f>IF(C167="Gutschrift","",IF(G167="","",IF(Besatzung!$B$20="","",IFERROR(IF(I167="Zeitanteilig",(Besatzung!$G$20*(G167-IFERROR(H167,0))+((Besatzung!$B$20&lt;&gt;"")*IF(B167="",1,(IF(Besatzung!$C$20="",Besatzung!$B$5,Besatzung!$C$20)&lt;=B167)*(IF(Besatzung!$D$20="",Besatzung!$B$6,Besatzung!$D$20)&gt;=B167)))*(Besatzung!$F$20="x")*IFERROR(H167,0)/IFERROR(SUMPRODUCT((Besatzung!$B$11:$B$22&lt;&gt;"")*(Besatzung!$F$11:$F$22="x")*(IF(Besatzung!$C$11:$C$22="",Besatzung!$B$5,Besatzung!$C$11:$C$22)&lt;=B167)*(IF(Besatzung!$D$11:$D$22="",Besatzung!$B$6,Besatzung!$D$11:$D$22)&gt;=B167)),1)),IF(I167="An Bord",(((Besatzung!$B$20&lt;&gt;"")*IF(B167="",1,(IF(Besatzung!$C$20="",Besatzung!$B$5,Besatzung!$C$20)&lt;=B167)*(IF(Besatzung!$D$20="",Besatzung!$B$6,Besatzung!$D$20)&gt;=B167)))*((G167-IFERROR(H167,0))/IFERROR(SUMPRODUCT((Besatzung!$B$11:$B$22&lt;&gt;"")*(IF(Besatzung!$C$11:$C$22="",Besatzung!$B$5,Besatzung!$C$11:$C$22)&lt;=B167)*(IF(Besatzung!$D$11:$D$22="",Besatzung!$B$6,Besatzung!$D$11:$D$22)&gt;=B167)),1)+(Besatzung!$F$20="x")*IFERROR(H167,0)/IFERROR(SUMPRODUCT((Besatzung!$B$11:$B$22&lt;&gt;"")*(Besatzung!$F$11:$F$22="x")*(IF(Besatzung!$C$11:$C$22="",Besatzung!$B$5,Besatzung!$C$11:$C$22)&lt;=B167)*(IF(Besatzung!$D$11:$D$22="",Besatzung!$B$6,Besatzung!$D$11:$D$22)&gt;=B167)),1))),IF(I167="Individuell",((S167="x")*((G167-IFERROR(H167,0))/IFERROR(COUNTIF(J167:U167,"x"),1)+(Besatzung!$F$20="x")*IFERROR(H167,0)/IFERROR(SUMPRODUCT((J167:U167="x")*(Besatzung!$F$11:$F$22="x")),1))),(IF(COUNTIF(J167:U167,"x")=0,IF(Besatzung!$B$20&lt;&gt;"",1,0),(S167="x"))*(G167-IFERROR(H167,0))/IFERROR(IF(COUNTIF(J167:U167,"x")=0,COUNTA(Besatzung!$B$11:$B$22),COUNTIF(J167:U167,"x")),1)+IF(COUNTIF(J167:U167,"x")=0,(Besatzung!$F$20="x"),(S167="x")*(Besatzung!$F$20="x"))*IFERROR(H167,0)/IFERROR(IF(COUNTIF(J167:U167,"x")=0,SUMPRODUCT((Besatzung!$B$11:$B$22&lt;&gt;"")*(Besatzung!$F$11:$F$22="x")),SUMPRODUCT((J167:U167="x")*(Besatzung!$F$11:$F$22="x"))),1))))),0))))</f>
        <v/>
      </c>
      <c r="AF167" s="247">
        <f>IF(C167="Gutschrift","",IF(G167="","",IF(Besatzung!$B$21="","",IFERROR(IF(I167="Zeitanteilig",(Besatzung!$G$21*(G167-IFERROR(H167,0))+((Besatzung!$B$21&lt;&gt;"")*IF(B167="",1,(IF(Besatzung!$C$21="",Besatzung!$B$5,Besatzung!$C$21)&lt;=B167)*(IF(Besatzung!$D$21="",Besatzung!$B$6,Besatzung!$D$21)&gt;=B167)))*(Besatzung!$F$21="x")*IFERROR(H167,0)/IFERROR(SUMPRODUCT((Besatzung!$B$11:$B$22&lt;&gt;"")*(Besatzung!$F$11:$F$22="x")*(IF(Besatzung!$C$11:$C$22="",Besatzung!$B$5,Besatzung!$C$11:$C$22)&lt;=B167)*(IF(Besatzung!$D$11:$D$22="",Besatzung!$B$6,Besatzung!$D$11:$D$22)&gt;=B167)),1)),IF(I167="An Bord",(((Besatzung!$B$21&lt;&gt;"")*IF(B167="",1,(IF(Besatzung!$C$21="",Besatzung!$B$5,Besatzung!$C$21)&lt;=B167)*(IF(Besatzung!$D$21="",Besatzung!$B$6,Besatzung!$D$21)&gt;=B167)))*((G167-IFERROR(H167,0))/IFERROR(SUMPRODUCT((Besatzung!$B$11:$B$22&lt;&gt;"")*(IF(Besatzung!$C$11:$C$22="",Besatzung!$B$5,Besatzung!$C$11:$C$22)&lt;=B167)*(IF(Besatzung!$D$11:$D$22="",Besatzung!$B$6,Besatzung!$D$11:$D$22)&gt;=B167)),1)+(Besatzung!$F$21="x")*IFERROR(H167,0)/IFERROR(SUMPRODUCT((Besatzung!$B$11:$B$22&lt;&gt;"")*(Besatzung!$F$11:$F$22="x")*(IF(Besatzung!$C$11:$C$22="",Besatzung!$B$5,Besatzung!$C$11:$C$22)&lt;=B167)*(IF(Besatzung!$D$11:$D$22="",Besatzung!$B$6,Besatzung!$D$11:$D$22)&gt;=B167)),1))),IF(I167="Individuell",((T167="x")*((G167-IFERROR(H167,0))/IFERROR(COUNTIF(J167:U167,"x"),1)+(Besatzung!$F$21="x")*IFERROR(H167,0)/IFERROR(SUMPRODUCT((J167:U167="x")*(Besatzung!$F$11:$F$22="x")),1))),(IF(COUNTIF(J167:U167,"x")=0,IF(Besatzung!$B$21&lt;&gt;"",1,0),(T167="x"))*(G167-IFERROR(H167,0))/IFERROR(IF(COUNTIF(J167:U167,"x")=0,COUNTA(Besatzung!$B$11:$B$22),COUNTIF(J167:U167,"x")),1)+IF(COUNTIF(J167:U167,"x")=0,(Besatzung!$F$21="x"),(T167="x")*(Besatzung!$F$21="x"))*IFERROR(H167,0)/IFERROR(IF(COUNTIF(J167:U167,"x")=0,SUMPRODUCT((Besatzung!$B$11:$B$22&lt;&gt;"")*(Besatzung!$F$11:$F$22="x")),SUMPRODUCT((J167:U167="x")*(Besatzung!$F$11:$F$22="x"))),1))))),0))))</f>
        <v/>
      </c>
      <c r="AG167" s="247">
        <f>IF(C167="Gutschrift","",IF(G167="","",IF(Besatzung!$B$22="","",IFERROR(IF(I167="Zeitanteilig",(Besatzung!$G$22*(G167-IFERROR(H167,0))+((Besatzung!$B$22&lt;&gt;"")*IF(B167="",1,(IF(Besatzung!$C$22="",Besatzung!$B$5,Besatzung!$C$22)&lt;=B167)*(IF(Besatzung!$D$22="",Besatzung!$B$6,Besatzung!$D$22)&gt;=B167)))*(Besatzung!$F$22="x")*IFERROR(H167,0)/IFERROR(SUMPRODUCT((Besatzung!$B$11:$B$22&lt;&gt;"")*(Besatzung!$F$11:$F$22="x")*(IF(Besatzung!$C$11:$C$22="",Besatzung!$B$5,Besatzung!$C$11:$C$22)&lt;=B167)*(IF(Besatzung!$D$11:$D$22="",Besatzung!$B$6,Besatzung!$D$11:$D$22)&gt;=B167)),1)),IF(I167="An Bord",(((Besatzung!$B$22&lt;&gt;"")*IF(B167="",1,(IF(Besatzung!$C$22="",Besatzung!$B$5,Besatzung!$C$22)&lt;=B167)*(IF(Besatzung!$D$22="",Besatzung!$B$6,Besatzung!$D$22)&gt;=B167)))*((G167-IFERROR(H167,0))/IFERROR(SUMPRODUCT((Besatzung!$B$11:$B$22&lt;&gt;"")*(IF(Besatzung!$C$11:$C$22="",Besatzung!$B$5,Besatzung!$C$11:$C$22)&lt;=B167)*(IF(Besatzung!$D$11:$D$22="",Besatzung!$B$6,Besatzung!$D$11:$D$22)&gt;=B167)),1)+(Besatzung!$F$22="x")*IFERROR(H167,0)/IFERROR(SUMPRODUCT((Besatzung!$B$11:$B$22&lt;&gt;"")*(Besatzung!$F$11:$F$22="x")*(IF(Besatzung!$C$11:$C$22="",Besatzung!$B$5,Besatzung!$C$11:$C$22)&lt;=B167)*(IF(Besatzung!$D$11:$D$22="",Besatzung!$B$6,Besatzung!$D$11:$D$22)&gt;=B167)),1))),IF(I167="Individuell",((U167="x")*((G167-IFERROR(H167,0))/IFERROR(COUNTIF(J167:U167,"x"),1)+(Besatzung!$F$22="x")*IFERROR(H167,0)/IFERROR(SUMPRODUCT((J167:U167="x")*(Besatzung!$F$11:$F$22="x")),1))),(IF(COUNTIF(J167:U167,"x")=0,IF(Besatzung!$B$22&lt;&gt;"",1,0),(U167="x"))*(G167-IFERROR(H167,0))/IFERROR(IF(COUNTIF(J167:U167,"x")=0,COUNTA(Besatzung!$B$11:$B$22),COUNTIF(J167:U167,"x")),1)+IF(COUNTIF(J167:U167,"x")=0,(Besatzung!$F$22="x"),(U167="x")*(Besatzung!$F$22="x"))*IFERROR(H167,0)/IFERROR(IF(COUNTIF(J167:U167,"x")=0,SUMPRODUCT((Besatzung!$B$11:$B$22&lt;&gt;"")*(Besatzung!$F$11:$F$22="x")),SUMPRODUCT((J167:U167="x")*(Besatzung!$F$11:$F$22="x"))),1))))),0))))</f>
        <v/>
      </c>
      <c r="AH167" s="248" t="n"/>
      <c r="AI167" s="248" t="n"/>
    </row>
    <row r="168" ht="21.75" customHeight="1" s="154">
      <c r="A168" s="238">
        <f>IF(AND(D168="",C168=""),"",165)</f>
        <v/>
      </c>
      <c r="B168" s="199" t="n"/>
      <c r="C168" s="239" t="n"/>
      <c r="D168" s="240" t="n"/>
      <c r="E168" s="241" t="n"/>
      <c r="F168" s="242" t="n"/>
      <c r="G168" s="243" t="n"/>
      <c r="H168" s="244" t="n"/>
      <c r="I168" s="245" t="n"/>
      <c r="J168" s="246" t="n"/>
      <c r="K168" s="246" t="n"/>
      <c r="L168" s="246" t="n"/>
      <c r="M168" s="246" t="n"/>
      <c r="N168" s="246" t="n"/>
      <c r="O168" s="246" t="n"/>
      <c r="P168" s="246" t="n"/>
      <c r="Q168" s="246" t="n"/>
      <c r="R168" s="246" t="n"/>
      <c r="S168" s="246" t="n"/>
      <c r="T168" s="246" t="n"/>
      <c r="U168" s="246" t="n"/>
      <c r="V168" s="247">
        <f>IF(C168="Gutschrift","",IF(G168="","",IF(Besatzung!$B$11="","",IFERROR(IF(I168="Zeitanteilig",(Besatzung!$G$11*(G168-IFERROR(H168,0))+((Besatzung!$B$11&lt;&gt;"")*IF(B168="",1,(IF(Besatzung!$C$11="",Besatzung!$B$5,Besatzung!$C$11)&lt;=B168)*(IF(Besatzung!$D$11="",Besatzung!$B$6,Besatzung!$D$11)&gt;=B168)))*(Besatzung!$F$11="x")*IFERROR(H168,0)/IFERROR(SUMPRODUCT((Besatzung!$B$11:$B$22&lt;&gt;"")*(Besatzung!$F$11:$F$22="x")*(IF(Besatzung!$C$11:$C$22="",Besatzung!$B$5,Besatzung!$C$11:$C$22)&lt;=B168)*(IF(Besatzung!$D$11:$D$22="",Besatzung!$B$6,Besatzung!$D$11:$D$22)&gt;=B168)),1)),IF(I168="An Bord",(((Besatzung!$B$11&lt;&gt;"")*IF(B168="",1,(IF(Besatzung!$C$11="",Besatzung!$B$5,Besatzung!$C$11)&lt;=B168)*(IF(Besatzung!$D$11="",Besatzung!$B$6,Besatzung!$D$11)&gt;=B168)))*((G168-IFERROR(H168,0))/IFERROR(SUMPRODUCT((Besatzung!$B$11:$B$22&lt;&gt;"")*(IF(Besatzung!$C$11:$C$22="",Besatzung!$B$5,Besatzung!$C$11:$C$22)&lt;=B168)*(IF(Besatzung!$D$11:$D$22="",Besatzung!$B$6,Besatzung!$D$11:$D$22)&gt;=B168)),1)+(Besatzung!$F$11="x")*IFERROR(H168,0)/IFERROR(SUMPRODUCT((Besatzung!$B$11:$B$22&lt;&gt;"")*(Besatzung!$F$11:$F$22="x")*(IF(Besatzung!$C$11:$C$22="",Besatzung!$B$5,Besatzung!$C$11:$C$22)&lt;=B168)*(IF(Besatzung!$D$11:$D$22="",Besatzung!$B$6,Besatzung!$D$11:$D$22)&gt;=B168)),1))),IF(I168="Individuell",((J168="x")*((G168-IFERROR(H168,0))/IFERROR(COUNTIF(J168:U168,"x"),1)+(Besatzung!$F$11="x")*IFERROR(H168,0)/IFERROR(SUMPRODUCT((J168:U168="x")*(Besatzung!$F$11:$F$22="x")),1))),(IF(COUNTIF(J168:U168,"x")=0,IF(Besatzung!$B$11&lt;&gt;"",1,0),(J168="x"))*(G168-IFERROR(H168,0))/IFERROR(IF(COUNTIF(J168:U168,"x")=0,COUNTA(Besatzung!$B$11:$B$22),COUNTIF(J168:U168,"x")),1)+IF(COUNTIF(J168:U168,"x")=0,(Besatzung!$F$11="x"),(J168="x")*(Besatzung!$F$11="x"))*IFERROR(H168,0)/IFERROR(IF(COUNTIF(J168:U168,"x")=0,SUMPRODUCT((Besatzung!$B$11:$B$22&lt;&gt;"")*(Besatzung!$F$11:$F$22="x")),SUMPRODUCT((J168:U168="x")*(Besatzung!$F$11:$F$22="x"))),1))))),0))))</f>
        <v/>
      </c>
      <c r="W168" s="247">
        <f>IF(C168="Gutschrift","",IF(G168="","",IF(Besatzung!$B$12="","",IFERROR(IF(I168="Zeitanteilig",(Besatzung!$G$12*(G168-IFERROR(H168,0))+((Besatzung!$B$12&lt;&gt;"")*IF(B168="",1,(IF(Besatzung!$C$12="",Besatzung!$B$5,Besatzung!$C$12)&lt;=B168)*(IF(Besatzung!$D$12="",Besatzung!$B$6,Besatzung!$D$12)&gt;=B168)))*(Besatzung!$F$12="x")*IFERROR(H168,0)/IFERROR(SUMPRODUCT((Besatzung!$B$11:$B$22&lt;&gt;"")*(Besatzung!$F$11:$F$22="x")*(IF(Besatzung!$C$11:$C$22="",Besatzung!$B$5,Besatzung!$C$11:$C$22)&lt;=B168)*(IF(Besatzung!$D$11:$D$22="",Besatzung!$B$6,Besatzung!$D$11:$D$22)&gt;=B168)),1)),IF(I168="An Bord",(((Besatzung!$B$12&lt;&gt;"")*IF(B168="",1,(IF(Besatzung!$C$12="",Besatzung!$B$5,Besatzung!$C$12)&lt;=B168)*(IF(Besatzung!$D$12="",Besatzung!$B$6,Besatzung!$D$12)&gt;=B168)))*((G168-IFERROR(H168,0))/IFERROR(SUMPRODUCT((Besatzung!$B$11:$B$22&lt;&gt;"")*(IF(Besatzung!$C$11:$C$22="",Besatzung!$B$5,Besatzung!$C$11:$C$22)&lt;=B168)*(IF(Besatzung!$D$11:$D$22="",Besatzung!$B$6,Besatzung!$D$11:$D$22)&gt;=B168)),1)+(Besatzung!$F$12="x")*IFERROR(H168,0)/IFERROR(SUMPRODUCT((Besatzung!$B$11:$B$22&lt;&gt;"")*(Besatzung!$F$11:$F$22="x")*(IF(Besatzung!$C$11:$C$22="",Besatzung!$B$5,Besatzung!$C$11:$C$22)&lt;=B168)*(IF(Besatzung!$D$11:$D$22="",Besatzung!$B$6,Besatzung!$D$11:$D$22)&gt;=B168)),1))),IF(I168="Individuell",((K168="x")*((G168-IFERROR(H168,0))/IFERROR(COUNTIF(J168:U168,"x"),1)+(Besatzung!$F$12="x")*IFERROR(H168,0)/IFERROR(SUMPRODUCT((J168:U168="x")*(Besatzung!$F$11:$F$22="x")),1))),(IF(COUNTIF(J168:U168,"x")=0,IF(Besatzung!$B$12&lt;&gt;"",1,0),(K168="x"))*(G168-IFERROR(H168,0))/IFERROR(IF(COUNTIF(J168:U168,"x")=0,COUNTA(Besatzung!$B$11:$B$22),COUNTIF(J168:U168,"x")),1)+IF(COUNTIF(J168:U168,"x")=0,(Besatzung!$F$12="x"),(K168="x")*(Besatzung!$F$12="x"))*IFERROR(H168,0)/IFERROR(IF(COUNTIF(J168:U168,"x")=0,SUMPRODUCT((Besatzung!$B$11:$B$22&lt;&gt;"")*(Besatzung!$F$11:$F$22="x")),SUMPRODUCT((J168:U168="x")*(Besatzung!$F$11:$F$22="x"))),1))))),0))))</f>
        <v/>
      </c>
      <c r="X168" s="247">
        <f>IF(C168="Gutschrift","",IF(G168="","",IF(Besatzung!$B$13="","",IFERROR(IF(I168="Zeitanteilig",(Besatzung!$G$13*(G168-IFERROR(H168,0))+((Besatzung!$B$13&lt;&gt;"")*IF(B168="",1,(IF(Besatzung!$C$13="",Besatzung!$B$5,Besatzung!$C$13)&lt;=B168)*(IF(Besatzung!$D$13="",Besatzung!$B$6,Besatzung!$D$13)&gt;=B168)))*(Besatzung!$F$13="x")*IFERROR(H168,0)/IFERROR(SUMPRODUCT((Besatzung!$B$11:$B$22&lt;&gt;"")*(Besatzung!$F$11:$F$22="x")*(IF(Besatzung!$C$11:$C$22="",Besatzung!$B$5,Besatzung!$C$11:$C$22)&lt;=B168)*(IF(Besatzung!$D$11:$D$22="",Besatzung!$B$6,Besatzung!$D$11:$D$22)&gt;=B168)),1)),IF(I168="An Bord",(((Besatzung!$B$13&lt;&gt;"")*IF(B168="",1,(IF(Besatzung!$C$13="",Besatzung!$B$5,Besatzung!$C$13)&lt;=B168)*(IF(Besatzung!$D$13="",Besatzung!$B$6,Besatzung!$D$13)&gt;=B168)))*((G168-IFERROR(H168,0))/IFERROR(SUMPRODUCT((Besatzung!$B$11:$B$22&lt;&gt;"")*(IF(Besatzung!$C$11:$C$22="",Besatzung!$B$5,Besatzung!$C$11:$C$22)&lt;=B168)*(IF(Besatzung!$D$11:$D$22="",Besatzung!$B$6,Besatzung!$D$11:$D$22)&gt;=B168)),1)+(Besatzung!$F$13="x")*IFERROR(H168,0)/IFERROR(SUMPRODUCT((Besatzung!$B$11:$B$22&lt;&gt;"")*(Besatzung!$F$11:$F$22="x")*(IF(Besatzung!$C$11:$C$22="",Besatzung!$B$5,Besatzung!$C$11:$C$22)&lt;=B168)*(IF(Besatzung!$D$11:$D$22="",Besatzung!$B$6,Besatzung!$D$11:$D$22)&gt;=B168)),1))),IF(I168="Individuell",((K168="x")*((G168-IFERROR(H168,0))/IFERROR(COUNTIF(J168:U168,"x"),1)+(Besatzung!$F$13="x")*IFERROR(H168,0)/IFERROR(SUMPRODUCT((J168:U168="x")*(Besatzung!$F$11:$F$22="x")),1))),(IF(COUNTIF(J168:U168,"x")=0,IF(Besatzung!$B$13&lt;&gt;"",1,0),(K168="x"))*(G168-IFERROR(H168,0))/IFERROR(IF(COUNTIF(J168:U168,"x")=0,COUNTA(Besatzung!$B$11:$B$22),COUNTIF(J168:U168,"x")),1)+IF(COUNTIF(J168:U168,"x")=0,(Besatzung!$F$13="x"),(K168="x")*(Besatzung!$F$13="x"))*IFERROR(H168,0)/IFERROR(IF(COUNTIF(J168:U168,"x")=0,SUMPRODUCT((Besatzung!$B$11:$B$22&lt;&gt;"")*(Besatzung!$F$11:$F$22="x")),SUMPRODUCT((J168:U168="x")*(Besatzung!$F$11:$F$22="x"))),1))))),0))))</f>
        <v/>
      </c>
      <c r="Y168" s="247">
        <f>IF(C168="Gutschrift","",IF(G168="","",IF(Besatzung!$B$14="","",IFERROR(IF(I168="Zeitanteilig",(Besatzung!$G$14*(G168-IFERROR(H168,0))+((Besatzung!$B$14&lt;&gt;"")*IF(B168="",1,(IF(Besatzung!$C$14="",Besatzung!$B$5,Besatzung!$C$14)&lt;=B168)*(IF(Besatzung!$D$14="",Besatzung!$B$6,Besatzung!$D$14)&gt;=B168)))*(Besatzung!$F$14="x")*IFERROR(H168,0)/IFERROR(SUMPRODUCT((Besatzung!$B$11:$B$22&lt;&gt;"")*(Besatzung!$F$11:$F$22="x")*(IF(Besatzung!$C$11:$C$22="",Besatzung!$B$5,Besatzung!$C$11:$C$22)&lt;=B168)*(IF(Besatzung!$D$11:$D$22="",Besatzung!$B$6,Besatzung!$D$11:$D$22)&gt;=B168)),1)),IF(I168="An Bord",(((Besatzung!$B$14&lt;&gt;"")*IF(B168="",1,(IF(Besatzung!$C$14="",Besatzung!$B$5,Besatzung!$C$14)&lt;=B168)*(IF(Besatzung!$D$14="",Besatzung!$B$6,Besatzung!$D$14)&gt;=B168)))*((G168-IFERROR(H168,0))/IFERROR(SUMPRODUCT((Besatzung!$B$11:$B$22&lt;&gt;"")*(IF(Besatzung!$C$11:$C$22="",Besatzung!$B$5,Besatzung!$C$11:$C$22)&lt;=B168)*(IF(Besatzung!$D$11:$D$22="",Besatzung!$B$6,Besatzung!$D$11:$D$22)&gt;=B168)),1)+(Besatzung!$F$14="x")*IFERROR(H168,0)/IFERROR(SUMPRODUCT((Besatzung!$B$11:$B$22&lt;&gt;"")*(Besatzung!$F$11:$F$22="x")*(IF(Besatzung!$C$11:$C$22="",Besatzung!$B$5,Besatzung!$C$11:$C$22)&lt;=B168)*(IF(Besatzung!$D$11:$D$22="",Besatzung!$B$6,Besatzung!$D$11:$D$22)&gt;=B168)),1))),IF(I168="Individuell",((M168="x")*((G168-IFERROR(H168,0))/IFERROR(COUNTIF(J168:U168,"x"),1)+(Besatzung!$F$14="x")*IFERROR(H168,0)/IFERROR(SUMPRODUCT((J168:U168="x")*(Besatzung!$F$11:$F$22="x")),1))),(IF(COUNTIF(J168:U168,"x")=0,IF(Besatzung!$B$14&lt;&gt;"",1,0),(M168="x"))*(G168-IFERROR(H168,0))/IFERROR(IF(COUNTIF(J168:U168,"x")=0,COUNTA(Besatzung!$B$11:$B$22),COUNTIF(J168:U168,"x")),1)+IF(COUNTIF(J168:U168,"x")=0,(Besatzung!$F$14="x"),(M168="x")*(Besatzung!$F$14="x"))*IFERROR(H168,0)/IFERROR(IF(COUNTIF(J168:U168,"x")=0,SUMPRODUCT((Besatzung!$B$11:$B$22&lt;&gt;"")*(Besatzung!$F$11:$F$22="x")),SUMPRODUCT((J168:U168="x")*(Besatzung!$F$11:$F$22="x"))),1))))),0))))</f>
        <v/>
      </c>
      <c r="Z168" s="247">
        <f>IF(C168="Gutschrift","",IF(G168="","",IF(Besatzung!$B$13="","",IFERROR(IF(I168="Zeitanteilig",(Besatzung!$G$15*(G168-IFERROR(H168,0))+((Besatzung!$B$13&lt;&gt;"")*IF(B168="",1,(IF(Besatzung!$C$15="",Besatzung!$B$5,Besatzung!$C$15)&lt;=B168)*(IF(Besatzung!$D$15="",Besatzung!$B$6,Besatzung!$D$15)&gt;=B168)))*(Besatzung!$F$15="x")*IFERROR(H168,0)/IFERROR(SUMPRODUCT((Besatzung!$B$11:$B$22&lt;&gt;"")*(Besatzung!$F$11:$F$22="x")*(IF(Besatzung!$C$11:$C$22="",Besatzung!$B$5,Besatzung!$C$11:$C$22)&lt;=B168)*(IF(Besatzung!$D$11:$D$22="",Besatzung!$B$6,Besatzung!$D$11:$D$22)&gt;=B168)),1)),IF(I168="An Bord",(((Besatzung!$B$13&lt;&gt;"")*IF(B168="",1,(IF(Besatzung!$C$15="",Besatzung!$B$5,Besatzung!$C$15)&lt;=B168)*(IF(Besatzung!$D$15="",Besatzung!$B$6,Besatzung!$D$15)&gt;=B168)))*((G168-IFERROR(H168,0))/IFERROR(SUMPRODUCT((Besatzung!$B$11:$B$22&lt;&gt;"")*(IF(Besatzung!$C$11:$C$22="",Besatzung!$B$5,Besatzung!$C$11:$C$22)&lt;=B168)*(IF(Besatzung!$D$11:$D$22="",Besatzung!$B$6,Besatzung!$D$11:$D$22)&gt;=B168)),1)+(Besatzung!$F$15="x")*IFERROR(H168,0)/IFERROR(SUMPRODUCT((Besatzung!$B$11:$B$22&lt;&gt;"")*(Besatzung!$F$11:$F$22="x")*(IF(Besatzung!$C$11:$C$22="",Besatzung!$B$5,Besatzung!$C$11:$C$22)&lt;=B168)*(IF(Besatzung!$D$11:$D$22="",Besatzung!$B$6,Besatzung!$D$11:$D$22)&gt;=B168)),1))),IF(I168="Individuell",((N168="x")*((G168-IFERROR(H168,0))/IFERROR(COUNTIF(J168:U168,"x"),1)+(Besatzung!$F$15="x")*IFERROR(H168,0)/IFERROR(SUMPRODUCT((J168:U168="x")*(Besatzung!$F$11:$F$22="x")),1))),(IF(COUNTIF(J168:U168,"x")=0,IF(Besatzung!$B$13&lt;&gt;"",1,0),(N168="x"))*(G168-IFERROR(H168,0))/IFERROR(IF(COUNTIF(J168:U168,"x")=0,COUNTA(Besatzung!$B$11:$B$22),COUNTIF(J168:U168,"x")),1)+IF(COUNTIF(J168:U168,"x")=0,(Besatzung!$F$15="x"),(N168="x")*(Besatzung!$F$15="x"))*IFERROR(H168,0)/IFERROR(IF(COUNTIF(J168:U168,"x")=0,SUMPRODUCT((Besatzung!$B$11:$B$22&lt;&gt;"")*(Besatzung!$F$11:$F$22="x")),SUMPRODUCT((J168:U168="x")*(Besatzung!$F$11:$F$22="x"))),1))))),0))))</f>
        <v/>
      </c>
      <c r="AA168" s="247">
        <f>IF(C168="Gutschrift","",IF(G168="","",IF(Besatzung!$B$15="","",IFERROR(IF(I168="Zeitanteilig",(Besatzung!$G$16*(G168-IFERROR(H168,0))+((Besatzung!$B$15&lt;&gt;"")*IF(B168="",1,(IF(Besatzung!$C$16="",Besatzung!$B$5,Besatzung!$C$16)&lt;=B168)*(IF(Besatzung!$D$16="",Besatzung!$B$6,Besatzung!$D$16)&gt;=B168)))*(Besatzung!$F$16="x")*IFERROR(H168,0)/IFERROR(SUMPRODUCT((Besatzung!$B$11:$B$22&lt;&gt;"")*(Besatzung!$F$11:$F$22="x")*(IF(Besatzung!$C$11:$C$22="",Besatzung!$B$5,Besatzung!$C$11:$C$22)&lt;=B168)*(IF(Besatzung!$D$11:$D$22="",Besatzung!$B$6,Besatzung!$D$11:$D$22)&gt;=B168)),1)),IF(I168="An Bord",(((Besatzung!$B$15&lt;&gt;"")*IF(B168="",1,(IF(Besatzung!$C$16="",Besatzung!$B$5,Besatzung!$C$16)&lt;=B168)*(IF(Besatzung!$D$16="",Besatzung!$B$6,Besatzung!$D$16)&gt;=B168)))*((G168-IFERROR(H168,0))/IFERROR(SUMPRODUCT((Besatzung!$B$11:$B$22&lt;&gt;"")*(IF(Besatzung!$C$11:$C$22="",Besatzung!$B$5,Besatzung!$C$11:$C$22)&lt;=B168)*(IF(Besatzung!$D$11:$D$22="",Besatzung!$B$6,Besatzung!$D$11:$D$22)&gt;=B168)),1)+(Besatzung!$F$16="x")*IFERROR(H168,0)/IFERROR(SUMPRODUCT((Besatzung!$B$11:$B$22&lt;&gt;"")*(Besatzung!$F$11:$F$22="x")*(IF(Besatzung!$C$11:$C$22="",Besatzung!$B$5,Besatzung!$C$11:$C$22)&lt;=B168)*(IF(Besatzung!$D$11:$D$22="",Besatzung!$B$6,Besatzung!$D$11:$D$22)&gt;=B168)),1))),IF(I168="Individuell",((O168="x")*((G168-IFERROR(H168,0))/IFERROR(COUNTIF(J168:U168,"x"),1)+(Besatzung!$F$16="x")*IFERROR(H168,0)/IFERROR(SUMPRODUCT((J168:U168="x")*(Besatzung!$F$11:$F$22="x")),1))),(IF(COUNTIF(J168:U168,"x")=0,IF(Besatzung!$B$15&lt;&gt;"",1,0),(O168="x"))*(G168-IFERROR(H168,0))/IFERROR(IF(COUNTIF(J168:U168,"x")=0,COUNTA(Besatzung!$B$11:$B$22),COUNTIF(J168:U168,"x")),1)+IF(COUNTIF(J168:U168,"x")=0,(Besatzung!$F$16="x"),(O168="x")*(Besatzung!$F$16="x"))*IFERROR(H168,0)/IFERROR(IF(COUNTIF(J168:U168,"x")=0,SUMPRODUCT((Besatzung!$B$11:$B$22&lt;&gt;"")*(Besatzung!$F$11:$F$22="x")),SUMPRODUCT((J168:U168="x")*(Besatzung!$F$11:$F$22="x"))),1))))),0))))</f>
        <v/>
      </c>
      <c r="AB168" s="247">
        <f>IF(C168="Gutschrift","",IF(G168="","",IF(Besatzung!$B$17="","",IFERROR(IF(I168="Zeitanteilig",(Besatzung!$G$17*(G168-IFERROR(H168,0))+((Besatzung!$B$17&lt;&gt;"")*IF(B168="",1,(IF(Besatzung!$C$17="",Besatzung!$B$5,Besatzung!$C$17)&lt;=B168)*(IF(Besatzung!$D$17="",Besatzung!$B$6,Besatzung!$D$17)&gt;=B168)))*(Besatzung!$F$17="x")*IFERROR(H168,0)/IFERROR(SUMPRODUCT((Besatzung!$B$11:$B$22&lt;&gt;"")*(Besatzung!$F$11:$F$22="x")*(IF(Besatzung!$C$11:$C$22="",Besatzung!$B$5,Besatzung!$C$11:$C$22)&lt;=B168)*(IF(Besatzung!$D$11:$D$22="",Besatzung!$B$6,Besatzung!$D$11:$D$22)&gt;=B168)),1)),IF(I168="An Bord",(((Besatzung!$B$17&lt;&gt;"")*IF(B168="",1,(IF(Besatzung!$C$17="",Besatzung!$B$5,Besatzung!$C$17)&lt;=B168)*(IF(Besatzung!$D$17="",Besatzung!$B$6,Besatzung!$D$17)&gt;=B168)))*((G168-IFERROR(H168,0))/IFERROR(SUMPRODUCT((Besatzung!$B$11:$B$22&lt;&gt;"")*(IF(Besatzung!$C$11:$C$22="",Besatzung!$B$5,Besatzung!$C$11:$C$22)&lt;=B168)*(IF(Besatzung!$D$11:$D$22="",Besatzung!$B$6,Besatzung!$D$11:$D$22)&gt;=B168)),1)+(Besatzung!$F$17="x")*IFERROR(H168,0)/IFERROR(SUMPRODUCT((Besatzung!$B$11:$B$22&lt;&gt;"")*(Besatzung!$F$11:$F$22="x")*(IF(Besatzung!$C$11:$C$22="",Besatzung!$B$5,Besatzung!$C$11:$C$22)&lt;=B168)*(IF(Besatzung!$D$11:$D$22="",Besatzung!$B$6,Besatzung!$D$11:$D$22)&gt;=B168)),1))),IF(I168="Individuell",((P168="x")*((G168-IFERROR(H168,0))/IFERROR(COUNTIF(J168:U168,"x"),1)+(Besatzung!$F$17="x")*IFERROR(H168,0)/IFERROR(SUMPRODUCT((J168:U168="x")*(Besatzung!$F$11:$F$22="x")),1))),(IF(COUNTIF(J168:U168,"x")=0,IF(Besatzung!$B$17&lt;&gt;"",1,0),(P168="x"))*(G168-IFERROR(H168,0))/IFERROR(IF(COUNTIF(J168:U168,"x")=0,COUNTA(Besatzung!$B$11:$B$22),COUNTIF(J168:U168,"x")),1)+IF(COUNTIF(J168:U168,"x")=0,(Besatzung!$F$17="x"),(P168="x")*(Besatzung!$F$17="x"))*IFERROR(H168,0)/IFERROR(IF(COUNTIF(J168:U168,"x")=0,SUMPRODUCT((Besatzung!$B$11:$B$22&lt;&gt;"")*(Besatzung!$F$11:$F$22="x")),SUMPRODUCT((J168:U168="x")*(Besatzung!$F$11:$F$22="x"))),1))))),0))))</f>
        <v/>
      </c>
      <c r="AC168" s="247">
        <f>IF(C168="Gutschrift","",IF(G168="","",IF(Besatzung!$B$18="","",IFERROR(IF(I168="Zeitanteilig",(Besatzung!$G$18*(G168-IFERROR(H168,0))+((Besatzung!$B$18&lt;&gt;"")*IF(B168="",1,(IF(Besatzung!$C$18="",Besatzung!$B$5,Besatzung!$C$18)&lt;=B168)*(IF(Besatzung!$D$18="",Besatzung!$B$6,Besatzung!$D$18)&gt;=B168)))*(Besatzung!$F$18="x")*IFERROR(H168,0)/IFERROR(SUMPRODUCT((Besatzung!$B$11:$B$22&lt;&gt;"")*(Besatzung!$F$11:$F$22="x")*(IF(Besatzung!$C$11:$C$22="",Besatzung!$B$5,Besatzung!$C$11:$C$22)&lt;=B168)*(IF(Besatzung!$D$11:$D$22="",Besatzung!$B$6,Besatzung!$D$11:$D$22)&gt;=B168)),1)),IF(I168="An Bord",(((Besatzung!$B$18&lt;&gt;"")*IF(B168="",1,(IF(Besatzung!$C$18="",Besatzung!$B$5,Besatzung!$C$18)&lt;=B168)*(IF(Besatzung!$D$18="",Besatzung!$B$6,Besatzung!$D$18)&gt;=B168)))*((G168-IFERROR(H168,0))/IFERROR(SUMPRODUCT((Besatzung!$B$11:$B$22&lt;&gt;"")*(IF(Besatzung!$C$11:$C$22="",Besatzung!$B$5,Besatzung!$C$11:$C$22)&lt;=B168)*(IF(Besatzung!$D$11:$D$22="",Besatzung!$B$6,Besatzung!$D$11:$D$22)&gt;=B168)),1)+(Besatzung!$F$18="x")*IFERROR(H168,0)/IFERROR(SUMPRODUCT((Besatzung!$B$11:$B$22&lt;&gt;"")*(Besatzung!$F$11:$F$22="x")*(IF(Besatzung!$C$11:$C$22="",Besatzung!$B$5,Besatzung!$C$11:$C$22)&lt;=B168)*(IF(Besatzung!$D$11:$D$22="",Besatzung!$B$6,Besatzung!$D$11:$D$22)&gt;=B168)),1))),IF(I168="Individuell",((Q168="x")*((G168-IFERROR(H168,0))/IFERROR(COUNTIF(J168:U168,"x"),1)+(Besatzung!$F$18="x")*IFERROR(H168,0)/IFERROR(SUMPRODUCT((J168:U168="x")*(Besatzung!$F$11:$F$22="x")),1))),(IF(COUNTIF(J168:U168,"x")=0,IF(Besatzung!$B$18&lt;&gt;"",1,0),(Q168="x"))*(G168-IFERROR(H168,0))/IFERROR(IF(COUNTIF(J168:U168,"x")=0,COUNTA(Besatzung!$B$11:$B$22),COUNTIF(J168:U168,"x")),1)+IF(COUNTIF(J168:U168,"x")=0,(Besatzung!$F$18="x"),(Q168="x")*(Besatzung!$F$18="x"))*IFERROR(H168,0)/IFERROR(IF(COUNTIF(J168:U168,"x")=0,SUMPRODUCT((Besatzung!$B$11:$B$22&lt;&gt;"")*(Besatzung!$F$11:$F$22="x")),SUMPRODUCT((J168:U168="x")*(Besatzung!$F$11:$F$22="x"))),1))))),0))))</f>
        <v/>
      </c>
      <c r="AD168" s="247">
        <f>IF(C168="Gutschrift","",IF(G168="","",IF(Besatzung!$B$19="","",IFERROR(IF(I168="Zeitanteilig",(Besatzung!$G$19*(G168-IFERROR(H168,0))+((Besatzung!$B$19&lt;&gt;"")*IF(B168="",1,(IF(Besatzung!$C$19="",Besatzung!$B$5,Besatzung!$C$19)&lt;=B168)*(IF(Besatzung!$D$19="",Besatzung!$B$6,Besatzung!$D$19)&gt;=B168)))*(Besatzung!$F$19="x")*IFERROR(H168,0)/IFERROR(SUMPRODUCT((Besatzung!$B$11:$B$22&lt;&gt;"")*(Besatzung!$F$11:$F$22="x")*(IF(Besatzung!$C$11:$C$22="",Besatzung!$B$5,Besatzung!$C$11:$C$22)&lt;=B168)*(IF(Besatzung!$D$11:$D$22="",Besatzung!$B$6,Besatzung!$D$11:$D$22)&gt;=B168)),1)),IF(I168="An Bord",(((Besatzung!$B$19&lt;&gt;"")*IF(B168="",1,(IF(Besatzung!$C$19="",Besatzung!$B$5,Besatzung!$C$19)&lt;=B168)*(IF(Besatzung!$D$19="",Besatzung!$B$6,Besatzung!$D$19)&gt;=B168)))*((G168-IFERROR(H168,0))/IFERROR(SUMPRODUCT((Besatzung!$B$11:$B$22&lt;&gt;"")*(IF(Besatzung!$C$11:$C$22="",Besatzung!$B$5,Besatzung!$C$11:$C$22)&lt;=B168)*(IF(Besatzung!$D$11:$D$22="",Besatzung!$B$6,Besatzung!$D$11:$D$22)&gt;=B168)),1)+(Besatzung!$F$19="x")*IFERROR(H168,0)/IFERROR(SUMPRODUCT((Besatzung!$B$11:$B$22&lt;&gt;"")*(Besatzung!$F$11:$F$22="x")*(IF(Besatzung!$C$11:$C$22="",Besatzung!$B$5,Besatzung!$C$11:$C$22)&lt;=B168)*(IF(Besatzung!$D$11:$D$22="",Besatzung!$B$6,Besatzung!$D$11:$D$22)&gt;=B168)),1))),IF(I168="Individuell",((R168="x")*((G168-IFERROR(H168,0))/IFERROR(COUNTIF(J168:U168,"x"),1)+(Besatzung!$F$19="x")*IFERROR(H168,0)/IFERROR(SUMPRODUCT((J168:U168="x")*(Besatzung!$F$11:$F$22="x")),1))),(IF(COUNTIF(J168:U168,"x")=0,IF(Besatzung!$B$19&lt;&gt;"",1,0),(R168="x"))*(G168-IFERROR(H168,0))/IFERROR(IF(COUNTIF(J168:U168,"x")=0,COUNTA(Besatzung!$B$11:$B$22),COUNTIF(J168:U168,"x")),1)+IF(COUNTIF(J168:U168,"x")=0,(Besatzung!$F$19="x"),(R168="x")*(Besatzung!$F$19="x"))*IFERROR(H168,0)/IFERROR(IF(COUNTIF(J168:U168,"x")=0,SUMPRODUCT((Besatzung!$B$11:$B$22&lt;&gt;"")*(Besatzung!$F$11:$F$22="x")),SUMPRODUCT((J168:U168="x")*(Besatzung!$F$11:$F$22="x"))),1))))),0))))</f>
        <v/>
      </c>
      <c r="AE168" s="247">
        <f>IF(C168="Gutschrift","",IF(G168="","",IF(Besatzung!$B$20="","",IFERROR(IF(I168="Zeitanteilig",(Besatzung!$G$20*(G168-IFERROR(H168,0))+((Besatzung!$B$20&lt;&gt;"")*IF(B168="",1,(IF(Besatzung!$C$20="",Besatzung!$B$5,Besatzung!$C$20)&lt;=B168)*(IF(Besatzung!$D$20="",Besatzung!$B$6,Besatzung!$D$20)&gt;=B168)))*(Besatzung!$F$20="x")*IFERROR(H168,0)/IFERROR(SUMPRODUCT((Besatzung!$B$11:$B$22&lt;&gt;"")*(Besatzung!$F$11:$F$22="x")*(IF(Besatzung!$C$11:$C$22="",Besatzung!$B$5,Besatzung!$C$11:$C$22)&lt;=B168)*(IF(Besatzung!$D$11:$D$22="",Besatzung!$B$6,Besatzung!$D$11:$D$22)&gt;=B168)),1)),IF(I168="An Bord",(((Besatzung!$B$20&lt;&gt;"")*IF(B168="",1,(IF(Besatzung!$C$20="",Besatzung!$B$5,Besatzung!$C$20)&lt;=B168)*(IF(Besatzung!$D$20="",Besatzung!$B$6,Besatzung!$D$20)&gt;=B168)))*((G168-IFERROR(H168,0))/IFERROR(SUMPRODUCT((Besatzung!$B$11:$B$22&lt;&gt;"")*(IF(Besatzung!$C$11:$C$22="",Besatzung!$B$5,Besatzung!$C$11:$C$22)&lt;=B168)*(IF(Besatzung!$D$11:$D$22="",Besatzung!$B$6,Besatzung!$D$11:$D$22)&gt;=B168)),1)+(Besatzung!$F$20="x")*IFERROR(H168,0)/IFERROR(SUMPRODUCT((Besatzung!$B$11:$B$22&lt;&gt;"")*(Besatzung!$F$11:$F$22="x")*(IF(Besatzung!$C$11:$C$22="",Besatzung!$B$5,Besatzung!$C$11:$C$22)&lt;=B168)*(IF(Besatzung!$D$11:$D$22="",Besatzung!$B$6,Besatzung!$D$11:$D$22)&gt;=B168)),1))),IF(I168="Individuell",((S168="x")*((G168-IFERROR(H168,0))/IFERROR(COUNTIF(J168:U168,"x"),1)+(Besatzung!$F$20="x")*IFERROR(H168,0)/IFERROR(SUMPRODUCT((J168:U168="x")*(Besatzung!$F$11:$F$22="x")),1))),(IF(COUNTIF(J168:U168,"x")=0,IF(Besatzung!$B$20&lt;&gt;"",1,0),(S168="x"))*(G168-IFERROR(H168,0))/IFERROR(IF(COUNTIF(J168:U168,"x")=0,COUNTA(Besatzung!$B$11:$B$22),COUNTIF(J168:U168,"x")),1)+IF(COUNTIF(J168:U168,"x")=0,(Besatzung!$F$20="x"),(S168="x")*(Besatzung!$F$20="x"))*IFERROR(H168,0)/IFERROR(IF(COUNTIF(J168:U168,"x")=0,SUMPRODUCT((Besatzung!$B$11:$B$22&lt;&gt;"")*(Besatzung!$F$11:$F$22="x")),SUMPRODUCT((J168:U168="x")*(Besatzung!$F$11:$F$22="x"))),1))))),0))))</f>
        <v/>
      </c>
      <c r="AF168" s="247">
        <f>IF(C168="Gutschrift","",IF(G168="","",IF(Besatzung!$B$21="","",IFERROR(IF(I168="Zeitanteilig",(Besatzung!$G$21*(G168-IFERROR(H168,0))+((Besatzung!$B$21&lt;&gt;"")*IF(B168="",1,(IF(Besatzung!$C$21="",Besatzung!$B$5,Besatzung!$C$21)&lt;=B168)*(IF(Besatzung!$D$21="",Besatzung!$B$6,Besatzung!$D$21)&gt;=B168)))*(Besatzung!$F$21="x")*IFERROR(H168,0)/IFERROR(SUMPRODUCT((Besatzung!$B$11:$B$22&lt;&gt;"")*(Besatzung!$F$11:$F$22="x")*(IF(Besatzung!$C$11:$C$22="",Besatzung!$B$5,Besatzung!$C$11:$C$22)&lt;=B168)*(IF(Besatzung!$D$11:$D$22="",Besatzung!$B$6,Besatzung!$D$11:$D$22)&gt;=B168)),1)),IF(I168="An Bord",(((Besatzung!$B$21&lt;&gt;"")*IF(B168="",1,(IF(Besatzung!$C$21="",Besatzung!$B$5,Besatzung!$C$21)&lt;=B168)*(IF(Besatzung!$D$21="",Besatzung!$B$6,Besatzung!$D$21)&gt;=B168)))*((G168-IFERROR(H168,0))/IFERROR(SUMPRODUCT((Besatzung!$B$11:$B$22&lt;&gt;"")*(IF(Besatzung!$C$11:$C$22="",Besatzung!$B$5,Besatzung!$C$11:$C$22)&lt;=B168)*(IF(Besatzung!$D$11:$D$22="",Besatzung!$B$6,Besatzung!$D$11:$D$22)&gt;=B168)),1)+(Besatzung!$F$21="x")*IFERROR(H168,0)/IFERROR(SUMPRODUCT((Besatzung!$B$11:$B$22&lt;&gt;"")*(Besatzung!$F$11:$F$22="x")*(IF(Besatzung!$C$11:$C$22="",Besatzung!$B$5,Besatzung!$C$11:$C$22)&lt;=B168)*(IF(Besatzung!$D$11:$D$22="",Besatzung!$B$6,Besatzung!$D$11:$D$22)&gt;=B168)),1))),IF(I168="Individuell",((T168="x")*((G168-IFERROR(H168,0))/IFERROR(COUNTIF(J168:U168,"x"),1)+(Besatzung!$F$21="x")*IFERROR(H168,0)/IFERROR(SUMPRODUCT((J168:U168="x")*(Besatzung!$F$11:$F$22="x")),1))),(IF(COUNTIF(J168:U168,"x")=0,IF(Besatzung!$B$21&lt;&gt;"",1,0),(T168="x"))*(G168-IFERROR(H168,0))/IFERROR(IF(COUNTIF(J168:U168,"x")=0,COUNTA(Besatzung!$B$11:$B$22),COUNTIF(J168:U168,"x")),1)+IF(COUNTIF(J168:U168,"x")=0,(Besatzung!$F$21="x"),(T168="x")*(Besatzung!$F$21="x"))*IFERROR(H168,0)/IFERROR(IF(COUNTIF(J168:U168,"x")=0,SUMPRODUCT((Besatzung!$B$11:$B$22&lt;&gt;"")*(Besatzung!$F$11:$F$22="x")),SUMPRODUCT((J168:U168="x")*(Besatzung!$F$11:$F$22="x"))),1))))),0))))</f>
        <v/>
      </c>
      <c r="AG168" s="247">
        <f>IF(C168="Gutschrift","",IF(G168="","",IF(Besatzung!$B$22="","",IFERROR(IF(I168="Zeitanteilig",(Besatzung!$G$22*(G168-IFERROR(H168,0))+((Besatzung!$B$22&lt;&gt;"")*IF(B168="",1,(IF(Besatzung!$C$22="",Besatzung!$B$5,Besatzung!$C$22)&lt;=B168)*(IF(Besatzung!$D$22="",Besatzung!$B$6,Besatzung!$D$22)&gt;=B168)))*(Besatzung!$F$22="x")*IFERROR(H168,0)/IFERROR(SUMPRODUCT((Besatzung!$B$11:$B$22&lt;&gt;"")*(Besatzung!$F$11:$F$22="x")*(IF(Besatzung!$C$11:$C$22="",Besatzung!$B$5,Besatzung!$C$11:$C$22)&lt;=B168)*(IF(Besatzung!$D$11:$D$22="",Besatzung!$B$6,Besatzung!$D$11:$D$22)&gt;=B168)),1)),IF(I168="An Bord",(((Besatzung!$B$22&lt;&gt;"")*IF(B168="",1,(IF(Besatzung!$C$22="",Besatzung!$B$5,Besatzung!$C$22)&lt;=B168)*(IF(Besatzung!$D$22="",Besatzung!$B$6,Besatzung!$D$22)&gt;=B168)))*((G168-IFERROR(H168,0))/IFERROR(SUMPRODUCT((Besatzung!$B$11:$B$22&lt;&gt;"")*(IF(Besatzung!$C$11:$C$22="",Besatzung!$B$5,Besatzung!$C$11:$C$22)&lt;=B168)*(IF(Besatzung!$D$11:$D$22="",Besatzung!$B$6,Besatzung!$D$11:$D$22)&gt;=B168)),1)+(Besatzung!$F$22="x")*IFERROR(H168,0)/IFERROR(SUMPRODUCT((Besatzung!$B$11:$B$22&lt;&gt;"")*(Besatzung!$F$11:$F$22="x")*(IF(Besatzung!$C$11:$C$22="",Besatzung!$B$5,Besatzung!$C$11:$C$22)&lt;=B168)*(IF(Besatzung!$D$11:$D$22="",Besatzung!$B$6,Besatzung!$D$11:$D$22)&gt;=B168)),1))),IF(I168="Individuell",((U168="x")*((G168-IFERROR(H168,0))/IFERROR(COUNTIF(J168:U168,"x"),1)+(Besatzung!$F$22="x")*IFERROR(H168,0)/IFERROR(SUMPRODUCT((J168:U168="x")*(Besatzung!$F$11:$F$22="x")),1))),(IF(COUNTIF(J168:U168,"x")=0,IF(Besatzung!$B$22&lt;&gt;"",1,0),(U168="x"))*(G168-IFERROR(H168,0))/IFERROR(IF(COUNTIF(J168:U168,"x")=0,COUNTA(Besatzung!$B$11:$B$22),COUNTIF(J168:U168,"x")),1)+IF(COUNTIF(J168:U168,"x")=0,(Besatzung!$F$22="x"),(U168="x")*(Besatzung!$F$22="x"))*IFERROR(H168,0)/IFERROR(IF(COUNTIF(J168:U168,"x")=0,SUMPRODUCT((Besatzung!$B$11:$B$22&lt;&gt;"")*(Besatzung!$F$11:$F$22="x")),SUMPRODUCT((J168:U168="x")*(Besatzung!$F$11:$F$22="x"))),1))))),0))))</f>
        <v/>
      </c>
      <c r="AH168" s="248" t="n"/>
      <c r="AI168" s="248" t="n"/>
    </row>
    <row r="169" ht="21.75" customHeight="1" s="154">
      <c r="A169" s="238">
        <f>IF(AND(D169="",C169=""),"",166)</f>
        <v/>
      </c>
      <c r="B169" s="206" t="n"/>
      <c r="C169" s="249" t="n"/>
      <c r="D169" s="250" t="n"/>
      <c r="E169" s="251" t="n"/>
      <c r="F169" s="252" t="n"/>
      <c r="G169" s="253" t="n"/>
      <c r="H169" s="254" t="n"/>
      <c r="I169" s="255" t="n"/>
      <c r="J169" s="256" t="n"/>
      <c r="K169" s="256" t="n"/>
      <c r="L169" s="256" t="n"/>
      <c r="M169" s="256" t="n"/>
      <c r="N169" s="256" t="n"/>
      <c r="O169" s="256" t="n"/>
      <c r="P169" s="256" t="n"/>
      <c r="Q169" s="256" t="n"/>
      <c r="R169" s="256" t="n"/>
      <c r="S169" s="256" t="n"/>
      <c r="T169" s="256" t="n"/>
      <c r="U169" s="256" t="n"/>
      <c r="V169" s="247">
        <f>IF(C169="Gutschrift","",IF(G169="","",IF(Besatzung!$B$11="","",IFERROR(IF(I169="Zeitanteilig",(Besatzung!$G$11*(G169-IFERROR(H169,0))+((Besatzung!$B$11&lt;&gt;"")*IF(B169="",1,(IF(Besatzung!$C$11="",Besatzung!$B$5,Besatzung!$C$11)&lt;=B169)*(IF(Besatzung!$D$11="",Besatzung!$B$6,Besatzung!$D$11)&gt;=B169)))*(Besatzung!$F$11="x")*IFERROR(H169,0)/IFERROR(SUMPRODUCT((Besatzung!$B$11:$B$22&lt;&gt;"")*(Besatzung!$F$11:$F$22="x")*(IF(Besatzung!$C$11:$C$22="",Besatzung!$B$5,Besatzung!$C$11:$C$22)&lt;=B169)*(IF(Besatzung!$D$11:$D$22="",Besatzung!$B$6,Besatzung!$D$11:$D$22)&gt;=B169)),1)),IF(I169="An Bord",(((Besatzung!$B$11&lt;&gt;"")*IF(B169="",1,(IF(Besatzung!$C$11="",Besatzung!$B$5,Besatzung!$C$11)&lt;=B169)*(IF(Besatzung!$D$11="",Besatzung!$B$6,Besatzung!$D$11)&gt;=B169)))*((G169-IFERROR(H169,0))/IFERROR(SUMPRODUCT((Besatzung!$B$11:$B$22&lt;&gt;"")*(IF(Besatzung!$C$11:$C$22="",Besatzung!$B$5,Besatzung!$C$11:$C$22)&lt;=B169)*(IF(Besatzung!$D$11:$D$22="",Besatzung!$B$6,Besatzung!$D$11:$D$22)&gt;=B169)),1)+(Besatzung!$F$11="x")*IFERROR(H169,0)/IFERROR(SUMPRODUCT((Besatzung!$B$11:$B$22&lt;&gt;"")*(Besatzung!$F$11:$F$22="x")*(IF(Besatzung!$C$11:$C$22="",Besatzung!$B$5,Besatzung!$C$11:$C$22)&lt;=B169)*(IF(Besatzung!$D$11:$D$22="",Besatzung!$B$6,Besatzung!$D$11:$D$22)&gt;=B169)),1))),IF(I169="Individuell",((J169="x")*((G169-IFERROR(H169,0))/IFERROR(COUNTIF(J169:U169,"x"),1)+(Besatzung!$F$11="x")*IFERROR(H169,0)/IFERROR(SUMPRODUCT((J169:U169="x")*(Besatzung!$F$11:$F$22="x")),1))),(IF(COUNTIF(J169:U169,"x")=0,IF(Besatzung!$B$11&lt;&gt;"",1,0),(J169="x"))*(G169-IFERROR(H169,0))/IFERROR(IF(COUNTIF(J169:U169,"x")=0,COUNTA(Besatzung!$B$11:$B$22),COUNTIF(J169:U169,"x")),1)+IF(COUNTIF(J169:U169,"x")=0,(Besatzung!$F$11="x"),(J169="x")*(Besatzung!$F$11="x"))*IFERROR(H169,0)/IFERROR(IF(COUNTIF(J169:U169,"x")=0,SUMPRODUCT((Besatzung!$B$11:$B$22&lt;&gt;"")*(Besatzung!$F$11:$F$22="x")),SUMPRODUCT((J169:U169="x")*(Besatzung!$F$11:$F$22="x"))),1))))),0))))</f>
        <v/>
      </c>
      <c r="W169" s="247">
        <f>IF(C169="Gutschrift","",IF(G169="","",IF(Besatzung!$B$12="","",IFERROR(IF(I169="Zeitanteilig",(Besatzung!$G$12*(G169-IFERROR(H169,0))+((Besatzung!$B$12&lt;&gt;"")*IF(B169="",1,(IF(Besatzung!$C$12="",Besatzung!$B$5,Besatzung!$C$12)&lt;=B169)*(IF(Besatzung!$D$12="",Besatzung!$B$6,Besatzung!$D$12)&gt;=B169)))*(Besatzung!$F$12="x")*IFERROR(H169,0)/IFERROR(SUMPRODUCT((Besatzung!$B$11:$B$22&lt;&gt;"")*(Besatzung!$F$11:$F$22="x")*(IF(Besatzung!$C$11:$C$22="",Besatzung!$B$5,Besatzung!$C$11:$C$22)&lt;=B169)*(IF(Besatzung!$D$11:$D$22="",Besatzung!$B$6,Besatzung!$D$11:$D$22)&gt;=B169)),1)),IF(I169="An Bord",(((Besatzung!$B$12&lt;&gt;"")*IF(B169="",1,(IF(Besatzung!$C$12="",Besatzung!$B$5,Besatzung!$C$12)&lt;=B169)*(IF(Besatzung!$D$12="",Besatzung!$B$6,Besatzung!$D$12)&gt;=B169)))*((G169-IFERROR(H169,0))/IFERROR(SUMPRODUCT((Besatzung!$B$11:$B$22&lt;&gt;"")*(IF(Besatzung!$C$11:$C$22="",Besatzung!$B$5,Besatzung!$C$11:$C$22)&lt;=B169)*(IF(Besatzung!$D$11:$D$22="",Besatzung!$B$6,Besatzung!$D$11:$D$22)&gt;=B169)),1)+(Besatzung!$F$12="x")*IFERROR(H169,0)/IFERROR(SUMPRODUCT((Besatzung!$B$11:$B$22&lt;&gt;"")*(Besatzung!$F$11:$F$22="x")*(IF(Besatzung!$C$11:$C$22="",Besatzung!$B$5,Besatzung!$C$11:$C$22)&lt;=B169)*(IF(Besatzung!$D$11:$D$22="",Besatzung!$B$6,Besatzung!$D$11:$D$22)&gt;=B169)),1))),IF(I169="Individuell",((K169="x")*((G169-IFERROR(H169,0))/IFERROR(COUNTIF(J169:U169,"x"),1)+(Besatzung!$F$12="x")*IFERROR(H169,0)/IFERROR(SUMPRODUCT((J169:U169="x")*(Besatzung!$F$11:$F$22="x")),1))),(IF(COUNTIF(J169:U169,"x")=0,IF(Besatzung!$B$12&lt;&gt;"",1,0),(K169="x"))*(G169-IFERROR(H169,0))/IFERROR(IF(COUNTIF(J169:U169,"x")=0,COUNTA(Besatzung!$B$11:$B$22),COUNTIF(J169:U169,"x")),1)+IF(COUNTIF(J169:U169,"x")=0,(Besatzung!$F$12="x"),(K169="x")*(Besatzung!$F$12="x"))*IFERROR(H169,0)/IFERROR(IF(COUNTIF(J169:U169,"x")=0,SUMPRODUCT((Besatzung!$B$11:$B$22&lt;&gt;"")*(Besatzung!$F$11:$F$22="x")),SUMPRODUCT((J169:U169="x")*(Besatzung!$F$11:$F$22="x"))),1))))),0))))</f>
        <v/>
      </c>
      <c r="X169" s="247">
        <f>IF(C169="Gutschrift","",IF(G169="","",IF(Besatzung!$B$13="","",IFERROR(IF(I169="Zeitanteilig",(Besatzung!$G$13*(G169-IFERROR(H169,0))+((Besatzung!$B$13&lt;&gt;"")*IF(B169="",1,(IF(Besatzung!$C$13="",Besatzung!$B$5,Besatzung!$C$13)&lt;=B169)*(IF(Besatzung!$D$13="",Besatzung!$B$6,Besatzung!$D$13)&gt;=B169)))*(Besatzung!$F$13="x")*IFERROR(H169,0)/IFERROR(SUMPRODUCT((Besatzung!$B$11:$B$22&lt;&gt;"")*(Besatzung!$F$11:$F$22="x")*(IF(Besatzung!$C$11:$C$22="",Besatzung!$B$5,Besatzung!$C$11:$C$22)&lt;=B169)*(IF(Besatzung!$D$11:$D$22="",Besatzung!$B$6,Besatzung!$D$11:$D$22)&gt;=B169)),1)),IF(I169="An Bord",(((Besatzung!$B$13&lt;&gt;"")*IF(B169="",1,(IF(Besatzung!$C$13="",Besatzung!$B$5,Besatzung!$C$13)&lt;=B169)*(IF(Besatzung!$D$13="",Besatzung!$B$6,Besatzung!$D$13)&gt;=B169)))*((G169-IFERROR(H169,0))/IFERROR(SUMPRODUCT((Besatzung!$B$11:$B$22&lt;&gt;"")*(IF(Besatzung!$C$11:$C$22="",Besatzung!$B$5,Besatzung!$C$11:$C$22)&lt;=B169)*(IF(Besatzung!$D$11:$D$22="",Besatzung!$B$6,Besatzung!$D$11:$D$22)&gt;=B169)),1)+(Besatzung!$F$13="x")*IFERROR(H169,0)/IFERROR(SUMPRODUCT((Besatzung!$B$11:$B$22&lt;&gt;"")*(Besatzung!$F$11:$F$22="x")*(IF(Besatzung!$C$11:$C$22="",Besatzung!$B$5,Besatzung!$C$11:$C$22)&lt;=B169)*(IF(Besatzung!$D$11:$D$22="",Besatzung!$B$6,Besatzung!$D$11:$D$22)&gt;=B169)),1))),IF(I169="Individuell",((K169="x")*((G169-IFERROR(H169,0))/IFERROR(COUNTIF(J169:U169,"x"),1)+(Besatzung!$F$13="x")*IFERROR(H169,0)/IFERROR(SUMPRODUCT((J169:U169="x")*(Besatzung!$F$11:$F$22="x")),1))),(IF(COUNTIF(J169:U169,"x")=0,IF(Besatzung!$B$13&lt;&gt;"",1,0),(K169="x"))*(G169-IFERROR(H169,0))/IFERROR(IF(COUNTIF(J169:U169,"x")=0,COUNTA(Besatzung!$B$11:$B$22),COUNTIF(J169:U169,"x")),1)+IF(COUNTIF(J169:U169,"x")=0,(Besatzung!$F$13="x"),(K169="x")*(Besatzung!$F$13="x"))*IFERROR(H169,0)/IFERROR(IF(COUNTIF(J169:U169,"x")=0,SUMPRODUCT((Besatzung!$B$11:$B$22&lt;&gt;"")*(Besatzung!$F$11:$F$22="x")),SUMPRODUCT((J169:U169="x")*(Besatzung!$F$11:$F$22="x"))),1))))),0))))</f>
        <v/>
      </c>
      <c r="Y169" s="247">
        <f>IF(C169="Gutschrift","",IF(G169="","",IF(Besatzung!$B$14="","",IFERROR(IF(I169="Zeitanteilig",(Besatzung!$G$14*(G169-IFERROR(H169,0))+((Besatzung!$B$14&lt;&gt;"")*IF(B169="",1,(IF(Besatzung!$C$14="",Besatzung!$B$5,Besatzung!$C$14)&lt;=B169)*(IF(Besatzung!$D$14="",Besatzung!$B$6,Besatzung!$D$14)&gt;=B169)))*(Besatzung!$F$14="x")*IFERROR(H169,0)/IFERROR(SUMPRODUCT((Besatzung!$B$11:$B$22&lt;&gt;"")*(Besatzung!$F$11:$F$22="x")*(IF(Besatzung!$C$11:$C$22="",Besatzung!$B$5,Besatzung!$C$11:$C$22)&lt;=B169)*(IF(Besatzung!$D$11:$D$22="",Besatzung!$B$6,Besatzung!$D$11:$D$22)&gt;=B169)),1)),IF(I169="An Bord",(((Besatzung!$B$14&lt;&gt;"")*IF(B169="",1,(IF(Besatzung!$C$14="",Besatzung!$B$5,Besatzung!$C$14)&lt;=B169)*(IF(Besatzung!$D$14="",Besatzung!$B$6,Besatzung!$D$14)&gt;=B169)))*((G169-IFERROR(H169,0))/IFERROR(SUMPRODUCT((Besatzung!$B$11:$B$22&lt;&gt;"")*(IF(Besatzung!$C$11:$C$22="",Besatzung!$B$5,Besatzung!$C$11:$C$22)&lt;=B169)*(IF(Besatzung!$D$11:$D$22="",Besatzung!$B$6,Besatzung!$D$11:$D$22)&gt;=B169)),1)+(Besatzung!$F$14="x")*IFERROR(H169,0)/IFERROR(SUMPRODUCT((Besatzung!$B$11:$B$22&lt;&gt;"")*(Besatzung!$F$11:$F$22="x")*(IF(Besatzung!$C$11:$C$22="",Besatzung!$B$5,Besatzung!$C$11:$C$22)&lt;=B169)*(IF(Besatzung!$D$11:$D$22="",Besatzung!$B$6,Besatzung!$D$11:$D$22)&gt;=B169)),1))),IF(I169="Individuell",((M169="x")*((G169-IFERROR(H169,0))/IFERROR(COUNTIF(J169:U169,"x"),1)+(Besatzung!$F$14="x")*IFERROR(H169,0)/IFERROR(SUMPRODUCT((J169:U169="x")*(Besatzung!$F$11:$F$22="x")),1))),(IF(COUNTIF(J169:U169,"x")=0,IF(Besatzung!$B$14&lt;&gt;"",1,0),(M169="x"))*(G169-IFERROR(H169,0))/IFERROR(IF(COUNTIF(J169:U169,"x")=0,COUNTA(Besatzung!$B$11:$B$22),COUNTIF(J169:U169,"x")),1)+IF(COUNTIF(J169:U169,"x")=0,(Besatzung!$F$14="x"),(M169="x")*(Besatzung!$F$14="x"))*IFERROR(H169,0)/IFERROR(IF(COUNTIF(J169:U169,"x")=0,SUMPRODUCT((Besatzung!$B$11:$B$22&lt;&gt;"")*(Besatzung!$F$11:$F$22="x")),SUMPRODUCT((J169:U169="x")*(Besatzung!$F$11:$F$22="x"))),1))))),0))))</f>
        <v/>
      </c>
      <c r="Z169" s="247">
        <f>IF(C169="Gutschrift","",IF(G169="","",IF(Besatzung!$B$13="","",IFERROR(IF(I169="Zeitanteilig",(Besatzung!$G$15*(G169-IFERROR(H169,0))+((Besatzung!$B$13&lt;&gt;"")*IF(B169="",1,(IF(Besatzung!$C$15="",Besatzung!$B$5,Besatzung!$C$15)&lt;=B169)*(IF(Besatzung!$D$15="",Besatzung!$B$6,Besatzung!$D$15)&gt;=B169)))*(Besatzung!$F$15="x")*IFERROR(H169,0)/IFERROR(SUMPRODUCT((Besatzung!$B$11:$B$22&lt;&gt;"")*(Besatzung!$F$11:$F$22="x")*(IF(Besatzung!$C$11:$C$22="",Besatzung!$B$5,Besatzung!$C$11:$C$22)&lt;=B169)*(IF(Besatzung!$D$11:$D$22="",Besatzung!$B$6,Besatzung!$D$11:$D$22)&gt;=B169)),1)),IF(I169="An Bord",(((Besatzung!$B$13&lt;&gt;"")*IF(B169="",1,(IF(Besatzung!$C$15="",Besatzung!$B$5,Besatzung!$C$15)&lt;=B169)*(IF(Besatzung!$D$15="",Besatzung!$B$6,Besatzung!$D$15)&gt;=B169)))*((G169-IFERROR(H169,0))/IFERROR(SUMPRODUCT((Besatzung!$B$11:$B$22&lt;&gt;"")*(IF(Besatzung!$C$11:$C$22="",Besatzung!$B$5,Besatzung!$C$11:$C$22)&lt;=B169)*(IF(Besatzung!$D$11:$D$22="",Besatzung!$B$6,Besatzung!$D$11:$D$22)&gt;=B169)),1)+(Besatzung!$F$15="x")*IFERROR(H169,0)/IFERROR(SUMPRODUCT((Besatzung!$B$11:$B$22&lt;&gt;"")*(Besatzung!$F$11:$F$22="x")*(IF(Besatzung!$C$11:$C$22="",Besatzung!$B$5,Besatzung!$C$11:$C$22)&lt;=B169)*(IF(Besatzung!$D$11:$D$22="",Besatzung!$B$6,Besatzung!$D$11:$D$22)&gt;=B169)),1))),IF(I169="Individuell",((N169="x")*((G169-IFERROR(H169,0))/IFERROR(COUNTIF(J169:U169,"x"),1)+(Besatzung!$F$15="x")*IFERROR(H169,0)/IFERROR(SUMPRODUCT((J169:U169="x")*(Besatzung!$F$11:$F$22="x")),1))),(IF(COUNTIF(J169:U169,"x")=0,IF(Besatzung!$B$13&lt;&gt;"",1,0),(N169="x"))*(G169-IFERROR(H169,0))/IFERROR(IF(COUNTIF(J169:U169,"x")=0,COUNTA(Besatzung!$B$11:$B$22),COUNTIF(J169:U169,"x")),1)+IF(COUNTIF(J169:U169,"x")=0,(Besatzung!$F$15="x"),(N169="x")*(Besatzung!$F$15="x"))*IFERROR(H169,0)/IFERROR(IF(COUNTIF(J169:U169,"x")=0,SUMPRODUCT((Besatzung!$B$11:$B$22&lt;&gt;"")*(Besatzung!$F$11:$F$22="x")),SUMPRODUCT((J169:U169="x")*(Besatzung!$F$11:$F$22="x"))),1))))),0))))</f>
        <v/>
      </c>
      <c r="AA169" s="247">
        <f>IF(C169="Gutschrift","",IF(G169="","",IF(Besatzung!$B$15="","",IFERROR(IF(I169="Zeitanteilig",(Besatzung!$G$16*(G169-IFERROR(H169,0))+((Besatzung!$B$15&lt;&gt;"")*IF(B169="",1,(IF(Besatzung!$C$16="",Besatzung!$B$5,Besatzung!$C$16)&lt;=B169)*(IF(Besatzung!$D$16="",Besatzung!$B$6,Besatzung!$D$16)&gt;=B169)))*(Besatzung!$F$16="x")*IFERROR(H169,0)/IFERROR(SUMPRODUCT((Besatzung!$B$11:$B$22&lt;&gt;"")*(Besatzung!$F$11:$F$22="x")*(IF(Besatzung!$C$11:$C$22="",Besatzung!$B$5,Besatzung!$C$11:$C$22)&lt;=B169)*(IF(Besatzung!$D$11:$D$22="",Besatzung!$B$6,Besatzung!$D$11:$D$22)&gt;=B169)),1)),IF(I169="An Bord",(((Besatzung!$B$15&lt;&gt;"")*IF(B169="",1,(IF(Besatzung!$C$16="",Besatzung!$B$5,Besatzung!$C$16)&lt;=B169)*(IF(Besatzung!$D$16="",Besatzung!$B$6,Besatzung!$D$16)&gt;=B169)))*((G169-IFERROR(H169,0))/IFERROR(SUMPRODUCT((Besatzung!$B$11:$B$22&lt;&gt;"")*(IF(Besatzung!$C$11:$C$22="",Besatzung!$B$5,Besatzung!$C$11:$C$22)&lt;=B169)*(IF(Besatzung!$D$11:$D$22="",Besatzung!$B$6,Besatzung!$D$11:$D$22)&gt;=B169)),1)+(Besatzung!$F$16="x")*IFERROR(H169,0)/IFERROR(SUMPRODUCT((Besatzung!$B$11:$B$22&lt;&gt;"")*(Besatzung!$F$11:$F$22="x")*(IF(Besatzung!$C$11:$C$22="",Besatzung!$B$5,Besatzung!$C$11:$C$22)&lt;=B169)*(IF(Besatzung!$D$11:$D$22="",Besatzung!$B$6,Besatzung!$D$11:$D$22)&gt;=B169)),1))),IF(I169="Individuell",((O169="x")*((G169-IFERROR(H169,0))/IFERROR(COUNTIF(J169:U169,"x"),1)+(Besatzung!$F$16="x")*IFERROR(H169,0)/IFERROR(SUMPRODUCT((J169:U169="x")*(Besatzung!$F$11:$F$22="x")),1))),(IF(COUNTIF(J169:U169,"x")=0,IF(Besatzung!$B$15&lt;&gt;"",1,0),(O169="x"))*(G169-IFERROR(H169,0))/IFERROR(IF(COUNTIF(J169:U169,"x")=0,COUNTA(Besatzung!$B$11:$B$22),COUNTIF(J169:U169,"x")),1)+IF(COUNTIF(J169:U169,"x")=0,(Besatzung!$F$16="x"),(O169="x")*(Besatzung!$F$16="x"))*IFERROR(H169,0)/IFERROR(IF(COUNTIF(J169:U169,"x")=0,SUMPRODUCT((Besatzung!$B$11:$B$22&lt;&gt;"")*(Besatzung!$F$11:$F$22="x")),SUMPRODUCT((J169:U169="x")*(Besatzung!$F$11:$F$22="x"))),1))))),0))))</f>
        <v/>
      </c>
      <c r="AB169" s="247">
        <f>IF(C169="Gutschrift","",IF(G169="","",IF(Besatzung!$B$17="","",IFERROR(IF(I169="Zeitanteilig",(Besatzung!$G$17*(G169-IFERROR(H169,0))+((Besatzung!$B$17&lt;&gt;"")*IF(B169="",1,(IF(Besatzung!$C$17="",Besatzung!$B$5,Besatzung!$C$17)&lt;=B169)*(IF(Besatzung!$D$17="",Besatzung!$B$6,Besatzung!$D$17)&gt;=B169)))*(Besatzung!$F$17="x")*IFERROR(H169,0)/IFERROR(SUMPRODUCT((Besatzung!$B$11:$B$22&lt;&gt;"")*(Besatzung!$F$11:$F$22="x")*(IF(Besatzung!$C$11:$C$22="",Besatzung!$B$5,Besatzung!$C$11:$C$22)&lt;=B169)*(IF(Besatzung!$D$11:$D$22="",Besatzung!$B$6,Besatzung!$D$11:$D$22)&gt;=B169)),1)),IF(I169="An Bord",(((Besatzung!$B$17&lt;&gt;"")*IF(B169="",1,(IF(Besatzung!$C$17="",Besatzung!$B$5,Besatzung!$C$17)&lt;=B169)*(IF(Besatzung!$D$17="",Besatzung!$B$6,Besatzung!$D$17)&gt;=B169)))*((G169-IFERROR(H169,0))/IFERROR(SUMPRODUCT((Besatzung!$B$11:$B$22&lt;&gt;"")*(IF(Besatzung!$C$11:$C$22="",Besatzung!$B$5,Besatzung!$C$11:$C$22)&lt;=B169)*(IF(Besatzung!$D$11:$D$22="",Besatzung!$B$6,Besatzung!$D$11:$D$22)&gt;=B169)),1)+(Besatzung!$F$17="x")*IFERROR(H169,0)/IFERROR(SUMPRODUCT((Besatzung!$B$11:$B$22&lt;&gt;"")*(Besatzung!$F$11:$F$22="x")*(IF(Besatzung!$C$11:$C$22="",Besatzung!$B$5,Besatzung!$C$11:$C$22)&lt;=B169)*(IF(Besatzung!$D$11:$D$22="",Besatzung!$B$6,Besatzung!$D$11:$D$22)&gt;=B169)),1))),IF(I169="Individuell",((P169="x")*((G169-IFERROR(H169,0))/IFERROR(COUNTIF(J169:U169,"x"),1)+(Besatzung!$F$17="x")*IFERROR(H169,0)/IFERROR(SUMPRODUCT((J169:U169="x")*(Besatzung!$F$11:$F$22="x")),1))),(IF(COUNTIF(J169:U169,"x")=0,IF(Besatzung!$B$17&lt;&gt;"",1,0),(P169="x"))*(G169-IFERROR(H169,0))/IFERROR(IF(COUNTIF(J169:U169,"x")=0,COUNTA(Besatzung!$B$11:$B$22),COUNTIF(J169:U169,"x")),1)+IF(COUNTIF(J169:U169,"x")=0,(Besatzung!$F$17="x"),(P169="x")*(Besatzung!$F$17="x"))*IFERROR(H169,0)/IFERROR(IF(COUNTIF(J169:U169,"x")=0,SUMPRODUCT((Besatzung!$B$11:$B$22&lt;&gt;"")*(Besatzung!$F$11:$F$22="x")),SUMPRODUCT((J169:U169="x")*(Besatzung!$F$11:$F$22="x"))),1))))),0))))</f>
        <v/>
      </c>
      <c r="AC169" s="247">
        <f>IF(C169="Gutschrift","",IF(G169="","",IF(Besatzung!$B$18="","",IFERROR(IF(I169="Zeitanteilig",(Besatzung!$G$18*(G169-IFERROR(H169,0))+((Besatzung!$B$18&lt;&gt;"")*IF(B169="",1,(IF(Besatzung!$C$18="",Besatzung!$B$5,Besatzung!$C$18)&lt;=B169)*(IF(Besatzung!$D$18="",Besatzung!$B$6,Besatzung!$D$18)&gt;=B169)))*(Besatzung!$F$18="x")*IFERROR(H169,0)/IFERROR(SUMPRODUCT((Besatzung!$B$11:$B$22&lt;&gt;"")*(Besatzung!$F$11:$F$22="x")*(IF(Besatzung!$C$11:$C$22="",Besatzung!$B$5,Besatzung!$C$11:$C$22)&lt;=B169)*(IF(Besatzung!$D$11:$D$22="",Besatzung!$B$6,Besatzung!$D$11:$D$22)&gt;=B169)),1)),IF(I169="An Bord",(((Besatzung!$B$18&lt;&gt;"")*IF(B169="",1,(IF(Besatzung!$C$18="",Besatzung!$B$5,Besatzung!$C$18)&lt;=B169)*(IF(Besatzung!$D$18="",Besatzung!$B$6,Besatzung!$D$18)&gt;=B169)))*((G169-IFERROR(H169,0))/IFERROR(SUMPRODUCT((Besatzung!$B$11:$B$22&lt;&gt;"")*(IF(Besatzung!$C$11:$C$22="",Besatzung!$B$5,Besatzung!$C$11:$C$22)&lt;=B169)*(IF(Besatzung!$D$11:$D$22="",Besatzung!$B$6,Besatzung!$D$11:$D$22)&gt;=B169)),1)+(Besatzung!$F$18="x")*IFERROR(H169,0)/IFERROR(SUMPRODUCT((Besatzung!$B$11:$B$22&lt;&gt;"")*(Besatzung!$F$11:$F$22="x")*(IF(Besatzung!$C$11:$C$22="",Besatzung!$B$5,Besatzung!$C$11:$C$22)&lt;=B169)*(IF(Besatzung!$D$11:$D$22="",Besatzung!$B$6,Besatzung!$D$11:$D$22)&gt;=B169)),1))),IF(I169="Individuell",((Q169="x")*((G169-IFERROR(H169,0))/IFERROR(COUNTIF(J169:U169,"x"),1)+(Besatzung!$F$18="x")*IFERROR(H169,0)/IFERROR(SUMPRODUCT((J169:U169="x")*(Besatzung!$F$11:$F$22="x")),1))),(IF(COUNTIF(J169:U169,"x")=0,IF(Besatzung!$B$18&lt;&gt;"",1,0),(Q169="x"))*(G169-IFERROR(H169,0))/IFERROR(IF(COUNTIF(J169:U169,"x")=0,COUNTA(Besatzung!$B$11:$B$22),COUNTIF(J169:U169,"x")),1)+IF(COUNTIF(J169:U169,"x")=0,(Besatzung!$F$18="x"),(Q169="x")*(Besatzung!$F$18="x"))*IFERROR(H169,0)/IFERROR(IF(COUNTIF(J169:U169,"x")=0,SUMPRODUCT((Besatzung!$B$11:$B$22&lt;&gt;"")*(Besatzung!$F$11:$F$22="x")),SUMPRODUCT((J169:U169="x")*(Besatzung!$F$11:$F$22="x"))),1))))),0))))</f>
        <v/>
      </c>
      <c r="AD169" s="247">
        <f>IF(C169="Gutschrift","",IF(G169="","",IF(Besatzung!$B$19="","",IFERROR(IF(I169="Zeitanteilig",(Besatzung!$G$19*(G169-IFERROR(H169,0))+((Besatzung!$B$19&lt;&gt;"")*IF(B169="",1,(IF(Besatzung!$C$19="",Besatzung!$B$5,Besatzung!$C$19)&lt;=B169)*(IF(Besatzung!$D$19="",Besatzung!$B$6,Besatzung!$D$19)&gt;=B169)))*(Besatzung!$F$19="x")*IFERROR(H169,0)/IFERROR(SUMPRODUCT((Besatzung!$B$11:$B$22&lt;&gt;"")*(Besatzung!$F$11:$F$22="x")*(IF(Besatzung!$C$11:$C$22="",Besatzung!$B$5,Besatzung!$C$11:$C$22)&lt;=B169)*(IF(Besatzung!$D$11:$D$22="",Besatzung!$B$6,Besatzung!$D$11:$D$22)&gt;=B169)),1)),IF(I169="An Bord",(((Besatzung!$B$19&lt;&gt;"")*IF(B169="",1,(IF(Besatzung!$C$19="",Besatzung!$B$5,Besatzung!$C$19)&lt;=B169)*(IF(Besatzung!$D$19="",Besatzung!$B$6,Besatzung!$D$19)&gt;=B169)))*((G169-IFERROR(H169,0))/IFERROR(SUMPRODUCT((Besatzung!$B$11:$B$22&lt;&gt;"")*(IF(Besatzung!$C$11:$C$22="",Besatzung!$B$5,Besatzung!$C$11:$C$22)&lt;=B169)*(IF(Besatzung!$D$11:$D$22="",Besatzung!$B$6,Besatzung!$D$11:$D$22)&gt;=B169)),1)+(Besatzung!$F$19="x")*IFERROR(H169,0)/IFERROR(SUMPRODUCT((Besatzung!$B$11:$B$22&lt;&gt;"")*(Besatzung!$F$11:$F$22="x")*(IF(Besatzung!$C$11:$C$22="",Besatzung!$B$5,Besatzung!$C$11:$C$22)&lt;=B169)*(IF(Besatzung!$D$11:$D$22="",Besatzung!$B$6,Besatzung!$D$11:$D$22)&gt;=B169)),1))),IF(I169="Individuell",((R169="x")*((G169-IFERROR(H169,0))/IFERROR(COUNTIF(J169:U169,"x"),1)+(Besatzung!$F$19="x")*IFERROR(H169,0)/IFERROR(SUMPRODUCT((J169:U169="x")*(Besatzung!$F$11:$F$22="x")),1))),(IF(COUNTIF(J169:U169,"x")=0,IF(Besatzung!$B$19&lt;&gt;"",1,0),(R169="x"))*(G169-IFERROR(H169,0))/IFERROR(IF(COUNTIF(J169:U169,"x")=0,COUNTA(Besatzung!$B$11:$B$22),COUNTIF(J169:U169,"x")),1)+IF(COUNTIF(J169:U169,"x")=0,(Besatzung!$F$19="x"),(R169="x")*(Besatzung!$F$19="x"))*IFERROR(H169,0)/IFERROR(IF(COUNTIF(J169:U169,"x")=0,SUMPRODUCT((Besatzung!$B$11:$B$22&lt;&gt;"")*(Besatzung!$F$11:$F$22="x")),SUMPRODUCT((J169:U169="x")*(Besatzung!$F$11:$F$22="x"))),1))))),0))))</f>
        <v/>
      </c>
      <c r="AE169" s="247">
        <f>IF(C169="Gutschrift","",IF(G169="","",IF(Besatzung!$B$20="","",IFERROR(IF(I169="Zeitanteilig",(Besatzung!$G$20*(G169-IFERROR(H169,0))+((Besatzung!$B$20&lt;&gt;"")*IF(B169="",1,(IF(Besatzung!$C$20="",Besatzung!$B$5,Besatzung!$C$20)&lt;=B169)*(IF(Besatzung!$D$20="",Besatzung!$B$6,Besatzung!$D$20)&gt;=B169)))*(Besatzung!$F$20="x")*IFERROR(H169,0)/IFERROR(SUMPRODUCT((Besatzung!$B$11:$B$22&lt;&gt;"")*(Besatzung!$F$11:$F$22="x")*(IF(Besatzung!$C$11:$C$22="",Besatzung!$B$5,Besatzung!$C$11:$C$22)&lt;=B169)*(IF(Besatzung!$D$11:$D$22="",Besatzung!$B$6,Besatzung!$D$11:$D$22)&gt;=B169)),1)),IF(I169="An Bord",(((Besatzung!$B$20&lt;&gt;"")*IF(B169="",1,(IF(Besatzung!$C$20="",Besatzung!$B$5,Besatzung!$C$20)&lt;=B169)*(IF(Besatzung!$D$20="",Besatzung!$B$6,Besatzung!$D$20)&gt;=B169)))*((G169-IFERROR(H169,0))/IFERROR(SUMPRODUCT((Besatzung!$B$11:$B$22&lt;&gt;"")*(IF(Besatzung!$C$11:$C$22="",Besatzung!$B$5,Besatzung!$C$11:$C$22)&lt;=B169)*(IF(Besatzung!$D$11:$D$22="",Besatzung!$B$6,Besatzung!$D$11:$D$22)&gt;=B169)),1)+(Besatzung!$F$20="x")*IFERROR(H169,0)/IFERROR(SUMPRODUCT((Besatzung!$B$11:$B$22&lt;&gt;"")*(Besatzung!$F$11:$F$22="x")*(IF(Besatzung!$C$11:$C$22="",Besatzung!$B$5,Besatzung!$C$11:$C$22)&lt;=B169)*(IF(Besatzung!$D$11:$D$22="",Besatzung!$B$6,Besatzung!$D$11:$D$22)&gt;=B169)),1))),IF(I169="Individuell",((S169="x")*((G169-IFERROR(H169,0))/IFERROR(COUNTIF(J169:U169,"x"),1)+(Besatzung!$F$20="x")*IFERROR(H169,0)/IFERROR(SUMPRODUCT((J169:U169="x")*(Besatzung!$F$11:$F$22="x")),1))),(IF(COUNTIF(J169:U169,"x")=0,IF(Besatzung!$B$20&lt;&gt;"",1,0),(S169="x"))*(G169-IFERROR(H169,0))/IFERROR(IF(COUNTIF(J169:U169,"x")=0,COUNTA(Besatzung!$B$11:$B$22),COUNTIF(J169:U169,"x")),1)+IF(COUNTIF(J169:U169,"x")=0,(Besatzung!$F$20="x"),(S169="x")*(Besatzung!$F$20="x"))*IFERROR(H169,0)/IFERROR(IF(COUNTIF(J169:U169,"x")=0,SUMPRODUCT((Besatzung!$B$11:$B$22&lt;&gt;"")*(Besatzung!$F$11:$F$22="x")),SUMPRODUCT((J169:U169="x")*(Besatzung!$F$11:$F$22="x"))),1))))),0))))</f>
        <v/>
      </c>
      <c r="AF169" s="247">
        <f>IF(C169="Gutschrift","",IF(G169="","",IF(Besatzung!$B$21="","",IFERROR(IF(I169="Zeitanteilig",(Besatzung!$G$21*(G169-IFERROR(H169,0))+((Besatzung!$B$21&lt;&gt;"")*IF(B169="",1,(IF(Besatzung!$C$21="",Besatzung!$B$5,Besatzung!$C$21)&lt;=B169)*(IF(Besatzung!$D$21="",Besatzung!$B$6,Besatzung!$D$21)&gt;=B169)))*(Besatzung!$F$21="x")*IFERROR(H169,0)/IFERROR(SUMPRODUCT((Besatzung!$B$11:$B$22&lt;&gt;"")*(Besatzung!$F$11:$F$22="x")*(IF(Besatzung!$C$11:$C$22="",Besatzung!$B$5,Besatzung!$C$11:$C$22)&lt;=B169)*(IF(Besatzung!$D$11:$D$22="",Besatzung!$B$6,Besatzung!$D$11:$D$22)&gt;=B169)),1)),IF(I169="An Bord",(((Besatzung!$B$21&lt;&gt;"")*IF(B169="",1,(IF(Besatzung!$C$21="",Besatzung!$B$5,Besatzung!$C$21)&lt;=B169)*(IF(Besatzung!$D$21="",Besatzung!$B$6,Besatzung!$D$21)&gt;=B169)))*((G169-IFERROR(H169,0))/IFERROR(SUMPRODUCT((Besatzung!$B$11:$B$22&lt;&gt;"")*(IF(Besatzung!$C$11:$C$22="",Besatzung!$B$5,Besatzung!$C$11:$C$22)&lt;=B169)*(IF(Besatzung!$D$11:$D$22="",Besatzung!$B$6,Besatzung!$D$11:$D$22)&gt;=B169)),1)+(Besatzung!$F$21="x")*IFERROR(H169,0)/IFERROR(SUMPRODUCT((Besatzung!$B$11:$B$22&lt;&gt;"")*(Besatzung!$F$11:$F$22="x")*(IF(Besatzung!$C$11:$C$22="",Besatzung!$B$5,Besatzung!$C$11:$C$22)&lt;=B169)*(IF(Besatzung!$D$11:$D$22="",Besatzung!$B$6,Besatzung!$D$11:$D$22)&gt;=B169)),1))),IF(I169="Individuell",((T169="x")*((G169-IFERROR(H169,0))/IFERROR(COUNTIF(J169:U169,"x"),1)+(Besatzung!$F$21="x")*IFERROR(H169,0)/IFERROR(SUMPRODUCT((J169:U169="x")*(Besatzung!$F$11:$F$22="x")),1))),(IF(COUNTIF(J169:U169,"x")=0,IF(Besatzung!$B$21&lt;&gt;"",1,0),(T169="x"))*(G169-IFERROR(H169,0))/IFERROR(IF(COUNTIF(J169:U169,"x")=0,COUNTA(Besatzung!$B$11:$B$22),COUNTIF(J169:U169,"x")),1)+IF(COUNTIF(J169:U169,"x")=0,(Besatzung!$F$21="x"),(T169="x")*(Besatzung!$F$21="x"))*IFERROR(H169,0)/IFERROR(IF(COUNTIF(J169:U169,"x")=0,SUMPRODUCT((Besatzung!$B$11:$B$22&lt;&gt;"")*(Besatzung!$F$11:$F$22="x")),SUMPRODUCT((J169:U169="x")*(Besatzung!$F$11:$F$22="x"))),1))))),0))))</f>
        <v/>
      </c>
      <c r="AG169" s="247">
        <f>IF(C169="Gutschrift","",IF(G169="","",IF(Besatzung!$B$22="","",IFERROR(IF(I169="Zeitanteilig",(Besatzung!$G$22*(G169-IFERROR(H169,0))+((Besatzung!$B$22&lt;&gt;"")*IF(B169="",1,(IF(Besatzung!$C$22="",Besatzung!$B$5,Besatzung!$C$22)&lt;=B169)*(IF(Besatzung!$D$22="",Besatzung!$B$6,Besatzung!$D$22)&gt;=B169)))*(Besatzung!$F$22="x")*IFERROR(H169,0)/IFERROR(SUMPRODUCT((Besatzung!$B$11:$B$22&lt;&gt;"")*(Besatzung!$F$11:$F$22="x")*(IF(Besatzung!$C$11:$C$22="",Besatzung!$B$5,Besatzung!$C$11:$C$22)&lt;=B169)*(IF(Besatzung!$D$11:$D$22="",Besatzung!$B$6,Besatzung!$D$11:$D$22)&gt;=B169)),1)),IF(I169="An Bord",(((Besatzung!$B$22&lt;&gt;"")*IF(B169="",1,(IF(Besatzung!$C$22="",Besatzung!$B$5,Besatzung!$C$22)&lt;=B169)*(IF(Besatzung!$D$22="",Besatzung!$B$6,Besatzung!$D$22)&gt;=B169)))*((G169-IFERROR(H169,0))/IFERROR(SUMPRODUCT((Besatzung!$B$11:$B$22&lt;&gt;"")*(IF(Besatzung!$C$11:$C$22="",Besatzung!$B$5,Besatzung!$C$11:$C$22)&lt;=B169)*(IF(Besatzung!$D$11:$D$22="",Besatzung!$B$6,Besatzung!$D$11:$D$22)&gt;=B169)),1)+(Besatzung!$F$22="x")*IFERROR(H169,0)/IFERROR(SUMPRODUCT((Besatzung!$B$11:$B$22&lt;&gt;"")*(Besatzung!$F$11:$F$22="x")*(IF(Besatzung!$C$11:$C$22="",Besatzung!$B$5,Besatzung!$C$11:$C$22)&lt;=B169)*(IF(Besatzung!$D$11:$D$22="",Besatzung!$B$6,Besatzung!$D$11:$D$22)&gt;=B169)),1))),IF(I169="Individuell",((U169="x")*((G169-IFERROR(H169,0))/IFERROR(COUNTIF(J169:U169,"x"),1)+(Besatzung!$F$22="x")*IFERROR(H169,0)/IFERROR(SUMPRODUCT((J169:U169="x")*(Besatzung!$F$11:$F$22="x")),1))),(IF(COUNTIF(J169:U169,"x")=0,IF(Besatzung!$B$22&lt;&gt;"",1,0),(U169="x"))*(G169-IFERROR(H169,0))/IFERROR(IF(COUNTIF(J169:U169,"x")=0,COUNTA(Besatzung!$B$11:$B$22),COUNTIF(J169:U169,"x")),1)+IF(COUNTIF(J169:U169,"x")=0,(Besatzung!$F$22="x"),(U169="x")*(Besatzung!$F$22="x"))*IFERROR(H169,0)/IFERROR(IF(COUNTIF(J169:U169,"x")=0,SUMPRODUCT((Besatzung!$B$11:$B$22&lt;&gt;"")*(Besatzung!$F$11:$F$22="x")),SUMPRODUCT((J169:U169="x")*(Besatzung!$F$11:$F$22="x"))),1))))),0))))</f>
        <v/>
      </c>
      <c r="AH169" s="248" t="n"/>
      <c r="AI169" s="248" t="n"/>
    </row>
    <row r="170" ht="21.75" customHeight="1" s="154">
      <c r="A170" s="238">
        <f>IF(AND(D170="",C170=""),"",167)</f>
        <v/>
      </c>
      <c r="B170" s="199" t="n"/>
      <c r="C170" s="239" t="n"/>
      <c r="D170" s="240" t="n"/>
      <c r="E170" s="241" t="n"/>
      <c r="F170" s="242" t="n"/>
      <c r="G170" s="243" t="n"/>
      <c r="H170" s="244" t="n"/>
      <c r="I170" s="245" t="n"/>
      <c r="J170" s="246" t="n"/>
      <c r="K170" s="246" t="n"/>
      <c r="L170" s="246" t="n"/>
      <c r="M170" s="246" t="n"/>
      <c r="N170" s="246" t="n"/>
      <c r="O170" s="246" t="n"/>
      <c r="P170" s="246" t="n"/>
      <c r="Q170" s="246" t="n"/>
      <c r="R170" s="246" t="n"/>
      <c r="S170" s="246" t="n"/>
      <c r="T170" s="246" t="n"/>
      <c r="U170" s="246" t="n"/>
      <c r="V170" s="247">
        <f>IF(C170="Gutschrift","",IF(G170="","",IF(Besatzung!$B$11="","",IFERROR(IF(I170="Zeitanteilig",(Besatzung!$G$11*(G170-IFERROR(H170,0))+((Besatzung!$B$11&lt;&gt;"")*IF(B170="",1,(IF(Besatzung!$C$11="",Besatzung!$B$5,Besatzung!$C$11)&lt;=B170)*(IF(Besatzung!$D$11="",Besatzung!$B$6,Besatzung!$D$11)&gt;=B170)))*(Besatzung!$F$11="x")*IFERROR(H170,0)/IFERROR(SUMPRODUCT((Besatzung!$B$11:$B$22&lt;&gt;"")*(Besatzung!$F$11:$F$22="x")*(IF(Besatzung!$C$11:$C$22="",Besatzung!$B$5,Besatzung!$C$11:$C$22)&lt;=B170)*(IF(Besatzung!$D$11:$D$22="",Besatzung!$B$6,Besatzung!$D$11:$D$22)&gt;=B170)),1)),IF(I170="An Bord",(((Besatzung!$B$11&lt;&gt;"")*IF(B170="",1,(IF(Besatzung!$C$11="",Besatzung!$B$5,Besatzung!$C$11)&lt;=B170)*(IF(Besatzung!$D$11="",Besatzung!$B$6,Besatzung!$D$11)&gt;=B170)))*((G170-IFERROR(H170,0))/IFERROR(SUMPRODUCT((Besatzung!$B$11:$B$22&lt;&gt;"")*(IF(Besatzung!$C$11:$C$22="",Besatzung!$B$5,Besatzung!$C$11:$C$22)&lt;=B170)*(IF(Besatzung!$D$11:$D$22="",Besatzung!$B$6,Besatzung!$D$11:$D$22)&gt;=B170)),1)+(Besatzung!$F$11="x")*IFERROR(H170,0)/IFERROR(SUMPRODUCT((Besatzung!$B$11:$B$22&lt;&gt;"")*(Besatzung!$F$11:$F$22="x")*(IF(Besatzung!$C$11:$C$22="",Besatzung!$B$5,Besatzung!$C$11:$C$22)&lt;=B170)*(IF(Besatzung!$D$11:$D$22="",Besatzung!$B$6,Besatzung!$D$11:$D$22)&gt;=B170)),1))),IF(I170="Individuell",((J170="x")*((G170-IFERROR(H170,0))/IFERROR(COUNTIF(J170:U170,"x"),1)+(Besatzung!$F$11="x")*IFERROR(H170,0)/IFERROR(SUMPRODUCT((J170:U170="x")*(Besatzung!$F$11:$F$22="x")),1))),(IF(COUNTIF(J170:U170,"x")=0,IF(Besatzung!$B$11&lt;&gt;"",1,0),(J170="x"))*(G170-IFERROR(H170,0))/IFERROR(IF(COUNTIF(J170:U170,"x")=0,COUNTA(Besatzung!$B$11:$B$22),COUNTIF(J170:U170,"x")),1)+IF(COUNTIF(J170:U170,"x")=0,(Besatzung!$F$11="x"),(J170="x")*(Besatzung!$F$11="x"))*IFERROR(H170,0)/IFERROR(IF(COUNTIF(J170:U170,"x")=0,SUMPRODUCT((Besatzung!$B$11:$B$22&lt;&gt;"")*(Besatzung!$F$11:$F$22="x")),SUMPRODUCT((J170:U170="x")*(Besatzung!$F$11:$F$22="x"))),1))))),0))))</f>
        <v/>
      </c>
      <c r="W170" s="247">
        <f>IF(C170="Gutschrift","",IF(G170="","",IF(Besatzung!$B$12="","",IFERROR(IF(I170="Zeitanteilig",(Besatzung!$G$12*(G170-IFERROR(H170,0))+((Besatzung!$B$12&lt;&gt;"")*IF(B170="",1,(IF(Besatzung!$C$12="",Besatzung!$B$5,Besatzung!$C$12)&lt;=B170)*(IF(Besatzung!$D$12="",Besatzung!$B$6,Besatzung!$D$12)&gt;=B170)))*(Besatzung!$F$12="x")*IFERROR(H170,0)/IFERROR(SUMPRODUCT((Besatzung!$B$11:$B$22&lt;&gt;"")*(Besatzung!$F$11:$F$22="x")*(IF(Besatzung!$C$11:$C$22="",Besatzung!$B$5,Besatzung!$C$11:$C$22)&lt;=B170)*(IF(Besatzung!$D$11:$D$22="",Besatzung!$B$6,Besatzung!$D$11:$D$22)&gt;=B170)),1)),IF(I170="An Bord",(((Besatzung!$B$12&lt;&gt;"")*IF(B170="",1,(IF(Besatzung!$C$12="",Besatzung!$B$5,Besatzung!$C$12)&lt;=B170)*(IF(Besatzung!$D$12="",Besatzung!$B$6,Besatzung!$D$12)&gt;=B170)))*((G170-IFERROR(H170,0))/IFERROR(SUMPRODUCT((Besatzung!$B$11:$B$22&lt;&gt;"")*(IF(Besatzung!$C$11:$C$22="",Besatzung!$B$5,Besatzung!$C$11:$C$22)&lt;=B170)*(IF(Besatzung!$D$11:$D$22="",Besatzung!$B$6,Besatzung!$D$11:$D$22)&gt;=B170)),1)+(Besatzung!$F$12="x")*IFERROR(H170,0)/IFERROR(SUMPRODUCT((Besatzung!$B$11:$B$22&lt;&gt;"")*(Besatzung!$F$11:$F$22="x")*(IF(Besatzung!$C$11:$C$22="",Besatzung!$B$5,Besatzung!$C$11:$C$22)&lt;=B170)*(IF(Besatzung!$D$11:$D$22="",Besatzung!$B$6,Besatzung!$D$11:$D$22)&gt;=B170)),1))),IF(I170="Individuell",((K170="x")*((G170-IFERROR(H170,0))/IFERROR(COUNTIF(J170:U170,"x"),1)+(Besatzung!$F$12="x")*IFERROR(H170,0)/IFERROR(SUMPRODUCT((J170:U170="x")*(Besatzung!$F$11:$F$22="x")),1))),(IF(COUNTIF(J170:U170,"x")=0,IF(Besatzung!$B$12&lt;&gt;"",1,0),(K170="x"))*(G170-IFERROR(H170,0))/IFERROR(IF(COUNTIF(J170:U170,"x")=0,COUNTA(Besatzung!$B$11:$B$22),COUNTIF(J170:U170,"x")),1)+IF(COUNTIF(J170:U170,"x")=0,(Besatzung!$F$12="x"),(K170="x")*(Besatzung!$F$12="x"))*IFERROR(H170,0)/IFERROR(IF(COUNTIF(J170:U170,"x")=0,SUMPRODUCT((Besatzung!$B$11:$B$22&lt;&gt;"")*(Besatzung!$F$11:$F$22="x")),SUMPRODUCT((J170:U170="x")*(Besatzung!$F$11:$F$22="x"))),1))))),0))))</f>
        <v/>
      </c>
      <c r="X170" s="247">
        <f>IF(C170="Gutschrift","",IF(G170="","",IF(Besatzung!$B$13="","",IFERROR(IF(I170="Zeitanteilig",(Besatzung!$G$13*(G170-IFERROR(H170,0))+((Besatzung!$B$13&lt;&gt;"")*IF(B170="",1,(IF(Besatzung!$C$13="",Besatzung!$B$5,Besatzung!$C$13)&lt;=B170)*(IF(Besatzung!$D$13="",Besatzung!$B$6,Besatzung!$D$13)&gt;=B170)))*(Besatzung!$F$13="x")*IFERROR(H170,0)/IFERROR(SUMPRODUCT((Besatzung!$B$11:$B$22&lt;&gt;"")*(Besatzung!$F$11:$F$22="x")*(IF(Besatzung!$C$11:$C$22="",Besatzung!$B$5,Besatzung!$C$11:$C$22)&lt;=B170)*(IF(Besatzung!$D$11:$D$22="",Besatzung!$B$6,Besatzung!$D$11:$D$22)&gt;=B170)),1)),IF(I170="An Bord",(((Besatzung!$B$13&lt;&gt;"")*IF(B170="",1,(IF(Besatzung!$C$13="",Besatzung!$B$5,Besatzung!$C$13)&lt;=B170)*(IF(Besatzung!$D$13="",Besatzung!$B$6,Besatzung!$D$13)&gt;=B170)))*((G170-IFERROR(H170,0))/IFERROR(SUMPRODUCT((Besatzung!$B$11:$B$22&lt;&gt;"")*(IF(Besatzung!$C$11:$C$22="",Besatzung!$B$5,Besatzung!$C$11:$C$22)&lt;=B170)*(IF(Besatzung!$D$11:$D$22="",Besatzung!$B$6,Besatzung!$D$11:$D$22)&gt;=B170)),1)+(Besatzung!$F$13="x")*IFERROR(H170,0)/IFERROR(SUMPRODUCT((Besatzung!$B$11:$B$22&lt;&gt;"")*(Besatzung!$F$11:$F$22="x")*(IF(Besatzung!$C$11:$C$22="",Besatzung!$B$5,Besatzung!$C$11:$C$22)&lt;=B170)*(IF(Besatzung!$D$11:$D$22="",Besatzung!$B$6,Besatzung!$D$11:$D$22)&gt;=B170)),1))),IF(I170="Individuell",((K170="x")*((G170-IFERROR(H170,0))/IFERROR(COUNTIF(J170:U170,"x"),1)+(Besatzung!$F$13="x")*IFERROR(H170,0)/IFERROR(SUMPRODUCT((J170:U170="x")*(Besatzung!$F$11:$F$22="x")),1))),(IF(COUNTIF(J170:U170,"x")=0,IF(Besatzung!$B$13&lt;&gt;"",1,0),(K170="x"))*(G170-IFERROR(H170,0))/IFERROR(IF(COUNTIF(J170:U170,"x")=0,COUNTA(Besatzung!$B$11:$B$22),COUNTIF(J170:U170,"x")),1)+IF(COUNTIF(J170:U170,"x")=0,(Besatzung!$F$13="x"),(K170="x")*(Besatzung!$F$13="x"))*IFERROR(H170,0)/IFERROR(IF(COUNTIF(J170:U170,"x")=0,SUMPRODUCT((Besatzung!$B$11:$B$22&lt;&gt;"")*(Besatzung!$F$11:$F$22="x")),SUMPRODUCT((J170:U170="x")*(Besatzung!$F$11:$F$22="x"))),1))))),0))))</f>
        <v/>
      </c>
      <c r="Y170" s="247">
        <f>IF(C170="Gutschrift","",IF(G170="","",IF(Besatzung!$B$14="","",IFERROR(IF(I170="Zeitanteilig",(Besatzung!$G$14*(G170-IFERROR(H170,0))+((Besatzung!$B$14&lt;&gt;"")*IF(B170="",1,(IF(Besatzung!$C$14="",Besatzung!$B$5,Besatzung!$C$14)&lt;=B170)*(IF(Besatzung!$D$14="",Besatzung!$B$6,Besatzung!$D$14)&gt;=B170)))*(Besatzung!$F$14="x")*IFERROR(H170,0)/IFERROR(SUMPRODUCT((Besatzung!$B$11:$B$22&lt;&gt;"")*(Besatzung!$F$11:$F$22="x")*(IF(Besatzung!$C$11:$C$22="",Besatzung!$B$5,Besatzung!$C$11:$C$22)&lt;=B170)*(IF(Besatzung!$D$11:$D$22="",Besatzung!$B$6,Besatzung!$D$11:$D$22)&gt;=B170)),1)),IF(I170="An Bord",(((Besatzung!$B$14&lt;&gt;"")*IF(B170="",1,(IF(Besatzung!$C$14="",Besatzung!$B$5,Besatzung!$C$14)&lt;=B170)*(IF(Besatzung!$D$14="",Besatzung!$B$6,Besatzung!$D$14)&gt;=B170)))*((G170-IFERROR(H170,0))/IFERROR(SUMPRODUCT((Besatzung!$B$11:$B$22&lt;&gt;"")*(IF(Besatzung!$C$11:$C$22="",Besatzung!$B$5,Besatzung!$C$11:$C$22)&lt;=B170)*(IF(Besatzung!$D$11:$D$22="",Besatzung!$B$6,Besatzung!$D$11:$D$22)&gt;=B170)),1)+(Besatzung!$F$14="x")*IFERROR(H170,0)/IFERROR(SUMPRODUCT((Besatzung!$B$11:$B$22&lt;&gt;"")*(Besatzung!$F$11:$F$22="x")*(IF(Besatzung!$C$11:$C$22="",Besatzung!$B$5,Besatzung!$C$11:$C$22)&lt;=B170)*(IF(Besatzung!$D$11:$D$22="",Besatzung!$B$6,Besatzung!$D$11:$D$22)&gt;=B170)),1))),IF(I170="Individuell",((M170="x")*((G170-IFERROR(H170,0))/IFERROR(COUNTIF(J170:U170,"x"),1)+(Besatzung!$F$14="x")*IFERROR(H170,0)/IFERROR(SUMPRODUCT((J170:U170="x")*(Besatzung!$F$11:$F$22="x")),1))),(IF(COUNTIF(J170:U170,"x")=0,IF(Besatzung!$B$14&lt;&gt;"",1,0),(M170="x"))*(G170-IFERROR(H170,0))/IFERROR(IF(COUNTIF(J170:U170,"x")=0,COUNTA(Besatzung!$B$11:$B$22),COUNTIF(J170:U170,"x")),1)+IF(COUNTIF(J170:U170,"x")=0,(Besatzung!$F$14="x"),(M170="x")*(Besatzung!$F$14="x"))*IFERROR(H170,0)/IFERROR(IF(COUNTIF(J170:U170,"x")=0,SUMPRODUCT((Besatzung!$B$11:$B$22&lt;&gt;"")*(Besatzung!$F$11:$F$22="x")),SUMPRODUCT((J170:U170="x")*(Besatzung!$F$11:$F$22="x"))),1))))),0))))</f>
        <v/>
      </c>
      <c r="Z170" s="247">
        <f>IF(C170="Gutschrift","",IF(G170="","",IF(Besatzung!$B$13="","",IFERROR(IF(I170="Zeitanteilig",(Besatzung!$G$15*(G170-IFERROR(H170,0))+((Besatzung!$B$13&lt;&gt;"")*IF(B170="",1,(IF(Besatzung!$C$15="",Besatzung!$B$5,Besatzung!$C$15)&lt;=B170)*(IF(Besatzung!$D$15="",Besatzung!$B$6,Besatzung!$D$15)&gt;=B170)))*(Besatzung!$F$15="x")*IFERROR(H170,0)/IFERROR(SUMPRODUCT((Besatzung!$B$11:$B$22&lt;&gt;"")*(Besatzung!$F$11:$F$22="x")*(IF(Besatzung!$C$11:$C$22="",Besatzung!$B$5,Besatzung!$C$11:$C$22)&lt;=B170)*(IF(Besatzung!$D$11:$D$22="",Besatzung!$B$6,Besatzung!$D$11:$D$22)&gt;=B170)),1)),IF(I170="An Bord",(((Besatzung!$B$13&lt;&gt;"")*IF(B170="",1,(IF(Besatzung!$C$15="",Besatzung!$B$5,Besatzung!$C$15)&lt;=B170)*(IF(Besatzung!$D$15="",Besatzung!$B$6,Besatzung!$D$15)&gt;=B170)))*((G170-IFERROR(H170,0))/IFERROR(SUMPRODUCT((Besatzung!$B$11:$B$22&lt;&gt;"")*(IF(Besatzung!$C$11:$C$22="",Besatzung!$B$5,Besatzung!$C$11:$C$22)&lt;=B170)*(IF(Besatzung!$D$11:$D$22="",Besatzung!$B$6,Besatzung!$D$11:$D$22)&gt;=B170)),1)+(Besatzung!$F$15="x")*IFERROR(H170,0)/IFERROR(SUMPRODUCT((Besatzung!$B$11:$B$22&lt;&gt;"")*(Besatzung!$F$11:$F$22="x")*(IF(Besatzung!$C$11:$C$22="",Besatzung!$B$5,Besatzung!$C$11:$C$22)&lt;=B170)*(IF(Besatzung!$D$11:$D$22="",Besatzung!$B$6,Besatzung!$D$11:$D$22)&gt;=B170)),1))),IF(I170="Individuell",((N170="x")*((G170-IFERROR(H170,0))/IFERROR(COUNTIF(J170:U170,"x"),1)+(Besatzung!$F$15="x")*IFERROR(H170,0)/IFERROR(SUMPRODUCT((J170:U170="x")*(Besatzung!$F$11:$F$22="x")),1))),(IF(COUNTIF(J170:U170,"x")=0,IF(Besatzung!$B$13&lt;&gt;"",1,0),(N170="x"))*(G170-IFERROR(H170,0))/IFERROR(IF(COUNTIF(J170:U170,"x")=0,COUNTA(Besatzung!$B$11:$B$22),COUNTIF(J170:U170,"x")),1)+IF(COUNTIF(J170:U170,"x")=0,(Besatzung!$F$15="x"),(N170="x")*(Besatzung!$F$15="x"))*IFERROR(H170,0)/IFERROR(IF(COUNTIF(J170:U170,"x")=0,SUMPRODUCT((Besatzung!$B$11:$B$22&lt;&gt;"")*(Besatzung!$F$11:$F$22="x")),SUMPRODUCT((J170:U170="x")*(Besatzung!$F$11:$F$22="x"))),1))))),0))))</f>
        <v/>
      </c>
      <c r="AA170" s="247">
        <f>IF(C170="Gutschrift","",IF(G170="","",IF(Besatzung!$B$15="","",IFERROR(IF(I170="Zeitanteilig",(Besatzung!$G$16*(G170-IFERROR(H170,0))+((Besatzung!$B$15&lt;&gt;"")*IF(B170="",1,(IF(Besatzung!$C$16="",Besatzung!$B$5,Besatzung!$C$16)&lt;=B170)*(IF(Besatzung!$D$16="",Besatzung!$B$6,Besatzung!$D$16)&gt;=B170)))*(Besatzung!$F$16="x")*IFERROR(H170,0)/IFERROR(SUMPRODUCT((Besatzung!$B$11:$B$22&lt;&gt;"")*(Besatzung!$F$11:$F$22="x")*(IF(Besatzung!$C$11:$C$22="",Besatzung!$B$5,Besatzung!$C$11:$C$22)&lt;=B170)*(IF(Besatzung!$D$11:$D$22="",Besatzung!$B$6,Besatzung!$D$11:$D$22)&gt;=B170)),1)),IF(I170="An Bord",(((Besatzung!$B$15&lt;&gt;"")*IF(B170="",1,(IF(Besatzung!$C$16="",Besatzung!$B$5,Besatzung!$C$16)&lt;=B170)*(IF(Besatzung!$D$16="",Besatzung!$B$6,Besatzung!$D$16)&gt;=B170)))*((G170-IFERROR(H170,0))/IFERROR(SUMPRODUCT((Besatzung!$B$11:$B$22&lt;&gt;"")*(IF(Besatzung!$C$11:$C$22="",Besatzung!$B$5,Besatzung!$C$11:$C$22)&lt;=B170)*(IF(Besatzung!$D$11:$D$22="",Besatzung!$B$6,Besatzung!$D$11:$D$22)&gt;=B170)),1)+(Besatzung!$F$16="x")*IFERROR(H170,0)/IFERROR(SUMPRODUCT((Besatzung!$B$11:$B$22&lt;&gt;"")*(Besatzung!$F$11:$F$22="x")*(IF(Besatzung!$C$11:$C$22="",Besatzung!$B$5,Besatzung!$C$11:$C$22)&lt;=B170)*(IF(Besatzung!$D$11:$D$22="",Besatzung!$B$6,Besatzung!$D$11:$D$22)&gt;=B170)),1))),IF(I170="Individuell",((O170="x")*((G170-IFERROR(H170,0))/IFERROR(COUNTIF(J170:U170,"x"),1)+(Besatzung!$F$16="x")*IFERROR(H170,0)/IFERROR(SUMPRODUCT((J170:U170="x")*(Besatzung!$F$11:$F$22="x")),1))),(IF(COUNTIF(J170:U170,"x")=0,IF(Besatzung!$B$15&lt;&gt;"",1,0),(O170="x"))*(G170-IFERROR(H170,0))/IFERROR(IF(COUNTIF(J170:U170,"x")=0,COUNTA(Besatzung!$B$11:$B$22),COUNTIF(J170:U170,"x")),1)+IF(COUNTIF(J170:U170,"x")=0,(Besatzung!$F$16="x"),(O170="x")*(Besatzung!$F$16="x"))*IFERROR(H170,0)/IFERROR(IF(COUNTIF(J170:U170,"x")=0,SUMPRODUCT((Besatzung!$B$11:$B$22&lt;&gt;"")*(Besatzung!$F$11:$F$22="x")),SUMPRODUCT((J170:U170="x")*(Besatzung!$F$11:$F$22="x"))),1))))),0))))</f>
        <v/>
      </c>
      <c r="AB170" s="247">
        <f>IF(C170="Gutschrift","",IF(G170="","",IF(Besatzung!$B$17="","",IFERROR(IF(I170="Zeitanteilig",(Besatzung!$G$17*(G170-IFERROR(H170,0))+((Besatzung!$B$17&lt;&gt;"")*IF(B170="",1,(IF(Besatzung!$C$17="",Besatzung!$B$5,Besatzung!$C$17)&lt;=B170)*(IF(Besatzung!$D$17="",Besatzung!$B$6,Besatzung!$D$17)&gt;=B170)))*(Besatzung!$F$17="x")*IFERROR(H170,0)/IFERROR(SUMPRODUCT((Besatzung!$B$11:$B$22&lt;&gt;"")*(Besatzung!$F$11:$F$22="x")*(IF(Besatzung!$C$11:$C$22="",Besatzung!$B$5,Besatzung!$C$11:$C$22)&lt;=B170)*(IF(Besatzung!$D$11:$D$22="",Besatzung!$B$6,Besatzung!$D$11:$D$22)&gt;=B170)),1)),IF(I170="An Bord",(((Besatzung!$B$17&lt;&gt;"")*IF(B170="",1,(IF(Besatzung!$C$17="",Besatzung!$B$5,Besatzung!$C$17)&lt;=B170)*(IF(Besatzung!$D$17="",Besatzung!$B$6,Besatzung!$D$17)&gt;=B170)))*((G170-IFERROR(H170,0))/IFERROR(SUMPRODUCT((Besatzung!$B$11:$B$22&lt;&gt;"")*(IF(Besatzung!$C$11:$C$22="",Besatzung!$B$5,Besatzung!$C$11:$C$22)&lt;=B170)*(IF(Besatzung!$D$11:$D$22="",Besatzung!$B$6,Besatzung!$D$11:$D$22)&gt;=B170)),1)+(Besatzung!$F$17="x")*IFERROR(H170,0)/IFERROR(SUMPRODUCT((Besatzung!$B$11:$B$22&lt;&gt;"")*(Besatzung!$F$11:$F$22="x")*(IF(Besatzung!$C$11:$C$22="",Besatzung!$B$5,Besatzung!$C$11:$C$22)&lt;=B170)*(IF(Besatzung!$D$11:$D$22="",Besatzung!$B$6,Besatzung!$D$11:$D$22)&gt;=B170)),1))),IF(I170="Individuell",((P170="x")*((G170-IFERROR(H170,0))/IFERROR(COUNTIF(J170:U170,"x"),1)+(Besatzung!$F$17="x")*IFERROR(H170,0)/IFERROR(SUMPRODUCT((J170:U170="x")*(Besatzung!$F$11:$F$22="x")),1))),(IF(COUNTIF(J170:U170,"x")=0,IF(Besatzung!$B$17&lt;&gt;"",1,0),(P170="x"))*(G170-IFERROR(H170,0))/IFERROR(IF(COUNTIF(J170:U170,"x")=0,COUNTA(Besatzung!$B$11:$B$22),COUNTIF(J170:U170,"x")),1)+IF(COUNTIF(J170:U170,"x")=0,(Besatzung!$F$17="x"),(P170="x")*(Besatzung!$F$17="x"))*IFERROR(H170,0)/IFERROR(IF(COUNTIF(J170:U170,"x")=0,SUMPRODUCT((Besatzung!$B$11:$B$22&lt;&gt;"")*(Besatzung!$F$11:$F$22="x")),SUMPRODUCT((J170:U170="x")*(Besatzung!$F$11:$F$22="x"))),1))))),0))))</f>
        <v/>
      </c>
      <c r="AC170" s="247">
        <f>IF(C170="Gutschrift","",IF(G170="","",IF(Besatzung!$B$18="","",IFERROR(IF(I170="Zeitanteilig",(Besatzung!$G$18*(G170-IFERROR(H170,0))+((Besatzung!$B$18&lt;&gt;"")*IF(B170="",1,(IF(Besatzung!$C$18="",Besatzung!$B$5,Besatzung!$C$18)&lt;=B170)*(IF(Besatzung!$D$18="",Besatzung!$B$6,Besatzung!$D$18)&gt;=B170)))*(Besatzung!$F$18="x")*IFERROR(H170,0)/IFERROR(SUMPRODUCT((Besatzung!$B$11:$B$22&lt;&gt;"")*(Besatzung!$F$11:$F$22="x")*(IF(Besatzung!$C$11:$C$22="",Besatzung!$B$5,Besatzung!$C$11:$C$22)&lt;=B170)*(IF(Besatzung!$D$11:$D$22="",Besatzung!$B$6,Besatzung!$D$11:$D$22)&gt;=B170)),1)),IF(I170="An Bord",(((Besatzung!$B$18&lt;&gt;"")*IF(B170="",1,(IF(Besatzung!$C$18="",Besatzung!$B$5,Besatzung!$C$18)&lt;=B170)*(IF(Besatzung!$D$18="",Besatzung!$B$6,Besatzung!$D$18)&gt;=B170)))*((G170-IFERROR(H170,0))/IFERROR(SUMPRODUCT((Besatzung!$B$11:$B$22&lt;&gt;"")*(IF(Besatzung!$C$11:$C$22="",Besatzung!$B$5,Besatzung!$C$11:$C$22)&lt;=B170)*(IF(Besatzung!$D$11:$D$22="",Besatzung!$B$6,Besatzung!$D$11:$D$22)&gt;=B170)),1)+(Besatzung!$F$18="x")*IFERROR(H170,0)/IFERROR(SUMPRODUCT((Besatzung!$B$11:$B$22&lt;&gt;"")*(Besatzung!$F$11:$F$22="x")*(IF(Besatzung!$C$11:$C$22="",Besatzung!$B$5,Besatzung!$C$11:$C$22)&lt;=B170)*(IF(Besatzung!$D$11:$D$22="",Besatzung!$B$6,Besatzung!$D$11:$D$22)&gt;=B170)),1))),IF(I170="Individuell",((Q170="x")*((G170-IFERROR(H170,0))/IFERROR(COUNTIF(J170:U170,"x"),1)+(Besatzung!$F$18="x")*IFERROR(H170,0)/IFERROR(SUMPRODUCT((J170:U170="x")*(Besatzung!$F$11:$F$22="x")),1))),(IF(COUNTIF(J170:U170,"x")=0,IF(Besatzung!$B$18&lt;&gt;"",1,0),(Q170="x"))*(G170-IFERROR(H170,0))/IFERROR(IF(COUNTIF(J170:U170,"x")=0,COUNTA(Besatzung!$B$11:$B$22),COUNTIF(J170:U170,"x")),1)+IF(COUNTIF(J170:U170,"x")=0,(Besatzung!$F$18="x"),(Q170="x")*(Besatzung!$F$18="x"))*IFERROR(H170,0)/IFERROR(IF(COUNTIF(J170:U170,"x")=0,SUMPRODUCT((Besatzung!$B$11:$B$22&lt;&gt;"")*(Besatzung!$F$11:$F$22="x")),SUMPRODUCT((J170:U170="x")*(Besatzung!$F$11:$F$22="x"))),1))))),0))))</f>
        <v/>
      </c>
      <c r="AD170" s="247">
        <f>IF(C170="Gutschrift","",IF(G170="","",IF(Besatzung!$B$19="","",IFERROR(IF(I170="Zeitanteilig",(Besatzung!$G$19*(G170-IFERROR(H170,0))+((Besatzung!$B$19&lt;&gt;"")*IF(B170="",1,(IF(Besatzung!$C$19="",Besatzung!$B$5,Besatzung!$C$19)&lt;=B170)*(IF(Besatzung!$D$19="",Besatzung!$B$6,Besatzung!$D$19)&gt;=B170)))*(Besatzung!$F$19="x")*IFERROR(H170,0)/IFERROR(SUMPRODUCT((Besatzung!$B$11:$B$22&lt;&gt;"")*(Besatzung!$F$11:$F$22="x")*(IF(Besatzung!$C$11:$C$22="",Besatzung!$B$5,Besatzung!$C$11:$C$22)&lt;=B170)*(IF(Besatzung!$D$11:$D$22="",Besatzung!$B$6,Besatzung!$D$11:$D$22)&gt;=B170)),1)),IF(I170="An Bord",(((Besatzung!$B$19&lt;&gt;"")*IF(B170="",1,(IF(Besatzung!$C$19="",Besatzung!$B$5,Besatzung!$C$19)&lt;=B170)*(IF(Besatzung!$D$19="",Besatzung!$B$6,Besatzung!$D$19)&gt;=B170)))*((G170-IFERROR(H170,0))/IFERROR(SUMPRODUCT((Besatzung!$B$11:$B$22&lt;&gt;"")*(IF(Besatzung!$C$11:$C$22="",Besatzung!$B$5,Besatzung!$C$11:$C$22)&lt;=B170)*(IF(Besatzung!$D$11:$D$22="",Besatzung!$B$6,Besatzung!$D$11:$D$22)&gt;=B170)),1)+(Besatzung!$F$19="x")*IFERROR(H170,0)/IFERROR(SUMPRODUCT((Besatzung!$B$11:$B$22&lt;&gt;"")*(Besatzung!$F$11:$F$22="x")*(IF(Besatzung!$C$11:$C$22="",Besatzung!$B$5,Besatzung!$C$11:$C$22)&lt;=B170)*(IF(Besatzung!$D$11:$D$22="",Besatzung!$B$6,Besatzung!$D$11:$D$22)&gt;=B170)),1))),IF(I170="Individuell",((R170="x")*((G170-IFERROR(H170,0))/IFERROR(COUNTIF(J170:U170,"x"),1)+(Besatzung!$F$19="x")*IFERROR(H170,0)/IFERROR(SUMPRODUCT((J170:U170="x")*(Besatzung!$F$11:$F$22="x")),1))),(IF(COUNTIF(J170:U170,"x")=0,IF(Besatzung!$B$19&lt;&gt;"",1,0),(R170="x"))*(G170-IFERROR(H170,0))/IFERROR(IF(COUNTIF(J170:U170,"x")=0,COUNTA(Besatzung!$B$11:$B$22),COUNTIF(J170:U170,"x")),1)+IF(COUNTIF(J170:U170,"x")=0,(Besatzung!$F$19="x"),(R170="x")*(Besatzung!$F$19="x"))*IFERROR(H170,0)/IFERROR(IF(COUNTIF(J170:U170,"x")=0,SUMPRODUCT((Besatzung!$B$11:$B$22&lt;&gt;"")*(Besatzung!$F$11:$F$22="x")),SUMPRODUCT((J170:U170="x")*(Besatzung!$F$11:$F$22="x"))),1))))),0))))</f>
        <v/>
      </c>
      <c r="AE170" s="247">
        <f>IF(C170="Gutschrift","",IF(G170="","",IF(Besatzung!$B$20="","",IFERROR(IF(I170="Zeitanteilig",(Besatzung!$G$20*(G170-IFERROR(H170,0))+((Besatzung!$B$20&lt;&gt;"")*IF(B170="",1,(IF(Besatzung!$C$20="",Besatzung!$B$5,Besatzung!$C$20)&lt;=B170)*(IF(Besatzung!$D$20="",Besatzung!$B$6,Besatzung!$D$20)&gt;=B170)))*(Besatzung!$F$20="x")*IFERROR(H170,0)/IFERROR(SUMPRODUCT((Besatzung!$B$11:$B$22&lt;&gt;"")*(Besatzung!$F$11:$F$22="x")*(IF(Besatzung!$C$11:$C$22="",Besatzung!$B$5,Besatzung!$C$11:$C$22)&lt;=B170)*(IF(Besatzung!$D$11:$D$22="",Besatzung!$B$6,Besatzung!$D$11:$D$22)&gt;=B170)),1)),IF(I170="An Bord",(((Besatzung!$B$20&lt;&gt;"")*IF(B170="",1,(IF(Besatzung!$C$20="",Besatzung!$B$5,Besatzung!$C$20)&lt;=B170)*(IF(Besatzung!$D$20="",Besatzung!$B$6,Besatzung!$D$20)&gt;=B170)))*((G170-IFERROR(H170,0))/IFERROR(SUMPRODUCT((Besatzung!$B$11:$B$22&lt;&gt;"")*(IF(Besatzung!$C$11:$C$22="",Besatzung!$B$5,Besatzung!$C$11:$C$22)&lt;=B170)*(IF(Besatzung!$D$11:$D$22="",Besatzung!$B$6,Besatzung!$D$11:$D$22)&gt;=B170)),1)+(Besatzung!$F$20="x")*IFERROR(H170,0)/IFERROR(SUMPRODUCT((Besatzung!$B$11:$B$22&lt;&gt;"")*(Besatzung!$F$11:$F$22="x")*(IF(Besatzung!$C$11:$C$22="",Besatzung!$B$5,Besatzung!$C$11:$C$22)&lt;=B170)*(IF(Besatzung!$D$11:$D$22="",Besatzung!$B$6,Besatzung!$D$11:$D$22)&gt;=B170)),1))),IF(I170="Individuell",((S170="x")*((G170-IFERROR(H170,0))/IFERROR(COUNTIF(J170:U170,"x"),1)+(Besatzung!$F$20="x")*IFERROR(H170,0)/IFERROR(SUMPRODUCT((J170:U170="x")*(Besatzung!$F$11:$F$22="x")),1))),(IF(COUNTIF(J170:U170,"x")=0,IF(Besatzung!$B$20&lt;&gt;"",1,0),(S170="x"))*(G170-IFERROR(H170,0))/IFERROR(IF(COUNTIF(J170:U170,"x")=0,COUNTA(Besatzung!$B$11:$B$22),COUNTIF(J170:U170,"x")),1)+IF(COUNTIF(J170:U170,"x")=0,(Besatzung!$F$20="x"),(S170="x")*(Besatzung!$F$20="x"))*IFERROR(H170,0)/IFERROR(IF(COUNTIF(J170:U170,"x")=0,SUMPRODUCT((Besatzung!$B$11:$B$22&lt;&gt;"")*(Besatzung!$F$11:$F$22="x")),SUMPRODUCT((J170:U170="x")*(Besatzung!$F$11:$F$22="x"))),1))))),0))))</f>
        <v/>
      </c>
      <c r="AF170" s="247">
        <f>IF(C170="Gutschrift","",IF(G170="","",IF(Besatzung!$B$21="","",IFERROR(IF(I170="Zeitanteilig",(Besatzung!$G$21*(G170-IFERROR(H170,0))+((Besatzung!$B$21&lt;&gt;"")*IF(B170="",1,(IF(Besatzung!$C$21="",Besatzung!$B$5,Besatzung!$C$21)&lt;=B170)*(IF(Besatzung!$D$21="",Besatzung!$B$6,Besatzung!$D$21)&gt;=B170)))*(Besatzung!$F$21="x")*IFERROR(H170,0)/IFERROR(SUMPRODUCT((Besatzung!$B$11:$B$22&lt;&gt;"")*(Besatzung!$F$11:$F$22="x")*(IF(Besatzung!$C$11:$C$22="",Besatzung!$B$5,Besatzung!$C$11:$C$22)&lt;=B170)*(IF(Besatzung!$D$11:$D$22="",Besatzung!$B$6,Besatzung!$D$11:$D$22)&gt;=B170)),1)),IF(I170="An Bord",(((Besatzung!$B$21&lt;&gt;"")*IF(B170="",1,(IF(Besatzung!$C$21="",Besatzung!$B$5,Besatzung!$C$21)&lt;=B170)*(IF(Besatzung!$D$21="",Besatzung!$B$6,Besatzung!$D$21)&gt;=B170)))*((G170-IFERROR(H170,0))/IFERROR(SUMPRODUCT((Besatzung!$B$11:$B$22&lt;&gt;"")*(IF(Besatzung!$C$11:$C$22="",Besatzung!$B$5,Besatzung!$C$11:$C$22)&lt;=B170)*(IF(Besatzung!$D$11:$D$22="",Besatzung!$B$6,Besatzung!$D$11:$D$22)&gt;=B170)),1)+(Besatzung!$F$21="x")*IFERROR(H170,0)/IFERROR(SUMPRODUCT((Besatzung!$B$11:$B$22&lt;&gt;"")*(Besatzung!$F$11:$F$22="x")*(IF(Besatzung!$C$11:$C$22="",Besatzung!$B$5,Besatzung!$C$11:$C$22)&lt;=B170)*(IF(Besatzung!$D$11:$D$22="",Besatzung!$B$6,Besatzung!$D$11:$D$22)&gt;=B170)),1))),IF(I170="Individuell",((T170="x")*((G170-IFERROR(H170,0))/IFERROR(COUNTIF(J170:U170,"x"),1)+(Besatzung!$F$21="x")*IFERROR(H170,0)/IFERROR(SUMPRODUCT((J170:U170="x")*(Besatzung!$F$11:$F$22="x")),1))),(IF(COUNTIF(J170:U170,"x")=0,IF(Besatzung!$B$21&lt;&gt;"",1,0),(T170="x"))*(G170-IFERROR(H170,0))/IFERROR(IF(COUNTIF(J170:U170,"x")=0,COUNTA(Besatzung!$B$11:$B$22),COUNTIF(J170:U170,"x")),1)+IF(COUNTIF(J170:U170,"x")=0,(Besatzung!$F$21="x"),(T170="x")*(Besatzung!$F$21="x"))*IFERROR(H170,0)/IFERROR(IF(COUNTIF(J170:U170,"x")=0,SUMPRODUCT((Besatzung!$B$11:$B$22&lt;&gt;"")*(Besatzung!$F$11:$F$22="x")),SUMPRODUCT((J170:U170="x")*(Besatzung!$F$11:$F$22="x"))),1))))),0))))</f>
        <v/>
      </c>
      <c r="AG170" s="247">
        <f>IF(C170="Gutschrift","",IF(G170="","",IF(Besatzung!$B$22="","",IFERROR(IF(I170="Zeitanteilig",(Besatzung!$G$22*(G170-IFERROR(H170,0))+((Besatzung!$B$22&lt;&gt;"")*IF(B170="",1,(IF(Besatzung!$C$22="",Besatzung!$B$5,Besatzung!$C$22)&lt;=B170)*(IF(Besatzung!$D$22="",Besatzung!$B$6,Besatzung!$D$22)&gt;=B170)))*(Besatzung!$F$22="x")*IFERROR(H170,0)/IFERROR(SUMPRODUCT((Besatzung!$B$11:$B$22&lt;&gt;"")*(Besatzung!$F$11:$F$22="x")*(IF(Besatzung!$C$11:$C$22="",Besatzung!$B$5,Besatzung!$C$11:$C$22)&lt;=B170)*(IF(Besatzung!$D$11:$D$22="",Besatzung!$B$6,Besatzung!$D$11:$D$22)&gt;=B170)),1)),IF(I170="An Bord",(((Besatzung!$B$22&lt;&gt;"")*IF(B170="",1,(IF(Besatzung!$C$22="",Besatzung!$B$5,Besatzung!$C$22)&lt;=B170)*(IF(Besatzung!$D$22="",Besatzung!$B$6,Besatzung!$D$22)&gt;=B170)))*((G170-IFERROR(H170,0))/IFERROR(SUMPRODUCT((Besatzung!$B$11:$B$22&lt;&gt;"")*(IF(Besatzung!$C$11:$C$22="",Besatzung!$B$5,Besatzung!$C$11:$C$22)&lt;=B170)*(IF(Besatzung!$D$11:$D$22="",Besatzung!$B$6,Besatzung!$D$11:$D$22)&gt;=B170)),1)+(Besatzung!$F$22="x")*IFERROR(H170,0)/IFERROR(SUMPRODUCT((Besatzung!$B$11:$B$22&lt;&gt;"")*(Besatzung!$F$11:$F$22="x")*(IF(Besatzung!$C$11:$C$22="",Besatzung!$B$5,Besatzung!$C$11:$C$22)&lt;=B170)*(IF(Besatzung!$D$11:$D$22="",Besatzung!$B$6,Besatzung!$D$11:$D$22)&gt;=B170)),1))),IF(I170="Individuell",((U170="x")*((G170-IFERROR(H170,0))/IFERROR(COUNTIF(J170:U170,"x"),1)+(Besatzung!$F$22="x")*IFERROR(H170,0)/IFERROR(SUMPRODUCT((J170:U170="x")*(Besatzung!$F$11:$F$22="x")),1))),(IF(COUNTIF(J170:U170,"x")=0,IF(Besatzung!$B$22&lt;&gt;"",1,0),(U170="x"))*(G170-IFERROR(H170,0))/IFERROR(IF(COUNTIF(J170:U170,"x")=0,COUNTA(Besatzung!$B$11:$B$22),COUNTIF(J170:U170,"x")),1)+IF(COUNTIF(J170:U170,"x")=0,(Besatzung!$F$22="x"),(U170="x")*(Besatzung!$F$22="x"))*IFERROR(H170,0)/IFERROR(IF(COUNTIF(J170:U170,"x")=0,SUMPRODUCT((Besatzung!$B$11:$B$22&lt;&gt;"")*(Besatzung!$F$11:$F$22="x")),SUMPRODUCT((J170:U170="x")*(Besatzung!$F$11:$F$22="x"))),1))))),0))))</f>
        <v/>
      </c>
      <c r="AH170" s="248" t="n"/>
      <c r="AI170" s="248" t="n"/>
    </row>
    <row r="171" ht="21.75" customHeight="1" s="154">
      <c r="A171" s="238">
        <f>IF(AND(D171="",C171=""),"",168)</f>
        <v/>
      </c>
      <c r="B171" s="206" t="n"/>
      <c r="C171" s="249" t="n"/>
      <c r="D171" s="250" t="n"/>
      <c r="E171" s="251" t="n"/>
      <c r="F171" s="252" t="n"/>
      <c r="G171" s="253" t="n"/>
      <c r="H171" s="254" t="n"/>
      <c r="I171" s="255" t="n"/>
      <c r="J171" s="256" t="n"/>
      <c r="K171" s="256" t="n"/>
      <c r="L171" s="256" t="n"/>
      <c r="M171" s="256" t="n"/>
      <c r="N171" s="256" t="n"/>
      <c r="O171" s="256" t="n"/>
      <c r="P171" s="256" t="n"/>
      <c r="Q171" s="256" t="n"/>
      <c r="R171" s="256" t="n"/>
      <c r="S171" s="256" t="n"/>
      <c r="T171" s="256" t="n"/>
      <c r="U171" s="256" t="n"/>
      <c r="V171" s="247">
        <f>IF(C171="Gutschrift","",IF(G171="","",IF(Besatzung!$B$11="","",IFERROR(IF(I171="Zeitanteilig",(Besatzung!$G$11*(G171-IFERROR(H171,0))+((Besatzung!$B$11&lt;&gt;"")*IF(B171="",1,(IF(Besatzung!$C$11="",Besatzung!$B$5,Besatzung!$C$11)&lt;=B171)*(IF(Besatzung!$D$11="",Besatzung!$B$6,Besatzung!$D$11)&gt;=B171)))*(Besatzung!$F$11="x")*IFERROR(H171,0)/IFERROR(SUMPRODUCT((Besatzung!$B$11:$B$22&lt;&gt;"")*(Besatzung!$F$11:$F$22="x")*(IF(Besatzung!$C$11:$C$22="",Besatzung!$B$5,Besatzung!$C$11:$C$22)&lt;=B171)*(IF(Besatzung!$D$11:$D$22="",Besatzung!$B$6,Besatzung!$D$11:$D$22)&gt;=B171)),1)),IF(I171="An Bord",(((Besatzung!$B$11&lt;&gt;"")*IF(B171="",1,(IF(Besatzung!$C$11="",Besatzung!$B$5,Besatzung!$C$11)&lt;=B171)*(IF(Besatzung!$D$11="",Besatzung!$B$6,Besatzung!$D$11)&gt;=B171)))*((G171-IFERROR(H171,0))/IFERROR(SUMPRODUCT((Besatzung!$B$11:$B$22&lt;&gt;"")*(IF(Besatzung!$C$11:$C$22="",Besatzung!$B$5,Besatzung!$C$11:$C$22)&lt;=B171)*(IF(Besatzung!$D$11:$D$22="",Besatzung!$B$6,Besatzung!$D$11:$D$22)&gt;=B171)),1)+(Besatzung!$F$11="x")*IFERROR(H171,0)/IFERROR(SUMPRODUCT((Besatzung!$B$11:$B$22&lt;&gt;"")*(Besatzung!$F$11:$F$22="x")*(IF(Besatzung!$C$11:$C$22="",Besatzung!$B$5,Besatzung!$C$11:$C$22)&lt;=B171)*(IF(Besatzung!$D$11:$D$22="",Besatzung!$B$6,Besatzung!$D$11:$D$22)&gt;=B171)),1))),IF(I171="Individuell",((J171="x")*((G171-IFERROR(H171,0))/IFERROR(COUNTIF(J171:U171,"x"),1)+(Besatzung!$F$11="x")*IFERROR(H171,0)/IFERROR(SUMPRODUCT((J171:U171="x")*(Besatzung!$F$11:$F$22="x")),1))),(IF(COUNTIF(J171:U171,"x")=0,IF(Besatzung!$B$11&lt;&gt;"",1,0),(J171="x"))*(G171-IFERROR(H171,0))/IFERROR(IF(COUNTIF(J171:U171,"x")=0,COUNTA(Besatzung!$B$11:$B$22),COUNTIF(J171:U171,"x")),1)+IF(COUNTIF(J171:U171,"x")=0,(Besatzung!$F$11="x"),(J171="x")*(Besatzung!$F$11="x"))*IFERROR(H171,0)/IFERROR(IF(COUNTIF(J171:U171,"x")=0,SUMPRODUCT((Besatzung!$B$11:$B$22&lt;&gt;"")*(Besatzung!$F$11:$F$22="x")),SUMPRODUCT((J171:U171="x")*(Besatzung!$F$11:$F$22="x"))),1))))),0))))</f>
        <v/>
      </c>
      <c r="W171" s="247">
        <f>IF(C171="Gutschrift","",IF(G171="","",IF(Besatzung!$B$12="","",IFERROR(IF(I171="Zeitanteilig",(Besatzung!$G$12*(G171-IFERROR(H171,0))+((Besatzung!$B$12&lt;&gt;"")*IF(B171="",1,(IF(Besatzung!$C$12="",Besatzung!$B$5,Besatzung!$C$12)&lt;=B171)*(IF(Besatzung!$D$12="",Besatzung!$B$6,Besatzung!$D$12)&gt;=B171)))*(Besatzung!$F$12="x")*IFERROR(H171,0)/IFERROR(SUMPRODUCT((Besatzung!$B$11:$B$22&lt;&gt;"")*(Besatzung!$F$11:$F$22="x")*(IF(Besatzung!$C$11:$C$22="",Besatzung!$B$5,Besatzung!$C$11:$C$22)&lt;=B171)*(IF(Besatzung!$D$11:$D$22="",Besatzung!$B$6,Besatzung!$D$11:$D$22)&gt;=B171)),1)),IF(I171="An Bord",(((Besatzung!$B$12&lt;&gt;"")*IF(B171="",1,(IF(Besatzung!$C$12="",Besatzung!$B$5,Besatzung!$C$12)&lt;=B171)*(IF(Besatzung!$D$12="",Besatzung!$B$6,Besatzung!$D$12)&gt;=B171)))*((G171-IFERROR(H171,0))/IFERROR(SUMPRODUCT((Besatzung!$B$11:$B$22&lt;&gt;"")*(IF(Besatzung!$C$11:$C$22="",Besatzung!$B$5,Besatzung!$C$11:$C$22)&lt;=B171)*(IF(Besatzung!$D$11:$D$22="",Besatzung!$B$6,Besatzung!$D$11:$D$22)&gt;=B171)),1)+(Besatzung!$F$12="x")*IFERROR(H171,0)/IFERROR(SUMPRODUCT((Besatzung!$B$11:$B$22&lt;&gt;"")*(Besatzung!$F$11:$F$22="x")*(IF(Besatzung!$C$11:$C$22="",Besatzung!$B$5,Besatzung!$C$11:$C$22)&lt;=B171)*(IF(Besatzung!$D$11:$D$22="",Besatzung!$B$6,Besatzung!$D$11:$D$22)&gt;=B171)),1))),IF(I171="Individuell",((K171="x")*((G171-IFERROR(H171,0))/IFERROR(COUNTIF(J171:U171,"x"),1)+(Besatzung!$F$12="x")*IFERROR(H171,0)/IFERROR(SUMPRODUCT((J171:U171="x")*(Besatzung!$F$11:$F$22="x")),1))),(IF(COUNTIF(J171:U171,"x")=0,IF(Besatzung!$B$12&lt;&gt;"",1,0),(K171="x"))*(G171-IFERROR(H171,0))/IFERROR(IF(COUNTIF(J171:U171,"x")=0,COUNTA(Besatzung!$B$11:$B$22),COUNTIF(J171:U171,"x")),1)+IF(COUNTIF(J171:U171,"x")=0,(Besatzung!$F$12="x"),(K171="x")*(Besatzung!$F$12="x"))*IFERROR(H171,0)/IFERROR(IF(COUNTIF(J171:U171,"x")=0,SUMPRODUCT((Besatzung!$B$11:$B$22&lt;&gt;"")*(Besatzung!$F$11:$F$22="x")),SUMPRODUCT((J171:U171="x")*(Besatzung!$F$11:$F$22="x"))),1))))),0))))</f>
        <v/>
      </c>
      <c r="X171" s="247">
        <f>IF(C171="Gutschrift","",IF(G171="","",IF(Besatzung!$B$13="","",IFERROR(IF(I171="Zeitanteilig",(Besatzung!$G$13*(G171-IFERROR(H171,0))+((Besatzung!$B$13&lt;&gt;"")*IF(B171="",1,(IF(Besatzung!$C$13="",Besatzung!$B$5,Besatzung!$C$13)&lt;=B171)*(IF(Besatzung!$D$13="",Besatzung!$B$6,Besatzung!$D$13)&gt;=B171)))*(Besatzung!$F$13="x")*IFERROR(H171,0)/IFERROR(SUMPRODUCT((Besatzung!$B$11:$B$22&lt;&gt;"")*(Besatzung!$F$11:$F$22="x")*(IF(Besatzung!$C$11:$C$22="",Besatzung!$B$5,Besatzung!$C$11:$C$22)&lt;=B171)*(IF(Besatzung!$D$11:$D$22="",Besatzung!$B$6,Besatzung!$D$11:$D$22)&gt;=B171)),1)),IF(I171="An Bord",(((Besatzung!$B$13&lt;&gt;"")*IF(B171="",1,(IF(Besatzung!$C$13="",Besatzung!$B$5,Besatzung!$C$13)&lt;=B171)*(IF(Besatzung!$D$13="",Besatzung!$B$6,Besatzung!$D$13)&gt;=B171)))*((G171-IFERROR(H171,0))/IFERROR(SUMPRODUCT((Besatzung!$B$11:$B$22&lt;&gt;"")*(IF(Besatzung!$C$11:$C$22="",Besatzung!$B$5,Besatzung!$C$11:$C$22)&lt;=B171)*(IF(Besatzung!$D$11:$D$22="",Besatzung!$B$6,Besatzung!$D$11:$D$22)&gt;=B171)),1)+(Besatzung!$F$13="x")*IFERROR(H171,0)/IFERROR(SUMPRODUCT((Besatzung!$B$11:$B$22&lt;&gt;"")*(Besatzung!$F$11:$F$22="x")*(IF(Besatzung!$C$11:$C$22="",Besatzung!$B$5,Besatzung!$C$11:$C$22)&lt;=B171)*(IF(Besatzung!$D$11:$D$22="",Besatzung!$B$6,Besatzung!$D$11:$D$22)&gt;=B171)),1))),IF(I171="Individuell",((K171="x")*((G171-IFERROR(H171,0))/IFERROR(COUNTIF(J171:U171,"x"),1)+(Besatzung!$F$13="x")*IFERROR(H171,0)/IFERROR(SUMPRODUCT((J171:U171="x")*(Besatzung!$F$11:$F$22="x")),1))),(IF(COUNTIF(J171:U171,"x")=0,IF(Besatzung!$B$13&lt;&gt;"",1,0),(K171="x"))*(G171-IFERROR(H171,0))/IFERROR(IF(COUNTIF(J171:U171,"x")=0,COUNTA(Besatzung!$B$11:$B$22),COUNTIF(J171:U171,"x")),1)+IF(COUNTIF(J171:U171,"x")=0,(Besatzung!$F$13="x"),(K171="x")*(Besatzung!$F$13="x"))*IFERROR(H171,0)/IFERROR(IF(COUNTIF(J171:U171,"x")=0,SUMPRODUCT((Besatzung!$B$11:$B$22&lt;&gt;"")*(Besatzung!$F$11:$F$22="x")),SUMPRODUCT((J171:U171="x")*(Besatzung!$F$11:$F$22="x"))),1))))),0))))</f>
        <v/>
      </c>
      <c r="Y171" s="247">
        <f>IF(C171="Gutschrift","",IF(G171="","",IF(Besatzung!$B$14="","",IFERROR(IF(I171="Zeitanteilig",(Besatzung!$G$14*(G171-IFERROR(H171,0))+((Besatzung!$B$14&lt;&gt;"")*IF(B171="",1,(IF(Besatzung!$C$14="",Besatzung!$B$5,Besatzung!$C$14)&lt;=B171)*(IF(Besatzung!$D$14="",Besatzung!$B$6,Besatzung!$D$14)&gt;=B171)))*(Besatzung!$F$14="x")*IFERROR(H171,0)/IFERROR(SUMPRODUCT((Besatzung!$B$11:$B$22&lt;&gt;"")*(Besatzung!$F$11:$F$22="x")*(IF(Besatzung!$C$11:$C$22="",Besatzung!$B$5,Besatzung!$C$11:$C$22)&lt;=B171)*(IF(Besatzung!$D$11:$D$22="",Besatzung!$B$6,Besatzung!$D$11:$D$22)&gt;=B171)),1)),IF(I171="An Bord",(((Besatzung!$B$14&lt;&gt;"")*IF(B171="",1,(IF(Besatzung!$C$14="",Besatzung!$B$5,Besatzung!$C$14)&lt;=B171)*(IF(Besatzung!$D$14="",Besatzung!$B$6,Besatzung!$D$14)&gt;=B171)))*((G171-IFERROR(H171,0))/IFERROR(SUMPRODUCT((Besatzung!$B$11:$B$22&lt;&gt;"")*(IF(Besatzung!$C$11:$C$22="",Besatzung!$B$5,Besatzung!$C$11:$C$22)&lt;=B171)*(IF(Besatzung!$D$11:$D$22="",Besatzung!$B$6,Besatzung!$D$11:$D$22)&gt;=B171)),1)+(Besatzung!$F$14="x")*IFERROR(H171,0)/IFERROR(SUMPRODUCT((Besatzung!$B$11:$B$22&lt;&gt;"")*(Besatzung!$F$11:$F$22="x")*(IF(Besatzung!$C$11:$C$22="",Besatzung!$B$5,Besatzung!$C$11:$C$22)&lt;=B171)*(IF(Besatzung!$D$11:$D$22="",Besatzung!$B$6,Besatzung!$D$11:$D$22)&gt;=B171)),1))),IF(I171="Individuell",((M171="x")*((G171-IFERROR(H171,0))/IFERROR(COUNTIF(J171:U171,"x"),1)+(Besatzung!$F$14="x")*IFERROR(H171,0)/IFERROR(SUMPRODUCT((J171:U171="x")*(Besatzung!$F$11:$F$22="x")),1))),(IF(COUNTIF(J171:U171,"x")=0,IF(Besatzung!$B$14&lt;&gt;"",1,0),(M171="x"))*(G171-IFERROR(H171,0))/IFERROR(IF(COUNTIF(J171:U171,"x")=0,COUNTA(Besatzung!$B$11:$B$22),COUNTIF(J171:U171,"x")),1)+IF(COUNTIF(J171:U171,"x")=0,(Besatzung!$F$14="x"),(M171="x")*(Besatzung!$F$14="x"))*IFERROR(H171,0)/IFERROR(IF(COUNTIF(J171:U171,"x")=0,SUMPRODUCT((Besatzung!$B$11:$B$22&lt;&gt;"")*(Besatzung!$F$11:$F$22="x")),SUMPRODUCT((J171:U171="x")*(Besatzung!$F$11:$F$22="x"))),1))))),0))))</f>
        <v/>
      </c>
      <c r="Z171" s="247">
        <f>IF(C171="Gutschrift","",IF(G171="","",IF(Besatzung!$B$13="","",IFERROR(IF(I171="Zeitanteilig",(Besatzung!$G$15*(G171-IFERROR(H171,0))+((Besatzung!$B$13&lt;&gt;"")*IF(B171="",1,(IF(Besatzung!$C$15="",Besatzung!$B$5,Besatzung!$C$15)&lt;=B171)*(IF(Besatzung!$D$15="",Besatzung!$B$6,Besatzung!$D$15)&gt;=B171)))*(Besatzung!$F$15="x")*IFERROR(H171,0)/IFERROR(SUMPRODUCT((Besatzung!$B$11:$B$22&lt;&gt;"")*(Besatzung!$F$11:$F$22="x")*(IF(Besatzung!$C$11:$C$22="",Besatzung!$B$5,Besatzung!$C$11:$C$22)&lt;=B171)*(IF(Besatzung!$D$11:$D$22="",Besatzung!$B$6,Besatzung!$D$11:$D$22)&gt;=B171)),1)),IF(I171="An Bord",(((Besatzung!$B$13&lt;&gt;"")*IF(B171="",1,(IF(Besatzung!$C$15="",Besatzung!$B$5,Besatzung!$C$15)&lt;=B171)*(IF(Besatzung!$D$15="",Besatzung!$B$6,Besatzung!$D$15)&gt;=B171)))*((G171-IFERROR(H171,0))/IFERROR(SUMPRODUCT((Besatzung!$B$11:$B$22&lt;&gt;"")*(IF(Besatzung!$C$11:$C$22="",Besatzung!$B$5,Besatzung!$C$11:$C$22)&lt;=B171)*(IF(Besatzung!$D$11:$D$22="",Besatzung!$B$6,Besatzung!$D$11:$D$22)&gt;=B171)),1)+(Besatzung!$F$15="x")*IFERROR(H171,0)/IFERROR(SUMPRODUCT((Besatzung!$B$11:$B$22&lt;&gt;"")*(Besatzung!$F$11:$F$22="x")*(IF(Besatzung!$C$11:$C$22="",Besatzung!$B$5,Besatzung!$C$11:$C$22)&lt;=B171)*(IF(Besatzung!$D$11:$D$22="",Besatzung!$B$6,Besatzung!$D$11:$D$22)&gt;=B171)),1))),IF(I171="Individuell",((N171="x")*((G171-IFERROR(H171,0))/IFERROR(COUNTIF(J171:U171,"x"),1)+(Besatzung!$F$15="x")*IFERROR(H171,0)/IFERROR(SUMPRODUCT((J171:U171="x")*(Besatzung!$F$11:$F$22="x")),1))),(IF(COUNTIF(J171:U171,"x")=0,IF(Besatzung!$B$13&lt;&gt;"",1,0),(N171="x"))*(G171-IFERROR(H171,0))/IFERROR(IF(COUNTIF(J171:U171,"x")=0,COUNTA(Besatzung!$B$11:$B$22),COUNTIF(J171:U171,"x")),1)+IF(COUNTIF(J171:U171,"x")=0,(Besatzung!$F$15="x"),(N171="x")*(Besatzung!$F$15="x"))*IFERROR(H171,0)/IFERROR(IF(COUNTIF(J171:U171,"x")=0,SUMPRODUCT((Besatzung!$B$11:$B$22&lt;&gt;"")*(Besatzung!$F$11:$F$22="x")),SUMPRODUCT((J171:U171="x")*(Besatzung!$F$11:$F$22="x"))),1))))),0))))</f>
        <v/>
      </c>
      <c r="AA171" s="247">
        <f>IF(C171="Gutschrift","",IF(G171="","",IF(Besatzung!$B$15="","",IFERROR(IF(I171="Zeitanteilig",(Besatzung!$G$16*(G171-IFERROR(H171,0))+((Besatzung!$B$15&lt;&gt;"")*IF(B171="",1,(IF(Besatzung!$C$16="",Besatzung!$B$5,Besatzung!$C$16)&lt;=B171)*(IF(Besatzung!$D$16="",Besatzung!$B$6,Besatzung!$D$16)&gt;=B171)))*(Besatzung!$F$16="x")*IFERROR(H171,0)/IFERROR(SUMPRODUCT((Besatzung!$B$11:$B$22&lt;&gt;"")*(Besatzung!$F$11:$F$22="x")*(IF(Besatzung!$C$11:$C$22="",Besatzung!$B$5,Besatzung!$C$11:$C$22)&lt;=B171)*(IF(Besatzung!$D$11:$D$22="",Besatzung!$B$6,Besatzung!$D$11:$D$22)&gt;=B171)),1)),IF(I171="An Bord",(((Besatzung!$B$15&lt;&gt;"")*IF(B171="",1,(IF(Besatzung!$C$16="",Besatzung!$B$5,Besatzung!$C$16)&lt;=B171)*(IF(Besatzung!$D$16="",Besatzung!$B$6,Besatzung!$D$16)&gt;=B171)))*((G171-IFERROR(H171,0))/IFERROR(SUMPRODUCT((Besatzung!$B$11:$B$22&lt;&gt;"")*(IF(Besatzung!$C$11:$C$22="",Besatzung!$B$5,Besatzung!$C$11:$C$22)&lt;=B171)*(IF(Besatzung!$D$11:$D$22="",Besatzung!$B$6,Besatzung!$D$11:$D$22)&gt;=B171)),1)+(Besatzung!$F$16="x")*IFERROR(H171,0)/IFERROR(SUMPRODUCT((Besatzung!$B$11:$B$22&lt;&gt;"")*(Besatzung!$F$11:$F$22="x")*(IF(Besatzung!$C$11:$C$22="",Besatzung!$B$5,Besatzung!$C$11:$C$22)&lt;=B171)*(IF(Besatzung!$D$11:$D$22="",Besatzung!$B$6,Besatzung!$D$11:$D$22)&gt;=B171)),1))),IF(I171="Individuell",((O171="x")*((G171-IFERROR(H171,0))/IFERROR(COUNTIF(J171:U171,"x"),1)+(Besatzung!$F$16="x")*IFERROR(H171,0)/IFERROR(SUMPRODUCT((J171:U171="x")*(Besatzung!$F$11:$F$22="x")),1))),(IF(COUNTIF(J171:U171,"x")=0,IF(Besatzung!$B$15&lt;&gt;"",1,0),(O171="x"))*(G171-IFERROR(H171,0))/IFERROR(IF(COUNTIF(J171:U171,"x")=0,COUNTA(Besatzung!$B$11:$B$22),COUNTIF(J171:U171,"x")),1)+IF(COUNTIF(J171:U171,"x")=0,(Besatzung!$F$16="x"),(O171="x")*(Besatzung!$F$16="x"))*IFERROR(H171,0)/IFERROR(IF(COUNTIF(J171:U171,"x")=0,SUMPRODUCT((Besatzung!$B$11:$B$22&lt;&gt;"")*(Besatzung!$F$11:$F$22="x")),SUMPRODUCT((J171:U171="x")*(Besatzung!$F$11:$F$22="x"))),1))))),0))))</f>
        <v/>
      </c>
      <c r="AB171" s="247">
        <f>IF(C171="Gutschrift","",IF(G171="","",IF(Besatzung!$B$17="","",IFERROR(IF(I171="Zeitanteilig",(Besatzung!$G$17*(G171-IFERROR(H171,0))+((Besatzung!$B$17&lt;&gt;"")*IF(B171="",1,(IF(Besatzung!$C$17="",Besatzung!$B$5,Besatzung!$C$17)&lt;=B171)*(IF(Besatzung!$D$17="",Besatzung!$B$6,Besatzung!$D$17)&gt;=B171)))*(Besatzung!$F$17="x")*IFERROR(H171,0)/IFERROR(SUMPRODUCT((Besatzung!$B$11:$B$22&lt;&gt;"")*(Besatzung!$F$11:$F$22="x")*(IF(Besatzung!$C$11:$C$22="",Besatzung!$B$5,Besatzung!$C$11:$C$22)&lt;=B171)*(IF(Besatzung!$D$11:$D$22="",Besatzung!$B$6,Besatzung!$D$11:$D$22)&gt;=B171)),1)),IF(I171="An Bord",(((Besatzung!$B$17&lt;&gt;"")*IF(B171="",1,(IF(Besatzung!$C$17="",Besatzung!$B$5,Besatzung!$C$17)&lt;=B171)*(IF(Besatzung!$D$17="",Besatzung!$B$6,Besatzung!$D$17)&gt;=B171)))*((G171-IFERROR(H171,0))/IFERROR(SUMPRODUCT((Besatzung!$B$11:$B$22&lt;&gt;"")*(IF(Besatzung!$C$11:$C$22="",Besatzung!$B$5,Besatzung!$C$11:$C$22)&lt;=B171)*(IF(Besatzung!$D$11:$D$22="",Besatzung!$B$6,Besatzung!$D$11:$D$22)&gt;=B171)),1)+(Besatzung!$F$17="x")*IFERROR(H171,0)/IFERROR(SUMPRODUCT((Besatzung!$B$11:$B$22&lt;&gt;"")*(Besatzung!$F$11:$F$22="x")*(IF(Besatzung!$C$11:$C$22="",Besatzung!$B$5,Besatzung!$C$11:$C$22)&lt;=B171)*(IF(Besatzung!$D$11:$D$22="",Besatzung!$B$6,Besatzung!$D$11:$D$22)&gt;=B171)),1))),IF(I171="Individuell",((P171="x")*((G171-IFERROR(H171,0))/IFERROR(COUNTIF(J171:U171,"x"),1)+(Besatzung!$F$17="x")*IFERROR(H171,0)/IFERROR(SUMPRODUCT((J171:U171="x")*(Besatzung!$F$11:$F$22="x")),1))),(IF(COUNTIF(J171:U171,"x")=0,IF(Besatzung!$B$17&lt;&gt;"",1,0),(P171="x"))*(G171-IFERROR(H171,0))/IFERROR(IF(COUNTIF(J171:U171,"x")=0,COUNTA(Besatzung!$B$11:$B$22),COUNTIF(J171:U171,"x")),1)+IF(COUNTIF(J171:U171,"x")=0,(Besatzung!$F$17="x"),(P171="x")*(Besatzung!$F$17="x"))*IFERROR(H171,0)/IFERROR(IF(COUNTIF(J171:U171,"x")=0,SUMPRODUCT((Besatzung!$B$11:$B$22&lt;&gt;"")*(Besatzung!$F$11:$F$22="x")),SUMPRODUCT((J171:U171="x")*(Besatzung!$F$11:$F$22="x"))),1))))),0))))</f>
        <v/>
      </c>
      <c r="AC171" s="247">
        <f>IF(C171="Gutschrift","",IF(G171="","",IF(Besatzung!$B$18="","",IFERROR(IF(I171="Zeitanteilig",(Besatzung!$G$18*(G171-IFERROR(H171,0))+((Besatzung!$B$18&lt;&gt;"")*IF(B171="",1,(IF(Besatzung!$C$18="",Besatzung!$B$5,Besatzung!$C$18)&lt;=B171)*(IF(Besatzung!$D$18="",Besatzung!$B$6,Besatzung!$D$18)&gt;=B171)))*(Besatzung!$F$18="x")*IFERROR(H171,0)/IFERROR(SUMPRODUCT((Besatzung!$B$11:$B$22&lt;&gt;"")*(Besatzung!$F$11:$F$22="x")*(IF(Besatzung!$C$11:$C$22="",Besatzung!$B$5,Besatzung!$C$11:$C$22)&lt;=B171)*(IF(Besatzung!$D$11:$D$22="",Besatzung!$B$6,Besatzung!$D$11:$D$22)&gt;=B171)),1)),IF(I171="An Bord",(((Besatzung!$B$18&lt;&gt;"")*IF(B171="",1,(IF(Besatzung!$C$18="",Besatzung!$B$5,Besatzung!$C$18)&lt;=B171)*(IF(Besatzung!$D$18="",Besatzung!$B$6,Besatzung!$D$18)&gt;=B171)))*((G171-IFERROR(H171,0))/IFERROR(SUMPRODUCT((Besatzung!$B$11:$B$22&lt;&gt;"")*(IF(Besatzung!$C$11:$C$22="",Besatzung!$B$5,Besatzung!$C$11:$C$22)&lt;=B171)*(IF(Besatzung!$D$11:$D$22="",Besatzung!$B$6,Besatzung!$D$11:$D$22)&gt;=B171)),1)+(Besatzung!$F$18="x")*IFERROR(H171,0)/IFERROR(SUMPRODUCT((Besatzung!$B$11:$B$22&lt;&gt;"")*(Besatzung!$F$11:$F$22="x")*(IF(Besatzung!$C$11:$C$22="",Besatzung!$B$5,Besatzung!$C$11:$C$22)&lt;=B171)*(IF(Besatzung!$D$11:$D$22="",Besatzung!$B$6,Besatzung!$D$11:$D$22)&gt;=B171)),1))),IF(I171="Individuell",((Q171="x")*((G171-IFERROR(H171,0))/IFERROR(COUNTIF(J171:U171,"x"),1)+(Besatzung!$F$18="x")*IFERROR(H171,0)/IFERROR(SUMPRODUCT((J171:U171="x")*(Besatzung!$F$11:$F$22="x")),1))),(IF(COUNTIF(J171:U171,"x")=0,IF(Besatzung!$B$18&lt;&gt;"",1,0),(Q171="x"))*(G171-IFERROR(H171,0))/IFERROR(IF(COUNTIF(J171:U171,"x")=0,COUNTA(Besatzung!$B$11:$B$22),COUNTIF(J171:U171,"x")),1)+IF(COUNTIF(J171:U171,"x")=0,(Besatzung!$F$18="x"),(Q171="x")*(Besatzung!$F$18="x"))*IFERROR(H171,0)/IFERROR(IF(COUNTIF(J171:U171,"x")=0,SUMPRODUCT((Besatzung!$B$11:$B$22&lt;&gt;"")*(Besatzung!$F$11:$F$22="x")),SUMPRODUCT((J171:U171="x")*(Besatzung!$F$11:$F$22="x"))),1))))),0))))</f>
        <v/>
      </c>
      <c r="AD171" s="247">
        <f>IF(C171="Gutschrift","",IF(G171="","",IF(Besatzung!$B$19="","",IFERROR(IF(I171="Zeitanteilig",(Besatzung!$G$19*(G171-IFERROR(H171,0))+((Besatzung!$B$19&lt;&gt;"")*IF(B171="",1,(IF(Besatzung!$C$19="",Besatzung!$B$5,Besatzung!$C$19)&lt;=B171)*(IF(Besatzung!$D$19="",Besatzung!$B$6,Besatzung!$D$19)&gt;=B171)))*(Besatzung!$F$19="x")*IFERROR(H171,0)/IFERROR(SUMPRODUCT((Besatzung!$B$11:$B$22&lt;&gt;"")*(Besatzung!$F$11:$F$22="x")*(IF(Besatzung!$C$11:$C$22="",Besatzung!$B$5,Besatzung!$C$11:$C$22)&lt;=B171)*(IF(Besatzung!$D$11:$D$22="",Besatzung!$B$6,Besatzung!$D$11:$D$22)&gt;=B171)),1)),IF(I171="An Bord",(((Besatzung!$B$19&lt;&gt;"")*IF(B171="",1,(IF(Besatzung!$C$19="",Besatzung!$B$5,Besatzung!$C$19)&lt;=B171)*(IF(Besatzung!$D$19="",Besatzung!$B$6,Besatzung!$D$19)&gt;=B171)))*((G171-IFERROR(H171,0))/IFERROR(SUMPRODUCT((Besatzung!$B$11:$B$22&lt;&gt;"")*(IF(Besatzung!$C$11:$C$22="",Besatzung!$B$5,Besatzung!$C$11:$C$22)&lt;=B171)*(IF(Besatzung!$D$11:$D$22="",Besatzung!$B$6,Besatzung!$D$11:$D$22)&gt;=B171)),1)+(Besatzung!$F$19="x")*IFERROR(H171,0)/IFERROR(SUMPRODUCT((Besatzung!$B$11:$B$22&lt;&gt;"")*(Besatzung!$F$11:$F$22="x")*(IF(Besatzung!$C$11:$C$22="",Besatzung!$B$5,Besatzung!$C$11:$C$22)&lt;=B171)*(IF(Besatzung!$D$11:$D$22="",Besatzung!$B$6,Besatzung!$D$11:$D$22)&gt;=B171)),1))),IF(I171="Individuell",((R171="x")*((G171-IFERROR(H171,0))/IFERROR(COUNTIF(J171:U171,"x"),1)+(Besatzung!$F$19="x")*IFERROR(H171,0)/IFERROR(SUMPRODUCT((J171:U171="x")*(Besatzung!$F$11:$F$22="x")),1))),(IF(COUNTIF(J171:U171,"x")=0,IF(Besatzung!$B$19&lt;&gt;"",1,0),(R171="x"))*(G171-IFERROR(H171,0))/IFERROR(IF(COUNTIF(J171:U171,"x")=0,COUNTA(Besatzung!$B$11:$B$22),COUNTIF(J171:U171,"x")),1)+IF(COUNTIF(J171:U171,"x")=0,(Besatzung!$F$19="x"),(R171="x")*(Besatzung!$F$19="x"))*IFERROR(H171,0)/IFERROR(IF(COUNTIF(J171:U171,"x")=0,SUMPRODUCT((Besatzung!$B$11:$B$22&lt;&gt;"")*(Besatzung!$F$11:$F$22="x")),SUMPRODUCT((J171:U171="x")*(Besatzung!$F$11:$F$22="x"))),1))))),0))))</f>
        <v/>
      </c>
      <c r="AE171" s="247">
        <f>IF(C171="Gutschrift","",IF(G171="","",IF(Besatzung!$B$20="","",IFERROR(IF(I171="Zeitanteilig",(Besatzung!$G$20*(G171-IFERROR(H171,0))+((Besatzung!$B$20&lt;&gt;"")*IF(B171="",1,(IF(Besatzung!$C$20="",Besatzung!$B$5,Besatzung!$C$20)&lt;=B171)*(IF(Besatzung!$D$20="",Besatzung!$B$6,Besatzung!$D$20)&gt;=B171)))*(Besatzung!$F$20="x")*IFERROR(H171,0)/IFERROR(SUMPRODUCT((Besatzung!$B$11:$B$22&lt;&gt;"")*(Besatzung!$F$11:$F$22="x")*(IF(Besatzung!$C$11:$C$22="",Besatzung!$B$5,Besatzung!$C$11:$C$22)&lt;=B171)*(IF(Besatzung!$D$11:$D$22="",Besatzung!$B$6,Besatzung!$D$11:$D$22)&gt;=B171)),1)),IF(I171="An Bord",(((Besatzung!$B$20&lt;&gt;"")*IF(B171="",1,(IF(Besatzung!$C$20="",Besatzung!$B$5,Besatzung!$C$20)&lt;=B171)*(IF(Besatzung!$D$20="",Besatzung!$B$6,Besatzung!$D$20)&gt;=B171)))*((G171-IFERROR(H171,0))/IFERROR(SUMPRODUCT((Besatzung!$B$11:$B$22&lt;&gt;"")*(IF(Besatzung!$C$11:$C$22="",Besatzung!$B$5,Besatzung!$C$11:$C$22)&lt;=B171)*(IF(Besatzung!$D$11:$D$22="",Besatzung!$B$6,Besatzung!$D$11:$D$22)&gt;=B171)),1)+(Besatzung!$F$20="x")*IFERROR(H171,0)/IFERROR(SUMPRODUCT((Besatzung!$B$11:$B$22&lt;&gt;"")*(Besatzung!$F$11:$F$22="x")*(IF(Besatzung!$C$11:$C$22="",Besatzung!$B$5,Besatzung!$C$11:$C$22)&lt;=B171)*(IF(Besatzung!$D$11:$D$22="",Besatzung!$B$6,Besatzung!$D$11:$D$22)&gt;=B171)),1))),IF(I171="Individuell",((S171="x")*((G171-IFERROR(H171,0))/IFERROR(COUNTIF(J171:U171,"x"),1)+(Besatzung!$F$20="x")*IFERROR(H171,0)/IFERROR(SUMPRODUCT((J171:U171="x")*(Besatzung!$F$11:$F$22="x")),1))),(IF(COUNTIF(J171:U171,"x")=0,IF(Besatzung!$B$20&lt;&gt;"",1,0),(S171="x"))*(G171-IFERROR(H171,0))/IFERROR(IF(COUNTIF(J171:U171,"x")=0,COUNTA(Besatzung!$B$11:$B$22),COUNTIF(J171:U171,"x")),1)+IF(COUNTIF(J171:U171,"x")=0,(Besatzung!$F$20="x"),(S171="x")*(Besatzung!$F$20="x"))*IFERROR(H171,0)/IFERROR(IF(COUNTIF(J171:U171,"x")=0,SUMPRODUCT((Besatzung!$B$11:$B$22&lt;&gt;"")*(Besatzung!$F$11:$F$22="x")),SUMPRODUCT((J171:U171="x")*(Besatzung!$F$11:$F$22="x"))),1))))),0))))</f>
        <v/>
      </c>
      <c r="AF171" s="247">
        <f>IF(C171="Gutschrift","",IF(G171="","",IF(Besatzung!$B$21="","",IFERROR(IF(I171="Zeitanteilig",(Besatzung!$G$21*(G171-IFERROR(H171,0))+((Besatzung!$B$21&lt;&gt;"")*IF(B171="",1,(IF(Besatzung!$C$21="",Besatzung!$B$5,Besatzung!$C$21)&lt;=B171)*(IF(Besatzung!$D$21="",Besatzung!$B$6,Besatzung!$D$21)&gt;=B171)))*(Besatzung!$F$21="x")*IFERROR(H171,0)/IFERROR(SUMPRODUCT((Besatzung!$B$11:$B$22&lt;&gt;"")*(Besatzung!$F$11:$F$22="x")*(IF(Besatzung!$C$11:$C$22="",Besatzung!$B$5,Besatzung!$C$11:$C$22)&lt;=B171)*(IF(Besatzung!$D$11:$D$22="",Besatzung!$B$6,Besatzung!$D$11:$D$22)&gt;=B171)),1)),IF(I171="An Bord",(((Besatzung!$B$21&lt;&gt;"")*IF(B171="",1,(IF(Besatzung!$C$21="",Besatzung!$B$5,Besatzung!$C$21)&lt;=B171)*(IF(Besatzung!$D$21="",Besatzung!$B$6,Besatzung!$D$21)&gt;=B171)))*((G171-IFERROR(H171,0))/IFERROR(SUMPRODUCT((Besatzung!$B$11:$B$22&lt;&gt;"")*(IF(Besatzung!$C$11:$C$22="",Besatzung!$B$5,Besatzung!$C$11:$C$22)&lt;=B171)*(IF(Besatzung!$D$11:$D$22="",Besatzung!$B$6,Besatzung!$D$11:$D$22)&gt;=B171)),1)+(Besatzung!$F$21="x")*IFERROR(H171,0)/IFERROR(SUMPRODUCT((Besatzung!$B$11:$B$22&lt;&gt;"")*(Besatzung!$F$11:$F$22="x")*(IF(Besatzung!$C$11:$C$22="",Besatzung!$B$5,Besatzung!$C$11:$C$22)&lt;=B171)*(IF(Besatzung!$D$11:$D$22="",Besatzung!$B$6,Besatzung!$D$11:$D$22)&gt;=B171)),1))),IF(I171="Individuell",((T171="x")*((G171-IFERROR(H171,0))/IFERROR(COUNTIF(J171:U171,"x"),1)+(Besatzung!$F$21="x")*IFERROR(H171,0)/IFERROR(SUMPRODUCT((J171:U171="x")*(Besatzung!$F$11:$F$22="x")),1))),(IF(COUNTIF(J171:U171,"x")=0,IF(Besatzung!$B$21&lt;&gt;"",1,0),(T171="x"))*(G171-IFERROR(H171,0))/IFERROR(IF(COUNTIF(J171:U171,"x")=0,COUNTA(Besatzung!$B$11:$B$22),COUNTIF(J171:U171,"x")),1)+IF(COUNTIF(J171:U171,"x")=0,(Besatzung!$F$21="x"),(T171="x")*(Besatzung!$F$21="x"))*IFERROR(H171,0)/IFERROR(IF(COUNTIF(J171:U171,"x")=0,SUMPRODUCT((Besatzung!$B$11:$B$22&lt;&gt;"")*(Besatzung!$F$11:$F$22="x")),SUMPRODUCT((J171:U171="x")*(Besatzung!$F$11:$F$22="x"))),1))))),0))))</f>
        <v/>
      </c>
      <c r="AG171" s="247">
        <f>IF(C171="Gutschrift","",IF(G171="","",IF(Besatzung!$B$22="","",IFERROR(IF(I171="Zeitanteilig",(Besatzung!$G$22*(G171-IFERROR(H171,0))+((Besatzung!$B$22&lt;&gt;"")*IF(B171="",1,(IF(Besatzung!$C$22="",Besatzung!$B$5,Besatzung!$C$22)&lt;=B171)*(IF(Besatzung!$D$22="",Besatzung!$B$6,Besatzung!$D$22)&gt;=B171)))*(Besatzung!$F$22="x")*IFERROR(H171,0)/IFERROR(SUMPRODUCT((Besatzung!$B$11:$B$22&lt;&gt;"")*(Besatzung!$F$11:$F$22="x")*(IF(Besatzung!$C$11:$C$22="",Besatzung!$B$5,Besatzung!$C$11:$C$22)&lt;=B171)*(IF(Besatzung!$D$11:$D$22="",Besatzung!$B$6,Besatzung!$D$11:$D$22)&gt;=B171)),1)),IF(I171="An Bord",(((Besatzung!$B$22&lt;&gt;"")*IF(B171="",1,(IF(Besatzung!$C$22="",Besatzung!$B$5,Besatzung!$C$22)&lt;=B171)*(IF(Besatzung!$D$22="",Besatzung!$B$6,Besatzung!$D$22)&gt;=B171)))*((G171-IFERROR(H171,0))/IFERROR(SUMPRODUCT((Besatzung!$B$11:$B$22&lt;&gt;"")*(IF(Besatzung!$C$11:$C$22="",Besatzung!$B$5,Besatzung!$C$11:$C$22)&lt;=B171)*(IF(Besatzung!$D$11:$D$22="",Besatzung!$B$6,Besatzung!$D$11:$D$22)&gt;=B171)),1)+(Besatzung!$F$22="x")*IFERROR(H171,0)/IFERROR(SUMPRODUCT((Besatzung!$B$11:$B$22&lt;&gt;"")*(Besatzung!$F$11:$F$22="x")*(IF(Besatzung!$C$11:$C$22="",Besatzung!$B$5,Besatzung!$C$11:$C$22)&lt;=B171)*(IF(Besatzung!$D$11:$D$22="",Besatzung!$B$6,Besatzung!$D$11:$D$22)&gt;=B171)),1))),IF(I171="Individuell",((U171="x")*((G171-IFERROR(H171,0))/IFERROR(COUNTIF(J171:U171,"x"),1)+(Besatzung!$F$22="x")*IFERROR(H171,0)/IFERROR(SUMPRODUCT((J171:U171="x")*(Besatzung!$F$11:$F$22="x")),1))),(IF(COUNTIF(J171:U171,"x")=0,IF(Besatzung!$B$22&lt;&gt;"",1,0),(U171="x"))*(G171-IFERROR(H171,0))/IFERROR(IF(COUNTIF(J171:U171,"x")=0,COUNTA(Besatzung!$B$11:$B$22),COUNTIF(J171:U171,"x")),1)+IF(COUNTIF(J171:U171,"x")=0,(Besatzung!$F$22="x"),(U171="x")*(Besatzung!$F$22="x"))*IFERROR(H171,0)/IFERROR(IF(COUNTIF(J171:U171,"x")=0,SUMPRODUCT((Besatzung!$B$11:$B$22&lt;&gt;"")*(Besatzung!$F$11:$F$22="x")),SUMPRODUCT((J171:U171="x")*(Besatzung!$F$11:$F$22="x"))),1))))),0))))</f>
        <v/>
      </c>
      <c r="AH171" s="248" t="n"/>
      <c r="AI171" s="248" t="n"/>
    </row>
    <row r="172" ht="21.75" customHeight="1" s="154">
      <c r="A172" s="238">
        <f>IF(AND(D172="",C172=""),"",169)</f>
        <v/>
      </c>
      <c r="B172" s="199" t="n"/>
      <c r="C172" s="239" t="n"/>
      <c r="D172" s="240" t="n"/>
      <c r="E172" s="241" t="n"/>
      <c r="F172" s="242" t="n"/>
      <c r="G172" s="243" t="n"/>
      <c r="H172" s="244" t="n"/>
      <c r="I172" s="245" t="n"/>
      <c r="J172" s="246" t="n"/>
      <c r="K172" s="246" t="n"/>
      <c r="L172" s="246" t="n"/>
      <c r="M172" s="246" t="n"/>
      <c r="N172" s="246" t="n"/>
      <c r="O172" s="246" t="n"/>
      <c r="P172" s="246" t="n"/>
      <c r="Q172" s="246" t="n"/>
      <c r="R172" s="246" t="n"/>
      <c r="S172" s="246" t="n"/>
      <c r="T172" s="246" t="n"/>
      <c r="U172" s="246" t="n"/>
      <c r="V172" s="247">
        <f>IF(C172="Gutschrift","",IF(G172="","",IF(Besatzung!$B$11="","",IFERROR(IF(I172="Zeitanteilig",(Besatzung!$G$11*(G172-IFERROR(H172,0))+((Besatzung!$B$11&lt;&gt;"")*IF(B172="",1,(IF(Besatzung!$C$11="",Besatzung!$B$5,Besatzung!$C$11)&lt;=B172)*(IF(Besatzung!$D$11="",Besatzung!$B$6,Besatzung!$D$11)&gt;=B172)))*(Besatzung!$F$11="x")*IFERROR(H172,0)/IFERROR(SUMPRODUCT((Besatzung!$B$11:$B$22&lt;&gt;"")*(Besatzung!$F$11:$F$22="x")*(IF(Besatzung!$C$11:$C$22="",Besatzung!$B$5,Besatzung!$C$11:$C$22)&lt;=B172)*(IF(Besatzung!$D$11:$D$22="",Besatzung!$B$6,Besatzung!$D$11:$D$22)&gt;=B172)),1)),IF(I172="An Bord",(((Besatzung!$B$11&lt;&gt;"")*IF(B172="",1,(IF(Besatzung!$C$11="",Besatzung!$B$5,Besatzung!$C$11)&lt;=B172)*(IF(Besatzung!$D$11="",Besatzung!$B$6,Besatzung!$D$11)&gt;=B172)))*((G172-IFERROR(H172,0))/IFERROR(SUMPRODUCT((Besatzung!$B$11:$B$22&lt;&gt;"")*(IF(Besatzung!$C$11:$C$22="",Besatzung!$B$5,Besatzung!$C$11:$C$22)&lt;=B172)*(IF(Besatzung!$D$11:$D$22="",Besatzung!$B$6,Besatzung!$D$11:$D$22)&gt;=B172)),1)+(Besatzung!$F$11="x")*IFERROR(H172,0)/IFERROR(SUMPRODUCT((Besatzung!$B$11:$B$22&lt;&gt;"")*(Besatzung!$F$11:$F$22="x")*(IF(Besatzung!$C$11:$C$22="",Besatzung!$B$5,Besatzung!$C$11:$C$22)&lt;=B172)*(IF(Besatzung!$D$11:$D$22="",Besatzung!$B$6,Besatzung!$D$11:$D$22)&gt;=B172)),1))),IF(I172="Individuell",((J172="x")*((G172-IFERROR(H172,0))/IFERROR(COUNTIF(J172:U172,"x"),1)+(Besatzung!$F$11="x")*IFERROR(H172,0)/IFERROR(SUMPRODUCT((J172:U172="x")*(Besatzung!$F$11:$F$22="x")),1))),(IF(COUNTIF(J172:U172,"x")=0,IF(Besatzung!$B$11&lt;&gt;"",1,0),(J172="x"))*(G172-IFERROR(H172,0))/IFERROR(IF(COUNTIF(J172:U172,"x")=0,COUNTA(Besatzung!$B$11:$B$22),COUNTIF(J172:U172,"x")),1)+IF(COUNTIF(J172:U172,"x")=0,(Besatzung!$F$11="x"),(J172="x")*(Besatzung!$F$11="x"))*IFERROR(H172,0)/IFERROR(IF(COUNTIF(J172:U172,"x")=0,SUMPRODUCT((Besatzung!$B$11:$B$22&lt;&gt;"")*(Besatzung!$F$11:$F$22="x")),SUMPRODUCT((J172:U172="x")*(Besatzung!$F$11:$F$22="x"))),1))))),0))))</f>
        <v/>
      </c>
      <c r="W172" s="247">
        <f>IF(C172="Gutschrift","",IF(G172="","",IF(Besatzung!$B$12="","",IFERROR(IF(I172="Zeitanteilig",(Besatzung!$G$12*(G172-IFERROR(H172,0))+((Besatzung!$B$12&lt;&gt;"")*IF(B172="",1,(IF(Besatzung!$C$12="",Besatzung!$B$5,Besatzung!$C$12)&lt;=B172)*(IF(Besatzung!$D$12="",Besatzung!$B$6,Besatzung!$D$12)&gt;=B172)))*(Besatzung!$F$12="x")*IFERROR(H172,0)/IFERROR(SUMPRODUCT((Besatzung!$B$11:$B$22&lt;&gt;"")*(Besatzung!$F$11:$F$22="x")*(IF(Besatzung!$C$11:$C$22="",Besatzung!$B$5,Besatzung!$C$11:$C$22)&lt;=B172)*(IF(Besatzung!$D$11:$D$22="",Besatzung!$B$6,Besatzung!$D$11:$D$22)&gt;=B172)),1)),IF(I172="An Bord",(((Besatzung!$B$12&lt;&gt;"")*IF(B172="",1,(IF(Besatzung!$C$12="",Besatzung!$B$5,Besatzung!$C$12)&lt;=B172)*(IF(Besatzung!$D$12="",Besatzung!$B$6,Besatzung!$D$12)&gt;=B172)))*((G172-IFERROR(H172,0))/IFERROR(SUMPRODUCT((Besatzung!$B$11:$B$22&lt;&gt;"")*(IF(Besatzung!$C$11:$C$22="",Besatzung!$B$5,Besatzung!$C$11:$C$22)&lt;=B172)*(IF(Besatzung!$D$11:$D$22="",Besatzung!$B$6,Besatzung!$D$11:$D$22)&gt;=B172)),1)+(Besatzung!$F$12="x")*IFERROR(H172,0)/IFERROR(SUMPRODUCT((Besatzung!$B$11:$B$22&lt;&gt;"")*(Besatzung!$F$11:$F$22="x")*(IF(Besatzung!$C$11:$C$22="",Besatzung!$B$5,Besatzung!$C$11:$C$22)&lt;=B172)*(IF(Besatzung!$D$11:$D$22="",Besatzung!$B$6,Besatzung!$D$11:$D$22)&gt;=B172)),1))),IF(I172="Individuell",((K172="x")*((G172-IFERROR(H172,0))/IFERROR(COUNTIF(J172:U172,"x"),1)+(Besatzung!$F$12="x")*IFERROR(H172,0)/IFERROR(SUMPRODUCT((J172:U172="x")*(Besatzung!$F$11:$F$22="x")),1))),(IF(COUNTIF(J172:U172,"x")=0,IF(Besatzung!$B$12&lt;&gt;"",1,0),(K172="x"))*(G172-IFERROR(H172,0))/IFERROR(IF(COUNTIF(J172:U172,"x")=0,COUNTA(Besatzung!$B$11:$B$22),COUNTIF(J172:U172,"x")),1)+IF(COUNTIF(J172:U172,"x")=0,(Besatzung!$F$12="x"),(K172="x")*(Besatzung!$F$12="x"))*IFERROR(H172,0)/IFERROR(IF(COUNTIF(J172:U172,"x")=0,SUMPRODUCT((Besatzung!$B$11:$B$22&lt;&gt;"")*(Besatzung!$F$11:$F$22="x")),SUMPRODUCT((J172:U172="x")*(Besatzung!$F$11:$F$22="x"))),1))))),0))))</f>
        <v/>
      </c>
      <c r="X172" s="247">
        <f>IF(C172="Gutschrift","",IF(G172="","",IF(Besatzung!$B$13="","",IFERROR(IF(I172="Zeitanteilig",(Besatzung!$G$13*(G172-IFERROR(H172,0))+((Besatzung!$B$13&lt;&gt;"")*IF(B172="",1,(IF(Besatzung!$C$13="",Besatzung!$B$5,Besatzung!$C$13)&lt;=B172)*(IF(Besatzung!$D$13="",Besatzung!$B$6,Besatzung!$D$13)&gt;=B172)))*(Besatzung!$F$13="x")*IFERROR(H172,0)/IFERROR(SUMPRODUCT((Besatzung!$B$11:$B$22&lt;&gt;"")*(Besatzung!$F$11:$F$22="x")*(IF(Besatzung!$C$11:$C$22="",Besatzung!$B$5,Besatzung!$C$11:$C$22)&lt;=B172)*(IF(Besatzung!$D$11:$D$22="",Besatzung!$B$6,Besatzung!$D$11:$D$22)&gt;=B172)),1)),IF(I172="An Bord",(((Besatzung!$B$13&lt;&gt;"")*IF(B172="",1,(IF(Besatzung!$C$13="",Besatzung!$B$5,Besatzung!$C$13)&lt;=B172)*(IF(Besatzung!$D$13="",Besatzung!$B$6,Besatzung!$D$13)&gt;=B172)))*((G172-IFERROR(H172,0))/IFERROR(SUMPRODUCT((Besatzung!$B$11:$B$22&lt;&gt;"")*(IF(Besatzung!$C$11:$C$22="",Besatzung!$B$5,Besatzung!$C$11:$C$22)&lt;=B172)*(IF(Besatzung!$D$11:$D$22="",Besatzung!$B$6,Besatzung!$D$11:$D$22)&gt;=B172)),1)+(Besatzung!$F$13="x")*IFERROR(H172,0)/IFERROR(SUMPRODUCT((Besatzung!$B$11:$B$22&lt;&gt;"")*(Besatzung!$F$11:$F$22="x")*(IF(Besatzung!$C$11:$C$22="",Besatzung!$B$5,Besatzung!$C$11:$C$22)&lt;=B172)*(IF(Besatzung!$D$11:$D$22="",Besatzung!$B$6,Besatzung!$D$11:$D$22)&gt;=B172)),1))),IF(I172="Individuell",((K172="x")*((G172-IFERROR(H172,0))/IFERROR(COUNTIF(J172:U172,"x"),1)+(Besatzung!$F$13="x")*IFERROR(H172,0)/IFERROR(SUMPRODUCT((J172:U172="x")*(Besatzung!$F$11:$F$22="x")),1))),(IF(COUNTIF(J172:U172,"x")=0,IF(Besatzung!$B$13&lt;&gt;"",1,0),(K172="x"))*(G172-IFERROR(H172,0))/IFERROR(IF(COUNTIF(J172:U172,"x")=0,COUNTA(Besatzung!$B$11:$B$22),COUNTIF(J172:U172,"x")),1)+IF(COUNTIF(J172:U172,"x")=0,(Besatzung!$F$13="x"),(K172="x")*(Besatzung!$F$13="x"))*IFERROR(H172,0)/IFERROR(IF(COUNTIF(J172:U172,"x")=0,SUMPRODUCT((Besatzung!$B$11:$B$22&lt;&gt;"")*(Besatzung!$F$11:$F$22="x")),SUMPRODUCT((J172:U172="x")*(Besatzung!$F$11:$F$22="x"))),1))))),0))))</f>
        <v/>
      </c>
      <c r="Y172" s="247">
        <f>IF(C172="Gutschrift","",IF(G172="","",IF(Besatzung!$B$14="","",IFERROR(IF(I172="Zeitanteilig",(Besatzung!$G$14*(G172-IFERROR(H172,0))+((Besatzung!$B$14&lt;&gt;"")*IF(B172="",1,(IF(Besatzung!$C$14="",Besatzung!$B$5,Besatzung!$C$14)&lt;=B172)*(IF(Besatzung!$D$14="",Besatzung!$B$6,Besatzung!$D$14)&gt;=B172)))*(Besatzung!$F$14="x")*IFERROR(H172,0)/IFERROR(SUMPRODUCT((Besatzung!$B$11:$B$22&lt;&gt;"")*(Besatzung!$F$11:$F$22="x")*(IF(Besatzung!$C$11:$C$22="",Besatzung!$B$5,Besatzung!$C$11:$C$22)&lt;=B172)*(IF(Besatzung!$D$11:$D$22="",Besatzung!$B$6,Besatzung!$D$11:$D$22)&gt;=B172)),1)),IF(I172="An Bord",(((Besatzung!$B$14&lt;&gt;"")*IF(B172="",1,(IF(Besatzung!$C$14="",Besatzung!$B$5,Besatzung!$C$14)&lt;=B172)*(IF(Besatzung!$D$14="",Besatzung!$B$6,Besatzung!$D$14)&gt;=B172)))*((G172-IFERROR(H172,0))/IFERROR(SUMPRODUCT((Besatzung!$B$11:$B$22&lt;&gt;"")*(IF(Besatzung!$C$11:$C$22="",Besatzung!$B$5,Besatzung!$C$11:$C$22)&lt;=B172)*(IF(Besatzung!$D$11:$D$22="",Besatzung!$B$6,Besatzung!$D$11:$D$22)&gt;=B172)),1)+(Besatzung!$F$14="x")*IFERROR(H172,0)/IFERROR(SUMPRODUCT((Besatzung!$B$11:$B$22&lt;&gt;"")*(Besatzung!$F$11:$F$22="x")*(IF(Besatzung!$C$11:$C$22="",Besatzung!$B$5,Besatzung!$C$11:$C$22)&lt;=B172)*(IF(Besatzung!$D$11:$D$22="",Besatzung!$B$6,Besatzung!$D$11:$D$22)&gt;=B172)),1))),IF(I172="Individuell",((M172="x")*((G172-IFERROR(H172,0))/IFERROR(COUNTIF(J172:U172,"x"),1)+(Besatzung!$F$14="x")*IFERROR(H172,0)/IFERROR(SUMPRODUCT((J172:U172="x")*(Besatzung!$F$11:$F$22="x")),1))),(IF(COUNTIF(J172:U172,"x")=0,IF(Besatzung!$B$14&lt;&gt;"",1,0),(M172="x"))*(G172-IFERROR(H172,0))/IFERROR(IF(COUNTIF(J172:U172,"x")=0,COUNTA(Besatzung!$B$11:$B$22),COUNTIF(J172:U172,"x")),1)+IF(COUNTIF(J172:U172,"x")=0,(Besatzung!$F$14="x"),(M172="x")*(Besatzung!$F$14="x"))*IFERROR(H172,0)/IFERROR(IF(COUNTIF(J172:U172,"x")=0,SUMPRODUCT((Besatzung!$B$11:$B$22&lt;&gt;"")*(Besatzung!$F$11:$F$22="x")),SUMPRODUCT((J172:U172="x")*(Besatzung!$F$11:$F$22="x"))),1))))),0))))</f>
        <v/>
      </c>
      <c r="Z172" s="247">
        <f>IF(C172="Gutschrift","",IF(G172="","",IF(Besatzung!$B$13="","",IFERROR(IF(I172="Zeitanteilig",(Besatzung!$G$15*(G172-IFERROR(H172,0))+((Besatzung!$B$13&lt;&gt;"")*IF(B172="",1,(IF(Besatzung!$C$15="",Besatzung!$B$5,Besatzung!$C$15)&lt;=B172)*(IF(Besatzung!$D$15="",Besatzung!$B$6,Besatzung!$D$15)&gt;=B172)))*(Besatzung!$F$15="x")*IFERROR(H172,0)/IFERROR(SUMPRODUCT((Besatzung!$B$11:$B$22&lt;&gt;"")*(Besatzung!$F$11:$F$22="x")*(IF(Besatzung!$C$11:$C$22="",Besatzung!$B$5,Besatzung!$C$11:$C$22)&lt;=B172)*(IF(Besatzung!$D$11:$D$22="",Besatzung!$B$6,Besatzung!$D$11:$D$22)&gt;=B172)),1)),IF(I172="An Bord",(((Besatzung!$B$13&lt;&gt;"")*IF(B172="",1,(IF(Besatzung!$C$15="",Besatzung!$B$5,Besatzung!$C$15)&lt;=B172)*(IF(Besatzung!$D$15="",Besatzung!$B$6,Besatzung!$D$15)&gt;=B172)))*((G172-IFERROR(H172,0))/IFERROR(SUMPRODUCT((Besatzung!$B$11:$B$22&lt;&gt;"")*(IF(Besatzung!$C$11:$C$22="",Besatzung!$B$5,Besatzung!$C$11:$C$22)&lt;=B172)*(IF(Besatzung!$D$11:$D$22="",Besatzung!$B$6,Besatzung!$D$11:$D$22)&gt;=B172)),1)+(Besatzung!$F$15="x")*IFERROR(H172,0)/IFERROR(SUMPRODUCT((Besatzung!$B$11:$B$22&lt;&gt;"")*(Besatzung!$F$11:$F$22="x")*(IF(Besatzung!$C$11:$C$22="",Besatzung!$B$5,Besatzung!$C$11:$C$22)&lt;=B172)*(IF(Besatzung!$D$11:$D$22="",Besatzung!$B$6,Besatzung!$D$11:$D$22)&gt;=B172)),1))),IF(I172="Individuell",((N172="x")*((G172-IFERROR(H172,0))/IFERROR(COUNTIF(J172:U172,"x"),1)+(Besatzung!$F$15="x")*IFERROR(H172,0)/IFERROR(SUMPRODUCT((J172:U172="x")*(Besatzung!$F$11:$F$22="x")),1))),(IF(COUNTIF(J172:U172,"x")=0,IF(Besatzung!$B$13&lt;&gt;"",1,0),(N172="x"))*(G172-IFERROR(H172,0))/IFERROR(IF(COUNTIF(J172:U172,"x")=0,COUNTA(Besatzung!$B$11:$B$22),COUNTIF(J172:U172,"x")),1)+IF(COUNTIF(J172:U172,"x")=0,(Besatzung!$F$15="x"),(N172="x")*(Besatzung!$F$15="x"))*IFERROR(H172,0)/IFERROR(IF(COUNTIF(J172:U172,"x")=0,SUMPRODUCT((Besatzung!$B$11:$B$22&lt;&gt;"")*(Besatzung!$F$11:$F$22="x")),SUMPRODUCT((J172:U172="x")*(Besatzung!$F$11:$F$22="x"))),1))))),0))))</f>
        <v/>
      </c>
      <c r="AA172" s="247">
        <f>IF(C172="Gutschrift","",IF(G172="","",IF(Besatzung!$B$15="","",IFERROR(IF(I172="Zeitanteilig",(Besatzung!$G$16*(G172-IFERROR(H172,0))+((Besatzung!$B$15&lt;&gt;"")*IF(B172="",1,(IF(Besatzung!$C$16="",Besatzung!$B$5,Besatzung!$C$16)&lt;=B172)*(IF(Besatzung!$D$16="",Besatzung!$B$6,Besatzung!$D$16)&gt;=B172)))*(Besatzung!$F$16="x")*IFERROR(H172,0)/IFERROR(SUMPRODUCT((Besatzung!$B$11:$B$22&lt;&gt;"")*(Besatzung!$F$11:$F$22="x")*(IF(Besatzung!$C$11:$C$22="",Besatzung!$B$5,Besatzung!$C$11:$C$22)&lt;=B172)*(IF(Besatzung!$D$11:$D$22="",Besatzung!$B$6,Besatzung!$D$11:$D$22)&gt;=B172)),1)),IF(I172="An Bord",(((Besatzung!$B$15&lt;&gt;"")*IF(B172="",1,(IF(Besatzung!$C$16="",Besatzung!$B$5,Besatzung!$C$16)&lt;=B172)*(IF(Besatzung!$D$16="",Besatzung!$B$6,Besatzung!$D$16)&gt;=B172)))*((G172-IFERROR(H172,0))/IFERROR(SUMPRODUCT((Besatzung!$B$11:$B$22&lt;&gt;"")*(IF(Besatzung!$C$11:$C$22="",Besatzung!$B$5,Besatzung!$C$11:$C$22)&lt;=B172)*(IF(Besatzung!$D$11:$D$22="",Besatzung!$B$6,Besatzung!$D$11:$D$22)&gt;=B172)),1)+(Besatzung!$F$16="x")*IFERROR(H172,0)/IFERROR(SUMPRODUCT((Besatzung!$B$11:$B$22&lt;&gt;"")*(Besatzung!$F$11:$F$22="x")*(IF(Besatzung!$C$11:$C$22="",Besatzung!$B$5,Besatzung!$C$11:$C$22)&lt;=B172)*(IF(Besatzung!$D$11:$D$22="",Besatzung!$B$6,Besatzung!$D$11:$D$22)&gt;=B172)),1))),IF(I172="Individuell",((O172="x")*((G172-IFERROR(H172,0))/IFERROR(COUNTIF(J172:U172,"x"),1)+(Besatzung!$F$16="x")*IFERROR(H172,0)/IFERROR(SUMPRODUCT((J172:U172="x")*(Besatzung!$F$11:$F$22="x")),1))),(IF(COUNTIF(J172:U172,"x")=0,IF(Besatzung!$B$15&lt;&gt;"",1,0),(O172="x"))*(G172-IFERROR(H172,0))/IFERROR(IF(COUNTIF(J172:U172,"x")=0,COUNTA(Besatzung!$B$11:$B$22),COUNTIF(J172:U172,"x")),1)+IF(COUNTIF(J172:U172,"x")=0,(Besatzung!$F$16="x"),(O172="x")*(Besatzung!$F$16="x"))*IFERROR(H172,0)/IFERROR(IF(COUNTIF(J172:U172,"x")=0,SUMPRODUCT((Besatzung!$B$11:$B$22&lt;&gt;"")*(Besatzung!$F$11:$F$22="x")),SUMPRODUCT((J172:U172="x")*(Besatzung!$F$11:$F$22="x"))),1))))),0))))</f>
        <v/>
      </c>
      <c r="AB172" s="247">
        <f>IF(C172="Gutschrift","",IF(G172="","",IF(Besatzung!$B$17="","",IFERROR(IF(I172="Zeitanteilig",(Besatzung!$G$17*(G172-IFERROR(H172,0))+((Besatzung!$B$17&lt;&gt;"")*IF(B172="",1,(IF(Besatzung!$C$17="",Besatzung!$B$5,Besatzung!$C$17)&lt;=B172)*(IF(Besatzung!$D$17="",Besatzung!$B$6,Besatzung!$D$17)&gt;=B172)))*(Besatzung!$F$17="x")*IFERROR(H172,0)/IFERROR(SUMPRODUCT((Besatzung!$B$11:$B$22&lt;&gt;"")*(Besatzung!$F$11:$F$22="x")*(IF(Besatzung!$C$11:$C$22="",Besatzung!$B$5,Besatzung!$C$11:$C$22)&lt;=B172)*(IF(Besatzung!$D$11:$D$22="",Besatzung!$B$6,Besatzung!$D$11:$D$22)&gt;=B172)),1)),IF(I172="An Bord",(((Besatzung!$B$17&lt;&gt;"")*IF(B172="",1,(IF(Besatzung!$C$17="",Besatzung!$B$5,Besatzung!$C$17)&lt;=B172)*(IF(Besatzung!$D$17="",Besatzung!$B$6,Besatzung!$D$17)&gt;=B172)))*((G172-IFERROR(H172,0))/IFERROR(SUMPRODUCT((Besatzung!$B$11:$B$22&lt;&gt;"")*(IF(Besatzung!$C$11:$C$22="",Besatzung!$B$5,Besatzung!$C$11:$C$22)&lt;=B172)*(IF(Besatzung!$D$11:$D$22="",Besatzung!$B$6,Besatzung!$D$11:$D$22)&gt;=B172)),1)+(Besatzung!$F$17="x")*IFERROR(H172,0)/IFERROR(SUMPRODUCT((Besatzung!$B$11:$B$22&lt;&gt;"")*(Besatzung!$F$11:$F$22="x")*(IF(Besatzung!$C$11:$C$22="",Besatzung!$B$5,Besatzung!$C$11:$C$22)&lt;=B172)*(IF(Besatzung!$D$11:$D$22="",Besatzung!$B$6,Besatzung!$D$11:$D$22)&gt;=B172)),1))),IF(I172="Individuell",((P172="x")*((G172-IFERROR(H172,0))/IFERROR(COUNTIF(J172:U172,"x"),1)+(Besatzung!$F$17="x")*IFERROR(H172,0)/IFERROR(SUMPRODUCT((J172:U172="x")*(Besatzung!$F$11:$F$22="x")),1))),(IF(COUNTIF(J172:U172,"x")=0,IF(Besatzung!$B$17&lt;&gt;"",1,0),(P172="x"))*(G172-IFERROR(H172,0))/IFERROR(IF(COUNTIF(J172:U172,"x")=0,COUNTA(Besatzung!$B$11:$B$22),COUNTIF(J172:U172,"x")),1)+IF(COUNTIF(J172:U172,"x")=0,(Besatzung!$F$17="x"),(P172="x")*(Besatzung!$F$17="x"))*IFERROR(H172,0)/IFERROR(IF(COUNTIF(J172:U172,"x")=0,SUMPRODUCT((Besatzung!$B$11:$B$22&lt;&gt;"")*(Besatzung!$F$11:$F$22="x")),SUMPRODUCT((J172:U172="x")*(Besatzung!$F$11:$F$22="x"))),1))))),0))))</f>
        <v/>
      </c>
      <c r="AC172" s="247">
        <f>IF(C172="Gutschrift","",IF(G172="","",IF(Besatzung!$B$18="","",IFERROR(IF(I172="Zeitanteilig",(Besatzung!$G$18*(G172-IFERROR(H172,0))+((Besatzung!$B$18&lt;&gt;"")*IF(B172="",1,(IF(Besatzung!$C$18="",Besatzung!$B$5,Besatzung!$C$18)&lt;=B172)*(IF(Besatzung!$D$18="",Besatzung!$B$6,Besatzung!$D$18)&gt;=B172)))*(Besatzung!$F$18="x")*IFERROR(H172,0)/IFERROR(SUMPRODUCT((Besatzung!$B$11:$B$22&lt;&gt;"")*(Besatzung!$F$11:$F$22="x")*(IF(Besatzung!$C$11:$C$22="",Besatzung!$B$5,Besatzung!$C$11:$C$22)&lt;=B172)*(IF(Besatzung!$D$11:$D$22="",Besatzung!$B$6,Besatzung!$D$11:$D$22)&gt;=B172)),1)),IF(I172="An Bord",(((Besatzung!$B$18&lt;&gt;"")*IF(B172="",1,(IF(Besatzung!$C$18="",Besatzung!$B$5,Besatzung!$C$18)&lt;=B172)*(IF(Besatzung!$D$18="",Besatzung!$B$6,Besatzung!$D$18)&gt;=B172)))*((G172-IFERROR(H172,0))/IFERROR(SUMPRODUCT((Besatzung!$B$11:$B$22&lt;&gt;"")*(IF(Besatzung!$C$11:$C$22="",Besatzung!$B$5,Besatzung!$C$11:$C$22)&lt;=B172)*(IF(Besatzung!$D$11:$D$22="",Besatzung!$B$6,Besatzung!$D$11:$D$22)&gt;=B172)),1)+(Besatzung!$F$18="x")*IFERROR(H172,0)/IFERROR(SUMPRODUCT((Besatzung!$B$11:$B$22&lt;&gt;"")*(Besatzung!$F$11:$F$22="x")*(IF(Besatzung!$C$11:$C$22="",Besatzung!$B$5,Besatzung!$C$11:$C$22)&lt;=B172)*(IF(Besatzung!$D$11:$D$22="",Besatzung!$B$6,Besatzung!$D$11:$D$22)&gt;=B172)),1))),IF(I172="Individuell",((Q172="x")*((G172-IFERROR(H172,0))/IFERROR(COUNTIF(J172:U172,"x"),1)+(Besatzung!$F$18="x")*IFERROR(H172,0)/IFERROR(SUMPRODUCT((J172:U172="x")*(Besatzung!$F$11:$F$22="x")),1))),(IF(COUNTIF(J172:U172,"x")=0,IF(Besatzung!$B$18&lt;&gt;"",1,0),(Q172="x"))*(G172-IFERROR(H172,0))/IFERROR(IF(COUNTIF(J172:U172,"x")=0,COUNTA(Besatzung!$B$11:$B$22),COUNTIF(J172:U172,"x")),1)+IF(COUNTIF(J172:U172,"x")=0,(Besatzung!$F$18="x"),(Q172="x")*(Besatzung!$F$18="x"))*IFERROR(H172,0)/IFERROR(IF(COUNTIF(J172:U172,"x")=0,SUMPRODUCT((Besatzung!$B$11:$B$22&lt;&gt;"")*(Besatzung!$F$11:$F$22="x")),SUMPRODUCT((J172:U172="x")*(Besatzung!$F$11:$F$22="x"))),1))))),0))))</f>
        <v/>
      </c>
      <c r="AD172" s="247">
        <f>IF(C172="Gutschrift","",IF(G172="","",IF(Besatzung!$B$19="","",IFERROR(IF(I172="Zeitanteilig",(Besatzung!$G$19*(G172-IFERROR(H172,0))+((Besatzung!$B$19&lt;&gt;"")*IF(B172="",1,(IF(Besatzung!$C$19="",Besatzung!$B$5,Besatzung!$C$19)&lt;=B172)*(IF(Besatzung!$D$19="",Besatzung!$B$6,Besatzung!$D$19)&gt;=B172)))*(Besatzung!$F$19="x")*IFERROR(H172,0)/IFERROR(SUMPRODUCT((Besatzung!$B$11:$B$22&lt;&gt;"")*(Besatzung!$F$11:$F$22="x")*(IF(Besatzung!$C$11:$C$22="",Besatzung!$B$5,Besatzung!$C$11:$C$22)&lt;=B172)*(IF(Besatzung!$D$11:$D$22="",Besatzung!$B$6,Besatzung!$D$11:$D$22)&gt;=B172)),1)),IF(I172="An Bord",(((Besatzung!$B$19&lt;&gt;"")*IF(B172="",1,(IF(Besatzung!$C$19="",Besatzung!$B$5,Besatzung!$C$19)&lt;=B172)*(IF(Besatzung!$D$19="",Besatzung!$B$6,Besatzung!$D$19)&gt;=B172)))*((G172-IFERROR(H172,0))/IFERROR(SUMPRODUCT((Besatzung!$B$11:$B$22&lt;&gt;"")*(IF(Besatzung!$C$11:$C$22="",Besatzung!$B$5,Besatzung!$C$11:$C$22)&lt;=B172)*(IF(Besatzung!$D$11:$D$22="",Besatzung!$B$6,Besatzung!$D$11:$D$22)&gt;=B172)),1)+(Besatzung!$F$19="x")*IFERROR(H172,0)/IFERROR(SUMPRODUCT((Besatzung!$B$11:$B$22&lt;&gt;"")*(Besatzung!$F$11:$F$22="x")*(IF(Besatzung!$C$11:$C$22="",Besatzung!$B$5,Besatzung!$C$11:$C$22)&lt;=B172)*(IF(Besatzung!$D$11:$D$22="",Besatzung!$B$6,Besatzung!$D$11:$D$22)&gt;=B172)),1))),IF(I172="Individuell",((R172="x")*((G172-IFERROR(H172,0))/IFERROR(COUNTIF(J172:U172,"x"),1)+(Besatzung!$F$19="x")*IFERROR(H172,0)/IFERROR(SUMPRODUCT((J172:U172="x")*(Besatzung!$F$11:$F$22="x")),1))),(IF(COUNTIF(J172:U172,"x")=0,IF(Besatzung!$B$19&lt;&gt;"",1,0),(R172="x"))*(G172-IFERROR(H172,0))/IFERROR(IF(COUNTIF(J172:U172,"x")=0,COUNTA(Besatzung!$B$11:$B$22),COUNTIF(J172:U172,"x")),1)+IF(COUNTIF(J172:U172,"x")=0,(Besatzung!$F$19="x"),(R172="x")*(Besatzung!$F$19="x"))*IFERROR(H172,0)/IFERROR(IF(COUNTIF(J172:U172,"x")=0,SUMPRODUCT((Besatzung!$B$11:$B$22&lt;&gt;"")*(Besatzung!$F$11:$F$22="x")),SUMPRODUCT((J172:U172="x")*(Besatzung!$F$11:$F$22="x"))),1))))),0))))</f>
        <v/>
      </c>
      <c r="AE172" s="247">
        <f>IF(C172="Gutschrift","",IF(G172="","",IF(Besatzung!$B$20="","",IFERROR(IF(I172="Zeitanteilig",(Besatzung!$G$20*(G172-IFERROR(H172,0))+((Besatzung!$B$20&lt;&gt;"")*IF(B172="",1,(IF(Besatzung!$C$20="",Besatzung!$B$5,Besatzung!$C$20)&lt;=B172)*(IF(Besatzung!$D$20="",Besatzung!$B$6,Besatzung!$D$20)&gt;=B172)))*(Besatzung!$F$20="x")*IFERROR(H172,0)/IFERROR(SUMPRODUCT((Besatzung!$B$11:$B$22&lt;&gt;"")*(Besatzung!$F$11:$F$22="x")*(IF(Besatzung!$C$11:$C$22="",Besatzung!$B$5,Besatzung!$C$11:$C$22)&lt;=B172)*(IF(Besatzung!$D$11:$D$22="",Besatzung!$B$6,Besatzung!$D$11:$D$22)&gt;=B172)),1)),IF(I172="An Bord",(((Besatzung!$B$20&lt;&gt;"")*IF(B172="",1,(IF(Besatzung!$C$20="",Besatzung!$B$5,Besatzung!$C$20)&lt;=B172)*(IF(Besatzung!$D$20="",Besatzung!$B$6,Besatzung!$D$20)&gt;=B172)))*((G172-IFERROR(H172,0))/IFERROR(SUMPRODUCT((Besatzung!$B$11:$B$22&lt;&gt;"")*(IF(Besatzung!$C$11:$C$22="",Besatzung!$B$5,Besatzung!$C$11:$C$22)&lt;=B172)*(IF(Besatzung!$D$11:$D$22="",Besatzung!$B$6,Besatzung!$D$11:$D$22)&gt;=B172)),1)+(Besatzung!$F$20="x")*IFERROR(H172,0)/IFERROR(SUMPRODUCT((Besatzung!$B$11:$B$22&lt;&gt;"")*(Besatzung!$F$11:$F$22="x")*(IF(Besatzung!$C$11:$C$22="",Besatzung!$B$5,Besatzung!$C$11:$C$22)&lt;=B172)*(IF(Besatzung!$D$11:$D$22="",Besatzung!$B$6,Besatzung!$D$11:$D$22)&gt;=B172)),1))),IF(I172="Individuell",((S172="x")*((G172-IFERROR(H172,0))/IFERROR(COUNTIF(J172:U172,"x"),1)+(Besatzung!$F$20="x")*IFERROR(H172,0)/IFERROR(SUMPRODUCT((J172:U172="x")*(Besatzung!$F$11:$F$22="x")),1))),(IF(COUNTIF(J172:U172,"x")=0,IF(Besatzung!$B$20&lt;&gt;"",1,0),(S172="x"))*(G172-IFERROR(H172,0))/IFERROR(IF(COUNTIF(J172:U172,"x")=0,COUNTA(Besatzung!$B$11:$B$22),COUNTIF(J172:U172,"x")),1)+IF(COUNTIF(J172:U172,"x")=0,(Besatzung!$F$20="x"),(S172="x")*(Besatzung!$F$20="x"))*IFERROR(H172,0)/IFERROR(IF(COUNTIF(J172:U172,"x")=0,SUMPRODUCT((Besatzung!$B$11:$B$22&lt;&gt;"")*(Besatzung!$F$11:$F$22="x")),SUMPRODUCT((J172:U172="x")*(Besatzung!$F$11:$F$22="x"))),1))))),0))))</f>
        <v/>
      </c>
      <c r="AF172" s="247">
        <f>IF(C172="Gutschrift","",IF(G172="","",IF(Besatzung!$B$21="","",IFERROR(IF(I172="Zeitanteilig",(Besatzung!$G$21*(G172-IFERROR(H172,0))+((Besatzung!$B$21&lt;&gt;"")*IF(B172="",1,(IF(Besatzung!$C$21="",Besatzung!$B$5,Besatzung!$C$21)&lt;=B172)*(IF(Besatzung!$D$21="",Besatzung!$B$6,Besatzung!$D$21)&gt;=B172)))*(Besatzung!$F$21="x")*IFERROR(H172,0)/IFERROR(SUMPRODUCT((Besatzung!$B$11:$B$22&lt;&gt;"")*(Besatzung!$F$11:$F$22="x")*(IF(Besatzung!$C$11:$C$22="",Besatzung!$B$5,Besatzung!$C$11:$C$22)&lt;=B172)*(IF(Besatzung!$D$11:$D$22="",Besatzung!$B$6,Besatzung!$D$11:$D$22)&gt;=B172)),1)),IF(I172="An Bord",(((Besatzung!$B$21&lt;&gt;"")*IF(B172="",1,(IF(Besatzung!$C$21="",Besatzung!$B$5,Besatzung!$C$21)&lt;=B172)*(IF(Besatzung!$D$21="",Besatzung!$B$6,Besatzung!$D$21)&gt;=B172)))*((G172-IFERROR(H172,0))/IFERROR(SUMPRODUCT((Besatzung!$B$11:$B$22&lt;&gt;"")*(IF(Besatzung!$C$11:$C$22="",Besatzung!$B$5,Besatzung!$C$11:$C$22)&lt;=B172)*(IF(Besatzung!$D$11:$D$22="",Besatzung!$B$6,Besatzung!$D$11:$D$22)&gt;=B172)),1)+(Besatzung!$F$21="x")*IFERROR(H172,0)/IFERROR(SUMPRODUCT((Besatzung!$B$11:$B$22&lt;&gt;"")*(Besatzung!$F$11:$F$22="x")*(IF(Besatzung!$C$11:$C$22="",Besatzung!$B$5,Besatzung!$C$11:$C$22)&lt;=B172)*(IF(Besatzung!$D$11:$D$22="",Besatzung!$B$6,Besatzung!$D$11:$D$22)&gt;=B172)),1))),IF(I172="Individuell",((T172="x")*((G172-IFERROR(H172,0))/IFERROR(COUNTIF(J172:U172,"x"),1)+(Besatzung!$F$21="x")*IFERROR(H172,0)/IFERROR(SUMPRODUCT((J172:U172="x")*(Besatzung!$F$11:$F$22="x")),1))),(IF(COUNTIF(J172:U172,"x")=0,IF(Besatzung!$B$21&lt;&gt;"",1,0),(T172="x"))*(G172-IFERROR(H172,0))/IFERROR(IF(COUNTIF(J172:U172,"x")=0,COUNTA(Besatzung!$B$11:$B$22),COUNTIF(J172:U172,"x")),1)+IF(COUNTIF(J172:U172,"x")=0,(Besatzung!$F$21="x"),(T172="x")*(Besatzung!$F$21="x"))*IFERROR(H172,0)/IFERROR(IF(COUNTIF(J172:U172,"x")=0,SUMPRODUCT((Besatzung!$B$11:$B$22&lt;&gt;"")*(Besatzung!$F$11:$F$22="x")),SUMPRODUCT((J172:U172="x")*(Besatzung!$F$11:$F$22="x"))),1))))),0))))</f>
        <v/>
      </c>
      <c r="AG172" s="247">
        <f>IF(C172="Gutschrift","",IF(G172="","",IF(Besatzung!$B$22="","",IFERROR(IF(I172="Zeitanteilig",(Besatzung!$G$22*(G172-IFERROR(H172,0))+((Besatzung!$B$22&lt;&gt;"")*IF(B172="",1,(IF(Besatzung!$C$22="",Besatzung!$B$5,Besatzung!$C$22)&lt;=B172)*(IF(Besatzung!$D$22="",Besatzung!$B$6,Besatzung!$D$22)&gt;=B172)))*(Besatzung!$F$22="x")*IFERROR(H172,0)/IFERROR(SUMPRODUCT((Besatzung!$B$11:$B$22&lt;&gt;"")*(Besatzung!$F$11:$F$22="x")*(IF(Besatzung!$C$11:$C$22="",Besatzung!$B$5,Besatzung!$C$11:$C$22)&lt;=B172)*(IF(Besatzung!$D$11:$D$22="",Besatzung!$B$6,Besatzung!$D$11:$D$22)&gt;=B172)),1)),IF(I172="An Bord",(((Besatzung!$B$22&lt;&gt;"")*IF(B172="",1,(IF(Besatzung!$C$22="",Besatzung!$B$5,Besatzung!$C$22)&lt;=B172)*(IF(Besatzung!$D$22="",Besatzung!$B$6,Besatzung!$D$22)&gt;=B172)))*((G172-IFERROR(H172,0))/IFERROR(SUMPRODUCT((Besatzung!$B$11:$B$22&lt;&gt;"")*(IF(Besatzung!$C$11:$C$22="",Besatzung!$B$5,Besatzung!$C$11:$C$22)&lt;=B172)*(IF(Besatzung!$D$11:$D$22="",Besatzung!$B$6,Besatzung!$D$11:$D$22)&gt;=B172)),1)+(Besatzung!$F$22="x")*IFERROR(H172,0)/IFERROR(SUMPRODUCT((Besatzung!$B$11:$B$22&lt;&gt;"")*(Besatzung!$F$11:$F$22="x")*(IF(Besatzung!$C$11:$C$22="",Besatzung!$B$5,Besatzung!$C$11:$C$22)&lt;=B172)*(IF(Besatzung!$D$11:$D$22="",Besatzung!$B$6,Besatzung!$D$11:$D$22)&gt;=B172)),1))),IF(I172="Individuell",((U172="x")*((G172-IFERROR(H172,0))/IFERROR(COUNTIF(J172:U172,"x"),1)+(Besatzung!$F$22="x")*IFERROR(H172,0)/IFERROR(SUMPRODUCT((J172:U172="x")*(Besatzung!$F$11:$F$22="x")),1))),(IF(COUNTIF(J172:U172,"x")=0,IF(Besatzung!$B$22&lt;&gt;"",1,0),(U172="x"))*(G172-IFERROR(H172,0))/IFERROR(IF(COUNTIF(J172:U172,"x")=0,COUNTA(Besatzung!$B$11:$B$22),COUNTIF(J172:U172,"x")),1)+IF(COUNTIF(J172:U172,"x")=0,(Besatzung!$F$22="x"),(U172="x")*(Besatzung!$F$22="x"))*IFERROR(H172,0)/IFERROR(IF(COUNTIF(J172:U172,"x")=0,SUMPRODUCT((Besatzung!$B$11:$B$22&lt;&gt;"")*(Besatzung!$F$11:$F$22="x")),SUMPRODUCT((J172:U172="x")*(Besatzung!$F$11:$F$22="x"))),1))))),0))))</f>
        <v/>
      </c>
      <c r="AH172" s="248" t="n"/>
      <c r="AI172" s="248" t="n"/>
    </row>
    <row r="173" ht="21.75" customHeight="1" s="154">
      <c r="A173" s="238">
        <f>IF(AND(D173="",C173=""),"",170)</f>
        <v/>
      </c>
      <c r="B173" s="206" t="n"/>
      <c r="C173" s="249" t="n"/>
      <c r="D173" s="250" t="n"/>
      <c r="E173" s="251" t="n"/>
      <c r="F173" s="252" t="n"/>
      <c r="G173" s="253" t="n"/>
      <c r="H173" s="254" t="n"/>
      <c r="I173" s="255" t="n"/>
      <c r="J173" s="256" t="n"/>
      <c r="K173" s="256" t="n"/>
      <c r="L173" s="256" t="n"/>
      <c r="M173" s="256" t="n"/>
      <c r="N173" s="256" t="n"/>
      <c r="O173" s="256" t="n"/>
      <c r="P173" s="256" t="n"/>
      <c r="Q173" s="256" t="n"/>
      <c r="R173" s="256" t="n"/>
      <c r="S173" s="256" t="n"/>
      <c r="T173" s="256" t="n"/>
      <c r="U173" s="256" t="n"/>
      <c r="V173" s="247">
        <f>IF(C173="Gutschrift","",IF(G173="","",IF(Besatzung!$B$11="","",IFERROR(IF(I173="Zeitanteilig",(Besatzung!$G$11*(G173-IFERROR(H173,0))+((Besatzung!$B$11&lt;&gt;"")*IF(B173="",1,(IF(Besatzung!$C$11="",Besatzung!$B$5,Besatzung!$C$11)&lt;=B173)*(IF(Besatzung!$D$11="",Besatzung!$B$6,Besatzung!$D$11)&gt;=B173)))*(Besatzung!$F$11="x")*IFERROR(H173,0)/IFERROR(SUMPRODUCT((Besatzung!$B$11:$B$22&lt;&gt;"")*(Besatzung!$F$11:$F$22="x")*(IF(Besatzung!$C$11:$C$22="",Besatzung!$B$5,Besatzung!$C$11:$C$22)&lt;=B173)*(IF(Besatzung!$D$11:$D$22="",Besatzung!$B$6,Besatzung!$D$11:$D$22)&gt;=B173)),1)),IF(I173="An Bord",(((Besatzung!$B$11&lt;&gt;"")*IF(B173="",1,(IF(Besatzung!$C$11="",Besatzung!$B$5,Besatzung!$C$11)&lt;=B173)*(IF(Besatzung!$D$11="",Besatzung!$B$6,Besatzung!$D$11)&gt;=B173)))*((G173-IFERROR(H173,0))/IFERROR(SUMPRODUCT((Besatzung!$B$11:$B$22&lt;&gt;"")*(IF(Besatzung!$C$11:$C$22="",Besatzung!$B$5,Besatzung!$C$11:$C$22)&lt;=B173)*(IF(Besatzung!$D$11:$D$22="",Besatzung!$B$6,Besatzung!$D$11:$D$22)&gt;=B173)),1)+(Besatzung!$F$11="x")*IFERROR(H173,0)/IFERROR(SUMPRODUCT((Besatzung!$B$11:$B$22&lt;&gt;"")*(Besatzung!$F$11:$F$22="x")*(IF(Besatzung!$C$11:$C$22="",Besatzung!$B$5,Besatzung!$C$11:$C$22)&lt;=B173)*(IF(Besatzung!$D$11:$D$22="",Besatzung!$B$6,Besatzung!$D$11:$D$22)&gt;=B173)),1))),IF(I173="Individuell",((J173="x")*((G173-IFERROR(H173,0))/IFERROR(COUNTIF(J173:U173,"x"),1)+(Besatzung!$F$11="x")*IFERROR(H173,0)/IFERROR(SUMPRODUCT((J173:U173="x")*(Besatzung!$F$11:$F$22="x")),1))),(IF(COUNTIF(J173:U173,"x")=0,IF(Besatzung!$B$11&lt;&gt;"",1,0),(J173="x"))*(G173-IFERROR(H173,0))/IFERROR(IF(COUNTIF(J173:U173,"x")=0,COUNTA(Besatzung!$B$11:$B$22),COUNTIF(J173:U173,"x")),1)+IF(COUNTIF(J173:U173,"x")=0,(Besatzung!$F$11="x"),(J173="x")*(Besatzung!$F$11="x"))*IFERROR(H173,0)/IFERROR(IF(COUNTIF(J173:U173,"x")=0,SUMPRODUCT((Besatzung!$B$11:$B$22&lt;&gt;"")*(Besatzung!$F$11:$F$22="x")),SUMPRODUCT((J173:U173="x")*(Besatzung!$F$11:$F$22="x"))),1))))),0))))</f>
        <v/>
      </c>
      <c r="W173" s="247">
        <f>IF(C173="Gutschrift","",IF(G173="","",IF(Besatzung!$B$12="","",IFERROR(IF(I173="Zeitanteilig",(Besatzung!$G$12*(G173-IFERROR(H173,0))+((Besatzung!$B$12&lt;&gt;"")*IF(B173="",1,(IF(Besatzung!$C$12="",Besatzung!$B$5,Besatzung!$C$12)&lt;=B173)*(IF(Besatzung!$D$12="",Besatzung!$B$6,Besatzung!$D$12)&gt;=B173)))*(Besatzung!$F$12="x")*IFERROR(H173,0)/IFERROR(SUMPRODUCT((Besatzung!$B$11:$B$22&lt;&gt;"")*(Besatzung!$F$11:$F$22="x")*(IF(Besatzung!$C$11:$C$22="",Besatzung!$B$5,Besatzung!$C$11:$C$22)&lt;=B173)*(IF(Besatzung!$D$11:$D$22="",Besatzung!$B$6,Besatzung!$D$11:$D$22)&gt;=B173)),1)),IF(I173="An Bord",(((Besatzung!$B$12&lt;&gt;"")*IF(B173="",1,(IF(Besatzung!$C$12="",Besatzung!$B$5,Besatzung!$C$12)&lt;=B173)*(IF(Besatzung!$D$12="",Besatzung!$B$6,Besatzung!$D$12)&gt;=B173)))*((G173-IFERROR(H173,0))/IFERROR(SUMPRODUCT((Besatzung!$B$11:$B$22&lt;&gt;"")*(IF(Besatzung!$C$11:$C$22="",Besatzung!$B$5,Besatzung!$C$11:$C$22)&lt;=B173)*(IF(Besatzung!$D$11:$D$22="",Besatzung!$B$6,Besatzung!$D$11:$D$22)&gt;=B173)),1)+(Besatzung!$F$12="x")*IFERROR(H173,0)/IFERROR(SUMPRODUCT((Besatzung!$B$11:$B$22&lt;&gt;"")*(Besatzung!$F$11:$F$22="x")*(IF(Besatzung!$C$11:$C$22="",Besatzung!$B$5,Besatzung!$C$11:$C$22)&lt;=B173)*(IF(Besatzung!$D$11:$D$22="",Besatzung!$B$6,Besatzung!$D$11:$D$22)&gt;=B173)),1))),IF(I173="Individuell",((K173="x")*((G173-IFERROR(H173,0))/IFERROR(COUNTIF(J173:U173,"x"),1)+(Besatzung!$F$12="x")*IFERROR(H173,0)/IFERROR(SUMPRODUCT((J173:U173="x")*(Besatzung!$F$11:$F$22="x")),1))),(IF(COUNTIF(J173:U173,"x")=0,IF(Besatzung!$B$12&lt;&gt;"",1,0),(K173="x"))*(G173-IFERROR(H173,0))/IFERROR(IF(COUNTIF(J173:U173,"x")=0,COUNTA(Besatzung!$B$11:$B$22),COUNTIF(J173:U173,"x")),1)+IF(COUNTIF(J173:U173,"x")=0,(Besatzung!$F$12="x"),(K173="x")*(Besatzung!$F$12="x"))*IFERROR(H173,0)/IFERROR(IF(COUNTIF(J173:U173,"x")=0,SUMPRODUCT((Besatzung!$B$11:$B$22&lt;&gt;"")*(Besatzung!$F$11:$F$22="x")),SUMPRODUCT((J173:U173="x")*(Besatzung!$F$11:$F$22="x"))),1))))),0))))</f>
        <v/>
      </c>
      <c r="X173" s="247">
        <f>IF(C173="Gutschrift","",IF(G173="","",IF(Besatzung!$B$13="","",IFERROR(IF(I173="Zeitanteilig",(Besatzung!$G$13*(G173-IFERROR(H173,0))+((Besatzung!$B$13&lt;&gt;"")*IF(B173="",1,(IF(Besatzung!$C$13="",Besatzung!$B$5,Besatzung!$C$13)&lt;=B173)*(IF(Besatzung!$D$13="",Besatzung!$B$6,Besatzung!$D$13)&gt;=B173)))*(Besatzung!$F$13="x")*IFERROR(H173,0)/IFERROR(SUMPRODUCT((Besatzung!$B$11:$B$22&lt;&gt;"")*(Besatzung!$F$11:$F$22="x")*(IF(Besatzung!$C$11:$C$22="",Besatzung!$B$5,Besatzung!$C$11:$C$22)&lt;=B173)*(IF(Besatzung!$D$11:$D$22="",Besatzung!$B$6,Besatzung!$D$11:$D$22)&gt;=B173)),1)),IF(I173="An Bord",(((Besatzung!$B$13&lt;&gt;"")*IF(B173="",1,(IF(Besatzung!$C$13="",Besatzung!$B$5,Besatzung!$C$13)&lt;=B173)*(IF(Besatzung!$D$13="",Besatzung!$B$6,Besatzung!$D$13)&gt;=B173)))*((G173-IFERROR(H173,0))/IFERROR(SUMPRODUCT((Besatzung!$B$11:$B$22&lt;&gt;"")*(IF(Besatzung!$C$11:$C$22="",Besatzung!$B$5,Besatzung!$C$11:$C$22)&lt;=B173)*(IF(Besatzung!$D$11:$D$22="",Besatzung!$B$6,Besatzung!$D$11:$D$22)&gt;=B173)),1)+(Besatzung!$F$13="x")*IFERROR(H173,0)/IFERROR(SUMPRODUCT((Besatzung!$B$11:$B$22&lt;&gt;"")*(Besatzung!$F$11:$F$22="x")*(IF(Besatzung!$C$11:$C$22="",Besatzung!$B$5,Besatzung!$C$11:$C$22)&lt;=B173)*(IF(Besatzung!$D$11:$D$22="",Besatzung!$B$6,Besatzung!$D$11:$D$22)&gt;=B173)),1))),IF(I173="Individuell",((K173="x")*((G173-IFERROR(H173,0))/IFERROR(COUNTIF(J173:U173,"x"),1)+(Besatzung!$F$13="x")*IFERROR(H173,0)/IFERROR(SUMPRODUCT((J173:U173="x")*(Besatzung!$F$11:$F$22="x")),1))),(IF(COUNTIF(J173:U173,"x")=0,IF(Besatzung!$B$13&lt;&gt;"",1,0),(K173="x"))*(G173-IFERROR(H173,0))/IFERROR(IF(COUNTIF(J173:U173,"x")=0,COUNTA(Besatzung!$B$11:$B$22),COUNTIF(J173:U173,"x")),1)+IF(COUNTIF(J173:U173,"x")=0,(Besatzung!$F$13="x"),(K173="x")*(Besatzung!$F$13="x"))*IFERROR(H173,0)/IFERROR(IF(COUNTIF(J173:U173,"x")=0,SUMPRODUCT((Besatzung!$B$11:$B$22&lt;&gt;"")*(Besatzung!$F$11:$F$22="x")),SUMPRODUCT((J173:U173="x")*(Besatzung!$F$11:$F$22="x"))),1))))),0))))</f>
        <v/>
      </c>
      <c r="Y173" s="247">
        <f>IF(C173="Gutschrift","",IF(G173="","",IF(Besatzung!$B$14="","",IFERROR(IF(I173="Zeitanteilig",(Besatzung!$G$14*(G173-IFERROR(H173,0))+((Besatzung!$B$14&lt;&gt;"")*IF(B173="",1,(IF(Besatzung!$C$14="",Besatzung!$B$5,Besatzung!$C$14)&lt;=B173)*(IF(Besatzung!$D$14="",Besatzung!$B$6,Besatzung!$D$14)&gt;=B173)))*(Besatzung!$F$14="x")*IFERROR(H173,0)/IFERROR(SUMPRODUCT((Besatzung!$B$11:$B$22&lt;&gt;"")*(Besatzung!$F$11:$F$22="x")*(IF(Besatzung!$C$11:$C$22="",Besatzung!$B$5,Besatzung!$C$11:$C$22)&lt;=B173)*(IF(Besatzung!$D$11:$D$22="",Besatzung!$B$6,Besatzung!$D$11:$D$22)&gt;=B173)),1)),IF(I173="An Bord",(((Besatzung!$B$14&lt;&gt;"")*IF(B173="",1,(IF(Besatzung!$C$14="",Besatzung!$B$5,Besatzung!$C$14)&lt;=B173)*(IF(Besatzung!$D$14="",Besatzung!$B$6,Besatzung!$D$14)&gt;=B173)))*((G173-IFERROR(H173,0))/IFERROR(SUMPRODUCT((Besatzung!$B$11:$B$22&lt;&gt;"")*(IF(Besatzung!$C$11:$C$22="",Besatzung!$B$5,Besatzung!$C$11:$C$22)&lt;=B173)*(IF(Besatzung!$D$11:$D$22="",Besatzung!$B$6,Besatzung!$D$11:$D$22)&gt;=B173)),1)+(Besatzung!$F$14="x")*IFERROR(H173,0)/IFERROR(SUMPRODUCT((Besatzung!$B$11:$B$22&lt;&gt;"")*(Besatzung!$F$11:$F$22="x")*(IF(Besatzung!$C$11:$C$22="",Besatzung!$B$5,Besatzung!$C$11:$C$22)&lt;=B173)*(IF(Besatzung!$D$11:$D$22="",Besatzung!$B$6,Besatzung!$D$11:$D$22)&gt;=B173)),1))),IF(I173="Individuell",((M173="x")*((G173-IFERROR(H173,0))/IFERROR(COUNTIF(J173:U173,"x"),1)+(Besatzung!$F$14="x")*IFERROR(H173,0)/IFERROR(SUMPRODUCT((J173:U173="x")*(Besatzung!$F$11:$F$22="x")),1))),(IF(COUNTIF(J173:U173,"x")=0,IF(Besatzung!$B$14&lt;&gt;"",1,0),(M173="x"))*(G173-IFERROR(H173,0))/IFERROR(IF(COUNTIF(J173:U173,"x")=0,COUNTA(Besatzung!$B$11:$B$22),COUNTIF(J173:U173,"x")),1)+IF(COUNTIF(J173:U173,"x")=0,(Besatzung!$F$14="x"),(M173="x")*(Besatzung!$F$14="x"))*IFERROR(H173,0)/IFERROR(IF(COUNTIF(J173:U173,"x")=0,SUMPRODUCT((Besatzung!$B$11:$B$22&lt;&gt;"")*(Besatzung!$F$11:$F$22="x")),SUMPRODUCT((J173:U173="x")*(Besatzung!$F$11:$F$22="x"))),1))))),0))))</f>
        <v/>
      </c>
      <c r="Z173" s="247">
        <f>IF(C173="Gutschrift","",IF(G173="","",IF(Besatzung!$B$13="","",IFERROR(IF(I173="Zeitanteilig",(Besatzung!$G$15*(G173-IFERROR(H173,0))+((Besatzung!$B$13&lt;&gt;"")*IF(B173="",1,(IF(Besatzung!$C$15="",Besatzung!$B$5,Besatzung!$C$15)&lt;=B173)*(IF(Besatzung!$D$15="",Besatzung!$B$6,Besatzung!$D$15)&gt;=B173)))*(Besatzung!$F$15="x")*IFERROR(H173,0)/IFERROR(SUMPRODUCT((Besatzung!$B$11:$B$22&lt;&gt;"")*(Besatzung!$F$11:$F$22="x")*(IF(Besatzung!$C$11:$C$22="",Besatzung!$B$5,Besatzung!$C$11:$C$22)&lt;=B173)*(IF(Besatzung!$D$11:$D$22="",Besatzung!$B$6,Besatzung!$D$11:$D$22)&gt;=B173)),1)),IF(I173="An Bord",(((Besatzung!$B$13&lt;&gt;"")*IF(B173="",1,(IF(Besatzung!$C$15="",Besatzung!$B$5,Besatzung!$C$15)&lt;=B173)*(IF(Besatzung!$D$15="",Besatzung!$B$6,Besatzung!$D$15)&gt;=B173)))*((G173-IFERROR(H173,0))/IFERROR(SUMPRODUCT((Besatzung!$B$11:$B$22&lt;&gt;"")*(IF(Besatzung!$C$11:$C$22="",Besatzung!$B$5,Besatzung!$C$11:$C$22)&lt;=B173)*(IF(Besatzung!$D$11:$D$22="",Besatzung!$B$6,Besatzung!$D$11:$D$22)&gt;=B173)),1)+(Besatzung!$F$15="x")*IFERROR(H173,0)/IFERROR(SUMPRODUCT((Besatzung!$B$11:$B$22&lt;&gt;"")*(Besatzung!$F$11:$F$22="x")*(IF(Besatzung!$C$11:$C$22="",Besatzung!$B$5,Besatzung!$C$11:$C$22)&lt;=B173)*(IF(Besatzung!$D$11:$D$22="",Besatzung!$B$6,Besatzung!$D$11:$D$22)&gt;=B173)),1))),IF(I173="Individuell",((N173="x")*((G173-IFERROR(H173,0))/IFERROR(COUNTIF(J173:U173,"x"),1)+(Besatzung!$F$15="x")*IFERROR(H173,0)/IFERROR(SUMPRODUCT((J173:U173="x")*(Besatzung!$F$11:$F$22="x")),1))),(IF(COUNTIF(J173:U173,"x")=0,IF(Besatzung!$B$13&lt;&gt;"",1,0),(N173="x"))*(G173-IFERROR(H173,0))/IFERROR(IF(COUNTIF(J173:U173,"x")=0,COUNTA(Besatzung!$B$11:$B$22),COUNTIF(J173:U173,"x")),1)+IF(COUNTIF(J173:U173,"x")=0,(Besatzung!$F$15="x"),(N173="x")*(Besatzung!$F$15="x"))*IFERROR(H173,0)/IFERROR(IF(COUNTIF(J173:U173,"x")=0,SUMPRODUCT((Besatzung!$B$11:$B$22&lt;&gt;"")*(Besatzung!$F$11:$F$22="x")),SUMPRODUCT((J173:U173="x")*(Besatzung!$F$11:$F$22="x"))),1))))),0))))</f>
        <v/>
      </c>
      <c r="AA173" s="247">
        <f>IF(C173="Gutschrift","",IF(G173="","",IF(Besatzung!$B$15="","",IFERROR(IF(I173="Zeitanteilig",(Besatzung!$G$16*(G173-IFERROR(H173,0))+((Besatzung!$B$15&lt;&gt;"")*IF(B173="",1,(IF(Besatzung!$C$16="",Besatzung!$B$5,Besatzung!$C$16)&lt;=B173)*(IF(Besatzung!$D$16="",Besatzung!$B$6,Besatzung!$D$16)&gt;=B173)))*(Besatzung!$F$16="x")*IFERROR(H173,0)/IFERROR(SUMPRODUCT((Besatzung!$B$11:$B$22&lt;&gt;"")*(Besatzung!$F$11:$F$22="x")*(IF(Besatzung!$C$11:$C$22="",Besatzung!$B$5,Besatzung!$C$11:$C$22)&lt;=B173)*(IF(Besatzung!$D$11:$D$22="",Besatzung!$B$6,Besatzung!$D$11:$D$22)&gt;=B173)),1)),IF(I173="An Bord",(((Besatzung!$B$15&lt;&gt;"")*IF(B173="",1,(IF(Besatzung!$C$16="",Besatzung!$B$5,Besatzung!$C$16)&lt;=B173)*(IF(Besatzung!$D$16="",Besatzung!$B$6,Besatzung!$D$16)&gt;=B173)))*((G173-IFERROR(H173,0))/IFERROR(SUMPRODUCT((Besatzung!$B$11:$B$22&lt;&gt;"")*(IF(Besatzung!$C$11:$C$22="",Besatzung!$B$5,Besatzung!$C$11:$C$22)&lt;=B173)*(IF(Besatzung!$D$11:$D$22="",Besatzung!$B$6,Besatzung!$D$11:$D$22)&gt;=B173)),1)+(Besatzung!$F$16="x")*IFERROR(H173,0)/IFERROR(SUMPRODUCT((Besatzung!$B$11:$B$22&lt;&gt;"")*(Besatzung!$F$11:$F$22="x")*(IF(Besatzung!$C$11:$C$22="",Besatzung!$B$5,Besatzung!$C$11:$C$22)&lt;=B173)*(IF(Besatzung!$D$11:$D$22="",Besatzung!$B$6,Besatzung!$D$11:$D$22)&gt;=B173)),1))),IF(I173="Individuell",((O173="x")*((G173-IFERROR(H173,0))/IFERROR(COUNTIF(J173:U173,"x"),1)+(Besatzung!$F$16="x")*IFERROR(H173,0)/IFERROR(SUMPRODUCT((J173:U173="x")*(Besatzung!$F$11:$F$22="x")),1))),(IF(COUNTIF(J173:U173,"x")=0,IF(Besatzung!$B$15&lt;&gt;"",1,0),(O173="x"))*(G173-IFERROR(H173,0))/IFERROR(IF(COUNTIF(J173:U173,"x")=0,COUNTA(Besatzung!$B$11:$B$22),COUNTIF(J173:U173,"x")),1)+IF(COUNTIF(J173:U173,"x")=0,(Besatzung!$F$16="x"),(O173="x")*(Besatzung!$F$16="x"))*IFERROR(H173,0)/IFERROR(IF(COUNTIF(J173:U173,"x")=0,SUMPRODUCT((Besatzung!$B$11:$B$22&lt;&gt;"")*(Besatzung!$F$11:$F$22="x")),SUMPRODUCT((J173:U173="x")*(Besatzung!$F$11:$F$22="x"))),1))))),0))))</f>
        <v/>
      </c>
      <c r="AB173" s="247">
        <f>IF(C173="Gutschrift","",IF(G173="","",IF(Besatzung!$B$17="","",IFERROR(IF(I173="Zeitanteilig",(Besatzung!$G$17*(G173-IFERROR(H173,0))+((Besatzung!$B$17&lt;&gt;"")*IF(B173="",1,(IF(Besatzung!$C$17="",Besatzung!$B$5,Besatzung!$C$17)&lt;=B173)*(IF(Besatzung!$D$17="",Besatzung!$B$6,Besatzung!$D$17)&gt;=B173)))*(Besatzung!$F$17="x")*IFERROR(H173,0)/IFERROR(SUMPRODUCT((Besatzung!$B$11:$B$22&lt;&gt;"")*(Besatzung!$F$11:$F$22="x")*(IF(Besatzung!$C$11:$C$22="",Besatzung!$B$5,Besatzung!$C$11:$C$22)&lt;=B173)*(IF(Besatzung!$D$11:$D$22="",Besatzung!$B$6,Besatzung!$D$11:$D$22)&gt;=B173)),1)),IF(I173="An Bord",(((Besatzung!$B$17&lt;&gt;"")*IF(B173="",1,(IF(Besatzung!$C$17="",Besatzung!$B$5,Besatzung!$C$17)&lt;=B173)*(IF(Besatzung!$D$17="",Besatzung!$B$6,Besatzung!$D$17)&gt;=B173)))*((G173-IFERROR(H173,0))/IFERROR(SUMPRODUCT((Besatzung!$B$11:$B$22&lt;&gt;"")*(IF(Besatzung!$C$11:$C$22="",Besatzung!$B$5,Besatzung!$C$11:$C$22)&lt;=B173)*(IF(Besatzung!$D$11:$D$22="",Besatzung!$B$6,Besatzung!$D$11:$D$22)&gt;=B173)),1)+(Besatzung!$F$17="x")*IFERROR(H173,0)/IFERROR(SUMPRODUCT((Besatzung!$B$11:$B$22&lt;&gt;"")*(Besatzung!$F$11:$F$22="x")*(IF(Besatzung!$C$11:$C$22="",Besatzung!$B$5,Besatzung!$C$11:$C$22)&lt;=B173)*(IF(Besatzung!$D$11:$D$22="",Besatzung!$B$6,Besatzung!$D$11:$D$22)&gt;=B173)),1))),IF(I173="Individuell",((P173="x")*((G173-IFERROR(H173,0))/IFERROR(COUNTIF(J173:U173,"x"),1)+(Besatzung!$F$17="x")*IFERROR(H173,0)/IFERROR(SUMPRODUCT((J173:U173="x")*(Besatzung!$F$11:$F$22="x")),1))),(IF(COUNTIF(J173:U173,"x")=0,IF(Besatzung!$B$17&lt;&gt;"",1,0),(P173="x"))*(G173-IFERROR(H173,0))/IFERROR(IF(COUNTIF(J173:U173,"x")=0,COUNTA(Besatzung!$B$11:$B$22),COUNTIF(J173:U173,"x")),1)+IF(COUNTIF(J173:U173,"x")=0,(Besatzung!$F$17="x"),(P173="x")*(Besatzung!$F$17="x"))*IFERROR(H173,0)/IFERROR(IF(COUNTIF(J173:U173,"x")=0,SUMPRODUCT((Besatzung!$B$11:$B$22&lt;&gt;"")*(Besatzung!$F$11:$F$22="x")),SUMPRODUCT((J173:U173="x")*(Besatzung!$F$11:$F$22="x"))),1))))),0))))</f>
        <v/>
      </c>
      <c r="AC173" s="247">
        <f>IF(C173="Gutschrift","",IF(G173="","",IF(Besatzung!$B$18="","",IFERROR(IF(I173="Zeitanteilig",(Besatzung!$G$18*(G173-IFERROR(H173,0))+((Besatzung!$B$18&lt;&gt;"")*IF(B173="",1,(IF(Besatzung!$C$18="",Besatzung!$B$5,Besatzung!$C$18)&lt;=B173)*(IF(Besatzung!$D$18="",Besatzung!$B$6,Besatzung!$D$18)&gt;=B173)))*(Besatzung!$F$18="x")*IFERROR(H173,0)/IFERROR(SUMPRODUCT((Besatzung!$B$11:$B$22&lt;&gt;"")*(Besatzung!$F$11:$F$22="x")*(IF(Besatzung!$C$11:$C$22="",Besatzung!$B$5,Besatzung!$C$11:$C$22)&lt;=B173)*(IF(Besatzung!$D$11:$D$22="",Besatzung!$B$6,Besatzung!$D$11:$D$22)&gt;=B173)),1)),IF(I173="An Bord",(((Besatzung!$B$18&lt;&gt;"")*IF(B173="",1,(IF(Besatzung!$C$18="",Besatzung!$B$5,Besatzung!$C$18)&lt;=B173)*(IF(Besatzung!$D$18="",Besatzung!$B$6,Besatzung!$D$18)&gt;=B173)))*((G173-IFERROR(H173,0))/IFERROR(SUMPRODUCT((Besatzung!$B$11:$B$22&lt;&gt;"")*(IF(Besatzung!$C$11:$C$22="",Besatzung!$B$5,Besatzung!$C$11:$C$22)&lt;=B173)*(IF(Besatzung!$D$11:$D$22="",Besatzung!$B$6,Besatzung!$D$11:$D$22)&gt;=B173)),1)+(Besatzung!$F$18="x")*IFERROR(H173,0)/IFERROR(SUMPRODUCT((Besatzung!$B$11:$B$22&lt;&gt;"")*(Besatzung!$F$11:$F$22="x")*(IF(Besatzung!$C$11:$C$22="",Besatzung!$B$5,Besatzung!$C$11:$C$22)&lt;=B173)*(IF(Besatzung!$D$11:$D$22="",Besatzung!$B$6,Besatzung!$D$11:$D$22)&gt;=B173)),1))),IF(I173="Individuell",((Q173="x")*((G173-IFERROR(H173,0))/IFERROR(COUNTIF(J173:U173,"x"),1)+(Besatzung!$F$18="x")*IFERROR(H173,0)/IFERROR(SUMPRODUCT((J173:U173="x")*(Besatzung!$F$11:$F$22="x")),1))),(IF(COUNTIF(J173:U173,"x")=0,IF(Besatzung!$B$18&lt;&gt;"",1,0),(Q173="x"))*(G173-IFERROR(H173,0))/IFERROR(IF(COUNTIF(J173:U173,"x")=0,COUNTA(Besatzung!$B$11:$B$22),COUNTIF(J173:U173,"x")),1)+IF(COUNTIF(J173:U173,"x")=0,(Besatzung!$F$18="x"),(Q173="x")*(Besatzung!$F$18="x"))*IFERROR(H173,0)/IFERROR(IF(COUNTIF(J173:U173,"x")=0,SUMPRODUCT((Besatzung!$B$11:$B$22&lt;&gt;"")*(Besatzung!$F$11:$F$22="x")),SUMPRODUCT((J173:U173="x")*(Besatzung!$F$11:$F$22="x"))),1))))),0))))</f>
        <v/>
      </c>
      <c r="AD173" s="247">
        <f>IF(C173="Gutschrift","",IF(G173="","",IF(Besatzung!$B$19="","",IFERROR(IF(I173="Zeitanteilig",(Besatzung!$G$19*(G173-IFERROR(H173,0))+((Besatzung!$B$19&lt;&gt;"")*IF(B173="",1,(IF(Besatzung!$C$19="",Besatzung!$B$5,Besatzung!$C$19)&lt;=B173)*(IF(Besatzung!$D$19="",Besatzung!$B$6,Besatzung!$D$19)&gt;=B173)))*(Besatzung!$F$19="x")*IFERROR(H173,0)/IFERROR(SUMPRODUCT((Besatzung!$B$11:$B$22&lt;&gt;"")*(Besatzung!$F$11:$F$22="x")*(IF(Besatzung!$C$11:$C$22="",Besatzung!$B$5,Besatzung!$C$11:$C$22)&lt;=B173)*(IF(Besatzung!$D$11:$D$22="",Besatzung!$B$6,Besatzung!$D$11:$D$22)&gt;=B173)),1)),IF(I173="An Bord",(((Besatzung!$B$19&lt;&gt;"")*IF(B173="",1,(IF(Besatzung!$C$19="",Besatzung!$B$5,Besatzung!$C$19)&lt;=B173)*(IF(Besatzung!$D$19="",Besatzung!$B$6,Besatzung!$D$19)&gt;=B173)))*((G173-IFERROR(H173,0))/IFERROR(SUMPRODUCT((Besatzung!$B$11:$B$22&lt;&gt;"")*(IF(Besatzung!$C$11:$C$22="",Besatzung!$B$5,Besatzung!$C$11:$C$22)&lt;=B173)*(IF(Besatzung!$D$11:$D$22="",Besatzung!$B$6,Besatzung!$D$11:$D$22)&gt;=B173)),1)+(Besatzung!$F$19="x")*IFERROR(H173,0)/IFERROR(SUMPRODUCT((Besatzung!$B$11:$B$22&lt;&gt;"")*(Besatzung!$F$11:$F$22="x")*(IF(Besatzung!$C$11:$C$22="",Besatzung!$B$5,Besatzung!$C$11:$C$22)&lt;=B173)*(IF(Besatzung!$D$11:$D$22="",Besatzung!$B$6,Besatzung!$D$11:$D$22)&gt;=B173)),1))),IF(I173="Individuell",((R173="x")*((G173-IFERROR(H173,0))/IFERROR(COUNTIF(J173:U173,"x"),1)+(Besatzung!$F$19="x")*IFERROR(H173,0)/IFERROR(SUMPRODUCT((J173:U173="x")*(Besatzung!$F$11:$F$22="x")),1))),(IF(COUNTIF(J173:U173,"x")=0,IF(Besatzung!$B$19&lt;&gt;"",1,0),(R173="x"))*(G173-IFERROR(H173,0))/IFERROR(IF(COUNTIF(J173:U173,"x")=0,COUNTA(Besatzung!$B$11:$B$22),COUNTIF(J173:U173,"x")),1)+IF(COUNTIF(J173:U173,"x")=0,(Besatzung!$F$19="x"),(R173="x")*(Besatzung!$F$19="x"))*IFERROR(H173,0)/IFERROR(IF(COUNTIF(J173:U173,"x")=0,SUMPRODUCT((Besatzung!$B$11:$B$22&lt;&gt;"")*(Besatzung!$F$11:$F$22="x")),SUMPRODUCT((J173:U173="x")*(Besatzung!$F$11:$F$22="x"))),1))))),0))))</f>
        <v/>
      </c>
      <c r="AE173" s="247">
        <f>IF(C173="Gutschrift","",IF(G173="","",IF(Besatzung!$B$20="","",IFERROR(IF(I173="Zeitanteilig",(Besatzung!$G$20*(G173-IFERROR(H173,0))+((Besatzung!$B$20&lt;&gt;"")*IF(B173="",1,(IF(Besatzung!$C$20="",Besatzung!$B$5,Besatzung!$C$20)&lt;=B173)*(IF(Besatzung!$D$20="",Besatzung!$B$6,Besatzung!$D$20)&gt;=B173)))*(Besatzung!$F$20="x")*IFERROR(H173,0)/IFERROR(SUMPRODUCT((Besatzung!$B$11:$B$22&lt;&gt;"")*(Besatzung!$F$11:$F$22="x")*(IF(Besatzung!$C$11:$C$22="",Besatzung!$B$5,Besatzung!$C$11:$C$22)&lt;=B173)*(IF(Besatzung!$D$11:$D$22="",Besatzung!$B$6,Besatzung!$D$11:$D$22)&gt;=B173)),1)),IF(I173="An Bord",(((Besatzung!$B$20&lt;&gt;"")*IF(B173="",1,(IF(Besatzung!$C$20="",Besatzung!$B$5,Besatzung!$C$20)&lt;=B173)*(IF(Besatzung!$D$20="",Besatzung!$B$6,Besatzung!$D$20)&gt;=B173)))*((G173-IFERROR(H173,0))/IFERROR(SUMPRODUCT((Besatzung!$B$11:$B$22&lt;&gt;"")*(IF(Besatzung!$C$11:$C$22="",Besatzung!$B$5,Besatzung!$C$11:$C$22)&lt;=B173)*(IF(Besatzung!$D$11:$D$22="",Besatzung!$B$6,Besatzung!$D$11:$D$22)&gt;=B173)),1)+(Besatzung!$F$20="x")*IFERROR(H173,0)/IFERROR(SUMPRODUCT((Besatzung!$B$11:$B$22&lt;&gt;"")*(Besatzung!$F$11:$F$22="x")*(IF(Besatzung!$C$11:$C$22="",Besatzung!$B$5,Besatzung!$C$11:$C$22)&lt;=B173)*(IF(Besatzung!$D$11:$D$22="",Besatzung!$B$6,Besatzung!$D$11:$D$22)&gt;=B173)),1))),IF(I173="Individuell",((S173="x")*((G173-IFERROR(H173,0))/IFERROR(COUNTIF(J173:U173,"x"),1)+(Besatzung!$F$20="x")*IFERROR(H173,0)/IFERROR(SUMPRODUCT((J173:U173="x")*(Besatzung!$F$11:$F$22="x")),1))),(IF(COUNTIF(J173:U173,"x")=0,IF(Besatzung!$B$20&lt;&gt;"",1,0),(S173="x"))*(G173-IFERROR(H173,0))/IFERROR(IF(COUNTIF(J173:U173,"x")=0,COUNTA(Besatzung!$B$11:$B$22),COUNTIF(J173:U173,"x")),1)+IF(COUNTIF(J173:U173,"x")=0,(Besatzung!$F$20="x"),(S173="x")*(Besatzung!$F$20="x"))*IFERROR(H173,0)/IFERROR(IF(COUNTIF(J173:U173,"x")=0,SUMPRODUCT((Besatzung!$B$11:$B$22&lt;&gt;"")*(Besatzung!$F$11:$F$22="x")),SUMPRODUCT((J173:U173="x")*(Besatzung!$F$11:$F$22="x"))),1))))),0))))</f>
        <v/>
      </c>
      <c r="AF173" s="247">
        <f>IF(C173="Gutschrift","",IF(G173="","",IF(Besatzung!$B$21="","",IFERROR(IF(I173="Zeitanteilig",(Besatzung!$G$21*(G173-IFERROR(H173,0))+((Besatzung!$B$21&lt;&gt;"")*IF(B173="",1,(IF(Besatzung!$C$21="",Besatzung!$B$5,Besatzung!$C$21)&lt;=B173)*(IF(Besatzung!$D$21="",Besatzung!$B$6,Besatzung!$D$21)&gt;=B173)))*(Besatzung!$F$21="x")*IFERROR(H173,0)/IFERROR(SUMPRODUCT((Besatzung!$B$11:$B$22&lt;&gt;"")*(Besatzung!$F$11:$F$22="x")*(IF(Besatzung!$C$11:$C$22="",Besatzung!$B$5,Besatzung!$C$11:$C$22)&lt;=B173)*(IF(Besatzung!$D$11:$D$22="",Besatzung!$B$6,Besatzung!$D$11:$D$22)&gt;=B173)),1)),IF(I173="An Bord",(((Besatzung!$B$21&lt;&gt;"")*IF(B173="",1,(IF(Besatzung!$C$21="",Besatzung!$B$5,Besatzung!$C$21)&lt;=B173)*(IF(Besatzung!$D$21="",Besatzung!$B$6,Besatzung!$D$21)&gt;=B173)))*((G173-IFERROR(H173,0))/IFERROR(SUMPRODUCT((Besatzung!$B$11:$B$22&lt;&gt;"")*(IF(Besatzung!$C$11:$C$22="",Besatzung!$B$5,Besatzung!$C$11:$C$22)&lt;=B173)*(IF(Besatzung!$D$11:$D$22="",Besatzung!$B$6,Besatzung!$D$11:$D$22)&gt;=B173)),1)+(Besatzung!$F$21="x")*IFERROR(H173,0)/IFERROR(SUMPRODUCT((Besatzung!$B$11:$B$22&lt;&gt;"")*(Besatzung!$F$11:$F$22="x")*(IF(Besatzung!$C$11:$C$22="",Besatzung!$B$5,Besatzung!$C$11:$C$22)&lt;=B173)*(IF(Besatzung!$D$11:$D$22="",Besatzung!$B$6,Besatzung!$D$11:$D$22)&gt;=B173)),1))),IF(I173="Individuell",((T173="x")*((G173-IFERROR(H173,0))/IFERROR(COUNTIF(J173:U173,"x"),1)+(Besatzung!$F$21="x")*IFERROR(H173,0)/IFERROR(SUMPRODUCT((J173:U173="x")*(Besatzung!$F$11:$F$22="x")),1))),(IF(COUNTIF(J173:U173,"x")=0,IF(Besatzung!$B$21&lt;&gt;"",1,0),(T173="x"))*(G173-IFERROR(H173,0))/IFERROR(IF(COUNTIF(J173:U173,"x")=0,COUNTA(Besatzung!$B$11:$B$22),COUNTIF(J173:U173,"x")),1)+IF(COUNTIF(J173:U173,"x")=0,(Besatzung!$F$21="x"),(T173="x")*(Besatzung!$F$21="x"))*IFERROR(H173,0)/IFERROR(IF(COUNTIF(J173:U173,"x")=0,SUMPRODUCT((Besatzung!$B$11:$B$22&lt;&gt;"")*(Besatzung!$F$11:$F$22="x")),SUMPRODUCT((J173:U173="x")*(Besatzung!$F$11:$F$22="x"))),1))))),0))))</f>
        <v/>
      </c>
      <c r="AG173" s="247">
        <f>IF(C173="Gutschrift","",IF(G173="","",IF(Besatzung!$B$22="","",IFERROR(IF(I173="Zeitanteilig",(Besatzung!$G$22*(G173-IFERROR(H173,0))+((Besatzung!$B$22&lt;&gt;"")*IF(B173="",1,(IF(Besatzung!$C$22="",Besatzung!$B$5,Besatzung!$C$22)&lt;=B173)*(IF(Besatzung!$D$22="",Besatzung!$B$6,Besatzung!$D$22)&gt;=B173)))*(Besatzung!$F$22="x")*IFERROR(H173,0)/IFERROR(SUMPRODUCT((Besatzung!$B$11:$B$22&lt;&gt;"")*(Besatzung!$F$11:$F$22="x")*(IF(Besatzung!$C$11:$C$22="",Besatzung!$B$5,Besatzung!$C$11:$C$22)&lt;=B173)*(IF(Besatzung!$D$11:$D$22="",Besatzung!$B$6,Besatzung!$D$11:$D$22)&gt;=B173)),1)),IF(I173="An Bord",(((Besatzung!$B$22&lt;&gt;"")*IF(B173="",1,(IF(Besatzung!$C$22="",Besatzung!$B$5,Besatzung!$C$22)&lt;=B173)*(IF(Besatzung!$D$22="",Besatzung!$B$6,Besatzung!$D$22)&gt;=B173)))*((G173-IFERROR(H173,0))/IFERROR(SUMPRODUCT((Besatzung!$B$11:$B$22&lt;&gt;"")*(IF(Besatzung!$C$11:$C$22="",Besatzung!$B$5,Besatzung!$C$11:$C$22)&lt;=B173)*(IF(Besatzung!$D$11:$D$22="",Besatzung!$B$6,Besatzung!$D$11:$D$22)&gt;=B173)),1)+(Besatzung!$F$22="x")*IFERROR(H173,0)/IFERROR(SUMPRODUCT((Besatzung!$B$11:$B$22&lt;&gt;"")*(Besatzung!$F$11:$F$22="x")*(IF(Besatzung!$C$11:$C$22="",Besatzung!$B$5,Besatzung!$C$11:$C$22)&lt;=B173)*(IF(Besatzung!$D$11:$D$22="",Besatzung!$B$6,Besatzung!$D$11:$D$22)&gt;=B173)),1))),IF(I173="Individuell",((U173="x")*((G173-IFERROR(H173,0))/IFERROR(COUNTIF(J173:U173,"x"),1)+(Besatzung!$F$22="x")*IFERROR(H173,0)/IFERROR(SUMPRODUCT((J173:U173="x")*(Besatzung!$F$11:$F$22="x")),1))),(IF(COUNTIF(J173:U173,"x")=0,IF(Besatzung!$B$22&lt;&gt;"",1,0),(U173="x"))*(G173-IFERROR(H173,0))/IFERROR(IF(COUNTIF(J173:U173,"x")=0,COUNTA(Besatzung!$B$11:$B$22),COUNTIF(J173:U173,"x")),1)+IF(COUNTIF(J173:U173,"x")=0,(Besatzung!$F$22="x"),(U173="x")*(Besatzung!$F$22="x"))*IFERROR(H173,0)/IFERROR(IF(COUNTIF(J173:U173,"x")=0,SUMPRODUCT((Besatzung!$B$11:$B$22&lt;&gt;"")*(Besatzung!$F$11:$F$22="x")),SUMPRODUCT((J173:U173="x")*(Besatzung!$F$11:$F$22="x"))),1))))),0))))</f>
        <v/>
      </c>
      <c r="AH173" s="248" t="n"/>
      <c r="AI173" s="248" t="n"/>
    </row>
    <row r="174" ht="21.75" customHeight="1" s="154">
      <c r="A174" s="238">
        <f>IF(AND(D174="",C174=""),"",171)</f>
        <v/>
      </c>
      <c r="B174" s="199" t="n"/>
      <c r="C174" s="239" t="n"/>
      <c r="D174" s="240" t="n"/>
      <c r="E174" s="241" t="n"/>
      <c r="F174" s="242" t="n"/>
      <c r="G174" s="243" t="n"/>
      <c r="H174" s="244" t="n"/>
      <c r="I174" s="245" t="n"/>
      <c r="J174" s="246" t="n"/>
      <c r="K174" s="246" t="n"/>
      <c r="L174" s="246" t="n"/>
      <c r="M174" s="246" t="n"/>
      <c r="N174" s="246" t="n"/>
      <c r="O174" s="246" t="n"/>
      <c r="P174" s="246" t="n"/>
      <c r="Q174" s="246" t="n"/>
      <c r="R174" s="246" t="n"/>
      <c r="S174" s="246" t="n"/>
      <c r="T174" s="246" t="n"/>
      <c r="U174" s="246" t="n"/>
      <c r="V174" s="247">
        <f>IF(C174="Gutschrift","",IF(G174="","",IF(Besatzung!$B$11="","",IFERROR(IF(I174="Zeitanteilig",(Besatzung!$G$11*(G174-IFERROR(H174,0))+((Besatzung!$B$11&lt;&gt;"")*IF(B174="",1,(IF(Besatzung!$C$11="",Besatzung!$B$5,Besatzung!$C$11)&lt;=B174)*(IF(Besatzung!$D$11="",Besatzung!$B$6,Besatzung!$D$11)&gt;=B174)))*(Besatzung!$F$11="x")*IFERROR(H174,0)/IFERROR(SUMPRODUCT((Besatzung!$B$11:$B$22&lt;&gt;"")*(Besatzung!$F$11:$F$22="x")*(IF(Besatzung!$C$11:$C$22="",Besatzung!$B$5,Besatzung!$C$11:$C$22)&lt;=B174)*(IF(Besatzung!$D$11:$D$22="",Besatzung!$B$6,Besatzung!$D$11:$D$22)&gt;=B174)),1)),IF(I174="An Bord",(((Besatzung!$B$11&lt;&gt;"")*IF(B174="",1,(IF(Besatzung!$C$11="",Besatzung!$B$5,Besatzung!$C$11)&lt;=B174)*(IF(Besatzung!$D$11="",Besatzung!$B$6,Besatzung!$D$11)&gt;=B174)))*((G174-IFERROR(H174,0))/IFERROR(SUMPRODUCT((Besatzung!$B$11:$B$22&lt;&gt;"")*(IF(Besatzung!$C$11:$C$22="",Besatzung!$B$5,Besatzung!$C$11:$C$22)&lt;=B174)*(IF(Besatzung!$D$11:$D$22="",Besatzung!$B$6,Besatzung!$D$11:$D$22)&gt;=B174)),1)+(Besatzung!$F$11="x")*IFERROR(H174,0)/IFERROR(SUMPRODUCT((Besatzung!$B$11:$B$22&lt;&gt;"")*(Besatzung!$F$11:$F$22="x")*(IF(Besatzung!$C$11:$C$22="",Besatzung!$B$5,Besatzung!$C$11:$C$22)&lt;=B174)*(IF(Besatzung!$D$11:$D$22="",Besatzung!$B$6,Besatzung!$D$11:$D$22)&gt;=B174)),1))),IF(I174="Individuell",((J174="x")*((G174-IFERROR(H174,0))/IFERROR(COUNTIF(J174:U174,"x"),1)+(Besatzung!$F$11="x")*IFERROR(H174,0)/IFERROR(SUMPRODUCT((J174:U174="x")*(Besatzung!$F$11:$F$22="x")),1))),(IF(COUNTIF(J174:U174,"x")=0,IF(Besatzung!$B$11&lt;&gt;"",1,0),(J174="x"))*(G174-IFERROR(H174,0))/IFERROR(IF(COUNTIF(J174:U174,"x")=0,COUNTA(Besatzung!$B$11:$B$22),COUNTIF(J174:U174,"x")),1)+IF(COUNTIF(J174:U174,"x")=0,(Besatzung!$F$11="x"),(J174="x")*(Besatzung!$F$11="x"))*IFERROR(H174,0)/IFERROR(IF(COUNTIF(J174:U174,"x")=0,SUMPRODUCT((Besatzung!$B$11:$B$22&lt;&gt;"")*(Besatzung!$F$11:$F$22="x")),SUMPRODUCT((J174:U174="x")*(Besatzung!$F$11:$F$22="x"))),1))))),0))))</f>
        <v/>
      </c>
      <c r="W174" s="247">
        <f>IF(C174="Gutschrift","",IF(G174="","",IF(Besatzung!$B$12="","",IFERROR(IF(I174="Zeitanteilig",(Besatzung!$G$12*(G174-IFERROR(H174,0))+((Besatzung!$B$12&lt;&gt;"")*IF(B174="",1,(IF(Besatzung!$C$12="",Besatzung!$B$5,Besatzung!$C$12)&lt;=B174)*(IF(Besatzung!$D$12="",Besatzung!$B$6,Besatzung!$D$12)&gt;=B174)))*(Besatzung!$F$12="x")*IFERROR(H174,0)/IFERROR(SUMPRODUCT((Besatzung!$B$11:$B$22&lt;&gt;"")*(Besatzung!$F$11:$F$22="x")*(IF(Besatzung!$C$11:$C$22="",Besatzung!$B$5,Besatzung!$C$11:$C$22)&lt;=B174)*(IF(Besatzung!$D$11:$D$22="",Besatzung!$B$6,Besatzung!$D$11:$D$22)&gt;=B174)),1)),IF(I174="An Bord",(((Besatzung!$B$12&lt;&gt;"")*IF(B174="",1,(IF(Besatzung!$C$12="",Besatzung!$B$5,Besatzung!$C$12)&lt;=B174)*(IF(Besatzung!$D$12="",Besatzung!$B$6,Besatzung!$D$12)&gt;=B174)))*((G174-IFERROR(H174,0))/IFERROR(SUMPRODUCT((Besatzung!$B$11:$B$22&lt;&gt;"")*(IF(Besatzung!$C$11:$C$22="",Besatzung!$B$5,Besatzung!$C$11:$C$22)&lt;=B174)*(IF(Besatzung!$D$11:$D$22="",Besatzung!$B$6,Besatzung!$D$11:$D$22)&gt;=B174)),1)+(Besatzung!$F$12="x")*IFERROR(H174,0)/IFERROR(SUMPRODUCT((Besatzung!$B$11:$B$22&lt;&gt;"")*(Besatzung!$F$11:$F$22="x")*(IF(Besatzung!$C$11:$C$22="",Besatzung!$B$5,Besatzung!$C$11:$C$22)&lt;=B174)*(IF(Besatzung!$D$11:$D$22="",Besatzung!$B$6,Besatzung!$D$11:$D$22)&gt;=B174)),1))),IF(I174="Individuell",((K174="x")*((G174-IFERROR(H174,0))/IFERROR(COUNTIF(J174:U174,"x"),1)+(Besatzung!$F$12="x")*IFERROR(H174,0)/IFERROR(SUMPRODUCT((J174:U174="x")*(Besatzung!$F$11:$F$22="x")),1))),(IF(COUNTIF(J174:U174,"x")=0,IF(Besatzung!$B$12&lt;&gt;"",1,0),(K174="x"))*(G174-IFERROR(H174,0))/IFERROR(IF(COUNTIF(J174:U174,"x")=0,COUNTA(Besatzung!$B$11:$B$22),COUNTIF(J174:U174,"x")),1)+IF(COUNTIF(J174:U174,"x")=0,(Besatzung!$F$12="x"),(K174="x")*(Besatzung!$F$12="x"))*IFERROR(H174,0)/IFERROR(IF(COUNTIF(J174:U174,"x")=0,SUMPRODUCT((Besatzung!$B$11:$B$22&lt;&gt;"")*(Besatzung!$F$11:$F$22="x")),SUMPRODUCT((J174:U174="x")*(Besatzung!$F$11:$F$22="x"))),1))))),0))))</f>
        <v/>
      </c>
      <c r="X174" s="247">
        <f>IF(C174="Gutschrift","",IF(G174="","",IF(Besatzung!$B$13="","",IFERROR(IF(I174="Zeitanteilig",(Besatzung!$G$13*(G174-IFERROR(H174,0))+((Besatzung!$B$13&lt;&gt;"")*IF(B174="",1,(IF(Besatzung!$C$13="",Besatzung!$B$5,Besatzung!$C$13)&lt;=B174)*(IF(Besatzung!$D$13="",Besatzung!$B$6,Besatzung!$D$13)&gt;=B174)))*(Besatzung!$F$13="x")*IFERROR(H174,0)/IFERROR(SUMPRODUCT((Besatzung!$B$11:$B$22&lt;&gt;"")*(Besatzung!$F$11:$F$22="x")*(IF(Besatzung!$C$11:$C$22="",Besatzung!$B$5,Besatzung!$C$11:$C$22)&lt;=B174)*(IF(Besatzung!$D$11:$D$22="",Besatzung!$B$6,Besatzung!$D$11:$D$22)&gt;=B174)),1)),IF(I174="An Bord",(((Besatzung!$B$13&lt;&gt;"")*IF(B174="",1,(IF(Besatzung!$C$13="",Besatzung!$B$5,Besatzung!$C$13)&lt;=B174)*(IF(Besatzung!$D$13="",Besatzung!$B$6,Besatzung!$D$13)&gt;=B174)))*((G174-IFERROR(H174,0))/IFERROR(SUMPRODUCT((Besatzung!$B$11:$B$22&lt;&gt;"")*(IF(Besatzung!$C$11:$C$22="",Besatzung!$B$5,Besatzung!$C$11:$C$22)&lt;=B174)*(IF(Besatzung!$D$11:$D$22="",Besatzung!$B$6,Besatzung!$D$11:$D$22)&gt;=B174)),1)+(Besatzung!$F$13="x")*IFERROR(H174,0)/IFERROR(SUMPRODUCT((Besatzung!$B$11:$B$22&lt;&gt;"")*(Besatzung!$F$11:$F$22="x")*(IF(Besatzung!$C$11:$C$22="",Besatzung!$B$5,Besatzung!$C$11:$C$22)&lt;=B174)*(IF(Besatzung!$D$11:$D$22="",Besatzung!$B$6,Besatzung!$D$11:$D$22)&gt;=B174)),1))),IF(I174="Individuell",((K174="x")*((G174-IFERROR(H174,0))/IFERROR(COUNTIF(J174:U174,"x"),1)+(Besatzung!$F$13="x")*IFERROR(H174,0)/IFERROR(SUMPRODUCT((J174:U174="x")*(Besatzung!$F$11:$F$22="x")),1))),(IF(COUNTIF(J174:U174,"x")=0,IF(Besatzung!$B$13&lt;&gt;"",1,0),(K174="x"))*(G174-IFERROR(H174,0))/IFERROR(IF(COUNTIF(J174:U174,"x")=0,COUNTA(Besatzung!$B$11:$B$22),COUNTIF(J174:U174,"x")),1)+IF(COUNTIF(J174:U174,"x")=0,(Besatzung!$F$13="x"),(K174="x")*(Besatzung!$F$13="x"))*IFERROR(H174,0)/IFERROR(IF(COUNTIF(J174:U174,"x")=0,SUMPRODUCT((Besatzung!$B$11:$B$22&lt;&gt;"")*(Besatzung!$F$11:$F$22="x")),SUMPRODUCT((J174:U174="x")*(Besatzung!$F$11:$F$22="x"))),1))))),0))))</f>
        <v/>
      </c>
      <c r="Y174" s="247">
        <f>IF(C174="Gutschrift","",IF(G174="","",IF(Besatzung!$B$14="","",IFERROR(IF(I174="Zeitanteilig",(Besatzung!$G$14*(G174-IFERROR(H174,0))+((Besatzung!$B$14&lt;&gt;"")*IF(B174="",1,(IF(Besatzung!$C$14="",Besatzung!$B$5,Besatzung!$C$14)&lt;=B174)*(IF(Besatzung!$D$14="",Besatzung!$B$6,Besatzung!$D$14)&gt;=B174)))*(Besatzung!$F$14="x")*IFERROR(H174,0)/IFERROR(SUMPRODUCT((Besatzung!$B$11:$B$22&lt;&gt;"")*(Besatzung!$F$11:$F$22="x")*(IF(Besatzung!$C$11:$C$22="",Besatzung!$B$5,Besatzung!$C$11:$C$22)&lt;=B174)*(IF(Besatzung!$D$11:$D$22="",Besatzung!$B$6,Besatzung!$D$11:$D$22)&gt;=B174)),1)),IF(I174="An Bord",(((Besatzung!$B$14&lt;&gt;"")*IF(B174="",1,(IF(Besatzung!$C$14="",Besatzung!$B$5,Besatzung!$C$14)&lt;=B174)*(IF(Besatzung!$D$14="",Besatzung!$B$6,Besatzung!$D$14)&gt;=B174)))*((G174-IFERROR(H174,0))/IFERROR(SUMPRODUCT((Besatzung!$B$11:$B$22&lt;&gt;"")*(IF(Besatzung!$C$11:$C$22="",Besatzung!$B$5,Besatzung!$C$11:$C$22)&lt;=B174)*(IF(Besatzung!$D$11:$D$22="",Besatzung!$B$6,Besatzung!$D$11:$D$22)&gt;=B174)),1)+(Besatzung!$F$14="x")*IFERROR(H174,0)/IFERROR(SUMPRODUCT((Besatzung!$B$11:$B$22&lt;&gt;"")*(Besatzung!$F$11:$F$22="x")*(IF(Besatzung!$C$11:$C$22="",Besatzung!$B$5,Besatzung!$C$11:$C$22)&lt;=B174)*(IF(Besatzung!$D$11:$D$22="",Besatzung!$B$6,Besatzung!$D$11:$D$22)&gt;=B174)),1))),IF(I174="Individuell",((M174="x")*((G174-IFERROR(H174,0))/IFERROR(COUNTIF(J174:U174,"x"),1)+(Besatzung!$F$14="x")*IFERROR(H174,0)/IFERROR(SUMPRODUCT((J174:U174="x")*(Besatzung!$F$11:$F$22="x")),1))),(IF(COUNTIF(J174:U174,"x")=0,IF(Besatzung!$B$14&lt;&gt;"",1,0),(M174="x"))*(G174-IFERROR(H174,0))/IFERROR(IF(COUNTIF(J174:U174,"x")=0,COUNTA(Besatzung!$B$11:$B$22),COUNTIF(J174:U174,"x")),1)+IF(COUNTIF(J174:U174,"x")=0,(Besatzung!$F$14="x"),(M174="x")*(Besatzung!$F$14="x"))*IFERROR(H174,0)/IFERROR(IF(COUNTIF(J174:U174,"x")=0,SUMPRODUCT((Besatzung!$B$11:$B$22&lt;&gt;"")*(Besatzung!$F$11:$F$22="x")),SUMPRODUCT((J174:U174="x")*(Besatzung!$F$11:$F$22="x"))),1))))),0))))</f>
        <v/>
      </c>
      <c r="Z174" s="247">
        <f>IF(C174="Gutschrift","",IF(G174="","",IF(Besatzung!$B$13="","",IFERROR(IF(I174="Zeitanteilig",(Besatzung!$G$15*(G174-IFERROR(H174,0))+((Besatzung!$B$13&lt;&gt;"")*IF(B174="",1,(IF(Besatzung!$C$15="",Besatzung!$B$5,Besatzung!$C$15)&lt;=B174)*(IF(Besatzung!$D$15="",Besatzung!$B$6,Besatzung!$D$15)&gt;=B174)))*(Besatzung!$F$15="x")*IFERROR(H174,0)/IFERROR(SUMPRODUCT((Besatzung!$B$11:$B$22&lt;&gt;"")*(Besatzung!$F$11:$F$22="x")*(IF(Besatzung!$C$11:$C$22="",Besatzung!$B$5,Besatzung!$C$11:$C$22)&lt;=B174)*(IF(Besatzung!$D$11:$D$22="",Besatzung!$B$6,Besatzung!$D$11:$D$22)&gt;=B174)),1)),IF(I174="An Bord",(((Besatzung!$B$13&lt;&gt;"")*IF(B174="",1,(IF(Besatzung!$C$15="",Besatzung!$B$5,Besatzung!$C$15)&lt;=B174)*(IF(Besatzung!$D$15="",Besatzung!$B$6,Besatzung!$D$15)&gt;=B174)))*((G174-IFERROR(H174,0))/IFERROR(SUMPRODUCT((Besatzung!$B$11:$B$22&lt;&gt;"")*(IF(Besatzung!$C$11:$C$22="",Besatzung!$B$5,Besatzung!$C$11:$C$22)&lt;=B174)*(IF(Besatzung!$D$11:$D$22="",Besatzung!$B$6,Besatzung!$D$11:$D$22)&gt;=B174)),1)+(Besatzung!$F$15="x")*IFERROR(H174,0)/IFERROR(SUMPRODUCT((Besatzung!$B$11:$B$22&lt;&gt;"")*(Besatzung!$F$11:$F$22="x")*(IF(Besatzung!$C$11:$C$22="",Besatzung!$B$5,Besatzung!$C$11:$C$22)&lt;=B174)*(IF(Besatzung!$D$11:$D$22="",Besatzung!$B$6,Besatzung!$D$11:$D$22)&gt;=B174)),1))),IF(I174="Individuell",((N174="x")*((G174-IFERROR(H174,0))/IFERROR(COUNTIF(J174:U174,"x"),1)+(Besatzung!$F$15="x")*IFERROR(H174,0)/IFERROR(SUMPRODUCT((J174:U174="x")*(Besatzung!$F$11:$F$22="x")),1))),(IF(COUNTIF(J174:U174,"x")=0,IF(Besatzung!$B$13&lt;&gt;"",1,0),(N174="x"))*(G174-IFERROR(H174,0))/IFERROR(IF(COUNTIF(J174:U174,"x")=0,COUNTA(Besatzung!$B$11:$B$22),COUNTIF(J174:U174,"x")),1)+IF(COUNTIF(J174:U174,"x")=0,(Besatzung!$F$15="x"),(N174="x")*(Besatzung!$F$15="x"))*IFERROR(H174,0)/IFERROR(IF(COUNTIF(J174:U174,"x")=0,SUMPRODUCT((Besatzung!$B$11:$B$22&lt;&gt;"")*(Besatzung!$F$11:$F$22="x")),SUMPRODUCT((J174:U174="x")*(Besatzung!$F$11:$F$22="x"))),1))))),0))))</f>
        <v/>
      </c>
      <c r="AA174" s="247">
        <f>IF(C174="Gutschrift","",IF(G174="","",IF(Besatzung!$B$15="","",IFERROR(IF(I174="Zeitanteilig",(Besatzung!$G$16*(G174-IFERROR(H174,0))+((Besatzung!$B$15&lt;&gt;"")*IF(B174="",1,(IF(Besatzung!$C$16="",Besatzung!$B$5,Besatzung!$C$16)&lt;=B174)*(IF(Besatzung!$D$16="",Besatzung!$B$6,Besatzung!$D$16)&gt;=B174)))*(Besatzung!$F$16="x")*IFERROR(H174,0)/IFERROR(SUMPRODUCT((Besatzung!$B$11:$B$22&lt;&gt;"")*(Besatzung!$F$11:$F$22="x")*(IF(Besatzung!$C$11:$C$22="",Besatzung!$B$5,Besatzung!$C$11:$C$22)&lt;=B174)*(IF(Besatzung!$D$11:$D$22="",Besatzung!$B$6,Besatzung!$D$11:$D$22)&gt;=B174)),1)),IF(I174="An Bord",(((Besatzung!$B$15&lt;&gt;"")*IF(B174="",1,(IF(Besatzung!$C$16="",Besatzung!$B$5,Besatzung!$C$16)&lt;=B174)*(IF(Besatzung!$D$16="",Besatzung!$B$6,Besatzung!$D$16)&gt;=B174)))*((G174-IFERROR(H174,0))/IFERROR(SUMPRODUCT((Besatzung!$B$11:$B$22&lt;&gt;"")*(IF(Besatzung!$C$11:$C$22="",Besatzung!$B$5,Besatzung!$C$11:$C$22)&lt;=B174)*(IF(Besatzung!$D$11:$D$22="",Besatzung!$B$6,Besatzung!$D$11:$D$22)&gt;=B174)),1)+(Besatzung!$F$16="x")*IFERROR(H174,0)/IFERROR(SUMPRODUCT((Besatzung!$B$11:$B$22&lt;&gt;"")*(Besatzung!$F$11:$F$22="x")*(IF(Besatzung!$C$11:$C$22="",Besatzung!$B$5,Besatzung!$C$11:$C$22)&lt;=B174)*(IF(Besatzung!$D$11:$D$22="",Besatzung!$B$6,Besatzung!$D$11:$D$22)&gt;=B174)),1))),IF(I174="Individuell",((O174="x")*((G174-IFERROR(H174,0))/IFERROR(COUNTIF(J174:U174,"x"),1)+(Besatzung!$F$16="x")*IFERROR(H174,0)/IFERROR(SUMPRODUCT((J174:U174="x")*(Besatzung!$F$11:$F$22="x")),1))),(IF(COUNTIF(J174:U174,"x")=0,IF(Besatzung!$B$15&lt;&gt;"",1,0),(O174="x"))*(G174-IFERROR(H174,0))/IFERROR(IF(COUNTIF(J174:U174,"x")=0,COUNTA(Besatzung!$B$11:$B$22),COUNTIF(J174:U174,"x")),1)+IF(COUNTIF(J174:U174,"x")=0,(Besatzung!$F$16="x"),(O174="x")*(Besatzung!$F$16="x"))*IFERROR(H174,0)/IFERROR(IF(COUNTIF(J174:U174,"x")=0,SUMPRODUCT((Besatzung!$B$11:$B$22&lt;&gt;"")*(Besatzung!$F$11:$F$22="x")),SUMPRODUCT((J174:U174="x")*(Besatzung!$F$11:$F$22="x"))),1))))),0))))</f>
        <v/>
      </c>
      <c r="AB174" s="247">
        <f>IF(C174="Gutschrift","",IF(G174="","",IF(Besatzung!$B$17="","",IFERROR(IF(I174="Zeitanteilig",(Besatzung!$G$17*(G174-IFERROR(H174,0))+((Besatzung!$B$17&lt;&gt;"")*IF(B174="",1,(IF(Besatzung!$C$17="",Besatzung!$B$5,Besatzung!$C$17)&lt;=B174)*(IF(Besatzung!$D$17="",Besatzung!$B$6,Besatzung!$D$17)&gt;=B174)))*(Besatzung!$F$17="x")*IFERROR(H174,0)/IFERROR(SUMPRODUCT((Besatzung!$B$11:$B$22&lt;&gt;"")*(Besatzung!$F$11:$F$22="x")*(IF(Besatzung!$C$11:$C$22="",Besatzung!$B$5,Besatzung!$C$11:$C$22)&lt;=B174)*(IF(Besatzung!$D$11:$D$22="",Besatzung!$B$6,Besatzung!$D$11:$D$22)&gt;=B174)),1)),IF(I174="An Bord",(((Besatzung!$B$17&lt;&gt;"")*IF(B174="",1,(IF(Besatzung!$C$17="",Besatzung!$B$5,Besatzung!$C$17)&lt;=B174)*(IF(Besatzung!$D$17="",Besatzung!$B$6,Besatzung!$D$17)&gt;=B174)))*((G174-IFERROR(H174,0))/IFERROR(SUMPRODUCT((Besatzung!$B$11:$B$22&lt;&gt;"")*(IF(Besatzung!$C$11:$C$22="",Besatzung!$B$5,Besatzung!$C$11:$C$22)&lt;=B174)*(IF(Besatzung!$D$11:$D$22="",Besatzung!$B$6,Besatzung!$D$11:$D$22)&gt;=B174)),1)+(Besatzung!$F$17="x")*IFERROR(H174,0)/IFERROR(SUMPRODUCT((Besatzung!$B$11:$B$22&lt;&gt;"")*(Besatzung!$F$11:$F$22="x")*(IF(Besatzung!$C$11:$C$22="",Besatzung!$B$5,Besatzung!$C$11:$C$22)&lt;=B174)*(IF(Besatzung!$D$11:$D$22="",Besatzung!$B$6,Besatzung!$D$11:$D$22)&gt;=B174)),1))),IF(I174="Individuell",((P174="x")*((G174-IFERROR(H174,0))/IFERROR(COUNTIF(J174:U174,"x"),1)+(Besatzung!$F$17="x")*IFERROR(H174,0)/IFERROR(SUMPRODUCT((J174:U174="x")*(Besatzung!$F$11:$F$22="x")),1))),(IF(COUNTIF(J174:U174,"x")=0,IF(Besatzung!$B$17&lt;&gt;"",1,0),(P174="x"))*(G174-IFERROR(H174,0))/IFERROR(IF(COUNTIF(J174:U174,"x")=0,COUNTA(Besatzung!$B$11:$B$22),COUNTIF(J174:U174,"x")),1)+IF(COUNTIF(J174:U174,"x")=0,(Besatzung!$F$17="x"),(P174="x")*(Besatzung!$F$17="x"))*IFERROR(H174,0)/IFERROR(IF(COUNTIF(J174:U174,"x")=0,SUMPRODUCT((Besatzung!$B$11:$B$22&lt;&gt;"")*(Besatzung!$F$11:$F$22="x")),SUMPRODUCT((J174:U174="x")*(Besatzung!$F$11:$F$22="x"))),1))))),0))))</f>
        <v/>
      </c>
      <c r="AC174" s="247">
        <f>IF(C174="Gutschrift","",IF(G174="","",IF(Besatzung!$B$18="","",IFERROR(IF(I174="Zeitanteilig",(Besatzung!$G$18*(G174-IFERROR(H174,0))+((Besatzung!$B$18&lt;&gt;"")*IF(B174="",1,(IF(Besatzung!$C$18="",Besatzung!$B$5,Besatzung!$C$18)&lt;=B174)*(IF(Besatzung!$D$18="",Besatzung!$B$6,Besatzung!$D$18)&gt;=B174)))*(Besatzung!$F$18="x")*IFERROR(H174,0)/IFERROR(SUMPRODUCT((Besatzung!$B$11:$B$22&lt;&gt;"")*(Besatzung!$F$11:$F$22="x")*(IF(Besatzung!$C$11:$C$22="",Besatzung!$B$5,Besatzung!$C$11:$C$22)&lt;=B174)*(IF(Besatzung!$D$11:$D$22="",Besatzung!$B$6,Besatzung!$D$11:$D$22)&gt;=B174)),1)),IF(I174="An Bord",(((Besatzung!$B$18&lt;&gt;"")*IF(B174="",1,(IF(Besatzung!$C$18="",Besatzung!$B$5,Besatzung!$C$18)&lt;=B174)*(IF(Besatzung!$D$18="",Besatzung!$B$6,Besatzung!$D$18)&gt;=B174)))*((G174-IFERROR(H174,0))/IFERROR(SUMPRODUCT((Besatzung!$B$11:$B$22&lt;&gt;"")*(IF(Besatzung!$C$11:$C$22="",Besatzung!$B$5,Besatzung!$C$11:$C$22)&lt;=B174)*(IF(Besatzung!$D$11:$D$22="",Besatzung!$B$6,Besatzung!$D$11:$D$22)&gt;=B174)),1)+(Besatzung!$F$18="x")*IFERROR(H174,0)/IFERROR(SUMPRODUCT((Besatzung!$B$11:$B$22&lt;&gt;"")*(Besatzung!$F$11:$F$22="x")*(IF(Besatzung!$C$11:$C$22="",Besatzung!$B$5,Besatzung!$C$11:$C$22)&lt;=B174)*(IF(Besatzung!$D$11:$D$22="",Besatzung!$B$6,Besatzung!$D$11:$D$22)&gt;=B174)),1))),IF(I174="Individuell",((Q174="x")*((G174-IFERROR(H174,0))/IFERROR(COUNTIF(J174:U174,"x"),1)+(Besatzung!$F$18="x")*IFERROR(H174,0)/IFERROR(SUMPRODUCT((J174:U174="x")*(Besatzung!$F$11:$F$22="x")),1))),(IF(COUNTIF(J174:U174,"x")=0,IF(Besatzung!$B$18&lt;&gt;"",1,0),(Q174="x"))*(G174-IFERROR(H174,0))/IFERROR(IF(COUNTIF(J174:U174,"x")=0,COUNTA(Besatzung!$B$11:$B$22),COUNTIF(J174:U174,"x")),1)+IF(COUNTIF(J174:U174,"x")=0,(Besatzung!$F$18="x"),(Q174="x")*(Besatzung!$F$18="x"))*IFERROR(H174,0)/IFERROR(IF(COUNTIF(J174:U174,"x")=0,SUMPRODUCT((Besatzung!$B$11:$B$22&lt;&gt;"")*(Besatzung!$F$11:$F$22="x")),SUMPRODUCT((J174:U174="x")*(Besatzung!$F$11:$F$22="x"))),1))))),0))))</f>
        <v/>
      </c>
      <c r="AD174" s="247">
        <f>IF(C174="Gutschrift","",IF(G174="","",IF(Besatzung!$B$19="","",IFERROR(IF(I174="Zeitanteilig",(Besatzung!$G$19*(G174-IFERROR(H174,0))+((Besatzung!$B$19&lt;&gt;"")*IF(B174="",1,(IF(Besatzung!$C$19="",Besatzung!$B$5,Besatzung!$C$19)&lt;=B174)*(IF(Besatzung!$D$19="",Besatzung!$B$6,Besatzung!$D$19)&gt;=B174)))*(Besatzung!$F$19="x")*IFERROR(H174,0)/IFERROR(SUMPRODUCT((Besatzung!$B$11:$B$22&lt;&gt;"")*(Besatzung!$F$11:$F$22="x")*(IF(Besatzung!$C$11:$C$22="",Besatzung!$B$5,Besatzung!$C$11:$C$22)&lt;=B174)*(IF(Besatzung!$D$11:$D$22="",Besatzung!$B$6,Besatzung!$D$11:$D$22)&gt;=B174)),1)),IF(I174="An Bord",(((Besatzung!$B$19&lt;&gt;"")*IF(B174="",1,(IF(Besatzung!$C$19="",Besatzung!$B$5,Besatzung!$C$19)&lt;=B174)*(IF(Besatzung!$D$19="",Besatzung!$B$6,Besatzung!$D$19)&gt;=B174)))*((G174-IFERROR(H174,0))/IFERROR(SUMPRODUCT((Besatzung!$B$11:$B$22&lt;&gt;"")*(IF(Besatzung!$C$11:$C$22="",Besatzung!$B$5,Besatzung!$C$11:$C$22)&lt;=B174)*(IF(Besatzung!$D$11:$D$22="",Besatzung!$B$6,Besatzung!$D$11:$D$22)&gt;=B174)),1)+(Besatzung!$F$19="x")*IFERROR(H174,0)/IFERROR(SUMPRODUCT((Besatzung!$B$11:$B$22&lt;&gt;"")*(Besatzung!$F$11:$F$22="x")*(IF(Besatzung!$C$11:$C$22="",Besatzung!$B$5,Besatzung!$C$11:$C$22)&lt;=B174)*(IF(Besatzung!$D$11:$D$22="",Besatzung!$B$6,Besatzung!$D$11:$D$22)&gt;=B174)),1))),IF(I174="Individuell",((R174="x")*((G174-IFERROR(H174,0))/IFERROR(COUNTIF(J174:U174,"x"),1)+(Besatzung!$F$19="x")*IFERROR(H174,0)/IFERROR(SUMPRODUCT((J174:U174="x")*(Besatzung!$F$11:$F$22="x")),1))),(IF(COUNTIF(J174:U174,"x")=0,IF(Besatzung!$B$19&lt;&gt;"",1,0),(R174="x"))*(G174-IFERROR(H174,0))/IFERROR(IF(COUNTIF(J174:U174,"x")=0,COUNTA(Besatzung!$B$11:$B$22),COUNTIF(J174:U174,"x")),1)+IF(COUNTIF(J174:U174,"x")=0,(Besatzung!$F$19="x"),(R174="x")*(Besatzung!$F$19="x"))*IFERROR(H174,0)/IFERROR(IF(COUNTIF(J174:U174,"x")=0,SUMPRODUCT((Besatzung!$B$11:$B$22&lt;&gt;"")*(Besatzung!$F$11:$F$22="x")),SUMPRODUCT((J174:U174="x")*(Besatzung!$F$11:$F$22="x"))),1))))),0))))</f>
        <v/>
      </c>
      <c r="AE174" s="247">
        <f>IF(C174="Gutschrift","",IF(G174="","",IF(Besatzung!$B$20="","",IFERROR(IF(I174="Zeitanteilig",(Besatzung!$G$20*(G174-IFERROR(H174,0))+((Besatzung!$B$20&lt;&gt;"")*IF(B174="",1,(IF(Besatzung!$C$20="",Besatzung!$B$5,Besatzung!$C$20)&lt;=B174)*(IF(Besatzung!$D$20="",Besatzung!$B$6,Besatzung!$D$20)&gt;=B174)))*(Besatzung!$F$20="x")*IFERROR(H174,0)/IFERROR(SUMPRODUCT((Besatzung!$B$11:$B$22&lt;&gt;"")*(Besatzung!$F$11:$F$22="x")*(IF(Besatzung!$C$11:$C$22="",Besatzung!$B$5,Besatzung!$C$11:$C$22)&lt;=B174)*(IF(Besatzung!$D$11:$D$22="",Besatzung!$B$6,Besatzung!$D$11:$D$22)&gt;=B174)),1)),IF(I174="An Bord",(((Besatzung!$B$20&lt;&gt;"")*IF(B174="",1,(IF(Besatzung!$C$20="",Besatzung!$B$5,Besatzung!$C$20)&lt;=B174)*(IF(Besatzung!$D$20="",Besatzung!$B$6,Besatzung!$D$20)&gt;=B174)))*((G174-IFERROR(H174,0))/IFERROR(SUMPRODUCT((Besatzung!$B$11:$B$22&lt;&gt;"")*(IF(Besatzung!$C$11:$C$22="",Besatzung!$B$5,Besatzung!$C$11:$C$22)&lt;=B174)*(IF(Besatzung!$D$11:$D$22="",Besatzung!$B$6,Besatzung!$D$11:$D$22)&gt;=B174)),1)+(Besatzung!$F$20="x")*IFERROR(H174,0)/IFERROR(SUMPRODUCT((Besatzung!$B$11:$B$22&lt;&gt;"")*(Besatzung!$F$11:$F$22="x")*(IF(Besatzung!$C$11:$C$22="",Besatzung!$B$5,Besatzung!$C$11:$C$22)&lt;=B174)*(IF(Besatzung!$D$11:$D$22="",Besatzung!$B$6,Besatzung!$D$11:$D$22)&gt;=B174)),1))),IF(I174="Individuell",((S174="x")*((G174-IFERROR(H174,0))/IFERROR(COUNTIF(J174:U174,"x"),1)+(Besatzung!$F$20="x")*IFERROR(H174,0)/IFERROR(SUMPRODUCT((J174:U174="x")*(Besatzung!$F$11:$F$22="x")),1))),(IF(COUNTIF(J174:U174,"x")=0,IF(Besatzung!$B$20&lt;&gt;"",1,0),(S174="x"))*(G174-IFERROR(H174,0))/IFERROR(IF(COUNTIF(J174:U174,"x")=0,COUNTA(Besatzung!$B$11:$B$22),COUNTIF(J174:U174,"x")),1)+IF(COUNTIF(J174:U174,"x")=0,(Besatzung!$F$20="x"),(S174="x")*(Besatzung!$F$20="x"))*IFERROR(H174,0)/IFERROR(IF(COUNTIF(J174:U174,"x")=0,SUMPRODUCT((Besatzung!$B$11:$B$22&lt;&gt;"")*(Besatzung!$F$11:$F$22="x")),SUMPRODUCT((J174:U174="x")*(Besatzung!$F$11:$F$22="x"))),1))))),0))))</f>
        <v/>
      </c>
      <c r="AF174" s="247">
        <f>IF(C174="Gutschrift","",IF(G174="","",IF(Besatzung!$B$21="","",IFERROR(IF(I174="Zeitanteilig",(Besatzung!$G$21*(G174-IFERROR(H174,0))+((Besatzung!$B$21&lt;&gt;"")*IF(B174="",1,(IF(Besatzung!$C$21="",Besatzung!$B$5,Besatzung!$C$21)&lt;=B174)*(IF(Besatzung!$D$21="",Besatzung!$B$6,Besatzung!$D$21)&gt;=B174)))*(Besatzung!$F$21="x")*IFERROR(H174,0)/IFERROR(SUMPRODUCT((Besatzung!$B$11:$B$22&lt;&gt;"")*(Besatzung!$F$11:$F$22="x")*(IF(Besatzung!$C$11:$C$22="",Besatzung!$B$5,Besatzung!$C$11:$C$22)&lt;=B174)*(IF(Besatzung!$D$11:$D$22="",Besatzung!$B$6,Besatzung!$D$11:$D$22)&gt;=B174)),1)),IF(I174="An Bord",(((Besatzung!$B$21&lt;&gt;"")*IF(B174="",1,(IF(Besatzung!$C$21="",Besatzung!$B$5,Besatzung!$C$21)&lt;=B174)*(IF(Besatzung!$D$21="",Besatzung!$B$6,Besatzung!$D$21)&gt;=B174)))*((G174-IFERROR(H174,0))/IFERROR(SUMPRODUCT((Besatzung!$B$11:$B$22&lt;&gt;"")*(IF(Besatzung!$C$11:$C$22="",Besatzung!$B$5,Besatzung!$C$11:$C$22)&lt;=B174)*(IF(Besatzung!$D$11:$D$22="",Besatzung!$B$6,Besatzung!$D$11:$D$22)&gt;=B174)),1)+(Besatzung!$F$21="x")*IFERROR(H174,0)/IFERROR(SUMPRODUCT((Besatzung!$B$11:$B$22&lt;&gt;"")*(Besatzung!$F$11:$F$22="x")*(IF(Besatzung!$C$11:$C$22="",Besatzung!$B$5,Besatzung!$C$11:$C$22)&lt;=B174)*(IF(Besatzung!$D$11:$D$22="",Besatzung!$B$6,Besatzung!$D$11:$D$22)&gt;=B174)),1))),IF(I174="Individuell",((T174="x")*((G174-IFERROR(H174,0))/IFERROR(COUNTIF(J174:U174,"x"),1)+(Besatzung!$F$21="x")*IFERROR(H174,0)/IFERROR(SUMPRODUCT((J174:U174="x")*(Besatzung!$F$11:$F$22="x")),1))),(IF(COUNTIF(J174:U174,"x")=0,IF(Besatzung!$B$21&lt;&gt;"",1,0),(T174="x"))*(G174-IFERROR(H174,0))/IFERROR(IF(COUNTIF(J174:U174,"x")=0,COUNTA(Besatzung!$B$11:$B$22),COUNTIF(J174:U174,"x")),1)+IF(COUNTIF(J174:U174,"x")=0,(Besatzung!$F$21="x"),(T174="x")*(Besatzung!$F$21="x"))*IFERROR(H174,0)/IFERROR(IF(COUNTIF(J174:U174,"x")=0,SUMPRODUCT((Besatzung!$B$11:$B$22&lt;&gt;"")*(Besatzung!$F$11:$F$22="x")),SUMPRODUCT((J174:U174="x")*(Besatzung!$F$11:$F$22="x"))),1))))),0))))</f>
        <v/>
      </c>
      <c r="AG174" s="247">
        <f>IF(C174="Gutschrift","",IF(G174="","",IF(Besatzung!$B$22="","",IFERROR(IF(I174="Zeitanteilig",(Besatzung!$G$22*(G174-IFERROR(H174,0))+((Besatzung!$B$22&lt;&gt;"")*IF(B174="",1,(IF(Besatzung!$C$22="",Besatzung!$B$5,Besatzung!$C$22)&lt;=B174)*(IF(Besatzung!$D$22="",Besatzung!$B$6,Besatzung!$D$22)&gt;=B174)))*(Besatzung!$F$22="x")*IFERROR(H174,0)/IFERROR(SUMPRODUCT((Besatzung!$B$11:$B$22&lt;&gt;"")*(Besatzung!$F$11:$F$22="x")*(IF(Besatzung!$C$11:$C$22="",Besatzung!$B$5,Besatzung!$C$11:$C$22)&lt;=B174)*(IF(Besatzung!$D$11:$D$22="",Besatzung!$B$6,Besatzung!$D$11:$D$22)&gt;=B174)),1)),IF(I174="An Bord",(((Besatzung!$B$22&lt;&gt;"")*IF(B174="",1,(IF(Besatzung!$C$22="",Besatzung!$B$5,Besatzung!$C$22)&lt;=B174)*(IF(Besatzung!$D$22="",Besatzung!$B$6,Besatzung!$D$22)&gt;=B174)))*((G174-IFERROR(H174,0))/IFERROR(SUMPRODUCT((Besatzung!$B$11:$B$22&lt;&gt;"")*(IF(Besatzung!$C$11:$C$22="",Besatzung!$B$5,Besatzung!$C$11:$C$22)&lt;=B174)*(IF(Besatzung!$D$11:$D$22="",Besatzung!$B$6,Besatzung!$D$11:$D$22)&gt;=B174)),1)+(Besatzung!$F$22="x")*IFERROR(H174,0)/IFERROR(SUMPRODUCT((Besatzung!$B$11:$B$22&lt;&gt;"")*(Besatzung!$F$11:$F$22="x")*(IF(Besatzung!$C$11:$C$22="",Besatzung!$B$5,Besatzung!$C$11:$C$22)&lt;=B174)*(IF(Besatzung!$D$11:$D$22="",Besatzung!$B$6,Besatzung!$D$11:$D$22)&gt;=B174)),1))),IF(I174="Individuell",((U174="x")*((G174-IFERROR(H174,0))/IFERROR(COUNTIF(J174:U174,"x"),1)+(Besatzung!$F$22="x")*IFERROR(H174,0)/IFERROR(SUMPRODUCT((J174:U174="x")*(Besatzung!$F$11:$F$22="x")),1))),(IF(COUNTIF(J174:U174,"x")=0,IF(Besatzung!$B$22&lt;&gt;"",1,0),(U174="x"))*(G174-IFERROR(H174,0))/IFERROR(IF(COUNTIF(J174:U174,"x")=0,COUNTA(Besatzung!$B$11:$B$22),COUNTIF(J174:U174,"x")),1)+IF(COUNTIF(J174:U174,"x")=0,(Besatzung!$F$22="x"),(U174="x")*(Besatzung!$F$22="x"))*IFERROR(H174,0)/IFERROR(IF(COUNTIF(J174:U174,"x")=0,SUMPRODUCT((Besatzung!$B$11:$B$22&lt;&gt;"")*(Besatzung!$F$11:$F$22="x")),SUMPRODUCT((J174:U174="x")*(Besatzung!$F$11:$F$22="x"))),1))))),0))))</f>
        <v/>
      </c>
      <c r="AH174" s="248" t="n"/>
      <c r="AI174" s="248" t="n"/>
    </row>
    <row r="175" ht="21.75" customHeight="1" s="154">
      <c r="A175" s="238">
        <f>IF(AND(D175="",C175=""),"",172)</f>
        <v/>
      </c>
      <c r="B175" s="206" t="n"/>
      <c r="C175" s="249" t="n"/>
      <c r="D175" s="250" t="n"/>
      <c r="E175" s="251" t="n"/>
      <c r="F175" s="252" t="n"/>
      <c r="G175" s="253" t="n"/>
      <c r="H175" s="254" t="n"/>
      <c r="I175" s="255" t="n"/>
      <c r="J175" s="256" t="n"/>
      <c r="K175" s="256" t="n"/>
      <c r="L175" s="256" t="n"/>
      <c r="M175" s="256" t="n"/>
      <c r="N175" s="256" t="n"/>
      <c r="O175" s="256" t="n"/>
      <c r="P175" s="256" t="n"/>
      <c r="Q175" s="256" t="n"/>
      <c r="R175" s="256" t="n"/>
      <c r="S175" s="256" t="n"/>
      <c r="T175" s="256" t="n"/>
      <c r="U175" s="256" t="n"/>
      <c r="V175" s="247">
        <f>IF(C175="Gutschrift","",IF(G175="","",IF(Besatzung!$B$11="","",IFERROR(IF(I175="Zeitanteilig",(Besatzung!$G$11*(G175-IFERROR(H175,0))+((Besatzung!$B$11&lt;&gt;"")*IF(B175="",1,(IF(Besatzung!$C$11="",Besatzung!$B$5,Besatzung!$C$11)&lt;=B175)*(IF(Besatzung!$D$11="",Besatzung!$B$6,Besatzung!$D$11)&gt;=B175)))*(Besatzung!$F$11="x")*IFERROR(H175,0)/IFERROR(SUMPRODUCT((Besatzung!$B$11:$B$22&lt;&gt;"")*(Besatzung!$F$11:$F$22="x")*(IF(Besatzung!$C$11:$C$22="",Besatzung!$B$5,Besatzung!$C$11:$C$22)&lt;=B175)*(IF(Besatzung!$D$11:$D$22="",Besatzung!$B$6,Besatzung!$D$11:$D$22)&gt;=B175)),1)),IF(I175="An Bord",(((Besatzung!$B$11&lt;&gt;"")*IF(B175="",1,(IF(Besatzung!$C$11="",Besatzung!$B$5,Besatzung!$C$11)&lt;=B175)*(IF(Besatzung!$D$11="",Besatzung!$B$6,Besatzung!$D$11)&gt;=B175)))*((G175-IFERROR(H175,0))/IFERROR(SUMPRODUCT((Besatzung!$B$11:$B$22&lt;&gt;"")*(IF(Besatzung!$C$11:$C$22="",Besatzung!$B$5,Besatzung!$C$11:$C$22)&lt;=B175)*(IF(Besatzung!$D$11:$D$22="",Besatzung!$B$6,Besatzung!$D$11:$D$22)&gt;=B175)),1)+(Besatzung!$F$11="x")*IFERROR(H175,0)/IFERROR(SUMPRODUCT((Besatzung!$B$11:$B$22&lt;&gt;"")*(Besatzung!$F$11:$F$22="x")*(IF(Besatzung!$C$11:$C$22="",Besatzung!$B$5,Besatzung!$C$11:$C$22)&lt;=B175)*(IF(Besatzung!$D$11:$D$22="",Besatzung!$B$6,Besatzung!$D$11:$D$22)&gt;=B175)),1))),IF(I175="Individuell",((J175="x")*((G175-IFERROR(H175,0))/IFERROR(COUNTIF(J175:U175,"x"),1)+(Besatzung!$F$11="x")*IFERROR(H175,0)/IFERROR(SUMPRODUCT((J175:U175="x")*(Besatzung!$F$11:$F$22="x")),1))),(IF(COUNTIF(J175:U175,"x")=0,IF(Besatzung!$B$11&lt;&gt;"",1,0),(J175="x"))*(G175-IFERROR(H175,0))/IFERROR(IF(COUNTIF(J175:U175,"x")=0,COUNTA(Besatzung!$B$11:$B$22),COUNTIF(J175:U175,"x")),1)+IF(COUNTIF(J175:U175,"x")=0,(Besatzung!$F$11="x"),(J175="x")*(Besatzung!$F$11="x"))*IFERROR(H175,0)/IFERROR(IF(COUNTIF(J175:U175,"x")=0,SUMPRODUCT((Besatzung!$B$11:$B$22&lt;&gt;"")*(Besatzung!$F$11:$F$22="x")),SUMPRODUCT((J175:U175="x")*(Besatzung!$F$11:$F$22="x"))),1))))),0))))</f>
        <v/>
      </c>
      <c r="W175" s="247">
        <f>IF(C175="Gutschrift","",IF(G175="","",IF(Besatzung!$B$12="","",IFERROR(IF(I175="Zeitanteilig",(Besatzung!$G$12*(G175-IFERROR(H175,0))+((Besatzung!$B$12&lt;&gt;"")*IF(B175="",1,(IF(Besatzung!$C$12="",Besatzung!$B$5,Besatzung!$C$12)&lt;=B175)*(IF(Besatzung!$D$12="",Besatzung!$B$6,Besatzung!$D$12)&gt;=B175)))*(Besatzung!$F$12="x")*IFERROR(H175,0)/IFERROR(SUMPRODUCT((Besatzung!$B$11:$B$22&lt;&gt;"")*(Besatzung!$F$11:$F$22="x")*(IF(Besatzung!$C$11:$C$22="",Besatzung!$B$5,Besatzung!$C$11:$C$22)&lt;=B175)*(IF(Besatzung!$D$11:$D$22="",Besatzung!$B$6,Besatzung!$D$11:$D$22)&gt;=B175)),1)),IF(I175="An Bord",(((Besatzung!$B$12&lt;&gt;"")*IF(B175="",1,(IF(Besatzung!$C$12="",Besatzung!$B$5,Besatzung!$C$12)&lt;=B175)*(IF(Besatzung!$D$12="",Besatzung!$B$6,Besatzung!$D$12)&gt;=B175)))*((G175-IFERROR(H175,0))/IFERROR(SUMPRODUCT((Besatzung!$B$11:$B$22&lt;&gt;"")*(IF(Besatzung!$C$11:$C$22="",Besatzung!$B$5,Besatzung!$C$11:$C$22)&lt;=B175)*(IF(Besatzung!$D$11:$D$22="",Besatzung!$B$6,Besatzung!$D$11:$D$22)&gt;=B175)),1)+(Besatzung!$F$12="x")*IFERROR(H175,0)/IFERROR(SUMPRODUCT((Besatzung!$B$11:$B$22&lt;&gt;"")*(Besatzung!$F$11:$F$22="x")*(IF(Besatzung!$C$11:$C$22="",Besatzung!$B$5,Besatzung!$C$11:$C$22)&lt;=B175)*(IF(Besatzung!$D$11:$D$22="",Besatzung!$B$6,Besatzung!$D$11:$D$22)&gt;=B175)),1))),IF(I175="Individuell",((K175="x")*((G175-IFERROR(H175,0))/IFERROR(COUNTIF(J175:U175,"x"),1)+(Besatzung!$F$12="x")*IFERROR(H175,0)/IFERROR(SUMPRODUCT((J175:U175="x")*(Besatzung!$F$11:$F$22="x")),1))),(IF(COUNTIF(J175:U175,"x")=0,IF(Besatzung!$B$12&lt;&gt;"",1,0),(K175="x"))*(G175-IFERROR(H175,0))/IFERROR(IF(COUNTIF(J175:U175,"x")=0,COUNTA(Besatzung!$B$11:$B$22),COUNTIF(J175:U175,"x")),1)+IF(COUNTIF(J175:U175,"x")=0,(Besatzung!$F$12="x"),(K175="x")*(Besatzung!$F$12="x"))*IFERROR(H175,0)/IFERROR(IF(COUNTIF(J175:U175,"x")=0,SUMPRODUCT((Besatzung!$B$11:$B$22&lt;&gt;"")*(Besatzung!$F$11:$F$22="x")),SUMPRODUCT((J175:U175="x")*(Besatzung!$F$11:$F$22="x"))),1))))),0))))</f>
        <v/>
      </c>
      <c r="X175" s="247">
        <f>IF(C175="Gutschrift","",IF(G175="","",IF(Besatzung!$B$13="","",IFERROR(IF(I175="Zeitanteilig",(Besatzung!$G$13*(G175-IFERROR(H175,0))+((Besatzung!$B$13&lt;&gt;"")*IF(B175="",1,(IF(Besatzung!$C$13="",Besatzung!$B$5,Besatzung!$C$13)&lt;=B175)*(IF(Besatzung!$D$13="",Besatzung!$B$6,Besatzung!$D$13)&gt;=B175)))*(Besatzung!$F$13="x")*IFERROR(H175,0)/IFERROR(SUMPRODUCT((Besatzung!$B$11:$B$22&lt;&gt;"")*(Besatzung!$F$11:$F$22="x")*(IF(Besatzung!$C$11:$C$22="",Besatzung!$B$5,Besatzung!$C$11:$C$22)&lt;=B175)*(IF(Besatzung!$D$11:$D$22="",Besatzung!$B$6,Besatzung!$D$11:$D$22)&gt;=B175)),1)),IF(I175="An Bord",(((Besatzung!$B$13&lt;&gt;"")*IF(B175="",1,(IF(Besatzung!$C$13="",Besatzung!$B$5,Besatzung!$C$13)&lt;=B175)*(IF(Besatzung!$D$13="",Besatzung!$B$6,Besatzung!$D$13)&gt;=B175)))*((G175-IFERROR(H175,0))/IFERROR(SUMPRODUCT((Besatzung!$B$11:$B$22&lt;&gt;"")*(IF(Besatzung!$C$11:$C$22="",Besatzung!$B$5,Besatzung!$C$11:$C$22)&lt;=B175)*(IF(Besatzung!$D$11:$D$22="",Besatzung!$B$6,Besatzung!$D$11:$D$22)&gt;=B175)),1)+(Besatzung!$F$13="x")*IFERROR(H175,0)/IFERROR(SUMPRODUCT((Besatzung!$B$11:$B$22&lt;&gt;"")*(Besatzung!$F$11:$F$22="x")*(IF(Besatzung!$C$11:$C$22="",Besatzung!$B$5,Besatzung!$C$11:$C$22)&lt;=B175)*(IF(Besatzung!$D$11:$D$22="",Besatzung!$B$6,Besatzung!$D$11:$D$22)&gt;=B175)),1))),IF(I175="Individuell",((K175="x")*((G175-IFERROR(H175,0))/IFERROR(COUNTIF(J175:U175,"x"),1)+(Besatzung!$F$13="x")*IFERROR(H175,0)/IFERROR(SUMPRODUCT((J175:U175="x")*(Besatzung!$F$11:$F$22="x")),1))),(IF(COUNTIF(J175:U175,"x")=0,IF(Besatzung!$B$13&lt;&gt;"",1,0),(K175="x"))*(G175-IFERROR(H175,0))/IFERROR(IF(COUNTIF(J175:U175,"x")=0,COUNTA(Besatzung!$B$11:$B$22),COUNTIF(J175:U175,"x")),1)+IF(COUNTIF(J175:U175,"x")=0,(Besatzung!$F$13="x"),(K175="x")*(Besatzung!$F$13="x"))*IFERROR(H175,0)/IFERROR(IF(COUNTIF(J175:U175,"x")=0,SUMPRODUCT((Besatzung!$B$11:$B$22&lt;&gt;"")*(Besatzung!$F$11:$F$22="x")),SUMPRODUCT((J175:U175="x")*(Besatzung!$F$11:$F$22="x"))),1))))),0))))</f>
        <v/>
      </c>
      <c r="Y175" s="247">
        <f>IF(C175="Gutschrift","",IF(G175="","",IF(Besatzung!$B$14="","",IFERROR(IF(I175="Zeitanteilig",(Besatzung!$G$14*(G175-IFERROR(H175,0))+((Besatzung!$B$14&lt;&gt;"")*IF(B175="",1,(IF(Besatzung!$C$14="",Besatzung!$B$5,Besatzung!$C$14)&lt;=B175)*(IF(Besatzung!$D$14="",Besatzung!$B$6,Besatzung!$D$14)&gt;=B175)))*(Besatzung!$F$14="x")*IFERROR(H175,0)/IFERROR(SUMPRODUCT((Besatzung!$B$11:$B$22&lt;&gt;"")*(Besatzung!$F$11:$F$22="x")*(IF(Besatzung!$C$11:$C$22="",Besatzung!$B$5,Besatzung!$C$11:$C$22)&lt;=B175)*(IF(Besatzung!$D$11:$D$22="",Besatzung!$B$6,Besatzung!$D$11:$D$22)&gt;=B175)),1)),IF(I175="An Bord",(((Besatzung!$B$14&lt;&gt;"")*IF(B175="",1,(IF(Besatzung!$C$14="",Besatzung!$B$5,Besatzung!$C$14)&lt;=B175)*(IF(Besatzung!$D$14="",Besatzung!$B$6,Besatzung!$D$14)&gt;=B175)))*((G175-IFERROR(H175,0))/IFERROR(SUMPRODUCT((Besatzung!$B$11:$B$22&lt;&gt;"")*(IF(Besatzung!$C$11:$C$22="",Besatzung!$B$5,Besatzung!$C$11:$C$22)&lt;=B175)*(IF(Besatzung!$D$11:$D$22="",Besatzung!$B$6,Besatzung!$D$11:$D$22)&gt;=B175)),1)+(Besatzung!$F$14="x")*IFERROR(H175,0)/IFERROR(SUMPRODUCT((Besatzung!$B$11:$B$22&lt;&gt;"")*(Besatzung!$F$11:$F$22="x")*(IF(Besatzung!$C$11:$C$22="",Besatzung!$B$5,Besatzung!$C$11:$C$22)&lt;=B175)*(IF(Besatzung!$D$11:$D$22="",Besatzung!$B$6,Besatzung!$D$11:$D$22)&gt;=B175)),1))),IF(I175="Individuell",((M175="x")*((G175-IFERROR(H175,0))/IFERROR(COUNTIF(J175:U175,"x"),1)+(Besatzung!$F$14="x")*IFERROR(H175,0)/IFERROR(SUMPRODUCT((J175:U175="x")*(Besatzung!$F$11:$F$22="x")),1))),(IF(COUNTIF(J175:U175,"x")=0,IF(Besatzung!$B$14&lt;&gt;"",1,0),(M175="x"))*(G175-IFERROR(H175,0))/IFERROR(IF(COUNTIF(J175:U175,"x")=0,COUNTA(Besatzung!$B$11:$B$22),COUNTIF(J175:U175,"x")),1)+IF(COUNTIF(J175:U175,"x")=0,(Besatzung!$F$14="x"),(M175="x")*(Besatzung!$F$14="x"))*IFERROR(H175,0)/IFERROR(IF(COUNTIF(J175:U175,"x")=0,SUMPRODUCT((Besatzung!$B$11:$B$22&lt;&gt;"")*(Besatzung!$F$11:$F$22="x")),SUMPRODUCT((J175:U175="x")*(Besatzung!$F$11:$F$22="x"))),1))))),0))))</f>
        <v/>
      </c>
      <c r="Z175" s="247">
        <f>IF(C175="Gutschrift","",IF(G175="","",IF(Besatzung!$B$13="","",IFERROR(IF(I175="Zeitanteilig",(Besatzung!$G$15*(G175-IFERROR(H175,0))+((Besatzung!$B$13&lt;&gt;"")*IF(B175="",1,(IF(Besatzung!$C$15="",Besatzung!$B$5,Besatzung!$C$15)&lt;=B175)*(IF(Besatzung!$D$15="",Besatzung!$B$6,Besatzung!$D$15)&gt;=B175)))*(Besatzung!$F$15="x")*IFERROR(H175,0)/IFERROR(SUMPRODUCT((Besatzung!$B$11:$B$22&lt;&gt;"")*(Besatzung!$F$11:$F$22="x")*(IF(Besatzung!$C$11:$C$22="",Besatzung!$B$5,Besatzung!$C$11:$C$22)&lt;=B175)*(IF(Besatzung!$D$11:$D$22="",Besatzung!$B$6,Besatzung!$D$11:$D$22)&gt;=B175)),1)),IF(I175="An Bord",(((Besatzung!$B$13&lt;&gt;"")*IF(B175="",1,(IF(Besatzung!$C$15="",Besatzung!$B$5,Besatzung!$C$15)&lt;=B175)*(IF(Besatzung!$D$15="",Besatzung!$B$6,Besatzung!$D$15)&gt;=B175)))*((G175-IFERROR(H175,0))/IFERROR(SUMPRODUCT((Besatzung!$B$11:$B$22&lt;&gt;"")*(IF(Besatzung!$C$11:$C$22="",Besatzung!$B$5,Besatzung!$C$11:$C$22)&lt;=B175)*(IF(Besatzung!$D$11:$D$22="",Besatzung!$B$6,Besatzung!$D$11:$D$22)&gt;=B175)),1)+(Besatzung!$F$15="x")*IFERROR(H175,0)/IFERROR(SUMPRODUCT((Besatzung!$B$11:$B$22&lt;&gt;"")*(Besatzung!$F$11:$F$22="x")*(IF(Besatzung!$C$11:$C$22="",Besatzung!$B$5,Besatzung!$C$11:$C$22)&lt;=B175)*(IF(Besatzung!$D$11:$D$22="",Besatzung!$B$6,Besatzung!$D$11:$D$22)&gt;=B175)),1))),IF(I175="Individuell",((N175="x")*((G175-IFERROR(H175,0))/IFERROR(COUNTIF(J175:U175,"x"),1)+(Besatzung!$F$15="x")*IFERROR(H175,0)/IFERROR(SUMPRODUCT((J175:U175="x")*(Besatzung!$F$11:$F$22="x")),1))),(IF(COUNTIF(J175:U175,"x")=0,IF(Besatzung!$B$13&lt;&gt;"",1,0),(N175="x"))*(G175-IFERROR(H175,0))/IFERROR(IF(COUNTIF(J175:U175,"x")=0,COUNTA(Besatzung!$B$11:$B$22),COUNTIF(J175:U175,"x")),1)+IF(COUNTIF(J175:U175,"x")=0,(Besatzung!$F$15="x"),(N175="x")*(Besatzung!$F$15="x"))*IFERROR(H175,0)/IFERROR(IF(COUNTIF(J175:U175,"x")=0,SUMPRODUCT((Besatzung!$B$11:$B$22&lt;&gt;"")*(Besatzung!$F$11:$F$22="x")),SUMPRODUCT((J175:U175="x")*(Besatzung!$F$11:$F$22="x"))),1))))),0))))</f>
        <v/>
      </c>
      <c r="AA175" s="247">
        <f>IF(C175="Gutschrift","",IF(G175="","",IF(Besatzung!$B$15="","",IFERROR(IF(I175="Zeitanteilig",(Besatzung!$G$16*(G175-IFERROR(H175,0))+((Besatzung!$B$15&lt;&gt;"")*IF(B175="",1,(IF(Besatzung!$C$16="",Besatzung!$B$5,Besatzung!$C$16)&lt;=B175)*(IF(Besatzung!$D$16="",Besatzung!$B$6,Besatzung!$D$16)&gt;=B175)))*(Besatzung!$F$16="x")*IFERROR(H175,0)/IFERROR(SUMPRODUCT((Besatzung!$B$11:$B$22&lt;&gt;"")*(Besatzung!$F$11:$F$22="x")*(IF(Besatzung!$C$11:$C$22="",Besatzung!$B$5,Besatzung!$C$11:$C$22)&lt;=B175)*(IF(Besatzung!$D$11:$D$22="",Besatzung!$B$6,Besatzung!$D$11:$D$22)&gt;=B175)),1)),IF(I175="An Bord",(((Besatzung!$B$15&lt;&gt;"")*IF(B175="",1,(IF(Besatzung!$C$16="",Besatzung!$B$5,Besatzung!$C$16)&lt;=B175)*(IF(Besatzung!$D$16="",Besatzung!$B$6,Besatzung!$D$16)&gt;=B175)))*((G175-IFERROR(H175,0))/IFERROR(SUMPRODUCT((Besatzung!$B$11:$B$22&lt;&gt;"")*(IF(Besatzung!$C$11:$C$22="",Besatzung!$B$5,Besatzung!$C$11:$C$22)&lt;=B175)*(IF(Besatzung!$D$11:$D$22="",Besatzung!$B$6,Besatzung!$D$11:$D$22)&gt;=B175)),1)+(Besatzung!$F$16="x")*IFERROR(H175,0)/IFERROR(SUMPRODUCT((Besatzung!$B$11:$B$22&lt;&gt;"")*(Besatzung!$F$11:$F$22="x")*(IF(Besatzung!$C$11:$C$22="",Besatzung!$B$5,Besatzung!$C$11:$C$22)&lt;=B175)*(IF(Besatzung!$D$11:$D$22="",Besatzung!$B$6,Besatzung!$D$11:$D$22)&gt;=B175)),1))),IF(I175="Individuell",((O175="x")*((G175-IFERROR(H175,0))/IFERROR(COUNTIF(J175:U175,"x"),1)+(Besatzung!$F$16="x")*IFERROR(H175,0)/IFERROR(SUMPRODUCT((J175:U175="x")*(Besatzung!$F$11:$F$22="x")),1))),(IF(COUNTIF(J175:U175,"x")=0,IF(Besatzung!$B$15&lt;&gt;"",1,0),(O175="x"))*(G175-IFERROR(H175,0))/IFERROR(IF(COUNTIF(J175:U175,"x")=0,COUNTA(Besatzung!$B$11:$B$22),COUNTIF(J175:U175,"x")),1)+IF(COUNTIF(J175:U175,"x")=0,(Besatzung!$F$16="x"),(O175="x")*(Besatzung!$F$16="x"))*IFERROR(H175,0)/IFERROR(IF(COUNTIF(J175:U175,"x")=0,SUMPRODUCT((Besatzung!$B$11:$B$22&lt;&gt;"")*(Besatzung!$F$11:$F$22="x")),SUMPRODUCT((J175:U175="x")*(Besatzung!$F$11:$F$22="x"))),1))))),0))))</f>
        <v/>
      </c>
      <c r="AB175" s="247">
        <f>IF(C175="Gutschrift","",IF(G175="","",IF(Besatzung!$B$17="","",IFERROR(IF(I175="Zeitanteilig",(Besatzung!$G$17*(G175-IFERROR(H175,0))+((Besatzung!$B$17&lt;&gt;"")*IF(B175="",1,(IF(Besatzung!$C$17="",Besatzung!$B$5,Besatzung!$C$17)&lt;=B175)*(IF(Besatzung!$D$17="",Besatzung!$B$6,Besatzung!$D$17)&gt;=B175)))*(Besatzung!$F$17="x")*IFERROR(H175,0)/IFERROR(SUMPRODUCT((Besatzung!$B$11:$B$22&lt;&gt;"")*(Besatzung!$F$11:$F$22="x")*(IF(Besatzung!$C$11:$C$22="",Besatzung!$B$5,Besatzung!$C$11:$C$22)&lt;=B175)*(IF(Besatzung!$D$11:$D$22="",Besatzung!$B$6,Besatzung!$D$11:$D$22)&gt;=B175)),1)),IF(I175="An Bord",(((Besatzung!$B$17&lt;&gt;"")*IF(B175="",1,(IF(Besatzung!$C$17="",Besatzung!$B$5,Besatzung!$C$17)&lt;=B175)*(IF(Besatzung!$D$17="",Besatzung!$B$6,Besatzung!$D$17)&gt;=B175)))*((G175-IFERROR(H175,0))/IFERROR(SUMPRODUCT((Besatzung!$B$11:$B$22&lt;&gt;"")*(IF(Besatzung!$C$11:$C$22="",Besatzung!$B$5,Besatzung!$C$11:$C$22)&lt;=B175)*(IF(Besatzung!$D$11:$D$22="",Besatzung!$B$6,Besatzung!$D$11:$D$22)&gt;=B175)),1)+(Besatzung!$F$17="x")*IFERROR(H175,0)/IFERROR(SUMPRODUCT((Besatzung!$B$11:$B$22&lt;&gt;"")*(Besatzung!$F$11:$F$22="x")*(IF(Besatzung!$C$11:$C$22="",Besatzung!$B$5,Besatzung!$C$11:$C$22)&lt;=B175)*(IF(Besatzung!$D$11:$D$22="",Besatzung!$B$6,Besatzung!$D$11:$D$22)&gt;=B175)),1))),IF(I175="Individuell",((P175="x")*((G175-IFERROR(H175,0))/IFERROR(COUNTIF(J175:U175,"x"),1)+(Besatzung!$F$17="x")*IFERROR(H175,0)/IFERROR(SUMPRODUCT((J175:U175="x")*(Besatzung!$F$11:$F$22="x")),1))),(IF(COUNTIF(J175:U175,"x")=0,IF(Besatzung!$B$17&lt;&gt;"",1,0),(P175="x"))*(G175-IFERROR(H175,0))/IFERROR(IF(COUNTIF(J175:U175,"x")=0,COUNTA(Besatzung!$B$11:$B$22),COUNTIF(J175:U175,"x")),1)+IF(COUNTIF(J175:U175,"x")=0,(Besatzung!$F$17="x"),(P175="x")*(Besatzung!$F$17="x"))*IFERROR(H175,0)/IFERROR(IF(COUNTIF(J175:U175,"x")=0,SUMPRODUCT((Besatzung!$B$11:$B$22&lt;&gt;"")*(Besatzung!$F$11:$F$22="x")),SUMPRODUCT((J175:U175="x")*(Besatzung!$F$11:$F$22="x"))),1))))),0))))</f>
        <v/>
      </c>
      <c r="AC175" s="247">
        <f>IF(C175="Gutschrift","",IF(G175="","",IF(Besatzung!$B$18="","",IFERROR(IF(I175="Zeitanteilig",(Besatzung!$G$18*(G175-IFERROR(H175,0))+((Besatzung!$B$18&lt;&gt;"")*IF(B175="",1,(IF(Besatzung!$C$18="",Besatzung!$B$5,Besatzung!$C$18)&lt;=B175)*(IF(Besatzung!$D$18="",Besatzung!$B$6,Besatzung!$D$18)&gt;=B175)))*(Besatzung!$F$18="x")*IFERROR(H175,0)/IFERROR(SUMPRODUCT((Besatzung!$B$11:$B$22&lt;&gt;"")*(Besatzung!$F$11:$F$22="x")*(IF(Besatzung!$C$11:$C$22="",Besatzung!$B$5,Besatzung!$C$11:$C$22)&lt;=B175)*(IF(Besatzung!$D$11:$D$22="",Besatzung!$B$6,Besatzung!$D$11:$D$22)&gt;=B175)),1)),IF(I175="An Bord",(((Besatzung!$B$18&lt;&gt;"")*IF(B175="",1,(IF(Besatzung!$C$18="",Besatzung!$B$5,Besatzung!$C$18)&lt;=B175)*(IF(Besatzung!$D$18="",Besatzung!$B$6,Besatzung!$D$18)&gt;=B175)))*((G175-IFERROR(H175,0))/IFERROR(SUMPRODUCT((Besatzung!$B$11:$B$22&lt;&gt;"")*(IF(Besatzung!$C$11:$C$22="",Besatzung!$B$5,Besatzung!$C$11:$C$22)&lt;=B175)*(IF(Besatzung!$D$11:$D$22="",Besatzung!$B$6,Besatzung!$D$11:$D$22)&gt;=B175)),1)+(Besatzung!$F$18="x")*IFERROR(H175,0)/IFERROR(SUMPRODUCT((Besatzung!$B$11:$B$22&lt;&gt;"")*(Besatzung!$F$11:$F$22="x")*(IF(Besatzung!$C$11:$C$22="",Besatzung!$B$5,Besatzung!$C$11:$C$22)&lt;=B175)*(IF(Besatzung!$D$11:$D$22="",Besatzung!$B$6,Besatzung!$D$11:$D$22)&gt;=B175)),1))),IF(I175="Individuell",((Q175="x")*((G175-IFERROR(H175,0))/IFERROR(COUNTIF(J175:U175,"x"),1)+(Besatzung!$F$18="x")*IFERROR(H175,0)/IFERROR(SUMPRODUCT((J175:U175="x")*(Besatzung!$F$11:$F$22="x")),1))),(IF(COUNTIF(J175:U175,"x")=0,IF(Besatzung!$B$18&lt;&gt;"",1,0),(Q175="x"))*(G175-IFERROR(H175,0))/IFERROR(IF(COUNTIF(J175:U175,"x")=0,COUNTA(Besatzung!$B$11:$B$22),COUNTIF(J175:U175,"x")),1)+IF(COUNTIF(J175:U175,"x")=0,(Besatzung!$F$18="x"),(Q175="x")*(Besatzung!$F$18="x"))*IFERROR(H175,0)/IFERROR(IF(COUNTIF(J175:U175,"x")=0,SUMPRODUCT((Besatzung!$B$11:$B$22&lt;&gt;"")*(Besatzung!$F$11:$F$22="x")),SUMPRODUCT((J175:U175="x")*(Besatzung!$F$11:$F$22="x"))),1))))),0))))</f>
        <v/>
      </c>
      <c r="AD175" s="247">
        <f>IF(C175="Gutschrift","",IF(G175="","",IF(Besatzung!$B$19="","",IFERROR(IF(I175="Zeitanteilig",(Besatzung!$G$19*(G175-IFERROR(H175,0))+((Besatzung!$B$19&lt;&gt;"")*IF(B175="",1,(IF(Besatzung!$C$19="",Besatzung!$B$5,Besatzung!$C$19)&lt;=B175)*(IF(Besatzung!$D$19="",Besatzung!$B$6,Besatzung!$D$19)&gt;=B175)))*(Besatzung!$F$19="x")*IFERROR(H175,0)/IFERROR(SUMPRODUCT((Besatzung!$B$11:$B$22&lt;&gt;"")*(Besatzung!$F$11:$F$22="x")*(IF(Besatzung!$C$11:$C$22="",Besatzung!$B$5,Besatzung!$C$11:$C$22)&lt;=B175)*(IF(Besatzung!$D$11:$D$22="",Besatzung!$B$6,Besatzung!$D$11:$D$22)&gt;=B175)),1)),IF(I175="An Bord",(((Besatzung!$B$19&lt;&gt;"")*IF(B175="",1,(IF(Besatzung!$C$19="",Besatzung!$B$5,Besatzung!$C$19)&lt;=B175)*(IF(Besatzung!$D$19="",Besatzung!$B$6,Besatzung!$D$19)&gt;=B175)))*((G175-IFERROR(H175,0))/IFERROR(SUMPRODUCT((Besatzung!$B$11:$B$22&lt;&gt;"")*(IF(Besatzung!$C$11:$C$22="",Besatzung!$B$5,Besatzung!$C$11:$C$22)&lt;=B175)*(IF(Besatzung!$D$11:$D$22="",Besatzung!$B$6,Besatzung!$D$11:$D$22)&gt;=B175)),1)+(Besatzung!$F$19="x")*IFERROR(H175,0)/IFERROR(SUMPRODUCT((Besatzung!$B$11:$B$22&lt;&gt;"")*(Besatzung!$F$11:$F$22="x")*(IF(Besatzung!$C$11:$C$22="",Besatzung!$B$5,Besatzung!$C$11:$C$22)&lt;=B175)*(IF(Besatzung!$D$11:$D$22="",Besatzung!$B$6,Besatzung!$D$11:$D$22)&gt;=B175)),1))),IF(I175="Individuell",((R175="x")*((G175-IFERROR(H175,0))/IFERROR(COUNTIF(J175:U175,"x"),1)+(Besatzung!$F$19="x")*IFERROR(H175,0)/IFERROR(SUMPRODUCT((J175:U175="x")*(Besatzung!$F$11:$F$22="x")),1))),(IF(COUNTIF(J175:U175,"x")=0,IF(Besatzung!$B$19&lt;&gt;"",1,0),(R175="x"))*(G175-IFERROR(H175,0))/IFERROR(IF(COUNTIF(J175:U175,"x")=0,COUNTA(Besatzung!$B$11:$B$22),COUNTIF(J175:U175,"x")),1)+IF(COUNTIF(J175:U175,"x")=0,(Besatzung!$F$19="x"),(R175="x")*(Besatzung!$F$19="x"))*IFERROR(H175,0)/IFERROR(IF(COUNTIF(J175:U175,"x")=0,SUMPRODUCT((Besatzung!$B$11:$B$22&lt;&gt;"")*(Besatzung!$F$11:$F$22="x")),SUMPRODUCT((J175:U175="x")*(Besatzung!$F$11:$F$22="x"))),1))))),0))))</f>
        <v/>
      </c>
      <c r="AE175" s="247">
        <f>IF(C175="Gutschrift","",IF(G175="","",IF(Besatzung!$B$20="","",IFERROR(IF(I175="Zeitanteilig",(Besatzung!$G$20*(G175-IFERROR(H175,0))+((Besatzung!$B$20&lt;&gt;"")*IF(B175="",1,(IF(Besatzung!$C$20="",Besatzung!$B$5,Besatzung!$C$20)&lt;=B175)*(IF(Besatzung!$D$20="",Besatzung!$B$6,Besatzung!$D$20)&gt;=B175)))*(Besatzung!$F$20="x")*IFERROR(H175,0)/IFERROR(SUMPRODUCT((Besatzung!$B$11:$B$22&lt;&gt;"")*(Besatzung!$F$11:$F$22="x")*(IF(Besatzung!$C$11:$C$22="",Besatzung!$B$5,Besatzung!$C$11:$C$22)&lt;=B175)*(IF(Besatzung!$D$11:$D$22="",Besatzung!$B$6,Besatzung!$D$11:$D$22)&gt;=B175)),1)),IF(I175="An Bord",(((Besatzung!$B$20&lt;&gt;"")*IF(B175="",1,(IF(Besatzung!$C$20="",Besatzung!$B$5,Besatzung!$C$20)&lt;=B175)*(IF(Besatzung!$D$20="",Besatzung!$B$6,Besatzung!$D$20)&gt;=B175)))*((G175-IFERROR(H175,0))/IFERROR(SUMPRODUCT((Besatzung!$B$11:$B$22&lt;&gt;"")*(IF(Besatzung!$C$11:$C$22="",Besatzung!$B$5,Besatzung!$C$11:$C$22)&lt;=B175)*(IF(Besatzung!$D$11:$D$22="",Besatzung!$B$6,Besatzung!$D$11:$D$22)&gt;=B175)),1)+(Besatzung!$F$20="x")*IFERROR(H175,0)/IFERROR(SUMPRODUCT((Besatzung!$B$11:$B$22&lt;&gt;"")*(Besatzung!$F$11:$F$22="x")*(IF(Besatzung!$C$11:$C$22="",Besatzung!$B$5,Besatzung!$C$11:$C$22)&lt;=B175)*(IF(Besatzung!$D$11:$D$22="",Besatzung!$B$6,Besatzung!$D$11:$D$22)&gt;=B175)),1))),IF(I175="Individuell",((S175="x")*((G175-IFERROR(H175,0))/IFERROR(COUNTIF(J175:U175,"x"),1)+(Besatzung!$F$20="x")*IFERROR(H175,0)/IFERROR(SUMPRODUCT((J175:U175="x")*(Besatzung!$F$11:$F$22="x")),1))),(IF(COUNTIF(J175:U175,"x")=0,IF(Besatzung!$B$20&lt;&gt;"",1,0),(S175="x"))*(G175-IFERROR(H175,0))/IFERROR(IF(COUNTIF(J175:U175,"x")=0,COUNTA(Besatzung!$B$11:$B$22),COUNTIF(J175:U175,"x")),1)+IF(COUNTIF(J175:U175,"x")=0,(Besatzung!$F$20="x"),(S175="x")*(Besatzung!$F$20="x"))*IFERROR(H175,0)/IFERROR(IF(COUNTIF(J175:U175,"x")=0,SUMPRODUCT((Besatzung!$B$11:$B$22&lt;&gt;"")*(Besatzung!$F$11:$F$22="x")),SUMPRODUCT((J175:U175="x")*(Besatzung!$F$11:$F$22="x"))),1))))),0))))</f>
        <v/>
      </c>
      <c r="AF175" s="247">
        <f>IF(C175="Gutschrift","",IF(G175="","",IF(Besatzung!$B$21="","",IFERROR(IF(I175="Zeitanteilig",(Besatzung!$G$21*(G175-IFERROR(H175,0))+((Besatzung!$B$21&lt;&gt;"")*IF(B175="",1,(IF(Besatzung!$C$21="",Besatzung!$B$5,Besatzung!$C$21)&lt;=B175)*(IF(Besatzung!$D$21="",Besatzung!$B$6,Besatzung!$D$21)&gt;=B175)))*(Besatzung!$F$21="x")*IFERROR(H175,0)/IFERROR(SUMPRODUCT((Besatzung!$B$11:$B$22&lt;&gt;"")*(Besatzung!$F$11:$F$22="x")*(IF(Besatzung!$C$11:$C$22="",Besatzung!$B$5,Besatzung!$C$11:$C$22)&lt;=B175)*(IF(Besatzung!$D$11:$D$22="",Besatzung!$B$6,Besatzung!$D$11:$D$22)&gt;=B175)),1)),IF(I175="An Bord",(((Besatzung!$B$21&lt;&gt;"")*IF(B175="",1,(IF(Besatzung!$C$21="",Besatzung!$B$5,Besatzung!$C$21)&lt;=B175)*(IF(Besatzung!$D$21="",Besatzung!$B$6,Besatzung!$D$21)&gt;=B175)))*((G175-IFERROR(H175,0))/IFERROR(SUMPRODUCT((Besatzung!$B$11:$B$22&lt;&gt;"")*(IF(Besatzung!$C$11:$C$22="",Besatzung!$B$5,Besatzung!$C$11:$C$22)&lt;=B175)*(IF(Besatzung!$D$11:$D$22="",Besatzung!$B$6,Besatzung!$D$11:$D$22)&gt;=B175)),1)+(Besatzung!$F$21="x")*IFERROR(H175,0)/IFERROR(SUMPRODUCT((Besatzung!$B$11:$B$22&lt;&gt;"")*(Besatzung!$F$11:$F$22="x")*(IF(Besatzung!$C$11:$C$22="",Besatzung!$B$5,Besatzung!$C$11:$C$22)&lt;=B175)*(IF(Besatzung!$D$11:$D$22="",Besatzung!$B$6,Besatzung!$D$11:$D$22)&gt;=B175)),1))),IF(I175="Individuell",((T175="x")*((G175-IFERROR(H175,0))/IFERROR(COUNTIF(J175:U175,"x"),1)+(Besatzung!$F$21="x")*IFERROR(H175,0)/IFERROR(SUMPRODUCT((J175:U175="x")*(Besatzung!$F$11:$F$22="x")),1))),(IF(COUNTIF(J175:U175,"x")=0,IF(Besatzung!$B$21&lt;&gt;"",1,0),(T175="x"))*(G175-IFERROR(H175,0))/IFERROR(IF(COUNTIF(J175:U175,"x")=0,COUNTA(Besatzung!$B$11:$B$22),COUNTIF(J175:U175,"x")),1)+IF(COUNTIF(J175:U175,"x")=0,(Besatzung!$F$21="x"),(T175="x")*(Besatzung!$F$21="x"))*IFERROR(H175,0)/IFERROR(IF(COUNTIF(J175:U175,"x")=0,SUMPRODUCT((Besatzung!$B$11:$B$22&lt;&gt;"")*(Besatzung!$F$11:$F$22="x")),SUMPRODUCT((J175:U175="x")*(Besatzung!$F$11:$F$22="x"))),1))))),0))))</f>
        <v/>
      </c>
      <c r="AG175" s="247">
        <f>IF(C175="Gutschrift","",IF(G175="","",IF(Besatzung!$B$22="","",IFERROR(IF(I175="Zeitanteilig",(Besatzung!$G$22*(G175-IFERROR(H175,0))+((Besatzung!$B$22&lt;&gt;"")*IF(B175="",1,(IF(Besatzung!$C$22="",Besatzung!$B$5,Besatzung!$C$22)&lt;=B175)*(IF(Besatzung!$D$22="",Besatzung!$B$6,Besatzung!$D$22)&gt;=B175)))*(Besatzung!$F$22="x")*IFERROR(H175,0)/IFERROR(SUMPRODUCT((Besatzung!$B$11:$B$22&lt;&gt;"")*(Besatzung!$F$11:$F$22="x")*(IF(Besatzung!$C$11:$C$22="",Besatzung!$B$5,Besatzung!$C$11:$C$22)&lt;=B175)*(IF(Besatzung!$D$11:$D$22="",Besatzung!$B$6,Besatzung!$D$11:$D$22)&gt;=B175)),1)),IF(I175="An Bord",(((Besatzung!$B$22&lt;&gt;"")*IF(B175="",1,(IF(Besatzung!$C$22="",Besatzung!$B$5,Besatzung!$C$22)&lt;=B175)*(IF(Besatzung!$D$22="",Besatzung!$B$6,Besatzung!$D$22)&gt;=B175)))*((G175-IFERROR(H175,0))/IFERROR(SUMPRODUCT((Besatzung!$B$11:$B$22&lt;&gt;"")*(IF(Besatzung!$C$11:$C$22="",Besatzung!$B$5,Besatzung!$C$11:$C$22)&lt;=B175)*(IF(Besatzung!$D$11:$D$22="",Besatzung!$B$6,Besatzung!$D$11:$D$22)&gt;=B175)),1)+(Besatzung!$F$22="x")*IFERROR(H175,0)/IFERROR(SUMPRODUCT((Besatzung!$B$11:$B$22&lt;&gt;"")*(Besatzung!$F$11:$F$22="x")*(IF(Besatzung!$C$11:$C$22="",Besatzung!$B$5,Besatzung!$C$11:$C$22)&lt;=B175)*(IF(Besatzung!$D$11:$D$22="",Besatzung!$B$6,Besatzung!$D$11:$D$22)&gt;=B175)),1))),IF(I175="Individuell",((U175="x")*((G175-IFERROR(H175,0))/IFERROR(COUNTIF(J175:U175,"x"),1)+(Besatzung!$F$22="x")*IFERROR(H175,0)/IFERROR(SUMPRODUCT((J175:U175="x")*(Besatzung!$F$11:$F$22="x")),1))),(IF(COUNTIF(J175:U175,"x")=0,IF(Besatzung!$B$22&lt;&gt;"",1,0),(U175="x"))*(G175-IFERROR(H175,0))/IFERROR(IF(COUNTIF(J175:U175,"x")=0,COUNTA(Besatzung!$B$11:$B$22),COUNTIF(J175:U175,"x")),1)+IF(COUNTIF(J175:U175,"x")=0,(Besatzung!$F$22="x"),(U175="x")*(Besatzung!$F$22="x"))*IFERROR(H175,0)/IFERROR(IF(COUNTIF(J175:U175,"x")=0,SUMPRODUCT((Besatzung!$B$11:$B$22&lt;&gt;"")*(Besatzung!$F$11:$F$22="x")),SUMPRODUCT((J175:U175="x")*(Besatzung!$F$11:$F$22="x"))),1))))),0))))</f>
        <v/>
      </c>
      <c r="AH175" s="248" t="n"/>
      <c r="AI175" s="248" t="n"/>
    </row>
    <row r="176" ht="21.75" customHeight="1" s="154">
      <c r="A176" s="238">
        <f>IF(AND(D176="",C176=""),"",173)</f>
        <v/>
      </c>
      <c r="B176" s="199" t="n"/>
      <c r="C176" s="239" t="n"/>
      <c r="D176" s="240" t="n"/>
      <c r="E176" s="241" t="n"/>
      <c r="F176" s="242" t="n"/>
      <c r="G176" s="243" t="n"/>
      <c r="H176" s="244" t="n"/>
      <c r="I176" s="245" t="n"/>
      <c r="J176" s="246" t="n"/>
      <c r="K176" s="246" t="n"/>
      <c r="L176" s="246" t="n"/>
      <c r="M176" s="246" t="n"/>
      <c r="N176" s="246" t="n"/>
      <c r="O176" s="246" t="n"/>
      <c r="P176" s="246" t="n"/>
      <c r="Q176" s="246" t="n"/>
      <c r="R176" s="246" t="n"/>
      <c r="S176" s="246" t="n"/>
      <c r="T176" s="246" t="n"/>
      <c r="U176" s="246" t="n"/>
      <c r="V176" s="247">
        <f>IF(C176="Gutschrift","",IF(G176="","",IF(Besatzung!$B$11="","",IFERROR(IF(I176="Zeitanteilig",(Besatzung!$G$11*(G176-IFERROR(H176,0))+((Besatzung!$B$11&lt;&gt;"")*IF(B176="",1,(IF(Besatzung!$C$11="",Besatzung!$B$5,Besatzung!$C$11)&lt;=B176)*(IF(Besatzung!$D$11="",Besatzung!$B$6,Besatzung!$D$11)&gt;=B176)))*(Besatzung!$F$11="x")*IFERROR(H176,0)/IFERROR(SUMPRODUCT((Besatzung!$B$11:$B$22&lt;&gt;"")*(Besatzung!$F$11:$F$22="x")*(IF(Besatzung!$C$11:$C$22="",Besatzung!$B$5,Besatzung!$C$11:$C$22)&lt;=B176)*(IF(Besatzung!$D$11:$D$22="",Besatzung!$B$6,Besatzung!$D$11:$D$22)&gt;=B176)),1)),IF(I176="An Bord",(((Besatzung!$B$11&lt;&gt;"")*IF(B176="",1,(IF(Besatzung!$C$11="",Besatzung!$B$5,Besatzung!$C$11)&lt;=B176)*(IF(Besatzung!$D$11="",Besatzung!$B$6,Besatzung!$D$11)&gt;=B176)))*((G176-IFERROR(H176,0))/IFERROR(SUMPRODUCT((Besatzung!$B$11:$B$22&lt;&gt;"")*(IF(Besatzung!$C$11:$C$22="",Besatzung!$B$5,Besatzung!$C$11:$C$22)&lt;=B176)*(IF(Besatzung!$D$11:$D$22="",Besatzung!$B$6,Besatzung!$D$11:$D$22)&gt;=B176)),1)+(Besatzung!$F$11="x")*IFERROR(H176,0)/IFERROR(SUMPRODUCT((Besatzung!$B$11:$B$22&lt;&gt;"")*(Besatzung!$F$11:$F$22="x")*(IF(Besatzung!$C$11:$C$22="",Besatzung!$B$5,Besatzung!$C$11:$C$22)&lt;=B176)*(IF(Besatzung!$D$11:$D$22="",Besatzung!$B$6,Besatzung!$D$11:$D$22)&gt;=B176)),1))),IF(I176="Individuell",((J176="x")*((G176-IFERROR(H176,0))/IFERROR(COUNTIF(J176:U176,"x"),1)+(Besatzung!$F$11="x")*IFERROR(H176,0)/IFERROR(SUMPRODUCT((J176:U176="x")*(Besatzung!$F$11:$F$22="x")),1))),(IF(COUNTIF(J176:U176,"x")=0,IF(Besatzung!$B$11&lt;&gt;"",1,0),(J176="x"))*(G176-IFERROR(H176,0))/IFERROR(IF(COUNTIF(J176:U176,"x")=0,COUNTA(Besatzung!$B$11:$B$22),COUNTIF(J176:U176,"x")),1)+IF(COUNTIF(J176:U176,"x")=0,(Besatzung!$F$11="x"),(J176="x")*(Besatzung!$F$11="x"))*IFERROR(H176,0)/IFERROR(IF(COUNTIF(J176:U176,"x")=0,SUMPRODUCT((Besatzung!$B$11:$B$22&lt;&gt;"")*(Besatzung!$F$11:$F$22="x")),SUMPRODUCT((J176:U176="x")*(Besatzung!$F$11:$F$22="x"))),1))))),0))))</f>
        <v/>
      </c>
      <c r="W176" s="247">
        <f>IF(C176="Gutschrift","",IF(G176="","",IF(Besatzung!$B$12="","",IFERROR(IF(I176="Zeitanteilig",(Besatzung!$G$12*(G176-IFERROR(H176,0))+((Besatzung!$B$12&lt;&gt;"")*IF(B176="",1,(IF(Besatzung!$C$12="",Besatzung!$B$5,Besatzung!$C$12)&lt;=B176)*(IF(Besatzung!$D$12="",Besatzung!$B$6,Besatzung!$D$12)&gt;=B176)))*(Besatzung!$F$12="x")*IFERROR(H176,0)/IFERROR(SUMPRODUCT((Besatzung!$B$11:$B$22&lt;&gt;"")*(Besatzung!$F$11:$F$22="x")*(IF(Besatzung!$C$11:$C$22="",Besatzung!$B$5,Besatzung!$C$11:$C$22)&lt;=B176)*(IF(Besatzung!$D$11:$D$22="",Besatzung!$B$6,Besatzung!$D$11:$D$22)&gt;=B176)),1)),IF(I176="An Bord",(((Besatzung!$B$12&lt;&gt;"")*IF(B176="",1,(IF(Besatzung!$C$12="",Besatzung!$B$5,Besatzung!$C$12)&lt;=B176)*(IF(Besatzung!$D$12="",Besatzung!$B$6,Besatzung!$D$12)&gt;=B176)))*((G176-IFERROR(H176,0))/IFERROR(SUMPRODUCT((Besatzung!$B$11:$B$22&lt;&gt;"")*(IF(Besatzung!$C$11:$C$22="",Besatzung!$B$5,Besatzung!$C$11:$C$22)&lt;=B176)*(IF(Besatzung!$D$11:$D$22="",Besatzung!$B$6,Besatzung!$D$11:$D$22)&gt;=B176)),1)+(Besatzung!$F$12="x")*IFERROR(H176,0)/IFERROR(SUMPRODUCT((Besatzung!$B$11:$B$22&lt;&gt;"")*(Besatzung!$F$11:$F$22="x")*(IF(Besatzung!$C$11:$C$22="",Besatzung!$B$5,Besatzung!$C$11:$C$22)&lt;=B176)*(IF(Besatzung!$D$11:$D$22="",Besatzung!$B$6,Besatzung!$D$11:$D$22)&gt;=B176)),1))),IF(I176="Individuell",((K176="x")*((G176-IFERROR(H176,0))/IFERROR(COUNTIF(J176:U176,"x"),1)+(Besatzung!$F$12="x")*IFERROR(H176,0)/IFERROR(SUMPRODUCT((J176:U176="x")*(Besatzung!$F$11:$F$22="x")),1))),(IF(COUNTIF(J176:U176,"x")=0,IF(Besatzung!$B$12&lt;&gt;"",1,0),(K176="x"))*(G176-IFERROR(H176,0))/IFERROR(IF(COUNTIF(J176:U176,"x")=0,COUNTA(Besatzung!$B$11:$B$22),COUNTIF(J176:U176,"x")),1)+IF(COUNTIF(J176:U176,"x")=0,(Besatzung!$F$12="x"),(K176="x")*(Besatzung!$F$12="x"))*IFERROR(H176,0)/IFERROR(IF(COUNTIF(J176:U176,"x")=0,SUMPRODUCT((Besatzung!$B$11:$B$22&lt;&gt;"")*(Besatzung!$F$11:$F$22="x")),SUMPRODUCT((J176:U176="x")*(Besatzung!$F$11:$F$22="x"))),1))))),0))))</f>
        <v/>
      </c>
      <c r="X176" s="247">
        <f>IF(C176="Gutschrift","",IF(G176="","",IF(Besatzung!$B$13="","",IFERROR(IF(I176="Zeitanteilig",(Besatzung!$G$13*(G176-IFERROR(H176,0))+((Besatzung!$B$13&lt;&gt;"")*IF(B176="",1,(IF(Besatzung!$C$13="",Besatzung!$B$5,Besatzung!$C$13)&lt;=B176)*(IF(Besatzung!$D$13="",Besatzung!$B$6,Besatzung!$D$13)&gt;=B176)))*(Besatzung!$F$13="x")*IFERROR(H176,0)/IFERROR(SUMPRODUCT((Besatzung!$B$11:$B$22&lt;&gt;"")*(Besatzung!$F$11:$F$22="x")*(IF(Besatzung!$C$11:$C$22="",Besatzung!$B$5,Besatzung!$C$11:$C$22)&lt;=B176)*(IF(Besatzung!$D$11:$D$22="",Besatzung!$B$6,Besatzung!$D$11:$D$22)&gt;=B176)),1)),IF(I176="An Bord",(((Besatzung!$B$13&lt;&gt;"")*IF(B176="",1,(IF(Besatzung!$C$13="",Besatzung!$B$5,Besatzung!$C$13)&lt;=B176)*(IF(Besatzung!$D$13="",Besatzung!$B$6,Besatzung!$D$13)&gt;=B176)))*((G176-IFERROR(H176,0))/IFERROR(SUMPRODUCT((Besatzung!$B$11:$B$22&lt;&gt;"")*(IF(Besatzung!$C$11:$C$22="",Besatzung!$B$5,Besatzung!$C$11:$C$22)&lt;=B176)*(IF(Besatzung!$D$11:$D$22="",Besatzung!$B$6,Besatzung!$D$11:$D$22)&gt;=B176)),1)+(Besatzung!$F$13="x")*IFERROR(H176,0)/IFERROR(SUMPRODUCT((Besatzung!$B$11:$B$22&lt;&gt;"")*(Besatzung!$F$11:$F$22="x")*(IF(Besatzung!$C$11:$C$22="",Besatzung!$B$5,Besatzung!$C$11:$C$22)&lt;=B176)*(IF(Besatzung!$D$11:$D$22="",Besatzung!$B$6,Besatzung!$D$11:$D$22)&gt;=B176)),1))),IF(I176="Individuell",((K176="x")*((G176-IFERROR(H176,0))/IFERROR(COUNTIF(J176:U176,"x"),1)+(Besatzung!$F$13="x")*IFERROR(H176,0)/IFERROR(SUMPRODUCT((J176:U176="x")*(Besatzung!$F$11:$F$22="x")),1))),(IF(COUNTIF(J176:U176,"x")=0,IF(Besatzung!$B$13&lt;&gt;"",1,0),(K176="x"))*(G176-IFERROR(H176,0))/IFERROR(IF(COUNTIF(J176:U176,"x")=0,COUNTA(Besatzung!$B$11:$B$22),COUNTIF(J176:U176,"x")),1)+IF(COUNTIF(J176:U176,"x")=0,(Besatzung!$F$13="x"),(K176="x")*(Besatzung!$F$13="x"))*IFERROR(H176,0)/IFERROR(IF(COUNTIF(J176:U176,"x")=0,SUMPRODUCT((Besatzung!$B$11:$B$22&lt;&gt;"")*(Besatzung!$F$11:$F$22="x")),SUMPRODUCT((J176:U176="x")*(Besatzung!$F$11:$F$22="x"))),1))))),0))))</f>
        <v/>
      </c>
      <c r="Y176" s="247">
        <f>IF(C176="Gutschrift","",IF(G176="","",IF(Besatzung!$B$14="","",IFERROR(IF(I176="Zeitanteilig",(Besatzung!$G$14*(G176-IFERROR(H176,0))+((Besatzung!$B$14&lt;&gt;"")*IF(B176="",1,(IF(Besatzung!$C$14="",Besatzung!$B$5,Besatzung!$C$14)&lt;=B176)*(IF(Besatzung!$D$14="",Besatzung!$B$6,Besatzung!$D$14)&gt;=B176)))*(Besatzung!$F$14="x")*IFERROR(H176,0)/IFERROR(SUMPRODUCT((Besatzung!$B$11:$B$22&lt;&gt;"")*(Besatzung!$F$11:$F$22="x")*(IF(Besatzung!$C$11:$C$22="",Besatzung!$B$5,Besatzung!$C$11:$C$22)&lt;=B176)*(IF(Besatzung!$D$11:$D$22="",Besatzung!$B$6,Besatzung!$D$11:$D$22)&gt;=B176)),1)),IF(I176="An Bord",(((Besatzung!$B$14&lt;&gt;"")*IF(B176="",1,(IF(Besatzung!$C$14="",Besatzung!$B$5,Besatzung!$C$14)&lt;=B176)*(IF(Besatzung!$D$14="",Besatzung!$B$6,Besatzung!$D$14)&gt;=B176)))*((G176-IFERROR(H176,0))/IFERROR(SUMPRODUCT((Besatzung!$B$11:$B$22&lt;&gt;"")*(IF(Besatzung!$C$11:$C$22="",Besatzung!$B$5,Besatzung!$C$11:$C$22)&lt;=B176)*(IF(Besatzung!$D$11:$D$22="",Besatzung!$B$6,Besatzung!$D$11:$D$22)&gt;=B176)),1)+(Besatzung!$F$14="x")*IFERROR(H176,0)/IFERROR(SUMPRODUCT((Besatzung!$B$11:$B$22&lt;&gt;"")*(Besatzung!$F$11:$F$22="x")*(IF(Besatzung!$C$11:$C$22="",Besatzung!$B$5,Besatzung!$C$11:$C$22)&lt;=B176)*(IF(Besatzung!$D$11:$D$22="",Besatzung!$B$6,Besatzung!$D$11:$D$22)&gt;=B176)),1))),IF(I176="Individuell",((M176="x")*((G176-IFERROR(H176,0))/IFERROR(COUNTIF(J176:U176,"x"),1)+(Besatzung!$F$14="x")*IFERROR(H176,0)/IFERROR(SUMPRODUCT((J176:U176="x")*(Besatzung!$F$11:$F$22="x")),1))),(IF(COUNTIF(J176:U176,"x")=0,IF(Besatzung!$B$14&lt;&gt;"",1,0),(M176="x"))*(G176-IFERROR(H176,0))/IFERROR(IF(COUNTIF(J176:U176,"x")=0,COUNTA(Besatzung!$B$11:$B$22),COUNTIF(J176:U176,"x")),1)+IF(COUNTIF(J176:U176,"x")=0,(Besatzung!$F$14="x"),(M176="x")*(Besatzung!$F$14="x"))*IFERROR(H176,0)/IFERROR(IF(COUNTIF(J176:U176,"x")=0,SUMPRODUCT((Besatzung!$B$11:$B$22&lt;&gt;"")*(Besatzung!$F$11:$F$22="x")),SUMPRODUCT((J176:U176="x")*(Besatzung!$F$11:$F$22="x"))),1))))),0))))</f>
        <v/>
      </c>
      <c r="Z176" s="247">
        <f>IF(C176="Gutschrift","",IF(G176="","",IF(Besatzung!$B$13="","",IFERROR(IF(I176="Zeitanteilig",(Besatzung!$G$15*(G176-IFERROR(H176,0))+((Besatzung!$B$13&lt;&gt;"")*IF(B176="",1,(IF(Besatzung!$C$15="",Besatzung!$B$5,Besatzung!$C$15)&lt;=B176)*(IF(Besatzung!$D$15="",Besatzung!$B$6,Besatzung!$D$15)&gt;=B176)))*(Besatzung!$F$15="x")*IFERROR(H176,0)/IFERROR(SUMPRODUCT((Besatzung!$B$11:$B$22&lt;&gt;"")*(Besatzung!$F$11:$F$22="x")*(IF(Besatzung!$C$11:$C$22="",Besatzung!$B$5,Besatzung!$C$11:$C$22)&lt;=B176)*(IF(Besatzung!$D$11:$D$22="",Besatzung!$B$6,Besatzung!$D$11:$D$22)&gt;=B176)),1)),IF(I176="An Bord",(((Besatzung!$B$13&lt;&gt;"")*IF(B176="",1,(IF(Besatzung!$C$15="",Besatzung!$B$5,Besatzung!$C$15)&lt;=B176)*(IF(Besatzung!$D$15="",Besatzung!$B$6,Besatzung!$D$15)&gt;=B176)))*((G176-IFERROR(H176,0))/IFERROR(SUMPRODUCT((Besatzung!$B$11:$B$22&lt;&gt;"")*(IF(Besatzung!$C$11:$C$22="",Besatzung!$B$5,Besatzung!$C$11:$C$22)&lt;=B176)*(IF(Besatzung!$D$11:$D$22="",Besatzung!$B$6,Besatzung!$D$11:$D$22)&gt;=B176)),1)+(Besatzung!$F$15="x")*IFERROR(H176,0)/IFERROR(SUMPRODUCT((Besatzung!$B$11:$B$22&lt;&gt;"")*(Besatzung!$F$11:$F$22="x")*(IF(Besatzung!$C$11:$C$22="",Besatzung!$B$5,Besatzung!$C$11:$C$22)&lt;=B176)*(IF(Besatzung!$D$11:$D$22="",Besatzung!$B$6,Besatzung!$D$11:$D$22)&gt;=B176)),1))),IF(I176="Individuell",((N176="x")*((G176-IFERROR(H176,0))/IFERROR(COUNTIF(J176:U176,"x"),1)+(Besatzung!$F$15="x")*IFERROR(H176,0)/IFERROR(SUMPRODUCT((J176:U176="x")*(Besatzung!$F$11:$F$22="x")),1))),(IF(COUNTIF(J176:U176,"x")=0,IF(Besatzung!$B$13&lt;&gt;"",1,0),(N176="x"))*(G176-IFERROR(H176,0))/IFERROR(IF(COUNTIF(J176:U176,"x")=0,COUNTA(Besatzung!$B$11:$B$22),COUNTIF(J176:U176,"x")),1)+IF(COUNTIF(J176:U176,"x")=0,(Besatzung!$F$15="x"),(N176="x")*(Besatzung!$F$15="x"))*IFERROR(H176,0)/IFERROR(IF(COUNTIF(J176:U176,"x")=0,SUMPRODUCT((Besatzung!$B$11:$B$22&lt;&gt;"")*(Besatzung!$F$11:$F$22="x")),SUMPRODUCT((J176:U176="x")*(Besatzung!$F$11:$F$22="x"))),1))))),0))))</f>
        <v/>
      </c>
      <c r="AA176" s="247">
        <f>IF(C176="Gutschrift","",IF(G176="","",IF(Besatzung!$B$15="","",IFERROR(IF(I176="Zeitanteilig",(Besatzung!$G$16*(G176-IFERROR(H176,0))+((Besatzung!$B$15&lt;&gt;"")*IF(B176="",1,(IF(Besatzung!$C$16="",Besatzung!$B$5,Besatzung!$C$16)&lt;=B176)*(IF(Besatzung!$D$16="",Besatzung!$B$6,Besatzung!$D$16)&gt;=B176)))*(Besatzung!$F$16="x")*IFERROR(H176,0)/IFERROR(SUMPRODUCT((Besatzung!$B$11:$B$22&lt;&gt;"")*(Besatzung!$F$11:$F$22="x")*(IF(Besatzung!$C$11:$C$22="",Besatzung!$B$5,Besatzung!$C$11:$C$22)&lt;=B176)*(IF(Besatzung!$D$11:$D$22="",Besatzung!$B$6,Besatzung!$D$11:$D$22)&gt;=B176)),1)),IF(I176="An Bord",(((Besatzung!$B$15&lt;&gt;"")*IF(B176="",1,(IF(Besatzung!$C$16="",Besatzung!$B$5,Besatzung!$C$16)&lt;=B176)*(IF(Besatzung!$D$16="",Besatzung!$B$6,Besatzung!$D$16)&gt;=B176)))*((G176-IFERROR(H176,0))/IFERROR(SUMPRODUCT((Besatzung!$B$11:$B$22&lt;&gt;"")*(IF(Besatzung!$C$11:$C$22="",Besatzung!$B$5,Besatzung!$C$11:$C$22)&lt;=B176)*(IF(Besatzung!$D$11:$D$22="",Besatzung!$B$6,Besatzung!$D$11:$D$22)&gt;=B176)),1)+(Besatzung!$F$16="x")*IFERROR(H176,0)/IFERROR(SUMPRODUCT((Besatzung!$B$11:$B$22&lt;&gt;"")*(Besatzung!$F$11:$F$22="x")*(IF(Besatzung!$C$11:$C$22="",Besatzung!$B$5,Besatzung!$C$11:$C$22)&lt;=B176)*(IF(Besatzung!$D$11:$D$22="",Besatzung!$B$6,Besatzung!$D$11:$D$22)&gt;=B176)),1))),IF(I176="Individuell",((O176="x")*((G176-IFERROR(H176,0))/IFERROR(COUNTIF(J176:U176,"x"),1)+(Besatzung!$F$16="x")*IFERROR(H176,0)/IFERROR(SUMPRODUCT((J176:U176="x")*(Besatzung!$F$11:$F$22="x")),1))),(IF(COUNTIF(J176:U176,"x")=0,IF(Besatzung!$B$15&lt;&gt;"",1,0),(O176="x"))*(G176-IFERROR(H176,0))/IFERROR(IF(COUNTIF(J176:U176,"x")=0,COUNTA(Besatzung!$B$11:$B$22),COUNTIF(J176:U176,"x")),1)+IF(COUNTIF(J176:U176,"x")=0,(Besatzung!$F$16="x"),(O176="x")*(Besatzung!$F$16="x"))*IFERROR(H176,0)/IFERROR(IF(COUNTIF(J176:U176,"x")=0,SUMPRODUCT((Besatzung!$B$11:$B$22&lt;&gt;"")*(Besatzung!$F$11:$F$22="x")),SUMPRODUCT((J176:U176="x")*(Besatzung!$F$11:$F$22="x"))),1))))),0))))</f>
        <v/>
      </c>
      <c r="AB176" s="247">
        <f>IF(C176="Gutschrift","",IF(G176="","",IF(Besatzung!$B$17="","",IFERROR(IF(I176="Zeitanteilig",(Besatzung!$G$17*(G176-IFERROR(H176,0))+((Besatzung!$B$17&lt;&gt;"")*IF(B176="",1,(IF(Besatzung!$C$17="",Besatzung!$B$5,Besatzung!$C$17)&lt;=B176)*(IF(Besatzung!$D$17="",Besatzung!$B$6,Besatzung!$D$17)&gt;=B176)))*(Besatzung!$F$17="x")*IFERROR(H176,0)/IFERROR(SUMPRODUCT((Besatzung!$B$11:$B$22&lt;&gt;"")*(Besatzung!$F$11:$F$22="x")*(IF(Besatzung!$C$11:$C$22="",Besatzung!$B$5,Besatzung!$C$11:$C$22)&lt;=B176)*(IF(Besatzung!$D$11:$D$22="",Besatzung!$B$6,Besatzung!$D$11:$D$22)&gt;=B176)),1)),IF(I176="An Bord",(((Besatzung!$B$17&lt;&gt;"")*IF(B176="",1,(IF(Besatzung!$C$17="",Besatzung!$B$5,Besatzung!$C$17)&lt;=B176)*(IF(Besatzung!$D$17="",Besatzung!$B$6,Besatzung!$D$17)&gt;=B176)))*((G176-IFERROR(H176,0))/IFERROR(SUMPRODUCT((Besatzung!$B$11:$B$22&lt;&gt;"")*(IF(Besatzung!$C$11:$C$22="",Besatzung!$B$5,Besatzung!$C$11:$C$22)&lt;=B176)*(IF(Besatzung!$D$11:$D$22="",Besatzung!$B$6,Besatzung!$D$11:$D$22)&gt;=B176)),1)+(Besatzung!$F$17="x")*IFERROR(H176,0)/IFERROR(SUMPRODUCT((Besatzung!$B$11:$B$22&lt;&gt;"")*(Besatzung!$F$11:$F$22="x")*(IF(Besatzung!$C$11:$C$22="",Besatzung!$B$5,Besatzung!$C$11:$C$22)&lt;=B176)*(IF(Besatzung!$D$11:$D$22="",Besatzung!$B$6,Besatzung!$D$11:$D$22)&gt;=B176)),1))),IF(I176="Individuell",((P176="x")*((G176-IFERROR(H176,0))/IFERROR(COUNTIF(J176:U176,"x"),1)+(Besatzung!$F$17="x")*IFERROR(H176,0)/IFERROR(SUMPRODUCT((J176:U176="x")*(Besatzung!$F$11:$F$22="x")),1))),(IF(COUNTIF(J176:U176,"x")=0,IF(Besatzung!$B$17&lt;&gt;"",1,0),(P176="x"))*(G176-IFERROR(H176,0))/IFERROR(IF(COUNTIF(J176:U176,"x")=0,COUNTA(Besatzung!$B$11:$B$22),COUNTIF(J176:U176,"x")),1)+IF(COUNTIF(J176:U176,"x")=0,(Besatzung!$F$17="x"),(P176="x")*(Besatzung!$F$17="x"))*IFERROR(H176,0)/IFERROR(IF(COUNTIF(J176:U176,"x")=0,SUMPRODUCT((Besatzung!$B$11:$B$22&lt;&gt;"")*(Besatzung!$F$11:$F$22="x")),SUMPRODUCT((J176:U176="x")*(Besatzung!$F$11:$F$22="x"))),1))))),0))))</f>
        <v/>
      </c>
      <c r="AC176" s="247">
        <f>IF(C176="Gutschrift","",IF(G176="","",IF(Besatzung!$B$18="","",IFERROR(IF(I176="Zeitanteilig",(Besatzung!$G$18*(G176-IFERROR(H176,0))+((Besatzung!$B$18&lt;&gt;"")*IF(B176="",1,(IF(Besatzung!$C$18="",Besatzung!$B$5,Besatzung!$C$18)&lt;=B176)*(IF(Besatzung!$D$18="",Besatzung!$B$6,Besatzung!$D$18)&gt;=B176)))*(Besatzung!$F$18="x")*IFERROR(H176,0)/IFERROR(SUMPRODUCT((Besatzung!$B$11:$B$22&lt;&gt;"")*(Besatzung!$F$11:$F$22="x")*(IF(Besatzung!$C$11:$C$22="",Besatzung!$B$5,Besatzung!$C$11:$C$22)&lt;=B176)*(IF(Besatzung!$D$11:$D$22="",Besatzung!$B$6,Besatzung!$D$11:$D$22)&gt;=B176)),1)),IF(I176="An Bord",(((Besatzung!$B$18&lt;&gt;"")*IF(B176="",1,(IF(Besatzung!$C$18="",Besatzung!$B$5,Besatzung!$C$18)&lt;=B176)*(IF(Besatzung!$D$18="",Besatzung!$B$6,Besatzung!$D$18)&gt;=B176)))*((G176-IFERROR(H176,0))/IFERROR(SUMPRODUCT((Besatzung!$B$11:$B$22&lt;&gt;"")*(IF(Besatzung!$C$11:$C$22="",Besatzung!$B$5,Besatzung!$C$11:$C$22)&lt;=B176)*(IF(Besatzung!$D$11:$D$22="",Besatzung!$B$6,Besatzung!$D$11:$D$22)&gt;=B176)),1)+(Besatzung!$F$18="x")*IFERROR(H176,0)/IFERROR(SUMPRODUCT((Besatzung!$B$11:$B$22&lt;&gt;"")*(Besatzung!$F$11:$F$22="x")*(IF(Besatzung!$C$11:$C$22="",Besatzung!$B$5,Besatzung!$C$11:$C$22)&lt;=B176)*(IF(Besatzung!$D$11:$D$22="",Besatzung!$B$6,Besatzung!$D$11:$D$22)&gt;=B176)),1))),IF(I176="Individuell",((Q176="x")*((G176-IFERROR(H176,0))/IFERROR(COUNTIF(J176:U176,"x"),1)+(Besatzung!$F$18="x")*IFERROR(H176,0)/IFERROR(SUMPRODUCT((J176:U176="x")*(Besatzung!$F$11:$F$22="x")),1))),(IF(COUNTIF(J176:U176,"x")=0,IF(Besatzung!$B$18&lt;&gt;"",1,0),(Q176="x"))*(G176-IFERROR(H176,0))/IFERROR(IF(COUNTIF(J176:U176,"x")=0,COUNTA(Besatzung!$B$11:$B$22),COUNTIF(J176:U176,"x")),1)+IF(COUNTIF(J176:U176,"x")=0,(Besatzung!$F$18="x"),(Q176="x")*(Besatzung!$F$18="x"))*IFERROR(H176,0)/IFERROR(IF(COUNTIF(J176:U176,"x")=0,SUMPRODUCT((Besatzung!$B$11:$B$22&lt;&gt;"")*(Besatzung!$F$11:$F$22="x")),SUMPRODUCT((J176:U176="x")*(Besatzung!$F$11:$F$22="x"))),1))))),0))))</f>
        <v/>
      </c>
      <c r="AD176" s="247">
        <f>IF(C176="Gutschrift","",IF(G176="","",IF(Besatzung!$B$19="","",IFERROR(IF(I176="Zeitanteilig",(Besatzung!$G$19*(G176-IFERROR(H176,0))+((Besatzung!$B$19&lt;&gt;"")*IF(B176="",1,(IF(Besatzung!$C$19="",Besatzung!$B$5,Besatzung!$C$19)&lt;=B176)*(IF(Besatzung!$D$19="",Besatzung!$B$6,Besatzung!$D$19)&gt;=B176)))*(Besatzung!$F$19="x")*IFERROR(H176,0)/IFERROR(SUMPRODUCT((Besatzung!$B$11:$B$22&lt;&gt;"")*(Besatzung!$F$11:$F$22="x")*(IF(Besatzung!$C$11:$C$22="",Besatzung!$B$5,Besatzung!$C$11:$C$22)&lt;=B176)*(IF(Besatzung!$D$11:$D$22="",Besatzung!$B$6,Besatzung!$D$11:$D$22)&gt;=B176)),1)),IF(I176="An Bord",(((Besatzung!$B$19&lt;&gt;"")*IF(B176="",1,(IF(Besatzung!$C$19="",Besatzung!$B$5,Besatzung!$C$19)&lt;=B176)*(IF(Besatzung!$D$19="",Besatzung!$B$6,Besatzung!$D$19)&gt;=B176)))*((G176-IFERROR(H176,0))/IFERROR(SUMPRODUCT((Besatzung!$B$11:$B$22&lt;&gt;"")*(IF(Besatzung!$C$11:$C$22="",Besatzung!$B$5,Besatzung!$C$11:$C$22)&lt;=B176)*(IF(Besatzung!$D$11:$D$22="",Besatzung!$B$6,Besatzung!$D$11:$D$22)&gt;=B176)),1)+(Besatzung!$F$19="x")*IFERROR(H176,0)/IFERROR(SUMPRODUCT((Besatzung!$B$11:$B$22&lt;&gt;"")*(Besatzung!$F$11:$F$22="x")*(IF(Besatzung!$C$11:$C$22="",Besatzung!$B$5,Besatzung!$C$11:$C$22)&lt;=B176)*(IF(Besatzung!$D$11:$D$22="",Besatzung!$B$6,Besatzung!$D$11:$D$22)&gt;=B176)),1))),IF(I176="Individuell",((R176="x")*((G176-IFERROR(H176,0))/IFERROR(COUNTIF(J176:U176,"x"),1)+(Besatzung!$F$19="x")*IFERROR(H176,0)/IFERROR(SUMPRODUCT((J176:U176="x")*(Besatzung!$F$11:$F$22="x")),1))),(IF(COUNTIF(J176:U176,"x")=0,IF(Besatzung!$B$19&lt;&gt;"",1,0),(R176="x"))*(G176-IFERROR(H176,0))/IFERROR(IF(COUNTIF(J176:U176,"x")=0,COUNTA(Besatzung!$B$11:$B$22),COUNTIF(J176:U176,"x")),1)+IF(COUNTIF(J176:U176,"x")=0,(Besatzung!$F$19="x"),(R176="x")*(Besatzung!$F$19="x"))*IFERROR(H176,0)/IFERROR(IF(COUNTIF(J176:U176,"x")=0,SUMPRODUCT((Besatzung!$B$11:$B$22&lt;&gt;"")*(Besatzung!$F$11:$F$22="x")),SUMPRODUCT((J176:U176="x")*(Besatzung!$F$11:$F$22="x"))),1))))),0))))</f>
        <v/>
      </c>
      <c r="AE176" s="247">
        <f>IF(C176="Gutschrift","",IF(G176="","",IF(Besatzung!$B$20="","",IFERROR(IF(I176="Zeitanteilig",(Besatzung!$G$20*(G176-IFERROR(H176,0))+((Besatzung!$B$20&lt;&gt;"")*IF(B176="",1,(IF(Besatzung!$C$20="",Besatzung!$B$5,Besatzung!$C$20)&lt;=B176)*(IF(Besatzung!$D$20="",Besatzung!$B$6,Besatzung!$D$20)&gt;=B176)))*(Besatzung!$F$20="x")*IFERROR(H176,0)/IFERROR(SUMPRODUCT((Besatzung!$B$11:$B$22&lt;&gt;"")*(Besatzung!$F$11:$F$22="x")*(IF(Besatzung!$C$11:$C$22="",Besatzung!$B$5,Besatzung!$C$11:$C$22)&lt;=B176)*(IF(Besatzung!$D$11:$D$22="",Besatzung!$B$6,Besatzung!$D$11:$D$22)&gt;=B176)),1)),IF(I176="An Bord",(((Besatzung!$B$20&lt;&gt;"")*IF(B176="",1,(IF(Besatzung!$C$20="",Besatzung!$B$5,Besatzung!$C$20)&lt;=B176)*(IF(Besatzung!$D$20="",Besatzung!$B$6,Besatzung!$D$20)&gt;=B176)))*((G176-IFERROR(H176,0))/IFERROR(SUMPRODUCT((Besatzung!$B$11:$B$22&lt;&gt;"")*(IF(Besatzung!$C$11:$C$22="",Besatzung!$B$5,Besatzung!$C$11:$C$22)&lt;=B176)*(IF(Besatzung!$D$11:$D$22="",Besatzung!$B$6,Besatzung!$D$11:$D$22)&gt;=B176)),1)+(Besatzung!$F$20="x")*IFERROR(H176,0)/IFERROR(SUMPRODUCT((Besatzung!$B$11:$B$22&lt;&gt;"")*(Besatzung!$F$11:$F$22="x")*(IF(Besatzung!$C$11:$C$22="",Besatzung!$B$5,Besatzung!$C$11:$C$22)&lt;=B176)*(IF(Besatzung!$D$11:$D$22="",Besatzung!$B$6,Besatzung!$D$11:$D$22)&gt;=B176)),1))),IF(I176="Individuell",((S176="x")*((G176-IFERROR(H176,0))/IFERROR(COUNTIF(J176:U176,"x"),1)+(Besatzung!$F$20="x")*IFERROR(H176,0)/IFERROR(SUMPRODUCT((J176:U176="x")*(Besatzung!$F$11:$F$22="x")),1))),(IF(COUNTIF(J176:U176,"x")=0,IF(Besatzung!$B$20&lt;&gt;"",1,0),(S176="x"))*(G176-IFERROR(H176,0))/IFERROR(IF(COUNTIF(J176:U176,"x")=0,COUNTA(Besatzung!$B$11:$B$22),COUNTIF(J176:U176,"x")),1)+IF(COUNTIF(J176:U176,"x")=0,(Besatzung!$F$20="x"),(S176="x")*(Besatzung!$F$20="x"))*IFERROR(H176,0)/IFERROR(IF(COUNTIF(J176:U176,"x")=0,SUMPRODUCT((Besatzung!$B$11:$B$22&lt;&gt;"")*(Besatzung!$F$11:$F$22="x")),SUMPRODUCT((J176:U176="x")*(Besatzung!$F$11:$F$22="x"))),1))))),0))))</f>
        <v/>
      </c>
      <c r="AF176" s="247">
        <f>IF(C176="Gutschrift","",IF(G176="","",IF(Besatzung!$B$21="","",IFERROR(IF(I176="Zeitanteilig",(Besatzung!$G$21*(G176-IFERROR(H176,0))+((Besatzung!$B$21&lt;&gt;"")*IF(B176="",1,(IF(Besatzung!$C$21="",Besatzung!$B$5,Besatzung!$C$21)&lt;=B176)*(IF(Besatzung!$D$21="",Besatzung!$B$6,Besatzung!$D$21)&gt;=B176)))*(Besatzung!$F$21="x")*IFERROR(H176,0)/IFERROR(SUMPRODUCT((Besatzung!$B$11:$B$22&lt;&gt;"")*(Besatzung!$F$11:$F$22="x")*(IF(Besatzung!$C$11:$C$22="",Besatzung!$B$5,Besatzung!$C$11:$C$22)&lt;=B176)*(IF(Besatzung!$D$11:$D$22="",Besatzung!$B$6,Besatzung!$D$11:$D$22)&gt;=B176)),1)),IF(I176="An Bord",(((Besatzung!$B$21&lt;&gt;"")*IF(B176="",1,(IF(Besatzung!$C$21="",Besatzung!$B$5,Besatzung!$C$21)&lt;=B176)*(IF(Besatzung!$D$21="",Besatzung!$B$6,Besatzung!$D$21)&gt;=B176)))*((G176-IFERROR(H176,0))/IFERROR(SUMPRODUCT((Besatzung!$B$11:$B$22&lt;&gt;"")*(IF(Besatzung!$C$11:$C$22="",Besatzung!$B$5,Besatzung!$C$11:$C$22)&lt;=B176)*(IF(Besatzung!$D$11:$D$22="",Besatzung!$B$6,Besatzung!$D$11:$D$22)&gt;=B176)),1)+(Besatzung!$F$21="x")*IFERROR(H176,0)/IFERROR(SUMPRODUCT((Besatzung!$B$11:$B$22&lt;&gt;"")*(Besatzung!$F$11:$F$22="x")*(IF(Besatzung!$C$11:$C$22="",Besatzung!$B$5,Besatzung!$C$11:$C$22)&lt;=B176)*(IF(Besatzung!$D$11:$D$22="",Besatzung!$B$6,Besatzung!$D$11:$D$22)&gt;=B176)),1))),IF(I176="Individuell",((T176="x")*((G176-IFERROR(H176,0))/IFERROR(COUNTIF(J176:U176,"x"),1)+(Besatzung!$F$21="x")*IFERROR(H176,0)/IFERROR(SUMPRODUCT((J176:U176="x")*(Besatzung!$F$11:$F$22="x")),1))),(IF(COUNTIF(J176:U176,"x")=0,IF(Besatzung!$B$21&lt;&gt;"",1,0),(T176="x"))*(G176-IFERROR(H176,0))/IFERROR(IF(COUNTIF(J176:U176,"x")=0,COUNTA(Besatzung!$B$11:$B$22),COUNTIF(J176:U176,"x")),1)+IF(COUNTIF(J176:U176,"x")=0,(Besatzung!$F$21="x"),(T176="x")*(Besatzung!$F$21="x"))*IFERROR(H176,0)/IFERROR(IF(COUNTIF(J176:U176,"x")=0,SUMPRODUCT((Besatzung!$B$11:$B$22&lt;&gt;"")*(Besatzung!$F$11:$F$22="x")),SUMPRODUCT((J176:U176="x")*(Besatzung!$F$11:$F$22="x"))),1))))),0))))</f>
        <v/>
      </c>
      <c r="AG176" s="247">
        <f>IF(C176="Gutschrift","",IF(G176="","",IF(Besatzung!$B$22="","",IFERROR(IF(I176="Zeitanteilig",(Besatzung!$G$22*(G176-IFERROR(H176,0))+((Besatzung!$B$22&lt;&gt;"")*IF(B176="",1,(IF(Besatzung!$C$22="",Besatzung!$B$5,Besatzung!$C$22)&lt;=B176)*(IF(Besatzung!$D$22="",Besatzung!$B$6,Besatzung!$D$22)&gt;=B176)))*(Besatzung!$F$22="x")*IFERROR(H176,0)/IFERROR(SUMPRODUCT((Besatzung!$B$11:$B$22&lt;&gt;"")*(Besatzung!$F$11:$F$22="x")*(IF(Besatzung!$C$11:$C$22="",Besatzung!$B$5,Besatzung!$C$11:$C$22)&lt;=B176)*(IF(Besatzung!$D$11:$D$22="",Besatzung!$B$6,Besatzung!$D$11:$D$22)&gt;=B176)),1)),IF(I176="An Bord",(((Besatzung!$B$22&lt;&gt;"")*IF(B176="",1,(IF(Besatzung!$C$22="",Besatzung!$B$5,Besatzung!$C$22)&lt;=B176)*(IF(Besatzung!$D$22="",Besatzung!$B$6,Besatzung!$D$22)&gt;=B176)))*((G176-IFERROR(H176,0))/IFERROR(SUMPRODUCT((Besatzung!$B$11:$B$22&lt;&gt;"")*(IF(Besatzung!$C$11:$C$22="",Besatzung!$B$5,Besatzung!$C$11:$C$22)&lt;=B176)*(IF(Besatzung!$D$11:$D$22="",Besatzung!$B$6,Besatzung!$D$11:$D$22)&gt;=B176)),1)+(Besatzung!$F$22="x")*IFERROR(H176,0)/IFERROR(SUMPRODUCT((Besatzung!$B$11:$B$22&lt;&gt;"")*(Besatzung!$F$11:$F$22="x")*(IF(Besatzung!$C$11:$C$22="",Besatzung!$B$5,Besatzung!$C$11:$C$22)&lt;=B176)*(IF(Besatzung!$D$11:$D$22="",Besatzung!$B$6,Besatzung!$D$11:$D$22)&gt;=B176)),1))),IF(I176="Individuell",((U176="x")*((G176-IFERROR(H176,0))/IFERROR(COUNTIF(J176:U176,"x"),1)+(Besatzung!$F$22="x")*IFERROR(H176,0)/IFERROR(SUMPRODUCT((J176:U176="x")*(Besatzung!$F$11:$F$22="x")),1))),(IF(COUNTIF(J176:U176,"x")=0,IF(Besatzung!$B$22&lt;&gt;"",1,0),(U176="x"))*(G176-IFERROR(H176,0))/IFERROR(IF(COUNTIF(J176:U176,"x")=0,COUNTA(Besatzung!$B$11:$B$22),COUNTIF(J176:U176,"x")),1)+IF(COUNTIF(J176:U176,"x")=0,(Besatzung!$F$22="x"),(U176="x")*(Besatzung!$F$22="x"))*IFERROR(H176,0)/IFERROR(IF(COUNTIF(J176:U176,"x")=0,SUMPRODUCT((Besatzung!$B$11:$B$22&lt;&gt;"")*(Besatzung!$F$11:$F$22="x")),SUMPRODUCT((J176:U176="x")*(Besatzung!$F$11:$F$22="x"))),1))))),0))))</f>
        <v/>
      </c>
      <c r="AH176" s="248" t="n"/>
      <c r="AI176" s="248" t="n"/>
    </row>
    <row r="177" ht="21.75" customHeight="1" s="154">
      <c r="A177" s="238">
        <f>IF(AND(D177="",C177=""),"",174)</f>
        <v/>
      </c>
      <c r="B177" s="206" t="n"/>
      <c r="C177" s="249" t="n"/>
      <c r="D177" s="250" t="n"/>
      <c r="E177" s="251" t="n"/>
      <c r="F177" s="252" t="n"/>
      <c r="G177" s="253" t="n"/>
      <c r="H177" s="254" t="n"/>
      <c r="I177" s="255" t="n"/>
      <c r="J177" s="256" t="n"/>
      <c r="K177" s="256" t="n"/>
      <c r="L177" s="256" t="n"/>
      <c r="M177" s="256" t="n"/>
      <c r="N177" s="256" t="n"/>
      <c r="O177" s="256" t="n"/>
      <c r="P177" s="256" t="n"/>
      <c r="Q177" s="256" t="n"/>
      <c r="R177" s="256" t="n"/>
      <c r="S177" s="256" t="n"/>
      <c r="T177" s="256" t="n"/>
      <c r="U177" s="256" t="n"/>
      <c r="V177" s="247">
        <f>IF(C177="Gutschrift","",IF(G177="","",IF(Besatzung!$B$11="","",IFERROR(IF(I177="Zeitanteilig",(Besatzung!$G$11*(G177-IFERROR(H177,0))+((Besatzung!$B$11&lt;&gt;"")*IF(B177="",1,(IF(Besatzung!$C$11="",Besatzung!$B$5,Besatzung!$C$11)&lt;=B177)*(IF(Besatzung!$D$11="",Besatzung!$B$6,Besatzung!$D$11)&gt;=B177)))*(Besatzung!$F$11="x")*IFERROR(H177,0)/IFERROR(SUMPRODUCT((Besatzung!$B$11:$B$22&lt;&gt;"")*(Besatzung!$F$11:$F$22="x")*(IF(Besatzung!$C$11:$C$22="",Besatzung!$B$5,Besatzung!$C$11:$C$22)&lt;=B177)*(IF(Besatzung!$D$11:$D$22="",Besatzung!$B$6,Besatzung!$D$11:$D$22)&gt;=B177)),1)),IF(I177="An Bord",(((Besatzung!$B$11&lt;&gt;"")*IF(B177="",1,(IF(Besatzung!$C$11="",Besatzung!$B$5,Besatzung!$C$11)&lt;=B177)*(IF(Besatzung!$D$11="",Besatzung!$B$6,Besatzung!$D$11)&gt;=B177)))*((G177-IFERROR(H177,0))/IFERROR(SUMPRODUCT((Besatzung!$B$11:$B$22&lt;&gt;"")*(IF(Besatzung!$C$11:$C$22="",Besatzung!$B$5,Besatzung!$C$11:$C$22)&lt;=B177)*(IF(Besatzung!$D$11:$D$22="",Besatzung!$B$6,Besatzung!$D$11:$D$22)&gt;=B177)),1)+(Besatzung!$F$11="x")*IFERROR(H177,0)/IFERROR(SUMPRODUCT((Besatzung!$B$11:$B$22&lt;&gt;"")*(Besatzung!$F$11:$F$22="x")*(IF(Besatzung!$C$11:$C$22="",Besatzung!$B$5,Besatzung!$C$11:$C$22)&lt;=B177)*(IF(Besatzung!$D$11:$D$22="",Besatzung!$B$6,Besatzung!$D$11:$D$22)&gt;=B177)),1))),IF(I177="Individuell",((J177="x")*((G177-IFERROR(H177,0))/IFERROR(COUNTIF(J177:U177,"x"),1)+(Besatzung!$F$11="x")*IFERROR(H177,0)/IFERROR(SUMPRODUCT((J177:U177="x")*(Besatzung!$F$11:$F$22="x")),1))),(IF(COUNTIF(J177:U177,"x")=0,IF(Besatzung!$B$11&lt;&gt;"",1,0),(J177="x"))*(G177-IFERROR(H177,0))/IFERROR(IF(COUNTIF(J177:U177,"x")=0,COUNTA(Besatzung!$B$11:$B$22),COUNTIF(J177:U177,"x")),1)+IF(COUNTIF(J177:U177,"x")=0,(Besatzung!$F$11="x"),(J177="x")*(Besatzung!$F$11="x"))*IFERROR(H177,0)/IFERROR(IF(COUNTIF(J177:U177,"x")=0,SUMPRODUCT((Besatzung!$B$11:$B$22&lt;&gt;"")*(Besatzung!$F$11:$F$22="x")),SUMPRODUCT((J177:U177="x")*(Besatzung!$F$11:$F$22="x"))),1))))),0))))</f>
        <v/>
      </c>
      <c r="W177" s="247">
        <f>IF(C177="Gutschrift","",IF(G177="","",IF(Besatzung!$B$12="","",IFERROR(IF(I177="Zeitanteilig",(Besatzung!$G$12*(G177-IFERROR(H177,0))+((Besatzung!$B$12&lt;&gt;"")*IF(B177="",1,(IF(Besatzung!$C$12="",Besatzung!$B$5,Besatzung!$C$12)&lt;=B177)*(IF(Besatzung!$D$12="",Besatzung!$B$6,Besatzung!$D$12)&gt;=B177)))*(Besatzung!$F$12="x")*IFERROR(H177,0)/IFERROR(SUMPRODUCT((Besatzung!$B$11:$B$22&lt;&gt;"")*(Besatzung!$F$11:$F$22="x")*(IF(Besatzung!$C$11:$C$22="",Besatzung!$B$5,Besatzung!$C$11:$C$22)&lt;=B177)*(IF(Besatzung!$D$11:$D$22="",Besatzung!$B$6,Besatzung!$D$11:$D$22)&gt;=B177)),1)),IF(I177="An Bord",(((Besatzung!$B$12&lt;&gt;"")*IF(B177="",1,(IF(Besatzung!$C$12="",Besatzung!$B$5,Besatzung!$C$12)&lt;=B177)*(IF(Besatzung!$D$12="",Besatzung!$B$6,Besatzung!$D$12)&gt;=B177)))*((G177-IFERROR(H177,0))/IFERROR(SUMPRODUCT((Besatzung!$B$11:$B$22&lt;&gt;"")*(IF(Besatzung!$C$11:$C$22="",Besatzung!$B$5,Besatzung!$C$11:$C$22)&lt;=B177)*(IF(Besatzung!$D$11:$D$22="",Besatzung!$B$6,Besatzung!$D$11:$D$22)&gt;=B177)),1)+(Besatzung!$F$12="x")*IFERROR(H177,0)/IFERROR(SUMPRODUCT((Besatzung!$B$11:$B$22&lt;&gt;"")*(Besatzung!$F$11:$F$22="x")*(IF(Besatzung!$C$11:$C$22="",Besatzung!$B$5,Besatzung!$C$11:$C$22)&lt;=B177)*(IF(Besatzung!$D$11:$D$22="",Besatzung!$B$6,Besatzung!$D$11:$D$22)&gt;=B177)),1))),IF(I177="Individuell",((K177="x")*((G177-IFERROR(H177,0))/IFERROR(COUNTIF(J177:U177,"x"),1)+(Besatzung!$F$12="x")*IFERROR(H177,0)/IFERROR(SUMPRODUCT((J177:U177="x")*(Besatzung!$F$11:$F$22="x")),1))),(IF(COUNTIF(J177:U177,"x")=0,IF(Besatzung!$B$12&lt;&gt;"",1,0),(K177="x"))*(G177-IFERROR(H177,0))/IFERROR(IF(COUNTIF(J177:U177,"x")=0,COUNTA(Besatzung!$B$11:$B$22),COUNTIF(J177:U177,"x")),1)+IF(COUNTIF(J177:U177,"x")=0,(Besatzung!$F$12="x"),(K177="x")*(Besatzung!$F$12="x"))*IFERROR(H177,0)/IFERROR(IF(COUNTIF(J177:U177,"x")=0,SUMPRODUCT((Besatzung!$B$11:$B$22&lt;&gt;"")*(Besatzung!$F$11:$F$22="x")),SUMPRODUCT((J177:U177="x")*(Besatzung!$F$11:$F$22="x"))),1))))),0))))</f>
        <v/>
      </c>
      <c r="X177" s="247">
        <f>IF(C177="Gutschrift","",IF(G177="","",IF(Besatzung!$B$13="","",IFERROR(IF(I177="Zeitanteilig",(Besatzung!$G$13*(G177-IFERROR(H177,0))+((Besatzung!$B$13&lt;&gt;"")*IF(B177="",1,(IF(Besatzung!$C$13="",Besatzung!$B$5,Besatzung!$C$13)&lt;=B177)*(IF(Besatzung!$D$13="",Besatzung!$B$6,Besatzung!$D$13)&gt;=B177)))*(Besatzung!$F$13="x")*IFERROR(H177,0)/IFERROR(SUMPRODUCT((Besatzung!$B$11:$B$22&lt;&gt;"")*(Besatzung!$F$11:$F$22="x")*(IF(Besatzung!$C$11:$C$22="",Besatzung!$B$5,Besatzung!$C$11:$C$22)&lt;=B177)*(IF(Besatzung!$D$11:$D$22="",Besatzung!$B$6,Besatzung!$D$11:$D$22)&gt;=B177)),1)),IF(I177="An Bord",(((Besatzung!$B$13&lt;&gt;"")*IF(B177="",1,(IF(Besatzung!$C$13="",Besatzung!$B$5,Besatzung!$C$13)&lt;=B177)*(IF(Besatzung!$D$13="",Besatzung!$B$6,Besatzung!$D$13)&gt;=B177)))*((G177-IFERROR(H177,0))/IFERROR(SUMPRODUCT((Besatzung!$B$11:$B$22&lt;&gt;"")*(IF(Besatzung!$C$11:$C$22="",Besatzung!$B$5,Besatzung!$C$11:$C$22)&lt;=B177)*(IF(Besatzung!$D$11:$D$22="",Besatzung!$B$6,Besatzung!$D$11:$D$22)&gt;=B177)),1)+(Besatzung!$F$13="x")*IFERROR(H177,0)/IFERROR(SUMPRODUCT((Besatzung!$B$11:$B$22&lt;&gt;"")*(Besatzung!$F$11:$F$22="x")*(IF(Besatzung!$C$11:$C$22="",Besatzung!$B$5,Besatzung!$C$11:$C$22)&lt;=B177)*(IF(Besatzung!$D$11:$D$22="",Besatzung!$B$6,Besatzung!$D$11:$D$22)&gt;=B177)),1))),IF(I177="Individuell",((K177="x")*((G177-IFERROR(H177,0))/IFERROR(COUNTIF(J177:U177,"x"),1)+(Besatzung!$F$13="x")*IFERROR(H177,0)/IFERROR(SUMPRODUCT((J177:U177="x")*(Besatzung!$F$11:$F$22="x")),1))),(IF(COUNTIF(J177:U177,"x")=0,IF(Besatzung!$B$13&lt;&gt;"",1,0),(K177="x"))*(G177-IFERROR(H177,0))/IFERROR(IF(COUNTIF(J177:U177,"x")=0,COUNTA(Besatzung!$B$11:$B$22),COUNTIF(J177:U177,"x")),1)+IF(COUNTIF(J177:U177,"x")=0,(Besatzung!$F$13="x"),(K177="x")*(Besatzung!$F$13="x"))*IFERROR(H177,0)/IFERROR(IF(COUNTIF(J177:U177,"x")=0,SUMPRODUCT((Besatzung!$B$11:$B$22&lt;&gt;"")*(Besatzung!$F$11:$F$22="x")),SUMPRODUCT((J177:U177="x")*(Besatzung!$F$11:$F$22="x"))),1))))),0))))</f>
        <v/>
      </c>
      <c r="Y177" s="247">
        <f>IF(C177="Gutschrift","",IF(G177="","",IF(Besatzung!$B$14="","",IFERROR(IF(I177="Zeitanteilig",(Besatzung!$G$14*(G177-IFERROR(H177,0))+((Besatzung!$B$14&lt;&gt;"")*IF(B177="",1,(IF(Besatzung!$C$14="",Besatzung!$B$5,Besatzung!$C$14)&lt;=B177)*(IF(Besatzung!$D$14="",Besatzung!$B$6,Besatzung!$D$14)&gt;=B177)))*(Besatzung!$F$14="x")*IFERROR(H177,0)/IFERROR(SUMPRODUCT((Besatzung!$B$11:$B$22&lt;&gt;"")*(Besatzung!$F$11:$F$22="x")*(IF(Besatzung!$C$11:$C$22="",Besatzung!$B$5,Besatzung!$C$11:$C$22)&lt;=B177)*(IF(Besatzung!$D$11:$D$22="",Besatzung!$B$6,Besatzung!$D$11:$D$22)&gt;=B177)),1)),IF(I177="An Bord",(((Besatzung!$B$14&lt;&gt;"")*IF(B177="",1,(IF(Besatzung!$C$14="",Besatzung!$B$5,Besatzung!$C$14)&lt;=B177)*(IF(Besatzung!$D$14="",Besatzung!$B$6,Besatzung!$D$14)&gt;=B177)))*((G177-IFERROR(H177,0))/IFERROR(SUMPRODUCT((Besatzung!$B$11:$B$22&lt;&gt;"")*(IF(Besatzung!$C$11:$C$22="",Besatzung!$B$5,Besatzung!$C$11:$C$22)&lt;=B177)*(IF(Besatzung!$D$11:$D$22="",Besatzung!$B$6,Besatzung!$D$11:$D$22)&gt;=B177)),1)+(Besatzung!$F$14="x")*IFERROR(H177,0)/IFERROR(SUMPRODUCT((Besatzung!$B$11:$B$22&lt;&gt;"")*(Besatzung!$F$11:$F$22="x")*(IF(Besatzung!$C$11:$C$22="",Besatzung!$B$5,Besatzung!$C$11:$C$22)&lt;=B177)*(IF(Besatzung!$D$11:$D$22="",Besatzung!$B$6,Besatzung!$D$11:$D$22)&gt;=B177)),1))),IF(I177="Individuell",((M177="x")*((G177-IFERROR(H177,0))/IFERROR(COUNTIF(J177:U177,"x"),1)+(Besatzung!$F$14="x")*IFERROR(H177,0)/IFERROR(SUMPRODUCT((J177:U177="x")*(Besatzung!$F$11:$F$22="x")),1))),(IF(COUNTIF(J177:U177,"x")=0,IF(Besatzung!$B$14&lt;&gt;"",1,0),(M177="x"))*(G177-IFERROR(H177,0))/IFERROR(IF(COUNTIF(J177:U177,"x")=0,COUNTA(Besatzung!$B$11:$B$22),COUNTIF(J177:U177,"x")),1)+IF(COUNTIF(J177:U177,"x")=0,(Besatzung!$F$14="x"),(M177="x")*(Besatzung!$F$14="x"))*IFERROR(H177,0)/IFERROR(IF(COUNTIF(J177:U177,"x")=0,SUMPRODUCT((Besatzung!$B$11:$B$22&lt;&gt;"")*(Besatzung!$F$11:$F$22="x")),SUMPRODUCT((J177:U177="x")*(Besatzung!$F$11:$F$22="x"))),1))))),0))))</f>
        <v/>
      </c>
      <c r="Z177" s="247">
        <f>IF(C177="Gutschrift","",IF(G177="","",IF(Besatzung!$B$13="","",IFERROR(IF(I177="Zeitanteilig",(Besatzung!$G$15*(G177-IFERROR(H177,0))+((Besatzung!$B$13&lt;&gt;"")*IF(B177="",1,(IF(Besatzung!$C$15="",Besatzung!$B$5,Besatzung!$C$15)&lt;=B177)*(IF(Besatzung!$D$15="",Besatzung!$B$6,Besatzung!$D$15)&gt;=B177)))*(Besatzung!$F$15="x")*IFERROR(H177,0)/IFERROR(SUMPRODUCT((Besatzung!$B$11:$B$22&lt;&gt;"")*(Besatzung!$F$11:$F$22="x")*(IF(Besatzung!$C$11:$C$22="",Besatzung!$B$5,Besatzung!$C$11:$C$22)&lt;=B177)*(IF(Besatzung!$D$11:$D$22="",Besatzung!$B$6,Besatzung!$D$11:$D$22)&gt;=B177)),1)),IF(I177="An Bord",(((Besatzung!$B$13&lt;&gt;"")*IF(B177="",1,(IF(Besatzung!$C$15="",Besatzung!$B$5,Besatzung!$C$15)&lt;=B177)*(IF(Besatzung!$D$15="",Besatzung!$B$6,Besatzung!$D$15)&gt;=B177)))*((G177-IFERROR(H177,0))/IFERROR(SUMPRODUCT((Besatzung!$B$11:$B$22&lt;&gt;"")*(IF(Besatzung!$C$11:$C$22="",Besatzung!$B$5,Besatzung!$C$11:$C$22)&lt;=B177)*(IF(Besatzung!$D$11:$D$22="",Besatzung!$B$6,Besatzung!$D$11:$D$22)&gt;=B177)),1)+(Besatzung!$F$15="x")*IFERROR(H177,0)/IFERROR(SUMPRODUCT((Besatzung!$B$11:$B$22&lt;&gt;"")*(Besatzung!$F$11:$F$22="x")*(IF(Besatzung!$C$11:$C$22="",Besatzung!$B$5,Besatzung!$C$11:$C$22)&lt;=B177)*(IF(Besatzung!$D$11:$D$22="",Besatzung!$B$6,Besatzung!$D$11:$D$22)&gt;=B177)),1))),IF(I177="Individuell",((N177="x")*((G177-IFERROR(H177,0))/IFERROR(COUNTIF(J177:U177,"x"),1)+(Besatzung!$F$15="x")*IFERROR(H177,0)/IFERROR(SUMPRODUCT((J177:U177="x")*(Besatzung!$F$11:$F$22="x")),1))),(IF(COUNTIF(J177:U177,"x")=0,IF(Besatzung!$B$13&lt;&gt;"",1,0),(N177="x"))*(G177-IFERROR(H177,0))/IFERROR(IF(COUNTIF(J177:U177,"x")=0,COUNTA(Besatzung!$B$11:$B$22),COUNTIF(J177:U177,"x")),1)+IF(COUNTIF(J177:U177,"x")=0,(Besatzung!$F$15="x"),(N177="x")*(Besatzung!$F$15="x"))*IFERROR(H177,0)/IFERROR(IF(COUNTIF(J177:U177,"x")=0,SUMPRODUCT((Besatzung!$B$11:$B$22&lt;&gt;"")*(Besatzung!$F$11:$F$22="x")),SUMPRODUCT((J177:U177="x")*(Besatzung!$F$11:$F$22="x"))),1))))),0))))</f>
        <v/>
      </c>
      <c r="AA177" s="247">
        <f>IF(C177="Gutschrift","",IF(G177="","",IF(Besatzung!$B$15="","",IFERROR(IF(I177="Zeitanteilig",(Besatzung!$G$16*(G177-IFERROR(H177,0))+((Besatzung!$B$15&lt;&gt;"")*IF(B177="",1,(IF(Besatzung!$C$16="",Besatzung!$B$5,Besatzung!$C$16)&lt;=B177)*(IF(Besatzung!$D$16="",Besatzung!$B$6,Besatzung!$D$16)&gt;=B177)))*(Besatzung!$F$16="x")*IFERROR(H177,0)/IFERROR(SUMPRODUCT((Besatzung!$B$11:$B$22&lt;&gt;"")*(Besatzung!$F$11:$F$22="x")*(IF(Besatzung!$C$11:$C$22="",Besatzung!$B$5,Besatzung!$C$11:$C$22)&lt;=B177)*(IF(Besatzung!$D$11:$D$22="",Besatzung!$B$6,Besatzung!$D$11:$D$22)&gt;=B177)),1)),IF(I177="An Bord",(((Besatzung!$B$15&lt;&gt;"")*IF(B177="",1,(IF(Besatzung!$C$16="",Besatzung!$B$5,Besatzung!$C$16)&lt;=B177)*(IF(Besatzung!$D$16="",Besatzung!$B$6,Besatzung!$D$16)&gt;=B177)))*((G177-IFERROR(H177,0))/IFERROR(SUMPRODUCT((Besatzung!$B$11:$B$22&lt;&gt;"")*(IF(Besatzung!$C$11:$C$22="",Besatzung!$B$5,Besatzung!$C$11:$C$22)&lt;=B177)*(IF(Besatzung!$D$11:$D$22="",Besatzung!$B$6,Besatzung!$D$11:$D$22)&gt;=B177)),1)+(Besatzung!$F$16="x")*IFERROR(H177,0)/IFERROR(SUMPRODUCT((Besatzung!$B$11:$B$22&lt;&gt;"")*(Besatzung!$F$11:$F$22="x")*(IF(Besatzung!$C$11:$C$22="",Besatzung!$B$5,Besatzung!$C$11:$C$22)&lt;=B177)*(IF(Besatzung!$D$11:$D$22="",Besatzung!$B$6,Besatzung!$D$11:$D$22)&gt;=B177)),1))),IF(I177="Individuell",((O177="x")*((G177-IFERROR(H177,0))/IFERROR(COUNTIF(J177:U177,"x"),1)+(Besatzung!$F$16="x")*IFERROR(H177,0)/IFERROR(SUMPRODUCT((J177:U177="x")*(Besatzung!$F$11:$F$22="x")),1))),(IF(COUNTIF(J177:U177,"x")=0,IF(Besatzung!$B$15&lt;&gt;"",1,0),(O177="x"))*(G177-IFERROR(H177,0))/IFERROR(IF(COUNTIF(J177:U177,"x")=0,COUNTA(Besatzung!$B$11:$B$22),COUNTIF(J177:U177,"x")),1)+IF(COUNTIF(J177:U177,"x")=0,(Besatzung!$F$16="x"),(O177="x")*(Besatzung!$F$16="x"))*IFERROR(H177,0)/IFERROR(IF(COUNTIF(J177:U177,"x")=0,SUMPRODUCT((Besatzung!$B$11:$B$22&lt;&gt;"")*(Besatzung!$F$11:$F$22="x")),SUMPRODUCT((J177:U177="x")*(Besatzung!$F$11:$F$22="x"))),1))))),0))))</f>
        <v/>
      </c>
      <c r="AB177" s="247">
        <f>IF(C177="Gutschrift","",IF(G177="","",IF(Besatzung!$B$17="","",IFERROR(IF(I177="Zeitanteilig",(Besatzung!$G$17*(G177-IFERROR(H177,0))+((Besatzung!$B$17&lt;&gt;"")*IF(B177="",1,(IF(Besatzung!$C$17="",Besatzung!$B$5,Besatzung!$C$17)&lt;=B177)*(IF(Besatzung!$D$17="",Besatzung!$B$6,Besatzung!$D$17)&gt;=B177)))*(Besatzung!$F$17="x")*IFERROR(H177,0)/IFERROR(SUMPRODUCT((Besatzung!$B$11:$B$22&lt;&gt;"")*(Besatzung!$F$11:$F$22="x")*(IF(Besatzung!$C$11:$C$22="",Besatzung!$B$5,Besatzung!$C$11:$C$22)&lt;=B177)*(IF(Besatzung!$D$11:$D$22="",Besatzung!$B$6,Besatzung!$D$11:$D$22)&gt;=B177)),1)),IF(I177="An Bord",(((Besatzung!$B$17&lt;&gt;"")*IF(B177="",1,(IF(Besatzung!$C$17="",Besatzung!$B$5,Besatzung!$C$17)&lt;=B177)*(IF(Besatzung!$D$17="",Besatzung!$B$6,Besatzung!$D$17)&gt;=B177)))*((G177-IFERROR(H177,0))/IFERROR(SUMPRODUCT((Besatzung!$B$11:$B$22&lt;&gt;"")*(IF(Besatzung!$C$11:$C$22="",Besatzung!$B$5,Besatzung!$C$11:$C$22)&lt;=B177)*(IF(Besatzung!$D$11:$D$22="",Besatzung!$B$6,Besatzung!$D$11:$D$22)&gt;=B177)),1)+(Besatzung!$F$17="x")*IFERROR(H177,0)/IFERROR(SUMPRODUCT((Besatzung!$B$11:$B$22&lt;&gt;"")*(Besatzung!$F$11:$F$22="x")*(IF(Besatzung!$C$11:$C$22="",Besatzung!$B$5,Besatzung!$C$11:$C$22)&lt;=B177)*(IF(Besatzung!$D$11:$D$22="",Besatzung!$B$6,Besatzung!$D$11:$D$22)&gt;=B177)),1))),IF(I177="Individuell",((P177="x")*((G177-IFERROR(H177,0))/IFERROR(COUNTIF(J177:U177,"x"),1)+(Besatzung!$F$17="x")*IFERROR(H177,0)/IFERROR(SUMPRODUCT((J177:U177="x")*(Besatzung!$F$11:$F$22="x")),1))),(IF(COUNTIF(J177:U177,"x")=0,IF(Besatzung!$B$17&lt;&gt;"",1,0),(P177="x"))*(G177-IFERROR(H177,0))/IFERROR(IF(COUNTIF(J177:U177,"x")=0,COUNTA(Besatzung!$B$11:$B$22),COUNTIF(J177:U177,"x")),1)+IF(COUNTIF(J177:U177,"x")=0,(Besatzung!$F$17="x"),(P177="x")*(Besatzung!$F$17="x"))*IFERROR(H177,0)/IFERROR(IF(COUNTIF(J177:U177,"x")=0,SUMPRODUCT((Besatzung!$B$11:$B$22&lt;&gt;"")*(Besatzung!$F$11:$F$22="x")),SUMPRODUCT((J177:U177="x")*(Besatzung!$F$11:$F$22="x"))),1))))),0))))</f>
        <v/>
      </c>
      <c r="AC177" s="247">
        <f>IF(C177="Gutschrift","",IF(G177="","",IF(Besatzung!$B$18="","",IFERROR(IF(I177="Zeitanteilig",(Besatzung!$G$18*(G177-IFERROR(H177,0))+((Besatzung!$B$18&lt;&gt;"")*IF(B177="",1,(IF(Besatzung!$C$18="",Besatzung!$B$5,Besatzung!$C$18)&lt;=B177)*(IF(Besatzung!$D$18="",Besatzung!$B$6,Besatzung!$D$18)&gt;=B177)))*(Besatzung!$F$18="x")*IFERROR(H177,0)/IFERROR(SUMPRODUCT((Besatzung!$B$11:$B$22&lt;&gt;"")*(Besatzung!$F$11:$F$22="x")*(IF(Besatzung!$C$11:$C$22="",Besatzung!$B$5,Besatzung!$C$11:$C$22)&lt;=B177)*(IF(Besatzung!$D$11:$D$22="",Besatzung!$B$6,Besatzung!$D$11:$D$22)&gt;=B177)),1)),IF(I177="An Bord",(((Besatzung!$B$18&lt;&gt;"")*IF(B177="",1,(IF(Besatzung!$C$18="",Besatzung!$B$5,Besatzung!$C$18)&lt;=B177)*(IF(Besatzung!$D$18="",Besatzung!$B$6,Besatzung!$D$18)&gt;=B177)))*((G177-IFERROR(H177,0))/IFERROR(SUMPRODUCT((Besatzung!$B$11:$B$22&lt;&gt;"")*(IF(Besatzung!$C$11:$C$22="",Besatzung!$B$5,Besatzung!$C$11:$C$22)&lt;=B177)*(IF(Besatzung!$D$11:$D$22="",Besatzung!$B$6,Besatzung!$D$11:$D$22)&gt;=B177)),1)+(Besatzung!$F$18="x")*IFERROR(H177,0)/IFERROR(SUMPRODUCT((Besatzung!$B$11:$B$22&lt;&gt;"")*(Besatzung!$F$11:$F$22="x")*(IF(Besatzung!$C$11:$C$22="",Besatzung!$B$5,Besatzung!$C$11:$C$22)&lt;=B177)*(IF(Besatzung!$D$11:$D$22="",Besatzung!$B$6,Besatzung!$D$11:$D$22)&gt;=B177)),1))),IF(I177="Individuell",((Q177="x")*((G177-IFERROR(H177,0))/IFERROR(COUNTIF(J177:U177,"x"),1)+(Besatzung!$F$18="x")*IFERROR(H177,0)/IFERROR(SUMPRODUCT((J177:U177="x")*(Besatzung!$F$11:$F$22="x")),1))),(IF(COUNTIF(J177:U177,"x")=0,IF(Besatzung!$B$18&lt;&gt;"",1,0),(Q177="x"))*(G177-IFERROR(H177,0))/IFERROR(IF(COUNTIF(J177:U177,"x")=0,COUNTA(Besatzung!$B$11:$B$22),COUNTIF(J177:U177,"x")),1)+IF(COUNTIF(J177:U177,"x")=0,(Besatzung!$F$18="x"),(Q177="x")*(Besatzung!$F$18="x"))*IFERROR(H177,0)/IFERROR(IF(COUNTIF(J177:U177,"x")=0,SUMPRODUCT((Besatzung!$B$11:$B$22&lt;&gt;"")*(Besatzung!$F$11:$F$22="x")),SUMPRODUCT((J177:U177="x")*(Besatzung!$F$11:$F$22="x"))),1))))),0))))</f>
        <v/>
      </c>
      <c r="AD177" s="247">
        <f>IF(C177="Gutschrift","",IF(G177="","",IF(Besatzung!$B$19="","",IFERROR(IF(I177="Zeitanteilig",(Besatzung!$G$19*(G177-IFERROR(H177,0))+((Besatzung!$B$19&lt;&gt;"")*IF(B177="",1,(IF(Besatzung!$C$19="",Besatzung!$B$5,Besatzung!$C$19)&lt;=B177)*(IF(Besatzung!$D$19="",Besatzung!$B$6,Besatzung!$D$19)&gt;=B177)))*(Besatzung!$F$19="x")*IFERROR(H177,0)/IFERROR(SUMPRODUCT((Besatzung!$B$11:$B$22&lt;&gt;"")*(Besatzung!$F$11:$F$22="x")*(IF(Besatzung!$C$11:$C$22="",Besatzung!$B$5,Besatzung!$C$11:$C$22)&lt;=B177)*(IF(Besatzung!$D$11:$D$22="",Besatzung!$B$6,Besatzung!$D$11:$D$22)&gt;=B177)),1)),IF(I177="An Bord",(((Besatzung!$B$19&lt;&gt;"")*IF(B177="",1,(IF(Besatzung!$C$19="",Besatzung!$B$5,Besatzung!$C$19)&lt;=B177)*(IF(Besatzung!$D$19="",Besatzung!$B$6,Besatzung!$D$19)&gt;=B177)))*((G177-IFERROR(H177,0))/IFERROR(SUMPRODUCT((Besatzung!$B$11:$B$22&lt;&gt;"")*(IF(Besatzung!$C$11:$C$22="",Besatzung!$B$5,Besatzung!$C$11:$C$22)&lt;=B177)*(IF(Besatzung!$D$11:$D$22="",Besatzung!$B$6,Besatzung!$D$11:$D$22)&gt;=B177)),1)+(Besatzung!$F$19="x")*IFERROR(H177,0)/IFERROR(SUMPRODUCT((Besatzung!$B$11:$B$22&lt;&gt;"")*(Besatzung!$F$11:$F$22="x")*(IF(Besatzung!$C$11:$C$22="",Besatzung!$B$5,Besatzung!$C$11:$C$22)&lt;=B177)*(IF(Besatzung!$D$11:$D$22="",Besatzung!$B$6,Besatzung!$D$11:$D$22)&gt;=B177)),1))),IF(I177="Individuell",((R177="x")*((G177-IFERROR(H177,0))/IFERROR(COUNTIF(J177:U177,"x"),1)+(Besatzung!$F$19="x")*IFERROR(H177,0)/IFERROR(SUMPRODUCT((J177:U177="x")*(Besatzung!$F$11:$F$22="x")),1))),(IF(COUNTIF(J177:U177,"x")=0,IF(Besatzung!$B$19&lt;&gt;"",1,0),(R177="x"))*(G177-IFERROR(H177,0))/IFERROR(IF(COUNTIF(J177:U177,"x")=0,COUNTA(Besatzung!$B$11:$B$22),COUNTIF(J177:U177,"x")),1)+IF(COUNTIF(J177:U177,"x")=0,(Besatzung!$F$19="x"),(R177="x")*(Besatzung!$F$19="x"))*IFERROR(H177,0)/IFERROR(IF(COUNTIF(J177:U177,"x")=0,SUMPRODUCT((Besatzung!$B$11:$B$22&lt;&gt;"")*(Besatzung!$F$11:$F$22="x")),SUMPRODUCT((J177:U177="x")*(Besatzung!$F$11:$F$22="x"))),1))))),0))))</f>
        <v/>
      </c>
      <c r="AE177" s="247">
        <f>IF(C177="Gutschrift","",IF(G177="","",IF(Besatzung!$B$20="","",IFERROR(IF(I177="Zeitanteilig",(Besatzung!$G$20*(G177-IFERROR(H177,0))+((Besatzung!$B$20&lt;&gt;"")*IF(B177="",1,(IF(Besatzung!$C$20="",Besatzung!$B$5,Besatzung!$C$20)&lt;=B177)*(IF(Besatzung!$D$20="",Besatzung!$B$6,Besatzung!$D$20)&gt;=B177)))*(Besatzung!$F$20="x")*IFERROR(H177,0)/IFERROR(SUMPRODUCT((Besatzung!$B$11:$B$22&lt;&gt;"")*(Besatzung!$F$11:$F$22="x")*(IF(Besatzung!$C$11:$C$22="",Besatzung!$B$5,Besatzung!$C$11:$C$22)&lt;=B177)*(IF(Besatzung!$D$11:$D$22="",Besatzung!$B$6,Besatzung!$D$11:$D$22)&gt;=B177)),1)),IF(I177="An Bord",(((Besatzung!$B$20&lt;&gt;"")*IF(B177="",1,(IF(Besatzung!$C$20="",Besatzung!$B$5,Besatzung!$C$20)&lt;=B177)*(IF(Besatzung!$D$20="",Besatzung!$B$6,Besatzung!$D$20)&gt;=B177)))*((G177-IFERROR(H177,0))/IFERROR(SUMPRODUCT((Besatzung!$B$11:$B$22&lt;&gt;"")*(IF(Besatzung!$C$11:$C$22="",Besatzung!$B$5,Besatzung!$C$11:$C$22)&lt;=B177)*(IF(Besatzung!$D$11:$D$22="",Besatzung!$B$6,Besatzung!$D$11:$D$22)&gt;=B177)),1)+(Besatzung!$F$20="x")*IFERROR(H177,0)/IFERROR(SUMPRODUCT((Besatzung!$B$11:$B$22&lt;&gt;"")*(Besatzung!$F$11:$F$22="x")*(IF(Besatzung!$C$11:$C$22="",Besatzung!$B$5,Besatzung!$C$11:$C$22)&lt;=B177)*(IF(Besatzung!$D$11:$D$22="",Besatzung!$B$6,Besatzung!$D$11:$D$22)&gt;=B177)),1))),IF(I177="Individuell",((S177="x")*((G177-IFERROR(H177,0))/IFERROR(COUNTIF(J177:U177,"x"),1)+(Besatzung!$F$20="x")*IFERROR(H177,0)/IFERROR(SUMPRODUCT((J177:U177="x")*(Besatzung!$F$11:$F$22="x")),1))),(IF(COUNTIF(J177:U177,"x")=0,IF(Besatzung!$B$20&lt;&gt;"",1,0),(S177="x"))*(G177-IFERROR(H177,0))/IFERROR(IF(COUNTIF(J177:U177,"x")=0,COUNTA(Besatzung!$B$11:$B$22),COUNTIF(J177:U177,"x")),1)+IF(COUNTIF(J177:U177,"x")=0,(Besatzung!$F$20="x"),(S177="x")*(Besatzung!$F$20="x"))*IFERROR(H177,0)/IFERROR(IF(COUNTIF(J177:U177,"x")=0,SUMPRODUCT((Besatzung!$B$11:$B$22&lt;&gt;"")*(Besatzung!$F$11:$F$22="x")),SUMPRODUCT((J177:U177="x")*(Besatzung!$F$11:$F$22="x"))),1))))),0))))</f>
        <v/>
      </c>
      <c r="AF177" s="247">
        <f>IF(C177="Gutschrift","",IF(G177="","",IF(Besatzung!$B$21="","",IFERROR(IF(I177="Zeitanteilig",(Besatzung!$G$21*(G177-IFERROR(H177,0))+((Besatzung!$B$21&lt;&gt;"")*IF(B177="",1,(IF(Besatzung!$C$21="",Besatzung!$B$5,Besatzung!$C$21)&lt;=B177)*(IF(Besatzung!$D$21="",Besatzung!$B$6,Besatzung!$D$21)&gt;=B177)))*(Besatzung!$F$21="x")*IFERROR(H177,0)/IFERROR(SUMPRODUCT((Besatzung!$B$11:$B$22&lt;&gt;"")*(Besatzung!$F$11:$F$22="x")*(IF(Besatzung!$C$11:$C$22="",Besatzung!$B$5,Besatzung!$C$11:$C$22)&lt;=B177)*(IF(Besatzung!$D$11:$D$22="",Besatzung!$B$6,Besatzung!$D$11:$D$22)&gt;=B177)),1)),IF(I177="An Bord",(((Besatzung!$B$21&lt;&gt;"")*IF(B177="",1,(IF(Besatzung!$C$21="",Besatzung!$B$5,Besatzung!$C$21)&lt;=B177)*(IF(Besatzung!$D$21="",Besatzung!$B$6,Besatzung!$D$21)&gt;=B177)))*((G177-IFERROR(H177,0))/IFERROR(SUMPRODUCT((Besatzung!$B$11:$B$22&lt;&gt;"")*(IF(Besatzung!$C$11:$C$22="",Besatzung!$B$5,Besatzung!$C$11:$C$22)&lt;=B177)*(IF(Besatzung!$D$11:$D$22="",Besatzung!$B$6,Besatzung!$D$11:$D$22)&gt;=B177)),1)+(Besatzung!$F$21="x")*IFERROR(H177,0)/IFERROR(SUMPRODUCT((Besatzung!$B$11:$B$22&lt;&gt;"")*(Besatzung!$F$11:$F$22="x")*(IF(Besatzung!$C$11:$C$22="",Besatzung!$B$5,Besatzung!$C$11:$C$22)&lt;=B177)*(IF(Besatzung!$D$11:$D$22="",Besatzung!$B$6,Besatzung!$D$11:$D$22)&gt;=B177)),1))),IF(I177="Individuell",((T177="x")*((G177-IFERROR(H177,0))/IFERROR(COUNTIF(J177:U177,"x"),1)+(Besatzung!$F$21="x")*IFERROR(H177,0)/IFERROR(SUMPRODUCT((J177:U177="x")*(Besatzung!$F$11:$F$22="x")),1))),(IF(COUNTIF(J177:U177,"x")=0,IF(Besatzung!$B$21&lt;&gt;"",1,0),(T177="x"))*(G177-IFERROR(H177,0))/IFERROR(IF(COUNTIF(J177:U177,"x")=0,COUNTA(Besatzung!$B$11:$B$22),COUNTIF(J177:U177,"x")),1)+IF(COUNTIF(J177:U177,"x")=0,(Besatzung!$F$21="x"),(T177="x")*(Besatzung!$F$21="x"))*IFERROR(H177,0)/IFERROR(IF(COUNTIF(J177:U177,"x")=0,SUMPRODUCT((Besatzung!$B$11:$B$22&lt;&gt;"")*(Besatzung!$F$11:$F$22="x")),SUMPRODUCT((J177:U177="x")*(Besatzung!$F$11:$F$22="x"))),1))))),0))))</f>
        <v/>
      </c>
      <c r="AG177" s="247">
        <f>IF(C177="Gutschrift","",IF(G177="","",IF(Besatzung!$B$22="","",IFERROR(IF(I177="Zeitanteilig",(Besatzung!$G$22*(G177-IFERROR(H177,0))+((Besatzung!$B$22&lt;&gt;"")*IF(B177="",1,(IF(Besatzung!$C$22="",Besatzung!$B$5,Besatzung!$C$22)&lt;=B177)*(IF(Besatzung!$D$22="",Besatzung!$B$6,Besatzung!$D$22)&gt;=B177)))*(Besatzung!$F$22="x")*IFERROR(H177,0)/IFERROR(SUMPRODUCT((Besatzung!$B$11:$B$22&lt;&gt;"")*(Besatzung!$F$11:$F$22="x")*(IF(Besatzung!$C$11:$C$22="",Besatzung!$B$5,Besatzung!$C$11:$C$22)&lt;=B177)*(IF(Besatzung!$D$11:$D$22="",Besatzung!$B$6,Besatzung!$D$11:$D$22)&gt;=B177)),1)),IF(I177="An Bord",(((Besatzung!$B$22&lt;&gt;"")*IF(B177="",1,(IF(Besatzung!$C$22="",Besatzung!$B$5,Besatzung!$C$22)&lt;=B177)*(IF(Besatzung!$D$22="",Besatzung!$B$6,Besatzung!$D$22)&gt;=B177)))*((G177-IFERROR(H177,0))/IFERROR(SUMPRODUCT((Besatzung!$B$11:$B$22&lt;&gt;"")*(IF(Besatzung!$C$11:$C$22="",Besatzung!$B$5,Besatzung!$C$11:$C$22)&lt;=B177)*(IF(Besatzung!$D$11:$D$22="",Besatzung!$B$6,Besatzung!$D$11:$D$22)&gt;=B177)),1)+(Besatzung!$F$22="x")*IFERROR(H177,0)/IFERROR(SUMPRODUCT((Besatzung!$B$11:$B$22&lt;&gt;"")*(Besatzung!$F$11:$F$22="x")*(IF(Besatzung!$C$11:$C$22="",Besatzung!$B$5,Besatzung!$C$11:$C$22)&lt;=B177)*(IF(Besatzung!$D$11:$D$22="",Besatzung!$B$6,Besatzung!$D$11:$D$22)&gt;=B177)),1))),IF(I177="Individuell",((U177="x")*((G177-IFERROR(H177,0))/IFERROR(COUNTIF(J177:U177,"x"),1)+(Besatzung!$F$22="x")*IFERROR(H177,0)/IFERROR(SUMPRODUCT((J177:U177="x")*(Besatzung!$F$11:$F$22="x")),1))),(IF(COUNTIF(J177:U177,"x")=0,IF(Besatzung!$B$22&lt;&gt;"",1,0),(U177="x"))*(G177-IFERROR(H177,0))/IFERROR(IF(COUNTIF(J177:U177,"x")=0,COUNTA(Besatzung!$B$11:$B$22),COUNTIF(J177:U177,"x")),1)+IF(COUNTIF(J177:U177,"x")=0,(Besatzung!$F$22="x"),(U177="x")*(Besatzung!$F$22="x"))*IFERROR(H177,0)/IFERROR(IF(COUNTIF(J177:U177,"x")=0,SUMPRODUCT((Besatzung!$B$11:$B$22&lt;&gt;"")*(Besatzung!$F$11:$F$22="x")),SUMPRODUCT((J177:U177="x")*(Besatzung!$F$11:$F$22="x"))),1))))),0))))</f>
        <v/>
      </c>
      <c r="AH177" s="248" t="n"/>
      <c r="AI177" s="248" t="n"/>
    </row>
    <row r="178" ht="21.75" customHeight="1" s="154">
      <c r="A178" s="238">
        <f>IF(AND(D178="",C178=""),"",175)</f>
        <v/>
      </c>
      <c r="B178" s="199" t="n"/>
      <c r="C178" s="239" t="n"/>
      <c r="D178" s="240" t="n"/>
      <c r="E178" s="241" t="n"/>
      <c r="F178" s="242" t="n"/>
      <c r="G178" s="243" t="n"/>
      <c r="H178" s="244" t="n"/>
      <c r="I178" s="245" t="n"/>
      <c r="J178" s="246" t="n"/>
      <c r="K178" s="246" t="n"/>
      <c r="L178" s="246" t="n"/>
      <c r="M178" s="246" t="n"/>
      <c r="N178" s="246" t="n"/>
      <c r="O178" s="246" t="n"/>
      <c r="P178" s="246" t="n"/>
      <c r="Q178" s="246" t="n"/>
      <c r="R178" s="246" t="n"/>
      <c r="S178" s="246" t="n"/>
      <c r="T178" s="246" t="n"/>
      <c r="U178" s="246" t="n"/>
      <c r="V178" s="247">
        <f>IF(C178="Gutschrift","",IF(G178="","",IF(Besatzung!$B$11="","",IFERROR(IF(I178="Zeitanteilig",(Besatzung!$G$11*(G178-IFERROR(H178,0))+((Besatzung!$B$11&lt;&gt;"")*IF(B178="",1,(IF(Besatzung!$C$11="",Besatzung!$B$5,Besatzung!$C$11)&lt;=B178)*(IF(Besatzung!$D$11="",Besatzung!$B$6,Besatzung!$D$11)&gt;=B178)))*(Besatzung!$F$11="x")*IFERROR(H178,0)/IFERROR(SUMPRODUCT((Besatzung!$B$11:$B$22&lt;&gt;"")*(Besatzung!$F$11:$F$22="x")*(IF(Besatzung!$C$11:$C$22="",Besatzung!$B$5,Besatzung!$C$11:$C$22)&lt;=B178)*(IF(Besatzung!$D$11:$D$22="",Besatzung!$B$6,Besatzung!$D$11:$D$22)&gt;=B178)),1)),IF(I178="An Bord",(((Besatzung!$B$11&lt;&gt;"")*IF(B178="",1,(IF(Besatzung!$C$11="",Besatzung!$B$5,Besatzung!$C$11)&lt;=B178)*(IF(Besatzung!$D$11="",Besatzung!$B$6,Besatzung!$D$11)&gt;=B178)))*((G178-IFERROR(H178,0))/IFERROR(SUMPRODUCT((Besatzung!$B$11:$B$22&lt;&gt;"")*(IF(Besatzung!$C$11:$C$22="",Besatzung!$B$5,Besatzung!$C$11:$C$22)&lt;=B178)*(IF(Besatzung!$D$11:$D$22="",Besatzung!$B$6,Besatzung!$D$11:$D$22)&gt;=B178)),1)+(Besatzung!$F$11="x")*IFERROR(H178,0)/IFERROR(SUMPRODUCT((Besatzung!$B$11:$B$22&lt;&gt;"")*(Besatzung!$F$11:$F$22="x")*(IF(Besatzung!$C$11:$C$22="",Besatzung!$B$5,Besatzung!$C$11:$C$22)&lt;=B178)*(IF(Besatzung!$D$11:$D$22="",Besatzung!$B$6,Besatzung!$D$11:$D$22)&gt;=B178)),1))),IF(I178="Individuell",((J178="x")*((G178-IFERROR(H178,0))/IFERROR(COUNTIF(J178:U178,"x"),1)+(Besatzung!$F$11="x")*IFERROR(H178,0)/IFERROR(SUMPRODUCT((J178:U178="x")*(Besatzung!$F$11:$F$22="x")),1))),(IF(COUNTIF(J178:U178,"x")=0,IF(Besatzung!$B$11&lt;&gt;"",1,0),(J178="x"))*(G178-IFERROR(H178,0))/IFERROR(IF(COUNTIF(J178:U178,"x")=0,COUNTA(Besatzung!$B$11:$B$22),COUNTIF(J178:U178,"x")),1)+IF(COUNTIF(J178:U178,"x")=0,(Besatzung!$F$11="x"),(J178="x")*(Besatzung!$F$11="x"))*IFERROR(H178,0)/IFERROR(IF(COUNTIF(J178:U178,"x")=0,SUMPRODUCT((Besatzung!$B$11:$B$22&lt;&gt;"")*(Besatzung!$F$11:$F$22="x")),SUMPRODUCT((J178:U178="x")*(Besatzung!$F$11:$F$22="x"))),1))))),0))))</f>
        <v/>
      </c>
      <c r="W178" s="247">
        <f>IF(C178="Gutschrift","",IF(G178="","",IF(Besatzung!$B$12="","",IFERROR(IF(I178="Zeitanteilig",(Besatzung!$G$12*(G178-IFERROR(H178,0))+((Besatzung!$B$12&lt;&gt;"")*IF(B178="",1,(IF(Besatzung!$C$12="",Besatzung!$B$5,Besatzung!$C$12)&lt;=B178)*(IF(Besatzung!$D$12="",Besatzung!$B$6,Besatzung!$D$12)&gt;=B178)))*(Besatzung!$F$12="x")*IFERROR(H178,0)/IFERROR(SUMPRODUCT((Besatzung!$B$11:$B$22&lt;&gt;"")*(Besatzung!$F$11:$F$22="x")*(IF(Besatzung!$C$11:$C$22="",Besatzung!$B$5,Besatzung!$C$11:$C$22)&lt;=B178)*(IF(Besatzung!$D$11:$D$22="",Besatzung!$B$6,Besatzung!$D$11:$D$22)&gt;=B178)),1)),IF(I178="An Bord",(((Besatzung!$B$12&lt;&gt;"")*IF(B178="",1,(IF(Besatzung!$C$12="",Besatzung!$B$5,Besatzung!$C$12)&lt;=B178)*(IF(Besatzung!$D$12="",Besatzung!$B$6,Besatzung!$D$12)&gt;=B178)))*((G178-IFERROR(H178,0))/IFERROR(SUMPRODUCT((Besatzung!$B$11:$B$22&lt;&gt;"")*(IF(Besatzung!$C$11:$C$22="",Besatzung!$B$5,Besatzung!$C$11:$C$22)&lt;=B178)*(IF(Besatzung!$D$11:$D$22="",Besatzung!$B$6,Besatzung!$D$11:$D$22)&gt;=B178)),1)+(Besatzung!$F$12="x")*IFERROR(H178,0)/IFERROR(SUMPRODUCT((Besatzung!$B$11:$B$22&lt;&gt;"")*(Besatzung!$F$11:$F$22="x")*(IF(Besatzung!$C$11:$C$22="",Besatzung!$B$5,Besatzung!$C$11:$C$22)&lt;=B178)*(IF(Besatzung!$D$11:$D$22="",Besatzung!$B$6,Besatzung!$D$11:$D$22)&gt;=B178)),1))),IF(I178="Individuell",((K178="x")*((G178-IFERROR(H178,0))/IFERROR(COUNTIF(J178:U178,"x"),1)+(Besatzung!$F$12="x")*IFERROR(H178,0)/IFERROR(SUMPRODUCT((J178:U178="x")*(Besatzung!$F$11:$F$22="x")),1))),(IF(COUNTIF(J178:U178,"x")=0,IF(Besatzung!$B$12&lt;&gt;"",1,0),(K178="x"))*(G178-IFERROR(H178,0))/IFERROR(IF(COUNTIF(J178:U178,"x")=0,COUNTA(Besatzung!$B$11:$B$22),COUNTIF(J178:U178,"x")),1)+IF(COUNTIF(J178:U178,"x")=0,(Besatzung!$F$12="x"),(K178="x")*(Besatzung!$F$12="x"))*IFERROR(H178,0)/IFERROR(IF(COUNTIF(J178:U178,"x")=0,SUMPRODUCT((Besatzung!$B$11:$B$22&lt;&gt;"")*(Besatzung!$F$11:$F$22="x")),SUMPRODUCT((J178:U178="x")*(Besatzung!$F$11:$F$22="x"))),1))))),0))))</f>
        <v/>
      </c>
      <c r="X178" s="247">
        <f>IF(C178="Gutschrift","",IF(G178="","",IF(Besatzung!$B$13="","",IFERROR(IF(I178="Zeitanteilig",(Besatzung!$G$13*(G178-IFERROR(H178,0))+((Besatzung!$B$13&lt;&gt;"")*IF(B178="",1,(IF(Besatzung!$C$13="",Besatzung!$B$5,Besatzung!$C$13)&lt;=B178)*(IF(Besatzung!$D$13="",Besatzung!$B$6,Besatzung!$D$13)&gt;=B178)))*(Besatzung!$F$13="x")*IFERROR(H178,0)/IFERROR(SUMPRODUCT((Besatzung!$B$11:$B$22&lt;&gt;"")*(Besatzung!$F$11:$F$22="x")*(IF(Besatzung!$C$11:$C$22="",Besatzung!$B$5,Besatzung!$C$11:$C$22)&lt;=B178)*(IF(Besatzung!$D$11:$D$22="",Besatzung!$B$6,Besatzung!$D$11:$D$22)&gt;=B178)),1)),IF(I178="An Bord",(((Besatzung!$B$13&lt;&gt;"")*IF(B178="",1,(IF(Besatzung!$C$13="",Besatzung!$B$5,Besatzung!$C$13)&lt;=B178)*(IF(Besatzung!$D$13="",Besatzung!$B$6,Besatzung!$D$13)&gt;=B178)))*((G178-IFERROR(H178,0))/IFERROR(SUMPRODUCT((Besatzung!$B$11:$B$22&lt;&gt;"")*(IF(Besatzung!$C$11:$C$22="",Besatzung!$B$5,Besatzung!$C$11:$C$22)&lt;=B178)*(IF(Besatzung!$D$11:$D$22="",Besatzung!$B$6,Besatzung!$D$11:$D$22)&gt;=B178)),1)+(Besatzung!$F$13="x")*IFERROR(H178,0)/IFERROR(SUMPRODUCT((Besatzung!$B$11:$B$22&lt;&gt;"")*(Besatzung!$F$11:$F$22="x")*(IF(Besatzung!$C$11:$C$22="",Besatzung!$B$5,Besatzung!$C$11:$C$22)&lt;=B178)*(IF(Besatzung!$D$11:$D$22="",Besatzung!$B$6,Besatzung!$D$11:$D$22)&gt;=B178)),1))),IF(I178="Individuell",((K178="x")*((G178-IFERROR(H178,0))/IFERROR(COUNTIF(J178:U178,"x"),1)+(Besatzung!$F$13="x")*IFERROR(H178,0)/IFERROR(SUMPRODUCT((J178:U178="x")*(Besatzung!$F$11:$F$22="x")),1))),(IF(COUNTIF(J178:U178,"x")=0,IF(Besatzung!$B$13&lt;&gt;"",1,0),(K178="x"))*(G178-IFERROR(H178,0))/IFERROR(IF(COUNTIF(J178:U178,"x")=0,COUNTA(Besatzung!$B$11:$B$22),COUNTIF(J178:U178,"x")),1)+IF(COUNTIF(J178:U178,"x")=0,(Besatzung!$F$13="x"),(K178="x")*(Besatzung!$F$13="x"))*IFERROR(H178,0)/IFERROR(IF(COUNTIF(J178:U178,"x")=0,SUMPRODUCT((Besatzung!$B$11:$B$22&lt;&gt;"")*(Besatzung!$F$11:$F$22="x")),SUMPRODUCT((J178:U178="x")*(Besatzung!$F$11:$F$22="x"))),1))))),0))))</f>
        <v/>
      </c>
      <c r="Y178" s="247">
        <f>IF(C178="Gutschrift","",IF(G178="","",IF(Besatzung!$B$14="","",IFERROR(IF(I178="Zeitanteilig",(Besatzung!$G$14*(G178-IFERROR(H178,0))+((Besatzung!$B$14&lt;&gt;"")*IF(B178="",1,(IF(Besatzung!$C$14="",Besatzung!$B$5,Besatzung!$C$14)&lt;=B178)*(IF(Besatzung!$D$14="",Besatzung!$B$6,Besatzung!$D$14)&gt;=B178)))*(Besatzung!$F$14="x")*IFERROR(H178,0)/IFERROR(SUMPRODUCT((Besatzung!$B$11:$B$22&lt;&gt;"")*(Besatzung!$F$11:$F$22="x")*(IF(Besatzung!$C$11:$C$22="",Besatzung!$B$5,Besatzung!$C$11:$C$22)&lt;=B178)*(IF(Besatzung!$D$11:$D$22="",Besatzung!$B$6,Besatzung!$D$11:$D$22)&gt;=B178)),1)),IF(I178="An Bord",(((Besatzung!$B$14&lt;&gt;"")*IF(B178="",1,(IF(Besatzung!$C$14="",Besatzung!$B$5,Besatzung!$C$14)&lt;=B178)*(IF(Besatzung!$D$14="",Besatzung!$B$6,Besatzung!$D$14)&gt;=B178)))*((G178-IFERROR(H178,0))/IFERROR(SUMPRODUCT((Besatzung!$B$11:$B$22&lt;&gt;"")*(IF(Besatzung!$C$11:$C$22="",Besatzung!$B$5,Besatzung!$C$11:$C$22)&lt;=B178)*(IF(Besatzung!$D$11:$D$22="",Besatzung!$B$6,Besatzung!$D$11:$D$22)&gt;=B178)),1)+(Besatzung!$F$14="x")*IFERROR(H178,0)/IFERROR(SUMPRODUCT((Besatzung!$B$11:$B$22&lt;&gt;"")*(Besatzung!$F$11:$F$22="x")*(IF(Besatzung!$C$11:$C$22="",Besatzung!$B$5,Besatzung!$C$11:$C$22)&lt;=B178)*(IF(Besatzung!$D$11:$D$22="",Besatzung!$B$6,Besatzung!$D$11:$D$22)&gt;=B178)),1))),IF(I178="Individuell",((M178="x")*((G178-IFERROR(H178,0))/IFERROR(COUNTIF(J178:U178,"x"),1)+(Besatzung!$F$14="x")*IFERROR(H178,0)/IFERROR(SUMPRODUCT((J178:U178="x")*(Besatzung!$F$11:$F$22="x")),1))),(IF(COUNTIF(J178:U178,"x")=0,IF(Besatzung!$B$14&lt;&gt;"",1,0),(M178="x"))*(G178-IFERROR(H178,0))/IFERROR(IF(COUNTIF(J178:U178,"x")=0,COUNTA(Besatzung!$B$11:$B$22),COUNTIF(J178:U178,"x")),1)+IF(COUNTIF(J178:U178,"x")=0,(Besatzung!$F$14="x"),(M178="x")*(Besatzung!$F$14="x"))*IFERROR(H178,0)/IFERROR(IF(COUNTIF(J178:U178,"x")=0,SUMPRODUCT((Besatzung!$B$11:$B$22&lt;&gt;"")*(Besatzung!$F$11:$F$22="x")),SUMPRODUCT((J178:U178="x")*(Besatzung!$F$11:$F$22="x"))),1))))),0))))</f>
        <v/>
      </c>
      <c r="Z178" s="247">
        <f>IF(C178="Gutschrift","",IF(G178="","",IF(Besatzung!$B$13="","",IFERROR(IF(I178="Zeitanteilig",(Besatzung!$G$15*(G178-IFERROR(H178,0))+((Besatzung!$B$13&lt;&gt;"")*IF(B178="",1,(IF(Besatzung!$C$15="",Besatzung!$B$5,Besatzung!$C$15)&lt;=B178)*(IF(Besatzung!$D$15="",Besatzung!$B$6,Besatzung!$D$15)&gt;=B178)))*(Besatzung!$F$15="x")*IFERROR(H178,0)/IFERROR(SUMPRODUCT((Besatzung!$B$11:$B$22&lt;&gt;"")*(Besatzung!$F$11:$F$22="x")*(IF(Besatzung!$C$11:$C$22="",Besatzung!$B$5,Besatzung!$C$11:$C$22)&lt;=B178)*(IF(Besatzung!$D$11:$D$22="",Besatzung!$B$6,Besatzung!$D$11:$D$22)&gt;=B178)),1)),IF(I178="An Bord",(((Besatzung!$B$13&lt;&gt;"")*IF(B178="",1,(IF(Besatzung!$C$15="",Besatzung!$B$5,Besatzung!$C$15)&lt;=B178)*(IF(Besatzung!$D$15="",Besatzung!$B$6,Besatzung!$D$15)&gt;=B178)))*((G178-IFERROR(H178,0))/IFERROR(SUMPRODUCT((Besatzung!$B$11:$B$22&lt;&gt;"")*(IF(Besatzung!$C$11:$C$22="",Besatzung!$B$5,Besatzung!$C$11:$C$22)&lt;=B178)*(IF(Besatzung!$D$11:$D$22="",Besatzung!$B$6,Besatzung!$D$11:$D$22)&gt;=B178)),1)+(Besatzung!$F$15="x")*IFERROR(H178,0)/IFERROR(SUMPRODUCT((Besatzung!$B$11:$B$22&lt;&gt;"")*(Besatzung!$F$11:$F$22="x")*(IF(Besatzung!$C$11:$C$22="",Besatzung!$B$5,Besatzung!$C$11:$C$22)&lt;=B178)*(IF(Besatzung!$D$11:$D$22="",Besatzung!$B$6,Besatzung!$D$11:$D$22)&gt;=B178)),1))),IF(I178="Individuell",((N178="x")*((G178-IFERROR(H178,0))/IFERROR(COUNTIF(J178:U178,"x"),1)+(Besatzung!$F$15="x")*IFERROR(H178,0)/IFERROR(SUMPRODUCT((J178:U178="x")*(Besatzung!$F$11:$F$22="x")),1))),(IF(COUNTIF(J178:U178,"x")=0,IF(Besatzung!$B$13&lt;&gt;"",1,0),(N178="x"))*(G178-IFERROR(H178,0))/IFERROR(IF(COUNTIF(J178:U178,"x")=0,COUNTA(Besatzung!$B$11:$B$22),COUNTIF(J178:U178,"x")),1)+IF(COUNTIF(J178:U178,"x")=0,(Besatzung!$F$15="x"),(N178="x")*(Besatzung!$F$15="x"))*IFERROR(H178,0)/IFERROR(IF(COUNTIF(J178:U178,"x")=0,SUMPRODUCT((Besatzung!$B$11:$B$22&lt;&gt;"")*(Besatzung!$F$11:$F$22="x")),SUMPRODUCT((J178:U178="x")*(Besatzung!$F$11:$F$22="x"))),1))))),0))))</f>
        <v/>
      </c>
      <c r="AA178" s="247">
        <f>IF(C178="Gutschrift","",IF(G178="","",IF(Besatzung!$B$15="","",IFERROR(IF(I178="Zeitanteilig",(Besatzung!$G$16*(G178-IFERROR(H178,0))+((Besatzung!$B$15&lt;&gt;"")*IF(B178="",1,(IF(Besatzung!$C$16="",Besatzung!$B$5,Besatzung!$C$16)&lt;=B178)*(IF(Besatzung!$D$16="",Besatzung!$B$6,Besatzung!$D$16)&gt;=B178)))*(Besatzung!$F$16="x")*IFERROR(H178,0)/IFERROR(SUMPRODUCT((Besatzung!$B$11:$B$22&lt;&gt;"")*(Besatzung!$F$11:$F$22="x")*(IF(Besatzung!$C$11:$C$22="",Besatzung!$B$5,Besatzung!$C$11:$C$22)&lt;=B178)*(IF(Besatzung!$D$11:$D$22="",Besatzung!$B$6,Besatzung!$D$11:$D$22)&gt;=B178)),1)),IF(I178="An Bord",(((Besatzung!$B$15&lt;&gt;"")*IF(B178="",1,(IF(Besatzung!$C$16="",Besatzung!$B$5,Besatzung!$C$16)&lt;=B178)*(IF(Besatzung!$D$16="",Besatzung!$B$6,Besatzung!$D$16)&gt;=B178)))*((G178-IFERROR(H178,0))/IFERROR(SUMPRODUCT((Besatzung!$B$11:$B$22&lt;&gt;"")*(IF(Besatzung!$C$11:$C$22="",Besatzung!$B$5,Besatzung!$C$11:$C$22)&lt;=B178)*(IF(Besatzung!$D$11:$D$22="",Besatzung!$B$6,Besatzung!$D$11:$D$22)&gt;=B178)),1)+(Besatzung!$F$16="x")*IFERROR(H178,0)/IFERROR(SUMPRODUCT((Besatzung!$B$11:$B$22&lt;&gt;"")*(Besatzung!$F$11:$F$22="x")*(IF(Besatzung!$C$11:$C$22="",Besatzung!$B$5,Besatzung!$C$11:$C$22)&lt;=B178)*(IF(Besatzung!$D$11:$D$22="",Besatzung!$B$6,Besatzung!$D$11:$D$22)&gt;=B178)),1))),IF(I178="Individuell",((O178="x")*((G178-IFERROR(H178,0))/IFERROR(COUNTIF(J178:U178,"x"),1)+(Besatzung!$F$16="x")*IFERROR(H178,0)/IFERROR(SUMPRODUCT((J178:U178="x")*(Besatzung!$F$11:$F$22="x")),1))),(IF(COUNTIF(J178:U178,"x")=0,IF(Besatzung!$B$15&lt;&gt;"",1,0),(O178="x"))*(G178-IFERROR(H178,0))/IFERROR(IF(COUNTIF(J178:U178,"x")=0,COUNTA(Besatzung!$B$11:$B$22),COUNTIF(J178:U178,"x")),1)+IF(COUNTIF(J178:U178,"x")=0,(Besatzung!$F$16="x"),(O178="x")*(Besatzung!$F$16="x"))*IFERROR(H178,0)/IFERROR(IF(COUNTIF(J178:U178,"x")=0,SUMPRODUCT((Besatzung!$B$11:$B$22&lt;&gt;"")*(Besatzung!$F$11:$F$22="x")),SUMPRODUCT((J178:U178="x")*(Besatzung!$F$11:$F$22="x"))),1))))),0))))</f>
        <v/>
      </c>
      <c r="AB178" s="247">
        <f>IF(C178="Gutschrift","",IF(G178="","",IF(Besatzung!$B$17="","",IFERROR(IF(I178="Zeitanteilig",(Besatzung!$G$17*(G178-IFERROR(H178,0))+((Besatzung!$B$17&lt;&gt;"")*IF(B178="",1,(IF(Besatzung!$C$17="",Besatzung!$B$5,Besatzung!$C$17)&lt;=B178)*(IF(Besatzung!$D$17="",Besatzung!$B$6,Besatzung!$D$17)&gt;=B178)))*(Besatzung!$F$17="x")*IFERROR(H178,0)/IFERROR(SUMPRODUCT((Besatzung!$B$11:$B$22&lt;&gt;"")*(Besatzung!$F$11:$F$22="x")*(IF(Besatzung!$C$11:$C$22="",Besatzung!$B$5,Besatzung!$C$11:$C$22)&lt;=B178)*(IF(Besatzung!$D$11:$D$22="",Besatzung!$B$6,Besatzung!$D$11:$D$22)&gt;=B178)),1)),IF(I178="An Bord",(((Besatzung!$B$17&lt;&gt;"")*IF(B178="",1,(IF(Besatzung!$C$17="",Besatzung!$B$5,Besatzung!$C$17)&lt;=B178)*(IF(Besatzung!$D$17="",Besatzung!$B$6,Besatzung!$D$17)&gt;=B178)))*((G178-IFERROR(H178,0))/IFERROR(SUMPRODUCT((Besatzung!$B$11:$B$22&lt;&gt;"")*(IF(Besatzung!$C$11:$C$22="",Besatzung!$B$5,Besatzung!$C$11:$C$22)&lt;=B178)*(IF(Besatzung!$D$11:$D$22="",Besatzung!$B$6,Besatzung!$D$11:$D$22)&gt;=B178)),1)+(Besatzung!$F$17="x")*IFERROR(H178,0)/IFERROR(SUMPRODUCT((Besatzung!$B$11:$B$22&lt;&gt;"")*(Besatzung!$F$11:$F$22="x")*(IF(Besatzung!$C$11:$C$22="",Besatzung!$B$5,Besatzung!$C$11:$C$22)&lt;=B178)*(IF(Besatzung!$D$11:$D$22="",Besatzung!$B$6,Besatzung!$D$11:$D$22)&gt;=B178)),1))),IF(I178="Individuell",((P178="x")*((G178-IFERROR(H178,0))/IFERROR(COUNTIF(J178:U178,"x"),1)+(Besatzung!$F$17="x")*IFERROR(H178,0)/IFERROR(SUMPRODUCT((J178:U178="x")*(Besatzung!$F$11:$F$22="x")),1))),(IF(COUNTIF(J178:U178,"x")=0,IF(Besatzung!$B$17&lt;&gt;"",1,0),(P178="x"))*(G178-IFERROR(H178,0))/IFERROR(IF(COUNTIF(J178:U178,"x")=0,COUNTA(Besatzung!$B$11:$B$22),COUNTIF(J178:U178,"x")),1)+IF(COUNTIF(J178:U178,"x")=0,(Besatzung!$F$17="x"),(P178="x")*(Besatzung!$F$17="x"))*IFERROR(H178,0)/IFERROR(IF(COUNTIF(J178:U178,"x")=0,SUMPRODUCT((Besatzung!$B$11:$B$22&lt;&gt;"")*(Besatzung!$F$11:$F$22="x")),SUMPRODUCT((J178:U178="x")*(Besatzung!$F$11:$F$22="x"))),1))))),0))))</f>
        <v/>
      </c>
      <c r="AC178" s="247">
        <f>IF(C178="Gutschrift","",IF(G178="","",IF(Besatzung!$B$18="","",IFERROR(IF(I178="Zeitanteilig",(Besatzung!$G$18*(G178-IFERROR(H178,0))+((Besatzung!$B$18&lt;&gt;"")*IF(B178="",1,(IF(Besatzung!$C$18="",Besatzung!$B$5,Besatzung!$C$18)&lt;=B178)*(IF(Besatzung!$D$18="",Besatzung!$B$6,Besatzung!$D$18)&gt;=B178)))*(Besatzung!$F$18="x")*IFERROR(H178,0)/IFERROR(SUMPRODUCT((Besatzung!$B$11:$B$22&lt;&gt;"")*(Besatzung!$F$11:$F$22="x")*(IF(Besatzung!$C$11:$C$22="",Besatzung!$B$5,Besatzung!$C$11:$C$22)&lt;=B178)*(IF(Besatzung!$D$11:$D$22="",Besatzung!$B$6,Besatzung!$D$11:$D$22)&gt;=B178)),1)),IF(I178="An Bord",(((Besatzung!$B$18&lt;&gt;"")*IF(B178="",1,(IF(Besatzung!$C$18="",Besatzung!$B$5,Besatzung!$C$18)&lt;=B178)*(IF(Besatzung!$D$18="",Besatzung!$B$6,Besatzung!$D$18)&gt;=B178)))*((G178-IFERROR(H178,0))/IFERROR(SUMPRODUCT((Besatzung!$B$11:$B$22&lt;&gt;"")*(IF(Besatzung!$C$11:$C$22="",Besatzung!$B$5,Besatzung!$C$11:$C$22)&lt;=B178)*(IF(Besatzung!$D$11:$D$22="",Besatzung!$B$6,Besatzung!$D$11:$D$22)&gt;=B178)),1)+(Besatzung!$F$18="x")*IFERROR(H178,0)/IFERROR(SUMPRODUCT((Besatzung!$B$11:$B$22&lt;&gt;"")*(Besatzung!$F$11:$F$22="x")*(IF(Besatzung!$C$11:$C$22="",Besatzung!$B$5,Besatzung!$C$11:$C$22)&lt;=B178)*(IF(Besatzung!$D$11:$D$22="",Besatzung!$B$6,Besatzung!$D$11:$D$22)&gt;=B178)),1))),IF(I178="Individuell",((Q178="x")*((G178-IFERROR(H178,0))/IFERROR(COUNTIF(J178:U178,"x"),1)+(Besatzung!$F$18="x")*IFERROR(H178,0)/IFERROR(SUMPRODUCT((J178:U178="x")*(Besatzung!$F$11:$F$22="x")),1))),(IF(COUNTIF(J178:U178,"x")=0,IF(Besatzung!$B$18&lt;&gt;"",1,0),(Q178="x"))*(G178-IFERROR(H178,0))/IFERROR(IF(COUNTIF(J178:U178,"x")=0,COUNTA(Besatzung!$B$11:$B$22),COUNTIF(J178:U178,"x")),1)+IF(COUNTIF(J178:U178,"x")=0,(Besatzung!$F$18="x"),(Q178="x")*(Besatzung!$F$18="x"))*IFERROR(H178,0)/IFERROR(IF(COUNTIF(J178:U178,"x")=0,SUMPRODUCT((Besatzung!$B$11:$B$22&lt;&gt;"")*(Besatzung!$F$11:$F$22="x")),SUMPRODUCT((J178:U178="x")*(Besatzung!$F$11:$F$22="x"))),1))))),0))))</f>
        <v/>
      </c>
      <c r="AD178" s="247">
        <f>IF(C178="Gutschrift","",IF(G178="","",IF(Besatzung!$B$19="","",IFERROR(IF(I178="Zeitanteilig",(Besatzung!$G$19*(G178-IFERROR(H178,0))+((Besatzung!$B$19&lt;&gt;"")*IF(B178="",1,(IF(Besatzung!$C$19="",Besatzung!$B$5,Besatzung!$C$19)&lt;=B178)*(IF(Besatzung!$D$19="",Besatzung!$B$6,Besatzung!$D$19)&gt;=B178)))*(Besatzung!$F$19="x")*IFERROR(H178,0)/IFERROR(SUMPRODUCT((Besatzung!$B$11:$B$22&lt;&gt;"")*(Besatzung!$F$11:$F$22="x")*(IF(Besatzung!$C$11:$C$22="",Besatzung!$B$5,Besatzung!$C$11:$C$22)&lt;=B178)*(IF(Besatzung!$D$11:$D$22="",Besatzung!$B$6,Besatzung!$D$11:$D$22)&gt;=B178)),1)),IF(I178="An Bord",(((Besatzung!$B$19&lt;&gt;"")*IF(B178="",1,(IF(Besatzung!$C$19="",Besatzung!$B$5,Besatzung!$C$19)&lt;=B178)*(IF(Besatzung!$D$19="",Besatzung!$B$6,Besatzung!$D$19)&gt;=B178)))*((G178-IFERROR(H178,0))/IFERROR(SUMPRODUCT((Besatzung!$B$11:$B$22&lt;&gt;"")*(IF(Besatzung!$C$11:$C$22="",Besatzung!$B$5,Besatzung!$C$11:$C$22)&lt;=B178)*(IF(Besatzung!$D$11:$D$22="",Besatzung!$B$6,Besatzung!$D$11:$D$22)&gt;=B178)),1)+(Besatzung!$F$19="x")*IFERROR(H178,0)/IFERROR(SUMPRODUCT((Besatzung!$B$11:$B$22&lt;&gt;"")*(Besatzung!$F$11:$F$22="x")*(IF(Besatzung!$C$11:$C$22="",Besatzung!$B$5,Besatzung!$C$11:$C$22)&lt;=B178)*(IF(Besatzung!$D$11:$D$22="",Besatzung!$B$6,Besatzung!$D$11:$D$22)&gt;=B178)),1))),IF(I178="Individuell",((R178="x")*((G178-IFERROR(H178,0))/IFERROR(COUNTIF(J178:U178,"x"),1)+(Besatzung!$F$19="x")*IFERROR(H178,0)/IFERROR(SUMPRODUCT((J178:U178="x")*(Besatzung!$F$11:$F$22="x")),1))),(IF(COUNTIF(J178:U178,"x")=0,IF(Besatzung!$B$19&lt;&gt;"",1,0),(R178="x"))*(G178-IFERROR(H178,0))/IFERROR(IF(COUNTIF(J178:U178,"x")=0,COUNTA(Besatzung!$B$11:$B$22),COUNTIF(J178:U178,"x")),1)+IF(COUNTIF(J178:U178,"x")=0,(Besatzung!$F$19="x"),(R178="x")*(Besatzung!$F$19="x"))*IFERROR(H178,0)/IFERROR(IF(COUNTIF(J178:U178,"x")=0,SUMPRODUCT((Besatzung!$B$11:$B$22&lt;&gt;"")*(Besatzung!$F$11:$F$22="x")),SUMPRODUCT((J178:U178="x")*(Besatzung!$F$11:$F$22="x"))),1))))),0))))</f>
        <v/>
      </c>
      <c r="AE178" s="247">
        <f>IF(C178="Gutschrift","",IF(G178="","",IF(Besatzung!$B$20="","",IFERROR(IF(I178="Zeitanteilig",(Besatzung!$G$20*(G178-IFERROR(H178,0))+((Besatzung!$B$20&lt;&gt;"")*IF(B178="",1,(IF(Besatzung!$C$20="",Besatzung!$B$5,Besatzung!$C$20)&lt;=B178)*(IF(Besatzung!$D$20="",Besatzung!$B$6,Besatzung!$D$20)&gt;=B178)))*(Besatzung!$F$20="x")*IFERROR(H178,0)/IFERROR(SUMPRODUCT((Besatzung!$B$11:$B$22&lt;&gt;"")*(Besatzung!$F$11:$F$22="x")*(IF(Besatzung!$C$11:$C$22="",Besatzung!$B$5,Besatzung!$C$11:$C$22)&lt;=B178)*(IF(Besatzung!$D$11:$D$22="",Besatzung!$B$6,Besatzung!$D$11:$D$22)&gt;=B178)),1)),IF(I178="An Bord",(((Besatzung!$B$20&lt;&gt;"")*IF(B178="",1,(IF(Besatzung!$C$20="",Besatzung!$B$5,Besatzung!$C$20)&lt;=B178)*(IF(Besatzung!$D$20="",Besatzung!$B$6,Besatzung!$D$20)&gt;=B178)))*((G178-IFERROR(H178,0))/IFERROR(SUMPRODUCT((Besatzung!$B$11:$B$22&lt;&gt;"")*(IF(Besatzung!$C$11:$C$22="",Besatzung!$B$5,Besatzung!$C$11:$C$22)&lt;=B178)*(IF(Besatzung!$D$11:$D$22="",Besatzung!$B$6,Besatzung!$D$11:$D$22)&gt;=B178)),1)+(Besatzung!$F$20="x")*IFERROR(H178,0)/IFERROR(SUMPRODUCT((Besatzung!$B$11:$B$22&lt;&gt;"")*(Besatzung!$F$11:$F$22="x")*(IF(Besatzung!$C$11:$C$22="",Besatzung!$B$5,Besatzung!$C$11:$C$22)&lt;=B178)*(IF(Besatzung!$D$11:$D$22="",Besatzung!$B$6,Besatzung!$D$11:$D$22)&gt;=B178)),1))),IF(I178="Individuell",((S178="x")*((G178-IFERROR(H178,0))/IFERROR(COUNTIF(J178:U178,"x"),1)+(Besatzung!$F$20="x")*IFERROR(H178,0)/IFERROR(SUMPRODUCT((J178:U178="x")*(Besatzung!$F$11:$F$22="x")),1))),(IF(COUNTIF(J178:U178,"x")=0,IF(Besatzung!$B$20&lt;&gt;"",1,0),(S178="x"))*(G178-IFERROR(H178,0))/IFERROR(IF(COUNTIF(J178:U178,"x")=0,COUNTA(Besatzung!$B$11:$B$22),COUNTIF(J178:U178,"x")),1)+IF(COUNTIF(J178:U178,"x")=0,(Besatzung!$F$20="x"),(S178="x")*(Besatzung!$F$20="x"))*IFERROR(H178,0)/IFERROR(IF(COUNTIF(J178:U178,"x")=0,SUMPRODUCT((Besatzung!$B$11:$B$22&lt;&gt;"")*(Besatzung!$F$11:$F$22="x")),SUMPRODUCT((J178:U178="x")*(Besatzung!$F$11:$F$22="x"))),1))))),0))))</f>
        <v/>
      </c>
      <c r="AF178" s="247">
        <f>IF(C178="Gutschrift","",IF(G178="","",IF(Besatzung!$B$21="","",IFERROR(IF(I178="Zeitanteilig",(Besatzung!$G$21*(G178-IFERROR(H178,0))+((Besatzung!$B$21&lt;&gt;"")*IF(B178="",1,(IF(Besatzung!$C$21="",Besatzung!$B$5,Besatzung!$C$21)&lt;=B178)*(IF(Besatzung!$D$21="",Besatzung!$B$6,Besatzung!$D$21)&gt;=B178)))*(Besatzung!$F$21="x")*IFERROR(H178,0)/IFERROR(SUMPRODUCT((Besatzung!$B$11:$B$22&lt;&gt;"")*(Besatzung!$F$11:$F$22="x")*(IF(Besatzung!$C$11:$C$22="",Besatzung!$B$5,Besatzung!$C$11:$C$22)&lt;=B178)*(IF(Besatzung!$D$11:$D$22="",Besatzung!$B$6,Besatzung!$D$11:$D$22)&gt;=B178)),1)),IF(I178="An Bord",(((Besatzung!$B$21&lt;&gt;"")*IF(B178="",1,(IF(Besatzung!$C$21="",Besatzung!$B$5,Besatzung!$C$21)&lt;=B178)*(IF(Besatzung!$D$21="",Besatzung!$B$6,Besatzung!$D$21)&gt;=B178)))*((G178-IFERROR(H178,0))/IFERROR(SUMPRODUCT((Besatzung!$B$11:$B$22&lt;&gt;"")*(IF(Besatzung!$C$11:$C$22="",Besatzung!$B$5,Besatzung!$C$11:$C$22)&lt;=B178)*(IF(Besatzung!$D$11:$D$22="",Besatzung!$B$6,Besatzung!$D$11:$D$22)&gt;=B178)),1)+(Besatzung!$F$21="x")*IFERROR(H178,0)/IFERROR(SUMPRODUCT((Besatzung!$B$11:$B$22&lt;&gt;"")*(Besatzung!$F$11:$F$22="x")*(IF(Besatzung!$C$11:$C$22="",Besatzung!$B$5,Besatzung!$C$11:$C$22)&lt;=B178)*(IF(Besatzung!$D$11:$D$22="",Besatzung!$B$6,Besatzung!$D$11:$D$22)&gt;=B178)),1))),IF(I178="Individuell",((T178="x")*((G178-IFERROR(H178,0))/IFERROR(COUNTIF(J178:U178,"x"),1)+(Besatzung!$F$21="x")*IFERROR(H178,0)/IFERROR(SUMPRODUCT((J178:U178="x")*(Besatzung!$F$11:$F$22="x")),1))),(IF(COUNTIF(J178:U178,"x")=0,IF(Besatzung!$B$21&lt;&gt;"",1,0),(T178="x"))*(G178-IFERROR(H178,0))/IFERROR(IF(COUNTIF(J178:U178,"x")=0,COUNTA(Besatzung!$B$11:$B$22),COUNTIF(J178:U178,"x")),1)+IF(COUNTIF(J178:U178,"x")=0,(Besatzung!$F$21="x"),(T178="x")*(Besatzung!$F$21="x"))*IFERROR(H178,0)/IFERROR(IF(COUNTIF(J178:U178,"x")=0,SUMPRODUCT((Besatzung!$B$11:$B$22&lt;&gt;"")*(Besatzung!$F$11:$F$22="x")),SUMPRODUCT((J178:U178="x")*(Besatzung!$F$11:$F$22="x"))),1))))),0))))</f>
        <v/>
      </c>
      <c r="AG178" s="247">
        <f>IF(C178="Gutschrift","",IF(G178="","",IF(Besatzung!$B$22="","",IFERROR(IF(I178="Zeitanteilig",(Besatzung!$G$22*(G178-IFERROR(H178,0))+((Besatzung!$B$22&lt;&gt;"")*IF(B178="",1,(IF(Besatzung!$C$22="",Besatzung!$B$5,Besatzung!$C$22)&lt;=B178)*(IF(Besatzung!$D$22="",Besatzung!$B$6,Besatzung!$D$22)&gt;=B178)))*(Besatzung!$F$22="x")*IFERROR(H178,0)/IFERROR(SUMPRODUCT((Besatzung!$B$11:$B$22&lt;&gt;"")*(Besatzung!$F$11:$F$22="x")*(IF(Besatzung!$C$11:$C$22="",Besatzung!$B$5,Besatzung!$C$11:$C$22)&lt;=B178)*(IF(Besatzung!$D$11:$D$22="",Besatzung!$B$6,Besatzung!$D$11:$D$22)&gt;=B178)),1)),IF(I178="An Bord",(((Besatzung!$B$22&lt;&gt;"")*IF(B178="",1,(IF(Besatzung!$C$22="",Besatzung!$B$5,Besatzung!$C$22)&lt;=B178)*(IF(Besatzung!$D$22="",Besatzung!$B$6,Besatzung!$D$22)&gt;=B178)))*((G178-IFERROR(H178,0))/IFERROR(SUMPRODUCT((Besatzung!$B$11:$B$22&lt;&gt;"")*(IF(Besatzung!$C$11:$C$22="",Besatzung!$B$5,Besatzung!$C$11:$C$22)&lt;=B178)*(IF(Besatzung!$D$11:$D$22="",Besatzung!$B$6,Besatzung!$D$11:$D$22)&gt;=B178)),1)+(Besatzung!$F$22="x")*IFERROR(H178,0)/IFERROR(SUMPRODUCT((Besatzung!$B$11:$B$22&lt;&gt;"")*(Besatzung!$F$11:$F$22="x")*(IF(Besatzung!$C$11:$C$22="",Besatzung!$B$5,Besatzung!$C$11:$C$22)&lt;=B178)*(IF(Besatzung!$D$11:$D$22="",Besatzung!$B$6,Besatzung!$D$11:$D$22)&gt;=B178)),1))),IF(I178="Individuell",((U178="x")*((G178-IFERROR(H178,0))/IFERROR(COUNTIF(J178:U178,"x"),1)+(Besatzung!$F$22="x")*IFERROR(H178,0)/IFERROR(SUMPRODUCT((J178:U178="x")*(Besatzung!$F$11:$F$22="x")),1))),(IF(COUNTIF(J178:U178,"x")=0,IF(Besatzung!$B$22&lt;&gt;"",1,0),(U178="x"))*(G178-IFERROR(H178,0))/IFERROR(IF(COUNTIF(J178:U178,"x")=0,COUNTA(Besatzung!$B$11:$B$22),COUNTIF(J178:U178,"x")),1)+IF(COUNTIF(J178:U178,"x")=0,(Besatzung!$F$22="x"),(U178="x")*(Besatzung!$F$22="x"))*IFERROR(H178,0)/IFERROR(IF(COUNTIF(J178:U178,"x")=0,SUMPRODUCT((Besatzung!$B$11:$B$22&lt;&gt;"")*(Besatzung!$F$11:$F$22="x")),SUMPRODUCT((J178:U178="x")*(Besatzung!$F$11:$F$22="x"))),1))))),0))))</f>
        <v/>
      </c>
      <c r="AH178" s="248" t="n"/>
      <c r="AI178" s="248" t="n"/>
    </row>
    <row r="179" ht="21.75" customHeight="1" s="154">
      <c r="A179" s="238">
        <f>IF(AND(D179="",C179=""),"",176)</f>
        <v/>
      </c>
      <c r="B179" s="206" t="n"/>
      <c r="C179" s="249" t="n"/>
      <c r="D179" s="250" t="n"/>
      <c r="E179" s="251" t="n"/>
      <c r="F179" s="252" t="n"/>
      <c r="G179" s="253" t="n"/>
      <c r="H179" s="254" t="n"/>
      <c r="I179" s="255" t="n"/>
      <c r="J179" s="256" t="n"/>
      <c r="K179" s="256" t="n"/>
      <c r="L179" s="256" t="n"/>
      <c r="M179" s="256" t="n"/>
      <c r="N179" s="256" t="n"/>
      <c r="O179" s="256" t="n"/>
      <c r="P179" s="256" t="n"/>
      <c r="Q179" s="256" t="n"/>
      <c r="R179" s="256" t="n"/>
      <c r="S179" s="256" t="n"/>
      <c r="T179" s="256" t="n"/>
      <c r="U179" s="256" t="n"/>
      <c r="V179" s="247">
        <f>IF(C179="Gutschrift","",IF(G179="","",IF(Besatzung!$B$11="","",IFERROR(IF(I179="Zeitanteilig",(Besatzung!$G$11*(G179-IFERROR(H179,0))+((Besatzung!$B$11&lt;&gt;"")*IF(B179="",1,(IF(Besatzung!$C$11="",Besatzung!$B$5,Besatzung!$C$11)&lt;=B179)*(IF(Besatzung!$D$11="",Besatzung!$B$6,Besatzung!$D$11)&gt;=B179)))*(Besatzung!$F$11="x")*IFERROR(H179,0)/IFERROR(SUMPRODUCT((Besatzung!$B$11:$B$22&lt;&gt;"")*(Besatzung!$F$11:$F$22="x")*(IF(Besatzung!$C$11:$C$22="",Besatzung!$B$5,Besatzung!$C$11:$C$22)&lt;=B179)*(IF(Besatzung!$D$11:$D$22="",Besatzung!$B$6,Besatzung!$D$11:$D$22)&gt;=B179)),1)),IF(I179="An Bord",(((Besatzung!$B$11&lt;&gt;"")*IF(B179="",1,(IF(Besatzung!$C$11="",Besatzung!$B$5,Besatzung!$C$11)&lt;=B179)*(IF(Besatzung!$D$11="",Besatzung!$B$6,Besatzung!$D$11)&gt;=B179)))*((G179-IFERROR(H179,0))/IFERROR(SUMPRODUCT((Besatzung!$B$11:$B$22&lt;&gt;"")*(IF(Besatzung!$C$11:$C$22="",Besatzung!$B$5,Besatzung!$C$11:$C$22)&lt;=B179)*(IF(Besatzung!$D$11:$D$22="",Besatzung!$B$6,Besatzung!$D$11:$D$22)&gt;=B179)),1)+(Besatzung!$F$11="x")*IFERROR(H179,0)/IFERROR(SUMPRODUCT((Besatzung!$B$11:$B$22&lt;&gt;"")*(Besatzung!$F$11:$F$22="x")*(IF(Besatzung!$C$11:$C$22="",Besatzung!$B$5,Besatzung!$C$11:$C$22)&lt;=B179)*(IF(Besatzung!$D$11:$D$22="",Besatzung!$B$6,Besatzung!$D$11:$D$22)&gt;=B179)),1))),IF(I179="Individuell",((J179="x")*((G179-IFERROR(H179,0))/IFERROR(COUNTIF(J179:U179,"x"),1)+(Besatzung!$F$11="x")*IFERROR(H179,0)/IFERROR(SUMPRODUCT((J179:U179="x")*(Besatzung!$F$11:$F$22="x")),1))),(IF(COUNTIF(J179:U179,"x")=0,IF(Besatzung!$B$11&lt;&gt;"",1,0),(J179="x"))*(G179-IFERROR(H179,0))/IFERROR(IF(COUNTIF(J179:U179,"x")=0,COUNTA(Besatzung!$B$11:$B$22),COUNTIF(J179:U179,"x")),1)+IF(COUNTIF(J179:U179,"x")=0,(Besatzung!$F$11="x"),(J179="x")*(Besatzung!$F$11="x"))*IFERROR(H179,0)/IFERROR(IF(COUNTIF(J179:U179,"x")=0,SUMPRODUCT((Besatzung!$B$11:$B$22&lt;&gt;"")*(Besatzung!$F$11:$F$22="x")),SUMPRODUCT((J179:U179="x")*(Besatzung!$F$11:$F$22="x"))),1))))),0))))</f>
        <v/>
      </c>
      <c r="W179" s="247">
        <f>IF(C179="Gutschrift","",IF(G179="","",IF(Besatzung!$B$12="","",IFERROR(IF(I179="Zeitanteilig",(Besatzung!$G$12*(G179-IFERROR(H179,0))+((Besatzung!$B$12&lt;&gt;"")*IF(B179="",1,(IF(Besatzung!$C$12="",Besatzung!$B$5,Besatzung!$C$12)&lt;=B179)*(IF(Besatzung!$D$12="",Besatzung!$B$6,Besatzung!$D$12)&gt;=B179)))*(Besatzung!$F$12="x")*IFERROR(H179,0)/IFERROR(SUMPRODUCT((Besatzung!$B$11:$B$22&lt;&gt;"")*(Besatzung!$F$11:$F$22="x")*(IF(Besatzung!$C$11:$C$22="",Besatzung!$B$5,Besatzung!$C$11:$C$22)&lt;=B179)*(IF(Besatzung!$D$11:$D$22="",Besatzung!$B$6,Besatzung!$D$11:$D$22)&gt;=B179)),1)),IF(I179="An Bord",(((Besatzung!$B$12&lt;&gt;"")*IF(B179="",1,(IF(Besatzung!$C$12="",Besatzung!$B$5,Besatzung!$C$12)&lt;=B179)*(IF(Besatzung!$D$12="",Besatzung!$B$6,Besatzung!$D$12)&gt;=B179)))*((G179-IFERROR(H179,0))/IFERROR(SUMPRODUCT((Besatzung!$B$11:$B$22&lt;&gt;"")*(IF(Besatzung!$C$11:$C$22="",Besatzung!$B$5,Besatzung!$C$11:$C$22)&lt;=B179)*(IF(Besatzung!$D$11:$D$22="",Besatzung!$B$6,Besatzung!$D$11:$D$22)&gt;=B179)),1)+(Besatzung!$F$12="x")*IFERROR(H179,0)/IFERROR(SUMPRODUCT((Besatzung!$B$11:$B$22&lt;&gt;"")*(Besatzung!$F$11:$F$22="x")*(IF(Besatzung!$C$11:$C$22="",Besatzung!$B$5,Besatzung!$C$11:$C$22)&lt;=B179)*(IF(Besatzung!$D$11:$D$22="",Besatzung!$B$6,Besatzung!$D$11:$D$22)&gt;=B179)),1))),IF(I179="Individuell",((K179="x")*((G179-IFERROR(H179,0))/IFERROR(COUNTIF(J179:U179,"x"),1)+(Besatzung!$F$12="x")*IFERROR(H179,0)/IFERROR(SUMPRODUCT((J179:U179="x")*(Besatzung!$F$11:$F$22="x")),1))),(IF(COUNTIF(J179:U179,"x")=0,IF(Besatzung!$B$12&lt;&gt;"",1,0),(K179="x"))*(G179-IFERROR(H179,0))/IFERROR(IF(COUNTIF(J179:U179,"x")=0,COUNTA(Besatzung!$B$11:$B$22),COUNTIF(J179:U179,"x")),1)+IF(COUNTIF(J179:U179,"x")=0,(Besatzung!$F$12="x"),(K179="x")*(Besatzung!$F$12="x"))*IFERROR(H179,0)/IFERROR(IF(COUNTIF(J179:U179,"x")=0,SUMPRODUCT((Besatzung!$B$11:$B$22&lt;&gt;"")*(Besatzung!$F$11:$F$22="x")),SUMPRODUCT((J179:U179="x")*(Besatzung!$F$11:$F$22="x"))),1))))),0))))</f>
        <v/>
      </c>
      <c r="X179" s="247">
        <f>IF(C179="Gutschrift","",IF(G179="","",IF(Besatzung!$B$13="","",IFERROR(IF(I179="Zeitanteilig",(Besatzung!$G$13*(G179-IFERROR(H179,0))+((Besatzung!$B$13&lt;&gt;"")*IF(B179="",1,(IF(Besatzung!$C$13="",Besatzung!$B$5,Besatzung!$C$13)&lt;=B179)*(IF(Besatzung!$D$13="",Besatzung!$B$6,Besatzung!$D$13)&gt;=B179)))*(Besatzung!$F$13="x")*IFERROR(H179,0)/IFERROR(SUMPRODUCT((Besatzung!$B$11:$B$22&lt;&gt;"")*(Besatzung!$F$11:$F$22="x")*(IF(Besatzung!$C$11:$C$22="",Besatzung!$B$5,Besatzung!$C$11:$C$22)&lt;=B179)*(IF(Besatzung!$D$11:$D$22="",Besatzung!$B$6,Besatzung!$D$11:$D$22)&gt;=B179)),1)),IF(I179="An Bord",(((Besatzung!$B$13&lt;&gt;"")*IF(B179="",1,(IF(Besatzung!$C$13="",Besatzung!$B$5,Besatzung!$C$13)&lt;=B179)*(IF(Besatzung!$D$13="",Besatzung!$B$6,Besatzung!$D$13)&gt;=B179)))*((G179-IFERROR(H179,0))/IFERROR(SUMPRODUCT((Besatzung!$B$11:$B$22&lt;&gt;"")*(IF(Besatzung!$C$11:$C$22="",Besatzung!$B$5,Besatzung!$C$11:$C$22)&lt;=B179)*(IF(Besatzung!$D$11:$D$22="",Besatzung!$B$6,Besatzung!$D$11:$D$22)&gt;=B179)),1)+(Besatzung!$F$13="x")*IFERROR(H179,0)/IFERROR(SUMPRODUCT((Besatzung!$B$11:$B$22&lt;&gt;"")*(Besatzung!$F$11:$F$22="x")*(IF(Besatzung!$C$11:$C$22="",Besatzung!$B$5,Besatzung!$C$11:$C$22)&lt;=B179)*(IF(Besatzung!$D$11:$D$22="",Besatzung!$B$6,Besatzung!$D$11:$D$22)&gt;=B179)),1))),IF(I179="Individuell",((K179="x")*((G179-IFERROR(H179,0))/IFERROR(COUNTIF(J179:U179,"x"),1)+(Besatzung!$F$13="x")*IFERROR(H179,0)/IFERROR(SUMPRODUCT((J179:U179="x")*(Besatzung!$F$11:$F$22="x")),1))),(IF(COUNTIF(J179:U179,"x")=0,IF(Besatzung!$B$13&lt;&gt;"",1,0),(K179="x"))*(G179-IFERROR(H179,0))/IFERROR(IF(COUNTIF(J179:U179,"x")=0,COUNTA(Besatzung!$B$11:$B$22),COUNTIF(J179:U179,"x")),1)+IF(COUNTIF(J179:U179,"x")=0,(Besatzung!$F$13="x"),(K179="x")*(Besatzung!$F$13="x"))*IFERROR(H179,0)/IFERROR(IF(COUNTIF(J179:U179,"x")=0,SUMPRODUCT((Besatzung!$B$11:$B$22&lt;&gt;"")*(Besatzung!$F$11:$F$22="x")),SUMPRODUCT((J179:U179="x")*(Besatzung!$F$11:$F$22="x"))),1))))),0))))</f>
        <v/>
      </c>
      <c r="Y179" s="247">
        <f>IF(C179="Gutschrift","",IF(G179="","",IF(Besatzung!$B$14="","",IFERROR(IF(I179="Zeitanteilig",(Besatzung!$G$14*(G179-IFERROR(H179,0))+((Besatzung!$B$14&lt;&gt;"")*IF(B179="",1,(IF(Besatzung!$C$14="",Besatzung!$B$5,Besatzung!$C$14)&lt;=B179)*(IF(Besatzung!$D$14="",Besatzung!$B$6,Besatzung!$D$14)&gt;=B179)))*(Besatzung!$F$14="x")*IFERROR(H179,0)/IFERROR(SUMPRODUCT((Besatzung!$B$11:$B$22&lt;&gt;"")*(Besatzung!$F$11:$F$22="x")*(IF(Besatzung!$C$11:$C$22="",Besatzung!$B$5,Besatzung!$C$11:$C$22)&lt;=B179)*(IF(Besatzung!$D$11:$D$22="",Besatzung!$B$6,Besatzung!$D$11:$D$22)&gt;=B179)),1)),IF(I179="An Bord",(((Besatzung!$B$14&lt;&gt;"")*IF(B179="",1,(IF(Besatzung!$C$14="",Besatzung!$B$5,Besatzung!$C$14)&lt;=B179)*(IF(Besatzung!$D$14="",Besatzung!$B$6,Besatzung!$D$14)&gt;=B179)))*((G179-IFERROR(H179,0))/IFERROR(SUMPRODUCT((Besatzung!$B$11:$B$22&lt;&gt;"")*(IF(Besatzung!$C$11:$C$22="",Besatzung!$B$5,Besatzung!$C$11:$C$22)&lt;=B179)*(IF(Besatzung!$D$11:$D$22="",Besatzung!$B$6,Besatzung!$D$11:$D$22)&gt;=B179)),1)+(Besatzung!$F$14="x")*IFERROR(H179,0)/IFERROR(SUMPRODUCT((Besatzung!$B$11:$B$22&lt;&gt;"")*(Besatzung!$F$11:$F$22="x")*(IF(Besatzung!$C$11:$C$22="",Besatzung!$B$5,Besatzung!$C$11:$C$22)&lt;=B179)*(IF(Besatzung!$D$11:$D$22="",Besatzung!$B$6,Besatzung!$D$11:$D$22)&gt;=B179)),1))),IF(I179="Individuell",((M179="x")*((G179-IFERROR(H179,0))/IFERROR(COUNTIF(J179:U179,"x"),1)+(Besatzung!$F$14="x")*IFERROR(H179,0)/IFERROR(SUMPRODUCT((J179:U179="x")*(Besatzung!$F$11:$F$22="x")),1))),(IF(COUNTIF(J179:U179,"x")=0,IF(Besatzung!$B$14&lt;&gt;"",1,0),(M179="x"))*(G179-IFERROR(H179,0))/IFERROR(IF(COUNTIF(J179:U179,"x")=0,COUNTA(Besatzung!$B$11:$B$22),COUNTIF(J179:U179,"x")),1)+IF(COUNTIF(J179:U179,"x")=0,(Besatzung!$F$14="x"),(M179="x")*(Besatzung!$F$14="x"))*IFERROR(H179,0)/IFERROR(IF(COUNTIF(J179:U179,"x")=0,SUMPRODUCT((Besatzung!$B$11:$B$22&lt;&gt;"")*(Besatzung!$F$11:$F$22="x")),SUMPRODUCT((J179:U179="x")*(Besatzung!$F$11:$F$22="x"))),1))))),0))))</f>
        <v/>
      </c>
      <c r="Z179" s="247">
        <f>IF(C179="Gutschrift","",IF(G179="","",IF(Besatzung!$B$13="","",IFERROR(IF(I179="Zeitanteilig",(Besatzung!$G$15*(G179-IFERROR(H179,0))+((Besatzung!$B$13&lt;&gt;"")*IF(B179="",1,(IF(Besatzung!$C$15="",Besatzung!$B$5,Besatzung!$C$15)&lt;=B179)*(IF(Besatzung!$D$15="",Besatzung!$B$6,Besatzung!$D$15)&gt;=B179)))*(Besatzung!$F$15="x")*IFERROR(H179,0)/IFERROR(SUMPRODUCT((Besatzung!$B$11:$B$22&lt;&gt;"")*(Besatzung!$F$11:$F$22="x")*(IF(Besatzung!$C$11:$C$22="",Besatzung!$B$5,Besatzung!$C$11:$C$22)&lt;=B179)*(IF(Besatzung!$D$11:$D$22="",Besatzung!$B$6,Besatzung!$D$11:$D$22)&gt;=B179)),1)),IF(I179="An Bord",(((Besatzung!$B$13&lt;&gt;"")*IF(B179="",1,(IF(Besatzung!$C$15="",Besatzung!$B$5,Besatzung!$C$15)&lt;=B179)*(IF(Besatzung!$D$15="",Besatzung!$B$6,Besatzung!$D$15)&gt;=B179)))*((G179-IFERROR(H179,0))/IFERROR(SUMPRODUCT((Besatzung!$B$11:$B$22&lt;&gt;"")*(IF(Besatzung!$C$11:$C$22="",Besatzung!$B$5,Besatzung!$C$11:$C$22)&lt;=B179)*(IF(Besatzung!$D$11:$D$22="",Besatzung!$B$6,Besatzung!$D$11:$D$22)&gt;=B179)),1)+(Besatzung!$F$15="x")*IFERROR(H179,0)/IFERROR(SUMPRODUCT((Besatzung!$B$11:$B$22&lt;&gt;"")*(Besatzung!$F$11:$F$22="x")*(IF(Besatzung!$C$11:$C$22="",Besatzung!$B$5,Besatzung!$C$11:$C$22)&lt;=B179)*(IF(Besatzung!$D$11:$D$22="",Besatzung!$B$6,Besatzung!$D$11:$D$22)&gt;=B179)),1))),IF(I179="Individuell",((N179="x")*((G179-IFERROR(H179,0))/IFERROR(COUNTIF(J179:U179,"x"),1)+(Besatzung!$F$15="x")*IFERROR(H179,0)/IFERROR(SUMPRODUCT((J179:U179="x")*(Besatzung!$F$11:$F$22="x")),1))),(IF(COUNTIF(J179:U179,"x")=0,IF(Besatzung!$B$13&lt;&gt;"",1,0),(N179="x"))*(G179-IFERROR(H179,0))/IFERROR(IF(COUNTIF(J179:U179,"x")=0,COUNTA(Besatzung!$B$11:$B$22),COUNTIF(J179:U179,"x")),1)+IF(COUNTIF(J179:U179,"x")=0,(Besatzung!$F$15="x"),(N179="x")*(Besatzung!$F$15="x"))*IFERROR(H179,0)/IFERROR(IF(COUNTIF(J179:U179,"x")=0,SUMPRODUCT((Besatzung!$B$11:$B$22&lt;&gt;"")*(Besatzung!$F$11:$F$22="x")),SUMPRODUCT((J179:U179="x")*(Besatzung!$F$11:$F$22="x"))),1))))),0))))</f>
        <v/>
      </c>
      <c r="AA179" s="247">
        <f>IF(C179="Gutschrift","",IF(G179="","",IF(Besatzung!$B$15="","",IFERROR(IF(I179="Zeitanteilig",(Besatzung!$G$16*(G179-IFERROR(H179,0))+((Besatzung!$B$15&lt;&gt;"")*IF(B179="",1,(IF(Besatzung!$C$16="",Besatzung!$B$5,Besatzung!$C$16)&lt;=B179)*(IF(Besatzung!$D$16="",Besatzung!$B$6,Besatzung!$D$16)&gt;=B179)))*(Besatzung!$F$16="x")*IFERROR(H179,0)/IFERROR(SUMPRODUCT((Besatzung!$B$11:$B$22&lt;&gt;"")*(Besatzung!$F$11:$F$22="x")*(IF(Besatzung!$C$11:$C$22="",Besatzung!$B$5,Besatzung!$C$11:$C$22)&lt;=B179)*(IF(Besatzung!$D$11:$D$22="",Besatzung!$B$6,Besatzung!$D$11:$D$22)&gt;=B179)),1)),IF(I179="An Bord",(((Besatzung!$B$15&lt;&gt;"")*IF(B179="",1,(IF(Besatzung!$C$16="",Besatzung!$B$5,Besatzung!$C$16)&lt;=B179)*(IF(Besatzung!$D$16="",Besatzung!$B$6,Besatzung!$D$16)&gt;=B179)))*((G179-IFERROR(H179,0))/IFERROR(SUMPRODUCT((Besatzung!$B$11:$B$22&lt;&gt;"")*(IF(Besatzung!$C$11:$C$22="",Besatzung!$B$5,Besatzung!$C$11:$C$22)&lt;=B179)*(IF(Besatzung!$D$11:$D$22="",Besatzung!$B$6,Besatzung!$D$11:$D$22)&gt;=B179)),1)+(Besatzung!$F$16="x")*IFERROR(H179,0)/IFERROR(SUMPRODUCT((Besatzung!$B$11:$B$22&lt;&gt;"")*(Besatzung!$F$11:$F$22="x")*(IF(Besatzung!$C$11:$C$22="",Besatzung!$B$5,Besatzung!$C$11:$C$22)&lt;=B179)*(IF(Besatzung!$D$11:$D$22="",Besatzung!$B$6,Besatzung!$D$11:$D$22)&gt;=B179)),1))),IF(I179="Individuell",((O179="x")*((G179-IFERROR(H179,0))/IFERROR(COUNTIF(J179:U179,"x"),1)+(Besatzung!$F$16="x")*IFERROR(H179,0)/IFERROR(SUMPRODUCT((J179:U179="x")*(Besatzung!$F$11:$F$22="x")),1))),(IF(COUNTIF(J179:U179,"x")=0,IF(Besatzung!$B$15&lt;&gt;"",1,0),(O179="x"))*(G179-IFERROR(H179,0))/IFERROR(IF(COUNTIF(J179:U179,"x")=0,COUNTA(Besatzung!$B$11:$B$22),COUNTIF(J179:U179,"x")),1)+IF(COUNTIF(J179:U179,"x")=0,(Besatzung!$F$16="x"),(O179="x")*(Besatzung!$F$16="x"))*IFERROR(H179,0)/IFERROR(IF(COUNTIF(J179:U179,"x")=0,SUMPRODUCT((Besatzung!$B$11:$B$22&lt;&gt;"")*(Besatzung!$F$11:$F$22="x")),SUMPRODUCT((J179:U179="x")*(Besatzung!$F$11:$F$22="x"))),1))))),0))))</f>
        <v/>
      </c>
      <c r="AB179" s="247">
        <f>IF(C179="Gutschrift","",IF(G179="","",IF(Besatzung!$B$17="","",IFERROR(IF(I179="Zeitanteilig",(Besatzung!$G$17*(G179-IFERROR(H179,0))+((Besatzung!$B$17&lt;&gt;"")*IF(B179="",1,(IF(Besatzung!$C$17="",Besatzung!$B$5,Besatzung!$C$17)&lt;=B179)*(IF(Besatzung!$D$17="",Besatzung!$B$6,Besatzung!$D$17)&gt;=B179)))*(Besatzung!$F$17="x")*IFERROR(H179,0)/IFERROR(SUMPRODUCT((Besatzung!$B$11:$B$22&lt;&gt;"")*(Besatzung!$F$11:$F$22="x")*(IF(Besatzung!$C$11:$C$22="",Besatzung!$B$5,Besatzung!$C$11:$C$22)&lt;=B179)*(IF(Besatzung!$D$11:$D$22="",Besatzung!$B$6,Besatzung!$D$11:$D$22)&gt;=B179)),1)),IF(I179="An Bord",(((Besatzung!$B$17&lt;&gt;"")*IF(B179="",1,(IF(Besatzung!$C$17="",Besatzung!$B$5,Besatzung!$C$17)&lt;=B179)*(IF(Besatzung!$D$17="",Besatzung!$B$6,Besatzung!$D$17)&gt;=B179)))*((G179-IFERROR(H179,0))/IFERROR(SUMPRODUCT((Besatzung!$B$11:$B$22&lt;&gt;"")*(IF(Besatzung!$C$11:$C$22="",Besatzung!$B$5,Besatzung!$C$11:$C$22)&lt;=B179)*(IF(Besatzung!$D$11:$D$22="",Besatzung!$B$6,Besatzung!$D$11:$D$22)&gt;=B179)),1)+(Besatzung!$F$17="x")*IFERROR(H179,0)/IFERROR(SUMPRODUCT((Besatzung!$B$11:$B$22&lt;&gt;"")*(Besatzung!$F$11:$F$22="x")*(IF(Besatzung!$C$11:$C$22="",Besatzung!$B$5,Besatzung!$C$11:$C$22)&lt;=B179)*(IF(Besatzung!$D$11:$D$22="",Besatzung!$B$6,Besatzung!$D$11:$D$22)&gt;=B179)),1))),IF(I179="Individuell",((P179="x")*((G179-IFERROR(H179,0))/IFERROR(COUNTIF(J179:U179,"x"),1)+(Besatzung!$F$17="x")*IFERROR(H179,0)/IFERROR(SUMPRODUCT((J179:U179="x")*(Besatzung!$F$11:$F$22="x")),1))),(IF(COUNTIF(J179:U179,"x")=0,IF(Besatzung!$B$17&lt;&gt;"",1,0),(P179="x"))*(G179-IFERROR(H179,0))/IFERROR(IF(COUNTIF(J179:U179,"x")=0,COUNTA(Besatzung!$B$11:$B$22),COUNTIF(J179:U179,"x")),1)+IF(COUNTIF(J179:U179,"x")=0,(Besatzung!$F$17="x"),(P179="x")*(Besatzung!$F$17="x"))*IFERROR(H179,0)/IFERROR(IF(COUNTIF(J179:U179,"x")=0,SUMPRODUCT((Besatzung!$B$11:$B$22&lt;&gt;"")*(Besatzung!$F$11:$F$22="x")),SUMPRODUCT((J179:U179="x")*(Besatzung!$F$11:$F$22="x"))),1))))),0))))</f>
        <v/>
      </c>
      <c r="AC179" s="247">
        <f>IF(C179="Gutschrift","",IF(G179="","",IF(Besatzung!$B$18="","",IFERROR(IF(I179="Zeitanteilig",(Besatzung!$G$18*(G179-IFERROR(H179,0))+((Besatzung!$B$18&lt;&gt;"")*IF(B179="",1,(IF(Besatzung!$C$18="",Besatzung!$B$5,Besatzung!$C$18)&lt;=B179)*(IF(Besatzung!$D$18="",Besatzung!$B$6,Besatzung!$D$18)&gt;=B179)))*(Besatzung!$F$18="x")*IFERROR(H179,0)/IFERROR(SUMPRODUCT((Besatzung!$B$11:$B$22&lt;&gt;"")*(Besatzung!$F$11:$F$22="x")*(IF(Besatzung!$C$11:$C$22="",Besatzung!$B$5,Besatzung!$C$11:$C$22)&lt;=B179)*(IF(Besatzung!$D$11:$D$22="",Besatzung!$B$6,Besatzung!$D$11:$D$22)&gt;=B179)),1)),IF(I179="An Bord",(((Besatzung!$B$18&lt;&gt;"")*IF(B179="",1,(IF(Besatzung!$C$18="",Besatzung!$B$5,Besatzung!$C$18)&lt;=B179)*(IF(Besatzung!$D$18="",Besatzung!$B$6,Besatzung!$D$18)&gt;=B179)))*((G179-IFERROR(H179,0))/IFERROR(SUMPRODUCT((Besatzung!$B$11:$B$22&lt;&gt;"")*(IF(Besatzung!$C$11:$C$22="",Besatzung!$B$5,Besatzung!$C$11:$C$22)&lt;=B179)*(IF(Besatzung!$D$11:$D$22="",Besatzung!$B$6,Besatzung!$D$11:$D$22)&gt;=B179)),1)+(Besatzung!$F$18="x")*IFERROR(H179,0)/IFERROR(SUMPRODUCT((Besatzung!$B$11:$B$22&lt;&gt;"")*(Besatzung!$F$11:$F$22="x")*(IF(Besatzung!$C$11:$C$22="",Besatzung!$B$5,Besatzung!$C$11:$C$22)&lt;=B179)*(IF(Besatzung!$D$11:$D$22="",Besatzung!$B$6,Besatzung!$D$11:$D$22)&gt;=B179)),1))),IF(I179="Individuell",((Q179="x")*((G179-IFERROR(H179,0))/IFERROR(COUNTIF(J179:U179,"x"),1)+(Besatzung!$F$18="x")*IFERROR(H179,0)/IFERROR(SUMPRODUCT((J179:U179="x")*(Besatzung!$F$11:$F$22="x")),1))),(IF(COUNTIF(J179:U179,"x")=0,IF(Besatzung!$B$18&lt;&gt;"",1,0),(Q179="x"))*(G179-IFERROR(H179,0))/IFERROR(IF(COUNTIF(J179:U179,"x")=0,COUNTA(Besatzung!$B$11:$B$22),COUNTIF(J179:U179,"x")),1)+IF(COUNTIF(J179:U179,"x")=0,(Besatzung!$F$18="x"),(Q179="x")*(Besatzung!$F$18="x"))*IFERROR(H179,0)/IFERROR(IF(COUNTIF(J179:U179,"x")=0,SUMPRODUCT((Besatzung!$B$11:$B$22&lt;&gt;"")*(Besatzung!$F$11:$F$22="x")),SUMPRODUCT((J179:U179="x")*(Besatzung!$F$11:$F$22="x"))),1))))),0))))</f>
        <v/>
      </c>
      <c r="AD179" s="247">
        <f>IF(C179="Gutschrift","",IF(G179="","",IF(Besatzung!$B$19="","",IFERROR(IF(I179="Zeitanteilig",(Besatzung!$G$19*(G179-IFERROR(H179,0))+((Besatzung!$B$19&lt;&gt;"")*IF(B179="",1,(IF(Besatzung!$C$19="",Besatzung!$B$5,Besatzung!$C$19)&lt;=B179)*(IF(Besatzung!$D$19="",Besatzung!$B$6,Besatzung!$D$19)&gt;=B179)))*(Besatzung!$F$19="x")*IFERROR(H179,0)/IFERROR(SUMPRODUCT((Besatzung!$B$11:$B$22&lt;&gt;"")*(Besatzung!$F$11:$F$22="x")*(IF(Besatzung!$C$11:$C$22="",Besatzung!$B$5,Besatzung!$C$11:$C$22)&lt;=B179)*(IF(Besatzung!$D$11:$D$22="",Besatzung!$B$6,Besatzung!$D$11:$D$22)&gt;=B179)),1)),IF(I179="An Bord",(((Besatzung!$B$19&lt;&gt;"")*IF(B179="",1,(IF(Besatzung!$C$19="",Besatzung!$B$5,Besatzung!$C$19)&lt;=B179)*(IF(Besatzung!$D$19="",Besatzung!$B$6,Besatzung!$D$19)&gt;=B179)))*((G179-IFERROR(H179,0))/IFERROR(SUMPRODUCT((Besatzung!$B$11:$B$22&lt;&gt;"")*(IF(Besatzung!$C$11:$C$22="",Besatzung!$B$5,Besatzung!$C$11:$C$22)&lt;=B179)*(IF(Besatzung!$D$11:$D$22="",Besatzung!$B$6,Besatzung!$D$11:$D$22)&gt;=B179)),1)+(Besatzung!$F$19="x")*IFERROR(H179,0)/IFERROR(SUMPRODUCT((Besatzung!$B$11:$B$22&lt;&gt;"")*(Besatzung!$F$11:$F$22="x")*(IF(Besatzung!$C$11:$C$22="",Besatzung!$B$5,Besatzung!$C$11:$C$22)&lt;=B179)*(IF(Besatzung!$D$11:$D$22="",Besatzung!$B$6,Besatzung!$D$11:$D$22)&gt;=B179)),1))),IF(I179="Individuell",((R179="x")*((G179-IFERROR(H179,0))/IFERROR(COUNTIF(J179:U179,"x"),1)+(Besatzung!$F$19="x")*IFERROR(H179,0)/IFERROR(SUMPRODUCT((J179:U179="x")*(Besatzung!$F$11:$F$22="x")),1))),(IF(COUNTIF(J179:U179,"x")=0,IF(Besatzung!$B$19&lt;&gt;"",1,0),(R179="x"))*(G179-IFERROR(H179,0))/IFERROR(IF(COUNTIF(J179:U179,"x")=0,COUNTA(Besatzung!$B$11:$B$22),COUNTIF(J179:U179,"x")),1)+IF(COUNTIF(J179:U179,"x")=0,(Besatzung!$F$19="x"),(R179="x")*(Besatzung!$F$19="x"))*IFERROR(H179,0)/IFERROR(IF(COUNTIF(J179:U179,"x")=0,SUMPRODUCT((Besatzung!$B$11:$B$22&lt;&gt;"")*(Besatzung!$F$11:$F$22="x")),SUMPRODUCT((J179:U179="x")*(Besatzung!$F$11:$F$22="x"))),1))))),0))))</f>
        <v/>
      </c>
      <c r="AE179" s="247">
        <f>IF(C179="Gutschrift","",IF(G179="","",IF(Besatzung!$B$20="","",IFERROR(IF(I179="Zeitanteilig",(Besatzung!$G$20*(G179-IFERROR(H179,0))+((Besatzung!$B$20&lt;&gt;"")*IF(B179="",1,(IF(Besatzung!$C$20="",Besatzung!$B$5,Besatzung!$C$20)&lt;=B179)*(IF(Besatzung!$D$20="",Besatzung!$B$6,Besatzung!$D$20)&gt;=B179)))*(Besatzung!$F$20="x")*IFERROR(H179,0)/IFERROR(SUMPRODUCT((Besatzung!$B$11:$B$22&lt;&gt;"")*(Besatzung!$F$11:$F$22="x")*(IF(Besatzung!$C$11:$C$22="",Besatzung!$B$5,Besatzung!$C$11:$C$22)&lt;=B179)*(IF(Besatzung!$D$11:$D$22="",Besatzung!$B$6,Besatzung!$D$11:$D$22)&gt;=B179)),1)),IF(I179="An Bord",(((Besatzung!$B$20&lt;&gt;"")*IF(B179="",1,(IF(Besatzung!$C$20="",Besatzung!$B$5,Besatzung!$C$20)&lt;=B179)*(IF(Besatzung!$D$20="",Besatzung!$B$6,Besatzung!$D$20)&gt;=B179)))*((G179-IFERROR(H179,0))/IFERROR(SUMPRODUCT((Besatzung!$B$11:$B$22&lt;&gt;"")*(IF(Besatzung!$C$11:$C$22="",Besatzung!$B$5,Besatzung!$C$11:$C$22)&lt;=B179)*(IF(Besatzung!$D$11:$D$22="",Besatzung!$B$6,Besatzung!$D$11:$D$22)&gt;=B179)),1)+(Besatzung!$F$20="x")*IFERROR(H179,0)/IFERROR(SUMPRODUCT((Besatzung!$B$11:$B$22&lt;&gt;"")*(Besatzung!$F$11:$F$22="x")*(IF(Besatzung!$C$11:$C$22="",Besatzung!$B$5,Besatzung!$C$11:$C$22)&lt;=B179)*(IF(Besatzung!$D$11:$D$22="",Besatzung!$B$6,Besatzung!$D$11:$D$22)&gt;=B179)),1))),IF(I179="Individuell",((S179="x")*((G179-IFERROR(H179,0))/IFERROR(COUNTIF(J179:U179,"x"),1)+(Besatzung!$F$20="x")*IFERROR(H179,0)/IFERROR(SUMPRODUCT((J179:U179="x")*(Besatzung!$F$11:$F$22="x")),1))),(IF(COUNTIF(J179:U179,"x")=0,IF(Besatzung!$B$20&lt;&gt;"",1,0),(S179="x"))*(G179-IFERROR(H179,0))/IFERROR(IF(COUNTIF(J179:U179,"x")=0,COUNTA(Besatzung!$B$11:$B$22),COUNTIF(J179:U179,"x")),1)+IF(COUNTIF(J179:U179,"x")=0,(Besatzung!$F$20="x"),(S179="x")*(Besatzung!$F$20="x"))*IFERROR(H179,0)/IFERROR(IF(COUNTIF(J179:U179,"x")=0,SUMPRODUCT((Besatzung!$B$11:$B$22&lt;&gt;"")*(Besatzung!$F$11:$F$22="x")),SUMPRODUCT((J179:U179="x")*(Besatzung!$F$11:$F$22="x"))),1))))),0))))</f>
        <v/>
      </c>
      <c r="AF179" s="247">
        <f>IF(C179="Gutschrift","",IF(G179="","",IF(Besatzung!$B$21="","",IFERROR(IF(I179="Zeitanteilig",(Besatzung!$G$21*(G179-IFERROR(H179,0))+((Besatzung!$B$21&lt;&gt;"")*IF(B179="",1,(IF(Besatzung!$C$21="",Besatzung!$B$5,Besatzung!$C$21)&lt;=B179)*(IF(Besatzung!$D$21="",Besatzung!$B$6,Besatzung!$D$21)&gt;=B179)))*(Besatzung!$F$21="x")*IFERROR(H179,0)/IFERROR(SUMPRODUCT((Besatzung!$B$11:$B$22&lt;&gt;"")*(Besatzung!$F$11:$F$22="x")*(IF(Besatzung!$C$11:$C$22="",Besatzung!$B$5,Besatzung!$C$11:$C$22)&lt;=B179)*(IF(Besatzung!$D$11:$D$22="",Besatzung!$B$6,Besatzung!$D$11:$D$22)&gt;=B179)),1)),IF(I179="An Bord",(((Besatzung!$B$21&lt;&gt;"")*IF(B179="",1,(IF(Besatzung!$C$21="",Besatzung!$B$5,Besatzung!$C$21)&lt;=B179)*(IF(Besatzung!$D$21="",Besatzung!$B$6,Besatzung!$D$21)&gt;=B179)))*((G179-IFERROR(H179,0))/IFERROR(SUMPRODUCT((Besatzung!$B$11:$B$22&lt;&gt;"")*(IF(Besatzung!$C$11:$C$22="",Besatzung!$B$5,Besatzung!$C$11:$C$22)&lt;=B179)*(IF(Besatzung!$D$11:$D$22="",Besatzung!$B$6,Besatzung!$D$11:$D$22)&gt;=B179)),1)+(Besatzung!$F$21="x")*IFERROR(H179,0)/IFERROR(SUMPRODUCT((Besatzung!$B$11:$B$22&lt;&gt;"")*(Besatzung!$F$11:$F$22="x")*(IF(Besatzung!$C$11:$C$22="",Besatzung!$B$5,Besatzung!$C$11:$C$22)&lt;=B179)*(IF(Besatzung!$D$11:$D$22="",Besatzung!$B$6,Besatzung!$D$11:$D$22)&gt;=B179)),1))),IF(I179="Individuell",((T179="x")*((G179-IFERROR(H179,0))/IFERROR(COUNTIF(J179:U179,"x"),1)+(Besatzung!$F$21="x")*IFERROR(H179,0)/IFERROR(SUMPRODUCT((J179:U179="x")*(Besatzung!$F$11:$F$22="x")),1))),(IF(COUNTIF(J179:U179,"x")=0,IF(Besatzung!$B$21&lt;&gt;"",1,0),(T179="x"))*(G179-IFERROR(H179,0))/IFERROR(IF(COUNTIF(J179:U179,"x")=0,COUNTA(Besatzung!$B$11:$B$22),COUNTIF(J179:U179,"x")),1)+IF(COUNTIF(J179:U179,"x")=0,(Besatzung!$F$21="x"),(T179="x")*(Besatzung!$F$21="x"))*IFERROR(H179,0)/IFERROR(IF(COUNTIF(J179:U179,"x")=0,SUMPRODUCT((Besatzung!$B$11:$B$22&lt;&gt;"")*(Besatzung!$F$11:$F$22="x")),SUMPRODUCT((J179:U179="x")*(Besatzung!$F$11:$F$22="x"))),1))))),0))))</f>
        <v/>
      </c>
      <c r="AG179" s="247">
        <f>IF(C179="Gutschrift","",IF(G179="","",IF(Besatzung!$B$22="","",IFERROR(IF(I179="Zeitanteilig",(Besatzung!$G$22*(G179-IFERROR(H179,0))+((Besatzung!$B$22&lt;&gt;"")*IF(B179="",1,(IF(Besatzung!$C$22="",Besatzung!$B$5,Besatzung!$C$22)&lt;=B179)*(IF(Besatzung!$D$22="",Besatzung!$B$6,Besatzung!$D$22)&gt;=B179)))*(Besatzung!$F$22="x")*IFERROR(H179,0)/IFERROR(SUMPRODUCT((Besatzung!$B$11:$B$22&lt;&gt;"")*(Besatzung!$F$11:$F$22="x")*(IF(Besatzung!$C$11:$C$22="",Besatzung!$B$5,Besatzung!$C$11:$C$22)&lt;=B179)*(IF(Besatzung!$D$11:$D$22="",Besatzung!$B$6,Besatzung!$D$11:$D$22)&gt;=B179)),1)),IF(I179="An Bord",(((Besatzung!$B$22&lt;&gt;"")*IF(B179="",1,(IF(Besatzung!$C$22="",Besatzung!$B$5,Besatzung!$C$22)&lt;=B179)*(IF(Besatzung!$D$22="",Besatzung!$B$6,Besatzung!$D$22)&gt;=B179)))*((G179-IFERROR(H179,0))/IFERROR(SUMPRODUCT((Besatzung!$B$11:$B$22&lt;&gt;"")*(IF(Besatzung!$C$11:$C$22="",Besatzung!$B$5,Besatzung!$C$11:$C$22)&lt;=B179)*(IF(Besatzung!$D$11:$D$22="",Besatzung!$B$6,Besatzung!$D$11:$D$22)&gt;=B179)),1)+(Besatzung!$F$22="x")*IFERROR(H179,0)/IFERROR(SUMPRODUCT((Besatzung!$B$11:$B$22&lt;&gt;"")*(Besatzung!$F$11:$F$22="x")*(IF(Besatzung!$C$11:$C$22="",Besatzung!$B$5,Besatzung!$C$11:$C$22)&lt;=B179)*(IF(Besatzung!$D$11:$D$22="",Besatzung!$B$6,Besatzung!$D$11:$D$22)&gt;=B179)),1))),IF(I179="Individuell",((U179="x")*((G179-IFERROR(H179,0))/IFERROR(COUNTIF(J179:U179,"x"),1)+(Besatzung!$F$22="x")*IFERROR(H179,0)/IFERROR(SUMPRODUCT((J179:U179="x")*(Besatzung!$F$11:$F$22="x")),1))),(IF(COUNTIF(J179:U179,"x")=0,IF(Besatzung!$B$22&lt;&gt;"",1,0),(U179="x"))*(G179-IFERROR(H179,0))/IFERROR(IF(COUNTIF(J179:U179,"x")=0,COUNTA(Besatzung!$B$11:$B$22),COUNTIF(J179:U179,"x")),1)+IF(COUNTIF(J179:U179,"x")=0,(Besatzung!$F$22="x"),(U179="x")*(Besatzung!$F$22="x"))*IFERROR(H179,0)/IFERROR(IF(COUNTIF(J179:U179,"x")=0,SUMPRODUCT((Besatzung!$B$11:$B$22&lt;&gt;"")*(Besatzung!$F$11:$F$22="x")),SUMPRODUCT((J179:U179="x")*(Besatzung!$F$11:$F$22="x"))),1))))),0))))</f>
        <v/>
      </c>
      <c r="AH179" s="248" t="n"/>
      <c r="AI179" s="248" t="n"/>
    </row>
    <row r="180" ht="21.75" customHeight="1" s="154">
      <c r="A180" s="238">
        <f>IF(AND(D180="",C180=""),"",177)</f>
        <v/>
      </c>
      <c r="B180" s="199" t="n"/>
      <c r="C180" s="239" t="n"/>
      <c r="D180" s="240" t="n"/>
      <c r="E180" s="241" t="n"/>
      <c r="F180" s="242" t="n"/>
      <c r="G180" s="243" t="n"/>
      <c r="H180" s="244" t="n"/>
      <c r="I180" s="245" t="n"/>
      <c r="J180" s="246" t="n"/>
      <c r="K180" s="246" t="n"/>
      <c r="L180" s="246" t="n"/>
      <c r="M180" s="246" t="n"/>
      <c r="N180" s="246" t="n"/>
      <c r="O180" s="246" t="n"/>
      <c r="P180" s="246" t="n"/>
      <c r="Q180" s="246" t="n"/>
      <c r="R180" s="246" t="n"/>
      <c r="S180" s="246" t="n"/>
      <c r="T180" s="246" t="n"/>
      <c r="U180" s="246" t="n"/>
      <c r="V180" s="247">
        <f>IF(C180="Gutschrift","",IF(G180="","",IF(Besatzung!$B$11="","",IFERROR(IF(I180="Zeitanteilig",(Besatzung!$G$11*(G180-IFERROR(H180,0))+((Besatzung!$B$11&lt;&gt;"")*IF(B180="",1,(IF(Besatzung!$C$11="",Besatzung!$B$5,Besatzung!$C$11)&lt;=B180)*(IF(Besatzung!$D$11="",Besatzung!$B$6,Besatzung!$D$11)&gt;=B180)))*(Besatzung!$F$11="x")*IFERROR(H180,0)/IFERROR(SUMPRODUCT((Besatzung!$B$11:$B$22&lt;&gt;"")*(Besatzung!$F$11:$F$22="x")*(IF(Besatzung!$C$11:$C$22="",Besatzung!$B$5,Besatzung!$C$11:$C$22)&lt;=B180)*(IF(Besatzung!$D$11:$D$22="",Besatzung!$B$6,Besatzung!$D$11:$D$22)&gt;=B180)),1)),IF(I180="An Bord",(((Besatzung!$B$11&lt;&gt;"")*IF(B180="",1,(IF(Besatzung!$C$11="",Besatzung!$B$5,Besatzung!$C$11)&lt;=B180)*(IF(Besatzung!$D$11="",Besatzung!$B$6,Besatzung!$D$11)&gt;=B180)))*((G180-IFERROR(H180,0))/IFERROR(SUMPRODUCT((Besatzung!$B$11:$B$22&lt;&gt;"")*(IF(Besatzung!$C$11:$C$22="",Besatzung!$B$5,Besatzung!$C$11:$C$22)&lt;=B180)*(IF(Besatzung!$D$11:$D$22="",Besatzung!$B$6,Besatzung!$D$11:$D$22)&gt;=B180)),1)+(Besatzung!$F$11="x")*IFERROR(H180,0)/IFERROR(SUMPRODUCT((Besatzung!$B$11:$B$22&lt;&gt;"")*(Besatzung!$F$11:$F$22="x")*(IF(Besatzung!$C$11:$C$22="",Besatzung!$B$5,Besatzung!$C$11:$C$22)&lt;=B180)*(IF(Besatzung!$D$11:$D$22="",Besatzung!$B$6,Besatzung!$D$11:$D$22)&gt;=B180)),1))),IF(I180="Individuell",((J180="x")*((G180-IFERROR(H180,0))/IFERROR(COUNTIF(J180:U180,"x"),1)+(Besatzung!$F$11="x")*IFERROR(H180,0)/IFERROR(SUMPRODUCT((J180:U180="x")*(Besatzung!$F$11:$F$22="x")),1))),(IF(COUNTIF(J180:U180,"x")=0,IF(Besatzung!$B$11&lt;&gt;"",1,0),(J180="x"))*(G180-IFERROR(H180,0))/IFERROR(IF(COUNTIF(J180:U180,"x")=0,COUNTA(Besatzung!$B$11:$B$22),COUNTIF(J180:U180,"x")),1)+IF(COUNTIF(J180:U180,"x")=0,(Besatzung!$F$11="x"),(J180="x")*(Besatzung!$F$11="x"))*IFERROR(H180,0)/IFERROR(IF(COUNTIF(J180:U180,"x")=0,SUMPRODUCT((Besatzung!$B$11:$B$22&lt;&gt;"")*(Besatzung!$F$11:$F$22="x")),SUMPRODUCT((J180:U180="x")*(Besatzung!$F$11:$F$22="x"))),1))))),0))))</f>
        <v/>
      </c>
      <c r="W180" s="247">
        <f>IF(C180="Gutschrift","",IF(G180="","",IF(Besatzung!$B$12="","",IFERROR(IF(I180="Zeitanteilig",(Besatzung!$G$12*(G180-IFERROR(H180,0))+((Besatzung!$B$12&lt;&gt;"")*IF(B180="",1,(IF(Besatzung!$C$12="",Besatzung!$B$5,Besatzung!$C$12)&lt;=B180)*(IF(Besatzung!$D$12="",Besatzung!$B$6,Besatzung!$D$12)&gt;=B180)))*(Besatzung!$F$12="x")*IFERROR(H180,0)/IFERROR(SUMPRODUCT((Besatzung!$B$11:$B$22&lt;&gt;"")*(Besatzung!$F$11:$F$22="x")*(IF(Besatzung!$C$11:$C$22="",Besatzung!$B$5,Besatzung!$C$11:$C$22)&lt;=B180)*(IF(Besatzung!$D$11:$D$22="",Besatzung!$B$6,Besatzung!$D$11:$D$22)&gt;=B180)),1)),IF(I180="An Bord",(((Besatzung!$B$12&lt;&gt;"")*IF(B180="",1,(IF(Besatzung!$C$12="",Besatzung!$B$5,Besatzung!$C$12)&lt;=B180)*(IF(Besatzung!$D$12="",Besatzung!$B$6,Besatzung!$D$12)&gt;=B180)))*((G180-IFERROR(H180,0))/IFERROR(SUMPRODUCT((Besatzung!$B$11:$B$22&lt;&gt;"")*(IF(Besatzung!$C$11:$C$22="",Besatzung!$B$5,Besatzung!$C$11:$C$22)&lt;=B180)*(IF(Besatzung!$D$11:$D$22="",Besatzung!$B$6,Besatzung!$D$11:$D$22)&gt;=B180)),1)+(Besatzung!$F$12="x")*IFERROR(H180,0)/IFERROR(SUMPRODUCT((Besatzung!$B$11:$B$22&lt;&gt;"")*(Besatzung!$F$11:$F$22="x")*(IF(Besatzung!$C$11:$C$22="",Besatzung!$B$5,Besatzung!$C$11:$C$22)&lt;=B180)*(IF(Besatzung!$D$11:$D$22="",Besatzung!$B$6,Besatzung!$D$11:$D$22)&gt;=B180)),1))),IF(I180="Individuell",((K180="x")*((G180-IFERROR(H180,0))/IFERROR(COUNTIF(J180:U180,"x"),1)+(Besatzung!$F$12="x")*IFERROR(H180,0)/IFERROR(SUMPRODUCT((J180:U180="x")*(Besatzung!$F$11:$F$22="x")),1))),(IF(COUNTIF(J180:U180,"x")=0,IF(Besatzung!$B$12&lt;&gt;"",1,0),(K180="x"))*(G180-IFERROR(H180,0))/IFERROR(IF(COUNTIF(J180:U180,"x")=0,COUNTA(Besatzung!$B$11:$B$22),COUNTIF(J180:U180,"x")),1)+IF(COUNTIF(J180:U180,"x")=0,(Besatzung!$F$12="x"),(K180="x")*(Besatzung!$F$12="x"))*IFERROR(H180,0)/IFERROR(IF(COUNTIF(J180:U180,"x")=0,SUMPRODUCT((Besatzung!$B$11:$B$22&lt;&gt;"")*(Besatzung!$F$11:$F$22="x")),SUMPRODUCT((J180:U180="x")*(Besatzung!$F$11:$F$22="x"))),1))))),0))))</f>
        <v/>
      </c>
      <c r="X180" s="247">
        <f>IF(C180="Gutschrift","",IF(G180="","",IF(Besatzung!$B$13="","",IFERROR(IF(I180="Zeitanteilig",(Besatzung!$G$13*(G180-IFERROR(H180,0))+((Besatzung!$B$13&lt;&gt;"")*IF(B180="",1,(IF(Besatzung!$C$13="",Besatzung!$B$5,Besatzung!$C$13)&lt;=B180)*(IF(Besatzung!$D$13="",Besatzung!$B$6,Besatzung!$D$13)&gt;=B180)))*(Besatzung!$F$13="x")*IFERROR(H180,0)/IFERROR(SUMPRODUCT((Besatzung!$B$11:$B$22&lt;&gt;"")*(Besatzung!$F$11:$F$22="x")*(IF(Besatzung!$C$11:$C$22="",Besatzung!$B$5,Besatzung!$C$11:$C$22)&lt;=B180)*(IF(Besatzung!$D$11:$D$22="",Besatzung!$B$6,Besatzung!$D$11:$D$22)&gt;=B180)),1)),IF(I180="An Bord",(((Besatzung!$B$13&lt;&gt;"")*IF(B180="",1,(IF(Besatzung!$C$13="",Besatzung!$B$5,Besatzung!$C$13)&lt;=B180)*(IF(Besatzung!$D$13="",Besatzung!$B$6,Besatzung!$D$13)&gt;=B180)))*((G180-IFERROR(H180,0))/IFERROR(SUMPRODUCT((Besatzung!$B$11:$B$22&lt;&gt;"")*(IF(Besatzung!$C$11:$C$22="",Besatzung!$B$5,Besatzung!$C$11:$C$22)&lt;=B180)*(IF(Besatzung!$D$11:$D$22="",Besatzung!$B$6,Besatzung!$D$11:$D$22)&gt;=B180)),1)+(Besatzung!$F$13="x")*IFERROR(H180,0)/IFERROR(SUMPRODUCT((Besatzung!$B$11:$B$22&lt;&gt;"")*(Besatzung!$F$11:$F$22="x")*(IF(Besatzung!$C$11:$C$22="",Besatzung!$B$5,Besatzung!$C$11:$C$22)&lt;=B180)*(IF(Besatzung!$D$11:$D$22="",Besatzung!$B$6,Besatzung!$D$11:$D$22)&gt;=B180)),1))),IF(I180="Individuell",((K180="x")*((G180-IFERROR(H180,0))/IFERROR(COUNTIF(J180:U180,"x"),1)+(Besatzung!$F$13="x")*IFERROR(H180,0)/IFERROR(SUMPRODUCT((J180:U180="x")*(Besatzung!$F$11:$F$22="x")),1))),(IF(COUNTIF(J180:U180,"x")=0,IF(Besatzung!$B$13&lt;&gt;"",1,0),(K180="x"))*(G180-IFERROR(H180,0))/IFERROR(IF(COUNTIF(J180:U180,"x")=0,COUNTA(Besatzung!$B$11:$B$22),COUNTIF(J180:U180,"x")),1)+IF(COUNTIF(J180:U180,"x")=0,(Besatzung!$F$13="x"),(K180="x")*(Besatzung!$F$13="x"))*IFERROR(H180,0)/IFERROR(IF(COUNTIF(J180:U180,"x")=0,SUMPRODUCT((Besatzung!$B$11:$B$22&lt;&gt;"")*(Besatzung!$F$11:$F$22="x")),SUMPRODUCT((J180:U180="x")*(Besatzung!$F$11:$F$22="x"))),1))))),0))))</f>
        <v/>
      </c>
      <c r="Y180" s="247">
        <f>IF(C180="Gutschrift","",IF(G180="","",IF(Besatzung!$B$14="","",IFERROR(IF(I180="Zeitanteilig",(Besatzung!$G$14*(G180-IFERROR(H180,0))+((Besatzung!$B$14&lt;&gt;"")*IF(B180="",1,(IF(Besatzung!$C$14="",Besatzung!$B$5,Besatzung!$C$14)&lt;=B180)*(IF(Besatzung!$D$14="",Besatzung!$B$6,Besatzung!$D$14)&gt;=B180)))*(Besatzung!$F$14="x")*IFERROR(H180,0)/IFERROR(SUMPRODUCT((Besatzung!$B$11:$B$22&lt;&gt;"")*(Besatzung!$F$11:$F$22="x")*(IF(Besatzung!$C$11:$C$22="",Besatzung!$B$5,Besatzung!$C$11:$C$22)&lt;=B180)*(IF(Besatzung!$D$11:$D$22="",Besatzung!$B$6,Besatzung!$D$11:$D$22)&gt;=B180)),1)),IF(I180="An Bord",(((Besatzung!$B$14&lt;&gt;"")*IF(B180="",1,(IF(Besatzung!$C$14="",Besatzung!$B$5,Besatzung!$C$14)&lt;=B180)*(IF(Besatzung!$D$14="",Besatzung!$B$6,Besatzung!$D$14)&gt;=B180)))*((G180-IFERROR(H180,0))/IFERROR(SUMPRODUCT((Besatzung!$B$11:$B$22&lt;&gt;"")*(IF(Besatzung!$C$11:$C$22="",Besatzung!$B$5,Besatzung!$C$11:$C$22)&lt;=B180)*(IF(Besatzung!$D$11:$D$22="",Besatzung!$B$6,Besatzung!$D$11:$D$22)&gt;=B180)),1)+(Besatzung!$F$14="x")*IFERROR(H180,0)/IFERROR(SUMPRODUCT((Besatzung!$B$11:$B$22&lt;&gt;"")*(Besatzung!$F$11:$F$22="x")*(IF(Besatzung!$C$11:$C$22="",Besatzung!$B$5,Besatzung!$C$11:$C$22)&lt;=B180)*(IF(Besatzung!$D$11:$D$22="",Besatzung!$B$6,Besatzung!$D$11:$D$22)&gt;=B180)),1))),IF(I180="Individuell",((M180="x")*((G180-IFERROR(H180,0))/IFERROR(COUNTIF(J180:U180,"x"),1)+(Besatzung!$F$14="x")*IFERROR(H180,0)/IFERROR(SUMPRODUCT((J180:U180="x")*(Besatzung!$F$11:$F$22="x")),1))),(IF(COUNTIF(J180:U180,"x")=0,IF(Besatzung!$B$14&lt;&gt;"",1,0),(M180="x"))*(G180-IFERROR(H180,0))/IFERROR(IF(COUNTIF(J180:U180,"x")=0,COUNTA(Besatzung!$B$11:$B$22),COUNTIF(J180:U180,"x")),1)+IF(COUNTIF(J180:U180,"x")=0,(Besatzung!$F$14="x"),(M180="x")*(Besatzung!$F$14="x"))*IFERROR(H180,0)/IFERROR(IF(COUNTIF(J180:U180,"x")=0,SUMPRODUCT((Besatzung!$B$11:$B$22&lt;&gt;"")*(Besatzung!$F$11:$F$22="x")),SUMPRODUCT((J180:U180="x")*(Besatzung!$F$11:$F$22="x"))),1))))),0))))</f>
        <v/>
      </c>
      <c r="Z180" s="247">
        <f>IF(C180="Gutschrift","",IF(G180="","",IF(Besatzung!$B$13="","",IFERROR(IF(I180="Zeitanteilig",(Besatzung!$G$15*(G180-IFERROR(H180,0))+((Besatzung!$B$13&lt;&gt;"")*IF(B180="",1,(IF(Besatzung!$C$15="",Besatzung!$B$5,Besatzung!$C$15)&lt;=B180)*(IF(Besatzung!$D$15="",Besatzung!$B$6,Besatzung!$D$15)&gt;=B180)))*(Besatzung!$F$15="x")*IFERROR(H180,0)/IFERROR(SUMPRODUCT((Besatzung!$B$11:$B$22&lt;&gt;"")*(Besatzung!$F$11:$F$22="x")*(IF(Besatzung!$C$11:$C$22="",Besatzung!$B$5,Besatzung!$C$11:$C$22)&lt;=B180)*(IF(Besatzung!$D$11:$D$22="",Besatzung!$B$6,Besatzung!$D$11:$D$22)&gt;=B180)),1)),IF(I180="An Bord",(((Besatzung!$B$13&lt;&gt;"")*IF(B180="",1,(IF(Besatzung!$C$15="",Besatzung!$B$5,Besatzung!$C$15)&lt;=B180)*(IF(Besatzung!$D$15="",Besatzung!$B$6,Besatzung!$D$15)&gt;=B180)))*((G180-IFERROR(H180,0))/IFERROR(SUMPRODUCT((Besatzung!$B$11:$B$22&lt;&gt;"")*(IF(Besatzung!$C$11:$C$22="",Besatzung!$B$5,Besatzung!$C$11:$C$22)&lt;=B180)*(IF(Besatzung!$D$11:$D$22="",Besatzung!$B$6,Besatzung!$D$11:$D$22)&gt;=B180)),1)+(Besatzung!$F$15="x")*IFERROR(H180,0)/IFERROR(SUMPRODUCT((Besatzung!$B$11:$B$22&lt;&gt;"")*(Besatzung!$F$11:$F$22="x")*(IF(Besatzung!$C$11:$C$22="",Besatzung!$B$5,Besatzung!$C$11:$C$22)&lt;=B180)*(IF(Besatzung!$D$11:$D$22="",Besatzung!$B$6,Besatzung!$D$11:$D$22)&gt;=B180)),1))),IF(I180="Individuell",((N180="x")*((G180-IFERROR(H180,0))/IFERROR(COUNTIF(J180:U180,"x"),1)+(Besatzung!$F$15="x")*IFERROR(H180,0)/IFERROR(SUMPRODUCT((J180:U180="x")*(Besatzung!$F$11:$F$22="x")),1))),(IF(COUNTIF(J180:U180,"x")=0,IF(Besatzung!$B$13&lt;&gt;"",1,0),(N180="x"))*(G180-IFERROR(H180,0))/IFERROR(IF(COUNTIF(J180:U180,"x")=0,COUNTA(Besatzung!$B$11:$B$22),COUNTIF(J180:U180,"x")),1)+IF(COUNTIF(J180:U180,"x")=0,(Besatzung!$F$15="x"),(N180="x")*(Besatzung!$F$15="x"))*IFERROR(H180,0)/IFERROR(IF(COUNTIF(J180:U180,"x")=0,SUMPRODUCT((Besatzung!$B$11:$B$22&lt;&gt;"")*(Besatzung!$F$11:$F$22="x")),SUMPRODUCT((J180:U180="x")*(Besatzung!$F$11:$F$22="x"))),1))))),0))))</f>
        <v/>
      </c>
      <c r="AA180" s="247">
        <f>IF(C180="Gutschrift","",IF(G180="","",IF(Besatzung!$B$15="","",IFERROR(IF(I180="Zeitanteilig",(Besatzung!$G$16*(G180-IFERROR(H180,0))+((Besatzung!$B$15&lt;&gt;"")*IF(B180="",1,(IF(Besatzung!$C$16="",Besatzung!$B$5,Besatzung!$C$16)&lt;=B180)*(IF(Besatzung!$D$16="",Besatzung!$B$6,Besatzung!$D$16)&gt;=B180)))*(Besatzung!$F$16="x")*IFERROR(H180,0)/IFERROR(SUMPRODUCT((Besatzung!$B$11:$B$22&lt;&gt;"")*(Besatzung!$F$11:$F$22="x")*(IF(Besatzung!$C$11:$C$22="",Besatzung!$B$5,Besatzung!$C$11:$C$22)&lt;=B180)*(IF(Besatzung!$D$11:$D$22="",Besatzung!$B$6,Besatzung!$D$11:$D$22)&gt;=B180)),1)),IF(I180="An Bord",(((Besatzung!$B$15&lt;&gt;"")*IF(B180="",1,(IF(Besatzung!$C$16="",Besatzung!$B$5,Besatzung!$C$16)&lt;=B180)*(IF(Besatzung!$D$16="",Besatzung!$B$6,Besatzung!$D$16)&gt;=B180)))*((G180-IFERROR(H180,0))/IFERROR(SUMPRODUCT((Besatzung!$B$11:$B$22&lt;&gt;"")*(IF(Besatzung!$C$11:$C$22="",Besatzung!$B$5,Besatzung!$C$11:$C$22)&lt;=B180)*(IF(Besatzung!$D$11:$D$22="",Besatzung!$B$6,Besatzung!$D$11:$D$22)&gt;=B180)),1)+(Besatzung!$F$16="x")*IFERROR(H180,0)/IFERROR(SUMPRODUCT((Besatzung!$B$11:$B$22&lt;&gt;"")*(Besatzung!$F$11:$F$22="x")*(IF(Besatzung!$C$11:$C$22="",Besatzung!$B$5,Besatzung!$C$11:$C$22)&lt;=B180)*(IF(Besatzung!$D$11:$D$22="",Besatzung!$B$6,Besatzung!$D$11:$D$22)&gt;=B180)),1))),IF(I180="Individuell",((O180="x")*((G180-IFERROR(H180,0))/IFERROR(COUNTIF(J180:U180,"x"),1)+(Besatzung!$F$16="x")*IFERROR(H180,0)/IFERROR(SUMPRODUCT((J180:U180="x")*(Besatzung!$F$11:$F$22="x")),1))),(IF(COUNTIF(J180:U180,"x")=0,IF(Besatzung!$B$15&lt;&gt;"",1,0),(O180="x"))*(G180-IFERROR(H180,0))/IFERROR(IF(COUNTIF(J180:U180,"x")=0,COUNTA(Besatzung!$B$11:$B$22),COUNTIF(J180:U180,"x")),1)+IF(COUNTIF(J180:U180,"x")=0,(Besatzung!$F$16="x"),(O180="x")*(Besatzung!$F$16="x"))*IFERROR(H180,0)/IFERROR(IF(COUNTIF(J180:U180,"x")=0,SUMPRODUCT((Besatzung!$B$11:$B$22&lt;&gt;"")*(Besatzung!$F$11:$F$22="x")),SUMPRODUCT((J180:U180="x")*(Besatzung!$F$11:$F$22="x"))),1))))),0))))</f>
        <v/>
      </c>
      <c r="AB180" s="247">
        <f>IF(C180="Gutschrift","",IF(G180="","",IF(Besatzung!$B$17="","",IFERROR(IF(I180="Zeitanteilig",(Besatzung!$G$17*(G180-IFERROR(H180,0))+((Besatzung!$B$17&lt;&gt;"")*IF(B180="",1,(IF(Besatzung!$C$17="",Besatzung!$B$5,Besatzung!$C$17)&lt;=B180)*(IF(Besatzung!$D$17="",Besatzung!$B$6,Besatzung!$D$17)&gt;=B180)))*(Besatzung!$F$17="x")*IFERROR(H180,0)/IFERROR(SUMPRODUCT((Besatzung!$B$11:$B$22&lt;&gt;"")*(Besatzung!$F$11:$F$22="x")*(IF(Besatzung!$C$11:$C$22="",Besatzung!$B$5,Besatzung!$C$11:$C$22)&lt;=B180)*(IF(Besatzung!$D$11:$D$22="",Besatzung!$B$6,Besatzung!$D$11:$D$22)&gt;=B180)),1)),IF(I180="An Bord",(((Besatzung!$B$17&lt;&gt;"")*IF(B180="",1,(IF(Besatzung!$C$17="",Besatzung!$B$5,Besatzung!$C$17)&lt;=B180)*(IF(Besatzung!$D$17="",Besatzung!$B$6,Besatzung!$D$17)&gt;=B180)))*((G180-IFERROR(H180,0))/IFERROR(SUMPRODUCT((Besatzung!$B$11:$B$22&lt;&gt;"")*(IF(Besatzung!$C$11:$C$22="",Besatzung!$B$5,Besatzung!$C$11:$C$22)&lt;=B180)*(IF(Besatzung!$D$11:$D$22="",Besatzung!$B$6,Besatzung!$D$11:$D$22)&gt;=B180)),1)+(Besatzung!$F$17="x")*IFERROR(H180,0)/IFERROR(SUMPRODUCT((Besatzung!$B$11:$B$22&lt;&gt;"")*(Besatzung!$F$11:$F$22="x")*(IF(Besatzung!$C$11:$C$22="",Besatzung!$B$5,Besatzung!$C$11:$C$22)&lt;=B180)*(IF(Besatzung!$D$11:$D$22="",Besatzung!$B$6,Besatzung!$D$11:$D$22)&gt;=B180)),1))),IF(I180="Individuell",((P180="x")*((G180-IFERROR(H180,0))/IFERROR(COUNTIF(J180:U180,"x"),1)+(Besatzung!$F$17="x")*IFERROR(H180,0)/IFERROR(SUMPRODUCT((J180:U180="x")*(Besatzung!$F$11:$F$22="x")),1))),(IF(COUNTIF(J180:U180,"x")=0,IF(Besatzung!$B$17&lt;&gt;"",1,0),(P180="x"))*(G180-IFERROR(H180,0))/IFERROR(IF(COUNTIF(J180:U180,"x")=0,COUNTA(Besatzung!$B$11:$B$22),COUNTIF(J180:U180,"x")),1)+IF(COUNTIF(J180:U180,"x")=0,(Besatzung!$F$17="x"),(P180="x")*(Besatzung!$F$17="x"))*IFERROR(H180,0)/IFERROR(IF(COUNTIF(J180:U180,"x")=0,SUMPRODUCT((Besatzung!$B$11:$B$22&lt;&gt;"")*(Besatzung!$F$11:$F$22="x")),SUMPRODUCT((J180:U180="x")*(Besatzung!$F$11:$F$22="x"))),1))))),0))))</f>
        <v/>
      </c>
      <c r="AC180" s="247">
        <f>IF(C180="Gutschrift","",IF(G180="","",IF(Besatzung!$B$18="","",IFERROR(IF(I180="Zeitanteilig",(Besatzung!$G$18*(G180-IFERROR(H180,0))+((Besatzung!$B$18&lt;&gt;"")*IF(B180="",1,(IF(Besatzung!$C$18="",Besatzung!$B$5,Besatzung!$C$18)&lt;=B180)*(IF(Besatzung!$D$18="",Besatzung!$B$6,Besatzung!$D$18)&gt;=B180)))*(Besatzung!$F$18="x")*IFERROR(H180,0)/IFERROR(SUMPRODUCT((Besatzung!$B$11:$B$22&lt;&gt;"")*(Besatzung!$F$11:$F$22="x")*(IF(Besatzung!$C$11:$C$22="",Besatzung!$B$5,Besatzung!$C$11:$C$22)&lt;=B180)*(IF(Besatzung!$D$11:$D$22="",Besatzung!$B$6,Besatzung!$D$11:$D$22)&gt;=B180)),1)),IF(I180="An Bord",(((Besatzung!$B$18&lt;&gt;"")*IF(B180="",1,(IF(Besatzung!$C$18="",Besatzung!$B$5,Besatzung!$C$18)&lt;=B180)*(IF(Besatzung!$D$18="",Besatzung!$B$6,Besatzung!$D$18)&gt;=B180)))*((G180-IFERROR(H180,0))/IFERROR(SUMPRODUCT((Besatzung!$B$11:$B$22&lt;&gt;"")*(IF(Besatzung!$C$11:$C$22="",Besatzung!$B$5,Besatzung!$C$11:$C$22)&lt;=B180)*(IF(Besatzung!$D$11:$D$22="",Besatzung!$B$6,Besatzung!$D$11:$D$22)&gt;=B180)),1)+(Besatzung!$F$18="x")*IFERROR(H180,0)/IFERROR(SUMPRODUCT((Besatzung!$B$11:$B$22&lt;&gt;"")*(Besatzung!$F$11:$F$22="x")*(IF(Besatzung!$C$11:$C$22="",Besatzung!$B$5,Besatzung!$C$11:$C$22)&lt;=B180)*(IF(Besatzung!$D$11:$D$22="",Besatzung!$B$6,Besatzung!$D$11:$D$22)&gt;=B180)),1))),IF(I180="Individuell",((Q180="x")*((G180-IFERROR(H180,0))/IFERROR(COUNTIF(J180:U180,"x"),1)+(Besatzung!$F$18="x")*IFERROR(H180,0)/IFERROR(SUMPRODUCT((J180:U180="x")*(Besatzung!$F$11:$F$22="x")),1))),(IF(COUNTIF(J180:U180,"x")=0,IF(Besatzung!$B$18&lt;&gt;"",1,0),(Q180="x"))*(G180-IFERROR(H180,0))/IFERROR(IF(COUNTIF(J180:U180,"x")=0,COUNTA(Besatzung!$B$11:$B$22),COUNTIF(J180:U180,"x")),1)+IF(COUNTIF(J180:U180,"x")=0,(Besatzung!$F$18="x"),(Q180="x")*(Besatzung!$F$18="x"))*IFERROR(H180,0)/IFERROR(IF(COUNTIF(J180:U180,"x")=0,SUMPRODUCT((Besatzung!$B$11:$B$22&lt;&gt;"")*(Besatzung!$F$11:$F$22="x")),SUMPRODUCT((J180:U180="x")*(Besatzung!$F$11:$F$22="x"))),1))))),0))))</f>
        <v/>
      </c>
      <c r="AD180" s="247">
        <f>IF(C180="Gutschrift","",IF(G180="","",IF(Besatzung!$B$19="","",IFERROR(IF(I180="Zeitanteilig",(Besatzung!$G$19*(G180-IFERROR(H180,0))+((Besatzung!$B$19&lt;&gt;"")*IF(B180="",1,(IF(Besatzung!$C$19="",Besatzung!$B$5,Besatzung!$C$19)&lt;=B180)*(IF(Besatzung!$D$19="",Besatzung!$B$6,Besatzung!$D$19)&gt;=B180)))*(Besatzung!$F$19="x")*IFERROR(H180,0)/IFERROR(SUMPRODUCT((Besatzung!$B$11:$B$22&lt;&gt;"")*(Besatzung!$F$11:$F$22="x")*(IF(Besatzung!$C$11:$C$22="",Besatzung!$B$5,Besatzung!$C$11:$C$22)&lt;=B180)*(IF(Besatzung!$D$11:$D$22="",Besatzung!$B$6,Besatzung!$D$11:$D$22)&gt;=B180)),1)),IF(I180="An Bord",(((Besatzung!$B$19&lt;&gt;"")*IF(B180="",1,(IF(Besatzung!$C$19="",Besatzung!$B$5,Besatzung!$C$19)&lt;=B180)*(IF(Besatzung!$D$19="",Besatzung!$B$6,Besatzung!$D$19)&gt;=B180)))*((G180-IFERROR(H180,0))/IFERROR(SUMPRODUCT((Besatzung!$B$11:$B$22&lt;&gt;"")*(IF(Besatzung!$C$11:$C$22="",Besatzung!$B$5,Besatzung!$C$11:$C$22)&lt;=B180)*(IF(Besatzung!$D$11:$D$22="",Besatzung!$B$6,Besatzung!$D$11:$D$22)&gt;=B180)),1)+(Besatzung!$F$19="x")*IFERROR(H180,0)/IFERROR(SUMPRODUCT((Besatzung!$B$11:$B$22&lt;&gt;"")*(Besatzung!$F$11:$F$22="x")*(IF(Besatzung!$C$11:$C$22="",Besatzung!$B$5,Besatzung!$C$11:$C$22)&lt;=B180)*(IF(Besatzung!$D$11:$D$22="",Besatzung!$B$6,Besatzung!$D$11:$D$22)&gt;=B180)),1))),IF(I180="Individuell",((R180="x")*((G180-IFERROR(H180,0))/IFERROR(COUNTIF(J180:U180,"x"),1)+(Besatzung!$F$19="x")*IFERROR(H180,0)/IFERROR(SUMPRODUCT((J180:U180="x")*(Besatzung!$F$11:$F$22="x")),1))),(IF(COUNTIF(J180:U180,"x")=0,IF(Besatzung!$B$19&lt;&gt;"",1,0),(R180="x"))*(G180-IFERROR(H180,0))/IFERROR(IF(COUNTIF(J180:U180,"x")=0,COUNTA(Besatzung!$B$11:$B$22),COUNTIF(J180:U180,"x")),1)+IF(COUNTIF(J180:U180,"x")=0,(Besatzung!$F$19="x"),(R180="x")*(Besatzung!$F$19="x"))*IFERROR(H180,0)/IFERROR(IF(COUNTIF(J180:U180,"x")=0,SUMPRODUCT((Besatzung!$B$11:$B$22&lt;&gt;"")*(Besatzung!$F$11:$F$22="x")),SUMPRODUCT((J180:U180="x")*(Besatzung!$F$11:$F$22="x"))),1))))),0))))</f>
        <v/>
      </c>
      <c r="AE180" s="247">
        <f>IF(C180="Gutschrift","",IF(G180="","",IF(Besatzung!$B$20="","",IFERROR(IF(I180="Zeitanteilig",(Besatzung!$G$20*(G180-IFERROR(H180,0))+((Besatzung!$B$20&lt;&gt;"")*IF(B180="",1,(IF(Besatzung!$C$20="",Besatzung!$B$5,Besatzung!$C$20)&lt;=B180)*(IF(Besatzung!$D$20="",Besatzung!$B$6,Besatzung!$D$20)&gt;=B180)))*(Besatzung!$F$20="x")*IFERROR(H180,0)/IFERROR(SUMPRODUCT((Besatzung!$B$11:$B$22&lt;&gt;"")*(Besatzung!$F$11:$F$22="x")*(IF(Besatzung!$C$11:$C$22="",Besatzung!$B$5,Besatzung!$C$11:$C$22)&lt;=B180)*(IF(Besatzung!$D$11:$D$22="",Besatzung!$B$6,Besatzung!$D$11:$D$22)&gt;=B180)),1)),IF(I180="An Bord",(((Besatzung!$B$20&lt;&gt;"")*IF(B180="",1,(IF(Besatzung!$C$20="",Besatzung!$B$5,Besatzung!$C$20)&lt;=B180)*(IF(Besatzung!$D$20="",Besatzung!$B$6,Besatzung!$D$20)&gt;=B180)))*((G180-IFERROR(H180,0))/IFERROR(SUMPRODUCT((Besatzung!$B$11:$B$22&lt;&gt;"")*(IF(Besatzung!$C$11:$C$22="",Besatzung!$B$5,Besatzung!$C$11:$C$22)&lt;=B180)*(IF(Besatzung!$D$11:$D$22="",Besatzung!$B$6,Besatzung!$D$11:$D$22)&gt;=B180)),1)+(Besatzung!$F$20="x")*IFERROR(H180,0)/IFERROR(SUMPRODUCT((Besatzung!$B$11:$B$22&lt;&gt;"")*(Besatzung!$F$11:$F$22="x")*(IF(Besatzung!$C$11:$C$22="",Besatzung!$B$5,Besatzung!$C$11:$C$22)&lt;=B180)*(IF(Besatzung!$D$11:$D$22="",Besatzung!$B$6,Besatzung!$D$11:$D$22)&gt;=B180)),1))),IF(I180="Individuell",((S180="x")*((G180-IFERROR(H180,0))/IFERROR(COUNTIF(J180:U180,"x"),1)+(Besatzung!$F$20="x")*IFERROR(H180,0)/IFERROR(SUMPRODUCT((J180:U180="x")*(Besatzung!$F$11:$F$22="x")),1))),(IF(COUNTIF(J180:U180,"x")=0,IF(Besatzung!$B$20&lt;&gt;"",1,0),(S180="x"))*(G180-IFERROR(H180,0))/IFERROR(IF(COUNTIF(J180:U180,"x")=0,COUNTA(Besatzung!$B$11:$B$22),COUNTIF(J180:U180,"x")),1)+IF(COUNTIF(J180:U180,"x")=0,(Besatzung!$F$20="x"),(S180="x")*(Besatzung!$F$20="x"))*IFERROR(H180,0)/IFERROR(IF(COUNTIF(J180:U180,"x")=0,SUMPRODUCT((Besatzung!$B$11:$B$22&lt;&gt;"")*(Besatzung!$F$11:$F$22="x")),SUMPRODUCT((J180:U180="x")*(Besatzung!$F$11:$F$22="x"))),1))))),0))))</f>
        <v/>
      </c>
      <c r="AF180" s="247">
        <f>IF(C180="Gutschrift","",IF(G180="","",IF(Besatzung!$B$21="","",IFERROR(IF(I180="Zeitanteilig",(Besatzung!$G$21*(G180-IFERROR(H180,0))+((Besatzung!$B$21&lt;&gt;"")*IF(B180="",1,(IF(Besatzung!$C$21="",Besatzung!$B$5,Besatzung!$C$21)&lt;=B180)*(IF(Besatzung!$D$21="",Besatzung!$B$6,Besatzung!$D$21)&gt;=B180)))*(Besatzung!$F$21="x")*IFERROR(H180,0)/IFERROR(SUMPRODUCT((Besatzung!$B$11:$B$22&lt;&gt;"")*(Besatzung!$F$11:$F$22="x")*(IF(Besatzung!$C$11:$C$22="",Besatzung!$B$5,Besatzung!$C$11:$C$22)&lt;=B180)*(IF(Besatzung!$D$11:$D$22="",Besatzung!$B$6,Besatzung!$D$11:$D$22)&gt;=B180)),1)),IF(I180="An Bord",(((Besatzung!$B$21&lt;&gt;"")*IF(B180="",1,(IF(Besatzung!$C$21="",Besatzung!$B$5,Besatzung!$C$21)&lt;=B180)*(IF(Besatzung!$D$21="",Besatzung!$B$6,Besatzung!$D$21)&gt;=B180)))*((G180-IFERROR(H180,0))/IFERROR(SUMPRODUCT((Besatzung!$B$11:$B$22&lt;&gt;"")*(IF(Besatzung!$C$11:$C$22="",Besatzung!$B$5,Besatzung!$C$11:$C$22)&lt;=B180)*(IF(Besatzung!$D$11:$D$22="",Besatzung!$B$6,Besatzung!$D$11:$D$22)&gt;=B180)),1)+(Besatzung!$F$21="x")*IFERROR(H180,0)/IFERROR(SUMPRODUCT((Besatzung!$B$11:$B$22&lt;&gt;"")*(Besatzung!$F$11:$F$22="x")*(IF(Besatzung!$C$11:$C$22="",Besatzung!$B$5,Besatzung!$C$11:$C$22)&lt;=B180)*(IF(Besatzung!$D$11:$D$22="",Besatzung!$B$6,Besatzung!$D$11:$D$22)&gt;=B180)),1))),IF(I180="Individuell",((T180="x")*((G180-IFERROR(H180,0))/IFERROR(COUNTIF(J180:U180,"x"),1)+(Besatzung!$F$21="x")*IFERROR(H180,0)/IFERROR(SUMPRODUCT((J180:U180="x")*(Besatzung!$F$11:$F$22="x")),1))),(IF(COUNTIF(J180:U180,"x")=0,IF(Besatzung!$B$21&lt;&gt;"",1,0),(T180="x"))*(G180-IFERROR(H180,0))/IFERROR(IF(COUNTIF(J180:U180,"x")=0,COUNTA(Besatzung!$B$11:$B$22),COUNTIF(J180:U180,"x")),1)+IF(COUNTIF(J180:U180,"x")=0,(Besatzung!$F$21="x"),(T180="x")*(Besatzung!$F$21="x"))*IFERROR(H180,0)/IFERROR(IF(COUNTIF(J180:U180,"x")=0,SUMPRODUCT((Besatzung!$B$11:$B$22&lt;&gt;"")*(Besatzung!$F$11:$F$22="x")),SUMPRODUCT((J180:U180="x")*(Besatzung!$F$11:$F$22="x"))),1))))),0))))</f>
        <v/>
      </c>
      <c r="AG180" s="247">
        <f>IF(C180="Gutschrift","",IF(G180="","",IF(Besatzung!$B$22="","",IFERROR(IF(I180="Zeitanteilig",(Besatzung!$G$22*(G180-IFERROR(H180,0))+((Besatzung!$B$22&lt;&gt;"")*IF(B180="",1,(IF(Besatzung!$C$22="",Besatzung!$B$5,Besatzung!$C$22)&lt;=B180)*(IF(Besatzung!$D$22="",Besatzung!$B$6,Besatzung!$D$22)&gt;=B180)))*(Besatzung!$F$22="x")*IFERROR(H180,0)/IFERROR(SUMPRODUCT((Besatzung!$B$11:$B$22&lt;&gt;"")*(Besatzung!$F$11:$F$22="x")*(IF(Besatzung!$C$11:$C$22="",Besatzung!$B$5,Besatzung!$C$11:$C$22)&lt;=B180)*(IF(Besatzung!$D$11:$D$22="",Besatzung!$B$6,Besatzung!$D$11:$D$22)&gt;=B180)),1)),IF(I180="An Bord",(((Besatzung!$B$22&lt;&gt;"")*IF(B180="",1,(IF(Besatzung!$C$22="",Besatzung!$B$5,Besatzung!$C$22)&lt;=B180)*(IF(Besatzung!$D$22="",Besatzung!$B$6,Besatzung!$D$22)&gt;=B180)))*((G180-IFERROR(H180,0))/IFERROR(SUMPRODUCT((Besatzung!$B$11:$B$22&lt;&gt;"")*(IF(Besatzung!$C$11:$C$22="",Besatzung!$B$5,Besatzung!$C$11:$C$22)&lt;=B180)*(IF(Besatzung!$D$11:$D$22="",Besatzung!$B$6,Besatzung!$D$11:$D$22)&gt;=B180)),1)+(Besatzung!$F$22="x")*IFERROR(H180,0)/IFERROR(SUMPRODUCT((Besatzung!$B$11:$B$22&lt;&gt;"")*(Besatzung!$F$11:$F$22="x")*(IF(Besatzung!$C$11:$C$22="",Besatzung!$B$5,Besatzung!$C$11:$C$22)&lt;=B180)*(IF(Besatzung!$D$11:$D$22="",Besatzung!$B$6,Besatzung!$D$11:$D$22)&gt;=B180)),1))),IF(I180="Individuell",((U180="x")*((G180-IFERROR(H180,0))/IFERROR(COUNTIF(J180:U180,"x"),1)+(Besatzung!$F$22="x")*IFERROR(H180,0)/IFERROR(SUMPRODUCT((J180:U180="x")*(Besatzung!$F$11:$F$22="x")),1))),(IF(COUNTIF(J180:U180,"x")=0,IF(Besatzung!$B$22&lt;&gt;"",1,0),(U180="x"))*(G180-IFERROR(H180,0))/IFERROR(IF(COUNTIF(J180:U180,"x")=0,COUNTA(Besatzung!$B$11:$B$22),COUNTIF(J180:U180,"x")),1)+IF(COUNTIF(J180:U180,"x")=0,(Besatzung!$F$22="x"),(U180="x")*(Besatzung!$F$22="x"))*IFERROR(H180,0)/IFERROR(IF(COUNTIF(J180:U180,"x")=0,SUMPRODUCT((Besatzung!$B$11:$B$22&lt;&gt;"")*(Besatzung!$F$11:$F$22="x")),SUMPRODUCT((J180:U180="x")*(Besatzung!$F$11:$F$22="x"))),1))))),0))))</f>
        <v/>
      </c>
      <c r="AH180" s="248" t="n"/>
      <c r="AI180" s="248" t="n"/>
    </row>
    <row r="181" ht="21.75" customHeight="1" s="154">
      <c r="A181" s="238">
        <f>IF(AND(D181="",C181=""),"",178)</f>
        <v/>
      </c>
      <c r="B181" s="206" t="n"/>
      <c r="C181" s="249" t="n"/>
      <c r="D181" s="250" t="n"/>
      <c r="E181" s="251" t="n"/>
      <c r="F181" s="252" t="n"/>
      <c r="G181" s="253" t="n"/>
      <c r="H181" s="254" t="n"/>
      <c r="I181" s="255" t="n"/>
      <c r="J181" s="256" t="n"/>
      <c r="K181" s="256" t="n"/>
      <c r="L181" s="256" t="n"/>
      <c r="M181" s="256" t="n"/>
      <c r="N181" s="256" t="n"/>
      <c r="O181" s="256" t="n"/>
      <c r="P181" s="256" t="n"/>
      <c r="Q181" s="256" t="n"/>
      <c r="R181" s="256" t="n"/>
      <c r="S181" s="256" t="n"/>
      <c r="T181" s="256" t="n"/>
      <c r="U181" s="256" t="n"/>
      <c r="V181" s="247">
        <f>IF(C181="Gutschrift","",IF(G181="","",IF(Besatzung!$B$11="","",IFERROR(IF(I181="Zeitanteilig",(Besatzung!$G$11*(G181-IFERROR(H181,0))+((Besatzung!$B$11&lt;&gt;"")*IF(B181="",1,(IF(Besatzung!$C$11="",Besatzung!$B$5,Besatzung!$C$11)&lt;=B181)*(IF(Besatzung!$D$11="",Besatzung!$B$6,Besatzung!$D$11)&gt;=B181)))*(Besatzung!$F$11="x")*IFERROR(H181,0)/IFERROR(SUMPRODUCT((Besatzung!$B$11:$B$22&lt;&gt;"")*(Besatzung!$F$11:$F$22="x")*(IF(Besatzung!$C$11:$C$22="",Besatzung!$B$5,Besatzung!$C$11:$C$22)&lt;=B181)*(IF(Besatzung!$D$11:$D$22="",Besatzung!$B$6,Besatzung!$D$11:$D$22)&gt;=B181)),1)),IF(I181="An Bord",(((Besatzung!$B$11&lt;&gt;"")*IF(B181="",1,(IF(Besatzung!$C$11="",Besatzung!$B$5,Besatzung!$C$11)&lt;=B181)*(IF(Besatzung!$D$11="",Besatzung!$B$6,Besatzung!$D$11)&gt;=B181)))*((G181-IFERROR(H181,0))/IFERROR(SUMPRODUCT((Besatzung!$B$11:$B$22&lt;&gt;"")*(IF(Besatzung!$C$11:$C$22="",Besatzung!$B$5,Besatzung!$C$11:$C$22)&lt;=B181)*(IF(Besatzung!$D$11:$D$22="",Besatzung!$B$6,Besatzung!$D$11:$D$22)&gt;=B181)),1)+(Besatzung!$F$11="x")*IFERROR(H181,0)/IFERROR(SUMPRODUCT((Besatzung!$B$11:$B$22&lt;&gt;"")*(Besatzung!$F$11:$F$22="x")*(IF(Besatzung!$C$11:$C$22="",Besatzung!$B$5,Besatzung!$C$11:$C$22)&lt;=B181)*(IF(Besatzung!$D$11:$D$22="",Besatzung!$B$6,Besatzung!$D$11:$D$22)&gt;=B181)),1))),IF(I181="Individuell",((J181="x")*((G181-IFERROR(H181,0))/IFERROR(COUNTIF(J181:U181,"x"),1)+(Besatzung!$F$11="x")*IFERROR(H181,0)/IFERROR(SUMPRODUCT((J181:U181="x")*(Besatzung!$F$11:$F$22="x")),1))),(IF(COUNTIF(J181:U181,"x")=0,IF(Besatzung!$B$11&lt;&gt;"",1,0),(J181="x"))*(G181-IFERROR(H181,0))/IFERROR(IF(COUNTIF(J181:U181,"x")=0,COUNTA(Besatzung!$B$11:$B$22),COUNTIF(J181:U181,"x")),1)+IF(COUNTIF(J181:U181,"x")=0,(Besatzung!$F$11="x"),(J181="x")*(Besatzung!$F$11="x"))*IFERROR(H181,0)/IFERROR(IF(COUNTIF(J181:U181,"x")=0,SUMPRODUCT((Besatzung!$B$11:$B$22&lt;&gt;"")*(Besatzung!$F$11:$F$22="x")),SUMPRODUCT((J181:U181="x")*(Besatzung!$F$11:$F$22="x"))),1))))),0))))</f>
        <v/>
      </c>
      <c r="W181" s="247">
        <f>IF(C181="Gutschrift","",IF(G181="","",IF(Besatzung!$B$12="","",IFERROR(IF(I181="Zeitanteilig",(Besatzung!$G$12*(G181-IFERROR(H181,0))+((Besatzung!$B$12&lt;&gt;"")*IF(B181="",1,(IF(Besatzung!$C$12="",Besatzung!$B$5,Besatzung!$C$12)&lt;=B181)*(IF(Besatzung!$D$12="",Besatzung!$B$6,Besatzung!$D$12)&gt;=B181)))*(Besatzung!$F$12="x")*IFERROR(H181,0)/IFERROR(SUMPRODUCT((Besatzung!$B$11:$B$22&lt;&gt;"")*(Besatzung!$F$11:$F$22="x")*(IF(Besatzung!$C$11:$C$22="",Besatzung!$B$5,Besatzung!$C$11:$C$22)&lt;=B181)*(IF(Besatzung!$D$11:$D$22="",Besatzung!$B$6,Besatzung!$D$11:$D$22)&gt;=B181)),1)),IF(I181="An Bord",(((Besatzung!$B$12&lt;&gt;"")*IF(B181="",1,(IF(Besatzung!$C$12="",Besatzung!$B$5,Besatzung!$C$12)&lt;=B181)*(IF(Besatzung!$D$12="",Besatzung!$B$6,Besatzung!$D$12)&gt;=B181)))*((G181-IFERROR(H181,0))/IFERROR(SUMPRODUCT((Besatzung!$B$11:$B$22&lt;&gt;"")*(IF(Besatzung!$C$11:$C$22="",Besatzung!$B$5,Besatzung!$C$11:$C$22)&lt;=B181)*(IF(Besatzung!$D$11:$D$22="",Besatzung!$B$6,Besatzung!$D$11:$D$22)&gt;=B181)),1)+(Besatzung!$F$12="x")*IFERROR(H181,0)/IFERROR(SUMPRODUCT((Besatzung!$B$11:$B$22&lt;&gt;"")*(Besatzung!$F$11:$F$22="x")*(IF(Besatzung!$C$11:$C$22="",Besatzung!$B$5,Besatzung!$C$11:$C$22)&lt;=B181)*(IF(Besatzung!$D$11:$D$22="",Besatzung!$B$6,Besatzung!$D$11:$D$22)&gt;=B181)),1))),IF(I181="Individuell",((K181="x")*((G181-IFERROR(H181,0))/IFERROR(COUNTIF(J181:U181,"x"),1)+(Besatzung!$F$12="x")*IFERROR(H181,0)/IFERROR(SUMPRODUCT((J181:U181="x")*(Besatzung!$F$11:$F$22="x")),1))),(IF(COUNTIF(J181:U181,"x")=0,IF(Besatzung!$B$12&lt;&gt;"",1,0),(K181="x"))*(G181-IFERROR(H181,0))/IFERROR(IF(COUNTIF(J181:U181,"x")=0,COUNTA(Besatzung!$B$11:$B$22),COUNTIF(J181:U181,"x")),1)+IF(COUNTIF(J181:U181,"x")=0,(Besatzung!$F$12="x"),(K181="x")*(Besatzung!$F$12="x"))*IFERROR(H181,0)/IFERROR(IF(COUNTIF(J181:U181,"x")=0,SUMPRODUCT((Besatzung!$B$11:$B$22&lt;&gt;"")*(Besatzung!$F$11:$F$22="x")),SUMPRODUCT((J181:U181="x")*(Besatzung!$F$11:$F$22="x"))),1))))),0))))</f>
        <v/>
      </c>
      <c r="X181" s="247">
        <f>IF(C181="Gutschrift","",IF(G181="","",IF(Besatzung!$B$13="","",IFERROR(IF(I181="Zeitanteilig",(Besatzung!$G$13*(G181-IFERROR(H181,0))+((Besatzung!$B$13&lt;&gt;"")*IF(B181="",1,(IF(Besatzung!$C$13="",Besatzung!$B$5,Besatzung!$C$13)&lt;=B181)*(IF(Besatzung!$D$13="",Besatzung!$B$6,Besatzung!$D$13)&gt;=B181)))*(Besatzung!$F$13="x")*IFERROR(H181,0)/IFERROR(SUMPRODUCT((Besatzung!$B$11:$B$22&lt;&gt;"")*(Besatzung!$F$11:$F$22="x")*(IF(Besatzung!$C$11:$C$22="",Besatzung!$B$5,Besatzung!$C$11:$C$22)&lt;=B181)*(IF(Besatzung!$D$11:$D$22="",Besatzung!$B$6,Besatzung!$D$11:$D$22)&gt;=B181)),1)),IF(I181="An Bord",(((Besatzung!$B$13&lt;&gt;"")*IF(B181="",1,(IF(Besatzung!$C$13="",Besatzung!$B$5,Besatzung!$C$13)&lt;=B181)*(IF(Besatzung!$D$13="",Besatzung!$B$6,Besatzung!$D$13)&gt;=B181)))*((G181-IFERROR(H181,0))/IFERROR(SUMPRODUCT((Besatzung!$B$11:$B$22&lt;&gt;"")*(IF(Besatzung!$C$11:$C$22="",Besatzung!$B$5,Besatzung!$C$11:$C$22)&lt;=B181)*(IF(Besatzung!$D$11:$D$22="",Besatzung!$B$6,Besatzung!$D$11:$D$22)&gt;=B181)),1)+(Besatzung!$F$13="x")*IFERROR(H181,0)/IFERROR(SUMPRODUCT((Besatzung!$B$11:$B$22&lt;&gt;"")*(Besatzung!$F$11:$F$22="x")*(IF(Besatzung!$C$11:$C$22="",Besatzung!$B$5,Besatzung!$C$11:$C$22)&lt;=B181)*(IF(Besatzung!$D$11:$D$22="",Besatzung!$B$6,Besatzung!$D$11:$D$22)&gt;=B181)),1))),IF(I181="Individuell",((K181="x")*((G181-IFERROR(H181,0))/IFERROR(COUNTIF(J181:U181,"x"),1)+(Besatzung!$F$13="x")*IFERROR(H181,0)/IFERROR(SUMPRODUCT((J181:U181="x")*(Besatzung!$F$11:$F$22="x")),1))),(IF(COUNTIF(J181:U181,"x")=0,IF(Besatzung!$B$13&lt;&gt;"",1,0),(K181="x"))*(G181-IFERROR(H181,0))/IFERROR(IF(COUNTIF(J181:U181,"x")=0,COUNTA(Besatzung!$B$11:$B$22),COUNTIF(J181:U181,"x")),1)+IF(COUNTIF(J181:U181,"x")=0,(Besatzung!$F$13="x"),(K181="x")*(Besatzung!$F$13="x"))*IFERROR(H181,0)/IFERROR(IF(COUNTIF(J181:U181,"x")=0,SUMPRODUCT((Besatzung!$B$11:$B$22&lt;&gt;"")*(Besatzung!$F$11:$F$22="x")),SUMPRODUCT((J181:U181="x")*(Besatzung!$F$11:$F$22="x"))),1))))),0))))</f>
        <v/>
      </c>
      <c r="Y181" s="247">
        <f>IF(C181="Gutschrift","",IF(G181="","",IF(Besatzung!$B$14="","",IFERROR(IF(I181="Zeitanteilig",(Besatzung!$G$14*(G181-IFERROR(H181,0))+((Besatzung!$B$14&lt;&gt;"")*IF(B181="",1,(IF(Besatzung!$C$14="",Besatzung!$B$5,Besatzung!$C$14)&lt;=B181)*(IF(Besatzung!$D$14="",Besatzung!$B$6,Besatzung!$D$14)&gt;=B181)))*(Besatzung!$F$14="x")*IFERROR(H181,0)/IFERROR(SUMPRODUCT((Besatzung!$B$11:$B$22&lt;&gt;"")*(Besatzung!$F$11:$F$22="x")*(IF(Besatzung!$C$11:$C$22="",Besatzung!$B$5,Besatzung!$C$11:$C$22)&lt;=B181)*(IF(Besatzung!$D$11:$D$22="",Besatzung!$B$6,Besatzung!$D$11:$D$22)&gt;=B181)),1)),IF(I181="An Bord",(((Besatzung!$B$14&lt;&gt;"")*IF(B181="",1,(IF(Besatzung!$C$14="",Besatzung!$B$5,Besatzung!$C$14)&lt;=B181)*(IF(Besatzung!$D$14="",Besatzung!$B$6,Besatzung!$D$14)&gt;=B181)))*((G181-IFERROR(H181,0))/IFERROR(SUMPRODUCT((Besatzung!$B$11:$B$22&lt;&gt;"")*(IF(Besatzung!$C$11:$C$22="",Besatzung!$B$5,Besatzung!$C$11:$C$22)&lt;=B181)*(IF(Besatzung!$D$11:$D$22="",Besatzung!$B$6,Besatzung!$D$11:$D$22)&gt;=B181)),1)+(Besatzung!$F$14="x")*IFERROR(H181,0)/IFERROR(SUMPRODUCT((Besatzung!$B$11:$B$22&lt;&gt;"")*(Besatzung!$F$11:$F$22="x")*(IF(Besatzung!$C$11:$C$22="",Besatzung!$B$5,Besatzung!$C$11:$C$22)&lt;=B181)*(IF(Besatzung!$D$11:$D$22="",Besatzung!$B$6,Besatzung!$D$11:$D$22)&gt;=B181)),1))),IF(I181="Individuell",((M181="x")*((G181-IFERROR(H181,0))/IFERROR(COUNTIF(J181:U181,"x"),1)+(Besatzung!$F$14="x")*IFERROR(H181,0)/IFERROR(SUMPRODUCT((J181:U181="x")*(Besatzung!$F$11:$F$22="x")),1))),(IF(COUNTIF(J181:U181,"x")=0,IF(Besatzung!$B$14&lt;&gt;"",1,0),(M181="x"))*(G181-IFERROR(H181,0))/IFERROR(IF(COUNTIF(J181:U181,"x")=0,COUNTA(Besatzung!$B$11:$B$22),COUNTIF(J181:U181,"x")),1)+IF(COUNTIF(J181:U181,"x")=0,(Besatzung!$F$14="x"),(M181="x")*(Besatzung!$F$14="x"))*IFERROR(H181,0)/IFERROR(IF(COUNTIF(J181:U181,"x")=0,SUMPRODUCT((Besatzung!$B$11:$B$22&lt;&gt;"")*(Besatzung!$F$11:$F$22="x")),SUMPRODUCT((J181:U181="x")*(Besatzung!$F$11:$F$22="x"))),1))))),0))))</f>
        <v/>
      </c>
      <c r="Z181" s="247">
        <f>IF(C181="Gutschrift","",IF(G181="","",IF(Besatzung!$B$13="","",IFERROR(IF(I181="Zeitanteilig",(Besatzung!$G$15*(G181-IFERROR(H181,0))+((Besatzung!$B$13&lt;&gt;"")*IF(B181="",1,(IF(Besatzung!$C$15="",Besatzung!$B$5,Besatzung!$C$15)&lt;=B181)*(IF(Besatzung!$D$15="",Besatzung!$B$6,Besatzung!$D$15)&gt;=B181)))*(Besatzung!$F$15="x")*IFERROR(H181,0)/IFERROR(SUMPRODUCT((Besatzung!$B$11:$B$22&lt;&gt;"")*(Besatzung!$F$11:$F$22="x")*(IF(Besatzung!$C$11:$C$22="",Besatzung!$B$5,Besatzung!$C$11:$C$22)&lt;=B181)*(IF(Besatzung!$D$11:$D$22="",Besatzung!$B$6,Besatzung!$D$11:$D$22)&gt;=B181)),1)),IF(I181="An Bord",(((Besatzung!$B$13&lt;&gt;"")*IF(B181="",1,(IF(Besatzung!$C$15="",Besatzung!$B$5,Besatzung!$C$15)&lt;=B181)*(IF(Besatzung!$D$15="",Besatzung!$B$6,Besatzung!$D$15)&gt;=B181)))*((G181-IFERROR(H181,0))/IFERROR(SUMPRODUCT((Besatzung!$B$11:$B$22&lt;&gt;"")*(IF(Besatzung!$C$11:$C$22="",Besatzung!$B$5,Besatzung!$C$11:$C$22)&lt;=B181)*(IF(Besatzung!$D$11:$D$22="",Besatzung!$B$6,Besatzung!$D$11:$D$22)&gt;=B181)),1)+(Besatzung!$F$15="x")*IFERROR(H181,0)/IFERROR(SUMPRODUCT((Besatzung!$B$11:$B$22&lt;&gt;"")*(Besatzung!$F$11:$F$22="x")*(IF(Besatzung!$C$11:$C$22="",Besatzung!$B$5,Besatzung!$C$11:$C$22)&lt;=B181)*(IF(Besatzung!$D$11:$D$22="",Besatzung!$B$6,Besatzung!$D$11:$D$22)&gt;=B181)),1))),IF(I181="Individuell",((N181="x")*((G181-IFERROR(H181,0))/IFERROR(COUNTIF(J181:U181,"x"),1)+(Besatzung!$F$15="x")*IFERROR(H181,0)/IFERROR(SUMPRODUCT((J181:U181="x")*(Besatzung!$F$11:$F$22="x")),1))),(IF(COUNTIF(J181:U181,"x")=0,IF(Besatzung!$B$13&lt;&gt;"",1,0),(N181="x"))*(G181-IFERROR(H181,0))/IFERROR(IF(COUNTIF(J181:U181,"x")=0,COUNTA(Besatzung!$B$11:$B$22),COUNTIF(J181:U181,"x")),1)+IF(COUNTIF(J181:U181,"x")=0,(Besatzung!$F$15="x"),(N181="x")*(Besatzung!$F$15="x"))*IFERROR(H181,0)/IFERROR(IF(COUNTIF(J181:U181,"x")=0,SUMPRODUCT((Besatzung!$B$11:$B$22&lt;&gt;"")*(Besatzung!$F$11:$F$22="x")),SUMPRODUCT((J181:U181="x")*(Besatzung!$F$11:$F$22="x"))),1))))),0))))</f>
        <v/>
      </c>
      <c r="AA181" s="247">
        <f>IF(C181="Gutschrift","",IF(G181="","",IF(Besatzung!$B$15="","",IFERROR(IF(I181="Zeitanteilig",(Besatzung!$G$16*(G181-IFERROR(H181,0))+((Besatzung!$B$15&lt;&gt;"")*IF(B181="",1,(IF(Besatzung!$C$16="",Besatzung!$B$5,Besatzung!$C$16)&lt;=B181)*(IF(Besatzung!$D$16="",Besatzung!$B$6,Besatzung!$D$16)&gt;=B181)))*(Besatzung!$F$16="x")*IFERROR(H181,0)/IFERROR(SUMPRODUCT((Besatzung!$B$11:$B$22&lt;&gt;"")*(Besatzung!$F$11:$F$22="x")*(IF(Besatzung!$C$11:$C$22="",Besatzung!$B$5,Besatzung!$C$11:$C$22)&lt;=B181)*(IF(Besatzung!$D$11:$D$22="",Besatzung!$B$6,Besatzung!$D$11:$D$22)&gt;=B181)),1)),IF(I181="An Bord",(((Besatzung!$B$15&lt;&gt;"")*IF(B181="",1,(IF(Besatzung!$C$16="",Besatzung!$B$5,Besatzung!$C$16)&lt;=B181)*(IF(Besatzung!$D$16="",Besatzung!$B$6,Besatzung!$D$16)&gt;=B181)))*((G181-IFERROR(H181,0))/IFERROR(SUMPRODUCT((Besatzung!$B$11:$B$22&lt;&gt;"")*(IF(Besatzung!$C$11:$C$22="",Besatzung!$B$5,Besatzung!$C$11:$C$22)&lt;=B181)*(IF(Besatzung!$D$11:$D$22="",Besatzung!$B$6,Besatzung!$D$11:$D$22)&gt;=B181)),1)+(Besatzung!$F$16="x")*IFERROR(H181,0)/IFERROR(SUMPRODUCT((Besatzung!$B$11:$B$22&lt;&gt;"")*(Besatzung!$F$11:$F$22="x")*(IF(Besatzung!$C$11:$C$22="",Besatzung!$B$5,Besatzung!$C$11:$C$22)&lt;=B181)*(IF(Besatzung!$D$11:$D$22="",Besatzung!$B$6,Besatzung!$D$11:$D$22)&gt;=B181)),1))),IF(I181="Individuell",((O181="x")*((G181-IFERROR(H181,0))/IFERROR(COUNTIF(J181:U181,"x"),1)+(Besatzung!$F$16="x")*IFERROR(H181,0)/IFERROR(SUMPRODUCT((J181:U181="x")*(Besatzung!$F$11:$F$22="x")),1))),(IF(COUNTIF(J181:U181,"x")=0,IF(Besatzung!$B$15&lt;&gt;"",1,0),(O181="x"))*(G181-IFERROR(H181,0))/IFERROR(IF(COUNTIF(J181:U181,"x")=0,COUNTA(Besatzung!$B$11:$B$22),COUNTIF(J181:U181,"x")),1)+IF(COUNTIF(J181:U181,"x")=0,(Besatzung!$F$16="x"),(O181="x")*(Besatzung!$F$16="x"))*IFERROR(H181,0)/IFERROR(IF(COUNTIF(J181:U181,"x")=0,SUMPRODUCT((Besatzung!$B$11:$B$22&lt;&gt;"")*(Besatzung!$F$11:$F$22="x")),SUMPRODUCT((J181:U181="x")*(Besatzung!$F$11:$F$22="x"))),1))))),0))))</f>
        <v/>
      </c>
      <c r="AB181" s="247">
        <f>IF(C181="Gutschrift","",IF(G181="","",IF(Besatzung!$B$17="","",IFERROR(IF(I181="Zeitanteilig",(Besatzung!$G$17*(G181-IFERROR(H181,0))+((Besatzung!$B$17&lt;&gt;"")*IF(B181="",1,(IF(Besatzung!$C$17="",Besatzung!$B$5,Besatzung!$C$17)&lt;=B181)*(IF(Besatzung!$D$17="",Besatzung!$B$6,Besatzung!$D$17)&gt;=B181)))*(Besatzung!$F$17="x")*IFERROR(H181,0)/IFERROR(SUMPRODUCT((Besatzung!$B$11:$B$22&lt;&gt;"")*(Besatzung!$F$11:$F$22="x")*(IF(Besatzung!$C$11:$C$22="",Besatzung!$B$5,Besatzung!$C$11:$C$22)&lt;=B181)*(IF(Besatzung!$D$11:$D$22="",Besatzung!$B$6,Besatzung!$D$11:$D$22)&gt;=B181)),1)),IF(I181="An Bord",(((Besatzung!$B$17&lt;&gt;"")*IF(B181="",1,(IF(Besatzung!$C$17="",Besatzung!$B$5,Besatzung!$C$17)&lt;=B181)*(IF(Besatzung!$D$17="",Besatzung!$B$6,Besatzung!$D$17)&gt;=B181)))*((G181-IFERROR(H181,0))/IFERROR(SUMPRODUCT((Besatzung!$B$11:$B$22&lt;&gt;"")*(IF(Besatzung!$C$11:$C$22="",Besatzung!$B$5,Besatzung!$C$11:$C$22)&lt;=B181)*(IF(Besatzung!$D$11:$D$22="",Besatzung!$B$6,Besatzung!$D$11:$D$22)&gt;=B181)),1)+(Besatzung!$F$17="x")*IFERROR(H181,0)/IFERROR(SUMPRODUCT((Besatzung!$B$11:$B$22&lt;&gt;"")*(Besatzung!$F$11:$F$22="x")*(IF(Besatzung!$C$11:$C$22="",Besatzung!$B$5,Besatzung!$C$11:$C$22)&lt;=B181)*(IF(Besatzung!$D$11:$D$22="",Besatzung!$B$6,Besatzung!$D$11:$D$22)&gt;=B181)),1))),IF(I181="Individuell",((P181="x")*((G181-IFERROR(H181,0))/IFERROR(COUNTIF(J181:U181,"x"),1)+(Besatzung!$F$17="x")*IFERROR(H181,0)/IFERROR(SUMPRODUCT((J181:U181="x")*(Besatzung!$F$11:$F$22="x")),1))),(IF(COUNTIF(J181:U181,"x")=0,IF(Besatzung!$B$17&lt;&gt;"",1,0),(P181="x"))*(G181-IFERROR(H181,0))/IFERROR(IF(COUNTIF(J181:U181,"x")=0,COUNTA(Besatzung!$B$11:$B$22),COUNTIF(J181:U181,"x")),1)+IF(COUNTIF(J181:U181,"x")=0,(Besatzung!$F$17="x"),(P181="x")*(Besatzung!$F$17="x"))*IFERROR(H181,0)/IFERROR(IF(COUNTIF(J181:U181,"x")=0,SUMPRODUCT((Besatzung!$B$11:$B$22&lt;&gt;"")*(Besatzung!$F$11:$F$22="x")),SUMPRODUCT((J181:U181="x")*(Besatzung!$F$11:$F$22="x"))),1))))),0))))</f>
        <v/>
      </c>
      <c r="AC181" s="247">
        <f>IF(C181="Gutschrift","",IF(G181="","",IF(Besatzung!$B$18="","",IFERROR(IF(I181="Zeitanteilig",(Besatzung!$G$18*(G181-IFERROR(H181,0))+((Besatzung!$B$18&lt;&gt;"")*IF(B181="",1,(IF(Besatzung!$C$18="",Besatzung!$B$5,Besatzung!$C$18)&lt;=B181)*(IF(Besatzung!$D$18="",Besatzung!$B$6,Besatzung!$D$18)&gt;=B181)))*(Besatzung!$F$18="x")*IFERROR(H181,0)/IFERROR(SUMPRODUCT((Besatzung!$B$11:$B$22&lt;&gt;"")*(Besatzung!$F$11:$F$22="x")*(IF(Besatzung!$C$11:$C$22="",Besatzung!$B$5,Besatzung!$C$11:$C$22)&lt;=B181)*(IF(Besatzung!$D$11:$D$22="",Besatzung!$B$6,Besatzung!$D$11:$D$22)&gt;=B181)),1)),IF(I181="An Bord",(((Besatzung!$B$18&lt;&gt;"")*IF(B181="",1,(IF(Besatzung!$C$18="",Besatzung!$B$5,Besatzung!$C$18)&lt;=B181)*(IF(Besatzung!$D$18="",Besatzung!$B$6,Besatzung!$D$18)&gt;=B181)))*((G181-IFERROR(H181,0))/IFERROR(SUMPRODUCT((Besatzung!$B$11:$B$22&lt;&gt;"")*(IF(Besatzung!$C$11:$C$22="",Besatzung!$B$5,Besatzung!$C$11:$C$22)&lt;=B181)*(IF(Besatzung!$D$11:$D$22="",Besatzung!$B$6,Besatzung!$D$11:$D$22)&gt;=B181)),1)+(Besatzung!$F$18="x")*IFERROR(H181,0)/IFERROR(SUMPRODUCT((Besatzung!$B$11:$B$22&lt;&gt;"")*(Besatzung!$F$11:$F$22="x")*(IF(Besatzung!$C$11:$C$22="",Besatzung!$B$5,Besatzung!$C$11:$C$22)&lt;=B181)*(IF(Besatzung!$D$11:$D$22="",Besatzung!$B$6,Besatzung!$D$11:$D$22)&gt;=B181)),1))),IF(I181="Individuell",((Q181="x")*((G181-IFERROR(H181,0))/IFERROR(COUNTIF(J181:U181,"x"),1)+(Besatzung!$F$18="x")*IFERROR(H181,0)/IFERROR(SUMPRODUCT((J181:U181="x")*(Besatzung!$F$11:$F$22="x")),1))),(IF(COUNTIF(J181:U181,"x")=0,IF(Besatzung!$B$18&lt;&gt;"",1,0),(Q181="x"))*(G181-IFERROR(H181,0))/IFERROR(IF(COUNTIF(J181:U181,"x")=0,COUNTA(Besatzung!$B$11:$B$22),COUNTIF(J181:U181,"x")),1)+IF(COUNTIF(J181:U181,"x")=0,(Besatzung!$F$18="x"),(Q181="x")*(Besatzung!$F$18="x"))*IFERROR(H181,0)/IFERROR(IF(COUNTIF(J181:U181,"x")=0,SUMPRODUCT((Besatzung!$B$11:$B$22&lt;&gt;"")*(Besatzung!$F$11:$F$22="x")),SUMPRODUCT((J181:U181="x")*(Besatzung!$F$11:$F$22="x"))),1))))),0))))</f>
        <v/>
      </c>
      <c r="AD181" s="247">
        <f>IF(C181="Gutschrift","",IF(G181="","",IF(Besatzung!$B$19="","",IFERROR(IF(I181="Zeitanteilig",(Besatzung!$G$19*(G181-IFERROR(H181,0))+((Besatzung!$B$19&lt;&gt;"")*IF(B181="",1,(IF(Besatzung!$C$19="",Besatzung!$B$5,Besatzung!$C$19)&lt;=B181)*(IF(Besatzung!$D$19="",Besatzung!$B$6,Besatzung!$D$19)&gt;=B181)))*(Besatzung!$F$19="x")*IFERROR(H181,0)/IFERROR(SUMPRODUCT((Besatzung!$B$11:$B$22&lt;&gt;"")*(Besatzung!$F$11:$F$22="x")*(IF(Besatzung!$C$11:$C$22="",Besatzung!$B$5,Besatzung!$C$11:$C$22)&lt;=B181)*(IF(Besatzung!$D$11:$D$22="",Besatzung!$B$6,Besatzung!$D$11:$D$22)&gt;=B181)),1)),IF(I181="An Bord",(((Besatzung!$B$19&lt;&gt;"")*IF(B181="",1,(IF(Besatzung!$C$19="",Besatzung!$B$5,Besatzung!$C$19)&lt;=B181)*(IF(Besatzung!$D$19="",Besatzung!$B$6,Besatzung!$D$19)&gt;=B181)))*((G181-IFERROR(H181,0))/IFERROR(SUMPRODUCT((Besatzung!$B$11:$B$22&lt;&gt;"")*(IF(Besatzung!$C$11:$C$22="",Besatzung!$B$5,Besatzung!$C$11:$C$22)&lt;=B181)*(IF(Besatzung!$D$11:$D$22="",Besatzung!$B$6,Besatzung!$D$11:$D$22)&gt;=B181)),1)+(Besatzung!$F$19="x")*IFERROR(H181,0)/IFERROR(SUMPRODUCT((Besatzung!$B$11:$B$22&lt;&gt;"")*(Besatzung!$F$11:$F$22="x")*(IF(Besatzung!$C$11:$C$22="",Besatzung!$B$5,Besatzung!$C$11:$C$22)&lt;=B181)*(IF(Besatzung!$D$11:$D$22="",Besatzung!$B$6,Besatzung!$D$11:$D$22)&gt;=B181)),1))),IF(I181="Individuell",((R181="x")*((G181-IFERROR(H181,0))/IFERROR(COUNTIF(J181:U181,"x"),1)+(Besatzung!$F$19="x")*IFERROR(H181,0)/IFERROR(SUMPRODUCT((J181:U181="x")*(Besatzung!$F$11:$F$22="x")),1))),(IF(COUNTIF(J181:U181,"x")=0,IF(Besatzung!$B$19&lt;&gt;"",1,0),(R181="x"))*(G181-IFERROR(H181,0))/IFERROR(IF(COUNTIF(J181:U181,"x")=0,COUNTA(Besatzung!$B$11:$B$22),COUNTIF(J181:U181,"x")),1)+IF(COUNTIF(J181:U181,"x")=0,(Besatzung!$F$19="x"),(R181="x")*(Besatzung!$F$19="x"))*IFERROR(H181,0)/IFERROR(IF(COUNTIF(J181:U181,"x")=0,SUMPRODUCT((Besatzung!$B$11:$B$22&lt;&gt;"")*(Besatzung!$F$11:$F$22="x")),SUMPRODUCT((J181:U181="x")*(Besatzung!$F$11:$F$22="x"))),1))))),0))))</f>
        <v/>
      </c>
      <c r="AE181" s="247">
        <f>IF(C181="Gutschrift","",IF(G181="","",IF(Besatzung!$B$20="","",IFERROR(IF(I181="Zeitanteilig",(Besatzung!$G$20*(G181-IFERROR(H181,0))+((Besatzung!$B$20&lt;&gt;"")*IF(B181="",1,(IF(Besatzung!$C$20="",Besatzung!$B$5,Besatzung!$C$20)&lt;=B181)*(IF(Besatzung!$D$20="",Besatzung!$B$6,Besatzung!$D$20)&gt;=B181)))*(Besatzung!$F$20="x")*IFERROR(H181,0)/IFERROR(SUMPRODUCT((Besatzung!$B$11:$B$22&lt;&gt;"")*(Besatzung!$F$11:$F$22="x")*(IF(Besatzung!$C$11:$C$22="",Besatzung!$B$5,Besatzung!$C$11:$C$22)&lt;=B181)*(IF(Besatzung!$D$11:$D$22="",Besatzung!$B$6,Besatzung!$D$11:$D$22)&gt;=B181)),1)),IF(I181="An Bord",(((Besatzung!$B$20&lt;&gt;"")*IF(B181="",1,(IF(Besatzung!$C$20="",Besatzung!$B$5,Besatzung!$C$20)&lt;=B181)*(IF(Besatzung!$D$20="",Besatzung!$B$6,Besatzung!$D$20)&gt;=B181)))*((G181-IFERROR(H181,0))/IFERROR(SUMPRODUCT((Besatzung!$B$11:$B$22&lt;&gt;"")*(IF(Besatzung!$C$11:$C$22="",Besatzung!$B$5,Besatzung!$C$11:$C$22)&lt;=B181)*(IF(Besatzung!$D$11:$D$22="",Besatzung!$B$6,Besatzung!$D$11:$D$22)&gt;=B181)),1)+(Besatzung!$F$20="x")*IFERROR(H181,0)/IFERROR(SUMPRODUCT((Besatzung!$B$11:$B$22&lt;&gt;"")*(Besatzung!$F$11:$F$22="x")*(IF(Besatzung!$C$11:$C$22="",Besatzung!$B$5,Besatzung!$C$11:$C$22)&lt;=B181)*(IF(Besatzung!$D$11:$D$22="",Besatzung!$B$6,Besatzung!$D$11:$D$22)&gt;=B181)),1))),IF(I181="Individuell",((S181="x")*((G181-IFERROR(H181,0))/IFERROR(COUNTIF(J181:U181,"x"),1)+(Besatzung!$F$20="x")*IFERROR(H181,0)/IFERROR(SUMPRODUCT((J181:U181="x")*(Besatzung!$F$11:$F$22="x")),1))),(IF(COUNTIF(J181:U181,"x")=0,IF(Besatzung!$B$20&lt;&gt;"",1,0),(S181="x"))*(G181-IFERROR(H181,0))/IFERROR(IF(COUNTIF(J181:U181,"x")=0,COUNTA(Besatzung!$B$11:$B$22),COUNTIF(J181:U181,"x")),1)+IF(COUNTIF(J181:U181,"x")=0,(Besatzung!$F$20="x"),(S181="x")*(Besatzung!$F$20="x"))*IFERROR(H181,0)/IFERROR(IF(COUNTIF(J181:U181,"x")=0,SUMPRODUCT((Besatzung!$B$11:$B$22&lt;&gt;"")*(Besatzung!$F$11:$F$22="x")),SUMPRODUCT((J181:U181="x")*(Besatzung!$F$11:$F$22="x"))),1))))),0))))</f>
        <v/>
      </c>
      <c r="AF181" s="247">
        <f>IF(C181="Gutschrift","",IF(G181="","",IF(Besatzung!$B$21="","",IFERROR(IF(I181="Zeitanteilig",(Besatzung!$G$21*(G181-IFERROR(H181,0))+((Besatzung!$B$21&lt;&gt;"")*IF(B181="",1,(IF(Besatzung!$C$21="",Besatzung!$B$5,Besatzung!$C$21)&lt;=B181)*(IF(Besatzung!$D$21="",Besatzung!$B$6,Besatzung!$D$21)&gt;=B181)))*(Besatzung!$F$21="x")*IFERROR(H181,0)/IFERROR(SUMPRODUCT((Besatzung!$B$11:$B$22&lt;&gt;"")*(Besatzung!$F$11:$F$22="x")*(IF(Besatzung!$C$11:$C$22="",Besatzung!$B$5,Besatzung!$C$11:$C$22)&lt;=B181)*(IF(Besatzung!$D$11:$D$22="",Besatzung!$B$6,Besatzung!$D$11:$D$22)&gt;=B181)),1)),IF(I181="An Bord",(((Besatzung!$B$21&lt;&gt;"")*IF(B181="",1,(IF(Besatzung!$C$21="",Besatzung!$B$5,Besatzung!$C$21)&lt;=B181)*(IF(Besatzung!$D$21="",Besatzung!$B$6,Besatzung!$D$21)&gt;=B181)))*((G181-IFERROR(H181,0))/IFERROR(SUMPRODUCT((Besatzung!$B$11:$B$22&lt;&gt;"")*(IF(Besatzung!$C$11:$C$22="",Besatzung!$B$5,Besatzung!$C$11:$C$22)&lt;=B181)*(IF(Besatzung!$D$11:$D$22="",Besatzung!$B$6,Besatzung!$D$11:$D$22)&gt;=B181)),1)+(Besatzung!$F$21="x")*IFERROR(H181,0)/IFERROR(SUMPRODUCT((Besatzung!$B$11:$B$22&lt;&gt;"")*(Besatzung!$F$11:$F$22="x")*(IF(Besatzung!$C$11:$C$22="",Besatzung!$B$5,Besatzung!$C$11:$C$22)&lt;=B181)*(IF(Besatzung!$D$11:$D$22="",Besatzung!$B$6,Besatzung!$D$11:$D$22)&gt;=B181)),1))),IF(I181="Individuell",((T181="x")*((G181-IFERROR(H181,0))/IFERROR(COUNTIF(J181:U181,"x"),1)+(Besatzung!$F$21="x")*IFERROR(H181,0)/IFERROR(SUMPRODUCT((J181:U181="x")*(Besatzung!$F$11:$F$22="x")),1))),(IF(COUNTIF(J181:U181,"x")=0,IF(Besatzung!$B$21&lt;&gt;"",1,0),(T181="x"))*(G181-IFERROR(H181,0))/IFERROR(IF(COUNTIF(J181:U181,"x")=0,COUNTA(Besatzung!$B$11:$B$22),COUNTIF(J181:U181,"x")),1)+IF(COUNTIF(J181:U181,"x")=0,(Besatzung!$F$21="x"),(T181="x")*(Besatzung!$F$21="x"))*IFERROR(H181,0)/IFERROR(IF(COUNTIF(J181:U181,"x")=0,SUMPRODUCT((Besatzung!$B$11:$B$22&lt;&gt;"")*(Besatzung!$F$11:$F$22="x")),SUMPRODUCT((J181:U181="x")*(Besatzung!$F$11:$F$22="x"))),1))))),0))))</f>
        <v/>
      </c>
      <c r="AG181" s="247">
        <f>IF(C181="Gutschrift","",IF(G181="","",IF(Besatzung!$B$22="","",IFERROR(IF(I181="Zeitanteilig",(Besatzung!$G$22*(G181-IFERROR(H181,0))+((Besatzung!$B$22&lt;&gt;"")*IF(B181="",1,(IF(Besatzung!$C$22="",Besatzung!$B$5,Besatzung!$C$22)&lt;=B181)*(IF(Besatzung!$D$22="",Besatzung!$B$6,Besatzung!$D$22)&gt;=B181)))*(Besatzung!$F$22="x")*IFERROR(H181,0)/IFERROR(SUMPRODUCT((Besatzung!$B$11:$B$22&lt;&gt;"")*(Besatzung!$F$11:$F$22="x")*(IF(Besatzung!$C$11:$C$22="",Besatzung!$B$5,Besatzung!$C$11:$C$22)&lt;=B181)*(IF(Besatzung!$D$11:$D$22="",Besatzung!$B$6,Besatzung!$D$11:$D$22)&gt;=B181)),1)),IF(I181="An Bord",(((Besatzung!$B$22&lt;&gt;"")*IF(B181="",1,(IF(Besatzung!$C$22="",Besatzung!$B$5,Besatzung!$C$22)&lt;=B181)*(IF(Besatzung!$D$22="",Besatzung!$B$6,Besatzung!$D$22)&gt;=B181)))*((G181-IFERROR(H181,0))/IFERROR(SUMPRODUCT((Besatzung!$B$11:$B$22&lt;&gt;"")*(IF(Besatzung!$C$11:$C$22="",Besatzung!$B$5,Besatzung!$C$11:$C$22)&lt;=B181)*(IF(Besatzung!$D$11:$D$22="",Besatzung!$B$6,Besatzung!$D$11:$D$22)&gt;=B181)),1)+(Besatzung!$F$22="x")*IFERROR(H181,0)/IFERROR(SUMPRODUCT((Besatzung!$B$11:$B$22&lt;&gt;"")*(Besatzung!$F$11:$F$22="x")*(IF(Besatzung!$C$11:$C$22="",Besatzung!$B$5,Besatzung!$C$11:$C$22)&lt;=B181)*(IF(Besatzung!$D$11:$D$22="",Besatzung!$B$6,Besatzung!$D$11:$D$22)&gt;=B181)),1))),IF(I181="Individuell",((U181="x")*((G181-IFERROR(H181,0))/IFERROR(COUNTIF(J181:U181,"x"),1)+(Besatzung!$F$22="x")*IFERROR(H181,0)/IFERROR(SUMPRODUCT((J181:U181="x")*(Besatzung!$F$11:$F$22="x")),1))),(IF(COUNTIF(J181:U181,"x")=0,IF(Besatzung!$B$22&lt;&gt;"",1,0),(U181="x"))*(G181-IFERROR(H181,0))/IFERROR(IF(COUNTIF(J181:U181,"x")=0,COUNTA(Besatzung!$B$11:$B$22),COUNTIF(J181:U181,"x")),1)+IF(COUNTIF(J181:U181,"x")=0,(Besatzung!$F$22="x"),(U181="x")*(Besatzung!$F$22="x"))*IFERROR(H181,0)/IFERROR(IF(COUNTIF(J181:U181,"x")=0,SUMPRODUCT((Besatzung!$B$11:$B$22&lt;&gt;"")*(Besatzung!$F$11:$F$22="x")),SUMPRODUCT((J181:U181="x")*(Besatzung!$F$11:$F$22="x"))),1))))),0))))</f>
        <v/>
      </c>
      <c r="AH181" s="248" t="n"/>
      <c r="AI181" s="248" t="n"/>
    </row>
    <row r="182" ht="21.75" customHeight="1" s="154">
      <c r="A182" s="238">
        <f>IF(AND(D182="",C182=""),"",179)</f>
        <v/>
      </c>
      <c r="B182" s="199" t="n"/>
      <c r="C182" s="239" t="n"/>
      <c r="D182" s="240" t="n"/>
      <c r="E182" s="241" t="n"/>
      <c r="F182" s="242" t="n"/>
      <c r="G182" s="243" t="n"/>
      <c r="H182" s="244" t="n"/>
      <c r="I182" s="245" t="n"/>
      <c r="J182" s="246" t="n"/>
      <c r="K182" s="246" t="n"/>
      <c r="L182" s="246" t="n"/>
      <c r="M182" s="246" t="n"/>
      <c r="N182" s="246" t="n"/>
      <c r="O182" s="246" t="n"/>
      <c r="P182" s="246" t="n"/>
      <c r="Q182" s="246" t="n"/>
      <c r="R182" s="246" t="n"/>
      <c r="S182" s="246" t="n"/>
      <c r="T182" s="246" t="n"/>
      <c r="U182" s="246" t="n"/>
      <c r="V182" s="247">
        <f>IF(C182="Gutschrift","",IF(G182="","",IF(Besatzung!$B$11="","",IFERROR(IF(I182="Zeitanteilig",(Besatzung!$G$11*(G182-IFERROR(H182,0))+((Besatzung!$B$11&lt;&gt;"")*IF(B182="",1,(IF(Besatzung!$C$11="",Besatzung!$B$5,Besatzung!$C$11)&lt;=B182)*(IF(Besatzung!$D$11="",Besatzung!$B$6,Besatzung!$D$11)&gt;=B182)))*(Besatzung!$F$11="x")*IFERROR(H182,0)/IFERROR(SUMPRODUCT((Besatzung!$B$11:$B$22&lt;&gt;"")*(Besatzung!$F$11:$F$22="x")*(IF(Besatzung!$C$11:$C$22="",Besatzung!$B$5,Besatzung!$C$11:$C$22)&lt;=B182)*(IF(Besatzung!$D$11:$D$22="",Besatzung!$B$6,Besatzung!$D$11:$D$22)&gt;=B182)),1)),IF(I182="An Bord",(((Besatzung!$B$11&lt;&gt;"")*IF(B182="",1,(IF(Besatzung!$C$11="",Besatzung!$B$5,Besatzung!$C$11)&lt;=B182)*(IF(Besatzung!$D$11="",Besatzung!$B$6,Besatzung!$D$11)&gt;=B182)))*((G182-IFERROR(H182,0))/IFERROR(SUMPRODUCT((Besatzung!$B$11:$B$22&lt;&gt;"")*(IF(Besatzung!$C$11:$C$22="",Besatzung!$B$5,Besatzung!$C$11:$C$22)&lt;=B182)*(IF(Besatzung!$D$11:$D$22="",Besatzung!$B$6,Besatzung!$D$11:$D$22)&gt;=B182)),1)+(Besatzung!$F$11="x")*IFERROR(H182,0)/IFERROR(SUMPRODUCT((Besatzung!$B$11:$B$22&lt;&gt;"")*(Besatzung!$F$11:$F$22="x")*(IF(Besatzung!$C$11:$C$22="",Besatzung!$B$5,Besatzung!$C$11:$C$22)&lt;=B182)*(IF(Besatzung!$D$11:$D$22="",Besatzung!$B$6,Besatzung!$D$11:$D$22)&gt;=B182)),1))),IF(I182="Individuell",((J182="x")*((G182-IFERROR(H182,0))/IFERROR(COUNTIF(J182:U182,"x"),1)+(Besatzung!$F$11="x")*IFERROR(H182,0)/IFERROR(SUMPRODUCT((J182:U182="x")*(Besatzung!$F$11:$F$22="x")),1))),(IF(COUNTIF(J182:U182,"x")=0,IF(Besatzung!$B$11&lt;&gt;"",1,0),(J182="x"))*(G182-IFERROR(H182,0))/IFERROR(IF(COUNTIF(J182:U182,"x")=0,COUNTA(Besatzung!$B$11:$B$22),COUNTIF(J182:U182,"x")),1)+IF(COUNTIF(J182:U182,"x")=0,(Besatzung!$F$11="x"),(J182="x")*(Besatzung!$F$11="x"))*IFERROR(H182,0)/IFERROR(IF(COUNTIF(J182:U182,"x")=0,SUMPRODUCT((Besatzung!$B$11:$B$22&lt;&gt;"")*(Besatzung!$F$11:$F$22="x")),SUMPRODUCT((J182:U182="x")*(Besatzung!$F$11:$F$22="x"))),1))))),0))))</f>
        <v/>
      </c>
      <c r="W182" s="247">
        <f>IF(C182="Gutschrift","",IF(G182="","",IF(Besatzung!$B$12="","",IFERROR(IF(I182="Zeitanteilig",(Besatzung!$G$12*(G182-IFERROR(H182,0))+((Besatzung!$B$12&lt;&gt;"")*IF(B182="",1,(IF(Besatzung!$C$12="",Besatzung!$B$5,Besatzung!$C$12)&lt;=B182)*(IF(Besatzung!$D$12="",Besatzung!$B$6,Besatzung!$D$12)&gt;=B182)))*(Besatzung!$F$12="x")*IFERROR(H182,0)/IFERROR(SUMPRODUCT((Besatzung!$B$11:$B$22&lt;&gt;"")*(Besatzung!$F$11:$F$22="x")*(IF(Besatzung!$C$11:$C$22="",Besatzung!$B$5,Besatzung!$C$11:$C$22)&lt;=B182)*(IF(Besatzung!$D$11:$D$22="",Besatzung!$B$6,Besatzung!$D$11:$D$22)&gt;=B182)),1)),IF(I182="An Bord",(((Besatzung!$B$12&lt;&gt;"")*IF(B182="",1,(IF(Besatzung!$C$12="",Besatzung!$B$5,Besatzung!$C$12)&lt;=B182)*(IF(Besatzung!$D$12="",Besatzung!$B$6,Besatzung!$D$12)&gt;=B182)))*((G182-IFERROR(H182,0))/IFERROR(SUMPRODUCT((Besatzung!$B$11:$B$22&lt;&gt;"")*(IF(Besatzung!$C$11:$C$22="",Besatzung!$B$5,Besatzung!$C$11:$C$22)&lt;=B182)*(IF(Besatzung!$D$11:$D$22="",Besatzung!$B$6,Besatzung!$D$11:$D$22)&gt;=B182)),1)+(Besatzung!$F$12="x")*IFERROR(H182,0)/IFERROR(SUMPRODUCT((Besatzung!$B$11:$B$22&lt;&gt;"")*(Besatzung!$F$11:$F$22="x")*(IF(Besatzung!$C$11:$C$22="",Besatzung!$B$5,Besatzung!$C$11:$C$22)&lt;=B182)*(IF(Besatzung!$D$11:$D$22="",Besatzung!$B$6,Besatzung!$D$11:$D$22)&gt;=B182)),1))),IF(I182="Individuell",((K182="x")*((G182-IFERROR(H182,0))/IFERROR(COUNTIF(J182:U182,"x"),1)+(Besatzung!$F$12="x")*IFERROR(H182,0)/IFERROR(SUMPRODUCT((J182:U182="x")*(Besatzung!$F$11:$F$22="x")),1))),(IF(COUNTIF(J182:U182,"x")=0,IF(Besatzung!$B$12&lt;&gt;"",1,0),(K182="x"))*(G182-IFERROR(H182,0))/IFERROR(IF(COUNTIF(J182:U182,"x")=0,COUNTA(Besatzung!$B$11:$B$22),COUNTIF(J182:U182,"x")),1)+IF(COUNTIF(J182:U182,"x")=0,(Besatzung!$F$12="x"),(K182="x")*(Besatzung!$F$12="x"))*IFERROR(H182,0)/IFERROR(IF(COUNTIF(J182:U182,"x")=0,SUMPRODUCT((Besatzung!$B$11:$B$22&lt;&gt;"")*(Besatzung!$F$11:$F$22="x")),SUMPRODUCT((J182:U182="x")*(Besatzung!$F$11:$F$22="x"))),1))))),0))))</f>
        <v/>
      </c>
      <c r="X182" s="247">
        <f>IF(C182="Gutschrift","",IF(G182="","",IF(Besatzung!$B$13="","",IFERROR(IF(I182="Zeitanteilig",(Besatzung!$G$13*(G182-IFERROR(H182,0))+((Besatzung!$B$13&lt;&gt;"")*IF(B182="",1,(IF(Besatzung!$C$13="",Besatzung!$B$5,Besatzung!$C$13)&lt;=B182)*(IF(Besatzung!$D$13="",Besatzung!$B$6,Besatzung!$D$13)&gt;=B182)))*(Besatzung!$F$13="x")*IFERROR(H182,0)/IFERROR(SUMPRODUCT((Besatzung!$B$11:$B$22&lt;&gt;"")*(Besatzung!$F$11:$F$22="x")*(IF(Besatzung!$C$11:$C$22="",Besatzung!$B$5,Besatzung!$C$11:$C$22)&lt;=B182)*(IF(Besatzung!$D$11:$D$22="",Besatzung!$B$6,Besatzung!$D$11:$D$22)&gt;=B182)),1)),IF(I182="An Bord",(((Besatzung!$B$13&lt;&gt;"")*IF(B182="",1,(IF(Besatzung!$C$13="",Besatzung!$B$5,Besatzung!$C$13)&lt;=B182)*(IF(Besatzung!$D$13="",Besatzung!$B$6,Besatzung!$D$13)&gt;=B182)))*((G182-IFERROR(H182,0))/IFERROR(SUMPRODUCT((Besatzung!$B$11:$B$22&lt;&gt;"")*(IF(Besatzung!$C$11:$C$22="",Besatzung!$B$5,Besatzung!$C$11:$C$22)&lt;=B182)*(IF(Besatzung!$D$11:$D$22="",Besatzung!$B$6,Besatzung!$D$11:$D$22)&gt;=B182)),1)+(Besatzung!$F$13="x")*IFERROR(H182,0)/IFERROR(SUMPRODUCT((Besatzung!$B$11:$B$22&lt;&gt;"")*(Besatzung!$F$11:$F$22="x")*(IF(Besatzung!$C$11:$C$22="",Besatzung!$B$5,Besatzung!$C$11:$C$22)&lt;=B182)*(IF(Besatzung!$D$11:$D$22="",Besatzung!$B$6,Besatzung!$D$11:$D$22)&gt;=B182)),1))),IF(I182="Individuell",((K182="x")*((G182-IFERROR(H182,0))/IFERROR(COUNTIF(J182:U182,"x"),1)+(Besatzung!$F$13="x")*IFERROR(H182,0)/IFERROR(SUMPRODUCT((J182:U182="x")*(Besatzung!$F$11:$F$22="x")),1))),(IF(COUNTIF(J182:U182,"x")=0,IF(Besatzung!$B$13&lt;&gt;"",1,0),(K182="x"))*(G182-IFERROR(H182,0))/IFERROR(IF(COUNTIF(J182:U182,"x")=0,COUNTA(Besatzung!$B$11:$B$22),COUNTIF(J182:U182,"x")),1)+IF(COUNTIF(J182:U182,"x")=0,(Besatzung!$F$13="x"),(K182="x")*(Besatzung!$F$13="x"))*IFERROR(H182,0)/IFERROR(IF(COUNTIF(J182:U182,"x")=0,SUMPRODUCT((Besatzung!$B$11:$B$22&lt;&gt;"")*(Besatzung!$F$11:$F$22="x")),SUMPRODUCT((J182:U182="x")*(Besatzung!$F$11:$F$22="x"))),1))))),0))))</f>
        <v/>
      </c>
      <c r="Y182" s="247">
        <f>IF(C182="Gutschrift","",IF(G182="","",IF(Besatzung!$B$14="","",IFERROR(IF(I182="Zeitanteilig",(Besatzung!$G$14*(G182-IFERROR(H182,0))+((Besatzung!$B$14&lt;&gt;"")*IF(B182="",1,(IF(Besatzung!$C$14="",Besatzung!$B$5,Besatzung!$C$14)&lt;=B182)*(IF(Besatzung!$D$14="",Besatzung!$B$6,Besatzung!$D$14)&gt;=B182)))*(Besatzung!$F$14="x")*IFERROR(H182,0)/IFERROR(SUMPRODUCT((Besatzung!$B$11:$B$22&lt;&gt;"")*(Besatzung!$F$11:$F$22="x")*(IF(Besatzung!$C$11:$C$22="",Besatzung!$B$5,Besatzung!$C$11:$C$22)&lt;=B182)*(IF(Besatzung!$D$11:$D$22="",Besatzung!$B$6,Besatzung!$D$11:$D$22)&gt;=B182)),1)),IF(I182="An Bord",(((Besatzung!$B$14&lt;&gt;"")*IF(B182="",1,(IF(Besatzung!$C$14="",Besatzung!$B$5,Besatzung!$C$14)&lt;=B182)*(IF(Besatzung!$D$14="",Besatzung!$B$6,Besatzung!$D$14)&gt;=B182)))*((G182-IFERROR(H182,0))/IFERROR(SUMPRODUCT((Besatzung!$B$11:$B$22&lt;&gt;"")*(IF(Besatzung!$C$11:$C$22="",Besatzung!$B$5,Besatzung!$C$11:$C$22)&lt;=B182)*(IF(Besatzung!$D$11:$D$22="",Besatzung!$B$6,Besatzung!$D$11:$D$22)&gt;=B182)),1)+(Besatzung!$F$14="x")*IFERROR(H182,0)/IFERROR(SUMPRODUCT((Besatzung!$B$11:$B$22&lt;&gt;"")*(Besatzung!$F$11:$F$22="x")*(IF(Besatzung!$C$11:$C$22="",Besatzung!$B$5,Besatzung!$C$11:$C$22)&lt;=B182)*(IF(Besatzung!$D$11:$D$22="",Besatzung!$B$6,Besatzung!$D$11:$D$22)&gt;=B182)),1))),IF(I182="Individuell",((M182="x")*((G182-IFERROR(H182,0))/IFERROR(COUNTIF(J182:U182,"x"),1)+(Besatzung!$F$14="x")*IFERROR(H182,0)/IFERROR(SUMPRODUCT((J182:U182="x")*(Besatzung!$F$11:$F$22="x")),1))),(IF(COUNTIF(J182:U182,"x")=0,IF(Besatzung!$B$14&lt;&gt;"",1,0),(M182="x"))*(G182-IFERROR(H182,0))/IFERROR(IF(COUNTIF(J182:U182,"x")=0,COUNTA(Besatzung!$B$11:$B$22),COUNTIF(J182:U182,"x")),1)+IF(COUNTIF(J182:U182,"x")=0,(Besatzung!$F$14="x"),(M182="x")*(Besatzung!$F$14="x"))*IFERROR(H182,0)/IFERROR(IF(COUNTIF(J182:U182,"x")=0,SUMPRODUCT((Besatzung!$B$11:$B$22&lt;&gt;"")*(Besatzung!$F$11:$F$22="x")),SUMPRODUCT((J182:U182="x")*(Besatzung!$F$11:$F$22="x"))),1))))),0))))</f>
        <v/>
      </c>
      <c r="Z182" s="247">
        <f>IF(C182="Gutschrift","",IF(G182="","",IF(Besatzung!$B$13="","",IFERROR(IF(I182="Zeitanteilig",(Besatzung!$G$15*(G182-IFERROR(H182,0))+((Besatzung!$B$13&lt;&gt;"")*IF(B182="",1,(IF(Besatzung!$C$15="",Besatzung!$B$5,Besatzung!$C$15)&lt;=B182)*(IF(Besatzung!$D$15="",Besatzung!$B$6,Besatzung!$D$15)&gt;=B182)))*(Besatzung!$F$15="x")*IFERROR(H182,0)/IFERROR(SUMPRODUCT((Besatzung!$B$11:$B$22&lt;&gt;"")*(Besatzung!$F$11:$F$22="x")*(IF(Besatzung!$C$11:$C$22="",Besatzung!$B$5,Besatzung!$C$11:$C$22)&lt;=B182)*(IF(Besatzung!$D$11:$D$22="",Besatzung!$B$6,Besatzung!$D$11:$D$22)&gt;=B182)),1)),IF(I182="An Bord",(((Besatzung!$B$13&lt;&gt;"")*IF(B182="",1,(IF(Besatzung!$C$15="",Besatzung!$B$5,Besatzung!$C$15)&lt;=B182)*(IF(Besatzung!$D$15="",Besatzung!$B$6,Besatzung!$D$15)&gt;=B182)))*((G182-IFERROR(H182,0))/IFERROR(SUMPRODUCT((Besatzung!$B$11:$B$22&lt;&gt;"")*(IF(Besatzung!$C$11:$C$22="",Besatzung!$B$5,Besatzung!$C$11:$C$22)&lt;=B182)*(IF(Besatzung!$D$11:$D$22="",Besatzung!$B$6,Besatzung!$D$11:$D$22)&gt;=B182)),1)+(Besatzung!$F$15="x")*IFERROR(H182,0)/IFERROR(SUMPRODUCT((Besatzung!$B$11:$B$22&lt;&gt;"")*(Besatzung!$F$11:$F$22="x")*(IF(Besatzung!$C$11:$C$22="",Besatzung!$B$5,Besatzung!$C$11:$C$22)&lt;=B182)*(IF(Besatzung!$D$11:$D$22="",Besatzung!$B$6,Besatzung!$D$11:$D$22)&gt;=B182)),1))),IF(I182="Individuell",((N182="x")*((G182-IFERROR(H182,0))/IFERROR(COUNTIF(J182:U182,"x"),1)+(Besatzung!$F$15="x")*IFERROR(H182,0)/IFERROR(SUMPRODUCT((J182:U182="x")*(Besatzung!$F$11:$F$22="x")),1))),(IF(COUNTIF(J182:U182,"x")=0,IF(Besatzung!$B$13&lt;&gt;"",1,0),(N182="x"))*(G182-IFERROR(H182,0))/IFERROR(IF(COUNTIF(J182:U182,"x")=0,COUNTA(Besatzung!$B$11:$B$22),COUNTIF(J182:U182,"x")),1)+IF(COUNTIF(J182:U182,"x")=0,(Besatzung!$F$15="x"),(N182="x")*(Besatzung!$F$15="x"))*IFERROR(H182,0)/IFERROR(IF(COUNTIF(J182:U182,"x")=0,SUMPRODUCT((Besatzung!$B$11:$B$22&lt;&gt;"")*(Besatzung!$F$11:$F$22="x")),SUMPRODUCT((J182:U182="x")*(Besatzung!$F$11:$F$22="x"))),1))))),0))))</f>
        <v/>
      </c>
      <c r="AA182" s="247">
        <f>IF(C182="Gutschrift","",IF(G182="","",IF(Besatzung!$B$15="","",IFERROR(IF(I182="Zeitanteilig",(Besatzung!$G$16*(G182-IFERROR(H182,0))+((Besatzung!$B$15&lt;&gt;"")*IF(B182="",1,(IF(Besatzung!$C$16="",Besatzung!$B$5,Besatzung!$C$16)&lt;=B182)*(IF(Besatzung!$D$16="",Besatzung!$B$6,Besatzung!$D$16)&gt;=B182)))*(Besatzung!$F$16="x")*IFERROR(H182,0)/IFERROR(SUMPRODUCT((Besatzung!$B$11:$B$22&lt;&gt;"")*(Besatzung!$F$11:$F$22="x")*(IF(Besatzung!$C$11:$C$22="",Besatzung!$B$5,Besatzung!$C$11:$C$22)&lt;=B182)*(IF(Besatzung!$D$11:$D$22="",Besatzung!$B$6,Besatzung!$D$11:$D$22)&gt;=B182)),1)),IF(I182="An Bord",(((Besatzung!$B$15&lt;&gt;"")*IF(B182="",1,(IF(Besatzung!$C$16="",Besatzung!$B$5,Besatzung!$C$16)&lt;=B182)*(IF(Besatzung!$D$16="",Besatzung!$B$6,Besatzung!$D$16)&gt;=B182)))*((G182-IFERROR(H182,0))/IFERROR(SUMPRODUCT((Besatzung!$B$11:$B$22&lt;&gt;"")*(IF(Besatzung!$C$11:$C$22="",Besatzung!$B$5,Besatzung!$C$11:$C$22)&lt;=B182)*(IF(Besatzung!$D$11:$D$22="",Besatzung!$B$6,Besatzung!$D$11:$D$22)&gt;=B182)),1)+(Besatzung!$F$16="x")*IFERROR(H182,0)/IFERROR(SUMPRODUCT((Besatzung!$B$11:$B$22&lt;&gt;"")*(Besatzung!$F$11:$F$22="x")*(IF(Besatzung!$C$11:$C$22="",Besatzung!$B$5,Besatzung!$C$11:$C$22)&lt;=B182)*(IF(Besatzung!$D$11:$D$22="",Besatzung!$B$6,Besatzung!$D$11:$D$22)&gt;=B182)),1))),IF(I182="Individuell",((O182="x")*((G182-IFERROR(H182,0))/IFERROR(COUNTIF(J182:U182,"x"),1)+(Besatzung!$F$16="x")*IFERROR(H182,0)/IFERROR(SUMPRODUCT((J182:U182="x")*(Besatzung!$F$11:$F$22="x")),1))),(IF(COUNTIF(J182:U182,"x")=0,IF(Besatzung!$B$15&lt;&gt;"",1,0),(O182="x"))*(G182-IFERROR(H182,0))/IFERROR(IF(COUNTIF(J182:U182,"x")=0,COUNTA(Besatzung!$B$11:$B$22),COUNTIF(J182:U182,"x")),1)+IF(COUNTIF(J182:U182,"x")=0,(Besatzung!$F$16="x"),(O182="x")*(Besatzung!$F$16="x"))*IFERROR(H182,0)/IFERROR(IF(COUNTIF(J182:U182,"x")=0,SUMPRODUCT((Besatzung!$B$11:$B$22&lt;&gt;"")*(Besatzung!$F$11:$F$22="x")),SUMPRODUCT((J182:U182="x")*(Besatzung!$F$11:$F$22="x"))),1))))),0))))</f>
        <v/>
      </c>
      <c r="AB182" s="247">
        <f>IF(C182="Gutschrift","",IF(G182="","",IF(Besatzung!$B$17="","",IFERROR(IF(I182="Zeitanteilig",(Besatzung!$G$17*(G182-IFERROR(H182,0))+((Besatzung!$B$17&lt;&gt;"")*IF(B182="",1,(IF(Besatzung!$C$17="",Besatzung!$B$5,Besatzung!$C$17)&lt;=B182)*(IF(Besatzung!$D$17="",Besatzung!$B$6,Besatzung!$D$17)&gt;=B182)))*(Besatzung!$F$17="x")*IFERROR(H182,0)/IFERROR(SUMPRODUCT((Besatzung!$B$11:$B$22&lt;&gt;"")*(Besatzung!$F$11:$F$22="x")*(IF(Besatzung!$C$11:$C$22="",Besatzung!$B$5,Besatzung!$C$11:$C$22)&lt;=B182)*(IF(Besatzung!$D$11:$D$22="",Besatzung!$B$6,Besatzung!$D$11:$D$22)&gt;=B182)),1)),IF(I182="An Bord",(((Besatzung!$B$17&lt;&gt;"")*IF(B182="",1,(IF(Besatzung!$C$17="",Besatzung!$B$5,Besatzung!$C$17)&lt;=B182)*(IF(Besatzung!$D$17="",Besatzung!$B$6,Besatzung!$D$17)&gt;=B182)))*((G182-IFERROR(H182,0))/IFERROR(SUMPRODUCT((Besatzung!$B$11:$B$22&lt;&gt;"")*(IF(Besatzung!$C$11:$C$22="",Besatzung!$B$5,Besatzung!$C$11:$C$22)&lt;=B182)*(IF(Besatzung!$D$11:$D$22="",Besatzung!$B$6,Besatzung!$D$11:$D$22)&gt;=B182)),1)+(Besatzung!$F$17="x")*IFERROR(H182,0)/IFERROR(SUMPRODUCT((Besatzung!$B$11:$B$22&lt;&gt;"")*(Besatzung!$F$11:$F$22="x")*(IF(Besatzung!$C$11:$C$22="",Besatzung!$B$5,Besatzung!$C$11:$C$22)&lt;=B182)*(IF(Besatzung!$D$11:$D$22="",Besatzung!$B$6,Besatzung!$D$11:$D$22)&gt;=B182)),1))),IF(I182="Individuell",((P182="x")*((G182-IFERROR(H182,0))/IFERROR(COUNTIF(J182:U182,"x"),1)+(Besatzung!$F$17="x")*IFERROR(H182,0)/IFERROR(SUMPRODUCT((J182:U182="x")*(Besatzung!$F$11:$F$22="x")),1))),(IF(COUNTIF(J182:U182,"x")=0,IF(Besatzung!$B$17&lt;&gt;"",1,0),(P182="x"))*(G182-IFERROR(H182,0))/IFERROR(IF(COUNTIF(J182:U182,"x")=0,COUNTA(Besatzung!$B$11:$B$22),COUNTIF(J182:U182,"x")),1)+IF(COUNTIF(J182:U182,"x")=0,(Besatzung!$F$17="x"),(P182="x")*(Besatzung!$F$17="x"))*IFERROR(H182,0)/IFERROR(IF(COUNTIF(J182:U182,"x")=0,SUMPRODUCT((Besatzung!$B$11:$B$22&lt;&gt;"")*(Besatzung!$F$11:$F$22="x")),SUMPRODUCT((J182:U182="x")*(Besatzung!$F$11:$F$22="x"))),1))))),0))))</f>
        <v/>
      </c>
      <c r="AC182" s="247">
        <f>IF(C182="Gutschrift","",IF(G182="","",IF(Besatzung!$B$18="","",IFERROR(IF(I182="Zeitanteilig",(Besatzung!$G$18*(G182-IFERROR(H182,0))+((Besatzung!$B$18&lt;&gt;"")*IF(B182="",1,(IF(Besatzung!$C$18="",Besatzung!$B$5,Besatzung!$C$18)&lt;=B182)*(IF(Besatzung!$D$18="",Besatzung!$B$6,Besatzung!$D$18)&gt;=B182)))*(Besatzung!$F$18="x")*IFERROR(H182,0)/IFERROR(SUMPRODUCT((Besatzung!$B$11:$B$22&lt;&gt;"")*(Besatzung!$F$11:$F$22="x")*(IF(Besatzung!$C$11:$C$22="",Besatzung!$B$5,Besatzung!$C$11:$C$22)&lt;=B182)*(IF(Besatzung!$D$11:$D$22="",Besatzung!$B$6,Besatzung!$D$11:$D$22)&gt;=B182)),1)),IF(I182="An Bord",(((Besatzung!$B$18&lt;&gt;"")*IF(B182="",1,(IF(Besatzung!$C$18="",Besatzung!$B$5,Besatzung!$C$18)&lt;=B182)*(IF(Besatzung!$D$18="",Besatzung!$B$6,Besatzung!$D$18)&gt;=B182)))*((G182-IFERROR(H182,0))/IFERROR(SUMPRODUCT((Besatzung!$B$11:$B$22&lt;&gt;"")*(IF(Besatzung!$C$11:$C$22="",Besatzung!$B$5,Besatzung!$C$11:$C$22)&lt;=B182)*(IF(Besatzung!$D$11:$D$22="",Besatzung!$B$6,Besatzung!$D$11:$D$22)&gt;=B182)),1)+(Besatzung!$F$18="x")*IFERROR(H182,0)/IFERROR(SUMPRODUCT((Besatzung!$B$11:$B$22&lt;&gt;"")*(Besatzung!$F$11:$F$22="x")*(IF(Besatzung!$C$11:$C$22="",Besatzung!$B$5,Besatzung!$C$11:$C$22)&lt;=B182)*(IF(Besatzung!$D$11:$D$22="",Besatzung!$B$6,Besatzung!$D$11:$D$22)&gt;=B182)),1))),IF(I182="Individuell",((Q182="x")*((G182-IFERROR(H182,0))/IFERROR(COUNTIF(J182:U182,"x"),1)+(Besatzung!$F$18="x")*IFERROR(H182,0)/IFERROR(SUMPRODUCT((J182:U182="x")*(Besatzung!$F$11:$F$22="x")),1))),(IF(COUNTIF(J182:U182,"x")=0,IF(Besatzung!$B$18&lt;&gt;"",1,0),(Q182="x"))*(G182-IFERROR(H182,0))/IFERROR(IF(COUNTIF(J182:U182,"x")=0,COUNTA(Besatzung!$B$11:$B$22),COUNTIF(J182:U182,"x")),1)+IF(COUNTIF(J182:U182,"x")=0,(Besatzung!$F$18="x"),(Q182="x")*(Besatzung!$F$18="x"))*IFERROR(H182,0)/IFERROR(IF(COUNTIF(J182:U182,"x")=0,SUMPRODUCT((Besatzung!$B$11:$B$22&lt;&gt;"")*(Besatzung!$F$11:$F$22="x")),SUMPRODUCT((J182:U182="x")*(Besatzung!$F$11:$F$22="x"))),1))))),0))))</f>
        <v/>
      </c>
      <c r="AD182" s="247">
        <f>IF(C182="Gutschrift","",IF(G182="","",IF(Besatzung!$B$19="","",IFERROR(IF(I182="Zeitanteilig",(Besatzung!$G$19*(G182-IFERROR(H182,0))+((Besatzung!$B$19&lt;&gt;"")*IF(B182="",1,(IF(Besatzung!$C$19="",Besatzung!$B$5,Besatzung!$C$19)&lt;=B182)*(IF(Besatzung!$D$19="",Besatzung!$B$6,Besatzung!$D$19)&gt;=B182)))*(Besatzung!$F$19="x")*IFERROR(H182,0)/IFERROR(SUMPRODUCT((Besatzung!$B$11:$B$22&lt;&gt;"")*(Besatzung!$F$11:$F$22="x")*(IF(Besatzung!$C$11:$C$22="",Besatzung!$B$5,Besatzung!$C$11:$C$22)&lt;=B182)*(IF(Besatzung!$D$11:$D$22="",Besatzung!$B$6,Besatzung!$D$11:$D$22)&gt;=B182)),1)),IF(I182="An Bord",(((Besatzung!$B$19&lt;&gt;"")*IF(B182="",1,(IF(Besatzung!$C$19="",Besatzung!$B$5,Besatzung!$C$19)&lt;=B182)*(IF(Besatzung!$D$19="",Besatzung!$B$6,Besatzung!$D$19)&gt;=B182)))*((G182-IFERROR(H182,0))/IFERROR(SUMPRODUCT((Besatzung!$B$11:$B$22&lt;&gt;"")*(IF(Besatzung!$C$11:$C$22="",Besatzung!$B$5,Besatzung!$C$11:$C$22)&lt;=B182)*(IF(Besatzung!$D$11:$D$22="",Besatzung!$B$6,Besatzung!$D$11:$D$22)&gt;=B182)),1)+(Besatzung!$F$19="x")*IFERROR(H182,0)/IFERROR(SUMPRODUCT((Besatzung!$B$11:$B$22&lt;&gt;"")*(Besatzung!$F$11:$F$22="x")*(IF(Besatzung!$C$11:$C$22="",Besatzung!$B$5,Besatzung!$C$11:$C$22)&lt;=B182)*(IF(Besatzung!$D$11:$D$22="",Besatzung!$B$6,Besatzung!$D$11:$D$22)&gt;=B182)),1))),IF(I182="Individuell",((R182="x")*((G182-IFERROR(H182,0))/IFERROR(COUNTIF(J182:U182,"x"),1)+(Besatzung!$F$19="x")*IFERROR(H182,0)/IFERROR(SUMPRODUCT((J182:U182="x")*(Besatzung!$F$11:$F$22="x")),1))),(IF(COUNTIF(J182:U182,"x")=0,IF(Besatzung!$B$19&lt;&gt;"",1,0),(R182="x"))*(G182-IFERROR(H182,0))/IFERROR(IF(COUNTIF(J182:U182,"x")=0,COUNTA(Besatzung!$B$11:$B$22),COUNTIF(J182:U182,"x")),1)+IF(COUNTIF(J182:U182,"x")=0,(Besatzung!$F$19="x"),(R182="x")*(Besatzung!$F$19="x"))*IFERROR(H182,0)/IFERROR(IF(COUNTIF(J182:U182,"x")=0,SUMPRODUCT((Besatzung!$B$11:$B$22&lt;&gt;"")*(Besatzung!$F$11:$F$22="x")),SUMPRODUCT((J182:U182="x")*(Besatzung!$F$11:$F$22="x"))),1))))),0))))</f>
        <v/>
      </c>
      <c r="AE182" s="247">
        <f>IF(C182="Gutschrift","",IF(G182="","",IF(Besatzung!$B$20="","",IFERROR(IF(I182="Zeitanteilig",(Besatzung!$G$20*(G182-IFERROR(H182,0))+((Besatzung!$B$20&lt;&gt;"")*IF(B182="",1,(IF(Besatzung!$C$20="",Besatzung!$B$5,Besatzung!$C$20)&lt;=B182)*(IF(Besatzung!$D$20="",Besatzung!$B$6,Besatzung!$D$20)&gt;=B182)))*(Besatzung!$F$20="x")*IFERROR(H182,0)/IFERROR(SUMPRODUCT((Besatzung!$B$11:$B$22&lt;&gt;"")*(Besatzung!$F$11:$F$22="x")*(IF(Besatzung!$C$11:$C$22="",Besatzung!$B$5,Besatzung!$C$11:$C$22)&lt;=B182)*(IF(Besatzung!$D$11:$D$22="",Besatzung!$B$6,Besatzung!$D$11:$D$22)&gt;=B182)),1)),IF(I182="An Bord",(((Besatzung!$B$20&lt;&gt;"")*IF(B182="",1,(IF(Besatzung!$C$20="",Besatzung!$B$5,Besatzung!$C$20)&lt;=B182)*(IF(Besatzung!$D$20="",Besatzung!$B$6,Besatzung!$D$20)&gt;=B182)))*((G182-IFERROR(H182,0))/IFERROR(SUMPRODUCT((Besatzung!$B$11:$B$22&lt;&gt;"")*(IF(Besatzung!$C$11:$C$22="",Besatzung!$B$5,Besatzung!$C$11:$C$22)&lt;=B182)*(IF(Besatzung!$D$11:$D$22="",Besatzung!$B$6,Besatzung!$D$11:$D$22)&gt;=B182)),1)+(Besatzung!$F$20="x")*IFERROR(H182,0)/IFERROR(SUMPRODUCT((Besatzung!$B$11:$B$22&lt;&gt;"")*(Besatzung!$F$11:$F$22="x")*(IF(Besatzung!$C$11:$C$22="",Besatzung!$B$5,Besatzung!$C$11:$C$22)&lt;=B182)*(IF(Besatzung!$D$11:$D$22="",Besatzung!$B$6,Besatzung!$D$11:$D$22)&gt;=B182)),1))),IF(I182="Individuell",((S182="x")*((G182-IFERROR(H182,0))/IFERROR(COUNTIF(J182:U182,"x"),1)+(Besatzung!$F$20="x")*IFERROR(H182,0)/IFERROR(SUMPRODUCT((J182:U182="x")*(Besatzung!$F$11:$F$22="x")),1))),(IF(COUNTIF(J182:U182,"x")=0,IF(Besatzung!$B$20&lt;&gt;"",1,0),(S182="x"))*(G182-IFERROR(H182,0))/IFERROR(IF(COUNTIF(J182:U182,"x")=0,COUNTA(Besatzung!$B$11:$B$22),COUNTIF(J182:U182,"x")),1)+IF(COUNTIF(J182:U182,"x")=0,(Besatzung!$F$20="x"),(S182="x")*(Besatzung!$F$20="x"))*IFERROR(H182,0)/IFERROR(IF(COUNTIF(J182:U182,"x")=0,SUMPRODUCT((Besatzung!$B$11:$B$22&lt;&gt;"")*(Besatzung!$F$11:$F$22="x")),SUMPRODUCT((J182:U182="x")*(Besatzung!$F$11:$F$22="x"))),1))))),0))))</f>
        <v/>
      </c>
      <c r="AF182" s="247">
        <f>IF(C182="Gutschrift","",IF(G182="","",IF(Besatzung!$B$21="","",IFERROR(IF(I182="Zeitanteilig",(Besatzung!$G$21*(G182-IFERROR(H182,0))+((Besatzung!$B$21&lt;&gt;"")*IF(B182="",1,(IF(Besatzung!$C$21="",Besatzung!$B$5,Besatzung!$C$21)&lt;=B182)*(IF(Besatzung!$D$21="",Besatzung!$B$6,Besatzung!$D$21)&gt;=B182)))*(Besatzung!$F$21="x")*IFERROR(H182,0)/IFERROR(SUMPRODUCT((Besatzung!$B$11:$B$22&lt;&gt;"")*(Besatzung!$F$11:$F$22="x")*(IF(Besatzung!$C$11:$C$22="",Besatzung!$B$5,Besatzung!$C$11:$C$22)&lt;=B182)*(IF(Besatzung!$D$11:$D$22="",Besatzung!$B$6,Besatzung!$D$11:$D$22)&gt;=B182)),1)),IF(I182="An Bord",(((Besatzung!$B$21&lt;&gt;"")*IF(B182="",1,(IF(Besatzung!$C$21="",Besatzung!$B$5,Besatzung!$C$21)&lt;=B182)*(IF(Besatzung!$D$21="",Besatzung!$B$6,Besatzung!$D$21)&gt;=B182)))*((G182-IFERROR(H182,0))/IFERROR(SUMPRODUCT((Besatzung!$B$11:$B$22&lt;&gt;"")*(IF(Besatzung!$C$11:$C$22="",Besatzung!$B$5,Besatzung!$C$11:$C$22)&lt;=B182)*(IF(Besatzung!$D$11:$D$22="",Besatzung!$B$6,Besatzung!$D$11:$D$22)&gt;=B182)),1)+(Besatzung!$F$21="x")*IFERROR(H182,0)/IFERROR(SUMPRODUCT((Besatzung!$B$11:$B$22&lt;&gt;"")*(Besatzung!$F$11:$F$22="x")*(IF(Besatzung!$C$11:$C$22="",Besatzung!$B$5,Besatzung!$C$11:$C$22)&lt;=B182)*(IF(Besatzung!$D$11:$D$22="",Besatzung!$B$6,Besatzung!$D$11:$D$22)&gt;=B182)),1))),IF(I182="Individuell",((T182="x")*((G182-IFERROR(H182,0))/IFERROR(COUNTIF(J182:U182,"x"),1)+(Besatzung!$F$21="x")*IFERROR(H182,0)/IFERROR(SUMPRODUCT((J182:U182="x")*(Besatzung!$F$11:$F$22="x")),1))),(IF(COUNTIF(J182:U182,"x")=0,IF(Besatzung!$B$21&lt;&gt;"",1,0),(T182="x"))*(G182-IFERROR(H182,0))/IFERROR(IF(COUNTIF(J182:U182,"x")=0,COUNTA(Besatzung!$B$11:$B$22),COUNTIF(J182:U182,"x")),1)+IF(COUNTIF(J182:U182,"x")=0,(Besatzung!$F$21="x"),(T182="x")*(Besatzung!$F$21="x"))*IFERROR(H182,0)/IFERROR(IF(COUNTIF(J182:U182,"x")=0,SUMPRODUCT((Besatzung!$B$11:$B$22&lt;&gt;"")*(Besatzung!$F$11:$F$22="x")),SUMPRODUCT((J182:U182="x")*(Besatzung!$F$11:$F$22="x"))),1))))),0))))</f>
        <v/>
      </c>
      <c r="AG182" s="247">
        <f>IF(C182="Gutschrift","",IF(G182="","",IF(Besatzung!$B$22="","",IFERROR(IF(I182="Zeitanteilig",(Besatzung!$G$22*(G182-IFERROR(H182,0))+((Besatzung!$B$22&lt;&gt;"")*IF(B182="",1,(IF(Besatzung!$C$22="",Besatzung!$B$5,Besatzung!$C$22)&lt;=B182)*(IF(Besatzung!$D$22="",Besatzung!$B$6,Besatzung!$D$22)&gt;=B182)))*(Besatzung!$F$22="x")*IFERROR(H182,0)/IFERROR(SUMPRODUCT((Besatzung!$B$11:$B$22&lt;&gt;"")*(Besatzung!$F$11:$F$22="x")*(IF(Besatzung!$C$11:$C$22="",Besatzung!$B$5,Besatzung!$C$11:$C$22)&lt;=B182)*(IF(Besatzung!$D$11:$D$22="",Besatzung!$B$6,Besatzung!$D$11:$D$22)&gt;=B182)),1)),IF(I182="An Bord",(((Besatzung!$B$22&lt;&gt;"")*IF(B182="",1,(IF(Besatzung!$C$22="",Besatzung!$B$5,Besatzung!$C$22)&lt;=B182)*(IF(Besatzung!$D$22="",Besatzung!$B$6,Besatzung!$D$22)&gt;=B182)))*((G182-IFERROR(H182,0))/IFERROR(SUMPRODUCT((Besatzung!$B$11:$B$22&lt;&gt;"")*(IF(Besatzung!$C$11:$C$22="",Besatzung!$B$5,Besatzung!$C$11:$C$22)&lt;=B182)*(IF(Besatzung!$D$11:$D$22="",Besatzung!$B$6,Besatzung!$D$11:$D$22)&gt;=B182)),1)+(Besatzung!$F$22="x")*IFERROR(H182,0)/IFERROR(SUMPRODUCT((Besatzung!$B$11:$B$22&lt;&gt;"")*(Besatzung!$F$11:$F$22="x")*(IF(Besatzung!$C$11:$C$22="",Besatzung!$B$5,Besatzung!$C$11:$C$22)&lt;=B182)*(IF(Besatzung!$D$11:$D$22="",Besatzung!$B$6,Besatzung!$D$11:$D$22)&gt;=B182)),1))),IF(I182="Individuell",((U182="x")*((G182-IFERROR(H182,0))/IFERROR(COUNTIF(J182:U182,"x"),1)+(Besatzung!$F$22="x")*IFERROR(H182,0)/IFERROR(SUMPRODUCT((J182:U182="x")*(Besatzung!$F$11:$F$22="x")),1))),(IF(COUNTIF(J182:U182,"x")=0,IF(Besatzung!$B$22&lt;&gt;"",1,0),(U182="x"))*(G182-IFERROR(H182,0))/IFERROR(IF(COUNTIF(J182:U182,"x")=0,COUNTA(Besatzung!$B$11:$B$22),COUNTIF(J182:U182,"x")),1)+IF(COUNTIF(J182:U182,"x")=0,(Besatzung!$F$22="x"),(U182="x")*(Besatzung!$F$22="x"))*IFERROR(H182,0)/IFERROR(IF(COUNTIF(J182:U182,"x")=0,SUMPRODUCT((Besatzung!$B$11:$B$22&lt;&gt;"")*(Besatzung!$F$11:$F$22="x")),SUMPRODUCT((J182:U182="x")*(Besatzung!$F$11:$F$22="x"))),1))))),0))))</f>
        <v/>
      </c>
      <c r="AH182" s="248" t="n"/>
      <c r="AI182" s="248" t="n"/>
    </row>
    <row r="183" ht="21.75" customHeight="1" s="154">
      <c r="A183" s="238">
        <f>IF(AND(D183="",C183=""),"",180)</f>
        <v/>
      </c>
      <c r="B183" s="206" t="n"/>
      <c r="C183" s="249" t="n"/>
      <c r="D183" s="250" t="n"/>
      <c r="E183" s="251" t="n"/>
      <c r="F183" s="252" t="n"/>
      <c r="G183" s="253" t="n"/>
      <c r="H183" s="254" t="n"/>
      <c r="I183" s="255" t="n"/>
      <c r="J183" s="256" t="n"/>
      <c r="K183" s="256" t="n"/>
      <c r="L183" s="256" t="n"/>
      <c r="M183" s="256" t="n"/>
      <c r="N183" s="256" t="n"/>
      <c r="O183" s="256" t="n"/>
      <c r="P183" s="256" t="n"/>
      <c r="Q183" s="256" t="n"/>
      <c r="R183" s="256" t="n"/>
      <c r="S183" s="256" t="n"/>
      <c r="T183" s="256" t="n"/>
      <c r="U183" s="256" t="n"/>
      <c r="V183" s="247">
        <f>IF(C183="Gutschrift","",IF(G183="","",IF(Besatzung!$B$11="","",IFERROR(IF(I183="Zeitanteilig",(Besatzung!$G$11*(G183-IFERROR(H183,0))+((Besatzung!$B$11&lt;&gt;"")*IF(B183="",1,(IF(Besatzung!$C$11="",Besatzung!$B$5,Besatzung!$C$11)&lt;=B183)*(IF(Besatzung!$D$11="",Besatzung!$B$6,Besatzung!$D$11)&gt;=B183)))*(Besatzung!$F$11="x")*IFERROR(H183,0)/IFERROR(SUMPRODUCT((Besatzung!$B$11:$B$22&lt;&gt;"")*(Besatzung!$F$11:$F$22="x")*(IF(Besatzung!$C$11:$C$22="",Besatzung!$B$5,Besatzung!$C$11:$C$22)&lt;=B183)*(IF(Besatzung!$D$11:$D$22="",Besatzung!$B$6,Besatzung!$D$11:$D$22)&gt;=B183)),1)),IF(I183="An Bord",(((Besatzung!$B$11&lt;&gt;"")*IF(B183="",1,(IF(Besatzung!$C$11="",Besatzung!$B$5,Besatzung!$C$11)&lt;=B183)*(IF(Besatzung!$D$11="",Besatzung!$B$6,Besatzung!$D$11)&gt;=B183)))*((G183-IFERROR(H183,0))/IFERROR(SUMPRODUCT((Besatzung!$B$11:$B$22&lt;&gt;"")*(IF(Besatzung!$C$11:$C$22="",Besatzung!$B$5,Besatzung!$C$11:$C$22)&lt;=B183)*(IF(Besatzung!$D$11:$D$22="",Besatzung!$B$6,Besatzung!$D$11:$D$22)&gt;=B183)),1)+(Besatzung!$F$11="x")*IFERROR(H183,0)/IFERROR(SUMPRODUCT((Besatzung!$B$11:$B$22&lt;&gt;"")*(Besatzung!$F$11:$F$22="x")*(IF(Besatzung!$C$11:$C$22="",Besatzung!$B$5,Besatzung!$C$11:$C$22)&lt;=B183)*(IF(Besatzung!$D$11:$D$22="",Besatzung!$B$6,Besatzung!$D$11:$D$22)&gt;=B183)),1))),IF(I183="Individuell",((J183="x")*((G183-IFERROR(H183,0))/IFERROR(COUNTIF(J183:U183,"x"),1)+(Besatzung!$F$11="x")*IFERROR(H183,0)/IFERROR(SUMPRODUCT((J183:U183="x")*(Besatzung!$F$11:$F$22="x")),1))),(IF(COUNTIF(J183:U183,"x")=0,IF(Besatzung!$B$11&lt;&gt;"",1,0),(J183="x"))*(G183-IFERROR(H183,0))/IFERROR(IF(COUNTIF(J183:U183,"x")=0,COUNTA(Besatzung!$B$11:$B$22),COUNTIF(J183:U183,"x")),1)+IF(COUNTIF(J183:U183,"x")=0,(Besatzung!$F$11="x"),(J183="x")*(Besatzung!$F$11="x"))*IFERROR(H183,0)/IFERROR(IF(COUNTIF(J183:U183,"x")=0,SUMPRODUCT((Besatzung!$B$11:$B$22&lt;&gt;"")*(Besatzung!$F$11:$F$22="x")),SUMPRODUCT((J183:U183="x")*(Besatzung!$F$11:$F$22="x"))),1))))),0))))</f>
        <v/>
      </c>
      <c r="W183" s="247">
        <f>IF(C183="Gutschrift","",IF(G183="","",IF(Besatzung!$B$12="","",IFERROR(IF(I183="Zeitanteilig",(Besatzung!$G$12*(G183-IFERROR(H183,0))+((Besatzung!$B$12&lt;&gt;"")*IF(B183="",1,(IF(Besatzung!$C$12="",Besatzung!$B$5,Besatzung!$C$12)&lt;=B183)*(IF(Besatzung!$D$12="",Besatzung!$B$6,Besatzung!$D$12)&gt;=B183)))*(Besatzung!$F$12="x")*IFERROR(H183,0)/IFERROR(SUMPRODUCT((Besatzung!$B$11:$B$22&lt;&gt;"")*(Besatzung!$F$11:$F$22="x")*(IF(Besatzung!$C$11:$C$22="",Besatzung!$B$5,Besatzung!$C$11:$C$22)&lt;=B183)*(IF(Besatzung!$D$11:$D$22="",Besatzung!$B$6,Besatzung!$D$11:$D$22)&gt;=B183)),1)),IF(I183="An Bord",(((Besatzung!$B$12&lt;&gt;"")*IF(B183="",1,(IF(Besatzung!$C$12="",Besatzung!$B$5,Besatzung!$C$12)&lt;=B183)*(IF(Besatzung!$D$12="",Besatzung!$B$6,Besatzung!$D$12)&gt;=B183)))*((G183-IFERROR(H183,0))/IFERROR(SUMPRODUCT((Besatzung!$B$11:$B$22&lt;&gt;"")*(IF(Besatzung!$C$11:$C$22="",Besatzung!$B$5,Besatzung!$C$11:$C$22)&lt;=B183)*(IF(Besatzung!$D$11:$D$22="",Besatzung!$B$6,Besatzung!$D$11:$D$22)&gt;=B183)),1)+(Besatzung!$F$12="x")*IFERROR(H183,0)/IFERROR(SUMPRODUCT((Besatzung!$B$11:$B$22&lt;&gt;"")*(Besatzung!$F$11:$F$22="x")*(IF(Besatzung!$C$11:$C$22="",Besatzung!$B$5,Besatzung!$C$11:$C$22)&lt;=B183)*(IF(Besatzung!$D$11:$D$22="",Besatzung!$B$6,Besatzung!$D$11:$D$22)&gt;=B183)),1))),IF(I183="Individuell",((K183="x")*((G183-IFERROR(H183,0))/IFERROR(COUNTIF(J183:U183,"x"),1)+(Besatzung!$F$12="x")*IFERROR(H183,0)/IFERROR(SUMPRODUCT((J183:U183="x")*(Besatzung!$F$11:$F$22="x")),1))),(IF(COUNTIF(J183:U183,"x")=0,IF(Besatzung!$B$12&lt;&gt;"",1,0),(K183="x"))*(G183-IFERROR(H183,0))/IFERROR(IF(COUNTIF(J183:U183,"x")=0,COUNTA(Besatzung!$B$11:$B$22),COUNTIF(J183:U183,"x")),1)+IF(COUNTIF(J183:U183,"x")=0,(Besatzung!$F$12="x"),(K183="x")*(Besatzung!$F$12="x"))*IFERROR(H183,0)/IFERROR(IF(COUNTIF(J183:U183,"x")=0,SUMPRODUCT((Besatzung!$B$11:$B$22&lt;&gt;"")*(Besatzung!$F$11:$F$22="x")),SUMPRODUCT((J183:U183="x")*(Besatzung!$F$11:$F$22="x"))),1))))),0))))</f>
        <v/>
      </c>
      <c r="X183" s="247">
        <f>IF(C183="Gutschrift","",IF(G183="","",IF(Besatzung!$B$13="","",IFERROR(IF(I183="Zeitanteilig",(Besatzung!$G$13*(G183-IFERROR(H183,0))+((Besatzung!$B$13&lt;&gt;"")*IF(B183="",1,(IF(Besatzung!$C$13="",Besatzung!$B$5,Besatzung!$C$13)&lt;=B183)*(IF(Besatzung!$D$13="",Besatzung!$B$6,Besatzung!$D$13)&gt;=B183)))*(Besatzung!$F$13="x")*IFERROR(H183,0)/IFERROR(SUMPRODUCT((Besatzung!$B$11:$B$22&lt;&gt;"")*(Besatzung!$F$11:$F$22="x")*(IF(Besatzung!$C$11:$C$22="",Besatzung!$B$5,Besatzung!$C$11:$C$22)&lt;=B183)*(IF(Besatzung!$D$11:$D$22="",Besatzung!$B$6,Besatzung!$D$11:$D$22)&gt;=B183)),1)),IF(I183="An Bord",(((Besatzung!$B$13&lt;&gt;"")*IF(B183="",1,(IF(Besatzung!$C$13="",Besatzung!$B$5,Besatzung!$C$13)&lt;=B183)*(IF(Besatzung!$D$13="",Besatzung!$B$6,Besatzung!$D$13)&gt;=B183)))*((G183-IFERROR(H183,0))/IFERROR(SUMPRODUCT((Besatzung!$B$11:$B$22&lt;&gt;"")*(IF(Besatzung!$C$11:$C$22="",Besatzung!$B$5,Besatzung!$C$11:$C$22)&lt;=B183)*(IF(Besatzung!$D$11:$D$22="",Besatzung!$B$6,Besatzung!$D$11:$D$22)&gt;=B183)),1)+(Besatzung!$F$13="x")*IFERROR(H183,0)/IFERROR(SUMPRODUCT((Besatzung!$B$11:$B$22&lt;&gt;"")*(Besatzung!$F$11:$F$22="x")*(IF(Besatzung!$C$11:$C$22="",Besatzung!$B$5,Besatzung!$C$11:$C$22)&lt;=B183)*(IF(Besatzung!$D$11:$D$22="",Besatzung!$B$6,Besatzung!$D$11:$D$22)&gt;=B183)),1))),IF(I183="Individuell",((K183="x")*((G183-IFERROR(H183,0))/IFERROR(COUNTIF(J183:U183,"x"),1)+(Besatzung!$F$13="x")*IFERROR(H183,0)/IFERROR(SUMPRODUCT((J183:U183="x")*(Besatzung!$F$11:$F$22="x")),1))),(IF(COUNTIF(J183:U183,"x")=0,IF(Besatzung!$B$13&lt;&gt;"",1,0),(K183="x"))*(G183-IFERROR(H183,0))/IFERROR(IF(COUNTIF(J183:U183,"x")=0,COUNTA(Besatzung!$B$11:$B$22),COUNTIF(J183:U183,"x")),1)+IF(COUNTIF(J183:U183,"x")=0,(Besatzung!$F$13="x"),(K183="x")*(Besatzung!$F$13="x"))*IFERROR(H183,0)/IFERROR(IF(COUNTIF(J183:U183,"x")=0,SUMPRODUCT((Besatzung!$B$11:$B$22&lt;&gt;"")*(Besatzung!$F$11:$F$22="x")),SUMPRODUCT((J183:U183="x")*(Besatzung!$F$11:$F$22="x"))),1))))),0))))</f>
        <v/>
      </c>
      <c r="Y183" s="247">
        <f>IF(C183="Gutschrift","",IF(G183="","",IF(Besatzung!$B$14="","",IFERROR(IF(I183="Zeitanteilig",(Besatzung!$G$14*(G183-IFERROR(H183,0))+((Besatzung!$B$14&lt;&gt;"")*IF(B183="",1,(IF(Besatzung!$C$14="",Besatzung!$B$5,Besatzung!$C$14)&lt;=B183)*(IF(Besatzung!$D$14="",Besatzung!$B$6,Besatzung!$D$14)&gt;=B183)))*(Besatzung!$F$14="x")*IFERROR(H183,0)/IFERROR(SUMPRODUCT((Besatzung!$B$11:$B$22&lt;&gt;"")*(Besatzung!$F$11:$F$22="x")*(IF(Besatzung!$C$11:$C$22="",Besatzung!$B$5,Besatzung!$C$11:$C$22)&lt;=B183)*(IF(Besatzung!$D$11:$D$22="",Besatzung!$B$6,Besatzung!$D$11:$D$22)&gt;=B183)),1)),IF(I183="An Bord",(((Besatzung!$B$14&lt;&gt;"")*IF(B183="",1,(IF(Besatzung!$C$14="",Besatzung!$B$5,Besatzung!$C$14)&lt;=B183)*(IF(Besatzung!$D$14="",Besatzung!$B$6,Besatzung!$D$14)&gt;=B183)))*((G183-IFERROR(H183,0))/IFERROR(SUMPRODUCT((Besatzung!$B$11:$B$22&lt;&gt;"")*(IF(Besatzung!$C$11:$C$22="",Besatzung!$B$5,Besatzung!$C$11:$C$22)&lt;=B183)*(IF(Besatzung!$D$11:$D$22="",Besatzung!$B$6,Besatzung!$D$11:$D$22)&gt;=B183)),1)+(Besatzung!$F$14="x")*IFERROR(H183,0)/IFERROR(SUMPRODUCT((Besatzung!$B$11:$B$22&lt;&gt;"")*(Besatzung!$F$11:$F$22="x")*(IF(Besatzung!$C$11:$C$22="",Besatzung!$B$5,Besatzung!$C$11:$C$22)&lt;=B183)*(IF(Besatzung!$D$11:$D$22="",Besatzung!$B$6,Besatzung!$D$11:$D$22)&gt;=B183)),1))),IF(I183="Individuell",((M183="x")*((G183-IFERROR(H183,0))/IFERROR(COUNTIF(J183:U183,"x"),1)+(Besatzung!$F$14="x")*IFERROR(H183,0)/IFERROR(SUMPRODUCT((J183:U183="x")*(Besatzung!$F$11:$F$22="x")),1))),(IF(COUNTIF(J183:U183,"x")=0,IF(Besatzung!$B$14&lt;&gt;"",1,0),(M183="x"))*(G183-IFERROR(H183,0))/IFERROR(IF(COUNTIF(J183:U183,"x")=0,COUNTA(Besatzung!$B$11:$B$22),COUNTIF(J183:U183,"x")),1)+IF(COUNTIF(J183:U183,"x")=0,(Besatzung!$F$14="x"),(M183="x")*(Besatzung!$F$14="x"))*IFERROR(H183,0)/IFERROR(IF(COUNTIF(J183:U183,"x")=0,SUMPRODUCT((Besatzung!$B$11:$B$22&lt;&gt;"")*(Besatzung!$F$11:$F$22="x")),SUMPRODUCT((J183:U183="x")*(Besatzung!$F$11:$F$22="x"))),1))))),0))))</f>
        <v/>
      </c>
      <c r="Z183" s="247">
        <f>IF(C183="Gutschrift","",IF(G183="","",IF(Besatzung!$B$13="","",IFERROR(IF(I183="Zeitanteilig",(Besatzung!$G$15*(G183-IFERROR(H183,0))+((Besatzung!$B$13&lt;&gt;"")*IF(B183="",1,(IF(Besatzung!$C$15="",Besatzung!$B$5,Besatzung!$C$15)&lt;=B183)*(IF(Besatzung!$D$15="",Besatzung!$B$6,Besatzung!$D$15)&gt;=B183)))*(Besatzung!$F$15="x")*IFERROR(H183,0)/IFERROR(SUMPRODUCT((Besatzung!$B$11:$B$22&lt;&gt;"")*(Besatzung!$F$11:$F$22="x")*(IF(Besatzung!$C$11:$C$22="",Besatzung!$B$5,Besatzung!$C$11:$C$22)&lt;=B183)*(IF(Besatzung!$D$11:$D$22="",Besatzung!$B$6,Besatzung!$D$11:$D$22)&gt;=B183)),1)),IF(I183="An Bord",(((Besatzung!$B$13&lt;&gt;"")*IF(B183="",1,(IF(Besatzung!$C$15="",Besatzung!$B$5,Besatzung!$C$15)&lt;=B183)*(IF(Besatzung!$D$15="",Besatzung!$B$6,Besatzung!$D$15)&gt;=B183)))*((G183-IFERROR(H183,0))/IFERROR(SUMPRODUCT((Besatzung!$B$11:$B$22&lt;&gt;"")*(IF(Besatzung!$C$11:$C$22="",Besatzung!$B$5,Besatzung!$C$11:$C$22)&lt;=B183)*(IF(Besatzung!$D$11:$D$22="",Besatzung!$B$6,Besatzung!$D$11:$D$22)&gt;=B183)),1)+(Besatzung!$F$15="x")*IFERROR(H183,0)/IFERROR(SUMPRODUCT((Besatzung!$B$11:$B$22&lt;&gt;"")*(Besatzung!$F$11:$F$22="x")*(IF(Besatzung!$C$11:$C$22="",Besatzung!$B$5,Besatzung!$C$11:$C$22)&lt;=B183)*(IF(Besatzung!$D$11:$D$22="",Besatzung!$B$6,Besatzung!$D$11:$D$22)&gt;=B183)),1))),IF(I183="Individuell",((N183="x")*((G183-IFERROR(H183,0))/IFERROR(COUNTIF(J183:U183,"x"),1)+(Besatzung!$F$15="x")*IFERROR(H183,0)/IFERROR(SUMPRODUCT((J183:U183="x")*(Besatzung!$F$11:$F$22="x")),1))),(IF(COUNTIF(J183:U183,"x")=0,IF(Besatzung!$B$13&lt;&gt;"",1,0),(N183="x"))*(G183-IFERROR(H183,0))/IFERROR(IF(COUNTIF(J183:U183,"x")=0,COUNTA(Besatzung!$B$11:$B$22),COUNTIF(J183:U183,"x")),1)+IF(COUNTIF(J183:U183,"x")=0,(Besatzung!$F$15="x"),(N183="x")*(Besatzung!$F$15="x"))*IFERROR(H183,0)/IFERROR(IF(COUNTIF(J183:U183,"x")=0,SUMPRODUCT((Besatzung!$B$11:$B$22&lt;&gt;"")*(Besatzung!$F$11:$F$22="x")),SUMPRODUCT((J183:U183="x")*(Besatzung!$F$11:$F$22="x"))),1))))),0))))</f>
        <v/>
      </c>
      <c r="AA183" s="247">
        <f>IF(C183="Gutschrift","",IF(G183="","",IF(Besatzung!$B$15="","",IFERROR(IF(I183="Zeitanteilig",(Besatzung!$G$16*(G183-IFERROR(H183,0))+((Besatzung!$B$15&lt;&gt;"")*IF(B183="",1,(IF(Besatzung!$C$16="",Besatzung!$B$5,Besatzung!$C$16)&lt;=B183)*(IF(Besatzung!$D$16="",Besatzung!$B$6,Besatzung!$D$16)&gt;=B183)))*(Besatzung!$F$16="x")*IFERROR(H183,0)/IFERROR(SUMPRODUCT((Besatzung!$B$11:$B$22&lt;&gt;"")*(Besatzung!$F$11:$F$22="x")*(IF(Besatzung!$C$11:$C$22="",Besatzung!$B$5,Besatzung!$C$11:$C$22)&lt;=B183)*(IF(Besatzung!$D$11:$D$22="",Besatzung!$B$6,Besatzung!$D$11:$D$22)&gt;=B183)),1)),IF(I183="An Bord",(((Besatzung!$B$15&lt;&gt;"")*IF(B183="",1,(IF(Besatzung!$C$16="",Besatzung!$B$5,Besatzung!$C$16)&lt;=B183)*(IF(Besatzung!$D$16="",Besatzung!$B$6,Besatzung!$D$16)&gt;=B183)))*((G183-IFERROR(H183,0))/IFERROR(SUMPRODUCT((Besatzung!$B$11:$B$22&lt;&gt;"")*(IF(Besatzung!$C$11:$C$22="",Besatzung!$B$5,Besatzung!$C$11:$C$22)&lt;=B183)*(IF(Besatzung!$D$11:$D$22="",Besatzung!$B$6,Besatzung!$D$11:$D$22)&gt;=B183)),1)+(Besatzung!$F$16="x")*IFERROR(H183,0)/IFERROR(SUMPRODUCT((Besatzung!$B$11:$B$22&lt;&gt;"")*(Besatzung!$F$11:$F$22="x")*(IF(Besatzung!$C$11:$C$22="",Besatzung!$B$5,Besatzung!$C$11:$C$22)&lt;=B183)*(IF(Besatzung!$D$11:$D$22="",Besatzung!$B$6,Besatzung!$D$11:$D$22)&gt;=B183)),1))),IF(I183="Individuell",((O183="x")*((G183-IFERROR(H183,0))/IFERROR(COUNTIF(J183:U183,"x"),1)+(Besatzung!$F$16="x")*IFERROR(H183,0)/IFERROR(SUMPRODUCT((J183:U183="x")*(Besatzung!$F$11:$F$22="x")),1))),(IF(COUNTIF(J183:U183,"x")=0,IF(Besatzung!$B$15&lt;&gt;"",1,0),(O183="x"))*(G183-IFERROR(H183,0))/IFERROR(IF(COUNTIF(J183:U183,"x")=0,COUNTA(Besatzung!$B$11:$B$22),COUNTIF(J183:U183,"x")),1)+IF(COUNTIF(J183:U183,"x")=0,(Besatzung!$F$16="x"),(O183="x")*(Besatzung!$F$16="x"))*IFERROR(H183,0)/IFERROR(IF(COUNTIF(J183:U183,"x")=0,SUMPRODUCT((Besatzung!$B$11:$B$22&lt;&gt;"")*(Besatzung!$F$11:$F$22="x")),SUMPRODUCT((J183:U183="x")*(Besatzung!$F$11:$F$22="x"))),1))))),0))))</f>
        <v/>
      </c>
      <c r="AB183" s="247">
        <f>IF(C183="Gutschrift","",IF(G183="","",IF(Besatzung!$B$17="","",IFERROR(IF(I183="Zeitanteilig",(Besatzung!$G$17*(G183-IFERROR(H183,0))+((Besatzung!$B$17&lt;&gt;"")*IF(B183="",1,(IF(Besatzung!$C$17="",Besatzung!$B$5,Besatzung!$C$17)&lt;=B183)*(IF(Besatzung!$D$17="",Besatzung!$B$6,Besatzung!$D$17)&gt;=B183)))*(Besatzung!$F$17="x")*IFERROR(H183,0)/IFERROR(SUMPRODUCT((Besatzung!$B$11:$B$22&lt;&gt;"")*(Besatzung!$F$11:$F$22="x")*(IF(Besatzung!$C$11:$C$22="",Besatzung!$B$5,Besatzung!$C$11:$C$22)&lt;=B183)*(IF(Besatzung!$D$11:$D$22="",Besatzung!$B$6,Besatzung!$D$11:$D$22)&gt;=B183)),1)),IF(I183="An Bord",(((Besatzung!$B$17&lt;&gt;"")*IF(B183="",1,(IF(Besatzung!$C$17="",Besatzung!$B$5,Besatzung!$C$17)&lt;=B183)*(IF(Besatzung!$D$17="",Besatzung!$B$6,Besatzung!$D$17)&gt;=B183)))*((G183-IFERROR(H183,0))/IFERROR(SUMPRODUCT((Besatzung!$B$11:$B$22&lt;&gt;"")*(IF(Besatzung!$C$11:$C$22="",Besatzung!$B$5,Besatzung!$C$11:$C$22)&lt;=B183)*(IF(Besatzung!$D$11:$D$22="",Besatzung!$B$6,Besatzung!$D$11:$D$22)&gt;=B183)),1)+(Besatzung!$F$17="x")*IFERROR(H183,0)/IFERROR(SUMPRODUCT((Besatzung!$B$11:$B$22&lt;&gt;"")*(Besatzung!$F$11:$F$22="x")*(IF(Besatzung!$C$11:$C$22="",Besatzung!$B$5,Besatzung!$C$11:$C$22)&lt;=B183)*(IF(Besatzung!$D$11:$D$22="",Besatzung!$B$6,Besatzung!$D$11:$D$22)&gt;=B183)),1))),IF(I183="Individuell",((P183="x")*((G183-IFERROR(H183,0))/IFERROR(COUNTIF(J183:U183,"x"),1)+(Besatzung!$F$17="x")*IFERROR(H183,0)/IFERROR(SUMPRODUCT((J183:U183="x")*(Besatzung!$F$11:$F$22="x")),1))),(IF(COUNTIF(J183:U183,"x")=0,IF(Besatzung!$B$17&lt;&gt;"",1,0),(P183="x"))*(G183-IFERROR(H183,0))/IFERROR(IF(COUNTIF(J183:U183,"x")=0,COUNTA(Besatzung!$B$11:$B$22),COUNTIF(J183:U183,"x")),1)+IF(COUNTIF(J183:U183,"x")=0,(Besatzung!$F$17="x"),(P183="x")*(Besatzung!$F$17="x"))*IFERROR(H183,0)/IFERROR(IF(COUNTIF(J183:U183,"x")=0,SUMPRODUCT((Besatzung!$B$11:$B$22&lt;&gt;"")*(Besatzung!$F$11:$F$22="x")),SUMPRODUCT((J183:U183="x")*(Besatzung!$F$11:$F$22="x"))),1))))),0))))</f>
        <v/>
      </c>
      <c r="AC183" s="247">
        <f>IF(C183="Gutschrift","",IF(G183="","",IF(Besatzung!$B$18="","",IFERROR(IF(I183="Zeitanteilig",(Besatzung!$G$18*(G183-IFERROR(H183,0))+((Besatzung!$B$18&lt;&gt;"")*IF(B183="",1,(IF(Besatzung!$C$18="",Besatzung!$B$5,Besatzung!$C$18)&lt;=B183)*(IF(Besatzung!$D$18="",Besatzung!$B$6,Besatzung!$D$18)&gt;=B183)))*(Besatzung!$F$18="x")*IFERROR(H183,0)/IFERROR(SUMPRODUCT((Besatzung!$B$11:$B$22&lt;&gt;"")*(Besatzung!$F$11:$F$22="x")*(IF(Besatzung!$C$11:$C$22="",Besatzung!$B$5,Besatzung!$C$11:$C$22)&lt;=B183)*(IF(Besatzung!$D$11:$D$22="",Besatzung!$B$6,Besatzung!$D$11:$D$22)&gt;=B183)),1)),IF(I183="An Bord",(((Besatzung!$B$18&lt;&gt;"")*IF(B183="",1,(IF(Besatzung!$C$18="",Besatzung!$B$5,Besatzung!$C$18)&lt;=B183)*(IF(Besatzung!$D$18="",Besatzung!$B$6,Besatzung!$D$18)&gt;=B183)))*((G183-IFERROR(H183,0))/IFERROR(SUMPRODUCT((Besatzung!$B$11:$B$22&lt;&gt;"")*(IF(Besatzung!$C$11:$C$22="",Besatzung!$B$5,Besatzung!$C$11:$C$22)&lt;=B183)*(IF(Besatzung!$D$11:$D$22="",Besatzung!$B$6,Besatzung!$D$11:$D$22)&gt;=B183)),1)+(Besatzung!$F$18="x")*IFERROR(H183,0)/IFERROR(SUMPRODUCT((Besatzung!$B$11:$B$22&lt;&gt;"")*(Besatzung!$F$11:$F$22="x")*(IF(Besatzung!$C$11:$C$22="",Besatzung!$B$5,Besatzung!$C$11:$C$22)&lt;=B183)*(IF(Besatzung!$D$11:$D$22="",Besatzung!$B$6,Besatzung!$D$11:$D$22)&gt;=B183)),1))),IF(I183="Individuell",((Q183="x")*((G183-IFERROR(H183,0))/IFERROR(COUNTIF(J183:U183,"x"),1)+(Besatzung!$F$18="x")*IFERROR(H183,0)/IFERROR(SUMPRODUCT((J183:U183="x")*(Besatzung!$F$11:$F$22="x")),1))),(IF(COUNTIF(J183:U183,"x")=0,IF(Besatzung!$B$18&lt;&gt;"",1,0),(Q183="x"))*(G183-IFERROR(H183,0))/IFERROR(IF(COUNTIF(J183:U183,"x")=0,COUNTA(Besatzung!$B$11:$B$22),COUNTIF(J183:U183,"x")),1)+IF(COUNTIF(J183:U183,"x")=0,(Besatzung!$F$18="x"),(Q183="x")*(Besatzung!$F$18="x"))*IFERROR(H183,0)/IFERROR(IF(COUNTIF(J183:U183,"x")=0,SUMPRODUCT((Besatzung!$B$11:$B$22&lt;&gt;"")*(Besatzung!$F$11:$F$22="x")),SUMPRODUCT((J183:U183="x")*(Besatzung!$F$11:$F$22="x"))),1))))),0))))</f>
        <v/>
      </c>
      <c r="AD183" s="247">
        <f>IF(C183="Gutschrift","",IF(G183="","",IF(Besatzung!$B$19="","",IFERROR(IF(I183="Zeitanteilig",(Besatzung!$G$19*(G183-IFERROR(H183,0))+((Besatzung!$B$19&lt;&gt;"")*IF(B183="",1,(IF(Besatzung!$C$19="",Besatzung!$B$5,Besatzung!$C$19)&lt;=B183)*(IF(Besatzung!$D$19="",Besatzung!$B$6,Besatzung!$D$19)&gt;=B183)))*(Besatzung!$F$19="x")*IFERROR(H183,0)/IFERROR(SUMPRODUCT((Besatzung!$B$11:$B$22&lt;&gt;"")*(Besatzung!$F$11:$F$22="x")*(IF(Besatzung!$C$11:$C$22="",Besatzung!$B$5,Besatzung!$C$11:$C$22)&lt;=B183)*(IF(Besatzung!$D$11:$D$22="",Besatzung!$B$6,Besatzung!$D$11:$D$22)&gt;=B183)),1)),IF(I183="An Bord",(((Besatzung!$B$19&lt;&gt;"")*IF(B183="",1,(IF(Besatzung!$C$19="",Besatzung!$B$5,Besatzung!$C$19)&lt;=B183)*(IF(Besatzung!$D$19="",Besatzung!$B$6,Besatzung!$D$19)&gt;=B183)))*((G183-IFERROR(H183,0))/IFERROR(SUMPRODUCT((Besatzung!$B$11:$B$22&lt;&gt;"")*(IF(Besatzung!$C$11:$C$22="",Besatzung!$B$5,Besatzung!$C$11:$C$22)&lt;=B183)*(IF(Besatzung!$D$11:$D$22="",Besatzung!$B$6,Besatzung!$D$11:$D$22)&gt;=B183)),1)+(Besatzung!$F$19="x")*IFERROR(H183,0)/IFERROR(SUMPRODUCT((Besatzung!$B$11:$B$22&lt;&gt;"")*(Besatzung!$F$11:$F$22="x")*(IF(Besatzung!$C$11:$C$22="",Besatzung!$B$5,Besatzung!$C$11:$C$22)&lt;=B183)*(IF(Besatzung!$D$11:$D$22="",Besatzung!$B$6,Besatzung!$D$11:$D$22)&gt;=B183)),1))),IF(I183="Individuell",((R183="x")*((G183-IFERROR(H183,0))/IFERROR(COUNTIF(J183:U183,"x"),1)+(Besatzung!$F$19="x")*IFERROR(H183,0)/IFERROR(SUMPRODUCT((J183:U183="x")*(Besatzung!$F$11:$F$22="x")),1))),(IF(COUNTIF(J183:U183,"x")=0,IF(Besatzung!$B$19&lt;&gt;"",1,0),(R183="x"))*(G183-IFERROR(H183,0))/IFERROR(IF(COUNTIF(J183:U183,"x")=0,COUNTA(Besatzung!$B$11:$B$22),COUNTIF(J183:U183,"x")),1)+IF(COUNTIF(J183:U183,"x")=0,(Besatzung!$F$19="x"),(R183="x")*(Besatzung!$F$19="x"))*IFERROR(H183,0)/IFERROR(IF(COUNTIF(J183:U183,"x")=0,SUMPRODUCT((Besatzung!$B$11:$B$22&lt;&gt;"")*(Besatzung!$F$11:$F$22="x")),SUMPRODUCT((J183:U183="x")*(Besatzung!$F$11:$F$22="x"))),1))))),0))))</f>
        <v/>
      </c>
      <c r="AE183" s="247">
        <f>IF(C183="Gutschrift","",IF(G183="","",IF(Besatzung!$B$20="","",IFERROR(IF(I183="Zeitanteilig",(Besatzung!$G$20*(G183-IFERROR(H183,0))+((Besatzung!$B$20&lt;&gt;"")*IF(B183="",1,(IF(Besatzung!$C$20="",Besatzung!$B$5,Besatzung!$C$20)&lt;=B183)*(IF(Besatzung!$D$20="",Besatzung!$B$6,Besatzung!$D$20)&gt;=B183)))*(Besatzung!$F$20="x")*IFERROR(H183,0)/IFERROR(SUMPRODUCT((Besatzung!$B$11:$B$22&lt;&gt;"")*(Besatzung!$F$11:$F$22="x")*(IF(Besatzung!$C$11:$C$22="",Besatzung!$B$5,Besatzung!$C$11:$C$22)&lt;=B183)*(IF(Besatzung!$D$11:$D$22="",Besatzung!$B$6,Besatzung!$D$11:$D$22)&gt;=B183)),1)),IF(I183="An Bord",(((Besatzung!$B$20&lt;&gt;"")*IF(B183="",1,(IF(Besatzung!$C$20="",Besatzung!$B$5,Besatzung!$C$20)&lt;=B183)*(IF(Besatzung!$D$20="",Besatzung!$B$6,Besatzung!$D$20)&gt;=B183)))*((G183-IFERROR(H183,0))/IFERROR(SUMPRODUCT((Besatzung!$B$11:$B$22&lt;&gt;"")*(IF(Besatzung!$C$11:$C$22="",Besatzung!$B$5,Besatzung!$C$11:$C$22)&lt;=B183)*(IF(Besatzung!$D$11:$D$22="",Besatzung!$B$6,Besatzung!$D$11:$D$22)&gt;=B183)),1)+(Besatzung!$F$20="x")*IFERROR(H183,0)/IFERROR(SUMPRODUCT((Besatzung!$B$11:$B$22&lt;&gt;"")*(Besatzung!$F$11:$F$22="x")*(IF(Besatzung!$C$11:$C$22="",Besatzung!$B$5,Besatzung!$C$11:$C$22)&lt;=B183)*(IF(Besatzung!$D$11:$D$22="",Besatzung!$B$6,Besatzung!$D$11:$D$22)&gt;=B183)),1))),IF(I183="Individuell",((S183="x")*((G183-IFERROR(H183,0))/IFERROR(COUNTIF(J183:U183,"x"),1)+(Besatzung!$F$20="x")*IFERROR(H183,0)/IFERROR(SUMPRODUCT((J183:U183="x")*(Besatzung!$F$11:$F$22="x")),1))),(IF(COUNTIF(J183:U183,"x")=0,IF(Besatzung!$B$20&lt;&gt;"",1,0),(S183="x"))*(G183-IFERROR(H183,0))/IFERROR(IF(COUNTIF(J183:U183,"x")=0,COUNTA(Besatzung!$B$11:$B$22),COUNTIF(J183:U183,"x")),1)+IF(COUNTIF(J183:U183,"x")=0,(Besatzung!$F$20="x"),(S183="x")*(Besatzung!$F$20="x"))*IFERROR(H183,0)/IFERROR(IF(COUNTIF(J183:U183,"x")=0,SUMPRODUCT((Besatzung!$B$11:$B$22&lt;&gt;"")*(Besatzung!$F$11:$F$22="x")),SUMPRODUCT((J183:U183="x")*(Besatzung!$F$11:$F$22="x"))),1))))),0))))</f>
        <v/>
      </c>
      <c r="AF183" s="247">
        <f>IF(C183="Gutschrift","",IF(G183="","",IF(Besatzung!$B$21="","",IFERROR(IF(I183="Zeitanteilig",(Besatzung!$G$21*(G183-IFERROR(H183,0))+((Besatzung!$B$21&lt;&gt;"")*IF(B183="",1,(IF(Besatzung!$C$21="",Besatzung!$B$5,Besatzung!$C$21)&lt;=B183)*(IF(Besatzung!$D$21="",Besatzung!$B$6,Besatzung!$D$21)&gt;=B183)))*(Besatzung!$F$21="x")*IFERROR(H183,0)/IFERROR(SUMPRODUCT((Besatzung!$B$11:$B$22&lt;&gt;"")*(Besatzung!$F$11:$F$22="x")*(IF(Besatzung!$C$11:$C$22="",Besatzung!$B$5,Besatzung!$C$11:$C$22)&lt;=B183)*(IF(Besatzung!$D$11:$D$22="",Besatzung!$B$6,Besatzung!$D$11:$D$22)&gt;=B183)),1)),IF(I183="An Bord",(((Besatzung!$B$21&lt;&gt;"")*IF(B183="",1,(IF(Besatzung!$C$21="",Besatzung!$B$5,Besatzung!$C$21)&lt;=B183)*(IF(Besatzung!$D$21="",Besatzung!$B$6,Besatzung!$D$21)&gt;=B183)))*((G183-IFERROR(H183,0))/IFERROR(SUMPRODUCT((Besatzung!$B$11:$B$22&lt;&gt;"")*(IF(Besatzung!$C$11:$C$22="",Besatzung!$B$5,Besatzung!$C$11:$C$22)&lt;=B183)*(IF(Besatzung!$D$11:$D$22="",Besatzung!$B$6,Besatzung!$D$11:$D$22)&gt;=B183)),1)+(Besatzung!$F$21="x")*IFERROR(H183,0)/IFERROR(SUMPRODUCT((Besatzung!$B$11:$B$22&lt;&gt;"")*(Besatzung!$F$11:$F$22="x")*(IF(Besatzung!$C$11:$C$22="",Besatzung!$B$5,Besatzung!$C$11:$C$22)&lt;=B183)*(IF(Besatzung!$D$11:$D$22="",Besatzung!$B$6,Besatzung!$D$11:$D$22)&gt;=B183)),1))),IF(I183="Individuell",((T183="x")*((G183-IFERROR(H183,0))/IFERROR(COUNTIF(J183:U183,"x"),1)+(Besatzung!$F$21="x")*IFERROR(H183,0)/IFERROR(SUMPRODUCT((J183:U183="x")*(Besatzung!$F$11:$F$22="x")),1))),(IF(COUNTIF(J183:U183,"x")=0,IF(Besatzung!$B$21&lt;&gt;"",1,0),(T183="x"))*(G183-IFERROR(H183,0))/IFERROR(IF(COUNTIF(J183:U183,"x")=0,COUNTA(Besatzung!$B$11:$B$22),COUNTIF(J183:U183,"x")),1)+IF(COUNTIF(J183:U183,"x")=0,(Besatzung!$F$21="x"),(T183="x")*(Besatzung!$F$21="x"))*IFERROR(H183,0)/IFERROR(IF(COUNTIF(J183:U183,"x")=0,SUMPRODUCT((Besatzung!$B$11:$B$22&lt;&gt;"")*(Besatzung!$F$11:$F$22="x")),SUMPRODUCT((J183:U183="x")*(Besatzung!$F$11:$F$22="x"))),1))))),0))))</f>
        <v/>
      </c>
      <c r="AG183" s="247">
        <f>IF(C183="Gutschrift","",IF(G183="","",IF(Besatzung!$B$22="","",IFERROR(IF(I183="Zeitanteilig",(Besatzung!$G$22*(G183-IFERROR(H183,0))+((Besatzung!$B$22&lt;&gt;"")*IF(B183="",1,(IF(Besatzung!$C$22="",Besatzung!$B$5,Besatzung!$C$22)&lt;=B183)*(IF(Besatzung!$D$22="",Besatzung!$B$6,Besatzung!$D$22)&gt;=B183)))*(Besatzung!$F$22="x")*IFERROR(H183,0)/IFERROR(SUMPRODUCT((Besatzung!$B$11:$B$22&lt;&gt;"")*(Besatzung!$F$11:$F$22="x")*(IF(Besatzung!$C$11:$C$22="",Besatzung!$B$5,Besatzung!$C$11:$C$22)&lt;=B183)*(IF(Besatzung!$D$11:$D$22="",Besatzung!$B$6,Besatzung!$D$11:$D$22)&gt;=B183)),1)),IF(I183="An Bord",(((Besatzung!$B$22&lt;&gt;"")*IF(B183="",1,(IF(Besatzung!$C$22="",Besatzung!$B$5,Besatzung!$C$22)&lt;=B183)*(IF(Besatzung!$D$22="",Besatzung!$B$6,Besatzung!$D$22)&gt;=B183)))*((G183-IFERROR(H183,0))/IFERROR(SUMPRODUCT((Besatzung!$B$11:$B$22&lt;&gt;"")*(IF(Besatzung!$C$11:$C$22="",Besatzung!$B$5,Besatzung!$C$11:$C$22)&lt;=B183)*(IF(Besatzung!$D$11:$D$22="",Besatzung!$B$6,Besatzung!$D$11:$D$22)&gt;=B183)),1)+(Besatzung!$F$22="x")*IFERROR(H183,0)/IFERROR(SUMPRODUCT((Besatzung!$B$11:$B$22&lt;&gt;"")*(Besatzung!$F$11:$F$22="x")*(IF(Besatzung!$C$11:$C$22="",Besatzung!$B$5,Besatzung!$C$11:$C$22)&lt;=B183)*(IF(Besatzung!$D$11:$D$22="",Besatzung!$B$6,Besatzung!$D$11:$D$22)&gt;=B183)),1))),IF(I183="Individuell",((U183="x")*((G183-IFERROR(H183,0))/IFERROR(COUNTIF(J183:U183,"x"),1)+(Besatzung!$F$22="x")*IFERROR(H183,0)/IFERROR(SUMPRODUCT((J183:U183="x")*(Besatzung!$F$11:$F$22="x")),1))),(IF(COUNTIF(J183:U183,"x")=0,IF(Besatzung!$B$22&lt;&gt;"",1,0),(U183="x"))*(G183-IFERROR(H183,0))/IFERROR(IF(COUNTIF(J183:U183,"x")=0,COUNTA(Besatzung!$B$11:$B$22),COUNTIF(J183:U183,"x")),1)+IF(COUNTIF(J183:U183,"x")=0,(Besatzung!$F$22="x"),(U183="x")*(Besatzung!$F$22="x"))*IFERROR(H183,0)/IFERROR(IF(COUNTIF(J183:U183,"x")=0,SUMPRODUCT((Besatzung!$B$11:$B$22&lt;&gt;"")*(Besatzung!$F$11:$F$22="x")),SUMPRODUCT((J183:U183="x")*(Besatzung!$F$11:$F$22="x"))),1))))),0))))</f>
        <v/>
      </c>
      <c r="AH183" s="248" t="n"/>
      <c r="AI183" s="248" t="n"/>
    </row>
    <row r="184" ht="21.75" customHeight="1" s="154">
      <c r="A184" s="238">
        <f>IF(AND(D184="",C184=""),"",181)</f>
        <v/>
      </c>
      <c r="B184" s="199" t="n"/>
      <c r="C184" s="239" t="n"/>
      <c r="D184" s="240" t="n"/>
      <c r="E184" s="241" t="n"/>
      <c r="F184" s="242" t="n"/>
      <c r="G184" s="243" t="n"/>
      <c r="H184" s="244" t="n"/>
      <c r="I184" s="245" t="n"/>
      <c r="J184" s="246" t="n"/>
      <c r="K184" s="246" t="n"/>
      <c r="L184" s="246" t="n"/>
      <c r="M184" s="246" t="n"/>
      <c r="N184" s="246" t="n"/>
      <c r="O184" s="246" t="n"/>
      <c r="P184" s="246" t="n"/>
      <c r="Q184" s="246" t="n"/>
      <c r="R184" s="246" t="n"/>
      <c r="S184" s="246" t="n"/>
      <c r="T184" s="246" t="n"/>
      <c r="U184" s="246" t="n"/>
      <c r="V184" s="247">
        <f>IF(C184="Gutschrift","",IF(G184="","",IF(Besatzung!$B$11="","",IFERROR(IF(I184="Zeitanteilig",(Besatzung!$G$11*(G184-IFERROR(H184,0))+((Besatzung!$B$11&lt;&gt;"")*IF(B184="",1,(IF(Besatzung!$C$11="",Besatzung!$B$5,Besatzung!$C$11)&lt;=B184)*(IF(Besatzung!$D$11="",Besatzung!$B$6,Besatzung!$D$11)&gt;=B184)))*(Besatzung!$F$11="x")*IFERROR(H184,0)/IFERROR(SUMPRODUCT((Besatzung!$B$11:$B$22&lt;&gt;"")*(Besatzung!$F$11:$F$22="x")*(IF(Besatzung!$C$11:$C$22="",Besatzung!$B$5,Besatzung!$C$11:$C$22)&lt;=B184)*(IF(Besatzung!$D$11:$D$22="",Besatzung!$B$6,Besatzung!$D$11:$D$22)&gt;=B184)),1)),IF(I184="An Bord",(((Besatzung!$B$11&lt;&gt;"")*IF(B184="",1,(IF(Besatzung!$C$11="",Besatzung!$B$5,Besatzung!$C$11)&lt;=B184)*(IF(Besatzung!$D$11="",Besatzung!$B$6,Besatzung!$D$11)&gt;=B184)))*((G184-IFERROR(H184,0))/IFERROR(SUMPRODUCT((Besatzung!$B$11:$B$22&lt;&gt;"")*(IF(Besatzung!$C$11:$C$22="",Besatzung!$B$5,Besatzung!$C$11:$C$22)&lt;=B184)*(IF(Besatzung!$D$11:$D$22="",Besatzung!$B$6,Besatzung!$D$11:$D$22)&gt;=B184)),1)+(Besatzung!$F$11="x")*IFERROR(H184,0)/IFERROR(SUMPRODUCT((Besatzung!$B$11:$B$22&lt;&gt;"")*(Besatzung!$F$11:$F$22="x")*(IF(Besatzung!$C$11:$C$22="",Besatzung!$B$5,Besatzung!$C$11:$C$22)&lt;=B184)*(IF(Besatzung!$D$11:$D$22="",Besatzung!$B$6,Besatzung!$D$11:$D$22)&gt;=B184)),1))),IF(I184="Individuell",((J184="x")*((G184-IFERROR(H184,0))/IFERROR(COUNTIF(J184:U184,"x"),1)+(Besatzung!$F$11="x")*IFERROR(H184,0)/IFERROR(SUMPRODUCT((J184:U184="x")*(Besatzung!$F$11:$F$22="x")),1))),(IF(COUNTIF(J184:U184,"x")=0,IF(Besatzung!$B$11&lt;&gt;"",1,0),(J184="x"))*(G184-IFERROR(H184,0))/IFERROR(IF(COUNTIF(J184:U184,"x")=0,COUNTA(Besatzung!$B$11:$B$22),COUNTIF(J184:U184,"x")),1)+IF(COUNTIF(J184:U184,"x")=0,(Besatzung!$F$11="x"),(J184="x")*(Besatzung!$F$11="x"))*IFERROR(H184,0)/IFERROR(IF(COUNTIF(J184:U184,"x")=0,SUMPRODUCT((Besatzung!$B$11:$B$22&lt;&gt;"")*(Besatzung!$F$11:$F$22="x")),SUMPRODUCT((J184:U184="x")*(Besatzung!$F$11:$F$22="x"))),1))))),0))))</f>
        <v/>
      </c>
      <c r="W184" s="247">
        <f>IF(C184="Gutschrift","",IF(G184="","",IF(Besatzung!$B$12="","",IFERROR(IF(I184="Zeitanteilig",(Besatzung!$G$12*(G184-IFERROR(H184,0))+((Besatzung!$B$12&lt;&gt;"")*IF(B184="",1,(IF(Besatzung!$C$12="",Besatzung!$B$5,Besatzung!$C$12)&lt;=B184)*(IF(Besatzung!$D$12="",Besatzung!$B$6,Besatzung!$D$12)&gt;=B184)))*(Besatzung!$F$12="x")*IFERROR(H184,0)/IFERROR(SUMPRODUCT((Besatzung!$B$11:$B$22&lt;&gt;"")*(Besatzung!$F$11:$F$22="x")*(IF(Besatzung!$C$11:$C$22="",Besatzung!$B$5,Besatzung!$C$11:$C$22)&lt;=B184)*(IF(Besatzung!$D$11:$D$22="",Besatzung!$B$6,Besatzung!$D$11:$D$22)&gt;=B184)),1)),IF(I184="An Bord",(((Besatzung!$B$12&lt;&gt;"")*IF(B184="",1,(IF(Besatzung!$C$12="",Besatzung!$B$5,Besatzung!$C$12)&lt;=B184)*(IF(Besatzung!$D$12="",Besatzung!$B$6,Besatzung!$D$12)&gt;=B184)))*((G184-IFERROR(H184,0))/IFERROR(SUMPRODUCT((Besatzung!$B$11:$B$22&lt;&gt;"")*(IF(Besatzung!$C$11:$C$22="",Besatzung!$B$5,Besatzung!$C$11:$C$22)&lt;=B184)*(IF(Besatzung!$D$11:$D$22="",Besatzung!$B$6,Besatzung!$D$11:$D$22)&gt;=B184)),1)+(Besatzung!$F$12="x")*IFERROR(H184,0)/IFERROR(SUMPRODUCT((Besatzung!$B$11:$B$22&lt;&gt;"")*(Besatzung!$F$11:$F$22="x")*(IF(Besatzung!$C$11:$C$22="",Besatzung!$B$5,Besatzung!$C$11:$C$22)&lt;=B184)*(IF(Besatzung!$D$11:$D$22="",Besatzung!$B$6,Besatzung!$D$11:$D$22)&gt;=B184)),1))),IF(I184="Individuell",((K184="x")*((G184-IFERROR(H184,0))/IFERROR(COUNTIF(J184:U184,"x"),1)+(Besatzung!$F$12="x")*IFERROR(H184,0)/IFERROR(SUMPRODUCT((J184:U184="x")*(Besatzung!$F$11:$F$22="x")),1))),(IF(COUNTIF(J184:U184,"x")=0,IF(Besatzung!$B$12&lt;&gt;"",1,0),(K184="x"))*(G184-IFERROR(H184,0))/IFERROR(IF(COUNTIF(J184:U184,"x")=0,COUNTA(Besatzung!$B$11:$B$22),COUNTIF(J184:U184,"x")),1)+IF(COUNTIF(J184:U184,"x")=0,(Besatzung!$F$12="x"),(K184="x")*(Besatzung!$F$12="x"))*IFERROR(H184,0)/IFERROR(IF(COUNTIF(J184:U184,"x")=0,SUMPRODUCT((Besatzung!$B$11:$B$22&lt;&gt;"")*(Besatzung!$F$11:$F$22="x")),SUMPRODUCT((J184:U184="x")*(Besatzung!$F$11:$F$22="x"))),1))))),0))))</f>
        <v/>
      </c>
      <c r="X184" s="247">
        <f>IF(C184="Gutschrift","",IF(G184="","",IF(Besatzung!$B$13="","",IFERROR(IF(I184="Zeitanteilig",(Besatzung!$G$13*(G184-IFERROR(H184,0))+((Besatzung!$B$13&lt;&gt;"")*IF(B184="",1,(IF(Besatzung!$C$13="",Besatzung!$B$5,Besatzung!$C$13)&lt;=B184)*(IF(Besatzung!$D$13="",Besatzung!$B$6,Besatzung!$D$13)&gt;=B184)))*(Besatzung!$F$13="x")*IFERROR(H184,0)/IFERROR(SUMPRODUCT((Besatzung!$B$11:$B$22&lt;&gt;"")*(Besatzung!$F$11:$F$22="x")*(IF(Besatzung!$C$11:$C$22="",Besatzung!$B$5,Besatzung!$C$11:$C$22)&lt;=B184)*(IF(Besatzung!$D$11:$D$22="",Besatzung!$B$6,Besatzung!$D$11:$D$22)&gt;=B184)),1)),IF(I184="An Bord",(((Besatzung!$B$13&lt;&gt;"")*IF(B184="",1,(IF(Besatzung!$C$13="",Besatzung!$B$5,Besatzung!$C$13)&lt;=B184)*(IF(Besatzung!$D$13="",Besatzung!$B$6,Besatzung!$D$13)&gt;=B184)))*((G184-IFERROR(H184,0))/IFERROR(SUMPRODUCT((Besatzung!$B$11:$B$22&lt;&gt;"")*(IF(Besatzung!$C$11:$C$22="",Besatzung!$B$5,Besatzung!$C$11:$C$22)&lt;=B184)*(IF(Besatzung!$D$11:$D$22="",Besatzung!$B$6,Besatzung!$D$11:$D$22)&gt;=B184)),1)+(Besatzung!$F$13="x")*IFERROR(H184,0)/IFERROR(SUMPRODUCT((Besatzung!$B$11:$B$22&lt;&gt;"")*(Besatzung!$F$11:$F$22="x")*(IF(Besatzung!$C$11:$C$22="",Besatzung!$B$5,Besatzung!$C$11:$C$22)&lt;=B184)*(IF(Besatzung!$D$11:$D$22="",Besatzung!$B$6,Besatzung!$D$11:$D$22)&gt;=B184)),1))),IF(I184="Individuell",((K184="x")*((G184-IFERROR(H184,0))/IFERROR(COUNTIF(J184:U184,"x"),1)+(Besatzung!$F$13="x")*IFERROR(H184,0)/IFERROR(SUMPRODUCT((J184:U184="x")*(Besatzung!$F$11:$F$22="x")),1))),(IF(COUNTIF(J184:U184,"x")=0,IF(Besatzung!$B$13&lt;&gt;"",1,0),(K184="x"))*(G184-IFERROR(H184,0))/IFERROR(IF(COUNTIF(J184:U184,"x")=0,COUNTA(Besatzung!$B$11:$B$22),COUNTIF(J184:U184,"x")),1)+IF(COUNTIF(J184:U184,"x")=0,(Besatzung!$F$13="x"),(K184="x")*(Besatzung!$F$13="x"))*IFERROR(H184,0)/IFERROR(IF(COUNTIF(J184:U184,"x")=0,SUMPRODUCT((Besatzung!$B$11:$B$22&lt;&gt;"")*(Besatzung!$F$11:$F$22="x")),SUMPRODUCT((J184:U184="x")*(Besatzung!$F$11:$F$22="x"))),1))))),0))))</f>
        <v/>
      </c>
      <c r="Y184" s="247">
        <f>IF(C184="Gutschrift","",IF(G184="","",IF(Besatzung!$B$14="","",IFERROR(IF(I184="Zeitanteilig",(Besatzung!$G$14*(G184-IFERROR(H184,0))+((Besatzung!$B$14&lt;&gt;"")*IF(B184="",1,(IF(Besatzung!$C$14="",Besatzung!$B$5,Besatzung!$C$14)&lt;=B184)*(IF(Besatzung!$D$14="",Besatzung!$B$6,Besatzung!$D$14)&gt;=B184)))*(Besatzung!$F$14="x")*IFERROR(H184,0)/IFERROR(SUMPRODUCT((Besatzung!$B$11:$B$22&lt;&gt;"")*(Besatzung!$F$11:$F$22="x")*(IF(Besatzung!$C$11:$C$22="",Besatzung!$B$5,Besatzung!$C$11:$C$22)&lt;=B184)*(IF(Besatzung!$D$11:$D$22="",Besatzung!$B$6,Besatzung!$D$11:$D$22)&gt;=B184)),1)),IF(I184="An Bord",(((Besatzung!$B$14&lt;&gt;"")*IF(B184="",1,(IF(Besatzung!$C$14="",Besatzung!$B$5,Besatzung!$C$14)&lt;=B184)*(IF(Besatzung!$D$14="",Besatzung!$B$6,Besatzung!$D$14)&gt;=B184)))*((G184-IFERROR(H184,0))/IFERROR(SUMPRODUCT((Besatzung!$B$11:$B$22&lt;&gt;"")*(IF(Besatzung!$C$11:$C$22="",Besatzung!$B$5,Besatzung!$C$11:$C$22)&lt;=B184)*(IF(Besatzung!$D$11:$D$22="",Besatzung!$B$6,Besatzung!$D$11:$D$22)&gt;=B184)),1)+(Besatzung!$F$14="x")*IFERROR(H184,0)/IFERROR(SUMPRODUCT((Besatzung!$B$11:$B$22&lt;&gt;"")*(Besatzung!$F$11:$F$22="x")*(IF(Besatzung!$C$11:$C$22="",Besatzung!$B$5,Besatzung!$C$11:$C$22)&lt;=B184)*(IF(Besatzung!$D$11:$D$22="",Besatzung!$B$6,Besatzung!$D$11:$D$22)&gt;=B184)),1))),IF(I184="Individuell",((M184="x")*((G184-IFERROR(H184,0))/IFERROR(COUNTIF(J184:U184,"x"),1)+(Besatzung!$F$14="x")*IFERROR(H184,0)/IFERROR(SUMPRODUCT((J184:U184="x")*(Besatzung!$F$11:$F$22="x")),1))),(IF(COUNTIF(J184:U184,"x")=0,IF(Besatzung!$B$14&lt;&gt;"",1,0),(M184="x"))*(G184-IFERROR(H184,0))/IFERROR(IF(COUNTIF(J184:U184,"x")=0,COUNTA(Besatzung!$B$11:$B$22),COUNTIF(J184:U184,"x")),1)+IF(COUNTIF(J184:U184,"x")=0,(Besatzung!$F$14="x"),(M184="x")*(Besatzung!$F$14="x"))*IFERROR(H184,0)/IFERROR(IF(COUNTIF(J184:U184,"x")=0,SUMPRODUCT((Besatzung!$B$11:$B$22&lt;&gt;"")*(Besatzung!$F$11:$F$22="x")),SUMPRODUCT((J184:U184="x")*(Besatzung!$F$11:$F$22="x"))),1))))),0))))</f>
        <v/>
      </c>
      <c r="Z184" s="247">
        <f>IF(C184="Gutschrift","",IF(G184="","",IF(Besatzung!$B$13="","",IFERROR(IF(I184="Zeitanteilig",(Besatzung!$G$15*(G184-IFERROR(H184,0))+((Besatzung!$B$13&lt;&gt;"")*IF(B184="",1,(IF(Besatzung!$C$15="",Besatzung!$B$5,Besatzung!$C$15)&lt;=B184)*(IF(Besatzung!$D$15="",Besatzung!$B$6,Besatzung!$D$15)&gt;=B184)))*(Besatzung!$F$15="x")*IFERROR(H184,0)/IFERROR(SUMPRODUCT((Besatzung!$B$11:$B$22&lt;&gt;"")*(Besatzung!$F$11:$F$22="x")*(IF(Besatzung!$C$11:$C$22="",Besatzung!$B$5,Besatzung!$C$11:$C$22)&lt;=B184)*(IF(Besatzung!$D$11:$D$22="",Besatzung!$B$6,Besatzung!$D$11:$D$22)&gt;=B184)),1)),IF(I184="An Bord",(((Besatzung!$B$13&lt;&gt;"")*IF(B184="",1,(IF(Besatzung!$C$15="",Besatzung!$B$5,Besatzung!$C$15)&lt;=B184)*(IF(Besatzung!$D$15="",Besatzung!$B$6,Besatzung!$D$15)&gt;=B184)))*((G184-IFERROR(H184,0))/IFERROR(SUMPRODUCT((Besatzung!$B$11:$B$22&lt;&gt;"")*(IF(Besatzung!$C$11:$C$22="",Besatzung!$B$5,Besatzung!$C$11:$C$22)&lt;=B184)*(IF(Besatzung!$D$11:$D$22="",Besatzung!$B$6,Besatzung!$D$11:$D$22)&gt;=B184)),1)+(Besatzung!$F$15="x")*IFERROR(H184,0)/IFERROR(SUMPRODUCT((Besatzung!$B$11:$B$22&lt;&gt;"")*(Besatzung!$F$11:$F$22="x")*(IF(Besatzung!$C$11:$C$22="",Besatzung!$B$5,Besatzung!$C$11:$C$22)&lt;=B184)*(IF(Besatzung!$D$11:$D$22="",Besatzung!$B$6,Besatzung!$D$11:$D$22)&gt;=B184)),1))),IF(I184="Individuell",((N184="x")*((G184-IFERROR(H184,0))/IFERROR(COUNTIF(J184:U184,"x"),1)+(Besatzung!$F$15="x")*IFERROR(H184,0)/IFERROR(SUMPRODUCT((J184:U184="x")*(Besatzung!$F$11:$F$22="x")),1))),(IF(COUNTIF(J184:U184,"x")=0,IF(Besatzung!$B$13&lt;&gt;"",1,0),(N184="x"))*(G184-IFERROR(H184,0))/IFERROR(IF(COUNTIF(J184:U184,"x")=0,COUNTA(Besatzung!$B$11:$B$22),COUNTIF(J184:U184,"x")),1)+IF(COUNTIF(J184:U184,"x")=0,(Besatzung!$F$15="x"),(N184="x")*(Besatzung!$F$15="x"))*IFERROR(H184,0)/IFERROR(IF(COUNTIF(J184:U184,"x")=0,SUMPRODUCT((Besatzung!$B$11:$B$22&lt;&gt;"")*(Besatzung!$F$11:$F$22="x")),SUMPRODUCT((J184:U184="x")*(Besatzung!$F$11:$F$22="x"))),1))))),0))))</f>
        <v/>
      </c>
      <c r="AA184" s="247">
        <f>IF(C184="Gutschrift","",IF(G184="","",IF(Besatzung!$B$15="","",IFERROR(IF(I184="Zeitanteilig",(Besatzung!$G$16*(G184-IFERROR(H184,0))+((Besatzung!$B$15&lt;&gt;"")*IF(B184="",1,(IF(Besatzung!$C$16="",Besatzung!$B$5,Besatzung!$C$16)&lt;=B184)*(IF(Besatzung!$D$16="",Besatzung!$B$6,Besatzung!$D$16)&gt;=B184)))*(Besatzung!$F$16="x")*IFERROR(H184,0)/IFERROR(SUMPRODUCT((Besatzung!$B$11:$B$22&lt;&gt;"")*(Besatzung!$F$11:$F$22="x")*(IF(Besatzung!$C$11:$C$22="",Besatzung!$B$5,Besatzung!$C$11:$C$22)&lt;=B184)*(IF(Besatzung!$D$11:$D$22="",Besatzung!$B$6,Besatzung!$D$11:$D$22)&gt;=B184)),1)),IF(I184="An Bord",(((Besatzung!$B$15&lt;&gt;"")*IF(B184="",1,(IF(Besatzung!$C$16="",Besatzung!$B$5,Besatzung!$C$16)&lt;=B184)*(IF(Besatzung!$D$16="",Besatzung!$B$6,Besatzung!$D$16)&gt;=B184)))*((G184-IFERROR(H184,0))/IFERROR(SUMPRODUCT((Besatzung!$B$11:$B$22&lt;&gt;"")*(IF(Besatzung!$C$11:$C$22="",Besatzung!$B$5,Besatzung!$C$11:$C$22)&lt;=B184)*(IF(Besatzung!$D$11:$D$22="",Besatzung!$B$6,Besatzung!$D$11:$D$22)&gt;=B184)),1)+(Besatzung!$F$16="x")*IFERROR(H184,0)/IFERROR(SUMPRODUCT((Besatzung!$B$11:$B$22&lt;&gt;"")*(Besatzung!$F$11:$F$22="x")*(IF(Besatzung!$C$11:$C$22="",Besatzung!$B$5,Besatzung!$C$11:$C$22)&lt;=B184)*(IF(Besatzung!$D$11:$D$22="",Besatzung!$B$6,Besatzung!$D$11:$D$22)&gt;=B184)),1))),IF(I184="Individuell",((O184="x")*((G184-IFERROR(H184,0))/IFERROR(COUNTIF(J184:U184,"x"),1)+(Besatzung!$F$16="x")*IFERROR(H184,0)/IFERROR(SUMPRODUCT((J184:U184="x")*(Besatzung!$F$11:$F$22="x")),1))),(IF(COUNTIF(J184:U184,"x")=0,IF(Besatzung!$B$15&lt;&gt;"",1,0),(O184="x"))*(G184-IFERROR(H184,0))/IFERROR(IF(COUNTIF(J184:U184,"x")=0,COUNTA(Besatzung!$B$11:$B$22),COUNTIF(J184:U184,"x")),1)+IF(COUNTIF(J184:U184,"x")=0,(Besatzung!$F$16="x"),(O184="x")*(Besatzung!$F$16="x"))*IFERROR(H184,0)/IFERROR(IF(COUNTIF(J184:U184,"x")=0,SUMPRODUCT((Besatzung!$B$11:$B$22&lt;&gt;"")*(Besatzung!$F$11:$F$22="x")),SUMPRODUCT((J184:U184="x")*(Besatzung!$F$11:$F$22="x"))),1))))),0))))</f>
        <v/>
      </c>
      <c r="AB184" s="247">
        <f>IF(C184="Gutschrift","",IF(G184="","",IF(Besatzung!$B$17="","",IFERROR(IF(I184="Zeitanteilig",(Besatzung!$G$17*(G184-IFERROR(H184,0))+((Besatzung!$B$17&lt;&gt;"")*IF(B184="",1,(IF(Besatzung!$C$17="",Besatzung!$B$5,Besatzung!$C$17)&lt;=B184)*(IF(Besatzung!$D$17="",Besatzung!$B$6,Besatzung!$D$17)&gt;=B184)))*(Besatzung!$F$17="x")*IFERROR(H184,0)/IFERROR(SUMPRODUCT((Besatzung!$B$11:$B$22&lt;&gt;"")*(Besatzung!$F$11:$F$22="x")*(IF(Besatzung!$C$11:$C$22="",Besatzung!$B$5,Besatzung!$C$11:$C$22)&lt;=B184)*(IF(Besatzung!$D$11:$D$22="",Besatzung!$B$6,Besatzung!$D$11:$D$22)&gt;=B184)),1)),IF(I184="An Bord",(((Besatzung!$B$17&lt;&gt;"")*IF(B184="",1,(IF(Besatzung!$C$17="",Besatzung!$B$5,Besatzung!$C$17)&lt;=B184)*(IF(Besatzung!$D$17="",Besatzung!$B$6,Besatzung!$D$17)&gt;=B184)))*((G184-IFERROR(H184,0))/IFERROR(SUMPRODUCT((Besatzung!$B$11:$B$22&lt;&gt;"")*(IF(Besatzung!$C$11:$C$22="",Besatzung!$B$5,Besatzung!$C$11:$C$22)&lt;=B184)*(IF(Besatzung!$D$11:$D$22="",Besatzung!$B$6,Besatzung!$D$11:$D$22)&gt;=B184)),1)+(Besatzung!$F$17="x")*IFERROR(H184,0)/IFERROR(SUMPRODUCT((Besatzung!$B$11:$B$22&lt;&gt;"")*(Besatzung!$F$11:$F$22="x")*(IF(Besatzung!$C$11:$C$22="",Besatzung!$B$5,Besatzung!$C$11:$C$22)&lt;=B184)*(IF(Besatzung!$D$11:$D$22="",Besatzung!$B$6,Besatzung!$D$11:$D$22)&gt;=B184)),1))),IF(I184="Individuell",((P184="x")*((G184-IFERROR(H184,0))/IFERROR(COUNTIF(J184:U184,"x"),1)+(Besatzung!$F$17="x")*IFERROR(H184,0)/IFERROR(SUMPRODUCT((J184:U184="x")*(Besatzung!$F$11:$F$22="x")),1))),(IF(COUNTIF(J184:U184,"x")=0,IF(Besatzung!$B$17&lt;&gt;"",1,0),(P184="x"))*(G184-IFERROR(H184,0))/IFERROR(IF(COUNTIF(J184:U184,"x")=0,COUNTA(Besatzung!$B$11:$B$22),COUNTIF(J184:U184,"x")),1)+IF(COUNTIF(J184:U184,"x")=0,(Besatzung!$F$17="x"),(P184="x")*(Besatzung!$F$17="x"))*IFERROR(H184,0)/IFERROR(IF(COUNTIF(J184:U184,"x")=0,SUMPRODUCT((Besatzung!$B$11:$B$22&lt;&gt;"")*(Besatzung!$F$11:$F$22="x")),SUMPRODUCT((J184:U184="x")*(Besatzung!$F$11:$F$22="x"))),1))))),0))))</f>
        <v/>
      </c>
      <c r="AC184" s="247">
        <f>IF(C184="Gutschrift","",IF(G184="","",IF(Besatzung!$B$18="","",IFERROR(IF(I184="Zeitanteilig",(Besatzung!$G$18*(G184-IFERROR(H184,0))+((Besatzung!$B$18&lt;&gt;"")*IF(B184="",1,(IF(Besatzung!$C$18="",Besatzung!$B$5,Besatzung!$C$18)&lt;=B184)*(IF(Besatzung!$D$18="",Besatzung!$B$6,Besatzung!$D$18)&gt;=B184)))*(Besatzung!$F$18="x")*IFERROR(H184,0)/IFERROR(SUMPRODUCT((Besatzung!$B$11:$B$22&lt;&gt;"")*(Besatzung!$F$11:$F$22="x")*(IF(Besatzung!$C$11:$C$22="",Besatzung!$B$5,Besatzung!$C$11:$C$22)&lt;=B184)*(IF(Besatzung!$D$11:$D$22="",Besatzung!$B$6,Besatzung!$D$11:$D$22)&gt;=B184)),1)),IF(I184="An Bord",(((Besatzung!$B$18&lt;&gt;"")*IF(B184="",1,(IF(Besatzung!$C$18="",Besatzung!$B$5,Besatzung!$C$18)&lt;=B184)*(IF(Besatzung!$D$18="",Besatzung!$B$6,Besatzung!$D$18)&gt;=B184)))*((G184-IFERROR(H184,0))/IFERROR(SUMPRODUCT((Besatzung!$B$11:$B$22&lt;&gt;"")*(IF(Besatzung!$C$11:$C$22="",Besatzung!$B$5,Besatzung!$C$11:$C$22)&lt;=B184)*(IF(Besatzung!$D$11:$D$22="",Besatzung!$B$6,Besatzung!$D$11:$D$22)&gt;=B184)),1)+(Besatzung!$F$18="x")*IFERROR(H184,0)/IFERROR(SUMPRODUCT((Besatzung!$B$11:$B$22&lt;&gt;"")*(Besatzung!$F$11:$F$22="x")*(IF(Besatzung!$C$11:$C$22="",Besatzung!$B$5,Besatzung!$C$11:$C$22)&lt;=B184)*(IF(Besatzung!$D$11:$D$22="",Besatzung!$B$6,Besatzung!$D$11:$D$22)&gt;=B184)),1))),IF(I184="Individuell",((Q184="x")*((G184-IFERROR(H184,0))/IFERROR(COUNTIF(J184:U184,"x"),1)+(Besatzung!$F$18="x")*IFERROR(H184,0)/IFERROR(SUMPRODUCT((J184:U184="x")*(Besatzung!$F$11:$F$22="x")),1))),(IF(COUNTIF(J184:U184,"x")=0,IF(Besatzung!$B$18&lt;&gt;"",1,0),(Q184="x"))*(G184-IFERROR(H184,0))/IFERROR(IF(COUNTIF(J184:U184,"x")=0,COUNTA(Besatzung!$B$11:$B$22),COUNTIF(J184:U184,"x")),1)+IF(COUNTIF(J184:U184,"x")=0,(Besatzung!$F$18="x"),(Q184="x")*(Besatzung!$F$18="x"))*IFERROR(H184,0)/IFERROR(IF(COUNTIF(J184:U184,"x")=0,SUMPRODUCT((Besatzung!$B$11:$B$22&lt;&gt;"")*(Besatzung!$F$11:$F$22="x")),SUMPRODUCT((J184:U184="x")*(Besatzung!$F$11:$F$22="x"))),1))))),0))))</f>
        <v/>
      </c>
      <c r="AD184" s="247">
        <f>IF(C184="Gutschrift","",IF(G184="","",IF(Besatzung!$B$19="","",IFERROR(IF(I184="Zeitanteilig",(Besatzung!$G$19*(G184-IFERROR(H184,0))+((Besatzung!$B$19&lt;&gt;"")*IF(B184="",1,(IF(Besatzung!$C$19="",Besatzung!$B$5,Besatzung!$C$19)&lt;=B184)*(IF(Besatzung!$D$19="",Besatzung!$B$6,Besatzung!$D$19)&gt;=B184)))*(Besatzung!$F$19="x")*IFERROR(H184,0)/IFERROR(SUMPRODUCT((Besatzung!$B$11:$B$22&lt;&gt;"")*(Besatzung!$F$11:$F$22="x")*(IF(Besatzung!$C$11:$C$22="",Besatzung!$B$5,Besatzung!$C$11:$C$22)&lt;=B184)*(IF(Besatzung!$D$11:$D$22="",Besatzung!$B$6,Besatzung!$D$11:$D$22)&gt;=B184)),1)),IF(I184="An Bord",(((Besatzung!$B$19&lt;&gt;"")*IF(B184="",1,(IF(Besatzung!$C$19="",Besatzung!$B$5,Besatzung!$C$19)&lt;=B184)*(IF(Besatzung!$D$19="",Besatzung!$B$6,Besatzung!$D$19)&gt;=B184)))*((G184-IFERROR(H184,0))/IFERROR(SUMPRODUCT((Besatzung!$B$11:$B$22&lt;&gt;"")*(IF(Besatzung!$C$11:$C$22="",Besatzung!$B$5,Besatzung!$C$11:$C$22)&lt;=B184)*(IF(Besatzung!$D$11:$D$22="",Besatzung!$B$6,Besatzung!$D$11:$D$22)&gt;=B184)),1)+(Besatzung!$F$19="x")*IFERROR(H184,0)/IFERROR(SUMPRODUCT((Besatzung!$B$11:$B$22&lt;&gt;"")*(Besatzung!$F$11:$F$22="x")*(IF(Besatzung!$C$11:$C$22="",Besatzung!$B$5,Besatzung!$C$11:$C$22)&lt;=B184)*(IF(Besatzung!$D$11:$D$22="",Besatzung!$B$6,Besatzung!$D$11:$D$22)&gt;=B184)),1))),IF(I184="Individuell",((R184="x")*((G184-IFERROR(H184,0))/IFERROR(COUNTIF(J184:U184,"x"),1)+(Besatzung!$F$19="x")*IFERROR(H184,0)/IFERROR(SUMPRODUCT((J184:U184="x")*(Besatzung!$F$11:$F$22="x")),1))),(IF(COUNTIF(J184:U184,"x")=0,IF(Besatzung!$B$19&lt;&gt;"",1,0),(R184="x"))*(G184-IFERROR(H184,0))/IFERROR(IF(COUNTIF(J184:U184,"x")=0,COUNTA(Besatzung!$B$11:$B$22),COUNTIF(J184:U184,"x")),1)+IF(COUNTIF(J184:U184,"x")=0,(Besatzung!$F$19="x"),(R184="x")*(Besatzung!$F$19="x"))*IFERROR(H184,0)/IFERROR(IF(COUNTIF(J184:U184,"x")=0,SUMPRODUCT((Besatzung!$B$11:$B$22&lt;&gt;"")*(Besatzung!$F$11:$F$22="x")),SUMPRODUCT((J184:U184="x")*(Besatzung!$F$11:$F$22="x"))),1))))),0))))</f>
        <v/>
      </c>
      <c r="AE184" s="247">
        <f>IF(C184="Gutschrift","",IF(G184="","",IF(Besatzung!$B$20="","",IFERROR(IF(I184="Zeitanteilig",(Besatzung!$G$20*(G184-IFERROR(H184,0))+((Besatzung!$B$20&lt;&gt;"")*IF(B184="",1,(IF(Besatzung!$C$20="",Besatzung!$B$5,Besatzung!$C$20)&lt;=B184)*(IF(Besatzung!$D$20="",Besatzung!$B$6,Besatzung!$D$20)&gt;=B184)))*(Besatzung!$F$20="x")*IFERROR(H184,0)/IFERROR(SUMPRODUCT((Besatzung!$B$11:$B$22&lt;&gt;"")*(Besatzung!$F$11:$F$22="x")*(IF(Besatzung!$C$11:$C$22="",Besatzung!$B$5,Besatzung!$C$11:$C$22)&lt;=B184)*(IF(Besatzung!$D$11:$D$22="",Besatzung!$B$6,Besatzung!$D$11:$D$22)&gt;=B184)),1)),IF(I184="An Bord",(((Besatzung!$B$20&lt;&gt;"")*IF(B184="",1,(IF(Besatzung!$C$20="",Besatzung!$B$5,Besatzung!$C$20)&lt;=B184)*(IF(Besatzung!$D$20="",Besatzung!$B$6,Besatzung!$D$20)&gt;=B184)))*((G184-IFERROR(H184,0))/IFERROR(SUMPRODUCT((Besatzung!$B$11:$B$22&lt;&gt;"")*(IF(Besatzung!$C$11:$C$22="",Besatzung!$B$5,Besatzung!$C$11:$C$22)&lt;=B184)*(IF(Besatzung!$D$11:$D$22="",Besatzung!$B$6,Besatzung!$D$11:$D$22)&gt;=B184)),1)+(Besatzung!$F$20="x")*IFERROR(H184,0)/IFERROR(SUMPRODUCT((Besatzung!$B$11:$B$22&lt;&gt;"")*(Besatzung!$F$11:$F$22="x")*(IF(Besatzung!$C$11:$C$22="",Besatzung!$B$5,Besatzung!$C$11:$C$22)&lt;=B184)*(IF(Besatzung!$D$11:$D$22="",Besatzung!$B$6,Besatzung!$D$11:$D$22)&gt;=B184)),1))),IF(I184="Individuell",((S184="x")*((G184-IFERROR(H184,0))/IFERROR(COUNTIF(J184:U184,"x"),1)+(Besatzung!$F$20="x")*IFERROR(H184,0)/IFERROR(SUMPRODUCT((J184:U184="x")*(Besatzung!$F$11:$F$22="x")),1))),(IF(COUNTIF(J184:U184,"x")=0,IF(Besatzung!$B$20&lt;&gt;"",1,0),(S184="x"))*(G184-IFERROR(H184,0))/IFERROR(IF(COUNTIF(J184:U184,"x")=0,COUNTA(Besatzung!$B$11:$B$22),COUNTIF(J184:U184,"x")),1)+IF(COUNTIF(J184:U184,"x")=0,(Besatzung!$F$20="x"),(S184="x")*(Besatzung!$F$20="x"))*IFERROR(H184,0)/IFERROR(IF(COUNTIF(J184:U184,"x")=0,SUMPRODUCT((Besatzung!$B$11:$B$22&lt;&gt;"")*(Besatzung!$F$11:$F$22="x")),SUMPRODUCT((J184:U184="x")*(Besatzung!$F$11:$F$22="x"))),1))))),0))))</f>
        <v/>
      </c>
      <c r="AF184" s="247">
        <f>IF(C184="Gutschrift","",IF(G184="","",IF(Besatzung!$B$21="","",IFERROR(IF(I184="Zeitanteilig",(Besatzung!$G$21*(G184-IFERROR(H184,0))+((Besatzung!$B$21&lt;&gt;"")*IF(B184="",1,(IF(Besatzung!$C$21="",Besatzung!$B$5,Besatzung!$C$21)&lt;=B184)*(IF(Besatzung!$D$21="",Besatzung!$B$6,Besatzung!$D$21)&gt;=B184)))*(Besatzung!$F$21="x")*IFERROR(H184,0)/IFERROR(SUMPRODUCT((Besatzung!$B$11:$B$22&lt;&gt;"")*(Besatzung!$F$11:$F$22="x")*(IF(Besatzung!$C$11:$C$22="",Besatzung!$B$5,Besatzung!$C$11:$C$22)&lt;=B184)*(IF(Besatzung!$D$11:$D$22="",Besatzung!$B$6,Besatzung!$D$11:$D$22)&gt;=B184)),1)),IF(I184="An Bord",(((Besatzung!$B$21&lt;&gt;"")*IF(B184="",1,(IF(Besatzung!$C$21="",Besatzung!$B$5,Besatzung!$C$21)&lt;=B184)*(IF(Besatzung!$D$21="",Besatzung!$B$6,Besatzung!$D$21)&gt;=B184)))*((G184-IFERROR(H184,0))/IFERROR(SUMPRODUCT((Besatzung!$B$11:$B$22&lt;&gt;"")*(IF(Besatzung!$C$11:$C$22="",Besatzung!$B$5,Besatzung!$C$11:$C$22)&lt;=B184)*(IF(Besatzung!$D$11:$D$22="",Besatzung!$B$6,Besatzung!$D$11:$D$22)&gt;=B184)),1)+(Besatzung!$F$21="x")*IFERROR(H184,0)/IFERROR(SUMPRODUCT((Besatzung!$B$11:$B$22&lt;&gt;"")*(Besatzung!$F$11:$F$22="x")*(IF(Besatzung!$C$11:$C$22="",Besatzung!$B$5,Besatzung!$C$11:$C$22)&lt;=B184)*(IF(Besatzung!$D$11:$D$22="",Besatzung!$B$6,Besatzung!$D$11:$D$22)&gt;=B184)),1))),IF(I184="Individuell",((T184="x")*((G184-IFERROR(H184,0))/IFERROR(COUNTIF(J184:U184,"x"),1)+(Besatzung!$F$21="x")*IFERROR(H184,0)/IFERROR(SUMPRODUCT((J184:U184="x")*(Besatzung!$F$11:$F$22="x")),1))),(IF(COUNTIF(J184:U184,"x")=0,IF(Besatzung!$B$21&lt;&gt;"",1,0),(T184="x"))*(G184-IFERROR(H184,0))/IFERROR(IF(COUNTIF(J184:U184,"x")=0,COUNTA(Besatzung!$B$11:$B$22),COUNTIF(J184:U184,"x")),1)+IF(COUNTIF(J184:U184,"x")=0,(Besatzung!$F$21="x"),(T184="x")*(Besatzung!$F$21="x"))*IFERROR(H184,0)/IFERROR(IF(COUNTIF(J184:U184,"x")=0,SUMPRODUCT((Besatzung!$B$11:$B$22&lt;&gt;"")*(Besatzung!$F$11:$F$22="x")),SUMPRODUCT((J184:U184="x")*(Besatzung!$F$11:$F$22="x"))),1))))),0))))</f>
        <v/>
      </c>
      <c r="AG184" s="247">
        <f>IF(C184="Gutschrift","",IF(G184="","",IF(Besatzung!$B$22="","",IFERROR(IF(I184="Zeitanteilig",(Besatzung!$G$22*(G184-IFERROR(H184,0))+((Besatzung!$B$22&lt;&gt;"")*IF(B184="",1,(IF(Besatzung!$C$22="",Besatzung!$B$5,Besatzung!$C$22)&lt;=B184)*(IF(Besatzung!$D$22="",Besatzung!$B$6,Besatzung!$D$22)&gt;=B184)))*(Besatzung!$F$22="x")*IFERROR(H184,0)/IFERROR(SUMPRODUCT((Besatzung!$B$11:$B$22&lt;&gt;"")*(Besatzung!$F$11:$F$22="x")*(IF(Besatzung!$C$11:$C$22="",Besatzung!$B$5,Besatzung!$C$11:$C$22)&lt;=B184)*(IF(Besatzung!$D$11:$D$22="",Besatzung!$B$6,Besatzung!$D$11:$D$22)&gt;=B184)),1)),IF(I184="An Bord",(((Besatzung!$B$22&lt;&gt;"")*IF(B184="",1,(IF(Besatzung!$C$22="",Besatzung!$B$5,Besatzung!$C$22)&lt;=B184)*(IF(Besatzung!$D$22="",Besatzung!$B$6,Besatzung!$D$22)&gt;=B184)))*((G184-IFERROR(H184,0))/IFERROR(SUMPRODUCT((Besatzung!$B$11:$B$22&lt;&gt;"")*(IF(Besatzung!$C$11:$C$22="",Besatzung!$B$5,Besatzung!$C$11:$C$22)&lt;=B184)*(IF(Besatzung!$D$11:$D$22="",Besatzung!$B$6,Besatzung!$D$11:$D$22)&gt;=B184)),1)+(Besatzung!$F$22="x")*IFERROR(H184,0)/IFERROR(SUMPRODUCT((Besatzung!$B$11:$B$22&lt;&gt;"")*(Besatzung!$F$11:$F$22="x")*(IF(Besatzung!$C$11:$C$22="",Besatzung!$B$5,Besatzung!$C$11:$C$22)&lt;=B184)*(IF(Besatzung!$D$11:$D$22="",Besatzung!$B$6,Besatzung!$D$11:$D$22)&gt;=B184)),1))),IF(I184="Individuell",((U184="x")*((G184-IFERROR(H184,0))/IFERROR(COUNTIF(J184:U184,"x"),1)+(Besatzung!$F$22="x")*IFERROR(H184,0)/IFERROR(SUMPRODUCT((J184:U184="x")*(Besatzung!$F$11:$F$22="x")),1))),(IF(COUNTIF(J184:U184,"x")=0,IF(Besatzung!$B$22&lt;&gt;"",1,0),(U184="x"))*(G184-IFERROR(H184,0))/IFERROR(IF(COUNTIF(J184:U184,"x")=0,COUNTA(Besatzung!$B$11:$B$22),COUNTIF(J184:U184,"x")),1)+IF(COUNTIF(J184:U184,"x")=0,(Besatzung!$F$22="x"),(U184="x")*(Besatzung!$F$22="x"))*IFERROR(H184,0)/IFERROR(IF(COUNTIF(J184:U184,"x")=0,SUMPRODUCT((Besatzung!$B$11:$B$22&lt;&gt;"")*(Besatzung!$F$11:$F$22="x")),SUMPRODUCT((J184:U184="x")*(Besatzung!$F$11:$F$22="x"))),1))))),0))))</f>
        <v/>
      </c>
      <c r="AH184" s="248" t="n"/>
      <c r="AI184" s="248" t="n"/>
    </row>
    <row r="185" ht="21.75" customHeight="1" s="154">
      <c r="A185" s="238">
        <f>IF(AND(D185="",C185=""),"",182)</f>
        <v/>
      </c>
      <c r="B185" s="206" t="n"/>
      <c r="C185" s="249" t="n"/>
      <c r="D185" s="250" t="n"/>
      <c r="E185" s="251" t="n"/>
      <c r="F185" s="252" t="n"/>
      <c r="G185" s="253" t="n"/>
      <c r="H185" s="254" t="n"/>
      <c r="I185" s="255" t="n"/>
      <c r="J185" s="256" t="n"/>
      <c r="K185" s="256" t="n"/>
      <c r="L185" s="256" t="n"/>
      <c r="M185" s="256" t="n"/>
      <c r="N185" s="256" t="n"/>
      <c r="O185" s="256" t="n"/>
      <c r="P185" s="256" t="n"/>
      <c r="Q185" s="256" t="n"/>
      <c r="R185" s="256" t="n"/>
      <c r="S185" s="256" t="n"/>
      <c r="T185" s="256" t="n"/>
      <c r="U185" s="256" t="n"/>
      <c r="V185" s="247">
        <f>IF(C185="Gutschrift","",IF(G185="","",IF(Besatzung!$B$11="","",IFERROR(IF(I185="Zeitanteilig",(Besatzung!$G$11*(G185-IFERROR(H185,0))+((Besatzung!$B$11&lt;&gt;"")*IF(B185="",1,(IF(Besatzung!$C$11="",Besatzung!$B$5,Besatzung!$C$11)&lt;=B185)*(IF(Besatzung!$D$11="",Besatzung!$B$6,Besatzung!$D$11)&gt;=B185)))*(Besatzung!$F$11="x")*IFERROR(H185,0)/IFERROR(SUMPRODUCT((Besatzung!$B$11:$B$22&lt;&gt;"")*(Besatzung!$F$11:$F$22="x")*(IF(Besatzung!$C$11:$C$22="",Besatzung!$B$5,Besatzung!$C$11:$C$22)&lt;=B185)*(IF(Besatzung!$D$11:$D$22="",Besatzung!$B$6,Besatzung!$D$11:$D$22)&gt;=B185)),1)),IF(I185="An Bord",(((Besatzung!$B$11&lt;&gt;"")*IF(B185="",1,(IF(Besatzung!$C$11="",Besatzung!$B$5,Besatzung!$C$11)&lt;=B185)*(IF(Besatzung!$D$11="",Besatzung!$B$6,Besatzung!$D$11)&gt;=B185)))*((G185-IFERROR(H185,0))/IFERROR(SUMPRODUCT((Besatzung!$B$11:$B$22&lt;&gt;"")*(IF(Besatzung!$C$11:$C$22="",Besatzung!$B$5,Besatzung!$C$11:$C$22)&lt;=B185)*(IF(Besatzung!$D$11:$D$22="",Besatzung!$B$6,Besatzung!$D$11:$D$22)&gt;=B185)),1)+(Besatzung!$F$11="x")*IFERROR(H185,0)/IFERROR(SUMPRODUCT((Besatzung!$B$11:$B$22&lt;&gt;"")*(Besatzung!$F$11:$F$22="x")*(IF(Besatzung!$C$11:$C$22="",Besatzung!$B$5,Besatzung!$C$11:$C$22)&lt;=B185)*(IF(Besatzung!$D$11:$D$22="",Besatzung!$B$6,Besatzung!$D$11:$D$22)&gt;=B185)),1))),IF(I185="Individuell",((J185="x")*((G185-IFERROR(H185,0))/IFERROR(COUNTIF(J185:U185,"x"),1)+(Besatzung!$F$11="x")*IFERROR(H185,0)/IFERROR(SUMPRODUCT((J185:U185="x")*(Besatzung!$F$11:$F$22="x")),1))),(IF(COUNTIF(J185:U185,"x")=0,IF(Besatzung!$B$11&lt;&gt;"",1,0),(J185="x"))*(G185-IFERROR(H185,0))/IFERROR(IF(COUNTIF(J185:U185,"x")=0,COUNTA(Besatzung!$B$11:$B$22),COUNTIF(J185:U185,"x")),1)+IF(COUNTIF(J185:U185,"x")=0,(Besatzung!$F$11="x"),(J185="x")*(Besatzung!$F$11="x"))*IFERROR(H185,0)/IFERROR(IF(COUNTIF(J185:U185,"x")=0,SUMPRODUCT((Besatzung!$B$11:$B$22&lt;&gt;"")*(Besatzung!$F$11:$F$22="x")),SUMPRODUCT((J185:U185="x")*(Besatzung!$F$11:$F$22="x"))),1))))),0))))</f>
        <v/>
      </c>
      <c r="W185" s="247">
        <f>IF(C185="Gutschrift","",IF(G185="","",IF(Besatzung!$B$12="","",IFERROR(IF(I185="Zeitanteilig",(Besatzung!$G$12*(G185-IFERROR(H185,0))+((Besatzung!$B$12&lt;&gt;"")*IF(B185="",1,(IF(Besatzung!$C$12="",Besatzung!$B$5,Besatzung!$C$12)&lt;=B185)*(IF(Besatzung!$D$12="",Besatzung!$B$6,Besatzung!$D$12)&gt;=B185)))*(Besatzung!$F$12="x")*IFERROR(H185,0)/IFERROR(SUMPRODUCT((Besatzung!$B$11:$B$22&lt;&gt;"")*(Besatzung!$F$11:$F$22="x")*(IF(Besatzung!$C$11:$C$22="",Besatzung!$B$5,Besatzung!$C$11:$C$22)&lt;=B185)*(IF(Besatzung!$D$11:$D$22="",Besatzung!$B$6,Besatzung!$D$11:$D$22)&gt;=B185)),1)),IF(I185="An Bord",(((Besatzung!$B$12&lt;&gt;"")*IF(B185="",1,(IF(Besatzung!$C$12="",Besatzung!$B$5,Besatzung!$C$12)&lt;=B185)*(IF(Besatzung!$D$12="",Besatzung!$B$6,Besatzung!$D$12)&gt;=B185)))*((G185-IFERROR(H185,0))/IFERROR(SUMPRODUCT((Besatzung!$B$11:$B$22&lt;&gt;"")*(IF(Besatzung!$C$11:$C$22="",Besatzung!$B$5,Besatzung!$C$11:$C$22)&lt;=B185)*(IF(Besatzung!$D$11:$D$22="",Besatzung!$B$6,Besatzung!$D$11:$D$22)&gt;=B185)),1)+(Besatzung!$F$12="x")*IFERROR(H185,0)/IFERROR(SUMPRODUCT((Besatzung!$B$11:$B$22&lt;&gt;"")*(Besatzung!$F$11:$F$22="x")*(IF(Besatzung!$C$11:$C$22="",Besatzung!$B$5,Besatzung!$C$11:$C$22)&lt;=B185)*(IF(Besatzung!$D$11:$D$22="",Besatzung!$B$6,Besatzung!$D$11:$D$22)&gt;=B185)),1))),IF(I185="Individuell",((K185="x")*((G185-IFERROR(H185,0))/IFERROR(COUNTIF(J185:U185,"x"),1)+(Besatzung!$F$12="x")*IFERROR(H185,0)/IFERROR(SUMPRODUCT((J185:U185="x")*(Besatzung!$F$11:$F$22="x")),1))),(IF(COUNTIF(J185:U185,"x")=0,IF(Besatzung!$B$12&lt;&gt;"",1,0),(K185="x"))*(G185-IFERROR(H185,0))/IFERROR(IF(COUNTIF(J185:U185,"x")=0,COUNTA(Besatzung!$B$11:$B$22),COUNTIF(J185:U185,"x")),1)+IF(COUNTIF(J185:U185,"x")=0,(Besatzung!$F$12="x"),(K185="x")*(Besatzung!$F$12="x"))*IFERROR(H185,0)/IFERROR(IF(COUNTIF(J185:U185,"x")=0,SUMPRODUCT((Besatzung!$B$11:$B$22&lt;&gt;"")*(Besatzung!$F$11:$F$22="x")),SUMPRODUCT((J185:U185="x")*(Besatzung!$F$11:$F$22="x"))),1))))),0))))</f>
        <v/>
      </c>
      <c r="X185" s="247">
        <f>IF(C185="Gutschrift","",IF(G185="","",IF(Besatzung!$B$13="","",IFERROR(IF(I185="Zeitanteilig",(Besatzung!$G$13*(G185-IFERROR(H185,0))+((Besatzung!$B$13&lt;&gt;"")*IF(B185="",1,(IF(Besatzung!$C$13="",Besatzung!$B$5,Besatzung!$C$13)&lt;=B185)*(IF(Besatzung!$D$13="",Besatzung!$B$6,Besatzung!$D$13)&gt;=B185)))*(Besatzung!$F$13="x")*IFERROR(H185,0)/IFERROR(SUMPRODUCT((Besatzung!$B$11:$B$22&lt;&gt;"")*(Besatzung!$F$11:$F$22="x")*(IF(Besatzung!$C$11:$C$22="",Besatzung!$B$5,Besatzung!$C$11:$C$22)&lt;=B185)*(IF(Besatzung!$D$11:$D$22="",Besatzung!$B$6,Besatzung!$D$11:$D$22)&gt;=B185)),1)),IF(I185="An Bord",(((Besatzung!$B$13&lt;&gt;"")*IF(B185="",1,(IF(Besatzung!$C$13="",Besatzung!$B$5,Besatzung!$C$13)&lt;=B185)*(IF(Besatzung!$D$13="",Besatzung!$B$6,Besatzung!$D$13)&gt;=B185)))*((G185-IFERROR(H185,0))/IFERROR(SUMPRODUCT((Besatzung!$B$11:$B$22&lt;&gt;"")*(IF(Besatzung!$C$11:$C$22="",Besatzung!$B$5,Besatzung!$C$11:$C$22)&lt;=B185)*(IF(Besatzung!$D$11:$D$22="",Besatzung!$B$6,Besatzung!$D$11:$D$22)&gt;=B185)),1)+(Besatzung!$F$13="x")*IFERROR(H185,0)/IFERROR(SUMPRODUCT((Besatzung!$B$11:$B$22&lt;&gt;"")*(Besatzung!$F$11:$F$22="x")*(IF(Besatzung!$C$11:$C$22="",Besatzung!$B$5,Besatzung!$C$11:$C$22)&lt;=B185)*(IF(Besatzung!$D$11:$D$22="",Besatzung!$B$6,Besatzung!$D$11:$D$22)&gt;=B185)),1))),IF(I185="Individuell",((K185="x")*((G185-IFERROR(H185,0))/IFERROR(COUNTIF(J185:U185,"x"),1)+(Besatzung!$F$13="x")*IFERROR(H185,0)/IFERROR(SUMPRODUCT((J185:U185="x")*(Besatzung!$F$11:$F$22="x")),1))),(IF(COUNTIF(J185:U185,"x")=0,IF(Besatzung!$B$13&lt;&gt;"",1,0),(K185="x"))*(G185-IFERROR(H185,0))/IFERROR(IF(COUNTIF(J185:U185,"x")=0,COUNTA(Besatzung!$B$11:$B$22),COUNTIF(J185:U185,"x")),1)+IF(COUNTIF(J185:U185,"x")=0,(Besatzung!$F$13="x"),(K185="x")*(Besatzung!$F$13="x"))*IFERROR(H185,0)/IFERROR(IF(COUNTIF(J185:U185,"x")=0,SUMPRODUCT((Besatzung!$B$11:$B$22&lt;&gt;"")*(Besatzung!$F$11:$F$22="x")),SUMPRODUCT((J185:U185="x")*(Besatzung!$F$11:$F$22="x"))),1))))),0))))</f>
        <v/>
      </c>
      <c r="Y185" s="247">
        <f>IF(C185="Gutschrift","",IF(G185="","",IF(Besatzung!$B$14="","",IFERROR(IF(I185="Zeitanteilig",(Besatzung!$G$14*(G185-IFERROR(H185,0))+((Besatzung!$B$14&lt;&gt;"")*IF(B185="",1,(IF(Besatzung!$C$14="",Besatzung!$B$5,Besatzung!$C$14)&lt;=B185)*(IF(Besatzung!$D$14="",Besatzung!$B$6,Besatzung!$D$14)&gt;=B185)))*(Besatzung!$F$14="x")*IFERROR(H185,0)/IFERROR(SUMPRODUCT((Besatzung!$B$11:$B$22&lt;&gt;"")*(Besatzung!$F$11:$F$22="x")*(IF(Besatzung!$C$11:$C$22="",Besatzung!$B$5,Besatzung!$C$11:$C$22)&lt;=B185)*(IF(Besatzung!$D$11:$D$22="",Besatzung!$B$6,Besatzung!$D$11:$D$22)&gt;=B185)),1)),IF(I185="An Bord",(((Besatzung!$B$14&lt;&gt;"")*IF(B185="",1,(IF(Besatzung!$C$14="",Besatzung!$B$5,Besatzung!$C$14)&lt;=B185)*(IF(Besatzung!$D$14="",Besatzung!$B$6,Besatzung!$D$14)&gt;=B185)))*((G185-IFERROR(H185,0))/IFERROR(SUMPRODUCT((Besatzung!$B$11:$B$22&lt;&gt;"")*(IF(Besatzung!$C$11:$C$22="",Besatzung!$B$5,Besatzung!$C$11:$C$22)&lt;=B185)*(IF(Besatzung!$D$11:$D$22="",Besatzung!$B$6,Besatzung!$D$11:$D$22)&gt;=B185)),1)+(Besatzung!$F$14="x")*IFERROR(H185,0)/IFERROR(SUMPRODUCT((Besatzung!$B$11:$B$22&lt;&gt;"")*(Besatzung!$F$11:$F$22="x")*(IF(Besatzung!$C$11:$C$22="",Besatzung!$B$5,Besatzung!$C$11:$C$22)&lt;=B185)*(IF(Besatzung!$D$11:$D$22="",Besatzung!$B$6,Besatzung!$D$11:$D$22)&gt;=B185)),1))),IF(I185="Individuell",((M185="x")*((G185-IFERROR(H185,0))/IFERROR(COUNTIF(J185:U185,"x"),1)+(Besatzung!$F$14="x")*IFERROR(H185,0)/IFERROR(SUMPRODUCT((J185:U185="x")*(Besatzung!$F$11:$F$22="x")),1))),(IF(COUNTIF(J185:U185,"x")=0,IF(Besatzung!$B$14&lt;&gt;"",1,0),(M185="x"))*(G185-IFERROR(H185,0))/IFERROR(IF(COUNTIF(J185:U185,"x")=0,COUNTA(Besatzung!$B$11:$B$22),COUNTIF(J185:U185,"x")),1)+IF(COUNTIF(J185:U185,"x")=0,(Besatzung!$F$14="x"),(M185="x")*(Besatzung!$F$14="x"))*IFERROR(H185,0)/IFERROR(IF(COUNTIF(J185:U185,"x")=0,SUMPRODUCT((Besatzung!$B$11:$B$22&lt;&gt;"")*(Besatzung!$F$11:$F$22="x")),SUMPRODUCT((J185:U185="x")*(Besatzung!$F$11:$F$22="x"))),1))))),0))))</f>
        <v/>
      </c>
      <c r="Z185" s="247">
        <f>IF(C185="Gutschrift","",IF(G185="","",IF(Besatzung!$B$13="","",IFERROR(IF(I185="Zeitanteilig",(Besatzung!$G$15*(G185-IFERROR(H185,0))+((Besatzung!$B$13&lt;&gt;"")*IF(B185="",1,(IF(Besatzung!$C$15="",Besatzung!$B$5,Besatzung!$C$15)&lt;=B185)*(IF(Besatzung!$D$15="",Besatzung!$B$6,Besatzung!$D$15)&gt;=B185)))*(Besatzung!$F$15="x")*IFERROR(H185,0)/IFERROR(SUMPRODUCT((Besatzung!$B$11:$B$22&lt;&gt;"")*(Besatzung!$F$11:$F$22="x")*(IF(Besatzung!$C$11:$C$22="",Besatzung!$B$5,Besatzung!$C$11:$C$22)&lt;=B185)*(IF(Besatzung!$D$11:$D$22="",Besatzung!$B$6,Besatzung!$D$11:$D$22)&gt;=B185)),1)),IF(I185="An Bord",(((Besatzung!$B$13&lt;&gt;"")*IF(B185="",1,(IF(Besatzung!$C$15="",Besatzung!$B$5,Besatzung!$C$15)&lt;=B185)*(IF(Besatzung!$D$15="",Besatzung!$B$6,Besatzung!$D$15)&gt;=B185)))*((G185-IFERROR(H185,0))/IFERROR(SUMPRODUCT((Besatzung!$B$11:$B$22&lt;&gt;"")*(IF(Besatzung!$C$11:$C$22="",Besatzung!$B$5,Besatzung!$C$11:$C$22)&lt;=B185)*(IF(Besatzung!$D$11:$D$22="",Besatzung!$B$6,Besatzung!$D$11:$D$22)&gt;=B185)),1)+(Besatzung!$F$15="x")*IFERROR(H185,0)/IFERROR(SUMPRODUCT((Besatzung!$B$11:$B$22&lt;&gt;"")*(Besatzung!$F$11:$F$22="x")*(IF(Besatzung!$C$11:$C$22="",Besatzung!$B$5,Besatzung!$C$11:$C$22)&lt;=B185)*(IF(Besatzung!$D$11:$D$22="",Besatzung!$B$6,Besatzung!$D$11:$D$22)&gt;=B185)),1))),IF(I185="Individuell",((N185="x")*((G185-IFERROR(H185,0))/IFERROR(COUNTIF(J185:U185,"x"),1)+(Besatzung!$F$15="x")*IFERROR(H185,0)/IFERROR(SUMPRODUCT((J185:U185="x")*(Besatzung!$F$11:$F$22="x")),1))),(IF(COUNTIF(J185:U185,"x")=0,IF(Besatzung!$B$13&lt;&gt;"",1,0),(N185="x"))*(G185-IFERROR(H185,0))/IFERROR(IF(COUNTIF(J185:U185,"x")=0,COUNTA(Besatzung!$B$11:$B$22),COUNTIF(J185:U185,"x")),1)+IF(COUNTIF(J185:U185,"x")=0,(Besatzung!$F$15="x"),(N185="x")*(Besatzung!$F$15="x"))*IFERROR(H185,0)/IFERROR(IF(COUNTIF(J185:U185,"x")=0,SUMPRODUCT((Besatzung!$B$11:$B$22&lt;&gt;"")*(Besatzung!$F$11:$F$22="x")),SUMPRODUCT((J185:U185="x")*(Besatzung!$F$11:$F$22="x"))),1))))),0))))</f>
        <v/>
      </c>
      <c r="AA185" s="247">
        <f>IF(C185="Gutschrift","",IF(G185="","",IF(Besatzung!$B$15="","",IFERROR(IF(I185="Zeitanteilig",(Besatzung!$G$16*(G185-IFERROR(H185,0))+((Besatzung!$B$15&lt;&gt;"")*IF(B185="",1,(IF(Besatzung!$C$16="",Besatzung!$B$5,Besatzung!$C$16)&lt;=B185)*(IF(Besatzung!$D$16="",Besatzung!$B$6,Besatzung!$D$16)&gt;=B185)))*(Besatzung!$F$16="x")*IFERROR(H185,0)/IFERROR(SUMPRODUCT((Besatzung!$B$11:$B$22&lt;&gt;"")*(Besatzung!$F$11:$F$22="x")*(IF(Besatzung!$C$11:$C$22="",Besatzung!$B$5,Besatzung!$C$11:$C$22)&lt;=B185)*(IF(Besatzung!$D$11:$D$22="",Besatzung!$B$6,Besatzung!$D$11:$D$22)&gt;=B185)),1)),IF(I185="An Bord",(((Besatzung!$B$15&lt;&gt;"")*IF(B185="",1,(IF(Besatzung!$C$16="",Besatzung!$B$5,Besatzung!$C$16)&lt;=B185)*(IF(Besatzung!$D$16="",Besatzung!$B$6,Besatzung!$D$16)&gt;=B185)))*((G185-IFERROR(H185,0))/IFERROR(SUMPRODUCT((Besatzung!$B$11:$B$22&lt;&gt;"")*(IF(Besatzung!$C$11:$C$22="",Besatzung!$B$5,Besatzung!$C$11:$C$22)&lt;=B185)*(IF(Besatzung!$D$11:$D$22="",Besatzung!$B$6,Besatzung!$D$11:$D$22)&gt;=B185)),1)+(Besatzung!$F$16="x")*IFERROR(H185,0)/IFERROR(SUMPRODUCT((Besatzung!$B$11:$B$22&lt;&gt;"")*(Besatzung!$F$11:$F$22="x")*(IF(Besatzung!$C$11:$C$22="",Besatzung!$B$5,Besatzung!$C$11:$C$22)&lt;=B185)*(IF(Besatzung!$D$11:$D$22="",Besatzung!$B$6,Besatzung!$D$11:$D$22)&gt;=B185)),1))),IF(I185="Individuell",((O185="x")*((G185-IFERROR(H185,0))/IFERROR(COUNTIF(J185:U185,"x"),1)+(Besatzung!$F$16="x")*IFERROR(H185,0)/IFERROR(SUMPRODUCT((J185:U185="x")*(Besatzung!$F$11:$F$22="x")),1))),(IF(COUNTIF(J185:U185,"x")=0,IF(Besatzung!$B$15&lt;&gt;"",1,0),(O185="x"))*(G185-IFERROR(H185,0))/IFERROR(IF(COUNTIF(J185:U185,"x")=0,COUNTA(Besatzung!$B$11:$B$22),COUNTIF(J185:U185,"x")),1)+IF(COUNTIF(J185:U185,"x")=0,(Besatzung!$F$16="x"),(O185="x")*(Besatzung!$F$16="x"))*IFERROR(H185,0)/IFERROR(IF(COUNTIF(J185:U185,"x")=0,SUMPRODUCT((Besatzung!$B$11:$B$22&lt;&gt;"")*(Besatzung!$F$11:$F$22="x")),SUMPRODUCT((J185:U185="x")*(Besatzung!$F$11:$F$22="x"))),1))))),0))))</f>
        <v/>
      </c>
      <c r="AB185" s="247">
        <f>IF(C185="Gutschrift","",IF(G185="","",IF(Besatzung!$B$17="","",IFERROR(IF(I185="Zeitanteilig",(Besatzung!$G$17*(G185-IFERROR(H185,0))+((Besatzung!$B$17&lt;&gt;"")*IF(B185="",1,(IF(Besatzung!$C$17="",Besatzung!$B$5,Besatzung!$C$17)&lt;=B185)*(IF(Besatzung!$D$17="",Besatzung!$B$6,Besatzung!$D$17)&gt;=B185)))*(Besatzung!$F$17="x")*IFERROR(H185,0)/IFERROR(SUMPRODUCT((Besatzung!$B$11:$B$22&lt;&gt;"")*(Besatzung!$F$11:$F$22="x")*(IF(Besatzung!$C$11:$C$22="",Besatzung!$B$5,Besatzung!$C$11:$C$22)&lt;=B185)*(IF(Besatzung!$D$11:$D$22="",Besatzung!$B$6,Besatzung!$D$11:$D$22)&gt;=B185)),1)),IF(I185="An Bord",(((Besatzung!$B$17&lt;&gt;"")*IF(B185="",1,(IF(Besatzung!$C$17="",Besatzung!$B$5,Besatzung!$C$17)&lt;=B185)*(IF(Besatzung!$D$17="",Besatzung!$B$6,Besatzung!$D$17)&gt;=B185)))*((G185-IFERROR(H185,0))/IFERROR(SUMPRODUCT((Besatzung!$B$11:$B$22&lt;&gt;"")*(IF(Besatzung!$C$11:$C$22="",Besatzung!$B$5,Besatzung!$C$11:$C$22)&lt;=B185)*(IF(Besatzung!$D$11:$D$22="",Besatzung!$B$6,Besatzung!$D$11:$D$22)&gt;=B185)),1)+(Besatzung!$F$17="x")*IFERROR(H185,0)/IFERROR(SUMPRODUCT((Besatzung!$B$11:$B$22&lt;&gt;"")*(Besatzung!$F$11:$F$22="x")*(IF(Besatzung!$C$11:$C$22="",Besatzung!$B$5,Besatzung!$C$11:$C$22)&lt;=B185)*(IF(Besatzung!$D$11:$D$22="",Besatzung!$B$6,Besatzung!$D$11:$D$22)&gt;=B185)),1))),IF(I185="Individuell",((P185="x")*((G185-IFERROR(H185,0))/IFERROR(COUNTIF(J185:U185,"x"),1)+(Besatzung!$F$17="x")*IFERROR(H185,0)/IFERROR(SUMPRODUCT((J185:U185="x")*(Besatzung!$F$11:$F$22="x")),1))),(IF(COUNTIF(J185:U185,"x")=0,IF(Besatzung!$B$17&lt;&gt;"",1,0),(P185="x"))*(G185-IFERROR(H185,0))/IFERROR(IF(COUNTIF(J185:U185,"x")=0,COUNTA(Besatzung!$B$11:$B$22),COUNTIF(J185:U185,"x")),1)+IF(COUNTIF(J185:U185,"x")=0,(Besatzung!$F$17="x"),(P185="x")*(Besatzung!$F$17="x"))*IFERROR(H185,0)/IFERROR(IF(COUNTIF(J185:U185,"x")=0,SUMPRODUCT((Besatzung!$B$11:$B$22&lt;&gt;"")*(Besatzung!$F$11:$F$22="x")),SUMPRODUCT((J185:U185="x")*(Besatzung!$F$11:$F$22="x"))),1))))),0))))</f>
        <v/>
      </c>
      <c r="AC185" s="247">
        <f>IF(C185="Gutschrift","",IF(G185="","",IF(Besatzung!$B$18="","",IFERROR(IF(I185="Zeitanteilig",(Besatzung!$G$18*(G185-IFERROR(H185,0))+((Besatzung!$B$18&lt;&gt;"")*IF(B185="",1,(IF(Besatzung!$C$18="",Besatzung!$B$5,Besatzung!$C$18)&lt;=B185)*(IF(Besatzung!$D$18="",Besatzung!$B$6,Besatzung!$D$18)&gt;=B185)))*(Besatzung!$F$18="x")*IFERROR(H185,0)/IFERROR(SUMPRODUCT((Besatzung!$B$11:$B$22&lt;&gt;"")*(Besatzung!$F$11:$F$22="x")*(IF(Besatzung!$C$11:$C$22="",Besatzung!$B$5,Besatzung!$C$11:$C$22)&lt;=B185)*(IF(Besatzung!$D$11:$D$22="",Besatzung!$B$6,Besatzung!$D$11:$D$22)&gt;=B185)),1)),IF(I185="An Bord",(((Besatzung!$B$18&lt;&gt;"")*IF(B185="",1,(IF(Besatzung!$C$18="",Besatzung!$B$5,Besatzung!$C$18)&lt;=B185)*(IF(Besatzung!$D$18="",Besatzung!$B$6,Besatzung!$D$18)&gt;=B185)))*((G185-IFERROR(H185,0))/IFERROR(SUMPRODUCT((Besatzung!$B$11:$B$22&lt;&gt;"")*(IF(Besatzung!$C$11:$C$22="",Besatzung!$B$5,Besatzung!$C$11:$C$22)&lt;=B185)*(IF(Besatzung!$D$11:$D$22="",Besatzung!$B$6,Besatzung!$D$11:$D$22)&gt;=B185)),1)+(Besatzung!$F$18="x")*IFERROR(H185,0)/IFERROR(SUMPRODUCT((Besatzung!$B$11:$B$22&lt;&gt;"")*(Besatzung!$F$11:$F$22="x")*(IF(Besatzung!$C$11:$C$22="",Besatzung!$B$5,Besatzung!$C$11:$C$22)&lt;=B185)*(IF(Besatzung!$D$11:$D$22="",Besatzung!$B$6,Besatzung!$D$11:$D$22)&gt;=B185)),1))),IF(I185="Individuell",((Q185="x")*((G185-IFERROR(H185,0))/IFERROR(COUNTIF(J185:U185,"x"),1)+(Besatzung!$F$18="x")*IFERROR(H185,0)/IFERROR(SUMPRODUCT((J185:U185="x")*(Besatzung!$F$11:$F$22="x")),1))),(IF(COUNTIF(J185:U185,"x")=0,IF(Besatzung!$B$18&lt;&gt;"",1,0),(Q185="x"))*(G185-IFERROR(H185,0))/IFERROR(IF(COUNTIF(J185:U185,"x")=0,COUNTA(Besatzung!$B$11:$B$22),COUNTIF(J185:U185,"x")),1)+IF(COUNTIF(J185:U185,"x")=0,(Besatzung!$F$18="x"),(Q185="x")*(Besatzung!$F$18="x"))*IFERROR(H185,0)/IFERROR(IF(COUNTIF(J185:U185,"x")=0,SUMPRODUCT((Besatzung!$B$11:$B$22&lt;&gt;"")*(Besatzung!$F$11:$F$22="x")),SUMPRODUCT((J185:U185="x")*(Besatzung!$F$11:$F$22="x"))),1))))),0))))</f>
        <v/>
      </c>
      <c r="AD185" s="247">
        <f>IF(C185="Gutschrift","",IF(G185="","",IF(Besatzung!$B$19="","",IFERROR(IF(I185="Zeitanteilig",(Besatzung!$G$19*(G185-IFERROR(H185,0))+((Besatzung!$B$19&lt;&gt;"")*IF(B185="",1,(IF(Besatzung!$C$19="",Besatzung!$B$5,Besatzung!$C$19)&lt;=B185)*(IF(Besatzung!$D$19="",Besatzung!$B$6,Besatzung!$D$19)&gt;=B185)))*(Besatzung!$F$19="x")*IFERROR(H185,0)/IFERROR(SUMPRODUCT((Besatzung!$B$11:$B$22&lt;&gt;"")*(Besatzung!$F$11:$F$22="x")*(IF(Besatzung!$C$11:$C$22="",Besatzung!$B$5,Besatzung!$C$11:$C$22)&lt;=B185)*(IF(Besatzung!$D$11:$D$22="",Besatzung!$B$6,Besatzung!$D$11:$D$22)&gt;=B185)),1)),IF(I185="An Bord",(((Besatzung!$B$19&lt;&gt;"")*IF(B185="",1,(IF(Besatzung!$C$19="",Besatzung!$B$5,Besatzung!$C$19)&lt;=B185)*(IF(Besatzung!$D$19="",Besatzung!$B$6,Besatzung!$D$19)&gt;=B185)))*((G185-IFERROR(H185,0))/IFERROR(SUMPRODUCT((Besatzung!$B$11:$B$22&lt;&gt;"")*(IF(Besatzung!$C$11:$C$22="",Besatzung!$B$5,Besatzung!$C$11:$C$22)&lt;=B185)*(IF(Besatzung!$D$11:$D$22="",Besatzung!$B$6,Besatzung!$D$11:$D$22)&gt;=B185)),1)+(Besatzung!$F$19="x")*IFERROR(H185,0)/IFERROR(SUMPRODUCT((Besatzung!$B$11:$B$22&lt;&gt;"")*(Besatzung!$F$11:$F$22="x")*(IF(Besatzung!$C$11:$C$22="",Besatzung!$B$5,Besatzung!$C$11:$C$22)&lt;=B185)*(IF(Besatzung!$D$11:$D$22="",Besatzung!$B$6,Besatzung!$D$11:$D$22)&gt;=B185)),1))),IF(I185="Individuell",((R185="x")*((G185-IFERROR(H185,0))/IFERROR(COUNTIF(J185:U185,"x"),1)+(Besatzung!$F$19="x")*IFERROR(H185,0)/IFERROR(SUMPRODUCT((J185:U185="x")*(Besatzung!$F$11:$F$22="x")),1))),(IF(COUNTIF(J185:U185,"x")=0,IF(Besatzung!$B$19&lt;&gt;"",1,0),(R185="x"))*(G185-IFERROR(H185,0))/IFERROR(IF(COUNTIF(J185:U185,"x")=0,COUNTA(Besatzung!$B$11:$B$22),COUNTIF(J185:U185,"x")),1)+IF(COUNTIF(J185:U185,"x")=0,(Besatzung!$F$19="x"),(R185="x")*(Besatzung!$F$19="x"))*IFERROR(H185,0)/IFERROR(IF(COUNTIF(J185:U185,"x")=0,SUMPRODUCT((Besatzung!$B$11:$B$22&lt;&gt;"")*(Besatzung!$F$11:$F$22="x")),SUMPRODUCT((J185:U185="x")*(Besatzung!$F$11:$F$22="x"))),1))))),0))))</f>
        <v/>
      </c>
      <c r="AE185" s="247">
        <f>IF(C185="Gutschrift","",IF(G185="","",IF(Besatzung!$B$20="","",IFERROR(IF(I185="Zeitanteilig",(Besatzung!$G$20*(G185-IFERROR(H185,0))+((Besatzung!$B$20&lt;&gt;"")*IF(B185="",1,(IF(Besatzung!$C$20="",Besatzung!$B$5,Besatzung!$C$20)&lt;=B185)*(IF(Besatzung!$D$20="",Besatzung!$B$6,Besatzung!$D$20)&gt;=B185)))*(Besatzung!$F$20="x")*IFERROR(H185,0)/IFERROR(SUMPRODUCT((Besatzung!$B$11:$B$22&lt;&gt;"")*(Besatzung!$F$11:$F$22="x")*(IF(Besatzung!$C$11:$C$22="",Besatzung!$B$5,Besatzung!$C$11:$C$22)&lt;=B185)*(IF(Besatzung!$D$11:$D$22="",Besatzung!$B$6,Besatzung!$D$11:$D$22)&gt;=B185)),1)),IF(I185="An Bord",(((Besatzung!$B$20&lt;&gt;"")*IF(B185="",1,(IF(Besatzung!$C$20="",Besatzung!$B$5,Besatzung!$C$20)&lt;=B185)*(IF(Besatzung!$D$20="",Besatzung!$B$6,Besatzung!$D$20)&gt;=B185)))*((G185-IFERROR(H185,0))/IFERROR(SUMPRODUCT((Besatzung!$B$11:$B$22&lt;&gt;"")*(IF(Besatzung!$C$11:$C$22="",Besatzung!$B$5,Besatzung!$C$11:$C$22)&lt;=B185)*(IF(Besatzung!$D$11:$D$22="",Besatzung!$B$6,Besatzung!$D$11:$D$22)&gt;=B185)),1)+(Besatzung!$F$20="x")*IFERROR(H185,0)/IFERROR(SUMPRODUCT((Besatzung!$B$11:$B$22&lt;&gt;"")*(Besatzung!$F$11:$F$22="x")*(IF(Besatzung!$C$11:$C$22="",Besatzung!$B$5,Besatzung!$C$11:$C$22)&lt;=B185)*(IF(Besatzung!$D$11:$D$22="",Besatzung!$B$6,Besatzung!$D$11:$D$22)&gt;=B185)),1))),IF(I185="Individuell",((S185="x")*((G185-IFERROR(H185,0))/IFERROR(COUNTIF(J185:U185,"x"),1)+(Besatzung!$F$20="x")*IFERROR(H185,0)/IFERROR(SUMPRODUCT((J185:U185="x")*(Besatzung!$F$11:$F$22="x")),1))),(IF(COUNTIF(J185:U185,"x")=0,IF(Besatzung!$B$20&lt;&gt;"",1,0),(S185="x"))*(G185-IFERROR(H185,0))/IFERROR(IF(COUNTIF(J185:U185,"x")=0,COUNTA(Besatzung!$B$11:$B$22),COUNTIF(J185:U185,"x")),1)+IF(COUNTIF(J185:U185,"x")=0,(Besatzung!$F$20="x"),(S185="x")*(Besatzung!$F$20="x"))*IFERROR(H185,0)/IFERROR(IF(COUNTIF(J185:U185,"x")=0,SUMPRODUCT((Besatzung!$B$11:$B$22&lt;&gt;"")*(Besatzung!$F$11:$F$22="x")),SUMPRODUCT((J185:U185="x")*(Besatzung!$F$11:$F$22="x"))),1))))),0))))</f>
        <v/>
      </c>
      <c r="AF185" s="247">
        <f>IF(C185="Gutschrift","",IF(G185="","",IF(Besatzung!$B$21="","",IFERROR(IF(I185="Zeitanteilig",(Besatzung!$G$21*(G185-IFERROR(H185,0))+((Besatzung!$B$21&lt;&gt;"")*IF(B185="",1,(IF(Besatzung!$C$21="",Besatzung!$B$5,Besatzung!$C$21)&lt;=B185)*(IF(Besatzung!$D$21="",Besatzung!$B$6,Besatzung!$D$21)&gt;=B185)))*(Besatzung!$F$21="x")*IFERROR(H185,0)/IFERROR(SUMPRODUCT((Besatzung!$B$11:$B$22&lt;&gt;"")*(Besatzung!$F$11:$F$22="x")*(IF(Besatzung!$C$11:$C$22="",Besatzung!$B$5,Besatzung!$C$11:$C$22)&lt;=B185)*(IF(Besatzung!$D$11:$D$22="",Besatzung!$B$6,Besatzung!$D$11:$D$22)&gt;=B185)),1)),IF(I185="An Bord",(((Besatzung!$B$21&lt;&gt;"")*IF(B185="",1,(IF(Besatzung!$C$21="",Besatzung!$B$5,Besatzung!$C$21)&lt;=B185)*(IF(Besatzung!$D$21="",Besatzung!$B$6,Besatzung!$D$21)&gt;=B185)))*((G185-IFERROR(H185,0))/IFERROR(SUMPRODUCT((Besatzung!$B$11:$B$22&lt;&gt;"")*(IF(Besatzung!$C$11:$C$22="",Besatzung!$B$5,Besatzung!$C$11:$C$22)&lt;=B185)*(IF(Besatzung!$D$11:$D$22="",Besatzung!$B$6,Besatzung!$D$11:$D$22)&gt;=B185)),1)+(Besatzung!$F$21="x")*IFERROR(H185,0)/IFERROR(SUMPRODUCT((Besatzung!$B$11:$B$22&lt;&gt;"")*(Besatzung!$F$11:$F$22="x")*(IF(Besatzung!$C$11:$C$22="",Besatzung!$B$5,Besatzung!$C$11:$C$22)&lt;=B185)*(IF(Besatzung!$D$11:$D$22="",Besatzung!$B$6,Besatzung!$D$11:$D$22)&gt;=B185)),1))),IF(I185="Individuell",((T185="x")*((G185-IFERROR(H185,0))/IFERROR(COUNTIF(J185:U185,"x"),1)+(Besatzung!$F$21="x")*IFERROR(H185,0)/IFERROR(SUMPRODUCT((J185:U185="x")*(Besatzung!$F$11:$F$22="x")),1))),(IF(COUNTIF(J185:U185,"x")=0,IF(Besatzung!$B$21&lt;&gt;"",1,0),(T185="x"))*(G185-IFERROR(H185,0))/IFERROR(IF(COUNTIF(J185:U185,"x")=0,COUNTA(Besatzung!$B$11:$B$22),COUNTIF(J185:U185,"x")),1)+IF(COUNTIF(J185:U185,"x")=0,(Besatzung!$F$21="x"),(T185="x")*(Besatzung!$F$21="x"))*IFERROR(H185,0)/IFERROR(IF(COUNTIF(J185:U185,"x")=0,SUMPRODUCT((Besatzung!$B$11:$B$22&lt;&gt;"")*(Besatzung!$F$11:$F$22="x")),SUMPRODUCT((J185:U185="x")*(Besatzung!$F$11:$F$22="x"))),1))))),0))))</f>
        <v/>
      </c>
      <c r="AG185" s="247">
        <f>IF(C185="Gutschrift","",IF(G185="","",IF(Besatzung!$B$22="","",IFERROR(IF(I185="Zeitanteilig",(Besatzung!$G$22*(G185-IFERROR(H185,0))+((Besatzung!$B$22&lt;&gt;"")*IF(B185="",1,(IF(Besatzung!$C$22="",Besatzung!$B$5,Besatzung!$C$22)&lt;=B185)*(IF(Besatzung!$D$22="",Besatzung!$B$6,Besatzung!$D$22)&gt;=B185)))*(Besatzung!$F$22="x")*IFERROR(H185,0)/IFERROR(SUMPRODUCT((Besatzung!$B$11:$B$22&lt;&gt;"")*(Besatzung!$F$11:$F$22="x")*(IF(Besatzung!$C$11:$C$22="",Besatzung!$B$5,Besatzung!$C$11:$C$22)&lt;=B185)*(IF(Besatzung!$D$11:$D$22="",Besatzung!$B$6,Besatzung!$D$11:$D$22)&gt;=B185)),1)),IF(I185="An Bord",(((Besatzung!$B$22&lt;&gt;"")*IF(B185="",1,(IF(Besatzung!$C$22="",Besatzung!$B$5,Besatzung!$C$22)&lt;=B185)*(IF(Besatzung!$D$22="",Besatzung!$B$6,Besatzung!$D$22)&gt;=B185)))*((G185-IFERROR(H185,0))/IFERROR(SUMPRODUCT((Besatzung!$B$11:$B$22&lt;&gt;"")*(IF(Besatzung!$C$11:$C$22="",Besatzung!$B$5,Besatzung!$C$11:$C$22)&lt;=B185)*(IF(Besatzung!$D$11:$D$22="",Besatzung!$B$6,Besatzung!$D$11:$D$22)&gt;=B185)),1)+(Besatzung!$F$22="x")*IFERROR(H185,0)/IFERROR(SUMPRODUCT((Besatzung!$B$11:$B$22&lt;&gt;"")*(Besatzung!$F$11:$F$22="x")*(IF(Besatzung!$C$11:$C$22="",Besatzung!$B$5,Besatzung!$C$11:$C$22)&lt;=B185)*(IF(Besatzung!$D$11:$D$22="",Besatzung!$B$6,Besatzung!$D$11:$D$22)&gt;=B185)),1))),IF(I185="Individuell",((U185="x")*((G185-IFERROR(H185,0))/IFERROR(COUNTIF(J185:U185,"x"),1)+(Besatzung!$F$22="x")*IFERROR(H185,0)/IFERROR(SUMPRODUCT((J185:U185="x")*(Besatzung!$F$11:$F$22="x")),1))),(IF(COUNTIF(J185:U185,"x")=0,IF(Besatzung!$B$22&lt;&gt;"",1,0),(U185="x"))*(G185-IFERROR(H185,0))/IFERROR(IF(COUNTIF(J185:U185,"x")=0,COUNTA(Besatzung!$B$11:$B$22),COUNTIF(J185:U185,"x")),1)+IF(COUNTIF(J185:U185,"x")=0,(Besatzung!$F$22="x"),(U185="x")*(Besatzung!$F$22="x"))*IFERROR(H185,0)/IFERROR(IF(COUNTIF(J185:U185,"x")=0,SUMPRODUCT((Besatzung!$B$11:$B$22&lt;&gt;"")*(Besatzung!$F$11:$F$22="x")),SUMPRODUCT((J185:U185="x")*(Besatzung!$F$11:$F$22="x"))),1))))),0))))</f>
        <v/>
      </c>
      <c r="AH185" s="248" t="n"/>
      <c r="AI185" s="248" t="n"/>
    </row>
    <row r="186" ht="21.75" customHeight="1" s="154">
      <c r="A186" s="238">
        <f>IF(AND(D186="",C186=""),"",183)</f>
        <v/>
      </c>
      <c r="B186" s="199" t="n"/>
      <c r="C186" s="239" t="n"/>
      <c r="D186" s="240" t="n"/>
      <c r="E186" s="241" t="n"/>
      <c r="F186" s="242" t="n"/>
      <c r="G186" s="243" t="n"/>
      <c r="H186" s="244" t="n"/>
      <c r="I186" s="245" t="n"/>
      <c r="J186" s="246" t="n"/>
      <c r="K186" s="246" t="n"/>
      <c r="L186" s="246" t="n"/>
      <c r="M186" s="246" t="n"/>
      <c r="N186" s="246" t="n"/>
      <c r="O186" s="246" t="n"/>
      <c r="P186" s="246" t="n"/>
      <c r="Q186" s="246" t="n"/>
      <c r="R186" s="246" t="n"/>
      <c r="S186" s="246" t="n"/>
      <c r="T186" s="246" t="n"/>
      <c r="U186" s="246" t="n"/>
      <c r="V186" s="247">
        <f>IF(C186="Gutschrift","",IF(G186="","",IF(Besatzung!$B$11="","",IFERROR(IF(I186="Zeitanteilig",(Besatzung!$G$11*(G186-IFERROR(H186,0))+((Besatzung!$B$11&lt;&gt;"")*IF(B186="",1,(IF(Besatzung!$C$11="",Besatzung!$B$5,Besatzung!$C$11)&lt;=B186)*(IF(Besatzung!$D$11="",Besatzung!$B$6,Besatzung!$D$11)&gt;=B186)))*(Besatzung!$F$11="x")*IFERROR(H186,0)/IFERROR(SUMPRODUCT((Besatzung!$B$11:$B$22&lt;&gt;"")*(Besatzung!$F$11:$F$22="x")*(IF(Besatzung!$C$11:$C$22="",Besatzung!$B$5,Besatzung!$C$11:$C$22)&lt;=B186)*(IF(Besatzung!$D$11:$D$22="",Besatzung!$B$6,Besatzung!$D$11:$D$22)&gt;=B186)),1)),IF(I186="An Bord",(((Besatzung!$B$11&lt;&gt;"")*IF(B186="",1,(IF(Besatzung!$C$11="",Besatzung!$B$5,Besatzung!$C$11)&lt;=B186)*(IF(Besatzung!$D$11="",Besatzung!$B$6,Besatzung!$D$11)&gt;=B186)))*((G186-IFERROR(H186,0))/IFERROR(SUMPRODUCT((Besatzung!$B$11:$B$22&lt;&gt;"")*(IF(Besatzung!$C$11:$C$22="",Besatzung!$B$5,Besatzung!$C$11:$C$22)&lt;=B186)*(IF(Besatzung!$D$11:$D$22="",Besatzung!$B$6,Besatzung!$D$11:$D$22)&gt;=B186)),1)+(Besatzung!$F$11="x")*IFERROR(H186,0)/IFERROR(SUMPRODUCT((Besatzung!$B$11:$B$22&lt;&gt;"")*(Besatzung!$F$11:$F$22="x")*(IF(Besatzung!$C$11:$C$22="",Besatzung!$B$5,Besatzung!$C$11:$C$22)&lt;=B186)*(IF(Besatzung!$D$11:$D$22="",Besatzung!$B$6,Besatzung!$D$11:$D$22)&gt;=B186)),1))),IF(I186="Individuell",((J186="x")*((G186-IFERROR(H186,0))/IFERROR(COUNTIF(J186:U186,"x"),1)+(Besatzung!$F$11="x")*IFERROR(H186,0)/IFERROR(SUMPRODUCT((J186:U186="x")*(Besatzung!$F$11:$F$22="x")),1))),(IF(COUNTIF(J186:U186,"x")=0,IF(Besatzung!$B$11&lt;&gt;"",1,0),(J186="x"))*(G186-IFERROR(H186,0))/IFERROR(IF(COUNTIF(J186:U186,"x")=0,COUNTA(Besatzung!$B$11:$B$22),COUNTIF(J186:U186,"x")),1)+IF(COUNTIF(J186:U186,"x")=0,(Besatzung!$F$11="x"),(J186="x")*(Besatzung!$F$11="x"))*IFERROR(H186,0)/IFERROR(IF(COUNTIF(J186:U186,"x")=0,SUMPRODUCT((Besatzung!$B$11:$B$22&lt;&gt;"")*(Besatzung!$F$11:$F$22="x")),SUMPRODUCT((J186:U186="x")*(Besatzung!$F$11:$F$22="x"))),1))))),0))))</f>
        <v/>
      </c>
      <c r="W186" s="247">
        <f>IF(C186="Gutschrift","",IF(G186="","",IF(Besatzung!$B$12="","",IFERROR(IF(I186="Zeitanteilig",(Besatzung!$G$12*(G186-IFERROR(H186,0))+((Besatzung!$B$12&lt;&gt;"")*IF(B186="",1,(IF(Besatzung!$C$12="",Besatzung!$B$5,Besatzung!$C$12)&lt;=B186)*(IF(Besatzung!$D$12="",Besatzung!$B$6,Besatzung!$D$12)&gt;=B186)))*(Besatzung!$F$12="x")*IFERROR(H186,0)/IFERROR(SUMPRODUCT((Besatzung!$B$11:$B$22&lt;&gt;"")*(Besatzung!$F$11:$F$22="x")*(IF(Besatzung!$C$11:$C$22="",Besatzung!$B$5,Besatzung!$C$11:$C$22)&lt;=B186)*(IF(Besatzung!$D$11:$D$22="",Besatzung!$B$6,Besatzung!$D$11:$D$22)&gt;=B186)),1)),IF(I186="An Bord",(((Besatzung!$B$12&lt;&gt;"")*IF(B186="",1,(IF(Besatzung!$C$12="",Besatzung!$B$5,Besatzung!$C$12)&lt;=B186)*(IF(Besatzung!$D$12="",Besatzung!$B$6,Besatzung!$D$12)&gt;=B186)))*((G186-IFERROR(H186,0))/IFERROR(SUMPRODUCT((Besatzung!$B$11:$B$22&lt;&gt;"")*(IF(Besatzung!$C$11:$C$22="",Besatzung!$B$5,Besatzung!$C$11:$C$22)&lt;=B186)*(IF(Besatzung!$D$11:$D$22="",Besatzung!$B$6,Besatzung!$D$11:$D$22)&gt;=B186)),1)+(Besatzung!$F$12="x")*IFERROR(H186,0)/IFERROR(SUMPRODUCT((Besatzung!$B$11:$B$22&lt;&gt;"")*(Besatzung!$F$11:$F$22="x")*(IF(Besatzung!$C$11:$C$22="",Besatzung!$B$5,Besatzung!$C$11:$C$22)&lt;=B186)*(IF(Besatzung!$D$11:$D$22="",Besatzung!$B$6,Besatzung!$D$11:$D$22)&gt;=B186)),1))),IF(I186="Individuell",((K186="x")*((G186-IFERROR(H186,0))/IFERROR(COUNTIF(J186:U186,"x"),1)+(Besatzung!$F$12="x")*IFERROR(H186,0)/IFERROR(SUMPRODUCT((J186:U186="x")*(Besatzung!$F$11:$F$22="x")),1))),(IF(COUNTIF(J186:U186,"x")=0,IF(Besatzung!$B$12&lt;&gt;"",1,0),(K186="x"))*(G186-IFERROR(H186,0))/IFERROR(IF(COUNTIF(J186:U186,"x")=0,COUNTA(Besatzung!$B$11:$B$22),COUNTIF(J186:U186,"x")),1)+IF(COUNTIF(J186:U186,"x")=0,(Besatzung!$F$12="x"),(K186="x")*(Besatzung!$F$12="x"))*IFERROR(H186,0)/IFERROR(IF(COUNTIF(J186:U186,"x")=0,SUMPRODUCT((Besatzung!$B$11:$B$22&lt;&gt;"")*(Besatzung!$F$11:$F$22="x")),SUMPRODUCT((J186:U186="x")*(Besatzung!$F$11:$F$22="x"))),1))))),0))))</f>
        <v/>
      </c>
      <c r="X186" s="247">
        <f>IF(C186="Gutschrift","",IF(G186="","",IF(Besatzung!$B$13="","",IFERROR(IF(I186="Zeitanteilig",(Besatzung!$G$13*(G186-IFERROR(H186,0))+((Besatzung!$B$13&lt;&gt;"")*IF(B186="",1,(IF(Besatzung!$C$13="",Besatzung!$B$5,Besatzung!$C$13)&lt;=B186)*(IF(Besatzung!$D$13="",Besatzung!$B$6,Besatzung!$D$13)&gt;=B186)))*(Besatzung!$F$13="x")*IFERROR(H186,0)/IFERROR(SUMPRODUCT((Besatzung!$B$11:$B$22&lt;&gt;"")*(Besatzung!$F$11:$F$22="x")*(IF(Besatzung!$C$11:$C$22="",Besatzung!$B$5,Besatzung!$C$11:$C$22)&lt;=B186)*(IF(Besatzung!$D$11:$D$22="",Besatzung!$B$6,Besatzung!$D$11:$D$22)&gt;=B186)),1)),IF(I186="An Bord",(((Besatzung!$B$13&lt;&gt;"")*IF(B186="",1,(IF(Besatzung!$C$13="",Besatzung!$B$5,Besatzung!$C$13)&lt;=B186)*(IF(Besatzung!$D$13="",Besatzung!$B$6,Besatzung!$D$13)&gt;=B186)))*((G186-IFERROR(H186,0))/IFERROR(SUMPRODUCT((Besatzung!$B$11:$B$22&lt;&gt;"")*(IF(Besatzung!$C$11:$C$22="",Besatzung!$B$5,Besatzung!$C$11:$C$22)&lt;=B186)*(IF(Besatzung!$D$11:$D$22="",Besatzung!$B$6,Besatzung!$D$11:$D$22)&gt;=B186)),1)+(Besatzung!$F$13="x")*IFERROR(H186,0)/IFERROR(SUMPRODUCT((Besatzung!$B$11:$B$22&lt;&gt;"")*(Besatzung!$F$11:$F$22="x")*(IF(Besatzung!$C$11:$C$22="",Besatzung!$B$5,Besatzung!$C$11:$C$22)&lt;=B186)*(IF(Besatzung!$D$11:$D$22="",Besatzung!$B$6,Besatzung!$D$11:$D$22)&gt;=B186)),1))),IF(I186="Individuell",((K186="x")*((G186-IFERROR(H186,0))/IFERROR(COUNTIF(J186:U186,"x"),1)+(Besatzung!$F$13="x")*IFERROR(H186,0)/IFERROR(SUMPRODUCT((J186:U186="x")*(Besatzung!$F$11:$F$22="x")),1))),(IF(COUNTIF(J186:U186,"x")=0,IF(Besatzung!$B$13&lt;&gt;"",1,0),(K186="x"))*(G186-IFERROR(H186,0))/IFERROR(IF(COUNTIF(J186:U186,"x")=0,COUNTA(Besatzung!$B$11:$B$22),COUNTIF(J186:U186,"x")),1)+IF(COUNTIF(J186:U186,"x")=0,(Besatzung!$F$13="x"),(K186="x")*(Besatzung!$F$13="x"))*IFERROR(H186,0)/IFERROR(IF(COUNTIF(J186:U186,"x")=0,SUMPRODUCT((Besatzung!$B$11:$B$22&lt;&gt;"")*(Besatzung!$F$11:$F$22="x")),SUMPRODUCT((J186:U186="x")*(Besatzung!$F$11:$F$22="x"))),1))))),0))))</f>
        <v/>
      </c>
      <c r="Y186" s="247">
        <f>IF(C186="Gutschrift","",IF(G186="","",IF(Besatzung!$B$14="","",IFERROR(IF(I186="Zeitanteilig",(Besatzung!$G$14*(G186-IFERROR(H186,0))+((Besatzung!$B$14&lt;&gt;"")*IF(B186="",1,(IF(Besatzung!$C$14="",Besatzung!$B$5,Besatzung!$C$14)&lt;=B186)*(IF(Besatzung!$D$14="",Besatzung!$B$6,Besatzung!$D$14)&gt;=B186)))*(Besatzung!$F$14="x")*IFERROR(H186,0)/IFERROR(SUMPRODUCT((Besatzung!$B$11:$B$22&lt;&gt;"")*(Besatzung!$F$11:$F$22="x")*(IF(Besatzung!$C$11:$C$22="",Besatzung!$B$5,Besatzung!$C$11:$C$22)&lt;=B186)*(IF(Besatzung!$D$11:$D$22="",Besatzung!$B$6,Besatzung!$D$11:$D$22)&gt;=B186)),1)),IF(I186="An Bord",(((Besatzung!$B$14&lt;&gt;"")*IF(B186="",1,(IF(Besatzung!$C$14="",Besatzung!$B$5,Besatzung!$C$14)&lt;=B186)*(IF(Besatzung!$D$14="",Besatzung!$B$6,Besatzung!$D$14)&gt;=B186)))*((G186-IFERROR(H186,0))/IFERROR(SUMPRODUCT((Besatzung!$B$11:$B$22&lt;&gt;"")*(IF(Besatzung!$C$11:$C$22="",Besatzung!$B$5,Besatzung!$C$11:$C$22)&lt;=B186)*(IF(Besatzung!$D$11:$D$22="",Besatzung!$B$6,Besatzung!$D$11:$D$22)&gt;=B186)),1)+(Besatzung!$F$14="x")*IFERROR(H186,0)/IFERROR(SUMPRODUCT((Besatzung!$B$11:$B$22&lt;&gt;"")*(Besatzung!$F$11:$F$22="x")*(IF(Besatzung!$C$11:$C$22="",Besatzung!$B$5,Besatzung!$C$11:$C$22)&lt;=B186)*(IF(Besatzung!$D$11:$D$22="",Besatzung!$B$6,Besatzung!$D$11:$D$22)&gt;=B186)),1))),IF(I186="Individuell",((M186="x")*((G186-IFERROR(H186,0))/IFERROR(COUNTIF(J186:U186,"x"),1)+(Besatzung!$F$14="x")*IFERROR(H186,0)/IFERROR(SUMPRODUCT((J186:U186="x")*(Besatzung!$F$11:$F$22="x")),1))),(IF(COUNTIF(J186:U186,"x")=0,IF(Besatzung!$B$14&lt;&gt;"",1,0),(M186="x"))*(G186-IFERROR(H186,0))/IFERROR(IF(COUNTIF(J186:U186,"x")=0,COUNTA(Besatzung!$B$11:$B$22),COUNTIF(J186:U186,"x")),1)+IF(COUNTIF(J186:U186,"x")=0,(Besatzung!$F$14="x"),(M186="x")*(Besatzung!$F$14="x"))*IFERROR(H186,0)/IFERROR(IF(COUNTIF(J186:U186,"x")=0,SUMPRODUCT((Besatzung!$B$11:$B$22&lt;&gt;"")*(Besatzung!$F$11:$F$22="x")),SUMPRODUCT((J186:U186="x")*(Besatzung!$F$11:$F$22="x"))),1))))),0))))</f>
        <v/>
      </c>
      <c r="Z186" s="247">
        <f>IF(C186="Gutschrift","",IF(G186="","",IF(Besatzung!$B$13="","",IFERROR(IF(I186="Zeitanteilig",(Besatzung!$G$15*(G186-IFERROR(H186,0))+((Besatzung!$B$13&lt;&gt;"")*IF(B186="",1,(IF(Besatzung!$C$15="",Besatzung!$B$5,Besatzung!$C$15)&lt;=B186)*(IF(Besatzung!$D$15="",Besatzung!$B$6,Besatzung!$D$15)&gt;=B186)))*(Besatzung!$F$15="x")*IFERROR(H186,0)/IFERROR(SUMPRODUCT((Besatzung!$B$11:$B$22&lt;&gt;"")*(Besatzung!$F$11:$F$22="x")*(IF(Besatzung!$C$11:$C$22="",Besatzung!$B$5,Besatzung!$C$11:$C$22)&lt;=B186)*(IF(Besatzung!$D$11:$D$22="",Besatzung!$B$6,Besatzung!$D$11:$D$22)&gt;=B186)),1)),IF(I186="An Bord",(((Besatzung!$B$13&lt;&gt;"")*IF(B186="",1,(IF(Besatzung!$C$15="",Besatzung!$B$5,Besatzung!$C$15)&lt;=B186)*(IF(Besatzung!$D$15="",Besatzung!$B$6,Besatzung!$D$15)&gt;=B186)))*((G186-IFERROR(H186,0))/IFERROR(SUMPRODUCT((Besatzung!$B$11:$B$22&lt;&gt;"")*(IF(Besatzung!$C$11:$C$22="",Besatzung!$B$5,Besatzung!$C$11:$C$22)&lt;=B186)*(IF(Besatzung!$D$11:$D$22="",Besatzung!$B$6,Besatzung!$D$11:$D$22)&gt;=B186)),1)+(Besatzung!$F$15="x")*IFERROR(H186,0)/IFERROR(SUMPRODUCT((Besatzung!$B$11:$B$22&lt;&gt;"")*(Besatzung!$F$11:$F$22="x")*(IF(Besatzung!$C$11:$C$22="",Besatzung!$B$5,Besatzung!$C$11:$C$22)&lt;=B186)*(IF(Besatzung!$D$11:$D$22="",Besatzung!$B$6,Besatzung!$D$11:$D$22)&gt;=B186)),1))),IF(I186="Individuell",((N186="x")*((G186-IFERROR(H186,0))/IFERROR(COUNTIF(J186:U186,"x"),1)+(Besatzung!$F$15="x")*IFERROR(H186,0)/IFERROR(SUMPRODUCT((J186:U186="x")*(Besatzung!$F$11:$F$22="x")),1))),(IF(COUNTIF(J186:U186,"x")=0,IF(Besatzung!$B$13&lt;&gt;"",1,0),(N186="x"))*(G186-IFERROR(H186,0))/IFERROR(IF(COUNTIF(J186:U186,"x")=0,COUNTA(Besatzung!$B$11:$B$22),COUNTIF(J186:U186,"x")),1)+IF(COUNTIF(J186:U186,"x")=0,(Besatzung!$F$15="x"),(N186="x")*(Besatzung!$F$15="x"))*IFERROR(H186,0)/IFERROR(IF(COUNTIF(J186:U186,"x")=0,SUMPRODUCT((Besatzung!$B$11:$B$22&lt;&gt;"")*(Besatzung!$F$11:$F$22="x")),SUMPRODUCT((J186:U186="x")*(Besatzung!$F$11:$F$22="x"))),1))))),0))))</f>
        <v/>
      </c>
      <c r="AA186" s="247">
        <f>IF(C186="Gutschrift","",IF(G186="","",IF(Besatzung!$B$15="","",IFERROR(IF(I186="Zeitanteilig",(Besatzung!$G$16*(G186-IFERROR(H186,0))+((Besatzung!$B$15&lt;&gt;"")*IF(B186="",1,(IF(Besatzung!$C$16="",Besatzung!$B$5,Besatzung!$C$16)&lt;=B186)*(IF(Besatzung!$D$16="",Besatzung!$B$6,Besatzung!$D$16)&gt;=B186)))*(Besatzung!$F$16="x")*IFERROR(H186,0)/IFERROR(SUMPRODUCT((Besatzung!$B$11:$B$22&lt;&gt;"")*(Besatzung!$F$11:$F$22="x")*(IF(Besatzung!$C$11:$C$22="",Besatzung!$B$5,Besatzung!$C$11:$C$22)&lt;=B186)*(IF(Besatzung!$D$11:$D$22="",Besatzung!$B$6,Besatzung!$D$11:$D$22)&gt;=B186)),1)),IF(I186="An Bord",(((Besatzung!$B$15&lt;&gt;"")*IF(B186="",1,(IF(Besatzung!$C$16="",Besatzung!$B$5,Besatzung!$C$16)&lt;=B186)*(IF(Besatzung!$D$16="",Besatzung!$B$6,Besatzung!$D$16)&gt;=B186)))*((G186-IFERROR(H186,0))/IFERROR(SUMPRODUCT((Besatzung!$B$11:$B$22&lt;&gt;"")*(IF(Besatzung!$C$11:$C$22="",Besatzung!$B$5,Besatzung!$C$11:$C$22)&lt;=B186)*(IF(Besatzung!$D$11:$D$22="",Besatzung!$B$6,Besatzung!$D$11:$D$22)&gt;=B186)),1)+(Besatzung!$F$16="x")*IFERROR(H186,0)/IFERROR(SUMPRODUCT((Besatzung!$B$11:$B$22&lt;&gt;"")*(Besatzung!$F$11:$F$22="x")*(IF(Besatzung!$C$11:$C$22="",Besatzung!$B$5,Besatzung!$C$11:$C$22)&lt;=B186)*(IF(Besatzung!$D$11:$D$22="",Besatzung!$B$6,Besatzung!$D$11:$D$22)&gt;=B186)),1))),IF(I186="Individuell",((O186="x")*((G186-IFERROR(H186,0))/IFERROR(COUNTIF(J186:U186,"x"),1)+(Besatzung!$F$16="x")*IFERROR(H186,0)/IFERROR(SUMPRODUCT((J186:U186="x")*(Besatzung!$F$11:$F$22="x")),1))),(IF(COUNTIF(J186:U186,"x")=0,IF(Besatzung!$B$15&lt;&gt;"",1,0),(O186="x"))*(G186-IFERROR(H186,0))/IFERROR(IF(COUNTIF(J186:U186,"x")=0,COUNTA(Besatzung!$B$11:$B$22),COUNTIF(J186:U186,"x")),1)+IF(COUNTIF(J186:U186,"x")=0,(Besatzung!$F$16="x"),(O186="x")*(Besatzung!$F$16="x"))*IFERROR(H186,0)/IFERROR(IF(COUNTIF(J186:U186,"x")=0,SUMPRODUCT((Besatzung!$B$11:$B$22&lt;&gt;"")*(Besatzung!$F$11:$F$22="x")),SUMPRODUCT((J186:U186="x")*(Besatzung!$F$11:$F$22="x"))),1))))),0))))</f>
        <v/>
      </c>
      <c r="AB186" s="247">
        <f>IF(C186="Gutschrift","",IF(G186="","",IF(Besatzung!$B$17="","",IFERROR(IF(I186="Zeitanteilig",(Besatzung!$G$17*(G186-IFERROR(H186,0))+((Besatzung!$B$17&lt;&gt;"")*IF(B186="",1,(IF(Besatzung!$C$17="",Besatzung!$B$5,Besatzung!$C$17)&lt;=B186)*(IF(Besatzung!$D$17="",Besatzung!$B$6,Besatzung!$D$17)&gt;=B186)))*(Besatzung!$F$17="x")*IFERROR(H186,0)/IFERROR(SUMPRODUCT((Besatzung!$B$11:$B$22&lt;&gt;"")*(Besatzung!$F$11:$F$22="x")*(IF(Besatzung!$C$11:$C$22="",Besatzung!$B$5,Besatzung!$C$11:$C$22)&lt;=B186)*(IF(Besatzung!$D$11:$D$22="",Besatzung!$B$6,Besatzung!$D$11:$D$22)&gt;=B186)),1)),IF(I186="An Bord",(((Besatzung!$B$17&lt;&gt;"")*IF(B186="",1,(IF(Besatzung!$C$17="",Besatzung!$B$5,Besatzung!$C$17)&lt;=B186)*(IF(Besatzung!$D$17="",Besatzung!$B$6,Besatzung!$D$17)&gt;=B186)))*((G186-IFERROR(H186,0))/IFERROR(SUMPRODUCT((Besatzung!$B$11:$B$22&lt;&gt;"")*(IF(Besatzung!$C$11:$C$22="",Besatzung!$B$5,Besatzung!$C$11:$C$22)&lt;=B186)*(IF(Besatzung!$D$11:$D$22="",Besatzung!$B$6,Besatzung!$D$11:$D$22)&gt;=B186)),1)+(Besatzung!$F$17="x")*IFERROR(H186,0)/IFERROR(SUMPRODUCT((Besatzung!$B$11:$B$22&lt;&gt;"")*(Besatzung!$F$11:$F$22="x")*(IF(Besatzung!$C$11:$C$22="",Besatzung!$B$5,Besatzung!$C$11:$C$22)&lt;=B186)*(IF(Besatzung!$D$11:$D$22="",Besatzung!$B$6,Besatzung!$D$11:$D$22)&gt;=B186)),1))),IF(I186="Individuell",((P186="x")*((G186-IFERROR(H186,0))/IFERROR(COUNTIF(J186:U186,"x"),1)+(Besatzung!$F$17="x")*IFERROR(H186,0)/IFERROR(SUMPRODUCT((J186:U186="x")*(Besatzung!$F$11:$F$22="x")),1))),(IF(COUNTIF(J186:U186,"x")=0,IF(Besatzung!$B$17&lt;&gt;"",1,0),(P186="x"))*(G186-IFERROR(H186,0))/IFERROR(IF(COUNTIF(J186:U186,"x")=0,COUNTA(Besatzung!$B$11:$B$22),COUNTIF(J186:U186,"x")),1)+IF(COUNTIF(J186:U186,"x")=0,(Besatzung!$F$17="x"),(P186="x")*(Besatzung!$F$17="x"))*IFERROR(H186,0)/IFERROR(IF(COUNTIF(J186:U186,"x")=0,SUMPRODUCT((Besatzung!$B$11:$B$22&lt;&gt;"")*(Besatzung!$F$11:$F$22="x")),SUMPRODUCT((J186:U186="x")*(Besatzung!$F$11:$F$22="x"))),1))))),0))))</f>
        <v/>
      </c>
      <c r="AC186" s="247">
        <f>IF(C186="Gutschrift","",IF(G186="","",IF(Besatzung!$B$18="","",IFERROR(IF(I186="Zeitanteilig",(Besatzung!$G$18*(G186-IFERROR(H186,0))+((Besatzung!$B$18&lt;&gt;"")*IF(B186="",1,(IF(Besatzung!$C$18="",Besatzung!$B$5,Besatzung!$C$18)&lt;=B186)*(IF(Besatzung!$D$18="",Besatzung!$B$6,Besatzung!$D$18)&gt;=B186)))*(Besatzung!$F$18="x")*IFERROR(H186,0)/IFERROR(SUMPRODUCT((Besatzung!$B$11:$B$22&lt;&gt;"")*(Besatzung!$F$11:$F$22="x")*(IF(Besatzung!$C$11:$C$22="",Besatzung!$B$5,Besatzung!$C$11:$C$22)&lt;=B186)*(IF(Besatzung!$D$11:$D$22="",Besatzung!$B$6,Besatzung!$D$11:$D$22)&gt;=B186)),1)),IF(I186="An Bord",(((Besatzung!$B$18&lt;&gt;"")*IF(B186="",1,(IF(Besatzung!$C$18="",Besatzung!$B$5,Besatzung!$C$18)&lt;=B186)*(IF(Besatzung!$D$18="",Besatzung!$B$6,Besatzung!$D$18)&gt;=B186)))*((G186-IFERROR(H186,0))/IFERROR(SUMPRODUCT((Besatzung!$B$11:$B$22&lt;&gt;"")*(IF(Besatzung!$C$11:$C$22="",Besatzung!$B$5,Besatzung!$C$11:$C$22)&lt;=B186)*(IF(Besatzung!$D$11:$D$22="",Besatzung!$B$6,Besatzung!$D$11:$D$22)&gt;=B186)),1)+(Besatzung!$F$18="x")*IFERROR(H186,0)/IFERROR(SUMPRODUCT((Besatzung!$B$11:$B$22&lt;&gt;"")*(Besatzung!$F$11:$F$22="x")*(IF(Besatzung!$C$11:$C$22="",Besatzung!$B$5,Besatzung!$C$11:$C$22)&lt;=B186)*(IF(Besatzung!$D$11:$D$22="",Besatzung!$B$6,Besatzung!$D$11:$D$22)&gt;=B186)),1))),IF(I186="Individuell",((Q186="x")*((G186-IFERROR(H186,0))/IFERROR(COUNTIF(J186:U186,"x"),1)+(Besatzung!$F$18="x")*IFERROR(H186,0)/IFERROR(SUMPRODUCT((J186:U186="x")*(Besatzung!$F$11:$F$22="x")),1))),(IF(COUNTIF(J186:U186,"x")=0,IF(Besatzung!$B$18&lt;&gt;"",1,0),(Q186="x"))*(G186-IFERROR(H186,0))/IFERROR(IF(COUNTIF(J186:U186,"x")=0,COUNTA(Besatzung!$B$11:$B$22),COUNTIF(J186:U186,"x")),1)+IF(COUNTIF(J186:U186,"x")=0,(Besatzung!$F$18="x"),(Q186="x")*(Besatzung!$F$18="x"))*IFERROR(H186,0)/IFERROR(IF(COUNTIF(J186:U186,"x")=0,SUMPRODUCT((Besatzung!$B$11:$B$22&lt;&gt;"")*(Besatzung!$F$11:$F$22="x")),SUMPRODUCT((J186:U186="x")*(Besatzung!$F$11:$F$22="x"))),1))))),0))))</f>
        <v/>
      </c>
      <c r="AD186" s="247">
        <f>IF(C186="Gutschrift","",IF(G186="","",IF(Besatzung!$B$19="","",IFERROR(IF(I186="Zeitanteilig",(Besatzung!$G$19*(G186-IFERROR(H186,0))+((Besatzung!$B$19&lt;&gt;"")*IF(B186="",1,(IF(Besatzung!$C$19="",Besatzung!$B$5,Besatzung!$C$19)&lt;=B186)*(IF(Besatzung!$D$19="",Besatzung!$B$6,Besatzung!$D$19)&gt;=B186)))*(Besatzung!$F$19="x")*IFERROR(H186,0)/IFERROR(SUMPRODUCT((Besatzung!$B$11:$B$22&lt;&gt;"")*(Besatzung!$F$11:$F$22="x")*(IF(Besatzung!$C$11:$C$22="",Besatzung!$B$5,Besatzung!$C$11:$C$22)&lt;=B186)*(IF(Besatzung!$D$11:$D$22="",Besatzung!$B$6,Besatzung!$D$11:$D$22)&gt;=B186)),1)),IF(I186="An Bord",(((Besatzung!$B$19&lt;&gt;"")*IF(B186="",1,(IF(Besatzung!$C$19="",Besatzung!$B$5,Besatzung!$C$19)&lt;=B186)*(IF(Besatzung!$D$19="",Besatzung!$B$6,Besatzung!$D$19)&gt;=B186)))*((G186-IFERROR(H186,0))/IFERROR(SUMPRODUCT((Besatzung!$B$11:$B$22&lt;&gt;"")*(IF(Besatzung!$C$11:$C$22="",Besatzung!$B$5,Besatzung!$C$11:$C$22)&lt;=B186)*(IF(Besatzung!$D$11:$D$22="",Besatzung!$B$6,Besatzung!$D$11:$D$22)&gt;=B186)),1)+(Besatzung!$F$19="x")*IFERROR(H186,0)/IFERROR(SUMPRODUCT((Besatzung!$B$11:$B$22&lt;&gt;"")*(Besatzung!$F$11:$F$22="x")*(IF(Besatzung!$C$11:$C$22="",Besatzung!$B$5,Besatzung!$C$11:$C$22)&lt;=B186)*(IF(Besatzung!$D$11:$D$22="",Besatzung!$B$6,Besatzung!$D$11:$D$22)&gt;=B186)),1))),IF(I186="Individuell",((R186="x")*((G186-IFERROR(H186,0))/IFERROR(COUNTIF(J186:U186,"x"),1)+(Besatzung!$F$19="x")*IFERROR(H186,0)/IFERROR(SUMPRODUCT((J186:U186="x")*(Besatzung!$F$11:$F$22="x")),1))),(IF(COUNTIF(J186:U186,"x")=0,IF(Besatzung!$B$19&lt;&gt;"",1,0),(R186="x"))*(G186-IFERROR(H186,0))/IFERROR(IF(COUNTIF(J186:U186,"x")=0,COUNTA(Besatzung!$B$11:$B$22),COUNTIF(J186:U186,"x")),1)+IF(COUNTIF(J186:U186,"x")=0,(Besatzung!$F$19="x"),(R186="x")*(Besatzung!$F$19="x"))*IFERROR(H186,0)/IFERROR(IF(COUNTIF(J186:U186,"x")=0,SUMPRODUCT((Besatzung!$B$11:$B$22&lt;&gt;"")*(Besatzung!$F$11:$F$22="x")),SUMPRODUCT((J186:U186="x")*(Besatzung!$F$11:$F$22="x"))),1))))),0))))</f>
        <v/>
      </c>
      <c r="AE186" s="247">
        <f>IF(C186="Gutschrift","",IF(G186="","",IF(Besatzung!$B$20="","",IFERROR(IF(I186="Zeitanteilig",(Besatzung!$G$20*(G186-IFERROR(H186,0))+((Besatzung!$B$20&lt;&gt;"")*IF(B186="",1,(IF(Besatzung!$C$20="",Besatzung!$B$5,Besatzung!$C$20)&lt;=B186)*(IF(Besatzung!$D$20="",Besatzung!$B$6,Besatzung!$D$20)&gt;=B186)))*(Besatzung!$F$20="x")*IFERROR(H186,0)/IFERROR(SUMPRODUCT((Besatzung!$B$11:$B$22&lt;&gt;"")*(Besatzung!$F$11:$F$22="x")*(IF(Besatzung!$C$11:$C$22="",Besatzung!$B$5,Besatzung!$C$11:$C$22)&lt;=B186)*(IF(Besatzung!$D$11:$D$22="",Besatzung!$B$6,Besatzung!$D$11:$D$22)&gt;=B186)),1)),IF(I186="An Bord",(((Besatzung!$B$20&lt;&gt;"")*IF(B186="",1,(IF(Besatzung!$C$20="",Besatzung!$B$5,Besatzung!$C$20)&lt;=B186)*(IF(Besatzung!$D$20="",Besatzung!$B$6,Besatzung!$D$20)&gt;=B186)))*((G186-IFERROR(H186,0))/IFERROR(SUMPRODUCT((Besatzung!$B$11:$B$22&lt;&gt;"")*(IF(Besatzung!$C$11:$C$22="",Besatzung!$B$5,Besatzung!$C$11:$C$22)&lt;=B186)*(IF(Besatzung!$D$11:$D$22="",Besatzung!$B$6,Besatzung!$D$11:$D$22)&gt;=B186)),1)+(Besatzung!$F$20="x")*IFERROR(H186,0)/IFERROR(SUMPRODUCT((Besatzung!$B$11:$B$22&lt;&gt;"")*(Besatzung!$F$11:$F$22="x")*(IF(Besatzung!$C$11:$C$22="",Besatzung!$B$5,Besatzung!$C$11:$C$22)&lt;=B186)*(IF(Besatzung!$D$11:$D$22="",Besatzung!$B$6,Besatzung!$D$11:$D$22)&gt;=B186)),1))),IF(I186="Individuell",((S186="x")*((G186-IFERROR(H186,0))/IFERROR(COUNTIF(J186:U186,"x"),1)+(Besatzung!$F$20="x")*IFERROR(H186,0)/IFERROR(SUMPRODUCT((J186:U186="x")*(Besatzung!$F$11:$F$22="x")),1))),(IF(COUNTIF(J186:U186,"x")=0,IF(Besatzung!$B$20&lt;&gt;"",1,0),(S186="x"))*(G186-IFERROR(H186,0))/IFERROR(IF(COUNTIF(J186:U186,"x")=0,COUNTA(Besatzung!$B$11:$B$22),COUNTIF(J186:U186,"x")),1)+IF(COUNTIF(J186:U186,"x")=0,(Besatzung!$F$20="x"),(S186="x")*(Besatzung!$F$20="x"))*IFERROR(H186,0)/IFERROR(IF(COUNTIF(J186:U186,"x")=0,SUMPRODUCT((Besatzung!$B$11:$B$22&lt;&gt;"")*(Besatzung!$F$11:$F$22="x")),SUMPRODUCT((J186:U186="x")*(Besatzung!$F$11:$F$22="x"))),1))))),0))))</f>
        <v/>
      </c>
      <c r="AF186" s="247">
        <f>IF(C186="Gutschrift","",IF(G186="","",IF(Besatzung!$B$21="","",IFERROR(IF(I186="Zeitanteilig",(Besatzung!$G$21*(G186-IFERROR(H186,0))+((Besatzung!$B$21&lt;&gt;"")*IF(B186="",1,(IF(Besatzung!$C$21="",Besatzung!$B$5,Besatzung!$C$21)&lt;=B186)*(IF(Besatzung!$D$21="",Besatzung!$B$6,Besatzung!$D$21)&gt;=B186)))*(Besatzung!$F$21="x")*IFERROR(H186,0)/IFERROR(SUMPRODUCT((Besatzung!$B$11:$B$22&lt;&gt;"")*(Besatzung!$F$11:$F$22="x")*(IF(Besatzung!$C$11:$C$22="",Besatzung!$B$5,Besatzung!$C$11:$C$22)&lt;=B186)*(IF(Besatzung!$D$11:$D$22="",Besatzung!$B$6,Besatzung!$D$11:$D$22)&gt;=B186)),1)),IF(I186="An Bord",(((Besatzung!$B$21&lt;&gt;"")*IF(B186="",1,(IF(Besatzung!$C$21="",Besatzung!$B$5,Besatzung!$C$21)&lt;=B186)*(IF(Besatzung!$D$21="",Besatzung!$B$6,Besatzung!$D$21)&gt;=B186)))*((G186-IFERROR(H186,0))/IFERROR(SUMPRODUCT((Besatzung!$B$11:$B$22&lt;&gt;"")*(IF(Besatzung!$C$11:$C$22="",Besatzung!$B$5,Besatzung!$C$11:$C$22)&lt;=B186)*(IF(Besatzung!$D$11:$D$22="",Besatzung!$B$6,Besatzung!$D$11:$D$22)&gt;=B186)),1)+(Besatzung!$F$21="x")*IFERROR(H186,0)/IFERROR(SUMPRODUCT((Besatzung!$B$11:$B$22&lt;&gt;"")*(Besatzung!$F$11:$F$22="x")*(IF(Besatzung!$C$11:$C$22="",Besatzung!$B$5,Besatzung!$C$11:$C$22)&lt;=B186)*(IF(Besatzung!$D$11:$D$22="",Besatzung!$B$6,Besatzung!$D$11:$D$22)&gt;=B186)),1))),IF(I186="Individuell",((T186="x")*((G186-IFERROR(H186,0))/IFERROR(COUNTIF(J186:U186,"x"),1)+(Besatzung!$F$21="x")*IFERROR(H186,0)/IFERROR(SUMPRODUCT((J186:U186="x")*(Besatzung!$F$11:$F$22="x")),1))),(IF(COUNTIF(J186:U186,"x")=0,IF(Besatzung!$B$21&lt;&gt;"",1,0),(T186="x"))*(G186-IFERROR(H186,0))/IFERROR(IF(COUNTIF(J186:U186,"x")=0,COUNTA(Besatzung!$B$11:$B$22),COUNTIF(J186:U186,"x")),1)+IF(COUNTIF(J186:U186,"x")=0,(Besatzung!$F$21="x"),(T186="x")*(Besatzung!$F$21="x"))*IFERROR(H186,0)/IFERROR(IF(COUNTIF(J186:U186,"x")=0,SUMPRODUCT((Besatzung!$B$11:$B$22&lt;&gt;"")*(Besatzung!$F$11:$F$22="x")),SUMPRODUCT((J186:U186="x")*(Besatzung!$F$11:$F$22="x"))),1))))),0))))</f>
        <v/>
      </c>
      <c r="AG186" s="247">
        <f>IF(C186="Gutschrift","",IF(G186="","",IF(Besatzung!$B$22="","",IFERROR(IF(I186="Zeitanteilig",(Besatzung!$G$22*(G186-IFERROR(H186,0))+((Besatzung!$B$22&lt;&gt;"")*IF(B186="",1,(IF(Besatzung!$C$22="",Besatzung!$B$5,Besatzung!$C$22)&lt;=B186)*(IF(Besatzung!$D$22="",Besatzung!$B$6,Besatzung!$D$22)&gt;=B186)))*(Besatzung!$F$22="x")*IFERROR(H186,0)/IFERROR(SUMPRODUCT((Besatzung!$B$11:$B$22&lt;&gt;"")*(Besatzung!$F$11:$F$22="x")*(IF(Besatzung!$C$11:$C$22="",Besatzung!$B$5,Besatzung!$C$11:$C$22)&lt;=B186)*(IF(Besatzung!$D$11:$D$22="",Besatzung!$B$6,Besatzung!$D$11:$D$22)&gt;=B186)),1)),IF(I186="An Bord",(((Besatzung!$B$22&lt;&gt;"")*IF(B186="",1,(IF(Besatzung!$C$22="",Besatzung!$B$5,Besatzung!$C$22)&lt;=B186)*(IF(Besatzung!$D$22="",Besatzung!$B$6,Besatzung!$D$22)&gt;=B186)))*((G186-IFERROR(H186,0))/IFERROR(SUMPRODUCT((Besatzung!$B$11:$B$22&lt;&gt;"")*(IF(Besatzung!$C$11:$C$22="",Besatzung!$B$5,Besatzung!$C$11:$C$22)&lt;=B186)*(IF(Besatzung!$D$11:$D$22="",Besatzung!$B$6,Besatzung!$D$11:$D$22)&gt;=B186)),1)+(Besatzung!$F$22="x")*IFERROR(H186,0)/IFERROR(SUMPRODUCT((Besatzung!$B$11:$B$22&lt;&gt;"")*(Besatzung!$F$11:$F$22="x")*(IF(Besatzung!$C$11:$C$22="",Besatzung!$B$5,Besatzung!$C$11:$C$22)&lt;=B186)*(IF(Besatzung!$D$11:$D$22="",Besatzung!$B$6,Besatzung!$D$11:$D$22)&gt;=B186)),1))),IF(I186="Individuell",((U186="x")*((G186-IFERROR(H186,0))/IFERROR(COUNTIF(J186:U186,"x"),1)+(Besatzung!$F$22="x")*IFERROR(H186,0)/IFERROR(SUMPRODUCT((J186:U186="x")*(Besatzung!$F$11:$F$22="x")),1))),(IF(COUNTIF(J186:U186,"x")=0,IF(Besatzung!$B$22&lt;&gt;"",1,0),(U186="x"))*(G186-IFERROR(H186,0))/IFERROR(IF(COUNTIF(J186:U186,"x")=0,COUNTA(Besatzung!$B$11:$B$22),COUNTIF(J186:U186,"x")),1)+IF(COUNTIF(J186:U186,"x")=0,(Besatzung!$F$22="x"),(U186="x")*(Besatzung!$F$22="x"))*IFERROR(H186,0)/IFERROR(IF(COUNTIF(J186:U186,"x")=0,SUMPRODUCT((Besatzung!$B$11:$B$22&lt;&gt;"")*(Besatzung!$F$11:$F$22="x")),SUMPRODUCT((J186:U186="x")*(Besatzung!$F$11:$F$22="x"))),1))))),0))))</f>
        <v/>
      </c>
      <c r="AH186" s="248" t="n"/>
      <c r="AI186" s="248" t="n"/>
    </row>
    <row r="187" ht="21.75" customHeight="1" s="154">
      <c r="A187" s="238">
        <f>IF(AND(D187="",C187=""),"",184)</f>
        <v/>
      </c>
      <c r="B187" s="206" t="n"/>
      <c r="C187" s="249" t="n"/>
      <c r="D187" s="250" t="n"/>
      <c r="E187" s="251" t="n"/>
      <c r="F187" s="252" t="n"/>
      <c r="G187" s="253" t="n"/>
      <c r="H187" s="254" t="n"/>
      <c r="I187" s="255" t="n"/>
      <c r="J187" s="256" t="n"/>
      <c r="K187" s="256" t="n"/>
      <c r="L187" s="256" t="n"/>
      <c r="M187" s="256" t="n"/>
      <c r="N187" s="256" t="n"/>
      <c r="O187" s="256" t="n"/>
      <c r="P187" s="256" t="n"/>
      <c r="Q187" s="256" t="n"/>
      <c r="R187" s="256" t="n"/>
      <c r="S187" s="256" t="n"/>
      <c r="T187" s="256" t="n"/>
      <c r="U187" s="256" t="n"/>
      <c r="V187" s="247">
        <f>IF(C187="Gutschrift","",IF(G187="","",IF(Besatzung!$B$11="","",IFERROR(IF(I187="Zeitanteilig",(Besatzung!$G$11*(G187-IFERROR(H187,0))+((Besatzung!$B$11&lt;&gt;"")*IF(B187="",1,(IF(Besatzung!$C$11="",Besatzung!$B$5,Besatzung!$C$11)&lt;=B187)*(IF(Besatzung!$D$11="",Besatzung!$B$6,Besatzung!$D$11)&gt;=B187)))*(Besatzung!$F$11="x")*IFERROR(H187,0)/IFERROR(SUMPRODUCT((Besatzung!$B$11:$B$22&lt;&gt;"")*(Besatzung!$F$11:$F$22="x")*(IF(Besatzung!$C$11:$C$22="",Besatzung!$B$5,Besatzung!$C$11:$C$22)&lt;=B187)*(IF(Besatzung!$D$11:$D$22="",Besatzung!$B$6,Besatzung!$D$11:$D$22)&gt;=B187)),1)),IF(I187="An Bord",(((Besatzung!$B$11&lt;&gt;"")*IF(B187="",1,(IF(Besatzung!$C$11="",Besatzung!$B$5,Besatzung!$C$11)&lt;=B187)*(IF(Besatzung!$D$11="",Besatzung!$B$6,Besatzung!$D$11)&gt;=B187)))*((G187-IFERROR(H187,0))/IFERROR(SUMPRODUCT((Besatzung!$B$11:$B$22&lt;&gt;"")*(IF(Besatzung!$C$11:$C$22="",Besatzung!$B$5,Besatzung!$C$11:$C$22)&lt;=B187)*(IF(Besatzung!$D$11:$D$22="",Besatzung!$B$6,Besatzung!$D$11:$D$22)&gt;=B187)),1)+(Besatzung!$F$11="x")*IFERROR(H187,0)/IFERROR(SUMPRODUCT((Besatzung!$B$11:$B$22&lt;&gt;"")*(Besatzung!$F$11:$F$22="x")*(IF(Besatzung!$C$11:$C$22="",Besatzung!$B$5,Besatzung!$C$11:$C$22)&lt;=B187)*(IF(Besatzung!$D$11:$D$22="",Besatzung!$B$6,Besatzung!$D$11:$D$22)&gt;=B187)),1))),IF(I187="Individuell",((J187="x")*((G187-IFERROR(H187,0))/IFERROR(COUNTIF(J187:U187,"x"),1)+(Besatzung!$F$11="x")*IFERROR(H187,0)/IFERROR(SUMPRODUCT((J187:U187="x")*(Besatzung!$F$11:$F$22="x")),1))),(IF(COUNTIF(J187:U187,"x")=0,IF(Besatzung!$B$11&lt;&gt;"",1,0),(J187="x"))*(G187-IFERROR(H187,0))/IFERROR(IF(COUNTIF(J187:U187,"x")=0,COUNTA(Besatzung!$B$11:$B$22),COUNTIF(J187:U187,"x")),1)+IF(COUNTIF(J187:U187,"x")=0,(Besatzung!$F$11="x"),(J187="x")*(Besatzung!$F$11="x"))*IFERROR(H187,0)/IFERROR(IF(COUNTIF(J187:U187,"x")=0,SUMPRODUCT((Besatzung!$B$11:$B$22&lt;&gt;"")*(Besatzung!$F$11:$F$22="x")),SUMPRODUCT((J187:U187="x")*(Besatzung!$F$11:$F$22="x"))),1))))),0))))</f>
        <v/>
      </c>
      <c r="W187" s="247">
        <f>IF(C187="Gutschrift","",IF(G187="","",IF(Besatzung!$B$12="","",IFERROR(IF(I187="Zeitanteilig",(Besatzung!$G$12*(G187-IFERROR(H187,0))+((Besatzung!$B$12&lt;&gt;"")*IF(B187="",1,(IF(Besatzung!$C$12="",Besatzung!$B$5,Besatzung!$C$12)&lt;=B187)*(IF(Besatzung!$D$12="",Besatzung!$B$6,Besatzung!$D$12)&gt;=B187)))*(Besatzung!$F$12="x")*IFERROR(H187,0)/IFERROR(SUMPRODUCT((Besatzung!$B$11:$B$22&lt;&gt;"")*(Besatzung!$F$11:$F$22="x")*(IF(Besatzung!$C$11:$C$22="",Besatzung!$B$5,Besatzung!$C$11:$C$22)&lt;=B187)*(IF(Besatzung!$D$11:$D$22="",Besatzung!$B$6,Besatzung!$D$11:$D$22)&gt;=B187)),1)),IF(I187="An Bord",(((Besatzung!$B$12&lt;&gt;"")*IF(B187="",1,(IF(Besatzung!$C$12="",Besatzung!$B$5,Besatzung!$C$12)&lt;=B187)*(IF(Besatzung!$D$12="",Besatzung!$B$6,Besatzung!$D$12)&gt;=B187)))*((G187-IFERROR(H187,0))/IFERROR(SUMPRODUCT((Besatzung!$B$11:$B$22&lt;&gt;"")*(IF(Besatzung!$C$11:$C$22="",Besatzung!$B$5,Besatzung!$C$11:$C$22)&lt;=B187)*(IF(Besatzung!$D$11:$D$22="",Besatzung!$B$6,Besatzung!$D$11:$D$22)&gt;=B187)),1)+(Besatzung!$F$12="x")*IFERROR(H187,0)/IFERROR(SUMPRODUCT((Besatzung!$B$11:$B$22&lt;&gt;"")*(Besatzung!$F$11:$F$22="x")*(IF(Besatzung!$C$11:$C$22="",Besatzung!$B$5,Besatzung!$C$11:$C$22)&lt;=B187)*(IF(Besatzung!$D$11:$D$22="",Besatzung!$B$6,Besatzung!$D$11:$D$22)&gt;=B187)),1))),IF(I187="Individuell",((K187="x")*((G187-IFERROR(H187,0))/IFERROR(COUNTIF(J187:U187,"x"),1)+(Besatzung!$F$12="x")*IFERROR(H187,0)/IFERROR(SUMPRODUCT((J187:U187="x")*(Besatzung!$F$11:$F$22="x")),1))),(IF(COUNTIF(J187:U187,"x")=0,IF(Besatzung!$B$12&lt;&gt;"",1,0),(K187="x"))*(G187-IFERROR(H187,0))/IFERROR(IF(COUNTIF(J187:U187,"x")=0,COUNTA(Besatzung!$B$11:$B$22),COUNTIF(J187:U187,"x")),1)+IF(COUNTIF(J187:U187,"x")=0,(Besatzung!$F$12="x"),(K187="x")*(Besatzung!$F$12="x"))*IFERROR(H187,0)/IFERROR(IF(COUNTIF(J187:U187,"x")=0,SUMPRODUCT((Besatzung!$B$11:$B$22&lt;&gt;"")*(Besatzung!$F$11:$F$22="x")),SUMPRODUCT((J187:U187="x")*(Besatzung!$F$11:$F$22="x"))),1))))),0))))</f>
        <v/>
      </c>
      <c r="X187" s="247">
        <f>IF(C187="Gutschrift","",IF(G187="","",IF(Besatzung!$B$13="","",IFERROR(IF(I187="Zeitanteilig",(Besatzung!$G$13*(G187-IFERROR(H187,0))+((Besatzung!$B$13&lt;&gt;"")*IF(B187="",1,(IF(Besatzung!$C$13="",Besatzung!$B$5,Besatzung!$C$13)&lt;=B187)*(IF(Besatzung!$D$13="",Besatzung!$B$6,Besatzung!$D$13)&gt;=B187)))*(Besatzung!$F$13="x")*IFERROR(H187,0)/IFERROR(SUMPRODUCT((Besatzung!$B$11:$B$22&lt;&gt;"")*(Besatzung!$F$11:$F$22="x")*(IF(Besatzung!$C$11:$C$22="",Besatzung!$B$5,Besatzung!$C$11:$C$22)&lt;=B187)*(IF(Besatzung!$D$11:$D$22="",Besatzung!$B$6,Besatzung!$D$11:$D$22)&gt;=B187)),1)),IF(I187="An Bord",(((Besatzung!$B$13&lt;&gt;"")*IF(B187="",1,(IF(Besatzung!$C$13="",Besatzung!$B$5,Besatzung!$C$13)&lt;=B187)*(IF(Besatzung!$D$13="",Besatzung!$B$6,Besatzung!$D$13)&gt;=B187)))*((G187-IFERROR(H187,0))/IFERROR(SUMPRODUCT((Besatzung!$B$11:$B$22&lt;&gt;"")*(IF(Besatzung!$C$11:$C$22="",Besatzung!$B$5,Besatzung!$C$11:$C$22)&lt;=B187)*(IF(Besatzung!$D$11:$D$22="",Besatzung!$B$6,Besatzung!$D$11:$D$22)&gt;=B187)),1)+(Besatzung!$F$13="x")*IFERROR(H187,0)/IFERROR(SUMPRODUCT((Besatzung!$B$11:$B$22&lt;&gt;"")*(Besatzung!$F$11:$F$22="x")*(IF(Besatzung!$C$11:$C$22="",Besatzung!$B$5,Besatzung!$C$11:$C$22)&lt;=B187)*(IF(Besatzung!$D$11:$D$22="",Besatzung!$B$6,Besatzung!$D$11:$D$22)&gt;=B187)),1))),IF(I187="Individuell",((K187="x")*((G187-IFERROR(H187,0))/IFERROR(COUNTIF(J187:U187,"x"),1)+(Besatzung!$F$13="x")*IFERROR(H187,0)/IFERROR(SUMPRODUCT((J187:U187="x")*(Besatzung!$F$11:$F$22="x")),1))),(IF(COUNTIF(J187:U187,"x")=0,IF(Besatzung!$B$13&lt;&gt;"",1,0),(K187="x"))*(G187-IFERROR(H187,0))/IFERROR(IF(COUNTIF(J187:U187,"x")=0,COUNTA(Besatzung!$B$11:$B$22),COUNTIF(J187:U187,"x")),1)+IF(COUNTIF(J187:U187,"x")=0,(Besatzung!$F$13="x"),(K187="x")*(Besatzung!$F$13="x"))*IFERROR(H187,0)/IFERROR(IF(COUNTIF(J187:U187,"x")=0,SUMPRODUCT((Besatzung!$B$11:$B$22&lt;&gt;"")*(Besatzung!$F$11:$F$22="x")),SUMPRODUCT((J187:U187="x")*(Besatzung!$F$11:$F$22="x"))),1))))),0))))</f>
        <v/>
      </c>
      <c r="Y187" s="247">
        <f>IF(C187="Gutschrift","",IF(G187="","",IF(Besatzung!$B$14="","",IFERROR(IF(I187="Zeitanteilig",(Besatzung!$G$14*(G187-IFERROR(H187,0))+((Besatzung!$B$14&lt;&gt;"")*IF(B187="",1,(IF(Besatzung!$C$14="",Besatzung!$B$5,Besatzung!$C$14)&lt;=B187)*(IF(Besatzung!$D$14="",Besatzung!$B$6,Besatzung!$D$14)&gt;=B187)))*(Besatzung!$F$14="x")*IFERROR(H187,0)/IFERROR(SUMPRODUCT((Besatzung!$B$11:$B$22&lt;&gt;"")*(Besatzung!$F$11:$F$22="x")*(IF(Besatzung!$C$11:$C$22="",Besatzung!$B$5,Besatzung!$C$11:$C$22)&lt;=B187)*(IF(Besatzung!$D$11:$D$22="",Besatzung!$B$6,Besatzung!$D$11:$D$22)&gt;=B187)),1)),IF(I187="An Bord",(((Besatzung!$B$14&lt;&gt;"")*IF(B187="",1,(IF(Besatzung!$C$14="",Besatzung!$B$5,Besatzung!$C$14)&lt;=B187)*(IF(Besatzung!$D$14="",Besatzung!$B$6,Besatzung!$D$14)&gt;=B187)))*((G187-IFERROR(H187,0))/IFERROR(SUMPRODUCT((Besatzung!$B$11:$B$22&lt;&gt;"")*(IF(Besatzung!$C$11:$C$22="",Besatzung!$B$5,Besatzung!$C$11:$C$22)&lt;=B187)*(IF(Besatzung!$D$11:$D$22="",Besatzung!$B$6,Besatzung!$D$11:$D$22)&gt;=B187)),1)+(Besatzung!$F$14="x")*IFERROR(H187,0)/IFERROR(SUMPRODUCT((Besatzung!$B$11:$B$22&lt;&gt;"")*(Besatzung!$F$11:$F$22="x")*(IF(Besatzung!$C$11:$C$22="",Besatzung!$B$5,Besatzung!$C$11:$C$22)&lt;=B187)*(IF(Besatzung!$D$11:$D$22="",Besatzung!$B$6,Besatzung!$D$11:$D$22)&gt;=B187)),1))),IF(I187="Individuell",((M187="x")*((G187-IFERROR(H187,0))/IFERROR(COUNTIF(J187:U187,"x"),1)+(Besatzung!$F$14="x")*IFERROR(H187,0)/IFERROR(SUMPRODUCT((J187:U187="x")*(Besatzung!$F$11:$F$22="x")),1))),(IF(COUNTIF(J187:U187,"x")=0,IF(Besatzung!$B$14&lt;&gt;"",1,0),(M187="x"))*(G187-IFERROR(H187,0))/IFERROR(IF(COUNTIF(J187:U187,"x")=0,COUNTA(Besatzung!$B$11:$B$22),COUNTIF(J187:U187,"x")),1)+IF(COUNTIF(J187:U187,"x")=0,(Besatzung!$F$14="x"),(M187="x")*(Besatzung!$F$14="x"))*IFERROR(H187,0)/IFERROR(IF(COUNTIF(J187:U187,"x")=0,SUMPRODUCT((Besatzung!$B$11:$B$22&lt;&gt;"")*(Besatzung!$F$11:$F$22="x")),SUMPRODUCT((J187:U187="x")*(Besatzung!$F$11:$F$22="x"))),1))))),0))))</f>
        <v/>
      </c>
      <c r="Z187" s="247">
        <f>IF(C187="Gutschrift","",IF(G187="","",IF(Besatzung!$B$13="","",IFERROR(IF(I187="Zeitanteilig",(Besatzung!$G$15*(G187-IFERROR(H187,0))+((Besatzung!$B$13&lt;&gt;"")*IF(B187="",1,(IF(Besatzung!$C$15="",Besatzung!$B$5,Besatzung!$C$15)&lt;=B187)*(IF(Besatzung!$D$15="",Besatzung!$B$6,Besatzung!$D$15)&gt;=B187)))*(Besatzung!$F$15="x")*IFERROR(H187,0)/IFERROR(SUMPRODUCT((Besatzung!$B$11:$B$22&lt;&gt;"")*(Besatzung!$F$11:$F$22="x")*(IF(Besatzung!$C$11:$C$22="",Besatzung!$B$5,Besatzung!$C$11:$C$22)&lt;=B187)*(IF(Besatzung!$D$11:$D$22="",Besatzung!$B$6,Besatzung!$D$11:$D$22)&gt;=B187)),1)),IF(I187="An Bord",(((Besatzung!$B$13&lt;&gt;"")*IF(B187="",1,(IF(Besatzung!$C$15="",Besatzung!$B$5,Besatzung!$C$15)&lt;=B187)*(IF(Besatzung!$D$15="",Besatzung!$B$6,Besatzung!$D$15)&gt;=B187)))*((G187-IFERROR(H187,0))/IFERROR(SUMPRODUCT((Besatzung!$B$11:$B$22&lt;&gt;"")*(IF(Besatzung!$C$11:$C$22="",Besatzung!$B$5,Besatzung!$C$11:$C$22)&lt;=B187)*(IF(Besatzung!$D$11:$D$22="",Besatzung!$B$6,Besatzung!$D$11:$D$22)&gt;=B187)),1)+(Besatzung!$F$15="x")*IFERROR(H187,0)/IFERROR(SUMPRODUCT((Besatzung!$B$11:$B$22&lt;&gt;"")*(Besatzung!$F$11:$F$22="x")*(IF(Besatzung!$C$11:$C$22="",Besatzung!$B$5,Besatzung!$C$11:$C$22)&lt;=B187)*(IF(Besatzung!$D$11:$D$22="",Besatzung!$B$6,Besatzung!$D$11:$D$22)&gt;=B187)),1))),IF(I187="Individuell",((N187="x")*((G187-IFERROR(H187,0))/IFERROR(COUNTIF(J187:U187,"x"),1)+(Besatzung!$F$15="x")*IFERROR(H187,0)/IFERROR(SUMPRODUCT((J187:U187="x")*(Besatzung!$F$11:$F$22="x")),1))),(IF(COUNTIF(J187:U187,"x")=0,IF(Besatzung!$B$13&lt;&gt;"",1,0),(N187="x"))*(G187-IFERROR(H187,0))/IFERROR(IF(COUNTIF(J187:U187,"x")=0,COUNTA(Besatzung!$B$11:$B$22),COUNTIF(J187:U187,"x")),1)+IF(COUNTIF(J187:U187,"x")=0,(Besatzung!$F$15="x"),(N187="x")*(Besatzung!$F$15="x"))*IFERROR(H187,0)/IFERROR(IF(COUNTIF(J187:U187,"x")=0,SUMPRODUCT((Besatzung!$B$11:$B$22&lt;&gt;"")*(Besatzung!$F$11:$F$22="x")),SUMPRODUCT((J187:U187="x")*(Besatzung!$F$11:$F$22="x"))),1))))),0))))</f>
        <v/>
      </c>
      <c r="AA187" s="247">
        <f>IF(C187="Gutschrift","",IF(G187="","",IF(Besatzung!$B$15="","",IFERROR(IF(I187="Zeitanteilig",(Besatzung!$G$16*(G187-IFERROR(H187,0))+((Besatzung!$B$15&lt;&gt;"")*IF(B187="",1,(IF(Besatzung!$C$16="",Besatzung!$B$5,Besatzung!$C$16)&lt;=B187)*(IF(Besatzung!$D$16="",Besatzung!$B$6,Besatzung!$D$16)&gt;=B187)))*(Besatzung!$F$16="x")*IFERROR(H187,0)/IFERROR(SUMPRODUCT((Besatzung!$B$11:$B$22&lt;&gt;"")*(Besatzung!$F$11:$F$22="x")*(IF(Besatzung!$C$11:$C$22="",Besatzung!$B$5,Besatzung!$C$11:$C$22)&lt;=B187)*(IF(Besatzung!$D$11:$D$22="",Besatzung!$B$6,Besatzung!$D$11:$D$22)&gt;=B187)),1)),IF(I187="An Bord",(((Besatzung!$B$15&lt;&gt;"")*IF(B187="",1,(IF(Besatzung!$C$16="",Besatzung!$B$5,Besatzung!$C$16)&lt;=B187)*(IF(Besatzung!$D$16="",Besatzung!$B$6,Besatzung!$D$16)&gt;=B187)))*((G187-IFERROR(H187,0))/IFERROR(SUMPRODUCT((Besatzung!$B$11:$B$22&lt;&gt;"")*(IF(Besatzung!$C$11:$C$22="",Besatzung!$B$5,Besatzung!$C$11:$C$22)&lt;=B187)*(IF(Besatzung!$D$11:$D$22="",Besatzung!$B$6,Besatzung!$D$11:$D$22)&gt;=B187)),1)+(Besatzung!$F$16="x")*IFERROR(H187,0)/IFERROR(SUMPRODUCT((Besatzung!$B$11:$B$22&lt;&gt;"")*(Besatzung!$F$11:$F$22="x")*(IF(Besatzung!$C$11:$C$22="",Besatzung!$B$5,Besatzung!$C$11:$C$22)&lt;=B187)*(IF(Besatzung!$D$11:$D$22="",Besatzung!$B$6,Besatzung!$D$11:$D$22)&gt;=B187)),1))),IF(I187="Individuell",((O187="x")*((G187-IFERROR(H187,0))/IFERROR(COUNTIF(J187:U187,"x"),1)+(Besatzung!$F$16="x")*IFERROR(H187,0)/IFERROR(SUMPRODUCT((J187:U187="x")*(Besatzung!$F$11:$F$22="x")),1))),(IF(COUNTIF(J187:U187,"x")=0,IF(Besatzung!$B$15&lt;&gt;"",1,0),(O187="x"))*(G187-IFERROR(H187,0))/IFERROR(IF(COUNTIF(J187:U187,"x")=0,COUNTA(Besatzung!$B$11:$B$22),COUNTIF(J187:U187,"x")),1)+IF(COUNTIF(J187:U187,"x")=0,(Besatzung!$F$16="x"),(O187="x")*(Besatzung!$F$16="x"))*IFERROR(H187,0)/IFERROR(IF(COUNTIF(J187:U187,"x")=0,SUMPRODUCT((Besatzung!$B$11:$B$22&lt;&gt;"")*(Besatzung!$F$11:$F$22="x")),SUMPRODUCT((J187:U187="x")*(Besatzung!$F$11:$F$22="x"))),1))))),0))))</f>
        <v/>
      </c>
      <c r="AB187" s="247">
        <f>IF(C187="Gutschrift","",IF(G187="","",IF(Besatzung!$B$17="","",IFERROR(IF(I187="Zeitanteilig",(Besatzung!$G$17*(G187-IFERROR(H187,0))+((Besatzung!$B$17&lt;&gt;"")*IF(B187="",1,(IF(Besatzung!$C$17="",Besatzung!$B$5,Besatzung!$C$17)&lt;=B187)*(IF(Besatzung!$D$17="",Besatzung!$B$6,Besatzung!$D$17)&gt;=B187)))*(Besatzung!$F$17="x")*IFERROR(H187,0)/IFERROR(SUMPRODUCT((Besatzung!$B$11:$B$22&lt;&gt;"")*(Besatzung!$F$11:$F$22="x")*(IF(Besatzung!$C$11:$C$22="",Besatzung!$B$5,Besatzung!$C$11:$C$22)&lt;=B187)*(IF(Besatzung!$D$11:$D$22="",Besatzung!$B$6,Besatzung!$D$11:$D$22)&gt;=B187)),1)),IF(I187="An Bord",(((Besatzung!$B$17&lt;&gt;"")*IF(B187="",1,(IF(Besatzung!$C$17="",Besatzung!$B$5,Besatzung!$C$17)&lt;=B187)*(IF(Besatzung!$D$17="",Besatzung!$B$6,Besatzung!$D$17)&gt;=B187)))*((G187-IFERROR(H187,0))/IFERROR(SUMPRODUCT((Besatzung!$B$11:$B$22&lt;&gt;"")*(IF(Besatzung!$C$11:$C$22="",Besatzung!$B$5,Besatzung!$C$11:$C$22)&lt;=B187)*(IF(Besatzung!$D$11:$D$22="",Besatzung!$B$6,Besatzung!$D$11:$D$22)&gt;=B187)),1)+(Besatzung!$F$17="x")*IFERROR(H187,0)/IFERROR(SUMPRODUCT((Besatzung!$B$11:$B$22&lt;&gt;"")*(Besatzung!$F$11:$F$22="x")*(IF(Besatzung!$C$11:$C$22="",Besatzung!$B$5,Besatzung!$C$11:$C$22)&lt;=B187)*(IF(Besatzung!$D$11:$D$22="",Besatzung!$B$6,Besatzung!$D$11:$D$22)&gt;=B187)),1))),IF(I187="Individuell",((P187="x")*((G187-IFERROR(H187,0))/IFERROR(COUNTIF(J187:U187,"x"),1)+(Besatzung!$F$17="x")*IFERROR(H187,0)/IFERROR(SUMPRODUCT((J187:U187="x")*(Besatzung!$F$11:$F$22="x")),1))),(IF(COUNTIF(J187:U187,"x")=0,IF(Besatzung!$B$17&lt;&gt;"",1,0),(P187="x"))*(G187-IFERROR(H187,0))/IFERROR(IF(COUNTIF(J187:U187,"x")=0,COUNTA(Besatzung!$B$11:$B$22),COUNTIF(J187:U187,"x")),1)+IF(COUNTIF(J187:U187,"x")=0,(Besatzung!$F$17="x"),(P187="x")*(Besatzung!$F$17="x"))*IFERROR(H187,0)/IFERROR(IF(COUNTIF(J187:U187,"x")=0,SUMPRODUCT((Besatzung!$B$11:$B$22&lt;&gt;"")*(Besatzung!$F$11:$F$22="x")),SUMPRODUCT((J187:U187="x")*(Besatzung!$F$11:$F$22="x"))),1))))),0))))</f>
        <v/>
      </c>
      <c r="AC187" s="247">
        <f>IF(C187="Gutschrift","",IF(G187="","",IF(Besatzung!$B$18="","",IFERROR(IF(I187="Zeitanteilig",(Besatzung!$G$18*(G187-IFERROR(H187,0))+((Besatzung!$B$18&lt;&gt;"")*IF(B187="",1,(IF(Besatzung!$C$18="",Besatzung!$B$5,Besatzung!$C$18)&lt;=B187)*(IF(Besatzung!$D$18="",Besatzung!$B$6,Besatzung!$D$18)&gt;=B187)))*(Besatzung!$F$18="x")*IFERROR(H187,0)/IFERROR(SUMPRODUCT((Besatzung!$B$11:$B$22&lt;&gt;"")*(Besatzung!$F$11:$F$22="x")*(IF(Besatzung!$C$11:$C$22="",Besatzung!$B$5,Besatzung!$C$11:$C$22)&lt;=B187)*(IF(Besatzung!$D$11:$D$22="",Besatzung!$B$6,Besatzung!$D$11:$D$22)&gt;=B187)),1)),IF(I187="An Bord",(((Besatzung!$B$18&lt;&gt;"")*IF(B187="",1,(IF(Besatzung!$C$18="",Besatzung!$B$5,Besatzung!$C$18)&lt;=B187)*(IF(Besatzung!$D$18="",Besatzung!$B$6,Besatzung!$D$18)&gt;=B187)))*((G187-IFERROR(H187,0))/IFERROR(SUMPRODUCT((Besatzung!$B$11:$B$22&lt;&gt;"")*(IF(Besatzung!$C$11:$C$22="",Besatzung!$B$5,Besatzung!$C$11:$C$22)&lt;=B187)*(IF(Besatzung!$D$11:$D$22="",Besatzung!$B$6,Besatzung!$D$11:$D$22)&gt;=B187)),1)+(Besatzung!$F$18="x")*IFERROR(H187,0)/IFERROR(SUMPRODUCT((Besatzung!$B$11:$B$22&lt;&gt;"")*(Besatzung!$F$11:$F$22="x")*(IF(Besatzung!$C$11:$C$22="",Besatzung!$B$5,Besatzung!$C$11:$C$22)&lt;=B187)*(IF(Besatzung!$D$11:$D$22="",Besatzung!$B$6,Besatzung!$D$11:$D$22)&gt;=B187)),1))),IF(I187="Individuell",((Q187="x")*((G187-IFERROR(H187,0))/IFERROR(COUNTIF(J187:U187,"x"),1)+(Besatzung!$F$18="x")*IFERROR(H187,0)/IFERROR(SUMPRODUCT((J187:U187="x")*(Besatzung!$F$11:$F$22="x")),1))),(IF(COUNTIF(J187:U187,"x")=0,IF(Besatzung!$B$18&lt;&gt;"",1,0),(Q187="x"))*(G187-IFERROR(H187,0))/IFERROR(IF(COUNTIF(J187:U187,"x")=0,COUNTA(Besatzung!$B$11:$B$22),COUNTIF(J187:U187,"x")),1)+IF(COUNTIF(J187:U187,"x")=0,(Besatzung!$F$18="x"),(Q187="x")*(Besatzung!$F$18="x"))*IFERROR(H187,0)/IFERROR(IF(COUNTIF(J187:U187,"x")=0,SUMPRODUCT((Besatzung!$B$11:$B$22&lt;&gt;"")*(Besatzung!$F$11:$F$22="x")),SUMPRODUCT((J187:U187="x")*(Besatzung!$F$11:$F$22="x"))),1))))),0))))</f>
        <v/>
      </c>
      <c r="AD187" s="247">
        <f>IF(C187="Gutschrift","",IF(G187="","",IF(Besatzung!$B$19="","",IFERROR(IF(I187="Zeitanteilig",(Besatzung!$G$19*(G187-IFERROR(H187,0))+((Besatzung!$B$19&lt;&gt;"")*IF(B187="",1,(IF(Besatzung!$C$19="",Besatzung!$B$5,Besatzung!$C$19)&lt;=B187)*(IF(Besatzung!$D$19="",Besatzung!$B$6,Besatzung!$D$19)&gt;=B187)))*(Besatzung!$F$19="x")*IFERROR(H187,0)/IFERROR(SUMPRODUCT((Besatzung!$B$11:$B$22&lt;&gt;"")*(Besatzung!$F$11:$F$22="x")*(IF(Besatzung!$C$11:$C$22="",Besatzung!$B$5,Besatzung!$C$11:$C$22)&lt;=B187)*(IF(Besatzung!$D$11:$D$22="",Besatzung!$B$6,Besatzung!$D$11:$D$22)&gt;=B187)),1)),IF(I187="An Bord",(((Besatzung!$B$19&lt;&gt;"")*IF(B187="",1,(IF(Besatzung!$C$19="",Besatzung!$B$5,Besatzung!$C$19)&lt;=B187)*(IF(Besatzung!$D$19="",Besatzung!$B$6,Besatzung!$D$19)&gt;=B187)))*((G187-IFERROR(H187,0))/IFERROR(SUMPRODUCT((Besatzung!$B$11:$B$22&lt;&gt;"")*(IF(Besatzung!$C$11:$C$22="",Besatzung!$B$5,Besatzung!$C$11:$C$22)&lt;=B187)*(IF(Besatzung!$D$11:$D$22="",Besatzung!$B$6,Besatzung!$D$11:$D$22)&gt;=B187)),1)+(Besatzung!$F$19="x")*IFERROR(H187,0)/IFERROR(SUMPRODUCT((Besatzung!$B$11:$B$22&lt;&gt;"")*(Besatzung!$F$11:$F$22="x")*(IF(Besatzung!$C$11:$C$22="",Besatzung!$B$5,Besatzung!$C$11:$C$22)&lt;=B187)*(IF(Besatzung!$D$11:$D$22="",Besatzung!$B$6,Besatzung!$D$11:$D$22)&gt;=B187)),1))),IF(I187="Individuell",((R187="x")*((G187-IFERROR(H187,0))/IFERROR(COUNTIF(J187:U187,"x"),1)+(Besatzung!$F$19="x")*IFERROR(H187,0)/IFERROR(SUMPRODUCT((J187:U187="x")*(Besatzung!$F$11:$F$22="x")),1))),(IF(COUNTIF(J187:U187,"x")=0,IF(Besatzung!$B$19&lt;&gt;"",1,0),(R187="x"))*(G187-IFERROR(H187,0))/IFERROR(IF(COUNTIF(J187:U187,"x")=0,COUNTA(Besatzung!$B$11:$B$22),COUNTIF(J187:U187,"x")),1)+IF(COUNTIF(J187:U187,"x")=0,(Besatzung!$F$19="x"),(R187="x")*(Besatzung!$F$19="x"))*IFERROR(H187,0)/IFERROR(IF(COUNTIF(J187:U187,"x")=0,SUMPRODUCT((Besatzung!$B$11:$B$22&lt;&gt;"")*(Besatzung!$F$11:$F$22="x")),SUMPRODUCT((J187:U187="x")*(Besatzung!$F$11:$F$22="x"))),1))))),0))))</f>
        <v/>
      </c>
      <c r="AE187" s="247">
        <f>IF(C187="Gutschrift","",IF(G187="","",IF(Besatzung!$B$20="","",IFERROR(IF(I187="Zeitanteilig",(Besatzung!$G$20*(G187-IFERROR(H187,0))+((Besatzung!$B$20&lt;&gt;"")*IF(B187="",1,(IF(Besatzung!$C$20="",Besatzung!$B$5,Besatzung!$C$20)&lt;=B187)*(IF(Besatzung!$D$20="",Besatzung!$B$6,Besatzung!$D$20)&gt;=B187)))*(Besatzung!$F$20="x")*IFERROR(H187,0)/IFERROR(SUMPRODUCT((Besatzung!$B$11:$B$22&lt;&gt;"")*(Besatzung!$F$11:$F$22="x")*(IF(Besatzung!$C$11:$C$22="",Besatzung!$B$5,Besatzung!$C$11:$C$22)&lt;=B187)*(IF(Besatzung!$D$11:$D$22="",Besatzung!$B$6,Besatzung!$D$11:$D$22)&gt;=B187)),1)),IF(I187="An Bord",(((Besatzung!$B$20&lt;&gt;"")*IF(B187="",1,(IF(Besatzung!$C$20="",Besatzung!$B$5,Besatzung!$C$20)&lt;=B187)*(IF(Besatzung!$D$20="",Besatzung!$B$6,Besatzung!$D$20)&gt;=B187)))*((G187-IFERROR(H187,0))/IFERROR(SUMPRODUCT((Besatzung!$B$11:$B$22&lt;&gt;"")*(IF(Besatzung!$C$11:$C$22="",Besatzung!$B$5,Besatzung!$C$11:$C$22)&lt;=B187)*(IF(Besatzung!$D$11:$D$22="",Besatzung!$B$6,Besatzung!$D$11:$D$22)&gt;=B187)),1)+(Besatzung!$F$20="x")*IFERROR(H187,0)/IFERROR(SUMPRODUCT((Besatzung!$B$11:$B$22&lt;&gt;"")*(Besatzung!$F$11:$F$22="x")*(IF(Besatzung!$C$11:$C$22="",Besatzung!$B$5,Besatzung!$C$11:$C$22)&lt;=B187)*(IF(Besatzung!$D$11:$D$22="",Besatzung!$B$6,Besatzung!$D$11:$D$22)&gt;=B187)),1))),IF(I187="Individuell",((S187="x")*((G187-IFERROR(H187,0))/IFERROR(COUNTIF(J187:U187,"x"),1)+(Besatzung!$F$20="x")*IFERROR(H187,0)/IFERROR(SUMPRODUCT((J187:U187="x")*(Besatzung!$F$11:$F$22="x")),1))),(IF(COUNTIF(J187:U187,"x")=0,IF(Besatzung!$B$20&lt;&gt;"",1,0),(S187="x"))*(G187-IFERROR(H187,0))/IFERROR(IF(COUNTIF(J187:U187,"x")=0,COUNTA(Besatzung!$B$11:$B$22),COUNTIF(J187:U187,"x")),1)+IF(COUNTIF(J187:U187,"x")=0,(Besatzung!$F$20="x"),(S187="x")*(Besatzung!$F$20="x"))*IFERROR(H187,0)/IFERROR(IF(COUNTIF(J187:U187,"x")=0,SUMPRODUCT((Besatzung!$B$11:$B$22&lt;&gt;"")*(Besatzung!$F$11:$F$22="x")),SUMPRODUCT((J187:U187="x")*(Besatzung!$F$11:$F$22="x"))),1))))),0))))</f>
        <v/>
      </c>
      <c r="AF187" s="247">
        <f>IF(C187="Gutschrift","",IF(G187="","",IF(Besatzung!$B$21="","",IFERROR(IF(I187="Zeitanteilig",(Besatzung!$G$21*(G187-IFERROR(H187,0))+((Besatzung!$B$21&lt;&gt;"")*IF(B187="",1,(IF(Besatzung!$C$21="",Besatzung!$B$5,Besatzung!$C$21)&lt;=B187)*(IF(Besatzung!$D$21="",Besatzung!$B$6,Besatzung!$D$21)&gt;=B187)))*(Besatzung!$F$21="x")*IFERROR(H187,0)/IFERROR(SUMPRODUCT((Besatzung!$B$11:$B$22&lt;&gt;"")*(Besatzung!$F$11:$F$22="x")*(IF(Besatzung!$C$11:$C$22="",Besatzung!$B$5,Besatzung!$C$11:$C$22)&lt;=B187)*(IF(Besatzung!$D$11:$D$22="",Besatzung!$B$6,Besatzung!$D$11:$D$22)&gt;=B187)),1)),IF(I187="An Bord",(((Besatzung!$B$21&lt;&gt;"")*IF(B187="",1,(IF(Besatzung!$C$21="",Besatzung!$B$5,Besatzung!$C$21)&lt;=B187)*(IF(Besatzung!$D$21="",Besatzung!$B$6,Besatzung!$D$21)&gt;=B187)))*((G187-IFERROR(H187,0))/IFERROR(SUMPRODUCT((Besatzung!$B$11:$B$22&lt;&gt;"")*(IF(Besatzung!$C$11:$C$22="",Besatzung!$B$5,Besatzung!$C$11:$C$22)&lt;=B187)*(IF(Besatzung!$D$11:$D$22="",Besatzung!$B$6,Besatzung!$D$11:$D$22)&gt;=B187)),1)+(Besatzung!$F$21="x")*IFERROR(H187,0)/IFERROR(SUMPRODUCT((Besatzung!$B$11:$B$22&lt;&gt;"")*(Besatzung!$F$11:$F$22="x")*(IF(Besatzung!$C$11:$C$22="",Besatzung!$B$5,Besatzung!$C$11:$C$22)&lt;=B187)*(IF(Besatzung!$D$11:$D$22="",Besatzung!$B$6,Besatzung!$D$11:$D$22)&gt;=B187)),1))),IF(I187="Individuell",((T187="x")*((G187-IFERROR(H187,0))/IFERROR(COUNTIF(J187:U187,"x"),1)+(Besatzung!$F$21="x")*IFERROR(H187,0)/IFERROR(SUMPRODUCT((J187:U187="x")*(Besatzung!$F$11:$F$22="x")),1))),(IF(COUNTIF(J187:U187,"x")=0,IF(Besatzung!$B$21&lt;&gt;"",1,0),(T187="x"))*(G187-IFERROR(H187,0))/IFERROR(IF(COUNTIF(J187:U187,"x")=0,COUNTA(Besatzung!$B$11:$B$22),COUNTIF(J187:U187,"x")),1)+IF(COUNTIF(J187:U187,"x")=0,(Besatzung!$F$21="x"),(T187="x")*(Besatzung!$F$21="x"))*IFERROR(H187,0)/IFERROR(IF(COUNTIF(J187:U187,"x")=0,SUMPRODUCT((Besatzung!$B$11:$B$22&lt;&gt;"")*(Besatzung!$F$11:$F$22="x")),SUMPRODUCT((J187:U187="x")*(Besatzung!$F$11:$F$22="x"))),1))))),0))))</f>
        <v/>
      </c>
      <c r="AG187" s="247">
        <f>IF(C187="Gutschrift","",IF(G187="","",IF(Besatzung!$B$22="","",IFERROR(IF(I187="Zeitanteilig",(Besatzung!$G$22*(G187-IFERROR(H187,0))+((Besatzung!$B$22&lt;&gt;"")*IF(B187="",1,(IF(Besatzung!$C$22="",Besatzung!$B$5,Besatzung!$C$22)&lt;=B187)*(IF(Besatzung!$D$22="",Besatzung!$B$6,Besatzung!$D$22)&gt;=B187)))*(Besatzung!$F$22="x")*IFERROR(H187,0)/IFERROR(SUMPRODUCT((Besatzung!$B$11:$B$22&lt;&gt;"")*(Besatzung!$F$11:$F$22="x")*(IF(Besatzung!$C$11:$C$22="",Besatzung!$B$5,Besatzung!$C$11:$C$22)&lt;=B187)*(IF(Besatzung!$D$11:$D$22="",Besatzung!$B$6,Besatzung!$D$11:$D$22)&gt;=B187)),1)),IF(I187="An Bord",(((Besatzung!$B$22&lt;&gt;"")*IF(B187="",1,(IF(Besatzung!$C$22="",Besatzung!$B$5,Besatzung!$C$22)&lt;=B187)*(IF(Besatzung!$D$22="",Besatzung!$B$6,Besatzung!$D$22)&gt;=B187)))*((G187-IFERROR(H187,0))/IFERROR(SUMPRODUCT((Besatzung!$B$11:$B$22&lt;&gt;"")*(IF(Besatzung!$C$11:$C$22="",Besatzung!$B$5,Besatzung!$C$11:$C$22)&lt;=B187)*(IF(Besatzung!$D$11:$D$22="",Besatzung!$B$6,Besatzung!$D$11:$D$22)&gt;=B187)),1)+(Besatzung!$F$22="x")*IFERROR(H187,0)/IFERROR(SUMPRODUCT((Besatzung!$B$11:$B$22&lt;&gt;"")*(Besatzung!$F$11:$F$22="x")*(IF(Besatzung!$C$11:$C$22="",Besatzung!$B$5,Besatzung!$C$11:$C$22)&lt;=B187)*(IF(Besatzung!$D$11:$D$22="",Besatzung!$B$6,Besatzung!$D$11:$D$22)&gt;=B187)),1))),IF(I187="Individuell",((U187="x")*((G187-IFERROR(H187,0))/IFERROR(COUNTIF(J187:U187,"x"),1)+(Besatzung!$F$22="x")*IFERROR(H187,0)/IFERROR(SUMPRODUCT((J187:U187="x")*(Besatzung!$F$11:$F$22="x")),1))),(IF(COUNTIF(J187:U187,"x")=0,IF(Besatzung!$B$22&lt;&gt;"",1,0),(U187="x"))*(G187-IFERROR(H187,0))/IFERROR(IF(COUNTIF(J187:U187,"x")=0,COUNTA(Besatzung!$B$11:$B$22),COUNTIF(J187:U187,"x")),1)+IF(COUNTIF(J187:U187,"x")=0,(Besatzung!$F$22="x"),(U187="x")*(Besatzung!$F$22="x"))*IFERROR(H187,0)/IFERROR(IF(COUNTIF(J187:U187,"x")=0,SUMPRODUCT((Besatzung!$B$11:$B$22&lt;&gt;"")*(Besatzung!$F$11:$F$22="x")),SUMPRODUCT((J187:U187="x")*(Besatzung!$F$11:$F$22="x"))),1))))),0))))</f>
        <v/>
      </c>
      <c r="AH187" s="248" t="n"/>
      <c r="AI187" s="248" t="n"/>
    </row>
    <row r="188" ht="21.75" customHeight="1" s="154">
      <c r="A188" s="238">
        <f>IF(AND(D188="",C188=""),"",185)</f>
        <v/>
      </c>
      <c r="B188" s="199" t="n"/>
      <c r="C188" s="239" t="n"/>
      <c r="D188" s="240" t="n"/>
      <c r="E188" s="241" t="n"/>
      <c r="F188" s="242" t="n"/>
      <c r="G188" s="243" t="n"/>
      <c r="H188" s="244" t="n"/>
      <c r="I188" s="245" t="n"/>
      <c r="J188" s="246" t="n"/>
      <c r="K188" s="246" t="n"/>
      <c r="L188" s="246" t="n"/>
      <c r="M188" s="246" t="n"/>
      <c r="N188" s="246" t="n"/>
      <c r="O188" s="246" t="n"/>
      <c r="P188" s="246" t="n"/>
      <c r="Q188" s="246" t="n"/>
      <c r="R188" s="246" t="n"/>
      <c r="S188" s="246" t="n"/>
      <c r="T188" s="246" t="n"/>
      <c r="U188" s="246" t="n"/>
      <c r="V188" s="247">
        <f>IF(C188="Gutschrift","",IF(G188="","",IF(Besatzung!$B$11="","",IFERROR(IF(I188="Zeitanteilig",(Besatzung!$G$11*(G188-IFERROR(H188,0))+((Besatzung!$B$11&lt;&gt;"")*IF(B188="",1,(IF(Besatzung!$C$11="",Besatzung!$B$5,Besatzung!$C$11)&lt;=B188)*(IF(Besatzung!$D$11="",Besatzung!$B$6,Besatzung!$D$11)&gt;=B188)))*(Besatzung!$F$11="x")*IFERROR(H188,0)/IFERROR(SUMPRODUCT((Besatzung!$B$11:$B$22&lt;&gt;"")*(Besatzung!$F$11:$F$22="x")*(IF(Besatzung!$C$11:$C$22="",Besatzung!$B$5,Besatzung!$C$11:$C$22)&lt;=B188)*(IF(Besatzung!$D$11:$D$22="",Besatzung!$B$6,Besatzung!$D$11:$D$22)&gt;=B188)),1)),IF(I188="An Bord",(((Besatzung!$B$11&lt;&gt;"")*IF(B188="",1,(IF(Besatzung!$C$11="",Besatzung!$B$5,Besatzung!$C$11)&lt;=B188)*(IF(Besatzung!$D$11="",Besatzung!$B$6,Besatzung!$D$11)&gt;=B188)))*((G188-IFERROR(H188,0))/IFERROR(SUMPRODUCT((Besatzung!$B$11:$B$22&lt;&gt;"")*(IF(Besatzung!$C$11:$C$22="",Besatzung!$B$5,Besatzung!$C$11:$C$22)&lt;=B188)*(IF(Besatzung!$D$11:$D$22="",Besatzung!$B$6,Besatzung!$D$11:$D$22)&gt;=B188)),1)+(Besatzung!$F$11="x")*IFERROR(H188,0)/IFERROR(SUMPRODUCT((Besatzung!$B$11:$B$22&lt;&gt;"")*(Besatzung!$F$11:$F$22="x")*(IF(Besatzung!$C$11:$C$22="",Besatzung!$B$5,Besatzung!$C$11:$C$22)&lt;=B188)*(IF(Besatzung!$D$11:$D$22="",Besatzung!$B$6,Besatzung!$D$11:$D$22)&gt;=B188)),1))),IF(I188="Individuell",((J188="x")*((G188-IFERROR(H188,0))/IFERROR(COUNTIF(J188:U188,"x"),1)+(Besatzung!$F$11="x")*IFERROR(H188,0)/IFERROR(SUMPRODUCT((J188:U188="x")*(Besatzung!$F$11:$F$22="x")),1))),(IF(COUNTIF(J188:U188,"x")=0,IF(Besatzung!$B$11&lt;&gt;"",1,0),(J188="x"))*(G188-IFERROR(H188,0))/IFERROR(IF(COUNTIF(J188:U188,"x")=0,COUNTA(Besatzung!$B$11:$B$22),COUNTIF(J188:U188,"x")),1)+IF(COUNTIF(J188:U188,"x")=0,(Besatzung!$F$11="x"),(J188="x")*(Besatzung!$F$11="x"))*IFERROR(H188,0)/IFERROR(IF(COUNTIF(J188:U188,"x")=0,SUMPRODUCT((Besatzung!$B$11:$B$22&lt;&gt;"")*(Besatzung!$F$11:$F$22="x")),SUMPRODUCT((J188:U188="x")*(Besatzung!$F$11:$F$22="x"))),1))))),0))))</f>
        <v/>
      </c>
      <c r="W188" s="247">
        <f>IF(C188="Gutschrift","",IF(G188="","",IF(Besatzung!$B$12="","",IFERROR(IF(I188="Zeitanteilig",(Besatzung!$G$12*(G188-IFERROR(H188,0))+((Besatzung!$B$12&lt;&gt;"")*IF(B188="",1,(IF(Besatzung!$C$12="",Besatzung!$B$5,Besatzung!$C$12)&lt;=B188)*(IF(Besatzung!$D$12="",Besatzung!$B$6,Besatzung!$D$12)&gt;=B188)))*(Besatzung!$F$12="x")*IFERROR(H188,0)/IFERROR(SUMPRODUCT((Besatzung!$B$11:$B$22&lt;&gt;"")*(Besatzung!$F$11:$F$22="x")*(IF(Besatzung!$C$11:$C$22="",Besatzung!$B$5,Besatzung!$C$11:$C$22)&lt;=B188)*(IF(Besatzung!$D$11:$D$22="",Besatzung!$B$6,Besatzung!$D$11:$D$22)&gt;=B188)),1)),IF(I188="An Bord",(((Besatzung!$B$12&lt;&gt;"")*IF(B188="",1,(IF(Besatzung!$C$12="",Besatzung!$B$5,Besatzung!$C$12)&lt;=B188)*(IF(Besatzung!$D$12="",Besatzung!$B$6,Besatzung!$D$12)&gt;=B188)))*((G188-IFERROR(H188,0))/IFERROR(SUMPRODUCT((Besatzung!$B$11:$B$22&lt;&gt;"")*(IF(Besatzung!$C$11:$C$22="",Besatzung!$B$5,Besatzung!$C$11:$C$22)&lt;=B188)*(IF(Besatzung!$D$11:$D$22="",Besatzung!$B$6,Besatzung!$D$11:$D$22)&gt;=B188)),1)+(Besatzung!$F$12="x")*IFERROR(H188,0)/IFERROR(SUMPRODUCT((Besatzung!$B$11:$B$22&lt;&gt;"")*(Besatzung!$F$11:$F$22="x")*(IF(Besatzung!$C$11:$C$22="",Besatzung!$B$5,Besatzung!$C$11:$C$22)&lt;=B188)*(IF(Besatzung!$D$11:$D$22="",Besatzung!$B$6,Besatzung!$D$11:$D$22)&gt;=B188)),1))),IF(I188="Individuell",((K188="x")*((G188-IFERROR(H188,0))/IFERROR(COUNTIF(J188:U188,"x"),1)+(Besatzung!$F$12="x")*IFERROR(H188,0)/IFERROR(SUMPRODUCT((J188:U188="x")*(Besatzung!$F$11:$F$22="x")),1))),(IF(COUNTIF(J188:U188,"x")=0,IF(Besatzung!$B$12&lt;&gt;"",1,0),(K188="x"))*(G188-IFERROR(H188,0))/IFERROR(IF(COUNTIF(J188:U188,"x")=0,COUNTA(Besatzung!$B$11:$B$22),COUNTIF(J188:U188,"x")),1)+IF(COUNTIF(J188:U188,"x")=0,(Besatzung!$F$12="x"),(K188="x")*(Besatzung!$F$12="x"))*IFERROR(H188,0)/IFERROR(IF(COUNTIF(J188:U188,"x")=0,SUMPRODUCT((Besatzung!$B$11:$B$22&lt;&gt;"")*(Besatzung!$F$11:$F$22="x")),SUMPRODUCT((J188:U188="x")*(Besatzung!$F$11:$F$22="x"))),1))))),0))))</f>
        <v/>
      </c>
      <c r="X188" s="247">
        <f>IF(C188="Gutschrift","",IF(G188="","",IF(Besatzung!$B$13="","",IFERROR(IF(I188="Zeitanteilig",(Besatzung!$G$13*(G188-IFERROR(H188,0))+((Besatzung!$B$13&lt;&gt;"")*IF(B188="",1,(IF(Besatzung!$C$13="",Besatzung!$B$5,Besatzung!$C$13)&lt;=B188)*(IF(Besatzung!$D$13="",Besatzung!$B$6,Besatzung!$D$13)&gt;=B188)))*(Besatzung!$F$13="x")*IFERROR(H188,0)/IFERROR(SUMPRODUCT((Besatzung!$B$11:$B$22&lt;&gt;"")*(Besatzung!$F$11:$F$22="x")*(IF(Besatzung!$C$11:$C$22="",Besatzung!$B$5,Besatzung!$C$11:$C$22)&lt;=B188)*(IF(Besatzung!$D$11:$D$22="",Besatzung!$B$6,Besatzung!$D$11:$D$22)&gt;=B188)),1)),IF(I188="An Bord",(((Besatzung!$B$13&lt;&gt;"")*IF(B188="",1,(IF(Besatzung!$C$13="",Besatzung!$B$5,Besatzung!$C$13)&lt;=B188)*(IF(Besatzung!$D$13="",Besatzung!$B$6,Besatzung!$D$13)&gt;=B188)))*((G188-IFERROR(H188,0))/IFERROR(SUMPRODUCT((Besatzung!$B$11:$B$22&lt;&gt;"")*(IF(Besatzung!$C$11:$C$22="",Besatzung!$B$5,Besatzung!$C$11:$C$22)&lt;=B188)*(IF(Besatzung!$D$11:$D$22="",Besatzung!$B$6,Besatzung!$D$11:$D$22)&gt;=B188)),1)+(Besatzung!$F$13="x")*IFERROR(H188,0)/IFERROR(SUMPRODUCT((Besatzung!$B$11:$B$22&lt;&gt;"")*(Besatzung!$F$11:$F$22="x")*(IF(Besatzung!$C$11:$C$22="",Besatzung!$B$5,Besatzung!$C$11:$C$22)&lt;=B188)*(IF(Besatzung!$D$11:$D$22="",Besatzung!$B$6,Besatzung!$D$11:$D$22)&gt;=B188)),1))),IF(I188="Individuell",((K188="x")*((G188-IFERROR(H188,0))/IFERROR(COUNTIF(J188:U188,"x"),1)+(Besatzung!$F$13="x")*IFERROR(H188,0)/IFERROR(SUMPRODUCT((J188:U188="x")*(Besatzung!$F$11:$F$22="x")),1))),(IF(COUNTIF(J188:U188,"x")=0,IF(Besatzung!$B$13&lt;&gt;"",1,0),(K188="x"))*(G188-IFERROR(H188,0))/IFERROR(IF(COUNTIF(J188:U188,"x")=0,COUNTA(Besatzung!$B$11:$B$22),COUNTIF(J188:U188,"x")),1)+IF(COUNTIF(J188:U188,"x")=0,(Besatzung!$F$13="x"),(K188="x")*(Besatzung!$F$13="x"))*IFERROR(H188,0)/IFERROR(IF(COUNTIF(J188:U188,"x")=0,SUMPRODUCT((Besatzung!$B$11:$B$22&lt;&gt;"")*(Besatzung!$F$11:$F$22="x")),SUMPRODUCT((J188:U188="x")*(Besatzung!$F$11:$F$22="x"))),1))))),0))))</f>
        <v/>
      </c>
      <c r="Y188" s="247">
        <f>IF(C188="Gutschrift","",IF(G188="","",IF(Besatzung!$B$14="","",IFERROR(IF(I188="Zeitanteilig",(Besatzung!$G$14*(G188-IFERROR(H188,0))+((Besatzung!$B$14&lt;&gt;"")*IF(B188="",1,(IF(Besatzung!$C$14="",Besatzung!$B$5,Besatzung!$C$14)&lt;=B188)*(IF(Besatzung!$D$14="",Besatzung!$B$6,Besatzung!$D$14)&gt;=B188)))*(Besatzung!$F$14="x")*IFERROR(H188,0)/IFERROR(SUMPRODUCT((Besatzung!$B$11:$B$22&lt;&gt;"")*(Besatzung!$F$11:$F$22="x")*(IF(Besatzung!$C$11:$C$22="",Besatzung!$B$5,Besatzung!$C$11:$C$22)&lt;=B188)*(IF(Besatzung!$D$11:$D$22="",Besatzung!$B$6,Besatzung!$D$11:$D$22)&gt;=B188)),1)),IF(I188="An Bord",(((Besatzung!$B$14&lt;&gt;"")*IF(B188="",1,(IF(Besatzung!$C$14="",Besatzung!$B$5,Besatzung!$C$14)&lt;=B188)*(IF(Besatzung!$D$14="",Besatzung!$B$6,Besatzung!$D$14)&gt;=B188)))*((G188-IFERROR(H188,0))/IFERROR(SUMPRODUCT((Besatzung!$B$11:$B$22&lt;&gt;"")*(IF(Besatzung!$C$11:$C$22="",Besatzung!$B$5,Besatzung!$C$11:$C$22)&lt;=B188)*(IF(Besatzung!$D$11:$D$22="",Besatzung!$B$6,Besatzung!$D$11:$D$22)&gt;=B188)),1)+(Besatzung!$F$14="x")*IFERROR(H188,0)/IFERROR(SUMPRODUCT((Besatzung!$B$11:$B$22&lt;&gt;"")*(Besatzung!$F$11:$F$22="x")*(IF(Besatzung!$C$11:$C$22="",Besatzung!$B$5,Besatzung!$C$11:$C$22)&lt;=B188)*(IF(Besatzung!$D$11:$D$22="",Besatzung!$B$6,Besatzung!$D$11:$D$22)&gt;=B188)),1))),IF(I188="Individuell",((M188="x")*((G188-IFERROR(H188,0))/IFERROR(COUNTIF(J188:U188,"x"),1)+(Besatzung!$F$14="x")*IFERROR(H188,0)/IFERROR(SUMPRODUCT((J188:U188="x")*(Besatzung!$F$11:$F$22="x")),1))),(IF(COUNTIF(J188:U188,"x")=0,IF(Besatzung!$B$14&lt;&gt;"",1,0),(M188="x"))*(G188-IFERROR(H188,0))/IFERROR(IF(COUNTIF(J188:U188,"x")=0,COUNTA(Besatzung!$B$11:$B$22),COUNTIF(J188:U188,"x")),1)+IF(COUNTIF(J188:U188,"x")=0,(Besatzung!$F$14="x"),(M188="x")*(Besatzung!$F$14="x"))*IFERROR(H188,0)/IFERROR(IF(COUNTIF(J188:U188,"x")=0,SUMPRODUCT((Besatzung!$B$11:$B$22&lt;&gt;"")*(Besatzung!$F$11:$F$22="x")),SUMPRODUCT((J188:U188="x")*(Besatzung!$F$11:$F$22="x"))),1))))),0))))</f>
        <v/>
      </c>
      <c r="Z188" s="247">
        <f>IF(C188="Gutschrift","",IF(G188="","",IF(Besatzung!$B$13="","",IFERROR(IF(I188="Zeitanteilig",(Besatzung!$G$15*(G188-IFERROR(H188,0))+((Besatzung!$B$13&lt;&gt;"")*IF(B188="",1,(IF(Besatzung!$C$15="",Besatzung!$B$5,Besatzung!$C$15)&lt;=B188)*(IF(Besatzung!$D$15="",Besatzung!$B$6,Besatzung!$D$15)&gt;=B188)))*(Besatzung!$F$15="x")*IFERROR(H188,0)/IFERROR(SUMPRODUCT((Besatzung!$B$11:$B$22&lt;&gt;"")*(Besatzung!$F$11:$F$22="x")*(IF(Besatzung!$C$11:$C$22="",Besatzung!$B$5,Besatzung!$C$11:$C$22)&lt;=B188)*(IF(Besatzung!$D$11:$D$22="",Besatzung!$B$6,Besatzung!$D$11:$D$22)&gt;=B188)),1)),IF(I188="An Bord",(((Besatzung!$B$13&lt;&gt;"")*IF(B188="",1,(IF(Besatzung!$C$15="",Besatzung!$B$5,Besatzung!$C$15)&lt;=B188)*(IF(Besatzung!$D$15="",Besatzung!$B$6,Besatzung!$D$15)&gt;=B188)))*((G188-IFERROR(H188,0))/IFERROR(SUMPRODUCT((Besatzung!$B$11:$B$22&lt;&gt;"")*(IF(Besatzung!$C$11:$C$22="",Besatzung!$B$5,Besatzung!$C$11:$C$22)&lt;=B188)*(IF(Besatzung!$D$11:$D$22="",Besatzung!$B$6,Besatzung!$D$11:$D$22)&gt;=B188)),1)+(Besatzung!$F$15="x")*IFERROR(H188,0)/IFERROR(SUMPRODUCT((Besatzung!$B$11:$B$22&lt;&gt;"")*(Besatzung!$F$11:$F$22="x")*(IF(Besatzung!$C$11:$C$22="",Besatzung!$B$5,Besatzung!$C$11:$C$22)&lt;=B188)*(IF(Besatzung!$D$11:$D$22="",Besatzung!$B$6,Besatzung!$D$11:$D$22)&gt;=B188)),1))),IF(I188="Individuell",((N188="x")*((G188-IFERROR(H188,0))/IFERROR(COUNTIF(J188:U188,"x"),1)+(Besatzung!$F$15="x")*IFERROR(H188,0)/IFERROR(SUMPRODUCT((J188:U188="x")*(Besatzung!$F$11:$F$22="x")),1))),(IF(COUNTIF(J188:U188,"x")=0,IF(Besatzung!$B$13&lt;&gt;"",1,0),(N188="x"))*(G188-IFERROR(H188,0))/IFERROR(IF(COUNTIF(J188:U188,"x")=0,COUNTA(Besatzung!$B$11:$B$22),COUNTIF(J188:U188,"x")),1)+IF(COUNTIF(J188:U188,"x")=0,(Besatzung!$F$15="x"),(N188="x")*(Besatzung!$F$15="x"))*IFERROR(H188,0)/IFERROR(IF(COUNTIF(J188:U188,"x")=0,SUMPRODUCT((Besatzung!$B$11:$B$22&lt;&gt;"")*(Besatzung!$F$11:$F$22="x")),SUMPRODUCT((J188:U188="x")*(Besatzung!$F$11:$F$22="x"))),1))))),0))))</f>
        <v/>
      </c>
      <c r="AA188" s="247">
        <f>IF(C188="Gutschrift","",IF(G188="","",IF(Besatzung!$B$15="","",IFERROR(IF(I188="Zeitanteilig",(Besatzung!$G$16*(G188-IFERROR(H188,0))+((Besatzung!$B$15&lt;&gt;"")*IF(B188="",1,(IF(Besatzung!$C$16="",Besatzung!$B$5,Besatzung!$C$16)&lt;=B188)*(IF(Besatzung!$D$16="",Besatzung!$B$6,Besatzung!$D$16)&gt;=B188)))*(Besatzung!$F$16="x")*IFERROR(H188,0)/IFERROR(SUMPRODUCT((Besatzung!$B$11:$B$22&lt;&gt;"")*(Besatzung!$F$11:$F$22="x")*(IF(Besatzung!$C$11:$C$22="",Besatzung!$B$5,Besatzung!$C$11:$C$22)&lt;=B188)*(IF(Besatzung!$D$11:$D$22="",Besatzung!$B$6,Besatzung!$D$11:$D$22)&gt;=B188)),1)),IF(I188="An Bord",(((Besatzung!$B$15&lt;&gt;"")*IF(B188="",1,(IF(Besatzung!$C$16="",Besatzung!$B$5,Besatzung!$C$16)&lt;=B188)*(IF(Besatzung!$D$16="",Besatzung!$B$6,Besatzung!$D$16)&gt;=B188)))*((G188-IFERROR(H188,0))/IFERROR(SUMPRODUCT((Besatzung!$B$11:$B$22&lt;&gt;"")*(IF(Besatzung!$C$11:$C$22="",Besatzung!$B$5,Besatzung!$C$11:$C$22)&lt;=B188)*(IF(Besatzung!$D$11:$D$22="",Besatzung!$B$6,Besatzung!$D$11:$D$22)&gt;=B188)),1)+(Besatzung!$F$16="x")*IFERROR(H188,0)/IFERROR(SUMPRODUCT((Besatzung!$B$11:$B$22&lt;&gt;"")*(Besatzung!$F$11:$F$22="x")*(IF(Besatzung!$C$11:$C$22="",Besatzung!$B$5,Besatzung!$C$11:$C$22)&lt;=B188)*(IF(Besatzung!$D$11:$D$22="",Besatzung!$B$6,Besatzung!$D$11:$D$22)&gt;=B188)),1))),IF(I188="Individuell",((O188="x")*((G188-IFERROR(H188,0))/IFERROR(COUNTIF(J188:U188,"x"),1)+(Besatzung!$F$16="x")*IFERROR(H188,0)/IFERROR(SUMPRODUCT((J188:U188="x")*(Besatzung!$F$11:$F$22="x")),1))),(IF(COUNTIF(J188:U188,"x")=0,IF(Besatzung!$B$15&lt;&gt;"",1,0),(O188="x"))*(G188-IFERROR(H188,0))/IFERROR(IF(COUNTIF(J188:U188,"x")=0,COUNTA(Besatzung!$B$11:$B$22),COUNTIF(J188:U188,"x")),1)+IF(COUNTIF(J188:U188,"x")=0,(Besatzung!$F$16="x"),(O188="x")*(Besatzung!$F$16="x"))*IFERROR(H188,0)/IFERROR(IF(COUNTIF(J188:U188,"x")=0,SUMPRODUCT((Besatzung!$B$11:$B$22&lt;&gt;"")*(Besatzung!$F$11:$F$22="x")),SUMPRODUCT((J188:U188="x")*(Besatzung!$F$11:$F$22="x"))),1))))),0))))</f>
        <v/>
      </c>
      <c r="AB188" s="247">
        <f>IF(C188="Gutschrift","",IF(G188="","",IF(Besatzung!$B$17="","",IFERROR(IF(I188="Zeitanteilig",(Besatzung!$G$17*(G188-IFERROR(H188,0))+((Besatzung!$B$17&lt;&gt;"")*IF(B188="",1,(IF(Besatzung!$C$17="",Besatzung!$B$5,Besatzung!$C$17)&lt;=B188)*(IF(Besatzung!$D$17="",Besatzung!$B$6,Besatzung!$D$17)&gt;=B188)))*(Besatzung!$F$17="x")*IFERROR(H188,0)/IFERROR(SUMPRODUCT((Besatzung!$B$11:$B$22&lt;&gt;"")*(Besatzung!$F$11:$F$22="x")*(IF(Besatzung!$C$11:$C$22="",Besatzung!$B$5,Besatzung!$C$11:$C$22)&lt;=B188)*(IF(Besatzung!$D$11:$D$22="",Besatzung!$B$6,Besatzung!$D$11:$D$22)&gt;=B188)),1)),IF(I188="An Bord",(((Besatzung!$B$17&lt;&gt;"")*IF(B188="",1,(IF(Besatzung!$C$17="",Besatzung!$B$5,Besatzung!$C$17)&lt;=B188)*(IF(Besatzung!$D$17="",Besatzung!$B$6,Besatzung!$D$17)&gt;=B188)))*((G188-IFERROR(H188,0))/IFERROR(SUMPRODUCT((Besatzung!$B$11:$B$22&lt;&gt;"")*(IF(Besatzung!$C$11:$C$22="",Besatzung!$B$5,Besatzung!$C$11:$C$22)&lt;=B188)*(IF(Besatzung!$D$11:$D$22="",Besatzung!$B$6,Besatzung!$D$11:$D$22)&gt;=B188)),1)+(Besatzung!$F$17="x")*IFERROR(H188,0)/IFERROR(SUMPRODUCT((Besatzung!$B$11:$B$22&lt;&gt;"")*(Besatzung!$F$11:$F$22="x")*(IF(Besatzung!$C$11:$C$22="",Besatzung!$B$5,Besatzung!$C$11:$C$22)&lt;=B188)*(IF(Besatzung!$D$11:$D$22="",Besatzung!$B$6,Besatzung!$D$11:$D$22)&gt;=B188)),1))),IF(I188="Individuell",((P188="x")*((G188-IFERROR(H188,0))/IFERROR(COUNTIF(J188:U188,"x"),1)+(Besatzung!$F$17="x")*IFERROR(H188,0)/IFERROR(SUMPRODUCT((J188:U188="x")*(Besatzung!$F$11:$F$22="x")),1))),(IF(COUNTIF(J188:U188,"x")=0,IF(Besatzung!$B$17&lt;&gt;"",1,0),(P188="x"))*(G188-IFERROR(H188,0))/IFERROR(IF(COUNTIF(J188:U188,"x")=0,COUNTA(Besatzung!$B$11:$B$22),COUNTIF(J188:U188,"x")),1)+IF(COUNTIF(J188:U188,"x")=0,(Besatzung!$F$17="x"),(P188="x")*(Besatzung!$F$17="x"))*IFERROR(H188,0)/IFERROR(IF(COUNTIF(J188:U188,"x")=0,SUMPRODUCT((Besatzung!$B$11:$B$22&lt;&gt;"")*(Besatzung!$F$11:$F$22="x")),SUMPRODUCT((J188:U188="x")*(Besatzung!$F$11:$F$22="x"))),1))))),0))))</f>
        <v/>
      </c>
      <c r="AC188" s="247">
        <f>IF(C188="Gutschrift","",IF(G188="","",IF(Besatzung!$B$18="","",IFERROR(IF(I188="Zeitanteilig",(Besatzung!$G$18*(G188-IFERROR(H188,0))+((Besatzung!$B$18&lt;&gt;"")*IF(B188="",1,(IF(Besatzung!$C$18="",Besatzung!$B$5,Besatzung!$C$18)&lt;=B188)*(IF(Besatzung!$D$18="",Besatzung!$B$6,Besatzung!$D$18)&gt;=B188)))*(Besatzung!$F$18="x")*IFERROR(H188,0)/IFERROR(SUMPRODUCT((Besatzung!$B$11:$B$22&lt;&gt;"")*(Besatzung!$F$11:$F$22="x")*(IF(Besatzung!$C$11:$C$22="",Besatzung!$B$5,Besatzung!$C$11:$C$22)&lt;=B188)*(IF(Besatzung!$D$11:$D$22="",Besatzung!$B$6,Besatzung!$D$11:$D$22)&gt;=B188)),1)),IF(I188="An Bord",(((Besatzung!$B$18&lt;&gt;"")*IF(B188="",1,(IF(Besatzung!$C$18="",Besatzung!$B$5,Besatzung!$C$18)&lt;=B188)*(IF(Besatzung!$D$18="",Besatzung!$B$6,Besatzung!$D$18)&gt;=B188)))*((G188-IFERROR(H188,0))/IFERROR(SUMPRODUCT((Besatzung!$B$11:$B$22&lt;&gt;"")*(IF(Besatzung!$C$11:$C$22="",Besatzung!$B$5,Besatzung!$C$11:$C$22)&lt;=B188)*(IF(Besatzung!$D$11:$D$22="",Besatzung!$B$6,Besatzung!$D$11:$D$22)&gt;=B188)),1)+(Besatzung!$F$18="x")*IFERROR(H188,0)/IFERROR(SUMPRODUCT((Besatzung!$B$11:$B$22&lt;&gt;"")*(Besatzung!$F$11:$F$22="x")*(IF(Besatzung!$C$11:$C$22="",Besatzung!$B$5,Besatzung!$C$11:$C$22)&lt;=B188)*(IF(Besatzung!$D$11:$D$22="",Besatzung!$B$6,Besatzung!$D$11:$D$22)&gt;=B188)),1))),IF(I188="Individuell",((Q188="x")*((G188-IFERROR(H188,0))/IFERROR(COUNTIF(J188:U188,"x"),1)+(Besatzung!$F$18="x")*IFERROR(H188,0)/IFERROR(SUMPRODUCT((J188:U188="x")*(Besatzung!$F$11:$F$22="x")),1))),(IF(COUNTIF(J188:U188,"x")=0,IF(Besatzung!$B$18&lt;&gt;"",1,0),(Q188="x"))*(G188-IFERROR(H188,0))/IFERROR(IF(COUNTIF(J188:U188,"x")=0,COUNTA(Besatzung!$B$11:$B$22),COUNTIF(J188:U188,"x")),1)+IF(COUNTIF(J188:U188,"x")=0,(Besatzung!$F$18="x"),(Q188="x")*(Besatzung!$F$18="x"))*IFERROR(H188,0)/IFERROR(IF(COUNTIF(J188:U188,"x")=0,SUMPRODUCT((Besatzung!$B$11:$B$22&lt;&gt;"")*(Besatzung!$F$11:$F$22="x")),SUMPRODUCT((J188:U188="x")*(Besatzung!$F$11:$F$22="x"))),1))))),0))))</f>
        <v/>
      </c>
      <c r="AD188" s="247">
        <f>IF(C188="Gutschrift","",IF(G188="","",IF(Besatzung!$B$19="","",IFERROR(IF(I188="Zeitanteilig",(Besatzung!$G$19*(G188-IFERROR(H188,0))+((Besatzung!$B$19&lt;&gt;"")*IF(B188="",1,(IF(Besatzung!$C$19="",Besatzung!$B$5,Besatzung!$C$19)&lt;=B188)*(IF(Besatzung!$D$19="",Besatzung!$B$6,Besatzung!$D$19)&gt;=B188)))*(Besatzung!$F$19="x")*IFERROR(H188,0)/IFERROR(SUMPRODUCT((Besatzung!$B$11:$B$22&lt;&gt;"")*(Besatzung!$F$11:$F$22="x")*(IF(Besatzung!$C$11:$C$22="",Besatzung!$B$5,Besatzung!$C$11:$C$22)&lt;=B188)*(IF(Besatzung!$D$11:$D$22="",Besatzung!$B$6,Besatzung!$D$11:$D$22)&gt;=B188)),1)),IF(I188="An Bord",(((Besatzung!$B$19&lt;&gt;"")*IF(B188="",1,(IF(Besatzung!$C$19="",Besatzung!$B$5,Besatzung!$C$19)&lt;=B188)*(IF(Besatzung!$D$19="",Besatzung!$B$6,Besatzung!$D$19)&gt;=B188)))*((G188-IFERROR(H188,0))/IFERROR(SUMPRODUCT((Besatzung!$B$11:$B$22&lt;&gt;"")*(IF(Besatzung!$C$11:$C$22="",Besatzung!$B$5,Besatzung!$C$11:$C$22)&lt;=B188)*(IF(Besatzung!$D$11:$D$22="",Besatzung!$B$6,Besatzung!$D$11:$D$22)&gt;=B188)),1)+(Besatzung!$F$19="x")*IFERROR(H188,0)/IFERROR(SUMPRODUCT((Besatzung!$B$11:$B$22&lt;&gt;"")*(Besatzung!$F$11:$F$22="x")*(IF(Besatzung!$C$11:$C$22="",Besatzung!$B$5,Besatzung!$C$11:$C$22)&lt;=B188)*(IF(Besatzung!$D$11:$D$22="",Besatzung!$B$6,Besatzung!$D$11:$D$22)&gt;=B188)),1))),IF(I188="Individuell",((R188="x")*((G188-IFERROR(H188,0))/IFERROR(COUNTIF(J188:U188,"x"),1)+(Besatzung!$F$19="x")*IFERROR(H188,0)/IFERROR(SUMPRODUCT((J188:U188="x")*(Besatzung!$F$11:$F$22="x")),1))),(IF(COUNTIF(J188:U188,"x")=0,IF(Besatzung!$B$19&lt;&gt;"",1,0),(R188="x"))*(G188-IFERROR(H188,0))/IFERROR(IF(COUNTIF(J188:U188,"x")=0,COUNTA(Besatzung!$B$11:$B$22),COUNTIF(J188:U188,"x")),1)+IF(COUNTIF(J188:U188,"x")=0,(Besatzung!$F$19="x"),(R188="x")*(Besatzung!$F$19="x"))*IFERROR(H188,0)/IFERROR(IF(COUNTIF(J188:U188,"x")=0,SUMPRODUCT((Besatzung!$B$11:$B$22&lt;&gt;"")*(Besatzung!$F$11:$F$22="x")),SUMPRODUCT((J188:U188="x")*(Besatzung!$F$11:$F$22="x"))),1))))),0))))</f>
        <v/>
      </c>
      <c r="AE188" s="247">
        <f>IF(C188="Gutschrift","",IF(G188="","",IF(Besatzung!$B$20="","",IFERROR(IF(I188="Zeitanteilig",(Besatzung!$G$20*(G188-IFERROR(H188,0))+((Besatzung!$B$20&lt;&gt;"")*IF(B188="",1,(IF(Besatzung!$C$20="",Besatzung!$B$5,Besatzung!$C$20)&lt;=B188)*(IF(Besatzung!$D$20="",Besatzung!$B$6,Besatzung!$D$20)&gt;=B188)))*(Besatzung!$F$20="x")*IFERROR(H188,0)/IFERROR(SUMPRODUCT((Besatzung!$B$11:$B$22&lt;&gt;"")*(Besatzung!$F$11:$F$22="x")*(IF(Besatzung!$C$11:$C$22="",Besatzung!$B$5,Besatzung!$C$11:$C$22)&lt;=B188)*(IF(Besatzung!$D$11:$D$22="",Besatzung!$B$6,Besatzung!$D$11:$D$22)&gt;=B188)),1)),IF(I188="An Bord",(((Besatzung!$B$20&lt;&gt;"")*IF(B188="",1,(IF(Besatzung!$C$20="",Besatzung!$B$5,Besatzung!$C$20)&lt;=B188)*(IF(Besatzung!$D$20="",Besatzung!$B$6,Besatzung!$D$20)&gt;=B188)))*((G188-IFERROR(H188,0))/IFERROR(SUMPRODUCT((Besatzung!$B$11:$B$22&lt;&gt;"")*(IF(Besatzung!$C$11:$C$22="",Besatzung!$B$5,Besatzung!$C$11:$C$22)&lt;=B188)*(IF(Besatzung!$D$11:$D$22="",Besatzung!$B$6,Besatzung!$D$11:$D$22)&gt;=B188)),1)+(Besatzung!$F$20="x")*IFERROR(H188,0)/IFERROR(SUMPRODUCT((Besatzung!$B$11:$B$22&lt;&gt;"")*(Besatzung!$F$11:$F$22="x")*(IF(Besatzung!$C$11:$C$22="",Besatzung!$B$5,Besatzung!$C$11:$C$22)&lt;=B188)*(IF(Besatzung!$D$11:$D$22="",Besatzung!$B$6,Besatzung!$D$11:$D$22)&gt;=B188)),1))),IF(I188="Individuell",((S188="x")*((G188-IFERROR(H188,0))/IFERROR(COUNTIF(J188:U188,"x"),1)+(Besatzung!$F$20="x")*IFERROR(H188,0)/IFERROR(SUMPRODUCT((J188:U188="x")*(Besatzung!$F$11:$F$22="x")),1))),(IF(COUNTIF(J188:U188,"x")=0,IF(Besatzung!$B$20&lt;&gt;"",1,0),(S188="x"))*(G188-IFERROR(H188,0))/IFERROR(IF(COUNTIF(J188:U188,"x")=0,COUNTA(Besatzung!$B$11:$B$22),COUNTIF(J188:U188,"x")),1)+IF(COUNTIF(J188:U188,"x")=0,(Besatzung!$F$20="x"),(S188="x")*(Besatzung!$F$20="x"))*IFERROR(H188,0)/IFERROR(IF(COUNTIF(J188:U188,"x")=0,SUMPRODUCT((Besatzung!$B$11:$B$22&lt;&gt;"")*(Besatzung!$F$11:$F$22="x")),SUMPRODUCT((J188:U188="x")*(Besatzung!$F$11:$F$22="x"))),1))))),0))))</f>
        <v/>
      </c>
      <c r="AF188" s="247">
        <f>IF(C188="Gutschrift","",IF(G188="","",IF(Besatzung!$B$21="","",IFERROR(IF(I188="Zeitanteilig",(Besatzung!$G$21*(G188-IFERROR(H188,0))+((Besatzung!$B$21&lt;&gt;"")*IF(B188="",1,(IF(Besatzung!$C$21="",Besatzung!$B$5,Besatzung!$C$21)&lt;=B188)*(IF(Besatzung!$D$21="",Besatzung!$B$6,Besatzung!$D$21)&gt;=B188)))*(Besatzung!$F$21="x")*IFERROR(H188,0)/IFERROR(SUMPRODUCT((Besatzung!$B$11:$B$22&lt;&gt;"")*(Besatzung!$F$11:$F$22="x")*(IF(Besatzung!$C$11:$C$22="",Besatzung!$B$5,Besatzung!$C$11:$C$22)&lt;=B188)*(IF(Besatzung!$D$11:$D$22="",Besatzung!$B$6,Besatzung!$D$11:$D$22)&gt;=B188)),1)),IF(I188="An Bord",(((Besatzung!$B$21&lt;&gt;"")*IF(B188="",1,(IF(Besatzung!$C$21="",Besatzung!$B$5,Besatzung!$C$21)&lt;=B188)*(IF(Besatzung!$D$21="",Besatzung!$B$6,Besatzung!$D$21)&gt;=B188)))*((G188-IFERROR(H188,0))/IFERROR(SUMPRODUCT((Besatzung!$B$11:$B$22&lt;&gt;"")*(IF(Besatzung!$C$11:$C$22="",Besatzung!$B$5,Besatzung!$C$11:$C$22)&lt;=B188)*(IF(Besatzung!$D$11:$D$22="",Besatzung!$B$6,Besatzung!$D$11:$D$22)&gt;=B188)),1)+(Besatzung!$F$21="x")*IFERROR(H188,0)/IFERROR(SUMPRODUCT((Besatzung!$B$11:$B$22&lt;&gt;"")*(Besatzung!$F$11:$F$22="x")*(IF(Besatzung!$C$11:$C$22="",Besatzung!$B$5,Besatzung!$C$11:$C$22)&lt;=B188)*(IF(Besatzung!$D$11:$D$22="",Besatzung!$B$6,Besatzung!$D$11:$D$22)&gt;=B188)),1))),IF(I188="Individuell",((T188="x")*((G188-IFERROR(H188,0))/IFERROR(COUNTIF(J188:U188,"x"),1)+(Besatzung!$F$21="x")*IFERROR(H188,0)/IFERROR(SUMPRODUCT((J188:U188="x")*(Besatzung!$F$11:$F$22="x")),1))),(IF(COUNTIF(J188:U188,"x")=0,IF(Besatzung!$B$21&lt;&gt;"",1,0),(T188="x"))*(G188-IFERROR(H188,0))/IFERROR(IF(COUNTIF(J188:U188,"x")=0,COUNTA(Besatzung!$B$11:$B$22),COUNTIF(J188:U188,"x")),1)+IF(COUNTIF(J188:U188,"x")=0,(Besatzung!$F$21="x"),(T188="x")*(Besatzung!$F$21="x"))*IFERROR(H188,0)/IFERROR(IF(COUNTIF(J188:U188,"x")=0,SUMPRODUCT((Besatzung!$B$11:$B$22&lt;&gt;"")*(Besatzung!$F$11:$F$22="x")),SUMPRODUCT((J188:U188="x")*(Besatzung!$F$11:$F$22="x"))),1))))),0))))</f>
        <v/>
      </c>
      <c r="AG188" s="247">
        <f>IF(C188="Gutschrift","",IF(G188="","",IF(Besatzung!$B$22="","",IFERROR(IF(I188="Zeitanteilig",(Besatzung!$G$22*(G188-IFERROR(H188,0))+((Besatzung!$B$22&lt;&gt;"")*IF(B188="",1,(IF(Besatzung!$C$22="",Besatzung!$B$5,Besatzung!$C$22)&lt;=B188)*(IF(Besatzung!$D$22="",Besatzung!$B$6,Besatzung!$D$22)&gt;=B188)))*(Besatzung!$F$22="x")*IFERROR(H188,0)/IFERROR(SUMPRODUCT((Besatzung!$B$11:$B$22&lt;&gt;"")*(Besatzung!$F$11:$F$22="x")*(IF(Besatzung!$C$11:$C$22="",Besatzung!$B$5,Besatzung!$C$11:$C$22)&lt;=B188)*(IF(Besatzung!$D$11:$D$22="",Besatzung!$B$6,Besatzung!$D$11:$D$22)&gt;=B188)),1)),IF(I188="An Bord",(((Besatzung!$B$22&lt;&gt;"")*IF(B188="",1,(IF(Besatzung!$C$22="",Besatzung!$B$5,Besatzung!$C$22)&lt;=B188)*(IF(Besatzung!$D$22="",Besatzung!$B$6,Besatzung!$D$22)&gt;=B188)))*((G188-IFERROR(H188,0))/IFERROR(SUMPRODUCT((Besatzung!$B$11:$B$22&lt;&gt;"")*(IF(Besatzung!$C$11:$C$22="",Besatzung!$B$5,Besatzung!$C$11:$C$22)&lt;=B188)*(IF(Besatzung!$D$11:$D$22="",Besatzung!$B$6,Besatzung!$D$11:$D$22)&gt;=B188)),1)+(Besatzung!$F$22="x")*IFERROR(H188,0)/IFERROR(SUMPRODUCT((Besatzung!$B$11:$B$22&lt;&gt;"")*(Besatzung!$F$11:$F$22="x")*(IF(Besatzung!$C$11:$C$22="",Besatzung!$B$5,Besatzung!$C$11:$C$22)&lt;=B188)*(IF(Besatzung!$D$11:$D$22="",Besatzung!$B$6,Besatzung!$D$11:$D$22)&gt;=B188)),1))),IF(I188="Individuell",((U188="x")*((G188-IFERROR(H188,0))/IFERROR(COUNTIF(J188:U188,"x"),1)+(Besatzung!$F$22="x")*IFERROR(H188,0)/IFERROR(SUMPRODUCT((J188:U188="x")*(Besatzung!$F$11:$F$22="x")),1))),(IF(COUNTIF(J188:U188,"x")=0,IF(Besatzung!$B$22&lt;&gt;"",1,0),(U188="x"))*(G188-IFERROR(H188,0))/IFERROR(IF(COUNTIF(J188:U188,"x")=0,COUNTA(Besatzung!$B$11:$B$22),COUNTIF(J188:U188,"x")),1)+IF(COUNTIF(J188:U188,"x")=0,(Besatzung!$F$22="x"),(U188="x")*(Besatzung!$F$22="x"))*IFERROR(H188,0)/IFERROR(IF(COUNTIF(J188:U188,"x")=0,SUMPRODUCT((Besatzung!$B$11:$B$22&lt;&gt;"")*(Besatzung!$F$11:$F$22="x")),SUMPRODUCT((J188:U188="x")*(Besatzung!$F$11:$F$22="x"))),1))))),0))))</f>
        <v/>
      </c>
      <c r="AH188" s="248" t="n"/>
      <c r="AI188" s="248" t="n"/>
    </row>
    <row r="189" ht="21.75" customHeight="1" s="154">
      <c r="A189" s="238">
        <f>IF(AND(D189="",C189=""),"",186)</f>
        <v/>
      </c>
      <c r="B189" s="206" t="n"/>
      <c r="C189" s="249" t="n"/>
      <c r="D189" s="250" t="n"/>
      <c r="E189" s="251" t="n"/>
      <c r="F189" s="252" t="n"/>
      <c r="G189" s="253" t="n"/>
      <c r="H189" s="254" t="n"/>
      <c r="I189" s="255" t="n"/>
      <c r="J189" s="256" t="n"/>
      <c r="K189" s="256" t="n"/>
      <c r="L189" s="256" t="n"/>
      <c r="M189" s="256" t="n"/>
      <c r="N189" s="256" t="n"/>
      <c r="O189" s="256" t="n"/>
      <c r="P189" s="256" t="n"/>
      <c r="Q189" s="256" t="n"/>
      <c r="R189" s="256" t="n"/>
      <c r="S189" s="256" t="n"/>
      <c r="T189" s="256" t="n"/>
      <c r="U189" s="256" t="n"/>
      <c r="V189" s="247">
        <f>IF(C189="Gutschrift","",IF(G189="","",IF(Besatzung!$B$11="","",IFERROR(IF(I189="Zeitanteilig",(Besatzung!$G$11*(G189-IFERROR(H189,0))+((Besatzung!$B$11&lt;&gt;"")*IF(B189="",1,(IF(Besatzung!$C$11="",Besatzung!$B$5,Besatzung!$C$11)&lt;=B189)*(IF(Besatzung!$D$11="",Besatzung!$B$6,Besatzung!$D$11)&gt;=B189)))*(Besatzung!$F$11="x")*IFERROR(H189,0)/IFERROR(SUMPRODUCT((Besatzung!$B$11:$B$22&lt;&gt;"")*(Besatzung!$F$11:$F$22="x")*(IF(Besatzung!$C$11:$C$22="",Besatzung!$B$5,Besatzung!$C$11:$C$22)&lt;=B189)*(IF(Besatzung!$D$11:$D$22="",Besatzung!$B$6,Besatzung!$D$11:$D$22)&gt;=B189)),1)),IF(I189="An Bord",(((Besatzung!$B$11&lt;&gt;"")*IF(B189="",1,(IF(Besatzung!$C$11="",Besatzung!$B$5,Besatzung!$C$11)&lt;=B189)*(IF(Besatzung!$D$11="",Besatzung!$B$6,Besatzung!$D$11)&gt;=B189)))*((G189-IFERROR(H189,0))/IFERROR(SUMPRODUCT((Besatzung!$B$11:$B$22&lt;&gt;"")*(IF(Besatzung!$C$11:$C$22="",Besatzung!$B$5,Besatzung!$C$11:$C$22)&lt;=B189)*(IF(Besatzung!$D$11:$D$22="",Besatzung!$B$6,Besatzung!$D$11:$D$22)&gt;=B189)),1)+(Besatzung!$F$11="x")*IFERROR(H189,0)/IFERROR(SUMPRODUCT((Besatzung!$B$11:$B$22&lt;&gt;"")*(Besatzung!$F$11:$F$22="x")*(IF(Besatzung!$C$11:$C$22="",Besatzung!$B$5,Besatzung!$C$11:$C$22)&lt;=B189)*(IF(Besatzung!$D$11:$D$22="",Besatzung!$B$6,Besatzung!$D$11:$D$22)&gt;=B189)),1))),IF(I189="Individuell",((J189="x")*((G189-IFERROR(H189,0))/IFERROR(COUNTIF(J189:U189,"x"),1)+(Besatzung!$F$11="x")*IFERROR(H189,0)/IFERROR(SUMPRODUCT((J189:U189="x")*(Besatzung!$F$11:$F$22="x")),1))),(IF(COUNTIF(J189:U189,"x")=0,IF(Besatzung!$B$11&lt;&gt;"",1,0),(J189="x"))*(G189-IFERROR(H189,0))/IFERROR(IF(COUNTIF(J189:U189,"x")=0,COUNTA(Besatzung!$B$11:$B$22),COUNTIF(J189:U189,"x")),1)+IF(COUNTIF(J189:U189,"x")=0,(Besatzung!$F$11="x"),(J189="x")*(Besatzung!$F$11="x"))*IFERROR(H189,0)/IFERROR(IF(COUNTIF(J189:U189,"x")=0,SUMPRODUCT((Besatzung!$B$11:$B$22&lt;&gt;"")*(Besatzung!$F$11:$F$22="x")),SUMPRODUCT((J189:U189="x")*(Besatzung!$F$11:$F$22="x"))),1))))),0))))</f>
        <v/>
      </c>
      <c r="W189" s="247">
        <f>IF(C189="Gutschrift","",IF(G189="","",IF(Besatzung!$B$12="","",IFERROR(IF(I189="Zeitanteilig",(Besatzung!$G$12*(G189-IFERROR(H189,0))+((Besatzung!$B$12&lt;&gt;"")*IF(B189="",1,(IF(Besatzung!$C$12="",Besatzung!$B$5,Besatzung!$C$12)&lt;=B189)*(IF(Besatzung!$D$12="",Besatzung!$B$6,Besatzung!$D$12)&gt;=B189)))*(Besatzung!$F$12="x")*IFERROR(H189,0)/IFERROR(SUMPRODUCT((Besatzung!$B$11:$B$22&lt;&gt;"")*(Besatzung!$F$11:$F$22="x")*(IF(Besatzung!$C$11:$C$22="",Besatzung!$B$5,Besatzung!$C$11:$C$22)&lt;=B189)*(IF(Besatzung!$D$11:$D$22="",Besatzung!$B$6,Besatzung!$D$11:$D$22)&gt;=B189)),1)),IF(I189="An Bord",(((Besatzung!$B$12&lt;&gt;"")*IF(B189="",1,(IF(Besatzung!$C$12="",Besatzung!$B$5,Besatzung!$C$12)&lt;=B189)*(IF(Besatzung!$D$12="",Besatzung!$B$6,Besatzung!$D$12)&gt;=B189)))*((G189-IFERROR(H189,0))/IFERROR(SUMPRODUCT((Besatzung!$B$11:$B$22&lt;&gt;"")*(IF(Besatzung!$C$11:$C$22="",Besatzung!$B$5,Besatzung!$C$11:$C$22)&lt;=B189)*(IF(Besatzung!$D$11:$D$22="",Besatzung!$B$6,Besatzung!$D$11:$D$22)&gt;=B189)),1)+(Besatzung!$F$12="x")*IFERROR(H189,0)/IFERROR(SUMPRODUCT((Besatzung!$B$11:$B$22&lt;&gt;"")*(Besatzung!$F$11:$F$22="x")*(IF(Besatzung!$C$11:$C$22="",Besatzung!$B$5,Besatzung!$C$11:$C$22)&lt;=B189)*(IF(Besatzung!$D$11:$D$22="",Besatzung!$B$6,Besatzung!$D$11:$D$22)&gt;=B189)),1))),IF(I189="Individuell",((K189="x")*((G189-IFERROR(H189,0))/IFERROR(COUNTIF(J189:U189,"x"),1)+(Besatzung!$F$12="x")*IFERROR(H189,0)/IFERROR(SUMPRODUCT((J189:U189="x")*(Besatzung!$F$11:$F$22="x")),1))),(IF(COUNTIF(J189:U189,"x")=0,IF(Besatzung!$B$12&lt;&gt;"",1,0),(K189="x"))*(G189-IFERROR(H189,0))/IFERROR(IF(COUNTIF(J189:U189,"x")=0,COUNTA(Besatzung!$B$11:$B$22),COUNTIF(J189:U189,"x")),1)+IF(COUNTIF(J189:U189,"x")=0,(Besatzung!$F$12="x"),(K189="x")*(Besatzung!$F$12="x"))*IFERROR(H189,0)/IFERROR(IF(COUNTIF(J189:U189,"x")=0,SUMPRODUCT((Besatzung!$B$11:$B$22&lt;&gt;"")*(Besatzung!$F$11:$F$22="x")),SUMPRODUCT((J189:U189="x")*(Besatzung!$F$11:$F$22="x"))),1))))),0))))</f>
        <v/>
      </c>
      <c r="X189" s="247">
        <f>IF(C189="Gutschrift","",IF(G189="","",IF(Besatzung!$B$13="","",IFERROR(IF(I189="Zeitanteilig",(Besatzung!$G$13*(G189-IFERROR(H189,0))+((Besatzung!$B$13&lt;&gt;"")*IF(B189="",1,(IF(Besatzung!$C$13="",Besatzung!$B$5,Besatzung!$C$13)&lt;=B189)*(IF(Besatzung!$D$13="",Besatzung!$B$6,Besatzung!$D$13)&gt;=B189)))*(Besatzung!$F$13="x")*IFERROR(H189,0)/IFERROR(SUMPRODUCT((Besatzung!$B$11:$B$22&lt;&gt;"")*(Besatzung!$F$11:$F$22="x")*(IF(Besatzung!$C$11:$C$22="",Besatzung!$B$5,Besatzung!$C$11:$C$22)&lt;=B189)*(IF(Besatzung!$D$11:$D$22="",Besatzung!$B$6,Besatzung!$D$11:$D$22)&gt;=B189)),1)),IF(I189="An Bord",(((Besatzung!$B$13&lt;&gt;"")*IF(B189="",1,(IF(Besatzung!$C$13="",Besatzung!$B$5,Besatzung!$C$13)&lt;=B189)*(IF(Besatzung!$D$13="",Besatzung!$B$6,Besatzung!$D$13)&gt;=B189)))*((G189-IFERROR(H189,0))/IFERROR(SUMPRODUCT((Besatzung!$B$11:$B$22&lt;&gt;"")*(IF(Besatzung!$C$11:$C$22="",Besatzung!$B$5,Besatzung!$C$11:$C$22)&lt;=B189)*(IF(Besatzung!$D$11:$D$22="",Besatzung!$B$6,Besatzung!$D$11:$D$22)&gt;=B189)),1)+(Besatzung!$F$13="x")*IFERROR(H189,0)/IFERROR(SUMPRODUCT((Besatzung!$B$11:$B$22&lt;&gt;"")*(Besatzung!$F$11:$F$22="x")*(IF(Besatzung!$C$11:$C$22="",Besatzung!$B$5,Besatzung!$C$11:$C$22)&lt;=B189)*(IF(Besatzung!$D$11:$D$22="",Besatzung!$B$6,Besatzung!$D$11:$D$22)&gt;=B189)),1))),IF(I189="Individuell",((K189="x")*((G189-IFERROR(H189,0))/IFERROR(COUNTIF(J189:U189,"x"),1)+(Besatzung!$F$13="x")*IFERROR(H189,0)/IFERROR(SUMPRODUCT((J189:U189="x")*(Besatzung!$F$11:$F$22="x")),1))),(IF(COUNTIF(J189:U189,"x")=0,IF(Besatzung!$B$13&lt;&gt;"",1,0),(K189="x"))*(G189-IFERROR(H189,0))/IFERROR(IF(COUNTIF(J189:U189,"x")=0,COUNTA(Besatzung!$B$11:$B$22),COUNTIF(J189:U189,"x")),1)+IF(COUNTIF(J189:U189,"x")=0,(Besatzung!$F$13="x"),(K189="x")*(Besatzung!$F$13="x"))*IFERROR(H189,0)/IFERROR(IF(COUNTIF(J189:U189,"x")=0,SUMPRODUCT((Besatzung!$B$11:$B$22&lt;&gt;"")*(Besatzung!$F$11:$F$22="x")),SUMPRODUCT((J189:U189="x")*(Besatzung!$F$11:$F$22="x"))),1))))),0))))</f>
        <v/>
      </c>
      <c r="Y189" s="247">
        <f>IF(C189="Gutschrift","",IF(G189="","",IF(Besatzung!$B$14="","",IFERROR(IF(I189="Zeitanteilig",(Besatzung!$G$14*(G189-IFERROR(H189,0))+((Besatzung!$B$14&lt;&gt;"")*IF(B189="",1,(IF(Besatzung!$C$14="",Besatzung!$B$5,Besatzung!$C$14)&lt;=B189)*(IF(Besatzung!$D$14="",Besatzung!$B$6,Besatzung!$D$14)&gt;=B189)))*(Besatzung!$F$14="x")*IFERROR(H189,0)/IFERROR(SUMPRODUCT((Besatzung!$B$11:$B$22&lt;&gt;"")*(Besatzung!$F$11:$F$22="x")*(IF(Besatzung!$C$11:$C$22="",Besatzung!$B$5,Besatzung!$C$11:$C$22)&lt;=B189)*(IF(Besatzung!$D$11:$D$22="",Besatzung!$B$6,Besatzung!$D$11:$D$22)&gt;=B189)),1)),IF(I189="An Bord",(((Besatzung!$B$14&lt;&gt;"")*IF(B189="",1,(IF(Besatzung!$C$14="",Besatzung!$B$5,Besatzung!$C$14)&lt;=B189)*(IF(Besatzung!$D$14="",Besatzung!$B$6,Besatzung!$D$14)&gt;=B189)))*((G189-IFERROR(H189,0))/IFERROR(SUMPRODUCT((Besatzung!$B$11:$B$22&lt;&gt;"")*(IF(Besatzung!$C$11:$C$22="",Besatzung!$B$5,Besatzung!$C$11:$C$22)&lt;=B189)*(IF(Besatzung!$D$11:$D$22="",Besatzung!$B$6,Besatzung!$D$11:$D$22)&gt;=B189)),1)+(Besatzung!$F$14="x")*IFERROR(H189,0)/IFERROR(SUMPRODUCT((Besatzung!$B$11:$B$22&lt;&gt;"")*(Besatzung!$F$11:$F$22="x")*(IF(Besatzung!$C$11:$C$22="",Besatzung!$B$5,Besatzung!$C$11:$C$22)&lt;=B189)*(IF(Besatzung!$D$11:$D$22="",Besatzung!$B$6,Besatzung!$D$11:$D$22)&gt;=B189)),1))),IF(I189="Individuell",((M189="x")*((G189-IFERROR(H189,0))/IFERROR(COUNTIF(J189:U189,"x"),1)+(Besatzung!$F$14="x")*IFERROR(H189,0)/IFERROR(SUMPRODUCT((J189:U189="x")*(Besatzung!$F$11:$F$22="x")),1))),(IF(COUNTIF(J189:U189,"x")=0,IF(Besatzung!$B$14&lt;&gt;"",1,0),(M189="x"))*(G189-IFERROR(H189,0))/IFERROR(IF(COUNTIF(J189:U189,"x")=0,COUNTA(Besatzung!$B$11:$B$22),COUNTIF(J189:U189,"x")),1)+IF(COUNTIF(J189:U189,"x")=0,(Besatzung!$F$14="x"),(M189="x")*(Besatzung!$F$14="x"))*IFERROR(H189,0)/IFERROR(IF(COUNTIF(J189:U189,"x")=0,SUMPRODUCT((Besatzung!$B$11:$B$22&lt;&gt;"")*(Besatzung!$F$11:$F$22="x")),SUMPRODUCT((J189:U189="x")*(Besatzung!$F$11:$F$22="x"))),1))))),0))))</f>
        <v/>
      </c>
      <c r="Z189" s="247">
        <f>IF(C189="Gutschrift","",IF(G189="","",IF(Besatzung!$B$13="","",IFERROR(IF(I189="Zeitanteilig",(Besatzung!$G$15*(G189-IFERROR(H189,0))+((Besatzung!$B$13&lt;&gt;"")*IF(B189="",1,(IF(Besatzung!$C$15="",Besatzung!$B$5,Besatzung!$C$15)&lt;=B189)*(IF(Besatzung!$D$15="",Besatzung!$B$6,Besatzung!$D$15)&gt;=B189)))*(Besatzung!$F$15="x")*IFERROR(H189,0)/IFERROR(SUMPRODUCT((Besatzung!$B$11:$B$22&lt;&gt;"")*(Besatzung!$F$11:$F$22="x")*(IF(Besatzung!$C$11:$C$22="",Besatzung!$B$5,Besatzung!$C$11:$C$22)&lt;=B189)*(IF(Besatzung!$D$11:$D$22="",Besatzung!$B$6,Besatzung!$D$11:$D$22)&gt;=B189)),1)),IF(I189="An Bord",(((Besatzung!$B$13&lt;&gt;"")*IF(B189="",1,(IF(Besatzung!$C$15="",Besatzung!$B$5,Besatzung!$C$15)&lt;=B189)*(IF(Besatzung!$D$15="",Besatzung!$B$6,Besatzung!$D$15)&gt;=B189)))*((G189-IFERROR(H189,0))/IFERROR(SUMPRODUCT((Besatzung!$B$11:$B$22&lt;&gt;"")*(IF(Besatzung!$C$11:$C$22="",Besatzung!$B$5,Besatzung!$C$11:$C$22)&lt;=B189)*(IF(Besatzung!$D$11:$D$22="",Besatzung!$B$6,Besatzung!$D$11:$D$22)&gt;=B189)),1)+(Besatzung!$F$15="x")*IFERROR(H189,0)/IFERROR(SUMPRODUCT((Besatzung!$B$11:$B$22&lt;&gt;"")*(Besatzung!$F$11:$F$22="x")*(IF(Besatzung!$C$11:$C$22="",Besatzung!$B$5,Besatzung!$C$11:$C$22)&lt;=B189)*(IF(Besatzung!$D$11:$D$22="",Besatzung!$B$6,Besatzung!$D$11:$D$22)&gt;=B189)),1))),IF(I189="Individuell",((N189="x")*((G189-IFERROR(H189,0))/IFERROR(COUNTIF(J189:U189,"x"),1)+(Besatzung!$F$15="x")*IFERROR(H189,0)/IFERROR(SUMPRODUCT((J189:U189="x")*(Besatzung!$F$11:$F$22="x")),1))),(IF(COUNTIF(J189:U189,"x")=0,IF(Besatzung!$B$13&lt;&gt;"",1,0),(N189="x"))*(G189-IFERROR(H189,0))/IFERROR(IF(COUNTIF(J189:U189,"x")=0,COUNTA(Besatzung!$B$11:$B$22),COUNTIF(J189:U189,"x")),1)+IF(COUNTIF(J189:U189,"x")=0,(Besatzung!$F$15="x"),(N189="x")*(Besatzung!$F$15="x"))*IFERROR(H189,0)/IFERROR(IF(COUNTIF(J189:U189,"x")=0,SUMPRODUCT((Besatzung!$B$11:$B$22&lt;&gt;"")*(Besatzung!$F$11:$F$22="x")),SUMPRODUCT((J189:U189="x")*(Besatzung!$F$11:$F$22="x"))),1))))),0))))</f>
        <v/>
      </c>
      <c r="AA189" s="247">
        <f>IF(C189="Gutschrift","",IF(G189="","",IF(Besatzung!$B$15="","",IFERROR(IF(I189="Zeitanteilig",(Besatzung!$G$16*(G189-IFERROR(H189,0))+((Besatzung!$B$15&lt;&gt;"")*IF(B189="",1,(IF(Besatzung!$C$16="",Besatzung!$B$5,Besatzung!$C$16)&lt;=B189)*(IF(Besatzung!$D$16="",Besatzung!$B$6,Besatzung!$D$16)&gt;=B189)))*(Besatzung!$F$16="x")*IFERROR(H189,0)/IFERROR(SUMPRODUCT((Besatzung!$B$11:$B$22&lt;&gt;"")*(Besatzung!$F$11:$F$22="x")*(IF(Besatzung!$C$11:$C$22="",Besatzung!$B$5,Besatzung!$C$11:$C$22)&lt;=B189)*(IF(Besatzung!$D$11:$D$22="",Besatzung!$B$6,Besatzung!$D$11:$D$22)&gt;=B189)),1)),IF(I189="An Bord",(((Besatzung!$B$15&lt;&gt;"")*IF(B189="",1,(IF(Besatzung!$C$16="",Besatzung!$B$5,Besatzung!$C$16)&lt;=B189)*(IF(Besatzung!$D$16="",Besatzung!$B$6,Besatzung!$D$16)&gt;=B189)))*((G189-IFERROR(H189,0))/IFERROR(SUMPRODUCT((Besatzung!$B$11:$B$22&lt;&gt;"")*(IF(Besatzung!$C$11:$C$22="",Besatzung!$B$5,Besatzung!$C$11:$C$22)&lt;=B189)*(IF(Besatzung!$D$11:$D$22="",Besatzung!$B$6,Besatzung!$D$11:$D$22)&gt;=B189)),1)+(Besatzung!$F$16="x")*IFERROR(H189,0)/IFERROR(SUMPRODUCT((Besatzung!$B$11:$B$22&lt;&gt;"")*(Besatzung!$F$11:$F$22="x")*(IF(Besatzung!$C$11:$C$22="",Besatzung!$B$5,Besatzung!$C$11:$C$22)&lt;=B189)*(IF(Besatzung!$D$11:$D$22="",Besatzung!$B$6,Besatzung!$D$11:$D$22)&gt;=B189)),1))),IF(I189="Individuell",((O189="x")*((G189-IFERROR(H189,0))/IFERROR(COUNTIF(J189:U189,"x"),1)+(Besatzung!$F$16="x")*IFERROR(H189,0)/IFERROR(SUMPRODUCT((J189:U189="x")*(Besatzung!$F$11:$F$22="x")),1))),(IF(COUNTIF(J189:U189,"x")=0,IF(Besatzung!$B$15&lt;&gt;"",1,0),(O189="x"))*(G189-IFERROR(H189,0))/IFERROR(IF(COUNTIF(J189:U189,"x")=0,COUNTA(Besatzung!$B$11:$B$22),COUNTIF(J189:U189,"x")),1)+IF(COUNTIF(J189:U189,"x")=0,(Besatzung!$F$16="x"),(O189="x")*(Besatzung!$F$16="x"))*IFERROR(H189,0)/IFERROR(IF(COUNTIF(J189:U189,"x")=0,SUMPRODUCT((Besatzung!$B$11:$B$22&lt;&gt;"")*(Besatzung!$F$11:$F$22="x")),SUMPRODUCT((J189:U189="x")*(Besatzung!$F$11:$F$22="x"))),1))))),0))))</f>
        <v/>
      </c>
      <c r="AB189" s="247">
        <f>IF(C189="Gutschrift","",IF(G189="","",IF(Besatzung!$B$17="","",IFERROR(IF(I189="Zeitanteilig",(Besatzung!$G$17*(G189-IFERROR(H189,0))+((Besatzung!$B$17&lt;&gt;"")*IF(B189="",1,(IF(Besatzung!$C$17="",Besatzung!$B$5,Besatzung!$C$17)&lt;=B189)*(IF(Besatzung!$D$17="",Besatzung!$B$6,Besatzung!$D$17)&gt;=B189)))*(Besatzung!$F$17="x")*IFERROR(H189,0)/IFERROR(SUMPRODUCT((Besatzung!$B$11:$B$22&lt;&gt;"")*(Besatzung!$F$11:$F$22="x")*(IF(Besatzung!$C$11:$C$22="",Besatzung!$B$5,Besatzung!$C$11:$C$22)&lt;=B189)*(IF(Besatzung!$D$11:$D$22="",Besatzung!$B$6,Besatzung!$D$11:$D$22)&gt;=B189)),1)),IF(I189="An Bord",(((Besatzung!$B$17&lt;&gt;"")*IF(B189="",1,(IF(Besatzung!$C$17="",Besatzung!$B$5,Besatzung!$C$17)&lt;=B189)*(IF(Besatzung!$D$17="",Besatzung!$B$6,Besatzung!$D$17)&gt;=B189)))*((G189-IFERROR(H189,0))/IFERROR(SUMPRODUCT((Besatzung!$B$11:$B$22&lt;&gt;"")*(IF(Besatzung!$C$11:$C$22="",Besatzung!$B$5,Besatzung!$C$11:$C$22)&lt;=B189)*(IF(Besatzung!$D$11:$D$22="",Besatzung!$B$6,Besatzung!$D$11:$D$22)&gt;=B189)),1)+(Besatzung!$F$17="x")*IFERROR(H189,0)/IFERROR(SUMPRODUCT((Besatzung!$B$11:$B$22&lt;&gt;"")*(Besatzung!$F$11:$F$22="x")*(IF(Besatzung!$C$11:$C$22="",Besatzung!$B$5,Besatzung!$C$11:$C$22)&lt;=B189)*(IF(Besatzung!$D$11:$D$22="",Besatzung!$B$6,Besatzung!$D$11:$D$22)&gt;=B189)),1))),IF(I189="Individuell",((P189="x")*((G189-IFERROR(H189,0))/IFERROR(COUNTIF(J189:U189,"x"),1)+(Besatzung!$F$17="x")*IFERROR(H189,0)/IFERROR(SUMPRODUCT((J189:U189="x")*(Besatzung!$F$11:$F$22="x")),1))),(IF(COUNTIF(J189:U189,"x")=0,IF(Besatzung!$B$17&lt;&gt;"",1,0),(P189="x"))*(G189-IFERROR(H189,0))/IFERROR(IF(COUNTIF(J189:U189,"x")=0,COUNTA(Besatzung!$B$11:$B$22),COUNTIF(J189:U189,"x")),1)+IF(COUNTIF(J189:U189,"x")=0,(Besatzung!$F$17="x"),(P189="x")*(Besatzung!$F$17="x"))*IFERROR(H189,0)/IFERROR(IF(COUNTIF(J189:U189,"x")=0,SUMPRODUCT((Besatzung!$B$11:$B$22&lt;&gt;"")*(Besatzung!$F$11:$F$22="x")),SUMPRODUCT((J189:U189="x")*(Besatzung!$F$11:$F$22="x"))),1))))),0))))</f>
        <v/>
      </c>
      <c r="AC189" s="247">
        <f>IF(C189="Gutschrift","",IF(G189="","",IF(Besatzung!$B$18="","",IFERROR(IF(I189="Zeitanteilig",(Besatzung!$G$18*(G189-IFERROR(H189,0))+((Besatzung!$B$18&lt;&gt;"")*IF(B189="",1,(IF(Besatzung!$C$18="",Besatzung!$B$5,Besatzung!$C$18)&lt;=B189)*(IF(Besatzung!$D$18="",Besatzung!$B$6,Besatzung!$D$18)&gt;=B189)))*(Besatzung!$F$18="x")*IFERROR(H189,0)/IFERROR(SUMPRODUCT((Besatzung!$B$11:$B$22&lt;&gt;"")*(Besatzung!$F$11:$F$22="x")*(IF(Besatzung!$C$11:$C$22="",Besatzung!$B$5,Besatzung!$C$11:$C$22)&lt;=B189)*(IF(Besatzung!$D$11:$D$22="",Besatzung!$B$6,Besatzung!$D$11:$D$22)&gt;=B189)),1)),IF(I189="An Bord",(((Besatzung!$B$18&lt;&gt;"")*IF(B189="",1,(IF(Besatzung!$C$18="",Besatzung!$B$5,Besatzung!$C$18)&lt;=B189)*(IF(Besatzung!$D$18="",Besatzung!$B$6,Besatzung!$D$18)&gt;=B189)))*((G189-IFERROR(H189,0))/IFERROR(SUMPRODUCT((Besatzung!$B$11:$B$22&lt;&gt;"")*(IF(Besatzung!$C$11:$C$22="",Besatzung!$B$5,Besatzung!$C$11:$C$22)&lt;=B189)*(IF(Besatzung!$D$11:$D$22="",Besatzung!$B$6,Besatzung!$D$11:$D$22)&gt;=B189)),1)+(Besatzung!$F$18="x")*IFERROR(H189,0)/IFERROR(SUMPRODUCT((Besatzung!$B$11:$B$22&lt;&gt;"")*(Besatzung!$F$11:$F$22="x")*(IF(Besatzung!$C$11:$C$22="",Besatzung!$B$5,Besatzung!$C$11:$C$22)&lt;=B189)*(IF(Besatzung!$D$11:$D$22="",Besatzung!$B$6,Besatzung!$D$11:$D$22)&gt;=B189)),1))),IF(I189="Individuell",((Q189="x")*((G189-IFERROR(H189,0))/IFERROR(COUNTIF(J189:U189,"x"),1)+(Besatzung!$F$18="x")*IFERROR(H189,0)/IFERROR(SUMPRODUCT((J189:U189="x")*(Besatzung!$F$11:$F$22="x")),1))),(IF(COUNTIF(J189:U189,"x")=0,IF(Besatzung!$B$18&lt;&gt;"",1,0),(Q189="x"))*(G189-IFERROR(H189,0))/IFERROR(IF(COUNTIF(J189:U189,"x")=0,COUNTA(Besatzung!$B$11:$B$22),COUNTIF(J189:U189,"x")),1)+IF(COUNTIF(J189:U189,"x")=0,(Besatzung!$F$18="x"),(Q189="x")*(Besatzung!$F$18="x"))*IFERROR(H189,0)/IFERROR(IF(COUNTIF(J189:U189,"x")=0,SUMPRODUCT((Besatzung!$B$11:$B$22&lt;&gt;"")*(Besatzung!$F$11:$F$22="x")),SUMPRODUCT((J189:U189="x")*(Besatzung!$F$11:$F$22="x"))),1))))),0))))</f>
        <v/>
      </c>
      <c r="AD189" s="247">
        <f>IF(C189="Gutschrift","",IF(G189="","",IF(Besatzung!$B$19="","",IFERROR(IF(I189="Zeitanteilig",(Besatzung!$G$19*(G189-IFERROR(H189,0))+((Besatzung!$B$19&lt;&gt;"")*IF(B189="",1,(IF(Besatzung!$C$19="",Besatzung!$B$5,Besatzung!$C$19)&lt;=B189)*(IF(Besatzung!$D$19="",Besatzung!$B$6,Besatzung!$D$19)&gt;=B189)))*(Besatzung!$F$19="x")*IFERROR(H189,0)/IFERROR(SUMPRODUCT((Besatzung!$B$11:$B$22&lt;&gt;"")*(Besatzung!$F$11:$F$22="x")*(IF(Besatzung!$C$11:$C$22="",Besatzung!$B$5,Besatzung!$C$11:$C$22)&lt;=B189)*(IF(Besatzung!$D$11:$D$22="",Besatzung!$B$6,Besatzung!$D$11:$D$22)&gt;=B189)),1)),IF(I189="An Bord",(((Besatzung!$B$19&lt;&gt;"")*IF(B189="",1,(IF(Besatzung!$C$19="",Besatzung!$B$5,Besatzung!$C$19)&lt;=B189)*(IF(Besatzung!$D$19="",Besatzung!$B$6,Besatzung!$D$19)&gt;=B189)))*((G189-IFERROR(H189,0))/IFERROR(SUMPRODUCT((Besatzung!$B$11:$B$22&lt;&gt;"")*(IF(Besatzung!$C$11:$C$22="",Besatzung!$B$5,Besatzung!$C$11:$C$22)&lt;=B189)*(IF(Besatzung!$D$11:$D$22="",Besatzung!$B$6,Besatzung!$D$11:$D$22)&gt;=B189)),1)+(Besatzung!$F$19="x")*IFERROR(H189,0)/IFERROR(SUMPRODUCT((Besatzung!$B$11:$B$22&lt;&gt;"")*(Besatzung!$F$11:$F$22="x")*(IF(Besatzung!$C$11:$C$22="",Besatzung!$B$5,Besatzung!$C$11:$C$22)&lt;=B189)*(IF(Besatzung!$D$11:$D$22="",Besatzung!$B$6,Besatzung!$D$11:$D$22)&gt;=B189)),1))),IF(I189="Individuell",((R189="x")*((G189-IFERROR(H189,0))/IFERROR(COUNTIF(J189:U189,"x"),1)+(Besatzung!$F$19="x")*IFERROR(H189,0)/IFERROR(SUMPRODUCT((J189:U189="x")*(Besatzung!$F$11:$F$22="x")),1))),(IF(COUNTIF(J189:U189,"x")=0,IF(Besatzung!$B$19&lt;&gt;"",1,0),(R189="x"))*(G189-IFERROR(H189,0))/IFERROR(IF(COUNTIF(J189:U189,"x")=0,COUNTA(Besatzung!$B$11:$B$22),COUNTIF(J189:U189,"x")),1)+IF(COUNTIF(J189:U189,"x")=0,(Besatzung!$F$19="x"),(R189="x")*(Besatzung!$F$19="x"))*IFERROR(H189,0)/IFERROR(IF(COUNTIF(J189:U189,"x")=0,SUMPRODUCT((Besatzung!$B$11:$B$22&lt;&gt;"")*(Besatzung!$F$11:$F$22="x")),SUMPRODUCT((J189:U189="x")*(Besatzung!$F$11:$F$22="x"))),1))))),0))))</f>
        <v/>
      </c>
      <c r="AE189" s="247">
        <f>IF(C189="Gutschrift","",IF(G189="","",IF(Besatzung!$B$20="","",IFERROR(IF(I189="Zeitanteilig",(Besatzung!$G$20*(G189-IFERROR(H189,0))+((Besatzung!$B$20&lt;&gt;"")*IF(B189="",1,(IF(Besatzung!$C$20="",Besatzung!$B$5,Besatzung!$C$20)&lt;=B189)*(IF(Besatzung!$D$20="",Besatzung!$B$6,Besatzung!$D$20)&gt;=B189)))*(Besatzung!$F$20="x")*IFERROR(H189,0)/IFERROR(SUMPRODUCT((Besatzung!$B$11:$B$22&lt;&gt;"")*(Besatzung!$F$11:$F$22="x")*(IF(Besatzung!$C$11:$C$22="",Besatzung!$B$5,Besatzung!$C$11:$C$22)&lt;=B189)*(IF(Besatzung!$D$11:$D$22="",Besatzung!$B$6,Besatzung!$D$11:$D$22)&gt;=B189)),1)),IF(I189="An Bord",(((Besatzung!$B$20&lt;&gt;"")*IF(B189="",1,(IF(Besatzung!$C$20="",Besatzung!$B$5,Besatzung!$C$20)&lt;=B189)*(IF(Besatzung!$D$20="",Besatzung!$B$6,Besatzung!$D$20)&gt;=B189)))*((G189-IFERROR(H189,0))/IFERROR(SUMPRODUCT((Besatzung!$B$11:$B$22&lt;&gt;"")*(IF(Besatzung!$C$11:$C$22="",Besatzung!$B$5,Besatzung!$C$11:$C$22)&lt;=B189)*(IF(Besatzung!$D$11:$D$22="",Besatzung!$B$6,Besatzung!$D$11:$D$22)&gt;=B189)),1)+(Besatzung!$F$20="x")*IFERROR(H189,0)/IFERROR(SUMPRODUCT((Besatzung!$B$11:$B$22&lt;&gt;"")*(Besatzung!$F$11:$F$22="x")*(IF(Besatzung!$C$11:$C$22="",Besatzung!$B$5,Besatzung!$C$11:$C$22)&lt;=B189)*(IF(Besatzung!$D$11:$D$22="",Besatzung!$B$6,Besatzung!$D$11:$D$22)&gt;=B189)),1))),IF(I189="Individuell",((S189="x")*((G189-IFERROR(H189,0))/IFERROR(COUNTIF(J189:U189,"x"),1)+(Besatzung!$F$20="x")*IFERROR(H189,0)/IFERROR(SUMPRODUCT((J189:U189="x")*(Besatzung!$F$11:$F$22="x")),1))),(IF(COUNTIF(J189:U189,"x")=0,IF(Besatzung!$B$20&lt;&gt;"",1,0),(S189="x"))*(G189-IFERROR(H189,0))/IFERROR(IF(COUNTIF(J189:U189,"x")=0,COUNTA(Besatzung!$B$11:$B$22),COUNTIF(J189:U189,"x")),1)+IF(COUNTIF(J189:U189,"x")=0,(Besatzung!$F$20="x"),(S189="x")*(Besatzung!$F$20="x"))*IFERROR(H189,0)/IFERROR(IF(COUNTIF(J189:U189,"x")=0,SUMPRODUCT((Besatzung!$B$11:$B$22&lt;&gt;"")*(Besatzung!$F$11:$F$22="x")),SUMPRODUCT((J189:U189="x")*(Besatzung!$F$11:$F$22="x"))),1))))),0))))</f>
        <v/>
      </c>
      <c r="AF189" s="247">
        <f>IF(C189="Gutschrift","",IF(G189="","",IF(Besatzung!$B$21="","",IFERROR(IF(I189="Zeitanteilig",(Besatzung!$G$21*(G189-IFERROR(H189,0))+((Besatzung!$B$21&lt;&gt;"")*IF(B189="",1,(IF(Besatzung!$C$21="",Besatzung!$B$5,Besatzung!$C$21)&lt;=B189)*(IF(Besatzung!$D$21="",Besatzung!$B$6,Besatzung!$D$21)&gt;=B189)))*(Besatzung!$F$21="x")*IFERROR(H189,0)/IFERROR(SUMPRODUCT((Besatzung!$B$11:$B$22&lt;&gt;"")*(Besatzung!$F$11:$F$22="x")*(IF(Besatzung!$C$11:$C$22="",Besatzung!$B$5,Besatzung!$C$11:$C$22)&lt;=B189)*(IF(Besatzung!$D$11:$D$22="",Besatzung!$B$6,Besatzung!$D$11:$D$22)&gt;=B189)),1)),IF(I189="An Bord",(((Besatzung!$B$21&lt;&gt;"")*IF(B189="",1,(IF(Besatzung!$C$21="",Besatzung!$B$5,Besatzung!$C$21)&lt;=B189)*(IF(Besatzung!$D$21="",Besatzung!$B$6,Besatzung!$D$21)&gt;=B189)))*((G189-IFERROR(H189,0))/IFERROR(SUMPRODUCT((Besatzung!$B$11:$B$22&lt;&gt;"")*(IF(Besatzung!$C$11:$C$22="",Besatzung!$B$5,Besatzung!$C$11:$C$22)&lt;=B189)*(IF(Besatzung!$D$11:$D$22="",Besatzung!$B$6,Besatzung!$D$11:$D$22)&gt;=B189)),1)+(Besatzung!$F$21="x")*IFERROR(H189,0)/IFERROR(SUMPRODUCT((Besatzung!$B$11:$B$22&lt;&gt;"")*(Besatzung!$F$11:$F$22="x")*(IF(Besatzung!$C$11:$C$22="",Besatzung!$B$5,Besatzung!$C$11:$C$22)&lt;=B189)*(IF(Besatzung!$D$11:$D$22="",Besatzung!$B$6,Besatzung!$D$11:$D$22)&gt;=B189)),1))),IF(I189="Individuell",((T189="x")*((G189-IFERROR(H189,0))/IFERROR(COUNTIF(J189:U189,"x"),1)+(Besatzung!$F$21="x")*IFERROR(H189,0)/IFERROR(SUMPRODUCT((J189:U189="x")*(Besatzung!$F$11:$F$22="x")),1))),(IF(COUNTIF(J189:U189,"x")=0,IF(Besatzung!$B$21&lt;&gt;"",1,0),(T189="x"))*(G189-IFERROR(H189,0))/IFERROR(IF(COUNTIF(J189:U189,"x")=0,COUNTA(Besatzung!$B$11:$B$22),COUNTIF(J189:U189,"x")),1)+IF(COUNTIF(J189:U189,"x")=0,(Besatzung!$F$21="x"),(T189="x")*(Besatzung!$F$21="x"))*IFERROR(H189,0)/IFERROR(IF(COUNTIF(J189:U189,"x")=0,SUMPRODUCT((Besatzung!$B$11:$B$22&lt;&gt;"")*(Besatzung!$F$11:$F$22="x")),SUMPRODUCT((J189:U189="x")*(Besatzung!$F$11:$F$22="x"))),1))))),0))))</f>
        <v/>
      </c>
      <c r="AG189" s="247">
        <f>IF(C189="Gutschrift","",IF(G189="","",IF(Besatzung!$B$22="","",IFERROR(IF(I189="Zeitanteilig",(Besatzung!$G$22*(G189-IFERROR(H189,0))+((Besatzung!$B$22&lt;&gt;"")*IF(B189="",1,(IF(Besatzung!$C$22="",Besatzung!$B$5,Besatzung!$C$22)&lt;=B189)*(IF(Besatzung!$D$22="",Besatzung!$B$6,Besatzung!$D$22)&gt;=B189)))*(Besatzung!$F$22="x")*IFERROR(H189,0)/IFERROR(SUMPRODUCT((Besatzung!$B$11:$B$22&lt;&gt;"")*(Besatzung!$F$11:$F$22="x")*(IF(Besatzung!$C$11:$C$22="",Besatzung!$B$5,Besatzung!$C$11:$C$22)&lt;=B189)*(IF(Besatzung!$D$11:$D$22="",Besatzung!$B$6,Besatzung!$D$11:$D$22)&gt;=B189)),1)),IF(I189="An Bord",(((Besatzung!$B$22&lt;&gt;"")*IF(B189="",1,(IF(Besatzung!$C$22="",Besatzung!$B$5,Besatzung!$C$22)&lt;=B189)*(IF(Besatzung!$D$22="",Besatzung!$B$6,Besatzung!$D$22)&gt;=B189)))*((G189-IFERROR(H189,0))/IFERROR(SUMPRODUCT((Besatzung!$B$11:$B$22&lt;&gt;"")*(IF(Besatzung!$C$11:$C$22="",Besatzung!$B$5,Besatzung!$C$11:$C$22)&lt;=B189)*(IF(Besatzung!$D$11:$D$22="",Besatzung!$B$6,Besatzung!$D$11:$D$22)&gt;=B189)),1)+(Besatzung!$F$22="x")*IFERROR(H189,0)/IFERROR(SUMPRODUCT((Besatzung!$B$11:$B$22&lt;&gt;"")*(Besatzung!$F$11:$F$22="x")*(IF(Besatzung!$C$11:$C$22="",Besatzung!$B$5,Besatzung!$C$11:$C$22)&lt;=B189)*(IF(Besatzung!$D$11:$D$22="",Besatzung!$B$6,Besatzung!$D$11:$D$22)&gt;=B189)),1))),IF(I189="Individuell",((U189="x")*((G189-IFERROR(H189,0))/IFERROR(COUNTIF(J189:U189,"x"),1)+(Besatzung!$F$22="x")*IFERROR(H189,0)/IFERROR(SUMPRODUCT((J189:U189="x")*(Besatzung!$F$11:$F$22="x")),1))),(IF(COUNTIF(J189:U189,"x")=0,IF(Besatzung!$B$22&lt;&gt;"",1,0),(U189="x"))*(G189-IFERROR(H189,0))/IFERROR(IF(COUNTIF(J189:U189,"x")=0,COUNTA(Besatzung!$B$11:$B$22),COUNTIF(J189:U189,"x")),1)+IF(COUNTIF(J189:U189,"x")=0,(Besatzung!$F$22="x"),(U189="x")*(Besatzung!$F$22="x"))*IFERROR(H189,0)/IFERROR(IF(COUNTIF(J189:U189,"x")=0,SUMPRODUCT((Besatzung!$B$11:$B$22&lt;&gt;"")*(Besatzung!$F$11:$F$22="x")),SUMPRODUCT((J189:U189="x")*(Besatzung!$F$11:$F$22="x"))),1))))),0))))</f>
        <v/>
      </c>
      <c r="AH189" s="248" t="n"/>
      <c r="AI189" s="248" t="n"/>
    </row>
    <row r="190" ht="21.75" customHeight="1" s="154">
      <c r="A190" s="238">
        <f>IF(AND(D190="",C190=""),"",187)</f>
        <v/>
      </c>
      <c r="B190" s="199" t="n"/>
      <c r="C190" s="239" t="n"/>
      <c r="D190" s="240" t="n"/>
      <c r="E190" s="241" t="n"/>
      <c r="F190" s="242" t="n"/>
      <c r="G190" s="243" t="n"/>
      <c r="H190" s="244" t="n"/>
      <c r="I190" s="245" t="n"/>
      <c r="J190" s="246" t="n"/>
      <c r="K190" s="246" t="n"/>
      <c r="L190" s="246" t="n"/>
      <c r="M190" s="246" t="n"/>
      <c r="N190" s="246" t="n"/>
      <c r="O190" s="246" t="n"/>
      <c r="P190" s="246" t="n"/>
      <c r="Q190" s="246" t="n"/>
      <c r="R190" s="246" t="n"/>
      <c r="S190" s="246" t="n"/>
      <c r="T190" s="246" t="n"/>
      <c r="U190" s="246" t="n"/>
      <c r="V190" s="247">
        <f>IF(C190="Gutschrift","",IF(G190="","",IF(Besatzung!$B$11="","",IFERROR(IF(I190="Zeitanteilig",(Besatzung!$G$11*(G190-IFERROR(H190,0))+((Besatzung!$B$11&lt;&gt;"")*IF(B190="",1,(IF(Besatzung!$C$11="",Besatzung!$B$5,Besatzung!$C$11)&lt;=B190)*(IF(Besatzung!$D$11="",Besatzung!$B$6,Besatzung!$D$11)&gt;=B190)))*(Besatzung!$F$11="x")*IFERROR(H190,0)/IFERROR(SUMPRODUCT((Besatzung!$B$11:$B$22&lt;&gt;"")*(Besatzung!$F$11:$F$22="x")*(IF(Besatzung!$C$11:$C$22="",Besatzung!$B$5,Besatzung!$C$11:$C$22)&lt;=B190)*(IF(Besatzung!$D$11:$D$22="",Besatzung!$B$6,Besatzung!$D$11:$D$22)&gt;=B190)),1)),IF(I190="An Bord",(((Besatzung!$B$11&lt;&gt;"")*IF(B190="",1,(IF(Besatzung!$C$11="",Besatzung!$B$5,Besatzung!$C$11)&lt;=B190)*(IF(Besatzung!$D$11="",Besatzung!$B$6,Besatzung!$D$11)&gt;=B190)))*((G190-IFERROR(H190,0))/IFERROR(SUMPRODUCT((Besatzung!$B$11:$B$22&lt;&gt;"")*(IF(Besatzung!$C$11:$C$22="",Besatzung!$B$5,Besatzung!$C$11:$C$22)&lt;=B190)*(IF(Besatzung!$D$11:$D$22="",Besatzung!$B$6,Besatzung!$D$11:$D$22)&gt;=B190)),1)+(Besatzung!$F$11="x")*IFERROR(H190,0)/IFERROR(SUMPRODUCT((Besatzung!$B$11:$B$22&lt;&gt;"")*(Besatzung!$F$11:$F$22="x")*(IF(Besatzung!$C$11:$C$22="",Besatzung!$B$5,Besatzung!$C$11:$C$22)&lt;=B190)*(IF(Besatzung!$D$11:$D$22="",Besatzung!$B$6,Besatzung!$D$11:$D$22)&gt;=B190)),1))),IF(I190="Individuell",((J190="x")*((G190-IFERROR(H190,0))/IFERROR(COUNTIF(J190:U190,"x"),1)+(Besatzung!$F$11="x")*IFERROR(H190,0)/IFERROR(SUMPRODUCT((J190:U190="x")*(Besatzung!$F$11:$F$22="x")),1))),(IF(COUNTIF(J190:U190,"x")=0,IF(Besatzung!$B$11&lt;&gt;"",1,0),(J190="x"))*(G190-IFERROR(H190,0))/IFERROR(IF(COUNTIF(J190:U190,"x")=0,COUNTA(Besatzung!$B$11:$B$22),COUNTIF(J190:U190,"x")),1)+IF(COUNTIF(J190:U190,"x")=0,(Besatzung!$F$11="x"),(J190="x")*(Besatzung!$F$11="x"))*IFERROR(H190,0)/IFERROR(IF(COUNTIF(J190:U190,"x")=0,SUMPRODUCT((Besatzung!$B$11:$B$22&lt;&gt;"")*(Besatzung!$F$11:$F$22="x")),SUMPRODUCT((J190:U190="x")*(Besatzung!$F$11:$F$22="x"))),1))))),0))))</f>
        <v/>
      </c>
      <c r="W190" s="247">
        <f>IF(C190="Gutschrift","",IF(G190="","",IF(Besatzung!$B$12="","",IFERROR(IF(I190="Zeitanteilig",(Besatzung!$G$12*(G190-IFERROR(H190,0))+((Besatzung!$B$12&lt;&gt;"")*IF(B190="",1,(IF(Besatzung!$C$12="",Besatzung!$B$5,Besatzung!$C$12)&lt;=B190)*(IF(Besatzung!$D$12="",Besatzung!$B$6,Besatzung!$D$12)&gt;=B190)))*(Besatzung!$F$12="x")*IFERROR(H190,0)/IFERROR(SUMPRODUCT((Besatzung!$B$11:$B$22&lt;&gt;"")*(Besatzung!$F$11:$F$22="x")*(IF(Besatzung!$C$11:$C$22="",Besatzung!$B$5,Besatzung!$C$11:$C$22)&lt;=B190)*(IF(Besatzung!$D$11:$D$22="",Besatzung!$B$6,Besatzung!$D$11:$D$22)&gt;=B190)),1)),IF(I190="An Bord",(((Besatzung!$B$12&lt;&gt;"")*IF(B190="",1,(IF(Besatzung!$C$12="",Besatzung!$B$5,Besatzung!$C$12)&lt;=B190)*(IF(Besatzung!$D$12="",Besatzung!$B$6,Besatzung!$D$12)&gt;=B190)))*((G190-IFERROR(H190,0))/IFERROR(SUMPRODUCT((Besatzung!$B$11:$B$22&lt;&gt;"")*(IF(Besatzung!$C$11:$C$22="",Besatzung!$B$5,Besatzung!$C$11:$C$22)&lt;=B190)*(IF(Besatzung!$D$11:$D$22="",Besatzung!$B$6,Besatzung!$D$11:$D$22)&gt;=B190)),1)+(Besatzung!$F$12="x")*IFERROR(H190,0)/IFERROR(SUMPRODUCT((Besatzung!$B$11:$B$22&lt;&gt;"")*(Besatzung!$F$11:$F$22="x")*(IF(Besatzung!$C$11:$C$22="",Besatzung!$B$5,Besatzung!$C$11:$C$22)&lt;=B190)*(IF(Besatzung!$D$11:$D$22="",Besatzung!$B$6,Besatzung!$D$11:$D$22)&gt;=B190)),1))),IF(I190="Individuell",((K190="x")*((G190-IFERROR(H190,0))/IFERROR(COUNTIF(J190:U190,"x"),1)+(Besatzung!$F$12="x")*IFERROR(H190,0)/IFERROR(SUMPRODUCT((J190:U190="x")*(Besatzung!$F$11:$F$22="x")),1))),(IF(COUNTIF(J190:U190,"x")=0,IF(Besatzung!$B$12&lt;&gt;"",1,0),(K190="x"))*(G190-IFERROR(H190,0))/IFERROR(IF(COUNTIF(J190:U190,"x")=0,COUNTA(Besatzung!$B$11:$B$22),COUNTIF(J190:U190,"x")),1)+IF(COUNTIF(J190:U190,"x")=0,(Besatzung!$F$12="x"),(K190="x")*(Besatzung!$F$12="x"))*IFERROR(H190,0)/IFERROR(IF(COUNTIF(J190:U190,"x")=0,SUMPRODUCT((Besatzung!$B$11:$B$22&lt;&gt;"")*(Besatzung!$F$11:$F$22="x")),SUMPRODUCT((J190:U190="x")*(Besatzung!$F$11:$F$22="x"))),1))))),0))))</f>
        <v/>
      </c>
      <c r="X190" s="247">
        <f>IF(C190="Gutschrift","",IF(G190="","",IF(Besatzung!$B$13="","",IFERROR(IF(I190="Zeitanteilig",(Besatzung!$G$13*(G190-IFERROR(H190,0))+((Besatzung!$B$13&lt;&gt;"")*IF(B190="",1,(IF(Besatzung!$C$13="",Besatzung!$B$5,Besatzung!$C$13)&lt;=B190)*(IF(Besatzung!$D$13="",Besatzung!$B$6,Besatzung!$D$13)&gt;=B190)))*(Besatzung!$F$13="x")*IFERROR(H190,0)/IFERROR(SUMPRODUCT((Besatzung!$B$11:$B$22&lt;&gt;"")*(Besatzung!$F$11:$F$22="x")*(IF(Besatzung!$C$11:$C$22="",Besatzung!$B$5,Besatzung!$C$11:$C$22)&lt;=B190)*(IF(Besatzung!$D$11:$D$22="",Besatzung!$B$6,Besatzung!$D$11:$D$22)&gt;=B190)),1)),IF(I190="An Bord",(((Besatzung!$B$13&lt;&gt;"")*IF(B190="",1,(IF(Besatzung!$C$13="",Besatzung!$B$5,Besatzung!$C$13)&lt;=B190)*(IF(Besatzung!$D$13="",Besatzung!$B$6,Besatzung!$D$13)&gt;=B190)))*((G190-IFERROR(H190,0))/IFERROR(SUMPRODUCT((Besatzung!$B$11:$B$22&lt;&gt;"")*(IF(Besatzung!$C$11:$C$22="",Besatzung!$B$5,Besatzung!$C$11:$C$22)&lt;=B190)*(IF(Besatzung!$D$11:$D$22="",Besatzung!$B$6,Besatzung!$D$11:$D$22)&gt;=B190)),1)+(Besatzung!$F$13="x")*IFERROR(H190,0)/IFERROR(SUMPRODUCT((Besatzung!$B$11:$B$22&lt;&gt;"")*(Besatzung!$F$11:$F$22="x")*(IF(Besatzung!$C$11:$C$22="",Besatzung!$B$5,Besatzung!$C$11:$C$22)&lt;=B190)*(IF(Besatzung!$D$11:$D$22="",Besatzung!$B$6,Besatzung!$D$11:$D$22)&gt;=B190)),1))),IF(I190="Individuell",((K190="x")*((G190-IFERROR(H190,0))/IFERROR(COUNTIF(J190:U190,"x"),1)+(Besatzung!$F$13="x")*IFERROR(H190,0)/IFERROR(SUMPRODUCT((J190:U190="x")*(Besatzung!$F$11:$F$22="x")),1))),(IF(COUNTIF(J190:U190,"x")=0,IF(Besatzung!$B$13&lt;&gt;"",1,0),(K190="x"))*(G190-IFERROR(H190,0))/IFERROR(IF(COUNTIF(J190:U190,"x")=0,COUNTA(Besatzung!$B$11:$B$22),COUNTIF(J190:U190,"x")),1)+IF(COUNTIF(J190:U190,"x")=0,(Besatzung!$F$13="x"),(K190="x")*(Besatzung!$F$13="x"))*IFERROR(H190,0)/IFERROR(IF(COUNTIF(J190:U190,"x")=0,SUMPRODUCT((Besatzung!$B$11:$B$22&lt;&gt;"")*(Besatzung!$F$11:$F$22="x")),SUMPRODUCT((J190:U190="x")*(Besatzung!$F$11:$F$22="x"))),1))))),0))))</f>
        <v/>
      </c>
      <c r="Y190" s="247">
        <f>IF(C190="Gutschrift","",IF(G190="","",IF(Besatzung!$B$14="","",IFERROR(IF(I190="Zeitanteilig",(Besatzung!$G$14*(G190-IFERROR(H190,0))+((Besatzung!$B$14&lt;&gt;"")*IF(B190="",1,(IF(Besatzung!$C$14="",Besatzung!$B$5,Besatzung!$C$14)&lt;=B190)*(IF(Besatzung!$D$14="",Besatzung!$B$6,Besatzung!$D$14)&gt;=B190)))*(Besatzung!$F$14="x")*IFERROR(H190,0)/IFERROR(SUMPRODUCT((Besatzung!$B$11:$B$22&lt;&gt;"")*(Besatzung!$F$11:$F$22="x")*(IF(Besatzung!$C$11:$C$22="",Besatzung!$B$5,Besatzung!$C$11:$C$22)&lt;=B190)*(IF(Besatzung!$D$11:$D$22="",Besatzung!$B$6,Besatzung!$D$11:$D$22)&gt;=B190)),1)),IF(I190="An Bord",(((Besatzung!$B$14&lt;&gt;"")*IF(B190="",1,(IF(Besatzung!$C$14="",Besatzung!$B$5,Besatzung!$C$14)&lt;=B190)*(IF(Besatzung!$D$14="",Besatzung!$B$6,Besatzung!$D$14)&gt;=B190)))*((G190-IFERROR(H190,0))/IFERROR(SUMPRODUCT((Besatzung!$B$11:$B$22&lt;&gt;"")*(IF(Besatzung!$C$11:$C$22="",Besatzung!$B$5,Besatzung!$C$11:$C$22)&lt;=B190)*(IF(Besatzung!$D$11:$D$22="",Besatzung!$B$6,Besatzung!$D$11:$D$22)&gt;=B190)),1)+(Besatzung!$F$14="x")*IFERROR(H190,0)/IFERROR(SUMPRODUCT((Besatzung!$B$11:$B$22&lt;&gt;"")*(Besatzung!$F$11:$F$22="x")*(IF(Besatzung!$C$11:$C$22="",Besatzung!$B$5,Besatzung!$C$11:$C$22)&lt;=B190)*(IF(Besatzung!$D$11:$D$22="",Besatzung!$B$6,Besatzung!$D$11:$D$22)&gt;=B190)),1))),IF(I190="Individuell",((M190="x")*((G190-IFERROR(H190,0))/IFERROR(COUNTIF(J190:U190,"x"),1)+(Besatzung!$F$14="x")*IFERROR(H190,0)/IFERROR(SUMPRODUCT((J190:U190="x")*(Besatzung!$F$11:$F$22="x")),1))),(IF(COUNTIF(J190:U190,"x")=0,IF(Besatzung!$B$14&lt;&gt;"",1,0),(M190="x"))*(G190-IFERROR(H190,0))/IFERROR(IF(COUNTIF(J190:U190,"x")=0,COUNTA(Besatzung!$B$11:$B$22),COUNTIF(J190:U190,"x")),1)+IF(COUNTIF(J190:U190,"x")=0,(Besatzung!$F$14="x"),(M190="x")*(Besatzung!$F$14="x"))*IFERROR(H190,0)/IFERROR(IF(COUNTIF(J190:U190,"x")=0,SUMPRODUCT((Besatzung!$B$11:$B$22&lt;&gt;"")*(Besatzung!$F$11:$F$22="x")),SUMPRODUCT((J190:U190="x")*(Besatzung!$F$11:$F$22="x"))),1))))),0))))</f>
        <v/>
      </c>
      <c r="Z190" s="247">
        <f>IF(C190="Gutschrift","",IF(G190="","",IF(Besatzung!$B$13="","",IFERROR(IF(I190="Zeitanteilig",(Besatzung!$G$15*(G190-IFERROR(H190,0))+((Besatzung!$B$13&lt;&gt;"")*IF(B190="",1,(IF(Besatzung!$C$15="",Besatzung!$B$5,Besatzung!$C$15)&lt;=B190)*(IF(Besatzung!$D$15="",Besatzung!$B$6,Besatzung!$D$15)&gt;=B190)))*(Besatzung!$F$15="x")*IFERROR(H190,0)/IFERROR(SUMPRODUCT((Besatzung!$B$11:$B$22&lt;&gt;"")*(Besatzung!$F$11:$F$22="x")*(IF(Besatzung!$C$11:$C$22="",Besatzung!$B$5,Besatzung!$C$11:$C$22)&lt;=B190)*(IF(Besatzung!$D$11:$D$22="",Besatzung!$B$6,Besatzung!$D$11:$D$22)&gt;=B190)),1)),IF(I190="An Bord",(((Besatzung!$B$13&lt;&gt;"")*IF(B190="",1,(IF(Besatzung!$C$15="",Besatzung!$B$5,Besatzung!$C$15)&lt;=B190)*(IF(Besatzung!$D$15="",Besatzung!$B$6,Besatzung!$D$15)&gt;=B190)))*((G190-IFERROR(H190,0))/IFERROR(SUMPRODUCT((Besatzung!$B$11:$B$22&lt;&gt;"")*(IF(Besatzung!$C$11:$C$22="",Besatzung!$B$5,Besatzung!$C$11:$C$22)&lt;=B190)*(IF(Besatzung!$D$11:$D$22="",Besatzung!$B$6,Besatzung!$D$11:$D$22)&gt;=B190)),1)+(Besatzung!$F$15="x")*IFERROR(H190,0)/IFERROR(SUMPRODUCT((Besatzung!$B$11:$B$22&lt;&gt;"")*(Besatzung!$F$11:$F$22="x")*(IF(Besatzung!$C$11:$C$22="",Besatzung!$B$5,Besatzung!$C$11:$C$22)&lt;=B190)*(IF(Besatzung!$D$11:$D$22="",Besatzung!$B$6,Besatzung!$D$11:$D$22)&gt;=B190)),1))),IF(I190="Individuell",((N190="x")*((G190-IFERROR(H190,0))/IFERROR(COUNTIF(J190:U190,"x"),1)+(Besatzung!$F$15="x")*IFERROR(H190,0)/IFERROR(SUMPRODUCT((J190:U190="x")*(Besatzung!$F$11:$F$22="x")),1))),(IF(COUNTIF(J190:U190,"x")=0,IF(Besatzung!$B$13&lt;&gt;"",1,0),(N190="x"))*(G190-IFERROR(H190,0))/IFERROR(IF(COUNTIF(J190:U190,"x")=0,COUNTA(Besatzung!$B$11:$B$22),COUNTIF(J190:U190,"x")),1)+IF(COUNTIF(J190:U190,"x")=0,(Besatzung!$F$15="x"),(N190="x")*(Besatzung!$F$15="x"))*IFERROR(H190,0)/IFERROR(IF(COUNTIF(J190:U190,"x")=0,SUMPRODUCT((Besatzung!$B$11:$B$22&lt;&gt;"")*(Besatzung!$F$11:$F$22="x")),SUMPRODUCT((J190:U190="x")*(Besatzung!$F$11:$F$22="x"))),1))))),0))))</f>
        <v/>
      </c>
      <c r="AA190" s="247">
        <f>IF(C190="Gutschrift","",IF(G190="","",IF(Besatzung!$B$15="","",IFERROR(IF(I190="Zeitanteilig",(Besatzung!$G$16*(G190-IFERROR(H190,0))+((Besatzung!$B$15&lt;&gt;"")*IF(B190="",1,(IF(Besatzung!$C$16="",Besatzung!$B$5,Besatzung!$C$16)&lt;=B190)*(IF(Besatzung!$D$16="",Besatzung!$B$6,Besatzung!$D$16)&gt;=B190)))*(Besatzung!$F$16="x")*IFERROR(H190,0)/IFERROR(SUMPRODUCT((Besatzung!$B$11:$B$22&lt;&gt;"")*(Besatzung!$F$11:$F$22="x")*(IF(Besatzung!$C$11:$C$22="",Besatzung!$B$5,Besatzung!$C$11:$C$22)&lt;=B190)*(IF(Besatzung!$D$11:$D$22="",Besatzung!$B$6,Besatzung!$D$11:$D$22)&gt;=B190)),1)),IF(I190="An Bord",(((Besatzung!$B$15&lt;&gt;"")*IF(B190="",1,(IF(Besatzung!$C$16="",Besatzung!$B$5,Besatzung!$C$16)&lt;=B190)*(IF(Besatzung!$D$16="",Besatzung!$B$6,Besatzung!$D$16)&gt;=B190)))*((G190-IFERROR(H190,0))/IFERROR(SUMPRODUCT((Besatzung!$B$11:$B$22&lt;&gt;"")*(IF(Besatzung!$C$11:$C$22="",Besatzung!$B$5,Besatzung!$C$11:$C$22)&lt;=B190)*(IF(Besatzung!$D$11:$D$22="",Besatzung!$B$6,Besatzung!$D$11:$D$22)&gt;=B190)),1)+(Besatzung!$F$16="x")*IFERROR(H190,0)/IFERROR(SUMPRODUCT((Besatzung!$B$11:$B$22&lt;&gt;"")*(Besatzung!$F$11:$F$22="x")*(IF(Besatzung!$C$11:$C$22="",Besatzung!$B$5,Besatzung!$C$11:$C$22)&lt;=B190)*(IF(Besatzung!$D$11:$D$22="",Besatzung!$B$6,Besatzung!$D$11:$D$22)&gt;=B190)),1))),IF(I190="Individuell",((O190="x")*((G190-IFERROR(H190,0))/IFERROR(COUNTIF(J190:U190,"x"),1)+(Besatzung!$F$16="x")*IFERROR(H190,0)/IFERROR(SUMPRODUCT((J190:U190="x")*(Besatzung!$F$11:$F$22="x")),1))),(IF(COUNTIF(J190:U190,"x")=0,IF(Besatzung!$B$15&lt;&gt;"",1,0),(O190="x"))*(G190-IFERROR(H190,0))/IFERROR(IF(COUNTIF(J190:U190,"x")=0,COUNTA(Besatzung!$B$11:$B$22),COUNTIF(J190:U190,"x")),1)+IF(COUNTIF(J190:U190,"x")=0,(Besatzung!$F$16="x"),(O190="x")*(Besatzung!$F$16="x"))*IFERROR(H190,0)/IFERROR(IF(COUNTIF(J190:U190,"x")=0,SUMPRODUCT((Besatzung!$B$11:$B$22&lt;&gt;"")*(Besatzung!$F$11:$F$22="x")),SUMPRODUCT((J190:U190="x")*(Besatzung!$F$11:$F$22="x"))),1))))),0))))</f>
        <v/>
      </c>
      <c r="AB190" s="247">
        <f>IF(C190="Gutschrift","",IF(G190="","",IF(Besatzung!$B$17="","",IFERROR(IF(I190="Zeitanteilig",(Besatzung!$G$17*(G190-IFERROR(H190,0))+((Besatzung!$B$17&lt;&gt;"")*IF(B190="",1,(IF(Besatzung!$C$17="",Besatzung!$B$5,Besatzung!$C$17)&lt;=B190)*(IF(Besatzung!$D$17="",Besatzung!$B$6,Besatzung!$D$17)&gt;=B190)))*(Besatzung!$F$17="x")*IFERROR(H190,0)/IFERROR(SUMPRODUCT((Besatzung!$B$11:$B$22&lt;&gt;"")*(Besatzung!$F$11:$F$22="x")*(IF(Besatzung!$C$11:$C$22="",Besatzung!$B$5,Besatzung!$C$11:$C$22)&lt;=B190)*(IF(Besatzung!$D$11:$D$22="",Besatzung!$B$6,Besatzung!$D$11:$D$22)&gt;=B190)),1)),IF(I190="An Bord",(((Besatzung!$B$17&lt;&gt;"")*IF(B190="",1,(IF(Besatzung!$C$17="",Besatzung!$B$5,Besatzung!$C$17)&lt;=B190)*(IF(Besatzung!$D$17="",Besatzung!$B$6,Besatzung!$D$17)&gt;=B190)))*((G190-IFERROR(H190,0))/IFERROR(SUMPRODUCT((Besatzung!$B$11:$B$22&lt;&gt;"")*(IF(Besatzung!$C$11:$C$22="",Besatzung!$B$5,Besatzung!$C$11:$C$22)&lt;=B190)*(IF(Besatzung!$D$11:$D$22="",Besatzung!$B$6,Besatzung!$D$11:$D$22)&gt;=B190)),1)+(Besatzung!$F$17="x")*IFERROR(H190,0)/IFERROR(SUMPRODUCT((Besatzung!$B$11:$B$22&lt;&gt;"")*(Besatzung!$F$11:$F$22="x")*(IF(Besatzung!$C$11:$C$22="",Besatzung!$B$5,Besatzung!$C$11:$C$22)&lt;=B190)*(IF(Besatzung!$D$11:$D$22="",Besatzung!$B$6,Besatzung!$D$11:$D$22)&gt;=B190)),1))),IF(I190="Individuell",((P190="x")*((G190-IFERROR(H190,0))/IFERROR(COUNTIF(J190:U190,"x"),1)+(Besatzung!$F$17="x")*IFERROR(H190,0)/IFERROR(SUMPRODUCT((J190:U190="x")*(Besatzung!$F$11:$F$22="x")),1))),(IF(COUNTIF(J190:U190,"x")=0,IF(Besatzung!$B$17&lt;&gt;"",1,0),(P190="x"))*(G190-IFERROR(H190,0))/IFERROR(IF(COUNTIF(J190:U190,"x")=0,COUNTA(Besatzung!$B$11:$B$22),COUNTIF(J190:U190,"x")),1)+IF(COUNTIF(J190:U190,"x")=0,(Besatzung!$F$17="x"),(P190="x")*(Besatzung!$F$17="x"))*IFERROR(H190,0)/IFERROR(IF(COUNTIF(J190:U190,"x")=0,SUMPRODUCT((Besatzung!$B$11:$B$22&lt;&gt;"")*(Besatzung!$F$11:$F$22="x")),SUMPRODUCT((J190:U190="x")*(Besatzung!$F$11:$F$22="x"))),1))))),0))))</f>
        <v/>
      </c>
      <c r="AC190" s="247">
        <f>IF(C190="Gutschrift","",IF(G190="","",IF(Besatzung!$B$18="","",IFERROR(IF(I190="Zeitanteilig",(Besatzung!$G$18*(G190-IFERROR(H190,0))+((Besatzung!$B$18&lt;&gt;"")*IF(B190="",1,(IF(Besatzung!$C$18="",Besatzung!$B$5,Besatzung!$C$18)&lt;=B190)*(IF(Besatzung!$D$18="",Besatzung!$B$6,Besatzung!$D$18)&gt;=B190)))*(Besatzung!$F$18="x")*IFERROR(H190,0)/IFERROR(SUMPRODUCT((Besatzung!$B$11:$B$22&lt;&gt;"")*(Besatzung!$F$11:$F$22="x")*(IF(Besatzung!$C$11:$C$22="",Besatzung!$B$5,Besatzung!$C$11:$C$22)&lt;=B190)*(IF(Besatzung!$D$11:$D$22="",Besatzung!$B$6,Besatzung!$D$11:$D$22)&gt;=B190)),1)),IF(I190="An Bord",(((Besatzung!$B$18&lt;&gt;"")*IF(B190="",1,(IF(Besatzung!$C$18="",Besatzung!$B$5,Besatzung!$C$18)&lt;=B190)*(IF(Besatzung!$D$18="",Besatzung!$B$6,Besatzung!$D$18)&gt;=B190)))*((G190-IFERROR(H190,0))/IFERROR(SUMPRODUCT((Besatzung!$B$11:$B$22&lt;&gt;"")*(IF(Besatzung!$C$11:$C$22="",Besatzung!$B$5,Besatzung!$C$11:$C$22)&lt;=B190)*(IF(Besatzung!$D$11:$D$22="",Besatzung!$B$6,Besatzung!$D$11:$D$22)&gt;=B190)),1)+(Besatzung!$F$18="x")*IFERROR(H190,0)/IFERROR(SUMPRODUCT((Besatzung!$B$11:$B$22&lt;&gt;"")*(Besatzung!$F$11:$F$22="x")*(IF(Besatzung!$C$11:$C$22="",Besatzung!$B$5,Besatzung!$C$11:$C$22)&lt;=B190)*(IF(Besatzung!$D$11:$D$22="",Besatzung!$B$6,Besatzung!$D$11:$D$22)&gt;=B190)),1))),IF(I190="Individuell",((Q190="x")*((G190-IFERROR(H190,0))/IFERROR(COUNTIF(J190:U190,"x"),1)+(Besatzung!$F$18="x")*IFERROR(H190,0)/IFERROR(SUMPRODUCT((J190:U190="x")*(Besatzung!$F$11:$F$22="x")),1))),(IF(COUNTIF(J190:U190,"x")=0,IF(Besatzung!$B$18&lt;&gt;"",1,0),(Q190="x"))*(G190-IFERROR(H190,0))/IFERROR(IF(COUNTIF(J190:U190,"x")=0,COUNTA(Besatzung!$B$11:$B$22),COUNTIF(J190:U190,"x")),1)+IF(COUNTIF(J190:U190,"x")=0,(Besatzung!$F$18="x"),(Q190="x")*(Besatzung!$F$18="x"))*IFERROR(H190,0)/IFERROR(IF(COUNTIF(J190:U190,"x")=0,SUMPRODUCT((Besatzung!$B$11:$B$22&lt;&gt;"")*(Besatzung!$F$11:$F$22="x")),SUMPRODUCT((J190:U190="x")*(Besatzung!$F$11:$F$22="x"))),1))))),0))))</f>
        <v/>
      </c>
      <c r="AD190" s="247">
        <f>IF(C190="Gutschrift","",IF(G190="","",IF(Besatzung!$B$19="","",IFERROR(IF(I190="Zeitanteilig",(Besatzung!$G$19*(G190-IFERROR(H190,0))+((Besatzung!$B$19&lt;&gt;"")*IF(B190="",1,(IF(Besatzung!$C$19="",Besatzung!$B$5,Besatzung!$C$19)&lt;=B190)*(IF(Besatzung!$D$19="",Besatzung!$B$6,Besatzung!$D$19)&gt;=B190)))*(Besatzung!$F$19="x")*IFERROR(H190,0)/IFERROR(SUMPRODUCT((Besatzung!$B$11:$B$22&lt;&gt;"")*(Besatzung!$F$11:$F$22="x")*(IF(Besatzung!$C$11:$C$22="",Besatzung!$B$5,Besatzung!$C$11:$C$22)&lt;=B190)*(IF(Besatzung!$D$11:$D$22="",Besatzung!$B$6,Besatzung!$D$11:$D$22)&gt;=B190)),1)),IF(I190="An Bord",(((Besatzung!$B$19&lt;&gt;"")*IF(B190="",1,(IF(Besatzung!$C$19="",Besatzung!$B$5,Besatzung!$C$19)&lt;=B190)*(IF(Besatzung!$D$19="",Besatzung!$B$6,Besatzung!$D$19)&gt;=B190)))*((G190-IFERROR(H190,0))/IFERROR(SUMPRODUCT((Besatzung!$B$11:$B$22&lt;&gt;"")*(IF(Besatzung!$C$11:$C$22="",Besatzung!$B$5,Besatzung!$C$11:$C$22)&lt;=B190)*(IF(Besatzung!$D$11:$D$22="",Besatzung!$B$6,Besatzung!$D$11:$D$22)&gt;=B190)),1)+(Besatzung!$F$19="x")*IFERROR(H190,0)/IFERROR(SUMPRODUCT((Besatzung!$B$11:$B$22&lt;&gt;"")*(Besatzung!$F$11:$F$22="x")*(IF(Besatzung!$C$11:$C$22="",Besatzung!$B$5,Besatzung!$C$11:$C$22)&lt;=B190)*(IF(Besatzung!$D$11:$D$22="",Besatzung!$B$6,Besatzung!$D$11:$D$22)&gt;=B190)),1))),IF(I190="Individuell",((R190="x")*((G190-IFERROR(H190,0))/IFERROR(COUNTIF(J190:U190,"x"),1)+(Besatzung!$F$19="x")*IFERROR(H190,0)/IFERROR(SUMPRODUCT((J190:U190="x")*(Besatzung!$F$11:$F$22="x")),1))),(IF(COUNTIF(J190:U190,"x")=0,IF(Besatzung!$B$19&lt;&gt;"",1,0),(R190="x"))*(G190-IFERROR(H190,0))/IFERROR(IF(COUNTIF(J190:U190,"x")=0,COUNTA(Besatzung!$B$11:$B$22),COUNTIF(J190:U190,"x")),1)+IF(COUNTIF(J190:U190,"x")=0,(Besatzung!$F$19="x"),(R190="x")*(Besatzung!$F$19="x"))*IFERROR(H190,0)/IFERROR(IF(COUNTIF(J190:U190,"x")=0,SUMPRODUCT((Besatzung!$B$11:$B$22&lt;&gt;"")*(Besatzung!$F$11:$F$22="x")),SUMPRODUCT((J190:U190="x")*(Besatzung!$F$11:$F$22="x"))),1))))),0))))</f>
        <v/>
      </c>
      <c r="AE190" s="247">
        <f>IF(C190="Gutschrift","",IF(G190="","",IF(Besatzung!$B$20="","",IFERROR(IF(I190="Zeitanteilig",(Besatzung!$G$20*(G190-IFERROR(H190,0))+((Besatzung!$B$20&lt;&gt;"")*IF(B190="",1,(IF(Besatzung!$C$20="",Besatzung!$B$5,Besatzung!$C$20)&lt;=B190)*(IF(Besatzung!$D$20="",Besatzung!$B$6,Besatzung!$D$20)&gt;=B190)))*(Besatzung!$F$20="x")*IFERROR(H190,0)/IFERROR(SUMPRODUCT((Besatzung!$B$11:$B$22&lt;&gt;"")*(Besatzung!$F$11:$F$22="x")*(IF(Besatzung!$C$11:$C$22="",Besatzung!$B$5,Besatzung!$C$11:$C$22)&lt;=B190)*(IF(Besatzung!$D$11:$D$22="",Besatzung!$B$6,Besatzung!$D$11:$D$22)&gt;=B190)),1)),IF(I190="An Bord",(((Besatzung!$B$20&lt;&gt;"")*IF(B190="",1,(IF(Besatzung!$C$20="",Besatzung!$B$5,Besatzung!$C$20)&lt;=B190)*(IF(Besatzung!$D$20="",Besatzung!$B$6,Besatzung!$D$20)&gt;=B190)))*((G190-IFERROR(H190,0))/IFERROR(SUMPRODUCT((Besatzung!$B$11:$B$22&lt;&gt;"")*(IF(Besatzung!$C$11:$C$22="",Besatzung!$B$5,Besatzung!$C$11:$C$22)&lt;=B190)*(IF(Besatzung!$D$11:$D$22="",Besatzung!$B$6,Besatzung!$D$11:$D$22)&gt;=B190)),1)+(Besatzung!$F$20="x")*IFERROR(H190,0)/IFERROR(SUMPRODUCT((Besatzung!$B$11:$B$22&lt;&gt;"")*(Besatzung!$F$11:$F$22="x")*(IF(Besatzung!$C$11:$C$22="",Besatzung!$B$5,Besatzung!$C$11:$C$22)&lt;=B190)*(IF(Besatzung!$D$11:$D$22="",Besatzung!$B$6,Besatzung!$D$11:$D$22)&gt;=B190)),1))),IF(I190="Individuell",((S190="x")*((G190-IFERROR(H190,0))/IFERROR(COUNTIF(J190:U190,"x"),1)+(Besatzung!$F$20="x")*IFERROR(H190,0)/IFERROR(SUMPRODUCT((J190:U190="x")*(Besatzung!$F$11:$F$22="x")),1))),(IF(COUNTIF(J190:U190,"x")=0,IF(Besatzung!$B$20&lt;&gt;"",1,0),(S190="x"))*(G190-IFERROR(H190,0))/IFERROR(IF(COUNTIF(J190:U190,"x")=0,COUNTA(Besatzung!$B$11:$B$22),COUNTIF(J190:U190,"x")),1)+IF(COUNTIF(J190:U190,"x")=0,(Besatzung!$F$20="x"),(S190="x")*(Besatzung!$F$20="x"))*IFERROR(H190,0)/IFERROR(IF(COUNTIF(J190:U190,"x")=0,SUMPRODUCT((Besatzung!$B$11:$B$22&lt;&gt;"")*(Besatzung!$F$11:$F$22="x")),SUMPRODUCT((J190:U190="x")*(Besatzung!$F$11:$F$22="x"))),1))))),0))))</f>
        <v/>
      </c>
      <c r="AF190" s="247">
        <f>IF(C190="Gutschrift","",IF(G190="","",IF(Besatzung!$B$21="","",IFERROR(IF(I190="Zeitanteilig",(Besatzung!$G$21*(G190-IFERROR(H190,0))+((Besatzung!$B$21&lt;&gt;"")*IF(B190="",1,(IF(Besatzung!$C$21="",Besatzung!$B$5,Besatzung!$C$21)&lt;=B190)*(IF(Besatzung!$D$21="",Besatzung!$B$6,Besatzung!$D$21)&gt;=B190)))*(Besatzung!$F$21="x")*IFERROR(H190,0)/IFERROR(SUMPRODUCT((Besatzung!$B$11:$B$22&lt;&gt;"")*(Besatzung!$F$11:$F$22="x")*(IF(Besatzung!$C$11:$C$22="",Besatzung!$B$5,Besatzung!$C$11:$C$22)&lt;=B190)*(IF(Besatzung!$D$11:$D$22="",Besatzung!$B$6,Besatzung!$D$11:$D$22)&gt;=B190)),1)),IF(I190="An Bord",(((Besatzung!$B$21&lt;&gt;"")*IF(B190="",1,(IF(Besatzung!$C$21="",Besatzung!$B$5,Besatzung!$C$21)&lt;=B190)*(IF(Besatzung!$D$21="",Besatzung!$B$6,Besatzung!$D$21)&gt;=B190)))*((G190-IFERROR(H190,0))/IFERROR(SUMPRODUCT((Besatzung!$B$11:$B$22&lt;&gt;"")*(IF(Besatzung!$C$11:$C$22="",Besatzung!$B$5,Besatzung!$C$11:$C$22)&lt;=B190)*(IF(Besatzung!$D$11:$D$22="",Besatzung!$B$6,Besatzung!$D$11:$D$22)&gt;=B190)),1)+(Besatzung!$F$21="x")*IFERROR(H190,0)/IFERROR(SUMPRODUCT((Besatzung!$B$11:$B$22&lt;&gt;"")*(Besatzung!$F$11:$F$22="x")*(IF(Besatzung!$C$11:$C$22="",Besatzung!$B$5,Besatzung!$C$11:$C$22)&lt;=B190)*(IF(Besatzung!$D$11:$D$22="",Besatzung!$B$6,Besatzung!$D$11:$D$22)&gt;=B190)),1))),IF(I190="Individuell",((T190="x")*((G190-IFERROR(H190,0))/IFERROR(COUNTIF(J190:U190,"x"),1)+(Besatzung!$F$21="x")*IFERROR(H190,0)/IFERROR(SUMPRODUCT((J190:U190="x")*(Besatzung!$F$11:$F$22="x")),1))),(IF(COUNTIF(J190:U190,"x")=0,IF(Besatzung!$B$21&lt;&gt;"",1,0),(T190="x"))*(G190-IFERROR(H190,0))/IFERROR(IF(COUNTIF(J190:U190,"x")=0,COUNTA(Besatzung!$B$11:$B$22),COUNTIF(J190:U190,"x")),1)+IF(COUNTIF(J190:U190,"x")=0,(Besatzung!$F$21="x"),(T190="x")*(Besatzung!$F$21="x"))*IFERROR(H190,0)/IFERROR(IF(COUNTIF(J190:U190,"x")=0,SUMPRODUCT((Besatzung!$B$11:$B$22&lt;&gt;"")*(Besatzung!$F$11:$F$22="x")),SUMPRODUCT((J190:U190="x")*(Besatzung!$F$11:$F$22="x"))),1))))),0))))</f>
        <v/>
      </c>
      <c r="AG190" s="247">
        <f>IF(C190="Gutschrift","",IF(G190="","",IF(Besatzung!$B$22="","",IFERROR(IF(I190="Zeitanteilig",(Besatzung!$G$22*(G190-IFERROR(H190,0))+((Besatzung!$B$22&lt;&gt;"")*IF(B190="",1,(IF(Besatzung!$C$22="",Besatzung!$B$5,Besatzung!$C$22)&lt;=B190)*(IF(Besatzung!$D$22="",Besatzung!$B$6,Besatzung!$D$22)&gt;=B190)))*(Besatzung!$F$22="x")*IFERROR(H190,0)/IFERROR(SUMPRODUCT((Besatzung!$B$11:$B$22&lt;&gt;"")*(Besatzung!$F$11:$F$22="x")*(IF(Besatzung!$C$11:$C$22="",Besatzung!$B$5,Besatzung!$C$11:$C$22)&lt;=B190)*(IF(Besatzung!$D$11:$D$22="",Besatzung!$B$6,Besatzung!$D$11:$D$22)&gt;=B190)),1)),IF(I190="An Bord",(((Besatzung!$B$22&lt;&gt;"")*IF(B190="",1,(IF(Besatzung!$C$22="",Besatzung!$B$5,Besatzung!$C$22)&lt;=B190)*(IF(Besatzung!$D$22="",Besatzung!$B$6,Besatzung!$D$22)&gt;=B190)))*((G190-IFERROR(H190,0))/IFERROR(SUMPRODUCT((Besatzung!$B$11:$B$22&lt;&gt;"")*(IF(Besatzung!$C$11:$C$22="",Besatzung!$B$5,Besatzung!$C$11:$C$22)&lt;=B190)*(IF(Besatzung!$D$11:$D$22="",Besatzung!$B$6,Besatzung!$D$11:$D$22)&gt;=B190)),1)+(Besatzung!$F$22="x")*IFERROR(H190,0)/IFERROR(SUMPRODUCT((Besatzung!$B$11:$B$22&lt;&gt;"")*(Besatzung!$F$11:$F$22="x")*(IF(Besatzung!$C$11:$C$22="",Besatzung!$B$5,Besatzung!$C$11:$C$22)&lt;=B190)*(IF(Besatzung!$D$11:$D$22="",Besatzung!$B$6,Besatzung!$D$11:$D$22)&gt;=B190)),1))),IF(I190="Individuell",((U190="x")*((G190-IFERROR(H190,0))/IFERROR(COUNTIF(J190:U190,"x"),1)+(Besatzung!$F$22="x")*IFERROR(H190,0)/IFERROR(SUMPRODUCT((J190:U190="x")*(Besatzung!$F$11:$F$22="x")),1))),(IF(COUNTIF(J190:U190,"x")=0,IF(Besatzung!$B$22&lt;&gt;"",1,0),(U190="x"))*(G190-IFERROR(H190,0))/IFERROR(IF(COUNTIF(J190:U190,"x")=0,COUNTA(Besatzung!$B$11:$B$22),COUNTIF(J190:U190,"x")),1)+IF(COUNTIF(J190:U190,"x")=0,(Besatzung!$F$22="x"),(U190="x")*(Besatzung!$F$22="x"))*IFERROR(H190,0)/IFERROR(IF(COUNTIF(J190:U190,"x")=0,SUMPRODUCT((Besatzung!$B$11:$B$22&lt;&gt;"")*(Besatzung!$F$11:$F$22="x")),SUMPRODUCT((J190:U190="x")*(Besatzung!$F$11:$F$22="x"))),1))))),0))))</f>
        <v/>
      </c>
      <c r="AH190" s="248" t="n"/>
      <c r="AI190" s="248" t="n"/>
    </row>
    <row r="191" ht="21.75" customHeight="1" s="154">
      <c r="A191" s="238">
        <f>IF(AND(D191="",C191=""),"",188)</f>
        <v/>
      </c>
      <c r="B191" s="206" t="n"/>
      <c r="C191" s="249" t="n"/>
      <c r="D191" s="250" t="n"/>
      <c r="E191" s="251" t="n"/>
      <c r="F191" s="252" t="n"/>
      <c r="G191" s="253" t="n"/>
      <c r="H191" s="254" t="n"/>
      <c r="I191" s="255" t="n"/>
      <c r="J191" s="256" t="n"/>
      <c r="K191" s="256" t="n"/>
      <c r="L191" s="256" t="n"/>
      <c r="M191" s="256" t="n"/>
      <c r="N191" s="256" t="n"/>
      <c r="O191" s="256" t="n"/>
      <c r="P191" s="256" t="n"/>
      <c r="Q191" s="256" t="n"/>
      <c r="R191" s="256" t="n"/>
      <c r="S191" s="256" t="n"/>
      <c r="T191" s="256" t="n"/>
      <c r="U191" s="256" t="n"/>
      <c r="V191" s="247">
        <f>IF(C191="Gutschrift","",IF(G191="","",IF(Besatzung!$B$11="","",IFERROR(IF(I191="Zeitanteilig",(Besatzung!$G$11*(G191-IFERROR(H191,0))+((Besatzung!$B$11&lt;&gt;"")*IF(B191="",1,(IF(Besatzung!$C$11="",Besatzung!$B$5,Besatzung!$C$11)&lt;=B191)*(IF(Besatzung!$D$11="",Besatzung!$B$6,Besatzung!$D$11)&gt;=B191)))*(Besatzung!$F$11="x")*IFERROR(H191,0)/IFERROR(SUMPRODUCT((Besatzung!$B$11:$B$22&lt;&gt;"")*(Besatzung!$F$11:$F$22="x")*(IF(Besatzung!$C$11:$C$22="",Besatzung!$B$5,Besatzung!$C$11:$C$22)&lt;=B191)*(IF(Besatzung!$D$11:$D$22="",Besatzung!$B$6,Besatzung!$D$11:$D$22)&gt;=B191)),1)),IF(I191="An Bord",(((Besatzung!$B$11&lt;&gt;"")*IF(B191="",1,(IF(Besatzung!$C$11="",Besatzung!$B$5,Besatzung!$C$11)&lt;=B191)*(IF(Besatzung!$D$11="",Besatzung!$B$6,Besatzung!$D$11)&gt;=B191)))*((G191-IFERROR(H191,0))/IFERROR(SUMPRODUCT((Besatzung!$B$11:$B$22&lt;&gt;"")*(IF(Besatzung!$C$11:$C$22="",Besatzung!$B$5,Besatzung!$C$11:$C$22)&lt;=B191)*(IF(Besatzung!$D$11:$D$22="",Besatzung!$B$6,Besatzung!$D$11:$D$22)&gt;=B191)),1)+(Besatzung!$F$11="x")*IFERROR(H191,0)/IFERROR(SUMPRODUCT((Besatzung!$B$11:$B$22&lt;&gt;"")*(Besatzung!$F$11:$F$22="x")*(IF(Besatzung!$C$11:$C$22="",Besatzung!$B$5,Besatzung!$C$11:$C$22)&lt;=B191)*(IF(Besatzung!$D$11:$D$22="",Besatzung!$B$6,Besatzung!$D$11:$D$22)&gt;=B191)),1))),IF(I191="Individuell",((J191="x")*((G191-IFERROR(H191,0))/IFERROR(COUNTIF(J191:U191,"x"),1)+(Besatzung!$F$11="x")*IFERROR(H191,0)/IFERROR(SUMPRODUCT((J191:U191="x")*(Besatzung!$F$11:$F$22="x")),1))),(IF(COUNTIF(J191:U191,"x")=0,IF(Besatzung!$B$11&lt;&gt;"",1,0),(J191="x"))*(G191-IFERROR(H191,0))/IFERROR(IF(COUNTIF(J191:U191,"x")=0,COUNTA(Besatzung!$B$11:$B$22),COUNTIF(J191:U191,"x")),1)+IF(COUNTIF(J191:U191,"x")=0,(Besatzung!$F$11="x"),(J191="x")*(Besatzung!$F$11="x"))*IFERROR(H191,0)/IFERROR(IF(COUNTIF(J191:U191,"x")=0,SUMPRODUCT((Besatzung!$B$11:$B$22&lt;&gt;"")*(Besatzung!$F$11:$F$22="x")),SUMPRODUCT((J191:U191="x")*(Besatzung!$F$11:$F$22="x"))),1))))),0))))</f>
        <v/>
      </c>
      <c r="W191" s="247">
        <f>IF(C191="Gutschrift","",IF(G191="","",IF(Besatzung!$B$12="","",IFERROR(IF(I191="Zeitanteilig",(Besatzung!$G$12*(G191-IFERROR(H191,0))+((Besatzung!$B$12&lt;&gt;"")*IF(B191="",1,(IF(Besatzung!$C$12="",Besatzung!$B$5,Besatzung!$C$12)&lt;=B191)*(IF(Besatzung!$D$12="",Besatzung!$B$6,Besatzung!$D$12)&gt;=B191)))*(Besatzung!$F$12="x")*IFERROR(H191,0)/IFERROR(SUMPRODUCT((Besatzung!$B$11:$B$22&lt;&gt;"")*(Besatzung!$F$11:$F$22="x")*(IF(Besatzung!$C$11:$C$22="",Besatzung!$B$5,Besatzung!$C$11:$C$22)&lt;=B191)*(IF(Besatzung!$D$11:$D$22="",Besatzung!$B$6,Besatzung!$D$11:$D$22)&gt;=B191)),1)),IF(I191="An Bord",(((Besatzung!$B$12&lt;&gt;"")*IF(B191="",1,(IF(Besatzung!$C$12="",Besatzung!$B$5,Besatzung!$C$12)&lt;=B191)*(IF(Besatzung!$D$12="",Besatzung!$B$6,Besatzung!$D$12)&gt;=B191)))*((G191-IFERROR(H191,0))/IFERROR(SUMPRODUCT((Besatzung!$B$11:$B$22&lt;&gt;"")*(IF(Besatzung!$C$11:$C$22="",Besatzung!$B$5,Besatzung!$C$11:$C$22)&lt;=B191)*(IF(Besatzung!$D$11:$D$22="",Besatzung!$B$6,Besatzung!$D$11:$D$22)&gt;=B191)),1)+(Besatzung!$F$12="x")*IFERROR(H191,0)/IFERROR(SUMPRODUCT((Besatzung!$B$11:$B$22&lt;&gt;"")*(Besatzung!$F$11:$F$22="x")*(IF(Besatzung!$C$11:$C$22="",Besatzung!$B$5,Besatzung!$C$11:$C$22)&lt;=B191)*(IF(Besatzung!$D$11:$D$22="",Besatzung!$B$6,Besatzung!$D$11:$D$22)&gt;=B191)),1))),IF(I191="Individuell",((K191="x")*((G191-IFERROR(H191,0))/IFERROR(COUNTIF(J191:U191,"x"),1)+(Besatzung!$F$12="x")*IFERROR(H191,0)/IFERROR(SUMPRODUCT((J191:U191="x")*(Besatzung!$F$11:$F$22="x")),1))),(IF(COUNTIF(J191:U191,"x")=0,IF(Besatzung!$B$12&lt;&gt;"",1,0),(K191="x"))*(G191-IFERROR(H191,0))/IFERROR(IF(COUNTIF(J191:U191,"x")=0,COUNTA(Besatzung!$B$11:$B$22),COUNTIF(J191:U191,"x")),1)+IF(COUNTIF(J191:U191,"x")=0,(Besatzung!$F$12="x"),(K191="x")*(Besatzung!$F$12="x"))*IFERROR(H191,0)/IFERROR(IF(COUNTIF(J191:U191,"x")=0,SUMPRODUCT((Besatzung!$B$11:$B$22&lt;&gt;"")*(Besatzung!$F$11:$F$22="x")),SUMPRODUCT((J191:U191="x")*(Besatzung!$F$11:$F$22="x"))),1))))),0))))</f>
        <v/>
      </c>
      <c r="X191" s="247">
        <f>IF(C191="Gutschrift","",IF(G191="","",IF(Besatzung!$B$13="","",IFERROR(IF(I191="Zeitanteilig",(Besatzung!$G$13*(G191-IFERROR(H191,0))+((Besatzung!$B$13&lt;&gt;"")*IF(B191="",1,(IF(Besatzung!$C$13="",Besatzung!$B$5,Besatzung!$C$13)&lt;=B191)*(IF(Besatzung!$D$13="",Besatzung!$B$6,Besatzung!$D$13)&gt;=B191)))*(Besatzung!$F$13="x")*IFERROR(H191,0)/IFERROR(SUMPRODUCT((Besatzung!$B$11:$B$22&lt;&gt;"")*(Besatzung!$F$11:$F$22="x")*(IF(Besatzung!$C$11:$C$22="",Besatzung!$B$5,Besatzung!$C$11:$C$22)&lt;=B191)*(IF(Besatzung!$D$11:$D$22="",Besatzung!$B$6,Besatzung!$D$11:$D$22)&gt;=B191)),1)),IF(I191="An Bord",(((Besatzung!$B$13&lt;&gt;"")*IF(B191="",1,(IF(Besatzung!$C$13="",Besatzung!$B$5,Besatzung!$C$13)&lt;=B191)*(IF(Besatzung!$D$13="",Besatzung!$B$6,Besatzung!$D$13)&gt;=B191)))*((G191-IFERROR(H191,0))/IFERROR(SUMPRODUCT((Besatzung!$B$11:$B$22&lt;&gt;"")*(IF(Besatzung!$C$11:$C$22="",Besatzung!$B$5,Besatzung!$C$11:$C$22)&lt;=B191)*(IF(Besatzung!$D$11:$D$22="",Besatzung!$B$6,Besatzung!$D$11:$D$22)&gt;=B191)),1)+(Besatzung!$F$13="x")*IFERROR(H191,0)/IFERROR(SUMPRODUCT((Besatzung!$B$11:$B$22&lt;&gt;"")*(Besatzung!$F$11:$F$22="x")*(IF(Besatzung!$C$11:$C$22="",Besatzung!$B$5,Besatzung!$C$11:$C$22)&lt;=B191)*(IF(Besatzung!$D$11:$D$22="",Besatzung!$B$6,Besatzung!$D$11:$D$22)&gt;=B191)),1))),IF(I191="Individuell",((K191="x")*((G191-IFERROR(H191,0))/IFERROR(COUNTIF(J191:U191,"x"),1)+(Besatzung!$F$13="x")*IFERROR(H191,0)/IFERROR(SUMPRODUCT((J191:U191="x")*(Besatzung!$F$11:$F$22="x")),1))),(IF(COUNTIF(J191:U191,"x")=0,IF(Besatzung!$B$13&lt;&gt;"",1,0),(K191="x"))*(G191-IFERROR(H191,0))/IFERROR(IF(COUNTIF(J191:U191,"x")=0,COUNTA(Besatzung!$B$11:$B$22),COUNTIF(J191:U191,"x")),1)+IF(COUNTIF(J191:U191,"x")=0,(Besatzung!$F$13="x"),(K191="x")*(Besatzung!$F$13="x"))*IFERROR(H191,0)/IFERROR(IF(COUNTIF(J191:U191,"x")=0,SUMPRODUCT((Besatzung!$B$11:$B$22&lt;&gt;"")*(Besatzung!$F$11:$F$22="x")),SUMPRODUCT((J191:U191="x")*(Besatzung!$F$11:$F$22="x"))),1))))),0))))</f>
        <v/>
      </c>
      <c r="Y191" s="247">
        <f>IF(C191="Gutschrift","",IF(G191="","",IF(Besatzung!$B$14="","",IFERROR(IF(I191="Zeitanteilig",(Besatzung!$G$14*(G191-IFERROR(H191,0))+((Besatzung!$B$14&lt;&gt;"")*IF(B191="",1,(IF(Besatzung!$C$14="",Besatzung!$B$5,Besatzung!$C$14)&lt;=B191)*(IF(Besatzung!$D$14="",Besatzung!$B$6,Besatzung!$D$14)&gt;=B191)))*(Besatzung!$F$14="x")*IFERROR(H191,0)/IFERROR(SUMPRODUCT((Besatzung!$B$11:$B$22&lt;&gt;"")*(Besatzung!$F$11:$F$22="x")*(IF(Besatzung!$C$11:$C$22="",Besatzung!$B$5,Besatzung!$C$11:$C$22)&lt;=B191)*(IF(Besatzung!$D$11:$D$22="",Besatzung!$B$6,Besatzung!$D$11:$D$22)&gt;=B191)),1)),IF(I191="An Bord",(((Besatzung!$B$14&lt;&gt;"")*IF(B191="",1,(IF(Besatzung!$C$14="",Besatzung!$B$5,Besatzung!$C$14)&lt;=B191)*(IF(Besatzung!$D$14="",Besatzung!$B$6,Besatzung!$D$14)&gt;=B191)))*((G191-IFERROR(H191,0))/IFERROR(SUMPRODUCT((Besatzung!$B$11:$B$22&lt;&gt;"")*(IF(Besatzung!$C$11:$C$22="",Besatzung!$B$5,Besatzung!$C$11:$C$22)&lt;=B191)*(IF(Besatzung!$D$11:$D$22="",Besatzung!$B$6,Besatzung!$D$11:$D$22)&gt;=B191)),1)+(Besatzung!$F$14="x")*IFERROR(H191,0)/IFERROR(SUMPRODUCT((Besatzung!$B$11:$B$22&lt;&gt;"")*(Besatzung!$F$11:$F$22="x")*(IF(Besatzung!$C$11:$C$22="",Besatzung!$B$5,Besatzung!$C$11:$C$22)&lt;=B191)*(IF(Besatzung!$D$11:$D$22="",Besatzung!$B$6,Besatzung!$D$11:$D$22)&gt;=B191)),1))),IF(I191="Individuell",((M191="x")*((G191-IFERROR(H191,0))/IFERROR(COUNTIF(J191:U191,"x"),1)+(Besatzung!$F$14="x")*IFERROR(H191,0)/IFERROR(SUMPRODUCT((J191:U191="x")*(Besatzung!$F$11:$F$22="x")),1))),(IF(COUNTIF(J191:U191,"x")=0,IF(Besatzung!$B$14&lt;&gt;"",1,0),(M191="x"))*(G191-IFERROR(H191,0))/IFERROR(IF(COUNTIF(J191:U191,"x")=0,COUNTA(Besatzung!$B$11:$B$22),COUNTIF(J191:U191,"x")),1)+IF(COUNTIF(J191:U191,"x")=0,(Besatzung!$F$14="x"),(M191="x")*(Besatzung!$F$14="x"))*IFERROR(H191,0)/IFERROR(IF(COUNTIF(J191:U191,"x")=0,SUMPRODUCT((Besatzung!$B$11:$B$22&lt;&gt;"")*(Besatzung!$F$11:$F$22="x")),SUMPRODUCT((J191:U191="x")*(Besatzung!$F$11:$F$22="x"))),1))))),0))))</f>
        <v/>
      </c>
      <c r="Z191" s="247">
        <f>IF(C191="Gutschrift","",IF(G191="","",IF(Besatzung!$B$13="","",IFERROR(IF(I191="Zeitanteilig",(Besatzung!$G$15*(G191-IFERROR(H191,0))+((Besatzung!$B$13&lt;&gt;"")*IF(B191="",1,(IF(Besatzung!$C$15="",Besatzung!$B$5,Besatzung!$C$15)&lt;=B191)*(IF(Besatzung!$D$15="",Besatzung!$B$6,Besatzung!$D$15)&gt;=B191)))*(Besatzung!$F$15="x")*IFERROR(H191,0)/IFERROR(SUMPRODUCT((Besatzung!$B$11:$B$22&lt;&gt;"")*(Besatzung!$F$11:$F$22="x")*(IF(Besatzung!$C$11:$C$22="",Besatzung!$B$5,Besatzung!$C$11:$C$22)&lt;=B191)*(IF(Besatzung!$D$11:$D$22="",Besatzung!$B$6,Besatzung!$D$11:$D$22)&gt;=B191)),1)),IF(I191="An Bord",(((Besatzung!$B$13&lt;&gt;"")*IF(B191="",1,(IF(Besatzung!$C$15="",Besatzung!$B$5,Besatzung!$C$15)&lt;=B191)*(IF(Besatzung!$D$15="",Besatzung!$B$6,Besatzung!$D$15)&gt;=B191)))*((G191-IFERROR(H191,0))/IFERROR(SUMPRODUCT((Besatzung!$B$11:$B$22&lt;&gt;"")*(IF(Besatzung!$C$11:$C$22="",Besatzung!$B$5,Besatzung!$C$11:$C$22)&lt;=B191)*(IF(Besatzung!$D$11:$D$22="",Besatzung!$B$6,Besatzung!$D$11:$D$22)&gt;=B191)),1)+(Besatzung!$F$15="x")*IFERROR(H191,0)/IFERROR(SUMPRODUCT((Besatzung!$B$11:$B$22&lt;&gt;"")*(Besatzung!$F$11:$F$22="x")*(IF(Besatzung!$C$11:$C$22="",Besatzung!$B$5,Besatzung!$C$11:$C$22)&lt;=B191)*(IF(Besatzung!$D$11:$D$22="",Besatzung!$B$6,Besatzung!$D$11:$D$22)&gt;=B191)),1))),IF(I191="Individuell",((N191="x")*((G191-IFERROR(H191,0))/IFERROR(COUNTIF(J191:U191,"x"),1)+(Besatzung!$F$15="x")*IFERROR(H191,0)/IFERROR(SUMPRODUCT((J191:U191="x")*(Besatzung!$F$11:$F$22="x")),1))),(IF(COUNTIF(J191:U191,"x")=0,IF(Besatzung!$B$13&lt;&gt;"",1,0),(N191="x"))*(G191-IFERROR(H191,0))/IFERROR(IF(COUNTIF(J191:U191,"x")=0,COUNTA(Besatzung!$B$11:$B$22),COUNTIF(J191:U191,"x")),1)+IF(COUNTIF(J191:U191,"x")=0,(Besatzung!$F$15="x"),(N191="x")*(Besatzung!$F$15="x"))*IFERROR(H191,0)/IFERROR(IF(COUNTIF(J191:U191,"x")=0,SUMPRODUCT((Besatzung!$B$11:$B$22&lt;&gt;"")*(Besatzung!$F$11:$F$22="x")),SUMPRODUCT((J191:U191="x")*(Besatzung!$F$11:$F$22="x"))),1))))),0))))</f>
        <v/>
      </c>
      <c r="AA191" s="247">
        <f>IF(C191="Gutschrift","",IF(G191="","",IF(Besatzung!$B$15="","",IFERROR(IF(I191="Zeitanteilig",(Besatzung!$G$16*(G191-IFERROR(H191,0))+((Besatzung!$B$15&lt;&gt;"")*IF(B191="",1,(IF(Besatzung!$C$16="",Besatzung!$B$5,Besatzung!$C$16)&lt;=B191)*(IF(Besatzung!$D$16="",Besatzung!$B$6,Besatzung!$D$16)&gt;=B191)))*(Besatzung!$F$16="x")*IFERROR(H191,0)/IFERROR(SUMPRODUCT((Besatzung!$B$11:$B$22&lt;&gt;"")*(Besatzung!$F$11:$F$22="x")*(IF(Besatzung!$C$11:$C$22="",Besatzung!$B$5,Besatzung!$C$11:$C$22)&lt;=B191)*(IF(Besatzung!$D$11:$D$22="",Besatzung!$B$6,Besatzung!$D$11:$D$22)&gt;=B191)),1)),IF(I191="An Bord",(((Besatzung!$B$15&lt;&gt;"")*IF(B191="",1,(IF(Besatzung!$C$16="",Besatzung!$B$5,Besatzung!$C$16)&lt;=B191)*(IF(Besatzung!$D$16="",Besatzung!$B$6,Besatzung!$D$16)&gt;=B191)))*((G191-IFERROR(H191,0))/IFERROR(SUMPRODUCT((Besatzung!$B$11:$B$22&lt;&gt;"")*(IF(Besatzung!$C$11:$C$22="",Besatzung!$B$5,Besatzung!$C$11:$C$22)&lt;=B191)*(IF(Besatzung!$D$11:$D$22="",Besatzung!$B$6,Besatzung!$D$11:$D$22)&gt;=B191)),1)+(Besatzung!$F$16="x")*IFERROR(H191,0)/IFERROR(SUMPRODUCT((Besatzung!$B$11:$B$22&lt;&gt;"")*(Besatzung!$F$11:$F$22="x")*(IF(Besatzung!$C$11:$C$22="",Besatzung!$B$5,Besatzung!$C$11:$C$22)&lt;=B191)*(IF(Besatzung!$D$11:$D$22="",Besatzung!$B$6,Besatzung!$D$11:$D$22)&gt;=B191)),1))),IF(I191="Individuell",((O191="x")*((G191-IFERROR(H191,0))/IFERROR(COUNTIF(J191:U191,"x"),1)+(Besatzung!$F$16="x")*IFERROR(H191,0)/IFERROR(SUMPRODUCT((J191:U191="x")*(Besatzung!$F$11:$F$22="x")),1))),(IF(COUNTIF(J191:U191,"x")=0,IF(Besatzung!$B$15&lt;&gt;"",1,0),(O191="x"))*(G191-IFERROR(H191,0))/IFERROR(IF(COUNTIF(J191:U191,"x")=0,COUNTA(Besatzung!$B$11:$B$22),COUNTIF(J191:U191,"x")),1)+IF(COUNTIF(J191:U191,"x")=0,(Besatzung!$F$16="x"),(O191="x")*(Besatzung!$F$16="x"))*IFERROR(H191,0)/IFERROR(IF(COUNTIF(J191:U191,"x")=0,SUMPRODUCT((Besatzung!$B$11:$B$22&lt;&gt;"")*(Besatzung!$F$11:$F$22="x")),SUMPRODUCT((J191:U191="x")*(Besatzung!$F$11:$F$22="x"))),1))))),0))))</f>
        <v/>
      </c>
      <c r="AB191" s="247">
        <f>IF(C191="Gutschrift","",IF(G191="","",IF(Besatzung!$B$17="","",IFERROR(IF(I191="Zeitanteilig",(Besatzung!$G$17*(G191-IFERROR(H191,0))+((Besatzung!$B$17&lt;&gt;"")*IF(B191="",1,(IF(Besatzung!$C$17="",Besatzung!$B$5,Besatzung!$C$17)&lt;=B191)*(IF(Besatzung!$D$17="",Besatzung!$B$6,Besatzung!$D$17)&gt;=B191)))*(Besatzung!$F$17="x")*IFERROR(H191,0)/IFERROR(SUMPRODUCT((Besatzung!$B$11:$B$22&lt;&gt;"")*(Besatzung!$F$11:$F$22="x")*(IF(Besatzung!$C$11:$C$22="",Besatzung!$B$5,Besatzung!$C$11:$C$22)&lt;=B191)*(IF(Besatzung!$D$11:$D$22="",Besatzung!$B$6,Besatzung!$D$11:$D$22)&gt;=B191)),1)),IF(I191="An Bord",(((Besatzung!$B$17&lt;&gt;"")*IF(B191="",1,(IF(Besatzung!$C$17="",Besatzung!$B$5,Besatzung!$C$17)&lt;=B191)*(IF(Besatzung!$D$17="",Besatzung!$B$6,Besatzung!$D$17)&gt;=B191)))*((G191-IFERROR(H191,0))/IFERROR(SUMPRODUCT((Besatzung!$B$11:$B$22&lt;&gt;"")*(IF(Besatzung!$C$11:$C$22="",Besatzung!$B$5,Besatzung!$C$11:$C$22)&lt;=B191)*(IF(Besatzung!$D$11:$D$22="",Besatzung!$B$6,Besatzung!$D$11:$D$22)&gt;=B191)),1)+(Besatzung!$F$17="x")*IFERROR(H191,0)/IFERROR(SUMPRODUCT((Besatzung!$B$11:$B$22&lt;&gt;"")*(Besatzung!$F$11:$F$22="x")*(IF(Besatzung!$C$11:$C$22="",Besatzung!$B$5,Besatzung!$C$11:$C$22)&lt;=B191)*(IF(Besatzung!$D$11:$D$22="",Besatzung!$B$6,Besatzung!$D$11:$D$22)&gt;=B191)),1))),IF(I191="Individuell",((P191="x")*((G191-IFERROR(H191,0))/IFERROR(COUNTIF(J191:U191,"x"),1)+(Besatzung!$F$17="x")*IFERROR(H191,0)/IFERROR(SUMPRODUCT((J191:U191="x")*(Besatzung!$F$11:$F$22="x")),1))),(IF(COUNTIF(J191:U191,"x")=0,IF(Besatzung!$B$17&lt;&gt;"",1,0),(P191="x"))*(G191-IFERROR(H191,0))/IFERROR(IF(COUNTIF(J191:U191,"x")=0,COUNTA(Besatzung!$B$11:$B$22),COUNTIF(J191:U191,"x")),1)+IF(COUNTIF(J191:U191,"x")=0,(Besatzung!$F$17="x"),(P191="x")*(Besatzung!$F$17="x"))*IFERROR(H191,0)/IFERROR(IF(COUNTIF(J191:U191,"x")=0,SUMPRODUCT((Besatzung!$B$11:$B$22&lt;&gt;"")*(Besatzung!$F$11:$F$22="x")),SUMPRODUCT((J191:U191="x")*(Besatzung!$F$11:$F$22="x"))),1))))),0))))</f>
        <v/>
      </c>
      <c r="AC191" s="247">
        <f>IF(C191="Gutschrift","",IF(G191="","",IF(Besatzung!$B$18="","",IFERROR(IF(I191="Zeitanteilig",(Besatzung!$G$18*(G191-IFERROR(H191,0))+((Besatzung!$B$18&lt;&gt;"")*IF(B191="",1,(IF(Besatzung!$C$18="",Besatzung!$B$5,Besatzung!$C$18)&lt;=B191)*(IF(Besatzung!$D$18="",Besatzung!$B$6,Besatzung!$D$18)&gt;=B191)))*(Besatzung!$F$18="x")*IFERROR(H191,0)/IFERROR(SUMPRODUCT((Besatzung!$B$11:$B$22&lt;&gt;"")*(Besatzung!$F$11:$F$22="x")*(IF(Besatzung!$C$11:$C$22="",Besatzung!$B$5,Besatzung!$C$11:$C$22)&lt;=B191)*(IF(Besatzung!$D$11:$D$22="",Besatzung!$B$6,Besatzung!$D$11:$D$22)&gt;=B191)),1)),IF(I191="An Bord",(((Besatzung!$B$18&lt;&gt;"")*IF(B191="",1,(IF(Besatzung!$C$18="",Besatzung!$B$5,Besatzung!$C$18)&lt;=B191)*(IF(Besatzung!$D$18="",Besatzung!$B$6,Besatzung!$D$18)&gt;=B191)))*((G191-IFERROR(H191,0))/IFERROR(SUMPRODUCT((Besatzung!$B$11:$B$22&lt;&gt;"")*(IF(Besatzung!$C$11:$C$22="",Besatzung!$B$5,Besatzung!$C$11:$C$22)&lt;=B191)*(IF(Besatzung!$D$11:$D$22="",Besatzung!$B$6,Besatzung!$D$11:$D$22)&gt;=B191)),1)+(Besatzung!$F$18="x")*IFERROR(H191,0)/IFERROR(SUMPRODUCT((Besatzung!$B$11:$B$22&lt;&gt;"")*(Besatzung!$F$11:$F$22="x")*(IF(Besatzung!$C$11:$C$22="",Besatzung!$B$5,Besatzung!$C$11:$C$22)&lt;=B191)*(IF(Besatzung!$D$11:$D$22="",Besatzung!$B$6,Besatzung!$D$11:$D$22)&gt;=B191)),1))),IF(I191="Individuell",((Q191="x")*((G191-IFERROR(H191,0))/IFERROR(COUNTIF(J191:U191,"x"),1)+(Besatzung!$F$18="x")*IFERROR(H191,0)/IFERROR(SUMPRODUCT((J191:U191="x")*(Besatzung!$F$11:$F$22="x")),1))),(IF(COUNTIF(J191:U191,"x")=0,IF(Besatzung!$B$18&lt;&gt;"",1,0),(Q191="x"))*(G191-IFERROR(H191,0))/IFERROR(IF(COUNTIF(J191:U191,"x")=0,COUNTA(Besatzung!$B$11:$B$22),COUNTIF(J191:U191,"x")),1)+IF(COUNTIF(J191:U191,"x")=0,(Besatzung!$F$18="x"),(Q191="x")*(Besatzung!$F$18="x"))*IFERROR(H191,0)/IFERROR(IF(COUNTIF(J191:U191,"x")=0,SUMPRODUCT((Besatzung!$B$11:$B$22&lt;&gt;"")*(Besatzung!$F$11:$F$22="x")),SUMPRODUCT((J191:U191="x")*(Besatzung!$F$11:$F$22="x"))),1))))),0))))</f>
        <v/>
      </c>
      <c r="AD191" s="247">
        <f>IF(C191="Gutschrift","",IF(G191="","",IF(Besatzung!$B$19="","",IFERROR(IF(I191="Zeitanteilig",(Besatzung!$G$19*(G191-IFERROR(H191,0))+((Besatzung!$B$19&lt;&gt;"")*IF(B191="",1,(IF(Besatzung!$C$19="",Besatzung!$B$5,Besatzung!$C$19)&lt;=B191)*(IF(Besatzung!$D$19="",Besatzung!$B$6,Besatzung!$D$19)&gt;=B191)))*(Besatzung!$F$19="x")*IFERROR(H191,0)/IFERROR(SUMPRODUCT((Besatzung!$B$11:$B$22&lt;&gt;"")*(Besatzung!$F$11:$F$22="x")*(IF(Besatzung!$C$11:$C$22="",Besatzung!$B$5,Besatzung!$C$11:$C$22)&lt;=B191)*(IF(Besatzung!$D$11:$D$22="",Besatzung!$B$6,Besatzung!$D$11:$D$22)&gt;=B191)),1)),IF(I191="An Bord",(((Besatzung!$B$19&lt;&gt;"")*IF(B191="",1,(IF(Besatzung!$C$19="",Besatzung!$B$5,Besatzung!$C$19)&lt;=B191)*(IF(Besatzung!$D$19="",Besatzung!$B$6,Besatzung!$D$19)&gt;=B191)))*((G191-IFERROR(H191,0))/IFERROR(SUMPRODUCT((Besatzung!$B$11:$B$22&lt;&gt;"")*(IF(Besatzung!$C$11:$C$22="",Besatzung!$B$5,Besatzung!$C$11:$C$22)&lt;=B191)*(IF(Besatzung!$D$11:$D$22="",Besatzung!$B$6,Besatzung!$D$11:$D$22)&gt;=B191)),1)+(Besatzung!$F$19="x")*IFERROR(H191,0)/IFERROR(SUMPRODUCT((Besatzung!$B$11:$B$22&lt;&gt;"")*(Besatzung!$F$11:$F$22="x")*(IF(Besatzung!$C$11:$C$22="",Besatzung!$B$5,Besatzung!$C$11:$C$22)&lt;=B191)*(IF(Besatzung!$D$11:$D$22="",Besatzung!$B$6,Besatzung!$D$11:$D$22)&gt;=B191)),1))),IF(I191="Individuell",((R191="x")*((G191-IFERROR(H191,0))/IFERROR(COUNTIF(J191:U191,"x"),1)+(Besatzung!$F$19="x")*IFERROR(H191,0)/IFERROR(SUMPRODUCT((J191:U191="x")*(Besatzung!$F$11:$F$22="x")),1))),(IF(COUNTIF(J191:U191,"x")=0,IF(Besatzung!$B$19&lt;&gt;"",1,0),(R191="x"))*(G191-IFERROR(H191,0))/IFERROR(IF(COUNTIF(J191:U191,"x")=0,COUNTA(Besatzung!$B$11:$B$22),COUNTIF(J191:U191,"x")),1)+IF(COUNTIF(J191:U191,"x")=0,(Besatzung!$F$19="x"),(R191="x")*(Besatzung!$F$19="x"))*IFERROR(H191,0)/IFERROR(IF(COUNTIF(J191:U191,"x")=0,SUMPRODUCT((Besatzung!$B$11:$B$22&lt;&gt;"")*(Besatzung!$F$11:$F$22="x")),SUMPRODUCT((J191:U191="x")*(Besatzung!$F$11:$F$22="x"))),1))))),0))))</f>
        <v/>
      </c>
      <c r="AE191" s="247">
        <f>IF(C191="Gutschrift","",IF(G191="","",IF(Besatzung!$B$20="","",IFERROR(IF(I191="Zeitanteilig",(Besatzung!$G$20*(G191-IFERROR(H191,0))+((Besatzung!$B$20&lt;&gt;"")*IF(B191="",1,(IF(Besatzung!$C$20="",Besatzung!$B$5,Besatzung!$C$20)&lt;=B191)*(IF(Besatzung!$D$20="",Besatzung!$B$6,Besatzung!$D$20)&gt;=B191)))*(Besatzung!$F$20="x")*IFERROR(H191,0)/IFERROR(SUMPRODUCT((Besatzung!$B$11:$B$22&lt;&gt;"")*(Besatzung!$F$11:$F$22="x")*(IF(Besatzung!$C$11:$C$22="",Besatzung!$B$5,Besatzung!$C$11:$C$22)&lt;=B191)*(IF(Besatzung!$D$11:$D$22="",Besatzung!$B$6,Besatzung!$D$11:$D$22)&gt;=B191)),1)),IF(I191="An Bord",(((Besatzung!$B$20&lt;&gt;"")*IF(B191="",1,(IF(Besatzung!$C$20="",Besatzung!$B$5,Besatzung!$C$20)&lt;=B191)*(IF(Besatzung!$D$20="",Besatzung!$B$6,Besatzung!$D$20)&gt;=B191)))*((G191-IFERROR(H191,0))/IFERROR(SUMPRODUCT((Besatzung!$B$11:$B$22&lt;&gt;"")*(IF(Besatzung!$C$11:$C$22="",Besatzung!$B$5,Besatzung!$C$11:$C$22)&lt;=B191)*(IF(Besatzung!$D$11:$D$22="",Besatzung!$B$6,Besatzung!$D$11:$D$22)&gt;=B191)),1)+(Besatzung!$F$20="x")*IFERROR(H191,0)/IFERROR(SUMPRODUCT((Besatzung!$B$11:$B$22&lt;&gt;"")*(Besatzung!$F$11:$F$22="x")*(IF(Besatzung!$C$11:$C$22="",Besatzung!$B$5,Besatzung!$C$11:$C$22)&lt;=B191)*(IF(Besatzung!$D$11:$D$22="",Besatzung!$B$6,Besatzung!$D$11:$D$22)&gt;=B191)),1))),IF(I191="Individuell",((S191="x")*((G191-IFERROR(H191,0))/IFERROR(COUNTIF(J191:U191,"x"),1)+(Besatzung!$F$20="x")*IFERROR(H191,0)/IFERROR(SUMPRODUCT((J191:U191="x")*(Besatzung!$F$11:$F$22="x")),1))),(IF(COUNTIF(J191:U191,"x")=0,IF(Besatzung!$B$20&lt;&gt;"",1,0),(S191="x"))*(G191-IFERROR(H191,0))/IFERROR(IF(COUNTIF(J191:U191,"x")=0,COUNTA(Besatzung!$B$11:$B$22),COUNTIF(J191:U191,"x")),1)+IF(COUNTIF(J191:U191,"x")=0,(Besatzung!$F$20="x"),(S191="x")*(Besatzung!$F$20="x"))*IFERROR(H191,0)/IFERROR(IF(COUNTIF(J191:U191,"x")=0,SUMPRODUCT((Besatzung!$B$11:$B$22&lt;&gt;"")*(Besatzung!$F$11:$F$22="x")),SUMPRODUCT((J191:U191="x")*(Besatzung!$F$11:$F$22="x"))),1))))),0))))</f>
        <v/>
      </c>
      <c r="AF191" s="247">
        <f>IF(C191="Gutschrift","",IF(G191="","",IF(Besatzung!$B$21="","",IFERROR(IF(I191="Zeitanteilig",(Besatzung!$G$21*(G191-IFERROR(H191,0))+((Besatzung!$B$21&lt;&gt;"")*IF(B191="",1,(IF(Besatzung!$C$21="",Besatzung!$B$5,Besatzung!$C$21)&lt;=B191)*(IF(Besatzung!$D$21="",Besatzung!$B$6,Besatzung!$D$21)&gt;=B191)))*(Besatzung!$F$21="x")*IFERROR(H191,0)/IFERROR(SUMPRODUCT((Besatzung!$B$11:$B$22&lt;&gt;"")*(Besatzung!$F$11:$F$22="x")*(IF(Besatzung!$C$11:$C$22="",Besatzung!$B$5,Besatzung!$C$11:$C$22)&lt;=B191)*(IF(Besatzung!$D$11:$D$22="",Besatzung!$B$6,Besatzung!$D$11:$D$22)&gt;=B191)),1)),IF(I191="An Bord",(((Besatzung!$B$21&lt;&gt;"")*IF(B191="",1,(IF(Besatzung!$C$21="",Besatzung!$B$5,Besatzung!$C$21)&lt;=B191)*(IF(Besatzung!$D$21="",Besatzung!$B$6,Besatzung!$D$21)&gt;=B191)))*((G191-IFERROR(H191,0))/IFERROR(SUMPRODUCT((Besatzung!$B$11:$B$22&lt;&gt;"")*(IF(Besatzung!$C$11:$C$22="",Besatzung!$B$5,Besatzung!$C$11:$C$22)&lt;=B191)*(IF(Besatzung!$D$11:$D$22="",Besatzung!$B$6,Besatzung!$D$11:$D$22)&gt;=B191)),1)+(Besatzung!$F$21="x")*IFERROR(H191,0)/IFERROR(SUMPRODUCT((Besatzung!$B$11:$B$22&lt;&gt;"")*(Besatzung!$F$11:$F$22="x")*(IF(Besatzung!$C$11:$C$22="",Besatzung!$B$5,Besatzung!$C$11:$C$22)&lt;=B191)*(IF(Besatzung!$D$11:$D$22="",Besatzung!$B$6,Besatzung!$D$11:$D$22)&gt;=B191)),1))),IF(I191="Individuell",((T191="x")*((G191-IFERROR(H191,0))/IFERROR(COUNTIF(J191:U191,"x"),1)+(Besatzung!$F$21="x")*IFERROR(H191,0)/IFERROR(SUMPRODUCT((J191:U191="x")*(Besatzung!$F$11:$F$22="x")),1))),(IF(COUNTIF(J191:U191,"x")=0,IF(Besatzung!$B$21&lt;&gt;"",1,0),(T191="x"))*(G191-IFERROR(H191,0))/IFERROR(IF(COUNTIF(J191:U191,"x")=0,COUNTA(Besatzung!$B$11:$B$22),COUNTIF(J191:U191,"x")),1)+IF(COUNTIF(J191:U191,"x")=0,(Besatzung!$F$21="x"),(T191="x")*(Besatzung!$F$21="x"))*IFERROR(H191,0)/IFERROR(IF(COUNTIF(J191:U191,"x")=0,SUMPRODUCT((Besatzung!$B$11:$B$22&lt;&gt;"")*(Besatzung!$F$11:$F$22="x")),SUMPRODUCT((J191:U191="x")*(Besatzung!$F$11:$F$22="x"))),1))))),0))))</f>
        <v/>
      </c>
      <c r="AG191" s="247">
        <f>IF(C191="Gutschrift","",IF(G191="","",IF(Besatzung!$B$22="","",IFERROR(IF(I191="Zeitanteilig",(Besatzung!$G$22*(G191-IFERROR(H191,0))+((Besatzung!$B$22&lt;&gt;"")*IF(B191="",1,(IF(Besatzung!$C$22="",Besatzung!$B$5,Besatzung!$C$22)&lt;=B191)*(IF(Besatzung!$D$22="",Besatzung!$B$6,Besatzung!$D$22)&gt;=B191)))*(Besatzung!$F$22="x")*IFERROR(H191,0)/IFERROR(SUMPRODUCT((Besatzung!$B$11:$B$22&lt;&gt;"")*(Besatzung!$F$11:$F$22="x")*(IF(Besatzung!$C$11:$C$22="",Besatzung!$B$5,Besatzung!$C$11:$C$22)&lt;=B191)*(IF(Besatzung!$D$11:$D$22="",Besatzung!$B$6,Besatzung!$D$11:$D$22)&gt;=B191)),1)),IF(I191="An Bord",(((Besatzung!$B$22&lt;&gt;"")*IF(B191="",1,(IF(Besatzung!$C$22="",Besatzung!$B$5,Besatzung!$C$22)&lt;=B191)*(IF(Besatzung!$D$22="",Besatzung!$B$6,Besatzung!$D$22)&gt;=B191)))*((G191-IFERROR(H191,0))/IFERROR(SUMPRODUCT((Besatzung!$B$11:$B$22&lt;&gt;"")*(IF(Besatzung!$C$11:$C$22="",Besatzung!$B$5,Besatzung!$C$11:$C$22)&lt;=B191)*(IF(Besatzung!$D$11:$D$22="",Besatzung!$B$6,Besatzung!$D$11:$D$22)&gt;=B191)),1)+(Besatzung!$F$22="x")*IFERROR(H191,0)/IFERROR(SUMPRODUCT((Besatzung!$B$11:$B$22&lt;&gt;"")*(Besatzung!$F$11:$F$22="x")*(IF(Besatzung!$C$11:$C$22="",Besatzung!$B$5,Besatzung!$C$11:$C$22)&lt;=B191)*(IF(Besatzung!$D$11:$D$22="",Besatzung!$B$6,Besatzung!$D$11:$D$22)&gt;=B191)),1))),IF(I191="Individuell",((U191="x")*((G191-IFERROR(H191,0))/IFERROR(COUNTIF(J191:U191,"x"),1)+(Besatzung!$F$22="x")*IFERROR(H191,0)/IFERROR(SUMPRODUCT((J191:U191="x")*(Besatzung!$F$11:$F$22="x")),1))),(IF(COUNTIF(J191:U191,"x")=0,IF(Besatzung!$B$22&lt;&gt;"",1,0),(U191="x"))*(G191-IFERROR(H191,0))/IFERROR(IF(COUNTIF(J191:U191,"x")=0,COUNTA(Besatzung!$B$11:$B$22),COUNTIF(J191:U191,"x")),1)+IF(COUNTIF(J191:U191,"x")=0,(Besatzung!$F$22="x"),(U191="x")*(Besatzung!$F$22="x"))*IFERROR(H191,0)/IFERROR(IF(COUNTIF(J191:U191,"x")=0,SUMPRODUCT((Besatzung!$B$11:$B$22&lt;&gt;"")*(Besatzung!$F$11:$F$22="x")),SUMPRODUCT((J191:U191="x")*(Besatzung!$F$11:$F$22="x"))),1))))),0))))</f>
        <v/>
      </c>
      <c r="AH191" s="248" t="n"/>
      <c r="AI191" s="248" t="n"/>
    </row>
    <row r="192" ht="21.75" customHeight="1" s="154">
      <c r="A192" s="238">
        <f>IF(AND(D192="",C192=""),"",189)</f>
        <v/>
      </c>
      <c r="B192" s="199" t="n"/>
      <c r="C192" s="239" t="n"/>
      <c r="D192" s="240" t="n"/>
      <c r="E192" s="241" t="n"/>
      <c r="F192" s="242" t="n"/>
      <c r="G192" s="243" t="n"/>
      <c r="H192" s="244" t="n"/>
      <c r="I192" s="245" t="n"/>
      <c r="J192" s="246" t="n"/>
      <c r="K192" s="246" t="n"/>
      <c r="L192" s="246" t="n"/>
      <c r="M192" s="246" t="n"/>
      <c r="N192" s="246" t="n"/>
      <c r="O192" s="246" t="n"/>
      <c r="P192" s="246" t="n"/>
      <c r="Q192" s="246" t="n"/>
      <c r="R192" s="246" t="n"/>
      <c r="S192" s="246" t="n"/>
      <c r="T192" s="246" t="n"/>
      <c r="U192" s="246" t="n"/>
      <c r="V192" s="247">
        <f>IF(C192="Gutschrift","",IF(G192="","",IF(Besatzung!$B$11="","",IFERROR(IF(I192="Zeitanteilig",(Besatzung!$G$11*(G192-IFERROR(H192,0))+((Besatzung!$B$11&lt;&gt;"")*IF(B192="",1,(IF(Besatzung!$C$11="",Besatzung!$B$5,Besatzung!$C$11)&lt;=B192)*(IF(Besatzung!$D$11="",Besatzung!$B$6,Besatzung!$D$11)&gt;=B192)))*(Besatzung!$F$11="x")*IFERROR(H192,0)/IFERROR(SUMPRODUCT((Besatzung!$B$11:$B$22&lt;&gt;"")*(Besatzung!$F$11:$F$22="x")*(IF(Besatzung!$C$11:$C$22="",Besatzung!$B$5,Besatzung!$C$11:$C$22)&lt;=B192)*(IF(Besatzung!$D$11:$D$22="",Besatzung!$B$6,Besatzung!$D$11:$D$22)&gt;=B192)),1)),IF(I192="An Bord",(((Besatzung!$B$11&lt;&gt;"")*IF(B192="",1,(IF(Besatzung!$C$11="",Besatzung!$B$5,Besatzung!$C$11)&lt;=B192)*(IF(Besatzung!$D$11="",Besatzung!$B$6,Besatzung!$D$11)&gt;=B192)))*((G192-IFERROR(H192,0))/IFERROR(SUMPRODUCT((Besatzung!$B$11:$B$22&lt;&gt;"")*(IF(Besatzung!$C$11:$C$22="",Besatzung!$B$5,Besatzung!$C$11:$C$22)&lt;=B192)*(IF(Besatzung!$D$11:$D$22="",Besatzung!$B$6,Besatzung!$D$11:$D$22)&gt;=B192)),1)+(Besatzung!$F$11="x")*IFERROR(H192,0)/IFERROR(SUMPRODUCT((Besatzung!$B$11:$B$22&lt;&gt;"")*(Besatzung!$F$11:$F$22="x")*(IF(Besatzung!$C$11:$C$22="",Besatzung!$B$5,Besatzung!$C$11:$C$22)&lt;=B192)*(IF(Besatzung!$D$11:$D$22="",Besatzung!$B$6,Besatzung!$D$11:$D$22)&gt;=B192)),1))),IF(I192="Individuell",((J192="x")*((G192-IFERROR(H192,0))/IFERROR(COUNTIF(J192:U192,"x"),1)+(Besatzung!$F$11="x")*IFERROR(H192,0)/IFERROR(SUMPRODUCT((J192:U192="x")*(Besatzung!$F$11:$F$22="x")),1))),(IF(COUNTIF(J192:U192,"x")=0,IF(Besatzung!$B$11&lt;&gt;"",1,0),(J192="x"))*(G192-IFERROR(H192,0))/IFERROR(IF(COUNTIF(J192:U192,"x")=0,COUNTA(Besatzung!$B$11:$B$22),COUNTIF(J192:U192,"x")),1)+IF(COUNTIF(J192:U192,"x")=0,(Besatzung!$F$11="x"),(J192="x")*(Besatzung!$F$11="x"))*IFERROR(H192,0)/IFERROR(IF(COUNTIF(J192:U192,"x")=0,SUMPRODUCT((Besatzung!$B$11:$B$22&lt;&gt;"")*(Besatzung!$F$11:$F$22="x")),SUMPRODUCT((J192:U192="x")*(Besatzung!$F$11:$F$22="x"))),1))))),0))))</f>
        <v/>
      </c>
      <c r="W192" s="247">
        <f>IF(C192="Gutschrift","",IF(G192="","",IF(Besatzung!$B$12="","",IFERROR(IF(I192="Zeitanteilig",(Besatzung!$G$12*(G192-IFERROR(H192,0))+((Besatzung!$B$12&lt;&gt;"")*IF(B192="",1,(IF(Besatzung!$C$12="",Besatzung!$B$5,Besatzung!$C$12)&lt;=B192)*(IF(Besatzung!$D$12="",Besatzung!$B$6,Besatzung!$D$12)&gt;=B192)))*(Besatzung!$F$12="x")*IFERROR(H192,0)/IFERROR(SUMPRODUCT((Besatzung!$B$11:$B$22&lt;&gt;"")*(Besatzung!$F$11:$F$22="x")*(IF(Besatzung!$C$11:$C$22="",Besatzung!$B$5,Besatzung!$C$11:$C$22)&lt;=B192)*(IF(Besatzung!$D$11:$D$22="",Besatzung!$B$6,Besatzung!$D$11:$D$22)&gt;=B192)),1)),IF(I192="An Bord",(((Besatzung!$B$12&lt;&gt;"")*IF(B192="",1,(IF(Besatzung!$C$12="",Besatzung!$B$5,Besatzung!$C$12)&lt;=B192)*(IF(Besatzung!$D$12="",Besatzung!$B$6,Besatzung!$D$12)&gt;=B192)))*((G192-IFERROR(H192,0))/IFERROR(SUMPRODUCT((Besatzung!$B$11:$B$22&lt;&gt;"")*(IF(Besatzung!$C$11:$C$22="",Besatzung!$B$5,Besatzung!$C$11:$C$22)&lt;=B192)*(IF(Besatzung!$D$11:$D$22="",Besatzung!$B$6,Besatzung!$D$11:$D$22)&gt;=B192)),1)+(Besatzung!$F$12="x")*IFERROR(H192,0)/IFERROR(SUMPRODUCT((Besatzung!$B$11:$B$22&lt;&gt;"")*(Besatzung!$F$11:$F$22="x")*(IF(Besatzung!$C$11:$C$22="",Besatzung!$B$5,Besatzung!$C$11:$C$22)&lt;=B192)*(IF(Besatzung!$D$11:$D$22="",Besatzung!$B$6,Besatzung!$D$11:$D$22)&gt;=B192)),1))),IF(I192="Individuell",((K192="x")*((G192-IFERROR(H192,0))/IFERROR(COUNTIF(J192:U192,"x"),1)+(Besatzung!$F$12="x")*IFERROR(H192,0)/IFERROR(SUMPRODUCT((J192:U192="x")*(Besatzung!$F$11:$F$22="x")),1))),(IF(COUNTIF(J192:U192,"x")=0,IF(Besatzung!$B$12&lt;&gt;"",1,0),(K192="x"))*(G192-IFERROR(H192,0))/IFERROR(IF(COUNTIF(J192:U192,"x")=0,COUNTA(Besatzung!$B$11:$B$22),COUNTIF(J192:U192,"x")),1)+IF(COUNTIF(J192:U192,"x")=0,(Besatzung!$F$12="x"),(K192="x")*(Besatzung!$F$12="x"))*IFERROR(H192,0)/IFERROR(IF(COUNTIF(J192:U192,"x")=0,SUMPRODUCT((Besatzung!$B$11:$B$22&lt;&gt;"")*(Besatzung!$F$11:$F$22="x")),SUMPRODUCT((J192:U192="x")*(Besatzung!$F$11:$F$22="x"))),1))))),0))))</f>
        <v/>
      </c>
      <c r="X192" s="247">
        <f>IF(C192="Gutschrift","",IF(G192="","",IF(Besatzung!$B$13="","",IFERROR(IF(I192="Zeitanteilig",(Besatzung!$G$13*(G192-IFERROR(H192,0))+((Besatzung!$B$13&lt;&gt;"")*IF(B192="",1,(IF(Besatzung!$C$13="",Besatzung!$B$5,Besatzung!$C$13)&lt;=B192)*(IF(Besatzung!$D$13="",Besatzung!$B$6,Besatzung!$D$13)&gt;=B192)))*(Besatzung!$F$13="x")*IFERROR(H192,0)/IFERROR(SUMPRODUCT((Besatzung!$B$11:$B$22&lt;&gt;"")*(Besatzung!$F$11:$F$22="x")*(IF(Besatzung!$C$11:$C$22="",Besatzung!$B$5,Besatzung!$C$11:$C$22)&lt;=B192)*(IF(Besatzung!$D$11:$D$22="",Besatzung!$B$6,Besatzung!$D$11:$D$22)&gt;=B192)),1)),IF(I192="An Bord",(((Besatzung!$B$13&lt;&gt;"")*IF(B192="",1,(IF(Besatzung!$C$13="",Besatzung!$B$5,Besatzung!$C$13)&lt;=B192)*(IF(Besatzung!$D$13="",Besatzung!$B$6,Besatzung!$D$13)&gt;=B192)))*((G192-IFERROR(H192,0))/IFERROR(SUMPRODUCT((Besatzung!$B$11:$B$22&lt;&gt;"")*(IF(Besatzung!$C$11:$C$22="",Besatzung!$B$5,Besatzung!$C$11:$C$22)&lt;=B192)*(IF(Besatzung!$D$11:$D$22="",Besatzung!$B$6,Besatzung!$D$11:$D$22)&gt;=B192)),1)+(Besatzung!$F$13="x")*IFERROR(H192,0)/IFERROR(SUMPRODUCT((Besatzung!$B$11:$B$22&lt;&gt;"")*(Besatzung!$F$11:$F$22="x")*(IF(Besatzung!$C$11:$C$22="",Besatzung!$B$5,Besatzung!$C$11:$C$22)&lt;=B192)*(IF(Besatzung!$D$11:$D$22="",Besatzung!$B$6,Besatzung!$D$11:$D$22)&gt;=B192)),1))),IF(I192="Individuell",((K192="x")*((G192-IFERROR(H192,0))/IFERROR(COUNTIF(J192:U192,"x"),1)+(Besatzung!$F$13="x")*IFERROR(H192,0)/IFERROR(SUMPRODUCT((J192:U192="x")*(Besatzung!$F$11:$F$22="x")),1))),(IF(COUNTIF(J192:U192,"x")=0,IF(Besatzung!$B$13&lt;&gt;"",1,0),(K192="x"))*(G192-IFERROR(H192,0))/IFERROR(IF(COUNTIF(J192:U192,"x")=0,COUNTA(Besatzung!$B$11:$B$22),COUNTIF(J192:U192,"x")),1)+IF(COUNTIF(J192:U192,"x")=0,(Besatzung!$F$13="x"),(K192="x")*(Besatzung!$F$13="x"))*IFERROR(H192,0)/IFERROR(IF(COUNTIF(J192:U192,"x")=0,SUMPRODUCT((Besatzung!$B$11:$B$22&lt;&gt;"")*(Besatzung!$F$11:$F$22="x")),SUMPRODUCT((J192:U192="x")*(Besatzung!$F$11:$F$22="x"))),1))))),0))))</f>
        <v/>
      </c>
      <c r="Y192" s="247">
        <f>IF(C192="Gutschrift","",IF(G192="","",IF(Besatzung!$B$14="","",IFERROR(IF(I192="Zeitanteilig",(Besatzung!$G$14*(G192-IFERROR(H192,0))+((Besatzung!$B$14&lt;&gt;"")*IF(B192="",1,(IF(Besatzung!$C$14="",Besatzung!$B$5,Besatzung!$C$14)&lt;=B192)*(IF(Besatzung!$D$14="",Besatzung!$B$6,Besatzung!$D$14)&gt;=B192)))*(Besatzung!$F$14="x")*IFERROR(H192,0)/IFERROR(SUMPRODUCT((Besatzung!$B$11:$B$22&lt;&gt;"")*(Besatzung!$F$11:$F$22="x")*(IF(Besatzung!$C$11:$C$22="",Besatzung!$B$5,Besatzung!$C$11:$C$22)&lt;=B192)*(IF(Besatzung!$D$11:$D$22="",Besatzung!$B$6,Besatzung!$D$11:$D$22)&gt;=B192)),1)),IF(I192="An Bord",(((Besatzung!$B$14&lt;&gt;"")*IF(B192="",1,(IF(Besatzung!$C$14="",Besatzung!$B$5,Besatzung!$C$14)&lt;=B192)*(IF(Besatzung!$D$14="",Besatzung!$B$6,Besatzung!$D$14)&gt;=B192)))*((G192-IFERROR(H192,0))/IFERROR(SUMPRODUCT((Besatzung!$B$11:$B$22&lt;&gt;"")*(IF(Besatzung!$C$11:$C$22="",Besatzung!$B$5,Besatzung!$C$11:$C$22)&lt;=B192)*(IF(Besatzung!$D$11:$D$22="",Besatzung!$B$6,Besatzung!$D$11:$D$22)&gt;=B192)),1)+(Besatzung!$F$14="x")*IFERROR(H192,0)/IFERROR(SUMPRODUCT((Besatzung!$B$11:$B$22&lt;&gt;"")*(Besatzung!$F$11:$F$22="x")*(IF(Besatzung!$C$11:$C$22="",Besatzung!$B$5,Besatzung!$C$11:$C$22)&lt;=B192)*(IF(Besatzung!$D$11:$D$22="",Besatzung!$B$6,Besatzung!$D$11:$D$22)&gt;=B192)),1))),IF(I192="Individuell",((M192="x")*((G192-IFERROR(H192,0))/IFERROR(COUNTIF(J192:U192,"x"),1)+(Besatzung!$F$14="x")*IFERROR(H192,0)/IFERROR(SUMPRODUCT((J192:U192="x")*(Besatzung!$F$11:$F$22="x")),1))),(IF(COUNTIF(J192:U192,"x")=0,IF(Besatzung!$B$14&lt;&gt;"",1,0),(M192="x"))*(G192-IFERROR(H192,0))/IFERROR(IF(COUNTIF(J192:U192,"x")=0,COUNTA(Besatzung!$B$11:$B$22),COUNTIF(J192:U192,"x")),1)+IF(COUNTIF(J192:U192,"x")=0,(Besatzung!$F$14="x"),(M192="x")*(Besatzung!$F$14="x"))*IFERROR(H192,0)/IFERROR(IF(COUNTIF(J192:U192,"x")=0,SUMPRODUCT((Besatzung!$B$11:$B$22&lt;&gt;"")*(Besatzung!$F$11:$F$22="x")),SUMPRODUCT((J192:U192="x")*(Besatzung!$F$11:$F$22="x"))),1))))),0))))</f>
        <v/>
      </c>
      <c r="Z192" s="247">
        <f>IF(C192="Gutschrift","",IF(G192="","",IF(Besatzung!$B$13="","",IFERROR(IF(I192="Zeitanteilig",(Besatzung!$G$15*(G192-IFERROR(H192,0))+((Besatzung!$B$13&lt;&gt;"")*IF(B192="",1,(IF(Besatzung!$C$15="",Besatzung!$B$5,Besatzung!$C$15)&lt;=B192)*(IF(Besatzung!$D$15="",Besatzung!$B$6,Besatzung!$D$15)&gt;=B192)))*(Besatzung!$F$15="x")*IFERROR(H192,0)/IFERROR(SUMPRODUCT((Besatzung!$B$11:$B$22&lt;&gt;"")*(Besatzung!$F$11:$F$22="x")*(IF(Besatzung!$C$11:$C$22="",Besatzung!$B$5,Besatzung!$C$11:$C$22)&lt;=B192)*(IF(Besatzung!$D$11:$D$22="",Besatzung!$B$6,Besatzung!$D$11:$D$22)&gt;=B192)),1)),IF(I192="An Bord",(((Besatzung!$B$13&lt;&gt;"")*IF(B192="",1,(IF(Besatzung!$C$15="",Besatzung!$B$5,Besatzung!$C$15)&lt;=B192)*(IF(Besatzung!$D$15="",Besatzung!$B$6,Besatzung!$D$15)&gt;=B192)))*((G192-IFERROR(H192,0))/IFERROR(SUMPRODUCT((Besatzung!$B$11:$B$22&lt;&gt;"")*(IF(Besatzung!$C$11:$C$22="",Besatzung!$B$5,Besatzung!$C$11:$C$22)&lt;=B192)*(IF(Besatzung!$D$11:$D$22="",Besatzung!$B$6,Besatzung!$D$11:$D$22)&gt;=B192)),1)+(Besatzung!$F$15="x")*IFERROR(H192,0)/IFERROR(SUMPRODUCT((Besatzung!$B$11:$B$22&lt;&gt;"")*(Besatzung!$F$11:$F$22="x")*(IF(Besatzung!$C$11:$C$22="",Besatzung!$B$5,Besatzung!$C$11:$C$22)&lt;=B192)*(IF(Besatzung!$D$11:$D$22="",Besatzung!$B$6,Besatzung!$D$11:$D$22)&gt;=B192)),1))),IF(I192="Individuell",((N192="x")*((G192-IFERROR(H192,0))/IFERROR(COUNTIF(J192:U192,"x"),1)+(Besatzung!$F$15="x")*IFERROR(H192,0)/IFERROR(SUMPRODUCT((J192:U192="x")*(Besatzung!$F$11:$F$22="x")),1))),(IF(COUNTIF(J192:U192,"x")=0,IF(Besatzung!$B$13&lt;&gt;"",1,0),(N192="x"))*(G192-IFERROR(H192,0))/IFERROR(IF(COUNTIF(J192:U192,"x")=0,COUNTA(Besatzung!$B$11:$B$22),COUNTIF(J192:U192,"x")),1)+IF(COUNTIF(J192:U192,"x")=0,(Besatzung!$F$15="x"),(N192="x")*(Besatzung!$F$15="x"))*IFERROR(H192,0)/IFERROR(IF(COUNTIF(J192:U192,"x")=0,SUMPRODUCT((Besatzung!$B$11:$B$22&lt;&gt;"")*(Besatzung!$F$11:$F$22="x")),SUMPRODUCT((J192:U192="x")*(Besatzung!$F$11:$F$22="x"))),1))))),0))))</f>
        <v/>
      </c>
      <c r="AA192" s="247">
        <f>IF(C192="Gutschrift","",IF(G192="","",IF(Besatzung!$B$15="","",IFERROR(IF(I192="Zeitanteilig",(Besatzung!$G$16*(G192-IFERROR(H192,0))+((Besatzung!$B$15&lt;&gt;"")*IF(B192="",1,(IF(Besatzung!$C$16="",Besatzung!$B$5,Besatzung!$C$16)&lt;=B192)*(IF(Besatzung!$D$16="",Besatzung!$B$6,Besatzung!$D$16)&gt;=B192)))*(Besatzung!$F$16="x")*IFERROR(H192,0)/IFERROR(SUMPRODUCT((Besatzung!$B$11:$B$22&lt;&gt;"")*(Besatzung!$F$11:$F$22="x")*(IF(Besatzung!$C$11:$C$22="",Besatzung!$B$5,Besatzung!$C$11:$C$22)&lt;=B192)*(IF(Besatzung!$D$11:$D$22="",Besatzung!$B$6,Besatzung!$D$11:$D$22)&gt;=B192)),1)),IF(I192="An Bord",(((Besatzung!$B$15&lt;&gt;"")*IF(B192="",1,(IF(Besatzung!$C$16="",Besatzung!$B$5,Besatzung!$C$16)&lt;=B192)*(IF(Besatzung!$D$16="",Besatzung!$B$6,Besatzung!$D$16)&gt;=B192)))*((G192-IFERROR(H192,0))/IFERROR(SUMPRODUCT((Besatzung!$B$11:$B$22&lt;&gt;"")*(IF(Besatzung!$C$11:$C$22="",Besatzung!$B$5,Besatzung!$C$11:$C$22)&lt;=B192)*(IF(Besatzung!$D$11:$D$22="",Besatzung!$B$6,Besatzung!$D$11:$D$22)&gt;=B192)),1)+(Besatzung!$F$16="x")*IFERROR(H192,0)/IFERROR(SUMPRODUCT((Besatzung!$B$11:$B$22&lt;&gt;"")*(Besatzung!$F$11:$F$22="x")*(IF(Besatzung!$C$11:$C$22="",Besatzung!$B$5,Besatzung!$C$11:$C$22)&lt;=B192)*(IF(Besatzung!$D$11:$D$22="",Besatzung!$B$6,Besatzung!$D$11:$D$22)&gt;=B192)),1))),IF(I192="Individuell",((O192="x")*((G192-IFERROR(H192,0))/IFERROR(COUNTIF(J192:U192,"x"),1)+(Besatzung!$F$16="x")*IFERROR(H192,0)/IFERROR(SUMPRODUCT((J192:U192="x")*(Besatzung!$F$11:$F$22="x")),1))),(IF(COUNTIF(J192:U192,"x")=0,IF(Besatzung!$B$15&lt;&gt;"",1,0),(O192="x"))*(G192-IFERROR(H192,0))/IFERROR(IF(COUNTIF(J192:U192,"x")=0,COUNTA(Besatzung!$B$11:$B$22),COUNTIF(J192:U192,"x")),1)+IF(COUNTIF(J192:U192,"x")=0,(Besatzung!$F$16="x"),(O192="x")*(Besatzung!$F$16="x"))*IFERROR(H192,0)/IFERROR(IF(COUNTIF(J192:U192,"x")=0,SUMPRODUCT((Besatzung!$B$11:$B$22&lt;&gt;"")*(Besatzung!$F$11:$F$22="x")),SUMPRODUCT((J192:U192="x")*(Besatzung!$F$11:$F$22="x"))),1))))),0))))</f>
        <v/>
      </c>
      <c r="AB192" s="247">
        <f>IF(C192="Gutschrift","",IF(G192="","",IF(Besatzung!$B$17="","",IFERROR(IF(I192="Zeitanteilig",(Besatzung!$G$17*(G192-IFERROR(H192,0))+((Besatzung!$B$17&lt;&gt;"")*IF(B192="",1,(IF(Besatzung!$C$17="",Besatzung!$B$5,Besatzung!$C$17)&lt;=B192)*(IF(Besatzung!$D$17="",Besatzung!$B$6,Besatzung!$D$17)&gt;=B192)))*(Besatzung!$F$17="x")*IFERROR(H192,0)/IFERROR(SUMPRODUCT((Besatzung!$B$11:$B$22&lt;&gt;"")*(Besatzung!$F$11:$F$22="x")*(IF(Besatzung!$C$11:$C$22="",Besatzung!$B$5,Besatzung!$C$11:$C$22)&lt;=B192)*(IF(Besatzung!$D$11:$D$22="",Besatzung!$B$6,Besatzung!$D$11:$D$22)&gt;=B192)),1)),IF(I192="An Bord",(((Besatzung!$B$17&lt;&gt;"")*IF(B192="",1,(IF(Besatzung!$C$17="",Besatzung!$B$5,Besatzung!$C$17)&lt;=B192)*(IF(Besatzung!$D$17="",Besatzung!$B$6,Besatzung!$D$17)&gt;=B192)))*((G192-IFERROR(H192,0))/IFERROR(SUMPRODUCT((Besatzung!$B$11:$B$22&lt;&gt;"")*(IF(Besatzung!$C$11:$C$22="",Besatzung!$B$5,Besatzung!$C$11:$C$22)&lt;=B192)*(IF(Besatzung!$D$11:$D$22="",Besatzung!$B$6,Besatzung!$D$11:$D$22)&gt;=B192)),1)+(Besatzung!$F$17="x")*IFERROR(H192,0)/IFERROR(SUMPRODUCT((Besatzung!$B$11:$B$22&lt;&gt;"")*(Besatzung!$F$11:$F$22="x")*(IF(Besatzung!$C$11:$C$22="",Besatzung!$B$5,Besatzung!$C$11:$C$22)&lt;=B192)*(IF(Besatzung!$D$11:$D$22="",Besatzung!$B$6,Besatzung!$D$11:$D$22)&gt;=B192)),1))),IF(I192="Individuell",((P192="x")*((G192-IFERROR(H192,0))/IFERROR(COUNTIF(J192:U192,"x"),1)+(Besatzung!$F$17="x")*IFERROR(H192,0)/IFERROR(SUMPRODUCT((J192:U192="x")*(Besatzung!$F$11:$F$22="x")),1))),(IF(COUNTIF(J192:U192,"x")=0,IF(Besatzung!$B$17&lt;&gt;"",1,0),(P192="x"))*(G192-IFERROR(H192,0))/IFERROR(IF(COUNTIF(J192:U192,"x")=0,COUNTA(Besatzung!$B$11:$B$22),COUNTIF(J192:U192,"x")),1)+IF(COUNTIF(J192:U192,"x")=0,(Besatzung!$F$17="x"),(P192="x")*(Besatzung!$F$17="x"))*IFERROR(H192,0)/IFERROR(IF(COUNTIF(J192:U192,"x")=0,SUMPRODUCT((Besatzung!$B$11:$B$22&lt;&gt;"")*(Besatzung!$F$11:$F$22="x")),SUMPRODUCT((J192:U192="x")*(Besatzung!$F$11:$F$22="x"))),1))))),0))))</f>
        <v/>
      </c>
      <c r="AC192" s="247">
        <f>IF(C192="Gutschrift","",IF(G192="","",IF(Besatzung!$B$18="","",IFERROR(IF(I192="Zeitanteilig",(Besatzung!$G$18*(G192-IFERROR(H192,0))+((Besatzung!$B$18&lt;&gt;"")*IF(B192="",1,(IF(Besatzung!$C$18="",Besatzung!$B$5,Besatzung!$C$18)&lt;=B192)*(IF(Besatzung!$D$18="",Besatzung!$B$6,Besatzung!$D$18)&gt;=B192)))*(Besatzung!$F$18="x")*IFERROR(H192,0)/IFERROR(SUMPRODUCT((Besatzung!$B$11:$B$22&lt;&gt;"")*(Besatzung!$F$11:$F$22="x")*(IF(Besatzung!$C$11:$C$22="",Besatzung!$B$5,Besatzung!$C$11:$C$22)&lt;=B192)*(IF(Besatzung!$D$11:$D$22="",Besatzung!$B$6,Besatzung!$D$11:$D$22)&gt;=B192)),1)),IF(I192="An Bord",(((Besatzung!$B$18&lt;&gt;"")*IF(B192="",1,(IF(Besatzung!$C$18="",Besatzung!$B$5,Besatzung!$C$18)&lt;=B192)*(IF(Besatzung!$D$18="",Besatzung!$B$6,Besatzung!$D$18)&gt;=B192)))*((G192-IFERROR(H192,0))/IFERROR(SUMPRODUCT((Besatzung!$B$11:$B$22&lt;&gt;"")*(IF(Besatzung!$C$11:$C$22="",Besatzung!$B$5,Besatzung!$C$11:$C$22)&lt;=B192)*(IF(Besatzung!$D$11:$D$22="",Besatzung!$B$6,Besatzung!$D$11:$D$22)&gt;=B192)),1)+(Besatzung!$F$18="x")*IFERROR(H192,0)/IFERROR(SUMPRODUCT((Besatzung!$B$11:$B$22&lt;&gt;"")*(Besatzung!$F$11:$F$22="x")*(IF(Besatzung!$C$11:$C$22="",Besatzung!$B$5,Besatzung!$C$11:$C$22)&lt;=B192)*(IF(Besatzung!$D$11:$D$22="",Besatzung!$B$6,Besatzung!$D$11:$D$22)&gt;=B192)),1))),IF(I192="Individuell",((Q192="x")*((G192-IFERROR(H192,0))/IFERROR(COUNTIF(J192:U192,"x"),1)+(Besatzung!$F$18="x")*IFERROR(H192,0)/IFERROR(SUMPRODUCT((J192:U192="x")*(Besatzung!$F$11:$F$22="x")),1))),(IF(COUNTIF(J192:U192,"x")=0,IF(Besatzung!$B$18&lt;&gt;"",1,0),(Q192="x"))*(G192-IFERROR(H192,0))/IFERROR(IF(COUNTIF(J192:U192,"x")=0,COUNTA(Besatzung!$B$11:$B$22),COUNTIF(J192:U192,"x")),1)+IF(COUNTIF(J192:U192,"x")=0,(Besatzung!$F$18="x"),(Q192="x")*(Besatzung!$F$18="x"))*IFERROR(H192,0)/IFERROR(IF(COUNTIF(J192:U192,"x")=0,SUMPRODUCT((Besatzung!$B$11:$B$22&lt;&gt;"")*(Besatzung!$F$11:$F$22="x")),SUMPRODUCT((J192:U192="x")*(Besatzung!$F$11:$F$22="x"))),1))))),0))))</f>
        <v/>
      </c>
      <c r="AD192" s="247">
        <f>IF(C192="Gutschrift","",IF(G192="","",IF(Besatzung!$B$19="","",IFERROR(IF(I192="Zeitanteilig",(Besatzung!$G$19*(G192-IFERROR(H192,0))+((Besatzung!$B$19&lt;&gt;"")*IF(B192="",1,(IF(Besatzung!$C$19="",Besatzung!$B$5,Besatzung!$C$19)&lt;=B192)*(IF(Besatzung!$D$19="",Besatzung!$B$6,Besatzung!$D$19)&gt;=B192)))*(Besatzung!$F$19="x")*IFERROR(H192,0)/IFERROR(SUMPRODUCT((Besatzung!$B$11:$B$22&lt;&gt;"")*(Besatzung!$F$11:$F$22="x")*(IF(Besatzung!$C$11:$C$22="",Besatzung!$B$5,Besatzung!$C$11:$C$22)&lt;=B192)*(IF(Besatzung!$D$11:$D$22="",Besatzung!$B$6,Besatzung!$D$11:$D$22)&gt;=B192)),1)),IF(I192="An Bord",(((Besatzung!$B$19&lt;&gt;"")*IF(B192="",1,(IF(Besatzung!$C$19="",Besatzung!$B$5,Besatzung!$C$19)&lt;=B192)*(IF(Besatzung!$D$19="",Besatzung!$B$6,Besatzung!$D$19)&gt;=B192)))*((G192-IFERROR(H192,0))/IFERROR(SUMPRODUCT((Besatzung!$B$11:$B$22&lt;&gt;"")*(IF(Besatzung!$C$11:$C$22="",Besatzung!$B$5,Besatzung!$C$11:$C$22)&lt;=B192)*(IF(Besatzung!$D$11:$D$22="",Besatzung!$B$6,Besatzung!$D$11:$D$22)&gt;=B192)),1)+(Besatzung!$F$19="x")*IFERROR(H192,0)/IFERROR(SUMPRODUCT((Besatzung!$B$11:$B$22&lt;&gt;"")*(Besatzung!$F$11:$F$22="x")*(IF(Besatzung!$C$11:$C$22="",Besatzung!$B$5,Besatzung!$C$11:$C$22)&lt;=B192)*(IF(Besatzung!$D$11:$D$22="",Besatzung!$B$6,Besatzung!$D$11:$D$22)&gt;=B192)),1))),IF(I192="Individuell",((R192="x")*((G192-IFERROR(H192,0))/IFERROR(COUNTIF(J192:U192,"x"),1)+(Besatzung!$F$19="x")*IFERROR(H192,0)/IFERROR(SUMPRODUCT((J192:U192="x")*(Besatzung!$F$11:$F$22="x")),1))),(IF(COUNTIF(J192:U192,"x")=0,IF(Besatzung!$B$19&lt;&gt;"",1,0),(R192="x"))*(G192-IFERROR(H192,0))/IFERROR(IF(COUNTIF(J192:U192,"x")=0,COUNTA(Besatzung!$B$11:$B$22),COUNTIF(J192:U192,"x")),1)+IF(COUNTIF(J192:U192,"x")=0,(Besatzung!$F$19="x"),(R192="x")*(Besatzung!$F$19="x"))*IFERROR(H192,0)/IFERROR(IF(COUNTIF(J192:U192,"x")=0,SUMPRODUCT((Besatzung!$B$11:$B$22&lt;&gt;"")*(Besatzung!$F$11:$F$22="x")),SUMPRODUCT((J192:U192="x")*(Besatzung!$F$11:$F$22="x"))),1))))),0))))</f>
        <v/>
      </c>
      <c r="AE192" s="247">
        <f>IF(C192="Gutschrift","",IF(G192="","",IF(Besatzung!$B$20="","",IFERROR(IF(I192="Zeitanteilig",(Besatzung!$G$20*(G192-IFERROR(H192,0))+((Besatzung!$B$20&lt;&gt;"")*IF(B192="",1,(IF(Besatzung!$C$20="",Besatzung!$B$5,Besatzung!$C$20)&lt;=B192)*(IF(Besatzung!$D$20="",Besatzung!$B$6,Besatzung!$D$20)&gt;=B192)))*(Besatzung!$F$20="x")*IFERROR(H192,0)/IFERROR(SUMPRODUCT((Besatzung!$B$11:$B$22&lt;&gt;"")*(Besatzung!$F$11:$F$22="x")*(IF(Besatzung!$C$11:$C$22="",Besatzung!$B$5,Besatzung!$C$11:$C$22)&lt;=B192)*(IF(Besatzung!$D$11:$D$22="",Besatzung!$B$6,Besatzung!$D$11:$D$22)&gt;=B192)),1)),IF(I192="An Bord",(((Besatzung!$B$20&lt;&gt;"")*IF(B192="",1,(IF(Besatzung!$C$20="",Besatzung!$B$5,Besatzung!$C$20)&lt;=B192)*(IF(Besatzung!$D$20="",Besatzung!$B$6,Besatzung!$D$20)&gt;=B192)))*((G192-IFERROR(H192,0))/IFERROR(SUMPRODUCT((Besatzung!$B$11:$B$22&lt;&gt;"")*(IF(Besatzung!$C$11:$C$22="",Besatzung!$B$5,Besatzung!$C$11:$C$22)&lt;=B192)*(IF(Besatzung!$D$11:$D$22="",Besatzung!$B$6,Besatzung!$D$11:$D$22)&gt;=B192)),1)+(Besatzung!$F$20="x")*IFERROR(H192,0)/IFERROR(SUMPRODUCT((Besatzung!$B$11:$B$22&lt;&gt;"")*(Besatzung!$F$11:$F$22="x")*(IF(Besatzung!$C$11:$C$22="",Besatzung!$B$5,Besatzung!$C$11:$C$22)&lt;=B192)*(IF(Besatzung!$D$11:$D$22="",Besatzung!$B$6,Besatzung!$D$11:$D$22)&gt;=B192)),1))),IF(I192="Individuell",((S192="x")*((G192-IFERROR(H192,0))/IFERROR(COUNTIF(J192:U192,"x"),1)+(Besatzung!$F$20="x")*IFERROR(H192,0)/IFERROR(SUMPRODUCT((J192:U192="x")*(Besatzung!$F$11:$F$22="x")),1))),(IF(COUNTIF(J192:U192,"x")=0,IF(Besatzung!$B$20&lt;&gt;"",1,0),(S192="x"))*(G192-IFERROR(H192,0))/IFERROR(IF(COUNTIF(J192:U192,"x")=0,COUNTA(Besatzung!$B$11:$B$22),COUNTIF(J192:U192,"x")),1)+IF(COUNTIF(J192:U192,"x")=0,(Besatzung!$F$20="x"),(S192="x")*(Besatzung!$F$20="x"))*IFERROR(H192,0)/IFERROR(IF(COUNTIF(J192:U192,"x")=0,SUMPRODUCT((Besatzung!$B$11:$B$22&lt;&gt;"")*(Besatzung!$F$11:$F$22="x")),SUMPRODUCT((J192:U192="x")*(Besatzung!$F$11:$F$22="x"))),1))))),0))))</f>
        <v/>
      </c>
      <c r="AF192" s="247">
        <f>IF(C192="Gutschrift","",IF(G192="","",IF(Besatzung!$B$21="","",IFERROR(IF(I192="Zeitanteilig",(Besatzung!$G$21*(G192-IFERROR(H192,0))+((Besatzung!$B$21&lt;&gt;"")*IF(B192="",1,(IF(Besatzung!$C$21="",Besatzung!$B$5,Besatzung!$C$21)&lt;=B192)*(IF(Besatzung!$D$21="",Besatzung!$B$6,Besatzung!$D$21)&gt;=B192)))*(Besatzung!$F$21="x")*IFERROR(H192,0)/IFERROR(SUMPRODUCT((Besatzung!$B$11:$B$22&lt;&gt;"")*(Besatzung!$F$11:$F$22="x")*(IF(Besatzung!$C$11:$C$22="",Besatzung!$B$5,Besatzung!$C$11:$C$22)&lt;=B192)*(IF(Besatzung!$D$11:$D$22="",Besatzung!$B$6,Besatzung!$D$11:$D$22)&gt;=B192)),1)),IF(I192="An Bord",(((Besatzung!$B$21&lt;&gt;"")*IF(B192="",1,(IF(Besatzung!$C$21="",Besatzung!$B$5,Besatzung!$C$21)&lt;=B192)*(IF(Besatzung!$D$21="",Besatzung!$B$6,Besatzung!$D$21)&gt;=B192)))*((G192-IFERROR(H192,0))/IFERROR(SUMPRODUCT((Besatzung!$B$11:$B$22&lt;&gt;"")*(IF(Besatzung!$C$11:$C$22="",Besatzung!$B$5,Besatzung!$C$11:$C$22)&lt;=B192)*(IF(Besatzung!$D$11:$D$22="",Besatzung!$B$6,Besatzung!$D$11:$D$22)&gt;=B192)),1)+(Besatzung!$F$21="x")*IFERROR(H192,0)/IFERROR(SUMPRODUCT((Besatzung!$B$11:$B$22&lt;&gt;"")*(Besatzung!$F$11:$F$22="x")*(IF(Besatzung!$C$11:$C$22="",Besatzung!$B$5,Besatzung!$C$11:$C$22)&lt;=B192)*(IF(Besatzung!$D$11:$D$22="",Besatzung!$B$6,Besatzung!$D$11:$D$22)&gt;=B192)),1))),IF(I192="Individuell",((T192="x")*((G192-IFERROR(H192,0))/IFERROR(COUNTIF(J192:U192,"x"),1)+(Besatzung!$F$21="x")*IFERROR(H192,0)/IFERROR(SUMPRODUCT((J192:U192="x")*(Besatzung!$F$11:$F$22="x")),1))),(IF(COUNTIF(J192:U192,"x")=0,IF(Besatzung!$B$21&lt;&gt;"",1,0),(T192="x"))*(G192-IFERROR(H192,0))/IFERROR(IF(COUNTIF(J192:U192,"x")=0,COUNTA(Besatzung!$B$11:$B$22),COUNTIF(J192:U192,"x")),1)+IF(COUNTIF(J192:U192,"x")=0,(Besatzung!$F$21="x"),(T192="x")*(Besatzung!$F$21="x"))*IFERROR(H192,0)/IFERROR(IF(COUNTIF(J192:U192,"x")=0,SUMPRODUCT((Besatzung!$B$11:$B$22&lt;&gt;"")*(Besatzung!$F$11:$F$22="x")),SUMPRODUCT((J192:U192="x")*(Besatzung!$F$11:$F$22="x"))),1))))),0))))</f>
        <v/>
      </c>
      <c r="AG192" s="247">
        <f>IF(C192="Gutschrift","",IF(G192="","",IF(Besatzung!$B$22="","",IFERROR(IF(I192="Zeitanteilig",(Besatzung!$G$22*(G192-IFERROR(H192,0))+((Besatzung!$B$22&lt;&gt;"")*IF(B192="",1,(IF(Besatzung!$C$22="",Besatzung!$B$5,Besatzung!$C$22)&lt;=B192)*(IF(Besatzung!$D$22="",Besatzung!$B$6,Besatzung!$D$22)&gt;=B192)))*(Besatzung!$F$22="x")*IFERROR(H192,0)/IFERROR(SUMPRODUCT((Besatzung!$B$11:$B$22&lt;&gt;"")*(Besatzung!$F$11:$F$22="x")*(IF(Besatzung!$C$11:$C$22="",Besatzung!$B$5,Besatzung!$C$11:$C$22)&lt;=B192)*(IF(Besatzung!$D$11:$D$22="",Besatzung!$B$6,Besatzung!$D$11:$D$22)&gt;=B192)),1)),IF(I192="An Bord",(((Besatzung!$B$22&lt;&gt;"")*IF(B192="",1,(IF(Besatzung!$C$22="",Besatzung!$B$5,Besatzung!$C$22)&lt;=B192)*(IF(Besatzung!$D$22="",Besatzung!$B$6,Besatzung!$D$22)&gt;=B192)))*((G192-IFERROR(H192,0))/IFERROR(SUMPRODUCT((Besatzung!$B$11:$B$22&lt;&gt;"")*(IF(Besatzung!$C$11:$C$22="",Besatzung!$B$5,Besatzung!$C$11:$C$22)&lt;=B192)*(IF(Besatzung!$D$11:$D$22="",Besatzung!$B$6,Besatzung!$D$11:$D$22)&gt;=B192)),1)+(Besatzung!$F$22="x")*IFERROR(H192,0)/IFERROR(SUMPRODUCT((Besatzung!$B$11:$B$22&lt;&gt;"")*(Besatzung!$F$11:$F$22="x")*(IF(Besatzung!$C$11:$C$22="",Besatzung!$B$5,Besatzung!$C$11:$C$22)&lt;=B192)*(IF(Besatzung!$D$11:$D$22="",Besatzung!$B$6,Besatzung!$D$11:$D$22)&gt;=B192)),1))),IF(I192="Individuell",((U192="x")*((G192-IFERROR(H192,0))/IFERROR(COUNTIF(J192:U192,"x"),1)+(Besatzung!$F$22="x")*IFERROR(H192,0)/IFERROR(SUMPRODUCT((J192:U192="x")*(Besatzung!$F$11:$F$22="x")),1))),(IF(COUNTIF(J192:U192,"x")=0,IF(Besatzung!$B$22&lt;&gt;"",1,0),(U192="x"))*(G192-IFERROR(H192,0))/IFERROR(IF(COUNTIF(J192:U192,"x")=0,COUNTA(Besatzung!$B$11:$B$22),COUNTIF(J192:U192,"x")),1)+IF(COUNTIF(J192:U192,"x")=0,(Besatzung!$F$22="x"),(U192="x")*(Besatzung!$F$22="x"))*IFERROR(H192,0)/IFERROR(IF(COUNTIF(J192:U192,"x")=0,SUMPRODUCT((Besatzung!$B$11:$B$22&lt;&gt;"")*(Besatzung!$F$11:$F$22="x")),SUMPRODUCT((J192:U192="x")*(Besatzung!$F$11:$F$22="x"))),1))))),0))))</f>
        <v/>
      </c>
      <c r="AH192" s="248" t="n"/>
      <c r="AI192" s="248" t="n"/>
    </row>
    <row r="193" ht="21.75" customHeight="1" s="154">
      <c r="A193" s="238">
        <f>IF(AND(D193="",C193=""),"",190)</f>
        <v/>
      </c>
      <c r="B193" s="206" t="n"/>
      <c r="C193" s="249" t="n"/>
      <c r="D193" s="250" t="n"/>
      <c r="E193" s="251" t="n"/>
      <c r="F193" s="252" t="n"/>
      <c r="G193" s="253" t="n"/>
      <c r="H193" s="254" t="n"/>
      <c r="I193" s="255" t="n"/>
      <c r="J193" s="256" t="n"/>
      <c r="K193" s="256" t="n"/>
      <c r="L193" s="256" t="n"/>
      <c r="M193" s="256" t="n"/>
      <c r="N193" s="256" t="n"/>
      <c r="O193" s="256" t="n"/>
      <c r="P193" s="256" t="n"/>
      <c r="Q193" s="256" t="n"/>
      <c r="R193" s="256" t="n"/>
      <c r="S193" s="256" t="n"/>
      <c r="T193" s="256" t="n"/>
      <c r="U193" s="256" t="n"/>
      <c r="V193" s="247">
        <f>IF(C193="Gutschrift","",IF(G193="","",IF(Besatzung!$B$11="","",IFERROR(IF(I193="Zeitanteilig",(Besatzung!$G$11*(G193-IFERROR(H193,0))+((Besatzung!$B$11&lt;&gt;"")*IF(B193="",1,(IF(Besatzung!$C$11="",Besatzung!$B$5,Besatzung!$C$11)&lt;=B193)*(IF(Besatzung!$D$11="",Besatzung!$B$6,Besatzung!$D$11)&gt;=B193)))*(Besatzung!$F$11="x")*IFERROR(H193,0)/IFERROR(SUMPRODUCT((Besatzung!$B$11:$B$22&lt;&gt;"")*(Besatzung!$F$11:$F$22="x")*(IF(Besatzung!$C$11:$C$22="",Besatzung!$B$5,Besatzung!$C$11:$C$22)&lt;=B193)*(IF(Besatzung!$D$11:$D$22="",Besatzung!$B$6,Besatzung!$D$11:$D$22)&gt;=B193)),1)),IF(I193="An Bord",(((Besatzung!$B$11&lt;&gt;"")*IF(B193="",1,(IF(Besatzung!$C$11="",Besatzung!$B$5,Besatzung!$C$11)&lt;=B193)*(IF(Besatzung!$D$11="",Besatzung!$B$6,Besatzung!$D$11)&gt;=B193)))*((G193-IFERROR(H193,0))/IFERROR(SUMPRODUCT((Besatzung!$B$11:$B$22&lt;&gt;"")*(IF(Besatzung!$C$11:$C$22="",Besatzung!$B$5,Besatzung!$C$11:$C$22)&lt;=B193)*(IF(Besatzung!$D$11:$D$22="",Besatzung!$B$6,Besatzung!$D$11:$D$22)&gt;=B193)),1)+(Besatzung!$F$11="x")*IFERROR(H193,0)/IFERROR(SUMPRODUCT((Besatzung!$B$11:$B$22&lt;&gt;"")*(Besatzung!$F$11:$F$22="x")*(IF(Besatzung!$C$11:$C$22="",Besatzung!$B$5,Besatzung!$C$11:$C$22)&lt;=B193)*(IF(Besatzung!$D$11:$D$22="",Besatzung!$B$6,Besatzung!$D$11:$D$22)&gt;=B193)),1))),IF(I193="Individuell",((J193="x")*((G193-IFERROR(H193,0))/IFERROR(COUNTIF(J193:U193,"x"),1)+(Besatzung!$F$11="x")*IFERROR(H193,0)/IFERROR(SUMPRODUCT((J193:U193="x")*(Besatzung!$F$11:$F$22="x")),1))),(IF(COUNTIF(J193:U193,"x")=0,IF(Besatzung!$B$11&lt;&gt;"",1,0),(J193="x"))*(G193-IFERROR(H193,0))/IFERROR(IF(COUNTIF(J193:U193,"x")=0,COUNTA(Besatzung!$B$11:$B$22),COUNTIF(J193:U193,"x")),1)+IF(COUNTIF(J193:U193,"x")=0,(Besatzung!$F$11="x"),(J193="x")*(Besatzung!$F$11="x"))*IFERROR(H193,0)/IFERROR(IF(COUNTIF(J193:U193,"x")=0,SUMPRODUCT((Besatzung!$B$11:$B$22&lt;&gt;"")*(Besatzung!$F$11:$F$22="x")),SUMPRODUCT((J193:U193="x")*(Besatzung!$F$11:$F$22="x"))),1))))),0))))</f>
        <v/>
      </c>
      <c r="W193" s="247">
        <f>IF(C193="Gutschrift","",IF(G193="","",IF(Besatzung!$B$12="","",IFERROR(IF(I193="Zeitanteilig",(Besatzung!$G$12*(G193-IFERROR(H193,0))+((Besatzung!$B$12&lt;&gt;"")*IF(B193="",1,(IF(Besatzung!$C$12="",Besatzung!$B$5,Besatzung!$C$12)&lt;=B193)*(IF(Besatzung!$D$12="",Besatzung!$B$6,Besatzung!$D$12)&gt;=B193)))*(Besatzung!$F$12="x")*IFERROR(H193,0)/IFERROR(SUMPRODUCT((Besatzung!$B$11:$B$22&lt;&gt;"")*(Besatzung!$F$11:$F$22="x")*(IF(Besatzung!$C$11:$C$22="",Besatzung!$B$5,Besatzung!$C$11:$C$22)&lt;=B193)*(IF(Besatzung!$D$11:$D$22="",Besatzung!$B$6,Besatzung!$D$11:$D$22)&gt;=B193)),1)),IF(I193="An Bord",(((Besatzung!$B$12&lt;&gt;"")*IF(B193="",1,(IF(Besatzung!$C$12="",Besatzung!$B$5,Besatzung!$C$12)&lt;=B193)*(IF(Besatzung!$D$12="",Besatzung!$B$6,Besatzung!$D$12)&gt;=B193)))*((G193-IFERROR(H193,0))/IFERROR(SUMPRODUCT((Besatzung!$B$11:$B$22&lt;&gt;"")*(IF(Besatzung!$C$11:$C$22="",Besatzung!$B$5,Besatzung!$C$11:$C$22)&lt;=B193)*(IF(Besatzung!$D$11:$D$22="",Besatzung!$B$6,Besatzung!$D$11:$D$22)&gt;=B193)),1)+(Besatzung!$F$12="x")*IFERROR(H193,0)/IFERROR(SUMPRODUCT((Besatzung!$B$11:$B$22&lt;&gt;"")*(Besatzung!$F$11:$F$22="x")*(IF(Besatzung!$C$11:$C$22="",Besatzung!$B$5,Besatzung!$C$11:$C$22)&lt;=B193)*(IF(Besatzung!$D$11:$D$22="",Besatzung!$B$6,Besatzung!$D$11:$D$22)&gt;=B193)),1))),IF(I193="Individuell",((K193="x")*((G193-IFERROR(H193,0))/IFERROR(COUNTIF(J193:U193,"x"),1)+(Besatzung!$F$12="x")*IFERROR(H193,0)/IFERROR(SUMPRODUCT((J193:U193="x")*(Besatzung!$F$11:$F$22="x")),1))),(IF(COUNTIF(J193:U193,"x")=0,IF(Besatzung!$B$12&lt;&gt;"",1,0),(K193="x"))*(G193-IFERROR(H193,0))/IFERROR(IF(COUNTIF(J193:U193,"x")=0,COUNTA(Besatzung!$B$11:$B$22),COUNTIF(J193:U193,"x")),1)+IF(COUNTIF(J193:U193,"x")=0,(Besatzung!$F$12="x"),(K193="x")*(Besatzung!$F$12="x"))*IFERROR(H193,0)/IFERROR(IF(COUNTIF(J193:U193,"x")=0,SUMPRODUCT((Besatzung!$B$11:$B$22&lt;&gt;"")*(Besatzung!$F$11:$F$22="x")),SUMPRODUCT((J193:U193="x")*(Besatzung!$F$11:$F$22="x"))),1))))),0))))</f>
        <v/>
      </c>
      <c r="X193" s="247">
        <f>IF(C193="Gutschrift","",IF(G193="","",IF(Besatzung!$B$13="","",IFERROR(IF(I193="Zeitanteilig",(Besatzung!$G$13*(G193-IFERROR(H193,0))+((Besatzung!$B$13&lt;&gt;"")*IF(B193="",1,(IF(Besatzung!$C$13="",Besatzung!$B$5,Besatzung!$C$13)&lt;=B193)*(IF(Besatzung!$D$13="",Besatzung!$B$6,Besatzung!$D$13)&gt;=B193)))*(Besatzung!$F$13="x")*IFERROR(H193,0)/IFERROR(SUMPRODUCT((Besatzung!$B$11:$B$22&lt;&gt;"")*(Besatzung!$F$11:$F$22="x")*(IF(Besatzung!$C$11:$C$22="",Besatzung!$B$5,Besatzung!$C$11:$C$22)&lt;=B193)*(IF(Besatzung!$D$11:$D$22="",Besatzung!$B$6,Besatzung!$D$11:$D$22)&gt;=B193)),1)),IF(I193="An Bord",(((Besatzung!$B$13&lt;&gt;"")*IF(B193="",1,(IF(Besatzung!$C$13="",Besatzung!$B$5,Besatzung!$C$13)&lt;=B193)*(IF(Besatzung!$D$13="",Besatzung!$B$6,Besatzung!$D$13)&gt;=B193)))*((G193-IFERROR(H193,0))/IFERROR(SUMPRODUCT((Besatzung!$B$11:$B$22&lt;&gt;"")*(IF(Besatzung!$C$11:$C$22="",Besatzung!$B$5,Besatzung!$C$11:$C$22)&lt;=B193)*(IF(Besatzung!$D$11:$D$22="",Besatzung!$B$6,Besatzung!$D$11:$D$22)&gt;=B193)),1)+(Besatzung!$F$13="x")*IFERROR(H193,0)/IFERROR(SUMPRODUCT((Besatzung!$B$11:$B$22&lt;&gt;"")*(Besatzung!$F$11:$F$22="x")*(IF(Besatzung!$C$11:$C$22="",Besatzung!$B$5,Besatzung!$C$11:$C$22)&lt;=B193)*(IF(Besatzung!$D$11:$D$22="",Besatzung!$B$6,Besatzung!$D$11:$D$22)&gt;=B193)),1))),IF(I193="Individuell",((K193="x")*((G193-IFERROR(H193,0))/IFERROR(COUNTIF(J193:U193,"x"),1)+(Besatzung!$F$13="x")*IFERROR(H193,0)/IFERROR(SUMPRODUCT((J193:U193="x")*(Besatzung!$F$11:$F$22="x")),1))),(IF(COUNTIF(J193:U193,"x")=0,IF(Besatzung!$B$13&lt;&gt;"",1,0),(K193="x"))*(G193-IFERROR(H193,0))/IFERROR(IF(COUNTIF(J193:U193,"x")=0,COUNTA(Besatzung!$B$11:$B$22),COUNTIF(J193:U193,"x")),1)+IF(COUNTIF(J193:U193,"x")=0,(Besatzung!$F$13="x"),(K193="x")*(Besatzung!$F$13="x"))*IFERROR(H193,0)/IFERROR(IF(COUNTIF(J193:U193,"x")=0,SUMPRODUCT((Besatzung!$B$11:$B$22&lt;&gt;"")*(Besatzung!$F$11:$F$22="x")),SUMPRODUCT((J193:U193="x")*(Besatzung!$F$11:$F$22="x"))),1))))),0))))</f>
        <v/>
      </c>
      <c r="Y193" s="247">
        <f>IF(C193="Gutschrift","",IF(G193="","",IF(Besatzung!$B$14="","",IFERROR(IF(I193="Zeitanteilig",(Besatzung!$G$14*(G193-IFERROR(H193,0))+((Besatzung!$B$14&lt;&gt;"")*IF(B193="",1,(IF(Besatzung!$C$14="",Besatzung!$B$5,Besatzung!$C$14)&lt;=B193)*(IF(Besatzung!$D$14="",Besatzung!$B$6,Besatzung!$D$14)&gt;=B193)))*(Besatzung!$F$14="x")*IFERROR(H193,0)/IFERROR(SUMPRODUCT((Besatzung!$B$11:$B$22&lt;&gt;"")*(Besatzung!$F$11:$F$22="x")*(IF(Besatzung!$C$11:$C$22="",Besatzung!$B$5,Besatzung!$C$11:$C$22)&lt;=B193)*(IF(Besatzung!$D$11:$D$22="",Besatzung!$B$6,Besatzung!$D$11:$D$22)&gt;=B193)),1)),IF(I193="An Bord",(((Besatzung!$B$14&lt;&gt;"")*IF(B193="",1,(IF(Besatzung!$C$14="",Besatzung!$B$5,Besatzung!$C$14)&lt;=B193)*(IF(Besatzung!$D$14="",Besatzung!$B$6,Besatzung!$D$14)&gt;=B193)))*((G193-IFERROR(H193,0))/IFERROR(SUMPRODUCT((Besatzung!$B$11:$B$22&lt;&gt;"")*(IF(Besatzung!$C$11:$C$22="",Besatzung!$B$5,Besatzung!$C$11:$C$22)&lt;=B193)*(IF(Besatzung!$D$11:$D$22="",Besatzung!$B$6,Besatzung!$D$11:$D$22)&gt;=B193)),1)+(Besatzung!$F$14="x")*IFERROR(H193,0)/IFERROR(SUMPRODUCT((Besatzung!$B$11:$B$22&lt;&gt;"")*(Besatzung!$F$11:$F$22="x")*(IF(Besatzung!$C$11:$C$22="",Besatzung!$B$5,Besatzung!$C$11:$C$22)&lt;=B193)*(IF(Besatzung!$D$11:$D$22="",Besatzung!$B$6,Besatzung!$D$11:$D$22)&gt;=B193)),1))),IF(I193="Individuell",((M193="x")*((G193-IFERROR(H193,0))/IFERROR(COUNTIF(J193:U193,"x"),1)+(Besatzung!$F$14="x")*IFERROR(H193,0)/IFERROR(SUMPRODUCT((J193:U193="x")*(Besatzung!$F$11:$F$22="x")),1))),(IF(COUNTIF(J193:U193,"x")=0,IF(Besatzung!$B$14&lt;&gt;"",1,0),(M193="x"))*(G193-IFERROR(H193,0))/IFERROR(IF(COUNTIF(J193:U193,"x")=0,COUNTA(Besatzung!$B$11:$B$22),COUNTIF(J193:U193,"x")),1)+IF(COUNTIF(J193:U193,"x")=0,(Besatzung!$F$14="x"),(M193="x")*(Besatzung!$F$14="x"))*IFERROR(H193,0)/IFERROR(IF(COUNTIF(J193:U193,"x")=0,SUMPRODUCT((Besatzung!$B$11:$B$22&lt;&gt;"")*(Besatzung!$F$11:$F$22="x")),SUMPRODUCT((J193:U193="x")*(Besatzung!$F$11:$F$22="x"))),1))))),0))))</f>
        <v/>
      </c>
      <c r="Z193" s="247">
        <f>IF(C193="Gutschrift","",IF(G193="","",IF(Besatzung!$B$13="","",IFERROR(IF(I193="Zeitanteilig",(Besatzung!$G$15*(G193-IFERROR(H193,0))+((Besatzung!$B$13&lt;&gt;"")*IF(B193="",1,(IF(Besatzung!$C$15="",Besatzung!$B$5,Besatzung!$C$15)&lt;=B193)*(IF(Besatzung!$D$15="",Besatzung!$B$6,Besatzung!$D$15)&gt;=B193)))*(Besatzung!$F$15="x")*IFERROR(H193,0)/IFERROR(SUMPRODUCT((Besatzung!$B$11:$B$22&lt;&gt;"")*(Besatzung!$F$11:$F$22="x")*(IF(Besatzung!$C$11:$C$22="",Besatzung!$B$5,Besatzung!$C$11:$C$22)&lt;=B193)*(IF(Besatzung!$D$11:$D$22="",Besatzung!$B$6,Besatzung!$D$11:$D$22)&gt;=B193)),1)),IF(I193="An Bord",(((Besatzung!$B$13&lt;&gt;"")*IF(B193="",1,(IF(Besatzung!$C$15="",Besatzung!$B$5,Besatzung!$C$15)&lt;=B193)*(IF(Besatzung!$D$15="",Besatzung!$B$6,Besatzung!$D$15)&gt;=B193)))*((G193-IFERROR(H193,0))/IFERROR(SUMPRODUCT((Besatzung!$B$11:$B$22&lt;&gt;"")*(IF(Besatzung!$C$11:$C$22="",Besatzung!$B$5,Besatzung!$C$11:$C$22)&lt;=B193)*(IF(Besatzung!$D$11:$D$22="",Besatzung!$B$6,Besatzung!$D$11:$D$22)&gt;=B193)),1)+(Besatzung!$F$15="x")*IFERROR(H193,0)/IFERROR(SUMPRODUCT((Besatzung!$B$11:$B$22&lt;&gt;"")*(Besatzung!$F$11:$F$22="x")*(IF(Besatzung!$C$11:$C$22="",Besatzung!$B$5,Besatzung!$C$11:$C$22)&lt;=B193)*(IF(Besatzung!$D$11:$D$22="",Besatzung!$B$6,Besatzung!$D$11:$D$22)&gt;=B193)),1))),IF(I193="Individuell",((N193="x")*((G193-IFERROR(H193,0))/IFERROR(COUNTIF(J193:U193,"x"),1)+(Besatzung!$F$15="x")*IFERROR(H193,0)/IFERROR(SUMPRODUCT((J193:U193="x")*(Besatzung!$F$11:$F$22="x")),1))),(IF(COUNTIF(J193:U193,"x")=0,IF(Besatzung!$B$13&lt;&gt;"",1,0),(N193="x"))*(G193-IFERROR(H193,0))/IFERROR(IF(COUNTIF(J193:U193,"x")=0,COUNTA(Besatzung!$B$11:$B$22),COUNTIF(J193:U193,"x")),1)+IF(COUNTIF(J193:U193,"x")=0,(Besatzung!$F$15="x"),(N193="x")*(Besatzung!$F$15="x"))*IFERROR(H193,0)/IFERROR(IF(COUNTIF(J193:U193,"x")=0,SUMPRODUCT((Besatzung!$B$11:$B$22&lt;&gt;"")*(Besatzung!$F$11:$F$22="x")),SUMPRODUCT((J193:U193="x")*(Besatzung!$F$11:$F$22="x"))),1))))),0))))</f>
        <v/>
      </c>
      <c r="AA193" s="247">
        <f>IF(C193="Gutschrift","",IF(G193="","",IF(Besatzung!$B$15="","",IFERROR(IF(I193="Zeitanteilig",(Besatzung!$G$16*(G193-IFERROR(H193,0))+((Besatzung!$B$15&lt;&gt;"")*IF(B193="",1,(IF(Besatzung!$C$16="",Besatzung!$B$5,Besatzung!$C$16)&lt;=B193)*(IF(Besatzung!$D$16="",Besatzung!$B$6,Besatzung!$D$16)&gt;=B193)))*(Besatzung!$F$16="x")*IFERROR(H193,0)/IFERROR(SUMPRODUCT((Besatzung!$B$11:$B$22&lt;&gt;"")*(Besatzung!$F$11:$F$22="x")*(IF(Besatzung!$C$11:$C$22="",Besatzung!$B$5,Besatzung!$C$11:$C$22)&lt;=B193)*(IF(Besatzung!$D$11:$D$22="",Besatzung!$B$6,Besatzung!$D$11:$D$22)&gt;=B193)),1)),IF(I193="An Bord",(((Besatzung!$B$15&lt;&gt;"")*IF(B193="",1,(IF(Besatzung!$C$16="",Besatzung!$B$5,Besatzung!$C$16)&lt;=B193)*(IF(Besatzung!$D$16="",Besatzung!$B$6,Besatzung!$D$16)&gt;=B193)))*((G193-IFERROR(H193,0))/IFERROR(SUMPRODUCT((Besatzung!$B$11:$B$22&lt;&gt;"")*(IF(Besatzung!$C$11:$C$22="",Besatzung!$B$5,Besatzung!$C$11:$C$22)&lt;=B193)*(IF(Besatzung!$D$11:$D$22="",Besatzung!$B$6,Besatzung!$D$11:$D$22)&gt;=B193)),1)+(Besatzung!$F$16="x")*IFERROR(H193,0)/IFERROR(SUMPRODUCT((Besatzung!$B$11:$B$22&lt;&gt;"")*(Besatzung!$F$11:$F$22="x")*(IF(Besatzung!$C$11:$C$22="",Besatzung!$B$5,Besatzung!$C$11:$C$22)&lt;=B193)*(IF(Besatzung!$D$11:$D$22="",Besatzung!$B$6,Besatzung!$D$11:$D$22)&gt;=B193)),1))),IF(I193="Individuell",((O193="x")*((G193-IFERROR(H193,0))/IFERROR(COUNTIF(J193:U193,"x"),1)+(Besatzung!$F$16="x")*IFERROR(H193,0)/IFERROR(SUMPRODUCT((J193:U193="x")*(Besatzung!$F$11:$F$22="x")),1))),(IF(COUNTIF(J193:U193,"x")=0,IF(Besatzung!$B$15&lt;&gt;"",1,0),(O193="x"))*(G193-IFERROR(H193,0))/IFERROR(IF(COUNTIF(J193:U193,"x")=0,COUNTA(Besatzung!$B$11:$B$22),COUNTIF(J193:U193,"x")),1)+IF(COUNTIF(J193:U193,"x")=0,(Besatzung!$F$16="x"),(O193="x")*(Besatzung!$F$16="x"))*IFERROR(H193,0)/IFERROR(IF(COUNTIF(J193:U193,"x")=0,SUMPRODUCT((Besatzung!$B$11:$B$22&lt;&gt;"")*(Besatzung!$F$11:$F$22="x")),SUMPRODUCT((J193:U193="x")*(Besatzung!$F$11:$F$22="x"))),1))))),0))))</f>
        <v/>
      </c>
      <c r="AB193" s="247">
        <f>IF(C193="Gutschrift","",IF(G193="","",IF(Besatzung!$B$17="","",IFERROR(IF(I193="Zeitanteilig",(Besatzung!$G$17*(G193-IFERROR(H193,0))+((Besatzung!$B$17&lt;&gt;"")*IF(B193="",1,(IF(Besatzung!$C$17="",Besatzung!$B$5,Besatzung!$C$17)&lt;=B193)*(IF(Besatzung!$D$17="",Besatzung!$B$6,Besatzung!$D$17)&gt;=B193)))*(Besatzung!$F$17="x")*IFERROR(H193,0)/IFERROR(SUMPRODUCT((Besatzung!$B$11:$B$22&lt;&gt;"")*(Besatzung!$F$11:$F$22="x")*(IF(Besatzung!$C$11:$C$22="",Besatzung!$B$5,Besatzung!$C$11:$C$22)&lt;=B193)*(IF(Besatzung!$D$11:$D$22="",Besatzung!$B$6,Besatzung!$D$11:$D$22)&gt;=B193)),1)),IF(I193="An Bord",(((Besatzung!$B$17&lt;&gt;"")*IF(B193="",1,(IF(Besatzung!$C$17="",Besatzung!$B$5,Besatzung!$C$17)&lt;=B193)*(IF(Besatzung!$D$17="",Besatzung!$B$6,Besatzung!$D$17)&gt;=B193)))*((G193-IFERROR(H193,0))/IFERROR(SUMPRODUCT((Besatzung!$B$11:$B$22&lt;&gt;"")*(IF(Besatzung!$C$11:$C$22="",Besatzung!$B$5,Besatzung!$C$11:$C$22)&lt;=B193)*(IF(Besatzung!$D$11:$D$22="",Besatzung!$B$6,Besatzung!$D$11:$D$22)&gt;=B193)),1)+(Besatzung!$F$17="x")*IFERROR(H193,0)/IFERROR(SUMPRODUCT((Besatzung!$B$11:$B$22&lt;&gt;"")*(Besatzung!$F$11:$F$22="x")*(IF(Besatzung!$C$11:$C$22="",Besatzung!$B$5,Besatzung!$C$11:$C$22)&lt;=B193)*(IF(Besatzung!$D$11:$D$22="",Besatzung!$B$6,Besatzung!$D$11:$D$22)&gt;=B193)),1))),IF(I193="Individuell",((P193="x")*((G193-IFERROR(H193,0))/IFERROR(COUNTIF(J193:U193,"x"),1)+(Besatzung!$F$17="x")*IFERROR(H193,0)/IFERROR(SUMPRODUCT((J193:U193="x")*(Besatzung!$F$11:$F$22="x")),1))),(IF(COUNTIF(J193:U193,"x")=0,IF(Besatzung!$B$17&lt;&gt;"",1,0),(P193="x"))*(G193-IFERROR(H193,0))/IFERROR(IF(COUNTIF(J193:U193,"x")=0,COUNTA(Besatzung!$B$11:$B$22),COUNTIF(J193:U193,"x")),1)+IF(COUNTIF(J193:U193,"x")=0,(Besatzung!$F$17="x"),(P193="x")*(Besatzung!$F$17="x"))*IFERROR(H193,0)/IFERROR(IF(COUNTIF(J193:U193,"x")=0,SUMPRODUCT((Besatzung!$B$11:$B$22&lt;&gt;"")*(Besatzung!$F$11:$F$22="x")),SUMPRODUCT((J193:U193="x")*(Besatzung!$F$11:$F$22="x"))),1))))),0))))</f>
        <v/>
      </c>
      <c r="AC193" s="247">
        <f>IF(C193="Gutschrift","",IF(G193="","",IF(Besatzung!$B$18="","",IFERROR(IF(I193="Zeitanteilig",(Besatzung!$G$18*(G193-IFERROR(H193,0))+((Besatzung!$B$18&lt;&gt;"")*IF(B193="",1,(IF(Besatzung!$C$18="",Besatzung!$B$5,Besatzung!$C$18)&lt;=B193)*(IF(Besatzung!$D$18="",Besatzung!$B$6,Besatzung!$D$18)&gt;=B193)))*(Besatzung!$F$18="x")*IFERROR(H193,0)/IFERROR(SUMPRODUCT((Besatzung!$B$11:$B$22&lt;&gt;"")*(Besatzung!$F$11:$F$22="x")*(IF(Besatzung!$C$11:$C$22="",Besatzung!$B$5,Besatzung!$C$11:$C$22)&lt;=B193)*(IF(Besatzung!$D$11:$D$22="",Besatzung!$B$6,Besatzung!$D$11:$D$22)&gt;=B193)),1)),IF(I193="An Bord",(((Besatzung!$B$18&lt;&gt;"")*IF(B193="",1,(IF(Besatzung!$C$18="",Besatzung!$B$5,Besatzung!$C$18)&lt;=B193)*(IF(Besatzung!$D$18="",Besatzung!$B$6,Besatzung!$D$18)&gt;=B193)))*((G193-IFERROR(H193,0))/IFERROR(SUMPRODUCT((Besatzung!$B$11:$B$22&lt;&gt;"")*(IF(Besatzung!$C$11:$C$22="",Besatzung!$B$5,Besatzung!$C$11:$C$22)&lt;=B193)*(IF(Besatzung!$D$11:$D$22="",Besatzung!$B$6,Besatzung!$D$11:$D$22)&gt;=B193)),1)+(Besatzung!$F$18="x")*IFERROR(H193,0)/IFERROR(SUMPRODUCT((Besatzung!$B$11:$B$22&lt;&gt;"")*(Besatzung!$F$11:$F$22="x")*(IF(Besatzung!$C$11:$C$22="",Besatzung!$B$5,Besatzung!$C$11:$C$22)&lt;=B193)*(IF(Besatzung!$D$11:$D$22="",Besatzung!$B$6,Besatzung!$D$11:$D$22)&gt;=B193)),1))),IF(I193="Individuell",((Q193="x")*((G193-IFERROR(H193,0))/IFERROR(COUNTIF(J193:U193,"x"),1)+(Besatzung!$F$18="x")*IFERROR(H193,0)/IFERROR(SUMPRODUCT((J193:U193="x")*(Besatzung!$F$11:$F$22="x")),1))),(IF(COUNTIF(J193:U193,"x")=0,IF(Besatzung!$B$18&lt;&gt;"",1,0),(Q193="x"))*(G193-IFERROR(H193,0))/IFERROR(IF(COUNTIF(J193:U193,"x")=0,COUNTA(Besatzung!$B$11:$B$22),COUNTIF(J193:U193,"x")),1)+IF(COUNTIF(J193:U193,"x")=0,(Besatzung!$F$18="x"),(Q193="x")*(Besatzung!$F$18="x"))*IFERROR(H193,0)/IFERROR(IF(COUNTIF(J193:U193,"x")=0,SUMPRODUCT((Besatzung!$B$11:$B$22&lt;&gt;"")*(Besatzung!$F$11:$F$22="x")),SUMPRODUCT((J193:U193="x")*(Besatzung!$F$11:$F$22="x"))),1))))),0))))</f>
        <v/>
      </c>
      <c r="AD193" s="247">
        <f>IF(C193="Gutschrift","",IF(G193="","",IF(Besatzung!$B$19="","",IFERROR(IF(I193="Zeitanteilig",(Besatzung!$G$19*(G193-IFERROR(H193,0))+((Besatzung!$B$19&lt;&gt;"")*IF(B193="",1,(IF(Besatzung!$C$19="",Besatzung!$B$5,Besatzung!$C$19)&lt;=B193)*(IF(Besatzung!$D$19="",Besatzung!$B$6,Besatzung!$D$19)&gt;=B193)))*(Besatzung!$F$19="x")*IFERROR(H193,0)/IFERROR(SUMPRODUCT((Besatzung!$B$11:$B$22&lt;&gt;"")*(Besatzung!$F$11:$F$22="x")*(IF(Besatzung!$C$11:$C$22="",Besatzung!$B$5,Besatzung!$C$11:$C$22)&lt;=B193)*(IF(Besatzung!$D$11:$D$22="",Besatzung!$B$6,Besatzung!$D$11:$D$22)&gt;=B193)),1)),IF(I193="An Bord",(((Besatzung!$B$19&lt;&gt;"")*IF(B193="",1,(IF(Besatzung!$C$19="",Besatzung!$B$5,Besatzung!$C$19)&lt;=B193)*(IF(Besatzung!$D$19="",Besatzung!$B$6,Besatzung!$D$19)&gt;=B193)))*((G193-IFERROR(H193,0))/IFERROR(SUMPRODUCT((Besatzung!$B$11:$B$22&lt;&gt;"")*(IF(Besatzung!$C$11:$C$22="",Besatzung!$B$5,Besatzung!$C$11:$C$22)&lt;=B193)*(IF(Besatzung!$D$11:$D$22="",Besatzung!$B$6,Besatzung!$D$11:$D$22)&gt;=B193)),1)+(Besatzung!$F$19="x")*IFERROR(H193,0)/IFERROR(SUMPRODUCT((Besatzung!$B$11:$B$22&lt;&gt;"")*(Besatzung!$F$11:$F$22="x")*(IF(Besatzung!$C$11:$C$22="",Besatzung!$B$5,Besatzung!$C$11:$C$22)&lt;=B193)*(IF(Besatzung!$D$11:$D$22="",Besatzung!$B$6,Besatzung!$D$11:$D$22)&gt;=B193)),1))),IF(I193="Individuell",((R193="x")*((G193-IFERROR(H193,0))/IFERROR(COUNTIF(J193:U193,"x"),1)+(Besatzung!$F$19="x")*IFERROR(H193,0)/IFERROR(SUMPRODUCT((J193:U193="x")*(Besatzung!$F$11:$F$22="x")),1))),(IF(COUNTIF(J193:U193,"x")=0,IF(Besatzung!$B$19&lt;&gt;"",1,0),(R193="x"))*(G193-IFERROR(H193,0))/IFERROR(IF(COUNTIF(J193:U193,"x")=0,COUNTA(Besatzung!$B$11:$B$22),COUNTIF(J193:U193,"x")),1)+IF(COUNTIF(J193:U193,"x")=0,(Besatzung!$F$19="x"),(R193="x")*(Besatzung!$F$19="x"))*IFERROR(H193,0)/IFERROR(IF(COUNTIF(J193:U193,"x")=0,SUMPRODUCT((Besatzung!$B$11:$B$22&lt;&gt;"")*(Besatzung!$F$11:$F$22="x")),SUMPRODUCT((J193:U193="x")*(Besatzung!$F$11:$F$22="x"))),1))))),0))))</f>
        <v/>
      </c>
      <c r="AE193" s="247">
        <f>IF(C193="Gutschrift","",IF(G193="","",IF(Besatzung!$B$20="","",IFERROR(IF(I193="Zeitanteilig",(Besatzung!$G$20*(G193-IFERROR(H193,0))+((Besatzung!$B$20&lt;&gt;"")*IF(B193="",1,(IF(Besatzung!$C$20="",Besatzung!$B$5,Besatzung!$C$20)&lt;=B193)*(IF(Besatzung!$D$20="",Besatzung!$B$6,Besatzung!$D$20)&gt;=B193)))*(Besatzung!$F$20="x")*IFERROR(H193,0)/IFERROR(SUMPRODUCT((Besatzung!$B$11:$B$22&lt;&gt;"")*(Besatzung!$F$11:$F$22="x")*(IF(Besatzung!$C$11:$C$22="",Besatzung!$B$5,Besatzung!$C$11:$C$22)&lt;=B193)*(IF(Besatzung!$D$11:$D$22="",Besatzung!$B$6,Besatzung!$D$11:$D$22)&gt;=B193)),1)),IF(I193="An Bord",(((Besatzung!$B$20&lt;&gt;"")*IF(B193="",1,(IF(Besatzung!$C$20="",Besatzung!$B$5,Besatzung!$C$20)&lt;=B193)*(IF(Besatzung!$D$20="",Besatzung!$B$6,Besatzung!$D$20)&gt;=B193)))*((G193-IFERROR(H193,0))/IFERROR(SUMPRODUCT((Besatzung!$B$11:$B$22&lt;&gt;"")*(IF(Besatzung!$C$11:$C$22="",Besatzung!$B$5,Besatzung!$C$11:$C$22)&lt;=B193)*(IF(Besatzung!$D$11:$D$22="",Besatzung!$B$6,Besatzung!$D$11:$D$22)&gt;=B193)),1)+(Besatzung!$F$20="x")*IFERROR(H193,0)/IFERROR(SUMPRODUCT((Besatzung!$B$11:$B$22&lt;&gt;"")*(Besatzung!$F$11:$F$22="x")*(IF(Besatzung!$C$11:$C$22="",Besatzung!$B$5,Besatzung!$C$11:$C$22)&lt;=B193)*(IF(Besatzung!$D$11:$D$22="",Besatzung!$B$6,Besatzung!$D$11:$D$22)&gt;=B193)),1))),IF(I193="Individuell",((S193="x")*((G193-IFERROR(H193,0))/IFERROR(COUNTIF(J193:U193,"x"),1)+(Besatzung!$F$20="x")*IFERROR(H193,0)/IFERROR(SUMPRODUCT((J193:U193="x")*(Besatzung!$F$11:$F$22="x")),1))),(IF(COUNTIF(J193:U193,"x")=0,IF(Besatzung!$B$20&lt;&gt;"",1,0),(S193="x"))*(G193-IFERROR(H193,0))/IFERROR(IF(COUNTIF(J193:U193,"x")=0,COUNTA(Besatzung!$B$11:$B$22),COUNTIF(J193:U193,"x")),1)+IF(COUNTIF(J193:U193,"x")=0,(Besatzung!$F$20="x"),(S193="x")*(Besatzung!$F$20="x"))*IFERROR(H193,0)/IFERROR(IF(COUNTIF(J193:U193,"x")=0,SUMPRODUCT((Besatzung!$B$11:$B$22&lt;&gt;"")*(Besatzung!$F$11:$F$22="x")),SUMPRODUCT((J193:U193="x")*(Besatzung!$F$11:$F$22="x"))),1))))),0))))</f>
        <v/>
      </c>
      <c r="AF193" s="247">
        <f>IF(C193="Gutschrift","",IF(G193="","",IF(Besatzung!$B$21="","",IFERROR(IF(I193="Zeitanteilig",(Besatzung!$G$21*(G193-IFERROR(H193,0))+((Besatzung!$B$21&lt;&gt;"")*IF(B193="",1,(IF(Besatzung!$C$21="",Besatzung!$B$5,Besatzung!$C$21)&lt;=B193)*(IF(Besatzung!$D$21="",Besatzung!$B$6,Besatzung!$D$21)&gt;=B193)))*(Besatzung!$F$21="x")*IFERROR(H193,0)/IFERROR(SUMPRODUCT((Besatzung!$B$11:$B$22&lt;&gt;"")*(Besatzung!$F$11:$F$22="x")*(IF(Besatzung!$C$11:$C$22="",Besatzung!$B$5,Besatzung!$C$11:$C$22)&lt;=B193)*(IF(Besatzung!$D$11:$D$22="",Besatzung!$B$6,Besatzung!$D$11:$D$22)&gt;=B193)),1)),IF(I193="An Bord",(((Besatzung!$B$21&lt;&gt;"")*IF(B193="",1,(IF(Besatzung!$C$21="",Besatzung!$B$5,Besatzung!$C$21)&lt;=B193)*(IF(Besatzung!$D$21="",Besatzung!$B$6,Besatzung!$D$21)&gt;=B193)))*((G193-IFERROR(H193,0))/IFERROR(SUMPRODUCT((Besatzung!$B$11:$B$22&lt;&gt;"")*(IF(Besatzung!$C$11:$C$22="",Besatzung!$B$5,Besatzung!$C$11:$C$22)&lt;=B193)*(IF(Besatzung!$D$11:$D$22="",Besatzung!$B$6,Besatzung!$D$11:$D$22)&gt;=B193)),1)+(Besatzung!$F$21="x")*IFERROR(H193,0)/IFERROR(SUMPRODUCT((Besatzung!$B$11:$B$22&lt;&gt;"")*(Besatzung!$F$11:$F$22="x")*(IF(Besatzung!$C$11:$C$22="",Besatzung!$B$5,Besatzung!$C$11:$C$22)&lt;=B193)*(IF(Besatzung!$D$11:$D$22="",Besatzung!$B$6,Besatzung!$D$11:$D$22)&gt;=B193)),1))),IF(I193="Individuell",((T193="x")*((G193-IFERROR(H193,0))/IFERROR(COUNTIF(J193:U193,"x"),1)+(Besatzung!$F$21="x")*IFERROR(H193,0)/IFERROR(SUMPRODUCT((J193:U193="x")*(Besatzung!$F$11:$F$22="x")),1))),(IF(COUNTIF(J193:U193,"x")=0,IF(Besatzung!$B$21&lt;&gt;"",1,0),(T193="x"))*(G193-IFERROR(H193,0))/IFERROR(IF(COUNTIF(J193:U193,"x")=0,COUNTA(Besatzung!$B$11:$B$22),COUNTIF(J193:U193,"x")),1)+IF(COUNTIF(J193:U193,"x")=0,(Besatzung!$F$21="x"),(T193="x")*(Besatzung!$F$21="x"))*IFERROR(H193,0)/IFERROR(IF(COUNTIF(J193:U193,"x")=0,SUMPRODUCT((Besatzung!$B$11:$B$22&lt;&gt;"")*(Besatzung!$F$11:$F$22="x")),SUMPRODUCT((J193:U193="x")*(Besatzung!$F$11:$F$22="x"))),1))))),0))))</f>
        <v/>
      </c>
      <c r="AG193" s="247">
        <f>IF(C193="Gutschrift","",IF(G193="","",IF(Besatzung!$B$22="","",IFERROR(IF(I193="Zeitanteilig",(Besatzung!$G$22*(G193-IFERROR(H193,0))+((Besatzung!$B$22&lt;&gt;"")*IF(B193="",1,(IF(Besatzung!$C$22="",Besatzung!$B$5,Besatzung!$C$22)&lt;=B193)*(IF(Besatzung!$D$22="",Besatzung!$B$6,Besatzung!$D$22)&gt;=B193)))*(Besatzung!$F$22="x")*IFERROR(H193,0)/IFERROR(SUMPRODUCT((Besatzung!$B$11:$B$22&lt;&gt;"")*(Besatzung!$F$11:$F$22="x")*(IF(Besatzung!$C$11:$C$22="",Besatzung!$B$5,Besatzung!$C$11:$C$22)&lt;=B193)*(IF(Besatzung!$D$11:$D$22="",Besatzung!$B$6,Besatzung!$D$11:$D$22)&gt;=B193)),1)),IF(I193="An Bord",(((Besatzung!$B$22&lt;&gt;"")*IF(B193="",1,(IF(Besatzung!$C$22="",Besatzung!$B$5,Besatzung!$C$22)&lt;=B193)*(IF(Besatzung!$D$22="",Besatzung!$B$6,Besatzung!$D$22)&gt;=B193)))*((G193-IFERROR(H193,0))/IFERROR(SUMPRODUCT((Besatzung!$B$11:$B$22&lt;&gt;"")*(IF(Besatzung!$C$11:$C$22="",Besatzung!$B$5,Besatzung!$C$11:$C$22)&lt;=B193)*(IF(Besatzung!$D$11:$D$22="",Besatzung!$B$6,Besatzung!$D$11:$D$22)&gt;=B193)),1)+(Besatzung!$F$22="x")*IFERROR(H193,0)/IFERROR(SUMPRODUCT((Besatzung!$B$11:$B$22&lt;&gt;"")*(Besatzung!$F$11:$F$22="x")*(IF(Besatzung!$C$11:$C$22="",Besatzung!$B$5,Besatzung!$C$11:$C$22)&lt;=B193)*(IF(Besatzung!$D$11:$D$22="",Besatzung!$B$6,Besatzung!$D$11:$D$22)&gt;=B193)),1))),IF(I193="Individuell",((U193="x")*((G193-IFERROR(H193,0))/IFERROR(COUNTIF(J193:U193,"x"),1)+(Besatzung!$F$22="x")*IFERROR(H193,0)/IFERROR(SUMPRODUCT((J193:U193="x")*(Besatzung!$F$11:$F$22="x")),1))),(IF(COUNTIF(J193:U193,"x")=0,IF(Besatzung!$B$22&lt;&gt;"",1,0),(U193="x"))*(G193-IFERROR(H193,0))/IFERROR(IF(COUNTIF(J193:U193,"x")=0,COUNTA(Besatzung!$B$11:$B$22),COUNTIF(J193:U193,"x")),1)+IF(COUNTIF(J193:U193,"x")=0,(Besatzung!$F$22="x"),(U193="x")*(Besatzung!$F$22="x"))*IFERROR(H193,0)/IFERROR(IF(COUNTIF(J193:U193,"x")=0,SUMPRODUCT((Besatzung!$B$11:$B$22&lt;&gt;"")*(Besatzung!$F$11:$F$22="x")),SUMPRODUCT((J193:U193="x")*(Besatzung!$F$11:$F$22="x"))),1))))),0))))</f>
        <v/>
      </c>
      <c r="AH193" s="248" t="n"/>
      <c r="AI193" s="248" t="n"/>
    </row>
    <row r="194" ht="21.75" customHeight="1" s="154">
      <c r="A194" s="238">
        <f>IF(AND(D194="",C194=""),"",191)</f>
        <v/>
      </c>
      <c r="B194" s="199" t="n"/>
      <c r="C194" s="239" t="n"/>
      <c r="D194" s="240" t="n"/>
      <c r="E194" s="241" t="n"/>
      <c r="F194" s="242" t="n"/>
      <c r="G194" s="243" t="n"/>
      <c r="H194" s="244" t="n"/>
      <c r="I194" s="245" t="n"/>
      <c r="J194" s="246" t="n"/>
      <c r="K194" s="246" t="n"/>
      <c r="L194" s="246" t="n"/>
      <c r="M194" s="246" t="n"/>
      <c r="N194" s="246" t="n"/>
      <c r="O194" s="246" t="n"/>
      <c r="P194" s="246" t="n"/>
      <c r="Q194" s="246" t="n"/>
      <c r="R194" s="246" t="n"/>
      <c r="S194" s="246" t="n"/>
      <c r="T194" s="246" t="n"/>
      <c r="U194" s="246" t="n"/>
      <c r="V194" s="247">
        <f>IF(C194="Gutschrift","",IF(G194="","",IF(Besatzung!$B$11="","",IFERROR(IF(I194="Zeitanteilig",(Besatzung!$G$11*(G194-IFERROR(H194,0))+((Besatzung!$B$11&lt;&gt;"")*IF(B194="",1,(IF(Besatzung!$C$11="",Besatzung!$B$5,Besatzung!$C$11)&lt;=B194)*(IF(Besatzung!$D$11="",Besatzung!$B$6,Besatzung!$D$11)&gt;=B194)))*(Besatzung!$F$11="x")*IFERROR(H194,0)/IFERROR(SUMPRODUCT((Besatzung!$B$11:$B$22&lt;&gt;"")*(Besatzung!$F$11:$F$22="x")*(IF(Besatzung!$C$11:$C$22="",Besatzung!$B$5,Besatzung!$C$11:$C$22)&lt;=B194)*(IF(Besatzung!$D$11:$D$22="",Besatzung!$B$6,Besatzung!$D$11:$D$22)&gt;=B194)),1)),IF(I194="An Bord",(((Besatzung!$B$11&lt;&gt;"")*IF(B194="",1,(IF(Besatzung!$C$11="",Besatzung!$B$5,Besatzung!$C$11)&lt;=B194)*(IF(Besatzung!$D$11="",Besatzung!$B$6,Besatzung!$D$11)&gt;=B194)))*((G194-IFERROR(H194,0))/IFERROR(SUMPRODUCT((Besatzung!$B$11:$B$22&lt;&gt;"")*(IF(Besatzung!$C$11:$C$22="",Besatzung!$B$5,Besatzung!$C$11:$C$22)&lt;=B194)*(IF(Besatzung!$D$11:$D$22="",Besatzung!$B$6,Besatzung!$D$11:$D$22)&gt;=B194)),1)+(Besatzung!$F$11="x")*IFERROR(H194,0)/IFERROR(SUMPRODUCT((Besatzung!$B$11:$B$22&lt;&gt;"")*(Besatzung!$F$11:$F$22="x")*(IF(Besatzung!$C$11:$C$22="",Besatzung!$B$5,Besatzung!$C$11:$C$22)&lt;=B194)*(IF(Besatzung!$D$11:$D$22="",Besatzung!$B$6,Besatzung!$D$11:$D$22)&gt;=B194)),1))),IF(I194="Individuell",((J194="x")*((G194-IFERROR(H194,0))/IFERROR(COUNTIF(J194:U194,"x"),1)+(Besatzung!$F$11="x")*IFERROR(H194,0)/IFERROR(SUMPRODUCT((J194:U194="x")*(Besatzung!$F$11:$F$22="x")),1))),(IF(COUNTIF(J194:U194,"x")=0,IF(Besatzung!$B$11&lt;&gt;"",1,0),(J194="x"))*(G194-IFERROR(H194,0))/IFERROR(IF(COUNTIF(J194:U194,"x")=0,COUNTA(Besatzung!$B$11:$B$22),COUNTIF(J194:U194,"x")),1)+IF(COUNTIF(J194:U194,"x")=0,(Besatzung!$F$11="x"),(J194="x")*(Besatzung!$F$11="x"))*IFERROR(H194,0)/IFERROR(IF(COUNTIF(J194:U194,"x")=0,SUMPRODUCT((Besatzung!$B$11:$B$22&lt;&gt;"")*(Besatzung!$F$11:$F$22="x")),SUMPRODUCT((J194:U194="x")*(Besatzung!$F$11:$F$22="x"))),1))))),0))))</f>
        <v/>
      </c>
      <c r="W194" s="247">
        <f>IF(C194="Gutschrift","",IF(G194="","",IF(Besatzung!$B$12="","",IFERROR(IF(I194="Zeitanteilig",(Besatzung!$G$12*(G194-IFERROR(H194,0))+((Besatzung!$B$12&lt;&gt;"")*IF(B194="",1,(IF(Besatzung!$C$12="",Besatzung!$B$5,Besatzung!$C$12)&lt;=B194)*(IF(Besatzung!$D$12="",Besatzung!$B$6,Besatzung!$D$12)&gt;=B194)))*(Besatzung!$F$12="x")*IFERROR(H194,0)/IFERROR(SUMPRODUCT((Besatzung!$B$11:$B$22&lt;&gt;"")*(Besatzung!$F$11:$F$22="x")*(IF(Besatzung!$C$11:$C$22="",Besatzung!$B$5,Besatzung!$C$11:$C$22)&lt;=B194)*(IF(Besatzung!$D$11:$D$22="",Besatzung!$B$6,Besatzung!$D$11:$D$22)&gt;=B194)),1)),IF(I194="An Bord",(((Besatzung!$B$12&lt;&gt;"")*IF(B194="",1,(IF(Besatzung!$C$12="",Besatzung!$B$5,Besatzung!$C$12)&lt;=B194)*(IF(Besatzung!$D$12="",Besatzung!$B$6,Besatzung!$D$12)&gt;=B194)))*((G194-IFERROR(H194,0))/IFERROR(SUMPRODUCT((Besatzung!$B$11:$B$22&lt;&gt;"")*(IF(Besatzung!$C$11:$C$22="",Besatzung!$B$5,Besatzung!$C$11:$C$22)&lt;=B194)*(IF(Besatzung!$D$11:$D$22="",Besatzung!$B$6,Besatzung!$D$11:$D$22)&gt;=B194)),1)+(Besatzung!$F$12="x")*IFERROR(H194,0)/IFERROR(SUMPRODUCT((Besatzung!$B$11:$B$22&lt;&gt;"")*(Besatzung!$F$11:$F$22="x")*(IF(Besatzung!$C$11:$C$22="",Besatzung!$B$5,Besatzung!$C$11:$C$22)&lt;=B194)*(IF(Besatzung!$D$11:$D$22="",Besatzung!$B$6,Besatzung!$D$11:$D$22)&gt;=B194)),1))),IF(I194="Individuell",((K194="x")*((G194-IFERROR(H194,0))/IFERROR(COUNTIF(J194:U194,"x"),1)+(Besatzung!$F$12="x")*IFERROR(H194,0)/IFERROR(SUMPRODUCT((J194:U194="x")*(Besatzung!$F$11:$F$22="x")),1))),(IF(COUNTIF(J194:U194,"x")=0,IF(Besatzung!$B$12&lt;&gt;"",1,0),(K194="x"))*(G194-IFERROR(H194,0))/IFERROR(IF(COUNTIF(J194:U194,"x")=0,COUNTA(Besatzung!$B$11:$B$22),COUNTIF(J194:U194,"x")),1)+IF(COUNTIF(J194:U194,"x")=0,(Besatzung!$F$12="x"),(K194="x")*(Besatzung!$F$12="x"))*IFERROR(H194,0)/IFERROR(IF(COUNTIF(J194:U194,"x")=0,SUMPRODUCT((Besatzung!$B$11:$B$22&lt;&gt;"")*(Besatzung!$F$11:$F$22="x")),SUMPRODUCT((J194:U194="x")*(Besatzung!$F$11:$F$22="x"))),1))))),0))))</f>
        <v/>
      </c>
      <c r="X194" s="247">
        <f>IF(C194="Gutschrift","",IF(G194="","",IF(Besatzung!$B$13="","",IFERROR(IF(I194="Zeitanteilig",(Besatzung!$G$13*(G194-IFERROR(H194,0))+((Besatzung!$B$13&lt;&gt;"")*IF(B194="",1,(IF(Besatzung!$C$13="",Besatzung!$B$5,Besatzung!$C$13)&lt;=B194)*(IF(Besatzung!$D$13="",Besatzung!$B$6,Besatzung!$D$13)&gt;=B194)))*(Besatzung!$F$13="x")*IFERROR(H194,0)/IFERROR(SUMPRODUCT((Besatzung!$B$11:$B$22&lt;&gt;"")*(Besatzung!$F$11:$F$22="x")*(IF(Besatzung!$C$11:$C$22="",Besatzung!$B$5,Besatzung!$C$11:$C$22)&lt;=B194)*(IF(Besatzung!$D$11:$D$22="",Besatzung!$B$6,Besatzung!$D$11:$D$22)&gt;=B194)),1)),IF(I194="An Bord",(((Besatzung!$B$13&lt;&gt;"")*IF(B194="",1,(IF(Besatzung!$C$13="",Besatzung!$B$5,Besatzung!$C$13)&lt;=B194)*(IF(Besatzung!$D$13="",Besatzung!$B$6,Besatzung!$D$13)&gt;=B194)))*((G194-IFERROR(H194,0))/IFERROR(SUMPRODUCT((Besatzung!$B$11:$B$22&lt;&gt;"")*(IF(Besatzung!$C$11:$C$22="",Besatzung!$B$5,Besatzung!$C$11:$C$22)&lt;=B194)*(IF(Besatzung!$D$11:$D$22="",Besatzung!$B$6,Besatzung!$D$11:$D$22)&gt;=B194)),1)+(Besatzung!$F$13="x")*IFERROR(H194,0)/IFERROR(SUMPRODUCT((Besatzung!$B$11:$B$22&lt;&gt;"")*(Besatzung!$F$11:$F$22="x")*(IF(Besatzung!$C$11:$C$22="",Besatzung!$B$5,Besatzung!$C$11:$C$22)&lt;=B194)*(IF(Besatzung!$D$11:$D$22="",Besatzung!$B$6,Besatzung!$D$11:$D$22)&gt;=B194)),1))),IF(I194="Individuell",((K194="x")*((G194-IFERROR(H194,0))/IFERROR(COUNTIF(J194:U194,"x"),1)+(Besatzung!$F$13="x")*IFERROR(H194,0)/IFERROR(SUMPRODUCT((J194:U194="x")*(Besatzung!$F$11:$F$22="x")),1))),(IF(COUNTIF(J194:U194,"x")=0,IF(Besatzung!$B$13&lt;&gt;"",1,0),(K194="x"))*(G194-IFERROR(H194,0))/IFERROR(IF(COUNTIF(J194:U194,"x")=0,COUNTA(Besatzung!$B$11:$B$22),COUNTIF(J194:U194,"x")),1)+IF(COUNTIF(J194:U194,"x")=0,(Besatzung!$F$13="x"),(K194="x")*(Besatzung!$F$13="x"))*IFERROR(H194,0)/IFERROR(IF(COUNTIF(J194:U194,"x")=0,SUMPRODUCT((Besatzung!$B$11:$B$22&lt;&gt;"")*(Besatzung!$F$11:$F$22="x")),SUMPRODUCT((J194:U194="x")*(Besatzung!$F$11:$F$22="x"))),1))))),0))))</f>
        <v/>
      </c>
      <c r="Y194" s="247">
        <f>IF(C194="Gutschrift","",IF(G194="","",IF(Besatzung!$B$14="","",IFERROR(IF(I194="Zeitanteilig",(Besatzung!$G$14*(G194-IFERROR(H194,0))+((Besatzung!$B$14&lt;&gt;"")*IF(B194="",1,(IF(Besatzung!$C$14="",Besatzung!$B$5,Besatzung!$C$14)&lt;=B194)*(IF(Besatzung!$D$14="",Besatzung!$B$6,Besatzung!$D$14)&gt;=B194)))*(Besatzung!$F$14="x")*IFERROR(H194,0)/IFERROR(SUMPRODUCT((Besatzung!$B$11:$B$22&lt;&gt;"")*(Besatzung!$F$11:$F$22="x")*(IF(Besatzung!$C$11:$C$22="",Besatzung!$B$5,Besatzung!$C$11:$C$22)&lt;=B194)*(IF(Besatzung!$D$11:$D$22="",Besatzung!$B$6,Besatzung!$D$11:$D$22)&gt;=B194)),1)),IF(I194="An Bord",(((Besatzung!$B$14&lt;&gt;"")*IF(B194="",1,(IF(Besatzung!$C$14="",Besatzung!$B$5,Besatzung!$C$14)&lt;=B194)*(IF(Besatzung!$D$14="",Besatzung!$B$6,Besatzung!$D$14)&gt;=B194)))*((G194-IFERROR(H194,0))/IFERROR(SUMPRODUCT((Besatzung!$B$11:$B$22&lt;&gt;"")*(IF(Besatzung!$C$11:$C$22="",Besatzung!$B$5,Besatzung!$C$11:$C$22)&lt;=B194)*(IF(Besatzung!$D$11:$D$22="",Besatzung!$B$6,Besatzung!$D$11:$D$22)&gt;=B194)),1)+(Besatzung!$F$14="x")*IFERROR(H194,0)/IFERROR(SUMPRODUCT((Besatzung!$B$11:$B$22&lt;&gt;"")*(Besatzung!$F$11:$F$22="x")*(IF(Besatzung!$C$11:$C$22="",Besatzung!$B$5,Besatzung!$C$11:$C$22)&lt;=B194)*(IF(Besatzung!$D$11:$D$22="",Besatzung!$B$6,Besatzung!$D$11:$D$22)&gt;=B194)),1))),IF(I194="Individuell",((M194="x")*((G194-IFERROR(H194,0))/IFERROR(COUNTIF(J194:U194,"x"),1)+(Besatzung!$F$14="x")*IFERROR(H194,0)/IFERROR(SUMPRODUCT((J194:U194="x")*(Besatzung!$F$11:$F$22="x")),1))),(IF(COUNTIF(J194:U194,"x")=0,IF(Besatzung!$B$14&lt;&gt;"",1,0),(M194="x"))*(G194-IFERROR(H194,0))/IFERROR(IF(COUNTIF(J194:U194,"x")=0,COUNTA(Besatzung!$B$11:$B$22),COUNTIF(J194:U194,"x")),1)+IF(COUNTIF(J194:U194,"x")=0,(Besatzung!$F$14="x"),(M194="x")*(Besatzung!$F$14="x"))*IFERROR(H194,0)/IFERROR(IF(COUNTIF(J194:U194,"x")=0,SUMPRODUCT((Besatzung!$B$11:$B$22&lt;&gt;"")*(Besatzung!$F$11:$F$22="x")),SUMPRODUCT((J194:U194="x")*(Besatzung!$F$11:$F$22="x"))),1))))),0))))</f>
        <v/>
      </c>
      <c r="Z194" s="247">
        <f>IF(C194="Gutschrift","",IF(G194="","",IF(Besatzung!$B$13="","",IFERROR(IF(I194="Zeitanteilig",(Besatzung!$G$15*(G194-IFERROR(H194,0))+((Besatzung!$B$13&lt;&gt;"")*IF(B194="",1,(IF(Besatzung!$C$15="",Besatzung!$B$5,Besatzung!$C$15)&lt;=B194)*(IF(Besatzung!$D$15="",Besatzung!$B$6,Besatzung!$D$15)&gt;=B194)))*(Besatzung!$F$15="x")*IFERROR(H194,0)/IFERROR(SUMPRODUCT((Besatzung!$B$11:$B$22&lt;&gt;"")*(Besatzung!$F$11:$F$22="x")*(IF(Besatzung!$C$11:$C$22="",Besatzung!$B$5,Besatzung!$C$11:$C$22)&lt;=B194)*(IF(Besatzung!$D$11:$D$22="",Besatzung!$B$6,Besatzung!$D$11:$D$22)&gt;=B194)),1)),IF(I194="An Bord",(((Besatzung!$B$13&lt;&gt;"")*IF(B194="",1,(IF(Besatzung!$C$15="",Besatzung!$B$5,Besatzung!$C$15)&lt;=B194)*(IF(Besatzung!$D$15="",Besatzung!$B$6,Besatzung!$D$15)&gt;=B194)))*((G194-IFERROR(H194,0))/IFERROR(SUMPRODUCT((Besatzung!$B$11:$B$22&lt;&gt;"")*(IF(Besatzung!$C$11:$C$22="",Besatzung!$B$5,Besatzung!$C$11:$C$22)&lt;=B194)*(IF(Besatzung!$D$11:$D$22="",Besatzung!$B$6,Besatzung!$D$11:$D$22)&gt;=B194)),1)+(Besatzung!$F$15="x")*IFERROR(H194,0)/IFERROR(SUMPRODUCT((Besatzung!$B$11:$B$22&lt;&gt;"")*(Besatzung!$F$11:$F$22="x")*(IF(Besatzung!$C$11:$C$22="",Besatzung!$B$5,Besatzung!$C$11:$C$22)&lt;=B194)*(IF(Besatzung!$D$11:$D$22="",Besatzung!$B$6,Besatzung!$D$11:$D$22)&gt;=B194)),1))),IF(I194="Individuell",((N194="x")*((G194-IFERROR(H194,0))/IFERROR(COUNTIF(J194:U194,"x"),1)+(Besatzung!$F$15="x")*IFERROR(H194,0)/IFERROR(SUMPRODUCT((J194:U194="x")*(Besatzung!$F$11:$F$22="x")),1))),(IF(COUNTIF(J194:U194,"x")=0,IF(Besatzung!$B$13&lt;&gt;"",1,0),(N194="x"))*(G194-IFERROR(H194,0))/IFERROR(IF(COUNTIF(J194:U194,"x")=0,COUNTA(Besatzung!$B$11:$B$22),COUNTIF(J194:U194,"x")),1)+IF(COUNTIF(J194:U194,"x")=0,(Besatzung!$F$15="x"),(N194="x")*(Besatzung!$F$15="x"))*IFERROR(H194,0)/IFERROR(IF(COUNTIF(J194:U194,"x")=0,SUMPRODUCT((Besatzung!$B$11:$B$22&lt;&gt;"")*(Besatzung!$F$11:$F$22="x")),SUMPRODUCT((J194:U194="x")*(Besatzung!$F$11:$F$22="x"))),1))))),0))))</f>
        <v/>
      </c>
      <c r="AA194" s="247">
        <f>IF(C194="Gutschrift","",IF(G194="","",IF(Besatzung!$B$15="","",IFERROR(IF(I194="Zeitanteilig",(Besatzung!$G$16*(G194-IFERROR(H194,0))+((Besatzung!$B$15&lt;&gt;"")*IF(B194="",1,(IF(Besatzung!$C$16="",Besatzung!$B$5,Besatzung!$C$16)&lt;=B194)*(IF(Besatzung!$D$16="",Besatzung!$B$6,Besatzung!$D$16)&gt;=B194)))*(Besatzung!$F$16="x")*IFERROR(H194,0)/IFERROR(SUMPRODUCT((Besatzung!$B$11:$B$22&lt;&gt;"")*(Besatzung!$F$11:$F$22="x")*(IF(Besatzung!$C$11:$C$22="",Besatzung!$B$5,Besatzung!$C$11:$C$22)&lt;=B194)*(IF(Besatzung!$D$11:$D$22="",Besatzung!$B$6,Besatzung!$D$11:$D$22)&gt;=B194)),1)),IF(I194="An Bord",(((Besatzung!$B$15&lt;&gt;"")*IF(B194="",1,(IF(Besatzung!$C$16="",Besatzung!$B$5,Besatzung!$C$16)&lt;=B194)*(IF(Besatzung!$D$16="",Besatzung!$B$6,Besatzung!$D$16)&gt;=B194)))*((G194-IFERROR(H194,0))/IFERROR(SUMPRODUCT((Besatzung!$B$11:$B$22&lt;&gt;"")*(IF(Besatzung!$C$11:$C$22="",Besatzung!$B$5,Besatzung!$C$11:$C$22)&lt;=B194)*(IF(Besatzung!$D$11:$D$22="",Besatzung!$B$6,Besatzung!$D$11:$D$22)&gt;=B194)),1)+(Besatzung!$F$16="x")*IFERROR(H194,0)/IFERROR(SUMPRODUCT((Besatzung!$B$11:$B$22&lt;&gt;"")*(Besatzung!$F$11:$F$22="x")*(IF(Besatzung!$C$11:$C$22="",Besatzung!$B$5,Besatzung!$C$11:$C$22)&lt;=B194)*(IF(Besatzung!$D$11:$D$22="",Besatzung!$B$6,Besatzung!$D$11:$D$22)&gt;=B194)),1))),IF(I194="Individuell",((O194="x")*((G194-IFERROR(H194,0))/IFERROR(COUNTIF(J194:U194,"x"),1)+(Besatzung!$F$16="x")*IFERROR(H194,0)/IFERROR(SUMPRODUCT((J194:U194="x")*(Besatzung!$F$11:$F$22="x")),1))),(IF(COUNTIF(J194:U194,"x")=0,IF(Besatzung!$B$15&lt;&gt;"",1,0),(O194="x"))*(G194-IFERROR(H194,0))/IFERROR(IF(COUNTIF(J194:U194,"x")=0,COUNTA(Besatzung!$B$11:$B$22),COUNTIF(J194:U194,"x")),1)+IF(COUNTIF(J194:U194,"x")=0,(Besatzung!$F$16="x"),(O194="x")*(Besatzung!$F$16="x"))*IFERROR(H194,0)/IFERROR(IF(COUNTIF(J194:U194,"x")=0,SUMPRODUCT((Besatzung!$B$11:$B$22&lt;&gt;"")*(Besatzung!$F$11:$F$22="x")),SUMPRODUCT((J194:U194="x")*(Besatzung!$F$11:$F$22="x"))),1))))),0))))</f>
        <v/>
      </c>
      <c r="AB194" s="247">
        <f>IF(C194="Gutschrift","",IF(G194="","",IF(Besatzung!$B$17="","",IFERROR(IF(I194="Zeitanteilig",(Besatzung!$G$17*(G194-IFERROR(H194,0))+((Besatzung!$B$17&lt;&gt;"")*IF(B194="",1,(IF(Besatzung!$C$17="",Besatzung!$B$5,Besatzung!$C$17)&lt;=B194)*(IF(Besatzung!$D$17="",Besatzung!$B$6,Besatzung!$D$17)&gt;=B194)))*(Besatzung!$F$17="x")*IFERROR(H194,0)/IFERROR(SUMPRODUCT((Besatzung!$B$11:$B$22&lt;&gt;"")*(Besatzung!$F$11:$F$22="x")*(IF(Besatzung!$C$11:$C$22="",Besatzung!$B$5,Besatzung!$C$11:$C$22)&lt;=B194)*(IF(Besatzung!$D$11:$D$22="",Besatzung!$B$6,Besatzung!$D$11:$D$22)&gt;=B194)),1)),IF(I194="An Bord",(((Besatzung!$B$17&lt;&gt;"")*IF(B194="",1,(IF(Besatzung!$C$17="",Besatzung!$B$5,Besatzung!$C$17)&lt;=B194)*(IF(Besatzung!$D$17="",Besatzung!$B$6,Besatzung!$D$17)&gt;=B194)))*((G194-IFERROR(H194,0))/IFERROR(SUMPRODUCT((Besatzung!$B$11:$B$22&lt;&gt;"")*(IF(Besatzung!$C$11:$C$22="",Besatzung!$B$5,Besatzung!$C$11:$C$22)&lt;=B194)*(IF(Besatzung!$D$11:$D$22="",Besatzung!$B$6,Besatzung!$D$11:$D$22)&gt;=B194)),1)+(Besatzung!$F$17="x")*IFERROR(H194,0)/IFERROR(SUMPRODUCT((Besatzung!$B$11:$B$22&lt;&gt;"")*(Besatzung!$F$11:$F$22="x")*(IF(Besatzung!$C$11:$C$22="",Besatzung!$B$5,Besatzung!$C$11:$C$22)&lt;=B194)*(IF(Besatzung!$D$11:$D$22="",Besatzung!$B$6,Besatzung!$D$11:$D$22)&gt;=B194)),1))),IF(I194="Individuell",((P194="x")*((G194-IFERROR(H194,0))/IFERROR(COUNTIF(J194:U194,"x"),1)+(Besatzung!$F$17="x")*IFERROR(H194,0)/IFERROR(SUMPRODUCT((J194:U194="x")*(Besatzung!$F$11:$F$22="x")),1))),(IF(COUNTIF(J194:U194,"x")=0,IF(Besatzung!$B$17&lt;&gt;"",1,0),(P194="x"))*(G194-IFERROR(H194,0))/IFERROR(IF(COUNTIF(J194:U194,"x")=0,COUNTA(Besatzung!$B$11:$B$22),COUNTIF(J194:U194,"x")),1)+IF(COUNTIF(J194:U194,"x")=0,(Besatzung!$F$17="x"),(P194="x")*(Besatzung!$F$17="x"))*IFERROR(H194,0)/IFERROR(IF(COUNTIF(J194:U194,"x")=0,SUMPRODUCT((Besatzung!$B$11:$B$22&lt;&gt;"")*(Besatzung!$F$11:$F$22="x")),SUMPRODUCT((J194:U194="x")*(Besatzung!$F$11:$F$22="x"))),1))))),0))))</f>
        <v/>
      </c>
      <c r="AC194" s="247">
        <f>IF(C194="Gutschrift","",IF(G194="","",IF(Besatzung!$B$18="","",IFERROR(IF(I194="Zeitanteilig",(Besatzung!$G$18*(G194-IFERROR(H194,0))+((Besatzung!$B$18&lt;&gt;"")*IF(B194="",1,(IF(Besatzung!$C$18="",Besatzung!$B$5,Besatzung!$C$18)&lt;=B194)*(IF(Besatzung!$D$18="",Besatzung!$B$6,Besatzung!$D$18)&gt;=B194)))*(Besatzung!$F$18="x")*IFERROR(H194,0)/IFERROR(SUMPRODUCT((Besatzung!$B$11:$B$22&lt;&gt;"")*(Besatzung!$F$11:$F$22="x")*(IF(Besatzung!$C$11:$C$22="",Besatzung!$B$5,Besatzung!$C$11:$C$22)&lt;=B194)*(IF(Besatzung!$D$11:$D$22="",Besatzung!$B$6,Besatzung!$D$11:$D$22)&gt;=B194)),1)),IF(I194="An Bord",(((Besatzung!$B$18&lt;&gt;"")*IF(B194="",1,(IF(Besatzung!$C$18="",Besatzung!$B$5,Besatzung!$C$18)&lt;=B194)*(IF(Besatzung!$D$18="",Besatzung!$B$6,Besatzung!$D$18)&gt;=B194)))*((G194-IFERROR(H194,0))/IFERROR(SUMPRODUCT((Besatzung!$B$11:$B$22&lt;&gt;"")*(IF(Besatzung!$C$11:$C$22="",Besatzung!$B$5,Besatzung!$C$11:$C$22)&lt;=B194)*(IF(Besatzung!$D$11:$D$22="",Besatzung!$B$6,Besatzung!$D$11:$D$22)&gt;=B194)),1)+(Besatzung!$F$18="x")*IFERROR(H194,0)/IFERROR(SUMPRODUCT((Besatzung!$B$11:$B$22&lt;&gt;"")*(Besatzung!$F$11:$F$22="x")*(IF(Besatzung!$C$11:$C$22="",Besatzung!$B$5,Besatzung!$C$11:$C$22)&lt;=B194)*(IF(Besatzung!$D$11:$D$22="",Besatzung!$B$6,Besatzung!$D$11:$D$22)&gt;=B194)),1))),IF(I194="Individuell",((Q194="x")*((G194-IFERROR(H194,0))/IFERROR(COUNTIF(J194:U194,"x"),1)+(Besatzung!$F$18="x")*IFERROR(H194,0)/IFERROR(SUMPRODUCT((J194:U194="x")*(Besatzung!$F$11:$F$22="x")),1))),(IF(COUNTIF(J194:U194,"x")=0,IF(Besatzung!$B$18&lt;&gt;"",1,0),(Q194="x"))*(G194-IFERROR(H194,0))/IFERROR(IF(COUNTIF(J194:U194,"x")=0,COUNTA(Besatzung!$B$11:$B$22),COUNTIF(J194:U194,"x")),1)+IF(COUNTIF(J194:U194,"x")=0,(Besatzung!$F$18="x"),(Q194="x")*(Besatzung!$F$18="x"))*IFERROR(H194,0)/IFERROR(IF(COUNTIF(J194:U194,"x")=0,SUMPRODUCT((Besatzung!$B$11:$B$22&lt;&gt;"")*(Besatzung!$F$11:$F$22="x")),SUMPRODUCT((J194:U194="x")*(Besatzung!$F$11:$F$22="x"))),1))))),0))))</f>
        <v/>
      </c>
      <c r="AD194" s="247">
        <f>IF(C194="Gutschrift","",IF(G194="","",IF(Besatzung!$B$19="","",IFERROR(IF(I194="Zeitanteilig",(Besatzung!$G$19*(G194-IFERROR(H194,0))+((Besatzung!$B$19&lt;&gt;"")*IF(B194="",1,(IF(Besatzung!$C$19="",Besatzung!$B$5,Besatzung!$C$19)&lt;=B194)*(IF(Besatzung!$D$19="",Besatzung!$B$6,Besatzung!$D$19)&gt;=B194)))*(Besatzung!$F$19="x")*IFERROR(H194,0)/IFERROR(SUMPRODUCT((Besatzung!$B$11:$B$22&lt;&gt;"")*(Besatzung!$F$11:$F$22="x")*(IF(Besatzung!$C$11:$C$22="",Besatzung!$B$5,Besatzung!$C$11:$C$22)&lt;=B194)*(IF(Besatzung!$D$11:$D$22="",Besatzung!$B$6,Besatzung!$D$11:$D$22)&gt;=B194)),1)),IF(I194="An Bord",(((Besatzung!$B$19&lt;&gt;"")*IF(B194="",1,(IF(Besatzung!$C$19="",Besatzung!$B$5,Besatzung!$C$19)&lt;=B194)*(IF(Besatzung!$D$19="",Besatzung!$B$6,Besatzung!$D$19)&gt;=B194)))*((G194-IFERROR(H194,0))/IFERROR(SUMPRODUCT((Besatzung!$B$11:$B$22&lt;&gt;"")*(IF(Besatzung!$C$11:$C$22="",Besatzung!$B$5,Besatzung!$C$11:$C$22)&lt;=B194)*(IF(Besatzung!$D$11:$D$22="",Besatzung!$B$6,Besatzung!$D$11:$D$22)&gt;=B194)),1)+(Besatzung!$F$19="x")*IFERROR(H194,0)/IFERROR(SUMPRODUCT((Besatzung!$B$11:$B$22&lt;&gt;"")*(Besatzung!$F$11:$F$22="x")*(IF(Besatzung!$C$11:$C$22="",Besatzung!$B$5,Besatzung!$C$11:$C$22)&lt;=B194)*(IF(Besatzung!$D$11:$D$22="",Besatzung!$B$6,Besatzung!$D$11:$D$22)&gt;=B194)),1))),IF(I194="Individuell",((R194="x")*((G194-IFERROR(H194,0))/IFERROR(COUNTIF(J194:U194,"x"),1)+(Besatzung!$F$19="x")*IFERROR(H194,0)/IFERROR(SUMPRODUCT((J194:U194="x")*(Besatzung!$F$11:$F$22="x")),1))),(IF(COUNTIF(J194:U194,"x")=0,IF(Besatzung!$B$19&lt;&gt;"",1,0),(R194="x"))*(G194-IFERROR(H194,0))/IFERROR(IF(COUNTIF(J194:U194,"x")=0,COUNTA(Besatzung!$B$11:$B$22),COUNTIF(J194:U194,"x")),1)+IF(COUNTIF(J194:U194,"x")=0,(Besatzung!$F$19="x"),(R194="x")*(Besatzung!$F$19="x"))*IFERROR(H194,0)/IFERROR(IF(COUNTIF(J194:U194,"x")=0,SUMPRODUCT((Besatzung!$B$11:$B$22&lt;&gt;"")*(Besatzung!$F$11:$F$22="x")),SUMPRODUCT((J194:U194="x")*(Besatzung!$F$11:$F$22="x"))),1))))),0))))</f>
        <v/>
      </c>
      <c r="AE194" s="247">
        <f>IF(C194="Gutschrift","",IF(G194="","",IF(Besatzung!$B$20="","",IFERROR(IF(I194="Zeitanteilig",(Besatzung!$G$20*(G194-IFERROR(H194,0))+((Besatzung!$B$20&lt;&gt;"")*IF(B194="",1,(IF(Besatzung!$C$20="",Besatzung!$B$5,Besatzung!$C$20)&lt;=B194)*(IF(Besatzung!$D$20="",Besatzung!$B$6,Besatzung!$D$20)&gt;=B194)))*(Besatzung!$F$20="x")*IFERROR(H194,0)/IFERROR(SUMPRODUCT((Besatzung!$B$11:$B$22&lt;&gt;"")*(Besatzung!$F$11:$F$22="x")*(IF(Besatzung!$C$11:$C$22="",Besatzung!$B$5,Besatzung!$C$11:$C$22)&lt;=B194)*(IF(Besatzung!$D$11:$D$22="",Besatzung!$B$6,Besatzung!$D$11:$D$22)&gt;=B194)),1)),IF(I194="An Bord",(((Besatzung!$B$20&lt;&gt;"")*IF(B194="",1,(IF(Besatzung!$C$20="",Besatzung!$B$5,Besatzung!$C$20)&lt;=B194)*(IF(Besatzung!$D$20="",Besatzung!$B$6,Besatzung!$D$20)&gt;=B194)))*((G194-IFERROR(H194,0))/IFERROR(SUMPRODUCT((Besatzung!$B$11:$B$22&lt;&gt;"")*(IF(Besatzung!$C$11:$C$22="",Besatzung!$B$5,Besatzung!$C$11:$C$22)&lt;=B194)*(IF(Besatzung!$D$11:$D$22="",Besatzung!$B$6,Besatzung!$D$11:$D$22)&gt;=B194)),1)+(Besatzung!$F$20="x")*IFERROR(H194,0)/IFERROR(SUMPRODUCT((Besatzung!$B$11:$B$22&lt;&gt;"")*(Besatzung!$F$11:$F$22="x")*(IF(Besatzung!$C$11:$C$22="",Besatzung!$B$5,Besatzung!$C$11:$C$22)&lt;=B194)*(IF(Besatzung!$D$11:$D$22="",Besatzung!$B$6,Besatzung!$D$11:$D$22)&gt;=B194)),1))),IF(I194="Individuell",((S194="x")*((G194-IFERROR(H194,0))/IFERROR(COUNTIF(J194:U194,"x"),1)+(Besatzung!$F$20="x")*IFERROR(H194,0)/IFERROR(SUMPRODUCT((J194:U194="x")*(Besatzung!$F$11:$F$22="x")),1))),(IF(COUNTIF(J194:U194,"x")=0,IF(Besatzung!$B$20&lt;&gt;"",1,0),(S194="x"))*(G194-IFERROR(H194,0))/IFERROR(IF(COUNTIF(J194:U194,"x")=0,COUNTA(Besatzung!$B$11:$B$22),COUNTIF(J194:U194,"x")),1)+IF(COUNTIF(J194:U194,"x")=0,(Besatzung!$F$20="x"),(S194="x")*(Besatzung!$F$20="x"))*IFERROR(H194,0)/IFERROR(IF(COUNTIF(J194:U194,"x")=0,SUMPRODUCT((Besatzung!$B$11:$B$22&lt;&gt;"")*(Besatzung!$F$11:$F$22="x")),SUMPRODUCT((J194:U194="x")*(Besatzung!$F$11:$F$22="x"))),1))))),0))))</f>
        <v/>
      </c>
      <c r="AF194" s="247">
        <f>IF(C194="Gutschrift","",IF(G194="","",IF(Besatzung!$B$21="","",IFERROR(IF(I194="Zeitanteilig",(Besatzung!$G$21*(G194-IFERROR(H194,0))+((Besatzung!$B$21&lt;&gt;"")*IF(B194="",1,(IF(Besatzung!$C$21="",Besatzung!$B$5,Besatzung!$C$21)&lt;=B194)*(IF(Besatzung!$D$21="",Besatzung!$B$6,Besatzung!$D$21)&gt;=B194)))*(Besatzung!$F$21="x")*IFERROR(H194,0)/IFERROR(SUMPRODUCT((Besatzung!$B$11:$B$22&lt;&gt;"")*(Besatzung!$F$11:$F$22="x")*(IF(Besatzung!$C$11:$C$22="",Besatzung!$B$5,Besatzung!$C$11:$C$22)&lt;=B194)*(IF(Besatzung!$D$11:$D$22="",Besatzung!$B$6,Besatzung!$D$11:$D$22)&gt;=B194)),1)),IF(I194="An Bord",(((Besatzung!$B$21&lt;&gt;"")*IF(B194="",1,(IF(Besatzung!$C$21="",Besatzung!$B$5,Besatzung!$C$21)&lt;=B194)*(IF(Besatzung!$D$21="",Besatzung!$B$6,Besatzung!$D$21)&gt;=B194)))*((G194-IFERROR(H194,0))/IFERROR(SUMPRODUCT((Besatzung!$B$11:$B$22&lt;&gt;"")*(IF(Besatzung!$C$11:$C$22="",Besatzung!$B$5,Besatzung!$C$11:$C$22)&lt;=B194)*(IF(Besatzung!$D$11:$D$22="",Besatzung!$B$6,Besatzung!$D$11:$D$22)&gt;=B194)),1)+(Besatzung!$F$21="x")*IFERROR(H194,0)/IFERROR(SUMPRODUCT((Besatzung!$B$11:$B$22&lt;&gt;"")*(Besatzung!$F$11:$F$22="x")*(IF(Besatzung!$C$11:$C$22="",Besatzung!$B$5,Besatzung!$C$11:$C$22)&lt;=B194)*(IF(Besatzung!$D$11:$D$22="",Besatzung!$B$6,Besatzung!$D$11:$D$22)&gt;=B194)),1))),IF(I194="Individuell",((T194="x")*((G194-IFERROR(H194,0))/IFERROR(COUNTIF(J194:U194,"x"),1)+(Besatzung!$F$21="x")*IFERROR(H194,0)/IFERROR(SUMPRODUCT((J194:U194="x")*(Besatzung!$F$11:$F$22="x")),1))),(IF(COUNTIF(J194:U194,"x")=0,IF(Besatzung!$B$21&lt;&gt;"",1,0),(T194="x"))*(G194-IFERROR(H194,0))/IFERROR(IF(COUNTIF(J194:U194,"x")=0,COUNTA(Besatzung!$B$11:$B$22),COUNTIF(J194:U194,"x")),1)+IF(COUNTIF(J194:U194,"x")=0,(Besatzung!$F$21="x"),(T194="x")*(Besatzung!$F$21="x"))*IFERROR(H194,0)/IFERROR(IF(COUNTIF(J194:U194,"x")=0,SUMPRODUCT((Besatzung!$B$11:$B$22&lt;&gt;"")*(Besatzung!$F$11:$F$22="x")),SUMPRODUCT((J194:U194="x")*(Besatzung!$F$11:$F$22="x"))),1))))),0))))</f>
        <v/>
      </c>
      <c r="AG194" s="247">
        <f>IF(C194="Gutschrift","",IF(G194="","",IF(Besatzung!$B$22="","",IFERROR(IF(I194="Zeitanteilig",(Besatzung!$G$22*(G194-IFERROR(H194,0))+((Besatzung!$B$22&lt;&gt;"")*IF(B194="",1,(IF(Besatzung!$C$22="",Besatzung!$B$5,Besatzung!$C$22)&lt;=B194)*(IF(Besatzung!$D$22="",Besatzung!$B$6,Besatzung!$D$22)&gt;=B194)))*(Besatzung!$F$22="x")*IFERROR(H194,0)/IFERROR(SUMPRODUCT((Besatzung!$B$11:$B$22&lt;&gt;"")*(Besatzung!$F$11:$F$22="x")*(IF(Besatzung!$C$11:$C$22="",Besatzung!$B$5,Besatzung!$C$11:$C$22)&lt;=B194)*(IF(Besatzung!$D$11:$D$22="",Besatzung!$B$6,Besatzung!$D$11:$D$22)&gt;=B194)),1)),IF(I194="An Bord",(((Besatzung!$B$22&lt;&gt;"")*IF(B194="",1,(IF(Besatzung!$C$22="",Besatzung!$B$5,Besatzung!$C$22)&lt;=B194)*(IF(Besatzung!$D$22="",Besatzung!$B$6,Besatzung!$D$22)&gt;=B194)))*((G194-IFERROR(H194,0))/IFERROR(SUMPRODUCT((Besatzung!$B$11:$B$22&lt;&gt;"")*(IF(Besatzung!$C$11:$C$22="",Besatzung!$B$5,Besatzung!$C$11:$C$22)&lt;=B194)*(IF(Besatzung!$D$11:$D$22="",Besatzung!$B$6,Besatzung!$D$11:$D$22)&gt;=B194)),1)+(Besatzung!$F$22="x")*IFERROR(H194,0)/IFERROR(SUMPRODUCT((Besatzung!$B$11:$B$22&lt;&gt;"")*(Besatzung!$F$11:$F$22="x")*(IF(Besatzung!$C$11:$C$22="",Besatzung!$B$5,Besatzung!$C$11:$C$22)&lt;=B194)*(IF(Besatzung!$D$11:$D$22="",Besatzung!$B$6,Besatzung!$D$11:$D$22)&gt;=B194)),1))),IF(I194="Individuell",((U194="x")*((G194-IFERROR(H194,0))/IFERROR(COUNTIF(J194:U194,"x"),1)+(Besatzung!$F$22="x")*IFERROR(H194,0)/IFERROR(SUMPRODUCT((J194:U194="x")*(Besatzung!$F$11:$F$22="x")),1))),(IF(COUNTIF(J194:U194,"x")=0,IF(Besatzung!$B$22&lt;&gt;"",1,0),(U194="x"))*(G194-IFERROR(H194,0))/IFERROR(IF(COUNTIF(J194:U194,"x")=0,COUNTA(Besatzung!$B$11:$B$22),COUNTIF(J194:U194,"x")),1)+IF(COUNTIF(J194:U194,"x")=0,(Besatzung!$F$22="x"),(U194="x")*(Besatzung!$F$22="x"))*IFERROR(H194,0)/IFERROR(IF(COUNTIF(J194:U194,"x")=0,SUMPRODUCT((Besatzung!$B$11:$B$22&lt;&gt;"")*(Besatzung!$F$11:$F$22="x")),SUMPRODUCT((J194:U194="x")*(Besatzung!$F$11:$F$22="x"))),1))))),0))))</f>
        <v/>
      </c>
      <c r="AH194" s="248" t="n"/>
      <c r="AI194" s="248" t="n"/>
    </row>
    <row r="195" ht="21.75" customHeight="1" s="154">
      <c r="A195" s="238">
        <f>IF(AND(D195="",C195=""),"",192)</f>
        <v/>
      </c>
      <c r="B195" s="206" t="n"/>
      <c r="C195" s="249" t="n"/>
      <c r="D195" s="250" t="n"/>
      <c r="E195" s="251" t="n"/>
      <c r="F195" s="252" t="n"/>
      <c r="G195" s="253" t="n"/>
      <c r="H195" s="254" t="n"/>
      <c r="I195" s="255" t="n"/>
      <c r="J195" s="256" t="n"/>
      <c r="K195" s="256" t="n"/>
      <c r="L195" s="256" t="n"/>
      <c r="M195" s="256" t="n"/>
      <c r="N195" s="256" t="n"/>
      <c r="O195" s="256" t="n"/>
      <c r="P195" s="256" t="n"/>
      <c r="Q195" s="256" t="n"/>
      <c r="R195" s="256" t="n"/>
      <c r="S195" s="256" t="n"/>
      <c r="T195" s="256" t="n"/>
      <c r="U195" s="256" t="n"/>
      <c r="V195" s="247">
        <f>IF(C195="Gutschrift","",IF(G195="","",IF(Besatzung!$B$11="","",IFERROR(IF(I195="Zeitanteilig",(Besatzung!$G$11*(G195-IFERROR(H195,0))+((Besatzung!$B$11&lt;&gt;"")*IF(B195="",1,(IF(Besatzung!$C$11="",Besatzung!$B$5,Besatzung!$C$11)&lt;=B195)*(IF(Besatzung!$D$11="",Besatzung!$B$6,Besatzung!$D$11)&gt;=B195)))*(Besatzung!$F$11="x")*IFERROR(H195,0)/IFERROR(SUMPRODUCT((Besatzung!$B$11:$B$22&lt;&gt;"")*(Besatzung!$F$11:$F$22="x")*(IF(Besatzung!$C$11:$C$22="",Besatzung!$B$5,Besatzung!$C$11:$C$22)&lt;=B195)*(IF(Besatzung!$D$11:$D$22="",Besatzung!$B$6,Besatzung!$D$11:$D$22)&gt;=B195)),1)),IF(I195="An Bord",(((Besatzung!$B$11&lt;&gt;"")*IF(B195="",1,(IF(Besatzung!$C$11="",Besatzung!$B$5,Besatzung!$C$11)&lt;=B195)*(IF(Besatzung!$D$11="",Besatzung!$B$6,Besatzung!$D$11)&gt;=B195)))*((G195-IFERROR(H195,0))/IFERROR(SUMPRODUCT((Besatzung!$B$11:$B$22&lt;&gt;"")*(IF(Besatzung!$C$11:$C$22="",Besatzung!$B$5,Besatzung!$C$11:$C$22)&lt;=B195)*(IF(Besatzung!$D$11:$D$22="",Besatzung!$B$6,Besatzung!$D$11:$D$22)&gt;=B195)),1)+(Besatzung!$F$11="x")*IFERROR(H195,0)/IFERROR(SUMPRODUCT((Besatzung!$B$11:$B$22&lt;&gt;"")*(Besatzung!$F$11:$F$22="x")*(IF(Besatzung!$C$11:$C$22="",Besatzung!$B$5,Besatzung!$C$11:$C$22)&lt;=B195)*(IF(Besatzung!$D$11:$D$22="",Besatzung!$B$6,Besatzung!$D$11:$D$22)&gt;=B195)),1))),IF(I195="Individuell",((J195="x")*((G195-IFERROR(H195,0))/IFERROR(COUNTIF(J195:U195,"x"),1)+(Besatzung!$F$11="x")*IFERROR(H195,0)/IFERROR(SUMPRODUCT((J195:U195="x")*(Besatzung!$F$11:$F$22="x")),1))),(IF(COUNTIF(J195:U195,"x")=0,IF(Besatzung!$B$11&lt;&gt;"",1,0),(J195="x"))*(G195-IFERROR(H195,0))/IFERROR(IF(COUNTIF(J195:U195,"x")=0,COUNTA(Besatzung!$B$11:$B$22),COUNTIF(J195:U195,"x")),1)+IF(COUNTIF(J195:U195,"x")=0,(Besatzung!$F$11="x"),(J195="x")*(Besatzung!$F$11="x"))*IFERROR(H195,0)/IFERROR(IF(COUNTIF(J195:U195,"x")=0,SUMPRODUCT((Besatzung!$B$11:$B$22&lt;&gt;"")*(Besatzung!$F$11:$F$22="x")),SUMPRODUCT((J195:U195="x")*(Besatzung!$F$11:$F$22="x"))),1))))),0))))</f>
        <v/>
      </c>
      <c r="W195" s="247">
        <f>IF(C195="Gutschrift","",IF(G195="","",IF(Besatzung!$B$12="","",IFERROR(IF(I195="Zeitanteilig",(Besatzung!$G$12*(G195-IFERROR(H195,0))+((Besatzung!$B$12&lt;&gt;"")*IF(B195="",1,(IF(Besatzung!$C$12="",Besatzung!$B$5,Besatzung!$C$12)&lt;=B195)*(IF(Besatzung!$D$12="",Besatzung!$B$6,Besatzung!$D$12)&gt;=B195)))*(Besatzung!$F$12="x")*IFERROR(H195,0)/IFERROR(SUMPRODUCT((Besatzung!$B$11:$B$22&lt;&gt;"")*(Besatzung!$F$11:$F$22="x")*(IF(Besatzung!$C$11:$C$22="",Besatzung!$B$5,Besatzung!$C$11:$C$22)&lt;=B195)*(IF(Besatzung!$D$11:$D$22="",Besatzung!$B$6,Besatzung!$D$11:$D$22)&gt;=B195)),1)),IF(I195="An Bord",(((Besatzung!$B$12&lt;&gt;"")*IF(B195="",1,(IF(Besatzung!$C$12="",Besatzung!$B$5,Besatzung!$C$12)&lt;=B195)*(IF(Besatzung!$D$12="",Besatzung!$B$6,Besatzung!$D$12)&gt;=B195)))*((G195-IFERROR(H195,0))/IFERROR(SUMPRODUCT((Besatzung!$B$11:$B$22&lt;&gt;"")*(IF(Besatzung!$C$11:$C$22="",Besatzung!$B$5,Besatzung!$C$11:$C$22)&lt;=B195)*(IF(Besatzung!$D$11:$D$22="",Besatzung!$B$6,Besatzung!$D$11:$D$22)&gt;=B195)),1)+(Besatzung!$F$12="x")*IFERROR(H195,0)/IFERROR(SUMPRODUCT((Besatzung!$B$11:$B$22&lt;&gt;"")*(Besatzung!$F$11:$F$22="x")*(IF(Besatzung!$C$11:$C$22="",Besatzung!$B$5,Besatzung!$C$11:$C$22)&lt;=B195)*(IF(Besatzung!$D$11:$D$22="",Besatzung!$B$6,Besatzung!$D$11:$D$22)&gt;=B195)),1))),IF(I195="Individuell",((K195="x")*((G195-IFERROR(H195,0))/IFERROR(COUNTIF(J195:U195,"x"),1)+(Besatzung!$F$12="x")*IFERROR(H195,0)/IFERROR(SUMPRODUCT((J195:U195="x")*(Besatzung!$F$11:$F$22="x")),1))),(IF(COUNTIF(J195:U195,"x")=0,IF(Besatzung!$B$12&lt;&gt;"",1,0),(K195="x"))*(G195-IFERROR(H195,0))/IFERROR(IF(COUNTIF(J195:U195,"x")=0,COUNTA(Besatzung!$B$11:$B$22),COUNTIF(J195:U195,"x")),1)+IF(COUNTIF(J195:U195,"x")=0,(Besatzung!$F$12="x"),(K195="x")*(Besatzung!$F$12="x"))*IFERROR(H195,0)/IFERROR(IF(COUNTIF(J195:U195,"x")=0,SUMPRODUCT((Besatzung!$B$11:$B$22&lt;&gt;"")*(Besatzung!$F$11:$F$22="x")),SUMPRODUCT((J195:U195="x")*(Besatzung!$F$11:$F$22="x"))),1))))),0))))</f>
        <v/>
      </c>
      <c r="X195" s="247">
        <f>IF(C195="Gutschrift","",IF(G195="","",IF(Besatzung!$B$13="","",IFERROR(IF(I195="Zeitanteilig",(Besatzung!$G$13*(G195-IFERROR(H195,0))+((Besatzung!$B$13&lt;&gt;"")*IF(B195="",1,(IF(Besatzung!$C$13="",Besatzung!$B$5,Besatzung!$C$13)&lt;=B195)*(IF(Besatzung!$D$13="",Besatzung!$B$6,Besatzung!$D$13)&gt;=B195)))*(Besatzung!$F$13="x")*IFERROR(H195,0)/IFERROR(SUMPRODUCT((Besatzung!$B$11:$B$22&lt;&gt;"")*(Besatzung!$F$11:$F$22="x")*(IF(Besatzung!$C$11:$C$22="",Besatzung!$B$5,Besatzung!$C$11:$C$22)&lt;=B195)*(IF(Besatzung!$D$11:$D$22="",Besatzung!$B$6,Besatzung!$D$11:$D$22)&gt;=B195)),1)),IF(I195="An Bord",(((Besatzung!$B$13&lt;&gt;"")*IF(B195="",1,(IF(Besatzung!$C$13="",Besatzung!$B$5,Besatzung!$C$13)&lt;=B195)*(IF(Besatzung!$D$13="",Besatzung!$B$6,Besatzung!$D$13)&gt;=B195)))*((G195-IFERROR(H195,0))/IFERROR(SUMPRODUCT((Besatzung!$B$11:$B$22&lt;&gt;"")*(IF(Besatzung!$C$11:$C$22="",Besatzung!$B$5,Besatzung!$C$11:$C$22)&lt;=B195)*(IF(Besatzung!$D$11:$D$22="",Besatzung!$B$6,Besatzung!$D$11:$D$22)&gt;=B195)),1)+(Besatzung!$F$13="x")*IFERROR(H195,0)/IFERROR(SUMPRODUCT((Besatzung!$B$11:$B$22&lt;&gt;"")*(Besatzung!$F$11:$F$22="x")*(IF(Besatzung!$C$11:$C$22="",Besatzung!$B$5,Besatzung!$C$11:$C$22)&lt;=B195)*(IF(Besatzung!$D$11:$D$22="",Besatzung!$B$6,Besatzung!$D$11:$D$22)&gt;=B195)),1))),IF(I195="Individuell",((K195="x")*((G195-IFERROR(H195,0))/IFERROR(COUNTIF(J195:U195,"x"),1)+(Besatzung!$F$13="x")*IFERROR(H195,0)/IFERROR(SUMPRODUCT((J195:U195="x")*(Besatzung!$F$11:$F$22="x")),1))),(IF(COUNTIF(J195:U195,"x")=0,IF(Besatzung!$B$13&lt;&gt;"",1,0),(K195="x"))*(G195-IFERROR(H195,0))/IFERROR(IF(COUNTIF(J195:U195,"x")=0,COUNTA(Besatzung!$B$11:$B$22),COUNTIF(J195:U195,"x")),1)+IF(COUNTIF(J195:U195,"x")=0,(Besatzung!$F$13="x"),(K195="x")*(Besatzung!$F$13="x"))*IFERROR(H195,0)/IFERROR(IF(COUNTIF(J195:U195,"x")=0,SUMPRODUCT((Besatzung!$B$11:$B$22&lt;&gt;"")*(Besatzung!$F$11:$F$22="x")),SUMPRODUCT((J195:U195="x")*(Besatzung!$F$11:$F$22="x"))),1))))),0))))</f>
        <v/>
      </c>
      <c r="Y195" s="247">
        <f>IF(C195="Gutschrift","",IF(G195="","",IF(Besatzung!$B$14="","",IFERROR(IF(I195="Zeitanteilig",(Besatzung!$G$14*(G195-IFERROR(H195,0))+((Besatzung!$B$14&lt;&gt;"")*IF(B195="",1,(IF(Besatzung!$C$14="",Besatzung!$B$5,Besatzung!$C$14)&lt;=B195)*(IF(Besatzung!$D$14="",Besatzung!$B$6,Besatzung!$D$14)&gt;=B195)))*(Besatzung!$F$14="x")*IFERROR(H195,0)/IFERROR(SUMPRODUCT((Besatzung!$B$11:$B$22&lt;&gt;"")*(Besatzung!$F$11:$F$22="x")*(IF(Besatzung!$C$11:$C$22="",Besatzung!$B$5,Besatzung!$C$11:$C$22)&lt;=B195)*(IF(Besatzung!$D$11:$D$22="",Besatzung!$B$6,Besatzung!$D$11:$D$22)&gt;=B195)),1)),IF(I195="An Bord",(((Besatzung!$B$14&lt;&gt;"")*IF(B195="",1,(IF(Besatzung!$C$14="",Besatzung!$B$5,Besatzung!$C$14)&lt;=B195)*(IF(Besatzung!$D$14="",Besatzung!$B$6,Besatzung!$D$14)&gt;=B195)))*((G195-IFERROR(H195,0))/IFERROR(SUMPRODUCT((Besatzung!$B$11:$B$22&lt;&gt;"")*(IF(Besatzung!$C$11:$C$22="",Besatzung!$B$5,Besatzung!$C$11:$C$22)&lt;=B195)*(IF(Besatzung!$D$11:$D$22="",Besatzung!$B$6,Besatzung!$D$11:$D$22)&gt;=B195)),1)+(Besatzung!$F$14="x")*IFERROR(H195,0)/IFERROR(SUMPRODUCT((Besatzung!$B$11:$B$22&lt;&gt;"")*(Besatzung!$F$11:$F$22="x")*(IF(Besatzung!$C$11:$C$22="",Besatzung!$B$5,Besatzung!$C$11:$C$22)&lt;=B195)*(IF(Besatzung!$D$11:$D$22="",Besatzung!$B$6,Besatzung!$D$11:$D$22)&gt;=B195)),1))),IF(I195="Individuell",((M195="x")*((G195-IFERROR(H195,0))/IFERROR(COUNTIF(J195:U195,"x"),1)+(Besatzung!$F$14="x")*IFERROR(H195,0)/IFERROR(SUMPRODUCT((J195:U195="x")*(Besatzung!$F$11:$F$22="x")),1))),(IF(COUNTIF(J195:U195,"x")=0,IF(Besatzung!$B$14&lt;&gt;"",1,0),(M195="x"))*(G195-IFERROR(H195,0))/IFERROR(IF(COUNTIF(J195:U195,"x")=0,COUNTA(Besatzung!$B$11:$B$22),COUNTIF(J195:U195,"x")),1)+IF(COUNTIF(J195:U195,"x")=0,(Besatzung!$F$14="x"),(M195="x")*(Besatzung!$F$14="x"))*IFERROR(H195,0)/IFERROR(IF(COUNTIF(J195:U195,"x")=0,SUMPRODUCT((Besatzung!$B$11:$B$22&lt;&gt;"")*(Besatzung!$F$11:$F$22="x")),SUMPRODUCT((J195:U195="x")*(Besatzung!$F$11:$F$22="x"))),1))))),0))))</f>
        <v/>
      </c>
      <c r="Z195" s="247">
        <f>IF(C195="Gutschrift","",IF(G195="","",IF(Besatzung!$B$13="","",IFERROR(IF(I195="Zeitanteilig",(Besatzung!$G$15*(G195-IFERROR(H195,0))+((Besatzung!$B$13&lt;&gt;"")*IF(B195="",1,(IF(Besatzung!$C$15="",Besatzung!$B$5,Besatzung!$C$15)&lt;=B195)*(IF(Besatzung!$D$15="",Besatzung!$B$6,Besatzung!$D$15)&gt;=B195)))*(Besatzung!$F$15="x")*IFERROR(H195,0)/IFERROR(SUMPRODUCT((Besatzung!$B$11:$B$22&lt;&gt;"")*(Besatzung!$F$11:$F$22="x")*(IF(Besatzung!$C$11:$C$22="",Besatzung!$B$5,Besatzung!$C$11:$C$22)&lt;=B195)*(IF(Besatzung!$D$11:$D$22="",Besatzung!$B$6,Besatzung!$D$11:$D$22)&gt;=B195)),1)),IF(I195="An Bord",(((Besatzung!$B$13&lt;&gt;"")*IF(B195="",1,(IF(Besatzung!$C$15="",Besatzung!$B$5,Besatzung!$C$15)&lt;=B195)*(IF(Besatzung!$D$15="",Besatzung!$B$6,Besatzung!$D$15)&gt;=B195)))*((G195-IFERROR(H195,0))/IFERROR(SUMPRODUCT((Besatzung!$B$11:$B$22&lt;&gt;"")*(IF(Besatzung!$C$11:$C$22="",Besatzung!$B$5,Besatzung!$C$11:$C$22)&lt;=B195)*(IF(Besatzung!$D$11:$D$22="",Besatzung!$B$6,Besatzung!$D$11:$D$22)&gt;=B195)),1)+(Besatzung!$F$15="x")*IFERROR(H195,0)/IFERROR(SUMPRODUCT((Besatzung!$B$11:$B$22&lt;&gt;"")*(Besatzung!$F$11:$F$22="x")*(IF(Besatzung!$C$11:$C$22="",Besatzung!$B$5,Besatzung!$C$11:$C$22)&lt;=B195)*(IF(Besatzung!$D$11:$D$22="",Besatzung!$B$6,Besatzung!$D$11:$D$22)&gt;=B195)),1))),IF(I195="Individuell",((N195="x")*((G195-IFERROR(H195,0))/IFERROR(COUNTIF(J195:U195,"x"),1)+(Besatzung!$F$15="x")*IFERROR(H195,0)/IFERROR(SUMPRODUCT((J195:U195="x")*(Besatzung!$F$11:$F$22="x")),1))),(IF(COUNTIF(J195:U195,"x")=0,IF(Besatzung!$B$13&lt;&gt;"",1,0),(N195="x"))*(G195-IFERROR(H195,0))/IFERROR(IF(COUNTIF(J195:U195,"x")=0,COUNTA(Besatzung!$B$11:$B$22),COUNTIF(J195:U195,"x")),1)+IF(COUNTIF(J195:U195,"x")=0,(Besatzung!$F$15="x"),(N195="x")*(Besatzung!$F$15="x"))*IFERROR(H195,0)/IFERROR(IF(COUNTIF(J195:U195,"x")=0,SUMPRODUCT((Besatzung!$B$11:$B$22&lt;&gt;"")*(Besatzung!$F$11:$F$22="x")),SUMPRODUCT((J195:U195="x")*(Besatzung!$F$11:$F$22="x"))),1))))),0))))</f>
        <v/>
      </c>
      <c r="AA195" s="247">
        <f>IF(C195="Gutschrift","",IF(G195="","",IF(Besatzung!$B$15="","",IFERROR(IF(I195="Zeitanteilig",(Besatzung!$G$16*(G195-IFERROR(H195,0))+((Besatzung!$B$15&lt;&gt;"")*IF(B195="",1,(IF(Besatzung!$C$16="",Besatzung!$B$5,Besatzung!$C$16)&lt;=B195)*(IF(Besatzung!$D$16="",Besatzung!$B$6,Besatzung!$D$16)&gt;=B195)))*(Besatzung!$F$16="x")*IFERROR(H195,0)/IFERROR(SUMPRODUCT((Besatzung!$B$11:$B$22&lt;&gt;"")*(Besatzung!$F$11:$F$22="x")*(IF(Besatzung!$C$11:$C$22="",Besatzung!$B$5,Besatzung!$C$11:$C$22)&lt;=B195)*(IF(Besatzung!$D$11:$D$22="",Besatzung!$B$6,Besatzung!$D$11:$D$22)&gt;=B195)),1)),IF(I195="An Bord",(((Besatzung!$B$15&lt;&gt;"")*IF(B195="",1,(IF(Besatzung!$C$16="",Besatzung!$B$5,Besatzung!$C$16)&lt;=B195)*(IF(Besatzung!$D$16="",Besatzung!$B$6,Besatzung!$D$16)&gt;=B195)))*((G195-IFERROR(H195,0))/IFERROR(SUMPRODUCT((Besatzung!$B$11:$B$22&lt;&gt;"")*(IF(Besatzung!$C$11:$C$22="",Besatzung!$B$5,Besatzung!$C$11:$C$22)&lt;=B195)*(IF(Besatzung!$D$11:$D$22="",Besatzung!$B$6,Besatzung!$D$11:$D$22)&gt;=B195)),1)+(Besatzung!$F$16="x")*IFERROR(H195,0)/IFERROR(SUMPRODUCT((Besatzung!$B$11:$B$22&lt;&gt;"")*(Besatzung!$F$11:$F$22="x")*(IF(Besatzung!$C$11:$C$22="",Besatzung!$B$5,Besatzung!$C$11:$C$22)&lt;=B195)*(IF(Besatzung!$D$11:$D$22="",Besatzung!$B$6,Besatzung!$D$11:$D$22)&gt;=B195)),1))),IF(I195="Individuell",((O195="x")*((G195-IFERROR(H195,0))/IFERROR(COUNTIF(J195:U195,"x"),1)+(Besatzung!$F$16="x")*IFERROR(H195,0)/IFERROR(SUMPRODUCT((J195:U195="x")*(Besatzung!$F$11:$F$22="x")),1))),(IF(COUNTIF(J195:U195,"x")=0,IF(Besatzung!$B$15&lt;&gt;"",1,0),(O195="x"))*(G195-IFERROR(H195,0))/IFERROR(IF(COUNTIF(J195:U195,"x")=0,COUNTA(Besatzung!$B$11:$B$22),COUNTIF(J195:U195,"x")),1)+IF(COUNTIF(J195:U195,"x")=0,(Besatzung!$F$16="x"),(O195="x")*(Besatzung!$F$16="x"))*IFERROR(H195,0)/IFERROR(IF(COUNTIF(J195:U195,"x")=0,SUMPRODUCT((Besatzung!$B$11:$B$22&lt;&gt;"")*(Besatzung!$F$11:$F$22="x")),SUMPRODUCT((J195:U195="x")*(Besatzung!$F$11:$F$22="x"))),1))))),0))))</f>
        <v/>
      </c>
      <c r="AB195" s="247">
        <f>IF(C195="Gutschrift","",IF(G195="","",IF(Besatzung!$B$17="","",IFERROR(IF(I195="Zeitanteilig",(Besatzung!$G$17*(G195-IFERROR(H195,0))+((Besatzung!$B$17&lt;&gt;"")*IF(B195="",1,(IF(Besatzung!$C$17="",Besatzung!$B$5,Besatzung!$C$17)&lt;=B195)*(IF(Besatzung!$D$17="",Besatzung!$B$6,Besatzung!$D$17)&gt;=B195)))*(Besatzung!$F$17="x")*IFERROR(H195,0)/IFERROR(SUMPRODUCT((Besatzung!$B$11:$B$22&lt;&gt;"")*(Besatzung!$F$11:$F$22="x")*(IF(Besatzung!$C$11:$C$22="",Besatzung!$B$5,Besatzung!$C$11:$C$22)&lt;=B195)*(IF(Besatzung!$D$11:$D$22="",Besatzung!$B$6,Besatzung!$D$11:$D$22)&gt;=B195)),1)),IF(I195="An Bord",(((Besatzung!$B$17&lt;&gt;"")*IF(B195="",1,(IF(Besatzung!$C$17="",Besatzung!$B$5,Besatzung!$C$17)&lt;=B195)*(IF(Besatzung!$D$17="",Besatzung!$B$6,Besatzung!$D$17)&gt;=B195)))*((G195-IFERROR(H195,0))/IFERROR(SUMPRODUCT((Besatzung!$B$11:$B$22&lt;&gt;"")*(IF(Besatzung!$C$11:$C$22="",Besatzung!$B$5,Besatzung!$C$11:$C$22)&lt;=B195)*(IF(Besatzung!$D$11:$D$22="",Besatzung!$B$6,Besatzung!$D$11:$D$22)&gt;=B195)),1)+(Besatzung!$F$17="x")*IFERROR(H195,0)/IFERROR(SUMPRODUCT((Besatzung!$B$11:$B$22&lt;&gt;"")*(Besatzung!$F$11:$F$22="x")*(IF(Besatzung!$C$11:$C$22="",Besatzung!$B$5,Besatzung!$C$11:$C$22)&lt;=B195)*(IF(Besatzung!$D$11:$D$22="",Besatzung!$B$6,Besatzung!$D$11:$D$22)&gt;=B195)),1))),IF(I195="Individuell",((P195="x")*((G195-IFERROR(H195,0))/IFERROR(COUNTIF(J195:U195,"x"),1)+(Besatzung!$F$17="x")*IFERROR(H195,0)/IFERROR(SUMPRODUCT((J195:U195="x")*(Besatzung!$F$11:$F$22="x")),1))),(IF(COUNTIF(J195:U195,"x")=0,IF(Besatzung!$B$17&lt;&gt;"",1,0),(P195="x"))*(G195-IFERROR(H195,0))/IFERROR(IF(COUNTIF(J195:U195,"x")=0,COUNTA(Besatzung!$B$11:$B$22),COUNTIF(J195:U195,"x")),1)+IF(COUNTIF(J195:U195,"x")=0,(Besatzung!$F$17="x"),(P195="x")*(Besatzung!$F$17="x"))*IFERROR(H195,0)/IFERROR(IF(COUNTIF(J195:U195,"x")=0,SUMPRODUCT((Besatzung!$B$11:$B$22&lt;&gt;"")*(Besatzung!$F$11:$F$22="x")),SUMPRODUCT((J195:U195="x")*(Besatzung!$F$11:$F$22="x"))),1))))),0))))</f>
        <v/>
      </c>
      <c r="AC195" s="247">
        <f>IF(C195="Gutschrift","",IF(G195="","",IF(Besatzung!$B$18="","",IFERROR(IF(I195="Zeitanteilig",(Besatzung!$G$18*(G195-IFERROR(H195,0))+((Besatzung!$B$18&lt;&gt;"")*IF(B195="",1,(IF(Besatzung!$C$18="",Besatzung!$B$5,Besatzung!$C$18)&lt;=B195)*(IF(Besatzung!$D$18="",Besatzung!$B$6,Besatzung!$D$18)&gt;=B195)))*(Besatzung!$F$18="x")*IFERROR(H195,0)/IFERROR(SUMPRODUCT((Besatzung!$B$11:$B$22&lt;&gt;"")*(Besatzung!$F$11:$F$22="x")*(IF(Besatzung!$C$11:$C$22="",Besatzung!$B$5,Besatzung!$C$11:$C$22)&lt;=B195)*(IF(Besatzung!$D$11:$D$22="",Besatzung!$B$6,Besatzung!$D$11:$D$22)&gt;=B195)),1)),IF(I195="An Bord",(((Besatzung!$B$18&lt;&gt;"")*IF(B195="",1,(IF(Besatzung!$C$18="",Besatzung!$B$5,Besatzung!$C$18)&lt;=B195)*(IF(Besatzung!$D$18="",Besatzung!$B$6,Besatzung!$D$18)&gt;=B195)))*((G195-IFERROR(H195,0))/IFERROR(SUMPRODUCT((Besatzung!$B$11:$B$22&lt;&gt;"")*(IF(Besatzung!$C$11:$C$22="",Besatzung!$B$5,Besatzung!$C$11:$C$22)&lt;=B195)*(IF(Besatzung!$D$11:$D$22="",Besatzung!$B$6,Besatzung!$D$11:$D$22)&gt;=B195)),1)+(Besatzung!$F$18="x")*IFERROR(H195,0)/IFERROR(SUMPRODUCT((Besatzung!$B$11:$B$22&lt;&gt;"")*(Besatzung!$F$11:$F$22="x")*(IF(Besatzung!$C$11:$C$22="",Besatzung!$B$5,Besatzung!$C$11:$C$22)&lt;=B195)*(IF(Besatzung!$D$11:$D$22="",Besatzung!$B$6,Besatzung!$D$11:$D$22)&gt;=B195)),1))),IF(I195="Individuell",((Q195="x")*((G195-IFERROR(H195,0))/IFERROR(COUNTIF(J195:U195,"x"),1)+(Besatzung!$F$18="x")*IFERROR(H195,0)/IFERROR(SUMPRODUCT((J195:U195="x")*(Besatzung!$F$11:$F$22="x")),1))),(IF(COUNTIF(J195:U195,"x")=0,IF(Besatzung!$B$18&lt;&gt;"",1,0),(Q195="x"))*(G195-IFERROR(H195,0))/IFERROR(IF(COUNTIF(J195:U195,"x")=0,COUNTA(Besatzung!$B$11:$B$22),COUNTIF(J195:U195,"x")),1)+IF(COUNTIF(J195:U195,"x")=0,(Besatzung!$F$18="x"),(Q195="x")*(Besatzung!$F$18="x"))*IFERROR(H195,0)/IFERROR(IF(COUNTIF(J195:U195,"x")=0,SUMPRODUCT((Besatzung!$B$11:$B$22&lt;&gt;"")*(Besatzung!$F$11:$F$22="x")),SUMPRODUCT((J195:U195="x")*(Besatzung!$F$11:$F$22="x"))),1))))),0))))</f>
        <v/>
      </c>
      <c r="AD195" s="247">
        <f>IF(C195="Gutschrift","",IF(G195="","",IF(Besatzung!$B$19="","",IFERROR(IF(I195="Zeitanteilig",(Besatzung!$G$19*(G195-IFERROR(H195,0))+((Besatzung!$B$19&lt;&gt;"")*IF(B195="",1,(IF(Besatzung!$C$19="",Besatzung!$B$5,Besatzung!$C$19)&lt;=B195)*(IF(Besatzung!$D$19="",Besatzung!$B$6,Besatzung!$D$19)&gt;=B195)))*(Besatzung!$F$19="x")*IFERROR(H195,0)/IFERROR(SUMPRODUCT((Besatzung!$B$11:$B$22&lt;&gt;"")*(Besatzung!$F$11:$F$22="x")*(IF(Besatzung!$C$11:$C$22="",Besatzung!$B$5,Besatzung!$C$11:$C$22)&lt;=B195)*(IF(Besatzung!$D$11:$D$22="",Besatzung!$B$6,Besatzung!$D$11:$D$22)&gt;=B195)),1)),IF(I195="An Bord",(((Besatzung!$B$19&lt;&gt;"")*IF(B195="",1,(IF(Besatzung!$C$19="",Besatzung!$B$5,Besatzung!$C$19)&lt;=B195)*(IF(Besatzung!$D$19="",Besatzung!$B$6,Besatzung!$D$19)&gt;=B195)))*((G195-IFERROR(H195,0))/IFERROR(SUMPRODUCT((Besatzung!$B$11:$B$22&lt;&gt;"")*(IF(Besatzung!$C$11:$C$22="",Besatzung!$B$5,Besatzung!$C$11:$C$22)&lt;=B195)*(IF(Besatzung!$D$11:$D$22="",Besatzung!$B$6,Besatzung!$D$11:$D$22)&gt;=B195)),1)+(Besatzung!$F$19="x")*IFERROR(H195,0)/IFERROR(SUMPRODUCT((Besatzung!$B$11:$B$22&lt;&gt;"")*(Besatzung!$F$11:$F$22="x")*(IF(Besatzung!$C$11:$C$22="",Besatzung!$B$5,Besatzung!$C$11:$C$22)&lt;=B195)*(IF(Besatzung!$D$11:$D$22="",Besatzung!$B$6,Besatzung!$D$11:$D$22)&gt;=B195)),1))),IF(I195="Individuell",((R195="x")*((G195-IFERROR(H195,0))/IFERROR(COUNTIF(J195:U195,"x"),1)+(Besatzung!$F$19="x")*IFERROR(H195,0)/IFERROR(SUMPRODUCT((J195:U195="x")*(Besatzung!$F$11:$F$22="x")),1))),(IF(COUNTIF(J195:U195,"x")=0,IF(Besatzung!$B$19&lt;&gt;"",1,0),(R195="x"))*(G195-IFERROR(H195,0))/IFERROR(IF(COUNTIF(J195:U195,"x")=0,COUNTA(Besatzung!$B$11:$B$22),COUNTIF(J195:U195,"x")),1)+IF(COUNTIF(J195:U195,"x")=0,(Besatzung!$F$19="x"),(R195="x")*(Besatzung!$F$19="x"))*IFERROR(H195,0)/IFERROR(IF(COUNTIF(J195:U195,"x")=0,SUMPRODUCT((Besatzung!$B$11:$B$22&lt;&gt;"")*(Besatzung!$F$11:$F$22="x")),SUMPRODUCT((J195:U195="x")*(Besatzung!$F$11:$F$22="x"))),1))))),0))))</f>
        <v/>
      </c>
      <c r="AE195" s="247">
        <f>IF(C195="Gutschrift","",IF(G195="","",IF(Besatzung!$B$20="","",IFERROR(IF(I195="Zeitanteilig",(Besatzung!$G$20*(G195-IFERROR(H195,0))+((Besatzung!$B$20&lt;&gt;"")*IF(B195="",1,(IF(Besatzung!$C$20="",Besatzung!$B$5,Besatzung!$C$20)&lt;=B195)*(IF(Besatzung!$D$20="",Besatzung!$B$6,Besatzung!$D$20)&gt;=B195)))*(Besatzung!$F$20="x")*IFERROR(H195,0)/IFERROR(SUMPRODUCT((Besatzung!$B$11:$B$22&lt;&gt;"")*(Besatzung!$F$11:$F$22="x")*(IF(Besatzung!$C$11:$C$22="",Besatzung!$B$5,Besatzung!$C$11:$C$22)&lt;=B195)*(IF(Besatzung!$D$11:$D$22="",Besatzung!$B$6,Besatzung!$D$11:$D$22)&gt;=B195)),1)),IF(I195="An Bord",(((Besatzung!$B$20&lt;&gt;"")*IF(B195="",1,(IF(Besatzung!$C$20="",Besatzung!$B$5,Besatzung!$C$20)&lt;=B195)*(IF(Besatzung!$D$20="",Besatzung!$B$6,Besatzung!$D$20)&gt;=B195)))*((G195-IFERROR(H195,0))/IFERROR(SUMPRODUCT((Besatzung!$B$11:$B$22&lt;&gt;"")*(IF(Besatzung!$C$11:$C$22="",Besatzung!$B$5,Besatzung!$C$11:$C$22)&lt;=B195)*(IF(Besatzung!$D$11:$D$22="",Besatzung!$B$6,Besatzung!$D$11:$D$22)&gt;=B195)),1)+(Besatzung!$F$20="x")*IFERROR(H195,0)/IFERROR(SUMPRODUCT((Besatzung!$B$11:$B$22&lt;&gt;"")*(Besatzung!$F$11:$F$22="x")*(IF(Besatzung!$C$11:$C$22="",Besatzung!$B$5,Besatzung!$C$11:$C$22)&lt;=B195)*(IF(Besatzung!$D$11:$D$22="",Besatzung!$B$6,Besatzung!$D$11:$D$22)&gt;=B195)),1))),IF(I195="Individuell",((S195="x")*((G195-IFERROR(H195,0))/IFERROR(COUNTIF(J195:U195,"x"),1)+(Besatzung!$F$20="x")*IFERROR(H195,0)/IFERROR(SUMPRODUCT((J195:U195="x")*(Besatzung!$F$11:$F$22="x")),1))),(IF(COUNTIF(J195:U195,"x")=0,IF(Besatzung!$B$20&lt;&gt;"",1,0),(S195="x"))*(G195-IFERROR(H195,0))/IFERROR(IF(COUNTIF(J195:U195,"x")=0,COUNTA(Besatzung!$B$11:$B$22),COUNTIF(J195:U195,"x")),1)+IF(COUNTIF(J195:U195,"x")=0,(Besatzung!$F$20="x"),(S195="x")*(Besatzung!$F$20="x"))*IFERROR(H195,0)/IFERROR(IF(COUNTIF(J195:U195,"x")=0,SUMPRODUCT((Besatzung!$B$11:$B$22&lt;&gt;"")*(Besatzung!$F$11:$F$22="x")),SUMPRODUCT((J195:U195="x")*(Besatzung!$F$11:$F$22="x"))),1))))),0))))</f>
        <v/>
      </c>
      <c r="AF195" s="247">
        <f>IF(C195="Gutschrift","",IF(G195="","",IF(Besatzung!$B$21="","",IFERROR(IF(I195="Zeitanteilig",(Besatzung!$G$21*(G195-IFERROR(H195,0))+((Besatzung!$B$21&lt;&gt;"")*IF(B195="",1,(IF(Besatzung!$C$21="",Besatzung!$B$5,Besatzung!$C$21)&lt;=B195)*(IF(Besatzung!$D$21="",Besatzung!$B$6,Besatzung!$D$21)&gt;=B195)))*(Besatzung!$F$21="x")*IFERROR(H195,0)/IFERROR(SUMPRODUCT((Besatzung!$B$11:$B$22&lt;&gt;"")*(Besatzung!$F$11:$F$22="x")*(IF(Besatzung!$C$11:$C$22="",Besatzung!$B$5,Besatzung!$C$11:$C$22)&lt;=B195)*(IF(Besatzung!$D$11:$D$22="",Besatzung!$B$6,Besatzung!$D$11:$D$22)&gt;=B195)),1)),IF(I195="An Bord",(((Besatzung!$B$21&lt;&gt;"")*IF(B195="",1,(IF(Besatzung!$C$21="",Besatzung!$B$5,Besatzung!$C$21)&lt;=B195)*(IF(Besatzung!$D$21="",Besatzung!$B$6,Besatzung!$D$21)&gt;=B195)))*((G195-IFERROR(H195,0))/IFERROR(SUMPRODUCT((Besatzung!$B$11:$B$22&lt;&gt;"")*(IF(Besatzung!$C$11:$C$22="",Besatzung!$B$5,Besatzung!$C$11:$C$22)&lt;=B195)*(IF(Besatzung!$D$11:$D$22="",Besatzung!$B$6,Besatzung!$D$11:$D$22)&gt;=B195)),1)+(Besatzung!$F$21="x")*IFERROR(H195,0)/IFERROR(SUMPRODUCT((Besatzung!$B$11:$B$22&lt;&gt;"")*(Besatzung!$F$11:$F$22="x")*(IF(Besatzung!$C$11:$C$22="",Besatzung!$B$5,Besatzung!$C$11:$C$22)&lt;=B195)*(IF(Besatzung!$D$11:$D$22="",Besatzung!$B$6,Besatzung!$D$11:$D$22)&gt;=B195)),1))),IF(I195="Individuell",((T195="x")*((G195-IFERROR(H195,0))/IFERROR(COUNTIF(J195:U195,"x"),1)+(Besatzung!$F$21="x")*IFERROR(H195,0)/IFERROR(SUMPRODUCT((J195:U195="x")*(Besatzung!$F$11:$F$22="x")),1))),(IF(COUNTIF(J195:U195,"x")=0,IF(Besatzung!$B$21&lt;&gt;"",1,0),(T195="x"))*(G195-IFERROR(H195,0))/IFERROR(IF(COUNTIF(J195:U195,"x")=0,COUNTA(Besatzung!$B$11:$B$22),COUNTIF(J195:U195,"x")),1)+IF(COUNTIF(J195:U195,"x")=0,(Besatzung!$F$21="x"),(T195="x")*(Besatzung!$F$21="x"))*IFERROR(H195,0)/IFERROR(IF(COUNTIF(J195:U195,"x")=0,SUMPRODUCT((Besatzung!$B$11:$B$22&lt;&gt;"")*(Besatzung!$F$11:$F$22="x")),SUMPRODUCT((J195:U195="x")*(Besatzung!$F$11:$F$22="x"))),1))))),0))))</f>
        <v/>
      </c>
      <c r="AG195" s="247">
        <f>IF(C195="Gutschrift","",IF(G195="","",IF(Besatzung!$B$22="","",IFERROR(IF(I195="Zeitanteilig",(Besatzung!$G$22*(G195-IFERROR(H195,0))+((Besatzung!$B$22&lt;&gt;"")*IF(B195="",1,(IF(Besatzung!$C$22="",Besatzung!$B$5,Besatzung!$C$22)&lt;=B195)*(IF(Besatzung!$D$22="",Besatzung!$B$6,Besatzung!$D$22)&gt;=B195)))*(Besatzung!$F$22="x")*IFERROR(H195,0)/IFERROR(SUMPRODUCT((Besatzung!$B$11:$B$22&lt;&gt;"")*(Besatzung!$F$11:$F$22="x")*(IF(Besatzung!$C$11:$C$22="",Besatzung!$B$5,Besatzung!$C$11:$C$22)&lt;=B195)*(IF(Besatzung!$D$11:$D$22="",Besatzung!$B$6,Besatzung!$D$11:$D$22)&gt;=B195)),1)),IF(I195="An Bord",(((Besatzung!$B$22&lt;&gt;"")*IF(B195="",1,(IF(Besatzung!$C$22="",Besatzung!$B$5,Besatzung!$C$22)&lt;=B195)*(IF(Besatzung!$D$22="",Besatzung!$B$6,Besatzung!$D$22)&gt;=B195)))*((G195-IFERROR(H195,0))/IFERROR(SUMPRODUCT((Besatzung!$B$11:$B$22&lt;&gt;"")*(IF(Besatzung!$C$11:$C$22="",Besatzung!$B$5,Besatzung!$C$11:$C$22)&lt;=B195)*(IF(Besatzung!$D$11:$D$22="",Besatzung!$B$6,Besatzung!$D$11:$D$22)&gt;=B195)),1)+(Besatzung!$F$22="x")*IFERROR(H195,0)/IFERROR(SUMPRODUCT((Besatzung!$B$11:$B$22&lt;&gt;"")*(Besatzung!$F$11:$F$22="x")*(IF(Besatzung!$C$11:$C$22="",Besatzung!$B$5,Besatzung!$C$11:$C$22)&lt;=B195)*(IF(Besatzung!$D$11:$D$22="",Besatzung!$B$6,Besatzung!$D$11:$D$22)&gt;=B195)),1))),IF(I195="Individuell",((U195="x")*((G195-IFERROR(H195,0))/IFERROR(COUNTIF(J195:U195,"x"),1)+(Besatzung!$F$22="x")*IFERROR(H195,0)/IFERROR(SUMPRODUCT((J195:U195="x")*(Besatzung!$F$11:$F$22="x")),1))),(IF(COUNTIF(J195:U195,"x")=0,IF(Besatzung!$B$22&lt;&gt;"",1,0),(U195="x"))*(G195-IFERROR(H195,0))/IFERROR(IF(COUNTIF(J195:U195,"x")=0,COUNTA(Besatzung!$B$11:$B$22),COUNTIF(J195:U195,"x")),1)+IF(COUNTIF(J195:U195,"x")=0,(Besatzung!$F$22="x"),(U195="x")*(Besatzung!$F$22="x"))*IFERROR(H195,0)/IFERROR(IF(COUNTIF(J195:U195,"x")=0,SUMPRODUCT((Besatzung!$B$11:$B$22&lt;&gt;"")*(Besatzung!$F$11:$F$22="x")),SUMPRODUCT((J195:U195="x")*(Besatzung!$F$11:$F$22="x"))),1))))),0))))</f>
        <v/>
      </c>
      <c r="AH195" s="248" t="n"/>
      <c r="AI195" s="248" t="n"/>
    </row>
    <row r="196" ht="21.75" customHeight="1" s="154">
      <c r="A196" s="238">
        <f>IF(AND(D196="",C196=""),"",193)</f>
        <v/>
      </c>
      <c r="B196" s="199" t="n"/>
      <c r="C196" s="239" t="n"/>
      <c r="D196" s="240" t="n"/>
      <c r="E196" s="241" t="n"/>
      <c r="F196" s="242" t="n"/>
      <c r="G196" s="243" t="n"/>
      <c r="H196" s="244" t="n"/>
      <c r="I196" s="245" t="n"/>
      <c r="J196" s="246" t="n"/>
      <c r="K196" s="246" t="n"/>
      <c r="L196" s="246" t="n"/>
      <c r="M196" s="246" t="n"/>
      <c r="N196" s="246" t="n"/>
      <c r="O196" s="246" t="n"/>
      <c r="P196" s="246" t="n"/>
      <c r="Q196" s="246" t="n"/>
      <c r="R196" s="246" t="n"/>
      <c r="S196" s="246" t="n"/>
      <c r="T196" s="246" t="n"/>
      <c r="U196" s="246" t="n"/>
      <c r="V196" s="247">
        <f>IF(C196="Gutschrift","",IF(G196="","",IF(Besatzung!$B$11="","",IFERROR(IF(I196="Zeitanteilig",(Besatzung!$G$11*(G196-IFERROR(H196,0))+((Besatzung!$B$11&lt;&gt;"")*IF(B196="",1,(IF(Besatzung!$C$11="",Besatzung!$B$5,Besatzung!$C$11)&lt;=B196)*(IF(Besatzung!$D$11="",Besatzung!$B$6,Besatzung!$D$11)&gt;=B196)))*(Besatzung!$F$11="x")*IFERROR(H196,0)/IFERROR(SUMPRODUCT((Besatzung!$B$11:$B$22&lt;&gt;"")*(Besatzung!$F$11:$F$22="x")*(IF(Besatzung!$C$11:$C$22="",Besatzung!$B$5,Besatzung!$C$11:$C$22)&lt;=B196)*(IF(Besatzung!$D$11:$D$22="",Besatzung!$B$6,Besatzung!$D$11:$D$22)&gt;=B196)),1)),IF(I196="An Bord",(((Besatzung!$B$11&lt;&gt;"")*IF(B196="",1,(IF(Besatzung!$C$11="",Besatzung!$B$5,Besatzung!$C$11)&lt;=B196)*(IF(Besatzung!$D$11="",Besatzung!$B$6,Besatzung!$D$11)&gt;=B196)))*((G196-IFERROR(H196,0))/IFERROR(SUMPRODUCT((Besatzung!$B$11:$B$22&lt;&gt;"")*(IF(Besatzung!$C$11:$C$22="",Besatzung!$B$5,Besatzung!$C$11:$C$22)&lt;=B196)*(IF(Besatzung!$D$11:$D$22="",Besatzung!$B$6,Besatzung!$D$11:$D$22)&gt;=B196)),1)+(Besatzung!$F$11="x")*IFERROR(H196,0)/IFERROR(SUMPRODUCT((Besatzung!$B$11:$B$22&lt;&gt;"")*(Besatzung!$F$11:$F$22="x")*(IF(Besatzung!$C$11:$C$22="",Besatzung!$B$5,Besatzung!$C$11:$C$22)&lt;=B196)*(IF(Besatzung!$D$11:$D$22="",Besatzung!$B$6,Besatzung!$D$11:$D$22)&gt;=B196)),1))),IF(I196="Individuell",((J196="x")*((G196-IFERROR(H196,0))/IFERROR(COUNTIF(J196:U196,"x"),1)+(Besatzung!$F$11="x")*IFERROR(H196,0)/IFERROR(SUMPRODUCT((J196:U196="x")*(Besatzung!$F$11:$F$22="x")),1))),(IF(COUNTIF(J196:U196,"x")=0,IF(Besatzung!$B$11&lt;&gt;"",1,0),(J196="x"))*(G196-IFERROR(H196,0))/IFERROR(IF(COUNTIF(J196:U196,"x")=0,COUNTA(Besatzung!$B$11:$B$22),COUNTIF(J196:U196,"x")),1)+IF(COUNTIF(J196:U196,"x")=0,(Besatzung!$F$11="x"),(J196="x")*(Besatzung!$F$11="x"))*IFERROR(H196,0)/IFERROR(IF(COUNTIF(J196:U196,"x")=0,SUMPRODUCT((Besatzung!$B$11:$B$22&lt;&gt;"")*(Besatzung!$F$11:$F$22="x")),SUMPRODUCT((J196:U196="x")*(Besatzung!$F$11:$F$22="x"))),1))))),0))))</f>
        <v/>
      </c>
      <c r="W196" s="247">
        <f>IF(C196="Gutschrift","",IF(G196="","",IF(Besatzung!$B$12="","",IFERROR(IF(I196="Zeitanteilig",(Besatzung!$G$12*(G196-IFERROR(H196,0))+((Besatzung!$B$12&lt;&gt;"")*IF(B196="",1,(IF(Besatzung!$C$12="",Besatzung!$B$5,Besatzung!$C$12)&lt;=B196)*(IF(Besatzung!$D$12="",Besatzung!$B$6,Besatzung!$D$12)&gt;=B196)))*(Besatzung!$F$12="x")*IFERROR(H196,0)/IFERROR(SUMPRODUCT((Besatzung!$B$11:$B$22&lt;&gt;"")*(Besatzung!$F$11:$F$22="x")*(IF(Besatzung!$C$11:$C$22="",Besatzung!$B$5,Besatzung!$C$11:$C$22)&lt;=B196)*(IF(Besatzung!$D$11:$D$22="",Besatzung!$B$6,Besatzung!$D$11:$D$22)&gt;=B196)),1)),IF(I196="An Bord",(((Besatzung!$B$12&lt;&gt;"")*IF(B196="",1,(IF(Besatzung!$C$12="",Besatzung!$B$5,Besatzung!$C$12)&lt;=B196)*(IF(Besatzung!$D$12="",Besatzung!$B$6,Besatzung!$D$12)&gt;=B196)))*((G196-IFERROR(H196,0))/IFERROR(SUMPRODUCT((Besatzung!$B$11:$B$22&lt;&gt;"")*(IF(Besatzung!$C$11:$C$22="",Besatzung!$B$5,Besatzung!$C$11:$C$22)&lt;=B196)*(IF(Besatzung!$D$11:$D$22="",Besatzung!$B$6,Besatzung!$D$11:$D$22)&gt;=B196)),1)+(Besatzung!$F$12="x")*IFERROR(H196,0)/IFERROR(SUMPRODUCT((Besatzung!$B$11:$B$22&lt;&gt;"")*(Besatzung!$F$11:$F$22="x")*(IF(Besatzung!$C$11:$C$22="",Besatzung!$B$5,Besatzung!$C$11:$C$22)&lt;=B196)*(IF(Besatzung!$D$11:$D$22="",Besatzung!$B$6,Besatzung!$D$11:$D$22)&gt;=B196)),1))),IF(I196="Individuell",((K196="x")*((G196-IFERROR(H196,0))/IFERROR(COUNTIF(J196:U196,"x"),1)+(Besatzung!$F$12="x")*IFERROR(H196,0)/IFERROR(SUMPRODUCT((J196:U196="x")*(Besatzung!$F$11:$F$22="x")),1))),(IF(COUNTIF(J196:U196,"x")=0,IF(Besatzung!$B$12&lt;&gt;"",1,0),(K196="x"))*(G196-IFERROR(H196,0))/IFERROR(IF(COUNTIF(J196:U196,"x")=0,COUNTA(Besatzung!$B$11:$B$22),COUNTIF(J196:U196,"x")),1)+IF(COUNTIF(J196:U196,"x")=0,(Besatzung!$F$12="x"),(K196="x")*(Besatzung!$F$12="x"))*IFERROR(H196,0)/IFERROR(IF(COUNTIF(J196:U196,"x")=0,SUMPRODUCT((Besatzung!$B$11:$B$22&lt;&gt;"")*(Besatzung!$F$11:$F$22="x")),SUMPRODUCT((J196:U196="x")*(Besatzung!$F$11:$F$22="x"))),1))))),0))))</f>
        <v/>
      </c>
      <c r="X196" s="247">
        <f>IF(C196="Gutschrift","",IF(G196="","",IF(Besatzung!$B$13="","",IFERROR(IF(I196="Zeitanteilig",(Besatzung!$G$13*(G196-IFERROR(H196,0))+((Besatzung!$B$13&lt;&gt;"")*IF(B196="",1,(IF(Besatzung!$C$13="",Besatzung!$B$5,Besatzung!$C$13)&lt;=B196)*(IF(Besatzung!$D$13="",Besatzung!$B$6,Besatzung!$D$13)&gt;=B196)))*(Besatzung!$F$13="x")*IFERROR(H196,0)/IFERROR(SUMPRODUCT((Besatzung!$B$11:$B$22&lt;&gt;"")*(Besatzung!$F$11:$F$22="x")*(IF(Besatzung!$C$11:$C$22="",Besatzung!$B$5,Besatzung!$C$11:$C$22)&lt;=B196)*(IF(Besatzung!$D$11:$D$22="",Besatzung!$B$6,Besatzung!$D$11:$D$22)&gt;=B196)),1)),IF(I196="An Bord",(((Besatzung!$B$13&lt;&gt;"")*IF(B196="",1,(IF(Besatzung!$C$13="",Besatzung!$B$5,Besatzung!$C$13)&lt;=B196)*(IF(Besatzung!$D$13="",Besatzung!$B$6,Besatzung!$D$13)&gt;=B196)))*((G196-IFERROR(H196,0))/IFERROR(SUMPRODUCT((Besatzung!$B$11:$B$22&lt;&gt;"")*(IF(Besatzung!$C$11:$C$22="",Besatzung!$B$5,Besatzung!$C$11:$C$22)&lt;=B196)*(IF(Besatzung!$D$11:$D$22="",Besatzung!$B$6,Besatzung!$D$11:$D$22)&gt;=B196)),1)+(Besatzung!$F$13="x")*IFERROR(H196,0)/IFERROR(SUMPRODUCT((Besatzung!$B$11:$B$22&lt;&gt;"")*(Besatzung!$F$11:$F$22="x")*(IF(Besatzung!$C$11:$C$22="",Besatzung!$B$5,Besatzung!$C$11:$C$22)&lt;=B196)*(IF(Besatzung!$D$11:$D$22="",Besatzung!$B$6,Besatzung!$D$11:$D$22)&gt;=B196)),1))),IF(I196="Individuell",((K196="x")*((G196-IFERROR(H196,0))/IFERROR(COUNTIF(J196:U196,"x"),1)+(Besatzung!$F$13="x")*IFERROR(H196,0)/IFERROR(SUMPRODUCT((J196:U196="x")*(Besatzung!$F$11:$F$22="x")),1))),(IF(COUNTIF(J196:U196,"x")=0,IF(Besatzung!$B$13&lt;&gt;"",1,0),(K196="x"))*(G196-IFERROR(H196,0))/IFERROR(IF(COUNTIF(J196:U196,"x")=0,COUNTA(Besatzung!$B$11:$B$22),COUNTIF(J196:U196,"x")),1)+IF(COUNTIF(J196:U196,"x")=0,(Besatzung!$F$13="x"),(K196="x")*(Besatzung!$F$13="x"))*IFERROR(H196,0)/IFERROR(IF(COUNTIF(J196:U196,"x")=0,SUMPRODUCT((Besatzung!$B$11:$B$22&lt;&gt;"")*(Besatzung!$F$11:$F$22="x")),SUMPRODUCT((J196:U196="x")*(Besatzung!$F$11:$F$22="x"))),1))))),0))))</f>
        <v/>
      </c>
      <c r="Y196" s="247">
        <f>IF(C196="Gutschrift","",IF(G196="","",IF(Besatzung!$B$14="","",IFERROR(IF(I196="Zeitanteilig",(Besatzung!$G$14*(G196-IFERROR(H196,0))+((Besatzung!$B$14&lt;&gt;"")*IF(B196="",1,(IF(Besatzung!$C$14="",Besatzung!$B$5,Besatzung!$C$14)&lt;=B196)*(IF(Besatzung!$D$14="",Besatzung!$B$6,Besatzung!$D$14)&gt;=B196)))*(Besatzung!$F$14="x")*IFERROR(H196,0)/IFERROR(SUMPRODUCT((Besatzung!$B$11:$B$22&lt;&gt;"")*(Besatzung!$F$11:$F$22="x")*(IF(Besatzung!$C$11:$C$22="",Besatzung!$B$5,Besatzung!$C$11:$C$22)&lt;=B196)*(IF(Besatzung!$D$11:$D$22="",Besatzung!$B$6,Besatzung!$D$11:$D$22)&gt;=B196)),1)),IF(I196="An Bord",(((Besatzung!$B$14&lt;&gt;"")*IF(B196="",1,(IF(Besatzung!$C$14="",Besatzung!$B$5,Besatzung!$C$14)&lt;=B196)*(IF(Besatzung!$D$14="",Besatzung!$B$6,Besatzung!$D$14)&gt;=B196)))*((G196-IFERROR(H196,0))/IFERROR(SUMPRODUCT((Besatzung!$B$11:$B$22&lt;&gt;"")*(IF(Besatzung!$C$11:$C$22="",Besatzung!$B$5,Besatzung!$C$11:$C$22)&lt;=B196)*(IF(Besatzung!$D$11:$D$22="",Besatzung!$B$6,Besatzung!$D$11:$D$22)&gt;=B196)),1)+(Besatzung!$F$14="x")*IFERROR(H196,0)/IFERROR(SUMPRODUCT((Besatzung!$B$11:$B$22&lt;&gt;"")*(Besatzung!$F$11:$F$22="x")*(IF(Besatzung!$C$11:$C$22="",Besatzung!$B$5,Besatzung!$C$11:$C$22)&lt;=B196)*(IF(Besatzung!$D$11:$D$22="",Besatzung!$B$6,Besatzung!$D$11:$D$22)&gt;=B196)),1))),IF(I196="Individuell",((M196="x")*((G196-IFERROR(H196,0))/IFERROR(COUNTIF(J196:U196,"x"),1)+(Besatzung!$F$14="x")*IFERROR(H196,0)/IFERROR(SUMPRODUCT((J196:U196="x")*(Besatzung!$F$11:$F$22="x")),1))),(IF(COUNTIF(J196:U196,"x")=0,IF(Besatzung!$B$14&lt;&gt;"",1,0),(M196="x"))*(G196-IFERROR(H196,0))/IFERROR(IF(COUNTIF(J196:U196,"x")=0,COUNTA(Besatzung!$B$11:$B$22),COUNTIF(J196:U196,"x")),1)+IF(COUNTIF(J196:U196,"x")=0,(Besatzung!$F$14="x"),(M196="x")*(Besatzung!$F$14="x"))*IFERROR(H196,0)/IFERROR(IF(COUNTIF(J196:U196,"x")=0,SUMPRODUCT((Besatzung!$B$11:$B$22&lt;&gt;"")*(Besatzung!$F$11:$F$22="x")),SUMPRODUCT((J196:U196="x")*(Besatzung!$F$11:$F$22="x"))),1))))),0))))</f>
        <v/>
      </c>
      <c r="Z196" s="247">
        <f>IF(C196="Gutschrift","",IF(G196="","",IF(Besatzung!$B$13="","",IFERROR(IF(I196="Zeitanteilig",(Besatzung!$G$15*(G196-IFERROR(H196,0))+((Besatzung!$B$13&lt;&gt;"")*IF(B196="",1,(IF(Besatzung!$C$15="",Besatzung!$B$5,Besatzung!$C$15)&lt;=B196)*(IF(Besatzung!$D$15="",Besatzung!$B$6,Besatzung!$D$15)&gt;=B196)))*(Besatzung!$F$15="x")*IFERROR(H196,0)/IFERROR(SUMPRODUCT((Besatzung!$B$11:$B$22&lt;&gt;"")*(Besatzung!$F$11:$F$22="x")*(IF(Besatzung!$C$11:$C$22="",Besatzung!$B$5,Besatzung!$C$11:$C$22)&lt;=B196)*(IF(Besatzung!$D$11:$D$22="",Besatzung!$B$6,Besatzung!$D$11:$D$22)&gt;=B196)),1)),IF(I196="An Bord",(((Besatzung!$B$13&lt;&gt;"")*IF(B196="",1,(IF(Besatzung!$C$15="",Besatzung!$B$5,Besatzung!$C$15)&lt;=B196)*(IF(Besatzung!$D$15="",Besatzung!$B$6,Besatzung!$D$15)&gt;=B196)))*((G196-IFERROR(H196,0))/IFERROR(SUMPRODUCT((Besatzung!$B$11:$B$22&lt;&gt;"")*(IF(Besatzung!$C$11:$C$22="",Besatzung!$B$5,Besatzung!$C$11:$C$22)&lt;=B196)*(IF(Besatzung!$D$11:$D$22="",Besatzung!$B$6,Besatzung!$D$11:$D$22)&gt;=B196)),1)+(Besatzung!$F$15="x")*IFERROR(H196,0)/IFERROR(SUMPRODUCT((Besatzung!$B$11:$B$22&lt;&gt;"")*(Besatzung!$F$11:$F$22="x")*(IF(Besatzung!$C$11:$C$22="",Besatzung!$B$5,Besatzung!$C$11:$C$22)&lt;=B196)*(IF(Besatzung!$D$11:$D$22="",Besatzung!$B$6,Besatzung!$D$11:$D$22)&gt;=B196)),1))),IF(I196="Individuell",((N196="x")*((G196-IFERROR(H196,0))/IFERROR(COUNTIF(J196:U196,"x"),1)+(Besatzung!$F$15="x")*IFERROR(H196,0)/IFERROR(SUMPRODUCT((J196:U196="x")*(Besatzung!$F$11:$F$22="x")),1))),(IF(COUNTIF(J196:U196,"x")=0,IF(Besatzung!$B$13&lt;&gt;"",1,0),(N196="x"))*(G196-IFERROR(H196,0))/IFERROR(IF(COUNTIF(J196:U196,"x")=0,COUNTA(Besatzung!$B$11:$B$22),COUNTIF(J196:U196,"x")),1)+IF(COUNTIF(J196:U196,"x")=0,(Besatzung!$F$15="x"),(N196="x")*(Besatzung!$F$15="x"))*IFERROR(H196,0)/IFERROR(IF(COUNTIF(J196:U196,"x")=0,SUMPRODUCT((Besatzung!$B$11:$B$22&lt;&gt;"")*(Besatzung!$F$11:$F$22="x")),SUMPRODUCT((J196:U196="x")*(Besatzung!$F$11:$F$22="x"))),1))))),0))))</f>
        <v/>
      </c>
      <c r="AA196" s="247">
        <f>IF(C196="Gutschrift","",IF(G196="","",IF(Besatzung!$B$15="","",IFERROR(IF(I196="Zeitanteilig",(Besatzung!$G$16*(G196-IFERROR(H196,0))+((Besatzung!$B$15&lt;&gt;"")*IF(B196="",1,(IF(Besatzung!$C$16="",Besatzung!$B$5,Besatzung!$C$16)&lt;=B196)*(IF(Besatzung!$D$16="",Besatzung!$B$6,Besatzung!$D$16)&gt;=B196)))*(Besatzung!$F$16="x")*IFERROR(H196,0)/IFERROR(SUMPRODUCT((Besatzung!$B$11:$B$22&lt;&gt;"")*(Besatzung!$F$11:$F$22="x")*(IF(Besatzung!$C$11:$C$22="",Besatzung!$B$5,Besatzung!$C$11:$C$22)&lt;=B196)*(IF(Besatzung!$D$11:$D$22="",Besatzung!$B$6,Besatzung!$D$11:$D$22)&gt;=B196)),1)),IF(I196="An Bord",(((Besatzung!$B$15&lt;&gt;"")*IF(B196="",1,(IF(Besatzung!$C$16="",Besatzung!$B$5,Besatzung!$C$16)&lt;=B196)*(IF(Besatzung!$D$16="",Besatzung!$B$6,Besatzung!$D$16)&gt;=B196)))*((G196-IFERROR(H196,0))/IFERROR(SUMPRODUCT((Besatzung!$B$11:$B$22&lt;&gt;"")*(IF(Besatzung!$C$11:$C$22="",Besatzung!$B$5,Besatzung!$C$11:$C$22)&lt;=B196)*(IF(Besatzung!$D$11:$D$22="",Besatzung!$B$6,Besatzung!$D$11:$D$22)&gt;=B196)),1)+(Besatzung!$F$16="x")*IFERROR(H196,0)/IFERROR(SUMPRODUCT((Besatzung!$B$11:$B$22&lt;&gt;"")*(Besatzung!$F$11:$F$22="x")*(IF(Besatzung!$C$11:$C$22="",Besatzung!$B$5,Besatzung!$C$11:$C$22)&lt;=B196)*(IF(Besatzung!$D$11:$D$22="",Besatzung!$B$6,Besatzung!$D$11:$D$22)&gt;=B196)),1))),IF(I196="Individuell",((O196="x")*((G196-IFERROR(H196,0))/IFERROR(COUNTIF(J196:U196,"x"),1)+(Besatzung!$F$16="x")*IFERROR(H196,0)/IFERROR(SUMPRODUCT((J196:U196="x")*(Besatzung!$F$11:$F$22="x")),1))),(IF(COUNTIF(J196:U196,"x")=0,IF(Besatzung!$B$15&lt;&gt;"",1,0),(O196="x"))*(G196-IFERROR(H196,0))/IFERROR(IF(COUNTIF(J196:U196,"x")=0,COUNTA(Besatzung!$B$11:$B$22),COUNTIF(J196:U196,"x")),1)+IF(COUNTIF(J196:U196,"x")=0,(Besatzung!$F$16="x"),(O196="x")*(Besatzung!$F$16="x"))*IFERROR(H196,0)/IFERROR(IF(COUNTIF(J196:U196,"x")=0,SUMPRODUCT((Besatzung!$B$11:$B$22&lt;&gt;"")*(Besatzung!$F$11:$F$22="x")),SUMPRODUCT((J196:U196="x")*(Besatzung!$F$11:$F$22="x"))),1))))),0))))</f>
        <v/>
      </c>
      <c r="AB196" s="247">
        <f>IF(C196="Gutschrift","",IF(G196="","",IF(Besatzung!$B$17="","",IFERROR(IF(I196="Zeitanteilig",(Besatzung!$G$17*(G196-IFERROR(H196,0))+((Besatzung!$B$17&lt;&gt;"")*IF(B196="",1,(IF(Besatzung!$C$17="",Besatzung!$B$5,Besatzung!$C$17)&lt;=B196)*(IF(Besatzung!$D$17="",Besatzung!$B$6,Besatzung!$D$17)&gt;=B196)))*(Besatzung!$F$17="x")*IFERROR(H196,0)/IFERROR(SUMPRODUCT((Besatzung!$B$11:$B$22&lt;&gt;"")*(Besatzung!$F$11:$F$22="x")*(IF(Besatzung!$C$11:$C$22="",Besatzung!$B$5,Besatzung!$C$11:$C$22)&lt;=B196)*(IF(Besatzung!$D$11:$D$22="",Besatzung!$B$6,Besatzung!$D$11:$D$22)&gt;=B196)),1)),IF(I196="An Bord",(((Besatzung!$B$17&lt;&gt;"")*IF(B196="",1,(IF(Besatzung!$C$17="",Besatzung!$B$5,Besatzung!$C$17)&lt;=B196)*(IF(Besatzung!$D$17="",Besatzung!$B$6,Besatzung!$D$17)&gt;=B196)))*((G196-IFERROR(H196,0))/IFERROR(SUMPRODUCT((Besatzung!$B$11:$B$22&lt;&gt;"")*(IF(Besatzung!$C$11:$C$22="",Besatzung!$B$5,Besatzung!$C$11:$C$22)&lt;=B196)*(IF(Besatzung!$D$11:$D$22="",Besatzung!$B$6,Besatzung!$D$11:$D$22)&gt;=B196)),1)+(Besatzung!$F$17="x")*IFERROR(H196,0)/IFERROR(SUMPRODUCT((Besatzung!$B$11:$B$22&lt;&gt;"")*(Besatzung!$F$11:$F$22="x")*(IF(Besatzung!$C$11:$C$22="",Besatzung!$B$5,Besatzung!$C$11:$C$22)&lt;=B196)*(IF(Besatzung!$D$11:$D$22="",Besatzung!$B$6,Besatzung!$D$11:$D$22)&gt;=B196)),1))),IF(I196="Individuell",((P196="x")*((G196-IFERROR(H196,0))/IFERROR(COUNTIF(J196:U196,"x"),1)+(Besatzung!$F$17="x")*IFERROR(H196,0)/IFERROR(SUMPRODUCT((J196:U196="x")*(Besatzung!$F$11:$F$22="x")),1))),(IF(COUNTIF(J196:U196,"x")=0,IF(Besatzung!$B$17&lt;&gt;"",1,0),(P196="x"))*(G196-IFERROR(H196,0))/IFERROR(IF(COUNTIF(J196:U196,"x")=0,COUNTA(Besatzung!$B$11:$B$22),COUNTIF(J196:U196,"x")),1)+IF(COUNTIF(J196:U196,"x")=0,(Besatzung!$F$17="x"),(P196="x")*(Besatzung!$F$17="x"))*IFERROR(H196,0)/IFERROR(IF(COUNTIF(J196:U196,"x")=0,SUMPRODUCT((Besatzung!$B$11:$B$22&lt;&gt;"")*(Besatzung!$F$11:$F$22="x")),SUMPRODUCT((J196:U196="x")*(Besatzung!$F$11:$F$22="x"))),1))))),0))))</f>
        <v/>
      </c>
      <c r="AC196" s="247">
        <f>IF(C196="Gutschrift","",IF(G196="","",IF(Besatzung!$B$18="","",IFERROR(IF(I196="Zeitanteilig",(Besatzung!$G$18*(G196-IFERROR(H196,0))+((Besatzung!$B$18&lt;&gt;"")*IF(B196="",1,(IF(Besatzung!$C$18="",Besatzung!$B$5,Besatzung!$C$18)&lt;=B196)*(IF(Besatzung!$D$18="",Besatzung!$B$6,Besatzung!$D$18)&gt;=B196)))*(Besatzung!$F$18="x")*IFERROR(H196,0)/IFERROR(SUMPRODUCT((Besatzung!$B$11:$B$22&lt;&gt;"")*(Besatzung!$F$11:$F$22="x")*(IF(Besatzung!$C$11:$C$22="",Besatzung!$B$5,Besatzung!$C$11:$C$22)&lt;=B196)*(IF(Besatzung!$D$11:$D$22="",Besatzung!$B$6,Besatzung!$D$11:$D$22)&gt;=B196)),1)),IF(I196="An Bord",(((Besatzung!$B$18&lt;&gt;"")*IF(B196="",1,(IF(Besatzung!$C$18="",Besatzung!$B$5,Besatzung!$C$18)&lt;=B196)*(IF(Besatzung!$D$18="",Besatzung!$B$6,Besatzung!$D$18)&gt;=B196)))*((G196-IFERROR(H196,0))/IFERROR(SUMPRODUCT((Besatzung!$B$11:$B$22&lt;&gt;"")*(IF(Besatzung!$C$11:$C$22="",Besatzung!$B$5,Besatzung!$C$11:$C$22)&lt;=B196)*(IF(Besatzung!$D$11:$D$22="",Besatzung!$B$6,Besatzung!$D$11:$D$22)&gt;=B196)),1)+(Besatzung!$F$18="x")*IFERROR(H196,0)/IFERROR(SUMPRODUCT((Besatzung!$B$11:$B$22&lt;&gt;"")*(Besatzung!$F$11:$F$22="x")*(IF(Besatzung!$C$11:$C$22="",Besatzung!$B$5,Besatzung!$C$11:$C$22)&lt;=B196)*(IF(Besatzung!$D$11:$D$22="",Besatzung!$B$6,Besatzung!$D$11:$D$22)&gt;=B196)),1))),IF(I196="Individuell",((Q196="x")*((G196-IFERROR(H196,0))/IFERROR(COUNTIF(J196:U196,"x"),1)+(Besatzung!$F$18="x")*IFERROR(H196,0)/IFERROR(SUMPRODUCT((J196:U196="x")*(Besatzung!$F$11:$F$22="x")),1))),(IF(COUNTIF(J196:U196,"x")=0,IF(Besatzung!$B$18&lt;&gt;"",1,0),(Q196="x"))*(G196-IFERROR(H196,0))/IFERROR(IF(COUNTIF(J196:U196,"x")=0,COUNTA(Besatzung!$B$11:$B$22),COUNTIF(J196:U196,"x")),1)+IF(COUNTIF(J196:U196,"x")=0,(Besatzung!$F$18="x"),(Q196="x")*(Besatzung!$F$18="x"))*IFERROR(H196,0)/IFERROR(IF(COUNTIF(J196:U196,"x")=0,SUMPRODUCT((Besatzung!$B$11:$B$22&lt;&gt;"")*(Besatzung!$F$11:$F$22="x")),SUMPRODUCT((J196:U196="x")*(Besatzung!$F$11:$F$22="x"))),1))))),0))))</f>
        <v/>
      </c>
      <c r="AD196" s="247">
        <f>IF(C196="Gutschrift","",IF(G196="","",IF(Besatzung!$B$19="","",IFERROR(IF(I196="Zeitanteilig",(Besatzung!$G$19*(G196-IFERROR(H196,0))+((Besatzung!$B$19&lt;&gt;"")*IF(B196="",1,(IF(Besatzung!$C$19="",Besatzung!$B$5,Besatzung!$C$19)&lt;=B196)*(IF(Besatzung!$D$19="",Besatzung!$B$6,Besatzung!$D$19)&gt;=B196)))*(Besatzung!$F$19="x")*IFERROR(H196,0)/IFERROR(SUMPRODUCT((Besatzung!$B$11:$B$22&lt;&gt;"")*(Besatzung!$F$11:$F$22="x")*(IF(Besatzung!$C$11:$C$22="",Besatzung!$B$5,Besatzung!$C$11:$C$22)&lt;=B196)*(IF(Besatzung!$D$11:$D$22="",Besatzung!$B$6,Besatzung!$D$11:$D$22)&gt;=B196)),1)),IF(I196="An Bord",(((Besatzung!$B$19&lt;&gt;"")*IF(B196="",1,(IF(Besatzung!$C$19="",Besatzung!$B$5,Besatzung!$C$19)&lt;=B196)*(IF(Besatzung!$D$19="",Besatzung!$B$6,Besatzung!$D$19)&gt;=B196)))*((G196-IFERROR(H196,0))/IFERROR(SUMPRODUCT((Besatzung!$B$11:$B$22&lt;&gt;"")*(IF(Besatzung!$C$11:$C$22="",Besatzung!$B$5,Besatzung!$C$11:$C$22)&lt;=B196)*(IF(Besatzung!$D$11:$D$22="",Besatzung!$B$6,Besatzung!$D$11:$D$22)&gt;=B196)),1)+(Besatzung!$F$19="x")*IFERROR(H196,0)/IFERROR(SUMPRODUCT((Besatzung!$B$11:$B$22&lt;&gt;"")*(Besatzung!$F$11:$F$22="x")*(IF(Besatzung!$C$11:$C$22="",Besatzung!$B$5,Besatzung!$C$11:$C$22)&lt;=B196)*(IF(Besatzung!$D$11:$D$22="",Besatzung!$B$6,Besatzung!$D$11:$D$22)&gt;=B196)),1))),IF(I196="Individuell",((R196="x")*((G196-IFERROR(H196,0))/IFERROR(COUNTIF(J196:U196,"x"),1)+(Besatzung!$F$19="x")*IFERROR(H196,0)/IFERROR(SUMPRODUCT((J196:U196="x")*(Besatzung!$F$11:$F$22="x")),1))),(IF(COUNTIF(J196:U196,"x")=0,IF(Besatzung!$B$19&lt;&gt;"",1,0),(R196="x"))*(G196-IFERROR(H196,0))/IFERROR(IF(COUNTIF(J196:U196,"x")=0,COUNTA(Besatzung!$B$11:$B$22),COUNTIF(J196:U196,"x")),1)+IF(COUNTIF(J196:U196,"x")=0,(Besatzung!$F$19="x"),(R196="x")*(Besatzung!$F$19="x"))*IFERROR(H196,0)/IFERROR(IF(COUNTIF(J196:U196,"x")=0,SUMPRODUCT((Besatzung!$B$11:$B$22&lt;&gt;"")*(Besatzung!$F$11:$F$22="x")),SUMPRODUCT((J196:U196="x")*(Besatzung!$F$11:$F$22="x"))),1))))),0))))</f>
        <v/>
      </c>
      <c r="AE196" s="247">
        <f>IF(C196="Gutschrift","",IF(G196="","",IF(Besatzung!$B$20="","",IFERROR(IF(I196="Zeitanteilig",(Besatzung!$G$20*(G196-IFERROR(H196,0))+((Besatzung!$B$20&lt;&gt;"")*IF(B196="",1,(IF(Besatzung!$C$20="",Besatzung!$B$5,Besatzung!$C$20)&lt;=B196)*(IF(Besatzung!$D$20="",Besatzung!$B$6,Besatzung!$D$20)&gt;=B196)))*(Besatzung!$F$20="x")*IFERROR(H196,0)/IFERROR(SUMPRODUCT((Besatzung!$B$11:$B$22&lt;&gt;"")*(Besatzung!$F$11:$F$22="x")*(IF(Besatzung!$C$11:$C$22="",Besatzung!$B$5,Besatzung!$C$11:$C$22)&lt;=B196)*(IF(Besatzung!$D$11:$D$22="",Besatzung!$B$6,Besatzung!$D$11:$D$22)&gt;=B196)),1)),IF(I196="An Bord",(((Besatzung!$B$20&lt;&gt;"")*IF(B196="",1,(IF(Besatzung!$C$20="",Besatzung!$B$5,Besatzung!$C$20)&lt;=B196)*(IF(Besatzung!$D$20="",Besatzung!$B$6,Besatzung!$D$20)&gt;=B196)))*((G196-IFERROR(H196,0))/IFERROR(SUMPRODUCT((Besatzung!$B$11:$B$22&lt;&gt;"")*(IF(Besatzung!$C$11:$C$22="",Besatzung!$B$5,Besatzung!$C$11:$C$22)&lt;=B196)*(IF(Besatzung!$D$11:$D$22="",Besatzung!$B$6,Besatzung!$D$11:$D$22)&gt;=B196)),1)+(Besatzung!$F$20="x")*IFERROR(H196,0)/IFERROR(SUMPRODUCT((Besatzung!$B$11:$B$22&lt;&gt;"")*(Besatzung!$F$11:$F$22="x")*(IF(Besatzung!$C$11:$C$22="",Besatzung!$B$5,Besatzung!$C$11:$C$22)&lt;=B196)*(IF(Besatzung!$D$11:$D$22="",Besatzung!$B$6,Besatzung!$D$11:$D$22)&gt;=B196)),1))),IF(I196="Individuell",((S196="x")*((G196-IFERROR(H196,0))/IFERROR(COUNTIF(J196:U196,"x"),1)+(Besatzung!$F$20="x")*IFERROR(H196,0)/IFERROR(SUMPRODUCT((J196:U196="x")*(Besatzung!$F$11:$F$22="x")),1))),(IF(COUNTIF(J196:U196,"x")=0,IF(Besatzung!$B$20&lt;&gt;"",1,0),(S196="x"))*(G196-IFERROR(H196,0))/IFERROR(IF(COUNTIF(J196:U196,"x")=0,COUNTA(Besatzung!$B$11:$B$22),COUNTIF(J196:U196,"x")),1)+IF(COUNTIF(J196:U196,"x")=0,(Besatzung!$F$20="x"),(S196="x")*(Besatzung!$F$20="x"))*IFERROR(H196,0)/IFERROR(IF(COUNTIF(J196:U196,"x")=0,SUMPRODUCT((Besatzung!$B$11:$B$22&lt;&gt;"")*(Besatzung!$F$11:$F$22="x")),SUMPRODUCT((J196:U196="x")*(Besatzung!$F$11:$F$22="x"))),1))))),0))))</f>
        <v/>
      </c>
      <c r="AF196" s="247">
        <f>IF(C196="Gutschrift","",IF(G196="","",IF(Besatzung!$B$21="","",IFERROR(IF(I196="Zeitanteilig",(Besatzung!$G$21*(G196-IFERROR(H196,0))+((Besatzung!$B$21&lt;&gt;"")*IF(B196="",1,(IF(Besatzung!$C$21="",Besatzung!$B$5,Besatzung!$C$21)&lt;=B196)*(IF(Besatzung!$D$21="",Besatzung!$B$6,Besatzung!$D$21)&gt;=B196)))*(Besatzung!$F$21="x")*IFERROR(H196,0)/IFERROR(SUMPRODUCT((Besatzung!$B$11:$B$22&lt;&gt;"")*(Besatzung!$F$11:$F$22="x")*(IF(Besatzung!$C$11:$C$22="",Besatzung!$B$5,Besatzung!$C$11:$C$22)&lt;=B196)*(IF(Besatzung!$D$11:$D$22="",Besatzung!$B$6,Besatzung!$D$11:$D$22)&gt;=B196)),1)),IF(I196="An Bord",(((Besatzung!$B$21&lt;&gt;"")*IF(B196="",1,(IF(Besatzung!$C$21="",Besatzung!$B$5,Besatzung!$C$21)&lt;=B196)*(IF(Besatzung!$D$21="",Besatzung!$B$6,Besatzung!$D$21)&gt;=B196)))*((G196-IFERROR(H196,0))/IFERROR(SUMPRODUCT((Besatzung!$B$11:$B$22&lt;&gt;"")*(IF(Besatzung!$C$11:$C$22="",Besatzung!$B$5,Besatzung!$C$11:$C$22)&lt;=B196)*(IF(Besatzung!$D$11:$D$22="",Besatzung!$B$6,Besatzung!$D$11:$D$22)&gt;=B196)),1)+(Besatzung!$F$21="x")*IFERROR(H196,0)/IFERROR(SUMPRODUCT((Besatzung!$B$11:$B$22&lt;&gt;"")*(Besatzung!$F$11:$F$22="x")*(IF(Besatzung!$C$11:$C$22="",Besatzung!$B$5,Besatzung!$C$11:$C$22)&lt;=B196)*(IF(Besatzung!$D$11:$D$22="",Besatzung!$B$6,Besatzung!$D$11:$D$22)&gt;=B196)),1))),IF(I196="Individuell",((T196="x")*((G196-IFERROR(H196,0))/IFERROR(COUNTIF(J196:U196,"x"),1)+(Besatzung!$F$21="x")*IFERROR(H196,0)/IFERROR(SUMPRODUCT((J196:U196="x")*(Besatzung!$F$11:$F$22="x")),1))),(IF(COUNTIF(J196:U196,"x")=0,IF(Besatzung!$B$21&lt;&gt;"",1,0),(T196="x"))*(G196-IFERROR(H196,0))/IFERROR(IF(COUNTIF(J196:U196,"x")=0,COUNTA(Besatzung!$B$11:$B$22),COUNTIF(J196:U196,"x")),1)+IF(COUNTIF(J196:U196,"x")=0,(Besatzung!$F$21="x"),(T196="x")*(Besatzung!$F$21="x"))*IFERROR(H196,0)/IFERROR(IF(COUNTIF(J196:U196,"x")=0,SUMPRODUCT((Besatzung!$B$11:$B$22&lt;&gt;"")*(Besatzung!$F$11:$F$22="x")),SUMPRODUCT((J196:U196="x")*(Besatzung!$F$11:$F$22="x"))),1))))),0))))</f>
        <v/>
      </c>
      <c r="AG196" s="247">
        <f>IF(C196="Gutschrift","",IF(G196="","",IF(Besatzung!$B$22="","",IFERROR(IF(I196="Zeitanteilig",(Besatzung!$G$22*(G196-IFERROR(H196,0))+((Besatzung!$B$22&lt;&gt;"")*IF(B196="",1,(IF(Besatzung!$C$22="",Besatzung!$B$5,Besatzung!$C$22)&lt;=B196)*(IF(Besatzung!$D$22="",Besatzung!$B$6,Besatzung!$D$22)&gt;=B196)))*(Besatzung!$F$22="x")*IFERROR(H196,0)/IFERROR(SUMPRODUCT((Besatzung!$B$11:$B$22&lt;&gt;"")*(Besatzung!$F$11:$F$22="x")*(IF(Besatzung!$C$11:$C$22="",Besatzung!$B$5,Besatzung!$C$11:$C$22)&lt;=B196)*(IF(Besatzung!$D$11:$D$22="",Besatzung!$B$6,Besatzung!$D$11:$D$22)&gt;=B196)),1)),IF(I196="An Bord",(((Besatzung!$B$22&lt;&gt;"")*IF(B196="",1,(IF(Besatzung!$C$22="",Besatzung!$B$5,Besatzung!$C$22)&lt;=B196)*(IF(Besatzung!$D$22="",Besatzung!$B$6,Besatzung!$D$22)&gt;=B196)))*((G196-IFERROR(H196,0))/IFERROR(SUMPRODUCT((Besatzung!$B$11:$B$22&lt;&gt;"")*(IF(Besatzung!$C$11:$C$22="",Besatzung!$B$5,Besatzung!$C$11:$C$22)&lt;=B196)*(IF(Besatzung!$D$11:$D$22="",Besatzung!$B$6,Besatzung!$D$11:$D$22)&gt;=B196)),1)+(Besatzung!$F$22="x")*IFERROR(H196,0)/IFERROR(SUMPRODUCT((Besatzung!$B$11:$B$22&lt;&gt;"")*(Besatzung!$F$11:$F$22="x")*(IF(Besatzung!$C$11:$C$22="",Besatzung!$B$5,Besatzung!$C$11:$C$22)&lt;=B196)*(IF(Besatzung!$D$11:$D$22="",Besatzung!$B$6,Besatzung!$D$11:$D$22)&gt;=B196)),1))),IF(I196="Individuell",((U196="x")*((G196-IFERROR(H196,0))/IFERROR(COUNTIF(J196:U196,"x"),1)+(Besatzung!$F$22="x")*IFERROR(H196,0)/IFERROR(SUMPRODUCT((J196:U196="x")*(Besatzung!$F$11:$F$22="x")),1))),(IF(COUNTIF(J196:U196,"x")=0,IF(Besatzung!$B$22&lt;&gt;"",1,0),(U196="x"))*(G196-IFERROR(H196,0))/IFERROR(IF(COUNTIF(J196:U196,"x")=0,COUNTA(Besatzung!$B$11:$B$22),COUNTIF(J196:U196,"x")),1)+IF(COUNTIF(J196:U196,"x")=0,(Besatzung!$F$22="x"),(U196="x")*(Besatzung!$F$22="x"))*IFERROR(H196,0)/IFERROR(IF(COUNTIF(J196:U196,"x")=0,SUMPRODUCT((Besatzung!$B$11:$B$22&lt;&gt;"")*(Besatzung!$F$11:$F$22="x")),SUMPRODUCT((J196:U196="x")*(Besatzung!$F$11:$F$22="x"))),1))))),0))))</f>
        <v/>
      </c>
      <c r="AH196" s="248" t="n"/>
      <c r="AI196" s="248" t="n"/>
    </row>
    <row r="197" ht="21.75" customHeight="1" s="154">
      <c r="A197" s="238">
        <f>IF(AND(D197="",C197=""),"",194)</f>
        <v/>
      </c>
      <c r="B197" s="206" t="n"/>
      <c r="C197" s="249" t="n"/>
      <c r="D197" s="250" t="n"/>
      <c r="E197" s="251" t="n"/>
      <c r="F197" s="252" t="n"/>
      <c r="G197" s="253" t="n"/>
      <c r="H197" s="254" t="n"/>
      <c r="I197" s="255" t="n"/>
      <c r="J197" s="256" t="n"/>
      <c r="K197" s="256" t="n"/>
      <c r="L197" s="256" t="n"/>
      <c r="M197" s="256" t="n"/>
      <c r="N197" s="256" t="n"/>
      <c r="O197" s="256" t="n"/>
      <c r="P197" s="256" t="n"/>
      <c r="Q197" s="256" t="n"/>
      <c r="R197" s="256" t="n"/>
      <c r="S197" s="256" t="n"/>
      <c r="T197" s="256" t="n"/>
      <c r="U197" s="256" t="n"/>
      <c r="V197" s="247">
        <f>IF(C197="Gutschrift","",IF(G197="","",IF(Besatzung!$B$11="","",IFERROR(IF(I197="Zeitanteilig",(Besatzung!$G$11*(G197-IFERROR(H197,0))+((Besatzung!$B$11&lt;&gt;"")*IF(B197="",1,(IF(Besatzung!$C$11="",Besatzung!$B$5,Besatzung!$C$11)&lt;=B197)*(IF(Besatzung!$D$11="",Besatzung!$B$6,Besatzung!$D$11)&gt;=B197)))*(Besatzung!$F$11="x")*IFERROR(H197,0)/IFERROR(SUMPRODUCT((Besatzung!$B$11:$B$22&lt;&gt;"")*(Besatzung!$F$11:$F$22="x")*(IF(Besatzung!$C$11:$C$22="",Besatzung!$B$5,Besatzung!$C$11:$C$22)&lt;=B197)*(IF(Besatzung!$D$11:$D$22="",Besatzung!$B$6,Besatzung!$D$11:$D$22)&gt;=B197)),1)),IF(I197="An Bord",(((Besatzung!$B$11&lt;&gt;"")*IF(B197="",1,(IF(Besatzung!$C$11="",Besatzung!$B$5,Besatzung!$C$11)&lt;=B197)*(IF(Besatzung!$D$11="",Besatzung!$B$6,Besatzung!$D$11)&gt;=B197)))*((G197-IFERROR(H197,0))/IFERROR(SUMPRODUCT((Besatzung!$B$11:$B$22&lt;&gt;"")*(IF(Besatzung!$C$11:$C$22="",Besatzung!$B$5,Besatzung!$C$11:$C$22)&lt;=B197)*(IF(Besatzung!$D$11:$D$22="",Besatzung!$B$6,Besatzung!$D$11:$D$22)&gt;=B197)),1)+(Besatzung!$F$11="x")*IFERROR(H197,0)/IFERROR(SUMPRODUCT((Besatzung!$B$11:$B$22&lt;&gt;"")*(Besatzung!$F$11:$F$22="x")*(IF(Besatzung!$C$11:$C$22="",Besatzung!$B$5,Besatzung!$C$11:$C$22)&lt;=B197)*(IF(Besatzung!$D$11:$D$22="",Besatzung!$B$6,Besatzung!$D$11:$D$22)&gt;=B197)),1))),IF(I197="Individuell",((J197="x")*((G197-IFERROR(H197,0))/IFERROR(COUNTIF(J197:U197,"x"),1)+(Besatzung!$F$11="x")*IFERROR(H197,0)/IFERROR(SUMPRODUCT((J197:U197="x")*(Besatzung!$F$11:$F$22="x")),1))),(IF(COUNTIF(J197:U197,"x")=0,IF(Besatzung!$B$11&lt;&gt;"",1,0),(J197="x"))*(G197-IFERROR(H197,0))/IFERROR(IF(COUNTIF(J197:U197,"x")=0,COUNTA(Besatzung!$B$11:$B$22),COUNTIF(J197:U197,"x")),1)+IF(COUNTIF(J197:U197,"x")=0,(Besatzung!$F$11="x"),(J197="x")*(Besatzung!$F$11="x"))*IFERROR(H197,0)/IFERROR(IF(COUNTIF(J197:U197,"x")=0,SUMPRODUCT((Besatzung!$B$11:$B$22&lt;&gt;"")*(Besatzung!$F$11:$F$22="x")),SUMPRODUCT((J197:U197="x")*(Besatzung!$F$11:$F$22="x"))),1))))),0))))</f>
        <v/>
      </c>
      <c r="W197" s="247">
        <f>IF(C197="Gutschrift","",IF(G197="","",IF(Besatzung!$B$12="","",IFERROR(IF(I197="Zeitanteilig",(Besatzung!$G$12*(G197-IFERROR(H197,0))+((Besatzung!$B$12&lt;&gt;"")*IF(B197="",1,(IF(Besatzung!$C$12="",Besatzung!$B$5,Besatzung!$C$12)&lt;=B197)*(IF(Besatzung!$D$12="",Besatzung!$B$6,Besatzung!$D$12)&gt;=B197)))*(Besatzung!$F$12="x")*IFERROR(H197,0)/IFERROR(SUMPRODUCT((Besatzung!$B$11:$B$22&lt;&gt;"")*(Besatzung!$F$11:$F$22="x")*(IF(Besatzung!$C$11:$C$22="",Besatzung!$B$5,Besatzung!$C$11:$C$22)&lt;=B197)*(IF(Besatzung!$D$11:$D$22="",Besatzung!$B$6,Besatzung!$D$11:$D$22)&gt;=B197)),1)),IF(I197="An Bord",(((Besatzung!$B$12&lt;&gt;"")*IF(B197="",1,(IF(Besatzung!$C$12="",Besatzung!$B$5,Besatzung!$C$12)&lt;=B197)*(IF(Besatzung!$D$12="",Besatzung!$B$6,Besatzung!$D$12)&gt;=B197)))*((G197-IFERROR(H197,0))/IFERROR(SUMPRODUCT((Besatzung!$B$11:$B$22&lt;&gt;"")*(IF(Besatzung!$C$11:$C$22="",Besatzung!$B$5,Besatzung!$C$11:$C$22)&lt;=B197)*(IF(Besatzung!$D$11:$D$22="",Besatzung!$B$6,Besatzung!$D$11:$D$22)&gt;=B197)),1)+(Besatzung!$F$12="x")*IFERROR(H197,0)/IFERROR(SUMPRODUCT((Besatzung!$B$11:$B$22&lt;&gt;"")*(Besatzung!$F$11:$F$22="x")*(IF(Besatzung!$C$11:$C$22="",Besatzung!$B$5,Besatzung!$C$11:$C$22)&lt;=B197)*(IF(Besatzung!$D$11:$D$22="",Besatzung!$B$6,Besatzung!$D$11:$D$22)&gt;=B197)),1))),IF(I197="Individuell",((K197="x")*((G197-IFERROR(H197,0))/IFERROR(COUNTIF(J197:U197,"x"),1)+(Besatzung!$F$12="x")*IFERROR(H197,0)/IFERROR(SUMPRODUCT((J197:U197="x")*(Besatzung!$F$11:$F$22="x")),1))),(IF(COUNTIF(J197:U197,"x")=0,IF(Besatzung!$B$12&lt;&gt;"",1,0),(K197="x"))*(G197-IFERROR(H197,0))/IFERROR(IF(COUNTIF(J197:U197,"x")=0,COUNTA(Besatzung!$B$11:$B$22),COUNTIF(J197:U197,"x")),1)+IF(COUNTIF(J197:U197,"x")=0,(Besatzung!$F$12="x"),(K197="x")*(Besatzung!$F$12="x"))*IFERROR(H197,0)/IFERROR(IF(COUNTIF(J197:U197,"x")=0,SUMPRODUCT((Besatzung!$B$11:$B$22&lt;&gt;"")*(Besatzung!$F$11:$F$22="x")),SUMPRODUCT((J197:U197="x")*(Besatzung!$F$11:$F$22="x"))),1))))),0))))</f>
        <v/>
      </c>
      <c r="X197" s="247">
        <f>IF(C197="Gutschrift","",IF(G197="","",IF(Besatzung!$B$13="","",IFERROR(IF(I197="Zeitanteilig",(Besatzung!$G$13*(G197-IFERROR(H197,0))+((Besatzung!$B$13&lt;&gt;"")*IF(B197="",1,(IF(Besatzung!$C$13="",Besatzung!$B$5,Besatzung!$C$13)&lt;=B197)*(IF(Besatzung!$D$13="",Besatzung!$B$6,Besatzung!$D$13)&gt;=B197)))*(Besatzung!$F$13="x")*IFERROR(H197,0)/IFERROR(SUMPRODUCT((Besatzung!$B$11:$B$22&lt;&gt;"")*(Besatzung!$F$11:$F$22="x")*(IF(Besatzung!$C$11:$C$22="",Besatzung!$B$5,Besatzung!$C$11:$C$22)&lt;=B197)*(IF(Besatzung!$D$11:$D$22="",Besatzung!$B$6,Besatzung!$D$11:$D$22)&gt;=B197)),1)),IF(I197="An Bord",(((Besatzung!$B$13&lt;&gt;"")*IF(B197="",1,(IF(Besatzung!$C$13="",Besatzung!$B$5,Besatzung!$C$13)&lt;=B197)*(IF(Besatzung!$D$13="",Besatzung!$B$6,Besatzung!$D$13)&gt;=B197)))*((G197-IFERROR(H197,0))/IFERROR(SUMPRODUCT((Besatzung!$B$11:$B$22&lt;&gt;"")*(IF(Besatzung!$C$11:$C$22="",Besatzung!$B$5,Besatzung!$C$11:$C$22)&lt;=B197)*(IF(Besatzung!$D$11:$D$22="",Besatzung!$B$6,Besatzung!$D$11:$D$22)&gt;=B197)),1)+(Besatzung!$F$13="x")*IFERROR(H197,0)/IFERROR(SUMPRODUCT((Besatzung!$B$11:$B$22&lt;&gt;"")*(Besatzung!$F$11:$F$22="x")*(IF(Besatzung!$C$11:$C$22="",Besatzung!$B$5,Besatzung!$C$11:$C$22)&lt;=B197)*(IF(Besatzung!$D$11:$D$22="",Besatzung!$B$6,Besatzung!$D$11:$D$22)&gt;=B197)),1))),IF(I197="Individuell",((K197="x")*((G197-IFERROR(H197,0))/IFERROR(COUNTIF(J197:U197,"x"),1)+(Besatzung!$F$13="x")*IFERROR(H197,0)/IFERROR(SUMPRODUCT((J197:U197="x")*(Besatzung!$F$11:$F$22="x")),1))),(IF(COUNTIF(J197:U197,"x")=0,IF(Besatzung!$B$13&lt;&gt;"",1,0),(K197="x"))*(G197-IFERROR(H197,0))/IFERROR(IF(COUNTIF(J197:U197,"x")=0,COUNTA(Besatzung!$B$11:$B$22),COUNTIF(J197:U197,"x")),1)+IF(COUNTIF(J197:U197,"x")=0,(Besatzung!$F$13="x"),(K197="x")*(Besatzung!$F$13="x"))*IFERROR(H197,0)/IFERROR(IF(COUNTIF(J197:U197,"x")=0,SUMPRODUCT((Besatzung!$B$11:$B$22&lt;&gt;"")*(Besatzung!$F$11:$F$22="x")),SUMPRODUCT((J197:U197="x")*(Besatzung!$F$11:$F$22="x"))),1))))),0))))</f>
        <v/>
      </c>
      <c r="Y197" s="247">
        <f>IF(C197="Gutschrift","",IF(G197="","",IF(Besatzung!$B$14="","",IFERROR(IF(I197="Zeitanteilig",(Besatzung!$G$14*(G197-IFERROR(H197,0))+((Besatzung!$B$14&lt;&gt;"")*IF(B197="",1,(IF(Besatzung!$C$14="",Besatzung!$B$5,Besatzung!$C$14)&lt;=B197)*(IF(Besatzung!$D$14="",Besatzung!$B$6,Besatzung!$D$14)&gt;=B197)))*(Besatzung!$F$14="x")*IFERROR(H197,0)/IFERROR(SUMPRODUCT((Besatzung!$B$11:$B$22&lt;&gt;"")*(Besatzung!$F$11:$F$22="x")*(IF(Besatzung!$C$11:$C$22="",Besatzung!$B$5,Besatzung!$C$11:$C$22)&lt;=B197)*(IF(Besatzung!$D$11:$D$22="",Besatzung!$B$6,Besatzung!$D$11:$D$22)&gt;=B197)),1)),IF(I197="An Bord",(((Besatzung!$B$14&lt;&gt;"")*IF(B197="",1,(IF(Besatzung!$C$14="",Besatzung!$B$5,Besatzung!$C$14)&lt;=B197)*(IF(Besatzung!$D$14="",Besatzung!$B$6,Besatzung!$D$14)&gt;=B197)))*((G197-IFERROR(H197,0))/IFERROR(SUMPRODUCT((Besatzung!$B$11:$B$22&lt;&gt;"")*(IF(Besatzung!$C$11:$C$22="",Besatzung!$B$5,Besatzung!$C$11:$C$22)&lt;=B197)*(IF(Besatzung!$D$11:$D$22="",Besatzung!$B$6,Besatzung!$D$11:$D$22)&gt;=B197)),1)+(Besatzung!$F$14="x")*IFERROR(H197,0)/IFERROR(SUMPRODUCT((Besatzung!$B$11:$B$22&lt;&gt;"")*(Besatzung!$F$11:$F$22="x")*(IF(Besatzung!$C$11:$C$22="",Besatzung!$B$5,Besatzung!$C$11:$C$22)&lt;=B197)*(IF(Besatzung!$D$11:$D$22="",Besatzung!$B$6,Besatzung!$D$11:$D$22)&gt;=B197)),1))),IF(I197="Individuell",((M197="x")*((G197-IFERROR(H197,0))/IFERROR(COUNTIF(J197:U197,"x"),1)+(Besatzung!$F$14="x")*IFERROR(H197,0)/IFERROR(SUMPRODUCT((J197:U197="x")*(Besatzung!$F$11:$F$22="x")),1))),(IF(COUNTIF(J197:U197,"x")=0,IF(Besatzung!$B$14&lt;&gt;"",1,0),(M197="x"))*(G197-IFERROR(H197,0))/IFERROR(IF(COUNTIF(J197:U197,"x")=0,COUNTA(Besatzung!$B$11:$B$22),COUNTIF(J197:U197,"x")),1)+IF(COUNTIF(J197:U197,"x")=0,(Besatzung!$F$14="x"),(M197="x")*(Besatzung!$F$14="x"))*IFERROR(H197,0)/IFERROR(IF(COUNTIF(J197:U197,"x")=0,SUMPRODUCT((Besatzung!$B$11:$B$22&lt;&gt;"")*(Besatzung!$F$11:$F$22="x")),SUMPRODUCT((J197:U197="x")*(Besatzung!$F$11:$F$22="x"))),1))))),0))))</f>
        <v/>
      </c>
      <c r="Z197" s="247">
        <f>IF(C197="Gutschrift","",IF(G197="","",IF(Besatzung!$B$13="","",IFERROR(IF(I197="Zeitanteilig",(Besatzung!$G$15*(G197-IFERROR(H197,0))+((Besatzung!$B$13&lt;&gt;"")*IF(B197="",1,(IF(Besatzung!$C$15="",Besatzung!$B$5,Besatzung!$C$15)&lt;=B197)*(IF(Besatzung!$D$15="",Besatzung!$B$6,Besatzung!$D$15)&gt;=B197)))*(Besatzung!$F$15="x")*IFERROR(H197,0)/IFERROR(SUMPRODUCT((Besatzung!$B$11:$B$22&lt;&gt;"")*(Besatzung!$F$11:$F$22="x")*(IF(Besatzung!$C$11:$C$22="",Besatzung!$B$5,Besatzung!$C$11:$C$22)&lt;=B197)*(IF(Besatzung!$D$11:$D$22="",Besatzung!$B$6,Besatzung!$D$11:$D$22)&gt;=B197)),1)),IF(I197="An Bord",(((Besatzung!$B$13&lt;&gt;"")*IF(B197="",1,(IF(Besatzung!$C$15="",Besatzung!$B$5,Besatzung!$C$15)&lt;=B197)*(IF(Besatzung!$D$15="",Besatzung!$B$6,Besatzung!$D$15)&gt;=B197)))*((G197-IFERROR(H197,0))/IFERROR(SUMPRODUCT((Besatzung!$B$11:$B$22&lt;&gt;"")*(IF(Besatzung!$C$11:$C$22="",Besatzung!$B$5,Besatzung!$C$11:$C$22)&lt;=B197)*(IF(Besatzung!$D$11:$D$22="",Besatzung!$B$6,Besatzung!$D$11:$D$22)&gt;=B197)),1)+(Besatzung!$F$15="x")*IFERROR(H197,0)/IFERROR(SUMPRODUCT((Besatzung!$B$11:$B$22&lt;&gt;"")*(Besatzung!$F$11:$F$22="x")*(IF(Besatzung!$C$11:$C$22="",Besatzung!$B$5,Besatzung!$C$11:$C$22)&lt;=B197)*(IF(Besatzung!$D$11:$D$22="",Besatzung!$B$6,Besatzung!$D$11:$D$22)&gt;=B197)),1))),IF(I197="Individuell",((N197="x")*((G197-IFERROR(H197,0))/IFERROR(COUNTIF(J197:U197,"x"),1)+(Besatzung!$F$15="x")*IFERROR(H197,0)/IFERROR(SUMPRODUCT((J197:U197="x")*(Besatzung!$F$11:$F$22="x")),1))),(IF(COUNTIF(J197:U197,"x")=0,IF(Besatzung!$B$13&lt;&gt;"",1,0),(N197="x"))*(G197-IFERROR(H197,0))/IFERROR(IF(COUNTIF(J197:U197,"x")=0,COUNTA(Besatzung!$B$11:$B$22),COUNTIF(J197:U197,"x")),1)+IF(COUNTIF(J197:U197,"x")=0,(Besatzung!$F$15="x"),(N197="x")*(Besatzung!$F$15="x"))*IFERROR(H197,0)/IFERROR(IF(COUNTIF(J197:U197,"x")=0,SUMPRODUCT((Besatzung!$B$11:$B$22&lt;&gt;"")*(Besatzung!$F$11:$F$22="x")),SUMPRODUCT((J197:U197="x")*(Besatzung!$F$11:$F$22="x"))),1))))),0))))</f>
        <v/>
      </c>
      <c r="AA197" s="247">
        <f>IF(C197="Gutschrift","",IF(G197="","",IF(Besatzung!$B$15="","",IFERROR(IF(I197="Zeitanteilig",(Besatzung!$G$16*(G197-IFERROR(H197,0))+((Besatzung!$B$15&lt;&gt;"")*IF(B197="",1,(IF(Besatzung!$C$16="",Besatzung!$B$5,Besatzung!$C$16)&lt;=B197)*(IF(Besatzung!$D$16="",Besatzung!$B$6,Besatzung!$D$16)&gt;=B197)))*(Besatzung!$F$16="x")*IFERROR(H197,0)/IFERROR(SUMPRODUCT((Besatzung!$B$11:$B$22&lt;&gt;"")*(Besatzung!$F$11:$F$22="x")*(IF(Besatzung!$C$11:$C$22="",Besatzung!$B$5,Besatzung!$C$11:$C$22)&lt;=B197)*(IF(Besatzung!$D$11:$D$22="",Besatzung!$B$6,Besatzung!$D$11:$D$22)&gt;=B197)),1)),IF(I197="An Bord",(((Besatzung!$B$15&lt;&gt;"")*IF(B197="",1,(IF(Besatzung!$C$16="",Besatzung!$B$5,Besatzung!$C$16)&lt;=B197)*(IF(Besatzung!$D$16="",Besatzung!$B$6,Besatzung!$D$16)&gt;=B197)))*((G197-IFERROR(H197,0))/IFERROR(SUMPRODUCT((Besatzung!$B$11:$B$22&lt;&gt;"")*(IF(Besatzung!$C$11:$C$22="",Besatzung!$B$5,Besatzung!$C$11:$C$22)&lt;=B197)*(IF(Besatzung!$D$11:$D$22="",Besatzung!$B$6,Besatzung!$D$11:$D$22)&gt;=B197)),1)+(Besatzung!$F$16="x")*IFERROR(H197,0)/IFERROR(SUMPRODUCT((Besatzung!$B$11:$B$22&lt;&gt;"")*(Besatzung!$F$11:$F$22="x")*(IF(Besatzung!$C$11:$C$22="",Besatzung!$B$5,Besatzung!$C$11:$C$22)&lt;=B197)*(IF(Besatzung!$D$11:$D$22="",Besatzung!$B$6,Besatzung!$D$11:$D$22)&gt;=B197)),1))),IF(I197="Individuell",((O197="x")*((G197-IFERROR(H197,0))/IFERROR(COUNTIF(J197:U197,"x"),1)+(Besatzung!$F$16="x")*IFERROR(H197,0)/IFERROR(SUMPRODUCT((J197:U197="x")*(Besatzung!$F$11:$F$22="x")),1))),(IF(COUNTIF(J197:U197,"x")=0,IF(Besatzung!$B$15&lt;&gt;"",1,0),(O197="x"))*(G197-IFERROR(H197,0))/IFERROR(IF(COUNTIF(J197:U197,"x")=0,COUNTA(Besatzung!$B$11:$B$22),COUNTIF(J197:U197,"x")),1)+IF(COUNTIF(J197:U197,"x")=0,(Besatzung!$F$16="x"),(O197="x")*(Besatzung!$F$16="x"))*IFERROR(H197,0)/IFERROR(IF(COUNTIF(J197:U197,"x")=0,SUMPRODUCT((Besatzung!$B$11:$B$22&lt;&gt;"")*(Besatzung!$F$11:$F$22="x")),SUMPRODUCT((J197:U197="x")*(Besatzung!$F$11:$F$22="x"))),1))))),0))))</f>
        <v/>
      </c>
      <c r="AB197" s="247">
        <f>IF(C197="Gutschrift","",IF(G197="","",IF(Besatzung!$B$17="","",IFERROR(IF(I197="Zeitanteilig",(Besatzung!$G$17*(G197-IFERROR(H197,0))+((Besatzung!$B$17&lt;&gt;"")*IF(B197="",1,(IF(Besatzung!$C$17="",Besatzung!$B$5,Besatzung!$C$17)&lt;=B197)*(IF(Besatzung!$D$17="",Besatzung!$B$6,Besatzung!$D$17)&gt;=B197)))*(Besatzung!$F$17="x")*IFERROR(H197,0)/IFERROR(SUMPRODUCT((Besatzung!$B$11:$B$22&lt;&gt;"")*(Besatzung!$F$11:$F$22="x")*(IF(Besatzung!$C$11:$C$22="",Besatzung!$B$5,Besatzung!$C$11:$C$22)&lt;=B197)*(IF(Besatzung!$D$11:$D$22="",Besatzung!$B$6,Besatzung!$D$11:$D$22)&gt;=B197)),1)),IF(I197="An Bord",(((Besatzung!$B$17&lt;&gt;"")*IF(B197="",1,(IF(Besatzung!$C$17="",Besatzung!$B$5,Besatzung!$C$17)&lt;=B197)*(IF(Besatzung!$D$17="",Besatzung!$B$6,Besatzung!$D$17)&gt;=B197)))*((G197-IFERROR(H197,0))/IFERROR(SUMPRODUCT((Besatzung!$B$11:$B$22&lt;&gt;"")*(IF(Besatzung!$C$11:$C$22="",Besatzung!$B$5,Besatzung!$C$11:$C$22)&lt;=B197)*(IF(Besatzung!$D$11:$D$22="",Besatzung!$B$6,Besatzung!$D$11:$D$22)&gt;=B197)),1)+(Besatzung!$F$17="x")*IFERROR(H197,0)/IFERROR(SUMPRODUCT((Besatzung!$B$11:$B$22&lt;&gt;"")*(Besatzung!$F$11:$F$22="x")*(IF(Besatzung!$C$11:$C$22="",Besatzung!$B$5,Besatzung!$C$11:$C$22)&lt;=B197)*(IF(Besatzung!$D$11:$D$22="",Besatzung!$B$6,Besatzung!$D$11:$D$22)&gt;=B197)),1))),IF(I197="Individuell",((P197="x")*((G197-IFERROR(H197,0))/IFERROR(COUNTIF(J197:U197,"x"),1)+(Besatzung!$F$17="x")*IFERROR(H197,0)/IFERROR(SUMPRODUCT((J197:U197="x")*(Besatzung!$F$11:$F$22="x")),1))),(IF(COUNTIF(J197:U197,"x")=0,IF(Besatzung!$B$17&lt;&gt;"",1,0),(P197="x"))*(G197-IFERROR(H197,0))/IFERROR(IF(COUNTIF(J197:U197,"x")=0,COUNTA(Besatzung!$B$11:$B$22),COUNTIF(J197:U197,"x")),1)+IF(COUNTIF(J197:U197,"x")=0,(Besatzung!$F$17="x"),(P197="x")*(Besatzung!$F$17="x"))*IFERROR(H197,0)/IFERROR(IF(COUNTIF(J197:U197,"x")=0,SUMPRODUCT((Besatzung!$B$11:$B$22&lt;&gt;"")*(Besatzung!$F$11:$F$22="x")),SUMPRODUCT((J197:U197="x")*(Besatzung!$F$11:$F$22="x"))),1))))),0))))</f>
        <v/>
      </c>
      <c r="AC197" s="247">
        <f>IF(C197="Gutschrift","",IF(G197="","",IF(Besatzung!$B$18="","",IFERROR(IF(I197="Zeitanteilig",(Besatzung!$G$18*(G197-IFERROR(H197,0))+((Besatzung!$B$18&lt;&gt;"")*IF(B197="",1,(IF(Besatzung!$C$18="",Besatzung!$B$5,Besatzung!$C$18)&lt;=B197)*(IF(Besatzung!$D$18="",Besatzung!$B$6,Besatzung!$D$18)&gt;=B197)))*(Besatzung!$F$18="x")*IFERROR(H197,0)/IFERROR(SUMPRODUCT((Besatzung!$B$11:$B$22&lt;&gt;"")*(Besatzung!$F$11:$F$22="x")*(IF(Besatzung!$C$11:$C$22="",Besatzung!$B$5,Besatzung!$C$11:$C$22)&lt;=B197)*(IF(Besatzung!$D$11:$D$22="",Besatzung!$B$6,Besatzung!$D$11:$D$22)&gt;=B197)),1)),IF(I197="An Bord",(((Besatzung!$B$18&lt;&gt;"")*IF(B197="",1,(IF(Besatzung!$C$18="",Besatzung!$B$5,Besatzung!$C$18)&lt;=B197)*(IF(Besatzung!$D$18="",Besatzung!$B$6,Besatzung!$D$18)&gt;=B197)))*((G197-IFERROR(H197,0))/IFERROR(SUMPRODUCT((Besatzung!$B$11:$B$22&lt;&gt;"")*(IF(Besatzung!$C$11:$C$22="",Besatzung!$B$5,Besatzung!$C$11:$C$22)&lt;=B197)*(IF(Besatzung!$D$11:$D$22="",Besatzung!$B$6,Besatzung!$D$11:$D$22)&gt;=B197)),1)+(Besatzung!$F$18="x")*IFERROR(H197,0)/IFERROR(SUMPRODUCT((Besatzung!$B$11:$B$22&lt;&gt;"")*(Besatzung!$F$11:$F$22="x")*(IF(Besatzung!$C$11:$C$22="",Besatzung!$B$5,Besatzung!$C$11:$C$22)&lt;=B197)*(IF(Besatzung!$D$11:$D$22="",Besatzung!$B$6,Besatzung!$D$11:$D$22)&gt;=B197)),1))),IF(I197="Individuell",((Q197="x")*((G197-IFERROR(H197,0))/IFERROR(COUNTIF(J197:U197,"x"),1)+(Besatzung!$F$18="x")*IFERROR(H197,0)/IFERROR(SUMPRODUCT((J197:U197="x")*(Besatzung!$F$11:$F$22="x")),1))),(IF(COUNTIF(J197:U197,"x")=0,IF(Besatzung!$B$18&lt;&gt;"",1,0),(Q197="x"))*(G197-IFERROR(H197,0))/IFERROR(IF(COUNTIF(J197:U197,"x")=0,COUNTA(Besatzung!$B$11:$B$22),COUNTIF(J197:U197,"x")),1)+IF(COUNTIF(J197:U197,"x")=0,(Besatzung!$F$18="x"),(Q197="x")*(Besatzung!$F$18="x"))*IFERROR(H197,0)/IFERROR(IF(COUNTIF(J197:U197,"x")=0,SUMPRODUCT((Besatzung!$B$11:$B$22&lt;&gt;"")*(Besatzung!$F$11:$F$22="x")),SUMPRODUCT((J197:U197="x")*(Besatzung!$F$11:$F$22="x"))),1))))),0))))</f>
        <v/>
      </c>
      <c r="AD197" s="247">
        <f>IF(C197="Gutschrift","",IF(G197="","",IF(Besatzung!$B$19="","",IFERROR(IF(I197="Zeitanteilig",(Besatzung!$G$19*(G197-IFERROR(H197,0))+((Besatzung!$B$19&lt;&gt;"")*IF(B197="",1,(IF(Besatzung!$C$19="",Besatzung!$B$5,Besatzung!$C$19)&lt;=B197)*(IF(Besatzung!$D$19="",Besatzung!$B$6,Besatzung!$D$19)&gt;=B197)))*(Besatzung!$F$19="x")*IFERROR(H197,0)/IFERROR(SUMPRODUCT((Besatzung!$B$11:$B$22&lt;&gt;"")*(Besatzung!$F$11:$F$22="x")*(IF(Besatzung!$C$11:$C$22="",Besatzung!$B$5,Besatzung!$C$11:$C$22)&lt;=B197)*(IF(Besatzung!$D$11:$D$22="",Besatzung!$B$6,Besatzung!$D$11:$D$22)&gt;=B197)),1)),IF(I197="An Bord",(((Besatzung!$B$19&lt;&gt;"")*IF(B197="",1,(IF(Besatzung!$C$19="",Besatzung!$B$5,Besatzung!$C$19)&lt;=B197)*(IF(Besatzung!$D$19="",Besatzung!$B$6,Besatzung!$D$19)&gt;=B197)))*((G197-IFERROR(H197,0))/IFERROR(SUMPRODUCT((Besatzung!$B$11:$B$22&lt;&gt;"")*(IF(Besatzung!$C$11:$C$22="",Besatzung!$B$5,Besatzung!$C$11:$C$22)&lt;=B197)*(IF(Besatzung!$D$11:$D$22="",Besatzung!$B$6,Besatzung!$D$11:$D$22)&gt;=B197)),1)+(Besatzung!$F$19="x")*IFERROR(H197,0)/IFERROR(SUMPRODUCT((Besatzung!$B$11:$B$22&lt;&gt;"")*(Besatzung!$F$11:$F$22="x")*(IF(Besatzung!$C$11:$C$22="",Besatzung!$B$5,Besatzung!$C$11:$C$22)&lt;=B197)*(IF(Besatzung!$D$11:$D$22="",Besatzung!$B$6,Besatzung!$D$11:$D$22)&gt;=B197)),1))),IF(I197="Individuell",((R197="x")*((G197-IFERROR(H197,0))/IFERROR(COUNTIF(J197:U197,"x"),1)+(Besatzung!$F$19="x")*IFERROR(H197,0)/IFERROR(SUMPRODUCT((J197:U197="x")*(Besatzung!$F$11:$F$22="x")),1))),(IF(COUNTIF(J197:U197,"x")=0,IF(Besatzung!$B$19&lt;&gt;"",1,0),(R197="x"))*(G197-IFERROR(H197,0))/IFERROR(IF(COUNTIF(J197:U197,"x")=0,COUNTA(Besatzung!$B$11:$B$22),COUNTIF(J197:U197,"x")),1)+IF(COUNTIF(J197:U197,"x")=0,(Besatzung!$F$19="x"),(R197="x")*(Besatzung!$F$19="x"))*IFERROR(H197,0)/IFERROR(IF(COUNTIF(J197:U197,"x")=0,SUMPRODUCT((Besatzung!$B$11:$B$22&lt;&gt;"")*(Besatzung!$F$11:$F$22="x")),SUMPRODUCT((J197:U197="x")*(Besatzung!$F$11:$F$22="x"))),1))))),0))))</f>
        <v/>
      </c>
      <c r="AE197" s="247">
        <f>IF(C197="Gutschrift","",IF(G197="","",IF(Besatzung!$B$20="","",IFERROR(IF(I197="Zeitanteilig",(Besatzung!$G$20*(G197-IFERROR(H197,0))+((Besatzung!$B$20&lt;&gt;"")*IF(B197="",1,(IF(Besatzung!$C$20="",Besatzung!$B$5,Besatzung!$C$20)&lt;=B197)*(IF(Besatzung!$D$20="",Besatzung!$B$6,Besatzung!$D$20)&gt;=B197)))*(Besatzung!$F$20="x")*IFERROR(H197,0)/IFERROR(SUMPRODUCT((Besatzung!$B$11:$B$22&lt;&gt;"")*(Besatzung!$F$11:$F$22="x")*(IF(Besatzung!$C$11:$C$22="",Besatzung!$B$5,Besatzung!$C$11:$C$22)&lt;=B197)*(IF(Besatzung!$D$11:$D$22="",Besatzung!$B$6,Besatzung!$D$11:$D$22)&gt;=B197)),1)),IF(I197="An Bord",(((Besatzung!$B$20&lt;&gt;"")*IF(B197="",1,(IF(Besatzung!$C$20="",Besatzung!$B$5,Besatzung!$C$20)&lt;=B197)*(IF(Besatzung!$D$20="",Besatzung!$B$6,Besatzung!$D$20)&gt;=B197)))*((G197-IFERROR(H197,0))/IFERROR(SUMPRODUCT((Besatzung!$B$11:$B$22&lt;&gt;"")*(IF(Besatzung!$C$11:$C$22="",Besatzung!$B$5,Besatzung!$C$11:$C$22)&lt;=B197)*(IF(Besatzung!$D$11:$D$22="",Besatzung!$B$6,Besatzung!$D$11:$D$22)&gt;=B197)),1)+(Besatzung!$F$20="x")*IFERROR(H197,0)/IFERROR(SUMPRODUCT((Besatzung!$B$11:$B$22&lt;&gt;"")*(Besatzung!$F$11:$F$22="x")*(IF(Besatzung!$C$11:$C$22="",Besatzung!$B$5,Besatzung!$C$11:$C$22)&lt;=B197)*(IF(Besatzung!$D$11:$D$22="",Besatzung!$B$6,Besatzung!$D$11:$D$22)&gt;=B197)),1))),IF(I197="Individuell",((S197="x")*((G197-IFERROR(H197,0))/IFERROR(COUNTIF(J197:U197,"x"),1)+(Besatzung!$F$20="x")*IFERROR(H197,0)/IFERROR(SUMPRODUCT((J197:U197="x")*(Besatzung!$F$11:$F$22="x")),1))),(IF(COUNTIF(J197:U197,"x")=0,IF(Besatzung!$B$20&lt;&gt;"",1,0),(S197="x"))*(G197-IFERROR(H197,0))/IFERROR(IF(COUNTIF(J197:U197,"x")=0,COUNTA(Besatzung!$B$11:$B$22),COUNTIF(J197:U197,"x")),1)+IF(COUNTIF(J197:U197,"x")=0,(Besatzung!$F$20="x"),(S197="x")*(Besatzung!$F$20="x"))*IFERROR(H197,0)/IFERROR(IF(COUNTIF(J197:U197,"x")=0,SUMPRODUCT((Besatzung!$B$11:$B$22&lt;&gt;"")*(Besatzung!$F$11:$F$22="x")),SUMPRODUCT((J197:U197="x")*(Besatzung!$F$11:$F$22="x"))),1))))),0))))</f>
        <v/>
      </c>
      <c r="AF197" s="247">
        <f>IF(C197="Gutschrift","",IF(G197="","",IF(Besatzung!$B$21="","",IFERROR(IF(I197="Zeitanteilig",(Besatzung!$G$21*(G197-IFERROR(H197,0))+((Besatzung!$B$21&lt;&gt;"")*IF(B197="",1,(IF(Besatzung!$C$21="",Besatzung!$B$5,Besatzung!$C$21)&lt;=B197)*(IF(Besatzung!$D$21="",Besatzung!$B$6,Besatzung!$D$21)&gt;=B197)))*(Besatzung!$F$21="x")*IFERROR(H197,0)/IFERROR(SUMPRODUCT((Besatzung!$B$11:$B$22&lt;&gt;"")*(Besatzung!$F$11:$F$22="x")*(IF(Besatzung!$C$11:$C$22="",Besatzung!$B$5,Besatzung!$C$11:$C$22)&lt;=B197)*(IF(Besatzung!$D$11:$D$22="",Besatzung!$B$6,Besatzung!$D$11:$D$22)&gt;=B197)),1)),IF(I197="An Bord",(((Besatzung!$B$21&lt;&gt;"")*IF(B197="",1,(IF(Besatzung!$C$21="",Besatzung!$B$5,Besatzung!$C$21)&lt;=B197)*(IF(Besatzung!$D$21="",Besatzung!$B$6,Besatzung!$D$21)&gt;=B197)))*((G197-IFERROR(H197,0))/IFERROR(SUMPRODUCT((Besatzung!$B$11:$B$22&lt;&gt;"")*(IF(Besatzung!$C$11:$C$22="",Besatzung!$B$5,Besatzung!$C$11:$C$22)&lt;=B197)*(IF(Besatzung!$D$11:$D$22="",Besatzung!$B$6,Besatzung!$D$11:$D$22)&gt;=B197)),1)+(Besatzung!$F$21="x")*IFERROR(H197,0)/IFERROR(SUMPRODUCT((Besatzung!$B$11:$B$22&lt;&gt;"")*(Besatzung!$F$11:$F$22="x")*(IF(Besatzung!$C$11:$C$22="",Besatzung!$B$5,Besatzung!$C$11:$C$22)&lt;=B197)*(IF(Besatzung!$D$11:$D$22="",Besatzung!$B$6,Besatzung!$D$11:$D$22)&gt;=B197)),1))),IF(I197="Individuell",((T197="x")*((G197-IFERROR(H197,0))/IFERROR(COUNTIF(J197:U197,"x"),1)+(Besatzung!$F$21="x")*IFERROR(H197,0)/IFERROR(SUMPRODUCT((J197:U197="x")*(Besatzung!$F$11:$F$22="x")),1))),(IF(COUNTIF(J197:U197,"x")=0,IF(Besatzung!$B$21&lt;&gt;"",1,0),(T197="x"))*(G197-IFERROR(H197,0))/IFERROR(IF(COUNTIF(J197:U197,"x")=0,COUNTA(Besatzung!$B$11:$B$22),COUNTIF(J197:U197,"x")),1)+IF(COUNTIF(J197:U197,"x")=0,(Besatzung!$F$21="x"),(T197="x")*(Besatzung!$F$21="x"))*IFERROR(H197,0)/IFERROR(IF(COUNTIF(J197:U197,"x")=0,SUMPRODUCT((Besatzung!$B$11:$B$22&lt;&gt;"")*(Besatzung!$F$11:$F$22="x")),SUMPRODUCT((J197:U197="x")*(Besatzung!$F$11:$F$22="x"))),1))))),0))))</f>
        <v/>
      </c>
      <c r="AG197" s="247">
        <f>IF(C197="Gutschrift","",IF(G197="","",IF(Besatzung!$B$22="","",IFERROR(IF(I197="Zeitanteilig",(Besatzung!$G$22*(G197-IFERROR(H197,0))+((Besatzung!$B$22&lt;&gt;"")*IF(B197="",1,(IF(Besatzung!$C$22="",Besatzung!$B$5,Besatzung!$C$22)&lt;=B197)*(IF(Besatzung!$D$22="",Besatzung!$B$6,Besatzung!$D$22)&gt;=B197)))*(Besatzung!$F$22="x")*IFERROR(H197,0)/IFERROR(SUMPRODUCT((Besatzung!$B$11:$B$22&lt;&gt;"")*(Besatzung!$F$11:$F$22="x")*(IF(Besatzung!$C$11:$C$22="",Besatzung!$B$5,Besatzung!$C$11:$C$22)&lt;=B197)*(IF(Besatzung!$D$11:$D$22="",Besatzung!$B$6,Besatzung!$D$11:$D$22)&gt;=B197)),1)),IF(I197="An Bord",(((Besatzung!$B$22&lt;&gt;"")*IF(B197="",1,(IF(Besatzung!$C$22="",Besatzung!$B$5,Besatzung!$C$22)&lt;=B197)*(IF(Besatzung!$D$22="",Besatzung!$B$6,Besatzung!$D$22)&gt;=B197)))*((G197-IFERROR(H197,0))/IFERROR(SUMPRODUCT((Besatzung!$B$11:$B$22&lt;&gt;"")*(IF(Besatzung!$C$11:$C$22="",Besatzung!$B$5,Besatzung!$C$11:$C$22)&lt;=B197)*(IF(Besatzung!$D$11:$D$22="",Besatzung!$B$6,Besatzung!$D$11:$D$22)&gt;=B197)),1)+(Besatzung!$F$22="x")*IFERROR(H197,0)/IFERROR(SUMPRODUCT((Besatzung!$B$11:$B$22&lt;&gt;"")*(Besatzung!$F$11:$F$22="x")*(IF(Besatzung!$C$11:$C$22="",Besatzung!$B$5,Besatzung!$C$11:$C$22)&lt;=B197)*(IF(Besatzung!$D$11:$D$22="",Besatzung!$B$6,Besatzung!$D$11:$D$22)&gt;=B197)),1))),IF(I197="Individuell",((U197="x")*((G197-IFERROR(H197,0))/IFERROR(COUNTIF(J197:U197,"x"),1)+(Besatzung!$F$22="x")*IFERROR(H197,0)/IFERROR(SUMPRODUCT((J197:U197="x")*(Besatzung!$F$11:$F$22="x")),1))),(IF(COUNTIF(J197:U197,"x")=0,IF(Besatzung!$B$22&lt;&gt;"",1,0),(U197="x"))*(G197-IFERROR(H197,0))/IFERROR(IF(COUNTIF(J197:U197,"x")=0,COUNTA(Besatzung!$B$11:$B$22),COUNTIF(J197:U197,"x")),1)+IF(COUNTIF(J197:U197,"x")=0,(Besatzung!$F$22="x"),(U197="x")*(Besatzung!$F$22="x"))*IFERROR(H197,0)/IFERROR(IF(COUNTIF(J197:U197,"x")=0,SUMPRODUCT((Besatzung!$B$11:$B$22&lt;&gt;"")*(Besatzung!$F$11:$F$22="x")),SUMPRODUCT((J197:U197="x")*(Besatzung!$F$11:$F$22="x"))),1))))),0))))</f>
        <v/>
      </c>
      <c r="AH197" s="248" t="n"/>
      <c r="AI197" s="248" t="n"/>
    </row>
    <row r="198" ht="21.75" customHeight="1" s="154">
      <c r="A198" s="238">
        <f>IF(AND(D198="",C198=""),"",195)</f>
        <v/>
      </c>
      <c r="B198" s="199" t="n"/>
      <c r="C198" s="239" t="n"/>
      <c r="D198" s="240" t="n"/>
      <c r="E198" s="241" t="n"/>
      <c r="F198" s="242" t="n"/>
      <c r="G198" s="243" t="n"/>
      <c r="H198" s="244" t="n"/>
      <c r="I198" s="245" t="n"/>
      <c r="J198" s="246" t="n"/>
      <c r="K198" s="246" t="n"/>
      <c r="L198" s="246" t="n"/>
      <c r="M198" s="246" t="n"/>
      <c r="N198" s="246" t="n"/>
      <c r="O198" s="246" t="n"/>
      <c r="P198" s="246" t="n"/>
      <c r="Q198" s="246" t="n"/>
      <c r="R198" s="246" t="n"/>
      <c r="S198" s="246" t="n"/>
      <c r="T198" s="246" t="n"/>
      <c r="U198" s="246" t="n"/>
      <c r="V198" s="247">
        <f>IF(C198="Gutschrift","",IF(G198="","",IF(Besatzung!$B$11="","",IFERROR(IF(I198="Zeitanteilig",(Besatzung!$G$11*(G198-IFERROR(H198,0))+((Besatzung!$B$11&lt;&gt;"")*IF(B198="",1,(IF(Besatzung!$C$11="",Besatzung!$B$5,Besatzung!$C$11)&lt;=B198)*(IF(Besatzung!$D$11="",Besatzung!$B$6,Besatzung!$D$11)&gt;=B198)))*(Besatzung!$F$11="x")*IFERROR(H198,0)/IFERROR(SUMPRODUCT((Besatzung!$B$11:$B$22&lt;&gt;"")*(Besatzung!$F$11:$F$22="x")*(IF(Besatzung!$C$11:$C$22="",Besatzung!$B$5,Besatzung!$C$11:$C$22)&lt;=B198)*(IF(Besatzung!$D$11:$D$22="",Besatzung!$B$6,Besatzung!$D$11:$D$22)&gt;=B198)),1)),IF(I198="An Bord",(((Besatzung!$B$11&lt;&gt;"")*IF(B198="",1,(IF(Besatzung!$C$11="",Besatzung!$B$5,Besatzung!$C$11)&lt;=B198)*(IF(Besatzung!$D$11="",Besatzung!$B$6,Besatzung!$D$11)&gt;=B198)))*((G198-IFERROR(H198,0))/IFERROR(SUMPRODUCT((Besatzung!$B$11:$B$22&lt;&gt;"")*(IF(Besatzung!$C$11:$C$22="",Besatzung!$B$5,Besatzung!$C$11:$C$22)&lt;=B198)*(IF(Besatzung!$D$11:$D$22="",Besatzung!$B$6,Besatzung!$D$11:$D$22)&gt;=B198)),1)+(Besatzung!$F$11="x")*IFERROR(H198,0)/IFERROR(SUMPRODUCT((Besatzung!$B$11:$B$22&lt;&gt;"")*(Besatzung!$F$11:$F$22="x")*(IF(Besatzung!$C$11:$C$22="",Besatzung!$B$5,Besatzung!$C$11:$C$22)&lt;=B198)*(IF(Besatzung!$D$11:$D$22="",Besatzung!$B$6,Besatzung!$D$11:$D$22)&gt;=B198)),1))),IF(I198="Individuell",((J198="x")*((G198-IFERROR(H198,0))/IFERROR(COUNTIF(J198:U198,"x"),1)+(Besatzung!$F$11="x")*IFERROR(H198,0)/IFERROR(SUMPRODUCT((J198:U198="x")*(Besatzung!$F$11:$F$22="x")),1))),(IF(COUNTIF(J198:U198,"x")=0,IF(Besatzung!$B$11&lt;&gt;"",1,0),(J198="x"))*(G198-IFERROR(H198,0))/IFERROR(IF(COUNTIF(J198:U198,"x")=0,COUNTA(Besatzung!$B$11:$B$22),COUNTIF(J198:U198,"x")),1)+IF(COUNTIF(J198:U198,"x")=0,(Besatzung!$F$11="x"),(J198="x")*(Besatzung!$F$11="x"))*IFERROR(H198,0)/IFERROR(IF(COUNTIF(J198:U198,"x")=0,SUMPRODUCT((Besatzung!$B$11:$B$22&lt;&gt;"")*(Besatzung!$F$11:$F$22="x")),SUMPRODUCT((J198:U198="x")*(Besatzung!$F$11:$F$22="x"))),1))))),0))))</f>
        <v/>
      </c>
      <c r="W198" s="247">
        <f>IF(C198="Gutschrift","",IF(G198="","",IF(Besatzung!$B$12="","",IFERROR(IF(I198="Zeitanteilig",(Besatzung!$G$12*(G198-IFERROR(H198,0))+((Besatzung!$B$12&lt;&gt;"")*IF(B198="",1,(IF(Besatzung!$C$12="",Besatzung!$B$5,Besatzung!$C$12)&lt;=B198)*(IF(Besatzung!$D$12="",Besatzung!$B$6,Besatzung!$D$12)&gt;=B198)))*(Besatzung!$F$12="x")*IFERROR(H198,0)/IFERROR(SUMPRODUCT((Besatzung!$B$11:$B$22&lt;&gt;"")*(Besatzung!$F$11:$F$22="x")*(IF(Besatzung!$C$11:$C$22="",Besatzung!$B$5,Besatzung!$C$11:$C$22)&lt;=B198)*(IF(Besatzung!$D$11:$D$22="",Besatzung!$B$6,Besatzung!$D$11:$D$22)&gt;=B198)),1)),IF(I198="An Bord",(((Besatzung!$B$12&lt;&gt;"")*IF(B198="",1,(IF(Besatzung!$C$12="",Besatzung!$B$5,Besatzung!$C$12)&lt;=B198)*(IF(Besatzung!$D$12="",Besatzung!$B$6,Besatzung!$D$12)&gt;=B198)))*((G198-IFERROR(H198,0))/IFERROR(SUMPRODUCT((Besatzung!$B$11:$B$22&lt;&gt;"")*(IF(Besatzung!$C$11:$C$22="",Besatzung!$B$5,Besatzung!$C$11:$C$22)&lt;=B198)*(IF(Besatzung!$D$11:$D$22="",Besatzung!$B$6,Besatzung!$D$11:$D$22)&gt;=B198)),1)+(Besatzung!$F$12="x")*IFERROR(H198,0)/IFERROR(SUMPRODUCT((Besatzung!$B$11:$B$22&lt;&gt;"")*(Besatzung!$F$11:$F$22="x")*(IF(Besatzung!$C$11:$C$22="",Besatzung!$B$5,Besatzung!$C$11:$C$22)&lt;=B198)*(IF(Besatzung!$D$11:$D$22="",Besatzung!$B$6,Besatzung!$D$11:$D$22)&gt;=B198)),1))),IF(I198="Individuell",((K198="x")*((G198-IFERROR(H198,0))/IFERROR(COUNTIF(J198:U198,"x"),1)+(Besatzung!$F$12="x")*IFERROR(H198,0)/IFERROR(SUMPRODUCT((J198:U198="x")*(Besatzung!$F$11:$F$22="x")),1))),(IF(COUNTIF(J198:U198,"x")=0,IF(Besatzung!$B$12&lt;&gt;"",1,0),(K198="x"))*(G198-IFERROR(H198,0))/IFERROR(IF(COUNTIF(J198:U198,"x")=0,COUNTA(Besatzung!$B$11:$B$22),COUNTIF(J198:U198,"x")),1)+IF(COUNTIF(J198:U198,"x")=0,(Besatzung!$F$12="x"),(K198="x")*(Besatzung!$F$12="x"))*IFERROR(H198,0)/IFERROR(IF(COUNTIF(J198:U198,"x")=0,SUMPRODUCT((Besatzung!$B$11:$B$22&lt;&gt;"")*(Besatzung!$F$11:$F$22="x")),SUMPRODUCT((J198:U198="x")*(Besatzung!$F$11:$F$22="x"))),1))))),0))))</f>
        <v/>
      </c>
      <c r="X198" s="247">
        <f>IF(C198="Gutschrift","",IF(G198="","",IF(Besatzung!$B$13="","",IFERROR(IF(I198="Zeitanteilig",(Besatzung!$G$13*(G198-IFERROR(H198,0))+((Besatzung!$B$13&lt;&gt;"")*IF(B198="",1,(IF(Besatzung!$C$13="",Besatzung!$B$5,Besatzung!$C$13)&lt;=B198)*(IF(Besatzung!$D$13="",Besatzung!$B$6,Besatzung!$D$13)&gt;=B198)))*(Besatzung!$F$13="x")*IFERROR(H198,0)/IFERROR(SUMPRODUCT((Besatzung!$B$11:$B$22&lt;&gt;"")*(Besatzung!$F$11:$F$22="x")*(IF(Besatzung!$C$11:$C$22="",Besatzung!$B$5,Besatzung!$C$11:$C$22)&lt;=B198)*(IF(Besatzung!$D$11:$D$22="",Besatzung!$B$6,Besatzung!$D$11:$D$22)&gt;=B198)),1)),IF(I198="An Bord",(((Besatzung!$B$13&lt;&gt;"")*IF(B198="",1,(IF(Besatzung!$C$13="",Besatzung!$B$5,Besatzung!$C$13)&lt;=B198)*(IF(Besatzung!$D$13="",Besatzung!$B$6,Besatzung!$D$13)&gt;=B198)))*((G198-IFERROR(H198,0))/IFERROR(SUMPRODUCT((Besatzung!$B$11:$B$22&lt;&gt;"")*(IF(Besatzung!$C$11:$C$22="",Besatzung!$B$5,Besatzung!$C$11:$C$22)&lt;=B198)*(IF(Besatzung!$D$11:$D$22="",Besatzung!$B$6,Besatzung!$D$11:$D$22)&gt;=B198)),1)+(Besatzung!$F$13="x")*IFERROR(H198,0)/IFERROR(SUMPRODUCT((Besatzung!$B$11:$B$22&lt;&gt;"")*(Besatzung!$F$11:$F$22="x")*(IF(Besatzung!$C$11:$C$22="",Besatzung!$B$5,Besatzung!$C$11:$C$22)&lt;=B198)*(IF(Besatzung!$D$11:$D$22="",Besatzung!$B$6,Besatzung!$D$11:$D$22)&gt;=B198)),1))),IF(I198="Individuell",((K198="x")*((G198-IFERROR(H198,0))/IFERROR(COUNTIF(J198:U198,"x"),1)+(Besatzung!$F$13="x")*IFERROR(H198,0)/IFERROR(SUMPRODUCT((J198:U198="x")*(Besatzung!$F$11:$F$22="x")),1))),(IF(COUNTIF(J198:U198,"x")=0,IF(Besatzung!$B$13&lt;&gt;"",1,0),(K198="x"))*(G198-IFERROR(H198,0))/IFERROR(IF(COUNTIF(J198:U198,"x")=0,COUNTA(Besatzung!$B$11:$B$22),COUNTIF(J198:U198,"x")),1)+IF(COUNTIF(J198:U198,"x")=0,(Besatzung!$F$13="x"),(K198="x")*(Besatzung!$F$13="x"))*IFERROR(H198,0)/IFERROR(IF(COUNTIF(J198:U198,"x")=0,SUMPRODUCT((Besatzung!$B$11:$B$22&lt;&gt;"")*(Besatzung!$F$11:$F$22="x")),SUMPRODUCT((J198:U198="x")*(Besatzung!$F$11:$F$22="x"))),1))))),0))))</f>
        <v/>
      </c>
      <c r="Y198" s="247">
        <f>IF(C198="Gutschrift","",IF(G198="","",IF(Besatzung!$B$14="","",IFERROR(IF(I198="Zeitanteilig",(Besatzung!$G$14*(G198-IFERROR(H198,0))+((Besatzung!$B$14&lt;&gt;"")*IF(B198="",1,(IF(Besatzung!$C$14="",Besatzung!$B$5,Besatzung!$C$14)&lt;=B198)*(IF(Besatzung!$D$14="",Besatzung!$B$6,Besatzung!$D$14)&gt;=B198)))*(Besatzung!$F$14="x")*IFERROR(H198,0)/IFERROR(SUMPRODUCT((Besatzung!$B$11:$B$22&lt;&gt;"")*(Besatzung!$F$11:$F$22="x")*(IF(Besatzung!$C$11:$C$22="",Besatzung!$B$5,Besatzung!$C$11:$C$22)&lt;=B198)*(IF(Besatzung!$D$11:$D$22="",Besatzung!$B$6,Besatzung!$D$11:$D$22)&gt;=B198)),1)),IF(I198="An Bord",(((Besatzung!$B$14&lt;&gt;"")*IF(B198="",1,(IF(Besatzung!$C$14="",Besatzung!$B$5,Besatzung!$C$14)&lt;=B198)*(IF(Besatzung!$D$14="",Besatzung!$B$6,Besatzung!$D$14)&gt;=B198)))*((G198-IFERROR(H198,0))/IFERROR(SUMPRODUCT((Besatzung!$B$11:$B$22&lt;&gt;"")*(IF(Besatzung!$C$11:$C$22="",Besatzung!$B$5,Besatzung!$C$11:$C$22)&lt;=B198)*(IF(Besatzung!$D$11:$D$22="",Besatzung!$B$6,Besatzung!$D$11:$D$22)&gt;=B198)),1)+(Besatzung!$F$14="x")*IFERROR(H198,0)/IFERROR(SUMPRODUCT((Besatzung!$B$11:$B$22&lt;&gt;"")*(Besatzung!$F$11:$F$22="x")*(IF(Besatzung!$C$11:$C$22="",Besatzung!$B$5,Besatzung!$C$11:$C$22)&lt;=B198)*(IF(Besatzung!$D$11:$D$22="",Besatzung!$B$6,Besatzung!$D$11:$D$22)&gt;=B198)),1))),IF(I198="Individuell",((M198="x")*((G198-IFERROR(H198,0))/IFERROR(COUNTIF(J198:U198,"x"),1)+(Besatzung!$F$14="x")*IFERROR(H198,0)/IFERROR(SUMPRODUCT((J198:U198="x")*(Besatzung!$F$11:$F$22="x")),1))),(IF(COUNTIF(J198:U198,"x")=0,IF(Besatzung!$B$14&lt;&gt;"",1,0),(M198="x"))*(G198-IFERROR(H198,0))/IFERROR(IF(COUNTIF(J198:U198,"x")=0,COUNTA(Besatzung!$B$11:$B$22),COUNTIF(J198:U198,"x")),1)+IF(COUNTIF(J198:U198,"x")=0,(Besatzung!$F$14="x"),(M198="x")*(Besatzung!$F$14="x"))*IFERROR(H198,0)/IFERROR(IF(COUNTIF(J198:U198,"x")=0,SUMPRODUCT((Besatzung!$B$11:$B$22&lt;&gt;"")*(Besatzung!$F$11:$F$22="x")),SUMPRODUCT((J198:U198="x")*(Besatzung!$F$11:$F$22="x"))),1))))),0))))</f>
        <v/>
      </c>
      <c r="Z198" s="247">
        <f>IF(C198="Gutschrift","",IF(G198="","",IF(Besatzung!$B$13="","",IFERROR(IF(I198="Zeitanteilig",(Besatzung!$G$15*(G198-IFERROR(H198,0))+((Besatzung!$B$13&lt;&gt;"")*IF(B198="",1,(IF(Besatzung!$C$15="",Besatzung!$B$5,Besatzung!$C$15)&lt;=B198)*(IF(Besatzung!$D$15="",Besatzung!$B$6,Besatzung!$D$15)&gt;=B198)))*(Besatzung!$F$15="x")*IFERROR(H198,0)/IFERROR(SUMPRODUCT((Besatzung!$B$11:$B$22&lt;&gt;"")*(Besatzung!$F$11:$F$22="x")*(IF(Besatzung!$C$11:$C$22="",Besatzung!$B$5,Besatzung!$C$11:$C$22)&lt;=B198)*(IF(Besatzung!$D$11:$D$22="",Besatzung!$B$6,Besatzung!$D$11:$D$22)&gt;=B198)),1)),IF(I198="An Bord",(((Besatzung!$B$13&lt;&gt;"")*IF(B198="",1,(IF(Besatzung!$C$15="",Besatzung!$B$5,Besatzung!$C$15)&lt;=B198)*(IF(Besatzung!$D$15="",Besatzung!$B$6,Besatzung!$D$15)&gt;=B198)))*((G198-IFERROR(H198,0))/IFERROR(SUMPRODUCT((Besatzung!$B$11:$B$22&lt;&gt;"")*(IF(Besatzung!$C$11:$C$22="",Besatzung!$B$5,Besatzung!$C$11:$C$22)&lt;=B198)*(IF(Besatzung!$D$11:$D$22="",Besatzung!$B$6,Besatzung!$D$11:$D$22)&gt;=B198)),1)+(Besatzung!$F$15="x")*IFERROR(H198,0)/IFERROR(SUMPRODUCT((Besatzung!$B$11:$B$22&lt;&gt;"")*(Besatzung!$F$11:$F$22="x")*(IF(Besatzung!$C$11:$C$22="",Besatzung!$B$5,Besatzung!$C$11:$C$22)&lt;=B198)*(IF(Besatzung!$D$11:$D$22="",Besatzung!$B$6,Besatzung!$D$11:$D$22)&gt;=B198)),1))),IF(I198="Individuell",((N198="x")*((G198-IFERROR(H198,0))/IFERROR(COUNTIF(J198:U198,"x"),1)+(Besatzung!$F$15="x")*IFERROR(H198,0)/IFERROR(SUMPRODUCT((J198:U198="x")*(Besatzung!$F$11:$F$22="x")),1))),(IF(COUNTIF(J198:U198,"x")=0,IF(Besatzung!$B$13&lt;&gt;"",1,0),(N198="x"))*(G198-IFERROR(H198,0))/IFERROR(IF(COUNTIF(J198:U198,"x")=0,COUNTA(Besatzung!$B$11:$B$22),COUNTIF(J198:U198,"x")),1)+IF(COUNTIF(J198:U198,"x")=0,(Besatzung!$F$15="x"),(N198="x")*(Besatzung!$F$15="x"))*IFERROR(H198,0)/IFERROR(IF(COUNTIF(J198:U198,"x")=0,SUMPRODUCT((Besatzung!$B$11:$B$22&lt;&gt;"")*(Besatzung!$F$11:$F$22="x")),SUMPRODUCT((J198:U198="x")*(Besatzung!$F$11:$F$22="x"))),1))))),0))))</f>
        <v/>
      </c>
      <c r="AA198" s="247">
        <f>IF(C198="Gutschrift","",IF(G198="","",IF(Besatzung!$B$15="","",IFERROR(IF(I198="Zeitanteilig",(Besatzung!$G$16*(G198-IFERROR(H198,0))+((Besatzung!$B$15&lt;&gt;"")*IF(B198="",1,(IF(Besatzung!$C$16="",Besatzung!$B$5,Besatzung!$C$16)&lt;=B198)*(IF(Besatzung!$D$16="",Besatzung!$B$6,Besatzung!$D$16)&gt;=B198)))*(Besatzung!$F$16="x")*IFERROR(H198,0)/IFERROR(SUMPRODUCT((Besatzung!$B$11:$B$22&lt;&gt;"")*(Besatzung!$F$11:$F$22="x")*(IF(Besatzung!$C$11:$C$22="",Besatzung!$B$5,Besatzung!$C$11:$C$22)&lt;=B198)*(IF(Besatzung!$D$11:$D$22="",Besatzung!$B$6,Besatzung!$D$11:$D$22)&gt;=B198)),1)),IF(I198="An Bord",(((Besatzung!$B$15&lt;&gt;"")*IF(B198="",1,(IF(Besatzung!$C$16="",Besatzung!$B$5,Besatzung!$C$16)&lt;=B198)*(IF(Besatzung!$D$16="",Besatzung!$B$6,Besatzung!$D$16)&gt;=B198)))*((G198-IFERROR(H198,0))/IFERROR(SUMPRODUCT((Besatzung!$B$11:$B$22&lt;&gt;"")*(IF(Besatzung!$C$11:$C$22="",Besatzung!$B$5,Besatzung!$C$11:$C$22)&lt;=B198)*(IF(Besatzung!$D$11:$D$22="",Besatzung!$B$6,Besatzung!$D$11:$D$22)&gt;=B198)),1)+(Besatzung!$F$16="x")*IFERROR(H198,0)/IFERROR(SUMPRODUCT((Besatzung!$B$11:$B$22&lt;&gt;"")*(Besatzung!$F$11:$F$22="x")*(IF(Besatzung!$C$11:$C$22="",Besatzung!$B$5,Besatzung!$C$11:$C$22)&lt;=B198)*(IF(Besatzung!$D$11:$D$22="",Besatzung!$B$6,Besatzung!$D$11:$D$22)&gt;=B198)),1))),IF(I198="Individuell",((O198="x")*((G198-IFERROR(H198,0))/IFERROR(COUNTIF(J198:U198,"x"),1)+(Besatzung!$F$16="x")*IFERROR(H198,0)/IFERROR(SUMPRODUCT((J198:U198="x")*(Besatzung!$F$11:$F$22="x")),1))),(IF(COUNTIF(J198:U198,"x")=0,IF(Besatzung!$B$15&lt;&gt;"",1,0),(O198="x"))*(G198-IFERROR(H198,0))/IFERROR(IF(COUNTIF(J198:U198,"x")=0,COUNTA(Besatzung!$B$11:$B$22),COUNTIF(J198:U198,"x")),1)+IF(COUNTIF(J198:U198,"x")=0,(Besatzung!$F$16="x"),(O198="x")*(Besatzung!$F$16="x"))*IFERROR(H198,0)/IFERROR(IF(COUNTIF(J198:U198,"x")=0,SUMPRODUCT((Besatzung!$B$11:$B$22&lt;&gt;"")*(Besatzung!$F$11:$F$22="x")),SUMPRODUCT((J198:U198="x")*(Besatzung!$F$11:$F$22="x"))),1))))),0))))</f>
        <v/>
      </c>
      <c r="AB198" s="247">
        <f>IF(C198="Gutschrift","",IF(G198="","",IF(Besatzung!$B$17="","",IFERROR(IF(I198="Zeitanteilig",(Besatzung!$G$17*(G198-IFERROR(H198,0))+((Besatzung!$B$17&lt;&gt;"")*IF(B198="",1,(IF(Besatzung!$C$17="",Besatzung!$B$5,Besatzung!$C$17)&lt;=B198)*(IF(Besatzung!$D$17="",Besatzung!$B$6,Besatzung!$D$17)&gt;=B198)))*(Besatzung!$F$17="x")*IFERROR(H198,0)/IFERROR(SUMPRODUCT((Besatzung!$B$11:$B$22&lt;&gt;"")*(Besatzung!$F$11:$F$22="x")*(IF(Besatzung!$C$11:$C$22="",Besatzung!$B$5,Besatzung!$C$11:$C$22)&lt;=B198)*(IF(Besatzung!$D$11:$D$22="",Besatzung!$B$6,Besatzung!$D$11:$D$22)&gt;=B198)),1)),IF(I198="An Bord",(((Besatzung!$B$17&lt;&gt;"")*IF(B198="",1,(IF(Besatzung!$C$17="",Besatzung!$B$5,Besatzung!$C$17)&lt;=B198)*(IF(Besatzung!$D$17="",Besatzung!$B$6,Besatzung!$D$17)&gt;=B198)))*((G198-IFERROR(H198,0))/IFERROR(SUMPRODUCT((Besatzung!$B$11:$B$22&lt;&gt;"")*(IF(Besatzung!$C$11:$C$22="",Besatzung!$B$5,Besatzung!$C$11:$C$22)&lt;=B198)*(IF(Besatzung!$D$11:$D$22="",Besatzung!$B$6,Besatzung!$D$11:$D$22)&gt;=B198)),1)+(Besatzung!$F$17="x")*IFERROR(H198,0)/IFERROR(SUMPRODUCT((Besatzung!$B$11:$B$22&lt;&gt;"")*(Besatzung!$F$11:$F$22="x")*(IF(Besatzung!$C$11:$C$22="",Besatzung!$B$5,Besatzung!$C$11:$C$22)&lt;=B198)*(IF(Besatzung!$D$11:$D$22="",Besatzung!$B$6,Besatzung!$D$11:$D$22)&gt;=B198)),1))),IF(I198="Individuell",((P198="x")*((G198-IFERROR(H198,0))/IFERROR(COUNTIF(J198:U198,"x"),1)+(Besatzung!$F$17="x")*IFERROR(H198,0)/IFERROR(SUMPRODUCT((J198:U198="x")*(Besatzung!$F$11:$F$22="x")),1))),(IF(COUNTIF(J198:U198,"x")=0,IF(Besatzung!$B$17&lt;&gt;"",1,0),(P198="x"))*(G198-IFERROR(H198,0))/IFERROR(IF(COUNTIF(J198:U198,"x")=0,COUNTA(Besatzung!$B$11:$B$22),COUNTIF(J198:U198,"x")),1)+IF(COUNTIF(J198:U198,"x")=0,(Besatzung!$F$17="x"),(P198="x")*(Besatzung!$F$17="x"))*IFERROR(H198,0)/IFERROR(IF(COUNTIF(J198:U198,"x")=0,SUMPRODUCT((Besatzung!$B$11:$B$22&lt;&gt;"")*(Besatzung!$F$11:$F$22="x")),SUMPRODUCT((J198:U198="x")*(Besatzung!$F$11:$F$22="x"))),1))))),0))))</f>
        <v/>
      </c>
      <c r="AC198" s="247">
        <f>IF(C198="Gutschrift","",IF(G198="","",IF(Besatzung!$B$18="","",IFERROR(IF(I198="Zeitanteilig",(Besatzung!$G$18*(G198-IFERROR(H198,0))+((Besatzung!$B$18&lt;&gt;"")*IF(B198="",1,(IF(Besatzung!$C$18="",Besatzung!$B$5,Besatzung!$C$18)&lt;=B198)*(IF(Besatzung!$D$18="",Besatzung!$B$6,Besatzung!$D$18)&gt;=B198)))*(Besatzung!$F$18="x")*IFERROR(H198,0)/IFERROR(SUMPRODUCT((Besatzung!$B$11:$B$22&lt;&gt;"")*(Besatzung!$F$11:$F$22="x")*(IF(Besatzung!$C$11:$C$22="",Besatzung!$B$5,Besatzung!$C$11:$C$22)&lt;=B198)*(IF(Besatzung!$D$11:$D$22="",Besatzung!$B$6,Besatzung!$D$11:$D$22)&gt;=B198)),1)),IF(I198="An Bord",(((Besatzung!$B$18&lt;&gt;"")*IF(B198="",1,(IF(Besatzung!$C$18="",Besatzung!$B$5,Besatzung!$C$18)&lt;=B198)*(IF(Besatzung!$D$18="",Besatzung!$B$6,Besatzung!$D$18)&gt;=B198)))*((G198-IFERROR(H198,0))/IFERROR(SUMPRODUCT((Besatzung!$B$11:$B$22&lt;&gt;"")*(IF(Besatzung!$C$11:$C$22="",Besatzung!$B$5,Besatzung!$C$11:$C$22)&lt;=B198)*(IF(Besatzung!$D$11:$D$22="",Besatzung!$B$6,Besatzung!$D$11:$D$22)&gt;=B198)),1)+(Besatzung!$F$18="x")*IFERROR(H198,0)/IFERROR(SUMPRODUCT((Besatzung!$B$11:$B$22&lt;&gt;"")*(Besatzung!$F$11:$F$22="x")*(IF(Besatzung!$C$11:$C$22="",Besatzung!$B$5,Besatzung!$C$11:$C$22)&lt;=B198)*(IF(Besatzung!$D$11:$D$22="",Besatzung!$B$6,Besatzung!$D$11:$D$22)&gt;=B198)),1))),IF(I198="Individuell",((Q198="x")*((G198-IFERROR(H198,0))/IFERROR(COUNTIF(J198:U198,"x"),1)+(Besatzung!$F$18="x")*IFERROR(H198,0)/IFERROR(SUMPRODUCT((J198:U198="x")*(Besatzung!$F$11:$F$22="x")),1))),(IF(COUNTIF(J198:U198,"x")=0,IF(Besatzung!$B$18&lt;&gt;"",1,0),(Q198="x"))*(G198-IFERROR(H198,0))/IFERROR(IF(COUNTIF(J198:U198,"x")=0,COUNTA(Besatzung!$B$11:$B$22),COUNTIF(J198:U198,"x")),1)+IF(COUNTIF(J198:U198,"x")=0,(Besatzung!$F$18="x"),(Q198="x")*(Besatzung!$F$18="x"))*IFERROR(H198,0)/IFERROR(IF(COUNTIF(J198:U198,"x")=0,SUMPRODUCT((Besatzung!$B$11:$B$22&lt;&gt;"")*(Besatzung!$F$11:$F$22="x")),SUMPRODUCT((J198:U198="x")*(Besatzung!$F$11:$F$22="x"))),1))))),0))))</f>
        <v/>
      </c>
      <c r="AD198" s="247">
        <f>IF(C198="Gutschrift","",IF(G198="","",IF(Besatzung!$B$19="","",IFERROR(IF(I198="Zeitanteilig",(Besatzung!$G$19*(G198-IFERROR(H198,0))+((Besatzung!$B$19&lt;&gt;"")*IF(B198="",1,(IF(Besatzung!$C$19="",Besatzung!$B$5,Besatzung!$C$19)&lt;=B198)*(IF(Besatzung!$D$19="",Besatzung!$B$6,Besatzung!$D$19)&gt;=B198)))*(Besatzung!$F$19="x")*IFERROR(H198,0)/IFERROR(SUMPRODUCT((Besatzung!$B$11:$B$22&lt;&gt;"")*(Besatzung!$F$11:$F$22="x")*(IF(Besatzung!$C$11:$C$22="",Besatzung!$B$5,Besatzung!$C$11:$C$22)&lt;=B198)*(IF(Besatzung!$D$11:$D$22="",Besatzung!$B$6,Besatzung!$D$11:$D$22)&gt;=B198)),1)),IF(I198="An Bord",(((Besatzung!$B$19&lt;&gt;"")*IF(B198="",1,(IF(Besatzung!$C$19="",Besatzung!$B$5,Besatzung!$C$19)&lt;=B198)*(IF(Besatzung!$D$19="",Besatzung!$B$6,Besatzung!$D$19)&gt;=B198)))*((G198-IFERROR(H198,0))/IFERROR(SUMPRODUCT((Besatzung!$B$11:$B$22&lt;&gt;"")*(IF(Besatzung!$C$11:$C$22="",Besatzung!$B$5,Besatzung!$C$11:$C$22)&lt;=B198)*(IF(Besatzung!$D$11:$D$22="",Besatzung!$B$6,Besatzung!$D$11:$D$22)&gt;=B198)),1)+(Besatzung!$F$19="x")*IFERROR(H198,0)/IFERROR(SUMPRODUCT((Besatzung!$B$11:$B$22&lt;&gt;"")*(Besatzung!$F$11:$F$22="x")*(IF(Besatzung!$C$11:$C$22="",Besatzung!$B$5,Besatzung!$C$11:$C$22)&lt;=B198)*(IF(Besatzung!$D$11:$D$22="",Besatzung!$B$6,Besatzung!$D$11:$D$22)&gt;=B198)),1))),IF(I198="Individuell",((R198="x")*((G198-IFERROR(H198,0))/IFERROR(COUNTIF(J198:U198,"x"),1)+(Besatzung!$F$19="x")*IFERROR(H198,0)/IFERROR(SUMPRODUCT((J198:U198="x")*(Besatzung!$F$11:$F$22="x")),1))),(IF(COUNTIF(J198:U198,"x")=0,IF(Besatzung!$B$19&lt;&gt;"",1,0),(R198="x"))*(G198-IFERROR(H198,0))/IFERROR(IF(COUNTIF(J198:U198,"x")=0,COUNTA(Besatzung!$B$11:$B$22),COUNTIF(J198:U198,"x")),1)+IF(COUNTIF(J198:U198,"x")=0,(Besatzung!$F$19="x"),(R198="x")*(Besatzung!$F$19="x"))*IFERROR(H198,0)/IFERROR(IF(COUNTIF(J198:U198,"x")=0,SUMPRODUCT((Besatzung!$B$11:$B$22&lt;&gt;"")*(Besatzung!$F$11:$F$22="x")),SUMPRODUCT((J198:U198="x")*(Besatzung!$F$11:$F$22="x"))),1))))),0))))</f>
        <v/>
      </c>
      <c r="AE198" s="247">
        <f>IF(C198="Gutschrift","",IF(G198="","",IF(Besatzung!$B$20="","",IFERROR(IF(I198="Zeitanteilig",(Besatzung!$G$20*(G198-IFERROR(H198,0))+((Besatzung!$B$20&lt;&gt;"")*IF(B198="",1,(IF(Besatzung!$C$20="",Besatzung!$B$5,Besatzung!$C$20)&lt;=B198)*(IF(Besatzung!$D$20="",Besatzung!$B$6,Besatzung!$D$20)&gt;=B198)))*(Besatzung!$F$20="x")*IFERROR(H198,0)/IFERROR(SUMPRODUCT((Besatzung!$B$11:$B$22&lt;&gt;"")*(Besatzung!$F$11:$F$22="x")*(IF(Besatzung!$C$11:$C$22="",Besatzung!$B$5,Besatzung!$C$11:$C$22)&lt;=B198)*(IF(Besatzung!$D$11:$D$22="",Besatzung!$B$6,Besatzung!$D$11:$D$22)&gt;=B198)),1)),IF(I198="An Bord",(((Besatzung!$B$20&lt;&gt;"")*IF(B198="",1,(IF(Besatzung!$C$20="",Besatzung!$B$5,Besatzung!$C$20)&lt;=B198)*(IF(Besatzung!$D$20="",Besatzung!$B$6,Besatzung!$D$20)&gt;=B198)))*((G198-IFERROR(H198,0))/IFERROR(SUMPRODUCT((Besatzung!$B$11:$B$22&lt;&gt;"")*(IF(Besatzung!$C$11:$C$22="",Besatzung!$B$5,Besatzung!$C$11:$C$22)&lt;=B198)*(IF(Besatzung!$D$11:$D$22="",Besatzung!$B$6,Besatzung!$D$11:$D$22)&gt;=B198)),1)+(Besatzung!$F$20="x")*IFERROR(H198,0)/IFERROR(SUMPRODUCT((Besatzung!$B$11:$B$22&lt;&gt;"")*(Besatzung!$F$11:$F$22="x")*(IF(Besatzung!$C$11:$C$22="",Besatzung!$B$5,Besatzung!$C$11:$C$22)&lt;=B198)*(IF(Besatzung!$D$11:$D$22="",Besatzung!$B$6,Besatzung!$D$11:$D$22)&gt;=B198)),1))),IF(I198="Individuell",((S198="x")*((G198-IFERROR(H198,0))/IFERROR(COUNTIF(J198:U198,"x"),1)+(Besatzung!$F$20="x")*IFERROR(H198,0)/IFERROR(SUMPRODUCT((J198:U198="x")*(Besatzung!$F$11:$F$22="x")),1))),(IF(COUNTIF(J198:U198,"x")=0,IF(Besatzung!$B$20&lt;&gt;"",1,0),(S198="x"))*(G198-IFERROR(H198,0))/IFERROR(IF(COUNTIF(J198:U198,"x")=0,COUNTA(Besatzung!$B$11:$B$22),COUNTIF(J198:U198,"x")),1)+IF(COUNTIF(J198:U198,"x")=0,(Besatzung!$F$20="x"),(S198="x")*(Besatzung!$F$20="x"))*IFERROR(H198,0)/IFERROR(IF(COUNTIF(J198:U198,"x")=0,SUMPRODUCT((Besatzung!$B$11:$B$22&lt;&gt;"")*(Besatzung!$F$11:$F$22="x")),SUMPRODUCT((J198:U198="x")*(Besatzung!$F$11:$F$22="x"))),1))))),0))))</f>
        <v/>
      </c>
      <c r="AF198" s="247">
        <f>IF(C198="Gutschrift","",IF(G198="","",IF(Besatzung!$B$21="","",IFERROR(IF(I198="Zeitanteilig",(Besatzung!$G$21*(G198-IFERROR(H198,0))+((Besatzung!$B$21&lt;&gt;"")*IF(B198="",1,(IF(Besatzung!$C$21="",Besatzung!$B$5,Besatzung!$C$21)&lt;=B198)*(IF(Besatzung!$D$21="",Besatzung!$B$6,Besatzung!$D$21)&gt;=B198)))*(Besatzung!$F$21="x")*IFERROR(H198,0)/IFERROR(SUMPRODUCT((Besatzung!$B$11:$B$22&lt;&gt;"")*(Besatzung!$F$11:$F$22="x")*(IF(Besatzung!$C$11:$C$22="",Besatzung!$B$5,Besatzung!$C$11:$C$22)&lt;=B198)*(IF(Besatzung!$D$11:$D$22="",Besatzung!$B$6,Besatzung!$D$11:$D$22)&gt;=B198)),1)),IF(I198="An Bord",(((Besatzung!$B$21&lt;&gt;"")*IF(B198="",1,(IF(Besatzung!$C$21="",Besatzung!$B$5,Besatzung!$C$21)&lt;=B198)*(IF(Besatzung!$D$21="",Besatzung!$B$6,Besatzung!$D$21)&gt;=B198)))*((G198-IFERROR(H198,0))/IFERROR(SUMPRODUCT((Besatzung!$B$11:$B$22&lt;&gt;"")*(IF(Besatzung!$C$11:$C$22="",Besatzung!$B$5,Besatzung!$C$11:$C$22)&lt;=B198)*(IF(Besatzung!$D$11:$D$22="",Besatzung!$B$6,Besatzung!$D$11:$D$22)&gt;=B198)),1)+(Besatzung!$F$21="x")*IFERROR(H198,0)/IFERROR(SUMPRODUCT((Besatzung!$B$11:$B$22&lt;&gt;"")*(Besatzung!$F$11:$F$22="x")*(IF(Besatzung!$C$11:$C$22="",Besatzung!$B$5,Besatzung!$C$11:$C$22)&lt;=B198)*(IF(Besatzung!$D$11:$D$22="",Besatzung!$B$6,Besatzung!$D$11:$D$22)&gt;=B198)),1))),IF(I198="Individuell",((T198="x")*((G198-IFERROR(H198,0))/IFERROR(COUNTIF(J198:U198,"x"),1)+(Besatzung!$F$21="x")*IFERROR(H198,0)/IFERROR(SUMPRODUCT((J198:U198="x")*(Besatzung!$F$11:$F$22="x")),1))),(IF(COUNTIF(J198:U198,"x")=0,IF(Besatzung!$B$21&lt;&gt;"",1,0),(T198="x"))*(G198-IFERROR(H198,0))/IFERROR(IF(COUNTIF(J198:U198,"x")=0,COUNTA(Besatzung!$B$11:$B$22),COUNTIF(J198:U198,"x")),1)+IF(COUNTIF(J198:U198,"x")=0,(Besatzung!$F$21="x"),(T198="x")*(Besatzung!$F$21="x"))*IFERROR(H198,0)/IFERROR(IF(COUNTIF(J198:U198,"x")=0,SUMPRODUCT((Besatzung!$B$11:$B$22&lt;&gt;"")*(Besatzung!$F$11:$F$22="x")),SUMPRODUCT((J198:U198="x")*(Besatzung!$F$11:$F$22="x"))),1))))),0))))</f>
        <v/>
      </c>
      <c r="AG198" s="247">
        <f>IF(C198="Gutschrift","",IF(G198="","",IF(Besatzung!$B$22="","",IFERROR(IF(I198="Zeitanteilig",(Besatzung!$G$22*(G198-IFERROR(H198,0))+((Besatzung!$B$22&lt;&gt;"")*IF(B198="",1,(IF(Besatzung!$C$22="",Besatzung!$B$5,Besatzung!$C$22)&lt;=B198)*(IF(Besatzung!$D$22="",Besatzung!$B$6,Besatzung!$D$22)&gt;=B198)))*(Besatzung!$F$22="x")*IFERROR(H198,0)/IFERROR(SUMPRODUCT((Besatzung!$B$11:$B$22&lt;&gt;"")*(Besatzung!$F$11:$F$22="x")*(IF(Besatzung!$C$11:$C$22="",Besatzung!$B$5,Besatzung!$C$11:$C$22)&lt;=B198)*(IF(Besatzung!$D$11:$D$22="",Besatzung!$B$6,Besatzung!$D$11:$D$22)&gt;=B198)),1)),IF(I198="An Bord",(((Besatzung!$B$22&lt;&gt;"")*IF(B198="",1,(IF(Besatzung!$C$22="",Besatzung!$B$5,Besatzung!$C$22)&lt;=B198)*(IF(Besatzung!$D$22="",Besatzung!$B$6,Besatzung!$D$22)&gt;=B198)))*((G198-IFERROR(H198,0))/IFERROR(SUMPRODUCT((Besatzung!$B$11:$B$22&lt;&gt;"")*(IF(Besatzung!$C$11:$C$22="",Besatzung!$B$5,Besatzung!$C$11:$C$22)&lt;=B198)*(IF(Besatzung!$D$11:$D$22="",Besatzung!$B$6,Besatzung!$D$11:$D$22)&gt;=B198)),1)+(Besatzung!$F$22="x")*IFERROR(H198,0)/IFERROR(SUMPRODUCT((Besatzung!$B$11:$B$22&lt;&gt;"")*(Besatzung!$F$11:$F$22="x")*(IF(Besatzung!$C$11:$C$22="",Besatzung!$B$5,Besatzung!$C$11:$C$22)&lt;=B198)*(IF(Besatzung!$D$11:$D$22="",Besatzung!$B$6,Besatzung!$D$11:$D$22)&gt;=B198)),1))),IF(I198="Individuell",((U198="x")*((G198-IFERROR(H198,0))/IFERROR(COUNTIF(J198:U198,"x"),1)+(Besatzung!$F$22="x")*IFERROR(H198,0)/IFERROR(SUMPRODUCT((J198:U198="x")*(Besatzung!$F$11:$F$22="x")),1))),(IF(COUNTIF(J198:U198,"x")=0,IF(Besatzung!$B$22&lt;&gt;"",1,0),(U198="x"))*(G198-IFERROR(H198,0))/IFERROR(IF(COUNTIF(J198:U198,"x")=0,COUNTA(Besatzung!$B$11:$B$22),COUNTIF(J198:U198,"x")),1)+IF(COUNTIF(J198:U198,"x")=0,(Besatzung!$F$22="x"),(U198="x")*(Besatzung!$F$22="x"))*IFERROR(H198,0)/IFERROR(IF(COUNTIF(J198:U198,"x")=0,SUMPRODUCT((Besatzung!$B$11:$B$22&lt;&gt;"")*(Besatzung!$F$11:$F$22="x")),SUMPRODUCT((J198:U198="x")*(Besatzung!$F$11:$F$22="x"))),1))))),0))))</f>
        <v/>
      </c>
      <c r="AH198" s="248" t="n"/>
      <c r="AI198" s="248" t="n"/>
    </row>
    <row r="199" ht="21.75" customHeight="1" s="154">
      <c r="A199" s="238">
        <f>IF(AND(D199="",C199=""),"",196)</f>
        <v/>
      </c>
      <c r="B199" s="206" t="n"/>
      <c r="C199" s="249" t="n"/>
      <c r="D199" s="250" t="n"/>
      <c r="E199" s="251" t="n"/>
      <c r="F199" s="252" t="n"/>
      <c r="G199" s="253" t="n"/>
      <c r="H199" s="254" t="n"/>
      <c r="I199" s="255" t="n"/>
      <c r="J199" s="256" t="n"/>
      <c r="K199" s="256" t="n"/>
      <c r="L199" s="256" t="n"/>
      <c r="M199" s="256" t="n"/>
      <c r="N199" s="256" t="n"/>
      <c r="O199" s="256" t="n"/>
      <c r="P199" s="256" t="n"/>
      <c r="Q199" s="256" t="n"/>
      <c r="R199" s="256" t="n"/>
      <c r="S199" s="256" t="n"/>
      <c r="T199" s="256" t="n"/>
      <c r="U199" s="256" t="n"/>
      <c r="V199" s="247">
        <f>IF(C199="Gutschrift","",IF(G199="","",IF(Besatzung!$B$11="","",IFERROR(IF(I199="Zeitanteilig",(Besatzung!$G$11*(G199-IFERROR(H199,0))+((Besatzung!$B$11&lt;&gt;"")*IF(B199="",1,(IF(Besatzung!$C$11="",Besatzung!$B$5,Besatzung!$C$11)&lt;=B199)*(IF(Besatzung!$D$11="",Besatzung!$B$6,Besatzung!$D$11)&gt;=B199)))*(Besatzung!$F$11="x")*IFERROR(H199,0)/IFERROR(SUMPRODUCT((Besatzung!$B$11:$B$22&lt;&gt;"")*(Besatzung!$F$11:$F$22="x")*(IF(Besatzung!$C$11:$C$22="",Besatzung!$B$5,Besatzung!$C$11:$C$22)&lt;=B199)*(IF(Besatzung!$D$11:$D$22="",Besatzung!$B$6,Besatzung!$D$11:$D$22)&gt;=B199)),1)),IF(I199="An Bord",(((Besatzung!$B$11&lt;&gt;"")*IF(B199="",1,(IF(Besatzung!$C$11="",Besatzung!$B$5,Besatzung!$C$11)&lt;=B199)*(IF(Besatzung!$D$11="",Besatzung!$B$6,Besatzung!$D$11)&gt;=B199)))*((G199-IFERROR(H199,0))/IFERROR(SUMPRODUCT((Besatzung!$B$11:$B$22&lt;&gt;"")*(IF(Besatzung!$C$11:$C$22="",Besatzung!$B$5,Besatzung!$C$11:$C$22)&lt;=B199)*(IF(Besatzung!$D$11:$D$22="",Besatzung!$B$6,Besatzung!$D$11:$D$22)&gt;=B199)),1)+(Besatzung!$F$11="x")*IFERROR(H199,0)/IFERROR(SUMPRODUCT((Besatzung!$B$11:$B$22&lt;&gt;"")*(Besatzung!$F$11:$F$22="x")*(IF(Besatzung!$C$11:$C$22="",Besatzung!$B$5,Besatzung!$C$11:$C$22)&lt;=B199)*(IF(Besatzung!$D$11:$D$22="",Besatzung!$B$6,Besatzung!$D$11:$D$22)&gt;=B199)),1))),IF(I199="Individuell",((J199="x")*((G199-IFERROR(H199,0))/IFERROR(COUNTIF(J199:U199,"x"),1)+(Besatzung!$F$11="x")*IFERROR(H199,0)/IFERROR(SUMPRODUCT((J199:U199="x")*(Besatzung!$F$11:$F$22="x")),1))),(IF(COUNTIF(J199:U199,"x")=0,IF(Besatzung!$B$11&lt;&gt;"",1,0),(J199="x"))*(G199-IFERROR(H199,0))/IFERROR(IF(COUNTIF(J199:U199,"x")=0,COUNTA(Besatzung!$B$11:$B$22),COUNTIF(J199:U199,"x")),1)+IF(COUNTIF(J199:U199,"x")=0,(Besatzung!$F$11="x"),(J199="x")*(Besatzung!$F$11="x"))*IFERROR(H199,0)/IFERROR(IF(COUNTIF(J199:U199,"x")=0,SUMPRODUCT((Besatzung!$B$11:$B$22&lt;&gt;"")*(Besatzung!$F$11:$F$22="x")),SUMPRODUCT((J199:U199="x")*(Besatzung!$F$11:$F$22="x"))),1))))),0))))</f>
        <v/>
      </c>
      <c r="W199" s="247">
        <f>IF(C199="Gutschrift","",IF(G199="","",IF(Besatzung!$B$12="","",IFERROR(IF(I199="Zeitanteilig",(Besatzung!$G$12*(G199-IFERROR(H199,0))+((Besatzung!$B$12&lt;&gt;"")*IF(B199="",1,(IF(Besatzung!$C$12="",Besatzung!$B$5,Besatzung!$C$12)&lt;=B199)*(IF(Besatzung!$D$12="",Besatzung!$B$6,Besatzung!$D$12)&gt;=B199)))*(Besatzung!$F$12="x")*IFERROR(H199,0)/IFERROR(SUMPRODUCT((Besatzung!$B$11:$B$22&lt;&gt;"")*(Besatzung!$F$11:$F$22="x")*(IF(Besatzung!$C$11:$C$22="",Besatzung!$B$5,Besatzung!$C$11:$C$22)&lt;=B199)*(IF(Besatzung!$D$11:$D$22="",Besatzung!$B$6,Besatzung!$D$11:$D$22)&gt;=B199)),1)),IF(I199="An Bord",(((Besatzung!$B$12&lt;&gt;"")*IF(B199="",1,(IF(Besatzung!$C$12="",Besatzung!$B$5,Besatzung!$C$12)&lt;=B199)*(IF(Besatzung!$D$12="",Besatzung!$B$6,Besatzung!$D$12)&gt;=B199)))*((G199-IFERROR(H199,0))/IFERROR(SUMPRODUCT((Besatzung!$B$11:$B$22&lt;&gt;"")*(IF(Besatzung!$C$11:$C$22="",Besatzung!$B$5,Besatzung!$C$11:$C$22)&lt;=B199)*(IF(Besatzung!$D$11:$D$22="",Besatzung!$B$6,Besatzung!$D$11:$D$22)&gt;=B199)),1)+(Besatzung!$F$12="x")*IFERROR(H199,0)/IFERROR(SUMPRODUCT((Besatzung!$B$11:$B$22&lt;&gt;"")*(Besatzung!$F$11:$F$22="x")*(IF(Besatzung!$C$11:$C$22="",Besatzung!$B$5,Besatzung!$C$11:$C$22)&lt;=B199)*(IF(Besatzung!$D$11:$D$22="",Besatzung!$B$6,Besatzung!$D$11:$D$22)&gt;=B199)),1))),IF(I199="Individuell",((K199="x")*((G199-IFERROR(H199,0))/IFERROR(COUNTIF(J199:U199,"x"),1)+(Besatzung!$F$12="x")*IFERROR(H199,0)/IFERROR(SUMPRODUCT((J199:U199="x")*(Besatzung!$F$11:$F$22="x")),1))),(IF(COUNTIF(J199:U199,"x")=0,IF(Besatzung!$B$12&lt;&gt;"",1,0),(K199="x"))*(G199-IFERROR(H199,0))/IFERROR(IF(COUNTIF(J199:U199,"x")=0,COUNTA(Besatzung!$B$11:$B$22),COUNTIF(J199:U199,"x")),1)+IF(COUNTIF(J199:U199,"x")=0,(Besatzung!$F$12="x"),(K199="x")*(Besatzung!$F$12="x"))*IFERROR(H199,0)/IFERROR(IF(COUNTIF(J199:U199,"x")=0,SUMPRODUCT((Besatzung!$B$11:$B$22&lt;&gt;"")*(Besatzung!$F$11:$F$22="x")),SUMPRODUCT((J199:U199="x")*(Besatzung!$F$11:$F$22="x"))),1))))),0))))</f>
        <v/>
      </c>
      <c r="X199" s="247">
        <f>IF(C199="Gutschrift","",IF(G199="","",IF(Besatzung!$B$13="","",IFERROR(IF(I199="Zeitanteilig",(Besatzung!$G$13*(G199-IFERROR(H199,0))+((Besatzung!$B$13&lt;&gt;"")*IF(B199="",1,(IF(Besatzung!$C$13="",Besatzung!$B$5,Besatzung!$C$13)&lt;=B199)*(IF(Besatzung!$D$13="",Besatzung!$B$6,Besatzung!$D$13)&gt;=B199)))*(Besatzung!$F$13="x")*IFERROR(H199,0)/IFERROR(SUMPRODUCT((Besatzung!$B$11:$B$22&lt;&gt;"")*(Besatzung!$F$11:$F$22="x")*(IF(Besatzung!$C$11:$C$22="",Besatzung!$B$5,Besatzung!$C$11:$C$22)&lt;=B199)*(IF(Besatzung!$D$11:$D$22="",Besatzung!$B$6,Besatzung!$D$11:$D$22)&gt;=B199)),1)),IF(I199="An Bord",(((Besatzung!$B$13&lt;&gt;"")*IF(B199="",1,(IF(Besatzung!$C$13="",Besatzung!$B$5,Besatzung!$C$13)&lt;=B199)*(IF(Besatzung!$D$13="",Besatzung!$B$6,Besatzung!$D$13)&gt;=B199)))*((G199-IFERROR(H199,0))/IFERROR(SUMPRODUCT((Besatzung!$B$11:$B$22&lt;&gt;"")*(IF(Besatzung!$C$11:$C$22="",Besatzung!$B$5,Besatzung!$C$11:$C$22)&lt;=B199)*(IF(Besatzung!$D$11:$D$22="",Besatzung!$B$6,Besatzung!$D$11:$D$22)&gt;=B199)),1)+(Besatzung!$F$13="x")*IFERROR(H199,0)/IFERROR(SUMPRODUCT((Besatzung!$B$11:$B$22&lt;&gt;"")*(Besatzung!$F$11:$F$22="x")*(IF(Besatzung!$C$11:$C$22="",Besatzung!$B$5,Besatzung!$C$11:$C$22)&lt;=B199)*(IF(Besatzung!$D$11:$D$22="",Besatzung!$B$6,Besatzung!$D$11:$D$22)&gt;=B199)),1))),IF(I199="Individuell",((K199="x")*((G199-IFERROR(H199,0))/IFERROR(COUNTIF(J199:U199,"x"),1)+(Besatzung!$F$13="x")*IFERROR(H199,0)/IFERROR(SUMPRODUCT((J199:U199="x")*(Besatzung!$F$11:$F$22="x")),1))),(IF(COUNTIF(J199:U199,"x")=0,IF(Besatzung!$B$13&lt;&gt;"",1,0),(K199="x"))*(G199-IFERROR(H199,0))/IFERROR(IF(COUNTIF(J199:U199,"x")=0,COUNTA(Besatzung!$B$11:$B$22),COUNTIF(J199:U199,"x")),1)+IF(COUNTIF(J199:U199,"x")=0,(Besatzung!$F$13="x"),(K199="x")*(Besatzung!$F$13="x"))*IFERROR(H199,0)/IFERROR(IF(COUNTIF(J199:U199,"x")=0,SUMPRODUCT((Besatzung!$B$11:$B$22&lt;&gt;"")*(Besatzung!$F$11:$F$22="x")),SUMPRODUCT((J199:U199="x")*(Besatzung!$F$11:$F$22="x"))),1))))),0))))</f>
        <v/>
      </c>
      <c r="Y199" s="247">
        <f>IF(C199="Gutschrift","",IF(G199="","",IF(Besatzung!$B$14="","",IFERROR(IF(I199="Zeitanteilig",(Besatzung!$G$14*(G199-IFERROR(H199,0))+((Besatzung!$B$14&lt;&gt;"")*IF(B199="",1,(IF(Besatzung!$C$14="",Besatzung!$B$5,Besatzung!$C$14)&lt;=B199)*(IF(Besatzung!$D$14="",Besatzung!$B$6,Besatzung!$D$14)&gt;=B199)))*(Besatzung!$F$14="x")*IFERROR(H199,0)/IFERROR(SUMPRODUCT((Besatzung!$B$11:$B$22&lt;&gt;"")*(Besatzung!$F$11:$F$22="x")*(IF(Besatzung!$C$11:$C$22="",Besatzung!$B$5,Besatzung!$C$11:$C$22)&lt;=B199)*(IF(Besatzung!$D$11:$D$22="",Besatzung!$B$6,Besatzung!$D$11:$D$22)&gt;=B199)),1)),IF(I199="An Bord",(((Besatzung!$B$14&lt;&gt;"")*IF(B199="",1,(IF(Besatzung!$C$14="",Besatzung!$B$5,Besatzung!$C$14)&lt;=B199)*(IF(Besatzung!$D$14="",Besatzung!$B$6,Besatzung!$D$14)&gt;=B199)))*((G199-IFERROR(H199,0))/IFERROR(SUMPRODUCT((Besatzung!$B$11:$B$22&lt;&gt;"")*(IF(Besatzung!$C$11:$C$22="",Besatzung!$B$5,Besatzung!$C$11:$C$22)&lt;=B199)*(IF(Besatzung!$D$11:$D$22="",Besatzung!$B$6,Besatzung!$D$11:$D$22)&gt;=B199)),1)+(Besatzung!$F$14="x")*IFERROR(H199,0)/IFERROR(SUMPRODUCT((Besatzung!$B$11:$B$22&lt;&gt;"")*(Besatzung!$F$11:$F$22="x")*(IF(Besatzung!$C$11:$C$22="",Besatzung!$B$5,Besatzung!$C$11:$C$22)&lt;=B199)*(IF(Besatzung!$D$11:$D$22="",Besatzung!$B$6,Besatzung!$D$11:$D$22)&gt;=B199)),1))),IF(I199="Individuell",((M199="x")*((G199-IFERROR(H199,0))/IFERROR(COUNTIF(J199:U199,"x"),1)+(Besatzung!$F$14="x")*IFERROR(H199,0)/IFERROR(SUMPRODUCT((J199:U199="x")*(Besatzung!$F$11:$F$22="x")),1))),(IF(COUNTIF(J199:U199,"x")=0,IF(Besatzung!$B$14&lt;&gt;"",1,0),(M199="x"))*(G199-IFERROR(H199,0))/IFERROR(IF(COUNTIF(J199:U199,"x")=0,COUNTA(Besatzung!$B$11:$B$22),COUNTIF(J199:U199,"x")),1)+IF(COUNTIF(J199:U199,"x")=0,(Besatzung!$F$14="x"),(M199="x")*(Besatzung!$F$14="x"))*IFERROR(H199,0)/IFERROR(IF(COUNTIF(J199:U199,"x")=0,SUMPRODUCT((Besatzung!$B$11:$B$22&lt;&gt;"")*(Besatzung!$F$11:$F$22="x")),SUMPRODUCT((J199:U199="x")*(Besatzung!$F$11:$F$22="x"))),1))))),0))))</f>
        <v/>
      </c>
      <c r="Z199" s="247">
        <f>IF(C199="Gutschrift","",IF(G199="","",IF(Besatzung!$B$13="","",IFERROR(IF(I199="Zeitanteilig",(Besatzung!$G$15*(G199-IFERROR(H199,0))+((Besatzung!$B$13&lt;&gt;"")*IF(B199="",1,(IF(Besatzung!$C$15="",Besatzung!$B$5,Besatzung!$C$15)&lt;=B199)*(IF(Besatzung!$D$15="",Besatzung!$B$6,Besatzung!$D$15)&gt;=B199)))*(Besatzung!$F$15="x")*IFERROR(H199,0)/IFERROR(SUMPRODUCT((Besatzung!$B$11:$B$22&lt;&gt;"")*(Besatzung!$F$11:$F$22="x")*(IF(Besatzung!$C$11:$C$22="",Besatzung!$B$5,Besatzung!$C$11:$C$22)&lt;=B199)*(IF(Besatzung!$D$11:$D$22="",Besatzung!$B$6,Besatzung!$D$11:$D$22)&gt;=B199)),1)),IF(I199="An Bord",(((Besatzung!$B$13&lt;&gt;"")*IF(B199="",1,(IF(Besatzung!$C$15="",Besatzung!$B$5,Besatzung!$C$15)&lt;=B199)*(IF(Besatzung!$D$15="",Besatzung!$B$6,Besatzung!$D$15)&gt;=B199)))*((G199-IFERROR(H199,0))/IFERROR(SUMPRODUCT((Besatzung!$B$11:$B$22&lt;&gt;"")*(IF(Besatzung!$C$11:$C$22="",Besatzung!$B$5,Besatzung!$C$11:$C$22)&lt;=B199)*(IF(Besatzung!$D$11:$D$22="",Besatzung!$B$6,Besatzung!$D$11:$D$22)&gt;=B199)),1)+(Besatzung!$F$15="x")*IFERROR(H199,0)/IFERROR(SUMPRODUCT((Besatzung!$B$11:$B$22&lt;&gt;"")*(Besatzung!$F$11:$F$22="x")*(IF(Besatzung!$C$11:$C$22="",Besatzung!$B$5,Besatzung!$C$11:$C$22)&lt;=B199)*(IF(Besatzung!$D$11:$D$22="",Besatzung!$B$6,Besatzung!$D$11:$D$22)&gt;=B199)),1))),IF(I199="Individuell",((N199="x")*((G199-IFERROR(H199,0))/IFERROR(COUNTIF(J199:U199,"x"),1)+(Besatzung!$F$15="x")*IFERROR(H199,0)/IFERROR(SUMPRODUCT((J199:U199="x")*(Besatzung!$F$11:$F$22="x")),1))),(IF(COUNTIF(J199:U199,"x")=0,IF(Besatzung!$B$13&lt;&gt;"",1,0),(N199="x"))*(G199-IFERROR(H199,0))/IFERROR(IF(COUNTIF(J199:U199,"x")=0,COUNTA(Besatzung!$B$11:$B$22),COUNTIF(J199:U199,"x")),1)+IF(COUNTIF(J199:U199,"x")=0,(Besatzung!$F$15="x"),(N199="x")*(Besatzung!$F$15="x"))*IFERROR(H199,0)/IFERROR(IF(COUNTIF(J199:U199,"x")=0,SUMPRODUCT((Besatzung!$B$11:$B$22&lt;&gt;"")*(Besatzung!$F$11:$F$22="x")),SUMPRODUCT((J199:U199="x")*(Besatzung!$F$11:$F$22="x"))),1))))),0))))</f>
        <v/>
      </c>
      <c r="AA199" s="247">
        <f>IF(C199="Gutschrift","",IF(G199="","",IF(Besatzung!$B$15="","",IFERROR(IF(I199="Zeitanteilig",(Besatzung!$G$16*(G199-IFERROR(H199,0))+((Besatzung!$B$15&lt;&gt;"")*IF(B199="",1,(IF(Besatzung!$C$16="",Besatzung!$B$5,Besatzung!$C$16)&lt;=B199)*(IF(Besatzung!$D$16="",Besatzung!$B$6,Besatzung!$D$16)&gt;=B199)))*(Besatzung!$F$16="x")*IFERROR(H199,0)/IFERROR(SUMPRODUCT((Besatzung!$B$11:$B$22&lt;&gt;"")*(Besatzung!$F$11:$F$22="x")*(IF(Besatzung!$C$11:$C$22="",Besatzung!$B$5,Besatzung!$C$11:$C$22)&lt;=B199)*(IF(Besatzung!$D$11:$D$22="",Besatzung!$B$6,Besatzung!$D$11:$D$22)&gt;=B199)),1)),IF(I199="An Bord",(((Besatzung!$B$15&lt;&gt;"")*IF(B199="",1,(IF(Besatzung!$C$16="",Besatzung!$B$5,Besatzung!$C$16)&lt;=B199)*(IF(Besatzung!$D$16="",Besatzung!$B$6,Besatzung!$D$16)&gt;=B199)))*((G199-IFERROR(H199,0))/IFERROR(SUMPRODUCT((Besatzung!$B$11:$B$22&lt;&gt;"")*(IF(Besatzung!$C$11:$C$22="",Besatzung!$B$5,Besatzung!$C$11:$C$22)&lt;=B199)*(IF(Besatzung!$D$11:$D$22="",Besatzung!$B$6,Besatzung!$D$11:$D$22)&gt;=B199)),1)+(Besatzung!$F$16="x")*IFERROR(H199,0)/IFERROR(SUMPRODUCT((Besatzung!$B$11:$B$22&lt;&gt;"")*(Besatzung!$F$11:$F$22="x")*(IF(Besatzung!$C$11:$C$22="",Besatzung!$B$5,Besatzung!$C$11:$C$22)&lt;=B199)*(IF(Besatzung!$D$11:$D$22="",Besatzung!$B$6,Besatzung!$D$11:$D$22)&gt;=B199)),1))),IF(I199="Individuell",((O199="x")*((G199-IFERROR(H199,0))/IFERROR(COUNTIF(J199:U199,"x"),1)+(Besatzung!$F$16="x")*IFERROR(H199,0)/IFERROR(SUMPRODUCT((J199:U199="x")*(Besatzung!$F$11:$F$22="x")),1))),(IF(COUNTIF(J199:U199,"x")=0,IF(Besatzung!$B$15&lt;&gt;"",1,0),(O199="x"))*(G199-IFERROR(H199,0))/IFERROR(IF(COUNTIF(J199:U199,"x")=0,COUNTA(Besatzung!$B$11:$B$22),COUNTIF(J199:U199,"x")),1)+IF(COUNTIF(J199:U199,"x")=0,(Besatzung!$F$16="x"),(O199="x")*(Besatzung!$F$16="x"))*IFERROR(H199,0)/IFERROR(IF(COUNTIF(J199:U199,"x")=0,SUMPRODUCT((Besatzung!$B$11:$B$22&lt;&gt;"")*(Besatzung!$F$11:$F$22="x")),SUMPRODUCT((J199:U199="x")*(Besatzung!$F$11:$F$22="x"))),1))))),0))))</f>
        <v/>
      </c>
      <c r="AB199" s="247">
        <f>IF(C199="Gutschrift","",IF(G199="","",IF(Besatzung!$B$17="","",IFERROR(IF(I199="Zeitanteilig",(Besatzung!$G$17*(G199-IFERROR(H199,0))+((Besatzung!$B$17&lt;&gt;"")*IF(B199="",1,(IF(Besatzung!$C$17="",Besatzung!$B$5,Besatzung!$C$17)&lt;=B199)*(IF(Besatzung!$D$17="",Besatzung!$B$6,Besatzung!$D$17)&gt;=B199)))*(Besatzung!$F$17="x")*IFERROR(H199,0)/IFERROR(SUMPRODUCT((Besatzung!$B$11:$B$22&lt;&gt;"")*(Besatzung!$F$11:$F$22="x")*(IF(Besatzung!$C$11:$C$22="",Besatzung!$B$5,Besatzung!$C$11:$C$22)&lt;=B199)*(IF(Besatzung!$D$11:$D$22="",Besatzung!$B$6,Besatzung!$D$11:$D$22)&gt;=B199)),1)),IF(I199="An Bord",(((Besatzung!$B$17&lt;&gt;"")*IF(B199="",1,(IF(Besatzung!$C$17="",Besatzung!$B$5,Besatzung!$C$17)&lt;=B199)*(IF(Besatzung!$D$17="",Besatzung!$B$6,Besatzung!$D$17)&gt;=B199)))*((G199-IFERROR(H199,0))/IFERROR(SUMPRODUCT((Besatzung!$B$11:$B$22&lt;&gt;"")*(IF(Besatzung!$C$11:$C$22="",Besatzung!$B$5,Besatzung!$C$11:$C$22)&lt;=B199)*(IF(Besatzung!$D$11:$D$22="",Besatzung!$B$6,Besatzung!$D$11:$D$22)&gt;=B199)),1)+(Besatzung!$F$17="x")*IFERROR(H199,0)/IFERROR(SUMPRODUCT((Besatzung!$B$11:$B$22&lt;&gt;"")*(Besatzung!$F$11:$F$22="x")*(IF(Besatzung!$C$11:$C$22="",Besatzung!$B$5,Besatzung!$C$11:$C$22)&lt;=B199)*(IF(Besatzung!$D$11:$D$22="",Besatzung!$B$6,Besatzung!$D$11:$D$22)&gt;=B199)),1))),IF(I199="Individuell",((P199="x")*((G199-IFERROR(H199,0))/IFERROR(COUNTIF(J199:U199,"x"),1)+(Besatzung!$F$17="x")*IFERROR(H199,0)/IFERROR(SUMPRODUCT((J199:U199="x")*(Besatzung!$F$11:$F$22="x")),1))),(IF(COUNTIF(J199:U199,"x")=0,IF(Besatzung!$B$17&lt;&gt;"",1,0),(P199="x"))*(G199-IFERROR(H199,0))/IFERROR(IF(COUNTIF(J199:U199,"x")=0,COUNTA(Besatzung!$B$11:$B$22),COUNTIF(J199:U199,"x")),1)+IF(COUNTIF(J199:U199,"x")=0,(Besatzung!$F$17="x"),(P199="x")*(Besatzung!$F$17="x"))*IFERROR(H199,0)/IFERROR(IF(COUNTIF(J199:U199,"x")=0,SUMPRODUCT((Besatzung!$B$11:$B$22&lt;&gt;"")*(Besatzung!$F$11:$F$22="x")),SUMPRODUCT((J199:U199="x")*(Besatzung!$F$11:$F$22="x"))),1))))),0))))</f>
        <v/>
      </c>
      <c r="AC199" s="247">
        <f>IF(C199="Gutschrift","",IF(G199="","",IF(Besatzung!$B$18="","",IFERROR(IF(I199="Zeitanteilig",(Besatzung!$G$18*(G199-IFERROR(H199,0))+((Besatzung!$B$18&lt;&gt;"")*IF(B199="",1,(IF(Besatzung!$C$18="",Besatzung!$B$5,Besatzung!$C$18)&lt;=B199)*(IF(Besatzung!$D$18="",Besatzung!$B$6,Besatzung!$D$18)&gt;=B199)))*(Besatzung!$F$18="x")*IFERROR(H199,0)/IFERROR(SUMPRODUCT((Besatzung!$B$11:$B$22&lt;&gt;"")*(Besatzung!$F$11:$F$22="x")*(IF(Besatzung!$C$11:$C$22="",Besatzung!$B$5,Besatzung!$C$11:$C$22)&lt;=B199)*(IF(Besatzung!$D$11:$D$22="",Besatzung!$B$6,Besatzung!$D$11:$D$22)&gt;=B199)),1)),IF(I199="An Bord",(((Besatzung!$B$18&lt;&gt;"")*IF(B199="",1,(IF(Besatzung!$C$18="",Besatzung!$B$5,Besatzung!$C$18)&lt;=B199)*(IF(Besatzung!$D$18="",Besatzung!$B$6,Besatzung!$D$18)&gt;=B199)))*((G199-IFERROR(H199,0))/IFERROR(SUMPRODUCT((Besatzung!$B$11:$B$22&lt;&gt;"")*(IF(Besatzung!$C$11:$C$22="",Besatzung!$B$5,Besatzung!$C$11:$C$22)&lt;=B199)*(IF(Besatzung!$D$11:$D$22="",Besatzung!$B$6,Besatzung!$D$11:$D$22)&gt;=B199)),1)+(Besatzung!$F$18="x")*IFERROR(H199,0)/IFERROR(SUMPRODUCT((Besatzung!$B$11:$B$22&lt;&gt;"")*(Besatzung!$F$11:$F$22="x")*(IF(Besatzung!$C$11:$C$22="",Besatzung!$B$5,Besatzung!$C$11:$C$22)&lt;=B199)*(IF(Besatzung!$D$11:$D$22="",Besatzung!$B$6,Besatzung!$D$11:$D$22)&gt;=B199)),1))),IF(I199="Individuell",((Q199="x")*((G199-IFERROR(H199,0))/IFERROR(COUNTIF(J199:U199,"x"),1)+(Besatzung!$F$18="x")*IFERROR(H199,0)/IFERROR(SUMPRODUCT((J199:U199="x")*(Besatzung!$F$11:$F$22="x")),1))),(IF(COUNTIF(J199:U199,"x")=0,IF(Besatzung!$B$18&lt;&gt;"",1,0),(Q199="x"))*(G199-IFERROR(H199,0))/IFERROR(IF(COUNTIF(J199:U199,"x")=0,COUNTA(Besatzung!$B$11:$B$22),COUNTIF(J199:U199,"x")),1)+IF(COUNTIF(J199:U199,"x")=0,(Besatzung!$F$18="x"),(Q199="x")*(Besatzung!$F$18="x"))*IFERROR(H199,0)/IFERROR(IF(COUNTIF(J199:U199,"x")=0,SUMPRODUCT((Besatzung!$B$11:$B$22&lt;&gt;"")*(Besatzung!$F$11:$F$22="x")),SUMPRODUCT((J199:U199="x")*(Besatzung!$F$11:$F$22="x"))),1))))),0))))</f>
        <v/>
      </c>
      <c r="AD199" s="247">
        <f>IF(C199="Gutschrift","",IF(G199="","",IF(Besatzung!$B$19="","",IFERROR(IF(I199="Zeitanteilig",(Besatzung!$G$19*(G199-IFERROR(H199,0))+((Besatzung!$B$19&lt;&gt;"")*IF(B199="",1,(IF(Besatzung!$C$19="",Besatzung!$B$5,Besatzung!$C$19)&lt;=B199)*(IF(Besatzung!$D$19="",Besatzung!$B$6,Besatzung!$D$19)&gt;=B199)))*(Besatzung!$F$19="x")*IFERROR(H199,0)/IFERROR(SUMPRODUCT((Besatzung!$B$11:$B$22&lt;&gt;"")*(Besatzung!$F$11:$F$22="x")*(IF(Besatzung!$C$11:$C$22="",Besatzung!$B$5,Besatzung!$C$11:$C$22)&lt;=B199)*(IF(Besatzung!$D$11:$D$22="",Besatzung!$B$6,Besatzung!$D$11:$D$22)&gt;=B199)),1)),IF(I199="An Bord",(((Besatzung!$B$19&lt;&gt;"")*IF(B199="",1,(IF(Besatzung!$C$19="",Besatzung!$B$5,Besatzung!$C$19)&lt;=B199)*(IF(Besatzung!$D$19="",Besatzung!$B$6,Besatzung!$D$19)&gt;=B199)))*((G199-IFERROR(H199,0))/IFERROR(SUMPRODUCT((Besatzung!$B$11:$B$22&lt;&gt;"")*(IF(Besatzung!$C$11:$C$22="",Besatzung!$B$5,Besatzung!$C$11:$C$22)&lt;=B199)*(IF(Besatzung!$D$11:$D$22="",Besatzung!$B$6,Besatzung!$D$11:$D$22)&gt;=B199)),1)+(Besatzung!$F$19="x")*IFERROR(H199,0)/IFERROR(SUMPRODUCT((Besatzung!$B$11:$B$22&lt;&gt;"")*(Besatzung!$F$11:$F$22="x")*(IF(Besatzung!$C$11:$C$22="",Besatzung!$B$5,Besatzung!$C$11:$C$22)&lt;=B199)*(IF(Besatzung!$D$11:$D$22="",Besatzung!$B$6,Besatzung!$D$11:$D$22)&gt;=B199)),1))),IF(I199="Individuell",((R199="x")*((G199-IFERROR(H199,0))/IFERROR(COUNTIF(J199:U199,"x"),1)+(Besatzung!$F$19="x")*IFERROR(H199,0)/IFERROR(SUMPRODUCT((J199:U199="x")*(Besatzung!$F$11:$F$22="x")),1))),(IF(COUNTIF(J199:U199,"x")=0,IF(Besatzung!$B$19&lt;&gt;"",1,0),(R199="x"))*(G199-IFERROR(H199,0))/IFERROR(IF(COUNTIF(J199:U199,"x")=0,COUNTA(Besatzung!$B$11:$B$22),COUNTIF(J199:U199,"x")),1)+IF(COUNTIF(J199:U199,"x")=0,(Besatzung!$F$19="x"),(R199="x")*(Besatzung!$F$19="x"))*IFERROR(H199,0)/IFERROR(IF(COUNTIF(J199:U199,"x")=0,SUMPRODUCT((Besatzung!$B$11:$B$22&lt;&gt;"")*(Besatzung!$F$11:$F$22="x")),SUMPRODUCT((J199:U199="x")*(Besatzung!$F$11:$F$22="x"))),1))))),0))))</f>
        <v/>
      </c>
      <c r="AE199" s="247">
        <f>IF(C199="Gutschrift","",IF(G199="","",IF(Besatzung!$B$20="","",IFERROR(IF(I199="Zeitanteilig",(Besatzung!$G$20*(G199-IFERROR(H199,0))+((Besatzung!$B$20&lt;&gt;"")*IF(B199="",1,(IF(Besatzung!$C$20="",Besatzung!$B$5,Besatzung!$C$20)&lt;=B199)*(IF(Besatzung!$D$20="",Besatzung!$B$6,Besatzung!$D$20)&gt;=B199)))*(Besatzung!$F$20="x")*IFERROR(H199,0)/IFERROR(SUMPRODUCT((Besatzung!$B$11:$B$22&lt;&gt;"")*(Besatzung!$F$11:$F$22="x")*(IF(Besatzung!$C$11:$C$22="",Besatzung!$B$5,Besatzung!$C$11:$C$22)&lt;=B199)*(IF(Besatzung!$D$11:$D$22="",Besatzung!$B$6,Besatzung!$D$11:$D$22)&gt;=B199)),1)),IF(I199="An Bord",(((Besatzung!$B$20&lt;&gt;"")*IF(B199="",1,(IF(Besatzung!$C$20="",Besatzung!$B$5,Besatzung!$C$20)&lt;=B199)*(IF(Besatzung!$D$20="",Besatzung!$B$6,Besatzung!$D$20)&gt;=B199)))*((G199-IFERROR(H199,0))/IFERROR(SUMPRODUCT((Besatzung!$B$11:$B$22&lt;&gt;"")*(IF(Besatzung!$C$11:$C$22="",Besatzung!$B$5,Besatzung!$C$11:$C$22)&lt;=B199)*(IF(Besatzung!$D$11:$D$22="",Besatzung!$B$6,Besatzung!$D$11:$D$22)&gt;=B199)),1)+(Besatzung!$F$20="x")*IFERROR(H199,0)/IFERROR(SUMPRODUCT((Besatzung!$B$11:$B$22&lt;&gt;"")*(Besatzung!$F$11:$F$22="x")*(IF(Besatzung!$C$11:$C$22="",Besatzung!$B$5,Besatzung!$C$11:$C$22)&lt;=B199)*(IF(Besatzung!$D$11:$D$22="",Besatzung!$B$6,Besatzung!$D$11:$D$22)&gt;=B199)),1))),IF(I199="Individuell",((S199="x")*((G199-IFERROR(H199,0))/IFERROR(COUNTIF(J199:U199,"x"),1)+(Besatzung!$F$20="x")*IFERROR(H199,0)/IFERROR(SUMPRODUCT((J199:U199="x")*(Besatzung!$F$11:$F$22="x")),1))),(IF(COUNTIF(J199:U199,"x")=0,IF(Besatzung!$B$20&lt;&gt;"",1,0),(S199="x"))*(G199-IFERROR(H199,0))/IFERROR(IF(COUNTIF(J199:U199,"x")=0,COUNTA(Besatzung!$B$11:$B$22),COUNTIF(J199:U199,"x")),1)+IF(COUNTIF(J199:U199,"x")=0,(Besatzung!$F$20="x"),(S199="x")*(Besatzung!$F$20="x"))*IFERROR(H199,0)/IFERROR(IF(COUNTIF(J199:U199,"x")=0,SUMPRODUCT((Besatzung!$B$11:$B$22&lt;&gt;"")*(Besatzung!$F$11:$F$22="x")),SUMPRODUCT((J199:U199="x")*(Besatzung!$F$11:$F$22="x"))),1))))),0))))</f>
        <v/>
      </c>
      <c r="AF199" s="247">
        <f>IF(C199="Gutschrift","",IF(G199="","",IF(Besatzung!$B$21="","",IFERROR(IF(I199="Zeitanteilig",(Besatzung!$G$21*(G199-IFERROR(H199,0))+((Besatzung!$B$21&lt;&gt;"")*IF(B199="",1,(IF(Besatzung!$C$21="",Besatzung!$B$5,Besatzung!$C$21)&lt;=B199)*(IF(Besatzung!$D$21="",Besatzung!$B$6,Besatzung!$D$21)&gt;=B199)))*(Besatzung!$F$21="x")*IFERROR(H199,0)/IFERROR(SUMPRODUCT((Besatzung!$B$11:$B$22&lt;&gt;"")*(Besatzung!$F$11:$F$22="x")*(IF(Besatzung!$C$11:$C$22="",Besatzung!$B$5,Besatzung!$C$11:$C$22)&lt;=B199)*(IF(Besatzung!$D$11:$D$22="",Besatzung!$B$6,Besatzung!$D$11:$D$22)&gt;=B199)),1)),IF(I199="An Bord",(((Besatzung!$B$21&lt;&gt;"")*IF(B199="",1,(IF(Besatzung!$C$21="",Besatzung!$B$5,Besatzung!$C$21)&lt;=B199)*(IF(Besatzung!$D$21="",Besatzung!$B$6,Besatzung!$D$21)&gt;=B199)))*((G199-IFERROR(H199,0))/IFERROR(SUMPRODUCT((Besatzung!$B$11:$B$22&lt;&gt;"")*(IF(Besatzung!$C$11:$C$22="",Besatzung!$B$5,Besatzung!$C$11:$C$22)&lt;=B199)*(IF(Besatzung!$D$11:$D$22="",Besatzung!$B$6,Besatzung!$D$11:$D$22)&gt;=B199)),1)+(Besatzung!$F$21="x")*IFERROR(H199,0)/IFERROR(SUMPRODUCT((Besatzung!$B$11:$B$22&lt;&gt;"")*(Besatzung!$F$11:$F$22="x")*(IF(Besatzung!$C$11:$C$22="",Besatzung!$B$5,Besatzung!$C$11:$C$22)&lt;=B199)*(IF(Besatzung!$D$11:$D$22="",Besatzung!$B$6,Besatzung!$D$11:$D$22)&gt;=B199)),1))),IF(I199="Individuell",((T199="x")*((G199-IFERROR(H199,0))/IFERROR(COUNTIF(J199:U199,"x"),1)+(Besatzung!$F$21="x")*IFERROR(H199,0)/IFERROR(SUMPRODUCT((J199:U199="x")*(Besatzung!$F$11:$F$22="x")),1))),(IF(COUNTIF(J199:U199,"x")=0,IF(Besatzung!$B$21&lt;&gt;"",1,0),(T199="x"))*(G199-IFERROR(H199,0))/IFERROR(IF(COUNTIF(J199:U199,"x")=0,COUNTA(Besatzung!$B$11:$B$22),COUNTIF(J199:U199,"x")),1)+IF(COUNTIF(J199:U199,"x")=0,(Besatzung!$F$21="x"),(T199="x")*(Besatzung!$F$21="x"))*IFERROR(H199,0)/IFERROR(IF(COUNTIF(J199:U199,"x")=0,SUMPRODUCT((Besatzung!$B$11:$B$22&lt;&gt;"")*(Besatzung!$F$11:$F$22="x")),SUMPRODUCT((J199:U199="x")*(Besatzung!$F$11:$F$22="x"))),1))))),0))))</f>
        <v/>
      </c>
      <c r="AG199" s="247">
        <f>IF(C199="Gutschrift","",IF(G199="","",IF(Besatzung!$B$22="","",IFERROR(IF(I199="Zeitanteilig",(Besatzung!$G$22*(G199-IFERROR(H199,0))+((Besatzung!$B$22&lt;&gt;"")*IF(B199="",1,(IF(Besatzung!$C$22="",Besatzung!$B$5,Besatzung!$C$22)&lt;=B199)*(IF(Besatzung!$D$22="",Besatzung!$B$6,Besatzung!$D$22)&gt;=B199)))*(Besatzung!$F$22="x")*IFERROR(H199,0)/IFERROR(SUMPRODUCT((Besatzung!$B$11:$B$22&lt;&gt;"")*(Besatzung!$F$11:$F$22="x")*(IF(Besatzung!$C$11:$C$22="",Besatzung!$B$5,Besatzung!$C$11:$C$22)&lt;=B199)*(IF(Besatzung!$D$11:$D$22="",Besatzung!$B$6,Besatzung!$D$11:$D$22)&gt;=B199)),1)),IF(I199="An Bord",(((Besatzung!$B$22&lt;&gt;"")*IF(B199="",1,(IF(Besatzung!$C$22="",Besatzung!$B$5,Besatzung!$C$22)&lt;=B199)*(IF(Besatzung!$D$22="",Besatzung!$B$6,Besatzung!$D$22)&gt;=B199)))*((G199-IFERROR(H199,0))/IFERROR(SUMPRODUCT((Besatzung!$B$11:$B$22&lt;&gt;"")*(IF(Besatzung!$C$11:$C$22="",Besatzung!$B$5,Besatzung!$C$11:$C$22)&lt;=B199)*(IF(Besatzung!$D$11:$D$22="",Besatzung!$B$6,Besatzung!$D$11:$D$22)&gt;=B199)),1)+(Besatzung!$F$22="x")*IFERROR(H199,0)/IFERROR(SUMPRODUCT((Besatzung!$B$11:$B$22&lt;&gt;"")*(Besatzung!$F$11:$F$22="x")*(IF(Besatzung!$C$11:$C$22="",Besatzung!$B$5,Besatzung!$C$11:$C$22)&lt;=B199)*(IF(Besatzung!$D$11:$D$22="",Besatzung!$B$6,Besatzung!$D$11:$D$22)&gt;=B199)),1))),IF(I199="Individuell",((U199="x")*((G199-IFERROR(H199,0))/IFERROR(COUNTIF(J199:U199,"x"),1)+(Besatzung!$F$22="x")*IFERROR(H199,0)/IFERROR(SUMPRODUCT((J199:U199="x")*(Besatzung!$F$11:$F$22="x")),1))),(IF(COUNTIF(J199:U199,"x")=0,IF(Besatzung!$B$22&lt;&gt;"",1,0),(U199="x"))*(G199-IFERROR(H199,0))/IFERROR(IF(COUNTIF(J199:U199,"x")=0,COUNTA(Besatzung!$B$11:$B$22),COUNTIF(J199:U199,"x")),1)+IF(COUNTIF(J199:U199,"x")=0,(Besatzung!$F$22="x"),(U199="x")*(Besatzung!$F$22="x"))*IFERROR(H199,0)/IFERROR(IF(COUNTIF(J199:U199,"x")=0,SUMPRODUCT((Besatzung!$B$11:$B$22&lt;&gt;"")*(Besatzung!$F$11:$F$22="x")),SUMPRODUCT((J199:U199="x")*(Besatzung!$F$11:$F$22="x"))),1))))),0))))</f>
        <v/>
      </c>
      <c r="AH199" s="248" t="n"/>
      <c r="AI199" s="248" t="n"/>
    </row>
    <row r="200" ht="21.75" customHeight="1" s="154">
      <c r="A200" s="238">
        <f>IF(AND(D200="",C200=""),"",197)</f>
        <v/>
      </c>
      <c r="B200" s="199" t="n"/>
      <c r="C200" s="239" t="n"/>
      <c r="D200" s="240" t="n"/>
      <c r="E200" s="241" t="n"/>
      <c r="F200" s="242" t="n"/>
      <c r="G200" s="243" t="n"/>
      <c r="H200" s="244" t="n"/>
      <c r="I200" s="245" t="n"/>
      <c r="J200" s="246" t="n"/>
      <c r="K200" s="246" t="n"/>
      <c r="L200" s="246" t="n"/>
      <c r="M200" s="246" t="n"/>
      <c r="N200" s="246" t="n"/>
      <c r="O200" s="246" t="n"/>
      <c r="P200" s="246" t="n"/>
      <c r="Q200" s="246" t="n"/>
      <c r="R200" s="246" t="n"/>
      <c r="S200" s="246" t="n"/>
      <c r="T200" s="246" t="n"/>
      <c r="U200" s="246" t="n"/>
      <c r="V200" s="247">
        <f>IF(C200="Gutschrift","",IF(G200="","",IF(Besatzung!$B$11="","",IFERROR(IF(I200="Zeitanteilig",(Besatzung!$G$11*(G200-IFERROR(H200,0))+((Besatzung!$B$11&lt;&gt;"")*IF(B200="",1,(IF(Besatzung!$C$11="",Besatzung!$B$5,Besatzung!$C$11)&lt;=B200)*(IF(Besatzung!$D$11="",Besatzung!$B$6,Besatzung!$D$11)&gt;=B200)))*(Besatzung!$F$11="x")*IFERROR(H200,0)/IFERROR(SUMPRODUCT((Besatzung!$B$11:$B$22&lt;&gt;"")*(Besatzung!$F$11:$F$22="x")*(IF(Besatzung!$C$11:$C$22="",Besatzung!$B$5,Besatzung!$C$11:$C$22)&lt;=B200)*(IF(Besatzung!$D$11:$D$22="",Besatzung!$B$6,Besatzung!$D$11:$D$22)&gt;=B200)),1)),IF(I200="An Bord",(((Besatzung!$B$11&lt;&gt;"")*IF(B200="",1,(IF(Besatzung!$C$11="",Besatzung!$B$5,Besatzung!$C$11)&lt;=B200)*(IF(Besatzung!$D$11="",Besatzung!$B$6,Besatzung!$D$11)&gt;=B200)))*((G200-IFERROR(H200,0))/IFERROR(SUMPRODUCT((Besatzung!$B$11:$B$22&lt;&gt;"")*(IF(Besatzung!$C$11:$C$22="",Besatzung!$B$5,Besatzung!$C$11:$C$22)&lt;=B200)*(IF(Besatzung!$D$11:$D$22="",Besatzung!$B$6,Besatzung!$D$11:$D$22)&gt;=B200)),1)+(Besatzung!$F$11="x")*IFERROR(H200,0)/IFERROR(SUMPRODUCT((Besatzung!$B$11:$B$22&lt;&gt;"")*(Besatzung!$F$11:$F$22="x")*(IF(Besatzung!$C$11:$C$22="",Besatzung!$B$5,Besatzung!$C$11:$C$22)&lt;=B200)*(IF(Besatzung!$D$11:$D$22="",Besatzung!$B$6,Besatzung!$D$11:$D$22)&gt;=B200)),1))),IF(I200="Individuell",((J200="x")*((G200-IFERROR(H200,0))/IFERROR(COUNTIF(J200:U200,"x"),1)+(Besatzung!$F$11="x")*IFERROR(H200,0)/IFERROR(SUMPRODUCT((J200:U200="x")*(Besatzung!$F$11:$F$22="x")),1))),(IF(COUNTIF(J200:U200,"x")=0,IF(Besatzung!$B$11&lt;&gt;"",1,0),(J200="x"))*(G200-IFERROR(H200,0))/IFERROR(IF(COUNTIF(J200:U200,"x")=0,COUNTA(Besatzung!$B$11:$B$22),COUNTIF(J200:U200,"x")),1)+IF(COUNTIF(J200:U200,"x")=0,(Besatzung!$F$11="x"),(J200="x")*(Besatzung!$F$11="x"))*IFERROR(H200,0)/IFERROR(IF(COUNTIF(J200:U200,"x")=0,SUMPRODUCT((Besatzung!$B$11:$B$22&lt;&gt;"")*(Besatzung!$F$11:$F$22="x")),SUMPRODUCT((J200:U200="x")*(Besatzung!$F$11:$F$22="x"))),1))))),0))))</f>
        <v/>
      </c>
      <c r="W200" s="247">
        <f>IF(C200="Gutschrift","",IF(G200="","",IF(Besatzung!$B$12="","",IFERROR(IF(I200="Zeitanteilig",(Besatzung!$G$12*(G200-IFERROR(H200,0))+((Besatzung!$B$12&lt;&gt;"")*IF(B200="",1,(IF(Besatzung!$C$12="",Besatzung!$B$5,Besatzung!$C$12)&lt;=B200)*(IF(Besatzung!$D$12="",Besatzung!$B$6,Besatzung!$D$12)&gt;=B200)))*(Besatzung!$F$12="x")*IFERROR(H200,0)/IFERROR(SUMPRODUCT((Besatzung!$B$11:$B$22&lt;&gt;"")*(Besatzung!$F$11:$F$22="x")*(IF(Besatzung!$C$11:$C$22="",Besatzung!$B$5,Besatzung!$C$11:$C$22)&lt;=B200)*(IF(Besatzung!$D$11:$D$22="",Besatzung!$B$6,Besatzung!$D$11:$D$22)&gt;=B200)),1)),IF(I200="An Bord",(((Besatzung!$B$12&lt;&gt;"")*IF(B200="",1,(IF(Besatzung!$C$12="",Besatzung!$B$5,Besatzung!$C$12)&lt;=B200)*(IF(Besatzung!$D$12="",Besatzung!$B$6,Besatzung!$D$12)&gt;=B200)))*((G200-IFERROR(H200,0))/IFERROR(SUMPRODUCT((Besatzung!$B$11:$B$22&lt;&gt;"")*(IF(Besatzung!$C$11:$C$22="",Besatzung!$B$5,Besatzung!$C$11:$C$22)&lt;=B200)*(IF(Besatzung!$D$11:$D$22="",Besatzung!$B$6,Besatzung!$D$11:$D$22)&gt;=B200)),1)+(Besatzung!$F$12="x")*IFERROR(H200,0)/IFERROR(SUMPRODUCT((Besatzung!$B$11:$B$22&lt;&gt;"")*(Besatzung!$F$11:$F$22="x")*(IF(Besatzung!$C$11:$C$22="",Besatzung!$B$5,Besatzung!$C$11:$C$22)&lt;=B200)*(IF(Besatzung!$D$11:$D$22="",Besatzung!$B$6,Besatzung!$D$11:$D$22)&gt;=B200)),1))),IF(I200="Individuell",((K200="x")*((G200-IFERROR(H200,0))/IFERROR(COUNTIF(J200:U200,"x"),1)+(Besatzung!$F$12="x")*IFERROR(H200,0)/IFERROR(SUMPRODUCT((J200:U200="x")*(Besatzung!$F$11:$F$22="x")),1))),(IF(COUNTIF(J200:U200,"x")=0,IF(Besatzung!$B$12&lt;&gt;"",1,0),(K200="x"))*(G200-IFERROR(H200,0))/IFERROR(IF(COUNTIF(J200:U200,"x")=0,COUNTA(Besatzung!$B$11:$B$22),COUNTIF(J200:U200,"x")),1)+IF(COUNTIF(J200:U200,"x")=0,(Besatzung!$F$12="x"),(K200="x")*(Besatzung!$F$12="x"))*IFERROR(H200,0)/IFERROR(IF(COUNTIF(J200:U200,"x")=0,SUMPRODUCT((Besatzung!$B$11:$B$22&lt;&gt;"")*(Besatzung!$F$11:$F$22="x")),SUMPRODUCT((J200:U200="x")*(Besatzung!$F$11:$F$22="x"))),1))))),0))))</f>
        <v/>
      </c>
      <c r="X200" s="247">
        <f>IF(C200="Gutschrift","",IF(G200="","",IF(Besatzung!$B$13="","",IFERROR(IF(I200="Zeitanteilig",(Besatzung!$G$13*(G200-IFERROR(H200,0))+((Besatzung!$B$13&lt;&gt;"")*IF(B200="",1,(IF(Besatzung!$C$13="",Besatzung!$B$5,Besatzung!$C$13)&lt;=B200)*(IF(Besatzung!$D$13="",Besatzung!$B$6,Besatzung!$D$13)&gt;=B200)))*(Besatzung!$F$13="x")*IFERROR(H200,0)/IFERROR(SUMPRODUCT((Besatzung!$B$11:$B$22&lt;&gt;"")*(Besatzung!$F$11:$F$22="x")*(IF(Besatzung!$C$11:$C$22="",Besatzung!$B$5,Besatzung!$C$11:$C$22)&lt;=B200)*(IF(Besatzung!$D$11:$D$22="",Besatzung!$B$6,Besatzung!$D$11:$D$22)&gt;=B200)),1)),IF(I200="An Bord",(((Besatzung!$B$13&lt;&gt;"")*IF(B200="",1,(IF(Besatzung!$C$13="",Besatzung!$B$5,Besatzung!$C$13)&lt;=B200)*(IF(Besatzung!$D$13="",Besatzung!$B$6,Besatzung!$D$13)&gt;=B200)))*((G200-IFERROR(H200,0))/IFERROR(SUMPRODUCT((Besatzung!$B$11:$B$22&lt;&gt;"")*(IF(Besatzung!$C$11:$C$22="",Besatzung!$B$5,Besatzung!$C$11:$C$22)&lt;=B200)*(IF(Besatzung!$D$11:$D$22="",Besatzung!$B$6,Besatzung!$D$11:$D$22)&gt;=B200)),1)+(Besatzung!$F$13="x")*IFERROR(H200,0)/IFERROR(SUMPRODUCT((Besatzung!$B$11:$B$22&lt;&gt;"")*(Besatzung!$F$11:$F$22="x")*(IF(Besatzung!$C$11:$C$22="",Besatzung!$B$5,Besatzung!$C$11:$C$22)&lt;=B200)*(IF(Besatzung!$D$11:$D$22="",Besatzung!$B$6,Besatzung!$D$11:$D$22)&gt;=B200)),1))),IF(I200="Individuell",((K200="x")*((G200-IFERROR(H200,0))/IFERROR(COUNTIF(J200:U200,"x"),1)+(Besatzung!$F$13="x")*IFERROR(H200,0)/IFERROR(SUMPRODUCT((J200:U200="x")*(Besatzung!$F$11:$F$22="x")),1))),(IF(COUNTIF(J200:U200,"x")=0,IF(Besatzung!$B$13&lt;&gt;"",1,0),(K200="x"))*(G200-IFERROR(H200,0))/IFERROR(IF(COUNTIF(J200:U200,"x")=0,COUNTA(Besatzung!$B$11:$B$22),COUNTIF(J200:U200,"x")),1)+IF(COUNTIF(J200:U200,"x")=0,(Besatzung!$F$13="x"),(K200="x")*(Besatzung!$F$13="x"))*IFERROR(H200,0)/IFERROR(IF(COUNTIF(J200:U200,"x")=0,SUMPRODUCT((Besatzung!$B$11:$B$22&lt;&gt;"")*(Besatzung!$F$11:$F$22="x")),SUMPRODUCT((J200:U200="x")*(Besatzung!$F$11:$F$22="x"))),1))))),0))))</f>
        <v/>
      </c>
      <c r="Y200" s="247">
        <f>IF(C200="Gutschrift","",IF(G200="","",IF(Besatzung!$B$14="","",IFERROR(IF(I200="Zeitanteilig",(Besatzung!$G$14*(G200-IFERROR(H200,0))+((Besatzung!$B$14&lt;&gt;"")*IF(B200="",1,(IF(Besatzung!$C$14="",Besatzung!$B$5,Besatzung!$C$14)&lt;=B200)*(IF(Besatzung!$D$14="",Besatzung!$B$6,Besatzung!$D$14)&gt;=B200)))*(Besatzung!$F$14="x")*IFERROR(H200,0)/IFERROR(SUMPRODUCT((Besatzung!$B$11:$B$22&lt;&gt;"")*(Besatzung!$F$11:$F$22="x")*(IF(Besatzung!$C$11:$C$22="",Besatzung!$B$5,Besatzung!$C$11:$C$22)&lt;=B200)*(IF(Besatzung!$D$11:$D$22="",Besatzung!$B$6,Besatzung!$D$11:$D$22)&gt;=B200)),1)),IF(I200="An Bord",(((Besatzung!$B$14&lt;&gt;"")*IF(B200="",1,(IF(Besatzung!$C$14="",Besatzung!$B$5,Besatzung!$C$14)&lt;=B200)*(IF(Besatzung!$D$14="",Besatzung!$B$6,Besatzung!$D$14)&gt;=B200)))*((G200-IFERROR(H200,0))/IFERROR(SUMPRODUCT((Besatzung!$B$11:$B$22&lt;&gt;"")*(IF(Besatzung!$C$11:$C$22="",Besatzung!$B$5,Besatzung!$C$11:$C$22)&lt;=B200)*(IF(Besatzung!$D$11:$D$22="",Besatzung!$B$6,Besatzung!$D$11:$D$22)&gt;=B200)),1)+(Besatzung!$F$14="x")*IFERROR(H200,0)/IFERROR(SUMPRODUCT((Besatzung!$B$11:$B$22&lt;&gt;"")*(Besatzung!$F$11:$F$22="x")*(IF(Besatzung!$C$11:$C$22="",Besatzung!$B$5,Besatzung!$C$11:$C$22)&lt;=B200)*(IF(Besatzung!$D$11:$D$22="",Besatzung!$B$6,Besatzung!$D$11:$D$22)&gt;=B200)),1))),IF(I200="Individuell",((M200="x")*((G200-IFERROR(H200,0))/IFERROR(COUNTIF(J200:U200,"x"),1)+(Besatzung!$F$14="x")*IFERROR(H200,0)/IFERROR(SUMPRODUCT((J200:U200="x")*(Besatzung!$F$11:$F$22="x")),1))),(IF(COUNTIF(J200:U200,"x")=0,IF(Besatzung!$B$14&lt;&gt;"",1,0),(M200="x"))*(G200-IFERROR(H200,0))/IFERROR(IF(COUNTIF(J200:U200,"x")=0,COUNTA(Besatzung!$B$11:$B$22),COUNTIF(J200:U200,"x")),1)+IF(COUNTIF(J200:U200,"x")=0,(Besatzung!$F$14="x"),(M200="x")*(Besatzung!$F$14="x"))*IFERROR(H200,0)/IFERROR(IF(COUNTIF(J200:U200,"x")=0,SUMPRODUCT((Besatzung!$B$11:$B$22&lt;&gt;"")*(Besatzung!$F$11:$F$22="x")),SUMPRODUCT((J200:U200="x")*(Besatzung!$F$11:$F$22="x"))),1))))),0))))</f>
        <v/>
      </c>
      <c r="Z200" s="247">
        <f>IF(C200="Gutschrift","",IF(G200="","",IF(Besatzung!$B$13="","",IFERROR(IF(I200="Zeitanteilig",(Besatzung!$G$15*(G200-IFERROR(H200,0))+((Besatzung!$B$13&lt;&gt;"")*IF(B200="",1,(IF(Besatzung!$C$15="",Besatzung!$B$5,Besatzung!$C$15)&lt;=B200)*(IF(Besatzung!$D$15="",Besatzung!$B$6,Besatzung!$D$15)&gt;=B200)))*(Besatzung!$F$15="x")*IFERROR(H200,0)/IFERROR(SUMPRODUCT((Besatzung!$B$11:$B$22&lt;&gt;"")*(Besatzung!$F$11:$F$22="x")*(IF(Besatzung!$C$11:$C$22="",Besatzung!$B$5,Besatzung!$C$11:$C$22)&lt;=B200)*(IF(Besatzung!$D$11:$D$22="",Besatzung!$B$6,Besatzung!$D$11:$D$22)&gt;=B200)),1)),IF(I200="An Bord",(((Besatzung!$B$13&lt;&gt;"")*IF(B200="",1,(IF(Besatzung!$C$15="",Besatzung!$B$5,Besatzung!$C$15)&lt;=B200)*(IF(Besatzung!$D$15="",Besatzung!$B$6,Besatzung!$D$15)&gt;=B200)))*((G200-IFERROR(H200,0))/IFERROR(SUMPRODUCT((Besatzung!$B$11:$B$22&lt;&gt;"")*(IF(Besatzung!$C$11:$C$22="",Besatzung!$B$5,Besatzung!$C$11:$C$22)&lt;=B200)*(IF(Besatzung!$D$11:$D$22="",Besatzung!$B$6,Besatzung!$D$11:$D$22)&gt;=B200)),1)+(Besatzung!$F$15="x")*IFERROR(H200,0)/IFERROR(SUMPRODUCT((Besatzung!$B$11:$B$22&lt;&gt;"")*(Besatzung!$F$11:$F$22="x")*(IF(Besatzung!$C$11:$C$22="",Besatzung!$B$5,Besatzung!$C$11:$C$22)&lt;=B200)*(IF(Besatzung!$D$11:$D$22="",Besatzung!$B$6,Besatzung!$D$11:$D$22)&gt;=B200)),1))),IF(I200="Individuell",((N200="x")*((G200-IFERROR(H200,0))/IFERROR(COUNTIF(J200:U200,"x"),1)+(Besatzung!$F$15="x")*IFERROR(H200,0)/IFERROR(SUMPRODUCT((J200:U200="x")*(Besatzung!$F$11:$F$22="x")),1))),(IF(COUNTIF(J200:U200,"x")=0,IF(Besatzung!$B$13&lt;&gt;"",1,0),(N200="x"))*(G200-IFERROR(H200,0))/IFERROR(IF(COUNTIF(J200:U200,"x")=0,COUNTA(Besatzung!$B$11:$B$22),COUNTIF(J200:U200,"x")),1)+IF(COUNTIF(J200:U200,"x")=0,(Besatzung!$F$15="x"),(N200="x")*(Besatzung!$F$15="x"))*IFERROR(H200,0)/IFERROR(IF(COUNTIF(J200:U200,"x")=0,SUMPRODUCT((Besatzung!$B$11:$B$22&lt;&gt;"")*(Besatzung!$F$11:$F$22="x")),SUMPRODUCT((J200:U200="x")*(Besatzung!$F$11:$F$22="x"))),1))))),0))))</f>
        <v/>
      </c>
      <c r="AA200" s="247">
        <f>IF(C200="Gutschrift","",IF(G200="","",IF(Besatzung!$B$15="","",IFERROR(IF(I200="Zeitanteilig",(Besatzung!$G$16*(G200-IFERROR(H200,0))+((Besatzung!$B$15&lt;&gt;"")*IF(B200="",1,(IF(Besatzung!$C$16="",Besatzung!$B$5,Besatzung!$C$16)&lt;=B200)*(IF(Besatzung!$D$16="",Besatzung!$B$6,Besatzung!$D$16)&gt;=B200)))*(Besatzung!$F$16="x")*IFERROR(H200,0)/IFERROR(SUMPRODUCT((Besatzung!$B$11:$B$22&lt;&gt;"")*(Besatzung!$F$11:$F$22="x")*(IF(Besatzung!$C$11:$C$22="",Besatzung!$B$5,Besatzung!$C$11:$C$22)&lt;=B200)*(IF(Besatzung!$D$11:$D$22="",Besatzung!$B$6,Besatzung!$D$11:$D$22)&gt;=B200)),1)),IF(I200="An Bord",(((Besatzung!$B$15&lt;&gt;"")*IF(B200="",1,(IF(Besatzung!$C$16="",Besatzung!$B$5,Besatzung!$C$16)&lt;=B200)*(IF(Besatzung!$D$16="",Besatzung!$B$6,Besatzung!$D$16)&gt;=B200)))*((G200-IFERROR(H200,0))/IFERROR(SUMPRODUCT((Besatzung!$B$11:$B$22&lt;&gt;"")*(IF(Besatzung!$C$11:$C$22="",Besatzung!$B$5,Besatzung!$C$11:$C$22)&lt;=B200)*(IF(Besatzung!$D$11:$D$22="",Besatzung!$B$6,Besatzung!$D$11:$D$22)&gt;=B200)),1)+(Besatzung!$F$16="x")*IFERROR(H200,0)/IFERROR(SUMPRODUCT((Besatzung!$B$11:$B$22&lt;&gt;"")*(Besatzung!$F$11:$F$22="x")*(IF(Besatzung!$C$11:$C$22="",Besatzung!$B$5,Besatzung!$C$11:$C$22)&lt;=B200)*(IF(Besatzung!$D$11:$D$22="",Besatzung!$B$6,Besatzung!$D$11:$D$22)&gt;=B200)),1))),IF(I200="Individuell",((O200="x")*((G200-IFERROR(H200,0))/IFERROR(COUNTIF(J200:U200,"x"),1)+(Besatzung!$F$16="x")*IFERROR(H200,0)/IFERROR(SUMPRODUCT((J200:U200="x")*(Besatzung!$F$11:$F$22="x")),1))),(IF(COUNTIF(J200:U200,"x")=0,IF(Besatzung!$B$15&lt;&gt;"",1,0),(O200="x"))*(G200-IFERROR(H200,0))/IFERROR(IF(COUNTIF(J200:U200,"x")=0,COUNTA(Besatzung!$B$11:$B$22),COUNTIF(J200:U200,"x")),1)+IF(COUNTIF(J200:U200,"x")=0,(Besatzung!$F$16="x"),(O200="x")*(Besatzung!$F$16="x"))*IFERROR(H200,0)/IFERROR(IF(COUNTIF(J200:U200,"x")=0,SUMPRODUCT((Besatzung!$B$11:$B$22&lt;&gt;"")*(Besatzung!$F$11:$F$22="x")),SUMPRODUCT((J200:U200="x")*(Besatzung!$F$11:$F$22="x"))),1))))),0))))</f>
        <v/>
      </c>
      <c r="AB200" s="247">
        <f>IF(C200="Gutschrift","",IF(G200="","",IF(Besatzung!$B$17="","",IFERROR(IF(I200="Zeitanteilig",(Besatzung!$G$17*(G200-IFERROR(H200,0))+((Besatzung!$B$17&lt;&gt;"")*IF(B200="",1,(IF(Besatzung!$C$17="",Besatzung!$B$5,Besatzung!$C$17)&lt;=B200)*(IF(Besatzung!$D$17="",Besatzung!$B$6,Besatzung!$D$17)&gt;=B200)))*(Besatzung!$F$17="x")*IFERROR(H200,0)/IFERROR(SUMPRODUCT((Besatzung!$B$11:$B$22&lt;&gt;"")*(Besatzung!$F$11:$F$22="x")*(IF(Besatzung!$C$11:$C$22="",Besatzung!$B$5,Besatzung!$C$11:$C$22)&lt;=B200)*(IF(Besatzung!$D$11:$D$22="",Besatzung!$B$6,Besatzung!$D$11:$D$22)&gt;=B200)),1)),IF(I200="An Bord",(((Besatzung!$B$17&lt;&gt;"")*IF(B200="",1,(IF(Besatzung!$C$17="",Besatzung!$B$5,Besatzung!$C$17)&lt;=B200)*(IF(Besatzung!$D$17="",Besatzung!$B$6,Besatzung!$D$17)&gt;=B200)))*((G200-IFERROR(H200,0))/IFERROR(SUMPRODUCT((Besatzung!$B$11:$B$22&lt;&gt;"")*(IF(Besatzung!$C$11:$C$22="",Besatzung!$B$5,Besatzung!$C$11:$C$22)&lt;=B200)*(IF(Besatzung!$D$11:$D$22="",Besatzung!$B$6,Besatzung!$D$11:$D$22)&gt;=B200)),1)+(Besatzung!$F$17="x")*IFERROR(H200,0)/IFERROR(SUMPRODUCT((Besatzung!$B$11:$B$22&lt;&gt;"")*(Besatzung!$F$11:$F$22="x")*(IF(Besatzung!$C$11:$C$22="",Besatzung!$B$5,Besatzung!$C$11:$C$22)&lt;=B200)*(IF(Besatzung!$D$11:$D$22="",Besatzung!$B$6,Besatzung!$D$11:$D$22)&gt;=B200)),1))),IF(I200="Individuell",((P200="x")*((G200-IFERROR(H200,0))/IFERROR(COUNTIF(J200:U200,"x"),1)+(Besatzung!$F$17="x")*IFERROR(H200,0)/IFERROR(SUMPRODUCT((J200:U200="x")*(Besatzung!$F$11:$F$22="x")),1))),(IF(COUNTIF(J200:U200,"x")=0,IF(Besatzung!$B$17&lt;&gt;"",1,0),(P200="x"))*(G200-IFERROR(H200,0))/IFERROR(IF(COUNTIF(J200:U200,"x")=0,COUNTA(Besatzung!$B$11:$B$22),COUNTIF(J200:U200,"x")),1)+IF(COUNTIF(J200:U200,"x")=0,(Besatzung!$F$17="x"),(P200="x")*(Besatzung!$F$17="x"))*IFERROR(H200,0)/IFERROR(IF(COUNTIF(J200:U200,"x")=0,SUMPRODUCT((Besatzung!$B$11:$B$22&lt;&gt;"")*(Besatzung!$F$11:$F$22="x")),SUMPRODUCT((J200:U200="x")*(Besatzung!$F$11:$F$22="x"))),1))))),0))))</f>
        <v/>
      </c>
      <c r="AC200" s="247">
        <f>IF(C200="Gutschrift","",IF(G200="","",IF(Besatzung!$B$18="","",IFERROR(IF(I200="Zeitanteilig",(Besatzung!$G$18*(G200-IFERROR(H200,0))+((Besatzung!$B$18&lt;&gt;"")*IF(B200="",1,(IF(Besatzung!$C$18="",Besatzung!$B$5,Besatzung!$C$18)&lt;=B200)*(IF(Besatzung!$D$18="",Besatzung!$B$6,Besatzung!$D$18)&gt;=B200)))*(Besatzung!$F$18="x")*IFERROR(H200,0)/IFERROR(SUMPRODUCT((Besatzung!$B$11:$B$22&lt;&gt;"")*(Besatzung!$F$11:$F$22="x")*(IF(Besatzung!$C$11:$C$22="",Besatzung!$B$5,Besatzung!$C$11:$C$22)&lt;=B200)*(IF(Besatzung!$D$11:$D$22="",Besatzung!$B$6,Besatzung!$D$11:$D$22)&gt;=B200)),1)),IF(I200="An Bord",(((Besatzung!$B$18&lt;&gt;"")*IF(B200="",1,(IF(Besatzung!$C$18="",Besatzung!$B$5,Besatzung!$C$18)&lt;=B200)*(IF(Besatzung!$D$18="",Besatzung!$B$6,Besatzung!$D$18)&gt;=B200)))*((G200-IFERROR(H200,0))/IFERROR(SUMPRODUCT((Besatzung!$B$11:$B$22&lt;&gt;"")*(IF(Besatzung!$C$11:$C$22="",Besatzung!$B$5,Besatzung!$C$11:$C$22)&lt;=B200)*(IF(Besatzung!$D$11:$D$22="",Besatzung!$B$6,Besatzung!$D$11:$D$22)&gt;=B200)),1)+(Besatzung!$F$18="x")*IFERROR(H200,0)/IFERROR(SUMPRODUCT((Besatzung!$B$11:$B$22&lt;&gt;"")*(Besatzung!$F$11:$F$22="x")*(IF(Besatzung!$C$11:$C$22="",Besatzung!$B$5,Besatzung!$C$11:$C$22)&lt;=B200)*(IF(Besatzung!$D$11:$D$22="",Besatzung!$B$6,Besatzung!$D$11:$D$22)&gt;=B200)),1))),IF(I200="Individuell",((Q200="x")*((G200-IFERROR(H200,0))/IFERROR(COUNTIF(J200:U200,"x"),1)+(Besatzung!$F$18="x")*IFERROR(H200,0)/IFERROR(SUMPRODUCT((J200:U200="x")*(Besatzung!$F$11:$F$22="x")),1))),(IF(COUNTIF(J200:U200,"x")=0,IF(Besatzung!$B$18&lt;&gt;"",1,0),(Q200="x"))*(G200-IFERROR(H200,0))/IFERROR(IF(COUNTIF(J200:U200,"x")=0,COUNTA(Besatzung!$B$11:$B$22),COUNTIF(J200:U200,"x")),1)+IF(COUNTIF(J200:U200,"x")=0,(Besatzung!$F$18="x"),(Q200="x")*(Besatzung!$F$18="x"))*IFERROR(H200,0)/IFERROR(IF(COUNTIF(J200:U200,"x")=0,SUMPRODUCT((Besatzung!$B$11:$B$22&lt;&gt;"")*(Besatzung!$F$11:$F$22="x")),SUMPRODUCT((J200:U200="x")*(Besatzung!$F$11:$F$22="x"))),1))))),0))))</f>
        <v/>
      </c>
      <c r="AD200" s="247">
        <f>IF(C200="Gutschrift","",IF(G200="","",IF(Besatzung!$B$19="","",IFERROR(IF(I200="Zeitanteilig",(Besatzung!$G$19*(G200-IFERROR(H200,0))+((Besatzung!$B$19&lt;&gt;"")*IF(B200="",1,(IF(Besatzung!$C$19="",Besatzung!$B$5,Besatzung!$C$19)&lt;=B200)*(IF(Besatzung!$D$19="",Besatzung!$B$6,Besatzung!$D$19)&gt;=B200)))*(Besatzung!$F$19="x")*IFERROR(H200,0)/IFERROR(SUMPRODUCT((Besatzung!$B$11:$B$22&lt;&gt;"")*(Besatzung!$F$11:$F$22="x")*(IF(Besatzung!$C$11:$C$22="",Besatzung!$B$5,Besatzung!$C$11:$C$22)&lt;=B200)*(IF(Besatzung!$D$11:$D$22="",Besatzung!$B$6,Besatzung!$D$11:$D$22)&gt;=B200)),1)),IF(I200="An Bord",(((Besatzung!$B$19&lt;&gt;"")*IF(B200="",1,(IF(Besatzung!$C$19="",Besatzung!$B$5,Besatzung!$C$19)&lt;=B200)*(IF(Besatzung!$D$19="",Besatzung!$B$6,Besatzung!$D$19)&gt;=B200)))*((G200-IFERROR(H200,0))/IFERROR(SUMPRODUCT((Besatzung!$B$11:$B$22&lt;&gt;"")*(IF(Besatzung!$C$11:$C$22="",Besatzung!$B$5,Besatzung!$C$11:$C$22)&lt;=B200)*(IF(Besatzung!$D$11:$D$22="",Besatzung!$B$6,Besatzung!$D$11:$D$22)&gt;=B200)),1)+(Besatzung!$F$19="x")*IFERROR(H200,0)/IFERROR(SUMPRODUCT((Besatzung!$B$11:$B$22&lt;&gt;"")*(Besatzung!$F$11:$F$22="x")*(IF(Besatzung!$C$11:$C$22="",Besatzung!$B$5,Besatzung!$C$11:$C$22)&lt;=B200)*(IF(Besatzung!$D$11:$D$22="",Besatzung!$B$6,Besatzung!$D$11:$D$22)&gt;=B200)),1))),IF(I200="Individuell",((R200="x")*((G200-IFERROR(H200,0))/IFERROR(COUNTIF(J200:U200,"x"),1)+(Besatzung!$F$19="x")*IFERROR(H200,0)/IFERROR(SUMPRODUCT((J200:U200="x")*(Besatzung!$F$11:$F$22="x")),1))),(IF(COUNTIF(J200:U200,"x")=0,IF(Besatzung!$B$19&lt;&gt;"",1,0),(R200="x"))*(G200-IFERROR(H200,0))/IFERROR(IF(COUNTIF(J200:U200,"x")=0,COUNTA(Besatzung!$B$11:$B$22),COUNTIF(J200:U200,"x")),1)+IF(COUNTIF(J200:U200,"x")=0,(Besatzung!$F$19="x"),(R200="x")*(Besatzung!$F$19="x"))*IFERROR(H200,0)/IFERROR(IF(COUNTIF(J200:U200,"x")=0,SUMPRODUCT((Besatzung!$B$11:$B$22&lt;&gt;"")*(Besatzung!$F$11:$F$22="x")),SUMPRODUCT((J200:U200="x")*(Besatzung!$F$11:$F$22="x"))),1))))),0))))</f>
        <v/>
      </c>
      <c r="AE200" s="247">
        <f>IF(C200="Gutschrift","",IF(G200="","",IF(Besatzung!$B$20="","",IFERROR(IF(I200="Zeitanteilig",(Besatzung!$G$20*(G200-IFERROR(H200,0))+((Besatzung!$B$20&lt;&gt;"")*IF(B200="",1,(IF(Besatzung!$C$20="",Besatzung!$B$5,Besatzung!$C$20)&lt;=B200)*(IF(Besatzung!$D$20="",Besatzung!$B$6,Besatzung!$D$20)&gt;=B200)))*(Besatzung!$F$20="x")*IFERROR(H200,0)/IFERROR(SUMPRODUCT((Besatzung!$B$11:$B$22&lt;&gt;"")*(Besatzung!$F$11:$F$22="x")*(IF(Besatzung!$C$11:$C$22="",Besatzung!$B$5,Besatzung!$C$11:$C$22)&lt;=B200)*(IF(Besatzung!$D$11:$D$22="",Besatzung!$B$6,Besatzung!$D$11:$D$22)&gt;=B200)),1)),IF(I200="An Bord",(((Besatzung!$B$20&lt;&gt;"")*IF(B200="",1,(IF(Besatzung!$C$20="",Besatzung!$B$5,Besatzung!$C$20)&lt;=B200)*(IF(Besatzung!$D$20="",Besatzung!$B$6,Besatzung!$D$20)&gt;=B200)))*((G200-IFERROR(H200,0))/IFERROR(SUMPRODUCT((Besatzung!$B$11:$B$22&lt;&gt;"")*(IF(Besatzung!$C$11:$C$22="",Besatzung!$B$5,Besatzung!$C$11:$C$22)&lt;=B200)*(IF(Besatzung!$D$11:$D$22="",Besatzung!$B$6,Besatzung!$D$11:$D$22)&gt;=B200)),1)+(Besatzung!$F$20="x")*IFERROR(H200,0)/IFERROR(SUMPRODUCT((Besatzung!$B$11:$B$22&lt;&gt;"")*(Besatzung!$F$11:$F$22="x")*(IF(Besatzung!$C$11:$C$22="",Besatzung!$B$5,Besatzung!$C$11:$C$22)&lt;=B200)*(IF(Besatzung!$D$11:$D$22="",Besatzung!$B$6,Besatzung!$D$11:$D$22)&gt;=B200)),1))),IF(I200="Individuell",((S200="x")*((G200-IFERROR(H200,0))/IFERROR(COUNTIF(J200:U200,"x"),1)+(Besatzung!$F$20="x")*IFERROR(H200,0)/IFERROR(SUMPRODUCT((J200:U200="x")*(Besatzung!$F$11:$F$22="x")),1))),(IF(COUNTIF(J200:U200,"x")=0,IF(Besatzung!$B$20&lt;&gt;"",1,0),(S200="x"))*(G200-IFERROR(H200,0))/IFERROR(IF(COUNTIF(J200:U200,"x")=0,COUNTA(Besatzung!$B$11:$B$22),COUNTIF(J200:U200,"x")),1)+IF(COUNTIF(J200:U200,"x")=0,(Besatzung!$F$20="x"),(S200="x")*(Besatzung!$F$20="x"))*IFERROR(H200,0)/IFERROR(IF(COUNTIF(J200:U200,"x")=0,SUMPRODUCT((Besatzung!$B$11:$B$22&lt;&gt;"")*(Besatzung!$F$11:$F$22="x")),SUMPRODUCT((J200:U200="x")*(Besatzung!$F$11:$F$22="x"))),1))))),0))))</f>
        <v/>
      </c>
      <c r="AF200" s="247">
        <f>IF(C200="Gutschrift","",IF(G200="","",IF(Besatzung!$B$21="","",IFERROR(IF(I200="Zeitanteilig",(Besatzung!$G$21*(G200-IFERROR(H200,0))+((Besatzung!$B$21&lt;&gt;"")*IF(B200="",1,(IF(Besatzung!$C$21="",Besatzung!$B$5,Besatzung!$C$21)&lt;=B200)*(IF(Besatzung!$D$21="",Besatzung!$B$6,Besatzung!$D$21)&gt;=B200)))*(Besatzung!$F$21="x")*IFERROR(H200,0)/IFERROR(SUMPRODUCT((Besatzung!$B$11:$B$22&lt;&gt;"")*(Besatzung!$F$11:$F$22="x")*(IF(Besatzung!$C$11:$C$22="",Besatzung!$B$5,Besatzung!$C$11:$C$22)&lt;=B200)*(IF(Besatzung!$D$11:$D$22="",Besatzung!$B$6,Besatzung!$D$11:$D$22)&gt;=B200)),1)),IF(I200="An Bord",(((Besatzung!$B$21&lt;&gt;"")*IF(B200="",1,(IF(Besatzung!$C$21="",Besatzung!$B$5,Besatzung!$C$21)&lt;=B200)*(IF(Besatzung!$D$21="",Besatzung!$B$6,Besatzung!$D$21)&gt;=B200)))*((G200-IFERROR(H200,0))/IFERROR(SUMPRODUCT((Besatzung!$B$11:$B$22&lt;&gt;"")*(IF(Besatzung!$C$11:$C$22="",Besatzung!$B$5,Besatzung!$C$11:$C$22)&lt;=B200)*(IF(Besatzung!$D$11:$D$22="",Besatzung!$B$6,Besatzung!$D$11:$D$22)&gt;=B200)),1)+(Besatzung!$F$21="x")*IFERROR(H200,0)/IFERROR(SUMPRODUCT((Besatzung!$B$11:$B$22&lt;&gt;"")*(Besatzung!$F$11:$F$22="x")*(IF(Besatzung!$C$11:$C$22="",Besatzung!$B$5,Besatzung!$C$11:$C$22)&lt;=B200)*(IF(Besatzung!$D$11:$D$22="",Besatzung!$B$6,Besatzung!$D$11:$D$22)&gt;=B200)),1))),IF(I200="Individuell",((T200="x")*((G200-IFERROR(H200,0))/IFERROR(COUNTIF(J200:U200,"x"),1)+(Besatzung!$F$21="x")*IFERROR(H200,0)/IFERROR(SUMPRODUCT((J200:U200="x")*(Besatzung!$F$11:$F$22="x")),1))),(IF(COUNTIF(J200:U200,"x")=0,IF(Besatzung!$B$21&lt;&gt;"",1,0),(T200="x"))*(G200-IFERROR(H200,0))/IFERROR(IF(COUNTIF(J200:U200,"x")=0,COUNTA(Besatzung!$B$11:$B$22),COUNTIF(J200:U200,"x")),1)+IF(COUNTIF(J200:U200,"x")=0,(Besatzung!$F$21="x"),(T200="x")*(Besatzung!$F$21="x"))*IFERROR(H200,0)/IFERROR(IF(COUNTIF(J200:U200,"x")=0,SUMPRODUCT((Besatzung!$B$11:$B$22&lt;&gt;"")*(Besatzung!$F$11:$F$22="x")),SUMPRODUCT((J200:U200="x")*(Besatzung!$F$11:$F$22="x"))),1))))),0))))</f>
        <v/>
      </c>
      <c r="AG200" s="247">
        <f>IF(C200="Gutschrift","",IF(G200="","",IF(Besatzung!$B$22="","",IFERROR(IF(I200="Zeitanteilig",(Besatzung!$G$22*(G200-IFERROR(H200,0))+((Besatzung!$B$22&lt;&gt;"")*IF(B200="",1,(IF(Besatzung!$C$22="",Besatzung!$B$5,Besatzung!$C$22)&lt;=B200)*(IF(Besatzung!$D$22="",Besatzung!$B$6,Besatzung!$D$22)&gt;=B200)))*(Besatzung!$F$22="x")*IFERROR(H200,0)/IFERROR(SUMPRODUCT((Besatzung!$B$11:$B$22&lt;&gt;"")*(Besatzung!$F$11:$F$22="x")*(IF(Besatzung!$C$11:$C$22="",Besatzung!$B$5,Besatzung!$C$11:$C$22)&lt;=B200)*(IF(Besatzung!$D$11:$D$22="",Besatzung!$B$6,Besatzung!$D$11:$D$22)&gt;=B200)),1)),IF(I200="An Bord",(((Besatzung!$B$22&lt;&gt;"")*IF(B200="",1,(IF(Besatzung!$C$22="",Besatzung!$B$5,Besatzung!$C$22)&lt;=B200)*(IF(Besatzung!$D$22="",Besatzung!$B$6,Besatzung!$D$22)&gt;=B200)))*((G200-IFERROR(H200,0))/IFERROR(SUMPRODUCT((Besatzung!$B$11:$B$22&lt;&gt;"")*(IF(Besatzung!$C$11:$C$22="",Besatzung!$B$5,Besatzung!$C$11:$C$22)&lt;=B200)*(IF(Besatzung!$D$11:$D$22="",Besatzung!$B$6,Besatzung!$D$11:$D$22)&gt;=B200)),1)+(Besatzung!$F$22="x")*IFERROR(H200,0)/IFERROR(SUMPRODUCT((Besatzung!$B$11:$B$22&lt;&gt;"")*(Besatzung!$F$11:$F$22="x")*(IF(Besatzung!$C$11:$C$22="",Besatzung!$B$5,Besatzung!$C$11:$C$22)&lt;=B200)*(IF(Besatzung!$D$11:$D$22="",Besatzung!$B$6,Besatzung!$D$11:$D$22)&gt;=B200)),1))),IF(I200="Individuell",((U200="x")*((G200-IFERROR(H200,0))/IFERROR(COUNTIF(J200:U200,"x"),1)+(Besatzung!$F$22="x")*IFERROR(H200,0)/IFERROR(SUMPRODUCT((J200:U200="x")*(Besatzung!$F$11:$F$22="x")),1))),(IF(COUNTIF(J200:U200,"x")=0,IF(Besatzung!$B$22&lt;&gt;"",1,0),(U200="x"))*(G200-IFERROR(H200,0))/IFERROR(IF(COUNTIF(J200:U200,"x")=0,COUNTA(Besatzung!$B$11:$B$22),COUNTIF(J200:U200,"x")),1)+IF(COUNTIF(J200:U200,"x")=0,(Besatzung!$F$22="x"),(U200="x")*(Besatzung!$F$22="x"))*IFERROR(H200,0)/IFERROR(IF(COUNTIF(J200:U200,"x")=0,SUMPRODUCT((Besatzung!$B$11:$B$22&lt;&gt;"")*(Besatzung!$F$11:$F$22="x")),SUMPRODUCT((J200:U200="x")*(Besatzung!$F$11:$F$22="x"))),1))))),0))))</f>
        <v/>
      </c>
      <c r="AH200" s="248" t="n"/>
      <c r="AI200" s="248" t="n"/>
    </row>
    <row r="201" ht="21.75" customHeight="1" s="154">
      <c r="A201" s="238">
        <f>IF(AND(D201="",C201=""),"",198)</f>
        <v/>
      </c>
      <c r="B201" s="206" t="n"/>
      <c r="C201" s="249" t="n"/>
      <c r="D201" s="250" t="n"/>
      <c r="E201" s="251" t="n"/>
      <c r="F201" s="252" t="n"/>
      <c r="G201" s="253" t="n"/>
      <c r="H201" s="254" t="n"/>
      <c r="I201" s="255" t="n"/>
      <c r="J201" s="256" t="n"/>
      <c r="K201" s="256" t="n"/>
      <c r="L201" s="256" t="n"/>
      <c r="M201" s="256" t="n"/>
      <c r="N201" s="256" t="n"/>
      <c r="O201" s="256" t="n"/>
      <c r="P201" s="256" t="n"/>
      <c r="Q201" s="256" t="n"/>
      <c r="R201" s="256" t="n"/>
      <c r="S201" s="256" t="n"/>
      <c r="T201" s="256" t="n"/>
      <c r="U201" s="256" t="n"/>
      <c r="V201" s="247">
        <f>IF(C201="Gutschrift","",IF(G201="","",IF(Besatzung!$B$11="","",IFERROR(IF(I201="Zeitanteilig",(Besatzung!$G$11*(G201-IFERROR(H201,0))+((Besatzung!$B$11&lt;&gt;"")*IF(B201="",1,(IF(Besatzung!$C$11="",Besatzung!$B$5,Besatzung!$C$11)&lt;=B201)*(IF(Besatzung!$D$11="",Besatzung!$B$6,Besatzung!$D$11)&gt;=B201)))*(Besatzung!$F$11="x")*IFERROR(H201,0)/IFERROR(SUMPRODUCT((Besatzung!$B$11:$B$22&lt;&gt;"")*(Besatzung!$F$11:$F$22="x")*(IF(Besatzung!$C$11:$C$22="",Besatzung!$B$5,Besatzung!$C$11:$C$22)&lt;=B201)*(IF(Besatzung!$D$11:$D$22="",Besatzung!$B$6,Besatzung!$D$11:$D$22)&gt;=B201)),1)),IF(I201="An Bord",(((Besatzung!$B$11&lt;&gt;"")*IF(B201="",1,(IF(Besatzung!$C$11="",Besatzung!$B$5,Besatzung!$C$11)&lt;=B201)*(IF(Besatzung!$D$11="",Besatzung!$B$6,Besatzung!$D$11)&gt;=B201)))*((G201-IFERROR(H201,0))/IFERROR(SUMPRODUCT((Besatzung!$B$11:$B$22&lt;&gt;"")*(IF(Besatzung!$C$11:$C$22="",Besatzung!$B$5,Besatzung!$C$11:$C$22)&lt;=B201)*(IF(Besatzung!$D$11:$D$22="",Besatzung!$B$6,Besatzung!$D$11:$D$22)&gt;=B201)),1)+(Besatzung!$F$11="x")*IFERROR(H201,0)/IFERROR(SUMPRODUCT((Besatzung!$B$11:$B$22&lt;&gt;"")*(Besatzung!$F$11:$F$22="x")*(IF(Besatzung!$C$11:$C$22="",Besatzung!$B$5,Besatzung!$C$11:$C$22)&lt;=B201)*(IF(Besatzung!$D$11:$D$22="",Besatzung!$B$6,Besatzung!$D$11:$D$22)&gt;=B201)),1))),IF(I201="Individuell",((J201="x")*((G201-IFERROR(H201,0))/IFERROR(COUNTIF(J201:U201,"x"),1)+(Besatzung!$F$11="x")*IFERROR(H201,0)/IFERROR(SUMPRODUCT((J201:U201="x")*(Besatzung!$F$11:$F$22="x")),1))),(IF(COUNTIF(J201:U201,"x")=0,IF(Besatzung!$B$11&lt;&gt;"",1,0),(J201="x"))*(G201-IFERROR(H201,0))/IFERROR(IF(COUNTIF(J201:U201,"x")=0,COUNTA(Besatzung!$B$11:$B$22),COUNTIF(J201:U201,"x")),1)+IF(COUNTIF(J201:U201,"x")=0,(Besatzung!$F$11="x"),(J201="x")*(Besatzung!$F$11="x"))*IFERROR(H201,0)/IFERROR(IF(COUNTIF(J201:U201,"x")=0,SUMPRODUCT((Besatzung!$B$11:$B$22&lt;&gt;"")*(Besatzung!$F$11:$F$22="x")),SUMPRODUCT((J201:U201="x")*(Besatzung!$F$11:$F$22="x"))),1))))),0))))</f>
        <v/>
      </c>
      <c r="W201" s="247">
        <f>IF(C201="Gutschrift","",IF(G201="","",IF(Besatzung!$B$12="","",IFERROR(IF(I201="Zeitanteilig",(Besatzung!$G$12*(G201-IFERROR(H201,0))+((Besatzung!$B$12&lt;&gt;"")*IF(B201="",1,(IF(Besatzung!$C$12="",Besatzung!$B$5,Besatzung!$C$12)&lt;=B201)*(IF(Besatzung!$D$12="",Besatzung!$B$6,Besatzung!$D$12)&gt;=B201)))*(Besatzung!$F$12="x")*IFERROR(H201,0)/IFERROR(SUMPRODUCT((Besatzung!$B$11:$B$22&lt;&gt;"")*(Besatzung!$F$11:$F$22="x")*(IF(Besatzung!$C$11:$C$22="",Besatzung!$B$5,Besatzung!$C$11:$C$22)&lt;=B201)*(IF(Besatzung!$D$11:$D$22="",Besatzung!$B$6,Besatzung!$D$11:$D$22)&gt;=B201)),1)),IF(I201="An Bord",(((Besatzung!$B$12&lt;&gt;"")*IF(B201="",1,(IF(Besatzung!$C$12="",Besatzung!$B$5,Besatzung!$C$12)&lt;=B201)*(IF(Besatzung!$D$12="",Besatzung!$B$6,Besatzung!$D$12)&gt;=B201)))*((G201-IFERROR(H201,0))/IFERROR(SUMPRODUCT((Besatzung!$B$11:$B$22&lt;&gt;"")*(IF(Besatzung!$C$11:$C$22="",Besatzung!$B$5,Besatzung!$C$11:$C$22)&lt;=B201)*(IF(Besatzung!$D$11:$D$22="",Besatzung!$B$6,Besatzung!$D$11:$D$22)&gt;=B201)),1)+(Besatzung!$F$12="x")*IFERROR(H201,0)/IFERROR(SUMPRODUCT((Besatzung!$B$11:$B$22&lt;&gt;"")*(Besatzung!$F$11:$F$22="x")*(IF(Besatzung!$C$11:$C$22="",Besatzung!$B$5,Besatzung!$C$11:$C$22)&lt;=B201)*(IF(Besatzung!$D$11:$D$22="",Besatzung!$B$6,Besatzung!$D$11:$D$22)&gt;=B201)),1))),IF(I201="Individuell",((K201="x")*((G201-IFERROR(H201,0))/IFERROR(COUNTIF(J201:U201,"x"),1)+(Besatzung!$F$12="x")*IFERROR(H201,0)/IFERROR(SUMPRODUCT((J201:U201="x")*(Besatzung!$F$11:$F$22="x")),1))),(IF(COUNTIF(J201:U201,"x")=0,IF(Besatzung!$B$12&lt;&gt;"",1,0),(K201="x"))*(G201-IFERROR(H201,0))/IFERROR(IF(COUNTIF(J201:U201,"x")=0,COUNTA(Besatzung!$B$11:$B$22),COUNTIF(J201:U201,"x")),1)+IF(COUNTIF(J201:U201,"x")=0,(Besatzung!$F$12="x"),(K201="x")*(Besatzung!$F$12="x"))*IFERROR(H201,0)/IFERROR(IF(COUNTIF(J201:U201,"x")=0,SUMPRODUCT((Besatzung!$B$11:$B$22&lt;&gt;"")*(Besatzung!$F$11:$F$22="x")),SUMPRODUCT((J201:U201="x")*(Besatzung!$F$11:$F$22="x"))),1))))),0))))</f>
        <v/>
      </c>
      <c r="X201" s="247">
        <f>IF(C201="Gutschrift","",IF(G201="","",IF(Besatzung!$B$13="","",IFERROR(IF(I201="Zeitanteilig",(Besatzung!$G$13*(G201-IFERROR(H201,0))+((Besatzung!$B$13&lt;&gt;"")*IF(B201="",1,(IF(Besatzung!$C$13="",Besatzung!$B$5,Besatzung!$C$13)&lt;=B201)*(IF(Besatzung!$D$13="",Besatzung!$B$6,Besatzung!$D$13)&gt;=B201)))*(Besatzung!$F$13="x")*IFERROR(H201,0)/IFERROR(SUMPRODUCT((Besatzung!$B$11:$B$22&lt;&gt;"")*(Besatzung!$F$11:$F$22="x")*(IF(Besatzung!$C$11:$C$22="",Besatzung!$B$5,Besatzung!$C$11:$C$22)&lt;=B201)*(IF(Besatzung!$D$11:$D$22="",Besatzung!$B$6,Besatzung!$D$11:$D$22)&gt;=B201)),1)),IF(I201="An Bord",(((Besatzung!$B$13&lt;&gt;"")*IF(B201="",1,(IF(Besatzung!$C$13="",Besatzung!$B$5,Besatzung!$C$13)&lt;=B201)*(IF(Besatzung!$D$13="",Besatzung!$B$6,Besatzung!$D$13)&gt;=B201)))*((G201-IFERROR(H201,0))/IFERROR(SUMPRODUCT((Besatzung!$B$11:$B$22&lt;&gt;"")*(IF(Besatzung!$C$11:$C$22="",Besatzung!$B$5,Besatzung!$C$11:$C$22)&lt;=B201)*(IF(Besatzung!$D$11:$D$22="",Besatzung!$B$6,Besatzung!$D$11:$D$22)&gt;=B201)),1)+(Besatzung!$F$13="x")*IFERROR(H201,0)/IFERROR(SUMPRODUCT((Besatzung!$B$11:$B$22&lt;&gt;"")*(Besatzung!$F$11:$F$22="x")*(IF(Besatzung!$C$11:$C$22="",Besatzung!$B$5,Besatzung!$C$11:$C$22)&lt;=B201)*(IF(Besatzung!$D$11:$D$22="",Besatzung!$B$6,Besatzung!$D$11:$D$22)&gt;=B201)),1))),IF(I201="Individuell",((K201="x")*((G201-IFERROR(H201,0))/IFERROR(COUNTIF(J201:U201,"x"),1)+(Besatzung!$F$13="x")*IFERROR(H201,0)/IFERROR(SUMPRODUCT((J201:U201="x")*(Besatzung!$F$11:$F$22="x")),1))),(IF(COUNTIF(J201:U201,"x")=0,IF(Besatzung!$B$13&lt;&gt;"",1,0),(K201="x"))*(G201-IFERROR(H201,0))/IFERROR(IF(COUNTIF(J201:U201,"x")=0,COUNTA(Besatzung!$B$11:$B$22),COUNTIF(J201:U201,"x")),1)+IF(COUNTIF(J201:U201,"x")=0,(Besatzung!$F$13="x"),(K201="x")*(Besatzung!$F$13="x"))*IFERROR(H201,0)/IFERROR(IF(COUNTIF(J201:U201,"x")=0,SUMPRODUCT((Besatzung!$B$11:$B$22&lt;&gt;"")*(Besatzung!$F$11:$F$22="x")),SUMPRODUCT((J201:U201="x")*(Besatzung!$F$11:$F$22="x"))),1))))),0))))</f>
        <v/>
      </c>
      <c r="Y201" s="247">
        <f>IF(C201="Gutschrift","",IF(G201="","",IF(Besatzung!$B$14="","",IFERROR(IF(I201="Zeitanteilig",(Besatzung!$G$14*(G201-IFERROR(H201,0))+((Besatzung!$B$14&lt;&gt;"")*IF(B201="",1,(IF(Besatzung!$C$14="",Besatzung!$B$5,Besatzung!$C$14)&lt;=B201)*(IF(Besatzung!$D$14="",Besatzung!$B$6,Besatzung!$D$14)&gt;=B201)))*(Besatzung!$F$14="x")*IFERROR(H201,0)/IFERROR(SUMPRODUCT((Besatzung!$B$11:$B$22&lt;&gt;"")*(Besatzung!$F$11:$F$22="x")*(IF(Besatzung!$C$11:$C$22="",Besatzung!$B$5,Besatzung!$C$11:$C$22)&lt;=B201)*(IF(Besatzung!$D$11:$D$22="",Besatzung!$B$6,Besatzung!$D$11:$D$22)&gt;=B201)),1)),IF(I201="An Bord",(((Besatzung!$B$14&lt;&gt;"")*IF(B201="",1,(IF(Besatzung!$C$14="",Besatzung!$B$5,Besatzung!$C$14)&lt;=B201)*(IF(Besatzung!$D$14="",Besatzung!$B$6,Besatzung!$D$14)&gt;=B201)))*((G201-IFERROR(H201,0))/IFERROR(SUMPRODUCT((Besatzung!$B$11:$B$22&lt;&gt;"")*(IF(Besatzung!$C$11:$C$22="",Besatzung!$B$5,Besatzung!$C$11:$C$22)&lt;=B201)*(IF(Besatzung!$D$11:$D$22="",Besatzung!$B$6,Besatzung!$D$11:$D$22)&gt;=B201)),1)+(Besatzung!$F$14="x")*IFERROR(H201,0)/IFERROR(SUMPRODUCT((Besatzung!$B$11:$B$22&lt;&gt;"")*(Besatzung!$F$11:$F$22="x")*(IF(Besatzung!$C$11:$C$22="",Besatzung!$B$5,Besatzung!$C$11:$C$22)&lt;=B201)*(IF(Besatzung!$D$11:$D$22="",Besatzung!$B$6,Besatzung!$D$11:$D$22)&gt;=B201)),1))),IF(I201="Individuell",((M201="x")*((G201-IFERROR(H201,0))/IFERROR(COUNTIF(J201:U201,"x"),1)+(Besatzung!$F$14="x")*IFERROR(H201,0)/IFERROR(SUMPRODUCT((J201:U201="x")*(Besatzung!$F$11:$F$22="x")),1))),(IF(COUNTIF(J201:U201,"x")=0,IF(Besatzung!$B$14&lt;&gt;"",1,0),(M201="x"))*(G201-IFERROR(H201,0))/IFERROR(IF(COUNTIF(J201:U201,"x")=0,COUNTA(Besatzung!$B$11:$B$22),COUNTIF(J201:U201,"x")),1)+IF(COUNTIF(J201:U201,"x")=0,(Besatzung!$F$14="x"),(M201="x")*(Besatzung!$F$14="x"))*IFERROR(H201,0)/IFERROR(IF(COUNTIF(J201:U201,"x")=0,SUMPRODUCT((Besatzung!$B$11:$B$22&lt;&gt;"")*(Besatzung!$F$11:$F$22="x")),SUMPRODUCT((J201:U201="x")*(Besatzung!$F$11:$F$22="x"))),1))))),0))))</f>
        <v/>
      </c>
      <c r="Z201" s="247">
        <f>IF(C201="Gutschrift","",IF(G201="","",IF(Besatzung!$B$13="","",IFERROR(IF(I201="Zeitanteilig",(Besatzung!$G$15*(G201-IFERROR(H201,0))+((Besatzung!$B$13&lt;&gt;"")*IF(B201="",1,(IF(Besatzung!$C$15="",Besatzung!$B$5,Besatzung!$C$15)&lt;=B201)*(IF(Besatzung!$D$15="",Besatzung!$B$6,Besatzung!$D$15)&gt;=B201)))*(Besatzung!$F$15="x")*IFERROR(H201,0)/IFERROR(SUMPRODUCT((Besatzung!$B$11:$B$22&lt;&gt;"")*(Besatzung!$F$11:$F$22="x")*(IF(Besatzung!$C$11:$C$22="",Besatzung!$B$5,Besatzung!$C$11:$C$22)&lt;=B201)*(IF(Besatzung!$D$11:$D$22="",Besatzung!$B$6,Besatzung!$D$11:$D$22)&gt;=B201)),1)),IF(I201="An Bord",(((Besatzung!$B$13&lt;&gt;"")*IF(B201="",1,(IF(Besatzung!$C$15="",Besatzung!$B$5,Besatzung!$C$15)&lt;=B201)*(IF(Besatzung!$D$15="",Besatzung!$B$6,Besatzung!$D$15)&gt;=B201)))*((G201-IFERROR(H201,0))/IFERROR(SUMPRODUCT((Besatzung!$B$11:$B$22&lt;&gt;"")*(IF(Besatzung!$C$11:$C$22="",Besatzung!$B$5,Besatzung!$C$11:$C$22)&lt;=B201)*(IF(Besatzung!$D$11:$D$22="",Besatzung!$B$6,Besatzung!$D$11:$D$22)&gt;=B201)),1)+(Besatzung!$F$15="x")*IFERROR(H201,0)/IFERROR(SUMPRODUCT((Besatzung!$B$11:$B$22&lt;&gt;"")*(Besatzung!$F$11:$F$22="x")*(IF(Besatzung!$C$11:$C$22="",Besatzung!$B$5,Besatzung!$C$11:$C$22)&lt;=B201)*(IF(Besatzung!$D$11:$D$22="",Besatzung!$B$6,Besatzung!$D$11:$D$22)&gt;=B201)),1))),IF(I201="Individuell",((N201="x")*((G201-IFERROR(H201,0))/IFERROR(COUNTIF(J201:U201,"x"),1)+(Besatzung!$F$15="x")*IFERROR(H201,0)/IFERROR(SUMPRODUCT((J201:U201="x")*(Besatzung!$F$11:$F$22="x")),1))),(IF(COUNTIF(J201:U201,"x")=0,IF(Besatzung!$B$13&lt;&gt;"",1,0),(N201="x"))*(G201-IFERROR(H201,0))/IFERROR(IF(COUNTIF(J201:U201,"x")=0,COUNTA(Besatzung!$B$11:$B$22),COUNTIF(J201:U201,"x")),1)+IF(COUNTIF(J201:U201,"x")=0,(Besatzung!$F$15="x"),(N201="x")*(Besatzung!$F$15="x"))*IFERROR(H201,0)/IFERROR(IF(COUNTIF(J201:U201,"x")=0,SUMPRODUCT((Besatzung!$B$11:$B$22&lt;&gt;"")*(Besatzung!$F$11:$F$22="x")),SUMPRODUCT((J201:U201="x")*(Besatzung!$F$11:$F$22="x"))),1))))),0))))</f>
        <v/>
      </c>
      <c r="AA201" s="247">
        <f>IF(C201="Gutschrift","",IF(G201="","",IF(Besatzung!$B$15="","",IFERROR(IF(I201="Zeitanteilig",(Besatzung!$G$16*(G201-IFERROR(H201,0))+((Besatzung!$B$15&lt;&gt;"")*IF(B201="",1,(IF(Besatzung!$C$16="",Besatzung!$B$5,Besatzung!$C$16)&lt;=B201)*(IF(Besatzung!$D$16="",Besatzung!$B$6,Besatzung!$D$16)&gt;=B201)))*(Besatzung!$F$16="x")*IFERROR(H201,0)/IFERROR(SUMPRODUCT((Besatzung!$B$11:$B$22&lt;&gt;"")*(Besatzung!$F$11:$F$22="x")*(IF(Besatzung!$C$11:$C$22="",Besatzung!$B$5,Besatzung!$C$11:$C$22)&lt;=B201)*(IF(Besatzung!$D$11:$D$22="",Besatzung!$B$6,Besatzung!$D$11:$D$22)&gt;=B201)),1)),IF(I201="An Bord",(((Besatzung!$B$15&lt;&gt;"")*IF(B201="",1,(IF(Besatzung!$C$16="",Besatzung!$B$5,Besatzung!$C$16)&lt;=B201)*(IF(Besatzung!$D$16="",Besatzung!$B$6,Besatzung!$D$16)&gt;=B201)))*((G201-IFERROR(H201,0))/IFERROR(SUMPRODUCT((Besatzung!$B$11:$B$22&lt;&gt;"")*(IF(Besatzung!$C$11:$C$22="",Besatzung!$B$5,Besatzung!$C$11:$C$22)&lt;=B201)*(IF(Besatzung!$D$11:$D$22="",Besatzung!$B$6,Besatzung!$D$11:$D$22)&gt;=B201)),1)+(Besatzung!$F$16="x")*IFERROR(H201,0)/IFERROR(SUMPRODUCT((Besatzung!$B$11:$B$22&lt;&gt;"")*(Besatzung!$F$11:$F$22="x")*(IF(Besatzung!$C$11:$C$22="",Besatzung!$B$5,Besatzung!$C$11:$C$22)&lt;=B201)*(IF(Besatzung!$D$11:$D$22="",Besatzung!$B$6,Besatzung!$D$11:$D$22)&gt;=B201)),1))),IF(I201="Individuell",((O201="x")*((G201-IFERROR(H201,0))/IFERROR(COUNTIF(J201:U201,"x"),1)+(Besatzung!$F$16="x")*IFERROR(H201,0)/IFERROR(SUMPRODUCT((J201:U201="x")*(Besatzung!$F$11:$F$22="x")),1))),(IF(COUNTIF(J201:U201,"x")=0,IF(Besatzung!$B$15&lt;&gt;"",1,0),(O201="x"))*(G201-IFERROR(H201,0))/IFERROR(IF(COUNTIF(J201:U201,"x")=0,COUNTA(Besatzung!$B$11:$B$22),COUNTIF(J201:U201,"x")),1)+IF(COUNTIF(J201:U201,"x")=0,(Besatzung!$F$16="x"),(O201="x")*(Besatzung!$F$16="x"))*IFERROR(H201,0)/IFERROR(IF(COUNTIF(J201:U201,"x")=0,SUMPRODUCT((Besatzung!$B$11:$B$22&lt;&gt;"")*(Besatzung!$F$11:$F$22="x")),SUMPRODUCT((J201:U201="x")*(Besatzung!$F$11:$F$22="x"))),1))))),0))))</f>
        <v/>
      </c>
      <c r="AB201" s="247">
        <f>IF(C201="Gutschrift","",IF(G201="","",IF(Besatzung!$B$17="","",IFERROR(IF(I201="Zeitanteilig",(Besatzung!$G$17*(G201-IFERROR(H201,0))+((Besatzung!$B$17&lt;&gt;"")*IF(B201="",1,(IF(Besatzung!$C$17="",Besatzung!$B$5,Besatzung!$C$17)&lt;=B201)*(IF(Besatzung!$D$17="",Besatzung!$B$6,Besatzung!$D$17)&gt;=B201)))*(Besatzung!$F$17="x")*IFERROR(H201,0)/IFERROR(SUMPRODUCT((Besatzung!$B$11:$B$22&lt;&gt;"")*(Besatzung!$F$11:$F$22="x")*(IF(Besatzung!$C$11:$C$22="",Besatzung!$B$5,Besatzung!$C$11:$C$22)&lt;=B201)*(IF(Besatzung!$D$11:$D$22="",Besatzung!$B$6,Besatzung!$D$11:$D$22)&gt;=B201)),1)),IF(I201="An Bord",(((Besatzung!$B$17&lt;&gt;"")*IF(B201="",1,(IF(Besatzung!$C$17="",Besatzung!$B$5,Besatzung!$C$17)&lt;=B201)*(IF(Besatzung!$D$17="",Besatzung!$B$6,Besatzung!$D$17)&gt;=B201)))*((G201-IFERROR(H201,0))/IFERROR(SUMPRODUCT((Besatzung!$B$11:$B$22&lt;&gt;"")*(IF(Besatzung!$C$11:$C$22="",Besatzung!$B$5,Besatzung!$C$11:$C$22)&lt;=B201)*(IF(Besatzung!$D$11:$D$22="",Besatzung!$B$6,Besatzung!$D$11:$D$22)&gt;=B201)),1)+(Besatzung!$F$17="x")*IFERROR(H201,0)/IFERROR(SUMPRODUCT((Besatzung!$B$11:$B$22&lt;&gt;"")*(Besatzung!$F$11:$F$22="x")*(IF(Besatzung!$C$11:$C$22="",Besatzung!$B$5,Besatzung!$C$11:$C$22)&lt;=B201)*(IF(Besatzung!$D$11:$D$22="",Besatzung!$B$6,Besatzung!$D$11:$D$22)&gt;=B201)),1))),IF(I201="Individuell",((P201="x")*((G201-IFERROR(H201,0))/IFERROR(COUNTIF(J201:U201,"x"),1)+(Besatzung!$F$17="x")*IFERROR(H201,0)/IFERROR(SUMPRODUCT((J201:U201="x")*(Besatzung!$F$11:$F$22="x")),1))),(IF(COUNTIF(J201:U201,"x")=0,IF(Besatzung!$B$17&lt;&gt;"",1,0),(P201="x"))*(G201-IFERROR(H201,0))/IFERROR(IF(COUNTIF(J201:U201,"x")=0,COUNTA(Besatzung!$B$11:$B$22),COUNTIF(J201:U201,"x")),1)+IF(COUNTIF(J201:U201,"x")=0,(Besatzung!$F$17="x"),(P201="x")*(Besatzung!$F$17="x"))*IFERROR(H201,0)/IFERROR(IF(COUNTIF(J201:U201,"x")=0,SUMPRODUCT((Besatzung!$B$11:$B$22&lt;&gt;"")*(Besatzung!$F$11:$F$22="x")),SUMPRODUCT((J201:U201="x")*(Besatzung!$F$11:$F$22="x"))),1))))),0))))</f>
        <v/>
      </c>
      <c r="AC201" s="247">
        <f>IF(C201="Gutschrift","",IF(G201="","",IF(Besatzung!$B$18="","",IFERROR(IF(I201="Zeitanteilig",(Besatzung!$G$18*(G201-IFERROR(H201,0))+((Besatzung!$B$18&lt;&gt;"")*IF(B201="",1,(IF(Besatzung!$C$18="",Besatzung!$B$5,Besatzung!$C$18)&lt;=B201)*(IF(Besatzung!$D$18="",Besatzung!$B$6,Besatzung!$D$18)&gt;=B201)))*(Besatzung!$F$18="x")*IFERROR(H201,0)/IFERROR(SUMPRODUCT((Besatzung!$B$11:$B$22&lt;&gt;"")*(Besatzung!$F$11:$F$22="x")*(IF(Besatzung!$C$11:$C$22="",Besatzung!$B$5,Besatzung!$C$11:$C$22)&lt;=B201)*(IF(Besatzung!$D$11:$D$22="",Besatzung!$B$6,Besatzung!$D$11:$D$22)&gt;=B201)),1)),IF(I201="An Bord",(((Besatzung!$B$18&lt;&gt;"")*IF(B201="",1,(IF(Besatzung!$C$18="",Besatzung!$B$5,Besatzung!$C$18)&lt;=B201)*(IF(Besatzung!$D$18="",Besatzung!$B$6,Besatzung!$D$18)&gt;=B201)))*((G201-IFERROR(H201,0))/IFERROR(SUMPRODUCT((Besatzung!$B$11:$B$22&lt;&gt;"")*(IF(Besatzung!$C$11:$C$22="",Besatzung!$B$5,Besatzung!$C$11:$C$22)&lt;=B201)*(IF(Besatzung!$D$11:$D$22="",Besatzung!$B$6,Besatzung!$D$11:$D$22)&gt;=B201)),1)+(Besatzung!$F$18="x")*IFERROR(H201,0)/IFERROR(SUMPRODUCT((Besatzung!$B$11:$B$22&lt;&gt;"")*(Besatzung!$F$11:$F$22="x")*(IF(Besatzung!$C$11:$C$22="",Besatzung!$B$5,Besatzung!$C$11:$C$22)&lt;=B201)*(IF(Besatzung!$D$11:$D$22="",Besatzung!$B$6,Besatzung!$D$11:$D$22)&gt;=B201)),1))),IF(I201="Individuell",((Q201="x")*((G201-IFERROR(H201,0))/IFERROR(COUNTIF(J201:U201,"x"),1)+(Besatzung!$F$18="x")*IFERROR(H201,0)/IFERROR(SUMPRODUCT((J201:U201="x")*(Besatzung!$F$11:$F$22="x")),1))),(IF(COUNTIF(J201:U201,"x")=0,IF(Besatzung!$B$18&lt;&gt;"",1,0),(Q201="x"))*(G201-IFERROR(H201,0))/IFERROR(IF(COUNTIF(J201:U201,"x")=0,COUNTA(Besatzung!$B$11:$B$22),COUNTIF(J201:U201,"x")),1)+IF(COUNTIF(J201:U201,"x")=0,(Besatzung!$F$18="x"),(Q201="x")*(Besatzung!$F$18="x"))*IFERROR(H201,0)/IFERROR(IF(COUNTIF(J201:U201,"x")=0,SUMPRODUCT((Besatzung!$B$11:$B$22&lt;&gt;"")*(Besatzung!$F$11:$F$22="x")),SUMPRODUCT((J201:U201="x")*(Besatzung!$F$11:$F$22="x"))),1))))),0))))</f>
        <v/>
      </c>
      <c r="AD201" s="247">
        <f>IF(C201="Gutschrift","",IF(G201="","",IF(Besatzung!$B$19="","",IFERROR(IF(I201="Zeitanteilig",(Besatzung!$G$19*(G201-IFERROR(H201,0))+((Besatzung!$B$19&lt;&gt;"")*IF(B201="",1,(IF(Besatzung!$C$19="",Besatzung!$B$5,Besatzung!$C$19)&lt;=B201)*(IF(Besatzung!$D$19="",Besatzung!$B$6,Besatzung!$D$19)&gt;=B201)))*(Besatzung!$F$19="x")*IFERROR(H201,0)/IFERROR(SUMPRODUCT((Besatzung!$B$11:$B$22&lt;&gt;"")*(Besatzung!$F$11:$F$22="x")*(IF(Besatzung!$C$11:$C$22="",Besatzung!$B$5,Besatzung!$C$11:$C$22)&lt;=B201)*(IF(Besatzung!$D$11:$D$22="",Besatzung!$B$6,Besatzung!$D$11:$D$22)&gt;=B201)),1)),IF(I201="An Bord",(((Besatzung!$B$19&lt;&gt;"")*IF(B201="",1,(IF(Besatzung!$C$19="",Besatzung!$B$5,Besatzung!$C$19)&lt;=B201)*(IF(Besatzung!$D$19="",Besatzung!$B$6,Besatzung!$D$19)&gt;=B201)))*((G201-IFERROR(H201,0))/IFERROR(SUMPRODUCT((Besatzung!$B$11:$B$22&lt;&gt;"")*(IF(Besatzung!$C$11:$C$22="",Besatzung!$B$5,Besatzung!$C$11:$C$22)&lt;=B201)*(IF(Besatzung!$D$11:$D$22="",Besatzung!$B$6,Besatzung!$D$11:$D$22)&gt;=B201)),1)+(Besatzung!$F$19="x")*IFERROR(H201,0)/IFERROR(SUMPRODUCT((Besatzung!$B$11:$B$22&lt;&gt;"")*(Besatzung!$F$11:$F$22="x")*(IF(Besatzung!$C$11:$C$22="",Besatzung!$B$5,Besatzung!$C$11:$C$22)&lt;=B201)*(IF(Besatzung!$D$11:$D$22="",Besatzung!$B$6,Besatzung!$D$11:$D$22)&gt;=B201)),1))),IF(I201="Individuell",((R201="x")*((G201-IFERROR(H201,0))/IFERROR(COUNTIF(J201:U201,"x"),1)+(Besatzung!$F$19="x")*IFERROR(H201,0)/IFERROR(SUMPRODUCT((J201:U201="x")*(Besatzung!$F$11:$F$22="x")),1))),(IF(COUNTIF(J201:U201,"x")=0,IF(Besatzung!$B$19&lt;&gt;"",1,0),(R201="x"))*(G201-IFERROR(H201,0))/IFERROR(IF(COUNTIF(J201:U201,"x")=0,COUNTA(Besatzung!$B$11:$B$22),COUNTIF(J201:U201,"x")),1)+IF(COUNTIF(J201:U201,"x")=0,(Besatzung!$F$19="x"),(R201="x")*(Besatzung!$F$19="x"))*IFERROR(H201,0)/IFERROR(IF(COUNTIF(J201:U201,"x")=0,SUMPRODUCT((Besatzung!$B$11:$B$22&lt;&gt;"")*(Besatzung!$F$11:$F$22="x")),SUMPRODUCT((J201:U201="x")*(Besatzung!$F$11:$F$22="x"))),1))))),0))))</f>
        <v/>
      </c>
      <c r="AE201" s="247">
        <f>IF(C201="Gutschrift","",IF(G201="","",IF(Besatzung!$B$20="","",IFERROR(IF(I201="Zeitanteilig",(Besatzung!$G$20*(G201-IFERROR(H201,0))+((Besatzung!$B$20&lt;&gt;"")*IF(B201="",1,(IF(Besatzung!$C$20="",Besatzung!$B$5,Besatzung!$C$20)&lt;=B201)*(IF(Besatzung!$D$20="",Besatzung!$B$6,Besatzung!$D$20)&gt;=B201)))*(Besatzung!$F$20="x")*IFERROR(H201,0)/IFERROR(SUMPRODUCT((Besatzung!$B$11:$B$22&lt;&gt;"")*(Besatzung!$F$11:$F$22="x")*(IF(Besatzung!$C$11:$C$22="",Besatzung!$B$5,Besatzung!$C$11:$C$22)&lt;=B201)*(IF(Besatzung!$D$11:$D$22="",Besatzung!$B$6,Besatzung!$D$11:$D$22)&gt;=B201)),1)),IF(I201="An Bord",(((Besatzung!$B$20&lt;&gt;"")*IF(B201="",1,(IF(Besatzung!$C$20="",Besatzung!$B$5,Besatzung!$C$20)&lt;=B201)*(IF(Besatzung!$D$20="",Besatzung!$B$6,Besatzung!$D$20)&gt;=B201)))*((G201-IFERROR(H201,0))/IFERROR(SUMPRODUCT((Besatzung!$B$11:$B$22&lt;&gt;"")*(IF(Besatzung!$C$11:$C$22="",Besatzung!$B$5,Besatzung!$C$11:$C$22)&lt;=B201)*(IF(Besatzung!$D$11:$D$22="",Besatzung!$B$6,Besatzung!$D$11:$D$22)&gt;=B201)),1)+(Besatzung!$F$20="x")*IFERROR(H201,0)/IFERROR(SUMPRODUCT((Besatzung!$B$11:$B$22&lt;&gt;"")*(Besatzung!$F$11:$F$22="x")*(IF(Besatzung!$C$11:$C$22="",Besatzung!$B$5,Besatzung!$C$11:$C$22)&lt;=B201)*(IF(Besatzung!$D$11:$D$22="",Besatzung!$B$6,Besatzung!$D$11:$D$22)&gt;=B201)),1))),IF(I201="Individuell",((S201="x")*((G201-IFERROR(H201,0))/IFERROR(COUNTIF(J201:U201,"x"),1)+(Besatzung!$F$20="x")*IFERROR(H201,0)/IFERROR(SUMPRODUCT((J201:U201="x")*(Besatzung!$F$11:$F$22="x")),1))),(IF(COUNTIF(J201:U201,"x")=0,IF(Besatzung!$B$20&lt;&gt;"",1,0),(S201="x"))*(G201-IFERROR(H201,0))/IFERROR(IF(COUNTIF(J201:U201,"x")=0,COUNTA(Besatzung!$B$11:$B$22),COUNTIF(J201:U201,"x")),1)+IF(COUNTIF(J201:U201,"x")=0,(Besatzung!$F$20="x"),(S201="x")*(Besatzung!$F$20="x"))*IFERROR(H201,0)/IFERROR(IF(COUNTIF(J201:U201,"x")=0,SUMPRODUCT((Besatzung!$B$11:$B$22&lt;&gt;"")*(Besatzung!$F$11:$F$22="x")),SUMPRODUCT((J201:U201="x")*(Besatzung!$F$11:$F$22="x"))),1))))),0))))</f>
        <v/>
      </c>
      <c r="AF201" s="247">
        <f>IF(C201="Gutschrift","",IF(G201="","",IF(Besatzung!$B$21="","",IFERROR(IF(I201="Zeitanteilig",(Besatzung!$G$21*(G201-IFERROR(H201,0))+((Besatzung!$B$21&lt;&gt;"")*IF(B201="",1,(IF(Besatzung!$C$21="",Besatzung!$B$5,Besatzung!$C$21)&lt;=B201)*(IF(Besatzung!$D$21="",Besatzung!$B$6,Besatzung!$D$21)&gt;=B201)))*(Besatzung!$F$21="x")*IFERROR(H201,0)/IFERROR(SUMPRODUCT((Besatzung!$B$11:$B$22&lt;&gt;"")*(Besatzung!$F$11:$F$22="x")*(IF(Besatzung!$C$11:$C$22="",Besatzung!$B$5,Besatzung!$C$11:$C$22)&lt;=B201)*(IF(Besatzung!$D$11:$D$22="",Besatzung!$B$6,Besatzung!$D$11:$D$22)&gt;=B201)),1)),IF(I201="An Bord",(((Besatzung!$B$21&lt;&gt;"")*IF(B201="",1,(IF(Besatzung!$C$21="",Besatzung!$B$5,Besatzung!$C$21)&lt;=B201)*(IF(Besatzung!$D$21="",Besatzung!$B$6,Besatzung!$D$21)&gt;=B201)))*((G201-IFERROR(H201,0))/IFERROR(SUMPRODUCT((Besatzung!$B$11:$B$22&lt;&gt;"")*(IF(Besatzung!$C$11:$C$22="",Besatzung!$B$5,Besatzung!$C$11:$C$22)&lt;=B201)*(IF(Besatzung!$D$11:$D$22="",Besatzung!$B$6,Besatzung!$D$11:$D$22)&gt;=B201)),1)+(Besatzung!$F$21="x")*IFERROR(H201,0)/IFERROR(SUMPRODUCT((Besatzung!$B$11:$B$22&lt;&gt;"")*(Besatzung!$F$11:$F$22="x")*(IF(Besatzung!$C$11:$C$22="",Besatzung!$B$5,Besatzung!$C$11:$C$22)&lt;=B201)*(IF(Besatzung!$D$11:$D$22="",Besatzung!$B$6,Besatzung!$D$11:$D$22)&gt;=B201)),1))),IF(I201="Individuell",((T201="x")*((G201-IFERROR(H201,0))/IFERROR(COUNTIF(J201:U201,"x"),1)+(Besatzung!$F$21="x")*IFERROR(H201,0)/IFERROR(SUMPRODUCT((J201:U201="x")*(Besatzung!$F$11:$F$22="x")),1))),(IF(COUNTIF(J201:U201,"x")=0,IF(Besatzung!$B$21&lt;&gt;"",1,0),(T201="x"))*(G201-IFERROR(H201,0))/IFERROR(IF(COUNTIF(J201:U201,"x")=0,COUNTA(Besatzung!$B$11:$B$22),COUNTIF(J201:U201,"x")),1)+IF(COUNTIF(J201:U201,"x")=0,(Besatzung!$F$21="x"),(T201="x")*(Besatzung!$F$21="x"))*IFERROR(H201,0)/IFERROR(IF(COUNTIF(J201:U201,"x")=0,SUMPRODUCT((Besatzung!$B$11:$B$22&lt;&gt;"")*(Besatzung!$F$11:$F$22="x")),SUMPRODUCT((J201:U201="x")*(Besatzung!$F$11:$F$22="x"))),1))))),0))))</f>
        <v/>
      </c>
      <c r="AG201" s="247">
        <f>IF(C201="Gutschrift","",IF(G201="","",IF(Besatzung!$B$22="","",IFERROR(IF(I201="Zeitanteilig",(Besatzung!$G$22*(G201-IFERROR(H201,0))+((Besatzung!$B$22&lt;&gt;"")*IF(B201="",1,(IF(Besatzung!$C$22="",Besatzung!$B$5,Besatzung!$C$22)&lt;=B201)*(IF(Besatzung!$D$22="",Besatzung!$B$6,Besatzung!$D$22)&gt;=B201)))*(Besatzung!$F$22="x")*IFERROR(H201,0)/IFERROR(SUMPRODUCT((Besatzung!$B$11:$B$22&lt;&gt;"")*(Besatzung!$F$11:$F$22="x")*(IF(Besatzung!$C$11:$C$22="",Besatzung!$B$5,Besatzung!$C$11:$C$22)&lt;=B201)*(IF(Besatzung!$D$11:$D$22="",Besatzung!$B$6,Besatzung!$D$11:$D$22)&gt;=B201)),1)),IF(I201="An Bord",(((Besatzung!$B$22&lt;&gt;"")*IF(B201="",1,(IF(Besatzung!$C$22="",Besatzung!$B$5,Besatzung!$C$22)&lt;=B201)*(IF(Besatzung!$D$22="",Besatzung!$B$6,Besatzung!$D$22)&gt;=B201)))*((G201-IFERROR(H201,0))/IFERROR(SUMPRODUCT((Besatzung!$B$11:$B$22&lt;&gt;"")*(IF(Besatzung!$C$11:$C$22="",Besatzung!$B$5,Besatzung!$C$11:$C$22)&lt;=B201)*(IF(Besatzung!$D$11:$D$22="",Besatzung!$B$6,Besatzung!$D$11:$D$22)&gt;=B201)),1)+(Besatzung!$F$22="x")*IFERROR(H201,0)/IFERROR(SUMPRODUCT((Besatzung!$B$11:$B$22&lt;&gt;"")*(Besatzung!$F$11:$F$22="x")*(IF(Besatzung!$C$11:$C$22="",Besatzung!$B$5,Besatzung!$C$11:$C$22)&lt;=B201)*(IF(Besatzung!$D$11:$D$22="",Besatzung!$B$6,Besatzung!$D$11:$D$22)&gt;=B201)),1))),IF(I201="Individuell",((U201="x")*((G201-IFERROR(H201,0))/IFERROR(COUNTIF(J201:U201,"x"),1)+(Besatzung!$F$22="x")*IFERROR(H201,0)/IFERROR(SUMPRODUCT((J201:U201="x")*(Besatzung!$F$11:$F$22="x")),1))),(IF(COUNTIF(J201:U201,"x")=0,IF(Besatzung!$B$22&lt;&gt;"",1,0),(U201="x"))*(G201-IFERROR(H201,0))/IFERROR(IF(COUNTIF(J201:U201,"x")=0,COUNTA(Besatzung!$B$11:$B$22),COUNTIF(J201:U201,"x")),1)+IF(COUNTIF(J201:U201,"x")=0,(Besatzung!$F$22="x"),(U201="x")*(Besatzung!$F$22="x"))*IFERROR(H201,0)/IFERROR(IF(COUNTIF(J201:U201,"x")=0,SUMPRODUCT((Besatzung!$B$11:$B$22&lt;&gt;"")*(Besatzung!$F$11:$F$22="x")),SUMPRODUCT((J201:U201="x")*(Besatzung!$F$11:$F$22="x"))),1))))),0))))</f>
        <v/>
      </c>
      <c r="AH201" s="248" t="n"/>
      <c r="AI201" s="248" t="n"/>
    </row>
    <row r="202" ht="21.75" customHeight="1" s="154">
      <c r="A202" s="238">
        <f>IF(AND(D202="",C202=""),"",199)</f>
        <v/>
      </c>
      <c r="B202" s="199" t="n"/>
      <c r="C202" s="239" t="n"/>
      <c r="D202" s="240" t="n"/>
      <c r="E202" s="241" t="n"/>
      <c r="F202" s="242" t="n"/>
      <c r="G202" s="243" t="n"/>
      <c r="H202" s="244" t="n"/>
      <c r="I202" s="245" t="n"/>
      <c r="J202" s="246" t="n"/>
      <c r="K202" s="246" t="n"/>
      <c r="L202" s="246" t="n"/>
      <c r="M202" s="246" t="n"/>
      <c r="N202" s="246" t="n"/>
      <c r="O202" s="246" t="n"/>
      <c r="P202" s="246" t="n"/>
      <c r="Q202" s="246" t="n"/>
      <c r="R202" s="246" t="n"/>
      <c r="S202" s="246" t="n"/>
      <c r="T202" s="246" t="n"/>
      <c r="U202" s="246" t="n"/>
      <c r="V202" s="247">
        <f>IF(C202="Gutschrift","",IF(G202="","",IF(Besatzung!$B$11="","",IFERROR(IF(I202="Zeitanteilig",(Besatzung!$G$11*(G202-IFERROR(H202,0))+((Besatzung!$B$11&lt;&gt;"")*IF(B202="",1,(IF(Besatzung!$C$11="",Besatzung!$B$5,Besatzung!$C$11)&lt;=B202)*(IF(Besatzung!$D$11="",Besatzung!$B$6,Besatzung!$D$11)&gt;=B202)))*(Besatzung!$F$11="x")*IFERROR(H202,0)/IFERROR(SUMPRODUCT((Besatzung!$B$11:$B$22&lt;&gt;"")*(Besatzung!$F$11:$F$22="x")*(IF(Besatzung!$C$11:$C$22="",Besatzung!$B$5,Besatzung!$C$11:$C$22)&lt;=B202)*(IF(Besatzung!$D$11:$D$22="",Besatzung!$B$6,Besatzung!$D$11:$D$22)&gt;=B202)),1)),IF(I202="An Bord",(((Besatzung!$B$11&lt;&gt;"")*IF(B202="",1,(IF(Besatzung!$C$11="",Besatzung!$B$5,Besatzung!$C$11)&lt;=B202)*(IF(Besatzung!$D$11="",Besatzung!$B$6,Besatzung!$D$11)&gt;=B202)))*((G202-IFERROR(H202,0))/IFERROR(SUMPRODUCT((Besatzung!$B$11:$B$22&lt;&gt;"")*(IF(Besatzung!$C$11:$C$22="",Besatzung!$B$5,Besatzung!$C$11:$C$22)&lt;=B202)*(IF(Besatzung!$D$11:$D$22="",Besatzung!$B$6,Besatzung!$D$11:$D$22)&gt;=B202)),1)+(Besatzung!$F$11="x")*IFERROR(H202,0)/IFERROR(SUMPRODUCT((Besatzung!$B$11:$B$22&lt;&gt;"")*(Besatzung!$F$11:$F$22="x")*(IF(Besatzung!$C$11:$C$22="",Besatzung!$B$5,Besatzung!$C$11:$C$22)&lt;=B202)*(IF(Besatzung!$D$11:$D$22="",Besatzung!$B$6,Besatzung!$D$11:$D$22)&gt;=B202)),1))),IF(I202="Individuell",((J202="x")*((G202-IFERROR(H202,0))/IFERROR(COUNTIF(J202:U202,"x"),1)+(Besatzung!$F$11="x")*IFERROR(H202,0)/IFERROR(SUMPRODUCT((J202:U202="x")*(Besatzung!$F$11:$F$22="x")),1))),(IF(COUNTIF(J202:U202,"x")=0,IF(Besatzung!$B$11&lt;&gt;"",1,0),(J202="x"))*(G202-IFERROR(H202,0))/IFERROR(IF(COUNTIF(J202:U202,"x")=0,COUNTA(Besatzung!$B$11:$B$22),COUNTIF(J202:U202,"x")),1)+IF(COUNTIF(J202:U202,"x")=0,(Besatzung!$F$11="x"),(J202="x")*(Besatzung!$F$11="x"))*IFERROR(H202,0)/IFERROR(IF(COUNTIF(J202:U202,"x")=0,SUMPRODUCT((Besatzung!$B$11:$B$22&lt;&gt;"")*(Besatzung!$F$11:$F$22="x")),SUMPRODUCT((J202:U202="x")*(Besatzung!$F$11:$F$22="x"))),1))))),0))))</f>
        <v/>
      </c>
      <c r="W202" s="247">
        <f>IF(C202="Gutschrift","",IF(G202="","",IF(Besatzung!$B$12="","",IFERROR(IF(I202="Zeitanteilig",(Besatzung!$G$12*(G202-IFERROR(H202,0))+((Besatzung!$B$12&lt;&gt;"")*IF(B202="",1,(IF(Besatzung!$C$12="",Besatzung!$B$5,Besatzung!$C$12)&lt;=B202)*(IF(Besatzung!$D$12="",Besatzung!$B$6,Besatzung!$D$12)&gt;=B202)))*(Besatzung!$F$12="x")*IFERROR(H202,0)/IFERROR(SUMPRODUCT((Besatzung!$B$11:$B$22&lt;&gt;"")*(Besatzung!$F$11:$F$22="x")*(IF(Besatzung!$C$11:$C$22="",Besatzung!$B$5,Besatzung!$C$11:$C$22)&lt;=B202)*(IF(Besatzung!$D$11:$D$22="",Besatzung!$B$6,Besatzung!$D$11:$D$22)&gt;=B202)),1)),IF(I202="An Bord",(((Besatzung!$B$12&lt;&gt;"")*IF(B202="",1,(IF(Besatzung!$C$12="",Besatzung!$B$5,Besatzung!$C$12)&lt;=B202)*(IF(Besatzung!$D$12="",Besatzung!$B$6,Besatzung!$D$12)&gt;=B202)))*((G202-IFERROR(H202,0))/IFERROR(SUMPRODUCT((Besatzung!$B$11:$B$22&lt;&gt;"")*(IF(Besatzung!$C$11:$C$22="",Besatzung!$B$5,Besatzung!$C$11:$C$22)&lt;=B202)*(IF(Besatzung!$D$11:$D$22="",Besatzung!$B$6,Besatzung!$D$11:$D$22)&gt;=B202)),1)+(Besatzung!$F$12="x")*IFERROR(H202,0)/IFERROR(SUMPRODUCT((Besatzung!$B$11:$B$22&lt;&gt;"")*(Besatzung!$F$11:$F$22="x")*(IF(Besatzung!$C$11:$C$22="",Besatzung!$B$5,Besatzung!$C$11:$C$22)&lt;=B202)*(IF(Besatzung!$D$11:$D$22="",Besatzung!$B$6,Besatzung!$D$11:$D$22)&gt;=B202)),1))),IF(I202="Individuell",((K202="x")*((G202-IFERROR(H202,0))/IFERROR(COUNTIF(J202:U202,"x"),1)+(Besatzung!$F$12="x")*IFERROR(H202,0)/IFERROR(SUMPRODUCT((J202:U202="x")*(Besatzung!$F$11:$F$22="x")),1))),(IF(COUNTIF(J202:U202,"x")=0,IF(Besatzung!$B$12&lt;&gt;"",1,0),(K202="x"))*(G202-IFERROR(H202,0))/IFERROR(IF(COUNTIF(J202:U202,"x")=0,COUNTA(Besatzung!$B$11:$B$22),COUNTIF(J202:U202,"x")),1)+IF(COUNTIF(J202:U202,"x")=0,(Besatzung!$F$12="x"),(K202="x")*(Besatzung!$F$12="x"))*IFERROR(H202,0)/IFERROR(IF(COUNTIF(J202:U202,"x")=0,SUMPRODUCT((Besatzung!$B$11:$B$22&lt;&gt;"")*(Besatzung!$F$11:$F$22="x")),SUMPRODUCT((J202:U202="x")*(Besatzung!$F$11:$F$22="x"))),1))))),0))))</f>
        <v/>
      </c>
      <c r="X202" s="247">
        <f>IF(C202="Gutschrift","",IF(G202="","",IF(Besatzung!$B$13="","",IFERROR(IF(I202="Zeitanteilig",(Besatzung!$G$13*(G202-IFERROR(H202,0))+((Besatzung!$B$13&lt;&gt;"")*IF(B202="",1,(IF(Besatzung!$C$13="",Besatzung!$B$5,Besatzung!$C$13)&lt;=B202)*(IF(Besatzung!$D$13="",Besatzung!$B$6,Besatzung!$D$13)&gt;=B202)))*(Besatzung!$F$13="x")*IFERROR(H202,0)/IFERROR(SUMPRODUCT((Besatzung!$B$11:$B$22&lt;&gt;"")*(Besatzung!$F$11:$F$22="x")*(IF(Besatzung!$C$11:$C$22="",Besatzung!$B$5,Besatzung!$C$11:$C$22)&lt;=B202)*(IF(Besatzung!$D$11:$D$22="",Besatzung!$B$6,Besatzung!$D$11:$D$22)&gt;=B202)),1)),IF(I202="An Bord",(((Besatzung!$B$13&lt;&gt;"")*IF(B202="",1,(IF(Besatzung!$C$13="",Besatzung!$B$5,Besatzung!$C$13)&lt;=B202)*(IF(Besatzung!$D$13="",Besatzung!$B$6,Besatzung!$D$13)&gt;=B202)))*((G202-IFERROR(H202,0))/IFERROR(SUMPRODUCT((Besatzung!$B$11:$B$22&lt;&gt;"")*(IF(Besatzung!$C$11:$C$22="",Besatzung!$B$5,Besatzung!$C$11:$C$22)&lt;=B202)*(IF(Besatzung!$D$11:$D$22="",Besatzung!$B$6,Besatzung!$D$11:$D$22)&gt;=B202)),1)+(Besatzung!$F$13="x")*IFERROR(H202,0)/IFERROR(SUMPRODUCT((Besatzung!$B$11:$B$22&lt;&gt;"")*(Besatzung!$F$11:$F$22="x")*(IF(Besatzung!$C$11:$C$22="",Besatzung!$B$5,Besatzung!$C$11:$C$22)&lt;=B202)*(IF(Besatzung!$D$11:$D$22="",Besatzung!$B$6,Besatzung!$D$11:$D$22)&gt;=B202)),1))),IF(I202="Individuell",((K202="x")*((G202-IFERROR(H202,0))/IFERROR(COUNTIF(J202:U202,"x"),1)+(Besatzung!$F$13="x")*IFERROR(H202,0)/IFERROR(SUMPRODUCT((J202:U202="x")*(Besatzung!$F$11:$F$22="x")),1))),(IF(COUNTIF(J202:U202,"x")=0,IF(Besatzung!$B$13&lt;&gt;"",1,0),(K202="x"))*(G202-IFERROR(H202,0))/IFERROR(IF(COUNTIF(J202:U202,"x")=0,COUNTA(Besatzung!$B$11:$B$22),COUNTIF(J202:U202,"x")),1)+IF(COUNTIF(J202:U202,"x")=0,(Besatzung!$F$13="x"),(K202="x")*(Besatzung!$F$13="x"))*IFERROR(H202,0)/IFERROR(IF(COUNTIF(J202:U202,"x")=0,SUMPRODUCT((Besatzung!$B$11:$B$22&lt;&gt;"")*(Besatzung!$F$11:$F$22="x")),SUMPRODUCT((J202:U202="x")*(Besatzung!$F$11:$F$22="x"))),1))))),0))))</f>
        <v/>
      </c>
      <c r="Y202" s="247">
        <f>IF(C202="Gutschrift","",IF(G202="","",IF(Besatzung!$B$14="","",IFERROR(IF(I202="Zeitanteilig",(Besatzung!$G$14*(G202-IFERROR(H202,0))+((Besatzung!$B$14&lt;&gt;"")*IF(B202="",1,(IF(Besatzung!$C$14="",Besatzung!$B$5,Besatzung!$C$14)&lt;=B202)*(IF(Besatzung!$D$14="",Besatzung!$B$6,Besatzung!$D$14)&gt;=B202)))*(Besatzung!$F$14="x")*IFERROR(H202,0)/IFERROR(SUMPRODUCT((Besatzung!$B$11:$B$22&lt;&gt;"")*(Besatzung!$F$11:$F$22="x")*(IF(Besatzung!$C$11:$C$22="",Besatzung!$B$5,Besatzung!$C$11:$C$22)&lt;=B202)*(IF(Besatzung!$D$11:$D$22="",Besatzung!$B$6,Besatzung!$D$11:$D$22)&gt;=B202)),1)),IF(I202="An Bord",(((Besatzung!$B$14&lt;&gt;"")*IF(B202="",1,(IF(Besatzung!$C$14="",Besatzung!$B$5,Besatzung!$C$14)&lt;=B202)*(IF(Besatzung!$D$14="",Besatzung!$B$6,Besatzung!$D$14)&gt;=B202)))*((G202-IFERROR(H202,0))/IFERROR(SUMPRODUCT((Besatzung!$B$11:$B$22&lt;&gt;"")*(IF(Besatzung!$C$11:$C$22="",Besatzung!$B$5,Besatzung!$C$11:$C$22)&lt;=B202)*(IF(Besatzung!$D$11:$D$22="",Besatzung!$B$6,Besatzung!$D$11:$D$22)&gt;=B202)),1)+(Besatzung!$F$14="x")*IFERROR(H202,0)/IFERROR(SUMPRODUCT((Besatzung!$B$11:$B$22&lt;&gt;"")*(Besatzung!$F$11:$F$22="x")*(IF(Besatzung!$C$11:$C$22="",Besatzung!$B$5,Besatzung!$C$11:$C$22)&lt;=B202)*(IF(Besatzung!$D$11:$D$22="",Besatzung!$B$6,Besatzung!$D$11:$D$22)&gt;=B202)),1))),IF(I202="Individuell",((M202="x")*((G202-IFERROR(H202,0))/IFERROR(COUNTIF(J202:U202,"x"),1)+(Besatzung!$F$14="x")*IFERROR(H202,0)/IFERROR(SUMPRODUCT((J202:U202="x")*(Besatzung!$F$11:$F$22="x")),1))),(IF(COUNTIF(J202:U202,"x")=0,IF(Besatzung!$B$14&lt;&gt;"",1,0),(M202="x"))*(G202-IFERROR(H202,0))/IFERROR(IF(COUNTIF(J202:U202,"x")=0,COUNTA(Besatzung!$B$11:$B$22),COUNTIF(J202:U202,"x")),1)+IF(COUNTIF(J202:U202,"x")=0,(Besatzung!$F$14="x"),(M202="x")*(Besatzung!$F$14="x"))*IFERROR(H202,0)/IFERROR(IF(COUNTIF(J202:U202,"x")=0,SUMPRODUCT((Besatzung!$B$11:$B$22&lt;&gt;"")*(Besatzung!$F$11:$F$22="x")),SUMPRODUCT((J202:U202="x")*(Besatzung!$F$11:$F$22="x"))),1))))),0))))</f>
        <v/>
      </c>
      <c r="Z202" s="247">
        <f>IF(C202="Gutschrift","",IF(G202="","",IF(Besatzung!$B$13="","",IFERROR(IF(I202="Zeitanteilig",(Besatzung!$G$15*(G202-IFERROR(H202,0))+((Besatzung!$B$13&lt;&gt;"")*IF(B202="",1,(IF(Besatzung!$C$15="",Besatzung!$B$5,Besatzung!$C$15)&lt;=B202)*(IF(Besatzung!$D$15="",Besatzung!$B$6,Besatzung!$D$15)&gt;=B202)))*(Besatzung!$F$15="x")*IFERROR(H202,0)/IFERROR(SUMPRODUCT((Besatzung!$B$11:$B$22&lt;&gt;"")*(Besatzung!$F$11:$F$22="x")*(IF(Besatzung!$C$11:$C$22="",Besatzung!$B$5,Besatzung!$C$11:$C$22)&lt;=B202)*(IF(Besatzung!$D$11:$D$22="",Besatzung!$B$6,Besatzung!$D$11:$D$22)&gt;=B202)),1)),IF(I202="An Bord",(((Besatzung!$B$13&lt;&gt;"")*IF(B202="",1,(IF(Besatzung!$C$15="",Besatzung!$B$5,Besatzung!$C$15)&lt;=B202)*(IF(Besatzung!$D$15="",Besatzung!$B$6,Besatzung!$D$15)&gt;=B202)))*((G202-IFERROR(H202,0))/IFERROR(SUMPRODUCT((Besatzung!$B$11:$B$22&lt;&gt;"")*(IF(Besatzung!$C$11:$C$22="",Besatzung!$B$5,Besatzung!$C$11:$C$22)&lt;=B202)*(IF(Besatzung!$D$11:$D$22="",Besatzung!$B$6,Besatzung!$D$11:$D$22)&gt;=B202)),1)+(Besatzung!$F$15="x")*IFERROR(H202,0)/IFERROR(SUMPRODUCT((Besatzung!$B$11:$B$22&lt;&gt;"")*(Besatzung!$F$11:$F$22="x")*(IF(Besatzung!$C$11:$C$22="",Besatzung!$B$5,Besatzung!$C$11:$C$22)&lt;=B202)*(IF(Besatzung!$D$11:$D$22="",Besatzung!$B$6,Besatzung!$D$11:$D$22)&gt;=B202)),1))),IF(I202="Individuell",((N202="x")*((G202-IFERROR(H202,0))/IFERROR(COUNTIF(J202:U202,"x"),1)+(Besatzung!$F$15="x")*IFERROR(H202,0)/IFERROR(SUMPRODUCT((J202:U202="x")*(Besatzung!$F$11:$F$22="x")),1))),(IF(COUNTIF(J202:U202,"x")=0,IF(Besatzung!$B$13&lt;&gt;"",1,0),(N202="x"))*(G202-IFERROR(H202,0))/IFERROR(IF(COUNTIF(J202:U202,"x")=0,COUNTA(Besatzung!$B$11:$B$22),COUNTIF(J202:U202,"x")),1)+IF(COUNTIF(J202:U202,"x")=0,(Besatzung!$F$15="x"),(N202="x")*(Besatzung!$F$15="x"))*IFERROR(H202,0)/IFERROR(IF(COUNTIF(J202:U202,"x")=0,SUMPRODUCT((Besatzung!$B$11:$B$22&lt;&gt;"")*(Besatzung!$F$11:$F$22="x")),SUMPRODUCT((J202:U202="x")*(Besatzung!$F$11:$F$22="x"))),1))))),0))))</f>
        <v/>
      </c>
      <c r="AA202" s="247">
        <f>IF(C202="Gutschrift","",IF(G202="","",IF(Besatzung!$B$15="","",IFERROR(IF(I202="Zeitanteilig",(Besatzung!$G$16*(G202-IFERROR(H202,0))+((Besatzung!$B$15&lt;&gt;"")*IF(B202="",1,(IF(Besatzung!$C$16="",Besatzung!$B$5,Besatzung!$C$16)&lt;=B202)*(IF(Besatzung!$D$16="",Besatzung!$B$6,Besatzung!$D$16)&gt;=B202)))*(Besatzung!$F$16="x")*IFERROR(H202,0)/IFERROR(SUMPRODUCT((Besatzung!$B$11:$B$22&lt;&gt;"")*(Besatzung!$F$11:$F$22="x")*(IF(Besatzung!$C$11:$C$22="",Besatzung!$B$5,Besatzung!$C$11:$C$22)&lt;=B202)*(IF(Besatzung!$D$11:$D$22="",Besatzung!$B$6,Besatzung!$D$11:$D$22)&gt;=B202)),1)),IF(I202="An Bord",(((Besatzung!$B$15&lt;&gt;"")*IF(B202="",1,(IF(Besatzung!$C$16="",Besatzung!$B$5,Besatzung!$C$16)&lt;=B202)*(IF(Besatzung!$D$16="",Besatzung!$B$6,Besatzung!$D$16)&gt;=B202)))*((G202-IFERROR(H202,0))/IFERROR(SUMPRODUCT((Besatzung!$B$11:$B$22&lt;&gt;"")*(IF(Besatzung!$C$11:$C$22="",Besatzung!$B$5,Besatzung!$C$11:$C$22)&lt;=B202)*(IF(Besatzung!$D$11:$D$22="",Besatzung!$B$6,Besatzung!$D$11:$D$22)&gt;=B202)),1)+(Besatzung!$F$16="x")*IFERROR(H202,0)/IFERROR(SUMPRODUCT((Besatzung!$B$11:$B$22&lt;&gt;"")*(Besatzung!$F$11:$F$22="x")*(IF(Besatzung!$C$11:$C$22="",Besatzung!$B$5,Besatzung!$C$11:$C$22)&lt;=B202)*(IF(Besatzung!$D$11:$D$22="",Besatzung!$B$6,Besatzung!$D$11:$D$22)&gt;=B202)),1))),IF(I202="Individuell",((O202="x")*((G202-IFERROR(H202,0))/IFERROR(COUNTIF(J202:U202,"x"),1)+(Besatzung!$F$16="x")*IFERROR(H202,0)/IFERROR(SUMPRODUCT((J202:U202="x")*(Besatzung!$F$11:$F$22="x")),1))),(IF(COUNTIF(J202:U202,"x")=0,IF(Besatzung!$B$15&lt;&gt;"",1,0),(O202="x"))*(G202-IFERROR(H202,0))/IFERROR(IF(COUNTIF(J202:U202,"x")=0,COUNTA(Besatzung!$B$11:$B$22),COUNTIF(J202:U202,"x")),1)+IF(COUNTIF(J202:U202,"x")=0,(Besatzung!$F$16="x"),(O202="x")*(Besatzung!$F$16="x"))*IFERROR(H202,0)/IFERROR(IF(COUNTIF(J202:U202,"x")=0,SUMPRODUCT((Besatzung!$B$11:$B$22&lt;&gt;"")*(Besatzung!$F$11:$F$22="x")),SUMPRODUCT((J202:U202="x")*(Besatzung!$F$11:$F$22="x"))),1))))),0))))</f>
        <v/>
      </c>
      <c r="AB202" s="247">
        <f>IF(C202="Gutschrift","",IF(G202="","",IF(Besatzung!$B$17="","",IFERROR(IF(I202="Zeitanteilig",(Besatzung!$G$17*(G202-IFERROR(H202,0))+((Besatzung!$B$17&lt;&gt;"")*IF(B202="",1,(IF(Besatzung!$C$17="",Besatzung!$B$5,Besatzung!$C$17)&lt;=B202)*(IF(Besatzung!$D$17="",Besatzung!$B$6,Besatzung!$D$17)&gt;=B202)))*(Besatzung!$F$17="x")*IFERROR(H202,0)/IFERROR(SUMPRODUCT((Besatzung!$B$11:$B$22&lt;&gt;"")*(Besatzung!$F$11:$F$22="x")*(IF(Besatzung!$C$11:$C$22="",Besatzung!$B$5,Besatzung!$C$11:$C$22)&lt;=B202)*(IF(Besatzung!$D$11:$D$22="",Besatzung!$B$6,Besatzung!$D$11:$D$22)&gt;=B202)),1)),IF(I202="An Bord",(((Besatzung!$B$17&lt;&gt;"")*IF(B202="",1,(IF(Besatzung!$C$17="",Besatzung!$B$5,Besatzung!$C$17)&lt;=B202)*(IF(Besatzung!$D$17="",Besatzung!$B$6,Besatzung!$D$17)&gt;=B202)))*((G202-IFERROR(H202,0))/IFERROR(SUMPRODUCT((Besatzung!$B$11:$B$22&lt;&gt;"")*(IF(Besatzung!$C$11:$C$22="",Besatzung!$B$5,Besatzung!$C$11:$C$22)&lt;=B202)*(IF(Besatzung!$D$11:$D$22="",Besatzung!$B$6,Besatzung!$D$11:$D$22)&gt;=B202)),1)+(Besatzung!$F$17="x")*IFERROR(H202,0)/IFERROR(SUMPRODUCT((Besatzung!$B$11:$B$22&lt;&gt;"")*(Besatzung!$F$11:$F$22="x")*(IF(Besatzung!$C$11:$C$22="",Besatzung!$B$5,Besatzung!$C$11:$C$22)&lt;=B202)*(IF(Besatzung!$D$11:$D$22="",Besatzung!$B$6,Besatzung!$D$11:$D$22)&gt;=B202)),1))),IF(I202="Individuell",((P202="x")*((G202-IFERROR(H202,0))/IFERROR(COUNTIF(J202:U202,"x"),1)+(Besatzung!$F$17="x")*IFERROR(H202,0)/IFERROR(SUMPRODUCT((J202:U202="x")*(Besatzung!$F$11:$F$22="x")),1))),(IF(COUNTIF(J202:U202,"x")=0,IF(Besatzung!$B$17&lt;&gt;"",1,0),(P202="x"))*(G202-IFERROR(H202,0))/IFERROR(IF(COUNTIF(J202:U202,"x")=0,COUNTA(Besatzung!$B$11:$B$22),COUNTIF(J202:U202,"x")),1)+IF(COUNTIF(J202:U202,"x")=0,(Besatzung!$F$17="x"),(P202="x")*(Besatzung!$F$17="x"))*IFERROR(H202,0)/IFERROR(IF(COUNTIF(J202:U202,"x")=0,SUMPRODUCT((Besatzung!$B$11:$B$22&lt;&gt;"")*(Besatzung!$F$11:$F$22="x")),SUMPRODUCT((J202:U202="x")*(Besatzung!$F$11:$F$22="x"))),1))))),0))))</f>
        <v/>
      </c>
      <c r="AC202" s="247">
        <f>IF(C202="Gutschrift","",IF(G202="","",IF(Besatzung!$B$18="","",IFERROR(IF(I202="Zeitanteilig",(Besatzung!$G$18*(G202-IFERROR(H202,0))+((Besatzung!$B$18&lt;&gt;"")*IF(B202="",1,(IF(Besatzung!$C$18="",Besatzung!$B$5,Besatzung!$C$18)&lt;=B202)*(IF(Besatzung!$D$18="",Besatzung!$B$6,Besatzung!$D$18)&gt;=B202)))*(Besatzung!$F$18="x")*IFERROR(H202,0)/IFERROR(SUMPRODUCT((Besatzung!$B$11:$B$22&lt;&gt;"")*(Besatzung!$F$11:$F$22="x")*(IF(Besatzung!$C$11:$C$22="",Besatzung!$B$5,Besatzung!$C$11:$C$22)&lt;=B202)*(IF(Besatzung!$D$11:$D$22="",Besatzung!$B$6,Besatzung!$D$11:$D$22)&gt;=B202)),1)),IF(I202="An Bord",(((Besatzung!$B$18&lt;&gt;"")*IF(B202="",1,(IF(Besatzung!$C$18="",Besatzung!$B$5,Besatzung!$C$18)&lt;=B202)*(IF(Besatzung!$D$18="",Besatzung!$B$6,Besatzung!$D$18)&gt;=B202)))*((G202-IFERROR(H202,0))/IFERROR(SUMPRODUCT((Besatzung!$B$11:$B$22&lt;&gt;"")*(IF(Besatzung!$C$11:$C$22="",Besatzung!$B$5,Besatzung!$C$11:$C$22)&lt;=B202)*(IF(Besatzung!$D$11:$D$22="",Besatzung!$B$6,Besatzung!$D$11:$D$22)&gt;=B202)),1)+(Besatzung!$F$18="x")*IFERROR(H202,0)/IFERROR(SUMPRODUCT((Besatzung!$B$11:$B$22&lt;&gt;"")*(Besatzung!$F$11:$F$22="x")*(IF(Besatzung!$C$11:$C$22="",Besatzung!$B$5,Besatzung!$C$11:$C$22)&lt;=B202)*(IF(Besatzung!$D$11:$D$22="",Besatzung!$B$6,Besatzung!$D$11:$D$22)&gt;=B202)),1))),IF(I202="Individuell",((Q202="x")*((G202-IFERROR(H202,0))/IFERROR(COUNTIF(J202:U202,"x"),1)+(Besatzung!$F$18="x")*IFERROR(H202,0)/IFERROR(SUMPRODUCT((J202:U202="x")*(Besatzung!$F$11:$F$22="x")),1))),(IF(COUNTIF(J202:U202,"x")=0,IF(Besatzung!$B$18&lt;&gt;"",1,0),(Q202="x"))*(G202-IFERROR(H202,0))/IFERROR(IF(COUNTIF(J202:U202,"x")=0,COUNTA(Besatzung!$B$11:$B$22),COUNTIF(J202:U202,"x")),1)+IF(COUNTIF(J202:U202,"x")=0,(Besatzung!$F$18="x"),(Q202="x")*(Besatzung!$F$18="x"))*IFERROR(H202,0)/IFERROR(IF(COUNTIF(J202:U202,"x")=0,SUMPRODUCT((Besatzung!$B$11:$B$22&lt;&gt;"")*(Besatzung!$F$11:$F$22="x")),SUMPRODUCT((J202:U202="x")*(Besatzung!$F$11:$F$22="x"))),1))))),0))))</f>
        <v/>
      </c>
      <c r="AD202" s="247">
        <f>IF(C202="Gutschrift","",IF(G202="","",IF(Besatzung!$B$19="","",IFERROR(IF(I202="Zeitanteilig",(Besatzung!$G$19*(G202-IFERROR(H202,0))+((Besatzung!$B$19&lt;&gt;"")*IF(B202="",1,(IF(Besatzung!$C$19="",Besatzung!$B$5,Besatzung!$C$19)&lt;=B202)*(IF(Besatzung!$D$19="",Besatzung!$B$6,Besatzung!$D$19)&gt;=B202)))*(Besatzung!$F$19="x")*IFERROR(H202,0)/IFERROR(SUMPRODUCT((Besatzung!$B$11:$B$22&lt;&gt;"")*(Besatzung!$F$11:$F$22="x")*(IF(Besatzung!$C$11:$C$22="",Besatzung!$B$5,Besatzung!$C$11:$C$22)&lt;=B202)*(IF(Besatzung!$D$11:$D$22="",Besatzung!$B$6,Besatzung!$D$11:$D$22)&gt;=B202)),1)),IF(I202="An Bord",(((Besatzung!$B$19&lt;&gt;"")*IF(B202="",1,(IF(Besatzung!$C$19="",Besatzung!$B$5,Besatzung!$C$19)&lt;=B202)*(IF(Besatzung!$D$19="",Besatzung!$B$6,Besatzung!$D$19)&gt;=B202)))*((G202-IFERROR(H202,0))/IFERROR(SUMPRODUCT((Besatzung!$B$11:$B$22&lt;&gt;"")*(IF(Besatzung!$C$11:$C$22="",Besatzung!$B$5,Besatzung!$C$11:$C$22)&lt;=B202)*(IF(Besatzung!$D$11:$D$22="",Besatzung!$B$6,Besatzung!$D$11:$D$22)&gt;=B202)),1)+(Besatzung!$F$19="x")*IFERROR(H202,0)/IFERROR(SUMPRODUCT((Besatzung!$B$11:$B$22&lt;&gt;"")*(Besatzung!$F$11:$F$22="x")*(IF(Besatzung!$C$11:$C$22="",Besatzung!$B$5,Besatzung!$C$11:$C$22)&lt;=B202)*(IF(Besatzung!$D$11:$D$22="",Besatzung!$B$6,Besatzung!$D$11:$D$22)&gt;=B202)),1))),IF(I202="Individuell",((R202="x")*((G202-IFERROR(H202,0))/IFERROR(COUNTIF(J202:U202,"x"),1)+(Besatzung!$F$19="x")*IFERROR(H202,0)/IFERROR(SUMPRODUCT((J202:U202="x")*(Besatzung!$F$11:$F$22="x")),1))),(IF(COUNTIF(J202:U202,"x")=0,IF(Besatzung!$B$19&lt;&gt;"",1,0),(R202="x"))*(G202-IFERROR(H202,0))/IFERROR(IF(COUNTIF(J202:U202,"x")=0,COUNTA(Besatzung!$B$11:$B$22),COUNTIF(J202:U202,"x")),1)+IF(COUNTIF(J202:U202,"x")=0,(Besatzung!$F$19="x"),(R202="x")*(Besatzung!$F$19="x"))*IFERROR(H202,0)/IFERROR(IF(COUNTIF(J202:U202,"x")=0,SUMPRODUCT((Besatzung!$B$11:$B$22&lt;&gt;"")*(Besatzung!$F$11:$F$22="x")),SUMPRODUCT((J202:U202="x")*(Besatzung!$F$11:$F$22="x"))),1))))),0))))</f>
        <v/>
      </c>
      <c r="AE202" s="247">
        <f>IF(C202="Gutschrift","",IF(G202="","",IF(Besatzung!$B$20="","",IFERROR(IF(I202="Zeitanteilig",(Besatzung!$G$20*(G202-IFERROR(H202,0))+((Besatzung!$B$20&lt;&gt;"")*IF(B202="",1,(IF(Besatzung!$C$20="",Besatzung!$B$5,Besatzung!$C$20)&lt;=B202)*(IF(Besatzung!$D$20="",Besatzung!$B$6,Besatzung!$D$20)&gt;=B202)))*(Besatzung!$F$20="x")*IFERROR(H202,0)/IFERROR(SUMPRODUCT((Besatzung!$B$11:$B$22&lt;&gt;"")*(Besatzung!$F$11:$F$22="x")*(IF(Besatzung!$C$11:$C$22="",Besatzung!$B$5,Besatzung!$C$11:$C$22)&lt;=B202)*(IF(Besatzung!$D$11:$D$22="",Besatzung!$B$6,Besatzung!$D$11:$D$22)&gt;=B202)),1)),IF(I202="An Bord",(((Besatzung!$B$20&lt;&gt;"")*IF(B202="",1,(IF(Besatzung!$C$20="",Besatzung!$B$5,Besatzung!$C$20)&lt;=B202)*(IF(Besatzung!$D$20="",Besatzung!$B$6,Besatzung!$D$20)&gt;=B202)))*((G202-IFERROR(H202,0))/IFERROR(SUMPRODUCT((Besatzung!$B$11:$B$22&lt;&gt;"")*(IF(Besatzung!$C$11:$C$22="",Besatzung!$B$5,Besatzung!$C$11:$C$22)&lt;=B202)*(IF(Besatzung!$D$11:$D$22="",Besatzung!$B$6,Besatzung!$D$11:$D$22)&gt;=B202)),1)+(Besatzung!$F$20="x")*IFERROR(H202,0)/IFERROR(SUMPRODUCT((Besatzung!$B$11:$B$22&lt;&gt;"")*(Besatzung!$F$11:$F$22="x")*(IF(Besatzung!$C$11:$C$22="",Besatzung!$B$5,Besatzung!$C$11:$C$22)&lt;=B202)*(IF(Besatzung!$D$11:$D$22="",Besatzung!$B$6,Besatzung!$D$11:$D$22)&gt;=B202)),1))),IF(I202="Individuell",((S202="x")*((G202-IFERROR(H202,0))/IFERROR(COUNTIF(J202:U202,"x"),1)+(Besatzung!$F$20="x")*IFERROR(H202,0)/IFERROR(SUMPRODUCT((J202:U202="x")*(Besatzung!$F$11:$F$22="x")),1))),(IF(COUNTIF(J202:U202,"x")=0,IF(Besatzung!$B$20&lt;&gt;"",1,0),(S202="x"))*(G202-IFERROR(H202,0))/IFERROR(IF(COUNTIF(J202:U202,"x")=0,COUNTA(Besatzung!$B$11:$B$22),COUNTIF(J202:U202,"x")),1)+IF(COUNTIF(J202:U202,"x")=0,(Besatzung!$F$20="x"),(S202="x")*(Besatzung!$F$20="x"))*IFERROR(H202,0)/IFERROR(IF(COUNTIF(J202:U202,"x")=0,SUMPRODUCT((Besatzung!$B$11:$B$22&lt;&gt;"")*(Besatzung!$F$11:$F$22="x")),SUMPRODUCT((J202:U202="x")*(Besatzung!$F$11:$F$22="x"))),1))))),0))))</f>
        <v/>
      </c>
      <c r="AF202" s="247">
        <f>IF(C202="Gutschrift","",IF(G202="","",IF(Besatzung!$B$21="","",IFERROR(IF(I202="Zeitanteilig",(Besatzung!$G$21*(G202-IFERROR(H202,0))+((Besatzung!$B$21&lt;&gt;"")*IF(B202="",1,(IF(Besatzung!$C$21="",Besatzung!$B$5,Besatzung!$C$21)&lt;=B202)*(IF(Besatzung!$D$21="",Besatzung!$B$6,Besatzung!$D$21)&gt;=B202)))*(Besatzung!$F$21="x")*IFERROR(H202,0)/IFERROR(SUMPRODUCT((Besatzung!$B$11:$B$22&lt;&gt;"")*(Besatzung!$F$11:$F$22="x")*(IF(Besatzung!$C$11:$C$22="",Besatzung!$B$5,Besatzung!$C$11:$C$22)&lt;=B202)*(IF(Besatzung!$D$11:$D$22="",Besatzung!$B$6,Besatzung!$D$11:$D$22)&gt;=B202)),1)),IF(I202="An Bord",(((Besatzung!$B$21&lt;&gt;"")*IF(B202="",1,(IF(Besatzung!$C$21="",Besatzung!$B$5,Besatzung!$C$21)&lt;=B202)*(IF(Besatzung!$D$21="",Besatzung!$B$6,Besatzung!$D$21)&gt;=B202)))*((G202-IFERROR(H202,0))/IFERROR(SUMPRODUCT((Besatzung!$B$11:$B$22&lt;&gt;"")*(IF(Besatzung!$C$11:$C$22="",Besatzung!$B$5,Besatzung!$C$11:$C$22)&lt;=B202)*(IF(Besatzung!$D$11:$D$22="",Besatzung!$B$6,Besatzung!$D$11:$D$22)&gt;=B202)),1)+(Besatzung!$F$21="x")*IFERROR(H202,0)/IFERROR(SUMPRODUCT((Besatzung!$B$11:$B$22&lt;&gt;"")*(Besatzung!$F$11:$F$22="x")*(IF(Besatzung!$C$11:$C$22="",Besatzung!$B$5,Besatzung!$C$11:$C$22)&lt;=B202)*(IF(Besatzung!$D$11:$D$22="",Besatzung!$B$6,Besatzung!$D$11:$D$22)&gt;=B202)),1))),IF(I202="Individuell",((T202="x")*((G202-IFERROR(H202,0))/IFERROR(COUNTIF(J202:U202,"x"),1)+(Besatzung!$F$21="x")*IFERROR(H202,0)/IFERROR(SUMPRODUCT((J202:U202="x")*(Besatzung!$F$11:$F$22="x")),1))),(IF(COUNTIF(J202:U202,"x")=0,IF(Besatzung!$B$21&lt;&gt;"",1,0),(T202="x"))*(G202-IFERROR(H202,0))/IFERROR(IF(COUNTIF(J202:U202,"x")=0,COUNTA(Besatzung!$B$11:$B$22),COUNTIF(J202:U202,"x")),1)+IF(COUNTIF(J202:U202,"x")=0,(Besatzung!$F$21="x"),(T202="x")*(Besatzung!$F$21="x"))*IFERROR(H202,0)/IFERROR(IF(COUNTIF(J202:U202,"x")=0,SUMPRODUCT((Besatzung!$B$11:$B$22&lt;&gt;"")*(Besatzung!$F$11:$F$22="x")),SUMPRODUCT((J202:U202="x")*(Besatzung!$F$11:$F$22="x"))),1))))),0))))</f>
        <v/>
      </c>
      <c r="AG202" s="247">
        <f>IF(C202="Gutschrift","",IF(G202="","",IF(Besatzung!$B$22="","",IFERROR(IF(I202="Zeitanteilig",(Besatzung!$G$22*(G202-IFERROR(H202,0))+((Besatzung!$B$22&lt;&gt;"")*IF(B202="",1,(IF(Besatzung!$C$22="",Besatzung!$B$5,Besatzung!$C$22)&lt;=B202)*(IF(Besatzung!$D$22="",Besatzung!$B$6,Besatzung!$D$22)&gt;=B202)))*(Besatzung!$F$22="x")*IFERROR(H202,0)/IFERROR(SUMPRODUCT((Besatzung!$B$11:$B$22&lt;&gt;"")*(Besatzung!$F$11:$F$22="x")*(IF(Besatzung!$C$11:$C$22="",Besatzung!$B$5,Besatzung!$C$11:$C$22)&lt;=B202)*(IF(Besatzung!$D$11:$D$22="",Besatzung!$B$6,Besatzung!$D$11:$D$22)&gt;=B202)),1)),IF(I202="An Bord",(((Besatzung!$B$22&lt;&gt;"")*IF(B202="",1,(IF(Besatzung!$C$22="",Besatzung!$B$5,Besatzung!$C$22)&lt;=B202)*(IF(Besatzung!$D$22="",Besatzung!$B$6,Besatzung!$D$22)&gt;=B202)))*((G202-IFERROR(H202,0))/IFERROR(SUMPRODUCT((Besatzung!$B$11:$B$22&lt;&gt;"")*(IF(Besatzung!$C$11:$C$22="",Besatzung!$B$5,Besatzung!$C$11:$C$22)&lt;=B202)*(IF(Besatzung!$D$11:$D$22="",Besatzung!$B$6,Besatzung!$D$11:$D$22)&gt;=B202)),1)+(Besatzung!$F$22="x")*IFERROR(H202,0)/IFERROR(SUMPRODUCT((Besatzung!$B$11:$B$22&lt;&gt;"")*(Besatzung!$F$11:$F$22="x")*(IF(Besatzung!$C$11:$C$22="",Besatzung!$B$5,Besatzung!$C$11:$C$22)&lt;=B202)*(IF(Besatzung!$D$11:$D$22="",Besatzung!$B$6,Besatzung!$D$11:$D$22)&gt;=B202)),1))),IF(I202="Individuell",((U202="x")*((G202-IFERROR(H202,0))/IFERROR(COUNTIF(J202:U202,"x"),1)+(Besatzung!$F$22="x")*IFERROR(H202,0)/IFERROR(SUMPRODUCT((J202:U202="x")*(Besatzung!$F$11:$F$22="x")),1))),(IF(COUNTIF(J202:U202,"x")=0,IF(Besatzung!$B$22&lt;&gt;"",1,0),(U202="x"))*(G202-IFERROR(H202,0))/IFERROR(IF(COUNTIF(J202:U202,"x")=0,COUNTA(Besatzung!$B$11:$B$22),COUNTIF(J202:U202,"x")),1)+IF(COUNTIF(J202:U202,"x")=0,(Besatzung!$F$22="x"),(U202="x")*(Besatzung!$F$22="x"))*IFERROR(H202,0)/IFERROR(IF(COUNTIF(J202:U202,"x")=0,SUMPRODUCT((Besatzung!$B$11:$B$22&lt;&gt;"")*(Besatzung!$F$11:$F$22="x")),SUMPRODUCT((J202:U202="x")*(Besatzung!$F$11:$F$22="x"))),1))))),0))))</f>
        <v/>
      </c>
      <c r="AH202" s="248" t="n"/>
      <c r="AI202" s="248" t="n"/>
    </row>
    <row r="203" ht="21.75" customHeight="1" s="154">
      <c r="A203" s="257">
        <f>IF(AND(D203="",C203=""),"",200)</f>
        <v/>
      </c>
      <c r="B203" s="213" t="n"/>
      <c r="C203" s="258" t="n"/>
      <c r="D203" s="259" t="n"/>
      <c r="E203" s="260" t="n"/>
      <c r="F203" s="261" t="n"/>
      <c r="G203" s="262" t="n"/>
      <c r="H203" s="263" t="n"/>
      <c r="I203" s="264" t="n"/>
      <c r="J203" s="265" t="n"/>
      <c r="K203" s="265" t="n"/>
      <c r="L203" s="265" t="n"/>
      <c r="M203" s="265" t="n"/>
      <c r="N203" s="265" t="n"/>
      <c r="O203" s="265" t="n"/>
      <c r="P203" s="265" t="n"/>
      <c r="Q203" s="265" t="n"/>
      <c r="R203" s="265" t="n"/>
      <c r="S203" s="265" t="n"/>
      <c r="T203" s="265" t="n"/>
      <c r="U203" s="265" t="n"/>
      <c r="V203" s="266">
        <f>IF(C203="Gutschrift","",IF(G203="","",IF(Besatzung!$B$11="","",IFERROR(IF(I203="Zeitanteilig",(Besatzung!$G$11*(G203-IFERROR(H203,0))+((Besatzung!$B$11&lt;&gt;"")*IF(B203="",1,(IF(Besatzung!$C$11="",Besatzung!$B$5,Besatzung!$C$11)&lt;=B203)*(IF(Besatzung!$D$11="",Besatzung!$B$6,Besatzung!$D$11)&gt;=B203)))*(Besatzung!$F$11="x")*IFERROR(H203,0)/IFERROR(SUMPRODUCT((Besatzung!$B$11:$B$22&lt;&gt;"")*(Besatzung!$F$11:$F$22="x")*(IF(Besatzung!$C$11:$C$22="",Besatzung!$B$5,Besatzung!$C$11:$C$22)&lt;=B203)*(IF(Besatzung!$D$11:$D$22="",Besatzung!$B$6,Besatzung!$D$11:$D$22)&gt;=B203)),1)),IF(I203="An Bord",(((Besatzung!$B$11&lt;&gt;"")*IF(B203="",1,(IF(Besatzung!$C$11="",Besatzung!$B$5,Besatzung!$C$11)&lt;=B203)*(IF(Besatzung!$D$11="",Besatzung!$B$6,Besatzung!$D$11)&gt;=B203)))*((G203-IFERROR(H203,0))/IFERROR(SUMPRODUCT((Besatzung!$B$11:$B$22&lt;&gt;"")*(IF(Besatzung!$C$11:$C$22="",Besatzung!$B$5,Besatzung!$C$11:$C$22)&lt;=B203)*(IF(Besatzung!$D$11:$D$22="",Besatzung!$B$6,Besatzung!$D$11:$D$22)&gt;=B203)),1)+(Besatzung!$F$11="x")*IFERROR(H203,0)/IFERROR(SUMPRODUCT((Besatzung!$B$11:$B$22&lt;&gt;"")*(Besatzung!$F$11:$F$22="x")*(IF(Besatzung!$C$11:$C$22="",Besatzung!$B$5,Besatzung!$C$11:$C$22)&lt;=B203)*(IF(Besatzung!$D$11:$D$22="",Besatzung!$B$6,Besatzung!$D$11:$D$22)&gt;=B203)),1))),IF(I203="Individuell",((J203="x")*((G203-IFERROR(H203,0))/IFERROR(COUNTIF(J203:U203,"x"),1)+(Besatzung!$F$11="x")*IFERROR(H203,0)/IFERROR(SUMPRODUCT((J203:U203="x")*(Besatzung!$F$11:$F$22="x")),1))),(IF(COUNTIF(J203:U203,"x")=0,IF(Besatzung!$B$11&lt;&gt;"",1,0),(J203="x"))*(G203-IFERROR(H203,0))/IFERROR(IF(COUNTIF(J203:U203,"x")=0,COUNTA(Besatzung!$B$11:$B$22),COUNTIF(J203:U203,"x")),1)+IF(COUNTIF(J203:U203,"x")=0,(Besatzung!$F$11="x"),(J203="x")*(Besatzung!$F$11="x"))*IFERROR(H203,0)/IFERROR(IF(COUNTIF(J203:U203,"x")=0,SUMPRODUCT((Besatzung!$B$11:$B$22&lt;&gt;"")*(Besatzung!$F$11:$F$22="x")),SUMPRODUCT((J203:U203="x")*(Besatzung!$F$11:$F$22="x"))),1))))),0))))</f>
        <v/>
      </c>
      <c r="W203" s="266">
        <f>IF(C203="Gutschrift","",IF(G203="","",IF(Besatzung!$B$12="","",IFERROR(IF(I203="Zeitanteilig",(Besatzung!$G$12*(G203-IFERROR(H203,0))+((Besatzung!$B$12&lt;&gt;"")*IF(B203="",1,(IF(Besatzung!$C$12="",Besatzung!$B$5,Besatzung!$C$12)&lt;=B203)*(IF(Besatzung!$D$12="",Besatzung!$B$6,Besatzung!$D$12)&gt;=B203)))*(Besatzung!$F$12="x")*IFERROR(H203,0)/IFERROR(SUMPRODUCT((Besatzung!$B$11:$B$22&lt;&gt;"")*(Besatzung!$F$11:$F$22="x")*(IF(Besatzung!$C$11:$C$22="",Besatzung!$B$5,Besatzung!$C$11:$C$22)&lt;=B203)*(IF(Besatzung!$D$11:$D$22="",Besatzung!$B$6,Besatzung!$D$11:$D$22)&gt;=B203)),1)),IF(I203="An Bord",(((Besatzung!$B$12&lt;&gt;"")*IF(B203="",1,(IF(Besatzung!$C$12="",Besatzung!$B$5,Besatzung!$C$12)&lt;=B203)*(IF(Besatzung!$D$12="",Besatzung!$B$6,Besatzung!$D$12)&gt;=B203)))*((G203-IFERROR(H203,0))/IFERROR(SUMPRODUCT((Besatzung!$B$11:$B$22&lt;&gt;"")*(IF(Besatzung!$C$11:$C$22="",Besatzung!$B$5,Besatzung!$C$11:$C$22)&lt;=B203)*(IF(Besatzung!$D$11:$D$22="",Besatzung!$B$6,Besatzung!$D$11:$D$22)&gt;=B203)),1)+(Besatzung!$F$12="x")*IFERROR(H203,0)/IFERROR(SUMPRODUCT((Besatzung!$B$11:$B$22&lt;&gt;"")*(Besatzung!$F$11:$F$22="x")*(IF(Besatzung!$C$11:$C$22="",Besatzung!$B$5,Besatzung!$C$11:$C$22)&lt;=B203)*(IF(Besatzung!$D$11:$D$22="",Besatzung!$B$6,Besatzung!$D$11:$D$22)&gt;=B203)),1))),IF(I203="Individuell",((K203="x")*((G203-IFERROR(H203,0))/IFERROR(COUNTIF(J203:U203,"x"),1)+(Besatzung!$F$12="x")*IFERROR(H203,0)/IFERROR(SUMPRODUCT((J203:U203="x")*(Besatzung!$F$11:$F$22="x")),1))),(IF(COUNTIF(J203:U203,"x")=0,IF(Besatzung!$B$12&lt;&gt;"",1,0),(K203="x"))*(G203-IFERROR(H203,0))/IFERROR(IF(COUNTIF(J203:U203,"x")=0,COUNTA(Besatzung!$B$11:$B$22),COUNTIF(J203:U203,"x")),1)+IF(COUNTIF(J203:U203,"x")=0,(Besatzung!$F$12="x"),(K203="x")*(Besatzung!$F$12="x"))*IFERROR(H203,0)/IFERROR(IF(COUNTIF(J203:U203,"x")=0,SUMPRODUCT((Besatzung!$B$11:$B$22&lt;&gt;"")*(Besatzung!$F$11:$F$22="x")),SUMPRODUCT((J203:U203="x")*(Besatzung!$F$11:$F$22="x"))),1))))),0))))</f>
        <v/>
      </c>
      <c r="X203" s="266">
        <f>IF(C203="Gutschrift","",IF(G203="","",IF(Besatzung!$B$13="","",IFERROR(IF(I203="Zeitanteilig",(Besatzung!$G$13*(G203-IFERROR(H203,0))+((Besatzung!$B$13&lt;&gt;"")*IF(B203="",1,(IF(Besatzung!$C$13="",Besatzung!$B$5,Besatzung!$C$13)&lt;=B203)*(IF(Besatzung!$D$13="",Besatzung!$B$6,Besatzung!$D$13)&gt;=B203)))*(Besatzung!$F$13="x")*IFERROR(H203,0)/IFERROR(SUMPRODUCT((Besatzung!$B$11:$B$22&lt;&gt;"")*(Besatzung!$F$11:$F$22="x")*(IF(Besatzung!$C$11:$C$22="",Besatzung!$B$5,Besatzung!$C$11:$C$22)&lt;=B203)*(IF(Besatzung!$D$11:$D$22="",Besatzung!$B$6,Besatzung!$D$11:$D$22)&gt;=B203)),1)),IF(I203="An Bord",(((Besatzung!$B$13&lt;&gt;"")*IF(B203="",1,(IF(Besatzung!$C$13="",Besatzung!$B$5,Besatzung!$C$13)&lt;=B203)*(IF(Besatzung!$D$13="",Besatzung!$B$6,Besatzung!$D$13)&gt;=B203)))*((G203-IFERROR(H203,0))/IFERROR(SUMPRODUCT((Besatzung!$B$11:$B$22&lt;&gt;"")*(IF(Besatzung!$C$11:$C$22="",Besatzung!$B$5,Besatzung!$C$11:$C$22)&lt;=B203)*(IF(Besatzung!$D$11:$D$22="",Besatzung!$B$6,Besatzung!$D$11:$D$22)&gt;=B203)),1)+(Besatzung!$F$13="x")*IFERROR(H203,0)/IFERROR(SUMPRODUCT((Besatzung!$B$11:$B$22&lt;&gt;"")*(Besatzung!$F$11:$F$22="x")*(IF(Besatzung!$C$11:$C$22="",Besatzung!$B$5,Besatzung!$C$11:$C$22)&lt;=B203)*(IF(Besatzung!$D$11:$D$22="",Besatzung!$B$6,Besatzung!$D$11:$D$22)&gt;=B203)),1))),IF(I203="Individuell",((K203="x")*((G203-IFERROR(H203,0))/IFERROR(COUNTIF(J203:U203,"x"),1)+(Besatzung!$F$13="x")*IFERROR(H203,0)/IFERROR(SUMPRODUCT((J203:U203="x")*(Besatzung!$F$11:$F$22="x")),1))),(IF(COUNTIF(J203:U203,"x")=0,IF(Besatzung!$B$13&lt;&gt;"",1,0),(K203="x"))*(G203-IFERROR(H203,0))/IFERROR(IF(COUNTIF(J203:U203,"x")=0,COUNTA(Besatzung!$B$11:$B$22),COUNTIF(J203:U203,"x")),1)+IF(COUNTIF(J203:U203,"x")=0,(Besatzung!$F$13="x"),(K203="x")*(Besatzung!$F$13="x"))*IFERROR(H203,0)/IFERROR(IF(COUNTIF(J203:U203,"x")=0,SUMPRODUCT((Besatzung!$B$11:$B$22&lt;&gt;"")*(Besatzung!$F$11:$F$22="x")),SUMPRODUCT((J203:U203="x")*(Besatzung!$F$11:$F$22="x"))),1))))),0))))</f>
        <v/>
      </c>
      <c r="Y203" s="266">
        <f>IF(C203="Gutschrift","",IF(G203="","",IF(Besatzung!$B$14="","",IFERROR(IF(I203="Zeitanteilig",(Besatzung!$G$14*(G203-IFERROR(H203,0))+((Besatzung!$B$14&lt;&gt;"")*IF(B203="",1,(IF(Besatzung!$C$14="",Besatzung!$B$5,Besatzung!$C$14)&lt;=B203)*(IF(Besatzung!$D$14="",Besatzung!$B$6,Besatzung!$D$14)&gt;=B203)))*(Besatzung!$F$14="x")*IFERROR(H203,0)/IFERROR(SUMPRODUCT((Besatzung!$B$11:$B$22&lt;&gt;"")*(Besatzung!$F$11:$F$22="x")*(IF(Besatzung!$C$11:$C$22="",Besatzung!$B$5,Besatzung!$C$11:$C$22)&lt;=B203)*(IF(Besatzung!$D$11:$D$22="",Besatzung!$B$6,Besatzung!$D$11:$D$22)&gt;=B203)),1)),IF(I203="An Bord",(((Besatzung!$B$14&lt;&gt;"")*IF(B203="",1,(IF(Besatzung!$C$14="",Besatzung!$B$5,Besatzung!$C$14)&lt;=B203)*(IF(Besatzung!$D$14="",Besatzung!$B$6,Besatzung!$D$14)&gt;=B203)))*((G203-IFERROR(H203,0))/IFERROR(SUMPRODUCT((Besatzung!$B$11:$B$22&lt;&gt;"")*(IF(Besatzung!$C$11:$C$22="",Besatzung!$B$5,Besatzung!$C$11:$C$22)&lt;=B203)*(IF(Besatzung!$D$11:$D$22="",Besatzung!$B$6,Besatzung!$D$11:$D$22)&gt;=B203)),1)+(Besatzung!$F$14="x")*IFERROR(H203,0)/IFERROR(SUMPRODUCT((Besatzung!$B$11:$B$22&lt;&gt;"")*(Besatzung!$F$11:$F$22="x")*(IF(Besatzung!$C$11:$C$22="",Besatzung!$B$5,Besatzung!$C$11:$C$22)&lt;=B203)*(IF(Besatzung!$D$11:$D$22="",Besatzung!$B$6,Besatzung!$D$11:$D$22)&gt;=B203)),1))),IF(I203="Individuell",((M203="x")*((G203-IFERROR(H203,0))/IFERROR(COUNTIF(J203:U203,"x"),1)+(Besatzung!$F$14="x")*IFERROR(H203,0)/IFERROR(SUMPRODUCT((J203:U203="x")*(Besatzung!$F$11:$F$22="x")),1))),(IF(COUNTIF(J203:U203,"x")=0,IF(Besatzung!$B$14&lt;&gt;"",1,0),(M203="x"))*(G203-IFERROR(H203,0))/IFERROR(IF(COUNTIF(J203:U203,"x")=0,COUNTA(Besatzung!$B$11:$B$22),COUNTIF(J203:U203,"x")),1)+IF(COUNTIF(J203:U203,"x")=0,(Besatzung!$F$14="x"),(M203="x")*(Besatzung!$F$14="x"))*IFERROR(H203,0)/IFERROR(IF(COUNTIF(J203:U203,"x")=0,SUMPRODUCT((Besatzung!$B$11:$B$22&lt;&gt;"")*(Besatzung!$F$11:$F$22="x")),SUMPRODUCT((J203:U203="x")*(Besatzung!$F$11:$F$22="x"))),1))))),0))))</f>
        <v/>
      </c>
      <c r="Z203" s="266">
        <f>IF(C203="Gutschrift","",IF(G203="","",IF(Besatzung!$B$13="","",IFERROR(IF(I203="Zeitanteilig",(Besatzung!$G$15*(G203-IFERROR(H203,0))+((Besatzung!$B$13&lt;&gt;"")*IF(B203="",1,(IF(Besatzung!$C$15="",Besatzung!$B$5,Besatzung!$C$15)&lt;=B203)*(IF(Besatzung!$D$15="",Besatzung!$B$6,Besatzung!$D$15)&gt;=B203)))*(Besatzung!$F$15="x")*IFERROR(H203,0)/IFERROR(SUMPRODUCT((Besatzung!$B$11:$B$22&lt;&gt;"")*(Besatzung!$F$11:$F$22="x")*(IF(Besatzung!$C$11:$C$22="",Besatzung!$B$5,Besatzung!$C$11:$C$22)&lt;=B203)*(IF(Besatzung!$D$11:$D$22="",Besatzung!$B$6,Besatzung!$D$11:$D$22)&gt;=B203)),1)),IF(I203="An Bord",(((Besatzung!$B$13&lt;&gt;"")*IF(B203="",1,(IF(Besatzung!$C$15="",Besatzung!$B$5,Besatzung!$C$15)&lt;=B203)*(IF(Besatzung!$D$15="",Besatzung!$B$6,Besatzung!$D$15)&gt;=B203)))*((G203-IFERROR(H203,0))/IFERROR(SUMPRODUCT((Besatzung!$B$11:$B$22&lt;&gt;"")*(IF(Besatzung!$C$11:$C$22="",Besatzung!$B$5,Besatzung!$C$11:$C$22)&lt;=B203)*(IF(Besatzung!$D$11:$D$22="",Besatzung!$B$6,Besatzung!$D$11:$D$22)&gt;=B203)),1)+(Besatzung!$F$15="x")*IFERROR(H203,0)/IFERROR(SUMPRODUCT((Besatzung!$B$11:$B$22&lt;&gt;"")*(Besatzung!$F$11:$F$22="x")*(IF(Besatzung!$C$11:$C$22="",Besatzung!$B$5,Besatzung!$C$11:$C$22)&lt;=B203)*(IF(Besatzung!$D$11:$D$22="",Besatzung!$B$6,Besatzung!$D$11:$D$22)&gt;=B203)),1))),IF(I203="Individuell",((N203="x")*((G203-IFERROR(H203,0))/IFERROR(COUNTIF(J203:U203,"x"),1)+(Besatzung!$F$15="x")*IFERROR(H203,0)/IFERROR(SUMPRODUCT((J203:U203="x")*(Besatzung!$F$11:$F$22="x")),1))),(IF(COUNTIF(J203:U203,"x")=0,IF(Besatzung!$B$13&lt;&gt;"",1,0),(N203="x"))*(G203-IFERROR(H203,0))/IFERROR(IF(COUNTIF(J203:U203,"x")=0,COUNTA(Besatzung!$B$11:$B$22),COUNTIF(J203:U203,"x")),1)+IF(COUNTIF(J203:U203,"x")=0,(Besatzung!$F$15="x"),(N203="x")*(Besatzung!$F$15="x"))*IFERROR(H203,0)/IFERROR(IF(COUNTIF(J203:U203,"x")=0,SUMPRODUCT((Besatzung!$B$11:$B$22&lt;&gt;"")*(Besatzung!$F$11:$F$22="x")),SUMPRODUCT((J203:U203="x")*(Besatzung!$F$11:$F$22="x"))),1))))),0))))</f>
        <v/>
      </c>
      <c r="AA203" s="266">
        <f>IF(C203="Gutschrift","",IF(G203="","",IF(Besatzung!$B$15="","",IFERROR(IF(I203="Zeitanteilig",(Besatzung!$G$16*(G203-IFERROR(H203,0))+((Besatzung!$B$15&lt;&gt;"")*IF(B203="",1,(IF(Besatzung!$C$16="",Besatzung!$B$5,Besatzung!$C$16)&lt;=B203)*(IF(Besatzung!$D$16="",Besatzung!$B$6,Besatzung!$D$16)&gt;=B203)))*(Besatzung!$F$16="x")*IFERROR(H203,0)/IFERROR(SUMPRODUCT((Besatzung!$B$11:$B$22&lt;&gt;"")*(Besatzung!$F$11:$F$22="x")*(IF(Besatzung!$C$11:$C$22="",Besatzung!$B$5,Besatzung!$C$11:$C$22)&lt;=B203)*(IF(Besatzung!$D$11:$D$22="",Besatzung!$B$6,Besatzung!$D$11:$D$22)&gt;=B203)),1)),IF(I203="An Bord",(((Besatzung!$B$15&lt;&gt;"")*IF(B203="",1,(IF(Besatzung!$C$16="",Besatzung!$B$5,Besatzung!$C$16)&lt;=B203)*(IF(Besatzung!$D$16="",Besatzung!$B$6,Besatzung!$D$16)&gt;=B203)))*((G203-IFERROR(H203,0))/IFERROR(SUMPRODUCT((Besatzung!$B$11:$B$22&lt;&gt;"")*(IF(Besatzung!$C$11:$C$22="",Besatzung!$B$5,Besatzung!$C$11:$C$22)&lt;=B203)*(IF(Besatzung!$D$11:$D$22="",Besatzung!$B$6,Besatzung!$D$11:$D$22)&gt;=B203)),1)+(Besatzung!$F$16="x")*IFERROR(H203,0)/IFERROR(SUMPRODUCT((Besatzung!$B$11:$B$22&lt;&gt;"")*(Besatzung!$F$11:$F$22="x")*(IF(Besatzung!$C$11:$C$22="",Besatzung!$B$5,Besatzung!$C$11:$C$22)&lt;=B203)*(IF(Besatzung!$D$11:$D$22="",Besatzung!$B$6,Besatzung!$D$11:$D$22)&gt;=B203)),1))),IF(I203="Individuell",((O203="x")*((G203-IFERROR(H203,0))/IFERROR(COUNTIF(J203:U203,"x"),1)+(Besatzung!$F$16="x")*IFERROR(H203,0)/IFERROR(SUMPRODUCT((J203:U203="x")*(Besatzung!$F$11:$F$22="x")),1))),(IF(COUNTIF(J203:U203,"x")=0,IF(Besatzung!$B$15&lt;&gt;"",1,0),(O203="x"))*(G203-IFERROR(H203,0))/IFERROR(IF(COUNTIF(J203:U203,"x")=0,COUNTA(Besatzung!$B$11:$B$22),COUNTIF(J203:U203,"x")),1)+IF(COUNTIF(J203:U203,"x")=0,(Besatzung!$F$16="x"),(O203="x")*(Besatzung!$F$16="x"))*IFERROR(H203,0)/IFERROR(IF(COUNTIF(J203:U203,"x")=0,SUMPRODUCT((Besatzung!$B$11:$B$22&lt;&gt;"")*(Besatzung!$F$11:$F$22="x")),SUMPRODUCT((J203:U203="x")*(Besatzung!$F$11:$F$22="x"))),1))))),0))))</f>
        <v/>
      </c>
      <c r="AB203" s="266">
        <f>IF(C203="Gutschrift","",IF(G203="","",IF(Besatzung!$B$17="","",IFERROR(IF(I203="Zeitanteilig",(Besatzung!$G$17*(G203-IFERROR(H203,0))+((Besatzung!$B$17&lt;&gt;"")*IF(B203="",1,(IF(Besatzung!$C$17="",Besatzung!$B$5,Besatzung!$C$17)&lt;=B203)*(IF(Besatzung!$D$17="",Besatzung!$B$6,Besatzung!$D$17)&gt;=B203)))*(Besatzung!$F$17="x")*IFERROR(H203,0)/IFERROR(SUMPRODUCT((Besatzung!$B$11:$B$22&lt;&gt;"")*(Besatzung!$F$11:$F$22="x")*(IF(Besatzung!$C$11:$C$22="",Besatzung!$B$5,Besatzung!$C$11:$C$22)&lt;=B203)*(IF(Besatzung!$D$11:$D$22="",Besatzung!$B$6,Besatzung!$D$11:$D$22)&gt;=B203)),1)),IF(I203="An Bord",(((Besatzung!$B$17&lt;&gt;"")*IF(B203="",1,(IF(Besatzung!$C$17="",Besatzung!$B$5,Besatzung!$C$17)&lt;=B203)*(IF(Besatzung!$D$17="",Besatzung!$B$6,Besatzung!$D$17)&gt;=B203)))*((G203-IFERROR(H203,0))/IFERROR(SUMPRODUCT((Besatzung!$B$11:$B$22&lt;&gt;"")*(IF(Besatzung!$C$11:$C$22="",Besatzung!$B$5,Besatzung!$C$11:$C$22)&lt;=B203)*(IF(Besatzung!$D$11:$D$22="",Besatzung!$B$6,Besatzung!$D$11:$D$22)&gt;=B203)),1)+(Besatzung!$F$17="x")*IFERROR(H203,0)/IFERROR(SUMPRODUCT((Besatzung!$B$11:$B$22&lt;&gt;"")*(Besatzung!$F$11:$F$22="x")*(IF(Besatzung!$C$11:$C$22="",Besatzung!$B$5,Besatzung!$C$11:$C$22)&lt;=B203)*(IF(Besatzung!$D$11:$D$22="",Besatzung!$B$6,Besatzung!$D$11:$D$22)&gt;=B203)),1))),IF(I203="Individuell",((P203="x")*((G203-IFERROR(H203,0))/IFERROR(COUNTIF(J203:U203,"x"),1)+(Besatzung!$F$17="x")*IFERROR(H203,0)/IFERROR(SUMPRODUCT((J203:U203="x")*(Besatzung!$F$11:$F$22="x")),1))),(IF(COUNTIF(J203:U203,"x")=0,IF(Besatzung!$B$17&lt;&gt;"",1,0),(P203="x"))*(G203-IFERROR(H203,0))/IFERROR(IF(COUNTIF(J203:U203,"x")=0,COUNTA(Besatzung!$B$11:$B$22),COUNTIF(J203:U203,"x")),1)+IF(COUNTIF(J203:U203,"x")=0,(Besatzung!$F$17="x"),(P203="x")*(Besatzung!$F$17="x"))*IFERROR(H203,0)/IFERROR(IF(COUNTIF(J203:U203,"x")=0,SUMPRODUCT((Besatzung!$B$11:$B$22&lt;&gt;"")*(Besatzung!$F$11:$F$22="x")),SUMPRODUCT((J203:U203="x")*(Besatzung!$F$11:$F$22="x"))),1))))),0))))</f>
        <v/>
      </c>
      <c r="AC203" s="266">
        <f>IF(C203="Gutschrift","",IF(G203="","",IF(Besatzung!$B$18="","",IFERROR(IF(I203="Zeitanteilig",(Besatzung!$G$18*(G203-IFERROR(H203,0))+((Besatzung!$B$18&lt;&gt;"")*IF(B203="",1,(IF(Besatzung!$C$18="",Besatzung!$B$5,Besatzung!$C$18)&lt;=B203)*(IF(Besatzung!$D$18="",Besatzung!$B$6,Besatzung!$D$18)&gt;=B203)))*(Besatzung!$F$18="x")*IFERROR(H203,0)/IFERROR(SUMPRODUCT((Besatzung!$B$11:$B$22&lt;&gt;"")*(Besatzung!$F$11:$F$22="x")*(IF(Besatzung!$C$11:$C$22="",Besatzung!$B$5,Besatzung!$C$11:$C$22)&lt;=B203)*(IF(Besatzung!$D$11:$D$22="",Besatzung!$B$6,Besatzung!$D$11:$D$22)&gt;=B203)),1)),IF(I203="An Bord",(((Besatzung!$B$18&lt;&gt;"")*IF(B203="",1,(IF(Besatzung!$C$18="",Besatzung!$B$5,Besatzung!$C$18)&lt;=B203)*(IF(Besatzung!$D$18="",Besatzung!$B$6,Besatzung!$D$18)&gt;=B203)))*((G203-IFERROR(H203,0))/IFERROR(SUMPRODUCT((Besatzung!$B$11:$B$22&lt;&gt;"")*(IF(Besatzung!$C$11:$C$22="",Besatzung!$B$5,Besatzung!$C$11:$C$22)&lt;=B203)*(IF(Besatzung!$D$11:$D$22="",Besatzung!$B$6,Besatzung!$D$11:$D$22)&gt;=B203)),1)+(Besatzung!$F$18="x")*IFERROR(H203,0)/IFERROR(SUMPRODUCT((Besatzung!$B$11:$B$22&lt;&gt;"")*(Besatzung!$F$11:$F$22="x")*(IF(Besatzung!$C$11:$C$22="",Besatzung!$B$5,Besatzung!$C$11:$C$22)&lt;=B203)*(IF(Besatzung!$D$11:$D$22="",Besatzung!$B$6,Besatzung!$D$11:$D$22)&gt;=B203)),1))),IF(I203="Individuell",((Q203="x")*((G203-IFERROR(H203,0))/IFERROR(COUNTIF(J203:U203,"x"),1)+(Besatzung!$F$18="x")*IFERROR(H203,0)/IFERROR(SUMPRODUCT((J203:U203="x")*(Besatzung!$F$11:$F$22="x")),1))),(IF(COUNTIF(J203:U203,"x")=0,IF(Besatzung!$B$18&lt;&gt;"",1,0),(Q203="x"))*(G203-IFERROR(H203,0))/IFERROR(IF(COUNTIF(J203:U203,"x")=0,COUNTA(Besatzung!$B$11:$B$22),COUNTIF(J203:U203,"x")),1)+IF(COUNTIF(J203:U203,"x")=0,(Besatzung!$F$18="x"),(Q203="x")*(Besatzung!$F$18="x"))*IFERROR(H203,0)/IFERROR(IF(COUNTIF(J203:U203,"x")=0,SUMPRODUCT((Besatzung!$B$11:$B$22&lt;&gt;"")*(Besatzung!$F$11:$F$22="x")),SUMPRODUCT((J203:U203="x")*(Besatzung!$F$11:$F$22="x"))),1))))),0))))</f>
        <v/>
      </c>
      <c r="AD203" s="266">
        <f>IF(C203="Gutschrift","",IF(G203="","",IF(Besatzung!$B$19="","",IFERROR(IF(I203="Zeitanteilig",(Besatzung!$G$19*(G203-IFERROR(H203,0))+((Besatzung!$B$19&lt;&gt;"")*IF(B203="",1,(IF(Besatzung!$C$19="",Besatzung!$B$5,Besatzung!$C$19)&lt;=B203)*(IF(Besatzung!$D$19="",Besatzung!$B$6,Besatzung!$D$19)&gt;=B203)))*(Besatzung!$F$19="x")*IFERROR(H203,0)/IFERROR(SUMPRODUCT((Besatzung!$B$11:$B$22&lt;&gt;"")*(Besatzung!$F$11:$F$22="x")*(IF(Besatzung!$C$11:$C$22="",Besatzung!$B$5,Besatzung!$C$11:$C$22)&lt;=B203)*(IF(Besatzung!$D$11:$D$22="",Besatzung!$B$6,Besatzung!$D$11:$D$22)&gt;=B203)),1)),IF(I203="An Bord",(((Besatzung!$B$19&lt;&gt;"")*IF(B203="",1,(IF(Besatzung!$C$19="",Besatzung!$B$5,Besatzung!$C$19)&lt;=B203)*(IF(Besatzung!$D$19="",Besatzung!$B$6,Besatzung!$D$19)&gt;=B203)))*((G203-IFERROR(H203,0))/IFERROR(SUMPRODUCT((Besatzung!$B$11:$B$22&lt;&gt;"")*(IF(Besatzung!$C$11:$C$22="",Besatzung!$B$5,Besatzung!$C$11:$C$22)&lt;=B203)*(IF(Besatzung!$D$11:$D$22="",Besatzung!$B$6,Besatzung!$D$11:$D$22)&gt;=B203)),1)+(Besatzung!$F$19="x")*IFERROR(H203,0)/IFERROR(SUMPRODUCT((Besatzung!$B$11:$B$22&lt;&gt;"")*(Besatzung!$F$11:$F$22="x")*(IF(Besatzung!$C$11:$C$22="",Besatzung!$B$5,Besatzung!$C$11:$C$22)&lt;=B203)*(IF(Besatzung!$D$11:$D$22="",Besatzung!$B$6,Besatzung!$D$11:$D$22)&gt;=B203)),1))),IF(I203="Individuell",((R203="x")*((G203-IFERROR(H203,0))/IFERROR(COUNTIF(J203:U203,"x"),1)+(Besatzung!$F$19="x")*IFERROR(H203,0)/IFERROR(SUMPRODUCT((J203:U203="x")*(Besatzung!$F$11:$F$22="x")),1))),(IF(COUNTIF(J203:U203,"x")=0,IF(Besatzung!$B$19&lt;&gt;"",1,0),(R203="x"))*(G203-IFERROR(H203,0))/IFERROR(IF(COUNTIF(J203:U203,"x")=0,COUNTA(Besatzung!$B$11:$B$22),COUNTIF(J203:U203,"x")),1)+IF(COUNTIF(J203:U203,"x")=0,(Besatzung!$F$19="x"),(R203="x")*(Besatzung!$F$19="x"))*IFERROR(H203,0)/IFERROR(IF(COUNTIF(J203:U203,"x")=0,SUMPRODUCT((Besatzung!$B$11:$B$22&lt;&gt;"")*(Besatzung!$F$11:$F$22="x")),SUMPRODUCT((J203:U203="x")*(Besatzung!$F$11:$F$22="x"))),1))))),0))))</f>
        <v/>
      </c>
      <c r="AE203" s="266">
        <f>IF(C203="Gutschrift","",IF(G203="","",IF(Besatzung!$B$20="","",IFERROR(IF(I203="Zeitanteilig",(Besatzung!$G$20*(G203-IFERROR(H203,0))+((Besatzung!$B$20&lt;&gt;"")*IF(B203="",1,(IF(Besatzung!$C$20="",Besatzung!$B$5,Besatzung!$C$20)&lt;=B203)*(IF(Besatzung!$D$20="",Besatzung!$B$6,Besatzung!$D$20)&gt;=B203)))*(Besatzung!$F$20="x")*IFERROR(H203,0)/IFERROR(SUMPRODUCT((Besatzung!$B$11:$B$22&lt;&gt;"")*(Besatzung!$F$11:$F$22="x")*(IF(Besatzung!$C$11:$C$22="",Besatzung!$B$5,Besatzung!$C$11:$C$22)&lt;=B203)*(IF(Besatzung!$D$11:$D$22="",Besatzung!$B$6,Besatzung!$D$11:$D$22)&gt;=B203)),1)),IF(I203="An Bord",(((Besatzung!$B$20&lt;&gt;"")*IF(B203="",1,(IF(Besatzung!$C$20="",Besatzung!$B$5,Besatzung!$C$20)&lt;=B203)*(IF(Besatzung!$D$20="",Besatzung!$B$6,Besatzung!$D$20)&gt;=B203)))*((G203-IFERROR(H203,0))/IFERROR(SUMPRODUCT((Besatzung!$B$11:$B$22&lt;&gt;"")*(IF(Besatzung!$C$11:$C$22="",Besatzung!$B$5,Besatzung!$C$11:$C$22)&lt;=B203)*(IF(Besatzung!$D$11:$D$22="",Besatzung!$B$6,Besatzung!$D$11:$D$22)&gt;=B203)),1)+(Besatzung!$F$20="x")*IFERROR(H203,0)/IFERROR(SUMPRODUCT((Besatzung!$B$11:$B$22&lt;&gt;"")*(Besatzung!$F$11:$F$22="x")*(IF(Besatzung!$C$11:$C$22="",Besatzung!$B$5,Besatzung!$C$11:$C$22)&lt;=B203)*(IF(Besatzung!$D$11:$D$22="",Besatzung!$B$6,Besatzung!$D$11:$D$22)&gt;=B203)),1))),IF(I203="Individuell",((S203="x")*((G203-IFERROR(H203,0))/IFERROR(COUNTIF(J203:U203,"x"),1)+(Besatzung!$F$20="x")*IFERROR(H203,0)/IFERROR(SUMPRODUCT((J203:U203="x")*(Besatzung!$F$11:$F$22="x")),1))),(IF(COUNTIF(J203:U203,"x")=0,IF(Besatzung!$B$20&lt;&gt;"",1,0),(S203="x"))*(G203-IFERROR(H203,0))/IFERROR(IF(COUNTIF(J203:U203,"x")=0,COUNTA(Besatzung!$B$11:$B$22),COUNTIF(J203:U203,"x")),1)+IF(COUNTIF(J203:U203,"x")=0,(Besatzung!$F$20="x"),(S203="x")*(Besatzung!$F$20="x"))*IFERROR(H203,0)/IFERROR(IF(COUNTIF(J203:U203,"x")=0,SUMPRODUCT((Besatzung!$B$11:$B$22&lt;&gt;"")*(Besatzung!$F$11:$F$22="x")),SUMPRODUCT((J203:U203="x")*(Besatzung!$F$11:$F$22="x"))),1))))),0))))</f>
        <v/>
      </c>
      <c r="AF203" s="266">
        <f>IF(C203="Gutschrift","",IF(G203="","",IF(Besatzung!$B$21="","",IFERROR(IF(I203="Zeitanteilig",(Besatzung!$G$21*(G203-IFERROR(H203,0))+((Besatzung!$B$21&lt;&gt;"")*IF(B203="",1,(IF(Besatzung!$C$21="",Besatzung!$B$5,Besatzung!$C$21)&lt;=B203)*(IF(Besatzung!$D$21="",Besatzung!$B$6,Besatzung!$D$21)&gt;=B203)))*(Besatzung!$F$21="x")*IFERROR(H203,0)/IFERROR(SUMPRODUCT((Besatzung!$B$11:$B$22&lt;&gt;"")*(Besatzung!$F$11:$F$22="x")*(IF(Besatzung!$C$11:$C$22="",Besatzung!$B$5,Besatzung!$C$11:$C$22)&lt;=B203)*(IF(Besatzung!$D$11:$D$22="",Besatzung!$B$6,Besatzung!$D$11:$D$22)&gt;=B203)),1)),IF(I203="An Bord",(((Besatzung!$B$21&lt;&gt;"")*IF(B203="",1,(IF(Besatzung!$C$21="",Besatzung!$B$5,Besatzung!$C$21)&lt;=B203)*(IF(Besatzung!$D$21="",Besatzung!$B$6,Besatzung!$D$21)&gt;=B203)))*((G203-IFERROR(H203,0))/IFERROR(SUMPRODUCT((Besatzung!$B$11:$B$22&lt;&gt;"")*(IF(Besatzung!$C$11:$C$22="",Besatzung!$B$5,Besatzung!$C$11:$C$22)&lt;=B203)*(IF(Besatzung!$D$11:$D$22="",Besatzung!$B$6,Besatzung!$D$11:$D$22)&gt;=B203)),1)+(Besatzung!$F$21="x")*IFERROR(H203,0)/IFERROR(SUMPRODUCT((Besatzung!$B$11:$B$22&lt;&gt;"")*(Besatzung!$F$11:$F$22="x")*(IF(Besatzung!$C$11:$C$22="",Besatzung!$B$5,Besatzung!$C$11:$C$22)&lt;=B203)*(IF(Besatzung!$D$11:$D$22="",Besatzung!$B$6,Besatzung!$D$11:$D$22)&gt;=B203)),1))),IF(I203="Individuell",((T203="x")*((G203-IFERROR(H203,0))/IFERROR(COUNTIF(J203:U203,"x"),1)+(Besatzung!$F$21="x")*IFERROR(H203,0)/IFERROR(SUMPRODUCT((J203:U203="x")*(Besatzung!$F$11:$F$22="x")),1))),(IF(COUNTIF(J203:U203,"x")=0,IF(Besatzung!$B$21&lt;&gt;"",1,0),(T203="x"))*(G203-IFERROR(H203,0))/IFERROR(IF(COUNTIF(J203:U203,"x")=0,COUNTA(Besatzung!$B$11:$B$22),COUNTIF(J203:U203,"x")),1)+IF(COUNTIF(J203:U203,"x")=0,(Besatzung!$F$21="x"),(T203="x")*(Besatzung!$F$21="x"))*IFERROR(H203,0)/IFERROR(IF(COUNTIF(J203:U203,"x")=0,SUMPRODUCT((Besatzung!$B$11:$B$22&lt;&gt;"")*(Besatzung!$F$11:$F$22="x")),SUMPRODUCT((J203:U203="x")*(Besatzung!$F$11:$F$22="x"))),1))))),0))))</f>
        <v/>
      </c>
      <c r="AG203" s="266">
        <f>IF(C203="Gutschrift","",IF(G203="","",IF(Besatzung!$B$22="","",IFERROR(IF(I203="Zeitanteilig",(Besatzung!$G$22*(G203-IFERROR(H203,0))+((Besatzung!$B$22&lt;&gt;"")*IF(B203="",1,(IF(Besatzung!$C$22="",Besatzung!$B$5,Besatzung!$C$22)&lt;=B203)*(IF(Besatzung!$D$22="",Besatzung!$B$6,Besatzung!$D$22)&gt;=B203)))*(Besatzung!$F$22="x")*IFERROR(H203,0)/IFERROR(SUMPRODUCT((Besatzung!$B$11:$B$22&lt;&gt;"")*(Besatzung!$F$11:$F$22="x")*(IF(Besatzung!$C$11:$C$22="",Besatzung!$B$5,Besatzung!$C$11:$C$22)&lt;=B203)*(IF(Besatzung!$D$11:$D$22="",Besatzung!$B$6,Besatzung!$D$11:$D$22)&gt;=B203)),1)),IF(I203="An Bord",(((Besatzung!$B$22&lt;&gt;"")*IF(B203="",1,(IF(Besatzung!$C$22="",Besatzung!$B$5,Besatzung!$C$22)&lt;=B203)*(IF(Besatzung!$D$22="",Besatzung!$B$6,Besatzung!$D$22)&gt;=B203)))*((G203-IFERROR(H203,0))/IFERROR(SUMPRODUCT((Besatzung!$B$11:$B$22&lt;&gt;"")*(IF(Besatzung!$C$11:$C$22="",Besatzung!$B$5,Besatzung!$C$11:$C$22)&lt;=B203)*(IF(Besatzung!$D$11:$D$22="",Besatzung!$B$6,Besatzung!$D$11:$D$22)&gt;=B203)),1)+(Besatzung!$F$22="x")*IFERROR(H203,0)/IFERROR(SUMPRODUCT((Besatzung!$B$11:$B$22&lt;&gt;"")*(Besatzung!$F$11:$F$22="x")*(IF(Besatzung!$C$11:$C$22="",Besatzung!$B$5,Besatzung!$C$11:$C$22)&lt;=B203)*(IF(Besatzung!$D$11:$D$22="",Besatzung!$B$6,Besatzung!$D$11:$D$22)&gt;=B203)),1))),IF(I203="Individuell",((U203="x")*((G203-IFERROR(H203,0))/IFERROR(COUNTIF(J203:U203,"x"),1)+(Besatzung!$F$22="x")*IFERROR(H203,0)/IFERROR(SUMPRODUCT((J203:U203="x")*(Besatzung!$F$11:$F$22="x")),1))),(IF(COUNTIF(J203:U203,"x")=0,IF(Besatzung!$B$22&lt;&gt;"",1,0),(U203="x"))*(G203-IFERROR(H203,0))/IFERROR(IF(COUNTIF(J203:U203,"x")=0,COUNTA(Besatzung!$B$11:$B$22),COUNTIF(J203:U203,"x")),1)+IF(COUNTIF(J203:U203,"x")=0,(Besatzung!$F$22="x"),(U203="x")*(Besatzung!$F$22="x"))*IFERROR(H203,0)/IFERROR(IF(COUNTIF(J203:U203,"x")=0,SUMPRODUCT((Besatzung!$B$11:$B$22&lt;&gt;"")*(Besatzung!$F$11:$F$22="x")),SUMPRODUCT((J203:U203="x")*(Besatzung!$F$11:$F$22="x"))),1))))),0))))</f>
        <v/>
      </c>
      <c r="AH203" s="267" t="n"/>
      <c r="AI203" s="267" t="n"/>
    </row>
    <row r="204" ht="15.75" customHeight="1" s="154"/>
    <row r="205" ht="15.75" customHeight="1" s="154"/>
    <row r="206" ht="15.75" customHeight="1" s="154"/>
    <row r="207" ht="15.75" customHeight="1" s="154"/>
    <row r="208" ht="15.75" customHeight="1" s="154"/>
    <row r="209" ht="15.75" customHeight="1" s="154"/>
    <row r="210" ht="15.75" customHeight="1" s="154"/>
    <row r="211" ht="15.75" customHeight="1" s="154"/>
    <row r="212" ht="15.75" customHeight="1" s="154"/>
    <row r="213" ht="15.75" customHeight="1" s="154"/>
    <row r="214" ht="15.75" customHeight="1" s="154"/>
    <row r="215" ht="15.75" customHeight="1" s="154"/>
    <row r="216" ht="15.75" customHeight="1" s="154"/>
    <row r="217" ht="15.75" customHeight="1" s="154"/>
    <row r="218" ht="15.75" customHeight="1" s="154"/>
    <row r="219" ht="15.75" customHeight="1" s="154"/>
    <row r="220" ht="15.75" customHeight="1" s="154"/>
    <row r="221" ht="15.75" customHeight="1" s="154"/>
    <row r="222" ht="15.75" customHeight="1" s="154"/>
    <row r="223" ht="15.75" customHeight="1" s="154"/>
    <row r="224" ht="15.75" customHeight="1" s="154"/>
    <row r="225" ht="15.75" customHeight="1" s="154"/>
    <row r="226" ht="15.75" customHeight="1" s="154"/>
    <row r="227" ht="15.75" customHeight="1" s="154"/>
    <row r="228" ht="15.75" customHeight="1" s="154"/>
    <row r="229" ht="15.75" customHeight="1" s="154"/>
    <row r="230" ht="15.75" customHeight="1" s="154"/>
    <row r="231" ht="15.75" customHeight="1" s="154"/>
    <row r="232" ht="15.75" customHeight="1" s="154"/>
    <row r="233" ht="15.75" customHeight="1" s="154"/>
    <row r="234" ht="15.75" customHeight="1" s="154"/>
    <row r="235" ht="15.75" customHeight="1" s="154"/>
    <row r="236" ht="15.75" customHeight="1" s="154"/>
    <row r="237" ht="15.75" customHeight="1" s="154"/>
    <row r="238" ht="15.75" customHeight="1" s="154"/>
    <row r="239" ht="15.75" customHeight="1" s="154"/>
    <row r="240" ht="15.75" customHeight="1" s="154"/>
    <row r="241" ht="15.75" customHeight="1" s="154"/>
    <row r="242" ht="15.75" customHeight="1" s="154"/>
    <row r="243" ht="15.75" customHeight="1" s="154"/>
    <row r="244" ht="15.75" customHeight="1" s="154"/>
    <row r="245" ht="15.75" customHeight="1" s="154"/>
    <row r="246" ht="15.75" customHeight="1" s="154"/>
    <row r="247" ht="15.75" customHeight="1" s="154"/>
    <row r="248" ht="15.75" customHeight="1" s="154"/>
    <row r="249" ht="15.75" customHeight="1" s="154"/>
    <row r="250" ht="15.75" customHeight="1" s="154"/>
    <row r="251" ht="15.75" customHeight="1" s="154"/>
    <row r="252" ht="15.75" customHeight="1" s="154"/>
    <row r="253" ht="15.75" customHeight="1" s="154"/>
    <row r="254" ht="15.75" customHeight="1" s="154"/>
    <row r="255" ht="15.75" customHeight="1" s="154"/>
    <row r="256" ht="15.75" customHeight="1" s="154"/>
    <row r="257" ht="15.75" customHeight="1" s="154"/>
    <row r="258" ht="15.75" customHeight="1" s="154"/>
    <row r="259" ht="15.75" customHeight="1" s="154"/>
    <row r="260" ht="15.75" customHeight="1" s="154"/>
    <row r="261" ht="15.75" customHeight="1" s="154"/>
    <row r="262" ht="15.75" customHeight="1" s="154"/>
    <row r="263" ht="15.75" customHeight="1" s="154"/>
    <row r="264" ht="15.75" customHeight="1" s="154"/>
    <row r="265" ht="15.75" customHeight="1" s="154"/>
    <row r="266" ht="15.75" customHeight="1" s="154"/>
    <row r="267" ht="15.75" customHeight="1" s="154"/>
    <row r="268" ht="15.75" customHeight="1" s="154"/>
    <row r="269" ht="15.75" customHeight="1" s="154"/>
    <row r="270" ht="15.75" customHeight="1" s="154"/>
    <row r="271" ht="15.75" customHeight="1" s="154"/>
    <row r="272" ht="15.75" customHeight="1" s="154"/>
    <row r="273" ht="15.75" customHeight="1" s="154"/>
    <row r="274" ht="15.75" customHeight="1" s="154"/>
    <row r="275" ht="15.75" customHeight="1" s="154"/>
    <row r="276" ht="15.75" customHeight="1" s="154"/>
    <row r="277" ht="15.75" customHeight="1" s="154"/>
    <row r="278" ht="15.75" customHeight="1" s="154"/>
    <row r="279" ht="15.75" customHeight="1" s="154"/>
    <row r="280" ht="15.75" customHeight="1" s="154"/>
    <row r="281" ht="15.75" customHeight="1" s="154"/>
    <row r="282" ht="15.75" customHeight="1" s="154"/>
    <row r="283" ht="15.75" customHeight="1" s="154"/>
    <row r="284" ht="15.75" customHeight="1" s="154"/>
    <row r="285" ht="15.75" customHeight="1" s="154"/>
    <row r="286" ht="15.75" customHeight="1" s="154"/>
    <row r="287" ht="15.75" customHeight="1" s="154"/>
    <row r="288" ht="15.75" customHeight="1" s="154"/>
    <row r="289" ht="15.75" customHeight="1" s="154"/>
    <row r="290" ht="15.75" customHeight="1" s="154"/>
    <row r="291" ht="15.75" customHeight="1" s="154"/>
    <row r="292" ht="15.75" customHeight="1" s="154"/>
    <row r="293" ht="15.75" customHeight="1" s="154"/>
    <row r="294" ht="15.75" customHeight="1" s="154"/>
    <row r="295" ht="15.75" customHeight="1" s="154"/>
    <row r="296" ht="15.75" customHeight="1" s="154"/>
    <row r="297" ht="15.75" customHeight="1" s="154"/>
    <row r="298" ht="15.75" customHeight="1" s="154"/>
    <row r="299" ht="15.75" customHeight="1" s="154"/>
    <row r="300" ht="15.75" customHeight="1" s="154"/>
    <row r="301" ht="15.75" customHeight="1" s="154"/>
    <row r="302" ht="15.75" customHeight="1" s="154"/>
    <row r="303" ht="15.75" customHeight="1" s="154"/>
    <row r="304" ht="15.75" customHeight="1" s="154"/>
    <row r="305" ht="15.75" customHeight="1" s="154"/>
    <row r="306" ht="15.75" customHeight="1" s="154"/>
    <row r="307" ht="15.75" customHeight="1" s="154"/>
    <row r="308" ht="15.75" customHeight="1" s="154"/>
    <row r="309" ht="15.75" customHeight="1" s="154"/>
    <row r="310" ht="15.75" customHeight="1" s="154"/>
    <row r="311" ht="15.75" customHeight="1" s="154"/>
    <row r="312" ht="15.75" customHeight="1" s="154"/>
    <row r="313" ht="15.75" customHeight="1" s="154"/>
    <row r="314" ht="15.75" customHeight="1" s="154"/>
    <row r="315" ht="15.75" customHeight="1" s="154"/>
    <row r="316" ht="15.75" customHeight="1" s="154"/>
    <row r="317" ht="15.75" customHeight="1" s="154"/>
    <row r="318" ht="15.75" customHeight="1" s="154"/>
    <row r="319" ht="15.75" customHeight="1" s="154"/>
    <row r="320" ht="15.75" customHeight="1" s="154"/>
    <row r="321" ht="15.75" customHeight="1" s="154"/>
    <row r="322" ht="15.75" customHeight="1" s="154"/>
    <row r="323" ht="15.75" customHeight="1" s="154"/>
    <row r="324" ht="15.75" customHeight="1" s="154"/>
    <row r="325" ht="15.75" customHeight="1" s="154"/>
    <row r="326" ht="15.75" customHeight="1" s="154"/>
    <row r="327" ht="15.75" customHeight="1" s="154"/>
    <row r="328" ht="15.75" customHeight="1" s="154"/>
    <row r="329" ht="15.75" customHeight="1" s="154"/>
    <row r="330" ht="15.75" customHeight="1" s="154"/>
    <row r="331" ht="15.75" customHeight="1" s="154"/>
    <row r="332" ht="15.75" customHeight="1" s="154"/>
    <row r="333" ht="15.75" customHeight="1" s="154"/>
    <row r="334" ht="15.75" customHeight="1" s="154"/>
    <row r="335" ht="15.75" customHeight="1" s="154"/>
    <row r="336" ht="15.75" customHeight="1" s="154"/>
    <row r="337" ht="15.75" customHeight="1" s="154"/>
    <row r="338" ht="15.75" customHeight="1" s="154"/>
    <row r="339" ht="15.75" customHeight="1" s="154"/>
    <row r="340" ht="15.75" customHeight="1" s="154"/>
    <row r="341" ht="15.75" customHeight="1" s="154"/>
    <row r="342" ht="15.75" customHeight="1" s="154"/>
    <row r="343" ht="15.75" customHeight="1" s="154"/>
    <row r="344" ht="15.75" customHeight="1" s="154"/>
    <row r="345" ht="15.75" customHeight="1" s="154"/>
    <row r="346" ht="15.75" customHeight="1" s="154"/>
    <row r="347" ht="15.75" customHeight="1" s="154"/>
    <row r="348" ht="15.75" customHeight="1" s="154"/>
    <row r="349" ht="15.75" customHeight="1" s="154"/>
    <row r="350" ht="15.75" customHeight="1" s="154"/>
    <row r="351" ht="15.75" customHeight="1" s="154"/>
    <row r="352" ht="15.75" customHeight="1" s="154"/>
    <row r="353" ht="15.75" customHeight="1" s="154"/>
    <row r="354" ht="15.75" customHeight="1" s="154"/>
    <row r="355" ht="15.75" customHeight="1" s="154"/>
    <row r="356" ht="15.75" customHeight="1" s="154"/>
    <row r="357" ht="15.75" customHeight="1" s="154"/>
    <row r="358" ht="15.75" customHeight="1" s="154"/>
    <row r="359" ht="15.75" customHeight="1" s="154"/>
    <row r="360" ht="15.75" customHeight="1" s="154"/>
    <row r="361" ht="15.75" customHeight="1" s="154"/>
    <row r="362" ht="15.75" customHeight="1" s="154"/>
    <row r="363" ht="15.75" customHeight="1" s="154"/>
    <row r="364" ht="15.75" customHeight="1" s="154"/>
    <row r="365" ht="15.75" customHeight="1" s="154"/>
    <row r="366" ht="15.75" customHeight="1" s="154"/>
    <row r="367" ht="15.75" customHeight="1" s="154"/>
    <row r="368" ht="15.75" customHeight="1" s="154"/>
    <row r="369" ht="15.75" customHeight="1" s="154"/>
    <row r="370" ht="15.75" customHeight="1" s="154"/>
    <row r="371" ht="15.75" customHeight="1" s="154"/>
    <row r="372" ht="15.75" customHeight="1" s="154"/>
    <row r="373" ht="15.75" customHeight="1" s="154"/>
    <row r="374" ht="15.75" customHeight="1" s="154"/>
    <row r="375" ht="15.75" customHeight="1" s="154"/>
    <row r="376" ht="15.75" customHeight="1" s="154"/>
    <row r="377" ht="15.75" customHeight="1" s="154"/>
    <row r="378" ht="15.75" customHeight="1" s="154"/>
    <row r="379" ht="15.75" customHeight="1" s="154"/>
    <row r="380" ht="15.75" customHeight="1" s="154"/>
    <row r="381" ht="15.75" customHeight="1" s="154"/>
    <row r="382" ht="15.75" customHeight="1" s="154"/>
    <row r="383" ht="15.75" customHeight="1" s="154"/>
    <row r="384" ht="15.75" customHeight="1" s="154"/>
    <row r="385" ht="15.75" customHeight="1" s="154"/>
    <row r="386" ht="15.75" customHeight="1" s="154"/>
    <row r="387" ht="15.75" customHeight="1" s="154"/>
    <row r="388" ht="15.75" customHeight="1" s="154"/>
    <row r="389" ht="15.75" customHeight="1" s="154"/>
    <row r="390" ht="15.75" customHeight="1" s="154"/>
    <row r="391" ht="15.75" customHeight="1" s="154"/>
    <row r="392" ht="15.75" customHeight="1" s="154"/>
    <row r="393" ht="15.75" customHeight="1" s="154"/>
    <row r="394" ht="15.75" customHeight="1" s="154"/>
    <row r="395" ht="15.75" customHeight="1" s="154"/>
    <row r="396" ht="15.75" customHeight="1" s="154"/>
    <row r="397" ht="15.75" customHeight="1" s="154"/>
    <row r="398" ht="15.75" customHeight="1" s="154"/>
    <row r="399" ht="15.75" customHeight="1" s="154"/>
    <row r="400" ht="15.75" customHeight="1" s="154"/>
    <row r="401" ht="15.75" customHeight="1" s="154"/>
    <row r="402" ht="15.75" customHeight="1" s="154"/>
    <row r="403" ht="15.75" customHeight="1" s="154"/>
    <row r="404" ht="15.75" customHeight="1" s="154"/>
    <row r="405" ht="15.75" customHeight="1" s="154"/>
    <row r="406" ht="15.75" customHeight="1" s="154"/>
    <row r="407" ht="15.75" customHeight="1" s="154"/>
    <row r="408" ht="15.75" customHeight="1" s="154"/>
    <row r="409" ht="15.75" customHeight="1" s="154"/>
    <row r="410" ht="15.75" customHeight="1" s="154"/>
    <row r="411" ht="15.75" customHeight="1" s="154"/>
    <row r="412" ht="15.75" customHeight="1" s="154"/>
    <row r="413" ht="15.75" customHeight="1" s="154"/>
    <row r="414" ht="15.75" customHeight="1" s="154"/>
    <row r="415" ht="15.75" customHeight="1" s="154"/>
    <row r="416" ht="15.75" customHeight="1" s="154"/>
    <row r="417" ht="15.75" customHeight="1" s="154"/>
    <row r="418" ht="15.75" customHeight="1" s="154"/>
    <row r="419" ht="15.75" customHeight="1" s="154"/>
    <row r="420" ht="15.75" customHeight="1" s="154"/>
    <row r="421" ht="15.75" customHeight="1" s="154"/>
    <row r="422" ht="15.75" customHeight="1" s="154"/>
    <row r="423" ht="15.75" customHeight="1" s="154"/>
    <row r="424" ht="15.75" customHeight="1" s="154"/>
    <row r="425" ht="15.75" customHeight="1" s="154"/>
    <row r="426" ht="15.75" customHeight="1" s="154"/>
    <row r="427" ht="15.75" customHeight="1" s="154"/>
    <row r="428" ht="15.75" customHeight="1" s="154"/>
    <row r="429" ht="15.75" customHeight="1" s="154"/>
    <row r="430" ht="15.75" customHeight="1" s="154"/>
    <row r="431" ht="15.75" customHeight="1" s="154"/>
    <row r="432" ht="15.75" customHeight="1" s="154"/>
    <row r="433" ht="15.75" customHeight="1" s="154"/>
    <row r="434" ht="15.75" customHeight="1" s="154"/>
    <row r="435" ht="15.75" customHeight="1" s="154"/>
    <row r="436" ht="15.75" customHeight="1" s="154"/>
    <row r="437" ht="15.75" customHeight="1" s="154"/>
    <row r="438" ht="15.75" customHeight="1" s="154"/>
    <row r="439" ht="15.75" customHeight="1" s="154"/>
    <row r="440" ht="15.75" customHeight="1" s="154"/>
    <row r="441" ht="15.75" customHeight="1" s="154"/>
    <row r="442" ht="15.75" customHeight="1" s="154"/>
    <row r="443" ht="15.75" customHeight="1" s="154"/>
    <row r="444" ht="15.75" customHeight="1" s="154"/>
    <row r="445" ht="15.75" customHeight="1" s="154"/>
    <row r="446" ht="15.75" customHeight="1" s="154"/>
    <row r="447" ht="15.75" customHeight="1" s="154"/>
    <row r="448" ht="15.75" customHeight="1" s="154"/>
    <row r="449" ht="15.75" customHeight="1" s="154"/>
    <row r="450" ht="15.75" customHeight="1" s="154"/>
    <row r="451" ht="15.75" customHeight="1" s="154"/>
    <row r="452" ht="15.75" customHeight="1" s="154"/>
    <row r="453" ht="15.75" customHeight="1" s="154"/>
    <row r="454" ht="15.75" customHeight="1" s="154"/>
    <row r="455" ht="15.75" customHeight="1" s="154"/>
    <row r="456" ht="15.75" customHeight="1" s="154"/>
    <row r="457" ht="15.75" customHeight="1" s="154"/>
    <row r="458" ht="15.75" customHeight="1" s="154"/>
    <row r="459" ht="15.75" customHeight="1" s="154"/>
    <row r="460" ht="15.75" customHeight="1" s="154"/>
    <row r="461" ht="15.75" customHeight="1" s="154"/>
    <row r="462" ht="15.75" customHeight="1" s="154"/>
    <row r="463" ht="15.75" customHeight="1" s="154"/>
    <row r="464" ht="15.75" customHeight="1" s="154"/>
    <row r="465" ht="15.75" customHeight="1" s="154"/>
    <row r="466" ht="15.75" customHeight="1" s="154"/>
    <row r="467" ht="15.75" customHeight="1" s="154"/>
    <row r="468" ht="15.75" customHeight="1" s="154"/>
    <row r="469" ht="15.75" customHeight="1" s="154"/>
    <row r="470" ht="15.75" customHeight="1" s="154"/>
    <row r="471" ht="15.75" customHeight="1" s="154"/>
    <row r="472" ht="15.75" customHeight="1" s="154"/>
    <row r="473" ht="15.75" customHeight="1" s="154"/>
    <row r="474" ht="15.75" customHeight="1" s="154"/>
    <row r="475" ht="15.75" customHeight="1" s="154"/>
    <row r="476" ht="15.75" customHeight="1" s="154"/>
    <row r="477" ht="15.75" customHeight="1" s="154"/>
    <row r="478" ht="15.75" customHeight="1" s="154"/>
    <row r="479" ht="15.75" customHeight="1" s="154"/>
    <row r="480" ht="15.75" customHeight="1" s="154"/>
    <row r="481" ht="15.75" customHeight="1" s="154"/>
    <row r="482" ht="15.75" customHeight="1" s="154"/>
    <row r="483" ht="15.75" customHeight="1" s="154"/>
    <row r="484" ht="15.75" customHeight="1" s="154"/>
    <row r="485" ht="15.75" customHeight="1" s="154"/>
    <row r="486" ht="15.75" customHeight="1" s="154"/>
    <row r="487" ht="15.75" customHeight="1" s="154"/>
    <row r="488" ht="15.75" customHeight="1" s="154"/>
    <row r="489" ht="15.75" customHeight="1" s="154"/>
    <row r="490" ht="15.75" customHeight="1" s="154"/>
    <row r="491" ht="15.75" customHeight="1" s="154"/>
    <row r="492" ht="15.75" customHeight="1" s="154"/>
    <row r="493" ht="15.75" customHeight="1" s="154"/>
    <row r="494" ht="15.75" customHeight="1" s="154"/>
    <row r="495" ht="15.75" customHeight="1" s="154"/>
    <row r="496" ht="15.75" customHeight="1" s="154"/>
    <row r="497" ht="15.75" customHeight="1" s="154"/>
    <row r="498" ht="15.75" customHeight="1" s="154"/>
    <row r="499" ht="15.75" customHeight="1" s="154"/>
    <row r="500" ht="15.75" customHeight="1" s="154"/>
    <row r="501" ht="15.75" customHeight="1" s="154"/>
    <row r="502" ht="15.75" customHeight="1" s="154"/>
    <row r="503" ht="15.75" customHeight="1" s="154"/>
    <row r="504" ht="15.75" customHeight="1" s="154"/>
    <row r="505" ht="15.75" customHeight="1" s="154"/>
    <row r="506" ht="15.75" customHeight="1" s="154"/>
    <row r="507" ht="15.75" customHeight="1" s="154"/>
    <row r="508" ht="15.75" customHeight="1" s="154"/>
    <row r="509" ht="15.75" customHeight="1" s="154"/>
    <row r="510" ht="15.75" customHeight="1" s="154"/>
    <row r="511" ht="15.75" customHeight="1" s="154"/>
    <row r="512" ht="15.75" customHeight="1" s="154"/>
    <row r="513" ht="15.75" customHeight="1" s="154"/>
    <row r="514" ht="15.75" customHeight="1" s="154"/>
    <row r="515" ht="15.75" customHeight="1" s="154"/>
    <row r="516" ht="15.75" customHeight="1" s="154"/>
    <row r="517" ht="15.75" customHeight="1" s="154"/>
    <row r="518" ht="15.75" customHeight="1" s="154"/>
    <row r="519" ht="15.75" customHeight="1" s="154"/>
    <row r="520" ht="15.75" customHeight="1" s="154"/>
    <row r="521" ht="15.75" customHeight="1" s="154"/>
    <row r="522" ht="15.75" customHeight="1" s="154"/>
    <row r="523" ht="15.75" customHeight="1" s="154"/>
    <row r="524" ht="15.75" customHeight="1" s="154"/>
    <row r="525" ht="15.75" customHeight="1" s="154"/>
    <row r="526" ht="15.75" customHeight="1" s="154"/>
    <row r="527" ht="15.75" customHeight="1" s="154"/>
    <row r="528" ht="15.75" customHeight="1" s="154"/>
    <row r="529" ht="15.75" customHeight="1" s="154"/>
    <row r="530" ht="15.75" customHeight="1" s="154"/>
    <row r="531" ht="15.75" customHeight="1" s="154"/>
    <row r="532" ht="15.75" customHeight="1" s="154"/>
    <row r="533" ht="15.75" customHeight="1" s="154"/>
    <row r="534" ht="15.75" customHeight="1" s="154"/>
    <row r="535" ht="15.75" customHeight="1" s="154"/>
    <row r="536" ht="15.75" customHeight="1" s="154"/>
    <row r="537" ht="15.75" customHeight="1" s="154"/>
    <row r="538" ht="15.75" customHeight="1" s="154"/>
    <row r="539" ht="15.75" customHeight="1" s="154"/>
    <row r="540" ht="15.75" customHeight="1" s="154"/>
    <row r="541" ht="15.75" customHeight="1" s="154"/>
    <row r="542" ht="15.75" customHeight="1" s="154"/>
    <row r="543" ht="15.75" customHeight="1" s="154"/>
    <row r="544" ht="15.75" customHeight="1" s="154"/>
    <row r="545" ht="15.75" customHeight="1" s="154"/>
    <row r="546" ht="15.75" customHeight="1" s="154"/>
    <row r="547" ht="15.75" customHeight="1" s="154"/>
    <row r="548" ht="15.75" customHeight="1" s="154"/>
    <row r="549" ht="15.75" customHeight="1" s="154"/>
    <row r="550" ht="15.75" customHeight="1" s="154"/>
    <row r="551" ht="15.75" customHeight="1" s="154"/>
    <row r="552" ht="15.75" customHeight="1" s="154"/>
    <row r="553" ht="15.75" customHeight="1" s="154"/>
    <row r="554" ht="15.75" customHeight="1" s="154"/>
    <row r="555" ht="15.75" customHeight="1" s="154"/>
    <row r="556" ht="15.75" customHeight="1" s="154"/>
    <row r="557" ht="15.75" customHeight="1" s="154"/>
    <row r="558" ht="15.75" customHeight="1" s="154"/>
    <row r="559" ht="15.75" customHeight="1" s="154"/>
    <row r="560" ht="15.75" customHeight="1" s="154"/>
    <row r="561" ht="15.75" customHeight="1" s="154"/>
    <row r="562" ht="15.75" customHeight="1" s="154"/>
    <row r="563" ht="15.75" customHeight="1" s="154"/>
    <row r="564" ht="15.75" customHeight="1" s="154"/>
    <row r="565" ht="15.75" customHeight="1" s="154"/>
    <row r="566" ht="15.75" customHeight="1" s="154"/>
    <row r="567" ht="15.75" customHeight="1" s="154"/>
    <row r="568" ht="15.75" customHeight="1" s="154"/>
    <row r="569" ht="15.75" customHeight="1" s="154"/>
    <row r="570" ht="15.75" customHeight="1" s="154"/>
    <row r="571" ht="15.75" customHeight="1" s="154"/>
    <row r="572" ht="15.75" customHeight="1" s="154"/>
    <row r="573" ht="15.75" customHeight="1" s="154"/>
    <row r="574" ht="15.75" customHeight="1" s="154"/>
    <row r="575" ht="15.75" customHeight="1" s="154"/>
    <row r="576" ht="15.75" customHeight="1" s="154"/>
    <row r="577" ht="15.75" customHeight="1" s="154"/>
    <row r="578" ht="15.75" customHeight="1" s="154"/>
    <row r="579" ht="15.75" customHeight="1" s="154"/>
    <row r="580" ht="15.75" customHeight="1" s="154"/>
    <row r="581" ht="15.75" customHeight="1" s="154"/>
    <row r="582" ht="15.75" customHeight="1" s="154"/>
    <row r="583" ht="15.75" customHeight="1" s="154"/>
    <row r="584" ht="15.75" customHeight="1" s="154"/>
    <row r="585" ht="15.75" customHeight="1" s="154"/>
    <row r="586" ht="15.75" customHeight="1" s="154"/>
    <row r="587" ht="15.75" customHeight="1" s="154"/>
    <row r="588" ht="15.75" customHeight="1" s="154"/>
    <row r="589" ht="15.75" customHeight="1" s="154"/>
    <row r="590" ht="15.75" customHeight="1" s="154"/>
    <row r="591" ht="15.75" customHeight="1" s="154"/>
    <row r="592" ht="15.75" customHeight="1" s="154"/>
    <row r="593" ht="15.75" customHeight="1" s="154"/>
    <row r="594" ht="15.75" customHeight="1" s="154"/>
    <row r="595" ht="15.75" customHeight="1" s="154"/>
    <row r="596" ht="15.75" customHeight="1" s="154"/>
    <row r="597" ht="15.75" customHeight="1" s="154"/>
    <row r="598" ht="15.75" customHeight="1" s="154"/>
    <row r="599" ht="15.75" customHeight="1" s="154"/>
    <row r="600" ht="15.75" customHeight="1" s="154"/>
    <row r="601" ht="15.75" customHeight="1" s="154"/>
    <row r="602" ht="15.75" customHeight="1" s="154"/>
    <row r="603" ht="15.75" customHeight="1" s="154"/>
    <row r="604" ht="15.75" customHeight="1" s="154"/>
    <row r="605" ht="15.75" customHeight="1" s="154"/>
    <row r="606" ht="15.75" customHeight="1" s="154"/>
    <row r="607" ht="15.75" customHeight="1" s="154"/>
    <row r="608" ht="15.75" customHeight="1" s="154"/>
    <row r="609" ht="15.75" customHeight="1" s="154"/>
    <row r="610" ht="15.75" customHeight="1" s="154"/>
    <row r="611" ht="15.75" customHeight="1" s="154"/>
    <row r="612" ht="15.75" customHeight="1" s="154"/>
    <row r="613" ht="15.75" customHeight="1" s="154"/>
    <row r="614" ht="15.75" customHeight="1" s="154"/>
    <row r="615" ht="15.75" customHeight="1" s="154"/>
    <row r="616" ht="15.75" customHeight="1" s="154"/>
    <row r="617" ht="15.75" customHeight="1" s="154"/>
    <row r="618" ht="15.75" customHeight="1" s="154"/>
    <row r="619" ht="15.75" customHeight="1" s="154"/>
    <row r="620" ht="15.75" customHeight="1" s="154"/>
    <row r="621" ht="15.75" customHeight="1" s="154"/>
    <row r="622" ht="15.75" customHeight="1" s="154"/>
    <row r="623" ht="15.75" customHeight="1" s="154"/>
    <row r="624" ht="15.75" customHeight="1" s="154"/>
    <row r="625" ht="15.75" customHeight="1" s="154"/>
    <row r="626" ht="15.75" customHeight="1" s="154"/>
    <row r="627" ht="15.75" customHeight="1" s="154"/>
    <row r="628" ht="15.75" customHeight="1" s="154"/>
    <row r="629" ht="15.75" customHeight="1" s="154"/>
    <row r="630" ht="15.75" customHeight="1" s="154"/>
    <row r="631" ht="15.75" customHeight="1" s="154"/>
    <row r="632" ht="15.75" customHeight="1" s="154"/>
    <row r="633" ht="15.75" customHeight="1" s="154"/>
    <row r="634" ht="15.75" customHeight="1" s="154"/>
    <row r="635" ht="15.75" customHeight="1" s="154"/>
    <row r="636" ht="15.75" customHeight="1" s="154"/>
    <row r="637" ht="15.75" customHeight="1" s="154"/>
    <row r="638" ht="15.75" customHeight="1" s="154"/>
    <row r="639" ht="15.75" customHeight="1" s="154"/>
    <row r="640" ht="15.75" customHeight="1" s="154"/>
    <row r="641" ht="15.75" customHeight="1" s="154"/>
    <row r="642" ht="15.75" customHeight="1" s="154"/>
    <row r="643" ht="15.75" customHeight="1" s="154"/>
    <row r="644" ht="15.75" customHeight="1" s="154"/>
    <row r="645" ht="15.75" customHeight="1" s="154"/>
    <row r="646" ht="15.75" customHeight="1" s="154"/>
    <row r="647" ht="15.75" customHeight="1" s="154"/>
    <row r="648" ht="15.75" customHeight="1" s="154"/>
    <row r="649" ht="15.75" customHeight="1" s="154"/>
    <row r="650" ht="15.75" customHeight="1" s="154"/>
    <row r="651" ht="15.75" customHeight="1" s="154"/>
    <row r="652" ht="15.75" customHeight="1" s="154"/>
    <row r="653" ht="15.75" customHeight="1" s="154"/>
    <row r="654" ht="15.75" customHeight="1" s="154"/>
    <row r="655" ht="15.75" customHeight="1" s="154"/>
    <row r="656" ht="15.75" customHeight="1" s="154"/>
    <row r="657" ht="15.75" customHeight="1" s="154"/>
    <row r="658" ht="15.75" customHeight="1" s="154"/>
    <row r="659" ht="15.75" customHeight="1" s="154"/>
    <row r="660" ht="15.75" customHeight="1" s="154"/>
    <row r="661" ht="15.75" customHeight="1" s="154"/>
    <row r="662" ht="15.75" customHeight="1" s="154"/>
    <row r="663" ht="15.75" customHeight="1" s="154"/>
    <row r="664" ht="15.75" customHeight="1" s="154"/>
    <row r="665" ht="15.75" customHeight="1" s="154"/>
    <row r="666" ht="15.75" customHeight="1" s="154"/>
    <row r="667" ht="15.75" customHeight="1" s="154"/>
    <row r="668" ht="15.75" customHeight="1" s="154"/>
    <row r="669" ht="15.75" customHeight="1" s="154"/>
    <row r="670" ht="15.75" customHeight="1" s="154"/>
    <row r="671" ht="15.75" customHeight="1" s="154"/>
    <row r="672" ht="15.75" customHeight="1" s="154"/>
    <row r="673" ht="15.75" customHeight="1" s="154"/>
    <row r="674" ht="15.75" customHeight="1" s="154"/>
    <row r="675" ht="15.75" customHeight="1" s="154"/>
    <row r="676" ht="15.75" customHeight="1" s="154"/>
    <row r="677" ht="15.75" customHeight="1" s="154"/>
    <row r="678" ht="15.75" customHeight="1" s="154"/>
    <row r="679" ht="15.75" customHeight="1" s="154"/>
    <row r="680" ht="15.75" customHeight="1" s="154"/>
    <row r="681" ht="15.75" customHeight="1" s="154"/>
    <row r="682" ht="15.75" customHeight="1" s="154"/>
    <row r="683" ht="15.75" customHeight="1" s="154"/>
    <row r="684" ht="15.75" customHeight="1" s="154"/>
    <row r="685" ht="15.75" customHeight="1" s="154"/>
    <row r="686" ht="15.75" customHeight="1" s="154"/>
    <row r="687" ht="15.75" customHeight="1" s="154"/>
    <row r="688" ht="15.75" customHeight="1" s="154"/>
    <row r="689" ht="15.75" customHeight="1" s="154"/>
    <row r="690" ht="15.75" customHeight="1" s="154"/>
    <row r="691" ht="15.75" customHeight="1" s="154"/>
    <row r="692" ht="15.75" customHeight="1" s="154"/>
    <row r="693" ht="15.75" customHeight="1" s="154"/>
    <row r="694" ht="15.75" customHeight="1" s="154"/>
    <row r="695" ht="15.75" customHeight="1" s="154"/>
    <row r="696" ht="15.75" customHeight="1" s="154"/>
    <row r="697" ht="15.75" customHeight="1" s="154"/>
    <row r="698" ht="15.75" customHeight="1" s="154"/>
    <row r="699" ht="15.75" customHeight="1" s="154"/>
    <row r="700" ht="15.75" customHeight="1" s="154"/>
    <row r="701" ht="15.75" customHeight="1" s="154"/>
    <row r="702" ht="15.75" customHeight="1" s="154"/>
    <row r="703" ht="15.75" customHeight="1" s="154"/>
    <row r="704" ht="15.75" customHeight="1" s="154"/>
    <row r="705" ht="15.75" customHeight="1" s="154"/>
    <row r="706" ht="15.75" customHeight="1" s="154"/>
    <row r="707" ht="15.75" customHeight="1" s="154"/>
    <row r="708" ht="15.75" customHeight="1" s="154"/>
    <row r="709" ht="15.75" customHeight="1" s="154"/>
    <row r="710" ht="15.75" customHeight="1" s="154"/>
    <row r="711" ht="15.75" customHeight="1" s="154"/>
    <row r="712" ht="15.75" customHeight="1" s="154"/>
    <row r="713" ht="15.75" customHeight="1" s="154"/>
    <row r="714" ht="15.75" customHeight="1" s="154"/>
    <row r="715" ht="15.75" customHeight="1" s="154"/>
    <row r="716" ht="15.75" customHeight="1" s="154"/>
    <row r="717" ht="15.75" customHeight="1" s="154"/>
    <row r="718" ht="15.75" customHeight="1" s="154"/>
    <row r="719" ht="15.75" customHeight="1" s="154"/>
    <row r="720" ht="15.75" customHeight="1" s="154"/>
    <row r="721" ht="15.75" customHeight="1" s="154"/>
    <row r="722" ht="15.75" customHeight="1" s="154"/>
    <row r="723" ht="15.75" customHeight="1" s="154"/>
    <row r="724" ht="15.75" customHeight="1" s="154"/>
    <row r="725" ht="15.75" customHeight="1" s="154"/>
    <row r="726" ht="15.75" customHeight="1" s="154"/>
    <row r="727" ht="15.75" customHeight="1" s="154"/>
    <row r="728" ht="15.75" customHeight="1" s="154"/>
    <row r="729" ht="15.75" customHeight="1" s="154"/>
    <row r="730" ht="15.75" customHeight="1" s="154"/>
    <row r="731" ht="15.75" customHeight="1" s="154"/>
    <row r="732" ht="15.75" customHeight="1" s="154"/>
    <row r="733" ht="15.75" customHeight="1" s="154"/>
    <row r="734" ht="15.75" customHeight="1" s="154"/>
    <row r="735" ht="15.75" customHeight="1" s="154"/>
    <row r="736" ht="15.75" customHeight="1" s="154"/>
    <row r="737" ht="15.75" customHeight="1" s="154"/>
    <row r="738" ht="15.75" customHeight="1" s="154"/>
    <row r="739" ht="15.75" customHeight="1" s="154"/>
    <row r="740" ht="15.75" customHeight="1" s="154"/>
    <row r="741" ht="15.75" customHeight="1" s="154"/>
    <row r="742" ht="15.75" customHeight="1" s="154"/>
    <row r="743" ht="15.75" customHeight="1" s="154"/>
    <row r="744" ht="15.75" customHeight="1" s="154"/>
    <row r="745" ht="15.75" customHeight="1" s="154"/>
    <row r="746" ht="15.75" customHeight="1" s="154"/>
    <row r="747" ht="15.75" customHeight="1" s="154"/>
    <row r="748" ht="15.75" customHeight="1" s="154"/>
    <row r="749" ht="15.75" customHeight="1" s="154"/>
    <row r="750" ht="15.75" customHeight="1" s="154"/>
    <row r="751" ht="15.75" customHeight="1" s="154"/>
    <row r="752" ht="15.75" customHeight="1" s="154"/>
    <row r="753" ht="15.75" customHeight="1" s="154"/>
    <row r="754" ht="15.75" customHeight="1" s="154"/>
    <row r="755" ht="15.75" customHeight="1" s="154"/>
    <row r="756" ht="15.75" customHeight="1" s="154"/>
    <row r="757" ht="15.75" customHeight="1" s="154"/>
    <row r="758" ht="15.75" customHeight="1" s="154"/>
    <row r="759" ht="15.75" customHeight="1" s="154"/>
    <row r="760" ht="15.75" customHeight="1" s="154"/>
    <row r="761" ht="15.75" customHeight="1" s="154"/>
    <row r="762" ht="15.75" customHeight="1" s="154"/>
    <row r="763" ht="15.75" customHeight="1" s="154"/>
    <row r="764" ht="15.75" customHeight="1" s="154"/>
    <row r="765" ht="15.75" customHeight="1" s="154"/>
    <row r="766" ht="15.75" customHeight="1" s="154"/>
    <row r="767" ht="15.75" customHeight="1" s="154"/>
    <row r="768" ht="15.75" customHeight="1" s="154"/>
    <row r="769" ht="15.75" customHeight="1" s="154"/>
    <row r="770" ht="15.75" customHeight="1" s="154"/>
    <row r="771" ht="15.75" customHeight="1" s="154"/>
    <row r="772" ht="15.75" customHeight="1" s="154"/>
    <row r="773" ht="15.75" customHeight="1" s="154"/>
    <row r="774" ht="15.75" customHeight="1" s="154"/>
    <row r="775" ht="15.75" customHeight="1" s="154"/>
    <row r="776" ht="15.75" customHeight="1" s="154"/>
    <row r="777" ht="15.75" customHeight="1" s="154"/>
    <row r="778" ht="15.75" customHeight="1" s="154"/>
    <row r="779" ht="15.75" customHeight="1" s="154"/>
    <row r="780" ht="15.75" customHeight="1" s="154"/>
    <row r="781" ht="15.75" customHeight="1" s="154"/>
    <row r="782" ht="15.75" customHeight="1" s="154"/>
    <row r="783" ht="15.75" customHeight="1" s="154"/>
    <row r="784" ht="15.75" customHeight="1" s="154"/>
    <row r="785" ht="15.75" customHeight="1" s="154"/>
    <row r="786" ht="15.75" customHeight="1" s="154"/>
    <row r="787" ht="15.75" customHeight="1" s="154"/>
    <row r="788" ht="15.75" customHeight="1" s="154"/>
    <row r="789" ht="15.75" customHeight="1" s="154"/>
    <row r="790" ht="15.75" customHeight="1" s="154"/>
    <row r="791" ht="15.75" customHeight="1" s="154"/>
    <row r="792" ht="15.75" customHeight="1" s="154"/>
    <row r="793" ht="15.75" customHeight="1" s="154"/>
    <row r="794" ht="15.75" customHeight="1" s="154"/>
    <row r="795" ht="15.75" customHeight="1" s="154"/>
    <row r="796" ht="15.75" customHeight="1" s="154"/>
    <row r="797" ht="15.75" customHeight="1" s="154"/>
    <row r="798" ht="15.75" customHeight="1" s="154"/>
    <row r="799" ht="15.75" customHeight="1" s="154"/>
    <row r="800" ht="15.75" customHeight="1" s="154"/>
    <row r="801" ht="15.75" customHeight="1" s="154"/>
    <row r="802" ht="15.75" customHeight="1" s="154"/>
    <row r="803" ht="15.75" customHeight="1" s="154"/>
    <row r="804" ht="15.75" customHeight="1" s="154"/>
    <row r="805" ht="15.75" customHeight="1" s="154"/>
    <row r="806" ht="15.75" customHeight="1" s="154"/>
    <row r="807" ht="15.75" customHeight="1" s="154"/>
    <row r="808" ht="15.75" customHeight="1" s="154"/>
    <row r="809" ht="15.75" customHeight="1" s="154"/>
    <row r="810" ht="15.75" customHeight="1" s="154"/>
    <row r="811" ht="15.75" customHeight="1" s="154"/>
    <row r="812" ht="15.75" customHeight="1" s="154"/>
    <row r="813" ht="15.75" customHeight="1" s="154"/>
    <row r="814" ht="15.75" customHeight="1" s="154"/>
    <row r="815" ht="15.75" customHeight="1" s="154"/>
    <row r="816" ht="15.75" customHeight="1" s="154"/>
    <row r="817" ht="15.75" customHeight="1" s="154"/>
    <row r="818" ht="15.75" customHeight="1" s="154"/>
    <row r="819" ht="15.75" customHeight="1" s="154"/>
    <row r="820" ht="15.75" customHeight="1" s="154"/>
    <row r="821" ht="15.75" customHeight="1" s="154"/>
    <row r="822" ht="15.75" customHeight="1" s="154"/>
    <row r="823" ht="15.75" customHeight="1" s="154"/>
    <row r="824" ht="15.75" customHeight="1" s="154"/>
    <row r="825" ht="15.75" customHeight="1" s="154"/>
    <row r="826" ht="15.75" customHeight="1" s="154"/>
    <row r="827" ht="15.75" customHeight="1" s="154"/>
    <row r="828" ht="15.75" customHeight="1" s="154"/>
    <row r="829" ht="15.75" customHeight="1" s="154"/>
    <row r="830" ht="15.75" customHeight="1" s="154"/>
    <row r="831" ht="15.75" customHeight="1" s="154"/>
    <row r="832" ht="15.75" customHeight="1" s="154"/>
    <row r="833" ht="15.75" customHeight="1" s="154"/>
    <row r="834" ht="15.75" customHeight="1" s="154"/>
    <row r="835" ht="15.75" customHeight="1" s="154"/>
    <row r="836" ht="15.75" customHeight="1" s="154"/>
    <row r="837" ht="15.75" customHeight="1" s="154"/>
    <row r="838" ht="15.75" customHeight="1" s="154"/>
    <row r="839" ht="15.75" customHeight="1" s="154"/>
    <row r="840" ht="15.75" customHeight="1" s="154"/>
    <row r="841" ht="15.75" customHeight="1" s="154"/>
    <row r="842" ht="15.75" customHeight="1" s="154"/>
    <row r="843" ht="15.75" customHeight="1" s="154"/>
    <row r="844" ht="15.75" customHeight="1" s="154"/>
    <row r="845" ht="15.75" customHeight="1" s="154"/>
    <row r="846" ht="15.75" customHeight="1" s="154"/>
    <row r="847" ht="15.75" customHeight="1" s="154"/>
    <row r="848" ht="15.75" customHeight="1" s="154"/>
    <row r="849" ht="15.75" customHeight="1" s="154"/>
    <row r="850" ht="15.75" customHeight="1" s="154"/>
    <row r="851" ht="15.75" customHeight="1" s="154"/>
    <row r="852" ht="15.75" customHeight="1" s="154"/>
    <row r="853" ht="15.75" customHeight="1" s="154"/>
    <row r="854" ht="15.75" customHeight="1" s="154"/>
    <row r="855" ht="15.75" customHeight="1" s="154"/>
    <row r="856" ht="15.75" customHeight="1" s="154"/>
    <row r="857" ht="15.75" customHeight="1" s="154"/>
    <row r="858" ht="15.75" customHeight="1" s="154"/>
    <row r="859" ht="15.75" customHeight="1" s="154"/>
    <row r="860" ht="15.75" customHeight="1" s="154"/>
    <row r="861" ht="15.75" customHeight="1" s="154"/>
    <row r="862" ht="15.75" customHeight="1" s="154"/>
    <row r="863" ht="15.75" customHeight="1" s="154"/>
    <row r="864" ht="15.75" customHeight="1" s="154"/>
    <row r="865" ht="15.75" customHeight="1" s="154"/>
    <row r="866" ht="15.75" customHeight="1" s="154"/>
    <row r="867" ht="15.75" customHeight="1" s="154"/>
    <row r="868" ht="15.75" customHeight="1" s="154"/>
    <row r="869" ht="15.75" customHeight="1" s="154"/>
    <row r="870" ht="15.75" customHeight="1" s="154"/>
    <row r="871" ht="15.75" customHeight="1" s="154"/>
    <row r="872" ht="15.75" customHeight="1" s="154"/>
    <row r="873" ht="15.75" customHeight="1" s="154"/>
    <row r="874" ht="15.75" customHeight="1" s="154"/>
    <row r="875" ht="15.75" customHeight="1" s="154"/>
    <row r="876" ht="15.75" customHeight="1" s="154"/>
    <row r="877" ht="15.75" customHeight="1" s="154"/>
    <row r="878" ht="15.75" customHeight="1" s="154"/>
    <row r="879" ht="15.75" customHeight="1" s="154"/>
    <row r="880" ht="15.75" customHeight="1" s="154"/>
    <row r="881" ht="15.75" customHeight="1" s="154"/>
    <row r="882" ht="15.75" customHeight="1" s="154"/>
    <row r="883" ht="15.75" customHeight="1" s="154"/>
    <row r="884" ht="15.75" customHeight="1" s="154"/>
    <row r="885" ht="15.75" customHeight="1" s="154"/>
    <row r="886" ht="15.75" customHeight="1" s="154"/>
    <row r="887" ht="15.75" customHeight="1" s="154"/>
    <row r="888" ht="15.75" customHeight="1" s="154"/>
    <row r="889" ht="15.75" customHeight="1" s="154"/>
    <row r="890" ht="15.75" customHeight="1" s="154"/>
    <row r="891" ht="15.75" customHeight="1" s="154"/>
    <row r="892" ht="15.75" customHeight="1" s="154"/>
    <row r="893" ht="15.75" customHeight="1" s="154"/>
    <row r="894" ht="15.75" customHeight="1" s="154"/>
    <row r="895" ht="15.75" customHeight="1" s="154"/>
    <row r="896" ht="15.75" customHeight="1" s="154"/>
    <row r="897" ht="15.75" customHeight="1" s="154"/>
    <row r="898" ht="15.75" customHeight="1" s="154"/>
    <row r="899" ht="15.75" customHeight="1" s="154"/>
    <row r="900" ht="15.75" customHeight="1" s="154"/>
    <row r="901" ht="15.75" customHeight="1" s="154"/>
    <row r="902" ht="15.75" customHeight="1" s="154"/>
    <row r="903" ht="15.75" customHeight="1" s="154"/>
    <row r="904" ht="15.75" customHeight="1" s="154"/>
    <row r="905" ht="15.75" customHeight="1" s="154"/>
    <row r="906" ht="15.75" customHeight="1" s="154"/>
    <row r="907" ht="15.75" customHeight="1" s="154"/>
    <row r="908" ht="15.75" customHeight="1" s="154"/>
    <row r="909" ht="15.75" customHeight="1" s="154"/>
    <row r="910" ht="15.75" customHeight="1" s="154"/>
    <row r="911" ht="15.75" customHeight="1" s="154"/>
    <row r="912" ht="15.75" customHeight="1" s="154"/>
    <row r="913" ht="15.75" customHeight="1" s="154"/>
    <row r="914" ht="15.75" customHeight="1" s="154"/>
    <row r="915" ht="15.75" customHeight="1" s="154"/>
    <row r="916" ht="15.75" customHeight="1" s="154"/>
    <row r="917" ht="15.75" customHeight="1" s="154"/>
    <row r="918" ht="15.75" customHeight="1" s="154"/>
    <row r="919" ht="15.75" customHeight="1" s="154"/>
    <row r="920" ht="15.75" customHeight="1" s="154"/>
    <row r="921" ht="15.75" customHeight="1" s="154"/>
    <row r="922" ht="15.75" customHeight="1" s="154"/>
    <row r="923" ht="15.75" customHeight="1" s="154"/>
    <row r="924" ht="15.75" customHeight="1" s="154"/>
    <row r="925" ht="15.75" customHeight="1" s="154"/>
    <row r="926" ht="15.75" customHeight="1" s="154"/>
    <row r="927" ht="15.75" customHeight="1" s="154"/>
    <row r="928" ht="15.75" customHeight="1" s="154"/>
    <row r="929" ht="15.75" customHeight="1" s="154"/>
    <row r="930" ht="15.75" customHeight="1" s="154"/>
    <row r="931" ht="15.75" customHeight="1" s="154"/>
    <row r="932" ht="15.75" customHeight="1" s="154"/>
    <row r="933" ht="15.75" customHeight="1" s="154"/>
    <row r="934" ht="15.75" customHeight="1" s="154"/>
    <row r="935" ht="15.75" customHeight="1" s="154"/>
    <row r="936" ht="15.75" customHeight="1" s="154"/>
    <row r="937" ht="15.75" customHeight="1" s="154"/>
    <row r="938" ht="15.75" customHeight="1" s="154"/>
    <row r="939" ht="15.75" customHeight="1" s="154"/>
    <row r="940" ht="15.75" customHeight="1" s="154"/>
    <row r="941" ht="15.75" customHeight="1" s="154"/>
    <row r="942" ht="15.75" customHeight="1" s="154"/>
    <row r="943" ht="15.75" customHeight="1" s="154"/>
    <row r="944" ht="15.75" customHeight="1" s="154"/>
    <row r="945" ht="15.75" customHeight="1" s="154"/>
    <row r="946" ht="15.75" customHeight="1" s="154"/>
    <row r="947" ht="15.75" customHeight="1" s="154"/>
    <row r="948" ht="15.75" customHeight="1" s="154"/>
    <row r="949" ht="15.75" customHeight="1" s="154"/>
    <row r="950" ht="15.75" customHeight="1" s="154"/>
    <row r="951" ht="15.75" customHeight="1" s="154"/>
    <row r="952" ht="15.75" customHeight="1" s="154"/>
    <row r="953" ht="15.75" customHeight="1" s="154"/>
    <row r="954" ht="15.75" customHeight="1" s="154"/>
    <row r="955" ht="15.75" customHeight="1" s="154"/>
    <row r="956" ht="15.75" customHeight="1" s="154"/>
    <row r="957" ht="15.75" customHeight="1" s="154"/>
    <row r="958" ht="15.75" customHeight="1" s="154"/>
    <row r="959" ht="15.75" customHeight="1" s="154"/>
    <row r="960" ht="15.75" customHeight="1" s="154"/>
    <row r="961" ht="15.75" customHeight="1" s="154"/>
    <row r="962" ht="15.75" customHeight="1" s="154"/>
    <row r="963" ht="15.75" customHeight="1" s="154"/>
    <row r="964" ht="15.75" customHeight="1" s="154"/>
    <row r="965" ht="15.75" customHeight="1" s="154"/>
    <row r="966" ht="15.75" customHeight="1" s="154"/>
    <row r="967" ht="15.75" customHeight="1" s="154"/>
    <row r="968" ht="15.75" customHeight="1" s="154"/>
    <row r="969" ht="15.75" customHeight="1" s="154"/>
    <row r="970" ht="15.75" customHeight="1" s="154"/>
    <row r="971" ht="15.75" customHeight="1" s="154"/>
    <row r="972" ht="15.75" customHeight="1" s="154"/>
    <row r="973" ht="15.75" customHeight="1" s="154"/>
    <row r="974" ht="15.75" customHeight="1" s="154"/>
    <row r="975" ht="15.75" customHeight="1" s="154"/>
    <row r="976" ht="15.75" customHeight="1" s="154"/>
    <row r="977" ht="15.75" customHeight="1" s="154"/>
    <row r="978" ht="15.75" customHeight="1" s="154"/>
    <row r="979" ht="15.75" customHeight="1" s="154"/>
    <row r="980" ht="15.75" customHeight="1" s="154"/>
    <row r="981" ht="15.75" customHeight="1" s="154"/>
    <row r="982" ht="15.75" customHeight="1" s="154"/>
    <row r="983" ht="15.75" customHeight="1" s="154"/>
    <row r="984" ht="15.75" customHeight="1" s="154"/>
    <row r="985" ht="15.75" customHeight="1" s="154"/>
    <row r="986" ht="15.75" customHeight="1" s="154"/>
    <row r="987" ht="15.75" customHeight="1" s="154"/>
    <row r="988" ht="15.75" customHeight="1" s="154"/>
    <row r="989" ht="15.75" customHeight="1" s="154"/>
    <row r="990" ht="15.75" customHeight="1" s="154"/>
    <row r="991" ht="15.75" customHeight="1" s="154"/>
    <row r="992" ht="15.75" customHeight="1" s="154"/>
    <row r="993" ht="15.75" customHeight="1" s="154"/>
    <row r="994" ht="15.75" customHeight="1" s="154"/>
    <row r="995" ht="15.75" customHeight="1" s="154"/>
    <row r="996" ht="15.75" customHeight="1" s="154"/>
    <row r="997" ht="15.75" customHeight="1" s="154"/>
    <row r="998" ht="15.75" customHeight="1" s="154"/>
    <row r="999" ht="15.75" customHeight="1" s="154"/>
    <row r="1000" ht="15.75" customHeight="1" s="154"/>
  </sheetData>
  <mergeCells count="1">
    <mergeCell ref="A1:AI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tabColor rgb="FF114884"/>
    <outlinePr summaryBelow="1" summaryRight="1"/>
    <pageSetUpPr fitToPage="0"/>
  </sheetPr>
  <dimension ref="A1:Z99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3359375" defaultRowHeight="15" zeroHeight="0" outlineLevelRow="0"/>
  <cols>
    <col width="22" customWidth="1" style="153" min="1" max="1"/>
    <col width="13" customWidth="1" style="153" min="2" max="2"/>
    <col width="15" customWidth="1" style="153" min="3" max="3"/>
    <col width="17" customWidth="1" style="153" min="4" max="6"/>
    <col width="30" customWidth="1" style="153" min="7" max="7"/>
    <col width="11" customWidth="1" style="153" min="8" max="8"/>
  </cols>
  <sheetData>
    <row r="1" ht="48" customHeight="1" s="154">
      <c r="A1" s="268" t="inlineStr">
        <is>
          <t>⚓  Bilanz  —  Automatische Abrechnung</t>
        </is>
      </c>
      <c r="B1" s="184" t="n"/>
      <c r="C1" s="184" t="n"/>
      <c r="D1" s="184" t="n"/>
      <c r="E1" s="184" t="n"/>
      <c r="F1" s="184" t="n"/>
      <c r="G1" s="184" t="n"/>
      <c r="H1" s="184" t="n"/>
      <c r="I1" s="153" t="n"/>
      <c r="J1" s="153" t="n"/>
      <c r="K1" s="153" t="n"/>
      <c r="L1" s="153" t="n"/>
      <c r="M1" s="153" t="n"/>
      <c r="N1" s="153" t="n"/>
      <c r="O1" s="153" t="n"/>
      <c r="P1" s="153" t="n"/>
      <c r="Q1" s="153" t="n"/>
      <c r="R1" s="153" t="n"/>
      <c r="S1" s="153" t="n"/>
      <c r="T1" s="153" t="n"/>
      <c r="U1" s="153" t="n"/>
      <c r="V1" s="153" t="n"/>
      <c r="W1" s="153" t="n"/>
      <c r="X1" s="153" t="n"/>
      <c r="Y1" s="153" t="n"/>
      <c r="Z1" s="153" t="n"/>
    </row>
    <row r="2" ht="21.75" customHeight="1" s="154">
      <c r="A2" s="227">
        <f>IFERROR("Törn: "&amp;Besatzung!C4&amp;"  |  Gesamtausgaben: "&amp;TEXT(SUMIF(Transaktionen!C4:C203,"Ausgabe",Transaktionen!G4:G203),"#,##0.00 €"),"—")</f>
        <v/>
      </c>
      <c r="B2" s="228" t="n"/>
      <c r="C2" s="228" t="n"/>
      <c r="D2" s="228" t="n"/>
      <c r="E2" s="228" t="n"/>
      <c r="F2" s="228" t="n"/>
      <c r="G2" s="228" t="n"/>
      <c r="H2" s="228" t="n"/>
      <c r="I2" s="153" t="n"/>
      <c r="J2" s="153" t="n"/>
      <c r="K2" s="153" t="n"/>
      <c r="L2" s="153" t="n"/>
      <c r="M2" s="153" t="n"/>
      <c r="N2" s="153" t="n"/>
      <c r="O2" s="153" t="n"/>
      <c r="P2" s="153" t="n"/>
      <c r="Q2" s="153" t="n"/>
      <c r="R2" s="153" t="n"/>
      <c r="S2" s="153" t="n"/>
      <c r="T2" s="153" t="n"/>
      <c r="U2" s="153" t="n"/>
      <c r="V2" s="153" t="n"/>
      <c r="W2" s="153" t="n"/>
      <c r="X2" s="153" t="n"/>
      <c r="Y2" s="153" t="n"/>
      <c r="Z2" s="153" t="n"/>
    </row>
    <row r="3" ht="27.75" customHeight="1" s="154">
      <c r="A3" s="194" t="inlineStr">
        <is>
          <t>Person</t>
        </is>
      </c>
      <c r="B3" s="194" t="inlineStr">
        <is>
          <t>Bezahlt</t>
        </is>
      </c>
      <c r="C3" s="194" t="inlineStr">
        <is>
          <t>Anteil (Schuld)</t>
        </is>
      </c>
      <c r="D3" s="194" t="inlineStr">
        <is>
          <t>Gutschrift gegeben</t>
        </is>
      </c>
      <c r="E3" s="194" t="inlineStr">
        <is>
          <t>Gutschrift erhalten</t>
        </is>
      </c>
      <c r="F3" s="194" t="inlineStr">
        <is>
          <t>Bilanz (Saldo)</t>
        </is>
      </c>
      <c r="G3" s="194" t="inlineStr">
        <is>
          <t>Status</t>
        </is>
      </c>
      <c r="H3" s="194" t="inlineStr">
        <is>
          <t>Bord-Tage</t>
        </is>
      </c>
      <c r="I3" s="153" t="n"/>
      <c r="J3" s="153" t="n"/>
      <c r="K3" s="153" t="n"/>
      <c r="L3" s="153" t="n"/>
      <c r="M3" s="153" t="n"/>
      <c r="N3" s="153" t="n"/>
      <c r="O3" s="153" t="n"/>
      <c r="P3" s="153" t="n"/>
      <c r="Q3" s="153" t="n"/>
      <c r="R3" s="153" t="n"/>
      <c r="S3" s="153" t="n"/>
      <c r="T3" s="153" t="n"/>
      <c r="U3" s="153" t="n"/>
      <c r="V3" s="153" t="n"/>
      <c r="W3" s="153" t="n"/>
      <c r="X3" s="153" t="n"/>
      <c r="Y3" s="153" t="n"/>
      <c r="Z3" s="153" t="n"/>
    </row>
    <row r="4" ht="27.75" customHeight="1" s="154">
      <c r="A4" s="269">
        <f>Besatzung!B11</f>
        <v/>
      </c>
      <c r="B4" s="270">
        <f>IFERROR(SUMPRODUCT((Transaktionen!$C$4:$C$203="Ausgabe")*(Transaktionen!$F$4:$F$203=Besatzung!$B$11)*Transaktionen!$G$4:$G$203),0)</f>
        <v/>
      </c>
      <c r="C4" s="271">
        <f>IFERROR(SUM(Transaktionen!$V$4:$V$203),0)</f>
        <v/>
      </c>
      <c r="D4" s="270">
        <f>IFERROR(SUMPRODUCT((Transaktionen!$C$4:$C$203="Gutschrift")*(Transaktionen!$AH$4:$AH$203=Besatzung!$B$11)*Transaktionen!$G$4:$G$203),0)</f>
        <v/>
      </c>
      <c r="E4" s="272">
        <f>IFERROR(SUMPRODUCT((Transaktionen!$C$4:$C$203="Gutschrift")*(Transaktionen!$AI$4:$AI$203=Besatzung!$B$11)*Transaktionen!$G$4:$G$203)+SUMPRODUCT((Transaktionen!$C$4:$C$203="Gutschrift")*(Transaktionen!$AI$4:$AI$203="Alle")*(Transaktionen!$AH$4:$AH$203&lt;&gt;Besatzung!$B$11)*(Transaktionen!$AH$4:$AH$203&lt;&gt;"")*Transaktionen!$G$4:$G$203)/MAX(COUNTA(Besatzung!$B$11:$B$22)-1,1),0)</f>
        <v/>
      </c>
      <c r="F4" s="273">
        <f>B4+D4-C4-E4</f>
        <v/>
      </c>
      <c r="G4" s="241">
        <f>IF(Besatzung!$B$11="","—",IF(F4&gt;0.005,"✅ bekommt "&amp;TEXT(F4,"#,##0.00 €")&amp;" zurück",IF(F4&lt;-0.005,"❗ schuldet "&amp;TEXT(ABS(F4),"#,##0.00 €"),"✔ ausgeglichen")))</f>
        <v/>
      </c>
      <c r="H4" s="274">
        <f>IFERROR(Besatzung!E11,"—")</f>
        <v/>
      </c>
      <c r="I4" s="153" t="n"/>
      <c r="J4" s="153" t="n"/>
      <c r="K4" s="153" t="n"/>
      <c r="L4" s="153" t="n"/>
      <c r="M4" s="153" t="n"/>
      <c r="N4" s="153" t="n"/>
      <c r="O4" s="153" t="n"/>
      <c r="P4" s="153" t="n"/>
      <c r="Q4" s="153" t="n"/>
      <c r="R4" s="153" t="n"/>
      <c r="S4" s="153" t="n"/>
      <c r="T4" s="153" t="n"/>
      <c r="U4" s="153" t="n"/>
      <c r="V4" s="153" t="n"/>
      <c r="W4" s="153" t="n"/>
      <c r="X4" s="153" t="n"/>
      <c r="Y4" s="153" t="n"/>
      <c r="Z4" s="153" t="n"/>
    </row>
    <row r="5" ht="27.75" customHeight="1" s="154">
      <c r="A5" s="275">
        <f>Besatzung!B12</f>
        <v/>
      </c>
      <c r="B5" s="276">
        <f>IFERROR(SUMPRODUCT((Transaktionen!$C$4:$C$203="Ausgabe")*(Transaktionen!$F$4:$F$203=Besatzung!$B$12)*Transaktionen!$G$4:$G$203),0)</f>
        <v/>
      </c>
      <c r="C5" s="277">
        <f>IFERROR(SUM(Transaktionen!$W$4:$W$203),0)</f>
        <v/>
      </c>
      <c r="D5" s="276">
        <f>IFERROR(SUMPRODUCT((Transaktionen!$C$4:$C$203="Gutschrift")*(Transaktionen!$AH$4:$AH$203=Besatzung!$B$12)*Transaktionen!$G$4:$G$203),0)</f>
        <v/>
      </c>
      <c r="E5" s="278">
        <f>IFERROR(SUMPRODUCT((Transaktionen!$C$4:$C$203="Gutschrift")*(Transaktionen!$AI$4:$AI$203=Besatzung!$B$12)*Transaktionen!$G$4:$G$203)+SUMPRODUCT((Transaktionen!$C$4:$C$203="Gutschrift")*(Transaktionen!$AI$4:$AI$203="Alle")*(Transaktionen!$AH$4:$AH$203&lt;&gt;Besatzung!$B$12)*(Transaktionen!$AH$4:$AH$203&lt;&gt;"")*Transaktionen!$G$4:$G$203)/MAX(COUNTA(Besatzung!$B$11:$B$22)-1,1),0)</f>
        <v/>
      </c>
      <c r="F5" s="279">
        <f>B5+D5-C5-E5</f>
        <v/>
      </c>
      <c r="G5" s="251">
        <f>IF(Besatzung!$B$12="","—",IF(F5&gt;0.005,"✅ bekommt "&amp;TEXT(F5,"#,##0.00 €")&amp;" zurück",IF(F5&lt;-0.005,"❗ schuldet "&amp;TEXT(ABS(F5),"#,##0.00 €"),"✔ ausgeglichen")))</f>
        <v/>
      </c>
      <c r="H5" s="280">
        <f>IFERROR(Besatzung!E12,"—")</f>
        <v/>
      </c>
      <c r="I5" s="153" t="n"/>
      <c r="J5" s="153" t="n"/>
      <c r="K5" s="153" t="n"/>
      <c r="L5" s="153" t="n"/>
      <c r="M5" s="153" t="n"/>
      <c r="N5" s="153" t="n"/>
      <c r="O5" s="153" t="n"/>
      <c r="P5" s="153" t="n"/>
      <c r="Q5" s="153" t="n"/>
      <c r="R5" s="153" t="n"/>
      <c r="S5" s="153" t="n"/>
      <c r="T5" s="153" t="n"/>
      <c r="U5" s="153" t="n"/>
      <c r="V5" s="153" t="n"/>
      <c r="W5" s="153" t="n"/>
      <c r="X5" s="153" t="n"/>
      <c r="Y5" s="153" t="n"/>
      <c r="Z5" s="153" t="n"/>
    </row>
    <row r="6" ht="27.75" customHeight="1" s="154">
      <c r="A6" s="275">
        <f>Besatzung!B14</f>
        <v/>
      </c>
      <c r="B6" s="276">
        <f>IFERROR(SUMPRODUCT((Transaktionen!$C$4:$C$203="Ausgabe")*(Transaktionen!$F$4:$F$203=Besatzung!$B$14)*Transaktionen!$G$4:$G$203),0)</f>
        <v/>
      </c>
      <c r="C6" s="277">
        <f>IFERROR(SUM(Transaktionen!$Y$4:$Y$203),0)</f>
        <v/>
      </c>
      <c r="D6" s="276">
        <f>IFERROR(SUMPRODUCT((Transaktionen!$C$4:$C$203="Gutschrift")*(Transaktionen!$AH$4:$AH$203=Besatzung!$B$14)*Transaktionen!$G$4:$G$203),0)</f>
        <v/>
      </c>
      <c r="E6" s="278">
        <f>IFERROR(SUMPRODUCT((Transaktionen!$C$4:$C$203="Gutschrift")*(Transaktionen!$AI$4:$AI$203=Besatzung!$B$14)*Transaktionen!$G$4:$G$203)+SUMPRODUCT((Transaktionen!$C$4:$C$203="Gutschrift")*(Transaktionen!$AI$4:$AI$203="Alle")*(Transaktionen!$AH$4:$AH$203&lt;&gt;Besatzung!$B$14)*(Transaktionen!$AH$4:$AH$203&lt;&gt;"")*Transaktionen!$G$4:$G$203)/MAX(COUNTA(Besatzung!$B$11:$B$22)-1,1),0)</f>
        <v/>
      </c>
      <c r="F6" s="279">
        <f>B6+D6-C6-E6</f>
        <v/>
      </c>
      <c r="G6" s="251">
        <f>IF(Besatzung!$B$14="","—",IF(F6&gt;0.005,"✅ bekommt "&amp;TEXT(F6,"#,##0.00 €")&amp;" zurück",IF(F6&lt;-0.005,"❗ schuldet "&amp;TEXT(ABS(F6),"#,##0.00 €"),"✔ ausgeglichen")))</f>
        <v/>
      </c>
      <c r="H6" s="280">
        <f>IFERROR(Besatzung!E14,"—")</f>
        <v/>
      </c>
      <c r="I6" s="153" t="n"/>
      <c r="J6" s="153" t="n"/>
      <c r="K6" s="153" t="n"/>
      <c r="L6" s="153" t="n"/>
      <c r="M6" s="153" t="n"/>
      <c r="N6" s="153" t="n"/>
      <c r="O6" s="153" t="n"/>
      <c r="P6" s="153" t="n"/>
      <c r="Q6" s="153" t="n"/>
      <c r="R6" s="153" t="n"/>
      <c r="S6" s="153" t="n"/>
      <c r="T6" s="153" t="n"/>
      <c r="U6" s="153" t="n"/>
      <c r="V6" s="153" t="n"/>
      <c r="W6" s="153" t="n"/>
      <c r="X6" s="153" t="n"/>
      <c r="Y6" s="153" t="n"/>
      <c r="Z6" s="153" t="n"/>
    </row>
    <row r="7" ht="27.75" customHeight="1" s="154">
      <c r="A7" s="269">
        <f>Besatzung!B13</f>
        <v/>
      </c>
      <c r="B7" s="270">
        <f>IFERROR(SUMPRODUCT((Transaktionen!$C$4:$C$203="Ausgabe")*(Transaktionen!$F$4:$F$203=Besatzung!$B$13)*Transaktionen!$G$4:$G$203),0)</f>
        <v/>
      </c>
      <c r="C7" s="271">
        <f>IFERROR(SUM(Transaktionen!$Z$4:$Z$203),0)</f>
        <v/>
      </c>
      <c r="D7" s="270">
        <f>IFERROR(SUMPRODUCT((Transaktionen!$C$4:$C$203="Gutschrift")*(Transaktionen!$AH$4:$AH$203=Besatzung!$B$13)*Transaktionen!$G$4:$G$203),0)</f>
        <v/>
      </c>
      <c r="E7" s="272">
        <f>IFERROR(SUMPRODUCT((Transaktionen!$C$4:$C$203="Gutschrift")*(Transaktionen!$AI$4:$AI$203=Besatzung!$B$13)*Transaktionen!$G$4:$G$203)+SUMPRODUCT((Transaktionen!$C$4:$C$203="Gutschrift")*(Transaktionen!$AI$4:$AI$203="Alle")*(Transaktionen!$AH$4:$AH$203&lt;&gt;Besatzung!$B$13)*(Transaktionen!$AH$4:$AH$203&lt;&gt;"")*Transaktionen!$G$4:$G$203)/MAX(COUNTA(Besatzung!$B$11:$B$22)-1,1),0)</f>
        <v/>
      </c>
      <c r="F7" s="273">
        <f>B7+D7-C7-E7</f>
        <v/>
      </c>
      <c r="G7" s="241">
        <f>IF(Besatzung!$B$13="","—",IF(F7&gt;0.005,"✅ bekommt "&amp;TEXT(F7,"#,##0.00 €")&amp;" zurück",IF(F7&lt;-0.005,"❗ schuldet "&amp;TEXT(ABS(F7),"#,##0.00 €"),"✔ ausgeglichen")))</f>
        <v/>
      </c>
      <c r="H7" s="274">
        <f>IFERROR(Besatzung!E15,"—")</f>
        <v/>
      </c>
      <c r="I7" s="153" t="n"/>
      <c r="J7" s="153" t="n"/>
      <c r="K7" s="153" t="n"/>
      <c r="L7" s="153" t="n"/>
      <c r="M7" s="153" t="n"/>
      <c r="N7" s="153" t="n"/>
      <c r="O7" s="153" t="n"/>
      <c r="P7" s="153" t="n"/>
      <c r="Q7" s="153" t="n"/>
      <c r="R7" s="153" t="n"/>
      <c r="S7" s="153" t="n"/>
      <c r="T7" s="153" t="n"/>
      <c r="U7" s="153" t="n"/>
      <c r="V7" s="153" t="n"/>
      <c r="W7" s="153" t="n"/>
      <c r="X7" s="153" t="n"/>
      <c r="Y7" s="153" t="n"/>
      <c r="Z7" s="153" t="n"/>
    </row>
    <row r="8" ht="27.75" customHeight="1" s="154">
      <c r="A8" s="275">
        <f>Besatzung!B15</f>
        <v/>
      </c>
      <c r="B8" s="276">
        <f>IFERROR(SUMPRODUCT((Transaktionen!$C$4:$C$203="Ausgabe")*(Transaktionen!$F$4:$F$203=Besatzung!$B$15)*Transaktionen!$G$4:$G$203),0)</f>
        <v/>
      </c>
      <c r="C8" s="277">
        <f>IFERROR(SUM(Transaktionen!$AA$4:$AA$203),0)</f>
        <v/>
      </c>
      <c r="D8" s="276">
        <f>IFERROR(SUMPRODUCT((Transaktionen!$C$4:$C$203="Gutschrift")*(Transaktionen!$AH$4:$AH$203=Besatzung!$B$15)*Transaktionen!$G$4:$G$203),0)</f>
        <v/>
      </c>
      <c r="E8" s="278">
        <f>IFERROR(SUMPRODUCT((Transaktionen!$C$4:$C$203="Gutschrift")*(Transaktionen!$AI$4:$AI$203=Besatzung!$B$15)*Transaktionen!$G$4:$G$203)+SUMPRODUCT((Transaktionen!$C$4:$C$203="Gutschrift")*(Transaktionen!$AI$4:$AI$203="Alle")*(Transaktionen!$AH$4:$AH$203&lt;&gt;Besatzung!$B$15)*(Transaktionen!$AH$4:$AH$203&lt;&gt;"")*Transaktionen!$G$4:$G$203)/MAX(COUNTA(Besatzung!$B$11:$B$22)-1,1),0)</f>
        <v/>
      </c>
      <c r="F8" s="279">
        <f>B8+D8-C8-E8</f>
        <v/>
      </c>
      <c r="G8" s="251">
        <f>IF(Besatzung!$B$15="","—",IF(F8&gt;0.005,"✅ bekommt "&amp;TEXT(F8,"#,##0.00 €")&amp;" zurück",IF(F8&lt;-0.005,"❗ schuldet "&amp;TEXT(ABS(F8),"#,##0.00 €"),"✔ ausgeglichen")))</f>
        <v/>
      </c>
      <c r="H8" s="280">
        <f>IFERROR(Besatzung!E16,"—")</f>
        <v/>
      </c>
      <c r="I8" s="153" t="n"/>
      <c r="J8" s="153" t="n"/>
      <c r="K8" s="153" t="n"/>
      <c r="L8" s="153" t="n"/>
      <c r="M8" s="153" t="n"/>
      <c r="N8" s="153" t="n"/>
      <c r="O8" s="153" t="n"/>
      <c r="P8" s="153" t="n"/>
      <c r="Q8" s="153" t="n"/>
      <c r="R8" s="153" t="n"/>
      <c r="S8" s="153" t="n"/>
      <c r="T8" s="153" t="n"/>
      <c r="U8" s="153" t="n"/>
      <c r="V8" s="153" t="n"/>
      <c r="W8" s="153" t="n"/>
      <c r="X8" s="153" t="n"/>
      <c r="Y8" s="153" t="n"/>
      <c r="Z8" s="153" t="n"/>
    </row>
    <row r="9" ht="27.75" customHeight="1" s="154">
      <c r="A9" s="269">
        <f>Besatzung!B17</f>
        <v/>
      </c>
      <c r="B9" s="270">
        <f>IFERROR(SUMPRODUCT((Transaktionen!$C$4:$C$203="Ausgabe")*(Transaktionen!$F$4:$F$203=Besatzung!$B$17)*Transaktionen!$G$4:$G$203),0)</f>
        <v/>
      </c>
      <c r="C9" s="271">
        <f>IFERROR(SUM(Transaktionen!$AB$4:$AB$203),0)</f>
        <v/>
      </c>
      <c r="D9" s="270">
        <f>IFERROR(SUMPRODUCT((Transaktionen!$C$4:$C$203="Gutschrift")*(Transaktionen!$AH$4:$AH$203=Besatzung!$B$17)*Transaktionen!$G$4:$G$203),0)</f>
        <v/>
      </c>
      <c r="E9" s="272">
        <f>IFERROR(SUMPRODUCT((Transaktionen!$C$4:$C$203="Gutschrift")*(Transaktionen!$AI$4:$AI$203=Besatzung!$B$17)*Transaktionen!$G$4:$G$203)+SUMPRODUCT((Transaktionen!$C$4:$C$203="Gutschrift")*(Transaktionen!$AI$4:$AI$203="Alle")*(Transaktionen!$AH$4:$AH$203&lt;&gt;Besatzung!$B$17)*(Transaktionen!$AH$4:$AH$203&lt;&gt;"")*Transaktionen!$G$4:$G$203)/MAX(COUNTA(Besatzung!$B$11:$B$22)-1,1),0)</f>
        <v/>
      </c>
      <c r="F9" s="273">
        <f>B9+D9-C9-E9</f>
        <v/>
      </c>
      <c r="G9" s="241">
        <f>IF(Besatzung!$B$17="","—",IF(F9&gt;0.005,"✅ bekommt "&amp;TEXT(F9,"#,##0.00 €")&amp;" zurück",IF(F9&lt;-0.005,"❗ schuldet "&amp;TEXT(ABS(F9),"#,##0.00 €"),"✔ ausgeglichen")))</f>
        <v/>
      </c>
      <c r="H9" s="274">
        <f>IFERROR(Besatzung!E17,"—")</f>
        <v/>
      </c>
      <c r="I9" s="153" t="n"/>
      <c r="J9" s="153" t="n"/>
      <c r="K9" s="153" t="n"/>
      <c r="L9" s="153" t="n"/>
      <c r="M9" s="153" t="n"/>
      <c r="N9" s="153" t="n"/>
      <c r="O9" s="153" t="n"/>
      <c r="P9" s="153" t="n"/>
      <c r="Q9" s="153" t="n"/>
      <c r="R9" s="153" t="n"/>
      <c r="S9" s="153" t="n"/>
      <c r="T9" s="153" t="n"/>
      <c r="U9" s="153" t="n"/>
      <c r="V9" s="153" t="n"/>
      <c r="W9" s="153" t="n"/>
      <c r="X9" s="153" t="n"/>
      <c r="Y9" s="153" t="n"/>
      <c r="Z9" s="153" t="n"/>
    </row>
    <row r="10" ht="27.75" customHeight="1" s="154">
      <c r="A10" s="275">
        <f>Besatzung!B18</f>
        <v/>
      </c>
      <c r="B10" s="276">
        <f>IFERROR(SUMPRODUCT((Transaktionen!$C$4:$C$203="Ausgabe")*(Transaktionen!$F$4:$F$203=Besatzung!$B$18)*Transaktionen!$G$4:$G$203),0)</f>
        <v/>
      </c>
      <c r="C10" s="277">
        <f>IFERROR(SUM(Transaktionen!$AC$4:$AC$203),0)</f>
        <v/>
      </c>
      <c r="D10" s="276">
        <f>IFERROR(SUMPRODUCT((Transaktionen!$C$4:$C$203="Gutschrift")*(Transaktionen!$AH$4:$AH$203=Besatzung!$B$18)*Transaktionen!$G$4:$G$203),0)</f>
        <v/>
      </c>
      <c r="E10" s="278">
        <f>IFERROR(SUMPRODUCT((Transaktionen!$C$4:$C$203="Gutschrift")*(Transaktionen!$AI$4:$AI$203=Besatzung!$B$18)*Transaktionen!$G$4:$G$203)+SUMPRODUCT((Transaktionen!$C$4:$C$203="Gutschrift")*(Transaktionen!$AI$4:$AI$203="Alle")*(Transaktionen!$AH$4:$AH$203&lt;&gt;Besatzung!$B$18)*(Transaktionen!$AH$4:$AH$203&lt;&gt;"")*Transaktionen!$G$4:$G$203)/MAX(COUNTA(Besatzung!$B$11:$B$22)-1,1),0)</f>
        <v/>
      </c>
      <c r="F10" s="279">
        <f>B10+D10-C10-E10</f>
        <v/>
      </c>
      <c r="G10" s="251">
        <f>IF(Besatzung!$B$18="","—",IF(F10&gt;0.005,"✅ bekommt "&amp;TEXT(F10,"#,##0.00 €")&amp;" zurück",IF(F10&lt;-0.005,"❗ schuldet "&amp;TEXT(ABS(F10),"#,##0.00 €"),"✔ ausgeglichen")))</f>
        <v/>
      </c>
      <c r="H10" s="280">
        <f>IFERROR(Besatzung!E18,"—")</f>
        <v/>
      </c>
      <c r="I10" s="153" t="n"/>
      <c r="J10" s="153" t="n"/>
      <c r="K10" s="153" t="n"/>
      <c r="L10" s="153" t="n"/>
      <c r="M10" s="153" t="n"/>
      <c r="N10" s="153" t="n"/>
      <c r="O10" s="153" t="n"/>
      <c r="P10" s="153" t="n"/>
      <c r="Q10" s="153" t="n"/>
      <c r="R10" s="153" t="n"/>
      <c r="S10" s="153" t="n"/>
      <c r="T10" s="153" t="n"/>
      <c r="U10" s="153" t="n"/>
      <c r="V10" s="153" t="n"/>
      <c r="W10" s="153" t="n"/>
      <c r="X10" s="153" t="n"/>
      <c r="Y10" s="153" t="n"/>
      <c r="Z10" s="153" t="n"/>
    </row>
    <row r="11" ht="27.75" customHeight="1" s="154">
      <c r="A11" s="269">
        <f>Besatzung!B19</f>
        <v/>
      </c>
      <c r="B11" s="270">
        <f>IFERROR(SUMPRODUCT((Transaktionen!$C$4:$C$203="Ausgabe")*(Transaktionen!$F$4:$F$203=Besatzung!$B$19)*Transaktionen!$G$4:$G$203),0)</f>
        <v/>
      </c>
      <c r="C11" s="271">
        <f>IFERROR(SUM(Transaktionen!$AD$4:$AD$203),0)</f>
        <v/>
      </c>
      <c r="D11" s="270">
        <f>IFERROR(SUMPRODUCT((Transaktionen!$C$4:$C$203="Gutschrift")*(Transaktionen!$AH$4:$AH$203=Besatzung!$B$19)*Transaktionen!$G$4:$G$203),0)</f>
        <v/>
      </c>
      <c r="E11" s="272">
        <f>IFERROR(SUMPRODUCT((Transaktionen!$C$4:$C$203="Gutschrift")*(Transaktionen!$AI$4:$AI$203=Besatzung!$B$19)*Transaktionen!$G$4:$G$203)+SUMPRODUCT((Transaktionen!$C$4:$C$203="Gutschrift")*(Transaktionen!$AI$4:$AI$203="Alle")*(Transaktionen!$AH$4:$AH$203&lt;&gt;Besatzung!$B$19)*(Transaktionen!$AH$4:$AH$203&lt;&gt;"")*Transaktionen!$G$4:$G$203)/MAX(COUNTA(Besatzung!$B$11:$B$22)-1,1),0)</f>
        <v/>
      </c>
      <c r="F11" s="273">
        <f>B11+D11-C11-E11</f>
        <v/>
      </c>
      <c r="G11" s="241">
        <f>IF(Besatzung!$B$19="","—",IF(F11&gt;0.005,"✅ bekommt "&amp;TEXT(F11,"#,##0.00 €")&amp;" zurück",IF(F11&lt;-0.005,"❗ schuldet "&amp;TEXT(ABS(F11),"#,##0.00 €"),"✔ ausgeglichen")))</f>
        <v/>
      </c>
      <c r="H11" s="274">
        <f>IFERROR(Besatzung!E19,"—")</f>
        <v/>
      </c>
      <c r="I11" s="153" t="n"/>
      <c r="J11" s="153" t="n"/>
      <c r="K11" s="153" t="n"/>
      <c r="L11" s="153" t="n"/>
      <c r="M11" s="153" t="n"/>
      <c r="N11" s="153" t="n"/>
      <c r="O11" s="153" t="n"/>
      <c r="P11" s="153" t="n"/>
      <c r="Q11" s="153" t="n"/>
      <c r="R11" s="153" t="n"/>
      <c r="S11" s="153" t="n"/>
      <c r="T11" s="153" t="n"/>
      <c r="U11" s="153" t="n"/>
      <c r="V11" s="153" t="n"/>
      <c r="W11" s="153" t="n"/>
      <c r="X11" s="153" t="n"/>
      <c r="Y11" s="153" t="n"/>
      <c r="Z11" s="153" t="n"/>
    </row>
    <row r="12" ht="27.75" customHeight="1" s="154">
      <c r="A12" s="275">
        <f>Besatzung!B20</f>
        <v/>
      </c>
      <c r="B12" s="276">
        <f>IFERROR(SUMPRODUCT((Transaktionen!$C$4:$C$203="Ausgabe")*(Transaktionen!$F$4:$F$203=Besatzung!$B$20)*Transaktionen!$G$4:$G$203),0)</f>
        <v/>
      </c>
      <c r="C12" s="277">
        <f>IFERROR(SUM(Transaktionen!$AE$4:$AE$203),0)</f>
        <v/>
      </c>
      <c r="D12" s="276">
        <f>IFERROR(SUMPRODUCT((Transaktionen!$C$4:$C$203="Gutschrift")*(Transaktionen!$AH$4:$AH$203=Besatzung!$B$20)*Transaktionen!$G$4:$G$203),0)</f>
        <v/>
      </c>
      <c r="E12" s="278">
        <f>IFERROR(SUMPRODUCT((Transaktionen!$C$4:$C$203="Gutschrift")*(Transaktionen!$AI$4:$AI$203=Besatzung!$B$20)*Transaktionen!$G$4:$G$203)+SUMPRODUCT((Transaktionen!$C$4:$C$203="Gutschrift")*(Transaktionen!$AI$4:$AI$203="Alle")*(Transaktionen!$AH$4:$AH$203&lt;&gt;Besatzung!$B$20)*(Transaktionen!$AH$4:$AH$203&lt;&gt;"")*Transaktionen!$G$4:$G$203)/MAX(COUNTA(Besatzung!$B$11:$B$22)-1,1),0)</f>
        <v/>
      </c>
      <c r="F12" s="279">
        <f>B12+D12-C12-E12</f>
        <v/>
      </c>
      <c r="G12" s="251">
        <f>IF(Besatzung!$B$20="","—",IF(F12&gt;0.005,"✅ bekommt "&amp;TEXT(F12,"#,##0.00 €")&amp;" zurück",IF(F12&lt;-0.005,"❗ schuldet "&amp;TEXT(ABS(F12),"#,##0.00 €"),"✔ ausgeglichen")))</f>
        <v/>
      </c>
      <c r="H12" s="280">
        <f>IFERROR(Besatzung!E20,"—")</f>
        <v/>
      </c>
      <c r="I12" s="153" t="n"/>
      <c r="J12" s="153" t="n"/>
      <c r="K12" s="153" t="n"/>
      <c r="L12" s="153" t="n"/>
      <c r="M12" s="153" t="n"/>
      <c r="N12" s="153" t="n"/>
      <c r="O12" s="153" t="n"/>
      <c r="P12" s="153" t="n"/>
      <c r="Q12" s="153" t="n"/>
      <c r="R12" s="153" t="n"/>
      <c r="S12" s="153" t="n"/>
      <c r="T12" s="153" t="n"/>
      <c r="U12" s="153" t="n"/>
      <c r="V12" s="153" t="n"/>
      <c r="W12" s="153" t="n"/>
      <c r="X12" s="153" t="n"/>
      <c r="Y12" s="153" t="n"/>
      <c r="Z12" s="153" t="n"/>
    </row>
    <row r="13" ht="27.75" customHeight="1" s="154">
      <c r="A13" s="269">
        <f>Besatzung!B21</f>
        <v/>
      </c>
      <c r="B13" s="270">
        <f>IFERROR(SUMPRODUCT((Transaktionen!$C$4:$C$203="Ausgabe")*(Transaktionen!$F$4:$F$203=Besatzung!$B$21)*Transaktionen!$G$4:$G$203),0)</f>
        <v/>
      </c>
      <c r="C13" s="271">
        <f>IFERROR(SUM(Transaktionen!$AF$4:$AF$203),0)</f>
        <v/>
      </c>
      <c r="D13" s="270">
        <f>IFERROR(SUMPRODUCT((Transaktionen!$C$4:$C$203="Gutschrift")*(Transaktionen!$AH$4:$AH$203=Besatzung!$B$21)*Transaktionen!$G$4:$G$203),0)</f>
        <v/>
      </c>
      <c r="E13" s="272">
        <f>IFERROR(SUMPRODUCT((Transaktionen!$C$4:$C$203="Gutschrift")*(Transaktionen!$AI$4:$AI$203=Besatzung!$B$21)*Transaktionen!$G$4:$G$203)+SUMPRODUCT((Transaktionen!$C$4:$C$203="Gutschrift")*(Transaktionen!$AI$4:$AI$203="Alle")*(Transaktionen!$AH$4:$AH$203&lt;&gt;Besatzung!$B$21)*(Transaktionen!$AH$4:$AH$203&lt;&gt;"")*Transaktionen!$G$4:$G$203)/MAX(COUNTA(Besatzung!$B$11:$B$22)-1,1),0)</f>
        <v/>
      </c>
      <c r="F13" s="273">
        <f>B13+D13-C13-E13</f>
        <v/>
      </c>
      <c r="G13" s="241">
        <f>IF(Besatzung!$B$21="","—",IF(F13&gt;0.005,"✅ bekommt "&amp;TEXT(F13,"#,##0.00 €")&amp;" zurück",IF(F13&lt;-0.005,"❗ schuldet "&amp;TEXT(ABS(F13),"#,##0.00 €"),"✔ ausgeglichen")))</f>
        <v/>
      </c>
      <c r="H13" s="274">
        <f>IFERROR(Besatzung!E21,"—")</f>
        <v/>
      </c>
      <c r="I13" s="153" t="n"/>
      <c r="J13" s="153" t="n"/>
      <c r="K13" s="153" t="n"/>
      <c r="L13" s="153" t="n"/>
      <c r="M13" s="153" t="n"/>
      <c r="N13" s="153" t="n"/>
      <c r="O13" s="153" t="n"/>
      <c r="P13" s="153" t="n"/>
      <c r="Q13" s="153" t="n"/>
      <c r="R13" s="153" t="n"/>
      <c r="S13" s="153" t="n"/>
      <c r="T13" s="153" t="n"/>
      <c r="U13" s="153" t="n"/>
      <c r="V13" s="153" t="n"/>
      <c r="W13" s="153" t="n"/>
      <c r="X13" s="153" t="n"/>
      <c r="Y13" s="153" t="n"/>
      <c r="Z13" s="153" t="n"/>
    </row>
    <row r="14" ht="27.75" customHeight="1" s="154">
      <c r="A14" s="275">
        <f>Besatzung!B22</f>
        <v/>
      </c>
      <c r="B14" s="276">
        <f>IFERROR(SUMPRODUCT((Transaktionen!$C$4:$C$203="Ausgabe")*(Transaktionen!$F$4:$F$203=Besatzung!$B$22)*Transaktionen!$G$4:$G$203),0)</f>
        <v/>
      </c>
      <c r="C14" s="277">
        <f>IFERROR(SUM(Transaktionen!$AG$4:$AG$203),0)</f>
        <v/>
      </c>
      <c r="D14" s="276">
        <f>IFERROR(SUMPRODUCT((Transaktionen!$C$4:$C$203="Gutschrift")*(Transaktionen!$AH$4:$AH$203=Besatzung!$B$22)*Transaktionen!$G$4:$G$203),0)</f>
        <v/>
      </c>
      <c r="E14" s="278">
        <f>IFERROR(SUMPRODUCT((Transaktionen!$C$4:$C$203="Gutschrift")*(Transaktionen!$AI$4:$AI$203=Besatzung!$B$22)*Transaktionen!$G$4:$G$203)+SUMPRODUCT((Transaktionen!$C$4:$C$203="Gutschrift")*(Transaktionen!$AI$4:$AI$203="Alle")*(Transaktionen!$AH$4:$AH$203&lt;&gt;Besatzung!$B$22)*(Transaktionen!$AH$4:$AH$203&lt;&gt;"")*Transaktionen!$G$4:$G$203)/MAX(COUNTA(Besatzung!$B$11:$B$22)-1,1),0)</f>
        <v/>
      </c>
      <c r="F14" s="279">
        <f>B14+D14-C14-E14</f>
        <v/>
      </c>
      <c r="G14" s="251">
        <f>IF(Besatzung!$B$22="","—",IF(F14&gt;0.005,"✅ bekommt "&amp;TEXT(F14,"#,##0.00 €")&amp;" zurück",IF(F14&lt;-0.005,"❗ schuldet "&amp;TEXT(ABS(F14),"#,##0.00 €"),"✔ ausgeglichen")))</f>
        <v/>
      </c>
      <c r="H14" s="280">
        <f>IFERROR(Besatzung!E22,"—")</f>
        <v/>
      </c>
      <c r="I14" s="153" t="n"/>
      <c r="J14" s="153" t="n"/>
      <c r="K14" s="153" t="n"/>
      <c r="L14" s="153" t="n"/>
      <c r="M14" s="153" t="n"/>
      <c r="N14" s="153" t="n"/>
      <c r="O14" s="153" t="n"/>
      <c r="P14" s="153" t="n"/>
      <c r="Q14" s="153" t="n"/>
      <c r="R14" s="153" t="n"/>
      <c r="S14" s="153" t="n"/>
      <c r="T14" s="153" t="n"/>
      <c r="U14" s="153" t="n"/>
      <c r="V14" s="153" t="n"/>
      <c r="W14" s="153" t="n"/>
      <c r="X14" s="153" t="n"/>
      <c r="Y14" s="153" t="n"/>
      <c r="Z14" s="153" t="n"/>
    </row>
    <row r="15" ht="30" customHeight="1" s="154">
      <c r="A15" s="281" t="inlineStr">
        <is>
          <t>GESAMT</t>
        </is>
      </c>
      <c r="B15" s="282" t="n"/>
      <c r="C15" s="282" t="n"/>
      <c r="D15" s="282" t="n"/>
      <c r="E15" s="282" t="n"/>
      <c r="F15" s="282" t="n"/>
      <c r="G15" s="281" t="n"/>
      <c r="H15" s="281" t="n"/>
      <c r="I15" s="153" t="n"/>
      <c r="J15" s="153" t="n"/>
      <c r="K15" s="153" t="n"/>
      <c r="L15" s="153" t="n"/>
      <c r="M15" s="153" t="n"/>
      <c r="N15" s="153" t="n"/>
      <c r="O15" s="153" t="n"/>
      <c r="P15" s="153" t="n"/>
      <c r="Q15" s="153" t="n"/>
      <c r="R15" s="153" t="n"/>
      <c r="S15" s="153" t="n"/>
      <c r="T15" s="153" t="n"/>
      <c r="U15" s="153" t="n"/>
      <c r="V15" s="153" t="n"/>
      <c r="W15" s="153" t="n"/>
      <c r="X15" s="153" t="n"/>
      <c r="Y15" s="153" t="n"/>
      <c r="Z15" s="153" t="n"/>
    </row>
    <row r="16" ht="9.75" customHeight="1" s="154">
      <c r="A16" s="283" t="inlineStr">
        <is>
          <t>GESAMT</t>
        </is>
      </c>
      <c r="B16" s="284">
        <f>SUM(B4:B14)</f>
        <v/>
      </c>
      <c r="C16" s="284">
        <f>SUM(C4:C14)</f>
        <v/>
      </c>
      <c r="D16" s="284">
        <f>SUM(D4:D14)</f>
        <v/>
      </c>
      <c r="E16" s="284">
        <f>SUM(E4:E14)</f>
        <v/>
      </c>
      <c r="F16" s="284">
        <f>SUM(F4:F14)</f>
        <v/>
      </c>
      <c r="G16" s="285" t="inlineStr">
        <is>
          <t>↑ Saldo-Summe sollte 0,00 € ergeben</t>
        </is>
      </c>
      <c r="I16" s="153" t="n"/>
      <c r="J16" s="153" t="n"/>
      <c r="K16" s="153" t="n"/>
      <c r="L16" s="153" t="n"/>
      <c r="M16" s="153" t="n"/>
      <c r="N16" s="153" t="n"/>
      <c r="O16" s="153" t="n"/>
      <c r="P16" s="153" t="n"/>
      <c r="Q16" s="153" t="n"/>
      <c r="R16" s="153" t="n"/>
      <c r="S16" s="153" t="n"/>
      <c r="T16" s="153" t="n"/>
      <c r="U16" s="153" t="n"/>
      <c r="V16" s="153" t="n"/>
      <c r="W16" s="153" t="n"/>
      <c r="X16" s="153" t="n"/>
      <c r="Y16" s="153" t="n"/>
      <c r="Z16" s="153" t="n"/>
    </row>
    <row r="17" ht="18" customHeight="1" s="154">
      <c r="A17" s="218" t="inlineStr">
        <is>
          <t>💡  Wie lesen?
►  Positiver Saldo — hat mehr bezahlt als Anteil → bekommt Geld zurück
►  Negativer Saldo — schuldet Geld → Überweisungsanleitung im Tab 'Schulden'
►  'Gutschrift gegeben' — Zahlungen außerhalb der Bordkasse direkt an jemanden (erhöht Guthaben)
►  'Gutschrift erhalten' — von jemand anderem direkt empfangen (senkt Guthaben)</t>
        </is>
      </c>
      <c r="B17" s="219" t="n"/>
      <c r="C17" s="219" t="n"/>
      <c r="D17" s="219" t="n"/>
      <c r="E17" s="219" t="n"/>
      <c r="F17" s="219" t="n"/>
      <c r="G17" s="219" t="n"/>
      <c r="H17" s="220" t="n"/>
      <c r="I17" s="153" t="n"/>
      <c r="J17" s="153" t="n"/>
      <c r="K17" s="153" t="n"/>
      <c r="L17" s="153" t="n"/>
      <c r="M17" s="153" t="n"/>
      <c r="N17" s="153" t="n"/>
      <c r="O17" s="153" t="n"/>
      <c r="P17" s="153" t="n"/>
      <c r="Q17" s="153" t="n"/>
      <c r="R17" s="153" t="n"/>
      <c r="S17" s="153" t="n"/>
      <c r="T17" s="153" t="n"/>
      <c r="U17" s="153" t="n"/>
      <c r="V17" s="153" t="n"/>
      <c r="W17" s="153" t="n"/>
      <c r="X17" s="153" t="n"/>
      <c r="Y17" s="153" t="n"/>
      <c r="Z17" s="153" t="n"/>
    </row>
    <row r="18" ht="18" customHeight="1" s="154">
      <c r="A18" s="221" t="n"/>
      <c r="H18" s="222" t="n"/>
      <c r="I18" s="153" t="n"/>
      <c r="J18" s="153" t="n"/>
      <c r="K18" s="153" t="n"/>
      <c r="L18" s="153" t="n"/>
      <c r="M18" s="153" t="n"/>
      <c r="N18" s="153" t="n"/>
      <c r="O18" s="153" t="n"/>
      <c r="P18" s="153" t="n"/>
      <c r="Q18" s="153" t="n"/>
      <c r="R18" s="153" t="n"/>
      <c r="S18" s="153" t="n"/>
      <c r="T18" s="153" t="n"/>
      <c r="U18" s="153" t="n"/>
      <c r="V18" s="153" t="n"/>
      <c r="W18" s="153" t="n"/>
      <c r="X18" s="153" t="n"/>
      <c r="Y18" s="153" t="n"/>
      <c r="Z18" s="153" t="n"/>
    </row>
    <row r="19" ht="18" customHeight="1" s="154">
      <c r="A19" s="221" t="n"/>
      <c r="H19" s="222" t="n"/>
      <c r="I19" s="153" t="n"/>
      <c r="J19" s="153" t="n"/>
      <c r="K19" s="153" t="n"/>
      <c r="L19" s="153" t="n"/>
      <c r="M19" s="153" t="n"/>
      <c r="N19" s="153" t="n"/>
      <c r="O19" s="153" t="n"/>
      <c r="P19" s="153" t="n"/>
      <c r="Q19" s="153" t="n"/>
      <c r="R19" s="153" t="n"/>
      <c r="S19" s="153" t="n"/>
      <c r="T19" s="153" t="n"/>
      <c r="U19" s="153" t="n"/>
      <c r="V19" s="153" t="n"/>
      <c r="W19" s="153" t="n"/>
      <c r="X19" s="153" t="n"/>
      <c r="Y19" s="153" t="n"/>
      <c r="Z19" s="153" t="n"/>
    </row>
    <row r="20" ht="18" customHeight="1" s="154">
      <c r="A20" s="221" t="n"/>
      <c r="H20" s="222" t="n"/>
      <c r="I20" s="153" t="n"/>
      <c r="J20" s="153" t="n"/>
      <c r="K20" s="153" t="n"/>
      <c r="L20" s="153" t="n"/>
      <c r="M20" s="153" t="n"/>
      <c r="N20" s="153" t="n"/>
      <c r="O20" s="153" t="n"/>
      <c r="P20" s="153" t="n"/>
      <c r="Q20" s="153" t="n"/>
      <c r="R20" s="153" t="n"/>
      <c r="S20" s="153" t="n"/>
      <c r="T20" s="153" t="n"/>
      <c r="U20" s="153" t="n"/>
      <c r="V20" s="153" t="n"/>
      <c r="W20" s="153" t="n"/>
      <c r="X20" s="153" t="n"/>
      <c r="Y20" s="153" t="n"/>
      <c r="Z20" s="153" t="n"/>
    </row>
    <row r="21" ht="18" customHeight="1" s="154">
      <c r="A21" s="224" t="n"/>
      <c r="B21" s="225" t="n"/>
      <c r="C21" s="225" t="n"/>
      <c r="D21" s="225" t="n"/>
      <c r="E21" s="225" t="n"/>
      <c r="F21" s="225" t="n"/>
      <c r="G21" s="225" t="n"/>
      <c r="H21" s="226" t="n"/>
      <c r="I21" s="153" t="n"/>
      <c r="J21" s="153" t="n"/>
      <c r="K21" s="153" t="n"/>
      <c r="L21" s="153" t="n"/>
      <c r="M21" s="153" t="n"/>
      <c r="N21" s="153" t="n"/>
      <c r="O21" s="153" t="n"/>
      <c r="P21" s="153" t="n"/>
      <c r="Q21" s="153" t="n"/>
      <c r="R21" s="153" t="n"/>
      <c r="S21" s="153" t="n"/>
      <c r="T21" s="153" t="n"/>
      <c r="U21" s="153" t="n"/>
      <c r="V21" s="153" t="n"/>
      <c r="W21" s="153" t="n"/>
      <c r="X21" s="153" t="n"/>
      <c r="Y21" s="153" t="n"/>
      <c r="Z21" s="153" t="n"/>
    </row>
    <row r="22" ht="15.75" customHeight="1" s="154">
      <c r="I22" s="153" t="n"/>
      <c r="J22" s="153" t="n"/>
      <c r="K22" s="153" t="n"/>
      <c r="L22" s="153" t="n"/>
      <c r="M22" s="153" t="n"/>
      <c r="N22" s="153" t="n"/>
      <c r="O22" s="153" t="n"/>
      <c r="P22" s="153" t="n"/>
      <c r="Q22" s="153" t="n"/>
      <c r="R22" s="153" t="n"/>
      <c r="S22" s="153" t="n"/>
      <c r="T22" s="153" t="n"/>
      <c r="U22" s="153" t="n"/>
      <c r="V22" s="153" t="n"/>
      <c r="W22" s="153" t="n"/>
      <c r="X22" s="153" t="n"/>
      <c r="Y22" s="153" t="n"/>
      <c r="Z22" s="153" t="n"/>
    </row>
    <row r="23" ht="15.75" customHeight="1" s="154">
      <c r="I23" s="153" t="n"/>
      <c r="J23" s="153" t="n"/>
      <c r="K23" s="153" t="n"/>
      <c r="L23" s="153" t="n"/>
      <c r="M23" s="153" t="n"/>
      <c r="N23" s="153" t="n"/>
      <c r="O23" s="153" t="n"/>
      <c r="P23" s="153" t="n"/>
      <c r="Q23" s="153" t="n"/>
      <c r="R23" s="153" t="n"/>
      <c r="S23" s="153" t="n"/>
      <c r="T23" s="153" t="n"/>
      <c r="U23" s="153" t="n"/>
      <c r="V23" s="153" t="n"/>
      <c r="W23" s="153" t="n"/>
      <c r="X23" s="153" t="n"/>
      <c r="Y23" s="153" t="n"/>
      <c r="Z23" s="153" t="n"/>
    </row>
    <row r="24" ht="15.75" customHeight="1" s="154">
      <c r="I24" s="153" t="n"/>
      <c r="J24" s="153" t="n"/>
      <c r="K24" s="153" t="n"/>
      <c r="L24" s="153" t="n"/>
      <c r="M24" s="153" t="n"/>
      <c r="N24" s="153" t="n"/>
      <c r="O24" s="153" t="n"/>
      <c r="P24" s="153" t="n"/>
      <c r="Q24" s="153" t="n"/>
      <c r="R24" s="153" t="n"/>
      <c r="S24" s="153" t="n"/>
      <c r="T24" s="153" t="n"/>
      <c r="U24" s="153" t="n"/>
      <c r="V24" s="153" t="n"/>
      <c r="W24" s="153" t="n"/>
      <c r="X24" s="153" t="n"/>
      <c r="Y24" s="153" t="n"/>
      <c r="Z24" s="153" t="n"/>
    </row>
    <row r="25" ht="15.75" customHeight="1" s="154">
      <c r="I25" s="153" t="n"/>
      <c r="J25" s="153" t="n"/>
      <c r="K25" s="153" t="n"/>
      <c r="L25" s="153" t="n"/>
      <c r="M25" s="153" t="n"/>
      <c r="N25" s="153" t="n"/>
      <c r="O25" s="153" t="n"/>
      <c r="P25" s="153" t="n"/>
      <c r="Q25" s="153" t="n"/>
      <c r="R25" s="153" t="n"/>
      <c r="S25" s="153" t="n"/>
      <c r="T25" s="153" t="n"/>
      <c r="U25" s="153" t="n"/>
      <c r="V25" s="153" t="n"/>
      <c r="W25" s="153" t="n"/>
      <c r="X25" s="153" t="n"/>
      <c r="Y25" s="153" t="n"/>
      <c r="Z25" s="153" t="n"/>
    </row>
    <row r="26" ht="15.75" customHeight="1" s="154">
      <c r="I26" s="153" t="n"/>
      <c r="J26" s="153" t="n"/>
      <c r="K26" s="153" t="n"/>
      <c r="L26" s="153" t="n"/>
      <c r="M26" s="153" t="n"/>
      <c r="N26" s="153" t="n"/>
      <c r="O26" s="153" t="n"/>
      <c r="P26" s="153" t="n"/>
      <c r="Q26" s="153" t="n"/>
      <c r="R26" s="153" t="n"/>
      <c r="S26" s="153" t="n"/>
      <c r="T26" s="153" t="n"/>
      <c r="U26" s="153" t="n"/>
      <c r="V26" s="153" t="n"/>
      <c r="W26" s="153" t="n"/>
      <c r="X26" s="153" t="n"/>
      <c r="Y26" s="153" t="n"/>
      <c r="Z26" s="153" t="n"/>
    </row>
    <row r="27" ht="15.75" customHeight="1" s="154">
      <c r="I27" s="153" t="n"/>
      <c r="J27" s="153" t="n"/>
      <c r="K27" s="153" t="n"/>
      <c r="L27" s="153" t="n"/>
      <c r="M27" s="153" t="n"/>
      <c r="N27" s="153" t="n"/>
      <c r="O27" s="153" t="n"/>
      <c r="P27" s="153" t="n"/>
      <c r="Q27" s="153" t="n"/>
      <c r="R27" s="153" t="n"/>
      <c r="S27" s="153" t="n"/>
      <c r="T27" s="153" t="n"/>
      <c r="U27" s="153" t="n"/>
      <c r="V27" s="153" t="n"/>
      <c r="W27" s="153" t="n"/>
      <c r="X27" s="153" t="n"/>
      <c r="Y27" s="153" t="n"/>
      <c r="Z27" s="153" t="n"/>
    </row>
    <row r="28" ht="15.75" customHeight="1" s="154">
      <c r="I28" s="153" t="n"/>
      <c r="J28" s="153" t="n"/>
      <c r="K28" s="153" t="n"/>
      <c r="L28" s="153" t="n"/>
      <c r="M28" s="153" t="n"/>
      <c r="N28" s="153" t="n"/>
      <c r="O28" s="153" t="n"/>
      <c r="P28" s="153" t="n"/>
      <c r="Q28" s="153" t="n"/>
      <c r="R28" s="153" t="n"/>
      <c r="S28" s="153" t="n"/>
      <c r="T28" s="153" t="n"/>
      <c r="U28" s="153" t="n"/>
      <c r="V28" s="153" t="n"/>
      <c r="W28" s="153" t="n"/>
      <c r="X28" s="153" t="n"/>
      <c r="Y28" s="153" t="n"/>
      <c r="Z28" s="153" t="n"/>
    </row>
    <row r="29" ht="15.75" customHeight="1" s="154">
      <c r="I29" s="153" t="n"/>
      <c r="J29" s="153" t="n"/>
      <c r="K29" s="153" t="n"/>
      <c r="L29" s="153" t="n"/>
      <c r="M29" s="153" t="n"/>
      <c r="N29" s="153" t="n"/>
      <c r="O29" s="153" t="n"/>
      <c r="P29" s="153" t="n"/>
      <c r="Q29" s="153" t="n"/>
      <c r="R29" s="153" t="n"/>
      <c r="S29" s="153" t="n"/>
      <c r="T29" s="153" t="n"/>
      <c r="U29" s="153" t="n"/>
      <c r="V29" s="153" t="n"/>
      <c r="W29" s="153" t="n"/>
      <c r="X29" s="153" t="n"/>
      <c r="Y29" s="153" t="n"/>
      <c r="Z29" s="153" t="n"/>
    </row>
    <row r="30" ht="15.75" customHeight="1" s="154">
      <c r="I30" s="153" t="n"/>
      <c r="J30" s="153" t="n"/>
      <c r="K30" s="153" t="n"/>
      <c r="L30" s="153" t="n"/>
      <c r="M30" s="153" t="n"/>
      <c r="N30" s="153" t="n"/>
      <c r="O30" s="153" t="n"/>
      <c r="P30" s="153" t="n"/>
      <c r="Q30" s="153" t="n"/>
      <c r="R30" s="153" t="n"/>
      <c r="S30" s="153" t="n"/>
      <c r="T30" s="153" t="n"/>
      <c r="U30" s="153" t="n"/>
      <c r="V30" s="153" t="n"/>
      <c r="W30" s="153" t="n"/>
      <c r="X30" s="153" t="n"/>
      <c r="Y30" s="153" t="n"/>
      <c r="Z30" s="153" t="n"/>
    </row>
    <row r="31" ht="15.75" customHeight="1" s="154">
      <c r="I31" s="153" t="n"/>
      <c r="J31" s="153" t="n"/>
      <c r="K31" s="153" t="n"/>
      <c r="L31" s="153" t="n"/>
      <c r="M31" s="153" t="n"/>
      <c r="N31" s="153" t="n"/>
      <c r="O31" s="153" t="n"/>
      <c r="P31" s="153" t="n"/>
      <c r="Q31" s="153" t="n"/>
      <c r="R31" s="153" t="n"/>
      <c r="S31" s="153" t="n"/>
      <c r="T31" s="153" t="n"/>
      <c r="U31" s="153" t="n"/>
      <c r="V31" s="153" t="n"/>
      <c r="W31" s="153" t="n"/>
      <c r="X31" s="153" t="n"/>
      <c r="Y31" s="153" t="n"/>
      <c r="Z31" s="153" t="n"/>
    </row>
    <row r="32" ht="15.75" customHeight="1" s="154">
      <c r="I32" s="153" t="n"/>
      <c r="J32" s="153" t="n"/>
      <c r="K32" s="153" t="n"/>
      <c r="L32" s="153" t="n"/>
      <c r="M32" s="153" t="n"/>
      <c r="N32" s="153" t="n"/>
      <c r="O32" s="153" t="n"/>
      <c r="P32" s="153" t="n"/>
      <c r="Q32" s="153" t="n"/>
      <c r="R32" s="153" t="n"/>
      <c r="S32" s="153" t="n"/>
      <c r="T32" s="153" t="n"/>
      <c r="U32" s="153" t="n"/>
      <c r="V32" s="153" t="n"/>
      <c r="W32" s="153" t="n"/>
      <c r="X32" s="153" t="n"/>
      <c r="Y32" s="153" t="n"/>
      <c r="Z32" s="153" t="n"/>
    </row>
    <row r="33" ht="15.75" customHeight="1" s="154">
      <c r="I33" s="153" t="n"/>
      <c r="J33" s="153" t="n"/>
      <c r="K33" s="153" t="n"/>
      <c r="L33" s="153" t="n"/>
      <c r="M33" s="153" t="n"/>
      <c r="N33" s="153" t="n"/>
      <c r="O33" s="153" t="n"/>
      <c r="P33" s="153" t="n"/>
      <c r="Q33" s="153" t="n"/>
      <c r="R33" s="153" t="n"/>
      <c r="S33" s="153" t="n"/>
      <c r="T33" s="153" t="n"/>
      <c r="U33" s="153" t="n"/>
      <c r="V33" s="153" t="n"/>
      <c r="W33" s="153" t="n"/>
      <c r="X33" s="153" t="n"/>
      <c r="Y33" s="153" t="n"/>
      <c r="Z33" s="153" t="n"/>
    </row>
    <row r="34" ht="15.75" customHeight="1" s="154">
      <c r="I34" s="153" t="n"/>
      <c r="J34" s="153" t="n"/>
      <c r="K34" s="153" t="n"/>
      <c r="L34" s="153" t="n"/>
      <c r="M34" s="153" t="n"/>
      <c r="N34" s="153" t="n"/>
      <c r="O34" s="153" t="n"/>
      <c r="P34" s="153" t="n"/>
      <c r="Q34" s="153" t="n"/>
      <c r="R34" s="153" t="n"/>
      <c r="S34" s="153" t="n"/>
      <c r="T34" s="153" t="n"/>
      <c r="U34" s="153" t="n"/>
      <c r="V34" s="153" t="n"/>
      <c r="W34" s="153" t="n"/>
      <c r="X34" s="153" t="n"/>
      <c r="Y34" s="153" t="n"/>
      <c r="Z34" s="153" t="n"/>
    </row>
    <row r="35" ht="15.75" customHeight="1" s="154">
      <c r="I35" s="153" t="n"/>
      <c r="J35" s="153" t="n"/>
      <c r="K35" s="153" t="n"/>
      <c r="L35" s="153" t="n"/>
      <c r="M35" s="153" t="n"/>
      <c r="N35" s="153" t="n"/>
      <c r="O35" s="153" t="n"/>
      <c r="P35" s="153" t="n"/>
      <c r="Q35" s="153" t="n"/>
      <c r="R35" s="153" t="n"/>
      <c r="S35" s="153" t="n"/>
      <c r="T35" s="153" t="n"/>
      <c r="U35" s="153" t="n"/>
      <c r="V35" s="153" t="n"/>
      <c r="W35" s="153" t="n"/>
      <c r="X35" s="153" t="n"/>
      <c r="Y35" s="153" t="n"/>
      <c r="Z35" s="153" t="n"/>
    </row>
    <row r="36" ht="15.75" customHeight="1" s="154">
      <c r="I36" s="153" t="n"/>
      <c r="J36" s="153" t="n"/>
      <c r="K36" s="153" t="n"/>
      <c r="L36" s="153" t="n"/>
      <c r="M36" s="153" t="n"/>
      <c r="N36" s="153" t="n"/>
      <c r="O36" s="153" t="n"/>
      <c r="P36" s="153" t="n"/>
      <c r="Q36" s="153" t="n"/>
      <c r="R36" s="153" t="n"/>
      <c r="S36" s="153" t="n"/>
      <c r="T36" s="153" t="n"/>
      <c r="U36" s="153" t="n"/>
      <c r="V36" s="153" t="n"/>
      <c r="W36" s="153" t="n"/>
      <c r="X36" s="153" t="n"/>
      <c r="Y36" s="153" t="n"/>
      <c r="Z36" s="153" t="n"/>
    </row>
    <row r="37" ht="15.75" customHeight="1" s="154">
      <c r="I37" s="153" t="n"/>
      <c r="J37" s="153" t="n"/>
      <c r="K37" s="153" t="n"/>
      <c r="L37" s="153" t="n"/>
      <c r="M37" s="153" t="n"/>
      <c r="N37" s="153" t="n"/>
      <c r="O37" s="153" t="n"/>
      <c r="P37" s="153" t="n"/>
      <c r="Q37" s="153" t="n"/>
      <c r="R37" s="153" t="n"/>
      <c r="S37" s="153" t="n"/>
      <c r="T37" s="153" t="n"/>
      <c r="U37" s="153" t="n"/>
      <c r="V37" s="153" t="n"/>
      <c r="W37" s="153" t="n"/>
      <c r="X37" s="153" t="n"/>
      <c r="Y37" s="153" t="n"/>
      <c r="Z37" s="153" t="n"/>
    </row>
    <row r="38" ht="15.75" customHeight="1" s="154">
      <c r="I38" s="153" t="n"/>
      <c r="J38" s="153" t="n"/>
      <c r="K38" s="153" t="n"/>
      <c r="L38" s="153" t="n"/>
      <c r="M38" s="153" t="n"/>
      <c r="N38" s="153" t="n"/>
      <c r="O38" s="153" t="n"/>
      <c r="P38" s="153" t="n"/>
      <c r="Q38" s="153" t="n"/>
      <c r="R38" s="153" t="n"/>
      <c r="S38" s="153" t="n"/>
      <c r="T38" s="153" t="n"/>
      <c r="U38" s="153" t="n"/>
      <c r="V38" s="153" t="n"/>
      <c r="W38" s="153" t="n"/>
      <c r="X38" s="153" t="n"/>
      <c r="Y38" s="153" t="n"/>
      <c r="Z38" s="153" t="n"/>
    </row>
    <row r="39" ht="15.75" customHeight="1" s="154">
      <c r="I39" s="153" t="n"/>
      <c r="J39" s="153" t="n"/>
      <c r="K39" s="153" t="n"/>
      <c r="L39" s="153" t="n"/>
      <c r="M39" s="153" t="n"/>
      <c r="N39" s="153" t="n"/>
      <c r="O39" s="153" t="n"/>
      <c r="P39" s="153" t="n"/>
      <c r="Q39" s="153" t="n"/>
      <c r="R39" s="153" t="n"/>
      <c r="S39" s="153" t="n"/>
      <c r="T39" s="153" t="n"/>
      <c r="U39" s="153" t="n"/>
      <c r="V39" s="153" t="n"/>
      <c r="W39" s="153" t="n"/>
      <c r="X39" s="153" t="n"/>
      <c r="Y39" s="153" t="n"/>
      <c r="Z39" s="153" t="n"/>
    </row>
    <row r="40" ht="15.75" customHeight="1" s="154">
      <c r="I40" s="153" t="n"/>
      <c r="J40" s="153" t="n"/>
      <c r="K40" s="153" t="n"/>
      <c r="L40" s="153" t="n"/>
      <c r="M40" s="153" t="n"/>
      <c r="N40" s="153" t="n"/>
      <c r="O40" s="153" t="n"/>
      <c r="P40" s="153" t="n"/>
      <c r="Q40" s="153" t="n"/>
      <c r="R40" s="153" t="n"/>
      <c r="S40" s="153" t="n"/>
      <c r="T40" s="153" t="n"/>
      <c r="U40" s="153" t="n"/>
      <c r="V40" s="153" t="n"/>
      <c r="W40" s="153" t="n"/>
      <c r="X40" s="153" t="n"/>
      <c r="Y40" s="153" t="n"/>
      <c r="Z40" s="153" t="n"/>
    </row>
    <row r="41" ht="15.75" customHeight="1" s="154">
      <c r="I41" s="153" t="n"/>
      <c r="J41" s="153" t="n"/>
      <c r="K41" s="153" t="n"/>
      <c r="L41" s="153" t="n"/>
      <c r="M41" s="153" t="n"/>
      <c r="N41" s="153" t="n"/>
      <c r="O41" s="153" t="n"/>
      <c r="P41" s="153" t="n"/>
      <c r="Q41" s="153" t="n"/>
      <c r="R41" s="153" t="n"/>
      <c r="S41" s="153" t="n"/>
      <c r="T41" s="153" t="n"/>
      <c r="U41" s="153" t="n"/>
      <c r="V41" s="153" t="n"/>
      <c r="W41" s="153" t="n"/>
      <c r="X41" s="153" t="n"/>
      <c r="Y41" s="153" t="n"/>
      <c r="Z41" s="153" t="n"/>
    </row>
    <row r="42" ht="15.75" customHeight="1" s="154">
      <c r="I42" s="153" t="n"/>
      <c r="J42" s="153" t="n"/>
      <c r="K42" s="153" t="n"/>
      <c r="L42" s="153" t="n"/>
      <c r="M42" s="153" t="n"/>
      <c r="N42" s="153" t="n"/>
      <c r="O42" s="153" t="n"/>
      <c r="P42" s="153" t="n"/>
      <c r="Q42" s="153" t="n"/>
      <c r="R42" s="153" t="n"/>
      <c r="S42" s="153" t="n"/>
      <c r="T42" s="153" t="n"/>
      <c r="U42" s="153" t="n"/>
      <c r="V42" s="153" t="n"/>
      <c r="W42" s="153" t="n"/>
      <c r="X42" s="153" t="n"/>
      <c r="Y42" s="153" t="n"/>
      <c r="Z42" s="153" t="n"/>
    </row>
    <row r="43" ht="15.75" customHeight="1" s="154">
      <c r="I43" s="153" t="n"/>
      <c r="J43" s="153" t="n"/>
      <c r="K43" s="153" t="n"/>
      <c r="L43" s="153" t="n"/>
      <c r="M43" s="153" t="n"/>
      <c r="N43" s="153" t="n"/>
      <c r="O43" s="153" t="n"/>
      <c r="P43" s="153" t="n"/>
      <c r="Q43" s="153" t="n"/>
      <c r="R43" s="153" t="n"/>
      <c r="S43" s="153" t="n"/>
      <c r="T43" s="153" t="n"/>
      <c r="U43" s="153" t="n"/>
      <c r="V43" s="153" t="n"/>
      <c r="W43" s="153" t="n"/>
      <c r="X43" s="153" t="n"/>
      <c r="Y43" s="153" t="n"/>
      <c r="Z43" s="153" t="n"/>
    </row>
    <row r="44" ht="15.75" customHeight="1" s="154">
      <c r="I44" s="153" t="n"/>
      <c r="J44" s="153" t="n"/>
      <c r="K44" s="153" t="n"/>
      <c r="L44" s="153" t="n"/>
      <c r="M44" s="153" t="n"/>
      <c r="N44" s="153" t="n"/>
      <c r="O44" s="153" t="n"/>
      <c r="P44" s="153" t="n"/>
      <c r="Q44" s="153" t="n"/>
      <c r="R44" s="153" t="n"/>
      <c r="S44" s="153" t="n"/>
      <c r="T44" s="153" t="n"/>
      <c r="U44" s="153" t="n"/>
      <c r="V44" s="153" t="n"/>
      <c r="W44" s="153" t="n"/>
      <c r="X44" s="153" t="n"/>
      <c r="Y44" s="153" t="n"/>
      <c r="Z44" s="153" t="n"/>
    </row>
    <row r="45" ht="15.75" customHeight="1" s="154">
      <c r="I45" s="153" t="n"/>
      <c r="J45" s="153" t="n"/>
      <c r="K45" s="153" t="n"/>
      <c r="L45" s="153" t="n"/>
      <c r="M45" s="153" t="n"/>
      <c r="N45" s="153" t="n"/>
      <c r="O45" s="153" t="n"/>
      <c r="P45" s="153" t="n"/>
      <c r="Q45" s="153" t="n"/>
      <c r="R45" s="153" t="n"/>
      <c r="S45" s="153" t="n"/>
      <c r="T45" s="153" t="n"/>
      <c r="U45" s="153" t="n"/>
      <c r="V45" s="153" t="n"/>
      <c r="W45" s="153" t="n"/>
      <c r="X45" s="153" t="n"/>
      <c r="Y45" s="153" t="n"/>
      <c r="Z45" s="153" t="n"/>
    </row>
    <row r="46" ht="15.75" customHeight="1" s="154">
      <c r="I46" s="153" t="n"/>
      <c r="J46" s="153" t="n"/>
      <c r="K46" s="153" t="n"/>
      <c r="L46" s="153" t="n"/>
      <c r="M46" s="153" t="n"/>
      <c r="N46" s="153" t="n"/>
      <c r="O46" s="153" t="n"/>
      <c r="P46" s="153" t="n"/>
      <c r="Q46" s="153" t="n"/>
      <c r="R46" s="153" t="n"/>
      <c r="S46" s="153" t="n"/>
      <c r="T46" s="153" t="n"/>
      <c r="U46" s="153" t="n"/>
      <c r="V46" s="153" t="n"/>
      <c r="W46" s="153" t="n"/>
      <c r="X46" s="153" t="n"/>
      <c r="Y46" s="153" t="n"/>
      <c r="Z46" s="153" t="n"/>
    </row>
    <row r="47" ht="15.75" customHeight="1" s="154">
      <c r="I47" s="153" t="n"/>
      <c r="J47" s="153" t="n"/>
      <c r="K47" s="153" t="n"/>
      <c r="L47" s="153" t="n"/>
      <c r="M47" s="153" t="n"/>
      <c r="N47" s="153" t="n"/>
      <c r="O47" s="153" t="n"/>
      <c r="P47" s="153" t="n"/>
      <c r="Q47" s="153" t="n"/>
      <c r="R47" s="153" t="n"/>
      <c r="S47" s="153" t="n"/>
      <c r="T47" s="153" t="n"/>
      <c r="U47" s="153" t="n"/>
      <c r="V47" s="153" t="n"/>
      <c r="W47" s="153" t="n"/>
      <c r="X47" s="153" t="n"/>
      <c r="Y47" s="153" t="n"/>
      <c r="Z47" s="153" t="n"/>
    </row>
    <row r="48" ht="15.75" customHeight="1" s="154">
      <c r="I48" s="153" t="n"/>
      <c r="J48" s="153" t="n"/>
      <c r="K48" s="153" t="n"/>
      <c r="L48" s="153" t="n"/>
      <c r="M48" s="153" t="n"/>
      <c r="N48" s="153" t="n"/>
      <c r="O48" s="153" t="n"/>
      <c r="P48" s="153" t="n"/>
      <c r="Q48" s="153" t="n"/>
      <c r="R48" s="153" t="n"/>
      <c r="S48" s="153" t="n"/>
      <c r="T48" s="153" t="n"/>
      <c r="U48" s="153" t="n"/>
      <c r="V48" s="153" t="n"/>
      <c r="W48" s="153" t="n"/>
      <c r="X48" s="153" t="n"/>
      <c r="Y48" s="153" t="n"/>
      <c r="Z48" s="153" t="n"/>
    </row>
    <row r="49" ht="15.75" customHeight="1" s="154">
      <c r="I49" s="153" t="n"/>
      <c r="J49" s="153" t="n"/>
      <c r="K49" s="153" t="n"/>
      <c r="L49" s="153" t="n"/>
      <c r="M49" s="153" t="n"/>
      <c r="N49" s="153" t="n"/>
      <c r="O49" s="153" t="n"/>
      <c r="P49" s="153" t="n"/>
      <c r="Q49" s="153" t="n"/>
      <c r="R49" s="153" t="n"/>
      <c r="S49" s="153" t="n"/>
      <c r="T49" s="153" t="n"/>
      <c r="U49" s="153" t="n"/>
      <c r="V49" s="153" t="n"/>
      <c r="W49" s="153" t="n"/>
      <c r="X49" s="153" t="n"/>
      <c r="Y49" s="153" t="n"/>
      <c r="Z49" s="153" t="n"/>
    </row>
    <row r="50" ht="15.75" customHeight="1" s="154">
      <c r="I50" s="153" t="n"/>
      <c r="J50" s="153" t="n"/>
      <c r="K50" s="153" t="n"/>
      <c r="L50" s="153" t="n"/>
      <c r="M50" s="153" t="n"/>
      <c r="N50" s="153" t="n"/>
      <c r="O50" s="153" t="n"/>
      <c r="P50" s="153" t="n"/>
      <c r="Q50" s="153" t="n"/>
      <c r="R50" s="153" t="n"/>
      <c r="S50" s="153" t="n"/>
      <c r="T50" s="153" t="n"/>
      <c r="U50" s="153" t="n"/>
      <c r="V50" s="153" t="n"/>
      <c r="W50" s="153" t="n"/>
      <c r="X50" s="153" t="n"/>
      <c r="Y50" s="153" t="n"/>
      <c r="Z50" s="153" t="n"/>
    </row>
    <row r="51" ht="15.75" customHeight="1" s="154">
      <c r="I51" s="153" t="n"/>
      <c r="J51" s="153" t="n"/>
      <c r="K51" s="153" t="n"/>
      <c r="L51" s="153" t="n"/>
      <c r="M51" s="153" t="n"/>
      <c r="N51" s="153" t="n"/>
      <c r="O51" s="153" t="n"/>
      <c r="P51" s="153" t="n"/>
      <c r="Q51" s="153" t="n"/>
      <c r="R51" s="153" t="n"/>
      <c r="S51" s="153" t="n"/>
      <c r="T51" s="153" t="n"/>
      <c r="U51" s="153" t="n"/>
      <c r="V51" s="153" t="n"/>
      <c r="W51" s="153" t="n"/>
      <c r="X51" s="153" t="n"/>
      <c r="Y51" s="153" t="n"/>
      <c r="Z51" s="153" t="n"/>
    </row>
    <row r="52" ht="15.75" customHeight="1" s="154">
      <c r="I52" s="153" t="n"/>
      <c r="J52" s="153" t="n"/>
      <c r="K52" s="153" t="n"/>
      <c r="L52" s="153" t="n"/>
      <c r="M52" s="153" t="n"/>
      <c r="N52" s="153" t="n"/>
      <c r="O52" s="153" t="n"/>
      <c r="P52" s="153" t="n"/>
      <c r="Q52" s="153" t="n"/>
      <c r="R52" s="153" t="n"/>
      <c r="S52" s="153" t="n"/>
      <c r="T52" s="153" t="n"/>
      <c r="U52" s="153" t="n"/>
      <c r="V52" s="153" t="n"/>
      <c r="W52" s="153" t="n"/>
      <c r="X52" s="153" t="n"/>
      <c r="Y52" s="153" t="n"/>
      <c r="Z52" s="153" t="n"/>
    </row>
    <row r="53" ht="15.75" customHeight="1" s="154">
      <c r="I53" s="153" t="n"/>
      <c r="J53" s="153" t="n"/>
      <c r="K53" s="153" t="n"/>
      <c r="L53" s="153" t="n"/>
      <c r="M53" s="153" t="n"/>
      <c r="N53" s="153" t="n"/>
      <c r="O53" s="153" t="n"/>
      <c r="P53" s="153" t="n"/>
      <c r="Q53" s="153" t="n"/>
      <c r="R53" s="153" t="n"/>
      <c r="S53" s="153" t="n"/>
      <c r="T53" s="153" t="n"/>
      <c r="U53" s="153" t="n"/>
      <c r="V53" s="153" t="n"/>
      <c r="W53" s="153" t="n"/>
      <c r="X53" s="153" t="n"/>
      <c r="Y53" s="153" t="n"/>
      <c r="Z53" s="153" t="n"/>
    </row>
    <row r="54" ht="15.75" customHeight="1" s="154">
      <c r="I54" s="153" t="n"/>
      <c r="J54" s="153" t="n"/>
      <c r="K54" s="153" t="n"/>
      <c r="L54" s="153" t="n"/>
      <c r="M54" s="153" t="n"/>
      <c r="N54" s="153" t="n"/>
      <c r="O54" s="153" t="n"/>
      <c r="P54" s="153" t="n"/>
      <c r="Q54" s="153" t="n"/>
      <c r="R54" s="153" t="n"/>
      <c r="S54" s="153" t="n"/>
      <c r="T54" s="153" t="n"/>
      <c r="U54" s="153" t="n"/>
      <c r="V54" s="153" t="n"/>
      <c r="W54" s="153" t="n"/>
      <c r="X54" s="153" t="n"/>
      <c r="Y54" s="153" t="n"/>
      <c r="Z54" s="153" t="n"/>
    </row>
    <row r="55" ht="15.75" customHeight="1" s="154">
      <c r="I55" s="153" t="n"/>
      <c r="J55" s="153" t="n"/>
      <c r="K55" s="153" t="n"/>
      <c r="L55" s="153" t="n"/>
      <c r="M55" s="153" t="n"/>
      <c r="N55" s="153" t="n"/>
      <c r="O55" s="153" t="n"/>
      <c r="P55" s="153" t="n"/>
      <c r="Q55" s="153" t="n"/>
      <c r="R55" s="153" t="n"/>
      <c r="S55" s="153" t="n"/>
      <c r="T55" s="153" t="n"/>
      <c r="U55" s="153" t="n"/>
      <c r="V55" s="153" t="n"/>
      <c r="W55" s="153" t="n"/>
      <c r="X55" s="153" t="n"/>
      <c r="Y55" s="153" t="n"/>
      <c r="Z55" s="153" t="n"/>
    </row>
    <row r="56" ht="15.75" customHeight="1" s="154">
      <c r="I56" s="153" t="n"/>
      <c r="J56" s="153" t="n"/>
      <c r="K56" s="153" t="n"/>
      <c r="L56" s="153" t="n"/>
      <c r="M56" s="153" t="n"/>
      <c r="N56" s="153" t="n"/>
      <c r="O56" s="153" t="n"/>
      <c r="P56" s="153" t="n"/>
      <c r="Q56" s="153" t="n"/>
      <c r="R56" s="153" t="n"/>
      <c r="S56" s="153" t="n"/>
      <c r="T56" s="153" t="n"/>
      <c r="U56" s="153" t="n"/>
      <c r="V56" s="153" t="n"/>
      <c r="W56" s="153" t="n"/>
      <c r="X56" s="153" t="n"/>
      <c r="Y56" s="153" t="n"/>
      <c r="Z56" s="153" t="n"/>
    </row>
    <row r="57" ht="15.75" customHeight="1" s="154">
      <c r="I57" s="153" t="n"/>
      <c r="J57" s="153" t="n"/>
      <c r="K57" s="153" t="n"/>
      <c r="L57" s="153" t="n"/>
      <c r="M57" s="153" t="n"/>
      <c r="N57" s="153" t="n"/>
      <c r="O57" s="153" t="n"/>
      <c r="P57" s="153" t="n"/>
      <c r="Q57" s="153" t="n"/>
      <c r="R57" s="153" t="n"/>
      <c r="S57" s="153" t="n"/>
      <c r="T57" s="153" t="n"/>
      <c r="U57" s="153" t="n"/>
      <c r="V57" s="153" t="n"/>
      <c r="W57" s="153" t="n"/>
      <c r="X57" s="153" t="n"/>
      <c r="Y57" s="153" t="n"/>
      <c r="Z57" s="153" t="n"/>
    </row>
    <row r="58" ht="15.75" customHeight="1" s="154">
      <c r="I58" s="153" t="n"/>
      <c r="J58" s="153" t="n"/>
      <c r="K58" s="153" t="n"/>
      <c r="L58" s="153" t="n"/>
      <c r="M58" s="153" t="n"/>
      <c r="N58" s="153" t="n"/>
      <c r="O58" s="153" t="n"/>
      <c r="P58" s="153" t="n"/>
      <c r="Q58" s="153" t="n"/>
      <c r="R58" s="153" t="n"/>
      <c r="S58" s="153" t="n"/>
      <c r="T58" s="153" t="n"/>
      <c r="U58" s="153" t="n"/>
      <c r="V58" s="153" t="n"/>
      <c r="W58" s="153" t="n"/>
      <c r="X58" s="153" t="n"/>
      <c r="Y58" s="153" t="n"/>
      <c r="Z58" s="153" t="n"/>
    </row>
    <row r="59" ht="15.75" customHeight="1" s="154">
      <c r="I59" s="153" t="n"/>
      <c r="J59" s="153" t="n"/>
      <c r="K59" s="153" t="n"/>
      <c r="L59" s="153" t="n"/>
      <c r="M59" s="153" t="n"/>
      <c r="N59" s="153" t="n"/>
      <c r="O59" s="153" t="n"/>
      <c r="P59" s="153" t="n"/>
      <c r="Q59" s="153" t="n"/>
      <c r="R59" s="153" t="n"/>
      <c r="S59" s="153" t="n"/>
      <c r="T59" s="153" t="n"/>
      <c r="U59" s="153" t="n"/>
      <c r="V59" s="153" t="n"/>
      <c r="W59" s="153" t="n"/>
      <c r="X59" s="153" t="n"/>
      <c r="Y59" s="153" t="n"/>
      <c r="Z59" s="153" t="n"/>
    </row>
    <row r="60" ht="15.75" customHeight="1" s="154">
      <c r="I60" s="153" t="n"/>
      <c r="J60" s="153" t="n"/>
      <c r="K60" s="153" t="n"/>
      <c r="L60" s="153" t="n"/>
      <c r="M60" s="153" t="n"/>
      <c r="N60" s="153" t="n"/>
      <c r="O60" s="153" t="n"/>
      <c r="P60" s="153" t="n"/>
      <c r="Q60" s="153" t="n"/>
      <c r="R60" s="153" t="n"/>
      <c r="S60" s="153" t="n"/>
      <c r="T60" s="153" t="n"/>
      <c r="U60" s="153" t="n"/>
      <c r="V60" s="153" t="n"/>
      <c r="W60" s="153" t="n"/>
      <c r="X60" s="153" t="n"/>
      <c r="Y60" s="153" t="n"/>
      <c r="Z60" s="153" t="n"/>
    </row>
    <row r="61" ht="15.75" customHeight="1" s="154">
      <c r="I61" s="153" t="n"/>
      <c r="J61" s="153" t="n"/>
      <c r="K61" s="153" t="n"/>
      <c r="L61" s="153" t="n"/>
      <c r="M61" s="153" t="n"/>
      <c r="N61" s="153" t="n"/>
      <c r="O61" s="153" t="n"/>
      <c r="P61" s="153" t="n"/>
      <c r="Q61" s="153" t="n"/>
      <c r="R61" s="153" t="n"/>
      <c r="S61" s="153" t="n"/>
      <c r="T61" s="153" t="n"/>
      <c r="U61" s="153" t="n"/>
      <c r="V61" s="153" t="n"/>
      <c r="W61" s="153" t="n"/>
      <c r="X61" s="153" t="n"/>
      <c r="Y61" s="153" t="n"/>
      <c r="Z61" s="153" t="n"/>
    </row>
    <row r="62" ht="15.75" customHeight="1" s="154">
      <c r="I62" s="153" t="n"/>
      <c r="J62" s="153" t="n"/>
      <c r="K62" s="153" t="n"/>
      <c r="L62" s="153" t="n"/>
      <c r="M62" s="153" t="n"/>
      <c r="N62" s="153" t="n"/>
      <c r="O62" s="153" t="n"/>
      <c r="P62" s="153" t="n"/>
      <c r="Q62" s="153" t="n"/>
      <c r="R62" s="153" t="n"/>
      <c r="S62" s="153" t="n"/>
      <c r="T62" s="153" t="n"/>
      <c r="U62" s="153" t="n"/>
      <c r="V62" s="153" t="n"/>
      <c r="W62" s="153" t="n"/>
      <c r="X62" s="153" t="n"/>
      <c r="Y62" s="153" t="n"/>
      <c r="Z62" s="153" t="n"/>
    </row>
    <row r="63" ht="15.75" customHeight="1" s="154">
      <c r="I63" s="153" t="n"/>
      <c r="J63" s="153" t="n"/>
      <c r="K63" s="153" t="n"/>
      <c r="L63" s="153" t="n"/>
      <c r="M63" s="153" t="n"/>
      <c r="N63" s="153" t="n"/>
      <c r="O63" s="153" t="n"/>
      <c r="P63" s="153" t="n"/>
      <c r="Q63" s="153" t="n"/>
      <c r="R63" s="153" t="n"/>
      <c r="S63" s="153" t="n"/>
      <c r="T63" s="153" t="n"/>
      <c r="U63" s="153" t="n"/>
      <c r="V63" s="153" t="n"/>
      <c r="W63" s="153" t="n"/>
      <c r="X63" s="153" t="n"/>
      <c r="Y63" s="153" t="n"/>
      <c r="Z63" s="153" t="n"/>
    </row>
    <row r="64" ht="15.75" customHeight="1" s="154">
      <c r="I64" s="153" t="n"/>
      <c r="J64" s="153" t="n"/>
      <c r="K64" s="153" t="n"/>
      <c r="L64" s="153" t="n"/>
      <c r="M64" s="153" t="n"/>
      <c r="N64" s="153" t="n"/>
      <c r="O64" s="153" t="n"/>
      <c r="P64" s="153" t="n"/>
      <c r="Q64" s="153" t="n"/>
      <c r="R64" s="153" t="n"/>
      <c r="S64" s="153" t="n"/>
      <c r="T64" s="153" t="n"/>
      <c r="U64" s="153" t="n"/>
      <c r="V64" s="153" t="n"/>
      <c r="W64" s="153" t="n"/>
      <c r="X64" s="153" t="n"/>
      <c r="Y64" s="153" t="n"/>
      <c r="Z64" s="153" t="n"/>
    </row>
    <row r="65" ht="15.75" customHeight="1" s="154">
      <c r="I65" s="153" t="n"/>
      <c r="J65" s="153" t="n"/>
      <c r="K65" s="153" t="n"/>
      <c r="L65" s="153" t="n"/>
      <c r="M65" s="153" t="n"/>
      <c r="N65" s="153" t="n"/>
      <c r="O65" s="153" t="n"/>
      <c r="P65" s="153" t="n"/>
      <c r="Q65" s="153" t="n"/>
      <c r="R65" s="153" t="n"/>
      <c r="S65" s="153" t="n"/>
      <c r="T65" s="153" t="n"/>
      <c r="U65" s="153" t="n"/>
      <c r="V65" s="153" t="n"/>
      <c r="W65" s="153" t="n"/>
      <c r="X65" s="153" t="n"/>
      <c r="Y65" s="153" t="n"/>
      <c r="Z65" s="153" t="n"/>
    </row>
    <row r="66" ht="15.75" customHeight="1" s="154">
      <c r="I66" s="153" t="n"/>
      <c r="J66" s="153" t="n"/>
      <c r="K66" s="153" t="n"/>
      <c r="L66" s="153" t="n"/>
      <c r="M66" s="153" t="n"/>
      <c r="N66" s="153" t="n"/>
      <c r="O66" s="153" t="n"/>
      <c r="P66" s="153" t="n"/>
      <c r="Q66" s="153" t="n"/>
      <c r="R66" s="153" t="n"/>
      <c r="S66" s="153" t="n"/>
      <c r="T66" s="153" t="n"/>
      <c r="U66" s="153" t="n"/>
      <c r="V66" s="153" t="n"/>
      <c r="W66" s="153" t="n"/>
      <c r="X66" s="153" t="n"/>
      <c r="Y66" s="153" t="n"/>
      <c r="Z66" s="153" t="n"/>
    </row>
    <row r="67" ht="15.75" customHeight="1" s="154">
      <c r="I67" s="153" t="n"/>
      <c r="J67" s="153" t="n"/>
      <c r="K67" s="153" t="n"/>
      <c r="L67" s="153" t="n"/>
      <c r="M67" s="153" t="n"/>
      <c r="N67" s="153" t="n"/>
      <c r="O67" s="153" t="n"/>
      <c r="P67" s="153" t="n"/>
      <c r="Q67" s="153" t="n"/>
      <c r="R67" s="153" t="n"/>
      <c r="S67" s="153" t="n"/>
      <c r="T67" s="153" t="n"/>
      <c r="U67" s="153" t="n"/>
      <c r="V67" s="153" t="n"/>
      <c r="W67" s="153" t="n"/>
      <c r="X67" s="153" t="n"/>
      <c r="Y67" s="153" t="n"/>
      <c r="Z67" s="153" t="n"/>
    </row>
    <row r="68" ht="15.75" customHeight="1" s="154">
      <c r="I68" s="153" t="n"/>
      <c r="J68" s="153" t="n"/>
      <c r="K68" s="153" t="n"/>
      <c r="L68" s="153" t="n"/>
      <c r="M68" s="153" t="n"/>
      <c r="N68" s="153" t="n"/>
      <c r="O68" s="153" t="n"/>
      <c r="P68" s="153" t="n"/>
      <c r="Q68" s="153" t="n"/>
      <c r="R68" s="153" t="n"/>
      <c r="S68" s="153" t="n"/>
      <c r="T68" s="153" t="n"/>
      <c r="U68" s="153" t="n"/>
      <c r="V68" s="153" t="n"/>
      <c r="W68" s="153" t="n"/>
      <c r="X68" s="153" t="n"/>
      <c r="Y68" s="153" t="n"/>
      <c r="Z68" s="153" t="n"/>
    </row>
    <row r="69" ht="15.75" customHeight="1" s="154">
      <c r="I69" s="153" t="n"/>
      <c r="J69" s="153" t="n"/>
      <c r="K69" s="153" t="n"/>
      <c r="L69" s="153" t="n"/>
      <c r="M69" s="153" t="n"/>
      <c r="N69" s="153" t="n"/>
      <c r="O69" s="153" t="n"/>
      <c r="P69" s="153" t="n"/>
      <c r="Q69" s="153" t="n"/>
      <c r="R69" s="153" t="n"/>
      <c r="S69" s="153" t="n"/>
      <c r="T69" s="153" t="n"/>
      <c r="U69" s="153" t="n"/>
      <c r="V69" s="153" t="n"/>
      <c r="W69" s="153" t="n"/>
      <c r="X69" s="153" t="n"/>
      <c r="Y69" s="153" t="n"/>
      <c r="Z69" s="153" t="n"/>
    </row>
    <row r="70" ht="15.75" customHeight="1" s="154">
      <c r="I70" s="153" t="n"/>
      <c r="J70" s="153" t="n"/>
      <c r="K70" s="153" t="n"/>
      <c r="L70" s="153" t="n"/>
      <c r="M70" s="153" t="n"/>
      <c r="N70" s="153" t="n"/>
      <c r="O70" s="153" t="n"/>
      <c r="P70" s="153" t="n"/>
      <c r="Q70" s="153" t="n"/>
      <c r="R70" s="153" t="n"/>
      <c r="S70" s="153" t="n"/>
      <c r="T70" s="153" t="n"/>
      <c r="U70" s="153" t="n"/>
      <c r="V70" s="153" t="n"/>
      <c r="W70" s="153" t="n"/>
      <c r="X70" s="153" t="n"/>
      <c r="Y70" s="153" t="n"/>
      <c r="Z70" s="153" t="n"/>
    </row>
    <row r="71" ht="15.75" customHeight="1" s="154">
      <c r="I71" s="153" t="n"/>
      <c r="J71" s="153" t="n"/>
      <c r="K71" s="153" t="n"/>
      <c r="L71" s="153" t="n"/>
      <c r="M71" s="153" t="n"/>
      <c r="N71" s="153" t="n"/>
      <c r="O71" s="153" t="n"/>
      <c r="P71" s="153" t="n"/>
      <c r="Q71" s="153" t="n"/>
      <c r="R71" s="153" t="n"/>
      <c r="S71" s="153" t="n"/>
      <c r="T71" s="153" t="n"/>
      <c r="U71" s="153" t="n"/>
      <c r="V71" s="153" t="n"/>
      <c r="W71" s="153" t="n"/>
      <c r="X71" s="153" t="n"/>
      <c r="Y71" s="153" t="n"/>
      <c r="Z71" s="153" t="n"/>
    </row>
    <row r="72" ht="15.75" customHeight="1" s="154">
      <c r="I72" s="153" t="n"/>
      <c r="J72" s="153" t="n"/>
      <c r="K72" s="153" t="n"/>
      <c r="L72" s="153" t="n"/>
      <c r="M72" s="153" t="n"/>
      <c r="N72" s="153" t="n"/>
      <c r="O72" s="153" t="n"/>
      <c r="P72" s="153" t="n"/>
      <c r="Q72" s="153" t="n"/>
      <c r="R72" s="153" t="n"/>
      <c r="S72" s="153" t="n"/>
      <c r="T72" s="153" t="n"/>
      <c r="U72" s="153" t="n"/>
      <c r="V72" s="153" t="n"/>
      <c r="W72" s="153" t="n"/>
      <c r="X72" s="153" t="n"/>
      <c r="Y72" s="153" t="n"/>
      <c r="Z72" s="153" t="n"/>
    </row>
    <row r="73" ht="15.75" customHeight="1" s="154">
      <c r="I73" s="153" t="n"/>
      <c r="J73" s="153" t="n"/>
      <c r="K73" s="153" t="n"/>
      <c r="L73" s="153" t="n"/>
      <c r="M73" s="153" t="n"/>
      <c r="N73" s="153" t="n"/>
      <c r="O73" s="153" t="n"/>
      <c r="P73" s="153" t="n"/>
      <c r="Q73" s="153" t="n"/>
      <c r="R73" s="153" t="n"/>
      <c r="S73" s="153" t="n"/>
      <c r="T73" s="153" t="n"/>
      <c r="U73" s="153" t="n"/>
      <c r="V73" s="153" t="n"/>
      <c r="W73" s="153" t="n"/>
      <c r="X73" s="153" t="n"/>
      <c r="Y73" s="153" t="n"/>
      <c r="Z73" s="153" t="n"/>
    </row>
    <row r="74" ht="15.75" customHeight="1" s="154">
      <c r="I74" s="153" t="n"/>
      <c r="J74" s="153" t="n"/>
      <c r="K74" s="153" t="n"/>
      <c r="L74" s="153" t="n"/>
      <c r="M74" s="153" t="n"/>
      <c r="N74" s="153" t="n"/>
      <c r="O74" s="153" t="n"/>
      <c r="P74" s="153" t="n"/>
      <c r="Q74" s="153" t="n"/>
      <c r="R74" s="153" t="n"/>
      <c r="S74" s="153" t="n"/>
      <c r="T74" s="153" t="n"/>
      <c r="U74" s="153" t="n"/>
      <c r="V74" s="153" t="n"/>
      <c r="W74" s="153" t="n"/>
      <c r="X74" s="153" t="n"/>
      <c r="Y74" s="153" t="n"/>
      <c r="Z74" s="153" t="n"/>
    </row>
    <row r="75" ht="15.75" customHeight="1" s="154">
      <c r="I75" s="153" t="n"/>
      <c r="J75" s="153" t="n"/>
      <c r="K75" s="153" t="n"/>
      <c r="L75" s="153" t="n"/>
      <c r="M75" s="153" t="n"/>
      <c r="N75" s="153" t="n"/>
      <c r="O75" s="153" t="n"/>
      <c r="P75" s="153" t="n"/>
      <c r="Q75" s="153" t="n"/>
      <c r="R75" s="153" t="n"/>
      <c r="S75" s="153" t="n"/>
      <c r="T75" s="153" t="n"/>
      <c r="U75" s="153" t="n"/>
      <c r="V75" s="153" t="n"/>
      <c r="W75" s="153" t="n"/>
      <c r="X75" s="153" t="n"/>
      <c r="Y75" s="153" t="n"/>
      <c r="Z75" s="153" t="n"/>
    </row>
    <row r="76" ht="15.75" customHeight="1" s="154">
      <c r="I76" s="153" t="n"/>
      <c r="J76" s="153" t="n"/>
      <c r="K76" s="153" t="n"/>
      <c r="L76" s="153" t="n"/>
      <c r="M76" s="153" t="n"/>
      <c r="N76" s="153" t="n"/>
      <c r="O76" s="153" t="n"/>
      <c r="P76" s="153" t="n"/>
      <c r="Q76" s="153" t="n"/>
      <c r="R76" s="153" t="n"/>
      <c r="S76" s="153" t="n"/>
      <c r="T76" s="153" t="n"/>
      <c r="U76" s="153" t="n"/>
      <c r="V76" s="153" t="n"/>
      <c r="W76" s="153" t="n"/>
      <c r="X76" s="153" t="n"/>
      <c r="Y76" s="153" t="n"/>
      <c r="Z76" s="153" t="n"/>
    </row>
    <row r="77" ht="15.75" customHeight="1" s="154">
      <c r="I77" s="153" t="n"/>
      <c r="J77" s="153" t="n"/>
      <c r="K77" s="153" t="n"/>
      <c r="L77" s="153" t="n"/>
      <c r="M77" s="153" t="n"/>
      <c r="N77" s="153" t="n"/>
      <c r="O77" s="153" t="n"/>
      <c r="P77" s="153" t="n"/>
      <c r="Q77" s="153" t="n"/>
      <c r="R77" s="153" t="n"/>
      <c r="S77" s="153" t="n"/>
      <c r="T77" s="153" t="n"/>
      <c r="U77" s="153" t="n"/>
      <c r="V77" s="153" t="n"/>
      <c r="W77" s="153" t="n"/>
      <c r="X77" s="153" t="n"/>
      <c r="Y77" s="153" t="n"/>
      <c r="Z77" s="153" t="n"/>
    </row>
    <row r="78" ht="15.75" customHeight="1" s="154">
      <c r="I78" s="153" t="n"/>
      <c r="J78" s="153" t="n"/>
      <c r="K78" s="153" t="n"/>
      <c r="L78" s="153" t="n"/>
      <c r="M78" s="153" t="n"/>
      <c r="N78" s="153" t="n"/>
      <c r="O78" s="153" t="n"/>
      <c r="P78" s="153" t="n"/>
      <c r="Q78" s="153" t="n"/>
      <c r="R78" s="153" t="n"/>
      <c r="S78" s="153" t="n"/>
      <c r="T78" s="153" t="n"/>
      <c r="U78" s="153" t="n"/>
      <c r="V78" s="153" t="n"/>
      <c r="W78" s="153" t="n"/>
      <c r="X78" s="153" t="n"/>
      <c r="Y78" s="153" t="n"/>
      <c r="Z78" s="153" t="n"/>
    </row>
    <row r="79" ht="15.75" customHeight="1" s="154">
      <c r="I79" s="153" t="n"/>
      <c r="J79" s="153" t="n"/>
      <c r="K79" s="153" t="n"/>
      <c r="L79" s="153" t="n"/>
      <c r="M79" s="153" t="n"/>
      <c r="N79" s="153" t="n"/>
      <c r="O79" s="153" t="n"/>
      <c r="P79" s="153" t="n"/>
      <c r="Q79" s="153" t="n"/>
      <c r="R79" s="153" t="n"/>
      <c r="S79" s="153" t="n"/>
      <c r="T79" s="153" t="n"/>
      <c r="U79" s="153" t="n"/>
      <c r="V79" s="153" t="n"/>
      <c r="W79" s="153" t="n"/>
      <c r="X79" s="153" t="n"/>
      <c r="Y79" s="153" t="n"/>
      <c r="Z79" s="153" t="n"/>
    </row>
    <row r="80" ht="15.75" customHeight="1" s="154">
      <c r="I80" s="153" t="n"/>
      <c r="J80" s="153" t="n"/>
      <c r="K80" s="153" t="n"/>
      <c r="L80" s="153" t="n"/>
      <c r="M80" s="153" t="n"/>
      <c r="N80" s="153" t="n"/>
      <c r="O80" s="153" t="n"/>
      <c r="P80" s="153" t="n"/>
      <c r="Q80" s="153" t="n"/>
      <c r="R80" s="153" t="n"/>
      <c r="S80" s="153" t="n"/>
      <c r="T80" s="153" t="n"/>
      <c r="U80" s="153" t="n"/>
      <c r="V80" s="153" t="n"/>
      <c r="W80" s="153" t="n"/>
      <c r="X80" s="153" t="n"/>
      <c r="Y80" s="153" t="n"/>
      <c r="Z80" s="153" t="n"/>
    </row>
    <row r="81" ht="15.75" customHeight="1" s="154">
      <c r="I81" s="153" t="n"/>
      <c r="J81" s="153" t="n"/>
      <c r="K81" s="153" t="n"/>
      <c r="L81" s="153" t="n"/>
      <c r="M81" s="153" t="n"/>
      <c r="N81" s="153" t="n"/>
      <c r="O81" s="153" t="n"/>
      <c r="P81" s="153" t="n"/>
      <c r="Q81" s="153" t="n"/>
      <c r="R81" s="153" t="n"/>
      <c r="S81" s="153" t="n"/>
      <c r="T81" s="153" t="n"/>
      <c r="U81" s="153" t="n"/>
      <c r="V81" s="153" t="n"/>
      <c r="W81" s="153" t="n"/>
      <c r="X81" s="153" t="n"/>
      <c r="Y81" s="153" t="n"/>
      <c r="Z81" s="153" t="n"/>
    </row>
    <row r="82" ht="15.75" customHeight="1" s="154">
      <c r="I82" s="153" t="n"/>
      <c r="J82" s="153" t="n"/>
      <c r="K82" s="153" t="n"/>
      <c r="L82" s="153" t="n"/>
      <c r="M82" s="153" t="n"/>
      <c r="N82" s="153" t="n"/>
      <c r="O82" s="153" t="n"/>
      <c r="P82" s="153" t="n"/>
      <c r="Q82" s="153" t="n"/>
      <c r="R82" s="153" t="n"/>
      <c r="S82" s="153" t="n"/>
      <c r="T82" s="153" t="n"/>
      <c r="U82" s="153" t="n"/>
      <c r="V82" s="153" t="n"/>
      <c r="W82" s="153" t="n"/>
      <c r="X82" s="153" t="n"/>
      <c r="Y82" s="153" t="n"/>
      <c r="Z82" s="153" t="n"/>
    </row>
    <row r="83" ht="15.75" customHeight="1" s="154">
      <c r="I83" s="153" t="n"/>
      <c r="J83" s="153" t="n"/>
      <c r="K83" s="153" t="n"/>
      <c r="L83" s="153" t="n"/>
      <c r="M83" s="153" t="n"/>
      <c r="N83" s="153" t="n"/>
      <c r="O83" s="153" t="n"/>
      <c r="P83" s="153" t="n"/>
      <c r="Q83" s="153" t="n"/>
      <c r="R83" s="153" t="n"/>
      <c r="S83" s="153" t="n"/>
      <c r="T83" s="153" t="n"/>
      <c r="U83" s="153" t="n"/>
      <c r="V83" s="153" t="n"/>
      <c r="W83" s="153" t="n"/>
      <c r="X83" s="153" t="n"/>
      <c r="Y83" s="153" t="n"/>
      <c r="Z83" s="153" t="n"/>
    </row>
    <row r="84" ht="15.75" customHeight="1" s="154">
      <c r="I84" s="153" t="n"/>
      <c r="J84" s="153" t="n"/>
      <c r="K84" s="153" t="n"/>
      <c r="L84" s="153" t="n"/>
      <c r="M84" s="153" t="n"/>
      <c r="N84" s="153" t="n"/>
      <c r="O84" s="153" t="n"/>
      <c r="P84" s="153" t="n"/>
      <c r="Q84" s="153" t="n"/>
      <c r="R84" s="153" t="n"/>
      <c r="S84" s="153" t="n"/>
      <c r="T84" s="153" t="n"/>
      <c r="U84" s="153" t="n"/>
      <c r="V84" s="153" t="n"/>
      <c r="W84" s="153" t="n"/>
      <c r="X84" s="153" t="n"/>
      <c r="Y84" s="153" t="n"/>
      <c r="Z84" s="153" t="n"/>
    </row>
    <row r="85" ht="15.75" customHeight="1" s="154">
      <c r="I85" s="153" t="n"/>
      <c r="J85" s="153" t="n"/>
      <c r="K85" s="153" t="n"/>
      <c r="L85" s="153" t="n"/>
      <c r="M85" s="153" t="n"/>
      <c r="N85" s="153" t="n"/>
      <c r="O85" s="153" t="n"/>
      <c r="P85" s="153" t="n"/>
      <c r="Q85" s="153" t="n"/>
      <c r="R85" s="153" t="n"/>
      <c r="S85" s="153" t="n"/>
      <c r="T85" s="153" t="n"/>
      <c r="U85" s="153" t="n"/>
      <c r="V85" s="153" t="n"/>
      <c r="W85" s="153" t="n"/>
      <c r="X85" s="153" t="n"/>
      <c r="Y85" s="153" t="n"/>
      <c r="Z85" s="153" t="n"/>
    </row>
    <row r="86" ht="15.75" customHeight="1" s="154">
      <c r="I86" s="153" t="n"/>
      <c r="J86" s="153" t="n"/>
      <c r="K86" s="153" t="n"/>
      <c r="L86" s="153" t="n"/>
      <c r="M86" s="153" t="n"/>
      <c r="N86" s="153" t="n"/>
      <c r="O86" s="153" t="n"/>
      <c r="P86" s="153" t="n"/>
      <c r="Q86" s="153" t="n"/>
      <c r="R86" s="153" t="n"/>
      <c r="S86" s="153" t="n"/>
      <c r="T86" s="153" t="n"/>
      <c r="U86" s="153" t="n"/>
      <c r="V86" s="153" t="n"/>
      <c r="W86" s="153" t="n"/>
      <c r="X86" s="153" t="n"/>
      <c r="Y86" s="153" t="n"/>
      <c r="Z86" s="153" t="n"/>
    </row>
    <row r="87" ht="15.75" customHeight="1" s="154">
      <c r="I87" s="153" t="n"/>
      <c r="J87" s="153" t="n"/>
      <c r="K87" s="153" t="n"/>
      <c r="L87" s="153" t="n"/>
      <c r="M87" s="153" t="n"/>
      <c r="N87" s="153" t="n"/>
      <c r="O87" s="153" t="n"/>
      <c r="P87" s="153" t="n"/>
      <c r="Q87" s="153" t="n"/>
      <c r="R87" s="153" t="n"/>
      <c r="S87" s="153" t="n"/>
      <c r="T87" s="153" t="n"/>
      <c r="U87" s="153" t="n"/>
      <c r="V87" s="153" t="n"/>
      <c r="W87" s="153" t="n"/>
      <c r="X87" s="153" t="n"/>
      <c r="Y87" s="153" t="n"/>
      <c r="Z87" s="153" t="n"/>
    </row>
    <row r="88" ht="15.75" customHeight="1" s="154">
      <c r="I88" s="153" t="n"/>
      <c r="J88" s="153" t="n"/>
      <c r="K88" s="153" t="n"/>
      <c r="L88" s="153" t="n"/>
      <c r="M88" s="153" t="n"/>
      <c r="N88" s="153" t="n"/>
      <c r="O88" s="153" t="n"/>
      <c r="P88" s="153" t="n"/>
      <c r="Q88" s="153" t="n"/>
      <c r="R88" s="153" t="n"/>
      <c r="S88" s="153" t="n"/>
      <c r="T88" s="153" t="n"/>
      <c r="U88" s="153" t="n"/>
      <c r="V88" s="153" t="n"/>
      <c r="W88" s="153" t="n"/>
      <c r="X88" s="153" t="n"/>
      <c r="Y88" s="153" t="n"/>
      <c r="Z88" s="153" t="n"/>
    </row>
    <row r="89" ht="15.75" customHeight="1" s="154">
      <c r="I89" s="153" t="n"/>
      <c r="J89" s="153" t="n"/>
      <c r="K89" s="153" t="n"/>
      <c r="L89" s="153" t="n"/>
      <c r="M89" s="153" t="n"/>
      <c r="N89" s="153" t="n"/>
      <c r="O89" s="153" t="n"/>
      <c r="P89" s="153" t="n"/>
      <c r="Q89" s="153" t="n"/>
      <c r="R89" s="153" t="n"/>
      <c r="S89" s="153" t="n"/>
      <c r="T89" s="153" t="n"/>
      <c r="U89" s="153" t="n"/>
      <c r="V89" s="153" t="n"/>
      <c r="W89" s="153" t="n"/>
      <c r="X89" s="153" t="n"/>
      <c r="Y89" s="153" t="n"/>
      <c r="Z89" s="153" t="n"/>
    </row>
    <row r="90" ht="15.75" customHeight="1" s="154">
      <c r="I90" s="153" t="n"/>
      <c r="J90" s="153" t="n"/>
      <c r="K90" s="153" t="n"/>
      <c r="L90" s="153" t="n"/>
      <c r="M90" s="153" t="n"/>
      <c r="N90" s="153" t="n"/>
      <c r="O90" s="153" t="n"/>
      <c r="P90" s="153" t="n"/>
      <c r="Q90" s="153" t="n"/>
      <c r="R90" s="153" t="n"/>
      <c r="S90" s="153" t="n"/>
      <c r="T90" s="153" t="n"/>
      <c r="U90" s="153" t="n"/>
      <c r="V90" s="153" t="n"/>
      <c r="W90" s="153" t="n"/>
      <c r="X90" s="153" t="n"/>
      <c r="Y90" s="153" t="n"/>
      <c r="Z90" s="153" t="n"/>
    </row>
    <row r="91" ht="15.75" customHeight="1" s="154">
      <c r="I91" s="153" t="n"/>
      <c r="J91" s="153" t="n"/>
      <c r="K91" s="153" t="n"/>
      <c r="L91" s="153" t="n"/>
      <c r="M91" s="153" t="n"/>
      <c r="N91" s="153" t="n"/>
      <c r="O91" s="153" t="n"/>
      <c r="P91" s="153" t="n"/>
      <c r="Q91" s="153" t="n"/>
      <c r="R91" s="153" t="n"/>
      <c r="S91" s="153" t="n"/>
      <c r="T91" s="153" t="n"/>
      <c r="U91" s="153" t="n"/>
      <c r="V91" s="153" t="n"/>
      <c r="W91" s="153" t="n"/>
      <c r="X91" s="153" t="n"/>
      <c r="Y91" s="153" t="n"/>
      <c r="Z91" s="153" t="n"/>
    </row>
    <row r="92" ht="15.75" customHeight="1" s="154">
      <c r="I92" s="153" t="n"/>
      <c r="J92" s="153" t="n"/>
      <c r="K92" s="153" t="n"/>
      <c r="L92" s="153" t="n"/>
      <c r="M92" s="153" t="n"/>
      <c r="N92" s="153" t="n"/>
      <c r="O92" s="153" t="n"/>
      <c r="P92" s="153" t="n"/>
      <c r="Q92" s="153" t="n"/>
      <c r="R92" s="153" t="n"/>
      <c r="S92" s="153" t="n"/>
      <c r="T92" s="153" t="n"/>
      <c r="U92" s="153" t="n"/>
      <c r="V92" s="153" t="n"/>
      <c r="W92" s="153" t="n"/>
      <c r="X92" s="153" t="n"/>
      <c r="Y92" s="153" t="n"/>
      <c r="Z92" s="153" t="n"/>
    </row>
    <row r="93" ht="15.75" customHeight="1" s="154">
      <c r="I93" s="153" t="n"/>
      <c r="J93" s="153" t="n"/>
      <c r="K93" s="153" t="n"/>
      <c r="L93" s="153" t="n"/>
      <c r="M93" s="153" t="n"/>
      <c r="N93" s="153" t="n"/>
      <c r="O93" s="153" t="n"/>
      <c r="P93" s="153" t="n"/>
      <c r="Q93" s="153" t="n"/>
      <c r="R93" s="153" t="n"/>
      <c r="S93" s="153" t="n"/>
      <c r="T93" s="153" t="n"/>
      <c r="U93" s="153" t="n"/>
      <c r="V93" s="153" t="n"/>
      <c r="W93" s="153" t="n"/>
      <c r="X93" s="153" t="n"/>
      <c r="Y93" s="153" t="n"/>
      <c r="Z93" s="153" t="n"/>
    </row>
    <row r="94" ht="15.75" customHeight="1" s="154">
      <c r="I94" s="153" t="n"/>
      <c r="J94" s="153" t="n"/>
      <c r="K94" s="153" t="n"/>
      <c r="L94" s="153" t="n"/>
      <c r="M94" s="153" t="n"/>
      <c r="N94" s="153" t="n"/>
      <c r="O94" s="153" t="n"/>
      <c r="P94" s="153" t="n"/>
      <c r="Q94" s="153" t="n"/>
      <c r="R94" s="153" t="n"/>
      <c r="S94" s="153" t="n"/>
      <c r="T94" s="153" t="n"/>
      <c r="U94" s="153" t="n"/>
      <c r="V94" s="153" t="n"/>
      <c r="W94" s="153" t="n"/>
      <c r="X94" s="153" t="n"/>
      <c r="Y94" s="153" t="n"/>
      <c r="Z94" s="153" t="n"/>
    </row>
    <row r="95" ht="15.75" customHeight="1" s="154">
      <c r="I95" s="153" t="n"/>
      <c r="J95" s="153" t="n"/>
      <c r="K95" s="153" t="n"/>
      <c r="L95" s="153" t="n"/>
      <c r="M95" s="153" t="n"/>
      <c r="N95" s="153" t="n"/>
      <c r="O95" s="153" t="n"/>
      <c r="P95" s="153" t="n"/>
      <c r="Q95" s="153" t="n"/>
      <c r="R95" s="153" t="n"/>
      <c r="S95" s="153" t="n"/>
      <c r="T95" s="153" t="n"/>
      <c r="U95" s="153" t="n"/>
      <c r="V95" s="153" t="n"/>
      <c r="W95" s="153" t="n"/>
      <c r="X95" s="153" t="n"/>
      <c r="Y95" s="153" t="n"/>
      <c r="Z95" s="153" t="n"/>
    </row>
    <row r="96" ht="15.75" customHeight="1" s="154">
      <c r="I96" s="153" t="n"/>
      <c r="J96" s="153" t="n"/>
      <c r="K96" s="153" t="n"/>
      <c r="L96" s="153" t="n"/>
      <c r="M96" s="153" t="n"/>
      <c r="N96" s="153" t="n"/>
      <c r="O96" s="153" t="n"/>
      <c r="P96" s="153" t="n"/>
      <c r="Q96" s="153" t="n"/>
      <c r="R96" s="153" t="n"/>
      <c r="S96" s="153" t="n"/>
      <c r="T96" s="153" t="n"/>
      <c r="U96" s="153" t="n"/>
      <c r="V96" s="153" t="n"/>
      <c r="W96" s="153" t="n"/>
      <c r="X96" s="153" t="n"/>
      <c r="Y96" s="153" t="n"/>
      <c r="Z96" s="153" t="n"/>
    </row>
    <row r="97" ht="15.75" customHeight="1" s="154">
      <c r="I97" s="153" t="n"/>
      <c r="J97" s="153" t="n"/>
      <c r="K97" s="153" t="n"/>
      <c r="L97" s="153" t="n"/>
      <c r="M97" s="153" t="n"/>
      <c r="N97" s="153" t="n"/>
      <c r="O97" s="153" t="n"/>
      <c r="P97" s="153" t="n"/>
      <c r="Q97" s="153" t="n"/>
      <c r="R97" s="153" t="n"/>
      <c r="S97" s="153" t="n"/>
      <c r="T97" s="153" t="n"/>
      <c r="U97" s="153" t="n"/>
      <c r="V97" s="153" t="n"/>
      <c r="W97" s="153" t="n"/>
      <c r="X97" s="153" t="n"/>
      <c r="Y97" s="153" t="n"/>
      <c r="Z97" s="153" t="n"/>
    </row>
    <row r="98" ht="15.75" customHeight="1" s="154">
      <c r="I98" s="153" t="n"/>
      <c r="J98" s="153" t="n"/>
      <c r="K98" s="153" t="n"/>
      <c r="L98" s="153" t="n"/>
      <c r="M98" s="153" t="n"/>
      <c r="N98" s="153" t="n"/>
      <c r="O98" s="153" t="n"/>
      <c r="P98" s="153" t="n"/>
      <c r="Q98" s="153" t="n"/>
      <c r="R98" s="153" t="n"/>
      <c r="S98" s="153" t="n"/>
      <c r="T98" s="153" t="n"/>
      <c r="U98" s="153" t="n"/>
      <c r="V98" s="153" t="n"/>
      <c r="W98" s="153" t="n"/>
      <c r="X98" s="153" t="n"/>
      <c r="Y98" s="153" t="n"/>
      <c r="Z98" s="153" t="n"/>
    </row>
    <row r="99" ht="15.75" customHeight="1" s="154">
      <c r="I99" s="153" t="n"/>
      <c r="J99" s="153" t="n"/>
      <c r="K99" s="153" t="n"/>
      <c r="L99" s="153" t="n"/>
      <c r="M99" s="153" t="n"/>
      <c r="N99" s="153" t="n"/>
      <c r="O99" s="153" t="n"/>
      <c r="P99" s="153" t="n"/>
      <c r="Q99" s="153" t="n"/>
      <c r="R99" s="153" t="n"/>
      <c r="S99" s="153" t="n"/>
      <c r="T99" s="153" t="n"/>
      <c r="U99" s="153" t="n"/>
      <c r="V99" s="153" t="n"/>
      <c r="W99" s="153" t="n"/>
      <c r="X99" s="153" t="n"/>
      <c r="Y99" s="153" t="n"/>
      <c r="Z99" s="153" t="n"/>
    </row>
    <row r="100" ht="15.75" customHeight="1" s="154">
      <c r="I100" s="153" t="n"/>
      <c r="J100" s="153" t="n"/>
      <c r="K100" s="153" t="n"/>
      <c r="L100" s="153" t="n"/>
      <c r="M100" s="153" t="n"/>
      <c r="N100" s="153" t="n"/>
      <c r="O100" s="153" t="n"/>
      <c r="P100" s="153" t="n"/>
      <c r="Q100" s="153" t="n"/>
      <c r="R100" s="153" t="n"/>
      <c r="S100" s="153" t="n"/>
      <c r="T100" s="153" t="n"/>
      <c r="U100" s="153" t="n"/>
      <c r="V100" s="153" t="n"/>
      <c r="W100" s="153" t="n"/>
      <c r="X100" s="153" t="n"/>
      <c r="Y100" s="153" t="n"/>
      <c r="Z100" s="153" t="n"/>
    </row>
    <row r="101" ht="15.75" customHeight="1" s="154">
      <c r="I101" s="153" t="n"/>
      <c r="J101" s="153" t="n"/>
      <c r="K101" s="153" t="n"/>
      <c r="L101" s="153" t="n"/>
      <c r="M101" s="153" t="n"/>
      <c r="N101" s="153" t="n"/>
      <c r="O101" s="153" t="n"/>
      <c r="P101" s="153" t="n"/>
      <c r="Q101" s="153" t="n"/>
      <c r="R101" s="153" t="n"/>
      <c r="S101" s="153" t="n"/>
      <c r="T101" s="153" t="n"/>
      <c r="U101" s="153" t="n"/>
      <c r="V101" s="153" t="n"/>
      <c r="W101" s="153" t="n"/>
      <c r="X101" s="153" t="n"/>
      <c r="Y101" s="153" t="n"/>
      <c r="Z101" s="153" t="n"/>
    </row>
    <row r="102" ht="15.75" customHeight="1" s="154">
      <c r="I102" s="153" t="n"/>
      <c r="J102" s="153" t="n"/>
      <c r="K102" s="153" t="n"/>
      <c r="L102" s="153" t="n"/>
      <c r="M102" s="153" t="n"/>
      <c r="N102" s="153" t="n"/>
      <c r="O102" s="153" t="n"/>
      <c r="P102" s="153" t="n"/>
      <c r="Q102" s="153" t="n"/>
      <c r="R102" s="153" t="n"/>
      <c r="S102" s="153" t="n"/>
      <c r="T102" s="153" t="n"/>
      <c r="U102" s="153" t="n"/>
      <c r="V102" s="153" t="n"/>
      <c r="W102" s="153" t="n"/>
      <c r="X102" s="153" t="n"/>
      <c r="Y102" s="153" t="n"/>
      <c r="Z102" s="153" t="n"/>
    </row>
    <row r="103" ht="15.75" customHeight="1" s="154">
      <c r="I103" s="153" t="n"/>
      <c r="J103" s="153" t="n"/>
      <c r="K103" s="153" t="n"/>
      <c r="L103" s="153" t="n"/>
      <c r="M103" s="153" t="n"/>
      <c r="N103" s="153" t="n"/>
      <c r="O103" s="153" t="n"/>
      <c r="P103" s="153" t="n"/>
      <c r="Q103" s="153" t="n"/>
      <c r="R103" s="153" t="n"/>
      <c r="S103" s="153" t="n"/>
      <c r="T103" s="153" t="n"/>
      <c r="U103" s="153" t="n"/>
      <c r="V103" s="153" t="n"/>
      <c r="W103" s="153" t="n"/>
      <c r="X103" s="153" t="n"/>
      <c r="Y103" s="153" t="n"/>
      <c r="Z103" s="153" t="n"/>
    </row>
    <row r="104" ht="15.75" customHeight="1" s="154">
      <c r="I104" s="153" t="n"/>
      <c r="J104" s="153" t="n"/>
      <c r="K104" s="153" t="n"/>
      <c r="L104" s="153" t="n"/>
      <c r="M104" s="153" t="n"/>
      <c r="N104" s="153" t="n"/>
      <c r="O104" s="153" t="n"/>
      <c r="P104" s="153" t="n"/>
      <c r="Q104" s="153" t="n"/>
      <c r="R104" s="153" t="n"/>
      <c r="S104" s="153" t="n"/>
      <c r="T104" s="153" t="n"/>
      <c r="U104" s="153" t="n"/>
      <c r="V104" s="153" t="n"/>
      <c r="W104" s="153" t="n"/>
      <c r="X104" s="153" t="n"/>
      <c r="Y104" s="153" t="n"/>
      <c r="Z104" s="153" t="n"/>
    </row>
    <row r="105" ht="15.75" customHeight="1" s="154">
      <c r="I105" s="153" t="n"/>
      <c r="J105" s="153" t="n"/>
      <c r="K105" s="153" t="n"/>
      <c r="L105" s="153" t="n"/>
      <c r="M105" s="153" t="n"/>
      <c r="N105" s="153" t="n"/>
      <c r="O105" s="153" t="n"/>
      <c r="P105" s="153" t="n"/>
      <c r="Q105" s="153" t="n"/>
      <c r="R105" s="153" t="n"/>
      <c r="S105" s="153" t="n"/>
      <c r="T105" s="153" t="n"/>
      <c r="U105" s="153" t="n"/>
      <c r="V105" s="153" t="n"/>
      <c r="W105" s="153" t="n"/>
      <c r="X105" s="153" t="n"/>
      <c r="Y105" s="153" t="n"/>
      <c r="Z105" s="153" t="n"/>
    </row>
    <row r="106" ht="15.75" customHeight="1" s="154">
      <c r="I106" s="153" t="n"/>
      <c r="J106" s="153" t="n"/>
      <c r="K106" s="153" t="n"/>
      <c r="L106" s="153" t="n"/>
      <c r="M106" s="153" t="n"/>
      <c r="N106" s="153" t="n"/>
      <c r="O106" s="153" t="n"/>
      <c r="P106" s="153" t="n"/>
      <c r="Q106" s="153" t="n"/>
      <c r="R106" s="153" t="n"/>
      <c r="S106" s="153" t="n"/>
      <c r="T106" s="153" t="n"/>
      <c r="U106" s="153" t="n"/>
      <c r="V106" s="153" t="n"/>
      <c r="W106" s="153" t="n"/>
      <c r="X106" s="153" t="n"/>
      <c r="Y106" s="153" t="n"/>
      <c r="Z106" s="153" t="n"/>
    </row>
    <row r="107" ht="15.75" customHeight="1" s="154">
      <c r="I107" s="153" t="n"/>
      <c r="J107" s="153" t="n"/>
      <c r="K107" s="153" t="n"/>
      <c r="L107" s="153" t="n"/>
      <c r="M107" s="153" t="n"/>
      <c r="N107" s="153" t="n"/>
      <c r="O107" s="153" t="n"/>
      <c r="P107" s="153" t="n"/>
      <c r="Q107" s="153" t="n"/>
      <c r="R107" s="153" t="n"/>
      <c r="S107" s="153" t="n"/>
      <c r="T107" s="153" t="n"/>
      <c r="U107" s="153" t="n"/>
      <c r="V107" s="153" t="n"/>
      <c r="W107" s="153" t="n"/>
      <c r="X107" s="153" t="n"/>
      <c r="Y107" s="153" t="n"/>
      <c r="Z107" s="153" t="n"/>
    </row>
    <row r="108" ht="15.75" customHeight="1" s="154">
      <c r="I108" s="153" t="n"/>
      <c r="J108" s="153" t="n"/>
      <c r="K108" s="153" t="n"/>
      <c r="L108" s="153" t="n"/>
      <c r="M108" s="153" t="n"/>
      <c r="N108" s="153" t="n"/>
      <c r="O108" s="153" t="n"/>
      <c r="P108" s="153" t="n"/>
      <c r="Q108" s="153" t="n"/>
      <c r="R108" s="153" t="n"/>
      <c r="S108" s="153" t="n"/>
      <c r="T108" s="153" t="n"/>
      <c r="U108" s="153" t="n"/>
      <c r="V108" s="153" t="n"/>
      <c r="W108" s="153" t="n"/>
      <c r="X108" s="153" t="n"/>
      <c r="Y108" s="153" t="n"/>
      <c r="Z108" s="153" t="n"/>
    </row>
    <row r="109" ht="15.75" customHeight="1" s="154">
      <c r="I109" s="153" t="n"/>
      <c r="J109" s="153" t="n"/>
      <c r="K109" s="153" t="n"/>
      <c r="L109" s="153" t="n"/>
      <c r="M109" s="153" t="n"/>
      <c r="N109" s="153" t="n"/>
      <c r="O109" s="153" t="n"/>
      <c r="P109" s="153" t="n"/>
      <c r="Q109" s="153" t="n"/>
      <c r="R109" s="153" t="n"/>
      <c r="S109" s="153" t="n"/>
      <c r="T109" s="153" t="n"/>
      <c r="U109" s="153" t="n"/>
      <c r="V109" s="153" t="n"/>
      <c r="W109" s="153" t="n"/>
      <c r="X109" s="153" t="n"/>
      <c r="Y109" s="153" t="n"/>
      <c r="Z109" s="153" t="n"/>
    </row>
    <row r="110" ht="15.75" customHeight="1" s="154">
      <c r="I110" s="153" t="n"/>
      <c r="J110" s="153" t="n"/>
      <c r="K110" s="153" t="n"/>
      <c r="L110" s="153" t="n"/>
      <c r="M110" s="153" t="n"/>
      <c r="N110" s="153" t="n"/>
      <c r="O110" s="153" t="n"/>
      <c r="P110" s="153" t="n"/>
      <c r="Q110" s="153" t="n"/>
      <c r="R110" s="153" t="n"/>
      <c r="S110" s="153" t="n"/>
      <c r="T110" s="153" t="n"/>
      <c r="U110" s="153" t="n"/>
      <c r="V110" s="153" t="n"/>
      <c r="W110" s="153" t="n"/>
      <c r="X110" s="153" t="n"/>
      <c r="Y110" s="153" t="n"/>
      <c r="Z110" s="153" t="n"/>
    </row>
    <row r="111" ht="15.75" customHeight="1" s="154">
      <c r="I111" s="153" t="n"/>
      <c r="J111" s="153" t="n"/>
      <c r="K111" s="153" t="n"/>
      <c r="L111" s="153" t="n"/>
      <c r="M111" s="153" t="n"/>
      <c r="N111" s="153" t="n"/>
      <c r="O111" s="153" t="n"/>
      <c r="P111" s="153" t="n"/>
      <c r="Q111" s="153" t="n"/>
      <c r="R111" s="153" t="n"/>
      <c r="S111" s="153" t="n"/>
      <c r="T111" s="153" t="n"/>
      <c r="U111" s="153" t="n"/>
      <c r="V111" s="153" t="n"/>
      <c r="W111" s="153" t="n"/>
      <c r="X111" s="153" t="n"/>
      <c r="Y111" s="153" t="n"/>
      <c r="Z111" s="153" t="n"/>
    </row>
    <row r="112" ht="15.75" customHeight="1" s="154">
      <c r="I112" s="153" t="n"/>
      <c r="J112" s="153" t="n"/>
      <c r="K112" s="153" t="n"/>
      <c r="L112" s="153" t="n"/>
      <c r="M112" s="153" t="n"/>
      <c r="N112" s="153" t="n"/>
      <c r="O112" s="153" t="n"/>
      <c r="P112" s="153" t="n"/>
      <c r="Q112" s="153" t="n"/>
      <c r="R112" s="153" t="n"/>
      <c r="S112" s="153" t="n"/>
      <c r="T112" s="153" t="n"/>
      <c r="U112" s="153" t="n"/>
      <c r="V112" s="153" t="n"/>
      <c r="W112" s="153" t="n"/>
      <c r="X112" s="153" t="n"/>
      <c r="Y112" s="153" t="n"/>
      <c r="Z112" s="153" t="n"/>
    </row>
    <row r="113" ht="15.75" customHeight="1" s="154">
      <c r="I113" s="153" t="n"/>
      <c r="J113" s="153" t="n"/>
      <c r="K113" s="153" t="n"/>
      <c r="L113" s="153" t="n"/>
      <c r="M113" s="153" t="n"/>
      <c r="N113" s="153" t="n"/>
      <c r="O113" s="153" t="n"/>
      <c r="P113" s="153" t="n"/>
      <c r="Q113" s="153" t="n"/>
      <c r="R113" s="153" t="n"/>
      <c r="S113" s="153" t="n"/>
      <c r="T113" s="153" t="n"/>
      <c r="U113" s="153" t="n"/>
      <c r="V113" s="153" t="n"/>
      <c r="W113" s="153" t="n"/>
      <c r="X113" s="153" t="n"/>
      <c r="Y113" s="153" t="n"/>
      <c r="Z113" s="153" t="n"/>
    </row>
    <row r="114" ht="15.75" customHeight="1" s="154">
      <c r="I114" s="153" t="n"/>
      <c r="J114" s="153" t="n"/>
      <c r="K114" s="153" t="n"/>
      <c r="L114" s="153" t="n"/>
      <c r="M114" s="153" t="n"/>
      <c r="N114" s="153" t="n"/>
      <c r="O114" s="153" t="n"/>
      <c r="P114" s="153" t="n"/>
      <c r="Q114" s="153" t="n"/>
      <c r="R114" s="153" t="n"/>
      <c r="S114" s="153" t="n"/>
      <c r="T114" s="153" t="n"/>
      <c r="U114" s="153" t="n"/>
      <c r="V114" s="153" t="n"/>
      <c r="W114" s="153" t="n"/>
      <c r="X114" s="153" t="n"/>
      <c r="Y114" s="153" t="n"/>
      <c r="Z114" s="153" t="n"/>
    </row>
    <row r="115" ht="15.75" customHeight="1" s="154">
      <c r="I115" s="153" t="n"/>
      <c r="J115" s="153" t="n"/>
      <c r="K115" s="153" t="n"/>
      <c r="L115" s="153" t="n"/>
      <c r="M115" s="153" t="n"/>
      <c r="N115" s="153" t="n"/>
      <c r="O115" s="153" t="n"/>
      <c r="P115" s="153" t="n"/>
      <c r="Q115" s="153" t="n"/>
      <c r="R115" s="153" t="n"/>
      <c r="S115" s="153" t="n"/>
      <c r="T115" s="153" t="n"/>
      <c r="U115" s="153" t="n"/>
      <c r="V115" s="153" t="n"/>
      <c r="W115" s="153" t="n"/>
      <c r="X115" s="153" t="n"/>
      <c r="Y115" s="153" t="n"/>
      <c r="Z115" s="153" t="n"/>
    </row>
    <row r="116" ht="15.75" customHeight="1" s="154">
      <c r="I116" s="153" t="n"/>
      <c r="J116" s="153" t="n"/>
      <c r="K116" s="153" t="n"/>
      <c r="L116" s="153" t="n"/>
      <c r="M116" s="153" t="n"/>
      <c r="N116" s="153" t="n"/>
      <c r="O116" s="153" t="n"/>
      <c r="P116" s="153" t="n"/>
      <c r="Q116" s="153" t="n"/>
      <c r="R116" s="153" t="n"/>
      <c r="S116" s="153" t="n"/>
      <c r="T116" s="153" t="n"/>
      <c r="U116" s="153" t="n"/>
      <c r="V116" s="153" t="n"/>
      <c r="W116" s="153" t="n"/>
      <c r="X116" s="153" t="n"/>
      <c r="Y116" s="153" t="n"/>
      <c r="Z116" s="153" t="n"/>
    </row>
    <row r="117" ht="15.75" customHeight="1" s="154">
      <c r="I117" s="153" t="n"/>
      <c r="J117" s="153" t="n"/>
      <c r="K117" s="153" t="n"/>
      <c r="L117" s="153" t="n"/>
      <c r="M117" s="153" t="n"/>
      <c r="N117" s="153" t="n"/>
      <c r="O117" s="153" t="n"/>
      <c r="P117" s="153" t="n"/>
      <c r="Q117" s="153" t="n"/>
      <c r="R117" s="153" t="n"/>
      <c r="S117" s="153" t="n"/>
      <c r="T117" s="153" t="n"/>
      <c r="U117" s="153" t="n"/>
      <c r="V117" s="153" t="n"/>
      <c r="W117" s="153" t="n"/>
      <c r="X117" s="153" t="n"/>
      <c r="Y117" s="153" t="n"/>
      <c r="Z117" s="153" t="n"/>
    </row>
    <row r="118" ht="15.75" customHeight="1" s="154">
      <c r="I118" s="153" t="n"/>
      <c r="J118" s="153" t="n"/>
      <c r="K118" s="153" t="n"/>
      <c r="L118" s="153" t="n"/>
      <c r="M118" s="153" t="n"/>
      <c r="N118" s="153" t="n"/>
      <c r="O118" s="153" t="n"/>
      <c r="P118" s="153" t="n"/>
      <c r="Q118" s="153" t="n"/>
      <c r="R118" s="153" t="n"/>
      <c r="S118" s="153" t="n"/>
      <c r="T118" s="153" t="n"/>
      <c r="U118" s="153" t="n"/>
      <c r="V118" s="153" t="n"/>
      <c r="W118" s="153" t="n"/>
      <c r="X118" s="153" t="n"/>
      <c r="Y118" s="153" t="n"/>
      <c r="Z118" s="153" t="n"/>
    </row>
    <row r="119" ht="15.75" customHeight="1" s="154">
      <c r="I119" s="153" t="n"/>
      <c r="J119" s="153" t="n"/>
      <c r="K119" s="153" t="n"/>
      <c r="L119" s="153" t="n"/>
      <c r="M119" s="153" t="n"/>
      <c r="N119" s="153" t="n"/>
      <c r="O119" s="153" t="n"/>
      <c r="P119" s="153" t="n"/>
      <c r="Q119" s="153" t="n"/>
      <c r="R119" s="153" t="n"/>
      <c r="S119" s="153" t="n"/>
      <c r="T119" s="153" t="n"/>
      <c r="U119" s="153" t="n"/>
      <c r="V119" s="153" t="n"/>
      <c r="W119" s="153" t="n"/>
      <c r="X119" s="153" t="n"/>
      <c r="Y119" s="153" t="n"/>
      <c r="Z119" s="153" t="n"/>
    </row>
    <row r="120" ht="15.75" customHeight="1" s="154">
      <c r="I120" s="153" t="n"/>
      <c r="J120" s="153" t="n"/>
      <c r="K120" s="153" t="n"/>
      <c r="L120" s="153" t="n"/>
      <c r="M120" s="153" t="n"/>
      <c r="N120" s="153" t="n"/>
      <c r="O120" s="153" t="n"/>
      <c r="P120" s="153" t="n"/>
      <c r="Q120" s="153" t="n"/>
      <c r="R120" s="153" t="n"/>
      <c r="S120" s="153" t="n"/>
      <c r="T120" s="153" t="n"/>
      <c r="U120" s="153" t="n"/>
      <c r="V120" s="153" t="n"/>
      <c r="W120" s="153" t="n"/>
      <c r="X120" s="153" t="n"/>
      <c r="Y120" s="153" t="n"/>
      <c r="Z120" s="153" t="n"/>
    </row>
    <row r="121" ht="15.75" customHeight="1" s="154">
      <c r="I121" s="153" t="n"/>
      <c r="J121" s="153" t="n"/>
      <c r="K121" s="153" t="n"/>
      <c r="L121" s="153" t="n"/>
      <c r="M121" s="153" t="n"/>
      <c r="N121" s="153" t="n"/>
      <c r="O121" s="153" t="n"/>
      <c r="P121" s="153" t="n"/>
      <c r="Q121" s="153" t="n"/>
      <c r="R121" s="153" t="n"/>
      <c r="S121" s="153" t="n"/>
      <c r="T121" s="153" t="n"/>
      <c r="U121" s="153" t="n"/>
      <c r="V121" s="153" t="n"/>
      <c r="W121" s="153" t="n"/>
      <c r="X121" s="153" t="n"/>
      <c r="Y121" s="153" t="n"/>
      <c r="Z121" s="153" t="n"/>
    </row>
    <row r="122" ht="15.75" customHeight="1" s="154">
      <c r="I122" s="153" t="n"/>
      <c r="J122" s="153" t="n"/>
      <c r="K122" s="153" t="n"/>
      <c r="L122" s="153" t="n"/>
      <c r="M122" s="153" t="n"/>
      <c r="N122" s="153" t="n"/>
      <c r="O122" s="153" t="n"/>
      <c r="P122" s="153" t="n"/>
      <c r="Q122" s="153" t="n"/>
      <c r="R122" s="153" t="n"/>
      <c r="S122" s="153" t="n"/>
      <c r="T122" s="153" t="n"/>
      <c r="U122" s="153" t="n"/>
      <c r="V122" s="153" t="n"/>
      <c r="W122" s="153" t="n"/>
      <c r="X122" s="153" t="n"/>
      <c r="Y122" s="153" t="n"/>
      <c r="Z122" s="153" t="n"/>
    </row>
    <row r="123" ht="15.75" customHeight="1" s="154">
      <c r="I123" s="153" t="n"/>
      <c r="J123" s="153" t="n"/>
      <c r="K123" s="153" t="n"/>
      <c r="L123" s="153" t="n"/>
      <c r="M123" s="153" t="n"/>
      <c r="N123" s="153" t="n"/>
      <c r="O123" s="153" t="n"/>
      <c r="P123" s="153" t="n"/>
      <c r="Q123" s="153" t="n"/>
      <c r="R123" s="153" t="n"/>
      <c r="S123" s="153" t="n"/>
      <c r="T123" s="153" t="n"/>
      <c r="U123" s="153" t="n"/>
      <c r="V123" s="153" t="n"/>
      <c r="W123" s="153" t="n"/>
      <c r="X123" s="153" t="n"/>
      <c r="Y123" s="153" t="n"/>
      <c r="Z123" s="153" t="n"/>
    </row>
    <row r="124" ht="15.75" customHeight="1" s="154">
      <c r="I124" s="153" t="n"/>
      <c r="J124" s="153" t="n"/>
      <c r="K124" s="153" t="n"/>
      <c r="L124" s="153" t="n"/>
      <c r="M124" s="153" t="n"/>
      <c r="N124" s="153" t="n"/>
      <c r="O124" s="153" t="n"/>
      <c r="P124" s="153" t="n"/>
      <c r="Q124" s="153" t="n"/>
      <c r="R124" s="153" t="n"/>
      <c r="S124" s="153" t="n"/>
      <c r="T124" s="153" t="n"/>
      <c r="U124" s="153" t="n"/>
      <c r="V124" s="153" t="n"/>
      <c r="W124" s="153" t="n"/>
      <c r="X124" s="153" t="n"/>
      <c r="Y124" s="153" t="n"/>
      <c r="Z124" s="153" t="n"/>
    </row>
    <row r="125" ht="15.75" customHeight="1" s="154">
      <c r="I125" s="153" t="n"/>
      <c r="J125" s="153" t="n"/>
      <c r="K125" s="153" t="n"/>
      <c r="L125" s="153" t="n"/>
      <c r="M125" s="153" t="n"/>
      <c r="N125" s="153" t="n"/>
      <c r="O125" s="153" t="n"/>
      <c r="P125" s="153" t="n"/>
      <c r="Q125" s="153" t="n"/>
      <c r="R125" s="153" t="n"/>
      <c r="S125" s="153" t="n"/>
      <c r="T125" s="153" t="n"/>
      <c r="U125" s="153" t="n"/>
      <c r="V125" s="153" t="n"/>
      <c r="W125" s="153" t="n"/>
      <c r="X125" s="153" t="n"/>
      <c r="Y125" s="153" t="n"/>
      <c r="Z125" s="153" t="n"/>
    </row>
    <row r="126" ht="15.75" customHeight="1" s="154">
      <c r="I126" s="153" t="n"/>
      <c r="J126" s="153" t="n"/>
      <c r="K126" s="153" t="n"/>
      <c r="L126" s="153" t="n"/>
      <c r="M126" s="153" t="n"/>
      <c r="N126" s="153" t="n"/>
      <c r="O126" s="153" t="n"/>
      <c r="P126" s="153" t="n"/>
      <c r="Q126" s="153" t="n"/>
      <c r="R126" s="153" t="n"/>
      <c r="S126" s="153" t="n"/>
      <c r="T126" s="153" t="n"/>
      <c r="U126" s="153" t="n"/>
      <c r="V126" s="153" t="n"/>
      <c r="W126" s="153" t="n"/>
      <c r="X126" s="153" t="n"/>
      <c r="Y126" s="153" t="n"/>
      <c r="Z126" s="153" t="n"/>
    </row>
    <row r="127" ht="15.75" customHeight="1" s="154">
      <c r="I127" s="153" t="n"/>
      <c r="J127" s="153" t="n"/>
      <c r="K127" s="153" t="n"/>
      <c r="L127" s="153" t="n"/>
      <c r="M127" s="153" t="n"/>
      <c r="N127" s="153" t="n"/>
      <c r="O127" s="153" t="n"/>
      <c r="P127" s="153" t="n"/>
      <c r="Q127" s="153" t="n"/>
      <c r="R127" s="153" t="n"/>
      <c r="S127" s="153" t="n"/>
      <c r="T127" s="153" t="n"/>
      <c r="U127" s="153" t="n"/>
      <c r="V127" s="153" t="n"/>
      <c r="W127" s="153" t="n"/>
      <c r="X127" s="153" t="n"/>
      <c r="Y127" s="153" t="n"/>
      <c r="Z127" s="153" t="n"/>
    </row>
    <row r="128" ht="15.75" customHeight="1" s="154">
      <c r="I128" s="153" t="n"/>
      <c r="J128" s="153" t="n"/>
      <c r="K128" s="153" t="n"/>
      <c r="L128" s="153" t="n"/>
      <c r="M128" s="153" t="n"/>
      <c r="N128" s="153" t="n"/>
      <c r="O128" s="153" t="n"/>
      <c r="P128" s="153" t="n"/>
      <c r="Q128" s="153" t="n"/>
      <c r="R128" s="153" t="n"/>
      <c r="S128" s="153" t="n"/>
      <c r="T128" s="153" t="n"/>
      <c r="U128" s="153" t="n"/>
      <c r="V128" s="153" t="n"/>
      <c r="W128" s="153" t="n"/>
      <c r="X128" s="153" t="n"/>
      <c r="Y128" s="153" t="n"/>
      <c r="Z128" s="153" t="n"/>
    </row>
    <row r="129" ht="15.75" customHeight="1" s="154">
      <c r="I129" s="153" t="n"/>
      <c r="J129" s="153" t="n"/>
      <c r="K129" s="153" t="n"/>
      <c r="L129" s="153" t="n"/>
      <c r="M129" s="153" t="n"/>
      <c r="N129" s="153" t="n"/>
      <c r="O129" s="153" t="n"/>
      <c r="P129" s="153" t="n"/>
      <c r="Q129" s="153" t="n"/>
      <c r="R129" s="153" t="n"/>
      <c r="S129" s="153" t="n"/>
      <c r="T129" s="153" t="n"/>
      <c r="U129" s="153" t="n"/>
      <c r="V129" s="153" t="n"/>
      <c r="W129" s="153" t="n"/>
      <c r="X129" s="153" t="n"/>
      <c r="Y129" s="153" t="n"/>
      <c r="Z129" s="153" t="n"/>
    </row>
    <row r="130" ht="15.75" customHeight="1" s="154">
      <c r="I130" s="153" t="n"/>
      <c r="J130" s="153" t="n"/>
      <c r="K130" s="153" t="n"/>
      <c r="L130" s="153" t="n"/>
      <c r="M130" s="153" t="n"/>
      <c r="N130" s="153" t="n"/>
      <c r="O130" s="153" t="n"/>
      <c r="P130" s="153" t="n"/>
      <c r="Q130" s="153" t="n"/>
      <c r="R130" s="153" t="n"/>
      <c r="S130" s="153" t="n"/>
      <c r="T130" s="153" t="n"/>
      <c r="U130" s="153" t="n"/>
      <c r="V130" s="153" t="n"/>
      <c r="W130" s="153" t="n"/>
      <c r="X130" s="153" t="n"/>
      <c r="Y130" s="153" t="n"/>
      <c r="Z130" s="153" t="n"/>
    </row>
    <row r="131" ht="15.75" customHeight="1" s="154">
      <c r="I131" s="153" t="n"/>
      <c r="J131" s="153" t="n"/>
      <c r="K131" s="153" t="n"/>
      <c r="L131" s="153" t="n"/>
      <c r="M131" s="153" t="n"/>
      <c r="N131" s="153" t="n"/>
      <c r="O131" s="153" t="n"/>
      <c r="P131" s="153" t="n"/>
      <c r="Q131" s="153" t="n"/>
      <c r="R131" s="153" t="n"/>
      <c r="S131" s="153" t="n"/>
      <c r="T131" s="153" t="n"/>
      <c r="U131" s="153" t="n"/>
      <c r="V131" s="153" t="n"/>
      <c r="W131" s="153" t="n"/>
      <c r="X131" s="153" t="n"/>
      <c r="Y131" s="153" t="n"/>
      <c r="Z131" s="153" t="n"/>
    </row>
    <row r="132" ht="15.75" customHeight="1" s="154">
      <c r="I132" s="153" t="n"/>
      <c r="J132" s="153" t="n"/>
      <c r="K132" s="153" t="n"/>
      <c r="L132" s="153" t="n"/>
      <c r="M132" s="153" t="n"/>
      <c r="N132" s="153" t="n"/>
      <c r="O132" s="153" t="n"/>
      <c r="P132" s="153" t="n"/>
      <c r="Q132" s="153" t="n"/>
      <c r="R132" s="153" t="n"/>
      <c r="S132" s="153" t="n"/>
      <c r="T132" s="153" t="n"/>
      <c r="U132" s="153" t="n"/>
      <c r="V132" s="153" t="n"/>
      <c r="W132" s="153" t="n"/>
      <c r="X132" s="153" t="n"/>
      <c r="Y132" s="153" t="n"/>
      <c r="Z132" s="153" t="n"/>
    </row>
    <row r="133" ht="15.75" customHeight="1" s="154">
      <c r="I133" s="153" t="n"/>
      <c r="J133" s="153" t="n"/>
      <c r="K133" s="153" t="n"/>
      <c r="L133" s="153" t="n"/>
      <c r="M133" s="153" t="n"/>
      <c r="N133" s="153" t="n"/>
      <c r="O133" s="153" t="n"/>
      <c r="P133" s="153" t="n"/>
      <c r="Q133" s="153" t="n"/>
      <c r="R133" s="153" t="n"/>
      <c r="S133" s="153" t="n"/>
      <c r="T133" s="153" t="n"/>
      <c r="U133" s="153" t="n"/>
      <c r="V133" s="153" t="n"/>
      <c r="W133" s="153" t="n"/>
      <c r="X133" s="153" t="n"/>
      <c r="Y133" s="153" t="n"/>
      <c r="Z133" s="153" t="n"/>
    </row>
    <row r="134" ht="15.75" customHeight="1" s="154">
      <c r="I134" s="153" t="n"/>
      <c r="J134" s="153" t="n"/>
      <c r="K134" s="153" t="n"/>
      <c r="L134" s="153" t="n"/>
      <c r="M134" s="153" t="n"/>
      <c r="N134" s="153" t="n"/>
      <c r="O134" s="153" t="n"/>
      <c r="P134" s="153" t="n"/>
      <c r="Q134" s="153" t="n"/>
      <c r="R134" s="153" t="n"/>
      <c r="S134" s="153" t="n"/>
      <c r="T134" s="153" t="n"/>
      <c r="U134" s="153" t="n"/>
      <c r="V134" s="153" t="n"/>
      <c r="W134" s="153" t="n"/>
      <c r="X134" s="153" t="n"/>
      <c r="Y134" s="153" t="n"/>
      <c r="Z134" s="153" t="n"/>
    </row>
    <row r="135" ht="15.75" customHeight="1" s="154">
      <c r="I135" s="153" t="n"/>
      <c r="J135" s="153" t="n"/>
      <c r="K135" s="153" t="n"/>
      <c r="L135" s="153" t="n"/>
      <c r="M135" s="153" t="n"/>
      <c r="N135" s="153" t="n"/>
      <c r="O135" s="153" t="n"/>
      <c r="P135" s="153" t="n"/>
      <c r="Q135" s="153" t="n"/>
      <c r="R135" s="153" t="n"/>
      <c r="S135" s="153" t="n"/>
      <c r="T135" s="153" t="n"/>
      <c r="U135" s="153" t="n"/>
      <c r="V135" s="153" t="n"/>
      <c r="W135" s="153" t="n"/>
      <c r="X135" s="153" t="n"/>
      <c r="Y135" s="153" t="n"/>
      <c r="Z135" s="153" t="n"/>
    </row>
    <row r="136" ht="15.75" customHeight="1" s="154">
      <c r="I136" s="153" t="n"/>
      <c r="J136" s="153" t="n"/>
      <c r="K136" s="153" t="n"/>
      <c r="L136" s="153" t="n"/>
      <c r="M136" s="153" t="n"/>
      <c r="N136" s="153" t="n"/>
      <c r="O136" s="153" t="n"/>
      <c r="P136" s="153" t="n"/>
      <c r="Q136" s="153" t="n"/>
      <c r="R136" s="153" t="n"/>
      <c r="S136" s="153" t="n"/>
      <c r="T136" s="153" t="n"/>
      <c r="U136" s="153" t="n"/>
      <c r="V136" s="153" t="n"/>
      <c r="W136" s="153" t="n"/>
      <c r="X136" s="153" t="n"/>
      <c r="Y136" s="153" t="n"/>
      <c r="Z136" s="153" t="n"/>
    </row>
    <row r="137" ht="15.75" customHeight="1" s="154">
      <c r="I137" s="153" t="n"/>
      <c r="J137" s="153" t="n"/>
      <c r="K137" s="153" t="n"/>
      <c r="L137" s="153" t="n"/>
      <c r="M137" s="153" t="n"/>
      <c r="N137" s="153" t="n"/>
      <c r="O137" s="153" t="n"/>
      <c r="P137" s="153" t="n"/>
      <c r="Q137" s="153" t="n"/>
      <c r="R137" s="153" t="n"/>
      <c r="S137" s="153" t="n"/>
      <c r="T137" s="153" t="n"/>
      <c r="U137" s="153" t="n"/>
      <c r="V137" s="153" t="n"/>
      <c r="W137" s="153" t="n"/>
      <c r="X137" s="153" t="n"/>
      <c r="Y137" s="153" t="n"/>
      <c r="Z137" s="153" t="n"/>
    </row>
    <row r="138" ht="15.75" customHeight="1" s="154">
      <c r="I138" s="153" t="n"/>
      <c r="J138" s="153" t="n"/>
      <c r="K138" s="153" t="n"/>
      <c r="L138" s="153" t="n"/>
      <c r="M138" s="153" t="n"/>
      <c r="N138" s="153" t="n"/>
      <c r="O138" s="153" t="n"/>
      <c r="P138" s="153" t="n"/>
      <c r="Q138" s="153" t="n"/>
      <c r="R138" s="153" t="n"/>
      <c r="S138" s="153" t="n"/>
      <c r="T138" s="153" t="n"/>
      <c r="U138" s="153" t="n"/>
      <c r="V138" s="153" t="n"/>
      <c r="W138" s="153" t="n"/>
      <c r="X138" s="153" t="n"/>
      <c r="Y138" s="153" t="n"/>
      <c r="Z138" s="153" t="n"/>
    </row>
    <row r="139" ht="15.75" customHeight="1" s="154">
      <c r="I139" s="153" t="n"/>
      <c r="J139" s="153" t="n"/>
      <c r="K139" s="153" t="n"/>
      <c r="L139" s="153" t="n"/>
      <c r="M139" s="153" t="n"/>
      <c r="N139" s="153" t="n"/>
      <c r="O139" s="153" t="n"/>
      <c r="P139" s="153" t="n"/>
      <c r="Q139" s="153" t="n"/>
      <c r="R139" s="153" t="n"/>
      <c r="S139" s="153" t="n"/>
      <c r="T139" s="153" t="n"/>
      <c r="U139" s="153" t="n"/>
      <c r="V139" s="153" t="n"/>
      <c r="W139" s="153" t="n"/>
      <c r="X139" s="153" t="n"/>
      <c r="Y139" s="153" t="n"/>
      <c r="Z139" s="153" t="n"/>
    </row>
    <row r="140" ht="15.75" customHeight="1" s="154">
      <c r="I140" s="153" t="n"/>
      <c r="J140" s="153" t="n"/>
      <c r="K140" s="153" t="n"/>
      <c r="L140" s="153" t="n"/>
      <c r="M140" s="153" t="n"/>
      <c r="N140" s="153" t="n"/>
      <c r="O140" s="153" t="n"/>
      <c r="P140" s="153" t="n"/>
      <c r="Q140" s="153" t="n"/>
      <c r="R140" s="153" t="n"/>
      <c r="S140" s="153" t="n"/>
      <c r="T140" s="153" t="n"/>
      <c r="U140" s="153" t="n"/>
      <c r="V140" s="153" t="n"/>
      <c r="W140" s="153" t="n"/>
      <c r="X140" s="153" t="n"/>
      <c r="Y140" s="153" t="n"/>
      <c r="Z140" s="153" t="n"/>
    </row>
    <row r="141" ht="15.75" customHeight="1" s="154">
      <c r="I141" s="153" t="n"/>
      <c r="J141" s="153" t="n"/>
      <c r="K141" s="153" t="n"/>
      <c r="L141" s="153" t="n"/>
      <c r="M141" s="153" t="n"/>
      <c r="N141" s="153" t="n"/>
      <c r="O141" s="153" t="n"/>
      <c r="P141" s="153" t="n"/>
      <c r="Q141" s="153" t="n"/>
      <c r="R141" s="153" t="n"/>
      <c r="S141" s="153" t="n"/>
      <c r="T141" s="153" t="n"/>
      <c r="U141" s="153" t="n"/>
      <c r="V141" s="153" t="n"/>
      <c r="W141" s="153" t="n"/>
      <c r="X141" s="153" t="n"/>
      <c r="Y141" s="153" t="n"/>
      <c r="Z141" s="153" t="n"/>
    </row>
    <row r="142" ht="15.75" customHeight="1" s="154">
      <c r="I142" s="153" t="n"/>
      <c r="J142" s="153" t="n"/>
      <c r="K142" s="153" t="n"/>
      <c r="L142" s="153" t="n"/>
      <c r="M142" s="153" t="n"/>
      <c r="N142" s="153" t="n"/>
      <c r="O142" s="153" t="n"/>
      <c r="P142" s="153" t="n"/>
      <c r="Q142" s="153" t="n"/>
      <c r="R142" s="153" t="n"/>
      <c r="S142" s="153" t="n"/>
      <c r="T142" s="153" t="n"/>
      <c r="U142" s="153" t="n"/>
      <c r="V142" s="153" t="n"/>
      <c r="W142" s="153" t="n"/>
      <c r="X142" s="153" t="n"/>
      <c r="Y142" s="153" t="n"/>
      <c r="Z142" s="153" t="n"/>
    </row>
    <row r="143" ht="15.75" customHeight="1" s="154">
      <c r="I143" s="153" t="n"/>
      <c r="J143" s="153" t="n"/>
      <c r="K143" s="153" t="n"/>
      <c r="L143" s="153" t="n"/>
      <c r="M143" s="153" t="n"/>
      <c r="N143" s="153" t="n"/>
      <c r="O143" s="153" t="n"/>
      <c r="P143" s="153" t="n"/>
      <c r="Q143" s="153" t="n"/>
      <c r="R143" s="153" t="n"/>
      <c r="S143" s="153" t="n"/>
      <c r="T143" s="153" t="n"/>
      <c r="U143" s="153" t="n"/>
      <c r="V143" s="153" t="n"/>
      <c r="W143" s="153" t="n"/>
      <c r="X143" s="153" t="n"/>
      <c r="Y143" s="153" t="n"/>
      <c r="Z143" s="153" t="n"/>
    </row>
    <row r="144" ht="15.75" customHeight="1" s="154">
      <c r="I144" s="153" t="n"/>
      <c r="J144" s="153" t="n"/>
      <c r="K144" s="153" t="n"/>
      <c r="L144" s="153" t="n"/>
      <c r="M144" s="153" t="n"/>
      <c r="N144" s="153" t="n"/>
      <c r="O144" s="153" t="n"/>
      <c r="P144" s="153" t="n"/>
      <c r="Q144" s="153" t="n"/>
      <c r="R144" s="153" t="n"/>
      <c r="S144" s="153" t="n"/>
      <c r="T144" s="153" t="n"/>
      <c r="U144" s="153" t="n"/>
      <c r="V144" s="153" t="n"/>
      <c r="W144" s="153" t="n"/>
      <c r="X144" s="153" t="n"/>
      <c r="Y144" s="153" t="n"/>
      <c r="Z144" s="153" t="n"/>
    </row>
    <row r="145" ht="15.75" customHeight="1" s="154">
      <c r="I145" s="153" t="n"/>
      <c r="J145" s="153" t="n"/>
      <c r="K145" s="153" t="n"/>
      <c r="L145" s="153" t="n"/>
      <c r="M145" s="153" t="n"/>
      <c r="N145" s="153" t="n"/>
      <c r="O145" s="153" t="n"/>
      <c r="P145" s="153" t="n"/>
      <c r="Q145" s="153" t="n"/>
      <c r="R145" s="153" t="n"/>
      <c r="S145" s="153" t="n"/>
      <c r="T145" s="153" t="n"/>
      <c r="U145" s="153" t="n"/>
      <c r="V145" s="153" t="n"/>
      <c r="W145" s="153" t="n"/>
      <c r="X145" s="153" t="n"/>
      <c r="Y145" s="153" t="n"/>
      <c r="Z145" s="153" t="n"/>
    </row>
    <row r="146" ht="15.75" customHeight="1" s="154">
      <c r="I146" s="153" t="n"/>
      <c r="J146" s="153" t="n"/>
      <c r="K146" s="153" t="n"/>
      <c r="L146" s="153" t="n"/>
      <c r="M146" s="153" t="n"/>
      <c r="N146" s="153" t="n"/>
      <c r="O146" s="153" t="n"/>
      <c r="P146" s="153" t="n"/>
      <c r="Q146" s="153" t="n"/>
      <c r="R146" s="153" t="n"/>
      <c r="S146" s="153" t="n"/>
      <c r="T146" s="153" t="n"/>
      <c r="U146" s="153" t="n"/>
      <c r="V146" s="153" t="n"/>
      <c r="W146" s="153" t="n"/>
      <c r="X146" s="153" t="n"/>
      <c r="Y146" s="153" t="n"/>
      <c r="Z146" s="153" t="n"/>
    </row>
    <row r="147" ht="15.75" customHeight="1" s="154">
      <c r="I147" s="153" t="n"/>
      <c r="J147" s="153" t="n"/>
      <c r="K147" s="153" t="n"/>
      <c r="L147" s="153" t="n"/>
      <c r="M147" s="153" t="n"/>
      <c r="N147" s="153" t="n"/>
      <c r="O147" s="153" t="n"/>
      <c r="P147" s="153" t="n"/>
      <c r="Q147" s="153" t="n"/>
      <c r="R147" s="153" t="n"/>
      <c r="S147" s="153" t="n"/>
      <c r="T147" s="153" t="n"/>
      <c r="U147" s="153" t="n"/>
      <c r="V147" s="153" t="n"/>
      <c r="W147" s="153" t="n"/>
      <c r="X147" s="153" t="n"/>
      <c r="Y147" s="153" t="n"/>
      <c r="Z147" s="153" t="n"/>
    </row>
    <row r="148" ht="15.75" customHeight="1" s="154">
      <c r="I148" s="153" t="n"/>
      <c r="J148" s="153" t="n"/>
      <c r="K148" s="153" t="n"/>
      <c r="L148" s="153" t="n"/>
      <c r="M148" s="153" t="n"/>
      <c r="N148" s="153" t="n"/>
      <c r="O148" s="153" t="n"/>
      <c r="P148" s="153" t="n"/>
      <c r="Q148" s="153" t="n"/>
      <c r="R148" s="153" t="n"/>
      <c r="S148" s="153" t="n"/>
      <c r="T148" s="153" t="n"/>
      <c r="U148" s="153" t="n"/>
      <c r="V148" s="153" t="n"/>
      <c r="W148" s="153" t="n"/>
      <c r="X148" s="153" t="n"/>
      <c r="Y148" s="153" t="n"/>
      <c r="Z148" s="153" t="n"/>
    </row>
    <row r="149" ht="15.75" customHeight="1" s="154">
      <c r="I149" s="153" t="n"/>
      <c r="J149" s="153" t="n"/>
      <c r="K149" s="153" t="n"/>
      <c r="L149" s="153" t="n"/>
      <c r="M149" s="153" t="n"/>
      <c r="N149" s="153" t="n"/>
      <c r="O149" s="153" t="n"/>
      <c r="P149" s="153" t="n"/>
      <c r="Q149" s="153" t="n"/>
      <c r="R149" s="153" t="n"/>
      <c r="S149" s="153" t="n"/>
      <c r="T149" s="153" t="n"/>
      <c r="U149" s="153" t="n"/>
      <c r="V149" s="153" t="n"/>
      <c r="W149" s="153" t="n"/>
      <c r="X149" s="153" t="n"/>
      <c r="Y149" s="153" t="n"/>
      <c r="Z149" s="153" t="n"/>
    </row>
    <row r="150" ht="15.75" customHeight="1" s="154">
      <c r="I150" s="153" t="n"/>
      <c r="J150" s="153" t="n"/>
      <c r="K150" s="153" t="n"/>
      <c r="L150" s="153" t="n"/>
      <c r="M150" s="153" t="n"/>
      <c r="N150" s="153" t="n"/>
      <c r="O150" s="153" t="n"/>
      <c r="P150" s="153" t="n"/>
      <c r="Q150" s="153" t="n"/>
      <c r="R150" s="153" t="n"/>
      <c r="S150" s="153" t="n"/>
      <c r="T150" s="153" t="n"/>
      <c r="U150" s="153" t="n"/>
      <c r="V150" s="153" t="n"/>
      <c r="W150" s="153" t="n"/>
      <c r="X150" s="153" t="n"/>
      <c r="Y150" s="153" t="n"/>
      <c r="Z150" s="153" t="n"/>
    </row>
    <row r="151" ht="15.75" customHeight="1" s="154">
      <c r="I151" s="153" t="n"/>
      <c r="J151" s="153" t="n"/>
      <c r="K151" s="153" t="n"/>
      <c r="L151" s="153" t="n"/>
      <c r="M151" s="153" t="n"/>
      <c r="N151" s="153" t="n"/>
      <c r="O151" s="153" t="n"/>
      <c r="P151" s="153" t="n"/>
      <c r="Q151" s="153" t="n"/>
      <c r="R151" s="153" t="n"/>
      <c r="S151" s="153" t="n"/>
      <c r="T151" s="153" t="n"/>
      <c r="U151" s="153" t="n"/>
      <c r="V151" s="153" t="n"/>
      <c r="W151" s="153" t="n"/>
      <c r="X151" s="153" t="n"/>
      <c r="Y151" s="153" t="n"/>
      <c r="Z151" s="153" t="n"/>
    </row>
    <row r="152" ht="15.75" customHeight="1" s="154">
      <c r="I152" s="153" t="n"/>
      <c r="J152" s="153" t="n"/>
      <c r="K152" s="153" t="n"/>
      <c r="L152" s="153" t="n"/>
      <c r="M152" s="153" t="n"/>
      <c r="N152" s="153" t="n"/>
      <c r="O152" s="153" t="n"/>
      <c r="P152" s="153" t="n"/>
      <c r="Q152" s="153" t="n"/>
      <c r="R152" s="153" t="n"/>
      <c r="S152" s="153" t="n"/>
      <c r="T152" s="153" t="n"/>
      <c r="U152" s="153" t="n"/>
      <c r="V152" s="153" t="n"/>
      <c r="W152" s="153" t="n"/>
      <c r="X152" s="153" t="n"/>
      <c r="Y152" s="153" t="n"/>
      <c r="Z152" s="153" t="n"/>
    </row>
    <row r="153" ht="15.75" customHeight="1" s="154">
      <c r="I153" s="153" t="n"/>
      <c r="J153" s="153" t="n"/>
      <c r="K153" s="153" t="n"/>
      <c r="L153" s="153" t="n"/>
      <c r="M153" s="153" t="n"/>
      <c r="N153" s="153" t="n"/>
      <c r="O153" s="153" t="n"/>
      <c r="P153" s="153" t="n"/>
      <c r="Q153" s="153" t="n"/>
      <c r="R153" s="153" t="n"/>
      <c r="S153" s="153" t="n"/>
      <c r="T153" s="153" t="n"/>
      <c r="U153" s="153" t="n"/>
      <c r="V153" s="153" t="n"/>
      <c r="W153" s="153" t="n"/>
      <c r="X153" s="153" t="n"/>
      <c r="Y153" s="153" t="n"/>
      <c r="Z153" s="153" t="n"/>
    </row>
    <row r="154" ht="15.75" customHeight="1" s="154">
      <c r="I154" s="153" t="n"/>
      <c r="J154" s="153" t="n"/>
      <c r="K154" s="153" t="n"/>
      <c r="L154" s="153" t="n"/>
      <c r="M154" s="153" t="n"/>
      <c r="N154" s="153" t="n"/>
      <c r="O154" s="153" t="n"/>
      <c r="P154" s="153" t="n"/>
      <c r="Q154" s="153" t="n"/>
      <c r="R154" s="153" t="n"/>
      <c r="S154" s="153" t="n"/>
      <c r="T154" s="153" t="n"/>
      <c r="U154" s="153" t="n"/>
      <c r="V154" s="153" t="n"/>
      <c r="W154" s="153" t="n"/>
      <c r="X154" s="153" t="n"/>
      <c r="Y154" s="153" t="n"/>
      <c r="Z154" s="153" t="n"/>
    </row>
    <row r="155" ht="15.75" customHeight="1" s="154">
      <c r="I155" s="153" t="n"/>
      <c r="J155" s="153" t="n"/>
      <c r="K155" s="153" t="n"/>
      <c r="L155" s="153" t="n"/>
      <c r="M155" s="153" t="n"/>
      <c r="N155" s="153" t="n"/>
      <c r="O155" s="153" t="n"/>
      <c r="P155" s="153" t="n"/>
      <c r="Q155" s="153" t="n"/>
      <c r="R155" s="153" t="n"/>
      <c r="S155" s="153" t="n"/>
      <c r="T155" s="153" t="n"/>
      <c r="U155" s="153" t="n"/>
      <c r="V155" s="153" t="n"/>
      <c r="W155" s="153" t="n"/>
      <c r="X155" s="153" t="n"/>
      <c r="Y155" s="153" t="n"/>
      <c r="Z155" s="153" t="n"/>
    </row>
    <row r="156" ht="15.75" customHeight="1" s="154">
      <c r="I156" s="153" t="n"/>
      <c r="J156" s="153" t="n"/>
      <c r="K156" s="153" t="n"/>
      <c r="L156" s="153" t="n"/>
      <c r="M156" s="153" t="n"/>
      <c r="N156" s="153" t="n"/>
      <c r="O156" s="153" t="n"/>
      <c r="P156" s="153" t="n"/>
      <c r="Q156" s="153" t="n"/>
      <c r="R156" s="153" t="n"/>
      <c r="S156" s="153" t="n"/>
      <c r="T156" s="153" t="n"/>
      <c r="U156" s="153" t="n"/>
      <c r="V156" s="153" t="n"/>
      <c r="W156" s="153" t="n"/>
      <c r="X156" s="153" t="n"/>
      <c r="Y156" s="153" t="n"/>
      <c r="Z156" s="153" t="n"/>
    </row>
    <row r="157" ht="15.75" customHeight="1" s="154">
      <c r="I157" s="153" t="n"/>
      <c r="J157" s="153" t="n"/>
      <c r="K157" s="153" t="n"/>
      <c r="L157" s="153" t="n"/>
      <c r="M157" s="153" t="n"/>
      <c r="N157" s="153" t="n"/>
      <c r="O157" s="153" t="n"/>
      <c r="P157" s="153" t="n"/>
      <c r="Q157" s="153" t="n"/>
      <c r="R157" s="153" t="n"/>
      <c r="S157" s="153" t="n"/>
      <c r="T157" s="153" t="n"/>
      <c r="U157" s="153" t="n"/>
      <c r="V157" s="153" t="n"/>
      <c r="W157" s="153" t="n"/>
      <c r="X157" s="153" t="n"/>
      <c r="Y157" s="153" t="n"/>
      <c r="Z157" s="153" t="n"/>
    </row>
    <row r="158" ht="15.75" customHeight="1" s="154">
      <c r="I158" s="153" t="n"/>
      <c r="J158" s="153" t="n"/>
      <c r="K158" s="153" t="n"/>
      <c r="L158" s="153" t="n"/>
      <c r="M158" s="153" t="n"/>
      <c r="N158" s="153" t="n"/>
      <c r="O158" s="153" t="n"/>
      <c r="P158" s="153" t="n"/>
      <c r="Q158" s="153" t="n"/>
      <c r="R158" s="153" t="n"/>
      <c r="S158" s="153" t="n"/>
      <c r="T158" s="153" t="n"/>
      <c r="U158" s="153" t="n"/>
      <c r="V158" s="153" t="n"/>
      <c r="W158" s="153" t="n"/>
      <c r="X158" s="153" t="n"/>
      <c r="Y158" s="153" t="n"/>
      <c r="Z158" s="153" t="n"/>
    </row>
    <row r="159" ht="15.75" customHeight="1" s="154">
      <c r="I159" s="153" t="n"/>
      <c r="J159" s="153" t="n"/>
      <c r="K159" s="153" t="n"/>
      <c r="L159" s="153" t="n"/>
      <c r="M159" s="153" t="n"/>
      <c r="N159" s="153" t="n"/>
      <c r="O159" s="153" t="n"/>
      <c r="P159" s="153" t="n"/>
      <c r="Q159" s="153" t="n"/>
      <c r="R159" s="153" t="n"/>
      <c r="S159" s="153" t="n"/>
      <c r="T159" s="153" t="n"/>
      <c r="U159" s="153" t="n"/>
      <c r="V159" s="153" t="n"/>
      <c r="W159" s="153" t="n"/>
      <c r="X159" s="153" t="n"/>
      <c r="Y159" s="153" t="n"/>
      <c r="Z159" s="153" t="n"/>
    </row>
    <row r="160" ht="15.75" customHeight="1" s="154">
      <c r="I160" s="153" t="n"/>
      <c r="J160" s="153" t="n"/>
      <c r="K160" s="153" t="n"/>
      <c r="L160" s="153" t="n"/>
      <c r="M160" s="153" t="n"/>
      <c r="N160" s="153" t="n"/>
      <c r="O160" s="153" t="n"/>
      <c r="P160" s="153" t="n"/>
      <c r="Q160" s="153" t="n"/>
      <c r="R160" s="153" t="n"/>
      <c r="S160" s="153" t="n"/>
      <c r="T160" s="153" t="n"/>
      <c r="U160" s="153" t="n"/>
      <c r="V160" s="153" t="n"/>
      <c r="W160" s="153" t="n"/>
      <c r="X160" s="153" t="n"/>
      <c r="Y160" s="153" t="n"/>
      <c r="Z160" s="153" t="n"/>
    </row>
    <row r="161" ht="15.75" customHeight="1" s="154">
      <c r="I161" s="153" t="n"/>
      <c r="J161" s="153" t="n"/>
      <c r="K161" s="153" t="n"/>
      <c r="L161" s="153" t="n"/>
      <c r="M161" s="153" t="n"/>
      <c r="N161" s="153" t="n"/>
      <c r="O161" s="153" t="n"/>
      <c r="P161" s="153" t="n"/>
      <c r="Q161" s="153" t="n"/>
      <c r="R161" s="153" t="n"/>
      <c r="S161" s="153" t="n"/>
      <c r="T161" s="153" t="n"/>
      <c r="U161" s="153" t="n"/>
      <c r="V161" s="153" t="n"/>
      <c r="W161" s="153" t="n"/>
      <c r="X161" s="153" t="n"/>
      <c r="Y161" s="153" t="n"/>
      <c r="Z161" s="153" t="n"/>
    </row>
    <row r="162" ht="15.75" customHeight="1" s="154">
      <c r="I162" s="153" t="n"/>
      <c r="J162" s="153" t="n"/>
      <c r="K162" s="153" t="n"/>
      <c r="L162" s="153" t="n"/>
      <c r="M162" s="153" t="n"/>
      <c r="N162" s="153" t="n"/>
      <c r="O162" s="153" t="n"/>
      <c r="P162" s="153" t="n"/>
      <c r="Q162" s="153" t="n"/>
      <c r="R162" s="153" t="n"/>
      <c r="S162" s="153" t="n"/>
      <c r="T162" s="153" t="n"/>
      <c r="U162" s="153" t="n"/>
      <c r="V162" s="153" t="n"/>
      <c r="W162" s="153" t="n"/>
      <c r="X162" s="153" t="n"/>
      <c r="Y162" s="153" t="n"/>
      <c r="Z162" s="153" t="n"/>
    </row>
    <row r="163" ht="15.75" customHeight="1" s="154">
      <c r="I163" s="153" t="n"/>
      <c r="J163" s="153" t="n"/>
      <c r="K163" s="153" t="n"/>
      <c r="L163" s="153" t="n"/>
      <c r="M163" s="153" t="n"/>
      <c r="N163" s="153" t="n"/>
      <c r="O163" s="153" t="n"/>
      <c r="P163" s="153" t="n"/>
      <c r="Q163" s="153" t="n"/>
      <c r="R163" s="153" t="n"/>
      <c r="S163" s="153" t="n"/>
      <c r="T163" s="153" t="n"/>
      <c r="U163" s="153" t="n"/>
      <c r="V163" s="153" t="n"/>
      <c r="W163" s="153" t="n"/>
      <c r="X163" s="153" t="n"/>
      <c r="Y163" s="153" t="n"/>
      <c r="Z163" s="153" t="n"/>
    </row>
    <row r="164" ht="15.75" customHeight="1" s="154">
      <c r="I164" s="153" t="n"/>
      <c r="J164" s="153" t="n"/>
      <c r="K164" s="153" t="n"/>
      <c r="L164" s="153" t="n"/>
      <c r="M164" s="153" t="n"/>
      <c r="N164" s="153" t="n"/>
      <c r="O164" s="153" t="n"/>
      <c r="P164" s="153" t="n"/>
      <c r="Q164" s="153" t="n"/>
      <c r="R164" s="153" t="n"/>
      <c r="S164" s="153" t="n"/>
      <c r="T164" s="153" t="n"/>
      <c r="U164" s="153" t="n"/>
      <c r="V164" s="153" t="n"/>
      <c r="W164" s="153" t="n"/>
      <c r="X164" s="153" t="n"/>
      <c r="Y164" s="153" t="n"/>
      <c r="Z164" s="153" t="n"/>
    </row>
    <row r="165" ht="15.75" customHeight="1" s="154">
      <c r="I165" s="153" t="n"/>
      <c r="J165" s="153" t="n"/>
      <c r="K165" s="153" t="n"/>
      <c r="L165" s="153" t="n"/>
      <c r="M165" s="153" t="n"/>
      <c r="N165" s="153" t="n"/>
      <c r="O165" s="153" t="n"/>
      <c r="P165" s="153" t="n"/>
      <c r="Q165" s="153" t="n"/>
      <c r="R165" s="153" t="n"/>
      <c r="S165" s="153" t="n"/>
      <c r="T165" s="153" t="n"/>
      <c r="U165" s="153" t="n"/>
      <c r="V165" s="153" t="n"/>
      <c r="W165" s="153" t="n"/>
      <c r="X165" s="153" t="n"/>
      <c r="Y165" s="153" t="n"/>
      <c r="Z165" s="153" t="n"/>
    </row>
    <row r="166" ht="15.75" customHeight="1" s="154">
      <c r="I166" s="153" t="n"/>
      <c r="J166" s="153" t="n"/>
      <c r="K166" s="153" t="n"/>
      <c r="L166" s="153" t="n"/>
      <c r="M166" s="153" t="n"/>
      <c r="N166" s="153" t="n"/>
      <c r="O166" s="153" t="n"/>
      <c r="P166" s="153" t="n"/>
      <c r="Q166" s="153" t="n"/>
      <c r="R166" s="153" t="n"/>
      <c r="S166" s="153" t="n"/>
      <c r="T166" s="153" t="n"/>
      <c r="U166" s="153" t="n"/>
      <c r="V166" s="153" t="n"/>
      <c r="W166" s="153" t="n"/>
      <c r="X166" s="153" t="n"/>
      <c r="Y166" s="153" t="n"/>
      <c r="Z166" s="153" t="n"/>
    </row>
    <row r="167" ht="15.75" customHeight="1" s="154">
      <c r="I167" s="153" t="n"/>
      <c r="J167" s="153" t="n"/>
      <c r="K167" s="153" t="n"/>
      <c r="L167" s="153" t="n"/>
      <c r="M167" s="153" t="n"/>
      <c r="N167" s="153" t="n"/>
      <c r="O167" s="153" t="n"/>
      <c r="P167" s="153" t="n"/>
      <c r="Q167" s="153" t="n"/>
      <c r="R167" s="153" t="n"/>
      <c r="S167" s="153" t="n"/>
      <c r="T167" s="153" t="n"/>
      <c r="U167" s="153" t="n"/>
      <c r="V167" s="153" t="n"/>
      <c r="W167" s="153" t="n"/>
      <c r="X167" s="153" t="n"/>
      <c r="Y167" s="153" t="n"/>
      <c r="Z167" s="153" t="n"/>
    </row>
    <row r="168" ht="15.75" customHeight="1" s="154">
      <c r="I168" s="153" t="n"/>
      <c r="J168" s="153" t="n"/>
      <c r="K168" s="153" t="n"/>
      <c r="L168" s="153" t="n"/>
      <c r="M168" s="153" t="n"/>
      <c r="N168" s="153" t="n"/>
      <c r="O168" s="153" t="n"/>
      <c r="P168" s="153" t="n"/>
      <c r="Q168" s="153" t="n"/>
      <c r="R168" s="153" t="n"/>
      <c r="S168" s="153" t="n"/>
      <c r="T168" s="153" t="n"/>
      <c r="U168" s="153" t="n"/>
      <c r="V168" s="153" t="n"/>
      <c r="W168" s="153" t="n"/>
      <c r="X168" s="153" t="n"/>
      <c r="Y168" s="153" t="n"/>
      <c r="Z168" s="153" t="n"/>
    </row>
    <row r="169" ht="15.75" customHeight="1" s="154">
      <c r="I169" s="153" t="n"/>
      <c r="J169" s="153" t="n"/>
      <c r="K169" s="153" t="n"/>
      <c r="L169" s="153" t="n"/>
      <c r="M169" s="153" t="n"/>
      <c r="N169" s="153" t="n"/>
      <c r="O169" s="153" t="n"/>
      <c r="P169" s="153" t="n"/>
      <c r="Q169" s="153" t="n"/>
      <c r="R169" s="153" t="n"/>
      <c r="S169" s="153" t="n"/>
      <c r="T169" s="153" t="n"/>
      <c r="U169" s="153" t="n"/>
      <c r="V169" s="153" t="n"/>
      <c r="W169" s="153" t="n"/>
      <c r="X169" s="153" t="n"/>
      <c r="Y169" s="153" t="n"/>
      <c r="Z169" s="153" t="n"/>
    </row>
    <row r="170" ht="15.75" customHeight="1" s="154">
      <c r="I170" s="153" t="n"/>
      <c r="J170" s="153" t="n"/>
      <c r="K170" s="153" t="n"/>
      <c r="L170" s="153" t="n"/>
      <c r="M170" s="153" t="n"/>
      <c r="N170" s="153" t="n"/>
      <c r="O170" s="153" t="n"/>
      <c r="P170" s="153" t="n"/>
      <c r="Q170" s="153" t="n"/>
      <c r="R170" s="153" t="n"/>
      <c r="S170" s="153" t="n"/>
      <c r="T170" s="153" t="n"/>
      <c r="U170" s="153" t="n"/>
      <c r="V170" s="153" t="n"/>
      <c r="W170" s="153" t="n"/>
      <c r="X170" s="153" t="n"/>
      <c r="Y170" s="153" t="n"/>
      <c r="Z170" s="153" t="n"/>
    </row>
    <row r="171" ht="15.75" customHeight="1" s="154">
      <c r="I171" s="153" t="n"/>
      <c r="J171" s="153" t="n"/>
      <c r="K171" s="153" t="n"/>
      <c r="L171" s="153" t="n"/>
      <c r="M171" s="153" t="n"/>
      <c r="N171" s="153" t="n"/>
      <c r="O171" s="153" t="n"/>
      <c r="P171" s="153" t="n"/>
      <c r="Q171" s="153" t="n"/>
      <c r="R171" s="153" t="n"/>
      <c r="S171" s="153" t="n"/>
      <c r="T171" s="153" t="n"/>
      <c r="U171" s="153" t="n"/>
      <c r="V171" s="153" t="n"/>
      <c r="W171" s="153" t="n"/>
      <c r="X171" s="153" t="n"/>
      <c r="Y171" s="153" t="n"/>
      <c r="Z171" s="153" t="n"/>
    </row>
    <row r="172" ht="15.75" customHeight="1" s="154">
      <c r="I172" s="153" t="n"/>
      <c r="J172" s="153" t="n"/>
      <c r="K172" s="153" t="n"/>
      <c r="L172" s="153" t="n"/>
      <c r="M172" s="153" t="n"/>
      <c r="N172" s="153" t="n"/>
      <c r="O172" s="153" t="n"/>
      <c r="P172" s="153" t="n"/>
      <c r="Q172" s="153" t="n"/>
      <c r="R172" s="153" t="n"/>
      <c r="S172" s="153" t="n"/>
      <c r="T172" s="153" t="n"/>
      <c r="U172" s="153" t="n"/>
      <c r="V172" s="153" t="n"/>
      <c r="W172" s="153" t="n"/>
      <c r="X172" s="153" t="n"/>
      <c r="Y172" s="153" t="n"/>
      <c r="Z172" s="153" t="n"/>
    </row>
    <row r="173" ht="15.75" customHeight="1" s="154">
      <c r="I173" s="153" t="n"/>
      <c r="J173" s="153" t="n"/>
      <c r="K173" s="153" t="n"/>
      <c r="L173" s="153" t="n"/>
      <c r="M173" s="153" t="n"/>
      <c r="N173" s="153" t="n"/>
      <c r="O173" s="153" t="n"/>
      <c r="P173" s="153" t="n"/>
      <c r="Q173" s="153" t="n"/>
      <c r="R173" s="153" t="n"/>
      <c r="S173" s="153" t="n"/>
      <c r="T173" s="153" t="n"/>
      <c r="U173" s="153" t="n"/>
      <c r="V173" s="153" t="n"/>
      <c r="W173" s="153" t="n"/>
      <c r="X173" s="153" t="n"/>
      <c r="Y173" s="153" t="n"/>
      <c r="Z173" s="153" t="n"/>
    </row>
    <row r="174" ht="15.75" customHeight="1" s="154">
      <c r="I174" s="153" t="n"/>
      <c r="J174" s="153" t="n"/>
      <c r="K174" s="153" t="n"/>
      <c r="L174" s="153" t="n"/>
      <c r="M174" s="153" t="n"/>
      <c r="N174" s="153" t="n"/>
      <c r="O174" s="153" t="n"/>
      <c r="P174" s="153" t="n"/>
      <c r="Q174" s="153" t="n"/>
      <c r="R174" s="153" t="n"/>
      <c r="S174" s="153" t="n"/>
      <c r="T174" s="153" t="n"/>
      <c r="U174" s="153" t="n"/>
      <c r="V174" s="153" t="n"/>
      <c r="W174" s="153" t="n"/>
      <c r="X174" s="153" t="n"/>
      <c r="Y174" s="153" t="n"/>
      <c r="Z174" s="153" t="n"/>
    </row>
    <row r="175" ht="15.75" customHeight="1" s="154">
      <c r="I175" s="153" t="n"/>
      <c r="J175" s="153" t="n"/>
      <c r="K175" s="153" t="n"/>
      <c r="L175" s="153" t="n"/>
      <c r="M175" s="153" t="n"/>
      <c r="N175" s="153" t="n"/>
      <c r="O175" s="153" t="n"/>
      <c r="P175" s="153" t="n"/>
      <c r="Q175" s="153" t="n"/>
      <c r="R175" s="153" t="n"/>
      <c r="S175" s="153" t="n"/>
      <c r="T175" s="153" t="n"/>
      <c r="U175" s="153" t="n"/>
      <c r="V175" s="153" t="n"/>
      <c r="W175" s="153" t="n"/>
      <c r="X175" s="153" t="n"/>
      <c r="Y175" s="153" t="n"/>
      <c r="Z175" s="153" t="n"/>
    </row>
    <row r="176" ht="15.75" customHeight="1" s="154">
      <c r="I176" s="153" t="n"/>
      <c r="J176" s="153" t="n"/>
      <c r="K176" s="153" t="n"/>
      <c r="L176" s="153" t="n"/>
      <c r="M176" s="153" t="n"/>
      <c r="N176" s="153" t="n"/>
      <c r="O176" s="153" t="n"/>
      <c r="P176" s="153" t="n"/>
      <c r="Q176" s="153" t="n"/>
      <c r="R176" s="153" t="n"/>
      <c r="S176" s="153" t="n"/>
      <c r="T176" s="153" t="n"/>
      <c r="U176" s="153" t="n"/>
      <c r="V176" s="153" t="n"/>
      <c r="W176" s="153" t="n"/>
      <c r="X176" s="153" t="n"/>
      <c r="Y176" s="153" t="n"/>
      <c r="Z176" s="153" t="n"/>
    </row>
    <row r="177" ht="15.75" customHeight="1" s="154">
      <c r="I177" s="153" t="n"/>
      <c r="J177" s="153" t="n"/>
      <c r="K177" s="153" t="n"/>
      <c r="L177" s="153" t="n"/>
      <c r="M177" s="153" t="n"/>
      <c r="N177" s="153" t="n"/>
      <c r="O177" s="153" t="n"/>
      <c r="P177" s="153" t="n"/>
      <c r="Q177" s="153" t="n"/>
      <c r="R177" s="153" t="n"/>
      <c r="S177" s="153" t="n"/>
      <c r="T177" s="153" t="n"/>
      <c r="U177" s="153" t="n"/>
      <c r="V177" s="153" t="n"/>
      <c r="W177" s="153" t="n"/>
      <c r="X177" s="153" t="n"/>
      <c r="Y177" s="153" t="n"/>
      <c r="Z177" s="153" t="n"/>
    </row>
    <row r="178" ht="15.75" customHeight="1" s="154">
      <c r="I178" s="153" t="n"/>
      <c r="J178" s="153" t="n"/>
      <c r="K178" s="153" t="n"/>
      <c r="L178" s="153" t="n"/>
      <c r="M178" s="153" t="n"/>
      <c r="N178" s="153" t="n"/>
      <c r="O178" s="153" t="n"/>
      <c r="P178" s="153" t="n"/>
      <c r="Q178" s="153" t="n"/>
      <c r="R178" s="153" t="n"/>
      <c r="S178" s="153" t="n"/>
      <c r="T178" s="153" t="n"/>
      <c r="U178" s="153" t="n"/>
      <c r="V178" s="153" t="n"/>
      <c r="W178" s="153" t="n"/>
      <c r="X178" s="153" t="n"/>
      <c r="Y178" s="153" t="n"/>
      <c r="Z178" s="153" t="n"/>
    </row>
    <row r="179" ht="15.75" customHeight="1" s="154">
      <c r="I179" s="153" t="n"/>
      <c r="J179" s="153" t="n"/>
      <c r="K179" s="153" t="n"/>
      <c r="L179" s="153" t="n"/>
      <c r="M179" s="153" t="n"/>
      <c r="N179" s="153" t="n"/>
      <c r="O179" s="153" t="n"/>
      <c r="P179" s="153" t="n"/>
      <c r="Q179" s="153" t="n"/>
      <c r="R179" s="153" t="n"/>
      <c r="S179" s="153" t="n"/>
      <c r="T179" s="153" t="n"/>
      <c r="U179" s="153" t="n"/>
      <c r="V179" s="153" t="n"/>
      <c r="W179" s="153" t="n"/>
      <c r="X179" s="153" t="n"/>
      <c r="Y179" s="153" t="n"/>
      <c r="Z179" s="153" t="n"/>
    </row>
    <row r="180" ht="15.75" customHeight="1" s="154">
      <c r="I180" s="153" t="n"/>
      <c r="J180" s="153" t="n"/>
      <c r="K180" s="153" t="n"/>
      <c r="L180" s="153" t="n"/>
      <c r="M180" s="153" t="n"/>
      <c r="N180" s="153" t="n"/>
      <c r="O180" s="153" t="n"/>
      <c r="P180" s="153" t="n"/>
      <c r="Q180" s="153" t="n"/>
      <c r="R180" s="153" t="n"/>
      <c r="S180" s="153" t="n"/>
      <c r="T180" s="153" t="n"/>
      <c r="U180" s="153" t="n"/>
      <c r="V180" s="153" t="n"/>
      <c r="W180" s="153" t="n"/>
      <c r="X180" s="153" t="n"/>
      <c r="Y180" s="153" t="n"/>
      <c r="Z180" s="153" t="n"/>
    </row>
    <row r="181" ht="15.75" customHeight="1" s="154">
      <c r="I181" s="153" t="n"/>
      <c r="J181" s="153" t="n"/>
      <c r="K181" s="153" t="n"/>
      <c r="L181" s="153" t="n"/>
      <c r="M181" s="153" t="n"/>
      <c r="N181" s="153" t="n"/>
      <c r="O181" s="153" t="n"/>
      <c r="P181" s="153" t="n"/>
      <c r="Q181" s="153" t="n"/>
      <c r="R181" s="153" t="n"/>
      <c r="S181" s="153" t="n"/>
      <c r="T181" s="153" t="n"/>
      <c r="U181" s="153" t="n"/>
      <c r="V181" s="153" t="n"/>
      <c r="W181" s="153" t="n"/>
      <c r="X181" s="153" t="n"/>
      <c r="Y181" s="153" t="n"/>
      <c r="Z181" s="153" t="n"/>
    </row>
    <row r="182" ht="15.75" customHeight="1" s="154">
      <c r="I182" s="153" t="n"/>
      <c r="J182" s="153" t="n"/>
      <c r="K182" s="153" t="n"/>
      <c r="L182" s="153" t="n"/>
      <c r="M182" s="153" t="n"/>
      <c r="N182" s="153" t="n"/>
      <c r="O182" s="153" t="n"/>
      <c r="P182" s="153" t="n"/>
      <c r="Q182" s="153" t="n"/>
      <c r="R182" s="153" t="n"/>
      <c r="S182" s="153" t="n"/>
      <c r="T182" s="153" t="n"/>
      <c r="U182" s="153" t="n"/>
      <c r="V182" s="153" t="n"/>
      <c r="W182" s="153" t="n"/>
      <c r="X182" s="153" t="n"/>
      <c r="Y182" s="153" t="n"/>
      <c r="Z182" s="153" t="n"/>
    </row>
    <row r="183" ht="15.75" customHeight="1" s="154">
      <c r="I183" s="153" t="n"/>
      <c r="J183" s="153" t="n"/>
      <c r="K183" s="153" t="n"/>
      <c r="L183" s="153" t="n"/>
      <c r="M183" s="153" t="n"/>
      <c r="N183" s="153" t="n"/>
      <c r="O183" s="153" t="n"/>
      <c r="P183" s="153" t="n"/>
      <c r="Q183" s="153" t="n"/>
      <c r="R183" s="153" t="n"/>
      <c r="S183" s="153" t="n"/>
      <c r="T183" s="153" t="n"/>
      <c r="U183" s="153" t="n"/>
      <c r="V183" s="153" t="n"/>
      <c r="W183" s="153" t="n"/>
      <c r="X183" s="153" t="n"/>
      <c r="Y183" s="153" t="n"/>
      <c r="Z183" s="153" t="n"/>
    </row>
    <row r="184" ht="15.75" customHeight="1" s="154">
      <c r="I184" s="153" t="n"/>
      <c r="J184" s="153" t="n"/>
      <c r="K184" s="153" t="n"/>
      <c r="L184" s="153" t="n"/>
      <c r="M184" s="153" t="n"/>
      <c r="N184" s="153" t="n"/>
      <c r="O184" s="153" t="n"/>
      <c r="P184" s="153" t="n"/>
      <c r="Q184" s="153" t="n"/>
      <c r="R184" s="153" t="n"/>
      <c r="S184" s="153" t="n"/>
      <c r="T184" s="153" t="n"/>
      <c r="U184" s="153" t="n"/>
      <c r="V184" s="153" t="n"/>
      <c r="W184" s="153" t="n"/>
      <c r="X184" s="153" t="n"/>
      <c r="Y184" s="153" t="n"/>
      <c r="Z184" s="153" t="n"/>
    </row>
    <row r="185" ht="15.75" customHeight="1" s="154">
      <c r="I185" s="153" t="n"/>
      <c r="J185" s="153" t="n"/>
      <c r="K185" s="153" t="n"/>
      <c r="L185" s="153" t="n"/>
      <c r="M185" s="153" t="n"/>
      <c r="N185" s="153" t="n"/>
      <c r="O185" s="153" t="n"/>
      <c r="P185" s="153" t="n"/>
      <c r="Q185" s="153" t="n"/>
      <c r="R185" s="153" t="n"/>
      <c r="S185" s="153" t="n"/>
      <c r="T185" s="153" t="n"/>
      <c r="U185" s="153" t="n"/>
      <c r="V185" s="153" t="n"/>
      <c r="W185" s="153" t="n"/>
      <c r="X185" s="153" t="n"/>
      <c r="Y185" s="153" t="n"/>
      <c r="Z185" s="153" t="n"/>
    </row>
    <row r="186" ht="15.75" customHeight="1" s="154">
      <c r="I186" s="153" t="n"/>
      <c r="J186" s="153" t="n"/>
      <c r="K186" s="153" t="n"/>
      <c r="L186" s="153" t="n"/>
      <c r="M186" s="153" t="n"/>
      <c r="N186" s="153" t="n"/>
      <c r="O186" s="153" t="n"/>
      <c r="P186" s="153" t="n"/>
      <c r="Q186" s="153" t="n"/>
      <c r="R186" s="153" t="n"/>
      <c r="S186" s="153" t="n"/>
      <c r="T186" s="153" t="n"/>
      <c r="U186" s="153" t="n"/>
      <c r="V186" s="153" t="n"/>
      <c r="W186" s="153" t="n"/>
      <c r="X186" s="153" t="n"/>
      <c r="Y186" s="153" t="n"/>
      <c r="Z186" s="153" t="n"/>
    </row>
    <row r="187" ht="15.75" customHeight="1" s="154">
      <c r="I187" s="153" t="n"/>
      <c r="J187" s="153" t="n"/>
      <c r="K187" s="153" t="n"/>
      <c r="L187" s="153" t="n"/>
      <c r="M187" s="153" t="n"/>
      <c r="N187" s="153" t="n"/>
      <c r="O187" s="153" t="n"/>
      <c r="P187" s="153" t="n"/>
      <c r="Q187" s="153" t="n"/>
      <c r="R187" s="153" t="n"/>
      <c r="S187" s="153" t="n"/>
      <c r="T187" s="153" t="n"/>
      <c r="U187" s="153" t="n"/>
      <c r="V187" s="153" t="n"/>
      <c r="W187" s="153" t="n"/>
      <c r="X187" s="153" t="n"/>
      <c r="Y187" s="153" t="n"/>
      <c r="Z187" s="153" t="n"/>
    </row>
    <row r="188" ht="15.75" customHeight="1" s="154">
      <c r="I188" s="153" t="n"/>
      <c r="J188" s="153" t="n"/>
      <c r="K188" s="153" t="n"/>
      <c r="L188" s="153" t="n"/>
      <c r="M188" s="153" t="n"/>
      <c r="N188" s="153" t="n"/>
      <c r="O188" s="153" t="n"/>
      <c r="P188" s="153" t="n"/>
      <c r="Q188" s="153" t="n"/>
      <c r="R188" s="153" t="n"/>
      <c r="S188" s="153" t="n"/>
      <c r="T188" s="153" t="n"/>
      <c r="U188" s="153" t="n"/>
      <c r="V188" s="153" t="n"/>
      <c r="W188" s="153" t="n"/>
      <c r="X188" s="153" t="n"/>
      <c r="Y188" s="153" t="n"/>
      <c r="Z188" s="153" t="n"/>
    </row>
    <row r="189" ht="15.75" customHeight="1" s="154">
      <c r="I189" s="153" t="n"/>
      <c r="J189" s="153" t="n"/>
      <c r="K189" s="153" t="n"/>
      <c r="L189" s="153" t="n"/>
      <c r="M189" s="153" t="n"/>
      <c r="N189" s="153" t="n"/>
      <c r="O189" s="153" t="n"/>
      <c r="P189" s="153" t="n"/>
      <c r="Q189" s="153" t="n"/>
      <c r="R189" s="153" t="n"/>
      <c r="S189" s="153" t="n"/>
      <c r="T189" s="153" t="n"/>
      <c r="U189" s="153" t="n"/>
      <c r="V189" s="153" t="n"/>
      <c r="W189" s="153" t="n"/>
      <c r="X189" s="153" t="n"/>
      <c r="Y189" s="153" t="n"/>
      <c r="Z189" s="153" t="n"/>
    </row>
    <row r="190" ht="15.75" customHeight="1" s="154">
      <c r="I190" s="153" t="n"/>
      <c r="J190" s="153" t="n"/>
      <c r="K190" s="153" t="n"/>
      <c r="L190" s="153" t="n"/>
      <c r="M190" s="153" t="n"/>
      <c r="N190" s="153" t="n"/>
      <c r="O190" s="153" t="n"/>
      <c r="P190" s="153" t="n"/>
      <c r="Q190" s="153" t="n"/>
      <c r="R190" s="153" t="n"/>
      <c r="S190" s="153" t="n"/>
      <c r="T190" s="153" t="n"/>
      <c r="U190" s="153" t="n"/>
      <c r="V190" s="153" t="n"/>
      <c r="W190" s="153" t="n"/>
      <c r="X190" s="153" t="n"/>
      <c r="Y190" s="153" t="n"/>
      <c r="Z190" s="153" t="n"/>
    </row>
    <row r="191" ht="15.75" customHeight="1" s="154">
      <c r="I191" s="153" t="n"/>
      <c r="J191" s="153" t="n"/>
      <c r="K191" s="153" t="n"/>
      <c r="L191" s="153" t="n"/>
      <c r="M191" s="153" t="n"/>
      <c r="N191" s="153" t="n"/>
      <c r="O191" s="153" t="n"/>
      <c r="P191" s="153" t="n"/>
      <c r="Q191" s="153" t="n"/>
      <c r="R191" s="153" t="n"/>
      <c r="S191" s="153" t="n"/>
      <c r="T191" s="153" t="n"/>
      <c r="U191" s="153" t="n"/>
      <c r="V191" s="153" t="n"/>
      <c r="W191" s="153" t="n"/>
      <c r="X191" s="153" t="n"/>
      <c r="Y191" s="153" t="n"/>
      <c r="Z191" s="153" t="n"/>
    </row>
    <row r="192" ht="15.75" customHeight="1" s="154">
      <c r="I192" s="153" t="n"/>
      <c r="J192" s="153" t="n"/>
      <c r="K192" s="153" t="n"/>
      <c r="L192" s="153" t="n"/>
      <c r="M192" s="153" t="n"/>
      <c r="N192" s="153" t="n"/>
      <c r="O192" s="153" t="n"/>
      <c r="P192" s="153" t="n"/>
      <c r="Q192" s="153" t="n"/>
      <c r="R192" s="153" t="n"/>
      <c r="S192" s="153" t="n"/>
      <c r="T192" s="153" t="n"/>
      <c r="U192" s="153" t="n"/>
      <c r="V192" s="153" t="n"/>
      <c r="W192" s="153" t="n"/>
      <c r="X192" s="153" t="n"/>
      <c r="Y192" s="153" t="n"/>
      <c r="Z192" s="153" t="n"/>
    </row>
    <row r="193" ht="15.75" customHeight="1" s="154">
      <c r="I193" s="153" t="n"/>
      <c r="J193" s="153" t="n"/>
      <c r="K193" s="153" t="n"/>
      <c r="L193" s="153" t="n"/>
      <c r="M193" s="153" t="n"/>
      <c r="N193" s="153" t="n"/>
      <c r="O193" s="153" t="n"/>
      <c r="P193" s="153" t="n"/>
      <c r="Q193" s="153" t="n"/>
      <c r="R193" s="153" t="n"/>
      <c r="S193" s="153" t="n"/>
      <c r="T193" s="153" t="n"/>
      <c r="U193" s="153" t="n"/>
      <c r="V193" s="153" t="n"/>
      <c r="W193" s="153" t="n"/>
      <c r="X193" s="153" t="n"/>
      <c r="Y193" s="153" t="n"/>
      <c r="Z193" s="153" t="n"/>
    </row>
    <row r="194" ht="15.75" customHeight="1" s="154">
      <c r="I194" s="153" t="n"/>
      <c r="J194" s="153" t="n"/>
      <c r="K194" s="153" t="n"/>
      <c r="L194" s="153" t="n"/>
      <c r="M194" s="153" t="n"/>
      <c r="N194" s="153" t="n"/>
      <c r="O194" s="153" t="n"/>
      <c r="P194" s="153" t="n"/>
      <c r="Q194" s="153" t="n"/>
      <c r="R194" s="153" t="n"/>
      <c r="S194" s="153" t="n"/>
      <c r="T194" s="153" t="n"/>
      <c r="U194" s="153" t="n"/>
      <c r="V194" s="153" t="n"/>
      <c r="W194" s="153" t="n"/>
      <c r="X194" s="153" t="n"/>
      <c r="Y194" s="153" t="n"/>
      <c r="Z194" s="153" t="n"/>
    </row>
    <row r="195" ht="15.75" customHeight="1" s="154">
      <c r="I195" s="153" t="n"/>
      <c r="J195" s="153" t="n"/>
      <c r="K195" s="153" t="n"/>
      <c r="L195" s="153" t="n"/>
      <c r="M195" s="153" t="n"/>
      <c r="N195" s="153" t="n"/>
      <c r="O195" s="153" t="n"/>
      <c r="P195" s="153" t="n"/>
      <c r="Q195" s="153" t="n"/>
      <c r="R195" s="153" t="n"/>
      <c r="S195" s="153" t="n"/>
      <c r="T195" s="153" t="n"/>
      <c r="U195" s="153" t="n"/>
      <c r="V195" s="153" t="n"/>
      <c r="W195" s="153" t="n"/>
      <c r="X195" s="153" t="n"/>
      <c r="Y195" s="153" t="n"/>
      <c r="Z195" s="153" t="n"/>
    </row>
    <row r="196" ht="15.75" customHeight="1" s="154">
      <c r="I196" s="153" t="n"/>
      <c r="J196" s="153" t="n"/>
      <c r="K196" s="153" t="n"/>
      <c r="L196" s="153" t="n"/>
      <c r="M196" s="153" t="n"/>
      <c r="N196" s="153" t="n"/>
      <c r="O196" s="153" t="n"/>
      <c r="P196" s="153" t="n"/>
      <c r="Q196" s="153" t="n"/>
      <c r="R196" s="153" t="n"/>
      <c r="S196" s="153" t="n"/>
      <c r="T196" s="153" t="n"/>
      <c r="U196" s="153" t="n"/>
      <c r="V196" s="153" t="n"/>
      <c r="W196" s="153" t="n"/>
      <c r="X196" s="153" t="n"/>
      <c r="Y196" s="153" t="n"/>
      <c r="Z196" s="153" t="n"/>
    </row>
    <row r="197" ht="15.75" customHeight="1" s="154">
      <c r="I197" s="153" t="n"/>
      <c r="J197" s="153" t="n"/>
      <c r="K197" s="153" t="n"/>
      <c r="L197" s="153" t="n"/>
      <c r="M197" s="153" t="n"/>
      <c r="N197" s="153" t="n"/>
      <c r="O197" s="153" t="n"/>
      <c r="P197" s="153" t="n"/>
      <c r="Q197" s="153" t="n"/>
      <c r="R197" s="153" t="n"/>
      <c r="S197" s="153" t="n"/>
      <c r="T197" s="153" t="n"/>
      <c r="U197" s="153" t="n"/>
      <c r="V197" s="153" t="n"/>
      <c r="W197" s="153" t="n"/>
      <c r="X197" s="153" t="n"/>
      <c r="Y197" s="153" t="n"/>
      <c r="Z197" s="153" t="n"/>
    </row>
    <row r="198" ht="15.75" customHeight="1" s="154">
      <c r="I198" s="153" t="n"/>
      <c r="J198" s="153" t="n"/>
      <c r="K198" s="153" t="n"/>
      <c r="L198" s="153" t="n"/>
      <c r="M198" s="153" t="n"/>
      <c r="N198" s="153" t="n"/>
      <c r="O198" s="153" t="n"/>
      <c r="P198" s="153" t="n"/>
      <c r="Q198" s="153" t="n"/>
      <c r="R198" s="153" t="n"/>
      <c r="S198" s="153" t="n"/>
      <c r="T198" s="153" t="n"/>
      <c r="U198" s="153" t="n"/>
      <c r="V198" s="153" t="n"/>
      <c r="W198" s="153" t="n"/>
      <c r="X198" s="153" t="n"/>
      <c r="Y198" s="153" t="n"/>
      <c r="Z198" s="153" t="n"/>
    </row>
    <row r="199" ht="15.75" customHeight="1" s="154">
      <c r="I199" s="153" t="n"/>
      <c r="J199" s="153" t="n"/>
      <c r="K199" s="153" t="n"/>
      <c r="L199" s="153" t="n"/>
      <c r="M199" s="153" t="n"/>
      <c r="N199" s="153" t="n"/>
      <c r="O199" s="153" t="n"/>
      <c r="P199" s="153" t="n"/>
      <c r="Q199" s="153" t="n"/>
      <c r="R199" s="153" t="n"/>
      <c r="S199" s="153" t="n"/>
      <c r="T199" s="153" t="n"/>
      <c r="U199" s="153" t="n"/>
      <c r="V199" s="153" t="n"/>
      <c r="W199" s="153" t="n"/>
      <c r="X199" s="153" t="n"/>
      <c r="Y199" s="153" t="n"/>
      <c r="Z199" s="153" t="n"/>
    </row>
    <row r="200" ht="15.75" customHeight="1" s="154">
      <c r="I200" s="153" t="n"/>
      <c r="J200" s="153" t="n"/>
      <c r="K200" s="153" t="n"/>
      <c r="L200" s="153" t="n"/>
      <c r="M200" s="153" t="n"/>
      <c r="N200" s="153" t="n"/>
      <c r="O200" s="153" t="n"/>
      <c r="P200" s="153" t="n"/>
      <c r="Q200" s="153" t="n"/>
      <c r="R200" s="153" t="n"/>
      <c r="S200" s="153" t="n"/>
      <c r="T200" s="153" t="n"/>
      <c r="U200" s="153" t="n"/>
      <c r="V200" s="153" t="n"/>
      <c r="W200" s="153" t="n"/>
      <c r="X200" s="153" t="n"/>
      <c r="Y200" s="153" t="n"/>
      <c r="Z200" s="153" t="n"/>
    </row>
    <row r="201" ht="15.75" customHeight="1" s="154">
      <c r="I201" s="153" t="n"/>
      <c r="J201" s="153" t="n"/>
      <c r="K201" s="153" t="n"/>
      <c r="L201" s="153" t="n"/>
      <c r="M201" s="153" t="n"/>
      <c r="N201" s="153" t="n"/>
      <c r="O201" s="153" t="n"/>
      <c r="P201" s="153" t="n"/>
      <c r="Q201" s="153" t="n"/>
      <c r="R201" s="153" t="n"/>
      <c r="S201" s="153" t="n"/>
      <c r="T201" s="153" t="n"/>
      <c r="U201" s="153" t="n"/>
      <c r="V201" s="153" t="n"/>
      <c r="W201" s="153" t="n"/>
      <c r="X201" s="153" t="n"/>
      <c r="Y201" s="153" t="n"/>
      <c r="Z201" s="153" t="n"/>
    </row>
    <row r="202" ht="15.75" customHeight="1" s="154">
      <c r="I202" s="153" t="n"/>
      <c r="J202" s="153" t="n"/>
      <c r="K202" s="153" t="n"/>
      <c r="L202" s="153" t="n"/>
      <c r="M202" s="153" t="n"/>
      <c r="N202" s="153" t="n"/>
      <c r="O202" s="153" t="n"/>
      <c r="P202" s="153" t="n"/>
      <c r="Q202" s="153" t="n"/>
      <c r="R202" s="153" t="n"/>
      <c r="S202" s="153" t="n"/>
      <c r="T202" s="153" t="n"/>
      <c r="U202" s="153" t="n"/>
      <c r="V202" s="153" t="n"/>
      <c r="W202" s="153" t="n"/>
      <c r="X202" s="153" t="n"/>
      <c r="Y202" s="153" t="n"/>
      <c r="Z202" s="153" t="n"/>
    </row>
    <row r="203" ht="15.75" customHeight="1" s="154">
      <c r="I203" s="153" t="n"/>
      <c r="J203" s="153" t="n"/>
      <c r="K203" s="153" t="n"/>
      <c r="L203" s="153" t="n"/>
      <c r="M203" s="153" t="n"/>
      <c r="N203" s="153" t="n"/>
      <c r="O203" s="153" t="n"/>
      <c r="P203" s="153" t="n"/>
      <c r="Q203" s="153" t="n"/>
      <c r="R203" s="153" t="n"/>
      <c r="S203" s="153" t="n"/>
      <c r="T203" s="153" t="n"/>
      <c r="U203" s="153" t="n"/>
      <c r="V203" s="153" t="n"/>
      <c r="W203" s="153" t="n"/>
      <c r="X203" s="153" t="n"/>
      <c r="Y203" s="153" t="n"/>
      <c r="Z203" s="153" t="n"/>
    </row>
    <row r="204" ht="15.75" customHeight="1" s="154">
      <c r="I204" s="153" t="n"/>
      <c r="J204" s="153" t="n"/>
      <c r="K204" s="153" t="n"/>
      <c r="L204" s="153" t="n"/>
      <c r="M204" s="153" t="n"/>
      <c r="N204" s="153" t="n"/>
      <c r="O204" s="153" t="n"/>
      <c r="P204" s="153" t="n"/>
      <c r="Q204" s="153" t="n"/>
      <c r="R204" s="153" t="n"/>
      <c r="S204" s="153" t="n"/>
      <c r="T204" s="153" t="n"/>
      <c r="U204" s="153" t="n"/>
      <c r="V204" s="153" t="n"/>
      <c r="W204" s="153" t="n"/>
      <c r="X204" s="153" t="n"/>
      <c r="Y204" s="153" t="n"/>
      <c r="Z204" s="153" t="n"/>
    </row>
    <row r="205" ht="15.75" customHeight="1" s="154">
      <c r="I205" s="153" t="n"/>
      <c r="J205" s="153" t="n"/>
      <c r="K205" s="153" t="n"/>
      <c r="L205" s="153" t="n"/>
      <c r="M205" s="153" t="n"/>
      <c r="N205" s="153" t="n"/>
      <c r="O205" s="153" t="n"/>
      <c r="P205" s="153" t="n"/>
      <c r="Q205" s="153" t="n"/>
      <c r="R205" s="153" t="n"/>
      <c r="S205" s="153" t="n"/>
      <c r="T205" s="153" t="n"/>
      <c r="U205" s="153" t="n"/>
      <c r="V205" s="153" t="n"/>
      <c r="W205" s="153" t="n"/>
      <c r="X205" s="153" t="n"/>
      <c r="Y205" s="153" t="n"/>
      <c r="Z205" s="153" t="n"/>
    </row>
    <row r="206" ht="15.75" customHeight="1" s="154">
      <c r="I206" s="153" t="n"/>
      <c r="J206" s="153" t="n"/>
      <c r="K206" s="153" t="n"/>
      <c r="L206" s="153" t="n"/>
      <c r="M206" s="153" t="n"/>
      <c r="N206" s="153" t="n"/>
      <c r="O206" s="153" t="n"/>
      <c r="P206" s="153" t="n"/>
      <c r="Q206" s="153" t="n"/>
      <c r="R206" s="153" t="n"/>
      <c r="S206" s="153" t="n"/>
      <c r="T206" s="153" t="n"/>
      <c r="U206" s="153" t="n"/>
      <c r="V206" s="153" t="n"/>
      <c r="W206" s="153" t="n"/>
      <c r="X206" s="153" t="n"/>
      <c r="Y206" s="153" t="n"/>
      <c r="Z206" s="153" t="n"/>
    </row>
    <row r="207" ht="15.75" customHeight="1" s="154">
      <c r="I207" s="153" t="n"/>
      <c r="J207" s="153" t="n"/>
      <c r="K207" s="153" t="n"/>
      <c r="L207" s="153" t="n"/>
      <c r="M207" s="153" t="n"/>
      <c r="N207" s="153" t="n"/>
      <c r="O207" s="153" t="n"/>
      <c r="P207" s="153" t="n"/>
      <c r="Q207" s="153" t="n"/>
      <c r="R207" s="153" t="n"/>
      <c r="S207" s="153" t="n"/>
      <c r="T207" s="153" t="n"/>
      <c r="U207" s="153" t="n"/>
      <c r="V207" s="153" t="n"/>
      <c r="W207" s="153" t="n"/>
      <c r="X207" s="153" t="n"/>
      <c r="Y207" s="153" t="n"/>
      <c r="Z207" s="153" t="n"/>
    </row>
    <row r="208" ht="15.75" customHeight="1" s="154">
      <c r="I208" s="153" t="n"/>
      <c r="J208" s="153" t="n"/>
      <c r="K208" s="153" t="n"/>
      <c r="L208" s="153" t="n"/>
      <c r="M208" s="153" t="n"/>
      <c r="N208" s="153" t="n"/>
      <c r="O208" s="153" t="n"/>
      <c r="P208" s="153" t="n"/>
      <c r="Q208" s="153" t="n"/>
      <c r="R208" s="153" t="n"/>
      <c r="S208" s="153" t="n"/>
      <c r="T208" s="153" t="n"/>
      <c r="U208" s="153" t="n"/>
      <c r="V208" s="153" t="n"/>
      <c r="W208" s="153" t="n"/>
      <c r="X208" s="153" t="n"/>
      <c r="Y208" s="153" t="n"/>
      <c r="Z208" s="153" t="n"/>
    </row>
    <row r="209" ht="15.75" customHeight="1" s="154">
      <c r="I209" s="153" t="n"/>
      <c r="J209" s="153" t="n"/>
      <c r="K209" s="153" t="n"/>
      <c r="L209" s="153" t="n"/>
      <c r="M209" s="153" t="n"/>
      <c r="N209" s="153" t="n"/>
      <c r="O209" s="153" t="n"/>
      <c r="P209" s="153" t="n"/>
      <c r="Q209" s="153" t="n"/>
      <c r="R209" s="153" t="n"/>
      <c r="S209" s="153" t="n"/>
      <c r="T209" s="153" t="n"/>
      <c r="U209" s="153" t="n"/>
      <c r="V209" s="153" t="n"/>
      <c r="W209" s="153" t="n"/>
      <c r="X209" s="153" t="n"/>
      <c r="Y209" s="153" t="n"/>
      <c r="Z209" s="153" t="n"/>
    </row>
    <row r="210" ht="15.75" customHeight="1" s="154">
      <c r="I210" s="153" t="n"/>
      <c r="J210" s="153" t="n"/>
      <c r="K210" s="153" t="n"/>
      <c r="L210" s="153" t="n"/>
      <c r="M210" s="153" t="n"/>
      <c r="N210" s="153" t="n"/>
      <c r="O210" s="153" t="n"/>
      <c r="P210" s="153" t="n"/>
      <c r="Q210" s="153" t="n"/>
      <c r="R210" s="153" t="n"/>
      <c r="S210" s="153" t="n"/>
      <c r="T210" s="153" t="n"/>
      <c r="U210" s="153" t="n"/>
      <c r="V210" s="153" t="n"/>
      <c r="W210" s="153" t="n"/>
      <c r="X210" s="153" t="n"/>
      <c r="Y210" s="153" t="n"/>
      <c r="Z210" s="153" t="n"/>
    </row>
    <row r="211" ht="15.75" customHeight="1" s="154">
      <c r="I211" s="153" t="n"/>
      <c r="J211" s="153" t="n"/>
      <c r="K211" s="153" t="n"/>
      <c r="L211" s="153" t="n"/>
      <c r="M211" s="153" t="n"/>
      <c r="N211" s="153" t="n"/>
      <c r="O211" s="153" t="n"/>
      <c r="P211" s="153" t="n"/>
      <c r="Q211" s="153" t="n"/>
      <c r="R211" s="153" t="n"/>
      <c r="S211" s="153" t="n"/>
      <c r="T211" s="153" t="n"/>
      <c r="U211" s="153" t="n"/>
      <c r="V211" s="153" t="n"/>
      <c r="W211" s="153" t="n"/>
      <c r="X211" s="153" t="n"/>
      <c r="Y211" s="153" t="n"/>
      <c r="Z211" s="153" t="n"/>
    </row>
    <row r="212" ht="15.75" customHeight="1" s="154">
      <c r="I212" s="153" t="n"/>
      <c r="J212" s="153" t="n"/>
      <c r="K212" s="153" t="n"/>
      <c r="L212" s="153" t="n"/>
      <c r="M212" s="153" t="n"/>
      <c r="N212" s="153" t="n"/>
      <c r="O212" s="153" t="n"/>
      <c r="P212" s="153" t="n"/>
      <c r="Q212" s="153" t="n"/>
      <c r="R212" s="153" t="n"/>
      <c r="S212" s="153" t="n"/>
      <c r="T212" s="153" t="n"/>
      <c r="U212" s="153" t="n"/>
      <c r="V212" s="153" t="n"/>
      <c r="W212" s="153" t="n"/>
      <c r="X212" s="153" t="n"/>
      <c r="Y212" s="153" t="n"/>
      <c r="Z212" s="153" t="n"/>
    </row>
    <row r="213" ht="15.75" customHeight="1" s="154">
      <c r="I213" s="153" t="n"/>
      <c r="J213" s="153" t="n"/>
      <c r="K213" s="153" t="n"/>
      <c r="L213" s="153" t="n"/>
      <c r="M213" s="153" t="n"/>
      <c r="N213" s="153" t="n"/>
      <c r="O213" s="153" t="n"/>
      <c r="P213" s="153" t="n"/>
      <c r="Q213" s="153" t="n"/>
      <c r="R213" s="153" t="n"/>
      <c r="S213" s="153" t="n"/>
      <c r="T213" s="153" t="n"/>
      <c r="U213" s="153" t="n"/>
      <c r="V213" s="153" t="n"/>
      <c r="W213" s="153" t="n"/>
      <c r="X213" s="153" t="n"/>
      <c r="Y213" s="153" t="n"/>
      <c r="Z213" s="153" t="n"/>
    </row>
    <row r="214" ht="15.75" customHeight="1" s="154">
      <c r="I214" s="153" t="n"/>
      <c r="J214" s="153" t="n"/>
      <c r="K214" s="153" t="n"/>
      <c r="L214" s="153" t="n"/>
      <c r="M214" s="153" t="n"/>
      <c r="N214" s="153" t="n"/>
      <c r="O214" s="153" t="n"/>
      <c r="P214" s="153" t="n"/>
      <c r="Q214" s="153" t="n"/>
      <c r="R214" s="153" t="n"/>
      <c r="S214" s="153" t="n"/>
      <c r="T214" s="153" t="n"/>
      <c r="U214" s="153" t="n"/>
      <c r="V214" s="153" t="n"/>
      <c r="W214" s="153" t="n"/>
      <c r="X214" s="153" t="n"/>
      <c r="Y214" s="153" t="n"/>
      <c r="Z214" s="153" t="n"/>
    </row>
    <row r="215" ht="15.75" customHeight="1" s="154">
      <c r="I215" s="153" t="n"/>
      <c r="J215" s="153" t="n"/>
      <c r="K215" s="153" t="n"/>
      <c r="L215" s="153" t="n"/>
      <c r="M215" s="153" t="n"/>
      <c r="N215" s="153" t="n"/>
      <c r="O215" s="153" t="n"/>
      <c r="P215" s="153" t="n"/>
      <c r="Q215" s="153" t="n"/>
      <c r="R215" s="153" t="n"/>
      <c r="S215" s="153" t="n"/>
      <c r="T215" s="153" t="n"/>
      <c r="U215" s="153" t="n"/>
      <c r="V215" s="153" t="n"/>
      <c r="W215" s="153" t="n"/>
      <c r="X215" s="153" t="n"/>
      <c r="Y215" s="153" t="n"/>
      <c r="Z215" s="153" t="n"/>
    </row>
    <row r="216" ht="15.75" customHeight="1" s="154">
      <c r="I216" s="153" t="n"/>
      <c r="J216" s="153" t="n"/>
      <c r="K216" s="153" t="n"/>
      <c r="L216" s="153" t="n"/>
      <c r="M216" s="153" t="n"/>
      <c r="N216" s="153" t="n"/>
      <c r="O216" s="153" t="n"/>
      <c r="P216" s="153" t="n"/>
      <c r="Q216" s="153" t="n"/>
      <c r="R216" s="153" t="n"/>
      <c r="S216" s="153" t="n"/>
      <c r="T216" s="153" t="n"/>
      <c r="U216" s="153" t="n"/>
      <c r="V216" s="153" t="n"/>
      <c r="W216" s="153" t="n"/>
      <c r="X216" s="153" t="n"/>
      <c r="Y216" s="153" t="n"/>
      <c r="Z216" s="153" t="n"/>
    </row>
    <row r="217" ht="15.75" customHeight="1" s="154">
      <c r="I217" s="153" t="n"/>
      <c r="J217" s="153" t="n"/>
      <c r="K217" s="153" t="n"/>
      <c r="L217" s="153" t="n"/>
      <c r="M217" s="153" t="n"/>
      <c r="N217" s="153" t="n"/>
      <c r="O217" s="153" t="n"/>
      <c r="P217" s="153" t="n"/>
      <c r="Q217" s="153" t="n"/>
      <c r="R217" s="153" t="n"/>
      <c r="S217" s="153" t="n"/>
      <c r="T217" s="153" t="n"/>
      <c r="U217" s="153" t="n"/>
      <c r="V217" s="153" t="n"/>
      <c r="W217" s="153" t="n"/>
      <c r="X217" s="153" t="n"/>
      <c r="Y217" s="153" t="n"/>
      <c r="Z217" s="153" t="n"/>
    </row>
    <row r="218" ht="15.75" customHeight="1" s="154">
      <c r="I218" s="153" t="n"/>
      <c r="J218" s="153" t="n"/>
      <c r="K218" s="153" t="n"/>
      <c r="L218" s="153" t="n"/>
      <c r="M218" s="153" t="n"/>
      <c r="N218" s="153" t="n"/>
      <c r="O218" s="153" t="n"/>
      <c r="P218" s="153" t="n"/>
      <c r="Q218" s="153" t="n"/>
      <c r="R218" s="153" t="n"/>
      <c r="S218" s="153" t="n"/>
      <c r="T218" s="153" t="n"/>
      <c r="U218" s="153" t="n"/>
      <c r="V218" s="153" t="n"/>
      <c r="W218" s="153" t="n"/>
      <c r="X218" s="153" t="n"/>
      <c r="Y218" s="153" t="n"/>
      <c r="Z218" s="153" t="n"/>
    </row>
    <row r="219" ht="15.75" customHeight="1" s="154">
      <c r="I219" s="153" t="n"/>
      <c r="J219" s="153" t="n"/>
      <c r="K219" s="153" t="n"/>
      <c r="L219" s="153" t="n"/>
      <c r="M219" s="153" t="n"/>
      <c r="N219" s="153" t="n"/>
      <c r="O219" s="153" t="n"/>
      <c r="P219" s="153" t="n"/>
      <c r="Q219" s="153" t="n"/>
      <c r="R219" s="153" t="n"/>
      <c r="S219" s="153" t="n"/>
      <c r="T219" s="153" t="n"/>
      <c r="U219" s="153" t="n"/>
      <c r="V219" s="153" t="n"/>
      <c r="W219" s="153" t="n"/>
      <c r="X219" s="153" t="n"/>
      <c r="Y219" s="153" t="n"/>
      <c r="Z219" s="153" t="n"/>
    </row>
    <row r="220" ht="15.75" customHeight="1" s="154">
      <c r="I220" s="153" t="n"/>
      <c r="J220" s="153" t="n"/>
      <c r="K220" s="153" t="n"/>
      <c r="L220" s="153" t="n"/>
      <c r="M220" s="153" t="n"/>
      <c r="N220" s="153" t="n"/>
      <c r="O220" s="153" t="n"/>
      <c r="P220" s="153" t="n"/>
      <c r="Q220" s="153" t="n"/>
      <c r="R220" s="153" t="n"/>
      <c r="S220" s="153" t="n"/>
      <c r="T220" s="153" t="n"/>
      <c r="U220" s="153" t="n"/>
      <c r="V220" s="153" t="n"/>
      <c r="W220" s="153" t="n"/>
      <c r="X220" s="153" t="n"/>
      <c r="Y220" s="153" t="n"/>
      <c r="Z220" s="153" t="n"/>
    </row>
    <row r="221" ht="15.75" customHeight="1" s="154">
      <c r="I221" s="153" t="n"/>
      <c r="J221" s="153" t="n"/>
      <c r="K221" s="153" t="n"/>
      <c r="L221" s="153" t="n"/>
      <c r="M221" s="153" t="n"/>
      <c r="N221" s="153" t="n"/>
      <c r="O221" s="153" t="n"/>
      <c r="P221" s="153" t="n"/>
      <c r="Q221" s="153" t="n"/>
      <c r="R221" s="153" t="n"/>
      <c r="S221" s="153" t="n"/>
      <c r="T221" s="153" t="n"/>
      <c r="U221" s="153" t="n"/>
      <c r="V221" s="153" t="n"/>
      <c r="W221" s="153" t="n"/>
      <c r="X221" s="153" t="n"/>
      <c r="Y221" s="153" t="n"/>
      <c r="Z221" s="153" t="n"/>
    </row>
    <row r="222" ht="15.75" customHeight="1" s="154">
      <c r="I222" s="153" t="n"/>
      <c r="J222" s="153" t="n"/>
      <c r="K222" s="153" t="n"/>
      <c r="L222" s="153" t="n"/>
      <c r="M222" s="153" t="n"/>
      <c r="N222" s="153" t="n"/>
      <c r="O222" s="153" t="n"/>
      <c r="P222" s="153" t="n"/>
      <c r="Q222" s="153" t="n"/>
      <c r="R222" s="153" t="n"/>
      <c r="S222" s="153" t="n"/>
      <c r="T222" s="153" t="n"/>
      <c r="U222" s="153" t="n"/>
      <c r="V222" s="153" t="n"/>
      <c r="W222" s="153" t="n"/>
      <c r="X222" s="153" t="n"/>
      <c r="Y222" s="153" t="n"/>
      <c r="Z222" s="153" t="n"/>
    </row>
    <row r="223" ht="15.75" customHeight="1" s="154">
      <c r="I223" s="153" t="n"/>
      <c r="J223" s="153" t="n"/>
      <c r="K223" s="153" t="n"/>
      <c r="L223" s="153" t="n"/>
      <c r="M223" s="153" t="n"/>
      <c r="N223" s="153" t="n"/>
      <c r="O223" s="153" t="n"/>
      <c r="P223" s="153" t="n"/>
      <c r="Q223" s="153" t="n"/>
      <c r="R223" s="153" t="n"/>
      <c r="S223" s="153" t="n"/>
      <c r="T223" s="153" t="n"/>
      <c r="U223" s="153" t="n"/>
      <c r="V223" s="153" t="n"/>
      <c r="W223" s="153" t="n"/>
      <c r="X223" s="153" t="n"/>
      <c r="Y223" s="153" t="n"/>
      <c r="Z223" s="153" t="n"/>
    </row>
    <row r="224" ht="15.75" customHeight="1" s="154">
      <c r="I224" s="153" t="n"/>
      <c r="J224" s="153" t="n"/>
      <c r="K224" s="153" t="n"/>
      <c r="L224" s="153" t="n"/>
      <c r="M224" s="153" t="n"/>
      <c r="N224" s="153" t="n"/>
      <c r="O224" s="153" t="n"/>
      <c r="P224" s="153" t="n"/>
      <c r="Q224" s="153" t="n"/>
      <c r="R224" s="153" t="n"/>
      <c r="S224" s="153" t="n"/>
      <c r="T224" s="153" t="n"/>
      <c r="U224" s="153" t="n"/>
      <c r="V224" s="153" t="n"/>
      <c r="W224" s="153" t="n"/>
      <c r="X224" s="153" t="n"/>
      <c r="Y224" s="153" t="n"/>
      <c r="Z224" s="153" t="n"/>
    </row>
    <row r="225" ht="15.75" customHeight="1" s="154">
      <c r="I225" s="153" t="n"/>
      <c r="J225" s="153" t="n"/>
      <c r="K225" s="153" t="n"/>
      <c r="L225" s="153" t="n"/>
      <c r="M225" s="153" t="n"/>
      <c r="N225" s="153" t="n"/>
      <c r="O225" s="153" t="n"/>
      <c r="P225" s="153" t="n"/>
      <c r="Q225" s="153" t="n"/>
      <c r="R225" s="153" t="n"/>
      <c r="S225" s="153" t="n"/>
      <c r="T225" s="153" t="n"/>
      <c r="U225" s="153" t="n"/>
      <c r="V225" s="153" t="n"/>
      <c r="W225" s="153" t="n"/>
      <c r="X225" s="153" t="n"/>
      <c r="Y225" s="153" t="n"/>
      <c r="Z225" s="153" t="n"/>
    </row>
    <row r="226" ht="15.75" customHeight="1" s="154">
      <c r="I226" s="153" t="n"/>
      <c r="J226" s="153" t="n"/>
      <c r="K226" s="153" t="n"/>
      <c r="L226" s="153" t="n"/>
      <c r="M226" s="153" t="n"/>
      <c r="N226" s="153" t="n"/>
      <c r="O226" s="153" t="n"/>
      <c r="P226" s="153" t="n"/>
      <c r="Q226" s="153" t="n"/>
      <c r="R226" s="153" t="n"/>
      <c r="S226" s="153" t="n"/>
      <c r="T226" s="153" t="n"/>
      <c r="U226" s="153" t="n"/>
      <c r="V226" s="153" t="n"/>
      <c r="W226" s="153" t="n"/>
      <c r="X226" s="153" t="n"/>
      <c r="Y226" s="153" t="n"/>
      <c r="Z226" s="153" t="n"/>
    </row>
    <row r="227" ht="15.75" customHeight="1" s="154">
      <c r="I227" s="153" t="n"/>
      <c r="J227" s="153" t="n"/>
      <c r="K227" s="153" t="n"/>
      <c r="L227" s="153" t="n"/>
      <c r="M227" s="153" t="n"/>
      <c r="N227" s="153" t="n"/>
      <c r="O227" s="153" t="n"/>
      <c r="P227" s="153" t="n"/>
      <c r="Q227" s="153" t="n"/>
      <c r="R227" s="153" t="n"/>
      <c r="S227" s="153" t="n"/>
      <c r="T227" s="153" t="n"/>
      <c r="U227" s="153" t="n"/>
      <c r="V227" s="153" t="n"/>
      <c r="W227" s="153" t="n"/>
      <c r="X227" s="153" t="n"/>
      <c r="Y227" s="153" t="n"/>
      <c r="Z227" s="153" t="n"/>
    </row>
    <row r="228" ht="15.75" customHeight="1" s="154">
      <c r="I228" s="153" t="n"/>
      <c r="J228" s="153" t="n"/>
      <c r="K228" s="153" t="n"/>
      <c r="L228" s="153" t="n"/>
      <c r="M228" s="153" t="n"/>
      <c r="N228" s="153" t="n"/>
      <c r="O228" s="153" t="n"/>
      <c r="P228" s="153" t="n"/>
      <c r="Q228" s="153" t="n"/>
      <c r="R228" s="153" t="n"/>
      <c r="S228" s="153" t="n"/>
      <c r="T228" s="153" t="n"/>
      <c r="U228" s="153" t="n"/>
      <c r="V228" s="153" t="n"/>
      <c r="W228" s="153" t="n"/>
      <c r="X228" s="153" t="n"/>
      <c r="Y228" s="153" t="n"/>
      <c r="Z228" s="153" t="n"/>
    </row>
    <row r="229" ht="15.75" customHeight="1" s="154">
      <c r="I229" s="153" t="n"/>
      <c r="J229" s="153" t="n"/>
      <c r="K229" s="153" t="n"/>
      <c r="L229" s="153" t="n"/>
      <c r="M229" s="153" t="n"/>
      <c r="N229" s="153" t="n"/>
      <c r="O229" s="153" t="n"/>
      <c r="P229" s="153" t="n"/>
      <c r="Q229" s="153" t="n"/>
      <c r="R229" s="153" t="n"/>
      <c r="S229" s="153" t="n"/>
      <c r="T229" s="153" t="n"/>
      <c r="U229" s="153" t="n"/>
      <c r="V229" s="153" t="n"/>
      <c r="W229" s="153" t="n"/>
      <c r="X229" s="153" t="n"/>
      <c r="Y229" s="153" t="n"/>
      <c r="Z229" s="153" t="n"/>
    </row>
    <row r="230" ht="15.75" customHeight="1" s="154">
      <c r="I230" s="153" t="n"/>
      <c r="J230" s="153" t="n"/>
      <c r="K230" s="153" t="n"/>
      <c r="L230" s="153" t="n"/>
      <c r="M230" s="153" t="n"/>
      <c r="N230" s="153" t="n"/>
      <c r="O230" s="153" t="n"/>
      <c r="P230" s="153" t="n"/>
      <c r="Q230" s="153" t="n"/>
      <c r="R230" s="153" t="n"/>
      <c r="S230" s="153" t="n"/>
      <c r="T230" s="153" t="n"/>
      <c r="U230" s="153" t="n"/>
      <c r="V230" s="153" t="n"/>
      <c r="W230" s="153" t="n"/>
      <c r="X230" s="153" t="n"/>
      <c r="Y230" s="153" t="n"/>
      <c r="Z230" s="153" t="n"/>
    </row>
    <row r="231" ht="15.75" customHeight="1" s="154">
      <c r="I231" s="153" t="n"/>
      <c r="J231" s="153" t="n"/>
      <c r="K231" s="153" t="n"/>
      <c r="L231" s="153" t="n"/>
      <c r="M231" s="153" t="n"/>
      <c r="N231" s="153" t="n"/>
      <c r="O231" s="153" t="n"/>
      <c r="P231" s="153" t="n"/>
      <c r="Q231" s="153" t="n"/>
      <c r="R231" s="153" t="n"/>
      <c r="S231" s="153" t="n"/>
      <c r="T231" s="153" t="n"/>
      <c r="U231" s="153" t="n"/>
      <c r="V231" s="153" t="n"/>
      <c r="W231" s="153" t="n"/>
      <c r="X231" s="153" t="n"/>
      <c r="Y231" s="153" t="n"/>
      <c r="Z231" s="153" t="n"/>
    </row>
    <row r="232" ht="15.75" customHeight="1" s="154">
      <c r="I232" s="153" t="n"/>
      <c r="J232" s="153" t="n"/>
      <c r="K232" s="153" t="n"/>
      <c r="L232" s="153" t="n"/>
      <c r="M232" s="153" t="n"/>
      <c r="N232" s="153" t="n"/>
      <c r="O232" s="153" t="n"/>
      <c r="P232" s="153" t="n"/>
      <c r="Q232" s="153" t="n"/>
      <c r="R232" s="153" t="n"/>
      <c r="S232" s="153" t="n"/>
      <c r="T232" s="153" t="n"/>
      <c r="U232" s="153" t="n"/>
      <c r="V232" s="153" t="n"/>
      <c r="W232" s="153" t="n"/>
      <c r="X232" s="153" t="n"/>
      <c r="Y232" s="153" t="n"/>
      <c r="Z232" s="153" t="n"/>
    </row>
    <row r="233" ht="15.75" customHeight="1" s="154">
      <c r="I233" s="153" t="n"/>
      <c r="J233" s="153" t="n"/>
      <c r="K233" s="153" t="n"/>
      <c r="L233" s="153" t="n"/>
      <c r="M233" s="153" t="n"/>
      <c r="N233" s="153" t="n"/>
      <c r="O233" s="153" t="n"/>
      <c r="P233" s="153" t="n"/>
      <c r="Q233" s="153" t="n"/>
      <c r="R233" s="153" t="n"/>
      <c r="S233" s="153" t="n"/>
      <c r="T233" s="153" t="n"/>
      <c r="U233" s="153" t="n"/>
      <c r="V233" s="153" t="n"/>
      <c r="W233" s="153" t="n"/>
      <c r="X233" s="153" t="n"/>
      <c r="Y233" s="153" t="n"/>
      <c r="Z233" s="153" t="n"/>
    </row>
    <row r="234" ht="15.75" customHeight="1" s="154">
      <c r="I234" s="153" t="n"/>
      <c r="J234" s="153" t="n"/>
      <c r="K234" s="153" t="n"/>
      <c r="L234" s="153" t="n"/>
      <c r="M234" s="153" t="n"/>
      <c r="N234" s="153" t="n"/>
      <c r="O234" s="153" t="n"/>
      <c r="P234" s="153" t="n"/>
      <c r="Q234" s="153" t="n"/>
      <c r="R234" s="153" t="n"/>
      <c r="S234" s="153" t="n"/>
      <c r="T234" s="153" t="n"/>
      <c r="U234" s="153" t="n"/>
      <c r="V234" s="153" t="n"/>
      <c r="W234" s="153" t="n"/>
      <c r="X234" s="153" t="n"/>
      <c r="Y234" s="153" t="n"/>
      <c r="Z234" s="153" t="n"/>
    </row>
    <row r="235" ht="15.75" customHeight="1" s="154">
      <c r="I235" s="153" t="n"/>
      <c r="J235" s="153" t="n"/>
      <c r="K235" s="153" t="n"/>
      <c r="L235" s="153" t="n"/>
      <c r="M235" s="153" t="n"/>
      <c r="N235" s="153" t="n"/>
      <c r="O235" s="153" t="n"/>
      <c r="P235" s="153" t="n"/>
      <c r="Q235" s="153" t="n"/>
      <c r="R235" s="153" t="n"/>
      <c r="S235" s="153" t="n"/>
      <c r="T235" s="153" t="n"/>
      <c r="U235" s="153" t="n"/>
      <c r="V235" s="153" t="n"/>
      <c r="W235" s="153" t="n"/>
      <c r="X235" s="153" t="n"/>
      <c r="Y235" s="153" t="n"/>
      <c r="Z235" s="153" t="n"/>
    </row>
    <row r="236" ht="15.75" customHeight="1" s="154">
      <c r="I236" s="153" t="n"/>
      <c r="J236" s="153" t="n"/>
      <c r="K236" s="153" t="n"/>
      <c r="L236" s="153" t="n"/>
      <c r="M236" s="153" t="n"/>
      <c r="N236" s="153" t="n"/>
      <c r="O236" s="153" t="n"/>
      <c r="P236" s="153" t="n"/>
      <c r="Q236" s="153" t="n"/>
      <c r="R236" s="153" t="n"/>
      <c r="S236" s="153" t="n"/>
      <c r="T236" s="153" t="n"/>
      <c r="U236" s="153" t="n"/>
      <c r="V236" s="153" t="n"/>
      <c r="W236" s="153" t="n"/>
      <c r="X236" s="153" t="n"/>
      <c r="Y236" s="153" t="n"/>
      <c r="Z236" s="153" t="n"/>
    </row>
    <row r="237" ht="15.75" customHeight="1" s="154">
      <c r="I237" s="153" t="n"/>
      <c r="J237" s="153" t="n"/>
      <c r="K237" s="153" t="n"/>
      <c r="L237" s="153" t="n"/>
      <c r="M237" s="153" t="n"/>
      <c r="N237" s="153" t="n"/>
      <c r="O237" s="153" t="n"/>
      <c r="P237" s="153" t="n"/>
      <c r="Q237" s="153" t="n"/>
      <c r="R237" s="153" t="n"/>
      <c r="S237" s="153" t="n"/>
      <c r="T237" s="153" t="n"/>
      <c r="U237" s="153" t="n"/>
      <c r="V237" s="153" t="n"/>
      <c r="W237" s="153" t="n"/>
      <c r="X237" s="153" t="n"/>
      <c r="Y237" s="153" t="n"/>
      <c r="Z237" s="153" t="n"/>
    </row>
    <row r="238" ht="15.75" customHeight="1" s="154">
      <c r="I238" s="153" t="n"/>
      <c r="J238" s="153" t="n"/>
      <c r="K238" s="153" t="n"/>
      <c r="L238" s="153" t="n"/>
      <c r="M238" s="153" t="n"/>
      <c r="N238" s="153" t="n"/>
      <c r="O238" s="153" t="n"/>
      <c r="P238" s="153" t="n"/>
      <c r="Q238" s="153" t="n"/>
      <c r="R238" s="153" t="n"/>
      <c r="S238" s="153" t="n"/>
      <c r="T238" s="153" t="n"/>
      <c r="U238" s="153" t="n"/>
      <c r="V238" s="153" t="n"/>
      <c r="W238" s="153" t="n"/>
      <c r="X238" s="153" t="n"/>
      <c r="Y238" s="153" t="n"/>
      <c r="Z238" s="153" t="n"/>
    </row>
    <row r="239" ht="15.75" customHeight="1" s="154">
      <c r="I239" s="153" t="n"/>
      <c r="J239" s="153" t="n"/>
      <c r="K239" s="153" t="n"/>
      <c r="L239" s="153" t="n"/>
      <c r="M239" s="153" t="n"/>
      <c r="N239" s="153" t="n"/>
      <c r="O239" s="153" t="n"/>
      <c r="P239" s="153" t="n"/>
      <c r="Q239" s="153" t="n"/>
      <c r="R239" s="153" t="n"/>
      <c r="S239" s="153" t="n"/>
      <c r="T239" s="153" t="n"/>
      <c r="U239" s="153" t="n"/>
      <c r="V239" s="153" t="n"/>
      <c r="W239" s="153" t="n"/>
      <c r="X239" s="153" t="n"/>
      <c r="Y239" s="153" t="n"/>
      <c r="Z239" s="153" t="n"/>
    </row>
    <row r="240" ht="15.75" customHeight="1" s="154">
      <c r="I240" s="153" t="n"/>
      <c r="J240" s="153" t="n"/>
      <c r="K240" s="153" t="n"/>
      <c r="L240" s="153" t="n"/>
      <c r="M240" s="153" t="n"/>
      <c r="N240" s="153" t="n"/>
      <c r="O240" s="153" t="n"/>
      <c r="P240" s="153" t="n"/>
      <c r="Q240" s="153" t="n"/>
      <c r="R240" s="153" t="n"/>
      <c r="S240" s="153" t="n"/>
      <c r="T240" s="153" t="n"/>
      <c r="U240" s="153" t="n"/>
      <c r="V240" s="153" t="n"/>
      <c r="W240" s="153" t="n"/>
      <c r="X240" s="153" t="n"/>
      <c r="Y240" s="153" t="n"/>
      <c r="Z240" s="153" t="n"/>
    </row>
    <row r="241" ht="15.75" customHeight="1" s="154">
      <c r="I241" s="153" t="n"/>
      <c r="J241" s="153" t="n"/>
      <c r="K241" s="153" t="n"/>
      <c r="L241" s="153" t="n"/>
      <c r="M241" s="153" t="n"/>
      <c r="N241" s="153" t="n"/>
      <c r="O241" s="153" t="n"/>
      <c r="P241" s="153" t="n"/>
      <c r="Q241" s="153" t="n"/>
      <c r="R241" s="153" t="n"/>
      <c r="S241" s="153" t="n"/>
      <c r="T241" s="153" t="n"/>
      <c r="U241" s="153" t="n"/>
      <c r="V241" s="153" t="n"/>
      <c r="W241" s="153" t="n"/>
      <c r="X241" s="153" t="n"/>
      <c r="Y241" s="153" t="n"/>
      <c r="Z241" s="153" t="n"/>
    </row>
    <row r="242" ht="15.75" customHeight="1" s="154">
      <c r="I242" s="153" t="n"/>
      <c r="J242" s="153" t="n"/>
      <c r="K242" s="153" t="n"/>
      <c r="L242" s="153" t="n"/>
      <c r="M242" s="153" t="n"/>
      <c r="N242" s="153" t="n"/>
      <c r="O242" s="153" t="n"/>
      <c r="P242" s="153" t="n"/>
      <c r="Q242" s="153" t="n"/>
      <c r="R242" s="153" t="n"/>
      <c r="S242" s="153" t="n"/>
      <c r="T242" s="153" t="n"/>
      <c r="U242" s="153" t="n"/>
      <c r="V242" s="153" t="n"/>
      <c r="W242" s="153" t="n"/>
      <c r="X242" s="153" t="n"/>
      <c r="Y242" s="153" t="n"/>
      <c r="Z242" s="153" t="n"/>
    </row>
    <row r="243" ht="15.75" customHeight="1" s="154">
      <c r="I243" s="153" t="n"/>
      <c r="J243" s="153" t="n"/>
      <c r="K243" s="153" t="n"/>
      <c r="L243" s="153" t="n"/>
      <c r="M243" s="153" t="n"/>
      <c r="N243" s="153" t="n"/>
      <c r="O243" s="153" t="n"/>
      <c r="P243" s="153" t="n"/>
      <c r="Q243" s="153" t="n"/>
      <c r="R243" s="153" t="n"/>
      <c r="S243" s="153" t="n"/>
      <c r="T243" s="153" t="n"/>
      <c r="U243" s="153" t="n"/>
      <c r="V243" s="153" t="n"/>
      <c r="W243" s="153" t="n"/>
      <c r="X243" s="153" t="n"/>
      <c r="Y243" s="153" t="n"/>
      <c r="Z243" s="153" t="n"/>
    </row>
    <row r="244" ht="15.75" customHeight="1" s="154">
      <c r="I244" s="153" t="n"/>
      <c r="J244" s="153" t="n"/>
      <c r="K244" s="153" t="n"/>
      <c r="L244" s="153" t="n"/>
      <c r="M244" s="153" t="n"/>
      <c r="N244" s="153" t="n"/>
      <c r="O244" s="153" t="n"/>
      <c r="P244" s="153" t="n"/>
      <c r="Q244" s="153" t="n"/>
      <c r="R244" s="153" t="n"/>
      <c r="S244" s="153" t="n"/>
      <c r="T244" s="153" t="n"/>
      <c r="U244" s="153" t="n"/>
      <c r="V244" s="153" t="n"/>
      <c r="W244" s="153" t="n"/>
      <c r="X244" s="153" t="n"/>
      <c r="Y244" s="153" t="n"/>
      <c r="Z244" s="153" t="n"/>
    </row>
    <row r="245" ht="15.75" customHeight="1" s="154">
      <c r="I245" s="153" t="n"/>
      <c r="J245" s="153" t="n"/>
      <c r="K245" s="153" t="n"/>
      <c r="L245" s="153" t="n"/>
      <c r="M245" s="153" t="n"/>
      <c r="N245" s="153" t="n"/>
      <c r="O245" s="153" t="n"/>
      <c r="P245" s="153" t="n"/>
      <c r="Q245" s="153" t="n"/>
      <c r="R245" s="153" t="n"/>
      <c r="S245" s="153" t="n"/>
      <c r="T245" s="153" t="n"/>
      <c r="U245" s="153" t="n"/>
      <c r="V245" s="153" t="n"/>
      <c r="W245" s="153" t="n"/>
      <c r="X245" s="153" t="n"/>
      <c r="Y245" s="153" t="n"/>
      <c r="Z245" s="153" t="n"/>
    </row>
    <row r="246" ht="15.75" customHeight="1" s="154">
      <c r="I246" s="153" t="n"/>
      <c r="J246" s="153" t="n"/>
      <c r="K246" s="153" t="n"/>
      <c r="L246" s="153" t="n"/>
      <c r="M246" s="153" t="n"/>
      <c r="N246" s="153" t="n"/>
      <c r="O246" s="153" t="n"/>
      <c r="P246" s="153" t="n"/>
      <c r="Q246" s="153" t="n"/>
      <c r="R246" s="153" t="n"/>
      <c r="S246" s="153" t="n"/>
      <c r="T246" s="153" t="n"/>
      <c r="U246" s="153" t="n"/>
      <c r="V246" s="153" t="n"/>
      <c r="W246" s="153" t="n"/>
      <c r="X246" s="153" t="n"/>
      <c r="Y246" s="153" t="n"/>
      <c r="Z246" s="153" t="n"/>
    </row>
    <row r="247" ht="15.75" customHeight="1" s="154">
      <c r="I247" s="153" t="n"/>
      <c r="J247" s="153" t="n"/>
      <c r="K247" s="153" t="n"/>
      <c r="L247" s="153" t="n"/>
      <c r="M247" s="153" t="n"/>
      <c r="N247" s="153" t="n"/>
      <c r="O247" s="153" t="n"/>
      <c r="P247" s="153" t="n"/>
      <c r="Q247" s="153" t="n"/>
      <c r="R247" s="153" t="n"/>
      <c r="S247" s="153" t="n"/>
      <c r="T247" s="153" t="n"/>
      <c r="U247" s="153" t="n"/>
      <c r="V247" s="153" t="n"/>
      <c r="W247" s="153" t="n"/>
      <c r="X247" s="153" t="n"/>
      <c r="Y247" s="153" t="n"/>
      <c r="Z247" s="153" t="n"/>
    </row>
    <row r="248" ht="15.75" customHeight="1" s="154">
      <c r="I248" s="153" t="n"/>
      <c r="J248" s="153" t="n"/>
      <c r="K248" s="153" t="n"/>
      <c r="L248" s="153" t="n"/>
      <c r="M248" s="153" t="n"/>
      <c r="N248" s="153" t="n"/>
      <c r="O248" s="153" t="n"/>
      <c r="P248" s="153" t="n"/>
      <c r="Q248" s="153" t="n"/>
      <c r="R248" s="153" t="n"/>
      <c r="S248" s="153" t="n"/>
      <c r="T248" s="153" t="n"/>
      <c r="U248" s="153" t="n"/>
      <c r="V248" s="153" t="n"/>
      <c r="W248" s="153" t="n"/>
      <c r="X248" s="153" t="n"/>
      <c r="Y248" s="153" t="n"/>
      <c r="Z248" s="153" t="n"/>
    </row>
    <row r="249" ht="15.75" customHeight="1" s="154">
      <c r="I249" s="153" t="n"/>
      <c r="J249" s="153" t="n"/>
      <c r="K249" s="153" t="n"/>
      <c r="L249" s="153" t="n"/>
      <c r="M249" s="153" t="n"/>
      <c r="N249" s="153" t="n"/>
      <c r="O249" s="153" t="n"/>
      <c r="P249" s="153" t="n"/>
      <c r="Q249" s="153" t="n"/>
      <c r="R249" s="153" t="n"/>
      <c r="S249" s="153" t="n"/>
      <c r="T249" s="153" t="n"/>
      <c r="U249" s="153" t="n"/>
      <c r="V249" s="153" t="n"/>
      <c r="W249" s="153" t="n"/>
      <c r="X249" s="153" t="n"/>
      <c r="Y249" s="153" t="n"/>
      <c r="Z249" s="153" t="n"/>
    </row>
    <row r="250" ht="15.75" customHeight="1" s="154">
      <c r="I250" s="153" t="n"/>
      <c r="J250" s="153" t="n"/>
      <c r="K250" s="153" t="n"/>
      <c r="L250" s="153" t="n"/>
      <c r="M250" s="153" t="n"/>
      <c r="N250" s="153" t="n"/>
      <c r="O250" s="153" t="n"/>
      <c r="P250" s="153" t="n"/>
      <c r="Q250" s="153" t="n"/>
      <c r="R250" s="153" t="n"/>
      <c r="S250" s="153" t="n"/>
      <c r="T250" s="153" t="n"/>
      <c r="U250" s="153" t="n"/>
      <c r="V250" s="153" t="n"/>
      <c r="W250" s="153" t="n"/>
      <c r="X250" s="153" t="n"/>
      <c r="Y250" s="153" t="n"/>
      <c r="Z250" s="153" t="n"/>
    </row>
    <row r="251" ht="15.75" customHeight="1" s="154">
      <c r="I251" s="153" t="n"/>
      <c r="J251" s="153" t="n"/>
      <c r="K251" s="153" t="n"/>
      <c r="L251" s="153" t="n"/>
      <c r="M251" s="153" t="n"/>
      <c r="N251" s="153" t="n"/>
      <c r="O251" s="153" t="n"/>
      <c r="P251" s="153" t="n"/>
      <c r="Q251" s="153" t="n"/>
      <c r="R251" s="153" t="n"/>
      <c r="S251" s="153" t="n"/>
      <c r="T251" s="153" t="n"/>
      <c r="U251" s="153" t="n"/>
      <c r="V251" s="153" t="n"/>
      <c r="W251" s="153" t="n"/>
      <c r="X251" s="153" t="n"/>
      <c r="Y251" s="153" t="n"/>
      <c r="Z251" s="153" t="n"/>
    </row>
    <row r="252" ht="15.75" customHeight="1" s="154">
      <c r="I252" s="153" t="n"/>
      <c r="J252" s="153" t="n"/>
      <c r="K252" s="153" t="n"/>
      <c r="L252" s="153" t="n"/>
      <c r="M252" s="153" t="n"/>
      <c r="N252" s="153" t="n"/>
      <c r="O252" s="153" t="n"/>
      <c r="P252" s="153" t="n"/>
      <c r="Q252" s="153" t="n"/>
      <c r="R252" s="153" t="n"/>
      <c r="S252" s="153" t="n"/>
      <c r="T252" s="153" t="n"/>
      <c r="U252" s="153" t="n"/>
      <c r="V252" s="153" t="n"/>
      <c r="W252" s="153" t="n"/>
      <c r="X252" s="153" t="n"/>
      <c r="Y252" s="153" t="n"/>
      <c r="Z252" s="153" t="n"/>
    </row>
    <row r="253" ht="15.75" customHeight="1" s="154">
      <c r="I253" s="153" t="n"/>
      <c r="J253" s="153" t="n"/>
      <c r="K253" s="153" t="n"/>
      <c r="L253" s="153" t="n"/>
      <c r="M253" s="153" t="n"/>
      <c r="N253" s="153" t="n"/>
      <c r="O253" s="153" t="n"/>
      <c r="P253" s="153" t="n"/>
      <c r="Q253" s="153" t="n"/>
      <c r="R253" s="153" t="n"/>
      <c r="S253" s="153" t="n"/>
      <c r="T253" s="153" t="n"/>
      <c r="U253" s="153" t="n"/>
      <c r="V253" s="153" t="n"/>
      <c r="W253" s="153" t="n"/>
      <c r="X253" s="153" t="n"/>
      <c r="Y253" s="153" t="n"/>
      <c r="Z253" s="153" t="n"/>
    </row>
    <row r="254" ht="15.75" customHeight="1" s="154">
      <c r="I254" s="153" t="n"/>
      <c r="J254" s="153" t="n"/>
      <c r="K254" s="153" t="n"/>
      <c r="L254" s="153" t="n"/>
      <c r="M254" s="153" t="n"/>
      <c r="N254" s="153" t="n"/>
      <c r="O254" s="153" t="n"/>
      <c r="P254" s="153" t="n"/>
      <c r="Q254" s="153" t="n"/>
      <c r="R254" s="153" t="n"/>
      <c r="S254" s="153" t="n"/>
      <c r="T254" s="153" t="n"/>
      <c r="U254" s="153" t="n"/>
      <c r="V254" s="153" t="n"/>
      <c r="W254" s="153" t="n"/>
      <c r="X254" s="153" t="n"/>
      <c r="Y254" s="153" t="n"/>
      <c r="Z254" s="153" t="n"/>
    </row>
    <row r="255" ht="15.75" customHeight="1" s="154">
      <c r="I255" s="153" t="n"/>
      <c r="J255" s="153" t="n"/>
      <c r="K255" s="153" t="n"/>
      <c r="L255" s="153" t="n"/>
      <c r="M255" s="153" t="n"/>
      <c r="N255" s="153" t="n"/>
      <c r="O255" s="153" t="n"/>
      <c r="P255" s="153" t="n"/>
      <c r="Q255" s="153" t="n"/>
      <c r="R255" s="153" t="n"/>
      <c r="S255" s="153" t="n"/>
      <c r="T255" s="153" t="n"/>
      <c r="U255" s="153" t="n"/>
      <c r="V255" s="153" t="n"/>
      <c r="W255" s="153" t="n"/>
      <c r="X255" s="153" t="n"/>
      <c r="Y255" s="153" t="n"/>
      <c r="Z255" s="153" t="n"/>
    </row>
    <row r="256" ht="15.75" customHeight="1" s="154">
      <c r="I256" s="153" t="n"/>
      <c r="J256" s="153" t="n"/>
      <c r="K256" s="153" t="n"/>
      <c r="L256" s="153" t="n"/>
      <c r="M256" s="153" t="n"/>
      <c r="N256" s="153" t="n"/>
      <c r="O256" s="153" t="n"/>
      <c r="P256" s="153" t="n"/>
      <c r="Q256" s="153" t="n"/>
      <c r="R256" s="153" t="n"/>
      <c r="S256" s="153" t="n"/>
      <c r="T256" s="153" t="n"/>
      <c r="U256" s="153" t="n"/>
      <c r="V256" s="153" t="n"/>
      <c r="W256" s="153" t="n"/>
      <c r="X256" s="153" t="n"/>
      <c r="Y256" s="153" t="n"/>
      <c r="Z256" s="153" t="n"/>
    </row>
    <row r="257" ht="15.75" customHeight="1" s="154">
      <c r="I257" s="153" t="n"/>
      <c r="J257" s="153" t="n"/>
      <c r="K257" s="153" t="n"/>
      <c r="L257" s="153" t="n"/>
      <c r="M257" s="153" t="n"/>
      <c r="N257" s="153" t="n"/>
      <c r="O257" s="153" t="n"/>
      <c r="P257" s="153" t="n"/>
      <c r="Q257" s="153" t="n"/>
      <c r="R257" s="153" t="n"/>
      <c r="S257" s="153" t="n"/>
      <c r="T257" s="153" t="n"/>
      <c r="U257" s="153" t="n"/>
      <c r="V257" s="153" t="n"/>
      <c r="W257" s="153" t="n"/>
      <c r="X257" s="153" t="n"/>
      <c r="Y257" s="153" t="n"/>
      <c r="Z257" s="153" t="n"/>
    </row>
    <row r="258" ht="15.75" customHeight="1" s="154">
      <c r="I258" s="153" t="n"/>
      <c r="J258" s="153" t="n"/>
      <c r="K258" s="153" t="n"/>
      <c r="L258" s="153" t="n"/>
      <c r="M258" s="153" t="n"/>
      <c r="N258" s="153" t="n"/>
      <c r="O258" s="153" t="n"/>
      <c r="P258" s="153" t="n"/>
      <c r="Q258" s="153" t="n"/>
      <c r="R258" s="153" t="n"/>
      <c r="S258" s="153" t="n"/>
      <c r="T258" s="153" t="n"/>
      <c r="U258" s="153" t="n"/>
      <c r="V258" s="153" t="n"/>
      <c r="W258" s="153" t="n"/>
      <c r="X258" s="153" t="n"/>
      <c r="Y258" s="153" t="n"/>
      <c r="Z258" s="153" t="n"/>
    </row>
    <row r="259" ht="15.75" customHeight="1" s="154">
      <c r="I259" s="153" t="n"/>
      <c r="J259" s="153" t="n"/>
      <c r="K259" s="153" t="n"/>
      <c r="L259" s="153" t="n"/>
      <c r="M259" s="153" t="n"/>
      <c r="N259" s="153" t="n"/>
      <c r="O259" s="153" t="n"/>
      <c r="P259" s="153" t="n"/>
      <c r="Q259" s="153" t="n"/>
      <c r="R259" s="153" t="n"/>
      <c r="S259" s="153" t="n"/>
      <c r="T259" s="153" t="n"/>
      <c r="U259" s="153" t="n"/>
      <c r="V259" s="153" t="n"/>
      <c r="W259" s="153" t="n"/>
      <c r="X259" s="153" t="n"/>
      <c r="Y259" s="153" t="n"/>
      <c r="Z259" s="153" t="n"/>
    </row>
    <row r="260" ht="15.75" customHeight="1" s="154">
      <c r="I260" s="153" t="n"/>
      <c r="J260" s="153" t="n"/>
      <c r="K260" s="153" t="n"/>
      <c r="L260" s="153" t="n"/>
      <c r="M260" s="153" t="n"/>
      <c r="N260" s="153" t="n"/>
      <c r="O260" s="153" t="n"/>
      <c r="P260" s="153" t="n"/>
      <c r="Q260" s="153" t="n"/>
      <c r="R260" s="153" t="n"/>
      <c r="S260" s="153" t="n"/>
      <c r="T260" s="153" t="n"/>
      <c r="U260" s="153" t="n"/>
      <c r="V260" s="153" t="n"/>
      <c r="W260" s="153" t="n"/>
      <c r="X260" s="153" t="n"/>
      <c r="Y260" s="153" t="n"/>
      <c r="Z260" s="153" t="n"/>
    </row>
    <row r="261" ht="15.75" customHeight="1" s="154">
      <c r="I261" s="153" t="n"/>
      <c r="J261" s="153" t="n"/>
      <c r="K261" s="153" t="n"/>
      <c r="L261" s="153" t="n"/>
      <c r="M261" s="153" t="n"/>
      <c r="N261" s="153" t="n"/>
      <c r="O261" s="153" t="n"/>
      <c r="P261" s="153" t="n"/>
      <c r="Q261" s="153" t="n"/>
      <c r="R261" s="153" t="n"/>
      <c r="S261" s="153" t="n"/>
      <c r="T261" s="153" t="n"/>
      <c r="U261" s="153" t="n"/>
      <c r="V261" s="153" t="n"/>
      <c r="W261" s="153" t="n"/>
      <c r="X261" s="153" t="n"/>
      <c r="Y261" s="153" t="n"/>
      <c r="Z261" s="153" t="n"/>
    </row>
    <row r="262" ht="15.75" customHeight="1" s="154">
      <c r="I262" s="153" t="n"/>
      <c r="J262" s="153" t="n"/>
      <c r="K262" s="153" t="n"/>
      <c r="L262" s="153" t="n"/>
      <c r="M262" s="153" t="n"/>
      <c r="N262" s="153" t="n"/>
      <c r="O262" s="153" t="n"/>
      <c r="P262" s="153" t="n"/>
      <c r="Q262" s="153" t="n"/>
      <c r="R262" s="153" t="n"/>
      <c r="S262" s="153" t="n"/>
      <c r="T262" s="153" t="n"/>
      <c r="U262" s="153" t="n"/>
      <c r="V262" s="153" t="n"/>
      <c r="W262" s="153" t="n"/>
      <c r="X262" s="153" t="n"/>
      <c r="Y262" s="153" t="n"/>
      <c r="Z262" s="153" t="n"/>
    </row>
    <row r="263" ht="15.75" customHeight="1" s="154">
      <c r="I263" s="153" t="n"/>
      <c r="J263" s="153" t="n"/>
      <c r="K263" s="153" t="n"/>
      <c r="L263" s="153" t="n"/>
      <c r="M263" s="153" t="n"/>
      <c r="N263" s="153" t="n"/>
      <c r="O263" s="153" t="n"/>
      <c r="P263" s="153" t="n"/>
      <c r="Q263" s="153" t="n"/>
      <c r="R263" s="153" t="n"/>
      <c r="S263" s="153" t="n"/>
      <c r="T263" s="153" t="n"/>
      <c r="U263" s="153" t="n"/>
      <c r="V263" s="153" t="n"/>
      <c r="W263" s="153" t="n"/>
      <c r="X263" s="153" t="n"/>
      <c r="Y263" s="153" t="n"/>
      <c r="Z263" s="153" t="n"/>
    </row>
    <row r="264" ht="15.75" customHeight="1" s="154">
      <c r="I264" s="153" t="n"/>
      <c r="J264" s="153" t="n"/>
      <c r="K264" s="153" t="n"/>
      <c r="L264" s="153" t="n"/>
      <c r="M264" s="153" t="n"/>
      <c r="N264" s="153" t="n"/>
      <c r="O264" s="153" t="n"/>
      <c r="P264" s="153" t="n"/>
      <c r="Q264" s="153" t="n"/>
      <c r="R264" s="153" t="n"/>
      <c r="S264" s="153" t="n"/>
      <c r="T264" s="153" t="n"/>
      <c r="U264" s="153" t="n"/>
      <c r="V264" s="153" t="n"/>
      <c r="W264" s="153" t="n"/>
      <c r="X264" s="153" t="n"/>
      <c r="Y264" s="153" t="n"/>
      <c r="Z264" s="153" t="n"/>
    </row>
    <row r="265" ht="15.75" customHeight="1" s="154">
      <c r="I265" s="153" t="n"/>
      <c r="J265" s="153" t="n"/>
      <c r="K265" s="153" t="n"/>
      <c r="L265" s="153" t="n"/>
      <c r="M265" s="153" t="n"/>
      <c r="N265" s="153" t="n"/>
      <c r="O265" s="153" t="n"/>
      <c r="P265" s="153" t="n"/>
      <c r="Q265" s="153" t="n"/>
      <c r="R265" s="153" t="n"/>
      <c r="S265" s="153" t="n"/>
      <c r="T265" s="153" t="n"/>
      <c r="U265" s="153" t="n"/>
      <c r="V265" s="153" t="n"/>
      <c r="W265" s="153" t="n"/>
      <c r="X265" s="153" t="n"/>
      <c r="Y265" s="153" t="n"/>
      <c r="Z265" s="153" t="n"/>
    </row>
    <row r="266" ht="15.75" customHeight="1" s="154">
      <c r="I266" s="153" t="n"/>
      <c r="J266" s="153" t="n"/>
      <c r="K266" s="153" t="n"/>
      <c r="L266" s="153" t="n"/>
      <c r="M266" s="153" t="n"/>
      <c r="N266" s="153" t="n"/>
      <c r="O266" s="153" t="n"/>
      <c r="P266" s="153" t="n"/>
      <c r="Q266" s="153" t="n"/>
      <c r="R266" s="153" t="n"/>
      <c r="S266" s="153" t="n"/>
      <c r="T266" s="153" t="n"/>
      <c r="U266" s="153" t="n"/>
      <c r="V266" s="153" t="n"/>
      <c r="W266" s="153" t="n"/>
      <c r="X266" s="153" t="n"/>
      <c r="Y266" s="153" t="n"/>
      <c r="Z266" s="153" t="n"/>
    </row>
    <row r="267" ht="15.75" customHeight="1" s="154">
      <c r="I267" s="153" t="n"/>
      <c r="J267" s="153" t="n"/>
      <c r="K267" s="153" t="n"/>
      <c r="L267" s="153" t="n"/>
      <c r="M267" s="153" t="n"/>
      <c r="N267" s="153" t="n"/>
      <c r="O267" s="153" t="n"/>
      <c r="P267" s="153" t="n"/>
      <c r="Q267" s="153" t="n"/>
      <c r="R267" s="153" t="n"/>
      <c r="S267" s="153" t="n"/>
      <c r="T267" s="153" t="n"/>
      <c r="U267" s="153" t="n"/>
      <c r="V267" s="153" t="n"/>
      <c r="W267" s="153" t="n"/>
      <c r="X267" s="153" t="n"/>
      <c r="Y267" s="153" t="n"/>
      <c r="Z267" s="153" t="n"/>
    </row>
    <row r="268" ht="15.75" customHeight="1" s="154">
      <c r="I268" s="153" t="n"/>
      <c r="J268" s="153" t="n"/>
      <c r="K268" s="153" t="n"/>
      <c r="L268" s="153" t="n"/>
      <c r="M268" s="153" t="n"/>
      <c r="N268" s="153" t="n"/>
      <c r="O268" s="153" t="n"/>
      <c r="P268" s="153" t="n"/>
      <c r="Q268" s="153" t="n"/>
      <c r="R268" s="153" t="n"/>
      <c r="S268" s="153" t="n"/>
      <c r="T268" s="153" t="n"/>
      <c r="U268" s="153" t="n"/>
      <c r="V268" s="153" t="n"/>
      <c r="W268" s="153" t="n"/>
      <c r="X268" s="153" t="n"/>
      <c r="Y268" s="153" t="n"/>
      <c r="Z268" s="153" t="n"/>
    </row>
    <row r="269" ht="15.75" customHeight="1" s="154">
      <c r="I269" s="153" t="n"/>
      <c r="J269" s="153" t="n"/>
      <c r="K269" s="153" t="n"/>
      <c r="L269" s="153" t="n"/>
      <c r="M269" s="153" t="n"/>
      <c r="N269" s="153" t="n"/>
      <c r="O269" s="153" t="n"/>
      <c r="P269" s="153" t="n"/>
      <c r="Q269" s="153" t="n"/>
      <c r="R269" s="153" t="n"/>
      <c r="S269" s="153" t="n"/>
      <c r="T269" s="153" t="n"/>
      <c r="U269" s="153" t="n"/>
      <c r="V269" s="153" t="n"/>
      <c r="W269" s="153" t="n"/>
      <c r="X269" s="153" t="n"/>
      <c r="Y269" s="153" t="n"/>
      <c r="Z269" s="153" t="n"/>
    </row>
    <row r="270" ht="15.75" customHeight="1" s="154">
      <c r="I270" s="153" t="n"/>
      <c r="J270" s="153" t="n"/>
      <c r="K270" s="153" t="n"/>
      <c r="L270" s="153" t="n"/>
      <c r="M270" s="153" t="n"/>
      <c r="N270" s="153" t="n"/>
      <c r="O270" s="153" t="n"/>
      <c r="P270" s="153" t="n"/>
      <c r="Q270" s="153" t="n"/>
      <c r="R270" s="153" t="n"/>
      <c r="S270" s="153" t="n"/>
      <c r="T270" s="153" t="n"/>
      <c r="U270" s="153" t="n"/>
      <c r="V270" s="153" t="n"/>
      <c r="W270" s="153" t="n"/>
      <c r="X270" s="153" t="n"/>
      <c r="Y270" s="153" t="n"/>
      <c r="Z270" s="153" t="n"/>
    </row>
    <row r="271" ht="15.75" customHeight="1" s="154">
      <c r="I271" s="153" t="n"/>
      <c r="J271" s="153" t="n"/>
      <c r="K271" s="153" t="n"/>
      <c r="L271" s="153" t="n"/>
      <c r="M271" s="153" t="n"/>
      <c r="N271" s="153" t="n"/>
      <c r="O271" s="153" t="n"/>
      <c r="P271" s="153" t="n"/>
      <c r="Q271" s="153" t="n"/>
      <c r="R271" s="153" t="n"/>
      <c r="S271" s="153" t="n"/>
      <c r="T271" s="153" t="n"/>
      <c r="U271" s="153" t="n"/>
      <c r="V271" s="153" t="n"/>
      <c r="W271" s="153" t="n"/>
      <c r="X271" s="153" t="n"/>
      <c r="Y271" s="153" t="n"/>
      <c r="Z271" s="153" t="n"/>
    </row>
    <row r="272" ht="15.75" customHeight="1" s="154">
      <c r="I272" s="153" t="n"/>
      <c r="J272" s="153" t="n"/>
      <c r="K272" s="153" t="n"/>
      <c r="L272" s="153" t="n"/>
      <c r="M272" s="153" t="n"/>
      <c r="N272" s="153" t="n"/>
      <c r="O272" s="153" t="n"/>
      <c r="P272" s="153" t="n"/>
      <c r="Q272" s="153" t="n"/>
      <c r="R272" s="153" t="n"/>
      <c r="S272" s="153" t="n"/>
      <c r="T272" s="153" t="n"/>
      <c r="U272" s="153" t="n"/>
      <c r="V272" s="153" t="n"/>
      <c r="W272" s="153" t="n"/>
      <c r="X272" s="153" t="n"/>
      <c r="Y272" s="153" t="n"/>
      <c r="Z272" s="153" t="n"/>
    </row>
    <row r="273" ht="15.75" customHeight="1" s="154">
      <c r="I273" s="153" t="n"/>
      <c r="J273" s="153" t="n"/>
      <c r="K273" s="153" t="n"/>
      <c r="L273" s="153" t="n"/>
      <c r="M273" s="153" t="n"/>
      <c r="N273" s="153" t="n"/>
      <c r="O273" s="153" t="n"/>
      <c r="P273" s="153" t="n"/>
      <c r="Q273" s="153" t="n"/>
      <c r="R273" s="153" t="n"/>
      <c r="S273" s="153" t="n"/>
      <c r="T273" s="153" t="n"/>
      <c r="U273" s="153" t="n"/>
      <c r="V273" s="153" t="n"/>
      <c r="W273" s="153" t="n"/>
      <c r="X273" s="153" t="n"/>
      <c r="Y273" s="153" t="n"/>
      <c r="Z273" s="153" t="n"/>
    </row>
    <row r="274" ht="15.75" customHeight="1" s="154">
      <c r="I274" s="153" t="n"/>
      <c r="J274" s="153" t="n"/>
      <c r="K274" s="153" t="n"/>
      <c r="L274" s="153" t="n"/>
      <c r="M274" s="153" t="n"/>
      <c r="N274" s="153" t="n"/>
      <c r="O274" s="153" t="n"/>
      <c r="P274" s="153" t="n"/>
      <c r="Q274" s="153" t="n"/>
      <c r="R274" s="153" t="n"/>
      <c r="S274" s="153" t="n"/>
      <c r="T274" s="153" t="n"/>
      <c r="U274" s="153" t="n"/>
      <c r="V274" s="153" t="n"/>
      <c r="W274" s="153" t="n"/>
      <c r="X274" s="153" t="n"/>
      <c r="Y274" s="153" t="n"/>
      <c r="Z274" s="153" t="n"/>
    </row>
    <row r="275" ht="15.75" customHeight="1" s="154">
      <c r="I275" s="153" t="n"/>
      <c r="J275" s="153" t="n"/>
      <c r="K275" s="153" t="n"/>
      <c r="L275" s="153" t="n"/>
      <c r="M275" s="153" t="n"/>
      <c r="N275" s="153" t="n"/>
      <c r="O275" s="153" t="n"/>
      <c r="P275" s="153" t="n"/>
      <c r="Q275" s="153" t="n"/>
      <c r="R275" s="153" t="n"/>
      <c r="S275" s="153" t="n"/>
      <c r="T275" s="153" t="n"/>
      <c r="U275" s="153" t="n"/>
      <c r="V275" s="153" t="n"/>
      <c r="W275" s="153" t="n"/>
      <c r="X275" s="153" t="n"/>
      <c r="Y275" s="153" t="n"/>
      <c r="Z275" s="153" t="n"/>
    </row>
    <row r="276" ht="15.75" customHeight="1" s="154">
      <c r="I276" s="153" t="n"/>
      <c r="J276" s="153" t="n"/>
      <c r="K276" s="153" t="n"/>
      <c r="L276" s="153" t="n"/>
      <c r="M276" s="153" t="n"/>
      <c r="N276" s="153" t="n"/>
      <c r="O276" s="153" t="n"/>
      <c r="P276" s="153" t="n"/>
      <c r="Q276" s="153" t="n"/>
      <c r="R276" s="153" t="n"/>
      <c r="S276" s="153" t="n"/>
      <c r="T276" s="153" t="n"/>
      <c r="U276" s="153" t="n"/>
      <c r="V276" s="153" t="n"/>
      <c r="W276" s="153" t="n"/>
      <c r="X276" s="153" t="n"/>
      <c r="Y276" s="153" t="n"/>
      <c r="Z276" s="153" t="n"/>
    </row>
    <row r="277" ht="15.75" customHeight="1" s="154">
      <c r="I277" s="153" t="n"/>
      <c r="J277" s="153" t="n"/>
      <c r="K277" s="153" t="n"/>
      <c r="L277" s="153" t="n"/>
      <c r="M277" s="153" t="n"/>
      <c r="N277" s="153" t="n"/>
      <c r="O277" s="153" t="n"/>
      <c r="P277" s="153" t="n"/>
      <c r="Q277" s="153" t="n"/>
      <c r="R277" s="153" t="n"/>
      <c r="S277" s="153" t="n"/>
      <c r="T277" s="153" t="n"/>
      <c r="U277" s="153" t="n"/>
      <c r="V277" s="153" t="n"/>
      <c r="W277" s="153" t="n"/>
      <c r="X277" s="153" t="n"/>
      <c r="Y277" s="153" t="n"/>
      <c r="Z277" s="153" t="n"/>
    </row>
    <row r="278" ht="15.75" customHeight="1" s="154">
      <c r="I278" s="153" t="n"/>
      <c r="J278" s="153" t="n"/>
      <c r="K278" s="153" t="n"/>
      <c r="L278" s="153" t="n"/>
      <c r="M278" s="153" t="n"/>
      <c r="N278" s="153" t="n"/>
      <c r="O278" s="153" t="n"/>
      <c r="P278" s="153" t="n"/>
      <c r="Q278" s="153" t="n"/>
      <c r="R278" s="153" t="n"/>
      <c r="S278" s="153" t="n"/>
      <c r="T278" s="153" t="n"/>
      <c r="U278" s="153" t="n"/>
      <c r="V278" s="153" t="n"/>
      <c r="W278" s="153" t="n"/>
      <c r="X278" s="153" t="n"/>
      <c r="Y278" s="153" t="n"/>
      <c r="Z278" s="153" t="n"/>
    </row>
    <row r="279" ht="15.75" customHeight="1" s="154">
      <c r="I279" s="153" t="n"/>
      <c r="J279" s="153" t="n"/>
      <c r="K279" s="153" t="n"/>
      <c r="L279" s="153" t="n"/>
      <c r="M279" s="153" t="n"/>
      <c r="N279" s="153" t="n"/>
      <c r="O279" s="153" t="n"/>
      <c r="P279" s="153" t="n"/>
      <c r="Q279" s="153" t="n"/>
      <c r="R279" s="153" t="n"/>
      <c r="S279" s="153" t="n"/>
      <c r="T279" s="153" t="n"/>
      <c r="U279" s="153" t="n"/>
      <c r="V279" s="153" t="n"/>
      <c r="W279" s="153" t="n"/>
      <c r="X279" s="153" t="n"/>
      <c r="Y279" s="153" t="n"/>
      <c r="Z279" s="153" t="n"/>
    </row>
    <row r="280" ht="15.75" customHeight="1" s="154">
      <c r="I280" s="153" t="n"/>
      <c r="J280" s="153" t="n"/>
      <c r="K280" s="153" t="n"/>
      <c r="L280" s="153" t="n"/>
      <c r="M280" s="153" t="n"/>
      <c r="N280" s="153" t="n"/>
      <c r="O280" s="153" t="n"/>
      <c r="P280" s="153" t="n"/>
      <c r="Q280" s="153" t="n"/>
      <c r="R280" s="153" t="n"/>
      <c r="S280" s="153" t="n"/>
      <c r="T280" s="153" t="n"/>
      <c r="U280" s="153" t="n"/>
      <c r="V280" s="153" t="n"/>
      <c r="W280" s="153" t="n"/>
      <c r="X280" s="153" t="n"/>
      <c r="Y280" s="153" t="n"/>
      <c r="Z280" s="153" t="n"/>
    </row>
    <row r="281" ht="15.75" customHeight="1" s="154">
      <c r="I281" s="153" t="n"/>
      <c r="J281" s="153" t="n"/>
      <c r="K281" s="153" t="n"/>
      <c r="L281" s="153" t="n"/>
      <c r="M281" s="153" t="n"/>
      <c r="N281" s="153" t="n"/>
      <c r="O281" s="153" t="n"/>
      <c r="P281" s="153" t="n"/>
      <c r="Q281" s="153" t="n"/>
      <c r="R281" s="153" t="n"/>
      <c r="S281" s="153" t="n"/>
      <c r="T281" s="153" t="n"/>
      <c r="U281" s="153" t="n"/>
      <c r="V281" s="153" t="n"/>
      <c r="W281" s="153" t="n"/>
      <c r="X281" s="153" t="n"/>
      <c r="Y281" s="153" t="n"/>
      <c r="Z281" s="153" t="n"/>
    </row>
    <row r="282" ht="15.75" customHeight="1" s="154">
      <c r="I282" s="153" t="n"/>
      <c r="J282" s="153" t="n"/>
      <c r="K282" s="153" t="n"/>
      <c r="L282" s="153" t="n"/>
      <c r="M282" s="153" t="n"/>
      <c r="N282" s="153" t="n"/>
      <c r="O282" s="153" t="n"/>
      <c r="P282" s="153" t="n"/>
      <c r="Q282" s="153" t="n"/>
      <c r="R282" s="153" t="n"/>
      <c r="S282" s="153" t="n"/>
      <c r="T282" s="153" t="n"/>
      <c r="U282" s="153" t="n"/>
      <c r="V282" s="153" t="n"/>
      <c r="W282" s="153" t="n"/>
      <c r="X282" s="153" t="n"/>
      <c r="Y282" s="153" t="n"/>
      <c r="Z282" s="153" t="n"/>
    </row>
    <row r="283" ht="15.75" customHeight="1" s="154">
      <c r="I283" s="153" t="n"/>
      <c r="J283" s="153" t="n"/>
      <c r="K283" s="153" t="n"/>
      <c r="L283" s="153" t="n"/>
      <c r="M283" s="153" t="n"/>
      <c r="N283" s="153" t="n"/>
      <c r="O283" s="153" t="n"/>
      <c r="P283" s="153" t="n"/>
      <c r="Q283" s="153" t="n"/>
      <c r="R283" s="153" t="n"/>
      <c r="S283" s="153" t="n"/>
      <c r="T283" s="153" t="n"/>
      <c r="U283" s="153" t="n"/>
      <c r="V283" s="153" t="n"/>
      <c r="W283" s="153" t="n"/>
      <c r="X283" s="153" t="n"/>
      <c r="Y283" s="153" t="n"/>
      <c r="Z283" s="153" t="n"/>
    </row>
    <row r="284" ht="15.75" customHeight="1" s="154">
      <c r="I284" s="153" t="n"/>
      <c r="J284" s="153" t="n"/>
      <c r="K284" s="153" t="n"/>
      <c r="L284" s="153" t="n"/>
      <c r="M284" s="153" t="n"/>
      <c r="N284" s="153" t="n"/>
      <c r="O284" s="153" t="n"/>
      <c r="P284" s="153" t="n"/>
      <c r="Q284" s="153" t="n"/>
      <c r="R284" s="153" t="n"/>
      <c r="S284" s="153" t="n"/>
      <c r="T284" s="153" t="n"/>
      <c r="U284" s="153" t="n"/>
      <c r="V284" s="153" t="n"/>
      <c r="W284" s="153" t="n"/>
      <c r="X284" s="153" t="n"/>
      <c r="Y284" s="153" t="n"/>
      <c r="Z284" s="153" t="n"/>
    </row>
    <row r="285" ht="15.75" customHeight="1" s="154">
      <c r="I285" s="153" t="n"/>
      <c r="J285" s="153" t="n"/>
      <c r="K285" s="153" t="n"/>
      <c r="L285" s="153" t="n"/>
      <c r="M285" s="153" t="n"/>
      <c r="N285" s="153" t="n"/>
      <c r="O285" s="153" t="n"/>
      <c r="P285" s="153" t="n"/>
      <c r="Q285" s="153" t="n"/>
      <c r="R285" s="153" t="n"/>
      <c r="S285" s="153" t="n"/>
      <c r="T285" s="153" t="n"/>
      <c r="U285" s="153" t="n"/>
      <c r="V285" s="153" t="n"/>
      <c r="W285" s="153" t="n"/>
      <c r="X285" s="153" t="n"/>
      <c r="Y285" s="153" t="n"/>
      <c r="Z285" s="153" t="n"/>
    </row>
    <row r="286" ht="15.75" customHeight="1" s="154">
      <c r="I286" s="153" t="n"/>
      <c r="J286" s="153" t="n"/>
      <c r="K286" s="153" t="n"/>
      <c r="L286" s="153" t="n"/>
      <c r="M286" s="153" t="n"/>
      <c r="N286" s="153" t="n"/>
      <c r="O286" s="153" t="n"/>
      <c r="P286" s="153" t="n"/>
      <c r="Q286" s="153" t="n"/>
      <c r="R286" s="153" t="n"/>
      <c r="S286" s="153" t="n"/>
      <c r="T286" s="153" t="n"/>
      <c r="U286" s="153" t="n"/>
      <c r="V286" s="153" t="n"/>
      <c r="W286" s="153" t="n"/>
      <c r="X286" s="153" t="n"/>
      <c r="Y286" s="153" t="n"/>
      <c r="Z286" s="153" t="n"/>
    </row>
    <row r="287" ht="15.75" customHeight="1" s="154">
      <c r="I287" s="153" t="n"/>
      <c r="J287" s="153" t="n"/>
      <c r="K287" s="153" t="n"/>
      <c r="L287" s="153" t="n"/>
      <c r="M287" s="153" t="n"/>
      <c r="N287" s="153" t="n"/>
      <c r="O287" s="153" t="n"/>
      <c r="P287" s="153" t="n"/>
      <c r="Q287" s="153" t="n"/>
      <c r="R287" s="153" t="n"/>
      <c r="S287" s="153" t="n"/>
      <c r="T287" s="153" t="n"/>
      <c r="U287" s="153" t="n"/>
      <c r="V287" s="153" t="n"/>
      <c r="W287" s="153" t="n"/>
      <c r="X287" s="153" t="n"/>
      <c r="Y287" s="153" t="n"/>
      <c r="Z287" s="153" t="n"/>
    </row>
    <row r="288" ht="15.75" customHeight="1" s="154">
      <c r="I288" s="153" t="n"/>
      <c r="J288" s="153" t="n"/>
      <c r="K288" s="153" t="n"/>
      <c r="L288" s="153" t="n"/>
      <c r="M288" s="153" t="n"/>
      <c r="N288" s="153" t="n"/>
      <c r="O288" s="153" t="n"/>
      <c r="P288" s="153" t="n"/>
      <c r="Q288" s="153" t="n"/>
      <c r="R288" s="153" t="n"/>
      <c r="S288" s="153" t="n"/>
      <c r="T288" s="153" t="n"/>
      <c r="U288" s="153" t="n"/>
      <c r="V288" s="153" t="n"/>
      <c r="W288" s="153" t="n"/>
      <c r="X288" s="153" t="n"/>
      <c r="Y288" s="153" t="n"/>
      <c r="Z288" s="153" t="n"/>
    </row>
    <row r="289" ht="15.75" customHeight="1" s="154">
      <c r="I289" s="153" t="n"/>
      <c r="J289" s="153" t="n"/>
      <c r="K289" s="153" t="n"/>
      <c r="L289" s="153" t="n"/>
      <c r="M289" s="153" t="n"/>
      <c r="N289" s="153" t="n"/>
      <c r="O289" s="153" t="n"/>
      <c r="P289" s="153" t="n"/>
      <c r="Q289" s="153" t="n"/>
      <c r="R289" s="153" t="n"/>
      <c r="S289" s="153" t="n"/>
      <c r="T289" s="153" t="n"/>
      <c r="U289" s="153" t="n"/>
      <c r="V289" s="153" t="n"/>
      <c r="W289" s="153" t="n"/>
      <c r="X289" s="153" t="n"/>
      <c r="Y289" s="153" t="n"/>
      <c r="Z289" s="153" t="n"/>
    </row>
    <row r="290" ht="15.75" customHeight="1" s="154">
      <c r="I290" s="153" t="n"/>
      <c r="J290" s="153" t="n"/>
      <c r="K290" s="153" t="n"/>
      <c r="L290" s="153" t="n"/>
      <c r="M290" s="153" t="n"/>
      <c r="N290" s="153" t="n"/>
      <c r="O290" s="153" t="n"/>
      <c r="P290" s="153" t="n"/>
      <c r="Q290" s="153" t="n"/>
      <c r="R290" s="153" t="n"/>
      <c r="S290" s="153" t="n"/>
      <c r="T290" s="153" t="n"/>
      <c r="U290" s="153" t="n"/>
      <c r="V290" s="153" t="n"/>
      <c r="W290" s="153" t="n"/>
      <c r="X290" s="153" t="n"/>
      <c r="Y290" s="153" t="n"/>
      <c r="Z290" s="153" t="n"/>
    </row>
    <row r="291" ht="15.75" customHeight="1" s="154">
      <c r="I291" s="153" t="n"/>
      <c r="J291" s="153" t="n"/>
      <c r="K291" s="153" t="n"/>
      <c r="L291" s="153" t="n"/>
      <c r="M291" s="153" t="n"/>
      <c r="N291" s="153" t="n"/>
      <c r="O291" s="153" t="n"/>
      <c r="P291" s="153" t="n"/>
      <c r="Q291" s="153" t="n"/>
      <c r="R291" s="153" t="n"/>
      <c r="S291" s="153" t="n"/>
      <c r="T291" s="153" t="n"/>
      <c r="U291" s="153" t="n"/>
      <c r="V291" s="153" t="n"/>
      <c r="W291" s="153" t="n"/>
      <c r="X291" s="153" t="n"/>
      <c r="Y291" s="153" t="n"/>
      <c r="Z291" s="153" t="n"/>
    </row>
    <row r="292" ht="15.75" customHeight="1" s="154">
      <c r="I292" s="153" t="n"/>
      <c r="J292" s="153" t="n"/>
      <c r="K292" s="153" t="n"/>
      <c r="L292" s="153" t="n"/>
      <c r="M292" s="153" t="n"/>
      <c r="N292" s="153" t="n"/>
      <c r="O292" s="153" t="n"/>
      <c r="P292" s="153" t="n"/>
      <c r="Q292" s="153" t="n"/>
      <c r="R292" s="153" t="n"/>
      <c r="S292" s="153" t="n"/>
      <c r="T292" s="153" t="n"/>
      <c r="U292" s="153" t="n"/>
      <c r="V292" s="153" t="n"/>
      <c r="W292" s="153" t="n"/>
      <c r="X292" s="153" t="n"/>
      <c r="Y292" s="153" t="n"/>
      <c r="Z292" s="153" t="n"/>
    </row>
    <row r="293" ht="15.75" customHeight="1" s="154">
      <c r="I293" s="153" t="n"/>
      <c r="J293" s="153" t="n"/>
      <c r="K293" s="153" t="n"/>
      <c r="L293" s="153" t="n"/>
      <c r="M293" s="153" t="n"/>
      <c r="N293" s="153" t="n"/>
      <c r="O293" s="153" t="n"/>
      <c r="P293" s="153" t="n"/>
      <c r="Q293" s="153" t="n"/>
      <c r="R293" s="153" t="n"/>
      <c r="S293" s="153" t="n"/>
      <c r="T293" s="153" t="n"/>
      <c r="U293" s="153" t="n"/>
      <c r="V293" s="153" t="n"/>
      <c r="W293" s="153" t="n"/>
      <c r="X293" s="153" t="n"/>
      <c r="Y293" s="153" t="n"/>
      <c r="Z293" s="153" t="n"/>
    </row>
    <row r="294" ht="15.75" customHeight="1" s="154">
      <c r="I294" s="153" t="n"/>
      <c r="J294" s="153" t="n"/>
      <c r="K294" s="153" t="n"/>
      <c r="L294" s="153" t="n"/>
      <c r="M294" s="153" t="n"/>
      <c r="N294" s="153" t="n"/>
      <c r="O294" s="153" t="n"/>
      <c r="P294" s="153" t="n"/>
      <c r="Q294" s="153" t="n"/>
      <c r="R294" s="153" t="n"/>
      <c r="S294" s="153" t="n"/>
      <c r="T294" s="153" t="n"/>
      <c r="U294" s="153" t="n"/>
      <c r="V294" s="153" t="n"/>
      <c r="W294" s="153" t="n"/>
      <c r="X294" s="153" t="n"/>
      <c r="Y294" s="153" t="n"/>
      <c r="Z294" s="153" t="n"/>
    </row>
    <row r="295" ht="15.75" customHeight="1" s="154">
      <c r="I295" s="153" t="n"/>
      <c r="J295" s="153" t="n"/>
      <c r="K295" s="153" t="n"/>
      <c r="L295" s="153" t="n"/>
      <c r="M295" s="153" t="n"/>
      <c r="N295" s="153" t="n"/>
      <c r="O295" s="153" t="n"/>
      <c r="P295" s="153" t="n"/>
      <c r="Q295" s="153" t="n"/>
      <c r="R295" s="153" t="n"/>
      <c r="S295" s="153" t="n"/>
      <c r="T295" s="153" t="n"/>
      <c r="U295" s="153" t="n"/>
      <c r="V295" s="153" t="n"/>
      <c r="W295" s="153" t="n"/>
      <c r="X295" s="153" t="n"/>
      <c r="Y295" s="153" t="n"/>
      <c r="Z295" s="153" t="n"/>
    </row>
    <row r="296" ht="15.75" customHeight="1" s="154">
      <c r="I296" s="153" t="n"/>
      <c r="J296" s="153" t="n"/>
      <c r="K296" s="153" t="n"/>
      <c r="L296" s="153" t="n"/>
      <c r="M296" s="153" t="n"/>
      <c r="N296" s="153" t="n"/>
      <c r="O296" s="153" t="n"/>
      <c r="P296" s="153" t="n"/>
      <c r="Q296" s="153" t="n"/>
      <c r="R296" s="153" t="n"/>
      <c r="S296" s="153" t="n"/>
      <c r="T296" s="153" t="n"/>
      <c r="U296" s="153" t="n"/>
      <c r="V296" s="153" t="n"/>
      <c r="W296" s="153" t="n"/>
      <c r="X296" s="153" t="n"/>
      <c r="Y296" s="153" t="n"/>
      <c r="Z296" s="153" t="n"/>
    </row>
    <row r="297" ht="15.75" customHeight="1" s="154">
      <c r="I297" s="153" t="n"/>
      <c r="J297" s="153" t="n"/>
      <c r="K297" s="153" t="n"/>
      <c r="L297" s="153" t="n"/>
      <c r="M297" s="153" t="n"/>
      <c r="N297" s="153" t="n"/>
      <c r="O297" s="153" t="n"/>
      <c r="P297" s="153" t="n"/>
      <c r="Q297" s="153" t="n"/>
      <c r="R297" s="153" t="n"/>
      <c r="S297" s="153" t="n"/>
      <c r="T297" s="153" t="n"/>
      <c r="U297" s="153" t="n"/>
      <c r="V297" s="153" t="n"/>
      <c r="W297" s="153" t="n"/>
      <c r="X297" s="153" t="n"/>
      <c r="Y297" s="153" t="n"/>
      <c r="Z297" s="153" t="n"/>
    </row>
    <row r="298" ht="15.75" customHeight="1" s="154">
      <c r="I298" s="153" t="n"/>
      <c r="J298" s="153" t="n"/>
      <c r="K298" s="153" t="n"/>
      <c r="L298" s="153" t="n"/>
      <c r="M298" s="153" t="n"/>
      <c r="N298" s="153" t="n"/>
      <c r="O298" s="153" t="n"/>
      <c r="P298" s="153" t="n"/>
      <c r="Q298" s="153" t="n"/>
      <c r="R298" s="153" t="n"/>
      <c r="S298" s="153" t="n"/>
      <c r="T298" s="153" t="n"/>
      <c r="U298" s="153" t="n"/>
      <c r="V298" s="153" t="n"/>
      <c r="W298" s="153" t="n"/>
      <c r="X298" s="153" t="n"/>
      <c r="Y298" s="153" t="n"/>
      <c r="Z298" s="153" t="n"/>
    </row>
    <row r="299" ht="15.75" customHeight="1" s="154">
      <c r="I299" s="153" t="n"/>
      <c r="J299" s="153" t="n"/>
      <c r="K299" s="153" t="n"/>
      <c r="L299" s="153" t="n"/>
      <c r="M299" s="153" t="n"/>
      <c r="N299" s="153" t="n"/>
      <c r="O299" s="153" t="n"/>
      <c r="P299" s="153" t="n"/>
      <c r="Q299" s="153" t="n"/>
      <c r="R299" s="153" t="n"/>
      <c r="S299" s="153" t="n"/>
      <c r="T299" s="153" t="n"/>
      <c r="U299" s="153" t="n"/>
      <c r="V299" s="153" t="n"/>
      <c r="W299" s="153" t="n"/>
      <c r="X299" s="153" t="n"/>
      <c r="Y299" s="153" t="n"/>
      <c r="Z299" s="153" t="n"/>
    </row>
    <row r="300" ht="15.75" customHeight="1" s="154">
      <c r="I300" s="153" t="n"/>
      <c r="J300" s="153" t="n"/>
      <c r="K300" s="153" t="n"/>
      <c r="L300" s="153" t="n"/>
      <c r="M300" s="153" t="n"/>
      <c r="N300" s="153" t="n"/>
      <c r="O300" s="153" t="n"/>
      <c r="P300" s="153" t="n"/>
      <c r="Q300" s="153" t="n"/>
      <c r="R300" s="153" t="n"/>
      <c r="S300" s="153" t="n"/>
      <c r="T300" s="153" t="n"/>
      <c r="U300" s="153" t="n"/>
      <c r="V300" s="153" t="n"/>
      <c r="W300" s="153" t="n"/>
      <c r="X300" s="153" t="n"/>
      <c r="Y300" s="153" t="n"/>
      <c r="Z300" s="153" t="n"/>
    </row>
    <row r="301" ht="15.75" customHeight="1" s="154">
      <c r="I301" s="153" t="n"/>
      <c r="J301" s="153" t="n"/>
      <c r="K301" s="153" t="n"/>
      <c r="L301" s="153" t="n"/>
      <c r="M301" s="153" t="n"/>
      <c r="N301" s="153" t="n"/>
      <c r="O301" s="153" t="n"/>
      <c r="P301" s="153" t="n"/>
      <c r="Q301" s="153" t="n"/>
      <c r="R301" s="153" t="n"/>
      <c r="S301" s="153" t="n"/>
      <c r="T301" s="153" t="n"/>
      <c r="U301" s="153" t="n"/>
      <c r="V301" s="153" t="n"/>
      <c r="W301" s="153" t="n"/>
      <c r="X301" s="153" t="n"/>
      <c r="Y301" s="153" t="n"/>
      <c r="Z301" s="153" t="n"/>
    </row>
    <row r="302" ht="15.75" customHeight="1" s="154">
      <c r="I302" s="153" t="n"/>
      <c r="J302" s="153" t="n"/>
      <c r="K302" s="153" t="n"/>
      <c r="L302" s="153" t="n"/>
      <c r="M302" s="153" t="n"/>
      <c r="N302" s="153" t="n"/>
      <c r="O302" s="153" t="n"/>
      <c r="P302" s="153" t="n"/>
      <c r="Q302" s="153" t="n"/>
      <c r="R302" s="153" t="n"/>
      <c r="S302" s="153" t="n"/>
      <c r="T302" s="153" t="n"/>
      <c r="U302" s="153" t="n"/>
      <c r="V302" s="153" t="n"/>
      <c r="W302" s="153" t="n"/>
      <c r="X302" s="153" t="n"/>
      <c r="Y302" s="153" t="n"/>
      <c r="Z302" s="153" t="n"/>
    </row>
    <row r="303" ht="15.75" customHeight="1" s="154">
      <c r="I303" s="153" t="n"/>
      <c r="J303" s="153" t="n"/>
      <c r="K303" s="153" t="n"/>
      <c r="L303" s="153" t="n"/>
      <c r="M303" s="153" t="n"/>
      <c r="N303" s="153" t="n"/>
      <c r="O303" s="153" t="n"/>
      <c r="P303" s="153" t="n"/>
      <c r="Q303" s="153" t="n"/>
      <c r="R303" s="153" t="n"/>
      <c r="S303" s="153" t="n"/>
      <c r="T303" s="153" t="n"/>
      <c r="U303" s="153" t="n"/>
      <c r="V303" s="153" t="n"/>
      <c r="W303" s="153" t="n"/>
      <c r="X303" s="153" t="n"/>
      <c r="Y303" s="153" t="n"/>
      <c r="Z303" s="153" t="n"/>
    </row>
    <row r="304" ht="15.75" customHeight="1" s="154">
      <c r="I304" s="153" t="n"/>
      <c r="J304" s="153" t="n"/>
      <c r="K304" s="153" t="n"/>
      <c r="L304" s="153" t="n"/>
      <c r="M304" s="153" t="n"/>
      <c r="N304" s="153" t="n"/>
      <c r="O304" s="153" t="n"/>
      <c r="P304" s="153" t="n"/>
      <c r="Q304" s="153" t="n"/>
      <c r="R304" s="153" t="n"/>
      <c r="S304" s="153" t="n"/>
      <c r="T304" s="153" t="n"/>
      <c r="U304" s="153" t="n"/>
      <c r="V304" s="153" t="n"/>
      <c r="W304" s="153" t="n"/>
      <c r="X304" s="153" t="n"/>
      <c r="Y304" s="153" t="n"/>
      <c r="Z304" s="153" t="n"/>
    </row>
    <row r="305" ht="15.75" customHeight="1" s="154">
      <c r="I305" s="153" t="n"/>
      <c r="J305" s="153" t="n"/>
      <c r="K305" s="153" t="n"/>
      <c r="L305" s="153" t="n"/>
      <c r="M305" s="153" t="n"/>
      <c r="N305" s="153" t="n"/>
      <c r="O305" s="153" t="n"/>
      <c r="P305" s="153" t="n"/>
      <c r="Q305" s="153" t="n"/>
      <c r="R305" s="153" t="n"/>
      <c r="S305" s="153" t="n"/>
      <c r="T305" s="153" t="n"/>
      <c r="U305" s="153" t="n"/>
      <c r="V305" s="153" t="n"/>
      <c r="W305" s="153" t="n"/>
      <c r="X305" s="153" t="n"/>
      <c r="Y305" s="153" t="n"/>
      <c r="Z305" s="153" t="n"/>
    </row>
    <row r="306" ht="15.75" customHeight="1" s="154">
      <c r="I306" s="153" t="n"/>
      <c r="J306" s="153" t="n"/>
      <c r="K306" s="153" t="n"/>
      <c r="L306" s="153" t="n"/>
      <c r="M306" s="153" t="n"/>
      <c r="N306" s="153" t="n"/>
      <c r="O306" s="153" t="n"/>
      <c r="P306" s="153" t="n"/>
      <c r="Q306" s="153" t="n"/>
      <c r="R306" s="153" t="n"/>
      <c r="S306" s="153" t="n"/>
      <c r="T306" s="153" t="n"/>
      <c r="U306" s="153" t="n"/>
      <c r="V306" s="153" t="n"/>
      <c r="W306" s="153" t="n"/>
      <c r="X306" s="153" t="n"/>
      <c r="Y306" s="153" t="n"/>
      <c r="Z306" s="153" t="n"/>
    </row>
    <row r="307" ht="15.75" customHeight="1" s="154">
      <c r="I307" s="153" t="n"/>
      <c r="J307" s="153" t="n"/>
      <c r="K307" s="153" t="n"/>
      <c r="L307" s="153" t="n"/>
      <c r="M307" s="153" t="n"/>
      <c r="N307" s="153" t="n"/>
      <c r="O307" s="153" t="n"/>
      <c r="P307" s="153" t="n"/>
      <c r="Q307" s="153" t="n"/>
      <c r="R307" s="153" t="n"/>
      <c r="S307" s="153" t="n"/>
      <c r="T307" s="153" t="n"/>
      <c r="U307" s="153" t="n"/>
      <c r="V307" s="153" t="n"/>
      <c r="W307" s="153" t="n"/>
      <c r="X307" s="153" t="n"/>
      <c r="Y307" s="153" t="n"/>
      <c r="Z307" s="153" t="n"/>
    </row>
    <row r="308" ht="15.75" customHeight="1" s="154">
      <c r="I308" s="153" t="n"/>
      <c r="J308" s="153" t="n"/>
      <c r="K308" s="153" t="n"/>
      <c r="L308" s="153" t="n"/>
      <c r="M308" s="153" t="n"/>
      <c r="N308" s="153" t="n"/>
      <c r="O308" s="153" t="n"/>
      <c r="P308" s="153" t="n"/>
      <c r="Q308" s="153" t="n"/>
      <c r="R308" s="153" t="n"/>
      <c r="S308" s="153" t="n"/>
      <c r="T308" s="153" t="n"/>
      <c r="U308" s="153" t="n"/>
      <c r="V308" s="153" t="n"/>
      <c r="W308" s="153" t="n"/>
      <c r="X308" s="153" t="n"/>
      <c r="Y308" s="153" t="n"/>
      <c r="Z308" s="153" t="n"/>
    </row>
    <row r="309" ht="15.75" customHeight="1" s="154">
      <c r="I309" s="153" t="n"/>
      <c r="J309" s="153" t="n"/>
      <c r="K309" s="153" t="n"/>
      <c r="L309" s="153" t="n"/>
      <c r="M309" s="153" t="n"/>
      <c r="N309" s="153" t="n"/>
      <c r="O309" s="153" t="n"/>
      <c r="P309" s="153" t="n"/>
      <c r="Q309" s="153" t="n"/>
      <c r="R309" s="153" t="n"/>
      <c r="S309" s="153" t="n"/>
      <c r="T309" s="153" t="n"/>
      <c r="U309" s="153" t="n"/>
      <c r="V309" s="153" t="n"/>
      <c r="W309" s="153" t="n"/>
      <c r="X309" s="153" t="n"/>
      <c r="Y309" s="153" t="n"/>
      <c r="Z309" s="153" t="n"/>
    </row>
    <row r="310" ht="15.75" customHeight="1" s="154">
      <c r="I310" s="153" t="n"/>
      <c r="J310" s="153" t="n"/>
      <c r="K310" s="153" t="n"/>
      <c r="L310" s="153" t="n"/>
      <c r="M310" s="153" t="n"/>
      <c r="N310" s="153" t="n"/>
      <c r="O310" s="153" t="n"/>
      <c r="P310" s="153" t="n"/>
      <c r="Q310" s="153" t="n"/>
      <c r="R310" s="153" t="n"/>
      <c r="S310" s="153" t="n"/>
      <c r="T310" s="153" t="n"/>
      <c r="U310" s="153" t="n"/>
      <c r="V310" s="153" t="n"/>
      <c r="W310" s="153" t="n"/>
      <c r="X310" s="153" t="n"/>
      <c r="Y310" s="153" t="n"/>
      <c r="Z310" s="153" t="n"/>
    </row>
    <row r="311" ht="15.75" customHeight="1" s="154">
      <c r="I311" s="153" t="n"/>
      <c r="J311" s="153" t="n"/>
      <c r="K311" s="153" t="n"/>
      <c r="L311" s="153" t="n"/>
      <c r="M311" s="153" t="n"/>
      <c r="N311" s="153" t="n"/>
      <c r="O311" s="153" t="n"/>
      <c r="P311" s="153" t="n"/>
      <c r="Q311" s="153" t="n"/>
      <c r="R311" s="153" t="n"/>
      <c r="S311" s="153" t="n"/>
      <c r="T311" s="153" t="n"/>
      <c r="U311" s="153" t="n"/>
      <c r="V311" s="153" t="n"/>
      <c r="W311" s="153" t="n"/>
      <c r="X311" s="153" t="n"/>
      <c r="Y311" s="153" t="n"/>
      <c r="Z311" s="153" t="n"/>
    </row>
    <row r="312" ht="15.75" customHeight="1" s="154">
      <c r="I312" s="153" t="n"/>
      <c r="J312" s="153" t="n"/>
      <c r="K312" s="153" t="n"/>
      <c r="L312" s="153" t="n"/>
      <c r="M312" s="153" t="n"/>
      <c r="N312" s="153" t="n"/>
      <c r="O312" s="153" t="n"/>
      <c r="P312" s="153" t="n"/>
      <c r="Q312" s="153" t="n"/>
      <c r="R312" s="153" t="n"/>
      <c r="S312" s="153" t="n"/>
      <c r="T312" s="153" t="n"/>
      <c r="U312" s="153" t="n"/>
      <c r="V312" s="153" t="n"/>
      <c r="W312" s="153" t="n"/>
      <c r="X312" s="153" t="n"/>
      <c r="Y312" s="153" t="n"/>
      <c r="Z312" s="153" t="n"/>
    </row>
    <row r="313" ht="15.75" customHeight="1" s="154">
      <c r="I313" s="153" t="n"/>
      <c r="J313" s="153" t="n"/>
      <c r="K313" s="153" t="n"/>
      <c r="L313" s="153" t="n"/>
      <c r="M313" s="153" t="n"/>
      <c r="N313" s="153" t="n"/>
      <c r="O313" s="153" t="n"/>
      <c r="P313" s="153" t="n"/>
      <c r="Q313" s="153" t="n"/>
      <c r="R313" s="153" t="n"/>
      <c r="S313" s="153" t="n"/>
      <c r="T313" s="153" t="n"/>
      <c r="U313" s="153" t="n"/>
      <c r="V313" s="153" t="n"/>
      <c r="W313" s="153" t="n"/>
      <c r="X313" s="153" t="n"/>
      <c r="Y313" s="153" t="n"/>
      <c r="Z313" s="153" t="n"/>
    </row>
    <row r="314" ht="15.75" customHeight="1" s="154">
      <c r="I314" s="153" t="n"/>
      <c r="J314" s="153" t="n"/>
      <c r="K314" s="153" t="n"/>
      <c r="L314" s="153" t="n"/>
      <c r="M314" s="153" t="n"/>
      <c r="N314" s="153" t="n"/>
      <c r="O314" s="153" t="n"/>
      <c r="P314" s="153" t="n"/>
      <c r="Q314" s="153" t="n"/>
      <c r="R314" s="153" t="n"/>
      <c r="S314" s="153" t="n"/>
      <c r="T314" s="153" t="n"/>
      <c r="U314" s="153" t="n"/>
      <c r="V314" s="153" t="n"/>
      <c r="W314" s="153" t="n"/>
      <c r="X314" s="153" t="n"/>
      <c r="Y314" s="153" t="n"/>
      <c r="Z314" s="153" t="n"/>
    </row>
    <row r="315" ht="15.75" customHeight="1" s="154">
      <c r="I315" s="153" t="n"/>
      <c r="J315" s="153" t="n"/>
      <c r="K315" s="153" t="n"/>
      <c r="L315" s="153" t="n"/>
      <c r="M315" s="153" t="n"/>
      <c r="N315" s="153" t="n"/>
      <c r="O315" s="153" t="n"/>
      <c r="P315" s="153" t="n"/>
      <c r="Q315" s="153" t="n"/>
      <c r="R315" s="153" t="n"/>
      <c r="S315" s="153" t="n"/>
      <c r="T315" s="153" t="n"/>
      <c r="U315" s="153" t="n"/>
      <c r="V315" s="153" t="n"/>
      <c r="W315" s="153" t="n"/>
      <c r="X315" s="153" t="n"/>
      <c r="Y315" s="153" t="n"/>
      <c r="Z315" s="153" t="n"/>
    </row>
    <row r="316" ht="15.75" customHeight="1" s="154">
      <c r="I316" s="153" t="n"/>
      <c r="J316" s="153" t="n"/>
      <c r="K316" s="153" t="n"/>
      <c r="L316" s="153" t="n"/>
      <c r="M316" s="153" t="n"/>
      <c r="N316" s="153" t="n"/>
      <c r="O316" s="153" t="n"/>
      <c r="P316" s="153" t="n"/>
      <c r="Q316" s="153" t="n"/>
      <c r="R316" s="153" t="n"/>
      <c r="S316" s="153" t="n"/>
      <c r="T316" s="153" t="n"/>
      <c r="U316" s="153" t="n"/>
      <c r="V316" s="153" t="n"/>
      <c r="W316" s="153" t="n"/>
      <c r="X316" s="153" t="n"/>
      <c r="Y316" s="153" t="n"/>
      <c r="Z316" s="153" t="n"/>
    </row>
    <row r="317" ht="15.75" customHeight="1" s="154">
      <c r="I317" s="153" t="n"/>
      <c r="J317" s="153" t="n"/>
      <c r="K317" s="153" t="n"/>
      <c r="L317" s="153" t="n"/>
      <c r="M317" s="153" t="n"/>
      <c r="N317" s="153" t="n"/>
      <c r="O317" s="153" t="n"/>
      <c r="P317" s="153" t="n"/>
      <c r="Q317" s="153" t="n"/>
      <c r="R317" s="153" t="n"/>
      <c r="S317" s="153" t="n"/>
      <c r="T317" s="153" t="n"/>
      <c r="U317" s="153" t="n"/>
      <c r="V317" s="153" t="n"/>
      <c r="W317" s="153" t="n"/>
      <c r="X317" s="153" t="n"/>
      <c r="Y317" s="153" t="n"/>
      <c r="Z317" s="153" t="n"/>
    </row>
    <row r="318" ht="15.75" customHeight="1" s="154">
      <c r="I318" s="153" t="n"/>
      <c r="J318" s="153" t="n"/>
      <c r="K318" s="153" t="n"/>
      <c r="L318" s="153" t="n"/>
      <c r="M318" s="153" t="n"/>
      <c r="N318" s="153" t="n"/>
      <c r="O318" s="153" t="n"/>
      <c r="P318" s="153" t="n"/>
      <c r="Q318" s="153" t="n"/>
      <c r="R318" s="153" t="n"/>
      <c r="S318" s="153" t="n"/>
      <c r="T318" s="153" t="n"/>
      <c r="U318" s="153" t="n"/>
      <c r="V318" s="153" t="n"/>
      <c r="W318" s="153" t="n"/>
      <c r="X318" s="153" t="n"/>
      <c r="Y318" s="153" t="n"/>
      <c r="Z318" s="153" t="n"/>
    </row>
    <row r="319" ht="15.75" customHeight="1" s="154">
      <c r="I319" s="153" t="n"/>
      <c r="J319" s="153" t="n"/>
      <c r="K319" s="153" t="n"/>
      <c r="L319" s="153" t="n"/>
      <c r="M319" s="153" t="n"/>
      <c r="N319" s="153" t="n"/>
      <c r="O319" s="153" t="n"/>
      <c r="P319" s="153" t="n"/>
      <c r="Q319" s="153" t="n"/>
      <c r="R319" s="153" t="n"/>
      <c r="S319" s="153" t="n"/>
      <c r="T319" s="153" t="n"/>
      <c r="U319" s="153" t="n"/>
      <c r="V319" s="153" t="n"/>
      <c r="W319" s="153" t="n"/>
      <c r="X319" s="153" t="n"/>
      <c r="Y319" s="153" t="n"/>
      <c r="Z319" s="153" t="n"/>
    </row>
    <row r="320" ht="15.75" customHeight="1" s="154">
      <c r="I320" s="153" t="n"/>
      <c r="J320" s="153" t="n"/>
      <c r="K320" s="153" t="n"/>
      <c r="L320" s="153" t="n"/>
      <c r="M320" s="153" t="n"/>
      <c r="N320" s="153" t="n"/>
      <c r="O320" s="153" t="n"/>
      <c r="P320" s="153" t="n"/>
      <c r="Q320" s="153" t="n"/>
      <c r="R320" s="153" t="n"/>
      <c r="S320" s="153" t="n"/>
      <c r="T320" s="153" t="n"/>
      <c r="U320" s="153" t="n"/>
      <c r="V320" s="153" t="n"/>
      <c r="W320" s="153" t="n"/>
      <c r="X320" s="153" t="n"/>
      <c r="Y320" s="153" t="n"/>
      <c r="Z320" s="153" t="n"/>
    </row>
    <row r="321" ht="15.75" customHeight="1" s="154">
      <c r="I321" s="153" t="n"/>
      <c r="J321" s="153" t="n"/>
      <c r="K321" s="153" t="n"/>
      <c r="L321" s="153" t="n"/>
      <c r="M321" s="153" t="n"/>
      <c r="N321" s="153" t="n"/>
      <c r="O321" s="153" t="n"/>
      <c r="P321" s="153" t="n"/>
      <c r="Q321" s="153" t="n"/>
      <c r="R321" s="153" t="n"/>
      <c r="S321" s="153" t="n"/>
      <c r="T321" s="153" t="n"/>
      <c r="U321" s="153" t="n"/>
      <c r="V321" s="153" t="n"/>
      <c r="W321" s="153" t="n"/>
      <c r="X321" s="153" t="n"/>
      <c r="Y321" s="153" t="n"/>
      <c r="Z321" s="153" t="n"/>
    </row>
    <row r="322" ht="15.75" customHeight="1" s="154">
      <c r="I322" s="153" t="n"/>
      <c r="J322" s="153" t="n"/>
      <c r="K322" s="153" t="n"/>
      <c r="L322" s="153" t="n"/>
      <c r="M322" s="153" t="n"/>
      <c r="N322" s="153" t="n"/>
      <c r="O322" s="153" t="n"/>
      <c r="P322" s="153" t="n"/>
      <c r="Q322" s="153" t="n"/>
      <c r="R322" s="153" t="n"/>
      <c r="S322" s="153" t="n"/>
      <c r="T322" s="153" t="n"/>
      <c r="U322" s="153" t="n"/>
      <c r="V322" s="153" t="n"/>
      <c r="W322" s="153" t="n"/>
      <c r="X322" s="153" t="n"/>
      <c r="Y322" s="153" t="n"/>
      <c r="Z322" s="153" t="n"/>
    </row>
    <row r="323" ht="15.75" customHeight="1" s="154">
      <c r="I323" s="153" t="n"/>
      <c r="J323" s="153" t="n"/>
      <c r="K323" s="153" t="n"/>
      <c r="L323" s="153" t="n"/>
      <c r="M323" s="153" t="n"/>
      <c r="N323" s="153" t="n"/>
      <c r="O323" s="153" t="n"/>
      <c r="P323" s="153" t="n"/>
      <c r="Q323" s="153" t="n"/>
      <c r="R323" s="153" t="n"/>
      <c r="S323" s="153" t="n"/>
      <c r="T323" s="153" t="n"/>
      <c r="U323" s="153" t="n"/>
      <c r="V323" s="153" t="n"/>
      <c r="W323" s="153" t="n"/>
      <c r="X323" s="153" t="n"/>
      <c r="Y323" s="153" t="n"/>
      <c r="Z323" s="153" t="n"/>
    </row>
    <row r="324" ht="15.75" customHeight="1" s="154">
      <c r="I324" s="153" t="n"/>
      <c r="J324" s="153" t="n"/>
      <c r="K324" s="153" t="n"/>
      <c r="L324" s="153" t="n"/>
      <c r="M324" s="153" t="n"/>
      <c r="N324" s="153" t="n"/>
      <c r="O324" s="153" t="n"/>
      <c r="P324" s="153" t="n"/>
      <c r="Q324" s="153" t="n"/>
      <c r="R324" s="153" t="n"/>
      <c r="S324" s="153" t="n"/>
      <c r="T324" s="153" t="n"/>
      <c r="U324" s="153" t="n"/>
      <c r="V324" s="153" t="n"/>
      <c r="W324" s="153" t="n"/>
      <c r="X324" s="153" t="n"/>
      <c r="Y324" s="153" t="n"/>
      <c r="Z324" s="153" t="n"/>
    </row>
    <row r="325" ht="15.75" customHeight="1" s="154">
      <c r="I325" s="153" t="n"/>
      <c r="J325" s="153" t="n"/>
      <c r="K325" s="153" t="n"/>
      <c r="L325" s="153" t="n"/>
      <c r="M325" s="153" t="n"/>
      <c r="N325" s="153" t="n"/>
      <c r="O325" s="153" t="n"/>
      <c r="P325" s="153" t="n"/>
      <c r="Q325" s="153" t="n"/>
      <c r="R325" s="153" t="n"/>
      <c r="S325" s="153" t="n"/>
      <c r="T325" s="153" t="n"/>
      <c r="U325" s="153" t="n"/>
      <c r="V325" s="153" t="n"/>
      <c r="W325" s="153" t="n"/>
      <c r="X325" s="153" t="n"/>
      <c r="Y325" s="153" t="n"/>
      <c r="Z325" s="153" t="n"/>
    </row>
    <row r="326" ht="15.75" customHeight="1" s="154">
      <c r="I326" s="153" t="n"/>
      <c r="J326" s="153" t="n"/>
      <c r="K326" s="153" t="n"/>
      <c r="L326" s="153" t="n"/>
      <c r="M326" s="153" t="n"/>
      <c r="N326" s="153" t="n"/>
      <c r="O326" s="153" t="n"/>
      <c r="P326" s="153" t="n"/>
      <c r="Q326" s="153" t="n"/>
      <c r="R326" s="153" t="n"/>
      <c r="S326" s="153" t="n"/>
      <c r="T326" s="153" t="n"/>
      <c r="U326" s="153" t="n"/>
      <c r="V326" s="153" t="n"/>
      <c r="W326" s="153" t="n"/>
      <c r="X326" s="153" t="n"/>
      <c r="Y326" s="153" t="n"/>
      <c r="Z326" s="153" t="n"/>
    </row>
    <row r="327" ht="15.75" customHeight="1" s="154">
      <c r="I327" s="153" t="n"/>
      <c r="J327" s="153" t="n"/>
      <c r="K327" s="153" t="n"/>
      <c r="L327" s="153" t="n"/>
      <c r="M327" s="153" t="n"/>
      <c r="N327" s="153" t="n"/>
      <c r="O327" s="153" t="n"/>
      <c r="P327" s="153" t="n"/>
      <c r="Q327" s="153" t="n"/>
      <c r="R327" s="153" t="n"/>
      <c r="S327" s="153" t="n"/>
      <c r="T327" s="153" t="n"/>
      <c r="U327" s="153" t="n"/>
      <c r="V327" s="153" t="n"/>
      <c r="W327" s="153" t="n"/>
      <c r="X327" s="153" t="n"/>
      <c r="Y327" s="153" t="n"/>
      <c r="Z327" s="153" t="n"/>
    </row>
    <row r="328" ht="15.75" customHeight="1" s="154">
      <c r="I328" s="153" t="n"/>
      <c r="J328" s="153" t="n"/>
      <c r="K328" s="153" t="n"/>
      <c r="L328" s="153" t="n"/>
      <c r="M328" s="153" t="n"/>
      <c r="N328" s="153" t="n"/>
      <c r="O328" s="153" t="n"/>
      <c r="P328" s="153" t="n"/>
      <c r="Q328" s="153" t="n"/>
      <c r="R328" s="153" t="n"/>
      <c r="S328" s="153" t="n"/>
      <c r="T328" s="153" t="n"/>
      <c r="U328" s="153" t="n"/>
      <c r="V328" s="153" t="n"/>
      <c r="W328" s="153" t="n"/>
      <c r="X328" s="153" t="n"/>
      <c r="Y328" s="153" t="n"/>
      <c r="Z328" s="153" t="n"/>
    </row>
    <row r="329" ht="15.75" customHeight="1" s="154">
      <c r="I329" s="153" t="n"/>
      <c r="J329" s="153" t="n"/>
      <c r="K329" s="153" t="n"/>
      <c r="L329" s="153" t="n"/>
      <c r="M329" s="153" t="n"/>
      <c r="N329" s="153" t="n"/>
      <c r="O329" s="153" t="n"/>
      <c r="P329" s="153" t="n"/>
      <c r="Q329" s="153" t="n"/>
      <c r="R329" s="153" t="n"/>
      <c r="S329" s="153" t="n"/>
      <c r="T329" s="153" t="n"/>
      <c r="U329" s="153" t="n"/>
      <c r="V329" s="153" t="n"/>
      <c r="W329" s="153" t="n"/>
      <c r="X329" s="153" t="n"/>
      <c r="Y329" s="153" t="n"/>
      <c r="Z329" s="153" t="n"/>
    </row>
    <row r="330" ht="15.75" customHeight="1" s="154">
      <c r="I330" s="153" t="n"/>
      <c r="J330" s="153" t="n"/>
      <c r="K330" s="153" t="n"/>
      <c r="L330" s="153" t="n"/>
      <c r="M330" s="153" t="n"/>
      <c r="N330" s="153" t="n"/>
      <c r="O330" s="153" t="n"/>
      <c r="P330" s="153" t="n"/>
      <c r="Q330" s="153" t="n"/>
      <c r="R330" s="153" t="n"/>
      <c r="S330" s="153" t="n"/>
      <c r="T330" s="153" t="n"/>
      <c r="U330" s="153" t="n"/>
      <c r="V330" s="153" t="n"/>
      <c r="W330" s="153" t="n"/>
      <c r="X330" s="153" t="n"/>
      <c r="Y330" s="153" t="n"/>
      <c r="Z330" s="153" t="n"/>
    </row>
    <row r="331" ht="15.75" customHeight="1" s="154">
      <c r="I331" s="153" t="n"/>
      <c r="J331" s="153" t="n"/>
      <c r="K331" s="153" t="n"/>
      <c r="L331" s="153" t="n"/>
      <c r="M331" s="153" t="n"/>
      <c r="N331" s="153" t="n"/>
      <c r="O331" s="153" t="n"/>
      <c r="P331" s="153" t="n"/>
      <c r="Q331" s="153" t="n"/>
      <c r="R331" s="153" t="n"/>
      <c r="S331" s="153" t="n"/>
      <c r="T331" s="153" t="n"/>
      <c r="U331" s="153" t="n"/>
      <c r="V331" s="153" t="n"/>
      <c r="W331" s="153" t="n"/>
      <c r="X331" s="153" t="n"/>
      <c r="Y331" s="153" t="n"/>
      <c r="Z331" s="153" t="n"/>
    </row>
    <row r="332" ht="15.75" customHeight="1" s="154">
      <c r="I332" s="153" t="n"/>
      <c r="J332" s="153" t="n"/>
      <c r="K332" s="153" t="n"/>
      <c r="L332" s="153" t="n"/>
      <c r="M332" s="153" t="n"/>
      <c r="N332" s="153" t="n"/>
      <c r="O332" s="153" t="n"/>
      <c r="P332" s="153" t="n"/>
      <c r="Q332" s="153" t="n"/>
      <c r="R332" s="153" t="n"/>
      <c r="S332" s="153" t="n"/>
      <c r="T332" s="153" t="n"/>
      <c r="U332" s="153" t="n"/>
      <c r="V332" s="153" t="n"/>
      <c r="W332" s="153" t="n"/>
      <c r="X332" s="153" t="n"/>
      <c r="Y332" s="153" t="n"/>
      <c r="Z332" s="153" t="n"/>
    </row>
    <row r="333" ht="15.75" customHeight="1" s="154">
      <c r="I333" s="153" t="n"/>
      <c r="J333" s="153" t="n"/>
      <c r="K333" s="153" t="n"/>
      <c r="L333" s="153" t="n"/>
      <c r="M333" s="153" t="n"/>
      <c r="N333" s="153" t="n"/>
      <c r="O333" s="153" t="n"/>
      <c r="P333" s="153" t="n"/>
      <c r="Q333" s="153" t="n"/>
      <c r="R333" s="153" t="n"/>
      <c r="S333" s="153" t="n"/>
      <c r="T333" s="153" t="n"/>
      <c r="U333" s="153" t="n"/>
      <c r="V333" s="153" t="n"/>
      <c r="W333" s="153" t="n"/>
      <c r="X333" s="153" t="n"/>
      <c r="Y333" s="153" t="n"/>
      <c r="Z333" s="153" t="n"/>
    </row>
    <row r="334" ht="15.75" customHeight="1" s="154">
      <c r="I334" s="153" t="n"/>
      <c r="J334" s="153" t="n"/>
      <c r="K334" s="153" t="n"/>
      <c r="L334" s="153" t="n"/>
      <c r="M334" s="153" t="n"/>
      <c r="N334" s="153" t="n"/>
      <c r="O334" s="153" t="n"/>
      <c r="P334" s="153" t="n"/>
      <c r="Q334" s="153" t="n"/>
      <c r="R334" s="153" t="n"/>
      <c r="S334" s="153" t="n"/>
      <c r="T334" s="153" t="n"/>
      <c r="U334" s="153" t="n"/>
      <c r="V334" s="153" t="n"/>
      <c r="W334" s="153" t="n"/>
      <c r="X334" s="153" t="n"/>
      <c r="Y334" s="153" t="n"/>
      <c r="Z334" s="153" t="n"/>
    </row>
    <row r="335" ht="15.75" customHeight="1" s="154">
      <c r="I335" s="153" t="n"/>
      <c r="J335" s="153" t="n"/>
      <c r="K335" s="153" t="n"/>
      <c r="L335" s="153" t="n"/>
      <c r="M335" s="153" t="n"/>
      <c r="N335" s="153" t="n"/>
      <c r="O335" s="153" t="n"/>
      <c r="P335" s="153" t="n"/>
      <c r="Q335" s="153" t="n"/>
      <c r="R335" s="153" t="n"/>
      <c r="S335" s="153" t="n"/>
      <c r="T335" s="153" t="n"/>
      <c r="U335" s="153" t="n"/>
      <c r="V335" s="153" t="n"/>
      <c r="W335" s="153" t="n"/>
      <c r="X335" s="153" t="n"/>
      <c r="Y335" s="153" t="n"/>
      <c r="Z335" s="153" t="n"/>
    </row>
    <row r="336" ht="15.75" customHeight="1" s="154">
      <c r="I336" s="153" t="n"/>
      <c r="J336" s="153" t="n"/>
      <c r="K336" s="153" t="n"/>
      <c r="L336" s="153" t="n"/>
      <c r="M336" s="153" t="n"/>
      <c r="N336" s="153" t="n"/>
      <c r="O336" s="153" t="n"/>
      <c r="P336" s="153" t="n"/>
      <c r="Q336" s="153" t="n"/>
      <c r="R336" s="153" t="n"/>
      <c r="S336" s="153" t="n"/>
      <c r="T336" s="153" t="n"/>
      <c r="U336" s="153" t="n"/>
      <c r="V336" s="153" t="n"/>
      <c r="W336" s="153" t="n"/>
      <c r="X336" s="153" t="n"/>
      <c r="Y336" s="153" t="n"/>
      <c r="Z336" s="153" t="n"/>
    </row>
    <row r="337" ht="15.75" customHeight="1" s="154">
      <c r="I337" s="153" t="n"/>
      <c r="J337" s="153" t="n"/>
      <c r="K337" s="153" t="n"/>
      <c r="L337" s="153" t="n"/>
      <c r="M337" s="153" t="n"/>
      <c r="N337" s="153" t="n"/>
      <c r="O337" s="153" t="n"/>
      <c r="P337" s="153" t="n"/>
      <c r="Q337" s="153" t="n"/>
      <c r="R337" s="153" t="n"/>
      <c r="S337" s="153" t="n"/>
      <c r="T337" s="153" t="n"/>
      <c r="U337" s="153" t="n"/>
      <c r="V337" s="153" t="n"/>
      <c r="W337" s="153" t="n"/>
      <c r="X337" s="153" t="n"/>
      <c r="Y337" s="153" t="n"/>
      <c r="Z337" s="153" t="n"/>
    </row>
    <row r="338" ht="15.75" customHeight="1" s="154">
      <c r="I338" s="153" t="n"/>
      <c r="J338" s="153" t="n"/>
      <c r="K338" s="153" t="n"/>
      <c r="L338" s="153" t="n"/>
      <c r="M338" s="153" t="n"/>
      <c r="N338" s="153" t="n"/>
      <c r="O338" s="153" t="n"/>
      <c r="P338" s="153" t="n"/>
      <c r="Q338" s="153" t="n"/>
      <c r="R338" s="153" t="n"/>
      <c r="S338" s="153" t="n"/>
      <c r="T338" s="153" t="n"/>
      <c r="U338" s="153" t="n"/>
      <c r="V338" s="153" t="n"/>
      <c r="W338" s="153" t="n"/>
      <c r="X338" s="153" t="n"/>
      <c r="Y338" s="153" t="n"/>
      <c r="Z338" s="153" t="n"/>
    </row>
    <row r="339" ht="15.75" customHeight="1" s="154">
      <c r="I339" s="153" t="n"/>
      <c r="J339" s="153" t="n"/>
      <c r="K339" s="153" t="n"/>
      <c r="L339" s="153" t="n"/>
      <c r="M339" s="153" t="n"/>
      <c r="N339" s="153" t="n"/>
      <c r="O339" s="153" t="n"/>
      <c r="P339" s="153" t="n"/>
      <c r="Q339" s="153" t="n"/>
      <c r="R339" s="153" t="n"/>
      <c r="S339" s="153" t="n"/>
      <c r="T339" s="153" t="n"/>
      <c r="U339" s="153" t="n"/>
      <c r="V339" s="153" t="n"/>
      <c r="W339" s="153" t="n"/>
      <c r="X339" s="153" t="n"/>
      <c r="Y339" s="153" t="n"/>
      <c r="Z339" s="153" t="n"/>
    </row>
    <row r="340" ht="15.75" customHeight="1" s="154">
      <c r="I340" s="153" t="n"/>
      <c r="J340" s="153" t="n"/>
      <c r="K340" s="153" t="n"/>
      <c r="L340" s="153" t="n"/>
      <c r="M340" s="153" t="n"/>
      <c r="N340" s="153" t="n"/>
      <c r="O340" s="153" t="n"/>
      <c r="P340" s="153" t="n"/>
      <c r="Q340" s="153" t="n"/>
      <c r="R340" s="153" t="n"/>
      <c r="S340" s="153" t="n"/>
      <c r="T340" s="153" t="n"/>
      <c r="U340" s="153" t="n"/>
      <c r="V340" s="153" t="n"/>
      <c r="W340" s="153" t="n"/>
      <c r="X340" s="153" t="n"/>
      <c r="Y340" s="153" t="n"/>
      <c r="Z340" s="153" t="n"/>
    </row>
    <row r="341" ht="15.75" customHeight="1" s="154">
      <c r="I341" s="153" t="n"/>
      <c r="J341" s="153" t="n"/>
      <c r="K341" s="153" t="n"/>
      <c r="L341" s="153" t="n"/>
      <c r="M341" s="153" t="n"/>
      <c r="N341" s="153" t="n"/>
      <c r="O341" s="153" t="n"/>
      <c r="P341" s="153" t="n"/>
      <c r="Q341" s="153" t="n"/>
      <c r="R341" s="153" t="n"/>
      <c r="S341" s="153" t="n"/>
      <c r="T341" s="153" t="n"/>
      <c r="U341" s="153" t="n"/>
      <c r="V341" s="153" t="n"/>
      <c r="W341" s="153" t="n"/>
      <c r="X341" s="153" t="n"/>
      <c r="Y341" s="153" t="n"/>
      <c r="Z341" s="153" t="n"/>
    </row>
    <row r="342" ht="15.75" customHeight="1" s="154">
      <c r="I342" s="153" t="n"/>
      <c r="J342" s="153" t="n"/>
      <c r="K342" s="153" t="n"/>
      <c r="L342" s="153" t="n"/>
      <c r="M342" s="153" t="n"/>
      <c r="N342" s="153" t="n"/>
      <c r="O342" s="153" t="n"/>
      <c r="P342" s="153" t="n"/>
      <c r="Q342" s="153" t="n"/>
      <c r="R342" s="153" t="n"/>
      <c r="S342" s="153" t="n"/>
      <c r="T342" s="153" t="n"/>
      <c r="U342" s="153" t="n"/>
      <c r="V342" s="153" t="n"/>
      <c r="W342" s="153" t="n"/>
      <c r="X342" s="153" t="n"/>
      <c r="Y342" s="153" t="n"/>
      <c r="Z342" s="153" t="n"/>
    </row>
    <row r="343" ht="15.75" customHeight="1" s="154">
      <c r="I343" s="153" t="n"/>
      <c r="J343" s="153" t="n"/>
      <c r="K343" s="153" t="n"/>
      <c r="L343" s="153" t="n"/>
      <c r="M343" s="153" t="n"/>
      <c r="N343" s="153" t="n"/>
      <c r="O343" s="153" t="n"/>
      <c r="P343" s="153" t="n"/>
      <c r="Q343" s="153" t="n"/>
      <c r="R343" s="153" t="n"/>
      <c r="S343" s="153" t="n"/>
      <c r="T343" s="153" t="n"/>
      <c r="U343" s="153" t="n"/>
      <c r="V343" s="153" t="n"/>
      <c r="W343" s="153" t="n"/>
      <c r="X343" s="153" t="n"/>
      <c r="Y343" s="153" t="n"/>
      <c r="Z343" s="153" t="n"/>
    </row>
    <row r="344" ht="15.75" customHeight="1" s="154">
      <c r="I344" s="153" t="n"/>
      <c r="J344" s="153" t="n"/>
      <c r="K344" s="153" t="n"/>
      <c r="L344" s="153" t="n"/>
      <c r="M344" s="153" t="n"/>
      <c r="N344" s="153" t="n"/>
      <c r="O344" s="153" t="n"/>
      <c r="P344" s="153" t="n"/>
      <c r="Q344" s="153" t="n"/>
      <c r="R344" s="153" t="n"/>
      <c r="S344" s="153" t="n"/>
      <c r="T344" s="153" t="n"/>
      <c r="U344" s="153" t="n"/>
      <c r="V344" s="153" t="n"/>
      <c r="W344" s="153" t="n"/>
      <c r="X344" s="153" t="n"/>
      <c r="Y344" s="153" t="n"/>
      <c r="Z344" s="153" t="n"/>
    </row>
    <row r="345" ht="15.75" customHeight="1" s="154">
      <c r="I345" s="153" t="n"/>
      <c r="J345" s="153" t="n"/>
      <c r="K345" s="153" t="n"/>
      <c r="L345" s="153" t="n"/>
      <c r="M345" s="153" t="n"/>
      <c r="N345" s="153" t="n"/>
      <c r="O345" s="153" t="n"/>
      <c r="P345" s="153" t="n"/>
      <c r="Q345" s="153" t="n"/>
      <c r="R345" s="153" t="n"/>
      <c r="S345" s="153" t="n"/>
      <c r="T345" s="153" t="n"/>
      <c r="U345" s="153" t="n"/>
      <c r="V345" s="153" t="n"/>
      <c r="W345" s="153" t="n"/>
      <c r="X345" s="153" t="n"/>
      <c r="Y345" s="153" t="n"/>
      <c r="Z345" s="153" t="n"/>
    </row>
    <row r="346" ht="15.75" customHeight="1" s="154">
      <c r="I346" s="153" t="n"/>
      <c r="J346" s="153" t="n"/>
      <c r="K346" s="153" t="n"/>
      <c r="L346" s="153" t="n"/>
      <c r="M346" s="153" t="n"/>
      <c r="N346" s="153" t="n"/>
      <c r="O346" s="153" t="n"/>
      <c r="P346" s="153" t="n"/>
      <c r="Q346" s="153" t="n"/>
      <c r="R346" s="153" t="n"/>
      <c r="S346" s="153" t="n"/>
      <c r="T346" s="153" t="n"/>
      <c r="U346" s="153" t="n"/>
      <c r="V346" s="153" t="n"/>
      <c r="W346" s="153" t="n"/>
      <c r="X346" s="153" t="n"/>
      <c r="Y346" s="153" t="n"/>
      <c r="Z346" s="153" t="n"/>
    </row>
    <row r="347" ht="15.75" customHeight="1" s="154">
      <c r="I347" s="153" t="n"/>
      <c r="J347" s="153" t="n"/>
      <c r="K347" s="153" t="n"/>
      <c r="L347" s="153" t="n"/>
      <c r="M347" s="153" t="n"/>
      <c r="N347" s="153" t="n"/>
      <c r="O347" s="153" t="n"/>
      <c r="P347" s="153" t="n"/>
      <c r="Q347" s="153" t="n"/>
      <c r="R347" s="153" t="n"/>
      <c r="S347" s="153" t="n"/>
      <c r="T347" s="153" t="n"/>
      <c r="U347" s="153" t="n"/>
      <c r="V347" s="153" t="n"/>
      <c r="W347" s="153" t="n"/>
      <c r="X347" s="153" t="n"/>
      <c r="Y347" s="153" t="n"/>
      <c r="Z347" s="153" t="n"/>
    </row>
    <row r="348" ht="15.75" customHeight="1" s="154">
      <c r="I348" s="153" t="n"/>
      <c r="J348" s="153" t="n"/>
      <c r="K348" s="153" t="n"/>
      <c r="L348" s="153" t="n"/>
      <c r="M348" s="153" t="n"/>
      <c r="N348" s="153" t="n"/>
      <c r="O348" s="153" t="n"/>
      <c r="P348" s="153" t="n"/>
      <c r="Q348" s="153" t="n"/>
      <c r="R348" s="153" t="n"/>
      <c r="S348" s="153" t="n"/>
      <c r="T348" s="153" t="n"/>
      <c r="U348" s="153" t="n"/>
      <c r="V348" s="153" t="n"/>
      <c r="W348" s="153" t="n"/>
      <c r="X348" s="153" t="n"/>
      <c r="Y348" s="153" t="n"/>
      <c r="Z348" s="153" t="n"/>
    </row>
    <row r="349" ht="15.75" customHeight="1" s="154">
      <c r="I349" s="153" t="n"/>
      <c r="J349" s="153" t="n"/>
      <c r="K349" s="153" t="n"/>
      <c r="L349" s="153" t="n"/>
      <c r="M349" s="153" t="n"/>
      <c r="N349" s="153" t="n"/>
      <c r="O349" s="153" t="n"/>
      <c r="P349" s="153" t="n"/>
      <c r="Q349" s="153" t="n"/>
      <c r="R349" s="153" t="n"/>
      <c r="S349" s="153" t="n"/>
      <c r="T349" s="153" t="n"/>
      <c r="U349" s="153" t="n"/>
      <c r="V349" s="153" t="n"/>
      <c r="W349" s="153" t="n"/>
      <c r="X349" s="153" t="n"/>
      <c r="Y349" s="153" t="n"/>
      <c r="Z349" s="153" t="n"/>
    </row>
    <row r="350" ht="15.75" customHeight="1" s="154">
      <c r="I350" s="153" t="n"/>
      <c r="J350" s="153" t="n"/>
      <c r="K350" s="153" t="n"/>
      <c r="L350" s="153" t="n"/>
      <c r="M350" s="153" t="n"/>
      <c r="N350" s="153" t="n"/>
      <c r="O350" s="153" t="n"/>
      <c r="P350" s="153" t="n"/>
      <c r="Q350" s="153" t="n"/>
      <c r="R350" s="153" t="n"/>
      <c r="S350" s="153" t="n"/>
      <c r="T350" s="153" t="n"/>
      <c r="U350" s="153" t="n"/>
      <c r="V350" s="153" t="n"/>
      <c r="W350" s="153" t="n"/>
      <c r="X350" s="153" t="n"/>
      <c r="Y350" s="153" t="n"/>
      <c r="Z350" s="153" t="n"/>
    </row>
    <row r="351" ht="15.75" customHeight="1" s="154">
      <c r="I351" s="153" t="n"/>
      <c r="J351" s="153" t="n"/>
      <c r="K351" s="153" t="n"/>
      <c r="L351" s="153" t="n"/>
      <c r="M351" s="153" t="n"/>
      <c r="N351" s="153" t="n"/>
      <c r="O351" s="153" t="n"/>
      <c r="P351" s="153" t="n"/>
      <c r="Q351" s="153" t="n"/>
      <c r="R351" s="153" t="n"/>
      <c r="S351" s="153" t="n"/>
      <c r="T351" s="153" t="n"/>
      <c r="U351" s="153" t="n"/>
      <c r="V351" s="153" t="n"/>
      <c r="W351" s="153" t="n"/>
      <c r="X351" s="153" t="n"/>
      <c r="Y351" s="153" t="n"/>
      <c r="Z351" s="153" t="n"/>
    </row>
    <row r="352" ht="15.75" customHeight="1" s="154">
      <c r="I352" s="153" t="n"/>
      <c r="J352" s="153" t="n"/>
      <c r="K352" s="153" t="n"/>
      <c r="L352" s="153" t="n"/>
      <c r="M352" s="153" t="n"/>
      <c r="N352" s="153" t="n"/>
      <c r="O352" s="153" t="n"/>
      <c r="P352" s="153" t="n"/>
      <c r="Q352" s="153" t="n"/>
      <c r="R352" s="153" t="n"/>
      <c r="S352" s="153" t="n"/>
      <c r="T352" s="153" t="n"/>
      <c r="U352" s="153" t="n"/>
      <c r="V352" s="153" t="n"/>
      <c r="W352" s="153" t="n"/>
      <c r="X352" s="153" t="n"/>
      <c r="Y352" s="153" t="n"/>
      <c r="Z352" s="153" t="n"/>
    </row>
    <row r="353" ht="15.75" customHeight="1" s="154">
      <c r="I353" s="153" t="n"/>
      <c r="J353" s="153" t="n"/>
      <c r="K353" s="153" t="n"/>
      <c r="L353" s="153" t="n"/>
      <c r="M353" s="153" t="n"/>
      <c r="N353" s="153" t="n"/>
      <c r="O353" s="153" t="n"/>
      <c r="P353" s="153" t="n"/>
      <c r="Q353" s="153" t="n"/>
      <c r="R353" s="153" t="n"/>
      <c r="S353" s="153" t="n"/>
      <c r="T353" s="153" t="n"/>
      <c r="U353" s="153" t="n"/>
      <c r="V353" s="153" t="n"/>
      <c r="W353" s="153" t="n"/>
      <c r="X353" s="153" t="n"/>
      <c r="Y353" s="153" t="n"/>
      <c r="Z353" s="153" t="n"/>
    </row>
    <row r="354" ht="15.75" customHeight="1" s="154">
      <c r="I354" s="153" t="n"/>
      <c r="J354" s="153" t="n"/>
      <c r="K354" s="153" t="n"/>
      <c r="L354" s="153" t="n"/>
      <c r="M354" s="153" t="n"/>
      <c r="N354" s="153" t="n"/>
      <c r="O354" s="153" t="n"/>
      <c r="P354" s="153" t="n"/>
      <c r="Q354" s="153" t="n"/>
      <c r="R354" s="153" t="n"/>
      <c r="S354" s="153" t="n"/>
      <c r="T354" s="153" t="n"/>
      <c r="U354" s="153" t="n"/>
      <c r="V354" s="153" t="n"/>
      <c r="W354" s="153" t="n"/>
      <c r="X354" s="153" t="n"/>
      <c r="Y354" s="153" t="n"/>
      <c r="Z354" s="153" t="n"/>
    </row>
    <row r="355" ht="15.75" customHeight="1" s="154">
      <c r="I355" s="153" t="n"/>
      <c r="J355" s="153" t="n"/>
      <c r="K355" s="153" t="n"/>
      <c r="L355" s="153" t="n"/>
      <c r="M355" s="153" t="n"/>
      <c r="N355" s="153" t="n"/>
      <c r="O355" s="153" t="n"/>
      <c r="P355" s="153" t="n"/>
      <c r="Q355" s="153" t="n"/>
      <c r="R355" s="153" t="n"/>
      <c r="S355" s="153" t="n"/>
      <c r="T355" s="153" t="n"/>
      <c r="U355" s="153" t="n"/>
      <c r="V355" s="153" t="n"/>
      <c r="W355" s="153" t="n"/>
      <c r="X355" s="153" t="n"/>
      <c r="Y355" s="153" t="n"/>
      <c r="Z355" s="153" t="n"/>
    </row>
    <row r="356" ht="15.75" customHeight="1" s="154">
      <c r="I356" s="153" t="n"/>
      <c r="J356" s="153" t="n"/>
      <c r="K356" s="153" t="n"/>
      <c r="L356" s="153" t="n"/>
      <c r="M356" s="153" t="n"/>
      <c r="N356" s="153" t="n"/>
      <c r="O356" s="153" t="n"/>
      <c r="P356" s="153" t="n"/>
      <c r="Q356" s="153" t="n"/>
      <c r="R356" s="153" t="n"/>
      <c r="S356" s="153" t="n"/>
      <c r="T356" s="153" t="n"/>
      <c r="U356" s="153" t="n"/>
      <c r="V356" s="153" t="n"/>
      <c r="W356" s="153" t="n"/>
      <c r="X356" s="153" t="n"/>
      <c r="Y356" s="153" t="n"/>
      <c r="Z356" s="153" t="n"/>
    </row>
    <row r="357" ht="15.75" customHeight="1" s="154">
      <c r="I357" s="153" t="n"/>
      <c r="J357" s="153" t="n"/>
      <c r="K357" s="153" t="n"/>
      <c r="L357" s="153" t="n"/>
      <c r="M357" s="153" t="n"/>
      <c r="N357" s="153" t="n"/>
      <c r="O357" s="153" t="n"/>
      <c r="P357" s="153" t="n"/>
      <c r="Q357" s="153" t="n"/>
      <c r="R357" s="153" t="n"/>
      <c r="S357" s="153" t="n"/>
      <c r="T357" s="153" t="n"/>
      <c r="U357" s="153" t="n"/>
      <c r="V357" s="153" t="n"/>
      <c r="W357" s="153" t="n"/>
      <c r="X357" s="153" t="n"/>
      <c r="Y357" s="153" t="n"/>
      <c r="Z357" s="153" t="n"/>
    </row>
    <row r="358" ht="15.75" customHeight="1" s="154">
      <c r="I358" s="153" t="n"/>
      <c r="J358" s="153" t="n"/>
      <c r="K358" s="153" t="n"/>
      <c r="L358" s="153" t="n"/>
      <c r="M358" s="153" t="n"/>
      <c r="N358" s="153" t="n"/>
      <c r="O358" s="153" t="n"/>
      <c r="P358" s="153" t="n"/>
      <c r="Q358" s="153" t="n"/>
      <c r="R358" s="153" t="n"/>
      <c r="S358" s="153" t="n"/>
      <c r="T358" s="153" t="n"/>
      <c r="U358" s="153" t="n"/>
      <c r="V358" s="153" t="n"/>
      <c r="W358" s="153" t="n"/>
      <c r="X358" s="153" t="n"/>
      <c r="Y358" s="153" t="n"/>
      <c r="Z358" s="153" t="n"/>
    </row>
    <row r="359" ht="15.75" customHeight="1" s="154">
      <c r="I359" s="153" t="n"/>
      <c r="J359" s="153" t="n"/>
      <c r="K359" s="153" t="n"/>
      <c r="L359" s="153" t="n"/>
      <c r="M359" s="153" t="n"/>
      <c r="N359" s="153" t="n"/>
      <c r="O359" s="153" t="n"/>
      <c r="P359" s="153" t="n"/>
      <c r="Q359" s="153" t="n"/>
      <c r="R359" s="153" t="n"/>
      <c r="S359" s="153" t="n"/>
      <c r="T359" s="153" t="n"/>
      <c r="U359" s="153" t="n"/>
      <c r="V359" s="153" t="n"/>
      <c r="W359" s="153" t="n"/>
      <c r="X359" s="153" t="n"/>
      <c r="Y359" s="153" t="n"/>
      <c r="Z359" s="153" t="n"/>
    </row>
    <row r="360" ht="15.75" customHeight="1" s="154">
      <c r="I360" s="153" t="n"/>
      <c r="J360" s="153" t="n"/>
      <c r="K360" s="153" t="n"/>
      <c r="L360" s="153" t="n"/>
      <c r="M360" s="153" t="n"/>
      <c r="N360" s="153" t="n"/>
      <c r="O360" s="153" t="n"/>
      <c r="P360" s="153" t="n"/>
      <c r="Q360" s="153" t="n"/>
      <c r="R360" s="153" t="n"/>
      <c r="S360" s="153" t="n"/>
      <c r="T360" s="153" t="n"/>
      <c r="U360" s="153" t="n"/>
      <c r="V360" s="153" t="n"/>
      <c r="W360" s="153" t="n"/>
      <c r="X360" s="153" t="n"/>
      <c r="Y360" s="153" t="n"/>
      <c r="Z360" s="153" t="n"/>
    </row>
    <row r="361" ht="15.75" customHeight="1" s="154">
      <c r="I361" s="153" t="n"/>
      <c r="J361" s="153" t="n"/>
      <c r="K361" s="153" t="n"/>
      <c r="L361" s="153" t="n"/>
      <c r="M361" s="153" t="n"/>
      <c r="N361" s="153" t="n"/>
      <c r="O361" s="153" t="n"/>
      <c r="P361" s="153" t="n"/>
      <c r="Q361" s="153" t="n"/>
      <c r="R361" s="153" t="n"/>
      <c r="S361" s="153" t="n"/>
      <c r="T361" s="153" t="n"/>
      <c r="U361" s="153" t="n"/>
      <c r="V361" s="153" t="n"/>
      <c r="W361" s="153" t="n"/>
      <c r="X361" s="153" t="n"/>
      <c r="Y361" s="153" t="n"/>
      <c r="Z361" s="153" t="n"/>
    </row>
    <row r="362" ht="15.75" customHeight="1" s="154">
      <c r="I362" s="153" t="n"/>
      <c r="J362" s="153" t="n"/>
      <c r="K362" s="153" t="n"/>
      <c r="L362" s="153" t="n"/>
      <c r="M362" s="153" t="n"/>
      <c r="N362" s="153" t="n"/>
      <c r="O362" s="153" t="n"/>
      <c r="P362" s="153" t="n"/>
      <c r="Q362" s="153" t="n"/>
      <c r="R362" s="153" t="n"/>
      <c r="S362" s="153" t="n"/>
      <c r="T362" s="153" t="n"/>
      <c r="U362" s="153" t="n"/>
      <c r="V362" s="153" t="n"/>
      <c r="W362" s="153" t="n"/>
      <c r="X362" s="153" t="n"/>
      <c r="Y362" s="153" t="n"/>
      <c r="Z362" s="153" t="n"/>
    </row>
    <row r="363" ht="15.75" customHeight="1" s="154">
      <c r="I363" s="153" t="n"/>
      <c r="J363" s="153" t="n"/>
      <c r="K363" s="153" t="n"/>
      <c r="L363" s="153" t="n"/>
      <c r="M363" s="153" t="n"/>
      <c r="N363" s="153" t="n"/>
      <c r="O363" s="153" t="n"/>
      <c r="P363" s="153" t="n"/>
      <c r="Q363" s="153" t="n"/>
      <c r="R363" s="153" t="n"/>
      <c r="S363" s="153" t="n"/>
      <c r="T363" s="153" t="n"/>
      <c r="U363" s="153" t="n"/>
      <c r="V363" s="153" t="n"/>
      <c r="W363" s="153" t="n"/>
      <c r="X363" s="153" t="n"/>
      <c r="Y363" s="153" t="n"/>
      <c r="Z363" s="153" t="n"/>
    </row>
    <row r="364" ht="15.75" customHeight="1" s="154">
      <c r="I364" s="153" t="n"/>
      <c r="J364" s="153" t="n"/>
      <c r="K364" s="153" t="n"/>
      <c r="L364" s="153" t="n"/>
      <c r="M364" s="153" t="n"/>
      <c r="N364" s="153" t="n"/>
      <c r="O364" s="153" t="n"/>
      <c r="P364" s="153" t="n"/>
      <c r="Q364" s="153" t="n"/>
      <c r="R364" s="153" t="n"/>
      <c r="S364" s="153" t="n"/>
      <c r="T364" s="153" t="n"/>
      <c r="U364" s="153" t="n"/>
      <c r="V364" s="153" t="n"/>
      <c r="W364" s="153" t="n"/>
      <c r="X364" s="153" t="n"/>
      <c r="Y364" s="153" t="n"/>
      <c r="Z364" s="153" t="n"/>
    </row>
    <row r="365" ht="15.75" customHeight="1" s="154">
      <c r="I365" s="153" t="n"/>
      <c r="J365" s="153" t="n"/>
      <c r="K365" s="153" t="n"/>
      <c r="L365" s="153" t="n"/>
      <c r="M365" s="153" t="n"/>
      <c r="N365" s="153" t="n"/>
      <c r="O365" s="153" t="n"/>
      <c r="P365" s="153" t="n"/>
      <c r="Q365" s="153" t="n"/>
      <c r="R365" s="153" t="n"/>
      <c r="S365" s="153" t="n"/>
      <c r="T365" s="153" t="n"/>
      <c r="U365" s="153" t="n"/>
      <c r="V365" s="153" t="n"/>
      <c r="W365" s="153" t="n"/>
      <c r="X365" s="153" t="n"/>
      <c r="Y365" s="153" t="n"/>
      <c r="Z365" s="153" t="n"/>
    </row>
    <row r="366" ht="15.75" customHeight="1" s="154">
      <c r="I366" s="153" t="n"/>
      <c r="J366" s="153" t="n"/>
      <c r="K366" s="153" t="n"/>
      <c r="L366" s="153" t="n"/>
      <c r="M366" s="153" t="n"/>
      <c r="N366" s="153" t="n"/>
      <c r="O366" s="153" t="n"/>
      <c r="P366" s="153" t="n"/>
      <c r="Q366" s="153" t="n"/>
      <c r="R366" s="153" t="n"/>
      <c r="S366" s="153" t="n"/>
      <c r="T366" s="153" t="n"/>
      <c r="U366" s="153" t="n"/>
      <c r="V366" s="153" t="n"/>
      <c r="W366" s="153" t="n"/>
      <c r="X366" s="153" t="n"/>
      <c r="Y366" s="153" t="n"/>
      <c r="Z366" s="153" t="n"/>
    </row>
    <row r="367" ht="15.75" customHeight="1" s="154">
      <c r="I367" s="153" t="n"/>
      <c r="J367" s="153" t="n"/>
      <c r="K367" s="153" t="n"/>
      <c r="L367" s="153" t="n"/>
      <c r="M367" s="153" t="n"/>
      <c r="N367" s="153" t="n"/>
      <c r="O367" s="153" t="n"/>
      <c r="P367" s="153" t="n"/>
      <c r="Q367" s="153" t="n"/>
      <c r="R367" s="153" t="n"/>
      <c r="S367" s="153" t="n"/>
      <c r="T367" s="153" t="n"/>
      <c r="U367" s="153" t="n"/>
      <c r="V367" s="153" t="n"/>
      <c r="W367" s="153" t="n"/>
      <c r="X367" s="153" t="n"/>
      <c r="Y367" s="153" t="n"/>
      <c r="Z367" s="153" t="n"/>
    </row>
    <row r="368" ht="15.75" customHeight="1" s="154">
      <c r="I368" s="153" t="n"/>
      <c r="J368" s="153" t="n"/>
      <c r="K368" s="153" t="n"/>
      <c r="L368" s="153" t="n"/>
      <c r="M368" s="153" t="n"/>
      <c r="N368" s="153" t="n"/>
      <c r="O368" s="153" t="n"/>
      <c r="P368" s="153" t="n"/>
      <c r="Q368" s="153" t="n"/>
      <c r="R368" s="153" t="n"/>
      <c r="S368" s="153" t="n"/>
      <c r="T368" s="153" t="n"/>
      <c r="U368" s="153" t="n"/>
      <c r="V368" s="153" t="n"/>
      <c r="W368" s="153" t="n"/>
      <c r="X368" s="153" t="n"/>
      <c r="Y368" s="153" t="n"/>
      <c r="Z368" s="153" t="n"/>
    </row>
    <row r="369" ht="15.75" customHeight="1" s="154">
      <c r="I369" s="153" t="n"/>
      <c r="J369" s="153" t="n"/>
      <c r="K369" s="153" t="n"/>
      <c r="L369" s="153" t="n"/>
      <c r="M369" s="153" t="n"/>
      <c r="N369" s="153" t="n"/>
      <c r="O369" s="153" t="n"/>
      <c r="P369" s="153" t="n"/>
      <c r="Q369" s="153" t="n"/>
      <c r="R369" s="153" t="n"/>
      <c r="S369" s="153" t="n"/>
      <c r="T369" s="153" t="n"/>
      <c r="U369" s="153" t="n"/>
      <c r="V369" s="153" t="n"/>
      <c r="W369" s="153" t="n"/>
      <c r="X369" s="153" t="n"/>
      <c r="Y369" s="153" t="n"/>
      <c r="Z369" s="153" t="n"/>
    </row>
    <row r="370" ht="15.75" customHeight="1" s="154">
      <c r="I370" s="153" t="n"/>
      <c r="J370" s="153" t="n"/>
      <c r="K370" s="153" t="n"/>
      <c r="L370" s="153" t="n"/>
      <c r="M370" s="153" t="n"/>
      <c r="N370" s="153" t="n"/>
      <c r="O370" s="153" t="n"/>
      <c r="P370" s="153" t="n"/>
      <c r="Q370" s="153" t="n"/>
      <c r="R370" s="153" t="n"/>
      <c r="S370" s="153" t="n"/>
      <c r="T370" s="153" t="n"/>
      <c r="U370" s="153" t="n"/>
      <c r="V370" s="153" t="n"/>
      <c r="W370" s="153" t="n"/>
      <c r="X370" s="153" t="n"/>
      <c r="Y370" s="153" t="n"/>
      <c r="Z370" s="153" t="n"/>
    </row>
    <row r="371" ht="15.75" customHeight="1" s="154">
      <c r="I371" s="153" t="n"/>
      <c r="J371" s="153" t="n"/>
      <c r="K371" s="153" t="n"/>
      <c r="L371" s="153" t="n"/>
      <c r="M371" s="153" t="n"/>
      <c r="N371" s="153" t="n"/>
      <c r="O371" s="153" t="n"/>
      <c r="P371" s="153" t="n"/>
      <c r="Q371" s="153" t="n"/>
      <c r="R371" s="153" t="n"/>
      <c r="S371" s="153" t="n"/>
      <c r="T371" s="153" t="n"/>
      <c r="U371" s="153" t="n"/>
      <c r="V371" s="153" t="n"/>
      <c r="W371" s="153" t="n"/>
      <c r="X371" s="153" t="n"/>
      <c r="Y371" s="153" t="n"/>
      <c r="Z371" s="153" t="n"/>
    </row>
    <row r="372" ht="15.75" customHeight="1" s="154">
      <c r="I372" s="153" t="n"/>
      <c r="J372" s="153" t="n"/>
      <c r="K372" s="153" t="n"/>
      <c r="L372" s="153" t="n"/>
      <c r="M372" s="153" t="n"/>
      <c r="N372" s="153" t="n"/>
      <c r="O372" s="153" t="n"/>
      <c r="P372" s="153" t="n"/>
      <c r="Q372" s="153" t="n"/>
      <c r="R372" s="153" t="n"/>
      <c r="S372" s="153" t="n"/>
      <c r="T372" s="153" t="n"/>
      <c r="U372" s="153" t="n"/>
      <c r="V372" s="153" t="n"/>
      <c r="W372" s="153" t="n"/>
      <c r="X372" s="153" t="n"/>
      <c r="Y372" s="153" t="n"/>
      <c r="Z372" s="153" t="n"/>
    </row>
    <row r="373" ht="15.75" customHeight="1" s="154">
      <c r="I373" s="153" t="n"/>
      <c r="J373" s="153" t="n"/>
      <c r="K373" s="153" t="n"/>
      <c r="L373" s="153" t="n"/>
      <c r="M373" s="153" t="n"/>
      <c r="N373" s="153" t="n"/>
      <c r="O373" s="153" t="n"/>
      <c r="P373" s="153" t="n"/>
      <c r="Q373" s="153" t="n"/>
      <c r="R373" s="153" t="n"/>
      <c r="S373" s="153" t="n"/>
      <c r="T373" s="153" t="n"/>
      <c r="U373" s="153" t="n"/>
      <c r="V373" s="153" t="n"/>
      <c r="W373" s="153" t="n"/>
      <c r="X373" s="153" t="n"/>
      <c r="Y373" s="153" t="n"/>
      <c r="Z373" s="153" t="n"/>
    </row>
    <row r="374" ht="15.75" customHeight="1" s="154">
      <c r="I374" s="153" t="n"/>
      <c r="J374" s="153" t="n"/>
      <c r="K374" s="153" t="n"/>
      <c r="L374" s="153" t="n"/>
      <c r="M374" s="153" t="n"/>
      <c r="N374" s="153" t="n"/>
      <c r="O374" s="153" t="n"/>
      <c r="P374" s="153" t="n"/>
      <c r="Q374" s="153" t="n"/>
      <c r="R374" s="153" t="n"/>
      <c r="S374" s="153" t="n"/>
      <c r="T374" s="153" t="n"/>
      <c r="U374" s="153" t="n"/>
      <c r="V374" s="153" t="n"/>
      <c r="W374" s="153" t="n"/>
      <c r="X374" s="153" t="n"/>
      <c r="Y374" s="153" t="n"/>
      <c r="Z374" s="153" t="n"/>
    </row>
    <row r="375" ht="15.75" customHeight="1" s="154">
      <c r="I375" s="153" t="n"/>
      <c r="J375" s="153" t="n"/>
      <c r="K375" s="153" t="n"/>
      <c r="L375" s="153" t="n"/>
      <c r="M375" s="153" t="n"/>
      <c r="N375" s="153" t="n"/>
      <c r="O375" s="153" t="n"/>
      <c r="P375" s="153" t="n"/>
      <c r="Q375" s="153" t="n"/>
      <c r="R375" s="153" t="n"/>
      <c r="S375" s="153" t="n"/>
      <c r="T375" s="153" t="n"/>
      <c r="U375" s="153" t="n"/>
      <c r="V375" s="153" t="n"/>
      <c r="W375" s="153" t="n"/>
      <c r="X375" s="153" t="n"/>
      <c r="Y375" s="153" t="n"/>
      <c r="Z375" s="153" t="n"/>
    </row>
    <row r="376" ht="15.75" customHeight="1" s="154">
      <c r="I376" s="153" t="n"/>
      <c r="J376" s="153" t="n"/>
      <c r="K376" s="153" t="n"/>
      <c r="L376" s="153" t="n"/>
      <c r="M376" s="153" t="n"/>
      <c r="N376" s="153" t="n"/>
      <c r="O376" s="153" t="n"/>
      <c r="P376" s="153" t="n"/>
      <c r="Q376" s="153" t="n"/>
      <c r="R376" s="153" t="n"/>
      <c r="S376" s="153" t="n"/>
      <c r="T376" s="153" t="n"/>
      <c r="U376" s="153" t="n"/>
      <c r="V376" s="153" t="n"/>
      <c r="W376" s="153" t="n"/>
      <c r="X376" s="153" t="n"/>
      <c r="Y376" s="153" t="n"/>
      <c r="Z376" s="153" t="n"/>
    </row>
    <row r="377" ht="15.75" customHeight="1" s="154">
      <c r="I377" s="153" t="n"/>
      <c r="J377" s="153" t="n"/>
      <c r="K377" s="153" t="n"/>
      <c r="L377" s="153" t="n"/>
      <c r="M377" s="153" t="n"/>
      <c r="N377" s="153" t="n"/>
      <c r="O377" s="153" t="n"/>
      <c r="P377" s="153" t="n"/>
      <c r="Q377" s="153" t="n"/>
      <c r="R377" s="153" t="n"/>
      <c r="S377" s="153" t="n"/>
      <c r="T377" s="153" t="n"/>
      <c r="U377" s="153" t="n"/>
      <c r="V377" s="153" t="n"/>
      <c r="W377" s="153" t="n"/>
      <c r="X377" s="153" t="n"/>
      <c r="Y377" s="153" t="n"/>
      <c r="Z377" s="153" t="n"/>
    </row>
    <row r="378" ht="15.75" customHeight="1" s="154">
      <c r="I378" s="153" t="n"/>
      <c r="J378" s="153" t="n"/>
      <c r="K378" s="153" t="n"/>
      <c r="L378" s="153" t="n"/>
      <c r="M378" s="153" t="n"/>
      <c r="N378" s="153" t="n"/>
      <c r="O378" s="153" t="n"/>
      <c r="P378" s="153" t="n"/>
      <c r="Q378" s="153" t="n"/>
      <c r="R378" s="153" t="n"/>
      <c r="S378" s="153" t="n"/>
      <c r="T378" s="153" t="n"/>
      <c r="U378" s="153" t="n"/>
      <c r="V378" s="153" t="n"/>
      <c r="W378" s="153" t="n"/>
      <c r="X378" s="153" t="n"/>
      <c r="Y378" s="153" t="n"/>
      <c r="Z378" s="153" t="n"/>
    </row>
    <row r="379" ht="15.75" customHeight="1" s="154">
      <c r="I379" s="153" t="n"/>
      <c r="J379" s="153" t="n"/>
      <c r="K379" s="153" t="n"/>
      <c r="L379" s="153" t="n"/>
      <c r="M379" s="153" t="n"/>
      <c r="N379" s="153" t="n"/>
      <c r="O379" s="153" t="n"/>
      <c r="P379" s="153" t="n"/>
      <c r="Q379" s="153" t="n"/>
      <c r="R379" s="153" t="n"/>
      <c r="S379" s="153" t="n"/>
      <c r="T379" s="153" t="n"/>
      <c r="U379" s="153" t="n"/>
      <c r="V379" s="153" t="n"/>
      <c r="W379" s="153" t="n"/>
      <c r="X379" s="153" t="n"/>
      <c r="Y379" s="153" t="n"/>
      <c r="Z379" s="153" t="n"/>
    </row>
    <row r="380" ht="15.75" customHeight="1" s="154">
      <c r="I380" s="153" t="n"/>
      <c r="J380" s="153" t="n"/>
      <c r="K380" s="153" t="n"/>
      <c r="L380" s="153" t="n"/>
      <c r="M380" s="153" t="n"/>
      <c r="N380" s="153" t="n"/>
      <c r="O380" s="153" t="n"/>
      <c r="P380" s="153" t="n"/>
      <c r="Q380" s="153" t="n"/>
      <c r="R380" s="153" t="n"/>
      <c r="S380" s="153" t="n"/>
      <c r="T380" s="153" t="n"/>
      <c r="U380" s="153" t="n"/>
      <c r="V380" s="153" t="n"/>
      <c r="W380" s="153" t="n"/>
      <c r="X380" s="153" t="n"/>
      <c r="Y380" s="153" t="n"/>
      <c r="Z380" s="153" t="n"/>
    </row>
    <row r="381" ht="15.75" customHeight="1" s="154">
      <c r="I381" s="153" t="n"/>
      <c r="J381" s="153" t="n"/>
      <c r="K381" s="153" t="n"/>
      <c r="L381" s="153" t="n"/>
      <c r="M381" s="153" t="n"/>
      <c r="N381" s="153" t="n"/>
      <c r="O381" s="153" t="n"/>
      <c r="P381" s="153" t="n"/>
      <c r="Q381" s="153" t="n"/>
      <c r="R381" s="153" t="n"/>
      <c r="S381" s="153" t="n"/>
      <c r="T381" s="153" t="n"/>
      <c r="U381" s="153" t="n"/>
      <c r="V381" s="153" t="n"/>
      <c r="W381" s="153" t="n"/>
      <c r="X381" s="153" t="n"/>
      <c r="Y381" s="153" t="n"/>
      <c r="Z381" s="153" t="n"/>
    </row>
    <row r="382" ht="15.75" customHeight="1" s="154">
      <c r="I382" s="153" t="n"/>
      <c r="J382" s="153" t="n"/>
      <c r="K382" s="153" t="n"/>
      <c r="L382" s="153" t="n"/>
      <c r="M382" s="153" t="n"/>
      <c r="N382" s="153" t="n"/>
      <c r="O382" s="153" t="n"/>
      <c r="P382" s="153" t="n"/>
      <c r="Q382" s="153" t="n"/>
      <c r="R382" s="153" t="n"/>
      <c r="S382" s="153" t="n"/>
      <c r="T382" s="153" t="n"/>
      <c r="U382" s="153" t="n"/>
      <c r="V382" s="153" t="n"/>
      <c r="W382" s="153" t="n"/>
      <c r="X382" s="153" t="n"/>
      <c r="Y382" s="153" t="n"/>
      <c r="Z382" s="153" t="n"/>
    </row>
    <row r="383" ht="15.75" customHeight="1" s="154">
      <c r="I383" s="153" t="n"/>
      <c r="J383" s="153" t="n"/>
      <c r="K383" s="153" t="n"/>
      <c r="L383" s="153" t="n"/>
      <c r="M383" s="153" t="n"/>
      <c r="N383" s="153" t="n"/>
      <c r="O383" s="153" t="n"/>
      <c r="P383" s="153" t="n"/>
      <c r="Q383" s="153" t="n"/>
      <c r="R383" s="153" t="n"/>
      <c r="S383" s="153" t="n"/>
      <c r="T383" s="153" t="n"/>
      <c r="U383" s="153" t="n"/>
      <c r="V383" s="153" t="n"/>
      <c r="W383" s="153" t="n"/>
      <c r="X383" s="153" t="n"/>
      <c r="Y383" s="153" t="n"/>
      <c r="Z383" s="153" t="n"/>
    </row>
    <row r="384" ht="15.75" customHeight="1" s="154">
      <c r="I384" s="153" t="n"/>
      <c r="J384" s="153" t="n"/>
      <c r="K384" s="153" t="n"/>
      <c r="L384" s="153" t="n"/>
      <c r="M384" s="153" t="n"/>
      <c r="N384" s="153" t="n"/>
      <c r="O384" s="153" t="n"/>
      <c r="P384" s="153" t="n"/>
      <c r="Q384" s="153" t="n"/>
      <c r="R384" s="153" t="n"/>
      <c r="S384" s="153" t="n"/>
      <c r="T384" s="153" t="n"/>
      <c r="U384" s="153" t="n"/>
      <c r="V384" s="153" t="n"/>
      <c r="W384" s="153" t="n"/>
      <c r="X384" s="153" t="n"/>
      <c r="Y384" s="153" t="n"/>
      <c r="Z384" s="153" t="n"/>
    </row>
    <row r="385" ht="15.75" customHeight="1" s="154">
      <c r="I385" s="153" t="n"/>
      <c r="J385" s="153" t="n"/>
      <c r="K385" s="153" t="n"/>
      <c r="L385" s="153" t="n"/>
      <c r="M385" s="153" t="n"/>
      <c r="N385" s="153" t="n"/>
      <c r="O385" s="153" t="n"/>
      <c r="P385" s="153" t="n"/>
      <c r="Q385" s="153" t="n"/>
      <c r="R385" s="153" t="n"/>
      <c r="S385" s="153" t="n"/>
      <c r="T385" s="153" t="n"/>
      <c r="U385" s="153" t="n"/>
      <c r="V385" s="153" t="n"/>
      <c r="W385" s="153" t="n"/>
      <c r="X385" s="153" t="n"/>
      <c r="Y385" s="153" t="n"/>
      <c r="Z385" s="153" t="n"/>
    </row>
    <row r="386" ht="15.75" customHeight="1" s="154">
      <c r="I386" s="153" t="n"/>
      <c r="J386" s="153" t="n"/>
      <c r="K386" s="153" t="n"/>
      <c r="L386" s="153" t="n"/>
      <c r="M386" s="153" t="n"/>
      <c r="N386" s="153" t="n"/>
      <c r="O386" s="153" t="n"/>
      <c r="P386" s="153" t="n"/>
      <c r="Q386" s="153" t="n"/>
      <c r="R386" s="153" t="n"/>
      <c r="S386" s="153" t="n"/>
      <c r="T386" s="153" t="n"/>
      <c r="U386" s="153" t="n"/>
      <c r="V386" s="153" t="n"/>
      <c r="W386" s="153" t="n"/>
      <c r="X386" s="153" t="n"/>
      <c r="Y386" s="153" t="n"/>
      <c r="Z386" s="153" t="n"/>
    </row>
    <row r="387" ht="15.75" customHeight="1" s="154">
      <c r="I387" s="153" t="n"/>
      <c r="J387" s="153" t="n"/>
      <c r="K387" s="153" t="n"/>
      <c r="L387" s="153" t="n"/>
      <c r="M387" s="153" t="n"/>
      <c r="N387" s="153" t="n"/>
      <c r="O387" s="153" t="n"/>
      <c r="P387" s="153" t="n"/>
      <c r="Q387" s="153" t="n"/>
      <c r="R387" s="153" t="n"/>
      <c r="S387" s="153" t="n"/>
      <c r="T387" s="153" t="n"/>
      <c r="U387" s="153" t="n"/>
      <c r="V387" s="153" t="n"/>
      <c r="W387" s="153" t="n"/>
      <c r="X387" s="153" t="n"/>
      <c r="Y387" s="153" t="n"/>
      <c r="Z387" s="153" t="n"/>
    </row>
    <row r="388" ht="15.75" customHeight="1" s="154">
      <c r="I388" s="153" t="n"/>
      <c r="J388" s="153" t="n"/>
      <c r="K388" s="153" t="n"/>
      <c r="L388" s="153" t="n"/>
      <c r="M388" s="153" t="n"/>
      <c r="N388" s="153" t="n"/>
      <c r="O388" s="153" t="n"/>
      <c r="P388" s="153" t="n"/>
      <c r="Q388" s="153" t="n"/>
      <c r="R388" s="153" t="n"/>
      <c r="S388" s="153" t="n"/>
      <c r="T388" s="153" t="n"/>
      <c r="U388" s="153" t="n"/>
      <c r="V388" s="153" t="n"/>
      <c r="W388" s="153" t="n"/>
      <c r="X388" s="153" t="n"/>
      <c r="Y388" s="153" t="n"/>
      <c r="Z388" s="153" t="n"/>
    </row>
    <row r="389" ht="15.75" customHeight="1" s="154">
      <c r="I389" s="153" t="n"/>
      <c r="J389" s="153" t="n"/>
      <c r="K389" s="153" t="n"/>
      <c r="L389" s="153" t="n"/>
      <c r="M389" s="153" t="n"/>
      <c r="N389" s="153" t="n"/>
      <c r="O389" s="153" t="n"/>
      <c r="P389" s="153" t="n"/>
      <c r="Q389" s="153" t="n"/>
      <c r="R389" s="153" t="n"/>
      <c r="S389" s="153" t="n"/>
      <c r="T389" s="153" t="n"/>
      <c r="U389" s="153" t="n"/>
      <c r="V389" s="153" t="n"/>
      <c r="W389" s="153" t="n"/>
      <c r="X389" s="153" t="n"/>
      <c r="Y389" s="153" t="n"/>
      <c r="Z389" s="153" t="n"/>
    </row>
    <row r="390" ht="15.75" customHeight="1" s="154">
      <c r="I390" s="153" t="n"/>
      <c r="J390" s="153" t="n"/>
      <c r="K390" s="153" t="n"/>
      <c r="L390" s="153" t="n"/>
      <c r="M390" s="153" t="n"/>
      <c r="N390" s="153" t="n"/>
      <c r="O390" s="153" t="n"/>
      <c r="P390" s="153" t="n"/>
      <c r="Q390" s="153" t="n"/>
      <c r="R390" s="153" t="n"/>
      <c r="S390" s="153" t="n"/>
      <c r="T390" s="153" t="n"/>
      <c r="U390" s="153" t="n"/>
      <c r="V390" s="153" t="n"/>
      <c r="W390" s="153" t="n"/>
      <c r="X390" s="153" t="n"/>
      <c r="Y390" s="153" t="n"/>
      <c r="Z390" s="153" t="n"/>
    </row>
    <row r="391" ht="15.75" customHeight="1" s="154">
      <c r="I391" s="153" t="n"/>
      <c r="J391" s="153" t="n"/>
      <c r="K391" s="153" t="n"/>
      <c r="L391" s="153" t="n"/>
      <c r="M391" s="153" t="n"/>
      <c r="N391" s="153" t="n"/>
      <c r="O391" s="153" t="n"/>
      <c r="P391" s="153" t="n"/>
      <c r="Q391" s="153" t="n"/>
      <c r="R391" s="153" t="n"/>
      <c r="S391" s="153" t="n"/>
      <c r="T391" s="153" t="n"/>
      <c r="U391" s="153" t="n"/>
      <c r="V391" s="153" t="n"/>
      <c r="W391" s="153" t="n"/>
      <c r="X391" s="153" t="n"/>
      <c r="Y391" s="153" t="n"/>
      <c r="Z391" s="153" t="n"/>
    </row>
    <row r="392" ht="15.75" customHeight="1" s="154">
      <c r="I392" s="153" t="n"/>
      <c r="J392" s="153" t="n"/>
      <c r="K392" s="153" t="n"/>
      <c r="L392" s="153" t="n"/>
      <c r="M392" s="153" t="n"/>
      <c r="N392" s="153" t="n"/>
      <c r="O392" s="153" t="n"/>
      <c r="P392" s="153" t="n"/>
      <c r="Q392" s="153" t="n"/>
      <c r="R392" s="153" t="n"/>
      <c r="S392" s="153" t="n"/>
      <c r="T392" s="153" t="n"/>
      <c r="U392" s="153" t="n"/>
      <c r="V392" s="153" t="n"/>
      <c r="W392" s="153" t="n"/>
      <c r="X392" s="153" t="n"/>
      <c r="Y392" s="153" t="n"/>
      <c r="Z392" s="153" t="n"/>
    </row>
    <row r="393" ht="15.75" customHeight="1" s="154">
      <c r="I393" s="153" t="n"/>
      <c r="J393" s="153" t="n"/>
      <c r="K393" s="153" t="n"/>
      <c r="L393" s="153" t="n"/>
      <c r="M393" s="153" t="n"/>
      <c r="N393" s="153" t="n"/>
      <c r="O393" s="153" t="n"/>
      <c r="P393" s="153" t="n"/>
      <c r="Q393" s="153" t="n"/>
      <c r="R393" s="153" t="n"/>
      <c r="S393" s="153" t="n"/>
      <c r="T393" s="153" t="n"/>
      <c r="U393" s="153" t="n"/>
      <c r="V393" s="153" t="n"/>
      <c r="W393" s="153" t="n"/>
      <c r="X393" s="153" t="n"/>
      <c r="Y393" s="153" t="n"/>
      <c r="Z393" s="153" t="n"/>
    </row>
    <row r="394" ht="15.75" customHeight="1" s="154">
      <c r="I394" s="153" t="n"/>
      <c r="J394" s="153" t="n"/>
      <c r="K394" s="153" t="n"/>
      <c r="L394" s="153" t="n"/>
      <c r="M394" s="153" t="n"/>
      <c r="N394" s="153" t="n"/>
      <c r="O394" s="153" t="n"/>
      <c r="P394" s="153" t="n"/>
      <c r="Q394" s="153" t="n"/>
      <c r="R394" s="153" t="n"/>
      <c r="S394" s="153" t="n"/>
      <c r="T394" s="153" t="n"/>
      <c r="U394" s="153" t="n"/>
      <c r="V394" s="153" t="n"/>
      <c r="W394" s="153" t="n"/>
      <c r="X394" s="153" t="n"/>
      <c r="Y394" s="153" t="n"/>
      <c r="Z394" s="153" t="n"/>
    </row>
    <row r="395" ht="15.75" customHeight="1" s="154">
      <c r="I395" s="153" t="n"/>
      <c r="J395" s="153" t="n"/>
      <c r="K395" s="153" t="n"/>
      <c r="L395" s="153" t="n"/>
      <c r="M395" s="153" t="n"/>
      <c r="N395" s="153" t="n"/>
      <c r="O395" s="153" t="n"/>
      <c r="P395" s="153" t="n"/>
      <c r="Q395" s="153" t="n"/>
      <c r="R395" s="153" t="n"/>
      <c r="S395" s="153" t="n"/>
      <c r="T395" s="153" t="n"/>
      <c r="U395" s="153" t="n"/>
      <c r="V395" s="153" t="n"/>
      <c r="W395" s="153" t="n"/>
      <c r="X395" s="153" t="n"/>
      <c r="Y395" s="153" t="n"/>
      <c r="Z395" s="153" t="n"/>
    </row>
    <row r="396" ht="15.75" customHeight="1" s="154">
      <c r="I396" s="153" t="n"/>
      <c r="J396" s="153" t="n"/>
      <c r="K396" s="153" t="n"/>
      <c r="L396" s="153" t="n"/>
      <c r="M396" s="153" t="n"/>
      <c r="N396" s="153" t="n"/>
      <c r="O396" s="153" t="n"/>
      <c r="P396" s="153" t="n"/>
      <c r="Q396" s="153" t="n"/>
      <c r="R396" s="153" t="n"/>
      <c r="S396" s="153" t="n"/>
      <c r="T396" s="153" t="n"/>
      <c r="U396" s="153" t="n"/>
      <c r="V396" s="153" t="n"/>
      <c r="W396" s="153" t="n"/>
      <c r="X396" s="153" t="n"/>
      <c r="Y396" s="153" t="n"/>
      <c r="Z396" s="153" t="n"/>
    </row>
    <row r="397" ht="15.75" customHeight="1" s="154">
      <c r="I397" s="153" t="n"/>
      <c r="J397" s="153" t="n"/>
      <c r="K397" s="153" t="n"/>
      <c r="L397" s="153" t="n"/>
      <c r="M397" s="153" t="n"/>
      <c r="N397" s="153" t="n"/>
      <c r="O397" s="153" t="n"/>
      <c r="P397" s="153" t="n"/>
      <c r="Q397" s="153" t="n"/>
      <c r="R397" s="153" t="n"/>
      <c r="S397" s="153" t="n"/>
      <c r="T397" s="153" t="n"/>
      <c r="U397" s="153" t="n"/>
      <c r="V397" s="153" t="n"/>
      <c r="W397" s="153" t="n"/>
      <c r="X397" s="153" t="n"/>
      <c r="Y397" s="153" t="n"/>
      <c r="Z397" s="153" t="n"/>
    </row>
    <row r="398" ht="15.75" customHeight="1" s="154">
      <c r="I398" s="153" t="n"/>
      <c r="J398" s="153" t="n"/>
      <c r="K398" s="153" t="n"/>
      <c r="L398" s="153" t="n"/>
      <c r="M398" s="153" t="n"/>
      <c r="N398" s="153" t="n"/>
      <c r="O398" s="153" t="n"/>
      <c r="P398" s="153" t="n"/>
      <c r="Q398" s="153" t="n"/>
      <c r="R398" s="153" t="n"/>
      <c r="S398" s="153" t="n"/>
      <c r="T398" s="153" t="n"/>
      <c r="U398" s="153" t="n"/>
      <c r="V398" s="153" t="n"/>
      <c r="W398" s="153" t="n"/>
      <c r="X398" s="153" t="n"/>
      <c r="Y398" s="153" t="n"/>
      <c r="Z398" s="153" t="n"/>
    </row>
    <row r="399" ht="15.75" customHeight="1" s="154">
      <c r="I399" s="153" t="n"/>
      <c r="J399" s="153" t="n"/>
      <c r="K399" s="153" t="n"/>
      <c r="L399" s="153" t="n"/>
      <c r="M399" s="153" t="n"/>
      <c r="N399" s="153" t="n"/>
      <c r="O399" s="153" t="n"/>
      <c r="P399" s="153" t="n"/>
      <c r="Q399" s="153" t="n"/>
      <c r="R399" s="153" t="n"/>
      <c r="S399" s="153" t="n"/>
      <c r="T399" s="153" t="n"/>
      <c r="U399" s="153" t="n"/>
      <c r="V399" s="153" t="n"/>
      <c r="W399" s="153" t="n"/>
      <c r="X399" s="153" t="n"/>
      <c r="Y399" s="153" t="n"/>
      <c r="Z399" s="153" t="n"/>
    </row>
    <row r="400" ht="15.75" customHeight="1" s="154">
      <c r="I400" s="153" t="n"/>
      <c r="J400" s="153" t="n"/>
      <c r="K400" s="153" t="n"/>
      <c r="L400" s="153" t="n"/>
      <c r="M400" s="153" t="n"/>
      <c r="N400" s="153" t="n"/>
      <c r="O400" s="153" t="n"/>
      <c r="P400" s="153" t="n"/>
      <c r="Q400" s="153" t="n"/>
      <c r="R400" s="153" t="n"/>
      <c r="S400" s="153" t="n"/>
      <c r="T400" s="153" t="n"/>
      <c r="U400" s="153" t="n"/>
      <c r="V400" s="153" t="n"/>
      <c r="W400" s="153" t="n"/>
      <c r="X400" s="153" t="n"/>
      <c r="Y400" s="153" t="n"/>
      <c r="Z400" s="153" t="n"/>
    </row>
    <row r="401" ht="15.75" customHeight="1" s="154">
      <c r="I401" s="153" t="n"/>
      <c r="J401" s="153" t="n"/>
      <c r="K401" s="153" t="n"/>
      <c r="L401" s="153" t="n"/>
      <c r="M401" s="153" t="n"/>
      <c r="N401" s="153" t="n"/>
      <c r="O401" s="153" t="n"/>
      <c r="P401" s="153" t="n"/>
      <c r="Q401" s="153" t="n"/>
      <c r="R401" s="153" t="n"/>
      <c r="S401" s="153" t="n"/>
      <c r="T401" s="153" t="n"/>
      <c r="U401" s="153" t="n"/>
      <c r="V401" s="153" t="n"/>
      <c r="W401" s="153" t="n"/>
      <c r="X401" s="153" t="n"/>
      <c r="Y401" s="153" t="n"/>
      <c r="Z401" s="153" t="n"/>
    </row>
    <row r="402" ht="15.75" customHeight="1" s="154">
      <c r="I402" s="153" t="n"/>
      <c r="J402" s="153" t="n"/>
      <c r="K402" s="153" t="n"/>
      <c r="L402" s="153" t="n"/>
      <c r="M402" s="153" t="n"/>
      <c r="N402" s="153" t="n"/>
      <c r="O402" s="153" t="n"/>
      <c r="P402" s="153" t="n"/>
      <c r="Q402" s="153" t="n"/>
      <c r="R402" s="153" t="n"/>
      <c r="S402" s="153" t="n"/>
      <c r="T402" s="153" t="n"/>
      <c r="U402" s="153" t="n"/>
      <c r="V402" s="153" t="n"/>
      <c r="W402" s="153" t="n"/>
      <c r="X402" s="153" t="n"/>
      <c r="Y402" s="153" t="n"/>
      <c r="Z402" s="153" t="n"/>
    </row>
    <row r="403" ht="15.75" customHeight="1" s="154">
      <c r="I403" s="153" t="n"/>
      <c r="J403" s="153" t="n"/>
      <c r="K403" s="153" t="n"/>
      <c r="L403" s="153" t="n"/>
      <c r="M403" s="153" t="n"/>
      <c r="N403" s="153" t="n"/>
      <c r="O403" s="153" t="n"/>
      <c r="P403" s="153" t="n"/>
      <c r="Q403" s="153" t="n"/>
      <c r="R403" s="153" t="n"/>
      <c r="S403" s="153" t="n"/>
      <c r="T403" s="153" t="n"/>
      <c r="U403" s="153" t="n"/>
      <c r="V403" s="153" t="n"/>
      <c r="W403" s="153" t="n"/>
      <c r="X403" s="153" t="n"/>
      <c r="Y403" s="153" t="n"/>
      <c r="Z403" s="153" t="n"/>
    </row>
    <row r="404" ht="15.75" customHeight="1" s="154">
      <c r="I404" s="153" t="n"/>
      <c r="J404" s="153" t="n"/>
      <c r="K404" s="153" t="n"/>
      <c r="L404" s="153" t="n"/>
      <c r="M404" s="153" t="n"/>
      <c r="N404" s="153" t="n"/>
      <c r="O404" s="153" t="n"/>
      <c r="P404" s="153" t="n"/>
      <c r="Q404" s="153" t="n"/>
      <c r="R404" s="153" t="n"/>
      <c r="S404" s="153" t="n"/>
      <c r="T404" s="153" t="n"/>
      <c r="U404" s="153" t="n"/>
      <c r="V404" s="153" t="n"/>
      <c r="W404" s="153" t="n"/>
      <c r="X404" s="153" t="n"/>
      <c r="Y404" s="153" t="n"/>
      <c r="Z404" s="153" t="n"/>
    </row>
    <row r="405" ht="15.75" customHeight="1" s="154">
      <c r="I405" s="153" t="n"/>
      <c r="J405" s="153" t="n"/>
      <c r="K405" s="153" t="n"/>
      <c r="L405" s="153" t="n"/>
      <c r="M405" s="153" t="n"/>
      <c r="N405" s="153" t="n"/>
      <c r="O405" s="153" t="n"/>
      <c r="P405" s="153" t="n"/>
      <c r="Q405" s="153" t="n"/>
      <c r="R405" s="153" t="n"/>
      <c r="S405" s="153" t="n"/>
      <c r="T405" s="153" t="n"/>
      <c r="U405" s="153" t="n"/>
      <c r="V405" s="153" t="n"/>
      <c r="W405" s="153" t="n"/>
      <c r="X405" s="153" t="n"/>
      <c r="Y405" s="153" t="n"/>
      <c r="Z405" s="153" t="n"/>
    </row>
    <row r="406" ht="15.75" customHeight="1" s="154">
      <c r="I406" s="153" t="n"/>
      <c r="J406" s="153" t="n"/>
      <c r="K406" s="153" t="n"/>
      <c r="L406" s="153" t="n"/>
      <c r="M406" s="153" t="n"/>
      <c r="N406" s="153" t="n"/>
      <c r="O406" s="153" t="n"/>
      <c r="P406" s="153" t="n"/>
      <c r="Q406" s="153" t="n"/>
      <c r="R406" s="153" t="n"/>
      <c r="S406" s="153" t="n"/>
      <c r="T406" s="153" t="n"/>
      <c r="U406" s="153" t="n"/>
      <c r="V406" s="153" t="n"/>
      <c r="W406" s="153" t="n"/>
      <c r="X406" s="153" t="n"/>
      <c r="Y406" s="153" t="n"/>
      <c r="Z406" s="153" t="n"/>
    </row>
    <row r="407" ht="15.75" customHeight="1" s="154">
      <c r="I407" s="153" t="n"/>
      <c r="J407" s="153" t="n"/>
      <c r="K407" s="153" t="n"/>
      <c r="L407" s="153" t="n"/>
      <c r="M407" s="153" t="n"/>
      <c r="N407" s="153" t="n"/>
      <c r="O407" s="153" t="n"/>
      <c r="P407" s="153" t="n"/>
      <c r="Q407" s="153" t="n"/>
      <c r="R407" s="153" t="n"/>
      <c r="S407" s="153" t="n"/>
      <c r="T407" s="153" t="n"/>
      <c r="U407" s="153" t="n"/>
      <c r="V407" s="153" t="n"/>
      <c r="W407" s="153" t="n"/>
      <c r="X407" s="153" t="n"/>
      <c r="Y407" s="153" t="n"/>
      <c r="Z407" s="153" t="n"/>
    </row>
    <row r="408" ht="15.75" customHeight="1" s="154">
      <c r="I408" s="153" t="n"/>
      <c r="J408" s="153" t="n"/>
      <c r="K408" s="153" t="n"/>
      <c r="L408" s="153" t="n"/>
      <c r="M408" s="153" t="n"/>
      <c r="N408" s="153" t="n"/>
      <c r="O408" s="153" t="n"/>
      <c r="P408" s="153" t="n"/>
      <c r="Q408" s="153" t="n"/>
      <c r="R408" s="153" t="n"/>
      <c r="S408" s="153" t="n"/>
      <c r="T408" s="153" t="n"/>
      <c r="U408" s="153" t="n"/>
      <c r="V408" s="153" t="n"/>
      <c r="W408" s="153" t="n"/>
      <c r="X408" s="153" t="n"/>
      <c r="Y408" s="153" t="n"/>
      <c r="Z408" s="153" t="n"/>
    </row>
    <row r="409" ht="15.75" customHeight="1" s="154">
      <c r="I409" s="153" t="n"/>
      <c r="J409" s="153" t="n"/>
      <c r="K409" s="153" t="n"/>
      <c r="L409" s="153" t="n"/>
      <c r="M409" s="153" t="n"/>
      <c r="N409" s="153" t="n"/>
      <c r="O409" s="153" t="n"/>
      <c r="P409" s="153" t="n"/>
      <c r="Q409" s="153" t="n"/>
      <c r="R409" s="153" t="n"/>
      <c r="S409" s="153" t="n"/>
      <c r="T409" s="153" t="n"/>
      <c r="U409" s="153" t="n"/>
      <c r="V409" s="153" t="n"/>
      <c r="W409" s="153" t="n"/>
      <c r="X409" s="153" t="n"/>
      <c r="Y409" s="153" t="n"/>
      <c r="Z409" s="153" t="n"/>
    </row>
    <row r="410" ht="15.75" customHeight="1" s="154">
      <c r="I410" s="153" t="n"/>
      <c r="J410" s="153" t="n"/>
      <c r="K410" s="153" t="n"/>
      <c r="L410" s="153" t="n"/>
      <c r="M410" s="153" t="n"/>
      <c r="N410" s="153" t="n"/>
      <c r="O410" s="153" t="n"/>
      <c r="P410" s="153" t="n"/>
      <c r="Q410" s="153" t="n"/>
      <c r="R410" s="153" t="n"/>
      <c r="S410" s="153" t="n"/>
      <c r="T410" s="153" t="n"/>
      <c r="U410" s="153" t="n"/>
      <c r="V410" s="153" t="n"/>
      <c r="W410" s="153" t="n"/>
      <c r="X410" s="153" t="n"/>
      <c r="Y410" s="153" t="n"/>
      <c r="Z410" s="153" t="n"/>
    </row>
    <row r="411" ht="15.75" customHeight="1" s="154">
      <c r="I411" s="153" t="n"/>
      <c r="J411" s="153" t="n"/>
      <c r="K411" s="153" t="n"/>
      <c r="L411" s="153" t="n"/>
      <c r="M411" s="153" t="n"/>
      <c r="N411" s="153" t="n"/>
      <c r="O411" s="153" t="n"/>
      <c r="P411" s="153" t="n"/>
      <c r="Q411" s="153" t="n"/>
      <c r="R411" s="153" t="n"/>
      <c r="S411" s="153" t="n"/>
      <c r="T411" s="153" t="n"/>
      <c r="U411" s="153" t="n"/>
      <c r="V411" s="153" t="n"/>
      <c r="W411" s="153" t="n"/>
      <c r="X411" s="153" t="n"/>
      <c r="Y411" s="153" t="n"/>
      <c r="Z411" s="153" t="n"/>
    </row>
    <row r="412" ht="15.75" customHeight="1" s="154">
      <c r="I412" s="153" t="n"/>
      <c r="J412" s="153" t="n"/>
      <c r="K412" s="153" t="n"/>
      <c r="L412" s="153" t="n"/>
      <c r="M412" s="153" t="n"/>
      <c r="N412" s="153" t="n"/>
      <c r="O412" s="153" t="n"/>
      <c r="P412" s="153" t="n"/>
      <c r="Q412" s="153" t="n"/>
      <c r="R412" s="153" t="n"/>
      <c r="S412" s="153" t="n"/>
      <c r="T412" s="153" t="n"/>
      <c r="U412" s="153" t="n"/>
      <c r="V412" s="153" t="n"/>
      <c r="W412" s="153" t="n"/>
      <c r="X412" s="153" t="n"/>
      <c r="Y412" s="153" t="n"/>
      <c r="Z412" s="153" t="n"/>
    </row>
    <row r="413" ht="15.75" customHeight="1" s="154">
      <c r="I413" s="153" t="n"/>
      <c r="J413" s="153" t="n"/>
      <c r="K413" s="153" t="n"/>
      <c r="L413" s="153" t="n"/>
      <c r="M413" s="153" t="n"/>
      <c r="N413" s="153" t="n"/>
      <c r="O413" s="153" t="n"/>
      <c r="P413" s="153" t="n"/>
      <c r="Q413" s="153" t="n"/>
      <c r="R413" s="153" t="n"/>
      <c r="S413" s="153" t="n"/>
      <c r="T413" s="153" t="n"/>
      <c r="U413" s="153" t="n"/>
      <c r="V413" s="153" t="n"/>
      <c r="W413" s="153" t="n"/>
      <c r="X413" s="153" t="n"/>
      <c r="Y413" s="153" t="n"/>
      <c r="Z413" s="153" t="n"/>
    </row>
    <row r="414" ht="15.75" customHeight="1" s="154">
      <c r="I414" s="153" t="n"/>
      <c r="J414" s="153" t="n"/>
      <c r="K414" s="153" t="n"/>
      <c r="L414" s="153" t="n"/>
      <c r="M414" s="153" t="n"/>
      <c r="N414" s="153" t="n"/>
      <c r="O414" s="153" t="n"/>
      <c r="P414" s="153" t="n"/>
      <c r="Q414" s="153" t="n"/>
      <c r="R414" s="153" t="n"/>
      <c r="S414" s="153" t="n"/>
      <c r="T414" s="153" t="n"/>
      <c r="U414" s="153" t="n"/>
      <c r="V414" s="153" t="n"/>
      <c r="W414" s="153" t="n"/>
      <c r="X414" s="153" t="n"/>
      <c r="Y414" s="153" t="n"/>
      <c r="Z414" s="153" t="n"/>
    </row>
    <row r="415" ht="15.75" customHeight="1" s="154">
      <c r="I415" s="153" t="n"/>
      <c r="J415" s="153" t="n"/>
      <c r="K415" s="153" t="n"/>
      <c r="L415" s="153" t="n"/>
      <c r="M415" s="153" t="n"/>
      <c r="N415" s="153" t="n"/>
      <c r="O415" s="153" t="n"/>
      <c r="P415" s="153" t="n"/>
      <c r="Q415" s="153" t="n"/>
      <c r="R415" s="153" t="n"/>
      <c r="S415" s="153" t="n"/>
      <c r="T415" s="153" t="n"/>
      <c r="U415" s="153" t="n"/>
      <c r="V415" s="153" t="n"/>
      <c r="W415" s="153" t="n"/>
      <c r="X415" s="153" t="n"/>
      <c r="Y415" s="153" t="n"/>
      <c r="Z415" s="153" t="n"/>
    </row>
    <row r="416" ht="15.75" customHeight="1" s="154">
      <c r="I416" s="153" t="n"/>
      <c r="J416" s="153" t="n"/>
      <c r="K416" s="153" t="n"/>
      <c r="L416" s="153" t="n"/>
      <c r="M416" s="153" t="n"/>
      <c r="N416" s="153" t="n"/>
      <c r="O416" s="153" t="n"/>
      <c r="P416" s="153" t="n"/>
      <c r="Q416" s="153" t="n"/>
      <c r="R416" s="153" t="n"/>
      <c r="S416" s="153" t="n"/>
      <c r="T416" s="153" t="n"/>
      <c r="U416" s="153" t="n"/>
      <c r="V416" s="153" t="n"/>
      <c r="W416" s="153" t="n"/>
      <c r="X416" s="153" t="n"/>
      <c r="Y416" s="153" t="n"/>
      <c r="Z416" s="153" t="n"/>
    </row>
    <row r="417" ht="15.75" customHeight="1" s="154">
      <c r="I417" s="153" t="n"/>
      <c r="J417" s="153" t="n"/>
      <c r="K417" s="153" t="n"/>
      <c r="L417" s="153" t="n"/>
      <c r="M417" s="153" t="n"/>
      <c r="N417" s="153" t="n"/>
      <c r="O417" s="153" t="n"/>
      <c r="P417" s="153" t="n"/>
      <c r="Q417" s="153" t="n"/>
      <c r="R417" s="153" t="n"/>
      <c r="S417" s="153" t="n"/>
      <c r="T417" s="153" t="n"/>
      <c r="U417" s="153" t="n"/>
      <c r="V417" s="153" t="n"/>
      <c r="W417" s="153" t="n"/>
      <c r="X417" s="153" t="n"/>
      <c r="Y417" s="153" t="n"/>
      <c r="Z417" s="153" t="n"/>
    </row>
    <row r="418" ht="15.75" customHeight="1" s="154">
      <c r="I418" s="153" t="n"/>
      <c r="J418" s="153" t="n"/>
      <c r="K418" s="153" t="n"/>
      <c r="L418" s="153" t="n"/>
      <c r="M418" s="153" t="n"/>
      <c r="N418" s="153" t="n"/>
      <c r="O418" s="153" t="n"/>
      <c r="P418" s="153" t="n"/>
      <c r="Q418" s="153" t="n"/>
      <c r="R418" s="153" t="n"/>
      <c r="S418" s="153" t="n"/>
      <c r="T418" s="153" t="n"/>
      <c r="U418" s="153" t="n"/>
      <c r="V418" s="153" t="n"/>
      <c r="W418" s="153" t="n"/>
      <c r="X418" s="153" t="n"/>
      <c r="Y418" s="153" t="n"/>
      <c r="Z418" s="153" t="n"/>
    </row>
    <row r="419" ht="15.75" customHeight="1" s="154">
      <c r="I419" s="153" t="n"/>
      <c r="J419" s="153" t="n"/>
      <c r="K419" s="153" t="n"/>
      <c r="L419" s="153" t="n"/>
      <c r="M419" s="153" t="n"/>
      <c r="N419" s="153" t="n"/>
      <c r="O419" s="153" t="n"/>
      <c r="P419" s="153" t="n"/>
      <c r="Q419" s="153" t="n"/>
      <c r="R419" s="153" t="n"/>
      <c r="S419" s="153" t="n"/>
      <c r="T419" s="153" t="n"/>
      <c r="U419" s="153" t="n"/>
      <c r="V419" s="153" t="n"/>
      <c r="W419" s="153" t="n"/>
      <c r="X419" s="153" t="n"/>
      <c r="Y419" s="153" t="n"/>
      <c r="Z419" s="153" t="n"/>
    </row>
    <row r="420" ht="15.75" customHeight="1" s="154">
      <c r="I420" s="153" t="n"/>
      <c r="J420" s="153" t="n"/>
      <c r="K420" s="153" t="n"/>
      <c r="L420" s="153" t="n"/>
      <c r="M420" s="153" t="n"/>
      <c r="N420" s="153" t="n"/>
      <c r="O420" s="153" t="n"/>
      <c r="P420" s="153" t="n"/>
      <c r="Q420" s="153" t="n"/>
      <c r="R420" s="153" t="n"/>
      <c r="S420" s="153" t="n"/>
      <c r="T420" s="153" t="n"/>
      <c r="U420" s="153" t="n"/>
      <c r="V420" s="153" t="n"/>
      <c r="W420" s="153" t="n"/>
      <c r="X420" s="153" t="n"/>
      <c r="Y420" s="153" t="n"/>
      <c r="Z420" s="153" t="n"/>
    </row>
    <row r="421" ht="15.75" customHeight="1" s="154">
      <c r="I421" s="153" t="n"/>
      <c r="J421" s="153" t="n"/>
      <c r="K421" s="153" t="n"/>
      <c r="L421" s="153" t="n"/>
      <c r="M421" s="153" t="n"/>
      <c r="N421" s="153" t="n"/>
      <c r="O421" s="153" t="n"/>
      <c r="P421" s="153" t="n"/>
      <c r="Q421" s="153" t="n"/>
      <c r="R421" s="153" t="n"/>
      <c r="S421" s="153" t="n"/>
      <c r="T421" s="153" t="n"/>
      <c r="U421" s="153" t="n"/>
      <c r="V421" s="153" t="n"/>
      <c r="W421" s="153" t="n"/>
      <c r="X421" s="153" t="n"/>
      <c r="Y421" s="153" t="n"/>
      <c r="Z421" s="153" t="n"/>
    </row>
    <row r="422" ht="15.75" customHeight="1" s="154">
      <c r="I422" s="153" t="n"/>
      <c r="J422" s="153" t="n"/>
      <c r="K422" s="153" t="n"/>
      <c r="L422" s="153" t="n"/>
      <c r="M422" s="153" t="n"/>
      <c r="N422" s="153" t="n"/>
      <c r="O422" s="153" t="n"/>
      <c r="P422" s="153" t="n"/>
      <c r="Q422" s="153" t="n"/>
      <c r="R422" s="153" t="n"/>
      <c r="S422" s="153" t="n"/>
      <c r="T422" s="153" t="n"/>
      <c r="U422" s="153" t="n"/>
      <c r="V422" s="153" t="n"/>
      <c r="W422" s="153" t="n"/>
      <c r="X422" s="153" t="n"/>
      <c r="Y422" s="153" t="n"/>
      <c r="Z422" s="153" t="n"/>
    </row>
    <row r="423" ht="15.75" customHeight="1" s="154">
      <c r="I423" s="153" t="n"/>
      <c r="J423" s="153" t="n"/>
      <c r="K423" s="153" t="n"/>
      <c r="L423" s="153" t="n"/>
      <c r="M423" s="153" t="n"/>
      <c r="N423" s="153" t="n"/>
      <c r="O423" s="153" t="n"/>
      <c r="P423" s="153" t="n"/>
      <c r="Q423" s="153" t="n"/>
      <c r="R423" s="153" t="n"/>
      <c r="S423" s="153" t="n"/>
      <c r="T423" s="153" t="n"/>
      <c r="U423" s="153" t="n"/>
      <c r="V423" s="153" t="n"/>
      <c r="W423" s="153" t="n"/>
      <c r="X423" s="153" t="n"/>
      <c r="Y423" s="153" t="n"/>
      <c r="Z423" s="153" t="n"/>
    </row>
    <row r="424" ht="15.75" customHeight="1" s="154">
      <c r="I424" s="153" t="n"/>
      <c r="J424" s="153" t="n"/>
      <c r="K424" s="153" t="n"/>
      <c r="L424" s="153" t="n"/>
      <c r="M424" s="153" t="n"/>
      <c r="N424" s="153" t="n"/>
      <c r="O424" s="153" t="n"/>
      <c r="P424" s="153" t="n"/>
      <c r="Q424" s="153" t="n"/>
      <c r="R424" s="153" t="n"/>
      <c r="S424" s="153" t="n"/>
      <c r="T424" s="153" t="n"/>
      <c r="U424" s="153" t="n"/>
      <c r="V424" s="153" t="n"/>
      <c r="W424" s="153" t="n"/>
      <c r="X424" s="153" t="n"/>
      <c r="Y424" s="153" t="n"/>
      <c r="Z424" s="153" t="n"/>
    </row>
    <row r="425" ht="15.75" customHeight="1" s="154">
      <c r="I425" s="153" t="n"/>
      <c r="J425" s="153" t="n"/>
      <c r="K425" s="153" t="n"/>
      <c r="L425" s="153" t="n"/>
      <c r="M425" s="153" t="n"/>
      <c r="N425" s="153" t="n"/>
      <c r="O425" s="153" t="n"/>
      <c r="P425" s="153" t="n"/>
      <c r="Q425" s="153" t="n"/>
      <c r="R425" s="153" t="n"/>
      <c r="S425" s="153" t="n"/>
      <c r="T425" s="153" t="n"/>
      <c r="U425" s="153" t="n"/>
      <c r="V425" s="153" t="n"/>
      <c r="W425" s="153" t="n"/>
      <c r="X425" s="153" t="n"/>
      <c r="Y425" s="153" t="n"/>
      <c r="Z425" s="153" t="n"/>
    </row>
    <row r="426" ht="15.75" customHeight="1" s="154">
      <c r="I426" s="153" t="n"/>
      <c r="J426" s="153" t="n"/>
      <c r="K426" s="153" t="n"/>
      <c r="L426" s="153" t="n"/>
      <c r="M426" s="153" t="n"/>
      <c r="N426" s="153" t="n"/>
      <c r="O426" s="153" t="n"/>
      <c r="P426" s="153" t="n"/>
      <c r="Q426" s="153" t="n"/>
      <c r="R426" s="153" t="n"/>
      <c r="S426" s="153" t="n"/>
      <c r="T426" s="153" t="n"/>
      <c r="U426" s="153" t="n"/>
      <c r="V426" s="153" t="n"/>
      <c r="W426" s="153" t="n"/>
      <c r="X426" s="153" t="n"/>
      <c r="Y426" s="153" t="n"/>
      <c r="Z426" s="153" t="n"/>
    </row>
    <row r="427" ht="15.75" customHeight="1" s="154">
      <c r="I427" s="153" t="n"/>
      <c r="J427" s="153" t="n"/>
      <c r="K427" s="153" t="n"/>
      <c r="L427" s="153" t="n"/>
      <c r="M427" s="153" t="n"/>
      <c r="N427" s="153" t="n"/>
      <c r="O427" s="153" t="n"/>
      <c r="P427" s="153" t="n"/>
      <c r="Q427" s="153" t="n"/>
      <c r="R427" s="153" t="n"/>
      <c r="S427" s="153" t="n"/>
      <c r="T427" s="153" t="n"/>
      <c r="U427" s="153" t="n"/>
      <c r="V427" s="153" t="n"/>
      <c r="W427" s="153" t="n"/>
      <c r="X427" s="153" t="n"/>
      <c r="Y427" s="153" t="n"/>
      <c r="Z427" s="153" t="n"/>
    </row>
    <row r="428" ht="15.75" customHeight="1" s="154">
      <c r="I428" s="153" t="n"/>
      <c r="J428" s="153" t="n"/>
      <c r="K428" s="153" t="n"/>
      <c r="L428" s="153" t="n"/>
      <c r="M428" s="153" t="n"/>
      <c r="N428" s="153" t="n"/>
      <c r="O428" s="153" t="n"/>
      <c r="P428" s="153" t="n"/>
      <c r="Q428" s="153" t="n"/>
      <c r="R428" s="153" t="n"/>
      <c r="S428" s="153" t="n"/>
      <c r="T428" s="153" t="n"/>
      <c r="U428" s="153" t="n"/>
      <c r="V428" s="153" t="n"/>
      <c r="W428" s="153" t="n"/>
      <c r="X428" s="153" t="n"/>
      <c r="Y428" s="153" t="n"/>
      <c r="Z428" s="153" t="n"/>
    </row>
    <row r="429" ht="15.75" customHeight="1" s="154">
      <c r="I429" s="153" t="n"/>
      <c r="J429" s="153" t="n"/>
      <c r="K429" s="153" t="n"/>
      <c r="L429" s="153" t="n"/>
      <c r="M429" s="153" t="n"/>
      <c r="N429" s="153" t="n"/>
      <c r="O429" s="153" t="n"/>
      <c r="P429" s="153" t="n"/>
      <c r="Q429" s="153" t="n"/>
      <c r="R429" s="153" t="n"/>
      <c r="S429" s="153" t="n"/>
      <c r="T429" s="153" t="n"/>
      <c r="U429" s="153" t="n"/>
      <c r="V429" s="153" t="n"/>
      <c r="W429" s="153" t="n"/>
      <c r="X429" s="153" t="n"/>
      <c r="Y429" s="153" t="n"/>
      <c r="Z429" s="153" t="n"/>
    </row>
    <row r="430" ht="15.75" customHeight="1" s="154">
      <c r="I430" s="153" t="n"/>
      <c r="J430" s="153" t="n"/>
      <c r="K430" s="153" t="n"/>
      <c r="L430" s="153" t="n"/>
      <c r="M430" s="153" t="n"/>
      <c r="N430" s="153" t="n"/>
      <c r="O430" s="153" t="n"/>
      <c r="P430" s="153" t="n"/>
      <c r="Q430" s="153" t="n"/>
      <c r="R430" s="153" t="n"/>
      <c r="S430" s="153" t="n"/>
      <c r="T430" s="153" t="n"/>
      <c r="U430" s="153" t="n"/>
      <c r="V430" s="153" t="n"/>
      <c r="W430" s="153" t="n"/>
      <c r="X430" s="153" t="n"/>
      <c r="Y430" s="153" t="n"/>
      <c r="Z430" s="153" t="n"/>
    </row>
    <row r="431" ht="15.75" customHeight="1" s="154">
      <c r="I431" s="153" t="n"/>
      <c r="J431" s="153" t="n"/>
      <c r="K431" s="153" t="n"/>
      <c r="L431" s="153" t="n"/>
      <c r="M431" s="153" t="n"/>
      <c r="N431" s="153" t="n"/>
      <c r="O431" s="153" t="n"/>
      <c r="P431" s="153" t="n"/>
      <c r="Q431" s="153" t="n"/>
      <c r="R431" s="153" t="n"/>
      <c r="S431" s="153" t="n"/>
      <c r="T431" s="153" t="n"/>
      <c r="U431" s="153" t="n"/>
      <c r="V431" s="153" t="n"/>
      <c r="W431" s="153" t="n"/>
      <c r="X431" s="153" t="n"/>
      <c r="Y431" s="153" t="n"/>
      <c r="Z431" s="153" t="n"/>
    </row>
    <row r="432" ht="15.75" customHeight="1" s="154">
      <c r="I432" s="153" t="n"/>
      <c r="J432" s="153" t="n"/>
      <c r="K432" s="153" t="n"/>
      <c r="L432" s="153" t="n"/>
      <c r="M432" s="153" t="n"/>
      <c r="N432" s="153" t="n"/>
      <c r="O432" s="153" t="n"/>
      <c r="P432" s="153" t="n"/>
      <c r="Q432" s="153" t="n"/>
      <c r="R432" s="153" t="n"/>
      <c r="S432" s="153" t="n"/>
      <c r="T432" s="153" t="n"/>
      <c r="U432" s="153" t="n"/>
      <c r="V432" s="153" t="n"/>
      <c r="W432" s="153" t="n"/>
      <c r="X432" s="153" t="n"/>
      <c r="Y432" s="153" t="n"/>
      <c r="Z432" s="153" t="n"/>
    </row>
    <row r="433" ht="15.75" customHeight="1" s="154">
      <c r="I433" s="153" t="n"/>
      <c r="J433" s="153" t="n"/>
      <c r="K433" s="153" t="n"/>
      <c r="L433" s="153" t="n"/>
      <c r="M433" s="153" t="n"/>
      <c r="N433" s="153" t="n"/>
      <c r="O433" s="153" t="n"/>
      <c r="P433" s="153" t="n"/>
      <c r="Q433" s="153" t="n"/>
      <c r="R433" s="153" t="n"/>
      <c r="S433" s="153" t="n"/>
      <c r="T433" s="153" t="n"/>
      <c r="U433" s="153" t="n"/>
      <c r="V433" s="153" t="n"/>
      <c r="W433" s="153" t="n"/>
      <c r="X433" s="153" t="n"/>
      <c r="Y433" s="153" t="n"/>
      <c r="Z433" s="153" t="n"/>
    </row>
    <row r="434" ht="15.75" customHeight="1" s="154">
      <c r="I434" s="153" t="n"/>
      <c r="J434" s="153" t="n"/>
      <c r="K434" s="153" t="n"/>
      <c r="L434" s="153" t="n"/>
      <c r="M434" s="153" t="n"/>
      <c r="N434" s="153" t="n"/>
      <c r="O434" s="153" t="n"/>
      <c r="P434" s="153" t="n"/>
      <c r="Q434" s="153" t="n"/>
      <c r="R434" s="153" t="n"/>
      <c r="S434" s="153" t="n"/>
      <c r="T434" s="153" t="n"/>
      <c r="U434" s="153" t="n"/>
      <c r="V434" s="153" t="n"/>
      <c r="W434" s="153" t="n"/>
      <c r="X434" s="153" t="n"/>
      <c r="Y434" s="153" t="n"/>
      <c r="Z434" s="153" t="n"/>
    </row>
    <row r="435" ht="15.75" customHeight="1" s="154">
      <c r="I435" s="153" t="n"/>
      <c r="J435" s="153" t="n"/>
      <c r="K435" s="153" t="n"/>
      <c r="L435" s="153" t="n"/>
      <c r="M435" s="153" t="n"/>
      <c r="N435" s="153" t="n"/>
      <c r="O435" s="153" t="n"/>
      <c r="P435" s="153" t="n"/>
      <c r="Q435" s="153" t="n"/>
      <c r="R435" s="153" t="n"/>
      <c r="S435" s="153" t="n"/>
      <c r="T435" s="153" t="n"/>
      <c r="U435" s="153" t="n"/>
      <c r="V435" s="153" t="n"/>
      <c r="W435" s="153" t="n"/>
      <c r="X435" s="153" t="n"/>
      <c r="Y435" s="153" t="n"/>
      <c r="Z435" s="153" t="n"/>
    </row>
    <row r="436" ht="15.75" customHeight="1" s="154">
      <c r="I436" s="153" t="n"/>
      <c r="J436" s="153" t="n"/>
      <c r="K436" s="153" t="n"/>
      <c r="L436" s="153" t="n"/>
      <c r="M436" s="153" t="n"/>
      <c r="N436" s="153" t="n"/>
      <c r="O436" s="153" t="n"/>
      <c r="P436" s="153" t="n"/>
      <c r="Q436" s="153" t="n"/>
      <c r="R436" s="153" t="n"/>
      <c r="S436" s="153" t="n"/>
      <c r="T436" s="153" t="n"/>
      <c r="U436" s="153" t="n"/>
      <c r="V436" s="153" t="n"/>
      <c r="W436" s="153" t="n"/>
      <c r="X436" s="153" t="n"/>
      <c r="Y436" s="153" t="n"/>
      <c r="Z436" s="153" t="n"/>
    </row>
    <row r="437" ht="15.75" customHeight="1" s="154">
      <c r="I437" s="153" t="n"/>
      <c r="J437" s="153" t="n"/>
      <c r="K437" s="153" t="n"/>
      <c r="L437" s="153" t="n"/>
      <c r="M437" s="153" t="n"/>
      <c r="N437" s="153" t="n"/>
      <c r="O437" s="153" t="n"/>
      <c r="P437" s="153" t="n"/>
      <c r="Q437" s="153" t="n"/>
      <c r="R437" s="153" t="n"/>
      <c r="S437" s="153" t="n"/>
      <c r="T437" s="153" t="n"/>
      <c r="U437" s="153" t="n"/>
      <c r="V437" s="153" t="n"/>
      <c r="W437" s="153" t="n"/>
      <c r="X437" s="153" t="n"/>
      <c r="Y437" s="153" t="n"/>
      <c r="Z437" s="153" t="n"/>
    </row>
    <row r="438" ht="15.75" customHeight="1" s="154">
      <c r="I438" s="153" t="n"/>
      <c r="J438" s="153" t="n"/>
      <c r="K438" s="153" t="n"/>
      <c r="L438" s="153" t="n"/>
      <c r="M438" s="153" t="n"/>
      <c r="N438" s="153" t="n"/>
      <c r="O438" s="153" t="n"/>
      <c r="P438" s="153" t="n"/>
      <c r="Q438" s="153" t="n"/>
      <c r="R438" s="153" t="n"/>
      <c r="S438" s="153" t="n"/>
      <c r="T438" s="153" t="n"/>
      <c r="U438" s="153" t="n"/>
      <c r="V438" s="153" t="n"/>
      <c r="W438" s="153" t="n"/>
      <c r="X438" s="153" t="n"/>
      <c r="Y438" s="153" t="n"/>
      <c r="Z438" s="153" t="n"/>
    </row>
    <row r="439" ht="15.75" customHeight="1" s="154">
      <c r="I439" s="153" t="n"/>
      <c r="J439" s="153" t="n"/>
      <c r="K439" s="153" t="n"/>
      <c r="L439" s="153" t="n"/>
      <c r="M439" s="153" t="n"/>
      <c r="N439" s="153" t="n"/>
      <c r="O439" s="153" t="n"/>
      <c r="P439" s="153" t="n"/>
      <c r="Q439" s="153" t="n"/>
      <c r="R439" s="153" t="n"/>
      <c r="S439" s="153" t="n"/>
      <c r="T439" s="153" t="n"/>
      <c r="U439" s="153" t="n"/>
      <c r="V439" s="153" t="n"/>
      <c r="W439" s="153" t="n"/>
      <c r="X439" s="153" t="n"/>
      <c r="Y439" s="153" t="n"/>
      <c r="Z439" s="153" t="n"/>
    </row>
    <row r="440" ht="15.75" customHeight="1" s="154">
      <c r="I440" s="153" t="n"/>
      <c r="J440" s="153" t="n"/>
      <c r="K440" s="153" t="n"/>
      <c r="L440" s="153" t="n"/>
      <c r="M440" s="153" t="n"/>
      <c r="N440" s="153" t="n"/>
      <c r="O440" s="153" t="n"/>
      <c r="P440" s="153" t="n"/>
      <c r="Q440" s="153" t="n"/>
      <c r="R440" s="153" t="n"/>
      <c r="S440" s="153" t="n"/>
      <c r="T440" s="153" t="n"/>
      <c r="U440" s="153" t="n"/>
      <c r="V440" s="153" t="n"/>
      <c r="W440" s="153" t="n"/>
      <c r="X440" s="153" t="n"/>
      <c r="Y440" s="153" t="n"/>
      <c r="Z440" s="153" t="n"/>
    </row>
    <row r="441" ht="15.75" customHeight="1" s="154">
      <c r="I441" s="153" t="n"/>
      <c r="J441" s="153" t="n"/>
      <c r="K441" s="153" t="n"/>
      <c r="L441" s="153" t="n"/>
      <c r="M441" s="153" t="n"/>
      <c r="N441" s="153" t="n"/>
      <c r="O441" s="153" t="n"/>
      <c r="P441" s="153" t="n"/>
      <c r="Q441" s="153" t="n"/>
      <c r="R441" s="153" t="n"/>
      <c r="S441" s="153" t="n"/>
      <c r="T441" s="153" t="n"/>
      <c r="U441" s="153" t="n"/>
      <c r="V441" s="153" t="n"/>
      <c r="W441" s="153" t="n"/>
      <c r="X441" s="153" t="n"/>
      <c r="Y441" s="153" t="n"/>
      <c r="Z441" s="153" t="n"/>
    </row>
    <row r="442" ht="15.75" customHeight="1" s="154">
      <c r="I442" s="153" t="n"/>
      <c r="J442" s="153" t="n"/>
      <c r="K442" s="153" t="n"/>
      <c r="L442" s="153" t="n"/>
      <c r="M442" s="153" t="n"/>
      <c r="N442" s="153" t="n"/>
      <c r="O442" s="153" t="n"/>
      <c r="P442" s="153" t="n"/>
      <c r="Q442" s="153" t="n"/>
      <c r="R442" s="153" t="n"/>
      <c r="S442" s="153" t="n"/>
      <c r="T442" s="153" t="n"/>
      <c r="U442" s="153" t="n"/>
      <c r="V442" s="153" t="n"/>
      <c r="W442" s="153" t="n"/>
      <c r="X442" s="153" t="n"/>
      <c r="Y442" s="153" t="n"/>
      <c r="Z442" s="153" t="n"/>
    </row>
    <row r="443" ht="15.75" customHeight="1" s="154">
      <c r="I443" s="153" t="n"/>
      <c r="J443" s="153" t="n"/>
      <c r="K443" s="153" t="n"/>
      <c r="L443" s="153" t="n"/>
      <c r="M443" s="153" t="n"/>
      <c r="N443" s="153" t="n"/>
      <c r="O443" s="153" t="n"/>
      <c r="P443" s="153" t="n"/>
      <c r="Q443" s="153" t="n"/>
      <c r="R443" s="153" t="n"/>
      <c r="S443" s="153" t="n"/>
      <c r="T443" s="153" t="n"/>
      <c r="U443" s="153" t="n"/>
      <c r="V443" s="153" t="n"/>
      <c r="W443" s="153" t="n"/>
      <c r="X443" s="153" t="n"/>
      <c r="Y443" s="153" t="n"/>
      <c r="Z443" s="153" t="n"/>
    </row>
    <row r="444" ht="15.75" customHeight="1" s="154">
      <c r="I444" s="153" t="n"/>
      <c r="J444" s="153" t="n"/>
      <c r="K444" s="153" t="n"/>
      <c r="L444" s="153" t="n"/>
      <c r="M444" s="153" t="n"/>
      <c r="N444" s="153" t="n"/>
      <c r="O444" s="153" t="n"/>
      <c r="P444" s="153" t="n"/>
      <c r="Q444" s="153" t="n"/>
      <c r="R444" s="153" t="n"/>
      <c r="S444" s="153" t="n"/>
      <c r="T444" s="153" t="n"/>
      <c r="U444" s="153" t="n"/>
      <c r="V444" s="153" t="n"/>
      <c r="W444" s="153" t="n"/>
      <c r="X444" s="153" t="n"/>
      <c r="Y444" s="153" t="n"/>
      <c r="Z444" s="153" t="n"/>
    </row>
    <row r="445" ht="15.75" customHeight="1" s="154">
      <c r="I445" s="153" t="n"/>
      <c r="J445" s="153" t="n"/>
      <c r="K445" s="153" t="n"/>
      <c r="L445" s="153" t="n"/>
      <c r="M445" s="153" t="n"/>
      <c r="N445" s="153" t="n"/>
      <c r="O445" s="153" t="n"/>
      <c r="P445" s="153" t="n"/>
      <c r="Q445" s="153" t="n"/>
      <c r="R445" s="153" t="n"/>
      <c r="S445" s="153" t="n"/>
      <c r="T445" s="153" t="n"/>
      <c r="U445" s="153" t="n"/>
      <c r="V445" s="153" t="n"/>
      <c r="W445" s="153" t="n"/>
      <c r="X445" s="153" t="n"/>
      <c r="Y445" s="153" t="n"/>
      <c r="Z445" s="153" t="n"/>
    </row>
    <row r="446" ht="15.75" customHeight="1" s="154">
      <c r="I446" s="153" t="n"/>
      <c r="J446" s="153" t="n"/>
      <c r="K446" s="153" t="n"/>
      <c r="L446" s="153" t="n"/>
      <c r="M446" s="153" t="n"/>
      <c r="N446" s="153" t="n"/>
      <c r="O446" s="153" t="n"/>
      <c r="P446" s="153" t="n"/>
      <c r="Q446" s="153" t="n"/>
      <c r="R446" s="153" t="n"/>
      <c r="S446" s="153" t="n"/>
      <c r="T446" s="153" t="n"/>
      <c r="U446" s="153" t="n"/>
      <c r="V446" s="153" t="n"/>
      <c r="W446" s="153" t="n"/>
      <c r="X446" s="153" t="n"/>
      <c r="Y446" s="153" t="n"/>
      <c r="Z446" s="153" t="n"/>
    </row>
    <row r="447" ht="15.75" customHeight="1" s="154">
      <c r="I447" s="153" t="n"/>
      <c r="J447" s="153" t="n"/>
      <c r="K447" s="153" t="n"/>
      <c r="L447" s="153" t="n"/>
      <c r="M447" s="153" t="n"/>
      <c r="N447" s="153" t="n"/>
      <c r="O447" s="153" t="n"/>
      <c r="P447" s="153" t="n"/>
      <c r="Q447" s="153" t="n"/>
      <c r="R447" s="153" t="n"/>
      <c r="S447" s="153" t="n"/>
      <c r="T447" s="153" t="n"/>
      <c r="U447" s="153" t="n"/>
      <c r="V447" s="153" t="n"/>
      <c r="W447" s="153" t="n"/>
      <c r="X447" s="153" t="n"/>
      <c r="Y447" s="153" t="n"/>
      <c r="Z447" s="153" t="n"/>
    </row>
    <row r="448" ht="15.75" customHeight="1" s="154">
      <c r="I448" s="153" t="n"/>
      <c r="J448" s="153" t="n"/>
      <c r="K448" s="153" t="n"/>
      <c r="L448" s="153" t="n"/>
      <c r="M448" s="153" t="n"/>
      <c r="N448" s="153" t="n"/>
      <c r="O448" s="153" t="n"/>
      <c r="P448" s="153" t="n"/>
      <c r="Q448" s="153" t="n"/>
      <c r="R448" s="153" t="n"/>
      <c r="S448" s="153" t="n"/>
      <c r="T448" s="153" t="n"/>
      <c r="U448" s="153" t="n"/>
      <c r="V448" s="153" t="n"/>
      <c r="W448" s="153" t="n"/>
      <c r="X448" s="153" t="n"/>
      <c r="Y448" s="153" t="n"/>
      <c r="Z448" s="153" t="n"/>
    </row>
    <row r="449" ht="15.75" customHeight="1" s="154">
      <c r="I449" s="153" t="n"/>
      <c r="J449" s="153" t="n"/>
      <c r="K449" s="153" t="n"/>
      <c r="L449" s="153" t="n"/>
      <c r="M449" s="153" t="n"/>
      <c r="N449" s="153" t="n"/>
      <c r="O449" s="153" t="n"/>
      <c r="P449" s="153" t="n"/>
      <c r="Q449" s="153" t="n"/>
      <c r="R449" s="153" t="n"/>
      <c r="S449" s="153" t="n"/>
      <c r="T449" s="153" t="n"/>
      <c r="U449" s="153" t="n"/>
      <c r="V449" s="153" t="n"/>
      <c r="W449" s="153" t="n"/>
      <c r="X449" s="153" t="n"/>
      <c r="Y449" s="153" t="n"/>
      <c r="Z449" s="153" t="n"/>
    </row>
    <row r="450" ht="15.75" customHeight="1" s="154">
      <c r="I450" s="153" t="n"/>
      <c r="J450" s="153" t="n"/>
      <c r="K450" s="153" t="n"/>
      <c r="L450" s="153" t="n"/>
      <c r="M450" s="153" t="n"/>
      <c r="N450" s="153" t="n"/>
      <c r="O450" s="153" t="n"/>
      <c r="P450" s="153" t="n"/>
      <c r="Q450" s="153" t="n"/>
      <c r="R450" s="153" t="n"/>
      <c r="S450" s="153" t="n"/>
      <c r="T450" s="153" t="n"/>
      <c r="U450" s="153" t="n"/>
      <c r="V450" s="153" t="n"/>
      <c r="W450" s="153" t="n"/>
      <c r="X450" s="153" t="n"/>
      <c r="Y450" s="153" t="n"/>
      <c r="Z450" s="153" t="n"/>
    </row>
    <row r="451" ht="15.75" customHeight="1" s="154">
      <c r="I451" s="153" t="n"/>
      <c r="J451" s="153" t="n"/>
      <c r="K451" s="153" t="n"/>
      <c r="L451" s="153" t="n"/>
      <c r="M451" s="153" t="n"/>
      <c r="N451" s="153" t="n"/>
      <c r="O451" s="153" t="n"/>
      <c r="P451" s="153" t="n"/>
      <c r="Q451" s="153" t="n"/>
      <c r="R451" s="153" t="n"/>
      <c r="S451" s="153" t="n"/>
      <c r="T451" s="153" t="n"/>
      <c r="U451" s="153" t="n"/>
      <c r="V451" s="153" t="n"/>
      <c r="W451" s="153" t="n"/>
      <c r="X451" s="153" t="n"/>
      <c r="Y451" s="153" t="n"/>
      <c r="Z451" s="153" t="n"/>
    </row>
    <row r="452" ht="15.75" customHeight="1" s="154">
      <c r="I452" s="153" t="n"/>
      <c r="J452" s="153" t="n"/>
      <c r="K452" s="153" t="n"/>
      <c r="L452" s="153" t="n"/>
      <c r="M452" s="153" t="n"/>
      <c r="N452" s="153" t="n"/>
      <c r="O452" s="153" t="n"/>
      <c r="P452" s="153" t="n"/>
      <c r="Q452" s="153" t="n"/>
      <c r="R452" s="153" t="n"/>
      <c r="S452" s="153" t="n"/>
      <c r="T452" s="153" t="n"/>
      <c r="U452" s="153" t="n"/>
      <c r="V452" s="153" t="n"/>
      <c r="W452" s="153" t="n"/>
      <c r="X452" s="153" t="n"/>
      <c r="Y452" s="153" t="n"/>
      <c r="Z452" s="153" t="n"/>
    </row>
    <row r="453" ht="15.75" customHeight="1" s="154">
      <c r="I453" s="153" t="n"/>
      <c r="J453" s="153" t="n"/>
      <c r="K453" s="153" t="n"/>
      <c r="L453" s="153" t="n"/>
      <c r="M453" s="153" t="n"/>
      <c r="N453" s="153" t="n"/>
      <c r="O453" s="153" t="n"/>
      <c r="P453" s="153" t="n"/>
      <c r="Q453" s="153" t="n"/>
      <c r="R453" s="153" t="n"/>
      <c r="S453" s="153" t="n"/>
      <c r="T453" s="153" t="n"/>
      <c r="U453" s="153" t="n"/>
      <c r="V453" s="153" t="n"/>
      <c r="W453" s="153" t="n"/>
      <c r="X453" s="153" t="n"/>
      <c r="Y453" s="153" t="n"/>
      <c r="Z453" s="153" t="n"/>
    </row>
    <row r="454" ht="15.75" customHeight="1" s="154">
      <c r="I454" s="153" t="n"/>
      <c r="J454" s="153" t="n"/>
      <c r="K454" s="153" t="n"/>
      <c r="L454" s="153" t="n"/>
      <c r="M454" s="153" t="n"/>
      <c r="N454" s="153" t="n"/>
      <c r="O454" s="153" t="n"/>
      <c r="P454" s="153" t="n"/>
      <c r="Q454" s="153" t="n"/>
      <c r="R454" s="153" t="n"/>
      <c r="S454" s="153" t="n"/>
      <c r="T454" s="153" t="n"/>
      <c r="U454" s="153" t="n"/>
      <c r="V454" s="153" t="n"/>
      <c r="W454" s="153" t="n"/>
      <c r="X454" s="153" t="n"/>
      <c r="Y454" s="153" t="n"/>
      <c r="Z454" s="153" t="n"/>
    </row>
    <row r="455" ht="15.75" customHeight="1" s="154">
      <c r="I455" s="153" t="n"/>
      <c r="J455" s="153" t="n"/>
      <c r="K455" s="153" t="n"/>
      <c r="L455" s="153" t="n"/>
      <c r="M455" s="153" t="n"/>
      <c r="N455" s="153" t="n"/>
      <c r="O455" s="153" t="n"/>
      <c r="P455" s="153" t="n"/>
      <c r="Q455" s="153" t="n"/>
      <c r="R455" s="153" t="n"/>
      <c r="S455" s="153" t="n"/>
      <c r="T455" s="153" t="n"/>
      <c r="U455" s="153" t="n"/>
      <c r="V455" s="153" t="n"/>
      <c r="W455" s="153" t="n"/>
      <c r="X455" s="153" t="n"/>
      <c r="Y455" s="153" t="n"/>
      <c r="Z455" s="153" t="n"/>
    </row>
    <row r="456" ht="15.75" customHeight="1" s="154">
      <c r="I456" s="153" t="n"/>
      <c r="J456" s="153" t="n"/>
      <c r="K456" s="153" t="n"/>
      <c r="L456" s="153" t="n"/>
      <c r="M456" s="153" t="n"/>
      <c r="N456" s="153" t="n"/>
      <c r="O456" s="153" t="n"/>
      <c r="P456" s="153" t="n"/>
      <c r="Q456" s="153" t="n"/>
      <c r="R456" s="153" t="n"/>
      <c r="S456" s="153" t="n"/>
      <c r="T456" s="153" t="n"/>
      <c r="U456" s="153" t="n"/>
      <c r="V456" s="153" t="n"/>
      <c r="W456" s="153" t="n"/>
      <c r="X456" s="153" t="n"/>
      <c r="Y456" s="153" t="n"/>
      <c r="Z456" s="153" t="n"/>
    </row>
    <row r="457" ht="15.75" customHeight="1" s="154">
      <c r="I457" s="153" t="n"/>
      <c r="J457" s="153" t="n"/>
      <c r="K457" s="153" t="n"/>
      <c r="L457" s="153" t="n"/>
      <c r="M457" s="153" t="n"/>
      <c r="N457" s="153" t="n"/>
      <c r="O457" s="153" t="n"/>
      <c r="P457" s="153" t="n"/>
      <c r="Q457" s="153" t="n"/>
      <c r="R457" s="153" t="n"/>
      <c r="S457" s="153" t="n"/>
      <c r="T457" s="153" t="n"/>
      <c r="U457" s="153" t="n"/>
      <c r="V457" s="153" t="n"/>
      <c r="W457" s="153" t="n"/>
      <c r="X457" s="153" t="n"/>
      <c r="Y457" s="153" t="n"/>
      <c r="Z457" s="153" t="n"/>
    </row>
    <row r="458" ht="15.75" customHeight="1" s="154">
      <c r="I458" s="153" t="n"/>
      <c r="J458" s="153" t="n"/>
      <c r="K458" s="153" t="n"/>
      <c r="L458" s="153" t="n"/>
      <c r="M458" s="153" t="n"/>
      <c r="N458" s="153" t="n"/>
      <c r="O458" s="153" t="n"/>
      <c r="P458" s="153" t="n"/>
      <c r="Q458" s="153" t="n"/>
      <c r="R458" s="153" t="n"/>
      <c r="S458" s="153" t="n"/>
      <c r="T458" s="153" t="n"/>
      <c r="U458" s="153" t="n"/>
      <c r="V458" s="153" t="n"/>
      <c r="W458" s="153" t="n"/>
      <c r="X458" s="153" t="n"/>
      <c r="Y458" s="153" t="n"/>
      <c r="Z458" s="153" t="n"/>
    </row>
    <row r="459" ht="15.75" customHeight="1" s="154">
      <c r="I459" s="153" t="n"/>
      <c r="J459" s="153" t="n"/>
      <c r="K459" s="153" t="n"/>
      <c r="L459" s="153" t="n"/>
      <c r="M459" s="153" t="n"/>
      <c r="N459" s="153" t="n"/>
      <c r="O459" s="153" t="n"/>
      <c r="P459" s="153" t="n"/>
      <c r="Q459" s="153" t="n"/>
      <c r="R459" s="153" t="n"/>
      <c r="S459" s="153" t="n"/>
      <c r="T459" s="153" t="n"/>
      <c r="U459" s="153" t="n"/>
      <c r="V459" s="153" t="n"/>
      <c r="W459" s="153" t="n"/>
      <c r="X459" s="153" t="n"/>
      <c r="Y459" s="153" t="n"/>
      <c r="Z459" s="153" t="n"/>
    </row>
    <row r="460" ht="15.75" customHeight="1" s="154">
      <c r="I460" s="153" t="n"/>
      <c r="J460" s="153" t="n"/>
      <c r="K460" s="153" t="n"/>
      <c r="L460" s="153" t="n"/>
      <c r="M460" s="153" t="n"/>
      <c r="N460" s="153" t="n"/>
      <c r="O460" s="153" t="n"/>
      <c r="P460" s="153" t="n"/>
      <c r="Q460" s="153" t="n"/>
      <c r="R460" s="153" t="n"/>
      <c r="S460" s="153" t="n"/>
      <c r="T460" s="153" t="n"/>
      <c r="U460" s="153" t="n"/>
      <c r="V460" s="153" t="n"/>
      <c r="W460" s="153" t="n"/>
      <c r="X460" s="153" t="n"/>
      <c r="Y460" s="153" t="n"/>
      <c r="Z460" s="153" t="n"/>
    </row>
    <row r="461" ht="15.75" customHeight="1" s="154">
      <c r="I461" s="153" t="n"/>
      <c r="J461" s="153" t="n"/>
      <c r="K461" s="153" t="n"/>
      <c r="L461" s="153" t="n"/>
      <c r="M461" s="153" t="n"/>
      <c r="N461" s="153" t="n"/>
      <c r="O461" s="153" t="n"/>
      <c r="P461" s="153" t="n"/>
      <c r="Q461" s="153" t="n"/>
      <c r="R461" s="153" t="n"/>
      <c r="S461" s="153" t="n"/>
      <c r="T461" s="153" t="n"/>
      <c r="U461" s="153" t="n"/>
      <c r="V461" s="153" t="n"/>
      <c r="W461" s="153" t="n"/>
      <c r="X461" s="153" t="n"/>
      <c r="Y461" s="153" t="n"/>
      <c r="Z461" s="153" t="n"/>
    </row>
    <row r="462" ht="15.75" customHeight="1" s="154">
      <c r="I462" s="153" t="n"/>
      <c r="J462" s="153" t="n"/>
      <c r="K462" s="153" t="n"/>
      <c r="L462" s="153" t="n"/>
      <c r="M462" s="153" t="n"/>
      <c r="N462" s="153" t="n"/>
      <c r="O462" s="153" t="n"/>
      <c r="P462" s="153" t="n"/>
      <c r="Q462" s="153" t="n"/>
      <c r="R462" s="153" t="n"/>
      <c r="S462" s="153" t="n"/>
      <c r="T462" s="153" t="n"/>
      <c r="U462" s="153" t="n"/>
      <c r="V462" s="153" t="n"/>
      <c r="W462" s="153" t="n"/>
      <c r="X462" s="153" t="n"/>
      <c r="Y462" s="153" t="n"/>
      <c r="Z462" s="153" t="n"/>
    </row>
    <row r="463" ht="15.75" customHeight="1" s="154">
      <c r="I463" s="153" t="n"/>
      <c r="J463" s="153" t="n"/>
      <c r="K463" s="153" t="n"/>
      <c r="L463" s="153" t="n"/>
      <c r="M463" s="153" t="n"/>
      <c r="N463" s="153" t="n"/>
      <c r="O463" s="153" t="n"/>
      <c r="P463" s="153" t="n"/>
      <c r="Q463" s="153" t="n"/>
      <c r="R463" s="153" t="n"/>
      <c r="S463" s="153" t="n"/>
      <c r="T463" s="153" t="n"/>
      <c r="U463" s="153" t="n"/>
      <c r="V463" s="153" t="n"/>
      <c r="W463" s="153" t="n"/>
      <c r="X463" s="153" t="n"/>
      <c r="Y463" s="153" t="n"/>
      <c r="Z463" s="153" t="n"/>
    </row>
    <row r="464" ht="15.75" customHeight="1" s="154">
      <c r="I464" s="153" t="n"/>
      <c r="J464" s="153" t="n"/>
      <c r="K464" s="153" t="n"/>
      <c r="L464" s="153" t="n"/>
      <c r="M464" s="153" t="n"/>
      <c r="N464" s="153" t="n"/>
      <c r="O464" s="153" t="n"/>
      <c r="P464" s="153" t="n"/>
      <c r="Q464" s="153" t="n"/>
      <c r="R464" s="153" t="n"/>
      <c r="S464" s="153" t="n"/>
      <c r="T464" s="153" t="n"/>
      <c r="U464" s="153" t="n"/>
      <c r="V464" s="153" t="n"/>
      <c r="W464" s="153" t="n"/>
      <c r="X464" s="153" t="n"/>
      <c r="Y464" s="153" t="n"/>
      <c r="Z464" s="153" t="n"/>
    </row>
    <row r="465" ht="15.75" customHeight="1" s="154">
      <c r="I465" s="153" t="n"/>
      <c r="J465" s="153" t="n"/>
      <c r="K465" s="153" t="n"/>
      <c r="L465" s="153" t="n"/>
      <c r="M465" s="153" t="n"/>
      <c r="N465" s="153" t="n"/>
      <c r="O465" s="153" t="n"/>
      <c r="P465" s="153" t="n"/>
      <c r="Q465" s="153" t="n"/>
      <c r="R465" s="153" t="n"/>
      <c r="S465" s="153" t="n"/>
      <c r="T465" s="153" t="n"/>
      <c r="U465" s="153" t="n"/>
      <c r="V465" s="153" t="n"/>
      <c r="W465" s="153" t="n"/>
      <c r="X465" s="153" t="n"/>
      <c r="Y465" s="153" t="n"/>
      <c r="Z465" s="153" t="n"/>
    </row>
    <row r="466" ht="15.75" customHeight="1" s="154">
      <c r="I466" s="153" t="n"/>
      <c r="J466" s="153" t="n"/>
      <c r="K466" s="153" t="n"/>
      <c r="L466" s="153" t="n"/>
      <c r="M466" s="153" t="n"/>
      <c r="N466" s="153" t="n"/>
      <c r="O466" s="153" t="n"/>
      <c r="P466" s="153" t="n"/>
      <c r="Q466" s="153" t="n"/>
      <c r="R466" s="153" t="n"/>
      <c r="S466" s="153" t="n"/>
      <c r="T466" s="153" t="n"/>
      <c r="U466" s="153" t="n"/>
      <c r="V466" s="153" t="n"/>
      <c r="W466" s="153" t="n"/>
      <c r="X466" s="153" t="n"/>
      <c r="Y466" s="153" t="n"/>
      <c r="Z466" s="153" t="n"/>
    </row>
    <row r="467" ht="15.75" customHeight="1" s="154">
      <c r="I467" s="153" t="n"/>
      <c r="J467" s="153" t="n"/>
      <c r="K467" s="153" t="n"/>
      <c r="L467" s="153" t="n"/>
      <c r="M467" s="153" t="n"/>
      <c r="N467" s="153" t="n"/>
      <c r="O467" s="153" t="n"/>
      <c r="P467" s="153" t="n"/>
      <c r="Q467" s="153" t="n"/>
      <c r="R467" s="153" t="n"/>
      <c r="S467" s="153" t="n"/>
      <c r="T467" s="153" t="n"/>
      <c r="U467" s="153" t="n"/>
      <c r="V467" s="153" t="n"/>
      <c r="W467" s="153" t="n"/>
      <c r="X467" s="153" t="n"/>
      <c r="Y467" s="153" t="n"/>
      <c r="Z467" s="153" t="n"/>
    </row>
    <row r="468" ht="15.75" customHeight="1" s="154">
      <c r="I468" s="153" t="n"/>
      <c r="J468" s="153" t="n"/>
      <c r="K468" s="153" t="n"/>
      <c r="L468" s="153" t="n"/>
      <c r="M468" s="153" t="n"/>
      <c r="N468" s="153" t="n"/>
      <c r="O468" s="153" t="n"/>
      <c r="P468" s="153" t="n"/>
      <c r="Q468" s="153" t="n"/>
      <c r="R468" s="153" t="n"/>
      <c r="S468" s="153" t="n"/>
      <c r="T468" s="153" t="n"/>
      <c r="U468" s="153" t="n"/>
      <c r="V468" s="153" t="n"/>
      <c r="W468" s="153" t="n"/>
      <c r="X468" s="153" t="n"/>
      <c r="Y468" s="153" t="n"/>
      <c r="Z468" s="153" t="n"/>
    </row>
    <row r="469" ht="15.75" customHeight="1" s="154">
      <c r="I469" s="153" t="n"/>
      <c r="J469" s="153" t="n"/>
      <c r="K469" s="153" t="n"/>
      <c r="L469" s="153" t="n"/>
      <c r="M469" s="153" t="n"/>
      <c r="N469" s="153" t="n"/>
      <c r="O469" s="153" t="n"/>
      <c r="P469" s="153" t="n"/>
      <c r="Q469" s="153" t="n"/>
      <c r="R469" s="153" t="n"/>
      <c r="S469" s="153" t="n"/>
      <c r="T469" s="153" t="n"/>
      <c r="U469" s="153" t="n"/>
      <c r="V469" s="153" t="n"/>
      <c r="W469" s="153" t="n"/>
      <c r="X469" s="153" t="n"/>
      <c r="Y469" s="153" t="n"/>
      <c r="Z469" s="153" t="n"/>
    </row>
    <row r="470" ht="15.75" customHeight="1" s="154">
      <c r="I470" s="153" t="n"/>
      <c r="J470" s="153" t="n"/>
      <c r="K470" s="153" t="n"/>
      <c r="L470" s="153" t="n"/>
      <c r="M470" s="153" t="n"/>
      <c r="N470" s="153" t="n"/>
      <c r="O470" s="153" t="n"/>
      <c r="P470" s="153" t="n"/>
      <c r="Q470" s="153" t="n"/>
      <c r="R470" s="153" t="n"/>
      <c r="S470" s="153" t="n"/>
      <c r="T470" s="153" t="n"/>
      <c r="U470" s="153" t="n"/>
      <c r="V470" s="153" t="n"/>
      <c r="W470" s="153" t="n"/>
      <c r="X470" s="153" t="n"/>
      <c r="Y470" s="153" t="n"/>
      <c r="Z470" s="153" t="n"/>
    </row>
    <row r="471" ht="15.75" customHeight="1" s="154">
      <c r="I471" s="153" t="n"/>
      <c r="J471" s="153" t="n"/>
      <c r="K471" s="153" t="n"/>
      <c r="L471" s="153" t="n"/>
      <c r="M471" s="153" t="n"/>
      <c r="N471" s="153" t="n"/>
      <c r="O471" s="153" t="n"/>
      <c r="P471" s="153" t="n"/>
      <c r="Q471" s="153" t="n"/>
      <c r="R471" s="153" t="n"/>
      <c r="S471" s="153" t="n"/>
      <c r="T471" s="153" t="n"/>
      <c r="U471" s="153" t="n"/>
      <c r="V471" s="153" t="n"/>
      <c r="W471" s="153" t="n"/>
      <c r="X471" s="153" t="n"/>
      <c r="Y471" s="153" t="n"/>
      <c r="Z471" s="153" t="n"/>
    </row>
    <row r="472" ht="15.75" customHeight="1" s="154">
      <c r="I472" s="153" t="n"/>
      <c r="J472" s="153" t="n"/>
      <c r="K472" s="153" t="n"/>
      <c r="L472" s="153" t="n"/>
      <c r="M472" s="153" t="n"/>
      <c r="N472" s="153" t="n"/>
      <c r="O472" s="153" t="n"/>
      <c r="P472" s="153" t="n"/>
      <c r="Q472" s="153" t="n"/>
      <c r="R472" s="153" t="n"/>
      <c r="S472" s="153" t="n"/>
      <c r="T472" s="153" t="n"/>
      <c r="U472" s="153" t="n"/>
      <c r="V472" s="153" t="n"/>
      <c r="W472" s="153" t="n"/>
      <c r="X472" s="153" t="n"/>
      <c r="Y472" s="153" t="n"/>
      <c r="Z472" s="153" t="n"/>
    </row>
    <row r="473" ht="15.75" customHeight="1" s="154">
      <c r="I473" s="153" t="n"/>
      <c r="J473" s="153" t="n"/>
      <c r="K473" s="153" t="n"/>
      <c r="L473" s="153" t="n"/>
      <c r="M473" s="153" t="n"/>
      <c r="N473" s="153" t="n"/>
      <c r="O473" s="153" t="n"/>
      <c r="P473" s="153" t="n"/>
      <c r="Q473" s="153" t="n"/>
      <c r="R473" s="153" t="n"/>
      <c r="S473" s="153" t="n"/>
      <c r="T473" s="153" t="n"/>
      <c r="U473" s="153" t="n"/>
      <c r="V473" s="153" t="n"/>
      <c r="W473" s="153" t="n"/>
      <c r="X473" s="153" t="n"/>
      <c r="Y473" s="153" t="n"/>
      <c r="Z473" s="153" t="n"/>
    </row>
    <row r="474" ht="15.75" customHeight="1" s="154">
      <c r="I474" s="153" t="n"/>
      <c r="J474" s="153" t="n"/>
      <c r="K474" s="153" t="n"/>
      <c r="L474" s="153" t="n"/>
      <c r="M474" s="153" t="n"/>
      <c r="N474" s="153" t="n"/>
      <c r="O474" s="153" t="n"/>
      <c r="P474" s="153" t="n"/>
      <c r="Q474" s="153" t="n"/>
      <c r="R474" s="153" t="n"/>
      <c r="S474" s="153" t="n"/>
      <c r="T474" s="153" t="n"/>
      <c r="U474" s="153" t="n"/>
      <c r="V474" s="153" t="n"/>
      <c r="W474" s="153" t="n"/>
      <c r="X474" s="153" t="n"/>
      <c r="Y474" s="153" t="n"/>
      <c r="Z474" s="153" t="n"/>
    </row>
    <row r="475" ht="15.75" customHeight="1" s="154">
      <c r="I475" s="153" t="n"/>
      <c r="J475" s="153" t="n"/>
      <c r="K475" s="153" t="n"/>
      <c r="L475" s="153" t="n"/>
      <c r="M475" s="153" t="n"/>
      <c r="N475" s="153" t="n"/>
      <c r="O475" s="153" t="n"/>
      <c r="P475" s="153" t="n"/>
      <c r="Q475" s="153" t="n"/>
      <c r="R475" s="153" t="n"/>
      <c r="S475" s="153" t="n"/>
      <c r="T475" s="153" t="n"/>
      <c r="U475" s="153" t="n"/>
      <c r="V475" s="153" t="n"/>
      <c r="W475" s="153" t="n"/>
      <c r="X475" s="153" t="n"/>
      <c r="Y475" s="153" t="n"/>
      <c r="Z475" s="153" t="n"/>
    </row>
    <row r="476" ht="15.75" customHeight="1" s="154">
      <c r="I476" s="153" t="n"/>
      <c r="J476" s="153" t="n"/>
      <c r="K476" s="153" t="n"/>
      <c r="L476" s="153" t="n"/>
      <c r="M476" s="153" t="n"/>
      <c r="N476" s="153" t="n"/>
      <c r="O476" s="153" t="n"/>
      <c r="P476" s="153" t="n"/>
      <c r="Q476" s="153" t="n"/>
      <c r="R476" s="153" t="n"/>
      <c r="S476" s="153" t="n"/>
      <c r="T476" s="153" t="n"/>
      <c r="U476" s="153" t="n"/>
      <c r="V476" s="153" t="n"/>
      <c r="W476" s="153" t="n"/>
      <c r="X476" s="153" t="n"/>
      <c r="Y476" s="153" t="n"/>
      <c r="Z476" s="153" t="n"/>
    </row>
    <row r="477" ht="15.75" customHeight="1" s="154">
      <c r="I477" s="153" t="n"/>
      <c r="J477" s="153" t="n"/>
      <c r="K477" s="153" t="n"/>
      <c r="L477" s="153" t="n"/>
      <c r="M477" s="153" t="n"/>
      <c r="N477" s="153" t="n"/>
      <c r="O477" s="153" t="n"/>
      <c r="P477" s="153" t="n"/>
      <c r="Q477" s="153" t="n"/>
      <c r="R477" s="153" t="n"/>
      <c r="S477" s="153" t="n"/>
      <c r="T477" s="153" t="n"/>
      <c r="U477" s="153" t="n"/>
      <c r="V477" s="153" t="n"/>
      <c r="W477" s="153" t="n"/>
      <c r="X477" s="153" t="n"/>
      <c r="Y477" s="153" t="n"/>
      <c r="Z477" s="153" t="n"/>
    </row>
    <row r="478" ht="15.75" customHeight="1" s="154">
      <c r="I478" s="153" t="n"/>
      <c r="J478" s="153" t="n"/>
      <c r="K478" s="153" t="n"/>
      <c r="L478" s="153" t="n"/>
      <c r="M478" s="153" t="n"/>
      <c r="N478" s="153" t="n"/>
      <c r="O478" s="153" t="n"/>
      <c r="P478" s="153" t="n"/>
      <c r="Q478" s="153" t="n"/>
      <c r="R478" s="153" t="n"/>
      <c r="S478" s="153" t="n"/>
      <c r="T478" s="153" t="n"/>
      <c r="U478" s="153" t="n"/>
      <c r="V478" s="153" t="n"/>
      <c r="W478" s="153" t="n"/>
      <c r="X478" s="153" t="n"/>
      <c r="Y478" s="153" t="n"/>
      <c r="Z478" s="153" t="n"/>
    </row>
    <row r="479" ht="15.75" customHeight="1" s="154">
      <c r="I479" s="153" t="n"/>
      <c r="J479" s="153" t="n"/>
      <c r="K479" s="153" t="n"/>
      <c r="L479" s="153" t="n"/>
      <c r="M479" s="153" t="n"/>
      <c r="N479" s="153" t="n"/>
      <c r="O479" s="153" t="n"/>
      <c r="P479" s="153" t="n"/>
      <c r="Q479" s="153" t="n"/>
      <c r="R479" s="153" t="n"/>
      <c r="S479" s="153" t="n"/>
      <c r="T479" s="153" t="n"/>
      <c r="U479" s="153" t="n"/>
      <c r="V479" s="153" t="n"/>
      <c r="W479" s="153" t="n"/>
      <c r="X479" s="153" t="n"/>
      <c r="Y479" s="153" t="n"/>
      <c r="Z479" s="153" t="n"/>
    </row>
    <row r="480" ht="15.75" customHeight="1" s="154">
      <c r="I480" s="153" t="n"/>
      <c r="J480" s="153" t="n"/>
      <c r="K480" s="153" t="n"/>
      <c r="L480" s="153" t="n"/>
      <c r="M480" s="153" t="n"/>
      <c r="N480" s="153" t="n"/>
      <c r="O480" s="153" t="n"/>
      <c r="P480" s="153" t="n"/>
      <c r="Q480" s="153" t="n"/>
      <c r="R480" s="153" t="n"/>
      <c r="S480" s="153" t="n"/>
      <c r="T480" s="153" t="n"/>
      <c r="U480" s="153" t="n"/>
      <c r="V480" s="153" t="n"/>
      <c r="W480" s="153" t="n"/>
      <c r="X480" s="153" t="n"/>
      <c r="Y480" s="153" t="n"/>
      <c r="Z480" s="153" t="n"/>
    </row>
    <row r="481" ht="15.75" customHeight="1" s="154">
      <c r="I481" s="153" t="n"/>
      <c r="J481" s="153" t="n"/>
      <c r="K481" s="153" t="n"/>
      <c r="L481" s="153" t="n"/>
      <c r="M481" s="153" t="n"/>
      <c r="N481" s="153" t="n"/>
      <c r="O481" s="153" t="n"/>
      <c r="P481" s="153" t="n"/>
      <c r="Q481" s="153" t="n"/>
      <c r="R481" s="153" t="n"/>
      <c r="S481" s="153" t="n"/>
      <c r="T481" s="153" t="n"/>
      <c r="U481" s="153" t="n"/>
      <c r="V481" s="153" t="n"/>
      <c r="W481" s="153" t="n"/>
      <c r="X481" s="153" t="n"/>
      <c r="Y481" s="153" t="n"/>
      <c r="Z481" s="153" t="n"/>
    </row>
    <row r="482" ht="15.75" customHeight="1" s="154">
      <c r="I482" s="153" t="n"/>
      <c r="J482" s="153" t="n"/>
      <c r="K482" s="153" t="n"/>
      <c r="L482" s="153" t="n"/>
      <c r="M482" s="153" t="n"/>
      <c r="N482" s="153" t="n"/>
      <c r="O482" s="153" t="n"/>
      <c r="P482" s="153" t="n"/>
      <c r="Q482" s="153" t="n"/>
      <c r="R482" s="153" t="n"/>
      <c r="S482" s="153" t="n"/>
      <c r="T482" s="153" t="n"/>
      <c r="U482" s="153" t="n"/>
      <c r="V482" s="153" t="n"/>
      <c r="W482" s="153" t="n"/>
      <c r="X482" s="153" t="n"/>
      <c r="Y482" s="153" t="n"/>
      <c r="Z482" s="153" t="n"/>
    </row>
    <row r="483" ht="15.75" customHeight="1" s="154">
      <c r="I483" s="153" t="n"/>
      <c r="J483" s="153" t="n"/>
      <c r="K483" s="153" t="n"/>
      <c r="L483" s="153" t="n"/>
      <c r="M483" s="153" t="n"/>
      <c r="N483" s="153" t="n"/>
      <c r="O483" s="153" t="n"/>
      <c r="P483" s="153" t="n"/>
      <c r="Q483" s="153" t="n"/>
      <c r="R483" s="153" t="n"/>
      <c r="S483" s="153" t="n"/>
      <c r="T483" s="153" t="n"/>
      <c r="U483" s="153" t="n"/>
      <c r="V483" s="153" t="n"/>
      <c r="W483" s="153" t="n"/>
      <c r="X483" s="153" t="n"/>
      <c r="Y483" s="153" t="n"/>
      <c r="Z483" s="153" t="n"/>
    </row>
    <row r="484" ht="15.75" customHeight="1" s="154">
      <c r="I484" s="153" t="n"/>
      <c r="J484" s="153" t="n"/>
      <c r="K484" s="153" t="n"/>
      <c r="L484" s="153" t="n"/>
      <c r="M484" s="153" t="n"/>
      <c r="N484" s="153" t="n"/>
      <c r="O484" s="153" t="n"/>
      <c r="P484" s="153" t="n"/>
      <c r="Q484" s="153" t="n"/>
      <c r="R484" s="153" t="n"/>
      <c r="S484" s="153" t="n"/>
      <c r="T484" s="153" t="n"/>
      <c r="U484" s="153" t="n"/>
      <c r="V484" s="153" t="n"/>
      <c r="W484" s="153" t="n"/>
      <c r="X484" s="153" t="n"/>
      <c r="Y484" s="153" t="n"/>
      <c r="Z484" s="153" t="n"/>
    </row>
    <row r="485" ht="15.75" customHeight="1" s="154">
      <c r="I485" s="153" t="n"/>
      <c r="J485" s="153" t="n"/>
      <c r="K485" s="153" t="n"/>
      <c r="L485" s="153" t="n"/>
      <c r="M485" s="153" t="n"/>
      <c r="N485" s="153" t="n"/>
      <c r="O485" s="153" t="n"/>
      <c r="P485" s="153" t="n"/>
      <c r="Q485" s="153" t="n"/>
      <c r="R485" s="153" t="n"/>
      <c r="S485" s="153" t="n"/>
      <c r="T485" s="153" t="n"/>
      <c r="U485" s="153" t="n"/>
      <c r="V485" s="153" t="n"/>
      <c r="W485" s="153" t="n"/>
      <c r="X485" s="153" t="n"/>
      <c r="Y485" s="153" t="n"/>
      <c r="Z485" s="153" t="n"/>
    </row>
    <row r="486" ht="15.75" customHeight="1" s="154">
      <c r="I486" s="153" t="n"/>
      <c r="J486" s="153" t="n"/>
      <c r="K486" s="153" t="n"/>
      <c r="L486" s="153" t="n"/>
      <c r="M486" s="153" t="n"/>
      <c r="N486" s="153" t="n"/>
      <c r="O486" s="153" t="n"/>
      <c r="P486" s="153" t="n"/>
      <c r="Q486" s="153" t="n"/>
      <c r="R486" s="153" t="n"/>
      <c r="S486" s="153" t="n"/>
      <c r="T486" s="153" t="n"/>
      <c r="U486" s="153" t="n"/>
      <c r="V486" s="153" t="n"/>
      <c r="W486" s="153" t="n"/>
      <c r="X486" s="153" t="n"/>
      <c r="Y486" s="153" t="n"/>
      <c r="Z486" s="153" t="n"/>
    </row>
    <row r="487" ht="15.75" customHeight="1" s="154">
      <c r="I487" s="153" t="n"/>
      <c r="J487" s="153" t="n"/>
      <c r="K487" s="153" t="n"/>
      <c r="L487" s="153" t="n"/>
      <c r="M487" s="153" t="n"/>
      <c r="N487" s="153" t="n"/>
      <c r="O487" s="153" t="n"/>
      <c r="P487" s="153" t="n"/>
      <c r="Q487" s="153" t="n"/>
      <c r="R487" s="153" t="n"/>
      <c r="S487" s="153" t="n"/>
      <c r="T487" s="153" t="n"/>
      <c r="U487" s="153" t="n"/>
      <c r="V487" s="153" t="n"/>
      <c r="W487" s="153" t="n"/>
      <c r="X487" s="153" t="n"/>
      <c r="Y487" s="153" t="n"/>
      <c r="Z487" s="153" t="n"/>
    </row>
    <row r="488" ht="15.75" customHeight="1" s="154">
      <c r="I488" s="153" t="n"/>
      <c r="J488" s="153" t="n"/>
      <c r="K488" s="153" t="n"/>
      <c r="L488" s="153" t="n"/>
      <c r="M488" s="153" t="n"/>
      <c r="N488" s="153" t="n"/>
      <c r="O488" s="153" t="n"/>
      <c r="P488" s="153" t="n"/>
      <c r="Q488" s="153" t="n"/>
      <c r="R488" s="153" t="n"/>
      <c r="S488" s="153" t="n"/>
      <c r="T488" s="153" t="n"/>
      <c r="U488" s="153" t="n"/>
      <c r="V488" s="153" t="n"/>
      <c r="W488" s="153" t="n"/>
      <c r="X488" s="153" t="n"/>
      <c r="Y488" s="153" t="n"/>
      <c r="Z488" s="153" t="n"/>
    </row>
    <row r="489" ht="15.75" customHeight="1" s="154">
      <c r="I489" s="153" t="n"/>
      <c r="J489" s="153" t="n"/>
      <c r="K489" s="153" t="n"/>
      <c r="L489" s="153" t="n"/>
      <c r="M489" s="153" t="n"/>
      <c r="N489" s="153" t="n"/>
      <c r="O489" s="153" t="n"/>
      <c r="P489" s="153" t="n"/>
      <c r="Q489" s="153" t="n"/>
      <c r="R489" s="153" t="n"/>
      <c r="S489" s="153" t="n"/>
      <c r="T489" s="153" t="n"/>
      <c r="U489" s="153" t="n"/>
      <c r="V489" s="153" t="n"/>
      <c r="W489" s="153" t="n"/>
      <c r="X489" s="153" t="n"/>
      <c r="Y489" s="153" t="n"/>
      <c r="Z489" s="153" t="n"/>
    </row>
    <row r="490" ht="15.75" customHeight="1" s="154">
      <c r="I490" s="153" t="n"/>
      <c r="J490" s="153" t="n"/>
      <c r="K490" s="153" t="n"/>
      <c r="L490" s="153" t="n"/>
      <c r="M490" s="153" t="n"/>
      <c r="N490" s="153" t="n"/>
      <c r="O490" s="153" t="n"/>
      <c r="P490" s="153" t="n"/>
      <c r="Q490" s="153" t="n"/>
      <c r="R490" s="153" t="n"/>
      <c r="S490" s="153" t="n"/>
      <c r="T490" s="153" t="n"/>
      <c r="U490" s="153" t="n"/>
      <c r="V490" s="153" t="n"/>
      <c r="W490" s="153" t="n"/>
      <c r="X490" s="153" t="n"/>
      <c r="Y490" s="153" t="n"/>
      <c r="Z490" s="153" t="n"/>
    </row>
    <row r="491" ht="15.75" customHeight="1" s="154">
      <c r="I491" s="153" t="n"/>
      <c r="J491" s="153" t="n"/>
      <c r="K491" s="153" t="n"/>
      <c r="L491" s="153" t="n"/>
      <c r="M491" s="153" t="n"/>
      <c r="N491" s="153" t="n"/>
      <c r="O491" s="153" t="n"/>
      <c r="P491" s="153" t="n"/>
      <c r="Q491" s="153" t="n"/>
      <c r="R491" s="153" t="n"/>
      <c r="S491" s="153" t="n"/>
      <c r="T491" s="153" t="n"/>
      <c r="U491" s="153" t="n"/>
      <c r="V491" s="153" t="n"/>
      <c r="W491" s="153" t="n"/>
      <c r="X491" s="153" t="n"/>
      <c r="Y491" s="153" t="n"/>
      <c r="Z491" s="153" t="n"/>
    </row>
    <row r="492" ht="15.75" customHeight="1" s="154">
      <c r="I492" s="153" t="n"/>
      <c r="J492" s="153" t="n"/>
      <c r="K492" s="153" t="n"/>
      <c r="L492" s="153" t="n"/>
      <c r="M492" s="153" t="n"/>
      <c r="N492" s="153" t="n"/>
      <c r="O492" s="153" t="n"/>
      <c r="P492" s="153" t="n"/>
      <c r="Q492" s="153" t="n"/>
      <c r="R492" s="153" t="n"/>
      <c r="S492" s="153" t="n"/>
      <c r="T492" s="153" t="n"/>
      <c r="U492" s="153" t="n"/>
      <c r="V492" s="153" t="n"/>
      <c r="W492" s="153" t="n"/>
      <c r="X492" s="153" t="n"/>
      <c r="Y492" s="153" t="n"/>
      <c r="Z492" s="153" t="n"/>
    </row>
    <row r="493" ht="15.75" customHeight="1" s="154">
      <c r="I493" s="153" t="n"/>
      <c r="J493" s="153" t="n"/>
      <c r="K493" s="153" t="n"/>
      <c r="L493" s="153" t="n"/>
      <c r="M493" s="153" t="n"/>
      <c r="N493" s="153" t="n"/>
      <c r="O493" s="153" t="n"/>
      <c r="P493" s="153" t="n"/>
      <c r="Q493" s="153" t="n"/>
      <c r="R493" s="153" t="n"/>
      <c r="S493" s="153" t="n"/>
      <c r="T493" s="153" t="n"/>
      <c r="U493" s="153" t="n"/>
      <c r="V493" s="153" t="n"/>
      <c r="W493" s="153" t="n"/>
      <c r="X493" s="153" t="n"/>
      <c r="Y493" s="153" t="n"/>
      <c r="Z493" s="153" t="n"/>
    </row>
    <row r="494" ht="15.75" customHeight="1" s="154">
      <c r="I494" s="153" t="n"/>
      <c r="J494" s="153" t="n"/>
      <c r="K494" s="153" t="n"/>
      <c r="L494" s="153" t="n"/>
      <c r="M494" s="153" t="n"/>
      <c r="N494" s="153" t="n"/>
      <c r="O494" s="153" t="n"/>
      <c r="P494" s="153" t="n"/>
      <c r="Q494" s="153" t="n"/>
      <c r="R494" s="153" t="n"/>
      <c r="S494" s="153" t="n"/>
      <c r="T494" s="153" t="n"/>
      <c r="U494" s="153" t="n"/>
      <c r="V494" s="153" t="n"/>
      <c r="W494" s="153" t="n"/>
      <c r="X494" s="153" t="n"/>
      <c r="Y494" s="153" t="n"/>
      <c r="Z494" s="153" t="n"/>
    </row>
    <row r="495" ht="15.75" customHeight="1" s="154">
      <c r="I495" s="153" t="n"/>
      <c r="J495" s="153" t="n"/>
      <c r="K495" s="153" t="n"/>
      <c r="L495" s="153" t="n"/>
      <c r="M495" s="153" t="n"/>
      <c r="N495" s="153" t="n"/>
      <c r="O495" s="153" t="n"/>
      <c r="P495" s="153" t="n"/>
      <c r="Q495" s="153" t="n"/>
      <c r="R495" s="153" t="n"/>
      <c r="S495" s="153" t="n"/>
      <c r="T495" s="153" t="n"/>
      <c r="U495" s="153" t="n"/>
      <c r="V495" s="153" t="n"/>
      <c r="W495" s="153" t="n"/>
      <c r="X495" s="153" t="n"/>
      <c r="Y495" s="153" t="n"/>
      <c r="Z495" s="153" t="n"/>
    </row>
    <row r="496" ht="15.75" customHeight="1" s="154">
      <c r="I496" s="153" t="n"/>
      <c r="J496" s="153" t="n"/>
      <c r="K496" s="153" t="n"/>
      <c r="L496" s="153" t="n"/>
      <c r="M496" s="153" t="n"/>
      <c r="N496" s="153" t="n"/>
      <c r="O496" s="153" t="n"/>
      <c r="P496" s="153" t="n"/>
      <c r="Q496" s="153" t="n"/>
      <c r="R496" s="153" t="n"/>
      <c r="S496" s="153" t="n"/>
      <c r="T496" s="153" t="n"/>
      <c r="U496" s="153" t="n"/>
      <c r="V496" s="153" t="n"/>
      <c r="W496" s="153" t="n"/>
      <c r="X496" s="153" t="n"/>
      <c r="Y496" s="153" t="n"/>
      <c r="Z496" s="153" t="n"/>
    </row>
    <row r="497" ht="15.75" customHeight="1" s="154">
      <c r="I497" s="153" t="n"/>
      <c r="J497" s="153" t="n"/>
      <c r="K497" s="153" t="n"/>
      <c r="L497" s="153" t="n"/>
      <c r="M497" s="153" t="n"/>
      <c r="N497" s="153" t="n"/>
      <c r="O497" s="153" t="n"/>
      <c r="P497" s="153" t="n"/>
      <c r="Q497" s="153" t="n"/>
      <c r="R497" s="153" t="n"/>
      <c r="S497" s="153" t="n"/>
      <c r="T497" s="153" t="n"/>
      <c r="U497" s="153" t="n"/>
      <c r="V497" s="153" t="n"/>
      <c r="W497" s="153" t="n"/>
      <c r="X497" s="153" t="n"/>
      <c r="Y497" s="153" t="n"/>
      <c r="Z497" s="153" t="n"/>
    </row>
    <row r="498" ht="15.75" customHeight="1" s="154">
      <c r="I498" s="153" t="n"/>
      <c r="J498" s="153" t="n"/>
      <c r="K498" s="153" t="n"/>
      <c r="L498" s="153" t="n"/>
      <c r="M498" s="153" t="n"/>
      <c r="N498" s="153" t="n"/>
      <c r="O498" s="153" t="n"/>
      <c r="P498" s="153" t="n"/>
      <c r="Q498" s="153" t="n"/>
      <c r="R498" s="153" t="n"/>
      <c r="S498" s="153" t="n"/>
      <c r="T498" s="153" t="n"/>
      <c r="U498" s="153" t="n"/>
      <c r="V498" s="153" t="n"/>
      <c r="W498" s="153" t="n"/>
      <c r="X498" s="153" t="n"/>
      <c r="Y498" s="153" t="n"/>
      <c r="Z498" s="153" t="n"/>
    </row>
    <row r="499" ht="15.75" customHeight="1" s="154">
      <c r="I499" s="153" t="n"/>
      <c r="J499" s="153" t="n"/>
      <c r="K499" s="153" t="n"/>
      <c r="L499" s="153" t="n"/>
      <c r="M499" s="153" t="n"/>
      <c r="N499" s="153" t="n"/>
      <c r="O499" s="153" t="n"/>
      <c r="P499" s="153" t="n"/>
      <c r="Q499" s="153" t="n"/>
      <c r="R499" s="153" t="n"/>
      <c r="S499" s="153" t="n"/>
      <c r="T499" s="153" t="n"/>
      <c r="U499" s="153" t="n"/>
      <c r="V499" s="153" t="n"/>
      <c r="W499" s="153" t="n"/>
      <c r="X499" s="153" t="n"/>
      <c r="Y499" s="153" t="n"/>
      <c r="Z499" s="153" t="n"/>
    </row>
    <row r="500" ht="15.75" customHeight="1" s="154">
      <c r="I500" s="153" t="n"/>
      <c r="J500" s="153" t="n"/>
      <c r="K500" s="153" t="n"/>
      <c r="L500" s="153" t="n"/>
      <c r="M500" s="153" t="n"/>
      <c r="N500" s="153" t="n"/>
      <c r="O500" s="153" t="n"/>
      <c r="P500" s="153" t="n"/>
      <c r="Q500" s="153" t="n"/>
      <c r="R500" s="153" t="n"/>
      <c r="S500" s="153" t="n"/>
      <c r="T500" s="153" t="n"/>
      <c r="U500" s="153" t="n"/>
      <c r="V500" s="153" t="n"/>
      <c r="W500" s="153" t="n"/>
      <c r="X500" s="153" t="n"/>
      <c r="Y500" s="153" t="n"/>
      <c r="Z500" s="153" t="n"/>
    </row>
    <row r="501" ht="15.75" customHeight="1" s="154">
      <c r="I501" s="153" t="n"/>
      <c r="J501" s="153" t="n"/>
      <c r="K501" s="153" t="n"/>
      <c r="L501" s="153" t="n"/>
      <c r="M501" s="153" t="n"/>
      <c r="N501" s="153" t="n"/>
      <c r="O501" s="153" t="n"/>
      <c r="P501" s="153" t="n"/>
      <c r="Q501" s="153" t="n"/>
      <c r="R501" s="153" t="n"/>
      <c r="S501" s="153" t="n"/>
      <c r="T501" s="153" t="n"/>
      <c r="U501" s="153" t="n"/>
      <c r="V501" s="153" t="n"/>
      <c r="W501" s="153" t="n"/>
      <c r="X501" s="153" t="n"/>
      <c r="Y501" s="153" t="n"/>
      <c r="Z501" s="153" t="n"/>
    </row>
    <row r="502" ht="15.75" customHeight="1" s="154">
      <c r="I502" s="153" t="n"/>
      <c r="J502" s="153" t="n"/>
      <c r="K502" s="153" t="n"/>
      <c r="L502" s="153" t="n"/>
      <c r="M502" s="153" t="n"/>
      <c r="N502" s="153" t="n"/>
      <c r="O502" s="153" t="n"/>
      <c r="P502" s="153" t="n"/>
      <c r="Q502" s="153" t="n"/>
      <c r="R502" s="153" t="n"/>
      <c r="S502" s="153" t="n"/>
      <c r="T502" s="153" t="n"/>
      <c r="U502" s="153" t="n"/>
      <c r="V502" s="153" t="n"/>
      <c r="W502" s="153" t="n"/>
      <c r="X502" s="153" t="n"/>
      <c r="Y502" s="153" t="n"/>
      <c r="Z502" s="153" t="n"/>
    </row>
    <row r="503" ht="15.75" customHeight="1" s="154">
      <c r="I503" s="153" t="n"/>
      <c r="J503" s="153" t="n"/>
      <c r="K503" s="153" t="n"/>
      <c r="L503" s="153" t="n"/>
      <c r="M503" s="153" t="n"/>
      <c r="N503" s="153" t="n"/>
      <c r="O503" s="153" t="n"/>
      <c r="P503" s="153" t="n"/>
      <c r="Q503" s="153" t="n"/>
      <c r="R503" s="153" t="n"/>
      <c r="S503" s="153" t="n"/>
      <c r="T503" s="153" t="n"/>
      <c r="U503" s="153" t="n"/>
      <c r="V503" s="153" t="n"/>
      <c r="W503" s="153" t="n"/>
      <c r="X503" s="153" t="n"/>
      <c r="Y503" s="153" t="n"/>
      <c r="Z503" s="153" t="n"/>
    </row>
    <row r="504" ht="15.75" customHeight="1" s="154">
      <c r="I504" s="153" t="n"/>
      <c r="J504" s="153" t="n"/>
      <c r="K504" s="153" t="n"/>
      <c r="L504" s="153" t="n"/>
      <c r="M504" s="153" t="n"/>
      <c r="N504" s="153" t="n"/>
      <c r="O504" s="153" t="n"/>
      <c r="P504" s="153" t="n"/>
      <c r="Q504" s="153" t="n"/>
      <c r="R504" s="153" t="n"/>
      <c r="S504" s="153" t="n"/>
      <c r="T504" s="153" t="n"/>
      <c r="U504" s="153" t="n"/>
      <c r="V504" s="153" t="n"/>
      <c r="W504" s="153" t="n"/>
      <c r="X504" s="153" t="n"/>
      <c r="Y504" s="153" t="n"/>
      <c r="Z504" s="153" t="n"/>
    </row>
    <row r="505" ht="15.75" customHeight="1" s="154">
      <c r="I505" s="153" t="n"/>
      <c r="J505" s="153" t="n"/>
      <c r="K505" s="153" t="n"/>
      <c r="L505" s="153" t="n"/>
      <c r="M505" s="153" t="n"/>
      <c r="N505" s="153" t="n"/>
      <c r="O505" s="153" t="n"/>
      <c r="P505" s="153" t="n"/>
      <c r="Q505" s="153" t="n"/>
      <c r="R505" s="153" t="n"/>
      <c r="S505" s="153" t="n"/>
      <c r="T505" s="153" t="n"/>
      <c r="U505" s="153" t="n"/>
      <c r="V505" s="153" t="n"/>
      <c r="W505" s="153" t="n"/>
      <c r="X505" s="153" t="n"/>
      <c r="Y505" s="153" t="n"/>
      <c r="Z505" s="153" t="n"/>
    </row>
    <row r="506" ht="15.75" customHeight="1" s="154">
      <c r="I506" s="153" t="n"/>
      <c r="J506" s="153" t="n"/>
      <c r="K506" s="153" t="n"/>
      <c r="L506" s="153" t="n"/>
      <c r="M506" s="153" t="n"/>
      <c r="N506" s="153" t="n"/>
      <c r="O506" s="153" t="n"/>
      <c r="P506" s="153" t="n"/>
      <c r="Q506" s="153" t="n"/>
      <c r="R506" s="153" t="n"/>
      <c r="S506" s="153" t="n"/>
      <c r="T506" s="153" t="n"/>
      <c r="U506" s="153" t="n"/>
      <c r="V506" s="153" t="n"/>
      <c r="W506" s="153" t="n"/>
      <c r="X506" s="153" t="n"/>
      <c r="Y506" s="153" t="n"/>
      <c r="Z506" s="153" t="n"/>
    </row>
    <row r="507" ht="15.75" customHeight="1" s="154">
      <c r="I507" s="153" t="n"/>
      <c r="J507" s="153" t="n"/>
      <c r="K507" s="153" t="n"/>
      <c r="L507" s="153" t="n"/>
      <c r="M507" s="153" t="n"/>
      <c r="N507" s="153" t="n"/>
      <c r="O507" s="153" t="n"/>
      <c r="P507" s="153" t="n"/>
      <c r="Q507" s="153" t="n"/>
      <c r="R507" s="153" t="n"/>
      <c r="S507" s="153" t="n"/>
      <c r="T507" s="153" t="n"/>
      <c r="U507" s="153" t="n"/>
      <c r="V507" s="153" t="n"/>
      <c r="W507" s="153" t="n"/>
      <c r="X507" s="153" t="n"/>
      <c r="Y507" s="153" t="n"/>
      <c r="Z507" s="153" t="n"/>
    </row>
    <row r="508" ht="15.75" customHeight="1" s="154">
      <c r="I508" s="153" t="n"/>
      <c r="J508" s="153" t="n"/>
      <c r="K508" s="153" t="n"/>
      <c r="L508" s="153" t="n"/>
      <c r="M508" s="153" t="n"/>
      <c r="N508" s="153" t="n"/>
      <c r="O508" s="153" t="n"/>
      <c r="P508" s="153" t="n"/>
      <c r="Q508" s="153" t="n"/>
      <c r="R508" s="153" t="n"/>
      <c r="S508" s="153" t="n"/>
      <c r="T508" s="153" t="n"/>
      <c r="U508" s="153" t="n"/>
      <c r="V508" s="153" t="n"/>
      <c r="W508" s="153" t="n"/>
      <c r="X508" s="153" t="n"/>
      <c r="Y508" s="153" t="n"/>
      <c r="Z508" s="153" t="n"/>
    </row>
    <row r="509" ht="15.75" customHeight="1" s="154">
      <c r="I509" s="153" t="n"/>
      <c r="J509" s="153" t="n"/>
      <c r="K509" s="153" t="n"/>
      <c r="L509" s="153" t="n"/>
      <c r="M509" s="153" t="n"/>
      <c r="N509" s="153" t="n"/>
      <c r="O509" s="153" t="n"/>
      <c r="P509" s="153" t="n"/>
      <c r="Q509" s="153" t="n"/>
      <c r="R509" s="153" t="n"/>
      <c r="S509" s="153" t="n"/>
      <c r="T509" s="153" t="n"/>
      <c r="U509" s="153" t="n"/>
      <c r="V509" s="153" t="n"/>
      <c r="W509" s="153" t="n"/>
      <c r="X509" s="153" t="n"/>
      <c r="Y509" s="153" t="n"/>
      <c r="Z509" s="153" t="n"/>
    </row>
    <row r="510" ht="15.75" customHeight="1" s="154">
      <c r="I510" s="153" t="n"/>
      <c r="J510" s="153" t="n"/>
      <c r="K510" s="153" t="n"/>
      <c r="L510" s="153" t="n"/>
      <c r="M510" s="153" t="n"/>
      <c r="N510" s="153" t="n"/>
      <c r="O510" s="153" t="n"/>
      <c r="P510" s="153" t="n"/>
      <c r="Q510" s="153" t="n"/>
      <c r="R510" s="153" t="n"/>
      <c r="S510" s="153" t="n"/>
      <c r="T510" s="153" t="n"/>
      <c r="U510" s="153" t="n"/>
      <c r="V510" s="153" t="n"/>
      <c r="W510" s="153" t="n"/>
      <c r="X510" s="153" t="n"/>
      <c r="Y510" s="153" t="n"/>
      <c r="Z510" s="153" t="n"/>
    </row>
    <row r="511" ht="15.75" customHeight="1" s="154">
      <c r="I511" s="153" t="n"/>
      <c r="J511" s="153" t="n"/>
      <c r="K511" s="153" t="n"/>
      <c r="L511" s="153" t="n"/>
      <c r="M511" s="153" t="n"/>
      <c r="N511" s="153" t="n"/>
      <c r="O511" s="153" t="n"/>
      <c r="P511" s="153" t="n"/>
      <c r="Q511" s="153" t="n"/>
      <c r="R511" s="153" t="n"/>
      <c r="S511" s="153" t="n"/>
      <c r="T511" s="153" t="n"/>
      <c r="U511" s="153" t="n"/>
      <c r="V511" s="153" t="n"/>
      <c r="W511" s="153" t="n"/>
      <c r="X511" s="153" t="n"/>
      <c r="Y511" s="153" t="n"/>
      <c r="Z511" s="153" t="n"/>
    </row>
    <row r="512" ht="15.75" customHeight="1" s="154">
      <c r="I512" s="153" t="n"/>
      <c r="J512" s="153" t="n"/>
      <c r="K512" s="153" t="n"/>
      <c r="L512" s="153" t="n"/>
      <c r="M512" s="153" t="n"/>
      <c r="N512" s="153" t="n"/>
      <c r="O512" s="153" t="n"/>
      <c r="P512" s="153" t="n"/>
      <c r="Q512" s="153" t="n"/>
      <c r="R512" s="153" t="n"/>
      <c r="S512" s="153" t="n"/>
      <c r="T512" s="153" t="n"/>
      <c r="U512" s="153" t="n"/>
      <c r="V512" s="153" t="n"/>
      <c r="W512" s="153" t="n"/>
      <c r="X512" s="153" t="n"/>
      <c r="Y512" s="153" t="n"/>
      <c r="Z512" s="153" t="n"/>
    </row>
    <row r="513" ht="15.75" customHeight="1" s="154">
      <c r="I513" s="153" t="n"/>
      <c r="J513" s="153" t="n"/>
      <c r="K513" s="153" t="n"/>
      <c r="L513" s="153" t="n"/>
      <c r="M513" s="153" t="n"/>
      <c r="N513" s="153" t="n"/>
      <c r="O513" s="153" t="n"/>
      <c r="P513" s="153" t="n"/>
      <c r="Q513" s="153" t="n"/>
      <c r="R513" s="153" t="n"/>
      <c r="S513" s="153" t="n"/>
      <c r="T513" s="153" t="n"/>
      <c r="U513" s="153" t="n"/>
      <c r="V513" s="153" t="n"/>
      <c r="W513" s="153" t="n"/>
      <c r="X513" s="153" t="n"/>
      <c r="Y513" s="153" t="n"/>
      <c r="Z513" s="153" t="n"/>
    </row>
    <row r="514" ht="15.75" customHeight="1" s="154">
      <c r="I514" s="153" t="n"/>
      <c r="J514" s="153" t="n"/>
      <c r="K514" s="153" t="n"/>
      <c r="L514" s="153" t="n"/>
      <c r="M514" s="153" t="n"/>
      <c r="N514" s="153" t="n"/>
      <c r="O514" s="153" t="n"/>
      <c r="P514" s="153" t="n"/>
      <c r="Q514" s="153" t="n"/>
      <c r="R514" s="153" t="n"/>
      <c r="S514" s="153" t="n"/>
      <c r="T514" s="153" t="n"/>
      <c r="U514" s="153" t="n"/>
      <c r="V514" s="153" t="n"/>
      <c r="W514" s="153" t="n"/>
      <c r="X514" s="153" t="n"/>
      <c r="Y514" s="153" t="n"/>
      <c r="Z514" s="153" t="n"/>
    </row>
    <row r="515" ht="15.75" customHeight="1" s="154">
      <c r="I515" s="153" t="n"/>
      <c r="J515" s="153" t="n"/>
      <c r="K515" s="153" t="n"/>
      <c r="L515" s="153" t="n"/>
      <c r="M515" s="153" t="n"/>
      <c r="N515" s="153" t="n"/>
      <c r="O515" s="153" t="n"/>
      <c r="P515" s="153" t="n"/>
      <c r="Q515" s="153" t="n"/>
      <c r="R515" s="153" t="n"/>
      <c r="S515" s="153" t="n"/>
      <c r="T515" s="153" t="n"/>
      <c r="U515" s="153" t="n"/>
      <c r="V515" s="153" t="n"/>
      <c r="W515" s="153" t="n"/>
      <c r="X515" s="153" t="n"/>
      <c r="Y515" s="153" t="n"/>
      <c r="Z515" s="153" t="n"/>
    </row>
    <row r="516" ht="15.75" customHeight="1" s="154">
      <c r="I516" s="153" t="n"/>
      <c r="J516" s="153" t="n"/>
      <c r="K516" s="153" t="n"/>
      <c r="L516" s="153" t="n"/>
      <c r="M516" s="153" t="n"/>
      <c r="N516" s="153" t="n"/>
      <c r="O516" s="153" t="n"/>
      <c r="P516" s="153" t="n"/>
      <c r="Q516" s="153" t="n"/>
      <c r="R516" s="153" t="n"/>
      <c r="S516" s="153" t="n"/>
      <c r="T516" s="153" t="n"/>
      <c r="U516" s="153" t="n"/>
      <c r="V516" s="153" t="n"/>
      <c r="W516" s="153" t="n"/>
      <c r="X516" s="153" t="n"/>
      <c r="Y516" s="153" t="n"/>
      <c r="Z516" s="153" t="n"/>
    </row>
    <row r="517" ht="15.75" customHeight="1" s="154">
      <c r="I517" s="153" t="n"/>
      <c r="J517" s="153" t="n"/>
      <c r="K517" s="153" t="n"/>
      <c r="L517" s="153" t="n"/>
      <c r="M517" s="153" t="n"/>
      <c r="N517" s="153" t="n"/>
      <c r="O517" s="153" t="n"/>
      <c r="P517" s="153" t="n"/>
      <c r="Q517" s="153" t="n"/>
      <c r="R517" s="153" t="n"/>
      <c r="S517" s="153" t="n"/>
      <c r="T517" s="153" t="n"/>
      <c r="U517" s="153" t="n"/>
      <c r="V517" s="153" t="n"/>
      <c r="W517" s="153" t="n"/>
      <c r="X517" s="153" t="n"/>
      <c r="Y517" s="153" t="n"/>
      <c r="Z517" s="153" t="n"/>
    </row>
    <row r="518" ht="15.75" customHeight="1" s="154">
      <c r="I518" s="153" t="n"/>
      <c r="J518" s="153" t="n"/>
      <c r="K518" s="153" t="n"/>
      <c r="L518" s="153" t="n"/>
      <c r="M518" s="153" t="n"/>
      <c r="N518" s="153" t="n"/>
      <c r="O518" s="153" t="n"/>
      <c r="P518" s="153" t="n"/>
      <c r="Q518" s="153" t="n"/>
      <c r="R518" s="153" t="n"/>
      <c r="S518" s="153" t="n"/>
      <c r="T518" s="153" t="n"/>
      <c r="U518" s="153" t="n"/>
      <c r="V518" s="153" t="n"/>
      <c r="W518" s="153" t="n"/>
      <c r="X518" s="153" t="n"/>
      <c r="Y518" s="153" t="n"/>
      <c r="Z518" s="153" t="n"/>
    </row>
    <row r="519" ht="15.75" customHeight="1" s="154">
      <c r="I519" s="153" t="n"/>
      <c r="J519" s="153" t="n"/>
      <c r="K519" s="153" t="n"/>
      <c r="L519" s="153" t="n"/>
      <c r="M519" s="153" t="n"/>
      <c r="N519" s="153" t="n"/>
      <c r="O519" s="153" t="n"/>
      <c r="P519" s="153" t="n"/>
      <c r="Q519" s="153" t="n"/>
      <c r="R519" s="153" t="n"/>
      <c r="S519" s="153" t="n"/>
      <c r="T519" s="153" t="n"/>
      <c r="U519" s="153" t="n"/>
      <c r="V519" s="153" t="n"/>
      <c r="W519" s="153" t="n"/>
      <c r="X519" s="153" t="n"/>
      <c r="Y519" s="153" t="n"/>
      <c r="Z519" s="153" t="n"/>
    </row>
    <row r="520" ht="15.75" customHeight="1" s="154">
      <c r="I520" s="153" t="n"/>
      <c r="J520" s="153" t="n"/>
      <c r="K520" s="153" t="n"/>
      <c r="L520" s="153" t="n"/>
      <c r="M520" s="153" t="n"/>
      <c r="N520" s="153" t="n"/>
      <c r="O520" s="153" t="n"/>
      <c r="P520" s="153" t="n"/>
      <c r="Q520" s="153" t="n"/>
      <c r="R520" s="153" t="n"/>
      <c r="S520" s="153" t="n"/>
      <c r="T520" s="153" t="n"/>
      <c r="U520" s="153" t="n"/>
      <c r="V520" s="153" t="n"/>
      <c r="W520" s="153" t="n"/>
      <c r="X520" s="153" t="n"/>
      <c r="Y520" s="153" t="n"/>
      <c r="Z520" s="153" t="n"/>
    </row>
    <row r="521" ht="15.75" customHeight="1" s="154">
      <c r="I521" s="153" t="n"/>
      <c r="J521" s="153" t="n"/>
      <c r="K521" s="153" t="n"/>
      <c r="L521" s="153" t="n"/>
      <c r="M521" s="153" t="n"/>
      <c r="N521" s="153" t="n"/>
      <c r="O521" s="153" t="n"/>
      <c r="P521" s="153" t="n"/>
      <c r="Q521" s="153" t="n"/>
      <c r="R521" s="153" t="n"/>
      <c r="S521" s="153" t="n"/>
      <c r="T521" s="153" t="n"/>
      <c r="U521" s="153" t="n"/>
      <c r="V521" s="153" t="n"/>
      <c r="W521" s="153" t="n"/>
      <c r="X521" s="153" t="n"/>
      <c r="Y521" s="153" t="n"/>
      <c r="Z521" s="153" t="n"/>
    </row>
    <row r="522" ht="15.75" customHeight="1" s="154">
      <c r="I522" s="153" t="n"/>
      <c r="J522" s="153" t="n"/>
      <c r="K522" s="153" t="n"/>
      <c r="L522" s="153" t="n"/>
      <c r="M522" s="153" t="n"/>
      <c r="N522" s="153" t="n"/>
      <c r="O522" s="153" t="n"/>
      <c r="P522" s="153" t="n"/>
      <c r="Q522" s="153" t="n"/>
      <c r="R522" s="153" t="n"/>
      <c r="S522" s="153" t="n"/>
      <c r="T522" s="153" t="n"/>
      <c r="U522" s="153" t="n"/>
      <c r="V522" s="153" t="n"/>
      <c r="W522" s="153" t="n"/>
      <c r="X522" s="153" t="n"/>
      <c r="Y522" s="153" t="n"/>
      <c r="Z522" s="153" t="n"/>
    </row>
    <row r="523" ht="15.75" customHeight="1" s="154">
      <c r="I523" s="153" t="n"/>
      <c r="J523" s="153" t="n"/>
      <c r="K523" s="153" t="n"/>
      <c r="L523" s="153" t="n"/>
      <c r="M523" s="153" t="n"/>
      <c r="N523" s="153" t="n"/>
      <c r="O523" s="153" t="n"/>
      <c r="P523" s="153" t="n"/>
      <c r="Q523" s="153" t="n"/>
      <c r="R523" s="153" t="n"/>
      <c r="S523" s="153" t="n"/>
      <c r="T523" s="153" t="n"/>
      <c r="U523" s="153" t="n"/>
      <c r="V523" s="153" t="n"/>
      <c r="W523" s="153" t="n"/>
      <c r="X523" s="153" t="n"/>
      <c r="Y523" s="153" t="n"/>
      <c r="Z523" s="153" t="n"/>
    </row>
    <row r="524" ht="15.75" customHeight="1" s="154">
      <c r="I524" s="153" t="n"/>
      <c r="J524" s="153" t="n"/>
      <c r="K524" s="153" t="n"/>
      <c r="L524" s="153" t="n"/>
      <c r="M524" s="153" t="n"/>
      <c r="N524" s="153" t="n"/>
      <c r="O524" s="153" t="n"/>
      <c r="P524" s="153" t="n"/>
      <c r="Q524" s="153" t="n"/>
      <c r="R524" s="153" t="n"/>
      <c r="S524" s="153" t="n"/>
      <c r="T524" s="153" t="n"/>
      <c r="U524" s="153" t="n"/>
      <c r="V524" s="153" t="n"/>
      <c r="W524" s="153" t="n"/>
      <c r="X524" s="153" t="n"/>
      <c r="Y524" s="153" t="n"/>
      <c r="Z524" s="153" t="n"/>
    </row>
    <row r="525" ht="15.75" customHeight="1" s="154">
      <c r="I525" s="153" t="n"/>
      <c r="J525" s="153" t="n"/>
      <c r="K525" s="153" t="n"/>
      <c r="L525" s="153" t="n"/>
      <c r="M525" s="153" t="n"/>
      <c r="N525" s="153" t="n"/>
      <c r="O525" s="153" t="n"/>
      <c r="P525" s="153" t="n"/>
      <c r="Q525" s="153" t="n"/>
      <c r="R525" s="153" t="n"/>
      <c r="S525" s="153" t="n"/>
      <c r="T525" s="153" t="n"/>
      <c r="U525" s="153" t="n"/>
      <c r="V525" s="153" t="n"/>
      <c r="W525" s="153" t="n"/>
      <c r="X525" s="153" t="n"/>
      <c r="Y525" s="153" t="n"/>
      <c r="Z525" s="153" t="n"/>
    </row>
    <row r="526" ht="15.75" customHeight="1" s="154">
      <c r="I526" s="153" t="n"/>
      <c r="J526" s="153" t="n"/>
      <c r="K526" s="153" t="n"/>
      <c r="L526" s="153" t="n"/>
      <c r="M526" s="153" t="n"/>
      <c r="N526" s="153" t="n"/>
      <c r="O526" s="153" t="n"/>
      <c r="P526" s="153" t="n"/>
      <c r="Q526" s="153" t="n"/>
      <c r="R526" s="153" t="n"/>
      <c r="S526" s="153" t="n"/>
      <c r="T526" s="153" t="n"/>
      <c r="U526" s="153" t="n"/>
      <c r="V526" s="153" t="n"/>
      <c r="W526" s="153" t="n"/>
      <c r="X526" s="153" t="n"/>
      <c r="Y526" s="153" t="n"/>
      <c r="Z526" s="153" t="n"/>
    </row>
    <row r="527" ht="15.75" customHeight="1" s="154">
      <c r="I527" s="153" t="n"/>
      <c r="J527" s="153" t="n"/>
      <c r="K527" s="153" t="n"/>
      <c r="L527" s="153" t="n"/>
      <c r="M527" s="153" t="n"/>
      <c r="N527" s="153" t="n"/>
      <c r="O527" s="153" t="n"/>
      <c r="P527" s="153" t="n"/>
      <c r="Q527" s="153" t="n"/>
      <c r="R527" s="153" t="n"/>
      <c r="S527" s="153" t="n"/>
      <c r="T527" s="153" t="n"/>
      <c r="U527" s="153" t="n"/>
      <c r="V527" s="153" t="n"/>
      <c r="W527" s="153" t="n"/>
      <c r="X527" s="153" t="n"/>
      <c r="Y527" s="153" t="n"/>
      <c r="Z527" s="153" t="n"/>
    </row>
    <row r="528" ht="15.75" customHeight="1" s="154">
      <c r="I528" s="153" t="n"/>
      <c r="J528" s="153" t="n"/>
      <c r="K528" s="153" t="n"/>
      <c r="L528" s="153" t="n"/>
      <c r="M528" s="153" t="n"/>
      <c r="N528" s="153" t="n"/>
      <c r="O528" s="153" t="n"/>
      <c r="P528" s="153" t="n"/>
      <c r="Q528" s="153" t="n"/>
      <c r="R528" s="153" t="n"/>
      <c r="S528" s="153" t="n"/>
      <c r="T528" s="153" t="n"/>
      <c r="U528" s="153" t="n"/>
      <c r="V528" s="153" t="n"/>
      <c r="W528" s="153" t="n"/>
      <c r="X528" s="153" t="n"/>
      <c r="Y528" s="153" t="n"/>
      <c r="Z528" s="153" t="n"/>
    </row>
    <row r="529" ht="15.75" customHeight="1" s="154">
      <c r="I529" s="153" t="n"/>
      <c r="J529" s="153" t="n"/>
      <c r="K529" s="153" t="n"/>
      <c r="L529" s="153" t="n"/>
      <c r="M529" s="153" t="n"/>
      <c r="N529" s="153" t="n"/>
      <c r="O529" s="153" t="n"/>
      <c r="P529" s="153" t="n"/>
      <c r="Q529" s="153" t="n"/>
      <c r="R529" s="153" t="n"/>
      <c r="S529" s="153" t="n"/>
      <c r="T529" s="153" t="n"/>
      <c r="U529" s="153" t="n"/>
      <c r="V529" s="153" t="n"/>
      <c r="W529" s="153" t="n"/>
      <c r="X529" s="153" t="n"/>
      <c r="Y529" s="153" t="n"/>
      <c r="Z529" s="153" t="n"/>
    </row>
    <row r="530" ht="15.75" customHeight="1" s="154">
      <c r="I530" s="153" t="n"/>
      <c r="J530" s="153" t="n"/>
      <c r="K530" s="153" t="n"/>
      <c r="L530" s="153" t="n"/>
      <c r="M530" s="153" t="n"/>
      <c r="N530" s="153" t="n"/>
      <c r="O530" s="153" t="n"/>
      <c r="P530" s="153" t="n"/>
      <c r="Q530" s="153" t="n"/>
      <c r="R530" s="153" t="n"/>
      <c r="S530" s="153" t="n"/>
      <c r="T530" s="153" t="n"/>
      <c r="U530" s="153" t="n"/>
      <c r="V530" s="153" t="n"/>
      <c r="W530" s="153" t="n"/>
      <c r="X530" s="153" t="n"/>
      <c r="Y530" s="153" t="n"/>
      <c r="Z530" s="153" t="n"/>
    </row>
    <row r="531" ht="15.75" customHeight="1" s="154">
      <c r="I531" s="153" t="n"/>
      <c r="J531" s="153" t="n"/>
      <c r="K531" s="153" t="n"/>
      <c r="L531" s="153" t="n"/>
      <c r="M531" s="153" t="n"/>
      <c r="N531" s="153" t="n"/>
      <c r="O531" s="153" t="n"/>
      <c r="P531" s="153" t="n"/>
      <c r="Q531" s="153" t="n"/>
      <c r="R531" s="153" t="n"/>
      <c r="S531" s="153" t="n"/>
      <c r="T531" s="153" t="n"/>
      <c r="U531" s="153" t="n"/>
      <c r="V531" s="153" t="n"/>
      <c r="W531" s="153" t="n"/>
      <c r="X531" s="153" t="n"/>
      <c r="Y531" s="153" t="n"/>
      <c r="Z531" s="153" t="n"/>
    </row>
    <row r="532" ht="15.75" customHeight="1" s="154">
      <c r="I532" s="153" t="n"/>
      <c r="J532" s="153" t="n"/>
      <c r="K532" s="153" t="n"/>
      <c r="L532" s="153" t="n"/>
      <c r="M532" s="153" t="n"/>
      <c r="N532" s="153" t="n"/>
      <c r="O532" s="153" t="n"/>
      <c r="P532" s="153" t="n"/>
      <c r="Q532" s="153" t="n"/>
      <c r="R532" s="153" t="n"/>
      <c r="S532" s="153" t="n"/>
      <c r="T532" s="153" t="n"/>
      <c r="U532" s="153" t="n"/>
      <c r="V532" s="153" t="n"/>
      <c r="W532" s="153" t="n"/>
      <c r="X532" s="153" t="n"/>
      <c r="Y532" s="153" t="n"/>
      <c r="Z532" s="153" t="n"/>
    </row>
    <row r="533" ht="15.75" customHeight="1" s="154">
      <c r="I533" s="153" t="n"/>
      <c r="J533" s="153" t="n"/>
      <c r="K533" s="153" t="n"/>
      <c r="L533" s="153" t="n"/>
      <c r="M533" s="153" t="n"/>
      <c r="N533" s="153" t="n"/>
      <c r="O533" s="153" t="n"/>
      <c r="P533" s="153" t="n"/>
      <c r="Q533" s="153" t="n"/>
      <c r="R533" s="153" t="n"/>
      <c r="S533" s="153" t="n"/>
      <c r="T533" s="153" t="n"/>
      <c r="U533" s="153" t="n"/>
      <c r="V533" s="153" t="n"/>
      <c r="W533" s="153" t="n"/>
      <c r="X533" s="153" t="n"/>
      <c r="Y533" s="153" t="n"/>
      <c r="Z533" s="153" t="n"/>
    </row>
    <row r="534" ht="15.75" customHeight="1" s="154">
      <c r="I534" s="153" t="n"/>
      <c r="J534" s="153" t="n"/>
      <c r="K534" s="153" t="n"/>
      <c r="L534" s="153" t="n"/>
      <c r="M534" s="153" t="n"/>
      <c r="N534" s="153" t="n"/>
      <c r="O534" s="153" t="n"/>
      <c r="P534" s="153" t="n"/>
      <c r="Q534" s="153" t="n"/>
      <c r="R534" s="153" t="n"/>
      <c r="S534" s="153" t="n"/>
      <c r="T534" s="153" t="n"/>
      <c r="U534" s="153" t="n"/>
      <c r="V534" s="153" t="n"/>
      <c r="W534" s="153" t="n"/>
      <c r="X534" s="153" t="n"/>
      <c r="Y534" s="153" t="n"/>
      <c r="Z534" s="153" t="n"/>
    </row>
    <row r="535" ht="15.75" customHeight="1" s="154">
      <c r="I535" s="153" t="n"/>
      <c r="J535" s="153" t="n"/>
      <c r="K535" s="153" t="n"/>
      <c r="L535" s="153" t="n"/>
      <c r="M535" s="153" t="n"/>
      <c r="N535" s="153" t="n"/>
      <c r="O535" s="153" t="n"/>
      <c r="P535" s="153" t="n"/>
      <c r="Q535" s="153" t="n"/>
      <c r="R535" s="153" t="n"/>
      <c r="S535" s="153" t="n"/>
      <c r="T535" s="153" t="n"/>
      <c r="U535" s="153" t="n"/>
      <c r="V535" s="153" t="n"/>
      <c r="W535" s="153" t="n"/>
      <c r="X535" s="153" t="n"/>
      <c r="Y535" s="153" t="n"/>
      <c r="Z535" s="153" t="n"/>
    </row>
    <row r="536" ht="15.75" customHeight="1" s="154">
      <c r="I536" s="153" t="n"/>
      <c r="J536" s="153" t="n"/>
      <c r="K536" s="153" t="n"/>
      <c r="L536" s="153" t="n"/>
      <c r="M536" s="153" t="n"/>
      <c r="N536" s="153" t="n"/>
      <c r="O536" s="153" t="n"/>
      <c r="P536" s="153" t="n"/>
      <c r="Q536" s="153" t="n"/>
      <c r="R536" s="153" t="n"/>
      <c r="S536" s="153" t="n"/>
      <c r="T536" s="153" t="n"/>
      <c r="U536" s="153" t="n"/>
      <c r="V536" s="153" t="n"/>
      <c r="W536" s="153" t="n"/>
      <c r="X536" s="153" t="n"/>
      <c r="Y536" s="153" t="n"/>
      <c r="Z536" s="153" t="n"/>
    </row>
    <row r="537" ht="15.75" customHeight="1" s="154">
      <c r="I537" s="153" t="n"/>
      <c r="J537" s="153" t="n"/>
      <c r="K537" s="153" t="n"/>
      <c r="L537" s="153" t="n"/>
      <c r="M537" s="153" t="n"/>
      <c r="N537" s="153" t="n"/>
      <c r="O537" s="153" t="n"/>
      <c r="P537" s="153" t="n"/>
      <c r="Q537" s="153" t="n"/>
      <c r="R537" s="153" t="n"/>
      <c r="S537" s="153" t="n"/>
      <c r="T537" s="153" t="n"/>
      <c r="U537" s="153" t="n"/>
      <c r="V537" s="153" t="n"/>
      <c r="W537" s="153" t="n"/>
      <c r="X537" s="153" t="n"/>
      <c r="Y537" s="153" t="n"/>
      <c r="Z537" s="153" t="n"/>
    </row>
    <row r="538" ht="15.75" customHeight="1" s="154">
      <c r="I538" s="153" t="n"/>
      <c r="J538" s="153" t="n"/>
      <c r="K538" s="153" t="n"/>
      <c r="L538" s="153" t="n"/>
      <c r="M538" s="153" t="n"/>
      <c r="N538" s="153" t="n"/>
      <c r="O538" s="153" t="n"/>
      <c r="P538" s="153" t="n"/>
      <c r="Q538" s="153" t="n"/>
      <c r="R538" s="153" t="n"/>
      <c r="S538" s="153" t="n"/>
      <c r="T538" s="153" t="n"/>
      <c r="U538" s="153" t="n"/>
      <c r="V538" s="153" t="n"/>
      <c r="W538" s="153" t="n"/>
      <c r="X538" s="153" t="n"/>
      <c r="Y538" s="153" t="n"/>
      <c r="Z538" s="153" t="n"/>
    </row>
    <row r="539" ht="15.75" customHeight="1" s="154">
      <c r="I539" s="153" t="n"/>
      <c r="J539" s="153" t="n"/>
      <c r="K539" s="153" t="n"/>
      <c r="L539" s="153" t="n"/>
      <c r="M539" s="153" t="n"/>
      <c r="N539" s="153" t="n"/>
      <c r="O539" s="153" t="n"/>
      <c r="P539" s="153" t="n"/>
      <c r="Q539" s="153" t="n"/>
      <c r="R539" s="153" t="n"/>
      <c r="S539" s="153" t="n"/>
      <c r="T539" s="153" t="n"/>
      <c r="U539" s="153" t="n"/>
      <c r="V539" s="153" t="n"/>
      <c r="W539" s="153" t="n"/>
      <c r="X539" s="153" t="n"/>
      <c r="Y539" s="153" t="n"/>
      <c r="Z539" s="153" t="n"/>
    </row>
    <row r="540" ht="15.75" customHeight="1" s="154">
      <c r="I540" s="153" t="n"/>
      <c r="J540" s="153" t="n"/>
      <c r="K540" s="153" t="n"/>
      <c r="L540" s="153" t="n"/>
      <c r="M540" s="153" t="n"/>
      <c r="N540" s="153" t="n"/>
      <c r="O540" s="153" t="n"/>
      <c r="P540" s="153" t="n"/>
      <c r="Q540" s="153" t="n"/>
      <c r="R540" s="153" t="n"/>
      <c r="S540" s="153" t="n"/>
      <c r="T540" s="153" t="n"/>
      <c r="U540" s="153" t="n"/>
      <c r="V540" s="153" t="n"/>
      <c r="W540" s="153" t="n"/>
      <c r="X540" s="153" t="n"/>
      <c r="Y540" s="153" t="n"/>
      <c r="Z540" s="153" t="n"/>
    </row>
    <row r="541" ht="15.75" customHeight="1" s="154">
      <c r="I541" s="153" t="n"/>
      <c r="J541" s="153" t="n"/>
      <c r="K541" s="153" t="n"/>
      <c r="L541" s="153" t="n"/>
      <c r="M541" s="153" t="n"/>
      <c r="N541" s="153" t="n"/>
      <c r="O541" s="153" t="n"/>
      <c r="P541" s="153" t="n"/>
      <c r="Q541" s="153" t="n"/>
      <c r="R541" s="153" t="n"/>
      <c r="S541" s="153" t="n"/>
      <c r="T541" s="153" t="n"/>
      <c r="U541" s="153" t="n"/>
      <c r="V541" s="153" t="n"/>
      <c r="W541" s="153" t="n"/>
      <c r="X541" s="153" t="n"/>
      <c r="Y541" s="153" t="n"/>
      <c r="Z541" s="153" t="n"/>
    </row>
    <row r="542" ht="15.75" customHeight="1" s="154">
      <c r="I542" s="153" t="n"/>
      <c r="J542" s="153" t="n"/>
      <c r="K542" s="153" t="n"/>
      <c r="L542" s="153" t="n"/>
      <c r="M542" s="153" t="n"/>
      <c r="N542" s="153" t="n"/>
      <c r="O542" s="153" t="n"/>
      <c r="P542" s="153" t="n"/>
      <c r="Q542" s="153" t="n"/>
      <c r="R542" s="153" t="n"/>
      <c r="S542" s="153" t="n"/>
      <c r="T542" s="153" t="n"/>
      <c r="U542" s="153" t="n"/>
      <c r="V542" s="153" t="n"/>
      <c r="W542" s="153" t="n"/>
      <c r="X542" s="153" t="n"/>
      <c r="Y542" s="153" t="n"/>
      <c r="Z542" s="153" t="n"/>
    </row>
    <row r="543" ht="15.75" customHeight="1" s="154">
      <c r="I543" s="153" t="n"/>
      <c r="J543" s="153" t="n"/>
      <c r="K543" s="153" t="n"/>
      <c r="L543" s="153" t="n"/>
      <c r="M543" s="153" t="n"/>
      <c r="N543" s="153" t="n"/>
      <c r="O543" s="153" t="n"/>
      <c r="P543" s="153" t="n"/>
      <c r="Q543" s="153" t="n"/>
      <c r="R543" s="153" t="n"/>
      <c r="S543" s="153" t="n"/>
      <c r="T543" s="153" t="n"/>
      <c r="U543" s="153" t="n"/>
      <c r="V543" s="153" t="n"/>
      <c r="W543" s="153" t="n"/>
      <c r="X543" s="153" t="n"/>
      <c r="Y543" s="153" t="n"/>
      <c r="Z543" s="153" t="n"/>
    </row>
    <row r="544" ht="15.75" customHeight="1" s="154">
      <c r="I544" s="153" t="n"/>
      <c r="J544" s="153" t="n"/>
      <c r="K544" s="153" t="n"/>
      <c r="L544" s="153" t="n"/>
      <c r="M544" s="153" t="n"/>
      <c r="N544" s="153" t="n"/>
      <c r="O544" s="153" t="n"/>
      <c r="P544" s="153" t="n"/>
      <c r="Q544" s="153" t="n"/>
      <c r="R544" s="153" t="n"/>
      <c r="S544" s="153" t="n"/>
      <c r="T544" s="153" t="n"/>
      <c r="U544" s="153" t="n"/>
      <c r="V544" s="153" t="n"/>
      <c r="W544" s="153" t="n"/>
      <c r="X544" s="153" t="n"/>
      <c r="Y544" s="153" t="n"/>
      <c r="Z544" s="153" t="n"/>
    </row>
    <row r="545" ht="15.75" customHeight="1" s="154">
      <c r="I545" s="153" t="n"/>
      <c r="J545" s="153" t="n"/>
      <c r="K545" s="153" t="n"/>
      <c r="L545" s="153" t="n"/>
      <c r="M545" s="153" t="n"/>
      <c r="N545" s="153" t="n"/>
      <c r="O545" s="153" t="n"/>
      <c r="P545" s="153" t="n"/>
      <c r="Q545" s="153" t="n"/>
      <c r="R545" s="153" t="n"/>
      <c r="S545" s="153" t="n"/>
      <c r="T545" s="153" t="n"/>
      <c r="U545" s="153" t="n"/>
      <c r="V545" s="153" t="n"/>
      <c r="W545" s="153" t="n"/>
      <c r="X545" s="153" t="n"/>
      <c r="Y545" s="153" t="n"/>
      <c r="Z545" s="153" t="n"/>
    </row>
    <row r="546" ht="15.75" customHeight="1" s="154">
      <c r="I546" s="153" t="n"/>
      <c r="J546" s="153" t="n"/>
      <c r="K546" s="153" t="n"/>
      <c r="L546" s="153" t="n"/>
      <c r="M546" s="153" t="n"/>
      <c r="N546" s="153" t="n"/>
      <c r="O546" s="153" t="n"/>
      <c r="P546" s="153" t="n"/>
      <c r="Q546" s="153" t="n"/>
      <c r="R546" s="153" t="n"/>
      <c r="S546" s="153" t="n"/>
      <c r="T546" s="153" t="n"/>
      <c r="U546" s="153" t="n"/>
      <c r="V546" s="153" t="n"/>
      <c r="W546" s="153" t="n"/>
      <c r="X546" s="153" t="n"/>
      <c r="Y546" s="153" t="n"/>
      <c r="Z546" s="153" t="n"/>
    </row>
    <row r="547" ht="15.75" customHeight="1" s="154">
      <c r="I547" s="153" t="n"/>
      <c r="J547" s="153" t="n"/>
      <c r="K547" s="153" t="n"/>
      <c r="L547" s="153" t="n"/>
      <c r="M547" s="153" t="n"/>
      <c r="N547" s="153" t="n"/>
      <c r="O547" s="153" t="n"/>
      <c r="P547" s="153" t="n"/>
      <c r="Q547" s="153" t="n"/>
      <c r="R547" s="153" t="n"/>
      <c r="S547" s="153" t="n"/>
      <c r="T547" s="153" t="n"/>
      <c r="U547" s="153" t="n"/>
      <c r="V547" s="153" t="n"/>
      <c r="W547" s="153" t="n"/>
      <c r="X547" s="153" t="n"/>
      <c r="Y547" s="153" t="n"/>
      <c r="Z547" s="153" t="n"/>
    </row>
    <row r="548" ht="15.75" customHeight="1" s="154">
      <c r="I548" s="153" t="n"/>
      <c r="J548" s="153" t="n"/>
      <c r="K548" s="153" t="n"/>
      <c r="L548" s="153" t="n"/>
      <c r="M548" s="153" t="n"/>
      <c r="N548" s="153" t="n"/>
      <c r="O548" s="153" t="n"/>
      <c r="P548" s="153" t="n"/>
      <c r="Q548" s="153" t="n"/>
      <c r="R548" s="153" t="n"/>
      <c r="S548" s="153" t="n"/>
      <c r="T548" s="153" t="n"/>
      <c r="U548" s="153" t="n"/>
      <c r="V548" s="153" t="n"/>
      <c r="W548" s="153" t="n"/>
      <c r="X548" s="153" t="n"/>
      <c r="Y548" s="153" t="n"/>
      <c r="Z548" s="153" t="n"/>
    </row>
    <row r="549" ht="15.75" customHeight="1" s="154">
      <c r="I549" s="153" t="n"/>
      <c r="J549" s="153" t="n"/>
      <c r="K549" s="153" t="n"/>
      <c r="L549" s="153" t="n"/>
      <c r="M549" s="153" t="n"/>
      <c r="N549" s="153" t="n"/>
      <c r="O549" s="153" t="n"/>
      <c r="P549" s="153" t="n"/>
      <c r="Q549" s="153" t="n"/>
      <c r="R549" s="153" t="n"/>
      <c r="S549" s="153" t="n"/>
      <c r="T549" s="153" t="n"/>
      <c r="U549" s="153" t="n"/>
      <c r="V549" s="153" t="n"/>
      <c r="W549" s="153" t="n"/>
      <c r="X549" s="153" t="n"/>
      <c r="Y549" s="153" t="n"/>
      <c r="Z549" s="153" t="n"/>
    </row>
    <row r="550" ht="15.75" customHeight="1" s="154">
      <c r="I550" s="153" t="n"/>
      <c r="J550" s="153" t="n"/>
      <c r="K550" s="153" t="n"/>
      <c r="L550" s="153" t="n"/>
      <c r="M550" s="153" t="n"/>
      <c r="N550" s="153" t="n"/>
      <c r="O550" s="153" t="n"/>
      <c r="P550" s="153" t="n"/>
      <c r="Q550" s="153" t="n"/>
      <c r="R550" s="153" t="n"/>
      <c r="S550" s="153" t="n"/>
      <c r="T550" s="153" t="n"/>
      <c r="U550" s="153" t="n"/>
      <c r="V550" s="153" t="n"/>
      <c r="W550" s="153" t="n"/>
      <c r="X550" s="153" t="n"/>
      <c r="Y550" s="153" t="n"/>
      <c r="Z550" s="153" t="n"/>
    </row>
    <row r="551" ht="15.75" customHeight="1" s="154">
      <c r="I551" s="153" t="n"/>
      <c r="J551" s="153" t="n"/>
      <c r="K551" s="153" t="n"/>
      <c r="L551" s="153" t="n"/>
      <c r="M551" s="153" t="n"/>
      <c r="N551" s="153" t="n"/>
      <c r="O551" s="153" t="n"/>
      <c r="P551" s="153" t="n"/>
      <c r="Q551" s="153" t="n"/>
      <c r="R551" s="153" t="n"/>
      <c r="S551" s="153" t="n"/>
      <c r="T551" s="153" t="n"/>
      <c r="U551" s="153" t="n"/>
      <c r="V551" s="153" t="n"/>
      <c r="W551" s="153" t="n"/>
      <c r="X551" s="153" t="n"/>
      <c r="Y551" s="153" t="n"/>
      <c r="Z551" s="153" t="n"/>
    </row>
    <row r="552" ht="15.75" customHeight="1" s="154">
      <c r="I552" s="153" t="n"/>
      <c r="J552" s="153" t="n"/>
      <c r="K552" s="153" t="n"/>
      <c r="L552" s="153" t="n"/>
      <c r="M552" s="153" t="n"/>
      <c r="N552" s="153" t="n"/>
      <c r="O552" s="153" t="n"/>
      <c r="P552" s="153" t="n"/>
      <c r="Q552" s="153" t="n"/>
      <c r="R552" s="153" t="n"/>
      <c r="S552" s="153" t="n"/>
      <c r="T552" s="153" t="n"/>
      <c r="U552" s="153" t="n"/>
      <c r="V552" s="153" t="n"/>
      <c r="W552" s="153" t="n"/>
      <c r="X552" s="153" t="n"/>
      <c r="Y552" s="153" t="n"/>
      <c r="Z552" s="153" t="n"/>
    </row>
    <row r="553" ht="15.75" customHeight="1" s="154">
      <c r="I553" s="153" t="n"/>
      <c r="J553" s="153" t="n"/>
      <c r="K553" s="153" t="n"/>
      <c r="L553" s="153" t="n"/>
      <c r="M553" s="153" t="n"/>
      <c r="N553" s="153" t="n"/>
      <c r="O553" s="153" t="n"/>
      <c r="P553" s="153" t="n"/>
      <c r="Q553" s="153" t="n"/>
      <c r="R553" s="153" t="n"/>
      <c r="S553" s="153" t="n"/>
      <c r="T553" s="153" t="n"/>
      <c r="U553" s="153" t="n"/>
      <c r="V553" s="153" t="n"/>
      <c r="W553" s="153" t="n"/>
      <c r="X553" s="153" t="n"/>
      <c r="Y553" s="153" t="n"/>
      <c r="Z553" s="153" t="n"/>
    </row>
    <row r="554" ht="15.75" customHeight="1" s="154">
      <c r="I554" s="153" t="n"/>
      <c r="J554" s="153" t="n"/>
      <c r="K554" s="153" t="n"/>
      <c r="L554" s="153" t="n"/>
      <c r="M554" s="153" t="n"/>
      <c r="N554" s="153" t="n"/>
      <c r="O554" s="153" t="n"/>
      <c r="P554" s="153" t="n"/>
      <c r="Q554" s="153" t="n"/>
      <c r="R554" s="153" t="n"/>
      <c r="S554" s="153" t="n"/>
      <c r="T554" s="153" t="n"/>
      <c r="U554" s="153" t="n"/>
      <c r="V554" s="153" t="n"/>
      <c r="W554" s="153" t="n"/>
      <c r="X554" s="153" t="n"/>
      <c r="Y554" s="153" t="n"/>
      <c r="Z554" s="153" t="n"/>
    </row>
    <row r="555" ht="15.75" customHeight="1" s="154">
      <c r="I555" s="153" t="n"/>
      <c r="J555" s="153" t="n"/>
      <c r="K555" s="153" t="n"/>
      <c r="L555" s="153" t="n"/>
      <c r="M555" s="153" t="n"/>
      <c r="N555" s="153" t="n"/>
      <c r="O555" s="153" t="n"/>
      <c r="P555" s="153" t="n"/>
      <c r="Q555" s="153" t="n"/>
      <c r="R555" s="153" t="n"/>
      <c r="S555" s="153" t="n"/>
      <c r="T555" s="153" t="n"/>
      <c r="U555" s="153" t="n"/>
      <c r="V555" s="153" t="n"/>
      <c r="W555" s="153" t="n"/>
      <c r="X555" s="153" t="n"/>
      <c r="Y555" s="153" t="n"/>
      <c r="Z555" s="153" t="n"/>
    </row>
    <row r="556" ht="15.75" customHeight="1" s="154">
      <c r="I556" s="153" t="n"/>
      <c r="J556" s="153" t="n"/>
      <c r="K556" s="153" t="n"/>
      <c r="L556" s="153" t="n"/>
      <c r="M556" s="153" t="n"/>
      <c r="N556" s="153" t="n"/>
      <c r="O556" s="153" t="n"/>
      <c r="P556" s="153" t="n"/>
      <c r="Q556" s="153" t="n"/>
      <c r="R556" s="153" t="n"/>
      <c r="S556" s="153" t="n"/>
      <c r="T556" s="153" t="n"/>
      <c r="U556" s="153" t="n"/>
      <c r="V556" s="153" t="n"/>
      <c r="W556" s="153" t="n"/>
      <c r="X556" s="153" t="n"/>
      <c r="Y556" s="153" t="n"/>
      <c r="Z556" s="153" t="n"/>
    </row>
    <row r="557" ht="15.75" customHeight="1" s="154">
      <c r="I557" s="153" t="n"/>
      <c r="J557" s="153" t="n"/>
      <c r="K557" s="153" t="n"/>
      <c r="L557" s="153" t="n"/>
      <c r="M557" s="153" t="n"/>
      <c r="N557" s="153" t="n"/>
      <c r="O557" s="153" t="n"/>
      <c r="P557" s="153" t="n"/>
      <c r="Q557" s="153" t="n"/>
      <c r="R557" s="153" t="n"/>
      <c r="S557" s="153" t="n"/>
      <c r="T557" s="153" t="n"/>
      <c r="U557" s="153" t="n"/>
      <c r="V557" s="153" t="n"/>
      <c r="W557" s="153" t="n"/>
      <c r="X557" s="153" t="n"/>
      <c r="Y557" s="153" t="n"/>
      <c r="Z557" s="153" t="n"/>
    </row>
    <row r="558" ht="15.75" customHeight="1" s="154">
      <c r="I558" s="153" t="n"/>
      <c r="J558" s="153" t="n"/>
      <c r="K558" s="153" t="n"/>
      <c r="L558" s="153" t="n"/>
      <c r="M558" s="153" t="n"/>
      <c r="N558" s="153" t="n"/>
      <c r="O558" s="153" t="n"/>
      <c r="P558" s="153" t="n"/>
      <c r="Q558" s="153" t="n"/>
      <c r="R558" s="153" t="n"/>
      <c r="S558" s="153" t="n"/>
      <c r="T558" s="153" t="n"/>
      <c r="U558" s="153" t="n"/>
      <c r="V558" s="153" t="n"/>
      <c r="W558" s="153" t="n"/>
      <c r="X558" s="153" t="n"/>
      <c r="Y558" s="153" t="n"/>
      <c r="Z558" s="153" t="n"/>
    </row>
    <row r="559" ht="15.75" customHeight="1" s="154">
      <c r="I559" s="153" t="n"/>
      <c r="J559" s="153" t="n"/>
      <c r="K559" s="153" t="n"/>
      <c r="L559" s="153" t="n"/>
      <c r="M559" s="153" t="n"/>
      <c r="N559" s="153" t="n"/>
      <c r="O559" s="153" t="n"/>
      <c r="P559" s="153" t="n"/>
      <c r="Q559" s="153" t="n"/>
      <c r="R559" s="153" t="n"/>
      <c r="S559" s="153" t="n"/>
      <c r="T559" s="153" t="n"/>
      <c r="U559" s="153" t="n"/>
      <c r="V559" s="153" t="n"/>
      <c r="W559" s="153" t="n"/>
      <c r="X559" s="153" t="n"/>
      <c r="Y559" s="153" t="n"/>
      <c r="Z559" s="153" t="n"/>
    </row>
    <row r="560" ht="15.75" customHeight="1" s="154">
      <c r="I560" s="153" t="n"/>
      <c r="J560" s="153" t="n"/>
      <c r="K560" s="153" t="n"/>
      <c r="L560" s="153" t="n"/>
      <c r="M560" s="153" t="n"/>
      <c r="N560" s="153" t="n"/>
      <c r="O560" s="153" t="n"/>
      <c r="P560" s="153" t="n"/>
      <c r="Q560" s="153" t="n"/>
      <c r="R560" s="153" t="n"/>
      <c r="S560" s="153" t="n"/>
      <c r="T560" s="153" t="n"/>
      <c r="U560" s="153" t="n"/>
      <c r="V560" s="153" t="n"/>
      <c r="W560" s="153" t="n"/>
      <c r="X560" s="153" t="n"/>
      <c r="Y560" s="153" t="n"/>
      <c r="Z560" s="153" t="n"/>
    </row>
    <row r="561" ht="15.75" customHeight="1" s="154">
      <c r="I561" s="153" t="n"/>
      <c r="J561" s="153" t="n"/>
      <c r="K561" s="153" t="n"/>
      <c r="L561" s="153" t="n"/>
      <c r="M561" s="153" t="n"/>
      <c r="N561" s="153" t="n"/>
      <c r="O561" s="153" t="n"/>
      <c r="P561" s="153" t="n"/>
      <c r="Q561" s="153" t="n"/>
      <c r="R561" s="153" t="n"/>
      <c r="S561" s="153" t="n"/>
      <c r="T561" s="153" t="n"/>
      <c r="U561" s="153" t="n"/>
      <c r="V561" s="153" t="n"/>
      <c r="W561" s="153" t="n"/>
      <c r="X561" s="153" t="n"/>
      <c r="Y561" s="153" t="n"/>
      <c r="Z561" s="153" t="n"/>
    </row>
    <row r="562" ht="15.75" customHeight="1" s="154">
      <c r="I562" s="153" t="n"/>
      <c r="J562" s="153" t="n"/>
      <c r="K562" s="153" t="n"/>
      <c r="L562" s="153" t="n"/>
      <c r="M562" s="153" t="n"/>
      <c r="N562" s="153" t="n"/>
      <c r="O562" s="153" t="n"/>
      <c r="P562" s="153" t="n"/>
      <c r="Q562" s="153" t="n"/>
      <c r="R562" s="153" t="n"/>
      <c r="S562" s="153" t="n"/>
      <c r="T562" s="153" t="n"/>
      <c r="U562" s="153" t="n"/>
      <c r="V562" s="153" t="n"/>
      <c r="W562" s="153" t="n"/>
      <c r="X562" s="153" t="n"/>
      <c r="Y562" s="153" t="n"/>
      <c r="Z562" s="153" t="n"/>
    </row>
    <row r="563" ht="15.75" customHeight="1" s="154">
      <c r="I563" s="153" t="n"/>
      <c r="J563" s="153" t="n"/>
      <c r="K563" s="153" t="n"/>
      <c r="L563" s="153" t="n"/>
      <c r="M563" s="153" t="n"/>
      <c r="N563" s="153" t="n"/>
      <c r="O563" s="153" t="n"/>
      <c r="P563" s="153" t="n"/>
      <c r="Q563" s="153" t="n"/>
      <c r="R563" s="153" t="n"/>
      <c r="S563" s="153" t="n"/>
      <c r="T563" s="153" t="n"/>
      <c r="U563" s="153" t="n"/>
      <c r="V563" s="153" t="n"/>
      <c r="W563" s="153" t="n"/>
      <c r="X563" s="153" t="n"/>
      <c r="Y563" s="153" t="n"/>
      <c r="Z563" s="153" t="n"/>
    </row>
    <row r="564" ht="15.75" customHeight="1" s="154">
      <c r="I564" s="153" t="n"/>
      <c r="J564" s="153" t="n"/>
      <c r="K564" s="153" t="n"/>
      <c r="L564" s="153" t="n"/>
      <c r="M564" s="153" t="n"/>
      <c r="N564" s="153" t="n"/>
      <c r="O564" s="153" t="n"/>
      <c r="P564" s="153" t="n"/>
      <c r="Q564" s="153" t="n"/>
      <c r="R564" s="153" t="n"/>
      <c r="S564" s="153" t="n"/>
      <c r="T564" s="153" t="n"/>
      <c r="U564" s="153" t="n"/>
      <c r="V564" s="153" t="n"/>
      <c r="W564" s="153" t="n"/>
      <c r="X564" s="153" t="n"/>
      <c r="Y564" s="153" t="n"/>
      <c r="Z564" s="153" t="n"/>
    </row>
    <row r="565" ht="15.75" customHeight="1" s="154">
      <c r="I565" s="153" t="n"/>
      <c r="J565" s="153" t="n"/>
      <c r="K565" s="153" t="n"/>
      <c r="L565" s="153" t="n"/>
      <c r="M565" s="153" t="n"/>
      <c r="N565" s="153" t="n"/>
      <c r="O565" s="153" t="n"/>
      <c r="P565" s="153" t="n"/>
      <c r="Q565" s="153" t="n"/>
      <c r="R565" s="153" t="n"/>
      <c r="S565" s="153" t="n"/>
      <c r="T565" s="153" t="n"/>
      <c r="U565" s="153" t="n"/>
      <c r="V565" s="153" t="n"/>
      <c r="W565" s="153" t="n"/>
      <c r="X565" s="153" t="n"/>
      <c r="Y565" s="153" t="n"/>
      <c r="Z565" s="153" t="n"/>
    </row>
    <row r="566" ht="15.75" customHeight="1" s="154">
      <c r="I566" s="153" t="n"/>
      <c r="J566" s="153" t="n"/>
      <c r="K566" s="153" t="n"/>
      <c r="L566" s="153" t="n"/>
      <c r="M566" s="153" t="n"/>
      <c r="N566" s="153" t="n"/>
      <c r="O566" s="153" t="n"/>
      <c r="P566" s="153" t="n"/>
      <c r="Q566" s="153" t="n"/>
      <c r="R566" s="153" t="n"/>
      <c r="S566" s="153" t="n"/>
      <c r="T566" s="153" t="n"/>
      <c r="U566" s="153" t="n"/>
      <c r="V566" s="153" t="n"/>
      <c r="W566" s="153" t="n"/>
      <c r="X566" s="153" t="n"/>
      <c r="Y566" s="153" t="n"/>
      <c r="Z566" s="153" t="n"/>
    </row>
    <row r="567" ht="15.75" customHeight="1" s="154">
      <c r="I567" s="153" t="n"/>
      <c r="J567" s="153" t="n"/>
      <c r="K567" s="153" t="n"/>
      <c r="L567" s="153" t="n"/>
      <c r="M567" s="153" t="n"/>
      <c r="N567" s="153" t="n"/>
      <c r="O567" s="153" t="n"/>
      <c r="P567" s="153" t="n"/>
      <c r="Q567" s="153" t="n"/>
      <c r="R567" s="153" t="n"/>
      <c r="S567" s="153" t="n"/>
      <c r="T567" s="153" t="n"/>
      <c r="U567" s="153" t="n"/>
      <c r="V567" s="153" t="n"/>
      <c r="W567" s="153" t="n"/>
      <c r="X567" s="153" t="n"/>
      <c r="Y567" s="153" t="n"/>
      <c r="Z567" s="153" t="n"/>
    </row>
    <row r="568" ht="15.75" customHeight="1" s="154">
      <c r="I568" s="153" t="n"/>
      <c r="J568" s="153" t="n"/>
      <c r="K568" s="153" t="n"/>
      <c r="L568" s="153" t="n"/>
      <c r="M568" s="153" t="n"/>
      <c r="N568" s="153" t="n"/>
      <c r="O568" s="153" t="n"/>
      <c r="P568" s="153" t="n"/>
      <c r="Q568" s="153" t="n"/>
      <c r="R568" s="153" t="n"/>
      <c r="S568" s="153" t="n"/>
      <c r="T568" s="153" t="n"/>
      <c r="U568" s="153" t="n"/>
      <c r="V568" s="153" t="n"/>
      <c r="W568" s="153" t="n"/>
      <c r="X568" s="153" t="n"/>
      <c r="Y568" s="153" t="n"/>
      <c r="Z568" s="153" t="n"/>
    </row>
    <row r="569" ht="15.75" customHeight="1" s="154">
      <c r="I569" s="153" t="n"/>
      <c r="J569" s="153" t="n"/>
      <c r="K569" s="153" t="n"/>
      <c r="L569" s="153" t="n"/>
      <c r="M569" s="153" t="n"/>
      <c r="N569" s="153" t="n"/>
      <c r="O569" s="153" t="n"/>
      <c r="P569" s="153" t="n"/>
      <c r="Q569" s="153" t="n"/>
      <c r="R569" s="153" t="n"/>
      <c r="S569" s="153" t="n"/>
      <c r="T569" s="153" t="n"/>
      <c r="U569" s="153" t="n"/>
      <c r="V569" s="153" t="n"/>
      <c r="W569" s="153" t="n"/>
      <c r="X569" s="153" t="n"/>
      <c r="Y569" s="153" t="n"/>
      <c r="Z569" s="153" t="n"/>
    </row>
    <row r="570" ht="15.75" customHeight="1" s="154">
      <c r="I570" s="153" t="n"/>
      <c r="J570" s="153" t="n"/>
      <c r="K570" s="153" t="n"/>
      <c r="L570" s="153" t="n"/>
      <c r="M570" s="153" t="n"/>
      <c r="N570" s="153" t="n"/>
      <c r="O570" s="153" t="n"/>
      <c r="P570" s="153" t="n"/>
      <c r="Q570" s="153" t="n"/>
      <c r="R570" s="153" t="n"/>
      <c r="S570" s="153" t="n"/>
      <c r="T570" s="153" t="n"/>
      <c r="U570" s="153" t="n"/>
      <c r="V570" s="153" t="n"/>
      <c r="W570" s="153" t="n"/>
      <c r="X570" s="153" t="n"/>
      <c r="Y570" s="153" t="n"/>
      <c r="Z570" s="153" t="n"/>
    </row>
    <row r="571" ht="15.75" customHeight="1" s="154">
      <c r="I571" s="153" t="n"/>
      <c r="J571" s="153" t="n"/>
      <c r="K571" s="153" t="n"/>
      <c r="L571" s="153" t="n"/>
      <c r="M571" s="153" t="n"/>
      <c r="N571" s="153" t="n"/>
      <c r="O571" s="153" t="n"/>
      <c r="P571" s="153" t="n"/>
      <c r="Q571" s="153" t="n"/>
      <c r="R571" s="153" t="n"/>
      <c r="S571" s="153" t="n"/>
      <c r="T571" s="153" t="n"/>
      <c r="U571" s="153" t="n"/>
      <c r="V571" s="153" t="n"/>
      <c r="W571" s="153" t="n"/>
      <c r="X571" s="153" t="n"/>
      <c r="Y571" s="153" t="n"/>
      <c r="Z571" s="153" t="n"/>
    </row>
    <row r="572" ht="15.75" customHeight="1" s="154">
      <c r="I572" s="153" t="n"/>
      <c r="J572" s="153" t="n"/>
      <c r="K572" s="153" t="n"/>
      <c r="L572" s="153" t="n"/>
      <c r="M572" s="153" t="n"/>
      <c r="N572" s="153" t="n"/>
      <c r="O572" s="153" t="n"/>
      <c r="P572" s="153" t="n"/>
      <c r="Q572" s="153" t="n"/>
      <c r="R572" s="153" t="n"/>
      <c r="S572" s="153" t="n"/>
      <c r="T572" s="153" t="n"/>
      <c r="U572" s="153" t="n"/>
      <c r="V572" s="153" t="n"/>
      <c r="W572" s="153" t="n"/>
      <c r="X572" s="153" t="n"/>
      <c r="Y572" s="153" t="n"/>
      <c r="Z572" s="153" t="n"/>
    </row>
    <row r="573" ht="15.75" customHeight="1" s="154">
      <c r="I573" s="153" t="n"/>
      <c r="J573" s="153" t="n"/>
      <c r="K573" s="153" t="n"/>
      <c r="L573" s="153" t="n"/>
      <c r="M573" s="153" t="n"/>
      <c r="N573" s="153" t="n"/>
      <c r="O573" s="153" t="n"/>
      <c r="P573" s="153" t="n"/>
      <c r="Q573" s="153" t="n"/>
      <c r="R573" s="153" t="n"/>
      <c r="S573" s="153" t="n"/>
      <c r="T573" s="153" t="n"/>
      <c r="U573" s="153" t="n"/>
      <c r="V573" s="153" t="n"/>
      <c r="W573" s="153" t="n"/>
      <c r="X573" s="153" t="n"/>
      <c r="Y573" s="153" t="n"/>
      <c r="Z573" s="153" t="n"/>
    </row>
    <row r="574" ht="15.75" customHeight="1" s="154">
      <c r="I574" s="153" t="n"/>
      <c r="J574" s="153" t="n"/>
      <c r="K574" s="153" t="n"/>
      <c r="L574" s="153" t="n"/>
      <c r="M574" s="153" t="n"/>
      <c r="N574" s="153" t="n"/>
      <c r="O574" s="153" t="n"/>
      <c r="P574" s="153" t="n"/>
      <c r="Q574" s="153" t="n"/>
      <c r="R574" s="153" t="n"/>
      <c r="S574" s="153" t="n"/>
      <c r="T574" s="153" t="n"/>
      <c r="U574" s="153" t="n"/>
      <c r="V574" s="153" t="n"/>
      <c r="W574" s="153" t="n"/>
      <c r="X574" s="153" t="n"/>
      <c r="Y574" s="153" t="n"/>
      <c r="Z574" s="153" t="n"/>
    </row>
    <row r="575" ht="15.75" customHeight="1" s="154">
      <c r="I575" s="153" t="n"/>
      <c r="J575" s="153" t="n"/>
      <c r="K575" s="153" t="n"/>
      <c r="L575" s="153" t="n"/>
      <c r="M575" s="153" t="n"/>
      <c r="N575" s="153" t="n"/>
      <c r="O575" s="153" t="n"/>
      <c r="P575" s="153" t="n"/>
      <c r="Q575" s="153" t="n"/>
      <c r="R575" s="153" t="n"/>
      <c r="S575" s="153" t="n"/>
      <c r="T575" s="153" t="n"/>
      <c r="U575" s="153" t="n"/>
      <c r="V575" s="153" t="n"/>
      <c r="W575" s="153" t="n"/>
      <c r="X575" s="153" t="n"/>
      <c r="Y575" s="153" t="n"/>
      <c r="Z575" s="153" t="n"/>
    </row>
    <row r="576" ht="15.75" customHeight="1" s="154">
      <c r="I576" s="153" t="n"/>
      <c r="J576" s="153" t="n"/>
      <c r="K576" s="153" t="n"/>
      <c r="L576" s="153" t="n"/>
      <c r="M576" s="153" t="n"/>
      <c r="N576" s="153" t="n"/>
      <c r="O576" s="153" t="n"/>
      <c r="P576" s="153" t="n"/>
      <c r="Q576" s="153" t="n"/>
      <c r="R576" s="153" t="n"/>
      <c r="S576" s="153" t="n"/>
      <c r="T576" s="153" t="n"/>
      <c r="U576" s="153" t="n"/>
      <c r="V576" s="153" t="n"/>
      <c r="W576" s="153" t="n"/>
      <c r="X576" s="153" t="n"/>
      <c r="Y576" s="153" t="n"/>
      <c r="Z576" s="153" t="n"/>
    </row>
    <row r="577" ht="15.75" customHeight="1" s="154">
      <c r="I577" s="153" t="n"/>
      <c r="J577" s="153" t="n"/>
      <c r="K577" s="153" t="n"/>
      <c r="L577" s="153" t="n"/>
      <c r="M577" s="153" t="n"/>
      <c r="N577" s="153" t="n"/>
      <c r="O577" s="153" t="n"/>
      <c r="P577" s="153" t="n"/>
      <c r="Q577" s="153" t="n"/>
      <c r="R577" s="153" t="n"/>
      <c r="S577" s="153" t="n"/>
      <c r="T577" s="153" t="n"/>
      <c r="U577" s="153" t="n"/>
      <c r="V577" s="153" t="n"/>
      <c r="W577" s="153" t="n"/>
      <c r="X577" s="153" t="n"/>
      <c r="Y577" s="153" t="n"/>
      <c r="Z577" s="153" t="n"/>
    </row>
    <row r="578" ht="15.75" customHeight="1" s="154">
      <c r="I578" s="153" t="n"/>
      <c r="J578" s="153" t="n"/>
      <c r="K578" s="153" t="n"/>
      <c r="L578" s="153" t="n"/>
      <c r="M578" s="153" t="n"/>
      <c r="N578" s="153" t="n"/>
      <c r="O578" s="153" t="n"/>
      <c r="P578" s="153" t="n"/>
      <c r="Q578" s="153" t="n"/>
      <c r="R578" s="153" t="n"/>
      <c r="S578" s="153" t="n"/>
      <c r="T578" s="153" t="n"/>
      <c r="U578" s="153" t="n"/>
      <c r="V578" s="153" t="n"/>
      <c r="W578" s="153" t="n"/>
      <c r="X578" s="153" t="n"/>
      <c r="Y578" s="153" t="n"/>
      <c r="Z578" s="153" t="n"/>
    </row>
    <row r="579" ht="15.75" customHeight="1" s="154">
      <c r="I579" s="153" t="n"/>
      <c r="J579" s="153" t="n"/>
      <c r="K579" s="153" t="n"/>
      <c r="L579" s="153" t="n"/>
      <c r="M579" s="153" t="n"/>
      <c r="N579" s="153" t="n"/>
      <c r="O579" s="153" t="n"/>
      <c r="P579" s="153" t="n"/>
      <c r="Q579" s="153" t="n"/>
      <c r="R579" s="153" t="n"/>
      <c r="S579" s="153" t="n"/>
      <c r="T579" s="153" t="n"/>
      <c r="U579" s="153" t="n"/>
      <c r="V579" s="153" t="n"/>
      <c r="W579" s="153" t="n"/>
      <c r="X579" s="153" t="n"/>
      <c r="Y579" s="153" t="n"/>
      <c r="Z579" s="153" t="n"/>
    </row>
    <row r="580" ht="15.75" customHeight="1" s="154">
      <c r="I580" s="153" t="n"/>
      <c r="J580" s="153" t="n"/>
      <c r="K580" s="153" t="n"/>
      <c r="L580" s="153" t="n"/>
      <c r="M580" s="153" t="n"/>
      <c r="N580" s="153" t="n"/>
      <c r="O580" s="153" t="n"/>
      <c r="P580" s="153" t="n"/>
      <c r="Q580" s="153" t="n"/>
      <c r="R580" s="153" t="n"/>
      <c r="S580" s="153" t="n"/>
      <c r="T580" s="153" t="n"/>
      <c r="U580" s="153" t="n"/>
      <c r="V580" s="153" t="n"/>
      <c r="W580" s="153" t="n"/>
      <c r="X580" s="153" t="n"/>
      <c r="Y580" s="153" t="n"/>
      <c r="Z580" s="153" t="n"/>
    </row>
    <row r="581" ht="15.75" customHeight="1" s="154">
      <c r="I581" s="153" t="n"/>
      <c r="J581" s="153" t="n"/>
      <c r="K581" s="153" t="n"/>
      <c r="L581" s="153" t="n"/>
      <c r="M581" s="153" t="n"/>
      <c r="N581" s="153" t="n"/>
      <c r="O581" s="153" t="n"/>
      <c r="P581" s="153" t="n"/>
      <c r="Q581" s="153" t="n"/>
      <c r="R581" s="153" t="n"/>
      <c r="S581" s="153" t="n"/>
      <c r="T581" s="153" t="n"/>
      <c r="U581" s="153" t="n"/>
      <c r="V581" s="153" t="n"/>
      <c r="W581" s="153" t="n"/>
      <c r="X581" s="153" t="n"/>
      <c r="Y581" s="153" t="n"/>
      <c r="Z581" s="153" t="n"/>
    </row>
    <row r="582" ht="15.75" customHeight="1" s="154">
      <c r="I582" s="153" t="n"/>
      <c r="J582" s="153" t="n"/>
      <c r="K582" s="153" t="n"/>
      <c r="L582" s="153" t="n"/>
      <c r="M582" s="153" t="n"/>
      <c r="N582" s="153" t="n"/>
      <c r="O582" s="153" t="n"/>
      <c r="P582" s="153" t="n"/>
      <c r="Q582" s="153" t="n"/>
      <c r="R582" s="153" t="n"/>
      <c r="S582" s="153" t="n"/>
      <c r="T582" s="153" t="n"/>
      <c r="U582" s="153" t="n"/>
      <c r="V582" s="153" t="n"/>
      <c r="W582" s="153" t="n"/>
      <c r="X582" s="153" t="n"/>
      <c r="Y582" s="153" t="n"/>
      <c r="Z582" s="153" t="n"/>
    </row>
    <row r="583" ht="15.75" customHeight="1" s="154">
      <c r="I583" s="153" t="n"/>
      <c r="J583" s="153" t="n"/>
      <c r="K583" s="153" t="n"/>
      <c r="L583" s="153" t="n"/>
      <c r="M583" s="153" t="n"/>
      <c r="N583" s="153" t="n"/>
      <c r="O583" s="153" t="n"/>
      <c r="P583" s="153" t="n"/>
      <c r="Q583" s="153" t="n"/>
      <c r="R583" s="153" t="n"/>
      <c r="S583" s="153" t="n"/>
      <c r="T583" s="153" t="n"/>
      <c r="U583" s="153" t="n"/>
      <c r="V583" s="153" t="n"/>
      <c r="W583" s="153" t="n"/>
      <c r="X583" s="153" t="n"/>
      <c r="Y583" s="153" t="n"/>
      <c r="Z583" s="153" t="n"/>
    </row>
    <row r="584" ht="15.75" customHeight="1" s="154">
      <c r="I584" s="153" t="n"/>
      <c r="J584" s="153" t="n"/>
      <c r="K584" s="153" t="n"/>
      <c r="L584" s="153" t="n"/>
      <c r="M584" s="153" t="n"/>
      <c r="N584" s="153" t="n"/>
      <c r="O584" s="153" t="n"/>
      <c r="P584" s="153" t="n"/>
      <c r="Q584" s="153" t="n"/>
      <c r="R584" s="153" t="n"/>
      <c r="S584" s="153" t="n"/>
      <c r="T584" s="153" t="n"/>
      <c r="U584" s="153" t="n"/>
      <c r="V584" s="153" t="n"/>
      <c r="W584" s="153" t="n"/>
      <c r="X584" s="153" t="n"/>
      <c r="Y584" s="153" t="n"/>
      <c r="Z584" s="153" t="n"/>
    </row>
    <row r="585" ht="15.75" customHeight="1" s="154">
      <c r="I585" s="153" t="n"/>
      <c r="J585" s="153" t="n"/>
      <c r="K585" s="153" t="n"/>
      <c r="L585" s="153" t="n"/>
      <c r="M585" s="153" t="n"/>
      <c r="N585" s="153" t="n"/>
      <c r="O585" s="153" t="n"/>
      <c r="P585" s="153" t="n"/>
      <c r="Q585" s="153" t="n"/>
      <c r="R585" s="153" t="n"/>
      <c r="S585" s="153" t="n"/>
      <c r="T585" s="153" t="n"/>
      <c r="U585" s="153" t="n"/>
      <c r="V585" s="153" t="n"/>
      <c r="W585" s="153" t="n"/>
      <c r="X585" s="153" t="n"/>
      <c r="Y585" s="153" t="n"/>
      <c r="Z585" s="153" t="n"/>
    </row>
    <row r="586" ht="15.75" customHeight="1" s="154">
      <c r="I586" s="153" t="n"/>
      <c r="J586" s="153" t="n"/>
      <c r="K586" s="153" t="n"/>
      <c r="L586" s="153" t="n"/>
      <c r="M586" s="153" t="n"/>
      <c r="N586" s="153" t="n"/>
      <c r="O586" s="153" t="n"/>
      <c r="P586" s="153" t="n"/>
      <c r="Q586" s="153" t="n"/>
      <c r="R586" s="153" t="n"/>
      <c r="S586" s="153" t="n"/>
      <c r="T586" s="153" t="n"/>
      <c r="U586" s="153" t="n"/>
      <c r="V586" s="153" t="n"/>
      <c r="W586" s="153" t="n"/>
      <c r="X586" s="153" t="n"/>
      <c r="Y586" s="153" t="n"/>
      <c r="Z586" s="153" t="n"/>
    </row>
    <row r="587" ht="15.75" customHeight="1" s="154">
      <c r="I587" s="153" t="n"/>
      <c r="J587" s="153" t="n"/>
      <c r="K587" s="153" t="n"/>
      <c r="L587" s="153" t="n"/>
      <c r="M587" s="153" t="n"/>
      <c r="N587" s="153" t="n"/>
      <c r="O587" s="153" t="n"/>
      <c r="P587" s="153" t="n"/>
      <c r="Q587" s="153" t="n"/>
      <c r="R587" s="153" t="n"/>
      <c r="S587" s="153" t="n"/>
      <c r="T587" s="153" t="n"/>
      <c r="U587" s="153" t="n"/>
      <c r="V587" s="153" t="n"/>
      <c r="W587" s="153" t="n"/>
      <c r="X587" s="153" t="n"/>
      <c r="Y587" s="153" t="n"/>
      <c r="Z587" s="153" t="n"/>
    </row>
    <row r="588" ht="15.75" customHeight="1" s="154">
      <c r="I588" s="153" t="n"/>
      <c r="J588" s="153" t="n"/>
      <c r="K588" s="153" t="n"/>
      <c r="L588" s="153" t="n"/>
      <c r="M588" s="153" t="n"/>
      <c r="N588" s="153" t="n"/>
      <c r="O588" s="153" t="n"/>
      <c r="P588" s="153" t="n"/>
      <c r="Q588" s="153" t="n"/>
      <c r="R588" s="153" t="n"/>
      <c r="S588" s="153" t="n"/>
      <c r="T588" s="153" t="n"/>
      <c r="U588" s="153" t="n"/>
      <c r="V588" s="153" t="n"/>
      <c r="W588" s="153" t="n"/>
      <c r="X588" s="153" t="n"/>
      <c r="Y588" s="153" t="n"/>
      <c r="Z588" s="153" t="n"/>
    </row>
    <row r="589" ht="15.75" customHeight="1" s="154">
      <c r="I589" s="153" t="n"/>
      <c r="J589" s="153" t="n"/>
      <c r="K589" s="153" t="n"/>
      <c r="L589" s="153" t="n"/>
      <c r="M589" s="153" t="n"/>
      <c r="N589" s="153" t="n"/>
      <c r="O589" s="153" t="n"/>
      <c r="P589" s="153" t="n"/>
      <c r="Q589" s="153" t="n"/>
      <c r="R589" s="153" t="n"/>
      <c r="S589" s="153" t="n"/>
      <c r="T589" s="153" t="n"/>
      <c r="U589" s="153" t="n"/>
      <c r="V589" s="153" t="n"/>
      <c r="W589" s="153" t="n"/>
      <c r="X589" s="153" t="n"/>
      <c r="Y589" s="153" t="n"/>
      <c r="Z589" s="153" t="n"/>
    </row>
    <row r="590" ht="15.75" customHeight="1" s="154">
      <c r="I590" s="153" t="n"/>
      <c r="J590" s="153" t="n"/>
      <c r="K590" s="153" t="n"/>
      <c r="L590" s="153" t="n"/>
      <c r="M590" s="153" t="n"/>
      <c r="N590" s="153" t="n"/>
      <c r="O590" s="153" t="n"/>
      <c r="P590" s="153" t="n"/>
      <c r="Q590" s="153" t="n"/>
      <c r="R590" s="153" t="n"/>
      <c r="S590" s="153" t="n"/>
      <c r="T590" s="153" t="n"/>
      <c r="U590" s="153" t="n"/>
      <c r="V590" s="153" t="n"/>
      <c r="W590" s="153" t="n"/>
      <c r="X590" s="153" t="n"/>
      <c r="Y590" s="153" t="n"/>
      <c r="Z590" s="153" t="n"/>
    </row>
    <row r="591" ht="15.75" customHeight="1" s="154">
      <c r="I591" s="153" t="n"/>
      <c r="J591" s="153" t="n"/>
      <c r="K591" s="153" t="n"/>
      <c r="L591" s="153" t="n"/>
      <c r="M591" s="153" t="n"/>
      <c r="N591" s="153" t="n"/>
      <c r="O591" s="153" t="n"/>
      <c r="P591" s="153" t="n"/>
      <c r="Q591" s="153" t="n"/>
      <c r="R591" s="153" t="n"/>
      <c r="S591" s="153" t="n"/>
      <c r="T591" s="153" t="n"/>
      <c r="U591" s="153" t="n"/>
      <c r="V591" s="153" t="n"/>
      <c r="W591" s="153" t="n"/>
      <c r="X591" s="153" t="n"/>
      <c r="Y591" s="153" t="n"/>
      <c r="Z591" s="153" t="n"/>
    </row>
    <row r="592" ht="15.75" customHeight="1" s="154">
      <c r="I592" s="153" t="n"/>
      <c r="J592" s="153" t="n"/>
      <c r="K592" s="153" t="n"/>
      <c r="L592" s="153" t="n"/>
      <c r="M592" s="153" t="n"/>
      <c r="N592" s="153" t="n"/>
      <c r="O592" s="153" t="n"/>
      <c r="P592" s="153" t="n"/>
      <c r="Q592" s="153" t="n"/>
      <c r="R592" s="153" t="n"/>
      <c r="S592" s="153" t="n"/>
      <c r="T592" s="153" t="n"/>
      <c r="U592" s="153" t="n"/>
      <c r="V592" s="153" t="n"/>
      <c r="W592" s="153" t="n"/>
      <c r="X592" s="153" t="n"/>
      <c r="Y592" s="153" t="n"/>
      <c r="Z592" s="153" t="n"/>
    </row>
    <row r="593" ht="15.75" customHeight="1" s="154">
      <c r="I593" s="153" t="n"/>
      <c r="J593" s="153" t="n"/>
      <c r="K593" s="153" t="n"/>
      <c r="L593" s="153" t="n"/>
      <c r="M593" s="153" t="n"/>
      <c r="N593" s="153" t="n"/>
      <c r="O593" s="153" t="n"/>
      <c r="P593" s="153" t="n"/>
      <c r="Q593" s="153" t="n"/>
      <c r="R593" s="153" t="n"/>
      <c r="S593" s="153" t="n"/>
      <c r="T593" s="153" t="n"/>
      <c r="U593" s="153" t="n"/>
      <c r="V593" s="153" t="n"/>
      <c r="W593" s="153" t="n"/>
      <c r="X593" s="153" t="n"/>
      <c r="Y593" s="153" t="n"/>
      <c r="Z593" s="153" t="n"/>
    </row>
    <row r="594" ht="15.75" customHeight="1" s="154">
      <c r="I594" s="153" t="n"/>
      <c r="J594" s="153" t="n"/>
      <c r="K594" s="153" t="n"/>
      <c r="L594" s="153" t="n"/>
      <c r="M594" s="153" t="n"/>
      <c r="N594" s="153" t="n"/>
      <c r="O594" s="153" t="n"/>
      <c r="P594" s="153" t="n"/>
      <c r="Q594" s="153" t="n"/>
      <c r="R594" s="153" t="n"/>
      <c r="S594" s="153" t="n"/>
      <c r="T594" s="153" t="n"/>
      <c r="U594" s="153" t="n"/>
      <c r="V594" s="153" t="n"/>
      <c r="W594" s="153" t="n"/>
      <c r="X594" s="153" t="n"/>
      <c r="Y594" s="153" t="n"/>
      <c r="Z594" s="153" t="n"/>
    </row>
    <row r="595" ht="15.75" customHeight="1" s="154">
      <c r="I595" s="153" t="n"/>
      <c r="J595" s="153" t="n"/>
      <c r="K595" s="153" t="n"/>
      <c r="L595" s="153" t="n"/>
      <c r="M595" s="153" t="n"/>
      <c r="N595" s="153" t="n"/>
      <c r="O595" s="153" t="n"/>
      <c r="P595" s="153" t="n"/>
      <c r="Q595" s="153" t="n"/>
      <c r="R595" s="153" t="n"/>
      <c r="S595" s="153" t="n"/>
      <c r="T595" s="153" t="n"/>
      <c r="U595" s="153" t="n"/>
      <c r="V595" s="153" t="n"/>
      <c r="W595" s="153" t="n"/>
      <c r="X595" s="153" t="n"/>
      <c r="Y595" s="153" t="n"/>
      <c r="Z595" s="153" t="n"/>
    </row>
    <row r="596" ht="15.75" customHeight="1" s="154">
      <c r="I596" s="153" t="n"/>
      <c r="J596" s="153" t="n"/>
      <c r="K596" s="153" t="n"/>
      <c r="L596" s="153" t="n"/>
      <c r="M596" s="153" t="n"/>
      <c r="N596" s="153" t="n"/>
      <c r="O596" s="153" t="n"/>
      <c r="P596" s="153" t="n"/>
      <c r="Q596" s="153" t="n"/>
      <c r="R596" s="153" t="n"/>
      <c r="S596" s="153" t="n"/>
      <c r="T596" s="153" t="n"/>
      <c r="U596" s="153" t="n"/>
      <c r="V596" s="153" t="n"/>
      <c r="W596" s="153" t="n"/>
      <c r="X596" s="153" t="n"/>
      <c r="Y596" s="153" t="n"/>
      <c r="Z596" s="153" t="n"/>
    </row>
    <row r="597" ht="15.75" customHeight="1" s="154">
      <c r="I597" s="153" t="n"/>
      <c r="J597" s="153" t="n"/>
      <c r="K597" s="153" t="n"/>
      <c r="L597" s="153" t="n"/>
      <c r="M597" s="153" t="n"/>
      <c r="N597" s="153" t="n"/>
      <c r="O597" s="153" t="n"/>
      <c r="P597" s="153" t="n"/>
      <c r="Q597" s="153" t="n"/>
      <c r="R597" s="153" t="n"/>
      <c r="S597" s="153" t="n"/>
      <c r="T597" s="153" t="n"/>
      <c r="U597" s="153" t="n"/>
      <c r="V597" s="153" t="n"/>
      <c r="W597" s="153" t="n"/>
      <c r="X597" s="153" t="n"/>
      <c r="Y597" s="153" t="n"/>
      <c r="Z597" s="153" t="n"/>
    </row>
    <row r="598" ht="15.75" customHeight="1" s="154">
      <c r="I598" s="153" t="n"/>
      <c r="J598" s="153" t="n"/>
      <c r="K598" s="153" t="n"/>
      <c r="L598" s="153" t="n"/>
      <c r="M598" s="153" t="n"/>
      <c r="N598" s="153" t="n"/>
      <c r="O598" s="153" t="n"/>
      <c r="P598" s="153" t="n"/>
      <c r="Q598" s="153" t="n"/>
      <c r="R598" s="153" t="n"/>
      <c r="S598" s="153" t="n"/>
      <c r="T598" s="153" t="n"/>
      <c r="U598" s="153" t="n"/>
      <c r="V598" s="153" t="n"/>
      <c r="W598" s="153" t="n"/>
      <c r="X598" s="153" t="n"/>
      <c r="Y598" s="153" t="n"/>
      <c r="Z598" s="153" t="n"/>
    </row>
    <row r="599" ht="15.75" customHeight="1" s="154">
      <c r="I599" s="153" t="n"/>
      <c r="J599" s="153" t="n"/>
      <c r="K599" s="153" t="n"/>
      <c r="L599" s="153" t="n"/>
      <c r="M599" s="153" t="n"/>
      <c r="N599" s="153" t="n"/>
      <c r="O599" s="153" t="n"/>
      <c r="P599" s="153" t="n"/>
      <c r="Q599" s="153" t="n"/>
      <c r="R599" s="153" t="n"/>
      <c r="S599" s="153" t="n"/>
      <c r="T599" s="153" t="n"/>
      <c r="U599" s="153" t="n"/>
      <c r="V599" s="153" t="n"/>
      <c r="W599" s="153" t="n"/>
      <c r="X599" s="153" t="n"/>
      <c r="Y599" s="153" t="n"/>
      <c r="Z599" s="153" t="n"/>
    </row>
    <row r="600" ht="15.75" customHeight="1" s="154">
      <c r="I600" s="153" t="n"/>
      <c r="J600" s="153" t="n"/>
      <c r="K600" s="153" t="n"/>
      <c r="L600" s="153" t="n"/>
      <c r="M600" s="153" t="n"/>
      <c r="N600" s="153" t="n"/>
      <c r="O600" s="153" t="n"/>
      <c r="P600" s="153" t="n"/>
      <c r="Q600" s="153" t="n"/>
      <c r="R600" s="153" t="n"/>
      <c r="S600" s="153" t="n"/>
      <c r="T600" s="153" t="n"/>
      <c r="U600" s="153" t="n"/>
      <c r="V600" s="153" t="n"/>
      <c r="W600" s="153" t="n"/>
      <c r="X600" s="153" t="n"/>
      <c r="Y600" s="153" t="n"/>
      <c r="Z600" s="153" t="n"/>
    </row>
    <row r="601" ht="15.75" customHeight="1" s="154">
      <c r="I601" s="153" t="n"/>
      <c r="J601" s="153" t="n"/>
      <c r="K601" s="153" t="n"/>
      <c r="L601" s="153" t="n"/>
      <c r="M601" s="153" t="n"/>
      <c r="N601" s="153" t="n"/>
      <c r="O601" s="153" t="n"/>
      <c r="P601" s="153" t="n"/>
      <c r="Q601" s="153" t="n"/>
      <c r="R601" s="153" t="n"/>
      <c r="S601" s="153" t="n"/>
      <c r="T601" s="153" t="n"/>
      <c r="U601" s="153" t="n"/>
      <c r="V601" s="153" t="n"/>
      <c r="W601" s="153" t="n"/>
      <c r="X601" s="153" t="n"/>
      <c r="Y601" s="153" t="n"/>
      <c r="Z601" s="153" t="n"/>
    </row>
    <row r="602" ht="15.75" customHeight="1" s="154">
      <c r="I602" s="153" t="n"/>
      <c r="J602" s="153" t="n"/>
      <c r="K602" s="153" t="n"/>
      <c r="L602" s="153" t="n"/>
      <c r="M602" s="153" t="n"/>
      <c r="N602" s="153" t="n"/>
      <c r="O602" s="153" t="n"/>
      <c r="P602" s="153" t="n"/>
      <c r="Q602" s="153" t="n"/>
      <c r="R602" s="153" t="n"/>
      <c r="S602" s="153" t="n"/>
      <c r="T602" s="153" t="n"/>
      <c r="U602" s="153" t="n"/>
      <c r="V602" s="153" t="n"/>
      <c r="W602" s="153" t="n"/>
      <c r="X602" s="153" t="n"/>
      <c r="Y602" s="153" t="n"/>
      <c r="Z602" s="153" t="n"/>
    </row>
    <row r="603" ht="15.75" customHeight="1" s="154">
      <c r="I603" s="153" t="n"/>
      <c r="J603" s="153" t="n"/>
      <c r="K603" s="153" t="n"/>
      <c r="L603" s="153" t="n"/>
      <c r="M603" s="153" t="n"/>
      <c r="N603" s="153" t="n"/>
      <c r="O603" s="153" t="n"/>
      <c r="P603" s="153" t="n"/>
      <c r="Q603" s="153" t="n"/>
      <c r="R603" s="153" t="n"/>
      <c r="S603" s="153" t="n"/>
      <c r="T603" s="153" t="n"/>
      <c r="U603" s="153" t="n"/>
      <c r="V603" s="153" t="n"/>
      <c r="W603" s="153" t="n"/>
      <c r="X603" s="153" t="n"/>
      <c r="Y603" s="153" t="n"/>
      <c r="Z603" s="153" t="n"/>
    </row>
    <row r="604" ht="15.75" customHeight="1" s="154">
      <c r="I604" s="153" t="n"/>
      <c r="J604" s="153" t="n"/>
      <c r="K604" s="153" t="n"/>
      <c r="L604" s="153" t="n"/>
      <c r="M604" s="153" t="n"/>
      <c r="N604" s="153" t="n"/>
      <c r="O604" s="153" t="n"/>
      <c r="P604" s="153" t="n"/>
      <c r="Q604" s="153" t="n"/>
      <c r="R604" s="153" t="n"/>
      <c r="S604" s="153" t="n"/>
      <c r="T604" s="153" t="n"/>
      <c r="U604" s="153" t="n"/>
      <c r="V604" s="153" t="n"/>
      <c r="W604" s="153" t="n"/>
      <c r="X604" s="153" t="n"/>
      <c r="Y604" s="153" t="n"/>
      <c r="Z604" s="153" t="n"/>
    </row>
    <row r="605" ht="15.75" customHeight="1" s="154">
      <c r="I605" s="153" t="n"/>
      <c r="J605" s="153" t="n"/>
      <c r="K605" s="153" t="n"/>
      <c r="L605" s="153" t="n"/>
      <c r="M605" s="153" t="n"/>
      <c r="N605" s="153" t="n"/>
      <c r="O605" s="153" t="n"/>
      <c r="P605" s="153" t="n"/>
      <c r="Q605" s="153" t="n"/>
      <c r="R605" s="153" t="n"/>
      <c r="S605" s="153" t="n"/>
      <c r="T605" s="153" t="n"/>
      <c r="U605" s="153" t="n"/>
      <c r="V605" s="153" t="n"/>
      <c r="W605" s="153" t="n"/>
      <c r="X605" s="153" t="n"/>
      <c r="Y605" s="153" t="n"/>
      <c r="Z605" s="153" t="n"/>
    </row>
    <row r="606" ht="15.75" customHeight="1" s="154">
      <c r="I606" s="153" t="n"/>
      <c r="J606" s="153" t="n"/>
      <c r="K606" s="153" t="n"/>
      <c r="L606" s="153" t="n"/>
      <c r="M606" s="153" t="n"/>
      <c r="N606" s="153" t="n"/>
      <c r="O606" s="153" t="n"/>
      <c r="P606" s="153" t="n"/>
      <c r="Q606" s="153" t="n"/>
      <c r="R606" s="153" t="n"/>
      <c r="S606" s="153" t="n"/>
      <c r="T606" s="153" t="n"/>
      <c r="U606" s="153" t="n"/>
      <c r="V606" s="153" t="n"/>
      <c r="W606" s="153" t="n"/>
      <c r="X606" s="153" t="n"/>
      <c r="Y606" s="153" t="n"/>
      <c r="Z606" s="153" t="n"/>
    </row>
    <row r="607" ht="15.75" customHeight="1" s="154">
      <c r="I607" s="153" t="n"/>
      <c r="J607" s="153" t="n"/>
      <c r="K607" s="153" t="n"/>
      <c r="L607" s="153" t="n"/>
      <c r="M607" s="153" t="n"/>
      <c r="N607" s="153" t="n"/>
      <c r="O607" s="153" t="n"/>
      <c r="P607" s="153" t="n"/>
      <c r="Q607" s="153" t="n"/>
      <c r="R607" s="153" t="n"/>
      <c r="S607" s="153" t="n"/>
      <c r="T607" s="153" t="n"/>
      <c r="U607" s="153" t="n"/>
      <c r="V607" s="153" t="n"/>
      <c r="W607" s="153" t="n"/>
      <c r="X607" s="153" t="n"/>
      <c r="Y607" s="153" t="n"/>
      <c r="Z607" s="153" t="n"/>
    </row>
    <row r="608" ht="15.75" customHeight="1" s="154">
      <c r="I608" s="153" t="n"/>
      <c r="J608" s="153" t="n"/>
      <c r="K608" s="153" t="n"/>
      <c r="L608" s="153" t="n"/>
      <c r="M608" s="153" t="n"/>
      <c r="N608" s="153" t="n"/>
      <c r="O608" s="153" t="n"/>
      <c r="P608" s="153" t="n"/>
      <c r="Q608" s="153" t="n"/>
      <c r="R608" s="153" t="n"/>
      <c r="S608" s="153" t="n"/>
      <c r="T608" s="153" t="n"/>
      <c r="U608" s="153" t="n"/>
      <c r="V608" s="153" t="n"/>
      <c r="W608" s="153" t="n"/>
      <c r="X608" s="153" t="n"/>
      <c r="Y608" s="153" t="n"/>
      <c r="Z608" s="153" t="n"/>
    </row>
    <row r="609" ht="15.75" customHeight="1" s="154">
      <c r="I609" s="153" t="n"/>
      <c r="J609" s="153" t="n"/>
      <c r="K609" s="153" t="n"/>
      <c r="L609" s="153" t="n"/>
      <c r="M609" s="153" t="n"/>
      <c r="N609" s="153" t="n"/>
      <c r="O609" s="153" t="n"/>
      <c r="P609" s="153" t="n"/>
      <c r="Q609" s="153" t="n"/>
      <c r="R609" s="153" t="n"/>
      <c r="S609" s="153" t="n"/>
      <c r="T609" s="153" t="n"/>
      <c r="U609" s="153" t="n"/>
      <c r="V609" s="153" t="n"/>
      <c r="W609" s="153" t="n"/>
      <c r="X609" s="153" t="n"/>
      <c r="Y609" s="153" t="n"/>
      <c r="Z609" s="153" t="n"/>
    </row>
    <row r="610" ht="15.75" customHeight="1" s="154">
      <c r="I610" s="153" t="n"/>
      <c r="J610" s="153" t="n"/>
      <c r="K610" s="153" t="n"/>
      <c r="L610" s="153" t="n"/>
      <c r="M610" s="153" t="n"/>
      <c r="N610" s="153" t="n"/>
      <c r="O610" s="153" t="n"/>
      <c r="P610" s="153" t="n"/>
      <c r="Q610" s="153" t="n"/>
      <c r="R610" s="153" t="n"/>
      <c r="S610" s="153" t="n"/>
      <c r="T610" s="153" t="n"/>
      <c r="U610" s="153" t="n"/>
      <c r="V610" s="153" t="n"/>
      <c r="W610" s="153" t="n"/>
      <c r="X610" s="153" t="n"/>
      <c r="Y610" s="153" t="n"/>
      <c r="Z610" s="153" t="n"/>
    </row>
    <row r="611" ht="15.75" customHeight="1" s="154">
      <c r="I611" s="153" t="n"/>
      <c r="J611" s="153" t="n"/>
      <c r="K611" s="153" t="n"/>
      <c r="L611" s="153" t="n"/>
      <c r="M611" s="153" t="n"/>
      <c r="N611" s="153" t="n"/>
      <c r="O611" s="153" t="n"/>
      <c r="P611" s="153" t="n"/>
      <c r="Q611" s="153" t="n"/>
      <c r="R611" s="153" t="n"/>
      <c r="S611" s="153" t="n"/>
      <c r="T611" s="153" t="n"/>
      <c r="U611" s="153" t="n"/>
      <c r="V611" s="153" t="n"/>
      <c r="W611" s="153" t="n"/>
      <c r="X611" s="153" t="n"/>
      <c r="Y611" s="153" t="n"/>
      <c r="Z611" s="153" t="n"/>
    </row>
    <row r="612" ht="15.75" customHeight="1" s="154">
      <c r="I612" s="153" t="n"/>
      <c r="J612" s="153" t="n"/>
      <c r="K612" s="153" t="n"/>
      <c r="L612" s="153" t="n"/>
      <c r="M612" s="153" t="n"/>
      <c r="N612" s="153" t="n"/>
      <c r="O612" s="153" t="n"/>
      <c r="P612" s="153" t="n"/>
      <c r="Q612" s="153" t="n"/>
      <c r="R612" s="153" t="n"/>
      <c r="S612" s="153" t="n"/>
      <c r="T612" s="153" t="n"/>
      <c r="U612" s="153" t="n"/>
      <c r="V612" s="153" t="n"/>
      <c r="W612" s="153" t="n"/>
      <c r="X612" s="153" t="n"/>
      <c r="Y612" s="153" t="n"/>
      <c r="Z612" s="153" t="n"/>
    </row>
    <row r="613" ht="15.75" customHeight="1" s="154">
      <c r="I613" s="153" t="n"/>
      <c r="J613" s="153" t="n"/>
      <c r="K613" s="153" t="n"/>
      <c r="L613" s="153" t="n"/>
      <c r="M613" s="153" t="n"/>
      <c r="N613" s="153" t="n"/>
      <c r="O613" s="153" t="n"/>
      <c r="P613" s="153" t="n"/>
      <c r="Q613" s="153" t="n"/>
      <c r="R613" s="153" t="n"/>
      <c r="S613" s="153" t="n"/>
      <c r="T613" s="153" t="n"/>
      <c r="U613" s="153" t="n"/>
      <c r="V613" s="153" t="n"/>
      <c r="W613" s="153" t="n"/>
      <c r="X613" s="153" t="n"/>
      <c r="Y613" s="153" t="n"/>
      <c r="Z613" s="153" t="n"/>
    </row>
    <row r="614" ht="15.75" customHeight="1" s="154">
      <c r="I614" s="153" t="n"/>
      <c r="J614" s="153" t="n"/>
      <c r="K614" s="153" t="n"/>
      <c r="L614" s="153" t="n"/>
      <c r="M614" s="153" t="n"/>
      <c r="N614" s="153" t="n"/>
      <c r="O614" s="153" t="n"/>
      <c r="P614" s="153" t="n"/>
      <c r="Q614" s="153" t="n"/>
      <c r="R614" s="153" t="n"/>
      <c r="S614" s="153" t="n"/>
      <c r="T614" s="153" t="n"/>
      <c r="U614" s="153" t="n"/>
      <c r="V614" s="153" t="n"/>
      <c r="W614" s="153" t="n"/>
      <c r="X614" s="153" t="n"/>
      <c r="Y614" s="153" t="n"/>
      <c r="Z614" s="153" t="n"/>
    </row>
    <row r="615" ht="15.75" customHeight="1" s="154">
      <c r="I615" s="153" t="n"/>
      <c r="J615" s="153" t="n"/>
      <c r="K615" s="153" t="n"/>
      <c r="L615" s="153" t="n"/>
      <c r="M615" s="153" t="n"/>
      <c r="N615" s="153" t="n"/>
      <c r="O615" s="153" t="n"/>
      <c r="P615" s="153" t="n"/>
      <c r="Q615" s="153" t="n"/>
      <c r="R615" s="153" t="n"/>
      <c r="S615" s="153" t="n"/>
      <c r="T615" s="153" t="n"/>
      <c r="U615" s="153" t="n"/>
      <c r="V615" s="153" t="n"/>
      <c r="W615" s="153" t="n"/>
      <c r="X615" s="153" t="n"/>
      <c r="Y615" s="153" t="n"/>
      <c r="Z615" s="153" t="n"/>
    </row>
    <row r="616" ht="15.75" customHeight="1" s="154">
      <c r="I616" s="153" t="n"/>
      <c r="J616" s="153" t="n"/>
      <c r="K616" s="153" t="n"/>
      <c r="L616" s="153" t="n"/>
      <c r="M616" s="153" t="n"/>
      <c r="N616" s="153" t="n"/>
      <c r="O616" s="153" t="n"/>
      <c r="P616" s="153" t="n"/>
      <c r="Q616" s="153" t="n"/>
      <c r="R616" s="153" t="n"/>
      <c r="S616" s="153" t="n"/>
      <c r="T616" s="153" t="n"/>
      <c r="U616" s="153" t="n"/>
      <c r="V616" s="153" t="n"/>
      <c r="W616" s="153" t="n"/>
      <c r="X616" s="153" t="n"/>
      <c r="Y616" s="153" t="n"/>
      <c r="Z616" s="153" t="n"/>
    </row>
    <row r="617" ht="15.75" customHeight="1" s="154">
      <c r="I617" s="153" t="n"/>
      <c r="J617" s="153" t="n"/>
      <c r="K617" s="153" t="n"/>
      <c r="L617" s="153" t="n"/>
      <c r="M617" s="153" t="n"/>
      <c r="N617" s="153" t="n"/>
      <c r="O617" s="153" t="n"/>
      <c r="P617" s="153" t="n"/>
      <c r="Q617" s="153" t="n"/>
      <c r="R617" s="153" t="n"/>
      <c r="S617" s="153" t="n"/>
      <c r="T617" s="153" t="n"/>
      <c r="U617" s="153" t="n"/>
      <c r="V617" s="153" t="n"/>
      <c r="W617" s="153" t="n"/>
      <c r="X617" s="153" t="n"/>
      <c r="Y617" s="153" t="n"/>
      <c r="Z617" s="153" t="n"/>
    </row>
    <row r="618" ht="15.75" customHeight="1" s="154">
      <c r="I618" s="153" t="n"/>
      <c r="J618" s="153" t="n"/>
      <c r="K618" s="153" t="n"/>
      <c r="L618" s="153" t="n"/>
      <c r="M618" s="153" t="n"/>
      <c r="N618" s="153" t="n"/>
      <c r="O618" s="153" t="n"/>
      <c r="P618" s="153" t="n"/>
      <c r="Q618" s="153" t="n"/>
      <c r="R618" s="153" t="n"/>
      <c r="S618" s="153" t="n"/>
      <c r="T618" s="153" t="n"/>
      <c r="U618" s="153" t="n"/>
      <c r="V618" s="153" t="n"/>
      <c r="W618" s="153" t="n"/>
      <c r="X618" s="153" t="n"/>
      <c r="Y618" s="153" t="n"/>
      <c r="Z618" s="153" t="n"/>
    </row>
    <row r="619" ht="15.75" customHeight="1" s="154">
      <c r="I619" s="153" t="n"/>
      <c r="J619" s="153" t="n"/>
      <c r="K619" s="153" t="n"/>
      <c r="L619" s="153" t="n"/>
      <c r="M619" s="153" t="n"/>
      <c r="N619" s="153" t="n"/>
      <c r="O619" s="153" t="n"/>
      <c r="P619" s="153" t="n"/>
      <c r="Q619" s="153" t="n"/>
      <c r="R619" s="153" t="n"/>
      <c r="S619" s="153" t="n"/>
      <c r="T619" s="153" t="n"/>
      <c r="U619" s="153" t="n"/>
      <c r="V619" s="153" t="n"/>
      <c r="W619" s="153" t="n"/>
      <c r="X619" s="153" t="n"/>
      <c r="Y619" s="153" t="n"/>
      <c r="Z619" s="153" t="n"/>
    </row>
    <row r="620" ht="15.75" customHeight="1" s="154">
      <c r="I620" s="153" t="n"/>
      <c r="J620" s="153" t="n"/>
      <c r="K620" s="153" t="n"/>
      <c r="L620" s="153" t="n"/>
      <c r="M620" s="153" t="n"/>
      <c r="N620" s="153" t="n"/>
      <c r="O620" s="153" t="n"/>
      <c r="P620" s="153" t="n"/>
      <c r="Q620" s="153" t="n"/>
      <c r="R620" s="153" t="n"/>
      <c r="S620" s="153" t="n"/>
      <c r="T620" s="153" t="n"/>
      <c r="U620" s="153" t="n"/>
      <c r="V620" s="153" t="n"/>
      <c r="W620" s="153" t="n"/>
      <c r="X620" s="153" t="n"/>
      <c r="Y620" s="153" t="n"/>
      <c r="Z620" s="153" t="n"/>
    </row>
    <row r="621" ht="15.75" customHeight="1" s="154">
      <c r="I621" s="153" t="n"/>
      <c r="J621" s="153" t="n"/>
      <c r="K621" s="153" t="n"/>
      <c r="L621" s="153" t="n"/>
      <c r="M621" s="153" t="n"/>
      <c r="N621" s="153" t="n"/>
      <c r="O621" s="153" t="n"/>
      <c r="P621" s="153" t="n"/>
      <c r="Q621" s="153" t="n"/>
      <c r="R621" s="153" t="n"/>
      <c r="S621" s="153" t="n"/>
      <c r="T621" s="153" t="n"/>
      <c r="U621" s="153" t="n"/>
      <c r="V621" s="153" t="n"/>
      <c r="W621" s="153" t="n"/>
      <c r="X621" s="153" t="n"/>
      <c r="Y621" s="153" t="n"/>
      <c r="Z621" s="153" t="n"/>
    </row>
    <row r="622" ht="15.75" customHeight="1" s="154">
      <c r="I622" s="153" t="n"/>
      <c r="J622" s="153" t="n"/>
      <c r="K622" s="153" t="n"/>
      <c r="L622" s="153" t="n"/>
      <c r="M622" s="153" t="n"/>
      <c r="N622" s="153" t="n"/>
      <c r="O622" s="153" t="n"/>
      <c r="P622" s="153" t="n"/>
      <c r="Q622" s="153" t="n"/>
      <c r="R622" s="153" t="n"/>
      <c r="S622" s="153" t="n"/>
      <c r="T622" s="153" t="n"/>
      <c r="U622" s="153" t="n"/>
      <c r="V622" s="153" t="n"/>
      <c r="W622" s="153" t="n"/>
      <c r="X622" s="153" t="n"/>
      <c r="Y622" s="153" t="n"/>
      <c r="Z622" s="153" t="n"/>
    </row>
    <row r="623" ht="15.75" customHeight="1" s="154">
      <c r="I623" s="153" t="n"/>
      <c r="J623" s="153" t="n"/>
      <c r="K623" s="153" t="n"/>
      <c r="L623" s="153" t="n"/>
      <c r="M623" s="153" t="n"/>
      <c r="N623" s="153" t="n"/>
      <c r="O623" s="153" t="n"/>
      <c r="P623" s="153" t="n"/>
      <c r="Q623" s="153" t="n"/>
      <c r="R623" s="153" t="n"/>
      <c r="S623" s="153" t="n"/>
      <c r="T623" s="153" t="n"/>
      <c r="U623" s="153" t="n"/>
      <c r="V623" s="153" t="n"/>
      <c r="W623" s="153" t="n"/>
      <c r="X623" s="153" t="n"/>
      <c r="Y623" s="153" t="n"/>
      <c r="Z623" s="153" t="n"/>
    </row>
    <row r="624" ht="15.75" customHeight="1" s="154">
      <c r="I624" s="153" t="n"/>
      <c r="J624" s="153" t="n"/>
      <c r="K624" s="153" t="n"/>
      <c r="L624" s="153" t="n"/>
      <c r="M624" s="153" t="n"/>
      <c r="N624" s="153" t="n"/>
      <c r="O624" s="153" t="n"/>
      <c r="P624" s="153" t="n"/>
      <c r="Q624" s="153" t="n"/>
      <c r="R624" s="153" t="n"/>
      <c r="S624" s="153" t="n"/>
      <c r="T624" s="153" t="n"/>
      <c r="U624" s="153" t="n"/>
      <c r="V624" s="153" t="n"/>
      <c r="W624" s="153" t="n"/>
      <c r="X624" s="153" t="n"/>
      <c r="Y624" s="153" t="n"/>
      <c r="Z624" s="153" t="n"/>
    </row>
    <row r="625" ht="15.75" customHeight="1" s="154">
      <c r="I625" s="153" t="n"/>
      <c r="J625" s="153" t="n"/>
      <c r="K625" s="153" t="n"/>
      <c r="L625" s="153" t="n"/>
      <c r="M625" s="153" t="n"/>
      <c r="N625" s="153" t="n"/>
      <c r="O625" s="153" t="n"/>
      <c r="P625" s="153" t="n"/>
      <c r="Q625" s="153" t="n"/>
      <c r="R625" s="153" t="n"/>
      <c r="S625" s="153" t="n"/>
      <c r="T625" s="153" t="n"/>
      <c r="U625" s="153" t="n"/>
      <c r="V625" s="153" t="n"/>
      <c r="W625" s="153" t="n"/>
      <c r="X625" s="153" t="n"/>
      <c r="Y625" s="153" t="n"/>
      <c r="Z625" s="153" t="n"/>
    </row>
    <row r="626" ht="15.75" customHeight="1" s="154">
      <c r="I626" s="153" t="n"/>
      <c r="J626" s="153" t="n"/>
      <c r="K626" s="153" t="n"/>
      <c r="L626" s="153" t="n"/>
      <c r="M626" s="153" t="n"/>
      <c r="N626" s="153" t="n"/>
      <c r="O626" s="153" t="n"/>
      <c r="P626" s="153" t="n"/>
      <c r="Q626" s="153" t="n"/>
      <c r="R626" s="153" t="n"/>
      <c r="S626" s="153" t="n"/>
      <c r="T626" s="153" t="n"/>
      <c r="U626" s="153" t="n"/>
      <c r="V626" s="153" t="n"/>
      <c r="W626" s="153" t="n"/>
      <c r="X626" s="153" t="n"/>
      <c r="Y626" s="153" t="n"/>
      <c r="Z626" s="153" t="n"/>
    </row>
    <row r="627" ht="15.75" customHeight="1" s="154">
      <c r="I627" s="153" t="n"/>
      <c r="J627" s="153" t="n"/>
      <c r="K627" s="153" t="n"/>
      <c r="L627" s="153" t="n"/>
      <c r="M627" s="153" t="n"/>
      <c r="N627" s="153" t="n"/>
      <c r="O627" s="153" t="n"/>
      <c r="P627" s="153" t="n"/>
      <c r="Q627" s="153" t="n"/>
      <c r="R627" s="153" t="n"/>
      <c r="S627" s="153" t="n"/>
      <c r="T627" s="153" t="n"/>
      <c r="U627" s="153" t="n"/>
      <c r="V627" s="153" t="n"/>
      <c r="W627" s="153" t="n"/>
      <c r="X627" s="153" t="n"/>
      <c r="Y627" s="153" t="n"/>
      <c r="Z627" s="153" t="n"/>
    </row>
    <row r="628" ht="15.75" customHeight="1" s="154">
      <c r="I628" s="153" t="n"/>
      <c r="J628" s="153" t="n"/>
      <c r="K628" s="153" t="n"/>
      <c r="L628" s="153" t="n"/>
      <c r="M628" s="153" t="n"/>
      <c r="N628" s="153" t="n"/>
      <c r="O628" s="153" t="n"/>
      <c r="P628" s="153" t="n"/>
      <c r="Q628" s="153" t="n"/>
      <c r="R628" s="153" t="n"/>
      <c r="S628" s="153" t="n"/>
      <c r="T628" s="153" t="n"/>
      <c r="U628" s="153" t="n"/>
      <c r="V628" s="153" t="n"/>
      <c r="W628" s="153" t="n"/>
      <c r="X628" s="153" t="n"/>
      <c r="Y628" s="153" t="n"/>
      <c r="Z628" s="153" t="n"/>
    </row>
    <row r="629" ht="15.75" customHeight="1" s="154">
      <c r="I629" s="153" t="n"/>
      <c r="J629" s="153" t="n"/>
      <c r="K629" s="153" t="n"/>
      <c r="L629" s="153" t="n"/>
      <c r="M629" s="153" t="n"/>
      <c r="N629" s="153" t="n"/>
      <c r="O629" s="153" t="n"/>
      <c r="P629" s="153" t="n"/>
      <c r="Q629" s="153" t="n"/>
      <c r="R629" s="153" t="n"/>
      <c r="S629" s="153" t="n"/>
      <c r="T629" s="153" t="n"/>
      <c r="U629" s="153" t="n"/>
      <c r="V629" s="153" t="n"/>
      <c r="W629" s="153" t="n"/>
      <c r="X629" s="153" t="n"/>
      <c r="Y629" s="153" t="n"/>
      <c r="Z629" s="153" t="n"/>
    </row>
    <row r="630" ht="15.75" customHeight="1" s="154">
      <c r="I630" s="153" t="n"/>
      <c r="J630" s="153" t="n"/>
      <c r="K630" s="153" t="n"/>
      <c r="L630" s="153" t="n"/>
      <c r="M630" s="153" t="n"/>
      <c r="N630" s="153" t="n"/>
      <c r="O630" s="153" t="n"/>
      <c r="P630" s="153" t="n"/>
      <c r="Q630" s="153" t="n"/>
      <c r="R630" s="153" t="n"/>
      <c r="S630" s="153" t="n"/>
      <c r="T630" s="153" t="n"/>
      <c r="U630" s="153" t="n"/>
      <c r="V630" s="153" t="n"/>
      <c r="W630" s="153" t="n"/>
      <c r="X630" s="153" t="n"/>
      <c r="Y630" s="153" t="n"/>
      <c r="Z630" s="153" t="n"/>
    </row>
    <row r="631" ht="15.75" customHeight="1" s="154">
      <c r="I631" s="153" t="n"/>
      <c r="J631" s="153" t="n"/>
      <c r="K631" s="153" t="n"/>
      <c r="L631" s="153" t="n"/>
      <c r="M631" s="153" t="n"/>
      <c r="N631" s="153" t="n"/>
      <c r="O631" s="153" t="n"/>
      <c r="P631" s="153" t="n"/>
      <c r="Q631" s="153" t="n"/>
      <c r="R631" s="153" t="n"/>
      <c r="S631" s="153" t="n"/>
      <c r="T631" s="153" t="n"/>
      <c r="U631" s="153" t="n"/>
      <c r="V631" s="153" t="n"/>
      <c r="W631" s="153" t="n"/>
      <c r="X631" s="153" t="n"/>
      <c r="Y631" s="153" t="n"/>
      <c r="Z631" s="153" t="n"/>
    </row>
    <row r="632" ht="15.75" customHeight="1" s="154">
      <c r="I632" s="153" t="n"/>
      <c r="J632" s="153" t="n"/>
      <c r="K632" s="153" t="n"/>
      <c r="L632" s="153" t="n"/>
      <c r="M632" s="153" t="n"/>
      <c r="N632" s="153" t="n"/>
      <c r="O632" s="153" t="n"/>
      <c r="P632" s="153" t="n"/>
      <c r="Q632" s="153" t="n"/>
      <c r="R632" s="153" t="n"/>
      <c r="S632" s="153" t="n"/>
      <c r="T632" s="153" t="n"/>
      <c r="U632" s="153" t="n"/>
      <c r="V632" s="153" t="n"/>
      <c r="W632" s="153" t="n"/>
      <c r="X632" s="153" t="n"/>
      <c r="Y632" s="153" t="n"/>
      <c r="Z632" s="153" t="n"/>
    </row>
    <row r="633" ht="15.75" customHeight="1" s="154">
      <c r="I633" s="153" t="n"/>
      <c r="J633" s="153" t="n"/>
      <c r="K633" s="153" t="n"/>
      <c r="L633" s="153" t="n"/>
      <c r="M633" s="153" t="n"/>
      <c r="N633" s="153" t="n"/>
      <c r="O633" s="153" t="n"/>
      <c r="P633" s="153" t="n"/>
      <c r="Q633" s="153" t="n"/>
      <c r="R633" s="153" t="n"/>
      <c r="S633" s="153" t="n"/>
      <c r="T633" s="153" t="n"/>
      <c r="U633" s="153" t="n"/>
      <c r="V633" s="153" t="n"/>
      <c r="W633" s="153" t="n"/>
      <c r="X633" s="153" t="n"/>
      <c r="Y633" s="153" t="n"/>
      <c r="Z633" s="153" t="n"/>
    </row>
    <row r="634" ht="15.75" customHeight="1" s="154">
      <c r="I634" s="153" t="n"/>
      <c r="J634" s="153" t="n"/>
      <c r="K634" s="153" t="n"/>
      <c r="L634" s="153" t="n"/>
      <c r="M634" s="153" t="n"/>
      <c r="N634" s="153" t="n"/>
      <c r="O634" s="153" t="n"/>
      <c r="P634" s="153" t="n"/>
      <c r="Q634" s="153" t="n"/>
      <c r="R634" s="153" t="n"/>
      <c r="S634" s="153" t="n"/>
      <c r="T634" s="153" t="n"/>
      <c r="U634" s="153" t="n"/>
      <c r="V634" s="153" t="n"/>
      <c r="W634" s="153" t="n"/>
      <c r="X634" s="153" t="n"/>
      <c r="Y634" s="153" t="n"/>
      <c r="Z634" s="153" t="n"/>
    </row>
    <row r="635" ht="15.75" customHeight="1" s="154">
      <c r="I635" s="153" t="n"/>
      <c r="J635" s="153" t="n"/>
      <c r="K635" s="153" t="n"/>
      <c r="L635" s="153" t="n"/>
      <c r="M635" s="153" t="n"/>
      <c r="N635" s="153" t="n"/>
      <c r="O635" s="153" t="n"/>
      <c r="P635" s="153" t="n"/>
      <c r="Q635" s="153" t="n"/>
      <c r="R635" s="153" t="n"/>
      <c r="S635" s="153" t="n"/>
      <c r="T635" s="153" t="n"/>
      <c r="U635" s="153" t="n"/>
      <c r="V635" s="153" t="n"/>
      <c r="W635" s="153" t="n"/>
      <c r="X635" s="153" t="n"/>
      <c r="Y635" s="153" t="n"/>
      <c r="Z635" s="153" t="n"/>
    </row>
    <row r="636" ht="15.75" customHeight="1" s="154">
      <c r="I636" s="153" t="n"/>
      <c r="J636" s="153" t="n"/>
      <c r="K636" s="153" t="n"/>
      <c r="L636" s="153" t="n"/>
      <c r="M636" s="153" t="n"/>
      <c r="N636" s="153" t="n"/>
      <c r="O636" s="153" t="n"/>
      <c r="P636" s="153" t="n"/>
      <c r="Q636" s="153" t="n"/>
      <c r="R636" s="153" t="n"/>
      <c r="S636" s="153" t="n"/>
      <c r="T636" s="153" t="n"/>
      <c r="U636" s="153" t="n"/>
      <c r="V636" s="153" t="n"/>
      <c r="W636" s="153" t="n"/>
      <c r="X636" s="153" t="n"/>
      <c r="Y636" s="153" t="n"/>
      <c r="Z636" s="153" t="n"/>
    </row>
    <row r="637" ht="15.75" customHeight="1" s="154">
      <c r="I637" s="153" t="n"/>
      <c r="J637" s="153" t="n"/>
      <c r="K637" s="153" t="n"/>
      <c r="L637" s="153" t="n"/>
      <c r="M637" s="153" t="n"/>
      <c r="N637" s="153" t="n"/>
      <c r="O637" s="153" t="n"/>
      <c r="P637" s="153" t="n"/>
      <c r="Q637" s="153" t="n"/>
      <c r="R637" s="153" t="n"/>
      <c r="S637" s="153" t="n"/>
      <c r="T637" s="153" t="n"/>
      <c r="U637" s="153" t="n"/>
      <c r="V637" s="153" t="n"/>
      <c r="W637" s="153" t="n"/>
      <c r="X637" s="153" t="n"/>
      <c r="Y637" s="153" t="n"/>
      <c r="Z637" s="153" t="n"/>
    </row>
    <row r="638" ht="15.75" customHeight="1" s="154">
      <c r="I638" s="153" t="n"/>
      <c r="J638" s="153" t="n"/>
      <c r="K638" s="153" t="n"/>
      <c r="L638" s="153" t="n"/>
      <c r="M638" s="153" t="n"/>
      <c r="N638" s="153" t="n"/>
      <c r="O638" s="153" t="n"/>
      <c r="P638" s="153" t="n"/>
      <c r="Q638" s="153" t="n"/>
      <c r="R638" s="153" t="n"/>
      <c r="S638" s="153" t="n"/>
      <c r="T638" s="153" t="n"/>
      <c r="U638" s="153" t="n"/>
      <c r="V638" s="153" t="n"/>
      <c r="W638" s="153" t="n"/>
      <c r="X638" s="153" t="n"/>
      <c r="Y638" s="153" t="n"/>
      <c r="Z638" s="153" t="n"/>
    </row>
    <row r="639" ht="15.75" customHeight="1" s="154">
      <c r="I639" s="153" t="n"/>
      <c r="J639" s="153" t="n"/>
      <c r="K639" s="153" t="n"/>
      <c r="L639" s="153" t="n"/>
      <c r="M639" s="153" t="n"/>
      <c r="N639" s="153" t="n"/>
      <c r="O639" s="153" t="n"/>
      <c r="P639" s="153" t="n"/>
      <c r="Q639" s="153" t="n"/>
      <c r="R639" s="153" t="n"/>
      <c r="S639" s="153" t="n"/>
      <c r="T639" s="153" t="n"/>
      <c r="U639" s="153" t="n"/>
      <c r="V639" s="153" t="n"/>
      <c r="W639" s="153" t="n"/>
      <c r="X639" s="153" t="n"/>
      <c r="Y639" s="153" t="n"/>
      <c r="Z639" s="153" t="n"/>
    </row>
    <row r="640" ht="15.75" customHeight="1" s="154">
      <c r="I640" s="153" t="n"/>
      <c r="J640" s="153" t="n"/>
      <c r="K640" s="153" t="n"/>
      <c r="L640" s="153" t="n"/>
      <c r="M640" s="153" t="n"/>
      <c r="N640" s="153" t="n"/>
      <c r="O640" s="153" t="n"/>
      <c r="P640" s="153" t="n"/>
      <c r="Q640" s="153" t="n"/>
      <c r="R640" s="153" t="n"/>
      <c r="S640" s="153" t="n"/>
      <c r="T640" s="153" t="n"/>
      <c r="U640" s="153" t="n"/>
      <c r="V640" s="153" t="n"/>
      <c r="W640" s="153" t="n"/>
      <c r="X640" s="153" t="n"/>
      <c r="Y640" s="153" t="n"/>
      <c r="Z640" s="153" t="n"/>
    </row>
    <row r="641" ht="15.75" customHeight="1" s="154">
      <c r="I641" s="153" t="n"/>
      <c r="J641" s="153" t="n"/>
      <c r="K641" s="153" t="n"/>
      <c r="L641" s="153" t="n"/>
      <c r="M641" s="153" t="n"/>
      <c r="N641" s="153" t="n"/>
      <c r="O641" s="153" t="n"/>
      <c r="P641" s="153" t="n"/>
      <c r="Q641" s="153" t="n"/>
      <c r="R641" s="153" t="n"/>
      <c r="S641" s="153" t="n"/>
      <c r="T641" s="153" t="n"/>
      <c r="U641" s="153" t="n"/>
      <c r="V641" s="153" t="n"/>
      <c r="W641" s="153" t="n"/>
      <c r="X641" s="153" t="n"/>
      <c r="Y641" s="153" t="n"/>
      <c r="Z641" s="153" t="n"/>
    </row>
    <row r="642" ht="15.75" customHeight="1" s="154">
      <c r="I642" s="153" t="n"/>
      <c r="J642" s="153" t="n"/>
      <c r="K642" s="153" t="n"/>
      <c r="L642" s="153" t="n"/>
      <c r="M642" s="153" t="n"/>
      <c r="N642" s="153" t="n"/>
      <c r="O642" s="153" t="n"/>
      <c r="P642" s="153" t="n"/>
      <c r="Q642" s="153" t="n"/>
      <c r="R642" s="153" t="n"/>
      <c r="S642" s="153" t="n"/>
      <c r="T642" s="153" t="n"/>
      <c r="U642" s="153" t="n"/>
      <c r="V642" s="153" t="n"/>
      <c r="W642" s="153" t="n"/>
      <c r="X642" s="153" t="n"/>
      <c r="Y642" s="153" t="n"/>
      <c r="Z642" s="153" t="n"/>
    </row>
    <row r="643" ht="15.75" customHeight="1" s="154">
      <c r="I643" s="153" t="n"/>
      <c r="J643" s="153" t="n"/>
      <c r="K643" s="153" t="n"/>
      <c r="L643" s="153" t="n"/>
      <c r="M643" s="153" t="n"/>
      <c r="N643" s="153" t="n"/>
      <c r="O643" s="153" t="n"/>
      <c r="P643" s="153" t="n"/>
      <c r="Q643" s="153" t="n"/>
      <c r="R643" s="153" t="n"/>
      <c r="S643" s="153" t="n"/>
      <c r="T643" s="153" t="n"/>
      <c r="U643" s="153" t="n"/>
      <c r="V643" s="153" t="n"/>
      <c r="W643" s="153" t="n"/>
      <c r="X643" s="153" t="n"/>
      <c r="Y643" s="153" t="n"/>
      <c r="Z643" s="153" t="n"/>
    </row>
    <row r="644" ht="15.75" customHeight="1" s="154">
      <c r="I644" s="153" t="n"/>
      <c r="J644" s="153" t="n"/>
      <c r="K644" s="153" t="n"/>
      <c r="L644" s="153" t="n"/>
      <c r="M644" s="153" t="n"/>
      <c r="N644" s="153" t="n"/>
      <c r="O644" s="153" t="n"/>
      <c r="P644" s="153" t="n"/>
      <c r="Q644" s="153" t="n"/>
      <c r="R644" s="153" t="n"/>
      <c r="S644" s="153" t="n"/>
      <c r="T644" s="153" t="n"/>
      <c r="U644" s="153" t="n"/>
      <c r="V644" s="153" t="n"/>
      <c r="W644" s="153" t="n"/>
      <c r="X644" s="153" t="n"/>
      <c r="Y644" s="153" t="n"/>
      <c r="Z644" s="153" t="n"/>
    </row>
    <row r="645" ht="15.75" customHeight="1" s="154">
      <c r="I645" s="153" t="n"/>
      <c r="J645" s="153" t="n"/>
      <c r="K645" s="153" t="n"/>
      <c r="L645" s="153" t="n"/>
      <c r="M645" s="153" t="n"/>
      <c r="N645" s="153" t="n"/>
      <c r="O645" s="153" t="n"/>
      <c r="P645" s="153" t="n"/>
      <c r="Q645" s="153" t="n"/>
      <c r="R645" s="153" t="n"/>
      <c r="S645" s="153" t="n"/>
      <c r="T645" s="153" t="n"/>
      <c r="U645" s="153" t="n"/>
      <c r="V645" s="153" t="n"/>
      <c r="W645" s="153" t="n"/>
      <c r="X645" s="153" t="n"/>
      <c r="Y645" s="153" t="n"/>
      <c r="Z645" s="153" t="n"/>
    </row>
    <row r="646" ht="15.75" customHeight="1" s="154">
      <c r="I646" s="153" t="n"/>
      <c r="J646" s="153" t="n"/>
      <c r="K646" s="153" t="n"/>
      <c r="L646" s="153" t="n"/>
      <c r="M646" s="153" t="n"/>
      <c r="N646" s="153" t="n"/>
      <c r="O646" s="153" t="n"/>
      <c r="P646" s="153" t="n"/>
      <c r="Q646" s="153" t="n"/>
      <c r="R646" s="153" t="n"/>
      <c r="S646" s="153" t="n"/>
      <c r="T646" s="153" t="n"/>
      <c r="U646" s="153" t="n"/>
      <c r="V646" s="153" t="n"/>
      <c r="W646" s="153" t="n"/>
      <c r="X646" s="153" t="n"/>
      <c r="Y646" s="153" t="n"/>
      <c r="Z646" s="153" t="n"/>
    </row>
    <row r="647" ht="15.75" customHeight="1" s="154">
      <c r="I647" s="153" t="n"/>
      <c r="J647" s="153" t="n"/>
      <c r="K647" s="153" t="n"/>
      <c r="L647" s="153" t="n"/>
      <c r="M647" s="153" t="n"/>
      <c r="N647" s="153" t="n"/>
      <c r="O647" s="153" t="n"/>
      <c r="P647" s="153" t="n"/>
      <c r="Q647" s="153" t="n"/>
      <c r="R647" s="153" t="n"/>
      <c r="S647" s="153" t="n"/>
      <c r="T647" s="153" t="n"/>
      <c r="U647" s="153" t="n"/>
      <c r="V647" s="153" t="n"/>
      <c r="W647" s="153" t="n"/>
      <c r="X647" s="153" t="n"/>
      <c r="Y647" s="153" t="n"/>
      <c r="Z647" s="153" t="n"/>
    </row>
    <row r="648" ht="15.75" customHeight="1" s="154">
      <c r="I648" s="153" t="n"/>
      <c r="J648" s="153" t="n"/>
      <c r="K648" s="153" t="n"/>
      <c r="L648" s="153" t="n"/>
      <c r="M648" s="153" t="n"/>
      <c r="N648" s="153" t="n"/>
      <c r="O648" s="153" t="n"/>
      <c r="P648" s="153" t="n"/>
      <c r="Q648" s="153" t="n"/>
      <c r="R648" s="153" t="n"/>
      <c r="S648" s="153" t="n"/>
      <c r="T648" s="153" t="n"/>
      <c r="U648" s="153" t="n"/>
      <c r="V648" s="153" t="n"/>
      <c r="W648" s="153" t="n"/>
      <c r="X648" s="153" t="n"/>
      <c r="Y648" s="153" t="n"/>
      <c r="Z648" s="153" t="n"/>
    </row>
    <row r="649" ht="15.75" customHeight="1" s="154">
      <c r="I649" s="153" t="n"/>
      <c r="J649" s="153" t="n"/>
      <c r="K649" s="153" t="n"/>
      <c r="L649" s="153" t="n"/>
      <c r="M649" s="153" t="n"/>
      <c r="N649" s="153" t="n"/>
      <c r="O649" s="153" t="n"/>
      <c r="P649" s="153" t="n"/>
      <c r="Q649" s="153" t="n"/>
      <c r="R649" s="153" t="n"/>
      <c r="S649" s="153" t="n"/>
      <c r="T649" s="153" t="n"/>
      <c r="U649" s="153" t="n"/>
      <c r="V649" s="153" t="n"/>
      <c r="W649" s="153" t="n"/>
      <c r="X649" s="153" t="n"/>
      <c r="Y649" s="153" t="n"/>
      <c r="Z649" s="153" t="n"/>
    </row>
    <row r="650" ht="15.75" customHeight="1" s="154">
      <c r="I650" s="153" t="n"/>
      <c r="J650" s="153" t="n"/>
      <c r="K650" s="153" t="n"/>
      <c r="L650" s="153" t="n"/>
      <c r="M650" s="153" t="n"/>
      <c r="N650" s="153" t="n"/>
      <c r="O650" s="153" t="n"/>
      <c r="P650" s="153" t="n"/>
      <c r="Q650" s="153" t="n"/>
      <c r="R650" s="153" t="n"/>
      <c r="S650" s="153" t="n"/>
      <c r="T650" s="153" t="n"/>
      <c r="U650" s="153" t="n"/>
      <c r="V650" s="153" t="n"/>
      <c r="W650" s="153" t="n"/>
      <c r="X650" s="153" t="n"/>
      <c r="Y650" s="153" t="n"/>
      <c r="Z650" s="153" t="n"/>
    </row>
    <row r="651" ht="15.75" customHeight="1" s="154">
      <c r="I651" s="153" t="n"/>
      <c r="J651" s="153" t="n"/>
      <c r="K651" s="153" t="n"/>
      <c r="L651" s="153" t="n"/>
      <c r="M651" s="153" t="n"/>
      <c r="N651" s="153" t="n"/>
      <c r="O651" s="153" t="n"/>
      <c r="P651" s="153" t="n"/>
      <c r="Q651" s="153" t="n"/>
      <c r="R651" s="153" t="n"/>
      <c r="S651" s="153" t="n"/>
      <c r="T651" s="153" t="n"/>
      <c r="U651" s="153" t="n"/>
      <c r="V651" s="153" t="n"/>
      <c r="W651" s="153" t="n"/>
      <c r="X651" s="153" t="n"/>
      <c r="Y651" s="153" t="n"/>
      <c r="Z651" s="153" t="n"/>
    </row>
    <row r="652" ht="15.75" customHeight="1" s="154">
      <c r="I652" s="153" t="n"/>
      <c r="J652" s="153" t="n"/>
      <c r="K652" s="153" t="n"/>
      <c r="L652" s="153" t="n"/>
      <c r="M652" s="153" t="n"/>
      <c r="N652" s="153" t="n"/>
      <c r="O652" s="153" t="n"/>
      <c r="P652" s="153" t="n"/>
      <c r="Q652" s="153" t="n"/>
      <c r="R652" s="153" t="n"/>
      <c r="S652" s="153" t="n"/>
      <c r="T652" s="153" t="n"/>
      <c r="U652" s="153" t="n"/>
      <c r="V652" s="153" t="n"/>
      <c r="W652" s="153" t="n"/>
      <c r="X652" s="153" t="n"/>
      <c r="Y652" s="153" t="n"/>
      <c r="Z652" s="153" t="n"/>
    </row>
    <row r="653" ht="15.75" customHeight="1" s="154">
      <c r="I653" s="153" t="n"/>
      <c r="J653" s="153" t="n"/>
      <c r="K653" s="153" t="n"/>
      <c r="L653" s="153" t="n"/>
      <c r="M653" s="153" t="n"/>
      <c r="N653" s="153" t="n"/>
      <c r="O653" s="153" t="n"/>
      <c r="P653" s="153" t="n"/>
      <c r="Q653" s="153" t="n"/>
      <c r="R653" s="153" t="n"/>
      <c r="S653" s="153" t="n"/>
      <c r="T653" s="153" t="n"/>
      <c r="U653" s="153" t="n"/>
      <c r="V653" s="153" t="n"/>
      <c r="W653" s="153" t="n"/>
      <c r="X653" s="153" t="n"/>
      <c r="Y653" s="153" t="n"/>
      <c r="Z653" s="153" t="n"/>
    </row>
    <row r="654" ht="15.75" customHeight="1" s="154">
      <c r="I654" s="153" t="n"/>
      <c r="J654" s="153" t="n"/>
      <c r="K654" s="153" t="n"/>
      <c r="L654" s="153" t="n"/>
      <c r="M654" s="153" t="n"/>
      <c r="N654" s="153" t="n"/>
      <c r="O654" s="153" t="n"/>
      <c r="P654" s="153" t="n"/>
      <c r="Q654" s="153" t="n"/>
      <c r="R654" s="153" t="n"/>
      <c r="S654" s="153" t="n"/>
      <c r="T654" s="153" t="n"/>
      <c r="U654" s="153" t="n"/>
      <c r="V654" s="153" t="n"/>
      <c r="W654" s="153" t="n"/>
      <c r="X654" s="153" t="n"/>
      <c r="Y654" s="153" t="n"/>
      <c r="Z654" s="153" t="n"/>
    </row>
    <row r="655" ht="15.75" customHeight="1" s="154">
      <c r="I655" s="153" t="n"/>
      <c r="J655" s="153" t="n"/>
      <c r="K655" s="153" t="n"/>
      <c r="L655" s="153" t="n"/>
      <c r="M655" s="153" t="n"/>
      <c r="N655" s="153" t="n"/>
      <c r="O655" s="153" t="n"/>
      <c r="P655" s="153" t="n"/>
      <c r="Q655" s="153" t="n"/>
      <c r="R655" s="153" t="n"/>
      <c r="S655" s="153" t="n"/>
      <c r="T655" s="153" t="n"/>
      <c r="U655" s="153" t="n"/>
      <c r="V655" s="153" t="n"/>
      <c r="W655" s="153" t="n"/>
      <c r="X655" s="153" t="n"/>
      <c r="Y655" s="153" t="n"/>
      <c r="Z655" s="153" t="n"/>
    </row>
    <row r="656" ht="15.75" customHeight="1" s="154">
      <c r="I656" s="153" t="n"/>
      <c r="J656" s="153" t="n"/>
      <c r="K656" s="153" t="n"/>
      <c r="L656" s="153" t="n"/>
      <c r="M656" s="153" t="n"/>
      <c r="N656" s="153" t="n"/>
      <c r="O656" s="153" t="n"/>
      <c r="P656" s="153" t="n"/>
      <c r="Q656" s="153" t="n"/>
      <c r="R656" s="153" t="n"/>
      <c r="S656" s="153" t="n"/>
      <c r="T656" s="153" t="n"/>
      <c r="U656" s="153" t="n"/>
      <c r="V656" s="153" t="n"/>
      <c r="W656" s="153" t="n"/>
      <c r="X656" s="153" t="n"/>
      <c r="Y656" s="153" t="n"/>
      <c r="Z656" s="153" t="n"/>
    </row>
    <row r="657" ht="15.75" customHeight="1" s="154">
      <c r="I657" s="153" t="n"/>
      <c r="J657" s="153" t="n"/>
      <c r="K657" s="153" t="n"/>
      <c r="L657" s="153" t="n"/>
      <c r="M657" s="153" t="n"/>
      <c r="N657" s="153" t="n"/>
      <c r="O657" s="153" t="n"/>
      <c r="P657" s="153" t="n"/>
      <c r="Q657" s="153" t="n"/>
      <c r="R657" s="153" t="n"/>
      <c r="S657" s="153" t="n"/>
      <c r="T657" s="153" t="n"/>
      <c r="U657" s="153" t="n"/>
      <c r="V657" s="153" t="n"/>
      <c r="W657" s="153" t="n"/>
      <c r="X657" s="153" t="n"/>
      <c r="Y657" s="153" t="n"/>
      <c r="Z657" s="153" t="n"/>
    </row>
    <row r="658" ht="15.75" customHeight="1" s="154">
      <c r="I658" s="153" t="n"/>
      <c r="J658" s="153" t="n"/>
      <c r="K658" s="153" t="n"/>
      <c r="L658" s="153" t="n"/>
      <c r="M658" s="153" t="n"/>
      <c r="N658" s="153" t="n"/>
      <c r="O658" s="153" t="n"/>
      <c r="P658" s="153" t="n"/>
      <c r="Q658" s="153" t="n"/>
      <c r="R658" s="153" t="n"/>
      <c r="S658" s="153" t="n"/>
      <c r="T658" s="153" t="n"/>
      <c r="U658" s="153" t="n"/>
      <c r="V658" s="153" t="n"/>
      <c r="W658" s="153" t="n"/>
      <c r="X658" s="153" t="n"/>
      <c r="Y658" s="153" t="n"/>
      <c r="Z658" s="153" t="n"/>
    </row>
    <row r="659" ht="15.75" customHeight="1" s="154">
      <c r="I659" s="153" t="n"/>
      <c r="J659" s="153" t="n"/>
      <c r="K659" s="153" t="n"/>
      <c r="L659" s="153" t="n"/>
      <c r="M659" s="153" t="n"/>
      <c r="N659" s="153" t="n"/>
      <c r="O659" s="153" t="n"/>
      <c r="P659" s="153" t="n"/>
      <c r="Q659" s="153" t="n"/>
      <c r="R659" s="153" t="n"/>
      <c r="S659" s="153" t="n"/>
      <c r="T659" s="153" t="n"/>
      <c r="U659" s="153" t="n"/>
      <c r="V659" s="153" t="n"/>
      <c r="W659" s="153" t="n"/>
      <c r="X659" s="153" t="n"/>
      <c r="Y659" s="153" t="n"/>
      <c r="Z659" s="153" t="n"/>
    </row>
    <row r="660" ht="15.75" customHeight="1" s="154">
      <c r="I660" s="153" t="n"/>
      <c r="J660" s="153" t="n"/>
      <c r="K660" s="153" t="n"/>
      <c r="L660" s="153" t="n"/>
      <c r="M660" s="153" t="n"/>
      <c r="N660" s="153" t="n"/>
      <c r="O660" s="153" t="n"/>
      <c r="P660" s="153" t="n"/>
      <c r="Q660" s="153" t="n"/>
      <c r="R660" s="153" t="n"/>
      <c r="S660" s="153" t="n"/>
      <c r="T660" s="153" t="n"/>
      <c r="U660" s="153" t="n"/>
      <c r="V660" s="153" t="n"/>
      <c r="W660" s="153" t="n"/>
      <c r="X660" s="153" t="n"/>
      <c r="Y660" s="153" t="n"/>
      <c r="Z660" s="153" t="n"/>
    </row>
    <row r="661" ht="15.75" customHeight="1" s="154">
      <c r="I661" s="153" t="n"/>
      <c r="J661" s="153" t="n"/>
      <c r="K661" s="153" t="n"/>
      <c r="L661" s="153" t="n"/>
      <c r="M661" s="153" t="n"/>
      <c r="N661" s="153" t="n"/>
      <c r="O661" s="153" t="n"/>
      <c r="P661" s="153" t="n"/>
      <c r="Q661" s="153" t="n"/>
      <c r="R661" s="153" t="n"/>
      <c r="S661" s="153" t="n"/>
      <c r="T661" s="153" t="n"/>
      <c r="U661" s="153" t="n"/>
      <c r="V661" s="153" t="n"/>
      <c r="W661" s="153" t="n"/>
      <c r="X661" s="153" t="n"/>
      <c r="Y661" s="153" t="n"/>
      <c r="Z661" s="153" t="n"/>
    </row>
    <row r="662" ht="15.75" customHeight="1" s="154">
      <c r="I662" s="153" t="n"/>
      <c r="J662" s="153" t="n"/>
      <c r="K662" s="153" t="n"/>
      <c r="L662" s="153" t="n"/>
      <c r="M662" s="153" t="n"/>
      <c r="N662" s="153" t="n"/>
      <c r="O662" s="153" t="n"/>
      <c r="P662" s="153" t="n"/>
      <c r="Q662" s="153" t="n"/>
      <c r="R662" s="153" t="n"/>
      <c r="S662" s="153" t="n"/>
      <c r="T662" s="153" t="n"/>
      <c r="U662" s="153" t="n"/>
      <c r="V662" s="153" t="n"/>
      <c r="W662" s="153" t="n"/>
      <c r="X662" s="153" t="n"/>
      <c r="Y662" s="153" t="n"/>
      <c r="Z662" s="153" t="n"/>
    </row>
    <row r="663" ht="15.75" customHeight="1" s="154">
      <c r="I663" s="153" t="n"/>
      <c r="J663" s="153" t="n"/>
      <c r="K663" s="153" t="n"/>
      <c r="L663" s="153" t="n"/>
      <c r="M663" s="153" t="n"/>
      <c r="N663" s="153" t="n"/>
      <c r="O663" s="153" t="n"/>
      <c r="P663" s="153" t="n"/>
      <c r="Q663" s="153" t="n"/>
      <c r="R663" s="153" t="n"/>
      <c r="S663" s="153" t="n"/>
      <c r="T663" s="153" t="n"/>
      <c r="U663" s="153" t="n"/>
      <c r="V663" s="153" t="n"/>
      <c r="W663" s="153" t="n"/>
      <c r="X663" s="153" t="n"/>
      <c r="Y663" s="153" t="n"/>
      <c r="Z663" s="153" t="n"/>
    </row>
    <row r="664" ht="15.75" customHeight="1" s="154">
      <c r="I664" s="153" t="n"/>
      <c r="J664" s="153" t="n"/>
      <c r="K664" s="153" t="n"/>
      <c r="L664" s="153" t="n"/>
      <c r="M664" s="153" t="n"/>
      <c r="N664" s="153" t="n"/>
      <c r="O664" s="153" t="n"/>
      <c r="P664" s="153" t="n"/>
      <c r="Q664" s="153" t="n"/>
      <c r="R664" s="153" t="n"/>
      <c r="S664" s="153" t="n"/>
      <c r="T664" s="153" t="n"/>
      <c r="U664" s="153" t="n"/>
      <c r="V664" s="153" t="n"/>
      <c r="W664" s="153" t="n"/>
      <c r="X664" s="153" t="n"/>
      <c r="Y664" s="153" t="n"/>
      <c r="Z664" s="153" t="n"/>
    </row>
    <row r="665" ht="15.75" customHeight="1" s="154">
      <c r="I665" s="153" t="n"/>
      <c r="J665" s="153" t="n"/>
      <c r="K665" s="153" t="n"/>
      <c r="L665" s="153" t="n"/>
      <c r="M665" s="153" t="n"/>
      <c r="N665" s="153" t="n"/>
      <c r="O665" s="153" t="n"/>
      <c r="P665" s="153" t="n"/>
      <c r="Q665" s="153" t="n"/>
      <c r="R665" s="153" t="n"/>
      <c r="S665" s="153" t="n"/>
      <c r="T665" s="153" t="n"/>
      <c r="U665" s="153" t="n"/>
      <c r="V665" s="153" t="n"/>
      <c r="W665" s="153" t="n"/>
      <c r="X665" s="153" t="n"/>
      <c r="Y665" s="153" t="n"/>
      <c r="Z665" s="153" t="n"/>
    </row>
    <row r="666" ht="15.75" customHeight="1" s="154">
      <c r="I666" s="153" t="n"/>
      <c r="J666" s="153" t="n"/>
      <c r="K666" s="153" t="n"/>
      <c r="L666" s="153" t="n"/>
      <c r="M666" s="153" t="n"/>
      <c r="N666" s="153" t="n"/>
      <c r="O666" s="153" t="n"/>
      <c r="P666" s="153" t="n"/>
      <c r="Q666" s="153" t="n"/>
      <c r="R666" s="153" t="n"/>
      <c r="S666" s="153" t="n"/>
      <c r="T666" s="153" t="n"/>
      <c r="U666" s="153" t="n"/>
      <c r="V666" s="153" t="n"/>
      <c r="W666" s="153" t="n"/>
      <c r="X666" s="153" t="n"/>
      <c r="Y666" s="153" t="n"/>
      <c r="Z666" s="153" t="n"/>
    </row>
    <row r="667" ht="15.75" customHeight="1" s="154">
      <c r="I667" s="153" t="n"/>
      <c r="J667" s="153" t="n"/>
      <c r="K667" s="153" t="n"/>
      <c r="L667" s="153" t="n"/>
      <c r="M667" s="153" t="n"/>
      <c r="N667" s="153" t="n"/>
      <c r="O667" s="153" t="n"/>
      <c r="P667" s="153" t="n"/>
      <c r="Q667" s="153" t="n"/>
      <c r="R667" s="153" t="n"/>
      <c r="S667" s="153" t="n"/>
      <c r="T667" s="153" t="n"/>
      <c r="U667" s="153" t="n"/>
      <c r="V667" s="153" t="n"/>
      <c r="W667" s="153" t="n"/>
      <c r="X667" s="153" t="n"/>
      <c r="Y667" s="153" t="n"/>
      <c r="Z667" s="153" t="n"/>
    </row>
    <row r="668" ht="15.75" customHeight="1" s="154">
      <c r="I668" s="153" t="n"/>
      <c r="J668" s="153" t="n"/>
      <c r="K668" s="153" t="n"/>
      <c r="L668" s="153" t="n"/>
      <c r="M668" s="153" t="n"/>
      <c r="N668" s="153" t="n"/>
      <c r="O668" s="153" t="n"/>
      <c r="P668" s="153" t="n"/>
      <c r="Q668" s="153" t="n"/>
      <c r="R668" s="153" t="n"/>
      <c r="S668" s="153" t="n"/>
      <c r="T668" s="153" t="n"/>
      <c r="U668" s="153" t="n"/>
      <c r="V668" s="153" t="n"/>
      <c r="W668" s="153" t="n"/>
      <c r="X668" s="153" t="n"/>
      <c r="Y668" s="153" t="n"/>
      <c r="Z668" s="153" t="n"/>
    </row>
    <row r="669" ht="15.75" customHeight="1" s="154">
      <c r="I669" s="153" t="n"/>
      <c r="J669" s="153" t="n"/>
      <c r="K669" s="153" t="n"/>
      <c r="L669" s="153" t="n"/>
      <c r="M669" s="153" t="n"/>
      <c r="N669" s="153" t="n"/>
      <c r="O669" s="153" t="n"/>
      <c r="P669" s="153" t="n"/>
      <c r="Q669" s="153" t="n"/>
      <c r="R669" s="153" t="n"/>
      <c r="S669" s="153" t="n"/>
      <c r="T669" s="153" t="n"/>
      <c r="U669" s="153" t="n"/>
      <c r="V669" s="153" t="n"/>
      <c r="W669" s="153" t="n"/>
      <c r="X669" s="153" t="n"/>
      <c r="Y669" s="153" t="n"/>
      <c r="Z669" s="153" t="n"/>
    </row>
    <row r="670" ht="15.75" customHeight="1" s="154">
      <c r="I670" s="153" t="n"/>
      <c r="J670" s="153" t="n"/>
      <c r="K670" s="153" t="n"/>
      <c r="L670" s="153" t="n"/>
      <c r="M670" s="153" t="n"/>
      <c r="N670" s="153" t="n"/>
      <c r="O670" s="153" t="n"/>
      <c r="P670" s="153" t="n"/>
      <c r="Q670" s="153" t="n"/>
      <c r="R670" s="153" t="n"/>
      <c r="S670" s="153" t="n"/>
      <c r="T670" s="153" t="n"/>
      <c r="U670" s="153" t="n"/>
      <c r="V670" s="153" t="n"/>
      <c r="W670" s="153" t="n"/>
      <c r="X670" s="153" t="n"/>
      <c r="Y670" s="153" t="n"/>
      <c r="Z670" s="153" t="n"/>
    </row>
    <row r="671" ht="15.75" customHeight="1" s="154">
      <c r="I671" s="153" t="n"/>
      <c r="J671" s="153" t="n"/>
      <c r="K671" s="153" t="n"/>
      <c r="L671" s="153" t="n"/>
      <c r="M671" s="153" t="n"/>
      <c r="N671" s="153" t="n"/>
      <c r="O671" s="153" t="n"/>
      <c r="P671" s="153" t="n"/>
      <c r="Q671" s="153" t="n"/>
      <c r="R671" s="153" t="n"/>
      <c r="S671" s="153" t="n"/>
      <c r="T671" s="153" t="n"/>
      <c r="U671" s="153" t="n"/>
      <c r="V671" s="153" t="n"/>
      <c r="W671" s="153" t="n"/>
      <c r="X671" s="153" t="n"/>
      <c r="Y671" s="153" t="n"/>
      <c r="Z671" s="153" t="n"/>
    </row>
    <row r="672" ht="15.75" customHeight="1" s="154">
      <c r="I672" s="153" t="n"/>
      <c r="J672" s="153" t="n"/>
      <c r="K672" s="153" t="n"/>
      <c r="L672" s="153" t="n"/>
      <c r="M672" s="153" t="n"/>
      <c r="N672" s="153" t="n"/>
      <c r="O672" s="153" t="n"/>
      <c r="P672" s="153" t="n"/>
      <c r="Q672" s="153" t="n"/>
      <c r="R672" s="153" t="n"/>
      <c r="S672" s="153" t="n"/>
      <c r="T672" s="153" t="n"/>
      <c r="U672" s="153" t="n"/>
      <c r="V672" s="153" t="n"/>
      <c r="W672" s="153" t="n"/>
      <c r="X672" s="153" t="n"/>
      <c r="Y672" s="153" t="n"/>
      <c r="Z672" s="153" t="n"/>
    </row>
    <row r="673" ht="15.75" customHeight="1" s="154">
      <c r="I673" s="153" t="n"/>
      <c r="J673" s="153" t="n"/>
      <c r="K673" s="153" t="n"/>
      <c r="L673" s="153" t="n"/>
      <c r="M673" s="153" t="n"/>
      <c r="N673" s="153" t="n"/>
      <c r="O673" s="153" t="n"/>
      <c r="P673" s="153" t="n"/>
      <c r="Q673" s="153" t="n"/>
      <c r="R673" s="153" t="n"/>
      <c r="S673" s="153" t="n"/>
      <c r="T673" s="153" t="n"/>
      <c r="U673" s="153" t="n"/>
      <c r="V673" s="153" t="n"/>
      <c r="W673" s="153" t="n"/>
      <c r="X673" s="153" t="n"/>
      <c r="Y673" s="153" t="n"/>
      <c r="Z673" s="153" t="n"/>
    </row>
    <row r="674" ht="15.75" customHeight="1" s="154">
      <c r="I674" s="153" t="n"/>
      <c r="J674" s="153" t="n"/>
      <c r="K674" s="153" t="n"/>
      <c r="L674" s="153" t="n"/>
      <c r="M674" s="153" t="n"/>
      <c r="N674" s="153" t="n"/>
      <c r="O674" s="153" t="n"/>
      <c r="P674" s="153" t="n"/>
      <c r="Q674" s="153" t="n"/>
      <c r="R674" s="153" t="n"/>
      <c r="S674" s="153" t="n"/>
      <c r="T674" s="153" t="n"/>
      <c r="U674" s="153" t="n"/>
      <c r="V674" s="153" t="n"/>
      <c r="W674" s="153" t="n"/>
      <c r="X674" s="153" t="n"/>
      <c r="Y674" s="153" t="n"/>
      <c r="Z674" s="153" t="n"/>
    </row>
    <row r="675" ht="15.75" customHeight="1" s="154">
      <c r="I675" s="153" t="n"/>
      <c r="J675" s="153" t="n"/>
      <c r="K675" s="153" t="n"/>
      <c r="L675" s="153" t="n"/>
      <c r="M675" s="153" t="n"/>
      <c r="N675" s="153" t="n"/>
      <c r="O675" s="153" t="n"/>
      <c r="P675" s="153" t="n"/>
      <c r="Q675" s="153" t="n"/>
      <c r="R675" s="153" t="n"/>
      <c r="S675" s="153" t="n"/>
      <c r="T675" s="153" t="n"/>
      <c r="U675" s="153" t="n"/>
      <c r="V675" s="153" t="n"/>
      <c r="W675" s="153" t="n"/>
      <c r="X675" s="153" t="n"/>
      <c r="Y675" s="153" t="n"/>
      <c r="Z675" s="153" t="n"/>
    </row>
    <row r="676" ht="15.75" customHeight="1" s="154">
      <c r="I676" s="153" t="n"/>
      <c r="J676" s="153" t="n"/>
      <c r="K676" s="153" t="n"/>
      <c r="L676" s="153" t="n"/>
      <c r="M676" s="153" t="n"/>
      <c r="N676" s="153" t="n"/>
      <c r="O676" s="153" t="n"/>
      <c r="P676" s="153" t="n"/>
      <c r="Q676" s="153" t="n"/>
      <c r="R676" s="153" t="n"/>
      <c r="S676" s="153" t="n"/>
      <c r="T676" s="153" t="n"/>
      <c r="U676" s="153" t="n"/>
      <c r="V676" s="153" t="n"/>
      <c r="W676" s="153" t="n"/>
      <c r="X676" s="153" t="n"/>
      <c r="Y676" s="153" t="n"/>
      <c r="Z676" s="153" t="n"/>
    </row>
    <row r="677" ht="15.75" customHeight="1" s="154">
      <c r="I677" s="153" t="n"/>
      <c r="J677" s="153" t="n"/>
      <c r="K677" s="153" t="n"/>
      <c r="L677" s="153" t="n"/>
      <c r="M677" s="153" t="n"/>
      <c r="N677" s="153" t="n"/>
      <c r="O677" s="153" t="n"/>
      <c r="P677" s="153" t="n"/>
      <c r="Q677" s="153" t="n"/>
      <c r="R677" s="153" t="n"/>
      <c r="S677" s="153" t="n"/>
      <c r="T677" s="153" t="n"/>
      <c r="U677" s="153" t="n"/>
      <c r="V677" s="153" t="n"/>
      <c r="W677" s="153" t="n"/>
      <c r="X677" s="153" t="n"/>
      <c r="Y677" s="153" t="n"/>
      <c r="Z677" s="153" t="n"/>
    </row>
    <row r="678" ht="15.75" customHeight="1" s="154">
      <c r="I678" s="153" t="n"/>
      <c r="J678" s="153" t="n"/>
      <c r="K678" s="153" t="n"/>
      <c r="L678" s="153" t="n"/>
      <c r="M678" s="153" t="n"/>
      <c r="N678" s="153" t="n"/>
      <c r="O678" s="153" t="n"/>
      <c r="P678" s="153" t="n"/>
      <c r="Q678" s="153" t="n"/>
      <c r="R678" s="153" t="n"/>
      <c r="S678" s="153" t="n"/>
      <c r="T678" s="153" t="n"/>
      <c r="U678" s="153" t="n"/>
      <c r="V678" s="153" t="n"/>
      <c r="W678" s="153" t="n"/>
      <c r="X678" s="153" t="n"/>
      <c r="Y678" s="153" t="n"/>
      <c r="Z678" s="153" t="n"/>
    </row>
    <row r="679" ht="15.75" customHeight="1" s="154">
      <c r="I679" s="153" t="n"/>
      <c r="J679" s="153" t="n"/>
      <c r="K679" s="153" t="n"/>
      <c r="L679" s="153" t="n"/>
      <c r="M679" s="153" t="n"/>
      <c r="N679" s="153" t="n"/>
      <c r="O679" s="153" t="n"/>
      <c r="P679" s="153" t="n"/>
      <c r="Q679" s="153" t="n"/>
      <c r="R679" s="153" t="n"/>
      <c r="S679" s="153" t="n"/>
      <c r="T679" s="153" t="n"/>
      <c r="U679" s="153" t="n"/>
      <c r="V679" s="153" t="n"/>
      <c r="W679" s="153" t="n"/>
      <c r="X679" s="153" t="n"/>
      <c r="Y679" s="153" t="n"/>
      <c r="Z679" s="153" t="n"/>
    </row>
    <row r="680" ht="15.75" customHeight="1" s="154">
      <c r="I680" s="153" t="n"/>
      <c r="J680" s="153" t="n"/>
      <c r="K680" s="153" t="n"/>
      <c r="L680" s="153" t="n"/>
      <c r="M680" s="153" t="n"/>
      <c r="N680" s="153" t="n"/>
      <c r="O680" s="153" t="n"/>
      <c r="P680" s="153" t="n"/>
      <c r="Q680" s="153" t="n"/>
      <c r="R680" s="153" t="n"/>
      <c r="S680" s="153" t="n"/>
      <c r="T680" s="153" t="n"/>
      <c r="U680" s="153" t="n"/>
      <c r="V680" s="153" t="n"/>
      <c r="W680" s="153" t="n"/>
      <c r="X680" s="153" t="n"/>
      <c r="Y680" s="153" t="n"/>
      <c r="Z680" s="153" t="n"/>
    </row>
    <row r="681" ht="15.75" customHeight="1" s="154">
      <c r="I681" s="153" t="n"/>
      <c r="J681" s="153" t="n"/>
      <c r="K681" s="153" t="n"/>
      <c r="L681" s="153" t="n"/>
      <c r="M681" s="153" t="n"/>
      <c r="N681" s="153" t="n"/>
      <c r="O681" s="153" t="n"/>
      <c r="P681" s="153" t="n"/>
      <c r="Q681" s="153" t="n"/>
      <c r="R681" s="153" t="n"/>
      <c r="S681" s="153" t="n"/>
      <c r="T681" s="153" t="n"/>
      <c r="U681" s="153" t="n"/>
      <c r="V681" s="153" t="n"/>
      <c r="W681" s="153" t="n"/>
      <c r="X681" s="153" t="n"/>
      <c r="Y681" s="153" t="n"/>
      <c r="Z681" s="153" t="n"/>
    </row>
    <row r="682" ht="15.75" customHeight="1" s="154">
      <c r="I682" s="153" t="n"/>
      <c r="J682" s="153" t="n"/>
      <c r="K682" s="153" t="n"/>
      <c r="L682" s="153" t="n"/>
      <c r="M682" s="153" t="n"/>
      <c r="N682" s="153" t="n"/>
      <c r="O682" s="153" t="n"/>
      <c r="P682" s="153" t="n"/>
      <c r="Q682" s="153" t="n"/>
      <c r="R682" s="153" t="n"/>
      <c r="S682" s="153" t="n"/>
      <c r="T682" s="153" t="n"/>
      <c r="U682" s="153" t="n"/>
      <c r="V682" s="153" t="n"/>
      <c r="W682" s="153" t="n"/>
      <c r="X682" s="153" t="n"/>
      <c r="Y682" s="153" t="n"/>
      <c r="Z682" s="153" t="n"/>
    </row>
    <row r="683" ht="15.75" customHeight="1" s="154">
      <c r="I683" s="153" t="n"/>
      <c r="J683" s="153" t="n"/>
      <c r="K683" s="153" t="n"/>
      <c r="L683" s="153" t="n"/>
      <c r="M683" s="153" t="n"/>
      <c r="N683" s="153" t="n"/>
      <c r="O683" s="153" t="n"/>
      <c r="P683" s="153" t="n"/>
      <c r="Q683" s="153" t="n"/>
      <c r="R683" s="153" t="n"/>
      <c r="S683" s="153" t="n"/>
      <c r="T683" s="153" t="n"/>
      <c r="U683" s="153" t="n"/>
      <c r="V683" s="153" t="n"/>
      <c r="W683" s="153" t="n"/>
      <c r="X683" s="153" t="n"/>
      <c r="Y683" s="153" t="n"/>
      <c r="Z683" s="153" t="n"/>
    </row>
    <row r="684" ht="15.75" customHeight="1" s="154">
      <c r="I684" s="153" t="n"/>
      <c r="J684" s="153" t="n"/>
      <c r="K684" s="153" t="n"/>
      <c r="L684" s="153" t="n"/>
      <c r="M684" s="153" t="n"/>
      <c r="N684" s="153" t="n"/>
      <c r="O684" s="153" t="n"/>
      <c r="P684" s="153" t="n"/>
      <c r="Q684" s="153" t="n"/>
      <c r="R684" s="153" t="n"/>
      <c r="S684" s="153" t="n"/>
      <c r="T684" s="153" t="n"/>
      <c r="U684" s="153" t="n"/>
      <c r="V684" s="153" t="n"/>
      <c r="W684" s="153" t="n"/>
      <c r="X684" s="153" t="n"/>
      <c r="Y684" s="153" t="n"/>
      <c r="Z684" s="153" t="n"/>
    </row>
    <row r="685" ht="15.75" customHeight="1" s="154">
      <c r="I685" s="153" t="n"/>
      <c r="J685" s="153" t="n"/>
      <c r="K685" s="153" t="n"/>
      <c r="L685" s="153" t="n"/>
      <c r="M685" s="153" t="n"/>
      <c r="N685" s="153" t="n"/>
      <c r="O685" s="153" t="n"/>
      <c r="P685" s="153" t="n"/>
      <c r="Q685" s="153" t="n"/>
      <c r="R685" s="153" t="n"/>
      <c r="S685" s="153" t="n"/>
      <c r="T685" s="153" t="n"/>
      <c r="U685" s="153" t="n"/>
      <c r="V685" s="153" t="n"/>
      <c r="W685" s="153" t="n"/>
      <c r="X685" s="153" t="n"/>
      <c r="Y685" s="153" t="n"/>
      <c r="Z685" s="153" t="n"/>
    </row>
    <row r="686" ht="15.75" customHeight="1" s="154">
      <c r="I686" s="153" t="n"/>
      <c r="J686" s="153" t="n"/>
      <c r="K686" s="153" t="n"/>
      <c r="L686" s="153" t="n"/>
      <c r="M686" s="153" t="n"/>
      <c r="N686" s="153" t="n"/>
      <c r="O686" s="153" t="n"/>
      <c r="P686" s="153" t="n"/>
      <c r="Q686" s="153" t="n"/>
      <c r="R686" s="153" t="n"/>
      <c r="S686" s="153" t="n"/>
      <c r="T686" s="153" t="n"/>
      <c r="U686" s="153" t="n"/>
      <c r="V686" s="153" t="n"/>
      <c r="W686" s="153" t="n"/>
      <c r="X686" s="153" t="n"/>
      <c r="Y686" s="153" t="n"/>
      <c r="Z686" s="153" t="n"/>
    </row>
    <row r="687" ht="15.75" customHeight="1" s="154">
      <c r="I687" s="153" t="n"/>
      <c r="J687" s="153" t="n"/>
      <c r="K687" s="153" t="n"/>
      <c r="L687" s="153" t="n"/>
      <c r="M687" s="153" t="n"/>
      <c r="N687" s="153" t="n"/>
      <c r="O687" s="153" t="n"/>
      <c r="P687" s="153" t="n"/>
      <c r="Q687" s="153" t="n"/>
      <c r="R687" s="153" t="n"/>
      <c r="S687" s="153" t="n"/>
      <c r="T687" s="153" t="n"/>
      <c r="U687" s="153" t="n"/>
      <c r="V687" s="153" t="n"/>
      <c r="W687" s="153" t="n"/>
      <c r="X687" s="153" t="n"/>
      <c r="Y687" s="153" t="n"/>
      <c r="Z687" s="153" t="n"/>
    </row>
    <row r="688" ht="15.75" customHeight="1" s="154">
      <c r="I688" s="153" t="n"/>
      <c r="J688" s="153" t="n"/>
      <c r="K688" s="153" t="n"/>
      <c r="L688" s="153" t="n"/>
      <c r="M688" s="153" t="n"/>
      <c r="N688" s="153" t="n"/>
      <c r="O688" s="153" t="n"/>
      <c r="P688" s="153" t="n"/>
      <c r="Q688" s="153" t="n"/>
      <c r="R688" s="153" t="n"/>
      <c r="S688" s="153" t="n"/>
      <c r="T688" s="153" t="n"/>
      <c r="U688" s="153" t="n"/>
      <c r="V688" s="153" t="n"/>
      <c r="W688" s="153" t="n"/>
      <c r="X688" s="153" t="n"/>
      <c r="Y688" s="153" t="n"/>
      <c r="Z688" s="153" t="n"/>
    </row>
    <row r="689" ht="15.75" customHeight="1" s="154">
      <c r="I689" s="153" t="n"/>
      <c r="J689" s="153" t="n"/>
      <c r="K689" s="153" t="n"/>
      <c r="L689" s="153" t="n"/>
      <c r="M689" s="153" t="n"/>
      <c r="N689" s="153" t="n"/>
      <c r="O689" s="153" t="n"/>
      <c r="P689" s="153" t="n"/>
      <c r="Q689" s="153" t="n"/>
      <c r="R689" s="153" t="n"/>
      <c r="S689" s="153" t="n"/>
      <c r="T689" s="153" t="n"/>
      <c r="U689" s="153" t="n"/>
      <c r="V689" s="153" t="n"/>
      <c r="W689" s="153" t="n"/>
      <c r="X689" s="153" t="n"/>
      <c r="Y689" s="153" t="n"/>
      <c r="Z689" s="153" t="n"/>
    </row>
    <row r="690" ht="15.75" customHeight="1" s="154">
      <c r="I690" s="153" t="n"/>
      <c r="J690" s="153" t="n"/>
      <c r="K690" s="153" t="n"/>
      <c r="L690" s="153" t="n"/>
      <c r="M690" s="153" t="n"/>
      <c r="N690" s="153" t="n"/>
      <c r="O690" s="153" t="n"/>
      <c r="P690" s="153" t="n"/>
      <c r="Q690" s="153" t="n"/>
      <c r="R690" s="153" t="n"/>
      <c r="S690" s="153" t="n"/>
      <c r="T690" s="153" t="n"/>
      <c r="U690" s="153" t="n"/>
      <c r="V690" s="153" t="n"/>
      <c r="W690" s="153" t="n"/>
      <c r="X690" s="153" t="n"/>
      <c r="Y690" s="153" t="n"/>
      <c r="Z690" s="153" t="n"/>
    </row>
    <row r="691" ht="15.75" customHeight="1" s="154">
      <c r="I691" s="153" t="n"/>
      <c r="J691" s="153" t="n"/>
      <c r="K691" s="153" t="n"/>
      <c r="L691" s="153" t="n"/>
      <c r="M691" s="153" t="n"/>
      <c r="N691" s="153" t="n"/>
      <c r="O691" s="153" t="n"/>
      <c r="P691" s="153" t="n"/>
      <c r="Q691" s="153" t="n"/>
      <c r="R691" s="153" t="n"/>
      <c r="S691" s="153" t="n"/>
      <c r="T691" s="153" t="n"/>
      <c r="U691" s="153" t="n"/>
      <c r="V691" s="153" t="n"/>
      <c r="W691" s="153" t="n"/>
      <c r="X691" s="153" t="n"/>
      <c r="Y691" s="153" t="n"/>
      <c r="Z691" s="153" t="n"/>
    </row>
    <row r="692" ht="15.75" customHeight="1" s="154">
      <c r="I692" s="153" t="n"/>
      <c r="J692" s="153" t="n"/>
      <c r="K692" s="153" t="n"/>
      <c r="L692" s="153" t="n"/>
      <c r="M692" s="153" t="n"/>
      <c r="N692" s="153" t="n"/>
      <c r="O692" s="153" t="n"/>
      <c r="P692" s="153" t="n"/>
      <c r="Q692" s="153" t="n"/>
      <c r="R692" s="153" t="n"/>
      <c r="S692" s="153" t="n"/>
      <c r="T692" s="153" t="n"/>
      <c r="U692" s="153" t="n"/>
      <c r="V692" s="153" t="n"/>
      <c r="W692" s="153" t="n"/>
      <c r="X692" s="153" t="n"/>
      <c r="Y692" s="153" t="n"/>
      <c r="Z692" s="153" t="n"/>
    </row>
    <row r="693" ht="15.75" customHeight="1" s="154">
      <c r="I693" s="153" t="n"/>
      <c r="J693" s="153" t="n"/>
      <c r="K693" s="153" t="n"/>
      <c r="L693" s="153" t="n"/>
      <c r="M693" s="153" t="n"/>
      <c r="N693" s="153" t="n"/>
      <c r="O693" s="153" t="n"/>
      <c r="P693" s="153" t="n"/>
      <c r="Q693" s="153" t="n"/>
      <c r="R693" s="153" t="n"/>
      <c r="S693" s="153" t="n"/>
      <c r="T693" s="153" t="n"/>
      <c r="U693" s="153" t="n"/>
      <c r="V693" s="153" t="n"/>
      <c r="W693" s="153" t="n"/>
      <c r="X693" s="153" t="n"/>
      <c r="Y693" s="153" t="n"/>
      <c r="Z693" s="153" t="n"/>
    </row>
    <row r="694" ht="15.75" customHeight="1" s="154">
      <c r="I694" s="153" t="n"/>
      <c r="J694" s="153" t="n"/>
      <c r="K694" s="153" t="n"/>
      <c r="L694" s="153" t="n"/>
      <c r="M694" s="153" t="n"/>
      <c r="N694" s="153" t="n"/>
      <c r="O694" s="153" t="n"/>
      <c r="P694" s="153" t="n"/>
      <c r="Q694" s="153" t="n"/>
      <c r="R694" s="153" t="n"/>
      <c r="S694" s="153" t="n"/>
      <c r="T694" s="153" t="n"/>
      <c r="U694" s="153" t="n"/>
      <c r="V694" s="153" t="n"/>
      <c r="W694" s="153" t="n"/>
      <c r="X694" s="153" t="n"/>
      <c r="Y694" s="153" t="n"/>
      <c r="Z694" s="153" t="n"/>
    </row>
    <row r="695" ht="15.75" customHeight="1" s="154">
      <c r="I695" s="153" t="n"/>
      <c r="J695" s="153" t="n"/>
      <c r="K695" s="153" t="n"/>
      <c r="L695" s="153" t="n"/>
      <c r="M695" s="153" t="n"/>
      <c r="N695" s="153" t="n"/>
      <c r="O695" s="153" t="n"/>
      <c r="P695" s="153" t="n"/>
      <c r="Q695" s="153" t="n"/>
      <c r="R695" s="153" t="n"/>
      <c r="S695" s="153" t="n"/>
      <c r="T695" s="153" t="n"/>
      <c r="U695" s="153" t="n"/>
      <c r="V695" s="153" t="n"/>
      <c r="W695" s="153" t="n"/>
      <c r="X695" s="153" t="n"/>
      <c r="Y695" s="153" t="n"/>
      <c r="Z695" s="153" t="n"/>
    </row>
    <row r="696" ht="15.75" customHeight="1" s="154">
      <c r="I696" s="153" t="n"/>
      <c r="J696" s="153" t="n"/>
      <c r="K696" s="153" t="n"/>
      <c r="L696" s="153" t="n"/>
      <c r="M696" s="153" t="n"/>
      <c r="N696" s="153" t="n"/>
      <c r="O696" s="153" t="n"/>
      <c r="P696" s="153" t="n"/>
      <c r="Q696" s="153" t="n"/>
      <c r="R696" s="153" t="n"/>
      <c r="S696" s="153" t="n"/>
      <c r="T696" s="153" t="n"/>
      <c r="U696" s="153" t="n"/>
      <c r="V696" s="153" t="n"/>
      <c r="W696" s="153" t="n"/>
      <c r="X696" s="153" t="n"/>
      <c r="Y696" s="153" t="n"/>
      <c r="Z696" s="153" t="n"/>
    </row>
    <row r="697" ht="15.75" customHeight="1" s="154">
      <c r="I697" s="153" t="n"/>
      <c r="J697" s="153" t="n"/>
      <c r="K697" s="153" t="n"/>
      <c r="L697" s="153" t="n"/>
      <c r="M697" s="153" t="n"/>
      <c r="N697" s="153" t="n"/>
      <c r="O697" s="153" t="n"/>
      <c r="P697" s="153" t="n"/>
      <c r="Q697" s="153" t="n"/>
      <c r="R697" s="153" t="n"/>
      <c r="S697" s="153" t="n"/>
      <c r="T697" s="153" t="n"/>
      <c r="U697" s="153" t="n"/>
      <c r="V697" s="153" t="n"/>
      <c r="W697" s="153" t="n"/>
      <c r="X697" s="153" t="n"/>
      <c r="Y697" s="153" t="n"/>
      <c r="Z697" s="153" t="n"/>
    </row>
    <row r="698" ht="15.75" customHeight="1" s="154">
      <c r="I698" s="153" t="n"/>
      <c r="J698" s="153" t="n"/>
      <c r="K698" s="153" t="n"/>
      <c r="L698" s="153" t="n"/>
      <c r="M698" s="153" t="n"/>
      <c r="N698" s="153" t="n"/>
      <c r="O698" s="153" t="n"/>
      <c r="P698" s="153" t="n"/>
      <c r="Q698" s="153" t="n"/>
      <c r="R698" s="153" t="n"/>
      <c r="S698" s="153" t="n"/>
      <c r="T698" s="153" t="n"/>
      <c r="U698" s="153" t="n"/>
      <c r="V698" s="153" t="n"/>
      <c r="W698" s="153" t="n"/>
      <c r="X698" s="153" t="n"/>
      <c r="Y698" s="153" t="n"/>
      <c r="Z698" s="153" t="n"/>
    </row>
    <row r="699" ht="15.75" customHeight="1" s="154">
      <c r="I699" s="153" t="n"/>
      <c r="J699" s="153" t="n"/>
      <c r="K699" s="153" t="n"/>
      <c r="L699" s="153" t="n"/>
      <c r="M699" s="153" t="n"/>
      <c r="N699" s="153" t="n"/>
      <c r="O699" s="153" t="n"/>
      <c r="P699" s="153" t="n"/>
      <c r="Q699" s="153" t="n"/>
      <c r="R699" s="153" t="n"/>
      <c r="S699" s="153" t="n"/>
      <c r="T699" s="153" t="n"/>
      <c r="U699" s="153" t="n"/>
      <c r="V699" s="153" t="n"/>
      <c r="W699" s="153" t="n"/>
      <c r="X699" s="153" t="n"/>
      <c r="Y699" s="153" t="n"/>
      <c r="Z699" s="153" t="n"/>
    </row>
    <row r="700" ht="15.75" customHeight="1" s="154">
      <c r="I700" s="153" t="n"/>
      <c r="J700" s="153" t="n"/>
      <c r="K700" s="153" t="n"/>
      <c r="L700" s="153" t="n"/>
      <c r="M700" s="153" t="n"/>
      <c r="N700" s="153" t="n"/>
      <c r="O700" s="153" t="n"/>
      <c r="P700" s="153" t="n"/>
      <c r="Q700" s="153" t="n"/>
      <c r="R700" s="153" t="n"/>
      <c r="S700" s="153" t="n"/>
      <c r="T700" s="153" t="n"/>
      <c r="U700" s="153" t="n"/>
      <c r="V700" s="153" t="n"/>
      <c r="W700" s="153" t="n"/>
      <c r="X700" s="153" t="n"/>
      <c r="Y700" s="153" t="n"/>
      <c r="Z700" s="153" t="n"/>
    </row>
    <row r="701" ht="15.75" customHeight="1" s="154">
      <c r="I701" s="153" t="n"/>
      <c r="J701" s="153" t="n"/>
      <c r="K701" s="153" t="n"/>
      <c r="L701" s="153" t="n"/>
      <c r="M701" s="153" t="n"/>
      <c r="N701" s="153" t="n"/>
      <c r="O701" s="153" t="n"/>
      <c r="P701" s="153" t="n"/>
      <c r="Q701" s="153" t="n"/>
      <c r="R701" s="153" t="n"/>
      <c r="S701" s="153" t="n"/>
      <c r="T701" s="153" t="n"/>
      <c r="U701" s="153" t="n"/>
      <c r="V701" s="153" t="n"/>
      <c r="W701" s="153" t="n"/>
      <c r="X701" s="153" t="n"/>
      <c r="Y701" s="153" t="n"/>
      <c r="Z701" s="153" t="n"/>
    </row>
    <row r="702" ht="15.75" customHeight="1" s="154">
      <c r="I702" s="153" t="n"/>
      <c r="J702" s="153" t="n"/>
      <c r="K702" s="153" t="n"/>
      <c r="L702" s="153" t="n"/>
      <c r="M702" s="153" t="n"/>
      <c r="N702" s="153" t="n"/>
      <c r="O702" s="153" t="n"/>
      <c r="P702" s="153" t="n"/>
      <c r="Q702" s="153" t="n"/>
      <c r="R702" s="153" t="n"/>
      <c r="S702" s="153" t="n"/>
      <c r="T702" s="153" t="n"/>
      <c r="U702" s="153" t="n"/>
      <c r="V702" s="153" t="n"/>
      <c r="W702" s="153" t="n"/>
      <c r="X702" s="153" t="n"/>
      <c r="Y702" s="153" t="n"/>
      <c r="Z702" s="153" t="n"/>
    </row>
    <row r="703" ht="15.75" customHeight="1" s="154">
      <c r="I703" s="153" t="n"/>
      <c r="J703" s="153" t="n"/>
      <c r="K703" s="153" t="n"/>
      <c r="L703" s="153" t="n"/>
      <c r="M703" s="153" t="n"/>
      <c r="N703" s="153" t="n"/>
      <c r="O703" s="153" t="n"/>
      <c r="P703" s="153" t="n"/>
      <c r="Q703" s="153" t="n"/>
      <c r="R703" s="153" t="n"/>
      <c r="S703" s="153" t="n"/>
      <c r="T703" s="153" t="n"/>
      <c r="U703" s="153" t="n"/>
      <c r="V703" s="153" t="n"/>
      <c r="W703" s="153" t="n"/>
      <c r="X703" s="153" t="n"/>
      <c r="Y703" s="153" t="n"/>
      <c r="Z703" s="153" t="n"/>
    </row>
    <row r="704" ht="15.75" customHeight="1" s="154">
      <c r="I704" s="153" t="n"/>
      <c r="J704" s="153" t="n"/>
      <c r="K704" s="153" t="n"/>
      <c r="L704" s="153" t="n"/>
      <c r="M704" s="153" t="n"/>
      <c r="N704" s="153" t="n"/>
      <c r="O704" s="153" t="n"/>
      <c r="P704" s="153" t="n"/>
      <c r="Q704" s="153" t="n"/>
      <c r="R704" s="153" t="n"/>
      <c r="S704" s="153" t="n"/>
      <c r="T704" s="153" t="n"/>
      <c r="U704" s="153" t="n"/>
      <c r="V704" s="153" t="n"/>
      <c r="W704" s="153" t="n"/>
      <c r="X704" s="153" t="n"/>
      <c r="Y704" s="153" t="n"/>
      <c r="Z704" s="153" t="n"/>
    </row>
    <row r="705" ht="15.75" customHeight="1" s="154">
      <c r="I705" s="153" t="n"/>
      <c r="J705" s="153" t="n"/>
      <c r="K705" s="153" t="n"/>
      <c r="L705" s="153" t="n"/>
      <c r="M705" s="153" t="n"/>
      <c r="N705" s="153" t="n"/>
      <c r="O705" s="153" t="n"/>
      <c r="P705" s="153" t="n"/>
      <c r="Q705" s="153" t="n"/>
      <c r="R705" s="153" t="n"/>
      <c r="S705" s="153" t="n"/>
      <c r="T705" s="153" t="n"/>
      <c r="U705" s="153" t="n"/>
      <c r="V705" s="153" t="n"/>
      <c r="W705" s="153" t="n"/>
      <c r="X705" s="153" t="n"/>
      <c r="Y705" s="153" t="n"/>
      <c r="Z705" s="153" t="n"/>
    </row>
    <row r="706" ht="15.75" customHeight="1" s="154">
      <c r="I706" s="153" t="n"/>
      <c r="J706" s="153" t="n"/>
      <c r="K706" s="153" t="n"/>
      <c r="L706" s="153" t="n"/>
      <c r="M706" s="153" t="n"/>
      <c r="N706" s="153" t="n"/>
      <c r="O706" s="153" t="n"/>
      <c r="P706" s="153" t="n"/>
      <c r="Q706" s="153" t="n"/>
      <c r="R706" s="153" t="n"/>
      <c r="S706" s="153" t="n"/>
      <c r="T706" s="153" t="n"/>
      <c r="U706" s="153" t="n"/>
      <c r="V706" s="153" t="n"/>
      <c r="W706" s="153" t="n"/>
      <c r="X706" s="153" t="n"/>
      <c r="Y706" s="153" t="n"/>
      <c r="Z706" s="153" t="n"/>
    </row>
    <row r="707" ht="15.75" customHeight="1" s="154">
      <c r="I707" s="153" t="n"/>
      <c r="J707" s="153" t="n"/>
      <c r="K707" s="153" t="n"/>
      <c r="L707" s="153" t="n"/>
      <c r="M707" s="153" t="n"/>
      <c r="N707" s="153" t="n"/>
      <c r="O707" s="153" t="n"/>
      <c r="P707" s="153" t="n"/>
      <c r="Q707" s="153" t="n"/>
      <c r="R707" s="153" t="n"/>
      <c r="S707" s="153" t="n"/>
      <c r="T707" s="153" t="n"/>
      <c r="U707" s="153" t="n"/>
      <c r="V707" s="153" t="n"/>
      <c r="W707" s="153" t="n"/>
      <c r="X707" s="153" t="n"/>
      <c r="Y707" s="153" t="n"/>
      <c r="Z707" s="153" t="n"/>
    </row>
    <row r="708" ht="15.75" customHeight="1" s="154">
      <c r="I708" s="153" t="n"/>
      <c r="J708" s="153" t="n"/>
      <c r="K708" s="153" t="n"/>
      <c r="L708" s="153" t="n"/>
      <c r="M708" s="153" t="n"/>
      <c r="N708" s="153" t="n"/>
      <c r="O708" s="153" t="n"/>
      <c r="P708" s="153" t="n"/>
      <c r="Q708" s="153" t="n"/>
      <c r="R708" s="153" t="n"/>
      <c r="S708" s="153" t="n"/>
      <c r="T708" s="153" t="n"/>
      <c r="U708" s="153" t="n"/>
      <c r="V708" s="153" t="n"/>
      <c r="W708" s="153" t="n"/>
      <c r="X708" s="153" t="n"/>
      <c r="Y708" s="153" t="n"/>
      <c r="Z708" s="153" t="n"/>
    </row>
    <row r="709" ht="15.75" customHeight="1" s="154">
      <c r="I709" s="153" t="n"/>
      <c r="J709" s="153" t="n"/>
      <c r="K709" s="153" t="n"/>
      <c r="L709" s="153" t="n"/>
      <c r="M709" s="153" t="n"/>
      <c r="N709" s="153" t="n"/>
      <c r="O709" s="153" t="n"/>
      <c r="P709" s="153" t="n"/>
      <c r="Q709" s="153" t="n"/>
      <c r="R709" s="153" t="n"/>
      <c r="S709" s="153" t="n"/>
      <c r="T709" s="153" t="n"/>
      <c r="U709" s="153" t="n"/>
      <c r="V709" s="153" t="n"/>
      <c r="W709" s="153" t="n"/>
      <c r="X709" s="153" t="n"/>
      <c r="Y709" s="153" t="n"/>
      <c r="Z709" s="153" t="n"/>
    </row>
    <row r="710" ht="15.75" customHeight="1" s="154">
      <c r="I710" s="153" t="n"/>
      <c r="J710" s="153" t="n"/>
      <c r="K710" s="153" t="n"/>
      <c r="L710" s="153" t="n"/>
      <c r="M710" s="153" t="n"/>
      <c r="N710" s="153" t="n"/>
      <c r="O710" s="153" t="n"/>
      <c r="P710" s="153" t="n"/>
      <c r="Q710" s="153" t="n"/>
      <c r="R710" s="153" t="n"/>
      <c r="S710" s="153" t="n"/>
      <c r="T710" s="153" t="n"/>
      <c r="U710" s="153" t="n"/>
      <c r="V710" s="153" t="n"/>
      <c r="W710" s="153" t="n"/>
      <c r="X710" s="153" t="n"/>
      <c r="Y710" s="153" t="n"/>
      <c r="Z710" s="153" t="n"/>
    </row>
    <row r="711" ht="15.75" customHeight="1" s="154">
      <c r="I711" s="153" t="n"/>
      <c r="J711" s="153" t="n"/>
      <c r="K711" s="153" t="n"/>
      <c r="L711" s="153" t="n"/>
      <c r="M711" s="153" t="n"/>
      <c r="N711" s="153" t="n"/>
      <c r="O711" s="153" t="n"/>
      <c r="P711" s="153" t="n"/>
      <c r="Q711" s="153" t="n"/>
      <c r="R711" s="153" t="n"/>
      <c r="S711" s="153" t="n"/>
      <c r="T711" s="153" t="n"/>
      <c r="U711" s="153" t="n"/>
      <c r="V711" s="153" t="n"/>
      <c r="W711" s="153" t="n"/>
      <c r="X711" s="153" t="n"/>
      <c r="Y711" s="153" t="n"/>
      <c r="Z711" s="153" t="n"/>
    </row>
    <row r="712" ht="15.75" customHeight="1" s="154">
      <c r="I712" s="153" t="n"/>
      <c r="J712" s="153" t="n"/>
      <c r="K712" s="153" t="n"/>
      <c r="L712" s="153" t="n"/>
      <c r="M712" s="153" t="n"/>
      <c r="N712" s="153" t="n"/>
      <c r="O712" s="153" t="n"/>
      <c r="P712" s="153" t="n"/>
      <c r="Q712" s="153" t="n"/>
      <c r="R712" s="153" t="n"/>
      <c r="S712" s="153" t="n"/>
      <c r="T712" s="153" t="n"/>
      <c r="U712" s="153" t="n"/>
      <c r="V712" s="153" t="n"/>
      <c r="W712" s="153" t="n"/>
      <c r="X712" s="153" t="n"/>
      <c r="Y712" s="153" t="n"/>
      <c r="Z712" s="153" t="n"/>
    </row>
    <row r="713" ht="15.75" customHeight="1" s="154">
      <c r="I713" s="153" t="n"/>
      <c r="J713" s="153" t="n"/>
      <c r="K713" s="153" t="n"/>
      <c r="L713" s="153" t="n"/>
      <c r="M713" s="153" t="n"/>
      <c r="N713" s="153" t="n"/>
      <c r="O713" s="153" t="n"/>
      <c r="P713" s="153" t="n"/>
      <c r="Q713" s="153" t="n"/>
      <c r="R713" s="153" t="n"/>
      <c r="S713" s="153" t="n"/>
      <c r="T713" s="153" t="n"/>
      <c r="U713" s="153" t="n"/>
      <c r="V713" s="153" t="n"/>
      <c r="W713" s="153" t="n"/>
      <c r="X713" s="153" t="n"/>
      <c r="Y713" s="153" t="n"/>
      <c r="Z713" s="153" t="n"/>
    </row>
    <row r="714" ht="15.75" customHeight="1" s="154">
      <c r="I714" s="153" t="n"/>
      <c r="J714" s="153" t="n"/>
      <c r="K714" s="153" t="n"/>
      <c r="L714" s="153" t="n"/>
      <c r="M714" s="153" t="n"/>
      <c r="N714" s="153" t="n"/>
      <c r="O714" s="153" t="n"/>
      <c r="P714" s="153" t="n"/>
      <c r="Q714" s="153" t="n"/>
      <c r="R714" s="153" t="n"/>
      <c r="S714" s="153" t="n"/>
      <c r="T714" s="153" t="n"/>
      <c r="U714" s="153" t="n"/>
      <c r="V714" s="153" t="n"/>
      <c r="W714" s="153" t="n"/>
      <c r="X714" s="153" t="n"/>
      <c r="Y714" s="153" t="n"/>
      <c r="Z714" s="153" t="n"/>
    </row>
    <row r="715" ht="15.75" customHeight="1" s="154">
      <c r="I715" s="153" t="n"/>
      <c r="J715" s="153" t="n"/>
      <c r="K715" s="153" t="n"/>
      <c r="L715" s="153" t="n"/>
      <c r="M715" s="153" t="n"/>
      <c r="N715" s="153" t="n"/>
      <c r="O715" s="153" t="n"/>
      <c r="P715" s="153" t="n"/>
      <c r="Q715" s="153" t="n"/>
      <c r="R715" s="153" t="n"/>
      <c r="S715" s="153" t="n"/>
      <c r="T715" s="153" t="n"/>
      <c r="U715" s="153" t="n"/>
      <c r="V715" s="153" t="n"/>
      <c r="W715" s="153" t="n"/>
      <c r="X715" s="153" t="n"/>
      <c r="Y715" s="153" t="n"/>
      <c r="Z715" s="153" t="n"/>
    </row>
    <row r="716" ht="15.75" customHeight="1" s="154">
      <c r="I716" s="153" t="n"/>
      <c r="J716" s="153" t="n"/>
      <c r="K716" s="153" t="n"/>
      <c r="L716" s="153" t="n"/>
      <c r="M716" s="153" t="n"/>
      <c r="N716" s="153" t="n"/>
      <c r="O716" s="153" t="n"/>
      <c r="P716" s="153" t="n"/>
      <c r="Q716" s="153" t="n"/>
      <c r="R716" s="153" t="n"/>
      <c r="S716" s="153" t="n"/>
      <c r="T716" s="153" t="n"/>
      <c r="U716" s="153" t="n"/>
      <c r="V716" s="153" t="n"/>
      <c r="W716" s="153" t="n"/>
      <c r="X716" s="153" t="n"/>
      <c r="Y716" s="153" t="n"/>
      <c r="Z716" s="153" t="n"/>
    </row>
    <row r="717" ht="15.75" customHeight="1" s="154">
      <c r="I717" s="153" t="n"/>
      <c r="J717" s="153" t="n"/>
      <c r="K717" s="153" t="n"/>
      <c r="L717" s="153" t="n"/>
      <c r="M717" s="153" t="n"/>
      <c r="N717" s="153" t="n"/>
      <c r="O717" s="153" t="n"/>
      <c r="P717" s="153" t="n"/>
      <c r="Q717" s="153" t="n"/>
      <c r="R717" s="153" t="n"/>
      <c r="S717" s="153" t="n"/>
      <c r="T717" s="153" t="n"/>
      <c r="U717" s="153" t="n"/>
      <c r="V717" s="153" t="n"/>
      <c r="W717" s="153" t="n"/>
      <c r="X717" s="153" t="n"/>
      <c r="Y717" s="153" t="n"/>
      <c r="Z717" s="153" t="n"/>
    </row>
    <row r="718" ht="15.75" customHeight="1" s="154">
      <c r="I718" s="153" t="n"/>
      <c r="J718" s="153" t="n"/>
      <c r="K718" s="153" t="n"/>
      <c r="L718" s="153" t="n"/>
      <c r="M718" s="153" t="n"/>
      <c r="N718" s="153" t="n"/>
      <c r="O718" s="153" t="n"/>
      <c r="P718" s="153" t="n"/>
      <c r="Q718" s="153" t="n"/>
      <c r="R718" s="153" t="n"/>
      <c r="S718" s="153" t="n"/>
      <c r="T718" s="153" t="n"/>
      <c r="U718" s="153" t="n"/>
      <c r="V718" s="153" t="n"/>
      <c r="W718" s="153" t="n"/>
      <c r="X718" s="153" t="n"/>
      <c r="Y718" s="153" t="n"/>
      <c r="Z718" s="153" t="n"/>
    </row>
    <row r="719" ht="15.75" customHeight="1" s="154">
      <c r="I719" s="153" t="n"/>
      <c r="J719" s="153" t="n"/>
      <c r="K719" s="153" t="n"/>
      <c r="L719" s="153" t="n"/>
      <c r="M719" s="153" t="n"/>
      <c r="N719" s="153" t="n"/>
      <c r="O719" s="153" t="n"/>
      <c r="P719" s="153" t="n"/>
      <c r="Q719" s="153" t="n"/>
      <c r="R719" s="153" t="n"/>
      <c r="S719" s="153" t="n"/>
      <c r="T719" s="153" t="n"/>
      <c r="U719" s="153" t="n"/>
      <c r="V719" s="153" t="n"/>
      <c r="W719" s="153" t="n"/>
      <c r="X719" s="153" t="n"/>
      <c r="Y719" s="153" t="n"/>
      <c r="Z719" s="153" t="n"/>
    </row>
    <row r="720" ht="15.75" customHeight="1" s="154">
      <c r="I720" s="153" t="n"/>
      <c r="J720" s="153" t="n"/>
      <c r="K720" s="153" t="n"/>
      <c r="L720" s="153" t="n"/>
      <c r="M720" s="153" t="n"/>
      <c r="N720" s="153" t="n"/>
      <c r="O720" s="153" t="n"/>
      <c r="P720" s="153" t="n"/>
      <c r="Q720" s="153" t="n"/>
      <c r="R720" s="153" t="n"/>
      <c r="S720" s="153" t="n"/>
      <c r="T720" s="153" t="n"/>
      <c r="U720" s="153" t="n"/>
      <c r="V720" s="153" t="n"/>
      <c r="W720" s="153" t="n"/>
      <c r="X720" s="153" t="n"/>
      <c r="Y720" s="153" t="n"/>
      <c r="Z720" s="153" t="n"/>
    </row>
    <row r="721" ht="15.75" customHeight="1" s="154">
      <c r="I721" s="153" t="n"/>
      <c r="J721" s="153" t="n"/>
      <c r="K721" s="153" t="n"/>
      <c r="L721" s="153" t="n"/>
      <c r="M721" s="153" t="n"/>
      <c r="N721" s="153" t="n"/>
      <c r="O721" s="153" t="n"/>
      <c r="P721" s="153" t="n"/>
      <c r="Q721" s="153" t="n"/>
      <c r="R721" s="153" t="n"/>
      <c r="S721" s="153" t="n"/>
      <c r="T721" s="153" t="n"/>
      <c r="U721" s="153" t="n"/>
      <c r="V721" s="153" t="n"/>
      <c r="W721" s="153" t="n"/>
      <c r="X721" s="153" t="n"/>
      <c r="Y721" s="153" t="n"/>
      <c r="Z721" s="153" t="n"/>
    </row>
    <row r="722" ht="15.75" customHeight="1" s="154">
      <c r="I722" s="153" t="n"/>
      <c r="J722" s="153" t="n"/>
      <c r="K722" s="153" t="n"/>
      <c r="L722" s="153" t="n"/>
      <c r="M722" s="153" t="n"/>
      <c r="N722" s="153" t="n"/>
      <c r="O722" s="153" t="n"/>
      <c r="P722" s="153" t="n"/>
      <c r="Q722" s="153" t="n"/>
      <c r="R722" s="153" t="n"/>
      <c r="S722" s="153" t="n"/>
      <c r="T722" s="153" t="n"/>
      <c r="U722" s="153" t="n"/>
      <c r="V722" s="153" t="n"/>
      <c r="W722" s="153" t="n"/>
      <c r="X722" s="153" t="n"/>
      <c r="Y722" s="153" t="n"/>
      <c r="Z722" s="153" t="n"/>
    </row>
    <row r="723" ht="15.75" customHeight="1" s="154">
      <c r="I723" s="153" t="n"/>
      <c r="J723" s="153" t="n"/>
      <c r="K723" s="153" t="n"/>
      <c r="L723" s="153" t="n"/>
      <c r="M723" s="153" t="n"/>
      <c r="N723" s="153" t="n"/>
      <c r="O723" s="153" t="n"/>
      <c r="P723" s="153" t="n"/>
      <c r="Q723" s="153" t="n"/>
      <c r="R723" s="153" t="n"/>
      <c r="S723" s="153" t="n"/>
      <c r="T723" s="153" t="n"/>
      <c r="U723" s="153" t="n"/>
      <c r="V723" s="153" t="n"/>
      <c r="W723" s="153" t="n"/>
      <c r="X723" s="153" t="n"/>
      <c r="Y723" s="153" t="n"/>
      <c r="Z723" s="153" t="n"/>
    </row>
    <row r="724" ht="15.75" customHeight="1" s="154">
      <c r="I724" s="153" t="n"/>
      <c r="J724" s="153" t="n"/>
      <c r="K724" s="153" t="n"/>
      <c r="L724" s="153" t="n"/>
      <c r="M724" s="153" t="n"/>
      <c r="N724" s="153" t="n"/>
      <c r="O724" s="153" t="n"/>
      <c r="P724" s="153" t="n"/>
      <c r="Q724" s="153" t="n"/>
      <c r="R724" s="153" t="n"/>
      <c r="S724" s="153" t="n"/>
      <c r="T724" s="153" t="n"/>
      <c r="U724" s="153" t="n"/>
      <c r="V724" s="153" t="n"/>
      <c r="W724" s="153" t="n"/>
      <c r="X724" s="153" t="n"/>
      <c r="Y724" s="153" t="n"/>
      <c r="Z724" s="153" t="n"/>
    </row>
    <row r="725" ht="15.75" customHeight="1" s="154">
      <c r="I725" s="153" t="n"/>
      <c r="J725" s="153" t="n"/>
      <c r="K725" s="153" t="n"/>
      <c r="L725" s="153" t="n"/>
      <c r="M725" s="153" t="n"/>
      <c r="N725" s="153" t="n"/>
      <c r="O725" s="153" t="n"/>
      <c r="P725" s="153" t="n"/>
      <c r="Q725" s="153" t="n"/>
      <c r="R725" s="153" t="n"/>
      <c r="S725" s="153" t="n"/>
      <c r="T725" s="153" t="n"/>
      <c r="U725" s="153" t="n"/>
      <c r="V725" s="153" t="n"/>
      <c r="W725" s="153" t="n"/>
      <c r="X725" s="153" t="n"/>
      <c r="Y725" s="153" t="n"/>
      <c r="Z725" s="153" t="n"/>
    </row>
    <row r="726" ht="15.75" customHeight="1" s="154">
      <c r="I726" s="153" t="n"/>
      <c r="J726" s="153" t="n"/>
      <c r="K726" s="153" t="n"/>
      <c r="L726" s="153" t="n"/>
      <c r="M726" s="153" t="n"/>
      <c r="N726" s="153" t="n"/>
      <c r="O726" s="153" t="n"/>
      <c r="P726" s="153" t="n"/>
      <c r="Q726" s="153" t="n"/>
      <c r="R726" s="153" t="n"/>
      <c r="S726" s="153" t="n"/>
      <c r="T726" s="153" t="n"/>
      <c r="U726" s="153" t="n"/>
      <c r="V726" s="153" t="n"/>
      <c r="W726" s="153" t="n"/>
      <c r="X726" s="153" t="n"/>
      <c r="Y726" s="153" t="n"/>
      <c r="Z726" s="153" t="n"/>
    </row>
    <row r="727" ht="15.75" customHeight="1" s="154">
      <c r="I727" s="153" t="n"/>
      <c r="J727" s="153" t="n"/>
      <c r="K727" s="153" t="n"/>
      <c r="L727" s="153" t="n"/>
      <c r="M727" s="153" t="n"/>
      <c r="N727" s="153" t="n"/>
      <c r="O727" s="153" t="n"/>
      <c r="P727" s="153" t="n"/>
      <c r="Q727" s="153" t="n"/>
      <c r="R727" s="153" t="n"/>
      <c r="S727" s="153" t="n"/>
      <c r="T727" s="153" t="n"/>
      <c r="U727" s="153" t="n"/>
      <c r="V727" s="153" t="n"/>
      <c r="W727" s="153" t="n"/>
      <c r="X727" s="153" t="n"/>
      <c r="Y727" s="153" t="n"/>
      <c r="Z727" s="153" t="n"/>
    </row>
    <row r="728" ht="15.75" customHeight="1" s="154">
      <c r="I728" s="153" t="n"/>
      <c r="J728" s="153" t="n"/>
      <c r="K728" s="153" t="n"/>
      <c r="L728" s="153" t="n"/>
      <c r="M728" s="153" t="n"/>
      <c r="N728" s="153" t="n"/>
      <c r="O728" s="153" t="n"/>
      <c r="P728" s="153" t="n"/>
      <c r="Q728" s="153" t="n"/>
      <c r="R728" s="153" t="n"/>
      <c r="S728" s="153" t="n"/>
      <c r="T728" s="153" t="n"/>
      <c r="U728" s="153" t="n"/>
      <c r="V728" s="153" t="n"/>
      <c r="W728" s="153" t="n"/>
      <c r="X728" s="153" t="n"/>
      <c r="Y728" s="153" t="n"/>
      <c r="Z728" s="153" t="n"/>
    </row>
    <row r="729" ht="15.75" customHeight="1" s="154">
      <c r="I729" s="153" t="n"/>
      <c r="J729" s="153" t="n"/>
      <c r="K729" s="153" t="n"/>
      <c r="L729" s="153" t="n"/>
      <c r="M729" s="153" t="n"/>
      <c r="N729" s="153" t="n"/>
      <c r="O729" s="153" t="n"/>
      <c r="P729" s="153" t="n"/>
      <c r="Q729" s="153" t="n"/>
      <c r="R729" s="153" t="n"/>
      <c r="S729" s="153" t="n"/>
      <c r="T729" s="153" t="n"/>
      <c r="U729" s="153" t="n"/>
      <c r="V729" s="153" t="n"/>
      <c r="W729" s="153" t="n"/>
      <c r="X729" s="153" t="n"/>
      <c r="Y729" s="153" t="n"/>
      <c r="Z729" s="153" t="n"/>
    </row>
    <row r="730" ht="15.75" customHeight="1" s="154">
      <c r="I730" s="153" t="n"/>
      <c r="J730" s="153" t="n"/>
      <c r="K730" s="153" t="n"/>
      <c r="L730" s="153" t="n"/>
      <c r="M730" s="153" t="n"/>
      <c r="N730" s="153" t="n"/>
      <c r="O730" s="153" t="n"/>
      <c r="P730" s="153" t="n"/>
      <c r="Q730" s="153" t="n"/>
      <c r="R730" s="153" t="n"/>
      <c r="S730" s="153" t="n"/>
      <c r="T730" s="153" t="n"/>
      <c r="U730" s="153" t="n"/>
      <c r="V730" s="153" t="n"/>
      <c r="W730" s="153" t="n"/>
      <c r="X730" s="153" t="n"/>
      <c r="Y730" s="153" t="n"/>
      <c r="Z730" s="153" t="n"/>
    </row>
    <row r="731" ht="15.75" customHeight="1" s="154">
      <c r="I731" s="153" t="n"/>
      <c r="J731" s="153" t="n"/>
      <c r="K731" s="153" t="n"/>
      <c r="L731" s="153" t="n"/>
      <c r="M731" s="153" t="n"/>
      <c r="N731" s="153" t="n"/>
      <c r="O731" s="153" t="n"/>
      <c r="P731" s="153" t="n"/>
      <c r="Q731" s="153" t="n"/>
      <c r="R731" s="153" t="n"/>
      <c r="S731" s="153" t="n"/>
      <c r="T731" s="153" t="n"/>
      <c r="U731" s="153" t="n"/>
      <c r="V731" s="153" t="n"/>
      <c r="W731" s="153" t="n"/>
      <c r="X731" s="153" t="n"/>
      <c r="Y731" s="153" t="n"/>
      <c r="Z731" s="153" t="n"/>
    </row>
    <row r="732" ht="15.75" customHeight="1" s="154">
      <c r="I732" s="153" t="n"/>
      <c r="J732" s="153" t="n"/>
      <c r="K732" s="153" t="n"/>
      <c r="L732" s="153" t="n"/>
      <c r="M732" s="153" t="n"/>
      <c r="N732" s="153" t="n"/>
      <c r="O732" s="153" t="n"/>
      <c r="P732" s="153" t="n"/>
      <c r="Q732" s="153" t="n"/>
      <c r="R732" s="153" t="n"/>
      <c r="S732" s="153" t="n"/>
      <c r="T732" s="153" t="n"/>
      <c r="U732" s="153" t="n"/>
      <c r="V732" s="153" t="n"/>
      <c r="W732" s="153" t="n"/>
      <c r="X732" s="153" t="n"/>
      <c r="Y732" s="153" t="n"/>
      <c r="Z732" s="153" t="n"/>
    </row>
    <row r="733" ht="15.75" customHeight="1" s="154">
      <c r="I733" s="153" t="n"/>
      <c r="J733" s="153" t="n"/>
      <c r="K733" s="153" t="n"/>
      <c r="L733" s="153" t="n"/>
      <c r="M733" s="153" t="n"/>
      <c r="N733" s="153" t="n"/>
      <c r="O733" s="153" t="n"/>
      <c r="P733" s="153" t="n"/>
      <c r="Q733" s="153" t="n"/>
      <c r="R733" s="153" t="n"/>
      <c r="S733" s="153" t="n"/>
      <c r="T733" s="153" t="n"/>
      <c r="U733" s="153" t="n"/>
      <c r="V733" s="153" t="n"/>
      <c r="W733" s="153" t="n"/>
      <c r="X733" s="153" t="n"/>
      <c r="Y733" s="153" t="n"/>
      <c r="Z733" s="153" t="n"/>
    </row>
    <row r="734" ht="15.75" customHeight="1" s="154">
      <c r="I734" s="153" t="n"/>
      <c r="J734" s="153" t="n"/>
      <c r="K734" s="153" t="n"/>
      <c r="L734" s="153" t="n"/>
      <c r="M734" s="153" t="n"/>
      <c r="N734" s="153" t="n"/>
      <c r="O734" s="153" t="n"/>
      <c r="P734" s="153" t="n"/>
      <c r="Q734" s="153" t="n"/>
      <c r="R734" s="153" t="n"/>
      <c r="S734" s="153" t="n"/>
      <c r="T734" s="153" t="n"/>
      <c r="U734" s="153" t="n"/>
      <c r="V734" s="153" t="n"/>
      <c r="W734" s="153" t="n"/>
      <c r="X734" s="153" t="n"/>
      <c r="Y734" s="153" t="n"/>
      <c r="Z734" s="153" t="n"/>
    </row>
    <row r="735" ht="15.75" customHeight="1" s="154">
      <c r="I735" s="153" t="n"/>
      <c r="J735" s="153" t="n"/>
      <c r="K735" s="153" t="n"/>
      <c r="L735" s="153" t="n"/>
      <c r="M735" s="153" t="n"/>
      <c r="N735" s="153" t="n"/>
      <c r="O735" s="153" t="n"/>
      <c r="P735" s="153" t="n"/>
      <c r="Q735" s="153" t="n"/>
      <c r="R735" s="153" t="n"/>
      <c r="S735" s="153" t="n"/>
      <c r="T735" s="153" t="n"/>
      <c r="U735" s="153" t="n"/>
      <c r="V735" s="153" t="n"/>
      <c r="W735" s="153" t="n"/>
      <c r="X735" s="153" t="n"/>
      <c r="Y735" s="153" t="n"/>
      <c r="Z735" s="153" t="n"/>
    </row>
    <row r="736" ht="15.75" customHeight="1" s="154">
      <c r="I736" s="153" t="n"/>
      <c r="J736" s="153" t="n"/>
      <c r="K736" s="153" t="n"/>
      <c r="L736" s="153" t="n"/>
      <c r="M736" s="153" t="n"/>
      <c r="N736" s="153" t="n"/>
      <c r="O736" s="153" t="n"/>
      <c r="P736" s="153" t="n"/>
      <c r="Q736" s="153" t="n"/>
      <c r="R736" s="153" t="n"/>
      <c r="S736" s="153" t="n"/>
      <c r="T736" s="153" t="n"/>
      <c r="U736" s="153" t="n"/>
      <c r="V736" s="153" t="n"/>
      <c r="W736" s="153" t="n"/>
      <c r="X736" s="153" t="n"/>
      <c r="Y736" s="153" t="n"/>
      <c r="Z736" s="153" t="n"/>
    </row>
    <row r="737" ht="15.75" customHeight="1" s="154">
      <c r="I737" s="153" t="n"/>
      <c r="J737" s="153" t="n"/>
      <c r="K737" s="153" t="n"/>
      <c r="L737" s="153" t="n"/>
      <c r="M737" s="153" t="n"/>
      <c r="N737" s="153" t="n"/>
      <c r="O737" s="153" t="n"/>
      <c r="P737" s="153" t="n"/>
      <c r="Q737" s="153" t="n"/>
      <c r="R737" s="153" t="n"/>
      <c r="S737" s="153" t="n"/>
      <c r="T737" s="153" t="n"/>
      <c r="U737" s="153" t="n"/>
      <c r="V737" s="153" t="n"/>
      <c r="W737" s="153" t="n"/>
      <c r="X737" s="153" t="n"/>
      <c r="Y737" s="153" t="n"/>
      <c r="Z737" s="153" t="n"/>
    </row>
    <row r="738" ht="15.75" customHeight="1" s="154">
      <c r="I738" s="153" t="n"/>
      <c r="J738" s="153" t="n"/>
      <c r="K738" s="153" t="n"/>
      <c r="L738" s="153" t="n"/>
      <c r="M738" s="153" t="n"/>
      <c r="N738" s="153" t="n"/>
      <c r="O738" s="153" t="n"/>
      <c r="P738" s="153" t="n"/>
      <c r="Q738" s="153" t="n"/>
      <c r="R738" s="153" t="n"/>
      <c r="S738" s="153" t="n"/>
      <c r="T738" s="153" t="n"/>
      <c r="U738" s="153" t="n"/>
      <c r="V738" s="153" t="n"/>
      <c r="W738" s="153" t="n"/>
      <c r="X738" s="153" t="n"/>
      <c r="Y738" s="153" t="n"/>
      <c r="Z738" s="153" t="n"/>
    </row>
    <row r="739" ht="15.75" customHeight="1" s="154">
      <c r="I739" s="153" t="n"/>
      <c r="J739" s="153" t="n"/>
      <c r="K739" s="153" t="n"/>
      <c r="L739" s="153" t="n"/>
      <c r="M739" s="153" t="n"/>
      <c r="N739" s="153" t="n"/>
      <c r="O739" s="153" t="n"/>
      <c r="P739" s="153" t="n"/>
      <c r="Q739" s="153" t="n"/>
      <c r="R739" s="153" t="n"/>
      <c r="S739" s="153" t="n"/>
      <c r="T739" s="153" t="n"/>
      <c r="U739" s="153" t="n"/>
      <c r="V739" s="153" t="n"/>
      <c r="W739" s="153" t="n"/>
      <c r="X739" s="153" t="n"/>
      <c r="Y739" s="153" t="n"/>
      <c r="Z739" s="153" t="n"/>
    </row>
    <row r="740" ht="15.75" customHeight="1" s="154">
      <c r="I740" s="153" t="n"/>
      <c r="J740" s="153" t="n"/>
      <c r="K740" s="153" t="n"/>
      <c r="L740" s="153" t="n"/>
      <c r="M740" s="153" t="n"/>
      <c r="N740" s="153" t="n"/>
      <c r="O740" s="153" t="n"/>
      <c r="P740" s="153" t="n"/>
      <c r="Q740" s="153" t="n"/>
      <c r="R740" s="153" t="n"/>
      <c r="S740" s="153" t="n"/>
      <c r="T740" s="153" t="n"/>
      <c r="U740" s="153" t="n"/>
      <c r="V740" s="153" t="n"/>
      <c r="W740" s="153" t="n"/>
      <c r="X740" s="153" t="n"/>
      <c r="Y740" s="153" t="n"/>
      <c r="Z740" s="153" t="n"/>
    </row>
    <row r="741" ht="15.75" customHeight="1" s="154">
      <c r="I741" s="153" t="n"/>
      <c r="J741" s="153" t="n"/>
      <c r="K741" s="153" t="n"/>
      <c r="L741" s="153" t="n"/>
      <c r="M741" s="153" t="n"/>
      <c r="N741" s="153" t="n"/>
      <c r="O741" s="153" t="n"/>
      <c r="P741" s="153" t="n"/>
      <c r="Q741" s="153" t="n"/>
      <c r="R741" s="153" t="n"/>
      <c r="S741" s="153" t="n"/>
      <c r="T741" s="153" t="n"/>
      <c r="U741" s="153" t="n"/>
      <c r="V741" s="153" t="n"/>
      <c r="W741" s="153" t="n"/>
      <c r="X741" s="153" t="n"/>
      <c r="Y741" s="153" t="n"/>
      <c r="Z741" s="153" t="n"/>
    </row>
    <row r="742" ht="15.75" customHeight="1" s="154">
      <c r="I742" s="153" t="n"/>
      <c r="J742" s="153" t="n"/>
      <c r="K742" s="153" t="n"/>
      <c r="L742" s="153" t="n"/>
      <c r="M742" s="153" t="n"/>
      <c r="N742" s="153" t="n"/>
      <c r="O742" s="153" t="n"/>
      <c r="P742" s="153" t="n"/>
      <c r="Q742" s="153" t="n"/>
      <c r="R742" s="153" t="n"/>
      <c r="S742" s="153" t="n"/>
      <c r="T742" s="153" t="n"/>
      <c r="U742" s="153" t="n"/>
      <c r="V742" s="153" t="n"/>
      <c r="W742" s="153" t="n"/>
      <c r="X742" s="153" t="n"/>
      <c r="Y742" s="153" t="n"/>
      <c r="Z742" s="153" t="n"/>
    </row>
    <row r="743" ht="15.75" customHeight="1" s="154">
      <c r="I743" s="153" t="n"/>
      <c r="J743" s="153" t="n"/>
      <c r="K743" s="153" t="n"/>
      <c r="L743" s="153" t="n"/>
      <c r="M743" s="153" t="n"/>
      <c r="N743" s="153" t="n"/>
      <c r="O743" s="153" t="n"/>
      <c r="P743" s="153" t="n"/>
      <c r="Q743" s="153" t="n"/>
      <c r="R743" s="153" t="n"/>
      <c r="S743" s="153" t="n"/>
      <c r="T743" s="153" t="n"/>
      <c r="U743" s="153" t="n"/>
      <c r="V743" s="153" t="n"/>
      <c r="W743" s="153" t="n"/>
      <c r="X743" s="153" t="n"/>
      <c r="Y743" s="153" t="n"/>
      <c r="Z743" s="153" t="n"/>
    </row>
    <row r="744" ht="15.75" customHeight="1" s="154">
      <c r="I744" s="153" t="n"/>
      <c r="J744" s="153" t="n"/>
      <c r="K744" s="153" t="n"/>
      <c r="L744" s="153" t="n"/>
      <c r="M744" s="153" t="n"/>
      <c r="N744" s="153" t="n"/>
      <c r="O744" s="153" t="n"/>
      <c r="P744" s="153" t="n"/>
      <c r="Q744" s="153" t="n"/>
      <c r="R744" s="153" t="n"/>
      <c r="S744" s="153" t="n"/>
      <c r="T744" s="153" t="n"/>
      <c r="U744" s="153" t="n"/>
      <c r="V744" s="153" t="n"/>
      <c r="W744" s="153" t="n"/>
      <c r="X744" s="153" t="n"/>
      <c r="Y744" s="153" t="n"/>
      <c r="Z744" s="153" t="n"/>
    </row>
    <row r="745" ht="15.75" customHeight="1" s="154">
      <c r="I745" s="153" t="n"/>
      <c r="J745" s="153" t="n"/>
      <c r="K745" s="153" t="n"/>
      <c r="L745" s="153" t="n"/>
      <c r="M745" s="153" t="n"/>
      <c r="N745" s="153" t="n"/>
      <c r="O745" s="153" t="n"/>
      <c r="P745" s="153" t="n"/>
      <c r="Q745" s="153" t="n"/>
      <c r="R745" s="153" t="n"/>
      <c r="S745" s="153" t="n"/>
      <c r="T745" s="153" t="n"/>
      <c r="U745" s="153" t="n"/>
      <c r="V745" s="153" t="n"/>
      <c r="W745" s="153" t="n"/>
      <c r="X745" s="153" t="n"/>
      <c r="Y745" s="153" t="n"/>
      <c r="Z745" s="153" t="n"/>
    </row>
    <row r="746" ht="15.75" customHeight="1" s="154">
      <c r="I746" s="153" t="n"/>
      <c r="J746" s="153" t="n"/>
      <c r="K746" s="153" t="n"/>
      <c r="L746" s="153" t="n"/>
      <c r="M746" s="153" t="n"/>
      <c r="N746" s="153" t="n"/>
      <c r="O746" s="153" t="n"/>
      <c r="P746" s="153" t="n"/>
      <c r="Q746" s="153" t="n"/>
      <c r="R746" s="153" t="n"/>
      <c r="S746" s="153" t="n"/>
      <c r="T746" s="153" t="n"/>
      <c r="U746" s="153" t="n"/>
      <c r="V746" s="153" t="n"/>
      <c r="W746" s="153" t="n"/>
      <c r="X746" s="153" t="n"/>
      <c r="Y746" s="153" t="n"/>
      <c r="Z746" s="153" t="n"/>
    </row>
    <row r="747" ht="15.75" customHeight="1" s="154">
      <c r="I747" s="153" t="n"/>
      <c r="J747" s="153" t="n"/>
      <c r="K747" s="153" t="n"/>
      <c r="L747" s="153" t="n"/>
      <c r="M747" s="153" t="n"/>
      <c r="N747" s="153" t="n"/>
      <c r="O747" s="153" t="n"/>
      <c r="P747" s="153" t="n"/>
      <c r="Q747" s="153" t="n"/>
      <c r="R747" s="153" t="n"/>
      <c r="S747" s="153" t="n"/>
      <c r="T747" s="153" t="n"/>
      <c r="U747" s="153" t="n"/>
      <c r="V747" s="153" t="n"/>
      <c r="W747" s="153" t="n"/>
      <c r="X747" s="153" t="n"/>
      <c r="Y747" s="153" t="n"/>
      <c r="Z747" s="153" t="n"/>
    </row>
    <row r="748" ht="15.75" customHeight="1" s="154">
      <c r="I748" s="153" t="n"/>
      <c r="J748" s="153" t="n"/>
      <c r="K748" s="153" t="n"/>
      <c r="L748" s="153" t="n"/>
      <c r="M748" s="153" t="n"/>
      <c r="N748" s="153" t="n"/>
      <c r="O748" s="153" t="n"/>
      <c r="P748" s="153" t="n"/>
      <c r="Q748" s="153" t="n"/>
      <c r="R748" s="153" t="n"/>
      <c r="S748" s="153" t="n"/>
      <c r="T748" s="153" t="n"/>
      <c r="U748" s="153" t="n"/>
      <c r="V748" s="153" t="n"/>
      <c r="W748" s="153" t="n"/>
      <c r="X748" s="153" t="n"/>
      <c r="Y748" s="153" t="n"/>
      <c r="Z748" s="153" t="n"/>
    </row>
    <row r="749" ht="15.75" customHeight="1" s="154">
      <c r="I749" s="153" t="n"/>
      <c r="J749" s="153" t="n"/>
      <c r="K749" s="153" t="n"/>
      <c r="L749" s="153" t="n"/>
      <c r="M749" s="153" t="n"/>
      <c r="N749" s="153" t="n"/>
      <c r="O749" s="153" t="n"/>
      <c r="P749" s="153" t="n"/>
      <c r="Q749" s="153" t="n"/>
      <c r="R749" s="153" t="n"/>
      <c r="S749" s="153" t="n"/>
      <c r="T749" s="153" t="n"/>
      <c r="U749" s="153" t="n"/>
      <c r="V749" s="153" t="n"/>
      <c r="W749" s="153" t="n"/>
      <c r="X749" s="153" t="n"/>
      <c r="Y749" s="153" t="n"/>
      <c r="Z749" s="153" t="n"/>
    </row>
    <row r="750" ht="15.75" customHeight="1" s="154">
      <c r="I750" s="153" t="n"/>
      <c r="J750" s="153" t="n"/>
      <c r="K750" s="153" t="n"/>
      <c r="L750" s="153" t="n"/>
      <c r="M750" s="153" t="n"/>
      <c r="N750" s="153" t="n"/>
      <c r="O750" s="153" t="n"/>
      <c r="P750" s="153" t="n"/>
      <c r="Q750" s="153" t="n"/>
      <c r="R750" s="153" t="n"/>
      <c r="S750" s="153" t="n"/>
      <c r="T750" s="153" t="n"/>
      <c r="U750" s="153" t="n"/>
      <c r="V750" s="153" t="n"/>
      <c r="W750" s="153" t="n"/>
      <c r="X750" s="153" t="n"/>
      <c r="Y750" s="153" t="n"/>
      <c r="Z750" s="153" t="n"/>
    </row>
    <row r="751" ht="15.75" customHeight="1" s="154">
      <c r="I751" s="153" t="n"/>
      <c r="J751" s="153" t="n"/>
      <c r="K751" s="153" t="n"/>
      <c r="L751" s="153" t="n"/>
      <c r="M751" s="153" t="n"/>
      <c r="N751" s="153" t="n"/>
      <c r="O751" s="153" t="n"/>
      <c r="P751" s="153" t="n"/>
      <c r="Q751" s="153" t="n"/>
      <c r="R751" s="153" t="n"/>
      <c r="S751" s="153" t="n"/>
      <c r="T751" s="153" t="n"/>
      <c r="U751" s="153" t="n"/>
      <c r="V751" s="153" t="n"/>
      <c r="W751" s="153" t="n"/>
      <c r="X751" s="153" t="n"/>
      <c r="Y751" s="153" t="n"/>
      <c r="Z751" s="153" t="n"/>
    </row>
    <row r="752" ht="15.75" customHeight="1" s="154">
      <c r="I752" s="153" t="n"/>
      <c r="J752" s="153" t="n"/>
      <c r="K752" s="153" t="n"/>
      <c r="L752" s="153" t="n"/>
      <c r="M752" s="153" t="n"/>
      <c r="N752" s="153" t="n"/>
      <c r="O752" s="153" t="n"/>
      <c r="P752" s="153" t="n"/>
      <c r="Q752" s="153" t="n"/>
      <c r="R752" s="153" t="n"/>
      <c r="S752" s="153" t="n"/>
      <c r="T752" s="153" t="n"/>
      <c r="U752" s="153" t="n"/>
      <c r="V752" s="153" t="n"/>
      <c r="W752" s="153" t="n"/>
      <c r="X752" s="153" t="n"/>
      <c r="Y752" s="153" t="n"/>
      <c r="Z752" s="153" t="n"/>
    </row>
    <row r="753" ht="15.75" customHeight="1" s="154">
      <c r="I753" s="153" t="n"/>
      <c r="J753" s="153" t="n"/>
      <c r="K753" s="153" t="n"/>
      <c r="L753" s="153" t="n"/>
      <c r="M753" s="153" t="n"/>
      <c r="N753" s="153" t="n"/>
      <c r="O753" s="153" t="n"/>
      <c r="P753" s="153" t="n"/>
      <c r="Q753" s="153" t="n"/>
      <c r="R753" s="153" t="n"/>
      <c r="S753" s="153" t="n"/>
      <c r="T753" s="153" t="n"/>
      <c r="U753" s="153" t="n"/>
      <c r="V753" s="153" t="n"/>
      <c r="W753" s="153" t="n"/>
      <c r="X753" s="153" t="n"/>
      <c r="Y753" s="153" t="n"/>
      <c r="Z753" s="153" t="n"/>
    </row>
    <row r="754" ht="15.75" customHeight="1" s="154">
      <c r="I754" s="153" t="n"/>
      <c r="J754" s="153" t="n"/>
      <c r="K754" s="153" t="n"/>
      <c r="L754" s="153" t="n"/>
      <c r="M754" s="153" t="n"/>
      <c r="N754" s="153" t="n"/>
      <c r="O754" s="153" t="n"/>
      <c r="P754" s="153" t="n"/>
      <c r="Q754" s="153" t="n"/>
      <c r="R754" s="153" t="n"/>
      <c r="S754" s="153" t="n"/>
      <c r="T754" s="153" t="n"/>
      <c r="U754" s="153" t="n"/>
      <c r="V754" s="153" t="n"/>
      <c r="W754" s="153" t="n"/>
      <c r="X754" s="153" t="n"/>
      <c r="Y754" s="153" t="n"/>
      <c r="Z754" s="153" t="n"/>
    </row>
    <row r="755" ht="15.75" customHeight="1" s="154">
      <c r="I755" s="153" t="n"/>
      <c r="J755" s="153" t="n"/>
      <c r="K755" s="153" t="n"/>
      <c r="L755" s="153" t="n"/>
      <c r="M755" s="153" t="n"/>
      <c r="N755" s="153" t="n"/>
      <c r="O755" s="153" t="n"/>
      <c r="P755" s="153" t="n"/>
      <c r="Q755" s="153" t="n"/>
      <c r="R755" s="153" t="n"/>
      <c r="S755" s="153" t="n"/>
      <c r="T755" s="153" t="n"/>
      <c r="U755" s="153" t="n"/>
      <c r="V755" s="153" t="n"/>
      <c r="W755" s="153" t="n"/>
      <c r="X755" s="153" t="n"/>
      <c r="Y755" s="153" t="n"/>
      <c r="Z755" s="153" t="n"/>
    </row>
    <row r="756" ht="15.75" customHeight="1" s="154">
      <c r="I756" s="153" t="n"/>
      <c r="J756" s="153" t="n"/>
      <c r="K756" s="153" t="n"/>
      <c r="L756" s="153" t="n"/>
      <c r="M756" s="153" t="n"/>
      <c r="N756" s="153" t="n"/>
      <c r="O756" s="153" t="n"/>
      <c r="P756" s="153" t="n"/>
      <c r="Q756" s="153" t="n"/>
      <c r="R756" s="153" t="n"/>
      <c r="S756" s="153" t="n"/>
      <c r="T756" s="153" t="n"/>
      <c r="U756" s="153" t="n"/>
      <c r="V756" s="153" t="n"/>
      <c r="W756" s="153" t="n"/>
      <c r="X756" s="153" t="n"/>
      <c r="Y756" s="153" t="n"/>
      <c r="Z756" s="153" t="n"/>
    </row>
    <row r="757" ht="15.75" customHeight="1" s="154">
      <c r="I757" s="153" t="n"/>
      <c r="J757" s="153" t="n"/>
      <c r="K757" s="153" t="n"/>
      <c r="L757" s="153" t="n"/>
      <c r="M757" s="153" t="n"/>
      <c r="N757" s="153" t="n"/>
      <c r="O757" s="153" t="n"/>
      <c r="P757" s="153" t="n"/>
      <c r="Q757" s="153" t="n"/>
      <c r="R757" s="153" t="n"/>
      <c r="S757" s="153" t="n"/>
      <c r="T757" s="153" t="n"/>
      <c r="U757" s="153" t="n"/>
      <c r="V757" s="153" t="n"/>
      <c r="W757" s="153" t="n"/>
      <c r="X757" s="153" t="n"/>
      <c r="Y757" s="153" t="n"/>
      <c r="Z757" s="153" t="n"/>
    </row>
    <row r="758" ht="15.75" customHeight="1" s="154">
      <c r="I758" s="153" t="n"/>
      <c r="J758" s="153" t="n"/>
      <c r="K758" s="153" t="n"/>
      <c r="L758" s="153" t="n"/>
      <c r="M758" s="153" t="n"/>
      <c r="N758" s="153" t="n"/>
      <c r="O758" s="153" t="n"/>
      <c r="P758" s="153" t="n"/>
      <c r="Q758" s="153" t="n"/>
      <c r="R758" s="153" t="n"/>
      <c r="S758" s="153" t="n"/>
      <c r="T758" s="153" t="n"/>
      <c r="U758" s="153" t="n"/>
      <c r="V758" s="153" t="n"/>
      <c r="W758" s="153" t="n"/>
      <c r="X758" s="153" t="n"/>
      <c r="Y758" s="153" t="n"/>
      <c r="Z758" s="153" t="n"/>
    </row>
    <row r="759" ht="15.75" customHeight="1" s="154">
      <c r="I759" s="153" t="n"/>
      <c r="J759" s="153" t="n"/>
      <c r="K759" s="153" t="n"/>
      <c r="L759" s="153" t="n"/>
      <c r="M759" s="153" t="n"/>
      <c r="N759" s="153" t="n"/>
      <c r="O759" s="153" t="n"/>
      <c r="P759" s="153" t="n"/>
      <c r="Q759" s="153" t="n"/>
      <c r="R759" s="153" t="n"/>
      <c r="S759" s="153" t="n"/>
      <c r="T759" s="153" t="n"/>
      <c r="U759" s="153" t="n"/>
      <c r="V759" s="153" t="n"/>
      <c r="W759" s="153" t="n"/>
      <c r="X759" s="153" t="n"/>
      <c r="Y759" s="153" t="n"/>
      <c r="Z759" s="153" t="n"/>
    </row>
    <row r="760" ht="15.75" customHeight="1" s="154">
      <c r="I760" s="153" t="n"/>
      <c r="J760" s="153" t="n"/>
      <c r="K760" s="153" t="n"/>
      <c r="L760" s="153" t="n"/>
      <c r="M760" s="153" t="n"/>
      <c r="N760" s="153" t="n"/>
      <c r="O760" s="153" t="n"/>
      <c r="P760" s="153" t="n"/>
      <c r="Q760" s="153" t="n"/>
      <c r="R760" s="153" t="n"/>
      <c r="S760" s="153" t="n"/>
      <c r="T760" s="153" t="n"/>
      <c r="U760" s="153" t="n"/>
      <c r="V760" s="153" t="n"/>
      <c r="W760" s="153" t="n"/>
      <c r="X760" s="153" t="n"/>
      <c r="Y760" s="153" t="n"/>
      <c r="Z760" s="153" t="n"/>
    </row>
    <row r="761" ht="15.75" customHeight="1" s="154">
      <c r="I761" s="153" t="n"/>
      <c r="J761" s="153" t="n"/>
      <c r="K761" s="153" t="n"/>
      <c r="L761" s="153" t="n"/>
      <c r="M761" s="153" t="n"/>
      <c r="N761" s="153" t="n"/>
      <c r="O761" s="153" t="n"/>
      <c r="P761" s="153" t="n"/>
      <c r="Q761" s="153" t="n"/>
      <c r="R761" s="153" t="n"/>
      <c r="S761" s="153" t="n"/>
      <c r="T761" s="153" t="n"/>
      <c r="U761" s="153" t="n"/>
      <c r="V761" s="153" t="n"/>
      <c r="W761" s="153" t="n"/>
      <c r="X761" s="153" t="n"/>
      <c r="Y761" s="153" t="n"/>
      <c r="Z761" s="153" t="n"/>
    </row>
    <row r="762" ht="15.75" customHeight="1" s="154">
      <c r="I762" s="153" t="n"/>
      <c r="J762" s="153" t="n"/>
      <c r="K762" s="153" t="n"/>
      <c r="L762" s="153" t="n"/>
      <c r="M762" s="153" t="n"/>
      <c r="N762" s="153" t="n"/>
      <c r="O762" s="153" t="n"/>
      <c r="P762" s="153" t="n"/>
      <c r="Q762" s="153" t="n"/>
      <c r="R762" s="153" t="n"/>
      <c r="S762" s="153" t="n"/>
      <c r="T762" s="153" t="n"/>
      <c r="U762" s="153" t="n"/>
      <c r="V762" s="153" t="n"/>
      <c r="W762" s="153" t="n"/>
      <c r="X762" s="153" t="n"/>
      <c r="Y762" s="153" t="n"/>
      <c r="Z762" s="153" t="n"/>
    </row>
    <row r="763" ht="15.75" customHeight="1" s="154">
      <c r="I763" s="153" t="n"/>
      <c r="J763" s="153" t="n"/>
      <c r="K763" s="153" t="n"/>
      <c r="L763" s="153" t="n"/>
      <c r="M763" s="153" t="n"/>
      <c r="N763" s="153" t="n"/>
      <c r="O763" s="153" t="n"/>
      <c r="P763" s="153" t="n"/>
      <c r="Q763" s="153" t="n"/>
      <c r="R763" s="153" t="n"/>
      <c r="S763" s="153" t="n"/>
      <c r="T763" s="153" t="n"/>
      <c r="U763" s="153" t="n"/>
      <c r="V763" s="153" t="n"/>
      <c r="W763" s="153" t="n"/>
      <c r="X763" s="153" t="n"/>
      <c r="Y763" s="153" t="n"/>
      <c r="Z763" s="153" t="n"/>
    </row>
    <row r="764" ht="15.75" customHeight="1" s="154">
      <c r="I764" s="153" t="n"/>
      <c r="J764" s="153" t="n"/>
      <c r="K764" s="153" t="n"/>
      <c r="L764" s="153" t="n"/>
      <c r="M764" s="153" t="n"/>
      <c r="N764" s="153" t="n"/>
      <c r="O764" s="153" t="n"/>
      <c r="P764" s="153" t="n"/>
      <c r="Q764" s="153" t="n"/>
      <c r="R764" s="153" t="n"/>
      <c r="S764" s="153" t="n"/>
      <c r="T764" s="153" t="n"/>
      <c r="U764" s="153" t="n"/>
      <c r="V764" s="153" t="n"/>
      <c r="W764" s="153" t="n"/>
      <c r="X764" s="153" t="n"/>
      <c r="Y764" s="153" t="n"/>
      <c r="Z764" s="153" t="n"/>
    </row>
    <row r="765" ht="15.75" customHeight="1" s="154">
      <c r="I765" s="153" t="n"/>
      <c r="J765" s="153" t="n"/>
      <c r="K765" s="153" t="n"/>
      <c r="L765" s="153" t="n"/>
      <c r="M765" s="153" t="n"/>
      <c r="N765" s="153" t="n"/>
      <c r="O765" s="153" t="n"/>
      <c r="P765" s="153" t="n"/>
      <c r="Q765" s="153" t="n"/>
      <c r="R765" s="153" t="n"/>
      <c r="S765" s="153" t="n"/>
      <c r="T765" s="153" t="n"/>
      <c r="U765" s="153" t="n"/>
      <c r="V765" s="153" t="n"/>
      <c r="W765" s="153" t="n"/>
      <c r="X765" s="153" t="n"/>
      <c r="Y765" s="153" t="n"/>
      <c r="Z765" s="153" t="n"/>
    </row>
    <row r="766" ht="15.75" customHeight="1" s="154">
      <c r="I766" s="153" t="n"/>
      <c r="J766" s="153" t="n"/>
      <c r="K766" s="153" t="n"/>
      <c r="L766" s="153" t="n"/>
      <c r="M766" s="153" t="n"/>
      <c r="N766" s="153" t="n"/>
      <c r="O766" s="153" t="n"/>
      <c r="P766" s="153" t="n"/>
      <c r="Q766" s="153" t="n"/>
      <c r="R766" s="153" t="n"/>
      <c r="S766" s="153" t="n"/>
      <c r="T766" s="153" t="n"/>
      <c r="U766" s="153" t="n"/>
      <c r="V766" s="153" t="n"/>
      <c r="W766" s="153" t="n"/>
      <c r="X766" s="153" t="n"/>
      <c r="Y766" s="153" t="n"/>
      <c r="Z766" s="153" t="n"/>
    </row>
    <row r="767" ht="15.75" customHeight="1" s="154">
      <c r="I767" s="153" t="n"/>
      <c r="J767" s="153" t="n"/>
      <c r="K767" s="153" t="n"/>
      <c r="L767" s="153" t="n"/>
      <c r="M767" s="153" t="n"/>
      <c r="N767" s="153" t="n"/>
      <c r="O767" s="153" t="n"/>
      <c r="P767" s="153" t="n"/>
      <c r="Q767" s="153" t="n"/>
      <c r="R767" s="153" t="n"/>
      <c r="S767" s="153" t="n"/>
      <c r="T767" s="153" t="n"/>
      <c r="U767" s="153" t="n"/>
      <c r="V767" s="153" t="n"/>
      <c r="W767" s="153" t="n"/>
      <c r="X767" s="153" t="n"/>
      <c r="Y767" s="153" t="n"/>
      <c r="Z767" s="153" t="n"/>
    </row>
    <row r="768" ht="15.75" customHeight="1" s="154">
      <c r="I768" s="153" t="n"/>
      <c r="J768" s="153" t="n"/>
      <c r="K768" s="153" t="n"/>
      <c r="L768" s="153" t="n"/>
      <c r="M768" s="153" t="n"/>
      <c r="N768" s="153" t="n"/>
      <c r="O768" s="153" t="n"/>
      <c r="P768" s="153" t="n"/>
      <c r="Q768" s="153" t="n"/>
      <c r="R768" s="153" t="n"/>
      <c r="S768" s="153" t="n"/>
      <c r="T768" s="153" t="n"/>
      <c r="U768" s="153" t="n"/>
      <c r="V768" s="153" t="n"/>
      <c r="W768" s="153" t="n"/>
      <c r="X768" s="153" t="n"/>
      <c r="Y768" s="153" t="n"/>
      <c r="Z768" s="153" t="n"/>
    </row>
    <row r="769" ht="15.75" customHeight="1" s="154">
      <c r="I769" s="153" t="n"/>
      <c r="J769" s="153" t="n"/>
      <c r="K769" s="153" t="n"/>
      <c r="L769" s="153" t="n"/>
      <c r="M769" s="153" t="n"/>
      <c r="N769" s="153" t="n"/>
      <c r="O769" s="153" t="n"/>
      <c r="P769" s="153" t="n"/>
      <c r="Q769" s="153" t="n"/>
      <c r="R769" s="153" t="n"/>
      <c r="S769" s="153" t="n"/>
      <c r="T769" s="153" t="n"/>
      <c r="U769" s="153" t="n"/>
      <c r="V769" s="153" t="n"/>
      <c r="W769" s="153" t="n"/>
      <c r="X769" s="153" t="n"/>
      <c r="Y769" s="153" t="n"/>
      <c r="Z769" s="153" t="n"/>
    </row>
    <row r="770" ht="15.75" customHeight="1" s="154">
      <c r="I770" s="153" t="n"/>
      <c r="J770" s="153" t="n"/>
      <c r="K770" s="153" t="n"/>
      <c r="L770" s="153" t="n"/>
      <c r="M770" s="153" t="n"/>
      <c r="N770" s="153" t="n"/>
      <c r="O770" s="153" t="n"/>
      <c r="P770" s="153" t="n"/>
      <c r="Q770" s="153" t="n"/>
      <c r="R770" s="153" t="n"/>
      <c r="S770" s="153" t="n"/>
      <c r="T770" s="153" t="n"/>
      <c r="U770" s="153" t="n"/>
      <c r="V770" s="153" t="n"/>
      <c r="W770" s="153" t="n"/>
      <c r="X770" s="153" t="n"/>
      <c r="Y770" s="153" t="n"/>
      <c r="Z770" s="153" t="n"/>
    </row>
    <row r="771" ht="15.75" customHeight="1" s="154">
      <c r="I771" s="153" t="n"/>
      <c r="J771" s="153" t="n"/>
      <c r="K771" s="153" t="n"/>
      <c r="L771" s="153" t="n"/>
      <c r="M771" s="153" t="n"/>
      <c r="N771" s="153" t="n"/>
      <c r="O771" s="153" t="n"/>
      <c r="P771" s="153" t="n"/>
      <c r="Q771" s="153" t="n"/>
      <c r="R771" s="153" t="n"/>
      <c r="S771" s="153" t="n"/>
      <c r="T771" s="153" t="n"/>
      <c r="U771" s="153" t="n"/>
      <c r="V771" s="153" t="n"/>
      <c r="W771" s="153" t="n"/>
      <c r="X771" s="153" t="n"/>
      <c r="Y771" s="153" t="n"/>
      <c r="Z771" s="153" t="n"/>
    </row>
    <row r="772" ht="15.75" customHeight="1" s="154">
      <c r="I772" s="153" t="n"/>
      <c r="J772" s="153" t="n"/>
      <c r="K772" s="153" t="n"/>
      <c r="L772" s="153" t="n"/>
      <c r="M772" s="153" t="n"/>
      <c r="N772" s="153" t="n"/>
      <c r="O772" s="153" t="n"/>
      <c r="P772" s="153" t="n"/>
      <c r="Q772" s="153" t="n"/>
      <c r="R772" s="153" t="n"/>
      <c r="S772" s="153" t="n"/>
      <c r="T772" s="153" t="n"/>
      <c r="U772" s="153" t="n"/>
      <c r="V772" s="153" t="n"/>
      <c r="W772" s="153" t="n"/>
      <c r="X772" s="153" t="n"/>
      <c r="Y772" s="153" t="n"/>
      <c r="Z772" s="153" t="n"/>
    </row>
    <row r="773" ht="15.75" customHeight="1" s="154">
      <c r="I773" s="153" t="n"/>
      <c r="J773" s="153" t="n"/>
      <c r="K773" s="153" t="n"/>
      <c r="L773" s="153" t="n"/>
      <c r="M773" s="153" t="n"/>
      <c r="N773" s="153" t="n"/>
      <c r="O773" s="153" t="n"/>
      <c r="P773" s="153" t="n"/>
      <c r="Q773" s="153" t="n"/>
      <c r="R773" s="153" t="n"/>
      <c r="S773" s="153" t="n"/>
      <c r="T773" s="153" t="n"/>
      <c r="U773" s="153" t="n"/>
      <c r="V773" s="153" t="n"/>
      <c r="W773" s="153" t="n"/>
      <c r="X773" s="153" t="n"/>
      <c r="Y773" s="153" t="n"/>
      <c r="Z773" s="153" t="n"/>
    </row>
    <row r="774" ht="15.75" customHeight="1" s="154">
      <c r="I774" s="153" t="n"/>
      <c r="J774" s="153" t="n"/>
      <c r="K774" s="153" t="n"/>
      <c r="L774" s="153" t="n"/>
      <c r="M774" s="153" t="n"/>
      <c r="N774" s="153" t="n"/>
      <c r="O774" s="153" t="n"/>
      <c r="P774" s="153" t="n"/>
      <c r="Q774" s="153" t="n"/>
      <c r="R774" s="153" t="n"/>
      <c r="S774" s="153" t="n"/>
      <c r="T774" s="153" t="n"/>
      <c r="U774" s="153" t="n"/>
      <c r="V774" s="153" t="n"/>
      <c r="W774" s="153" t="n"/>
      <c r="X774" s="153" t="n"/>
      <c r="Y774" s="153" t="n"/>
      <c r="Z774" s="153" t="n"/>
    </row>
    <row r="775" ht="15.75" customHeight="1" s="154">
      <c r="I775" s="153" t="n"/>
      <c r="J775" s="153" t="n"/>
      <c r="K775" s="153" t="n"/>
      <c r="L775" s="153" t="n"/>
      <c r="M775" s="153" t="n"/>
      <c r="N775" s="153" t="n"/>
      <c r="O775" s="153" t="n"/>
      <c r="P775" s="153" t="n"/>
      <c r="Q775" s="153" t="n"/>
      <c r="R775" s="153" t="n"/>
      <c r="S775" s="153" t="n"/>
      <c r="T775" s="153" t="n"/>
      <c r="U775" s="153" t="n"/>
      <c r="V775" s="153" t="n"/>
      <c r="W775" s="153" t="n"/>
      <c r="X775" s="153" t="n"/>
      <c r="Y775" s="153" t="n"/>
      <c r="Z775" s="153" t="n"/>
    </row>
    <row r="776" ht="15.75" customHeight="1" s="154">
      <c r="I776" s="153" t="n"/>
      <c r="J776" s="153" t="n"/>
      <c r="K776" s="153" t="n"/>
      <c r="L776" s="153" t="n"/>
      <c r="M776" s="153" t="n"/>
      <c r="N776" s="153" t="n"/>
      <c r="O776" s="153" t="n"/>
      <c r="P776" s="153" t="n"/>
      <c r="Q776" s="153" t="n"/>
      <c r="R776" s="153" t="n"/>
      <c r="S776" s="153" t="n"/>
      <c r="T776" s="153" t="n"/>
      <c r="U776" s="153" t="n"/>
      <c r="V776" s="153" t="n"/>
      <c r="W776" s="153" t="n"/>
      <c r="X776" s="153" t="n"/>
      <c r="Y776" s="153" t="n"/>
      <c r="Z776" s="153" t="n"/>
    </row>
    <row r="777" ht="15.75" customHeight="1" s="154">
      <c r="I777" s="153" t="n"/>
      <c r="J777" s="153" t="n"/>
      <c r="K777" s="153" t="n"/>
      <c r="L777" s="153" t="n"/>
      <c r="M777" s="153" t="n"/>
      <c r="N777" s="153" t="n"/>
      <c r="O777" s="153" t="n"/>
      <c r="P777" s="153" t="n"/>
      <c r="Q777" s="153" t="n"/>
      <c r="R777" s="153" t="n"/>
      <c r="S777" s="153" t="n"/>
      <c r="T777" s="153" t="n"/>
      <c r="U777" s="153" t="n"/>
      <c r="V777" s="153" t="n"/>
      <c r="W777" s="153" t="n"/>
      <c r="X777" s="153" t="n"/>
      <c r="Y777" s="153" t="n"/>
      <c r="Z777" s="153" t="n"/>
    </row>
    <row r="778" ht="15.75" customHeight="1" s="154">
      <c r="I778" s="153" t="n"/>
      <c r="J778" s="153" t="n"/>
      <c r="K778" s="153" t="n"/>
      <c r="L778" s="153" t="n"/>
      <c r="M778" s="153" t="n"/>
      <c r="N778" s="153" t="n"/>
      <c r="O778" s="153" t="n"/>
      <c r="P778" s="153" t="n"/>
      <c r="Q778" s="153" t="n"/>
      <c r="R778" s="153" t="n"/>
      <c r="S778" s="153" t="n"/>
      <c r="T778" s="153" t="n"/>
      <c r="U778" s="153" t="n"/>
      <c r="V778" s="153" t="n"/>
      <c r="W778" s="153" t="n"/>
      <c r="X778" s="153" t="n"/>
      <c r="Y778" s="153" t="n"/>
      <c r="Z778" s="153" t="n"/>
    </row>
    <row r="779" ht="15.75" customHeight="1" s="154">
      <c r="I779" s="153" t="n"/>
      <c r="J779" s="153" t="n"/>
      <c r="K779" s="153" t="n"/>
      <c r="L779" s="153" t="n"/>
      <c r="M779" s="153" t="n"/>
      <c r="N779" s="153" t="n"/>
      <c r="O779" s="153" t="n"/>
      <c r="P779" s="153" t="n"/>
      <c r="Q779" s="153" t="n"/>
      <c r="R779" s="153" t="n"/>
      <c r="S779" s="153" t="n"/>
      <c r="T779" s="153" t="n"/>
      <c r="U779" s="153" t="n"/>
      <c r="V779" s="153" t="n"/>
      <c r="W779" s="153" t="n"/>
      <c r="X779" s="153" t="n"/>
      <c r="Y779" s="153" t="n"/>
      <c r="Z779" s="153" t="n"/>
    </row>
    <row r="780" ht="15.75" customHeight="1" s="154">
      <c r="I780" s="153" t="n"/>
      <c r="J780" s="153" t="n"/>
      <c r="K780" s="153" t="n"/>
      <c r="L780" s="153" t="n"/>
      <c r="M780" s="153" t="n"/>
      <c r="N780" s="153" t="n"/>
      <c r="O780" s="153" t="n"/>
      <c r="P780" s="153" t="n"/>
      <c r="Q780" s="153" t="n"/>
      <c r="R780" s="153" t="n"/>
      <c r="S780" s="153" t="n"/>
      <c r="T780" s="153" t="n"/>
      <c r="U780" s="153" t="n"/>
      <c r="V780" s="153" t="n"/>
      <c r="W780" s="153" t="n"/>
      <c r="X780" s="153" t="n"/>
      <c r="Y780" s="153" t="n"/>
      <c r="Z780" s="153" t="n"/>
    </row>
    <row r="781" ht="15.75" customHeight="1" s="154">
      <c r="I781" s="153" t="n"/>
      <c r="J781" s="153" t="n"/>
      <c r="K781" s="153" t="n"/>
      <c r="L781" s="153" t="n"/>
      <c r="M781" s="153" t="n"/>
      <c r="N781" s="153" t="n"/>
      <c r="O781" s="153" t="n"/>
      <c r="P781" s="153" t="n"/>
      <c r="Q781" s="153" t="n"/>
      <c r="R781" s="153" t="n"/>
      <c r="S781" s="153" t="n"/>
      <c r="T781" s="153" t="n"/>
      <c r="U781" s="153" t="n"/>
      <c r="V781" s="153" t="n"/>
      <c r="W781" s="153" t="n"/>
      <c r="X781" s="153" t="n"/>
      <c r="Y781" s="153" t="n"/>
      <c r="Z781" s="153" t="n"/>
    </row>
    <row r="782" ht="15.75" customHeight="1" s="154">
      <c r="I782" s="153" t="n"/>
      <c r="J782" s="153" t="n"/>
      <c r="K782" s="153" t="n"/>
      <c r="L782" s="153" t="n"/>
      <c r="M782" s="153" t="n"/>
      <c r="N782" s="153" t="n"/>
      <c r="O782" s="153" t="n"/>
      <c r="P782" s="153" t="n"/>
      <c r="Q782" s="153" t="n"/>
      <c r="R782" s="153" t="n"/>
      <c r="S782" s="153" t="n"/>
      <c r="T782" s="153" t="n"/>
      <c r="U782" s="153" t="n"/>
      <c r="V782" s="153" t="n"/>
      <c r="W782" s="153" t="n"/>
      <c r="X782" s="153" t="n"/>
      <c r="Y782" s="153" t="n"/>
      <c r="Z782" s="153" t="n"/>
    </row>
    <row r="783" ht="15.75" customHeight="1" s="154">
      <c r="I783" s="153" t="n"/>
      <c r="J783" s="153" t="n"/>
      <c r="K783" s="153" t="n"/>
      <c r="L783" s="153" t="n"/>
      <c r="M783" s="153" t="n"/>
      <c r="N783" s="153" t="n"/>
      <c r="O783" s="153" t="n"/>
      <c r="P783" s="153" t="n"/>
      <c r="Q783" s="153" t="n"/>
      <c r="R783" s="153" t="n"/>
      <c r="S783" s="153" t="n"/>
      <c r="T783" s="153" t="n"/>
      <c r="U783" s="153" t="n"/>
      <c r="V783" s="153" t="n"/>
      <c r="W783" s="153" t="n"/>
      <c r="X783" s="153" t="n"/>
      <c r="Y783" s="153" t="n"/>
      <c r="Z783" s="153" t="n"/>
    </row>
    <row r="784" ht="15.75" customHeight="1" s="154">
      <c r="I784" s="153" t="n"/>
      <c r="J784" s="153" t="n"/>
      <c r="K784" s="153" t="n"/>
      <c r="L784" s="153" t="n"/>
      <c r="M784" s="153" t="n"/>
      <c r="N784" s="153" t="n"/>
      <c r="O784" s="153" t="n"/>
      <c r="P784" s="153" t="n"/>
      <c r="Q784" s="153" t="n"/>
      <c r="R784" s="153" t="n"/>
      <c r="S784" s="153" t="n"/>
      <c r="T784" s="153" t="n"/>
      <c r="U784" s="153" t="n"/>
      <c r="V784" s="153" t="n"/>
      <c r="W784" s="153" t="n"/>
      <c r="X784" s="153" t="n"/>
      <c r="Y784" s="153" t="n"/>
      <c r="Z784" s="153" t="n"/>
    </row>
    <row r="785" ht="15.75" customHeight="1" s="154">
      <c r="I785" s="153" t="n"/>
      <c r="J785" s="153" t="n"/>
      <c r="K785" s="153" t="n"/>
      <c r="L785" s="153" t="n"/>
      <c r="M785" s="153" t="n"/>
      <c r="N785" s="153" t="n"/>
      <c r="O785" s="153" t="n"/>
      <c r="P785" s="153" t="n"/>
      <c r="Q785" s="153" t="n"/>
      <c r="R785" s="153" t="n"/>
      <c r="S785" s="153" t="n"/>
      <c r="T785" s="153" t="n"/>
      <c r="U785" s="153" t="n"/>
      <c r="V785" s="153" t="n"/>
      <c r="W785" s="153" t="n"/>
      <c r="X785" s="153" t="n"/>
      <c r="Y785" s="153" t="n"/>
      <c r="Z785" s="153" t="n"/>
    </row>
    <row r="786" ht="15.75" customHeight="1" s="154">
      <c r="I786" s="153" t="n"/>
      <c r="J786" s="153" t="n"/>
      <c r="K786" s="153" t="n"/>
      <c r="L786" s="153" t="n"/>
      <c r="M786" s="153" t="n"/>
      <c r="N786" s="153" t="n"/>
      <c r="O786" s="153" t="n"/>
      <c r="P786" s="153" t="n"/>
      <c r="Q786" s="153" t="n"/>
      <c r="R786" s="153" t="n"/>
      <c r="S786" s="153" t="n"/>
      <c r="T786" s="153" t="n"/>
      <c r="U786" s="153" t="n"/>
      <c r="V786" s="153" t="n"/>
      <c r="W786" s="153" t="n"/>
      <c r="X786" s="153" t="n"/>
      <c r="Y786" s="153" t="n"/>
      <c r="Z786" s="153" t="n"/>
    </row>
    <row r="787" ht="15.75" customHeight="1" s="154">
      <c r="I787" s="153" t="n"/>
      <c r="J787" s="153" t="n"/>
      <c r="K787" s="153" t="n"/>
      <c r="L787" s="153" t="n"/>
      <c r="M787" s="153" t="n"/>
      <c r="N787" s="153" t="n"/>
      <c r="O787" s="153" t="n"/>
      <c r="P787" s="153" t="n"/>
      <c r="Q787" s="153" t="n"/>
      <c r="R787" s="153" t="n"/>
      <c r="S787" s="153" t="n"/>
      <c r="T787" s="153" t="n"/>
      <c r="U787" s="153" t="n"/>
      <c r="V787" s="153" t="n"/>
      <c r="W787" s="153" t="n"/>
      <c r="X787" s="153" t="n"/>
      <c r="Y787" s="153" t="n"/>
      <c r="Z787" s="153" t="n"/>
    </row>
    <row r="788" ht="15.75" customHeight="1" s="154">
      <c r="I788" s="153" t="n"/>
      <c r="J788" s="153" t="n"/>
      <c r="K788" s="153" t="n"/>
      <c r="L788" s="153" t="n"/>
      <c r="M788" s="153" t="n"/>
      <c r="N788" s="153" t="n"/>
      <c r="O788" s="153" t="n"/>
      <c r="P788" s="153" t="n"/>
      <c r="Q788" s="153" t="n"/>
      <c r="R788" s="153" t="n"/>
      <c r="S788" s="153" t="n"/>
      <c r="T788" s="153" t="n"/>
      <c r="U788" s="153" t="n"/>
      <c r="V788" s="153" t="n"/>
      <c r="W788" s="153" t="n"/>
      <c r="X788" s="153" t="n"/>
      <c r="Y788" s="153" t="n"/>
      <c r="Z788" s="153" t="n"/>
    </row>
    <row r="789" ht="15.75" customHeight="1" s="154">
      <c r="I789" s="153" t="n"/>
      <c r="J789" s="153" t="n"/>
      <c r="K789" s="153" t="n"/>
      <c r="L789" s="153" t="n"/>
      <c r="M789" s="153" t="n"/>
      <c r="N789" s="153" t="n"/>
      <c r="O789" s="153" t="n"/>
      <c r="P789" s="153" t="n"/>
      <c r="Q789" s="153" t="n"/>
      <c r="R789" s="153" t="n"/>
      <c r="S789" s="153" t="n"/>
      <c r="T789" s="153" t="n"/>
      <c r="U789" s="153" t="n"/>
      <c r="V789" s="153" t="n"/>
      <c r="W789" s="153" t="n"/>
      <c r="X789" s="153" t="n"/>
      <c r="Y789" s="153" t="n"/>
      <c r="Z789" s="153" t="n"/>
    </row>
    <row r="790" ht="15.75" customHeight="1" s="154">
      <c r="I790" s="153" t="n"/>
      <c r="J790" s="153" t="n"/>
      <c r="K790" s="153" t="n"/>
      <c r="L790" s="153" t="n"/>
      <c r="M790" s="153" t="n"/>
      <c r="N790" s="153" t="n"/>
      <c r="O790" s="153" t="n"/>
      <c r="P790" s="153" t="n"/>
      <c r="Q790" s="153" t="n"/>
      <c r="R790" s="153" t="n"/>
      <c r="S790" s="153" t="n"/>
      <c r="T790" s="153" t="n"/>
      <c r="U790" s="153" t="n"/>
      <c r="V790" s="153" t="n"/>
      <c r="W790" s="153" t="n"/>
      <c r="X790" s="153" t="n"/>
      <c r="Y790" s="153" t="n"/>
      <c r="Z790" s="153" t="n"/>
    </row>
    <row r="791" ht="15.75" customHeight="1" s="154">
      <c r="I791" s="153" t="n"/>
      <c r="J791" s="153" t="n"/>
      <c r="K791" s="153" t="n"/>
      <c r="L791" s="153" t="n"/>
      <c r="M791" s="153" t="n"/>
      <c r="N791" s="153" t="n"/>
      <c r="O791" s="153" t="n"/>
      <c r="P791" s="153" t="n"/>
      <c r="Q791" s="153" t="n"/>
      <c r="R791" s="153" t="n"/>
      <c r="S791" s="153" t="n"/>
      <c r="T791" s="153" t="n"/>
      <c r="U791" s="153" t="n"/>
      <c r="V791" s="153" t="n"/>
      <c r="W791" s="153" t="n"/>
      <c r="X791" s="153" t="n"/>
      <c r="Y791" s="153" t="n"/>
      <c r="Z791" s="153" t="n"/>
    </row>
    <row r="792" ht="15.75" customHeight="1" s="154">
      <c r="I792" s="153" t="n"/>
      <c r="J792" s="153" t="n"/>
      <c r="K792" s="153" t="n"/>
      <c r="L792" s="153" t="n"/>
      <c r="M792" s="153" t="n"/>
      <c r="N792" s="153" t="n"/>
      <c r="O792" s="153" t="n"/>
      <c r="P792" s="153" t="n"/>
      <c r="Q792" s="153" t="n"/>
      <c r="R792" s="153" t="n"/>
      <c r="S792" s="153" t="n"/>
      <c r="T792" s="153" t="n"/>
      <c r="U792" s="153" t="n"/>
      <c r="V792" s="153" t="n"/>
      <c r="W792" s="153" t="n"/>
      <c r="X792" s="153" t="n"/>
      <c r="Y792" s="153" t="n"/>
      <c r="Z792" s="153" t="n"/>
    </row>
    <row r="793" ht="15.75" customHeight="1" s="154">
      <c r="I793" s="153" t="n"/>
      <c r="J793" s="153" t="n"/>
      <c r="K793" s="153" t="n"/>
      <c r="L793" s="153" t="n"/>
      <c r="M793" s="153" t="n"/>
      <c r="N793" s="153" t="n"/>
      <c r="O793" s="153" t="n"/>
      <c r="P793" s="153" t="n"/>
      <c r="Q793" s="153" t="n"/>
      <c r="R793" s="153" t="n"/>
      <c r="S793" s="153" t="n"/>
      <c r="T793" s="153" t="n"/>
      <c r="U793" s="153" t="n"/>
      <c r="V793" s="153" t="n"/>
      <c r="W793" s="153" t="n"/>
      <c r="X793" s="153" t="n"/>
      <c r="Y793" s="153" t="n"/>
      <c r="Z793" s="153" t="n"/>
    </row>
    <row r="794" ht="15.75" customHeight="1" s="154">
      <c r="I794" s="153" t="n"/>
      <c r="J794" s="153" t="n"/>
      <c r="K794" s="153" t="n"/>
      <c r="L794" s="153" t="n"/>
      <c r="M794" s="153" t="n"/>
      <c r="N794" s="153" t="n"/>
      <c r="O794" s="153" t="n"/>
      <c r="P794" s="153" t="n"/>
      <c r="Q794" s="153" t="n"/>
      <c r="R794" s="153" t="n"/>
      <c r="S794" s="153" t="n"/>
      <c r="T794" s="153" t="n"/>
      <c r="U794" s="153" t="n"/>
      <c r="V794" s="153" t="n"/>
      <c r="W794" s="153" t="n"/>
      <c r="X794" s="153" t="n"/>
      <c r="Y794" s="153" t="n"/>
      <c r="Z794" s="153" t="n"/>
    </row>
    <row r="795" ht="15.75" customHeight="1" s="154">
      <c r="I795" s="153" t="n"/>
      <c r="J795" s="153" t="n"/>
      <c r="K795" s="153" t="n"/>
      <c r="L795" s="153" t="n"/>
      <c r="M795" s="153" t="n"/>
      <c r="N795" s="153" t="n"/>
      <c r="O795" s="153" t="n"/>
      <c r="P795" s="153" t="n"/>
      <c r="Q795" s="153" t="n"/>
      <c r="R795" s="153" t="n"/>
      <c r="S795" s="153" t="n"/>
      <c r="T795" s="153" t="n"/>
      <c r="U795" s="153" t="n"/>
      <c r="V795" s="153" t="n"/>
      <c r="W795" s="153" t="n"/>
      <c r="X795" s="153" t="n"/>
      <c r="Y795" s="153" t="n"/>
      <c r="Z795" s="153" t="n"/>
    </row>
    <row r="796" ht="15.75" customHeight="1" s="154">
      <c r="I796" s="153" t="n"/>
      <c r="J796" s="153" t="n"/>
      <c r="K796" s="153" t="n"/>
      <c r="L796" s="153" t="n"/>
      <c r="M796" s="153" t="n"/>
      <c r="N796" s="153" t="n"/>
      <c r="O796" s="153" t="n"/>
      <c r="P796" s="153" t="n"/>
      <c r="Q796" s="153" t="n"/>
      <c r="R796" s="153" t="n"/>
      <c r="S796" s="153" t="n"/>
      <c r="T796" s="153" t="n"/>
      <c r="U796" s="153" t="n"/>
      <c r="V796" s="153" t="n"/>
      <c r="W796" s="153" t="n"/>
      <c r="X796" s="153" t="n"/>
      <c r="Y796" s="153" t="n"/>
      <c r="Z796" s="153" t="n"/>
    </row>
    <row r="797" ht="15.75" customHeight="1" s="154">
      <c r="I797" s="153" t="n"/>
      <c r="J797" s="153" t="n"/>
      <c r="K797" s="153" t="n"/>
      <c r="L797" s="153" t="n"/>
      <c r="M797" s="153" t="n"/>
      <c r="N797" s="153" t="n"/>
      <c r="O797" s="153" t="n"/>
      <c r="P797" s="153" t="n"/>
      <c r="Q797" s="153" t="n"/>
      <c r="R797" s="153" t="n"/>
      <c r="S797" s="153" t="n"/>
      <c r="T797" s="153" t="n"/>
      <c r="U797" s="153" t="n"/>
      <c r="V797" s="153" t="n"/>
      <c r="W797" s="153" t="n"/>
      <c r="X797" s="153" t="n"/>
      <c r="Y797" s="153" t="n"/>
      <c r="Z797" s="153" t="n"/>
    </row>
    <row r="798" ht="15.75" customHeight="1" s="154">
      <c r="I798" s="153" t="n"/>
      <c r="J798" s="153" t="n"/>
      <c r="K798" s="153" t="n"/>
      <c r="L798" s="153" t="n"/>
      <c r="M798" s="153" t="n"/>
      <c r="N798" s="153" t="n"/>
      <c r="O798" s="153" t="n"/>
      <c r="P798" s="153" t="n"/>
      <c r="Q798" s="153" t="n"/>
      <c r="R798" s="153" t="n"/>
      <c r="S798" s="153" t="n"/>
      <c r="T798" s="153" t="n"/>
      <c r="U798" s="153" t="n"/>
      <c r="V798" s="153" t="n"/>
      <c r="W798" s="153" t="n"/>
      <c r="X798" s="153" t="n"/>
      <c r="Y798" s="153" t="n"/>
      <c r="Z798" s="153" t="n"/>
    </row>
    <row r="799" ht="15.75" customHeight="1" s="154">
      <c r="I799" s="153" t="n"/>
      <c r="J799" s="153" t="n"/>
      <c r="K799" s="153" t="n"/>
      <c r="L799" s="153" t="n"/>
      <c r="M799" s="153" t="n"/>
      <c r="N799" s="153" t="n"/>
      <c r="O799" s="153" t="n"/>
      <c r="P799" s="153" t="n"/>
      <c r="Q799" s="153" t="n"/>
      <c r="R799" s="153" t="n"/>
      <c r="S799" s="153" t="n"/>
      <c r="T799" s="153" t="n"/>
      <c r="U799" s="153" t="n"/>
      <c r="V799" s="153" t="n"/>
      <c r="W799" s="153" t="n"/>
      <c r="X799" s="153" t="n"/>
      <c r="Y799" s="153" t="n"/>
      <c r="Z799" s="153" t="n"/>
    </row>
    <row r="800" ht="15.75" customHeight="1" s="154">
      <c r="I800" s="153" t="n"/>
      <c r="J800" s="153" t="n"/>
      <c r="K800" s="153" t="n"/>
      <c r="L800" s="153" t="n"/>
      <c r="M800" s="153" t="n"/>
      <c r="N800" s="153" t="n"/>
      <c r="O800" s="153" t="n"/>
      <c r="P800" s="153" t="n"/>
      <c r="Q800" s="153" t="n"/>
      <c r="R800" s="153" t="n"/>
      <c r="S800" s="153" t="n"/>
      <c r="T800" s="153" t="n"/>
      <c r="U800" s="153" t="n"/>
      <c r="V800" s="153" t="n"/>
      <c r="W800" s="153" t="n"/>
      <c r="X800" s="153" t="n"/>
      <c r="Y800" s="153" t="n"/>
      <c r="Z800" s="153" t="n"/>
    </row>
    <row r="801" ht="15.75" customHeight="1" s="154">
      <c r="I801" s="153" t="n"/>
      <c r="J801" s="153" t="n"/>
      <c r="K801" s="153" t="n"/>
      <c r="L801" s="153" t="n"/>
      <c r="M801" s="153" t="n"/>
      <c r="N801" s="153" t="n"/>
      <c r="O801" s="153" t="n"/>
      <c r="P801" s="153" t="n"/>
      <c r="Q801" s="153" t="n"/>
      <c r="R801" s="153" t="n"/>
      <c r="S801" s="153" t="n"/>
      <c r="T801" s="153" t="n"/>
      <c r="U801" s="153" t="n"/>
      <c r="V801" s="153" t="n"/>
      <c r="W801" s="153" t="n"/>
      <c r="X801" s="153" t="n"/>
      <c r="Y801" s="153" t="n"/>
      <c r="Z801" s="153" t="n"/>
    </row>
    <row r="802" ht="15.75" customHeight="1" s="154">
      <c r="I802" s="153" t="n"/>
      <c r="J802" s="153" t="n"/>
      <c r="K802" s="153" t="n"/>
      <c r="L802" s="153" t="n"/>
      <c r="M802" s="153" t="n"/>
      <c r="N802" s="153" t="n"/>
      <c r="O802" s="153" t="n"/>
      <c r="P802" s="153" t="n"/>
      <c r="Q802" s="153" t="n"/>
      <c r="R802" s="153" t="n"/>
      <c r="S802" s="153" t="n"/>
      <c r="T802" s="153" t="n"/>
      <c r="U802" s="153" t="n"/>
      <c r="V802" s="153" t="n"/>
      <c r="W802" s="153" t="n"/>
      <c r="X802" s="153" t="n"/>
      <c r="Y802" s="153" t="n"/>
      <c r="Z802" s="153" t="n"/>
    </row>
    <row r="803" ht="15.75" customHeight="1" s="154">
      <c r="I803" s="153" t="n"/>
      <c r="J803" s="153" t="n"/>
      <c r="K803" s="153" t="n"/>
      <c r="L803" s="153" t="n"/>
      <c r="M803" s="153" t="n"/>
      <c r="N803" s="153" t="n"/>
      <c r="O803" s="153" t="n"/>
      <c r="P803" s="153" t="n"/>
      <c r="Q803" s="153" t="n"/>
      <c r="R803" s="153" t="n"/>
      <c r="S803" s="153" t="n"/>
      <c r="T803" s="153" t="n"/>
      <c r="U803" s="153" t="n"/>
      <c r="V803" s="153" t="n"/>
      <c r="W803" s="153" t="n"/>
      <c r="X803" s="153" t="n"/>
      <c r="Y803" s="153" t="n"/>
      <c r="Z803" s="153" t="n"/>
    </row>
    <row r="804" ht="15.75" customHeight="1" s="154">
      <c r="I804" s="153" t="n"/>
      <c r="J804" s="153" t="n"/>
      <c r="K804" s="153" t="n"/>
      <c r="L804" s="153" t="n"/>
      <c r="M804" s="153" t="n"/>
      <c r="N804" s="153" t="n"/>
      <c r="O804" s="153" t="n"/>
      <c r="P804" s="153" t="n"/>
      <c r="Q804" s="153" t="n"/>
      <c r="R804" s="153" t="n"/>
      <c r="S804" s="153" t="n"/>
      <c r="T804" s="153" t="n"/>
      <c r="U804" s="153" t="n"/>
      <c r="V804" s="153" t="n"/>
      <c r="W804" s="153" t="n"/>
      <c r="X804" s="153" t="n"/>
      <c r="Y804" s="153" t="n"/>
      <c r="Z804" s="153" t="n"/>
    </row>
    <row r="805" ht="15.75" customHeight="1" s="154">
      <c r="I805" s="153" t="n"/>
      <c r="J805" s="153" t="n"/>
      <c r="K805" s="153" t="n"/>
      <c r="L805" s="153" t="n"/>
      <c r="M805" s="153" t="n"/>
      <c r="N805" s="153" t="n"/>
      <c r="O805" s="153" t="n"/>
      <c r="P805" s="153" t="n"/>
      <c r="Q805" s="153" t="n"/>
      <c r="R805" s="153" t="n"/>
      <c r="S805" s="153" t="n"/>
      <c r="T805" s="153" t="n"/>
      <c r="U805" s="153" t="n"/>
      <c r="V805" s="153" t="n"/>
      <c r="W805" s="153" t="n"/>
      <c r="X805" s="153" t="n"/>
      <c r="Y805" s="153" t="n"/>
      <c r="Z805" s="153" t="n"/>
    </row>
    <row r="806" ht="15.75" customHeight="1" s="154">
      <c r="I806" s="153" t="n"/>
      <c r="J806" s="153" t="n"/>
      <c r="K806" s="153" t="n"/>
      <c r="L806" s="153" t="n"/>
      <c r="M806" s="153" t="n"/>
      <c r="N806" s="153" t="n"/>
      <c r="O806" s="153" t="n"/>
      <c r="P806" s="153" t="n"/>
      <c r="Q806" s="153" t="n"/>
      <c r="R806" s="153" t="n"/>
      <c r="S806" s="153" t="n"/>
      <c r="T806" s="153" t="n"/>
      <c r="U806" s="153" t="n"/>
      <c r="V806" s="153" t="n"/>
      <c r="W806" s="153" t="n"/>
      <c r="X806" s="153" t="n"/>
      <c r="Y806" s="153" t="n"/>
      <c r="Z806" s="153" t="n"/>
    </row>
    <row r="807" ht="15.75" customHeight="1" s="154">
      <c r="I807" s="153" t="n"/>
      <c r="J807" s="153" t="n"/>
      <c r="K807" s="153" t="n"/>
      <c r="L807" s="153" t="n"/>
      <c r="M807" s="153" t="n"/>
      <c r="N807" s="153" t="n"/>
      <c r="O807" s="153" t="n"/>
      <c r="P807" s="153" t="n"/>
      <c r="Q807" s="153" t="n"/>
      <c r="R807" s="153" t="n"/>
      <c r="S807" s="153" t="n"/>
      <c r="T807" s="153" t="n"/>
      <c r="U807" s="153" t="n"/>
      <c r="V807" s="153" t="n"/>
      <c r="W807" s="153" t="n"/>
      <c r="X807" s="153" t="n"/>
      <c r="Y807" s="153" t="n"/>
      <c r="Z807" s="153" t="n"/>
    </row>
    <row r="808" ht="15.75" customHeight="1" s="154">
      <c r="I808" s="153" t="n"/>
      <c r="J808" s="153" t="n"/>
      <c r="K808" s="153" t="n"/>
      <c r="L808" s="153" t="n"/>
      <c r="M808" s="153" t="n"/>
      <c r="N808" s="153" t="n"/>
      <c r="O808" s="153" t="n"/>
      <c r="P808" s="153" t="n"/>
      <c r="Q808" s="153" t="n"/>
      <c r="R808" s="153" t="n"/>
      <c r="S808" s="153" t="n"/>
      <c r="T808" s="153" t="n"/>
      <c r="U808" s="153" t="n"/>
      <c r="V808" s="153" t="n"/>
      <c r="W808" s="153" t="n"/>
      <c r="X808" s="153" t="n"/>
      <c r="Y808" s="153" t="n"/>
      <c r="Z808" s="153" t="n"/>
    </row>
    <row r="809" ht="15.75" customHeight="1" s="154">
      <c r="I809" s="153" t="n"/>
      <c r="J809" s="153" t="n"/>
      <c r="K809" s="153" t="n"/>
      <c r="L809" s="153" t="n"/>
      <c r="M809" s="153" t="n"/>
      <c r="N809" s="153" t="n"/>
      <c r="O809" s="153" t="n"/>
      <c r="P809" s="153" t="n"/>
      <c r="Q809" s="153" t="n"/>
      <c r="R809" s="153" t="n"/>
      <c r="S809" s="153" t="n"/>
      <c r="T809" s="153" t="n"/>
      <c r="U809" s="153" t="n"/>
      <c r="V809" s="153" t="n"/>
      <c r="W809" s="153" t="n"/>
      <c r="X809" s="153" t="n"/>
      <c r="Y809" s="153" t="n"/>
      <c r="Z809" s="153" t="n"/>
    </row>
    <row r="810" ht="15.75" customHeight="1" s="154">
      <c r="I810" s="153" t="n"/>
      <c r="J810" s="153" t="n"/>
      <c r="K810" s="153" t="n"/>
      <c r="L810" s="153" t="n"/>
      <c r="M810" s="153" t="n"/>
      <c r="N810" s="153" t="n"/>
      <c r="O810" s="153" t="n"/>
      <c r="P810" s="153" t="n"/>
      <c r="Q810" s="153" t="n"/>
      <c r="R810" s="153" t="n"/>
      <c r="S810" s="153" t="n"/>
      <c r="T810" s="153" t="n"/>
      <c r="U810" s="153" t="n"/>
      <c r="V810" s="153" t="n"/>
      <c r="W810" s="153" t="n"/>
      <c r="X810" s="153" t="n"/>
      <c r="Y810" s="153" t="n"/>
      <c r="Z810" s="153" t="n"/>
    </row>
    <row r="811" ht="15.75" customHeight="1" s="154">
      <c r="I811" s="153" t="n"/>
      <c r="J811" s="153" t="n"/>
      <c r="K811" s="153" t="n"/>
      <c r="L811" s="153" t="n"/>
      <c r="M811" s="153" t="n"/>
      <c r="N811" s="153" t="n"/>
      <c r="O811" s="153" t="n"/>
      <c r="P811" s="153" t="n"/>
      <c r="Q811" s="153" t="n"/>
      <c r="R811" s="153" t="n"/>
      <c r="S811" s="153" t="n"/>
      <c r="T811" s="153" t="n"/>
      <c r="U811" s="153" t="n"/>
      <c r="V811" s="153" t="n"/>
      <c r="W811" s="153" t="n"/>
      <c r="X811" s="153" t="n"/>
      <c r="Y811" s="153" t="n"/>
      <c r="Z811" s="153" t="n"/>
    </row>
    <row r="812" ht="15.75" customHeight="1" s="154">
      <c r="I812" s="153" t="n"/>
      <c r="J812" s="153" t="n"/>
      <c r="K812" s="153" t="n"/>
      <c r="L812" s="153" t="n"/>
      <c r="M812" s="153" t="n"/>
      <c r="N812" s="153" t="n"/>
      <c r="O812" s="153" t="n"/>
      <c r="P812" s="153" t="n"/>
      <c r="Q812" s="153" t="n"/>
      <c r="R812" s="153" t="n"/>
      <c r="S812" s="153" t="n"/>
      <c r="T812" s="153" t="n"/>
      <c r="U812" s="153" t="n"/>
      <c r="V812" s="153" t="n"/>
      <c r="W812" s="153" t="n"/>
      <c r="X812" s="153" t="n"/>
      <c r="Y812" s="153" t="n"/>
      <c r="Z812" s="153" t="n"/>
    </row>
    <row r="813" ht="15.75" customHeight="1" s="154">
      <c r="I813" s="153" t="n"/>
      <c r="J813" s="153" t="n"/>
      <c r="K813" s="153" t="n"/>
      <c r="L813" s="153" t="n"/>
      <c r="M813" s="153" t="n"/>
      <c r="N813" s="153" t="n"/>
      <c r="O813" s="153" t="n"/>
      <c r="P813" s="153" t="n"/>
      <c r="Q813" s="153" t="n"/>
      <c r="R813" s="153" t="n"/>
      <c r="S813" s="153" t="n"/>
      <c r="T813" s="153" t="n"/>
      <c r="U813" s="153" t="n"/>
      <c r="V813" s="153" t="n"/>
      <c r="W813" s="153" t="n"/>
      <c r="X813" s="153" t="n"/>
      <c r="Y813" s="153" t="n"/>
      <c r="Z813" s="153" t="n"/>
    </row>
    <row r="814" ht="15.75" customHeight="1" s="154">
      <c r="I814" s="153" t="n"/>
      <c r="J814" s="153" t="n"/>
      <c r="K814" s="153" t="n"/>
      <c r="L814" s="153" t="n"/>
      <c r="M814" s="153" t="n"/>
      <c r="N814" s="153" t="n"/>
      <c r="O814" s="153" t="n"/>
      <c r="P814" s="153" t="n"/>
      <c r="Q814" s="153" t="n"/>
      <c r="R814" s="153" t="n"/>
      <c r="S814" s="153" t="n"/>
      <c r="T814" s="153" t="n"/>
      <c r="U814" s="153" t="n"/>
      <c r="V814" s="153" t="n"/>
      <c r="W814" s="153" t="n"/>
      <c r="X814" s="153" t="n"/>
      <c r="Y814" s="153" t="n"/>
      <c r="Z814" s="153" t="n"/>
    </row>
    <row r="815" ht="15.75" customHeight="1" s="154">
      <c r="I815" s="153" t="n"/>
      <c r="J815" s="153" t="n"/>
      <c r="K815" s="153" t="n"/>
      <c r="L815" s="153" t="n"/>
      <c r="M815" s="153" t="n"/>
      <c r="N815" s="153" t="n"/>
      <c r="O815" s="153" t="n"/>
      <c r="P815" s="153" t="n"/>
      <c r="Q815" s="153" t="n"/>
      <c r="R815" s="153" t="n"/>
      <c r="S815" s="153" t="n"/>
      <c r="T815" s="153" t="n"/>
      <c r="U815" s="153" t="n"/>
      <c r="V815" s="153" t="n"/>
      <c r="W815" s="153" t="n"/>
      <c r="X815" s="153" t="n"/>
      <c r="Y815" s="153" t="n"/>
      <c r="Z815" s="153" t="n"/>
    </row>
    <row r="816" ht="15.75" customHeight="1" s="154">
      <c r="I816" s="153" t="n"/>
      <c r="J816" s="153" t="n"/>
      <c r="K816" s="153" t="n"/>
      <c r="L816" s="153" t="n"/>
      <c r="M816" s="153" t="n"/>
      <c r="N816" s="153" t="n"/>
      <c r="O816" s="153" t="n"/>
      <c r="P816" s="153" t="n"/>
      <c r="Q816" s="153" t="n"/>
      <c r="R816" s="153" t="n"/>
      <c r="S816" s="153" t="n"/>
      <c r="T816" s="153" t="n"/>
      <c r="U816" s="153" t="n"/>
      <c r="V816" s="153" t="n"/>
      <c r="W816" s="153" t="n"/>
      <c r="X816" s="153" t="n"/>
      <c r="Y816" s="153" t="n"/>
      <c r="Z816" s="153" t="n"/>
    </row>
    <row r="817" ht="15.75" customHeight="1" s="154">
      <c r="I817" s="153" t="n"/>
      <c r="J817" s="153" t="n"/>
      <c r="K817" s="153" t="n"/>
      <c r="L817" s="153" t="n"/>
      <c r="M817" s="153" t="n"/>
      <c r="N817" s="153" t="n"/>
      <c r="O817" s="153" t="n"/>
      <c r="P817" s="153" t="n"/>
      <c r="Q817" s="153" t="n"/>
      <c r="R817" s="153" t="n"/>
      <c r="S817" s="153" t="n"/>
      <c r="T817" s="153" t="n"/>
      <c r="U817" s="153" t="n"/>
      <c r="V817" s="153" t="n"/>
      <c r="W817" s="153" t="n"/>
      <c r="X817" s="153" t="n"/>
      <c r="Y817" s="153" t="n"/>
      <c r="Z817" s="153" t="n"/>
    </row>
    <row r="818" ht="15.75" customHeight="1" s="154">
      <c r="I818" s="153" t="n"/>
      <c r="J818" s="153" t="n"/>
      <c r="K818" s="153" t="n"/>
      <c r="L818" s="153" t="n"/>
      <c r="M818" s="153" t="n"/>
      <c r="N818" s="153" t="n"/>
      <c r="O818" s="153" t="n"/>
      <c r="P818" s="153" t="n"/>
      <c r="Q818" s="153" t="n"/>
      <c r="R818" s="153" t="n"/>
      <c r="S818" s="153" t="n"/>
      <c r="T818" s="153" t="n"/>
      <c r="U818" s="153" t="n"/>
      <c r="V818" s="153" t="n"/>
      <c r="W818" s="153" t="n"/>
      <c r="X818" s="153" t="n"/>
      <c r="Y818" s="153" t="n"/>
      <c r="Z818" s="153" t="n"/>
    </row>
    <row r="819" ht="15.75" customHeight="1" s="154">
      <c r="I819" s="153" t="n"/>
      <c r="J819" s="153" t="n"/>
      <c r="K819" s="153" t="n"/>
      <c r="L819" s="153" t="n"/>
      <c r="M819" s="153" t="n"/>
      <c r="N819" s="153" t="n"/>
      <c r="O819" s="153" t="n"/>
      <c r="P819" s="153" t="n"/>
      <c r="Q819" s="153" t="n"/>
      <c r="R819" s="153" t="n"/>
      <c r="S819" s="153" t="n"/>
      <c r="T819" s="153" t="n"/>
      <c r="U819" s="153" t="n"/>
      <c r="V819" s="153" t="n"/>
      <c r="W819" s="153" t="n"/>
      <c r="X819" s="153" t="n"/>
      <c r="Y819" s="153" t="n"/>
      <c r="Z819" s="153" t="n"/>
    </row>
    <row r="820" ht="15.75" customHeight="1" s="154">
      <c r="I820" s="153" t="n"/>
      <c r="J820" s="153" t="n"/>
      <c r="K820" s="153" t="n"/>
      <c r="L820" s="153" t="n"/>
      <c r="M820" s="153" t="n"/>
      <c r="N820" s="153" t="n"/>
      <c r="O820" s="153" t="n"/>
      <c r="P820" s="153" t="n"/>
      <c r="Q820" s="153" t="n"/>
      <c r="R820" s="153" t="n"/>
      <c r="S820" s="153" t="n"/>
      <c r="T820" s="153" t="n"/>
      <c r="U820" s="153" t="n"/>
      <c r="V820" s="153" t="n"/>
      <c r="W820" s="153" t="n"/>
      <c r="X820" s="153" t="n"/>
      <c r="Y820" s="153" t="n"/>
      <c r="Z820" s="153" t="n"/>
    </row>
    <row r="821" ht="15.75" customHeight="1" s="154">
      <c r="I821" s="153" t="n"/>
      <c r="J821" s="153" t="n"/>
      <c r="K821" s="153" t="n"/>
      <c r="L821" s="153" t="n"/>
      <c r="M821" s="153" t="n"/>
      <c r="N821" s="153" t="n"/>
      <c r="O821" s="153" t="n"/>
      <c r="P821" s="153" t="n"/>
      <c r="Q821" s="153" t="n"/>
      <c r="R821" s="153" t="n"/>
      <c r="S821" s="153" t="n"/>
      <c r="T821" s="153" t="n"/>
      <c r="U821" s="153" t="n"/>
      <c r="V821" s="153" t="n"/>
      <c r="W821" s="153" t="n"/>
      <c r="X821" s="153" t="n"/>
      <c r="Y821" s="153" t="n"/>
      <c r="Z821" s="153" t="n"/>
    </row>
    <row r="822" ht="15.75" customHeight="1" s="154">
      <c r="I822" s="153" t="n"/>
      <c r="J822" s="153" t="n"/>
      <c r="K822" s="153" t="n"/>
      <c r="L822" s="153" t="n"/>
      <c r="M822" s="153" t="n"/>
      <c r="N822" s="153" t="n"/>
      <c r="O822" s="153" t="n"/>
      <c r="P822" s="153" t="n"/>
      <c r="Q822" s="153" t="n"/>
      <c r="R822" s="153" t="n"/>
      <c r="S822" s="153" t="n"/>
      <c r="T822" s="153" t="n"/>
      <c r="U822" s="153" t="n"/>
      <c r="V822" s="153" t="n"/>
      <c r="W822" s="153" t="n"/>
      <c r="X822" s="153" t="n"/>
      <c r="Y822" s="153" t="n"/>
      <c r="Z822" s="153" t="n"/>
    </row>
    <row r="823" ht="15.75" customHeight="1" s="154">
      <c r="I823" s="153" t="n"/>
      <c r="J823" s="153" t="n"/>
      <c r="K823" s="153" t="n"/>
      <c r="L823" s="153" t="n"/>
      <c r="M823" s="153" t="n"/>
      <c r="N823" s="153" t="n"/>
      <c r="O823" s="153" t="n"/>
      <c r="P823" s="153" t="n"/>
      <c r="Q823" s="153" t="n"/>
      <c r="R823" s="153" t="n"/>
      <c r="S823" s="153" t="n"/>
      <c r="T823" s="153" t="n"/>
      <c r="U823" s="153" t="n"/>
      <c r="V823" s="153" t="n"/>
      <c r="W823" s="153" t="n"/>
      <c r="X823" s="153" t="n"/>
      <c r="Y823" s="153" t="n"/>
      <c r="Z823" s="153" t="n"/>
    </row>
    <row r="824" ht="15.75" customHeight="1" s="154">
      <c r="I824" s="153" t="n"/>
      <c r="J824" s="153" t="n"/>
      <c r="K824" s="153" t="n"/>
      <c r="L824" s="153" t="n"/>
      <c r="M824" s="153" t="n"/>
      <c r="N824" s="153" t="n"/>
      <c r="O824" s="153" t="n"/>
      <c r="P824" s="153" t="n"/>
      <c r="Q824" s="153" t="n"/>
      <c r="R824" s="153" t="n"/>
      <c r="S824" s="153" t="n"/>
      <c r="T824" s="153" t="n"/>
      <c r="U824" s="153" t="n"/>
      <c r="V824" s="153" t="n"/>
      <c r="W824" s="153" t="n"/>
      <c r="X824" s="153" t="n"/>
      <c r="Y824" s="153" t="n"/>
      <c r="Z824" s="153" t="n"/>
    </row>
    <row r="825" ht="15.75" customHeight="1" s="154">
      <c r="I825" s="153" t="n"/>
      <c r="J825" s="153" t="n"/>
      <c r="K825" s="153" t="n"/>
      <c r="L825" s="153" t="n"/>
      <c r="M825" s="153" t="n"/>
      <c r="N825" s="153" t="n"/>
      <c r="O825" s="153" t="n"/>
      <c r="P825" s="153" t="n"/>
      <c r="Q825" s="153" t="n"/>
      <c r="R825" s="153" t="n"/>
      <c r="S825" s="153" t="n"/>
      <c r="T825" s="153" t="n"/>
      <c r="U825" s="153" t="n"/>
      <c r="V825" s="153" t="n"/>
      <c r="W825" s="153" t="n"/>
      <c r="X825" s="153" t="n"/>
      <c r="Y825" s="153" t="n"/>
      <c r="Z825" s="153" t="n"/>
    </row>
    <row r="826" ht="15.75" customHeight="1" s="154">
      <c r="I826" s="153" t="n"/>
      <c r="J826" s="153" t="n"/>
      <c r="K826" s="153" t="n"/>
      <c r="L826" s="153" t="n"/>
      <c r="M826" s="153" t="n"/>
      <c r="N826" s="153" t="n"/>
      <c r="O826" s="153" t="n"/>
      <c r="P826" s="153" t="n"/>
      <c r="Q826" s="153" t="n"/>
      <c r="R826" s="153" t="n"/>
      <c r="S826" s="153" t="n"/>
      <c r="T826" s="153" t="n"/>
      <c r="U826" s="153" t="n"/>
      <c r="V826" s="153" t="n"/>
      <c r="W826" s="153" t="n"/>
      <c r="X826" s="153" t="n"/>
      <c r="Y826" s="153" t="n"/>
      <c r="Z826" s="153" t="n"/>
    </row>
    <row r="827" ht="15.75" customHeight="1" s="154">
      <c r="I827" s="153" t="n"/>
      <c r="J827" s="153" t="n"/>
      <c r="K827" s="153" t="n"/>
      <c r="L827" s="153" t="n"/>
      <c r="M827" s="153" t="n"/>
      <c r="N827" s="153" t="n"/>
      <c r="O827" s="153" t="n"/>
      <c r="P827" s="153" t="n"/>
      <c r="Q827" s="153" t="n"/>
      <c r="R827" s="153" t="n"/>
      <c r="S827" s="153" t="n"/>
      <c r="T827" s="153" t="n"/>
      <c r="U827" s="153" t="n"/>
      <c r="V827" s="153" t="n"/>
      <c r="W827" s="153" t="n"/>
      <c r="X827" s="153" t="n"/>
      <c r="Y827" s="153" t="n"/>
      <c r="Z827" s="153" t="n"/>
    </row>
    <row r="828" ht="15.75" customHeight="1" s="154">
      <c r="I828" s="153" t="n"/>
      <c r="J828" s="153" t="n"/>
      <c r="K828" s="153" t="n"/>
      <c r="L828" s="153" t="n"/>
      <c r="M828" s="153" t="n"/>
      <c r="N828" s="153" t="n"/>
      <c r="O828" s="153" t="n"/>
      <c r="P828" s="153" t="n"/>
      <c r="Q828" s="153" t="n"/>
      <c r="R828" s="153" t="n"/>
      <c r="S828" s="153" t="n"/>
      <c r="T828" s="153" t="n"/>
      <c r="U828" s="153" t="n"/>
      <c r="V828" s="153" t="n"/>
      <c r="W828" s="153" t="n"/>
      <c r="X828" s="153" t="n"/>
      <c r="Y828" s="153" t="n"/>
      <c r="Z828" s="153" t="n"/>
    </row>
    <row r="829" ht="15.75" customHeight="1" s="154">
      <c r="I829" s="153" t="n"/>
      <c r="J829" s="153" t="n"/>
      <c r="K829" s="153" t="n"/>
      <c r="L829" s="153" t="n"/>
      <c r="M829" s="153" t="n"/>
      <c r="N829" s="153" t="n"/>
      <c r="O829" s="153" t="n"/>
      <c r="P829" s="153" t="n"/>
      <c r="Q829" s="153" t="n"/>
      <c r="R829" s="153" t="n"/>
      <c r="S829" s="153" t="n"/>
      <c r="T829" s="153" t="n"/>
      <c r="U829" s="153" t="n"/>
      <c r="V829" s="153" t="n"/>
      <c r="W829" s="153" t="n"/>
      <c r="X829" s="153" t="n"/>
      <c r="Y829" s="153" t="n"/>
      <c r="Z829" s="153" t="n"/>
    </row>
    <row r="830" ht="15.75" customHeight="1" s="154">
      <c r="I830" s="153" t="n"/>
      <c r="J830" s="153" t="n"/>
      <c r="K830" s="153" t="n"/>
      <c r="L830" s="153" t="n"/>
      <c r="M830" s="153" t="n"/>
      <c r="N830" s="153" t="n"/>
      <c r="O830" s="153" t="n"/>
      <c r="P830" s="153" t="n"/>
      <c r="Q830" s="153" t="n"/>
      <c r="R830" s="153" t="n"/>
      <c r="S830" s="153" t="n"/>
      <c r="T830" s="153" t="n"/>
      <c r="U830" s="153" t="n"/>
      <c r="V830" s="153" t="n"/>
      <c r="W830" s="153" t="n"/>
      <c r="X830" s="153" t="n"/>
      <c r="Y830" s="153" t="n"/>
      <c r="Z830" s="153" t="n"/>
    </row>
    <row r="831" ht="15.75" customHeight="1" s="154">
      <c r="I831" s="153" t="n"/>
      <c r="J831" s="153" t="n"/>
      <c r="K831" s="153" t="n"/>
      <c r="L831" s="153" t="n"/>
      <c r="M831" s="153" t="n"/>
      <c r="N831" s="153" t="n"/>
      <c r="O831" s="153" t="n"/>
      <c r="P831" s="153" t="n"/>
      <c r="Q831" s="153" t="n"/>
      <c r="R831" s="153" t="n"/>
      <c r="S831" s="153" t="n"/>
      <c r="T831" s="153" t="n"/>
      <c r="U831" s="153" t="n"/>
      <c r="V831" s="153" t="n"/>
      <c r="W831" s="153" t="n"/>
      <c r="X831" s="153" t="n"/>
      <c r="Y831" s="153" t="n"/>
      <c r="Z831" s="153" t="n"/>
    </row>
    <row r="832" ht="15.75" customHeight="1" s="154">
      <c r="I832" s="153" t="n"/>
      <c r="J832" s="153" t="n"/>
      <c r="K832" s="153" t="n"/>
      <c r="L832" s="153" t="n"/>
      <c r="M832" s="153" t="n"/>
      <c r="N832" s="153" t="n"/>
      <c r="O832" s="153" t="n"/>
      <c r="P832" s="153" t="n"/>
      <c r="Q832" s="153" t="n"/>
      <c r="R832" s="153" t="n"/>
      <c r="S832" s="153" t="n"/>
      <c r="T832" s="153" t="n"/>
      <c r="U832" s="153" t="n"/>
      <c r="V832" s="153" t="n"/>
      <c r="W832" s="153" t="n"/>
      <c r="X832" s="153" t="n"/>
      <c r="Y832" s="153" t="n"/>
      <c r="Z832" s="153" t="n"/>
    </row>
    <row r="833" ht="15.75" customHeight="1" s="154">
      <c r="I833" s="153" t="n"/>
      <c r="J833" s="153" t="n"/>
      <c r="K833" s="153" t="n"/>
      <c r="L833" s="153" t="n"/>
      <c r="M833" s="153" t="n"/>
      <c r="N833" s="153" t="n"/>
      <c r="O833" s="153" t="n"/>
      <c r="P833" s="153" t="n"/>
      <c r="Q833" s="153" t="n"/>
      <c r="R833" s="153" t="n"/>
      <c r="S833" s="153" t="n"/>
      <c r="T833" s="153" t="n"/>
      <c r="U833" s="153" t="n"/>
      <c r="V833" s="153" t="n"/>
      <c r="W833" s="153" t="n"/>
      <c r="X833" s="153" t="n"/>
      <c r="Y833" s="153" t="n"/>
      <c r="Z833" s="153" t="n"/>
    </row>
    <row r="834" ht="15.75" customHeight="1" s="154">
      <c r="I834" s="153" t="n"/>
      <c r="J834" s="153" t="n"/>
      <c r="K834" s="153" t="n"/>
      <c r="L834" s="153" t="n"/>
      <c r="M834" s="153" t="n"/>
      <c r="N834" s="153" t="n"/>
      <c r="O834" s="153" t="n"/>
      <c r="P834" s="153" t="n"/>
      <c r="Q834" s="153" t="n"/>
      <c r="R834" s="153" t="n"/>
      <c r="S834" s="153" t="n"/>
      <c r="T834" s="153" t="n"/>
      <c r="U834" s="153" t="n"/>
      <c r="V834" s="153" t="n"/>
      <c r="W834" s="153" t="n"/>
      <c r="X834" s="153" t="n"/>
      <c r="Y834" s="153" t="n"/>
      <c r="Z834" s="153" t="n"/>
    </row>
    <row r="835" ht="15.75" customHeight="1" s="154">
      <c r="I835" s="153" t="n"/>
      <c r="J835" s="153" t="n"/>
      <c r="K835" s="153" t="n"/>
      <c r="L835" s="153" t="n"/>
      <c r="M835" s="153" t="n"/>
      <c r="N835" s="153" t="n"/>
      <c r="O835" s="153" t="n"/>
      <c r="P835" s="153" t="n"/>
      <c r="Q835" s="153" t="n"/>
      <c r="R835" s="153" t="n"/>
      <c r="S835" s="153" t="n"/>
      <c r="T835" s="153" t="n"/>
      <c r="U835" s="153" t="n"/>
      <c r="V835" s="153" t="n"/>
      <c r="W835" s="153" t="n"/>
      <c r="X835" s="153" t="n"/>
      <c r="Y835" s="153" t="n"/>
      <c r="Z835" s="153" t="n"/>
    </row>
    <row r="836" ht="15.75" customHeight="1" s="154">
      <c r="I836" s="153" t="n"/>
      <c r="J836" s="153" t="n"/>
      <c r="K836" s="153" t="n"/>
      <c r="L836" s="153" t="n"/>
      <c r="M836" s="153" t="n"/>
      <c r="N836" s="153" t="n"/>
      <c r="O836" s="153" t="n"/>
      <c r="P836" s="153" t="n"/>
      <c r="Q836" s="153" t="n"/>
      <c r="R836" s="153" t="n"/>
      <c r="S836" s="153" t="n"/>
      <c r="T836" s="153" t="n"/>
      <c r="U836" s="153" t="n"/>
      <c r="V836" s="153" t="n"/>
      <c r="W836" s="153" t="n"/>
      <c r="X836" s="153" t="n"/>
      <c r="Y836" s="153" t="n"/>
      <c r="Z836" s="153" t="n"/>
    </row>
    <row r="837" ht="15.75" customHeight="1" s="154">
      <c r="I837" s="153" t="n"/>
      <c r="J837" s="153" t="n"/>
      <c r="K837" s="153" t="n"/>
      <c r="L837" s="153" t="n"/>
      <c r="M837" s="153" t="n"/>
      <c r="N837" s="153" t="n"/>
      <c r="O837" s="153" t="n"/>
      <c r="P837" s="153" t="n"/>
      <c r="Q837" s="153" t="n"/>
      <c r="R837" s="153" t="n"/>
      <c r="S837" s="153" t="n"/>
      <c r="T837" s="153" t="n"/>
      <c r="U837" s="153" t="n"/>
      <c r="V837" s="153" t="n"/>
      <c r="W837" s="153" t="n"/>
      <c r="X837" s="153" t="n"/>
      <c r="Y837" s="153" t="n"/>
      <c r="Z837" s="153" t="n"/>
    </row>
    <row r="838" ht="15.75" customHeight="1" s="154">
      <c r="I838" s="153" t="n"/>
      <c r="J838" s="153" t="n"/>
      <c r="K838" s="153" t="n"/>
      <c r="L838" s="153" t="n"/>
      <c r="M838" s="153" t="n"/>
      <c r="N838" s="153" t="n"/>
      <c r="O838" s="153" t="n"/>
      <c r="P838" s="153" t="n"/>
      <c r="Q838" s="153" t="n"/>
      <c r="R838" s="153" t="n"/>
      <c r="S838" s="153" t="n"/>
      <c r="T838" s="153" t="n"/>
      <c r="U838" s="153" t="n"/>
      <c r="V838" s="153" t="n"/>
      <c r="W838" s="153" t="n"/>
      <c r="X838" s="153" t="n"/>
      <c r="Y838" s="153" t="n"/>
      <c r="Z838" s="153" t="n"/>
    </row>
    <row r="839" ht="15.75" customHeight="1" s="154">
      <c r="I839" s="153" t="n"/>
      <c r="J839" s="153" t="n"/>
      <c r="K839" s="153" t="n"/>
      <c r="L839" s="153" t="n"/>
      <c r="M839" s="153" t="n"/>
      <c r="N839" s="153" t="n"/>
      <c r="O839" s="153" t="n"/>
      <c r="P839" s="153" t="n"/>
      <c r="Q839" s="153" t="n"/>
      <c r="R839" s="153" t="n"/>
      <c r="S839" s="153" t="n"/>
      <c r="T839" s="153" t="n"/>
      <c r="U839" s="153" t="n"/>
      <c r="V839" s="153" t="n"/>
      <c r="W839" s="153" t="n"/>
      <c r="X839" s="153" t="n"/>
      <c r="Y839" s="153" t="n"/>
      <c r="Z839" s="153" t="n"/>
    </row>
    <row r="840" ht="15.75" customHeight="1" s="154">
      <c r="I840" s="153" t="n"/>
      <c r="J840" s="153" t="n"/>
      <c r="K840" s="153" t="n"/>
      <c r="L840" s="153" t="n"/>
      <c r="M840" s="153" t="n"/>
      <c r="N840" s="153" t="n"/>
      <c r="O840" s="153" t="n"/>
      <c r="P840" s="153" t="n"/>
      <c r="Q840" s="153" t="n"/>
      <c r="R840" s="153" t="n"/>
      <c r="S840" s="153" t="n"/>
      <c r="T840" s="153" t="n"/>
      <c r="U840" s="153" t="n"/>
      <c r="V840" s="153" t="n"/>
      <c r="W840" s="153" t="n"/>
      <c r="X840" s="153" t="n"/>
      <c r="Y840" s="153" t="n"/>
      <c r="Z840" s="153" t="n"/>
    </row>
    <row r="841" ht="15.75" customHeight="1" s="154">
      <c r="I841" s="153" t="n"/>
      <c r="J841" s="153" t="n"/>
      <c r="K841" s="153" t="n"/>
      <c r="L841" s="153" t="n"/>
      <c r="M841" s="153" t="n"/>
      <c r="N841" s="153" t="n"/>
      <c r="O841" s="153" t="n"/>
      <c r="P841" s="153" t="n"/>
      <c r="Q841" s="153" t="n"/>
      <c r="R841" s="153" t="n"/>
      <c r="S841" s="153" t="n"/>
      <c r="T841" s="153" t="n"/>
      <c r="U841" s="153" t="n"/>
      <c r="V841" s="153" t="n"/>
      <c r="W841" s="153" t="n"/>
      <c r="X841" s="153" t="n"/>
      <c r="Y841" s="153" t="n"/>
      <c r="Z841" s="153" t="n"/>
    </row>
    <row r="842" ht="15.75" customHeight="1" s="154">
      <c r="I842" s="153" t="n"/>
      <c r="J842" s="153" t="n"/>
      <c r="K842" s="153" t="n"/>
      <c r="L842" s="153" t="n"/>
      <c r="M842" s="153" t="n"/>
      <c r="N842" s="153" t="n"/>
      <c r="O842" s="153" t="n"/>
      <c r="P842" s="153" t="n"/>
      <c r="Q842" s="153" t="n"/>
      <c r="R842" s="153" t="n"/>
      <c r="S842" s="153" t="n"/>
      <c r="T842" s="153" t="n"/>
      <c r="U842" s="153" t="n"/>
      <c r="V842" s="153" t="n"/>
      <c r="W842" s="153" t="n"/>
      <c r="X842" s="153" t="n"/>
      <c r="Y842" s="153" t="n"/>
      <c r="Z842" s="153" t="n"/>
    </row>
    <row r="843" ht="15.75" customHeight="1" s="154">
      <c r="I843" s="153" t="n"/>
      <c r="J843" s="153" t="n"/>
      <c r="K843" s="153" t="n"/>
      <c r="L843" s="153" t="n"/>
      <c r="M843" s="153" t="n"/>
      <c r="N843" s="153" t="n"/>
      <c r="O843" s="153" t="n"/>
      <c r="P843" s="153" t="n"/>
      <c r="Q843" s="153" t="n"/>
      <c r="R843" s="153" t="n"/>
      <c r="S843" s="153" t="n"/>
      <c r="T843" s="153" t="n"/>
      <c r="U843" s="153" t="n"/>
      <c r="V843" s="153" t="n"/>
      <c r="W843" s="153" t="n"/>
      <c r="X843" s="153" t="n"/>
      <c r="Y843" s="153" t="n"/>
      <c r="Z843" s="153" t="n"/>
    </row>
    <row r="844" ht="15.75" customHeight="1" s="154">
      <c r="I844" s="153" t="n"/>
      <c r="J844" s="153" t="n"/>
      <c r="K844" s="153" t="n"/>
      <c r="L844" s="153" t="n"/>
      <c r="M844" s="153" t="n"/>
      <c r="N844" s="153" t="n"/>
      <c r="O844" s="153" t="n"/>
      <c r="P844" s="153" t="n"/>
      <c r="Q844" s="153" t="n"/>
      <c r="R844" s="153" t="n"/>
      <c r="S844" s="153" t="n"/>
      <c r="T844" s="153" t="n"/>
      <c r="U844" s="153" t="n"/>
      <c r="V844" s="153" t="n"/>
      <c r="W844" s="153" t="n"/>
      <c r="X844" s="153" t="n"/>
      <c r="Y844" s="153" t="n"/>
      <c r="Z844" s="153" t="n"/>
    </row>
    <row r="845" ht="15.75" customHeight="1" s="154">
      <c r="I845" s="153" t="n"/>
      <c r="J845" s="153" t="n"/>
      <c r="K845" s="153" t="n"/>
      <c r="L845" s="153" t="n"/>
      <c r="M845" s="153" t="n"/>
      <c r="N845" s="153" t="n"/>
      <c r="O845" s="153" t="n"/>
      <c r="P845" s="153" t="n"/>
      <c r="Q845" s="153" t="n"/>
      <c r="R845" s="153" t="n"/>
      <c r="S845" s="153" t="n"/>
      <c r="T845" s="153" t="n"/>
      <c r="U845" s="153" t="n"/>
      <c r="V845" s="153" t="n"/>
      <c r="W845" s="153" t="n"/>
      <c r="X845" s="153" t="n"/>
      <c r="Y845" s="153" t="n"/>
      <c r="Z845" s="153" t="n"/>
    </row>
    <row r="846" ht="15.75" customHeight="1" s="154">
      <c r="I846" s="153" t="n"/>
      <c r="J846" s="153" t="n"/>
      <c r="K846" s="153" t="n"/>
      <c r="L846" s="153" t="n"/>
      <c r="M846" s="153" t="n"/>
      <c r="N846" s="153" t="n"/>
      <c r="O846" s="153" t="n"/>
      <c r="P846" s="153" t="n"/>
      <c r="Q846" s="153" t="n"/>
      <c r="R846" s="153" t="n"/>
      <c r="S846" s="153" t="n"/>
      <c r="T846" s="153" t="n"/>
      <c r="U846" s="153" t="n"/>
      <c r="V846" s="153" t="n"/>
      <c r="W846" s="153" t="n"/>
      <c r="X846" s="153" t="n"/>
      <c r="Y846" s="153" t="n"/>
      <c r="Z846" s="153" t="n"/>
    </row>
    <row r="847" ht="15.75" customHeight="1" s="154">
      <c r="I847" s="153" t="n"/>
      <c r="J847" s="153" t="n"/>
      <c r="K847" s="153" t="n"/>
      <c r="L847" s="153" t="n"/>
      <c r="M847" s="153" t="n"/>
      <c r="N847" s="153" t="n"/>
      <c r="O847" s="153" t="n"/>
      <c r="P847" s="153" t="n"/>
      <c r="Q847" s="153" t="n"/>
      <c r="R847" s="153" t="n"/>
      <c r="S847" s="153" t="n"/>
      <c r="T847" s="153" t="n"/>
      <c r="U847" s="153" t="n"/>
      <c r="V847" s="153" t="n"/>
      <c r="W847" s="153" t="n"/>
      <c r="X847" s="153" t="n"/>
      <c r="Y847" s="153" t="n"/>
      <c r="Z847" s="153" t="n"/>
    </row>
    <row r="848" ht="15.75" customHeight="1" s="154">
      <c r="I848" s="153" t="n"/>
      <c r="J848" s="153" t="n"/>
      <c r="K848" s="153" t="n"/>
      <c r="L848" s="153" t="n"/>
      <c r="M848" s="153" t="n"/>
      <c r="N848" s="153" t="n"/>
      <c r="O848" s="153" t="n"/>
      <c r="P848" s="153" t="n"/>
      <c r="Q848" s="153" t="n"/>
      <c r="R848" s="153" t="n"/>
      <c r="S848" s="153" t="n"/>
      <c r="T848" s="153" t="n"/>
      <c r="U848" s="153" t="n"/>
      <c r="V848" s="153" t="n"/>
      <c r="W848" s="153" t="n"/>
      <c r="X848" s="153" t="n"/>
      <c r="Y848" s="153" t="n"/>
      <c r="Z848" s="153" t="n"/>
    </row>
    <row r="849" ht="15.75" customHeight="1" s="154">
      <c r="I849" s="153" t="n"/>
      <c r="J849" s="153" t="n"/>
      <c r="K849" s="153" t="n"/>
      <c r="L849" s="153" t="n"/>
      <c r="M849" s="153" t="n"/>
      <c r="N849" s="153" t="n"/>
      <c r="O849" s="153" t="n"/>
      <c r="P849" s="153" t="n"/>
      <c r="Q849" s="153" t="n"/>
      <c r="R849" s="153" t="n"/>
      <c r="S849" s="153" t="n"/>
      <c r="T849" s="153" t="n"/>
      <c r="U849" s="153" t="n"/>
      <c r="V849" s="153" t="n"/>
      <c r="W849" s="153" t="n"/>
      <c r="X849" s="153" t="n"/>
      <c r="Y849" s="153" t="n"/>
      <c r="Z849" s="153" t="n"/>
    </row>
    <row r="850" ht="15.75" customHeight="1" s="154">
      <c r="I850" s="153" t="n"/>
      <c r="J850" s="153" t="n"/>
      <c r="K850" s="153" t="n"/>
      <c r="L850" s="153" t="n"/>
      <c r="M850" s="153" t="n"/>
      <c r="N850" s="153" t="n"/>
      <c r="O850" s="153" t="n"/>
      <c r="P850" s="153" t="n"/>
      <c r="Q850" s="153" t="n"/>
      <c r="R850" s="153" t="n"/>
      <c r="S850" s="153" t="n"/>
      <c r="T850" s="153" t="n"/>
      <c r="U850" s="153" t="n"/>
      <c r="V850" s="153" t="n"/>
      <c r="W850" s="153" t="n"/>
      <c r="X850" s="153" t="n"/>
      <c r="Y850" s="153" t="n"/>
      <c r="Z850" s="153" t="n"/>
    </row>
    <row r="851" ht="15.75" customHeight="1" s="154">
      <c r="I851" s="153" t="n"/>
      <c r="J851" s="153" t="n"/>
      <c r="K851" s="153" t="n"/>
      <c r="L851" s="153" t="n"/>
      <c r="M851" s="153" t="n"/>
      <c r="N851" s="153" t="n"/>
      <c r="O851" s="153" t="n"/>
      <c r="P851" s="153" t="n"/>
      <c r="Q851" s="153" t="n"/>
      <c r="R851" s="153" t="n"/>
      <c r="S851" s="153" t="n"/>
      <c r="T851" s="153" t="n"/>
      <c r="U851" s="153" t="n"/>
      <c r="V851" s="153" t="n"/>
      <c r="W851" s="153" t="n"/>
      <c r="X851" s="153" t="n"/>
      <c r="Y851" s="153" t="n"/>
      <c r="Z851" s="153" t="n"/>
    </row>
    <row r="852" ht="15.75" customHeight="1" s="154">
      <c r="I852" s="153" t="n"/>
      <c r="J852" s="153" t="n"/>
      <c r="K852" s="153" t="n"/>
      <c r="L852" s="153" t="n"/>
      <c r="M852" s="153" t="n"/>
      <c r="N852" s="153" t="n"/>
      <c r="O852" s="153" t="n"/>
      <c r="P852" s="153" t="n"/>
      <c r="Q852" s="153" t="n"/>
      <c r="R852" s="153" t="n"/>
      <c r="S852" s="153" t="n"/>
      <c r="T852" s="153" t="n"/>
      <c r="U852" s="153" t="n"/>
      <c r="V852" s="153" t="n"/>
      <c r="W852" s="153" t="n"/>
      <c r="X852" s="153" t="n"/>
      <c r="Y852" s="153" t="n"/>
      <c r="Z852" s="153" t="n"/>
    </row>
    <row r="853" ht="15.75" customHeight="1" s="154">
      <c r="I853" s="153" t="n"/>
      <c r="J853" s="153" t="n"/>
      <c r="K853" s="153" t="n"/>
      <c r="L853" s="153" t="n"/>
      <c r="M853" s="153" t="n"/>
      <c r="N853" s="153" t="n"/>
      <c r="O853" s="153" t="n"/>
      <c r="P853" s="153" t="n"/>
      <c r="Q853" s="153" t="n"/>
      <c r="R853" s="153" t="n"/>
      <c r="S853" s="153" t="n"/>
      <c r="T853" s="153" t="n"/>
      <c r="U853" s="153" t="n"/>
      <c r="V853" s="153" t="n"/>
      <c r="W853" s="153" t="n"/>
      <c r="X853" s="153" t="n"/>
      <c r="Y853" s="153" t="n"/>
      <c r="Z853" s="153" t="n"/>
    </row>
    <row r="854" ht="15.75" customHeight="1" s="154">
      <c r="I854" s="153" t="n"/>
      <c r="J854" s="153" t="n"/>
      <c r="K854" s="153" t="n"/>
      <c r="L854" s="153" t="n"/>
      <c r="M854" s="153" t="n"/>
      <c r="N854" s="153" t="n"/>
      <c r="O854" s="153" t="n"/>
      <c r="P854" s="153" t="n"/>
      <c r="Q854" s="153" t="n"/>
      <c r="R854" s="153" t="n"/>
      <c r="S854" s="153" t="n"/>
      <c r="T854" s="153" t="n"/>
      <c r="U854" s="153" t="n"/>
      <c r="V854" s="153" t="n"/>
      <c r="W854" s="153" t="n"/>
      <c r="X854" s="153" t="n"/>
      <c r="Y854" s="153" t="n"/>
      <c r="Z854" s="153" t="n"/>
    </row>
    <row r="855" ht="15.75" customHeight="1" s="154">
      <c r="I855" s="153" t="n"/>
      <c r="J855" s="153" t="n"/>
      <c r="K855" s="153" t="n"/>
      <c r="L855" s="153" t="n"/>
      <c r="M855" s="153" t="n"/>
      <c r="N855" s="153" t="n"/>
      <c r="O855" s="153" t="n"/>
      <c r="P855" s="153" t="n"/>
      <c r="Q855" s="153" t="n"/>
      <c r="R855" s="153" t="n"/>
      <c r="S855" s="153" t="n"/>
      <c r="T855" s="153" t="n"/>
      <c r="U855" s="153" t="n"/>
      <c r="V855" s="153" t="n"/>
      <c r="W855" s="153" t="n"/>
      <c r="X855" s="153" t="n"/>
      <c r="Y855" s="153" t="n"/>
      <c r="Z855" s="153" t="n"/>
    </row>
    <row r="856" ht="15.75" customHeight="1" s="154">
      <c r="I856" s="153" t="n"/>
      <c r="J856" s="153" t="n"/>
      <c r="K856" s="153" t="n"/>
      <c r="L856" s="153" t="n"/>
      <c r="M856" s="153" t="n"/>
      <c r="N856" s="153" t="n"/>
      <c r="O856" s="153" t="n"/>
      <c r="P856" s="153" t="n"/>
      <c r="Q856" s="153" t="n"/>
      <c r="R856" s="153" t="n"/>
      <c r="S856" s="153" t="n"/>
      <c r="T856" s="153" t="n"/>
      <c r="U856" s="153" t="n"/>
      <c r="V856" s="153" t="n"/>
      <c r="W856" s="153" t="n"/>
      <c r="X856" s="153" t="n"/>
      <c r="Y856" s="153" t="n"/>
      <c r="Z856" s="153" t="n"/>
    </row>
    <row r="857" ht="15.75" customHeight="1" s="154">
      <c r="I857" s="153" t="n"/>
      <c r="J857" s="153" t="n"/>
      <c r="K857" s="153" t="n"/>
      <c r="L857" s="153" t="n"/>
      <c r="M857" s="153" t="n"/>
      <c r="N857" s="153" t="n"/>
      <c r="O857" s="153" t="n"/>
      <c r="P857" s="153" t="n"/>
      <c r="Q857" s="153" t="n"/>
      <c r="R857" s="153" t="n"/>
      <c r="S857" s="153" t="n"/>
      <c r="T857" s="153" t="n"/>
      <c r="U857" s="153" t="n"/>
      <c r="V857" s="153" t="n"/>
      <c r="W857" s="153" t="n"/>
      <c r="X857" s="153" t="n"/>
      <c r="Y857" s="153" t="n"/>
      <c r="Z857" s="153" t="n"/>
    </row>
    <row r="858" ht="15.75" customHeight="1" s="154">
      <c r="I858" s="153" t="n"/>
      <c r="J858" s="153" t="n"/>
      <c r="K858" s="153" t="n"/>
      <c r="L858" s="153" t="n"/>
      <c r="M858" s="153" t="n"/>
      <c r="N858" s="153" t="n"/>
      <c r="O858" s="153" t="n"/>
      <c r="P858" s="153" t="n"/>
      <c r="Q858" s="153" t="n"/>
      <c r="R858" s="153" t="n"/>
      <c r="S858" s="153" t="n"/>
      <c r="T858" s="153" t="n"/>
      <c r="U858" s="153" t="n"/>
      <c r="V858" s="153" t="n"/>
      <c r="W858" s="153" t="n"/>
      <c r="X858" s="153" t="n"/>
      <c r="Y858" s="153" t="n"/>
      <c r="Z858" s="153" t="n"/>
    </row>
    <row r="859" ht="15.75" customHeight="1" s="154">
      <c r="I859" s="153" t="n"/>
      <c r="J859" s="153" t="n"/>
      <c r="K859" s="153" t="n"/>
      <c r="L859" s="153" t="n"/>
      <c r="M859" s="153" t="n"/>
      <c r="N859" s="153" t="n"/>
      <c r="O859" s="153" t="n"/>
      <c r="P859" s="153" t="n"/>
      <c r="Q859" s="153" t="n"/>
      <c r="R859" s="153" t="n"/>
      <c r="S859" s="153" t="n"/>
      <c r="T859" s="153" t="n"/>
      <c r="U859" s="153" t="n"/>
      <c r="V859" s="153" t="n"/>
      <c r="W859" s="153" t="n"/>
      <c r="X859" s="153" t="n"/>
      <c r="Y859" s="153" t="n"/>
      <c r="Z859" s="153" t="n"/>
    </row>
    <row r="860" ht="15.75" customHeight="1" s="154">
      <c r="I860" s="153" t="n"/>
      <c r="J860" s="153" t="n"/>
      <c r="K860" s="153" t="n"/>
      <c r="L860" s="153" t="n"/>
      <c r="M860" s="153" t="n"/>
      <c r="N860" s="153" t="n"/>
      <c r="O860" s="153" t="n"/>
      <c r="P860" s="153" t="n"/>
      <c r="Q860" s="153" t="n"/>
      <c r="R860" s="153" t="n"/>
      <c r="S860" s="153" t="n"/>
      <c r="T860" s="153" t="n"/>
      <c r="U860" s="153" t="n"/>
      <c r="V860" s="153" t="n"/>
      <c r="W860" s="153" t="n"/>
      <c r="X860" s="153" t="n"/>
      <c r="Y860" s="153" t="n"/>
      <c r="Z860" s="153" t="n"/>
    </row>
    <row r="861" ht="15.75" customHeight="1" s="154">
      <c r="I861" s="153" t="n"/>
      <c r="J861" s="153" t="n"/>
      <c r="K861" s="153" t="n"/>
      <c r="L861" s="153" t="n"/>
      <c r="M861" s="153" t="n"/>
      <c r="N861" s="153" t="n"/>
      <c r="O861" s="153" t="n"/>
      <c r="P861" s="153" t="n"/>
      <c r="Q861" s="153" t="n"/>
      <c r="R861" s="153" t="n"/>
      <c r="S861" s="153" t="n"/>
      <c r="T861" s="153" t="n"/>
      <c r="U861" s="153" t="n"/>
      <c r="V861" s="153" t="n"/>
      <c r="W861" s="153" t="n"/>
      <c r="X861" s="153" t="n"/>
      <c r="Y861" s="153" t="n"/>
      <c r="Z861" s="153" t="n"/>
    </row>
    <row r="862" ht="15.75" customHeight="1" s="154">
      <c r="I862" s="153" t="n"/>
      <c r="J862" s="153" t="n"/>
      <c r="K862" s="153" t="n"/>
      <c r="L862" s="153" t="n"/>
      <c r="M862" s="153" t="n"/>
      <c r="N862" s="153" t="n"/>
      <c r="O862" s="153" t="n"/>
      <c r="P862" s="153" t="n"/>
      <c r="Q862" s="153" t="n"/>
      <c r="R862" s="153" t="n"/>
      <c r="S862" s="153" t="n"/>
      <c r="T862" s="153" t="n"/>
      <c r="U862" s="153" t="n"/>
      <c r="V862" s="153" t="n"/>
      <c r="W862" s="153" t="n"/>
      <c r="X862" s="153" t="n"/>
      <c r="Y862" s="153" t="n"/>
      <c r="Z862" s="153" t="n"/>
    </row>
    <row r="863" ht="15.75" customHeight="1" s="154">
      <c r="I863" s="153" t="n"/>
      <c r="J863" s="153" t="n"/>
      <c r="K863" s="153" t="n"/>
      <c r="L863" s="153" t="n"/>
      <c r="M863" s="153" t="n"/>
      <c r="N863" s="153" t="n"/>
      <c r="O863" s="153" t="n"/>
      <c r="P863" s="153" t="n"/>
      <c r="Q863" s="153" t="n"/>
      <c r="R863" s="153" t="n"/>
      <c r="S863" s="153" t="n"/>
      <c r="T863" s="153" t="n"/>
      <c r="U863" s="153" t="n"/>
      <c r="V863" s="153" t="n"/>
      <c r="W863" s="153" t="n"/>
      <c r="X863" s="153" t="n"/>
      <c r="Y863" s="153" t="n"/>
      <c r="Z863" s="153" t="n"/>
    </row>
    <row r="864" ht="15.75" customHeight="1" s="154">
      <c r="I864" s="153" t="n"/>
      <c r="J864" s="153" t="n"/>
      <c r="K864" s="153" t="n"/>
      <c r="L864" s="153" t="n"/>
      <c r="M864" s="153" t="n"/>
      <c r="N864" s="153" t="n"/>
      <c r="O864" s="153" t="n"/>
      <c r="P864" s="153" t="n"/>
      <c r="Q864" s="153" t="n"/>
      <c r="R864" s="153" t="n"/>
      <c r="S864" s="153" t="n"/>
      <c r="T864" s="153" t="n"/>
      <c r="U864" s="153" t="n"/>
      <c r="V864" s="153" t="n"/>
      <c r="W864" s="153" t="n"/>
      <c r="X864" s="153" t="n"/>
      <c r="Y864" s="153" t="n"/>
      <c r="Z864" s="153" t="n"/>
    </row>
    <row r="865" ht="15.75" customHeight="1" s="154">
      <c r="I865" s="153" t="n"/>
      <c r="J865" s="153" t="n"/>
      <c r="K865" s="153" t="n"/>
      <c r="L865" s="153" t="n"/>
      <c r="M865" s="153" t="n"/>
      <c r="N865" s="153" t="n"/>
      <c r="O865" s="153" t="n"/>
      <c r="P865" s="153" t="n"/>
      <c r="Q865" s="153" t="n"/>
      <c r="R865" s="153" t="n"/>
      <c r="S865" s="153" t="n"/>
      <c r="T865" s="153" t="n"/>
      <c r="U865" s="153" t="n"/>
      <c r="V865" s="153" t="n"/>
      <c r="W865" s="153" t="n"/>
      <c r="X865" s="153" t="n"/>
      <c r="Y865" s="153" t="n"/>
      <c r="Z865" s="153" t="n"/>
    </row>
    <row r="866" ht="15.75" customHeight="1" s="154">
      <c r="I866" s="153" t="n"/>
      <c r="J866" s="153" t="n"/>
      <c r="K866" s="153" t="n"/>
      <c r="L866" s="153" t="n"/>
      <c r="M866" s="153" t="n"/>
      <c r="N866" s="153" t="n"/>
      <c r="O866" s="153" t="n"/>
      <c r="P866" s="153" t="n"/>
      <c r="Q866" s="153" t="n"/>
      <c r="R866" s="153" t="n"/>
      <c r="S866" s="153" t="n"/>
      <c r="T866" s="153" t="n"/>
      <c r="U866" s="153" t="n"/>
      <c r="V866" s="153" t="n"/>
      <c r="W866" s="153" t="n"/>
      <c r="X866" s="153" t="n"/>
      <c r="Y866" s="153" t="n"/>
      <c r="Z866" s="153" t="n"/>
    </row>
    <row r="867" ht="15.75" customHeight="1" s="154">
      <c r="I867" s="153" t="n"/>
      <c r="J867" s="153" t="n"/>
      <c r="K867" s="153" t="n"/>
      <c r="L867" s="153" t="n"/>
      <c r="M867" s="153" t="n"/>
      <c r="N867" s="153" t="n"/>
      <c r="O867" s="153" t="n"/>
      <c r="P867" s="153" t="n"/>
      <c r="Q867" s="153" t="n"/>
      <c r="R867" s="153" t="n"/>
      <c r="S867" s="153" t="n"/>
      <c r="T867" s="153" t="n"/>
      <c r="U867" s="153" t="n"/>
      <c r="V867" s="153" t="n"/>
      <c r="W867" s="153" t="n"/>
      <c r="X867" s="153" t="n"/>
      <c r="Y867" s="153" t="n"/>
      <c r="Z867" s="153" t="n"/>
    </row>
    <row r="868" ht="15.75" customHeight="1" s="154">
      <c r="I868" s="153" t="n"/>
      <c r="J868" s="153" t="n"/>
      <c r="K868" s="153" t="n"/>
      <c r="L868" s="153" t="n"/>
      <c r="M868" s="153" t="n"/>
      <c r="N868" s="153" t="n"/>
      <c r="O868" s="153" t="n"/>
      <c r="P868" s="153" t="n"/>
      <c r="Q868" s="153" t="n"/>
      <c r="R868" s="153" t="n"/>
      <c r="S868" s="153" t="n"/>
      <c r="T868" s="153" t="n"/>
      <c r="U868" s="153" t="n"/>
      <c r="V868" s="153" t="n"/>
      <c r="W868" s="153" t="n"/>
      <c r="X868" s="153" t="n"/>
      <c r="Y868" s="153" t="n"/>
      <c r="Z868" s="153" t="n"/>
    </row>
    <row r="869" ht="15.75" customHeight="1" s="154">
      <c r="I869" s="153" t="n"/>
      <c r="J869" s="153" t="n"/>
      <c r="K869" s="153" t="n"/>
      <c r="L869" s="153" t="n"/>
      <c r="M869" s="153" t="n"/>
      <c r="N869" s="153" t="n"/>
      <c r="O869" s="153" t="n"/>
      <c r="P869" s="153" t="n"/>
      <c r="Q869" s="153" t="n"/>
      <c r="R869" s="153" t="n"/>
      <c r="S869" s="153" t="n"/>
      <c r="T869" s="153" t="n"/>
      <c r="U869" s="153" t="n"/>
      <c r="V869" s="153" t="n"/>
      <c r="W869" s="153" t="n"/>
      <c r="X869" s="153" t="n"/>
      <c r="Y869" s="153" t="n"/>
      <c r="Z869" s="153" t="n"/>
    </row>
    <row r="870" ht="15.75" customHeight="1" s="154">
      <c r="I870" s="153" t="n"/>
      <c r="J870" s="153" t="n"/>
      <c r="K870" s="153" t="n"/>
      <c r="L870" s="153" t="n"/>
      <c r="M870" s="153" t="n"/>
      <c r="N870" s="153" t="n"/>
      <c r="O870" s="153" t="n"/>
      <c r="P870" s="153" t="n"/>
      <c r="Q870" s="153" t="n"/>
      <c r="R870" s="153" t="n"/>
      <c r="S870" s="153" t="n"/>
      <c r="T870" s="153" t="n"/>
      <c r="U870" s="153" t="n"/>
      <c r="V870" s="153" t="n"/>
      <c r="W870" s="153" t="n"/>
      <c r="X870" s="153" t="n"/>
      <c r="Y870" s="153" t="n"/>
      <c r="Z870" s="153" t="n"/>
    </row>
    <row r="871" ht="15.75" customHeight="1" s="154">
      <c r="I871" s="153" t="n"/>
      <c r="J871" s="153" t="n"/>
      <c r="K871" s="153" t="n"/>
      <c r="L871" s="153" t="n"/>
      <c r="M871" s="153" t="n"/>
      <c r="N871" s="153" t="n"/>
      <c r="O871" s="153" t="n"/>
      <c r="P871" s="153" t="n"/>
      <c r="Q871" s="153" t="n"/>
      <c r="R871" s="153" t="n"/>
      <c r="S871" s="153" t="n"/>
      <c r="T871" s="153" t="n"/>
      <c r="U871" s="153" t="n"/>
      <c r="V871" s="153" t="n"/>
      <c r="W871" s="153" t="n"/>
      <c r="X871" s="153" t="n"/>
      <c r="Y871" s="153" t="n"/>
      <c r="Z871" s="153" t="n"/>
    </row>
    <row r="872" ht="15.75" customHeight="1" s="154">
      <c r="I872" s="153" t="n"/>
      <c r="J872" s="153" t="n"/>
      <c r="K872" s="153" t="n"/>
      <c r="L872" s="153" t="n"/>
      <c r="M872" s="153" t="n"/>
      <c r="N872" s="153" t="n"/>
      <c r="O872" s="153" t="n"/>
      <c r="P872" s="153" t="n"/>
      <c r="Q872" s="153" t="n"/>
      <c r="R872" s="153" t="n"/>
      <c r="S872" s="153" t="n"/>
      <c r="T872" s="153" t="n"/>
      <c r="U872" s="153" t="n"/>
      <c r="V872" s="153" t="n"/>
      <c r="W872" s="153" t="n"/>
      <c r="X872" s="153" t="n"/>
      <c r="Y872" s="153" t="n"/>
      <c r="Z872" s="153" t="n"/>
    </row>
    <row r="873" ht="15.75" customHeight="1" s="154">
      <c r="I873" s="153" t="n"/>
      <c r="J873" s="153" t="n"/>
      <c r="K873" s="153" t="n"/>
      <c r="L873" s="153" t="n"/>
      <c r="M873" s="153" t="n"/>
      <c r="N873" s="153" t="n"/>
      <c r="O873" s="153" t="n"/>
      <c r="P873" s="153" t="n"/>
      <c r="Q873" s="153" t="n"/>
      <c r="R873" s="153" t="n"/>
      <c r="S873" s="153" t="n"/>
      <c r="T873" s="153" t="n"/>
      <c r="U873" s="153" t="n"/>
      <c r="V873" s="153" t="n"/>
      <c r="W873" s="153" t="n"/>
      <c r="X873" s="153" t="n"/>
      <c r="Y873" s="153" t="n"/>
      <c r="Z873" s="153" t="n"/>
    </row>
    <row r="874" ht="15.75" customHeight="1" s="154">
      <c r="I874" s="153" t="n"/>
      <c r="J874" s="153" t="n"/>
      <c r="K874" s="153" t="n"/>
      <c r="L874" s="153" t="n"/>
      <c r="M874" s="153" t="n"/>
      <c r="N874" s="153" t="n"/>
      <c r="O874" s="153" t="n"/>
      <c r="P874" s="153" t="n"/>
      <c r="Q874" s="153" t="n"/>
      <c r="R874" s="153" t="n"/>
      <c r="S874" s="153" t="n"/>
      <c r="T874" s="153" t="n"/>
      <c r="U874" s="153" t="n"/>
      <c r="V874" s="153" t="n"/>
      <c r="W874" s="153" t="n"/>
      <c r="X874" s="153" t="n"/>
      <c r="Y874" s="153" t="n"/>
      <c r="Z874" s="153" t="n"/>
    </row>
    <row r="875" ht="15.75" customHeight="1" s="154">
      <c r="I875" s="153" t="n"/>
      <c r="J875" s="153" t="n"/>
      <c r="K875" s="153" t="n"/>
      <c r="L875" s="153" t="n"/>
      <c r="M875" s="153" t="n"/>
      <c r="N875" s="153" t="n"/>
      <c r="O875" s="153" t="n"/>
      <c r="P875" s="153" t="n"/>
      <c r="Q875" s="153" t="n"/>
      <c r="R875" s="153" t="n"/>
      <c r="S875" s="153" t="n"/>
      <c r="T875" s="153" t="n"/>
      <c r="U875" s="153" t="n"/>
      <c r="V875" s="153" t="n"/>
      <c r="W875" s="153" t="n"/>
      <c r="X875" s="153" t="n"/>
      <c r="Y875" s="153" t="n"/>
      <c r="Z875" s="153" t="n"/>
    </row>
    <row r="876" ht="15.75" customHeight="1" s="154">
      <c r="I876" s="153" t="n"/>
      <c r="J876" s="153" t="n"/>
      <c r="K876" s="153" t="n"/>
      <c r="L876" s="153" t="n"/>
      <c r="M876" s="153" t="n"/>
      <c r="N876" s="153" t="n"/>
      <c r="O876" s="153" t="n"/>
      <c r="P876" s="153" t="n"/>
      <c r="Q876" s="153" t="n"/>
      <c r="R876" s="153" t="n"/>
      <c r="S876" s="153" t="n"/>
      <c r="T876" s="153" t="n"/>
      <c r="U876" s="153" t="n"/>
      <c r="V876" s="153" t="n"/>
      <c r="W876" s="153" t="n"/>
      <c r="X876" s="153" t="n"/>
      <c r="Y876" s="153" t="n"/>
      <c r="Z876" s="153" t="n"/>
    </row>
    <row r="877" ht="15.75" customHeight="1" s="154">
      <c r="I877" s="153" t="n"/>
      <c r="J877" s="153" t="n"/>
      <c r="K877" s="153" t="n"/>
      <c r="L877" s="153" t="n"/>
      <c r="M877" s="153" t="n"/>
      <c r="N877" s="153" t="n"/>
      <c r="O877" s="153" t="n"/>
      <c r="P877" s="153" t="n"/>
      <c r="Q877" s="153" t="n"/>
      <c r="R877" s="153" t="n"/>
      <c r="S877" s="153" t="n"/>
      <c r="T877" s="153" t="n"/>
      <c r="U877" s="153" t="n"/>
      <c r="V877" s="153" t="n"/>
      <c r="W877" s="153" t="n"/>
      <c r="X877" s="153" t="n"/>
      <c r="Y877" s="153" t="n"/>
      <c r="Z877" s="153" t="n"/>
    </row>
    <row r="878" ht="15.75" customHeight="1" s="154">
      <c r="I878" s="153" t="n"/>
      <c r="J878" s="153" t="n"/>
      <c r="K878" s="153" t="n"/>
      <c r="L878" s="153" t="n"/>
      <c r="M878" s="153" t="n"/>
      <c r="N878" s="153" t="n"/>
      <c r="O878" s="153" t="n"/>
      <c r="P878" s="153" t="n"/>
      <c r="Q878" s="153" t="n"/>
      <c r="R878" s="153" t="n"/>
      <c r="S878" s="153" t="n"/>
      <c r="T878" s="153" t="n"/>
      <c r="U878" s="153" t="n"/>
      <c r="V878" s="153" t="n"/>
      <c r="W878" s="153" t="n"/>
      <c r="X878" s="153" t="n"/>
      <c r="Y878" s="153" t="n"/>
      <c r="Z878" s="153" t="n"/>
    </row>
    <row r="879" ht="15.75" customHeight="1" s="154">
      <c r="I879" s="153" t="n"/>
      <c r="J879" s="153" t="n"/>
      <c r="K879" s="153" t="n"/>
      <c r="L879" s="153" t="n"/>
      <c r="M879" s="153" t="n"/>
      <c r="N879" s="153" t="n"/>
      <c r="O879" s="153" t="n"/>
      <c r="P879" s="153" t="n"/>
      <c r="Q879" s="153" t="n"/>
      <c r="R879" s="153" t="n"/>
      <c r="S879" s="153" t="n"/>
      <c r="T879" s="153" t="n"/>
      <c r="U879" s="153" t="n"/>
      <c r="V879" s="153" t="n"/>
      <c r="W879" s="153" t="n"/>
      <c r="X879" s="153" t="n"/>
      <c r="Y879" s="153" t="n"/>
      <c r="Z879" s="153" t="n"/>
    </row>
    <row r="880" ht="15.75" customHeight="1" s="154">
      <c r="I880" s="153" t="n"/>
      <c r="J880" s="153" t="n"/>
      <c r="K880" s="153" t="n"/>
      <c r="L880" s="153" t="n"/>
      <c r="M880" s="153" t="n"/>
      <c r="N880" s="153" t="n"/>
      <c r="O880" s="153" t="n"/>
      <c r="P880" s="153" t="n"/>
      <c r="Q880" s="153" t="n"/>
      <c r="R880" s="153" t="n"/>
      <c r="S880" s="153" t="n"/>
      <c r="T880" s="153" t="n"/>
      <c r="U880" s="153" t="n"/>
      <c r="V880" s="153" t="n"/>
      <c r="W880" s="153" t="n"/>
      <c r="X880" s="153" t="n"/>
      <c r="Y880" s="153" t="n"/>
      <c r="Z880" s="153" t="n"/>
    </row>
    <row r="881" ht="15.75" customHeight="1" s="154">
      <c r="I881" s="153" t="n"/>
      <c r="J881" s="153" t="n"/>
      <c r="K881" s="153" t="n"/>
      <c r="L881" s="153" t="n"/>
      <c r="M881" s="153" t="n"/>
      <c r="N881" s="153" t="n"/>
      <c r="O881" s="153" t="n"/>
      <c r="P881" s="153" t="n"/>
      <c r="Q881" s="153" t="n"/>
      <c r="R881" s="153" t="n"/>
      <c r="S881" s="153" t="n"/>
      <c r="T881" s="153" t="n"/>
      <c r="U881" s="153" t="n"/>
      <c r="V881" s="153" t="n"/>
      <c r="W881" s="153" t="n"/>
      <c r="X881" s="153" t="n"/>
      <c r="Y881" s="153" t="n"/>
      <c r="Z881" s="153" t="n"/>
    </row>
    <row r="882" ht="15.75" customHeight="1" s="154">
      <c r="I882" s="153" t="n"/>
      <c r="J882" s="153" t="n"/>
      <c r="K882" s="153" t="n"/>
      <c r="L882" s="153" t="n"/>
      <c r="M882" s="153" t="n"/>
      <c r="N882" s="153" t="n"/>
      <c r="O882" s="153" t="n"/>
      <c r="P882" s="153" t="n"/>
      <c r="Q882" s="153" t="n"/>
      <c r="R882" s="153" t="n"/>
      <c r="S882" s="153" t="n"/>
      <c r="T882" s="153" t="n"/>
      <c r="U882" s="153" t="n"/>
      <c r="V882" s="153" t="n"/>
      <c r="W882" s="153" t="n"/>
      <c r="X882" s="153" t="n"/>
      <c r="Y882" s="153" t="n"/>
      <c r="Z882" s="153" t="n"/>
    </row>
    <row r="883" ht="15.75" customHeight="1" s="154">
      <c r="I883" s="153" t="n"/>
      <c r="J883" s="153" t="n"/>
      <c r="K883" s="153" t="n"/>
      <c r="L883" s="153" t="n"/>
      <c r="M883" s="153" t="n"/>
      <c r="N883" s="153" t="n"/>
      <c r="O883" s="153" t="n"/>
      <c r="P883" s="153" t="n"/>
      <c r="Q883" s="153" t="n"/>
      <c r="R883" s="153" t="n"/>
      <c r="S883" s="153" t="n"/>
      <c r="T883" s="153" t="n"/>
      <c r="U883" s="153" t="n"/>
      <c r="V883" s="153" t="n"/>
      <c r="W883" s="153" t="n"/>
      <c r="X883" s="153" t="n"/>
      <c r="Y883" s="153" t="n"/>
      <c r="Z883" s="153" t="n"/>
    </row>
    <row r="884" ht="15.75" customHeight="1" s="154">
      <c r="I884" s="153" t="n"/>
      <c r="J884" s="153" t="n"/>
      <c r="K884" s="153" t="n"/>
      <c r="L884" s="153" t="n"/>
      <c r="M884" s="153" t="n"/>
      <c r="N884" s="153" t="n"/>
      <c r="O884" s="153" t="n"/>
      <c r="P884" s="153" t="n"/>
      <c r="Q884" s="153" t="n"/>
      <c r="R884" s="153" t="n"/>
      <c r="S884" s="153" t="n"/>
      <c r="T884" s="153" t="n"/>
      <c r="U884" s="153" t="n"/>
      <c r="V884" s="153" t="n"/>
      <c r="W884" s="153" t="n"/>
      <c r="X884" s="153" t="n"/>
      <c r="Y884" s="153" t="n"/>
      <c r="Z884" s="153" t="n"/>
    </row>
    <row r="885" ht="15.75" customHeight="1" s="154">
      <c r="I885" s="153" t="n"/>
      <c r="J885" s="153" t="n"/>
      <c r="K885" s="153" t="n"/>
      <c r="L885" s="153" t="n"/>
      <c r="M885" s="153" t="n"/>
      <c r="N885" s="153" t="n"/>
      <c r="O885" s="153" t="n"/>
      <c r="P885" s="153" t="n"/>
      <c r="Q885" s="153" t="n"/>
      <c r="R885" s="153" t="n"/>
      <c r="S885" s="153" t="n"/>
      <c r="T885" s="153" t="n"/>
      <c r="U885" s="153" t="n"/>
      <c r="V885" s="153" t="n"/>
      <c r="W885" s="153" t="n"/>
      <c r="X885" s="153" t="n"/>
      <c r="Y885" s="153" t="n"/>
      <c r="Z885" s="153" t="n"/>
    </row>
    <row r="886" ht="15.75" customHeight="1" s="154">
      <c r="I886" s="153" t="n"/>
      <c r="J886" s="153" t="n"/>
      <c r="K886" s="153" t="n"/>
      <c r="L886" s="153" t="n"/>
      <c r="M886" s="153" t="n"/>
      <c r="N886" s="153" t="n"/>
      <c r="O886" s="153" t="n"/>
      <c r="P886" s="153" t="n"/>
      <c r="Q886" s="153" t="n"/>
      <c r="R886" s="153" t="n"/>
      <c r="S886" s="153" t="n"/>
      <c r="T886" s="153" t="n"/>
      <c r="U886" s="153" t="n"/>
      <c r="V886" s="153" t="n"/>
      <c r="W886" s="153" t="n"/>
      <c r="X886" s="153" t="n"/>
      <c r="Y886" s="153" t="n"/>
      <c r="Z886" s="153" t="n"/>
    </row>
    <row r="887" ht="15.75" customHeight="1" s="154">
      <c r="I887" s="153" t="n"/>
      <c r="J887" s="153" t="n"/>
      <c r="K887" s="153" t="n"/>
      <c r="L887" s="153" t="n"/>
      <c r="M887" s="153" t="n"/>
      <c r="N887" s="153" t="n"/>
      <c r="O887" s="153" t="n"/>
      <c r="P887" s="153" t="n"/>
      <c r="Q887" s="153" t="n"/>
      <c r="R887" s="153" t="n"/>
      <c r="S887" s="153" t="n"/>
      <c r="T887" s="153" t="n"/>
      <c r="U887" s="153" t="n"/>
      <c r="V887" s="153" t="n"/>
      <c r="W887" s="153" t="n"/>
      <c r="X887" s="153" t="n"/>
      <c r="Y887" s="153" t="n"/>
      <c r="Z887" s="153" t="n"/>
    </row>
    <row r="888" ht="15.75" customHeight="1" s="154">
      <c r="I888" s="153" t="n"/>
      <c r="J888" s="153" t="n"/>
      <c r="K888" s="153" t="n"/>
      <c r="L888" s="153" t="n"/>
      <c r="M888" s="153" t="n"/>
      <c r="N888" s="153" t="n"/>
      <c r="O888" s="153" t="n"/>
      <c r="P888" s="153" t="n"/>
      <c r="Q888" s="153" t="n"/>
      <c r="R888" s="153" t="n"/>
      <c r="S888" s="153" t="n"/>
      <c r="T888" s="153" t="n"/>
      <c r="U888" s="153" t="n"/>
      <c r="V888" s="153" t="n"/>
      <c r="W888" s="153" t="n"/>
      <c r="X888" s="153" t="n"/>
      <c r="Y888" s="153" t="n"/>
      <c r="Z888" s="153" t="n"/>
    </row>
    <row r="889" ht="15.75" customHeight="1" s="154">
      <c r="I889" s="153" t="n"/>
      <c r="J889" s="153" t="n"/>
      <c r="K889" s="153" t="n"/>
      <c r="L889" s="153" t="n"/>
      <c r="M889" s="153" t="n"/>
      <c r="N889" s="153" t="n"/>
      <c r="O889" s="153" t="n"/>
      <c r="P889" s="153" t="n"/>
      <c r="Q889" s="153" t="n"/>
      <c r="R889" s="153" t="n"/>
      <c r="S889" s="153" t="n"/>
      <c r="T889" s="153" t="n"/>
      <c r="U889" s="153" t="n"/>
      <c r="V889" s="153" t="n"/>
      <c r="W889" s="153" t="n"/>
      <c r="X889" s="153" t="n"/>
      <c r="Y889" s="153" t="n"/>
      <c r="Z889" s="153" t="n"/>
    </row>
    <row r="890" ht="15.75" customHeight="1" s="154">
      <c r="I890" s="153" t="n"/>
      <c r="J890" s="153" t="n"/>
      <c r="K890" s="153" t="n"/>
      <c r="L890" s="153" t="n"/>
      <c r="M890" s="153" t="n"/>
      <c r="N890" s="153" t="n"/>
      <c r="O890" s="153" t="n"/>
      <c r="P890" s="153" t="n"/>
      <c r="Q890" s="153" t="n"/>
      <c r="R890" s="153" t="n"/>
      <c r="S890" s="153" t="n"/>
      <c r="T890" s="153" t="n"/>
      <c r="U890" s="153" t="n"/>
      <c r="V890" s="153" t="n"/>
      <c r="W890" s="153" t="n"/>
      <c r="X890" s="153" t="n"/>
      <c r="Y890" s="153" t="n"/>
      <c r="Z890" s="153" t="n"/>
    </row>
    <row r="891" ht="15.75" customHeight="1" s="154">
      <c r="I891" s="153" t="n"/>
      <c r="J891" s="153" t="n"/>
      <c r="K891" s="153" t="n"/>
      <c r="L891" s="153" t="n"/>
      <c r="M891" s="153" t="n"/>
      <c r="N891" s="153" t="n"/>
      <c r="O891" s="153" t="n"/>
      <c r="P891" s="153" t="n"/>
      <c r="Q891" s="153" t="n"/>
      <c r="R891" s="153" t="n"/>
      <c r="S891" s="153" t="n"/>
      <c r="T891" s="153" t="n"/>
      <c r="U891" s="153" t="n"/>
      <c r="V891" s="153" t="n"/>
      <c r="W891" s="153" t="n"/>
      <c r="X891" s="153" t="n"/>
      <c r="Y891" s="153" t="n"/>
      <c r="Z891" s="153" t="n"/>
    </row>
    <row r="892" ht="15.75" customHeight="1" s="154">
      <c r="I892" s="153" t="n"/>
      <c r="J892" s="153" t="n"/>
      <c r="K892" s="153" t="n"/>
      <c r="L892" s="153" t="n"/>
      <c r="M892" s="153" t="n"/>
      <c r="N892" s="153" t="n"/>
      <c r="O892" s="153" t="n"/>
      <c r="P892" s="153" t="n"/>
      <c r="Q892" s="153" t="n"/>
      <c r="R892" s="153" t="n"/>
      <c r="S892" s="153" t="n"/>
      <c r="T892" s="153" t="n"/>
      <c r="U892" s="153" t="n"/>
      <c r="V892" s="153" t="n"/>
      <c r="W892" s="153" t="n"/>
      <c r="X892" s="153" t="n"/>
      <c r="Y892" s="153" t="n"/>
      <c r="Z892" s="153" t="n"/>
    </row>
    <row r="893" ht="15.75" customHeight="1" s="154">
      <c r="I893" s="153" t="n"/>
      <c r="J893" s="153" t="n"/>
      <c r="K893" s="153" t="n"/>
      <c r="L893" s="153" t="n"/>
      <c r="M893" s="153" t="n"/>
      <c r="N893" s="153" t="n"/>
      <c r="O893" s="153" t="n"/>
      <c r="P893" s="153" t="n"/>
      <c r="Q893" s="153" t="n"/>
      <c r="R893" s="153" t="n"/>
      <c r="S893" s="153" t="n"/>
      <c r="T893" s="153" t="n"/>
      <c r="U893" s="153" t="n"/>
      <c r="V893" s="153" t="n"/>
      <c r="W893" s="153" t="n"/>
      <c r="X893" s="153" t="n"/>
      <c r="Y893" s="153" t="n"/>
      <c r="Z893" s="153" t="n"/>
    </row>
    <row r="894" ht="15.75" customHeight="1" s="154">
      <c r="I894" s="153" t="n"/>
      <c r="J894" s="153" t="n"/>
      <c r="K894" s="153" t="n"/>
      <c r="L894" s="153" t="n"/>
      <c r="M894" s="153" t="n"/>
      <c r="N894" s="153" t="n"/>
      <c r="O894" s="153" t="n"/>
      <c r="P894" s="153" t="n"/>
      <c r="Q894" s="153" t="n"/>
      <c r="R894" s="153" t="n"/>
      <c r="S894" s="153" t="n"/>
      <c r="T894" s="153" t="n"/>
      <c r="U894" s="153" t="n"/>
      <c r="V894" s="153" t="n"/>
      <c r="W894" s="153" t="n"/>
      <c r="X894" s="153" t="n"/>
      <c r="Y894" s="153" t="n"/>
      <c r="Z894" s="153" t="n"/>
    </row>
    <row r="895" ht="15.75" customHeight="1" s="154">
      <c r="I895" s="153" t="n"/>
      <c r="J895" s="153" t="n"/>
      <c r="K895" s="153" t="n"/>
      <c r="L895" s="153" t="n"/>
      <c r="M895" s="153" t="n"/>
      <c r="N895" s="153" t="n"/>
      <c r="O895" s="153" t="n"/>
      <c r="P895" s="153" t="n"/>
      <c r="Q895" s="153" t="n"/>
      <c r="R895" s="153" t="n"/>
      <c r="S895" s="153" t="n"/>
      <c r="T895" s="153" t="n"/>
      <c r="U895" s="153" t="n"/>
      <c r="V895" s="153" t="n"/>
      <c r="W895" s="153" t="n"/>
      <c r="X895" s="153" t="n"/>
      <c r="Y895" s="153" t="n"/>
      <c r="Z895" s="153" t="n"/>
    </row>
    <row r="896" ht="15.75" customHeight="1" s="154">
      <c r="I896" s="153" t="n"/>
      <c r="J896" s="153" t="n"/>
      <c r="K896" s="153" t="n"/>
      <c r="L896" s="153" t="n"/>
      <c r="M896" s="153" t="n"/>
      <c r="N896" s="153" t="n"/>
      <c r="O896" s="153" t="n"/>
      <c r="P896" s="153" t="n"/>
      <c r="Q896" s="153" t="n"/>
      <c r="R896" s="153" t="n"/>
      <c r="S896" s="153" t="n"/>
      <c r="T896" s="153" t="n"/>
      <c r="U896" s="153" t="n"/>
      <c r="V896" s="153" t="n"/>
      <c r="W896" s="153" t="n"/>
      <c r="X896" s="153" t="n"/>
      <c r="Y896" s="153" t="n"/>
      <c r="Z896" s="153" t="n"/>
    </row>
    <row r="897" ht="15.75" customHeight="1" s="154">
      <c r="I897" s="153" t="n"/>
      <c r="J897" s="153" t="n"/>
      <c r="K897" s="153" t="n"/>
      <c r="L897" s="153" t="n"/>
      <c r="M897" s="153" t="n"/>
      <c r="N897" s="153" t="n"/>
      <c r="O897" s="153" t="n"/>
      <c r="P897" s="153" t="n"/>
      <c r="Q897" s="153" t="n"/>
      <c r="R897" s="153" t="n"/>
      <c r="S897" s="153" t="n"/>
      <c r="T897" s="153" t="n"/>
      <c r="U897" s="153" t="n"/>
      <c r="V897" s="153" t="n"/>
      <c r="W897" s="153" t="n"/>
      <c r="X897" s="153" t="n"/>
      <c r="Y897" s="153" t="n"/>
      <c r="Z897" s="153" t="n"/>
    </row>
    <row r="898" ht="15.75" customHeight="1" s="154">
      <c r="I898" s="153" t="n"/>
      <c r="J898" s="153" t="n"/>
      <c r="K898" s="153" t="n"/>
      <c r="L898" s="153" t="n"/>
      <c r="M898" s="153" t="n"/>
      <c r="N898" s="153" t="n"/>
      <c r="O898" s="153" t="n"/>
      <c r="P898" s="153" t="n"/>
      <c r="Q898" s="153" t="n"/>
      <c r="R898" s="153" t="n"/>
      <c r="S898" s="153" t="n"/>
      <c r="T898" s="153" t="n"/>
      <c r="U898" s="153" t="n"/>
      <c r="V898" s="153" t="n"/>
      <c r="W898" s="153" t="n"/>
      <c r="X898" s="153" t="n"/>
      <c r="Y898" s="153" t="n"/>
      <c r="Z898" s="153" t="n"/>
    </row>
    <row r="899" ht="15.75" customHeight="1" s="154">
      <c r="I899" s="153" t="n"/>
      <c r="J899" s="153" t="n"/>
      <c r="K899" s="153" t="n"/>
      <c r="L899" s="153" t="n"/>
      <c r="M899" s="153" t="n"/>
      <c r="N899" s="153" t="n"/>
      <c r="O899" s="153" t="n"/>
      <c r="P899" s="153" t="n"/>
      <c r="Q899" s="153" t="n"/>
      <c r="R899" s="153" t="n"/>
      <c r="S899" s="153" t="n"/>
      <c r="T899" s="153" t="n"/>
      <c r="U899" s="153" t="n"/>
      <c r="V899" s="153" t="n"/>
      <c r="W899" s="153" t="n"/>
      <c r="X899" s="153" t="n"/>
      <c r="Y899" s="153" t="n"/>
      <c r="Z899" s="153" t="n"/>
    </row>
    <row r="900" ht="15.75" customHeight="1" s="154">
      <c r="I900" s="153" t="n"/>
      <c r="J900" s="153" t="n"/>
      <c r="K900" s="153" t="n"/>
      <c r="L900" s="153" t="n"/>
      <c r="M900" s="153" t="n"/>
      <c r="N900" s="153" t="n"/>
      <c r="O900" s="153" t="n"/>
      <c r="P900" s="153" t="n"/>
      <c r="Q900" s="153" t="n"/>
      <c r="R900" s="153" t="n"/>
      <c r="S900" s="153" t="n"/>
      <c r="T900" s="153" t="n"/>
      <c r="U900" s="153" t="n"/>
      <c r="V900" s="153" t="n"/>
      <c r="W900" s="153" t="n"/>
      <c r="X900" s="153" t="n"/>
      <c r="Y900" s="153" t="n"/>
      <c r="Z900" s="153" t="n"/>
    </row>
    <row r="901" ht="15.75" customHeight="1" s="154">
      <c r="I901" s="153" t="n"/>
      <c r="J901" s="153" t="n"/>
      <c r="K901" s="153" t="n"/>
      <c r="L901" s="153" t="n"/>
      <c r="M901" s="153" t="n"/>
      <c r="N901" s="153" t="n"/>
      <c r="O901" s="153" t="n"/>
      <c r="P901" s="153" t="n"/>
      <c r="Q901" s="153" t="n"/>
      <c r="R901" s="153" t="n"/>
      <c r="S901" s="153" t="n"/>
      <c r="T901" s="153" t="n"/>
      <c r="U901" s="153" t="n"/>
      <c r="V901" s="153" t="n"/>
      <c r="W901" s="153" t="n"/>
      <c r="X901" s="153" t="n"/>
      <c r="Y901" s="153" t="n"/>
      <c r="Z901" s="153" t="n"/>
    </row>
    <row r="902" ht="15.75" customHeight="1" s="154">
      <c r="I902" s="153" t="n"/>
      <c r="J902" s="153" t="n"/>
      <c r="K902" s="153" t="n"/>
      <c r="L902" s="153" t="n"/>
      <c r="M902" s="153" t="n"/>
      <c r="N902" s="153" t="n"/>
      <c r="O902" s="153" t="n"/>
      <c r="P902" s="153" t="n"/>
      <c r="Q902" s="153" t="n"/>
      <c r="R902" s="153" t="n"/>
      <c r="S902" s="153" t="n"/>
      <c r="T902" s="153" t="n"/>
      <c r="U902" s="153" t="n"/>
      <c r="V902" s="153" t="n"/>
      <c r="W902" s="153" t="n"/>
      <c r="X902" s="153" t="n"/>
      <c r="Y902" s="153" t="n"/>
      <c r="Z902" s="153" t="n"/>
    </row>
    <row r="903" ht="15.75" customHeight="1" s="154">
      <c r="I903" s="153" t="n"/>
      <c r="J903" s="153" t="n"/>
      <c r="K903" s="153" t="n"/>
      <c r="L903" s="153" t="n"/>
      <c r="M903" s="153" t="n"/>
      <c r="N903" s="153" t="n"/>
      <c r="O903" s="153" t="n"/>
      <c r="P903" s="153" t="n"/>
      <c r="Q903" s="153" t="n"/>
      <c r="R903" s="153" t="n"/>
      <c r="S903" s="153" t="n"/>
      <c r="T903" s="153" t="n"/>
      <c r="U903" s="153" t="n"/>
      <c r="V903" s="153" t="n"/>
      <c r="W903" s="153" t="n"/>
      <c r="X903" s="153" t="n"/>
      <c r="Y903" s="153" t="n"/>
      <c r="Z903" s="153" t="n"/>
    </row>
    <row r="904" ht="15.75" customHeight="1" s="154">
      <c r="I904" s="153" t="n"/>
      <c r="J904" s="153" t="n"/>
      <c r="K904" s="153" t="n"/>
      <c r="L904" s="153" t="n"/>
      <c r="M904" s="153" t="n"/>
      <c r="N904" s="153" t="n"/>
      <c r="O904" s="153" t="n"/>
      <c r="P904" s="153" t="n"/>
      <c r="Q904" s="153" t="n"/>
      <c r="R904" s="153" t="n"/>
      <c r="S904" s="153" t="n"/>
      <c r="T904" s="153" t="n"/>
      <c r="U904" s="153" t="n"/>
      <c r="V904" s="153" t="n"/>
      <c r="W904" s="153" t="n"/>
      <c r="X904" s="153" t="n"/>
      <c r="Y904" s="153" t="n"/>
      <c r="Z904" s="153" t="n"/>
    </row>
    <row r="905" ht="15.75" customHeight="1" s="154">
      <c r="I905" s="153" t="n"/>
      <c r="J905" s="153" t="n"/>
      <c r="K905" s="153" t="n"/>
      <c r="L905" s="153" t="n"/>
      <c r="M905" s="153" t="n"/>
      <c r="N905" s="153" t="n"/>
      <c r="O905" s="153" t="n"/>
      <c r="P905" s="153" t="n"/>
      <c r="Q905" s="153" t="n"/>
      <c r="R905" s="153" t="n"/>
      <c r="S905" s="153" t="n"/>
      <c r="T905" s="153" t="n"/>
      <c r="U905" s="153" t="n"/>
      <c r="V905" s="153" t="n"/>
      <c r="W905" s="153" t="n"/>
      <c r="X905" s="153" t="n"/>
      <c r="Y905" s="153" t="n"/>
      <c r="Z905" s="153" t="n"/>
    </row>
    <row r="906" ht="15.75" customHeight="1" s="154">
      <c r="I906" s="153" t="n"/>
      <c r="J906" s="153" t="n"/>
      <c r="K906" s="153" t="n"/>
      <c r="L906" s="153" t="n"/>
      <c r="M906" s="153" t="n"/>
      <c r="N906" s="153" t="n"/>
      <c r="O906" s="153" t="n"/>
      <c r="P906" s="153" t="n"/>
      <c r="Q906" s="153" t="n"/>
      <c r="R906" s="153" t="n"/>
      <c r="S906" s="153" t="n"/>
      <c r="T906" s="153" t="n"/>
      <c r="U906" s="153" t="n"/>
      <c r="V906" s="153" t="n"/>
      <c r="W906" s="153" t="n"/>
      <c r="X906" s="153" t="n"/>
      <c r="Y906" s="153" t="n"/>
      <c r="Z906" s="153" t="n"/>
    </row>
    <row r="907" ht="15.75" customHeight="1" s="154">
      <c r="I907" s="153" t="n"/>
      <c r="J907" s="153" t="n"/>
      <c r="K907" s="153" t="n"/>
      <c r="L907" s="153" t="n"/>
      <c r="M907" s="153" t="n"/>
      <c r="N907" s="153" t="n"/>
      <c r="O907" s="153" t="n"/>
      <c r="P907" s="153" t="n"/>
      <c r="Q907" s="153" t="n"/>
      <c r="R907" s="153" t="n"/>
      <c r="S907" s="153" t="n"/>
      <c r="T907" s="153" t="n"/>
      <c r="U907" s="153" t="n"/>
      <c r="V907" s="153" t="n"/>
      <c r="W907" s="153" t="n"/>
      <c r="X907" s="153" t="n"/>
      <c r="Y907" s="153" t="n"/>
      <c r="Z907" s="153" t="n"/>
    </row>
    <row r="908" ht="15.75" customHeight="1" s="154">
      <c r="I908" s="153" t="n"/>
      <c r="J908" s="153" t="n"/>
      <c r="K908" s="153" t="n"/>
      <c r="L908" s="153" t="n"/>
      <c r="M908" s="153" t="n"/>
      <c r="N908" s="153" t="n"/>
      <c r="O908" s="153" t="n"/>
      <c r="P908" s="153" t="n"/>
      <c r="Q908" s="153" t="n"/>
      <c r="R908" s="153" t="n"/>
      <c r="S908" s="153" t="n"/>
      <c r="T908" s="153" t="n"/>
      <c r="U908" s="153" t="n"/>
      <c r="V908" s="153" t="n"/>
      <c r="W908" s="153" t="n"/>
      <c r="X908" s="153" t="n"/>
      <c r="Y908" s="153" t="n"/>
      <c r="Z908" s="153" t="n"/>
    </row>
    <row r="909" ht="15.75" customHeight="1" s="154">
      <c r="I909" s="153" t="n"/>
      <c r="J909" s="153" t="n"/>
      <c r="K909" s="153" t="n"/>
      <c r="L909" s="153" t="n"/>
      <c r="M909" s="153" t="n"/>
      <c r="N909" s="153" t="n"/>
      <c r="O909" s="153" t="n"/>
      <c r="P909" s="153" t="n"/>
      <c r="Q909" s="153" t="n"/>
      <c r="R909" s="153" t="n"/>
      <c r="S909" s="153" t="n"/>
      <c r="T909" s="153" t="n"/>
      <c r="U909" s="153" t="n"/>
      <c r="V909" s="153" t="n"/>
      <c r="W909" s="153" t="n"/>
      <c r="X909" s="153" t="n"/>
      <c r="Y909" s="153" t="n"/>
      <c r="Z909" s="153" t="n"/>
    </row>
    <row r="910" ht="15.75" customHeight="1" s="154">
      <c r="I910" s="153" t="n"/>
      <c r="J910" s="153" t="n"/>
      <c r="K910" s="153" t="n"/>
      <c r="L910" s="153" t="n"/>
      <c r="M910" s="153" t="n"/>
      <c r="N910" s="153" t="n"/>
      <c r="O910" s="153" t="n"/>
      <c r="P910" s="153" t="n"/>
      <c r="Q910" s="153" t="n"/>
      <c r="R910" s="153" t="n"/>
      <c r="S910" s="153" t="n"/>
      <c r="T910" s="153" t="n"/>
      <c r="U910" s="153" t="n"/>
      <c r="V910" s="153" t="n"/>
      <c r="W910" s="153" t="n"/>
      <c r="X910" s="153" t="n"/>
      <c r="Y910" s="153" t="n"/>
      <c r="Z910" s="153" t="n"/>
    </row>
    <row r="911" ht="15.75" customHeight="1" s="154">
      <c r="I911" s="153" t="n"/>
      <c r="J911" s="153" t="n"/>
      <c r="K911" s="153" t="n"/>
      <c r="L911" s="153" t="n"/>
      <c r="M911" s="153" t="n"/>
      <c r="N911" s="153" t="n"/>
      <c r="O911" s="153" t="n"/>
      <c r="P911" s="153" t="n"/>
      <c r="Q911" s="153" t="n"/>
      <c r="R911" s="153" t="n"/>
      <c r="S911" s="153" t="n"/>
      <c r="T911" s="153" t="n"/>
      <c r="U911" s="153" t="n"/>
      <c r="V911" s="153" t="n"/>
      <c r="W911" s="153" t="n"/>
      <c r="X911" s="153" t="n"/>
      <c r="Y911" s="153" t="n"/>
      <c r="Z911" s="153" t="n"/>
    </row>
    <row r="912" ht="15.75" customHeight="1" s="154">
      <c r="I912" s="153" t="n"/>
      <c r="J912" s="153" t="n"/>
      <c r="K912" s="153" t="n"/>
      <c r="L912" s="153" t="n"/>
      <c r="M912" s="153" t="n"/>
      <c r="N912" s="153" t="n"/>
      <c r="O912" s="153" t="n"/>
      <c r="P912" s="153" t="n"/>
      <c r="Q912" s="153" t="n"/>
      <c r="R912" s="153" t="n"/>
      <c r="S912" s="153" t="n"/>
      <c r="T912" s="153" t="n"/>
      <c r="U912" s="153" t="n"/>
      <c r="V912" s="153" t="n"/>
      <c r="W912" s="153" t="n"/>
      <c r="X912" s="153" t="n"/>
      <c r="Y912" s="153" t="n"/>
      <c r="Z912" s="153" t="n"/>
    </row>
    <row r="913" ht="15.75" customHeight="1" s="154">
      <c r="I913" s="153" t="n"/>
      <c r="J913" s="153" t="n"/>
      <c r="K913" s="153" t="n"/>
      <c r="L913" s="153" t="n"/>
      <c r="M913" s="153" t="n"/>
      <c r="N913" s="153" t="n"/>
      <c r="O913" s="153" t="n"/>
      <c r="P913" s="153" t="n"/>
      <c r="Q913" s="153" t="n"/>
      <c r="R913" s="153" t="n"/>
      <c r="S913" s="153" t="n"/>
      <c r="T913" s="153" t="n"/>
      <c r="U913" s="153" t="n"/>
      <c r="V913" s="153" t="n"/>
      <c r="W913" s="153" t="n"/>
      <c r="X913" s="153" t="n"/>
      <c r="Y913" s="153" t="n"/>
      <c r="Z913" s="153" t="n"/>
    </row>
    <row r="914" ht="15.75" customHeight="1" s="154">
      <c r="I914" s="153" t="n"/>
      <c r="J914" s="153" t="n"/>
      <c r="K914" s="153" t="n"/>
      <c r="L914" s="153" t="n"/>
      <c r="M914" s="153" t="n"/>
      <c r="N914" s="153" t="n"/>
      <c r="O914" s="153" t="n"/>
      <c r="P914" s="153" t="n"/>
      <c r="Q914" s="153" t="n"/>
      <c r="R914" s="153" t="n"/>
      <c r="S914" s="153" t="n"/>
      <c r="T914" s="153" t="n"/>
      <c r="U914" s="153" t="n"/>
      <c r="V914" s="153" t="n"/>
      <c r="W914" s="153" t="n"/>
      <c r="X914" s="153" t="n"/>
      <c r="Y914" s="153" t="n"/>
      <c r="Z914" s="153" t="n"/>
    </row>
    <row r="915" ht="15.75" customHeight="1" s="154">
      <c r="I915" s="153" t="n"/>
      <c r="J915" s="153" t="n"/>
      <c r="K915" s="153" t="n"/>
      <c r="L915" s="153" t="n"/>
      <c r="M915" s="153" t="n"/>
      <c r="N915" s="153" t="n"/>
      <c r="O915" s="153" t="n"/>
      <c r="P915" s="153" t="n"/>
      <c r="Q915" s="153" t="n"/>
      <c r="R915" s="153" t="n"/>
      <c r="S915" s="153" t="n"/>
      <c r="T915" s="153" t="n"/>
      <c r="U915" s="153" t="n"/>
      <c r="V915" s="153" t="n"/>
      <c r="W915" s="153" t="n"/>
      <c r="X915" s="153" t="n"/>
      <c r="Y915" s="153" t="n"/>
      <c r="Z915" s="153" t="n"/>
    </row>
    <row r="916" ht="15.75" customHeight="1" s="154">
      <c r="I916" s="153" t="n"/>
      <c r="J916" s="153" t="n"/>
      <c r="K916" s="153" t="n"/>
      <c r="L916" s="153" t="n"/>
      <c r="M916" s="153" t="n"/>
      <c r="N916" s="153" t="n"/>
      <c r="O916" s="153" t="n"/>
      <c r="P916" s="153" t="n"/>
      <c r="Q916" s="153" t="n"/>
      <c r="R916" s="153" t="n"/>
      <c r="S916" s="153" t="n"/>
      <c r="T916" s="153" t="n"/>
      <c r="U916" s="153" t="n"/>
      <c r="V916" s="153" t="n"/>
      <c r="W916" s="153" t="n"/>
      <c r="X916" s="153" t="n"/>
      <c r="Y916" s="153" t="n"/>
      <c r="Z916" s="153" t="n"/>
    </row>
    <row r="917" ht="15.75" customHeight="1" s="154">
      <c r="I917" s="153" t="n"/>
      <c r="J917" s="153" t="n"/>
      <c r="K917" s="153" t="n"/>
      <c r="L917" s="153" t="n"/>
      <c r="M917" s="153" t="n"/>
      <c r="N917" s="153" t="n"/>
      <c r="O917" s="153" t="n"/>
      <c r="P917" s="153" t="n"/>
      <c r="Q917" s="153" t="n"/>
      <c r="R917" s="153" t="n"/>
      <c r="S917" s="153" t="n"/>
      <c r="T917" s="153" t="n"/>
      <c r="U917" s="153" t="n"/>
      <c r="V917" s="153" t="n"/>
      <c r="W917" s="153" t="n"/>
      <c r="X917" s="153" t="n"/>
      <c r="Y917" s="153" t="n"/>
      <c r="Z917" s="153" t="n"/>
    </row>
    <row r="918" ht="15.75" customHeight="1" s="154">
      <c r="I918" s="153" t="n"/>
      <c r="J918" s="153" t="n"/>
      <c r="K918" s="153" t="n"/>
      <c r="L918" s="153" t="n"/>
      <c r="M918" s="153" t="n"/>
      <c r="N918" s="153" t="n"/>
      <c r="O918" s="153" t="n"/>
      <c r="P918" s="153" t="n"/>
      <c r="Q918" s="153" t="n"/>
      <c r="R918" s="153" t="n"/>
      <c r="S918" s="153" t="n"/>
      <c r="T918" s="153" t="n"/>
      <c r="U918" s="153" t="n"/>
      <c r="V918" s="153" t="n"/>
      <c r="W918" s="153" t="n"/>
      <c r="X918" s="153" t="n"/>
      <c r="Y918" s="153" t="n"/>
      <c r="Z918" s="153" t="n"/>
    </row>
    <row r="919" ht="15.75" customHeight="1" s="154">
      <c r="I919" s="153" t="n"/>
      <c r="J919" s="153" t="n"/>
      <c r="K919" s="153" t="n"/>
      <c r="L919" s="153" t="n"/>
      <c r="M919" s="153" t="n"/>
      <c r="N919" s="153" t="n"/>
      <c r="O919" s="153" t="n"/>
      <c r="P919" s="153" t="n"/>
      <c r="Q919" s="153" t="n"/>
      <c r="R919" s="153" t="n"/>
      <c r="S919" s="153" t="n"/>
      <c r="T919" s="153" t="n"/>
      <c r="U919" s="153" t="n"/>
      <c r="V919" s="153" t="n"/>
      <c r="W919" s="153" t="n"/>
      <c r="X919" s="153" t="n"/>
      <c r="Y919" s="153" t="n"/>
      <c r="Z919" s="153" t="n"/>
    </row>
    <row r="920" ht="15.75" customHeight="1" s="154">
      <c r="I920" s="153" t="n"/>
      <c r="J920" s="153" t="n"/>
      <c r="K920" s="153" t="n"/>
      <c r="L920" s="153" t="n"/>
      <c r="M920" s="153" t="n"/>
      <c r="N920" s="153" t="n"/>
      <c r="O920" s="153" t="n"/>
      <c r="P920" s="153" t="n"/>
      <c r="Q920" s="153" t="n"/>
      <c r="R920" s="153" t="n"/>
      <c r="S920" s="153" t="n"/>
      <c r="T920" s="153" t="n"/>
      <c r="U920" s="153" t="n"/>
      <c r="V920" s="153" t="n"/>
      <c r="W920" s="153" t="n"/>
      <c r="X920" s="153" t="n"/>
      <c r="Y920" s="153" t="n"/>
      <c r="Z920" s="153" t="n"/>
    </row>
    <row r="921" ht="15.75" customHeight="1" s="154">
      <c r="I921" s="153" t="n"/>
      <c r="J921" s="153" t="n"/>
      <c r="K921" s="153" t="n"/>
      <c r="L921" s="153" t="n"/>
      <c r="M921" s="153" t="n"/>
      <c r="N921" s="153" t="n"/>
      <c r="O921" s="153" t="n"/>
      <c r="P921" s="153" t="n"/>
      <c r="Q921" s="153" t="n"/>
      <c r="R921" s="153" t="n"/>
      <c r="S921" s="153" t="n"/>
      <c r="T921" s="153" t="n"/>
      <c r="U921" s="153" t="n"/>
      <c r="V921" s="153" t="n"/>
      <c r="W921" s="153" t="n"/>
      <c r="X921" s="153" t="n"/>
      <c r="Y921" s="153" t="n"/>
      <c r="Z921" s="153" t="n"/>
    </row>
    <row r="922" ht="15.75" customHeight="1" s="154">
      <c r="I922" s="153" t="n"/>
      <c r="J922" s="153" t="n"/>
      <c r="K922" s="153" t="n"/>
      <c r="L922" s="153" t="n"/>
      <c r="M922" s="153" t="n"/>
      <c r="N922" s="153" t="n"/>
      <c r="O922" s="153" t="n"/>
      <c r="P922" s="153" t="n"/>
      <c r="Q922" s="153" t="n"/>
      <c r="R922" s="153" t="n"/>
      <c r="S922" s="153" t="n"/>
      <c r="T922" s="153" t="n"/>
      <c r="U922" s="153" t="n"/>
      <c r="V922" s="153" t="n"/>
      <c r="W922" s="153" t="n"/>
      <c r="X922" s="153" t="n"/>
      <c r="Y922" s="153" t="n"/>
      <c r="Z922" s="153" t="n"/>
    </row>
    <row r="923" ht="15.75" customHeight="1" s="154">
      <c r="I923" s="153" t="n"/>
      <c r="J923" s="153" t="n"/>
      <c r="K923" s="153" t="n"/>
      <c r="L923" s="153" t="n"/>
      <c r="M923" s="153" t="n"/>
      <c r="N923" s="153" t="n"/>
      <c r="O923" s="153" t="n"/>
      <c r="P923" s="153" t="n"/>
      <c r="Q923" s="153" t="n"/>
      <c r="R923" s="153" t="n"/>
      <c r="S923" s="153" t="n"/>
      <c r="T923" s="153" t="n"/>
      <c r="U923" s="153" t="n"/>
      <c r="V923" s="153" t="n"/>
      <c r="W923" s="153" t="n"/>
      <c r="X923" s="153" t="n"/>
      <c r="Y923" s="153" t="n"/>
      <c r="Z923" s="153" t="n"/>
    </row>
    <row r="924" ht="15.75" customHeight="1" s="154">
      <c r="I924" s="153" t="n"/>
      <c r="J924" s="153" t="n"/>
      <c r="K924" s="153" t="n"/>
      <c r="L924" s="153" t="n"/>
      <c r="M924" s="153" t="n"/>
      <c r="N924" s="153" t="n"/>
      <c r="O924" s="153" t="n"/>
      <c r="P924" s="153" t="n"/>
      <c r="Q924" s="153" t="n"/>
      <c r="R924" s="153" t="n"/>
      <c r="S924" s="153" t="n"/>
      <c r="T924" s="153" t="n"/>
      <c r="U924" s="153" t="n"/>
      <c r="V924" s="153" t="n"/>
      <c r="W924" s="153" t="n"/>
      <c r="X924" s="153" t="n"/>
      <c r="Y924" s="153" t="n"/>
      <c r="Z924" s="153" t="n"/>
    </row>
    <row r="925" ht="15.75" customHeight="1" s="154">
      <c r="I925" s="153" t="n"/>
      <c r="J925" s="153" t="n"/>
      <c r="K925" s="153" t="n"/>
      <c r="L925" s="153" t="n"/>
      <c r="M925" s="153" t="n"/>
      <c r="N925" s="153" t="n"/>
      <c r="O925" s="153" t="n"/>
      <c r="P925" s="153" t="n"/>
      <c r="Q925" s="153" t="n"/>
      <c r="R925" s="153" t="n"/>
      <c r="S925" s="153" t="n"/>
      <c r="T925" s="153" t="n"/>
      <c r="U925" s="153" t="n"/>
      <c r="V925" s="153" t="n"/>
      <c r="W925" s="153" t="n"/>
      <c r="X925" s="153" t="n"/>
      <c r="Y925" s="153" t="n"/>
      <c r="Z925" s="153" t="n"/>
    </row>
    <row r="926" ht="15.75" customHeight="1" s="154">
      <c r="I926" s="153" t="n"/>
      <c r="J926" s="153" t="n"/>
      <c r="K926" s="153" t="n"/>
      <c r="L926" s="153" t="n"/>
      <c r="M926" s="153" t="n"/>
      <c r="N926" s="153" t="n"/>
      <c r="O926" s="153" t="n"/>
      <c r="P926" s="153" t="n"/>
      <c r="Q926" s="153" t="n"/>
      <c r="R926" s="153" t="n"/>
      <c r="S926" s="153" t="n"/>
      <c r="T926" s="153" t="n"/>
      <c r="U926" s="153" t="n"/>
      <c r="V926" s="153" t="n"/>
      <c r="W926" s="153" t="n"/>
      <c r="X926" s="153" t="n"/>
      <c r="Y926" s="153" t="n"/>
      <c r="Z926" s="153" t="n"/>
    </row>
    <row r="927" ht="15.75" customHeight="1" s="154">
      <c r="I927" s="153" t="n"/>
      <c r="J927" s="153" t="n"/>
      <c r="K927" s="153" t="n"/>
      <c r="L927" s="153" t="n"/>
      <c r="M927" s="153" t="n"/>
      <c r="N927" s="153" t="n"/>
      <c r="O927" s="153" t="n"/>
      <c r="P927" s="153" t="n"/>
      <c r="Q927" s="153" t="n"/>
      <c r="R927" s="153" t="n"/>
      <c r="S927" s="153" t="n"/>
      <c r="T927" s="153" t="n"/>
      <c r="U927" s="153" t="n"/>
      <c r="V927" s="153" t="n"/>
      <c r="W927" s="153" t="n"/>
      <c r="X927" s="153" t="n"/>
      <c r="Y927" s="153" t="n"/>
      <c r="Z927" s="153" t="n"/>
    </row>
    <row r="928" ht="15.75" customHeight="1" s="154">
      <c r="I928" s="153" t="n"/>
      <c r="J928" s="153" t="n"/>
      <c r="K928" s="153" t="n"/>
      <c r="L928" s="153" t="n"/>
      <c r="M928" s="153" t="n"/>
      <c r="N928" s="153" t="n"/>
      <c r="O928" s="153" t="n"/>
      <c r="P928" s="153" t="n"/>
      <c r="Q928" s="153" t="n"/>
      <c r="R928" s="153" t="n"/>
      <c r="S928" s="153" t="n"/>
      <c r="T928" s="153" t="n"/>
      <c r="U928" s="153" t="n"/>
      <c r="V928" s="153" t="n"/>
      <c r="W928" s="153" t="n"/>
      <c r="X928" s="153" t="n"/>
      <c r="Y928" s="153" t="n"/>
      <c r="Z928" s="153" t="n"/>
    </row>
    <row r="929" ht="15.75" customHeight="1" s="154">
      <c r="I929" s="153" t="n"/>
      <c r="J929" s="153" t="n"/>
      <c r="K929" s="153" t="n"/>
      <c r="L929" s="153" t="n"/>
      <c r="M929" s="153" t="n"/>
      <c r="N929" s="153" t="n"/>
      <c r="O929" s="153" t="n"/>
      <c r="P929" s="153" t="n"/>
      <c r="Q929" s="153" t="n"/>
      <c r="R929" s="153" t="n"/>
      <c r="S929" s="153" t="n"/>
      <c r="T929" s="153" t="n"/>
      <c r="U929" s="153" t="n"/>
      <c r="V929" s="153" t="n"/>
      <c r="W929" s="153" t="n"/>
      <c r="X929" s="153" t="n"/>
      <c r="Y929" s="153" t="n"/>
      <c r="Z929" s="153" t="n"/>
    </row>
    <row r="930" ht="15.75" customHeight="1" s="154">
      <c r="I930" s="153" t="n"/>
      <c r="J930" s="153" t="n"/>
      <c r="K930" s="153" t="n"/>
      <c r="L930" s="153" t="n"/>
      <c r="M930" s="153" t="n"/>
      <c r="N930" s="153" t="n"/>
      <c r="O930" s="153" t="n"/>
      <c r="P930" s="153" t="n"/>
      <c r="Q930" s="153" t="n"/>
      <c r="R930" s="153" t="n"/>
      <c r="S930" s="153" t="n"/>
      <c r="T930" s="153" t="n"/>
      <c r="U930" s="153" t="n"/>
      <c r="V930" s="153" t="n"/>
      <c r="W930" s="153" t="n"/>
      <c r="X930" s="153" t="n"/>
      <c r="Y930" s="153" t="n"/>
      <c r="Z930" s="153" t="n"/>
    </row>
    <row r="931" ht="15.75" customHeight="1" s="154">
      <c r="I931" s="153" t="n"/>
      <c r="J931" s="153" t="n"/>
      <c r="K931" s="153" t="n"/>
      <c r="L931" s="153" t="n"/>
      <c r="M931" s="153" t="n"/>
      <c r="N931" s="153" t="n"/>
      <c r="O931" s="153" t="n"/>
      <c r="P931" s="153" t="n"/>
      <c r="Q931" s="153" t="n"/>
      <c r="R931" s="153" t="n"/>
      <c r="S931" s="153" t="n"/>
      <c r="T931" s="153" t="n"/>
      <c r="U931" s="153" t="n"/>
      <c r="V931" s="153" t="n"/>
      <c r="W931" s="153" t="n"/>
      <c r="X931" s="153" t="n"/>
      <c r="Y931" s="153" t="n"/>
      <c r="Z931" s="153" t="n"/>
    </row>
    <row r="932" ht="15.75" customHeight="1" s="154">
      <c r="I932" s="153" t="n"/>
      <c r="J932" s="153" t="n"/>
      <c r="K932" s="153" t="n"/>
      <c r="L932" s="153" t="n"/>
      <c r="M932" s="153" t="n"/>
      <c r="N932" s="153" t="n"/>
      <c r="O932" s="153" t="n"/>
      <c r="P932" s="153" t="n"/>
      <c r="Q932" s="153" t="n"/>
      <c r="R932" s="153" t="n"/>
      <c r="S932" s="153" t="n"/>
      <c r="T932" s="153" t="n"/>
      <c r="U932" s="153" t="n"/>
      <c r="V932" s="153" t="n"/>
      <c r="W932" s="153" t="n"/>
      <c r="X932" s="153" t="n"/>
      <c r="Y932" s="153" t="n"/>
      <c r="Z932" s="153" t="n"/>
    </row>
    <row r="933" ht="15.75" customHeight="1" s="154">
      <c r="I933" s="153" t="n"/>
      <c r="J933" s="153" t="n"/>
      <c r="K933" s="153" t="n"/>
      <c r="L933" s="153" t="n"/>
      <c r="M933" s="153" t="n"/>
      <c r="N933" s="153" t="n"/>
      <c r="O933" s="153" t="n"/>
      <c r="P933" s="153" t="n"/>
      <c r="Q933" s="153" t="n"/>
      <c r="R933" s="153" t="n"/>
      <c r="S933" s="153" t="n"/>
      <c r="T933" s="153" t="n"/>
      <c r="U933" s="153" t="n"/>
      <c r="V933" s="153" t="n"/>
      <c r="W933" s="153" t="n"/>
      <c r="X933" s="153" t="n"/>
      <c r="Y933" s="153" t="n"/>
      <c r="Z933" s="153" t="n"/>
    </row>
    <row r="934" ht="15.75" customHeight="1" s="154">
      <c r="I934" s="153" t="n"/>
      <c r="J934" s="153" t="n"/>
      <c r="K934" s="153" t="n"/>
      <c r="L934" s="153" t="n"/>
      <c r="M934" s="153" t="n"/>
      <c r="N934" s="153" t="n"/>
      <c r="O934" s="153" t="n"/>
      <c r="P934" s="153" t="n"/>
      <c r="Q934" s="153" t="n"/>
      <c r="R934" s="153" t="n"/>
      <c r="S934" s="153" t="n"/>
      <c r="T934" s="153" t="n"/>
      <c r="U934" s="153" t="n"/>
      <c r="V934" s="153" t="n"/>
      <c r="W934" s="153" t="n"/>
      <c r="X934" s="153" t="n"/>
      <c r="Y934" s="153" t="n"/>
      <c r="Z934" s="153" t="n"/>
    </row>
    <row r="935" ht="15.75" customHeight="1" s="154">
      <c r="I935" s="153" t="n"/>
      <c r="J935" s="153" t="n"/>
      <c r="K935" s="153" t="n"/>
      <c r="L935" s="153" t="n"/>
      <c r="M935" s="153" t="n"/>
      <c r="N935" s="153" t="n"/>
      <c r="O935" s="153" t="n"/>
      <c r="P935" s="153" t="n"/>
      <c r="Q935" s="153" t="n"/>
      <c r="R935" s="153" t="n"/>
      <c r="S935" s="153" t="n"/>
      <c r="T935" s="153" t="n"/>
      <c r="U935" s="153" t="n"/>
      <c r="V935" s="153" t="n"/>
      <c r="W935" s="153" t="n"/>
      <c r="X935" s="153" t="n"/>
      <c r="Y935" s="153" t="n"/>
      <c r="Z935" s="153" t="n"/>
    </row>
    <row r="936" ht="15.75" customHeight="1" s="154">
      <c r="I936" s="153" t="n"/>
      <c r="J936" s="153" t="n"/>
      <c r="K936" s="153" t="n"/>
      <c r="L936" s="153" t="n"/>
      <c r="M936" s="153" t="n"/>
      <c r="N936" s="153" t="n"/>
      <c r="O936" s="153" t="n"/>
      <c r="P936" s="153" t="n"/>
      <c r="Q936" s="153" t="n"/>
      <c r="R936" s="153" t="n"/>
      <c r="S936" s="153" t="n"/>
      <c r="T936" s="153" t="n"/>
      <c r="U936" s="153" t="n"/>
      <c r="V936" s="153" t="n"/>
      <c r="W936" s="153" t="n"/>
      <c r="X936" s="153" t="n"/>
      <c r="Y936" s="153" t="n"/>
      <c r="Z936" s="153" t="n"/>
    </row>
    <row r="937" ht="15.75" customHeight="1" s="154">
      <c r="I937" s="153" t="n"/>
      <c r="J937" s="153" t="n"/>
      <c r="K937" s="153" t="n"/>
      <c r="L937" s="153" t="n"/>
      <c r="M937" s="153" t="n"/>
      <c r="N937" s="153" t="n"/>
      <c r="O937" s="153" t="n"/>
      <c r="P937" s="153" t="n"/>
      <c r="Q937" s="153" t="n"/>
      <c r="R937" s="153" t="n"/>
      <c r="S937" s="153" t="n"/>
      <c r="T937" s="153" t="n"/>
      <c r="U937" s="153" t="n"/>
      <c r="V937" s="153" t="n"/>
      <c r="W937" s="153" t="n"/>
      <c r="X937" s="153" t="n"/>
      <c r="Y937" s="153" t="n"/>
      <c r="Z937" s="153" t="n"/>
    </row>
    <row r="938" ht="15.75" customHeight="1" s="154">
      <c r="I938" s="153" t="n"/>
      <c r="J938" s="153" t="n"/>
      <c r="K938" s="153" t="n"/>
      <c r="L938" s="153" t="n"/>
      <c r="M938" s="153" t="n"/>
      <c r="N938" s="153" t="n"/>
      <c r="O938" s="153" t="n"/>
      <c r="P938" s="153" t="n"/>
      <c r="Q938" s="153" t="n"/>
      <c r="R938" s="153" t="n"/>
      <c r="S938" s="153" t="n"/>
      <c r="T938" s="153" t="n"/>
      <c r="U938" s="153" t="n"/>
      <c r="V938" s="153" t="n"/>
      <c r="W938" s="153" t="n"/>
      <c r="X938" s="153" t="n"/>
      <c r="Y938" s="153" t="n"/>
      <c r="Z938" s="153" t="n"/>
    </row>
    <row r="939" ht="15.75" customHeight="1" s="154">
      <c r="I939" s="153" t="n"/>
      <c r="J939" s="153" t="n"/>
      <c r="K939" s="153" t="n"/>
      <c r="L939" s="153" t="n"/>
      <c r="M939" s="153" t="n"/>
      <c r="N939" s="153" t="n"/>
      <c r="O939" s="153" t="n"/>
      <c r="P939" s="153" t="n"/>
      <c r="Q939" s="153" t="n"/>
      <c r="R939" s="153" t="n"/>
      <c r="S939" s="153" t="n"/>
      <c r="T939" s="153" t="n"/>
      <c r="U939" s="153" t="n"/>
      <c r="V939" s="153" t="n"/>
      <c r="W939" s="153" t="n"/>
      <c r="X939" s="153" t="n"/>
      <c r="Y939" s="153" t="n"/>
      <c r="Z939" s="153" t="n"/>
    </row>
    <row r="940" ht="15.75" customHeight="1" s="154">
      <c r="I940" s="153" t="n"/>
      <c r="J940" s="153" t="n"/>
      <c r="K940" s="153" t="n"/>
      <c r="L940" s="153" t="n"/>
      <c r="M940" s="153" t="n"/>
      <c r="N940" s="153" t="n"/>
      <c r="O940" s="153" t="n"/>
      <c r="P940" s="153" t="n"/>
      <c r="Q940" s="153" t="n"/>
      <c r="R940" s="153" t="n"/>
      <c r="S940" s="153" t="n"/>
      <c r="T940" s="153" t="n"/>
      <c r="U940" s="153" t="n"/>
      <c r="V940" s="153" t="n"/>
      <c r="W940" s="153" t="n"/>
      <c r="X940" s="153" t="n"/>
      <c r="Y940" s="153" t="n"/>
      <c r="Z940" s="153" t="n"/>
    </row>
    <row r="941" ht="15.75" customHeight="1" s="154">
      <c r="I941" s="153" t="n"/>
      <c r="J941" s="153" t="n"/>
      <c r="K941" s="153" t="n"/>
      <c r="L941" s="153" t="n"/>
      <c r="M941" s="153" t="n"/>
      <c r="N941" s="153" t="n"/>
      <c r="O941" s="153" t="n"/>
      <c r="P941" s="153" t="n"/>
      <c r="Q941" s="153" t="n"/>
      <c r="R941" s="153" t="n"/>
      <c r="S941" s="153" t="n"/>
      <c r="T941" s="153" t="n"/>
      <c r="U941" s="153" t="n"/>
      <c r="V941" s="153" t="n"/>
      <c r="W941" s="153" t="n"/>
      <c r="X941" s="153" t="n"/>
      <c r="Y941" s="153" t="n"/>
      <c r="Z941" s="153" t="n"/>
    </row>
    <row r="942" ht="15.75" customHeight="1" s="154">
      <c r="I942" s="153" t="n"/>
      <c r="J942" s="153" t="n"/>
      <c r="K942" s="153" t="n"/>
      <c r="L942" s="153" t="n"/>
      <c r="M942" s="153" t="n"/>
      <c r="N942" s="153" t="n"/>
      <c r="O942" s="153" t="n"/>
      <c r="P942" s="153" t="n"/>
      <c r="Q942" s="153" t="n"/>
      <c r="R942" s="153" t="n"/>
      <c r="S942" s="153" t="n"/>
      <c r="T942" s="153" t="n"/>
      <c r="U942" s="153" t="n"/>
      <c r="V942" s="153" t="n"/>
      <c r="W942" s="153" t="n"/>
      <c r="X942" s="153" t="n"/>
      <c r="Y942" s="153" t="n"/>
      <c r="Z942" s="153" t="n"/>
    </row>
    <row r="943" ht="15.75" customHeight="1" s="154">
      <c r="I943" s="153" t="n"/>
      <c r="J943" s="153" t="n"/>
      <c r="K943" s="153" t="n"/>
      <c r="L943" s="153" t="n"/>
      <c r="M943" s="153" t="n"/>
      <c r="N943" s="153" t="n"/>
      <c r="O943" s="153" t="n"/>
      <c r="P943" s="153" t="n"/>
      <c r="Q943" s="153" t="n"/>
      <c r="R943" s="153" t="n"/>
      <c r="S943" s="153" t="n"/>
      <c r="T943" s="153" t="n"/>
      <c r="U943" s="153" t="n"/>
      <c r="V943" s="153" t="n"/>
      <c r="W943" s="153" t="n"/>
      <c r="X943" s="153" t="n"/>
      <c r="Y943" s="153" t="n"/>
      <c r="Z943" s="153" t="n"/>
    </row>
    <row r="944" ht="15.75" customHeight="1" s="154">
      <c r="I944" s="153" t="n"/>
      <c r="J944" s="153" t="n"/>
      <c r="K944" s="153" t="n"/>
      <c r="L944" s="153" t="n"/>
      <c r="M944" s="153" t="n"/>
      <c r="N944" s="153" t="n"/>
      <c r="O944" s="153" t="n"/>
      <c r="P944" s="153" t="n"/>
      <c r="Q944" s="153" t="n"/>
      <c r="R944" s="153" t="n"/>
      <c r="S944" s="153" t="n"/>
      <c r="T944" s="153" t="n"/>
      <c r="U944" s="153" t="n"/>
      <c r="V944" s="153" t="n"/>
      <c r="W944" s="153" t="n"/>
      <c r="X944" s="153" t="n"/>
      <c r="Y944" s="153" t="n"/>
      <c r="Z944" s="153" t="n"/>
    </row>
    <row r="945" ht="15.75" customHeight="1" s="154">
      <c r="I945" s="153" t="n"/>
      <c r="J945" s="153" t="n"/>
      <c r="K945" s="153" t="n"/>
      <c r="L945" s="153" t="n"/>
      <c r="M945" s="153" t="n"/>
      <c r="N945" s="153" t="n"/>
      <c r="O945" s="153" t="n"/>
      <c r="P945" s="153" t="n"/>
      <c r="Q945" s="153" t="n"/>
      <c r="R945" s="153" t="n"/>
      <c r="S945" s="153" t="n"/>
      <c r="T945" s="153" t="n"/>
      <c r="U945" s="153" t="n"/>
      <c r="V945" s="153" t="n"/>
      <c r="W945" s="153" t="n"/>
      <c r="X945" s="153" t="n"/>
      <c r="Y945" s="153" t="n"/>
      <c r="Z945" s="153" t="n"/>
    </row>
    <row r="946" ht="15.75" customHeight="1" s="154">
      <c r="I946" s="153" t="n"/>
      <c r="J946" s="153" t="n"/>
      <c r="K946" s="153" t="n"/>
      <c r="L946" s="153" t="n"/>
      <c r="M946" s="153" t="n"/>
      <c r="N946" s="153" t="n"/>
      <c r="O946" s="153" t="n"/>
      <c r="P946" s="153" t="n"/>
      <c r="Q946" s="153" t="n"/>
      <c r="R946" s="153" t="n"/>
      <c r="S946" s="153" t="n"/>
      <c r="T946" s="153" t="n"/>
      <c r="U946" s="153" t="n"/>
      <c r="V946" s="153" t="n"/>
      <c r="W946" s="153" t="n"/>
      <c r="X946" s="153" t="n"/>
      <c r="Y946" s="153" t="n"/>
      <c r="Z946" s="153" t="n"/>
    </row>
    <row r="947" ht="15.75" customHeight="1" s="154">
      <c r="I947" s="153" t="n"/>
      <c r="J947" s="153" t="n"/>
      <c r="K947" s="153" t="n"/>
      <c r="L947" s="153" t="n"/>
      <c r="M947" s="153" t="n"/>
      <c r="N947" s="153" t="n"/>
      <c r="O947" s="153" t="n"/>
      <c r="P947" s="153" t="n"/>
      <c r="Q947" s="153" t="n"/>
      <c r="R947" s="153" t="n"/>
      <c r="S947" s="153" t="n"/>
      <c r="T947" s="153" t="n"/>
      <c r="U947" s="153" t="n"/>
      <c r="V947" s="153" t="n"/>
      <c r="W947" s="153" t="n"/>
      <c r="X947" s="153" t="n"/>
      <c r="Y947" s="153" t="n"/>
      <c r="Z947" s="153" t="n"/>
    </row>
    <row r="948" ht="15.75" customHeight="1" s="154">
      <c r="I948" s="153" t="n"/>
      <c r="J948" s="153" t="n"/>
      <c r="K948" s="153" t="n"/>
      <c r="L948" s="153" t="n"/>
      <c r="M948" s="153" t="n"/>
      <c r="N948" s="153" t="n"/>
      <c r="O948" s="153" t="n"/>
      <c r="P948" s="153" t="n"/>
      <c r="Q948" s="153" t="n"/>
      <c r="R948" s="153" t="n"/>
      <c r="S948" s="153" t="n"/>
      <c r="T948" s="153" t="n"/>
      <c r="U948" s="153" t="n"/>
      <c r="V948" s="153" t="n"/>
      <c r="W948" s="153" t="n"/>
      <c r="X948" s="153" t="n"/>
      <c r="Y948" s="153" t="n"/>
      <c r="Z948" s="153" t="n"/>
    </row>
    <row r="949" ht="15.75" customHeight="1" s="154">
      <c r="I949" s="153" t="n"/>
      <c r="J949" s="153" t="n"/>
      <c r="K949" s="153" t="n"/>
      <c r="L949" s="153" t="n"/>
      <c r="M949" s="153" t="n"/>
      <c r="N949" s="153" t="n"/>
      <c r="O949" s="153" t="n"/>
      <c r="P949" s="153" t="n"/>
      <c r="Q949" s="153" t="n"/>
      <c r="R949" s="153" t="n"/>
      <c r="S949" s="153" t="n"/>
      <c r="T949" s="153" t="n"/>
      <c r="U949" s="153" t="n"/>
      <c r="V949" s="153" t="n"/>
      <c r="W949" s="153" t="n"/>
      <c r="X949" s="153" t="n"/>
      <c r="Y949" s="153" t="n"/>
      <c r="Z949" s="153" t="n"/>
    </row>
    <row r="950" ht="15.75" customHeight="1" s="154">
      <c r="I950" s="153" t="n"/>
      <c r="J950" s="153" t="n"/>
      <c r="K950" s="153" t="n"/>
      <c r="L950" s="153" t="n"/>
      <c r="M950" s="153" t="n"/>
      <c r="N950" s="153" t="n"/>
      <c r="O950" s="153" t="n"/>
      <c r="P950" s="153" t="n"/>
      <c r="Q950" s="153" t="n"/>
      <c r="R950" s="153" t="n"/>
      <c r="S950" s="153" t="n"/>
      <c r="T950" s="153" t="n"/>
      <c r="U950" s="153" t="n"/>
      <c r="V950" s="153" t="n"/>
      <c r="W950" s="153" t="n"/>
      <c r="X950" s="153" t="n"/>
      <c r="Y950" s="153" t="n"/>
      <c r="Z950" s="153" t="n"/>
    </row>
    <row r="951" ht="15.75" customHeight="1" s="154">
      <c r="I951" s="153" t="n"/>
      <c r="J951" s="153" t="n"/>
      <c r="K951" s="153" t="n"/>
      <c r="L951" s="153" t="n"/>
      <c r="M951" s="153" t="n"/>
      <c r="N951" s="153" t="n"/>
      <c r="O951" s="153" t="n"/>
      <c r="P951" s="153" t="n"/>
      <c r="Q951" s="153" t="n"/>
      <c r="R951" s="153" t="n"/>
      <c r="S951" s="153" t="n"/>
      <c r="T951" s="153" t="n"/>
      <c r="U951" s="153" t="n"/>
      <c r="V951" s="153" t="n"/>
      <c r="W951" s="153" t="n"/>
      <c r="X951" s="153" t="n"/>
      <c r="Y951" s="153" t="n"/>
      <c r="Z951" s="153" t="n"/>
    </row>
    <row r="952" ht="15.75" customHeight="1" s="154">
      <c r="I952" s="153" t="n"/>
      <c r="J952" s="153" t="n"/>
      <c r="K952" s="153" t="n"/>
      <c r="L952" s="153" t="n"/>
      <c r="M952" s="153" t="n"/>
      <c r="N952" s="153" t="n"/>
      <c r="O952" s="153" t="n"/>
      <c r="P952" s="153" t="n"/>
      <c r="Q952" s="153" t="n"/>
      <c r="R952" s="153" t="n"/>
      <c r="S952" s="153" t="n"/>
      <c r="T952" s="153" t="n"/>
      <c r="U952" s="153" t="n"/>
      <c r="V952" s="153" t="n"/>
      <c r="W952" s="153" t="n"/>
      <c r="X952" s="153" t="n"/>
      <c r="Y952" s="153" t="n"/>
      <c r="Z952" s="153" t="n"/>
    </row>
    <row r="953" ht="15.75" customHeight="1" s="154">
      <c r="I953" s="153" t="n"/>
      <c r="J953" s="153" t="n"/>
      <c r="K953" s="153" t="n"/>
      <c r="L953" s="153" t="n"/>
      <c r="M953" s="153" t="n"/>
      <c r="N953" s="153" t="n"/>
      <c r="O953" s="153" t="n"/>
      <c r="P953" s="153" t="n"/>
      <c r="Q953" s="153" t="n"/>
      <c r="R953" s="153" t="n"/>
      <c r="S953" s="153" t="n"/>
      <c r="T953" s="153" t="n"/>
      <c r="U953" s="153" t="n"/>
      <c r="V953" s="153" t="n"/>
      <c r="W953" s="153" t="n"/>
      <c r="X953" s="153" t="n"/>
      <c r="Y953" s="153" t="n"/>
      <c r="Z953" s="153" t="n"/>
    </row>
    <row r="954" ht="15.75" customHeight="1" s="154">
      <c r="I954" s="153" t="n"/>
      <c r="J954" s="153" t="n"/>
      <c r="K954" s="153" t="n"/>
      <c r="L954" s="153" t="n"/>
      <c r="M954" s="153" t="n"/>
      <c r="N954" s="153" t="n"/>
      <c r="O954" s="153" t="n"/>
      <c r="P954" s="153" t="n"/>
      <c r="Q954" s="153" t="n"/>
      <c r="R954" s="153" t="n"/>
      <c r="S954" s="153" t="n"/>
      <c r="T954" s="153" t="n"/>
      <c r="U954" s="153" t="n"/>
      <c r="V954" s="153" t="n"/>
      <c r="W954" s="153" t="n"/>
      <c r="X954" s="153" t="n"/>
      <c r="Y954" s="153" t="n"/>
      <c r="Z954" s="153" t="n"/>
    </row>
    <row r="955" ht="15.75" customHeight="1" s="154">
      <c r="I955" s="153" t="n"/>
      <c r="J955" s="153" t="n"/>
      <c r="K955" s="153" t="n"/>
      <c r="L955" s="153" t="n"/>
      <c r="M955" s="153" t="n"/>
      <c r="N955" s="153" t="n"/>
      <c r="O955" s="153" t="n"/>
      <c r="P955" s="153" t="n"/>
      <c r="Q955" s="153" t="n"/>
      <c r="R955" s="153" t="n"/>
      <c r="S955" s="153" t="n"/>
      <c r="T955" s="153" t="n"/>
      <c r="U955" s="153" t="n"/>
      <c r="V955" s="153" t="n"/>
      <c r="W955" s="153" t="n"/>
      <c r="X955" s="153" t="n"/>
      <c r="Y955" s="153" t="n"/>
      <c r="Z955" s="153" t="n"/>
    </row>
    <row r="956" ht="15.75" customHeight="1" s="154">
      <c r="I956" s="153" t="n"/>
      <c r="J956" s="153" t="n"/>
      <c r="K956" s="153" t="n"/>
      <c r="L956" s="153" t="n"/>
      <c r="M956" s="153" t="n"/>
      <c r="N956" s="153" t="n"/>
      <c r="O956" s="153" t="n"/>
      <c r="P956" s="153" t="n"/>
      <c r="Q956" s="153" t="n"/>
      <c r="R956" s="153" t="n"/>
      <c r="S956" s="153" t="n"/>
      <c r="T956" s="153" t="n"/>
      <c r="U956" s="153" t="n"/>
      <c r="V956" s="153" t="n"/>
      <c r="W956" s="153" t="n"/>
      <c r="X956" s="153" t="n"/>
      <c r="Y956" s="153" t="n"/>
      <c r="Z956" s="153" t="n"/>
    </row>
    <row r="957" ht="15.75" customHeight="1" s="154">
      <c r="I957" s="153" t="n"/>
      <c r="J957" s="153" t="n"/>
      <c r="K957" s="153" t="n"/>
      <c r="L957" s="153" t="n"/>
      <c r="M957" s="153" t="n"/>
      <c r="N957" s="153" t="n"/>
      <c r="O957" s="153" t="n"/>
      <c r="P957" s="153" t="n"/>
      <c r="Q957" s="153" t="n"/>
      <c r="R957" s="153" t="n"/>
      <c r="S957" s="153" t="n"/>
      <c r="T957" s="153" t="n"/>
      <c r="U957" s="153" t="n"/>
      <c r="V957" s="153" t="n"/>
      <c r="W957" s="153" t="n"/>
      <c r="X957" s="153" t="n"/>
      <c r="Y957" s="153" t="n"/>
      <c r="Z957" s="153" t="n"/>
    </row>
    <row r="958" ht="15.75" customHeight="1" s="154">
      <c r="I958" s="153" t="n"/>
      <c r="J958" s="153" t="n"/>
      <c r="K958" s="153" t="n"/>
      <c r="L958" s="153" t="n"/>
      <c r="M958" s="153" t="n"/>
      <c r="N958" s="153" t="n"/>
      <c r="O958" s="153" t="n"/>
      <c r="P958" s="153" t="n"/>
      <c r="Q958" s="153" t="n"/>
      <c r="R958" s="153" t="n"/>
      <c r="S958" s="153" t="n"/>
      <c r="T958" s="153" t="n"/>
      <c r="U958" s="153" t="n"/>
      <c r="V958" s="153" t="n"/>
      <c r="W958" s="153" t="n"/>
      <c r="X958" s="153" t="n"/>
      <c r="Y958" s="153" t="n"/>
      <c r="Z958" s="153" t="n"/>
    </row>
    <row r="959" ht="15.75" customHeight="1" s="154">
      <c r="I959" s="153" t="n"/>
      <c r="J959" s="153" t="n"/>
      <c r="K959" s="153" t="n"/>
      <c r="L959" s="153" t="n"/>
      <c r="M959" s="153" t="n"/>
      <c r="N959" s="153" t="n"/>
      <c r="O959" s="153" t="n"/>
      <c r="P959" s="153" t="n"/>
      <c r="Q959" s="153" t="n"/>
      <c r="R959" s="153" t="n"/>
      <c r="S959" s="153" t="n"/>
      <c r="T959" s="153" t="n"/>
      <c r="U959" s="153" t="n"/>
      <c r="V959" s="153" t="n"/>
      <c r="W959" s="153" t="n"/>
      <c r="X959" s="153" t="n"/>
      <c r="Y959" s="153" t="n"/>
      <c r="Z959" s="153" t="n"/>
    </row>
    <row r="960" ht="15.75" customHeight="1" s="154">
      <c r="I960" s="153" t="n"/>
      <c r="J960" s="153" t="n"/>
      <c r="K960" s="153" t="n"/>
      <c r="L960" s="153" t="n"/>
      <c r="M960" s="153" t="n"/>
      <c r="N960" s="153" t="n"/>
      <c r="O960" s="153" t="n"/>
      <c r="P960" s="153" t="n"/>
      <c r="Q960" s="153" t="n"/>
      <c r="R960" s="153" t="n"/>
      <c r="S960" s="153" t="n"/>
      <c r="T960" s="153" t="n"/>
      <c r="U960" s="153" t="n"/>
      <c r="V960" s="153" t="n"/>
      <c r="W960" s="153" t="n"/>
      <c r="X960" s="153" t="n"/>
      <c r="Y960" s="153" t="n"/>
      <c r="Z960" s="153" t="n"/>
    </row>
    <row r="961" ht="15.75" customHeight="1" s="154">
      <c r="I961" s="153" t="n"/>
      <c r="J961" s="153" t="n"/>
      <c r="K961" s="153" t="n"/>
      <c r="L961" s="153" t="n"/>
      <c r="M961" s="153" t="n"/>
      <c r="N961" s="153" t="n"/>
      <c r="O961" s="153" t="n"/>
      <c r="P961" s="153" t="n"/>
      <c r="Q961" s="153" t="n"/>
      <c r="R961" s="153" t="n"/>
      <c r="S961" s="153" t="n"/>
      <c r="T961" s="153" t="n"/>
      <c r="U961" s="153" t="n"/>
      <c r="V961" s="153" t="n"/>
      <c r="W961" s="153" t="n"/>
      <c r="X961" s="153" t="n"/>
      <c r="Y961" s="153" t="n"/>
      <c r="Z961" s="153" t="n"/>
    </row>
    <row r="962" ht="15.75" customHeight="1" s="154">
      <c r="I962" s="153" t="n"/>
      <c r="J962" s="153" t="n"/>
      <c r="K962" s="153" t="n"/>
      <c r="L962" s="153" t="n"/>
      <c r="M962" s="153" t="n"/>
      <c r="N962" s="153" t="n"/>
      <c r="O962" s="153" t="n"/>
      <c r="P962" s="153" t="n"/>
      <c r="Q962" s="153" t="n"/>
      <c r="R962" s="153" t="n"/>
      <c r="S962" s="153" t="n"/>
      <c r="T962" s="153" t="n"/>
      <c r="U962" s="153" t="n"/>
      <c r="V962" s="153" t="n"/>
      <c r="W962" s="153" t="n"/>
      <c r="X962" s="153" t="n"/>
      <c r="Y962" s="153" t="n"/>
      <c r="Z962" s="153" t="n"/>
    </row>
    <row r="963" ht="15.75" customHeight="1" s="154">
      <c r="I963" s="153" t="n"/>
      <c r="J963" s="153" t="n"/>
      <c r="K963" s="153" t="n"/>
      <c r="L963" s="153" t="n"/>
      <c r="M963" s="153" t="n"/>
      <c r="N963" s="153" t="n"/>
      <c r="O963" s="153" t="n"/>
      <c r="P963" s="153" t="n"/>
      <c r="Q963" s="153" t="n"/>
      <c r="R963" s="153" t="n"/>
      <c r="S963" s="153" t="n"/>
      <c r="T963" s="153" t="n"/>
      <c r="U963" s="153" t="n"/>
      <c r="V963" s="153" t="n"/>
      <c r="W963" s="153" t="n"/>
      <c r="X963" s="153" t="n"/>
      <c r="Y963" s="153" t="n"/>
      <c r="Z963" s="153" t="n"/>
    </row>
    <row r="964" ht="15.75" customHeight="1" s="154">
      <c r="I964" s="153" t="n"/>
      <c r="J964" s="153" t="n"/>
      <c r="K964" s="153" t="n"/>
      <c r="L964" s="153" t="n"/>
      <c r="M964" s="153" t="n"/>
      <c r="N964" s="153" t="n"/>
      <c r="O964" s="153" t="n"/>
      <c r="P964" s="153" t="n"/>
      <c r="Q964" s="153" t="n"/>
      <c r="R964" s="153" t="n"/>
      <c r="S964" s="153" t="n"/>
      <c r="T964" s="153" t="n"/>
      <c r="U964" s="153" t="n"/>
      <c r="V964" s="153" t="n"/>
      <c r="W964" s="153" t="n"/>
      <c r="X964" s="153" t="n"/>
      <c r="Y964" s="153" t="n"/>
      <c r="Z964" s="153" t="n"/>
    </row>
    <row r="965" ht="15.75" customHeight="1" s="154">
      <c r="I965" s="153" t="n"/>
      <c r="J965" s="153" t="n"/>
      <c r="K965" s="153" t="n"/>
      <c r="L965" s="153" t="n"/>
      <c r="M965" s="153" t="n"/>
      <c r="N965" s="153" t="n"/>
      <c r="O965" s="153" t="n"/>
      <c r="P965" s="153" t="n"/>
      <c r="Q965" s="153" t="n"/>
      <c r="R965" s="153" t="n"/>
      <c r="S965" s="153" t="n"/>
      <c r="T965" s="153" t="n"/>
      <c r="U965" s="153" t="n"/>
      <c r="V965" s="153" t="n"/>
      <c r="W965" s="153" t="n"/>
      <c r="X965" s="153" t="n"/>
      <c r="Y965" s="153" t="n"/>
      <c r="Z965" s="153" t="n"/>
    </row>
    <row r="966" ht="15.75" customHeight="1" s="154">
      <c r="I966" s="153" t="n"/>
      <c r="J966" s="153" t="n"/>
      <c r="K966" s="153" t="n"/>
      <c r="L966" s="153" t="n"/>
      <c r="M966" s="153" t="n"/>
      <c r="N966" s="153" t="n"/>
      <c r="O966" s="153" t="n"/>
      <c r="P966" s="153" t="n"/>
      <c r="Q966" s="153" t="n"/>
      <c r="R966" s="153" t="n"/>
      <c r="S966" s="153" t="n"/>
      <c r="T966" s="153" t="n"/>
      <c r="U966" s="153" t="n"/>
      <c r="V966" s="153" t="n"/>
      <c r="W966" s="153" t="n"/>
      <c r="X966" s="153" t="n"/>
      <c r="Y966" s="153" t="n"/>
      <c r="Z966" s="153" t="n"/>
    </row>
    <row r="967" ht="15.75" customHeight="1" s="154">
      <c r="I967" s="153" t="n"/>
      <c r="J967" s="153" t="n"/>
      <c r="K967" s="153" t="n"/>
      <c r="L967" s="153" t="n"/>
      <c r="M967" s="153" t="n"/>
      <c r="N967" s="153" t="n"/>
      <c r="O967" s="153" t="n"/>
      <c r="P967" s="153" t="n"/>
      <c r="Q967" s="153" t="n"/>
      <c r="R967" s="153" t="n"/>
      <c r="S967" s="153" t="n"/>
      <c r="T967" s="153" t="n"/>
      <c r="U967" s="153" t="n"/>
      <c r="V967" s="153" t="n"/>
      <c r="W967" s="153" t="n"/>
      <c r="X967" s="153" t="n"/>
      <c r="Y967" s="153" t="n"/>
      <c r="Z967" s="153" t="n"/>
    </row>
    <row r="968" ht="15.75" customHeight="1" s="154">
      <c r="I968" s="153" t="n"/>
      <c r="J968" s="153" t="n"/>
      <c r="K968" s="153" t="n"/>
      <c r="L968" s="153" t="n"/>
      <c r="M968" s="153" t="n"/>
      <c r="N968" s="153" t="n"/>
      <c r="O968" s="153" t="n"/>
      <c r="P968" s="153" t="n"/>
      <c r="Q968" s="153" t="n"/>
      <c r="R968" s="153" t="n"/>
      <c r="S968" s="153" t="n"/>
      <c r="T968" s="153" t="n"/>
      <c r="U968" s="153" t="n"/>
      <c r="V968" s="153" t="n"/>
      <c r="W968" s="153" t="n"/>
      <c r="X968" s="153" t="n"/>
      <c r="Y968" s="153" t="n"/>
      <c r="Z968" s="153" t="n"/>
    </row>
    <row r="969" ht="15.75" customHeight="1" s="154">
      <c r="I969" s="153" t="n"/>
      <c r="J969" s="153" t="n"/>
      <c r="K969" s="153" t="n"/>
      <c r="L969" s="153" t="n"/>
      <c r="M969" s="153" t="n"/>
      <c r="N969" s="153" t="n"/>
      <c r="O969" s="153" t="n"/>
      <c r="P969" s="153" t="n"/>
      <c r="Q969" s="153" t="n"/>
      <c r="R969" s="153" t="n"/>
      <c r="S969" s="153" t="n"/>
      <c r="T969" s="153" t="n"/>
      <c r="U969" s="153" t="n"/>
      <c r="V969" s="153" t="n"/>
      <c r="W969" s="153" t="n"/>
      <c r="X969" s="153" t="n"/>
      <c r="Y969" s="153" t="n"/>
      <c r="Z969" s="153" t="n"/>
    </row>
    <row r="970" ht="15.75" customHeight="1" s="154">
      <c r="I970" s="153" t="n"/>
      <c r="J970" s="153" t="n"/>
      <c r="K970" s="153" t="n"/>
      <c r="L970" s="153" t="n"/>
      <c r="M970" s="153" t="n"/>
      <c r="N970" s="153" t="n"/>
      <c r="O970" s="153" t="n"/>
      <c r="P970" s="153" t="n"/>
      <c r="Q970" s="153" t="n"/>
      <c r="R970" s="153" t="n"/>
      <c r="S970" s="153" t="n"/>
      <c r="T970" s="153" t="n"/>
      <c r="U970" s="153" t="n"/>
      <c r="V970" s="153" t="n"/>
      <c r="W970" s="153" t="n"/>
      <c r="X970" s="153" t="n"/>
      <c r="Y970" s="153" t="n"/>
      <c r="Z970" s="153" t="n"/>
    </row>
    <row r="971" ht="15.75" customHeight="1" s="154">
      <c r="I971" s="153" t="n"/>
      <c r="J971" s="153" t="n"/>
      <c r="K971" s="153" t="n"/>
      <c r="L971" s="153" t="n"/>
      <c r="M971" s="153" t="n"/>
      <c r="N971" s="153" t="n"/>
      <c r="O971" s="153" t="n"/>
      <c r="P971" s="153" t="n"/>
      <c r="Q971" s="153" t="n"/>
      <c r="R971" s="153" t="n"/>
      <c r="S971" s="153" t="n"/>
      <c r="T971" s="153" t="n"/>
      <c r="U971" s="153" t="n"/>
      <c r="V971" s="153" t="n"/>
      <c r="W971" s="153" t="n"/>
      <c r="X971" s="153" t="n"/>
      <c r="Y971" s="153" t="n"/>
      <c r="Z971" s="153" t="n"/>
    </row>
    <row r="972" ht="15.75" customHeight="1" s="154">
      <c r="I972" s="153" t="n"/>
      <c r="J972" s="153" t="n"/>
      <c r="K972" s="153" t="n"/>
      <c r="L972" s="153" t="n"/>
      <c r="M972" s="153" t="n"/>
      <c r="N972" s="153" t="n"/>
      <c r="O972" s="153" t="n"/>
      <c r="P972" s="153" t="n"/>
      <c r="Q972" s="153" t="n"/>
      <c r="R972" s="153" t="n"/>
      <c r="S972" s="153" t="n"/>
      <c r="T972" s="153" t="n"/>
      <c r="U972" s="153" t="n"/>
      <c r="V972" s="153" t="n"/>
      <c r="W972" s="153" t="n"/>
      <c r="X972" s="153" t="n"/>
      <c r="Y972" s="153" t="n"/>
      <c r="Z972" s="153" t="n"/>
    </row>
    <row r="973" ht="15.75" customHeight="1" s="154">
      <c r="I973" s="153" t="n"/>
      <c r="J973" s="153" t="n"/>
      <c r="K973" s="153" t="n"/>
      <c r="L973" s="153" t="n"/>
      <c r="M973" s="153" t="n"/>
      <c r="N973" s="153" t="n"/>
      <c r="O973" s="153" t="n"/>
      <c r="P973" s="153" t="n"/>
      <c r="Q973" s="153" t="n"/>
      <c r="R973" s="153" t="n"/>
      <c r="S973" s="153" t="n"/>
      <c r="T973" s="153" t="n"/>
      <c r="U973" s="153" t="n"/>
      <c r="V973" s="153" t="n"/>
      <c r="W973" s="153" t="n"/>
      <c r="X973" s="153" t="n"/>
      <c r="Y973" s="153" t="n"/>
      <c r="Z973" s="153" t="n"/>
    </row>
    <row r="974" ht="15.75" customHeight="1" s="154">
      <c r="I974" s="153" t="n"/>
      <c r="J974" s="153" t="n"/>
      <c r="K974" s="153" t="n"/>
      <c r="L974" s="153" t="n"/>
      <c r="M974" s="153" t="n"/>
      <c r="N974" s="153" t="n"/>
      <c r="O974" s="153" t="n"/>
      <c r="P974" s="153" t="n"/>
      <c r="Q974" s="153" t="n"/>
      <c r="R974" s="153" t="n"/>
      <c r="S974" s="153" t="n"/>
      <c r="T974" s="153" t="n"/>
      <c r="U974" s="153" t="n"/>
      <c r="V974" s="153" t="n"/>
      <c r="W974" s="153" t="n"/>
      <c r="X974" s="153" t="n"/>
      <c r="Y974" s="153" t="n"/>
      <c r="Z974" s="153" t="n"/>
    </row>
    <row r="975" ht="15.75" customHeight="1" s="154">
      <c r="I975" s="153" t="n"/>
      <c r="J975" s="153" t="n"/>
      <c r="K975" s="153" t="n"/>
      <c r="L975" s="153" t="n"/>
      <c r="M975" s="153" t="n"/>
      <c r="N975" s="153" t="n"/>
      <c r="O975" s="153" t="n"/>
      <c r="P975" s="153" t="n"/>
      <c r="Q975" s="153" t="n"/>
      <c r="R975" s="153" t="n"/>
      <c r="S975" s="153" t="n"/>
      <c r="T975" s="153" t="n"/>
      <c r="U975" s="153" t="n"/>
      <c r="V975" s="153" t="n"/>
      <c r="W975" s="153" t="n"/>
      <c r="X975" s="153" t="n"/>
      <c r="Y975" s="153" t="n"/>
      <c r="Z975" s="153" t="n"/>
    </row>
    <row r="976" ht="15.75" customHeight="1" s="154">
      <c r="I976" s="153" t="n"/>
      <c r="J976" s="153" t="n"/>
      <c r="K976" s="153" t="n"/>
      <c r="L976" s="153" t="n"/>
      <c r="M976" s="153" t="n"/>
      <c r="N976" s="153" t="n"/>
      <c r="O976" s="153" t="n"/>
      <c r="P976" s="153" t="n"/>
      <c r="Q976" s="153" t="n"/>
      <c r="R976" s="153" t="n"/>
      <c r="S976" s="153" t="n"/>
      <c r="T976" s="153" t="n"/>
      <c r="U976" s="153" t="n"/>
      <c r="V976" s="153" t="n"/>
      <c r="W976" s="153" t="n"/>
      <c r="X976" s="153" t="n"/>
      <c r="Y976" s="153" t="n"/>
      <c r="Z976" s="153" t="n"/>
    </row>
    <row r="977" ht="15.75" customHeight="1" s="154">
      <c r="I977" s="153" t="n"/>
      <c r="J977" s="153" t="n"/>
      <c r="K977" s="153" t="n"/>
      <c r="L977" s="153" t="n"/>
      <c r="M977" s="153" t="n"/>
      <c r="N977" s="153" t="n"/>
      <c r="O977" s="153" t="n"/>
      <c r="P977" s="153" t="n"/>
      <c r="Q977" s="153" t="n"/>
      <c r="R977" s="153" t="n"/>
      <c r="S977" s="153" t="n"/>
      <c r="T977" s="153" t="n"/>
      <c r="U977" s="153" t="n"/>
      <c r="V977" s="153" t="n"/>
      <c r="W977" s="153" t="n"/>
      <c r="X977" s="153" t="n"/>
      <c r="Y977" s="153" t="n"/>
      <c r="Z977" s="153" t="n"/>
    </row>
    <row r="978" ht="15.75" customHeight="1" s="154">
      <c r="I978" s="153" t="n"/>
      <c r="J978" s="153" t="n"/>
      <c r="K978" s="153" t="n"/>
      <c r="L978" s="153" t="n"/>
      <c r="M978" s="153" t="n"/>
      <c r="N978" s="153" t="n"/>
      <c r="O978" s="153" t="n"/>
      <c r="P978" s="153" t="n"/>
      <c r="Q978" s="153" t="n"/>
      <c r="R978" s="153" t="n"/>
      <c r="S978" s="153" t="n"/>
      <c r="T978" s="153" t="n"/>
      <c r="U978" s="153" t="n"/>
      <c r="V978" s="153" t="n"/>
      <c r="W978" s="153" t="n"/>
      <c r="X978" s="153" t="n"/>
      <c r="Y978" s="153" t="n"/>
      <c r="Z978" s="153" t="n"/>
    </row>
    <row r="979" ht="15.75" customHeight="1" s="154">
      <c r="I979" s="153" t="n"/>
      <c r="J979" s="153" t="n"/>
      <c r="K979" s="153" t="n"/>
      <c r="L979" s="153" t="n"/>
      <c r="M979" s="153" t="n"/>
      <c r="N979" s="153" t="n"/>
      <c r="O979" s="153" t="n"/>
      <c r="P979" s="153" t="n"/>
      <c r="Q979" s="153" t="n"/>
      <c r="R979" s="153" t="n"/>
      <c r="S979" s="153" t="n"/>
      <c r="T979" s="153" t="n"/>
      <c r="U979" s="153" t="n"/>
      <c r="V979" s="153" t="n"/>
      <c r="W979" s="153" t="n"/>
      <c r="X979" s="153" t="n"/>
      <c r="Y979" s="153" t="n"/>
      <c r="Z979" s="153" t="n"/>
    </row>
    <row r="980" ht="15.75" customHeight="1" s="154">
      <c r="I980" s="153" t="n"/>
      <c r="J980" s="153" t="n"/>
      <c r="K980" s="153" t="n"/>
      <c r="L980" s="153" t="n"/>
      <c r="M980" s="153" t="n"/>
      <c r="N980" s="153" t="n"/>
      <c r="O980" s="153" t="n"/>
      <c r="P980" s="153" t="n"/>
      <c r="Q980" s="153" t="n"/>
      <c r="R980" s="153" t="n"/>
      <c r="S980" s="153" t="n"/>
      <c r="T980" s="153" t="n"/>
      <c r="U980" s="153" t="n"/>
      <c r="V980" s="153" t="n"/>
      <c r="W980" s="153" t="n"/>
      <c r="X980" s="153" t="n"/>
      <c r="Y980" s="153" t="n"/>
      <c r="Z980" s="153" t="n"/>
    </row>
    <row r="981" ht="15.75" customHeight="1" s="154">
      <c r="I981" s="153" t="n"/>
      <c r="J981" s="153" t="n"/>
      <c r="K981" s="153" t="n"/>
      <c r="L981" s="153" t="n"/>
      <c r="M981" s="153" t="n"/>
      <c r="N981" s="153" t="n"/>
      <c r="O981" s="153" t="n"/>
      <c r="P981" s="153" t="n"/>
      <c r="Q981" s="153" t="n"/>
      <c r="R981" s="153" t="n"/>
      <c r="S981" s="153" t="n"/>
      <c r="T981" s="153" t="n"/>
      <c r="U981" s="153" t="n"/>
      <c r="V981" s="153" t="n"/>
      <c r="W981" s="153" t="n"/>
      <c r="X981" s="153" t="n"/>
      <c r="Y981" s="153" t="n"/>
      <c r="Z981" s="153" t="n"/>
    </row>
    <row r="982" ht="15.75" customHeight="1" s="154">
      <c r="I982" s="153" t="n"/>
      <c r="J982" s="153" t="n"/>
      <c r="K982" s="153" t="n"/>
      <c r="L982" s="153" t="n"/>
      <c r="M982" s="153" t="n"/>
      <c r="N982" s="153" t="n"/>
      <c r="O982" s="153" t="n"/>
      <c r="P982" s="153" t="n"/>
      <c r="Q982" s="153" t="n"/>
      <c r="R982" s="153" t="n"/>
      <c r="S982" s="153" t="n"/>
      <c r="T982" s="153" t="n"/>
      <c r="U982" s="153" t="n"/>
      <c r="V982" s="153" t="n"/>
      <c r="W982" s="153" t="n"/>
      <c r="X982" s="153" t="n"/>
      <c r="Y982" s="153" t="n"/>
      <c r="Z982" s="153" t="n"/>
    </row>
    <row r="983" ht="15.75" customHeight="1" s="154">
      <c r="I983" s="153" t="n"/>
      <c r="J983" s="153" t="n"/>
      <c r="K983" s="153" t="n"/>
      <c r="L983" s="153" t="n"/>
      <c r="M983" s="153" t="n"/>
      <c r="N983" s="153" t="n"/>
      <c r="O983" s="153" t="n"/>
      <c r="P983" s="153" t="n"/>
      <c r="Q983" s="153" t="n"/>
      <c r="R983" s="153" t="n"/>
      <c r="S983" s="153" t="n"/>
      <c r="T983" s="153" t="n"/>
      <c r="U983" s="153" t="n"/>
      <c r="V983" s="153" t="n"/>
      <c r="W983" s="153" t="n"/>
      <c r="X983" s="153" t="n"/>
      <c r="Y983" s="153" t="n"/>
      <c r="Z983" s="153" t="n"/>
    </row>
    <row r="984" ht="15.75" customHeight="1" s="154">
      <c r="I984" s="153" t="n"/>
      <c r="J984" s="153" t="n"/>
      <c r="K984" s="153" t="n"/>
      <c r="L984" s="153" t="n"/>
      <c r="M984" s="153" t="n"/>
      <c r="N984" s="153" t="n"/>
      <c r="O984" s="153" t="n"/>
      <c r="P984" s="153" t="n"/>
      <c r="Q984" s="153" t="n"/>
      <c r="R984" s="153" t="n"/>
      <c r="S984" s="153" t="n"/>
      <c r="T984" s="153" t="n"/>
      <c r="U984" s="153" t="n"/>
      <c r="V984" s="153" t="n"/>
      <c r="W984" s="153" t="n"/>
      <c r="X984" s="153" t="n"/>
      <c r="Y984" s="153" t="n"/>
      <c r="Z984" s="153" t="n"/>
    </row>
    <row r="985" ht="15.75" customHeight="1" s="154">
      <c r="I985" s="153" t="n"/>
      <c r="J985" s="153" t="n"/>
      <c r="K985" s="153" t="n"/>
      <c r="L985" s="153" t="n"/>
      <c r="M985" s="153" t="n"/>
      <c r="N985" s="153" t="n"/>
      <c r="O985" s="153" t="n"/>
      <c r="P985" s="153" t="n"/>
      <c r="Q985" s="153" t="n"/>
      <c r="R985" s="153" t="n"/>
      <c r="S985" s="153" t="n"/>
      <c r="T985" s="153" t="n"/>
      <c r="U985" s="153" t="n"/>
      <c r="V985" s="153" t="n"/>
      <c r="W985" s="153" t="n"/>
      <c r="X985" s="153" t="n"/>
      <c r="Y985" s="153" t="n"/>
      <c r="Z985" s="153" t="n"/>
    </row>
    <row r="986" ht="15.75" customHeight="1" s="154">
      <c r="I986" s="153" t="n"/>
      <c r="J986" s="153" t="n"/>
      <c r="K986" s="153" t="n"/>
      <c r="L986" s="153" t="n"/>
      <c r="M986" s="153" t="n"/>
      <c r="N986" s="153" t="n"/>
      <c r="O986" s="153" t="n"/>
      <c r="P986" s="153" t="n"/>
      <c r="Q986" s="153" t="n"/>
      <c r="R986" s="153" t="n"/>
      <c r="S986" s="153" t="n"/>
      <c r="T986" s="153" t="n"/>
      <c r="U986" s="153" t="n"/>
      <c r="V986" s="153" t="n"/>
      <c r="W986" s="153" t="n"/>
      <c r="X986" s="153" t="n"/>
      <c r="Y986" s="153" t="n"/>
      <c r="Z986" s="153" t="n"/>
    </row>
    <row r="987" ht="15.75" customHeight="1" s="154">
      <c r="I987" s="153" t="n"/>
      <c r="J987" s="153" t="n"/>
      <c r="K987" s="153" t="n"/>
      <c r="L987" s="153" t="n"/>
      <c r="M987" s="153" t="n"/>
      <c r="N987" s="153" t="n"/>
      <c r="O987" s="153" t="n"/>
      <c r="P987" s="153" t="n"/>
      <c r="Q987" s="153" t="n"/>
      <c r="R987" s="153" t="n"/>
      <c r="S987" s="153" t="n"/>
      <c r="T987" s="153" t="n"/>
      <c r="U987" s="153" t="n"/>
      <c r="V987" s="153" t="n"/>
      <c r="W987" s="153" t="n"/>
      <c r="X987" s="153" t="n"/>
      <c r="Y987" s="153" t="n"/>
      <c r="Z987" s="153" t="n"/>
    </row>
    <row r="988" ht="15.75" customHeight="1" s="154">
      <c r="I988" s="153" t="n"/>
      <c r="J988" s="153" t="n"/>
      <c r="K988" s="153" t="n"/>
      <c r="L988" s="153" t="n"/>
      <c r="M988" s="153" t="n"/>
      <c r="N988" s="153" t="n"/>
      <c r="O988" s="153" t="n"/>
      <c r="P988" s="153" t="n"/>
      <c r="Q988" s="153" t="n"/>
      <c r="R988" s="153" t="n"/>
      <c r="S988" s="153" t="n"/>
      <c r="T988" s="153" t="n"/>
      <c r="U988" s="153" t="n"/>
      <c r="V988" s="153" t="n"/>
      <c r="W988" s="153" t="n"/>
      <c r="X988" s="153" t="n"/>
      <c r="Y988" s="153" t="n"/>
      <c r="Z988" s="153" t="n"/>
    </row>
    <row r="989" ht="15.75" customHeight="1" s="154">
      <c r="I989" s="153" t="n"/>
      <c r="J989" s="153" t="n"/>
      <c r="K989" s="153" t="n"/>
      <c r="L989" s="153" t="n"/>
      <c r="M989" s="153" t="n"/>
      <c r="N989" s="153" t="n"/>
      <c r="O989" s="153" t="n"/>
      <c r="P989" s="153" t="n"/>
      <c r="Q989" s="153" t="n"/>
      <c r="R989" s="153" t="n"/>
      <c r="S989" s="153" t="n"/>
      <c r="T989" s="153" t="n"/>
      <c r="U989" s="153" t="n"/>
      <c r="V989" s="153" t="n"/>
      <c r="W989" s="153" t="n"/>
      <c r="X989" s="153" t="n"/>
      <c r="Y989" s="153" t="n"/>
      <c r="Z989" s="153" t="n"/>
    </row>
    <row r="990" ht="15.75" customHeight="1" s="154">
      <c r="I990" s="153" t="n"/>
      <c r="J990" s="153" t="n"/>
      <c r="K990" s="153" t="n"/>
      <c r="L990" s="153" t="n"/>
      <c r="M990" s="153" t="n"/>
      <c r="N990" s="153" t="n"/>
      <c r="O990" s="153" t="n"/>
      <c r="P990" s="153" t="n"/>
      <c r="Q990" s="153" t="n"/>
      <c r="R990" s="153" t="n"/>
      <c r="S990" s="153" t="n"/>
      <c r="T990" s="153" t="n"/>
      <c r="U990" s="153" t="n"/>
      <c r="V990" s="153" t="n"/>
      <c r="W990" s="153" t="n"/>
      <c r="X990" s="153" t="n"/>
      <c r="Y990" s="153" t="n"/>
      <c r="Z990" s="153" t="n"/>
    </row>
    <row r="991" ht="15.75" customHeight="1" s="154">
      <c r="I991" s="153" t="n"/>
      <c r="J991" s="153" t="n"/>
      <c r="K991" s="153" t="n"/>
      <c r="L991" s="153" t="n"/>
      <c r="M991" s="153" t="n"/>
      <c r="N991" s="153" t="n"/>
      <c r="O991" s="153" t="n"/>
      <c r="P991" s="153" t="n"/>
      <c r="Q991" s="153" t="n"/>
      <c r="R991" s="153" t="n"/>
      <c r="S991" s="153" t="n"/>
      <c r="T991" s="153" t="n"/>
      <c r="U991" s="153" t="n"/>
      <c r="V991" s="153" t="n"/>
      <c r="W991" s="153" t="n"/>
      <c r="X991" s="153" t="n"/>
      <c r="Y991" s="153" t="n"/>
      <c r="Z991" s="153" t="n"/>
    </row>
    <row r="992" ht="15.75" customHeight="1" s="154">
      <c r="I992" s="153" t="n"/>
      <c r="J992" s="153" t="n"/>
      <c r="K992" s="153" t="n"/>
      <c r="L992" s="153" t="n"/>
      <c r="M992" s="153" t="n"/>
      <c r="N992" s="153" t="n"/>
      <c r="O992" s="153" t="n"/>
      <c r="P992" s="153" t="n"/>
      <c r="Q992" s="153" t="n"/>
      <c r="R992" s="153" t="n"/>
      <c r="S992" s="153" t="n"/>
      <c r="T992" s="153" t="n"/>
      <c r="U992" s="153" t="n"/>
      <c r="V992" s="153" t="n"/>
      <c r="W992" s="153" t="n"/>
      <c r="X992" s="153" t="n"/>
      <c r="Y992" s="153" t="n"/>
      <c r="Z992" s="153" t="n"/>
    </row>
    <row r="993" ht="15.75" customHeight="1" s="154">
      <c r="I993" s="153" t="n"/>
      <c r="J993" s="153" t="n"/>
      <c r="K993" s="153" t="n"/>
      <c r="L993" s="153" t="n"/>
      <c r="M993" s="153" t="n"/>
      <c r="N993" s="153" t="n"/>
      <c r="O993" s="153" t="n"/>
      <c r="P993" s="153" t="n"/>
      <c r="Q993" s="153" t="n"/>
      <c r="R993" s="153" t="n"/>
      <c r="S993" s="153" t="n"/>
      <c r="T993" s="153" t="n"/>
      <c r="U993" s="153" t="n"/>
      <c r="V993" s="153" t="n"/>
      <c r="W993" s="153" t="n"/>
      <c r="X993" s="153" t="n"/>
      <c r="Y993" s="153" t="n"/>
      <c r="Z993" s="153" t="n"/>
    </row>
    <row r="994" ht="15.75" customHeight="1" s="154">
      <c r="I994" s="153" t="n"/>
      <c r="J994" s="153" t="n"/>
      <c r="K994" s="153" t="n"/>
      <c r="L994" s="153" t="n"/>
      <c r="M994" s="153" t="n"/>
      <c r="N994" s="153" t="n"/>
      <c r="O994" s="153" t="n"/>
      <c r="P994" s="153" t="n"/>
      <c r="Q994" s="153" t="n"/>
      <c r="R994" s="153" t="n"/>
      <c r="S994" s="153" t="n"/>
      <c r="T994" s="153" t="n"/>
      <c r="U994" s="153" t="n"/>
      <c r="V994" s="153" t="n"/>
      <c r="W994" s="153" t="n"/>
      <c r="X994" s="153" t="n"/>
      <c r="Y994" s="153" t="n"/>
      <c r="Z994" s="153" t="n"/>
    </row>
    <row r="995" ht="15.75" customHeight="1" s="154">
      <c r="I995" s="153" t="n"/>
      <c r="J995" s="153" t="n"/>
      <c r="K995" s="153" t="n"/>
      <c r="L995" s="153" t="n"/>
      <c r="M995" s="153" t="n"/>
      <c r="N995" s="153" t="n"/>
      <c r="O995" s="153" t="n"/>
      <c r="P995" s="153" t="n"/>
      <c r="Q995" s="153" t="n"/>
      <c r="R995" s="153" t="n"/>
      <c r="S995" s="153" t="n"/>
      <c r="T995" s="153" t="n"/>
      <c r="U995" s="153" t="n"/>
      <c r="V995" s="153" t="n"/>
      <c r="W995" s="153" t="n"/>
      <c r="X995" s="153" t="n"/>
      <c r="Y995" s="153" t="n"/>
      <c r="Z995" s="153" t="n"/>
    </row>
    <row r="996" ht="15.75" customHeight="1" s="154">
      <c r="I996" s="153" t="n"/>
      <c r="J996" s="153" t="n"/>
      <c r="K996" s="153" t="n"/>
      <c r="L996" s="153" t="n"/>
      <c r="M996" s="153" t="n"/>
      <c r="N996" s="153" t="n"/>
      <c r="O996" s="153" t="n"/>
      <c r="P996" s="153" t="n"/>
      <c r="Q996" s="153" t="n"/>
      <c r="R996" s="153" t="n"/>
      <c r="S996" s="153" t="n"/>
      <c r="T996" s="153" t="n"/>
      <c r="U996" s="153" t="n"/>
      <c r="V996" s="153" t="n"/>
      <c r="W996" s="153" t="n"/>
      <c r="X996" s="153" t="n"/>
      <c r="Y996" s="153" t="n"/>
      <c r="Z996" s="153" t="n"/>
    </row>
    <row r="997" ht="15.75" customHeight="1" s="154">
      <c r="I997" s="153" t="n"/>
      <c r="J997" s="153" t="n"/>
      <c r="K997" s="153" t="n"/>
      <c r="L997" s="153" t="n"/>
      <c r="M997" s="153" t="n"/>
      <c r="N997" s="153" t="n"/>
      <c r="O997" s="153" t="n"/>
      <c r="P997" s="153" t="n"/>
      <c r="Q997" s="153" t="n"/>
      <c r="R997" s="153" t="n"/>
      <c r="S997" s="153" t="n"/>
      <c r="T997" s="153" t="n"/>
      <c r="U997" s="153" t="n"/>
      <c r="V997" s="153" t="n"/>
      <c r="W997" s="153" t="n"/>
      <c r="X997" s="153" t="n"/>
      <c r="Y997" s="153" t="n"/>
      <c r="Z997" s="153" t="n"/>
    </row>
    <row r="998" ht="15.75" customHeight="1" s="154">
      <c r="I998" s="153" t="n"/>
      <c r="J998" s="153" t="n"/>
      <c r="K998" s="153" t="n"/>
      <c r="L998" s="153" t="n"/>
      <c r="M998" s="153" t="n"/>
      <c r="N998" s="153" t="n"/>
      <c r="O998" s="153" t="n"/>
      <c r="P998" s="153" t="n"/>
      <c r="Q998" s="153" t="n"/>
      <c r="R998" s="153" t="n"/>
      <c r="S998" s="153" t="n"/>
      <c r="T998" s="153" t="n"/>
      <c r="U998" s="153" t="n"/>
      <c r="V998" s="153" t="n"/>
      <c r="W998" s="153" t="n"/>
      <c r="X998" s="153" t="n"/>
      <c r="Y998" s="153" t="n"/>
      <c r="Z998" s="153" t="n"/>
    </row>
    <row r="999" ht="15.75" customHeight="1" s="154">
      <c r="I999" s="153" t="n"/>
      <c r="J999" s="153" t="n"/>
      <c r="K999" s="153" t="n"/>
      <c r="L999" s="153" t="n"/>
      <c r="M999" s="153" t="n"/>
      <c r="N999" s="153" t="n"/>
      <c r="O999" s="153" t="n"/>
      <c r="P999" s="153" t="n"/>
      <c r="Q999" s="153" t="n"/>
      <c r="R999" s="153" t="n"/>
      <c r="S999" s="153" t="n"/>
      <c r="T999" s="153" t="n"/>
      <c r="U999" s="153" t="n"/>
      <c r="V999" s="153" t="n"/>
      <c r="W999" s="153" t="n"/>
      <c r="X999" s="153" t="n"/>
      <c r="Y999" s="153" t="n"/>
      <c r="Z999" s="153" t="n"/>
    </row>
  </sheetData>
  <mergeCells count="4">
    <mergeCell ref="G16:H16"/>
    <mergeCell ref="A17:H21"/>
    <mergeCell ref="A2:H2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tabColor rgb="FF114884"/>
    <outlinePr summaryBelow="1" summaryRight="1"/>
    <pageSetUpPr fitToPage="0"/>
  </sheetPr>
  <dimension ref="A1:Z100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3359375" defaultRowHeight="15" zeroHeight="0" outlineLevelRow="0"/>
  <cols>
    <col width="22" customWidth="1" style="153" min="1" max="2"/>
    <col width="14" customWidth="1" style="153" min="3" max="3"/>
    <col width="12" customWidth="1" style="153" min="4" max="4"/>
    <col width="24" customWidth="1" style="153" min="5" max="5"/>
    <col width="8.710000000000001" customWidth="1" style="153" min="6" max="6"/>
  </cols>
  <sheetData>
    <row r="1" ht="48" customHeight="1" s="154">
      <c r="A1" s="286" t="inlineStr">
        <is>
          <t>⚓  Schulden  —  Vereinfachter Ausgleich</t>
        </is>
      </c>
      <c r="G1" s="153" t="n"/>
      <c r="H1" s="153" t="n"/>
      <c r="I1" s="153" t="n"/>
      <c r="J1" s="153" t="n"/>
      <c r="K1" s="153" t="n"/>
      <c r="L1" s="153" t="n"/>
      <c r="M1" s="153" t="n"/>
      <c r="N1" s="153" t="n"/>
      <c r="O1" s="153" t="n"/>
      <c r="P1" s="153" t="n"/>
      <c r="Q1" s="153" t="n"/>
      <c r="R1" s="153" t="n"/>
      <c r="S1" s="153" t="n"/>
      <c r="T1" s="153" t="n"/>
      <c r="U1" s="153" t="n"/>
      <c r="V1" s="153" t="n"/>
      <c r="W1" s="153" t="n"/>
      <c r="X1" s="153" t="n"/>
      <c r="Y1" s="153" t="n"/>
      <c r="Z1" s="153" t="n"/>
    </row>
    <row r="2" ht="21.75" customHeight="1" s="154">
      <c r="A2" s="227" t="inlineStr">
        <is>
          <t>Minimale Anzahl an Transaktionen  —  berechnet durch Apps Script</t>
        </is>
      </c>
      <c r="B2" s="228" t="n"/>
      <c r="C2" s="228" t="n"/>
      <c r="D2" s="228" t="n"/>
      <c r="E2" s="228" t="n"/>
      <c r="G2" s="153" t="n"/>
      <c r="H2" s="153" t="n"/>
      <c r="I2" s="153" t="n"/>
      <c r="J2" s="153" t="n"/>
      <c r="K2" s="153" t="n"/>
      <c r="L2" s="153" t="n"/>
      <c r="M2" s="153" t="n"/>
      <c r="N2" s="153" t="n"/>
      <c r="O2" s="153" t="n"/>
      <c r="P2" s="153" t="n"/>
      <c r="Q2" s="153" t="n"/>
      <c r="R2" s="153" t="n"/>
      <c r="S2" s="153" t="n"/>
      <c r="T2" s="153" t="n"/>
      <c r="U2" s="153" t="n"/>
      <c r="V2" s="153" t="n"/>
      <c r="W2" s="153" t="n"/>
      <c r="X2" s="153" t="n"/>
      <c r="Y2" s="153" t="n"/>
      <c r="Z2" s="153" t="n"/>
    </row>
    <row r="3" ht="19.5" customHeight="1" s="154">
      <c r="A3" s="287" t="inlineStr">
        <is>
          <t>💡  Diese Tabelle wird durch das Apps Script befüllt.
Menü: ⚓ Bordkasse → 🔄 Schulden neu berechnen  (oder bei jedem Speichern einer Transaktion automatisch).</t>
        </is>
      </c>
      <c r="B3" s="219" t="n"/>
      <c r="C3" s="219" t="n"/>
      <c r="D3" s="219" t="n"/>
      <c r="E3" s="220" t="n"/>
      <c r="G3" s="153" t="n"/>
      <c r="H3" s="153" t="n"/>
      <c r="I3" s="153" t="n"/>
      <c r="J3" s="153" t="n"/>
      <c r="K3" s="153" t="n"/>
      <c r="L3" s="153" t="n"/>
      <c r="M3" s="153" t="n"/>
      <c r="N3" s="153" t="n"/>
      <c r="O3" s="153" t="n"/>
      <c r="P3" s="153" t="n"/>
      <c r="Q3" s="153" t="n"/>
      <c r="R3" s="153" t="n"/>
      <c r="S3" s="153" t="n"/>
      <c r="T3" s="153" t="n"/>
      <c r="U3" s="153" t="n"/>
      <c r="V3" s="153" t="n"/>
      <c r="W3" s="153" t="n"/>
      <c r="X3" s="153" t="n"/>
      <c r="Y3" s="153" t="n"/>
      <c r="Z3" s="153" t="n"/>
    </row>
    <row r="4" ht="19.5" customHeight="1" s="154">
      <c r="A4" s="221" t="n"/>
      <c r="E4" s="222" t="n"/>
      <c r="G4" s="153" t="n"/>
      <c r="H4" s="153" t="n"/>
      <c r="I4" s="153" t="n"/>
      <c r="J4" s="153" t="n"/>
      <c r="K4" s="153" t="n"/>
      <c r="L4" s="153" t="n"/>
      <c r="M4" s="153" t="n"/>
      <c r="N4" s="153" t="n"/>
      <c r="O4" s="153" t="n"/>
      <c r="P4" s="153" t="n"/>
      <c r="Q4" s="153" t="n"/>
      <c r="R4" s="153" t="n"/>
      <c r="S4" s="153" t="n"/>
      <c r="T4" s="153" t="n"/>
      <c r="U4" s="153" t="n"/>
      <c r="V4" s="153" t="n"/>
      <c r="W4" s="153" t="n"/>
      <c r="X4" s="153" t="n"/>
      <c r="Y4" s="153" t="n"/>
      <c r="Z4" s="153" t="n"/>
    </row>
    <row r="5" ht="19.5" customHeight="1" s="154">
      <c r="A5" s="224" t="n"/>
      <c r="B5" s="225" t="n"/>
      <c r="C5" s="225" t="n"/>
      <c r="D5" s="225" t="n"/>
      <c r="E5" s="226" t="n"/>
      <c r="G5" s="153" t="n"/>
      <c r="H5" s="153" t="n"/>
      <c r="I5" s="153" t="n"/>
      <c r="J5" s="153" t="n"/>
      <c r="K5" s="153" t="n"/>
      <c r="L5" s="153" t="n"/>
      <c r="M5" s="153" t="n"/>
      <c r="N5" s="153" t="n"/>
      <c r="O5" s="153" t="n"/>
      <c r="P5" s="153" t="n"/>
      <c r="Q5" s="153" t="n"/>
      <c r="R5" s="153" t="n"/>
      <c r="S5" s="153" t="n"/>
      <c r="T5" s="153" t="n"/>
      <c r="U5" s="153" t="n"/>
      <c r="V5" s="153" t="n"/>
      <c r="W5" s="153" t="n"/>
      <c r="X5" s="153" t="n"/>
      <c r="Y5" s="153" t="n"/>
      <c r="Z5" s="153" t="n"/>
    </row>
    <row r="6" ht="9.75" customHeight="1" s="154">
      <c r="G6" s="153" t="n"/>
      <c r="H6" s="153" t="n"/>
      <c r="I6" s="153" t="n"/>
      <c r="J6" s="153" t="n"/>
      <c r="K6" s="153" t="n"/>
      <c r="L6" s="153" t="n"/>
      <c r="M6" s="153" t="n"/>
      <c r="N6" s="153" t="n"/>
      <c r="O6" s="153" t="n"/>
      <c r="P6" s="153" t="n"/>
      <c r="Q6" s="153" t="n"/>
      <c r="R6" s="153" t="n"/>
      <c r="S6" s="153" t="n"/>
      <c r="T6" s="153" t="n"/>
      <c r="U6" s="153" t="n"/>
      <c r="V6" s="153" t="n"/>
      <c r="W6" s="153" t="n"/>
      <c r="X6" s="153" t="n"/>
      <c r="Y6" s="153" t="n"/>
      <c r="Z6" s="153" t="n"/>
    </row>
    <row r="7" ht="27.75" customHeight="1" s="154">
      <c r="A7" s="194" t="inlineStr">
        <is>
          <t>Person (schuldet)</t>
        </is>
      </c>
      <c r="B7" s="194" t="inlineStr">
        <is>
          <t>Überweist an</t>
        </is>
      </c>
      <c r="C7" s="194" t="inlineStr">
        <is>
          <t>Betrag</t>
        </is>
      </c>
      <c r="D7" s="194" t="inlineStr">
        <is>
          <t>Erledigt?</t>
        </is>
      </c>
      <c r="E7" s="194" t="inlineStr">
        <is>
          <t>Notiz</t>
        </is>
      </c>
      <c r="G7" s="153" t="n"/>
      <c r="H7" s="153" t="n"/>
      <c r="I7" s="153" t="n"/>
      <c r="J7" s="153" t="n"/>
      <c r="K7" s="153" t="n"/>
      <c r="L7" s="153" t="n"/>
      <c r="M7" s="153" t="n"/>
      <c r="N7" s="153" t="n"/>
      <c r="O7" s="153" t="n"/>
      <c r="P7" s="153" t="n"/>
      <c r="Q7" s="153" t="n"/>
      <c r="R7" s="153" t="n"/>
      <c r="S7" s="153" t="n"/>
      <c r="T7" s="153" t="n"/>
      <c r="U7" s="153" t="n"/>
      <c r="V7" s="153" t="n"/>
      <c r="W7" s="153" t="n"/>
      <c r="X7" s="153" t="n"/>
      <c r="Y7" s="153" t="n"/>
      <c r="Z7" s="153" t="n"/>
    </row>
    <row r="8" ht="24" customHeight="1" s="154">
      <c r="A8" s="288" t="n"/>
      <c r="B8" s="289" t="n"/>
      <c r="C8" s="290" t="n"/>
      <c r="D8" s="291" t="n"/>
      <c r="E8" s="292" t="n"/>
      <c r="G8" s="153" t="n"/>
      <c r="H8" s="153" t="n"/>
      <c r="I8" s="153" t="n"/>
      <c r="J8" s="153" t="n"/>
      <c r="K8" s="153" t="n"/>
      <c r="L8" s="153" t="n"/>
      <c r="M8" s="153" t="n"/>
      <c r="N8" s="153" t="n"/>
      <c r="O8" s="153" t="n"/>
      <c r="P8" s="153" t="n"/>
      <c r="Q8" s="153" t="n"/>
      <c r="R8" s="153" t="n"/>
      <c r="S8" s="153" t="n"/>
      <c r="T8" s="153" t="n"/>
      <c r="U8" s="153" t="n"/>
      <c r="V8" s="153" t="n"/>
      <c r="W8" s="153" t="n"/>
      <c r="X8" s="153" t="n"/>
      <c r="Y8" s="153" t="n"/>
      <c r="Z8" s="153" t="n"/>
    </row>
    <row r="9" ht="24" customHeight="1" s="154">
      <c r="A9" s="293" t="n"/>
      <c r="B9" s="294" t="n"/>
      <c r="C9" s="295" t="n"/>
      <c r="D9" s="296" t="n"/>
      <c r="E9" s="297" t="n"/>
      <c r="G9" s="153" t="n"/>
      <c r="H9" s="153" t="n"/>
      <c r="I9" s="153" t="n"/>
      <c r="J9" s="153" t="n"/>
      <c r="K9" s="153" t="n"/>
      <c r="L9" s="153" t="n"/>
      <c r="M9" s="153" t="n"/>
      <c r="N9" s="153" t="n"/>
      <c r="O9" s="153" t="n"/>
      <c r="P9" s="153" t="n"/>
      <c r="Q9" s="153" t="n"/>
      <c r="R9" s="153" t="n"/>
      <c r="S9" s="153" t="n"/>
      <c r="T9" s="153" t="n"/>
      <c r="U9" s="153" t="n"/>
      <c r="V9" s="153" t="n"/>
      <c r="W9" s="153" t="n"/>
      <c r="X9" s="153" t="n"/>
      <c r="Y9" s="153" t="n"/>
      <c r="Z9" s="153" t="n"/>
    </row>
    <row r="10" ht="24" customHeight="1" s="154">
      <c r="A10" s="288" t="n"/>
      <c r="B10" s="289" t="n"/>
      <c r="C10" s="290" t="n"/>
      <c r="D10" s="291" t="n"/>
      <c r="E10" s="292" t="n"/>
      <c r="G10" s="153" t="n"/>
      <c r="H10" s="153" t="n"/>
      <c r="I10" s="153" t="n"/>
      <c r="J10" s="153" t="n"/>
      <c r="K10" s="153" t="n"/>
      <c r="L10" s="153" t="n"/>
      <c r="M10" s="153" t="n"/>
      <c r="N10" s="153" t="n"/>
      <c r="O10" s="153" t="n"/>
      <c r="P10" s="153" t="n"/>
      <c r="Q10" s="153" t="n"/>
      <c r="R10" s="153" t="n"/>
      <c r="S10" s="153" t="n"/>
      <c r="T10" s="153" t="n"/>
      <c r="U10" s="153" t="n"/>
      <c r="V10" s="153" t="n"/>
      <c r="W10" s="153" t="n"/>
      <c r="X10" s="153" t="n"/>
      <c r="Y10" s="153" t="n"/>
      <c r="Z10" s="153" t="n"/>
    </row>
    <row r="11" ht="24" customHeight="1" s="154">
      <c r="A11" s="293" t="n"/>
      <c r="B11" s="294" t="n"/>
      <c r="C11" s="295" t="n"/>
      <c r="D11" s="296" t="n"/>
      <c r="E11" s="297" t="n"/>
      <c r="G11" s="153" t="n"/>
      <c r="H11" s="153" t="n"/>
      <c r="I11" s="153" t="n"/>
      <c r="J11" s="153" t="n"/>
      <c r="K11" s="153" t="n"/>
      <c r="L11" s="153" t="n"/>
      <c r="M11" s="153" t="n"/>
      <c r="N11" s="153" t="n"/>
      <c r="O11" s="153" t="n"/>
      <c r="P11" s="153" t="n"/>
      <c r="Q11" s="153" t="n"/>
      <c r="R11" s="153" t="n"/>
      <c r="S11" s="153" t="n"/>
      <c r="T11" s="153" t="n"/>
      <c r="U11" s="153" t="n"/>
      <c r="V11" s="153" t="n"/>
      <c r="W11" s="153" t="n"/>
      <c r="X11" s="153" t="n"/>
      <c r="Y11" s="153" t="n"/>
      <c r="Z11" s="153" t="n"/>
    </row>
    <row r="12" ht="24" customHeight="1" s="154">
      <c r="A12" s="288" t="n"/>
      <c r="B12" s="289" t="n"/>
      <c r="C12" s="290" t="n"/>
      <c r="D12" s="291" t="n"/>
      <c r="E12" s="292" t="n"/>
      <c r="G12" s="153" t="n"/>
      <c r="H12" s="153" t="n"/>
      <c r="I12" s="153" t="n"/>
      <c r="J12" s="153" t="n"/>
      <c r="K12" s="153" t="n"/>
      <c r="L12" s="153" t="n"/>
      <c r="M12" s="153" t="n"/>
      <c r="N12" s="153" t="n"/>
      <c r="O12" s="153" t="n"/>
      <c r="P12" s="153" t="n"/>
      <c r="Q12" s="153" t="n"/>
      <c r="R12" s="153" t="n"/>
      <c r="S12" s="153" t="n"/>
      <c r="T12" s="153" t="n"/>
      <c r="U12" s="153" t="n"/>
      <c r="V12" s="153" t="n"/>
      <c r="W12" s="153" t="n"/>
      <c r="X12" s="153" t="n"/>
      <c r="Y12" s="153" t="n"/>
      <c r="Z12" s="153" t="n"/>
    </row>
    <row r="13" ht="24" customHeight="1" s="154">
      <c r="A13" s="293" t="n"/>
      <c r="B13" s="294" t="n"/>
      <c r="C13" s="295" t="n"/>
      <c r="D13" s="296" t="n"/>
      <c r="E13" s="297" t="n"/>
      <c r="G13" s="153" t="n"/>
      <c r="H13" s="153" t="n"/>
      <c r="I13" s="153" t="n"/>
      <c r="J13" s="153" t="n"/>
      <c r="K13" s="153" t="n"/>
      <c r="L13" s="153" t="n"/>
      <c r="M13" s="153" t="n"/>
      <c r="N13" s="153" t="n"/>
      <c r="O13" s="153" t="n"/>
      <c r="P13" s="153" t="n"/>
      <c r="Q13" s="153" t="n"/>
      <c r="R13" s="153" t="n"/>
      <c r="S13" s="153" t="n"/>
      <c r="T13" s="153" t="n"/>
      <c r="U13" s="153" t="n"/>
      <c r="V13" s="153" t="n"/>
      <c r="W13" s="153" t="n"/>
      <c r="X13" s="153" t="n"/>
      <c r="Y13" s="153" t="n"/>
      <c r="Z13" s="153" t="n"/>
    </row>
    <row r="14" ht="24" customHeight="1" s="154">
      <c r="A14" s="288" t="n"/>
      <c r="B14" s="289" t="n"/>
      <c r="C14" s="290" t="n"/>
      <c r="D14" s="291" t="n"/>
      <c r="E14" s="292" t="n"/>
      <c r="G14" s="153" t="n"/>
      <c r="H14" s="153" t="n"/>
      <c r="I14" s="153" t="n"/>
      <c r="J14" s="153" t="n"/>
      <c r="K14" s="153" t="n"/>
      <c r="L14" s="153" t="n"/>
      <c r="M14" s="153" t="n"/>
      <c r="N14" s="153" t="n"/>
      <c r="O14" s="153" t="n"/>
      <c r="P14" s="153" t="n"/>
      <c r="Q14" s="153" t="n"/>
      <c r="R14" s="153" t="n"/>
      <c r="S14" s="153" t="n"/>
      <c r="T14" s="153" t="n"/>
      <c r="U14" s="153" t="n"/>
      <c r="V14" s="153" t="n"/>
      <c r="W14" s="153" t="n"/>
      <c r="X14" s="153" t="n"/>
      <c r="Y14" s="153" t="n"/>
      <c r="Z14" s="153" t="n"/>
    </row>
    <row r="15" ht="24" customHeight="1" s="154">
      <c r="A15" s="293" t="n"/>
      <c r="B15" s="294" t="n"/>
      <c r="C15" s="295" t="n"/>
      <c r="D15" s="296" t="n"/>
      <c r="E15" s="297" t="n"/>
      <c r="G15" s="153" t="n"/>
      <c r="H15" s="153" t="n"/>
      <c r="I15" s="153" t="n"/>
      <c r="J15" s="153" t="n"/>
      <c r="K15" s="153" t="n"/>
      <c r="L15" s="153" t="n"/>
      <c r="M15" s="153" t="n"/>
      <c r="N15" s="153" t="n"/>
      <c r="O15" s="153" t="n"/>
      <c r="P15" s="153" t="n"/>
      <c r="Q15" s="153" t="n"/>
      <c r="R15" s="153" t="n"/>
      <c r="S15" s="153" t="n"/>
      <c r="T15" s="153" t="n"/>
      <c r="U15" s="153" t="n"/>
      <c r="V15" s="153" t="n"/>
      <c r="W15" s="153" t="n"/>
      <c r="X15" s="153" t="n"/>
      <c r="Y15" s="153" t="n"/>
      <c r="Z15" s="153" t="n"/>
    </row>
    <row r="16" ht="24" customHeight="1" s="154">
      <c r="A16" s="288" t="n"/>
      <c r="B16" s="289" t="n"/>
      <c r="C16" s="290" t="n"/>
      <c r="D16" s="291" t="n"/>
      <c r="E16" s="292" t="n"/>
      <c r="G16" s="153" t="n"/>
      <c r="H16" s="153" t="n"/>
      <c r="I16" s="153" t="n"/>
      <c r="J16" s="153" t="n"/>
      <c r="K16" s="153" t="n"/>
      <c r="L16" s="153" t="n"/>
      <c r="M16" s="153" t="n"/>
      <c r="N16" s="153" t="n"/>
      <c r="O16" s="153" t="n"/>
      <c r="P16" s="153" t="n"/>
      <c r="Q16" s="153" t="n"/>
      <c r="R16" s="153" t="n"/>
      <c r="S16" s="153" t="n"/>
      <c r="T16" s="153" t="n"/>
      <c r="U16" s="153" t="n"/>
      <c r="V16" s="153" t="n"/>
      <c r="W16" s="153" t="n"/>
      <c r="X16" s="153" t="n"/>
      <c r="Y16" s="153" t="n"/>
      <c r="Z16" s="153" t="n"/>
    </row>
    <row r="17" ht="24" customHeight="1" s="154">
      <c r="A17" s="293" t="n"/>
      <c r="B17" s="294" t="n"/>
      <c r="C17" s="295" t="n"/>
      <c r="D17" s="296" t="n"/>
      <c r="E17" s="297" t="n"/>
      <c r="G17" s="153" t="n"/>
      <c r="H17" s="153" t="n"/>
      <c r="I17" s="153" t="n"/>
      <c r="J17" s="153" t="n"/>
      <c r="K17" s="153" t="n"/>
      <c r="L17" s="153" t="n"/>
      <c r="M17" s="153" t="n"/>
      <c r="N17" s="153" t="n"/>
      <c r="O17" s="153" t="n"/>
      <c r="P17" s="153" t="n"/>
      <c r="Q17" s="153" t="n"/>
      <c r="R17" s="153" t="n"/>
      <c r="S17" s="153" t="n"/>
      <c r="T17" s="153" t="n"/>
      <c r="U17" s="153" t="n"/>
      <c r="V17" s="153" t="n"/>
      <c r="W17" s="153" t="n"/>
      <c r="X17" s="153" t="n"/>
      <c r="Y17" s="153" t="n"/>
      <c r="Z17" s="153" t="n"/>
    </row>
    <row r="18" ht="24" customHeight="1" s="154">
      <c r="A18" s="288" t="n"/>
      <c r="B18" s="289" t="n"/>
      <c r="C18" s="290" t="n"/>
      <c r="D18" s="291" t="n"/>
      <c r="E18" s="292" t="n"/>
      <c r="G18" s="153" t="n"/>
      <c r="H18" s="153" t="n"/>
      <c r="I18" s="153" t="n"/>
      <c r="J18" s="153" t="n"/>
      <c r="K18" s="153" t="n"/>
      <c r="L18" s="153" t="n"/>
      <c r="M18" s="153" t="n"/>
      <c r="N18" s="153" t="n"/>
      <c r="O18" s="153" t="n"/>
      <c r="P18" s="153" t="n"/>
      <c r="Q18" s="153" t="n"/>
      <c r="R18" s="153" t="n"/>
      <c r="S18" s="153" t="n"/>
      <c r="T18" s="153" t="n"/>
      <c r="U18" s="153" t="n"/>
      <c r="V18" s="153" t="n"/>
      <c r="W18" s="153" t="n"/>
      <c r="X18" s="153" t="n"/>
      <c r="Y18" s="153" t="n"/>
      <c r="Z18" s="153" t="n"/>
    </row>
    <row r="19" ht="24" customHeight="1" s="154">
      <c r="A19" s="293" t="n"/>
      <c r="B19" s="294" t="n"/>
      <c r="C19" s="295" t="n"/>
      <c r="D19" s="296" t="n"/>
      <c r="E19" s="297" t="n"/>
      <c r="G19" s="153" t="n"/>
      <c r="H19" s="153" t="n"/>
      <c r="I19" s="153" t="n"/>
      <c r="J19" s="153" t="n"/>
      <c r="K19" s="153" t="n"/>
      <c r="L19" s="153" t="n"/>
      <c r="M19" s="153" t="n"/>
      <c r="N19" s="153" t="n"/>
      <c r="O19" s="153" t="n"/>
      <c r="P19" s="153" t="n"/>
      <c r="Q19" s="153" t="n"/>
      <c r="R19" s="153" t="n"/>
      <c r="S19" s="153" t="n"/>
      <c r="T19" s="153" t="n"/>
      <c r="U19" s="153" t="n"/>
      <c r="V19" s="153" t="n"/>
      <c r="W19" s="153" t="n"/>
      <c r="X19" s="153" t="n"/>
      <c r="Y19" s="153" t="n"/>
      <c r="Z19" s="153" t="n"/>
    </row>
    <row r="20" ht="24" customHeight="1" s="154">
      <c r="A20" s="288" t="n"/>
      <c r="B20" s="289" t="n"/>
      <c r="C20" s="290" t="n"/>
      <c r="D20" s="291" t="n"/>
      <c r="E20" s="292" t="n"/>
      <c r="G20" s="153" t="n"/>
      <c r="H20" s="153" t="n"/>
      <c r="I20" s="153" t="n"/>
      <c r="J20" s="153" t="n"/>
      <c r="K20" s="153" t="n"/>
      <c r="L20" s="153" t="n"/>
      <c r="M20" s="153" t="n"/>
      <c r="N20" s="153" t="n"/>
      <c r="O20" s="153" t="n"/>
      <c r="P20" s="153" t="n"/>
      <c r="Q20" s="153" t="n"/>
      <c r="R20" s="153" t="n"/>
      <c r="S20" s="153" t="n"/>
      <c r="T20" s="153" t="n"/>
      <c r="U20" s="153" t="n"/>
      <c r="V20" s="153" t="n"/>
      <c r="W20" s="153" t="n"/>
      <c r="X20" s="153" t="n"/>
      <c r="Y20" s="153" t="n"/>
      <c r="Z20" s="153" t="n"/>
    </row>
    <row r="21" ht="24" customHeight="1" s="154">
      <c r="A21" s="293" t="n"/>
      <c r="B21" s="294" t="n"/>
      <c r="C21" s="295" t="n"/>
      <c r="D21" s="296" t="n"/>
      <c r="E21" s="297" t="n"/>
      <c r="G21" s="153" t="n"/>
      <c r="H21" s="153" t="n"/>
      <c r="I21" s="153" t="n"/>
      <c r="J21" s="153" t="n"/>
      <c r="K21" s="153" t="n"/>
      <c r="L21" s="153" t="n"/>
      <c r="M21" s="153" t="n"/>
      <c r="N21" s="153" t="n"/>
      <c r="O21" s="153" t="n"/>
      <c r="P21" s="153" t="n"/>
      <c r="Q21" s="153" t="n"/>
      <c r="R21" s="153" t="n"/>
      <c r="S21" s="153" t="n"/>
      <c r="T21" s="153" t="n"/>
      <c r="U21" s="153" t="n"/>
      <c r="V21" s="153" t="n"/>
      <c r="W21" s="153" t="n"/>
      <c r="X21" s="153" t="n"/>
      <c r="Y21" s="153" t="n"/>
      <c r="Z21" s="153" t="n"/>
    </row>
    <row r="22" ht="24" customHeight="1" s="154">
      <c r="A22" s="288" t="n"/>
      <c r="B22" s="289" t="n"/>
      <c r="C22" s="290" t="n"/>
      <c r="D22" s="291" t="n"/>
      <c r="E22" s="292" t="n"/>
      <c r="G22" s="153" t="n"/>
      <c r="H22" s="153" t="n"/>
      <c r="I22" s="153" t="n"/>
      <c r="J22" s="153" t="n"/>
      <c r="K22" s="153" t="n"/>
      <c r="L22" s="153" t="n"/>
      <c r="M22" s="153" t="n"/>
      <c r="N22" s="153" t="n"/>
      <c r="O22" s="153" t="n"/>
      <c r="P22" s="153" t="n"/>
      <c r="Q22" s="153" t="n"/>
      <c r="R22" s="153" t="n"/>
      <c r="S22" s="153" t="n"/>
      <c r="T22" s="153" t="n"/>
      <c r="U22" s="153" t="n"/>
      <c r="V22" s="153" t="n"/>
      <c r="W22" s="153" t="n"/>
      <c r="X22" s="153" t="n"/>
      <c r="Y22" s="153" t="n"/>
      <c r="Z22" s="153" t="n"/>
    </row>
    <row r="23" ht="24" customHeight="1" s="154">
      <c r="A23" s="293" t="n"/>
      <c r="B23" s="294" t="n"/>
      <c r="C23" s="295" t="n"/>
      <c r="D23" s="296" t="n"/>
      <c r="E23" s="297" t="n"/>
      <c r="G23" s="153" t="n"/>
      <c r="H23" s="153" t="n"/>
      <c r="I23" s="153" t="n"/>
      <c r="J23" s="153" t="n"/>
      <c r="K23" s="153" t="n"/>
      <c r="L23" s="153" t="n"/>
      <c r="M23" s="153" t="n"/>
      <c r="N23" s="153" t="n"/>
      <c r="O23" s="153" t="n"/>
      <c r="P23" s="153" t="n"/>
      <c r="Q23" s="153" t="n"/>
      <c r="R23" s="153" t="n"/>
      <c r="S23" s="153" t="n"/>
      <c r="T23" s="153" t="n"/>
      <c r="U23" s="153" t="n"/>
      <c r="V23" s="153" t="n"/>
      <c r="W23" s="153" t="n"/>
      <c r="X23" s="153" t="n"/>
      <c r="Y23" s="153" t="n"/>
      <c r="Z23" s="153" t="n"/>
    </row>
    <row r="24" ht="24" customHeight="1" s="154">
      <c r="A24" s="288" t="n"/>
      <c r="B24" s="289" t="n"/>
      <c r="C24" s="290" t="n"/>
      <c r="D24" s="291" t="n"/>
      <c r="E24" s="292" t="n"/>
      <c r="G24" s="153" t="n"/>
      <c r="H24" s="153" t="n"/>
      <c r="I24" s="153" t="n"/>
      <c r="J24" s="153" t="n"/>
      <c r="K24" s="153" t="n"/>
      <c r="L24" s="153" t="n"/>
      <c r="M24" s="153" t="n"/>
      <c r="N24" s="153" t="n"/>
      <c r="O24" s="153" t="n"/>
      <c r="P24" s="153" t="n"/>
      <c r="Q24" s="153" t="n"/>
      <c r="R24" s="153" t="n"/>
      <c r="S24" s="153" t="n"/>
      <c r="T24" s="153" t="n"/>
      <c r="U24" s="153" t="n"/>
      <c r="V24" s="153" t="n"/>
      <c r="W24" s="153" t="n"/>
      <c r="X24" s="153" t="n"/>
      <c r="Y24" s="153" t="n"/>
      <c r="Z24" s="153" t="n"/>
    </row>
    <row r="25" ht="24" customHeight="1" s="154">
      <c r="A25" s="293" t="n"/>
      <c r="B25" s="294" t="n"/>
      <c r="C25" s="295" t="n"/>
      <c r="D25" s="296" t="n"/>
      <c r="E25" s="297" t="n"/>
      <c r="G25" s="153" t="n"/>
      <c r="H25" s="153" t="n"/>
      <c r="I25" s="153" t="n"/>
      <c r="J25" s="153" t="n"/>
      <c r="K25" s="153" t="n"/>
      <c r="L25" s="153" t="n"/>
      <c r="M25" s="153" t="n"/>
      <c r="N25" s="153" t="n"/>
      <c r="O25" s="153" t="n"/>
      <c r="P25" s="153" t="n"/>
      <c r="Q25" s="153" t="n"/>
      <c r="R25" s="153" t="n"/>
      <c r="S25" s="153" t="n"/>
      <c r="T25" s="153" t="n"/>
      <c r="U25" s="153" t="n"/>
      <c r="V25" s="153" t="n"/>
      <c r="W25" s="153" t="n"/>
      <c r="X25" s="153" t="n"/>
      <c r="Y25" s="153" t="n"/>
      <c r="Z25" s="153" t="n"/>
    </row>
    <row r="26" ht="24" customHeight="1" s="154">
      <c r="A26" s="288" t="n"/>
      <c r="B26" s="289" t="n"/>
      <c r="C26" s="290" t="n"/>
      <c r="D26" s="291" t="n"/>
      <c r="E26" s="292" t="n"/>
      <c r="G26" s="153" t="n"/>
      <c r="H26" s="153" t="n"/>
      <c r="I26" s="153" t="n"/>
      <c r="J26" s="153" t="n"/>
      <c r="K26" s="153" t="n"/>
      <c r="L26" s="153" t="n"/>
      <c r="M26" s="153" t="n"/>
      <c r="N26" s="153" t="n"/>
      <c r="O26" s="153" t="n"/>
      <c r="P26" s="153" t="n"/>
      <c r="Q26" s="153" t="n"/>
      <c r="R26" s="153" t="n"/>
      <c r="S26" s="153" t="n"/>
      <c r="T26" s="153" t="n"/>
      <c r="U26" s="153" t="n"/>
      <c r="V26" s="153" t="n"/>
      <c r="W26" s="153" t="n"/>
      <c r="X26" s="153" t="n"/>
      <c r="Y26" s="153" t="n"/>
      <c r="Z26" s="153" t="n"/>
    </row>
    <row r="27" ht="24" customHeight="1" s="154">
      <c r="A27" s="298" t="n"/>
      <c r="B27" s="299" t="n"/>
      <c r="C27" s="300" t="n"/>
      <c r="D27" s="301" t="n"/>
      <c r="E27" s="302" t="n"/>
      <c r="G27" s="153" t="n"/>
      <c r="H27" s="153" t="n"/>
      <c r="I27" s="153" t="n"/>
      <c r="J27" s="153" t="n"/>
      <c r="K27" s="153" t="n"/>
      <c r="L27" s="153" t="n"/>
      <c r="M27" s="153" t="n"/>
      <c r="N27" s="153" t="n"/>
      <c r="O27" s="153" t="n"/>
      <c r="P27" s="153" t="n"/>
      <c r="Q27" s="153" t="n"/>
      <c r="R27" s="153" t="n"/>
      <c r="S27" s="153" t="n"/>
      <c r="T27" s="153" t="n"/>
      <c r="U27" s="153" t="n"/>
      <c r="V27" s="153" t="n"/>
      <c r="W27" s="153" t="n"/>
      <c r="X27" s="153" t="n"/>
      <c r="Y27" s="153" t="n"/>
      <c r="Z27" s="153" t="n"/>
    </row>
    <row r="28" ht="30" customHeight="1" s="154">
      <c r="A28" s="281" t="inlineStr">
        <is>
          <t>SUMME</t>
        </is>
      </c>
      <c r="B28" s="303" t="n"/>
      <c r="C28" s="282">
        <f>SUM(C8:C27)</f>
        <v/>
      </c>
      <c r="D28" s="304" t="inlineStr">
        <is>
          <t>← Summe aller Überweisungen</t>
        </is>
      </c>
      <c r="E28" s="303" t="n"/>
      <c r="G28" s="153" t="n"/>
      <c r="H28" s="153" t="n"/>
      <c r="I28" s="153" t="n"/>
      <c r="J28" s="153" t="n"/>
      <c r="K28" s="153" t="n"/>
      <c r="L28" s="153" t="n"/>
      <c r="M28" s="153" t="n"/>
      <c r="N28" s="153" t="n"/>
      <c r="O28" s="153" t="n"/>
      <c r="P28" s="153" t="n"/>
      <c r="Q28" s="153" t="n"/>
      <c r="R28" s="153" t="n"/>
      <c r="S28" s="153" t="n"/>
      <c r="T28" s="153" t="n"/>
      <c r="U28" s="153" t="n"/>
      <c r="V28" s="153" t="n"/>
      <c r="W28" s="153" t="n"/>
      <c r="X28" s="153" t="n"/>
      <c r="Y28" s="153" t="n"/>
      <c r="Z28" s="153" t="n"/>
    </row>
    <row r="29" ht="9.75" customHeight="1" s="154">
      <c r="G29" s="153" t="n"/>
      <c r="H29" s="153" t="n"/>
      <c r="I29" s="153" t="n"/>
      <c r="J29" s="153" t="n"/>
      <c r="K29" s="153" t="n"/>
      <c r="L29" s="153" t="n"/>
      <c r="M29" s="153" t="n"/>
      <c r="N29" s="153" t="n"/>
      <c r="O29" s="153" t="n"/>
      <c r="P29" s="153" t="n"/>
      <c r="Q29" s="153" t="n"/>
      <c r="R29" s="153" t="n"/>
      <c r="S29" s="153" t="n"/>
      <c r="T29" s="153" t="n"/>
      <c r="U29" s="153" t="n"/>
      <c r="V29" s="153" t="n"/>
      <c r="W29" s="153" t="n"/>
      <c r="X29" s="153" t="n"/>
      <c r="Y29" s="153" t="n"/>
      <c r="Z29" s="153" t="n"/>
    </row>
    <row r="30" ht="21.75" customHeight="1" s="154">
      <c r="A30" s="305" t="inlineStr">
        <is>
          <t xml:space="preserve">  Letzte Aktualisierung:</t>
        </is>
      </c>
      <c r="B30" s="170" t="n"/>
      <c r="C30" s="170" t="n"/>
      <c r="D30" s="170" t="n"/>
      <c r="E30" s="306" t="n"/>
      <c r="G30" s="153" t="n"/>
      <c r="H30" s="153" t="n"/>
      <c r="I30" s="153" t="n"/>
      <c r="J30" s="153" t="n"/>
      <c r="K30" s="153" t="n"/>
      <c r="L30" s="153" t="n"/>
      <c r="M30" s="153" t="n"/>
      <c r="N30" s="153" t="n"/>
      <c r="O30" s="153" t="n"/>
      <c r="P30" s="153" t="n"/>
      <c r="Q30" s="153" t="n"/>
      <c r="R30" s="153" t="n"/>
      <c r="S30" s="153" t="n"/>
      <c r="T30" s="153" t="n"/>
      <c r="U30" s="153" t="n"/>
      <c r="V30" s="153" t="n"/>
      <c r="W30" s="153" t="n"/>
      <c r="X30" s="153" t="n"/>
      <c r="Y30" s="153" t="n"/>
      <c r="Z30" s="153" t="n"/>
    </row>
    <row r="31" ht="21.75" customHeight="1" s="154">
      <c r="A31" s="307" t="n"/>
      <c r="B31" s="170" t="n"/>
      <c r="C31" s="170" t="n"/>
      <c r="D31" s="170" t="n"/>
      <c r="E31" s="306" t="n"/>
      <c r="G31" s="153" t="n"/>
      <c r="H31" s="153" t="n"/>
      <c r="I31" s="153" t="n"/>
      <c r="J31" s="153" t="n"/>
      <c r="K31" s="153" t="n"/>
      <c r="L31" s="153" t="n"/>
      <c r="M31" s="153" t="n"/>
      <c r="N31" s="153" t="n"/>
      <c r="O31" s="153" t="n"/>
      <c r="P31" s="153" t="n"/>
      <c r="Q31" s="153" t="n"/>
      <c r="R31" s="153" t="n"/>
      <c r="S31" s="153" t="n"/>
      <c r="T31" s="153" t="n"/>
      <c r="U31" s="153" t="n"/>
      <c r="V31" s="153" t="n"/>
      <c r="W31" s="153" t="n"/>
      <c r="X31" s="153" t="n"/>
      <c r="Y31" s="153" t="n"/>
      <c r="Z31" s="153" t="n"/>
    </row>
    <row r="32" ht="15.75" customHeight="1" s="154">
      <c r="G32" s="153" t="n"/>
      <c r="H32" s="153" t="n"/>
      <c r="I32" s="153" t="n"/>
      <c r="J32" s="153" t="n"/>
      <c r="K32" s="153" t="n"/>
      <c r="L32" s="153" t="n"/>
      <c r="M32" s="153" t="n"/>
      <c r="N32" s="153" t="n"/>
      <c r="O32" s="153" t="n"/>
      <c r="P32" s="153" t="n"/>
      <c r="Q32" s="153" t="n"/>
      <c r="R32" s="153" t="n"/>
      <c r="S32" s="153" t="n"/>
      <c r="T32" s="153" t="n"/>
      <c r="U32" s="153" t="n"/>
      <c r="V32" s="153" t="n"/>
      <c r="W32" s="153" t="n"/>
      <c r="X32" s="153" t="n"/>
      <c r="Y32" s="153" t="n"/>
      <c r="Z32" s="153" t="n"/>
    </row>
    <row r="33" ht="15.75" customHeight="1" s="154">
      <c r="G33" s="153" t="n"/>
      <c r="H33" s="153" t="n"/>
      <c r="I33" s="153" t="n"/>
      <c r="J33" s="153" t="n"/>
      <c r="K33" s="153" t="n"/>
      <c r="L33" s="153" t="n"/>
      <c r="M33" s="153" t="n"/>
      <c r="N33" s="153" t="n"/>
      <c r="O33" s="153" t="n"/>
      <c r="P33" s="153" t="n"/>
      <c r="Q33" s="153" t="n"/>
      <c r="R33" s="153" t="n"/>
      <c r="S33" s="153" t="n"/>
      <c r="T33" s="153" t="n"/>
      <c r="U33" s="153" t="n"/>
      <c r="V33" s="153" t="n"/>
      <c r="W33" s="153" t="n"/>
      <c r="X33" s="153" t="n"/>
      <c r="Y33" s="153" t="n"/>
      <c r="Z33" s="153" t="n"/>
    </row>
    <row r="34" ht="15.75" customHeight="1" s="154">
      <c r="G34" s="153" t="n"/>
      <c r="H34" s="153" t="n"/>
      <c r="I34" s="153" t="n"/>
      <c r="J34" s="153" t="n"/>
      <c r="K34" s="153" t="n"/>
      <c r="L34" s="153" t="n"/>
      <c r="M34" s="153" t="n"/>
      <c r="N34" s="153" t="n"/>
      <c r="O34" s="153" t="n"/>
      <c r="P34" s="153" t="n"/>
      <c r="Q34" s="153" t="n"/>
      <c r="R34" s="153" t="n"/>
      <c r="S34" s="153" t="n"/>
      <c r="T34" s="153" t="n"/>
      <c r="U34" s="153" t="n"/>
      <c r="V34" s="153" t="n"/>
      <c r="W34" s="153" t="n"/>
      <c r="X34" s="153" t="n"/>
      <c r="Y34" s="153" t="n"/>
      <c r="Z34" s="153" t="n"/>
    </row>
    <row r="35" ht="15.75" customHeight="1" s="154">
      <c r="G35" s="153" t="n"/>
      <c r="H35" s="153" t="n"/>
      <c r="I35" s="153" t="n"/>
      <c r="J35" s="153" t="n"/>
      <c r="K35" s="153" t="n"/>
      <c r="L35" s="153" t="n"/>
      <c r="M35" s="153" t="n"/>
      <c r="N35" s="153" t="n"/>
      <c r="O35" s="153" t="n"/>
      <c r="P35" s="153" t="n"/>
      <c r="Q35" s="153" t="n"/>
      <c r="R35" s="153" t="n"/>
      <c r="S35" s="153" t="n"/>
      <c r="T35" s="153" t="n"/>
      <c r="U35" s="153" t="n"/>
      <c r="V35" s="153" t="n"/>
      <c r="W35" s="153" t="n"/>
      <c r="X35" s="153" t="n"/>
      <c r="Y35" s="153" t="n"/>
      <c r="Z35" s="153" t="n"/>
    </row>
    <row r="36" ht="15.75" customHeight="1" s="154">
      <c r="G36" s="153" t="n"/>
      <c r="H36" s="153" t="n"/>
      <c r="I36" s="153" t="n"/>
      <c r="J36" s="153" t="n"/>
      <c r="K36" s="153" t="n"/>
      <c r="L36" s="153" t="n"/>
      <c r="M36" s="153" t="n"/>
      <c r="N36" s="153" t="n"/>
      <c r="O36" s="153" t="n"/>
      <c r="P36" s="153" t="n"/>
      <c r="Q36" s="153" t="n"/>
      <c r="R36" s="153" t="n"/>
      <c r="S36" s="153" t="n"/>
      <c r="T36" s="153" t="n"/>
      <c r="U36" s="153" t="n"/>
      <c r="V36" s="153" t="n"/>
      <c r="W36" s="153" t="n"/>
      <c r="X36" s="153" t="n"/>
      <c r="Y36" s="153" t="n"/>
      <c r="Z36" s="153" t="n"/>
    </row>
    <row r="37" ht="15.75" customHeight="1" s="154">
      <c r="G37" s="153" t="n"/>
      <c r="H37" s="153" t="n"/>
      <c r="I37" s="153" t="n"/>
      <c r="J37" s="153" t="n"/>
      <c r="K37" s="153" t="n"/>
      <c r="L37" s="153" t="n"/>
      <c r="M37" s="153" t="n"/>
      <c r="N37" s="153" t="n"/>
      <c r="O37" s="153" t="n"/>
      <c r="P37" s="153" t="n"/>
      <c r="Q37" s="153" t="n"/>
      <c r="R37" s="153" t="n"/>
      <c r="S37" s="153" t="n"/>
      <c r="T37" s="153" t="n"/>
      <c r="U37" s="153" t="n"/>
      <c r="V37" s="153" t="n"/>
      <c r="W37" s="153" t="n"/>
      <c r="X37" s="153" t="n"/>
      <c r="Y37" s="153" t="n"/>
      <c r="Z37" s="153" t="n"/>
    </row>
    <row r="38" ht="15.75" customHeight="1" s="154">
      <c r="G38" s="153" t="n"/>
      <c r="H38" s="153" t="n"/>
      <c r="I38" s="153" t="n"/>
      <c r="J38" s="153" t="n"/>
      <c r="K38" s="153" t="n"/>
      <c r="L38" s="153" t="n"/>
      <c r="M38" s="153" t="n"/>
      <c r="N38" s="153" t="n"/>
      <c r="O38" s="153" t="n"/>
      <c r="P38" s="153" t="n"/>
      <c r="Q38" s="153" t="n"/>
      <c r="R38" s="153" t="n"/>
      <c r="S38" s="153" t="n"/>
      <c r="T38" s="153" t="n"/>
      <c r="U38" s="153" t="n"/>
      <c r="V38" s="153" t="n"/>
      <c r="W38" s="153" t="n"/>
      <c r="X38" s="153" t="n"/>
      <c r="Y38" s="153" t="n"/>
      <c r="Z38" s="153" t="n"/>
    </row>
    <row r="39" ht="15.75" customHeight="1" s="154">
      <c r="G39" s="153" t="n"/>
      <c r="H39" s="153" t="n"/>
      <c r="I39" s="153" t="n"/>
      <c r="J39" s="153" t="n"/>
      <c r="K39" s="153" t="n"/>
      <c r="L39" s="153" t="n"/>
      <c r="M39" s="153" t="n"/>
      <c r="N39" s="153" t="n"/>
      <c r="O39" s="153" t="n"/>
      <c r="P39" s="153" t="n"/>
      <c r="Q39" s="153" t="n"/>
      <c r="R39" s="153" t="n"/>
      <c r="S39" s="153" t="n"/>
      <c r="T39" s="153" t="n"/>
      <c r="U39" s="153" t="n"/>
      <c r="V39" s="153" t="n"/>
      <c r="W39" s="153" t="n"/>
      <c r="X39" s="153" t="n"/>
      <c r="Y39" s="153" t="n"/>
      <c r="Z39" s="153" t="n"/>
    </row>
    <row r="40" ht="15.75" customHeight="1" s="154">
      <c r="G40" s="153" t="n"/>
      <c r="H40" s="153" t="n"/>
      <c r="I40" s="153" t="n"/>
      <c r="J40" s="153" t="n"/>
      <c r="K40" s="153" t="n"/>
      <c r="L40" s="153" t="n"/>
      <c r="M40" s="153" t="n"/>
      <c r="N40" s="153" t="n"/>
      <c r="O40" s="153" t="n"/>
      <c r="P40" s="153" t="n"/>
      <c r="Q40" s="153" t="n"/>
      <c r="R40" s="153" t="n"/>
      <c r="S40" s="153" t="n"/>
      <c r="T40" s="153" t="n"/>
      <c r="U40" s="153" t="n"/>
      <c r="V40" s="153" t="n"/>
      <c r="W40" s="153" t="n"/>
      <c r="X40" s="153" t="n"/>
      <c r="Y40" s="153" t="n"/>
      <c r="Z40" s="153" t="n"/>
    </row>
    <row r="41" ht="15.75" customHeight="1" s="154">
      <c r="G41" s="153" t="n"/>
      <c r="H41" s="153" t="n"/>
      <c r="I41" s="153" t="n"/>
      <c r="J41" s="153" t="n"/>
      <c r="K41" s="153" t="n"/>
      <c r="L41" s="153" t="n"/>
      <c r="M41" s="153" t="n"/>
      <c r="N41" s="153" t="n"/>
      <c r="O41" s="153" t="n"/>
      <c r="P41" s="153" t="n"/>
      <c r="Q41" s="153" t="n"/>
      <c r="R41" s="153" t="n"/>
      <c r="S41" s="153" t="n"/>
      <c r="T41" s="153" t="n"/>
      <c r="U41" s="153" t="n"/>
      <c r="V41" s="153" t="n"/>
      <c r="W41" s="153" t="n"/>
      <c r="X41" s="153" t="n"/>
      <c r="Y41" s="153" t="n"/>
      <c r="Z41" s="153" t="n"/>
    </row>
    <row r="42" ht="15.75" customHeight="1" s="154">
      <c r="G42" s="153" t="n"/>
      <c r="H42" s="153" t="n"/>
      <c r="I42" s="153" t="n"/>
      <c r="J42" s="153" t="n"/>
      <c r="K42" s="153" t="n"/>
      <c r="L42" s="153" t="n"/>
      <c r="M42" s="153" t="n"/>
      <c r="N42" s="153" t="n"/>
      <c r="O42" s="153" t="n"/>
      <c r="P42" s="153" t="n"/>
      <c r="Q42" s="153" t="n"/>
      <c r="R42" s="153" t="n"/>
      <c r="S42" s="153" t="n"/>
      <c r="T42" s="153" t="n"/>
      <c r="U42" s="153" t="n"/>
      <c r="V42" s="153" t="n"/>
      <c r="W42" s="153" t="n"/>
      <c r="X42" s="153" t="n"/>
      <c r="Y42" s="153" t="n"/>
      <c r="Z42" s="153" t="n"/>
    </row>
    <row r="43" ht="15.75" customHeight="1" s="154">
      <c r="G43" s="153" t="n"/>
      <c r="H43" s="153" t="n"/>
      <c r="I43" s="153" t="n"/>
      <c r="J43" s="153" t="n"/>
      <c r="K43" s="153" t="n"/>
      <c r="L43" s="153" t="n"/>
      <c r="M43" s="153" t="n"/>
      <c r="N43" s="153" t="n"/>
      <c r="O43" s="153" t="n"/>
      <c r="P43" s="153" t="n"/>
      <c r="Q43" s="153" t="n"/>
      <c r="R43" s="153" t="n"/>
      <c r="S43" s="153" t="n"/>
      <c r="T43" s="153" t="n"/>
      <c r="U43" s="153" t="n"/>
      <c r="V43" s="153" t="n"/>
      <c r="W43" s="153" t="n"/>
      <c r="X43" s="153" t="n"/>
      <c r="Y43" s="153" t="n"/>
      <c r="Z43" s="153" t="n"/>
    </row>
    <row r="44" ht="15.75" customHeight="1" s="154">
      <c r="G44" s="153" t="n"/>
      <c r="H44" s="153" t="n"/>
      <c r="I44" s="153" t="n"/>
      <c r="J44" s="153" t="n"/>
      <c r="K44" s="153" t="n"/>
      <c r="L44" s="153" t="n"/>
      <c r="M44" s="153" t="n"/>
      <c r="N44" s="153" t="n"/>
      <c r="O44" s="153" t="n"/>
      <c r="P44" s="153" t="n"/>
      <c r="Q44" s="153" t="n"/>
      <c r="R44" s="153" t="n"/>
      <c r="S44" s="153" t="n"/>
      <c r="T44" s="153" t="n"/>
      <c r="U44" s="153" t="n"/>
      <c r="V44" s="153" t="n"/>
      <c r="W44" s="153" t="n"/>
      <c r="X44" s="153" t="n"/>
      <c r="Y44" s="153" t="n"/>
      <c r="Z44" s="153" t="n"/>
    </row>
    <row r="45" ht="15.75" customHeight="1" s="154">
      <c r="G45" s="153" t="n"/>
      <c r="H45" s="153" t="n"/>
      <c r="I45" s="153" t="n"/>
      <c r="J45" s="153" t="n"/>
      <c r="K45" s="153" t="n"/>
      <c r="L45" s="153" t="n"/>
      <c r="M45" s="153" t="n"/>
      <c r="N45" s="153" t="n"/>
      <c r="O45" s="153" t="n"/>
      <c r="P45" s="153" t="n"/>
      <c r="Q45" s="153" t="n"/>
      <c r="R45" s="153" t="n"/>
      <c r="S45" s="153" t="n"/>
      <c r="T45" s="153" t="n"/>
      <c r="U45" s="153" t="n"/>
      <c r="V45" s="153" t="n"/>
      <c r="W45" s="153" t="n"/>
      <c r="X45" s="153" t="n"/>
      <c r="Y45" s="153" t="n"/>
      <c r="Z45" s="153" t="n"/>
    </row>
    <row r="46" ht="15.75" customHeight="1" s="154">
      <c r="G46" s="153" t="n"/>
      <c r="H46" s="153" t="n"/>
      <c r="I46" s="153" t="n"/>
      <c r="J46" s="153" t="n"/>
      <c r="K46" s="153" t="n"/>
      <c r="L46" s="153" t="n"/>
      <c r="M46" s="153" t="n"/>
      <c r="N46" s="153" t="n"/>
      <c r="O46" s="153" t="n"/>
      <c r="P46" s="153" t="n"/>
      <c r="Q46" s="153" t="n"/>
      <c r="R46" s="153" t="n"/>
      <c r="S46" s="153" t="n"/>
      <c r="T46" s="153" t="n"/>
      <c r="U46" s="153" t="n"/>
      <c r="V46" s="153" t="n"/>
      <c r="W46" s="153" t="n"/>
      <c r="X46" s="153" t="n"/>
      <c r="Y46" s="153" t="n"/>
      <c r="Z46" s="153" t="n"/>
    </row>
    <row r="47" ht="15.75" customHeight="1" s="154">
      <c r="G47" s="153" t="n"/>
      <c r="H47" s="153" t="n"/>
      <c r="I47" s="153" t="n"/>
      <c r="J47" s="153" t="n"/>
      <c r="K47" s="153" t="n"/>
      <c r="L47" s="153" t="n"/>
      <c r="M47" s="153" t="n"/>
      <c r="N47" s="153" t="n"/>
      <c r="O47" s="153" t="n"/>
      <c r="P47" s="153" t="n"/>
      <c r="Q47" s="153" t="n"/>
      <c r="R47" s="153" t="n"/>
      <c r="S47" s="153" t="n"/>
      <c r="T47" s="153" t="n"/>
      <c r="U47" s="153" t="n"/>
      <c r="V47" s="153" t="n"/>
      <c r="W47" s="153" t="n"/>
      <c r="X47" s="153" t="n"/>
      <c r="Y47" s="153" t="n"/>
      <c r="Z47" s="153" t="n"/>
    </row>
    <row r="48" ht="15.75" customHeight="1" s="154">
      <c r="G48" s="153" t="n"/>
      <c r="H48" s="153" t="n"/>
      <c r="I48" s="153" t="n"/>
      <c r="J48" s="153" t="n"/>
      <c r="K48" s="153" t="n"/>
      <c r="L48" s="153" t="n"/>
      <c r="M48" s="153" t="n"/>
      <c r="N48" s="153" t="n"/>
      <c r="O48" s="153" t="n"/>
      <c r="P48" s="153" t="n"/>
      <c r="Q48" s="153" t="n"/>
      <c r="R48" s="153" t="n"/>
      <c r="S48" s="153" t="n"/>
      <c r="T48" s="153" t="n"/>
      <c r="U48" s="153" t="n"/>
      <c r="V48" s="153" t="n"/>
      <c r="W48" s="153" t="n"/>
      <c r="X48" s="153" t="n"/>
      <c r="Y48" s="153" t="n"/>
      <c r="Z48" s="153" t="n"/>
    </row>
    <row r="49" ht="15.75" customHeight="1" s="154">
      <c r="G49" s="153" t="n"/>
      <c r="H49" s="153" t="n"/>
      <c r="I49" s="153" t="n"/>
      <c r="J49" s="153" t="n"/>
      <c r="K49" s="153" t="n"/>
      <c r="L49" s="153" t="n"/>
      <c r="M49" s="153" t="n"/>
      <c r="N49" s="153" t="n"/>
      <c r="O49" s="153" t="n"/>
      <c r="P49" s="153" t="n"/>
      <c r="Q49" s="153" t="n"/>
      <c r="R49" s="153" t="n"/>
      <c r="S49" s="153" t="n"/>
      <c r="T49" s="153" t="n"/>
      <c r="U49" s="153" t="n"/>
      <c r="V49" s="153" t="n"/>
      <c r="W49" s="153" t="n"/>
      <c r="X49" s="153" t="n"/>
      <c r="Y49" s="153" t="n"/>
      <c r="Z49" s="153" t="n"/>
    </row>
    <row r="50" ht="15.75" customHeight="1" s="154">
      <c r="G50" s="153" t="n"/>
      <c r="H50" s="153" t="n"/>
      <c r="I50" s="153" t="n"/>
      <c r="J50" s="153" t="n"/>
      <c r="K50" s="153" t="n"/>
      <c r="L50" s="153" t="n"/>
      <c r="M50" s="153" t="n"/>
      <c r="N50" s="153" t="n"/>
      <c r="O50" s="153" t="n"/>
      <c r="P50" s="153" t="n"/>
      <c r="Q50" s="153" t="n"/>
      <c r="R50" s="153" t="n"/>
      <c r="S50" s="153" t="n"/>
      <c r="T50" s="153" t="n"/>
      <c r="U50" s="153" t="n"/>
      <c r="V50" s="153" t="n"/>
      <c r="W50" s="153" t="n"/>
      <c r="X50" s="153" t="n"/>
      <c r="Y50" s="153" t="n"/>
      <c r="Z50" s="153" t="n"/>
    </row>
    <row r="51" ht="15.75" customHeight="1" s="154">
      <c r="G51" s="153" t="n"/>
      <c r="H51" s="153" t="n"/>
      <c r="I51" s="153" t="n"/>
      <c r="J51" s="153" t="n"/>
      <c r="K51" s="153" t="n"/>
      <c r="L51" s="153" t="n"/>
      <c r="M51" s="153" t="n"/>
      <c r="N51" s="153" t="n"/>
      <c r="O51" s="153" t="n"/>
      <c r="P51" s="153" t="n"/>
      <c r="Q51" s="153" t="n"/>
      <c r="R51" s="153" t="n"/>
      <c r="S51" s="153" t="n"/>
      <c r="T51" s="153" t="n"/>
      <c r="U51" s="153" t="n"/>
      <c r="V51" s="153" t="n"/>
      <c r="W51" s="153" t="n"/>
      <c r="X51" s="153" t="n"/>
      <c r="Y51" s="153" t="n"/>
      <c r="Z51" s="153" t="n"/>
    </row>
    <row r="52" ht="15.75" customHeight="1" s="154">
      <c r="G52" s="153" t="n"/>
      <c r="H52" s="153" t="n"/>
      <c r="I52" s="153" t="n"/>
      <c r="J52" s="153" t="n"/>
      <c r="K52" s="153" t="n"/>
      <c r="L52" s="153" t="n"/>
      <c r="M52" s="153" t="n"/>
      <c r="N52" s="153" t="n"/>
      <c r="O52" s="153" t="n"/>
      <c r="P52" s="153" t="n"/>
      <c r="Q52" s="153" t="n"/>
      <c r="R52" s="153" t="n"/>
      <c r="S52" s="153" t="n"/>
      <c r="T52" s="153" t="n"/>
      <c r="U52" s="153" t="n"/>
      <c r="V52" s="153" t="n"/>
      <c r="W52" s="153" t="n"/>
      <c r="X52" s="153" t="n"/>
      <c r="Y52" s="153" t="n"/>
      <c r="Z52" s="153" t="n"/>
    </row>
    <row r="53" ht="15.75" customHeight="1" s="154">
      <c r="G53" s="153" t="n"/>
      <c r="H53" s="153" t="n"/>
      <c r="I53" s="153" t="n"/>
      <c r="J53" s="153" t="n"/>
      <c r="K53" s="153" t="n"/>
      <c r="L53" s="153" t="n"/>
      <c r="M53" s="153" t="n"/>
      <c r="N53" s="153" t="n"/>
      <c r="O53" s="153" t="n"/>
      <c r="P53" s="153" t="n"/>
      <c r="Q53" s="153" t="n"/>
      <c r="R53" s="153" t="n"/>
      <c r="S53" s="153" t="n"/>
      <c r="T53" s="153" t="n"/>
      <c r="U53" s="153" t="n"/>
      <c r="V53" s="153" t="n"/>
      <c r="W53" s="153" t="n"/>
      <c r="X53" s="153" t="n"/>
      <c r="Y53" s="153" t="n"/>
      <c r="Z53" s="153" t="n"/>
    </row>
    <row r="54" ht="15.75" customHeight="1" s="154">
      <c r="G54" s="153" t="n"/>
      <c r="H54" s="153" t="n"/>
      <c r="I54" s="153" t="n"/>
      <c r="J54" s="153" t="n"/>
      <c r="K54" s="153" t="n"/>
      <c r="L54" s="153" t="n"/>
      <c r="M54" s="153" t="n"/>
      <c r="N54" s="153" t="n"/>
      <c r="O54" s="153" t="n"/>
      <c r="P54" s="153" t="n"/>
      <c r="Q54" s="153" t="n"/>
      <c r="R54" s="153" t="n"/>
      <c r="S54" s="153" t="n"/>
      <c r="T54" s="153" t="n"/>
      <c r="U54" s="153" t="n"/>
      <c r="V54" s="153" t="n"/>
      <c r="W54" s="153" t="n"/>
      <c r="X54" s="153" t="n"/>
      <c r="Y54" s="153" t="n"/>
      <c r="Z54" s="153" t="n"/>
    </row>
    <row r="55" ht="15.75" customHeight="1" s="154">
      <c r="G55" s="153" t="n"/>
      <c r="H55" s="153" t="n"/>
      <c r="I55" s="153" t="n"/>
      <c r="J55" s="153" t="n"/>
      <c r="K55" s="153" t="n"/>
      <c r="L55" s="153" t="n"/>
      <c r="M55" s="153" t="n"/>
      <c r="N55" s="153" t="n"/>
      <c r="O55" s="153" t="n"/>
      <c r="P55" s="153" t="n"/>
      <c r="Q55" s="153" t="n"/>
      <c r="R55" s="153" t="n"/>
      <c r="S55" s="153" t="n"/>
      <c r="T55" s="153" t="n"/>
      <c r="U55" s="153" t="n"/>
      <c r="V55" s="153" t="n"/>
      <c r="W55" s="153" t="n"/>
      <c r="X55" s="153" t="n"/>
      <c r="Y55" s="153" t="n"/>
      <c r="Z55" s="153" t="n"/>
    </row>
    <row r="56" ht="15.75" customHeight="1" s="154">
      <c r="G56" s="153" t="n"/>
      <c r="H56" s="153" t="n"/>
      <c r="I56" s="153" t="n"/>
      <c r="J56" s="153" t="n"/>
      <c r="K56" s="153" t="n"/>
      <c r="L56" s="153" t="n"/>
      <c r="M56" s="153" t="n"/>
      <c r="N56" s="153" t="n"/>
      <c r="O56" s="153" t="n"/>
      <c r="P56" s="153" t="n"/>
      <c r="Q56" s="153" t="n"/>
      <c r="R56" s="153" t="n"/>
      <c r="S56" s="153" t="n"/>
      <c r="T56" s="153" t="n"/>
      <c r="U56" s="153" t="n"/>
      <c r="V56" s="153" t="n"/>
      <c r="W56" s="153" t="n"/>
      <c r="X56" s="153" t="n"/>
      <c r="Y56" s="153" t="n"/>
      <c r="Z56" s="153" t="n"/>
    </row>
    <row r="57" ht="15.75" customHeight="1" s="154">
      <c r="G57" s="153" t="n"/>
      <c r="H57" s="153" t="n"/>
      <c r="I57" s="153" t="n"/>
      <c r="J57" s="153" t="n"/>
      <c r="K57" s="153" t="n"/>
      <c r="L57" s="153" t="n"/>
      <c r="M57" s="153" t="n"/>
      <c r="N57" s="153" t="n"/>
      <c r="O57" s="153" t="n"/>
      <c r="P57" s="153" t="n"/>
      <c r="Q57" s="153" t="n"/>
      <c r="R57" s="153" t="n"/>
      <c r="S57" s="153" t="n"/>
      <c r="T57" s="153" t="n"/>
      <c r="U57" s="153" t="n"/>
      <c r="V57" s="153" t="n"/>
      <c r="W57" s="153" t="n"/>
      <c r="X57" s="153" t="n"/>
      <c r="Y57" s="153" t="n"/>
      <c r="Z57" s="153" t="n"/>
    </row>
    <row r="58" ht="15.75" customHeight="1" s="154">
      <c r="G58" s="153" t="n"/>
      <c r="H58" s="153" t="n"/>
      <c r="I58" s="153" t="n"/>
      <c r="J58" s="153" t="n"/>
      <c r="K58" s="153" t="n"/>
      <c r="L58" s="153" t="n"/>
      <c r="M58" s="153" t="n"/>
      <c r="N58" s="153" t="n"/>
      <c r="O58" s="153" t="n"/>
      <c r="P58" s="153" t="n"/>
      <c r="Q58" s="153" t="n"/>
      <c r="R58" s="153" t="n"/>
      <c r="S58" s="153" t="n"/>
      <c r="T58" s="153" t="n"/>
      <c r="U58" s="153" t="n"/>
      <c r="V58" s="153" t="n"/>
      <c r="W58" s="153" t="n"/>
      <c r="X58" s="153" t="n"/>
      <c r="Y58" s="153" t="n"/>
      <c r="Z58" s="153" t="n"/>
    </row>
    <row r="59" ht="15.75" customHeight="1" s="154">
      <c r="G59" s="153" t="n"/>
      <c r="H59" s="153" t="n"/>
      <c r="I59" s="153" t="n"/>
      <c r="J59" s="153" t="n"/>
      <c r="K59" s="153" t="n"/>
      <c r="L59" s="153" t="n"/>
      <c r="M59" s="153" t="n"/>
      <c r="N59" s="153" t="n"/>
      <c r="O59" s="153" t="n"/>
      <c r="P59" s="153" t="n"/>
      <c r="Q59" s="153" t="n"/>
      <c r="R59" s="153" t="n"/>
      <c r="S59" s="153" t="n"/>
      <c r="T59" s="153" t="n"/>
      <c r="U59" s="153" t="n"/>
      <c r="V59" s="153" t="n"/>
      <c r="W59" s="153" t="n"/>
      <c r="X59" s="153" t="n"/>
      <c r="Y59" s="153" t="n"/>
      <c r="Z59" s="153" t="n"/>
    </row>
    <row r="60" ht="15.75" customHeight="1" s="154">
      <c r="G60" s="153" t="n"/>
      <c r="H60" s="153" t="n"/>
      <c r="I60" s="153" t="n"/>
      <c r="J60" s="153" t="n"/>
      <c r="K60" s="153" t="n"/>
      <c r="L60" s="153" t="n"/>
      <c r="M60" s="153" t="n"/>
      <c r="N60" s="153" t="n"/>
      <c r="O60" s="153" t="n"/>
      <c r="P60" s="153" t="n"/>
      <c r="Q60" s="153" t="n"/>
      <c r="R60" s="153" t="n"/>
      <c r="S60" s="153" t="n"/>
      <c r="T60" s="153" t="n"/>
      <c r="U60" s="153" t="n"/>
      <c r="V60" s="153" t="n"/>
      <c r="W60" s="153" t="n"/>
      <c r="X60" s="153" t="n"/>
      <c r="Y60" s="153" t="n"/>
      <c r="Z60" s="153" t="n"/>
    </row>
    <row r="61" ht="15.75" customHeight="1" s="154">
      <c r="G61" s="153" t="n"/>
      <c r="H61" s="153" t="n"/>
      <c r="I61" s="153" t="n"/>
      <c r="J61" s="153" t="n"/>
      <c r="K61" s="153" t="n"/>
      <c r="L61" s="153" t="n"/>
      <c r="M61" s="153" t="n"/>
      <c r="N61" s="153" t="n"/>
      <c r="O61" s="153" t="n"/>
      <c r="P61" s="153" t="n"/>
      <c r="Q61" s="153" t="n"/>
      <c r="R61" s="153" t="n"/>
      <c r="S61" s="153" t="n"/>
      <c r="T61" s="153" t="n"/>
      <c r="U61" s="153" t="n"/>
      <c r="V61" s="153" t="n"/>
      <c r="W61" s="153" t="n"/>
      <c r="X61" s="153" t="n"/>
      <c r="Y61" s="153" t="n"/>
      <c r="Z61" s="153" t="n"/>
    </row>
    <row r="62" ht="15.75" customHeight="1" s="154">
      <c r="G62" s="153" t="n"/>
      <c r="H62" s="153" t="n"/>
      <c r="I62" s="153" t="n"/>
      <c r="J62" s="153" t="n"/>
      <c r="K62" s="153" t="n"/>
      <c r="L62" s="153" t="n"/>
      <c r="M62" s="153" t="n"/>
      <c r="N62" s="153" t="n"/>
      <c r="O62" s="153" t="n"/>
      <c r="P62" s="153" t="n"/>
      <c r="Q62" s="153" t="n"/>
      <c r="R62" s="153" t="n"/>
      <c r="S62" s="153" t="n"/>
      <c r="T62" s="153" t="n"/>
      <c r="U62" s="153" t="n"/>
      <c r="V62" s="153" t="n"/>
      <c r="W62" s="153" t="n"/>
      <c r="X62" s="153" t="n"/>
      <c r="Y62" s="153" t="n"/>
      <c r="Z62" s="153" t="n"/>
    </row>
    <row r="63" ht="15.75" customHeight="1" s="154">
      <c r="G63" s="153" t="n"/>
      <c r="H63" s="153" t="n"/>
      <c r="I63" s="153" t="n"/>
      <c r="J63" s="153" t="n"/>
      <c r="K63" s="153" t="n"/>
      <c r="L63" s="153" t="n"/>
      <c r="M63" s="153" t="n"/>
      <c r="N63" s="153" t="n"/>
      <c r="O63" s="153" t="n"/>
      <c r="P63" s="153" t="n"/>
      <c r="Q63" s="153" t="n"/>
      <c r="R63" s="153" t="n"/>
      <c r="S63" s="153" t="n"/>
      <c r="T63" s="153" t="n"/>
      <c r="U63" s="153" t="n"/>
      <c r="V63" s="153" t="n"/>
      <c r="W63" s="153" t="n"/>
      <c r="X63" s="153" t="n"/>
      <c r="Y63" s="153" t="n"/>
      <c r="Z63" s="153" t="n"/>
    </row>
    <row r="64" ht="15.75" customHeight="1" s="154">
      <c r="G64" s="153" t="n"/>
      <c r="H64" s="153" t="n"/>
      <c r="I64" s="153" t="n"/>
      <c r="J64" s="153" t="n"/>
      <c r="K64" s="153" t="n"/>
      <c r="L64" s="153" t="n"/>
      <c r="M64" s="153" t="n"/>
      <c r="N64" s="153" t="n"/>
      <c r="O64" s="153" t="n"/>
      <c r="P64" s="153" t="n"/>
      <c r="Q64" s="153" t="n"/>
      <c r="R64" s="153" t="n"/>
      <c r="S64" s="153" t="n"/>
      <c r="T64" s="153" t="n"/>
      <c r="U64" s="153" t="n"/>
      <c r="V64" s="153" t="n"/>
      <c r="W64" s="153" t="n"/>
      <c r="X64" s="153" t="n"/>
      <c r="Y64" s="153" t="n"/>
      <c r="Z64" s="153" t="n"/>
    </row>
    <row r="65" ht="15.75" customHeight="1" s="154">
      <c r="G65" s="153" t="n"/>
      <c r="H65" s="153" t="n"/>
      <c r="I65" s="153" t="n"/>
      <c r="J65" s="153" t="n"/>
      <c r="K65" s="153" t="n"/>
      <c r="L65" s="153" t="n"/>
      <c r="M65" s="153" t="n"/>
      <c r="N65" s="153" t="n"/>
      <c r="O65" s="153" t="n"/>
      <c r="P65" s="153" t="n"/>
      <c r="Q65" s="153" t="n"/>
      <c r="R65" s="153" t="n"/>
      <c r="S65" s="153" t="n"/>
      <c r="T65" s="153" t="n"/>
      <c r="U65" s="153" t="n"/>
      <c r="V65" s="153" t="n"/>
      <c r="W65" s="153" t="n"/>
      <c r="X65" s="153" t="n"/>
      <c r="Y65" s="153" t="n"/>
      <c r="Z65" s="153" t="n"/>
    </row>
    <row r="66" ht="15.75" customHeight="1" s="154">
      <c r="G66" s="153" t="n"/>
      <c r="H66" s="153" t="n"/>
      <c r="I66" s="153" t="n"/>
      <c r="J66" s="153" t="n"/>
      <c r="K66" s="153" t="n"/>
      <c r="L66" s="153" t="n"/>
      <c r="M66" s="153" t="n"/>
      <c r="N66" s="153" t="n"/>
      <c r="O66" s="153" t="n"/>
      <c r="P66" s="153" t="n"/>
      <c r="Q66" s="153" t="n"/>
      <c r="R66" s="153" t="n"/>
      <c r="S66" s="153" t="n"/>
      <c r="T66" s="153" t="n"/>
      <c r="U66" s="153" t="n"/>
      <c r="V66" s="153" t="n"/>
      <c r="W66" s="153" t="n"/>
      <c r="X66" s="153" t="n"/>
      <c r="Y66" s="153" t="n"/>
      <c r="Z66" s="153" t="n"/>
    </row>
    <row r="67" ht="15.75" customHeight="1" s="154">
      <c r="G67" s="153" t="n"/>
      <c r="H67" s="153" t="n"/>
      <c r="I67" s="153" t="n"/>
      <c r="J67" s="153" t="n"/>
      <c r="K67" s="153" t="n"/>
      <c r="L67" s="153" t="n"/>
      <c r="M67" s="153" t="n"/>
      <c r="N67" s="153" t="n"/>
      <c r="O67" s="153" t="n"/>
      <c r="P67" s="153" t="n"/>
      <c r="Q67" s="153" t="n"/>
      <c r="R67" s="153" t="n"/>
      <c r="S67" s="153" t="n"/>
      <c r="T67" s="153" t="n"/>
      <c r="U67" s="153" t="n"/>
      <c r="V67" s="153" t="n"/>
      <c r="W67" s="153" t="n"/>
      <c r="X67" s="153" t="n"/>
      <c r="Y67" s="153" t="n"/>
      <c r="Z67" s="153" t="n"/>
    </row>
    <row r="68" ht="15.75" customHeight="1" s="154">
      <c r="G68" s="153" t="n"/>
      <c r="H68" s="153" t="n"/>
      <c r="I68" s="153" t="n"/>
      <c r="J68" s="153" t="n"/>
      <c r="K68" s="153" t="n"/>
      <c r="L68" s="153" t="n"/>
      <c r="M68" s="153" t="n"/>
      <c r="N68" s="153" t="n"/>
      <c r="O68" s="153" t="n"/>
      <c r="P68" s="153" t="n"/>
      <c r="Q68" s="153" t="n"/>
      <c r="R68" s="153" t="n"/>
      <c r="S68" s="153" t="n"/>
      <c r="T68" s="153" t="n"/>
      <c r="U68" s="153" t="n"/>
      <c r="V68" s="153" t="n"/>
      <c r="W68" s="153" t="n"/>
      <c r="X68" s="153" t="n"/>
      <c r="Y68" s="153" t="n"/>
      <c r="Z68" s="153" t="n"/>
    </row>
    <row r="69" ht="15.75" customHeight="1" s="154">
      <c r="G69" s="153" t="n"/>
      <c r="H69" s="153" t="n"/>
      <c r="I69" s="153" t="n"/>
      <c r="J69" s="153" t="n"/>
      <c r="K69" s="153" t="n"/>
      <c r="L69" s="153" t="n"/>
      <c r="M69" s="153" t="n"/>
      <c r="N69" s="153" t="n"/>
      <c r="O69" s="153" t="n"/>
      <c r="P69" s="153" t="n"/>
      <c r="Q69" s="153" t="n"/>
      <c r="R69" s="153" t="n"/>
      <c r="S69" s="153" t="n"/>
      <c r="T69" s="153" t="n"/>
      <c r="U69" s="153" t="n"/>
      <c r="V69" s="153" t="n"/>
      <c r="W69" s="153" t="n"/>
      <c r="X69" s="153" t="n"/>
      <c r="Y69" s="153" t="n"/>
      <c r="Z69" s="153" t="n"/>
    </row>
    <row r="70" ht="15.75" customHeight="1" s="154">
      <c r="G70" s="153" t="n"/>
      <c r="H70" s="153" t="n"/>
      <c r="I70" s="153" t="n"/>
      <c r="J70" s="153" t="n"/>
      <c r="K70" s="153" t="n"/>
      <c r="L70" s="153" t="n"/>
      <c r="M70" s="153" t="n"/>
      <c r="N70" s="153" t="n"/>
      <c r="O70" s="153" t="n"/>
      <c r="P70" s="153" t="n"/>
      <c r="Q70" s="153" t="n"/>
      <c r="R70" s="153" t="n"/>
      <c r="S70" s="153" t="n"/>
      <c r="T70" s="153" t="n"/>
      <c r="U70" s="153" t="n"/>
      <c r="V70" s="153" t="n"/>
      <c r="W70" s="153" t="n"/>
      <c r="X70" s="153" t="n"/>
      <c r="Y70" s="153" t="n"/>
      <c r="Z70" s="153" t="n"/>
    </row>
    <row r="71" ht="15.75" customHeight="1" s="154">
      <c r="G71" s="153" t="n"/>
      <c r="H71" s="153" t="n"/>
      <c r="I71" s="153" t="n"/>
      <c r="J71" s="153" t="n"/>
      <c r="K71" s="153" t="n"/>
      <c r="L71" s="153" t="n"/>
      <c r="M71" s="153" t="n"/>
      <c r="N71" s="153" t="n"/>
      <c r="O71" s="153" t="n"/>
      <c r="P71" s="153" t="n"/>
      <c r="Q71" s="153" t="n"/>
      <c r="R71" s="153" t="n"/>
      <c r="S71" s="153" t="n"/>
      <c r="T71" s="153" t="n"/>
      <c r="U71" s="153" t="n"/>
      <c r="V71" s="153" t="n"/>
      <c r="W71" s="153" t="n"/>
      <c r="X71" s="153" t="n"/>
      <c r="Y71" s="153" t="n"/>
      <c r="Z71" s="153" t="n"/>
    </row>
    <row r="72" ht="15.75" customHeight="1" s="154">
      <c r="G72" s="153" t="n"/>
      <c r="H72" s="153" t="n"/>
      <c r="I72" s="153" t="n"/>
      <c r="J72" s="153" t="n"/>
      <c r="K72" s="153" t="n"/>
      <c r="L72" s="153" t="n"/>
      <c r="M72" s="153" t="n"/>
      <c r="N72" s="153" t="n"/>
      <c r="O72" s="153" t="n"/>
      <c r="P72" s="153" t="n"/>
      <c r="Q72" s="153" t="n"/>
      <c r="R72" s="153" t="n"/>
      <c r="S72" s="153" t="n"/>
      <c r="T72" s="153" t="n"/>
      <c r="U72" s="153" t="n"/>
      <c r="V72" s="153" t="n"/>
      <c r="W72" s="153" t="n"/>
      <c r="X72" s="153" t="n"/>
      <c r="Y72" s="153" t="n"/>
      <c r="Z72" s="153" t="n"/>
    </row>
    <row r="73" ht="15.75" customHeight="1" s="154">
      <c r="G73" s="153" t="n"/>
      <c r="H73" s="153" t="n"/>
      <c r="I73" s="153" t="n"/>
      <c r="J73" s="153" t="n"/>
      <c r="K73" s="153" t="n"/>
      <c r="L73" s="153" t="n"/>
      <c r="M73" s="153" t="n"/>
      <c r="N73" s="153" t="n"/>
      <c r="O73" s="153" t="n"/>
      <c r="P73" s="153" t="n"/>
      <c r="Q73" s="153" t="n"/>
      <c r="R73" s="153" t="n"/>
      <c r="S73" s="153" t="n"/>
      <c r="T73" s="153" t="n"/>
      <c r="U73" s="153" t="n"/>
      <c r="V73" s="153" t="n"/>
      <c r="W73" s="153" t="n"/>
      <c r="X73" s="153" t="n"/>
      <c r="Y73" s="153" t="n"/>
      <c r="Z73" s="153" t="n"/>
    </row>
    <row r="74" ht="15.75" customHeight="1" s="154">
      <c r="G74" s="153" t="n"/>
      <c r="H74" s="153" t="n"/>
      <c r="I74" s="153" t="n"/>
      <c r="J74" s="153" t="n"/>
      <c r="K74" s="153" t="n"/>
      <c r="L74" s="153" t="n"/>
      <c r="M74" s="153" t="n"/>
      <c r="N74" s="153" t="n"/>
      <c r="O74" s="153" t="n"/>
      <c r="P74" s="153" t="n"/>
      <c r="Q74" s="153" t="n"/>
      <c r="R74" s="153" t="n"/>
      <c r="S74" s="153" t="n"/>
      <c r="T74" s="153" t="n"/>
      <c r="U74" s="153" t="n"/>
      <c r="V74" s="153" t="n"/>
      <c r="W74" s="153" t="n"/>
      <c r="X74" s="153" t="n"/>
      <c r="Y74" s="153" t="n"/>
      <c r="Z74" s="153" t="n"/>
    </row>
    <row r="75" ht="15.75" customHeight="1" s="154">
      <c r="G75" s="153" t="n"/>
      <c r="H75" s="153" t="n"/>
      <c r="I75" s="153" t="n"/>
      <c r="J75" s="153" t="n"/>
      <c r="K75" s="153" t="n"/>
      <c r="L75" s="153" t="n"/>
      <c r="M75" s="153" t="n"/>
      <c r="N75" s="153" t="n"/>
      <c r="O75" s="153" t="n"/>
      <c r="P75" s="153" t="n"/>
      <c r="Q75" s="153" t="n"/>
      <c r="R75" s="153" t="n"/>
      <c r="S75" s="153" t="n"/>
      <c r="T75" s="153" t="n"/>
      <c r="U75" s="153" t="n"/>
      <c r="V75" s="153" t="n"/>
      <c r="W75" s="153" t="n"/>
      <c r="X75" s="153" t="n"/>
      <c r="Y75" s="153" t="n"/>
      <c r="Z75" s="153" t="n"/>
    </row>
    <row r="76" ht="15.75" customHeight="1" s="154">
      <c r="G76" s="153" t="n"/>
      <c r="H76" s="153" t="n"/>
      <c r="I76" s="153" t="n"/>
      <c r="J76" s="153" t="n"/>
      <c r="K76" s="153" t="n"/>
      <c r="L76" s="153" t="n"/>
      <c r="M76" s="153" t="n"/>
      <c r="N76" s="153" t="n"/>
      <c r="O76" s="153" t="n"/>
      <c r="P76" s="153" t="n"/>
      <c r="Q76" s="153" t="n"/>
      <c r="R76" s="153" t="n"/>
      <c r="S76" s="153" t="n"/>
      <c r="T76" s="153" t="n"/>
      <c r="U76" s="153" t="n"/>
      <c r="V76" s="153" t="n"/>
      <c r="W76" s="153" t="n"/>
      <c r="X76" s="153" t="n"/>
      <c r="Y76" s="153" t="n"/>
      <c r="Z76" s="153" t="n"/>
    </row>
    <row r="77" ht="15.75" customHeight="1" s="154">
      <c r="G77" s="153" t="n"/>
      <c r="H77" s="153" t="n"/>
      <c r="I77" s="153" t="n"/>
      <c r="J77" s="153" t="n"/>
      <c r="K77" s="153" t="n"/>
      <c r="L77" s="153" t="n"/>
      <c r="M77" s="153" t="n"/>
      <c r="N77" s="153" t="n"/>
      <c r="O77" s="153" t="n"/>
      <c r="P77" s="153" t="n"/>
      <c r="Q77" s="153" t="n"/>
      <c r="R77" s="153" t="n"/>
      <c r="S77" s="153" t="n"/>
      <c r="T77" s="153" t="n"/>
      <c r="U77" s="153" t="n"/>
      <c r="V77" s="153" t="n"/>
      <c r="W77" s="153" t="n"/>
      <c r="X77" s="153" t="n"/>
      <c r="Y77" s="153" t="n"/>
      <c r="Z77" s="153" t="n"/>
    </row>
    <row r="78" ht="15.75" customHeight="1" s="154">
      <c r="G78" s="153" t="n"/>
      <c r="H78" s="153" t="n"/>
      <c r="I78" s="153" t="n"/>
      <c r="J78" s="153" t="n"/>
      <c r="K78" s="153" t="n"/>
      <c r="L78" s="153" t="n"/>
      <c r="M78" s="153" t="n"/>
      <c r="N78" s="153" t="n"/>
      <c r="O78" s="153" t="n"/>
      <c r="P78" s="153" t="n"/>
      <c r="Q78" s="153" t="n"/>
      <c r="R78" s="153" t="n"/>
      <c r="S78" s="153" t="n"/>
      <c r="T78" s="153" t="n"/>
      <c r="U78" s="153" t="n"/>
      <c r="V78" s="153" t="n"/>
      <c r="W78" s="153" t="n"/>
      <c r="X78" s="153" t="n"/>
      <c r="Y78" s="153" t="n"/>
      <c r="Z78" s="153" t="n"/>
    </row>
    <row r="79" ht="15.75" customHeight="1" s="154">
      <c r="G79" s="153" t="n"/>
      <c r="H79" s="153" t="n"/>
      <c r="I79" s="153" t="n"/>
      <c r="J79" s="153" t="n"/>
      <c r="K79" s="153" t="n"/>
      <c r="L79" s="153" t="n"/>
      <c r="M79" s="153" t="n"/>
      <c r="N79" s="153" t="n"/>
      <c r="O79" s="153" t="n"/>
      <c r="P79" s="153" t="n"/>
      <c r="Q79" s="153" t="n"/>
      <c r="R79" s="153" t="n"/>
      <c r="S79" s="153" t="n"/>
      <c r="T79" s="153" t="n"/>
      <c r="U79" s="153" t="n"/>
      <c r="V79" s="153" t="n"/>
      <c r="W79" s="153" t="n"/>
      <c r="X79" s="153" t="n"/>
      <c r="Y79" s="153" t="n"/>
      <c r="Z79" s="153" t="n"/>
    </row>
    <row r="80" ht="15.75" customHeight="1" s="154">
      <c r="G80" s="153" t="n"/>
      <c r="H80" s="153" t="n"/>
      <c r="I80" s="153" t="n"/>
      <c r="J80" s="153" t="n"/>
      <c r="K80" s="153" t="n"/>
      <c r="L80" s="153" t="n"/>
      <c r="M80" s="153" t="n"/>
      <c r="N80" s="153" t="n"/>
      <c r="O80" s="153" t="n"/>
      <c r="P80" s="153" t="n"/>
      <c r="Q80" s="153" t="n"/>
      <c r="R80" s="153" t="n"/>
      <c r="S80" s="153" t="n"/>
      <c r="T80" s="153" t="n"/>
      <c r="U80" s="153" t="n"/>
      <c r="V80" s="153" t="n"/>
      <c r="W80" s="153" t="n"/>
      <c r="X80" s="153" t="n"/>
      <c r="Y80" s="153" t="n"/>
      <c r="Z80" s="153" t="n"/>
    </row>
    <row r="81" ht="15.75" customHeight="1" s="154">
      <c r="G81" s="153" t="n"/>
      <c r="H81" s="153" t="n"/>
      <c r="I81" s="153" t="n"/>
      <c r="J81" s="153" t="n"/>
      <c r="K81" s="153" t="n"/>
      <c r="L81" s="153" t="n"/>
      <c r="M81" s="153" t="n"/>
      <c r="N81" s="153" t="n"/>
      <c r="O81" s="153" t="n"/>
      <c r="P81" s="153" t="n"/>
      <c r="Q81" s="153" t="n"/>
      <c r="R81" s="153" t="n"/>
      <c r="S81" s="153" t="n"/>
      <c r="T81" s="153" t="n"/>
      <c r="U81" s="153" t="n"/>
      <c r="V81" s="153" t="n"/>
      <c r="W81" s="153" t="n"/>
      <c r="X81" s="153" t="n"/>
      <c r="Y81" s="153" t="n"/>
      <c r="Z81" s="153" t="n"/>
    </row>
    <row r="82" ht="15.75" customHeight="1" s="154">
      <c r="G82" s="153" t="n"/>
      <c r="H82" s="153" t="n"/>
      <c r="I82" s="153" t="n"/>
      <c r="J82" s="153" t="n"/>
      <c r="K82" s="153" t="n"/>
      <c r="L82" s="153" t="n"/>
      <c r="M82" s="153" t="n"/>
      <c r="N82" s="153" t="n"/>
      <c r="O82" s="153" t="n"/>
      <c r="P82" s="153" t="n"/>
      <c r="Q82" s="153" t="n"/>
      <c r="R82" s="153" t="n"/>
      <c r="S82" s="153" t="n"/>
      <c r="T82" s="153" t="n"/>
      <c r="U82" s="153" t="n"/>
      <c r="V82" s="153" t="n"/>
      <c r="W82" s="153" t="n"/>
      <c r="X82" s="153" t="n"/>
      <c r="Y82" s="153" t="n"/>
      <c r="Z82" s="153" t="n"/>
    </row>
    <row r="83" ht="15.75" customHeight="1" s="154">
      <c r="G83" s="153" t="n"/>
      <c r="H83" s="153" t="n"/>
      <c r="I83" s="153" t="n"/>
      <c r="J83" s="153" t="n"/>
      <c r="K83" s="153" t="n"/>
      <c r="L83" s="153" t="n"/>
      <c r="M83" s="153" t="n"/>
      <c r="N83" s="153" t="n"/>
      <c r="O83" s="153" t="n"/>
      <c r="P83" s="153" t="n"/>
      <c r="Q83" s="153" t="n"/>
      <c r="R83" s="153" t="n"/>
      <c r="S83" s="153" t="n"/>
      <c r="T83" s="153" t="n"/>
      <c r="U83" s="153" t="n"/>
      <c r="V83" s="153" t="n"/>
      <c r="W83" s="153" t="n"/>
      <c r="X83" s="153" t="n"/>
      <c r="Y83" s="153" t="n"/>
      <c r="Z83" s="153" t="n"/>
    </row>
    <row r="84" ht="15.75" customHeight="1" s="154">
      <c r="G84" s="153" t="n"/>
      <c r="H84" s="153" t="n"/>
      <c r="I84" s="153" t="n"/>
      <c r="J84" s="153" t="n"/>
      <c r="K84" s="153" t="n"/>
      <c r="L84" s="153" t="n"/>
      <c r="M84" s="153" t="n"/>
      <c r="N84" s="153" t="n"/>
      <c r="O84" s="153" t="n"/>
      <c r="P84" s="153" t="n"/>
      <c r="Q84" s="153" t="n"/>
      <c r="R84" s="153" t="n"/>
      <c r="S84" s="153" t="n"/>
      <c r="T84" s="153" t="n"/>
      <c r="U84" s="153" t="n"/>
      <c r="V84" s="153" t="n"/>
      <c r="W84" s="153" t="n"/>
      <c r="X84" s="153" t="n"/>
      <c r="Y84" s="153" t="n"/>
      <c r="Z84" s="153" t="n"/>
    </row>
    <row r="85" ht="15.75" customHeight="1" s="154">
      <c r="G85" s="153" t="n"/>
      <c r="H85" s="153" t="n"/>
      <c r="I85" s="153" t="n"/>
      <c r="J85" s="153" t="n"/>
      <c r="K85" s="153" t="n"/>
      <c r="L85" s="153" t="n"/>
      <c r="M85" s="153" t="n"/>
      <c r="N85" s="153" t="n"/>
      <c r="O85" s="153" t="n"/>
      <c r="P85" s="153" t="n"/>
      <c r="Q85" s="153" t="n"/>
      <c r="R85" s="153" t="n"/>
      <c r="S85" s="153" t="n"/>
      <c r="T85" s="153" t="n"/>
      <c r="U85" s="153" t="n"/>
      <c r="V85" s="153" t="n"/>
      <c r="W85" s="153" t="n"/>
      <c r="X85" s="153" t="n"/>
      <c r="Y85" s="153" t="n"/>
      <c r="Z85" s="153" t="n"/>
    </row>
    <row r="86" ht="15.75" customHeight="1" s="154">
      <c r="G86" s="153" t="n"/>
      <c r="H86" s="153" t="n"/>
      <c r="I86" s="153" t="n"/>
      <c r="J86" s="153" t="n"/>
      <c r="K86" s="153" t="n"/>
      <c r="L86" s="153" t="n"/>
      <c r="M86" s="153" t="n"/>
      <c r="N86" s="153" t="n"/>
      <c r="O86" s="153" t="n"/>
      <c r="P86" s="153" t="n"/>
      <c r="Q86" s="153" t="n"/>
      <c r="R86" s="153" t="n"/>
      <c r="S86" s="153" t="n"/>
      <c r="T86" s="153" t="n"/>
      <c r="U86" s="153" t="n"/>
      <c r="V86" s="153" t="n"/>
      <c r="W86" s="153" t="n"/>
      <c r="X86" s="153" t="n"/>
      <c r="Y86" s="153" t="n"/>
      <c r="Z86" s="153" t="n"/>
    </row>
    <row r="87" ht="15.75" customHeight="1" s="154">
      <c r="G87" s="153" t="n"/>
      <c r="H87" s="153" t="n"/>
      <c r="I87" s="153" t="n"/>
      <c r="J87" s="153" t="n"/>
      <c r="K87" s="153" t="n"/>
      <c r="L87" s="153" t="n"/>
      <c r="M87" s="153" t="n"/>
      <c r="N87" s="153" t="n"/>
      <c r="O87" s="153" t="n"/>
      <c r="P87" s="153" t="n"/>
      <c r="Q87" s="153" t="n"/>
      <c r="R87" s="153" t="n"/>
      <c r="S87" s="153" t="n"/>
      <c r="T87" s="153" t="n"/>
      <c r="U87" s="153" t="n"/>
      <c r="V87" s="153" t="n"/>
      <c r="W87" s="153" t="n"/>
      <c r="X87" s="153" t="n"/>
      <c r="Y87" s="153" t="n"/>
      <c r="Z87" s="153" t="n"/>
    </row>
    <row r="88" ht="15.75" customHeight="1" s="154">
      <c r="G88" s="153" t="n"/>
      <c r="H88" s="153" t="n"/>
      <c r="I88" s="153" t="n"/>
      <c r="J88" s="153" t="n"/>
      <c r="K88" s="153" t="n"/>
      <c r="L88" s="153" t="n"/>
      <c r="M88" s="153" t="n"/>
      <c r="N88" s="153" t="n"/>
      <c r="O88" s="153" t="n"/>
      <c r="P88" s="153" t="n"/>
      <c r="Q88" s="153" t="n"/>
      <c r="R88" s="153" t="n"/>
      <c r="S88" s="153" t="n"/>
      <c r="T88" s="153" t="n"/>
      <c r="U88" s="153" t="n"/>
      <c r="V88" s="153" t="n"/>
      <c r="W88" s="153" t="n"/>
      <c r="X88" s="153" t="n"/>
      <c r="Y88" s="153" t="n"/>
      <c r="Z88" s="153" t="n"/>
    </row>
    <row r="89" ht="15.75" customHeight="1" s="154">
      <c r="G89" s="153" t="n"/>
      <c r="H89" s="153" t="n"/>
      <c r="I89" s="153" t="n"/>
      <c r="J89" s="153" t="n"/>
      <c r="K89" s="153" t="n"/>
      <c r="L89" s="153" t="n"/>
      <c r="M89" s="153" t="n"/>
      <c r="N89" s="153" t="n"/>
      <c r="O89" s="153" t="n"/>
      <c r="P89" s="153" t="n"/>
      <c r="Q89" s="153" t="n"/>
      <c r="R89" s="153" t="n"/>
      <c r="S89" s="153" t="n"/>
      <c r="T89" s="153" t="n"/>
      <c r="U89" s="153" t="n"/>
      <c r="V89" s="153" t="n"/>
      <c r="W89" s="153" t="n"/>
      <c r="X89" s="153" t="n"/>
      <c r="Y89" s="153" t="n"/>
      <c r="Z89" s="153" t="n"/>
    </row>
    <row r="90" ht="15.75" customHeight="1" s="154">
      <c r="G90" s="153" t="n"/>
      <c r="H90" s="153" t="n"/>
      <c r="I90" s="153" t="n"/>
      <c r="J90" s="153" t="n"/>
      <c r="K90" s="153" t="n"/>
      <c r="L90" s="153" t="n"/>
      <c r="M90" s="153" t="n"/>
      <c r="N90" s="153" t="n"/>
      <c r="O90" s="153" t="n"/>
      <c r="P90" s="153" t="n"/>
      <c r="Q90" s="153" t="n"/>
      <c r="R90" s="153" t="n"/>
      <c r="S90" s="153" t="n"/>
      <c r="T90" s="153" t="n"/>
      <c r="U90" s="153" t="n"/>
      <c r="V90" s="153" t="n"/>
      <c r="W90" s="153" t="n"/>
      <c r="X90" s="153" t="n"/>
      <c r="Y90" s="153" t="n"/>
      <c r="Z90" s="153" t="n"/>
    </row>
    <row r="91" ht="15.75" customHeight="1" s="154">
      <c r="G91" s="153" t="n"/>
      <c r="H91" s="153" t="n"/>
      <c r="I91" s="153" t="n"/>
      <c r="J91" s="153" t="n"/>
      <c r="K91" s="153" t="n"/>
      <c r="L91" s="153" t="n"/>
      <c r="M91" s="153" t="n"/>
      <c r="N91" s="153" t="n"/>
      <c r="O91" s="153" t="n"/>
      <c r="P91" s="153" t="n"/>
      <c r="Q91" s="153" t="n"/>
      <c r="R91" s="153" t="n"/>
      <c r="S91" s="153" t="n"/>
      <c r="T91" s="153" t="n"/>
      <c r="U91" s="153" t="n"/>
      <c r="V91" s="153" t="n"/>
      <c r="W91" s="153" t="n"/>
      <c r="X91" s="153" t="n"/>
      <c r="Y91" s="153" t="n"/>
      <c r="Z91" s="153" t="n"/>
    </row>
    <row r="92" ht="15.75" customHeight="1" s="154">
      <c r="G92" s="153" t="n"/>
      <c r="H92" s="153" t="n"/>
      <c r="I92" s="153" t="n"/>
      <c r="J92" s="153" t="n"/>
      <c r="K92" s="153" t="n"/>
      <c r="L92" s="153" t="n"/>
      <c r="M92" s="153" t="n"/>
      <c r="N92" s="153" t="n"/>
      <c r="O92" s="153" t="n"/>
      <c r="P92" s="153" t="n"/>
      <c r="Q92" s="153" t="n"/>
      <c r="R92" s="153" t="n"/>
      <c r="S92" s="153" t="n"/>
      <c r="T92" s="153" t="n"/>
      <c r="U92" s="153" t="n"/>
      <c r="V92" s="153" t="n"/>
      <c r="W92" s="153" t="n"/>
      <c r="X92" s="153" t="n"/>
      <c r="Y92" s="153" t="n"/>
      <c r="Z92" s="153" t="n"/>
    </row>
    <row r="93" ht="15.75" customHeight="1" s="154">
      <c r="G93" s="153" t="n"/>
      <c r="H93" s="153" t="n"/>
      <c r="I93" s="153" t="n"/>
      <c r="J93" s="153" t="n"/>
      <c r="K93" s="153" t="n"/>
      <c r="L93" s="153" t="n"/>
      <c r="M93" s="153" t="n"/>
      <c r="N93" s="153" t="n"/>
      <c r="O93" s="153" t="n"/>
      <c r="P93" s="153" t="n"/>
      <c r="Q93" s="153" t="n"/>
      <c r="R93" s="153" t="n"/>
      <c r="S93" s="153" t="n"/>
      <c r="T93" s="153" t="n"/>
      <c r="U93" s="153" t="n"/>
      <c r="V93" s="153" t="n"/>
      <c r="W93" s="153" t="n"/>
      <c r="X93" s="153" t="n"/>
      <c r="Y93" s="153" t="n"/>
      <c r="Z93" s="153" t="n"/>
    </row>
    <row r="94" ht="15.75" customHeight="1" s="154">
      <c r="G94" s="153" t="n"/>
      <c r="H94" s="153" t="n"/>
      <c r="I94" s="153" t="n"/>
      <c r="J94" s="153" t="n"/>
      <c r="K94" s="153" t="n"/>
      <c r="L94" s="153" t="n"/>
      <c r="M94" s="153" t="n"/>
      <c r="N94" s="153" t="n"/>
      <c r="O94" s="153" t="n"/>
      <c r="P94" s="153" t="n"/>
      <c r="Q94" s="153" t="n"/>
      <c r="R94" s="153" t="n"/>
      <c r="S94" s="153" t="n"/>
      <c r="T94" s="153" t="n"/>
      <c r="U94" s="153" t="n"/>
      <c r="V94" s="153" t="n"/>
      <c r="W94" s="153" t="n"/>
      <c r="X94" s="153" t="n"/>
      <c r="Y94" s="153" t="n"/>
      <c r="Z94" s="153" t="n"/>
    </row>
    <row r="95" ht="15.75" customHeight="1" s="154">
      <c r="G95" s="153" t="n"/>
      <c r="H95" s="153" t="n"/>
      <c r="I95" s="153" t="n"/>
      <c r="J95" s="153" t="n"/>
      <c r="K95" s="153" t="n"/>
      <c r="L95" s="153" t="n"/>
      <c r="M95" s="153" t="n"/>
      <c r="N95" s="153" t="n"/>
      <c r="O95" s="153" t="n"/>
      <c r="P95" s="153" t="n"/>
      <c r="Q95" s="153" t="n"/>
      <c r="R95" s="153" t="n"/>
      <c r="S95" s="153" t="n"/>
      <c r="T95" s="153" t="n"/>
      <c r="U95" s="153" t="n"/>
      <c r="V95" s="153" t="n"/>
      <c r="W95" s="153" t="n"/>
      <c r="X95" s="153" t="n"/>
      <c r="Y95" s="153" t="n"/>
      <c r="Z95" s="153" t="n"/>
    </row>
    <row r="96" ht="15.75" customHeight="1" s="154">
      <c r="G96" s="153" t="n"/>
      <c r="H96" s="153" t="n"/>
      <c r="I96" s="153" t="n"/>
      <c r="J96" s="153" t="n"/>
      <c r="K96" s="153" t="n"/>
      <c r="L96" s="153" t="n"/>
      <c r="M96" s="153" t="n"/>
      <c r="N96" s="153" t="n"/>
      <c r="O96" s="153" t="n"/>
      <c r="P96" s="153" t="n"/>
      <c r="Q96" s="153" t="n"/>
      <c r="R96" s="153" t="n"/>
      <c r="S96" s="153" t="n"/>
      <c r="T96" s="153" t="n"/>
      <c r="U96" s="153" t="n"/>
      <c r="V96" s="153" t="n"/>
      <c r="W96" s="153" t="n"/>
      <c r="X96" s="153" t="n"/>
      <c r="Y96" s="153" t="n"/>
      <c r="Z96" s="153" t="n"/>
    </row>
    <row r="97" ht="15.75" customHeight="1" s="154">
      <c r="G97" s="153" t="n"/>
      <c r="H97" s="153" t="n"/>
      <c r="I97" s="153" t="n"/>
      <c r="J97" s="153" t="n"/>
      <c r="K97" s="153" t="n"/>
      <c r="L97" s="153" t="n"/>
      <c r="M97" s="153" t="n"/>
      <c r="N97" s="153" t="n"/>
      <c r="O97" s="153" t="n"/>
      <c r="P97" s="153" t="n"/>
      <c r="Q97" s="153" t="n"/>
      <c r="R97" s="153" t="n"/>
      <c r="S97" s="153" t="n"/>
      <c r="T97" s="153" t="n"/>
      <c r="U97" s="153" t="n"/>
      <c r="V97" s="153" t="n"/>
      <c r="W97" s="153" t="n"/>
      <c r="X97" s="153" t="n"/>
      <c r="Y97" s="153" t="n"/>
      <c r="Z97" s="153" t="n"/>
    </row>
    <row r="98" ht="15.75" customHeight="1" s="154">
      <c r="G98" s="153" t="n"/>
      <c r="H98" s="153" t="n"/>
      <c r="I98" s="153" t="n"/>
      <c r="J98" s="153" t="n"/>
      <c r="K98" s="153" t="n"/>
      <c r="L98" s="153" t="n"/>
      <c r="M98" s="153" t="n"/>
      <c r="N98" s="153" t="n"/>
      <c r="O98" s="153" t="n"/>
      <c r="P98" s="153" t="n"/>
      <c r="Q98" s="153" t="n"/>
      <c r="R98" s="153" t="n"/>
      <c r="S98" s="153" t="n"/>
      <c r="T98" s="153" t="n"/>
      <c r="U98" s="153" t="n"/>
      <c r="V98" s="153" t="n"/>
      <c r="W98" s="153" t="n"/>
      <c r="X98" s="153" t="n"/>
      <c r="Y98" s="153" t="n"/>
      <c r="Z98" s="153" t="n"/>
    </row>
    <row r="99" ht="15.75" customHeight="1" s="154">
      <c r="G99" s="153" t="n"/>
      <c r="H99" s="153" t="n"/>
      <c r="I99" s="153" t="n"/>
      <c r="J99" s="153" t="n"/>
      <c r="K99" s="153" t="n"/>
      <c r="L99" s="153" t="n"/>
      <c r="M99" s="153" t="n"/>
      <c r="N99" s="153" t="n"/>
      <c r="O99" s="153" t="n"/>
      <c r="P99" s="153" t="n"/>
      <c r="Q99" s="153" t="n"/>
      <c r="R99" s="153" t="n"/>
      <c r="S99" s="153" t="n"/>
      <c r="T99" s="153" t="n"/>
      <c r="U99" s="153" t="n"/>
      <c r="V99" s="153" t="n"/>
      <c r="W99" s="153" t="n"/>
      <c r="X99" s="153" t="n"/>
      <c r="Y99" s="153" t="n"/>
      <c r="Z99" s="153" t="n"/>
    </row>
    <row r="100" ht="15.75" customHeight="1" s="154">
      <c r="G100" s="153" t="n"/>
      <c r="H100" s="153" t="n"/>
      <c r="I100" s="153" t="n"/>
      <c r="J100" s="153" t="n"/>
      <c r="K100" s="153" t="n"/>
      <c r="L100" s="153" t="n"/>
      <c r="M100" s="153" t="n"/>
      <c r="N100" s="153" t="n"/>
      <c r="O100" s="153" t="n"/>
      <c r="P100" s="153" t="n"/>
      <c r="Q100" s="153" t="n"/>
      <c r="R100" s="153" t="n"/>
      <c r="S100" s="153" t="n"/>
      <c r="T100" s="153" t="n"/>
      <c r="U100" s="153" t="n"/>
      <c r="V100" s="153" t="n"/>
      <c r="W100" s="153" t="n"/>
      <c r="X100" s="153" t="n"/>
      <c r="Y100" s="153" t="n"/>
      <c r="Z100" s="153" t="n"/>
    </row>
    <row r="101" ht="15.75" customHeight="1" s="154">
      <c r="G101" s="153" t="n"/>
      <c r="H101" s="153" t="n"/>
      <c r="I101" s="153" t="n"/>
      <c r="J101" s="153" t="n"/>
      <c r="K101" s="153" t="n"/>
      <c r="L101" s="153" t="n"/>
      <c r="M101" s="153" t="n"/>
      <c r="N101" s="153" t="n"/>
      <c r="O101" s="153" t="n"/>
      <c r="P101" s="153" t="n"/>
      <c r="Q101" s="153" t="n"/>
      <c r="R101" s="153" t="n"/>
      <c r="S101" s="153" t="n"/>
      <c r="T101" s="153" t="n"/>
      <c r="U101" s="153" t="n"/>
      <c r="V101" s="153" t="n"/>
      <c r="W101" s="153" t="n"/>
      <c r="X101" s="153" t="n"/>
      <c r="Y101" s="153" t="n"/>
      <c r="Z101" s="153" t="n"/>
    </row>
    <row r="102" ht="15.75" customHeight="1" s="154">
      <c r="G102" s="153" t="n"/>
      <c r="H102" s="153" t="n"/>
      <c r="I102" s="153" t="n"/>
      <c r="J102" s="153" t="n"/>
      <c r="K102" s="153" t="n"/>
      <c r="L102" s="153" t="n"/>
      <c r="M102" s="153" t="n"/>
      <c r="N102" s="153" t="n"/>
      <c r="O102" s="153" t="n"/>
      <c r="P102" s="153" t="n"/>
      <c r="Q102" s="153" t="n"/>
      <c r="R102" s="153" t="n"/>
      <c r="S102" s="153" t="n"/>
      <c r="T102" s="153" t="n"/>
      <c r="U102" s="153" t="n"/>
      <c r="V102" s="153" t="n"/>
      <c r="W102" s="153" t="n"/>
      <c r="X102" s="153" t="n"/>
      <c r="Y102" s="153" t="n"/>
      <c r="Z102" s="153" t="n"/>
    </row>
    <row r="103" ht="15.75" customHeight="1" s="154">
      <c r="G103" s="153" t="n"/>
      <c r="H103" s="153" t="n"/>
      <c r="I103" s="153" t="n"/>
      <c r="J103" s="153" t="n"/>
      <c r="K103" s="153" t="n"/>
      <c r="L103" s="153" t="n"/>
      <c r="M103" s="153" t="n"/>
      <c r="N103" s="153" t="n"/>
      <c r="O103" s="153" t="n"/>
      <c r="P103" s="153" t="n"/>
      <c r="Q103" s="153" t="n"/>
      <c r="R103" s="153" t="n"/>
      <c r="S103" s="153" t="n"/>
      <c r="T103" s="153" t="n"/>
      <c r="U103" s="153" t="n"/>
      <c r="V103" s="153" t="n"/>
      <c r="W103" s="153" t="n"/>
      <c r="X103" s="153" t="n"/>
      <c r="Y103" s="153" t="n"/>
      <c r="Z103" s="153" t="n"/>
    </row>
    <row r="104" ht="15.75" customHeight="1" s="154">
      <c r="G104" s="153" t="n"/>
      <c r="H104" s="153" t="n"/>
      <c r="I104" s="153" t="n"/>
      <c r="J104" s="153" t="n"/>
      <c r="K104" s="153" t="n"/>
      <c r="L104" s="153" t="n"/>
      <c r="M104" s="153" t="n"/>
      <c r="N104" s="153" t="n"/>
      <c r="O104" s="153" t="n"/>
      <c r="P104" s="153" t="n"/>
      <c r="Q104" s="153" t="n"/>
      <c r="R104" s="153" t="n"/>
      <c r="S104" s="153" t="n"/>
      <c r="T104" s="153" t="n"/>
      <c r="U104" s="153" t="n"/>
      <c r="V104" s="153" t="n"/>
      <c r="W104" s="153" t="n"/>
      <c r="X104" s="153" t="n"/>
      <c r="Y104" s="153" t="n"/>
      <c r="Z104" s="153" t="n"/>
    </row>
    <row r="105" ht="15.75" customHeight="1" s="154">
      <c r="G105" s="153" t="n"/>
      <c r="H105" s="153" t="n"/>
      <c r="I105" s="153" t="n"/>
      <c r="J105" s="153" t="n"/>
      <c r="K105" s="153" t="n"/>
      <c r="L105" s="153" t="n"/>
      <c r="M105" s="153" t="n"/>
      <c r="N105" s="153" t="n"/>
      <c r="O105" s="153" t="n"/>
      <c r="P105" s="153" t="n"/>
      <c r="Q105" s="153" t="n"/>
      <c r="R105" s="153" t="n"/>
      <c r="S105" s="153" t="n"/>
      <c r="T105" s="153" t="n"/>
      <c r="U105" s="153" t="n"/>
      <c r="V105" s="153" t="n"/>
      <c r="W105" s="153" t="n"/>
      <c r="X105" s="153" t="n"/>
      <c r="Y105" s="153" t="n"/>
      <c r="Z105" s="153" t="n"/>
    </row>
    <row r="106" ht="15.75" customHeight="1" s="154">
      <c r="G106" s="153" t="n"/>
      <c r="H106" s="153" t="n"/>
      <c r="I106" s="153" t="n"/>
      <c r="J106" s="153" t="n"/>
      <c r="K106" s="153" t="n"/>
      <c r="L106" s="153" t="n"/>
      <c r="M106" s="153" t="n"/>
      <c r="N106" s="153" t="n"/>
      <c r="O106" s="153" t="n"/>
      <c r="P106" s="153" t="n"/>
      <c r="Q106" s="153" t="n"/>
      <c r="R106" s="153" t="n"/>
      <c r="S106" s="153" t="n"/>
      <c r="T106" s="153" t="n"/>
      <c r="U106" s="153" t="n"/>
      <c r="V106" s="153" t="n"/>
      <c r="W106" s="153" t="n"/>
      <c r="X106" s="153" t="n"/>
      <c r="Y106" s="153" t="n"/>
      <c r="Z106" s="153" t="n"/>
    </row>
    <row r="107" ht="15.75" customHeight="1" s="154">
      <c r="G107" s="153" t="n"/>
      <c r="H107" s="153" t="n"/>
      <c r="I107" s="153" t="n"/>
      <c r="J107" s="153" t="n"/>
      <c r="K107" s="153" t="n"/>
      <c r="L107" s="153" t="n"/>
      <c r="M107" s="153" t="n"/>
      <c r="N107" s="153" t="n"/>
      <c r="O107" s="153" t="n"/>
      <c r="P107" s="153" t="n"/>
      <c r="Q107" s="153" t="n"/>
      <c r="R107" s="153" t="n"/>
      <c r="S107" s="153" t="n"/>
      <c r="T107" s="153" t="n"/>
      <c r="U107" s="153" t="n"/>
      <c r="V107" s="153" t="n"/>
      <c r="W107" s="153" t="n"/>
      <c r="X107" s="153" t="n"/>
      <c r="Y107" s="153" t="n"/>
      <c r="Z107" s="153" t="n"/>
    </row>
    <row r="108" ht="15.75" customHeight="1" s="154">
      <c r="G108" s="153" t="n"/>
      <c r="H108" s="153" t="n"/>
      <c r="I108" s="153" t="n"/>
      <c r="J108" s="153" t="n"/>
      <c r="K108" s="153" t="n"/>
      <c r="L108" s="153" t="n"/>
      <c r="M108" s="153" t="n"/>
      <c r="N108" s="153" t="n"/>
      <c r="O108" s="153" t="n"/>
      <c r="P108" s="153" t="n"/>
      <c r="Q108" s="153" t="n"/>
      <c r="R108" s="153" t="n"/>
      <c r="S108" s="153" t="n"/>
      <c r="T108" s="153" t="n"/>
      <c r="U108" s="153" t="n"/>
      <c r="V108" s="153" t="n"/>
      <c r="W108" s="153" t="n"/>
      <c r="X108" s="153" t="n"/>
      <c r="Y108" s="153" t="n"/>
      <c r="Z108" s="153" t="n"/>
    </row>
    <row r="109" ht="15.75" customHeight="1" s="154">
      <c r="G109" s="153" t="n"/>
      <c r="H109" s="153" t="n"/>
      <c r="I109" s="153" t="n"/>
      <c r="J109" s="153" t="n"/>
      <c r="K109" s="153" t="n"/>
      <c r="L109" s="153" t="n"/>
      <c r="M109" s="153" t="n"/>
      <c r="N109" s="153" t="n"/>
      <c r="O109" s="153" t="n"/>
      <c r="P109" s="153" t="n"/>
      <c r="Q109" s="153" t="n"/>
      <c r="R109" s="153" t="n"/>
      <c r="S109" s="153" t="n"/>
      <c r="T109" s="153" t="n"/>
      <c r="U109" s="153" t="n"/>
      <c r="V109" s="153" t="n"/>
      <c r="W109" s="153" t="n"/>
      <c r="X109" s="153" t="n"/>
      <c r="Y109" s="153" t="n"/>
      <c r="Z109" s="153" t="n"/>
    </row>
    <row r="110" ht="15.75" customHeight="1" s="154">
      <c r="G110" s="153" t="n"/>
      <c r="H110" s="153" t="n"/>
      <c r="I110" s="153" t="n"/>
      <c r="J110" s="153" t="n"/>
      <c r="K110" s="153" t="n"/>
      <c r="L110" s="153" t="n"/>
      <c r="M110" s="153" t="n"/>
      <c r="N110" s="153" t="n"/>
      <c r="O110" s="153" t="n"/>
      <c r="P110" s="153" t="n"/>
      <c r="Q110" s="153" t="n"/>
      <c r="R110" s="153" t="n"/>
      <c r="S110" s="153" t="n"/>
      <c r="T110" s="153" t="n"/>
      <c r="U110" s="153" t="n"/>
      <c r="V110" s="153" t="n"/>
      <c r="W110" s="153" t="n"/>
      <c r="X110" s="153" t="n"/>
      <c r="Y110" s="153" t="n"/>
      <c r="Z110" s="153" t="n"/>
    </row>
    <row r="111" ht="15.75" customHeight="1" s="154">
      <c r="G111" s="153" t="n"/>
      <c r="H111" s="153" t="n"/>
      <c r="I111" s="153" t="n"/>
      <c r="J111" s="153" t="n"/>
      <c r="K111" s="153" t="n"/>
      <c r="L111" s="153" t="n"/>
      <c r="M111" s="153" t="n"/>
      <c r="N111" s="153" t="n"/>
      <c r="O111" s="153" t="n"/>
      <c r="P111" s="153" t="n"/>
      <c r="Q111" s="153" t="n"/>
      <c r="R111" s="153" t="n"/>
      <c r="S111" s="153" t="n"/>
      <c r="T111" s="153" t="n"/>
      <c r="U111" s="153" t="n"/>
      <c r="V111" s="153" t="n"/>
      <c r="W111" s="153" t="n"/>
      <c r="X111" s="153" t="n"/>
      <c r="Y111" s="153" t="n"/>
      <c r="Z111" s="153" t="n"/>
    </row>
    <row r="112" ht="15.75" customHeight="1" s="154">
      <c r="G112" s="153" t="n"/>
      <c r="H112" s="153" t="n"/>
      <c r="I112" s="153" t="n"/>
      <c r="J112" s="153" t="n"/>
      <c r="K112" s="153" t="n"/>
      <c r="L112" s="153" t="n"/>
      <c r="M112" s="153" t="n"/>
      <c r="N112" s="153" t="n"/>
      <c r="O112" s="153" t="n"/>
      <c r="P112" s="153" t="n"/>
      <c r="Q112" s="153" t="n"/>
      <c r="R112" s="153" t="n"/>
      <c r="S112" s="153" t="n"/>
      <c r="T112" s="153" t="n"/>
      <c r="U112" s="153" t="n"/>
      <c r="V112" s="153" t="n"/>
      <c r="W112" s="153" t="n"/>
      <c r="X112" s="153" t="n"/>
      <c r="Y112" s="153" t="n"/>
      <c r="Z112" s="153" t="n"/>
    </row>
    <row r="113" ht="15.75" customHeight="1" s="154">
      <c r="G113" s="153" t="n"/>
      <c r="H113" s="153" t="n"/>
      <c r="I113" s="153" t="n"/>
      <c r="J113" s="153" t="n"/>
      <c r="K113" s="153" t="n"/>
      <c r="L113" s="153" t="n"/>
      <c r="M113" s="153" t="n"/>
      <c r="N113" s="153" t="n"/>
      <c r="O113" s="153" t="n"/>
      <c r="P113" s="153" t="n"/>
      <c r="Q113" s="153" t="n"/>
      <c r="R113" s="153" t="n"/>
      <c r="S113" s="153" t="n"/>
      <c r="T113" s="153" t="n"/>
      <c r="U113" s="153" t="n"/>
      <c r="V113" s="153" t="n"/>
      <c r="W113" s="153" t="n"/>
      <c r="X113" s="153" t="n"/>
      <c r="Y113" s="153" t="n"/>
      <c r="Z113" s="153" t="n"/>
    </row>
    <row r="114" ht="15.75" customHeight="1" s="154">
      <c r="G114" s="153" t="n"/>
      <c r="H114" s="153" t="n"/>
      <c r="I114" s="153" t="n"/>
      <c r="J114" s="153" t="n"/>
      <c r="K114" s="153" t="n"/>
      <c r="L114" s="153" t="n"/>
      <c r="M114" s="153" t="n"/>
      <c r="N114" s="153" t="n"/>
      <c r="O114" s="153" t="n"/>
      <c r="P114" s="153" t="n"/>
      <c r="Q114" s="153" t="n"/>
      <c r="R114" s="153" t="n"/>
      <c r="S114" s="153" t="n"/>
      <c r="T114" s="153" t="n"/>
      <c r="U114" s="153" t="n"/>
      <c r="V114" s="153" t="n"/>
      <c r="W114" s="153" t="n"/>
      <c r="X114" s="153" t="n"/>
      <c r="Y114" s="153" t="n"/>
      <c r="Z114" s="153" t="n"/>
    </row>
    <row r="115" ht="15.75" customHeight="1" s="154">
      <c r="G115" s="153" t="n"/>
      <c r="H115" s="153" t="n"/>
      <c r="I115" s="153" t="n"/>
      <c r="J115" s="153" t="n"/>
      <c r="K115" s="153" t="n"/>
      <c r="L115" s="153" t="n"/>
      <c r="M115" s="153" t="n"/>
      <c r="N115" s="153" t="n"/>
      <c r="O115" s="153" t="n"/>
      <c r="P115" s="153" t="n"/>
      <c r="Q115" s="153" t="n"/>
      <c r="R115" s="153" t="n"/>
      <c r="S115" s="153" t="n"/>
      <c r="T115" s="153" t="n"/>
      <c r="U115" s="153" t="n"/>
      <c r="V115" s="153" t="n"/>
      <c r="W115" s="153" t="n"/>
      <c r="X115" s="153" t="n"/>
      <c r="Y115" s="153" t="n"/>
      <c r="Z115" s="153" t="n"/>
    </row>
    <row r="116" ht="15.75" customHeight="1" s="154">
      <c r="G116" s="153" t="n"/>
      <c r="H116" s="153" t="n"/>
      <c r="I116" s="153" t="n"/>
      <c r="J116" s="153" t="n"/>
      <c r="K116" s="153" t="n"/>
      <c r="L116" s="153" t="n"/>
      <c r="M116" s="153" t="n"/>
      <c r="N116" s="153" t="n"/>
      <c r="O116" s="153" t="n"/>
      <c r="P116" s="153" t="n"/>
      <c r="Q116" s="153" t="n"/>
      <c r="R116" s="153" t="n"/>
      <c r="S116" s="153" t="n"/>
      <c r="T116" s="153" t="n"/>
      <c r="U116" s="153" t="n"/>
      <c r="V116" s="153" t="n"/>
      <c r="W116" s="153" t="n"/>
      <c r="X116" s="153" t="n"/>
      <c r="Y116" s="153" t="n"/>
      <c r="Z116" s="153" t="n"/>
    </row>
    <row r="117" ht="15.75" customHeight="1" s="154">
      <c r="G117" s="153" t="n"/>
      <c r="H117" s="153" t="n"/>
      <c r="I117" s="153" t="n"/>
      <c r="J117" s="153" t="n"/>
      <c r="K117" s="153" t="n"/>
      <c r="L117" s="153" t="n"/>
      <c r="M117" s="153" t="n"/>
      <c r="N117" s="153" t="n"/>
      <c r="O117" s="153" t="n"/>
      <c r="P117" s="153" t="n"/>
      <c r="Q117" s="153" t="n"/>
      <c r="R117" s="153" t="n"/>
      <c r="S117" s="153" t="n"/>
      <c r="T117" s="153" t="n"/>
      <c r="U117" s="153" t="n"/>
      <c r="V117" s="153" t="n"/>
      <c r="W117" s="153" t="n"/>
      <c r="X117" s="153" t="n"/>
      <c r="Y117" s="153" t="n"/>
      <c r="Z117" s="153" t="n"/>
    </row>
    <row r="118" ht="15.75" customHeight="1" s="154">
      <c r="G118" s="153" t="n"/>
      <c r="H118" s="153" t="n"/>
      <c r="I118" s="153" t="n"/>
      <c r="J118" s="153" t="n"/>
      <c r="K118" s="153" t="n"/>
      <c r="L118" s="153" t="n"/>
      <c r="M118" s="153" t="n"/>
      <c r="N118" s="153" t="n"/>
      <c r="O118" s="153" t="n"/>
      <c r="P118" s="153" t="n"/>
      <c r="Q118" s="153" t="n"/>
      <c r="R118" s="153" t="n"/>
      <c r="S118" s="153" t="n"/>
      <c r="T118" s="153" t="n"/>
      <c r="U118" s="153" t="n"/>
      <c r="V118" s="153" t="n"/>
      <c r="W118" s="153" t="n"/>
      <c r="X118" s="153" t="n"/>
      <c r="Y118" s="153" t="n"/>
      <c r="Z118" s="153" t="n"/>
    </row>
    <row r="119" ht="15.75" customHeight="1" s="154">
      <c r="G119" s="153" t="n"/>
      <c r="H119" s="153" t="n"/>
      <c r="I119" s="153" t="n"/>
      <c r="J119" s="153" t="n"/>
      <c r="K119" s="153" t="n"/>
      <c r="L119" s="153" t="n"/>
      <c r="M119" s="153" t="n"/>
      <c r="N119" s="153" t="n"/>
      <c r="O119" s="153" t="n"/>
      <c r="P119" s="153" t="n"/>
      <c r="Q119" s="153" t="n"/>
      <c r="R119" s="153" t="n"/>
      <c r="S119" s="153" t="n"/>
      <c r="T119" s="153" t="n"/>
      <c r="U119" s="153" t="n"/>
      <c r="V119" s="153" t="n"/>
      <c r="W119" s="153" t="n"/>
      <c r="X119" s="153" t="n"/>
      <c r="Y119" s="153" t="n"/>
      <c r="Z119" s="153" t="n"/>
    </row>
    <row r="120" ht="15.75" customHeight="1" s="154">
      <c r="G120" s="153" t="n"/>
      <c r="H120" s="153" t="n"/>
      <c r="I120" s="153" t="n"/>
      <c r="J120" s="153" t="n"/>
      <c r="K120" s="153" t="n"/>
      <c r="L120" s="153" t="n"/>
      <c r="M120" s="153" t="n"/>
      <c r="N120" s="153" t="n"/>
      <c r="O120" s="153" t="n"/>
      <c r="P120" s="153" t="n"/>
      <c r="Q120" s="153" t="n"/>
      <c r="R120" s="153" t="n"/>
      <c r="S120" s="153" t="n"/>
      <c r="T120" s="153" t="n"/>
      <c r="U120" s="153" t="n"/>
      <c r="V120" s="153" t="n"/>
      <c r="W120" s="153" t="n"/>
      <c r="X120" s="153" t="n"/>
      <c r="Y120" s="153" t="n"/>
      <c r="Z120" s="153" t="n"/>
    </row>
    <row r="121" ht="15.75" customHeight="1" s="154">
      <c r="G121" s="153" t="n"/>
      <c r="H121" s="153" t="n"/>
      <c r="I121" s="153" t="n"/>
      <c r="J121" s="153" t="n"/>
      <c r="K121" s="153" t="n"/>
      <c r="L121" s="153" t="n"/>
      <c r="M121" s="153" t="n"/>
      <c r="N121" s="153" t="n"/>
      <c r="O121" s="153" t="n"/>
      <c r="P121" s="153" t="n"/>
      <c r="Q121" s="153" t="n"/>
      <c r="R121" s="153" t="n"/>
      <c r="S121" s="153" t="n"/>
      <c r="T121" s="153" t="n"/>
      <c r="U121" s="153" t="n"/>
      <c r="V121" s="153" t="n"/>
      <c r="W121" s="153" t="n"/>
      <c r="X121" s="153" t="n"/>
      <c r="Y121" s="153" t="n"/>
      <c r="Z121" s="153" t="n"/>
    </row>
    <row r="122" ht="15.75" customHeight="1" s="154">
      <c r="G122" s="153" t="n"/>
      <c r="H122" s="153" t="n"/>
      <c r="I122" s="153" t="n"/>
      <c r="J122" s="153" t="n"/>
      <c r="K122" s="153" t="n"/>
      <c r="L122" s="153" t="n"/>
      <c r="M122" s="153" t="n"/>
      <c r="N122" s="153" t="n"/>
      <c r="O122" s="153" t="n"/>
      <c r="P122" s="153" t="n"/>
      <c r="Q122" s="153" t="n"/>
      <c r="R122" s="153" t="n"/>
      <c r="S122" s="153" t="n"/>
      <c r="T122" s="153" t="n"/>
      <c r="U122" s="153" t="n"/>
      <c r="V122" s="153" t="n"/>
      <c r="W122" s="153" t="n"/>
      <c r="X122" s="153" t="n"/>
      <c r="Y122" s="153" t="n"/>
      <c r="Z122" s="153" t="n"/>
    </row>
    <row r="123" ht="15.75" customHeight="1" s="154">
      <c r="G123" s="153" t="n"/>
      <c r="H123" s="153" t="n"/>
      <c r="I123" s="153" t="n"/>
      <c r="J123" s="153" t="n"/>
      <c r="K123" s="153" t="n"/>
      <c r="L123" s="153" t="n"/>
      <c r="M123" s="153" t="n"/>
      <c r="N123" s="153" t="n"/>
      <c r="O123" s="153" t="n"/>
      <c r="P123" s="153" t="n"/>
      <c r="Q123" s="153" t="n"/>
      <c r="R123" s="153" t="n"/>
      <c r="S123" s="153" t="n"/>
      <c r="T123" s="153" t="n"/>
      <c r="U123" s="153" t="n"/>
      <c r="V123" s="153" t="n"/>
      <c r="W123" s="153" t="n"/>
      <c r="X123" s="153" t="n"/>
      <c r="Y123" s="153" t="n"/>
      <c r="Z123" s="153" t="n"/>
    </row>
    <row r="124" ht="15.75" customHeight="1" s="154">
      <c r="G124" s="153" t="n"/>
      <c r="H124" s="153" t="n"/>
      <c r="I124" s="153" t="n"/>
      <c r="J124" s="153" t="n"/>
      <c r="K124" s="153" t="n"/>
      <c r="L124" s="153" t="n"/>
      <c r="M124" s="153" t="n"/>
      <c r="N124" s="153" t="n"/>
      <c r="O124" s="153" t="n"/>
      <c r="P124" s="153" t="n"/>
      <c r="Q124" s="153" t="n"/>
      <c r="R124" s="153" t="n"/>
      <c r="S124" s="153" t="n"/>
      <c r="T124" s="153" t="n"/>
      <c r="U124" s="153" t="n"/>
      <c r="V124" s="153" t="n"/>
      <c r="W124" s="153" t="n"/>
      <c r="X124" s="153" t="n"/>
      <c r="Y124" s="153" t="n"/>
      <c r="Z124" s="153" t="n"/>
    </row>
    <row r="125" ht="15.75" customHeight="1" s="154">
      <c r="G125" s="153" t="n"/>
      <c r="H125" s="153" t="n"/>
      <c r="I125" s="153" t="n"/>
      <c r="J125" s="153" t="n"/>
      <c r="K125" s="153" t="n"/>
      <c r="L125" s="153" t="n"/>
      <c r="M125" s="153" t="n"/>
      <c r="N125" s="153" t="n"/>
      <c r="O125" s="153" t="n"/>
      <c r="P125" s="153" t="n"/>
      <c r="Q125" s="153" t="n"/>
      <c r="R125" s="153" t="n"/>
      <c r="S125" s="153" t="n"/>
      <c r="T125" s="153" t="n"/>
      <c r="U125" s="153" t="n"/>
      <c r="V125" s="153" t="n"/>
      <c r="W125" s="153" t="n"/>
      <c r="X125" s="153" t="n"/>
      <c r="Y125" s="153" t="n"/>
      <c r="Z125" s="153" t="n"/>
    </row>
    <row r="126" ht="15.75" customHeight="1" s="154">
      <c r="G126" s="153" t="n"/>
      <c r="H126" s="153" t="n"/>
      <c r="I126" s="153" t="n"/>
      <c r="J126" s="153" t="n"/>
      <c r="K126" s="153" t="n"/>
      <c r="L126" s="153" t="n"/>
      <c r="M126" s="153" t="n"/>
      <c r="N126" s="153" t="n"/>
      <c r="O126" s="153" t="n"/>
      <c r="P126" s="153" t="n"/>
      <c r="Q126" s="153" t="n"/>
      <c r="R126" s="153" t="n"/>
      <c r="S126" s="153" t="n"/>
      <c r="T126" s="153" t="n"/>
      <c r="U126" s="153" t="n"/>
      <c r="V126" s="153" t="n"/>
      <c r="W126" s="153" t="n"/>
      <c r="X126" s="153" t="n"/>
      <c r="Y126" s="153" t="n"/>
      <c r="Z126" s="153" t="n"/>
    </row>
    <row r="127" ht="15.75" customHeight="1" s="154">
      <c r="G127" s="153" t="n"/>
      <c r="H127" s="153" t="n"/>
      <c r="I127" s="153" t="n"/>
      <c r="J127" s="153" t="n"/>
      <c r="K127" s="153" t="n"/>
      <c r="L127" s="153" t="n"/>
      <c r="M127" s="153" t="n"/>
      <c r="N127" s="153" t="n"/>
      <c r="O127" s="153" t="n"/>
      <c r="P127" s="153" t="n"/>
      <c r="Q127" s="153" t="n"/>
      <c r="R127" s="153" t="n"/>
      <c r="S127" s="153" t="n"/>
      <c r="T127" s="153" t="n"/>
      <c r="U127" s="153" t="n"/>
      <c r="V127" s="153" t="n"/>
      <c r="W127" s="153" t="n"/>
      <c r="X127" s="153" t="n"/>
      <c r="Y127" s="153" t="n"/>
      <c r="Z127" s="153" t="n"/>
    </row>
    <row r="128" ht="15.75" customHeight="1" s="154">
      <c r="G128" s="153" t="n"/>
      <c r="H128" s="153" t="n"/>
      <c r="I128" s="153" t="n"/>
      <c r="J128" s="153" t="n"/>
      <c r="K128" s="153" t="n"/>
      <c r="L128" s="153" t="n"/>
      <c r="M128" s="153" t="n"/>
      <c r="N128" s="153" t="n"/>
      <c r="O128" s="153" t="n"/>
      <c r="P128" s="153" t="n"/>
      <c r="Q128" s="153" t="n"/>
      <c r="R128" s="153" t="n"/>
      <c r="S128" s="153" t="n"/>
      <c r="T128" s="153" t="n"/>
      <c r="U128" s="153" t="n"/>
      <c r="V128" s="153" t="n"/>
      <c r="W128" s="153" t="n"/>
      <c r="X128" s="153" t="n"/>
      <c r="Y128" s="153" t="n"/>
      <c r="Z128" s="153" t="n"/>
    </row>
    <row r="129" ht="15.75" customHeight="1" s="154">
      <c r="G129" s="153" t="n"/>
      <c r="H129" s="153" t="n"/>
      <c r="I129" s="153" t="n"/>
      <c r="J129" s="153" t="n"/>
      <c r="K129" s="153" t="n"/>
      <c r="L129" s="153" t="n"/>
      <c r="M129" s="153" t="n"/>
      <c r="N129" s="153" t="n"/>
      <c r="O129" s="153" t="n"/>
      <c r="P129" s="153" t="n"/>
      <c r="Q129" s="153" t="n"/>
      <c r="R129" s="153" t="n"/>
      <c r="S129" s="153" t="n"/>
      <c r="T129" s="153" t="n"/>
      <c r="U129" s="153" t="n"/>
      <c r="V129" s="153" t="n"/>
      <c r="W129" s="153" t="n"/>
      <c r="X129" s="153" t="n"/>
      <c r="Y129" s="153" t="n"/>
      <c r="Z129" s="153" t="n"/>
    </row>
    <row r="130" ht="15.75" customHeight="1" s="154">
      <c r="G130" s="153" t="n"/>
      <c r="H130" s="153" t="n"/>
      <c r="I130" s="153" t="n"/>
      <c r="J130" s="153" t="n"/>
      <c r="K130" s="153" t="n"/>
      <c r="L130" s="153" t="n"/>
      <c r="M130" s="153" t="n"/>
      <c r="N130" s="153" t="n"/>
      <c r="O130" s="153" t="n"/>
      <c r="P130" s="153" t="n"/>
      <c r="Q130" s="153" t="n"/>
      <c r="R130" s="153" t="n"/>
      <c r="S130" s="153" t="n"/>
      <c r="T130" s="153" t="n"/>
      <c r="U130" s="153" t="n"/>
      <c r="V130" s="153" t="n"/>
      <c r="W130" s="153" t="n"/>
      <c r="X130" s="153" t="n"/>
      <c r="Y130" s="153" t="n"/>
      <c r="Z130" s="153" t="n"/>
    </row>
    <row r="131" ht="15.75" customHeight="1" s="154">
      <c r="G131" s="153" t="n"/>
      <c r="H131" s="153" t="n"/>
      <c r="I131" s="153" t="n"/>
      <c r="J131" s="153" t="n"/>
      <c r="K131" s="153" t="n"/>
      <c r="L131" s="153" t="n"/>
      <c r="M131" s="153" t="n"/>
      <c r="N131" s="153" t="n"/>
      <c r="O131" s="153" t="n"/>
      <c r="P131" s="153" t="n"/>
      <c r="Q131" s="153" t="n"/>
      <c r="R131" s="153" t="n"/>
      <c r="S131" s="153" t="n"/>
      <c r="T131" s="153" t="n"/>
      <c r="U131" s="153" t="n"/>
      <c r="V131" s="153" t="n"/>
      <c r="W131" s="153" t="n"/>
      <c r="X131" s="153" t="n"/>
      <c r="Y131" s="153" t="n"/>
      <c r="Z131" s="153" t="n"/>
    </row>
    <row r="132" ht="15.75" customHeight="1" s="154">
      <c r="G132" s="153" t="n"/>
      <c r="H132" s="153" t="n"/>
      <c r="I132" s="153" t="n"/>
      <c r="J132" s="153" t="n"/>
      <c r="K132" s="153" t="n"/>
      <c r="L132" s="153" t="n"/>
      <c r="M132" s="153" t="n"/>
      <c r="N132" s="153" t="n"/>
      <c r="O132" s="153" t="n"/>
      <c r="P132" s="153" t="n"/>
      <c r="Q132" s="153" t="n"/>
      <c r="R132" s="153" t="n"/>
      <c r="S132" s="153" t="n"/>
      <c r="T132" s="153" t="n"/>
      <c r="U132" s="153" t="n"/>
      <c r="V132" s="153" t="n"/>
      <c r="W132" s="153" t="n"/>
      <c r="X132" s="153" t="n"/>
      <c r="Y132" s="153" t="n"/>
      <c r="Z132" s="153" t="n"/>
    </row>
    <row r="133" ht="15.75" customHeight="1" s="154">
      <c r="G133" s="153" t="n"/>
      <c r="H133" s="153" t="n"/>
      <c r="I133" s="153" t="n"/>
      <c r="J133" s="153" t="n"/>
      <c r="K133" s="153" t="n"/>
      <c r="L133" s="153" t="n"/>
      <c r="M133" s="153" t="n"/>
      <c r="N133" s="153" t="n"/>
      <c r="O133" s="153" t="n"/>
      <c r="P133" s="153" t="n"/>
      <c r="Q133" s="153" t="n"/>
      <c r="R133" s="153" t="n"/>
      <c r="S133" s="153" t="n"/>
      <c r="T133" s="153" t="n"/>
      <c r="U133" s="153" t="n"/>
      <c r="V133" s="153" t="n"/>
      <c r="W133" s="153" t="n"/>
      <c r="X133" s="153" t="n"/>
      <c r="Y133" s="153" t="n"/>
      <c r="Z133" s="153" t="n"/>
    </row>
    <row r="134" ht="15.75" customHeight="1" s="154">
      <c r="G134" s="153" t="n"/>
      <c r="H134" s="153" t="n"/>
      <c r="I134" s="153" t="n"/>
      <c r="J134" s="153" t="n"/>
      <c r="K134" s="153" t="n"/>
      <c r="L134" s="153" t="n"/>
      <c r="M134" s="153" t="n"/>
      <c r="N134" s="153" t="n"/>
      <c r="O134" s="153" t="n"/>
      <c r="P134" s="153" t="n"/>
      <c r="Q134" s="153" t="n"/>
      <c r="R134" s="153" t="n"/>
      <c r="S134" s="153" t="n"/>
      <c r="T134" s="153" t="n"/>
      <c r="U134" s="153" t="n"/>
      <c r="V134" s="153" t="n"/>
      <c r="W134" s="153" t="n"/>
      <c r="X134" s="153" t="n"/>
      <c r="Y134" s="153" t="n"/>
      <c r="Z134" s="153" t="n"/>
    </row>
    <row r="135" ht="15.75" customHeight="1" s="154">
      <c r="G135" s="153" t="n"/>
      <c r="H135" s="153" t="n"/>
      <c r="I135" s="153" t="n"/>
      <c r="J135" s="153" t="n"/>
      <c r="K135" s="153" t="n"/>
      <c r="L135" s="153" t="n"/>
      <c r="M135" s="153" t="n"/>
      <c r="N135" s="153" t="n"/>
      <c r="O135" s="153" t="n"/>
      <c r="P135" s="153" t="n"/>
      <c r="Q135" s="153" t="n"/>
      <c r="R135" s="153" t="n"/>
      <c r="S135" s="153" t="n"/>
      <c r="T135" s="153" t="n"/>
      <c r="U135" s="153" t="n"/>
      <c r="V135" s="153" t="n"/>
      <c r="W135" s="153" t="n"/>
      <c r="X135" s="153" t="n"/>
      <c r="Y135" s="153" t="n"/>
      <c r="Z135" s="153" t="n"/>
    </row>
    <row r="136" ht="15.75" customHeight="1" s="154">
      <c r="G136" s="153" t="n"/>
      <c r="H136" s="153" t="n"/>
      <c r="I136" s="153" t="n"/>
      <c r="J136" s="153" t="n"/>
      <c r="K136" s="153" t="n"/>
      <c r="L136" s="153" t="n"/>
      <c r="M136" s="153" t="n"/>
      <c r="N136" s="153" t="n"/>
      <c r="O136" s="153" t="n"/>
      <c r="P136" s="153" t="n"/>
      <c r="Q136" s="153" t="n"/>
      <c r="R136" s="153" t="n"/>
      <c r="S136" s="153" t="n"/>
      <c r="T136" s="153" t="n"/>
      <c r="U136" s="153" t="n"/>
      <c r="V136" s="153" t="n"/>
      <c r="W136" s="153" t="n"/>
      <c r="X136" s="153" t="n"/>
      <c r="Y136" s="153" t="n"/>
      <c r="Z136" s="153" t="n"/>
    </row>
    <row r="137" ht="15.75" customHeight="1" s="154">
      <c r="G137" s="153" t="n"/>
      <c r="H137" s="153" t="n"/>
      <c r="I137" s="153" t="n"/>
      <c r="J137" s="153" t="n"/>
      <c r="K137" s="153" t="n"/>
      <c r="L137" s="153" t="n"/>
      <c r="M137" s="153" t="n"/>
      <c r="N137" s="153" t="n"/>
      <c r="O137" s="153" t="n"/>
      <c r="P137" s="153" t="n"/>
      <c r="Q137" s="153" t="n"/>
      <c r="R137" s="153" t="n"/>
      <c r="S137" s="153" t="n"/>
      <c r="T137" s="153" t="n"/>
      <c r="U137" s="153" t="n"/>
      <c r="V137" s="153" t="n"/>
      <c r="W137" s="153" t="n"/>
      <c r="X137" s="153" t="n"/>
      <c r="Y137" s="153" t="n"/>
      <c r="Z137" s="153" t="n"/>
    </row>
    <row r="138" ht="15.75" customHeight="1" s="154">
      <c r="G138" s="153" t="n"/>
      <c r="H138" s="153" t="n"/>
      <c r="I138" s="153" t="n"/>
      <c r="J138" s="153" t="n"/>
      <c r="K138" s="153" t="n"/>
      <c r="L138" s="153" t="n"/>
      <c r="M138" s="153" t="n"/>
      <c r="N138" s="153" t="n"/>
      <c r="O138" s="153" t="n"/>
      <c r="P138" s="153" t="n"/>
      <c r="Q138" s="153" t="n"/>
      <c r="R138" s="153" t="n"/>
      <c r="S138" s="153" t="n"/>
      <c r="T138" s="153" t="n"/>
      <c r="U138" s="153" t="n"/>
      <c r="V138" s="153" t="n"/>
      <c r="W138" s="153" t="n"/>
      <c r="X138" s="153" t="n"/>
      <c r="Y138" s="153" t="n"/>
      <c r="Z138" s="153" t="n"/>
    </row>
    <row r="139" ht="15.75" customHeight="1" s="154">
      <c r="G139" s="153" t="n"/>
      <c r="H139" s="153" t="n"/>
      <c r="I139" s="153" t="n"/>
      <c r="J139" s="153" t="n"/>
      <c r="K139" s="153" t="n"/>
      <c r="L139" s="153" t="n"/>
      <c r="M139" s="153" t="n"/>
      <c r="N139" s="153" t="n"/>
      <c r="O139" s="153" t="n"/>
      <c r="P139" s="153" t="n"/>
      <c r="Q139" s="153" t="n"/>
      <c r="R139" s="153" t="n"/>
      <c r="S139" s="153" t="n"/>
      <c r="T139" s="153" t="n"/>
      <c r="U139" s="153" t="n"/>
      <c r="V139" s="153" t="n"/>
      <c r="W139" s="153" t="n"/>
      <c r="X139" s="153" t="n"/>
      <c r="Y139" s="153" t="n"/>
      <c r="Z139" s="153" t="n"/>
    </row>
    <row r="140" ht="15.75" customHeight="1" s="154">
      <c r="G140" s="153" t="n"/>
      <c r="H140" s="153" t="n"/>
      <c r="I140" s="153" t="n"/>
      <c r="J140" s="153" t="n"/>
      <c r="K140" s="153" t="n"/>
      <c r="L140" s="153" t="n"/>
      <c r="M140" s="153" t="n"/>
      <c r="N140" s="153" t="n"/>
      <c r="O140" s="153" t="n"/>
      <c r="P140" s="153" t="n"/>
      <c r="Q140" s="153" t="n"/>
      <c r="R140" s="153" t="n"/>
      <c r="S140" s="153" t="n"/>
      <c r="T140" s="153" t="n"/>
      <c r="U140" s="153" t="n"/>
      <c r="V140" s="153" t="n"/>
      <c r="W140" s="153" t="n"/>
      <c r="X140" s="153" t="n"/>
      <c r="Y140" s="153" t="n"/>
      <c r="Z140" s="153" t="n"/>
    </row>
    <row r="141" ht="15.75" customHeight="1" s="154">
      <c r="G141" s="153" t="n"/>
      <c r="H141" s="153" t="n"/>
      <c r="I141" s="153" t="n"/>
      <c r="J141" s="153" t="n"/>
      <c r="K141" s="153" t="n"/>
      <c r="L141" s="153" t="n"/>
      <c r="M141" s="153" t="n"/>
      <c r="N141" s="153" t="n"/>
      <c r="O141" s="153" t="n"/>
      <c r="P141" s="153" t="n"/>
      <c r="Q141" s="153" t="n"/>
      <c r="R141" s="153" t="n"/>
      <c r="S141" s="153" t="n"/>
      <c r="T141" s="153" t="n"/>
      <c r="U141" s="153" t="n"/>
      <c r="V141" s="153" t="n"/>
      <c r="W141" s="153" t="n"/>
      <c r="X141" s="153" t="n"/>
      <c r="Y141" s="153" t="n"/>
      <c r="Z141" s="153" t="n"/>
    </row>
    <row r="142" ht="15.75" customHeight="1" s="154">
      <c r="G142" s="153" t="n"/>
      <c r="H142" s="153" t="n"/>
      <c r="I142" s="153" t="n"/>
      <c r="J142" s="153" t="n"/>
      <c r="K142" s="153" t="n"/>
      <c r="L142" s="153" t="n"/>
      <c r="M142" s="153" t="n"/>
      <c r="N142" s="153" t="n"/>
      <c r="O142" s="153" t="n"/>
      <c r="P142" s="153" t="n"/>
      <c r="Q142" s="153" t="n"/>
      <c r="R142" s="153" t="n"/>
      <c r="S142" s="153" t="n"/>
      <c r="T142" s="153" t="n"/>
      <c r="U142" s="153" t="n"/>
      <c r="V142" s="153" t="n"/>
      <c r="W142" s="153" t="n"/>
      <c r="X142" s="153" t="n"/>
      <c r="Y142" s="153" t="n"/>
      <c r="Z142" s="153" t="n"/>
    </row>
    <row r="143" ht="15.75" customHeight="1" s="154">
      <c r="G143" s="153" t="n"/>
      <c r="H143" s="153" t="n"/>
      <c r="I143" s="153" t="n"/>
      <c r="J143" s="153" t="n"/>
      <c r="K143" s="153" t="n"/>
      <c r="L143" s="153" t="n"/>
      <c r="M143" s="153" t="n"/>
      <c r="N143" s="153" t="n"/>
      <c r="O143" s="153" t="n"/>
      <c r="P143" s="153" t="n"/>
      <c r="Q143" s="153" t="n"/>
      <c r="R143" s="153" t="n"/>
      <c r="S143" s="153" t="n"/>
      <c r="T143" s="153" t="n"/>
      <c r="U143" s="153" t="n"/>
      <c r="V143" s="153" t="n"/>
      <c r="W143" s="153" t="n"/>
      <c r="X143" s="153" t="n"/>
      <c r="Y143" s="153" t="n"/>
      <c r="Z143" s="153" t="n"/>
    </row>
    <row r="144" ht="15.75" customHeight="1" s="154">
      <c r="G144" s="153" t="n"/>
      <c r="H144" s="153" t="n"/>
      <c r="I144" s="153" t="n"/>
      <c r="J144" s="153" t="n"/>
      <c r="K144" s="153" t="n"/>
      <c r="L144" s="153" t="n"/>
      <c r="M144" s="153" t="n"/>
      <c r="N144" s="153" t="n"/>
      <c r="O144" s="153" t="n"/>
      <c r="P144" s="153" t="n"/>
      <c r="Q144" s="153" t="n"/>
      <c r="R144" s="153" t="n"/>
      <c r="S144" s="153" t="n"/>
      <c r="T144" s="153" t="n"/>
      <c r="U144" s="153" t="n"/>
      <c r="V144" s="153" t="n"/>
      <c r="W144" s="153" t="n"/>
      <c r="X144" s="153" t="n"/>
      <c r="Y144" s="153" t="n"/>
      <c r="Z144" s="153" t="n"/>
    </row>
    <row r="145" ht="15.75" customHeight="1" s="154">
      <c r="G145" s="153" t="n"/>
      <c r="H145" s="153" t="n"/>
      <c r="I145" s="153" t="n"/>
      <c r="J145" s="153" t="n"/>
      <c r="K145" s="153" t="n"/>
      <c r="L145" s="153" t="n"/>
      <c r="M145" s="153" t="n"/>
      <c r="N145" s="153" t="n"/>
      <c r="O145" s="153" t="n"/>
      <c r="P145" s="153" t="n"/>
      <c r="Q145" s="153" t="n"/>
      <c r="R145" s="153" t="n"/>
      <c r="S145" s="153" t="n"/>
      <c r="T145" s="153" t="n"/>
      <c r="U145" s="153" t="n"/>
      <c r="V145" s="153" t="n"/>
      <c r="W145" s="153" t="n"/>
      <c r="X145" s="153" t="n"/>
      <c r="Y145" s="153" t="n"/>
      <c r="Z145" s="153" t="n"/>
    </row>
    <row r="146" ht="15.75" customHeight="1" s="154">
      <c r="G146" s="153" t="n"/>
      <c r="H146" s="153" t="n"/>
      <c r="I146" s="153" t="n"/>
      <c r="J146" s="153" t="n"/>
      <c r="K146" s="153" t="n"/>
      <c r="L146" s="153" t="n"/>
      <c r="M146" s="153" t="n"/>
      <c r="N146" s="153" t="n"/>
      <c r="O146" s="153" t="n"/>
      <c r="P146" s="153" t="n"/>
      <c r="Q146" s="153" t="n"/>
      <c r="R146" s="153" t="n"/>
      <c r="S146" s="153" t="n"/>
      <c r="T146" s="153" t="n"/>
      <c r="U146" s="153" t="n"/>
      <c r="V146" s="153" t="n"/>
      <c r="W146" s="153" t="n"/>
      <c r="X146" s="153" t="n"/>
      <c r="Y146" s="153" t="n"/>
      <c r="Z146" s="153" t="n"/>
    </row>
    <row r="147" ht="15.75" customHeight="1" s="154">
      <c r="G147" s="153" t="n"/>
      <c r="H147" s="153" t="n"/>
      <c r="I147" s="153" t="n"/>
      <c r="J147" s="153" t="n"/>
      <c r="K147" s="153" t="n"/>
      <c r="L147" s="153" t="n"/>
      <c r="M147" s="153" t="n"/>
      <c r="N147" s="153" t="n"/>
      <c r="O147" s="153" t="n"/>
      <c r="P147" s="153" t="n"/>
      <c r="Q147" s="153" t="n"/>
      <c r="R147" s="153" t="n"/>
      <c r="S147" s="153" t="n"/>
      <c r="T147" s="153" t="n"/>
      <c r="U147" s="153" t="n"/>
      <c r="V147" s="153" t="n"/>
      <c r="W147" s="153" t="n"/>
      <c r="X147" s="153" t="n"/>
      <c r="Y147" s="153" t="n"/>
      <c r="Z147" s="153" t="n"/>
    </row>
    <row r="148" ht="15.75" customHeight="1" s="154">
      <c r="G148" s="153" t="n"/>
      <c r="H148" s="153" t="n"/>
      <c r="I148" s="153" t="n"/>
      <c r="J148" s="153" t="n"/>
      <c r="K148" s="153" t="n"/>
      <c r="L148" s="153" t="n"/>
      <c r="M148" s="153" t="n"/>
      <c r="N148" s="153" t="n"/>
      <c r="O148" s="153" t="n"/>
      <c r="P148" s="153" t="n"/>
      <c r="Q148" s="153" t="n"/>
      <c r="R148" s="153" t="n"/>
      <c r="S148" s="153" t="n"/>
      <c r="T148" s="153" t="n"/>
      <c r="U148" s="153" t="n"/>
      <c r="V148" s="153" t="n"/>
      <c r="W148" s="153" t="n"/>
      <c r="X148" s="153" t="n"/>
      <c r="Y148" s="153" t="n"/>
      <c r="Z148" s="153" t="n"/>
    </row>
    <row r="149" ht="15.75" customHeight="1" s="154">
      <c r="G149" s="153" t="n"/>
      <c r="H149" s="153" t="n"/>
      <c r="I149" s="153" t="n"/>
      <c r="J149" s="153" t="n"/>
      <c r="K149" s="153" t="n"/>
      <c r="L149" s="153" t="n"/>
      <c r="M149" s="153" t="n"/>
      <c r="N149" s="153" t="n"/>
      <c r="O149" s="153" t="n"/>
      <c r="P149" s="153" t="n"/>
      <c r="Q149" s="153" t="n"/>
      <c r="R149" s="153" t="n"/>
      <c r="S149" s="153" t="n"/>
      <c r="T149" s="153" t="n"/>
      <c r="U149" s="153" t="n"/>
      <c r="V149" s="153" t="n"/>
      <c r="W149" s="153" t="n"/>
      <c r="X149" s="153" t="n"/>
      <c r="Y149" s="153" t="n"/>
      <c r="Z149" s="153" t="n"/>
    </row>
    <row r="150" ht="15.75" customHeight="1" s="154">
      <c r="G150" s="153" t="n"/>
      <c r="H150" s="153" t="n"/>
      <c r="I150" s="153" t="n"/>
      <c r="J150" s="153" t="n"/>
      <c r="K150" s="153" t="n"/>
      <c r="L150" s="153" t="n"/>
      <c r="M150" s="153" t="n"/>
      <c r="N150" s="153" t="n"/>
      <c r="O150" s="153" t="n"/>
      <c r="P150" s="153" t="n"/>
      <c r="Q150" s="153" t="n"/>
      <c r="R150" s="153" t="n"/>
      <c r="S150" s="153" t="n"/>
      <c r="T150" s="153" t="n"/>
      <c r="U150" s="153" t="n"/>
      <c r="V150" s="153" t="n"/>
      <c r="W150" s="153" t="n"/>
      <c r="X150" s="153" t="n"/>
      <c r="Y150" s="153" t="n"/>
      <c r="Z150" s="153" t="n"/>
    </row>
    <row r="151" ht="15.75" customHeight="1" s="154">
      <c r="G151" s="153" t="n"/>
      <c r="H151" s="153" t="n"/>
      <c r="I151" s="153" t="n"/>
      <c r="J151" s="153" t="n"/>
      <c r="K151" s="153" t="n"/>
      <c r="L151" s="153" t="n"/>
      <c r="M151" s="153" t="n"/>
      <c r="N151" s="153" t="n"/>
      <c r="O151" s="153" t="n"/>
      <c r="P151" s="153" t="n"/>
      <c r="Q151" s="153" t="n"/>
      <c r="R151" s="153" t="n"/>
      <c r="S151" s="153" t="n"/>
      <c r="T151" s="153" t="n"/>
      <c r="U151" s="153" t="n"/>
      <c r="V151" s="153" t="n"/>
      <c r="W151" s="153" t="n"/>
      <c r="X151" s="153" t="n"/>
      <c r="Y151" s="153" t="n"/>
      <c r="Z151" s="153" t="n"/>
    </row>
    <row r="152" ht="15.75" customHeight="1" s="154">
      <c r="G152" s="153" t="n"/>
      <c r="H152" s="153" t="n"/>
      <c r="I152" s="153" t="n"/>
      <c r="J152" s="153" t="n"/>
      <c r="K152" s="153" t="n"/>
      <c r="L152" s="153" t="n"/>
      <c r="M152" s="153" t="n"/>
      <c r="N152" s="153" t="n"/>
      <c r="O152" s="153" t="n"/>
      <c r="P152" s="153" t="n"/>
      <c r="Q152" s="153" t="n"/>
      <c r="R152" s="153" t="n"/>
      <c r="S152" s="153" t="n"/>
      <c r="T152" s="153" t="n"/>
      <c r="U152" s="153" t="n"/>
      <c r="V152" s="153" t="n"/>
      <c r="W152" s="153" t="n"/>
      <c r="X152" s="153" t="n"/>
      <c r="Y152" s="153" t="n"/>
      <c r="Z152" s="153" t="n"/>
    </row>
    <row r="153" ht="15.75" customHeight="1" s="154">
      <c r="G153" s="153" t="n"/>
      <c r="H153" s="153" t="n"/>
      <c r="I153" s="153" t="n"/>
      <c r="J153" s="153" t="n"/>
      <c r="K153" s="153" t="n"/>
      <c r="L153" s="153" t="n"/>
      <c r="M153" s="153" t="n"/>
      <c r="N153" s="153" t="n"/>
      <c r="O153" s="153" t="n"/>
      <c r="P153" s="153" t="n"/>
      <c r="Q153" s="153" t="n"/>
      <c r="R153" s="153" t="n"/>
      <c r="S153" s="153" t="n"/>
      <c r="T153" s="153" t="n"/>
      <c r="U153" s="153" t="n"/>
      <c r="V153" s="153" t="n"/>
      <c r="W153" s="153" t="n"/>
      <c r="X153" s="153" t="n"/>
      <c r="Y153" s="153" t="n"/>
      <c r="Z153" s="153" t="n"/>
    </row>
    <row r="154" ht="15.75" customHeight="1" s="154">
      <c r="G154" s="153" t="n"/>
      <c r="H154" s="153" t="n"/>
      <c r="I154" s="153" t="n"/>
      <c r="J154" s="153" t="n"/>
      <c r="K154" s="153" t="n"/>
      <c r="L154" s="153" t="n"/>
      <c r="M154" s="153" t="n"/>
      <c r="N154" s="153" t="n"/>
      <c r="O154" s="153" t="n"/>
      <c r="P154" s="153" t="n"/>
      <c r="Q154" s="153" t="n"/>
      <c r="R154" s="153" t="n"/>
      <c r="S154" s="153" t="n"/>
      <c r="T154" s="153" t="n"/>
      <c r="U154" s="153" t="n"/>
      <c r="V154" s="153" t="n"/>
      <c r="W154" s="153" t="n"/>
      <c r="X154" s="153" t="n"/>
      <c r="Y154" s="153" t="n"/>
      <c r="Z154" s="153" t="n"/>
    </row>
    <row r="155" ht="15.75" customHeight="1" s="154">
      <c r="G155" s="153" t="n"/>
      <c r="H155" s="153" t="n"/>
      <c r="I155" s="153" t="n"/>
      <c r="J155" s="153" t="n"/>
      <c r="K155" s="153" t="n"/>
      <c r="L155" s="153" t="n"/>
      <c r="M155" s="153" t="n"/>
      <c r="N155" s="153" t="n"/>
      <c r="O155" s="153" t="n"/>
      <c r="P155" s="153" t="n"/>
      <c r="Q155" s="153" t="n"/>
      <c r="R155" s="153" t="n"/>
      <c r="S155" s="153" t="n"/>
      <c r="T155" s="153" t="n"/>
      <c r="U155" s="153" t="n"/>
      <c r="V155" s="153" t="n"/>
      <c r="W155" s="153" t="n"/>
      <c r="X155" s="153" t="n"/>
      <c r="Y155" s="153" t="n"/>
      <c r="Z155" s="153" t="n"/>
    </row>
    <row r="156" ht="15.75" customHeight="1" s="154">
      <c r="G156" s="153" t="n"/>
      <c r="H156" s="153" t="n"/>
      <c r="I156" s="153" t="n"/>
      <c r="J156" s="153" t="n"/>
      <c r="K156" s="153" t="n"/>
      <c r="L156" s="153" t="n"/>
      <c r="M156" s="153" t="n"/>
      <c r="N156" s="153" t="n"/>
      <c r="O156" s="153" t="n"/>
      <c r="P156" s="153" t="n"/>
      <c r="Q156" s="153" t="n"/>
      <c r="R156" s="153" t="n"/>
      <c r="S156" s="153" t="n"/>
      <c r="T156" s="153" t="n"/>
      <c r="U156" s="153" t="n"/>
      <c r="V156" s="153" t="n"/>
      <c r="W156" s="153" t="n"/>
      <c r="X156" s="153" t="n"/>
      <c r="Y156" s="153" t="n"/>
      <c r="Z156" s="153" t="n"/>
    </row>
    <row r="157" ht="15.75" customHeight="1" s="154">
      <c r="G157" s="153" t="n"/>
      <c r="H157" s="153" t="n"/>
      <c r="I157" s="153" t="n"/>
      <c r="J157" s="153" t="n"/>
      <c r="K157" s="153" t="n"/>
      <c r="L157" s="153" t="n"/>
      <c r="M157" s="153" t="n"/>
      <c r="N157" s="153" t="n"/>
      <c r="O157" s="153" t="n"/>
      <c r="P157" s="153" t="n"/>
      <c r="Q157" s="153" t="n"/>
      <c r="R157" s="153" t="n"/>
      <c r="S157" s="153" t="n"/>
      <c r="T157" s="153" t="n"/>
      <c r="U157" s="153" t="n"/>
      <c r="V157" s="153" t="n"/>
      <c r="W157" s="153" t="n"/>
      <c r="X157" s="153" t="n"/>
      <c r="Y157" s="153" t="n"/>
      <c r="Z157" s="153" t="n"/>
    </row>
    <row r="158" ht="15.75" customHeight="1" s="154">
      <c r="G158" s="153" t="n"/>
      <c r="H158" s="153" t="n"/>
      <c r="I158" s="153" t="n"/>
      <c r="J158" s="153" t="n"/>
      <c r="K158" s="153" t="n"/>
      <c r="L158" s="153" t="n"/>
      <c r="M158" s="153" t="n"/>
      <c r="N158" s="153" t="n"/>
      <c r="O158" s="153" t="n"/>
      <c r="P158" s="153" t="n"/>
      <c r="Q158" s="153" t="n"/>
      <c r="R158" s="153" t="n"/>
      <c r="S158" s="153" t="n"/>
      <c r="T158" s="153" t="n"/>
      <c r="U158" s="153" t="n"/>
      <c r="V158" s="153" t="n"/>
      <c r="W158" s="153" t="n"/>
      <c r="X158" s="153" t="n"/>
      <c r="Y158" s="153" t="n"/>
      <c r="Z158" s="153" t="n"/>
    </row>
    <row r="159" ht="15.75" customHeight="1" s="154">
      <c r="G159" s="153" t="n"/>
      <c r="H159" s="153" t="n"/>
      <c r="I159" s="153" t="n"/>
      <c r="J159" s="153" t="n"/>
      <c r="K159" s="153" t="n"/>
      <c r="L159" s="153" t="n"/>
      <c r="M159" s="153" t="n"/>
      <c r="N159" s="153" t="n"/>
      <c r="O159" s="153" t="n"/>
      <c r="P159" s="153" t="n"/>
      <c r="Q159" s="153" t="n"/>
      <c r="R159" s="153" t="n"/>
      <c r="S159" s="153" t="n"/>
      <c r="T159" s="153" t="n"/>
      <c r="U159" s="153" t="n"/>
      <c r="V159" s="153" t="n"/>
      <c r="W159" s="153" t="n"/>
      <c r="X159" s="153" t="n"/>
      <c r="Y159" s="153" t="n"/>
      <c r="Z159" s="153" t="n"/>
    </row>
    <row r="160" ht="15.75" customHeight="1" s="154">
      <c r="G160" s="153" t="n"/>
      <c r="H160" s="153" t="n"/>
      <c r="I160" s="153" t="n"/>
      <c r="J160" s="153" t="n"/>
      <c r="K160" s="153" t="n"/>
      <c r="L160" s="153" t="n"/>
      <c r="M160" s="153" t="n"/>
      <c r="N160" s="153" t="n"/>
      <c r="O160" s="153" t="n"/>
      <c r="P160" s="153" t="n"/>
      <c r="Q160" s="153" t="n"/>
      <c r="R160" s="153" t="n"/>
      <c r="S160" s="153" t="n"/>
      <c r="T160" s="153" t="n"/>
      <c r="U160" s="153" t="n"/>
      <c r="V160" s="153" t="n"/>
      <c r="W160" s="153" t="n"/>
      <c r="X160" s="153" t="n"/>
      <c r="Y160" s="153" t="n"/>
      <c r="Z160" s="153" t="n"/>
    </row>
    <row r="161" ht="15.75" customHeight="1" s="154">
      <c r="G161" s="153" t="n"/>
      <c r="H161" s="153" t="n"/>
      <c r="I161" s="153" t="n"/>
      <c r="J161" s="153" t="n"/>
      <c r="K161" s="153" t="n"/>
      <c r="L161" s="153" t="n"/>
      <c r="M161" s="153" t="n"/>
      <c r="N161" s="153" t="n"/>
      <c r="O161" s="153" t="n"/>
      <c r="P161" s="153" t="n"/>
      <c r="Q161" s="153" t="n"/>
      <c r="R161" s="153" t="n"/>
      <c r="S161" s="153" t="n"/>
      <c r="T161" s="153" t="n"/>
      <c r="U161" s="153" t="n"/>
      <c r="V161" s="153" t="n"/>
      <c r="W161" s="153" t="n"/>
      <c r="X161" s="153" t="n"/>
      <c r="Y161" s="153" t="n"/>
      <c r="Z161" s="153" t="n"/>
    </row>
    <row r="162" ht="15.75" customHeight="1" s="154">
      <c r="G162" s="153" t="n"/>
      <c r="H162" s="153" t="n"/>
      <c r="I162" s="153" t="n"/>
      <c r="J162" s="153" t="n"/>
      <c r="K162" s="153" t="n"/>
      <c r="L162" s="153" t="n"/>
      <c r="M162" s="153" t="n"/>
      <c r="N162" s="153" t="n"/>
      <c r="O162" s="153" t="n"/>
      <c r="P162" s="153" t="n"/>
      <c r="Q162" s="153" t="n"/>
      <c r="R162" s="153" t="n"/>
      <c r="S162" s="153" t="n"/>
      <c r="T162" s="153" t="n"/>
      <c r="U162" s="153" t="n"/>
      <c r="V162" s="153" t="n"/>
      <c r="W162" s="153" t="n"/>
      <c r="X162" s="153" t="n"/>
      <c r="Y162" s="153" t="n"/>
      <c r="Z162" s="153" t="n"/>
    </row>
    <row r="163" ht="15.75" customHeight="1" s="154">
      <c r="G163" s="153" t="n"/>
      <c r="H163" s="153" t="n"/>
      <c r="I163" s="153" t="n"/>
      <c r="J163" s="153" t="n"/>
      <c r="K163" s="153" t="n"/>
      <c r="L163" s="153" t="n"/>
      <c r="M163" s="153" t="n"/>
      <c r="N163" s="153" t="n"/>
      <c r="O163" s="153" t="n"/>
      <c r="P163" s="153" t="n"/>
      <c r="Q163" s="153" t="n"/>
      <c r="R163" s="153" t="n"/>
      <c r="S163" s="153" t="n"/>
      <c r="T163" s="153" t="n"/>
      <c r="U163" s="153" t="n"/>
      <c r="V163" s="153" t="n"/>
      <c r="W163" s="153" t="n"/>
      <c r="X163" s="153" t="n"/>
      <c r="Y163" s="153" t="n"/>
      <c r="Z163" s="153" t="n"/>
    </row>
    <row r="164" ht="15.75" customHeight="1" s="154">
      <c r="G164" s="153" t="n"/>
      <c r="H164" s="153" t="n"/>
      <c r="I164" s="153" t="n"/>
      <c r="J164" s="153" t="n"/>
      <c r="K164" s="153" t="n"/>
      <c r="L164" s="153" t="n"/>
      <c r="M164" s="153" t="n"/>
      <c r="N164" s="153" t="n"/>
      <c r="O164" s="153" t="n"/>
      <c r="P164" s="153" t="n"/>
      <c r="Q164" s="153" t="n"/>
      <c r="R164" s="153" t="n"/>
      <c r="S164" s="153" t="n"/>
      <c r="T164" s="153" t="n"/>
      <c r="U164" s="153" t="n"/>
      <c r="V164" s="153" t="n"/>
      <c r="W164" s="153" t="n"/>
      <c r="X164" s="153" t="n"/>
      <c r="Y164" s="153" t="n"/>
      <c r="Z164" s="153" t="n"/>
    </row>
    <row r="165" ht="15.75" customHeight="1" s="154">
      <c r="G165" s="153" t="n"/>
      <c r="H165" s="153" t="n"/>
      <c r="I165" s="153" t="n"/>
      <c r="J165" s="153" t="n"/>
      <c r="K165" s="153" t="n"/>
      <c r="L165" s="153" t="n"/>
      <c r="M165" s="153" t="n"/>
      <c r="N165" s="153" t="n"/>
      <c r="O165" s="153" t="n"/>
      <c r="P165" s="153" t="n"/>
      <c r="Q165" s="153" t="n"/>
      <c r="R165" s="153" t="n"/>
      <c r="S165" s="153" t="n"/>
      <c r="T165" s="153" t="n"/>
      <c r="U165" s="153" t="n"/>
      <c r="V165" s="153" t="n"/>
      <c r="W165" s="153" t="n"/>
      <c r="X165" s="153" t="n"/>
      <c r="Y165" s="153" t="n"/>
      <c r="Z165" s="153" t="n"/>
    </row>
    <row r="166" ht="15.75" customHeight="1" s="154">
      <c r="G166" s="153" t="n"/>
      <c r="H166" s="153" t="n"/>
      <c r="I166" s="153" t="n"/>
      <c r="J166" s="153" t="n"/>
      <c r="K166" s="153" t="n"/>
      <c r="L166" s="153" t="n"/>
      <c r="M166" s="153" t="n"/>
      <c r="N166" s="153" t="n"/>
      <c r="O166" s="153" t="n"/>
      <c r="P166" s="153" t="n"/>
      <c r="Q166" s="153" t="n"/>
      <c r="R166" s="153" t="n"/>
      <c r="S166" s="153" t="n"/>
      <c r="T166" s="153" t="n"/>
      <c r="U166" s="153" t="n"/>
      <c r="V166" s="153" t="n"/>
      <c r="W166" s="153" t="n"/>
      <c r="X166" s="153" t="n"/>
      <c r="Y166" s="153" t="n"/>
      <c r="Z166" s="153" t="n"/>
    </row>
    <row r="167" ht="15.75" customHeight="1" s="154">
      <c r="G167" s="153" t="n"/>
      <c r="H167" s="153" t="n"/>
      <c r="I167" s="153" t="n"/>
      <c r="J167" s="153" t="n"/>
      <c r="K167" s="153" t="n"/>
      <c r="L167" s="153" t="n"/>
      <c r="M167" s="153" t="n"/>
      <c r="N167" s="153" t="n"/>
      <c r="O167" s="153" t="n"/>
      <c r="P167" s="153" t="n"/>
      <c r="Q167" s="153" t="n"/>
      <c r="R167" s="153" t="n"/>
      <c r="S167" s="153" t="n"/>
      <c r="T167" s="153" t="n"/>
      <c r="U167" s="153" t="n"/>
      <c r="V167" s="153" t="n"/>
      <c r="W167" s="153" t="n"/>
      <c r="X167" s="153" t="n"/>
      <c r="Y167" s="153" t="n"/>
      <c r="Z167" s="153" t="n"/>
    </row>
    <row r="168" ht="15.75" customHeight="1" s="154">
      <c r="G168" s="153" t="n"/>
      <c r="H168" s="153" t="n"/>
      <c r="I168" s="153" t="n"/>
      <c r="J168" s="153" t="n"/>
      <c r="K168" s="153" t="n"/>
      <c r="L168" s="153" t="n"/>
      <c r="M168" s="153" t="n"/>
      <c r="N168" s="153" t="n"/>
      <c r="O168" s="153" t="n"/>
      <c r="P168" s="153" t="n"/>
      <c r="Q168" s="153" t="n"/>
      <c r="R168" s="153" t="n"/>
      <c r="S168" s="153" t="n"/>
      <c r="T168" s="153" t="n"/>
      <c r="U168" s="153" t="n"/>
      <c r="V168" s="153" t="n"/>
      <c r="W168" s="153" t="n"/>
      <c r="X168" s="153" t="n"/>
      <c r="Y168" s="153" t="n"/>
      <c r="Z168" s="153" t="n"/>
    </row>
    <row r="169" ht="15.75" customHeight="1" s="154">
      <c r="G169" s="153" t="n"/>
      <c r="H169" s="153" t="n"/>
      <c r="I169" s="153" t="n"/>
      <c r="J169" s="153" t="n"/>
      <c r="K169" s="153" t="n"/>
      <c r="L169" s="153" t="n"/>
      <c r="M169" s="153" t="n"/>
      <c r="N169" s="153" t="n"/>
      <c r="O169" s="153" t="n"/>
      <c r="P169" s="153" t="n"/>
      <c r="Q169" s="153" t="n"/>
      <c r="R169" s="153" t="n"/>
      <c r="S169" s="153" t="n"/>
      <c r="T169" s="153" t="n"/>
      <c r="U169" s="153" t="n"/>
      <c r="V169" s="153" t="n"/>
      <c r="W169" s="153" t="n"/>
      <c r="X169" s="153" t="n"/>
      <c r="Y169" s="153" t="n"/>
      <c r="Z169" s="153" t="n"/>
    </row>
    <row r="170" ht="15.75" customHeight="1" s="154">
      <c r="G170" s="153" t="n"/>
      <c r="H170" s="153" t="n"/>
      <c r="I170" s="153" t="n"/>
      <c r="J170" s="153" t="n"/>
      <c r="K170" s="153" t="n"/>
      <c r="L170" s="153" t="n"/>
      <c r="M170" s="153" t="n"/>
      <c r="N170" s="153" t="n"/>
      <c r="O170" s="153" t="n"/>
      <c r="P170" s="153" t="n"/>
      <c r="Q170" s="153" t="n"/>
      <c r="R170" s="153" t="n"/>
      <c r="S170" s="153" t="n"/>
      <c r="T170" s="153" t="n"/>
      <c r="U170" s="153" t="n"/>
      <c r="V170" s="153" t="n"/>
      <c r="W170" s="153" t="n"/>
      <c r="X170" s="153" t="n"/>
      <c r="Y170" s="153" t="n"/>
      <c r="Z170" s="153" t="n"/>
    </row>
    <row r="171" ht="15.75" customHeight="1" s="154">
      <c r="G171" s="153" t="n"/>
      <c r="H171" s="153" t="n"/>
      <c r="I171" s="153" t="n"/>
      <c r="J171" s="153" t="n"/>
      <c r="K171" s="153" t="n"/>
      <c r="L171" s="153" t="n"/>
      <c r="M171" s="153" t="n"/>
      <c r="N171" s="153" t="n"/>
      <c r="O171" s="153" t="n"/>
      <c r="P171" s="153" t="n"/>
      <c r="Q171" s="153" t="n"/>
      <c r="R171" s="153" t="n"/>
      <c r="S171" s="153" t="n"/>
      <c r="T171" s="153" t="n"/>
      <c r="U171" s="153" t="n"/>
      <c r="V171" s="153" t="n"/>
      <c r="W171" s="153" t="n"/>
      <c r="X171" s="153" t="n"/>
      <c r="Y171" s="153" t="n"/>
      <c r="Z171" s="153" t="n"/>
    </row>
    <row r="172" ht="15.75" customHeight="1" s="154">
      <c r="G172" s="153" t="n"/>
      <c r="H172" s="153" t="n"/>
      <c r="I172" s="153" t="n"/>
      <c r="J172" s="153" t="n"/>
      <c r="K172" s="153" t="n"/>
      <c r="L172" s="153" t="n"/>
      <c r="M172" s="153" t="n"/>
      <c r="N172" s="153" t="n"/>
      <c r="O172" s="153" t="n"/>
      <c r="P172" s="153" t="n"/>
      <c r="Q172" s="153" t="n"/>
      <c r="R172" s="153" t="n"/>
      <c r="S172" s="153" t="n"/>
      <c r="T172" s="153" t="n"/>
      <c r="U172" s="153" t="n"/>
      <c r="V172" s="153" t="n"/>
      <c r="W172" s="153" t="n"/>
      <c r="X172" s="153" t="n"/>
      <c r="Y172" s="153" t="n"/>
      <c r="Z172" s="153" t="n"/>
    </row>
    <row r="173" ht="15.75" customHeight="1" s="154">
      <c r="G173" s="153" t="n"/>
      <c r="H173" s="153" t="n"/>
      <c r="I173" s="153" t="n"/>
      <c r="J173" s="153" t="n"/>
      <c r="K173" s="153" t="n"/>
      <c r="L173" s="153" t="n"/>
      <c r="M173" s="153" t="n"/>
      <c r="N173" s="153" t="n"/>
      <c r="O173" s="153" t="n"/>
      <c r="P173" s="153" t="n"/>
      <c r="Q173" s="153" t="n"/>
      <c r="R173" s="153" t="n"/>
      <c r="S173" s="153" t="n"/>
      <c r="T173" s="153" t="n"/>
      <c r="U173" s="153" t="n"/>
      <c r="V173" s="153" t="n"/>
      <c r="W173" s="153" t="n"/>
      <c r="X173" s="153" t="n"/>
      <c r="Y173" s="153" t="n"/>
      <c r="Z173" s="153" t="n"/>
    </row>
    <row r="174" ht="15.75" customHeight="1" s="154">
      <c r="G174" s="153" t="n"/>
      <c r="H174" s="153" t="n"/>
      <c r="I174" s="153" t="n"/>
      <c r="J174" s="153" t="n"/>
      <c r="K174" s="153" t="n"/>
      <c r="L174" s="153" t="n"/>
      <c r="M174" s="153" t="n"/>
      <c r="N174" s="153" t="n"/>
      <c r="O174" s="153" t="n"/>
      <c r="P174" s="153" t="n"/>
      <c r="Q174" s="153" t="n"/>
      <c r="R174" s="153" t="n"/>
      <c r="S174" s="153" t="n"/>
      <c r="T174" s="153" t="n"/>
      <c r="U174" s="153" t="n"/>
      <c r="V174" s="153" t="n"/>
      <c r="W174" s="153" t="n"/>
      <c r="X174" s="153" t="n"/>
      <c r="Y174" s="153" t="n"/>
      <c r="Z174" s="153" t="n"/>
    </row>
    <row r="175" ht="15.75" customHeight="1" s="154">
      <c r="G175" s="153" t="n"/>
      <c r="H175" s="153" t="n"/>
      <c r="I175" s="153" t="n"/>
      <c r="J175" s="153" t="n"/>
      <c r="K175" s="153" t="n"/>
      <c r="L175" s="153" t="n"/>
      <c r="M175" s="153" t="n"/>
      <c r="N175" s="153" t="n"/>
      <c r="O175" s="153" t="n"/>
      <c r="P175" s="153" t="n"/>
      <c r="Q175" s="153" t="n"/>
      <c r="R175" s="153" t="n"/>
      <c r="S175" s="153" t="n"/>
      <c r="T175" s="153" t="n"/>
      <c r="U175" s="153" t="n"/>
      <c r="V175" s="153" t="n"/>
      <c r="W175" s="153" t="n"/>
      <c r="X175" s="153" t="n"/>
      <c r="Y175" s="153" t="n"/>
      <c r="Z175" s="153" t="n"/>
    </row>
    <row r="176" ht="15.75" customHeight="1" s="154">
      <c r="G176" s="153" t="n"/>
      <c r="H176" s="153" t="n"/>
      <c r="I176" s="153" t="n"/>
      <c r="J176" s="153" t="n"/>
      <c r="K176" s="153" t="n"/>
      <c r="L176" s="153" t="n"/>
      <c r="M176" s="153" t="n"/>
      <c r="N176" s="153" t="n"/>
      <c r="O176" s="153" t="n"/>
      <c r="P176" s="153" t="n"/>
      <c r="Q176" s="153" t="n"/>
      <c r="R176" s="153" t="n"/>
      <c r="S176" s="153" t="n"/>
      <c r="T176" s="153" t="n"/>
      <c r="U176" s="153" t="n"/>
      <c r="V176" s="153" t="n"/>
      <c r="W176" s="153" t="n"/>
      <c r="X176" s="153" t="n"/>
      <c r="Y176" s="153" t="n"/>
      <c r="Z176" s="153" t="n"/>
    </row>
    <row r="177" ht="15.75" customHeight="1" s="154">
      <c r="G177" s="153" t="n"/>
      <c r="H177" s="153" t="n"/>
      <c r="I177" s="153" t="n"/>
      <c r="J177" s="153" t="n"/>
      <c r="K177" s="153" t="n"/>
      <c r="L177" s="153" t="n"/>
      <c r="M177" s="153" t="n"/>
      <c r="N177" s="153" t="n"/>
      <c r="O177" s="153" t="n"/>
      <c r="P177" s="153" t="n"/>
      <c r="Q177" s="153" t="n"/>
      <c r="R177" s="153" t="n"/>
      <c r="S177" s="153" t="n"/>
      <c r="T177" s="153" t="n"/>
      <c r="U177" s="153" t="n"/>
      <c r="V177" s="153" t="n"/>
      <c r="W177" s="153" t="n"/>
      <c r="X177" s="153" t="n"/>
      <c r="Y177" s="153" t="n"/>
      <c r="Z177" s="153" t="n"/>
    </row>
    <row r="178" ht="15.75" customHeight="1" s="154">
      <c r="G178" s="153" t="n"/>
      <c r="H178" s="153" t="n"/>
      <c r="I178" s="153" t="n"/>
      <c r="J178" s="153" t="n"/>
      <c r="K178" s="153" t="n"/>
      <c r="L178" s="153" t="n"/>
      <c r="M178" s="153" t="n"/>
      <c r="N178" s="153" t="n"/>
      <c r="O178" s="153" t="n"/>
      <c r="P178" s="153" t="n"/>
      <c r="Q178" s="153" t="n"/>
      <c r="R178" s="153" t="n"/>
      <c r="S178" s="153" t="n"/>
      <c r="T178" s="153" t="n"/>
      <c r="U178" s="153" t="n"/>
      <c r="V178" s="153" t="n"/>
      <c r="W178" s="153" t="n"/>
      <c r="X178" s="153" t="n"/>
      <c r="Y178" s="153" t="n"/>
      <c r="Z178" s="153" t="n"/>
    </row>
    <row r="179" ht="15.75" customHeight="1" s="154">
      <c r="G179" s="153" t="n"/>
      <c r="H179" s="153" t="n"/>
      <c r="I179" s="153" t="n"/>
      <c r="J179" s="153" t="n"/>
      <c r="K179" s="153" t="n"/>
      <c r="L179" s="153" t="n"/>
      <c r="M179" s="153" t="n"/>
      <c r="N179" s="153" t="n"/>
      <c r="O179" s="153" t="n"/>
      <c r="P179" s="153" t="n"/>
      <c r="Q179" s="153" t="n"/>
      <c r="R179" s="153" t="n"/>
      <c r="S179" s="153" t="n"/>
      <c r="T179" s="153" t="n"/>
      <c r="U179" s="153" t="n"/>
      <c r="V179" s="153" t="n"/>
      <c r="W179" s="153" t="n"/>
      <c r="X179" s="153" t="n"/>
      <c r="Y179" s="153" t="n"/>
      <c r="Z179" s="153" t="n"/>
    </row>
    <row r="180" ht="15.75" customHeight="1" s="154">
      <c r="G180" s="153" t="n"/>
      <c r="H180" s="153" t="n"/>
      <c r="I180" s="153" t="n"/>
      <c r="J180" s="153" t="n"/>
      <c r="K180" s="153" t="n"/>
      <c r="L180" s="153" t="n"/>
      <c r="M180" s="153" t="n"/>
      <c r="N180" s="153" t="n"/>
      <c r="O180" s="153" t="n"/>
      <c r="P180" s="153" t="n"/>
      <c r="Q180" s="153" t="n"/>
      <c r="R180" s="153" t="n"/>
      <c r="S180" s="153" t="n"/>
      <c r="T180" s="153" t="n"/>
      <c r="U180" s="153" t="n"/>
      <c r="V180" s="153" t="n"/>
      <c r="W180" s="153" t="n"/>
      <c r="X180" s="153" t="n"/>
      <c r="Y180" s="153" t="n"/>
      <c r="Z180" s="153" t="n"/>
    </row>
    <row r="181" ht="15.75" customHeight="1" s="154">
      <c r="G181" s="153" t="n"/>
      <c r="H181" s="153" t="n"/>
      <c r="I181" s="153" t="n"/>
      <c r="J181" s="153" t="n"/>
      <c r="K181" s="153" t="n"/>
      <c r="L181" s="153" t="n"/>
      <c r="M181" s="153" t="n"/>
      <c r="N181" s="153" t="n"/>
      <c r="O181" s="153" t="n"/>
      <c r="P181" s="153" t="n"/>
      <c r="Q181" s="153" t="n"/>
      <c r="R181" s="153" t="n"/>
      <c r="S181" s="153" t="n"/>
      <c r="T181" s="153" t="n"/>
      <c r="U181" s="153" t="n"/>
      <c r="V181" s="153" t="n"/>
      <c r="W181" s="153" t="n"/>
      <c r="X181" s="153" t="n"/>
      <c r="Y181" s="153" t="n"/>
      <c r="Z181" s="153" t="n"/>
    </row>
    <row r="182" ht="15.75" customHeight="1" s="154">
      <c r="G182" s="153" t="n"/>
      <c r="H182" s="153" t="n"/>
      <c r="I182" s="153" t="n"/>
      <c r="J182" s="153" t="n"/>
      <c r="K182" s="153" t="n"/>
      <c r="L182" s="153" t="n"/>
      <c r="M182" s="153" t="n"/>
      <c r="N182" s="153" t="n"/>
      <c r="O182" s="153" t="n"/>
      <c r="P182" s="153" t="n"/>
      <c r="Q182" s="153" t="n"/>
      <c r="R182" s="153" t="n"/>
      <c r="S182" s="153" t="n"/>
      <c r="T182" s="153" t="n"/>
      <c r="U182" s="153" t="n"/>
      <c r="V182" s="153" t="n"/>
      <c r="W182" s="153" t="n"/>
      <c r="X182" s="153" t="n"/>
      <c r="Y182" s="153" t="n"/>
      <c r="Z182" s="153" t="n"/>
    </row>
    <row r="183" ht="15.75" customHeight="1" s="154">
      <c r="G183" s="153" t="n"/>
      <c r="H183" s="153" t="n"/>
      <c r="I183" s="153" t="n"/>
      <c r="J183" s="153" t="n"/>
      <c r="K183" s="153" t="n"/>
      <c r="L183" s="153" t="n"/>
      <c r="M183" s="153" t="n"/>
      <c r="N183" s="153" t="n"/>
      <c r="O183" s="153" t="n"/>
      <c r="P183" s="153" t="n"/>
      <c r="Q183" s="153" t="n"/>
      <c r="R183" s="153" t="n"/>
      <c r="S183" s="153" t="n"/>
      <c r="T183" s="153" t="n"/>
      <c r="U183" s="153" t="n"/>
      <c r="V183" s="153" t="n"/>
      <c r="W183" s="153" t="n"/>
      <c r="X183" s="153" t="n"/>
      <c r="Y183" s="153" t="n"/>
      <c r="Z183" s="153" t="n"/>
    </row>
    <row r="184" ht="15.75" customHeight="1" s="154">
      <c r="G184" s="153" t="n"/>
      <c r="H184" s="153" t="n"/>
      <c r="I184" s="153" t="n"/>
      <c r="J184" s="153" t="n"/>
      <c r="K184" s="153" t="n"/>
      <c r="L184" s="153" t="n"/>
      <c r="M184" s="153" t="n"/>
      <c r="N184" s="153" t="n"/>
      <c r="O184" s="153" t="n"/>
      <c r="P184" s="153" t="n"/>
      <c r="Q184" s="153" t="n"/>
      <c r="R184" s="153" t="n"/>
      <c r="S184" s="153" t="n"/>
      <c r="T184" s="153" t="n"/>
      <c r="U184" s="153" t="n"/>
      <c r="V184" s="153" t="n"/>
      <c r="W184" s="153" t="n"/>
      <c r="X184" s="153" t="n"/>
      <c r="Y184" s="153" t="n"/>
      <c r="Z184" s="153" t="n"/>
    </row>
    <row r="185" ht="15.75" customHeight="1" s="154">
      <c r="G185" s="153" t="n"/>
      <c r="H185" s="153" t="n"/>
      <c r="I185" s="153" t="n"/>
      <c r="J185" s="153" t="n"/>
      <c r="K185" s="153" t="n"/>
      <c r="L185" s="153" t="n"/>
      <c r="M185" s="153" t="n"/>
      <c r="N185" s="153" t="n"/>
      <c r="O185" s="153" t="n"/>
      <c r="P185" s="153" t="n"/>
      <c r="Q185" s="153" t="n"/>
      <c r="R185" s="153" t="n"/>
      <c r="S185" s="153" t="n"/>
      <c r="T185" s="153" t="n"/>
      <c r="U185" s="153" t="n"/>
      <c r="V185" s="153" t="n"/>
      <c r="W185" s="153" t="n"/>
      <c r="X185" s="153" t="n"/>
      <c r="Y185" s="153" t="n"/>
      <c r="Z185" s="153" t="n"/>
    </row>
    <row r="186" ht="15.75" customHeight="1" s="154">
      <c r="G186" s="153" t="n"/>
      <c r="H186" s="153" t="n"/>
      <c r="I186" s="153" t="n"/>
      <c r="J186" s="153" t="n"/>
      <c r="K186" s="153" t="n"/>
      <c r="L186" s="153" t="n"/>
      <c r="M186" s="153" t="n"/>
      <c r="N186" s="153" t="n"/>
      <c r="O186" s="153" t="n"/>
      <c r="P186" s="153" t="n"/>
      <c r="Q186" s="153" t="n"/>
      <c r="R186" s="153" t="n"/>
      <c r="S186" s="153" t="n"/>
      <c r="T186" s="153" t="n"/>
      <c r="U186" s="153" t="n"/>
      <c r="V186" s="153" t="n"/>
      <c r="W186" s="153" t="n"/>
      <c r="X186" s="153" t="n"/>
      <c r="Y186" s="153" t="n"/>
      <c r="Z186" s="153" t="n"/>
    </row>
    <row r="187" ht="15.75" customHeight="1" s="154">
      <c r="G187" s="153" t="n"/>
      <c r="H187" s="153" t="n"/>
      <c r="I187" s="153" t="n"/>
      <c r="J187" s="153" t="n"/>
      <c r="K187" s="153" t="n"/>
      <c r="L187" s="153" t="n"/>
      <c r="M187" s="153" t="n"/>
      <c r="N187" s="153" t="n"/>
      <c r="O187" s="153" t="n"/>
      <c r="P187" s="153" t="n"/>
      <c r="Q187" s="153" t="n"/>
      <c r="R187" s="153" t="n"/>
      <c r="S187" s="153" t="n"/>
      <c r="T187" s="153" t="n"/>
      <c r="U187" s="153" t="n"/>
      <c r="V187" s="153" t="n"/>
      <c r="W187" s="153" t="n"/>
      <c r="X187" s="153" t="n"/>
      <c r="Y187" s="153" t="n"/>
      <c r="Z187" s="153" t="n"/>
    </row>
    <row r="188" ht="15.75" customHeight="1" s="154">
      <c r="G188" s="153" t="n"/>
      <c r="H188" s="153" t="n"/>
      <c r="I188" s="153" t="n"/>
      <c r="J188" s="153" t="n"/>
      <c r="K188" s="153" t="n"/>
      <c r="L188" s="153" t="n"/>
      <c r="M188" s="153" t="n"/>
      <c r="N188" s="153" t="n"/>
      <c r="O188" s="153" t="n"/>
      <c r="P188" s="153" t="n"/>
      <c r="Q188" s="153" t="n"/>
      <c r="R188" s="153" t="n"/>
      <c r="S188" s="153" t="n"/>
      <c r="T188" s="153" t="n"/>
      <c r="U188" s="153" t="n"/>
      <c r="V188" s="153" t="n"/>
      <c r="W188" s="153" t="n"/>
      <c r="X188" s="153" t="n"/>
      <c r="Y188" s="153" t="n"/>
      <c r="Z188" s="153" t="n"/>
    </row>
    <row r="189" ht="15.75" customHeight="1" s="154">
      <c r="G189" s="153" t="n"/>
      <c r="H189" s="153" t="n"/>
      <c r="I189" s="153" t="n"/>
      <c r="J189" s="153" t="n"/>
      <c r="K189" s="153" t="n"/>
      <c r="L189" s="153" t="n"/>
      <c r="M189" s="153" t="n"/>
      <c r="N189" s="153" t="n"/>
      <c r="O189" s="153" t="n"/>
      <c r="P189" s="153" t="n"/>
      <c r="Q189" s="153" t="n"/>
      <c r="R189" s="153" t="n"/>
      <c r="S189" s="153" t="n"/>
      <c r="T189" s="153" t="n"/>
      <c r="U189" s="153" t="n"/>
      <c r="V189" s="153" t="n"/>
      <c r="W189" s="153" t="n"/>
      <c r="X189" s="153" t="n"/>
      <c r="Y189" s="153" t="n"/>
      <c r="Z189" s="153" t="n"/>
    </row>
    <row r="190" ht="15.75" customHeight="1" s="154">
      <c r="G190" s="153" t="n"/>
      <c r="H190" s="153" t="n"/>
      <c r="I190" s="153" t="n"/>
      <c r="J190" s="153" t="n"/>
      <c r="K190" s="153" t="n"/>
      <c r="L190" s="153" t="n"/>
      <c r="M190" s="153" t="n"/>
      <c r="N190" s="153" t="n"/>
      <c r="O190" s="153" t="n"/>
      <c r="P190" s="153" t="n"/>
      <c r="Q190" s="153" t="n"/>
      <c r="R190" s="153" t="n"/>
      <c r="S190" s="153" t="n"/>
      <c r="T190" s="153" t="n"/>
      <c r="U190" s="153" t="n"/>
      <c r="V190" s="153" t="n"/>
      <c r="W190" s="153" t="n"/>
      <c r="X190" s="153" t="n"/>
      <c r="Y190" s="153" t="n"/>
      <c r="Z190" s="153" t="n"/>
    </row>
    <row r="191" ht="15.75" customHeight="1" s="154">
      <c r="G191" s="153" t="n"/>
      <c r="H191" s="153" t="n"/>
      <c r="I191" s="153" t="n"/>
      <c r="J191" s="153" t="n"/>
      <c r="K191" s="153" t="n"/>
      <c r="L191" s="153" t="n"/>
      <c r="M191" s="153" t="n"/>
      <c r="N191" s="153" t="n"/>
      <c r="O191" s="153" t="n"/>
      <c r="P191" s="153" t="n"/>
      <c r="Q191" s="153" t="n"/>
      <c r="R191" s="153" t="n"/>
      <c r="S191" s="153" t="n"/>
      <c r="T191" s="153" t="n"/>
      <c r="U191" s="153" t="n"/>
      <c r="V191" s="153" t="n"/>
      <c r="W191" s="153" t="n"/>
      <c r="X191" s="153" t="n"/>
      <c r="Y191" s="153" t="n"/>
      <c r="Z191" s="153" t="n"/>
    </row>
    <row r="192" ht="15.75" customHeight="1" s="154">
      <c r="G192" s="153" t="n"/>
      <c r="H192" s="153" t="n"/>
      <c r="I192" s="153" t="n"/>
      <c r="J192" s="153" t="n"/>
      <c r="K192" s="153" t="n"/>
      <c r="L192" s="153" t="n"/>
      <c r="M192" s="153" t="n"/>
      <c r="N192" s="153" t="n"/>
      <c r="O192" s="153" t="n"/>
      <c r="P192" s="153" t="n"/>
      <c r="Q192" s="153" t="n"/>
      <c r="R192" s="153" t="n"/>
      <c r="S192" s="153" t="n"/>
      <c r="T192" s="153" t="n"/>
      <c r="U192" s="153" t="n"/>
      <c r="V192" s="153" t="n"/>
      <c r="W192" s="153" t="n"/>
      <c r="X192" s="153" t="n"/>
      <c r="Y192" s="153" t="n"/>
      <c r="Z192" s="153" t="n"/>
    </row>
    <row r="193" ht="15.75" customHeight="1" s="154">
      <c r="G193" s="153" t="n"/>
      <c r="H193" s="153" t="n"/>
      <c r="I193" s="153" t="n"/>
      <c r="J193" s="153" t="n"/>
      <c r="K193" s="153" t="n"/>
      <c r="L193" s="153" t="n"/>
      <c r="M193" s="153" t="n"/>
      <c r="N193" s="153" t="n"/>
      <c r="O193" s="153" t="n"/>
      <c r="P193" s="153" t="n"/>
      <c r="Q193" s="153" t="n"/>
      <c r="R193" s="153" t="n"/>
      <c r="S193" s="153" t="n"/>
      <c r="T193" s="153" t="n"/>
      <c r="U193" s="153" t="n"/>
      <c r="V193" s="153" t="n"/>
      <c r="W193" s="153" t="n"/>
      <c r="X193" s="153" t="n"/>
      <c r="Y193" s="153" t="n"/>
      <c r="Z193" s="153" t="n"/>
    </row>
    <row r="194" ht="15.75" customHeight="1" s="154">
      <c r="G194" s="153" t="n"/>
      <c r="H194" s="153" t="n"/>
      <c r="I194" s="153" t="n"/>
      <c r="J194" s="153" t="n"/>
      <c r="K194" s="153" t="n"/>
      <c r="L194" s="153" t="n"/>
      <c r="M194" s="153" t="n"/>
      <c r="N194" s="153" t="n"/>
      <c r="O194" s="153" t="n"/>
      <c r="P194" s="153" t="n"/>
      <c r="Q194" s="153" t="n"/>
      <c r="R194" s="153" t="n"/>
      <c r="S194" s="153" t="n"/>
      <c r="T194" s="153" t="n"/>
      <c r="U194" s="153" t="n"/>
      <c r="V194" s="153" t="n"/>
      <c r="W194" s="153" t="n"/>
      <c r="X194" s="153" t="n"/>
      <c r="Y194" s="153" t="n"/>
      <c r="Z194" s="153" t="n"/>
    </row>
    <row r="195" ht="15.75" customHeight="1" s="154">
      <c r="G195" s="153" t="n"/>
      <c r="H195" s="153" t="n"/>
      <c r="I195" s="153" t="n"/>
      <c r="J195" s="153" t="n"/>
      <c r="K195" s="153" t="n"/>
      <c r="L195" s="153" t="n"/>
      <c r="M195" s="153" t="n"/>
      <c r="N195" s="153" t="n"/>
      <c r="O195" s="153" t="n"/>
      <c r="P195" s="153" t="n"/>
      <c r="Q195" s="153" t="n"/>
      <c r="R195" s="153" t="n"/>
      <c r="S195" s="153" t="n"/>
      <c r="T195" s="153" t="n"/>
      <c r="U195" s="153" t="n"/>
      <c r="V195" s="153" t="n"/>
      <c r="W195" s="153" t="n"/>
      <c r="X195" s="153" t="n"/>
      <c r="Y195" s="153" t="n"/>
      <c r="Z195" s="153" t="n"/>
    </row>
    <row r="196" ht="15.75" customHeight="1" s="154">
      <c r="G196" s="153" t="n"/>
      <c r="H196" s="153" t="n"/>
      <c r="I196" s="153" t="n"/>
      <c r="J196" s="153" t="n"/>
      <c r="K196" s="153" t="n"/>
      <c r="L196" s="153" t="n"/>
      <c r="M196" s="153" t="n"/>
      <c r="N196" s="153" t="n"/>
      <c r="O196" s="153" t="n"/>
      <c r="P196" s="153" t="n"/>
      <c r="Q196" s="153" t="n"/>
      <c r="R196" s="153" t="n"/>
      <c r="S196" s="153" t="n"/>
      <c r="T196" s="153" t="n"/>
      <c r="U196" s="153" t="n"/>
      <c r="V196" s="153" t="n"/>
      <c r="W196" s="153" t="n"/>
      <c r="X196" s="153" t="n"/>
      <c r="Y196" s="153" t="n"/>
      <c r="Z196" s="153" t="n"/>
    </row>
    <row r="197" ht="15.75" customHeight="1" s="154">
      <c r="G197" s="153" t="n"/>
      <c r="H197" s="153" t="n"/>
      <c r="I197" s="153" t="n"/>
      <c r="J197" s="153" t="n"/>
      <c r="K197" s="153" t="n"/>
      <c r="L197" s="153" t="n"/>
      <c r="M197" s="153" t="n"/>
      <c r="N197" s="153" t="n"/>
      <c r="O197" s="153" t="n"/>
      <c r="P197" s="153" t="n"/>
      <c r="Q197" s="153" t="n"/>
      <c r="R197" s="153" t="n"/>
      <c r="S197" s="153" t="n"/>
      <c r="T197" s="153" t="n"/>
      <c r="U197" s="153" t="n"/>
      <c r="V197" s="153" t="n"/>
      <c r="W197" s="153" t="n"/>
      <c r="X197" s="153" t="n"/>
      <c r="Y197" s="153" t="n"/>
      <c r="Z197" s="153" t="n"/>
    </row>
    <row r="198" ht="15.75" customHeight="1" s="154">
      <c r="G198" s="153" t="n"/>
      <c r="H198" s="153" t="n"/>
      <c r="I198" s="153" t="n"/>
      <c r="J198" s="153" t="n"/>
      <c r="K198" s="153" t="n"/>
      <c r="L198" s="153" t="n"/>
      <c r="M198" s="153" t="n"/>
      <c r="N198" s="153" t="n"/>
      <c r="O198" s="153" t="n"/>
      <c r="P198" s="153" t="n"/>
      <c r="Q198" s="153" t="n"/>
      <c r="R198" s="153" t="n"/>
      <c r="S198" s="153" t="n"/>
      <c r="T198" s="153" t="n"/>
      <c r="U198" s="153" t="n"/>
      <c r="V198" s="153" t="n"/>
      <c r="W198" s="153" t="n"/>
      <c r="X198" s="153" t="n"/>
      <c r="Y198" s="153" t="n"/>
      <c r="Z198" s="153" t="n"/>
    </row>
    <row r="199" ht="15.75" customHeight="1" s="154">
      <c r="G199" s="153" t="n"/>
      <c r="H199" s="153" t="n"/>
      <c r="I199" s="153" t="n"/>
      <c r="J199" s="153" t="n"/>
      <c r="K199" s="153" t="n"/>
      <c r="L199" s="153" t="n"/>
      <c r="M199" s="153" t="n"/>
      <c r="N199" s="153" t="n"/>
      <c r="O199" s="153" t="n"/>
      <c r="P199" s="153" t="n"/>
      <c r="Q199" s="153" t="n"/>
      <c r="R199" s="153" t="n"/>
      <c r="S199" s="153" t="n"/>
      <c r="T199" s="153" t="n"/>
      <c r="U199" s="153" t="n"/>
      <c r="V199" s="153" t="n"/>
      <c r="W199" s="153" t="n"/>
      <c r="X199" s="153" t="n"/>
      <c r="Y199" s="153" t="n"/>
      <c r="Z199" s="153" t="n"/>
    </row>
    <row r="200" ht="15.75" customHeight="1" s="154">
      <c r="G200" s="153" t="n"/>
      <c r="H200" s="153" t="n"/>
      <c r="I200" s="153" t="n"/>
      <c r="J200" s="153" t="n"/>
      <c r="K200" s="153" t="n"/>
      <c r="L200" s="153" t="n"/>
      <c r="M200" s="153" t="n"/>
      <c r="N200" s="153" t="n"/>
      <c r="O200" s="153" t="n"/>
      <c r="P200" s="153" t="n"/>
      <c r="Q200" s="153" t="n"/>
      <c r="R200" s="153" t="n"/>
      <c r="S200" s="153" t="n"/>
      <c r="T200" s="153" t="n"/>
      <c r="U200" s="153" t="n"/>
      <c r="V200" s="153" t="n"/>
      <c r="W200" s="153" t="n"/>
      <c r="X200" s="153" t="n"/>
      <c r="Y200" s="153" t="n"/>
      <c r="Z200" s="153" t="n"/>
    </row>
    <row r="201" ht="15.75" customHeight="1" s="154">
      <c r="G201" s="153" t="n"/>
      <c r="H201" s="153" t="n"/>
      <c r="I201" s="153" t="n"/>
      <c r="J201" s="153" t="n"/>
      <c r="K201" s="153" t="n"/>
      <c r="L201" s="153" t="n"/>
      <c r="M201" s="153" t="n"/>
      <c r="N201" s="153" t="n"/>
      <c r="O201" s="153" t="n"/>
      <c r="P201" s="153" t="n"/>
      <c r="Q201" s="153" t="n"/>
      <c r="R201" s="153" t="n"/>
      <c r="S201" s="153" t="n"/>
      <c r="T201" s="153" t="n"/>
      <c r="U201" s="153" t="n"/>
      <c r="V201" s="153" t="n"/>
      <c r="W201" s="153" t="n"/>
      <c r="X201" s="153" t="n"/>
      <c r="Y201" s="153" t="n"/>
      <c r="Z201" s="153" t="n"/>
    </row>
    <row r="202" ht="15.75" customHeight="1" s="154">
      <c r="G202" s="153" t="n"/>
      <c r="H202" s="153" t="n"/>
      <c r="I202" s="153" t="n"/>
      <c r="J202" s="153" t="n"/>
      <c r="K202" s="153" t="n"/>
      <c r="L202" s="153" t="n"/>
      <c r="M202" s="153" t="n"/>
      <c r="N202" s="153" t="n"/>
      <c r="O202" s="153" t="n"/>
      <c r="P202" s="153" t="n"/>
      <c r="Q202" s="153" t="n"/>
      <c r="R202" s="153" t="n"/>
      <c r="S202" s="153" t="n"/>
      <c r="T202" s="153" t="n"/>
      <c r="U202" s="153" t="n"/>
      <c r="V202" s="153" t="n"/>
      <c r="W202" s="153" t="n"/>
      <c r="X202" s="153" t="n"/>
      <c r="Y202" s="153" t="n"/>
      <c r="Z202" s="153" t="n"/>
    </row>
    <row r="203" ht="15.75" customHeight="1" s="154">
      <c r="G203" s="153" t="n"/>
      <c r="H203" s="153" t="n"/>
      <c r="I203" s="153" t="n"/>
      <c r="J203" s="153" t="n"/>
      <c r="K203" s="153" t="n"/>
      <c r="L203" s="153" t="n"/>
      <c r="M203" s="153" t="n"/>
      <c r="N203" s="153" t="n"/>
      <c r="O203" s="153" t="n"/>
      <c r="P203" s="153" t="n"/>
      <c r="Q203" s="153" t="n"/>
      <c r="R203" s="153" t="n"/>
      <c r="S203" s="153" t="n"/>
      <c r="T203" s="153" t="n"/>
      <c r="U203" s="153" t="n"/>
      <c r="V203" s="153" t="n"/>
      <c r="W203" s="153" t="n"/>
      <c r="X203" s="153" t="n"/>
      <c r="Y203" s="153" t="n"/>
      <c r="Z203" s="153" t="n"/>
    </row>
    <row r="204" ht="15.75" customHeight="1" s="154">
      <c r="G204" s="153" t="n"/>
      <c r="H204" s="153" t="n"/>
      <c r="I204" s="153" t="n"/>
      <c r="J204" s="153" t="n"/>
      <c r="K204" s="153" t="n"/>
      <c r="L204" s="153" t="n"/>
      <c r="M204" s="153" t="n"/>
      <c r="N204" s="153" t="n"/>
      <c r="O204" s="153" t="n"/>
      <c r="P204" s="153" t="n"/>
      <c r="Q204" s="153" t="n"/>
      <c r="R204" s="153" t="n"/>
      <c r="S204" s="153" t="n"/>
      <c r="T204" s="153" t="n"/>
      <c r="U204" s="153" t="n"/>
      <c r="V204" s="153" t="n"/>
      <c r="W204" s="153" t="n"/>
      <c r="X204" s="153" t="n"/>
      <c r="Y204" s="153" t="n"/>
      <c r="Z204" s="153" t="n"/>
    </row>
    <row r="205" ht="15.75" customHeight="1" s="154">
      <c r="G205" s="153" t="n"/>
      <c r="H205" s="153" t="n"/>
      <c r="I205" s="153" t="n"/>
      <c r="J205" s="153" t="n"/>
      <c r="K205" s="153" t="n"/>
      <c r="L205" s="153" t="n"/>
      <c r="M205" s="153" t="n"/>
      <c r="N205" s="153" t="n"/>
      <c r="O205" s="153" t="n"/>
      <c r="P205" s="153" t="n"/>
      <c r="Q205" s="153" t="n"/>
      <c r="R205" s="153" t="n"/>
      <c r="S205" s="153" t="n"/>
      <c r="T205" s="153" t="n"/>
      <c r="U205" s="153" t="n"/>
      <c r="V205" s="153" t="n"/>
      <c r="W205" s="153" t="n"/>
      <c r="X205" s="153" t="n"/>
      <c r="Y205" s="153" t="n"/>
      <c r="Z205" s="153" t="n"/>
    </row>
    <row r="206" ht="15.75" customHeight="1" s="154">
      <c r="G206" s="153" t="n"/>
      <c r="H206" s="153" t="n"/>
      <c r="I206" s="153" t="n"/>
      <c r="J206" s="153" t="n"/>
      <c r="K206" s="153" t="n"/>
      <c r="L206" s="153" t="n"/>
      <c r="M206" s="153" t="n"/>
      <c r="N206" s="153" t="n"/>
      <c r="O206" s="153" t="n"/>
      <c r="P206" s="153" t="n"/>
      <c r="Q206" s="153" t="n"/>
      <c r="R206" s="153" t="n"/>
      <c r="S206" s="153" t="n"/>
      <c r="T206" s="153" t="n"/>
      <c r="U206" s="153" t="n"/>
      <c r="V206" s="153" t="n"/>
      <c r="W206" s="153" t="n"/>
      <c r="X206" s="153" t="n"/>
      <c r="Y206" s="153" t="n"/>
      <c r="Z206" s="153" t="n"/>
    </row>
    <row r="207" ht="15.75" customHeight="1" s="154">
      <c r="G207" s="153" t="n"/>
      <c r="H207" s="153" t="n"/>
      <c r="I207" s="153" t="n"/>
      <c r="J207" s="153" t="n"/>
      <c r="K207" s="153" t="n"/>
      <c r="L207" s="153" t="n"/>
      <c r="M207" s="153" t="n"/>
      <c r="N207" s="153" t="n"/>
      <c r="O207" s="153" t="n"/>
      <c r="P207" s="153" t="n"/>
      <c r="Q207" s="153" t="n"/>
      <c r="R207" s="153" t="n"/>
      <c r="S207" s="153" t="n"/>
      <c r="T207" s="153" t="n"/>
      <c r="U207" s="153" t="n"/>
      <c r="V207" s="153" t="n"/>
      <c r="W207" s="153" t="n"/>
      <c r="X207" s="153" t="n"/>
      <c r="Y207" s="153" t="n"/>
      <c r="Z207" s="153" t="n"/>
    </row>
    <row r="208" ht="15.75" customHeight="1" s="154">
      <c r="G208" s="153" t="n"/>
      <c r="H208" s="153" t="n"/>
      <c r="I208" s="153" t="n"/>
      <c r="J208" s="153" t="n"/>
      <c r="K208" s="153" t="n"/>
      <c r="L208" s="153" t="n"/>
      <c r="M208" s="153" t="n"/>
      <c r="N208" s="153" t="n"/>
      <c r="O208" s="153" t="n"/>
      <c r="P208" s="153" t="n"/>
      <c r="Q208" s="153" t="n"/>
      <c r="R208" s="153" t="n"/>
      <c r="S208" s="153" t="n"/>
      <c r="T208" s="153" t="n"/>
      <c r="U208" s="153" t="n"/>
      <c r="V208" s="153" t="n"/>
      <c r="W208" s="153" t="n"/>
      <c r="X208" s="153" t="n"/>
      <c r="Y208" s="153" t="n"/>
      <c r="Z208" s="153" t="n"/>
    </row>
    <row r="209" ht="15.75" customHeight="1" s="154">
      <c r="G209" s="153" t="n"/>
      <c r="H209" s="153" t="n"/>
      <c r="I209" s="153" t="n"/>
      <c r="J209" s="153" t="n"/>
      <c r="K209" s="153" t="n"/>
      <c r="L209" s="153" t="n"/>
      <c r="M209" s="153" t="n"/>
      <c r="N209" s="153" t="n"/>
      <c r="O209" s="153" t="n"/>
      <c r="P209" s="153" t="n"/>
      <c r="Q209" s="153" t="n"/>
      <c r="R209" s="153" t="n"/>
      <c r="S209" s="153" t="n"/>
      <c r="T209" s="153" t="n"/>
      <c r="U209" s="153" t="n"/>
      <c r="V209" s="153" t="n"/>
      <c r="W209" s="153" t="n"/>
      <c r="X209" s="153" t="n"/>
      <c r="Y209" s="153" t="n"/>
      <c r="Z209" s="153" t="n"/>
    </row>
    <row r="210" ht="15.75" customHeight="1" s="154">
      <c r="G210" s="153" t="n"/>
      <c r="H210" s="153" t="n"/>
      <c r="I210" s="153" t="n"/>
      <c r="J210" s="153" t="n"/>
      <c r="K210" s="153" t="n"/>
      <c r="L210" s="153" t="n"/>
      <c r="M210" s="153" t="n"/>
      <c r="N210" s="153" t="n"/>
      <c r="O210" s="153" t="n"/>
      <c r="P210" s="153" t="n"/>
      <c r="Q210" s="153" t="n"/>
      <c r="R210" s="153" t="n"/>
      <c r="S210" s="153" t="n"/>
      <c r="T210" s="153" t="n"/>
      <c r="U210" s="153" t="n"/>
      <c r="V210" s="153" t="n"/>
      <c r="W210" s="153" t="n"/>
      <c r="X210" s="153" t="n"/>
      <c r="Y210" s="153" t="n"/>
      <c r="Z210" s="153" t="n"/>
    </row>
    <row r="211" ht="15.75" customHeight="1" s="154">
      <c r="G211" s="153" t="n"/>
      <c r="H211" s="153" t="n"/>
      <c r="I211" s="153" t="n"/>
      <c r="J211" s="153" t="n"/>
      <c r="K211" s="153" t="n"/>
      <c r="L211" s="153" t="n"/>
      <c r="M211" s="153" t="n"/>
      <c r="N211" s="153" t="n"/>
      <c r="O211" s="153" t="n"/>
      <c r="P211" s="153" t="n"/>
      <c r="Q211" s="153" t="n"/>
      <c r="R211" s="153" t="n"/>
      <c r="S211" s="153" t="n"/>
      <c r="T211" s="153" t="n"/>
      <c r="U211" s="153" t="n"/>
      <c r="V211" s="153" t="n"/>
      <c r="W211" s="153" t="n"/>
      <c r="X211" s="153" t="n"/>
      <c r="Y211" s="153" t="n"/>
      <c r="Z211" s="153" t="n"/>
    </row>
    <row r="212" ht="15.75" customHeight="1" s="154">
      <c r="G212" s="153" t="n"/>
      <c r="H212" s="153" t="n"/>
      <c r="I212" s="153" t="n"/>
      <c r="J212" s="153" t="n"/>
      <c r="K212" s="153" t="n"/>
      <c r="L212" s="153" t="n"/>
      <c r="M212" s="153" t="n"/>
      <c r="N212" s="153" t="n"/>
      <c r="O212" s="153" t="n"/>
      <c r="P212" s="153" t="n"/>
      <c r="Q212" s="153" t="n"/>
      <c r="R212" s="153" t="n"/>
      <c r="S212" s="153" t="n"/>
      <c r="T212" s="153" t="n"/>
      <c r="U212" s="153" t="n"/>
      <c r="V212" s="153" t="n"/>
      <c r="W212" s="153" t="n"/>
      <c r="X212" s="153" t="n"/>
      <c r="Y212" s="153" t="n"/>
      <c r="Z212" s="153" t="n"/>
    </row>
    <row r="213" ht="15.75" customHeight="1" s="154">
      <c r="G213" s="153" t="n"/>
      <c r="H213" s="153" t="n"/>
      <c r="I213" s="153" t="n"/>
      <c r="J213" s="153" t="n"/>
      <c r="K213" s="153" t="n"/>
      <c r="L213" s="153" t="n"/>
      <c r="M213" s="153" t="n"/>
      <c r="N213" s="153" t="n"/>
      <c r="O213" s="153" t="n"/>
      <c r="P213" s="153" t="n"/>
      <c r="Q213" s="153" t="n"/>
      <c r="R213" s="153" t="n"/>
      <c r="S213" s="153" t="n"/>
      <c r="T213" s="153" t="n"/>
      <c r="U213" s="153" t="n"/>
      <c r="V213" s="153" t="n"/>
      <c r="W213" s="153" t="n"/>
      <c r="X213" s="153" t="n"/>
      <c r="Y213" s="153" t="n"/>
      <c r="Z213" s="153" t="n"/>
    </row>
    <row r="214" ht="15.75" customHeight="1" s="154">
      <c r="G214" s="153" t="n"/>
      <c r="H214" s="153" t="n"/>
      <c r="I214" s="153" t="n"/>
      <c r="J214" s="153" t="n"/>
      <c r="K214" s="153" t="n"/>
      <c r="L214" s="153" t="n"/>
      <c r="M214" s="153" t="n"/>
      <c r="N214" s="153" t="n"/>
      <c r="O214" s="153" t="n"/>
      <c r="P214" s="153" t="n"/>
      <c r="Q214" s="153" t="n"/>
      <c r="R214" s="153" t="n"/>
      <c r="S214" s="153" t="n"/>
      <c r="T214" s="153" t="n"/>
      <c r="U214" s="153" t="n"/>
      <c r="V214" s="153" t="n"/>
      <c r="W214" s="153" t="n"/>
      <c r="X214" s="153" t="n"/>
      <c r="Y214" s="153" t="n"/>
      <c r="Z214" s="153" t="n"/>
    </row>
    <row r="215" ht="15.75" customHeight="1" s="154">
      <c r="G215" s="153" t="n"/>
      <c r="H215" s="153" t="n"/>
      <c r="I215" s="153" t="n"/>
      <c r="J215" s="153" t="n"/>
      <c r="K215" s="153" t="n"/>
      <c r="L215" s="153" t="n"/>
      <c r="M215" s="153" t="n"/>
      <c r="N215" s="153" t="n"/>
      <c r="O215" s="153" t="n"/>
      <c r="P215" s="153" t="n"/>
      <c r="Q215" s="153" t="n"/>
      <c r="R215" s="153" t="n"/>
      <c r="S215" s="153" t="n"/>
      <c r="T215" s="153" t="n"/>
      <c r="U215" s="153" t="n"/>
      <c r="V215" s="153" t="n"/>
      <c r="W215" s="153" t="n"/>
      <c r="X215" s="153" t="n"/>
      <c r="Y215" s="153" t="n"/>
      <c r="Z215" s="153" t="n"/>
    </row>
    <row r="216" ht="15.75" customHeight="1" s="154">
      <c r="G216" s="153" t="n"/>
      <c r="H216" s="153" t="n"/>
      <c r="I216" s="153" t="n"/>
      <c r="J216" s="153" t="n"/>
      <c r="K216" s="153" t="n"/>
      <c r="L216" s="153" t="n"/>
      <c r="M216" s="153" t="n"/>
      <c r="N216" s="153" t="n"/>
      <c r="O216" s="153" t="n"/>
      <c r="P216" s="153" t="n"/>
      <c r="Q216" s="153" t="n"/>
      <c r="R216" s="153" t="n"/>
      <c r="S216" s="153" t="n"/>
      <c r="T216" s="153" t="n"/>
      <c r="U216" s="153" t="n"/>
      <c r="V216" s="153" t="n"/>
      <c r="W216" s="153" t="n"/>
      <c r="X216" s="153" t="n"/>
      <c r="Y216" s="153" t="n"/>
      <c r="Z216" s="153" t="n"/>
    </row>
    <row r="217" ht="15.75" customHeight="1" s="154">
      <c r="G217" s="153" t="n"/>
      <c r="H217" s="153" t="n"/>
      <c r="I217" s="153" t="n"/>
      <c r="J217" s="153" t="n"/>
      <c r="K217" s="153" t="n"/>
      <c r="L217" s="153" t="n"/>
      <c r="M217" s="153" t="n"/>
      <c r="N217" s="153" t="n"/>
      <c r="O217" s="153" t="n"/>
      <c r="P217" s="153" t="n"/>
      <c r="Q217" s="153" t="n"/>
      <c r="R217" s="153" t="n"/>
      <c r="S217" s="153" t="n"/>
      <c r="T217" s="153" t="n"/>
      <c r="U217" s="153" t="n"/>
      <c r="V217" s="153" t="n"/>
      <c r="W217" s="153" t="n"/>
      <c r="X217" s="153" t="n"/>
      <c r="Y217" s="153" t="n"/>
      <c r="Z217" s="153" t="n"/>
    </row>
    <row r="218" ht="15.75" customHeight="1" s="154">
      <c r="G218" s="153" t="n"/>
      <c r="H218" s="153" t="n"/>
      <c r="I218" s="153" t="n"/>
      <c r="J218" s="153" t="n"/>
      <c r="K218" s="153" t="n"/>
      <c r="L218" s="153" t="n"/>
      <c r="M218" s="153" t="n"/>
      <c r="N218" s="153" t="n"/>
      <c r="O218" s="153" t="n"/>
      <c r="P218" s="153" t="n"/>
      <c r="Q218" s="153" t="n"/>
      <c r="R218" s="153" t="n"/>
      <c r="S218" s="153" t="n"/>
      <c r="T218" s="153" t="n"/>
      <c r="U218" s="153" t="n"/>
      <c r="V218" s="153" t="n"/>
      <c r="W218" s="153" t="n"/>
      <c r="X218" s="153" t="n"/>
      <c r="Y218" s="153" t="n"/>
      <c r="Z218" s="153" t="n"/>
    </row>
    <row r="219" ht="15.75" customHeight="1" s="154">
      <c r="G219" s="153" t="n"/>
      <c r="H219" s="153" t="n"/>
      <c r="I219" s="153" t="n"/>
      <c r="J219" s="153" t="n"/>
      <c r="K219" s="153" t="n"/>
      <c r="L219" s="153" t="n"/>
      <c r="M219" s="153" t="n"/>
      <c r="N219" s="153" t="n"/>
      <c r="O219" s="153" t="n"/>
      <c r="P219" s="153" t="n"/>
      <c r="Q219" s="153" t="n"/>
      <c r="R219" s="153" t="n"/>
      <c r="S219" s="153" t="n"/>
      <c r="T219" s="153" t="n"/>
      <c r="U219" s="153" t="n"/>
      <c r="V219" s="153" t="n"/>
      <c r="W219" s="153" t="n"/>
      <c r="X219" s="153" t="n"/>
      <c r="Y219" s="153" t="n"/>
      <c r="Z219" s="153" t="n"/>
    </row>
    <row r="220" ht="15.75" customHeight="1" s="154">
      <c r="G220" s="153" t="n"/>
      <c r="H220" s="153" t="n"/>
      <c r="I220" s="153" t="n"/>
      <c r="J220" s="153" t="n"/>
      <c r="K220" s="153" t="n"/>
      <c r="L220" s="153" t="n"/>
      <c r="M220" s="153" t="n"/>
      <c r="N220" s="153" t="n"/>
      <c r="O220" s="153" t="n"/>
      <c r="P220" s="153" t="n"/>
      <c r="Q220" s="153" t="n"/>
      <c r="R220" s="153" t="n"/>
      <c r="S220" s="153" t="n"/>
      <c r="T220" s="153" t="n"/>
      <c r="U220" s="153" t="n"/>
      <c r="V220" s="153" t="n"/>
      <c r="W220" s="153" t="n"/>
      <c r="X220" s="153" t="n"/>
      <c r="Y220" s="153" t="n"/>
      <c r="Z220" s="153" t="n"/>
    </row>
    <row r="221" ht="15.75" customHeight="1" s="154">
      <c r="G221" s="153" t="n"/>
      <c r="H221" s="153" t="n"/>
      <c r="I221" s="153" t="n"/>
      <c r="J221" s="153" t="n"/>
      <c r="K221" s="153" t="n"/>
      <c r="L221" s="153" t="n"/>
      <c r="M221" s="153" t="n"/>
      <c r="N221" s="153" t="n"/>
      <c r="O221" s="153" t="n"/>
      <c r="P221" s="153" t="n"/>
      <c r="Q221" s="153" t="n"/>
      <c r="R221" s="153" t="n"/>
      <c r="S221" s="153" t="n"/>
      <c r="T221" s="153" t="n"/>
      <c r="U221" s="153" t="n"/>
      <c r="V221" s="153" t="n"/>
      <c r="W221" s="153" t="n"/>
      <c r="X221" s="153" t="n"/>
      <c r="Y221" s="153" t="n"/>
      <c r="Z221" s="153" t="n"/>
    </row>
    <row r="222" ht="15.75" customHeight="1" s="154">
      <c r="G222" s="153" t="n"/>
      <c r="H222" s="153" t="n"/>
      <c r="I222" s="153" t="n"/>
      <c r="J222" s="153" t="n"/>
      <c r="K222" s="153" t="n"/>
      <c r="L222" s="153" t="n"/>
      <c r="M222" s="153" t="n"/>
      <c r="N222" s="153" t="n"/>
      <c r="O222" s="153" t="n"/>
      <c r="P222" s="153" t="n"/>
      <c r="Q222" s="153" t="n"/>
      <c r="R222" s="153" t="n"/>
      <c r="S222" s="153" t="n"/>
      <c r="T222" s="153" t="n"/>
      <c r="U222" s="153" t="n"/>
      <c r="V222" s="153" t="n"/>
      <c r="W222" s="153" t="n"/>
      <c r="X222" s="153" t="n"/>
      <c r="Y222" s="153" t="n"/>
      <c r="Z222" s="153" t="n"/>
    </row>
    <row r="223" ht="15.75" customHeight="1" s="154">
      <c r="G223" s="153" t="n"/>
      <c r="H223" s="153" t="n"/>
      <c r="I223" s="153" t="n"/>
      <c r="J223" s="153" t="n"/>
      <c r="K223" s="153" t="n"/>
      <c r="L223" s="153" t="n"/>
      <c r="M223" s="153" t="n"/>
      <c r="N223" s="153" t="n"/>
      <c r="O223" s="153" t="n"/>
      <c r="P223" s="153" t="n"/>
      <c r="Q223" s="153" t="n"/>
      <c r="R223" s="153" t="n"/>
      <c r="S223" s="153" t="n"/>
      <c r="T223" s="153" t="n"/>
      <c r="U223" s="153" t="n"/>
      <c r="V223" s="153" t="n"/>
      <c r="W223" s="153" t="n"/>
      <c r="X223" s="153" t="n"/>
      <c r="Y223" s="153" t="n"/>
      <c r="Z223" s="153" t="n"/>
    </row>
    <row r="224" ht="15.75" customHeight="1" s="154">
      <c r="G224" s="153" t="n"/>
      <c r="H224" s="153" t="n"/>
      <c r="I224" s="153" t="n"/>
      <c r="J224" s="153" t="n"/>
      <c r="K224" s="153" t="n"/>
      <c r="L224" s="153" t="n"/>
      <c r="M224" s="153" t="n"/>
      <c r="N224" s="153" t="n"/>
      <c r="O224" s="153" t="n"/>
      <c r="P224" s="153" t="n"/>
      <c r="Q224" s="153" t="n"/>
      <c r="R224" s="153" t="n"/>
      <c r="S224" s="153" t="n"/>
      <c r="T224" s="153" t="n"/>
      <c r="U224" s="153" t="n"/>
      <c r="V224" s="153" t="n"/>
      <c r="W224" s="153" t="n"/>
      <c r="X224" s="153" t="n"/>
      <c r="Y224" s="153" t="n"/>
      <c r="Z224" s="153" t="n"/>
    </row>
    <row r="225" ht="15.75" customHeight="1" s="154">
      <c r="G225" s="153" t="n"/>
      <c r="H225" s="153" t="n"/>
      <c r="I225" s="153" t="n"/>
      <c r="J225" s="153" t="n"/>
      <c r="K225" s="153" t="n"/>
      <c r="L225" s="153" t="n"/>
      <c r="M225" s="153" t="n"/>
      <c r="N225" s="153" t="n"/>
      <c r="O225" s="153" t="n"/>
      <c r="P225" s="153" t="n"/>
      <c r="Q225" s="153" t="n"/>
      <c r="R225" s="153" t="n"/>
      <c r="S225" s="153" t="n"/>
      <c r="T225" s="153" t="n"/>
      <c r="U225" s="153" t="n"/>
      <c r="V225" s="153" t="n"/>
      <c r="W225" s="153" t="n"/>
      <c r="X225" s="153" t="n"/>
      <c r="Y225" s="153" t="n"/>
      <c r="Z225" s="153" t="n"/>
    </row>
    <row r="226" ht="15.75" customHeight="1" s="154">
      <c r="G226" s="153" t="n"/>
      <c r="H226" s="153" t="n"/>
      <c r="I226" s="153" t="n"/>
      <c r="J226" s="153" t="n"/>
      <c r="K226" s="153" t="n"/>
      <c r="L226" s="153" t="n"/>
      <c r="M226" s="153" t="n"/>
      <c r="N226" s="153" t="n"/>
      <c r="O226" s="153" t="n"/>
      <c r="P226" s="153" t="n"/>
      <c r="Q226" s="153" t="n"/>
      <c r="R226" s="153" t="n"/>
      <c r="S226" s="153" t="n"/>
      <c r="T226" s="153" t="n"/>
      <c r="U226" s="153" t="n"/>
      <c r="V226" s="153" t="n"/>
      <c r="W226" s="153" t="n"/>
      <c r="X226" s="153" t="n"/>
      <c r="Y226" s="153" t="n"/>
      <c r="Z226" s="153" t="n"/>
    </row>
    <row r="227" ht="15.75" customHeight="1" s="154">
      <c r="G227" s="153" t="n"/>
      <c r="H227" s="153" t="n"/>
      <c r="I227" s="153" t="n"/>
      <c r="J227" s="153" t="n"/>
      <c r="K227" s="153" t="n"/>
      <c r="L227" s="153" t="n"/>
      <c r="M227" s="153" t="n"/>
      <c r="N227" s="153" t="n"/>
      <c r="O227" s="153" t="n"/>
      <c r="P227" s="153" t="n"/>
      <c r="Q227" s="153" t="n"/>
      <c r="R227" s="153" t="n"/>
      <c r="S227" s="153" t="n"/>
      <c r="T227" s="153" t="n"/>
      <c r="U227" s="153" t="n"/>
      <c r="V227" s="153" t="n"/>
      <c r="W227" s="153" t="n"/>
      <c r="X227" s="153" t="n"/>
      <c r="Y227" s="153" t="n"/>
      <c r="Z227" s="153" t="n"/>
    </row>
    <row r="228" ht="15.75" customHeight="1" s="154">
      <c r="G228" s="153" t="n"/>
      <c r="H228" s="153" t="n"/>
      <c r="I228" s="153" t="n"/>
      <c r="J228" s="153" t="n"/>
      <c r="K228" s="153" t="n"/>
      <c r="L228" s="153" t="n"/>
      <c r="M228" s="153" t="n"/>
      <c r="N228" s="153" t="n"/>
      <c r="O228" s="153" t="n"/>
      <c r="P228" s="153" t="n"/>
      <c r="Q228" s="153" t="n"/>
      <c r="R228" s="153" t="n"/>
      <c r="S228" s="153" t="n"/>
      <c r="T228" s="153" t="n"/>
      <c r="U228" s="153" t="n"/>
      <c r="V228" s="153" t="n"/>
      <c r="W228" s="153" t="n"/>
      <c r="X228" s="153" t="n"/>
      <c r="Y228" s="153" t="n"/>
      <c r="Z228" s="153" t="n"/>
    </row>
    <row r="229" ht="15.75" customHeight="1" s="154">
      <c r="G229" s="153" t="n"/>
      <c r="H229" s="153" t="n"/>
      <c r="I229" s="153" t="n"/>
      <c r="J229" s="153" t="n"/>
      <c r="K229" s="153" t="n"/>
      <c r="L229" s="153" t="n"/>
      <c r="M229" s="153" t="n"/>
      <c r="N229" s="153" t="n"/>
      <c r="O229" s="153" t="n"/>
      <c r="P229" s="153" t="n"/>
      <c r="Q229" s="153" t="n"/>
      <c r="R229" s="153" t="n"/>
      <c r="S229" s="153" t="n"/>
      <c r="T229" s="153" t="n"/>
      <c r="U229" s="153" t="n"/>
      <c r="V229" s="153" t="n"/>
      <c r="W229" s="153" t="n"/>
      <c r="X229" s="153" t="n"/>
      <c r="Y229" s="153" t="n"/>
      <c r="Z229" s="153" t="n"/>
    </row>
    <row r="230" ht="15.75" customHeight="1" s="154">
      <c r="G230" s="153" t="n"/>
      <c r="H230" s="153" t="n"/>
      <c r="I230" s="153" t="n"/>
      <c r="J230" s="153" t="n"/>
      <c r="K230" s="153" t="n"/>
      <c r="L230" s="153" t="n"/>
      <c r="M230" s="153" t="n"/>
      <c r="N230" s="153" t="n"/>
      <c r="O230" s="153" t="n"/>
      <c r="P230" s="153" t="n"/>
      <c r="Q230" s="153" t="n"/>
      <c r="R230" s="153" t="n"/>
      <c r="S230" s="153" t="n"/>
      <c r="T230" s="153" t="n"/>
      <c r="U230" s="153" t="n"/>
      <c r="V230" s="153" t="n"/>
      <c r="W230" s="153" t="n"/>
      <c r="X230" s="153" t="n"/>
      <c r="Y230" s="153" t="n"/>
      <c r="Z230" s="153" t="n"/>
    </row>
    <row r="231" ht="15.75" customHeight="1" s="154">
      <c r="G231" s="153" t="n"/>
      <c r="H231" s="153" t="n"/>
      <c r="I231" s="153" t="n"/>
      <c r="J231" s="153" t="n"/>
      <c r="K231" s="153" t="n"/>
      <c r="L231" s="153" t="n"/>
      <c r="M231" s="153" t="n"/>
      <c r="N231" s="153" t="n"/>
      <c r="O231" s="153" t="n"/>
      <c r="P231" s="153" t="n"/>
      <c r="Q231" s="153" t="n"/>
      <c r="R231" s="153" t="n"/>
      <c r="S231" s="153" t="n"/>
      <c r="T231" s="153" t="n"/>
      <c r="U231" s="153" t="n"/>
      <c r="V231" s="153" t="n"/>
      <c r="W231" s="153" t="n"/>
      <c r="X231" s="153" t="n"/>
      <c r="Y231" s="153" t="n"/>
      <c r="Z231" s="153" t="n"/>
    </row>
    <row r="232" ht="15.75" customHeight="1" s="154">
      <c r="G232" s="153" t="n"/>
      <c r="H232" s="153" t="n"/>
      <c r="I232" s="153" t="n"/>
      <c r="J232" s="153" t="n"/>
      <c r="K232" s="153" t="n"/>
      <c r="L232" s="153" t="n"/>
      <c r="M232" s="153" t="n"/>
      <c r="N232" s="153" t="n"/>
      <c r="O232" s="153" t="n"/>
      <c r="P232" s="153" t="n"/>
      <c r="Q232" s="153" t="n"/>
      <c r="R232" s="153" t="n"/>
      <c r="S232" s="153" t="n"/>
      <c r="T232" s="153" t="n"/>
      <c r="U232" s="153" t="n"/>
      <c r="V232" s="153" t="n"/>
      <c r="W232" s="153" t="n"/>
      <c r="X232" s="153" t="n"/>
      <c r="Y232" s="153" t="n"/>
      <c r="Z232" s="153" t="n"/>
    </row>
    <row r="233" ht="15.75" customHeight="1" s="154">
      <c r="G233" s="153" t="n"/>
      <c r="H233" s="153" t="n"/>
      <c r="I233" s="153" t="n"/>
      <c r="J233" s="153" t="n"/>
      <c r="K233" s="153" t="n"/>
      <c r="L233" s="153" t="n"/>
      <c r="M233" s="153" t="n"/>
      <c r="N233" s="153" t="n"/>
      <c r="O233" s="153" t="n"/>
      <c r="P233" s="153" t="n"/>
      <c r="Q233" s="153" t="n"/>
      <c r="R233" s="153" t="n"/>
      <c r="S233" s="153" t="n"/>
      <c r="T233" s="153" t="n"/>
      <c r="U233" s="153" t="n"/>
      <c r="V233" s="153" t="n"/>
      <c r="W233" s="153" t="n"/>
      <c r="X233" s="153" t="n"/>
      <c r="Y233" s="153" t="n"/>
      <c r="Z233" s="153" t="n"/>
    </row>
    <row r="234" ht="15.75" customHeight="1" s="154">
      <c r="G234" s="153" t="n"/>
      <c r="H234" s="153" t="n"/>
      <c r="I234" s="153" t="n"/>
      <c r="J234" s="153" t="n"/>
      <c r="K234" s="153" t="n"/>
      <c r="L234" s="153" t="n"/>
      <c r="M234" s="153" t="n"/>
      <c r="N234" s="153" t="n"/>
      <c r="O234" s="153" t="n"/>
      <c r="P234" s="153" t="n"/>
      <c r="Q234" s="153" t="n"/>
      <c r="R234" s="153" t="n"/>
      <c r="S234" s="153" t="n"/>
      <c r="T234" s="153" t="n"/>
      <c r="U234" s="153" t="n"/>
      <c r="V234" s="153" t="n"/>
      <c r="W234" s="153" t="n"/>
      <c r="X234" s="153" t="n"/>
      <c r="Y234" s="153" t="n"/>
      <c r="Z234" s="153" t="n"/>
    </row>
    <row r="235" ht="15.75" customHeight="1" s="154">
      <c r="G235" s="153" t="n"/>
      <c r="H235" s="153" t="n"/>
      <c r="I235" s="153" t="n"/>
      <c r="J235" s="153" t="n"/>
      <c r="K235" s="153" t="n"/>
      <c r="L235" s="153" t="n"/>
      <c r="M235" s="153" t="n"/>
      <c r="N235" s="153" t="n"/>
      <c r="O235" s="153" t="n"/>
      <c r="P235" s="153" t="n"/>
      <c r="Q235" s="153" t="n"/>
      <c r="R235" s="153" t="n"/>
      <c r="S235" s="153" t="n"/>
      <c r="T235" s="153" t="n"/>
      <c r="U235" s="153" t="n"/>
      <c r="V235" s="153" t="n"/>
      <c r="W235" s="153" t="n"/>
      <c r="X235" s="153" t="n"/>
      <c r="Y235" s="153" t="n"/>
      <c r="Z235" s="153" t="n"/>
    </row>
    <row r="236" ht="15.75" customHeight="1" s="154">
      <c r="G236" s="153" t="n"/>
      <c r="H236" s="153" t="n"/>
      <c r="I236" s="153" t="n"/>
      <c r="J236" s="153" t="n"/>
      <c r="K236" s="153" t="n"/>
      <c r="L236" s="153" t="n"/>
      <c r="M236" s="153" t="n"/>
      <c r="N236" s="153" t="n"/>
      <c r="O236" s="153" t="n"/>
      <c r="P236" s="153" t="n"/>
      <c r="Q236" s="153" t="n"/>
      <c r="R236" s="153" t="n"/>
      <c r="S236" s="153" t="n"/>
      <c r="T236" s="153" t="n"/>
      <c r="U236" s="153" t="n"/>
      <c r="V236" s="153" t="n"/>
      <c r="W236" s="153" t="n"/>
      <c r="X236" s="153" t="n"/>
      <c r="Y236" s="153" t="n"/>
      <c r="Z236" s="153" t="n"/>
    </row>
    <row r="237" ht="15.75" customHeight="1" s="154">
      <c r="G237" s="153" t="n"/>
      <c r="H237" s="153" t="n"/>
      <c r="I237" s="153" t="n"/>
      <c r="J237" s="153" t="n"/>
      <c r="K237" s="153" t="n"/>
      <c r="L237" s="153" t="n"/>
      <c r="M237" s="153" t="n"/>
      <c r="N237" s="153" t="n"/>
      <c r="O237" s="153" t="n"/>
      <c r="P237" s="153" t="n"/>
      <c r="Q237" s="153" t="n"/>
      <c r="R237" s="153" t="n"/>
      <c r="S237" s="153" t="n"/>
      <c r="T237" s="153" t="n"/>
      <c r="U237" s="153" t="n"/>
      <c r="V237" s="153" t="n"/>
      <c r="W237" s="153" t="n"/>
      <c r="X237" s="153" t="n"/>
      <c r="Y237" s="153" t="n"/>
      <c r="Z237" s="153" t="n"/>
    </row>
    <row r="238" ht="15.75" customHeight="1" s="154">
      <c r="G238" s="153" t="n"/>
      <c r="H238" s="153" t="n"/>
      <c r="I238" s="153" t="n"/>
      <c r="J238" s="153" t="n"/>
      <c r="K238" s="153" t="n"/>
      <c r="L238" s="153" t="n"/>
      <c r="M238" s="153" t="n"/>
      <c r="N238" s="153" t="n"/>
      <c r="O238" s="153" t="n"/>
      <c r="P238" s="153" t="n"/>
      <c r="Q238" s="153" t="n"/>
      <c r="R238" s="153" t="n"/>
      <c r="S238" s="153" t="n"/>
      <c r="T238" s="153" t="n"/>
      <c r="U238" s="153" t="n"/>
      <c r="V238" s="153" t="n"/>
      <c r="W238" s="153" t="n"/>
      <c r="X238" s="153" t="n"/>
      <c r="Y238" s="153" t="n"/>
      <c r="Z238" s="153" t="n"/>
    </row>
    <row r="239" ht="15.75" customHeight="1" s="154">
      <c r="G239" s="153" t="n"/>
      <c r="H239" s="153" t="n"/>
      <c r="I239" s="153" t="n"/>
      <c r="J239" s="153" t="n"/>
      <c r="K239" s="153" t="n"/>
      <c r="L239" s="153" t="n"/>
      <c r="M239" s="153" t="n"/>
      <c r="N239" s="153" t="n"/>
      <c r="O239" s="153" t="n"/>
      <c r="P239" s="153" t="n"/>
      <c r="Q239" s="153" t="n"/>
      <c r="R239" s="153" t="n"/>
      <c r="S239" s="153" t="n"/>
      <c r="T239" s="153" t="n"/>
      <c r="U239" s="153" t="n"/>
      <c r="V239" s="153" t="n"/>
      <c r="W239" s="153" t="n"/>
      <c r="X239" s="153" t="n"/>
      <c r="Y239" s="153" t="n"/>
      <c r="Z239" s="153" t="n"/>
    </row>
    <row r="240" ht="15.75" customHeight="1" s="154">
      <c r="G240" s="153" t="n"/>
      <c r="H240" s="153" t="n"/>
      <c r="I240" s="153" t="n"/>
      <c r="J240" s="153" t="n"/>
      <c r="K240" s="153" t="n"/>
      <c r="L240" s="153" t="n"/>
      <c r="M240" s="153" t="n"/>
      <c r="N240" s="153" t="n"/>
      <c r="O240" s="153" t="n"/>
      <c r="P240" s="153" t="n"/>
      <c r="Q240" s="153" t="n"/>
      <c r="R240" s="153" t="n"/>
      <c r="S240" s="153" t="n"/>
      <c r="T240" s="153" t="n"/>
      <c r="U240" s="153" t="n"/>
      <c r="V240" s="153" t="n"/>
      <c r="W240" s="153" t="n"/>
      <c r="X240" s="153" t="n"/>
      <c r="Y240" s="153" t="n"/>
      <c r="Z240" s="153" t="n"/>
    </row>
    <row r="241" ht="15.75" customHeight="1" s="154">
      <c r="G241" s="153" t="n"/>
      <c r="H241" s="153" t="n"/>
      <c r="I241" s="153" t="n"/>
      <c r="J241" s="153" t="n"/>
      <c r="K241" s="153" t="n"/>
      <c r="L241" s="153" t="n"/>
      <c r="M241" s="153" t="n"/>
      <c r="N241" s="153" t="n"/>
      <c r="O241" s="153" t="n"/>
      <c r="P241" s="153" t="n"/>
      <c r="Q241" s="153" t="n"/>
      <c r="R241" s="153" t="n"/>
      <c r="S241" s="153" t="n"/>
      <c r="T241" s="153" t="n"/>
      <c r="U241" s="153" t="n"/>
      <c r="V241" s="153" t="n"/>
      <c r="W241" s="153" t="n"/>
      <c r="X241" s="153" t="n"/>
      <c r="Y241" s="153" t="n"/>
      <c r="Z241" s="153" t="n"/>
    </row>
    <row r="242" ht="15.75" customHeight="1" s="154">
      <c r="G242" s="153" t="n"/>
      <c r="H242" s="153" t="n"/>
      <c r="I242" s="153" t="n"/>
      <c r="J242" s="153" t="n"/>
      <c r="K242" s="153" t="n"/>
      <c r="L242" s="153" t="n"/>
      <c r="M242" s="153" t="n"/>
      <c r="N242" s="153" t="n"/>
      <c r="O242" s="153" t="n"/>
      <c r="P242" s="153" t="n"/>
      <c r="Q242" s="153" t="n"/>
      <c r="R242" s="153" t="n"/>
      <c r="S242" s="153" t="n"/>
      <c r="T242" s="153" t="n"/>
      <c r="U242" s="153" t="n"/>
      <c r="V242" s="153" t="n"/>
      <c r="W242" s="153" t="n"/>
      <c r="X242" s="153" t="n"/>
      <c r="Y242" s="153" t="n"/>
      <c r="Z242" s="153" t="n"/>
    </row>
    <row r="243" ht="15.75" customHeight="1" s="154">
      <c r="G243" s="153" t="n"/>
      <c r="H243" s="153" t="n"/>
      <c r="I243" s="153" t="n"/>
      <c r="J243" s="153" t="n"/>
      <c r="K243" s="153" t="n"/>
      <c r="L243" s="153" t="n"/>
      <c r="M243" s="153" t="n"/>
      <c r="N243" s="153" t="n"/>
      <c r="O243" s="153" t="n"/>
      <c r="P243" s="153" t="n"/>
      <c r="Q243" s="153" t="n"/>
      <c r="R243" s="153" t="n"/>
      <c r="S243" s="153" t="n"/>
      <c r="T243" s="153" t="n"/>
      <c r="U243" s="153" t="n"/>
      <c r="V243" s="153" t="n"/>
      <c r="W243" s="153" t="n"/>
      <c r="X243" s="153" t="n"/>
      <c r="Y243" s="153" t="n"/>
      <c r="Z243" s="153" t="n"/>
    </row>
    <row r="244" ht="15.75" customHeight="1" s="154">
      <c r="G244" s="153" t="n"/>
      <c r="H244" s="153" t="n"/>
      <c r="I244" s="153" t="n"/>
      <c r="J244" s="153" t="n"/>
      <c r="K244" s="153" t="n"/>
      <c r="L244" s="153" t="n"/>
      <c r="M244" s="153" t="n"/>
      <c r="N244" s="153" t="n"/>
      <c r="O244" s="153" t="n"/>
      <c r="P244" s="153" t="n"/>
      <c r="Q244" s="153" t="n"/>
      <c r="R244" s="153" t="n"/>
      <c r="S244" s="153" t="n"/>
      <c r="T244" s="153" t="n"/>
      <c r="U244" s="153" t="n"/>
      <c r="V244" s="153" t="n"/>
      <c r="W244" s="153" t="n"/>
      <c r="X244" s="153" t="n"/>
      <c r="Y244" s="153" t="n"/>
      <c r="Z244" s="153" t="n"/>
    </row>
    <row r="245" ht="15.75" customHeight="1" s="154">
      <c r="G245" s="153" t="n"/>
      <c r="H245" s="153" t="n"/>
      <c r="I245" s="153" t="n"/>
      <c r="J245" s="153" t="n"/>
      <c r="K245" s="153" t="n"/>
      <c r="L245" s="153" t="n"/>
      <c r="M245" s="153" t="n"/>
      <c r="N245" s="153" t="n"/>
      <c r="O245" s="153" t="n"/>
      <c r="P245" s="153" t="n"/>
      <c r="Q245" s="153" t="n"/>
      <c r="R245" s="153" t="n"/>
      <c r="S245" s="153" t="n"/>
      <c r="T245" s="153" t="n"/>
      <c r="U245" s="153" t="n"/>
      <c r="V245" s="153" t="n"/>
      <c r="W245" s="153" t="n"/>
      <c r="X245" s="153" t="n"/>
      <c r="Y245" s="153" t="n"/>
      <c r="Z245" s="153" t="n"/>
    </row>
    <row r="246" ht="15.75" customHeight="1" s="154">
      <c r="G246" s="153" t="n"/>
      <c r="H246" s="153" t="n"/>
      <c r="I246" s="153" t="n"/>
      <c r="J246" s="153" t="n"/>
      <c r="K246" s="153" t="n"/>
      <c r="L246" s="153" t="n"/>
      <c r="M246" s="153" t="n"/>
      <c r="N246" s="153" t="n"/>
      <c r="O246" s="153" t="n"/>
      <c r="P246" s="153" t="n"/>
      <c r="Q246" s="153" t="n"/>
      <c r="R246" s="153" t="n"/>
      <c r="S246" s="153" t="n"/>
      <c r="T246" s="153" t="n"/>
      <c r="U246" s="153" t="n"/>
      <c r="V246" s="153" t="n"/>
      <c r="W246" s="153" t="n"/>
      <c r="X246" s="153" t="n"/>
      <c r="Y246" s="153" t="n"/>
      <c r="Z246" s="153" t="n"/>
    </row>
    <row r="247" ht="15.75" customHeight="1" s="154">
      <c r="G247" s="153" t="n"/>
      <c r="H247" s="153" t="n"/>
      <c r="I247" s="153" t="n"/>
      <c r="J247" s="153" t="n"/>
      <c r="K247" s="153" t="n"/>
      <c r="L247" s="153" t="n"/>
      <c r="M247" s="153" t="n"/>
      <c r="N247" s="153" t="n"/>
      <c r="O247" s="153" t="n"/>
      <c r="P247" s="153" t="n"/>
      <c r="Q247" s="153" t="n"/>
      <c r="R247" s="153" t="n"/>
      <c r="S247" s="153" t="n"/>
      <c r="T247" s="153" t="n"/>
      <c r="U247" s="153" t="n"/>
      <c r="V247" s="153" t="n"/>
      <c r="W247" s="153" t="n"/>
      <c r="X247" s="153" t="n"/>
      <c r="Y247" s="153" t="n"/>
      <c r="Z247" s="153" t="n"/>
    </row>
    <row r="248" ht="15.75" customHeight="1" s="154">
      <c r="G248" s="153" t="n"/>
      <c r="H248" s="153" t="n"/>
      <c r="I248" s="153" t="n"/>
      <c r="J248" s="153" t="n"/>
      <c r="K248" s="153" t="n"/>
      <c r="L248" s="153" t="n"/>
      <c r="M248" s="153" t="n"/>
      <c r="N248" s="153" t="n"/>
      <c r="O248" s="153" t="n"/>
      <c r="P248" s="153" t="n"/>
      <c r="Q248" s="153" t="n"/>
      <c r="R248" s="153" t="n"/>
      <c r="S248" s="153" t="n"/>
      <c r="T248" s="153" t="n"/>
      <c r="U248" s="153" t="n"/>
      <c r="V248" s="153" t="n"/>
      <c r="W248" s="153" t="n"/>
      <c r="X248" s="153" t="n"/>
      <c r="Y248" s="153" t="n"/>
      <c r="Z248" s="153" t="n"/>
    </row>
    <row r="249" ht="15.75" customHeight="1" s="154">
      <c r="G249" s="153" t="n"/>
      <c r="H249" s="153" t="n"/>
      <c r="I249" s="153" t="n"/>
      <c r="J249" s="153" t="n"/>
      <c r="K249" s="153" t="n"/>
      <c r="L249" s="153" t="n"/>
      <c r="M249" s="153" t="n"/>
      <c r="N249" s="153" t="n"/>
      <c r="O249" s="153" t="n"/>
      <c r="P249" s="153" t="n"/>
      <c r="Q249" s="153" t="n"/>
      <c r="R249" s="153" t="n"/>
      <c r="S249" s="153" t="n"/>
      <c r="T249" s="153" t="n"/>
      <c r="U249" s="153" t="n"/>
      <c r="V249" s="153" t="n"/>
      <c r="W249" s="153" t="n"/>
      <c r="X249" s="153" t="n"/>
      <c r="Y249" s="153" t="n"/>
      <c r="Z249" s="153" t="n"/>
    </row>
    <row r="250" ht="15.75" customHeight="1" s="154">
      <c r="G250" s="153" t="n"/>
      <c r="H250" s="153" t="n"/>
      <c r="I250" s="153" t="n"/>
      <c r="J250" s="153" t="n"/>
      <c r="K250" s="153" t="n"/>
      <c r="L250" s="153" t="n"/>
      <c r="M250" s="153" t="n"/>
      <c r="N250" s="153" t="n"/>
      <c r="O250" s="153" t="n"/>
      <c r="P250" s="153" t="n"/>
      <c r="Q250" s="153" t="n"/>
      <c r="R250" s="153" t="n"/>
      <c r="S250" s="153" t="n"/>
      <c r="T250" s="153" t="n"/>
      <c r="U250" s="153" t="n"/>
      <c r="V250" s="153" t="n"/>
      <c r="W250" s="153" t="n"/>
      <c r="X250" s="153" t="n"/>
      <c r="Y250" s="153" t="n"/>
      <c r="Z250" s="153" t="n"/>
    </row>
    <row r="251" ht="15.75" customHeight="1" s="154">
      <c r="G251" s="153" t="n"/>
      <c r="H251" s="153" t="n"/>
      <c r="I251" s="153" t="n"/>
      <c r="J251" s="153" t="n"/>
      <c r="K251" s="153" t="n"/>
      <c r="L251" s="153" t="n"/>
      <c r="M251" s="153" t="n"/>
      <c r="N251" s="153" t="n"/>
      <c r="O251" s="153" t="n"/>
      <c r="P251" s="153" t="n"/>
      <c r="Q251" s="153" t="n"/>
      <c r="R251" s="153" t="n"/>
      <c r="S251" s="153" t="n"/>
      <c r="T251" s="153" t="n"/>
      <c r="U251" s="153" t="n"/>
      <c r="V251" s="153" t="n"/>
      <c r="W251" s="153" t="n"/>
      <c r="X251" s="153" t="n"/>
      <c r="Y251" s="153" t="n"/>
      <c r="Z251" s="153" t="n"/>
    </row>
    <row r="252" ht="15.75" customHeight="1" s="154">
      <c r="G252" s="153" t="n"/>
      <c r="H252" s="153" t="n"/>
      <c r="I252" s="153" t="n"/>
      <c r="J252" s="153" t="n"/>
      <c r="K252" s="153" t="n"/>
      <c r="L252" s="153" t="n"/>
      <c r="M252" s="153" t="n"/>
      <c r="N252" s="153" t="n"/>
      <c r="O252" s="153" t="n"/>
      <c r="P252" s="153" t="n"/>
      <c r="Q252" s="153" t="n"/>
      <c r="R252" s="153" t="n"/>
      <c r="S252" s="153" t="n"/>
      <c r="T252" s="153" t="n"/>
      <c r="U252" s="153" t="n"/>
      <c r="V252" s="153" t="n"/>
      <c r="W252" s="153" t="n"/>
      <c r="X252" s="153" t="n"/>
      <c r="Y252" s="153" t="n"/>
      <c r="Z252" s="153" t="n"/>
    </row>
    <row r="253" ht="15.75" customHeight="1" s="154">
      <c r="G253" s="153" t="n"/>
      <c r="H253" s="153" t="n"/>
      <c r="I253" s="153" t="n"/>
      <c r="J253" s="153" t="n"/>
      <c r="K253" s="153" t="n"/>
      <c r="L253" s="153" t="n"/>
      <c r="M253" s="153" t="n"/>
      <c r="N253" s="153" t="n"/>
      <c r="O253" s="153" t="n"/>
      <c r="P253" s="153" t="n"/>
      <c r="Q253" s="153" t="n"/>
      <c r="R253" s="153" t="n"/>
      <c r="S253" s="153" t="n"/>
      <c r="T253" s="153" t="n"/>
      <c r="U253" s="153" t="n"/>
      <c r="V253" s="153" t="n"/>
      <c r="W253" s="153" t="n"/>
      <c r="X253" s="153" t="n"/>
      <c r="Y253" s="153" t="n"/>
      <c r="Z253" s="153" t="n"/>
    </row>
    <row r="254" ht="15.75" customHeight="1" s="154">
      <c r="G254" s="153" t="n"/>
      <c r="H254" s="153" t="n"/>
      <c r="I254" s="153" t="n"/>
      <c r="J254" s="153" t="n"/>
      <c r="K254" s="153" t="n"/>
      <c r="L254" s="153" t="n"/>
      <c r="M254" s="153" t="n"/>
      <c r="N254" s="153" t="n"/>
      <c r="O254" s="153" t="n"/>
      <c r="P254" s="153" t="n"/>
      <c r="Q254" s="153" t="n"/>
      <c r="R254" s="153" t="n"/>
      <c r="S254" s="153" t="n"/>
      <c r="T254" s="153" t="n"/>
      <c r="U254" s="153" t="n"/>
      <c r="V254" s="153" t="n"/>
      <c r="W254" s="153" t="n"/>
      <c r="X254" s="153" t="n"/>
      <c r="Y254" s="153" t="n"/>
      <c r="Z254" s="153" t="n"/>
    </row>
    <row r="255" ht="15.75" customHeight="1" s="154">
      <c r="G255" s="153" t="n"/>
      <c r="H255" s="153" t="n"/>
      <c r="I255" s="153" t="n"/>
      <c r="J255" s="153" t="n"/>
      <c r="K255" s="153" t="n"/>
      <c r="L255" s="153" t="n"/>
      <c r="M255" s="153" t="n"/>
      <c r="N255" s="153" t="n"/>
      <c r="O255" s="153" t="n"/>
      <c r="P255" s="153" t="n"/>
      <c r="Q255" s="153" t="n"/>
      <c r="R255" s="153" t="n"/>
      <c r="S255" s="153" t="n"/>
      <c r="T255" s="153" t="n"/>
      <c r="U255" s="153" t="n"/>
      <c r="V255" s="153" t="n"/>
      <c r="W255" s="153" t="n"/>
      <c r="X255" s="153" t="n"/>
      <c r="Y255" s="153" t="n"/>
      <c r="Z255" s="153" t="n"/>
    </row>
    <row r="256" ht="15.75" customHeight="1" s="154">
      <c r="G256" s="153" t="n"/>
      <c r="H256" s="153" t="n"/>
      <c r="I256" s="153" t="n"/>
      <c r="J256" s="153" t="n"/>
      <c r="K256" s="153" t="n"/>
      <c r="L256" s="153" t="n"/>
      <c r="M256" s="153" t="n"/>
      <c r="N256" s="153" t="n"/>
      <c r="O256" s="153" t="n"/>
      <c r="P256" s="153" t="n"/>
      <c r="Q256" s="153" t="n"/>
      <c r="R256" s="153" t="n"/>
      <c r="S256" s="153" t="n"/>
      <c r="T256" s="153" t="n"/>
      <c r="U256" s="153" t="n"/>
      <c r="V256" s="153" t="n"/>
      <c r="W256" s="153" t="n"/>
      <c r="X256" s="153" t="n"/>
      <c r="Y256" s="153" t="n"/>
      <c r="Z256" s="153" t="n"/>
    </row>
    <row r="257" ht="15.75" customHeight="1" s="154">
      <c r="G257" s="153" t="n"/>
      <c r="H257" s="153" t="n"/>
      <c r="I257" s="153" t="n"/>
      <c r="J257" s="153" t="n"/>
      <c r="K257" s="153" t="n"/>
      <c r="L257" s="153" t="n"/>
      <c r="M257" s="153" t="n"/>
      <c r="N257" s="153" t="n"/>
      <c r="O257" s="153" t="n"/>
      <c r="P257" s="153" t="n"/>
      <c r="Q257" s="153" t="n"/>
      <c r="R257" s="153" t="n"/>
      <c r="S257" s="153" t="n"/>
      <c r="T257" s="153" t="n"/>
      <c r="U257" s="153" t="n"/>
      <c r="V257" s="153" t="n"/>
      <c r="W257" s="153" t="n"/>
      <c r="X257" s="153" t="n"/>
      <c r="Y257" s="153" t="n"/>
      <c r="Z257" s="153" t="n"/>
    </row>
    <row r="258" ht="15.75" customHeight="1" s="154">
      <c r="G258" s="153" t="n"/>
      <c r="H258" s="153" t="n"/>
      <c r="I258" s="153" t="n"/>
      <c r="J258" s="153" t="n"/>
      <c r="K258" s="153" t="n"/>
      <c r="L258" s="153" t="n"/>
      <c r="M258" s="153" t="n"/>
      <c r="N258" s="153" t="n"/>
      <c r="O258" s="153" t="n"/>
      <c r="P258" s="153" t="n"/>
      <c r="Q258" s="153" t="n"/>
      <c r="R258" s="153" t="n"/>
      <c r="S258" s="153" t="n"/>
      <c r="T258" s="153" t="n"/>
      <c r="U258" s="153" t="n"/>
      <c r="V258" s="153" t="n"/>
      <c r="W258" s="153" t="n"/>
      <c r="X258" s="153" t="n"/>
      <c r="Y258" s="153" t="n"/>
      <c r="Z258" s="153" t="n"/>
    </row>
    <row r="259" ht="15.75" customHeight="1" s="154">
      <c r="G259" s="153" t="n"/>
      <c r="H259" s="153" t="n"/>
      <c r="I259" s="153" t="n"/>
      <c r="J259" s="153" t="n"/>
      <c r="K259" s="153" t="n"/>
      <c r="L259" s="153" t="n"/>
      <c r="M259" s="153" t="n"/>
      <c r="N259" s="153" t="n"/>
      <c r="O259" s="153" t="n"/>
      <c r="P259" s="153" t="n"/>
      <c r="Q259" s="153" t="n"/>
      <c r="R259" s="153" t="n"/>
      <c r="S259" s="153" t="n"/>
      <c r="T259" s="153" t="n"/>
      <c r="U259" s="153" t="n"/>
      <c r="V259" s="153" t="n"/>
      <c r="W259" s="153" t="n"/>
      <c r="X259" s="153" t="n"/>
      <c r="Y259" s="153" t="n"/>
      <c r="Z259" s="153" t="n"/>
    </row>
    <row r="260" ht="15.75" customHeight="1" s="154">
      <c r="G260" s="153" t="n"/>
      <c r="H260" s="153" t="n"/>
      <c r="I260" s="153" t="n"/>
      <c r="J260" s="153" t="n"/>
      <c r="K260" s="153" t="n"/>
      <c r="L260" s="153" t="n"/>
      <c r="M260" s="153" t="n"/>
      <c r="N260" s="153" t="n"/>
      <c r="O260" s="153" t="n"/>
      <c r="P260" s="153" t="n"/>
      <c r="Q260" s="153" t="n"/>
      <c r="R260" s="153" t="n"/>
      <c r="S260" s="153" t="n"/>
      <c r="T260" s="153" t="n"/>
      <c r="U260" s="153" t="n"/>
      <c r="V260" s="153" t="n"/>
      <c r="W260" s="153" t="n"/>
      <c r="X260" s="153" t="n"/>
      <c r="Y260" s="153" t="n"/>
      <c r="Z260" s="153" t="n"/>
    </row>
    <row r="261" ht="15.75" customHeight="1" s="154">
      <c r="G261" s="153" t="n"/>
      <c r="H261" s="153" t="n"/>
      <c r="I261" s="153" t="n"/>
      <c r="J261" s="153" t="n"/>
      <c r="K261" s="153" t="n"/>
      <c r="L261" s="153" t="n"/>
      <c r="M261" s="153" t="n"/>
      <c r="N261" s="153" t="n"/>
      <c r="O261" s="153" t="n"/>
      <c r="P261" s="153" t="n"/>
      <c r="Q261" s="153" t="n"/>
      <c r="R261" s="153" t="n"/>
      <c r="S261" s="153" t="n"/>
      <c r="T261" s="153" t="n"/>
      <c r="U261" s="153" t="n"/>
      <c r="V261" s="153" t="n"/>
      <c r="W261" s="153" t="n"/>
      <c r="X261" s="153" t="n"/>
      <c r="Y261" s="153" t="n"/>
      <c r="Z261" s="153" t="n"/>
    </row>
    <row r="262" ht="15.75" customHeight="1" s="154">
      <c r="G262" s="153" t="n"/>
      <c r="H262" s="153" t="n"/>
      <c r="I262" s="153" t="n"/>
      <c r="J262" s="153" t="n"/>
      <c r="K262" s="153" t="n"/>
      <c r="L262" s="153" t="n"/>
      <c r="M262" s="153" t="n"/>
      <c r="N262" s="153" t="n"/>
      <c r="O262" s="153" t="n"/>
      <c r="P262" s="153" t="n"/>
      <c r="Q262" s="153" t="n"/>
      <c r="R262" s="153" t="n"/>
      <c r="S262" s="153" t="n"/>
      <c r="T262" s="153" t="n"/>
      <c r="U262" s="153" t="n"/>
      <c r="V262" s="153" t="n"/>
      <c r="W262" s="153" t="n"/>
      <c r="X262" s="153" t="n"/>
      <c r="Y262" s="153" t="n"/>
      <c r="Z262" s="153" t="n"/>
    </row>
    <row r="263" ht="15.75" customHeight="1" s="154">
      <c r="G263" s="153" t="n"/>
      <c r="H263" s="153" t="n"/>
      <c r="I263" s="153" t="n"/>
      <c r="J263" s="153" t="n"/>
      <c r="K263" s="153" t="n"/>
      <c r="L263" s="153" t="n"/>
      <c r="M263" s="153" t="n"/>
      <c r="N263" s="153" t="n"/>
      <c r="O263" s="153" t="n"/>
      <c r="P263" s="153" t="n"/>
      <c r="Q263" s="153" t="n"/>
      <c r="R263" s="153" t="n"/>
      <c r="S263" s="153" t="n"/>
      <c r="T263" s="153" t="n"/>
      <c r="U263" s="153" t="n"/>
      <c r="V263" s="153" t="n"/>
      <c r="W263" s="153" t="n"/>
      <c r="X263" s="153" t="n"/>
      <c r="Y263" s="153" t="n"/>
      <c r="Z263" s="153" t="n"/>
    </row>
    <row r="264" ht="15.75" customHeight="1" s="154">
      <c r="G264" s="153" t="n"/>
      <c r="H264" s="153" t="n"/>
      <c r="I264" s="153" t="n"/>
      <c r="J264" s="153" t="n"/>
      <c r="K264" s="153" t="n"/>
      <c r="L264" s="153" t="n"/>
      <c r="M264" s="153" t="n"/>
      <c r="N264" s="153" t="n"/>
      <c r="O264" s="153" t="n"/>
      <c r="P264" s="153" t="n"/>
      <c r="Q264" s="153" t="n"/>
      <c r="R264" s="153" t="n"/>
      <c r="S264" s="153" t="n"/>
      <c r="T264" s="153" t="n"/>
      <c r="U264" s="153" t="n"/>
      <c r="V264" s="153" t="n"/>
      <c r="W264" s="153" t="n"/>
      <c r="X264" s="153" t="n"/>
      <c r="Y264" s="153" t="n"/>
      <c r="Z264" s="153" t="n"/>
    </row>
    <row r="265" ht="15.75" customHeight="1" s="154">
      <c r="G265" s="153" t="n"/>
      <c r="H265" s="153" t="n"/>
      <c r="I265" s="153" t="n"/>
      <c r="J265" s="153" t="n"/>
      <c r="K265" s="153" t="n"/>
      <c r="L265" s="153" t="n"/>
      <c r="M265" s="153" t="n"/>
      <c r="N265" s="153" t="n"/>
      <c r="O265" s="153" t="n"/>
      <c r="P265" s="153" t="n"/>
      <c r="Q265" s="153" t="n"/>
      <c r="R265" s="153" t="n"/>
      <c r="S265" s="153" t="n"/>
      <c r="T265" s="153" t="n"/>
      <c r="U265" s="153" t="n"/>
      <c r="V265" s="153" t="n"/>
      <c r="W265" s="153" t="n"/>
      <c r="X265" s="153" t="n"/>
      <c r="Y265" s="153" t="n"/>
      <c r="Z265" s="153" t="n"/>
    </row>
    <row r="266" ht="15.75" customHeight="1" s="154">
      <c r="G266" s="153" t="n"/>
      <c r="H266" s="153" t="n"/>
      <c r="I266" s="153" t="n"/>
      <c r="J266" s="153" t="n"/>
      <c r="K266" s="153" t="n"/>
      <c r="L266" s="153" t="n"/>
      <c r="M266" s="153" t="n"/>
      <c r="N266" s="153" t="n"/>
      <c r="O266" s="153" t="n"/>
      <c r="P266" s="153" t="n"/>
      <c r="Q266" s="153" t="n"/>
      <c r="R266" s="153" t="n"/>
      <c r="S266" s="153" t="n"/>
      <c r="T266" s="153" t="n"/>
      <c r="U266" s="153" t="n"/>
      <c r="V266" s="153" t="n"/>
      <c r="W266" s="153" t="n"/>
      <c r="X266" s="153" t="n"/>
      <c r="Y266" s="153" t="n"/>
      <c r="Z266" s="153" t="n"/>
    </row>
    <row r="267" ht="15.75" customHeight="1" s="154">
      <c r="G267" s="153" t="n"/>
      <c r="H267" s="153" t="n"/>
      <c r="I267" s="153" t="n"/>
      <c r="J267" s="153" t="n"/>
      <c r="K267" s="153" t="n"/>
      <c r="L267" s="153" t="n"/>
      <c r="M267" s="153" t="n"/>
      <c r="N267" s="153" t="n"/>
      <c r="O267" s="153" t="n"/>
      <c r="P267" s="153" t="n"/>
      <c r="Q267" s="153" t="n"/>
      <c r="R267" s="153" t="n"/>
      <c r="S267" s="153" t="n"/>
      <c r="T267" s="153" t="n"/>
      <c r="U267" s="153" t="n"/>
      <c r="V267" s="153" t="n"/>
      <c r="W267" s="153" t="n"/>
      <c r="X267" s="153" t="n"/>
      <c r="Y267" s="153" t="n"/>
      <c r="Z267" s="153" t="n"/>
    </row>
    <row r="268" ht="15.75" customHeight="1" s="154">
      <c r="G268" s="153" t="n"/>
      <c r="H268" s="153" t="n"/>
      <c r="I268" s="153" t="n"/>
      <c r="J268" s="153" t="n"/>
      <c r="K268" s="153" t="n"/>
      <c r="L268" s="153" t="n"/>
      <c r="M268" s="153" t="n"/>
      <c r="N268" s="153" t="n"/>
      <c r="O268" s="153" t="n"/>
      <c r="P268" s="153" t="n"/>
      <c r="Q268" s="153" t="n"/>
      <c r="R268" s="153" t="n"/>
      <c r="S268" s="153" t="n"/>
      <c r="T268" s="153" t="n"/>
      <c r="U268" s="153" t="n"/>
      <c r="V268" s="153" t="n"/>
      <c r="W268" s="153" t="n"/>
      <c r="X268" s="153" t="n"/>
      <c r="Y268" s="153" t="n"/>
      <c r="Z268" s="153" t="n"/>
    </row>
    <row r="269" ht="15.75" customHeight="1" s="154">
      <c r="G269" s="153" t="n"/>
      <c r="H269" s="153" t="n"/>
      <c r="I269" s="153" t="n"/>
      <c r="J269" s="153" t="n"/>
      <c r="K269" s="153" t="n"/>
      <c r="L269" s="153" t="n"/>
      <c r="M269" s="153" t="n"/>
      <c r="N269" s="153" t="n"/>
      <c r="O269" s="153" t="n"/>
      <c r="P269" s="153" t="n"/>
      <c r="Q269" s="153" t="n"/>
      <c r="R269" s="153" t="n"/>
      <c r="S269" s="153" t="n"/>
      <c r="T269" s="153" t="n"/>
      <c r="U269" s="153" t="n"/>
      <c r="V269" s="153" t="n"/>
      <c r="W269" s="153" t="n"/>
      <c r="X269" s="153" t="n"/>
      <c r="Y269" s="153" t="n"/>
      <c r="Z269" s="153" t="n"/>
    </row>
    <row r="270" ht="15.75" customHeight="1" s="154">
      <c r="G270" s="153" t="n"/>
      <c r="H270" s="153" t="n"/>
      <c r="I270" s="153" t="n"/>
      <c r="J270" s="153" t="n"/>
      <c r="K270" s="153" t="n"/>
      <c r="L270" s="153" t="n"/>
      <c r="M270" s="153" t="n"/>
      <c r="N270" s="153" t="n"/>
      <c r="O270" s="153" t="n"/>
      <c r="P270" s="153" t="n"/>
      <c r="Q270" s="153" t="n"/>
      <c r="R270" s="153" t="n"/>
      <c r="S270" s="153" t="n"/>
      <c r="T270" s="153" t="n"/>
      <c r="U270" s="153" t="n"/>
      <c r="V270" s="153" t="n"/>
      <c r="W270" s="153" t="n"/>
      <c r="X270" s="153" t="n"/>
      <c r="Y270" s="153" t="n"/>
      <c r="Z270" s="153" t="n"/>
    </row>
    <row r="271" ht="15.75" customHeight="1" s="154">
      <c r="G271" s="153" t="n"/>
      <c r="H271" s="153" t="n"/>
      <c r="I271" s="153" t="n"/>
      <c r="J271" s="153" t="n"/>
      <c r="K271" s="153" t="n"/>
      <c r="L271" s="153" t="n"/>
      <c r="M271" s="153" t="n"/>
      <c r="N271" s="153" t="n"/>
      <c r="O271" s="153" t="n"/>
      <c r="P271" s="153" t="n"/>
      <c r="Q271" s="153" t="n"/>
      <c r="R271" s="153" t="n"/>
      <c r="S271" s="153" t="n"/>
      <c r="T271" s="153" t="n"/>
      <c r="U271" s="153" t="n"/>
      <c r="V271" s="153" t="n"/>
      <c r="W271" s="153" t="n"/>
      <c r="X271" s="153" t="n"/>
      <c r="Y271" s="153" t="n"/>
      <c r="Z271" s="153" t="n"/>
    </row>
    <row r="272" ht="15.75" customHeight="1" s="154">
      <c r="G272" s="153" t="n"/>
      <c r="H272" s="153" t="n"/>
      <c r="I272" s="153" t="n"/>
      <c r="J272" s="153" t="n"/>
      <c r="K272" s="153" t="n"/>
      <c r="L272" s="153" t="n"/>
      <c r="M272" s="153" t="n"/>
      <c r="N272" s="153" t="n"/>
      <c r="O272" s="153" t="n"/>
      <c r="P272" s="153" t="n"/>
      <c r="Q272" s="153" t="n"/>
      <c r="R272" s="153" t="n"/>
      <c r="S272" s="153" t="n"/>
      <c r="T272" s="153" t="n"/>
      <c r="U272" s="153" t="n"/>
      <c r="V272" s="153" t="n"/>
      <c r="W272" s="153" t="n"/>
      <c r="X272" s="153" t="n"/>
      <c r="Y272" s="153" t="n"/>
      <c r="Z272" s="153" t="n"/>
    </row>
    <row r="273" ht="15.75" customHeight="1" s="154">
      <c r="G273" s="153" t="n"/>
      <c r="H273" s="153" t="n"/>
      <c r="I273" s="153" t="n"/>
      <c r="J273" s="153" t="n"/>
      <c r="K273" s="153" t="n"/>
      <c r="L273" s="153" t="n"/>
      <c r="M273" s="153" t="n"/>
      <c r="N273" s="153" t="n"/>
      <c r="O273" s="153" t="n"/>
      <c r="P273" s="153" t="n"/>
      <c r="Q273" s="153" t="n"/>
      <c r="R273" s="153" t="n"/>
      <c r="S273" s="153" t="n"/>
      <c r="T273" s="153" t="n"/>
      <c r="U273" s="153" t="n"/>
      <c r="V273" s="153" t="n"/>
      <c r="W273" s="153" t="n"/>
      <c r="X273" s="153" t="n"/>
      <c r="Y273" s="153" t="n"/>
      <c r="Z273" s="153" t="n"/>
    </row>
    <row r="274" ht="15.75" customHeight="1" s="154">
      <c r="G274" s="153" t="n"/>
      <c r="H274" s="153" t="n"/>
      <c r="I274" s="153" t="n"/>
      <c r="J274" s="153" t="n"/>
      <c r="K274" s="153" t="n"/>
      <c r="L274" s="153" t="n"/>
      <c r="M274" s="153" t="n"/>
      <c r="N274" s="153" t="n"/>
      <c r="O274" s="153" t="n"/>
      <c r="P274" s="153" t="n"/>
      <c r="Q274" s="153" t="n"/>
      <c r="R274" s="153" t="n"/>
      <c r="S274" s="153" t="n"/>
      <c r="T274" s="153" t="n"/>
      <c r="U274" s="153" t="n"/>
      <c r="V274" s="153" t="n"/>
      <c r="W274" s="153" t="n"/>
      <c r="X274" s="153" t="n"/>
      <c r="Y274" s="153" t="n"/>
      <c r="Z274" s="153" t="n"/>
    </row>
    <row r="275" ht="15.75" customHeight="1" s="154">
      <c r="G275" s="153" t="n"/>
      <c r="H275" s="153" t="n"/>
      <c r="I275" s="153" t="n"/>
      <c r="J275" s="153" t="n"/>
      <c r="K275" s="153" t="n"/>
      <c r="L275" s="153" t="n"/>
      <c r="M275" s="153" t="n"/>
      <c r="N275" s="153" t="n"/>
      <c r="O275" s="153" t="n"/>
      <c r="P275" s="153" t="n"/>
      <c r="Q275" s="153" t="n"/>
      <c r="R275" s="153" t="n"/>
      <c r="S275" s="153" t="n"/>
      <c r="T275" s="153" t="n"/>
      <c r="U275" s="153" t="n"/>
      <c r="V275" s="153" t="n"/>
      <c r="W275" s="153" t="n"/>
      <c r="X275" s="153" t="n"/>
      <c r="Y275" s="153" t="n"/>
      <c r="Z275" s="153" t="n"/>
    </row>
    <row r="276" ht="15.75" customHeight="1" s="154">
      <c r="G276" s="153" t="n"/>
      <c r="H276" s="153" t="n"/>
      <c r="I276" s="153" t="n"/>
      <c r="J276" s="153" t="n"/>
      <c r="K276" s="153" t="n"/>
      <c r="L276" s="153" t="n"/>
      <c r="M276" s="153" t="n"/>
      <c r="N276" s="153" t="n"/>
      <c r="O276" s="153" t="n"/>
      <c r="P276" s="153" t="n"/>
      <c r="Q276" s="153" t="n"/>
      <c r="R276" s="153" t="n"/>
      <c r="S276" s="153" t="n"/>
      <c r="T276" s="153" t="n"/>
      <c r="U276" s="153" t="n"/>
      <c r="V276" s="153" t="n"/>
      <c r="W276" s="153" t="n"/>
      <c r="X276" s="153" t="n"/>
      <c r="Y276" s="153" t="n"/>
      <c r="Z276" s="153" t="n"/>
    </row>
    <row r="277" ht="15.75" customHeight="1" s="154">
      <c r="G277" s="153" t="n"/>
      <c r="H277" s="153" t="n"/>
      <c r="I277" s="153" t="n"/>
      <c r="J277" s="153" t="n"/>
      <c r="K277" s="153" t="n"/>
      <c r="L277" s="153" t="n"/>
      <c r="M277" s="153" t="n"/>
      <c r="N277" s="153" t="n"/>
      <c r="O277" s="153" t="n"/>
      <c r="P277" s="153" t="n"/>
      <c r="Q277" s="153" t="n"/>
      <c r="R277" s="153" t="n"/>
      <c r="S277" s="153" t="n"/>
      <c r="T277" s="153" t="n"/>
      <c r="U277" s="153" t="n"/>
      <c r="V277" s="153" t="n"/>
      <c r="W277" s="153" t="n"/>
      <c r="X277" s="153" t="n"/>
      <c r="Y277" s="153" t="n"/>
      <c r="Z277" s="153" t="n"/>
    </row>
    <row r="278" ht="15.75" customHeight="1" s="154">
      <c r="G278" s="153" t="n"/>
      <c r="H278" s="153" t="n"/>
      <c r="I278" s="153" t="n"/>
      <c r="J278" s="153" t="n"/>
      <c r="K278" s="153" t="n"/>
      <c r="L278" s="153" t="n"/>
      <c r="M278" s="153" t="n"/>
      <c r="N278" s="153" t="n"/>
      <c r="O278" s="153" t="n"/>
      <c r="P278" s="153" t="n"/>
      <c r="Q278" s="153" t="n"/>
      <c r="R278" s="153" t="n"/>
      <c r="S278" s="153" t="n"/>
      <c r="T278" s="153" t="n"/>
      <c r="U278" s="153" t="n"/>
      <c r="V278" s="153" t="n"/>
      <c r="W278" s="153" t="n"/>
      <c r="X278" s="153" t="n"/>
      <c r="Y278" s="153" t="n"/>
      <c r="Z278" s="153" t="n"/>
    </row>
    <row r="279" ht="15.75" customHeight="1" s="154">
      <c r="G279" s="153" t="n"/>
      <c r="H279" s="153" t="n"/>
      <c r="I279" s="153" t="n"/>
      <c r="J279" s="153" t="n"/>
      <c r="K279" s="153" t="n"/>
      <c r="L279" s="153" t="n"/>
      <c r="M279" s="153" t="n"/>
      <c r="N279" s="153" t="n"/>
      <c r="O279" s="153" t="n"/>
      <c r="P279" s="153" t="n"/>
      <c r="Q279" s="153" t="n"/>
      <c r="R279" s="153" t="n"/>
      <c r="S279" s="153" t="n"/>
      <c r="T279" s="153" t="n"/>
      <c r="U279" s="153" t="n"/>
      <c r="V279" s="153" t="n"/>
      <c r="W279" s="153" t="n"/>
      <c r="X279" s="153" t="n"/>
      <c r="Y279" s="153" t="n"/>
      <c r="Z279" s="153" t="n"/>
    </row>
    <row r="280" ht="15.75" customHeight="1" s="154">
      <c r="G280" s="153" t="n"/>
      <c r="H280" s="153" t="n"/>
      <c r="I280" s="153" t="n"/>
      <c r="J280" s="153" t="n"/>
      <c r="K280" s="153" t="n"/>
      <c r="L280" s="153" t="n"/>
      <c r="M280" s="153" t="n"/>
      <c r="N280" s="153" t="n"/>
      <c r="O280" s="153" t="n"/>
      <c r="P280" s="153" t="n"/>
      <c r="Q280" s="153" t="n"/>
      <c r="R280" s="153" t="n"/>
      <c r="S280" s="153" t="n"/>
      <c r="T280" s="153" t="n"/>
      <c r="U280" s="153" t="n"/>
      <c r="V280" s="153" t="n"/>
      <c r="W280" s="153" t="n"/>
      <c r="X280" s="153" t="n"/>
      <c r="Y280" s="153" t="n"/>
      <c r="Z280" s="153" t="n"/>
    </row>
    <row r="281" ht="15.75" customHeight="1" s="154">
      <c r="G281" s="153" t="n"/>
      <c r="H281" s="153" t="n"/>
      <c r="I281" s="153" t="n"/>
      <c r="J281" s="153" t="n"/>
      <c r="K281" s="153" t="n"/>
      <c r="L281" s="153" t="n"/>
      <c r="M281" s="153" t="n"/>
      <c r="N281" s="153" t="n"/>
      <c r="O281" s="153" t="n"/>
      <c r="P281" s="153" t="n"/>
      <c r="Q281" s="153" t="n"/>
      <c r="R281" s="153" t="n"/>
      <c r="S281" s="153" t="n"/>
      <c r="T281" s="153" t="n"/>
      <c r="U281" s="153" t="n"/>
      <c r="V281" s="153" t="n"/>
      <c r="W281" s="153" t="n"/>
      <c r="X281" s="153" t="n"/>
      <c r="Y281" s="153" t="n"/>
      <c r="Z281" s="153" t="n"/>
    </row>
    <row r="282" ht="15.75" customHeight="1" s="154">
      <c r="G282" s="153" t="n"/>
      <c r="H282" s="153" t="n"/>
      <c r="I282" s="153" t="n"/>
      <c r="J282" s="153" t="n"/>
      <c r="K282" s="153" t="n"/>
      <c r="L282" s="153" t="n"/>
      <c r="M282" s="153" t="n"/>
      <c r="N282" s="153" t="n"/>
      <c r="O282" s="153" t="n"/>
      <c r="P282" s="153" t="n"/>
      <c r="Q282" s="153" t="n"/>
      <c r="R282" s="153" t="n"/>
      <c r="S282" s="153" t="n"/>
      <c r="T282" s="153" t="n"/>
      <c r="U282" s="153" t="n"/>
      <c r="V282" s="153" t="n"/>
      <c r="W282" s="153" t="n"/>
      <c r="X282" s="153" t="n"/>
      <c r="Y282" s="153" t="n"/>
      <c r="Z282" s="153" t="n"/>
    </row>
    <row r="283" ht="15.75" customHeight="1" s="154">
      <c r="G283" s="153" t="n"/>
      <c r="H283" s="153" t="n"/>
      <c r="I283" s="153" t="n"/>
      <c r="J283" s="153" t="n"/>
      <c r="K283" s="153" t="n"/>
      <c r="L283" s="153" t="n"/>
      <c r="M283" s="153" t="n"/>
      <c r="N283" s="153" t="n"/>
      <c r="O283" s="153" t="n"/>
      <c r="P283" s="153" t="n"/>
      <c r="Q283" s="153" t="n"/>
      <c r="R283" s="153" t="n"/>
      <c r="S283" s="153" t="n"/>
      <c r="T283" s="153" t="n"/>
      <c r="U283" s="153" t="n"/>
      <c r="V283" s="153" t="n"/>
      <c r="W283" s="153" t="n"/>
      <c r="X283" s="153" t="n"/>
      <c r="Y283" s="153" t="n"/>
      <c r="Z283" s="153" t="n"/>
    </row>
    <row r="284" ht="15.75" customHeight="1" s="154">
      <c r="G284" s="153" t="n"/>
      <c r="H284" s="153" t="n"/>
      <c r="I284" s="153" t="n"/>
      <c r="J284" s="153" t="n"/>
      <c r="K284" s="153" t="n"/>
      <c r="L284" s="153" t="n"/>
      <c r="M284" s="153" t="n"/>
      <c r="N284" s="153" t="n"/>
      <c r="O284" s="153" t="n"/>
      <c r="P284" s="153" t="n"/>
      <c r="Q284" s="153" t="n"/>
      <c r="R284" s="153" t="n"/>
      <c r="S284" s="153" t="n"/>
      <c r="T284" s="153" t="n"/>
      <c r="U284" s="153" t="n"/>
      <c r="V284" s="153" t="n"/>
      <c r="W284" s="153" t="n"/>
      <c r="X284" s="153" t="n"/>
      <c r="Y284" s="153" t="n"/>
      <c r="Z284" s="153" t="n"/>
    </row>
    <row r="285" ht="15.75" customHeight="1" s="154">
      <c r="G285" s="153" t="n"/>
      <c r="H285" s="153" t="n"/>
      <c r="I285" s="153" t="n"/>
      <c r="J285" s="153" t="n"/>
      <c r="K285" s="153" t="n"/>
      <c r="L285" s="153" t="n"/>
      <c r="M285" s="153" t="n"/>
      <c r="N285" s="153" t="n"/>
      <c r="O285" s="153" t="n"/>
      <c r="P285" s="153" t="n"/>
      <c r="Q285" s="153" t="n"/>
      <c r="R285" s="153" t="n"/>
      <c r="S285" s="153" t="n"/>
      <c r="T285" s="153" t="n"/>
      <c r="U285" s="153" t="n"/>
      <c r="V285" s="153" t="n"/>
      <c r="W285" s="153" t="n"/>
      <c r="X285" s="153" t="n"/>
      <c r="Y285" s="153" t="n"/>
      <c r="Z285" s="153" t="n"/>
    </row>
    <row r="286" ht="15.75" customHeight="1" s="154">
      <c r="G286" s="153" t="n"/>
      <c r="H286" s="153" t="n"/>
      <c r="I286" s="153" t="n"/>
      <c r="J286" s="153" t="n"/>
      <c r="K286" s="153" t="n"/>
      <c r="L286" s="153" t="n"/>
      <c r="M286" s="153" t="n"/>
      <c r="N286" s="153" t="n"/>
      <c r="O286" s="153" t="n"/>
      <c r="P286" s="153" t="n"/>
      <c r="Q286" s="153" t="n"/>
      <c r="R286" s="153" t="n"/>
      <c r="S286" s="153" t="n"/>
      <c r="T286" s="153" t="n"/>
      <c r="U286" s="153" t="n"/>
      <c r="V286" s="153" t="n"/>
      <c r="W286" s="153" t="n"/>
      <c r="X286" s="153" t="n"/>
      <c r="Y286" s="153" t="n"/>
      <c r="Z286" s="153" t="n"/>
    </row>
    <row r="287" ht="15.75" customHeight="1" s="154">
      <c r="G287" s="153" t="n"/>
      <c r="H287" s="153" t="n"/>
      <c r="I287" s="153" t="n"/>
      <c r="J287" s="153" t="n"/>
      <c r="K287" s="153" t="n"/>
      <c r="L287" s="153" t="n"/>
      <c r="M287" s="153" t="n"/>
      <c r="N287" s="153" t="n"/>
      <c r="O287" s="153" t="n"/>
      <c r="P287" s="153" t="n"/>
      <c r="Q287" s="153" t="n"/>
      <c r="R287" s="153" t="n"/>
      <c r="S287" s="153" t="n"/>
      <c r="T287" s="153" t="n"/>
      <c r="U287" s="153" t="n"/>
      <c r="V287" s="153" t="n"/>
      <c r="W287" s="153" t="n"/>
      <c r="X287" s="153" t="n"/>
      <c r="Y287" s="153" t="n"/>
      <c r="Z287" s="153" t="n"/>
    </row>
    <row r="288" ht="15.75" customHeight="1" s="154">
      <c r="G288" s="153" t="n"/>
      <c r="H288" s="153" t="n"/>
      <c r="I288" s="153" t="n"/>
      <c r="J288" s="153" t="n"/>
      <c r="K288" s="153" t="n"/>
      <c r="L288" s="153" t="n"/>
      <c r="M288" s="153" t="n"/>
      <c r="N288" s="153" t="n"/>
      <c r="O288" s="153" t="n"/>
      <c r="P288" s="153" t="n"/>
      <c r="Q288" s="153" t="n"/>
      <c r="R288" s="153" t="n"/>
      <c r="S288" s="153" t="n"/>
      <c r="T288" s="153" t="n"/>
      <c r="U288" s="153" t="n"/>
      <c r="V288" s="153" t="n"/>
      <c r="W288" s="153" t="n"/>
      <c r="X288" s="153" t="n"/>
      <c r="Y288" s="153" t="n"/>
      <c r="Z288" s="153" t="n"/>
    </row>
    <row r="289" ht="15.75" customHeight="1" s="154">
      <c r="G289" s="153" t="n"/>
      <c r="H289" s="153" t="n"/>
      <c r="I289" s="153" t="n"/>
      <c r="J289" s="153" t="n"/>
      <c r="K289" s="153" t="n"/>
      <c r="L289" s="153" t="n"/>
      <c r="M289" s="153" t="n"/>
      <c r="N289" s="153" t="n"/>
      <c r="O289" s="153" t="n"/>
      <c r="P289" s="153" t="n"/>
      <c r="Q289" s="153" t="n"/>
      <c r="R289" s="153" t="n"/>
      <c r="S289" s="153" t="n"/>
      <c r="T289" s="153" t="n"/>
      <c r="U289" s="153" t="n"/>
      <c r="V289" s="153" t="n"/>
      <c r="W289" s="153" t="n"/>
      <c r="X289" s="153" t="n"/>
      <c r="Y289" s="153" t="n"/>
      <c r="Z289" s="153" t="n"/>
    </row>
    <row r="290" ht="15.75" customHeight="1" s="154">
      <c r="G290" s="153" t="n"/>
      <c r="H290" s="153" t="n"/>
      <c r="I290" s="153" t="n"/>
      <c r="J290" s="153" t="n"/>
      <c r="K290" s="153" t="n"/>
      <c r="L290" s="153" t="n"/>
      <c r="M290" s="153" t="n"/>
      <c r="N290" s="153" t="n"/>
      <c r="O290" s="153" t="n"/>
      <c r="P290" s="153" t="n"/>
      <c r="Q290" s="153" t="n"/>
      <c r="R290" s="153" t="n"/>
      <c r="S290" s="153" t="n"/>
      <c r="T290" s="153" t="n"/>
      <c r="U290" s="153" t="n"/>
      <c r="V290" s="153" t="n"/>
      <c r="W290" s="153" t="n"/>
      <c r="X290" s="153" t="n"/>
      <c r="Y290" s="153" t="n"/>
      <c r="Z290" s="153" t="n"/>
    </row>
    <row r="291" ht="15.75" customHeight="1" s="154">
      <c r="G291" s="153" t="n"/>
      <c r="H291" s="153" t="n"/>
      <c r="I291" s="153" t="n"/>
      <c r="J291" s="153" t="n"/>
      <c r="K291" s="153" t="n"/>
      <c r="L291" s="153" t="n"/>
      <c r="M291" s="153" t="n"/>
      <c r="N291" s="153" t="n"/>
      <c r="O291" s="153" t="n"/>
      <c r="P291" s="153" t="n"/>
      <c r="Q291" s="153" t="n"/>
      <c r="R291" s="153" t="n"/>
      <c r="S291" s="153" t="n"/>
      <c r="T291" s="153" t="n"/>
      <c r="U291" s="153" t="n"/>
      <c r="V291" s="153" t="n"/>
      <c r="W291" s="153" t="n"/>
      <c r="X291" s="153" t="n"/>
      <c r="Y291" s="153" t="n"/>
      <c r="Z291" s="153" t="n"/>
    </row>
    <row r="292" ht="15.75" customHeight="1" s="154">
      <c r="G292" s="153" t="n"/>
      <c r="H292" s="153" t="n"/>
      <c r="I292" s="153" t="n"/>
      <c r="J292" s="153" t="n"/>
      <c r="K292" s="153" t="n"/>
      <c r="L292" s="153" t="n"/>
      <c r="M292" s="153" t="n"/>
      <c r="N292" s="153" t="n"/>
      <c r="O292" s="153" t="n"/>
      <c r="P292" s="153" t="n"/>
      <c r="Q292" s="153" t="n"/>
      <c r="R292" s="153" t="n"/>
      <c r="S292" s="153" t="n"/>
      <c r="T292" s="153" t="n"/>
      <c r="U292" s="153" t="n"/>
      <c r="V292" s="153" t="n"/>
      <c r="W292" s="153" t="n"/>
      <c r="X292" s="153" t="n"/>
      <c r="Y292" s="153" t="n"/>
      <c r="Z292" s="153" t="n"/>
    </row>
    <row r="293" ht="15.75" customHeight="1" s="154">
      <c r="G293" s="153" t="n"/>
      <c r="H293" s="153" t="n"/>
      <c r="I293" s="153" t="n"/>
      <c r="J293" s="153" t="n"/>
      <c r="K293" s="153" t="n"/>
      <c r="L293" s="153" t="n"/>
      <c r="M293" s="153" t="n"/>
      <c r="N293" s="153" t="n"/>
      <c r="O293" s="153" t="n"/>
      <c r="P293" s="153" t="n"/>
      <c r="Q293" s="153" t="n"/>
      <c r="R293" s="153" t="n"/>
      <c r="S293" s="153" t="n"/>
      <c r="T293" s="153" t="n"/>
      <c r="U293" s="153" t="n"/>
      <c r="V293" s="153" t="n"/>
      <c r="W293" s="153" t="n"/>
      <c r="X293" s="153" t="n"/>
      <c r="Y293" s="153" t="n"/>
      <c r="Z293" s="153" t="n"/>
    </row>
    <row r="294" ht="15.75" customHeight="1" s="154">
      <c r="G294" s="153" t="n"/>
      <c r="H294" s="153" t="n"/>
      <c r="I294" s="153" t="n"/>
      <c r="J294" s="153" t="n"/>
      <c r="K294" s="153" t="n"/>
      <c r="L294" s="153" t="n"/>
      <c r="M294" s="153" t="n"/>
      <c r="N294" s="153" t="n"/>
      <c r="O294" s="153" t="n"/>
      <c r="P294" s="153" t="n"/>
      <c r="Q294" s="153" t="n"/>
      <c r="R294" s="153" t="n"/>
      <c r="S294" s="153" t="n"/>
      <c r="T294" s="153" t="n"/>
      <c r="U294" s="153" t="n"/>
      <c r="V294" s="153" t="n"/>
      <c r="W294" s="153" t="n"/>
      <c r="X294" s="153" t="n"/>
      <c r="Y294" s="153" t="n"/>
      <c r="Z294" s="153" t="n"/>
    </row>
    <row r="295" ht="15.75" customHeight="1" s="154">
      <c r="G295" s="153" t="n"/>
      <c r="H295" s="153" t="n"/>
      <c r="I295" s="153" t="n"/>
      <c r="J295" s="153" t="n"/>
      <c r="K295" s="153" t="n"/>
      <c r="L295" s="153" t="n"/>
      <c r="M295" s="153" t="n"/>
      <c r="N295" s="153" t="n"/>
      <c r="O295" s="153" t="n"/>
      <c r="P295" s="153" t="n"/>
      <c r="Q295" s="153" t="n"/>
      <c r="R295" s="153" t="n"/>
      <c r="S295" s="153" t="n"/>
      <c r="T295" s="153" t="n"/>
      <c r="U295" s="153" t="n"/>
      <c r="V295" s="153" t="n"/>
      <c r="W295" s="153" t="n"/>
      <c r="X295" s="153" t="n"/>
      <c r="Y295" s="153" t="n"/>
      <c r="Z295" s="153" t="n"/>
    </row>
    <row r="296" ht="15.75" customHeight="1" s="154">
      <c r="G296" s="153" t="n"/>
      <c r="H296" s="153" t="n"/>
      <c r="I296" s="153" t="n"/>
      <c r="J296" s="153" t="n"/>
      <c r="K296" s="153" t="n"/>
      <c r="L296" s="153" t="n"/>
      <c r="M296" s="153" t="n"/>
      <c r="N296" s="153" t="n"/>
      <c r="O296" s="153" t="n"/>
      <c r="P296" s="153" t="n"/>
      <c r="Q296" s="153" t="n"/>
      <c r="R296" s="153" t="n"/>
      <c r="S296" s="153" t="n"/>
      <c r="T296" s="153" t="n"/>
      <c r="U296" s="153" t="n"/>
      <c r="V296" s="153" t="n"/>
      <c r="W296" s="153" t="n"/>
      <c r="X296" s="153" t="n"/>
      <c r="Y296" s="153" t="n"/>
      <c r="Z296" s="153" t="n"/>
    </row>
    <row r="297" ht="15.75" customHeight="1" s="154">
      <c r="G297" s="153" t="n"/>
      <c r="H297" s="153" t="n"/>
      <c r="I297" s="153" t="n"/>
      <c r="J297" s="153" t="n"/>
      <c r="K297" s="153" t="n"/>
      <c r="L297" s="153" t="n"/>
      <c r="M297" s="153" t="n"/>
      <c r="N297" s="153" t="n"/>
      <c r="O297" s="153" t="n"/>
      <c r="P297" s="153" t="n"/>
      <c r="Q297" s="153" t="n"/>
      <c r="R297" s="153" t="n"/>
      <c r="S297" s="153" t="n"/>
      <c r="T297" s="153" t="n"/>
      <c r="U297" s="153" t="n"/>
      <c r="V297" s="153" t="n"/>
      <c r="W297" s="153" t="n"/>
      <c r="X297" s="153" t="n"/>
      <c r="Y297" s="153" t="n"/>
      <c r="Z297" s="153" t="n"/>
    </row>
    <row r="298" ht="15.75" customHeight="1" s="154">
      <c r="G298" s="153" t="n"/>
      <c r="H298" s="153" t="n"/>
      <c r="I298" s="153" t="n"/>
      <c r="J298" s="153" t="n"/>
      <c r="K298" s="153" t="n"/>
      <c r="L298" s="153" t="n"/>
      <c r="M298" s="153" t="n"/>
      <c r="N298" s="153" t="n"/>
      <c r="O298" s="153" t="n"/>
      <c r="P298" s="153" t="n"/>
      <c r="Q298" s="153" t="n"/>
      <c r="R298" s="153" t="n"/>
      <c r="S298" s="153" t="n"/>
      <c r="T298" s="153" t="n"/>
      <c r="U298" s="153" t="n"/>
      <c r="V298" s="153" t="n"/>
      <c r="W298" s="153" t="n"/>
      <c r="X298" s="153" t="n"/>
      <c r="Y298" s="153" t="n"/>
      <c r="Z298" s="153" t="n"/>
    </row>
    <row r="299" ht="15.75" customHeight="1" s="154">
      <c r="G299" s="153" t="n"/>
      <c r="H299" s="153" t="n"/>
      <c r="I299" s="153" t="n"/>
      <c r="J299" s="153" t="n"/>
      <c r="K299" s="153" t="n"/>
      <c r="L299" s="153" t="n"/>
      <c r="M299" s="153" t="n"/>
      <c r="N299" s="153" t="n"/>
      <c r="O299" s="153" t="n"/>
      <c r="P299" s="153" t="n"/>
      <c r="Q299" s="153" t="n"/>
      <c r="R299" s="153" t="n"/>
      <c r="S299" s="153" t="n"/>
      <c r="T299" s="153" t="n"/>
      <c r="U299" s="153" t="n"/>
      <c r="V299" s="153" t="n"/>
      <c r="W299" s="153" t="n"/>
      <c r="X299" s="153" t="n"/>
      <c r="Y299" s="153" t="n"/>
      <c r="Z299" s="153" t="n"/>
    </row>
    <row r="300" ht="15.75" customHeight="1" s="154">
      <c r="G300" s="153" t="n"/>
      <c r="H300" s="153" t="n"/>
      <c r="I300" s="153" t="n"/>
      <c r="J300" s="153" t="n"/>
      <c r="K300" s="153" t="n"/>
      <c r="L300" s="153" t="n"/>
      <c r="M300" s="153" t="n"/>
      <c r="N300" s="153" t="n"/>
      <c r="O300" s="153" t="n"/>
      <c r="P300" s="153" t="n"/>
      <c r="Q300" s="153" t="n"/>
      <c r="R300" s="153" t="n"/>
      <c r="S300" s="153" t="n"/>
      <c r="T300" s="153" t="n"/>
      <c r="U300" s="153" t="n"/>
      <c r="V300" s="153" t="n"/>
      <c r="W300" s="153" t="n"/>
      <c r="X300" s="153" t="n"/>
      <c r="Y300" s="153" t="n"/>
      <c r="Z300" s="153" t="n"/>
    </row>
    <row r="301" ht="15.75" customHeight="1" s="154">
      <c r="G301" s="153" t="n"/>
      <c r="H301" s="153" t="n"/>
      <c r="I301" s="153" t="n"/>
      <c r="J301" s="153" t="n"/>
      <c r="K301" s="153" t="n"/>
      <c r="L301" s="153" t="n"/>
      <c r="M301" s="153" t="n"/>
      <c r="N301" s="153" t="n"/>
      <c r="O301" s="153" t="n"/>
      <c r="P301" s="153" t="n"/>
      <c r="Q301" s="153" t="n"/>
      <c r="R301" s="153" t="n"/>
      <c r="S301" s="153" t="n"/>
      <c r="T301" s="153" t="n"/>
      <c r="U301" s="153" t="n"/>
      <c r="V301" s="153" t="n"/>
      <c r="W301" s="153" t="n"/>
      <c r="X301" s="153" t="n"/>
      <c r="Y301" s="153" t="n"/>
      <c r="Z301" s="153" t="n"/>
    </row>
    <row r="302" ht="15.75" customHeight="1" s="154">
      <c r="G302" s="153" t="n"/>
      <c r="H302" s="153" t="n"/>
      <c r="I302" s="153" t="n"/>
      <c r="J302" s="153" t="n"/>
      <c r="K302" s="153" t="n"/>
      <c r="L302" s="153" t="n"/>
      <c r="M302" s="153" t="n"/>
      <c r="N302" s="153" t="n"/>
      <c r="O302" s="153" t="n"/>
      <c r="P302" s="153" t="n"/>
      <c r="Q302" s="153" t="n"/>
      <c r="R302" s="153" t="n"/>
      <c r="S302" s="153" t="n"/>
      <c r="T302" s="153" t="n"/>
      <c r="U302" s="153" t="n"/>
      <c r="V302" s="153" t="n"/>
      <c r="W302" s="153" t="n"/>
      <c r="X302" s="153" t="n"/>
      <c r="Y302" s="153" t="n"/>
      <c r="Z302" s="153" t="n"/>
    </row>
    <row r="303" ht="15.75" customHeight="1" s="154">
      <c r="G303" s="153" t="n"/>
      <c r="H303" s="153" t="n"/>
      <c r="I303" s="153" t="n"/>
      <c r="J303" s="153" t="n"/>
      <c r="K303" s="153" t="n"/>
      <c r="L303" s="153" t="n"/>
      <c r="M303" s="153" t="n"/>
      <c r="N303" s="153" t="n"/>
      <c r="O303" s="153" t="n"/>
      <c r="P303" s="153" t="n"/>
      <c r="Q303" s="153" t="n"/>
      <c r="R303" s="153" t="n"/>
      <c r="S303" s="153" t="n"/>
      <c r="T303" s="153" t="n"/>
      <c r="U303" s="153" t="n"/>
      <c r="V303" s="153" t="n"/>
      <c r="W303" s="153" t="n"/>
      <c r="X303" s="153" t="n"/>
      <c r="Y303" s="153" t="n"/>
      <c r="Z303" s="153" t="n"/>
    </row>
    <row r="304" ht="15.75" customHeight="1" s="154">
      <c r="G304" s="153" t="n"/>
      <c r="H304" s="153" t="n"/>
      <c r="I304" s="153" t="n"/>
      <c r="J304" s="153" t="n"/>
      <c r="K304" s="153" t="n"/>
      <c r="L304" s="153" t="n"/>
      <c r="M304" s="153" t="n"/>
      <c r="N304" s="153" t="n"/>
      <c r="O304" s="153" t="n"/>
      <c r="P304" s="153" t="n"/>
      <c r="Q304" s="153" t="n"/>
      <c r="R304" s="153" t="n"/>
      <c r="S304" s="153" t="n"/>
      <c r="T304" s="153" t="n"/>
      <c r="U304" s="153" t="n"/>
      <c r="V304" s="153" t="n"/>
      <c r="W304" s="153" t="n"/>
      <c r="X304" s="153" t="n"/>
      <c r="Y304" s="153" t="n"/>
      <c r="Z304" s="153" t="n"/>
    </row>
    <row r="305" ht="15.75" customHeight="1" s="154">
      <c r="G305" s="153" t="n"/>
      <c r="H305" s="153" t="n"/>
      <c r="I305" s="153" t="n"/>
      <c r="J305" s="153" t="n"/>
      <c r="K305" s="153" t="n"/>
      <c r="L305" s="153" t="n"/>
      <c r="M305" s="153" t="n"/>
      <c r="N305" s="153" t="n"/>
      <c r="O305" s="153" t="n"/>
      <c r="P305" s="153" t="n"/>
      <c r="Q305" s="153" t="n"/>
      <c r="R305" s="153" t="n"/>
      <c r="S305" s="153" t="n"/>
      <c r="T305" s="153" t="n"/>
      <c r="U305" s="153" t="n"/>
      <c r="V305" s="153" t="n"/>
      <c r="W305" s="153" t="n"/>
      <c r="X305" s="153" t="n"/>
      <c r="Y305" s="153" t="n"/>
      <c r="Z305" s="153" t="n"/>
    </row>
    <row r="306" ht="15.75" customHeight="1" s="154">
      <c r="G306" s="153" t="n"/>
      <c r="H306" s="153" t="n"/>
      <c r="I306" s="153" t="n"/>
      <c r="J306" s="153" t="n"/>
      <c r="K306" s="153" t="n"/>
      <c r="L306" s="153" t="n"/>
      <c r="M306" s="153" t="n"/>
      <c r="N306" s="153" t="n"/>
      <c r="O306" s="153" t="n"/>
      <c r="P306" s="153" t="n"/>
      <c r="Q306" s="153" t="n"/>
      <c r="R306" s="153" t="n"/>
      <c r="S306" s="153" t="n"/>
      <c r="T306" s="153" t="n"/>
      <c r="U306" s="153" t="n"/>
      <c r="V306" s="153" t="n"/>
      <c r="W306" s="153" t="n"/>
      <c r="X306" s="153" t="n"/>
      <c r="Y306" s="153" t="n"/>
      <c r="Z306" s="153" t="n"/>
    </row>
    <row r="307" ht="15.75" customHeight="1" s="154">
      <c r="G307" s="153" t="n"/>
      <c r="H307" s="153" t="n"/>
      <c r="I307" s="153" t="n"/>
      <c r="J307" s="153" t="n"/>
      <c r="K307" s="153" t="n"/>
      <c r="L307" s="153" t="n"/>
      <c r="M307" s="153" t="n"/>
      <c r="N307" s="153" t="n"/>
      <c r="O307" s="153" t="n"/>
      <c r="P307" s="153" t="n"/>
      <c r="Q307" s="153" t="n"/>
      <c r="R307" s="153" t="n"/>
      <c r="S307" s="153" t="n"/>
      <c r="T307" s="153" t="n"/>
      <c r="U307" s="153" t="n"/>
      <c r="V307" s="153" t="n"/>
      <c r="W307" s="153" t="n"/>
      <c r="X307" s="153" t="n"/>
      <c r="Y307" s="153" t="n"/>
      <c r="Z307" s="153" t="n"/>
    </row>
    <row r="308" ht="15.75" customHeight="1" s="154">
      <c r="G308" s="153" t="n"/>
      <c r="H308" s="153" t="n"/>
      <c r="I308" s="153" t="n"/>
      <c r="J308" s="153" t="n"/>
      <c r="K308" s="153" t="n"/>
      <c r="L308" s="153" t="n"/>
      <c r="M308" s="153" t="n"/>
      <c r="N308" s="153" t="n"/>
      <c r="O308" s="153" t="n"/>
      <c r="P308" s="153" t="n"/>
      <c r="Q308" s="153" t="n"/>
      <c r="R308" s="153" t="n"/>
      <c r="S308" s="153" t="n"/>
      <c r="T308" s="153" t="n"/>
      <c r="U308" s="153" t="n"/>
      <c r="V308" s="153" t="n"/>
      <c r="W308" s="153" t="n"/>
      <c r="X308" s="153" t="n"/>
      <c r="Y308" s="153" t="n"/>
      <c r="Z308" s="153" t="n"/>
    </row>
    <row r="309" ht="15.75" customHeight="1" s="154">
      <c r="G309" s="153" t="n"/>
      <c r="H309" s="153" t="n"/>
      <c r="I309" s="153" t="n"/>
      <c r="J309" s="153" t="n"/>
      <c r="K309" s="153" t="n"/>
      <c r="L309" s="153" t="n"/>
      <c r="M309" s="153" t="n"/>
      <c r="N309" s="153" t="n"/>
      <c r="O309" s="153" t="n"/>
      <c r="P309" s="153" t="n"/>
      <c r="Q309" s="153" t="n"/>
      <c r="R309" s="153" t="n"/>
      <c r="S309" s="153" t="n"/>
      <c r="T309" s="153" t="n"/>
      <c r="U309" s="153" t="n"/>
      <c r="V309" s="153" t="n"/>
      <c r="W309" s="153" t="n"/>
      <c r="X309" s="153" t="n"/>
      <c r="Y309" s="153" t="n"/>
      <c r="Z309" s="153" t="n"/>
    </row>
    <row r="310" ht="15.75" customHeight="1" s="154">
      <c r="G310" s="153" t="n"/>
      <c r="H310" s="153" t="n"/>
      <c r="I310" s="153" t="n"/>
      <c r="J310" s="153" t="n"/>
      <c r="K310" s="153" t="n"/>
      <c r="L310" s="153" t="n"/>
      <c r="M310" s="153" t="n"/>
      <c r="N310" s="153" t="n"/>
      <c r="O310" s="153" t="n"/>
      <c r="P310" s="153" t="n"/>
      <c r="Q310" s="153" t="n"/>
      <c r="R310" s="153" t="n"/>
      <c r="S310" s="153" t="n"/>
      <c r="T310" s="153" t="n"/>
      <c r="U310" s="153" t="n"/>
      <c r="V310" s="153" t="n"/>
      <c r="W310" s="153" t="n"/>
      <c r="X310" s="153" t="n"/>
      <c r="Y310" s="153" t="n"/>
      <c r="Z310" s="153" t="n"/>
    </row>
    <row r="311" ht="15.75" customHeight="1" s="154">
      <c r="G311" s="153" t="n"/>
      <c r="H311" s="153" t="n"/>
      <c r="I311" s="153" t="n"/>
      <c r="J311" s="153" t="n"/>
      <c r="K311" s="153" t="n"/>
      <c r="L311" s="153" t="n"/>
      <c r="M311" s="153" t="n"/>
      <c r="N311" s="153" t="n"/>
      <c r="O311" s="153" t="n"/>
      <c r="P311" s="153" t="n"/>
      <c r="Q311" s="153" t="n"/>
      <c r="R311" s="153" t="n"/>
      <c r="S311" s="153" t="n"/>
      <c r="T311" s="153" t="n"/>
      <c r="U311" s="153" t="n"/>
      <c r="V311" s="153" t="n"/>
      <c r="W311" s="153" t="n"/>
      <c r="X311" s="153" t="n"/>
      <c r="Y311" s="153" t="n"/>
      <c r="Z311" s="153" t="n"/>
    </row>
    <row r="312" ht="15.75" customHeight="1" s="154">
      <c r="G312" s="153" t="n"/>
      <c r="H312" s="153" t="n"/>
      <c r="I312" s="153" t="n"/>
      <c r="J312" s="153" t="n"/>
      <c r="K312" s="153" t="n"/>
      <c r="L312" s="153" t="n"/>
      <c r="M312" s="153" t="n"/>
      <c r="N312" s="153" t="n"/>
      <c r="O312" s="153" t="n"/>
      <c r="P312" s="153" t="n"/>
      <c r="Q312" s="153" t="n"/>
      <c r="R312" s="153" t="n"/>
      <c r="S312" s="153" t="n"/>
      <c r="T312" s="153" t="n"/>
      <c r="U312" s="153" t="n"/>
      <c r="V312" s="153" t="n"/>
      <c r="W312" s="153" t="n"/>
      <c r="X312" s="153" t="n"/>
      <c r="Y312" s="153" t="n"/>
      <c r="Z312" s="153" t="n"/>
    </row>
    <row r="313" ht="15.75" customHeight="1" s="154">
      <c r="G313" s="153" t="n"/>
      <c r="H313" s="153" t="n"/>
      <c r="I313" s="153" t="n"/>
      <c r="J313" s="153" t="n"/>
      <c r="K313" s="153" t="n"/>
      <c r="L313" s="153" t="n"/>
      <c r="M313" s="153" t="n"/>
      <c r="N313" s="153" t="n"/>
      <c r="O313" s="153" t="n"/>
      <c r="P313" s="153" t="n"/>
      <c r="Q313" s="153" t="n"/>
      <c r="R313" s="153" t="n"/>
      <c r="S313" s="153" t="n"/>
      <c r="T313" s="153" t="n"/>
      <c r="U313" s="153" t="n"/>
      <c r="V313" s="153" t="n"/>
      <c r="W313" s="153" t="n"/>
      <c r="X313" s="153" t="n"/>
      <c r="Y313" s="153" t="n"/>
      <c r="Z313" s="153" t="n"/>
    </row>
    <row r="314" ht="15.75" customHeight="1" s="154">
      <c r="G314" s="153" t="n"/>
      <c r="H314" s="153" t="n"/>
      <c r="I314" s="153" t="n"/>
      <c r="J314" s="153" t="n"/>
      <c r="K314" s="153" t="n"/>
      <c r="L314" s="153" t="n"/>
      <c r="M314" s="153" t="n"/>
      <c r="N314" s="153" t="n"/>
      <c r="O314" s="153" t="n"/>
      <c r="P314" s="153" t="n"/>
      <c r="Q314" s="153" t="n"/>
      <c r="R314" s="153" t="n"/>
      <c r="S314" s="153" t="n"/>
      <c r="T314" s="153" t="n"/>
      <c r="U314" s="153" t="n"/>
      <c r="V314" s="153" t="n"/>
      <c r="W314" s="153" t="n"/>
      <c r="X314" s="153" t="n"/>
      <c r="Y314" s="153" t="n"/>
      <c r="Z314" s="153" t="n"/>
    </row>
    <row r="315" ht="15.75" customHeight="1" s="154">
      <c r="G315" s="153" t="n"/>
      <c r="H315" s="153" t="n"/>
      <c r="I315" s="153" t="n"/>
      <c r="J315" s="153" t="n"/>
      <c r="K315" s="153" t="n"/>
      <c r="L315" s="153" t="n"/>
      <c r="M315" s="153" t="n"/>
      <c r="N315" s="153" t="n"/>
      <c r="O315" s="153" t="n"/>
      <c r="P315" s="153" t="n"/>
      <c r="Q315" s="153" t="n"/>
      <c r="R315" s="153" t="n"/>
      <c r="S315" s="153" t="n"/>
      <c r="T315" s="153" t="n"/>
      <c r="U315" s="153" t="n"/>
      <c r="V315" s="153" t="n"/>
      <c r="W315" s="153" t="n"/>
      <c r="X315" s="153" t="n"/>
      <c r="Y315" s="153" t="n"/>
      <c r="Z315" s="153" t="n"/>
    </row>
    <row r="316" ht="15.75" customHeight="1" s="154">
      <c r="G316" s="153" t="n"/>
      <c r="H316" s="153" t="n"/>
      <c r="I316" s="153" t="n"/>
      <c r="J316" s="153" t="n"/>
      <c r="K316" s="153" t="n"/>
      <c r="L316" s="153" t="n"/>
      <c r="M316" s="153" t="n"/>
      <c r="N316" s="153" t="n"/>
      <c r="O316" s="153" t="n"/>
      <c r="P316" s="153" t="n"/>
      <c r="Q316" s="153" t="n"/>
      <c r="R316" s="153" t="n"/>
      <c r="S316" s="153" t="n"/>
      <c r="T316" s="153" t="n"/>
      <c r="U316" s="153" t="n"/>
      <c r="V316" s="153" t="n"/>
      <c r="W316" s="153" t="n"/>
      <c r="X316" s="153" t="n"/>
      <c r="Y316" s="153" t="n"/>
      <c r="Z316" s="153" t="n"/>
    </row>
    <row r="317" ht="15.75" customHeight="1" s="154">
      <c r="G317" s="153" t="n"/>
      <c r="H317" s="153" t="n"/>
      <c r="I317" s="153" t="n"/>
      <c r="J317" s="153" t="n"/>
      <c r="K317" s="153" t="n"/>
      <c r="L317" s="153" t="n"/>
      <c r="M317" s="153" t="n"/>
      <c r="N317" s="153" t="n"/>
      <c r="O317" s="153" t="n"/>
      <c r="P317" s="153" t="n"/>
      <c r="Q317" s="153" t="n"/>
      <c r="R317" s="153" t="n"/>
      <c r="S317" s="153" t="n"/>
      <c r="T317" s="153" t="n"/>
      <c r="U317" s="153" t="n"/>
      <c r="V317" s="153" t="n"/>
      <c r="W317" s="153" t="n"/>
      <c r="X317" s="153" t="n"/>
      <c r="Y317" s="153" t="n"/>
      <c r="Z317" s="153" t="n"/>
    </row>
    <row r="318" ht="15.75" customHeight="1" s="154">
      <c r="G318" s="153" t="n"/>
      <c r="H318" s="153" t="n"/>
      <c r="I318" s="153" t="n"/>
      <c r="J318" s="153" t="n"/>
      <c r="K318" s="153" t="n"/>
      <c r="L318" s="153" t="n"/>
      <c r="M318" s="153" t="n"/>
      <c r="N318" s="153" t="n"/>
      <c r="O318" s="153" t="n"/>
      <c r="P318" s="153" t="n"/>
      <c r="Q318" s="153" t="n"/>
      <c r="R318" s="153" t="n"/>
      <c r="S318" s="153" t="n"/>
      <c r="T318" s="153" t="n"/>
      <c r="U318" s="153" t="n"/>
      <c r="V318" s="153" t="n"/>
      <c r="W318" s="153" t="n"/>
      <c r="X318" s="153" t="n"/>
      <c r="Y318" s="153" t="n"/>
      <c r="Z318" s="153" t="n"/>
    </row>
    <row r="319" ht="15.75" customHeight="1" s="154">
      <c r="G319" s="153" t="n"/>
      <c r="H319" s="153" t="n"/>
      <c r="I319" s="153" t="n"/>
      <c r="J319" s="153" t="n"/>
      <c r="K319" s="153" t="n"/>
      <c r="L319" s="153" t="n"/>
      <c r="M319" s="153" t="n"/>
      <c r="N319" s="153" t="n"/>
      <c r="O319" s="153" t="n"/>
      <c r="P319" s="153" t="n"/>
      <c r="Q319" s="153" t="n"/>
      <c r="R319" s="153" t="n"/>
      <c r="S319" s="153" t="n"/>
      <c r="T319" s="153" t="n"/>
      <c r="U319" s="153" t="n"/>
      <c r="V319" s="153" t="n"/>
      <c r="W319" s="153" t="n"/>
      <c r="X319" s="153" t="n"/>
      <c r="Y319" s="153" t="n"/>
      <c r="Z319" s="153" t="n"/>
    </row>
    <row r="320" ht="15.75" customHeight="1" s="154">
      <c r="G320" s="153" t="n"/>
      <c r="H320" s="153" t="n"/>
      <c r="I320" s="153" t="n"/>
      <c r="J320" s="153" t="n"/>
      <c r="K320" s="153" t="n"/>
      <c r="L320" s="153" t="n"/>
      <c r="M320" s="153" t="n"/>
      <c r="N320" s="153" t="n"/>
      <c r="O320" s="153" t="n"/>
      <c r="P320" s="153" t="n"/>
      <c r="Q320" s="153" t="n"/>
      <c r="R320" s="153" t="n"/>
      <c r="S320" s="153" t="n"/>
      <c r="T320" s="153" t="n"/>
      <c r="U320" s="153" t="n"/>
      <c r="V320" s="153" t="n"/>
      <c r="W320" s="153" t="n"/>
      <c r="X320" s="153" t="n"/>
      <c r="Y320" s="153" t="n"/>
      <c r="Z320" s="153" t="n"/>
    </row>
    <row r="321" ht="15.75" customHeight="1" s="154">
      <c r="G321" s="153" t="n"/>
      <c r="H321" s="153" t="n"/>
      <c r="I321" s="153" t="n"/>
      <c r="J321" s="153" t="n"/>
      <c r="K321" s="153" t="n"/>
      <c r="L321" s="153" t="n"/>
      <c r="M321" s="153" t="n"/>
      <c r="N321" s="153" t="n"/>
      <c r="O321" s="153" t="n"/>
      <c r="P321" s="153" t="n"/>
      <c r="Q321" s="153" t="n"/>
      <c r="R321" s="153" t="n"/>
      <c r="S321" s="153" t="n"/>
      <c r="T321" s="153" t="n"/>
      <c r="U321" s="153" t="n"/>
      <c r="V321" s="153" t="n"/>
      <c r="W321" s="153" t="n"/>
      <c r="X321" s="153" t="n"/>
      <c r="Y321" s="153" t="n"/>
      <c r="Z321" s="153" t="n"/>
    </row>
    <row r="322" ht="15.75" customHeight="1" s="154">
      <c r="G322" s="153" t="n"/>
      <c r="H322" s="153" t="n"/>
      <c r="I322" s="153" t="n"/>
      <c r="J322" s="153" t="n"/>
      <c r="K322" s="153" t="n"/>
      <c r="L322" s="153" t="n"/>
      <c r="M322" s="153" t="n"/>
      <c r="N322" s="153" t="n"/>
      <c r="O322" s="153" t="n"/>
      <c r="P322" s="153" t="n"/>
      <c r="Q322" s="153" t="n"/>
      <c r="R322" s="153" t="n"/>
      <c r="S322" s="153" t="n"/>
      <c r="T322" s="153" t="n"/>
      <c r="U322" s="153" t="n"/>
      <c r="V322" s="153" t="n"/>
      <c r="W322" s="153" t="n"/>
      <c r="X322" s="153" t="n"/>
      <c r="Y322" s="153" t="n"/>
      <c r="Z322" s="153" t="n"/>
    </row>
    <row r="323" ht="15.75" customHeight="1" s="154">
      <c r="G323" s="153" t="n"/>
      <c r="H323" s="153" t="n"/>
      <c r="I323" s="153" t="n"/>
      <c r="J323" s="153" t="n"/>
      <c r="K323" s="153" t="n"/>
      <c r="L323" s="153" t="n"/>
      <c r="M323" s="153" t="n"/>
      <c r="N323" s="153" t="n"/>
      <c r="O323" s="153" t="n"/>
      <c r="P323" s="153" t="n"/>
      <c r="Q323" s="153" t="n"/>
      <c r="R323" s="153" t="n"/>
      <c r="S323" s="153" t="n"/>
      <c r="T323" s="153" t="n"/>
      <c r="U323" s="153" t="n"/>
      <c r="V323" s="153" t="n"/>
      <c r="W323" s="153" t="n"/>
      <c r="X323" s="153" t="n"/>
      <c r="Y323" s="153" t="n"/>
      <c r="Z323" s="153" t="n"/>
    </row>
    <row r="324" ht="15.75" customHeight="1" s="154">
      <c r="G324" s="153" t="n"/>
      <c r="H324" s="153" t="n"/>
      <c r="I324" s="153" t="n"/>
      <c r="J324" s="153" t="n"/>
      <c r="K324" s="153" t="n"/>
      <c r="L324" s="153" t="n"/>
      <c r="M324" s="153" t="n"/>
      <c r="N324" s="153" t="n"/>
      <c r="O324" s="153" t="n"/>
      <c r="P324" s="153" t="n"/>
      <c r="Q324" s="153" t="n"/>
      <c r="R324" s="153" t="n"/>
      <c r="S324" s="153" t="n"/>
      <c r="T324" s="153" t="n"/>
      <c r="U324" s="153" t="n"/>
      <c r="V324" s="153" t="n"/>
      <c r="W324" s="153" t="n"/>
      <c r="X324" s="153" t="n"/>
      <c r="Y324" s="153" t="n"/>
      <c r="Z324" s="153" t="n"/>
    </row>
    <row r="325" ht="15.75" customHeight="1" s="154">
      <c r="G325" s="153" t="n"/>
      <c r="H325" s="153" t="n"/>
      <c r="I325" s="153" t="n"/>
      <c r="J325" s="153" t="n"/>
      <c r="K325" s="153" t="n"/>
      <c r="L325" s="153" t="n"/>
      <c r="M325" s="153" t="n"/>
      <c r="N325" s="153" t="n"/>
      <c r="O325" s="153" t="n"/>
      <c r="P325" s="153" t="n"/>
      <c r="Q325" s="153" t="n"/>
      <c r="R325" s="153" t="n"/>
      <c r="S325" s="153" t="n"/>
      <c r="T325" s="153" t="n"/>
      <c r="U325" s="153" t="n"/>
      <c r="V325" s="153" t="n"/>
      <c r="W325" s="153" t="n"/>
      <c r="X325" s="153" t="n"/>
      <c r="Y325" s="153" t="n"/>
      <c r="Z325" s="153" t="n"/>
    </row>
    <row r="326" ht="15.75" customHeight="1" s="154">
      <c r="G326" s="153" t="n"/>
      <c r="H326" s="153" t="n"/>
      <c r="I326" s="153" t="n"/>
      <c r="J326" s="153" t="n"/>
      <c r="K326" s="153" t="n"/>
      <c r="L326" s="153" t="n"/>
      <c r="M326" s="153" t="n"/>
      <c r="N326" s="153" t="n"/>
      <c r="O326" s="153" t="n"/>
      <c r="P326" s="153" t="n"/>
      <c r="Q326" s="153" t="n"/>
      <c r="R326" s="153" t="n"/>
      <c r="S326" s="153" t="n"/>
      <c r="T326" s="153" t="n"/>
      <c r="U326" s="153" t="n"/>
      <c r="V326" s="153" t="n"/>
      <c r="W326" s="153" t="n"/>
      <c r="X326" s="153" t="n"/>
      <c r="Y326" s="153" t="n"/>
      <c r="Z326" s="153" t="n"/>
    </row>
    <row r="327" ht="15.75" customHeight="1" s="154">
      <c r="G327" s="153" t="n"/>
      <c r="H327" s="153" t="n"/>
      <c r="I327" s="153" t="n"/>
      <c r="J327" s="153" t="n"/>
      <c r="K327" s="153" t="n"/>
      <c r="L327" s="153" t="n"/>
      <c r="M327" s="153" t="n"/>
      <c r="N327" s="153" t="n"/>
      <c r="O327" s="153" t="n"/>
      <c r="P327" s="153" t="n"/>
      <c r="Q327" s="153" t="n"/>
      <c r="R327" s="153" t="n"/>
      <c r="S327" s="153" t="n"/>
      <c r="T327" s="153" t="n"/>
      <c r="U327" s="153" t="n"/>
      <c r="V327" s="153" t="n"/>
      <c r="W327" s="153" t="n"/>
      <c r="X327" s="153" t="n"/>
      <c r="Y327" s="153" t="n"/>
      <c r="Z327" s="153" t="n"/>
    </row>
    <row r="328" ht="15.75" customHeight="1" s="154">
      <c r="G328" s="153" t="n"/>
      <c r="H328" s="153" t="n"/>
      <c r="I328" s="153" t="n"/>
      <c r="J328" s="153" t="n"/>
      <c r="K328" s="153" t="n"/>
      <c r="L328" s="153" t="n"/>
      <c r="M328" s="153" t="n"/>
      <c r="N328" s="153" t="n"/>
      <c r="O328" s="153" t="n"/>
      <c r="P328" s="153" t="n"/>
      <c r="Q328" s="153" t="n"/>
      <c r="R328" s="153" t="n"/>
      <c r="S328" s="153" t="n"/>
      <c r="T328" s="153" t="n"/>
      <c r="U328" s="153" t="n"/>
      <c r="V328" s="153" t="n"/>
      <c r="W328" s="153" t="n"/>
      <c r="X328" s="153" t="n"/>
      <c r="Y328" s="153" t="n"/>
      <c r="Z328" s="153" t="n"/>
    </row>
    <row r="329" ht="15.75" customHeight="1" s="154">
      <c r="G329" s="153" t="n"/>
      <c r="H329" s="153" t="n"/>
      <c r="I329" s="153" t="n"/>
      <c r="J329" s="153" t="n"/>
      <c r="K329" s="153" t="n"/>
      <c r="L329" s="153" t="n"/>
      <c r="M329" s="153" t="n"/>
      <c r="N329" s="153" t="n"/>
      <c r="O329" s="153" t="n"/>
      <c r="P329" s="153" t="n"/>
      <c r="Q329" s="153" t="n"/>
      <c r="R329" s="153" t="n"/>
      <c r="S329" s="153" t="n"/>
      <c r="T329" s="153" t="n"/>
      <c r="U329" s="153" t="n"/>
      <c r="V329" s="153" t="n"/>
      <c r="W329" s="153" t="n"/>
      <c r="X329" s="153" t="n"/>
      <c r="Y329" s="153" t="n"/>
      <c r="Z329" s="153" t="n"/>
    </row>
    <row r="330" ht="15.75" customHeight="1" s="154">
      <c r="G330" s="153" t="n"/>
      <c r="H330" s="153" t="n"/>
      <c r="I330" s="153" t="n"/>
      <c r="J330" s="153" t="n"/>
      <c r="K330" s="153" t="n"/>
      <c r="L330" s="153" t="n"/>
      <c r="M330" s="153" t="n"/>
      <c r="N330" s="153" t="n"/>
      <c r="O330" s="153" t="n"/>
      <c r="P330" s="153" t="n"/>
      <c r="Q330" s="153" t="n"/>
      <c r="R330" s="153" t="n"/>
      <c r="S330" s="153" t="n"/>
      <c r="T330" s="153" t="n"/>
      <c r="U330" s="153" t="n"/>
      <c r="V330" s="153" t="n"/>
      <c r="W330" s="153" t="n"/>
      <c r="X330" s="153" t="n"/>
      <c r="Y330" s="153" t="n"/>
      <c r="Z330" s="153" t="n"/>
    </row>
    <row r="331" ht="15.75" customHeight="1" s="154">
      <c r="G331" s="153" t="n"/>
      <c r="H331" s="153" t="n"/>
      <c r="I331" s="153" t="n"/>
      <c r="J331" s="153" t="n"/>
      <c r="K331" s="153" t="n"/>
      <c r="L331" s="153" t="n"/>
      <c r="M331" s="153" t="n"/>
      <c r="N331" s="153" t="n"/>
      <c r="O331" s="153" t="n"/>
      <c r="P331" s="153" t="n"/>
      <c r="Q331" s="153" t="n"/>
      <c r="R331" s="153" t="n"/>
      <c r="S331" s="153" t="n"/>
      <c r="T331" s="153" t="n"/>
      <c r="U331" s="153" t="n"/>
      <c r="V331" s="153" t="n"/>
      <c r="W331" s="153" t="n"/>
      <c r="X331" s="153" t="n"/>
      <c r="Y331" s="153" t="n"/>
      <c r="Z331" s="153" t="n"/>
    </row>
    <row r="332" ht="15.75" customHeight="1" s="154">
      <c r="G332" s="153" t="n"/>
      <c r="H332" s="153" t="n"/>
      <c r="I332" s="153" t="n"/>
      <c r="J332" s="153" t="n"/>
      <c r="K332" s="153" t="n"/>
      <c r="L332" s="153" t="n"/>
      <c r="M332" s="153" t="n"/>
      <c r="N332" s="153" t="n"/>
      <c r="O332" s="153" t="n"/>
      <c r="P332" s="153" t="n"/>
      <c r="Q332" s="153" t="n"/>
      <c r="R332" s="153" t="n"/>
      <c r="S332" s="153" t="n"/>
      <c r="T332" s="153" t="n"/>
      <c r="U332" s="153" t="n"/>
      <c r="V332" s="153" t="n"/>
      <c r="W332" s="153" t="n"/>
      <c r="X332" s="153" t="n"/>
      <c r="Y332" s="153" t="n"/>
      <c r="Z332" s="153" t="n"/>
    </row>
    <row r="333" ht="15.75" customHeight="1" s="154">
      <c r="G333" s="153" t="n"/>
      <c r="H333" s="153" t="n"/>
      <c r="I333" s="153" t="n"/>
      <c r="J333" s="153" t="n"/>
      <c r="K333" s="153" t="n"/>
      <c r="L333" s="153" t="n"/>
      <c r="M333" s="153" t="n"/>
      <c r="N333" s="153" t="n"/>
      <c r="O333" s="153" t="n"/>
      <c r="P333" s="153" t="n"/>
      <c r="Q333" s="153" t="n"/>
      <c r="R333" s="153" t="n"/>
      <c r="S333" s="153" t="n"/>
      <c r="T333" s="153" t="n"/>
      <c r="U333" s="153" t="n"/>
      <c r="V333" s="153" t="n"/>
      <c r="W333" s="153" t="n"/>
      <c r="X333" s="153" t="n"/>
      <c r="Y333" s="153" t="n"/>
      <c r="Z333" s="153" t="n"/>
    </row>
    <row r="334" ht="15.75" customHeight="1" s="154">
      <c r="G334" s="153" t="n"/>
      <c r="H334" s="153" t="n"/>
      <c r="I334" s="153" t="n"/>
      <c r="J334" s="153" t="n"/>
      <c r="K334" s="153" t="n"/>
      <c r="L334" s="153" t="n"/>
      <c r="M334" s="153" t="n"/>
      <c r="N334" s="153" t="n"/>
      <c r="O334" s="153" t="n"/>
      <c r="P334" s="153" t="n"/>
      <c r="Q334" s="153" t="n"/>
      <c r="R334" s="153" t="n"/>
      <c r="S334" s="153" t="n"/>
      <c r="T334" s="153" t="n"/>
      <c r="U334" s="153" t="n"/>
      <c r="V334" s="153" t="n"/>
      <c r="W334" s="153" t="n"/>
      <c r="X334" s="153" t="n"/>
      <c r="Y334" s="153" t="n"/>
      <c r="Z334" s="153" t="n"/>
    </row>
    <row r="335" ht="15.75" customHeight="1" s="154">
      <c r="G335" s="153" t="n"/>
      <c r="H335" s="153" t="n"/>
      <c r="I335" s="153" t="n"/>
      <c r="J335" s="153" t="n"/>
      <c r="K335" s="153" t="n"/>
      <c r="L335" s="153" t="n"/>
      <c r="M335" s="153" t="n"/>
      <c r="N335" s="153" t="n"/>
      <c r="O335" s="153" t="n"/>
      <c r="P335" s="153" t="n"/>
      <c r="Q335" s="153" t="n"/>
      <c r="R335" s="153" t="n"/>
      <c r="S335" s="153" t="n"/>
      <c r="T335" s="153" t="n"/>
      <c r="U335" s="153" t="n"/>
      <c r="V335" s="153" t="n"/>
      <c r="W335" s="153" t="n"/>
      <c r="X335" s="153" t="n"/>
      <c r="Y335" s="153" t="n"/>
      <c r="Z335" s="153" t="n"/>
    </row>
    <row r="336" ht="15.75" customHeight="1" s="154">
      <c r="G336" s="153" t="n"/>
      <c r="H336" s="153" t="n"/>
      <c r="I336" s="153" t="n"/>
      <c r="J336" s="153" t="n"/>
      <c r="K336" s="153" t="n"/>
      <c r="L336" s="153" t="n"/>
      <c r="M336" s="153" t="n"/>
      <c r="N336" s="153" t="n"/>
      <c r="O336" s="153" t="n"/>
      <c r="P336" s="153" t="n"/>
      <c r="Q336" s="153" t="n"/>
      <c r="R336" s="153" t="n"/>
      <c r="S336" s="153" t="n"/>
      <c r="T336" s="153" t="n"/>
      <c r="U336" s="153" t="n"/>
      <c r="V336" s="153" t="n"/>
      <c r="W336" s="153" t="n"/>
      <c r="X336" s="153" t="n"/>
      <c r="Y336" s="153" t="n"/>
      <c r="Z336" s="153" t="n"/>
    </row>
    <row r="337" ht="15.75" customHeight="1" s="154">
      <c r="G337" s="153" t="n"/>
      <c r="H337" s="153" t="n"/>
      <c r="I337" s="153" t="n"/>
      <c r="J337" s="153" t="n"/>
      <c r="K337" s="153" t="n"/>
      <c r="L337" s="153" t="n"/>
      <c r="M337" s="153" t="n"/>
      <c r="N337" s="153" t="n"/>
      <c r="O337" s="153" t="n"/>
      <c r="P337" s="153" t="n"/>
      <c r="Q337" s="153" t="n"/>
      <c r="R337" s="153" t="n"/>
      <c r="S337" s="153" t="n"/>
      <c r="T337" s="153" t="n"/>
      <c r="U337" s="153" t="n"/>
      <c r="V337" s="153" t="n"/>
      <c r="W337" s="153" t="n"/>
      <c r="X337" s="153" t="n"/>
      <c r="Y337" s="153" t="n"/>
      <c r="Z337" s="153" t="n"/>
    </row>
    <row r="338" ht="15.75" customHeight="1" s="154">
      <c r="G338" s="153" t="n"/>
      <c r="H338" s="153" t="n"/>
      <c r="I338" s="153" t="n"/>
      <c r="J338" s="153" t="n"/>
      <c r="K338" s="153" t="n"/>
      <c r="L338" s="153" t="n"/>
      <c r="M338" s="153" t="n"/>
      <c r="N338" s="153" t="n"/>
      <c r="O338" s="153" t="n"/>
      <c r="P338" s="153" t="n"/>
      <c r="Q338" s="153" t="n"/>
      <c r="R338" s="153" t="n"/>
      <c r="S338" s="153" t="n"/>
      <c r="T338" s="153" t="n"/>
      <c r="U338" s="153" t="n"/>
      <c r="V338" s="153" t="n"/>
      <c r="W338" s="153" t="n"/>
      <c r="X338" s="153" t="n"/>
      <c r="Y338" s="153" t="n"/>
      <c r="Z338" s="153" t="n"/>
    </row>
    <row r="339" ht="15.75" customHeight="1" s="154">
      <c r="G339" s="153" t="n"/>
      <c r="H339" s="153" t="n"/>
      <c r="I339" s="153" t="n"/>
      <c r="J339" s="153" t="n"/>
      <c r="K339" s="153" t="n"/>
      <c r="L339" s="153" t="n"/>
      <c r="M339" s="153" t="n"/>
      <c r="N339" s="153" t="n"/>
      <c r="O339" s="153" t="n"/>
      <c r="P339" s="153" t="n"/>
      <c r="Q339" s="153" t="n"/>
      <c r="R339" s="153" t="n"/>
      <c r="S339" s="153" t="n"/>
      <c r="T339" s="153" t="n"/>
      <c r="U339" s="153" t="n"/>
      <c r="V339" s="153" t="n"/>
      <c r="W339" s="153" t="n"/>
      <c r="X339" s="153" t="n"/>
      <c r="Y339" s="153" t="n"/>
      <c r="Z339" s="153" t="n"/>
    </row>
    <row r="340" ht="15.75" customHeight="1" s="154">
      <c r="G340" s="153" t="n"/>
      <c r="H340" s="153" t="n"/>
      <c r="I340" s="153" t="n"/>
      <c r="J340" s="153" t="n"/>
      <c r="K340" s="153" t="n"/>
      <c r="L340" s="153" t="n"/>
      <c r="M340" s="153" t="n"/>
      <c r="N340" s="153" t="n"/>
      <c r="O340" s="153" t="n"/>
      <c r="P340" s="153" t="n"/>
      <c r="Q340" s="153" t="n"/>
      <c r="R340" s="153" t="n"/>
      <c r="S340" s="153" t="n"/>
      <c r="T340" s="153" t="n"/>
      <c r="U340" s="153" t="n"/>
      <c r="V340" s="153" t="n"/>
      <c r="W340" s="153" t="n"/>
      <c r="X340" s="153" t="n"/>
      <c r="Y340" s="153" t="n"/>
      <c r="Z340" s="153" t="n"/>
    </row>
    <row r="341" ht="15.75" customHeight="1" s="154">
      <c r="G341" s="153" t="n"/>
      <c r="H341" s="153" t="n"/>
      <c r="I341" s="153" t="n"/>
      <c r="J341" s="153" t="n"/>
      <c r="K341" s="153" t="n"/>
      <c r="L341" s="153" t="n"/>
      <c r="M341" s="153" t="n"/>
      <c r="N341" s="153" t="n"/>
      <c r="O341" s="153" t="n"/>
      <c r="P341" s="153" t="n"/>
      <c r="Q341" s="153" t="n"/>
      <c r="R341" s="153" t="n"/>
      <c r="S341" s="153" t="n"/>
      <c r="T341" s="153" t="n"/>
      <c r="U341" s="153" t="n"/>
      <c r="V341" s="153" t="n"/>
      <c r="W341" s="153" t="n"/>
      <c r="X341" s="153" t="n"/>
      <c r="Y341" s="153" t="n"/>
      <c r="Z341" s="153" t="n"/>
    </row>
    <row r="342" ht="15.75" customHeight="1" s="154">
      <c r="G342" s="153" t="n"/>
      <c r="H342" s="153" t="n"/>
      <c r="I342" s="153" t="n"/>
      <c r="J342" s="153" t="n"/>
      <c r="K342" s="153" t="n"/>
      <c r="L342" s="153" t="n"/>
      <c r="M342" s="153" t="n"/>
      <c r="N342" s="153" t="n"/>
      <c r="O342" s="153" t="n"/>
      <c r="P342" s="153" t="n"/>
      <c r="Q342" s="153" t="n"/>
      <c r="R342" s="153" t="n"/>
      <c r="S342" s="153" t="n"/>
      <c r="T342" s="153" t="n"/>
      <c r="U342" s="153" t="n"/>
      <c r="V342" s="153" t="n"/>
      <c r="W342" s="153" t="n"/>
      <c r="X342" s="153" t="n"/>
      <c r="Y342" s="153" t="n"/>
      <c r="Z342" s="153" t="n"/>
    </row>
    <row r="343" ht="15.75" customHeight="1" s="154">
      <c r="G343" s="153" t="n"/>
      <c r="H343" s="153" t="n"/>
      <c r="I343" s="153" t="n"/>
      <c r="J343" s="153" t="n"/>
      <c r="K343" s="153" t="n"/>
      <c r="L343" s="153" t="n"/>
      <c r="M343" s="153" t="n"/>
      <c r="N343" s="153" t="n"/>
      <c r="O343" s="153" t="n"/>
      <c r="P343" s="153" t="n"/>
      <c r="Q343" s="153" t="n"/>
      <c r="R343" s="153" t="n"/>
      <c r="S343" s="153" t="n"/>
      <c r="T343" s="153" t="n"/>
      <c r="U343" s="153" t="n"/>
      <c r="V343" s="153" t="n"/>
      <c r="W343" s="153" t="n"/>
      <c r="X343" s="153" t="n"/>
      <c r="Y343" s="153" t="n"/>
      <c r="Z343" s="153" t="n"/>
    </row>
    <row r="344" ht="15.75" customHeight="1" s="154">
      <c r="G344" s="153" t="n"/>
      <c r="H344" s="153" t="n"/>
      <c r="I344" s="153" t="n"/>
      <c r="J344" s="153" t="n"/>
      <c r="K344" s="153" t="n"/>
      <c r="L344" s="153" t="n"/>
      <c r="M344" s="153" t="n"/>
      <c r="N344" s="153" t="n"/>
      <c r="O344" s="153" t="n"/>
      <c r="P344" s="153" t="n"/>
      <c r="Q344" s="153" t="n"/>
      <c r="R344" s="153" t="n"/>
      <c r="S344" s="153" t="n"/>
      <c r="T344" s="153" t="n"/>
      <c r="U344" s="153" t="n"/>
      <c r="V344" s="153" t="n"/>
      <c r="W344" s="153" t="n"/>
      <c r="X344" s="153" t="n"/>
      <c r="Y344" s="153" t="n"/>
      <c r="Z344" s="153" t="n"/>
    </row>
    <row r="345" ht="15.75" customHeight="1" s="154">
      <c r="G345" s="153" t="n"/>
      <c r="H345" s="153" t="n"/>
      <c r="I345" s="153" t="n"/>
      <c r="J345" s="153" t="n"/>
      <c r="K345" s="153" t="n"/>
      <c r="L345" s="153" t="n"/>
      <c r="M345" s="153" t="n"/>
      <c r="N345" s="153" t="n"/>
      <c r="O345" s="153" t="n"/>
      <c r="P345" s="153" t="n"/>
      <c r="Q345" s="153" t="n"/>
      <c r="R345" s="153" t="n"/>
      <c r="S345" s="153" t="n"/>
      <c r="T345" s="153" t="n"/>
      <c r="U345" s="153" t="n"/>
      <c r="V345" s="153" t="n"/>
      <c r="W345" s="153" t="n"/>
      <c r="X345" s="153" t="n"/>
      <c r="Y345" s="153" t="n"/>
      <c r="Z345" s="153" t="n"/>
    </row>
    <row r="346" ht="15.75" customHeight="1" s="154">
      <c r="G346" s="153" t="n"/>
      <c r="H346" s="153" t="n"/>
      <c r="I346" s="153" t="n"/>
      <c r="J346" s="153" t="n"/>
      <c r="K346" s="153" t="n"/>
      <c r="L346" s="153" t="n"/>
      <c r="M346" s="153" t="n"/>
      <c r="N346" s="153" t="n"/>
      <c r="O346" s="153" t="n"/>
      <c r="P346" s="153" t="n"/>
      <c r="Q346" s="153" t="n"/>
      <c r="R346" s="153" t="n"/>
      <c r="S346" s="153" t="n"/>
      <c r="T346" s="153" t="n"/>
      <c r="U346" s="153" t="n"/>
      <c r="V346" s="153" t="n"/>
      <c r="W346" s="153" t="n"/>
      <c r="X346" s="153" t="n"/>
      <c r="Y346" s="153" t="n"/>
      <c r="Z346" s="153" t="n"/>
    </row>
    <row r="347" ht="15.75" customHeight="1" s="154">
      <c r="G347" s="153" t="n"/>
      <c r="H347" s="153" t="n"/>
      <c r="I347" s="153" t="n"/>
      <c r="J347" s="153" t="n"/>
      <c r="K347" s="153" t="n"/>
      <c r="L347" s="153" t="n"/>
      <c r="M347" s="153" t="n"/>
      <c r="N347" s="153" t="n"/>
      <c r="O347" s="153" t="n"/>
      <c r="P347" s="153" t="n"/>
      <c r="Q347" s="153" t="n"/>
      <c r="R347" s="153" t="n"/>
      <c r="S347" s="153" t="n"/>
      <c r="T347" s="153" t="n"/>
      <c r="U347" s="153" t="n"/>
      <c r="V347" s="153" t="n"/>
      <c r="W347" s="153" t="n"/>
      <c r="X347" s="153" t="n"/>
      <c r="Y347" s="153" t="n"/>
      <c r="Z347" s="153" t="n"/>
    </row>
    <row r="348" ht="15.75" customHeight="1" s="154">
      <c r="G348" s="153" t="n"/>
      <c r="H348" s="153" t="n"/>
      <c r="I348" s="153" t="n"/>
      <c r="J348" s="153" t="n"/>
      <c r="K348" s="153" t="n"/>
      <c r="L348" s="153" t="n"/>
      <c r="M348" s="153" t="n"/>
      <c r="N348" s="153" t="n"/>
      <c r="O348" s="153" t="n"/>
      <c r="P348" s="153" t="n"/>
      <c r="Q348" s="153" t="n"/>
      <c r="R348" s="153" t="n"/>
      <c r="S348" s="153" t="n"/>
      <c r="T348" s="153" t="n"/>
      <c r="U348" s="153" t="n"/>
      <c r="V348" s="153" t="n"/>
      <c r="W348" s="153" t="n"/>
      <c r="X348" s="153" t="n"/>
      <c r="Y348" s="153" t="n"/>
      <c r="Z348" s="153" t="n"/>
    </row>
    <row r="349" ht="15.75" customHeight="1" s="154">
      <c r="G349" s="153" t="n"/>
      <c r="H349" s="153" t="n"/>
      <c r="I349" s="153" t="n"/>
      <c r="J349" s="153" t="n"/>
      <c r="K349" s="153" t="n"/>
      <c r="L349" s="153" t="n"/>
      <c r="M349" s="153" t="n"/>
      <c r="N349" s="153" t="n"/>
      <c r="O349" s="153" t="n"/>
      <c r="P349" s="153" t="n"/>
      <c r="Q349" s="153" t="n"/>
      <c r="R349" s="153" t="n"/>
      <c r="S349" s="153" t="n"/>
      <c r="T349" s="153" t="n"/>
      <c r="U349" s="153" t="n"/>
      <c r="V349" s="153" t="n"/>
      <c r="W349" s="153" t="n"/>
      <c r="X349" s="153" t="n"/>
      <c r="Y349" s="153" t="n"/>
      <c r="Z349" s="153" t="n"/>
    </row>
    <row r="350" ht="15.75" customHeight="1" s="154">
      <c r="G350" s="153" t="n"/>
      <c r="H350" s="153" t="n"/>
      <c r="I350" s="153" t="n"/>
      <c r="J350" s="153" t="n"/>
      <c r="K350" s="153" t="n"/>
      <c r="L350" s="153" t="n"/>
      <c r="M350" s="153" t="n"/>
      <c r="N350" s="153" t="n"/>
      <c r="O350" s="153" t="n"/>
      <c r="P350" s="153" t="n"/>
      <c r="Q350" s="153" t="n"/>
      <c r="R350" s="153" t="n"/>
      <c r="S350" s="153" t="n"/>
      <c r="T350" s="153" t="n"/>
      <c r="U350" s="153" t="n"/>
      <c r="V350" s="153" t="n"/>
      <c r="W350" s="153" t="n"/>
      <c r="X350" s="153" t="n"/>
      <c r="Y350" s="153" t="n"/>
      <c r="Z350" s="153" t="n"/>
    </row>
    <row r="351" ht="15.75" customHeight="1" s="154">
      <c r="G351" s="153" t="n"/>
      <c r="H351" s="153" t="n"/>
      <c r="I351" s="153" t="n"/>
      <c r="J351" s="153" t="n"/>
      <c r="K351" s="153" t="n"/>
      <c r="L351" s="153" t="n"/>
      <c r="M351" s="153" t="n"/>
      <c r="N351" s="153" t="n"/>
      <c r="O351" s="153" t="n"/>
      <c r="P351" s="153" t="n"/>
      <c r="Q351" s="153" t="n"/>
      <c r="R351" s="153" t="n"/>
      <c r="S351" s="153" t="n"/>
      <c r="T351" s="153" t="n"/>
      <c r="U351" s="153" t="n"/>
      <c r="V351" s="153" t="n"/>
      <c r="W351" s="153" t="n"/>
      <c r="X351" s="153" t="n"/>
      <c r="Y351" s="153" t="n"/>
      <c r="Z351" s="153" t="n"/>
    </row>
    <row r="352" ht="15.75" customHeight="1" s="154">
      <c r="G352" s="153" t="n"/>
      <c r="H352" s="153" t="n"/>
      <c r="I352" s="153" t="n"/>
      <c r="J352" s="153" t="n"/>
      <c r="K352" s="153" t="n"/>
      <c r="L352" s="153" t="n"/>
      <c r="M352" s="153" t="n"/>
      <c r="N352" s="153" t="n"/>
      <c r="O352" s="153" t="n"/>
      <c r="P352" s="153" t="n"/>
      <c r="Q352" s="153" t="n"/>
      <c r="R352" s="153" t="n"/>
      <c r="S352" s="153" t="n"/>
      <c r="T352" s="153" t="n"/>
      <c r="U352" s="153" t="n"/>
      <c r="V352" s="153" t="n"/>
      <c r="W352" s="153" t="n"/>
      <c r="X352" s="153" t="n"/>
      <c r="Y352" s="153" t="n"/>
      <c r="Z352" s="153" t="n"/>
    </row>
    <row r="353" ht="15.75" customHeight="1" s="154">
      <c r="G353" s="153" t="n"/>
      <c r="H353" s="153" t="n"/>
      <c r="I353" s="153" t="n"/>
      <c r="J353" s="153" t="n"/>
      <c r="K353" s="153" t="n"/>
      <c r="L353" s="153" t="n"/>
      <c r="M353" s="153" t="n"/>
      <c r="N353" s="153" t="n"/>
      <c r="O353" s="153" t="n"/>
      <c r="P353" s="153" t="n"/>
      <c r="Q353" s="153" t="n"/>
      <c r="R353" s="153" t="n"/>
      <c r="S353" s="153" t="n"/>
      <c r="T353" s="153" t="n"/>
      <c r="U353" s="153" t="n"/>
      <c r="V353" s="153" t="n"/>
      <c r="W353" s="153" t="n"/>
      <c r="X353" s="153" t="n"/>
      <c r="Y353" s="153" t="n"/>
      <c r="Z353" s="153" t="n"/>
    </row>
    <row r="354" ht="15.75" customHeight="1" s="154">
      <c r="G354" s="153" t="n"/>
      <c r="H354" s="153" t="n"/>
      <c r="I354" s="153" t="n"/>
      <c r="J354" s="153" t="n"/>
      <c r="K354" s="153" t="n"/>
      <c r="L354" s="153" t="n"/>
      <c r="M354" s="153" t="n"/>
      <c r="N354" s="153" t="n"/>
      <c r="O354" s="153" t="n"/>
      <c r="P354" s="153" t="n"/>
      <c r="Q354" s="153" t="n"/>
      <c r="R354" s="153" t="n"/>
      <c r="S354" s="153" t="n"/>
      <c r="T354" s="153" t="n"/>
      <c r="U354" s="153" t="n"/>
      <c r="V354" s="153" t="n"/>
      <c r="W354" s="153" t="n"/>
      <c r="X354" s="153" t="n"/>
      <c r="Y354" s="153" t="n"/>
      <c r="Z354" s="153" t="n"/>
    </row>
    <row r="355" ht="15.75" customHeight="1" s="154">
      <c r="G355" s="153" t="n"/>
      <c r="H355" s="153" t="n"/>
      <c r="I355" s="153" t="n"/>
      <c r="J355" s="153" t="n"/>
      <c r="K355" s="153" t="n"/>
      <c r="L355" s="153" t="n"/>
      <c r="M355" s="153" t="n"/>
      <c r="N355" s="153" t="n"/>
      <c r="O355" s="153" t="n"/>
      <c r="P355" s="153" t="n"/>
      <c r="Q355" s="153" t="n"/>
      <c r="R355" s="153" t="n"/>
      <c r="S355" s="153" t="n"/>
      <c r="T355" s="153" t="n"/>
      <c r="U355" s="153" t="n"/>
      <c r="V355" s="153" t="n"/>
      <c r="W355" s="153" t="n"/>
      <c r="X355" s="153" t="n"/>
      <c r="Y355" s="153" t="n"/>
      <c r="Z355" s="153" t="n"/>
    </row>
    <row r="356" ht="15.75" customHeight="1" s="154">
      <c r="G356" s="153" t="n"/>
      <c r="H356" s="153" t="n"/>
      <c r="I356" s="153" t="n"/>
      <c r="J356" s="153" t="n"/>
      <c r="K356" s="153" t="n"/>
      <c r="L356" s="153" t="n"/>
      <c r="M356" s="153" t="n"/>
      <c r="N356" s="153" t="n"/>
      <c r="O356" s="153" t="n"/>
      <c r="P356" s="153" t="n"/>
      <c r="Q356" s="153" t="n"/>
      <c r="R356" s="153" t="n"/>
      <c r="S356" s="153" t="n"/>
      <c r="T356" s="153" t="n"/>
      <c r="U356" s="153" t="n"/>
      <c r="V356" s="153" t="n"/>
      <c r="W356" s="153" t="n"/>
      <c r="X356" s="153" t="n"/>
      <c r="Y356" s="153" t="n"/>
      <c r="Z356" s="153" t="n"/>
    </row>
    <row r="357" ht="15.75" customHeight="1" s="154">
      <c r="G357" s="153" t="n"/>
      <c r="H357" s="153" t="n"/>
      <c r="I357" s="153" t="n"/>
      <c r="J357" s="153" t="n"/>
      <c r="K357" s="153" t="n"/>
      <c r="L357" s="153" t="n"/>
      <c r="M357" s="153" t="n"/>
      <c r="N357" s="153" t="n"/>
      <c r="O357" s="153" t="n"/>
      <c r="P357" s="153" t="n"/>
      <c r="Q357" s="153" t="n"/>
      <c r="R357" s="153" t="n"/>
      <c r="S357" s="153" t="n"/>
      <c r="T357" s="153" t="n"/>
      <c r="U357" s="153" t="n"/>
      <c r="V357" s="153" t="n"/>
      <c r="W357" s="153" t="n"/>
      <c r="X357" s="153" t="n"/>
      <c r="Y357" s="153" t="n"/>
      <c r="Z357" s="153" t="n"/>
    </row>
    <row r="358" ht="15.75" customHeight="1" s="154">
      <c r="G358" s="153" t="n"/>
      <c r="H358" s="153" t="n"/>
      <c r="I358" s="153" t="n"/>
      <c r="J358" s="153" t="n"/>
      <c r="K358" s="153" t="n"/>
      <c r="L358" s="153" t="n"/>
      <c r="M358" s="153" t="n"/>
      <c r="N358" s="153" t="n"/>
      <c r="O358" s="153" t="n"/>
      <c r="P358" s="153" t="n"/>
      <c r="Q358" s="153" t="n"/>
      <c r="R358" s="153" t="n"/>
      <c r="S358" s="153" t="n"/>
      <c r="T358" s="153" t="n"/>
      <c r="U358" s="153" t="n"/>
      <c r="V358" s="153" t="n"/>
      <c r="W358" s="153" t="n"/>
      <c r="X358" s="153" t="n"/>
      <c r="Y358" s="153" t="n"/>
      <c r="Z358" s="153" t="n"/>
    </row>
    <row r="359" ht="15.75" customHeight="1" s="154">
      <c r="G359" s="153" t="n"/>
      <c r="H359" s="153" t="n"/>
      <c r="I359" s="153" t="n"/>
      <c r="J359" s="153" t="n"/>
      <c r="K359" s="153" t="n"/>
      <c r="L359" s="153" t="n"/>
      <c r="M359" s="153" t="n"/>
      <c r="N359" s="153" t="n"/>
      <c r="O359" s="153" t="n"/>
      <c r="P359" s="153" t="n"/>
      <c r="Q359" s="153" t="n"/>
      <c r="R359" s="153" t="n"/>
      <c r="S359" s="153" t="n"/>
      <c r="T359" s="153" t="n"/>
      <c r="U359" s="153" t="n"/>
      <c r="V359" s="153" t="n"/>
      <c r="W359" s="153" t="n"/>
      <c r="X359" s="153" t="n"/>
      <c r="Y359" s="153" t="n"/>
      <c r="Z359" s="153" t="n"/>
    </row>
    <row r="360" ht="15.75" customHeight="1" s="154">
      <c r="G360" s="153" t="n"/>
      <c r="H360" s="153" t="n"/>
      <c r="I360" s="153" t="n"/>
      <c r="J360" s="153" t="n"/>
      <c r="K360" s="153" t="n"/>
      <c r="L360" s="153" t="n"/>
      <c r="M360" s="153" t="n"/>
      <c r="N360" s="153" t="n"/>
      <c r="O360" s="153" t="n"/>
      <c r="P360" s="153" t="n"/>
      <c r="Q360" s="153" t="n"/>
      <c r="R360" s="153" t="n"/>
      <c r="S360" s="153" t="n"/>
      <c r="T360" s="153" t="n"/>
      <c r="U360" s="153" t="n"/>
      <c r="V360" s="153" t="n"/>
      <c r="W360" s="153" t="n"/>
      <c r="X360" s="153" t="n"/>
      <c r="Y360" s="153" t="n"/>
      <c r="Z360" s="153" t="n"/>
    </row>
    <row r="361" ht="15.75" customHeight="1" s="154">
      <c r="G361" s="153" t="n"/>
      <c r="H361" s="153" t="n"/>
      <c r="I361" s="153" t="n"/>
      <c r="J361" s="153" t="n"/>
      <c r="K361" s="153" t="n"/>
      <c r="L361" s="153" t="n"/>
      <c r="M361" s="153" t="n"/>
      <c r="N361" s="153" t="n"/>
      <c r="O361" s="153" t="n"/>
      <c r="P361" s="153" t="n"/>
      <c r="Q361" s="153" t="n"/>
      <c r="R361" s="153" t="n"/>
      <c r="S361" s="153" t="n"/>
      <c r="T361" s="153" t="n"/>
      <c r="U361" s="153" t="n"/>
      <c r="V361" s="153" t="n"/>
      <c r="W361" s="153" t="n"/>
      <c r="X361" s="153" t="n"/>
      <c r="Y361" s="153" t="n"/>
      <c r="Z361" s="153" t="n"/>
    </row>
    <row r="362" ht="15.75" customHeight="1" s="154">
      <c r="G362" s="153" t="n"/>
      <c r="H362" s="153" t="n"/>
      <c r="I362" s="153" t="n"/>
      <c r="J362" s="153" t="n"/>
      <c r="K362" s="153" t="n"/>
      <c r="L362" s="153" t="n"/>
      <c r="M362" s="153" t="n"/>
      <c r="N362" s="153" t="n"/>
      <c r="O362" s="153" t="n"/>
      <c r="P362" s="153" t="n"/>
      <c r="Q362" s="153" t="n"/>
      <c r="R362" s="153" t="n"/>
      <c r="S362" s="153" t="n"/>
      <c r="T362" s="153" t="n"/>
      <c r="U362" s="153" t="n"/>
      <c r="V362" s="153" t="n"/>
      <c r="W362" s="153" t="n"/>
      <c r="X362" s="153" t="n"/>
      <c r="Y362" s="153" t="n"/>
      <c r="Z362" s="153" t="n"/>
    </row>
    <row r="363" ht="15.75" customHeight="1" s="154">
      <c r="G363" s="153" t="n"/>
      <c r="H363" s="153" t="n"/>
      <c r="I363" s="153" t="n"/>
      <c r="J363" s="153" t="n"/>
      <c r="K363" s="153" t="n"/>
      <c r="L363" s="153" t="n"/>
      <c r="M363" s="153" t="n"/>
      <c r="N363" s="153" t="n"/>
      <c r="O363" s="153" t="n"/>
      <c r="P363" s="153" t="n"/>
      <c r="Q363" s="153" t="n"/>
      <c r="R363" s="153" t="n"/>
      <c r="S363" s="153" t="n"/>
      <c r="T363" s="153" t="n"/>
      <c r="U363" s="153" t="n"/>
      <c r="V363" s="153" t="n"/>
      <c r="W363" s="153" t="n"/>
      <c r="X363" s="153" t="n"/>
      <c r="Y363" s="153" t="n"/>
      <c r="Z363" s="153" t="n"/>
    </row>
    <row r="364" ht="15.75" customHeight="1" s="154">
      <c r="G364" s="153" t="n"/>
      <c r="H364" s="153" t="n"/>
      <c r="I364" s="153" t="n"/>
      <c r="J364" s="153" t="n"/>
      <c r="K364" s="153" t="n"/>
      <c r="L364" s="153" t="n"/>
      <c r="M364" s="153" t="n"/>
      <c r="N364" s="153" t="n"/>
      <c r="O364" s="153" t="n"/>
      <c r="P364" s="153" t="n"/>
      <c r="Q364" s="153" t="n"/>
      <c r="R364" s="153" t="n"/>
      <c r="S364" s="153" t="n"/>
      <c r="T364" s="153" t="n"/>
      <c r="U364" s="153" t="n"/>
      <c r="V364" s="153" t="n"/>
      <c r="W364" s="153" t="n"/>
      <c r="X364" s="153" t="n"/>
      <c r="Y364" s="153" t="n"/>
      <c r="Z364" s="153" t="n"/>
    </row>
    <row r="365" ht="15.75" customHeight="1" s="154">
      <c r="G365" s="153" t="n"/>
      <c r="H365" s="153" t="n"/>
      <c r="I365" s="153" t="n"/>
      <c r="J365" s="153" t="n"/>
      <c r="K365" s="153" t="n"/>
      <c r="L365" s="153" t="n"/>
      <c r="M365" s="153" t="n"/>
      <c r="N365" s="153" t="n"/>
      <c r="O365" s="153" t="n"/>
      <c r="P365" s="153" t="n"/>
      <c r="Q365" s="153" t="n"/>
      <c r="R365" s="153" t="n"/>
      <c r="S365" s="153" t="n"/>
      <c r="T365" s="153" t="n"/>
      <c r="U365" s="153" t="n"/>
      <c r="V365" s="153" t="n"/>
      <c r="W365" s="153" t="n"/>
      <c r="X365" s="153" t="n"/>
      <c r="Y365" s="153" t="n"/>
      <c r="Z365" s="153" t="n"/>
    </row>
    <row r="366" ht="15.75" customHeight="1" s="154">
      <c r="G366" s="153" t="n"/>
      <c r="H366" s="153" t="n"/>
      <c r="I366" s="153" t="n"/>
      <c r="J366" s="153" t="n"/>
      <c r="K366" s="153" t="n"/>
      <c r="L366" s="153" t="n"/>
      <c r="M366" s="153" t="n"/>
      <c r="N366" s="153" t="n"/>
      <c r="O366" s="153" t="n"/>
      <c r="P366" s="153" t="n"/>
      <c r="Q366" s="153" t="n"/>
      <c r="R366" s="153" t="n"/>
      <c r="S366" s="153" t="n"/>
      <c r="T366" s="153" t="n"/>
      <c r="U366" s="153" t="n"/>
      <c r="V366" s="153" t="n"/>
      <c r="W366" s="153" t="n"/>
      <c r="X366" s="153" t="n"/>
      <c r="Y366" s="153" t="n"/>
      <c r="Z366" s="153" t="n"/>
    </row>
    <row r="367" ht="15.75" customHeight="1" s="154">
      <c r="G367" s="153" t="n"/>
      <c r="H367" s="153" t="n"/>
      <c r="I367" s="153" t="n"/>
      <c r="J367" s="153" t="n"/>
      <c r="K367" s="153" t="n"/>
      <c r="L367" s="153" t="n"/>
      <c r="M367" s="153" t="n"/>
      <c r="N367" s="153" t="n"/>
      <c r="O367" s="153" t="n"/>
      <c r="P367" s="153" t="n"/>
      <c r="Q367" s="153" t="n"/>
      <c r="R367" s="153" t="n"/>
      <c r="S367" s="153" t="n"/>
      <c r="T367" s="153" t="n"/>
      <c r="U367" s="153" t="n"/>
      <c r="V367" s="153" t="n"/>
      <c r="W367" s="153" t="n"/>
      <c r="X367" s="153" t="n"/>
      <c r="Y367" s="153" t="n"/>
      <c r="Z367" s="153" t="n"/>
    </row>
    <row r="368" ht="15.75" customHeight="1" s="154">
      <c r="G368" s="153" t="n"/>
      <c r="H368" s="153" t="n"/>
      <c r="I368" s="153" t="n"/>
      <c r="J368" s="153" t="n"/>
      <c r="K368" s="153" t="n"/>
      <c r="L368" s="153" t="n"/>
      <c r="M368" s="153" t="n"/>
      <c r="N368" s="153" t="n"/>
      <c r="O368" s="153" t="n"/>
      <c r="P368" s="153" t="n"/>
      <c r="Q368" s="153" t="n"/>
      <c r="R368" s="153" t="n"/>
      <c r="S368" s="153" t="n"/>
      <c r="T368" s="153" t="n"/>
      <c r="U368" s="153" t="n"/>
      <c r="V368" s="153" t="n"/>
      <c r="W368" s="153" t="n"/>
      <c r="X368" s="153" t="n"/>
      <c r="Y368" s="153" t="n"/>
      <c r="Z368" s="153" t="n"/>
    </row>
    <row r="369" ht="15.75" customHeight="1" s="154">
      <c r="G369" s="153" t="n"/>
      <c r="H369" s="153" t="n"/>
      <c r="I369" s="153" t="n"/>
      <c r="J369" s="153" t="n"/>
      <c r="K369" s="153" t="n"/>
      <c r="L369" s="153" t="n"/>
      <c r="M369" s="153" t="n"/>
      <c r="N369" s="153" t="n"/>
      <c r="O369" s="153" t="n"/>
      <c r="P369" s="153" t="n"/>
      <c r="Q369" s="153" t="n"/>
      <c r="R369" s="153" t="n"/>
      <c r="S369" s="153" t="n"/>
      <c r="T369" s="153" t="n"/>
      <c r="U369" s="153" t="n"/>
      <c r="V369" s="153" t="n"/>
      <c r="W369" s="153" t="n"/>
      <c r="X369" s="153" t="n"/>
      <c r="Y369" s="153" t="n"/>
      <c r="Z369" s="153" t="n"/>
    </row>
    <row r="370" ht="15.75" customHeight="1" s="154">
      <c r="G370" s="153" t="n"/>
      <c r="H370" s="153" t="n"/>
      <c r="I370" s="153" t="n"/>
      <c r="J370" s="153" t="n"/>
      <c r="K370" s="153" t="n"/>
      <c r="L370" s="153" t="n"/>
      <c r="M370" s="153" t="n"/>
      <c r="N370" s="153" t="n"/>
      <c r="O370" s="153" t="n"/>
      <c r="P370" s="153" t="n"/>
      <c r="Q370" s="153" t="n"/>
      <c r="R370" s="153" t="n"/>
      <c r="S370" s="153" t="n"/>
      <c r="T370" s="153" t="n"/>
      <c r="U370" s="153" t="n"/>
      <c r="V370" s="153" t="n"/>
      <c r="W370" s="153" t="n"/>
      <c r="X370" s="153" t="n"/>
      <c r="Y370" s="153" t="n"/>
      <c r="Z370" s="153" t="n"/>
    </row>
    <row r="371" ht="15.75" customHeight="1" s="154">
      <c r="G371" s="153" t="n"/>
      <c r="H371" s="153" t="n"/>
      <c r="I371" s="153" t="n"/>
      <c r="J371" s="153" t="n"/>
      <c r="K371" s="153" t="n"/>
      <c r="L371" s="153" t="n"/>
      <c r="M371" s="153" t="n"/>
      <c r="N371" s="153" t="n"/>
      <c r="O371" s="153" t="n"/>
      <c r="P371" s="153" t="n"/>
      <c r="Q371" s="153" t="n"/>
      <c r="R371" s="153" t="n"/>
      <c r="S371" s="153" t="n"/>
      <c r="T371" s="153" t="n"/>
      <c r="U371" s="153" t="n"/>
      <c r="V371" s="153" t="n"/>
      <c r="W371" s="153" t="n"/>
      <c r="X371" s="153" t="n"/>
      <c r="Y371" s="153" t="n"/>
      <c r="Z371" s="153" t="n"/>
    </row>
    <row r="372" ht="15.75" customHeight="1" s="154">
      <c r="G372" s="153" t="n"/>
      <c r="H372" s="153" t="n"/>
      <c r="I372" s="153" t="n"/>
      <c r="J372" s="153" t="n"/>
      <c r="K372" s="153" t="n"/>
      <c r="L372" s="153" t="n"/>
      <c r="M372" s="153" t="n"/>
      <c r="N372" s="153" t="n"/>
      <c r="O372" s="153" t="n"/>
      <c r="P372" s="153" t="n"/>
      <c r="Q372" s="153" t="n"/>
      <c r="R372" s="153" t="n"/>
      <c r="S372" s="153" t="n"/>
      <c r="T372" s="153" t="n"/>
      <c r="U372" s="153" t="n"/>
      <c r="V372" s="153" t="n"/>
      <c r="W372" s="153" t="n"/>
      <c r="X372" s="153" t="n"/>
      <c r="Y372" s="153" t="n"/>
      <c r="Z372" s="153" t="n"/>
    </row>
    <row r="373" ht="15.75" customHeight="1" s="154">
      <c r="G373" s="153" t="n"/>
      <c r="H373" s="153" t="n"/>
      <c r="I373" s="153" t="n"/>
      <c r="J373" s="153" t="n"/>
      <c r="K373" s="153" t="n"/>
      <c r="L373" s="153" t="n"/>
      <c r="M373" s="153" t="n"/>
      <c r="N373" s="153" t="n"/>
      <c r="O373" s="153" t="n"/>
      <c r="P373" s="153" t="n"/>
      <c r="Q373" s="153" t="n"/>
      <c r="R373" s="153" t="n"/>
      <c r="S373" s="153" t="n"/>
      <c r="T373" s="153" t="n"/>
      <c r="U373" s="153" t="n"/>
      <c r="V373" s="153" t="n"/>
      <c r="W373" s="153" t="n"/>
      <c r="X373" s="153" t="n"/>
      <c r="Y373" s="153" t="n"/>
      <c r="Z373" s="153" t="n"/>
    </row>
    <row r="374" ht="15.75" customHeight="1" s="154">
      <c r="G374" s="153" t="n"/>
      <c r="H374" s="153" t="n"/>
      <c r="I374" s="153" t="n"/>
      <c r="J374" s="153" t="n"/>
      <c r="K374" s="153" t="n"/>
      <c r="L374" s="153" t="n"/>
      <c r="M374" s="153" t="n"/>
      <c r="N374" s="153" t="n"/>
      <c r="O374" s="153" t="n"/>
      <c r="P374" s="153" t="n"/>
      <c r="Q374" s="153" t="n"/>
      <c r="R374" s="153" t="n"/>
      <c r="S374" s="153" t="n"/>
      <c r="T374" s="153" t="n"/>
      <c r="U374" s="153" t="n"/>
      <c r="V374" s="153" t="n"/>
      <c r="W374" s="153" t="n"/>
      <c r="X374" s="153" t="n"/>
      <c r="Y374" s="153" t="n"/>
      <c r="Z374" s="153" t="n"/>
    </row>
    <row r="375" ht="15.75" customHeight="1" s="154">
      <c r="G375" s="153" t="n"/>
      <c r="H375" s="153" t="n"/>
      <c r="I375" s="153" t="n"/>
      <c r="J375" s="153" t="n"/>
      <c r="K375" s="153" t="n"/>
      <c r="L375" s="153" t="n"/>
      <c r="M375" s="153" t="n"/>
      <c r="N375" s="153" t="n"/>
      <c r="O375" s="153" t="n"/>
      <c r="P375" s="153" t="n"/>
      <c r="Q375" s="153" t="n"/>
      <c r="R375" s="153" t="n"/>
      <c r="S375" s="153" t="n"/>
      <c r="T375" s="153" t="n"/>
      <c r="U375" s="153" t="n"/>
      <c r="V375" s="153" t="n"/>
      <c r="W375" s="153" t="n"/>
      <c r="X375" s="153" t="n"/>
      <c r="Y375" s="153" t="n"/>
      <c r="Z375" s="153" t="n"/>
    </row>
    <row r="376" ht="15.75" customHeight="1" s="154">
      <c r="G376" s="153" t="n"/>
      <c r="H376" s="153" t="n"/>
      <c r="I376" s="153" t="n"/>
      <c r="J376" s="153" t="n"/>
      <c r="K376" s="153" t="n"/>
      <c r="L376" s="153" t="n"/>
      <c r="M376" s="153" t="n"/>
      <c r="N376" s="153" t="n"/>
      <c r="O376" s="153" t="n"/>
      <c r="P376" s="153" t="n"/>
      <c r="Q376" s="153" t="n"/>
      <c r="R376" s="153" t="n"/>
      <c r="S376" s="153" t="n"/>
      <c r="T376" s="153" t="n"/>
      <c r="U376" s="153" t="n"/>
      <c r="V376" s="153" t="n"/>
      <c r="W376" s="153" t="n"/>
      <c r="X376" s="153" t="n"/>
      <c r="Y376" s="153" t="n"/>
      <c r="Z376" s="153" t="n"/>
    </row>
    <row r="377" ht="15.75" customHeight="1" s="154">
      <c r="G377" s="153" t="n"/>
      <c r="H377" s="153" t="n"/>
      <c r="I377" s="153" t="n"/>
      <c r="J377" s="153" t="n"/>
      <c r="K377" s="153" t="n"/>
      <c r="L377" s="153" t="n"/>
      <c r="M377" s="153" t="n"/>
      <c r="N377" s="153" t="n"/>
      <c r="O377" s="153" t="n"/>
      <c r="P377" s="153" t="n"/>
      <c r="Q377" s="153" t="n"/>
      <c r="R377" s="153" t="n"/>
      <c r="S377" s="153" t="n"/>
      <c r="T377" s="153" t="n"/>
      <c r="U377" s="153" t="n"/>
      <c r="V377" s="153" t="n"/>
      <c r="W377" s="153" t="n"/>
      <c r="X377" s="153" t="n"/>
      <c r="Y377" s="153" t="n"/>
      <c r="Z377" s="153" t="n"/>
    </row>
    <row r="378" ht="15.75" customHeight="1" s="154">
      <c r="G378" s="153" t="n"/>
      <c r="H378" s="153" t="n"/>
      <c r="I378" s="153" t="n"/>
      <c r="J378" s="153" t="n"/>
      <c r="K378" s="153" t="n"/>
      <c r="L378" s="153" t="n"/>
      <c r="M378" s="153" t="n"/>
      <c r="N378" s="153" t="n"/>
      <c r="O378" s="153" t="n"/>
      <c r="P378" s="153" t="n"/>
      <c r="Q378" s="153" t="n"/>
      <c r="R378" s="153" t="n"/>
      <c r="S378" s="153" t="n"/>
      <c r="T378" s="153" t="n"/>
      <c r="U378" s="153" t="n"/>
      <c r="V378" s="153" t="n"/>
      <c r="W378" s="153" t="n"/>
      <c r="X378" s="153" t="n"/>
      <c r="Y378" s="153" t="n"/>
      <c r="Z378" s="153" t="n"/>
    </row>
    <row r="379" ht="15.75" customHeight="1" s="154">
      <c r="G379" s="153" t="n"/>
      <c r="H379" s="153" t="n"/>
      <c r="I379" s="153" t="n"/>
      <c r="J379" s="153" t="n"/>
      <c r="K379" s="153" t="n"/>
      <c r="L379" s="153" t="n"/>
      <c r="M379" s="153" t="n"/>
      <c r="N379" s="153" t="n"/>
      <c r="O379" s="153" t="n"/>
      <c r="P379" s="153" t="n"/>
      <c r="Q379" s="153" t="n"/>
      <c r="R379" s="153" t="n"/>
      <c r="S379" s="153" t="n"/>
      <c r="T379" s="153" t="n"/>
      <c r="U379" s="153" t="n"/>
      <c r="V379" s="153" t="n"/>
      <c r="W379" s="153" t="n"/>
      <c r="X379" s="153" t="n"/>
      <c r="Y379" s="153" t="n"/>
      <c r="Z379" s="153" t="n"/>
    </row>
    <row r="380" ht="15.75" customHeight="1" s="154">
      <c r="G380" s="153" t="n"/>
      <c r="H380" s="153" t="n"/>
      <c r="I380" s="153" t="n"/>
      <c r="J380" s="153" t="n"/>
      <c r="K380" s="153" t="n"/>
      <c r="L380" s="153" t="n"/>
      <c r="M380" s="153" t="n"/>
      <c r="N380" s="153" t="n"/>
      <c r="O380" s="153" t="n"/>
      <c r="P380" s="153" t="n"/>
      <c r="Q380" s="153" t="n"/>
      <c r="R380" s="153" t="n"/>
      <c r="S380" s="153" t="n"/>
      <c r="T380" s="153" t="n"/>
      <c r="U380" s="153" t="n"/>
      <c r="V380" s="153" t="n"/>
      <c r="W380" s="153" t="n"/>
      <c r="X380" s="153" t="n"/>
      <c r="Y380" s="153" t="n"/>
      <c r="Z380" s="153" t="n"/>
    </row>
    <row r="381" ht="15.75" customHeight="1" s="154">
      <c r="G381" s="153" t="n"/>
      <c r="H381" s="153" t="n"/>
      <c r="I381" s="153" t="n"/>
      <c r="J381" s="153" t="n"/>
      <c r="K381" s="153" t="n"/>
      <c r="L381" s="153" t="n"/>
      <c r="M381" s="153" t="n"/>
      <c r="N381" s="153" t="n"/>
      <c r="O381" s="153" t="n"/>
      <c r="P381" s="153" t="n"/>
      <c r="Q381" s="153" t="n"/>
      <c r="R381" s="153" t="n"/>
      <c r="S381" s="153" t="n"/>
      <c r="T381" s="153" t="n"/>
      <c r="U381" s="153" t="n"/>
      <c r="V381" s="153" t="n"/>
      <c r="W381" s="153" t="n"/>
      <c r="X381" s="153" t="n"/>
      <c r="Y381" s="153" t="n"/>
      <c r="Z381" s="153" t="n"/>
    </row>
    <row r="382" ht="15.75" customHeight="1" s="154">
      <c r="G382" s="153" t="n"/>
      <c r="H382" s="153" t="n"/>
      <c r="I382" s="153" t="n"/>
      <c r="J382" s="153" t="n"/>
      <c r="K382" s="153" t="n"/>
      <c r="L382" s="153" t="n"/>
      <c r="M382" s="153" t="n"/>
      <c r="N382" s="153" t="n"/>
      <c r="O382" s="153" t="n"/>
      <c r="P382" s="153" t="n"/>
      <c r="Q382" s="153" t="n"/>
      <c r="R382" s="153" t="n"/>
      <c r="S382" s="153" t="n"/>
      <c r="T382" s="153" t="n"/>
      <c r="U382" s="153" t="n"/>
      <c r="V382" s="153" t="n"/>
      <c r="W382" s="153" t="n"/>
      <c r="X382" s="153" t="n"/>
      <c r="Y382" s="153" t="n"/>
      <c r="Z382" s="153" t="n"/>
    </row>
    <row r="383" ht="15.75" customHeight="1" s="154">
      <c r="G383" s="153" t="n"/>
      <c r="H383" s="153" t="n"/>
      <c r="I383" s="153" t="n"/>
      <c r="J383" s="153" t="n"/>
      <c r="K383" s="153" t="n"/>
      <c r="L383" s="153" t="n"/>
      <c r="M383" s="153" t="n"/>
      <c r="N383" s="153" t="n"/>
      <c r="O383" s="153" t="n"/>
      <c r="P383" s="153" t="n"/>
      <c r="Q383" s="153" t="n"/>
      <c r="R383" s="153" t="n"/>
      <c r="S383" s="153" t="n"/>
      <c r="T383" s="153" t="n"/>
      <c r="U383" s="153" t="n"/>
      <c r="V383" s="153" t="n"/>
      <c r="W383" s="153" t="n"/>
      <c r="X383" s="153" t="n"/>
      <c r="Y383" s="153" t="n"/>
      <c r="Z383" s="153" t="n"/>
    </row>
    <row r="384" ht="15.75" customHeight="1" s="154">
      <c r="G384" s="153" t="n"/>
      <c r="H384" s="153" t="n"/>
      <c r="I384" s="153" t="n"/>
      <c r="J384" s="153" t="n"/>
      <c r="K384" s="153" t="n"/>
      <c r="L384" s="153" t="n"/>
      <c r="M384" s="153" t="n"/>
      <c r="N384" s="153" t="n"/>
      <c r="O384" s="153" t="n"/>
      <c r="P384" s="153" t="n"/>
      <c r="Q384" s="153" t="n"/>
      <c r="R384" s="153" t="n"/>
      <c r="S384" s="153" t="n"/>
      <c r="T384" s="153" t="n"/>
      <c r="U384" s="153" t="n"/>
      <c r="V384" s="153" t="n"/>
      <c r="W384" s="153" t="n"/>
      <c r="X384" s="153" t="n"/>
      <c r="Y384" s="153" t="n"/>
      <c r="Z384" s="153" t="n"/>
    </row>
    <row r="385" ht="15.75" customHeight="1" s="154">
      <c r="G385" s="153" t="n"/>
      <c r="H385" s="153" t="n"/>
      <c r="I385" s="153" t="n"/>
      <c r="J385" s="153" t="n"/>
      <c r="K385" s="153" t="n"/>
      <c r="L385" s="153" t="n"/>
      <c r="M385" s="153" t="n"/>
      <c r="N385" s="153" t="n"/>
      <c r="O385" s="153" t="n"/>
      <c r="P385" s="153" t="n"/>
      <c r="Q385" s="153" t="n"/>
      <c r="R385" s="153" t="n"/>
      <c r="S385" s="153" t="n"/>
      <c r="T385" s="153" t="n"/>
      <c r="U385" s="153" t="n"/>
      <c r="V385" s="153" t="n"/>
      <c r="W385" s="153" t="n"/>
      <c r="X385" s="153" t="n"/>
      <c r="Y385" s="153" t="n"/>
      <c r="Z385" s="153" t="n"/>
    </row>
    <row r="386" ht="15.75" customHeight="1" s="154">
      <c r="G386" s="153" t="n"/>
      <c r="H386" s="153" t="n"/>
      <c r="I386" s="153" t="n"/>
      <c r="J386" s="153" t="n"/>
      <c r="K386" s="153" t="n"/>
      <c r="L386" s="153" t="n"/>
      <c r="M386" s="153" t="n"/>
      <c r="N386" s="153" t="n"/>
      <c r="O386" s="153" t="n"/>
      <c r="P386" s="153" t="n"/>
      <c r="Q386" s="153" t="n"/>
      <c r="R386" s="153" t="n"/>
      <c r="S386" s="153" t="n"/>
      <c r="T386" s="153" t="n"/>
      <c r="U386" s="153" t="n"/>
      <c r="V386" s="153" t="n"/>
      <c r="W386" s="153" t="n"/>
      <c r="X386" s="153" t="n"/>
      <c r="Y386" s="153" t="n"/>
      <c r="Z386" s="153" t="n"/>
    </row>
    <row r="387" ht="15.75" customHeight="1" s="154">
      <c r="G387" s="153" t="n"/>
      <c r="H387" s="153" t="n"/>
      <c r="I387" s="153" t="n"/>
      <c r="J387" s="153" t="n"/>
      <c r="K387" s="153" t="n"/>
      <c r="L387" s="153" t="n"/>
      <c r="M387" s="153" t="n"/>
      <c r="N387" s="153" t="n"/>
      <c r="O387" s="153" t="n"/>
      <c r="P387" s="153" t="n"/>
      <c r="Q387" s="153" t="n"/>
      <c r="R387" s="153" t="n"/>
      <c r="S387" s="153" t="n"/>
      <c r="T387" s="153" t="n"/>
      <c r="U387" s="153" t="n"/>
      <c r="V387" s="153" t="n"/>
      <c r="W387" s="153" t="n"/>
      <c r="X387" s="153" t="n"/>
      <c r="Y387" s="153" t="n"/>
      <c r="Z387" s="153" t="n"/>
    </row>
    <row r="388" ht="15.75" customHeight="1" s="154">
      <c r="G388" s="153" t="n"/>
      <c r="H388" s="153" t="n"/>
      <c r="I388" s="153" t="n"/>
      <c r="J388" s="153" t="n"/>
      <c r="K388" s="153" t="n"/>
      <c r="L388" s="153" t="n"/>
      <c r="M388" s="153" t="n"/>
      <c r="N388" s="153" t="n"/>
      <c r="O388" s="153" t="n"/>
      <c r="P388" s="153" t="n"/>
      <c r="Q388" s="153" t="n"/>
      <c r="R388" s="153" t="n"/>
      <c r="S388" s="153" t="n"/>
      <c r="T388" s="153" t="n"/>
      <c r="U388" s="153" t="n"/>
      <c r="V388" s="153" t="n"/>
      <c r="W388" s="153" t="n"/>
      <c r="X388" s="153" t="n"/>
      <c r="Y388" s="153" t="n"/>
      <c r="Z388" s="153" t="n"/>
    </row>
    <row r="389" ht="15.75" customHeight="1" s="154">
      <c r="G389" s="153" t="n"/>
      <c r="H389" s="153" t="n"/>
      <c r="I389" s="153" t="n"/>
      <c r="J389" s="153" t="n"/>
      <c r="K389" s="153" t="n"/>
      <c r="L389" s="153" t="n"/>
      <c r="M389" s="153" t="n"/>
      <c r="N389" s="153" t="n"/>
      <c r="O389" s="153" t="n"/>
      <c r="P389" s="153" t="n"/>
      <c r="Q389" s="153" t="n"/>
      <c r="R389" s="153" t="n"/>
      <c r="S389" s="153" t="n"/>
      <c r="T389" s="153" t="n"/>
      <c r="U389" s="153" t="n"/>
      <c r="V389" s="153" t="n"/>
      <c r="W389" s="153" t="n"/>
      <c r="X389" s="153" t="n"/>
      <c r="Y389" s="153" t="n"/>
      <c r="Z389" s="153" t="n"/>
    </row>
    <row r="390" ht="15.75" customHeight="1" s="154">
      <c r="G390" s="153" t="n"/>
      <c r="H390" s="153" t="n"/>
      <c r="I390" s="153" t="n"/>
      <c r="J390" s="153" t="n"/>
      <c r="K390" s="153" t="n"/>
      <c r="L390" s="153" t="n"/>
      <c r="M390" s="153" t="n"/>
      <c r="N390" s="153" t="n"/>
      <c r="O390" s="153" t="n"/>
      <c r="P390" s="153" t="n"/>
      <c r="Q390" s="153" t="n"/>
      <c r="R390" s="153" t="n"/>
      <c r="S390" s="153" t="n"/>
      <c r="T390" s="153" t="n"/>
      <c r="U390" s="153" t="n"/>
      <c r="V390" s="153" t="n"/>
      <c r="W390" s="153" t="n"/>
      <c r="X390" s="153" t="n"/>
      <c r="Y390" s="153" t="n"/>
      <c r="Z390" s="153" t="n"/>
    </row>
    <row r="391" ht="15.75" customHeight="1" s="154">
      <c r="G391" s="153" t="n"/>
      <c r="H391" s="153" t="n"/>
      <c r="I391" s="153" t="n"/>
      <c r="J391" s="153" t="n"/>
      <c r="K391" s="153" t="n"/>
      <c r="L391" s="153" t="n"/>
      <c r="M391" s="153" t="n"/>
      <c r="N391" s="153" t="n"/>
      <c r="O391" s="153" t="n"/>
      <c r="P391" s="153" t="n"/>
      <c r="Q391" s="153" t="n"/>
      <c r="R391" s="153" t="n"/>
      <c r="S391" s="153" t="n"/>
      <c r="T391" s="153" t="n"/>
      <c r="U391" s="153" t="n"/>
      <c r="V391" s="153" t="n"/>
      <c r="W391" s="153" t="n"/>
      <c r="X391" s="153" t="n"/>
      <c r="Y391" s="153" t="n"/>
      <c r="Z391" s="153" t="n"/>
    </row>
    <row r="392" ht="15.75" customHeight="1" s="154">
      <c r="G392" s="153" t="n"/>
      <c r="H392" s="153" t="n"/>
      <c r="I392" s="153" t="n"/>
      <c r="J392" s="153" t="n"/>
      <c r="K392" s="153" t="n"/>
      <c r="L392" s="153" t="n"/>
      <c r="M392" s="153" t="n"/>
      <c r="N392" s="153" t="n"/>
      <c r="O392" s="153" t="n"/>
      <c r="P392" s="153" t="n"/>
      <c r="Q392" s="153" t="n"/>
      <c r="R392" s="153" t="n"/>
      <c r="S392" s="153" t="n"/>
      <c r="T392" s="153" t="n"/>
      <c r="U392" s="153" t="n"/>
      <c r="V392" s="153" t="n"/>
      <c r="W392" s="153" t="n"/>
      <c r="X392" s="153" t="n"/>
      <c r="Y392" s="153" t="n"/>
      <c r="Z392" s="153" t="n"/>
    </row>
    <row r="393" ht="15.75" customHeight="1" s="154">
      <c r="G393" s="153" t="n"/>
      <c r="H393" s="153" t="n"/>
      <c r="I393" s="153" t="n"/>
      <c r="J393" s="153" t="n"/>
      <c r="K393" s="153" t="n"/>
      <c r="L393" s="153" t="n"/>
      <c r="M393" s="153" t="n"/>
      <c r="N393" s="153" t="n"/>
      <c r="O393" s="153" t="n"/>
      <c r="P393" s="153" t="n"/>
      <c r="Q393" s="153" t="n"/>
      <c r="R393" s="153" t="n"/>
      <c r="S393" s="153" t="n"/>
      <c r="T393" s="153" t="n"/>
      <c r="U393" s="153" t="n"/>
      <c r="V393" s="153" t="n"/>
      <c r="W393" s="153" t="n"/>
      <c r="X393" s="153" t="n"/>
      <c r="Y393" s="153" t="n"/>
      <c r="Z393" s="153" t="n"/>
    </row>
    <row r="394" ht="15.75" customHeight="1" s="154">
      <c r="G394" s="153" t="n"/>
      <c r="H394" s="153" t="n"/>
      <c r="I394" s="153" t="n"/>
      <c r="J394" s="153" t="n"/>
      <c r="K394" s="153" t="n"/>
      <c r="L394" s="153" t="n"/>
      <c r="M394" s="153" t="n"/>
      <c r="N394" s="153" t="n"/>
      <c r="O394" s="153" t="n"/>
      <c r="P394" s="153" t="n"/>
      <c r="Q394" s="153" t="n"/>
      <c r="R394" s="153" t="n"/>
      <c r="S394" s="153" t="n"/>
      <c r="T394" s="153" t="n"/>
      <c r="U394" s="153" t="n"/>
      <c r="V394" s="153" t="n"/>
      <c r="W394" s="153" t="n"/>
      <c r="X394" s="153" t="n"/>
      <c r="Y394" s="153" t="n"/>
      <c r="Z394" s="153" t="n"/>
    </row>
    <row r="395" ht="15.75" customHeight="1" s="154">
      <c r="G395" s="153" t="n"/>
      <c r="H395" s="153" t="n"/>
      <c r="I395" s="153" t="n"/>
      <c r="J395" s="153" t="n"/>
      <c r="K395" s="153" t="n"/>
      <c r="L395" s="153" t="n"/>
      <c r="M395" s="153" t="n"/>
      <c r="N395" s="153" t="n"/>
      <c r="O395" s="153" t="n"/>
      <c r="P395" s="153" t="n"/>
      <c r="Q395" s="153" t="n"/>
      <c r="R395" s="153" t="n"/>
      <c r="S395" s="153" t="n"/>
      <c r="T395" s="153" t="n"/>
      <c r="U395" s="153" t="n"/>
      <c r="V395" s="153" t="n"/>
      <c r="W395" s="153" t="n"/>
      <c r="X395" s="153" t="n"/>
      <c r="Y395" s="153" t="n"/>
      <c r="Z395" s="153" t="n"/>
    </row>
    <row r="396" ht="15.75" customHeight="1" s="154">
      <c r="G396" s="153" t="n"/>
      <c r="H396" s="153" t="n"/>
      <c r="I396" s="153" t="n"/>
      <c r="J396" s="153" t="n"/>
      <c r="K396" s="153" t="n"/>
      <c r="L396" s="153" t="n"/>
      <c r="M396" s="153" t="n"/>
      <c r="N396" s="153" t="n"/>
      <c r="O396" s="153" t="n"/>
      <c r="P396" s="153" t="n"/>
      <c r="Q396" s="153" t="n"/>
      <c r="R396" s="153" t="n"/>
      <c r="S396" s="153" t="n"/>
      <c r="T396" s="153" t="n"/>
      <c r="U396" s="153" t="n"/>
      <c r="V396" s="153" t="n"/>
      <c r="W396" s="153" t="n"/>
      <c r="X396" s="153" t="n"/>
      <c r="Y396" s="153" t="n"/>
      <c r="Z396" s="153" t="n"/>
    </row>
    <row r="397" ht="15.75" customHeight="1" s="154">
      <c r="G397" s="153" t="n"/>
      <c r="H397" s="153" t="n"/>
      <c r="I397" s="153" t="n"/>
      <c r="J397" s="153" t="n"/>
      <c r="K397" s="153" t="n"/>
      <c r="L397" s="153" t="n"/>
      <c r="M397" s="153" t="n"/>
      <c r="N397" s="153" t="n"/>
      <c r="O397" s="153" t="n"/>
      <c r="P397" s="153" t="n"/>
      <c r="Q397" s="153" t="n"/>
      <c r="R397" s="153" t="n"/>
      <c r="S397" s="153" t="n"/>
      <c r="T397" s="153" t="n"/>
      <c r="U397" s="153" t="n"/>
      <c r="V397" s="153" t="n"/>
      <c r="W397" s="153" t="n"/>
      <c r="X397" s="153" t="n"/>
      <c r="Y397" s="153" t="n"/>
      <c r="Z397" s="153" t="n"/>
    </row>
    <row r="398" ht="15.75" customHeight="1" s="154">
      <c r="G398" s="153" t="n"/>
      <c r="H398" s="153" t="n"/>
      <c r="I398" s="153" t="n"/>
      <c r="J398" s="153" t="n"/>
      <c r="K398" s="153" t="n"/>
      <c r="L398" s="153" t="n"/>
      <c r="M398" s="153" t="n"/>
      <c r="N398" s="153" t="n"/>
      <c r="O398" s="153" t="n"/>
      <c r="P398" s="153" t="n"/>
      <c r="Q398" s="153" t="n"/>
      <c r="R398" s="153" t="n"/>
      <c r="S398" s="153" t="n"/>
      <c r="T398" s="153" t="n"/>
      <c r="U398" s="153" t="n"/>
      <c r="V398" s="153" t="n"/>
      <c r="W398" s="153" t="n"/>
      <c r="X398" s="153" t="n"/>
      <c r="Y398" s="153" t="n"/>
      <c r="Z398" s="153" t="n"/>
    </row>
    <row r="399" ht="15.75" customHeight="1" s="154">
      <c r="G399" s="153" t="n"/>
      <c r="H399" s="153" t="n"/>
      <c r="I399" s="153" t="n"/>
      <c r="J399" s="153" t="n"/>
      <c r="K399" s="153" t="n"/>
      <c r="L399" s="153" t="n"/>
      <c r="M399" s="153" t="n"/>
      <c r="N399" s="153" t="n"/>
      <c r="O399" s="153" t="n"/>
      <c r="P399" s="153" t="n"/>
      <c r="Q399" s="153" t="n"/>
      <c r="R399" s="153" t="n"/>
      <c r="S399" s="153" t="n"/>
      <c r="T399" s="153" t="n"/>
      <c r="U399" s="153" t="n"/>
      <c r="V399" s="153" t="n"/>
      <c r="W399" s="153" t="n"/>
      <c r="X399" s="153" t="n"/>
      <c r="Y399" s="153" t="n"/>
      <c r="Z399" s="153" t="n"/>
    </row>
    <row r="400" ht="15.75" customHeight="1" s="154">
      <c r="G400" s="153" t="n"/>
      <c r="H400" s="153" t="n"/>
      <c r="I400" s="153" t="n"/>
      <c r="J400" s="153" t="n"/>
      <c r="K400" s="153" t="n"/>
      <c r="L400" s="153" t="n"/>
      <c r="M400" s="153" t="n"/>
      <c r="N400" s="153" t="n"/>
      <c r="O400" s="153" t="n"/>
      <c r="P400" s="153" t="n"/>
      <c r="Q400" s="153" t="n"/>
      <c r="R400" s="153" t="n"/>
      <c r="S400" s="153" t="n"/>
      <c r="T400" s="153" t="n"/>
      <c r="U400" s="153" t="n"/>
      <c r="V400" s="153" t="n"/>
      <c r="W400" s="153" t="n"/>
      <c r="X400" s="153" t="n"/>
      <c r="Y400" s="153" t="n"/>
      <c r="Z400" s="153" t="n"/>
    </row>
    <row r="401" ht="15.75" customHeight="1" s="154">
      <c r="G401" s="153" t="n"/>
      <c r="H401" s="153" t="n"/>
      <c r="I401" s="153" t="n"/>
      <c r="J401" s="153" t="n"/>
      <c r="K401" s="153" t="n"/>
      <c r="L401" s="153" t="n"/>
      <c r="M401" s="153" t="n"/>
      <c r="N401" s="153" t="n"/>
      <c r="O401" s="153" t="n"/>
      <c r="P401" s="153" t="n"/>
      <c r="Q401" s="153" t="n"/>
      <c r="R401" s="153" t="n"/>
      <c r="S401" s="153" t="n"/>
      <c r="T401" s="153" t="n"/>
      <c r="U401" s="153" t="n"/>
      <c r="V401" s="153" t="n"/>
      <c r="W401" s="153" t="n"/>
      <c r="X401" s="153" t="n"/>
      <c r="Y401" s="153" t="n"/>
      <c r="Z401" s="153" t="n"/>
    </row>
    <row r="402" ht="15.75" customHeight="1" s="154">
      <c r="G402" s="153" t="n"/>
      <c r="H402" s="153" t="n"/>
      <c r="I402" s="153" t="n"/>
      <c r="J402" s="153" t="n"/>
      <c r="K402" s="153" t="n"/>
      <c r="L402" s="153" t="n"/>
      <c r="M402" s="153" t="n"/>
      <c r="N402" s="153" t="n"/>
      <c r="O402" s="153" t="n"/>
      <c r="P402" s="153" t="n"/>
      <c r="Q402" s="153" t="n"/>
      <c r="R402" s="153" t="n"/>
      <c r="S402" s="153" t="n"/>
      <c r="T402" s="153" t="n"/>
      <c r="U402" s="153" t="n"/>
      <c r="V402" s="153" t="n"/>
      <c r="W402" s="153" t="n"/>
      <c r="X402" s="153" t="n"/>
      <c r="Y402" s="153" t="n"/>
      <c r="Z402" s="153" t="n"/>
    </row>
    <row r="403" ht="15.75" customHeight="1" s="154">
      <c r="G403" s="153" t="n"/>
      <c r="H403" s="153" t="n"/>
      <c r="I403" s="153" t="n"/>
      <c r="J403" s="153" t="n"/>
      <c r="K403" s="153" t="n"/>
      <c r="L403" s="153" t="n"/>
      <c r="M403" s="153" t="n"/>
      <c r="N403" s="153" t="n"/>
      <c r="O403" s="153" t="n"/>
      <c r="P403" s="153" t="n"/>
      <c r="Q403" s="153" t="n"/>
      <c r="R403" s="153" t="n"/>
      <c r="S403" s="153" t="n"/>
      <c r="T403" s="153" t="n"/>
      <c r="U403" s="153" t="n"/>
      <c r="V403" s="153" t="n"/>
      <c r="W403" s="153" t="n"/>
      <c r="X403" s="153" t="n"/>
      <c r="Y403" s="153" t="n"/>
      <c r="Z403" s="153" t="n"/>
    </row>
    <row r="404" ht="15.75" customHeight="1" s="154">
      <c r="G404" s="153" t="n"/>
      <c r="H404" s="153" t="n"/>
      <c r="I404" s="153" t="n"/>
      <c r="J404" s="153" t="n"/>
      <c r="K404" s="153" t="n"/>
      <c r="L404" s="153" t="n"/>
      <c r="M404" s="153" t="n"/>
      <c r="N404" s="153" t="n"/>
      <c r="O404" s="153" t="n"/>
      <c r="P404" s="153" t="n"/>
      <c r="Q404" s="153" t="n"/>
      <c r="R404" s="153" t="n"/>
      <c r="S404" s="153" t="n"/>
      <c r="T404" s="153" t="n"/>
      <c r="U404" s="153" t="n"/>
      <c r="V404" s="153" t="n"/>
      <c r="W404" s="153" t="n"/>
      <c r="X404" s="153" t="n"/>
      <c r="Y404" s="153" t="n"/>
      <c r="Z404" s="153" t="n"/>
    </row>
    <row r="405" ht="15.75" customHeight="1" s="154">
      <c r="G405" s="153" t="n"/>
      <c r="H405" s="153" t="n"/>
      <c r="I405" s="153" t="n"/>
      <c r="J405" s="153" t="n"/>
      <c r="K405" s="153" t="n"/>
      <c r="L405" s="153" t="n"/>
      <c r="M405" s="153" t="n"/>
      <c r="N405" s="153" t="n"/>
      <c r="O405" s="153" t="n"/>
      <c r="P405" s="153" t="n"/>
      <c r="Q405" s="153" t="n"/>
      <c r="R405" s="153" t="n"/>
      <c r="S405" s="153" t="n"/>
      <c r="T405" s="153" t="n"/>
      <c r="U405" s="153" t="n"/>
      <c r="V405" s="153" t="n"/>
      <c r="W405" s="153" t="n"/>
      <c r="X405" s="153" t="n"/>
      <c r="Y405" s="153" t="n"/>
      <c r="Z405" s="153" t="n"/>
    </row>
    <row r="406" ht="15.75" customHeight="1" s="154">
      <c r="G406" s="153" t="n"/>
      <c r="H406" s="153" t="n"/>
      <c r="I406" s="153" t="n"/>
      <c r="J406" s="153" t="n"/>
      <c r="K406" s="153" t="n"/>
      <c r="L406" s="153" t="n"/>
      <c r="M406" s="153" t="n"/>
      <c r="N406" s="153" t="n"/>
      <c r="O406" s="153" t="n"/>
      <c r="P406" s="153" t="n"/>
      <c r="Q406" s="153" t="n"/>
      <c r="R406" s="153" t="n"/>
      <c r="S406" s="153" t="n"/>
      <c r="T406" s="153" t="n"/>
      <c r="U406" s="153" t="n"/>
      <c r="V406" s="153" t="n"/>
      <c r="W406" s="153" t="n"/>
      <c r="X406" s="153" t="n"/>
      <c r="Y406" s="153" t="n"/>
      <c r="Z406" s="153" t="n"/>
    </row>
    <row r="407" ht="15.75" customHeight="1" s="154">
      <c r="G407" s="153" t="n"/>
      <c r="H407" s="153" t="n"/>
      <c r="I407" s="153" t="n"/>
      <c r="J407" s="153" t="n"/>
      <c r="K407" s="153" t="n"/>
      <c r="L407" s="153" t="n"/>
      <c r="M407" s="153" t="n"/>
      <c r="N407" s="153" t="n"/>
      <c r="O407" s="153" t="n"/>
      <c r="P407" s="153" t="n"/>
      <c r="Q407" s="153" t="n"/>
      <c r="R407" s="153" t="n"/>
      <c r="S407" s="153" t="n"/>
      <c r="T407" s="153" t="n"/>
      <c r="U407" s="153" t="n"/>
      <c r="V407" s="153" t="n"/>
      <c r="W407" s="153" t="n"/>
      <c r="X407" s="153" t="n"/>
      <c r="Y407" s="153" t="n"/>
      <c r="Z407" s="153" t="n"/>
    </row>
    <row r="408" ht="15.75" customHeight="1" s="154">
      <c r="G408" s="153" t="n"/>
      <c r="H408" s="153" t="n"/>
      <c r="I408" s="153" t="n"/>
      <c r="J408" s="153" t="n"/>
      <c r="K408" s="153" t="n"/>
      <c r="L408" s="153" t="n"/>
      <c r="M408" s="153" t="n"/>
      <c r="N408" s="153" t="n"/>
      <c r="O408" s="153" t="n"/>
      <c r="P408" s="153" t="n"/>
      <c r="Q408" s="153" t="n"/>
      <c r="R408" s="153" t="n"/>
      <c r="S408" s="153" t="n"/>
      <c r="T408" s="153" t="n"/>
      <c r="U408" s="153" t="n"/>
      <c r="V408" s="153" t="n"/>
      <c r="W408" s="153" t="n"/>
      <c r="X408" s="153" t="n"/>
      <c r="Y408" s="153" t="n"/>
      <c r="Z408" s="153" t="n"/>
    </row>
    <row r="409" ht="15.75" customHeight="1" s="154">
      <c r="G409" s="153" t="n"/>
      <c r="H409" s="153" t="n"/>
      <c r="I409" s="153" t="n"/>
      <c r="J409" s="153" t="n"/>
      <c r="K409" s="153" t="n"/>
      <c r="L409" s="153" t="n"/>
      <c r="M409" s="153" t="n"/>
      <c r="N409" s="153" t="n"/>
      <c r="O409" s="153" t="n"/>
      <c r="P409" s="153" t="n"/>
      <c r="Q409" s="153" t="n"/>
      <c r="R409" s="153" t="n"/>
      <c r="S409" s="153" t="n"/>
      <c r="T409" s="153" t="n"/>
      <c r="U409" s="153" t="n"/>
      <c r="V409" s="153" t="n"/>
      <c r="W409" s="153" t="n"/>
      <c r="X409" s="153" t="n"/>
      <c r="Y409" s="153" t="n"/>
      <c r="Z409" s="153" t="n"/>
    </row>
    <row r="410" ht="15.75" customHeight="1" s="154">
      <c r="G410" s="153" t="n"/>
      <c r="H410" s="153" t="n"/>
      <c r="I410" s="153" t="n"/>
      <c r="J410" s="153" t="n"/>
      <c r="K410" s="153" t="n"/>
      <c r="L410" s="153" t="n"/>
      <c r="M410" s="153" t="n"/>
      <c r="N410" s="153" t="n"/>
      <c r="O410" s="153" t="n"/>
      <c r="P410" s="153" t="n"/>
      <c r="Q410" s="153" t="n"/>
      <c r="R410" s="153" t="n"/>
      <c r="S410" s="153" t="n"/>
      <c r="T410" s="153" t="n"/>
      <c r="U410" s="153" t="n"/>
      <c r="V410" s="153" t="n"/>
      <c r="W410" s="153" t="n"/>
      <c r="X410" s="153" t="n"/>
      <c r="Y410" s="153" t="n"/>
      <c r="Z410" s="153" t="n"/>
    </row>
    <row r="411" ht="15.75" customHeight="1" s="154">
      <c r="G411" s="153" t="n"/>
      <c r="H411" s="153" t="n"/>
      <c r="I411" s="153" t="n"/>
      <c r="J411" s="153" t="n"/>
      <c r="K411" s="153" t="n"/>
      <c r="L411" s="153" t="n"/>
      <c r="M411" s="153" t="n"/>
      <c r="N411" s="153" t="n"/>
      <c r="O411" s="153" t="n"/>
      <c r="P411" s="153" t="n"/>
      <c r="Q411" s="153" t="n"/>
      <c r="R411" s="153" t="n"/>
      <c r="S411" s="153" t="n"/>
      <c r="T411" s="153" t="n"/>
      <c r="U411" s="153" t="n"/>
      <c r="V411" s="153" t="n"/>
      <c r="W411" s="153" t="n"/>
      <c r="X411" s="153" t="n"/>
      <c r="Y411" s="153" t="n"/>
      <c r="Z411" s="153" t="n"/>
    </row>
    <row r="412" ht="15.75" customHeight="1" s="154">
      <c r="G412" s="153" t="n"/>
      <c r="H412" s="153" t="n"/>
      <c r="I412" s="153" t="n"/>
      <c r="J412" s="153" t="n"/>
      <c r="K412" s="153" t="n"/>
      <c r="L412" s="153" t="n"/>
      <c r="M412" s="153" t="n"/>
      <c r="N412" s="153" t="n"/>
      <c r="O412" s="153" t="n"/>
      <c r="P412" s="153" t="n"/>
      <c r="Q412" s="153" t="n"/>
      <c r="R412" s="153" t="n"/>
      <c r="S412" s="153" t="n"/>
      <c r="T412" s="153" t="n"/>
      <c r="U412" s="153" t="n"/>
      <c r="V412" s="153" t="n"/>
      <c r="W412" s="153" t="n"/>
      <c r="X412" s="153" t="n"/>
      <c r="Y412" s="153" t="n"/>
      <c r="Z412" s="153" t="n"/>
    </row>
    <row r="413" ht="15.75" customHeight="1" s="154">
      <c r="G413" s="153" t="n"/>
      <c r="H413" s="153" t="n"/>
      <c r="I413" s="153" t="n"/>
      <c r="J413" s="153" t="n"/>
      <c r="K413" s="153" t="n"/>
      <c r="L413" s="153" t="n"/>
      <c r="M413" s="153" t="n"/>
      <c r="N413" s="153" t="n"/>
      <c r="O413" s="153" t="n"/>
      <c r="P413" s="153" t="n"/>
      <c r="Q413" s="153" t="n"/>
      <c r="R413" s="153" t="n"/>
      <c r="S413" s="153" t="n"/>
      <c r="T413" s="153" t="n"/>
      <c r="U413" s="153" t="n"/>
      <c r="V413" s="153" t="n"/>
      <c r="W413" s="153" t="n"/>
      <c r="X413" s="153" t="n"/>
      <c r="Y413" s="153" t="n"/>
      <c r="Z413" s="153" t="n"/>
    </row>
    <row r="414" ht="15.75" customHeight="1" s="154">
      <c r="G414" s="153" t="n"/>
      <c r="H414" s="153" t="n"/>
      <c r="I414" s="153" t="n"/>
      <c r="J414" s="153" t="n"/>
      <c r="K414" s="153" t="n"/>
      <c r="L414" s="153" t="n"/>
      <c r="M414" s="153" t="n"/>
      <c r="N414" s="153" t="n"/>
      <c r="O414" s="153" t="n"/>
      <c r="P414" s="153" t="n"/>
      <c r="Q414" s="153" t="n"/>
      <c r="R414" s="153" t="n"/>
      <c r="S414" s="153" t="n"/>
      <c r="T414" s="153" t="n"/>
      <c r="U414" s="153" t="n"/>
      <c r="V414" s="153" t="n"/>
      <c r="W414" s="153" t="n"/>
      <c r="X414" s="153" t="n"/>
      <c r="Y414" s="153" t="n"/>
      <c r="Z414" s="153" t="n"/>
    </row>
    <row r="415" ht="15.75" customHeight="1" s="154">
      <c r="G415" s="153" t="n"/>
      <c r="H415" s="153" t="n"/>
      <c r="I415" s="153" t="n"/>
      <c r="J415" s="153" t="n"/>
      <c r="K415" s="153" t="n"/>
      <c r="L415" s="153" t="n"/>
      <c r="M415" s="153" t="n"/>
      <c r="N415" s="153" t="n"/>
      <c r="O415" s="153" t="n"/>
      <c r="P415" s="153" t="n"/>
      <c r="Q415" s="153" t="n"/>
      <c r="R415" s="153" t="n"/>
      <c r="S415" s="153" t="n"/>
      <c r="T415" s="153" t="n"/>
      <c r="U415" s="153" t="n"/>
      <c r="V415" s="153" t="n"/>
      <c r="W415" s="153" t="n"/>
      <c r="X415" s="153" t="n"/>
      <c r="Y415" s="153" t="n"/>
      <c r="Z415" s="153" t="n"/>
    </row>
    <row r="416" ht="15.75" customHeight="1" s="154">
      <c r="G416" s="153" t="n"/>
      <c r="H416" s="153" t="n"/>
      <c r="I416" s="153" t="n"/>
      <c r="J416" s="153" t="n"/>
      <c r="K416" s="153" t="n"/>
      <c r="L416" s="153" t="n"/>
      <c r="M416" s="153" t="n"/>
      <c r="N416" s="153" t="n"/>
      <c r="O416" s="153" t="n"/>
      <c r="P416" s="153" t="n"/>
      <c r="Q416" s="153" t="n"/>
      <c r="R416" s="153" t="n"/>
      <c r="S416" s="153" t="n"/>
      <c r="T416" s="153" t="n"/>
      <c r="U416" s="153" t="n"/>
      <c r="V416" s="153" t="n"/>
      <c r="W416" s="153" t="n"/>
      <c r="X416" s="153" t="n"/>
      <c r="Y416" s="153" t="n"/>
      <c r="Z416" s="153" t="n"/>
    </row>
    <row r="417" ht="15.75" customHeight="1" s="154">
      <c r="G417" s="153" t="n"/>
      <c r="H417" s="153" t="n"/>
      <c r="I417" s="153" t="n"/>
      <c r="J417" s="153" t="n"/>
      <c r="K417" s="153" t="n"/>
      <c r="L417" s="153" t="n"/>
      <c r="M417" s="153" t="n"/>
      <c r="N417" s="153" t="n"/>
      <c r="O417" s="153" t="n"/>
      <c r="P417" s="153" t="n"/>
      <c r="Q417" s="153" t="n"/>
      <c r="R417" s="153" t="n"/>
      <c r="S417" s="153" t="n"/>
      <c r="T417" s="153" t="n"/>
      <c r="U417" s="153" t="n"/>
      <c r="V417" s="153" t="n"/>
      <c r="W417" s="153" t="n"/>
      <c r="X417" s="153" t="n"/>
      <c r="Y417" s="153" t="n"/>
      <c r="Z417" s="153" t="n"/>
    </row>
    <row r="418" ht="15.75" customHeight="1" s="154">
      <c r="G418" s="153" t="n"/>
      <c r="H418" s="153" t="n"/>
      <c r="I418" s="153" t="n"/>
      <c r="J418" s="153" t="n"/>
      <c r="K418" s="153" t="n"/>
      <c r="L418" s="153" t="n"/>
      <c r="M418" s="153" t="n"/>
      <c r="N418" s="153" t="n"/>
      <c r="O418" s="153" t="n"/>
      <c r="P418" s="153" t="n"/>
      <c r="Q418" s="153" t="n"/>
      <c r="R418" s="153" t="n"/>
      <c r="S418" s="153" t="n"/>
      <c r="T418" s="153" t="n"/>
      <c r="U418" s="153" t="n"/>
      <c r="V418" s="153" t="n"/>
      <c r="W418" s="153" t="n"/>
      <c r="X418" s="153" t="n"/>
      <c r="Y418" s="153" t="n"/>
      <c r="Z418" s="153" t="n"/>
    </row>
    <row r="419" ht="15.75" customHeight="1" s="154">
      <c r="G419" s="153" t="n"/>
      <c r="H419" s="153" t="n"/>
      <c r="I419" s="153" t="n"/>
      <c r="J419" s="153" t="n"/>
      <c r="K419" s="153" t="n"/>
      <c r="L419" s="153" t="n"/>
      <c r="M419" s="153" t="n"/>
      <c r="N419" s="153" t="n"/>
      <c r="O419" s="153" t="n"/>
      <c r="P419" s="153" t="n"/>
      <c r="Q419" s="153" t="n"/>
      <c r="R419" s="153" t="n"/>
      <c r="S419" s="153" t="n"/>
      <c r="T419" s="153" t="n"/>
      <c r="U419" s="153" t="n"/>
      <c r="V419" s="153" t="n"/>
      <c r="W419" s="153" t="n"/>
      <c r="X419" s="153" t="n"/>
      <c r="Y419" s="153" t="n"/>
      <c r="Z419" s="153" t="n"/>
    </row>
    <row r="420" ht="15.75" customHeight="1" s="154">
      <c r="G420" s="153" t="n"/>
      <c r="H420" s="153" t="n"/>
      <c r="I420" s="153" t="n"/>
      <c r="J420" s="153" t="n"/>
      <c r="K420" s="153" t="n"/>
      <c r="L420" s="153" t="n"/>
      <c r="M420" s="153" t="n"/>
      <c r="N420" s="153" t="n"/>
      <c r="O420" s="153" t="n"/>
      <c r="P420" s="153" t="n"/>
      <c r="Q420" s="153" t="n"/>
      <c r="R420" s="153" t="n"/>
      <c r="S420" s="153" t="n"/>
      <c r="T420" s="153" t="n"/>
      <c r="U420" s="153" t="n"/>
      <c r="V420" s="153" t="n"/>
      <c r="W420" s="153" t="n"/>
      <c r="X420" s="153" t="n"/>
      <c r="Y420" s="153" t="n"/>
      <c r="Z420" s="153" t="n"/>
    </row>
    <row r="421" ht="15.75" customHeight="1" s="154">
      <c r="G421" s="153" t="n"/>
      <c r="H421" s="153" t="n"/>
      <c r="I421" s="153" t="n"/>
      <c r="J421" s="153" t="n"/>
      <c r="K421" s="153" t="n"/>
      <c r="L421" s="153" t="n"/>
      <c r="M421" s="153" t="n"/>
      <c r="N421" s="153" t="n"/>
      <c r="O421" s="153" t="n"/>
      <c r="P421" s="153" t="n"/>
      <c r="Q421" s="153" t="n"/>
      <c r="R421" s="153" t="n"/>
      <c r="S421" s="153" t="n"/>
      <c r="T421" s="153" t="n"/>
      <c r="U421" s="153" t="n"/>
      <c r="V421" s="153" t="n"/>
      <c r="W421" s="153" t="n"/>
      <c r="X421" s="153" t="n"/>
      <c r="Y421" s="153" t="n"/>
      <c r="Z421" s="153" t="n"/>
    </row>
    <row r="422" ht="15.75" customHeight="1" s="154">
      <c r="G422" s="153" t="n"/>
      <c r="H422" s="153" t="n"/>
      <c r="I422" s="153" t="n"/>
      <c r="J422" s="153" t="n"/>
      <c r="K422" s="153" t="n"/>
      <c r="L422" s="153" t="n"/>
      <c r="M422" s="153" t="n"/>
      <c r="N422" s="153" t="n"/>
      <c r="O422" s="153" t="n"/>
      <c r="P422" s="153" t="n"/>
      <c r="Q422" s="153" t="n"/>
      <c r="R422" s="153" t="n"/>
      <c r="S422" s="153" t="n"/>
      <c r="T422" s="153" t="n"/>
      <c r="U422" s="153" t="n"/>
      <c r="V422" s="153" t="n"/>
      <c r="W422" s="153" t="n"/>
      <c r="X422" s="153" t="n"/>
      <c r="Y422" s="153" t="n"/>
      <c r="Z422" s="153" t="n"/>
    </row>
    <row r="423" ht="15.75" customHeight="1" s="154">
      <c r="G423" s="153" t="n"/>
      <c r="H423" s="153" t="n"/>
      <c r="I423" s="153" t="n"/>
      <c r="J423" s="153" t="n"/>
      <c r="K423" s="153" t="n"/>
      <c r="L423" s="153" t="n"/>
      <c r="M423" s="153" t="n"/>
      <c r="N423" s="153" t="n"/>
      <c r="O423" s="153" t="n"/>
      <c r="P423" s="153" t="n"/>
      <c r="Q423" s="153" t="n"/>
      <c r="R423" s="153" t="n"/>
      <c r="S423" s="153" t="n"/>
      <c r="T423" s="153" t="n"/>
      <c r="U423" s="153" t="n"/>
      <c r="V423" s="153" t="n"/>
      <c r="W423" s="153" t="n"/>
      <c r="X423" s="153" t="n"/>
      <c r="Y423" s="153" t="n"/>
      <c r="Z423" s="153" t="n"/>
    </row>
    <row r="424" ht="15.75" customHeight="1" s="154">
      <c r="G424" s="153" t="n"/>
      <c r="H424" s="153" t="n"/>
      <c r="I424" s="153" t="n"/>
      <c r="J424" s="153" t="n"/>
      <c r="K424" s="153" t="n"/>
      <c r="L424" s="153" t="n"/>
      <c r="M424" s="153" t="n"/>
      <c r="N424" s="153" t="n"/>
      <c r="O424" s="153" t="n"/>
      <c r="P424" s="153" t="n"/>
      <c r="Q424" s="153" t="n"/>
      <c r="R424" s="153" t="n"/>
      <c r="S424" s="153" t="n"/>
      <c r="T424" s="153" t="n"/>
      <c r="U424" s="153" t="n"/>
      <c r="V424" s="153" t="n"/>
      <c r="W424" s="153" t="n"/>
      <c r="X424" s="153" t="n"/>
      <c r="Y424" s="153" t="n"/>
      <c r="Z424" s="153" t="n"/>
    </row>
    <row r="425" ht="15.75" customHeight="1" s="154">
      <c r="G425" s="153" t="n"/>
      <c r="H425" s="153" t="n"/>
      <c r="I425" s="153" t="n"/>
      <c r="J425" s="153" t="n"/>
      <c r="K425" s="153" t="n"/>
      <c r="L425" s="153" t="n"/>
      <c r="M425" s="153" t="n"/>
      <c r="N425" s="153" t="n"/>
      <c r="O425" s="153" t="n"/>
      <c r="P425" s="153" t="n"/>
      <c r="Q425" s="153" t="n"/>
      <c r="R425" s="153" t="n"/>
      <c r="S425" s="153" t="n"/>
      <c r="T425" s="153" t="n"/>
      <c r="U425" s="153" t="n"/>
      <c r="V425" s="153" t="n"/>
      <c r="W425" s="153" t="n"/>
      <c r="X425" s="153" t="n"/>
      <c r="Y425" s="153" t="n"/>
      <c r="Z425" s="153" t="n"/>
    </row>
    <row r="426" ht="15.75" customHeight="1" s="154">
      <c r="G426" s="153" t="n"/>
      <c r="H426" s="153" t="n"/>
      <c r="I426" s="153" t="n"/>
      <c r="J426" s="153" t="n"/>
      <c r="K426" s="153" t="n"/>
      <c r="L426" s="153" t="n"/>
      <c r="M426" s="153" t="n"/>
      <c r="N426" s="153" t="n"/>
      <c r="O426" s="153" t="n"/>
      <c r="P426" s="153" t="n"/>
      <c r="Q426" s="153" t="n"/>
      <c r="R426" s="153" t="n"/>
      <c r="S426" s="153" t="n"/>
      <c r="T426" s="153" t="n"/>
      <c r="U426" s="153" t="n"/>
      <c r="V426" s="153" t="n"/>
      <c r="W426" s="153" t="n"/>
      <c r="X426" s="153" t="n"/>
      <c r="Y426" s="153" t="n"/>
      <c r="Z426" s="153" t="n"/>
    </row>
    <row r="427" ht="15.75" customHeight="1" s="154">
      <c r="G427" s="153" t="n"/>
      <c r="H427" s="153" t="n"/>
      <c r="I427" s="153" t="n"/>
      <c r="J427" s="153" t="n"/>
      <c r="K427" s="153" t="n"/>
      <c r="L427" s="153" t="n"/>
      <c r="M427" s="153" t="n"/>
      <c r="N427" s="153" t="n"/>
      <c r="O427" s="153" t="n"/>
      <c r="P427" s="153" t="n"/>
      <c r="Q427" s="153" t="n"/>
      <c r="R427" s="153" t="n"/>
      <c r="S427" s="153" t="n"/>
      <c r="T427" s="153" t="n"/>
      <c r="U427" s="153" t="n"/>
      <c r="V427" s="153" t="n"/>
      <c r="W427" s="153" t="n"/>
      <c r="X427" s="153" t="n"/>
      <c r="Y427" s="153" t="n"/>
      <c r="Z427" s="153" t="n"/>
    </row>
    <row r="428" ht="15.75" customHeight="1" s="154">
      <c r="G428" s="153" t="n"/>
      <c r="H428" s="153" t="n"/>
      <c r="I428" s="153" t="n"/>
      <c r="J428" s="153" t="n"/>
      <c r="K428" s="153" t="n"/>
      <c r="L428" s="153" t="n"/>
      <c r="M428" s="153" t="n"/>
      <c r="N428" s="153" t="n"/>
      <c r="O428" s="153" t="n"/>
      <c r="P428" s="153" t="n"/>
      <c r="Q428" s="153" t="n"/>
      <c r="R428" s="153" t="n"/>
      <c r="S428" s="153" t="n"/>
      <c r="T428" s="153" t="n"/>
      <c r="U428" s="153" t="n"/>
      <c r="V428" s="153" t="n"/>
      <c r="W428" s="153" t="n"/>
      <c r="X428" s="153" t="n"/>
      <c r="Y428" s="153" t="n"/>
      <c r="Z428" s="153" t="n"/>
    </row>
    <row r="429" ht="15.75" customHeight="1" s="154">
      <c r="G429" s="153" t="n"/>
      <c r="H429" s="153" t="n"/>
      <c r="I429" s="153" t="n"/>
      <c r="J429" s="153" t="n"/>
      <c r="K429" s="153" t="n"/>
      <c r="L429" s="153" t="n"/>
      <c r="M429" s="153" t="n"/>
      <c r="N429" s="153" t="n"/>
      <c r="O429" s="153" t="n"/>
      <c r="P429" s="153" t="n"/>
      <c r="Q429" s="153" t="n"/>
      <c r="R429" s="153" t="n"/>
      <c r="S429" s="153" t="n"/>
      <c r="T429" s="153" t="n"/>
      <c r="U429" s="153" t="n"/>
      <c r="V429" s="153" t="n"/>
      <c r="W429" s="153" t="n"/>
      <c r="X429" s="153" t="n"/>
      <c r="Y429" s="153" t="n"/>
      <c r="Z429" s="153" t="n"/>
    </row>
    <row r="430" ht="15.75" customHeight="1" s="154">
      <c r="G430" s="153" t="n"/>
      <c r="H430" s="153" t="n"/>
      <c r="I430" s="153" t="n"/>
      <c r="J430" s="153" t="n"/>
      <c r="K430" s="153" t="n"/>
      <c r="L430" s="153" t="n"/>
      <c r="M430" s="153" t="n"/>
      <c r="N430" s="153" t="n"/>
      <c r="O430" s="153" t="n"/>
      <c r="P430" s="153" t="n"/>
      <c r="Q430" s="153" t="n"/>
      <c r="R430" s="153" t="n"/>
      <c r="S430" s="153" t="n"/>
      <c r="T430" s="153" t="n"/>
      <c r="U430" s="153" t="n"/>
      <c r="V430" s="153" t="n"/>
      <c r="W430" s="153" t="n"/>
      <c r="X430" s="153" t="n"/>
      <c r="Y430" s="153" t="n"/>
      <c r="Z430" s="153" t="n"/>
    </row>
    <row r="431" ht="15.75" customHeight="1" s="154">
      <c r="G431" s="153" t="n"/>
      <c r="H431" s="153" t="n"/>
      <c r="I431" s="153" t="n"/>
      <c r="J431" s="153" t="n"/>
      <c r="K431" s="153" t="n"/>
      <c r="L431" s="153" t="n"/>
      <c r="M431" s="153" t="n"/>
      <c r="N431" s="153" t="n"/>
      <c r="O431" s="153" t="n"/>
      <c r="P431" s="153" t="n"/>
      <c r="Q431" s="153" t="n"/>
      <c r="R431" s="153" t="n"/>
      <c r="S431" s="153" t="n"/>
      <c r="T431" s="153" t="n"/>
      <c r="U431" s="153" t="n"/>
      <c r="V431" s="153" t="n"/>
      <c r="W431" s="153" t="n"/>
      <c r="X431" s="153" t="n"/>
      <c r="Y431" s="153" t="n"/>
      <c r="Z431" s="153" t="n"/>
    </row>
    <row r="432" ht="15.75" customHeight="1" s="154">
      <c r="G432" s="153" t="n"/>
      <c r="H432" s="153" t="n"/>
      <c r="I432" s="153" t="n"/>
      <c r="J432" s="153" t="n"/>
      <c r="K432" s="153" t="n"/>
      <c r="L432" s="153" t="n"/>
      <c r="M432" s="153" t="n"/>
      <c r="N432" s="153" t="n"/>
      <c r="O432" s="153" t="n"/>
      <c r="P432" s="153" t="n"/>
      <c r="Q432" s="153" t="n"/>
      <c r="R432" s="153" t="n"/>
      <c r="S432" s="153" t="n"/>
      <c r="T432" s="153" t="n"/>
      <c r="U432" s="153" t="n"/>
      <c r="V432" s="153" t="n"/>
      <c r="W432" s="153" t="n"/>
      <c r="X432" s="153" t="n"/>
      <c r="Y432" s="153" t="n"/>
      <c r="Z432" s="153" t="n"/>
    </row>
    <row r="433" ht="15.75" customHeight="1" s="154">
      <c r="G433" s="153" t="n"/>
      <c r="H433" s="153" t="n"/>
      <c r="I433" s="153" t="n"/>
      <c r="J433" s="153" t="n"/>
      <c r="K433" s="153" t="n"/>
      <c r="L433" s="153" t="n"/>
      <c r="M433" s="153" t="n"/>
      <c r="N433" s="153" t="n"/>
      <c r="O433" s="153" t="n"/>
      <c r="P433" s="153" t="n"/>
      <c r="Q433" s="153" t="n"/>
      <c r="R433" s="153" t="n"/>
      <c r="S433" s="153" t="n"/>
      <c r="T433" s="153" t="n"/>
      <c r="U433" s="153" t="n"/>
      <c r="V433" s="153" t="n"/>
      <c r="W433" s="153" t="n"/>
      <c r="X433" s="153" t="n"/>
      <c r="Y433" s="153" t="n"/>
      <c r="Z433" s="153" t="n"/>
    </row>
    <row r="434" ht="15.75" customHeight="1" s="154">
      <c r="G434" s="153" t="n"/>
      <c r="H434" s="153" t="n"/>
      <c r="I434" s="153" t="n"/>
      <c r="J434" s="153" t="n"/>
      <c r="K434" s="153" t="n"/>
      <c r="L434" s="153" t="n"/>
      <c r="M434" s="153" t="n"/>
      <c r="N434" s="153" t="n"/>
      <c r="O434" s="153" t="n"/>
      <c r="P434" s="153" t="n"/>
      <c r="Q434" s="153" t="n"/>
      <c r="R434" s="153" t="n"/>
      <c r="S434" s="153" t="n"/>
      <c r="T434" s="153" t="n"/>
      <c r="U434" s="153" t="n"/>
      <c r="V434" s="153" t="n"/>
      <c r="W434" s="153" t="n"/>
      <c r="X434" s="153" t="n"/>
      <c r="Y434" s="153" t="n"/>
      <c r="Z434" s="153" t="n"/>
    </row>
    <row r="435" ht="15.75" customHeight="1" s="154">
      <c r="G435" s="153" t="n"/>
      <c r="H435" s="153" t="n"/>
      <c r="I435" s="153" t="n"/>
      <c r="J435" s="153" t="n"/>
      <c r="K435" s="153" t="n"/>
      <c r="L435" s="153" t="n"/>
      <c r="M435" s="153" t="n"/>
      <c r="N435" s="153" t="n"/>
      <c r="O435" s="153" t="n"/>
      <c r="P435" s="153" t="n"/>
      <c r="Q435" s="153" t="n"/>
      <c r="R435" s="153" t="n"/>
      <c r="S435" s="153" t="n"/>
      <c r="T435" s="153" t="n"/>
      <c r="U435" s="153" t="n"/>
      <c r="V435" s="153" t="n"/>
      <c r="W435" s="153" t="n"/>
      <c r="X435" s="153" t="n"/>
      <c r="Y435" s="153" t="n"/>
      <c r="Z435" s="153" t="n"/>
    </row>
    <row r="436" ht="15.75" customHeight="1" s="154">
      <c r="G436" s="153" t="n"/>
      <c r="H436" s="153" t="n"/>
      <c r="I436" s="153" t="n"/>
      <c r="J436" s="153" t="n"/>
      <c r="K436" s="153" t="n"/>
      <c r="L436" s="153" t="n"/>
      <c r="M436" s="153" t="n"/>
      <c r="N436" s="153" t="n"/>
      <c r="O436" s="153" t="n"/>
      <c r="P436" s="153" t="n"/>
      <c r="Q436" s="153" t="n"/>
      <c r="R436" s="153" t="n"/>
      <c r="S436" s="153" t="n"/>
      <c r="T436" s="153" t="n"/>
      <c r="U436" s="153" t="n"/>
      <c r="V436" s="153" t="n"/>
      <c r="W436" s="153" t="n"/>
      <c r="X436" s="153" t="n"/>
      <c r="Y436" s="153" t="n"/>
      <c r="Z436" s="153" t="n"/>
    </row>
    <row r="437" ht="15.75" customHeight="1" s="154">
      <c r="G437" s="153" t="n"/>
      <c r="H437" s="153" t="n"/>
      <c r="I437" s="153" t="n"/>
      <c r="J437" s="153" t="n"/>
      <c r="K437" s="153" t="n"/>
      <c r="L437" s="153" t="n"/>
      <c r="M437" s="153" t="n"/>
      <c r="N437" s="153" t="n"/>
      <c r="O437" s="153" t="n"/>
      <c r="P437" s="153" t="n"/>
      <c r="Q437" s="153" t="n"/>
      <c r="R437" s="153" t="n"/>
      <c r="S437" s="153" t="n"/>
      <c r="T437" s="153" t="n"/>
      <c r="U437" s="153" t="n"/>
      <c r="V437" s="153" t="n"/>
      <c r="W437" s="153" t="n"/>
      <c r="X437" s="153" t="n"/>
      <c r="Y437" s="153" t="n"/>
      <c r="Z437" s="153" t="n"/>
    </row>
    <row r="438" ht="15.75" customHeight="1" s="154">
      <c r="G438" s="153" t="n"/>
      <c r="H438" s="153" t="n"/>
      <c r="I438" s="153" t="n"/>
      <c r="J438" s="153" t="n"/>
      <c r="K438" s="153" t="n"/>
      <c r="L438" s="153" t="n"/>
      <c r="M438" s="153" t="n"/>
      <c r="N438" s="153" t="n"/>
      <c r="O438" s="153" t="n"/>
      <c r="P438" s="153" t="n"/>
      <c r="Q438" s="153" t="n"/>
      <c r="R438" s="153" t="n"/>
      <c r="S438" s="153" t="n"/>
      <c r="T438" s="153" t="n"/>
      <c r="U438" s="153" t="n"/>
      <c r="V438" s="153" t="n"/>
      <c r="W438" s="153" t="n"/>
      <c r="X438" s="153" t="n"/>
      <c r="Y438" s="153" t="n"/>
      <c r="Z438" s="153" t="n"/>
    </row>
    <row r="439" ht="15.75" customHeight="1" s="154">
      <c r="G439" s="153" t="n"/>
      <c r="H439" s="153" t="n"/>
      <c r="I439" s="153" t="n"/>
      <c r="J439" s="153" t="n"/>
      <c r="K439" s="153" t="n"/>
      <c r="L439" s="153" t="n"/>
      <c r="M439" s="153" t="n"/>
      <c r="N439" s="153" t="n"/>
      <c r="O439" s="153" t="n"/>
      <c r="P439" s="153" t="n"/>
      <c r="Q439" s="153" t="n"/>
      <c r="R439" s="153" t="n"/>
      <c r="S439" s="153" t="n"/>
      <c r="T439" s="153" t="n"/>
      <c r="U439" s="153" t="n"/>
      <c r="V439" s="153" t="n"/>
      <c r="W439" s="153" t="n"/>
      <c r="X439" s="153" t="n"/>
      <c r="Y439" s="153" t="n"/>
      <c r="Z439" s="153" t="n"/>
    </row>
    <row r="440" ht="15.75" customHeight="1" s="154">
      <c r="G440" s="153" t="n"/>
      <c r="H440" s="153" t="n"/>
      <c r="I440" s="153" t="n"/>
      <c r="J440" s="153" t="n"/>
      <c r="K440" s="153" t="n"/>
      <c r="L440" s="153" t="n"/>
      <c r="M440" s="153" t="n"/>
      <c r="N440" s="153" t="n"/>
      <c r="O440" s="153" t="n"/>
      <c r="P440" s="153" t="n"/>
      <c r="Q440" s="153" t="n"/>
      <c r="R440" s="153" t="n"/>
      <c r="S440" s="153" t="n"/>
      <c r="T440" s="153" t="n"/>
      <c r="U440" s="153" t="n"/>
      <c r="V440" s="153" t="n"/>
      <c r="W440" s="153" t="n"/>
      <c r="X440" s="153" t="n"/>
      <c r="Y440" s="153" t="n"/>
      <c r="Z440" s="153" t="n"/>
    </row>
    <row r="441" ht="15.75" customHeight="1" s="154">
      <c r="G441" s="153" t="n"/>
      <c r="H441" s="153" t="n"/>
      <c r="I441" s="153" t="n"/>
      <c r="J441" s="153" t="n"/>
      <c r="K441" s="153" t="n"/>
      <c r="L441" s="153" t="n"/>
      <c r="M441" s="153" t="n"/>
      <c r="N441" s="153" t="n"/>
      <c r="O441" s="153" t="n"/>
      <c r="P441" s="153" t="n"/>
      <c r="Q441" s="153" t="n"/>
      <c r="R441" s="153" t="n"/>
      <c r="S441" s="153" t="n"/>
      <c r="T441" s="153" t="n"/>
      <c r="U441" s="153" t="n"/>
      <c r="V441" s="153" t="n"/>
      <c r="W441" s="153" t="n"/>
      <c r="X441" s="153" t="n"/>
      <c r="Y441" s="153" t="n"/>
      <c r="Z441" s="153" t="n"/>
    </row>
    <row r="442" ht="15.75" customHeight="1" s="154">
      <c r="G442" s="153" t="n"/>
      <c r="H442" s="153" t="n"/>
      <c r="I442" s="153" t="n"/>
      <c r="J442" s="153" t="n"/>
      <c r="K442" s="153" t="n"/>
      <c r="L442" s="153" t="n"/>
      <c r="M442" s="153" t="n"/>
      <c r="N442" s="153" t="n"/>
      <c r="O442" s="153" t="n"/>
      <c r="P442" s="153" t="n"/>
      <c r="Q442" s="153" t="n"/>
      <c r="R442" s="153" t="n"/>
      <c r="S442" s="153" t="n"/>
      <c r="T442" s="153" t="n"/>
      <c r="U442" s="153" t="n"/>
      <c r="V442" s="153" t="n"/>
      <c r="W442" s="153" t="n"/>
      <c r="X442" s="153" t="n"/>
      <c r="Y442" s="153" t="n"/>
      <c r="Z442" s="153" t="n"/>
    </row>
    <row r="443" ht="15.75" customHeight="1" s="154">
      <c r="G443" s="153" t="n"/>
      <c r="H443" s="153" t="n"/>
      <c r="I443" s="153" t="n"/>
      <c r="J443" s="153" t="n"/>
      <c r="K443" s="153" t="n"/>
      <c r="L443" s="153" t="n"/>
      <c r="M443" s="153" t="n"/>
      <c r="N443" s="153" t="n"/>
      <c r="O443" s="153" t="n"/>
      <c r="P443" s="153" t="n"/>
      <c r="Q443" s="153" t="n"/>
      <c r="R443" s="153" t="n"/>
      <c r="S443" s="153" t="n"/>
      <c r="T443" s="153" t="n"/>
      <c r="U443" s="153" t="n"/>
      <c r="V443" s="153" t="n"/>
      <c r="W443" s="153" t="n"/>
      <c r="X443" s="153" t="n"/>
      <c r="Y443" s="153" t="n"/>
      <c r="Z443" s="153" t="n"/>
    </row>
    <row r="444" ht="15.75" customHeight="1" s="154">
      <c r="G444" s="153" t="n"/>
      <c r="H444" s="153" t="n"/>
      <c r="I444" s="153" t="n"/>
      <c r="J444" s="153" t="n"/>
      <c r="K444" s="153" t="n"/>
      <c r="L444" s="153" t="n"/>
      <c r="M444" s="153" t="n"/>
      <c r="N444" s="153" t="n"/>
      <c r="O444" s="153" t="n"/>
      <c r="P444" s="153" t="n"/>
      <c r="Q444" s="153" t="n"/>
      <c r="R444" s="153" t="n"/>
      <c r="S444" s="153" t="n"/>
      <c r="T444" s="153" t="n"/>
      <c r="U444" s="153" t="n"/>
      <c r="V444" s="153" t="n"/>
      <c r="W444" s="153" t="n"/>
      <c r="X444" s="153" t="n"/>
      <c r="Y444" s="153" t="n"/>
      <c r="Z444" s="153" t="n"/>
    </row>
    <row r="445" ht="15.75" customHeight="1" s="154">
      <c r="G445" s="153" t="n"/>
      <c r="H445" s="153" t="n"/>
      <c r="I445" s="153" t="n"/>
      <c r="J445" s="153" t="n"/>
      <c r="K445" s="153" t="n"/>
      <c r="L445" s="153" t="n"/>
      <c r="M445" s="153" t="n"/>
      <c r="N445" s="153" t="n"/>
      <c r="O445" s="153" t="n"/>
      <c r="P445" s="153" t="n"/>
      <c r="Q445" s="153" t="n"/>
      <c r="R445" s="153" t="n"/>
      <c r="S445" s="153" t="n"/>
      <c r="T445" s="153" t="n"/>
      <c r="U445" s="153" t="n"/>
      <c r="V445" s="153" t="n"/>
      <c r="W445" s="153" t="n"/>
      <c r="X445" s="153" t="n"/>
      <c r="Y445" s="153" t="n"/>
      <c r="Z445" s="153" t="n"/>
    </row>
    <row r="446" ht="15.75" customHeight="1" s="154">
      <c r="G446" s="153" t="n"/>
      <c r="H446" s="153" t="n"/>
      <c r="I446" s="153" t="n"/>
      <c r="J446" s="153" t="n"/>
      <c r="K446" s="153" t="n"/>
      <c r="L446" s="153" t="n"/>
      <c r="M446" s="153" t="n"/>
      <c r="N446" s="153" t="n"/>
      <c r="O446" s="153" t="n"/>
      <c r="P446" s="153" t="n"/>
      <c r="Q446" s="153" t="n"/>
      <c r="R446" s="153" t="n"/>
      <c r="S446" s="153" t="n"/>
      <c r="T446" s="153" t="n"/>
      <c r="U446" s="153" t="n"/>
      <c r="V446" s="153" t="n"/>
      <c r="W446" s="153" t="n"/>
      <c r="X446" s="153" t="n"/>
      <c r="Y446" s="153" t="n"/>
      <c r="Z446" s="153" t="n"/>
    </row>
    <row r="447" ht="15.75" customHeight="1" s="154">
      <c r="G447" s="153" t="n"/>
      <c r="H447" s="153" t="n"/>
      <c r="I447" s="153" t="n"/>
      <c r="J447" s="153" t="n"/>
      <c r="K447" s="153" t="n"/>
      <c r="L447" s="153" t="n"/>
      <c r="M447" s="153" t="n"/>
      <c r="N447" s="153" t="n"/>
      <c r="O447" s="153" t="n"/>
      <c r="P447" s="153" t="n"/>
      <c r="Q447" s="153" t="n"/>
      <c r="R447" s="153" t="n"/>
      <c r="S447" s="153" t="n"/>
      <c r="T447" s="153" t="n"/>
      <c r="U447" s="153" t="n"/>
      <c r="V447" s="153" t="n"/>
      <c r="W447" s="153" t="n"/>
      <c r="X447" s="153" t="n"/>
      <c r="Y447" s="153" t="n"/>
      <c r="Z447" s="153" t="n"/>
    </row>
    <row r="448" ht="15.75" customHeight="1" s="154">
      <c r="G448" s="153" t="n"/>
      <c r="H448" s="153" t="n"/>
      <c r="I448" s="153" t="n"/>
      <c r="J448" s="153" t="n"/>
      <c r="K448" s="153" t="n"/>
      <c r="L448" s="153" t="n"/>
      <c r="M448" s="153" t="n"/>
      <c r="N448" s="153" t="n"/>
      <c r="O448" s="153" t="n"/>
      <c r="P448" s="153" t="n"/>
      <c r="Q448" s="153" t="n"/>
      <c r="R448" s="153" t="n"/>
      <c r="S448" s="153" t="n"/>
      <c r="T448" s="153" t="n"/>
      <c r="U448" s="153" t="n"/>
      <c r="V448" s="153" t="n"/>
      <c r="W448" s="153" t="n"/>
      <c r="X448" s="153" t="n"/>
      <c r="Y448" s="153" t="n"/>
      <c r="Z448" s="153" t="n"/>
    </row>
    <row r="449" ht="15.75" customHeight="1" s="154">
      <c r="G449" s="153" t="n"/>
      <c r="H449" s="153" t="n"/>
      <c r="I449" s="153" t="n"/>
      <c r="J449" s="153" t="n"/>
      <c r="K449" s="153" t="n"/>
      <c r="L449" s="153" t="n"/>
      <c r="M449" s="153" t="n"/>
      <c r="N449" s="153" t="n"/>
      <c r="O449" s="153" t="n"/>
      <c r="P449" s="153" t="n"/>
      <c r="Q449" s="153" t="n"/>
      <c r="R449" s="153" t="n"/>
      <c r="S449" s="153" t="n"/>
      <c r="T449" s="153" t="n"/>
      <c r="U449" s="153" t="n"/>
      <c r="V449" s="153" t="n"/>
      <c r="W449" s="153" t="n"/>
      <c r="X449" s="153" t="n"/>
      <c r="Y449" s="153" t="n"/>
      <c r="Z449" s="153" t="n"/>
    </row>
    <row r="450" ht="15.75" customHeight="1" s="154">
      <c r="G450" s="153" t="n"/>
      <c r="H450" s="153" t="n"/>
      <c r="I450" s="153" t="n"/>
      <c r="J450" s="153" t="n"/>
      <c r="K450" s="153" t="n"/>
      <c r="L450" s="153" t="n"/>
      <c r="M450" s="153" t="n"/>
      <c r="N450" s="153" t="n"/>
      <c r="O450" s="153" t="n"/>
      <c r="P450" s="153" t="n"/>
      <c r="Q450" s="153" t="n"/>
      <c r="R450" s="153" t="n"/>
      <c r="S450" s="153" t="n"/>
      <c r="T450" s="153" t="n"/>
      <c r="U450" s="153" t="n"/>
      <c r="V450" s="153" t="n"/>
      <c r="W450" s="153" t="n"/>
      <c r="X450" s="153" t="n"/>
      <c r="Y450" s="153" t="n"/>
      <c r="Z450" s="153" t="n"/>
    </row>
    <row r="451" ht="15.75" customHeight="1" s="154">
      <c r="G451" s="153" t="n"/>
      <c r="H451" s="153" t="n"/>
      <c r="I451" s="153" t="n"/>
      <c r="J451" s="153" t="n"/>
      <c r="K451" s="153" t="n"/>
      <c r="L451" s="153" t="n"/>
      <c r="M451" s="153" t="n"/>
      <c r="N451" s="153" t="n"/>
      <c r="O451" s="153" t="n"/>
      <c r="P451" s="153" t="n"/>
      <c r="Q451" s="153" t="n"/>
      <c r="R451" s="153" t="n"/>
      <c r="S451" s="153" t="n"/>
      <c r="T451" s="153" t="n"/>
      <c r="U451" s="153" t="n"/>
      <c r="V451" s="153" t="n"/>
      <c r="W451" s="153" t="n"/>
      <c r="X451" s="153" t="n"/>
      <c r="Y451" s="153" t="n"/>
      <c r="Z451" s="153" t="n"/>
    </row>
    <row r="452" ht="15.75" customHeight="1" s="154">
      <c r="G452" s="153" t="n"/>
      <c r="H452" s="153" t="n"/>
      <c r="I452" s="153" t="n"/>
      <c r="J452" s="153" t="n"/>
      <c r="K452" s="153" t="n"/>
      <c r="L452" s="153" t="n"/>
      <c r="M452" s="153" t="n"/>
      <c r="N452" s="153" t="n"/>
      <c r="O452" s="153" t="n"/>
      <c r="P452" s="153" t="n"/>
      <c r="Q452" s="153" t="n"/>
      <c r="R452" s="153" t="n"/>
      <c r="S452" s="153" t="n"/>
      <c r="T452" s="153" t="n"/>
      <c r="U452" s="153" t="n"/>
      <c r="V452" s="153" t="n"/>
      <c r="W452" s="153" t="n"/>
      <c r="X452" s="153" t="n"/>
      <c r="Y452" s="153" t="n"/>
      <c r="Z452" s="153" t="n"/>
    </row>
    <row r="453" ht="15.75" customHeight="1" s="154">
      <c r="G453" s="153" t="n"/>
      <c r="H453" s="153" t="n"/>
      <c r="I453" s="153" t="n"/>
      <c r="J453" s="153" t="n"/>
      <c r="K453" s="153" t="n"/>
      <c r="L453" s="153" t="n"/>
      <c r="M453" s="153" t="n"/>
      <c r="N453" s="153" t="n"/>
      <c r="O453" s="153" t="n"/>
      <c r="P453" s="153" t="n"/>
      <c r="Q453" s="153" t="n"/>
      <c r="R453" s="153" t="n"/>
      <c r="S453" s="153" t="n"/>
      <c r="T453" s="153" t="n"/>
      <c r="U453" s="153" t="n"/>
      <c r="V453" s="153" t="n"/>
      <c r="W453" s="153" t="n"/>
      <c r="X453" s="153" t="n"/>
      <c r="Y453" s="153" t="n"/>
      <c r="Z453" s="153" t="n"/>
    </row>
    <row r="454" ht="15.75" customHeight="1" s="154">
      <c r="G454" s="153" t="n"/>
      <c r="H454" s="153" t="n"/>
      <c r="I454" s="153" t="n"/>
      <c r="J454" s="153" t="n"/>
      <c r="K454" s="153" t="n"/>
      <c r="L454" s="153" t="n"/>
      <c r="M454" s="153" t="n"/>
      <c r="N454" s="153" t="n"/>
      <c r="O454" s="153" t="n"/>
      <c r="P454" s="153" t="n"/>
      <c r="Q454" s="153" t="n"/>
      <c r="R454" s="153" t="n"/>
      <c r="S454" s="153" t="n"/>
      <c r="T454" s="153" t="n"/>
      <c r="U454" s="153" t="n"/>
      <c r="V454" s="153" t="n"/>
      <c r="W454" s="153" t="n"/>
      <c r="X454" s="153" t="n"/>
      <c r="Y454" s="153" t="n"/>
      <c r="Z454" s="153" t="n"/>
    </row>
    <row r="455" ht="15.75" customHeight="1" s="154">
      <c r="G455" s="153" t="n"/>
      <c r="H455" s="153" t="n"/>
      <c r="I455" s="153" t="n"/>
      <c r="J455" s="153" t="n"/>
      <c r="K455" s="153" t="n"/>
      <c r="L455" s="153" t="n"/>
      <c r="M455" s="153" t="n"/>
      <c r="N455" s="153" t="n"/>
      <c r="O455" s="153" t="n"/>
      <c r="P455" s="153" t="n"/>
      <c r="Q455" s="153" t="n"/>
      <c r="R455" s="153" t="n"/>
      <c r="S455" s="153" t="n"/>
      <c r="T455" s="153" t="n"/>
      <c r="U455" s="153" t="n"/>
      <c r="V455" s="153" t="n"/>
      <c r="W455" s="153" t="n"/>
      <c r="X455" s="153" t="n"/>
      <c r="Y455" s="153" t="n"/>
      <c r="Z455" s="153" t="n"/>
    </row>
    <row r="456" ht="15.75" customHeight="1" s="154">
      <c r="G456" s="153" t="n"/>
      <c r="H456" s="153" t="n"/>
      <c r="I456" s="153" t="n"/>
      <c r="J456" s="153" t="n"/>
      <c r="K456" s="153" t="n"/>
      <c r="L456" s="153" t="n"/>
      <c r="M456" s="153" t="n"/>
      <c r="N456" s="153" t="n"/>
      <c r="O456" s="153" t="n"/>
      <c r="P456" s="153" t="n"/>
      <c r="Q456" s="153" t="n"/>
      <c r="R456" s="153" t="n"/>
      <c r="S456" s="153" t="n"/>
      <c r="T456" s="153" t="n"/>
      <c r="U456" s="153" t="n"/>
      <c r="V456" s="153" t="n"/>
      <c r="W456" s="153" t="n"/>
      <c r="X456" s="153" t="n"/>
      <c r="Y456" s="153" t="n"/>
      <c r="Z456" s="153" t="n"/>
    </row>
    <row r="457" ht="15.75" customHeight="1" s="154">
      <c r="G457" s="153" t="n"/>
      <c r="H457" s="153" t="n"/>
      <c r="I457" s="153" t="n"/>
      <c r="J457" s="153" t="n"/>
      <c r="K457" s="153" t="n"/>
      <c r="L457" s="153" t="n"/>
      <c r="M457" s="153" t="n"/>
      <c r="N457" s="153" t="n"/>
      <c r="O457" s="153" t="n"/>
      <c r="P457" s="153" t="n"/>
      <c r="Q457" s="153" t="n"/>
      <c r="R457" s="153" t="n"/>
      <c r="S457" s="153" t="n"/>
      <c r="T457" s="153" t="n"/>
      <c r="U457" s="153" t="n"/>
      <c r="V457" s="153" t="n"/>
      <c r="W457" s="153" t="n"/>
      <c r="X457" s="153" t="n"/>
      <c r="Y457" s="153" t="n"/>
      <c r="Z457" s="153" t="n"/>
    </row>
    <row r="458" ht="15.75" customHeight="1" s="154">
      <c r="G458" s="153" t="n"/>
      <c r="H458" s="153" t="n"/>
      <c r="I458" s="153" t="n"/>
      <c r="J458" s="153" t="n"/>
      <c r="K458" s="153" t="n"/>
      <c r="L458" s="153" t="n"/>
      <c r="M458" s="153" t="n"/>
      <c r="N458" s="153" t="n"/>
      <c r="O458" s="153" t="n"/>
      <c r="P458" s="153" t="n"/>
      <c r="Q458" s="153" t="n"/>
      <c r="R458" s="153" t="n"/>
      <c r="S458" s="153" t="n"/>
      <c r="T458" s="153" t="n"/>
      <c r="U458" s="153" t="n"/>
      <c r="V458" s="153" t="n"/>
      <c r="W458" s="153" t="n"/>
      <c r="X458" s="153" t="n"/>
      <c r="Y458" s="153" t="n"/>
      <c r="Z458" s="153" t="n"/>
    </row>
    <row r="459" ht="15.75" customHeight="1" s="154">
      <c r="G459" s="153" t="n"/>
      <c r="H459" s="153" t="n"/>
      <c r="I459" s="153" t="n"/>
      <c r="J459" s="153" t="n"/>
      <c r="K459" s="153" t="n"/>
      <c r="L459" s="153" t="n"/>
      <c r="M459" s="153" t="n"/>
      <c r="N459" s="153" t="n"/>
      <c r="O459" s="153" t="n"/>
      <c r="P459" s="153" t="n"/>
      <c r="Q459" s="153" t="n"/>
      <c r="R459" s="153" t="n"/>
      <c r="S459" s="153" t="n"/>
      <c r="T459" s="153" t="n"/>
      <c r="U459" s="153" t="n"/>
      <c r="V459" s="153" t="n"/>
      <c r="W459" s="153" t="n"/>
      <c r="X459" s="153" t="n"/>
      <c r="Y459" s="153" t="n"/>
      <c r="Z459" s="153" t="n"/>
    </row>
    <row r="460" ht="15.75" customHeight="1" s="154">
      <c r="G460" s="153" t="n"/>
      <c r="H460" s="153" t="n"/>
      <c r="I460" s="153" t="n"/>
      <c r="J460" s="153" t="n"/>
      <c r="K460" s="153" t="n"/>
      <c r="L460" s="153" t="n"/>
      <c r="M460" s="153" t="n"/>
      <c r="N460" s="153" t="n"/>
      <c r="O460" s="153" t="n"/>
      <c r="P460" s="153" t="n"/>
      <c r="Q460" s="153" t="n"/>
      <c r="R460" s="153" t="n"/>
      <c r="S460" s="153" t="n"/>
      <c r="T460" s="153" t="n"/>
      <c r="U460" s="153" t="n"/>
      <c r="V460" s="153" t="n"/>
      <c r="W460" s="153" t="n"/>
      <c r="X460" s="153" t="n"/>
      <c r="Y460" s="153" t="n"/>
      <c r="Z460" s="153" t="n"/>
    </row>
    <row r="461" ht="15.75" customHeight="1" s="154">
      <c r="G461" s="153" t="n"/>
      <c r="H461" s="153" t="n"/>
      <c r="I461" s="153" t="n"/>
      <c r="J461" s="153" t="n"/>
      <c r="K461" s="153" t="n"/>
      <c r="L461" s="153" t="n"/>
      <c r="M461" s="153" t="n"/>
      <c r="N461" s="153" t="n"/>
      <c r="O461" s="153" t="n"/>
      <c r="P461" s="153" t="n"/>
      <c r="Q461" s="153" t="n"/>
      <c r="R461" s="153" t="n"/>
      <c r="S461" s="153" t="n"/>
      <c r="T461" s="153" t="n"/>
      <c r="U461" s="153" t="n"/>
      <c r="V461" s="153" t="n"/>
      <c r="W461" s="153" t="n"/>
      <c r="X461" s="153" t="n"/>
      <c r="Y461" s="153" t="n"/>
      <c r="Z461" s="153" t="n"/>
    </row>
    <row r="462" ht="15.75" customHeight="1" s="154">
      <c r="G462" s="153" t="n"/>
      <c r="H462" s="153" t="n"/>
      <c r="I462" s="153" t="n"/>
      <c r="J462" s="153" t="n"/>
      <c r="K462" s="153" t="n"/>
      <c r="L462" s="153" t="n"/>
      <c r="M462" s="153" t="n"/>
      <c r="N462" s="153" t="n"/>
      <c r="O462" s="153" t="n"/>
      <c r="P462" s="153" t="n"/>
      <c r="Q462" s="153" t="n"/>
      <c r="R462" s="153" t="n"/>
      <c r="S462" s="153" t="n"/>
      <c r="T462" s="153" t="n"/>
      <c r="U462" s="153" t="n"/>
      <c r="V462" s="153" t="n"/>
      <c r="W462" s="153" t="n"/>
      <c r="X462" s="153" t="n"/>
      <c r="Y462" s="153" t="n"/>
      <c r="Z462" s="153" t="n"/>
    </row>
    <row r="463" ht="15.75" customHeight="1" s="154">
      <c r="G463" s="153" t="n"/>
      <c r="H463" s="153" t="n"/>
      <c r="I463" s="153" t="n"/>
      <c r="J463" s="153" t="n"/>
      <c r="K463" s="153" t="n"/>
      <c r="L463" s="153" t="n"/>
      <c r="M463" s="153" t="n"/>
      <c r="N463" s="153" t="n"/>
      <c r="O463" s="153" t="n"/>
      <c r="P463" s="153" t="n"/>
      <c r="Q463" s="153" t="n"/>
      <c r="R463" s="153" t="n"/>
      <c r="S463" s="153" t="n"/>
      <c r="T463" s="153" t="n"/>
      <c r="U463" s="153" t="n"/>
      <c r="V463" s="153" t="n"/>
      <c r="W463" s="153" t="n"/>
      <c r="X463" s="153" t="n"/>
      <c r="Y463" s="153" t="n"/>
      <c r="Z463" s="153" t="n"/>
    </row>
    <row r="464" ht="15.75" customHeight="1" s="154">
      <c r="G464" s="153" t="n"/>
      <c r="H464" s="153" t="n"/>
      <c r="I464" s="153" t="n"/>
      <c r="J464" s="153" t="n"/>
      <c r="K464" s="153" t="n"/>
      <c r="L464" s="153" t="n"/>
      <c r="M464" s="153" t="n"/>
      <c r="N464" s="153" t="n"/>
      <c r="O464" s="153" t="n"/>
      <c r="P464" s="153" t="n"/>
      <c r="Q464" s="153" t="n"/>
      <c r="R464" s="153" t="n"/>
      <c r="S464" s="153" t="n"/>
      <c r="T464" s="153" t="n"/>
      <c r="U464" s="153" t="n"/>
      <c r="V464" s="153" t="n"/>
      <c r="W464" s="153" t="n"/>
      <c r="X464" s="153" t="n"/>
      <c r="Y464" s="153" t="n"/>
      <c r="Z464" s="153" t="n"/>
    </row>
    <row r="465" ht="15.75" customHeight="1" s="154">
      <c r="G465" s="153" t="n"/>
      <c r="H465" s="153" t="n"/>
      <c r="I465" s="153" t="n"/>
      <c r="J465" s="153" t="n"/>
      <c r="K465" s="153" t="n"/>
      <c r="L465" s="153" t="n"/>
      <c r="M465" s="153" t="n"/>
      <c r="N465" s="153" t="n"/>
      <c r="O465" s="153" t="n"/>
      <c r="P465" s="153" t="n"/>
      <c r="Q465" s="153" t="n"/>
      <c r="R465" s="153" t="n"/>
      <c r="S465" s="153" t="n"/>
      <c r="T465" s="153" t="n"/>
      <c r="U465" s="153" t="n"/>
      <c r="V465" s="153" t="n"/>
      <c r="W465" s="153" t="n"/>
      <c r="X465" s="153" t="n"/>
      <c r="Y465" s="153" t="n"/>
      <c r="Z465" s="153" t="n"/>
    </row>
    <row r="466" ht="15.75" customHeight="1" s="154">
      <c r="G466" s="153" t="n"/>
      <c r="H466" s="153" t="n"/>
      <c r="I466" s="153" t="n"/>
      <c r="J466" s="153" t="n"/>
      <c r="K466" s="153" t="n"/>
      <c r="L466" s="153" t="n"/>
      <c r="M466" s="153" t="n"/>
      <c r="N466" s="153" t="n"/>
      <c r="O466" s="153" t="n"/>
      <c r="P466" s="153" t="n"/>
      <c r="Q466" s="153" t="n"/>
      <c r="R466" s="153" t="n"/>
      <c r="S466" s="153" t="n"/>
      <c r="T466" s="153" t="n"/>
      <c r="U466" s="153" t="n"/>
      <c r="V466" s="153" t="n"/>
      <c r="W466" s="153" t="n"/>
      <c r="X466" s="153" t="n"/>
      <c r="Y466" s="153" t="n"/>
      <c r="Z466" s="153" t="n"/>
    </row>
    <row r="467" ht="15.75" customHeight="1" s="154">
      <c r="G467" s="153" t="n"/>
      <c r="H467" s="153" t="n"/>
      <c r="I467" s="153" t="n"/>
      <c r="J467" s="153" t="n"/>
      <c r="K467" s="153" t="n"/>
      <c r="L467" s="153" t="n"/>
      <c r="M467" s="153" t="n"/>
      <c r="N467" s="153" t="n"/>
      <c r="O467" s="153" t="n"/>
      <c r="P467" s="153" t="n"/>
      <c r="Q467" s="153" t="n"/>
      <c r="R467" s="153" t="n"/>
      <c r="S467" s="153" t="n"/>
      <c r="T467" s="153" t="n"/>
      <c r="U467" s="153" t="n"/>
      <c r="V467" s="153" t="n"/>
      <c r="W467" s="153" t="n"/>
      <c r="X467" s="153" t="n"/>
      <c r="Y467" s="153" t="n"/>
      <c r="Z467" s="153" t="n"/>
    </row>
    <row r="468" ht="15.75" customHeight="1" s="154">
      <c r="G468" s="153" t="n"/>
      <c r="H468" s="153" t="n"/>
      <c r="I468" s="153" t="n"/>
      <c r="J468" s="153" t="n"/>
      <c r="K468" s="153" t="n"/>
      <c r="L468" s="153" t="n"/>
      <c r="M468" s="153" t="n"/>
      <c r="N468" s="153" t="n"/>
      <c r="O468" s="153" t="n"/>
      <c r="P468" s="153" t="n"/>
      <c r="Q468" s="153" t="n"/>
      <c r="R468" s="153" t="n"/>
      <c r="S468" s="153" t="n"/>
      <c r="T468" s="153" t="n"/>
      <c r="U468" s="153" t="n"/>
      <c r="V468" s="153" t="n"/>
      <c r="W468" s="153" t="n"/>
      <c r="X468" s="153" t="n"/>
      <c r="Y468" s="153" t="n"/>
      <c r="Z468" s="153" t="n"/>
    </row>
    <row r="469" ht="15.75" customHeight="1" s="154">
      <c r="G469" s="153" t="n"/>
      <c r="H469" s="153" t="n"/>
      <c r="I469" s="153" t="n"/>
      <c r="J469" s="153" t="n"/>
      <c r="K469" s="153" t="n"/>
      <c r="L469" s="153" t="n"/>
      <c r="M469" s="153" t="n"/>
      <c r="N469" s="153" t="n"/>
      <c r="O469" s="153" t="n"/>
      <c r="P469" s="153" t="n"/>
      <c r="Q469" s="153" t="n"/>
      <c r="R469" s="153" t="n"/>
      <c r="S469" s="153" t="n"/>
      <c r="T469" s="153" t="n"/>
      <c r="U469" s="153" t="n"/>
      <c r="V469" s="153" t="n"/>
      <c r="W469" s="153" t="n"/>
      <c r="X469" s="153" t="n"/>
      <c r="Y469" s="153" t="n"/>
      <c r="Z469" s="153" t="n"/>
    </row>
    <row r="470" ht="15.75" customHeight="1" s="154">
      <c r="G470" s="153" t="n"/>
      <c r="H470" s="153" t="n"/>
      <c r="I470" s="153" t="n"/>
      <c r="J470" s="153" t="n"/>
      <c r="K470" s="153" t="n"/>
      <c r="L470" s="153" t="n"/>
      <c r="M470" s="153" t="n"/>
      <c r="N470" s="153" t="n"/>
      <c r="O470" s="153" t="n"/>
      <c r="P470" s="153" t="n"/>
      <c r="Q470" s="153" t="n"/>
      <c r="R470" s="153" t="n"/>
      <c r="S470" s="153" t="n"/>
      <c r="T470" s="153" t="n"/>
      <c r="U470" s="153" t="n"/>
      <c r="V470" s="153" t="n"/>
      <c r="W470" s="153" t="n"/>
      <c r="X470" s="153" t="n"/>
      <c r="Y470" s="153" t="n"/>
      <c r="Z470" s="153" t="n"/>
    </row>
    <row r="471" ht="15.75" customHeight="1" s="154">
      <c r="G471" s="153" t="n"/>
      <c r="H471" s="153" t="n"/>
      <c r="I471" s="153" t="n"/>
      <c r="J471" s="153" t="n"/>
      <c r="K471" s="153" t="n"/>
      <c r="L471" s="153" t="n"/>
      <c r="M471" s="153" t="n"/>
      <c r="N471" s="153" t="n"/>
      <c r="O471" s="153" t="n"/>
      <c r="P471" s="153" t="n"/>
      <c r="Q471" s="153" t="n"/>
      <c r="R471" s="153" t="n"/>
      <c r="S471" s="153" t="n"/>
      <c r="T471" s="153" t="n"/>
      <c r="U471" s="153" t="n"/>
      <c r="V471" s="153" t="n"/>
      <c r="W471" s="153" t="n"/>
      <c r="X471" s="153" t="n"/>
      <c r="Y471" s="153" t="n"/>
      <c r="Z471" s="153" t="n"/>
    </row>
    <row r="472" ht="15.75" customHeight="1" s="154">
      <c r="G472" s="153" t="n"/>
      <c r="H472" s="153" t="n"/>
      <c r="I472" s="153" t="n"/>
      <c r="J472" s="153" t="n"/>
      <c r="K472" s="153" t="n"/>
      <c r="L472" s="153" t="n"/>
      <c r="M472" s="153" t="n"/>
      <c r="N472" s="153" t="n"/>
      <c r="O472" s="153" t="n"/>
      <c r="P472" s="153" t="n"/>
      <c r="Q472" s="153" t="n"/>
      <c r="R472" s="153" t="n"/>
      <c r="S472" s="153" t="n"/>
      <c r="T472" s="153" t="n"/>
      <c r="U472" s="153" t="n"/>
      <c r="V472" s="153" t="n"/>
      <c r="W472" s="153" t="n"/>
      <c r="X472" s="153" t="n"/>
      <c r="Y472" s="153" t="n"/>
      <c r="Z472" s="153" t="n"/>
    </row>
    <row r="473" ht="15.75" customHeight="1" s="154">
      <c r="G473" s="153" t="n"/>
      <c r="H473" s="153" t="n"/>
      <c r="I473" s="153" t="n"/>
      <c r="J473" s="153" t="n"/>
      <c r="K473" s="153" t="n"/>
      <c r="L473" s="153" t="n"/>
      <c r="M473" s="153" t="n"/>
      <c r="N473" s="153" t="n"/>
      <c r="O473" s="153" t="n"/>
      <c r="P473" s="153" t="n"/>
      <c r="Q473" s="153" t="n"/>
      <c r="R473" s="153" t="n"/>
      <c r="S473" s="153" t="n"/>
      <c r="T473" s="153" t="n"/>
      <c r="U473" s="153" t="n"/>
      <c r="V473" s="153" t="n"/>
      <c r="W473" s="153" t="n"/>
      <c r="X473" s="153" t="n"/>
      <c r="Y473" s="153" t="n"/>
      <c r="Z473" s="153" t="n"/>
    </row>
    <row r="474" ht="15.75" customHeight="1" s="154">
      <c r="G474" s="153" t="n"/>
      <c r="H474" s="153" t="n"/>
      <c r="I474" s="153" t="n"/>
      <c r="J474" s="153" t="n"/>
      <c r="K474" s="153" t="n"/>
      <c r="L474" s="153" t="n"/>
      <c r="M474" s="153" t="n"/>
      <c r="N474" s="153" t="n"/>
      <c r="O474" s="153" t="n"/>
      <c r="P474" s="153" t="n"/>
      <c r="Q474" s="153" t="n"/>
      <c r="R474" s="153" t="n"/>
      <c r="S474" s="153" t="n"/>
      <c r="T474" s="153" t="n"/>
      <c r="U474" s="153" t="n"/>
      <c r="V474" s="153" t="n"/>
      <c r="W474" s="153" t="n"/>
      <c r="X474" s="153" t="n"/>
      <c r="Y474" s="153" t="n"/>
      <c r="Z474" s="153" t="n"/>
    </row>
    <row r="475" ht="15.75" customHeight="1" s="154">
      <c r="G475" s="153" t="n"/>
      <c r="H475" s="153" t="n"/>
      <c r="I475" s="153" t="n"/>
      <c r="J475" s="153" t="n"/>
      <c r="K475" s="153" t="n"/>
      <c r="L475" s="153" t="n"/>
      <c r="M475" s="153" t="n"/>
      <c r="N475" s="153" t="n"/>
      <c r="O475" s="153" t="n"/>
      <c r="P475" s="153" t="n"/>
      <c r="Q475" s="153" t="n"/>
      <c r="R475" s="153" t="n"/>
      <c r="S475" s="153" t="n"/>
      <c r="T475" s="153" t="n"/>
      <c r="U475" s="153" t="n"/>
      <c r="V475" s="153" t="n"/>
      <c r="W475" s="153" t="n"/>
      <c r="X475" s="153" t="n"/>
      <c r="Y475" s="153" t="n"/>
      <c r="Z475" s="153" t="n"/>
    </row>
    <row r="476" ht="15.75" customHeight="1" s="154">
      <c r="G476" s="153" t="n"/>
      <c r="H476" s="153" t="n"/>
      <c r="I476" s="153" t="n"/>
      <c r="J476" s="153" t="n"/>
      <c r="K476" s="153" t="n"/>
      <c r="L476" s="153" t="n"/>
      <c r="M476" s="153" t="n"/>
      <c r="N476" s="153" t="n"/>
      <c r="O476" s="153" t="n"/>
      <c r="P476" s="153" t="n"/>
      <c r="Q476" s="153" t="n"/>
      <c r="R476" s="153" t="n"/>
      <c r="S476" s="153" t="n"/>
      <c r="T476" s="153" t="n"/>
      <c r="U476" s="153" t="n"/>
      <c r="V476" s="153" t="n"/>
      <c r="W476" s="153" t="n"/>
      <c r="X476" s="153" t="n"/>
      <c r="Y476" s="153" t="n"/>
      <c r="Z476" s="153" t="n"/>
    </row>
    <row r="477" ht="15.75" customHeight="1" s="154">
      <c r="G477" s="153" t="n"/>
      <c r="H477" s="153" t="n"/>
      <c r="I477" s="153" t="n"/>
      <c r="J477" s="153" t="n"/>
      <c r="K477" s="153" t="n"/>
      <c r="L477" s="153" t="n"/>
      <c r="M477" s="153" t="n"/>
      <c r="N477" s="153" t="n"/>
      <c r="O477" s="153" t="n"/>
      <c r="P477" s="153" t="n"/>
      <c r="Q477" s="153" t="n"/>
      <c r="R477" s="153" t="n"/>
      <c r="S477" s="153" t="n"/>
      <c r="T477" s="153" t="n"/>
      <c r="U477" s="153" t="n"/>
      <c r="V477" s="153" t="n"/>
      <c r="W477" s="153" t="n"/>
      <c r="X477" s="153" t="n"/>
      <c r="Y477" s="153" t="n"/>
      <c r="Z477" s="153" t="n"/>
    </row>
    <row r="478" ht="15.75" customHeight="1" s="154">
      <c r="G478" s="153" t="n"/>
      <c r="H478" s="153" t="n"/>
      <c r="I478" s="153" t="n"/>
      <c r="J478" s="153" t="n"/>
      <c r="K478" s="153" t="n"/>
      <c r="L478" s="153" t="n"/>
      <c r="M478" s="153" t="n"/>
      <c r="N478" s="153" t="n"/>
      <c r="O478" s="153" t="n"/>
      <c r="P478" s="153" t="n"/>
      <c r="Q478" s="153" t="n"/>
      <c r="R478" s="153" t="n"/>
      <c r="S478" s="153" t="n"/>
      <c r="T478" s="153" t="n"/>
      <c r="U478" s="153" t="n"/>
      <c r="V478" s="153" t="n"/>
      <c r="W478" s="153" t="n"/>
      <c r="X478" s="153" t="n"/>
      <c r="Y478" s="153" t="n"/>
      <c r="Z478" s="153" t="n"/>
    </row>
    <row r="479" ht="15.75" customHeight="1" s="154">
      <c r="G479" s="153" t="n"/>
      <c r="H479" s="153" t="n"/>
      <c r="I479" s="153" t="n"/>
      <c r="J479" s="153" t="n"/>
      <c r="K479" s="153" t="n"/>
      <c r="L479" s="153" t="n"/>
      <c r="M479" s="153" t="n"/>
      <c r="N479" s="153" t="n"/>
      <c r="O479" s="153" t="n"/>
      <c r="P479" s="153" t="n"/>
      <c r="Q479" s="153" t="n"/>
      <c r="R479" s="153" t="n"/>
      <c r="S479" s="153" t="n"/>
      <c r="T479" s="153" t="n"/>
      <c r="U479" s="153" t="n"/>
      <c r="V479" s="153" t="n"/>
      <c r="W479" s="153" t="n"/>
      <c r="X479" s="153" t="n"/>
      <c r="Y479" s="153" t="n"/>
      <c r="Z479" s="153" t="n"/>
    </row>
    <row r="480" ht="15.75" customHeight="1" s="154">
      <c r="G480" s="153" t="n"/>
      <c r="H480" s="153" t="n"/>
      <c r="I480" s="153" t="n"/>
      <c r="J480" s="153" t="n"/>
      <c r="K480" s="153" t="n"/>
      <c r="L480" s="153" t="n"/>
      <c r="M480" s="153" t="n"/>
      <c r="N480" s="153" t="n"/>
      <c r="O480" s="153" t="n"/>
      <c r="P480" s="153" t="n"/>
      <c r="Q480" s="153" t="n"/>
      <c r="R480" s="153" t="n"/>
      <c r="S480" s="153" t="n"/>
      <c r="T480" s="153" t="n"/>
      <c r="U480" s="153" t="n"/>
      <c r="V480" s="153" t="n"/>
      <c r="W480" s="153" t="n"/>
      <c r="X480" s="153" t="n"/>
      <c r="Y480" s="153" t="n"/>
      <c r="Z480" s="153" t="n"/>
    </row>
    <row r="481" ht="15.75" customHeight="1" s="154">
      <c r="G481" s="153" t="n"/>
      <c r="H481" s="153" t="n"/>
      <c r="I481" s="153" t="n"/>
      <c r="J481" s="153" t="n"/>
      <c r="K481" s="153" t="n"/>
      <c r="L481" s="153" t="n"/>
      <c r="M481" s="153" t="n"/>
      <c r="N481" s="153" t="n"/>
      <c r="O481" s="153" t="n"/>
      <c r="P481" s="153" t="n"/>
      <c r="Q481" s="153" t="n"/>
      <c r="R481" s="153" t="n"/>
      <c r="S481" s="153" t="n"/>
      <c r="T481" s="153" t="n"/>
      <c r="U481" s="153" t="n"/>
      <c r="V481" s="153" t="n"/>
      <c r="W481" s="153" t="n"/>
      <c r="X481" s="153" t="n"/>
      <c r="Y481" s="153" t="n"/>
      <c r="Z481" s="153" t="n"/>
    </row>
    <row r="482" ht="15.75" customHeight="1" s="154">
      <c r="G482" s="153" t="n"/>
      <c r="H482" s="153" t="n"/>
      <c r="I482" s="153" t="n"/>
      <c r="J482" s="153" t="n"/>
      <c r="K482" s="153" t="n"/>
      <c r="L482" s="153" t="n"/>
      <c r="M482" s="153" t="n"/>
      <c r="N482" s="153" t="n"/>
      <c r="O482" s="153" t="n"/>
      <c r="P482" s="153" t="n"/>
      <c r="Q482" s="153" t="n"/>
      <c r="R482" s="153" t="n"/>
      <c r="S482" s="153" t="n"/>
      <c r="T482" s="153" t="n"/>
      <c r="U482" s="153" t="n"/>
      <c r="V482" s="153" t="n"/>
      <c r="W482" s="153" t="n"/>
      <c r="X482" s="153" t="n"/>
      <c r="Y482" s="153" t="n"/>
      <c r="Z482" s="153" t="n"/>
    </row>
    <row r="483" ht="15.75" customHeight="1" s="154">
      <c r="G483" s="153" t="n"/>
      <c r="H483" s="153" t="n"/>
      <c r="I483" s="153" t="n"/>
      <c r="J483" s="153" t="n"/>
      <c r="K483" s="153" t="n"/>
      <c r="L483" s="153" t="n"/>
      <c r="M483" s="153" t="n"/>
      <c r="N483" s="153" t="n"/>
      <c r="O483" s="153" t="n"/>
      <c r="P483" s="153" t="n"/>
      <c r="Q483" s="153" t="n"/>
      <c r="R483" s="153" t="n"/>
      <c r="S483" s="153" t="n"/>
      <c r="T483" s="153" t="n"/>
      <c r="U483" s="153" t="n"/>
      <c r="V483" s="153" t="n"/>
      <c r="W483" s="153" t="n"/>
      <c r="X483" s="153" t="n"/>
      <c r="Y483" s="153" t="n"/>
      <c r="Z483" s="153" t="n"/>
    </row>
    <row r="484" ht="15.75" customHeight="1" s="154">
      <c r="G484" s="153" t="n"/>
      <c r="H484" s="153" t="n"/>
      <c r="I484" s="153" t="n"/>
      <c r="J484" s="153" t="n"/>
      <c r="K484" s="153" t="n"/>
      <c r="L484" s="153" t="n"/>
      <c r="M484" s="153" t="n"/>
      <c r="N484" s="153" t="n"/>
      <c r="O484" s="153" t="n"/>
      <c r="P484" s="153" t="n"/>
      <c r="Q484" s="153" t="n"/>
      <c r="R484" s="153" t="n"/>
      <c r="S484" s="153" t="n"/>
      <c r="T484" s="153" t="n"/>
      <c r="U484" s="153" t="n"/>
      <c r="V484" s="153" t="n"/>
      <c r="W484" s="153" t="n"/>
      <c r="X484" s="153" t="n"/>
      <c r="Y484" s="153" t="n"/>
      <c r="Z484" s="153" t="n"/>
    </row>
    <row r="485" ht="15.75" customHeight="1" s="154">
      <c r="G485" s="153" t="n"/>
      <c r="H485" s="153" t="n"/>
      <c r="I485" s="153" t="n"/>
      <c r="J485" s="153" t="n"/>
      <c r="K485" s="153" t="n"/>
      <c r="L485" s="153" t="n"/>
      <c r="M485" s="153" t="n"/>
      <c r="N485" s="153" t="n"/>
      <c r="O485" s="153" t="n"/>
      <c r="P485" s="153" t="n"/>
      <c r="Q485" s="153" t="n"/>
      <c r="R485" s="153" t="n"/>
      <c r="S485" s="153" t="n"/>
      <c r="T485" s="153" t="n"/>
      <c r="U485" s="153" t="n"/>
      <c r="V485" s="153" t="n"/>
      <c r="W485" s="153" t="n"/>
      <c r="X485" s="153" t="n"/>
      <c r="Y485" s="153" t="n"/>
      <c r="Z485" s="153" t="n"/>
    </row>
    <row r="486" ht="15.75" customHeight="1" s="154">
      <c r="G486" s="153" t="n"/>
      <c r="H486" s="153" t="n"/>
      <c r="I486" s="153" t="n"/>
      <c r="J486" s="153" t="n"/>
      <c r="K486" s="153" t="n"/>
      <c r="L486" s="153" t="n"/>
      <c r="M486" s="153" t="n"/>
      <c r="N486" s="153" t="n"/>
      <c r="O486" s="153" t="n"/>
      <c r="P486" s="153" t="n"/>
      <c r="Q486" s="153" t="n"/>
      <c r="R486" s="153" t="n"/>
      <c r="S486" s="153" t="n"/>
      <c r="T486" s="153" t="n"/>
      <c r="U486" s="153" t="n"/>
      <c r="V486" s="153" t="n"/>
      <c r="W486" s="153" t="n"/>
      <c r="X486" s="153" t="n"/>
      <c r="Y486" s="153" t="n"/>
      <c r="Z486" s="153" t="n"/>
    </row>
    <row r="487" ht="15.75" customHeight="1" s="154">
      <c r="G487" s="153" t="n"/>
      <c r="H487" s="153" t="n"/>
      <c r="I487" s="153" t="n"/>
      <c r="J487" s="153" t="n"/>
      <c r="K487" s="153" t="n"/>
      <c r="L487" s="153" t="n"/>
      <c r="M487" s="153" t="n"/>
      <c r="N487" s="153" t="n"/>
      <c r="O487" s="153" t="n"/>
      <c r="P487" s="153" t="n"/>
      <c r="Q487" s="153" t="n"/>
      <c r="R487" s="153" t="n"/>
      <c r="S487" s="153" t="n"/>
      <c r="T487" s="153" t="n"/>
      <c r="U487" s="153" t="n"/>
      <c r="V487" s="153" t="n"/>
      <c r="W487" s="153" t="n"/>
      <c r="X487" s="153" t="n"/>
      <c r="Y487" s="153" t="n"/>
      <c r="Z487" s="153" t="n"/>
    </row>
    <row r="488" ht="15.75" customHeight="1" s="154">
      <c r="G488" s="153" t="n"/>
      <c r="H488" s="153" t="n"/>
      <c r="I488" s="153" t="n"/>
      <c r="J488" s="153" t="n"/>
      <c r="K488" s="153" t="n"/>
      <c r="L488" s="153" t="n"/>
      <c r="M488" s="153" t="n"/>
      <c r="N488" s="153" t="n"/>
      <c r="O488" s="153" t="n"/>
      <c r="P488" s="153" t="n"/>
      <c r="Q488" s="153" t="n"/>
      <c r="R488" s="153" t="n"/>
      <c r="S488" s="153" t="n"/>
      <c r="T488" s="153" t="n"/>
      <c r="U488" s="153" t="n"/>
      <c r="V488" s="153" t="n"/>
      <c r="W488" s="153" t="n"/>
      <c r="X488" s="153" t="n"/>
      <c r="Y488" s="153" t="n"/>
      <c r="Z488" s="153" t="n"/>
    </row>
    <row r="489" ht="15.75" customHeight="1" s="154">
      <c r="G489" s="153" t="n"/>
      <c r="H489" s="153" t="n"/>
      <c r="I489" s="153" t="n"/>
      <c r="J489" s="153" t="n"/>
      <c r="K489" s="153" t="n"/>
      <c r="L489" s="153" t="n"/>
      <c r="M489" s="153" t="n"/>
      <c r="N489" s="153" t="n"/>
      <c r="O489" s="153" t="n"/>
      <c r="P489" s="153" t="n"/>
      <c r="Q489" s="153" t="n"/>
      <c r="R489" s="153" t="n"/>
      <c r="S489" s="153" t="n"/>
      <c r="T489" s="153" t="n"/>
      <c r="U489" s="153" t="n"/>
      <c r="V489" s="153" t="n"/>
      <c r="W489" s="153" t="n"/>
      <c r="X489" s="153" t="n"/>
      <c r="Y489" s="153" t="n"/>
      <c r="Z489" s="153" t="n"/>
    </row>
    <row r="490" ht="15.75" customHeight="1" s="154">
      <c r="G490" s="153" t="n"/>
      <c r="H490" s="153" t="n"/>
      <c r="I490" s="153" t="n"/>
      <c r="J490" s="153" t="n"/>
      <c r="K490" s="153" t="n"/>
      <c r="L490" s="153" t="n"/>
      <c r="M490" s="153" t="n"/>
      <c r="N490" s="153" t="n"/>
      <c r="O490" s="153" t="n"/>
      <c r="P490" s="153" t="n"/>
      <c r="Q490" s="153" t="n"/>
      <c r="R490" s="153" t="n"/>
      <c r="S490" s="153" t="n"/>
      <c r="T490" s="153" t="n"/>
      <c r="U490" s="153" t="n"/>
      <c r="V490" s="153" t="n"/>
      <c r="W490" s="153" t="n"/>
      <c r="X490" s="153" t="n"/>
      <c r="Y490" s="153" t="n"/>
      <c r="Z490" s="153" t="n"/>
    </row>
    <row r="491" ht="15.75" customHeight="1" s="154">
      <c r="G491" s="153" t="n"/>
      <c r="H491" s="153" t="n"/>
      <c r="I491" s="153" t="n"/>
      <c r="J491" s="153" t="n"/>
      <c r="K491" s="153" t="n"/>
      <c r="L491" s="153" t="n"/>
      <c r="M491" s="153" t="n"/>
      <c r="N491" s="153" t="n"/>
      <c r="O491" s="153" t="n"/>
      <c r="P491" s="153" t="n"/>
      <c r="Q491" s="153" t="n"/>
      <c r="R491" s="153" t="n"/>
      <c r="S491" s="153" t="n"/>
      <c r="T491" s="153" t="n"/>
      <c r="U491" s="153" t="n"/>
      <c r="V491" s="153" t="n"/>
      <c r="W491" s="153" t="n"/>
      <c r="X491" s="153" t="n"/>
      <c r="Y491" s="153" t="n"/>
      <c r="Z491" s="153" t="n"/>
    </row>
    <row r="492" ht="15.75" customHeight="1" s="154">
      <c r="G492" s="153" t="n"/>
      <c r="H492" s="153" t="n"/>
      <c r="I492" s="153" t="n"/>
      <c r="J492" s="153" t="n"/>
      <c r="K492" s="153" t="n"/>
      <c r="L492" s="153" t="n"/>
      <c r="M492" s="153" t="n"/>
      <c r="N492" s="153" t="n"/>
      <c r="O492" s="153" t="n"/>
      <c r="P492" s="153" t="n"/>
      <c r="Q492" s="153" t="n"/>
      <c r="R492" s="153" t="n"/>
      <c r="S492" s="153" t="n"/>
      <c r="T492" s="153" t="n"/>
      <c r="U492" s="153" t="n"/>
      <c r="V492" s="153" t="n"/>
      <c r="W492" s="153" t="n"/>
      <c r="X492" s="153" t="n"/>
      <c r="Y492" s="153" t="n"/>
      <c r="Z492" s="153" t="n"/>
    </row>
    <row r="493" ht="15.75" customHeight="1" s="154">
      <c r="G493" s="153" t="n"/>
      <c r="H493" s="153" t="n"/>
      <c r="I493" s="153" t="n"/>
      <c r="J493" s="153" t="n"/>
      <c r="K493" s="153" t="n"/>
      <c r="L493" s="153" t="n"/>
      <c r="M493" s="153" t="n"/>
      <c r="N493" s="153" t="n"/>
      <c r="O493" s="153" t="n"/>
      <c r="P493" s="153" t="n"/>
      <c r="Q493" s="153" t="n"/>
      <c r="R493" s="153" t="n"/>
      <c r="S493" s="153" t="n"/>
      <c r="T493" s="153" t="n"/>
      <c r="U493" s="153" t="n"/>
      <c r="V493" s="153" t="n"/>
      <c r="W493" s="153" t="n"/>
      <c r="X493" s="153" t="n"/>
      <c r="Y493" s="153" t="n"/>
      <c r="Z493" s="153" t="n"/>
    </row>
    <row r="494" ht="15.75" customHeight="1" s="154">
      <c r="G494" s="153" t="n"/>
      <c r="H494" s="153" t="n"/>
      <c r="I494" s="153" t="n"/>
      <c r="J494" s="153" t="n"/>
      <c r="K494" s="153" t="n"/>
      <c r="L494" s="153" t="n"/>
      <c r="M494" s="153" t="n"/>
      <c r="N494" s="153" t="n"/>
      <c r="O494" s="153" t="n"/>
      <c r="P494" s="153" t="n"/>
      <c r="Q494" s="153" t="n"/>
      <c r="R494" s="153" t="n"/>
      <c r="S494" s="153" t="n"/>
      <c r="T494" s="153" t="n"/>
      <c r="U494" s="153" t="n"/>
      <c r="V494" s="153" t="n"/>
      <c r="W494" s="153" t="n"/>
      <c r="X494" s="153" t="n"/>
      <c r="Y494" s="153" t="n"/>
      <c r="Z494" s="153" t="n"/>
    </row>
    <row r="495" ht="15.75" customHeight="1" s="154">
      <c r="G495" s="153" t="n"/>
      <c r="H495" s="153" t="n"/>
      <c r="I495" s="153" t="n"/>
      <c r="J495" s="153" t="n"/>
      <c r="K495" s="153" t="n"/>
      <c r="L495" s="153" t="n"/>
      <c r="M495" s="153" t="n"/>
      <c r="N495" s="153" t="n"/>
      <c r="O495" s="153" t="n"/>
      <c r="P495" s="153" t="n"/>
      <c r="Q495" s="153" t="n"/>
      <c r="R495" s="153" t="n"/>
      <c r="S495" s="153" t="n"/>
      <c r="T495" s="153" t="n"/>
      <c r="U495" s="153" t="n"/>
      <c r="V495" s="153" t="n"/>
      <c r="W495" s="153" t="n"/>
      <c r="X495" s="153" t="n"/>
      <c r="Y495" s="153" t="n"/>
      <c r="Z495" s="153" t="n"/>
    </row>
    <row r="496" ht="15.75" customHeight="1" s="154">
      <c r="G496" s="153" t="n"/>
      <c r="H496" s="153" t="n"/>
      <c r="I496" s="153" t="n"/>
      <c r="J496" s="153" t="n"/>
      <c r="K496" s="153" t="n"/>
      <c r="L496" s="153" t="n"/>
      <c r="M496" s="153" t="n"/>
      <c r="N496" s="153" t="n"/>
      <c r="O496" s="153" t="n"/>
      <c r="P496" s="153" t="n"/>
      <c r="Q496" s="153" t="n"/>
      <c r="R496" s="153" t="n"/>
      <c r="S496" s="153" t="n"/>
      <c r="T496" s="153" t="n"/>
      <c r="U496" s="153" t="n"/>
      <c r="V496" s="153" t="n"/>
      <c r="W496" s="153" t="n"/>
      <c r="X496" s="153" t="n"/>
      <c r="Y496" s="153" t="n"/>
      <c r="Z496" s="153" t="n"/>
    </row>
    <row r="497" ht="15.75" customHeight="1" s="154">
      <c r="G497" s="153" t="n"/>
      <c r="H497" s="153" t="n"/>
      <c r="I497" s="153" t="n"/>
      <c r="J497" s="153" t="n"/>
      <c r="K497" s="153" t="n"/>
      <c r="L497" s="153" t="n"/>
      <c r="M497" s="153" t="n"/>
      <c r="N497" s="153" t="n"/>
      <c r="O497" s="153" t="n"/>
      <c r="P497" s="153" t="n"/>
      <c r="Q497" s="153" t="n"/>
      <c r="R497" s="153" t="n"/>
      <c r="S497" s="153" t="n"/>
      <c r="T497" s="153" t="n"/>
      <c r="U497" s="153" t="n"/>
      <c r="V497" s="153" t="n"/>
      <c r="W497" s="153" t="n"/>
      <c r="X497" s="153" t="n"/>
      <c r="Y497" s="153" t="n"/>
      <c r="Z497" s="153" t="n"/>
    </row>
    <row r="498" ht="15.75" customHeight="1" s="154">
      <c r="G498" s="153" t="n"/>
      <c r="H498" s="153" t="n"/>
      <c r="I498" s="153" t="n"/>
      <c r="J498" s="153" t="n"/>
      <c r="K498" s="153" t="n"/>
      <c r="L498" s="153" t="n"/>
      <c r="M498" s="153" t="n"/>
      <c r="N498" s="153" t="n"/>
      <c r="O498" s="153" t="n"/>
      <c r="P498" s="153" t="n"/>
      <c r="Q498" s="153" t="n"/>
      <c r="R498" s="153" t="n"/>
      <c r="S498" s="153" t="n"/>
      <c r="T498" s="153" t="n"/>
      <c r="U498" s="153" t="n"/>
      <c r="V498" s="153" t="n"/>
      <c r="W498" s="153" t="n"/>
      <c r="X498" s="153" t="n"/>
      <c r="Y498" s="153" t="n"/>
      <c r="Z498" s="153" t="n"/>
    </row>
    <row r="499" ht="15.75" customHeight="1" s="154">
      <c r="G499" s="153" t="n"/>
      <c r="H499" s="153" t="n"/>
      <c r="I499" s="153" t="n"/>
      <c r="J499" s="153" t="n"/>
      <c r="K499" s="153" t="n"/>
      <c r="L499" s="153" t="n"/>
      <c r="M499" s="153" t="n"/>
      <c r="N499" s="153" t="n"/>
      <c r="O499" s="153" t="n"/>
      <c r="P499" s="153" t="n"/>
      <c r="Q499" s="153" t="n"/>
      <c r="R499" s="153" t="n"/>
      <c r="S499" s="153" t="n"/>
      <c r="T499" s="153" t="n"/>
      <c r="U499" s="153" t="n"/>
      <c r="V499" s="153" t="n"/>
      <c r="W499" s="153" t="n"/>
      <c r="X499" s="153" t="n"/>
      <c r="Y499" s="153" t="n"/>
      <c r="Z499" s="153" t="n"/>
    </row>
    <row r="500" ht="15.75" customHeight="1" s="154">
      <c r="G500" s="153" t="n"/>
      <c r="H500" s="153" t="n"/>
      <c r="I500" s="153" t="n"/>
      <c r="J500" s="153" t="n"/>
      <c r="K500" s="153" t="n"/>
      <c r="L500" s="153" t="n"/>
      <c r="M500" s="153" t="n"/>
      <c r="N500" s="153" t="n"/>
      <c r="O500" s="153" t="n"/>
      <c r="P500" s="153" t="n"/>
      <c r="Q500" s="153" t="n"/>
      <c r="R500" s="153" t="n"/>
      <c r="S500" s="153" t="n"/>
      <c r="T500" s="153" t="n"/>
      <c r="U500" s="153" t="n"/>
      <c r="V500" s="153" t="n"/>
      <c r="W500" s="153" t="n"/>
      <c r="X500" s="153" t="n"/>
      <c r="Y500" s="153" t="n"/>
      <c r="Z500" s="153" t="n"/>
    </row>
    <row r="501" ht="15.75" customHeight="1" s="154">
      <c r="G501" s="153" t="n"/>
      <c r="H501" s="153" t="n"/>
      <c r="I501" s="153" t="n"/>
      <c r="J501" s="153" t="n"/>
      <c r="K501" s="153" t="n"/>
      <c r="L501" s="153" t="n"/>
      <c r="M501" s="153" t="n"/>
      <c r="N501" s="153" t="n"/>
      <c r="O501" s="153" t="n"/>
      <c r="P501" s="153" t="n"/>
      <c r="Q501" s="153" t="n"/>
      <c r="R501" s="153" t="n"/>
      <c r="S501" s="153" t="n"/>
      <c r="T501" s="153" t="n"/>
      <c r="U501" s="153" t="n"/>
      <c r="V501" s="153" t="n"/>
      <c r="W501" s="153" t="n"/>
      <c r="X501" s="153" t="n"/>
      <c r="Y501" s="153" t="n"/>
      <c r="Z501" s="153" t="n"/>
    </row>
    <row r="502" ht="15.75" customHeight="1" s="154">
      <c r="G502" s="153" t="n"/>
      <c r="H502" s="153" t="n"/>
      <c r="I502" s="153" t="n"/>
      <c r="J502" s="153" t="n"/>
      <c r="K502" s="153" t="n"/>
      <c r="L502" s="153" t="n"/>
      <c r="M502" s="153" t="n"/>
      <c r="N502" s="153" t="n"/>
      <c r="O502" s="153" t="n"/>
      <c r="P502" s="153" t="n"/>
      <c r="Q502" s="153" t="n"/>
      <c r="R502" s="153" t="n"/>
      <c r="S502" s="153" t="n"/>
      <c r="T502" s="153" t="n"/>
      <c r="U502" s="153" t="n"/>
      <c r="V502" s="153" t="n"/>
      <c r="W502" s="153" t="n"/>
      <c r="X502" s="153" t="n"/>
      <c r="Y502" s="153" t="n"/>
      <c r="Z502" s="153" t="n"/>
    </row>
    <row r="503" ht="15.75" customHeight="1" s="154">
      <c r="G503" s="153" t="n"/>
      <c r="H503" s="153" t="n"/>
      <c r="I503" s="153" t="n"/>
      <c r="J503" s="153" t="n"/>
      <c r="K503" s="153" t="n"/>
      <c r="L503" s="153" t="n"/>
      <c r="M503" s="153" t="n"/>
      <c r="N503" s="153" t="n"/>
      <c r="O503" s="153" t="n"/>
      <c r="P503" s="153" t="n"/>
      <c r="Q503" s="153" t="n"/>
      <c r="R503" s="153" t="n"/>
      <c r="S503" s="153" t="n"/>
      <c r="T503" s="153" t="n"/>
      <c r="U503" s="153" t="n"/>
      <c r="V503" s="153" t="n"/>
      <c r="W503" s="153" t="n"/>
      <c r="X503" s="153" t="n"/>
      <c r="Y503" s="153" t="n"/>
      <c r="Z503" s="153" t="n"/>
    </row>
    <row r="504" ht="15.75" customHeight="1" s="154">
      <c r="G504" s="153" t="n"/>
      <c r="H504" s="153" t="n"/>
      <c r="I504" s="153" t="n"/>
      <c r="J504" s="153" t="n"/>
      <c r="K504" s="153" t="n"/>
      <c r="L504" s="153" t="n"/>
      <c r="M504" s="153" t="n"/>
      <c r="N504" s="153" t="n"/>
      <c r="O504" s="153" t="n"/>
      <c r="P504" s="153" t="n"/>
      <c r="Q504" s="153" t="n"/>
      <c r="R504" s="153" t="n"/>
      <c r="S504" s="153" t="n"/>
      <c r="T504" s="153" t="n"/>
      <c r="U504" s="153" t="n"/>
      <c r="V504" s="153" t="n"/>
      <c r="W504" s="153" t="n"/>
      <c r="X504" s="153" t="n"/>
      <c r="Y504" s="153" t="n"/>
      <c r="Z504" s="153" t="n"/>
    </row>
    <row r="505" ht="15.75" customHeight="1" s="154">
      <c r="G505" s="153" t="n"/>
      <c r="H505" s="153" t="n"/>
      <c r="I505" s="153" t="n"/>
      <c r="J505" s="153" t="n"/>
      <c r="K505" s="153" t="n"/>
      <c r="L505" s="153" t="n"/>
      <c r="M505" s="153" t="n"/>
      <c r="N505" s="153" t="n"/>
      <c r="O505" s="153" t="n"/>
      <c r="P505" s="153" t="n"/>
      <c r="Q505" s="153" t="n"/>
      <c r="R505" s="153" t="n"/>
      <c r="S505" s="153" t="n"/>
      <c r="T505" s="153" t="n"/>
      <c r="U505" s="153" t="n"/>
      <c r="V505" s="153" t="n"/>
      <c r="W505" s="153" t="n"/>
      <c r="X505" s="153" t="n"/>
      <c r="Y505" s="153" t="n"/>
      <c r="Z505" s="153" t="n"/>
    </row>
    <row r="506" ht="15.75" customHeight="1" s="154">
      <c r="G506" s="153" t="n"/>
      <c r="H506" s="153" t="n"/>
      <c r="I506" s="153" t="n"/>
      <c r="J506" s="153" t="n"/>
      <c r="K506" s="153" t="n"/>
      <c r="L506" s="153" t="n"/>
      <c r="M506" s="153" t="n"/>
      <c r="N506" s="153" t="n"/>
      <c r="O506" s="153" t="n"/>
      <c r="P506" s="153" t="n"/>
      <c r="Q506" s="153" t="n"/>
      <c r="R506" s="153" t="n"/>
      <c r="S506" s="153" t="n"/>
      <c r="T506" s="153" t="n"/>
      <c r="U506" s="153" t="n"/>
      <c r="V506" s="153" t="n"/>
      <c r="W506" s="153" t="n"/>
      <c r="X506" s="153" t="n"/>
      <c r="Y506" s="153" t="n"/>
      <c r="Z506" s="153" t="n"/>
    </row>
    <row r="507" ht="15.75" customHeight="1" s="154">
      <c r="G507" s="153" t="n"/>
      <c r="H507" s="153" t="n"/>
      <c r="I507" s="153" t="n"/>
      <c r="J507" s="153" t="n"/>
      <c r="K507" s="153" t="n"/>
      <c r="L507" s="153" t="n"/>
      <c r="M507" s="153" t="n"/>
      <c r="N507" s="153" t="n"/>
      <c r="O507" s="153" t="n"/>
      <c r="P507" s="153" t="n"/>
      <c r="Q507" s="153" t="n"/>
      <c r="R507" s="153" t="n"/>
      <c r="S507" s="153" t="n"/>
      <c r="T507" s="153" t="n"/>
      <c r="U507" s="153" t="n"/>
      <c r="V507" s="153" t="n"/>
      <c r="W507" s="153" t="n"/>
      <c r="X507" s="153" t="n"/>
      <c r="Y507" s="153" t="n"/>
      <c r="Z507" s="153" t="n"/>
    </row>
    <row r="508" ht="15.75" customHeight="1" s="154">
      <c r="G508" s="153" t="n"/>
      <c r="H508" s="153" t="n"/>
      <c r="I508" s="153" t="n"/>
      <c r="J508" s="153" t="n"/>
      <c r="K508" s="153" t="n"/>
      <c r="L508" s="153" t="n"/>
      <c r="M508" s="153" t="n"/>
      <c r="N508" s="153" t="n"/>
      <c r="O508" s="153" t="n"/>
      <c r="P508" s="153" t="n"/>
      <c r="Q508" s="153" t="n"/>
      <c r="R508" s="153" t="n"/>
      <c r="S508" s="153" t="n"/>
      <c r="T508" s="153" t="n"/>
      <c r="U508" s="153" t="n"/>
      <c r="V508" s="153" t="n"/>
      <c r="W508" s="153" t="n"/>
      <c r="X508" s="153" t="n"/>
      <c r="Y508" s="153" t="n"/>
      <c r="Z508" s="153" t="n"/>
    </row>
    <row r="509" ht="15.75" customHeight="1" s="154">
      <c r="G509" s="153" t="n"/>
      <c r="H509" s="153" t="n"/>
      <c r="I509" s="153" t="n"/>
      <c r="J509" s="153" t="n"/>
      <c r="K509" s="153" t="n"/>
      <c r="L509" s="153" t="n"/>
      <c r="M509" s="153" t="n"/>
      <c r="N509" s="153" t="n"/>
      <c r="O509" s="153" t="n"/>
      <c r="P509" s="153" t="n"/>
      <c r="Q509" s="153" t="n"/>
      <c r="R509" s="153" t="n"/>
      <c r="S509" s="153" t="n"/>
      <c r="T509" s="153" t="n"/>
      <c r="U509" s="153" t="n"/>
      <c r="V509" s="153" t="n"/>
      <c r="W509" s="153" t="n"/>
      <c r="X509" s="153" t="n"/>
      <c r="Y509" s="153" t="n"/>
      <c r="Z509" s="153" t="n"/>
    </row>
    <row r="510" ht="15.75" customHeight="1" s="154">
      <c r="G510" s="153" t="n"/>
      <c r="H510" s="153" t="n"/>
      <c r="I510" s="153" t="n"/>
      <c r="J510" s="153" t="n"/>
      <c r="K510" s="153" t="n"/>
      <c r="L510" s="153" t="n"/>
      <c r="M510" s="153" t="n"/>
      <c r="N510" s="153" t="n"/>
      <c r="O510" s="153" t="n"/>
      <c r="P510" s="153" t="n"/>
      <c r="Q510" s="153" t="n"/>
      <c r="R510" s="153" t="n"/>
      <c r="S510" s="153" t="n"/>
      <c r="T510" s="153" t="n"/>
      <c r="U510" s="153" t="n"/>
      <c r="V510" s="153" t="n"/>
      <c r="W510" s="153" t="n"/>
      <c r="X510" s="153" t="n"/>
      <c r="Y510" s="153" t="n"/>
      <c r="Z510" s="153" t="n"/>
    </row>
    <row r="511" ht="15.75" customHeight="1" s="154">
      <c r="G511" s="153" t="n"/>
      <c r="H511" s="153" t="n"/>
      <c r="I511" s="153" t="n"/>
      <c r="J511" s="153" t="n"/>
      <c r="K511" s="153" t="n"/>
      <c r="L511" s="153" t="n"/>
      <c r="M511" s="153" t="n"/>
      <c r="N511" s="153" t="n"/>
      <c r="O511" s="153" t="n"/>
      <c r="P511" s="153" t="n"/>
      <c r="Q511" s="153" t="n"/>
      <c r="R511" s="153" t="n"/>
      <c r="S511" s="153" t="n"/>
      <c r="T511" s="153" t="n"/>
      <c r="U511" s="153" t="n"/>
      <c r="V511" s="153" t="n"/>
      <c r="W511" s="153" t="n"/>
      <c r="X511" s="153" t="n"/>
      <c r="Y511" s="153" t="n"/>
      <c r="Z511" s="153" t="n"/>
    </row>
    <row r="512" ht="15.75" customHeight="1" s="154">
      <c r="G512" s="153" t="n"/>
      <c r="H512" s="153" t="n"/>
      <c r="I512" s="153" t="n"/>
      <c r="J512" s="153" t="n"/>
      <c r="K512" s="153" t="n"/>
      <c r="L512" s="153" t="n"/>
      <c r="M512" s="153" t="n"/>
      <c r="N512" s="153" t="n"/>
      <c r="O512" s="153" t="n"/>
      <c r="P512" s="153" t="n"/>
      <c r="Q512" s="153" t="n"/>
      <c r="R512" s="153" t="n"/>
      <c r="S512" s="153" t="n"/>
      <c r="T512" s="153" t="n"/>
      <c r="U512" s="153" t="n"/>
      <c r="V512" s="153" t="n"/>
      <c r="W512" s="153" t="n"/>
      <c r="X512" s="153" t="n"/>
      <c r="Y512" s="153" t="n"/>
      <c r="Z512" s="153" t="n"/>
    </row>
    <row r="513" ht="15.75" customHeight="1" s="154">
      <c r="G513" s="153" t="n"/>
      <c r="H513" s="153" t="n"/>
      <c r="I513" s="153" t="n"/>
      <c r="J513" s="153" t="n"/>
      <c r="K513" s="153" t="n"/>
      <c r="L513" s="153" t="n"/>
      <c r="M513" s="153" t="n"/>
      <c r="N513" s="153" t="n"/>
      <c r="O513" s="153" t="n"/>
      <c r="P513" s="153" t="n"/>
      <c r="Q513" s="153" t="n"/>
      <c r="R513" s="153" t="n"/>
      <c r="S513" s="153" t="n"/>
      <c r="T513" s="153" t="n"/>
      <c r="U513" s="153" t="n"/>
      <c r="V513" s="153" t="n"/>
      <c r="W513" s="153" t="n"/>
      <c r="X513" s="153" t="n"/>
      <c r="Y513" s="153" t="n"/>
      <c r="Z513" s="153" t="n"/>
    </row>
    <row r="514" ht="15.75" customHeight="1" s="154">
      <c r="G514" s="153" t="n"/>
      <c r="H514" s="153" t="n"/>
      <c r="I514" s="153" t="n"/>
      <c r="J514" s="153" t="n"/>
      <c r="K514" s="153" t="n"/>
      <c r="L514" s="153" t="n"/>
      <c r="M514" s="153" t="n"/>
      <c r="N514" s="153" t="n"/>
      <c r="O514" s="153" t="n"/>
      <c r="P514" s="153" t="n"/>
      <c r="Q514" s="153" t="n"/>
      <c r="R514" s="153" t="n"/>
      <c r="S514" s="153" t="n"/>
      <c r="T514" s="153" t="n"/>
      <c r="U514" s="153" t="n"/>
      <c r="V514" s="153" t="n"/>
      <c r="W514" s="153" t="n"/>
      <c r="X514" s="153" t="n"/>
      <c r="Y514" s="153" t="n"/>
      <c r="Z514" s="153" t="n"/>
    </row>
    <row r="515" ht="15.75" customHeight="1" s="154">
      <c r="G515" s="153" t="n"/>
      <c r="H515" s="153" t="n"/>
      <c r="I515" s="153" t="n"/>
      <c r="J515" s="153" t="n"/>
      <c r="K515" s="153" t="n"/>
      <c r="L515" s="153" t="n"/>
      <c r="M515" s="153" t="n"/>
      <c r="N515" s="153" t="n"/>
      <c r="O515" s="153" t="n"/>
      <c r="P515" s="153" t="n"/>
      <c r="Q515" s="153" t="n"/>
      <c r="R515" s="153" t="n"/>
      <c r="S515" s="153" t="n"/>
      <c r="T515" s="153" t="n"/>
      <c r="U515" s="153" t="n"/>
      <c r="V515" s="153" t="n"/>
      <c r="W515" s="153" t="n"/>
      <c r="X515" s="153" t="n"/>
      <c r="Y515" s="153" t="n"/>
      <c r="Z515" s="153" t="n"/>
    </row>
    <row r="516" ht="15.75" customHeight="1" s="154">
      <c r="G516" s="153" t="n"/>
      <c r="H516" s="153" t="n"/>
      <c r="I516" s="153" t="n"/>
      <c r="J516" s="153" t="n"/>
      <c r="K516" s="153" t="n"/>
      <c r="L516" s="153" t="n"/>
      <c r="M516" s="153" t="n"/>
      <c r="N516" s="153" t="n"/>
      <c r="O516" s="153" t="n"/>
      <c r="P516" s="153" t="n"/>
      <c r="Q516" s="153" t="n"/>
      <c r="R516" s="153" t="n"/>
      <c r="S516" s="153" t="n"/>
      <c r="T516" s="153" t="n"/>
      <c r="U516" s="153" t="n"/>
      <c r="V516" s="153" t="n"/>
      <c r="W516" s="153" t="n"/>
      <c r="X516" s="153" t="n"/>
      <c r="Y516" s="153" t="n"/>
      <c r="Z516" s="153" t="n"/>
    </row>
    <row r="517" ht="15.75" customHeight="1" s="154">
      <c r="G517" s="153" t="n"/>
      <c r="H517" s="153" t="n"/>
      <c r="I517" s="153" t="n"/>
      <c r="J517" s="153" t="n"/>
      <c r="K517" s="153" t="n"/>
      <c r="L517" s="153" t="n"/>
      <c r="M517" s="153" t="n"/>
      <c r="N517" s="153" t="n"/>
      <c r="O517" s="153" t="n"/>
      <c r="P517" s="153" t="n"/>
      <c r="Q517" s="153" t="n"/>
      <c r="R517" s="153" t="n"/>
      <c r="S517" s="153" t="n"/>
      <c r="T517" s="153" t="n"/>
      <c r="U517" s="153" t="n"/>
      <c r="V517" s="153" t="n"/>
      <c r="W517" s="153" t="n"/>
      <c r="X517" s="153" t="n"/>
      <c r="Y517" s="153" t="n"/>
      <c r="Z517" s="153" t="n"/>
    </row>
    <row r="518" ht="15.75" customHeight="1" s="154">
      <c r="G518" s="153" t="n"/>
      <c r="H518" s="153" t="n"/>
      <c r="I518" s="153" t="n"/>
      <c r="J518" s="153" t="n"/>
      <c r="K518" s="153" t="n"/>
      <c r="L518" s="153" t="n"/>
      <c r="M518" s="153" t="n"/>
      <c r="N518" s="153" t="n"/>
      <c r="O518" s="153" t="n"/>
      <c r="P518" s="153" t="n"/>
      <c r="Q518" s="153" t="n"/>
      <c r="R518" s="153" t="n"/>
      <c r="S518" s="153" t="n"/>
      <c r="T518" s="153" t="n"/>
      <c r="U518" s="153" t="n"/>
      <c r="V518" s="153" t="n"/>
      <c r="W518" s="153" t="n"/>
      <c r="X518" s="153" t="n"/>
      <c r="Y518" s="153" t="n"/>
      <c r="Z518" s="153" t="n"/>
    </row>
    <row r="519" ht="15.75" customHeight="1" s="154">
      <c r="G519" s="153" t="n"/>
      <c r="H519" s="153" t="n"/>
      <c r="I519" s="153" t="n"/>
      <c r="J519" s="153" t="n"/>
      <c r="K519" s="153" t="n"/>
      <c r="L519" s="153" t="n"/>
      <c r="M519" s="153" t="n"/>
      <c r="N519" s="153" t="n"/>
      <c r="O519" s="153" t="n"/>
      <c r="P519" s="153" t="n"/>
      <c r="Q519" s="153" t="n"/>
      <c r="R519" s="153" t="n"/>
      <c r="S519" s="153" t="n"/>
      <c r="T519" s="153" t="n"/>
      <c r="U519" s="153" t="n"/>
      <c r="V519" s="153" t="n"/>
      <c r="W519" s="153" t="n"/>
      <c r="X519" s="153" t="n"/>
      <c r="Y519" s="153" t="n"/>
      <c r="Z519" s="153" t="n"/>
    </row>
    <row r="520" ht="15.75" customHeight="1" s="154">
      <c r="G520" s="153" t="n"/>
      <c r="H520" s="153" t="n"/>
      <c r="I520" s="153" t="n"/>
      <c r="J520" s="153" t="n"/>
      <c r="K520" s="153" t="n"/>
      <c r="L520" s="153" t="n"/>
      <c r="M520" s="153" t="n"/>
      <c r="N520" s="153" t="n"/>
      <c r="O520" s="153" t="n"/>
      <c r="P520" s="153" t="n"/>
      <c r="Q520" s="153" t="n"/>
      <c r="R520" s="153" t="n"/>
      <c r="S520" s="153" t="n"/>
      <c r="T520" s="153" t="n"/>
      <c r="U520" s="153" t="n"/>
      <c r="V520" s="153" t="n"/>
      <c r="W520" s="153" t="n"/>
      <c r="X520" s="153" t="n"/>
      <c r="Y520" s="153" t="n"/>
      <c r="Z520" s="153" t="n"/>
    </row>
    <row r="521" ht="15.75" customHeight="1" s="154">
      <c r="G521" s="153" t="n"/>
      <c r="H521" s="153" t="n"/>
      <c r="I521" s="153" t="n"/>
      <c r="J521" s="153" t="n"/>
      <c r="K521" s="153" t="n"/>
      <c r="L521" s="153" t="n"/>
      <c r="M521" s="153" t="n"/>
      <c r="N521" s="153" t="n"/>
      <c r="O521" s="153" t="n"/>
      <c r="P521" s="153" t="n"/>
      <c r="Q521" s="153" t="n"/>
      <c r="R521" s="153" t="n"/>
      <c r="S521" s="153" t="n"/>
      <c r="T521" s="153" t="n"/>
      <c r="U521" s="153" t="n"/>
      <c r="V521" s="153" t="n"/>
      <c r="W521" s="153" t="n"/>
      <c r="X521" s="153" t="n"/>
      <c r="Y521" s="153" t="n"/>
      <c r="Z521" s="153" t="n"/>
    </row>
    <row r="522" ht="15.75" customHeight="1" s="154">
      <c r="G522" s="153" t="n"/>
      <c r="H522" s="153" t="n"/>
      <c r="I522" s="153" t="n"/>
      <c r="J522" s="153" t="n"/>
      <c r="K522" s="153" t="n"/>
      <c r="L522" s="153" t="n"/>
      <c r="M522" s="153" t="n"/>
      <c r="N522" s="153" t="n"/>
      <c r="O522" s="153" t="n"/>
      <c r="P522" s="153" t="n"/>
      <c r="Q522" s="153" t="n"/>
      <c r="R522" s="153" t="n"/>
      <c r="S522" s="153" t="n"/>
      <c r="T522" s="153" t="n"/>
      <c r="U522" s="153" t="n"/>
      <c r="V522" s="153" t="n"/>
      <c r="W522" s="153" t="n"/>
      <c r="X522" s="153" t="n"/>
      <c r="Y522" s="153" t="n"/>
      <c r="Z522" s="153" t="n"/>
    </row>
    <row r="523" ht="15.75" customHeight="1" s="154">
      <c r="G523" s="153" t="n"/>
      <c r="H523" s="153" t="n"/>
      <c r="I523" s="153" t="n"/>
      <c r="J523" s="153" t="n"/>
      <c r="K523" s="153" t="n"/>
      <c r="L523" s="153" t="n"/>
      <c r="M523" s="153" t="n"/>
      <c r="N523" s="153" t="n"/>
      <c r="O523" s="153" t="n"/>
      <c r="P523" s="153" t="n"/>
      <c r="Q523" s="153" t="n"/>
      <c r="R523" s="153" t="n"/>
      <c r="S523" s="153" t="n"/>
      <c r="T523" s="153" t="n"/>
      <c r="U523" s="153" t="n"/>
      <c r="V523" s="153" t="n"/>
      <c r="W523" s="153" t="n"/>
      <c r="X523" s="153" t="n"/>
      <c r="Y523" s="153" t="n"/>
      <c r="Z523" s="153" t="n"/>
    </row>
    <row r="524" ht="15.75" customHeight="1" s="154">
      <c r="G524" s="153" t="n"/>
      <c r="H524" s="153" t="n"/>
      <c r="I524" s="153" t="n"/>
      <c r="J524" s="153" t="n"/>
      <c r="K524" s="153" t="n"/>
      <c r="L524" s="153" t="n"/>
      <c r="M524" s="153" t="n"/>
      <c r="N524" s="153" t="n"/>
      <c r="O524" s="153" t="n"/>
      <c r="P524" s="153" t="n"/>
      <c r="Q524" s="153" t="n"/>
      <c r="R524" s="153" t="n"/>
      <c r="S524" s="153" t="n"/>
      <c r="T524" s="153" t="n"/>
      <c r="U524" s="153" t="n"/>
      <c r="V524" s="153" t="n"/>
      <c r="W524" s="153" t="n"/>
      <c r="X524" s="153" t="n"/>
      <c r="Y524" s="153" t="n"/>
      <c r="Z524" s="153" t="n"/>
    </row>
    <row r="525" ht="15.75" customHeight="1" s="154">
      <c r="G525" s="153" t="n"/>
      <c r="H525" s="153" t="n"/>
      <c r="I525" s="153" t="n"/>
      <c r="J525" s="153" t="n"/>
      <c r="K525" s="153" t="n"/>
      <c r="L525" s="153" t="n"/>
      <c r="M525" s="153" t="n"/>
      <c r="N525" s="153" t="n"/>
      <c r="O525" s="153" t="n"/>
      <c r="P525" s="153" t="n"/>
      <c r="Q525" s="153" t="n"/>
      <c r="R525" s="153" t="n"/>
      <c r="S525" s="153" t="n"/>
      <c r="T525" s="153" t="n"/>
      <c r="U525" s="153" t="n"/>
      <c r="V525" s="153" t="n"/>
      <c r="W525" s="153" t="n"/>
      <c r="X525" s="153" t="n"/>
      <c r="Y525" s="153" t="n"/>
      <c r="Z525" s="153" t="n"/>
    </row>
    <row r="526" ht="15.75" customHeight="1" s="154">
      <c r="G526" s="153" t="n"/>
      <c r="H526" s="153" t="n"/>
      <c r="I526" s="153" t="n"/>
      <c r="J526" s="153" t="n"/>
      <c r="K526" s="153" t="n"/>
      <c r="L526" s="153" t="n"/>
      <c r="M526" s="153" t="n"/>
      <c r="N526" s="153" t="n"/>
      <c r="O526" s="153" t="n"/>
      <c r="P526" s="153" t="n"/>
      <c r="Q526" s="153" t="n"/>
      <c r="R526" s="153" t="n"/>
      <c r="S526" s="153" t="n"/>
      <c r="T526" s="153" t="n"/>
      <c r="U526" s="153" t="n"/>
      <c r="V526" s="153" t="n"/>
      <c r="W526" s="153" t="n"/>
      <c r="X526" s="153" t="n"/>
      <c r="Y526" s="153" t="n"/>
      <c r="Z526" s="153" t="n"/>
    </row>
    <row r="527" ht="15.75" customHeight="1" s="154">
      <c r="G527" s="153" t="n"/>
      <c r="H527" s="153" t="n"/>
      <c r="I527" s="153" t="n"/>
      <c r="J527" s="153" t="n"/>
      <c r="K527" s="153" t="n"/>
      <c r="L527" s="153" t="n"/>
      <c r="M527" s="153" t="n"/>
      <c r="N527" s="153" t="n"/>
      <c r="O527" s="153" t="n"/>
      <c r="P527" s="153" t="n"/>
      <c r="Q527" s="153" t="n"/>
      <c r="R527" s="153" t="n"/>
      <c r="S527" s="153" t="n"/>
      <c r="T527" s="153" t="n"/>
      <c r="U527" s="153" t="n"/>
      <c r="V527" s="153" t="n"/>
      <c r="W527" s="153" t="n"/>
      <c r="X527" s="153" t="n"/>
      <c r="Y527" s="153" t="n"/>
      <c r="Z527" s="153" t="n"/>
    </row>
    <row r="528" ht="15.75" customHeight="1" s="154">
      <c r="G528" s="153" t="n"/>
      <c r="H528" s="153" t="n"/>
      <c r="I528" s="153" t="n"/>
      <c r="J528" s="153" t="n"/>
      <c r="K528" s="153" t="n"/>
      <c r="L528" s="153" t="n"/>
      <c r="M528" s="153" t="n"/>
      <c r="N528" s="153" t="n"/>
      <c r="O528" s="153" t="n"/>
      <c r="P528" s="153" t="n"/>
      <c r="Q528" s="153" t="n"/>
      <c r="R528" s="153" t="n"/>
      <c r="S528" s="153" t="n"/>
      <c r="T528" s="153" t="n"/>
      <c r="U528" s="153" t="n"/>
      <c r="V528" s="153" t="n"/>
      <c r="W528" s="153" t="n"/>
      <c r="X528" s="153" t="n"/>
      <c r="Y528" s="153" t="n"/>
      <c r="Z528" s="153" t="n"/>
    </row>
    <row r="529" ht="15.75" customHeight="1" s="154">
      <c r="G529" s="153" t="n"/>
      <c r="H529" s="153" t="n"/>
      <c r="I529" s="153" t="n"/>
      <c r="J529" s="153" t="n"/>
      <c r="K529" s="153" t="n"/>
      <c r="L529" s="153" t="n"/>
      <c r="M529" s="153" t="n"/>
      <c r="N529" s="153" t="n"/>
      <c r="O529" s="153" t="n"/>
      <c r="P529" s="153" t="n"/>
      <c r="Q529" s="153" t="n"/>
      <c r="R529" s="153" t="n"/>
      <c r="S529" s="153" t="n"/>
      <c r="T529" s="153" t="n"/>
      <c r="U529" s="153" t="n"/>
      <c r="V529" s="153" t="n"/>
      <c r="W529" s="153" t="n"/>
      <c r="X529" s="153" t="n"/>
      <c r="Y529" s="153" t="n"/>
      <c r="Z529" s="153" t="n"/>
    </row>
    <row r="530" ht="15.75" customHeight="1" s="154">
      <c r="G530" s="153" t="n"/>
      <c r="H530" s="153" t="n"/>
      <c r="I530" s="153" t="n"/>
      <c r="J530" s="153" t="n"/>
      <c r="K530" s="153" t="n"/>
      <c r="L530" s="153" t="n"/>
      <c r="M530" s="153" t="n"/>
      <c r="N530" s="153" t="n"/>
      <c r="O530" s="153" t="n"/>
      <c r="P530" s="153" t="n"/>
      <c r="Q530" s="153" t="n"/>
      <c r="R530" s="153" t="n"/>
      <c r="S530" s="153" t="n"/>
      <c r="T530" s="153" t="n"/>
      <c r="U530" s="153" t="n"/>
      <c r="V530" s="153" t="n"/>
      <c r="W530" s="153" t="n"/>
      <c r="X530" s="153" t="n"/>
      <c r="Y530" s="153" t="n"/>
      <c r="Z530" s="153" t="n"/>
    </row>
    <row r="531" ht="15.75" customHeight="1" s="154">
      <c r="G531" s="153" t="n"/>
      <c r="H531" s="153" t="n"/>
      <c r="I531" s="153" t="n"/>
      <c r="J531" s="153" t="n"/>
      <c r="K531" s="153" t="n"/>
      <c r="L531" s="153" t="n"/>
      <c r="M531" s="153" t="n"/>
      <c r="N531" s="153" t="n"/>
      <c r="O531" s="153" t="n"/>
      <c r="P531" s="153" t="n"/>
      <c r="Q531" s="153" t="n"/>
      <c r="R531" s="153" t="n"/>
      <c r="S531" s="153" t="n"/>
      <c r="T531" s="153" t="n"/>
      <c r="U531" s="153" t="n"/>
      <c r="V531" s="153" t="n"/>
      <c r="W531" s="153" t="n"/>
      <c r="X531" s="153" t="n"/>
      <c r="Y531" s="153" t="n"/>
      <c r="Z531" s="153" t="n"/>
    </row>
    <row r="532" ht="15.75" customHeight="1" s="154">
      <c r="G532" s="153" t="n"/>
      <c r="H532" s="153" t="n"/>
      <c r="I532" s="153" t="n"/>
      <c r="J532" s="153" t="n"/>
      <c r="K532" s="153" t="n"/>
      <c r="L532" s="153" t="n"/>
      <c r="M532" s="153" t="n"/>
      <c r="N532" s="153" t="n"/>
      <c r="O532" s="153" t="n"/>
      <c r="P532" s="153" t="n"/>
      <c r="Q532" s="153" t="n"/>
      <c r="R532" s="153" t="n"/>
      <c r="S532" s="153" t="n"/>
      <c r="T532" s="153" t="n"/>
      <c r="U532" s="153" t="n"/>
      <c r="V532" s="153" t="n"/>
      <c r="W532" s="153" t="n"/>
      <c r="X532" s="153" t="n"/>
      <c r="Y532" s="153" t="n"/>
      <c r="Z532" s="153" t="n"/>
    </row>
    <row r="533" ht="15.75" customHeight="1" s="154">
      <c r="G533" s="153" t="n"/>
      <c r="H533" s="153" t="n"/>
      <c r="I533" s="153" t="n"/>
      <c r="J533" s="153" t="n"/>
      <c r="K533" s="153" t="n"/>
      <c r="L533" s="153" t="n"/>
      <c r="M533" s="153" t="n"/>
      <c r="N533" s="153" t="n"/>
      <c r="O533" s="153" t="n"/>
      <c r="P533" s="153" t="n"/>
      <c r="Q533" s="153" t="n"/>
      <c r="R533" s="153" t="n"/>
      <c r="S533" s="153" t="n"/>
      <c r="T533" s="153" t="n"/>
      <c r="U533" s="153" t="n"/>
      <c r="V533" s="153" t="n"/>
      <c r="W533" s="153" t="n"/>
      <c r="X533" s="153" t="n"/>
      <c r="Y533" s="153" t="n"/>
      <c r="Z533" s="153" t="n"/>
    </row>
    <row r="534" ht="15.75" customHeight="1" s="154">
      <c r="G534" s="153" t="n"/>
      <c r="H534" s="153" t="n"/>
      <c r="I534" s="153" t="n"/>
      <c r="J534" s="153" t="n"/>
      <c r="K534" s="153" t="n"/>
      <c r="L534" s="153" t="n"/>
      <c r="M534" s="153" t="n"/>
      <c r="N534" s="153" t="n"/>
      <c r="O534" s="153" t="n"/>
      <c r="P534" s="153" t="n"/>
      <c r="Q534" s="153" t="n"/>
      <c r="R534" s="153" t="n"/>
      <c r="S534" s="153" t="n"/>
      <c r="T534" s="153" t="n"/>
      <c r="U534" s="153" t="n"/>
      <c r="V534" s="153" t="n"/>
      <c r="W534" s="153" t="n"/>
      <c r="X534" s="153" t="n"/>
      <c r="Y534" s="153" t="n"/>
      <c r="Z534" s="153" t="n"/>
    </row>
    <row r="535" ht="15.75" customHeight="1" s="154">
      <c r="G535" s="153" t="n"/>
      <c r="H535" s="153" t="n"/>
      <c r="I535" s="153" t="n"/>
      <c r="J535" s="153" t="n"/>
      <c r="K535" s="153" t="n"/>
      <c r="L535" s="153" t="n"/>
      <c r="M535" s="153" t="n"/>
      <c r="N535" s="153" t="n"/>
      <c r="O535" s="153" t="n"/>
      <c r="P535" s="153" t="n"/>
      <c r="Q535" s="153" t="n"/>
      <c r="R535" s="153" t="n"/>
      <c r="S535" s="153" t="n"/>
      <c r="T535" s="153" t="n"/>
      <c r="U535" s="153" t="n"/>
      <c r="V535" s="153" t="n"/>
      <c r="W535" s="153" t="n"/>
      <c r="X535" s="153" t="n"/>
      <c r="Y535" s="153" t="n"/>
      <c r="Z535" s="153" t="n"/>
    </row>
    <row r="536" ht="15.75" customHeight="1" s="154">
      <c r="G536" s="153" t="n"/>
      <c r="H536" s="153" t="n"/>
      <c r="I536" s="153" t="n"/>
      <c r="J536" s="153" t="n"/>
      <c r="K536" s="153" t="n"/>
      <c r="L536" s="153" t="n"/>
      <c r="M536" s="153" t="n"/>
      <c r="N536" s="153" t="n"/>
      <c r="O536" s="153" t="n"/>
      <c r="P536" s="153" t="n"/>
      <c r="Q536" s="153" t="n"/>
      <c r="R536" s="153" t="n"/>
      <c r="S536" s="153" t="n"/>
      <c r="T536" s="153" t="n"/>
      <c r="U536" s="153" t="n"/>
      <c r="V536" s="153" t="n"/>
      <c r="W536" s="153" t="n"/>
      <c r="X536" s="153" t="n"/>
      <c r="Y536" s="153" t="n"/>
      <c r="Z536" s="153" t="n"/>
    </row>
    <row r="537" ht="15.75" customHeight="1" s="154">
      <c r="G537" s="153" t="n"/>
      <c r="H537" s="153" t="n"/>
      <c r="I537" s="153" t="n"/>
      <c r="J537" s="153" t="n"/>
      <c r="K537" s="153" t="n"/>
      <c r="L537" s="153" t="n"/>
      <c r="M537" s="153" t="n"/>
      <c r="N537" s="153" t="n"/>
      <c r="O537" s="153" t="n"/>
      <c r="P537" s="153" t="n"/>
      <c r="Q537" s="153" t="n"/>
      <c r="R537" s="153" t="n"/>
      <c r="S537" s="153" t="n"/>
      <c r="T537" s="153" t="n"/>
      <c r="U537" s="153" t="n"/>
      <c r="V537" s="153" t="n"/>
      <c r="W537" s="153" t="n"/>
      <c r="X537" s="153" t="n"/>
      <c r="Y537" s="153" t="n"/>
      <c r="Z537" s="153" t="n"/>
    </row>
    <row r="538" ht="15.75" customHeight="1" s="154">
      <c r="G538" s="153" t="n"/>
      <c r="H538" s="153" t="n"/>
      <c r="I538" s="153" t="n"/>
      <c r="J538" s="153" t="n"/>
      <c r="K538" s="153" t="n"/>
      <c r="L538" s="153" t="n"/>
      <c r="M538" s="153" t="n"/>
      <c r="N538" s="153" t="n"/>
      <c r="O538" s="153" t="n"/>
      <c r="P538" s="153" t="n"/>
      <c r="Q538" s="153" t="n"/>
      <c r="R538" s="153" t="n"/>
      <c r="S538" s="153" t="n"/>
      <c r="T538" s="153" t="n"/>
      <c r="U538" s="153" t="n"/>
      <c r="V538" s="153" t="n"/>
      <c r="W538" s="153" t="n"/>
      <c r="X538" s="153" t="n"/>
      <c r="Y538" s="153" t="n"/>
      <c r="Z538" s="153" t="n"/>
    </row>
    <row r="539" ht="15.75" customHeight="1" s="154">
      <c r="G539" s="153" t="n"/>
      <c r="H539" s="153" t="n"/>
      <c r="I539" s="153" t="n"/>
      <c r="J539" s="153" t="n"/>
      <c r="K539" s="153" t="n"/>
      <c r="L539" s="153" t="n"/>
      <c r="M539" s="153" t="n"/>
      <c r="N539" s="153" t="n"/>
      <c r="O539" s="153" t="n"/>
      <c r="P539" s="153" t="n"/>
      <c r="Q539" s="153" t="n"/>
      <c r="R539" s="153" t="n"/>
      <c r="S539" s="153" t="n"/>
      <c r="T539" s="153" t="n"/>
      <c r="U539" s="153" t="n"/>
      <c r="V539" s="153" t="n"/>
      <c r="W539" s="153" t="n"/>
      <c r="X539" s="153" t="n"/>
      <c r="Y539" s="153" t="n"/>
      <c r="Z539" s="153" t="n"/>
    </row>
    <row r="540" ht="15.75" customHeight="1" s="154">
      <c r="G540" s="153" t="n"/>
      <c r="H540" s="153" t="n"/>
      <c r="I540" s="153" t="n"/>
      <c r="J540" s="153" t="n"/>
      <c r="K540" s="153" t="n"/>
      <c r="L540" s="153" t="n"/>
      <c r="M540" s="153" t="n"/>
      <c r="N540" s="153" t="n"/>
      <c r="O540" s="153" t="n"/>
      <c r="P540" s="153" t="n"/>
      <c r="Q540" s="153" t="n"/>
      <c r="R540" s="153" t="n"/>
      <c r="S540" s="153" t="n"/>
      <c r="T540" s="153" t="n"/>
      <c r="U540" s="153" t="n"/>
      <c r="V540" s="153" t="n"/>
      <c r="W540" s="153" t="n"/>
      <c r="X540" s="153" t="n"/>
      <c r="Y540" s="153" t="n"/>
      <c r="Z540" s="153" t="n"/>
    </row>
    <row r="541" ht="15.75" customHeight="1" s="154">
      <c r="G541" s="153" t="n"/>
      <c r="H541" s="153" t="n"/>
      <c r="I541" s="153" t="n"/>
      <c r="J541" s="153" t="n"/>
      <c r="K541" s="153" t="n"/>
      <c r="L541" s="153" t="n"/>
      <c r="M541" s="153" t="n"/>
      <c r="N541" s="153" t="n"/>
      <c r="O541" s="153" t="n"/>
      <c r="P541" s="153" t="n"/>
      <c r="Q541" s="153" t="n"/>
      <c r="R541" s="153" t="n"/>
      <c r="S541" s="153" t="n"/>
      <c r="T541" s="153" t="n"/>
      <c r="U541" s="153" t="n"/>
      <c r="V541" s="153" t="n"/>
      <c r="W541" s="153" t="n"/>
      <c r="X541" s="153" t="n"/>
      <c r="Y541" s="153" t="n"/>
      <c r="Z541" s="153" t="n"/>
    </row>
    <row r="542" ht="15.75" customHeight="1" s="154">
      <c r="G542" s="153" t="n"/>
      <c r="H542" s="153" t="n"/>
      <c r="I542" s="153" t="n"/>
      <c r="J542" s="153" t="n"/>
      <c r="K542" s="153" t="n"/>
      <c r="L542" s="153" t="n"/>
      <c r="M542" s="153" t="n"/>
      <c r="N542" s="153" t="n"/>
      <c r="O542" s="153" t="n"/>
      <c r="P542" s="153" t="n"/>
      <c r="Q542" s="153" t="n"/>
      <c r="R542" s="153" t="n"/>
      <c r="S542" s="153" t="n"/>
      <c r="T542" s="153" t="n"/>
      <c r="U542" s="153" t="n"/>
      <c r="V542" s="153" t="n"/>
      <c r="W542" s="153" t="n"/>
      <c r="X542" s="153" t="n"/>
      <c r="Y542" s="153" t="n"/>
      <c r="Z542" s="153" t="n"/>
    </row>
    <row r="543" ht="15.75" customHeight="1" s="154">
      <c r="G543" s="153" t="n"/>
      <c r="H543" s="153" t="n"/>
      <c r="I543" s="153" t="n"/>
      <c r="J543" s="153" t="n"/>
      <c r="K543" s="153" t="n"/>
      <c r="L543" s="153" t="n"/>
      <c r="M543" s="153" t="n"/>
      <c r="N543" s="153" t="n"/>
      <c r="O543" s="153" t="n"/>
      <c r="P543" s="153" t="n"/>
      <c r="Q543" s="153" t="n"/>
      <c r="R543" s="153" t="n"/>
      <c r="S543" s="153" t="n"/>
      <c r="T543" s="153" t="n"/>
      <c r="U543" s="153" t="n"/>
      <c r="V543" s="153" t="n"/>
      <c r="W543" s="153" t="n"/>
      <c r="X543" s="153" t="n"/>
      <c r="Y543" s="153" t="n"/>
      <c r="Z543" s="153" t="n"/>
    </row>
    <row r="544" ht="15.75" customHeight="1" s="154">
      <c r="G544" s="153" t="n"/>
      <c r="H544" s="153" t="n"/>
      <c r="I544" s="153" t="n"/>
      <c r="J544" s="153" t="n"/>
      <c r="K544" s="153" t="n"/>
      <c r="L544" s="153" t="n"/>
      <c r="M544" s="153" t="n"/>
      <c r="N544" s="153" t="n"/>
      <c r="O544" s="153" t="n"/>
      <c r="P544" s="153" t="n"/>
      <c r="Q544" s="153" t="n"/>
      <c r="R544" s="153" t="n"/>
      <c r="S544" s="153" t="n"/>
      <c r="T544" s="153" t="n"/>
      <c r="U544" s="153" t="n"/>
      <c r="V544" s="153" t="n"/>
      <c r="W544" s="153" t="n"/>
      <c r="X544" s="153" t="n"/>
      <c r="Y544" s="153" t="n"/>
      <c r="Z544" s="153" t="n"/>
    </row>
    <row r="545" ht="15.75" customHeight="1" s="154">
      <c r="G545" s="153" t="n"/>
      <c r="H545" s="153" t="n"/>
      <c r="I545" s="153" t="n"/>
      <c r="J545" s="153" t="n"/>
      <c r="K545" s="153" t="n"/>
      <c r="L545" s="153" t="n"/>
      <c r="M545" s="153" t="n"/>
      <c r="N545" s="153" t="n"/>
      <c r="O545" s="153" t="n"/>
      <c r="P545" s="153" t="n"/>
      <c r="Q545" s="153" t="n"/>
      <c r="R545" s="153" t="n"/>
      <c r="S545" s="153" t="n"/>
      <c r="T545" s="153" t="n"/>
      <c r="U545" s="153" t="n"/>
      <c r="V545" s="153" t="n"/>
      <c r="W545" s="153" t="n"/>
      <c r="X545" s="153" t="n"/>
      <c r="Y545" s="153" t="n"/>
      <c r="Z545" s="153" t="n"/>
    </row>
    <row r="546" ht="15.75" customHeight="1" s="154">
      <c r="G546" s="153" t="n"/>
      <c r="H546" s="153" t="n"/>
      <c r="I546" s="153" t="n"/>
      <c r="J546" s="153" t="n"/>
      <c r="K546" s="153" t="n"/>
      <c r="L546" s="153" t="n"/>
      <c r="M546" s="153" t="n"/>
      <c r="N546" s="153" t="n"/>
      <c r="O546" s="153" t="n"/>
      <c r="P546" s="153" t="n"/>
      <c r="Q546" s="153" t="n"/>
      <c r="R546" s="153" t="n"/>
      <c r="S546" s="153" t="n"/>
      <c r="T546" s="153" t="n"/>
      <c r="U546" s="153" t="n"/>
      <c r="V546" s="153" t="n"/>
      <c r="W546" s="153" t="n"/>
      <c r="X546" s="153" t="n"/>
      <c r="Y546" s="153" t="n"/>
      <c r="Z546" s="153" t="n"/>
    </row>
    <row r="547" ht="15.75" customHeight="1" s="154">
      <c r="G547" s="153" t="n"/>
      <c r="H547" s="153" t="n"/>
      <c r="I547" s="153" t="n"/>
      <c r="J547" s="153" t="n"/>
      <c r="K547" s="153" t="n"/>
      <c r="L547" s="153" t="n"/>
      <c r="M547" s="153" t="n"/>
      <c r="N547" s="153" t="n"/>
      <c r="O547" s="153" t="n"/>
      <c r="P547" s="153" t="n"/>
      <c r="Q547" s="153" t="n"/>
      <c r="R547" s="153" t="n"/>
      <c r="S547" s="153" t="n"/>
      <c r="T547" s="153" t="n"/>
      <c r="U547" s="153" t="n"/>
      <c r="V547" s="153" t="n"/>
      <c r="W547" s="153" t="n"/>
      <c r="X547" s="153" t="n"/>
      <c r="Y547" s="153" t="n"/>
      <c r="Z547" s="153" t="n"/>
    </row>
    <row r="548" ht="15.75" customHeight="1" s="154">
      <c r="G548" s="153" t="n"/>
      <c r="H548" s="153" t="n"/>
      <c r="I548" s="153" t="n"/>
      <c r="J548" s="153" t="n"/>
      <c r="K548" s="153" t="n"/>
      <c r="L548" s="153" t="n"/>
      <c r="M548" s="153" t="n"/>
      <c r="N548" s="153" t="n"/>
      <c r="O548" s="153" t="n"/>
      <c r="P548" s="153" t="n"/>
      <c r="Q548" s="153" t="n"/>
      <c r="R548" s="153" t="n"/>
      <c r="S548" s="153" t="n"/>
      <c r="T548" s="153" t="n"/>
      <c r="U548" s="153" t="n"/>
      <c r="V548" s="153" t="n"/>
      <c r="W548" s="153" t="n"/>
      <c r="X548" s="153" t="n"/>
      <c r="Y548" s="153" t="n"/>
      <c r="Z548" s="153" t="n"/>
    </row>
    <row r="549" ht="15.75" customHeight="1" s="154">
      <c r="G549" s="153" t="n"/>
      <c r="H549" s="153" t="n"/>
      <c r="I549" s="153" t="n"/>
      <c r="J549" s="153" t="n"/>
      <c r="K549" s="153" t="n"/>
      <c r="L549" s="153" t="n"/>
      <c r="M549" s="153" t="n"/>
      <c r="N549" s="153" t="n"/>
      <c r="O549" s="153" t="n"/>
      <c r="P549" s="153" t="n"/>
      <c r="Q549" s="153" t="n"/>
      <c r="R549" s="153" t="n"/>
      <c r="S549" s="153" t="n"/>
      <c r="T549" s="153" t="n"/>
      <c r="U549" s="153" t="n"/>
      <c r="V549" s="153" t="n"/>
      <c r="W549" s="153" t="n"/>
      <c r="X549" s="153" t="n"/>
      <c r="Y549" s="153" t="n"/>
      <c r="Z549" s="153" t="n"/>
    </row>
    <row r="550" ht="15.75" customHeight="1" s="154">
      <c r="G550" s="153" t="n"/>
      <c r="H550" s="153" t="n"/>
      <c r="I550" s="153" t="n"/>
      <c r="J550" s="153" t="n"/>
      <c r="K550" s="153" t="n"/>
      <c r="L550" s="153" t="n"/>
      <c r="M550" s="153" t="n"/>
      <c r="N550" s="153" t="n"/>
      <c r="O550" s="153" t="n"/>
      <c r="P550" s="153" t="n"/>
      <c r="Q550" s="153" t="n"/>
      <c r="R550" s="153" t="n"/>
      <c r="S550" s="153" t="n"/>
      <c r="T550" s="153" t="n"/>
      <c r="U550" s="153" t="n"/>
      <c r="V550" s="153" t="n"/>
      <c r="W550" s="153" t="n"/>
      <c r="X550" s="153" t="n"/>
      <c r="Y550" s="153" t="n"/>
      <c r="Z550" s="153" t="n"/>
    </row>
    <row r="551" ht="15.75" customHeight="1" s="154">
      <c r="G551" s="153" t="n"/>
      <c r="H551" s="153" t="n"/>
      <c r="I551" s="153" t="n"/>
      <c r="J551" s="153" t="n"/>
      <c r="K551" s="153" t="n"/>
      <c r="L551" s="153" t="n"/>
      <c r="M551" s="153" t="n"/>
      <c r="N551" s="153" t="n"/>
      <c r="O551" s="153" t="n"/>
      <c r="P551" s="153" t="n"/>
      <c r="Q551" s="153" t="n"/>
      <c r="R551" s="153" t="n"/>
      <c r="S551" s="153" t="n"/>
      <c r="T551" s="153" t="n"/>
      <c r="U551" s="153" t="n"/>
      <c r="V551" s="153" t="n"/>
      <c r="W551" s="153" t="n"/>
      <c r="X551" s="153" t="n"/>
      <c r="Y551" s="153" t="n"/>
      <c r="Z551" s="153" t="n"/>
    </row>
    <row r="552" ht="15.75" customHeight="1" s="154">
      <c r="G552" s="153" t="n"/>
      <c r="H552" s="153" t="n"/>
      <c r="I552" s="153" t="n"/>
      <c r="J552" s="153" t="n"/>
      <c r="K552" s="153" t="n"/>
      <c r="L552" s="153" t="n"/>
      <c r="M552" s="153" t="n"/>
      <c r="N552" s="153" t="n"/>
      <c r="O552" s="153" t="n"/>
      <c r="P552" s="153" t="n"/>
      <c r="Q552" s="153" t="n"/>
      <c r="R552" s="153" t="n"/>
      <c r="S552" s="153" t="n"/>
      <c r="T552" s="153" t="n"/>
      <c r="U552" s="153" t="n"/>
      <c r="V552" s="153" t="n"/>
      <c r="W552" s="153" t="n"/>
      <c r="X552" s="153" t="n"/>
      <c r="Y552" s="153" t="n"/>
      <c r="Z552" s="153" t="n"/>
    </row>
    <row r="553" ht="15.75" customHeight="1" s="154">
      <c r="G553" s="153" t="n"/>
      <c r="H553" s="153" t="n"/>
      <c r="I553" s="153" t="n"/>
      <c r="J553" s="153" t="n"/>
      <c r="K553" s="153" t="n"/>
      <c r="L553" s="153" t="n"/>
      <c r="M553" s="153" t="n"/>
      <c r="N553" s="153" t="n"/>
      <c r="O553" s="153" t="n"/>
      <c r="P553" s="153" t="n"/>
      <c r="Q553" s="153" t="n"/>
      <c r="R553" s="153" t="n"/>
      <c r="S553" s="153" t="n"/>
      <c r="T553" s="153" t="n"/>
      <c r="U553" s="153" t="n"/>
      <c r="V553" s="153" t="n"/>
      <c r="W553" s="153" t="n"/>
      <c r="X553" s="153" t="n"/>
      <c r="Y553" s="153" t="n"/>
      <c r="Z553" s="153" t="n"/>
    </row>
    <row r="554" ht="15.75" customHeight="1" s="154">
      <c r="G554" s="153" t="n"/>
      <c r="H554" s="153" t="n"/>
      <c r="I554" s="153" t="n"/>
      <c r="J554" s="153" t="n"/>
      <c r="K554" s="153" t="n"/>
      <c r="L554" s="153" t="n"/>
      <c r="M554" s="153" t="n"/>
      <c r="N554" s="153" t="n"/>
      <c r="O554" s="153" t="n"/>
      <c r="P554" s="153" t="n"/>
      <c r="Q554" s="153" t="n"/>
      <c r="R554" s="153" t="n"/>
      <c r="S554" s="153" t="n"/>
      <c r="T554" s="153" t="n"/>
      <c r="U554" s="153" t="n"/>
      <c r="V554" s="153" t="n"/>
      <c r="W554" s="153" t="n"/>
      <c r="X554" s="153" t="n"/>
      <c r="Y554" s="153" t="n"/>
      <c r="Z554" s="153" t="n"/>
    </row>
    <row r="555" ht="15.75" customHeight="1" s="154">
      <c r="G555" s="153" t="n"/>
      <c r="H555" s="153" t="n"/>
      <c r="I555" s="153" t="n"/>
      <c r="J555" s="153" t="n"/>
      <c r="K555" s="153" t="n"/>
      <c r="L555" s="153" t="n"/>
      <c r="M555" s="153" t="n"/>
      <c r="N555" s="153" t="n"/>
      <c r="O555" s="153" t="n"/>
      <c r="P555" s="153" t="n"/>
      <c r="Q555" s="153" t="n"/>
      <c r="R555" s="153" t="n"/>
      <c r="S555" s="153" t="n"/>
      <c r="T555" s="153" t="n"/>
      <c r="U555" s="153" t="n"/>
      <c r="V555" s="153" t="n"/>
      <c r="W555" s="153" t="n"/>
      <c r="X555" s="153" t="n"/>
      <c r="Y555" s="153" t="n"/>
      <c r="Z555" s="153" t="n"/>
    </row>
    <row r="556" ht="15.75" customHeight="1" s="154">
      <c r="G556" s="153" t="n"/>
      <c r="H556" s="153" t="n"/>
      <c r="I556" s="153" t="n"/>
      <c r="J556" s="153" t="n"/>
      <c r="K556" s="153" t="n"/>
      <c r="L556" s="153" t="n"/>
      <c r="M556" s="153" t="n"/>
      <c r="N556" s="153" t="n"/>
      <c r="O556" s="153" t="n"/>
      <c r="P556" s="153" t="n"/>
      <c r="Q556" s="153" t="n"/>
      <c r="R556" s="153" t="n"/>
      <c r="S556" s="153" t="n"/>
      <c r="T556" s="153" t="n"/>
      <c r="U556" s="153" t="n"/>
      <c r="V556" s="153" t="n"/>
      <c r="W556" s="153" t="n"/>
      <c r="X556" s="153" t="n"/>
      <c r="Y556" s="153" t="n"/>
      <c r="Z556" s="153" t="n"/>
    </row>
    <row r="557" ht="15.75" customHeight="1" s="154">
      <c r="G557" s="153" t="n"/>
      <c r="H557" s="153" t="n"/>
      <c r="I557" s="153" t="n"/>
      <c r="J557" s="153" t="n"/>
      <c r="K557" s="153" t="n"/>
      <c r="L557" s="153" t="n"/>
      <c r="M557" s="153" t="n"/>
      <c r="N557" s="153" t="n"/>
      <c r="O557" s="153" t="n"/>
      <c r="P557" s="153" t="n"/>
      <c r="Q557" s="153" t="n"/>
      <c r="R557" s="153" t="n"/>
      <c r="S557" s="153" t="n"/>
      <c r="T557" s="153" t="n"/>
      <c r="U557" s="153" t="n"/>
      <c r="V557" s="153" t="n"/>
      <c r="W557" s="153" t="n"/>
      <c r="X557" s="153" t="n"/>
      <c r="Y557" s="153" t="n"/>
      <c r="Z557" s="153" t="n"/>
    </row>
    <row r="558" ht="15.75" customHeight="1" s="154">
      <c r="G558" s="153" t="n"/>
      <c r="H558" s="153" t="n"/>
      <c r="I558" s="153" t="n"/>
      <c r="J558" s="153" t="n"/>
      <c r="K558" s="153" t="n"/>
      <c r="L558" s="153" t="n"/>
      <c r="M558" s="153" t="n"/>
      <c r="N558" s="153" t="n"/>
      <c r="O558" s="153" t="n"/>
      <c r="P558" s="153" t="n"/>
      <c r="Q558" s="153" t="n"/>
      <c r="R558" s="153" t="n"/>
      <c r="S558" s="153" t="n"/>
      <c r="T558" s="153" t="n"/>
      <c r="U558" s="153" t="n"/>
      <c r="V558" s="153" t="n"/>
      <c r="W558" s="153" t="n"/>
      <c r="X558" s="153" t="n"/>
      <c r="Y558" s="153" t="n"/>
      <c r="Z558" s="153" t="n"/>
    </row>
    <row r="559" ht="15.75" customHeight="1" s="154">
      <c r="G559" s="153" t="n"/>
      <c r="H559" s="153" t="n"/>
      <c r="I559" s="153" t="n"/>
      <c r="J559" s="153" t="n"/>
      <c r="K559" s="153" t="n"/>
      <c r="L559" s="153" t="n"/>
      <c r="M559" s="153" t="n"/>
      <c r="N559" s="153" t="n"/>
      <c r="O559" s="153" t="n"/>
      <c r="P559" s="153" t="n"/>
      <c r="Q559" s="153" t="n"/>
      <c r="R559" s="153" t="n"/>
      <c r="S559" s="153" t="n"/>
      <c r="T559" s="153" t="n"/>
      <c r="U559" s="153" t="n"/>
      <c r="V559" s="153" t="n"/>
      <c r="W559" s="153" t="n"/>
      <c r="X559" s="153" t="n"/>
      <c r="Y559" s="153" t="n"/>
      <c r="Z559" s="153" t="n"/>
    </row>
    <row r="560" ht="15.75" customHeight="1" s="154">
      <c r="G560" s="153" t="n"/>
      <c r="H560" s="153" t="n"/>
      <c r="I560" s="153" t="n"/>
      <c r="J560" s="153" t="n"/>
      <c r="K560" s="153" t="n"/>
      <c r="L560" s="153" t="n"/>
      <c r="M560" s="153" t="n"/>
      <c r="N560" s="153" t="n"/>
      <c r="O560" s="153" t="n"/>
      <c r="P560" s="153" t="n"/>
      <c r="Q560" s="153" t="n"/>
      <c r="R560" s="153" t="n"/>
      <c r="S560" s="153" t="n"/>
      <c r="T560" s="153" t="n"/>
      <c r="U560" s="153" t="n"/>
      <c r="V560" s="153" t="n"/>
      <c r="W560" s="153" t="n"/>
      <c r="X560" s="153" t="n"/>
      <c r="Y560" s="153" t="n"/>
      <c r="Z560" s="153" t="n"/>
    </row>
    <row r="561" ht="15.75" customHeight="1" s="154">
      <c r="G561" s="153" t="n"/>
      <c r="H561" s="153" t="n"/>
      <c r="I561" s="153" t="n"/>
      <c r="J561" s="153" t="n"/>
      <c r="K561" s="153" t="n"/>
      <c r="L561" s="153" t="n"/>
      <c r="M561" s="153" t="n"/>
      <c r="N561" s="153" t="n"/>
      <c r="O561" s="153" t="n"/>
      <c r="P561" s="153" t="n"/>
      <c r="Q561" s="153" t="n"/>
      <c r="R561" s="153" t="n"/>
      <c r="S561" s="153" t="n"/>
      <c r="T561" s="153" t="n"/>
      <c r="U561" s="153" t="n"/>
      <c r="V561" s="153" t="n"/>
      <c r="W561" s="153" t="n"/>
      <c r="X561" s="153" t="n"/>
      <c r="Y561" s="153" t="n"/>
      <c r="Z561" s="153" t="n"/>
    </row>
    <row r="562" ht="15.75" customHeight="1" s="154">
      <c r="G562" s="153" t="n"/>
      <c r="H562" s="153" t="n"/>
      <c r="I562" s="153" t="n"/>
      <c r="J562" s="153" t="n"/>
      <c r="K562" s="153" t="n"/>
      <c r="L562" s="153" t="n"/>
      <c r="M562" s="153" t="n"/>
      <c r="N562" s="153" t="n"/>
      <c r="O562" s="153" t="n"/>
      <c r="P562" s="153" t="n"/>
      <c r="Q562" s="153" t="n"/>
      <c r="R562" s="153" t="n"/>
      <c r="S562" s="153" t="n"/>
      <c r="T562" s="153" t="n"/>
      <c r="U562" s="153" t="n"/>
      <c r="V562" s="153" t="n"/>
      <c r="W562" s="153" t="n"/>
      <c r="X562" s="153" t="n"/>
      <c r="Y562" s="153" t="n"/>
      <c r="Z562" s="153" t="n"/>
    </row>
    <row r="563" ht="15.75" customHeight="1" s="154">
      <c r="G563" s="153" t="n"/>
      <c r="H563" s="153" t="n"/>
      <c r="I563" s="153" t="n"/>
      <c r="J563" s="153" t="n"/>
      <c r="K563" s="153" t="n"/>
      <c r="L563" s="153" t="n"/>
      <c r="M563" s="153" t="n"/>
      <c r="N563" s="153" t="n"/>
      <c r="O563" s="153" t="n"/>
      <c r="P563" s="153" t="n"/>
      <c r="Q563" s="153" t="n"/>
      <c r="R563" s="153" t="n"/>
      <c r="S563" s="153" t="n"/>
      <c r="T563" s="153" t="n"/>
      <c r="U563" s="153" t="n"/>
      <c r="V563" s="153" t="n"/>
      <c r="W563" s="153" t="n"/>
      <c r="X563" s="153" t="n"/>
      <c r="Y563" s="153" t="n"/>
      <c r="Z563" s="153" t="n"/>
    </row>
    <row r="564" ht="15.75" customHeight="1" s="154">
      <c r="G564" s="153" t="n"/>
      <c r="H564" s="153" t="n"/>
      <c r="I564" s="153" t="n"/>
      <c r="J564" s="153" t="n"/>
      <c r="K564" s="153" t="n"/>
      <c r="L564" s="153" t="n"/>
      <c r="M564" s="153" t="n"/>
      <c r="N564" s="153" t="n"/>
      <c r="O564" s="153" t="n"/>
      <c r="P564" s="153" t="n"/>
      <c r="Q564" s="153" t="n"/>
      <c r="R564" s="153" t="n"/>
      <c r="S564" s="153" t="n"/>
      <c r="T564" s="153" t="n"/>
      <c r="U564" s="153" t="n"/>
      <c r="V564" s="153" t="n"/>
      <c r="W564" s="153" t="n"/>
      <c r="X564" s="153" t="n"/>
      <c r="Y564" s="153" t="n"/>
      <c r="Z564" s="153" t="n"/>
    </row>
    <row r="565" ht="15.75" customHeight="1" s="154">
      <c r="G565" s="153" t="n"/>
      <c r="H565" s="153" t="n"/>
      <c r="I565" s="153" t="n"/>
      <c r="J565" s="153" t="n"/>
      <c r="K565" s="153" t="n"/>
      <c r="L565" s="153" t="n"/>
      <c r="M565" s="153" t="n"/>
      <c r="N565" s="153" t="n"/>
      <c r="O565" s="153" t="n"/>
      <c r="P565" s="153" t="n"/>
      <c r="Q565" s="153" t="n"/>
      <c r="R565" s="153" t="n"/>
      <c r="S565" s="153" t="n"/>
      <c r="T565" s="153" t="n"/>
      <c r="U565" s="153" t="n"/>
      <c r="V565" s="153" t="n"/>
      <c r="W565" s="153" t="n"/>
      <c r="X565" s="153" t="n"/>
      <c r="Y565" s="153" t="n"/>
      <c r="Z565" s="153" t="n"/>
    </row>
    <row r="566" ht="15.75" customHeight="1" s="154">
      <c r="G566" s="153" t="n"/>
      <c r="H566" s="153" t="n"/>
      <c r="I566" s="153" t="n"/>
      <c r="J566" s="153" t="n"/>
      <c r="K566" s="153" t="n"/>
      <c r="L566" s="153" t="n"/>
      <c r="M566" s="153" t="n"/>
      <c r="N566" s="153" t="n"/>
      <c r="O566" s="153" t="n"/>
      <c r="P566" s="153" t="n"/>
      <c r="Q566" s="153" t="n"/>
      <c r="R566" s="153" t="n"/>
      <c r="S566" s="153" t="n"/>
      <c r="T566" s="153" t="n"/>
      <c r="U566" s="153" t="n"/>
      <c r="V566" s="153" t="n"/>
      <c r="W566" s="153" t="n"/>
      <c r="X566" s="153" t="n"/>
      <c r="Y566" s="153" t="n"/>
      <c r="Z566" s="153" t="n"/>
    </row>
    <row r="567" ht="15.75" customHeight="1" s="154">
      <c r="G567" s="153" t="n"/>
      <c r="H567" s="153" t="n"/>
      <c r="I567" s="153" t="n"/>
      <c r="J567" s="153" t="n"/>
      <c r="K567" s="153" t="n"/>
      <c r="L567" s="153" t="n"/>
      <c r="M567" s="153" t="n"/>
      <c r="N567" s="153" t="n"/>
      <c r="O567" s="153" t="n"/>
      <c r="P567" s="153" t="n"/>
      <c r="Q567" s="153" t="n"/>
      <c r="R567" s="153" t="n"/>
      <c r="S567" s="153" t="n"/>
      <c r="T567" s="153" t="n"/>
      <c r="U567" s="153" t="n"/>
      <c r="V567" s="153" t="n"/>
      <c r="W567" s="153" t="n"/>
      <c r="X567" s="153" t="n"/>
      <c r="Y567" s="153" t="n"/>
      <c r="Z567" s="153" t="n"/>
    </row>
    <row r="568" ht="15.75" customHeight="1" s="154">
      <c r="G568" s="153" t="n"/>
      <c r="H568" s="153" t="n"/>
      <c r="I568" s="153" t="n"/>
      <c r="J568" s="153" t="n"/>
      <c r="K568" s="153" t="n"/>
      <c r="L568" s="153" t="n"/>
      <c r="M568" s="153" t="n"/>
      <c r="N568" s="153" t="n"/>
      <c r="O568" s="153" t="n"/>
      <c r="P568" s="153" t="n"/>
      <c r="Q568" s="153" t="n"/>
      <c r="R568" s="153" t="n"/>
      <c r="S568" s="153" t="n"/>
      <c r="T568" s="153" t="n"/>
      <c r="U568" s="153" t="n"/>
      <c r="V568" s="153" t="n"/>
      <c r="W568" s="153" t="n"/>
      <c r="X568" s="153" t="n"/>
      <c r="Y568" s="153" t="n"/>
      <c r="Z568" s="153" t="n"/>
    </row>
    <row r="569" ht="15.75" customHeight="1" s="154">
      <c r="G569" s="153" t="n"/>
      <c r="H569" s="153" t="n"/>
      <c r="I569" s="153" t="n"/>
      <c r="J569" s="153" t="n"/>
      <c r="K569" s="153" t="n"/>
      <c r="L569" s="153" t="n"/>
      <c r="M569" s="153" t="n"/>
      <c r="N569" s="153" t="n"/>
      <c r="O569" s="153" t="n"/>
      <c r="P569" s="153" t="n"/>
      <c r="Q569" s="153" t="n"/>
      <c r="R569" s="153" t="n"/>
      <c r="S569" s="153" t="n"/>
      <c r="T569" s="153" t="n"/>
      <c r="U569" s="153" t="n"/>
      <c r="V569" s="153" t="n"/>
      <c r="W569" s="153" t="n"/>
      <c r="X569" s="153" t="n"/>
      <c r="Y569" s="153" t="n"/>
      <c r="Z569" s="153" t="n"/>
    </row>
    <row r="570" ht="15.75" customHeight="1" s="154">
      <c r="G570" s="153" t="n"/>
      <c r="H570" s="153" t="n"/>
      <c r="I570" s="153" t="n"/>
      <c r="J570" s="153" t="n"/>
      <c r="K570" s="153" t="n"/>
      <c r="L570" s="153" t="n"/>
      <c r="M570" s="153" t="n"/>
      <c r="N570" s="153" t="n"/>
      <c r="O570" s="153" t="n"/>
      <c r="P570" s="153" t="n"/>
      <c r="Q570" s="153" t="n"/>
      <c r="R570" s="153" t="n"/>
      <c r="S570" s="153" t="n"/>
      <c r="T570" s="153" t="n"/>
      <c r="U570" s="153" t="n"/>
      <c r="V570" s="153" t="n"/>
      <c r="W570" s="153" t="n"/>
      <c r="X570" s="153" t="n"/>
      <c r="Y570" s="153" t="n"/>
      <c r="Z570" s="153" t="n"/>
    </row>
    <row r="571" ht="15.75" customHeight="1" s="154">
      <c r="G571" s="153" t="n"/>
      <c r="H571" s="153" t="n"/>
      <c r="I571" s="153" t="n"/>
      <c r="J571" s="153" t="n"/>
      <c r="K571" s="153" t="n"/>
      <c r="L571" s="153" t="n"/>
      <c r="M571" s="153" t="n"/>
      <c r="N571" s="153" t="n"/>
      <c r="O571" s="153" t="n"/>
      <c r="P571" s="153" t="n"/>
      <c r="Q571" s="153" t="n"/>
      <c r="R571" s="153" t="n"/>
      <c r="S571" s="153" t="n"/>
      <c r="T571" s="153" t="n"/>
      <c r="U571" s="153" t="n"/>
      <c r="V571" s="153" t="n"/>
      <c r="W571" s="153" t="n"/>
      <c r="X571" s="153" t="n"/>
      <c r="Y571" s="153" t="n"/>
      <c r="Z571" s="153" t="n"/>
    </row>
    <row r="572" ht="15.75" customHeight="1" s="154">
      <c r="G572" s="153" t="n"/>
      <c r="H572" s="153" t="n"/>
      <c r="I572" s="153" t="n"/>
      <c r="J572" s="153" t="n"/>
      <c r="K572" s="153" t="n"/>
      <c r="L572" s="153" t="n"/>
      <c r="M572" s="153" t="n"/>
      <c r="N572" s="153" t="n"/>
      <c r="O572" s="153" t="n"/>
      <c r="P572" s="153" t="n"/>
      <c r="Q572" s="153" t="n"/>
      <c r="R572" s="153" t="n"/>
      <c r="S572" s="153" t="n"/>
      <c r="T572" s="153" t="n"/>
      <c r="U572" s="153" t="n"/>
      <c r="V572" s="153" t="n"/>
      <c r="W572" s="153" t="n"/>
      <c r="X572" s="153" t="n"/>
      <c r="Y572" s="153" t="n"/>
      <c r="Z572" s="153" t="n"/>
    </row>
    <row r="573" ht="15.75" customHeight="1" s="154">
      <c r="G573" s="153" t="n"/>
      <c r="H573" s="153" t="n"/>
      <c r="I573" s="153" t="n"/>
      <c r="J573" s="153" t="n"/>
      <c r="K573" s="153" t="n"/>
      <c r="L573" s="153" t="n"/>
      <c r="M573" s="153" t="n"/>
      <c r="N573" s="153" t="n"/>
      <c r="O573" s="153" t="n"/>
      <c r="P573" s="153" t="n"/>
      <c r="Q573" s="153" t="n"/>
      <c r="R573" s="153" t="n"/>
      <c r="S573" s="153" t="n"/>
      <c r="T573" s="153" t="n"/>
      <c r="U573" s="153" t="n"/>
      <c r="V573" s="153" t="n"/>
      <c r="W573" s="153" t="n"/>
      <c r="X573" s="153" t="n"/>
      <c r="Y573" s="153" t="n"/>
      <c r="Z573" s="153" t="n"/>
    </row>
    <row r="574" ht="15.75" customHeight="1" s="154">
      <c r="G574" s="153" t="n"/>
      <c r="H574" s="153" t="n"/>
      <c r="I574" s="153" t="n"/>
      <c r="J574" s="153" t="n"/>
      <c r="K574" s="153" t="n"/>
      <c r="L574" s="153" t="n"/>
      <c r="M574" s="153" t="n"/>
      <c r="N574" s="153" t="n"/>
      <c r="O574" s="153" t="n"/>
      <c r="P574" s="153" t="n"/>
      <c r="Q574" s="153" t="n"/>
      <c r="R574" s="153" t="n"/>
      <c r="S574" s="153" t="n"/>
      <c r="T574" s="153" t="n"/>
      <c r="U574" s="153" t="n"/>
      <c r="V574" s="153" t="n"/>
      <c r="W574" s="153" t="n"/>
      <c r="X574" s="153" t="n"/>
      <c r="Y574" s="153" t="n"/>
      <c r="Z574" s="153" t="n"/>
    </row>
    <row r="575" ht="15.75" customHeight="1" s="154">
      <c r="G575" s="153" t="n"/>
      <c r="H575" s="153" t="n"/>
      <c r="I575" s="153" t="n"/>
      <c r="J575" s="153" t="n"/>
      <c r="K575" s="153" t="n"/>
      <c r="L575" s="153" t="n"/>
      <c r="M575" s="153" t="n"/>
      <c r="N575" s="153" t="n"/>
      <c r="O575" s="153" t="n"/>
      <c r="P575" s="153" t="n"/>
      <c r="Q575" s="153" t="n"/>
      <c r="R575" s="153" t="n"/>
      <c r="S575" s="153" t="n"/>
      <c r="T575" s="153" t="n"/>
      <c r="U575" s="153" t="n"/>
      <c r="V575" s="153" t="n"/>
      <c r="W575" s="153" t="n"/>
      <c r="X575" s="153" t="n"/>
      <c r="Y575" s="153" t="n"/>
      <c r="Z575" s="153" t="n"/>
    </row>
    <row r="576" ht="15.75" customHeight="1" s="154">
      <c r="G576" s="153" t="n"/>
      <c r="H576" s="153" t="n"/>
      <c r="I576" s="153" t="n"/>
      <c r="J576" s="153" t="n"/>
      <c r="K576" s="153" t="n"/>
      <c r="L576" s="153" t="n"/>
      <c r="M576" s="153" t="n"/>
      <c r="N576" s="153" t="n"/>
      <c r="O576" s="153" t="n"/>
      <c r="P576" s="153" t="n"/>
      <c r="Q576" s="153" t="n"/>
      <c r="R576" s="153" t="n"/>
      <c r="S576" s="153" t="n"/>
      <c r="T576" s="153" t="n"/>
      <c r="U576" s="153" t="n"/>
      <c r="V576" s="153" t="n"/>
      <c r="W576" s="153" t="n"/>
      <c r="X576" s="153" t="n"/>
      <c r="Y576" s="153" t="n"/>
      <c r="Z576" s="153" t="n"/>
    </row>
    <row r="577" ht="15.75" customHeight="1" s="154">
      <c r="G577" s="153" t="n"/>
      <c r="H577" s="153" t="n"/>
      <c r="I577" s="153" t="n"/>
      <c r="J577" s="153" t="n"/>
      <c r="K577" s="153" t="n"/>
      <c r="L577" s="153" t="n"/>
      <c r="M577" s="153" t="n"/>
      <c r="N577" s="153" t="n"/>
      <c r="O577" s="153" t="n"/>
      <c r="P577" s="153" t="n"/>
      <c r="Q577" s="153" t="n"/>
      <c r="R577" s="153" t="n"/>
      <c r="S577" s="153" t="n"/>
      <c r="T577" s="153" t="n"/>
      <c r="U577" s="153" t="n"/>
      <c r="V577" s="153" t="n"/>
      <c r="W577" s="153" t="n"/>
      <c r="X577" s="153" t="n"/>
      <c r="Y577" s="153" t="n"/>
      <c r="Z577" s="153" t="n"/>
    </row>
    <row r="578" ht="15.75" customHeight="1" s="154">
      <c r="G578" s="153" t="n"/>
      <c r="H578" s="153" t="n"/>
      <c r="I578" s="153" t="n"/>
      <c r="J578" s="153" t="n"/>
      <c r="K578" s="153" t="n"/>
      <c r="L578" s="153" t="n"/>
      <c r="M578" s="153" t="n"/>
      <c r="N578" s="153" t="n"/>
      <c r="O578" s="153" t="n"/>
      <c r="P578" s="153" t="n"/>
      <c r="Q578" s="153" t="n"/>
      <c r="R578" s="153" t="n"/>
      <c r="S578" s="153" t="n"/>
      <c r="T578" s="153" t="n"/>
      <c r="U578" s="153" t="n"/>
      <c r="V578" s="153" t="n"/>
      <c r="W578" s="153" t="n"/>
      <c r="X578" s="153" t="n"/>
      <c r="Y578" s="153" t="n"/>
      <c r="Z578" s="153" t="n"/>
    </row>
    <row r="579" ht="15.75" customHeight="1" s="154">
      <c r="G579" s="153" t="n"/>
      <c r="H579" s="153" t="n"/>
      <c r="I579" s="153" t="n"/>
      <c r="J579" s="153" t="n"/>
      <c r="K579" s="153" t="n"/>
      <c r="L579" s="153" t="n"/>
      <c r="M579" s="153" t="n"/>
      <c r="N579" s="153" t="n"/>
      <c r="O579" s="153" t="n"/>
      <c r="P579" s="153" t="n"/>
      <c r="Q579" s="153" t="n"/>
      <c r="R579" s="153" t="n"/>
      <c r="S579" s="153" t="n"/>
      <c r="T579" s="153" t="n"/>
      <c r="U579" s="153" t="n"/>
      <c r="V579" s="153" t="n"/>
      <c r="W579" s="153" t="n"/>
      <c r="X579" s="153" t="n"/>
      <c r="Y579" s="153" t="n"/>
      <c r="Z579" s="153" t="n"/>
    </row>
    <row r="580" ht="15.75" customHeight="1" s="154">
      <c r="G580" s="153" t="n"/>
      <c r="H580" s="153" t="n"/>
      <c r="I580" s="153" t="n"/>
      <c r="J580" s="153" t="n"/>
      <c r="K580" s="153" t="n"/>
      <c r="L580" s="153" t="n"/>
      <c r="M580" s="153" t="n"/>
      <c r="N580" s="153" t="n"/>
      <c r="O580" s="153" t="n"/>
      <c r="P580" s="153" t="n"/>
      <c r="Q580" s="153" t="n"/>
      <c r="R580" s="153" t="n"/>
      <c r="S580" s="153" t="n"/>
      <c r="T580" s="153" t="n"/>
      <c r="U580" s="153" t="n"/>
      <c r="V580" s="153" t="n"/>
      <c r="W580" s="153" t="n"/>
      <c r="X580" s="153" t="n"/>
      <c r="Y580" s="153" t="n"/>
      <c r="Z580" s="153" t="n"/>
    </row>
    <row r="581" ht="15.75" customHeight="1" s="154">
      <c r="G581" s="153" t="n"/>
      <c r="H581" s="153" t="n"/>
      <c r="I581" s="153" t="n"/>
      <c r="J581" s="153" t="n"/>
      <c r="K581" s="153" t="n"/>
      <c r="L581" s="153" t="n"/>
      <c r="M581" s="153" t="n"/>
      <c r="N581" s="153" t="n"/>
      <c r="O581" s="153" t="n"/>
      <c r="P581" s="153" t="n"/>
      <c r="Q581" s="153" t="n"/>
      <c r="R581" s="153" t="n"/>
      <c r="S581" s="153" t="n"/>
      <c r="T581" s="153" t="n"/>
      <c r="U581" s="153" t="n"/>
      <c r="V581" s="153" t="n"/>
      <c r="W581" s="153" t="n"/>
      <c r="X581" s="153" t="n"/>
      <c r="Y581" s="153" t="n"/>
      <c r="Z581" s="153" t="n"/>
    </row>
    <row r="582" ht="15.75" customHeight="1" s="154">
      <c r="G582" s="153" t="n"/>
      <c r="H582" s="153" t="n"/>
      <c r="I582" s="153" t="n"/>
      <c r="J582" s="153" t="n"/>
      <c r="K582" s="153" t="n"/>
      <c r="L582" s="153" t="n"/>
      <c r="M582" s="153" t="n"/>
      <c r="N582" s="153" t="n"/>
      <c r="O582" s="153" t="n"/>
      <c r="P582" s="153" t="n"/>
      <c r="Q582" s="153" t="n"/>
      <c r="R582" s="153" t="n"/>
      <c r="S582" s="153" t="n"/>
      <c r="T582" s="153" t="n"/>
      <c r="U582" s="153" t="n"/>
      <c r="V582" s="153" t="n"/>
      <c r="W582" s="153" t="n"/>
      <c r="X582" s="153" t="n"/>
      <c r="Y582" s="153" t="n"/>
      <c r="Z582" s="153" t="n"/>
    </row>
    <row r="583" ht="15.75" customHeight="1" s="154">
      <c r="G583" s="153" t="n"/>
      <c r="H583" s="153" t="n"/>
      <c r="I583" s="153" t="n"/>
      <c r="J583" s="153" t="n"/>
      <c r="K583" s="153" t="n"/>
      <c r="L583" s="153" t="n"/>
      <c r="M583" s="153" t="n"/>
      <c r="N583" s="153" t="n"/>
      <c r="O583" s="153" t="n"/>
      <c r="P583" s="153" t="n"/>
      <c r="Q583" s="153" t="n"/>
      <c r="R583" s="153" t="n"/>
      <c r="S583" s="153" t="n"/>
      <c r="T583" s="153" t="n"/>
      <c r="U583" s="153" t="n"/>
      <c r="V583" s="153" t="n"/>
      <c r="W583" s="153" t="n"/>
      <c r="X583" s="153" t="n"/>
      <c r="Y583" s="153" t="n"/>
      <c r="Z583" s="153" t="n"/>
    </row>
    <row r="584" ht="15.75" customHeight="1" s="154">
      <c r="G584" s="153" t="n"/>
      <c r="H584" s="153" t="n"/>
      <c r="I584" s="153" t="n"/>
      <c r="J584" s="153" t="n"/>
      <c r="K584" s="153" t="n"/>
      <c r="L584" s="153" t="n"/>
      <c r="M584" s="153" t="n"/>
      <c r="N584" s="153" t="n"/>
      <c r="O584" s="153" t="n"/>
      <c r="P584" s="153" t="n"/>
      <c r="Q584" s="153" t="n"/>
      <c r="R584" s="153" t="n"/>
      <c r="S584" s="153" t="n"/>
      <c r="T584" s="153" t="n"/>
      <c r="U584" s="153" t="n"/>
      <c r="V584" s="153" t="n"/>
      <c r="W584" s="153" t="n"/>
      <c r="X584" s="153" t="n"/>
      <c r="Y584" s="153" t="n"/>
      <c r="Z584" s="153" t="n"/>
    </row>
    <row r="585" ht="15.75" customHeight="1" s="154">
      <c r="G585" s="153" t="n"/>
      <c r="H585" s="153" t="n"/>
      <c r="I585" s="153" t="n"/>
      <c r="J585" s="153" t="n"/>
      <c r="K585" s="153" t="n"/>
      <c r="L585" s="153" t="n"/>
      <c r="M585" s="153" t="n"/>
      <c r="N585" s="153" t="n"/>
      <c r="O585" s="153" t="n"/>
      <c r="P585" s="153" t="n"/>
      <c r="Q585" s="153" t="n"/>
      <c r="R585" s="153" t="n"/>
      <c r="S585" s="153" t="n"/>
      <c r="T585" s="153" t="n"/>
      <c r="U585" s="153" t="n"/>
      <c r="V585" s="153" t="n"/>
      <c r="W585" s="153" t="n"/>
      <c r="X585" s="153" t="n"/>
      <c r="Y585" s="153" t="n"/>
      <c r="Z585" s="153" t="n"/>
    </row>
    <row r="586" ht="15.75" customHeight="1" s="154">
      <c r="G586" s="153" t="n"/>
      <c r="H586" s="153" t="n"/>
      <c r="I586" s="153" t="n"/>
      <c r="J586" s="153" t="n"/>
      <c r="K586" s="153" t="n"/>
      <c r="L586" s="153" t="n"/>
      <c r="M586" s="153" t="n"/>
      <c r="N586" s="153" t="n"/>
      <c r="O586" s="153" t="n"/>
      <c r="P586" s="153" t="n"/>
      <c r="Q586" s="153" t="n"/>
      <c r="R586" s="153" t="n"/>
      <c r="S586" s="153" t="n"/>
      <c r="T586" s="153" t="n"/>
      <c r="U586" s="153" t="n"/>
      <c r="V586" s="153" t="n"/>
      <c r="W586" s="153" t="n"/>
      <c r="X586" s="153" t="n"/>
      <c r="Y586" s="153" t="n"/>
      <c r="Z586" s="153" t="n"/>
    </row>
    <row r="587" ht="15.75" customHeight="1" s="154">
      <c r="G587" s="153" t="n"/>
      <c r="H587" s="153" t="n"/>
      <c r="I587" s="153" t="n"/>
      <c r="J587" s="153" t="n"/>
      <c r="K587" s="153" t="n"/>
      <c r="L587" s="153" t="n"/>
      <c r="M587" s="153" t="n"/>
      <c r="N587" s="153" t="n"/>
      <c r="O587" s="153" t="n"/>
      <c r="P587" s="153" t="n"/>
      <c r="Q587" s="153" t="n"/>
      <c r="R587" s="153" t="n"/>
      <c r="S587" s="153" t="n"/>
      <c r="T587" s="153" t="n"/>
      <c r="U587" s="153" t="n"/>
      <c r="V587" s="153" t="n"/>
      <c r="W587" s="153" t="n"/>
      <c r="X587" s="153" t="n"/>
      <c r="Y587" s="153" t="n"/>
      <c r="Z587" s="153" t="n"/>
    </row>
    <row r="588" ht="15.75" customHeight="1" s="154">
      <c r="G588" s="153" t="n"/>
      <c r="H588" s="153" t="n"/>
      <c r="I588" s="153" t="n"/>
      <c r="J588" s="153" t="n"/>
      <c r="K588" s="153" t="n"/>
      <c r="L588" s="153" t="n"/>
      <c r="M588" s="153" t="n"/>
      <c r="N588" s="153" t="n"/>
      <c r="O588" s="153" t="n"/>
      <c r="P588" s="153" t="n"/>
      <c r="Q588" s="153" t="n"/>
      <c r="R588" s="153" t="n"/>
      <c r="S588" s="153" t="n"/>
      <c r="T588" s="153" t="n"/>
      <c r="U588" s="153" t="n"/>
      <c r="V588" s="153" t="n"/>
      <c r="W588" s="153" t="n"/>
      <c r="X588" s="153" t="n"/>
      <c r="Y588" s="153" t="n"/>
      <c r="Z588" s="153" t="n"/>
    </row>
    <row r="589" ht="15.75" customHeight="1" s="154">
      <c r="G589" s="153" t="n"/>
      <c r="H589" s="153" t="n"/>
      <c r="I589" s="153" t="n"/>
      <c r="J589" s="153" t="n"/>
      <c r="K589" s="153" t="n"/>
      <c r="L589" s="153" t="n"/>
      <c r="M589" s="153" t="n"/>
      <c r="N589" s="153" t="n"/>
      <c r="O589" s="153" t="n"/>
      <c r="P589" s="153" t="n"/>
      <c r="Q589" s="153" t="n"/>
      <c r="R589" s="153" t="n"/>
      <c r="S589" s="153" t="n"/>
      <c r="T589" s="153" t="n"/>
      <c r="U589" s="153" t="n"/>
      <c r="V589" s="153" t="n"/>
      <c r="W589" s="153" t="n"/>
      <c r="X589" s="153" t="n"/>
      <c r="Y589" s="153" t="n"/>
      <c r="Z589" s="153" t="n"/>
    </row>
    <row r="590" ht="15.75" customHeight="1" s="154">
      <c r="G590" s="153" t="n"/>
      <c r="H590" s="153" t="n"/>
      <c r="I590" s="153" t="n"/>
      <c r="J590" s="153" t="n"/>
      <c r="K590" s="153" t="n"/>
      <c r="L590" s="153" t="n"/>
      <c r="M590" s="153" t="n"/>
      <c r="N590" s="153" t="n"/>
      <c r="O590" s="153" t="n"/>
      <c r="P590" s="153" t="n"/>
      <c r="Q590" s="153" t="n"/>
      <c r="R590" s="153" t="n"/>
      <c r="S590" s="153" t="n"/>
      <c r="T590" s="153" t="n"/>
      <c r="U590" s="153" t="n"/>
      <c r="V590" s="153" t="n"/>
      <c r="W590" s="153" t="n"/>
      <c r="X590" s="153" t="n"/>
      <c r="Y590" s="153" t="n"/>
      <c r="Z590" s="153" t="n"/>
    </row>
    <row r="591" ht="15.75" customHeight="1" s="154">
      <c r="G591" s="153" t="n"/>
      <c r="H591" s="153" t="n"/>
      <c r="I591" s="153" t="n"/>
      <c r="J591" s="153" t="n"/>
      <c r="K591" s="153" t="n"/>
      <c r="L591" s="153" t="n"/>
      <c r="M591" s="153" t="n"/>
      <c r="N591" s="153" t="n"/>
      <c r="O591" s="153" t="n"/>
      <c r="P591" s="153" t="n"/>
      <c r="Q591" s="153" t="n"/>
      <c r="R591" s="153" t="n"/>
      <c r="S591" s="153" t="n"/>
      <c r="T591" s="153" t="n"/>
      <c r="U591" s="153" t="n"/>
      <c r="V591" s="153" t="n"/>
      <c r="W591" s="153" t="n"/>
      <c r="X591" s="153" t="n"/>
      <c r="Y591" s="153" t="n"/>
      <c r="Z591" s="153" t="n"/>
    </row>
    <row r="592" ht="15.75" customHeight="1" s="154">
      <c r="G592" s="153" t="n"/>
      <c r="H592" s="153" t="n"/>
      <c r="I592" s="153" t="n"/>
      <c r="J592" s="153" t="n"/>
      <c r="K592" s="153" t="n"/>
      <c r="L592" s="153" t="n"/>
      <c r="M592" s="153" t="n"/>
      <c r="N592" s="153" t="n"/>
      <c r="O592" s="153" t="n"/>
      <c r="P592" s="153" t="n"/>
      <c r="Q592" s="153" t="n"/>
      <c r="R592" s="153" t="n"/>
      <c r="S592" s="153" t="n"/>
      <c r="T592" s="153" t="n"/>
      <c r="U592" s="153" t="n"/>
      <c r="V592" s="153" t="n"/>
      <c r="W592" s="153" t="n"/>
      <c r="X592" s="153" t="n"/>
      <c r="Y592" s="153" t="n"/>
      <c r="Z592" s="153" t="n"/>
    </row>
    <row r="593" ht="15.75" customHeight="1" s="154">
      <c r="G593" s="153" t="n"/>
      <c r="H593" s="153" t="n"/>
      <c r="I593" s="153" t="n"/>
      <c r="J593" s="153" t="n"/>
      <c r="K593" s="153" t="n"/>
      <c r="L593" s="153" t="n"/>
      <c r="M593" s="153" t="n"/>
      <c r="N593" s="153" t="n"/>
      <c r="O593" s="153" t="n"/>
      <c r="P593" s="153" t="n"/>
      <c r="Q593" s="153" t="n"/>
      <c r="R593" s="153" t="n"/>
      <c r="S593" s="153" t="n"/>
      <c r="T593" s="153" t="n"/>
      <c r="U593" s="153" t="n"/>
      <c r="V593" s="153" t="n"/>
      <c r="W593" s="153" t="n"/>
      <c r="X593" s="153" t="n"/>
      <c r="Y593" s="153" t="n"/>
      <c r="Z593" s="153" t="n"/>
    </row>
    <row r="594" ht="15.75" customHeight="1" s="154">
      <c r="G594" s="153" t="n"/>
      <c r="H594" s="153" t="n"/>
      <c r="I594" s="153" t="n"/>
      <c r="J594" s="153" t="n"/>
      <c r="K594" s="153" t="n"/>
      <c r="L594" s="153" t="n"/>
      <c r="M594" s="153" t="n"/>
      <c r="N594" s="153" t="n"/>
      <c r="O594" s="153" t="n"/>
      <c r="P594" s="153" t="n"/>
      <c r="Q594" s="153" t="n"/>
      <c r="R594" s="153" t="n"/>
      <c r="S594" s="153" t="n"/>
      <c r="T594" s="153" t="n"/>
      <c r="U594" s="153" t="n"/>
      <c r="V594" s="153" t="n"/>
      <c r="W594" s="153" t="n"/>
      <c r="X594" s="153" t="n"/>
      <c r="Y594" s="153" t="n"/>
      <c r="Z594" s="153" t="n"/>
    </row>
    <row r="595" ht="15.75" customHeight="1" s="154">
      <c r="G595" s="153" t="n"/>
      <c r="H595" s="153" t="n"/>
      <c r="I595" s="153" t="n"/>
      <c r="J595" s="153" t="n"/>
      <c r="K595" s="153" t="n"/>
      <c r="L595" s="153" t="n"/>
      <c r="M595" s="153" t="n"/>
      <c r="N595" s="153" t="n"/>
      <c r="O595" s="153" t="n"/>
      <c r="P595" s="153" t="n"/>
      <c r="Q595" s="153" t="n"/>
      <c r="R595" s="153" t="n"/>
      <c r="S595" s="153" t="n"/>
      <c r="T595" s="153" t="n"/>
      <c r="U595" s="153" t="n"/>
      <c r="V595" s="153" t="n"/>
      <c r="W595" s="153" t="n"/>
      <c r="X595" s="153" t="n"/>
      <c r="Y595" s="153" t="n"/>
      <c r="Z595" s="153" t="n"/>
    </row>
    <row r="596" ht="15.75" customHeight="1" s="154">
      <c r="G596" s="153" t="n"/>
      <c r="H596" s="153" t="n"/>
      <c r="I596" s="153" t="n"/>
      <c r="J596" s="153" t="n"/>
      <c r="K596" s="153" t="n"/>
      <c r="L596" s="153" t="n"/>
      <c r="M596" s="153" t="n"/>
      <c r="N596" s="153" t="n"/>
      <c r="O596" s="153" t="n"/>
      <c r="P596" s="153" t="n"/>
      <c r="Q596" s="153" t="n"/>
      <c r="R596" s="153" t="n"/>
      <c r="S596" s="153" t="n"/>
      <c r="T596" s="153" t="n"/>
      <c r="U596" s="153" t="n"/>
      <c r="V596" s="153" t="n"/>
      <c r="W596" s="153" t="n"/>
      <c r="X596" s="153" t="n"/>
      <c r="Y596" s="153" t="n"/>
      <c r="Z596" s="153" t="n"/>
    </row>
    <row r="597" ht="15.75" customHeight="1" s="154">
      <c r="G597" s="153" t="n"/>
      <c r="H597" s="153" t="n"/>
      <c r="I597" s="153" t="n"/>
      <c r="J597" s="153" t="n"/>
      <c r="K597" s="153" t="n"/>
      <c r="L597" s="153" t="n"/>
      <c r="M597" s="153" t="n"/>
      <c r="N597" s="153" t="n"/>
      <c r="O597" s="153" t="n"/>
      <c r="P597" s="153" t="n"/>
      <c r="Q597" s="153" t="n"/>
      <c r="R597" s="153" t="n"/>
      <c r="S597" s="153" t="n"/>
      <c r="T597" s="153" t="n"/>
      <c r="U597" s="153" t="n"/>
      <c r="V597" s="153" t="n"/>
      <c r="W597" s="153" t="n"/>
      <c r="X597" s="153" t="n"/>
      <c r="Y597" s="153" t="n"/>
      <c r="Z597" s="153" t="n"/>
    </row>
    <row r="598" ht="15.75" customHeight="1" s="154">
      <c r="G598" s="153" t="n"/>
      <c r="H598" s="153" t="n"/>
      <c r="I598" s="153" t="n"/>
      <c r="J598" s="153" t="n"/>
      <c r="K598" s="153" t="n"/>
      <c r="L598" s="153" t="n"/>
      <c r="M598" s="153" t="n"/>
      <c r="N598" s="153" t="n"/>
      <c r="O598" s="153" t="n"/>
      <c r="P598" s="153" t="n"/>
      <c r="Q598" s="153" t="n"/>
      <c r="R598" s="153" t="n"/>
      <c r="S598" s="153" t="n"/>
      <c r="T598" s="153" t="n"/>
      <c r="U598" s="153" t="n"/>
      <c r="V598" s="153" t="n"/>
      <c r="W598" s="153" t="n"/>
      <c r="X598" s="153" t="n"/>
      <c r="Y598" s="153" t="n"/>
      <c r="Z598" s="153" t="n"/>
    </row>
    <row r="599" ht="15.75" customHeight="1" s="154">
      <c r="G599" s="153" t="n"/>
      <c r="H599" s="153" t="n"/>
      <c r="I599" s="153" t="n"/>
      <c r="J599" s="153" t="n"/>
      <c r="K599" s="153" t="n"/>
      <c r="L599" s="153" t="n"/>
      <c r="M599" s="153" t="n"/>
      <c r="N599" s="153" t="n"/>
      <c r="O599" s="153" t="n"/>
      <c r="P599" s="153" t="n"/>
      <c r="Q599" s="153" t="n"/>
      <c r="R599" s="153" t="n"/>
      <c r="S599" s="153" t="n"/>
      <c r="T599" s="153" t="n"/>
      <c r="U599" s="153" t="n"/>
      <c r="V599" s="153" t="n"/>
      <c r="W599" s="153" t="n"/>
      <c r="X599" s="153" t="n"/>
      <c r="Y599" s="153" t="n"/>
      <c r="Z599" s="153" t="n"/>
    </row>
    <row r="600" ht="15.75" customHeight="1" s="154">
      <c r="G600" s="153" t="n"/>
      <c r="H600" s="153" t="n"/>
      <c r="I600" s="153" t="n"/>
      <c r="J600" s="153" t="n"/>
      <c r="K600" s="153" t="n"/>
      <c r="L600" s="153" t="n"/>
      <c r="M600" s="153" t="n"/>
      <c r="N600" s="153" t="n"/>
      <c r="O600" s="153" t="n"/>
      <c r="P600" s="153" t="n"/>
      <c r="Q600" s="153" t="n"/>
      <c r="R600" s="153" t="n"/>
      <c r="S600" s="153" t="n"/>
      <c r="T600" s="153" t="n"/>
      <c r="U600" s="153" t="n"/>
      <c r="V600" s="153" t="n"/>
      <c r="W600" s="153" t="n"/>
      <c r="X600" s="153" t="n"/>
      <c r="Y600" s="153" t="n"/>
      <c r="Z600" s="153" t="n"/>
    </row>
    <row r="601" ht="15.75" customHeight="1" s="154">
      <c r="G601" s="153" t="n"/>
      <c r="H601" s="153" t="n"/>
      <c r="I601" s="153" t="n"/>
      <c r="J601" s="153" t="n"/>
      <c r="K601" s="153" t="n"/>
      <c r="L601" s="153" t="n"/>
      <c r="M601" s="153" t="n"/>
      <c r="N601" s="153" t="n"/>
      <c r="O601" s="153" t="n"/>
      <c r="P601" s="153" t="n"/>
      <c r="Q601" s="153" t="n"/>
      <c r="R601" s="153" t="n"/>
      <c r="S601" s="153" t="n"/>
      <c r="T601" s="153" t="n"/>
      <c r="U601" s="153" t="n"/>
      <c r="V601" s="153" t="n"/>
      <c r="W601" s="153" t="n"/>
      <c r="X601" s="153" t="n"/>
      <c r="Y601" s="153" t="n"/>
      <c r="Z601" s="153" t="n"/>
    </row>
    <row r="602" ht="15.75" customHeight="1" s="154">
      <c r="G602" s="153" t="n"/>
      <c r="H602" s="153" t="n"/>
      <c r="I602" s="153" t="n"/>
      <c r="J602" s="153" t="n"/>
      <c r="K602" s="153" t="n"/>
      <c r="L602" s="153" t="n"/>
      <c r="M602" s="153" t="n"/>
      <c r="N602" s="153" t="n"/>
      <c r="O602" s="153" t="n"/>
      <c r="P602" s="153" t="n"/>
      <c r="Q602" s="153" t="n"/>
      <c r="R602" s="153" t="n"/>
      <c r="S602" s="153" t="n"/>
      <c r="T602" s="153" t="n"/>
      <c r="U602" s="153" t="n"/>
      <c r="V602" s="153" t="n"/>
      <c r="W602" s="153" t="n"/>
      <c r="X602" s="153" t="n"/>
      <c r="Y602" s="153" t="n"/>
      <c r="Z602" s="153" t="n"/>
    </row>
    <row r="603" ht="15.75" customHeight="1" s="154">
      <c r="G603" s="153" t="n"/>
      <c r="H603" s="153" t="n"/>
      <c r="I603" s="153" t="n"/>
      <c r="J603" s="153" t="n"/>
      <c r="K603" s="153" t="n"/>
      <c r="L603" s="153" t="n"/>
      <c r="M603" s="153" t="n"/>
      <c r="N603" s="153" t="n"/>
      <c r="O603" s="153" t="n"/>
      <c r="P603" s="153" t="n"/>
      <c r="Q603" s="153" t="n"/>
      <c r="R603" s="153" t="n"/>
      <c r="S603" s="153" t="n"/>
      <c r="T603" s="153" t="n"/>
      <c r="U603" s="153" t="n"/>
      <c r="V603" s="153" t="n"/>
      <c r="W603" s="153" t="n"/>
      <c r="X603" s="153" t="n"/>
      <c r="Y603" s="153" t="n"/>
      <c r="Z603" s="153" t="n"/>
    </row>
    <row r="604" ht="15.75" customHeight="1" s="154">
      <c r="G604" s="153" t="n"/>
      <c r="H604" s="153" t="n"/>
      <c r="I604" s="153" t="n"/>
      <c r="J604" s="153" t="n"/>
      <c r="K604" s="153" t="n"/>
      <c r="L604" s="153" t="n"/>
      <c r="M604" s="153" t="n"/>
      <c r="N604" s="153" t="n"/>
      <c r="O604" s="153" t="n"/>
      <c r="P604" s="153" t="n"/>
      <c r="Q604" s="153" t="n"/>
      <c r="R604" s="153" t="n"/>
      <c r="S604" s="153" t="n"/>
      <c r="T604" s="153" t="n"/>
      <c r="U604" s="153" t="n"/>
      <c r="V604" s="153" t="n"/>
      <c r="W604" s="153" t="n"/>
      <c r="X604" s="153" t="n"/>
      <c r="Y604" s="153" t="n"/>
      <c r="Z604" s="153" t="n"/>
    </row>
    <row r="605" ht="15.75" customHeight="1" s="154">
      <c r="G605" s="153" t="n"/>
      <c r="H605" s="153" t="n"/>
      <c r="I605" s="153" t="n"/>
      <c r="J605" s="153" t="n"/>
      <c r="K605" s="153" t="n"/>
      <c r="L605" s="153" t="n"/>
      <c r="M605" s="153" t="n"/>
      <c r="N605" s="153" t="n"/>
      <c r="O605" s="153" t="n"/>
      <c r="P605" s="153" t="n"/>
      <c r="Q605" s="153" t="n"/>
      <c r="R605" s="153" t="n"/>
      <c r="S605" s="153" t="n"/>
      <c r="T605" s="153" t="n"/>
      <c r="U605" s="153" t="n"/>
      <c r="V605" s="153" t="n"/>
      <c r="W605" s="153" t="n"/>
      <c r="X605" s="153" t="n"/>
      <c r="Y605" s="153" t="n"/>
      <c r="Z605" s="153" t="n"/>
    </row>
    <row r="606" ht="15.75" customHeight="1" s="154">
      <c r="G606" s="153" t="n"/>
      <c r="H606" s="153" t="n"/>
      <c r="I606" s="153" t="n"/>
      <c r="J606" s="153" t="n"/>
      <c r="K606" s="153" t="n"/>
      <c r="L606" s="153" t="n"/>
      <c r="M606" s="153" t="n"/>
      <c r="N606" s="153" t="n"/>
      <c r="O606" s="153" t="n"/>
      <c r="P606" s="153" t="n"/>
      <c r="Q606" s="153" t="n"/>
      <c r="R606" s="153" t="n"/>
      <c r="S606" s="153" t="n"/>
      <c r="T606" s="153" t="n"/>
      <c r="U606" s="153" t="n"/>
      <c r="V606" s="153" t="n"/>
      <c r="W606" s="153" t="n"/>
      <c r="X606" s="153" t="n"/>
      <c r="Y606" s="153" t="n"/>
      <c r="Z606" s="153" t="n"/>
    </row>
    <row r="607" ht="15.75" customHeight="1" s="154">
      <c r="G607" s="153" t="n"/>
      <c r="H607" s="153" t="n"/>
      <c r="I607" s="153" t="n"/>
      <c r="J607" s="153" t="n"/>
      <c r="K607" s="153" t="n"/>
      <c r="L607" s="153" t="n"/>
      <c r="M607" s="153" t="n"/>
      <c r="N607" s="153" t="n"/>
      <c r="O607" s="153" t="n"/>
      <c r="P607" s="153" t="n"/>
      <c r="Q607" s="153" t="n"/>
      <c r="R607" s="153" t="n"/>
      <c r="S607" s="153" t="n"/>
      <c r="T607" s="153" t="n"/>
      <c r="U607" s="153" t="n"/>
      <c r="V607" s="153" t="n"/>
      <c r="W607" s="153" t="n"/>
      <c r="X607" s="153" t="n"/>
      <c r="Y607" s="153" t="n"/>
      <c r="Z607" s="153" t="n"/>
    </row>
    <row r="608" ht="15.75" customHeight="1" s="154">
      <c r="G608" s="153" t="n"/>
      <c r="H608" s="153" t="n"/>
      <c r="I608" s="153" t="n"/>
      <c r="J608" s="153" t="n"/>
      <c r="K608" s="153" t="n"/>
      <c r="L608" s="153" t="n"/>
      <c r="M608" s="153" t="n"/>
      <c r="N608" s="153" t="n"/>
      <c r="O608" s="153" t="n"/>
      <c r="P608" s="153" t="n"/>
      <c r="Q608" s="153" t="n"/>
      <c r="R608" s="153" t="n"/>
      <c r="S608" s="153" t="n"/>
      <c r="T608" s="153" t="n"/>
      <c r="U608" s="153" t="n"/>
      <c r="V608" s="153" t="n"/>
      <c r="W608" s="153" t="n"/>
      <c r="X608" s="153" t="n"/>
      <c r="Y608" s="153" t="n"/>
      <c r="Z608" s="153" t="n"/>
    </row>
    <row r="609" ht="15.75" customHeight="1" s="154">
      <c r="G609" s="153" t="n"/>
      <c r="H609" s="153" t="n"/>
      <c r="I609" s="153" t="n"/>
      <c r="J609" s="153" t="n"/>
      <c r="K609" s="153" t="n"/>
      <c r="L609" s="153" t="n"/>
      <c r="M609" s="153" t="n"/>
      <c r="N609" s="153" t="n"/>
      <c r="O609" s="153" t="n"/>
      <c r="P609" s="153" t="n"/>
      <c r="Q609" s="153" t="n"/>
      <c r="R609" s="153" t="n"/>
      <c r="S609" s="153" t="n"/>
      <c r="T609" s="153" t="n"/>
      <c r="U609" s="153" t="n"/>
      <c r="V609" s="153" t="n"/>
      <c r="W609" s="153" t="n"/>
      <c r="X609" s="153" t="n"/>
      <c r="Y609" s="153" t="n"/>
      <c r="Z609" s="153" t="n"/>
    </row>
    <row r="610" ht="15.75" customHeight="1" s="154">
      <c r="G610" s="153" t="n"/>
      <c r="H610" s="153" t="n"/>
      <c r="I610" s="153" t="n"/>
      <c r="J610" s="153" t="n"/>
      <c r="K610" s="153" t="n"/>
      <c r="L610" s="153" t="n"/>
      <c r="M610" s="153" t="n"/>
      <c r="N610" s="153" t="n"/>
      <c r="O610" s="153" t="n"/>
      <c r="P610" s="153" t="n"/>
      <c r="Q610" s="153" t="n"/>
      <c r="R610" s="153" t="n"/>
      <c r="S610" s="153" t="n"/>
      <c r="T610" s="153" t="n"/>
      <c r="U610" s="153" t="n"/>
      <c r="V610" s="153" t="n"/>
      <c r="W610" s="153" t="n"/>
      <c r="X610" s="153" t="n"/>
      <c r="Y610" s="153" t="n"/>
      <c r="Z610" s="153" t="n"/>
    </row>
    <row r="611" ht="15.75" customHeight="1" s="154">
      <c r="G611" s="153" t="n"/>
      <c r="H611" s="153" t="n"/>
      <c r="I611" s="153" t="n"/>
      <c r="J611" s="153" t="n"/>
      <c r="K611" s="153" t="n"/>
      <c r="L611" s="153" t="n"/>
      <c r="M611" s="153" t="n"/>
      <c r="N611" s="153" t="n"/>
      <c r="O611" s="153" t="n"/>
      <c r="P611" s="153" t="n"/>
      <c r="Q611" s="153" t="n"/>
      <c r="R611" s="153" t="n"/>
      <c r="S611" s="153" t="n"/>
      <c r="T611" s="153" t="n"/>
      <c r="U611" s="153" t="n"/>
      <c r="V611" s="153" t="n"/>
      <c r="W611" s="153" t="n"/>
      <c r="X611" s="153" t="n"/>
      <c r="Y611" s="153" t="n"/>
      <c r="Z611" s="153" t="n"/>
    </row>
    <row r="612" ht="15.75" customHeight="1" s="154">
      <c r="G612" s="153" t="n"/>
      <c r="H612" s="153" t="n"/>
      <c r="I612" s="153" t="n"/>
      <c r="J612" s="153" t="n"/>
      <c r="K612" s="153" t="n"/>
      <c r="L612" s="153" t="n"/>
      <c r="M612" s="153" t="n"/>
      <c r="N612" s="153" t="n"/>
      <c r="O612" s="153" t="n"/>
      <c r="P612" s="153" t="n"/>
      <c r="Q612" s="153" t="n"/>
      <c r="R612" s="153" t="n"/>
      <c r="S612" s="153" t="n"/>
      <c r="T612" s="153" t="n"/>
      <c r="U612" s="153" t="n"/>
      <c r="V612" s="153" t="n"/>
      <c r="W612" s="153" t="n"/>
      <c r="X612" s="153" t="n"/>
      <c r="Y612" s="153" t="n"/>
      <c r="Z612" s="153" t="n"/>
    </row>
    <row r="613" ht="15.75" customHeight="1" s="154">
      <c r="G613" s="153" t="n"/>
      <c r="H613" s="153" t="n"/>
      <c r="I613" s="153" t="n"/>
      <c r="J613" s="153" t="n"/>
      <c r="K613" s="153" t="n"/>
      <c r="L613" s="153" t="n"/>
      <c r="M613" s="153" t="n"/>
      <c r="N613" s="153" t="n"/>
      <c r="O613" s="153" t="n"/>
      <c r="P613" s="153" t="n"/>
      <c r="Q613" s="153" t="n"/>
      <c r="R613" s="153" t="n"/>
      <c r="S613" s="153" t="n"/>
      <c r="T613" s="153" t="n"/>
      <c r="U613" s="153" t="n"/>
      <c r="V613" s="153" t="n"/>
      <c r="W613" s="153" t="n"/>
      <c r="X613" s="153" t="n"/>
      <c r="Y613" s="153" t="n"/>
      <c r="Z613" s="153" t="n"/>
    </row>
    <row r="614" ht="15.75" customHeight="1" s="154">
      <c r="G614" s="153" t="n"/>
      <c r="H614" s="153" t="n"/>
      <c r="I614" s="153" t="n"/>
      <c r="J614" s="153" t="n"/>
      <c r="K614" s="153" t="n"/>
      <c r="L614" s="153" t="n"/>
      <c r="M614" s="153" t="n"/>
      <c r="N614" s="153" t="n"/>
      <c r="O614" s="153" t="n"/>
      <c r="P614" s="153" t="n"/>
      <c r="Q614" s="153" t="n"/>
      <c r="R614" s="153" t="n"/>
      <c r="S614" s="153" t="n"/>
      <c r="T614" s="153" t="n"/>
      <c r="U614" s="153" t="n"/>
      <c r="V614" s="153" t="n"/>
      <c r="W614" s="153" t="n"/>
      <c r="X614" s="153" t="n"/>
      <c r="Y614" s="153" t="n"/>
      <c r="Z614" s="153" t="n"/>
    </row>
    <row r="615" ht="15.75" customHeight="1" s="154">
      <c r="G615" s="153" t="n"/>
      <c r="H615" s="153" t="n"/>
      <c r="I615" s="153" t="n"/>
      <c r="J615" s="153" t="n"/>
      <c r="K615" s="153" t="n"/>
      <c r="L615" s="153" t="n"/>
      <c r="M615" s="153" t="n"/>
      <c r="N615" s="153" t="n"/>
      <c r="O615" s="153" t="n"/>
      <c r="P615" s="153" t="n"/>
      <c r="Q615" s="153" t="n"/>
      <c r="R615" s="153" t="n"/>
      <c r="S615" s="153" t="n"/>
      <c r="T615" s="153" t="n"/>
      <c r="U615" s="153" t="n"/>
      <c r="V615" s="153" t="n"/>
      <c r="W615" s="153" t="n"/>
      <c r="X615" s="153" t="n"/>
      <c r="Y615" s="153" t="n"/>
      <c r="Z615" s="153" t="n"/>
    </row>
    <row r="616" ht="15.75" customHeight="1" s="154">
      <c r="G616" s="153" t="n"/>
      <c r="H616" s="153" t="n"/>
      <c r="I616" s="153" t="n"/>
      <c r="J616" s="153" t="n"/>
      <c r="K616" s="153" t="n"/>
      <c r="L616" s="153" t="n"/>
      <c r="M616" s="153" t="n"/>
      <c r="N616" s="153" t="n"/>
      <c r="O616" s="153" t="n"/>
      <c r="P616" s="153" t="n"/>
      <c r="Q616" s="153" t="n"/>
      <c r="R616" s="153" t="n"/>
      <c r="S616" s="153" t="n"/>
      <c r="T616" s="153" t="n"/>
      <c r="U616" s="153" t="n"/>
      <c r="V616" s="153" t="n"/>
      <c r="W616" s="153" t="n"/>
      <c r="X616" s="153" t="n"/>
      <c r="Y616" s="153" t="n"/>
      <c r="Z616" s="153" t="n"/>
    </row>
    <row r="617" ht="15.75" customHeight="1" s="154">
      <c r="G617" s="153" t="n"/>
      <c r="H617" s="153" t="n"/>
      <c r="I617" s="153" t="n"/>
      <c r="J617" s="153" t="n"/>
      <c r="K617" s="153" t="n"/>
      <c r="L617" s="153" t="n"/>
      <c r="M617" s="153" t="n"/>
      <c r="N617" s="153" t="n"/>
      <c r="O617" s="153" t="n"/>
      <c r="P617" s="153" t="n"/>
      <c r="Q617" s="153" t="n"/>
      <c r="R617" s="153" t="n"/>
      <c r="S617" s="153" t="n"/>
      <c r="T617" s="153" t="n"/>
      <c r="U617" s="153" t="n"/>
      <c r="V617" s="153" t="n"/>
      <c r="W617" s="153" t="n"/>
      <c r="X617" s="153" t="n"/>
      <c r="Y617" s="153" t="n"/>
      <c r="Z617" s="153" t="n"/>
    </row>
    <row r="618" ht="15.75" customHeight="1" s="154">
      <c r="G618" s="153" t="n"/>
      <c r="H618" s="153" t="n"/>
      <c r="I618" s="153" t="n"/>
      <c r="J618" s="153" t="n"/>
      <c r="K618" s="153" t="n"/>
      <c r="L618" s="153" t="n"/>
      <c r="M618" s="153" t="n"/>
      <c r="N618" s="153" t="n"/>
      <c r="O618" s="153" t="n"/>
      <c r="P618" s="153" t="n"/>
      <c r="Q618" s="153" t="n"/>
      <c r="R618" s="153" t="n"/>
      <c r="S618" s="153" t="n"/>
      <c r="T618" s="153" t="n"/>
      <c r="U618" s="153" t="n"/>
      <c r="V618" s="153" t="n"/>
      <c r="W618" s="153" t="n"/>
      <c r="X618" s="153" t="n"/>
      <c r="Y618" s="153" t="n"/>
      <c r="Z618" s="153" t="n"/>
    </row>
    <row r="619" ht="15.75" customHeight="1" s="154">
      <c r="G619" s="153" t="n"/>
      <c r="H619" s="153" t="n"/>
      <c r="I619" s="153" t="n"/>
      <c r="J619" s="153" t="n"/>
      <c r="K619" s="153" t="n"/>
      <c r="L619" s="153" t="n"/>
      <c r="M619" s="153" t="n"/>
      <c r="N619" s="153" t="n"/>
      <c r="O619" s="153" t="n"/>
      <c r="P619" s="153" t="n"/>
      <c r="Q619" s="153" t="n"/>
      <c r="R619" s="153" t="n"/>
      <c r="S619" s="153" t="n"/>
      <c r="T619" s="153" t="n"/>
      <c r="U619" s="153" t="n"/>
      <c r="V619" s="153" t="n"/>
      <c r="W619" s="153" t="n"/>
      <c r="X619" s="153" t="n"/>
      <c r="Y619" s="153" t="n"/>
      <c r="Z619" s="153" t="n"/>
    </row>
    <row r="620" ht="15.75" customHeight="1" s="154">
      <c r="G620" s="153" t="n"/>
      <c r="H620" s="153" t="n"/>
      <c r="I620" s="153" t="n"/>
      <c r="J620" s="153" t="n"/>
      <c r="K620" s="153" t="n"/>
      <c r="L620" s="153" t="n"/>
      <c r="M620" s="153" t="n"/>
      <c r="N620" s="153" t="n"/>
      <c r="O620" s="153" t="n"/>
      <c r="P620" s="153" t="n"/>
      <c r="Q620" s="153" t="n"/>
      <c r="R620" s="153" t="n"/>
      <c r="S620" s="153" t="n"/>
      <c r="T620" s="153" t="n"/>
      <c r="U620" s="153" t="n"/>
      <c r="V620" s="153" t="n"/>
      <c r="W620" s="153" t="n"/>
      <c r="X620" s="153" t="n"/>
      <c r="Y620" s="153" t="n"/>
      <c r="Z620" s="153" t="n"/>
    </row>
    <row r="621" ht="15.75" customHeight="1" s="154">
      <c r="G621" s="153" t="n"/>
      <c r="H621" s="153" t="n"/>
      <c r="I621" s="153" t="n"/>
      <c r="J621" s="153" t="n"/>
      <c r="K621" s="153" t="n"/>
      <c r="L621" s="153" t="n"/>
      <c r="M621" s="153" t="n"/>
      <c r="N621" s="153" t="n"/>
      <c r="O621" s="153" t="n"/>
      <c r="P621" s="153" t="n"/>
      <c r="Q621" s="153" t="n"/>
      <c r="R621" s="153" t="n"/>
      <c r="S621" s="153" t="n"/>
      <c r="T621" s="153" t="n"/>
      <c r="U621" s="153" t="n"/>
      <c r="V621" s="153" t="n"/>
      <c r="W621" s="153" t="n"/>
      <c r="X621" s="153" t="n"/>
      <c r="Y621" s="153" t="n"/>
      <c r="Z621" s="153" t="n"/>
    </row>
    <row r="622" ht="15.75" customHeight="1" s="154">
      <c r="G622" s="153" t="n"/>
      <c r="H622" s="153" t="n"/>
      <c r="I622" s="153" t="n"/>
      <c r="J622" s="153" t="n"/>
      <c r="K622" s="153" t="n"/>
      <c r="L622" s="153" t="n"/>
      <c r="M622" s="153" t="n"/>
      <c r="N622" s="153" t="n"/>
      <c r="O622" s="153" t="n"/>
      <c r="P622" s="153" t="n"/>
      <c r="Q622" s="153" t="n"/>
      <c r="R622" s="153" t="n"/>
      <c r="S622" s="153" t="n"/>
      <c r="T622" s="153" t="n"/>
      <c r="U622" s="153" t="n"/>
      <c r="V622" s="153" t="n"/>
      <c r="W622" s="153" t="n"/>
      <c r="X622" s="153" t="n"/>
      <c r="Y622" s="153" t="n"/>
      <c r="Z622" s="153" t="n"/>
    </row>
    <row r="623" ht="15.75" customHeight="1" s="154">
      <c r="G623" s="153" t="n"/>
      <c r="H623" s="153" t="n"/>
      <c r="I623" s="153" t="n"/>
      <c r="J623" s="153" t="n"/>
      <c r="K623" s="153" t="n"/>
      <c r="L623" s="153" t="n"/>
      <c r="M623" s="153" t="n"/>
      <c r="N623" s="153" t="n"/>
      <c r="O623" s="153" t="n"/>
      <c r="P623" s="153" t="n"/>
      <c r="Q623" s="153" t="n"/>
      <c r="R623" s="153" t="n"/>
      <c r="S623" s="153" t="n"/>
      <c r="T623" s="153" t="n"/>
      <c r="U623" s="153" t="n"/>
      <c r="V623" s="153" t="n"/>
      <c r="W623" s="153" t="n"/>
      <c r="X623" s="153" t="n"/>
      <c r="Y623" s="153" t="n"/>
      <c r="Z623" s="153" t="n"/>
    </row>
    <row r="624" ht="15.75" customHeight="1" s="154">
      <c r="G624" s="153" t="n"/>
      <c r="H624" s="153" t="n"/>
      <c r="I624" s="153" t="n"/>
      <c r="J624" s="153" t="n"/>
      <c r="K624" s="153" t="n"/>
      <c r="L624" s="153" t="n"/>
      <c r="M624" s="153" t="n"/>
      <c r="N624" s="153" t="n"/>
      <c r="O624" s="153" t="n"/>
      <c r="P624" s="153" t="n"/>
      <c r="Q624" s="153" t="n"/>
      <c r="R624" s="153" t="n"/>
      <c r="S624" s="153" t="n"/>
      <c r="T624" s="153" t="n"/>
      <c r="U624" s="153" t="n"/>
      <c r="V624" s="153" t="n"/>
      <c r="W624" s="153" t="n"/>
      <c r="X624" s="153" t="n"/>
      <c r="Y624" s="153" t="n"/>
      <c r="Z624" s="153" t="n"/>
    </row>
    <row r="625" ht="15.75" customHeight="1" s="154">
      <c r="G625" s="153" t="n"/>
      <c r="H625" s="153" t="n"/>
      <c r="I625" s="153" t="n"/>
      <c r="J625" s="153" t="n"/>
      <c r="K625" s="153" t="n"/>
      <c r="L625" s="153" t="n"/>
      <c r="M625" s="153" t="n"/>
      <c r="N625" s="153" t="n"/>
      <c r="O625" s="153" t="n"/>
      <c r="P625" s="153" t="n"/>
      <c r="Q625" s="153" t="n"/>
      <c r="R625" s="153" t="n"/>
      <c r="S625" s="153" t="n"/>
      <c r="T625" s="153" t="n"/>
      <c r="U625" s="153" t="n"/>
      <c r="V625" s="153" t="n"/>
      <c r="W625" s="153" t="n"/>
      <c r="X625" s="153" t="n"/>
      <c r="Y625" s="153" t="n"/>
      <c r="Z625" s="153" t="n"/>
    </row>
    <row r="626" ht="15.75" customHeight="1" s="154">
      <c r="G626" s="153" t="n"/>
      <c r="H626" s="153" t="n"/>
      <c r="I626" s="153" t="n"/>
      <c r="J626" s="153" t="n"/>
      <c r="K626" s="153" t="n"/>
      <c r="L626" s="153" t="n"/>
      <c r="M626" s="153" t="n"/>
      <c r="N626" s="153" t="n"/>
      <c r="O626" s="153" t="n"/>
      <c r="P626" s="153" t="n"/>
      <c r="Q626" s="153" t="n"/>
      <c r="R626" s="153" t="n"/>
      <c r="S626" s="153" t="n"/>
      <c r="T626" s="153" t="n"/>
      <c r="U626" s="153" t="n"/>
      <c r="V626" s="153" t="n"/>
      <c r="W626" s="153" t="n"/>
      <c r="X626" s="153" t="n"/>
      <c r="Y626" s="153" t="n"/>
      <c r="Z626" s="153" t="n"/>
    </row>
    <row r="627" ht="15.75" customHeight="1" s="154">
      <c r="G627" s="153" t="n"/>
      <c r="H627" s="153" t="n"/>
      <c r="I627" s="153" t="n"/>
      <c r="J627" s="153" t="n"/>
      <c r="K627" s="153" t="n"/>
      <c r="L627" s="153" t="n"/>
      <c r="M627" s="153" t="n"/>
      <c r="N627" s="153" t="n"/>
      <c r="O627" s="153" t="n"/>
      <c r="P627" s="153" t="n"/>
      <c r="Q627" s="153" t="n"/>
      <c r="R627" s="153" t="n"/>
      <c r="S627" s="153" t="n"/>
      <c r="T627" s="153" t="n"/>
      <c r="U627" s="153" t="n"/>
      <c r="V627" s="153" t="n"/>
      <c r="W627" s="153" t="n"/>
      <c r="X627" s="153" t="n"/>
      <c r="Y627" s="153" t="n"/>
      <c r="Z627" s="153" t="n"/>
    </row>
    <row r="628" ht="15.75" customHeight="1" s="154">
      <c r="G628" s="153" t="n"/>
      <c r="H628" s="153" t="n"/>
      <c r="I628" s="153" t="n"/>
      <c r="J628" s="153" t="n"/>
      <c r="K628" s="153" t="n"/>
      <c r="L628" s="153" t="n"/>
      <c r="M628" s="153" t="n"/>
      <c r="N628" s="153" t="n"/>
      <c r="O628" s="153" t="n"/>
      <c r="P628" s="153" t="n"/>
      <c r="Q628" s="153" t="n"/>
      <c r="R628" s="153" t="n"/>
      <c r="S628" s="153" t="n"/>
      <c r="T628" s="153" t="n"/>
      <c r="U628" s="153" t="n"/>
      <c r="V628" s="153" t="n"/>
      <c r="W628" s="153" t="n"/>
      <c r="X628" s="153" t="n"/>
      <c r="Y628" s="153" t="n"/>
      <c r="Z628" s="153" t="n"/>
    </row>
    <row r="629" ht="15.75" customHeight="1" s="154">
      <c r="G629" s="153" t="n"/>
      <c r="H629" s="153" t="n"/>
      <c r="I629" s="153" t="n"/>
      <c r="J629" s="153" t="n"/>
      <c r="K629" s="153" t="n"/>
      <c r="L629" s="153" t="n"/>
      <c r="M629" s="153" t="n"/>
      <c r="N629" s="153" t="n"/>
      <c r="O629" s="153" t="n"/>
      <c r="P629" s="153" t="n"/>
      <c r="Q629" s="153" t="n"/>
      <c r="R629" s="153" t="n"/>
      <c r="S629" s="153" t="n"/>
      <c r="T629" s="153" t="n"/>
      <c r="U629" s="153" t="n"/>
      <c r="V629" s="153" t="n"/>
      <c r="W629" s="153" t="n"/>
      <c r="X629" s="153" t="n"/>
      <c r="Y629" s="153" t="n"/>
      <c r="Z629" s="153" t="n"/>
    </row>
    <row r="630" ht="15.75" customHeight="1" s="154">
      <c r="G630" s="153" t="n"/>
      <c r="H630" s="153" t="n"/>
      <c r="I630" s="153" t="n"/>
      <c r="J630" s="153" t="n"/>
      <c r="K630" s="153" t="n"/>
      <c r="L630" s="153" t="n"/>
      <c r="M630" s="153" t="n"/>
      <c r="N630" s="153" t="n"/>
      <c r="O630" s="153" t="n"/>
      <c r="P630" s="153" t="n"/>
      <c r="Q630" s="153" t="n"/>
      <c r="R630" s="153" t="n"/>
      <c r="S630" s="153" t="n"/>
      <c r="T630" s="153" t="n"/>
      <c r="U630" s="153" t="n"/>
      <c r="V630" s="153" t="n"/>
      <c r="W630" s="153" t="n"/>
      <c r="X630" s="153" t="n"/>
      <c r="Y630" s="153" t="n"/>
      <c r="Z630" s="153" t="n"/>
    </row>
    <row r="631" ht="15.75" customHeight="1" s="154">
      <c r="G631" s="153" t="n"/>
      <c r="H631" s="153" t="n"/>
      <c r="I631" s="153" t="n"/>
      <c r="J631" s="153" t="n"/>
      <c r="K631" s="153" t="n"/>
      <c r="L631" s="153" t="n"/>
      <c r="M631" s="153" t="n"/>
      <c r="N631" s="153" t="n"/>
      <c r="O631" s="153" t="n"/>
      <c r="P631" s="153" t="n"/>
      <c r="Q631" s="153" t="n"/>
      <c r="R631" s="153" t="n"/>
      <c r="S631" s="153" t="n"/>
      <c r="T631" s="153" t="n"/>
      <c r="U631" s="153" t="n"/>
      <c r="V631" s="153" t="n"/>
      <c r="W631" s="153" t="n"/>
      <c r="X631" s="153" t="n"/>
      <c r="Y631" s="153" t="n"/>
      <c r="Z631" s="153" t="n"/>
    </row>
    <row r="632" ht="15.75" customHeight="1" s="154">
      <c r="G632" s="153" t="n"/>
      <c r="H632" s="153" t="n"/>
      <c r="I632" s="153" t="n"/>
      <c r="J632" s="153" t="n"/>
      <c r="K632" s="153" t="n"/>
      <c r="L632" s="153" t="n"/>
      <c r="M632" s="153" t="n"/>
      <c r="N632" s="153" t="n"/>
      <c r="O632" s="153" t="n"/>
      <c r="P632" s="153" t="n"/>
      <c r="Q632" s="153" t="n"/>
      <c r="R632" s="153" t="n"/>
      <c r="S632" s="153" t="n"/>
      <c r="T632" s="153" t="n"/>
      <c r="U632" s="153" t="n"/>
      <c r="V632" s="153" t="n"/>
      <c r="W632" s="153" t="n"/>
      <c r="X632" s="153" t="n"/>
      <c r="Y632" s="153" t="n"/>
      <c r="Z632" s="153" t="n"/>
    </row>
    <row r="633" ht="15.75" customHeight="1" s="154">
      <c r="G633" s="153" t="n"/>
      <c r="H633" s="153" t="n"/>
      <c r="I633" s="153" t="n"/>
      <c r="J633" s="153" t="n"/>
      <c r="K633" s="153" t="n"/>
      <c r="L633" s="153" t="n"/>
      <c r="M633" s="153" t="n"/>
      <c r="N633" s="153" t="n"/>
      <c r="O633" s="153" t="n"/>
      <c r="P633" s="153" t="n"/>
      <c r="Q633" s="153" t="n"/>
      <c r="R633" s="153" t="n"/>
      <c r="S633" s="153" t="n"/>
      <c r="T633" s="153" t="n"/>
      <c r="U633" s="153" t="n"/>
      <c r="V633" s="153" t="n"/>
      <c r="W633" s="153" t="n"/>
      <c r="X633" s="153" t="n"/>
      <c r="Y633" s="153" t="n"/>
      <c r="Z633" s="153" t="n"/>
    </row>
    <row r="634" ht="15.75" customHeight="1" s="154">
      <c r="G634" s="153" t="n"/>
      <c r="H634" s="153" t="n"/>
      <c r="I634" s="153" t="n"/>
      <c r="J634" s="153" t="n"/>
      <c r="K634" s="153" t="n"/>
      <c r="L634" s="153" t="n"/>
      <c r="M634" s="153" t="n"/>
      <c r="N634" s="153" t="n"/>
      <c r="O634" s="153" t="n"/>
      <c r="P634" s="153" t="n"/>
      <c r="Q634" s="153" t="n"/>
      <c r="R634" s="153" t="n"/>
      <c r="S634" s="153" t="n"/>
      <c r="T634" s="153" t="n"/>
      <c r="U634" s="153" t="n"/>
      <c r="V634" s="153" t="n"/>
      <c r="W634" s="153" t="n"/>
      <c r="X634" s="153" t="n"/>
      <c r="Y634" s="153" t="n"/>
      <c r="Z634" s="153" t="n"/>
    </row>
    <row r="635" ht="15.75" customHeight="1" s="154">
      <c r="G635" s="153" t="n"/>
      <c r="H635" s="153" t="n"/>
      <c r="I635" s="153" t="n"/>
      <c r="J635" s="153" t="n"/>
      <c r="K635" s="153" t="n"/>
      <c r="L635" s="153" t="n"/>
      <c r="M635" s="153" t="n"/>
      <c r="N635" s="153" t="n"/>
      <c r="O635" s="153" t="n"/>
      <c r="P635" s="153" t="n"/>
      <c r="Q635" s="153" t="n"/>
      <c r="R635" s="153" t="n"/>
      <c r="S635" s="153" t="n"/>
      <c r="T635" s="153" t="n"/>
      <c r="U635" s="153" t="n"/>
      <c r="V635" s="153" t="n"/>
      <c r="W635" s="153" t="n"/>
      <c r="X635" s="153" t="n"/>
      <c r="Y635" s="153" t="n"/>
      <c r="Z635" s="153" t="n"/>
    </row>
    <row r="636" ht="15.75" customHeight="1" s="154">
      <c r="G636" s="153" t="n"/>
      <c r="H636" s="153" t="n"/>
      <c r="I636" s="153" t="n"/>
      <c r="J636" s="153" t="n"/>
      <c r="K636" s="153" t="n"/>
      <c r="L636" s="153" t="n"/>
      <c r="M636" s="153" t="n"/>
      <c r="N636" s="153" t="n"/>
      <c r="O636" s="153" t="n"/>
      <c r="P636" s="153" t="n"/>
      <c r="Q636" s="153" t="n"/>
      <c r="R636" s="153" t="n"/>
      <c r="S636" s="153" t="n"/>
      <c r="T636" s="153" t="n"/>
      <c r="U636" s="153" t="n"/>
      <c r="V636" s="153" t="n"/>
      <c r="W636" s="153" t="n"/>
      <c r="X636" s="153" t="n"/>
      <c r="Y636" s="153" t="n"/>
      <c r="Z636" s="153" t="n"/>
    </row>
    <row r="637" ht="15.75" customHeight="1" s="154">
      <c r="G637" s="153" t="n"/>
      <c r="H637" s="153" t="n"/>
      <c r="I637" s="153" t="n"/>
      <c r="J637" s="153" t="n"/>
      <c r="K637" s="153" t="n"/>
      <c r="L637" s="153" t="n"/>
      <c r="M637" s="153" t="n"/>
      <c r="N637" s="153" t="n"/>
      <c r="O637" s="153" t="n"/>
      <c r="P637" s="153" t="n"/>
      <c r="Q637" s="153" t="n"/>
      <c r="R637" s="153" t="n"/>
      <c r="S637" s="153" t="n"/>
      <c r="T637" s="153" t="n"/>
      <c r="U637" s="153" t="n"/>
      <c r="V637" s="153" t="n"/>
      <c r="W637" s="153" t="n"/>
      <c r="X637" s="153" t="n"/>
      <c r="Y637" s="153" t="n"/>
      <c r="Z637" s="153" t="n"/>
    </row>
    <row r="638" ht="15.75" customHeight="1" s="154">
      <c r="G638" s="153" t="n"/>
      <c r="H638" s="153" t="n"/>
      <c r="I638" s="153" t="n"/>
      <c r="J638" s="153" t="n"/>
      <c r="K638" s="153" t="n"/>
      <c r="L638" s="153" t="n"/>
      <c r="M638" s="153" t="n"/>
      <c r="N638" s="153" t="n"/>
      <c r="O638" s="153" t="n"/>
      <c r="P638" s="153" t="n"/>
      <c r="Q638" s="153" t="n"/>
      <c r="R638" s="153" t="n"/>
      <c r="S638" s="153" t="n"/>
      <c r="T638" s="153" t="n"/>
      <c r="U638" s="153" t="n"/>
      <c r="V638" s="153" t="n"/>
      <c r="W638" s="153" t="n"/>
      <c r="X638" s="153" t="n"/>
      <c r="Y638" s="153" t="n"/>
      <c r="Z638" s="153" t="n"/>
    </row>
    <row r="639" ht="15.75" customHeight="1" s="154">
      <c r="G639" s="153" t="n"/>
      <c r="H639" s="153" t="n"/>
      <c r="I639" s="153" t="n"/>
      <c r="J639" s="153" t="n"/>
      <c r="K639" s="153" t="n"/>
      <c r="L639" s="153" t="n"/>
      <c r="M639" s="153" t="n"/>
      <c r="N639" s="153" t="n"/>
      <c r="O639" s="153" t="n"/>
      <c r="P639" s="153" t="n"/>
      <c r="Q639" s="153" t="n"/>
      <c r="R639" s="153" t="n"/>
      <c r="S639" s="153" t="n"/>
      <c r="T639" s="153" t="n"/>
      <c r="U639" s="153" t="n"/>
      <c r="V639" s="153" t="n"/>
      <c r="W639" s="153" t="n"/>
      <c r="X639" s="153" t="n"/>
      <c r="Y639" s="153" t="n"/>
      <c r="Z639" s="153" t="n"/>
    </row>
    <row r="640" ht="15.75" customHeight="1" s="154">
      <c r="G640" s="153" t="n"/>
      <c r="H640" s="153" t="n"/>
      <c r="I640" s="153" t="n"/>
      <c r="J640" s="153" t="n"/>
      <c r="K640" s="153" t="n"/>
      <c r="L640" s="153" t="n"/>
      <c r="M640" s="153" t="n"/>
      <c r="N640" s="153" t="n"/>
      <c r="O640" s="153" t="n"/>
      <c r="P640" s="153" t="n"/>
      <c r="Q640" s="153" t="n"/>
      <c r="R640" s="153" t="n"/>
      <c r="S640" s="153" t="n"/>
      <c r="T640" s="153" t="n"/>
      <c r="U640" s="153" t="n"/>
      <c r="V640" s="153" t="n"/>
      <c r="W640" s="153" t="n"/>
      <c r="X640" s="153" t="n"/>
      <c r="Y640" s="153" t="n"/>
      <c r="Z640" s="153" t="n"/>
    </row>
    <row r="641" ht="15.75" customHeight="1" s="154">
      <c r="G641" s="153" t="n"/>
      <c r="H641" s="153" t="n"/>
      <c r="I641" s="153" t="n"/>
      <c r="J641" s="153" t="n"/>
      <c r="K641" s="153" t="n"/>
      <c r="L641" s="153" t="n"/>
      <c r="M641" s="153" t="n"/>
      <c r="N641" s="153" t="n"/>
      <c r="O641" s="153" t="n"/>
      <c r="P641" s="153" t="n"/>
      <c r="Q641" s="153" t="n"/>
      <c r="R641" s="153" t="n"/>
      <c r="S641" s="153" t="n"/>
      <c r="T641" s="153" t="n"/>
      <c r="U641" s="153" t="n"/>
      <c r="V641" s="153" t="n"/>
      <c r="W641" s="153" t="n"/>
      <c r="X641" s="153" t="n"/>
      <c r="Y641" s="153" t="n"/>
      <c r="Z641" s="153" t="n"/>
    </row>
    <row r="642" ht="15.75" customHeight="1" s="154">
      <c r="G642" s="153" t="n"/>
      <c r="H642" s="153" t="n"/>
      <c r="I642" s="153" t="n"/>
      <c r="J642" s="153" t="n"/>
      <c r="K642" s="153" t="n"/>
      <c r="L642" s="153" t="n"/>
      <c r="M642" s="153" t="n"/>
      <c r="N642" s="153" t="n"/>
      <c r="O642" s="153" t="n"/>
      <c r="P642" s="153" t="n"/>
      <c r="Q642" s="153" t="n"/>
      <c r="R642" s="153" t="n"/>
      <c r="S642" s="153" t="n"/>
      <c r="T642" s="153" t="n"/>
      <c r="U642" s="153" t="n"/>
      <c r="V642" s="153" t="n"/>
      <c r="W642" s="153" t="n"/>
      <c r="X642" s="153" t="n"/>
      <c r="Y642" s="153" t="n"/>
      <c r="Z642" s="153" t="n"/>
    </row>
    <row r="643" ht="15.75" customHeight="1" s="154">
      <c r="G643" s="153" t="n"/>
      <c r="H643" s="153" t="n"/>
      <c r="I643" s="153" t="n"/>
      <c r="J643" s="153" t="n"/>
      <c r="K643" s="153" t="n"/>
      <c r="L643" s="153" t="n"/>
      <c r="M643" s="153" t="n"/>
      <c r="N643" s="153" t="n"/>
      <c r="O643" s="153" t="n"/>
      <c r="P643" s="153" t="n"/>
      <c r="Q643" s="153" t="n"/>
      <c r="R643" s="153" t="n"/>
      <c r="S643" s="153" t="n"/>
      <c r="T643" s="153" t="n"/>
      <c r="U643" s="153" t="n"/>
      <c r="V643" s="153" t="n"/>
      <c r="W643" s="153" t="n"/>
      <c r="X643" s="153" t="n"/>
      <c r="Y643" s="153" t="n"/>
      <c r="Z643" s="153" t="n"/>
    </row>
    <row r="644" ht="15.75" customHeight="1" s="154">
      <c r="G644" s="153" t="n"/>
      <c r="H644" s="153" t="n"/>
      <c r="I644" s="153" t="n"/>
      <c r="J644" s="153" t="n"/>
      <c r="K644" s="153" t="n"/>
      <c r="L644" s="153" t="n"/>
      <c r="M644" s="153" t="n"/>
      <c r="N644" s="153" t="n"/>
      <c r="O644" s="153" t="n"/>
      <c r="P644" s="153" t="n"/>
      <c r="Q644" s="153" t="n"/>
      <c r="R644" s="153" t="n"/>
      <c r="S644" s="153" t="n"/>
      <c r="T644" s="153" t="n"/>
      <c r="U644" s="153" t="n"/>
      <c r="V644" s="153" t="n"/>
      <c r="W644" s="153" t="n"/>
      <c r="X644" s="153" t="n"/>
      <c r="Y644" s="153" t="n"/>
      <c r="Z644" s="153" t="n"/>
    </row>
    <row r="645" ht="15.75" customHeight="1" s="154">
      <c r="G645" s="153" t="n"/>
      <c r="H645" s="153" t="n"/>
      <c r="I645" s="153" t="n"/>
      <c r="J645" s="153" t="n"/>
      <c r="K645" s="153" t="n"/>
      <c r="L645" s="153" t="n"/>
      <c r="M645" s="153" t="n"/>
      <c r="N645" s="153" t="n"/>
      <c r="O645" s="153" t="n"/>
      <c r="P645" s="153" t="n"/>
      <c r="Q645" s="153" t="n"/>
      <c r="R645" s="153" t="n"/>
      <c r="S645" s="153" t="n"/>
      <c r="T645" s="153" t="n"/>
      <c r="U645" s="153" t="n"/>
      <c r="V645" s="153" t="n"/>
      <c r="W645" s="153" t="n"/>
      <c r="X645" s="153" t="n"/>
      <c r="Y645" s="153" t="n"/>
      <c r="Z645" s="153" t="n"/>
    </row>
    <row r="646" ht="15.75" customHeight="1" s="154">
      <c r="G646" s="153" t="n"/>
      <c r="H646" s="153" t="n"/>
      <c r="I646" s="153" t="n"/>
      <c r="J646" s="153" t="n"/>
      <c r="K646" s="153" t="n"/>
      <c r="L646" s="153" t="n"/>
      <c r="M646" s="153" t="n"/>
      <c r="N646" s="153" t="n"/>
      <c r="O646" s="153" t="n"/>
      <c r="P646" s="153" t="n"/>
      <c r="Q646" s="153" t="n"/>
      <c r="R646" s="153" t="n"/>
      <c r="S646" s="153" t="n"/>
      <c r="T646" s="153" t="n"/>
      <c r="U646" s="153" t="n"/>
      <c r="V646" s="153" t="n"/>
      <c r="W646" s="153" t="n"/>
      <c r="X646" s="153" t="n"/>
      <c r="Y646" s="153" t="n"/>
      <c r="Z646" s="153" t="n"/>
    </row>
    <row r="647" ht="15.75" customHeight="1" s="154">
      <c r="G647" s="153" t="n"/>
      <c r="H647" s="153" t="n"/>
      <c r="I647" s="153" t="n"/>
      <c r="J647" s="153" t="n"/>
      <c r="K647" s="153" t="n"/>
      <c r="L647" s="153" t="n"/>
      <c r="M647" s="153" t="n"/>
      <c r="N647" s="153" t="n"/>
      <c r="O647" s="153" t="n"/>
      <c r="P647" s="153" t="n"/>
      <c r="Q647" s="153" t="n"/>
      <c r="R647" s="153" t="n"/>
      <c r="S647" s="153" t="n"/>
      <c r="T647" s="153" t="n"/>
      <c r="U647" s="153" t="n"/>
      <c r="V647" s="153" t="n"/>
      <c r="W647" s="153" t="n"/>
      <c r="X647" s="153" t="n"/>
      <c r="Y647" s="153" t="n"/>
      <c r="Z647" s="153" t="n"/>
    </row>
    <row r="648" ht="15.75" customHeight="1" s="154">
      <c r="G648" s="153" t="n"/>
      <c r="H648" s="153" t="n"/>
      <c r="I648" s="153" t="n"/>
      <c r="J648" s="153" t="n"/>
      <c r="K648" s="153" t="n"/>
      <c r="L648" s="153" t="n"/>
      <c r="M648" s="153" t="n"/>
      <c r="N648" s="153" t="n"/>
      <c r="O648" s="153" t="n"/>
      <c r="P648" s="153" t="n"/>
      <c r="Q648" s="153" t="n"/>
      <c r="R648" s="153" t="n"/>
      <c r="S648" s="153" t="n"/>
      <c r="T648" s="153" t="n"/>
      <c r="U648" s="153" t="n"/>
      <c r="V648" s="153" t="n"/>
      <c r="W648" s="153" t="n"/>
      <c r="X648" s="153" t="n"/>
      <c r="Y648" s="153" t="n"/>
      <c r="Z648" s="153" t="n"/>
    </row>
    <row r="649" ht="15.75" customHeight="1" s="154">
      <c r="G649" s="153" t="n"/>
      <c r="H649" s="153" t="n"/>
      <c r="I649" s="153" t="n"/>
      <c r="J649" s="153" t="n"/>
      <c r="K649" s="153" t="n"/>
      <c r="L649" s="153" t="n"/>
      <c r="M649" s="153" t="n"/>
      <c r="N649" s="153" t="n"/>
      <c r="O649" s="153" t="n"/>
      <c r="P649" s="153" t="n"/>
      <c r="Q649" s="153" t="n"/>
      <c r="R649" s="153" t="n"/>
      <c r="S649" s="153" t="n"/>
      <c r="T649" s="153" t="n"/>
      <c r="U649" s="153" t="n"/>
      <c r="V649" s="153" t="n"/>
      <c r="W649" s="153" t="n"/>
      <c r="X649" s="153" t="n"/>
      <c r="Y649" s="153" t="n"/>
      <c r="Z649" s="153" t="n"/>
    </row>
    <row r="650" ht="15.75" customHeight="1" s="154">
      <c r="G650" s="153" t="n"/>
      <c r="H650" s="153" t="n"/>
      <c r="I650" s="153" t="n"/>
      <c r="J650" s="153" t="n"/>
      <c r="K650" s="153" t="n"/>
      <c r="L650" s="153" t="n"/>
      <c r="M650" s="153" t="n"/>
      <c r="N650" s="153" t="n"/>
      <c r="O650" s="153" t="n"/>
      <c r="P650" s="153" t="n"/>
      <c r="Q650" s="153" t="n"/>
      <c r="R650" s="153" t="n"/>
      <c r="S650" s="153" t="n"/>
      <c r="T650" s="153" t="n"/>
      <c r="U650" s="153" t="n"/>
      <c r="V650" s="153" t="n"/>
      <c r="W650" s="153" t="n"/>
      <c r="X650" s="153" t="n"/>
      <c r="Y650" s="153" t="n"/>
      <c r="Z650" s="153" t="n"/>
    </row>
    <row r="651" ht="15.75" customHeight="1" s="154">
      <c r="G651" s="153" t="n"/>
      <c r="H651" s="153" t="n"/>
      <c r="I651" s="153" t="n"/>
      <c r="J651" s="153" t="n"/>
      <c r="K651" s="153" t="n"/>
      <c r="L651" s="153" t="n"/>
      <c r="M651" s="153" t="n"/>
      <c r="N651" s="153" t="n"/>
      <c r="O651" s="153" t="n"/>
      <c r="P651" s="153" t="n"/>
      <c r="Q651" s="153" t="n"/>
      <c r="R651" s="153" t="n"/>
      <c r="S651" s="153" t="n"/>
      <c r="T651" s="153" t="n"/>
      <c r="U651" s="153" t="n"/>
      <c r="V651" s="153" t="n"/>
      <c r="W651" s="153" t="n"/>
      <c r="X651" s="153" t="n"/>
      <c r="Y651" s="153" t="n"/>
      <c r="Z651" s="153" t="n"/>
    </row>
    <row r="652" ht="15.75" customHeight="1" s="154">
      <c r="G652" s="153" t="n"/>
      <c r="H652" s="153" t="n"/>
      <c r="I652" s="153" t="n"/>
      <c r="J652" s="153" t="n"/>
      <c r="K652" s="153" t="n"/>
      <c r="L652" s="153" t="n"/>
      <c r="M652" s="153" t="n"/>
      <c r="N652" s="153" t="n"/>
      <c r="O652" s="153" t="n"/>
      <c r="P652" s="153" t="n"/>
      <c r="Q652" s="153" t="n"/>
      <c r="R652" s="153" t="n"/>
      <c r="S652" s="153" t="n"/>
      <c r="T652" s="153" t="n"/>
      <c r="U652" s="153" t="n"/>
      <c r="V652" s="153" t="n"/>
      <c r="W652" s="153" t="n"/>
      <c r="X652" s="153" t="n"/>
      <c r="Y652" s="153" t="n"/>
      <c r="Z652" s="153" t="n"/>
    </row>
    <row r="653" ht="15.75" customHeight="1" s="154">
      <c r="G653" s="153" t="n"/>
      <c r="H653" s="153" t="n"/>
      <c r="I653" s="153" t="n"/>
      <c r="J653" s="153" t="n"/>
      <c r="K653" s="153" t="n"/>
      <c r="L653" s="153" t="n"/>
      <c r="M653" s="153" t="n"/>
      <c r="N653" s="153" t="n"/>
      <c r="O653" s="153" t="n"/>
      <c r="P653" s="153" t="n"/>
      <c r="Q653" s="153" t="n"/>
      <c r="R653" s="153" t="n"/>
      <c r="S653" s="153" t="n"/>
      <c r="T653" s="153" t="n"/>
      <c r="U653" s="153" t="n"/>
      <c r="V653" s="153" t="n"/>
      <c r="W653" s="153" t="n"/>
      <c r="X653" s="153" t="n"/>
      <c r="Y653" s="153" t="n"/>
      <c r="Z653" s="153" t="n"/>
    </row>
    <row r="654" ht="15.75" customHeight="1" s="154">
      <c r="G654" s="153" t="n"/>
      <c r="H654" s="153" t="n"/>
      <c r="I654" s="153" t="n"/>
      <c r="J654" s="153" t="n"/>
      <c r="K654" s="153" t="n"/>
      <c r="L654" s="153" t="n"/>
      <c r="M654" s="153" t="n"/>
      <c r="N654" s="153" t="n"/>
      <c r="O654" s="153" t="n"/>
      <c r="P654" s="153" t="n"/>
      <c r="Q654" s="153" t="n"/>
      <c r="R654" s="153" t="n"/>
      <c r="S654" s="153" t="n"/>
      <c r="T654" s="153" t="n"/>
      <c r="U654" s="153" t="n"/>
      <c r="V654" s="153" t="n"/>
      <c r="W654" s="153" t="n"/>
      <c r="X654" s="153" t="n"/>
      <c r="Y654" s="153" t="n"/>
      <c r="Z654" s="153" t="n"/>
    </row>
    <row r="655" ht="15.75" customHeight="1" s="154">
      <c r="G655" s="153" t="n"/>
      <c r="H655" s="153" t="n"/>
      <c r="I655" s="153" t="n"/>
      <c r="J655" s="153" t="n"/>
      <c r="K655" s="153" t="n"/>
      <c r="L655" s="153" t="n"/>
      <c r="M655" s="153" t="n"/>
      <c r="N655" s="153" t="n"/>
      <c r="O655" s="153" t="n"/>
      <c r="P655" s="153" t="n"/>
      <c r="Q655" s="153" t="n"/>
      <c r="R655" s="153" t="n"/>
      <c r="S655" s="153" t="n"/>
      <c r="T655" s="153" t="n"/>
      <c r="U655" s="153" t="n"/>
      <c r="V655" s="153" t="n"/>
      <c r="W655" s="153" t="n"/>
      <c r="X655" s="153" t="n"/>
      <c r="Y655" s="153" t="n"/>
      <c r="Z655" s="153" t="n"/>
    </row>
    <row r="656" ht="15.75" customHeight="1" s="154">
      <c r="G656" s="153" t="n"/>
      <c r="H656" s="153" t="n"/>
      <c r="I656" s="153" t="n"/>
      <c r="J656" s="153" t="n"/>
      <c r="K656" s="153" t="n"/>
      <c r="L656" s="153" t="n"/>
      <c r="M656" s="153" t="n"/>
      <c r="N656" s="153" t="n"/>
      <c r="O656" s="153" t="n"/>
      <c r="P656" s="153" t="n"/>
      <c r="Q656" s="153" t="n"/>
      <c r="R656" s="153" t="n"/>
      <c r="S656" s="153" t="n"/>
      <c r="T656" s="153" t="n"/>
      <c r="U656" s="153" t="n"/>
      <c r="V656" s="153" t="n"/>
      <c r="W656" s="153" t="n"/>
      <c r="X656" s="153" t="n"/>
      <c r="Y656" s="153" t="n"/>
      <c r="Z656" s="153" t="n"/>
    </row>
    <row r="657" ht="15.75" customHeight="1" s="154">
      <c r="G657" s="153" t="n"/>
      <c r="H657" s="153" t="n"/>
      <c r="I657" s="153" t="n"/>
      <c r="J657" s="153" t="n"/>
      <c r="K657" s="153" t="n"/>
      <c r="L657" s="153" t="n"/>
      <c r="M657" s="153" t="n"/>
      <c r="N657" s="153" t="n"/>
      <c r="O657" s="153" t="n"/>
      <c r="P657" s="153" t="n"/>
      <c r="Q657" s="153" t="n"/>
      <c r="R657" s="153" t="n"/>
      <c r="S657" s="153" t="n"/>
      <c r="T657" s="153" t="n"/>
      <c r="U657" s="153" t="n"/>
      <c r="V657" s="153" t="n"/>
      <c r="W657" s="153" t="n"/>
      <c r="X657" s="153" t="n"/>
      <c r="Y657" s="153" t="n"/>
      <c r="Z657" s="153" t="n"/>
    </row>
    <row r="658" ht="15.75" customHeight="1" s="154">
      <c r="G658" s="153" t="n"/>
      <c r="H658" s="153" t="n"/>
      <c r="I658" s="153" t="n"/>
      <c r="J658" s="153" t="n"/>
      <c r="K658" s="153" t="n"/>
      <c r="L658" s="153" t="n"/>
      <c r="M658" s="153" t="n"/>
      <c r="N658" s="153" t="n"/>
      <c r="O658" s="153" t="n"/>
      <c r="P658" s="153" t="n"/>
      <c r="Q658" s="153" t="n"/>
      <c r="R658" s="153" t="n"/>
      <c r="S658" s="153" t="n"/>
      <c r="T658" s="153" t="n"/>
      <c r="U658" s="153" t="n"/>
      <c r="V658" s="153" t="n"/>
      <c r="W658" s="153" t="n"/>
      <c r="X658" s="153" t="n"/>
      <c r="Y658" s="153" t="n"/>
      <c r="Z658" s="153" t="n"/>
    </row>
    <row r="659" ht="15.75" customHeight="1" s="154">
      <c r="G659" s="153" t="n"/>
      <c r="H659" s="153" t="n"/>
      <c r="I659" s="153" t="n"/>
      <c r="J659" s="153" t="n"/>
      <c r="K659" s="153" t="n"/>
      <c r="L659" s="153" t="n"/>
      <c r="M659" s="153" t="n"/>
      <c r="N659" s="153" t="n"/>
      <c r="O659" s="153" t="n"/>
      <c r="P659" s="153" t="n"/>
      <c r="Q659" s="153" t="n"/>
      <c r="R659" s="153" t="n"/>
      <c r="S659" s="153" t="n"/>
      <c r="T659" s="153" t="n"/>
      <c r="U659" s="153" t="n"/>
      <c r="V659" s="153" t="n"/>
      <c r="W659" s="153" t="n"/>
      <c r="X659" s="153" t="n"/>
      <c r="Y659" s="153" t="n"/>
      <c r="Z659" s="153" t="n"/>
    </row>
    <row r="660" ht="15.75" customHeight="1" s="154">
      <c r="G660" s="153" t="n"/>
      <c r="H660" s="153" t="n"/>
      <c r="I660" s="153" t="n"/>
      <c r="J660" s="153" t="n"/>
      <c r="K660" s="153" t="n"/>
      <c r="L660" s="153" t="n"/>
      <c r="M660" s="153" t="n"/>
      <c r="N660" s="153" t="n"/>
      <c r="O660" s="153" t="n"/>
      <c r="P660" s="153" t="n"/>
      <c r="Q660" s="153" t="n"/>
      <c r="R660" s="153" t="n"/>
      <c r="S660" s="153" t="n"/>
      <c r="T660" s="153" t="n"/>
      <c r="U660" s="153" t="n"/>
      <c r="V660" s="153" t="n"/>
      <c r="W660" s="153" t="n"/>
      <c r="X660" s="153" t="n"/>
      <c r="Y660" s="153" t="n"/>
      <c r="Z660" s="153" t="n"/>
    </row>
    <row r="661" ht="15.75" customHeight="1" s="154">
      <c r="G661" s="153" t="n"/>
      <c r="H661" s="153" t="n"/>
      <c r="I661" s="153" t="n"/>
      <c r="J661" s="153" t="n"/>
      <c r="K661" s="153" t="n"/>
      <c r="L661" s="153" t="n"/>
      <c r="M661" s="153" t="n"/>
      <c r="N661" s="153" t="n"/>
      <c r="O661" s="153" t="n"/>
      <c r="P661" s="153" t="n"/>
      <c r="Q661" s="153" t="n"/>
      <c r="R661" s="153" t="n"/>
      <c r="S661" s="153" t="n"/>
      <c r="T661" s="153" t="n"/>
      <c r="U661" s="153" t="n"/>
      <c r="V661" s="153" t="n"/>
      <c r="W661" s="153" t="n"/>
      <c r="X661" s="153" t="n"/>
      <c r="Y661" s="153" t="n"/>
      <c r="Z661" s="153" t="n"/>
    </row>
    <row r="662" ht="15.75" customHeight="1" s="154">
      <c r="G662" s="153" t="n"/>
      <c r="H662" s="153" t="n"/>
      <c r="I662" s="153" t="n"/>
      <c r="J662" s="153" t="n"/>
      <c r="K662" s="153" t="n"/>
      <c r="L662" s="153" t="n"/>
      <c r="M662" s="153" t="n"/>
      <c r="N662" s="153" t="n"/>
      <c r="O662" s="153" t="n"/>
      <c r="P662" s="153" t="n"/>
      <c r="Q662" s="153" t="n"/>
      <c r="R662" s="153" t="n"/>
      <c r="S662" s="153" t="n"/>
      <c r="T662" s="153" t="n"/>
      <c r="U662" s="153" t="n"/>
      <c r="V662" s="153" t="n"/>
      <c r="W662" s="153" t="n"/>
      <c r="X662" s="153" t="n"/>
      <c r="Y662" s="153" t="n"/>
      <c r="Z662" s="153" t="n"/>
    </row>
    <row r="663" ht="15.75" customHeight="1" s="154">
      <c r="G663" s="153" t="n"/>
      <c r="H663" s="153" t="n"/>
      <c r="I663" s="153" t="n"/>
      <c r="J663" s="153" t="n"/>
      <c r="K663" s="153" t="n"/>
      <c r="L663" s="153" t="n"/>
      <c r="M663" s="153" t="n"/>
      <c r="N663" s="153" t="n"/>
      <c r="O663" s="153" t="n"/>
      <c r="P663" s="153" t="n"/>
      <c r="Q663" s="153" t="n"/>
      <c r="R663" s="153" t="n"/>
      <c r="S663" s="153" t="n"/>
      <c r="T663" s="153" t="n"/>
      <c r="U663" s="153" t="n"/>
      <c r="V663" s="153" t="n"/>
      <c r="W663" s="153" t="n"/>
      <c r="X663" s="153" t="n"/>
      <c r="Y663" s="153" t="n"/>
      <c r="Z663" s="153" t="n"/>
    </row>
    <row r="664" ht="15.75" customHeight="1" s="154">
      <c r="G664" s="153" t="n"/>
      <c r="H664" s="153" t="n"/>
      <c r="I664" s="153" t="n"/>
      <c r="J664" s="153" t="n"/>
      <c r="K664" s="153" t="n"/>
      <c r="L664" s="153" t="n"/>
      <c r="M664" s="153" t="n"/>
      <c r="N664" s="153" t="n"/>
      <c r="O664" s="153" t="n"/>
      <c r="P664" s="153" t="n"/>
      <c r="Q664" s="153" t="n"/>
      <c r="R664" s="153" t="n"/>
      <c r="S664" s="153" t="n"/>
      <c r="T664" s="153" t="n"/>
      <c r="U664" s="153" t="n"/>
      <c r="V664" s="153" t="n"/>
      <c r="W664" s="153" t="n"/>
      <c r="X664" s="153" t="n"/>
      <c r="Y664" s="153" t="n"/>
      <c r="Z664" s="153" t="n"/>
    </row>
    <row r="665" ht="15.75" customHeight="1" s="154">
      <c r="G665" s="153" t="n"/>
      <c r="H665" s="153" t="n"/>
      <c r="I665" s="153" t="n"/>
      <c r="J665" s="153" t="n"/>
      <c r="K665" s="153" t="n"/>
      <c r="L665" s="153" t="n"/>
      <c r="M665" s="153" t="n"/>
      <c r="N665" s="153" t="n"/>
      <c r="O665" s="153" t="n"/>
      <c r="P665" s="153" t="n"/>
      <c r="Q665" s="153" t="n"/>
      <c r="R665" s="153" t="n"/>
      <c r="S665" s="153" t="n"/>
      <c r="T665" s="153" t="n"/>
      <c r="U665" s="153" t="n"/>
      <c r="V665" s="153" t="n"/>
      <c r="W665" s="153" t="n"/>
      <c r="X665" s="153" t="n"/>
      <c r="Y665" s="153" t="n"/>
      <c r="Z665" s="153" t="n"/>
    </row>
    <row r="666" ht="15.75" customHeight="1" s="154">
      <c r="G666" s="153" t="n"/>
      <c r="H666" s="153" t="n"/>
      <c r="I666" s="153" t="n"/>
      <c r="J666" s="153" t="n"/>
      <c r="K666" s="153" t="n"/>
      <c r="L666" s="153" t="n"/>
      <c r="M666" s="153" t="n"/>
      <c r="N666" s="153" t="n"/>
      <c r="O666" s="153" t="n"/>
      <c r="P666" s="153" t="n"/>
      <c r="Q666" s="153" t="n"/>
      <c r="R666" s="153" t="n"/>
      <c r="S666" s="153" t="n"/>
      <c r="T666" s="153" t="n"/>
      <c r="U666" s="153" t="n"/>
      <c r="V666" s="153" t="n"/>
      <c r="W666" s="153" t="n"/>
      <c r="X666" s="153" t="n"/>
      <c r="Y666" s="153" t="n"/>
      <c r="Z666" s="153" t="n"/>
    </row>
    <row r="667" ht="15.75" customHeight="1" s="154">
      <c r="G667" s="153" t="n"/>
      <c r="H667" s="153" t="n"/>
      <c r="I667" s="153" t="n"/>
      <c r="J667" s="153" t="n"/>
      <c r="K667" s="153" t="n"/>
      <c r="L667" s="153" t="n"/>
      <c r="M667" s="153" t="n"/>
      <c r="N667" s="153" t="n"/>
      <c r="O667" s="153" t="n"/>
      <c r="P667" s="153" t="n"/>
      <c r="Q667" s="153" t="n"/>
      <c r="R667" s="153" t="n"/>
      <c r="S667" s="153" t="n"/>
      <c r="T667" s="153" t="n"/>
      <c r="U667" s="153" t="n"/>
      <c r="V667" s="153" t="n"/>
      <c r="W667" s="153" t="n"/>
      <c r="X667" s="153" t="n"/>
      <c r="Y667" s="153" t="n"/>
      <c r="Z667" s="153" t="n"/>
    </row>
    <row r="668" ht="15.75" customHeight="1" s="154">
      <c r="G668" s="153" t="n"/>
      <c r="H668" s="153" t="n"/>
      <c r="I668" s="153" t="n"/>
      <c r="J668" s="153" t="n"/>
      <c r="K668" s="153" t="n"/>
      <c r="L668" s="153" t="n"/>
      <c r="M668" s="153" t="n"/>
      <c r="N668" s="153" t="n"/>
      <c r="O668" s="153" t="n"/>
      <c r="P668" s="153" t="n"/>
      <c r="Q668" s="153" t="n"/>
      <c r="R668" s="153" t="n"/>
      <c r="S668" s="153" t="n"/>
      <c r="T668" s="153" t="n"/>
      <c r="U668" s="153" t="n"/>
      <c r="V668" s="153" t="n"/>
      <c r="W668" s="153" t="n"/>
      <c r="X668" s="153" t="n"/>
      <c r="Y668" s="153" t="n"/>
      <c r="Z668" s="153" t="n"/>
    </row>
    <row r="669" ht="15.75" customHeight="1" s="154">
      <c r="G669" s="153" t="n"/>
      <c r="H669" s="153" t="n"/>
      <c r="I669" s="153" t="n"/>
      <c r="J669" s="153" t="n"/>
      <c r="K669" s="153" t="n"/>
      <c r="L669" s="153" t="n"/>
      <c r="M669" s="153" t="n"/>
      <c r="N669" s="153" t="n"/>
      <c r="O669" s="153" t="n"/>
      <c r="P669" s="153" t="n"/>
      <c r="Q669" s="153" t="n"/>
      <c r="R669" s="153" t="n"/>
      <c r="S669" s="153" t="n"/>
      <c r="T669" s="153" t="n"/>
      <c r="U669" s="153" t="n"/>
      <c r="V669" s="153" t="n"/>
      <c r="W669" s="153" t="n"/>
      <c r="X669" s="153" t="n"/>
      <c r="Y669" s="153" t="n"/>
      <c r="Z669" s="153" t="n"/>
    </row>
    <row r="670" ht="15.75" customHeight="1" s="154">
      <c r="G670" s="153" t="n"/>
      <c r="H670" s="153" t="n"/>
      <c r="I670" s="153" t="n"/>
      <c r="J670" s="153" t="n"/>
      <c r="K670" s="153" t="n"/>
      <c r="L670" s="153" t="n"/>
      <c r="M670" s="153" t="n"/>
      <c r="N670" s="153" t="n"/>
      <c r="O670" s="153" t="n"/>
      <c r="P670" s="153" t="n"/>
      <c r="Q670" s="153" t="n"/>
      <c r="R670" s="153" t="n"/>
      <c r="S670" s="153" t="n"/>
      <c r="T670" s="153" t="n"/>
      <c r="U670" s="153" t="n"/>
      <c r="V670" s="153" t="n"/>
      <c r="W670" s="153" t="n"/>
      <c r="X670" s="153" t="n"/>
      <c r="Y670" s="153" t="n"/>
      <c r="Z670" s="153" t="n"/>
    </row>
    <row r="671" ht="15.75" customHeight="1" s="154">
      <c r="G671" s="153" t="n"/>
      <c r="H671" s="153" t="n"/>
      <c r="I671" s="153" t="n"/>
      <c r="J671" s="153" t="n"/>
      <c r="K671" s="153" t="n"/>
      <c r="L671" s="153" t="n"/>
      <c r="M671" s="153" t="n"/>
      <c r="N671" s="153" t="n"/>
      <c r="O671" s="153" t="n"/>
      <c r="P671" s="153" t="n"/>
      <c r="Q671" s="153" t="n"/>
      <c r="R671" s="153" t="n"/>
      <c r="S671" s="153" t="n"/>
      <c r="T671" s="153" t="n"/>
      <c r="U671" s="153" t="n"/>
      <c r="V671" s="153" t="n"/>
      <c r="W671" s="153" t="n"/>
      <c r="X671" s="153" t="n"/>
      <c r="Y671" s="153" t="n"/>
      <c r="Z671" s="153" t="n"/>
    </row>
    <row r="672" ht="15.75" customHeight="1" s="154">
      <c r="G672" s="153" t="n"/>
      <c r="H672" s="153" t="n"/>
      <c r="I672" s="153" t="n"/>
      <c r="J672" s="153" t="n"/>
      <c r="K672" s="153" t="n"/>
      <c r="L672" s="153" t="n"/>
      <c r="M672" s="153" t="n"/>
      <c r="N672" s="153" t="n"/>
      <c r="O672" s="153" t="n"/>
      <c r="P672" s="153" t="n"/>
      <c r="Q672" s="153" t="n"/>
      <c r="R672" s="153" t="n"/>
      <c r="S672" s="153" t="n"/>
      <c r="T672" s="153" t="n"/>
      <c r="U672" s="153" t="n"/>
      <c r="V672" s="153" t="n"/>
      <c r="W672" s="153" t="n"/>
      <c r="X672" s="153" t="n"/>
      <c r="Y672" s="153" t="n"/>
      <c r="Z672" s="153" t="n"/>
    </row>
    <row r="673" ht="15.75" customHeight="1" s="154">
      <c r="G673" s="153" t="n"/>
      <c r="H673" s="153" t="n"/>
      <c r="I673" s="153" t="n"/>
      <c r="J673" s="153" t="n"/>
      <c r="K673" s="153" t="n"/>
      <c r="L673" s="153" t="n"/>
      <c r="M673" s="153" t="n"/>
      <c r="N673" s="153" t="n"/>
      <c r="O673" s="153" t="n"/>
      <c r="P673" s="153" t="n"/>
      <c r="Q673" s="153" t="n"/>
      <c r="R673" s="153" t="n"/>
      <c r="S673" s="153" t="n"/>
      <c r="T673" s="153" t="n"/>
      <c r="U673" s="153" t="n"/>
      <c r="V673" s="153" t="n"/>
      <c r="W673" s="153" t="n"/>
      <c r="X673" s="153" t="n"/>
      <c r="Y673" s="153" t="n"/>
      <c r="Z673" s="153" t="n"/>
    </row>
    <row r="674" ht="15.75" customHeight="1" s="154">
      <c r="G674" s="153" t="n"/>
      <c r="H674" s="153" t="n"/>
      <c r="I674" s="153" t="n"/>
      <c r="J674" s="153" t="n"/>
      <c r="K674" s="153" t="n"/>
      <c r="L674" s="153" t="n"/>
      <c r="M674" s="153" t="n"/>
      <c r="N674" s="153" t="n"/>
      <c r="O674" s="153" t="n"/>
      <c r="P674" s="153" t="n"/>
      <c r="Q674" s="153" t="n"/>
      <c r="R674" s="153" t="n"/>
      <c r="S674" s="153" t="n"/>
      <c r="T674" s="153" t="n"/>
      <c r="U674" s="153" t="n"/>
      <c r="V674" s="153" t="n"/>
      <c r="W674" s="153" t="n"/>
      <c r="X674" s="153" t="n"/>
      <c r="Y674" s="153" t="n"/>
      <c r="Z674" s="153" t="n"/>
    </row>
    <row r="675" ht="15.75" customHeight="1" s="154">
      <c r="G675" s="153" t="n"/>
      <c r="H675" s="153" t="n"/>
      <c r="I675" s="153" t="n"/>
      <c r="J675" s="153" t="n"/>
      <c r="K675" s="153" t="n"/>
      <c r="L675" s="153" t="n"/>
      <c r="M675" s="153" t="n"/>
      <c r="N675" s="153" t="n"/>
      <c r="O675" s="153" t="n"/>
      <c r="P675" s="153" t="n"/>
      <c r="Q675" s="153" t="n"/>
      <c r="R675" s="153" t="n"/>
      <c r="S675" s="153" t="n"/>
      <c r="T675" s="153" t="n"/>
      <c r="U675" s="153" t="n"/>
      <c r="V675" s="153" t="n"/>
      <c r="W675" s="153" t="n"/>
      <c r="X675" s="153" t="n"/>
      <c r="Y675" s="153" t="n"/>
      <c r="Z675" s="153" t="n"/>
    </row>
    <row r="676" ht="15.75" customHeight="1" s="154">
      <c r="G676" s="153" t="n"/>
      <c r="H676" s="153" t="n"/>
      <c r="I676" s="153" t="n"/>
      <c r="J676" s="153" t="n"/>
      <c r="K676" s="153" t="n"/>
      <c r="L676" s="153" t="n"/>
      <c r="M676" s="153" t="n"/>
      <c r="N676" s="153" t="n"/>
      <c r="O676" s="153" t="n"/>
      <c r="P676" s="153" t="n"/>
      <c r="Q676" s="153" t="n"/>
      <c r="R676" s="153" t="n"/>
      <c r="S676" s="153" t="n"/>
      <c r="T676" s="153" t="n"/>
      <c r="U676" s="153" t="n"/>
      <c r="V676" s="153" t="n"/>
      <c r="W676" s="153" t="n"/>
      <c r="X676" s="153" t="n"/>
      <c r="Y676" s="153" t="n"/>
      <c r="Z676" s="153" t="n"/>
    </row>
    <row r="677" ht="15.75" customHeight="1" s="154">
      <c r="G677" s="153" t="n"/>
      <c r="H677" s="153" t="n"/>
      <c r="I677" s="153" t="n"/>
      <c r="J677" s="153" t="n"/>
      <c r="K677" s="153" t="n"/>
      <c r="L677" s="153" t="n"/>
      <c r="M677" s="153" t="n"/>
      <c r="N677" s="153" t="n"/>
      <c r="O677" s="153" t="n"/>
      <c r="P677" s="153" t="n"/>
      <c r="Q677" s="153" t="n"/>
      <c r="R677" s="153" t="n"/>
      <c r="S677" s="153" t="n"/>
      <c r="T677" s="153" t="n"/>
      <c r="U677" s="153" t="n"/>
      <c r="V677" s="153" t="n"/>
      <c r="W677" s="153" t="n"/>
      <c r="X677" s="153" t="n"/>
      <c r="Y677" s="153" t="n"/>
      <c r="Z677" s="153" t="n"/>
    </row>
    <row r="678" ht="15.75" customHeight="1" s="154">
      <c r="G678" s="153" t="n"/>
      <c r="H678" s="153" t="n"/>
      <c r="I678" s="153" t="n"/>
      <c r="J678" s="153" t="n"/>
      <c r="K678" s="153" t="n"/>
      <c r="L678" s="153" t="n"/>
      <c r="M678" s="153" t="n"/>
      <c r="N678" s="153" t="n"/>
      <c r="O678" s="153" t="n"/>
      <c r="P678" s="153" t="n"/>
      <c r="Q678" s="153" t="n"/>
      <c r="R678" s="153" t="n"/>
      <c r="S678" s="153" t="n"/>
      <c r="T678" s="153" t="n"/>
      <c r="U678" s="153" t="n"/>
      <c r="V678" s="153" t="n"/>
      <c r="W678" s="153" t="n"/>
      <c r="X678" s="153" t="n"/>
      <c r="Y678" s="153" t="n"/>
      <c r="Z678" s="153" t="n"/>
    </row>
    <row r="679" ht="15.75" customHeight="1" s="154">
      <c r="G679" s="153" t="n"/>
      <c r="H679" s="153" t="n"/>
      <c r="I679" s="153" t="n"/>
      <c r="J679" s="153" t="n"/>
      <c r="K679" s="153" t="n"/>
      <c r="L679" s="153" t="n"/>
      <c r="M679" s="153" t="n"/>
      <c r="N679" s="153" t="n"/>
      <c r="O679" s="153" t="n"/>
      <c r="P679" s="153" t="n"/>
      <c r="Q679" s="153" t="n"/>
      <c r="R679" s="153" t="n"/>
      <c r="S679" s="153" t="n"/>
      <c r="T679" s="153" t="n"/>
      <c r="U679" s="153" t="n"/>
      <c r="V679" s="153" t="n"/>
      <c r="W679" s="153" t="n"/>
      <c r="X679" s="153" t="n"/>
      <c r="Y679" s="153" t="n"/>
      <c r="Z679" s="153" t="n"/>
    </row>
    <row r="680" ht="15.75" customHeight="1" s="154">
      <c r="G680" s="153" t="n"/>
      <c r="H680" s="153" t="n"/>
      <c r="I680" s="153" t="n"/>
      <c r="J680" s="153" t="n"/>
      <c r="K680" s="153" t="n"/>
      <c r="L680" s="153" t="n"/>
      <c r="M680" s="153" t="n"/>
      <c r="N680" s="153" t="n"/>
      <c r="O680" s="153" t="n"/>
      <c r="P680" s="153" t="n"/>
      <c r="Q680" s="153" t="n"/>
      <c r="R680" s="153" t="n"/>
      <c r="S680" s="153" t="n"/>
      <c r="T680" s="153" t="n"/>
      <c r="U680" s="153" t="n"/>
      <c r="V680" s="153" t="n"/>
      <c r="W680" s="153" t="n"/>
      <c r="X680" s="153" t="n"/>
      <c r="Y680" s="153" t="n"/>
      <c r="Z680" s="153" t="n"/>
    </row>
    <row r="681" ht="15.75" customHeight="1" s="154">
      <c r="G681" s="153" t="n"/>
      <c r="H681" s="153" t="n"/>
      <c r="I681" s="153" t="n"/>
      <c r="J681" s="153" t="n"/>
      <c r="K681" s="153" t="n"/>
      <c r="L681" s="153" t="n"/>
      <c r="M681" s="153" t="n"/>
      <c r="N681" s="153" t="n"/>
      <c r="O681" s="153" t="n"/>
      <c r="P681" s="153" t="n"/>
      <c r="Q681" s="153" t="n"/>
      <c r="R681" s="153" t="n"/>
      <c r="S681" s="153" t="n"/>
      <c r="T681" s="153" t="n"/>
      <c r="U681" s="153" t="n"/>
      <c r="V681" s="153" t="n"/>
      <c r="W681" s="153" t="n"/>
      <c r="X681" s="153" t="n"/>
      <c r="Y681" s="153" t="n"/>
      <c r="Z681" s="153" t="n"/>
    </row>
    <row r="682" ht="15.75" customHeight="1" s="154">
      <c r="G682" s="153" t="n"/>
      <c r="H682" s="153" t="n"/>
      <c r="I682" s="153" t="n"/>
      <c r="J682" s="153" t="n"/>
      <c r="K682" s="153" t="n"/>
      <c r="L682" s="153" t="n"/>
      <c r="M682" s="153" t="n"/>
      <c r="N682" s="153" t="n"/>
      <c r="O682" s="153" t="n"/>
      <c r="P682" s="153" t="n"/>
      <c r="Q682" s="153" t="n"/>
      <c r="R682" s="153" t="n"/>
      <c r="S682" s="153" t="n"/>
      <c r="T682" s="153" t="n"/>
      <c r="U682" s="153" t="n"/>
      <c r="V682" s="153" t="n"/>
      <c r="W682" s="153" t="n"/>
      <c r="X682" s="153" t="n"/>
      <c r="Y682" s="153" t="n"/>
      <c r="Z682" s="153" t="n"/>
    </row>
    <row r="683" ht="15.75" customHeight="1" s="154">
      <c r="G683" s="153" t="n"/>
      <c r="H683" s="153" t="n"/>
      <c r="I683" s="153" t="n"/>
      <c r="J683" s="153" t="n"/>
      <c r="K683" s="153" t="n"/>
      <c r="L683" s="153" t="n"/>
      <c r="M683" s="153" t="n"/>
      <c r="N683" s="153" t="n"/>
      <c r="O683" s="153" t="n"/>
      <c r="P683" s="153" t="n"/>
      <c r="Q683" s="153" t="n"/>
      <c r="R683" s="153" t="n"/>
      <c r="S683" s="153" t="n"/>
      <c r="T683" s="153" t="n"/>
      <c r="U683" s="153" t="n"/>
      <c r="V683" s="153" t="n"/>
      <c r="W683" s="153" t="n"/>
      <c r="X683" s="153" t="n"/>
      <c r="Y683" s="153" t="n"/>
      <c r="Z683" s="153" t="n"/>
    </row>
    <row r="684" ht="15.75" customHeight="1" s="154">
      <c r="G684" s="153" t="n"/>
      <c r="H684" s="153" t="n"/>
      <c r="I684" s="153" t="n"/>
      <c r="J684" s="153" t="n"/>
      <c r="K684" s="153" t="n"/>
      <c r="L684" s="153" t="n"/>
      <c r="M684" s="153" t="n"/>
      <c r="N684" s="153" t="n"/>
      <c r="O684" s="153" t="n"/>
      <c r="P684" s="153" t="n"/>
      <c r="Q684" s="153" t="n"/>
      <c r="R684" s="153" t="n"/>
      <c r="S684" s="153" t="n"/>
      <c r="T684" s="153" t="n"/>
      <c r="U684" s="153" t="n"/>
      <c r="V684" s="153" t="n"/>
      <c r="W684" s="153" t="n"/>
      <c r="X684" s="153" t="n"/>
      <c r="Y684" s="153" t="n"/>
      <c r="Z684" s="153" t="n"/>
    </row>
    <row r="685" ht="15.75" customHeight="1" s="154">
      <c r="G685" s="153" t="n"/>
      <c r="H685" s="153" t="n"/>
      <c r="I685" s="153" t="n"/>
      <c r="J685" s="153" t="n"/>
      <c r="K685" s="153" t="n"/>
      <c r="L685" s="153" t="n"/>
      <c r="M685" s="153" t="n"/>
      <c r="N685" s="153" t="n"/>
      <c r="O685" s="153" t="n"/>
      <c r="P685" s="153" t="n"/>
      <c r="Q685" s="153" t="n"/>
      <c r="R685" s="153" t="n"/>
      <c r="S685" s="153" t="n"/>
      <c r="T685" s="153" t="n"/>
      <c r="U685" s="153" t="n"/>
      <c r="V685" s="153" t="n"/>
      <c r="W685" s="153" t="n"/>
      <c r="X685" s="153" t="n"/>
      <c r="Y685" s="153" t="n"/>
      <c r="Z685" s="153" t="n"/>
    </row>
    <row r="686" ht="15.75" customHeight="1" s="154">
      <c r="G686" s="153" t="n"/>
      <c r="H686" s="153" t="n"/>
      <c r="I686" s="153" t="n"/>
      <c r="J686" s="153" t="n"/>
      <c r="K686" s="153" t="n"/>
      <c r="L686" s="153" t="n"/>
      <c r="M686" s="153" t="n"/>
      <c r="N686" s="153" t="n"/>
      <c r="O686" s="153" t="n"/>
      <c r="P686" s="153" t="n"/>
      <c r="Q686" s="153" t="n"/>
      <c r="R686" s="153" t="n"/>
      <c r="S686" s="153" t="n"/>
      <c r="T686" s="153" t="n"/>
      <c r="U686" s="153" t="n"/>
      <c r="V686" s="153" t="n"/>
      <c r="W686" s="153" t="n"/>
      <c r="X686" s="153" t="n"/>
      <c r="Y686" s="153" t="n"/>
      <c r="Z686" s="153" t="n"/>
    </row>
    <row r="687" ht="15.75" customHeight="1" s="154">
      <c r="G687" s="153" t="n"/>
      <c r="H687" s="153" t="n"/>
      <c r="I687" s="153" t="n"/>
      <c r="J687" s="153" t="n"/>
      <c r="K687" s="153" t="n"/>
      <c r="L687" s="153" t="n"/>
      <c r="M687" s="153" t="n"/>
      <c r="N687" s="153" t="n"/>
      <c r="O687" s="153" t="n"/>
      <c r="P687" s="153" t="n"/>
      <c r="Q687" s="153" t="n"/>
      <c r="R687" s="153" t="n"/>
      <c r="S687" s="153" t="n"/>
      <c r="T687" s="153" t="n"/>
      <c r="U687" s="153" t="n"/>
      <c r="V687" s="153" t="n"/>
      <c r="W687" s="153" t="n"/>
      <c r="X687" s="153" t="n"/>
      <c r="Y687" s="153" t="n"/>
      <c r="Z687" s="153" t="n"/>
    </row>
    <row r="688" ht="15.75" customHeight="1" s="154">
      <c r="G688" s="153" t="n"/>
      <c r="H688" s="153" t="n"/>
      <c r="I688" s="153" t="n"/>
      <c r="J688" s="153" t="n"/>
      <c r="K688" s="153" t="n"/>
      <c r="L688" s="153" t="n"/>
      <c r="M688" s="153" t="n"/>
      <c r="N688" s="153" t="n"/>
      <c r="O688" s="153" t="n"/>
      <c r="P688" s="153" t="n"/>
      <c r="Q688" s="153" t="n"/>
      <c r="R688" s="153" t="n"/>
      <c r="S688" s="153" t="n"/>
      <c r="T688" s="153" t="n"/>
      <c r="U688" s="153" t="n"/>
      <c r="V688" s="153" t="n"/>
      <c r="W688" s="153" t="n"/>
      <c r="X688" s="153" t="n"/>
      <c r="Y688" s="153" t="n"/>
      <c r="Z688" s="153" t="n"/>
    </row>
    <row r="689" ht="15.75" customHeight="1" s="154">
      <c r="G689" s="153" t="n"/>
      <c r="H689" s="153" t="n"/>
      <c r="I689" s="153" t="n"/>
      <c r="J689" s="153" t="n"/>
      <c r="K689" s="153" t="n"/>
      <c r="L689" s="153" t="n"/>
      <c r="M689" s="153" t="n"/>
      <c r="N689" s="153" t="n"/>
      <c r="O689" s="153" t="n"/>
      <c r="P689" s="153" t="n"/>
      <c r="Q689" s="153" t="n"/>
      <c r="R689" s="153" t="n"/>
      <c r="S689" s="153" t="n"/>
      <c r="T689" s="153" t="n"/>
      <c r="U689" s="153" t="n"/>
      <c r="V689" s="153" t="n"/>
      <c r="W689" s="153" t="n"/>
      <c r="X689" s="153" t="n"/>
      <c r="Y689" s="153" t="n"/>
      <c r="Z689" s="153" t="n"/>
    </row>
    <row r="690" ht="15.75" customHeight="1" s="154">
      <c r="G690" s="153" t="n"/>
      <c r="H690" s="153" t="n"/>
      <c r="I690" s="153" t="n"/>
      <c r="J690" s="153" t="n"/>
      <c r="K690" s="153" t="n"/>
      <c r="L690" s="153" t="n"/>
      <c r="M690" s="153" t="n"/>
      <c r="N690" s="153" t="n"/>
      <c r="O690" s="153" t="n"/>
      <c r="P690" s="153" t="n"/>
      <c r="Q690" s="153" t="n"/>
      <c r="R690" s="153" t="n"/>
      <c r="S690" s="153" t="n"/>
      <c r="T690" s="153" t="n"/>
      <c r="U690" s="153" t="n"/>
      <c r="V690" s="153" t="n"/>
      <c r="W690" s="153" t="n"/>
      <c r="X690" s="153" t="n"/>
      <c r="Y690" s="153" t="n"/>
      <c r="Z690" s="153" t="n"/>
    </row>
    <row r="691" ht="15.75" customHeight="1" s="154">
      <c r="G691" s="153" t="n"/>
      <c r="H691" s="153" t="n"/>
      <c r="I691" s="153" t="n"/>
      <c r="J691" s="153" t="n"/>
      <c r="K691" s="153" t="n"/>
      <c r="L691" s="153" t="n"/>
      <c r="M691" s="153" t="n"/>
      <c r="N691" s="153" t="n"/>
      <c r="O691" s="153" t="n"/>
      <c r="P691" s="153" t="n"/>
      <c r="Q691" s="153" t="n"/>
      <c r="R691" s="153" t="n"/>
      <c r="S691" s="153" t="n"/>
      <c r="T691" s="153" t="n"/>
      <c r="U691" s="153" t="n"/>
      <c r="V691" s="153" t="n"/>
      <c r="W691" s="153" t="n"/>
      <c r="X691" s="153" t="n"/>
      <c r="Y691" s="153" t="n"/>
      <c r="Z691" s="153" t="n"/>
    </row>
    <row r="692" ht="15.75" customHeight="1" s="154">
      <c r="G692" s="153" t="n"/>
      <c r="H692" s="153" t="n"/>
      <c r="I692" s="153" t="n"/>
      <c r="J692" s="153" t="n"/>
      <c r="K692" s="153" t="n"/>
      <c r="L692" s="153" t="n"/>
      <c r="M692" s="153" t="n"/>
      <c r="N692" s="153" t="n"/>
      <c r="O692" s="153" t="n"/>
      <c r="P692" s="153" t="n"/>
      <c r="Q692" s="153" t="n"/>
      <c r="R692" s="153" t="n"/>
      <c r="S692" s="153" t="n"/>
      <c r="T692" s="153" t="n"/>
      <c r="U692" s="153" t="n"/>
      <c r="V692" s="153" t="n"/>
      <c r="W692" s="153" t="n"/>
      <c r="X692" s="153" t="n"/>
      <c r="Y692" s="153" t="n"/>
      <c r="Z692" s="153" t="n"/>
    </row>
    <row r="693" ht="15.75" customHeight="1" s="154">
      <c r="G693" s="153" t="n"/>
      <c r="H693" s="153" t="n"/>
      <c r="I693" s="153" t="n"/>
      <c r="J693" s="153" t="n"/>
      <c r="K693" s="153" t="n"/>
      <c r="L693" s="153" t="n"/>
      <c r="M693" s="153" t="n"/>
      <c r="N693" s="153" t="n"/>
      <c r="O693" s="153" t="n"/>
      <c r="P693" s="153" t="n"/>
      <c r="Q693" s="153" t="n"/>
      <c r="R693" s="153" t="n"/>
      <c r="S693" s="153" t="n"/>
      <c r="T693" s="153" t="n"/>
      <c r="U693" s="153" t="n"/>
      <c r="V693" s="153" t="n"/>
      <c r="W693" s="153" t="n"/>
      <c r="X693" s="153" t="n"/>
      <c r="Y693" s="153" t="n"/>
      <c r="Z693" s="153" t="n"/>
    </row>
    <row r="694" ht="15.75" customHeight="1" s="154">
      <c r="G694" s="153" t="n"/>
      <c r="H694" s="153" t="n"/>
      <c r="I694" s="153" t="n"/>
      <c r="J694" s="153" t="n"/>
      <c r="K694" s="153" t="n"/>
      <c r="L694" s="153" t="n"/>
      <c r="M694" s="153" t="n"/>
      <c r="N694" s="153" t="n"/>
      <c r="O694" s="153" t="n"/>
      <c r="P694" s="153" t="n"/>
      <c r="Q694" s="153" t="n"/>
      <c r="R694" s="153" t="n"/>
      <c r="S694" s="153" t="n"/>
      <c r="T694" s="153" t="n"/>
      <c r="U694" s="153" t="n"/>
      <c r="V694" s="153" t="n"/>
      <c r="W694" s="153" t="n"/>
      <c r="X694" s="153" t="n"/>
      <c r="Y694" s="153" t="n"/>
      <c r="Z694" s="153" t="n"/>
    </row>
    <row r="695" ht="15.75" customHeight="1" s="154">
      <c r="G695" s="153" t="n"/>
      <c r="H695" s="153" t="n"/>
      <c r="I695" s="153" t="n"/>
      <c r="J695" s="153" t="n"/>
      <c r="K695" s="153" t="n"/>
      <c r="L695" s="153" t="n"/>
      <c r="M695" s="153" t="n"/>
      <c r="N695" s="153" t="n"/>
      <c r="O695" s="153" t="n"/>
      <c r="P695" s="153" t="n"/>
      <c r="Q695" s="153" t="n"/>
      <c r="R695" s="153" t="n"/>
      <c r="S695" s="153" t="n"/>
      <c r="T695" s="153" t="n"/>
      <c r="U695" s="153" t="n"/>
      <c r="V695" s="153" t="n"/>
      <c r="W695" s="153" t="n"/>
      <c r="X695" s="153" t="n"/>
      <c r="Y695" s="153" t="n"/>
      <c r="Z695" s="153" t="n"/>
    </row>
    <row r="696" ht="15.75" customHeight="1" s="154">
      <c r="G696" s="153" t="n"/>
      <c r="H696" s="153" t="n"/>
      <c r="I696" s="153" t="n"/>
      <c r="J696" s="153" t="n"/>
      <c r="K696" s="153" t="n"/>
      <c r="L696" s="153" t="n"/>
      <c r="M696" s="153" t="n"/>
      <c r="N696" s="153" t="n"/>
      <c r="O696" s="153" t="n"/>
      <c r="P696" s="153" t="n"/>
      <c r="Q696" s="153" t="n"/>
      <c r="R696" s="153" t="n"/>
      <c r="S696" s="153" t="n"/>
      <c r="T696" s="153" t="n"/>
      <c r="U696" s="153" t="n"/>
      <c r="V696" s="153" t="n"/>
      <c r="W696" s="153" t="n"/>
      <c r="X696" s="153" t="n"/>
      <c r="Y696" s="153" t="n"/>
      <c r="Z696" s="153" t="n"/>
    </row>
    <row r="697" ht="15.75" customHeight="1" s="154">
      <c r="G697" s="153" t="n"/>
      <c r="H697" s="153" t="n"/>
      <c r="I697" s="153" t="n"/>
      <c r="J697" s="153" t="n"/>
      <c r="K697" s="153" t="n"/>
      <c r="L697" s="153" t="n"/>
      <c r="M697" s="153" t="n"/>
      <c r="N697" s="153" t="n"/>
      <c r="O697" s="153" t="n"/>
      <c r="P697" s="153" t="n"/>
      <c r="Q697" s="153" t="n"/>
      <c r="R697" s="153" t="n"/>
      <c r="S697" s="153" t="n"/>
      <c r="T697" s="153" t="n"/>
      <c r="U697" s="153" t="n"/>
      <c r="V697" s="153" t="n"/>
      <c r="W697" s="153" t="n"/>
      <c r="X697" s="153" t="n"/>
      <c r="Y697" s="153" t="n"/>
      <c r="Z697" s="153" t="n"/>
    </row>
    <row r="698" ht="15.75" customHeight="1" s="154">
      <c r="G698" s="153" t="n"/>
      <c r="H698" s="153" t="n"/>
      <c r="I698" s="153" t="n"/>
      <c r="J698" s="153" t="n"/>
      <c r="K698" s="153" t="n"/>
      <c r="L698" s="153" t="n"/>
      <c r="M698" s="153" t="n"/>
      <c r="N698" s="153" t="n"/>
      <c r="O698" s="153" t="n"/>
      <c r="P698" s="153" t="n"/>
      <c r="Q698" s="153" t="n"/>
      <c r="R698" s="153" t="n"/>
      <c r="S698" s="153" t="n"/>
      <c r="T698" s="153" t="n"/>
      <c r="U698" s="153" t="n"/>
      <c r="V698" s="153" t="n"/>
      <c r="W698" s="153" t="n"/>
      <c r="X698" s="153" t="n"/>
      <c r="Y698" s="153" t="n"/>
      <c r="Z698" s="153" t="n"/>
    </row>
    <row r="699" ht="15.75" customHeight="1" s="154">
      <c r="G699" s="153" t="n"/>
      <c r="H699" s="153" t="n"/>
      <c r="I699" s="153" t="n"/>
      <c r="J699" s="153" t="n"/>
      <c r="K699" s="153" t="n"/>
      <c r="L699" s="153" t="n"/>
      <c r="M699" s="153" t="n"/>
      <c r="N699" s="153" t="n"/>
      <c r="O699" s="153" t="n"/>
      <c r="P699" s="153" t="n"/>
      <c r="Q699" s="153" t="n"/>
      <c r="R699" s="153" t="n"/>
      <c r="S699" s="153" t="n"/>
      <c r="T699" s="153" t="n"/>
      <c r="U699" s="153" t="n"/>
      <c r="V699" s="153" t="n"/>
      <c r="W699" s="153" t="n"/>
      <c r="X699" s="153" t="n"/>
      <c r="Y699" s="153" t="n"/>
      <c r="Z699" s="153" t="n"/>
    </row>
    <row r="700" ht="15.75" customHeight="1" s="154">
      <c r="G700" s="153" t="n"/>
      <c r="H700" s="153" t="n"/>
      <c r="I700" s="153" t="n"/>
      <c r="J700" s="153" t="n"/>
      <c r="K700" s="153" t="n"/>
      <c r="L700" s="153" t="n"/>
      <c r="M700" s="153" t="n"/>
      <c r="N700" s="153" t="n"/>
      <c r="O700" s="153" t="n"/>
      <c r="P700" s="153" t="n"/>
      <c r="Q700" s="153" t="n"/>
      <c r="R700" s="153" t="n"/>
      <c r="S700" s="153" t="n"/>
      <c r="T700" s="153" t="n"/>
      <c r="U700" s="153" t="n"/>
      <c r="V700" s="153" t="n"/>
      <c r="W700" s="153" t="n"/>
      <c r="X700" s="153" t="n"/>
      <c r="Y700" s="153" t="n"/>
      <c r="Z700" s="153" t="n"/>
    </row>
    <row r="701" ht="15.75" customHeight="1" s="154">
      <c r="G701" s="153" t="n"/>
      <c r="H701" s="153" t="n"/>
      <c r="I701" s="153" t="n"/>
      <c r="J701" s="153" t="n"/>
      <c r="K701" s="153" t="n"/>
      <c r="L701" s="153" t="n"/>
      <c r="M701" s="153" t="n"/>
      <c r="N701" s="153" t="n"/>
      <c r="O701" s="153" t="n"/>
      <c r="P701" s="153" t="n"/>
      <c r="Q701" s="153" t="n"/>
      <c r="R701" s="153" t="n"/>
      <c r="S701" s="153" t="n"/>
      <c r="T701" s="153" t="n"/>
      <c r="U701" s="153" t="n"/>
      <c r="V701" s="153" t="n"/>
      <c r="W701" s="153" t="n"/>
      <c r="X701" s="153" t="n"/>
      <c r="Y701" s="153" t="n"/>
      <c r="Z701" s="153" t="n"/>
    </row>
    <row r="702" ht="15.75" customHeight="1" s="154">
      <c r="G702" s="153" t="n"/>
      <c r="H702" s="153" t="n"/>
      <c r="I702" s="153" t="n"/>
      <c r="J702" s="153" t="n"/>
      <c r="K702" s="153" t="n"/>
      <c r="L702" s="153" t="n"/>
      <c r="M702" s="153" t="n"/>
      <c r="N702" s="153" t="n"/>
      <c r="O702" s="153" t="n"/>
      <c r="P702" s="153" t="n"/>
      <c r="Q702" s="153" t="n"/>
      <c r="R702" s="153" t="n"/>
      <c r="S702" s="153" t="n"/>
      <c r="T702" s="153" t="n"/>
      <c r="U702" s="153" t="n"/>
      <c r="V702" s="153" t="n"/>
      <c r="W702" s="153" t="n"/>
      <c r="X702" s="153" t="n"/>
      <c r="Y702" s="153" t="n"/>
      <c r="Z702" s="153" t="n"/>
    </row>
    <row r="703" ht="15.75" customHeight="1" s="154">
      <c r="G703" s="153" t="n"/>
      <c r="H703" s="153" t="n"/>
      <c r="I703" s="153" t="n"/>
      <c r="J703" s="153" t="n"/>
      <c r="K703" s="153" t="n"/>
      <c r="L703" s="153" t="n"/>
      <c r="M703" s="153" t="n"/>
      <c r="N703" s="153" t="n"/>
      <c r="O703" s="153" t="n"/>
      <c r="P703" s="153" t="n"/>
      <c r="Q703" s="153" t="n"/>
      <c r="R703" s="153" t="n"/>
      <c r="S703" s="153" t="n"/>
      <c r="T703" s="153" t="n"/>
      <c r="U703" s="153" t="n"/>
      <c r="V703" s="153" t="n"/>
      <c r="W703" s="153" t="n"/>
      <c r="X703" s="153" t="n"/>
      <c r="Y703" s="153" t="n"/>
      <c r="Z703" s="153" t="n"/>
    </row>
    <row r="704" ht="15.75" customHeight="1" s="154">
      <c r="G704" s="153" t="n"/>
      <c r="H704" s="153" t="n"/>
      <c r="I704" s="153" t="n"/>
      <c r="J704" s="153" t="n"/>
      <c r="K704" s="153" t="n"/>
      <c r="L704" s="153" t="n"/>
      <c r="M704" s="153" t="n"/>
      <c r="N704" s="153" t="n"/>
      <c r="O704" s="153" t="n"/>
      <c r="P704" s="153" t="n"/>
      <c r="Q704" s="153" t="n"/>
      <c r="R704" s="153" t="n"/>
      <c r="S704" s="153" t="n"/>
      <c r="T704" s="153" t="n"/>
      <c r="U704" s="153" t="n"/>
      <c r="V704" s="153" t="n"/>
      <c r="W704" s="153" t="n"/>
      <c r="X704" s="153" t="n"/>
      <c r="Y704" s="153" t="n"/>
      <c r="Z704" s="153" t="n"/>
    </row>
    <row r="705" ht="15.75" customHeight="1" s="154">
      <c r="G705" s="153" t="n"/>
      <c r="H705" s="153" t="n"/>
      <c r="I705" s="153" t="n"/>
      <c r="J705" s="153" t="n"/>
      <c r="K705" s="153" t="n"/>
      <c r="L705" s="153" t="n"/>
      <c r="M705" s="153" t="n"/>
      <c r="N705" s="153" t="n"/>
      <c r="O705" s="153" t="n"/>
      <c r="P705" s="153" t="n"/>
      <c r="Q705" s="153" t="n"/>
      <c r="R705" s="153" t="n"/>
      <c r="S705" s="153" t="n"/>
      <c r="T705" s="153" t="n"/>
      <c r="U705" s="153" t="n"/>
      <c r="V705" s="153" t="n"/>
      <c r="W705" s="153" t="n"/>
      <c r="X705" s="153" t="n"/>
      <c r="Y705" s="153" t="n"/>
      <c r="Z705" s="153" t="n"/>
    </row>
    <row r="706" ht="15.75" customHeight="1" s="154">
      <c r="G706" s="153" t="n"/>
      <c r="H706" s="153" t="n"/>
      <c r="I706" s="153" t="n"/>
      <c r="J706" s="153" t="n"/>
      <c r="K706" s="153" t="n"/>
      <c r="L706" s="153" t="n"/>
      <c r="M706" s="153" t="n"/>
      <c r="N706" s="153" t="n"/>
      <c r="O706" s="153" t="n"/>
      <c r="P706" s="153" t="n"/>
      <c r="Q706" s="153" t="n"/>
      <c r="R706" s="153" t="n"/>
      <c r="S706" s="153" t="n"/>
      <c r="T706" s="153" t="n"/>
      <c r="U706" s="153" t="n"/>
      <c r="V706" s="153" t="n"/>
      <c r="W706" s="153" t="n"/>
      <c r="X706" s="153" t="n"/>
      <c r="Y706" s="153" t="n"/>
      <c r="Z706" s="153" t="n"/>
    </row>
    <row r="707" ht="15.75" customHeight="1" s="154">
      <c r="G707" s="153" t="n"/>
      <c r="H707" s="153" t="n"/>
      <c r="I707" s="153" t="n"/>
      <c r="J707" s="153" t="n"/>
      <c r="K707" s="153" t="n"/>
      <c r="L707" s="153" t="n"/>
      <c r="M707" s="153" t="n"/>
      <c r="N707" s="153" t="n"/>
      <c r="O707" s="153" t="n"/>
      <c r="P707" s="153" t="n"/>
      <c r="Q707" s="153" t="n"/>
      <c r="R707" s="153" t="n"/>
      <c r="S707" s="153" t="n"/>
      <c r="T707" s="153" t="n"/>
      <c r="U707" s="153" t="n"/>
      <c r="V707" s="153" t="n"/>
      <c r="W707" s="153" t="n"/>
      <c r="X707" s="153" t="n"/>
      <c r="Y707" s="153" t="n"/>
      <c r="Z707" s="153" t="n"/>
    </row>
    <row r="708" ht="15.75" customHeight="1" s="154">
      <c r="G708" s="153" t="n"/>
      <c r="H708" s="153" t="n"/>
      <c r="I708" s="153" t="n"/>
      <c r="J708" s="153" t="n"/>
      <c r="K708" s="153" t="n"/>
      <c r="L708" s="153" t="n"/>
      <c r="M708" s="153" t="n"/>
      <c r="N708" s="153" t="n"/>
      <c r="O708" s="153" t="n"/>
      <c r="P708" s="153" t="n"/>
      <c r="Q708" s="153" t="n"/>
      <c r="R708" s="153" t="n"/>
      <c r="S708" s="153" t="n"/>
      <c r="T708" s="153" t="n"/>
      <c r="U708" s="153" t="n"/>
      <c r="V708" s="153" t="n"/>
      <c r="W708" s="153" t="n"/>
      <c r="X708" s="153" t="n"/>
      <c r="Y708" s="153" t="n"/>
      <c r="Z708" s="153" t="n"/>
    </row>
    <row r="709" ht="15.75" customHeight="1" s="154">
      <c r="G709" s="153" t="n"/>
      <c r="H709" s="153" t="n"/>
      <c r="I709" s="153" t="n"/>
      <c r="J709" s="153" t="n"/>
      <c r="K709" s="153" t="n"/>
      <c r="L709" s="153" t="n"/>
      <c r="M709" s="153" t="n"/>
      <c r="N709" s="153" t="n"/>
      <c r="O709" s="153" t="n"/>
      <c r="P709" s="153" t="n"/>
      <c r="Q709" s="153" t="n"/>
      <c r="R709" s="153" t="n"/>
      <c r="S709" s="153" t="n"/>
      <c r="T709" s="153" t="n"/>
      <c r="U709" s="153" t="n"/>
      <c r="V709" s="153" t="n"/>
      <c r="W709" s="153" t="n"/>
      <c r="X709" s="153" t="n"/>
      <c r="Y709" s="153" t="n"/>
      <c r="Z709" s="153" t="n"/>
    </row>
    <row r="710" ht="15.75" customHeight="1" s="154">
      <c r="G710" s="153" t="n"/>
      <c r="H710" s="153" t="n"/>
      <c r="I710" s="153" t="n"/>
      <c r="J710" s="153" t="n"/>
      <c r="K710" s="153" t="n"/>
      <c r="L710" s="153" t="n"/>
      <c r="M710" s="153" t="n"/>
      <c r="N710" s="153" t="n"/>
      <c r="O710" s="153" t="n"/>
      <c r="P710" s="153" t="n"/>
      <c r="Q710" s="153" t="n"/>
      <c r="R710" s="153" t="n"/>
      <c r="S710" s="153" t="n"/>
      <c r="T710" s="153" t="n"/>
      <c r="U710" s="153" t="n"/>
      <c r="V710" s="153" t="n"/>
      <c r="W710" s="153" t="n"/>
      <c r="X710" s="153" t="n"/>
      <c r="Y710" s="153" t="n"/>
      <c r="Z710" s="153" t="n"/>
    </row>
    <row r="711" ht="15.75" customHeight="1" s="154">
      <c r="G711" s="153" t="n"/>
      <c r="H711" s="153" t="n"/>
      <c r="I711" s="153" t="n"/>
      <c r="J711" s="153" t="n"/>
      <c r="K711" s="153" t="n"/>
      <c r="L711" s="153" t="n"/>
      <c r="M711" s="153" t="n"/>
      <c r="N711" s="153" t="n"/>
      <c r="O711" s="153" t="n"/>
      <c r="P711" s="153" t="n"/>
      <c r="Q711" s="153" t="n"/>
      <c r="R711" s="153" t="n"/>
      <c r="S711" s="153" t="n"/>
      <c r="T711" s="153" t="n"/>
      <c r="U711" s="153" t="n"/>
      <c r="V711" s="153" t="n"/>
      <c r="W711" s="153" t="n"/>
      <c r="X711" s="153" t="n"/>
      <c r="Y711" s="153" t="n"/>
      <c r="Z711" s="153" t="n"/>
    </row>
    <row r="712" ht="15.75" customHeight="1" s="154">
      <c r="G712" s="153" t="n"/>
      <c r="H712" s="153" t="n"/>
      <c r="I712" s="153" t="n"/>
      <c r="J712" s="153" t="n"/>
      <c r="K712" s="153" t="n"/>
      <c r="L712" s="153" t="n"/>
      <c r="M712" s="153" t="n"/>
      <c r="N712" s="153" t="n"/>
      <c r="O712" s="153" t="n"/>
      <c r="P712" s="153" t="n"/>
      <c r="Q712" s="153" t="n"/>
      <c r="R712" s="153" t="n"/>
      <c r="S712" s="153" t="n"/>
      <c r="T712" s="153" t="n"/>
      <c r="U712" s="153" t="n"/>
      <c r="V712" s="153" t="n"/>
      <c r="W712" s="153" t="n"/>
      <c r="X712" s="153" t="n"/>
      <c r="Y712" s="153" t="n"/>
      <c r="Z712" s="153" t="n"/>
    </row>
    <row r="713" ht="15.75" customHeight="1" s="154">
      <c r="G713" s="153" t="n"/>
      <c r="H713" s="153" t="n"/>
      <c r="I713" s="153" t="n"/>
      <c r="J713" s="153" t="n"/>
      <c r="K713" s="153" t="n"/>
      <c r="L713" s="153" t="n"/>
      <c r="M713" s="153" t="n"/>
      <c r="N713" s="153" t="n"/>
      <c r="O713" s="153" t="n"/>
      <c r="P713" s="153" t="n"/>
      <c r="Q713" s="153" t="n"/>
      <c r="R713" s="153" t="n"/>
      <c r="S713" s="153" t="n"/>
      <c r="T713" s="153" t="n"/>
      <c r="U713" s="153" t="n"/>
      <c r="V713" s="153" t="n"/>
      <c r="W713" s="153" t="n"/>
      <c r="X713" s="153" t="n"/>
      <c r="Y713" s="153" t="n"/>
      <c r="Z713" s="153" t="n"/>
    </row>
    <row r="714" ht="15.75" customHeight="1" s="154">
      <c r="G714" s="153" t="n"/>
      <c r="H714" s="153" t="n"/>
      <c r="I714" s="153" t="n"/>
      <c r="J714" s="153" t="n"/>
      <c r="K714" s="153" t="n"/>
      <c r="L714" s="153" t="n"/>
      <c r="M714" s="153" t="n"/>
      <c r="N714" s="153" t="n"/>
      <c r="O714" s="153" t="n"/>
      <c r="P714" s="153" t="n"/>
      <c r="Q714" s="153" t="n"/>
      <c r="R714" s="153" t="n"/>
      <c r="S714" s="153" t="n"/>
      <c r="T714" s="153" t="n"/>
      <c r="U714" s="153" t="n"/>
      <c r="V714" s="153" t="n"/>
      <c r="W714" s="153" t="n"/>
      <c r="X714" s="153" t="n"/>
      <c r="Y714" s="153" t="n"/>
      <c r="Z714" s="153" t="n"/>
    </row>
    <row r="715" ht="15.75" customHeight="1" s="154">
      <c r="G715" s="153" t="n"/>
      <c r="H715" s="153" t="n"/>
      <c r="I715" s="153" t="n"/>
      <c r="J715" s="153" t="n"/>
      <c r="K715" s="153" t="n"/>
      <c r="L715" s="153" t="n"/>
      <c r="M715" s="153" t="n"/>
      <c r="N715" s="153" t="n"/>
      <c r="O715" s="153" t="n"/>
      <c r="P715" s="153" t="n"/>
      <c r="Q715" s="153" t="n"/>
      <c r="R715" s="153" t="n"/>
      <c r="S715" s="153" t="n"/>
      <c r="T715" s="153" t="n"/>
      <c r="U715" s="153" t="n"/>
      <c r="V715" s="153" t="n"/>
      <c r="W715" s="153" t="n"/>
      <c r="X715" s="153" t="n"/>
      <c r="Y715" s="153" t="n"/>
      <c r="Z715" s="153" t="n"/>
    </row>
    <row r="716" ht="15.75" customHeight="1" s="154">
      <c r="G716" s="153" t="n"/>
      <c r="H716" s="153" t="n"/>
      <c r="I716" s="153" t="n"/>
      <c r="J716" s="153" t="n"/>
      <c r="K716" s="153" t="n"/>
      <c r="L716" s="153" t="n"/>
      <c r="M716" s="153" t="n"/>
      <c r="N716" s="153" t="n"/>
      <c r="O716" s="153" t="n"/>
      <c r="P716" s="153" t="n"/>
      <c r="Q716" s="153" t="n"/>
      <c r="R716" s="153" t="n"/>
      <c r="S716" s="153" t="n"/>
      <c r="T716" s="153" t="n"/>
      <c r="U716" s="153" t="n"/>
      <c r="V716" s="153" t="n"/>
      <c r="W716" s="153" t="n"/>
      <c r="X716" s="153" t="n"/>
      <c r="Y716" s="153" t="n"/>
      <c r="Z716" s="153" t="n"/>
    </row>
    <row r="717" ht="15.75" customHeight="1" s="154">
      <c r="G717" s="153" t="n"/>
      <c r="H717" s="153" t="n"/>
      <c r="I717" s="153" t="n"/>
      <c r="J717" s="153" t="n"/>
      <c r="K717" s="153" t="n"/>
      <c r="L717" s="153" t="n"/>
      <c r="M717" s="153" t="n"/>
      <c r="N717" s="153" t="n"/>
      <c r="O717" s="153" t="n"/>
      <c r="P717" s="153" t="n"/>
      <c r="Q717" s="153" t="n"/>
      <c r="R717" s="153" t="n"/>
      <c r="S717" s="153" t="n"/>
      <c r="T717" s="153" t="n"/>
      <c r="U717" s="153" t="n"/>
      <c r="V717" s="153" t="n"/>
      <c r="W717" s="153" t="n"/>
      <c r="X717" s="153" t="n"/>
      <c r="Y717" s="153" t="n"/>
      <c r="Z717" s="153" t="n"/>
    </row>
    <row r="718" ht="15.75" customHeight="1" s="154">
      <c r="G718" s="153" t="n"/>
      <c r="H718" s="153" t="n"/>
      <c r="I718" s="153" t="n"/>
      <c r="J718" s="153" t="n"/>
      <c r="K718" s="153" t="n"/>
      <c r="L718" s="153" t="n"/>
      <c r="M718" s="153" t="n"/>
      <c r="N718" s="153" t="n"/>
      <c r="O718" s="153" t="n"/>
      <c r="P718" s="153" t="n"/>
      <c r="Q718" s="153" t="n"/>
      <c r="R718" s="153" t="n"/>
      <c r="S718" s="153" t="n"/>
      <c r="T718" s="153" t="n"/>
      <c r="U718" s="153" t="n"/>
      <c r="V718" s="153" t="n"/>
      <c r="W718" s="153" t="n"/>
      <c r="X718" s="153" t="n"/>
      <c r="Y718" s="153" t="n"/>
      <c r="Z718" s="153" t="n"/>
    </row>
    <row r="719" ht="15.75" customHeight="1" s="154">
      <c r="G719" s="153" t="n"/>
      <c r="H719" s="153" t="n"/>
      <c r="I719" s="153" t="n"/>
      <c r="J719" s="153" t="n"/>
      <c r="K719" s="153" t="n"/>
      <c r="L719" s="153" t="n"/>
      <c r="M719" s="153" t="n"/>
      <c r="N719" s="153" t="n"/>
      <c r="O719" s="153" t="n"/>
      <c r="P719" s="153" t="n"/>
      <c r="Q719" s="153" t="n"/>
      <c r="R719" s="153" t="n"/>
      <c r="S719" s="153" t="n"/>
      <c r="T719" s="153" t="n"/>
      <c r="U719" s="153" t="n"/>
      <c r="V719" s="153" t="n"/>
      <c r="W719" s="153" t="n"/>
      <c r="X719" s="153" t="n"/>
      <c r="Y719" s="153" t="n"/>
      <c r="Z719" s="153" t="n"/>
    </row>
    <row r="720" ht="15.75" customHeight="1" s="154">
      <c r="G720" s="153" t="n"/>
      <c r="H720" s="153" t="n"/>
      <c r="I720" s="153" t="n"/>
      <c r="J720" s="153" t="n"/>
      <c r="K720" s="153" t="n"/>
      <c r="L720" s="153" t="n"/>
      <c r="M720" s="153" t="n"/>
      <c r="N720" s="153" t="n"/>
      <c r="O720" s="153" t="n"/>
      <c r="P720" s="153" t="n"/>
      <c r="Q720" s="153" t="n"/>
      <c r="R720" s="153" t="n"/>
      <c r="S720" s="153" t="n"/>
      <c r="T720" s="153" t="n"/>
      <c r="U720" s="153" t="n"/>
      <c r="V720" s="153" t="n"/>
      <c r="W720" s="153" t="n"/>
      <c r="X720" s="153" t="n"/>
      <c r="Y720" s="153" t="n"/>
      <c r="Z720" s="153" t="n"/>
    </row>
    <row r="721" ht="15.75" customHeight="1" s="154">
      <c r="G721" s="153" t="n"/>
      <c r="H721" s="153" t="n"/>
      <c r="I721" s="153" t="n"/>
      <c r="J721" s="153" t="n"/>
      <c r="K721" s="153" t="n"/>
      <c r="L721" s="153" t="n"/>
      <c r="M721" s="153" t="n"/>
      <c r="N721" s="153" t="n"/>
      <c r="O721" s="153" t="n"/>
      <c r="P721" s="153" t="n"/>
      <c r="Q721" s="153" t="n"/>
      <c r="R721" s="153" t="n"/>
      <c r="S721" s="153" t="n"/>
      <c r="T721" s="153" t="n"/>
      <c r="U721" s="153" t="n"/>
      <c r="V721" s="153" t="n"/>
      <c r="W721" s="153" t="n"/>
      <c r="X721" s="153" t="n"/>
      <c r="Y721" s="153" t="n"/>
      <c r="Z721" s="153" t="n"/>
    </row>
    <row r="722" ht="15.75" customHeight="1" s="154">
      <c r="G722" s="153" t="n"/>
      <c r="H722" s="153" t="n"/>
      <c r="I722" s="153" t="n"/>
      <c r="J722" s="153" t="n"/>
      <c r="K722" s="153" t="n"/>
      <c r="L722" s="153" t="n"/>
      <c r="M722" s="153" t="n"/>
      <c r="N722" s="153" t="n"/>
      <c r="O722" s="153" t="n"/>
      <c r="P722" s="153" t="n"/>
      <c r="Q722" s="153" t="n"/>
      <c r="R722" s="153" t="n"/>
      <c r="S722" s="153" t="n"/>
      <c r="T722" s="153" t="n"/>
      <c r="U722" s="153" t="n"/>
      <c r="V722" s="153" t="n"/>
      <c r="W722" s="153" t="n"/>
      <c r="X722" s="153" t="n"/>
      <c r="Y722" s="153" t="n"/>
      <c r="Z722" s="153" t="n"/>
    </row>
    <row r="723" ht="15.75" customHeight="1" s="154">
      <c r="G723" s="153" t="n"/>
      <c r="H723" s="153" t="n"/>
      <c r="I723" s="153" t="n"/>
      <c r="J723" s="153" t="n"/>
      <c r="K723" s="153" t="n"/>
      <c r="L723" s="153" t="n"/>
      <c r="M723" s="153" t="n"/>
      <c r="N723" s="153" t="n"/>
      <c r="O723" s="153" t="n"/>
      <c r="P723" s="153" t="n"/>
      <c r="Q723" s="153" t="n"/>
      <c r="R723" s="153" t="n"/>
      <c r="S723" s="153" t="n"/>
      <c r="T723" s="153" t="n"/>
      <c r="U723" s="153" t="n"/>
      <c r="V723" s="153" t="n"/>
      <c r="W723" s="153" t="n"/>
      <c r="X723" s="153" t="n"/>
      <c r="Y723" s="153" t="n"/>
      <c r="Z723" s="153" t="n"/>
    </row>
    <row r="724" ht="15.75" customHeight="1" s="154">
      <c r="G724" s="153" t="n"/>
      <c r="H724" s="153" t="n"/>
      <c r="I724" s="153" t="n"/>
      <c r="J724" s="153" t="n"/>
      <c r="K724" s="153" t="n"/>
      <c r="L724" s="153" t="n"/>
      <c r="M724" s="153" t="n"/>
      <c r="N724" s="153" t="n"/>
      <c r="O724" s="153" t="n"/>
      <c r="P724" s="153" t="n"/>
      <c r="Q724" s="153" t="n"/>
      <c r="R724" s="153" t="n"/>
      <c r="S724" s="153" t="n"/>
      <c r="T724" s="153" t="n"/>
      <c r="U724" s="153" t="n"/>
      <c r="V724" s="153" t="n"/>
      <c r="W724" s="153" t="n"/>
      <c r="X724" s="153" t="n"/>
      <c r="Y724" s="153" t="n"/>
      <c r="Z724" s="153" t="n"/>
    </row>
    <row r="725" ht="15.75" customHeight="1" s="154">
      <c r="G725" s="153" t="n"/>
      <c r="H725" s="153" t="n"/>
      <c r="I725" s="153" t="n"/>
      <c r="J725" s="153" t="n"/>
      <c r="K725" s="153" t="n"/>
      <c r="L725" s="153" t="n"/>
      <c r="M725" s="153" t="n"/>
      <c r="N725" s="153" t="n"/>
      <c r="O725" s="153" t="n"/>
      <c r="P725" s="153" t="n"/>
      <c r="Q725" s="153" t="n"/>
      <c r="R725" s="153" t="n"/>
      <c r="S725" s="153" t="n"/>
      <c r="T725" s="153" t="n"/>
      <c r="U725" s="153" t="n"/>
      <c r="V725" s="153" t="n"/>
      <c r="W725" s="153" t="n"/>
      <c r="X725" s="153" t="n"/>
      <c r="Y725" s="153" t="n"/>
      <c r="Z725" s="153" t="n"/>
    </row>
    <row r="726" ht="15.75" customHeight="1" s="154">
      <c r="G726" s="153" t="n"/>
      <c r="H726" s="153" t="n"/>
      <c r="I726" s="153" t="n"/>
      <c r="J726" s="153" t="n"/>
      <c r="K726" s="153" t="n"/>
      <c r="L726" s="153" t="n"/>
      <c r="M726" s="153" t="n"/>
      <c r="N726" s="153" t="n"/>
      <c r="O726" s="153" t="n"/>
      <c r="P726" s="153" t="n"/>
      <c r="Q726" s="153" t="n"/>
      <c r="R726" s="153" t="n"/>
      <c r="S726" s="153" t="n"/>
      <c r="T726" s="153" t="n"/>
      <c r="U726" s="153" t="n"/>
      <c r="V726" s="153" t="n"/>
      <c r="W726" s="153" t="n"/>
      <c r="X726" s="153" t="n"/>
      <c r="Y726" s="153" t="n"/>
      <c r="Z726" s="153" t="n"/>
    </row>
    <row r="727" ht="15.75" customHeight="1" s="154">
      <c r="G727" s="153" t="n"/>
      <c r="H727" s="153" t="n"/>
      <c r="I727" s="153" t="n"/>
      <c r="J727" s="153" t="n"/>
      <c r="K727" s="153" t="n"/>
      <c r="L727" s="153" t="n"/>
      <c r="M727" s="153" t="n"/>
      <c r="N727" s="153" t="n"/>
      <c r="O727" s="153" t="n"/>
      <c r="P727" s="153" t="n"/>
      <c r="Q727" s="153" t="n"/>
      <c r="R727" s="153" t="n"/>
      <c r="S727" s="153" t="n"/>
      <c r="T727" s="153" t="n"/>
      <c r="U727" s="153" t="n"/>
      <c r="V727" s="153" t="n"/>
      <c r="W727" s="153" t="n"/>
      <c r="X727" s="153" t="n"/>
      <c r="Y727" s="153" t="n"/>
      <c r="Z727" s="153" t="n"/>
    </row>
    <row r="728" ht="15.75" customHeight="1" s="154">
      <c r="G728" s="153" t="n"/>
      <c r="H728" s="153" t="n"/>
      <c r="I728" s="153" t="n"/>
      <c r="J728" s="153" t="n"/>
      <c r="K728" s="153" t="n"/>
      <c r="L728" s="153" t="n"/>
      <c r="M728" s="153" t="n"/>
      <c r="N728" s="153" t="n"/>
      <c r="O728" s="153" t="n"/>
      <c r="P728" s="153" t="n"/>
      <c r="Q728" s="153" t="n"/>
      <c r="R728" s="153" t="n"/>
      <c r="S728" s="153" t="n"/>
      <c r="T728" s="153" t="n"/>
      <c r="U728" s="153" t="n"/>
      <c r="V728" s="153" t="n"/>
      <c r="W728" s="153" t="n"/>
      <c r="X728" s="153" t="n"/>
      <c r="Y728" s="153" t="n"/>
      <c r="Z728" s="153" t="n"/>
    </row>
    <row r="729" ht="15.75" customHeight="1" s="154">
      <c r="G729" s="153" t="n"/>
      <c r="H729" s="153" t="n"/>
      <c r="I729" s="153" t="n"/>
      <c r="J729" s="153" t="n"/>
      <c r="K729" s="153" t="n"/>
      <c r="L729" s="153" t="n"/>
      <c r="M729" s="153" t="n"/>
      <c r="N729" s="153" t="n"/>
      <c r="O729" s="153" t="n"/>
      <c r="P729" s="153" t="n"/>
      <c r="Q729" s="153" t="n"/>
      <c r="R729" s="153" t="n"/>
      <c r="S729" s="153" t="n"/>
      <c r="T729" s="153" t="n"/>
      <c r="U729" s="153" t="n"/>
      <c r="V729" s="153" t="n"/>
      <c r="W729" s="153" t="n"/>
      <c r="X729" s="153" t="n"/>
      <c r="Y729" s="153" t="n"/>
      <c r="Z729" s="153" t="n"/>
    </row>
    <row r="730" ht="15.75" customHeight="1" s="154">
      <c r="G730" s="153" t="n"/>
      <c r="H730" s="153" t="n"/>
      <c r="I730" s="153" t="n"/>
      <c r="J730" s="153" t="n"/>
      <c r="K730" s="153" t="n"/>
      <c r="L730" s="153" t="n"/>
      <c r="M730" s="153" t="n"/>
      <c r="N730" s="153" t="n"/>
      <c r="O730" s="153" t="n"/>
      <c r="P730" s="153" t="n"/>
      <c r="Q730" s="153" t="n"/>
      <c r="R730" s="153" t="n"/>
      <c r="S730" s="153" t="n"/>
      <c r="T730" s="153" t="n"/>
      <c r="U730" s="153" t="n"/>
      <c r="V730" s="153" t="n"/>
      <c r="W730" s="153" t="n"/>
      <c r="X730" s="153" t="n"/>
      <c r="Y730" s="153" t="n"/>
      <c r="Z730" s="153" t="n"/>
    </row>
    <row r="731" ht="15.75" customHeight="1" s="154">
      <c r="G731" s="153" t="n"/>
      <c r="H731" s="153" t="n"/>
      <c r="I731" s="153" t="n"/>
      <c r="J731" s="153" t="n"/>
      <c r="K731" s="153" t="n"/>
      <c r="L731" s="153" t="n"/>
      <c r="M731" s="153" t="n"/>
      <c r="N731" s="153" t="n"/>
      <c r="O731" s="153" t="n"/>
      <c r="P731" s="153" t="n"/>
      <c r="Q731" s="153" t="n"/>
      <c r="R731" s="153" t="n"/>
      <c r="S731" s="153" t="n"/>
      <c r="T731" s="153" t="n"/>
      <c r="U731" s="153" t="n"/>
      <c r="V731" s="153" t="n"/>
      <c r="W731" s="153" t="n"/>
      <c r="X731" s="153" t="n"/>
      <c r="Y731" s="153" t="n"/>
      <c r="Z731" s="153" t="n"/>
    </row>
    <row r="732" ht="15.75" customHeight="1" s="154">
      <c r="G732" s="153" t="n"/>
      <c r="H732" s="153" t="n"/>
      <c r="I732" s="153" t="n"/>
      <c r="J732" s="153" t="n"/>
      <c r="K732" s="153" t="n"/>
      <c r="L732" s="153" t="n"/>
      <c r="M732" s="153" t="n"/>
      <c r="N732" s="153" t="n"/>
      <c r="O732" s="153" t="n"/>
      <c r="P732" s="153" t="n"/>
      <c r="Q732" s="153" t="n"/>
      <c r="R732" s="153" t="n"/>
      <c r="S732" s="153" t="n"/>
      <c r="T732" s="153" t="n"/>
      <c r="U732" s="153" t="n"/>
      <c r="V732" s="153" t="n"/>
      <c r="W732" s="153" t="n"/>
      <c r="X732" s="153" t="n"/>
      <c r="Y732" s="153" t="n"/>
      <c r="Z732" s="153" t="n"/>
    </row>
    <row r="733" ht="15.75" customHeight="1" s="154">
      <c r="G733" s="153" t="n"/>
      <c r="H733" s="153" t="n"/>
      <c r="I733" s="153" t="n"/>
      <c r="J733" s="153" t="n"/>
      <c r="K733" s="153" t="n"/>
      <c r="L733" s="153" t="n"/>
      <c r="M733" s="153" t="n"/>
      <c r="N733" s="153" t="n"/>
      <c r="O733" s="153" t="n"/>
      <c r="P733" s="153" t="n"/>
      <c r="Q733" s="153" t="n"/>
      <c r="R733" s="153" t="n"/>
      <c r="S733" s="153" t="n"/>
      <c r="T733" s="153" t="n"/>
      <c r="U733" s="153" t="n"/>
      <c r="V733" s="153" t="n"/>
      <c r="W733" s="153" t="n"/>
      <c r="X733" s="153" t="n"/>
      <c r="Y733" s="153" t="n"/>
      <c r="Z733" s="153" t="n"/>
    </row>
    <row r="734" ht="15.75" customHeight="1" s="154">
      <c r="G734" s="153" t="n"/>
      <c r="H734" s="153" t="n"/>
      <c r="I734" s="153" t="n"/>
      <c r="J734" s="153" t="n"/>
      <c r="K734" s="153" t="n"/>
      <c r="L734" s="153" t="n"/>
      <c r="M734" s="153" t="n"/>
      <c r="N734" s="153" t="n"/>
      <c r="O734" s="153" t="n"/>
      <c r="P734" s="153" t="n"/>
      <c r="Q734" s="153" t="n"/>
      <c r="R734" s="153" t="n"/>
      <c r="S734" s="153" t="n"/>
      <c r="T734" s="153" t="n"/>
      <c r="U734" s="153" t="n"/>
      <c r="V734" s="153" t="n"/>
      <c r="W734" s="153" t="n"/>
      <c r="X734" s="153" t="n"/>
      <c r="Y734" s="153" t="n"/>
      <c r="Z734" s="153" t="n"/>
    </row>
    <row r="735" ht="15.75" customHeight="1" s="154">
      <c r="G735" s="153" t="n"/>
      <c r="H735" s="153" t="n"/>
      <c r="I735" s="153" t="n"/>
      <c r="J735" s="153" t="n"/>
      <c r="K735" s="153" t="n"/>
      <c r="L735" s="153" t="n"/>
      <c r="M735" s="153" t="n"/>
      <c r="N735" s="153" t="n"/>
      <c r="O735" s="153" t="n"/>
      <c r="P735" s="153" t="n"/>
      <c r="Q735" s="153" t="n"/>
      <c r="R735" s="153" t="n"/>
      <c r="S735" s="153" t="n"/>
      <c r="T735" s="153" t="n"/>
      <c r="U735" s="153" t="n"/>
      <c r="V735" s="153" t="n"/>
      <c r="W735" s="153" t="n"/>
      <c r="X735" s="153" t="n"/>
      <c r="Y735" s="153" t="n"/>
      <c r="Z735" s="153" t="n"/>
    </row>
    <row r="736" ht="15.75" customHeight="1" s="154">
      <c r="G736" s="153" t="n"/>
      <c r="H736" s="153" t="n"/>
      <c r="I736" s="153" t="n"/>
      <c r="J736" s="153" t="n"/>
      <c r="K736" s="153" t="n"/>
      <c r="L736" s="153" t="n"/>
      <c r="M736" s="153" t="n"/>
      <c r="N736" s="153" t="n"/>
      <c r="O736" s="153" t="n"/>
      <c r="P736" s="153" t="n"/>
      <c r="Q736" s="153" t="n"/>
      <c r="R736" s="153" t="n"/>
      <c r="S736" s="153" t="n"/>
      <c r="T736" s="153" t="n"/>
      <c r="U736" s="153" t="n"/>
      <c r="V736" s="153" t="n"/>
      <c r="W736" s="153" t="n"/>
      <c r="X736" s="153" t="n"/>
      <c r="Y736" s="153" t="n"/>
      <c r="Z736" s="153" t="n"/>
    </row>
    <row r="737" ht="15.75" customHeight="1" s="154">
      <c r="G737" s="153" t="n"/>
      <c r="H737" s="153" t="n"/>
      <c r="I737" s="153" t="n"/>
      <c r="J737" s="153" t="n"/>
      <c r="K737" s="153" t="n"/>
      <c r="L737" s="153" t="n"/>
      <c r="M737" s="153" t="n"/>
      <c r="N737" s="153" t="n"/>
      <c r="O737" s="153" t="n"/>
      <c r="P737" s="153" t="n"/>
      <c r="Q737" s="153" t="n"/>
      <c r="R737" s="153" t="n"/>
      <c r="S737" s="153" t="n"/>
      <c r="T737" s="153" t="n"/>
      <c r="U737" s="153" t="n"/>
      <c r="V737" s="153" t="n"/>
      <c r="W737" s="153" t="n"/>
      <c r="X737" s="153" t="n"/>
      <c r="Y737" s="153" t="n"/>
      <c r="Z737" s="153" t="n"/>
    </row>
    <row r="738" ht="15.75" customHeight="1" s="154">
      <c r="G738" s="153" t="n"/>
      <c r="H738" s="153" t="n"/>
      <c r="I738" s="153" t="n"/>
      <c r="J738" s="153" t="n"/>
      <c r="K738" s="153" t="n"/>
      <c r="L738" s="153" t="n"/>
      <c r="M738" s="153" t="n"/>
      <c r="N738" s="153" t="n"/>
      <c r="O738" s="153" t="n"/>
      <c r="P738" s="153" t="n"/>
      <c r="Q738" s="153" t="n"/>
      <c r="R738" s="153" t="n"/>
      <c r="S738" s="153" t="n"/>
      <c r="T738" s="153" t="n"/>
      <c r="U738" s="153" t="n"/>
      <c r="V738" s="153" t="n"/>
      <c r="W738" s="153" t="n"/>
      <c r="X738" s="153" t="n"/>
      <c r="Y738" s="153" t="n"/>
      <c r="Z738" s="153" t="n"/>
    </row>
    <row r="739" ht="15.75" customHeight="1" s="154">
      <c r="G739" s="153" t="n"/>
      <c r="H739" s="153" t="n"/>
      <c r="I739" s="153" t="n"/>
      <c r="J739" s="153" t="n"/>
      <c r="K739" s="153" t="n"/>
      <c r="L739" s="153" t="n"/>
      <c r="M739" s="153" t="n"/>
      <c r="N739" s="153" t="n"/>
      <c r="O739" s="153" t="n"/>
      <c r="P739" s="153" t="n"/>
      <c r="Q739" s="153" t="n"/>
      <c r="R739" s="153" t="n"/>
      <c r="S739" s="153" t="n"/>
      <c r="T739" s="153" t="n"/>
      <c r="U739" s="153" t="n"/>
      <c r="V739" s="153" t="n"/>
      <c r="W739" s="153" t="n"/>
      <c r="X739" s="153" t="n"/>
      <c r="Y739" s="153" t="n"/>
      <c r="Z739" s="153" t="n"/>
    </row>
    <row r="740" ht="15.75" customHeight="1" s="154">
      <c r="G740" s="153" t="n"/>
      <c r="H740" s="153" t="n"/>
      <c r="I740" s="153" t="n"/>
      <c r="J740" s="153" t="n"/>
      <c r="K740" s="153" t="n"/>
      <c r="L740" s="153" t="n"/>
      <c r="M740" s="153" t="n"/>
      <c r="N740" s="153" t="n"/>
      <c r="O740" s="153" t="n"/>
      <c r="P740" s="153" t="n"/>
      <c r="Q740" s="153" t="n"/>
      <c r="R740" s="153" t="n"/>
      <c r="S740" s="153" t="n"/>
      <c r="T740" s="153" t="n"/>
      <c r="U740" s="153" t="n"/>
      <c r="V740" s="153" t="n"/>
      <c r="W740" s="153" t="n"/>
      <c r="X740" s="153" t="n"/>
      <c r="Y740" s="153" t="n"/>
      <c r="Z740" s="153" t="n"/>
    </row>
    <row r="741" ht="15.75" customHeight="1" s="154">
      <c r="G741" s="153" t="n"/>
      <c r="H741" s="153" t="n"/>
      <c r="I741" s="153" t="n"/>
      <c r="J741" s="153" t="n"/>
      <c r="K741" s="153" t="n"/>
      <c r="L741" s="153" t="n"/>
      <c r="M741" s="153" t="n"/>
      <c r="N741" s="153" t="n"/>
      <c r="O741" s="153" t="n"/>
      <c r="P741" s="153" t="n"/>
      <c r="Q741" s="153" t="n"/>
      <c r="R741" s="153" t="n"/>
      <c r="S741" s="153" t="n"/>
      <c r="T741" s="153" t="n"/>
      <c r="U741" s="153" t="n"/>
      <c r="V741" s="153" t="n"/>
      <c r="W741" s="153" t="n"/>
      <c r="X741" s="153" t="n"/>
      <c r="Y741" s="153" t="n"/>
      <c r="Z741" s="153" t="n"/>
    </row>
    <row r="742" ht="15.75" customHeight="1" s="154">
      <c r="G742" s="153" t="n"/>
      <c r="H742" s="153" t="n"/>
      <c r="I742" s="153" t="n"/>
      <c r="J742" s="153" t="n"/>
      <c r="K742" s="153" t="n"/>
      <c r="L742" s="153" t="n"/>
      <c r="M742" s="153" t="n"/>
      <c r="N742" s="153" t="n"/>
      <c r="O742" s="153" t="n"/>
      <c r="P742" s="153" t="n"/>
      <c r="Q742" s="153" t="n"/>
      <c r="R742" s="153" t="n"/>
      <c r="S742" s="153" t="n"/>
      <c r="T742" s="153" t="n"/>
      <c r="U742" s="153" t="n"/>
      <c r="V742" s="153" t="n"/>
      <c r="W742" s="153" t="n"/>
      <c r="X742" s="153" t="n"/>
      <c r="Y742" s="153" t="n"/>
      <c r="Z742" s="153" t="n"/>
    </row>
    <row r="743" ht="15.75" customHeight="1" s="154">
      <c r="G743" s="153" t="n"/>
      <c r="H743" s="153" t="n"/>
      <c r="I743" s="153" t="n"/>
      <c r="J743" s="153" t="n"/>
      <c r="K743" s="153" t="n"/>
      <c r="L743" s="153" t="n"/>
      <c r="M743" s="153" t="n"/>
      <c r="N743" s="153" t="n"/>
      <c r="O743" s="153" t="n"/>
      <c r="P743" s="153" t="n"/>
      <c r="Q743" s="153" t="n"/>
      <c r="R743" s="153" t="n"/>
      <c r="S743" s="153" t="n"/>
      <c r="T743" s="153" t="n"/>
      <c r="U743" s="153" t="n"/>
      <c r="V743" s="153" t="n"/>
      <c r="W743" s="153" t="n"/>
      <c r="X743" s="153" t="n"/>
      <c r="Y743" s="153" t="n"/>
      <c r="Z743" s="153" t="n"/>
    </row>
    <row r="744" ht="15.75" customHeight="1" s="154">
      <c r="G744" s="153" t="n"/>
      <c r="H744" s="153" t="n"/>
      <c r="I744" s="153" t="n"/>
      <c r="J744" s="153" t="n"/>
      <c r="K744" s="153" t="n"/>
      <c r="L744" s="153" t="n"/>
      <c r="M744" s="153" t="n"/>
      <c r="N744" s="153" t="n"/>
      <c r="O744" s="153" t="n"/>
      <c r="P744" s="153" t="n"/>
      <c r="Q744" s="153" t="n"/>
      <c r="R744" s="153" t="n"/>
      <c r="S744" s="153" t="n"/>
      <c r="T744" s="153" t="n"/>
      <c r="U744" s="153" t="n"/>
      <c r="V744" s="153" t="n"/>
      <c r="W744" s="153" t="n"/>
      <c r="X744" s="153" t="n"/>
      <c r="Y744" s="153" t="n"/>
      <c r="Z744" s="153" t="n"/>
    </row>
    <row r="745" ht="15.75" customHeight="1" s="154">
      <c r="G745" s="153" t="n"/>
      <c r="H745" s="153" t="n"/>
      <c r="I745" s="153" t="n"/>
      <c r="J745" s="153" t="n"/>
      <c r="K745" s="153" t="n"/>
      <c r="L745" s="153" t="n"/>
      <c r="M745" s="153" t="n"/>
      <c r="N745" s="153" t="n"/>
      <c r="O745" s="153" t="n"/>
      <c r="P745" s="153" t="n"/>
      <c r="Q745" s="153" t="n"/>
      <c r="R745" s="153" t="n"/>
      <c r="S745" s="153" t="n"/>
      <c r="T745" s="153" t="n"/>
      <c r="U745" s="153" t="n"/>
      <c r="V745" s="153" t="n"/>
      <c r="W745" s="153" t="n"/>
      <c r="X745" s="153" t="n"/>
      <c r="Y745" s="153" t="n"/>
      <c r="Z745" s="153" t="n"/>
    </row>
    <row r="746" ht="15.75" customHeight="1" s="154">
      <c r="G746" s="153" t="n"/>
      <c r="H746" s="153" t="n"/>
      <c r="I746" s="153" t="n"/>
      <c r="J746" s="153" t="n"/>
      <c r="K746" s="153" t="n"/>
      <c r="L746" s="153" t="n"/>
      <c r="M746" s="153" t="n"/>
      <c r="N746" s="153" t="n"/>
      <c r="O746" s="153" t="n"/>
      <c r="P746" s="153" t="n"/>
      <c r="Q746" s="153" t="n"/>
      <c r="R746" s="153" t="n"/>
      <c r="S746" s="153" t="n"/>
      <c r="T746" s="153" t="n"/>
      <c r="U746" s="153" t="n"/>
      <c r="V746" s="153" t="n"/>
      <c r="W746" s="153" t="n"/>
      <c r="X746" s="153" t="n"/>
      <c r="Y746" s="153" t="n"/>
      <c r="Z746" s="153" t="n"/>
    </row>
    <row r="747" ht="15.75" customHeight="1" s="154">
      <c r="G747" s="153" t="n"/>
      <c r="H747" s="153" t="n"/>
      <c r="I747" s="153" t="n"/>
      <c r="J747" s="153" t="n"/>
      <c r="K747" s="153" t="n"/>
      <c r="L747" s="153" t="n"/>
      <c r="M747" s="153" t="n"/>
      <c r="N747" s="153" t="n"/>
      <c r="O747" s="153" t="n"/>
      <c r="P747" s="153" t="n"/>
      <c r="Q747" s="153" t="n"/>
      <c r="R747" s="153" t="n"/>
      <c r="S747" s="153" t="n"/>
      <c r="T747" s="153" t="n"/>
      <c r="U747" s="153" t="n"/>
      <c r="V747" s="153" t="n"/>
      <c r="W747" s="153" t="n"/>
      <c r="X747" s="153" t="n"/>
      <c r="Y747" s="153" t="n"/>
      <c r="Z747" s="153" t="n"/>
    </row>
    <row r="748" ht="15.75" customHeight="1" s="154">
      <c r="G748" s="153" t="n"/>
      <c r="H748" s="153" t="n"/>
      <c r="I748" s="153" t="n"/>
      <c r="J748" s="153" t="n"/>
      <c r="K748" s="153" t="n"/>
      <c r="L748" s="153" t="n"/>
      <c r="M748" s="153" t="n"/>
      <c r="N748" s="153" t="n"/>
      <c r="O748" s="153" t="n"/>
      <c r="P748" s="153" t="n"/>
      <c r="Q748" s="153" t="n"/>
      <c r="R748" s="153" t="n"/>
      <c r="S748" s="153" t="n"/>
      <c r="T748" s="153" t="n"/>
      <c r="U748" s="153" t="n"/>
      <c r="V748" s="153" t="n"/>
      <c r="W748" s="153" t="n"/>
      <c r="X748" s="153" t="n"/>
      <c r="Y748" s="153" t="n"/>
      <c r="Z748" s="153" t="n"/>
    </row>
    <row r="749" ht="15.75" customHeight="1" s="154">
      <c r="G749" s="153" t="n"/>
      <c r="H749" s="153" t="n"/>
      <c r="I749" s="153" t="n"/>
      <c r="J749" s="153" t="n"/>
      <c r="K749" s="153" t="n"/>
      <c r="L749" s="153" t="n"/>
      <c r="M749" s="153" t="n"/>
      <c r="N749" s="153" t="n"/>
      <c r="O749" s="153" t="n"/>
      <c r="P749" s="153" t="n"/>
      <c r="Q749" s="153" t="n"/>
      <c r="R749" s="153" t="n"/>
      <c r="S749" s="153" t="n"/>
      <c r="T749" s="153" t="n"/>
      <c r="U749" s="153" t="n"/>
      <c r="V749" s="153" t="n"/>
      <c r="W749" s="153" t="n"/>
      <c r="X749" s="153" t="n"/>
      <c r="Y749" s="153" t="n"/>
      <c r="Z749" s="153" t="n"/>
    </row>
    <row r="750" ht="15.75" customHeight="1" s="154">
      <c r="G750" s="153" t="n"/>
      <c r="H750" s="153" t="n"/>
      <c r="I750" s="153" t="n"/>
      <c r="J750" s="153" t="n"/>
      <c r="K750" s="153" t="n"/>
      <c r="L750" s="153" t="n"/>
      <c r="M750" s="153" t="n"/>
      <c r="N750" s="153" t="n"/>
      <c r="O750" s="153" t="n"/>
      <c r="P750" s="153" t="n"/>
      <c r="Q750" s="153" t="n"/>
      <c r="R750" s="153" t="n"/>
      <c r="S750" s="153" t="n"/>
      <c r="T750" s="153" t="n"/>
      <c r="U750" s="153" t="n"/>
      <c r="V750" s="153" t="n"/>
      <c r="W750" s="153" t="n"/>
      <c r="X750" s="153" t="n"/>
      <c r="Y750" s="153" t="n"/>
      <c r="Z750" s="153" t="n"/>
    </row>
    <row r="751" ht="15.75" customHeight="1" s="154">
      <c r="G751" s="153" t="n"/>
      <c r="H751" s="153" t="n"/>
      <c r="I751" s="153" t="n"/>
      <c r="J751" s="153" t="n"/>
      <c r="K751" s="153" t="n"/>
      <c r="L751" s="153" t="n"/>
      <c r="M751" s="153" t="n"/>
      <c r="N751" s="153" t="n"/>
      <c r="O751" s="153" t="n"/>
      <c r="P751" s="153" t="n"/>
      <c r="Q751" s="153" t="n"/>
      <c r="R751" s="153" t="n"/>
      <c r="S751" s="153" t="n"/>
      <c r="T751" s="153" t="n"/>
      <c r="U751" s="153" t="n"/>
      <c r="V751" s="153" t="n"/>
      <c r="W751" s="153" t="n"/>
      <c r="X751" s="153" t="n"/>
      <c r="Y751" s="153" t="n"/>
      <c r="Z751" s="153" t="n"/>
    </row>
    <row r="752" ht="15.75" customHeight="1" s="154">
      <c r="G752" s="153" t="n"/>
      <c r="H752" s="153" t="n"/>
      <c r="I752" s="153" t="n"/>
      <c r="J752" s="153" t="n"/>
      <c r="K752" s="153" t="n"/>
      <c r="L752" s="153" t="n"/>
      <c r="M752" s="153" t="n"/>
      <c r="N752" s="153" t="n"/>
      <c r="O752" s="153" t="n"/>
      <c r="P752" s="153" t="n"/>
      <c r="Q752" s="153" t="n"/>
      <c r="R752" s="153" t="n"/>
      <c r="S752" s="153" t="n"/>
      <c r="T752" s="153" t="n"/>
      <c r="U752" s="153" t="n"/>
      <c r="V752" s="153" t="n"/>
      <c r="W752" s="153" t="n"/>
      <c r="X752" s="153" t="n"/>
      <c r="Y752" s="153" t="n"/>
      <c r="Z752" s="153" t="n"/>
    </row>
    <row r="753" ht="15.75" customHeight="1" s="154">
      <c r="G753" s="153" t="n"/>
      <c r="H753" s="153" t="n"/>
      <c r="I753" s="153" t="n"/>
      <c r="J753" s="153" t="n"/>
      <c r="K753" s="153" t="n"/>
      <c r="L753" s="153" t="n"/>
      <c r="M753" s="153" t="n"/>
      <c r="N753" s="153" t="n"/>
      <c r="O753" s="153" t="n"/>
      <c r="P753" s="153" t="n"/>
      <c r="Q753" s="153" t="n"/>
      <c r="R753" s="153" t="n"/>
      <c r="S753" s="153" t="n"/>
      <c r="T753" s="153" t="n"/>
      <c r="U753" s="153" t="n"/>
      <c r="V753" s="153" t="n"/>
      <c r="W753" s="153" t="n"/>
      <c r="X753" s="153" t="n"/>
      <c r="Y753" s="153" t="n"/>
      <c r="Z753" s="153" t="n"/>
    </row>
    <row r="754" ht="15.75" customHeight="1" s="154">
      <c r="G754" s="153" t="n"/>
      <c r="H754" s="153" t="n"/>
      <c r="I754" s="153" t="n"/>
      <c r="J754" s="153" t="n"/>
      <c r="K754" s="153" t="n"/>
      <c r="L754" s="153" t="n"/>
      <c r="M754" s="153" t="n"/>
      <c r="N754" s="153" t="n"/>
      <c r="O754" s="153" t="n"/>
      <c r="P754" s="153" t="n"/>
      <c r="Q754" s="153" t="n"/>
      <c r="R754" s="153" t="n"/>
      <c r="S754" s="153" t="n"/>
      <c r="T754" s="153" t="n"/>
      <c r="U754" s="153" t="n"/>
      <c r="V754" s="153" t="n"/>
      <c r="W754" s="153" t="n"/>
      <c r="X754" s="153" t="n"/>
      <c r="Y754" s="153" t="n"/>
      <c r="Z754" s="153" t="n"/>
    </row>
    <row r="755" ht="15.75" customHeight="1" s="154">
      <c r="G755" s="153" t="n"/>
      <c r="H755" s="153" t="n"/>
      <c r="I755" s="153" t="n"/>
      <c r="J755" s="153" t="n"/>
      <c r="K755" s="153" t="n"/>
      <c r="L755" s="153" t="n"/>
      <c r="M755" s="153" t="n"/>
      <c r="N755" s="153" t="n"/>
      <c r="O755" s="153" t="n"/>
      <c r="P755" s="153" t="n"/>
      <c r="Q755" s="153" t="n"/>
      <c r="R755" s="153" t="n"/>
      <c r="S755" s="153" t="n"/>
      <c r="T755" s="153" t="n"/>
      <c r="U755" s="153" t="n"/>
      <c r="V755" s="153" t="n"/>
      <c r="W755" s="153" t="n"/>
      <c r="X755" s="153" t="n"/>
      <c r="Y755" s="153" t="n"/>
      <c r="Z755" s="153" t="n"/>
    </row>
    <row r="756" ht="15.75" customHeight="1" s="154">
      <c r="G756" s="153" t="n"/>
      <c r="H756" s="153" t="n"/>
      <c r="I756" s="153" t="n"/>
      <c r="J756" s="153" t="n"/>
      <c r="K756" s="153" t="n"/>
      <c r="L756" s="153" t="n"/>
      <c r="M756" s="153" t="n"/>
      <c r="N756" s="153" t="n"/>
      <c r="O756" s="153" t="n"/>
      <c r="P756" s="153" t="n"/>
      <c r="Q756" s="153" t="n"/>
      <c r="R756" s="153" t="n"/>
      <c r="S756" s="153" t="n"/>
      <c r="T756" s="153" t="n"/>
      <c r="U756" s="153" t="n"/>
      <c r="V756" s="153" t="n"/>
      <c r="W756" s="153" t="n"/>
      <c r="X756" s="153" t="n"/>
      <c r="Y756" s="153" t="n"/>
      <c r="Z756" s="153" t="n"/>
    </row>
    <row r="757" ht="15.75" customHeight="1" s="154">
      <c r="G757" s="153" t="n"/>
      <c r="H757" s="153" t="n"/>
      <c r="I757" s="153" t="n"/>
      <c r="J757" s="153" t="n"/>
      <c r="K757" s="153" t="n"/>
      <c r="L757" s="153" t="n"/>
      <c r="M757" s="153" t="n"/>
      <c r="N757" s="153" t="n"/>
      <c r="O757" s="153" t="n"/>
      <c r="P757" s="153" t="n"/>
      <c r="Q757" s="153" t="n"/>
      <c r="R757" s="153" t="n"/>
      <c r="S757" s="153" t="n"/>
      <c r="T757" s="153" t="n"/>
      <c r="U757" s="153" t="n"/>
      <c r="V757" s="153" t="n"/>
      <c r="W757" s="153" t="n"/>
      <c r="X757" s="153" t="n"/>
      <c r="Y757" s="153" t="n"/>
      <c r="Z757" s="153" t="n"/>
    </row>
    <row r="758" ht="15.75" customHeight="1" s="154">
      <c r="G758" s="153" t="n"/>
      <c r="H758" s="153" t="n"/>
      <c r="I758" s="153" t="n"/>
      <c r="J758" s="153" t="n"/>
      <c r="K758" s="153" t="n"/>
      <c r="L758" s="153" t="n"/>
      <c r="M758" s="153" t="n"/>
      <c r="N758" s="153" t="n"/>
      <c r="O758" s="153" t="n"/>
      <c r="P758" s="153" t="n"/>
      <c r="Q758" s="153" t="n"/>
      <c r="R758" s="153" t="n"/>
      <c r="S758" s="153" t="n"/>
      <c r="T758" s="153" t="n"/>
      <c r="U758" s="153" t="n"/>
      <c r="V758" s="153" t="n"/>
      <c r="W758" s="153" t="n"/>
      <c r="X758" s="153" t="n"/>
      <c r="Y758" s="153" t="n"/>
      <c r="Z758" s="153" t="n"/>
    </row>
    <row r="759" ht="15.75" customHeight="1" s="154">
      <c r="G759" s="153" t="n"/>
      <c r="H759" s="153" t="n"/>
      <c r="I759" s="153" t="n"/>
      <c r="J759" s="153" t="n"/>
      <c r="K759" s="153" t="n"/>
      <c r="L759" s="153" t="n"/>
      <c r="M759" s="153" t="n"/>
      <c r="N759" s="153" t="n"/>
      <c r="O759" s="153" t="n"/>
      <c r="P759" s="153" t="n"/>
      <c r="Q759" s="153" t="n"/>
      <c r="R759" s="153" t="n"/>
      <c r="S759" s="153" t="n"/>
      <c r="T759" s="153" t="n"/>
      <c r="U759" s="153" t="n"/>
      <c r="V759" s="153" t="n"/>
      <c r="W759" s="153" t="n"/>
      <c r="X759" s="153" t="n"/>
      <c r="Y759" s="153" t="n"/>
      <c r="Z759" s="153" t="n"/>
    </row>
    <row r="760" ht="15.75" customHeight="1" s="154">
      <c r="G760" s="153" t="n"/>
      <c r="H760" s="153" t="n"/>
      <c r="I760" s="153" t="n"/>
      <c r="J760" s="153" t="n"/>
      <c r="K760" s="153" t="n"/>
      <c r="L760" s="153" t="n"/>
      <c r="M760" s="153" t="n"/>
      <c r="N760" s="153" t="n"/>
      <c r="O760" s="153" t="n"/>
      <c r="P760" s="153" t="n"/>
      <c r="Q760" s="153" t="n"/>
      <c r="R760" s="153" t="n"/>
      <c r="S760" s="153" t="n"/>
      <c r="T760" s="153" t="n"/>
      <c r="U760" s="153" t="n"/>
      <c r="V760" s="153" t="n"/>
      <c r="W760" s="153" t="n"/>
      <c r="X760" s="153" t="n"/>
      <c r="Y760" s="153" t="n"/>
      <c r="Z760" s="153" t="n"/>
    </row>
    <row r="761" ht="15.75" customHeight="1" s="154">
      <c r="G761" s="153" t="n"/>
      <c r="H761" s="153" t="n"/>
      <c r="I761" s="153" t="n"/>
      <c r="J761" s="153" t="n"/>
      <c r="K761" s="153" t="n"/>
      <c r="L761" s="153" t="n"/>
      <c r="M761" s="153" t="n"/>
      <c r="N761" s="153" t="n"/>
      <c r="O761" s="153" t="n"/>
      <c r="P761" s="153" t="n"/>
      <c r="Q761" s="153" t="n"/>
      <c r="R761" s="153" t="n"/>
      <c r="S761" s="153" t="n"/>
      <c r="T761" s="153" t="n"/>
      <c r="U761" s="153" t="n"/>
      <c r="V761" s="153" t="n"/>
      <c r="W761" s="153" t="n"/>
      <c r="X761" s="153" t="n"/>
      <c r="Y761" s="153" t="n"/>
      <c r="Z761" s="153" t="n"/>
    </row>
    <row r="762" ht="15.75" customHeight="1" s="154">
      <c r="G762" s="153" t="n"/>
      <c r="H762" s="153" t="n"/>
      <c r="I762" s="153" t="n"/>
      <c r="J762" s="153" t="n"/>
      <c r="K762" s="153" t="n"/>
      <c r="L762" s="153" t="n"/>
      <c r="M762" s="153" t="n"/>
      <c r="N762" s="153" t="n"/>
      <c r="O762" s="153" t="n"/>
      <c r="P762" s="153" t="n"/>
      <c r="Q762" s="153" t="n"/>
      <c r="R762" s="153" t="n"/>
      <c r="S762" s="153" t="n"/>
      <c r="T762" s="153" t="n"/>
      <c r="U762" s="153" t="n"/>
      <c r="V762" s="153" t="n"/>
      <c r="W762" s="153" t="n"/>
      <c r="X762" s="153" t="n"/>
      <c r="Y762" s="153" t="n"/>
      <c r="Z762" s="153" t="n"/>
    </row>
    <row r="763" ht="15.75" customHeight="1" s="154">
      <c r="G763" s="153" t="n"/>
      <c r="H763" s="153" t="n"/>
      <c r="I763" s="153" t="n"/>
      <c r="J763" s="153" t="n"/>
      <c r="K763" s="153" t="n"/>
      <c r="L763" s="153" t="n"/>
      <c r="M763" s="153" t="n"/>
      <c r="N763" s="153" t="n"/>
      <c r="O763" s="153" t="n"/>
      <c r="P763" s="153" t="n"/>
      <c r="Q763" s="153" t="n"/>
      <c r="R763" s="153" t="n"/>
      <c r="S763" s="153" t="n"/>
      <c r="T763" s="153" t="n"/>
      <c r="U763" s="153" t="n"/>
      <c r="V763" s="153" t="n"/>
      <c r="W763" s="153" t="n"/>
      <c r="X763" s="153" t="n"/>
      <c r="Y763" s="153" t="n"/>
      <c r="Z763" s="153" t="n"/>
    </row>
    <row r="764" ht="15.75" customHeight="1" s="154">
      <c r="G764" s="153" t="n"/>
      <c r="H764" s="153" t="n"/>
      <c r="I764" s="153" t="n"/>
      <c r="J764" s="153" t="n"/>
      <c r="K764" s="153" t="n"/>
      <c r="L764" s="153" t="n"/>
      <c r="M764" s="153" t="n"/>
      <c r="N764" s="153" t="n"/>
      <c r="O764" s="153" t="n"/>
      <c r="P764" s="153" t="n"/>
      <c r="Q764" s="153" t="n"/>
      <c r="R764" s="153" t="n"/>
      <c r="S764" s="153" t="n"/>
      <c r="T764" s="153" t="n"/>
      <c r="U764" s="153" t="n"/>
      <c r="V764" s="153" t="n"/>
      <c r="W764" s="153" t="n"/>
      <c r="X764" s="153" t="n"/>
      <c r="Y764" s="153" t="n"/>
      <c r="Z764" s="153" t="n"/>
    </row>
    <row r="765" ht="15.75" customHeight="1" s="154">
      <c r="G765" s="153" t="n"/>
      <c r="H765" s="153" t="n"/>
      <c r="I765" s="153" t="n"/>
      <c r="J765" s="153" t="n"/>
      <c r="K765" s="153" t="n"/>
      <c r="L765" s="153" t="n"/>
      <c r="M765" s="153" t="n"/>
      <c r="N765" s="153" t="n"/>
      <c r="O765" s="153" t="n"/>
      <c r="P765" s="153" t="n"/>
      <c r="Q765" s="153" t="n"/>
      <c r="R765" s="153" t="n"/>
      <c r="S765" s="153" t="n"/>
      <c r="T765" s="153" t="n"/>
      <c r="U765" s="153" t="n"/>
      <c r="V765" s="153" t="n"/>
      <c r="W765" s="153" t="n"/>
      <c r="X765" s="153" t="n"/>
      <c r="Y765" s="153" t="n"/>
      <c r="Z765" s="153" t="n"/>
    </row>
    <row r="766" ht="15.75" customHeight="1" s="154">
      <c r="G766" s="153" t="n"/>
      <c r="H766" s="153" t="n"/>
      <c r="I766" s="153" t="n"/>
      <c r="J766" s="153" t="n"/>
      <c r="K766" s="153" t="n"/>
      <c r="L766" s="153" t="n"/>
      <c r="M766" s="153" t="n"/>
      <c r="N766" s="153" t="n"/>
      <c r="O766" s="153" t="n"/>
      <c r="P766" s="153" t="n"/>
      <c r="Q766" s="153" t="n"/>
      <c r="R766" s="153" t="n"/>
      <c r="S766" s="153" t="n"/>
      <c r="T766" s="153" t="n"/>
      <c r="U766" s="153" t="n"/>
      <c r="V766" s="153" t="n"/>
      <c r="W766" s="153" t="n"/>
      <c r="X766" s="153" t="n"/>
      <c r="Y766" s="153" t="n"/>
      <c r="Z766" s="153" t="n"/>
    </row>
    <row r="767" ht="15.75" customHeight="1" s="154">
      <c r="G767" s="153" t="n"/>
      <c r="H767" s="153" t="n"/>
      <c r="I767" s="153" t="n"/>
      <c r="J767" s="153" t="n"/>
      <c r="K767" s="153" t="n"/>
      <c r="L767" s="153" t="n"/>
      <c r="M767" s="153" t="n"/>
      <c r="N767" s="153" t="n"/>
      <c r="O767" s="153" t="n"/>
      <c r="P767" s="153" t="n"/>
      <c r="Q767" s="153" t="n"/>
      <c r="R767" s="153" t="n"/>
      <c r="S767" s="153" t="n"/>
      <c r="T767" s="153" t="n"/>
      <c r="U767" s="153" t="n"/>
      <c r="V767" s="153" t="n"/>
      <c r="W767" s="153" t="n"/>
      <c r="X767" s="153" t="n"/>
      <c r="Y767" s="153" t="n"/>
      <c r="Z767" s="153" t="n"/>
    </row>
    <row r="768" ht="15.75" customHeight="1" s="154">
      <c r="G768" s="153" t="n"/>
      <c r="H768" s="153" t="n"/>
      <c r="I768" s="153" t="n"/>
      <c r="J768" s="153" t="n"/>
      <c r="K768" s="153" t="n"/>
      <c r="L768" s="153" t="n"/>
      <c r="M768" s="153" t="n"/>
      <c r="N768" s="153" t="n"/>
      <c r="O768" s="153" t="n"/>
      <c r="P768" s="153" t="n"/>
      <c r="Q768" s="153" t="n"/>
      <c r="R768" s="153" t="n"/>
      <c r="S768" s="153" t="n"/>
      <c r="T768" s="153" t="n"/>
      <c r="U768" s="153" t="n"/>
      <c r="V768" s="153" t="n"/>
      <c r="W768" s="153" t="n"/>
      <c r="X768" s="153" t="n"/>
      <c r="Y768" s="153" t="n"/>
      <c r="Z768" s="153" t="n"/>
    </row>
    <row r="769" ht="15.75" customHeight="1" s="154">
      <c r="G769" s="153" t="n"/>
      <c r="H769" s="153" t="n"/>
      <c r="I769" s="153" t="n"/>
      <c r="J769" s="153" t="n"/>
      <c r="K769" s="153" t="n"/>
      <c r="L769" s="153" t="n"/>
      <c r="M769" s="153" t="n"/>
      <c r="N769" s="153" t="n"/>
      <c r="O769" s="153" t="n"/>
      <c r="P769" s="153" t="n"/>
      <c r="Q769" s="153" t="n"/>
      <c r="R769" s="153" t="n"/>
      <c r="S769" s="153" t="n"/>
      <c r="T769" s="153" t="n"/>
      <c r="U769" s="153" t="n"/>
      <c r="V769" s="153" t="n"/>
      <c r="W769" s="153" t="n"/>
      <c r="X769" s="153" t="n"/>
      <c r="Y769" s="153" t="n"/>
      <c r="Z769" s="153" t="n"/>
    </row>
    <row r="770" ht="15.75" customHeight="1" s="154">
      <c r="G770" s="153" t="n"/>
      <c r="H770" s="153" t="n"/>
      <c r="I770" s="153" t="n"/>
      <c r="J770" s="153" t="n"/>
      <c r="K770" s="153" t="n"/>
      <c r="L770" s="153" t="n"/>
      <c r="M770" s="153" t="n"/>
      <c r="N770" s="153" t="n"/>
      <c r="O770" s="153" t="n"/>
      <c r="P770" s="153" t="n"/>
      <c r="Q770" s="153" t="n"/>
      <c r="R770" s="153" t="n"/>
      <c r="S770" s="153" t="n"/>
      <c r="T770" s="153" t="n"/>
      <c r="U770" s="153" t="n"/>
      <c r="V770" s="153" t="n"/>
      <c r="W770" s="153" t="n"/>
      <c r="X770" s="153" t="n"/>
      <c r="Y770" s="153" t="n"/>
      <c r="Z770" s="153" t="n"/>
    </row>
    <row r="771" ht="15.75" customHeight="1" s="154">
      <c r="G771" s="153" t="n"/>
      <c r="H771" s="153" t="n"/>
      <c r="I771" s="153" t="n"/>
      <c r="J771" s="153" t="n"/>
      <c r="K771" s="153" t="n"/>
      <c r="L771" s="153" t="n"/>
      <c r="M771" s="153" t="n"/>
      <c r="N771" s="153" t="n"/>
      <c r="O771" s="153" t="n"/>
      <c r="P771" s="153" t="n"/>
      <c r="Q771" s="153" t="n"/>
      <c r="R771" s="153" t="n"/>
      <c r="S771" s="153" t="n"/>
      <c r="T771" s="153" t="n"/>
      <c r="U771" s="153" t="n"/>
      <c r="V771" s="153" t="n"/>
      <c r="W771" s="153" t="n"/>
      <c r="X771" s="153" t="n"/>
      <c r="Y771" s="153" t="n"/>
      <c r="Z771" s="153" t="n"/>
    </row>
    <row r="772" ht="15.75" customHeight="1" s="154">
      <c r="G772" s="153" t="n"/>
      <c r="H772" s="153" t="n"/>
      <c r="I772" s="153" t="n"/>
      <c r="J772" s="153" t="n"/>
      <c r="K772" s="153" t="n"/>
      <c r="L772" s="153" t="n"/>
      <c r="M772" s="153" t="n"/>
      <c r="N772" s="153" t="n"/>
      <c r="O772" s="153" t="n"/>
      <c r="P772" s="153" t="n"/>
      <c r="Q772" s="153" t="n"/>
      <c r="R772" s="153" t="n"/>
      <c r="S772" s="153" t="n"/>
      <c r="T772" s="153" t="n"/>
      <c r="U772" s="153" t="n"/>
      <c r="V772" s="153" t="n"/>
      <c r="W772" s="153" t="n"/>
      <c r="X772" s="153" t="n"/>
      <c r="Y772" s="153" t="n"/>
      <c r="Z772" s="153" t="n"/>
    </row>
    <row r="773" ht="15.75" customHeight="1" s="154">
      <c r="G773" s="153" t="n"/>
      <c r="H773" s="153" t="n"/>
      <c r="I773" s="153" t="n"/>
      <c r="J773" s="153" t="n"/>
      <c r="K773" s="153" t="n"/>
      <c r="L773" s="153" t="n"/>
      <c r="M773" s="153" t="n"/>
      <c r="N773" s="153" t="n"/>
      <c r="O773" s="153" t="n"/>
      <c r="P773" s="153" t="n"/>
      <c r="Q773" s="153" t="n"/>
      <c r="R773" s="153" t="n"/>
      <c r="S773" s="153" t="n"/>
      <c r="T773" s="153" t="n"/>
      <c r="U773" s="153" t="n"/>
      <c r="V773" s="153" t="n"/>
      <c r="W773" s="153" t="n"/>
      <c r="X773" s="153" t="n"/>
      <c r="Y773" s="153" t="n"/>
      <c r="Z773" s="153" t="n"/>
    </row>
    <row r="774" ht="15.75" customHeight="1" s="154">
      <c r="G774" s="153" t="n"/>
      <c r="H774" s="153" t="n"/>
      <c r="I774" s="153" t="n"/>
      <c r="J774" s="153" t="n"/>
      <c r="K774" s="153" t="n"/>
      <c r="L774" s="153" t="n"/>
      <c r="M774" s="153" t="n"/>
      <c r="N774" s="153" t="n"/>
      <c r="O774" s="153" t="n"/>
      <c r="P774" s="153" t="n"/>
      <c r="Q774" s="153" t="n"/>
      <c r="R774" s="153" t="n"/>
      <c r="S774" s="153" t="n"/>
      <c r="T774" s="153" t="n"/>
      <c r="U774" s="153" t="n"/>
      <c r="V774" s="153" t="n"/>
      <c r="W774" s="153" t="n"/>
      <c r="X774" s="153" t="n"/>
      <c r="Y774" s="153" t="n"/>
      <c r="Z774" s="153" t="n"/>
    </row>
    <row r="775" ht="15.75" customHeight="1" s="154">
      <c r="G775" s="153" t="n"/>
      <c r="H775" s="153" t="n"/>
      <c r="I775" s="153" t="n"/>
      <c r="J775" s="153" t="n"/>
      <c r="K775" s="153" t="n"/>
      <c r="L775" s="153" t="n"/>
      <c r="M775" s="153" t="n"/>
      <c r="N775" s="153" t="n"/>
      <c r="O775" s="153" t="n"/>
      <c r="P775" s="153" t="n"/>
      <c r="Q775" s="153" t="n"/>
      <c r="R775" s="153" t="n"/>
      <c r="S775" s="153" t="n"/>
      <c r="T775" s="153" t="n"/>
      <c r="U775" s="153" t="n"/>
      <c r="V775" s="153" t="n"/>
      <c r="W775" s="153" t="n"/>
      <c r="X775" s="153" t="n"/>
      <c r="Y775" s="153" t="n"/>
      <c r="Z775" s="153" t="n"/>
    </row>
    <row r="776" ht="15.75" customHeight="1" s="154">
      <c r="G776" s="153" t="n"/>
      <c r="H776" s="153" t="n"/>
      <c r="I776" s="153" t="n"/>
      <c r="J776" s="153" t="n"/>
      <c r="K776" s="153" t="n"/>
      <c r="L776" s="153" t="n"/>
      <c r="M776" s="153" t="n"/>
      <c r="N776" s="153" t="n"/>
      <c r="O776" s="153" t="n"/>
      <c r="P776" s="153" t="n"/>
      <c r="Q776" s="153" t="n"/>
      <c r="R776" s="153" t="n"/>
      <c r="S776" s="153" t="n"/>
      <c r="T776" s="153" t="n"/>
      <c r="U776" s="153" t="n"/>
      <c r="V776" s="153" t="n"/>
      <c r="W776" s="153" t="n"/>
      <c r="X776" s="153" t="n"/>
      <c r="Y776" s="153" t="n"/>
      <c r="Z776" s="153" t="n"/>
    </row>
    <row r="777" ht="15.75" customHeight="1" s="154">
      <c r="G777" s="153" t="n"/>
      <c r="H777" s="153" t="n"/>
      <c r="I777" s="153" t="n"/>
      <c r="J777" s="153" t="n"/>
      <c r="K777" s="153" t="n"/>
      <c r="L777" s="153" t="n"/>
      <c r="M777" s="153" t="n"/>
      <c r="N777" s="153" t="n"/>
      <c r="O777" s="153" t="n"/>
      <c r="P777" s="153" t="n"/>
      <c r="Q777" s="153" t="n"/>
      <c r="R777" s="153" t="n"/>
      <c r="S777" s="153" t="n"/>
      <c r="T777" s="153" t="n"/>
      <c r="U777" s="153" t="n"/>
      <c r="V777" s="153" t="n"/>
      <c r="W777" s="153" t="n"/>
      <c r="X777" s="153" t="n"/>
      <c r="Y777" s="153" t="n"/>
      <c r="Z777" s="153" t="n"/>
    </row>
    <row r="778" ht="15.75" customHeight="1" s="154">
      <c r="G778" s="153" t="n"/>
      <c r="H778" s="153" t="n"/>
      <c r="I778" s="153" t="n"/>
      <c r="J778" s="153" t="n"/>
      <c r="K778" s="153" t="n"/>
      <c r="L778" s="153" t="n"/>
      <c r="M778" s="153" t="n"/>
      <c r="N778" s="153" t="n"/>
      <c r="O778" s="153" t="n"/>
      <c r="P778" s="153" t="n"/>
      <c r="Q778" s="153" t="n"/>
      <c r="R778" s="153" t="n"/>
      <c r="S778" s="153" t="n"/>
      <c r="T778" s="153" t="n"/>
      <c r="U778" s="153" t="n"/>
      <c r="V778" s="153" t="n"/>
      <c r="W778" s="153" t="n"/>
      <c r="X778" s="153" t="n"/>
      <c r="Y778" s="153" t="n"/>
      <c r="Z778" s="153" t="n"/>
    </row>
    <row r="779" ht="15.75" customHeight="1" s="154">
      <c r="G779" s="153" t="n"/>
      <c r="H779" s="153" t="n"/>
      <c r="I779" s="153" t="n"/>
      <c r="J779" s="153" t="n"/>
      <c r="K779" s="153" t="n"/>
      <c r="L779" s="153" t="n"/>
      <c r="M779" s="153" t="n"/>
      <c r="N779" s="153" t="n"/>
      <c r="O779" s="153" t="n"/>
      <c r="P779" s="153" t="n"/>
      <c r="Q779" s="153" t="n"/>
      <c r="R779" s="153" t="n"/>
      <c r="S779" s="153" t="n"/>
      <c r="T779" s="153" t="n"/>
      <c r="U779" s="153" t="n"/>
      <c r="V779" s="153" t="n"/>
      <c r="W779" s="153" t="n"/>
      <c r="X779" s="153" t="n"/>
      <c r="Y779" s="153" t="n"/>
      <c r="Z779" s="153" t="n"/>
    </row>
    <row r="780" ht="15.75" customHeight="1" s="154">
      <c r="G780" s="153" t="n"/>
      <c r="H780" s="153" t="n"/>
      <c r="I780" s="153" t="n"/>
      <c r="J780" s="153" t="n"/>
      <c r="K780" s="153" t="n"/>
      <c r="L780" s="153" t="n"/>
      <c r="M780" s="153" t="n"/>
      <c r="N780" s="153" t="n"/>
      <c r="O780" s="153" t="n"/>
      <c r="P780" s="153" t="n"/>
      <c r="Q780" s="153" t="n"/>
      <c r="R780" s="153" t="n"/>
      <c r="S780" s="153" t="n"/>
      <c r="T780" s="153" t="n"/>
      <c r="U780" s="153" t="n"/>
      <c r="V780" s="153" t="n"/>
      <c r="W780" s="153" t="n"/>
      <c r="X780" s="153" t="n"/>
      <c r="Y780" s="153" t="n"/>
      <c r="Z780" s="153" t="n"/>
    </row>
    <row r="781" ht="15.75" customHeight="1" s="154">
      <c r="G781" s="153" t="n"/>
      <c r="H781" s="153" t="n"/>
      <c r="I781" s="153" t="n"/>
      <c r="J781" s="153" t="n"/>
      <c r="K781" s="153" t="n"/>
      <c r="L781" s="153" t="n"/>
      <c r="M781" s="153" t="n"/>
      <c r="N781" s="153" t="n"/>
      <c r="O781" s="153" t="n"/>
      <c r="P781" s="153" t="n"/>
      <c r="Q781" s="153" t="n"/>
      <c r="R781" s="153" t="n"/>
      <c r="S781" s="153" t="n"/>
      <c r="T781" s="153" t="n"/>
      <c r="U781" s="153" t="n"/>
      <c r="V781" s="153" t="n"/>
      <c r="W781" s="153" t="n"/>
      <c r="X781" s="153" t="n"/>
      <c r="Y781" s="153" t="n"/>
      <c r="Z781" s="153" t="n"/>
    </row>
    <row r="782" ht="15.75" customHeight="1" s="154">
      <c r="G782" s="153" t="n"/>
      <c r="H782" s="153" t="n"/>
      <c r="I782" s="153" t="n"/>
      <c r="J782" s="153" t="n"/>
      <c r="K782" s="153" t="n"/>
      <c r="L782" s="153" t="n"/>
      <c r="M782" s="153" t="n"/>
      <c r="N782" s="153" t="n"/>
      <c r="O782" s="153" t="n"/>
      <c r="P782" s="153" t="n"/>
      <c r="Q782" s="153" t="n"/>
      <c r="R782" s="153" t="n"/>
      <c r="S782" s="153" t="n"/>
      <c r="T782" s="153" t="n"/>
      <c r="U782" s="153" t="n"/>
      <c r="V782" s="153" t="n"/>
      <c r="W782" s="153" t="n"/>
      <c r="X782" s="153" t="n"/>
      <c r="Y782" s="153" t="n"/>
      <c r="Z782" s="153" t="n"/>
    </row>
    <row r="783" ht="15.75" customHeight="1" s="154">
      <c r="G783" s="153" t="n"/>
      <c r="H783" s="153" t="n"/>
      <c r="I783" s="153" t="n"/>
      <c r="J783" s="153" t="n"/>
      <c r="K783" s="153" t="n"/>
      <c r="L783" s="153" t="n"/>
      <c r="M783" s="153" t="n"/>
      <c r="N783" s="153" t="n"/>
      <c r="O783" s="153" t="n"/>
      <c r="P783" s="153" t="n"/>
      <c r="Q783" s="153" t="n"/>
      <c r="R783" s="153" t="n"/>
      <c r="S783" s="153" t="n"/>
      <c r="T783" s="153" t="n"/>
      <c r="U783" s="153" t="n"/>
      <c r="V783" s="153" t="n"/>
      <c r="W783" s="153" t="n"/>
      <c r="X783" s="153" t="n"/>
      <c r="Y783" s="153" t="n"/>
      <c r="Z783" s="153" t="n"/>
    </row>
    <row r="784" ht="15.75" customHeight="1" s="154">
      <c r="G784" s="153" t="n"/>
      <c r="H784" s="153" t="n"/>
      <c r="I784" s="153" t="n"/>
      <c r="J784" s="153" t="n"/>
      <c r="K784" s="153" t="n"/>
      <c r="L784" s="153" t="n"/>
      <c r="M784" s="153" t="n"/>
      <c r="N784" s="153" t="n"/>
      <c r="O784" s="153" t="n"/>
      <c r="P784" s="153" t="n"/>
      <c r="Q784" s="153" t="n"/>
      <c r="R784" s="153" t="n"/>
      <c r="S784" s="153" t="n"/>
      <c r="T784" s="153" t="n"/>
      <c r="U784" s="153" t="n"/>
      <c r="V784" s="153" t="n"/>
      <c r="W784" s="153" t="n"/>
      <c r="X784" s="153" t="n"/>
      <c r="Y784" s="153" t="n"/>
      <c r="Z784" s="153" t="n"/>
    </row>
    <row r="785" ht="15.75" customHeight="1" s="154">
      <c r="G785" s="153" t="n"/>
      <c r="H785" s="153" t="n"/>
      <c r="I785" s="153" t="n"/>
      <c r="J785" s="153" t="n"/>
      <c r="K785" s="153" t="n"/>
      <c r="L785" s="153" t="n"/>
      <c r="M785" s="153" t="n"/>
      <c r="N785" s="153" t="n"/>
      <c r="O785" s="153" t="n"/>
      <c r="P785" s="153" t="n"/>
      <c r="Q785" s="153" t="n"/>
      <c r="R785" s="153" t="n"/>
      <c r="S785" s="153" t="n"/>
      <c r="T785" s="153" t="n"/>
      <c r="U785" s="153" t="n"/>
      <c r="V785" s="153" t="n"/>
      <c r="W785" s="153" t="n"/>
      <c r="X785" s="153" t="n"/>
      <c r="Y785" s="153" t="n"/>
      <c r="Z785" s="153" t="n"/>
    </row>
    <row r="786" ht="15.75" customHeight="1" s="154">
      <c r="G786" s="153" t="n"/>
      <c r="H786" s="153" t="n"/>
      <c r="I786" s="153" t="n"/>
      <c r="J786" s="153" t="n"/>
      <c r="K786" s="153" t="n"/>
      <c r="L786" s="153" t="n"/>
      <c r="M786" s="153" t="n"/>
      <c r="N786" s="153" t="n"/>
      <c r="O786" s="153" t="n"/>
      <c r="P786" s="153" t="n"/>
      <c r="Q786" s="153" t="n"/>
      <c r="R786" s="153" t="n"/>
      <c r="S786" s="153" t="n"/>
      <c r="T786" s="153" t="n"/>
      <c r="U786" s="153" t="n"/>
      <c r="V786" s="153" t="n"/>
      <c r="W786" s="153" t="n"/>
      <c r="X786" s="153" t="n"/>
      <c r="Y786" s="153" t="n"/>
      <c r="Z786" s="153" t="n"/>
    </row>
    <row r="787" ht="15.75" customHeight="1" s="154">
      <c r="G787" s="153" t="n"/>
      <c r="H787" s="153" t="n"/>
      <c r="I787" s="153" t="n"/>
      <c r="J787" s="153" t="n"/>
      <c r="K787" s="153" t="n"/>
      <c r="L787" s="153" t="n"/>
      <c r="M787" s="153" t="n"/>
      <c r="N787" s="153" t="n"/>
      <c r="O787" s="153" t="n"/>
      <c r="P787" s="153" t="n"/>
      <c r="Q787" s="153" t="n"/>
      <c r="R787" s="153" t="n"/>
      <c r="S787" s="153" t="n"/>
      <c r="T787" s="153" t="n"/>
      <c r="U787" s="153" t="n"/>
      <c r="V787" s="153" t="n"/>
      <c r="W787" s="153" t="n"/>
      <c r="X787" s="153" t="n"/>
      <c r="Y787" s="153" t="n"/>
      <c r="Z787" s="153" t="n"/>
    </row>
    <row r="788" ht="15.75" customHeight="1" s="154">
      <c r="G788" s="153" t="n"/>
      <c r="H788" s="153" t="n"/>
      <c r="I788" s="153" t="n"/>
      <c r="J788" s="153" t="n"/>
      <c r="K788" s="153" t="n"/>
      <c r="L788" s="153" t="n"/>
      <c r="M788" s="153" t="n"/>
      <c r="N788" s="153" t="n"/>
      <c r="O788" s="153" t="n"/>
      <c r="P788" s="153" t="n"/>
      <c r="Q788" s="153" t="n"/>
      <c r="R788" s="153" t="n"/>
      <c r="S788" s="153" t="n"/>
      <c r="T788" s="153" t="n"/>
      <c r="U788" s="153" t="n"/>
      <c r="V788" s="153" t="n"/>
      <c r="W788" s="153" t="n"/>
      <c r="X788" s="153" t="n"/>
      <c r="Y788" s="153" t="n"/>
      <c r="Z788" s="153" t="n"/>
    </row>
    <row r="789" ht="15.75" customHeight="1" s="154">
      <c r="G789" s="153" t="n"/>
      <c r="H789" s="153" t="n"/>
      <c r="I789" s="153" t="n"/>
      <c r="J789" s="153" t="n"/>
      <c r="K789" s="153" t="n"/>
      <c r="L789" s="153" t="n"/>
      <c r="M789" s="153" t="n"/>
      <c r="N789" s="153" t="n"/>
      <c r="O789" s="153" t="n"/>
      <c r="P789" s="153" t="n"/>
      <c r="Q789" s="153" t="n"/>
      <c r="R789" s="153" t="n"/>
      <c r="S789" s="153" t="n"/>
      <c r="T789" s="153" t="n"/>
      <c r="U789" s="153" t="n"/>
      <c r="V789" s="153" t="n"/>
      <c r="W789" s="153" t="n"/>
      <c r="X789" s="153" t="n"/>
      <c r="Y789" s="153" t="n"/>
      <c r="Z789" s="153" t="n"/>
    </row>
    <row r="790" ht="15.75" customHeight="1" s="154">
      <c r="G790" s="153" t="n"/>
      <c r="H790" s="153" t="n"/>
      <c r="I790" s="153" t="n"/>
      <c r="J790" s="153" t="n"/>
      <c r="K790" s="153" t="n"/>
      <c r="L790" s="153" t="n"/>
      <c r="M790" s="153" t="n"/>
      <c r="N790" s="153" t="n"/>
      <c r="O790" s="153" t="n"/>
      <c r="P790" s="153" t="n"/>
      <c r="Q790" s="153" t="n"/>
      <c r="R790" s="153" t="n"/>
      <c r="S790" s="153" t="n"/>
      <c r="T790" s="153" t="n"/>
      <c r="U790" s="153" t="n"/>
      <c r="V790" s="153" t="n"/>
      <c r="W790" s="153" t="n"/>
      <c r="X790" s="153" t="n"/>
      <c r="Y790" s="153" t="n"/>
      <c r="Z790" s="153" t="n"/>
    </row>
    <row r="791" ht="15.75" customHeight="1" s="154">
      <c r="G791" s="153" t="n"/>
      <c r="H791" s="153" t="n"/>
      <c r="I791" s="153" t="n"/>
      <c r="J791" s="153" t="n"/>
      <c r="K791" s="153" t="n"/>
      <c r="L791" s="153" t="n"/>
      <c r="M791" s="153" t="n"/>
      <c r="N791" s="153" t="n"/>
      <c r="O791" s="153" t="n"/>
      <c r="P791" s="153" t="n"/>
      <c r="Q791" s="153" t="n"/>
      <c r="R791" s="153" t="n"/>
      <c r="S791" s="153" t="n"/>
      <c r="T791" s="153" t="n"/>
      <c r="U791" s="153" t="n"/>
      <c r="V791" s="153" t="n"/>
      <c r="W791" s="153" t="n"/>
      <c r="X791" s="153" t="n"/>
      <c r="Y791" s="153" t="n"/>
      <c r="Z791" s="153" t="n"/>
    </row>
    <row r="792" ht="15.75" customHeight="1" s="154">
      <c r="G792" s="153" t="n"/>
      <c r="H792" s="153" t="n"/>
      <c r="I792" s="153" t="n"/>
      <c r="J792" s="153" t="n"/>
      <c r="K792" s="153" t="n"/>
      <c r="L792" s="153" t="n"/>
      <c r="M792" s="153" t="n"/>
      <c r="N792" s="153" t="n"/>
      <c r="O792" s="153" t="n"/>
      <c r="P792" s="153" t="n"/>
      <c r="Q792" s="153" t="n"/>
      <c r="R792" s="153" t="n"/>
      <c r="S792" s="153" t="n"/>
      <c r="T792" s="153" t="n"/>
      <c r="U792" s="153" t="n"/>
      <c r="V792" s="153" t="n"/>
      <c r="W792" s="153" t="n"/>
      <c r="X792" s="153" t="n"/>
      <c r="Y792" s="153" t="n"/>
      <c r="Z792" s="153" t="n"/>
    </row>
    <row r="793" ht="15.75" customHeight="1" s="154">
      <c r="G793" s="153" t="n"/>
      <c r="H793" s="153" t="n"/>
      <c r="I793" s="153" t="n"/>
      <c r="J793" s="153" t="n"/>
      <c r="K793" s="153" t="n"/>
      <c r="L793" s="153" t="n"/>
      <c r="M793" s="153" t="n"/>
      <c r="N793" s="153" t="n"/>
      <c r="O793" s="153" t="n"/>
      <c r="P793" s="153" t="n"/>
      <c r="Q793" s="153" t="n"/>
      <c r="R793" s="153" t="n"/>
      <c r="S793" s="153" t="n"/>
      <c r="T793" s="153" t="n"/>
      <c r="U793" s="153" t="n"/>
      <c r="V793" s="153" t="n"/>
      <c r="W793" s="153" t="n"/>
      <c r="X793" s="153" t="n"/>
      <c r="Y793" s="153" t="n"/>
      <c r="Z793" s="153" t="n"/>
    </row>
    <row r="794" ht="15.75" customHeight="1" s="154">
      <c r="G794" s="153" t="n"/>
      <c r="H794" s="153" t="n"/>
      <c r="I794" s="153" t="n"/>
      <c r="J794" s="153" t="n"/>
      <c r="K794" s="153" t="n"/>
      <c r="L794" s="153" t="n"/>
      <c r="M794" s="153" t="n"/>
      <c r="N794" s="153" t="n"/>
      <c r="O794" s="153" t="n"/>
      <c r="P794" s="153" t="n"/>
      <c r="Q794" s="153" t="n"/>
      <c r="R794" s="153" t="n"/>
      <c r="S794" s="153" t="n"/>
      <c r="T794" s="153" t="n"/>
      <c r="U794" s="153" t="n"/>
      <c r="V794" s="153" t="n"/>
      <c r="W794" s="153" t="n"/>
      <c r="X794" s="153" t="n"/>
      <c r="Y794" s="153" t="n"/>
      <c r="Z794" s="153" t="n"/>
    </row>
    <row r="795" ht="15.75" customHeight="1" s="154">
      <c r="G795" s="153" t="n"/>
      <c r="H795" s="153" t="n"/>
      <c r="I795" s="153" t="n"/>
      <c r="J795" s="153" t="n"/>
      <c r="K795" s="153" t="n"/>
      <c r="L795" s="153" t="n"/>
      <c r="M795" s="153" t="n"/>
      <c r="N795" s="153" t="n"/>
      <c r="O795" s="153" t="n"/>
      <c r="P795" s="153" t="n"/>
      <c r="Q795" s="153" t="n"/>
      <c r="R795" s="153" t="n"/>
      <c r="S795" s="153" t="n"/>
      <c r="T795" s="153" t="n"/>
      <c r="U795" s="153" t="n"/>
      <c r="V795" s="153" t="n"/>
      <c r="W795" s="153" t="n"/>
      <c r="X795" s="153" t="n"/>
      <c r="Y795" s="153" t="n"/>
      <c r="Z795" s="153" t="n"/>
    </row>
    <row r="796" ht="15.75" customHeight="1" s="154">
      <c r="G796" s="153" t="n"/>
      <c r="H796" s="153" t="n"/>
      <c r="I796" s="153" t="n"/>
      <c r="J796" s="153" t="n"/>
      <c r="K796" s="153" t="n"/>
      <c r="L796" s="153" t="n"/>
      <c r="M796" s="153" t="n"/>
      <c r="N796" s="153" t="n"/>
      <c r="O796" s="153" t="n"/>
      <c r="P796" s="153" t="n"/>
      <c r="Q796" s="153" t="n"/>
      <c r="R796" s="153" t="n"/>
      <c r="S796" s="153" t="n"/>
      <c r="T796" s="153" t="n"/>
      <c r="U796" s="153" t="n"/>
      <c r="V796" s="153" t="n"/>
      <c r="W796" s="153" t="n"/>
      <c r="X796" s="153" t="n"/>
      <c r="Y796" s="153" t="n"/>
      <c r="Z796" s="153" t="n"/>
    </row>
    <row r="797" ht="15.75" customHeight="1" s="154">
      <c r="G797" s="153" t="n"/>
      <c r="H797" s="153" t="n"/>
      <c r="I797" s="153" t="n"/>
      <c r="J797" s="153" t="n"/>
      <c r="K797" s="153" t="n"/>
      <c r="L797" s="153" t="n"/>
      <c r="M797" s="153" t="n"/>
      <c r="N797" s="153" t="n"/>
      <c r="O797" s="153" t="n"/>
      <c r="P797" s="153" t="n"/>
      <c r="Q797" s="153" t="n"/>
      <c r="R797" s="153" t="n"/>
      <c r="S797" s="153" t="n"/>
      <c r="T797" s="153" t="n"/>
      <c r="U797" s="153" t="n"/>
      <c r="V797" s="153" t="n"/>
      <c r="W797" s="153" t="n"/>
      <c r="X797" s="153" t="n"/>
      <c r="Y797" s="153" t="n"/>
      <c r="Z797" s="153" t="n"/>
    </row>
    <row r="798" ht="15.75" customHeight="1" s="154">
      <c r="G798" s="153" t="n"/>
      <c r="H798" s="153" t="n"/>
      <c r="I798" s="153" t="n"/>
      <c r="J798" s="153" t="n"/>
      <c r="K798" s="153" t="n"/>
      <c r="L798" s="153" t="n"/>
      <c r="M798" s="153" t="n"/>
      <c r="N798" s="153" t="n"/>
      <c r="O798" s="153" t="n"/>
      <c r="P798" s="153" t="n"/>
      <c r="Q798" s="153" t="n"/>
      <c r="R798" s="153" t="n"/>
      <c r="S798" s="153" t="n"/>
      <c r="T798" s="153" t="n"/>
      <c r="U798" s="153" t="n"/>
      <c r="V798" s="153" t="n"/>
      <c r="W798" s="153" t="n"/>
      <c r="X798" s="153" t="n"/>
      <c r="Y798" s="153" t="n"/>
      <c r="Z798" s="153" t="n"/>
    </row>
    <row r="799" ht="15.75" customHeight="1" s="154">
      <c r="G799" s="153" t="n"/>
      <c r="H799" s="153" t="n"/>
      <c r="I799" s="153" t="n"/>
      <c r="J799" s="153" t="n"/>
      <c r="K799" s="153" t="n"/>
      <c r="L799" s="153" t="n"/>
      <c r="M799" s="153" t="n"/>
      <c r="N799" s="153" t="n"/>
      <c r="O799" s="153" t="n"/>
      <c r="P799" s="153" t="n"/>
      <c r="Q799" s="153" t="n"/>
      <c r="R799" s="153" t="n"/>
      <c r="S799" s="153" t="n"/>
      <c r="T799" s="153" t="n"/>
      <c r="U799" s="153" t="n"/>
      <c r="V799" s="153" t="n"/>
      <c r="W799" s="153" t="n"/>
      <c r="X799" s="153" t="n"/>
      <c r="Y799" s="153" t="n"/>
      <c r="Z799" s="153" t="n"/>
    </row>
    <row r="800" ht="15.75" customHeight="1" s="154">
      <c r="G800" s="153" t="n"/>
      <c r="H800" s="153" t="n"/>
      <c r="I800" s="153" t="n"/>
      <c r="J800" s="153" t="n"/>
      <c r="K800" s="153" t="n"/>
      <c r="L800" s="153" t="n"/>
      <c r="M800" s="153" t="n"/>
      <c r="N800" s="153" t="n"/>
      <c r="O800" s="153" t="n"/>
      <c r="P800" s="153" t="n"/>
      <c r="Q800" s="153" t="n"/>
      <c r="R800" s="153" t="n"/>
      <c r="S800" s="153" t="n"/>
      <c r="T800" s="153" t="n"/>
      <c r="U800" s="153" t="n"/>
      <c r="V800" s="153" t="n"/>
      <c r="W800" s="153" t="n"/>
      <c r="X800" s="153" t="n"/>
      <c r="Y800" s="153" t="n"/>
      <c r="Z800" s="153" t="n"/>
    </row>
    <row r="801" ht="15.75" customHeight="1" s="154">
      <c r="G801" s="153" t="n"/>
      <c r="H801" s="153" t="n"/>
      <c r="I801" s="153" t="n"/>
      <c r="J801" s="153" t="n"/>
      <c r="K801" s="153" t="n"/>
      <c r="L801" s="153" t="n"/>
      <c r="M801" s="153" t="n"/>
      <c r="N801" s="153" t="n"/>
      <c r="O801" s="153" t="n"/>
      <c r="P801" s="153" t="n"/>
      <c r="Q801" s="153" t="n"/>
      <c r="R801" s="153" t="n"/>
      <c r="S801" s="153" t="n"/>
      <c r="T801" s="153" t="n"/>
      <c r="U801" s="153" t="n"/>
      <c r="V801" s="153" t="n"/>
      <c r="W801" s="153" t="n"/>
      <c r="X801" s="153" t="n"/>
      <c r="Y801" s="153" t="n"/>
      <c r="Z801" s="153" t="n"/>
    </row>
    <row r="802" ht="15.75" customHeight="1" s="154">
      <c r="G802" s="153" t="n"/>
      <c r="H802" s="153" t="n"/>
      <c r="I802" s="153" t="n"/>
      <c r="J802" s="153" t="n"/>
      <c r="K802" s="153" t="n"/>
      <c r="L802" s="153" t="n"/>
      <c r="M802" s="153" t="n"/>
      <c r="N802" s="153" t="n"/>
      <c r="O802" s="153" t="n"/>
      <c r="P802" s="153" t="n"/>
      <c r="Q802" s="153" t="n"/>
      <c r="R802" s="153" t="n"/>
      <c r="S802" s="153" t="n"/>
      <c r="T802" s="153" t="n"/>
      <c r="U802" s="153" t="n"/>
      <c r="V802" s="153" t="n"/>
      <c r="W802" s="153" t="n"/>
      <c r="X802" s="153" t="n"/>
      <c r="Y802" s="153" t="n"/>
      <c r="Z802" s="153" t="n"/>
    </row>
    <row r="803" ht="15.75" customHeight="1" s="154">
      <c r="G803" s="153" t="n"/>
      <c r="H803" s="153" t="n"/>
      <c r="I803" s="153" t="n"/>
      <c r="J803" s="153" t="n"/>
      <c r="K803" s="153" t="n"/>
      <c r="L803" s="153" t="n"/>
      <c r="M803" s="153" t="n"/>
      <c r="N803" s="153" t="n"/>
      <c r="O803" s="153" t="n"/>
      <c r="P803" s="153" t="n"/>
      <c r="Q803" s="153" t="n"/>
      <c r="R803" s="153" t="n"/>
      <c r="S803" s="153" t="n"/>
      <c r="T803" s="153" t="n"/>
      <c r="U803" s="153" t="n"/>
      <c r="V803" s="153" t="n"/>
      <c r="W803" s="153" t="n"/>
      <c r="X803" s="153" t="n"/>
      <c r="Y803" s="153" t="n"/>
      <c r="Z803" s="153" t="n"/>
    </row>
    <row r="804" ht="15.75" customHeight="1" s="154">
      <c r="G804" s="153" t="n"/>
      <c r="H804" s="153" t="n"/>
      <c r="I804" s="153" t="n"/>
      <c r="J804" s="153" t="n"/>
      <c r="K804" s="153" t="n"/>
      <c r="L804" s="153" t="n"/>
      <c r="M804" s="153" t="n"/>
      <c r="N804" s="153" t="n"/>
      <c r="O804" s="153" t="n"/>
      <c r="P804" s="153" t="n"/>
      <c r="Q804" s="153" t="n"/>
      <c r="R804" s="153" t="n"/>
      <c r="S804" s="153" t="n"/>
      <c r="T804" s="153" t="n"/>
      <c r="U804" s="153" t="n"/>
      <c r="V804" s="153" t="n"/>
      <c r="W804" s="153" t="n"/>
      <c r="X804" s="153" t="n"/>
      <c r="Y804" s="153" t="n"/>
      <c r="Z804" s="153" t="n"/>
    </row>
    <row r="805" ht="15.75" customHeight="1" s="154">
      <c r="G805" s="153" t="n"/>
      <c r="H805" s="153" t="n"/>
      <c r="I805" s="153" t="n"/>
      <c r="J805" s="153" t="n"/>
      <c r="K805" s="153" t="n"/>
      <c r="L805" s="153" t="n"/>
      <c r="M805" s="153" t="n"/>
      <c r="N805" s="153" t="n"/>
      <c r="O805" s="153" t="n"/>
      <c r="P805" s="153" t="n"/>
      <c r="Q805" s="153" t="n"/>
      <c r="R805" s="153" t="n"/>
      <c r="S805" s="153" t="n"/>
      <c r="T805" s="153" t="n"/>
      <c r="U805" s="153" t="n"/>
      <c r="V805" s="153" t="n"/>
      <c r="W805" s="153" t="n"/>
      <c r="X805" s="153" t="n"/>
      <c r="Y805" s="153" t="n"/>
      <c r="Z805" s="153" t="n"/>
    </row>
    <row r="806" ht="15.75" customHeight="1" s="154">
      <c r="G806" s="153" t="n"/>
      <c r="H806" s="153" t="n"/>
      <c r="I806" s="153" t="n"/>
      <c r="J806" s="153" t="n"/>
      <c r="K806" s="153" t="n"/>
      <c r="L806" s="153" t="n"/>
      <c r="M806" s="153" t="n"/>
      <c r="N806" s="153" t="n"/>
      <c r="O806" s="153" t="n"/>
      <c r="P806" s="153" t="n"/>
      <c r="Q806" s="153" t="n"/>
      <c r="R806" s="153" t="n"/>
      <c r="S806" s="153" t="n"/>
      <c r="T806" s="153" t="n"/>
      <c r="U806" s="153" t="n"/>
      <c r="V806" s="153" t="n"/>
      <c r="W806" s="153" t="n"/>
      <c r="X806" s="153" t="n"/>
      <c r="Y806" s="153" t="n"/>
      <c r="Z806" s="153" t="n"/>
    </row>
    <row r="807" ht="15.75" customHeight="1" s="154">
      <c r="G807" s="153" t="n"/>
      <c r="H807" s="153" t="n"/>
      <c r="I807" s="153" t="n"/>
      <c r="J807" s="153" t="n"/>
      <c r="K807" s="153" t="n"/>
      <c r="L807" s="153" t="n"/>
      <c r="M807" s="153" t="n"/>
      <c r="N807" s="153" t="n"/>
      <c r="O807" s="153" t="n"/>
      <c r="P807" s="153" t="n"/>
      <c r="Q807" s="153" t="n"/>
      <c r="R807" s="153" t="n"/>
      <c r="S807" s="153" t="n"/>
      <c r="T807" s="153" t="n"/>
      <c r="U807" s="153" t="n"/>
      <c r="V807" s="153" t="n"/>
      <c r="W807" s="153" t="n"/>
      <c r="X807" s="153" t="n"/>
      <c r="Y807" s="153" t="n"/>
      <c r="Z807" s="153" t="n"/>
    </row>
    <row r="808" ht="15.75" customHeight="1" s="154">
      <c r="G808" s="153" t="n"/>
      <c r="H808" s="153" t="n"/>
      <c r="I808" s="153" t="n"/>
      <c r="J808" s="153" t="n"/>
      <c r="K808" s="153" t="n"/>
      <c r="L808" s="153" t="n"/>
      <c r="M808" s="153" t="n"/>
      <c r="N808" s="153" t="n"/>
      <c r="O808" s="153" t="n"/>
      <c r="P808" s="153" t="n"/>
      <c r="Q808" s="153" t="n"/>
      <c r="R808" s="153" t="n"/>
      <c r="S808" s="153" t="n"/>
      <c r="T808" s="153" t="n"/>
      <c r="U808" s="153" t="n"/>
      <c r="V808" s="153" t="n"/>
      <c r="W808" s="153" t="n"/>
      <c r="X808" s="153" t="n"/>
      <c r="Y808" s="153" t="n"/>
      <c r="Z808" s="153" t="n"/>
    </row>
    <row r="809" ht="15.75" customHeight="1" s="154">
      <c r="G809" s="153" t="n"/>
      <c r="H809" s="153" t="n"/>
      <c r="I809" s="153" t="n"/>
      <c r="J809" s="153" t="n"/>
      <c r="K809" s="153" t="n"/>
      <c r="L809" s="153" t="n"/>
      <c r="M809" s="153" t="n"/>
      <c r="N809" s="153" t="n"/>
      <c r="O809" s="153" t="n"/>
      <c r="P809" s="153" t="n"/>
      <c r="Q809" s="153" t="n"/>
      <c r="R809" s="153" t="n"/>
      <c r="S809" s="153" t="n"/>
      <c r="T809" s="153" t="n"/>
      <c r="U809" s="153" t="n"/>
      <c r="V809" s="153" t="n"/>
      <c r="W809" s="153" t="n"/>
      <c r="X809" s="153" t="n"/>
      <c r="Y809" s="153" t="n"/>
      <c r="Z809" s="153" t="n"/>
    </row>
    <row r="810" ht="15.75" customHeight="1" s="154">
      <c r="G810" s="153" t="n"/>
      <c r="H810" s="153" t="n"/>
      <c r="I810" s="153" t="n"/>
      <c r="J810" s="153" t="n"/>
      <c r="K810" s="153" t="n"/>
      <c r="L810" s="153" t="n"/>
      <c r="M810" s="153" t="n"/>
      <c r="N810" s="153" t="n"/>
      <c r="O810" s="153" t="n"/>
      <c r="P810" s="153" t="n"/>
      <c r="Q810" s="153" t="n"/>
      <c r="R810" s="153" t="n"/>
      <c r="S810" s="153" t="n"/>
      <c r="T810" s="153" t="n"/>
      <c r="U810" s="153" t="n"/>
      <c r="V810" s="153" t="n"/>
      <c r="W810" s="153" t="n"/>
      <c r="X810" s="153" t="n"/>
      <c r="Y810" s="153" t="n"/>
      <c r="Z810" s="153" t="n"/>
    </row>
    <row r="811" ht="15.75" customHeight="1" s="154">
      <c r="G811" s="153" t="n"/>
      <c r="H811" s="153" t="n"/>
      <c r="I811" s="153" t="n"/>
      <c r="J811" s="153" t="n"/>
      <c r="K811" s="153" t="n"/>
      <c r="L811" s="153" t="n"/>
      <c r="M811" s="153" t="n"/>
      <c r="N811" s="153" t="n"/>
      <c r="O811" s="153" t="n"/>
      <c r="P811" s="153" t="n"/>
      <c r="Q811" s="153" t="n"/>
      <c r="R811" s="153" t="n"/>
      <c r="S811" s="153" t="n"/>
      <c r="T811" s="153" t="n"/>
      <c r="U811" s="153" t="n"/>
      <c r="V811" s="153" t="n"/>
      <c r="W811" s="153" t="n"/>
      <c r="X811" s="153" t="n"/>
      <c r="Y811" s="153" t="n"/>
      <c r="Z811" s="153" t="n"/>
    </row>
    <row r="812" ht="15.75" customHeight="1" s="154">
      <c r="G812" s="153" t="n"/>
      <c r="H812" s="153" t="n"/>
      <c r="I812" s="153" t="n"/>
      <c r="J812" s="153" t="n"/>
      <c r="K812" s="153" t="n"/>
      <c r="L812" s="153" t="n"/>
      <c r="M812" s="153" t="n"/>
      <c r="N812" s="153" t="n"/>
      <c r="O812" s="153" t="n"/>
      <c r="P812" s="153" t="n"/>
      <c r="Q812" s="153" t="n"/>
      <c r="R812" s="153" t="n"/>
      <c r="S812" s="153" t="n"/>
      <c r="T812" s="153" t="n"/>
      <c r="U812" s="153" t="n"/>
      <c r="V812" s="153" t="n"/>
      <c r="W812" s="153" t="n"/>
      <c r="X812" s="153" t="n"/>
      <c r="Y812" s="153" t="n"/>
      <c r="Z812" s="153" t="n"/>
    </row>
    <row r="813" ht="15.75" customHeight="1" s="154">
      <c r="G813" s="153" t="n"/>
      <c r="H813" s="153" t="n"/>
      <c r="I813" s="153" t="n"/>
      <c r="J813" s="153" t="n"/>
      <c r="K813" s="153" t="n"/>
      <c r="L813" s="153" t="n"/>
      <c r="M813" s="153" t="n"/>
      <c r="N813" s="153" t="n"/>
      <c r="O813" s="153" t="n"/>
      <c r="P813" s="153" t="n"/>
      <c r="Q813" s="153" t="n"/>
      <c r="R813" s="153" t="n"/>
      <c r="S813" s="153" t="n"/>
      <c r="T813" s="153" t="n"/>
      <c r="U813" s="153" t="n"/>
      <c r="V813" s="153" t="n"/>
      <c r="W813" s="153" t="n"/>
      <c r="X813" s="153" t="n"/>
      <c r="Y813" s="153" t="n"/>
      <c r="Z813" s="153" t="n"/>
    </row>
    <row r="814" ht="15.75" customHeight="1" s="154">
      <c r="G814" s="153" t="n"/>
      <c r="H814" s="153" t="n"/>
      <c r="I814" s="153" t="n"/>
      <c r="J814" s="153" t="n"/>
      <c r="K814" s="153" t="n"/>
      <c r="L814" s="153" t="n"/>
      <c r="M814" s="153" t="n"/>
      <c r="N814" s="153" t="n"/>
      <c r="O814" s="153" t="n"/>
      <c r="P814" s="153" t="n"/>
      <c r="Q814" s="153" t="n"/>
      <c r="R814" s="153" t="n"/>
      <c r="S814" s="153" t="n"/>
      <c r="T814" s="153" t="n"/>
      <c r="U814" s="153" t="n"/>
      <c r="V814" s="153" t="n"/>
      <c r="W814" s="153" t="n"/>
      <c r="X814" s="153" t="n"/>
      <c r="Y814" s="153" t="n"/>
      <c r="Z814" s="153" t="n"/>
    </row>
    <row r="815" ht="15.75" customHeight="1" s="154">
      <c r="G815" s="153" t="n"/>
      <c r="H815" s="153" t="n"/>
      <c r="I815" s="153" t="n"/>
      <c r="J815" s="153" t="n"/>
      <c r="K815" s="153" t="n"/>
      <c r="L815" s="153" t="n"/>
      <c r="M815" s="153" t="n"/>
      <c r="N815" s="153" t="n"/>
      <c r="O815" s="153" t="n"/>
      <c r="P815" s="153" t="n"/>
      <c r="Q815" s="153" t="n"/>
      <c r="R815" s="153" t="n"/>
      <c r="S815" s="153" t="n"/>
      <c r="T815" s="153" t="n"/>
      <c r="U815" s="153" t="n"/>
      <c r="V815" s="153" t="n"/>
      <c r="W815" s="153" t="n"/>
      <c r="X815" s="153" t="n"/>
      <c r="Y815" s="153" t="n"/>
      <c r="Z815" s="153" t="n"/>
    </row>
    <row r="816" ht="15.75" customHeight="1" s="154">
      <c r="G816" s="153" t="n"/>
      <c r="H816" s="153" t="n"/>
      <c r="I816" s="153" t="n"/>
      <c r="J816" s="153" t="n"/>
      <c r="K816" s="153" t="n"/>
      <c r="L816" s="153" t="n"/>
      <c r="M816" s="153" t="n"/>
      <c r="N816" s="153" t="n"/>
      <c r="O816" s="153" t="n"/>
      <c r="P816" s="153" t="n"/>
      <c r="Q816" s="153" t="n"/>
      <c r="R816" s="153" t="n"/>
      <c r="S816" s="153" t="n"/>
      <c r="T816" s="153" t="n"/>
      <c r="U816" s="153" t="n"/>
      <c r="V816" s="153" t="n"/>
      <c r="W816" s="153" t="n"/>
      <c r="X816" s="153" t="n"/>
      <c r="Y816" s="153" t="n"/>
      <c r="Z816" s="153" t="n"/>
    </row>
    <row r="817" ht="15.75" customHeight="1" s="154">
      <c r="G817" s="153" t="n"/>
      <c r="H817" s="153" t="n"/>
      <c r="I817" s="153" t="n"/>
      <c r="J817" s="153" t="n"/>
      <c r="K817" s="153" t="n"/>
      <c r="L817" s="153" t="n"/>
      <c r="M817" s="153" t="n"/>
      <c r="N817" s="153" t="n"/>
      <c r="O817" s="153" t="n"/>
      <c r="P817" s="153" t="n"/>
      <c r="Q817" s="153" t="n"/>
      <c r="R817" s="153" t="n"/>
      <c r="S817" s="153" t="n"/>
      <c r="T817" s="153" t="n"/>
      <c r="U817" s="153" t="n"/>
      <c r="V817" s="153" t="n"/>
      <c r="W817" s="153" t="n"/>
      <c r="X817" s="153" t="n"/>
      <c r="Y817" s="153" t="n"/>
      <c r="Z817" s="153" t="n"/>
    </row>
    <row r="818" ht="15.75" customHeight="1" s="154">
      <c r="G818" s="153" t="n"/>
      <c r="H818" s="153" t="n"/>
      <c r="I818" s="153" t="n"/>
      <c r="J818" s="153" t="n"/>
      <c r="K818" s="153" t="n"/>
      <c r="L818" s="153" t="n"/>
      <c r="M818" s="153" t="n"/>
      <c r="N818" s="153" t="n"/>
      <c r="O818" s="153" t="n"/>
      <c r="P818" s="153" t="n"/>
      <c r="Q818" s="153" t="n"/>
      <c r="R818" s="153" t="n"/>
      <c r="S818" s="153" t="n"/>
      <c r="T818" s="153" t="n"/>
      <c r="U818" s="153" t="n"/>
      <c r="V818" s="153" t="n"/>
      <c r="W818" s="153" t="n"/>
      <c r="X818" s="153" t="n"/>
      <c r="Y818" s="153" t="n"/>
      <c r="Z818" s="153" t="n"/>
    </row>
    <row r="819" ht="15.75" customHeight="1" s="154">
      <c r="G819" s="153" t="n"/>
      <c r="H819" s="153" t="n"/>
      <c r="I819" s="153" t="n"/>
      <c r="J819" s="153" t="n"/>
      <c r="K819" s="153" t="n"/>
      <c r="L819" s="153" t="n"/>
      <c r="M819" s="153" t="n"/>
      <c r="N819" s="153" t="n"/>
      <c r="O819" s="153" t="n"/>
      <c r="P819" s="153" t="n"/>
      <c r="Q819" s="153" t="n"/>
      <c r="R819" s="153" t="n"/>
      <c r="S819" s="153" t="n"/>
      <c r="T819" s="153" t="n"/>
      <c r="U819" s="153" t="n"/>
      <c r="V819" s="153" t="n"/>
      <c r="W819" s="153" t="n"/>
      <c r="X819" s="153" t="n"/>
      <c r="Y819" s="153" t="n"/>
      <c r="Z819" s="153" t="n"/>
    </row>
    <row r="820" ht="15.75" customHeight="1" s="154">
      <c r="G820" s="153" t="n"/>
      <c r="H820" s="153" t="n"/>
      <c r="I820" s="153" t="n"/>
      <c r="J820" s="153" t="n"/>
      <c r="K820" s="153" t="n"/>
      <c r="L820" s="153" t="n"/>
      <c r="M820" s="153" t="n"/>
      <c r="N820" s="153" t="n"/>
      <c r="O820" s="153" t="n"/>
      <c r="P820" s="153" t="n"/>
      <c r="Q820" s="153" t="n"/>
      <c r="R820" s="153" t="n"/>
      <c r="S820" s="153" t="n"/>
      <c r="T820" s="153" t="n"/>
      <c r="U820" s="153" t="n"/>
      <c r="V820" s="153" t="n"/>
      <c r="W820" s="153" t="n"/>
      <c r="X820" s="153" t="n"/>
      <c r="Y820" s="153" t="n"/>
      <c r="Z820" s="153" t="n"/>
    </row>
    <row r="821" ht="15.75" customHeight="1" s="154">
      <c r="G821" s="153" t="n"/>
      <c r="H821" s="153" t="n"/>
      <c r="I821" s="153" t="n"/>
      <c r="J821" s="153" t="n"/>
      <c r="K821" s="153" t="n"/>
      <c r="L821" s="153" t="n"/>
      <c r="M821" s="153" t="n"/>
      <c r="N821" s="153" t="n"/>
      <c r="O821" s="153" t="n"/>
      <c r="P821" s="153" t="n"/>
      <c r="Q821" s="153" t="n"/>
      <c r="R821" s="153" t="n"/>
      <c r="S821" s="153" t="n"/>
      <c r="T821" s="153" t="n"/>
      <c r="U821" s="153" t="n"/>
      <c r="V821" s="153" t="n"/>
      <c r="W821" s="153" t="n"/>
      <c r="X821" s="153" t="n"/>
      <c r="Y821" s="153" t="n"/>
      <c r="Z821" s="153" t="n"/>
    </row>
    <row r="822" ht="15.75" customHeight="1" s="154">
      <c r="G822" s="153" t="n"/>
      <c r="H822" s="153" t="n"/>
      <c r="I822" s="153" t="n"/>
      <c r="J822" s="153" t="n"/>
      <c r="K822" s="153" t="n"/>
      <c r="L822" s="153" t="n"/>
      <c r="M822" s="153" t="n"/>
      <c r="N822" s="153" t="n"/>
      <c r="O822" s="153" t="n"/>
      <c r="P822" s="153" t="n"/>
      <c r="Q822" s="153" t="n"/>
      <c r="R822" s="153" t="n"/>
      <c r="S822" s="153" t="n"/>
      <c r="T822" s="153" t="n"/>
      <c r="U822" s="153" t="n"/>
      <c r="V822" s="153" t="n"/>
      <c r="W822" s="153" t="n"/>
      <c r="X822" s="153" t="n"/>
      <c r="Y822" s="153" t="n"/>
      <c r="Z822" s="153" t="n"/>
    </row>
    <row r="823" ht="15.75" customHeight="1" s="154">
      <c r="G823" s="153" t="n"/>
      <c r="H823" s="153" t="n"/>
      <c r="I823" s="153" t="n"/>
      <c r="J823" s="153" t="n"/>
      <c r="K823" s="153" t="n"/>
      <c r="L823" s="153" t="n"/>
      <c r="M823" s="153" t="n"/>
      <c r="N823" s="153" t="n"/>
      <c r="O823" s="153" t="n"/>
      <c r="P823" s="153" t="n"/>
      <c r="Q823" s="153" t="n"/>
      <c r="R823" s="153" t="n"/>
      <c r="S823" s="153" t="n"/>
      <c r="T823" s="153" t="n"/>
      <c r="U823" s="153" t="n"/>
      <c r="V823" s="153" t="n"/>
      <c r="W823" s="153" t="n"/>
      <c r="X823" s="153" t="n"/>
      <c r="Y823" s="153" t="n"/>
      <c r="Z823" s="153" t="n"/>
    </row>
    <row r="824" ht="15.75" customHeight="1" s="154">
      <c r="G824" s="153" t="n"/>
      <c r="H824" s="153" t="n"/>
      <c r="I824" s="153" t="n"/>
      <c r="J824" s="153" t="n"/>
      <c r="K824" s="153" t="n"/>
      <c r="L824" s="153" t="n"/>
      <c r="M824" s="153" t="n"/>
      <c r="N824" s="153" t="n"/>
      <c r="O824" s="153" t="n"/>
      <c r="P824" s="153" t="n"/>
      <c r="Q824" s="153" t="n"/>
      <c r="R824" s="153" t="n"/>
      <c r="S824" s="153" t="n"/>
      <c r="T824" s="153" t="n"/>
      <c r="U824" s="153" t="n"/>
      <c r="V824" s="153" t="n"/>
      <c r="W824" s="153" t="n"/>
      <c r="X824" s="153" t="n"/>
      <c r="Y824" s="153" t="n"/>
      <c r="Z824" s="153" t="n"/>
    </row>
    <row r="825" ht="15.75" customHeight="1" s="154">
      <c r="G825" s="153" t="n"/>
      <c r="H825" s="153" t="n"/>
      <c r="I825" s="153" t="n"/>
      <c r="J825" s="153" t="n"/>
      <c r="K825" s="153" t="n"/>
      <c r="L825" s="153" t="n"/>
      <c r="M825" s="153" t="n"/>
      <c r="N825" s="153" t="n"/>
      <c r="O825" s="153" t="n"/>
      <c r="P825" s="153" t="n"/>
      <c r="Q825" s="153" t="n"/>
      <c r="R825" s="153" t="n"/>
      <c r="S825" s="153" t="n"/>
      <c r="T825" s="153" t="n"/>
      <c r="U825" s="153" t="n"/>
      <c r="V825" s="153" t="n"/>
      <c r="W825" s="153" t="n"/>
      <c r="X825" s="153" t="n"/>
      <c r="Y825" s="153" t="n"/>
      <c r="Z825" s="153" t="n"/>
    </row>
    <row r="826" ht="15.75" customHeight="1" s="154">
      <c r="G826" s="153" t="n"/>
      <c r="H826" s="153" t="n"/>
      <c r="I826" s="153" t="n"/>
      <c r="J826" s="153" t="n"/>
      <c r="K826" s="153" t="n"/>
      <c r="L826" s="153" t="n"/>
      <c r="M826" s="153" t="n"/>
      <c r="N826" s="153" t="n"/>
      <c r="O826" s="153" t="n"/>
      <c r="P826" s="153" t="n"/>
      <c r="Q826" s="153" t="n"/>
      <c r="R826" s="153" t="n"/>
      <c r="S826" s="153" t="n"/>
      <c r="T826" s="153" t="n"/>
      <c r="U826" s="153" t="n"/>
      <c r="V826" s="153" t="n"/>
      <c r="W826" s="153" t="n"/>
      <c r="X826" s="153" t="n"/>
      <c r="Y826" s="153" t="n"/>
      <c r="Z826" s="153" t="n"/>
    </row>
    <row r="827" ht="15.75" customHeight="1" s="154">
      <c r="G827" s="153" t="n"/>
      <c r="H827" s="153" t="n"/>
      <c r="I827" s="153" t="n"/>
      <c r="J827" s="153" t="n"/>
      <c r="K827" s="153" t="n"/>
      <c r="L827" s="153" t="n"/>
      <c r="M827" s="153" t="n"/>
      <c r="N827" s="153" t="n"/>
      <c r="O827" s="153" t="n"/>
      <c r="P827" s="153" t="n"/>
      <c r="Q827" s="153" t="n"/>
      <c r="R827" s="153" t="n"/>
      <c r="S827" s="153" t="n"/>
      <c r="T827" s="153" t="n"/>
      <c r="U827" s="153" t="n"/>
      <c r="V827" s="153" t="n"/>
      <c r="W827" s="153" t="n"/>
      <c r="X827" s="153" t="n"/>
      <c r="Y827" s="153" t="n"/>
      <c r="Z827" s="153" t="n"/>
    </row>
    <row r="828" ht="15.75" customHeight="1" s="154">
      <c r="G828" s="153" t="n"/>
      <c r="H828" s="153" t="n"/>
      <c r="I828" s="153" t="n"/>
      <c r="J828" s="153" t="n"/>
      <c r="K828" s="153" t="n"/>
      <c r="L828" s="153" t="n"/>
      <c r="M828" s="153" t="n"/>
      <c r="N828" s="153" t="n"/>
      <c r="O828" s="153" t="n"/>
      <c r="P828" s="153" t="n"/>
      <c r="Q828" s="153" t="n"/>
      <c r="R828" s="153" t="n"/>
      <c r="S828" s="153" t="n"/>
      <c r="T828" s="153" t="n"/>
      <c r="U828" s="153" t="n"/>
      <c r="V828" s="153" t="n"/>
      <c r="W828" s="153" t="n"/>
      <c r="X828" s="153" t="n"/>
      <c r="Y828" s="153" t="n"/>
      <c r="Z828" s="153" t="n"/>
    </row>
    <row r="829" ht="15.75" customHeight="1" s="154">
      <c r="G829" s="153" t="n"/>
      <c r="H829" s="153" t="n"/>
      <c r="I829" s="153" t="n"/>
      <c r="J829" s="153" t="n"/>
      <c r="K829" s="153" t="n"/>
      <c r="L829" s="153" t="n"/>
      <c r="M829" s="153" t="n"/>
      <c r="N829" s="153" t="n"/>
      <c r="O829" s="153" t="n"/>
      <c r="P829" s="153" t="n"/>
      <c r="Q829" s="153" t="n"/>
      <c r="R829" s="153" t="n"/>
      <c r="S829" s="153" t="n"/>
      <c r="T829" s="153" t="n"/>
      <c r="U829" s="153" t="n"/>
      <c r="V829" s="153" t="n"/>
      <c r="W829" s="153" t="n"/>
      <c r="X829" s="153" t="n"/>
      <c r="Y829" s="153" t="n"/>
      <c r="Z829" s="153" t="n"/>
    </row>
    <row r="830" ht="15.75" customHeight="1" s="154">
      <c r="G830" s="153" t="n"/>
      <c r="H830" s="153" t="n"/>
      <c r="I830" s="153" t="n"/>
      <c r="J830" s="153" t="n"/>
      <c r="K830" s="153" t="n"/>
      <c r="L830" s="153" t="n"/>
      <c r="M830" s="153" t="n"/>
      <c r="N830" s="153" t="n"/>
      <c r="O830" s="153" t="n"/>
      <c r="P830" s="153" t="n"/>
      <c r="Q830" s="153" t="n"/>
      <c r="R830" s="153" t="n"/>
      <c r="S830" s="153" t="n"/>
      <c r="T830" s="153" t="n"/>
      <c r="U830" s="153" t="n"/>
      <c r="V830" s="153" t="n"/>
      <c r="W830" s="153" t="n"/>
      <c r="X830" s="153" t="n"/>
      <c r="Y830" s="153" t="n"/>
      <c r="Z830" s="153" t="n"/>
    </row>
    <row r="831" ht="15.75" customHeight="1" s="154">
      <c r="G831" s="153" t="n"/>
      <c r="H831" s="153" t="n"/>
      <c r="I831" s="153" t="n"/>
      <c r="J831" s="153" t="n"/>
      <c r="K831" s="153" t="n"/>
      <c r="L831" s="153" t="n"/>
      <c r="M831" s="153" t="n"/>
      <c r="N831" s="153" t="n"/>
      <c r="O831" s="153" t="n"/>
      <c r="P831" s="153" t="n"/>
      <c r="Q831" s="153" t="n"/>
      <c r="R831" s="153" t="n"/>
      <c r="S831" s="153" t="n"/>
      <c r="T831" s="153" t="n"/>
      <c r="U831" s="153" t="n"/>
      <c r="V831" s="153" t="n"/>
      <c r="W831" s="153" t="n"/>
      <c r="X831" s="153" t="n"/>
      <c r="Y831" s="153" t="n"/>
      <c r="Z831" s="153" t="n"/>
    </row>
    <row r="832" ht="15.75" customHeight="1" s="154">
      <c r="G832" s="153" t="n"/>
      <c r="H832" s="153" t="n"/>
      <c r="I832" s="153" t="n"/>
      <c r="J832" s="153" t="n"/>
      <c r="K832" s="153" t="n"/>
      <c r="L832" s="153" t="n"/>
      <c r="M832" s="153" t="n"/>
      <c r="N832" s="153" t="n"/>
      <c r="O832" s="153" t="n"/>
      <c r="P832" s="153" t="n"/>
      <c r="Q832" s="153" t="n"/>
      <c r="R832" s="153" t="n"/>
      <c r="S832" s="153" t="n"/>
      <c r="T832" s="153" t="n"/>
      <c r="U832" s="153" t="n"/>
      <c r="V832" s="153" t="n"/>
      <c r="W832" s="153" t="n"/>
      <c r="X832" s="153" t="n"/>
      <c r="Y832" s="153" t="n"/>
      <c r="Z832" s="153" t="n"/>
    </row>
    <row r="833" ht="15.75" customHeight="1" s="154">
      <c r="G833" s="153" t="n"/>
      <c r="H833" s="153" t="n"/>
      <c r="I833" s="153" t="n"/>
      <c r="J833" s="153" t="n"/>
      <c r="K833" s="153" t="n"/>
      <c r="L833" s="153" t="n"/>
      <c r="M833" s="153" t="n"/>
      <c r="N833" s="153" t="n"/>
      <c r="O833" s="153" t="n"/>
      <c r="P833" s="153" t="n"/>
      <c r="Q833" s="153" t="n"/>
      <c r="R833" s="153" t="n"/>
      <c r="S833" s="153" t="n"/>
      <c r="T833" s="153" t="n"/>
      <c r="U833" s="153" t="n"/>
      <c r="V833" s="153" t="n"/>
      <c r="W833" s="153" t="n"/>
      <c r="X833" s="153" t="n"/>
      <c r="Y833" s="153" t="n"/>
      <c r="Z833" s="153" t="n"/>
    </row>
    <row r="834" ht="15.75" customHeight="1" s="154">
      <c r="G834" s="153" t="n"/>
      <c r="H834" s="153" t="n"/>
      <c r="I834" s="153" t="n"/>
      <c r="J834" s="153" t="n"/>
      <c r="K834" s="153" t="n"/>
      <c r="L834" s="153" t="n"/>
      <c r="M834" s="153" t="n"/>
      <c r="N834" s="153" t="n"/>
      <c r="O834" s="153" t="n"/>
      <c r="P834" s="153" t="n"/>
      <c r="Q834" s="153" t="n"/>
      <c r="R834" s="153" t="n"/>
      <c r="S834" s="153" t="n"/>
      <c r="T834" s="153" t="n"/>
      <c r="U834" s="153" t="n"/>
      <c r="V834" s="153" t="n"/>
      <c r="W834" s="153" t="n"/>
      <c r="X834" s="153" t="n"/>
      <c r="Y834" s="153" t="n"/>
      <c r="Z834" s="153" t="n"/>
    </row>
    <row r="835" ht="15.75" customHeight="1" s="154">
      <c r="G835" s="153" t="n"/>
      <c r="H835" s="153" t="n"/>
      <c r="I835" s="153" t="n"/>
      <c r="J835" s="153" t="n"/>
      <c r="K835" s="153" t="n"/>
      <c r="L835" s="153" t="n"/>
      <c r="M835" s="153" t="n"/>
      <c r="N835" s="153" t="n"/>
      <c r="O835" s="153" t="n"/>
      <c r="P835" s="153" t="n"/>
      <c r="Q835" s="153" t="n"/>
      <c r="R835" s="153" t="n"/>
      <c r="S835" s="153" t="n"/>
      <c r="T835" s="153" t="n"/>
      <c r="U835" s="153" t="n"/>
      <c r="V835" s="153" t="n"/>
      <c r="W835" s="153" t="n"/>
      <c r="X835" s="153" t="n"/>
      <c r="Y835" s="153" t="n"/>
      <c r="Z835" s="153" t="n"/>
    </row>
    <row r="836" ht="15.75" customHeight="1" s="154">
      <c r="G836" s="153" t="n"/>
      <c r="H836" s="153" t="n"/>
      <c r="I836" s="153" t="n"/>
      <c r="J836" s="153" t="n"/>
      <c r="K836" s="153" t="n"/>
      <c r="L836" s="153" t="n"/>
      <c r="M836" s="153" t="n"/>
      <c r="N836" s="153" t="n"/>
      <c r="O836" s="153" t="n"/>
      <c r="P836" s="153" t="n"/>
      <c r="Q836" s="153" t="n"/>
      <c r="R836" s="153" t="n"/>
      <c r="S836" s="153" t="n"/>
      <c r="T836" s="153" t="n"/>
      <c r="U836" s="153" t="n"/>
      <c r="V836" s="153" t="n"/>
      <c r="W836" s="153" t="n"/>
      <c r="X836" s="153" t="n"/>
      <c r="Y836" s="153" t="n"/>
      <c r="Z836" s="153" t="n"/>
    </row>
    <row r="837" ht="15.75" customHeight="1" s="154">
      <c r="G837" s="153" t="n"/>
      <c r="H837" s="153" t="n"/>
      <c r="I837" s="153" t="n"/>
      <c r="J837" s="153" t="n"/>
      <c r="K837" s="153" t="n"/>
      <c r="L837" s="153" t="n"/>
      <c r="M837" s="153" t="n"/>
      <c r="N837" s="153" t="n"/>
      <c r="O837" s="153" t="n"/>
      <c r="P837" s="153" t="n"/>
      <c r="Q837" s="153" t="n"/>
      <c r="R837" s="153" t="n"/>
      <c r="S837" s="153" t="n"/>
      <c r="T837" s="153" t="n"/>
      <c r="U837" s="153" t="n"/>
      <c r="V837" s="153" t="n"/>
      <c r="W837" s="153" t="n"/>
      <c r="X837" s="153" t="n"/>
      <c r="Y837" s="153" t="n"/>
      <c r="Z837" s="153" t="n"/>
    </row>
    <row r="838" ht="15.75" customHeight="1" s="154">
      <c r="G838" s="153" t="n"/>
      <c r="H838" s="153" t="n"/>
      <c r="I838" s="153" t="n"/>
      <c r="J838" s="153" t="n"/>
      <c r="K838" s="153" t="n"/>
      <c r="L838" s="153" t="n"/>
      <c r="M838" s="153" t="n"/>
      <c r="N838" s="153" t="n"/>
      <c r="O838" s="153" t="n"/>
      <c r="P838" s="153" t="n"/>
      <c r="Q838" s="153" t="n"/>
      <c r="R838" s="153" t="n"/>
      <c r="S838" s="153" t="n"/>
      <c r="T838" s="153" t="n"/>
      <c r="U838" s="153" t="n"/>
      <c r="V838" s="153" t="n"/>
      <c r="W838" s="153" t="n"/>
      <c r="X838" s="153" t="n"/>
      <c r="Y838" s="153" t="n"/>
      <c r="Z838" s="153" t="n"/>
    </row>
    <row r="839" ht="15.75" customHeight="1" s="154">
      <c r="G839" s="153" t="n"/>
      <c r="H839" s="153" t="n"/>
      <c r="I839" s="153" t="n"/>
      <c r="J839" s="153" t="n"/>
      <c r="K839" s="153" t="n"/>
      <c r="L839" s="153" t="n"/>
      <c r="M839" s="153" t="n"/>
      <c r="N839" s="153" t="n"/>
      <c r="O839" s="153" t="n"/>
      <c r="P839" s="153" t="n"/>
      <c r="Q839" s="153" t="n"/>
      <c r="R839" s="153" t="n"/>
      <c r="S839" s="153" t="n"/>
      <c r="T839" s="153" t="n"/>
      <c r="U839" s="153" t="n"/>
      <c r="V839" s="153" t="n"/>
      <c r="W839" s="153" t="n"/>
      <c r="X839" s="153" t="n"/>
      <c r="Y839" s="153" t="n"/>
      <c r="Z839" s="153" t="n"/>
    </row>
    <row r="840" ht="15.75" customHeight="1" s="154">
      <c r="G840" s="153" t="n"/>
      <c r="H840" s="153" t="n"/>
      <c r="I840" s="153" t="n"/>
      <c r="J840" s="153" t="n"/>
      <c r="K840" s="153" t="n"/>
      <c r="L840" s="153" t="n"/>
      <c r="M840" s="153" t="n"/>
      <c r="N840" s="153" t="n"/>
      <c r="O840" s="153" t="n"/>
      <c r="P840" s="153" t="n"/>
      <c r="Q840" s="153" t="n"/>
      <c r="R840" s="153" t="n"/>
      <c r="S840" s="153" t="n"/>
      <c r="T840" s="153" t="n"/>
      <c r="U840" s="153" t="n"/>
      <c r="V840" s="153" t="n"/>
      <c r="W840" s="153" t="n"/>
      <c r="X840" s="153" t="n"/>
      <c r="Y840" s="153" t="n"/>
      <c r="Z840" s="153" t="n"/>
    </row>
    <row r="841" ht="15.75" customHeight="1" s="154">
      <c r="G841" s="153" t="n"/>
      <c r="H841" s="153" t="n"/>
      <c r="I841" s="153" t="n"/>
      <c r="J841" s="153" t="n"/>
      <c r="K841" s="153" t="n"/>
      <c r="L841" s="153" t="n"/>
      <c r="M841" s="153" t="n"/>
      <c r="N841" s="153" t="n"/>
      <c r="O841" s="153" t="n"/>
      <c r="P841" s="153" t="n"/>
      <c r="Q841" s="153" t="n"/>
      <c r="R841" s="153" t="n"/>
      <c r="S841" s="153" t="n"/>
      <c r="T841" s="153" t="n"/>
      <c r="U841" s="153" t="n"/>
      <c r="V841" s="153" t="n"/>
      <c r="W841" s="153" t="n"/>
      <c r="X841" s="153" t="n"/>
      <c r="Y841" s="153" t="n"/>
      <c r="Z841" s="153" t="n"/>
    </row>
    <row r="842" ht="15.75" customHeight="1" s="154">
      <c r="G842" s="153" t="n"/>
      <c r="H842" s="153" t="n"/>
      <c r="I842" s="153" t="n"/>
      <c r="J842" s="153" t="n"/>
      <c r="K842" s="153" t="n"/>
      <c r="L842" s="153" t="n"/>
      <c r="M842" s="153" t="n"/>
      <c r="N842" s="153" t="n"/>
      <c r="O842" s="153" t="n"/>
      <c r="P842" s="153" t="n"/>
      <c r="Q842" s="153" t="n"/>
      <c r="R842" s="153" t="n"/>
      <c r="S842" s="153" t="n"/>
      <c r="T842" s="153" t="n"/>
      <c r="U842" s="153" t="n"/>
      <c r="V842" s="153" t="n"/>
      <c r="W842" s="153" t="n"/>
      <c r="X842" s="153" t="n"/>
      <c r="Y842" s="153" t="n"/>
      <c r="Z842" s="153" t="n"/>
    </row>
    <row r="843" ht="15.75" customHeight="1" s="154">
      <c r="G843" s="153" t="n"/>
      <c r="H843" s="153" t="n"/>
      <c r="I843" s="153" t="n"/>
      <c r="J843" s="153" t="n"/>
      <c r="K843" s="153" t="n"/>
      <c r="L843" s="153" t="n"/>
      <c r="M843" s="153" t="n"/>
      <c r="N843" s="153" t="n"/>
      <c r="O843" s="153" t="n"/>
      <c r="P843" s="153" t="n"/>
      <c r="Q843" s="153" t="n"/>
      <c r="R843" s="153" t="n"/>
      <c r="S843" s="153" t="n"/>
      <c r="T843" s="153" t="n"/>
      <c r="U843" s="153" t="n"/>
      <c r="V843" s="153" t="n"/>
      <c r="W843" s="153" t="n"/>
      <c r="X843" s="153" t="n"/>
      <c r="Y843" s="153" t="n"/>
      <c r="Z843" s="153" t="n"/>
    </row>
    <row r="844" ht="15.75" customHeight="1" s="154">
      <c r="G844" s="153" t="n"/>
      <c r="H844" s="153" t="n"/>
      <c r="I844" s="153" t="n"/>
      <c r="J844" s="153" t="n"/>
      <c r="K844" s="153" t="n"/>
      <c r="L844" s="153" t="n"/>
      <c r="M844" s="153" t="n"/>
      <c r="N844" s="153" t="n"/>
      <c r="O844" s="153" t="n"/>
      <c r="P844" s="153" t="n"/>
      <c r="Q844" s="153" t="n"/>
      <c r="R844" s="153" t="n"/>
      <c r="S844" s="153" t="n"/>
      <c r="T844" s="153" t="n"/>
      <c r="U844" s="153" t="n"/>
      <c r="V844" s="153" t="n"/>
      <c r="W844" s="153" t="n"/>
      <c r="X844" s="153" t="n"/>
      <c r="Y844" s="153" t="n"/>
      <c r="Z844" s="153" t="n"/>
    </row>
    <row r="845" ht="15.75" customHeight="1" s="154">
      <c r="G845" s="153" t="n"/>
      <c r="H845" s="153" t="n"/>
      <c r="I845" s="153" t="n"/>
      <c r="J845" s="153" t="n"/>
      <c r="K845" s="153" t="n"/>
      <c r="L845" s="153" t="n"/>
      <c r="M845" s="153" t="n"/>
      <c r="N845" s="153" t="n"/>
      <c r="O845" s="153" t="n"/>
      <c r="P845" s="153" t="n"/>
      <c r="Q845" s="153" t="n"/>
      <c r="R845" s="153" t="n"/>
      <c r="S845" s="153" t="n"/>
      <c r="T845" s="153" t="n"/>
      <c r="U845" s="153" t="n"/>
      <c r="V845" s="153" t="n"/>
      <c r="W845" s="153" t="n"/>
      <c r="X845" s="153" t="n"/>
      <c r="Y845" s="153" t="n"/>
      <c r="Z845" s="153" t="n"/>
    </row>
    <row r="846" ht="15.75" customHeight="1" s="154">
      <c r="G846" s="153" t="n"/>
      <c r="H846" s="153" t="n"/>
      <c r="I846" s="153" t="n"/>
      <c r="J846" s="153" t="n"/>
      <c r="K846" s="153" t="n"/>
      <c r="L846" s="153" t="n"/>
      <c r="M846" s="153" t="n"/>
      <c r="N846" s="153" t="n"/>
      <c r="O846" s="153" t="n"/>
      <c r="P846" s="153" t="n"/>
      <c r="Q846" s="153" t="n"/>
      <c r="R846" s="153" t="n"/>
      <c r="S846" s="153" t="n"/>
      <c r="T846" s="153" t="n"/>
      <c r="U846" s="153" t="n"/>
      <c r="V846" s="153" t="n"/>
      <c r="W846" s="153" t="n"/>
      <c r="X846" s="153" t="n"/>
      <c r="Y846" s="153" t="n"/>
      <c r="Z846" s="153" t="n"/>
    </row>
    <row r="847" ht="15.75" customHeight="1" s="154">
      <c r="G847" s="153" t="n"/>
      <c r="H847" s="153" t="n"/>
      <c r="I847" s="153" t="n"/>
      <c r="J847" s="153" t="n"/>
      <c r="K847" s="153" t="n"/>
      <c r="L847" s="153" t="n"/>
      <c r="M847" s="153" t="n"/>
      <c r="N847" s="153" t="n"/>
      <c r="O847" s="153" t="n"/>
      <c r="P847" s="153" t="n"/>
      <c r="Q847" s="153" t="n"/>
      <c r="R847" s="153" t="n"/>
      <c r="S847" s="153" t="n"/>
      <c r="T847" s="153" t="n"/>
      <c r="U847" s="153" t="n"/>
      <c r="V847" s="153" t="n"/>
      <c r="W847" s="153" t="n"/>
      <c r="X847" s="153" t="n"/>
      <c r="Y847" s="153" t="n"/>
      <c r="Z847" s="153" t="n"/>
    </row>
    <row r="848" ht="15.75" customHeight="1" s="154">
      <c r="G848" s="153" t="n"/>
      <c r="H848" s="153" t="n"/>
      <c r="I848" s="153" t="n"/>
      <c r="J848" s="153" t="n"/>
      <c r="K848" s="153" t="n"/>
      <c r="L848" s="153" t="n"/>
      <c r="M848" s="153" t="n"/>
      <c r="N848" s="153" t="n"/>
      <c r="O848" s="153" t="n"/>
      <c r="P848" s="153" t="n"/>
      <c r="Q848" s="153" t="n"/>
      <c r="R848" s="153" t="n"/>
      <c r="S848" s="153" t="n"/>
      <c r="T848" s="153" t="n"/>
      <c r="U848" s="153" t="n"/>
      <c r="V848" s="153" t="n"/>
      <c r="W848" s="153" t="n"/>
      <c r="X848" s="153" t="n"/>
      <c r="Y848" s="153" t="n"/>
      <c r="Z848" s="153" t="n"/>
    </row>
    <row r="849" ht="15.75" customHeight="1" s="154">
      <c r="G849" s="153" t="n"/>
      <c r="H849" s="153" t="n"/>
      <c r="I849" s="153" t="n"/>
      <c r="J849" s="153" t="n"/>
      <c r="K849" s="153" t="n"/>
      <c r="L849" s="153" t="n"/>
      <c r="M849" s="153" t="n"/>
      <c r="N849" s="153" t="n"/>
      <c r="O849" s="153" t="n"/>
      <c r="P849" s="153" t="n"/>
      <c r="Q849" s="153" t="n"/>
      <c r="R849" s="153" t="n"/>
      <c r="S849" s="153" t="n"/>
      <c r="T849" s="153" t="n"/>
      <c r="U849" s="153" t="n"/>
      <c r="V849" s="153" t="n"/>
      <c r="W849" s="153" t="n"/>
      <c r="X849" s="153" t="n"/>
      <c r="Y849" s="153" t="n"/>
      <c r="Z849" s="153" t="n"/>
    </row>
    <row r="850" ht="15.75" customHeight="1" s="154">
      <c r="G850" s="153" t="n"/>
      <c r="H850" s="153" t="n"/>
      <c r="I850" s="153" t="n"/>
      <c r="J850" s="153" t="n"/>
      <c r="K850" s="153" t="n"/>
      <c r="L850" s="153" t="n"/>
      <c r="M850" s="153" t="n"/>
      <c r="N850" s="153" t="n"/>
      <c r="O850" s="153" t="n"/>
      <c r="P850" s="153" t="n"/>
      <c r="Q850" s="153" t="n"/>
      <c r="R850" s="153" t="n"/>
      <c r="S850" s="153" t="n"/>
      <c r="T850" s="153" t="n"/>
      <c r="U850" s="153" t="n"/>
      <c r="V850" s="153" t="n"/>
      <c r="W850" s="153" t="n"/>
      <c r="X850" s="153" t="n"/>
      <c r="Y850" s="153" t="n"/>
      <c r="Z850" s="153" t="n"/>
    </row>
    <row r="851" ht="15.75" customHeight="1" s="154">
      <c r="G851" s="153" t="n"/>
      <c r="H851" s="153" t="n"/>
      <c r="I851" s="153" t="n"/>
      <c r="J851" s="153" t="n"/>
      <c r="K851" s="153" t="n"/>
      <c r="L851" s="153" t="n"/>
      <c r="M851" s="153" t="n"/>
      <c r="N851" s="153" t="n"/>
      <c r="O851" s="153" t="n"/>
      <c r="P851" s="153" t="n"/>
      <c r="Q851" s="153" t="n"/>
      <c r="R851" s="153" t="n"/>
      <c r="S851" s="153" t="n"/>
      <c r="T851" s="153" t="n"/>
      <c r="U851" s="153" t="n"/>
      <c r="V851" s="153" t="n"/>
      <c r="W851" s="153" t="n"/>
      <c r="X851" s="153" t="n"/>
      <c r="Y851" s="153" t="n"/>
      <c r="Z851" s="153" t="n"/>
    </row>
    <row r="852" ht="15.75" customHeight="1" s="154">
      <c r="G852" s="153" t="n"/>
      <c r="H852" s="153" t="n"/>
      <c r="I852" s="153" t="n"/>
      <c r="J852" s="153" t="n"/>
      <c r="K852" s="153" t="n"/>
      <c r="L852" s="153" t="n"/>
      <c r="M852" s="153" t="n"/>
      <c r="N852" s="153" t="n"/>
      <c r="O852" s="153" t="n"/>
      <c r="P852" s="153" t="n"/>
      <c r="Q852" s="153" t="n"/>
      <c r="R852" s="153" t="n"/>
      <c r="S852" s="153" t="n"/>
      <c r="T852" s="153" t="n"/>
      <c r="U852" s="153" t="n"/>
      <c r="V852" s="153" t="n"/>
      <c r="W852" s="153" t="n"/>
      <c r="X852" s="153" t="n"/>
      <c r="Y852" s="153" t="n"/>
      <c r="Z852" s="153" t="n"/>
    </row>
    <row r="853" ht="15.75" customHeight="1" s="154">
      <c r="G853" s="153" t="n"/>
      <c r="H853" s="153" t="n"/>
      <c r="I853" s="153" t="n"/>
      <c r="J853" s="153" t="n"/>
      <c r="K853" s="153" t="n"/>
      <c r="L853" s="153" t="n"/>
      <c r="M853" s="153" t="n"/>
      <c r="N853" s="153" t="n"/>
      <c r="O853" s="153" t="n"/>
      <c r="P853" s="153" t="n"/>
      <c r="Q853" s="153" t="n"/>
      <c r="R853" s="153" t="n"/>
      <c r="S853" s="153" t="n"/>
      <c r="T853" s="153" t="n"/>
      <c r="U853" s="153" t="n"/>
      <c r="V853" s="153" t="n"/>
      <c r="W853" s="153" t="n"/>
      <c r="X853" s="153" t="n"/>
      <c r="Y853" s="153" t="n"/>
      <c r="Z853" s="153" t="n"/>
    </row>
    <row r="854" ht="15.75" customHeight="1" s="154">
      <c r="G854" s="153" t="n"/>
      <c r="H854" s="153" t="n"/>
      <c r="I854" s="153" t="n"/>
      <c r="J854" s="153" t="n"/>
      <c r="K854" s="153" t="n"/>
      <c r="L854" s="153" t="n"/>
      <c r="M854" s="153" t="n"/>
      <c r="N854" s="153" t="n"/>
      <c r="O854" s="153" t="n"/>
      <c r="P854" s="153" t="n"/>
      <c r="Q854" s="153" t="n"/>
      <c r="R854" s="153" t="n"/>
      <c r="S854" s="153" t="n"/>
      <c r="T854" s="153" t="n"/>
      <c r="U854" s="153" t="n"/>
      <c r="V854" s="153" t="n"/>
      <c r="W854" s="153" t="n"/>
      <c r="X854" s="153" t="n"/>
      <c r="Y854" s="153" t="n"/>
      <c r="Z854" s="153" t="n"/>
    </row>
    <row r="855" ht="15.75" customHeight="1" s="154">
      <c r="G855" s="153" t="n"/>
      <c r="H855" s="153" t="n"/>
      <c r="I855" s="153" t="n"/>
      <c r="J855" s="153" t="n"/>
      <c r="K855" s="153" t="n"/>
      <c r="L855" s="153" t="n"/>
      <c r="M855" s="153" t="n"/>
      <c r="N855" s="153" t="n"/>
      <c r="O855" s="153" t="n"/>
      <c r="P855" s="153" t="n"/>
      <c r="Q855" s="153" t="n"/>
      <c r="R855" s="153" t="n"/>
      <c r="S855" s="153" t="n"/>
      <c r="T855" s="153" t="n"/>
      <c r="U855" s="153" t="n"/>
      <c r="V855" s="153" t="n"/>
      <c r="W855" s="153" t="n"/>
      <c r="X855" s="153" t="n"/>
      <c r="Y855" s="153" t="n"/>
      <c r="Z855" s="153" t="n"/>
    </row>
    <row r="856" ht="15.75" customHeight="1" s="154">
      <c r="G856" s="153" t="n"/>
      <c r="H856" s="153" t="n"/>
      <c r="I856" s="153" t="n"/>
      <c r="J856" s="153" t="n"/>
      <c r="K856" s="153" t="n"/>
      <c r="L856" s="153" t="n"/>
      <c r="M856" s="153" t="n"/>
      <c r="N856" s="153" t="n"/>
      <c r="O856" s="153" t="n"/>
      <c r="P856" s="153" t="n"/>
      <c r="Q856" s="153" t="n"/>
      <c r="R856" s="153" t="n"/>
      <c r="S856" s="153" t="n"/>
      <c r="T856" s="153" t="n"/>
      <c r="U856" s="153" t="n"/>
      <c r="V856" s="153" t="n"/>
      <c r="W856" s="153" t="n"/>
      <c r="X856" s="153" t="n"/>
      <c r="Y856" s="153" t="n"/>
      <c r="Z856" s="153" t="n"/>
    </row>
    <row r="857" ht="15.75" customHeight="1" s="154">
      <c r="G857" s="153" t="n"/>
      <c r="H857" s="153" t="n"/>
      <c r="I857" s="153" t="n"/>
      <c r="J857" s="153" t="n"/>
      <c r="K857" s="153" t="n"/>
      <c r="L857" s="153" t="n"/>
      <c r="M857" s="153" t="n"/>
      <c r="N857" s="153" t="n"/>
      <c r="O857" s="153" t="n"/>
      <c r="P857" s="153" t="n"/>
      <c r="Q857" s="153" t="n"/>
      <c r="R857" s="153" t="n"/>
      <c r="S857" s="153" t="n"/>
      <c r="T857" s="153" t="n"/>
      <c r="U857" s="153" t="n"/>
      <c r="V857" s="153" t="n"/>
      <c r="W857" s="153" t="n"/>
      <c r="X857" s="153" t="n"/>
      <c r="Y857" s="153" t="n"/>
      <c r="Z857" s="153" t="n"/>
    </row>
    <row r="858" ht="15.75" customHeight="1" s="154">
      <c r="G858" s="153" t="n"/>
      <c r="H858" s="153" t="n"/>
      <c r="I858" s="153" t="n"/>
      <c r="J858" s="153" t="n"/>
      <c r="K858" s="153" t="n"/>
      <c r="L858" s="153" t="n"/>
      <c r="M858" s="153" t="n"/>
      <c r="N858" s="153" t="n"/>
      <c r="O858" s="153" t="n"/>
      <c r="P858" s="153" t="n"/>
      <c r="Q858" s="153" t="n"/>
      <c r="R858" s="153" t="n"/>
      <c r="S858" s="153" t="n"/>
      <c r="T858" s="153" t="n"/>
      <c r="U858" s="153" t="n"/>
      <c r="V858" s="153" t="n"/>
      <c r="W858" s="153" t="n"/>
      <c r="X858" s="153" t="n"/>
      <c r="Y858" s="153" t="n"/>
      <c r="Z858" s="153" t="n"/>
    </row>
    <row r="859" ht="15.75" customHeight="1" s="154">
      <c r="G859" s="153" t="n"/>
      <c r="H859" s="153" t="n"/>
      <c r="I859" s="153" t="n"/>
      <c r="J859" s="153" t="n"/>
      <c r="K859" s="153" t="n"/>
      <c r="L859" s="153" t="n"/>
      <c r="M859" s="153" t="n"/>
      <c r="N859" s="153" t="n"/>
      <c r="O859" s="153" t="n"/>
      <c r="P859" s="153" t="n"/>
      <c r="Q859" s="153" t="n"/>
      <c r="R859" s="153" t="n"/>
      <c r="S859" s="153" t="n"/>
      <c r="T859" s="153" t="n"/>
      <c r="U859" s="153" t="n"/>
      <c r="V859" s="153" t="n"/>
      <c r="W859" s="153" t="n"/>
      <c r="X859" s="153" t="n"/>
      <c r="Y859" s="153" t="n"/>
      <c r="Z859" s="153" t="n"/>
    </row>
    <row r="860" ht="15.75" customHeight="1" s="154">
      <c r="G860" s="153" t="n"/>
      <c r="H860" s="153" t="n"/>
      <c r="I860" s="153" t="n"/>
      <c r="J860" s="153" t="n"/>
      <c r="K860" s="153" t="n"/>
      <c r="L860" s="153" t="n"/>
      <c r="M860" s="153" t="n"/>
      <c r="N860" s="153" t="n"/>
      <c r="O860" s="153" t="n"/>
      <c r="P860" s="153" t="n"/>
      <c r="Q860" s="153" t="n"/>
      <c r="R860" s="153" t="n"/>
      <c r="S860" s="153" t="n"/>
      <c r="T860" s="153" t="n"/>
      <c r="U860" s="153" t="n"/>
      <c r="V860" s="153" t="n"/>
      <c r="W860" s="153" t="n"/>
      <c r="X860" s="153" t="n"/>
      <c r="Y860" s="153" t="n"/>
      <c r="Z860" s="153" t="n"/>
    </row>
    <row r="861" ht="15.75" customHeight="1" s="154">
      <c r="G861" s="153" t="n"/>
      <c r="H861" s="153" t="n"/>
      <c r="I861" s="153" t="n"/>
      <c r="J861" s="153" t="n"/>
      <c r="K861" s="153" t="n"/>
      <c r="L861" s="153" t="n"/>
      <c r="M861" s="153" t="n"/>
      <c r="N861" s="153" t="n"/>
      <c r="O861" s="153" t="n"/>
      <c r="P861" s="153" t="n"/>
      <c r="Q861" s="153" t="n"/>
      <c r="R861" s="153" t="n"/>
      <c r="S861" s="153" t="n"/>
      <c r="T861" s="153" t="n"/>
      <c r="U861" s="153" t="n"/>
      <c r="V861" s="153" t="n"/>
      <c r="W861" s="153" t="n"/>
      <c r="X861" s="153" t="n"/>
      <c r="Y861" s="153" t="n"/>
      <c r="Z861" s="153" t="n"/>
    </row>
    <row r="862" ht="15.75" customHeight="1" s="154">
      <c r="G862" s="153" t="n"/>
      <c r="H862" s="153" t="n"/>
      <c r="I862" s="153" t="n"/>
      <c r="J862" s="153" t="n"/>
      <c r="K862" s="153" t="n"/>
      <c r="L862" s="153" t="n"/>
      <c r="M862" s="153" t="n"/>
      <c r="N862" s="153" t="n"/>
      <c r="O862" s="153" t="n"/>
      <c r="P862" s="153" t="n"/>
      <c r="Q862" s="153" t="n"/>
      <c r="R862" s="153" t="n"/>
      <c r="S862" s="153" t="n"/>
      <c r="T862" s="153" t="n"/>
      <c r="U862" s="153" t="n"/>
      <c r="V862" s="153" t="n"/>
      <c r="W862" s="153" t="n"/>
      <c r="X862" s="153" t="n"/>
      <c r="Y862" s="153" t="n"/>
      <c r="Z862" s="153" t="n"/>
    </row>
    <row r="863" ht="15.75" customHeight="1" s="154">
      <c r="G863" s="153" t="n"/>
      <c r="H863" s="153" t="n"/>
      <c r="I863" s="153" t="n"/>
      <c r="J863" s="153" t="n"/>
      <c r="K863" s="153" t="n"/>
      <c r="L863" s="153" t="n"/>
      <c r="M863" s="153" t="n"/>
      <c r="N863" s="153" t="n"/>
      <c r="O863" s="153" t="n"/>
      <c r="P863" s="153" t="n"/>
      <c r="Q863" s="153" t="n"/>
      <c r="R863" s="153" t="n"/>
      <c r="S863" s="153" t="n"/>
      <c r="T863" s="153" t="n"/>
      <c r="U863" s="153" t="n"/>
      <c r="V863" s="153" t="n"/>
      <c r="W863" s="153" t="n"/>
      <c r="X863" s="153" t="n"/>
      <c r="Y863" s="153" t="n"/>
      <c r="Z863" s="153" t="n"/>
    </row>
    <row r="864" ht="15.75" customHeight="1" s="154">
      <c r="G864" s="153" t="n"/>
      <c r="H864" s="153" t="n"/>
      <c r="I864" s="153" t="n"/>
      <c r="J864" s="153" t="n"/>
      <c r="K864" s="153" t="n"/>
      <c r="L864" s="153" t="n"/>
      <c r="M864" s="153" t="n"/>
      <c r="N864" s="153" t="n"/>
      <c r="O864" s="153" t="n"/>
      <c r="P864" s="153" t="n"/>
      <c r="Q864" s="153" t="n"/>
      <c r="R864" s="153" t="n"/>
      <c r="S864" s="153" t="n"/>
      <c r="T864" s="153" t="n"/>
      <c r="U864" s="153" t="n"/>
      <c r="V864" s="153" t="n"/>
      <c r="W864" s="153" t="n"/>
      <c r="X864" s="153" t="n"/>
      <c r="Y864" s="153" t="n"/>
      <c r="Z864" s="153" t="n"/>
    </row>
    <row r="865" ht="15.75" customHeight="1" s="154">
      <c r="G865" s="153" t="n"/>
      <c r="H865" s="153" t="n"/>
      <c r="I865" s="153" t="n"/>
      <c r="J865" s="153" t="n"/>
      <c r="K865" s="153" t="n"/>
      <c r="L865" s="153" t="n"/>
      <c r="M865" s="153" t="n"/>
      <c r="N865" s="153" t="n"/>
      <c r="O865" s="153" t="n"/>
      <c r="P865" s="153" t="n"/>
      <c r="Q865" s="153" t="n"/>
      <c r="R865" s="153" t="n"/>
      <c r="S865" s="153" t="n"/>
      <c r="T865" s="153" t="n"/>
      <c r="U865" s="153" t="n"/>
      <c r="V865" s="153" t="n"/>
      <c r="W865" s="153" t="n"/>
      <c r="X865" s="153" t="n"/>
      <c r="Y865" s="153" t="n"/>
      <c r="Z865" s="153" t="n"/>
    </row>
    <row r="866" ht="15.75" customHeight="1" s="154">
      <c r="G866" s="153" t="n"/>
      <c r="H866" s="153" t="n"/>
      <c r="I866" s="153" t="n"/>
      <c r="J866" s="153" t="n"/>
      <c r="K866" s="153" t="n"/>
      <c r="L866" s="153" t="n"/>
      <c r="M866" s="153" t="n"/>
      <c r="N866" s="153" t="n"/>
      <c r="O866" s="153" t="n"/>
      <c r="P866" s="153" t="n"/>
      <c r="Q866" s="153" t="n"/>
      <c r="R866" s="153" t="n"/>
      <c r="S866" s="153" t="n"/>
      <c r="T866" s="153" t="n"/>
      <c r="U866" s="153" t="n"/>
      <c r="V866" s="153" t="n"/>
      <c r="W866" s="153" t="n"/>
      <c r="X866" s="153" t="n"/>
      <c r="Y866" s="153" t="n"/>
      <c r="Z866" s="153" t="n"/>
    </row>
    <row r="867" ht="15.75" customHeight="1" s="154">
      <c r="G867" s="153" t="n"/>
      <c r="H867" s="153" t="n"/>
      <c r="I867" s="153" t="n"/>
      <c r="J867" s="153" t="n"/>
      <c r="K867" s="153" t="n"/>
      <c r="L867" s="153" t="n"/>
      <c r="M867" s="153" t="n"/>
      <c r="N867" s="153" t="n"/>
      <c r="O867" s="153" t="n"/>
      <c r="P867" s="153" t="n"/>
      <c r="Q867" s="153" t="n"/>
      <c r="R867" s="153" t="n"/>
      <c r="S867" s="153" t="n"/>
      <c r="T867" s="153" t="n"/>
      <c r="U867" s="153" t="n"/>
      <c r="V867" s="153" t="n"/>
      <c r="W867" s="153" t="n"/>
      <c r="X867" s="153" t="n"/>
      <c r="Y867" s="153" t="n"/>
      <c r="Z867" s="153" t="n"/>
    </row>
    <row r="868" ht="15.75" customHeight="1" s="154">
      <c r="G868" s="153" t="n"/>
      <c r="H868" s="153" t="n"/>
      <c r="I868" s="153" t="n"/>
      <c r="J868" s="153" t="n"/>
      <c r="K868" s="153" t="n"/>
      <c r="L868" s="153" t="n"/>
      <c r="M868" s="153" t="n"/>
      <c r="N868" s="153" t="n"/>
      <c r="O868" s="153" t="n"/>
      <c r="P868" s="153" t="n"/>
      <c r="Q868" s="153" t="n"/>
      <c r="R868" s="153" t="n"/>
      <c r="S868" s="153" t="n"/>
      <c r="T868" s="153" t="n"/>
      <c r="U868" s="153" t="n"/>
      <c r="V868" s="153" t="n"/>
      <c r="W868" s="153" t="n"/>
      <c r="X868" s="153" t="n"/>
      <c r="Y868" s="153" t="n"/>
      <c r="Z868" s="153" t="n"/>
    </row>
    <row r="869" ht="15.75" customHeight="1" s="154">
      <c r="G869" s="153" t="n"/>
      <c r="H869" s="153" t="n"/>
      <c r="I869" s="153" t="n"/>
      <c r="J869" s="153" t="n"/>
      <c r="K869" s="153" t="n"/>
      <c r="L869" s="153" t="n"/>
      <c r="M869" s="153" t="n"/>
      <c r="N869" s="153" t="n"/>
      <c r="O869" s="153" t="n"/>
      <c r="P869" s="153" t="n"/>
      <c r="Q869" s="153" t="n"/>
      <c r="R869" s="153" t="n"/>
      <c r="S869" s="153" t="n"/>
      <c r="T869" s="153" t="n"/>
      <c r="U869" s="153" t="n"/>
      <c r="V869" s="153" t="n"/>
      <c r="W869" s="153" t="n"/>
      <c r="X869" s="153" t="n"/>
      <c r="Y869" s="153" t="n"/>
      <c r="Z869" s="153" t="n"/>
    </row>
    <row r="870" ht="15.75" customHeight="1" s="154">
      <c r="G870" s="153" t="n"/>
      <c r="H870" s="153" t="n"/>
      <c r="I870" s="153" t="n"/>
      <c r="J870" s="153" t="n"/>
      <c r="K870" s="153" t="n"/>
      <c r="L870" s="153" t="n"/>
      <c r="M870" s="153" t="n"/>
      <c r="N870" s="153" t="n"/>
      <c r="O870" s="153" t="n"/>
      <c r="P870" s="153" t="n"/>
      <c r="Q870" s="153" t="n"/>
      <c r="R870" s="153" t="n"/>
      <c r="S870" s="153" t="n"/>
      <c r="T870" s="153" t="n"/>
      <c r="U870" s="153" t="n"/>
      <c r="V870" s="153" t="n"/>
      <c r="W870" s="153" t="n"/>
      <c r="X870" s="153" t="n"/>
      <c r="Y870" s="153" t="n"/>
      <c r="Z870" s="153" t="n"/>
    </row>
    <row r="871" ht="15.75" customHeight="1" s="154">
      <c r="G871" s="153" t="n"/>
      <c r="H871" s="153" t="n"/>
      <c r="I871" s="153" t="n"/>
      <c r="J871" s="153" t="n"/>
      <c r="K871" s="153" t="n"/>
      <c r="L871" s="153" t="n"/>
      <c r="M871" s="153" t="n"/>
      <c r="N871" s="153" t="n"/>
      <c r="O871" s="153" t="n"/>
      <c r="P871" s="153" t="n"/>
      <c r="Q871" s="153" t="n"/>
      <c r="R871" s="153" t="n"/>
      <c r="S871" s="153" t="n"/>
      <c r="T871" s="153" t="n"/>
      <c r="U871" s="153" t="n"/>
      <c r="V871" s="153" t="n"/>
      <c r="W871" s="153" t="n"/>
      <c r="X871" s="153" t="n"/>
      <c r="Y871" s="153" t="n"/>
      <c r="Z871" s="153" t="n"/>
    </row>
    <row r="872" ht="15.75" customHeight="1" s="154">
      <c r="G872" s="153" t="n"/>
      <c r="H872" s="153" t="n"/>
      <c r="I872" s="153" t="n"/>
      <c r="J872" s="153" t="n"/>
      <c r="K872" s="153" t="n"/>
      <c r="L872" s="153" t="n"/>
      <c r="M872" s="153" t="n"/>
      <c r="N872" s="153" t="n"/>
      <c r="O872" s="153" t="n"/>
      <c r="P872" s="153" t="n"/>
      <c r="Q872" s="153" t="n"/>
      <c r="R872" s="153" t="n"/>
      <c r="S872" s="153" t="n"/>
      <c r="T872" s="153" t="n"/>
      <c r="U872" s="153" t="n"/>
      <c r="V872" s="153" t="n"/>
      <c r="W872" s="153" t="n"/>
      <c r="X872" s="153" t="n"/>
      <c r="Y872" s="153" t="n"/>
      <c r="Z872" s="153" t="n"/>
    </row>
    <row r="873" ht="15.75" customHeight="1" s="154">
      <c r="G873" s="153" t="n"/>
      <c r="H873" s="153" t="n"/>
      <c r="I873" s="153" t="n"/>
      <c r="J873" s="153" t="n"/>
      <c r="K873" s="153" t="n"/>
      <c r="L873" s="153" t="n"/>
      <c r="M873" s="153" t="n"/>
      <c r="N873" s="153" t="n"/>
      <c r="O873" s="153" t="n"/>
      <c r="P873" s="153" t="n"/>
      <c r="Q873" s="153" t="n"/>
      <c r="R873" s="153" t="n"/>
      <c r="S873" s="153" t="n"/>
      <c r="T873" s="153" t="n"/>
      <c r="U873" s="153" t="n"/>
      <c r="V873" s="153" t="n"/>
      <c r="W873" s="153" t="n"/>
      <c r="X873" s="153" t="n"/>
      <c r="Y873" s="153" t="n"/>
      <c r="Z873" s="153" t="n"/>
    </row>
    <row r="874" ht="15.75" customHeight="1" s="154">
      <c r="G874" s="153" t="n"/>
      <c r="H874" s="153" t="n"/>
      <c r="I874" s="153" t="n"/>
      <c r="J874" s="153" t="n"/>
      <c r="K874" s="153" t="n"/>
      <c r="L874" s="153" t="n"/>
      <c r="M874" s="153" t="n"/>
      <c r="N874" s="153" t="n"/>
      <c r="O874" s="153" t="n"/>
      <c r="P874" s="153" t="n"/>
      <c r="Q874" s="153" t="n"/>
      <c r="R874" s="153" t="n"/>
      <c r="S874" s="153" t="n"/>
      <c r="T874" s="153" t="n"/>
      <c r="U874" s="153" t="n"/>
      <c r="V874" s="153" t="n"/>
      <c r="W874" s="153" t="n"/>
      <c r="X874" s="153" t="n"/>
      <c r="Y874" s="153" t="n"/>
      <c r="Z874" s="153" t="n"/>
    </row>
    <row r="875" ht="15.75" customHeight="1" s="154">
      <c r="G875" s="153" t="n"/>
      <c r="H875" s="153" t="n"/>
      <c r="I875" s="153" t="n"/>
      <c r="J875" s="153" t="n"/>
      <c r="K875" s="153" t="n"/>
      <c r="L875" s="153" t="n"/>
      <c r="M875" s="153" t="n"/>
      <c r="N875" s="153" t="n"/>
      <c r="O875" s="153" t="n"/>
      <c r="P875" s="153" t="n"/>
      <c r="Q875" s="153" t="n"/>
      <c r="R875" s="153" t="n"/>
      <c r="S875" s="153" t="n"/>
      <c r="T875" s="153" t="n"/>
      <c r="U875" s="153" t="n"/>
      <c r="V875" s="153" t="n"/>
      <c r="W875" s="153" t="n"/>
      <c r="X875" s="153" t="n"/>
      <c r="Y875" s="153" t="n"/>
      <c r="Z875" s="153" t="n"/>
    </row>
    <row r="876" ht="15.75" customHeight="1" s="154">
      <c r="G876" s="153" t="n"/>
      <c r="H876" s="153" t="n"/>
      <c r="I876" s="153" t="n"/>
      <c r="J876" s="153" t="n"/>
      <c r="K876" s="153" t="n"/>
      <c r="L876" s="153" t="n"/>
      <c r="M876" s="153" t="n"/>
      <c r="N876" s="153" t="n"/>
      <c r="O876" s="153" t="n"/>
      <c r="P876" s="153" t="n"/>
      <c r="Q876" s="153" t="n"/>
      <c r="R876" s="153" t="n"/>
      <c r="S876" s="153" t="n"/>
      <c r="T876" s="153" t="n"/>
      <c r="U876" s="153" t="n"/>
      <c r="V876" s="153" t="n"/>
      <c r="W876" s="153" t="n"/>
      <c r="X876" s="153" t="n"/>
      <c r="Y876" s="153" t="n"/>
      <c r="Z876" s="153" t="n"/>
    </row>
    <row r="877" ht="15.75" customHeight="1" s="154">
      <c r="G877" s="153" t="n"/>
      <c r="H877" s="153" t="n"/>
      <c r="I877" s="153" t="n"/>
      <c r="J877" s="153" t="n"/>
      <c r="K877" s="153" t="n"/>
      <c r="L877" s="153" t="n"/>
      <c r="M877" s="153" t="n"/>
      <c r="N877" s="153" t="n"/>
      <c r="O877" s="153" t="n"/>
      <c r="P877" s="153" t="n"/>
      <c r="Q877" s="153" t="n"/>
      <c r="R877" s="153" t="n"/>
      <c r="S877" s="153" t="n"/>
      <c r="T877" s="153" t="n"/>
      <c r="U877" s="153" t="n"/>
      <c r="V877" s="153" t="n"/>
      <c r="W877" s="153" t="n"/>
      <c r="X877" s="153" t="n"/>
      <c r="Y877" s="153" t="n"/>
      <c r="Z877" s="153" t="n"/>
    </row>
    <row r="878" ht="15.75" customHeight="1" s="154">
      <c r="G878" s="153" t="n"/>
      <c r="H878" s="153" t="n"/>
      <c r="I878" s="153" t="n"/>
      <c r="J878" s="153" t="n"/>
      <c r="K878" s="153" t="n"/>
      <c r="L878" s="153" t="n"/>
      <c r="M878" s="153" t="n"/>
      <c r="N878" s="153" t="n"/>
      <c r="O878" s="153" t="n"/>
      <c r="P878" s="153" t="n"/>
      <c r="Q878" s="153" t="n"/>
      <c r="R878" s="153" t="n"/>
      <c r="S878" s="153" t="n"/>
      <c r="T878" s="153" t="n"/>
      <c r="U878" s="153" t="n"/>
      <c r="V878" s="153" t="n"/>
      <c r="W878" s="153" t="n"/>
      <c r="X878" s="153" t="n"/>
      <c r="Y878" s="153" t="n"/>
      <c r="Z878" s="153" t="n"/>
    </row>
    <row r="879" ht="15.75" customHeight="1" s="154">
      <c r="G879" s="153" t="n"/>
      <c r="H879" s="153" t="n"/>
      <c r="I879" s="153" t="n"/>
      <c r="J879" s="153" t="n"/>
      <c r="K879" s="153" t="n"/>
      <c r="L879" s="153" t="n"/>
      <c r="M879" s="153" t="n"/>
      <c r="N879" s="153" t="n"/>
      <c r="O879" s="153" t="n"/>
      <c r="P879" s="153" t="n"/>
      <c r="Q879" s="153" t="n"/>
      <c r="R879" s="153" t="n"/>
      <c r="S879" s="153" t="n"/>
      <c r="T879" s="153" t="n"/>
      <c r="U879" s="153" t="n"/>
      <c r="V879" s="153" t="n"/>
      <c r="W879" s="153" t="n"/>
      <c r="X879" s="153" t="n"/>
      <c r="Y879" s="153" t="n"/>
      <c r="Z879" s="153" t="n"/>
    </row>
    <row r="880" ht="15.75" customHeight="1" s="154">
      <c r="G880" s="153" t="n"/>
      <c r="H880" s="153" t="n"/>
      <c r="I880" s="153" t="n"/>
      <c r="J880" s="153" t="n"/>
      <c r="K880" s="153" t="n"/>
      <c r="L880" s="153" t="n"/>
      <c r="M880" s="153" t="n"/>
      <c r="N880" s="153" t="n"/>
      <c r="O880" s="153" t="n"/>
      <c r="P880" s="153" t="n"/>
      <c r="Q880" s="153" t="n"/>
      <c r="R880" s="153" t="n"/>
      <c r="S880" s="153" t="n"/>
      <c r="T880" s="153" t="n"/>
      <c r="U880" s="153" t="n"/>
      <c r="V880" s="153" t="n"/>
      <c r="W880" s="153" t="n"/>
      <c r="X880" s="153" t="n"/>
      <c r="Y880" s="153" t="n"/>
      <c r="Z880" s="153" t="n"/>
    </row>
    <row r="881" ht="15.75" customHeight="1" s="154">
      <c r="G881" s="153" t="n"/>
      <c r="H881" s="153" t="n"/>
      <c r="I881" s="153" t="n"/>
      <c r="J881" s="153" t="n"/>
      <c r="K881" s="153" t="n"/>
      <c r="L881" s="153" t="n"/>
      <c r="M881" s="153" t="n"/>
      <c r="N881" s="153" t="n"/>
      <c r="O881" s="153" t="n"/>
      <c r="P881" s="153" t="n"/>
      <c r="Q881" s="153" t="n"/>
      <c r="R881" s="153" t="n"/>
      <c r="S881" s="153" t="n"/>
      <c r="T881" s="153" t="n"/>
      <c r="U881" s="153" t="n"/>
      <c r="V881" s="153" t="n"/>
      <c r="W881" s="153" t="n"/>
      <c r="X881" s="153" t="n"/>
      <c r="Y881" s="153" t="n"/>
      <c r="Z881" s="153" t="n"/>
    </row>
    <row r="882" ht="15.75" customHeight="1" s="154">
      <c r="G882" s="153" t="n"/>
      <c r="H882" s="153" t="n"/>
      <c r="I882" s="153" t="n"/>
      <c r="J882" s="153" t="n"/>
      <c r="K882" s="153" t="n"/>
      <c r="L882" s="153" t="n"/>
      <c r="M882" s="153" t="n"/>
      <c r="N882" s="153" t="n"/>
      <c r="O882" s="153" t="n"/>
      <c r="P882" s="153" t="n"/>
      <c r="Q882" s="153" t="n"/>
      <c r="R882" s="153" t="n"/>
      <c r="S882" s="153" t="n"/>
      <c r="T882" s="153" t="n"/>
      <c r="U882" s="153" t="n"/>
      <c r="V882" s="153" t="n"/>
      <c r="W882" s="153" t="n"/>
      <c r="X882" s="153" t="n"/>
      <c r="Y882" s="153" t="n"/>
      <c r="Z882" s="153" t="n"/>
    </row>
    <row r="883" ht="15.75" customHeight="1" s="154">
      <c r="G883" s="153" t="n"/>
      <c r="H883" s="153" t="n"/>
      <c r="I883" s="153" t="n"/>
      <c r="J883" s="153" t="n"/>
      <c r="K883" s="153" t="n"/>
      <c r="L883" s="153" t="n"/>
      <c r="M883" s="153" t="n"/>
      <c r="N883" s="153" t="n"/>
      <c r="O883" s="153" t="n"/>
      <c r="P883" s="153" t="n"/>
      <c r="Q883" s="153" t="n"/>
      <c r="R883" s="153" t="n"/>
      <c r="S883" s="153" t="n"/>
      <c r="T883" s="153" t="n"/>
      <c r="U883" s="153" t="n"/>
      <c r="V883" s="153" t="n"/>
      <c r="W883" s="153" t="n"/>
      <c r="X883" s="153" t="n"/>
      <c r="Y883" s="153" t="n"/>
      <c r="Z883" s="153" t="n"/>
    </row>
    <row r="884" ht="15.75" customHeight="1" s="154">
      <c r="G884" s="153" t="n"/>
      <c r="H884" s="153" t="n"/>
      <c r="I884" s="153" t="n"/>
      <c r="J884" s="153" t="n"/>
      <c r="K884" s="153" t="n"/>
      <c r="L884" s="153" t="n"/>
      <c r="M884" s="153" t="n"/>
      <c r="N884" s="153" t="n"/>
      <c r="O884" s="153" t="n"/>
      <c r="P884" s="153" t="n"/>
      <c r="Q884" s="153" t="n"/>
      <c r="R884" s="153" t="n"/>
      <c r="S884" s="153" t="n"/>
      <c r="T884" s="153" t="n"/>
      <c r="U884" s="153" t="n"/>
      <c r="V884" s="153" t="n"/>
      <c r="W884" s="153" t="n"/>
      <c r="X884" s="153" t="n"/>
      <c r="Y884" s="153" t="n"/>
      <c r="Z884" s="153" t="n"/>
    </row>
    <row r="885" ht="15.75" customHeight="1" s="154">
      <c r="G885" s="153" t="n"/>
      <c r="H885" s="153" t="n"/>
      <c r="I885" s="153" t="n"/>
      <c r="J885" s="153" t="n"/>
      <c r="K885" s="153" t="n"/>
      <c r="L885" s="153" t="n"/>
      <c r="M885" s="153" t="n"/>
      <c r="N885" s="153" t="n"/>
      <c r="O885" s="153" t="n"/>
      <c r="P885" s="153" t="n"/>
      <c r="Q885" s="153" t="n"/>
      <c r="R885" s="153" t="n"/>
      <c r="S885" s="153" t="n"/>
      <c r="T885" s="153" t="n"/>
      <c r="U885" s="153" t="n"/>
      <c r="V885" s="153" t="n"/>
      <c r="W885" s="153" t="n"/>
      <c r="X885" s="153" t="n"/>
      <c r="Y885" s="153" t="n"/>
      <c r="Z885" s="153" t="n"/>
    </row>
    <row r="886" ht="15.75" customHeight="1" s="154">
      <c r="G886" s="153" t="n"/>
      <c r="H886" s="153" t="n"/>
      <c r="I886" s="153" t="n"/>
      <c r="J886" s="153" t="n"/>
      <c r="K886" s="153" t="n"/>
      <c r="L886" s="153" t="n"/>
      <c r="M886" s="153" t="n"/>
      <c r="N886" s="153" t="n"/>
      <c r="O886" s="153" t="n"/>
      <c r="P886" s="153" t="n"/>
      <c r="Q886" s="153" t="n"/>
      <c r="R886" s="153" t="n"/>
      <c r="S886" s="153" t="n"/>
      <c r="T886" s="153" t="n"/>
      <c r="U886" s="153" t="n"/>
      <c r="V886" s="153" t="n"/>
      <c r="W886" s="153" t="n"/>
      <c r="X886" s="153" t="n"/>
      <c r="Y886" s="153" t="n"/>
      <c r="Z886" s="153" t="n"/>
    </row>
    <row r="887" ht="15.75" customHeight="1" s="154">
      <c r="G887" s="153" t="n"/>
      <c r="H887" s="153" t="n"/>
      <c r="I887" s="153" t="n"/>
      <c r="J887" s="153" t="n"/>
      <c r="K887" s="153" t="n"/>
      <c r="L887" s="153" t="n"/>
      <c r="M887" s="153" t="n"/>
      <c r="N887" s="153" t="n"/>
      <c r="O887" s="153" t="n"/>
      <c r="P887" s="153" t="n"/>
      <c r="Q887" s="153" t="n"/>
      <c r="R887" s="153" t="n"/>
      <c r="S887" s="153" t="n"/>
      <c r="T887" s="153" t="n"/>
      <c r="U887" s="153" t="n"/>
      <c r="V887" s="153" t="n"/>
      <c r="W887" s="153" t="n"/>
      <c r="X887" s="153" t="n"/>
      <c r="Y887" s="153" t="n"/>
      <c r="Z887" s="153" t="n"/>
    </row>
    <row r="888" ht="15.75" customHeight="1" s="154">
      <c r="G888" s="153" t="n"/>
      <c r="H888" s="153" t="n"/>
      <c r="I888" s="153" t="n"/>
      <c r="J888" s="153" t="n"/>
      <c r="K888" s="153" t="n"/>
      <c r="L888" s="153" t="n"/>
      <c r="M888" s="153" t="n"/>
      <c r="N888" s="153" t="n"/>
      <c r="O888" s="153" t="n"/>
      <c r="P888" s="153" t="n"/>
      <c r="Q888" s="153" t="n"/>
      <c r="R888" s="153" t="n"/>
      <c r="S888" s="153" t="n"/>
      <c r="T888" s="153" t="n"/>
      <c r="U888" s="153" t="n"/>
      <c r="V888" s="153" t="n"/>
      <c r="W888" s="153" t="n"/>
      <c r="X888" s="153" t="n"/>
      <c r="Y888" s="153" t="n"/>
      <c r="Z888" s="153" t="n"/>
    </row>
    <row r="889" ht="15.75" customHeight="1" s="154">
      <c r="G889" s="153" t="n"/>
      <c r="H889" s="153" t="n"/>
      <c r="I889" s="153" t="n"/>
      <c r="J889" s="153" t="n"/>
      <c r="K889" s="153" t="n"/>
      <c r="L889" s="153" t="n"/>
      <c r="M889" s="153" t="n"/>
      <c r="N889" s="153" t="n"/>
      <c r="O889" s="153" t="n"/>
      <c r="P889" s="153" t="n"/>
      <c r="Q889" s="153" t="n"/>
      <c r="R889" s="153" t="n"/>
      <c r="S889" s="153" t="n"/>
      <c r="T889" s="153" t="n"/>
      <c r="U889" s="153" t="n"/>
      <c r="V889" s="153" t="n"/>
      <c r="W889" s="153" t="n"/>
      <c r="X889" s="153" t="n"/>
      <c r="Y889" s="153" t="n"/>
      <c r="Z889" s="153" t="n"/>
    </row>
    <row r="890" ht="15.75" customHeight="1" s="154">
      <c r="G890" s="153" t="n"/>
      <c r="H890" s="153" t="n"/>
      <c r="I890" s="153" t="n"/>
      <c r="J890" s="153" t="n"/>
      <c r="K890" s="153" t="n"/>
      <c r="L890" s="153" t="n"/>
      <c r="M890" s="153" t="n"/>
      <c r="N890" s="153" t="n"/>
      <c r="O890" s="153" t="n"/>
      <c r="P890" s="153" t="n"/>
      <c r="Q890" s="153" t="n"/>
      <c r="R890" s="153" t="n"/>
      <c r="S890" s="153" t="n"/>
      <c r="T890" s="153" t="n"/>
      <c r="U890" s="153" t="n"/>
      <c r="V890" s="153" t="n"/>
      <c r="W890" s="153" t="n"/>
      <c r="X890" s="153" t="n"/>
      <c r="Y890" s="153" t="n"/>
      <c r="Z890" s="153" t="n"/>
    </row>
    <row r="891" ht="15.75" customHeight="1" s="154">
      <c r="G891" s="153" t="n"/>
      <c r="H891" s="153" t="n"/>
      <c r="I891" s="153" t="n"/>
      <c r="J891" s="153" t="n"/>
      <c r="K891" s="153" t="n"/>
      <c r="L891" s="153" t="n"/>
      <c r="M891" s="153" t="n"/>
      <c r="N891" s="153" t="n"/>
      <c r="O891" s="153" t="n"/>
      <c r="P891" s="153" t="n"/>
      <c r="Q891" s="153" t="n"/>
      <c r="R891" s="153" t="n"/>
      <c r="S891" s="153" t="n"/>
      <c r="T891" s="153" t="n"/>
      <c r="U891" s="153" t="n"/>
      <c r="V891" s="153" t="n"/>
      <c r="W891" s="153" t="n"/>
      <c r="X891" s="153" t="n"/>
      <c r="Y891" s="153" t="n"/>
      <c r="Z891" s="153" t="n"/>
    </row>
    <row r="892" ht="15.75" customHeight="1" s="154">
      <c r="G892" s="153" t="n"/>
      <c r="H892" s="153" t="n"/>
      <c r="I892" s="153" t="n"/>
      <c r="J892" s="153" t="n"/>
      <c r="K892" s="153" t="n"/>
      <c r="L892" s="153" t="n"/>
      <c r="M892" s="153" t="n"/>
      <c r="N892" s="153" t="n"/>
      <c r="O892" s="153" t="n"/>
      <c r="P892" s="153" t="n"/>
      <c r="Q892" s="153" t="n"/>
      <c r="R892" s="153" t="n"/>
      <c r="S892" s="153" t="n"/>
      <c r="T892" s="153" t="n"/>
      <c r="U892" s="153" t="n"/>
      <c r="V892" s="153" t="n"/>
      <c r="W892" s="153" t="n"/>
      <c r="X892" s="153" t="n"/>
      <c r="Y892" s="153" t="n"/>
      <c r="Z892" s="153" t="n"/>
    </row>
    <row r="893" ht="15.75" customHeight="1" s="154">
      <c r="G893" s="153" t="n"/>
      <c r="H893" s="153" t="n"/>
      <c r="I893" s="153" t="n"/>
      <c r="J893" s="153" t="n"/>
      <c r="K893" s="153" t="n"/>
      <c r="L893" s="153" t="n"/>
      <c r="M893" s="153" t="n"/>
      <c r="N893" s="153" t="n"/>
      <c r="O893" s="153" t="n"/>
      <c r="P893" s="153" t="n"/>
      <c r="Q893" s="153" t="n"/>
      <c r="R893" s="153" t="n"/>
      <c r="S893" s="153" t="n"/>
      <c r="T893" s="153" t="n"/>
      <c r="U893" s="153" t="n"/>
      <c r="V893" s="153" t="n"/>
      <c r="W893" s="153" t="n"/>
      <c r="X893" s="153" t="n"/>
      <c r="Y893" s="153" t="n"/>
      <c r="Z893" s="153" t="n"/>
    </row>
    <row r="894" ht="15.75" customHeight="1" s="154">
      <c r="G894" s="153" t="n"/>
      <c r="H894" s="153" t="n"/>
      <c r="I894" s="153" t="n"/>
      <c r="J894" s="153" t="n"/>
      <c r="K894" s="153" t="n"/>
      <c r="L894" s="153" t="n"/>
      <c r="M894" s="153" t="n"/>
      <c r="N894" s="153" t="n"/>
      <c r="O894" s="153" t="n"/>
      <c r="P894" s="153" t="n"/>
      <c r="Q894" s="153" t="n"/>
      <c r="R894" s="153" t="n"/>
      <c r="S894" s="153" t="n"/>
      <c r="T894" s="153" t="n"/>
      <c r="U894" s="153" t="n"/>
      <c r="V894" s="153" t="n"/>
      <c r="W894" s="153" t="n"/>
      <c r="X894" s="153" t="n"/>
      <c r="Y894" s="153" t="n"/>
      <c r="Z894" s="153" t="n"/>
    </row>
    <row r="895" ht="15.75" customHeight="1" s="154">
      <c r="G895" s="153" t="n"/>
      <c r="H895" s="153" t="n"/>
      <c r="I895" s="153" t="n"/>
      <c r="J895" s="153" t="n"/>
      <c r="K895" s="153" t="n"/>
      <c r="L895" s="153" t="n"/>
      <c r="M895" s="153" t="n"/>
      <c r="N895" s="153" t="n"/>
      <c r="O895" s="153" t="n"/>
      <c r="P895" s="153" t="n"/>
      <c r="Q895" s="153" t="n"/>
      <c r="R895" s="153" t="n"/>
      <c r="S895" s="153" t="n"/>
      <c r="T895" s="153" t="n"/>
      <c r="U895" s="153" t="n"/>
      <c r="V895" s="153" t="n"/>
      <c r="W895" s="153" t="n"/>
      <c r="X895" s="153" t="n"/>
      <c r="Y895" s="153" t="n"/>
      <c r="Z895" s="153" t="n"/>
    </row>
    <row r="896" ht="15.75" customHeight="1" s="154">
      <c r="G896" s="153" t="n"/>
      <c r="H896" s="153" t="n"/>
      <c r="I896" s="153" t="n"/>
      <c r="J896" s="153" t="n"/>
      <c r="K896" s="153" t="n"/>
      <c r="L896" s="153" t="n"/>
      <c r="M896" s="153" t="n"/>
      <c r="N896" s="153" t="n"/>
      <c r="O896" s="153" t="n"/>
      <c r="P896" s="153" t="n"/>
      <c r="Q896" s="153" t="n"/>
      <c r="R896" s="153" t="n"/>
      <c r="S896" s="153" t="n"/>
      <c r="T896" s="153" t="n"/>
      <c r="U896" s="153" t="n"/>
      <c r="V896" s="153" t="n"/>
      <c r="W896" s="153" t="n"/>
      <c r="X896" s="153" t="n"/>
      <c r="Y896" s="153" t="n"/>
      <c r="Z896" s="153" t="n"/>
    </row>
    <row r="897" ht="15.75" customHeight="1" s="154">
      <c r="G897" s="153" t="n"/>
      <c r="H897" s="153" t="n"/>
      <c r="I897" s="153" t="n"/>
      <c r="J897" s="153" t="n"/>
      <c r="K897" s="153" t="n"/>
      <c r="L897" s="153" t="n"/>
      <c r="M897" s="153" t="n"/>
      <c r="N897" s="153" t="n"/>
      <c r="O897" s="153" t="n"/>
      <c r="P897" s="153" t="n"/>
      <c r="Q897" s="153" t="n"/>
      <c r="R897" s="153" t="n"/>
      <c r="S897" s="153" t="n"/>
      <c r="T897" s="153" t="n"/>
      <c r="U897" s="153" t="n"/>
      <c r="V897" s="153" t="n"/>
      <c r="W897" s="153" t="n"/>
      <c r="X897" s="153" t="n"/>
      <c r="Y897" s="153" t="n"/>
      <c r="Z897" s="153" t="n"/>
    </row>
    <row r="898" ht="15.75" customHeight="1" s="154">
      <c r="G898" s="153" t="n"/>
      <c r="H898" s="153" t="n"/>
      <c r="I898" s="153" t="n"/>
      <c r="J898" s="153" t="n"/>
      <c r="K898" s="153" t="n"/>
      <c r="L898" s="153" t="n"/>
      <c r="M898" s="153" t="n"/>
      <c r="N898" s="153" t="n"/>
      <c r="O898" s="153" t="n"/>
      <c r="P898" s="153" t="n"/>
      <c r="Q898" s="153" t="n"/>
      <c r="R898" s="153" t="n"/>
      <c r="S898" s="153" t="n"/>
      <c r="T898" s="153" t="n"/>
      <c r="U898" s="153" t="n"/>
      <c r="V898" s="153" t="n"/>
      <c r="W898" s="153" t="n"/>
      <c r="X898" s="153" t="n"/>
      <c r="Y898" s="153" t="n"/>
      <c r="Z898" s="153" t="n"/>
    </row>
    <row r="899" ht="15.75" customHeight="1" s="154">
      <c r="G899" s="153" t="n"/>
      <c r="H899" s="153" t="n"/>
      <c r="I899" s="153" t="n"/>
      <c r="J899" s="153" t="n"/>
      <c r="K899" s="153" t="n"/>
      <c r="L899" s="153" t="n"/>
      <c r="M899" s="153" t="n"/>
      <c r="N899" s="153" t="n"/>
      <c r="O899" s="153" t="n"/>
      <c r="P899" s="153" t="n"/>
      <c r="Q899" s="153" t="n"/>
      <c r="R899" s="153" t="n"/>
      <c r="S899" s="153" t="n"/>
      <c r="T899" s="153" t="n"/>
      <c r="U899" s="153" t="n"/>
      <c r="V899" s="153" t="n"/>
      <c r="W899" s="153" t="n"/>
      <c r="X899" s="153" t="n"/>
      <c r="Y899" s="153" t="n"/>
      <c r="Z899" s="153" t="n"/>
    </row>
    <row r="900" ht="15.75" customHeight="1" s="154">
      <c r="G900" s="153" t="n"/>
      <c r="H900" s="153" t="n"/>
      <c r="I900" s="153" t="n"/>
      <c r="J900" s="153" t="n"/>
      <c r="K900" s="153" t="n"/>
      <c r="L900" s="153" t="n"/>
      <c r="M900" s="153" t="n"/>
      <c r="N900" s="153" t="n"/>
      <c r="O900" s="153" t="n"/>
      <c r="P900" s="153" t="n"/>
      <c r="Q900" s="153" t="n"/>
      <c r="R900" s="153" t="n"/>
      <c r="S900" s="153" t="n"/>
      <c r="T900" s="153" t="n"/>
      <c r="U900" s="153" t="n"/>
      <c r="V900" s="153" t="n"/>
      <c r="W900" s="153" t="n"/>
      <c r="X900" s="153" t="n"/>
      <c r="Y900" s="153" t="n"/>
      <c r="Z900" s="153" t="n"/>
    </row>
    <row r="901" ht="15.75" customHeight="1" s="154">
      <c r="G901" s="153" t="n"/>
      <c r="H901" s="153" t="n"/>
      <c r="I901" s="153" t="n"/>
      <c r="J901" s="153" t="n"/>
      <c r="K901" s="153" t="n"/>
      <c r="L901" s="153" t="n"/>
      <c r="M901" s="153" t="n"/>
      <c r="N901" s="153" t="n"/>
      <c r="O901" s="153" t="n"/>
      <c r="P901" s="153" t="n"/>
      <c r="Q901" s="153" t="n"/>
      <c r="R901" s="153" t="n"/>
      <c r="S901" s="153" t="n"/>
      <c r="T901" s="153" t="n"/>
      <c r="U901" s="153" t="n"/>
      <c r="V901" s="153" t="n"/>
      <c r="W901" s="153" t="n"/>
      <c r="X901" s="153" t="n"/>
      <c r="Y901" s="153" t="n"/>
      <c r="Z901" s="153" t="n"/>
    </row>
    <row r="902" ht="15.75" customHeight="1" s="154">
      <c r="G902" s="153" t="n"/>
      <c r="H902" s="153" t="n"/>
      <c r="I902" s="153" t="n"/>
      <c r="J902" s="153" t="n"/>
      <c r="K902" s="153" t="n"/>
      <c r="L902" s="153" t="n"/>
      <c r="M902" s="153" t="n"/>
      <c r="N902" s="153" t="n"/>
      <c r="O902" s="153" t="n"/>
      <c r="P902" s="153" t="n"/>
      <c r="Q902" s="153" t="n"/>
      <c r="R902" s="153" t="n"/>
      <c r="S902" s="153" t="n"/>
      <c r="T902" s="153" t="n"/>
      <c r="U902" s="153" t="n"/>
      <c r="V902" s="153" t="n"/>
      <c r="W902" s="153" t="n"/>
      <c r="X902" s="153" t="n"/>
      <c r="Y902" s="153" t="n"/>
      <c r="Z902" s="153" t="n"/>
    </row>
    <row r="903" ht="15.75" customHeight="1" s="154">
      <c r="G903" s="153" t="n"/>
      <c r="H903" s="153" t="n"/>
      <c r="I903" s="153" t="n"/>
      <c r="J903" s="153" t="n"/>
      <c r="K903" s="153" t="n"/>
      <c r="L903" s="153" t="n"/>
      <c r="M903" s="153" t="n"/>
      <c r="N903" s="153" t="n"/>
      <c r="O903" s="153" t="n"/>
      <c r="P903" s="153" t="n"/>
      <c r="Q903" s="153" t="n"/>
      <c r="R903" s="153" t="n"/>
      <c r="S903" s="153" t="n"/>
      <c r="T903" s="153" t="n"/>
      <c r="U903" s="153" t="n"/>
      <c r="V903" s="153" t="n"/>
      <c r="W903" s="153" t="n"/>
      <c r="X903" s="153" t="n"/>
      <c r="Y903" s="153" t="n"/>
      <c r="Z903" s="153" t="n"/>
    </row>
    <row r="904" ht="15.75" customHeight="1" s="154">
      <c r="G904" s="153" t="n"/>
      <c r="H904" s="153" t="n"/>
      <c r="I904" s="153" t="n"/>
      <c r="J904" s="153" t="n"/>
      <c r="K904" s="153" t="n"/>
      <c r="L904" s="153" t="n"/>
      <c r="M904" s="153" t="n"/>
      <c r="N904" s="153" t="n"/>
      <c r="O904" s="153" t="n"/>
      <c r="P904" s="153" t="n"/>
      <c r="Q904" s="153" t="n"/>
      <c r="R904" s="153" t="n"/>
      <c r="S904" s="153" t="n"/>
      <c r="T904" s="153" t="n"/>
      <c r="U904" s="153" t="n"/>
      <c r="V904" s="153" t="n"/>
      <c r="W904" s="153" t="n"/>
      <c r="X904" s="153" t="n"/>
      <c r="Y904" s="153" t="n"/>
      <c r="Z904" s="153" t="n"/>
    </row>
    <row r="905" ht="15.75" customHeight="1" s="154">
      <c r="G905" s="153" t="n"/>
      <c r="H905" s="153" t="n"/>
      <c r="I905" s="153" t="n"/>
      <c r="J905" s="153" t="n"/>
      <c r="K905" s="153" t="n"/>
      <c r="L905" s="153" t="n"/>
      <c r="M905" s="153" t="n"/>
      <c r="N905" s="153" t="n"/>
      <c r="O905" s="153" t="n"/>
      <c r="P905" s="153" t="n"/>
      <c r="Q905" s="153" t="n"/>
      <c r="R905" s="153" t="n"/>
      <c r="S905" s="153" t="n"/>
      <c r="T905" s="153" t="n"/>
      <c r="U905" s="153" t="n"/>
      <c r="V905" s="153" t="n"/>
      <c r="W905" s="153" t="n"/>
      <c r="X905" s="153" t="n"/>
      <c r="Y905" s="153" t="n"/>
      <c r="Z905" s="153" t="n"/>
    </row>
    <row r="906" ht="15.75" customHeight="1" s="154">
      <c r="G906" s="153" t="n"/>
      <c r="H906" s="153" t="n"/>
      <c r="I906" s="153" t="n"/>
      <c r="J906" s="153" t="n"/>
      <c r="K906" s="153" t="n"/>
      <c r="L906" s="153" t="n"/>
      <c r="M906" s="153" t="n"/>
      <c r="N906" s="153" t="n"/>
      <c r="O906" s="153" t="n"/>
      <c r="P906" s="153" t="n"/>
      <c r="Q906" s="153" t="n"/>
      <c r="R906" s="153" t="n"/>
      <c r="S906" s="153" t="n"/>
      <c r="T906" s="153" t="n"/>
      <c r="U906" s="153" t="n"/>
      <c r="V906" s="153" t="n"/>
      <c r="W906" s="153" t="n"/>
      <c r="X906" s="153" t="n"/>
      <c r="Y906" s="153" t="n"/>
      <c r="Z906" s="153" t="n"/>
    </row>
    <row r="907" ht="15.75" customHeight="1" s="154">
      <c r="G907" s="153" t="n"/>
      <c r="H907" s="153" t="n"/>
      <c r="I907" s="153" t="n"/>
      <c r="J907" s="153" t="n"/>
      <c r="K907" s="153" t="n"/>
      <c r="L907" s="153" t="n"/>
      <c r="M907" s="153" t="n"/>
      <c r="N907" s="153" t="n"/>
      <c r="O907" s="153" t="n"/>
      <c r="P907" s="153" t="n"/>
      <c r="Q907" s="153" t="n"/>
      <c r="R907" s="153" t="n"/>
      <c r="S907" s="153" t="n"/>
      <c r="T907" s="153" t="n"/>
      <c r="U907" s="153" t="n"/>
      <c r="V907" s="153" t="n"/>
      <c r="W907" s="153" t="n"/>
      <c r="X907" s="153" t="n"/>
      <c r="Y907" s="153" t="n"/>
      <c r="Z907" s="153" t="n"/>
    </row>
    <row r="908" ht="15.75" customHeight="1" s="154">
      <c r="G908" s="153" t="n"/>
      <c r="H908" s="153" t="n"/>
      <c r="I908" s="153" t="n"/>
      <c r="J908" s="153" t="n"/>
      <c r="K908" s="153" t="n"/>
      <c r="L908" s="153" t="n"/>
      <c r="M908" s="153" t="n"/>
      <c r="N908" s="153" t="n"/>
      <c r="O908" s="153" t="n"/>
      <c r="P908" s="153" t="n"/>
      <c r="Q908" s="153" t="n"/>
      <c r="R908" s="153" t="n"/>
      <c r="S908" s="153" t="n"/>
      <c r="T908" s="153" t="n"/>
      <c r="U908" s="153" t="n"/>
      <c r="V908" s="153" t="n"/>
      <c r="W908" s="153" t="n"/>
      <c r="X908" s="153" t="n"/>
      <c r="Y908" s="153" t="n"/>
      <c r="Z908" s="153" t="n"/>
    </row>
    <row r="909" ht="15.75" customHeight="1" s="154">
      <c r="G909" s="153" t="n"/>
      <c r="H909" s="153" t="n"/>
      <c r="I909" s="153" t="n"/>
      <c r="J909" s="153" t="n"/>
      <c r="K909" s="153" t="n"/>
      <c r="L909" s="153" t="n"/>
      <c r="M909" s="153" t="n"/>
      <c r="N909" s="153" t="n"/>
      <c r="O909" s="153" t="n"/>
      <c r="P909" s="153" t="n"/>
      <c r="Q909" s="153" t="n"/>
      <c r="R909" s="153" t="n"/>
      <c r="S909" s="153" t="n"/>
      <c r="T909" s="153" t="n"/>
      <c r="U909" s="153" t="n"/>
      <c r="V909" s="153" t="n"/>
      <c r="W909" s="153" t="n"/>
      <c r="X909" s="153" t="n"/>
      <c r="Y909" s="153" t="n"/>
      <c r="Z909" s="153" t="n"/>
    </row>
    <row r="910" ht="15.75" customHeight="1" s="154">
      <c r="G910" s="153" t="n"/>
      <c r="H910" s="153" t="n"/>
      <c r="I910" s="153" t="n"/>
      <c r="J910" s="153" t="n"/>
      <c r="K910" s="153" t="n"/>
      <c r="L910" s="153" t="n"/>
      <c r="M910" s="153" t="n"/>
      <c r="N910" s="153" t="n"/>
      <c r="O910" s="153" t="n"/>
      <c r="P910" s="153" t="n"/>
      <c r="Q910" s="153" t="n"/>
      <c r="R910" s="153" t="n"/>
      <c r="S910" s="153" t="n"/>
      <c r="T910" s="153" t="n"/>
      <c r="U910" s="153" t="n"/>
      <c r="V910" s="153" t="n"/>
      <c r="W910" s="153" t="n"/>
      <c r="X910" s="153" t="n"/>
      <c r="Y910" s="153" t="n"/>
      <c r="Z910" s="153" t="n"/>
    </row>
    <row r="911" ht="15.75" customHeight="1" s="154">
      <c r="G911" s="153" t="n"/>
      <c r="H911" s="153" t="n"/>
      <c r="I911" s="153" t="n"/>
      <c r="J911" s="153" t="n"/>
      <c r="K911" s="153" t="n"/>
      <c r="L911" s="153" t="n"/>
      <c r="M911" s="153" t="n"/>
      <c r="N911" s="153" t="n"/>
      <c r="O911" s="153" t="n"/>
      <c r="P911" s="153" t="n"/>
      <c r="Q911" s="153" t="n"/>
      <c r="R911" s="153" t="n"/>
      <c r="S911" s="153" t="n"/>
      <c r="T911" s="153" t="n"/>
      <c r="U911" s="153" t="n"/>
      <c r="V911" s="153" t="n"/>
      <c r="W911" s="153" t="n"/>
      <c r="X911" s="153" t="n"/>
      <c r="Y911" s="153" t="n"/>
      <c r="Z911" s="153" t="n"/>
    </row>
    <row r="912" ht="15.75" customHeight="1" s="154">
      <c r="G912" s="153" t="n"/>
      <c r="H912" s="153" t="n"/>
      <c r="I912" s="153" t="n"/>
      <c r="J912" s="153" t="n"/>
      <c r="K912" s="153" t="n"/>
      <c r="L912" s="153" t="n"/>
      <c r="M912" s="153" t="n"/>
      <c r="N912" s="153" t="n"/>
      <c r="O912" s="153" t="n"/>
      <c r="P912" s="153" t="n"/>
      <c r="Q912" s="153" t="n"/>
      <c r="R912" s="153" t="n"/>
      <c r="S912" s="153" t="n"/>
      <c r="T912" s="153" t="n"/>
      <c r="U912" s="153" t="n"/>
      <c r="V912" s="153" t="n"/>
      <c r="W912" s="153" t="n"/>
      <c r="X912" s="153" t="n"/>
      <c r="Y912" s="153" t="n"/>
      <c r="Z912" s="153" t="n"/>
    </row>
    <row r="913" ht="15.75" customHeight="1" s="154">
      <c r="G913" s="153" t="n"/>
      <c r="H913" s="153" t="n"/>
      <c r="I913" s="153" t="n"/>
      <c r="J913" s="153" t="n"/>
      <c r="K913" s="153" t="n"/>
      <c r="L913" s="153" t="n"/>
      <c r="M913" s="153" t="n"/>
      <c r="N913" s="153" t="n"/>
      <c r="O913" s="153" t="n"/>
      <c r="P913" s="153" t="n"/>
      <c r="Q913" s="153" t="n"/>
      <c r="R913" s="153" t="n"/>
      <c r="S913" s="153" t="n"/>
      <c r="T913" s="153" t="n"/>
      <c r="U913" s="153" t="n"/>
      <c r="V913" s="153" t="n"/>
      <c r="W913" s="153" t="n"/>
      <c r="X913" s="153" t="n"/>
      <c r="Y913" s="153" t="n"/>
      <c r="Z913" s="153" t="n"/>
    </row>
    <row r="914" ht="15.75" customHeight="1" s="154">
      <c r="G914" s="153" t="n"/>
      <c r="H914" s="153" t="n"/>
      <c r="I914" s="153" t="n"/>
      <c r="J914" s="153" t="n"/>
      <c r="K914" s="153" t="n"/>
      <c r="L914" s="153" t="n"/>
      <c r="M914" s="153" t="n"/>
      <c r="N914" s="153" t="n"/>
      <c r="O914" s="153" t="n"/>
      <c r="P914" s="153" t="n"/>
      <c r="Q914" s="153" t="n"/>
      <c r="R914" s="153" t="n"/>
      <c r="S914" s="153" t="n"/>
      <c r="T914" s="153" t="n"/>
      <c r="U914" s="153" t="n"/>
      <c r="V914" s="153" t="n"/>
      <c r="W914" s="153" t="n"/>
      <c r="X914" s="153" t="n"/>
      <c r="Y914" s="153" t="n"/>
      <c r="Z914" s="153" t="n"/>
    </row>
    <row r="915" ht="15.75" customHeight="1" s="154">
      <c r="G915" s="153" t="n"/>
      <c r="H915" s="153" t="n"/>
      <c r="I915" s="153" t="n"/>
      <c r="J915" s="153" t="n"/>
      <c r="K915" s="153" t="n"/>
      <c r="L915" s="153" t="n"/>
      <c r="M915" s="153" t="n"/>
      <c r="N915" s="153" t="n"/>
      <c r="O915" s="153" t="n"/>
      <c r="P915" s="153" t="n"/>
      <c r="Q915" s="153" t="n"/>
      <c r="R915" s="153" t="n"/>
      <c r="S915" s="153" t="n"/>
      <c r="T915" s="153" t="n"/>
      <c r="U915" s="153" t="n"/>
      <c r="V915" s="153" t="n"/>
      <c r="W915" s="153" t="n"/>
      <c r="X915" s="153" t="n"/>
      <c r="Y915" s="153" t="n"/>
      <c r="Z915" s="153" t="n"/>
    </row>
    <row r="916" ht="15.75" customHeight="1" s="154">
      <c r="G916" s="153" t="n"/>
      <c r="H916" s="153" t="n"/>
      <c r="I916" s="153" t="n"/>
      <c r="J916" s="153" t="n"/>
      <c r="K916" s="153" t="n"/>
      <c r="L916" s="153" t="n"/>
      <c r="M916" s="153" t="n"/>
      <c r="N916" s="153" t="n"/>
      <c r="O916" s="153" t="n"/>
      <c r="P916" s="153" t="n"/>
      <c r="Q916" s="153" t="n"/>
      <c r="R916" s="153" t="n"/>
      <c r="S916" s="153" t="n"/>
      <c r="T916" s="153" t="n"/>
      <c r="U916" s="153" t="n"/>
      <c r="V916" s="153" t="n"/>
      <c r="W916" s="153" t="n"/>
      <c r="X916" s="153" t="n"/>
      <c r="Y916" s="153" t="n"/>
      <c r="Z916" s="153" t="n"/>
    </row>
    <row r="917" ht="15.75" customHeight="1" s="154">
      <c r="G917" s="153" t="n"/>
      <c r="H917" s="153" t="n"/>
      <c r="I917" s="153" t="n"/>
      <c r="J917" s="153" t="n"/>
      <c r="K917" s="153" t="n"/>
      <c r="L917" s="153" t="n"/>
      <c r="M917" s="153" t="n"/>
      <c r="N917" s="153" t="n"/>
      <c r="O917" s="153" t="n"/>
      <c r="P917" s="153" t="n"/>
      <c r="Q917" s="153" t="n"/>
      <c r="R917" s="153" t="n"/>
      <c r="S917" s="153" t="n"/>
      <c r="T917" s="153" t="n"/>
      <c r="U917" s="153" t="n"/>
      <c r="V917" s="153" t="n"/>
      <c r="W917" s="153" t="n"/>
      <c r="X917" s="153" t="n"/>
      <c r="Y917" s="153" t="n"/>
      <c r="Z917" s="153" t="n"/>
    </row>
    <row r="918" ht="15.75" customHeight="1" s="154">
      <c r="G918" s="153" t="n"/>
      <c r="H918" s="153" t="n"/>
      <c r="I918" s="153" t="n"/>
      <c r="J918" s="153" t="n"/>
      <c r="K918" s="153" t="n"/>
      <c r="L918" s="153" t="n"/>
      <c r="M918" s="153" t="n"/>
      <c r="N918" s="153" t="n"/>
      <c r="O918" s="153" t="n"/>
      <c r="P918" s="153" t="n"/>
      <c r="Q918" s="153" t="n"/>
      <c r="R918" s="153" t="n"/>
      <c r="S918" s="153" t="n"/>
      <c r="T918" s="153" t="n"/>
      <c r="U918" s="153" t="n"/>
      <c r="V918" s="153" t="n"/>
      <c r="W918" s="153" t="n"/>
      <c r="X918" s="153" t="n"/>
      <c r="Y918" s="153" t="n"/>
      <c r="Z918" s="153" t="n"/>
    </row>
    <row r="919" ht="15.75" customHeight="1" s="154">
      <c r="G919" s="153" t="n"/>
      <c r="H919" s="153" t="n"/>
      <c r="I919" s="153" t="n"/>
      <c r="J919" s="153" t="n"/>
      <c r="K919" s="153" t="n"/>
      <c r="L919" s="153" t="n"/>
      <c r="M919" s="153" t="n"/>
      <c r="N919" s="153" t="n"/>
      <c r="O919" s="153" t="n"/>
      <c r="P919" s="153" t="n"/>
      <c r="Q919" s="153" t="n"/>
      <c r="R919" s="153" t="n"/>
      <c r="S919" s="153" t="n"/>
      <c r="T919" s="153" t="n"/>
      <c r="U919" s="153" t="n"/>
      <c r="V919" s="153" t="n"/>
      <c r="W919" s="153" t="n"/>
      <c r="X919" s="153" t="n"/>
      <c r="Y919" s="153" t="n"/>
      <c r="Z919" s="153" t="n"/>
    </row>
    <row r="920" ht="15.75" customHeight="1" s="154">
      <c r="G920" s="153" t="n"/>
      <c r="H920" s="153" t="n"/>
      <c r="I920" s="153" t="n"/>
      <c r="J920" s="153" t="n"/>
      <c r="K920" s="153" t="n"/>
      <c r="L920" s="153" t="n"/>
      <c r="M920" s="153" t="n"/>
      <c r="N920" s="153" t="n"/>
      <c r="O920" s="153" t="n"/>
      <c r="P920" s="153" t="n"/>
      <c r="Q920" s="153" t="n"/>
      <c r="R920" s="153" t="n"/>
      <c r="S920" s="153" t="n"/>
      <c r="T920" s="153" t="n"/>
      <c r="U920" s="153" t="n"/>
      <c r="V920" s="153" t="n"/>
      <c r="W920" s="153" t="n"/>
      <c r="X920" s="153" t="n"/>
      <c r="Y920" s="153" t="n"/>
      <c r="Z920" s="153" t="n"/>
    </row>
    <row r="921" ht="15.75" customHeight="1" s="154">
      <c r="G921" s="153" t="n"/>
      <c r="H921" s="153" t="n"/>
      <c r="I921" s="153" t="n"/>
      <c r="J921" s="153" t="n"/>
      <c r="K921" s="153" t="n"/>
      <c r="L921" s="153" t="n"/>
      <c r="M921" s="153" t="n"/>
      <c r="N921" s="153" t="n"/>
      <c r="O921" s="153" t="n"/>
      <c r="P921" s="153" t="n"/>
      <c r="Q921" s="153" t="n"/>
      <c r="R921" s="153" t="n"/>
      <c r="S921" s="153" t="n"/>
      <c r="T921" s="153" t="n"/>
      <c r="U921" s="153" t="n"/>
      <c r="V921" s="153" t="n"/>
      <c r="W921" s="153" t="n"/>
      <c r="X921" s="153" t="n"/>
      <c r="Y921" s="153" t="n"/>
      <c r="Z921" s="153" t="n"/>
    </row>
    <row r="922" ht="15.75" customHeight="1" s="154">
      <c r="G922" s="153" t="n"/>
      <c r="H922" s="153" t="n"/>
      <c r="I922" s="153" t="n"/>
      <c r="J922" s="153" t="n"/>
      <c r="K922" s="153" t="n"/>
      <c r="L922" s="153" t="n"/>
      <c r="M922" s="153" t="n"/>
      <c r="N922" s="153" t="n"/>
      <c r="O922" s="153" t="n"/>
      <c r="P922" s="153" t="n"/>
      <c r="Q922" s="153" t="n"/>
      <c r="R922" s="153" t="n"/>
      <c r="S922" s="153" t="n"/>
      <c r="T922" s="153" t="n"/>
      <c r="U922" s="153" t="n"/>
      <c r="V922" s="153" t="n"/>
      <c r="W922" s="153" t="n"/>
      <c r="X922" s="153" t="n"/>
      <c r="Y922" s="153" t="n"/>
      <c r="Z922" s="153" t="n"/>
    </row>
    <row r="923" ht="15.75" customHeight="1" s="154">
      <c r="G923" s="153" t="n"/>
      <c r="H923" s="153" t="n"/>
      <c r="I923" s="153" t="n"/>
      <c r="J923" s="153" t="n"/>
      <c r="K923" s="153" t="n"/>
      <c r="L923" s="153" t="n"/>
      <c r="M923" s="153" t="n"/>
      <c r="N923" s="153" t="n"/>
      <c r="O923" s="153" t="n"/>
      <c r="P923" s="153" t="n"/>
      <c r="Q923" s="153" t="n"/>
      <c r="R923" s="153" t="n"/>
      <c r="S923" s="153" t="n"/>
      <c r="T923" s="153" t="n"/>
      <c r="U923" s="153" t="n"/>
      <c r="V923" s="153" t="n"/>
      <c r="W923" s="153" t="n"/>
      <c r="X923" s="153" t="n"/>
      <c r="Y923" s="153" t="n"/>
      <c r="Z923" s="153" t="n"/>
    </row>
    <row r="924" ht="15.75" customHeight="1" s="154">
      <c r="G924" s="153" t="n"/>
      <c r="H924" s="153" t="n"/>
      <c r="I924" s="153" t="n"/>
      <c r="J924" s="153" t="n"/>
      <c r="K924" s="153" t="n"/>
      <c r="L924" s="153" t="n"/>
      <c r="M924" s="153" t="n"/>
      <c r="N924" s="153" t="n"/>
      <c r="O924" s="153" t="n"/>
      <c r="P924" s="153" t="n"/>
      <c r="Q924" s="153" t="n"/>
      <c r="R924" s="153" t="n"/>
      <c r="S924" s="153" t="n"/>
      <c r="T924" s="153" t="n"/>
      <c r="U924" s="153" t="n"/>
      <c r="V924" s="153" t="n"/>
      <c r="W924" s="153" t="n"/>
      <c r="X924" s="153" t="n"/>
      <c r="Y924" s="153" t="n"/>
      <c r="Z924" s="153" t="n"/>
    </row>
    <row r="925" ht="15.75" customHeight="1" s="154">
      <c r="G925" s="153" t="n"/>
      <c r="H925" s="153" t="n"/>
      <c r="I925" s="153" t="n"/>
      <c r="J925" s="153" t="n"/>
      <c r="K925" s="153" t="n"/>
      <c r="L925" s="153" t="n"/>
      <c r="M925" s="153" t="n"/>
      <c r="N925" s="153" t="n"/>
      <c r="O925" s="153" t="n"/>
      <c r="P925" s="153" t="n"/>
      <c r="Q925" s="153" t="n"/>
      <c r="R925" s="153" t="n"/>
      <c r="S925" s="153" t="n"/>
      <c r="T925" s="153" t="n"/>
      <c r="U925" s="153" t="n"/>
      <c r="V925" s="153" t="n"/>
      <c r="W925" s="153" t="n"/>
      <c r="X925" s="153" t="n"/>
      <c r="Y925" s="153" t="n"/>
      <c r="Z925" s="153" t="n"/>
    </row>
    <row r="926" ht="15.75" customHeight="1" s="154">
      <c r="G926" s="153" t="n"/>
      <c r="H926" s="153" t="n"/>
      <c r="I926" s="153" t="n"/>
      <c r="J926" s="153" t="n"/>
      <c r="K926" s="153" t="n"/>
      <c r="L926" s="153" t="n"/>
      <c r="M926" s="153" t="n"/>
      <c r="N926" s="153" t="n"/>
      <c r="O926" s="153" t="n"/>
      <c r="P926" s="153" t="n"/>
      <c r="Q926" s="153" t="n"/>
      <c r="R926" s="153" t="n"/>
      <c r="S926" s="153" t="n"/>
      <c r="T926" s="153" t="n"/>
      <c r="U926" s="153" t="n"/>
      <c r="V926" s="153" t="n"/>
      <c r="W926" s="153" t="n"/>
      <c r="X926" s="153" t="n"/>
      <c r="Y926" s="153" t="n"/>
      <c r="Z926" s="153" t="n"/>
    </row>
    <row r="927" ht="15.75" customHeight="1" s="154">
      <c r="G927" s="153" t="n"/>
      <c r="H927" s="153" t="n"/>
      <c r="I927" s="153" t="n"/>
      <c r="J927" s="153" t="n"/>
      <c r="K927" s="153" t="n"/>
      <c r="L927" s="153" t="n"/>
      <c r="M927" s="153" t="n"/>
      <c r="N927" s="153" t="n"/>
      <c r="O927" s="153" t="n"/>
      <c r="P927" s="153" t="n"/>
      <c r="Q927" s="153" t="n"/>
      <c r="R927" s="153" t="n"/>
      <c r="S927" s="153" t="n"/>
      <c r="T927" s="153" t="n"/>
      <c r="U927" s="153" t="n"/>
      <c r="V927" s="153" t="n"/>
      <c r="W927" s="153" t="n"/>
      <c r="X927" s="153" t="n"/>
      <c r="Y927" s="153" t="n"/>
      <c r="Z927" s="153" t="n"/>
    </row>
    <row r="928" ht="15.75" customHeight="1" s="154">
      <c r="G928" s="153" t="n"/>
      <c r="H928" s="153" t="n"/>
      <c r="I928" s="153" t="n"/>
      <c r="J928" s="153" t="n"/>
      <c r="K928" s="153" t="n"/>
      <c r="L928" s="153" t="n"/>
      <c r="M928" s="153" t="n"/>
      <c r="N928" s="153" t="n"/>
      <c r="O928" s="153" t="n"/>
      <c r="P928" s="153" t="n"/>
      <c r="Q928" s="153" t="n"/>
      <c r="R928" s="153" t="n"/>
      <c r="S928" s="153" t="n"/>
      <c r="T928" s="153" t="n"/>
      <c r="U928" s="153" t="n"/>
      <c r="V928" s="153" t="n"/>
      <c r="W928" s="153" t="n"/>
      <c r="X928" s="153" t="n"/>
      <c r="Y928" s="153" t="n"/>
      <c r="Z928" s="153" t="n"/>
    </row>
    <row r="929" ht="15.75" customHeight="1" s="154">
      <c r="G929" s="153" t="n"/>
      <c r="H929" s="153" t="n"/>
      <c r="I929" s="153" t="n"/>
      <c r="J929" s="153" t="n"/>
      <c r="K929" s="153" t="n"/>
      <c r="L929" s="153" t="n"/>
      <c r="M929" s="153" t="n"/>
      <c r="N929" s="153" t="n"/>
      <c r="O929" s="153" t="n"/>
      <c r="P929" s="153" t="n"/>
      <c r="Q929" s="153" t="n"/>
      <c r="R929" s="153" t="n"/>
      <c r="S929" s="153" t="n"/>
      <c r="T929" s="153" t="n"/>
      <c r="U929" s="153" t="n"/>
      <c r="V929" s="153" t="n"/>
      <c r="W929" s="153" t="n"/>
      <c r="X929" s="153" t="n"/>
      <c r="Y929" s="153" t="n"/>
      <c r="Z929" s="153" t="n"/>
    </row>
    <row r="930" ht="15.75" customHeight="1" s="154">
      <c r="G930" s="153" t="n"/>
      <c r="H930" s="153" t="n"/>
      <c r="I930" s="153" t="n"/>
      <c r="J930" s="153" t="n"/>
      <c r="K930" s="153" t="n"/>
      <c r="L930" s="153" t="n"/>
      <c r="M930" s="153" t="n"/>
      <c r="N930" s="153" t="n"/>
      <c r="O930" s="153" t="n"/>
      <c r="P930" s="153" t="n"/>
      <c r="Q930" s="153" t="n"/>
      <c r="R930" s="153" t="n"/>
      <c r="S930" s="153" t="n"/>
      <c r="T930" s="153" t="n"/>
      <c r="U930" s="153" t="n"/>
      <c r="V930" s="153" t="n"/>
      <c r="W930" s="153" t="n"/>
      <c r="X930" s="153" t="n"/>
      <c r="Y930" s="153" t="n"/>
      <c r="Z930" s="153" t="n"/>
    </row>
    <row r="931" ht="15.75" customHeight="1" s="154">
      <c r="G931" s="153" t="n"/>
      <c r="H931" s="153" t="n"/>
      <c r="I931" s="153" t="n"/>
      <c r="J931" s="153" t="n"/>
      <c r="K931" s="153" t="n"/>
      <c r="L931" s="153" t="n"/>
      <c r="M931" s="153" t="n"/>
      <c r="N931" s="153" t="n"/>
      <c r="O931" s="153" t="n"/>
      <c r="P931" s="153" t="n"/>
      <c r="Q931" s="153" t="n"/>
      <c r="R931" s="153" t="n"/>
      <c r="S931" s="153" t="n"/>
      <c r="T931" s="153" t="n"/>
      <c r="U931" s="153" t="n"/>
      <c r="V931" s="153" t="n"/>
      <c r="W931" s="153" t="n"/>
      <c r="X931" s="153" t="n"/>
      <c r="Y931" s="153" t="n"/>
      <c r="Z931" s="153" t="n"/>
    </row>
    <row r="932" ht="15.75" customHeight="1" s="154">
      <c r="G932" s="153" t="n"/>
      <c r="H932" s="153" t="n"/>
      <c r="I932" s="153" t="n"/>
      <c r="J932" s="153" t="n"/>
      <c r="K932" s="153" t="n"/>
      <c r="L932" s="153" t="n"/>
      <c r="M932" s="153" t="n"/>
      <c r="N932" s="153" t="n"/>
      <c r="O932" s="153" t="n"/>
      <c r="P932" s="153" t="n"/>
      <c r="Q932" s="153" t="n"/>
      <c r="R932" s="153" t="n"/>
      <c r="S932" s="153" t="n"/>
      <c r="T932" s="153" t="n"/>
      <c r="U932" s="153" t="n"/>
      <c r="V932" s="153" t="n"/>
      <c r="W932" s="153" t="n"/>
      <c r="X932" s="153" t="n"/>
      <c r="Y932" s="153" t="n"/>
      <c r="Z932" s="153" t="n"/>
    </row>
    <row r="933" ht="15.75" customHeight="1" s="154">
      <c r="G933" s="153" t="n"/>
      <c r="H933" s="153" t="n"/>
      <c r="I933" s="153" t="n"/>
      <c r="J933" s="153" t="n"/>
      <c r="K933" s="153" t="n"/>
      <c r="L933" s="153" t="n"/>
      <c r="M933" s="153" t="n"/>
      <c r="N933" s="153" t="n"/>
      <c r="O933" s="153" t="n"/>
      <c r="P933" s="153" t="n"/>
      <c r="Q933" s="153" t="n"/>
      <c r="R933" s="153" t="n"/>
      <c r="S933" s="153" t="n"/>
      <c r="T933" s="153" t="n"/>
      <c r="U933" s="153" t="n"/>
      <c r="V933" s="153" t="n"/>
      <c r="W933" s="153" t="n"/>
      <c r="X933" s="153" t="n"/>
      <c r="Y933" s="153" t="n"/>
      <c r="Z933" s="153" t="n"/>
    </row>
    <row r="934" ht="15.75" customHeight="1" s="154">
      <c r="G934" s="153" t="n"/>
      <c r="H934" s="153" t="n"/>
      <c r="I934" s="153" t="n"/>
      <c r="J934" s="153" t="n"/>
      <c r="K934" s="153" t="n"/>
      <c r="L934" s="153" t="n"/>
      <c r="M934" s="153" t="n"/>
      <c r="N934" s="153" t="n"/>
      <c r="O934" s="153" t="n"/>
      <c r="P934" s="153" t="n"/>
      <c r="Q934" s="153" t="n"/>
      <c r="R934" s="153" t="n"/>
      <c r="S934" s="153" t="n"/>
      <c r="T934" s="153" t="n"/>
      <c r="U934" s="153" t="n"/>
      <c r="V934" s="153" t="n"/>
      <c r="W934" s="153" t="n"/>
      <c r="X934" s="153" t="n"/>
      <c r="Y934" s="153" t="n"/>
      <c r="Z934" s="153" t="n"/>
    </row>
    <row r="935" ht="15.75" customHeight="1" s="154">
      <c r="G935" s="153" t="n"/>
      <c r="H935" s="153" t="n"/>
      <c r="I935" s="153" t="n"/>
      <c r="J935" s="153" t="n"/>
      <c r="K935" s="153" t="n"/>
      <c r="L935" s="153" t="n"/>
      <c r="M935" s="153" t="n"/>
      <c r="N935" s="153" t="n"/>
      <c r="O935" s="153" t="n"/>
      <c r="P935" s="153" t="n"/>
      <c r="Q935" s="153" t="n"/>
      <c r="R935" s="153" t="n"/>
      <c r="S935" s="153" t="n"/>
      <c r="T935" s="153" t="n"/>
      <c r="U935" s="153" t="n"/>
      <c r="V935" s="153" t="n"/>
      <c r="W935" s="153" t="n"/>
      <c r="X935" s="153" t="n"/>
      <c r="Y935" s="153" t="n"/>
      <c r="Z935" s="153" t="n"/>
    </row>
    <row r="936" ht="15.75" customHeight="1" s="154">
      <c r="G936" s="153" t="n"/>
      <c r="H936" s="153" t="n"/>
      <c r="I936" s="153" t="n"/>
      <c r="J936" s="153" t="n"/>
      <c r="K936" s="153" t="n"/>
      <c r="L936" s="153" t="n"/>
      <c r="M936" s="153" t="n"/>
      <c r="N936" s="153" t="n"/>
      <c r="O936" s="153" t="n"/>
      <c r="P936" s="153" t="n"/>
      <c r="Q936" s="153" t="n"/>
      <c r="R936" s="153" t="n"/>
      <c r="S936" s="153" t="n"/>
      <c r="T936" s="153" t="n"/>
      <c r="U936" s="153" t="n"/>
      <c r="V936" s="153" t="n"/>
      <c r="W936" s="153" t="n"/>
      <c r="X936" s="153" t="n"/>
      <c r="Y936" s="153" t="n"/>
      <c r="Z936" s="153" t="n"/>
    </row>
    <row r="937" ht="15.75" customHeight="1" s="154">
      <c r="G937" s="153" t="n"/>
      <c r="H937" s="153" t="n"/>
      <c r="I937" s="153" t="n"/>
      <c r="J937" s="153" t="n"/>
      <c r="K937" s="153" t="n"/>
      <c r="L937" s="153" t="n"/>
      <c r="M937" s="153" t="n"/>
      <c r="N937" s="153" t="n"/>
      <c r="O937" s="153" t="n"/>
      <c r="P937" s="153" t="n"/>
      <c r="Q937" s="153" t="n"/>
      <c r="R937" s="153" t="n"/>
      <c r="S937" s="153" t="n"/>
      <c r="T937" s="153" t="n"/>
      <c r="U937" s="153" t="n"/>
      <c r="V937" s="153" t="n"/>
      <c r="W937" s="153" t="n"/>
      <c r="X937" s="153" t="n"/>
      <c r="Y937" s="153" t="n"/>
      <c r="Z937" s="153" t="n"/>
    </row>
    <row r="938" ht="15.75" customHeight="1" s="154">
      <c r="G938" s="153" t="n"/>
      <c r="H938" s="153" t="n"/>
      <c r="I938" s="153" t="n"/>
      <c r="J938" s="153" t="n"/>
      <c r="K938" s="153" t="n"/>
      <c r="L938" s="153" t="n"/>
      <c r="M938" s="153" t="n"/>
      <c r="N938" s="153" t="n"/>
      <c r="O938" s="153" t="n"/>
      <c r="P938" s="153" t="n"/>
      <c r="Q938" s="153" t="n"/>
      <c r="R938" s="153" t="n"/>
      <c r="S938" s="153" t="n"/>
      <c r="T938" s="153" t="n"/>
      <c r="U938" s="153" t="n"/>
      <c r="V938" s="153" t="n"/>
      <c r="W938" s="153" t="n"/>
      <c r="X938" s="153" t="n"/>
      <c r="Y938" s="153" t="n"/>
      <c r="Z938" s="153" t="n"/>
    </row>
    <row r="939" ht="15.75" customHeight="1" s="154">
      <c r="G939" s="153" t="n"/>
      <c r="H939" s="153" t="n"/>
      <c r="I939" s="153" t="n"/>
      <c r="J939" s="153" t="n"/>
      <c r="K939" s="153" t="n"/>
      <c r="L939" s="153" t="n"/>
      <c r="M939" s="153" t="n"/>
      <c r="N939" s="153" t="n"/>
      <c r="O939" s="153" t="n"/>
      <c r="P939" s="153" t="n"/>
      <c r="Q939" s="153" t="n"/>
      <c r="R939" s="153" t="n"/>
      <c r="S939" s="153" t="n"/>
      <c r="T939" s="153" t="n"/>
      <c r="U939" s="153" t="n"/>
      <c r="V939" s="153" t="n"/>
      <c r="W939" s="153" t="n"/>
      <c r="X939" s="153" t="n"/>
      <c r="Y939" s="153" t="n"/>
      <c r="Z939" s="153" t="n"/>
    </row>
    <row r="940" ht="15.75" customHeight="1" s="154">
      <c r="G940" s="153" t="n"/>
      <c r="H940" s="153" t="n"/>
      <c r="I940" s="153" t="n"/>
      <c r="J940" s="153" t="n"/>
      <c r="K940" s="153" t="n"/>
      <c r="L940" s="153" t="n"/>
      <c r="M940" s="153" t="n"/>
      <c r="N940" s="153" t="n"/>
      <c r="O940" s="153" t="n"/>
      <c r="P940" s="153" t="n"/>
      <c r="Q940" s="153" t="n"/>
      <c r="R940" s="153" t="n"/>
      <c r="S940" s="153" t="n"/>
      <c r="T940" s="153" t="n"/>
      <c r="U940" s="153" t="n"/>
      <c r="V940" s="153" t="n"/>
      <c r="W940" s="153" t="n"/>
      <c r="X940" s="153" t="n"/>
      <c r="Y940" s="153" t="n"/>
      <c r="Z940" s="153" t="n"/>
    </row>
    <row r="941" ht="15.75" customHeight="1" s="154">
      <c r="G941" s="153" t="n"/>
      <c r="H941" s="153" t="n"/>
      <c r="I941" s="153" t="n"/>
      <c r="J941" s="153" t="n"/>
      <c r="K941" s="153" t="n"/>
      <c r="L941" s="153" t="n"/>
      <c r="M941" s="153" t="n"/>
      <c r="N941" s="153" t="n"/>
      <c r="O941" s="153" t="n"/>
      <c r="P941" s="153" t="n"/>
      <c r="Q941" s="153" t="n"/>
      <c r="R941" s="153" t="n"/>
      <c r="S941" s="153" t="n"/>
      <c r="T941" s="153" t="n"/>
      <c r="U941" s="153" t="n"/>
      <c r="V941" s="153" t="n"/>
      <c r="W941" s="153" t="n"/>
      <c r="X941" s="153" t="n"/>
      <c r="Y941" s="153" t="n"/>
      <c r="Z941" s="153" t="n"/>
    </row>
    <row r="942" ht="15.75" customHeight="1" s="154">
      <c r="G942" s="153" t="n"/>
      <c r="H942" s="153" t="n"/>
      <c r="I942" s="153" t="n"/>
      <c r="J942" s="153" t="n"/>
      <c r="K942" s="153" t="n"/>
      <c r="L942" s="153" t="n"/>
      <c r="M942" s="153" t="n"/>
      <c r="N942" s="153" t="n"/>
      <c r="O942" s="153" t="n"/>
      <c r="P942" s="153" t="n"/>
      <c r="Q942" s="153" t="n"/>
      <c r="R942" s="153" t="n"/>
      <c r="S942" s="153" t="n"/>
      <c r="T942" s="153" t="n"/>
      <c r="U942" s="153" t="n"/>
      <c r="V942" s="153" t="n"/>
      <c r="W942" s="153" t="n"/>
      <c r="X942" s="153" t="n"/>
      <c r="Y942" s="153" t="n"/>
      <c r="Z942" s="153" t="n"/>
    </row>
    <row r="943" ht="15.75" customHeight="1" s="154">
      <c r="G943" s="153" t="n"/>
      <c r="H943" s="153" t="n"/>
      <c r="I943" s="153" t="n"/>
      <c r="J943" s="153" t="n"/>
      <c r="K943" s="153" t="n"/>
      <c r="L943" s="153" t="n"/>
      <c r="M943" s="153" t="n"/>
      <c r="N943" s="153" t="n"/>
      <c r="O943" s="153" t="n"/>
      <c r="P943" s="153" t="n"/>
      <c r="Q943" s="153" t="n"/>
      <c r="R943" s="153" t="n"/>
      <c r="S943" s="153" t="n"/>
      <c r="T943" s="153" t="n"/>
      <c r="U943" s="153" t="n"/>
      <c r="V943" s="153" t="n"/>
      <c r="W943" s="153" t="n"/>
      <c r="X943" s="153" t="n"/>
      <c r="Y943" s="153" t="n"/>
      <c r="Z943" s="153" t="n"/>
    </row>
    <row r="944" ht="15.75" customHeight="1" s="154">
      <c r="G944" s="153" t="n"/>
      <c r="H944" s="153" t="n"/>
      <c r="I944" s="153" t="n"/>
      <c r="J944" s="153" t="n"/>
      <c r="K944" s="153" t="n"/>
      <c r="L944" s="153" t="n"/>
      <c r="M944" s="153" t="n"/>
      <c r="N944" s="153" t="n"/>
      <c r="O944" s="153" t="n"/>
      <c r="P944" s="153" t="n"/>
      <c r="Q944" s="153" t="n"/>
      <c r="R944" s="153" t="n"/>
      <c r="S944" s="153" t="n"/>
      <c r="T944" s="153" t="n"/>
      <c r="U944" s="153" t="n"/>
      <c r="V944" s="153" t="n"/>
      <c r="W944" s="153" t="n"/>
      <c r="X944" s="153" t="n"/>
      <c r="Y944" s="153" t="n"/>
      <c r="Z944" s="153" t="n"/>
    </row>
    <row r="945" ht="15.75" customHeight="1" s="154">
      <c r="G945" s="153" t="n"/>
      <c r="H945" s="153" t="n"/>
      <c r="I945" s="153" t="n"/>
      <c r="J945" s="153" t="n"/>
      <c r="K945" s="153" t="n"/>
      <c r="L945" s="153" t="n"/>
      <c r="M945" s="153" t="n"/>
      <c r="N945" s="153" t="n"/>
      <c r="O945" s="153" t="n"/>
      <c r="P945" s="153" t="n"/>
      <c r="Q945" s="153" t="n"/>
      <c r="R945" s="153" t="n"/>
      <c r="S945" s="153" t="n"/>
      <c r="T945" s="153" t="n"/>
      <c r="U945" s="153" t="n"/>
      <c r="V945" s="153" t="n"/>
      <c r="W945" s="153" t="n"/>
      <c r="X945" s="153" t="n"/>
      <c r="Y945" s="153" t="n"/>
      <c r="Z945" s="153" t="n"/>
    </row>
    <row r="946" ht="15.75" customHeight="1" s="154">
      <c r="G946" s="153" t="n"/>
      <c r="H946" s="153" t="n"/>
      <c r="I946" s="153" t="n"/>
      <c r="J946" s="153" t="n"/>
      <c r="K946" s="153" t="n"/>
      <c r="L946" s="153" t="n"/>
      <c r="M946" s="153" t="n"/>
      <c r="N946" s="153" t="n"/>
      <c r="O946" s="153" t="n"/>
      <c r="P946" s="153" t="n"/>
      <c r="Q946" s="153" t="n"/>
      <c r="R946" s="153" t="n"/>
      <c r="S946" s="153" t="n"/>
      <c r="T946" s="153" t="n"/>
      <c r="U946" s="153" t="n"/>
      <c r="V946" s="153" t="n"/>
      <c r="W946" s="153" t="n"/>
      <c r="X946" s="153" t="n"/>
      <c r="Y946" s="153" t="n"/>
      <c r="Z946" s="153" t="n"/>
    </row>
    <row r="947" ht="15.75" customHeight="1" s="154">
      <c r="G947" s="153" t="n"/>
      <c r="H947" s="153" t="n"/>
      <c r="I947" s="153" t="n"/>
      <c r="J947" s="153" t="n"/>
      <c r="K947" s="153" t="n"/>
      <c r="L947" s="153" t="n"/>
      <c r="M947" s="153" t="n"/>
      <c r="N947" s="153" t="n"/>
      <c r="O947" s="153" t="n"/>
      <c r="P947" s="153" t="n"/>
      <c r="Q947" s="153" t="n"/>
      <c r="R947" s="153" t="n"/>
      <c r="S947" s="153" t="n"/>
      <c r="T947" s="153" t="n"/>
      <c r="U947" s="153" t="n"/>
      <c r="V947" s="153" t="n"/>
      <c r="W947" s="153" t="n"/>
      <c r="X947" s="153" t="n"/>
      <c r="Y947" s="153" t="n"/>
      <c r="Z947" s="153" t="n"/>
    </row>
    <row r="948" ht="15.75" customHeight="1" s="154">
      <c r="G948" s="153" t="n"/>
      <c r="H948" s="153" t="n"/>
      <c r="I948" s="153" t="n"/>
      <c r="J948" s="153" t="n"/>
      <c r="K948" s="153" t="n"/>
      <c r="L948" s="153" t="n"/>
      <c r="M948" s="153" t="n"/>
      <c r="N948" s="153" t="n"/>
      <c r="O948" s="153" t="n"/>
      <c r="P948" s="153" t="n"/>
      <c r="Q948" s="153" t="n"/>
      <c r="R948" s="153" t="n"/>
      <c r="S948" s="153" t="n"/>
      <c r="T948" s="153" t="n"/>
      <c r="U948" s="153" t="n"/>
      <c r="V948" s="153" t="n"/>
      <c r="W948" s="153" t="n"/>
      <c r="X948" s="153" t="n"/>
      <c r="Y948" s="153" t="n"/>
      <c r="Z948" s="153" t="n"/>
    </row>
    <row r="949" ht="15.75" customHeight="1" s="154">
      <c r="G949" s="153" t="n"/>
      <c r="H949" s="153" t="n"/>
      <c r="I949" s="153" t="n"/>
      <c r="J949" s="153" t="n"/>
      <c r="K949" s="153" t="n"/>
      <c r="L949" s="153" t="n"/>
      <c r="M949" s="153" t="n"/>
      <c r="N949" s="153" t="n"/>
      <c r="O949" s="153" t="n"/>
      <c r="P949" s="153" t="n"/>
      <c r="Q949" s="153" t="n"/>
      <c r="R949" s="153" t="n"/>
      <c r="S949" s="153" t="n"/>
      <c r="T949" s="153" t="n"/>
      <c r="U949" s="153" t="n"/>
      <c r="V949" s="153" t="n"/>
      <c r="W949" s="153" t="n"/>
      <c r="X949" s="153" t="n"/>
      <c r="Y949" s="153" t="n"/>
      <c r="Z949" s="153" t="n"/>
    </row>
    <row r="950" ht="15.75" customHeight="1" s="154">
      <c r="G950" s="153" t="n"/>
      <c r="H950" s="153" t="n"/>
      <c r="I950" s="153" t="n"/>
      <c r="J950" s="153" t="n"/>
      <c r="K950" s="153" t="n"/>
      <c r="L950" s="153" t="n"/>
      <c r="M950" s="153" t="n"/>
      <c r="N950" s="153" t="n"/>
      <c r="O950" s="153" t="n"/>
      <c r="P950" s="153" t="n"/>
      <c r="Q950" s="153" t="n"/>
      <c r="R950" s="153" t="n"/>
      <c r="S950" s="153" t="n"/>
      <c r="T950" s="153" t="n"/>
      <c r="U950" s="153" t="n"/>
      <c r="V950" s="153" t="n"/>
      <c r="W950" s="153" t="n"/>
      <c r="X950" s="153" t="n"/>
      <c r="Y950" s="153" t="n"/>
      <c r="Z950" s="153" t="n"/>
    </row>
    <row r="951" ht="15.75" customHeight="1" s="154">
      <c r="G951" s="153" t="n"/>
      <c r="H951" s="153" t="n"/>
      <c r="I951" s="153" t="n"/>
      <c r="J951" s="153" t="n"/>
      <c r="K951" s="153" t="n"/>
      <c r="L951" s="153" t="n"/>
      <c r="M951" s="153" t="n"/>
      <c r="N951" s="153" t="n"/>
      <c r="O951" s="153" t="n"/>
      <c r="P951" s="153" t="n"/>
      <c r="Q951" s="153" t="n"/>
      <c r="R951" s="153" t="n"/>
      <c r="S951" s="153" t="n"/>
      <c r="T951" s="153" t="n"/>
      <c r="U951" s="153" t="n"/>
      <c r="V951" s="153" t="n"/>
      <c r="W951" s="153" t="n"/>
      <c r="X951" s="153" t="n"/>
      <c r="Y951" s="153" t="n"/>
      <c r="Z951" s="153" t="n"/>
    </row>
    <row r="952" ht="15.75" customHeight="1" s="154">
      <c r="G952" s="153" t="n"/>
      <c r="H952" s="153" t="n"/>
      <c r="I952" s="153" t="n"/>
      <c r="J952" s="153" t="n"/>
      <c r="K952" s="153" t="n"/>
      <c r="L952" s="153" t="n"/>
      <c r="M952" s="153" t="n"/>
      <c r="N952" s="153" t="n"/>
      <c r="O952" s="153" t="n"/>
      <c r="P952" s="153" t="n"/>
      <c r="Q952" s="153" t="n"/>
      <c r="R952" s="153" t="n"/>
      <c r="S952" s="153" t="n"/>
      <c r="T952" s="153" t="n"/>
      <c r="U952" s="153" t="n"/>
      <c r="V952" s="153" t="n"/>
      <c r="W952" s="153" t="n"/>
      <c r="X952" s="153" t="n"/>
      <c r="Y952" s="153" t="n"/>
      <c r="Z952" s="153" t="n"/>
    </row>
    <row r="953" ht="15.75" customHeight="1" s="154">
      <c r="G953" s="153" t="n"/>
      <c r="H953" s="153" t="n"/>
      <c r="I953" s="153" t="n"/>
      <c r="J953" s="153" t="n"/>
      <c r="K953" s="153" t="n"/>
      <c r="L953" s="153" t="n"/>
      <c r="M953" s="153" t="n"/>
      <c r="N953" s="153" t="n"/>
      <c r="O953" s="153" t="n"/>
      <c r="P953" s="153" t="n"/>
      <c r="Q953" s="153" t="n"/>
      <c r="R953" s="153" t="n"/>
      <c r="S953" s="153" t="n"/>
      <c r="T953" s="153" t="n"/>
      <c r="U953" s="153" t="n"/>
      <c r="V953" s="153" t="n"/>
      <c r="W953" s="153" t="n"/>
      <c r="X953" s="153" t="n"/>
      <c r="Y953" s="153" t="n"/>
      <c r="Z953" s="153" t="n"/>
    </row>
    <row r="954" ht="15.75" customHeight="1" s="154">
      <c r="G954" s="153" t="n"/>
      <c r="H954" s="153" t="n"/>
      <c r="I954" s="153" t="n"/>
      <c r="J954" s="153" t="n"/>
      <c r="K954" s="153" t="n"/>
      <c r="L954" s="153" t="n"/>
      <c r="M954" s="153" t="n"/>
      <c r="N954" s="153" t="n"/>
      <c r="O954" s="153" t="n"/>
      <c r="P954" s="153" t="n"/>
      <c r="Q954" s="153" t="n"/>
      <c r="R954" s="153" t="n"/>
      <c r="S954" s="153" t="n"/>
      <c r="T954" s="153" t="n"/>
      <c r="U954" s="153" t="n"/>
      <c r="V954" s="153" t="n"/>
      <c r="W954" s="153" t="n"/>
      <c r="X954" s="153" t="n"/>
      <c r="Y954" s="153" t="n"/>
      <c r="Z954" s="153" t="n"/>
    </row>
    <row r="955" ht="15.75" customHeight="1" s="154">
      <c r="G955" s="153" t="n"/>
      <c r="H955" s="153" t="n"/>
      <c r="I955" s="153" t="n"/>
      <c r="J955" s="153" t="n"/>
      <c r="K955" s="153" t="n"/>
      <c r="L955" s="153" t="n"/>
      <c r="M955" s="153" t="n"/>
      <c r="N955" s="153" t="n"/>
      <c r="O955" s="153" t="n"/>
      <c r="P955" s="153" t="n"/>
      <c r="Q955" s="153" t="n"/>
      <c r="R955" s="153" t="n"/>
      <c r="S955" s="153" t="n"/>
      <c r="T955" s="153" t="n"/>
      <c r="U955" s="153" t="n"/>
      <c r="V955" s="153" t="n"/>
      <c r="W955" s="153" t="n"/>
      <c r="X955" s="153" t="n"/>
      <c r="Y955" s="153" t="n"/>
      <c r="Z955" s="153" t="n"/>
    </row>
    <row r="956" ht="15.75" customHeight="1" s="154">
      <c r="G956" s="153" t="n"/>
      <c r="H956" s="153" t="n"/>
      <c r="I956" s="153" t="n"/>
      <c r="J956" s="153" t="n"/>
      <c r="K956" s="153" t="n"/>
      <c r="L956" s="153" t="n"/>
      <c r="M956" s="153" t="n"/>
      <c r="N956" s="153" t="n"/>
      <c r="O956" s="153" t="n"/>
      <c r="P956" s="153" t="n"/>
      <c r="Q956" s="153" t="n"/>
      <c r="R956" s="153" t="n"/>
      <c r="S956" s="153" t="n"/>
      <c r="T956" s="153" t="n"/>
      <c r="U956" s="153" t="n"/>
      <c r="V956" s="153" t="n"/>
      <c r="W956" s="153" t="n"/>
      <c r="X956" s="153" t="n"/>
      <c r="Y956" s="153" t="n"/>
      <c r="Z956" s="153" t="n"/>
    </row>
    <row r="957" ht="15.75" customHeight="1" s="154">
      <c r="G957" s="153" t="n"/>
      <c r="H957" s="153" t="n"/>
      <c r="I957" s="153" t="n"/>
      <c r="J957" s="153" t="n"/>
      <c r="K957" s="153" t="n"/>
      <c r="L957" s="153" t="n"/>
      <c r="M957" s="153" t="n"/>
      <c r="N957" s="153" t="n"/>
      <c r="O957" s="153" t="n"/>
      <c r="P957" s="153" t="n"/>
      <c r="Q957" s="153" t="n"/>
      <c r="R957" s="153" t="n"/>
      <c r="S957" s="153" t="n"/>
      <c r="T957" s="153" t="n"/>
      <c r="U957" s="153" t="n"/>
      <c r="V957" s="153" t="n"/>
      <c r="W957" s="153" t="n"/>
      <c r="X957" s="153" t="n"/>
      <c r="Y957" s="153" t="n"/>
      <c r="Z957" s="153" t="n"/>
    </row>
    <row r="958" ht="15.75" customHeight="1" s="154">
      <c r="G958" s="153" t="n"/>
      <c r="H958" s="153" t="n"/>
      <c r="I958" s="153" t="n"/>
      <c r="J958" s="153" t="n"/>
      <c r="K958" s="153" t="n"/>
      <c r="L958" s="153" t="n"/>
      <c r="M958" s="153" t="n"/>
      <c r="N958" s="153" t="n"/>
      <c r="O958" s="153" t="n"/>
      <c r="P958" s="153" t="n"/>
      <c r="Q958" s="153" t="n"/>
      <c r="R958" s="153" t="n"/>
      <c r="S958" s="153" t="n"/>
      <c r="T958" s="153" t="n"/>
      <c r="U958" s="153" t="n"/>
      <c r="V958" s="153" t="n"/>
      <c r="W958" s="153" t="n"/>
      <c r="X958" s="153" t="n"/>
      <c r="Y958" s="153" t="n"/>
      <c r="Z958" s="153" t="n"/>
    </row>
    <row r="959" ht="15.75" customHeight="1" s="154">
      <c r="G959" s="153" t="n"/>
      <c r="H959" s="153" t="n"/>
      <c r="I959" s="153" t="n"/>
      <c r="J959" s="153" t="n"/>
      <c r="K959" s="153" t="n"/>
      <c r="L959" s="153" t="n"/>
      <c r="M959" s="153" t="n"/>
      <c r="N959" s="153" t="n"/>
      <c r="O959" s="153" t="n"/>
      <c r="P959" s="153" t="n"/>
      <c r="Q959" s="153" t="n"/>
      <c r="R959" s="153" t="n"/>
      <c r="S959" s="153" t="n"/>
      <c r="T959" s="153" t="n"/>
      <c r="U959" s="153" t="n"/>
      <c r="V959" s="153" t="n"/>
      <c r="W959" s="153" t="n"/>
      <c r="X959" s="153" t="n"/>
      <c r="Y959" s="153" t="n"/>
      <c r="Z959" s="153" t="n"/>
    </row>
    <row r="960" ht="15.75" customHeight="1" s="154">
      <c r="G960" s="153" t="n"/>
      <c r="H960" s="153" t="n"/>
      <c r="I960" s="153" t="n"/>
      <c r="J960" s="153" t="n"/>
      <c r="K960" s="153" t="n"/>
      <c r="L960" s="153" t="n"/>
      <c r="M960" s="153" t="n"/>
      <c r="N960" s="153" t="n"/>
      <c r="O960" s="153" t="n"/>
      <c r="P960" s="153" t="n"/>
      <c r="Q960" s="153" t="n"/>
      <c r="R960" s="153" t="n"/>
      <c r="S960" s="153" t="n"/>
      <c r="T960" s="153" t="n"/>
      <c r="U960" s="153" t="n"/>
      <c r="V960" s="153" t="n"/>
      <c r="W960" s="153" t="n"/>
      <c r="X960" s="153" t="n"/>
      <c r="Y960" s="153" t="n"/>
      <c r="Z960" s="153" t="n"/>
    </row>
    <row r="961" ht="15.75" customHeight="1" s="154">
      <c r="G961" s="153" t="n"/>
      <c r="H961" s="153" t="n"/>
      <c r="I961" s="153" t="n"/>
      <c r="J961" s="153" t="n"/>
      <c r="K961" s="153" t="n"/>
      <c r="L961" s="153" t="n"/>
      <c r="M961" s="153" t="n"/>
      <c r="N961" s="153" t="n"/>
      <c r="O961" s="153" t="n"/>
      <c r="P961" s="153" t="n"/>
      <c r="Q961" s="153" t="n"/>
      <c r="R961" s="153" t="n"/>
      <c r="S961" s="153" t="n"/>
      <c r="T961" s="153" t="n"/>
      <c r="U961" s="153" t="n"/>
      <c r="V961" s="153" t="n"/>
      <c r="W961" s="153" t="n"/>
      <c r="X961" s="153" t="n"/>
      <c r="Y961" s="153" t="n"/>
      <c r="Z961" s="153" t="n"/>
    </row>
    <row r="962" ht="15.75" customHeight="1" s="154">
      <c r="G962" s="153" t="n"/>
      <c r="H962" s="153" t="n"/>
      <c r="I962" s="153" t="n"/>
      <c r="J962" s="153" t="n"/>
      <c r="K962" s="153" t="n"/>
      <c r="L962" s="153" t="n"/>
      <c r="M962" s="153" t="n"/>
      <c r="N962" s="153" t="n"/>
      <c r="O962" s="153" t="n"/>
      <c r="P962" s="153" t="n"/>
      <c r="Q962" s="153" t="n"/>
      <c r="R962" s="153" t="n"/>
      <c r="S962" s="153" t="n"/>
      <c r="T962" s="153" t="n"/>
      <c r="U962" s="153" t="n"/>
      <c r="V962" s="153" t="n"/>
      <c r="W962" s="153" t="n"/>
      <c r="X962" s="153" t="n"/>
      <c r="Y962" s="153" t="n"/>
      <c r="Z962" s="153" t="n"/>
    </row>
    <row r="963" ht="15.75" customHeight="1" s="154">
      <c r="G963" s="153" t="n"/>
      <c r="H963" s="153" t="n"/>
      <c r="I963" s="153" t="n"/>
      <c r="J963" s="153" t="n"/>
      <c r="K963" s="153" t="n"/>
      <c r="L963" s="153" t="n"/>
      <c r="M963" s="153" t="n"/>
      <c r="N963" s="153" t="n"/>
      <c r="O963" s="153" t="n"/>
      <c r="P963" s="153" t="n"/>
      <c r="Q963" s="153" t="n"/>
      <c r="R963" s="153" t="n"/>
      <c r="S963" s="153" t="n"/>
      <c r="T963" s="153" t="n"/>
      <c r="U963" s="153" t="n"/>
      <c r="V963" s="153" t="n"/>
      <c r="W963" s="153" t="n"/>
      <c r="X963" s="153" t="n"/>
      <c r="Y963" s="153" t="n"/>
      <c r="Z963" s="153" t="n"/>
    </row>
    <row r="964" ht="15.75" customHeight="1" s="154">
      <c r="G964" s="153" t="n"/>
      <c r="H964" s="153" t="n"/>
      <c r="I964" s="153" t="n"/>
      <c r="J964" s="153" t="n"/>
      <c r="K964" s="153" t="n"/>
      <c r="L964" s="153" t="n"/>
      <c r="M964" s="153" t="n"/>
      <c r="N964" s="153" t="n"/>
      <c r="O964" s="153" t="n"/>
      <c r="P964" s="153" t="n"/>
      <c r="Q964" s="153" t="n"/>
      <c r="R964" s="153" t="n"/>
      <c r="S964" s="153" t="n"/>
      <c r="T964" s="153" t="n"/>
      <c r="U964" s="153" t="n"/>
      <c r="V964" s="153" t="n"/>
      <c r="W964" s="153" t="n"/>
      <c r="X964" s="153" t="n"/>
      <c r="Y964" s="153" t="n"/>
      <c r="Z964" s="153" t="n"/>
    </row>
    <row r="965" ht="15.75" customHeight="1" s="154">
      <c r="G965" s="153" t="n"/>
      <c r="H965" s="153" t="n"/>
      <c r="I965" s="153" t="n"/>
      <c r="J965" s="153" t="n"/>
      <c r="K965" s="153" t="n"/>
      <c r="L965" s="153" t="n"/>
      <c r="M965" s="153" t="n"/>
      <c r="N965" s="153" t="n"/>
      <c r="O965" s="153" t="n"/>
      <c r="P965" s="153" t="n"/>
      <c r="Q965" s="153" t="n"/>
      <c r="R965" s="153" t="n"/>
      <c r="S965" s="153" t="n"/>
      <c r="T965" s="153" t="n"/>
      <c r="U965" s="153" t="n"/>
      <c r="V965" s="153" t="n"/>
      <c r="W965" s="153" t="n"/>
      <c r="X965" s="153" t="n"/>
      <c r="Y965" s="153" t="n"/>
      <c r="Z965" s="153" t="n"/>
    </row>
    <row r="966" ht="15.75" customHeight="1" s="154">
      <c r="G966" s="153" t="n"/>
      <c r="H966" s="153" t="n"/>
      <c r="I966" s="153" t="n"/>
      <c r="J966" s="153" t="n"/>
      <c r="K966" s="153" t="n"/>
      <c r="L966" s="153" t="n"/>
      <c r="M966" s="153" t="n"/>
      <c r="N966" s="153" t="n"/>
      <c r="O966" s="153" t="n"/>
      <c r="P966" s="153" t="n"/>
      <c r="Q966" s="153" t="n"/>
      <c r="R966" s="153" t="n"/>
      <c r="S966" s="153" t="n"/>
      <c r="T966" s="153" t="n"/>
      <c r="U966" s="153" t="n"/>
      <c r="V966" s="153" t="n"/>
      <c r="W966" s="153" t="n"/>
      <c r="X966" s="153" t="n"/>
      <c r="Y966" s="153" t="n"/>
      <c r="Z966" s="153" t="n"/>
    </row>
    <row r="967" ht="15.75" customHeight="1" s="154">
      <c r="G967" s="153" t="n"/>
      <c r="H967" s="153" t="n"/>
      <c r="I967" s="153" t="n"/>
      <c r="J967" s="153" t="n"/>
      <c r="K967" s="153" t="n"/>
      <c r="L967" s="153" t="n"/>
      <c r="M967" s="153" t="n"/>
      <c r="N967" s="153" t="n"/>
      <c r="O967" s="153" t="n"/>
      <c r="P967" s="153" t="n"/>
      <c r="Q967" s="153" t="n"/>
      <c r="R967" s="153" t="n"/>
      <c r="S967" s="153" t="n"/>
      <c r="T967" s="153" t="n"/>
      <c r="U967" s="153" t="n"/>
      <c r="V967" s="153" t="n"/>
      <c r="W967" s="153" t="n"/>
      <c r="X967" s="153" t="n"/>
      <c r="Y967" s="153" t="n"/>
      <c r="Z967" s="153" t="n"/>
    </row>
    <row r="968" ht="15.75" customHeight="1" s="154">
      <c r="G968" s="153" t="n"/>
      <c r="H968" s="153" t="n"/>
      <c r="I968" s="153" t="n"/>
      <c r="J968" s="153" t="n"/>
      <c r="K968" s="153" t="n"/>
      <c r="L968" s="153" t="n"/>
      <c r="M968" s="153" t="n"/>
      <c r="N968" s="153" t="n"/>
      <c r="O968" s="153" t="n"/>
      <c r="P968" s="153" t="n"/>
      <c r="Q968" s="153" t="n"/>
      <c r="R968" s="153" t="n"/>
      <c r="S968" s="153" t="n"/>
      <c r="T968" s="153" t="n"/>
      <c r="U968" s="153" t="n"/>
      <c r="V968" s="153" t="n"/>
      <c r="W968" s="153" t="n"/>
      <c r="X968" s="153" t="n"/>
      <c r="Y968" s="153" t="n"/>
      <c r="Z968" s="153" t="n"/>
    </row>
    <row r="969" ht="15.75" customHeight="1" s="154">
      <c r="G969" s="153" t="n"/>
      <c r="H969" s="153" t="n"/>
      <c r="I969" s="153" t="n"/>
      <c r="J969" s="153" t="n"/>
      <c r="K969" s="153" t="n"/>
      <c r="L969" s="153" t="n"/>
      <c r="M969" s="153" t="n"/>
      <c r="N969" s="153" t="n"/>
      <c r="O969" s="153" t="n"/>
      <c r="P969" s="153" t="n"/>
      <c r="Q969" s="153" t="n"/>
      <c r="R969" s="153" t="n"/>
      <c r="S969" s="153" t="n"/>
      <c r="T969" s="153" t="n"/>
      <c r="U969" s="153" t="n"/>
      <c r="V969" s="153" t="n"/>
      <c r="W969" s="153" t="n"/>
      <c r="X969" s="153" t="n"/>
      <c r="Y969" s="153" t="n"/>
      <c r="Z969" s="153" t="n"/>
    </row>
    <row r="970" ht="15.75" customHeight="1" s="154">
      <c r="G970" s="153" t="n"/>
      <c r="H970" s="153" t="n"/>
      <c r="I970" s="153" t="n"/>
      <c r="J970" s="153" t="n"/>
      <c r="K970" s="153" t="n"/>
      <c r="L970" s="153" t="n"/>
      <c r="M970" s="153" t="n"/>
      <c r="N970" s="153" t="n"/>
      <c r="O970" s="153" t="n"/>
      <c r="P970" s="153" t="n"/>
      <c r="Q970" s="153" t="n"/>
      <c r="R970" s="153" t="n"/>
      <c r="S970" s="153" t="n"/>
      <c r="T970" s="153" t="n"/>
      <c r="U970" s="153" t="n"/>
      <c r="V970" s="153" t="n"/>
      <c r="W970" s="153" t="n"/>
      <c r="X970" s="153" t="n"/>
      <c r="Y970" s="153" t="n"/>
      <c r="Z970" s="153" t="n"/>
    </row>
    <row r="971" ht="15.75" customHeight="1" s="154">
      <c r="G971" s="153" t="n"/>
      <c r="H971" s="153" t="n"/>
      <c r="I971" s="153" t="n"/>
      <c r="J971" s="153" t="n"/>
      <c r="K971" s="153" t="n"/>
      <c r="L971" s="153" t="n"/>
      <c r="M971" s="153" t="n"/>
      <c r="N971" s="153" t="n"/>
      <c r="O971" s="153" t="n"/>
      <c r="P971" s="153" t="n"/>
      <c r="Q971" s="153" t="n"/>
      <c r="R971" s="153" t="n"/>
      <c r="S971" s="153" t="n"/>
      <c r="T971" s="153" t="n"/>
      <c r="U971" s="153" t="n"/>
      <c r="V971" s="153" t="n"/>
      <c r="W971" s="153" t="n"/>
      <c r="X971" s="153" t="n"/>
      <c r="Y971" s="153" t="n"/>
      <c r="Z971" s="153" t="n"/>
    </row>
    <row r="972" ht="15.75" customHeight="1" s="154">
      <c r="G972" s="153" t="n"/>
      <c r="H972" s="153" t="n"/>
      <c r="I972" s="153" t="n"/>
      <c r="J972" s="153" t="n"/>
      <c r="K972" s="153" t="n"/>
      <c r="L972" s="153" t="n"/>
      <c r="M972" s="153" t="n"/>
      <c r="N972" s="153" t="n"/>
      <c r="O972" s="153" t="n"/>
      <c r="P972" s="153" t="n"/>
      <c r="Q972" s="153" t="n"/>
      <c r="R972" s="153" t="n"/>
      <c r="S972" s="153" t="n"/>
      <c r="T972" s="153" t="n"/>
      <c r="U972" s="153" t="n"/>
      <c r="V972" s="153" t="n"/>
      <c r="W972" s="153" t="n"/>
      <c r="X972" s="153" t="n"/>
      <c r="Y972" s="153" t="n"/>
      <c r="Z972" s="153" t="n"/>
    </row>
    <row r="973" ht="15.75" customHeight="1" s="154">
      <c r="G973" s="153" t="n"/>
      <c r="H973" s="153" t="n"/>
      <c r="I973" s="153" t="n"/>
      <c r="J973" s="153" t="n"/>
      <c r="K973" s="153" t="n"/>
      <c r="L973" s="153" t="n"/>
      <c r="M973" s="153" t="n"/>
      <c r="N973" s="153" t="n"/>
      <c r="O973" s="153" t="n"/>
      <c r="P973" s="153" t="n"/>
      <c r="Q973" s="153" t="n"/>
      <c r="R973" s="153" t="n"/>
      <c r="S973" s="153" t="n"/>
      <c r="T973" s="153" t="n"/>
      <c r="U973" s="153" t="n"/>
      <c r="V973" s="153" t="n"/>
      <c r="W973" s="153" t="n"/>
      <c r="X973" s="153" t="n"/>
      <c r="Y973" s="153" t="n"/>
      <c r="Z973" s="153" t="n"/>
    </row>
    <row r="974" ht="15.75" customHeight="1" s="154">
      <c r="G974" s="153" t="n"/>
      <c r="H974" s="153" t="n"/>
      <c r="I974" s="153" t="n"/>
      <c r="J974" s="153" t="n"/>
      <c r="K974" s="153" t="n"/>
      <c r="L974" s="153" t="n"/>
      <c r="M974" s="153" t="n"/>
      <c r="N974" s="153" t="n"/>
      <c r="O974" s="153" t="n"/>
      <c r="P974" s="153" t="n"/>
      <c r="Q974" s="153" t="n"/>
      <c r="R974" s="153" t="n"/>
      <c r="S974" s="153" t="n"/>
      <c r="T974" s="153" t="n"/>
      <c r="U974" s="153" t="n"/>
      <c r="V974" s="153" t="n"/>
      <c r="W974" s="153" t="n"/>
      <c r="X974" s="153" t="n"/>
      <c r="Y974" s="153" t="n"/>
      <c r="Z974" s="153" t="n"/>
    </row>
    <row r="975" ht="15.75" customHeight="1" s="154">
      <c r="G975" s="153" t="n"/>
      <c r="H975" s="153" t="n"/>
      <c r="I975" s="153" t="n"/>
      <c r="J975" s="153" t="n"/>
      <c r="K975" s="153" t="n"/>
      <c r="L975" s="153" t="n"/>
      <c r="M975" s="153" t="n"/>
      <c r="N975" s="153" t="n"/>
      <c r="O975" s="153" t="n"/>
      <c r="P975" s="153" t="n"/>
      <c r="Q975" s="153" t="n"/>
      <c r="R975" s="153" t="n"/>
      <c r="S975" s="153" t="n"/>
      <c r="T975" s="153" t="n"/>
      <c r="U975" s="153" t="n"/>
      <c r="V975" s="153" t="n"/>
      <c r="W975" s="153" t="n"/>
      <c r="X975" s="153" t="n"/>
      <c r="Y975" s="153" t="n"/>
      <c r="Z975" s="153" t="n"/>
    </row>
    <row r="976" ht="15.75" customHeight="1" s="154">
      <c r="G976" s="153" t="n"/>
      <c r="H976" s="153" t="n"/>
      <c r="I976" s="153" t="n"/>
      <c r="J976" s="153" t="n"/>
      <c r="K976" s="153" t="n"/>
      <c r="L976" s="153" t="n"/>
      <c r="M976" s="153" t="n"/>
      <c r="N976" s="153" t="n"/>
      <c r="O976" s="153" t="n"/>
      <c r="P976" s="153" t="n"/>
      <c r="Q976" s="153" t="n"/>
      <c r="R976" s="153" t="n"/>
      <c r="S976" s="153" t="n"/>
      <c r="T976" s="153" t="n"/>
      <c r="U976" s="153" t="n"/>
      <c r="V976" s="153" t="n"/>
      <c r="W976" s="153" t="n"/>
      <c r="X976" s="153" t="n"/>
      <c r="Y976" s="153" t="n"/>
      <c r="Z976" s="153" t="n"/>
    </row>
    <row r="977" ht="15.75" customHeight="1" s="154">
      <c r="G977" s="153" t="n"/>
      <c r="H977" s="153" t="n"/>
      <c r="I977" s="153" t="n"/>
      <c r="J977" s="153" t="n"/>
      <c r="K977" s="153" t="n"/>
      <c r="L977" s="153" t="n"/>
      <c r="M977" s="153" t="n"/>
      <c r="N977" s="153" t="n"/>
      <c r="O977" s="153" t="n"/>
      <c r="P977" s="153" t="n"/>
      <c r="Q977" s="153" t="n"/>
      <c r="R977" s="153" t="n"/>
      <c r="S977" s="153" t="n"/>
      <c r="T977" s="153" t="n"/>
      <c r="U977" s="153" t="n"/>
      <c r="V977" s="153" t="n"/>
      <c r="W977" s="153" t="n"/>
      <c r="X977" s="153" t="n"/>
      <c r="Y977" s="153" t="n"/>
      <c r="Z977" s="153" t="n"/>
    </row>
    <row r="978" ht="15.75" customHeight="1" s="154">
      <c r="G978" s="153" t="n"/>
      <c r="H978" s="153" t="n"/>
      <c r="I978" s="153" t="n"/>
      <c r="J978" s="153" t="n"/>
      <c r="K978" s="153" t="n"/>
      <c r="L978" s="153" t="n"/>
      <c r="M978" s="153" t="n"/>
      <c r="N978" s="153" t="n"/>
      <c r="O978" s="153" t="n"/>
      <c r="P978" s="153" t="n"/>
      <c r="Q978" s="153" t="n"/>
      <c r="R978" s="153" t="n"/>
      <c r="S978" s="153" t="n"/>
      <c r="T978" s="153" t="n"/>
      <c r="U978" s="153" t="n"/>
      <c r="V978" s="153" t="n"/>
      <c r="W978" s="153" t="n"/>
      <c r="X978" s="153" t="n"/>
      <c r="Y978" s="153" t="n"/>
      <c r="Z978" s="153" t="n"/>
    </row>
    <row r="979" ht="15.75" customHeight="1" s="154">
      <c r="G979" s="153" t="n"/>
      <c r="H979" s="153" t="n"/>
      <c r="I979" s="153" t="n"/>
      <c r="J979" s="153" t="n"/>
      <c r="K979" s="153" t="n"/>
      <c r="L979" s="153" t="n"/>
      <c r="M979" s="153" t="n"/>
      <c r="N979" s="153" t="n"/>
      <c r="O979" s="153" t="n"/>
      <c r="P979" s="153" t="n"/>
      <c r="Q979" s="153" t="n"/>
      <c r="R979" s="153" t="n"/>
      <c r="S979" s="153" t="n"/>
      <c r="T979" s="153" t="n"/>
      <c r="U979" s="153" t="n"/>
      <c r="V979" s="153" t="n"/>
      <c r="W979" s="153" t="n"/>
      <c r="X979" s="153" t="n"/>
      <c r="Y979" s="153" t="n"/>
      <c r="Z979" s="153" t="n"/>
    </row>
    <row r="980" ht="15.75" customHeight="1" s="154">
      <c r="G980" s="153" t="n"/>
      <c r="H980" s="153" t="n"/>
      <c r="I980" s="153" t="n"/>
      <c r="J980" s="153" t="n"/>
      <c r="K980" s="153" t="n"/>
      <c r="L980" s="153" t="n"/>
      <c r="M980" s="153" t="n"/>
      <c r="N980" s="153" t="n"/>
      <c r="O980" s="153" t="n"/>
      <c r="P980" s="153" t="n"/>
      <c r="Q980" s="153" t="n"/>
      <c r="R980" s="153" t="n"/>
      <c r="S980" s="153" t="n"/>
      <c r="T980" s="153" t="n"/>
      <c r="U980" s="153" t="n"/>
      <c r="V980" s="153" t="n"/>
      <c r="W980" s="153" t="n"/>
      <c r="X980" s="153" t="n"/>
      <c r="Y980" s="153" t="n"/>
      <c r="Z980" s="153" t="n"/>
    </row>
    <row r="981" ht="15.75" customHeight="1" s="154">
      <c r="G981" s="153" t="n"/>
      <c r="H981" s="153" t="n"/>
      <c r="I981" s="153" t="n"/>
      <c r="J981" s="153" t="n"/>
      <c r="K981" s="153" t="n"/>
      <c r="L981" s="153" t="n"/>
      <c r="M981" s="153" t="n"/>
      <c r="N981" s="153" t="n"/>
      <c r="O981" s="153" t="n"/>
      <c r="P981" s="153" t="n"/>
      <c r="Q981" s="153" t="n"/>
      <c r="R981" s="153" t="n"/>
      <c r="S981" s="153" t="n"/>
      <c r="T981" s="153" t="n"/>
      <c r="U981" s="153" t="n"/>
      <c r="V981" s="153" t="n"/>
      <c r="W981" s="153" t="n"/>
      <c r="X981" s="153" t="n"/>
      <c r="Y981" s="153" t="n"/>
      <c r="Z981" s="153" t="n"/>
    </row>
    <row r="982" ht="15.75" customHeight="1" s="154">
      <c r="G982" s="153" t="n"/>
      <c r="H982" s="153" t="n"/>
      <c r="I982" s="153" t="n"/>
      <c r="J982" s="153" t="n"/>
      <c r="K982" s="153" t="n"/>
      <c r="L982" s="153" t="n"/>
      <c r="M982" s="153" t="n"/>
      <c r="N982" s="153" t="n"/>
      <c r="O982" s="153" t="n"/>
      <c r="P982" s="153" t="n"/>
      <c r="Q982" s="153" t="n"/>
      <c r="R982" s="153" t="n"/>
      <c r="S982" s="153" t="n"/>
      <c r="T982" s="153" t="n"/>
      <c r="U982" s="153" t="n"/>
      <c r="V982" s="153" t="n"/>
      <c r="W982" s="153" t="n"/>
      <c r="X982" s="153" t="n"/>
      <c r="Y982" s="153" t="n"/>
      <c r="Z982" s="153" t="n"/>
    </row>
    <row r="983" ht="15.75" customHeight="1" s="154">
      <c r="G983" s="153" t="n"/>
      <c r="H983" s="153" t="n"/>
      <c r="I983" s="153" t="n"/>
      <c r="J983" s="153" t="n"/>
      <c r="K983" s="153" t="n"/>
      <c r="L983" s="153" t="n"/>
      <c r="M983" s="153" t="n"/>
      <c r="N983" s="153" t="n"/>
      <c r="O983" s="153" t="n"/>
      <c r="P983" s="153" t="n"/>
      <c r="Q983" s="153" t="n"/>
      <c r="R983" s="153" t="n"/>
      <c r="S983" s="153" t="n"/>
      <c r="T983" s="153" t="n"/>
      <c r="U983" s="153" t="n"/>
      <c r="V983" s="153" t="n"/>
      <c r="W983" s="153" t="n"/>
      <c r="X983" s="153" t="n"/>
      <c r="Y983" s="153" t="n"/>
      <c r="Z983" s="153" t="n"/>
    </row>
    <row r="984" ht="15.75" customHeight="1" s="154">
      <c r="G984" s="153" t="n"/>
      <c r="H984" s="153" t="n"/>
      <c r="I984" s="153" t="n"/>
      <c r="J984" s="153" t="n"/>
      <c r="K984" s="153" t="n"/>
      <c r="L984" s="153" t="n"/>
      <c r="M984" s="153" t="n"/>
      <c r="N984" s="153" t="n"/>
      <c r="O984" s="153" t="n"/>
      <c r="P984" s="153" t="n"/>
      <c r="Q984" s="153" t="n"/>
      <c r="R984" s="153" t="n"/>
      <c r="S984" s="153" t="n"/>
      <c r="T984" s="153" t="n"/>
      <c r="U984" s="153" t="n"/>
      <c r="V984" s="153" t="n"/>
      <c r="W984" s="153" t="n"/>
      <c r="X984" s="153" t="n"/>
      <c r="Y984" s="153" t="n"/>
      <c r="Z984" s="153" t="n"/>
    </row>
    <row r="985" ht="15.75" customHeight="1" s="154">
      <c r="G985" s="153" t="n"/>
      <c r="H985" s="153" t="n"/>
      <c r="I985" s="153" t="n"/>
      <c r="J985" s="153" t="n"/>
      <c r="K985" s="153" t="n"/>
      <c r="L985" s="153" t="n"/>
      <c r="M985" s="153" t="n"/>
      <c r="N985" s="153" t="n"/>
      <c r="O985" s="153" t="n"/>
      <c r="P985" s="153" t="n"/>
      <c r="Q985" s="153" t="n"/>
      <c r="R985" s="153" t="n"/>
      <c r="S985" s="153" t="n"/>
      <c r="T985" s="153" t="n"/>
      <c r="U985" s="153" t="n"/>
      <c r="V985" s="153" t="n"/>
      <c r="W985" s="153" t="n"/>
      <c r="X985" s="153" t="n"/>
      <c r="Y985" s="153" t="n"/>
      <c r="Z985" s="153" t="n"/>
    </row>
    <row r="986" ht="15.75" customHeight="1" s="154">
      <c r="G986" s="153" t="n"/>
      <c r="H986" s="153" t="n"/>
      <c r="I986" s="153" t="n"/>
      <c r="J986" s="153" t="n"/>
      <c r="K986" s="153" t="n"/>
      <c r="L986" s="153" t="n"/>
      <c r="M986" s="153" t="n"/>
      <c r="N986" s="153" t="n"/>
      <c r="O986" s="153" t="n"/>
      <c r="P986" s="153" t="n"/>
      <c r="Q986" s="153" t="n"/>
      <c r="R986" s="153" t="n"/>
      <c r="S986" s="153" t="n"/>
      <c r="T986" s="153" t="n"/>
      <c r="U986" s="153" t="n"/>
      <c r="V986" s="153" t="n"/>
      <c r="W986" s="153" t="n"/>
      <c r="X986" s="153" t="n"/>
      <c r="Y986" s="153" t="n"/>
      <c r="Z986" s="153" t="n"/>
    </row>
    <row r="987" ht="15.75" customHeight="1" s="154">
      <c r="G987" s="153" t="n"/>
      <c r="H987" s="153" t="n"/>
      <c r="I987" s="153" t="n"/>
      <c r="J987" s="153" t="n"/>
      <c r="K987" s="153" t="n"/>
      <c r="L987" s="153" t="n"/>
      <c r="M987" s="153" t="n"/>
      <c r="N987" s="153" t="n"/>
      <c r="O987" s="153" t="n"/>
      <c r="P987" s="153" t="n"/>
      <c r="Q987" s="153" t="n"/>
      <c r="R987" s="153" t="n"/>
      <c r="S987" s="153" t="n"/>
      <c r="T987" s="153" t="n"/>
      <c r="U987" s="153" t="n"/>
      <c r="V987" s="153" t="n"/>
      <c r="W987" s="153" t="n"/>
      <c r="X987" s="153" t="n"/>
      <c r="Y987" s="153" t="n"/>
      <c r="Z987" s="153" t="n"/>
    </row>
    <row r="988" ht="15.75" customHeight="1" s="154">
      <c r="G988" s="153" t="n"/>
      <c r="H988" s="153" t="n"/>
      <c r="I988" s="153" t="n"/>
      <c r="J988" s="153" t="n"/>
      <c r="K988" s="153" t="n"/>
      <c r="L988" s="153" t="n"/>
      <c r="M988" s="153" t="n"/>
      <c r="N988" s="153" t="n"/>
      <c r="O988" s="153" t="n"/>
      <c r="P988" s="153" t="n"/>
      <c r="Q988" s="153" t="n"/>
      <c r="R988" s="153" t="n"/>
      <c r="S988" s="153" t="n"/>
      <c r="T988" s="153" t="n"/>
      <c r="U988" s="153" t="n"/>
      <c r="V988" s="153" t="n"/>
      <c r="W988" s="153" t="n"/>
      <c r="X988" s="153" t="n"/>
      <c r="Y988" s="153" t="n"/>
      <c r="Z988" s="153" t="n"/>
    </row>
    <row r="989" ht="15.75" customHeight="1" s="154">
      <c r="G989" s="153" t="n"/>
      <c r="H989" s="153" t="n"/>
      <c r="I989" s="153" t="n"/>
      <c r="J989" s="153" t="n"/>
      <c r="K989" s="153" t="n"/>
      <c r="L989" s="153" t="n"/>
      <c r="M989" s="153" t="n"/>
      <c r="N989" s="153" t="n"/>
      <c r="O989" s="153" t="n"/>
      <c r="P989" s="153" t="n"/>
      <c r="Q989" s="153" t="n"/>
      <c r="R989" s="153" t="n"/>
      <c r="S989" s="153" t="n"/>
      <c r="T989" s="153" t="n"/>
      <c r="U989" s="153" t="n"/>
      <c r="V989" s="153" t="n"/>
      <c r="W989" s="153" t="n"/>
      <c r="X989" s="153" t="n"/>
      <c r="Y989" s="153" t="n"/>
      <c r="Z989" s="153" t="n"/>
    </row>
    <row r="990" ht="15.75" customHeight="1" s="154">
      <c r="G990" s="153" t="n"/>
      <c r="H990" s="153" t="n"/>
      <c r="I990" s="153" t="n"/>
      <c r="J990" s="153" t="n"/>
      <c r="K990" s="153" t="n"/>
      <c r="L990" s="153" t="n"/>
      <c r="M990" s="153" t="n"/>
      <c r="N990" s="153" t="n"/>
      <c r="O990" s="153" t="n"/>
      <c r="P990" s="153" t="n"/>
      <c r="Q990" s="153" t="n"/>
      <c r="R990" s="153" t="n"/>
      <c r="S990" s="153" t="n"/>
      <c r="T990" s="153" t="n"/>
      <c r="U990" s="153" t="n"/>
      <c r="V990" s="153" t="n"/>
      <c r="W990" s="153" t="n"/>
      <c r="X990" s="153" t="n"/>
      <c r="Y990" s="153" t="n"/>
      <c r="Z990" s="153" t="n"/>
    </row>
    <row r="991" ht="15.75" customHeight="1" s="154">
      <c r="G991" s="153" t="n"/>
      <c r="H991" s="153" t="n"/>
      <c r="I991" s="153" t="n"/>
      <c r="J991" s="153" t="n"/>
      <c r="K991" s="153" t="n"/>
      <c r="L991" s="153" t="n"/>
      <c r="M991" s="153" t="n"/>
      <c r="N991" s="153" t="n"/>
      <c r="O991" s="153" t="n"/>
      <c r="P991" s="153" t="n"/>
      <c r="Q991" s="153" t="n"/>
      <c r="R991" s="153" t="n"/>
      <c r="S991" s="153" t="n"/>
      <c r="T991" s="153" t="n"/>
      <c r="U991" s="153" t="n"/>
      <c r="V991" s="153" t="n"/>
      <c r="W991" s="153" t="n"/>
      <c r="X991" s="153" t="n"/>
      <c r="Y991" s="153" t="n"/>
      <c r="Z991" s="153" t="n"/>
    </row>
    <row r="992" ht="15.75" customHeight="1" s="154">
      <c r="G992" s="153" t="n"/>
      <c r="H992" s="153" t="n"/>
      <c r="I992" s="153" t="n"/>
      <c r="J992" s="153" t="n"/>
      <c r="K992" s="153" t="n"/>
      <c r="L992" s="153" t="n"/>
      <c r="M992" s="153" t="n"/>
      <c r="N992" s="153" t="n"/>
      <c r="O992" s="153" t="n"/>
      <c r="P992" s="153" t="n"/>
      <c r="Q992" s="153" t="n"/>
      <c r="R992" s="153" t="n"/>
      <c r="S992" s="153" t="n"/>
      <c r="T992" s="153" t="n"/>
      <c r="U992" s="153" t="n"/>
      <c r="V992" s="153" t="n"/>
      <c r="W992" s="153" t="n"/>
      <c r="X992" s="153" t="n"/>
      <c r="Y992" s="153" t="n"/>
      <c r="Z992" s="153" t="n"/>
    </row>
    <row r="993" ht="15.75" customHeight="1" s="154">
      <c r="G993" s="153" t="n"/>
      <c r="H993" s="153" t="n"/>
      <c r="I993" s="153" t="n"/>
      <c r="J993" s="153" t="n"/>
      <c r="K993" s="153" t="n"/>
      <c r="L993" s="153" t="n"/>
      <c r="M993" s="153" t="n"/>
      <c r="N993" s="153" t="n"/>
      <c r="O993" s="153" t="n"/>
      <c r="P993" s="153" t="n"/>
      <c r="Q993" s="153" t="n"/>
      <c r="R993" s="153" t="n"/>
      <c r="S993" s="153" t="n"/>
      <c r="T993" s="153" t="n"/>
      <c r="U993" s="153" t="n"/>
      <c r="V993" s="153" t="n"/>
      <c r="W993" s="153" t="n"/>
      <c r="X993" s="153" t="n"/>
      <c r="Y993" s="153" t="n"/>
      <c r="Z993" s="153" t="n"/>
    </row>
    <row r="994" ht="15.75" customHeight="1" s="154">
      <c r="G994" s="153" t="n"/>
      <c r="H994" s="153" t="n"/>
      <c r="I994" s="153" t="n"/>
      <c r="J994" s="153" t="n"/>
      <c r="K994" s="153" t="n"/>
      <c r="L994" s="153" t="n"/>
      <c r="M994" s="153" t="n"/>
      <c r="N994" s="153" t="n"/>
      <c r="O994" s="153" t="n"/>
      <c r="P994" s="153" t="n"/>
      <c r="Q994" s="153" t="n"/>
      <c r="R994" s="153" t="n"/>
      <c r="S994" s="153" t="n"/>
      <c r="T994" s="153" t="n"/>
      <c r="U994" s="153" t="n"/>
      <c r="V994" s="153" t="n"/>
      <c r="W994" s="153" t="n"/>
      <c r="X994" s="153" t="n"/>
      <c r="Y994" s="153" t="n"/>
      <c r="Z994" s="153" t="n"/>
    </row>
    <row r="995" ht="15.75" customHeight="1" s="154">
      <c r="G995" s="153" t="n"/>
      <c r="H995" s="153" t="n"/>
      <c r="I995" s="153" t="n"/>
      <c r="J995" s="153" t="n"/>
      <c r="K995" s="153" t="n"/>
      <c r="L995" s="153" t="n"/>
      <c r="M995" s="153" t="n"/>
      <c r="N995" s="153" t="n"/>
      <c r="O995" s="153" t="n"/>
      <c r="P995" s="153" t="n"/>
      <c r="Q995" s="153" t="n"/>
      <c r="R995" s="153" t="n"/>
      <c r="S995" s="153" t="n"/>
      <c r="T995" s="153" t="n"/>
      <c r="U995" s="153" t="n"/>
      <c r="V995" s="153" t="n"/>
      <c r="W995" s="153" t="n"/>
      <c r="X995" s="153" t="n"/>
      <c r="Y995" s="153" t="n"/>
      <c r="Z995" s="153" t="n"/>
    </row>
    <row r="996" ht="15.75" customHeight="1" s="154">
      <c r="G996" s="153" t="n"/>
      <c r="H996" s="153" t="n"/>
      <c r="I996" s="153" t="n"/>
      <c r="J996" s="153" t="n"/>
      <c r="K996" s="153" t="n"/>
      <c r="L996" s="153" t="n"/>
      <c r="M996" s="153" t="n"/>
      <c r="N996" s="153" t="n"/>
      <c r="O996" s="153" t="n"/>
      <c r="P996" s="153" t="n"/>
      <c r="Q996" s="153" t="n"/>
      <c r="R996" s="153" t="n"/>
      <c r="S996" s="153" t="n"/>
      <c r="T996" s="153" t="n"/>
      <c r="U996" s="153" t="n"/>
      <c r="V996" s="153" t="n"/>
      <c r="W996" s="153" t="n"/>
      <c r="X996" s="153" t="n"/>
      <c r="Y996" s="153" t="n"/>
      <c r="Z996" s="153" t="n"/>
    </row>
    <row r="997" ht="15.75" customHeight="1" s="154">
      <c r="G997" s="153" t="n"/>
      <c r="H997" s="153" t="n"/>
      <c r="I997" s="153" t="n"/>
      <c r="J997" s="153" t="n"/>
      <c r="K997" s="153" t="n"/>
      <c r="L997" s="153" t="n"/>
      <c r="M997" s="153" t="n"/>
      <c r="N997" s="153" t="n"/>
      <c r="O997" s="153" t="n"/>
      <c r="P997" s="153" t="n"/>
      <c r="Q997" s="153" t="n"/>
      <c r="R997" s="153" t="n"/>
      <c r="S997" s="153" t="n"/>
      <c r="T997" s="153" t="n"/>
      <c r="U997" s="153" t="n"/>
      <c r="V997" s="153" t="n"/>
      <c r="W997" s="153" t="n"/>
      <c r="X997" s="153" t="n"/>
      <c r="Y997" s="153" t="n"/>
      <c r="Z997" s="153" t="n"/>
    </row>
    <row r="998" ht="15.75" customHeight="1" s="154">
      <c r="G998" s="153" t="n"/>
      <c r="H998" s="153" t="n"/>
      <c r="I998" s="153" t="n"/>
      <c r="J998" s="153" t="n"/>
      <c r="K998" s="153" t="n"/>
      <c r="L998" s="153" t="n"/>
      <c r="M998" s="153" t="n"/>
      <c r="N998" s="153" t="n"/>
      <c r="O998" s="153" t="n"/>
      <c r="P998" s="153" t="n"/>
      <c r="Q998" s="153" t="n"/>
      <c r="R998" s="153" t="n"/>
      <c r="S998" s="153" t="n"/>
      <c r="T998" s="153" t="n"/>
      <c r="U998" s="153" t="n"/>
      <c r="V998" s="153" t="n"/>
      <c r="W998" s="153" t="n"/>
      <c r="X998" s="153" t="n"/>
      <c r="Y998" s="153" t="n"/>
      <c r="Z998" s="153" t="n"/>
    </row>
    <row r="999" ht="15.75" customHeight="1" s="154">
      <c r="G999" s="153" t="n"/>
      <c r="H999" s="153" t="n"/>
      <c r="I999" s="153" t="n"/>
      <c r="J999" s="153" t="n"/>
      <c r="K999" s="153" t="n"/>
      <c r="L999" s="153" t="n"/>
      <c r="M999" s="153" t="n"/>
      <c r="N999" s="153" t="n"/>
      <c r="O999" s="153" t="n"/>
      <c r="P999" s="153" t="n"/>
      <c r="Q999" s="153" t="n"/>
      <c r="R999" s="153" t="n"/>
      <c r="S999" s="153" t="n"/>
      <c r="T999" s="153" t="n"/>
      <c r="U999" s="153" t="n"/>
      <c r="V999" s="153" t="n"/>
      <c r="W999" s="153" t="n"/>
      <c r="X999" s="153" t="n"/>
      <c r="Y999" s="153" t="n"/>
      <c r="Z999" s="153" t="n"/>
    </row>
    <row r="1000" ht="15.75" customHeight="1" s="154">
      <c r="G1000" s="153" t="n"/>
      <c r="H1000" s="153" t="n"/>
      <c r="I1000" s="153" t="n"/>
      <c r="J1000" s="153" t="n"/>
      <c r="K1000" s="153" t="n"/>
      <c r="L1000" s="153" t="n"/>
      <c r="M1000" s="153" t="n"/>
      <c r="N1000" s="153" t="n"/>
      <c r="O1000" s="153" t="n"/>
      <c r="P1000" s="153" t="n"/>
      <c r="Q1000" s="153" t="n"/>
      <c r="R1000" s="153" t="n"/>
      <c r="S1000" s="153" t="n"/>
      <c r="T1000" s="153" t="n"/>
      <c r="U1000" s="153" t="n"/>
      <c r="V1000" s="153" t="n"/>
      <c r="W1000" s="153" t="n"/>
      <c r="X1000" s="153" t="n"/>
      <c r="Y1000" s="153" t="n"/>
      <c r="Z1000" s="153" t="n"/>
    </row>
  </sheetData>
  <mergeCells count="7">
    <mergeCell ref="A30:E30"/>
    <mergeCell ref="A3:E5"/>
    <mergeCell ref="A2:E2"/>
    <mergeCell ref="A28:B28"/>
    <mergeCell ref="D28:E28"/>
    <mergeCell ref="A1:E1"/>
    <mergeCell ref="A31:E3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tabColor rgb="FF114884"/>
    <outlinePr summaryBelow="1" summaryRight="1"/>
    <pageSetUpPr fitToPage="0"/>
  </sheetPr>
  <dimension ref="A1:Y100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B4" activeCellId="0" sqref="B4"/>
    </sheetView>
  </sheetViews>
  <sheetFormatPr baseColWidth="8" defaultColWidth="14.43359375" defaultRowHeight="15" zeroHeight="0" outlineLevelRow="0"/>
  <cols>
    <col width="28" customWidth="1" style="153" min="1" max="1"/>
    <col width="14" customWidth="1" style="153" min="2" max="2"/>
    <col width="11" customWidth="1" style="153" min="3" max="3"/>
    <col width="12" customWidth="1" style="153" min="4" max="14"/>
  </cols>
  <sheetData>
    <row r="1" ht="48" customHeight="1" s="154">
      <c r="A1" s="268" t="inlineStr">
        <is>
          <t>⚓  Auswertung  —  Ausgaben nach Kategorien</t>
        </is>
      </c>
      <c r="B1" s="184" t="n"/>
      <c r="C1" s="184" t="n"/>
      <c r="D1" s="184" t="n"/>
      <c r="E1" s="184" t="n"/>
      <c r="F1" s="184" t="n"/>
      <c r="G1" s="184" t="n"/>
      <c r="H1" s="184" t="n"/>
      <c r="I1" s="184" t="n"/>
      <c r="J1" s="184" t="n"/>
      <c r="K1" s="184" t="n"/>
      <c r="L1" s="184" t="n"/>
      <c r="M1" s="184" t="n"/>
      <c r="N1" s="184" t="n"/>
      <c r="O1" s="153" t="n"/>
      <c r="P1" s="153" t="n"/>
      <c r="Q1" s="153" t="n"/>
      <c r="R1" s="153" t="n"/>
      <c r="S1" s="153" t="n"/>
      <c r="T1" s="153" t="n"/>
      <c r="U1" s="153" t="n"/>
      <c r="V1" s="153" t="n"/>
      <c r="W1" s="153" t="n"/>
      <c r="X1" s="153" t="n"/>
      <c r="Y1" s="153" t="n"/>
    </row>
    <row r="2" ht="21.75" customHeight="1" s="154">
      <c r="A2" s="227">
        <f>IFERROR("Törnkasse: "&amp;Besatzung!C4&amp;"  ·  Gesamt: "&amp;TEXT(SUMIF(Transaktionen!C4:C203,"Ausgabe",Transaktionen!G4:G203),"#,##0.00 €"),"")</f>
        <v/>
      </c>
      <c r="B2" s="228" t="n"/>
      <c r="C2" s="228" t="n"/>
      <c r="D2" s="228" t="n"/>
      <c r="E2" s="228" t="n"/>
      <c r="F2" s="228" t="n"/>
      <c r="G2" s="228" t="n"/>
      <c r="H2" s="228" t="n"/>
      <c r="I2" s="228" t="n"/>
      <c r="J2" s="228" t="n"/>
      <c r="K2" s="228" t="n"/>
      <c r="L2" s="228" t="n"/>
      <c r="M2" s="228" t="n"/>
      <c r="N2" s="228" t="n"/>
      <c r="O2" s="153" t="n"/>
      <c r="P2" s="153" t="n"/>
      <c r="Q2" s="153" t="n"/>
      <c r="R2" s="153" t="n"/>
      <c r="S2" s="153" t="n"/>
      <c r="T2" s="153" t="n"/>
      <c r="U2" s="153" t="n"/>
      <c r="V2" s="153" t="n"/>
      <c r="W2" s="153" t="n"/>
      <c r="X2" s="153" t="n"/>
      <c r="Y2" s="153" t="n"/>
    </row>
    <row r="3" ht="27.75" customHeight="1" s="154">
      <c r="A3" s="194" t="inlineStr">
        <is>
          <t>Kategorie</t>
        </is>
      </c>
      <c r="B3" s="194" t="inlineStr">
        <is>
          <t>Gesamt €</t>
        </is>
      </c>
      <c r="C3" s="194" t="inlineStr">
        <is>
          <t>Anteil %</t>
        </is>
      </c>
      <c r="D3" s="308">
        <f>IFERROR(LEFT(Besatzung!B11,10),"P1")</f>
        <v/>
      </c>
      <c r="E3" s="308">
        <f>IFERROR(LEFT(Besatzung!B12,10),"P2")</f>
        <v/>
      </c>
      <c r="F3" s="308">
        <f>IFERROR(LEFT(Besatzung!B14,10),"P4")</f>
        <v/>
      </c>
      <c r="G3" s="308">
        <f>IFERROR(LEFT(Besatzung!B13,10),"P5")</f>
        <v/>
      </c>
      <c r="H3" s="308">
        <f>IFERROR(LEFT(Besatzung!B15,10),"P6")</f>
        <v/>
      </c>
      <c r="I3" s="308">
        <f>IFERROR(LEFT(Besatzung!B17,10),"P7")</f>
        <v/>
      </c>
      <c r="J3" s="308">
        <f>IFERROR(LEFT(Besatzung!B18,10),"P8")</f>
        <v/>
      </c>
      <c r="K3" s="308">
        <f>IFERROR(LEFT(Besatzung!B19,10),"P9")</f>
        <v/>
      </c>
      <c r="L3" s="308">
        <f>IFERROR(LEFT(Besatzung!B20,10),"P10")</f>
        <v/>
      </c>
      <c r="M3" s="308">
        <f>IFERROR(LEFT(Besatzung!B21,10),"P11")</f>
        <v/>
      </c>
      <c r="N3" s="308">
        <f>IFERROR(LEFT(Besatzung!B22,10),"P12")</f>
        <v/>
      </c>
      <c r="O3" s="153" t="n"/>
      <c r="P3" s="153" t="n"/>
      <c r="Q3" s="153" t="n"/>
      <c r="R3" s="153" t="n"/>
      <c r="S3" s="153" t="n"/>
      <c r="T3" s="153" t="n"/>
      <c r="U3" s="153" t="n"/>
      <c r="V3" s="153" t="n"/>
      <c r="W3" s="153" t="n"/>
      <c r="X3" s="153" t="n"/>
      <c r="Y3" s="153" t="n"/>
    </row>
    <row r="4" ht="24" customHeight="1" s="154">
      <c r="A4" s="309">
        <f>Kategorien!$B$4</f>
        <v/>
      </c>
      <c r="B4" s="290">
        <f>IFERROR(IF(A4="","",SUMPRODUCT((Transaktionen!$C$4:$C$203="Ausgabe")*(Transaktionen!$E$4:$E$203=A4)*Transaktionen!$G$4:$G$203)),"")</f>
        <v/>
      </c>
      <c r="C4" s="310">
        <f>IFERROR(IF(A4="","",B4/B24),"")</f>
        <v/>
      </c>
      <c r="D4" s="311">
        <f>IFERROR(IF(A4="","",SUMPRODUCT((Transaktionen!$C$4:$C$203="Ausgabe")*(Transaktionen!$E$4:$E$203=A4)*Transaktionen!$V$4:$V$203)),"")</f>
        <v/>
      </c>
      <c r="E4" s="311">
        <f>IFERROR(IF(A4="","",SUMPRODUCT((Transaktionen!$C$4:$C$203="Ausgabe")*(Transaktionen!$E$4:$E$203=A4)*Transaktionen!$W$4:$W$203)),"")</f>
        <v/>
      </c>
      <c r="F4" s="311">
        <f>IFERROR(IF(A4="","",SUMPRODUCT((Transaktionen!$C$4:$C$203="Ausgabe")*(Transaktionen!$E$4:$E$203=A4)*Transaktionen!$Y$4:$Y$203)),"")</f>
        <v/>
      </c>
      <c r="G4" s="311">
        <f>IFERROR(IF(A4="","",SUMPRODUCT((Transaktionen!$C$4:$C$203="Ausgabe")*(Transaktionen!$E$4:$E$203=A4)*Transaktionen!$Z$4:$Z$203)),"")</f>
        <v/>
      </c>
      <c r="H4" s="311">
        <f>IFERROR(IF(A4="","",SUMPRODUCT((Transaktionen!$C$4:$C$203="Ausgabe")*(Transaktionen!$E$4:$E$203=A4)*Transaktionen!$AA$4:$AA$203)),"")</f>
        <v/>
      </c>
      <c r="I4" s="311">
        <f>IFERROR(IF(A4="","",SUMPRODUCT((Transaktionen!$C$4:$C$203="Ausgabe")*(Transaktionen!$E$4:$E$203=A4)*Transaktionen!$AB$4:$AB$203)),"")</f>
        <v/>
      </c>
      <c r="J4" s="311">
        <f>IFERROR(IF(A4="","",SUMPRODUCT((Transaktionen!$C$4:$C$203="Ausgabe")*(Transaktionen!$E$4:$E$203=A4)*Transaktionen!$AC$4:$AC$203)),"")</f>
        <v/>
      </c>
      <c r="K4" s="311">
        <f>IFERROR(IF(A4="","",SUMPRODUCT((Transaktionen!$C$4:$C$203="Ausgabe")*(Transaktionen!$E$4:$E$203=A4)*Transaktionen!$AD$4:$AD$203)),"")</f>
        <v/>
      </c>
      <c r="L4" s="311">
        <f>IFERROR(IF(A4="","",SUMPRODUCT((Transaktionen!$C$4:$C$203="Ausgabe")*(Transaktionen!$E$4:$E$203=A4)*Transaktionen!$AE$4:$AE$203)),"")</f>
        <v/>
      </c>
      <c r="M4" s="311">
        <f>IFERROR(IF(A4="","",SUMPRODUCT((Transaktionen!$C$4:$C$203="Ausgabe")*(Transaktionen!$E$4:$E$203=A4)*Transaktionen!$AF$4:$AF$203)),"")</f>
        <v/>
      </c>
      <c r="N4" s="312">
        <f>IFERROR(IF(A4="","",SUMPRODUCT((Transaktionen!$C$4:$C$203="Ausgabe")*(Transaktionen!$E$4:$E$203=A4)*Transaktionen!$AG$4:$AG$203)),"")</f>
        <v/>
      </c>
      <c r="O4" s="153" t="n"/>
      <c r="P4" s="153" t="n"/>
      <c r="Q4" s="153" t="n"/>
      <c r="R4" s="153" t="n"/>
      <c r="S4" s="153" t="n"/>
      <c r="T4" s="153" t="n"/>
      <c r="U4" s="153" t="n"/>
      <c r="V4" s="153" t="n"/>
      <c r="W4" s="153" t="n"/>
      <c r="X4" s="153" t="n"/>
      <c r="Y4" s="153" t="n"/>
    </row>
    <row r="5" ht="24" customHeight="1" s="154">
      <c r="A5" s="313">
        <f>Kategorien!$B$5</f>
        <v/>
      </c>
      <c r="B5" s="295">
        <f>IFERROR(IF(A5="","",SUMPRODUCT((Transaktionen!$C$4:$C$203="Ausgabe")*(Transaktionen!$E$4:$E$203=A5)*Transaktionen!$G$4:$G$203)),"")</f>
        <v/>
      </c>
      <c r="C5" s="314">
        <f>IFERROR(IF(A5="","",B5/B24),"")</f>
        <v/>
      </c>
      <c r="D5" s="315">
        <f>IFERROR(IF(A5="","",SUMPRODUCT((Transaktionen!$C$4:$C$203="Ausgabe")*(Transaktionen!$E$4:$E$203=A5)*Transaktionen!$V$4:$V$203)),"")</f>
        <v/>
      </c>
      <c r="E5" s="315">
        <f>IFERROR(IF(A5="","",SUMPRODUCT((Transaktionen!$C$4:$C$203="Ausgabe")*(Transaktionen!$E$4:$E$203=A5)*Transaktionen!$W$4:$W$203)),"")</f>
        <v/>
      </c>
      <c r="F5" s="315">
        <f>IFERROR(IF(A5="","",SUMPRODUCT((Transaktionen!$C$4:$C$203="Ausgabe")*(Transaktionen!$E$4:$E$203=A5)*Transaktionen!$Y$4:$Y$203)),"")</f>
        <v/>
      </c>
      <c r="G5" s="315">
        <f>IFERROR(IF(A5="","",SUMPRODUCT((Transaktionen!$C$4:$C$203="Ausgabe")*(Transaktionen!$E$4:$E$203=A5)*Transaktionen!$Z$4:$Z$203)),"")</f>
        <v/>
      </c>
      <c r="H5" s="315">
        <f>IFERROR(IF(A5="","",SUMPRODUCT((Transaktionen!$C$4:$C$203="Ausgabe")*(Transaktionen!$E$4:$E$203=A5)*Transaktionen!$AA$4:$AA$203)),"")</f>
        <v/>
      </c>
      <c r="I5" s="315">
        <f>IFERROR(IF(A5="","",SUMPRODUCT((Transaktionen!$C$4:$C$203="Ausgabe")*(Transaktionen!$E$4:$E$203=A5)*Transaktionen!$AB$4:$AB$203)),"")</f>
        <v/>
      </c>
      <c r="J5" s="315">
        <f>IFERROR(IF(A5="","",SUMPRODUCT((Transaktionen!$C$4:$C$203="Ausgabe")*(Transaktionen!$E$4:$E$203=A5)*Transaktionen!$AC$4:$AC$203)),"")</f>
        <v/>
      </c>
      <c r="K5" s="315">
        <f>IFERROR(IF(A5="","",SUMPRODUCT((Transaktionen!$C$4:$C$203="Ausgabe")*(Transaktionen!$E$4:$E$203=A5)*Transaktionen!$AD$4:$AD$203)),"")</f>
        <v/>
      </c>
      <c r="L5" s="315">
        <f>IFERROR(IF(A5="","",SUMPRODUCT((Transaktionen!$C$4:$C$203="Ausgabe")*(Transaktionen!$E$4:$E$203=A5)*Transaktionen!$AE$4:$AE$203)),"")</f>
        <v/>
      </c>
      <c r="M5" s="315">
        <f>IFERROR(IF(A5="","",SUMPRODUCT((Transaktionen!$C$4:$C$203="Ausgabe")*(Transaktionen!$E$4:$E$203=A5)*Transaktionen!$AF$4:$AF$203)),"")</f>
        <v/>
      </c>
      <c r="N5" s="316">
        <f>IFERROR(IF(A5="","",SUMPRODUCT((Transaktionen!$C$4:$C$203="Ausgabe")*(Transaktionen!$E$4:$E$203=A5)*Transaktionen!$AG$4:$AG$203)),"")</f>
        <v/>
      </c>
      <c r="O5" s="153" t="n"/>
      <c r="P5" s="153" t="n"/>
      <c r="Q5" s="153" t="n"/>
      <c r="R5" s="153" t="n"/>
      <c r="S5" s="153" t="n"/>
      <c r="T5" s="153" t="n"/>
      <c r="U5" s="153" t="n"/>
      <c r="V5" s="153" t="n"/>
      <c r="W5" s="153" t="n"/>
      <c r="X5" s="153" t="n"/>
      <c r="Y5" s="153" t="n"/>
    </row>
    <row r="6" ht="24" customHeight="1" s="154">
      <c r="A6" s="309">
        <f>Kategorien!$B$6</f>
        <v/>
      </c>
      <c r="B6" s="290">
        <f>IFERROR(IF(A6="","",SUMPRODUCT((Transaktionen!$C$4:$C$203="Ausgabe")*(Transaktionen!$E$4:$E$203=A6)*Transaktionen!$G$4:$G$203)),"")</f>
        <v/>
      </c>
      <c r="C6" s="310">
        <f>IFERROR(IF(A6="","",B6/B24),"")</f>
        <v/>
      </c>
      <c r="D6" s="311">
        <f>IFERROR(IF(A6="","",SUMPRODUCT((Transaktionen!$C$4:$C$203="Ausgabe")*(Transaktionen!$E$4:$E$203=A6)*Transaktionen!$V$4:$V$203)),"")</f>
        <v/>
      </c>
      <c r="E6" s="311">
        <f>IFERROR(IF(A6="","",SUMPRODUCT((Transaktionen!$C$4:$C$203="Ausgabe")*(Transaktionen!$E$4:$E$203=A6)*Transaktionen!$W$4:$W$203)),"")</f>
        <v/>
      </c>
      <c r="F6" s="311">
        <f>IFERROR(IF(A6="","",SUMPRODUCT((Transaktionen!$C$4:$C$203="Ausgabe")*(Transaktionen!$E$4:$E$203=A6)*Transaktionen!$Y$4:$Y$203)),"")</f>
        <v/>
      </c>
      <c r="G6" s="311">
        <f>IFERROR(IF(A6="","",SUMPRODUCT((Transaktionen!$C$4:$C$203="Ausgabe")*(Transaktionen!$E$4:$E$203=A6)*Transaktionen!$Z$4:$Z$203)),"")</f>
        <v/>
      </c>
      <c r="H6" s="311">
        <f>IFERROR(IF(A6="","",SUMPRODUCT((Transaktionen!$C$4:$C$203="Ausgabe")*(Transaktionen!$E$4:$E$203=A6)*Transaktionen!$AA$4:$AA$203)),"")</f>
        <v/>
      </c>
      <c r="I6" s="311">
        <f>IFERROR(IF(A6="","",SUMPRODUCT((Transaktionen!$C$4:$C$203="Ausgabe")*(Transaktionen!$E$4:$E$203=A6)*Transaktionen!$AB$4:$AB$203)),"")</f>
        <v/>
      </c>
      <c r="J6" s="311">
        <f>IFERROR(IF(A6="","",SUMPRODUCT((Transaktionen!$C$4:$C$203="Ausgabe")*(Transaktionen!$E$4:$E$203=A6)*Transaktionen!$AC$4:$AC$203)),"")</f>
        <v/>
      </c>
      <c r="K6" s="311">
        <f>IFERROR(IF(A6="","",SUMPRODUCT((Transaktionen!$C$4:$C$203="Ausgabe")*(Transaktionen!$E$4:$E$203=A6)*Transaktionen!$AD$4:$AD$203)),"")</f>
        <v/>
      </c>
      <c r="L6" s="311">
        <f>IFERROR(IF(A6="","",SUMPRODUCT((Transaktionen!$C$4:$C$203="Ausgabe")*(Transaktionen!$E$4:$E$203=A6)*Transaktionen!$AE$4:$AE$203)),"")</f>
        <v/>
      </c>
      <c r="M6" s="311">
        <f>IFERROR(IF(A6="","",SUMPRODUCT((Transaktionen!$C$4:$C$203="Ausgabe")*(Transaktionen!$E$4:$E$203=A6)*Transaktionen!$AF$4:$AF$203)),"")</f>
        <v/>
      </c>
      <c r="N6" s="312">
        <f>IFERROR(IF(A6="","",SUMPRODUCT((Transaktionen!$C$4:$C$203="Ausgabe")*(Transaktionen!$E$4:$E$203=A6)*Transaktionen!$AG$4:$AG$203)),"")</f>
        <v/>
      </c>
      <c r="O6" s="153" t="n"/>
      <c r="P6" s="153" t="n"/>
      <c r="Q6" s="153" t="n"/>
      <c r="R6" s="153" t="n"/>
      <c r="S6" s="153" t="n"/>
      <c r="T6" s="153" t="n"/>
      <c r="U6" s="153" t="n"/>
      <c r="V6" s="153" t="n"/>
      <c r="W6" s="153" t="n"/>
      <c r="X6" s="153" t="n"/>
      <c r="Y6" s="153" t="n"/>
    </row>
    <row r="7" ht="24" customHeight="1" s="154">
      <c r="A7" s="313">
        <f>Kategorien!$B$7</f>
        <v/>
      </c>
      <c r="B7" s="295">
        <f>IFERROR(IF(A7="","",SUMPRODUCT((Transaktionen!$C$4:$C$203="Ausgabe")*(Transaktionen!$E$4:$E$203=A7)*Transaktionen!$G$4:$G$203)),"")</f>
        <v/>
      </c>
      <c r="C7" s="314">
        <f>IFERROR(IF(A7="","",B7/B24),"")</f>
        <v/>
      </c>
      <c r="D7" s="315">
        <f>IFERROR(IF(A7="","",SUMPRODUCT((Transaktionen!$C$4:$C$203="Ausgabe")*(Transaktionen!$E$4:$E$203=A7)*Transaktionen!$V$4:$V$203)),"")</f>
        <v/>
      </c>
      <c r="E7" s="315">
        <f>IFERROR(IF(A7="","",SUMPRODUCT((Transaktionen!$C$4:$C$203="Ausgabe")*(Transaktionen!$E$4:$E$203=A7)*Transaktionen!$W$4:$W$203)),"")</f>
        <v/>
      </c>
      <c r="F7" s="315">
        <f>IFERROR(IF(A7="","",SUMPRODUCT((Transaktionen!$C$4:$C$203="Ausgabe")*(Transaktionen!$E$4:$E$203=A7)*Transaktionen!$Y$4:$Y$203)),"")</f>
        <v/>
      </c>
      <c r="G7" s="315">
        <f>IFERROR(IF(A7="","",SUMPRODUCT((Transaktionen!$C$4:$C$203="Ausgabe")*(Transaktionen!$E$4:$E$203=A7)*Transaktionen!$Z$4:$Z$203)),"")</f>
        <v/>
      </c>
      <c r="H7" s="315">
        <f>IFERROR(IF(A7="","",SUMPRODUCT((Transaktionen!$C$4:$C$203="Ausgabe")*(Transaktionen!$E$4:$E$203=A7)*Transaktionen!$AA$4:$AA$203)),"")</f>
        <v/>
      </c>
      <c r="I7" s="315">
        <f>IFERROR(IF(A7="","",SUMPRODUCT((Transaktionen!$C$4:$C$203="Ausgabe")*(Transaktionen!$E$4:$E$203=A7)*Transaktionen!$AB$4:$AB$203)),"")</f>
        <v/>
      </c>
      <c r="J7" s="315">
        <f>IFERROR(IF(A7="","",SUMPRODUCT((Transaktionen!$C$4:$C$203="Ausgabe")*(Transaktionen!$E$4:$E$203=A7)*Transaktionen!$AC$4:$AC$203)),"")</f>
        <v/>
      </c>
      <c r="K7" s="315">
        <f>IFERROR(IF(A7="","",SUMPRODUCT((Transaktionen!$C$4:$C$203="Ausgabe")*(Transaktionen!$E$4:$E$203=A7)*Transaktionen!$AD$4:$AD$203)),"")</f>
        <v/>
      </c>
      <c r="L7" s="315">
        <f>IFERROR(IF(A7="","",SUMPRODUCT((Transaktionen!$C$4:$C$203="Ausgabe")*(Transaktionen!$E$4:$E$203=A7)*Transaktionen!$AE$4:$AE$203)),"")</f>
        <v/>
      </c>
      <c r="M7" s="315">
        <f>IFERROR(IF(A7="","",SUMPRODUCT((Transaktionen!$C$4:$C$203="Ausgabe")*(Transaktionen!$E$4:$E$203=A7)*Transaktionen!$AF$4:$AF$203)),"")</f>
        <v/>
      </c>
      <c r="N7" s="316">
        <f>IFERROR(IF(A7="","",SUMPRODUCT((Transaktionen!$C$4:$C$203="Ausgabe")*(Transaktionen!$E$4:$E$203=A7)*Transaktionen!$AG$4:$AG$203)),"")</f>
        <v/>
      </c>
      <c r="O7" s="153" t="n"/>
      <c r="P7" s="153" t="n"/>
      <c r="Q7" s="153" t="n"/>
      <c r="R7" s="153" t="n"/>
      <c r="S7" s="153" t="n"/>
      <c r="T7" s="153" t="n"/>
      <c r="U7" s="153" t="n"/>
      <c r="V7" s="153" t="n"/>
      <c r="W7" s="153" t="n"/>
      <c r="X7" s="153" t="n"/>
      <c r="Y7" s="153" t="n"/>
    </row>
    <row r="8" ht="24" customHeight="1" s="154">
      <c r="A8" s="309">
        <f>Kategorien!$B$8</f>
        <v/>
      </c>
      <c r="B8" s="290">
        <f>IFERROR(IF(A8="","",SUMPRODUCT((Transaktionen!$C$4:$C$203="Ausgabe")*(Transaktionen!$E$4:$E$203=A8)*Transaktionen!$G$4:$G$203)),"")</f>
        <v/>
      </c>
      <c r="C8" s="310">
        <f>IFERROR(IF(A8="","",B8/B24),"")</f>
        <v/>
      </c>
      <c r="D8" s="311">
        <f>IFERROR(IF(A8="","",SUMPRODUCT((Transaktionen!$C$4:$C$203="Ausgabe")*(Transaktionen!$E$4:$E$203=A8)*Transaktionen!$V$4:$V$203)),"")</f>
        <v/>
      </c>
      <c r="E8" s="311">
        <f>IFERROR(IF(A8="","",SUMPRODUCT((Transaktionen!$C$4:$C$203="Ausgabe")*(Transaktionen!$E$4:$E$203=A8)*Transaktionen!$W$4:$W$203)),"")</f>
        <v/>
      </c>
      <c r="F8" s="311">
        <f>IFERROR(IF(A8="","",SUMPRODUCT((Transaktionen!$C$4:$C$203="Ausgabe")*(Transaktionen!$E$4:$E$203=A8)*Transaktionen!$Y$4:$Y$203)),"")</f>
        <v/>
      </c>
      <c r="G8" s="311">
        <f>IFERROR(IF(A8="","",SUMPRODUCT((Transaktionen!$C$4:$C$203="Ausgabe")*(Transaktionen!$E$4:$E$203=A8)*Transaktionen!$Z$4:$Z$203)),"")</f>
        <v/>
      </c>
      <c r="H8" s="311">
        <f>IFERROR(IF(A8="","",SUMPRODUCT((Transaktionen!$C$4:$C$203="Ausgabe")*(Transaktionen!$E$4:$E$203=A8)*Transaktionen!$AA$4:$AA$203)),"")</f>
        <v/>
      </c>
      <c r="I8" s="311">
        <f>IFERROR(IF(A8="","",SUMPRODUCT((Transaktionen!$C$4:$C$203="Ausgabe")*(Transaktionen!$E$4:$E$203=A8)*Transaktionen!$AB$4:$AB$203)),"")</f>
        <v/>
      </c>
      <c r="J8" s="311">
        <f>IFERROR(IF(A8="","",SUMPRODUCT((Transaktionen!$C$4:$C$203="Ausgabe")*(Transaktionen!$E$4:$E$203=A8)*Transaktionen!$AC$4:$AC$203)),"")</f>
        <v/>
      </c>
      <c r="K8" s="311">
        <f>IFERROR(IF(A8="","",SUMPRODUCT((Transaktionen!$C$4:$C$203="Ausgabe")*(Transaktionen!$E$4:$E$203=A8)*Transaktionen!$AD$4:$AD$203)),"")</f>
        <v/>
      </c>
      <c r="L8" s="311">
        <f>IFERROR(IF(A8="","",SUMPRODUCT((Transaktionen!$C$4:$C$203="Ausgabe")*(Transaktionen!$E$4:$E$203=A8)*Transaktionen!$AE$4:$AE$203)),"")</f>
        <v/>
      </c>
      <c r="M8" s="311">
        <f>IFERROR(IF(A8="","",SUMPRODUCT((Transaktionen!$C$4:$C$203="Ausgabe")*(Transaktionen!$E$4:$E$203=A8)*Transaktionen!$AF$4:$AF$203)),"")</f>
        <v/>
      </c>
      <c r="N8" s="312">
        <f>IFERROR(IF(A8="","",SUMPRODUCT((Transaktionen!$C$4:$C$203="Ausgabe")*(Transaktionen!$E$4:$E$203=A8)*Transaktionen!$AG$4:$AG$203)),"")</f>
        <v/>
      </c>
      <c r="O8" s="153" t="n"/>
      <c r="P8" s="153" t="n"/>
      <c r="Q8" s="153" t="n"/>
      <c r="R8" s="153" t="n"/>
      <c r="S8" s="153" t="n"/>
      <c r="T8" s="153" t="n"/>
      <c r="U8" s="153" t="n"/>
      <c r="V8" s="153" t="n"/>
      <c r="W8" s="153" t="n"/>
      <c r="X8" s="153" t="n"/>
      <c r="Y8" s="153" t="n"/>
    </row>
    <row r="9" ht="24" customHeight="1" s="154">
      <c r="A9" s="313">
        <f>Kategorien!$B$9</f>
        <v/>
      </c>
      <c r="B9" s="295">
        <f>IFERROR(IF(A9="","",SUMPRODUCT((Transaktionen!$C$4:$C$203="Ausgabe")*(Transaktionen!$E$4:$E$203=A9)*Transaktionen!$G$4:$G$203)),"")</f>
        <v/>
      </c>
      <c r="C9" s="314">
        <f>IFERROR(IF(A9="","",B9/B24),"")</f>
        <v/>
      </c>
      <c r="D9" s="315">
        <f>IFERROR(IF(A9="","",SUMPRODUCT((Transaktionen!$C$4:$C$203="Ausgabe")*(Transaktionen!$E$4:$E$203=A9)*Transaktionen!$V$4:$V$203)),"")</f>
        <v/>
      </c>
      <c r="E9" s="315">
        <f>IFERROR(IF(A9="","",SUMPRODUCT((Transaktionen!$C$4:$C$203="Ausgabe")*(Transaktionen!$E$4:$E$203=A9)*Transaktionen!$W$4:$W$203)),"")</f>
        <v/>
      </c>
      <c r="F9" s="315">
        <f>IFERROR(IF(A9="","",SUMPRODUCT((Transaktionen!$C$4:$C$203="Ausgabe")*(Transaktionen!$E$4:$E$203=A9)*Transaktionen!$Y$4:$Y$203)),"")</f>
        <v/>
      </c>
      <c r="G9" s="315">
        <f>IFERROR(IF(A9="","",SUMPRODUCT((Transaktionen!$C$4:$C$203="Ausgabe")*(Transaktionen!$E$4:$E$203=A9)*Transaktionen!$Z$4:$Z$203)),"")</f>
        <v/>
      </c>
      <c r="H9" s="315">
        <f>IFERROR(IF(A9="","",SUMPRODUCT((Transaktionen!$C$4:$C$203="Ausgabe")*(Transaktionen!$E$4:$E$203=A9)*Transaktionen!$AA$4:$AA$203)),"")</f>
        <v/>
      </c>
      <c r="I9" s="315">
        <f>IFERROR(IF(A9="","",SUMPRODUCT((Transaktionen!$C$4:$C$203="Ausgabe")*(Transaktionen!$E$4:$E$203=A9)*Transaktionen!$AB$4:$AB$203)),"")</f>
        <v/>
      </c>
      <c r="J9" s="315">
        <f>IFERROR(IF(A9="","",SUMPRODUCT((Transaktionen!$C$4:$C$203="Ausgabe")*(Transaktionen!$E$4:$E$203=A9)*Transaktionen!$AC$4:$AC$203)),"")</f>
        <v/>
      </c>
      <c r="K9" s="315">
        <f>IFERROR(IF(A9="","",SUMPRODUCT((Transaktionen!$C$4:$C$203="Ausgabe")*(Transaktionen!$E$4:$E$203=A9)*Transaktionen!$AD$4:$AD$203)),"")</f>
        <v/>
      </c>
      <c r="L9" s="315">
        <f>IFERROR(IF(A9="","",SUMPRODUCT((Transaktionen!$C$4:$C$203="Ausgabe")*(Transaktionen!$E$4:$E$203=A9)*Transaktionen!$AE$4:$AE$203)),"")</f>
        <v/>
      </c>
      <c r="M9" s="315">
        <f>IFERROR(IF(A9="","",SUMPRODUCT((Transaktionen!$C$4:$C$203="Ausgabe")*(Transaktionen!$E$4:$E$203=A9)*Transaktionen!$AF$4:$AF$203)),"")</f>
        <v/>
      </c>
      <c r="N9" s="316">
        <f>IFERROR(IF(A9="","",SUMPRODUCT((Transaktionen!$C$4:$C$203="Ausgabe")*(Transaktionen!$E$4:$E$203=A9)*Transaktionen!$AG$4:$AG$203)),"")</f>
        <v/>
      </c>
      <c r="O9" s="153" t="n"/>
      <c r="P9" s="153" t="n"/>
      <c r="Q9" s="153" t="n"/>
      <c r="R9" s="153" t="n"/>
      <c r="S9" s="153" t="n"/>
      <c r="T9" s="153" t="n"/>
      <c r="U9" s="153" t="n"/>
      <c r="V9" s="153" t="n"/>
      <c r="W9" s="153" t="n"/>
      <c r="X9" s="153" t="n"/>
      <c r="Y9" s="153" t="n"/>
    </row>
    <row r="10" ht="24" customHeight="1" s="154">
      <c r="A10" s="309">
        <f>Kategorien!$B$10</f>
        <v/>
      </c>
      <c r="B10" s="290">
        <f>IFERROR(IF(A10="","",SUMPRODUCT((Transaktionen!$C$4:$C$203="Ausgabe")*(Transaktionen!$E$4:$E$203=A10)*Transaktionen!$G$4:$G$203)),"")</f>
        <v/>
      </c>
      <c r="C10" s="310">
        <f>IFERROR(IF(A10="","",B10/B24),"")</f>
        <v/>
      </c>
      <c r="D10" s="311">
        <f>IFERROR(IF(A10="","",SUMPRODUCT((Transaktionen!$C$4:$C$203="Ausgabe")*(Transaktionen!$E$4:$E$203=A10)*Transaktionen!$V$4:$V$203)),"")</f>
        <v/>
      </c>
      <c r="E10" s="311">
        <f>IFERROR(IF(A10="","",SUMPRODUCT((Transaktionen!$C$4:$C$203="Ausgabe")*(Transaktionen!$E$4:$E$203=A10)*Transaktionen!$W$4:$W$203)),"")</f>
        <v/>
      </c>
      <c r="F10" s="311">
        <f>IFERROR(IF(A10="","",SUMPRODUCT((Transaktionen!$C$4:$C$203="Ausgabe")*(Transaktionen!$E$4:$E$203=A10)*Transaktionen!$Y$4:$Y$203)),"")</f>
        <v/>
      </c>
      <c r="G10" s="311">
        <f>IFERROR(IF(A10="","",SUMPRODUCT((Transaktionen!$C$4:$C$203="Ausgabe")*(Transaktionen!$E$4:$E$203=A10)*Transaktionen!$Z$4:$Z$203)),"")</f>
        <v/>
      </c>
      <c r="H10" s="311">
        <f>IFERROR(IF(A10="","",SUMPRODUCT((Transaktionen!$C$4:$C$203="Ausgabe")*(Transaktionen!$E$4:$E$203=A10)*Transaktionen!$AA$4:$AA$203)),"")</f>
        <v/>
      </c>
      <c r="I10" s="311">
        <f>IFERROR(IF(A10="","",SUMPRODUCT((Transaktionen!$C$4:$C$203="Ausgabe")*(Transaktionen!$E$4:$E$203=A10)*Transaktionen!$AB$4:$AB$203)),"")</f>
        <v/>
      </c>
      <c r="J10" s="311">
        <f>IFERROR(IF(A10="","",SUMPRODUCT((Transaktionen!$C$4:$C$203="Ausgabe")*(Transaktionen!$E$4:$E$203=A10)*Transaktionen!$AC$4:$AC$203)),"")</f>
        <v/>
      </c>
      <c r="K10" s="311">
        <f>IFERROR(IF(A10="","",SUMPRODUCT((Transaktionen!$C$4:$C$203="Ausgabe")*(Transaktionen!$E$4:$E$203=A10)*Transaktionen!$AD$4:$AD$203)),"")</f>
        <v/>
      </c>
      <c r="L10" s="311">
        <f>IFERROR(IF(A10="","",SUMPRODUCT((Transaktionen!$C$4:$C$203="Ausgabe")*(Transaktionen!$E$4:$E$203=A10)*Transaktionen!$AE$4:$AE$203)),"")</f>
        <v/>
      </c>
      <c r="M10" s="311">
        <f>IFERROR(IF(A10="","",SUMPRODUCT((Transaktionen!$C$4:$C$203="Ausgabe")*(Transaktionen!$E$4:$E$203=A10)*Transaktionen!$AF$4:$AF$203)),"")</f>
        <v/>
      </c>
      <c r="N10" s="312">
        <f>IFERROR(IF(A10="","",SUMPRODUCT((Transaktionen!$C$4:$C$203="Ausgabe")*(Transaktionen!$E$4:$E$203=A10)*Transaktionen!$AG$4:$AG$203)),"")</f>
        <v/>
      </c>
      <c r="O10" s="153" t="n"/>
      <c r="P10" s="153" t="n"/>
      <c r="Q10" s="153" t="n"/>
      <c r="R10" s="153" t="n"/>
      <c r="S10" s="153" t="n"/>
      <c r="T10" s="153" t="n"/>
      <c r="U10" s="153" t="n"/>
      <c r="V10" s="153" t="n"/>
      <c r="W10" s="153" t="n"/>
      <c r="X10" s="153" t="n"/>
      <c r="Y10" s="153" t="n"/>
    </row>
    <row r="11" ht="24" customHeight="1" s="154">
      <c r="A11" s="313">
        <f>Kategorien!$B$11</f>
        <v/>
      </c>
      <c r="B11" s="295">
        <f>IFERROR(IF(A11="","",SUMPRODUCT((Transaktionen!$C$4:$C$203="Ausgabe")*(Transaktionen!$E$4:$E$203=A11)*Transaktionen!$G$4:$G$203)),"")</f>
        <v/>
      </c>
      <c r="C11" s="314">
        <f>IFERROR(IF(A11="","",B11/B24),"")</f>
        <v/>
      </c>
      <c r="D11" s="315">
        <f>IFERROR(IF(A11="","",SUMPRODUCT((Transaktionen!$C$4:$C$203="Ausgabe")*(Transaktionen!$E$4:$E$203=A11)*Transaktionen!$V$4:$V$203)),"")</f>
        <v/>
      </c>
      <c r="E11" s="315">
        <f>IFERROR(IF(A11="","",SUMPRODUCT((Transaktionen!$C$4:$C$203="Ausgabe")*(Transaktionen!$E$4:$E$203=A11)*Transaktionen!$W$4:$W$203)),"")</f>
        <v/>
      </c>
      <c r="F11" s="315">
        <f>IFERROR(IF(A11="","",SUMPRODUCT((Transaktionen!$C$4:$C$203="Ausgabe")*(Transaktionen!$E$4:$E$203=A11)*Transaktionen!$Y$4:$Y$203)),"")</f>
        <v/>
      </c>
      <c r="G11" s="315">
        <f>IFERROR(IF(A11="","",SUMPRODUCT((Transaktionen!$C$4:$C$203="Ausgabe")*(Transaktionen!$E$4:$E$203=A11)*Transaktionen!$Z$4:$Z$203)),"")</f>
        <v/>
      </c>
      <c r="H11" s="315">
        <f>IFERROR(IF(A11="","",SUMPRODUCT((Transaktionen!$C$4:$C$203="Ausgabe")*(Transaktionen!$E$4:$E$203=A11)*Transaktionen!$AA$4:$AA$203)),"")</f>
        <v/>
      </c>
      <c r="I11" s="315">
        <f>IFERROR(IF(A11="","",SUMPRODUCT((Transaktionen!$C$4:$C$203="Ausgabe")*(Transaktionen!$E$4:$E$203=A11)*Transaktionen!$AB$4:$AB$203)),"")</f>
        <v/>
      </c>
      <c r="J11" s="315">
        <f>IFERROR(IF(A11="","",SUMPRODUCT((Transaktionen!$C$4:$C$203="Ausgabe")*(Transaktionen!$E$4:$E$203=A11)*Transaktionen!$AC$4:$AC$203)),"")</f>
        <v/>
      </c>
      <c r="K11" s="315">
        <f>IFERROR(IF(A11="","",SUMPRODUCT((Transaktionen!$C$4:$C$203="Ausgabe")*(Transaktionen!$E$4:$E$203=A11)*Transaktionen!$AD$4:$AD$203)),"")</f>
        <v/>
      </c>
      <c r="L11" s="315">
        <f>IFERROR(IF(A11="","",SUMPRODUCT((Transaktionen!$C$4:$C$203="Ausgabe")*(Transaktionen!$E$4:$E$203=A11)*Transaktionen!$AE$4:$AE$203)),"")</f>
        <v/>
      </c>
      <c r="M11" s="315">
        <f>IFERROR(IF(A11="","",SUMPRODUCT((Transaktionen!$C$4:$C$203="Ausgabe")*(Transaktionen!$E$4:$E$203=A11)*Transaktionen!$AF$4:$AF$203)),"")</f>
        <v/>
      </c>
      <c r="N11" s="316">
        <f>IFERROR(IF(A11="","",SUMPRODUCT((Transaktionen!$C$4:$C$203="Ausgabe")*(Transaktionen!$E$4:$E$203=A11)*Transaktionen!$AG$4:$AG$203)),"")</f>
        <v/>
      </c>
      <c r="O11" s="153" t="n"/>
      <c r="P11" s="153" t="n"/>
      <c r="Q11" s="153" t="n"/>
      <c r="R11" s="153" t="n"/>
      <c r="S11" s="153" t="n"/>
      <c r="T11" s="153" t="n"/>
      <c r="U11" s="153" t="n"/>
      <c r="V11" s="153" t="n"/>
      <c r="W11" s="153" t="n"/>
      <c r="X11" s="153" t="n"/>
      <c r="Y11" s="153" t="n"/>
    </row>
    <row r="12" ht="24" customHeight="1" s="154">
      <c r="A12" s="309">
        <f>Kategorien!$B$12</f>
        <v/>
      </c>
      <c r="B12" s="290">
        <f>IFERROR(IF(A12="","",SUMPRODUCT((Transaktionen!$C$4:$C$203="Ausgabe")*(Transaktionen!$E$4:$E$203=A12)*Transaktionen!$G$4:$G$203)),"")</f>
        <v/>
      </c>
      <c r="C12" s="310">
        <f>IFERROR(IF(A12="","",B12/B24),"")</f>
        <v/>
      </c>
      <c r="D12" s="311">
        <f>IFERROR(IF(A12="","",SUMPRODUCT((Transaktionen!$C$4:$C$203="Ausgabe")*(Transaktionen!$E$4:$E$203=A12)*Transaktionen!$V$4:$V$203)),"")</f>
        <v/>
      </c>
      <c r="E12" s="311">
        <f>IFERROR(IF(A12="","",SUMPRODUCT((Transaktionen!$C$4:$C$203="Ausgabe")*(Transaktionen!$E$4:$E$203=A12)*Transaktionen!$W$4:$W$203)),"")</f>
        <v/>
      </c>
      <c r="F12" s="311">
        <f>IFERROR(IF(A12="","",SUMPRODUCT((Transaktionen!$C$4:$C$203="Ausgabe")*(Transaktionen!$E$4:$E$203=A12)*Transaktionen!$Y$4:$Y$203)),"")</f>
        <v/>
      </c>
      <c r="G12" s="311">
        <f>IFERROR(IF(A12="","",SUMPRODUCT((Transaktionen!$C$4:$C$203="Ausgabe")*(Transaktionen!$E$4:$E$203=A12)*Transaktionen!$Z$4:$Z$203)),"")</f>
        <v/>
      </c>
      <c r="H12" s="311">
        <f>IFERROR(IF(A12="","",SUMPRODUCT((Transaktionen!$C$4:$C$203="Ausgabe")*(Transaktionen!$E$4:$E$203=A12)*Transaktionen!$AA$4:$AA$203)),"")</f>
        <v/>
      </c>
      <c r="I12" s="311">
        <f>IFERROR(IF(A12="","",SUMPRODUCT((Transaktionen!$C$4:$C$203="Ausgabe")*(Transaktionen!$E$4:$E$203=A12)*Transaktionen!$AB$4:$AB$203)),"")</f>
        <v/>
      </c>
      <c r="J12" s="311">
        <f>IFERROR(IF(A12="","",SUMPRODUCT((Transaktionen!$C$4:$C$203="Ausgabe")*(Transaktionen!$E$4:$E$203=A12)*Transaktionen!$AC$4:$AC$203)),"")</f>
        <v/>
      </c>
      <c r="K12" s="311">
        <f>IFERROR(IF(A12="","",SUMPRODUCT((Transaktionen!$C$4:$C$203="Ausgabe")*(Transaktionen!$E$4:$E$203=A12)*Transaktionen!$AD$4:$AD$203)),"")</f>
        <v/>
      </c>
      <c r="L12" s="311">
        <f>IFERROR(IF(A12="","",SUMPRODUCT((Transaktionen!$C$4:$C$203="Ausgabe")*(Transaktionen!$E$4:$E$203=A12)*Transaktionen!$AE$4:$AE$203)),"")</f>
        <v/>
      </c>
      <c r="M12" s="311">
        <f>IFERROR(IF(A12="","",SUMPRODUCT((Transaktionen!$C$4:$C$203="Ausgabe")*(Transaktionen!$E$4:$E$203=A12)*Transaktionen!$AF$4:$AF$203)),"")</f>
        <v/>
      </c>
      <c r="N12" s="312">
        <f>IFERROR(IF(A12="","",SUMPRODUCT((Transaktionen!$C$4:$C$203="Ausgabe")*(Transaktionen!$E$4:$E$203=A12)*Transaktionen!$AG$4:$AG$203)),"")</f>
        <v/>
      </c>
      <c r="O12" s="153" t="n"/>
      <c r="P12" s="153" t="n"/>
      <c r="Q12" s="153" t="n"/>
      <c r="R12" s="153" t="n"/>
      <c r="S12" s="153" t="n"/>
      <c r="T12" s="153" t="n"/>
      <c r="U12" s="153" t="n"/>
      <c r="V12" s="153" t="n"/>
      <c r="W12" s="153" t="n"/>
      <c r="X12" s="153" t="n"/>
      <c r="Y12" s="153" t="n"/>
    </row>
    <row r="13" ht="24" customHeight="1" s="154">
      <c r="A13" s="313">
        <f>Kategorien!$B$13</f>
        <v/>
      </c>
      <c r="B13" s="295">
        <f>IFERROR(IF(A13="","",SUMPRODUCT((Transaktionen!$C$4:$C$203="Ausgabe")*(Transaktionen!$E$4:$E$203=A13)*Transaktionen!$G$4:$G$203)),"")</f>
        <v/>
      </c>
      <c r="C13" s="314">
        <f>IFERROR(IF(A13="","",B13/B24),"")</f>
        <v/>
      </c>
      <c r="D13" s="315">
        <f>IFERROR(IF(A13="","",SUMPRODUCT((Transaktionen!$C$4:$C$203="Ausgabe")*(Transaktionen!$E$4:$E$203=A13)*Transaktionen!$V$4:$V$203)),"")</f>
        <v/>
      </c>
      <c r="E13" s="315">
        <f>IFERROR(IF(A13="","",SUMPRODUCT((Transaktionen!$C$4:$C$203="Ausgabe")*(Transaktionen!$E$4:$E$203=A13)*Transaktionen!$W$4:$W$203)),"")</f>
        <v/>
      </c>
      <c r="F13" s="315">
        <f>IFERROR(IF(A13="","",SUMPRODUCT((Transaktionen!$C$4:$C$203="Ausgabe")*(Transaktionen!$E$4:$E$203=A13)*Transaktionen!$Y$4:$Y$203)),"")</f>
        <v/>
      </c>
      <c r="G13" s="315">
        <f>IFERROR(IF(A13="","",SUMPRODUCT((Transaktionen!$C$4:$C$203="Ausgabe")*(Transaktionen!$E$4:$E$203=A13)*Transaktionen!$Z$4:$Z$203)),"")</f>
        <v/>
      </c>
      <c r="H13" s="315">
        <f>IFERROR(IF(A13="","",SUMPRODUCT((Transaktionen!$C$4:$C$203="Ausgabe")*(Transaktionen!$E$4:$E$203=A13)*Transaktionen!$AA$4:$AA$203)),"")</f>
        <v/>
      </c>
      <c r="I13" s="315">
        <f>IFERROR(IF(A13="","",SUMPRODUCT((Transaktionen!$C$4:$C$203="Ausgabe")*(Transaktionen!$E$4:$E$203=A13)*Transaktionen!$AB$4:$AB$203)),"")</f>
        <v/>
      </c>
      <c r="J13" s="315">
        <f>IFERROR(IF(A13="","",SUMPRODUCT((Transaktionen!$C$4:$C$203="Ausgabe")*(Transaktionen!$E$4:$E$203=A13)*Transaktionen!$AC$4:$AC$203)),"")</f>
        <v/>
      </c>
      <c r="K13" s="315">
        <f>IFERROR(IF(A13="","",SUMPRODUCT((Transaktionen!$C$4:$C$203="Ausgabe")*(Transaktionen!$E$4:$E$203=A13)*Transaktionen!$AD$4:$AD$203)),"")</f>
        <v/>
      </c>
      <c r="L13" s="315">
        <f>IFERROR(IF(A13="","",SUMPRODUCT((Transaktionen!$C$4:$C$203="Ausgabe")*(Transaktionen!$E$4:$E$203=A13)*Transaktionen!$AE$4:$AE$203)),"")</f>
        <v/>
      </c>
      <c r="M13" s="315">
        <f>IFERROR(IF(A13="","",SUMPRODUCT((Transaktionen!$C$4:$C$203="Ausgabe")*(Transaktionen!$E$4:$E$203=A13)*Transaktionen!$AF$4:$AF$203)),"")</f>
        <v/>
      </c>
      <c r="N13" s="316">
        <f>IFERROR(IF(A13="","",SUMPRODUCT((Transaktionen!$C$4:$C$203="Ausgabe")*(Transaktionen!$E$4:$E$203=A13)*Transaktionen!$AG$4:$AG$203)),"")</f>
        <v/>
      </c>
      <c r="O13" s="153" t="n"/>
      <c r="P13" s="153" t="n"/>
      <c r="Q13" s="153" t="n"/>
      <c r="R13" s="153" t="n"/>
      <c r="S13" s="153" t="n"/>
      <c r="T13" s="153" t="n"/>
      <c r="U13" s="153" t="n"/>
      <c r="V13" s="153" t="n"/>
      <c r="W13" s="153" t="n"/>
      <c r="X13" s="153" t="n"/>
      <c r="Y13" s="153" t="n"/>
    </row>
    <row r="14" ht="24" customHeight="1" s="154">
      <c r="A14" s="309">
        <f>Kategorien!$B$14</f>
        <v/>
      </c>
      <c r="B14" s="290">
        <f>IFERROR(IF(A14="","",SUMPRODUCT((Transaktionen!$C$4:$C$203="Ausgabe")*(Transaktionen!$E$4:$E$203=A14)*Transaktionen!$G$4:$G$203)),"")</f>
        <v/>
      </c>
      <c r="C14" s="310">
        <f>IFERROR(IF(A14="","",B14/B24),"")</f>
        <v/>
      </c>
      <c r="D14" s="311">
        <f>IFERROR(IF(A14="","",SUMPRODUCT((Transaktionen!$C$4:$C$203="Ausgabe")*(Transaktionen!$E$4:$E$203=A14)*Transaktionen!$V$4:$V$203)),"")</f>
        <v/>
      </c>
      <c r="E14" s="311">
        <f>IFERROR(IF(A14="","",SUMPRODUCT((Transaktionen!$C$4:$C$203="Ausgabe")*(Transaktionen!$E$4:$E$203=A14)*Transaktionen!$W$4:$W$203)),"")</f>
        <v/>
      </c>
      <c r="F14" s="311">
        <f>IFERROR(IF(A14="","",SUMPRODUCT((Transaktionen!$C$4:$C$203="Ausgabe")*(Transaktionen!$E$4:$E$203=A14)*Transaktionen!$Y$4:$Y$203)),"")</f>
        <v/>
      </c>
      <c r="G14" s="311">
        <f>IFERROR(IF(A14="","",SUMPRODUCT((Transaktionen!$C$4:$C$203="Ausgabe")*(Transaktionen!$E$4:$E$203=A14)*Transaktionen!$Z$4:$Z$203)),"")</f>
        <v/>
      </c>
      <c r="H14" s="311">
        <f>IFERROR(IF(A14="","",SUMPRODUCT((Transaktionen!$C$4:$C$203="Ausgabe")*(Transaktionen!$E$4:$E$203=A14)*Transaktionen!$AA$4:$AA$203)),"")</f>
        <v/>
      </c>
      <c r="I14" s="311">
        <f>IFERROR(IF(A14="","",SUMPRODUCT((Transaktionen!$C$4:$C$203="Ausgabe")*(Transaktionen!$E$4:$E$203=A14)*Transaktionen!$AB$4:$AB$203)),"")</f>
        <v/>
      </c>
      <c r="J14" s="311">
        <f>IFERROR(IF(A14="","",SUMPRODUCT((Transaktionen!$C$4:$C$203="Ausgabe")*(Transaktionen!$E$4:$E$203=A14)*Transaktionen!$AC$4:$AC$203)),"")</f>
        <v/>
      </c>
      <c r="K14" s="311">
        <f>IFERROR(IF(A14="","",SUMPRODUCT((Transaktionen!$C$4:$C$203="Ausgabe")*(Transaktionen!$E$4:$E$203=A14)*Transaktionen!$AD$4:$AD$203)),"")</f>
        <v/>
      </c>
      <c r="L14" s="311">
        <f>IFERROR(IF(A14="","",SUMPRODUCT((Transaktionen!$C$4:$C$203="Ausgabe")*(Transaktionen!$E$4:$E$203=A14)*Transaktionen!$AE$4:$AE$203)),"")</f>
        <v/>
      </c>
      <c r="M14" s="311">
        <f>IFERROR(IF(A14="","",SUMPRODUCT((Transaktionen!$C$4:$C$203="Ausgabe")*(Transaktionen!$E$4:$E$203=A14)*Transaktionen!$AF$4:$AF$203)),"")</f>
        <v/>
      </c>
      <c r="N14" s="312">
        <f>IFERROR(IF(A14="","",SUMPRODUCT((Transaktionen!$C$4:$C$203="Ausgabe")*(Transaktionen!$E$4:$E$203=A14)*Transaktionen!$AG$4:$AG$203)),"")</f>
        <v/>
      </c>
      <c r="O14" s="153" t="n"/>
      <c r="P14" s="153" t="n"/>
      <c r="Q14" s="153" t="n"/>
      <c r="R14" s="153" t="n"/>
      <c r="S14" s="153" t="n"/>
      <c r="T14" s="153" t="n"/>
      <c r="U14" s="153" t="n"/>
      <c r="V14" s="153" t="n"/>
      <c r="W14" s="153" t="n"/>
      <c r="X14" s="153" t="n"/>
      <c r="Y14" s="153" t="n"/>
    </row>
    <row r="15" ht="24" customHeight="1" s="154">
      <c r="A15" s="313">
        <f>Kategorien!$B$15</f>
        <v/>
      </c>
      <c r="B15" s="295">
        <f>IFERROR(IF(A15="","",SUMPRODUCT((Transaktionen!$C$4:$C$203="Ausgabe")*(Transaktionen!$E$4:$E$203=A15)*Transaktionen!$G$4:$G$203)),"")</f>
        <v/>
      </c>
      <c r="C15" s="314">
        <f>IFERROR(IF(A15="","",B15/B24),"")</f>
        <v/>
      </c>
      <c r="D15" s="315">
        <f>IFERROR(IF(A15="","",SUMPRODUCT((Transaktionen!$C$4:$C$203="Ausgabe")*(Transaktionen!$E$4:$E$203=A15)*Transaktionen!$V$4:$V$203)),"")</f>
        <v/>
      </c>
      <c r="E15" s="315">
        <f>IFERROR(IF(A15="","",SUMPRODUCT((Transaktionen!$C$4:$C$203="Ausgabe")*(Transaktionen!$E$4:$E$203=A15)*Transaktionen!$W$4:$W$203)),"")</f>
        <v/>
      </c>
      <c r="F15" s="315">
        <f>IFERROR(IF(A15="","",SUMPRODUCT((Transaktionen!$C$4:$C$203="Ausgabe")*(Transaktionen!$E$4:$E$203=A15)*Transaktionen!$Y$4:$Y$203)),"")</f>
        <v/>
      </c>
      <c r="G15" s="315">
        <f>IFERROR(IF(A15="","",SUMPRODUCT((Transaktionen!$C$4:$C$203="Ausgabe")*(Transaktionen!$E$4:$E$203=A15)*Transaktionen!$Z$4:$Z$203)),"")</f>
        <v/>
      </c>
      <c r="H15" s="315">
        <f>IFERROR(IF(A15="","",SUMPRODUCT((Transaktionen!$C$4:$C$203="Ausgabe")*(Transaktionen!$E$4:$E$203=A15)*Transaktionen!$AA$4:$AA$203)),"")</f>
        <v/>
      </c>
      <c r="I15" s="315">
        <f>IFERROR(IF(A15="","",SUMPRODUCT((Transaktionen!$C$4:$C$203="Ausgabe")*(Transaktionen!$E$4:$E$203=A15)*Transaktionen!$AB$4:$AB$203)),"")</f>
        <v/>
      </c>
      <c r="J15" s="315">
        <f>IFERROR(IF(A15="","",SUMPRODUCT((Transaktionen!$C$4:$C$203="Ausgabe")*(Transaktionen!$E$4:$E$203=A15)*Transaktionen!$AC$4:$AC$203)),"")</f>
        <v/>
      </c>
      <c r="K15" s="315">
        <f>IFERROR(IF(A15="","",SUMPRODUCT((Transaktionen!$C$4:$C$203="Ausgabe")*(Transaktionen!$E$4:$E$203=A15)*Transaktionen!$AD$4:$AD$203)),"")</f>
        <v/>
      </c>
      <c r="L15" s="315">
        <f>IFERROR(IF(A15="","",SUMPRODUCT((Transaktionen!$C$4:$C$203="Ausgabe")*(Transaktionen!$E$4:$E$203=A15)*Transaktionen!$AE$4:$AE$203)),"")</f>
        <v/>
      </c>
      <c r="M15" s="315">
        <f>IFERROR(IF(A15="","",SUMPRODUCT((Transaktionen!$C$4:$C$203="Ausgabe")*(Transaktionen!$E$4:$E$203=A15)*Transaktionen!$AF$4:$AF$203)),"")</f>
        <v/>
      </c>
      <c r="N15" s="316">
        <f>IFERROR(IF(A15="","",SUMPRODUCT((Transaktionen!$C$4:$C$203="Ausgabe")*(Transaktionen!$E$4:$E$203=A15)*Transaktionen!$AG$4:$AG$203)),"")</f>
        <v/>
      </c>
      <c r="O15" s="153" t="n"/>
      <c r="P15" s="153" t="n"/>
      <c r="Q15" s="153" t="n"/>
      <c r="R15" s="153" t="n"/>
      <c r="S15" s="153" t="n"/>
      <c r="T15" s="153" t="n"/>
      <c r="U15" s="153" t="n"/>
      <c r="V15" s="153" t="n"/>
      <c r="W15" s="153" t="n"/>
      <c r="X15" s="153" t="n"/>
      <c r="Y15" s="153" t="n"/>
    </row>
    <row r="16" ht="24" customHeight="1" s="154">
      <c r="A16" s="309">
        <f>Kategorien!$B$16</f>
        <v/>
      </c>
      <c r="B16" s="290">
        <f>IFERROR(IF(A16="","",SUMPRODUCT((Transaktionen!$C$4:$C$203="Ausgabe")*(Transaktionen!$E$4:$E$203=A16)*Transaktionen!$G$4:$G$203)),"")</f>
        <v/>
      </c>
      <c r="C16" s="310">
        <f>IFERROR(IF(A16="","",B16/B24),"")</f>
        <v/>
      </c>
      <c r="D16" s="311">
        <f>IFERROR(IF(A16="","",SUMPRODUCT((Transaktionen!$C$4:$C$203="Ausgabe")*(Transaktionen!$E$4:$E$203=A16)*Transaktionen!$V$4:$V$203)),"")</f>
        <v/>
      </c>
      <c r="E16" s="311">
        <f>IFERROR(IF(A16="","",SUMPRODUCT((Transaktionen!$C$4:$C$203="Ausgabe")*(Transaktionen!$E$4:$E$203=A16)*Transaktionen!$W$4:$W$203)),"")</f>
        <v/>
      </c>
      <c r="F16" s="311">
        <f>IFERROR(IF(A16="","",SUMPRODUCT((Transaktionen!$C$4:$C$203="Ausgabe")*(Transaktionen!$E$4:$E$203=A16)*Transaktionen!$Y$4:$Y$203)),"")</f>
        <v/>
      </c>
      <c r="G16" s="311">
        <f>IFERROR(IF(A16="","",SUMPRODUCT((Transaktionen!$C$4:$C$203="Ausgabe")*(Transaktionen!$E$4:$E$203=A16)*Transaktionen!$Z$4:$Z$203)),"")</f>
        <v/>
      </c>
      <c r="H16" s="311">
        <f>IFERROR(IF(A16="","",SUMPRODUCT((Transaktionen!$C$4:$C$203="Ausgabe")*(Transaktionen!$E$4:$E$203=A16)*Transaktionen!$AA$4:$AA$203)),"")</f>
        <v/>
      </c>
      <c r="I16" s="311">
        <f>IFERROR(IF(A16="","",SUMPRODUCT((Transaktionen!$C$4:$C$203="Ausgabe")*(Transaktionen!$E$4:$E$203=A16)*Transaktionen!$AB$4:$AB$203)),"")</f>
        <v/>
      </c>
      <c r="J16" s="311">
        <f>IFERROR(IF(A16="","",SUMPRODUCT((Transaktionen!$C$4:$C$203="Ausgabe")*(Transaktionen!$E$4:$E$203=A16)*Transaktionen!$AC$4:$AC$203)),"")</f>
        <v/>
      </c>
      <c r="K16" s="311">
        <f>IFERROR(IF(A16="","",SUMPRODUCT((Transaktionen!$C$4:$C$203="Ausgabe")*(Transaktionen!$E$4:$E$203=A16)*Transaktionen!$AD$4:$AD$203)),"")</f>
        <v/>
      </c>
      <c r="L16" s="311">
        <f>IFERROR(IF(A16="","",SUMPRODUCT((Transaktionen!$C$4:$C$203="Ausgabe")*(Transaktionen!$E$4:$E$203=A16)*Transaktionen!$AE$4:$AE$203)),"")</f>
        <v/>
      </c>
      <c r="M16" s="311">
        <f>IFERROR(IF(A16="","",SUMPRODUCT((Transaktionen!$C$4:$C$203="Ausgabe")*(Transaktionen!$E$4:$E$203=A16)*Transaktionen!$AF$4:$AF$203)),"")</f>
        <v/>
      </c>
      <c r="N16" s="312">
        <f>IFERROR(IF(A16="","",SUMPRODUCT((Transaktionen!$C$4:$C$203="Ausgabe")*(Transaktionen!$E$4:$E$203=A16)*Transaktionen!$AG$4:$AG$203)),"")</f>
        <v/>
      </c>
      <c r="O16" s="153" t="n"/>
      <c r="P16" s="153" t="n"/>
      <c r="Q16" s="153" t="n"/>
      <c r="R16" s="153" t="n"/>
      <c r="S16" s="153" t="n"/>
      <c r="T16" s="153" t="n"/>
      <c r="U16" s="153" t="n"/>
      <c r="V16" s="153" t="n"/>
      <c r="W16" s="153" t="n"/>
      <c r="X16" s="153" t="n"/>
      <c r="Y16" s="153" t="n"/>
    </row>
    <row r="17" ht="24" customHeight="1" s="154">
      <c r="A17" s="313">
        <f>Kategorien!$B$17</f>
        <v/>
      </c>
      <c r="B17" s="295">
        <f>IFERROR(IF(A17="","",SUMPRODUCT((Transaktionen!$C$4:$C$203="Ausgabe")*(Transaktionen!$E$4:$E$203=A17)*Transaktionen!$G$4:$G$203)),"")</f>
        <v/>
      </c>
      <c r="C17" s="314">
        <f>IFERROR(IF(A17="","",B17/B24),"")</f>
        <v/>
      </c>
      <c r="D17" s="315">
        <f>IFERROR(IF(A17="","",SUMPRODUCT((Transaktionen!$C$4:$C$203="Ausgabe")*(Transaktionen!$E$4:$E$203=A17)*Transaktionen!$V$4:$V$203)),"")</f>
        <v/>
      </c>
      <c r="E17" s="315">
        <f>IFERROR(IF(A17="","",SUMPRODUCT((Transaktionen!$C$4:$C$203="Ausgabe")*(Transaktionen!$E$4:$E$203=A17)*Transaktionen!$W$4:$W$203)),"")</f>
        <v/>
      </c>
      <c r="F17" s="315">
        <f>IFERROR(IF(A17="","",SUMPRODUCT((Transaktionen!$C$4:$C$203="Ausgabe")*(Transaktionen!$E$4:$E$203=A17)*Transaktionen!$Y$4:$Y$203)),"")</f>
        <v/>
      </c>
      <c r="G17" s="315">
        <f>IFERROR(IF(A17="","",SUMPRODUCT((Transaktionen!$C$4:$C$203="Ausgabe")*(Transaktionen!$E$4:$E$203=A17)*Transaktionen!$Z$4:$Z$203)),"")</f>
        <v/>
      </c>
      <c r="H17" s="315">
        <f>IFERROR(IF(A17="","",SUMPRODUCT((Transaktionen!$C$4:$C$203="Ausgabe")*(Transaktionen!$E$4:$E$203=A17)*Transaktionen!$AA$4:$AA$203)),"")</f>
        <v/>
      </c>
      <c r="I17" s="315">
        <f>IFERROR(IF(A17="","",SUMPRODUCT((Transaktionen!$C$4:$C$203="Ausgabe")*(Transaktionen!$E$4:$E$203=A17)*Transaktionen!$AB$4:$AB$203)),"")</f>
        <v/>
      </c>
      <c r="J17" s="315">
        <f>IFERROR(IF(A17="","",SUMPRODUCT((Transaktionen!$C$4:$C$203="Ausgabe")*(Transaktionen!$E$4:$E$203=A17)*Transaktionen!$AC$4:$AC$203)),"")</f>
        <v/>
      </c>
      <c r="K17" s="315">
        <f>IFERROR(IF(A17="","",SUMPRODUCT((Transaktionen!$C$4:$C$203="Ausgabe")*(Transaktionen!$E$4:$E$203=A17)*Transaktionen!$AD$4:$AD$203)),"")</f>
        <v/>
      </c>
      <c r="L17" s="315">
        <f>IFERROR(IF(A17="","",SUMPRODUCT((Transaktionen!$C$4:$C$203="Ausgabe")*(Transaktionen!$E$4:$E$203=A17)*Transaktionen!$AE$4:$AE$203)),"")</f>
        <v/>
      </c>
      <c r="M17" s="315">
        <f>IFERROR(IF(A17="","",SUMPRODUCT((Transaktionen!$C$4:$C$203="Ausgabe")*(Transaktionen!$E$4:$E$203=A17)*Transaktionen!$AF$4:$AF$203)),"")</f>
        <v/>
      </c>
      <c r="N17" s="316">
        <f>IFERROR(IF(A17="","",SUMPRODUCT((Transaktionen!$C$4:$C$203="Ausgabe")*(Transaktionen!$E$4:$E$203=A17)*Transaktionen!$AG$4:$AG$203)),"")</f>
        <v/>
      </c>
      <c r="O17" s="153" t="n"/>
      <c r="P17" s="153" t="n"/>
      <c r="Q17" s="153" t="n"/>
      <c r="R17" s="153" t="n"/>
      <c r="S17" s="153" t="n"/>
      <c r="T17" s="153" t="n"/>
      <c r="U17" s="153" t="n"/>
      <c r="V17" s="153" t="n"/>
      <c r="W17" s="153" t="n"/>
      <c r="X17" s="153" t="n"/>
      <c r="Y17" s="153" t="n"/>
    </row>
    <row r="18" ht="24" customHeight="1" s="154">
      <c r="A18" s="309">
        <f>Kategorien!$B$18</f>
        <v/>
      </c>
      <c r="B18" s="290">
        <f>IFERROR(IF(A18="","",SUMPRODUCT((Transaktionen!$C$4:$C$203="Ausgabe")*(Transaktionen!$E$4:$E$203=A18)*Transaktionen!$G$4:$G$203)),"")</f>
        <v/>
      </c>
      <c r="C18" s="310">
        <f>IFERROR(IF(A18="","",B18/B24),"")</f>
        <v/>
      </c>
      <c r="D18" s="311">
        <f>IFERROR(IF(A18="","",SUMPRODUCT((Transaktionen!$C$4:$C$203="Ausgabe")*(Transaktionen!$E$4:$E$203=A18)*Transaktionen!$V$4:$V$203)),"")</f>
        <v/>
      </c>
      <c r="E18" s="311">
        <f>IFERROR(IF(A18="","",SUMPRODUCT((Transaktionen!$C$4:$C$203="Ausgabe")*(Transaktionen!$E$4:$E$203=A18)*Transaktionen!$W$4:$W$203)),"")</f>
        <v/>
      </c>
      <c r="F18" s="311">
        <f>IFERROR(IF(A18="","",SUMPRODUCT((Transaktionen!$C$4:$C$203="Ausgabe")*(Transaktionen!$E$4:$E$203=A18)*Transaktionen!$Y$4:$Y$203)),"")</f>
        <v/>
      </c>
      <c r="G18" s="311">
        <f>IFERROR(IF(A18="","",SUMPRODUCT((Transaktionen!$C$4:$C$203="Ausgabe")*(Transaktionen!$E$4:$E$203=A18)*Transaktionen!$Z$4:$Z$203)),"")</f>
        <v/>
      </c>
      <c r="H18" s="311">
        <f>IFERROR(IF(A18="","",SUMPRODUCT((Transaktionen!$C$4:$C$203="Ausgabe")*(Transaktionen!$E$4:$E$203=A18)*Transaktionen!$AA$4:$AA$203)),"")</f>
        <v/>
      </c>
      <c r="I18" s="311">
        <f>IFERROR(IF(A18="","",SUMPRODUCT((Transaktionen!$C$4:$C$203="Ausgabe")*(Transaktionen!$E$4:$E$203=A18)*Transaktionen!$AB$4:$AB$203)),"")</f>
        <v/>
      </c>
      <c r="J18" s="311">
        <f>IFERROR(IF(A18="","",SUMPRODUCT((Transaktionen!$C$4:$C$203="Ausgabe")*(Transaktionen!$E$4:$E$203=A18)*Transaktionen!$AC$4:$AC$203)),"")</f>
        <v/>
      </c>
      <c r="K18" s="311">
        <f>IFERROR(IF(A18="","",SUMPRODUCT((Transaktionen!$C$4:$C$203="Ausgabe")*(Transaktionen!$E$4:$E$203=A18)*Transaktionen!$AD$4:$AD$203)),"")</f>
        <v/>
      </c>
      <c r="L18" s="311">
        <f>IFERROR(IF(A18="","",SUMPRODUCT((Transaktionen!$C$4:$C$203="Ausgabe")*(Transaktionen!$E$4:$E$203=A18)*Transaktionen!$AE$4:$AE$203)),"")</f>
        <v/>
      </c>
      <c r="M18" s="311">
        <f>IFERROR(IF(A18="","",SUMPRODUCT((Transaktionen!$C$4:$C$203="Ausgabe")*(Transaktionen!$E$4:$E$203=A18)*Transaktionen!$AF$4:$AF$203)),"")</f>
        <v/>
      </c>
      <c r="N18" s="312">
        <f>IFERROR(IF(A18="","",SUMPRODUCT((Transaktionen!$C$4:$C$203="Ausgabe")*(Transaktionen!$E$4:$E$203=A18)*Transaktionen!$AG$4:$AG$203)),"")</f>
        <v/>
      </c>
      <c r="O18" s="153" t="n"/>
      <c r="P18" s="153" t="n"/>
      <c r="Q18" s="153" t="n"/>
      <c r="R18" s="153" t="n"/>
      <c r="S18" s="153" t="n"/>
      <c r="T18" s="153" t="n"/>
      <c r="U18" s="153" t="n"/>
      <c r="V18" s="153" t="n"/>
      <c r="W18" s="153" t="n"/>
      <c r="X18" s="153" t="n"/>
      <c r="Y18" s="153" t="n"/>
    </row>
    <row r="19" ht="24" customHeight="1" s="154">
      <c r="A19" s="313">
        <f>Kategorien!$B$19</f>
        <v/>
      </c>
      <c r="B19" s="295">
        <f>IFERROR(IF(A19="","",SUMPRODUCT((Transaktionen!$C$4:$C$203="Ausgabe")*(Transaktionen!$E$4:$E$203=A19)*Transaktionen!$G$4:$G$203)),"")</f>
        <v/>
      </c>
      <c r="C19" s="314">
        <f>IFERROR(IF(A19="","",B19/B24),"")</f>
        <v/>
      </c>
      <c r="D19" s="315">
        <f>IFERROR(IF(A19="","",SUMPRODUCT((Transaktionen!$C$4:$C$203="Ausgabe")*(Transaktionen!$E$4:$E$203=A19)*Transaktionen!$V$4:$V$203)),"")</f>
        <v/>
      </c>
      <c r="E19" s="315">
        <f>IFERROR(IF(A19="","",SUMPRODUCT((Transaktionen!$C$4:$C$203="Ausgabe")*(Transaktionen!$E$4:$E$203=A19)*Transaktionen!$W$4:$W$203)),"")</f>
        <v/>
      </c>
      <c r="F19" s="315">
        <f>IFERROR(IF(A19="","",SUMPRODUCT((Transaktionen!$C$4:$C$203="Ausgabe")*(Transaktionen!$E$4:$E$203=A19)*Transaktionen!$Y$4:$Y$203)),"")</f>
        <v/>
      </c>
      <c r="G19" s="315">
        <f>IFERROR(IF(A19="","",SUMPRODUCT((Transaktionen!$C$4:$C$203="Ausgabe")*(Transaktionen!$E$4:$E$203=A19)*Transaktionen!$Z$4:$Z$203)),"")</f>
        <v/>
      </c>
      <c r="H19" s="315">
        <f>IFERROR(IF(A19="","",SUMPRODUCT((Transaktionen!$C$4:$C$203="Ausgabe")*(Transaktionen!$E$4:$E$203=A19)*Transaktionen!$AA$4:$AA$203)),"")</f>
        <v/>
      </c>
      <c r="I19" s="315">
        <f>IFERROR(IF(A19="","",SUMPRODUCT((Transaktionen!$C$4:$C$203="Ausgabe")*(Transaktionen!$E$4:$E$203=A19)*Transaktionen!$AB$4:$AB$203)),"")</f>
        <v/>
      </c>
      <c r="J19" s="315">
        <f>IFERROR(IF(A19="","",SUMPRODUCT((Transaktionen!$C$4:$C$203="Ausgabe")*(Transaktionen!$E$4:$E$203=A19)*Transaktionen!$AC$4:$AC$203)),"")</f>
        <v/>
      </c>
      <c r="K19" s="315">
        <f>IFERROR(IF(A19="","",SUMPRODUCT((Transaktionen!$C$4:$C$203="Ausgabe")*(Transaktionen!$E$4:$E$203=A19)*Transaktionen!$AD$4:$AD$203)),"")</f>
        <v/>
      </c>
      <c r="L19" s="315">
        <f>IFERROR(IF(A19="","",SUMPRODUCT((Transaktionen!$C$4:$C$203="Ausgabe")*(Transaktionen!$E$4:$E$203=A19)*Transaktionen!$AE$4:$AE$203)),"")</f>
        <v/>
      </c>
      <c r="M19" s="315">
        <f>IFERROR(IF(A19="","",SUMPRODUCT((Transaktionen!$C$4:$C$203="Ausgabe")*(Transaktionen!$E$4:$E$203=A19)*Transaktionen!$AF$4:$AF$203)),"")</f>
        <v/>
      </c>
      <c r="N19" s="316">
        <f>IFERROR(IF(A19="","",SUMPRODUCT((Transaktionen!$C$4:$C$203="Ausgabe")*(Transaktionen!$E$4:$E$203=A19)*Transaktionen!$AG$4:$AG$203)),"")</f>
        <v/>
      </c>
      <c r="O19" s="153" t="n"/>
      <c r="P19" s="153" t="n"/>
      <c r="Q19" s="153" t="n"/>
      <c r="R19" s="153" t="n"/>
      <c r="S19" s="153" t="n"/>
      <c r="T19" s="153" t="n"/>
      <c r="U19" s="153" t="n"/>
      <c r="V19" s="153" t="n"/>
      <c r="W19" s="153" t="n"/>
      <c r="X19" s="153" t="n"/>
      <c r="Y19" s="153" t="n"/>
    </row>
    <row r="20" ht="24" customHeight="1" s="154">
      <c r="A20" s="309">
        <f>Kategorien!$B$20</f>
        <v/>
      </c>
      <c r="B20" s="290">
        <f>IFERROR(IF(A20="","",SUMPRODUCT((Transaktionen!$C$4:$C$203="Ausgabe")*(Transaktionen!$E$4:$E$203=A20)*Transaktionen!$G$4:$G$203)),"")</f>
        <v/>
      </c>
      <c r="C20" s="310">
        <f>IFERROR(IF(A20="","",B20/B24),"")</f>
        <v/>
      </c>
      <c r="D20" s="311">
        <f>IFERROR(IF(A20="","",SUMPRODUCT((Transaktionen!$C$4:$C$203="Ausgabe")*(Transaktionen!$E$4:$E$203=A20)*Transaktionen!$V$4:$V$203)),"")</f>
        <v/>
      </c>
      <c r="E20" s="311">
        <f>IFERROR(IF(A20="","",SUMPRODUCT((Transaktionen!$C$4:$C$203="Ausgabe")*(Transaktionen!$E$4:$E$203=A20)*Transaktionen!$W$4:$W$203)),"")</f>
        <v/>
      </c>
      <c r="F20" s="311">
        <f>IFERROR(IF(A20="","",SUMPRODUCT((Transaktionen!$C$4:$C$203="Ausgabe")*(Transaktionen!$E$4:$E$203=A20)*Transaktionen!$Y$4:$Y$203)),"")</f>
        <v/>
      </c>
      <c r="G20" s="311">
        <f>IFERROR(IF(A20="","",SUMPRODUCT((Transaktionen!$C$4:$C$203="Ausgabe")*(Transaktionen!$E$4:$E$203=A20)*Transaktionen!$Z$4:$Z$203)),"")</f>
        <v/>
      </c>
      <c r="H20" s="311">
        <f>IFERROR(IF(A20="","",SUMPRODUCT((Transaktionen!$C$4:$C$203="Ausgabe")*(Transaktionen!$E$4:$E$203=A20)*Transaktionen!$AA$4:$AA$203)),"")</f>
        <v/>
      </c>
      <c r="I20" s="311">
        <f>IFERROR(IF(A20="","",SUMPRODUCT((Transaktionen!$C$4:$C$203="Ausgabe")*(Transaktionen!$E$4:$E$203=A20)*Transaktionen!$AB$4:$AB$203)),"")</f>
        <v/>
      </c>
      <c r="J20" s="311">
        <f>IFERROR(IF(A20="","",SUMPRODUCT((Transaktionen!$C$4:$C$203="Ausgabe")*(Transaktionen!$E$4:$E$203=A20)*Transaktionen!$AC$4:$AC$203)),"")</f>
        <v/>
      </c>
      <c r="K20" s="311">
        <f>IFERROR(IF(A20="","",SUMPRODUCT((Transaktionen!$C$4:$C$203="Ausgabe")*(Transaktionen!$E$4:$E$203=A20)*Transaktionen!$AD$4:$AD$203)),"")</f>
        <v/>
      </c>
      <c r="L20" s="311">
        <f>IFERROR(IF(A20="","",SUMPRODUCT((Transaktionen!$C$4:$C$203="Ausgabe")*(Transaktionen!$E$4:$E$203=A20)*Transaktionen!$AE$4:$AE$203)),"")</f>
        <v/>
      </c>
      <c r="M20" s="311">
        <f>IFERROR(IF(A20="","",SUMPRODUCT((Transaktionen!$C$4:$C$203="Ausgabe")*(Transaktionen!$E$4:$E$203=A20)*Transaktionen!$AF$4:$AF$203)),"")</f>
        <v/>
      </c>
      <c r="N20" s="312">
        <f>IFERROR(IF(A20="","",SUMPRODUCT((Transaktionen!$C$4:$C$203="Ausgabe")*(Transaktionen!$E$4:$E$203=A20)*Transaktionen!$AG$4:$AG$203)),"")</f>
        <v/>
      </c>
      <c r="O20" s="153" t="n"/>
      <c r="P20" s="153" t="n"/>
      <c r="Q20" s="153" t="n"/>
      <c r="R20" s="153" t="n"/>
      <c r="S20" s="153" t="n"/>
      <c r="T20" s="153" t="n"/>
      <c r="U20" s="153" t="n"/>
      <c r="V20" s="153" t="n"/>
      <c r="W20" s="153" t="n"/>
      <c r="X20" s="153" t="n"/>
      <c r="Y20" s="153" t="n"/>
    </row>
    <row r="21" ht="24" customHeight="1" s="154">
      <c r="A21" s="313">
        <f>Kategorien!$B$21</f>
        <v/>
      </c>
      <c r="B21" s="295">
        <f>IFERROR(IF(A21="","",SUMPRODUCT((Transaktionen!$C$4:$C$203="Ausgabe")*(Transaktionen!$E$4:$E$203=A21)*Transaktionen!$G$4:$G$203)),"")</f>
        <v/>
      </c>
      <c r="C21" s="314">
        <f>IFERROR(IF(A21="","",B21/B24),"")</f>
        <v/>
      </c>
      <c r="D21" s="315">
        <f>IFERROR(IF(A21="","",SUMPRODUCT((Transaktionen!$C$4:$C$203="Ausgabe")*(Transaktionen!$E$4:$E$203=A21)*Transaktionen!$V$4:$V$203)),"")</f>
        <v/>
      </c>
      <c r="E21" s="315">
        <f>IFERROR(IF(A21="","",SUMPRODUCT((Transaktionen!$C$4:$C$203="Ausgabe")*(Transaktionen!$E$4:$E$203=A21)*Transaktionen!$W$4:$W$203)),"")</f>
        <v/>
      </c>
      <c r="F21" s="315">
        <f>IFERROR(IF(A21="","",SUMPRODUCT((Transaktionen!$C$4:$C$203="Ausgabe")*(Transaktionen!$E$4:$E$203=A21)*Transaktionen!$Y$4:$Y$203)),"")</f>
        <v/>
      </c>
      <c r="G21" s="315">
        <f>IFERROR(IF(A21="","",SUMPRODUCT((Transaktionen!$C$4:$C$203="Ausgabe")*(Transaktionen!$E$4:$E$203=A21)*Transaktionen!$Z$4:$Z$203)),"")</f>
        <v/>
      </c>
      <c r="H21" s="315">
        <f>IFERROR(IF(A21="","",SUMPRODUCT((Transaktionen!$C$4:$C$203="Ausgabe")*(Transaktionen!$E$4:$E$203=A21)*Transaktionen!$AA$4:$AA$203)),"")</f>
        <v/>
      </c>
      <c r="I21" s="315">
        <f>IFERROR(IF(A21="","",SUMPRODUCT((Transaktionen!$C$4:$C$203="Ausgabe")*(Transaktionen!$E$4:$E$203=A21)*Transaktionen!$AB$4:$AB$203)),"")</f>
        <v/>
      </c>
      <c r="J21" s="315">
        <f>IFERROR(IF(A21="","",SUMPRODUCT((Transaktionen!$C$4:$C$203="Ausgabe")*(Transaktionen!$E$4:$E$203=A21)*Transaktionen!$AC$4:$AC$203)),"")</f>
        <v/>
      </c>
      <c r="K21" s="315">
        <f>IFERROR(IF(A21="","",SUMPRODUCT((Transaktionen!$C$4:$C$203="Ausgabe")*(Transaktionen!$E$4:$E$203=A21)*Transaktionen!$AD$4:$AD$203)),"")</f>
        <v/>
      </c>
      <c r="L21" s="315">
        <f>IFERROR(IF(A21="","",SUMPRODUCT((Transaktionen!$C$4:$C$203="Ausgabe")*(Transaktionen!$E$4:$E$203=A21)*Transaktionen!$AE$4:$AE$203)),"")</f>
        <v/>
      </c>
      <c r="M21" s="315">
        <f>IFERROR(IF(A21="","",SUMPRODUCT((Transaktionen!$C$4:$C$203="Ausgabe")*(Transaktionen!$E$4:$E$203=A21)*Transaktionen!$AF$4:$AF$203)),"")</f>
        <v/>
      </c>
      <c r="N21" s="316">
        <f>IFERROR(IF(A21="","",SUMPRODUCT((Transaktionen!$C$4:$C$203="Ausgabe")*(Transaktionen!$E$4:$E$203=A21)*Transaktionen!$AG$4:$AG$203)),"")</f>
        <v/>
      </c>
      <c r="O21" s="153" t="n"/>
      <c r="P21" s="153" t="n"/>
      <c r="Q21" s="153" t="n"/>
      <c r="R21" s="153" t="n"/>
      <c r="S21" s="153" t="n"/>
      <c r="T21" s="153" t="n"/>
      <c r="U21" s="153" t="n"/>
      <c r="V21" s="153" t="n"/>
      <c r="W21" s="153" t="n"/>
      <c r="X21" s="153" t="n"/>
      <c r="Y21" s="153" t="n"/>
    </row>
    <row r="22" ht="24" customHeight="1" s="154">
      <c r="A22" s="309">
        <f>Kategorien!$B$22</f>
        <v/>
      </c>
      <c r="B22" s="290">
        <f>IFERROR(IF(A22="","",SUMPRODUCT((Transaktionen!$C$4:$C$203="Ausgabe")*(Transaktionen!$E$4:$E$203=A22)*Transaktionen!$G$4:$G$203)),"")</f>
        <v/>
      </c>
      <c r="C22" s="310">
        <f>IFERROR(IF(A22="","",B22/B24),"")</f>
        <v/>
      </c>
      <c r="D22" s="311">
        <f>IFERROR(IF(A22="","",SUMPRODUCT((Transaktionen!$C$4:$C$203="Ausgabe")*(Transaktionen!$E$4:$E$203=A22)*Transaktionen!$V$4:$V$203)),"")</f>
        <v/>
      </c>
      <c r="E22" s="311">
        <f>IFERROR(IF(A22="","",SUMPRODUCT((Transaktionen!$C$4:$C$203="Ausgabe")*(Transaktionen!$E$4:$E$203=A22)*Transaktionen!$W$4:$W$203)),"")</f>
        <v/>
      </c>
      <c r="F22" s="311">
        <f>IFERROR(IF(A22="","",SUMPRODUCT((Transaktionen!$C$4:$C$203="Ausgabe")*(Transaktionen!$E$4:$E$203=A22)*Transaktionen!$Y$4:$Y$203)),"")</f>
        <v/>
      </c>
      <c r="G22" s="311">
        <f>IFERROR(IF(A22="","",SUMPRODUCT((Transaktionen!$C$4:$C$203="Ausgabe")*(Transaktionen!$E$4:$E$203=A22)*Transaktionen!$Z$4:$Z$203)),"")</f>
        <v/>
      </c>
      <c r="H22" s="311">
        <f>IFERROR(IF(A22="","",SUMPRODUCT((Transaktionen!$C$4:$C$203="Ausgabe")*(Transaktionen!$E$4:$E$203=A22)*Transaktionen!$AA$4:$AA$203)),"")</f>
        <v/>
      </c>
      <c r="I22" s="311">
        <f>IFERROR(IF(A22="","",SUMPRODUCT((Transaktionen!$C$4:$C$203="Ausgabe")*(Transaktionen!$E$4:$E$203=A22)*Transaktionen!$AB$4:$AB$203)),"")</f>
        <v/>
      </c>
      <c r="J22" s="311">
        <f>IFERROR(IF(A22="","",SUMPRODUCT((Transaktionen!$C$4:$C$203="Ausgabe")*(Transaktionen!$E$4:$E$203=A22)*Transaktionen!$AC$4:$AC$203)),"")</f>
        <v/>
      </c>
      <c r="K22" s="311">
        <f>IFERROR(IF(A22="","",SUMPRODUCT((Transaktionen!$C$4:$C$203="Ausgabe")*(Transaktionen!$E$4:$E$203=A22)*Transaktionen!$AD$4:$AD$203)),"")</f>
        <v/>
      </c>
      <c r="L22" s="311">
        <f>IFERROR(IF(A22="","",SUMPRODUCT((Transaktionen!$C$4:$C$203="Ausgabe")*(Transaktionen!$E$4:$E$203=A22)*Transaktionen!$AE$4:$AE$203)),"")</f>
        <v/>
      </c>
      <c r="M22" s="311">
        <f>IFERROR(IF(A22="","",SUMPRODUCT((Transaktionen!$C$4:$C$203="Ausgabe")*(Transaktionen!$E$4:$E$203=A22)*Transaktionen!$AF$4:$AF$203)),"")</f>
        <v/>
      </c>
      <c r="N22" s="312">
        <f>IFERROR(IF(A22="","",SUMPRODUCT((Transaktionen!$C$4:$C$203="Ausgabe")*(Transaktionen!$E$4:$E$203=A22)*Transaktionen!$AG$4:$AG$203)),"")</f>
        <v/>
      </c>
      <c r="O22" s="153" t="n"/>
      <c r="P22" s="153" t="n"/>
      <c r="Q22" s="153" t="n"/>
      <c r="R22" s="153" t="n"/>
      <c r="S22" s="153" t="n"/>
      <c r="T22" s="153" t="n"/>
      <c r="U22" s="153" t="n"/>
      <c r="V22" s="153" t="n"/>
      <c r="W22" s="153" t="n"/>
      <c r="X22" s="153" t="n"/>
      <c r="Y22" s="153" t="n"/>
    </row>
    <row r="23" ht="24" customHeight="1" s="154">
      <c r="A23" s="317">
        <f>Kategorien!$B$23</f>
        <v/>
      </c>
      <c r="B23" s="300">
        <f>IFERROR(IF(A23="","",SUMPRODUCT((Transaktionen!$C$4:$C$203="Ausgabe")*(Transaktionen!$E$4:$E$203=A23)*Transaktionen!$G$4:$G$203)),"")</f>
        <v/>
      </c>
      <c r="C23" s="318">
        <f>IFERROR(IF(A23="","",B23/B24),"")</f>
        <v/>
      </c>
      <c r="D23" s="319">
        <f>IFERROR(IF(A23="","",SUMPRODUCT((Transaktionen!$C$4:$C$203="Ausgabe")*(Transaktionen!$E$4:$E$203=A23)*Transaktionen!$V$4:$V$203)),"")</f>
        <v/>
      </c>
      <c r="E23" s="319">
        <f>IFERROR(IF(A23="","",SUMPRODUCT((Transaktionen!$C$4:$C$203="Ausgabe")*(Transaktionen!$E$4:$E$203=A23)*Transaktionen!$W$4:$W$203)),"")</f>
        <v/>
      </c>
      <c r="F23" s="319">
        <f>IFERROR(IF(A23="","",SUMPRODUCT((Transaktionen!$C$4:$C$203="Ausgabe")*(Transaktionen!$E$4:$E$203=A23)*Transaktionen!$Y$4:$Y$203)),"")</f>
        <v/>
      </c>
      <c r="G23" s="319">
        <f>IFERROR(IF(A23="","",SUMPRODUCT((Transaktionen!$C$4:$C$203="Ausgabe")*(Transaktionen!$E$4:$E$203=A23)*Transaktionen!$Z$4:$Z$203)),"")</f>
        <v/>
      </c>
      <c r="H23" s="319">
        <f>IFERROR(IF(A23="","",SUMPRODUCT((Transaktionen!$C$4:$C$203="Ausgabe")*(Transaktionen!$E$4:$E$203=A23)*Transaktionen!$AA$4:$AA$203)),"")</f>
        <v/>
      </c>
      <c r="I23" s="319">
        <f>IFERROR(IF(A23="","",SUMPRODUCT((Transaktionen!$C$4:$C$203="Ausgabe")*(Transaktionen!$E$4:$E$203=A23)*Transaktionen!$AB$4:$AB$203)),"")</f>
        <v/>
      </c>
      <c r="J23" s="319">
        <f>IFERROR(IF(A23="","",SUMPRODUCT((Transaktionen!$C$4:$C$203="Ausgabe")*(Transaktionen!$E$4:$E$203=A23)*Transaktionen!$AC$4:$AC$203)),"")</f>
        <v/>
      </c>
      <c r="K23" s="319">
        <f>IFERROR(IF(A23="","",SUMPRODUCT((Transaktionen!$C$4:$C$203="Ausgabe")*(Transaktionen!$E$4:$E$203=A23)*Transaktionen!$AD$4:$AD$203)),"")</f>
        <v/>
      </c>
      <c r="L23" s="319">
        <f>IFERROR(IF(A23="","",SUMPRODUCT((Transaktionen!$C$4:$C$203="Ausgabe")*(Transaktionen!$E$4:$E$203=A23)*Transaktionen!$AE$4:$AE$203)),"")</f>
        <v/>
      </c>
      <c r="M23" s="319">
        <f>IFERROR(IF(A23="","",SUMPRODUCT((Transaktionen!$C$4:$C$203="Ausgabe")*(Transaktionen!$E$4:$E$203=A23)*Transaktionen!$AF$4:$AF$203)),"")</f>
        <v/>
      </c>
      <c r="N23" s="320">
        <f>IFERROR(IF(A23="","",SUMPRODUCT((Transaktionen!$C$4:$C$203="Ausgabe")*(Transaktionen!$E$4:$E$203=A23)*Transaktionen!$AG$4:$AG$203)),"")</f>
        <v/>
      </c>
      <c r="O23" s="153" t="n"/>
      <c r="P23" s="153" t="n"/>
      <c r="Q23" s="153" t="n"/>
      <c r="R23" s="153" t="n"/>
      <c r="S23" s="153" t="n"/>
      <c r="T23" s="153" t="n"/>
      <c r="U23" s="153" t="n"/>
      <c r="V23" s="153" t="n"/>
      <c r="W23" s="153" t="n"/>
      <c r="X23" s="153" t="n"/>
      <c r="Y23" s="153" t="n"/>
    </row>
    <row r="24" ht="30" customHeight="1" s="154">
      <c r="A24" s="281" t="inlineStr">
        <is>
          <t>GESAMT</t>
        </is>
      </c>
      <c r="B24" s="282">
        <f>SUM(B4:B23)</f>
        <v/>
      </c>
      <c r="C24" s="321" t="inlineStr">
        <is>
          <t>100%</t>
        </is>
      </c>
      <c r="D24" s="282">
        <f>IFERROR(SUM(Transaktionen!$V$4:$V$203),0)</f>
        <v/>
      </c>
      <c r="E24" s="282">
        <f>IFERROR(SUM(Transaktionen!$W$4:$W$203),0)</f>
        <v/>
      </c>
      <c r="F24" s="282">
        <f>IFERROR(SUM(Transaktionen!$Y$4:$Y$203),0)</f>
        <v/>
      </c>
      <c r="G24" s="282">
        <f>IFERROR(SUM(Transaktionen!$Z$4:$Z$203),0)</f>
        <v/>
      </c>
      <c r="H24" s="282">
        <f>IFERROR(SUM(Transaktionen!$AA$4:$AA$203),0)</f>
        <v/>
      </c>
      <c r="I24" s="282">
        <f>IFERROR(SUM(Transaktionen!$AB$4:$AB$203),0)</f>
        <v/>
      </c>
      <c r="J24" s="282">
        <f>IFERROR(SUM(Transaktionen!$AC$4:$AC$203),0)</f>
        <v/>
      </c>
      <c r="K24" s="282">
        <f>IFERROR(SUM(Transaktionen!$AD$4:$AD$203),0)</f>
        <v/>
      </c>
      <c r="L24" s="282">
        <f>IFERROR(SUM(Transaktionen!$AE$4:$AE$203),0)</f>
        <v/>
      </c>
      <c r="M24" s="282">
        <f>IFERROR(SUM(Transaktionen!$AF$4:$AF$203),0)</f>
        <v/>
      </c>
      <c r="N24" s="282">
        <f>IFERROR(SUM(Transaktionen!$AG$4:$AG$203),0)</f>
        <v/>
      </c>
      <c r="O24" s="153" t="n"/>
      <c r="P24" s="153" t="n"/>
      <c r="Q24" s="153" t="n"/>
      <c r="R24" s="153" t="n"/>
      <c r="S24" s="153" t="n"/>
      <c r="T24" s="153" t="n"/>
      <c r="U24" s="153" t="n"/>
      <c r="V24" s="153" t="n"/>
      <c r="W24" s="153" t="n"/>
      <c r="X24" s="153" t="n"/>
      <c r="Y24" s="153" t="n"/>
    </row>
    <row r="25" ht="15.75" customHeight="1" s="154">
      <c r="O25" s="153" t="n"/>
      <c r="P25" s="153" t="n"/>
      <c r="Q25" s="153" t="n"/>
      <c r="R25" s="153" t="n"/>
      <c r="S25" s="153" t="n"/>
      <c r="T25" s="153" t="n"/>
      <c r="U25" s="153" t="n"/>
      <c r="V25" s="153" t="n"/>
      <c r="W25" s="153" t="n"/>
      <c r="X25" s="153" t="n"/>
      <c r="Y25" s="153" t="n"/>
    </row>
    <row r="26" ht="15.75" customHeight="1" s="154">
      <c r="O26" s="153" t="n"/>
      <c r="P26" s="153" t="n"/>
      <c r="Q26" s="153" t="n"/>
      <c r="R26" s="153" t="n"/>
      <c r="S26" s="153" t="n"/>
      <c r="T26" s="153" t="n"/>
      <c r="U26" s="153" t="n"/>
      <c r="V26" s="153" t="n"/>
      <c r="W26" s="153" t="n"/>
      <c r="X26" s="153" t="n"/>
      <c r="Y26" s="153" t="n"/>
    </row>
    <row r="27" ht="15.75" customHeight="1" s="154">
      <c r="O27" s="153" t="n"/>
      <c r="P27" s="153" t="n"/>
      <c r="Q27" s="153" t="n"/>
      <c r="R27" s="153" t="n"/>
      <c r="S27" s="153" t="n"/>
      <c r="T27" s="153" t="n"/>
      <c r="U27" s="153" t="n"/>
      <c r="V27" s="153" t="n"/>
      <c r="W27" s="153" t="n"/>
      <c r="X27" s="153" t="n"/>
      <c r="Y27" s="153" t="n"/>
    </row>
    <row r="28" ht="15.75" customHeight="1" s="154">
      <c r="O28" s="153" t="n"/>
      <c r="P28" s="153" t="n"/>
      <c r="Q28" s="153" t="n"/>
      <c r="R28" s="153" t="n"/>
      <c r="S28" s="153" t="n"/>
      <c r="T28" s="153" t="n"/>
      <c r="U28" s="153" t="n"/>
      <c r="V28" s="153" t="n"/>
      <c r="W28" s="153" t="n"/>
      <c r="X28" s="153" t="n"/>
      <c r="Y28" s="153" t="n"/>
    </row>
    <row r="29" ht="15.75" customHeight="1" s="154">
      <c r="O29" s="153" t="n"/>
      <c r="P29" s="153" t="n"/>
      <c r="Q29" s="153" t="n"/>
      <c r="R29" s="153" t="n"/>
      <c r="S29" s="153" t="n"/>
      <c r="T29" s="153" t="n"/>
      <c r="U29" s="153" t="n"/>
      <c r="V29" s="153" t="n"/>
      <c r="W29" s="153" t="n"/>
      <c r="X29" s="153" t="n"/>
      <c r="Y29" s="153" t="n"/>
    </row>
    <row r="30" ht="15.75" customHeight="1" s="154">
      <c r="O30" s="153" t="n"/>
      <c r="P30" s="153" t="n"/>
      <c r="Q30" s="153" t="n"/>
      <c r="R30" s="153" t="n"/>
      <c r="S30" s="153" t="n"/>
      <c r="T30" s="153" t="n"/>
      <c r="U30" s="153" t="n"/>
      <c r="V30" s="153" t="n"/>
      <c r="W30" s="153" t="n"/>
      <c r="X30" s="153" t="n"/>
      <c r="Y30" s="153" t="n"/>
    </row>
    <row r="31" ht="15.75" customHeight="1" s="154">
      <c r="O31" s="153" t="n"/>
      <c r="P31" s="153" t="n"/>
      <c r="Q31" s="153" t="n"/>
      <c r="R31" s="153" t="n"/>
      <c r="S31" s="153" t="n"/>
      <c r="T31" s="153" t="n"/>
      <c r="U31" s="153" t="n"/>
      <c r="V31" s="153" t="n"/>
      <c r="W31" s="153" t="n"/>
      <c r="X31" s="153" t="n"/>
      <c r="Y31" s="153" t="n"/>
    </row>
    <row r="32" ht="15.75" customHeight="1" s="154">
      <c r="O32" s="153" t="n"/>
      <c r="P32" s="153" t="n"/>
      <c r="Q32" s="153" t="n"/>
      <c r="R32" s="153" t="n"/>
      <c r="S32" s="153" t="n"/>
      <c r="T32" s="153" t="n"/>
      <c r="U32" s="153" t="n"/>
      <c r="V32" s="153" t="n"/>
      <c r="W32" s="153" t="n"/>
      <c r="X32" s="153" t="n"/>
      <c r="Y32" s="153" t="n"/>
    </row>
    <row r="33" ht="15.75" customHeight="1" s="154">
      <c r="O33" s="153" t="n"/>
      <c r="P33" s="153" t="n"/>
      <c r="Q33" s="153" t="n"/>
      <c r="R33" s="153" t="n"/>
      <c r="S33" s="153" t="n"/>
      <c r="T33" s="153" t="n"/>
      <c r="U33" s="153" t="n"/>
      <c r="V33" s="153" t="n"/>
      <c r="W33" s="153" t="n"/>
      <c r="X33" s="153" t="n"/>
      <c r="Y33" s="153" t="n"/>
    </row>
    <row r="34" ht="15.75" customHeight="1" s="154">
      <c r="O34" s="153" t="n"/>
      <c r="P34" s="153" t="n"/>
      <c r="Q34" s="153" t="n"/>
      <c r="R34" s="153" t="n"/>
      <c r="S34" s="153" t="n"/>
      <c r="T34" s="153" t="n"/>
      <c r="U34" s="153" t="n"/>
      <c r="V34" s="153" t="n"/>
      <c r="W34" s="153" t="n"/>
      <c r="X34" s="153" t="n"/>
      <c r="Y34" s="153" t="n"/>
    </row>
    <row r="35" ht="15.75" customHeight="1" s="154">
      <c r="O35" s="153" t="n"/>
      <c r="P35" s="153" t="n"/>
      <c r="Q35" s="153" t="n"/>
      <c r="R35" s="153" t="n"/>
      <c r="S35" s="153" t="n"/>
      <c r="T35" s="153" t="n"/>
      <c r="U35" s="153" t="n"/>
      <c r="V35" s="153" t="n"/>
      <c r="W35" s="153" t="n"/>
      <c r="X35" s="153" t="n"/>
      <c r="Y35" s="153" t="n"/>
    </row>
    <row r="36" ht="15.75" customHeight="1" s="154">
      <c r="O36" s="153" t="n"/>
      <c r="P36" s="153" t="n"/>
      <c r="Q36" s="153" t="n"/>
      <c r="R36" s="153" t="n"/>
      <c r="S36" s="153" t="n"/>
      <c r="T36" s="153" t="n"/>
      <c r="U36" s="153" t="n"/>
      <c r="V36" s="153" t="n"/>
      <c r="W36" s="153" t="n"/>
      <c r="X36" s="153" t="n"/>
      <c r="Y36" s="153" t="n"/>
    </row>
    <row r="37" ht="15.75" customHeight="1" s="154">
      <c r="O37" s="153" t="n"/>
      <c r="P37" s="153" t="n"/>
      <c r="Q37" s="153" t="n"/>
      <c r="R37" s="153" t="n"/>
      <c r="S37" s="153" t="n"/>
      <c r="T37" s="153" t="n"/>
      <c r="U37" s="153" t="n"/>
      <c r="V37" s="153" t="n"/>
      <c r="W37" s="153" t="n"/>
      <c r="X37" s="153" t="n"/>
      <c r="Y37" s="153" t="n"/>
    </row>
    <row r="38" ht="15.75" customHeight="1" s="154">
      <c r="O38" s="153" t="n"/>
      <c r="P38" s="153" t="n"/>
      <c r="Q38" s="153" t="n"/>
      <c r="R38" s="153" t="n"/>
      <c r="S38" s="153" t="n"/>
      <c r="T38" s="153" t="n"/>
      <c r="U38" s="153" t="n"/>
      <c r="V38" s="153" t="n"/>
      <c r="W38" s="153" t="n"/>
      <c r="X38" s="153" t="n"/>
      <c r="Y38" s="153" t="n"/>
    </row>
    <row r="39" ht="15.75" customHeight="1" s="154">
      <c r="O39" s="153" t="n"/>
      <c r="P39" s="153" t="n"/>
      <c r="Q39" s="153" t="n"/>
      <c r="R39" s="153" t="n"/>
      <c r="S39" s="153" t="n"/>
      <c r="T39" s="153" t="n"/>
      <c r="U39" s="153" t="n"/>
      <c r="V39" s="153" t="n"/>
      <c r="W39" s="153" t="n"/>
      <c r="X39" s="153" t="n"/>
      <c r="Y39" s="153" t="n"/>
    </row>
    <row r="40" ht="15.75" customHeight="1" s="154">
      <c r="O40" s="153" t="n"/>
      <c r="P40" s="153" t="n"/>
      <c r="Q40" s="153" t="n"/>
      <c r="R40" s="153" t="n"/>
      <c r="S40" s="153" t="n"/>
      <c r="T40" s="153" t="n"/>
      <c r="U40" s="153" t="n"/>
      <c r="V40" s="153" t="n"/>
      <c r="W40" s="153" t="n"/>
      <c r="X40" s="153" t="n"/>
      <c r="Y40" s="153" t="n"/>
    </row>
    <row r="41" ht="15.75" customHeight="1" s="154">
      <c r="O41" s="153" t="n"/>
      <c r="P41" s="153" t="n"/>
      <c r="Q41" s="153" t="n"/>
      <c r="R41" s="153" t="n"/>
      <c r="S41" s="153" t="n"/>
      <c r="T41" s="153" t="n"/>
      <c r="U41" s="153" t="n"/>
      <c r="V41" s="153" t="n"/>
      <c r="W41" s="153" t="n"/>
      <c r="X41" s="153" t="n"/>
      <c r="Y41" s="153" t="n"/>
    </row>
    <row r="42" ht="15.75" customHeight="1" s="154">
      <c r="O42" s="153" t="n"/>
      <c r="P42" s="153" t="n"/>
      <c r="Q42" s="153" t="n"/>
      <c r="R42" s="153" t="n"/>
      <c r="S42" s="153" t="n"/>
      <c r="T42" s="153" t="n"/>
      <c r="U42" s="153" t="n"/>
      <c r="V42" s="153" t="n"/>
      <c r="W42" s="153" t="n"/>
      <c r="X42" s="153" t="n"/>
      <c r="Y42" s="153" t="n"/>
    </row>
    <row r="43" ht="15.75" customHeight="1" s="154">
      <c r="O43" s="153" t="n"/>
      <c r="P43" s="153" t="n"/>
      <c r="Q43" s="153" t="n"/>
      <c r="R43" s="153" t="n"/>
      <c r="S43" s="153" t="n"/>
      <c r="T43" s="153" t="n"/>
      <c r="U43" s="153" t="n"/>
      <c r="V43" s="153" t="n"/>
      <c r="W43" s="153" t="n"/>
      <c r="X43" s="153" t="n"/>
      <c r="Y43" s="153" t="n"/>
    </row>
    <row r="44" ht="15.75" customHeight="1" s="154">
      <c r="O44" s="153" t="n"/>
      <c r="P44" s="153" t="n"/>
      <c r="Q44" s="153" t="n"/>
      <c r="R44" s="153" t="n"/>
      <c r="S44" s="153" t="n"/>
      <c r="T44" s="153" t="n"/>
      <c r="U44" s="153" t="n"/>
      <c r="V44" s="153" t="n"/>
      <c r="W44" s="153" t="n"/>
      <c r="X44" s="153" t="n"/>
      <c r="Y44" s="153" t="n"/>
    </row>
    <row r="45" ht="15.75" customHeight="1" s="154">
      <c r="O45" s="153" t="n"/>
      <c r="P45" s="153" t="n"/>
      <c r="Q45" s="153" t="n"/>
      <c r="R45" s="153" t="n"/>
      <c r="S45" s="153" t="n"/>
      <c r="T45" s="153" t="n"/>
      <c r="U45" s="153" t="n"/>
      <c r="V45" s="153" t="n"/>
      <c r="W45" s="153" t="n"/>
      <c r="X45" s="153" t="n"/>
      <c r="Y45" s="153" t="n"/>
    </row>
    <row r="46" ht="15.75" customHeight="1" s="154">
      <c r="O46" s="153" t="n"/>
      <c r="P46" s="153" t="n"/>
      <c r="Q46" s="153" t="n"/>
      <c r="R46" s="153" t="n"/>
      <c r="S46" s="153" t="n"/>
      <c r="T46" s="153" t="n"/>
      <c r="U46" s="153" t="n"/>
      <c r="V46" s="153" t="n"/>
      <c r="W46" s="153" t="n"/>
      <c r="X46" s="153" t="n"/>
      <c r="Y46" s="153" t="n"/>
    </row>
    <row r="47" ht="15.75" customHeight="1" s="154">
      <c r="O47" s="153" t="n"/>
      <c r="P47" s="153" t="n"/>
      <c r="Q47" s="153" t="n"/>
      <c r="R47" s="153" t="n"/>
      <c r="S47" s="153" t="n"/>
      <c r="T47" s="153" t="n"/>
      <c r="U47" s="153" t="n"/>
      <c r="V47" s="153" t="n"/>
      <c r="W47" s="153" t="n"/>
      <c r="X47" s="153" t="n"/>
      <c r="Y47" s="153" t="n"/>
    </row>
    <row r="48" ht="15.75" customHeight="1" s="154">
      <c r="O48" s="153" t="n"/>
      <c r="P48" s="153" t="n"/>
      <c r="Q48" s="153" t="n"/>
      <c r="R48" s="153" t="n"/>
      <c r="S48" s="153" t="n"/>
      <c r="T48" s="153" t="n"/>
      <c r="U48" s="153" t="n"/>
      <c r="V48" s="153" t="n"/>
      <c r="W48" s="153" t="n"/>
      <c r="X48" s="153" t="n"/>
      <c r="Y48" s="153" t="n"/>
    </row>
    <row r="49" ht="15.75" customHeight="1" s="154">
      <c r="O49" s="153" t="n"/>
      <c r="P49" s="153" t="n"/>
      <c r="Q49" s="153" t="n"/>
      <c r="R49" s="153" t="n"/>
      <c r="S49" s="153" t="n"/>
      <c r="T49" s="153" t="n"/>
      <c r="U49" s="153" t="n"/>
      <c r="V49" s="153" t="n"/>
      <c r="W49" s="153" t="n"/>
      <c r="X49" s="153" t="n"/>
      <c r="Y49" s="153" t="n"/>
    </row>
    <row r="50" ht="15.75" customHeight="1" s="154">
      <c r="O50" s="153" t="n"/>
      <c r="P50" s="153" t="n"/>
      <c r="Q50" s="153" t="n"/>
      <c r="R50" s="153" t="n"/>
      <c r="S50" s="153" t="n"/>
      <c r="T50" s="153" t="n"/>
      <c r="U50" s="153" t="n"/>
      <c r="V50" s="153" t="n"/>
      <c r="W50" s="153" t="n"/>
      <c r="X50" s="153" t="n"/>
      <c r="Y50" s="153" t="n"/>
    </row>
    <row r="51" ht="15.75" customHeight="1" s="154">
      <c r="O51" s="153" t="n"/>
      <c r="P51" s="153" t="n"/>
      <c r="Q51" s="153" t="n"/>
      <c r="R51" s="153" t="n"/>
      <c r="S51" s="153" t="n"/>
      <c r="T51" s="153" t="n"/>
      <c r="U51" s="153" t="n"/>
      <c r="V51" s="153" t="n"/>
      <c r="W51" s="153" t="n"/>
      <c r="X51" s="153" t="n"/>
      <c r="Y51" s="153" t="n"/>
    </row>
    <row r="52" ht="15.75" customHeight="1" s="154">
      <c r="O52" s="153" t="n"/>
      <c r="P52" s="153" t="n"/>
      <c r="Q52" s="153" t="n"/>
      <c r="R52" s="153" t="n"/>
      <c r="S52" s="153" t="n"/>
      <c r="T52" s="153" t="n"/>
      <c r="U52" s="153" t="n"/>
      <c r="V52" s="153" t="n"/>
      <c r="W52" s="153" t="n"/>
      <c r="X52" s="153" t="n"/>
      <c r="Y52" s="153" t="n"/>
    </row>
    <row r="53" ht="15.75" customHeight="1" s="154">
      <c r="O53" s="153" t="n"/>
      <c r="P53" s="153" t="n"/>
      <c r="Q53" s="153" t="n"/>
      <c r="R53" s="153" t="n"/>
      <c r="S53" s="153" t="n"/>
      <c r="T53" s="153" t="n"/>
      <c r="U53" s="153" t="n"/>
      <c r="V53" s="153" t="n"/>
      <c r="W53" s="153" t="n"/>
      <c r="X53" s="153" t="n"/>
      <c r="Y53" s="153" t="n"/>
    </row>
    <row r="54" ht="15.75" customHeight="1" s="154">
      <c r="O54" s="153" t="n"/>
      <c r="P54" s="153" t="n"/>
      <c r="Q54" s="153" t="n"/>
      <c r="R54" s="153" t="n"/>
      <c r="S54" s="153" t="n"/>
      <c r="T54" s="153" t="n"/>
      <c r="U54" s="153" t="n"/>
      <c r="V54" s="153" t="n"/>
      <c r="W54" s="153" t="n"/>
      <c r="X54" s="153" t="n"/>
      <c r="Y54" s="153" t="n"/>
    </row>
    <row r="55" ht="15.75" customHeight="1" s="154">
      <c r="O55" s="153" t="n"/>
      <c r="P55" s="153" t="n"/>
      <c r="Q55" s="153" t="n"/>
      <c r="R55" s="153" t="n"/>
      <c r="S55" s="153" t="n"/>
      <c r="T55" s="153" t="n"/>
      <c r="U55" s="153" t="n"/>
      <c r="V55" s="153" t="n"/>
      <c r="W55" s="153" t="n"/>
      <c r="X55" s="153" t="n"/>
      <c r="Y55" s="153" t="n"/>
    </row>
    <row r="56" ht="15.75" customHeight="1" s="154">
      <c r="O56" s="153" t="n"/>
      <c r="P56" s="153" t="n"/>
      <c r="Q56" s="153" t="n"/>
      <c r="R56" s="153" t="n"/>
      <c r="S56" s="153" t="n"/>
      <c r="T56" s="153" t="n"/>
      <c r="U56" s="153" t="n"/>
      <c r="V56" s="153" t="n"/>
      <c r="W56" s="153" t="n"/>
      <c r="X56" s="153" t="n"/>
      <c r="Y56" s="153" t="n"/>
    </row>
    <row r="57" ht="15.75" customHeight="1" s="154">
      <c r="O57" s="153" t="n"/>
      <c r="P57" s="153" t="n"/>
      <c r="Q57" s="153" t="n"/>
      <c r="R57" s="153" t="n"/>
      <c r="S57" s="153" t="n"/>
      <c r="T57" s="153" t="n"/>
      <c r="U57" s="153" t="n"/>
      <c r="V57" s="153" t="n"/>
      <c r="W57" s="153" t="n"/>
      <c r="X57" s="153" t="n"/>
      <c r="Y57" s="153" t="n"/>
    </row>
    <row r="58" ht="15.75" customHeight="1" s="154">
      <c r="O58" s="153" t="n"/>
      <c r="P58" s="153" t="n"/>
      <c r="Q58" s="153" t="n"/>
      <c r="R58" s="153" t="n"/>
      <c r="S58" s="153" t="n"/>
      <c r="T58" s="153" t="n"/>
      <c r="U58" s="153" t="n"/>
      <c r="V58" s="153" t="n"/>
      <c r="W58" s="153" t="n"/>
      <c r="X58" s="153" t="n"/>
      <c r="Y58" s="153" t="n"/>
    </row>
    <row r="59" ht="15.75" customHeight="1" s="154">
      <c r="O59" s="153" t="n"/>
      <c r="P59" s="153" t="n"/>
      <c r="Q59" s="153" t="n"/>
      <c r="R59" s="153" t="n"/>
      <c r="S59" s="153" t="n"/>
      <c r="T59" s="153" t="n"/>
      <c r="U59" s="153" t="n"/>
      <c r="V59" s="153" t="n"/>
      <c r="W59" s="153" t="n"/>
      <c r="X59" s="153" t="n"/>
      <c r="Y59" s="153" t="n"/>
    </row>
    <row r="60" ht="15.75" customHeight="1" s="154">
      <c r="O60" s="153" t="n"/>
      <c r="P60" s="153" t="n"/>
      <c r="Q60" s="153" t="n"/>
      <c r="R60" s="153" t="n"/>
      <c r="S60" s="153" t="n"/>
      <c r="T60" s="153" t="n"/>
      <c r="U60" s="153" t="n"/>
      <c r="V60" s="153" t="n"/>
      <c r="W60" s="153" t="n"/>
      <c r="X60" s="153" t="n"/>
      <c r="Y60" s="153" t="n"/>
    </row>
    <row r="61" ht="15.75" customHeight="1" s="154">
      <c r="O61" s="153" t="n"/>
      <c r="P61" s="153" t="n"/>
      <c r="Q61" s="153" t="n"/>
      <c r="R61" s="153" t="n"/>
      <c r="S61" s="153" t="n"/>
      <c r="T61" s="153" t="n"/>
      <c r="U61" s="153" t="n"/>
      <c r="V61" s="153" t="n"/>
      <c r="W61" s="153" t="n"/>
      <c r="X61" s="153" t="n"/>
      <c r="Y61" s="153" t="n"/>
    </row>
    <row r="62" ht="15.75" customHeight="1" s="154">
      <c r="O62" s="153" t="n"/>
      <c r="P62" s="153" t="n"/>
      <c r="Q62" s="153" t="n"/>
      <c r="R62" s="153" t="n"/>
      <c r="S62" s="153" t="n"/>
      <c r="T62" s="153" t="n"/>
      <c r="U62" s="153" t="n"/>
      <c r="V62" s="153" t="n"/>
      <c r="W62" s="153" t="n"/>
      <c r="X62" s="153" t="n"/>
      <c r="Y62" s="153" t="n"/>
    </row>
    <row r="63" ht="15.75" customHeight="1" s="154">
      <c r="O63" s="153" t="n"/>
      <c r="P63" s="153" t="n"/>
      <c r="Q63" s="153" t="n"/>
      <c r="R63" s="153" t="n"/>
      <c r="S63" s="153" t="n"/>
      <c r="T63" s="153" t="n"/>
      <c r="U63" s="153" t="n"/>
      <c r="V63" s="153" t="n"/>
      <c r="W63" s="153" t="n"/>
      <c r="X63" s="153" t="n"/>
      <c r="Y63" s="153" t="n"/>
    </row>
    <row r="64" ht="15.75" customHeight="1" s="154">
      <c r="O64" s="153" t="n"/>
      <c r="P64" s="153" t="n"/>
      <c r="Q64" s="153" t="n"/>
      <c r="R64" s="153" t="n"/>
      <c r="S64" s="153" t="n"/>
      <c r="T64" s="153" t="n"/>
      <c r="U64" s="153" t="n"/>
      <c r="V64" s="153" t="n"/>
      <c r="W64" s="153" t="n"/>
      <c r="X64" s="153" t="n"/>
      <c r="Y64" s="153" t="n"/>
    </row>
    <row r="65" ht="15.75" customHeight="1" s="154">
      <c r="O65" s="153" t="n"/>
      <c r="P65" s="153" t="n"/>
      <c r="Q65" s="153" t="n"/>
      <c r="R65" s="153" t="n"/>
      <c r="S65" s="153" t="n"/>
      <c r="T65" s="153" t="n"/>
      <c r="U65" s="153" t="n"/>
      <c r="V65" s="153" t="n"/>
      <c r="W65" s="153" t="n"/>
      <c r="X65" s="153" t="n"/>
      <c r="Y65" s="153" t="n"/>
    </row>
    <row r="66" ht="15.75" customHeight="1" s="154">
      <c r="O66" s="153" t="n"/>
      <c r="P66" s="153" t="n"/>
      <c r="Q66" s="153" t="n"/>
      <c r="R66" s="153" t="n"/>
      <c r="S66" s="153" t="n"/>
      <c r="T66" s="153" t="n"/>
      <c r="U66" s="153" t="n"/>
      <c r="V66" s="153" t="n"/>
      <c r="W66" s="153" t="n"/>
      <c r="X66" s="153" t="n"/>
      <c r="Y66" s="153" t="n"/>
    </row>
    <row r="67" ht="15.75" customHeight="1" s="154">
      <c r="O67" s="153" t="n"/>
      <c r="P67" s="153" t="n"/>
      <c r="Q67" s="153" t="n"/>
      <c r="R67" s="153" t="n"/>
      <c r="S67" s="153" t="n"/>
      <c r="T67" s="153" t="n"/>
      <c r="U67" s="153" t="n"/>
      <c r="V67" s="153" t="n"/>
      <c r="W67" s="153" t="n"/>
      <c r="X67" s="153" t="n"/>
      <c r="Y67" s="153" t="n"/>
    </row>
    <row r="68" ht="15.75" customHeight="1" s="154">
      <c r="O68" s="153" t="n"/>
      <c r="P68" s="153" t="n"/>
      <c r="Q68" s="153" t="n"/>
      <c r="R68" s="153" t="n"/>
      <c r="S68" s="153" t="n"/>
      <c r="T68" s="153" t="n"/>
      <c r="U68" s="153" t="n"/>
      <c r="V68" s="153" t="n"/>
      <c r="W68" s="153" t="n"/>
      <c r="X68" s="153" t="n"/>
      <c r="Y68" s="153" t="n"/>
    </row>
    <row r="69" ht="15.75" customHeight="1" s="154">
      <c r="O69" s="153" t="n"/>
      <c r="P69" s="153" t="n"/>
      <c r="Q69" s="153" t="n"/>
      <c r="R69" s="153" t="n"/>
      <c r="S69" s="153" t="n"/>
      <c r="T69" s="153" t="n"/>
      <c r="U69" s="153" t="n"/>
      <c r="V69" s="153" t="n"/>
      <c r="W69" s="153" t="n"/>
      <c r="X69" s="153" t="n"/>
      <c r="Y69" s="153" t="n"/>
    </row>
    <row r="70" ht="15.75" customHeight="1" s="154">
      <c r="O70" s="153" t="n"/>
      <c r="P70" s="153" t="n"/>
      <c r="Q70" s="153" t="n"/>
      <c r="R70" s="153" t="n"/>
      <c r="S70" s="153" t="n"/>
      <c r="T70" s="153" t="n"/>
      <c r="U70" s="153" t="n"/>
      <c r="V70" s="153" t="n"/>
      <c r="W70" s="153" t="n"/>
      <c r="X70" s="153" t="n"/>
      <c r="Y70" s="153" t="n"/>
    </row>
    <row r="71" ht="15.75" customHeight="1" s="154">
      <c r="O71" s="153" t="n"/>
      <c r="P71" s="153" t="n"/>
      <c r="Q71" s="153" t="n"/>
      <c r="R71" s="153" t="n"/>
      <c r="S71" s="153" t="n"/>
      <c r="T71" s="153" t="n"/>
      <c r="U71" s="153" t="n"/>
      <c r="V71" s="153" t="n"/>
      <c r="W71" s="153" t="n"/>
      <c r="X71" s="153" t="n"/>
      <c r="Y71" s="153" t="n"/>
    </row>
    <row r="72" ht="15.75" customHeight="1" s="154">
      <c r="O72" s="153" t="n"/>
      <c r="P72" s="153" t="n"/>
      <c r="Q72" s="153" t="n"/>
      <c r="R72" s="153" t="n"/>
      <c r="S72" s="153" t="n"/>
      <c r="T72" s="153" t="n"/>
      <c r="U72" s="153" t="n"/>
      <c r="V72" s="153" t="n"/>
      <c r="W72" s="153" t="n"/>
      <c r="X72" s="153" t="n"/>
      <c r="Y72" s="153" t="n"/>
    </row>
    <row r="73" ht="15.75" customHeight="1" s="154">
      <c r="O73" s="153" t="n"/>
      <c r="P73" s="153" t="n"/>
      <c r="Q73" s="153" t="n"/>
      <c r="R73" s="153" t="n"/>
      <c r="S73" s="153" t="n"/>
      <c r="T73" s="153" t="n"/>
      <c r="U73" s="153" t="n"/>
      <c r="V73" s="153" t="n"/>
      <c r="W73" s="153" t="n"/>
      <c r="X73" s="153" t="n"/>
      <c r="Y73" s="153" t="n"/>
    </row>
    <row r="74" ht="15.75" customHeight="1" s="154">
      <c r="O74" s="153" t="n"/>
      <c r="P74" s="153" t="n"/>
      <c r="Q74" s="153" t="n"/>
      <c r="R74" s="153" t="n"/>
      <c r="S74" s="153" t="n"/>
      <c r="T74" s="153" t="n"/>
      <c r="U74" s="153" t="n"/>
      <c r="V74" s="153" t="n"/>
      <c r="W74" s="153" t="n"/>
      <c r="X74" s="153" t="n"/>
      <c r="Y74" s="153" t="n"/>
    </row>
    <row r="75" ht="15.75" customHeight="1" s="154">
      <c r="O75" s="153" t="n"/>
      <c r="P75" s="153" t="n"/>
      <c r="Q75" s="153" t="n"/>
      <c r="R75" s="153" t="n"/>
      <c r="S75" s="153" t="n"/>
      <c r="T75" s="153" t="n"/>
      <c r="U75" s="153" t="n"/>
      <c r="V75" s="153" t="n"/>
      <c r="W75" s="153" t="n"/>
      <c r="X75" s="153" t="n"/>
      <c r="Y75" s="153" t="n"/>
    </row>
    <row r="76" ht="15.75" customHeight="1" s="154">
      <c r="O76" s="153" t="n"/>
      <c r="P76" s="153" t="n"/>
      <c r="Q76" s="153" t="n"/>
      <c r="R76" s="153" t="n"/>
      <c r="S76" s="153" t="n"/>
      <c r="T76" s="153" t="n"/>
      <c r="U76" s="153" t="n"/>
      <c r="V76" s="153" t="n"/>
      <c r="W76" s="153" t="n"/>
      <c r="X76" s="153" t="n"/>
      <c r="Y76" s="153" t="n"/>
    </row>
    <row r="77" ht="15.75" customHeight="1" s="154">
      <c r="O77" s="153" t="n"/>
      <c r="P77" s="153" t="n"/>
      <c r="Q77" s="153" t="n"/>
      <c r="R77" s="153" t="n"/>
      <c r="S77" s="153" t="n"/>
      <c r="T77" s="153" t="n"/>
      <c r="U77" s="153" t="n"/>
      <c r="V77" s="153" t="n"/>
      <c r="W77" s="153" t="n"/>
      <c r="X77" s="153" t="n"/>
      <c r="Y77" s="153" t="n"/>
    </row>
    <row r="78" ht="15.75" customHeight="1" s="154">
      <c r="O78" s="153" t="n"/>
      <c r="P78" s="153" t="n"/>
      <c r="Q78" s="153" t="n"/>
      <c r="R78" s="153" t="n"/>
      <c r="S78" s="153" t="n"/>
      <c r="T78" s="153" t="n"/>
      <c r="U78" s="153" t="n"/>
      <c r="V78" s="153" t="n"/>
      <c r="W78" s="153" t="n"/>
      <c r="X78" s="153" t="n"/>
      <c r="Y78" s="153" t="n"/>
    </row>
    <row r="79" ht="15.75" customHeight="1" s="154">
      <c r="O79" s="153" t="n"/>
      <c r="P79" s="153" t="n"/>
      <c r="Q79" s="153" t="n"/>
      <c r="R79" s="153" t="n"/>
      <c r="S79" s="153" t="n"/>
      <c r="T79" s="153" t="n"/>
      <c r="U79" s="153" t="n"/>
      <c r="V79" s="153" t="n"/>
      <c r="W79" s="153" t="n"/>
      <c r="X79" s="153" t="n"/>
      <c r="Y79" s="153" t="n"/>
    </row>
    <row r="80" ht="15.75" customHeight="1" s="154">
      <c r="O80" s="153" t="n"/>
      <c r="P80" s="153" t="n"/>
      <c r="Q80" s="153" t="n"/>
      <c r="R80" s="153" t="n"/>
      <c r="S80" s="153" t="n"/>
      <c r="T80" s="153" t="n"/>
      <c r="U80" s="153" t="n"/>
      <c r="V80" s="153" t="n"/>
      <c r="W80" s="153" t="n"/>
      <c r="X80" s="153" t="n"/>
      <c r="Y80" s="153" t="n"/>
    </row>
    <row r="81" ht="15.75" customHeight="1" s="154">
      <c r="O81" s="153" t="n"/>
      <c r="P81" s="153" t="n"/>
      <c r="Q81" s="153" t="n"/>
      <c r="R81" s="153" t="n"/>
      <c r="S81" s="153" t="n"/>
      <c r="T81" s="153" t="n"/>
      <c r="U81" s="153" t="n"/>
      <c r="V81" s="153" t="n"/>
      <c r="W81" s="153" t="n"/>
      <c r="X81" s="153" t="n"/>
      <c r="Y81" s="153" t="n"/>
    </row>
    <row r="82" ht="15.75" customHeight="1" s="154">
      <c r="O82" s="153" t="n"/>
      <c r="P82" s="153" t="n"/>
      <c r="Q82" s="153" t="n"/>
      <c r="R82" s="153" t="n"/>
      <c r="S82" s="153" t="n"/>
      <c r="T82" s="153" t="n"/>
      <c r="U82" s="153" t="n"/>
      <c r="V82" s="153" t="n"/>
      <c r="W82" s="153" t="n"/>
      <c r="X82" s="153" t="n"/>
      <c r="Y82" s="153" t="n"/>
    </row>
    <row r="83" ht="15.75" customHeight="1" s="154">
      <c r="O83" s="153" t="n"/>
      <c r="P83" s="153" t="n"/>
      <c r="Q83" s="153" t="n"/>
      <c r="R83" s="153" t="n"/>
      <c r="S83" s="153" t="n"/>
      <c r="T83" s="153" t="n"/>
      <c r="U83" s="153" t="n"/>
      <c r="V83" s="153" t="n"/>
      <c r="W83" s="153" t="n"/>
      <c r="X83" s="153" t="n"/>
      <c r="Y83" s="153" t="n"/>
    </row>
    <row r="84" ht="15.75" customHeight="1" s="154">
      <c r="O84" s="153" t="n"/>
      <c r="P84" s="153" t="n"/>
      <c r="Q84" s="153" t="n"/>
      <c r="R84" s="153" t="n"/>
      <c r="S84" s="153" t="n"/>
      <c r="T84" s="153" t="n"/>
      <c r="U84" s="153" t="n"/>
      <c r="V84" s="153" t="n"/>
      <c r="W84" s="153" t="n"/>
      <c r="X84" s="153" t="n"/>
      <c r="Y84" s="153" t="n"/>
    </row>
    <row r="85" ht="15.75" customHeight="1" s="154">
      <c r="O85" s="153" t="n"/>
      <c r="P85" s="153" t="n"/>
      <c r="Q85" s="153" t="n"/>
      <c r="R85" s="153" t="n"/>
      <c r="S85" s="153" t="n"/>
      <c r="T85" s="153" t="n"/>
      <c r="U85" s="153" t="n"/>
      <c r="V85" s="153" t="n"/>
      <c r="W85" s="153" t="n"/>
      <c r="X85" s="153" t="n"/>
      <c r="Y85" s="153" t="n"/>
    </row>
    <row r="86" ht="15.75" customHeight="1" s="154">
      <c r="O86" s="153" t="n"/>
      <c r="P86" s="153" t="n"/>
      <c r="Q86" s="153" t="n"/>
      <c r="R86" s="153" t="n"/>
      <c r="S86" s="153" t="n"/>
      <c r="T86" s="153" t="n"/>
      <c r="U86" s="153" t="n"/>
      <c r="V86" s="153" t="n"/>
      <c r="W86" s="153" t="n"/>
      <c r="X86" s="153" t="n"/>
      <c r="Y86" s="153" t="n"/>
    </row>
    <row r="87" ht="15.75" customHeight="1" s="154">
      <c r="O87" s="153" t="n"/>
      <c r="P87" s="153" t="n"/>
      <c r="Q87" s="153" t="n"/>
      <c r="R87" s="153" t="n"/>
      <c r="S87" s="153" t="n"/>
      <c r="T87" s="153" t="n"/>
      <c r="U87" s="153" t="n"/>
      <c r="V87" s="153" t="n"/>
      <c r="W87" s="153" t="n"/>
      <c r="X87" s="153" t="n"/>
      <c r="Y87" s="153" t="n"/>
    </row>
    <row r="88" ht="15.75" customHeight="1" s="154">
      <c r="O88" s="153" t="n"/>
      <c r="P88" s="153" t="n"/>
      <c r="Q88" s="153" t="n"/>
      <c r="R88" s="153" t="n"/>
      <c r="S88" s="153" t="n"/>
      <c r="T88" s="153" t="n"/>
      <c r="U88" s="153" t="n"/>
      <c r="V88" s="153" t="n"/>
      <c r="W88" s="153" t="n"/>
      <c r="X88" s="153" t="n"/>
      <c r="Y88" s="153" t="n"/>
    </row>
    <row r="89" ht="15.75" customHeight="1" s="154">
      <c r="O89" s="153" t="n"/>
      <c r="P89" s="153" t="n"/>
      <c r="Q89" s="153" t="n"/>
      <c r="R89" s="153" t="n"/>
      <c r="S89" s="153" t="n"/>
      <c r="T89" s="153" t="n"/>
      <c r="U89" s="153" t="n"/>
      <c r="V89" s="153" t="n"/>
      <c r="W89" s="153" t="n"/>
      <c r="X89" s="153" t="n"/>
      <c r="Y89" s="153" t="n"/>
    </row>
    <row r="90" ht="15.75" customHeight="1" s="154">
      <c r="O90" s="153" t="n"/>
      <c r="P90" s="153" t="n"/>
      <c r="Q90" s="153" t="n"/>
      <c r="R90" s="153" t="n"/>
      <c r="S90" s="153" t="n"/>
      <c r="T90" s="153" t="n"/>
      <c r="U90" s="153" t="n"/>
      <c r="V90" s="153" t="n"/>
      <c r="W90" s="153" t="n"/>
      <c r="X90" s="153" t="n"/>
      <c r="Y90" s="153" t="n"/>
    </row>
    <row r="91" ht="15.75" customHeight="1" s="154">
      <c r="O91" s="153" t="n"/>
      <c r="P91" s="153" t="n"/>
      <c r="Q91" s="153" t="n"/>
      <c r="R91" s="153" t="n"/>
      <c r="S91" s="153" t="n"/>
      <c r="T91" s="153" t="n"/>
      <c r="U91" s="153" t="n"/>
      <c r="V91" s="153" t="n"/>
      <c r="W91" s="153" t="n"/>
      <c r="X91" s="153" t="n"/>
      <c r="Y91" s="153" t="n"/>
    </row>
    <row r="92" ht="15.75" customHeight="1" s="154">
      <c r="O92" s="153" t="n"/>
      <c r="P92" s="153" t="n"/>
      <c r="Q92" s="153" t="n"/>
      <c r="R92" s="153" t="n"/>
      <c r="S92" s="153" t="n"/>
      <c r="T92" s="153" t="n"/>
      <c r="U92" s="153" t="n"/>
      <c r="V92" s="153" t="n"/>
      <c r="W92" s="153" t="n"/>
      <c r="X92" s="153" t="n"/>
      <c r="Y92" s="153" t="n"/>
    </row>
    <row r="93" ht="15.75" customHeight="1" s="154">
      <c r="O93" s="153" t="n"/>
      <c r="P93" s="153" t="n"/>
      <c r="Q93" s="153" t="n"/>
      <c r="R93" s="153" t="n"/>
      <c r="S93" s="153" t="n"/>
      <c r="T93" s="153" t="n"/>
      <c r="U93" s="153" t="n"/>
      <c r="V93" s="153" t="n"/>
      <c r="W93" s="153" t="n"/>
      <c r="X93" s="153" t="n"/>
      <c r="Y93" s="153" t="n"/>
    </row>
    <row r="94" ht="15.75" customHeight="1" s="154">
      <c r="O94" s="153" t="n"/>
      <c r="P94" s="153" t="n"/>
      <c r="Q94" s="153" t="n"/>
      <c r="R94" s="153" t="n"/>
      <c r="S94" s="153" t="n"/>
      <c r="T94" s="153" t="n"/>
      <c r="U94" s="153" t="n"/>
      <c r="V94" s="153" t="n"/>
      <c r="W94" s="153" t="n"/>
      <c r="X94" s="153" t="n"/>
      <c r="Y94" s="153" t="n"/>
    </row>
    <row r="95" ht="15.75" customHeight="1" s="154">
      <c r="O95" s="153" t="n"/>
      <c r="P95" s="153" t="n"/>
      <c r="Q95" s="153" t="n"/>
      <c r="R95" s="153" t="n"/>
      <c r="S95" s="153" t="n"/>
      <c r="T95" s="153" t="n"/>
      <c r="U95" s="153" t="n"/>
      <c r="V95" s="153" t="n"/>
      <c r="W95" s="153" t="n"/>
      <c r="X95" s="153" t="n"/>
      <c r="Y95" s="153" t="n"/>
    </row>
    <row r="96" ht="15.75" customHeight="1" s="154">
      <c r="O96" s="153" t="n"/>
      <c r="P96" s="153" t="n"/>
      <c r="Q96" s="153" t="n"/>
      <c r="R96" s="153" t="n"/>
      <c r="S96" s="153" t="n"/>
      <c r="T96" s="153" t="n"/>
      <c r="U96" s="153" t="n"/>
      <c r="V96" s="153" t="n"/>
      <c r="W96" s="153" t="n"/>
      <c r="X96" s="153" t="n"/>
      <c r="Y96" s="153" t="n"/>
    </row>
    <row r="97" ht="15.75" customHeight="1" s="154">
      <c r="O97" s="153" t="n"/>
      <c r="P97" s="153" t="n"/>
      <c r="Q97" s="153" t="n"/>
      <c r="R97" s="153" t="n"/>
      <c r="S97" s="153" t="n"/>
      <c r="T97" s="153" t="n"/>
      <c r="U97" s="153" t="n"/>
      <c r="V97" s="153" t="n"/>
      <c r="W97" s="153" t="n"/>
      <c r="X97" s="153" t="n"/>
      <c r="Y97" s="153" t="n"/>
    </row>
    <row r="98" ht="15.75" customHeight="1" s="154">
      <c r="O98" s="153" t="n"/>
      <c r="P98" s="153" t="n"/>
      <c r="Q98" s="153" t="n"/>
      <c r="R98" s="153" t="n"/>
      <c r="S98" s="153" t="n"/>
      <c r="T98" s="153" t="n"/>
      <c r="U98" s="153" t="n"/>
      <c r="V98" s="153" t="n"/>
      <c r="W98" s="153" t="n"/>
      <c r="X98" s="153" t="n"/>
      <c r="Y98" s="153" t="n"/>
    </row>
    <row r="99" ht="15.75" customHeight="1" s="154">
      <c r="O99" s="153" t="n"/>
      <c r="P99" s="153" t="n"/>
      <c r="Q99" s="153" t="n"/>
      <c r="R99" s="153" t="n"/>
      <c r="S99" s="153" t="n"/>
      <c r="T99" s="153" t="n"/>
      <c r="U99" s="153" t="n"/>
      <c r="V99" s="153" t="n"/>
      <c r="W99" s="153" t="n"/>
      <c r="X99" s="153" t="n"/>
      <c r="Y99" s="153" t="n"/>
    </row>
    <row r="100" ht="15.75" customHeight="1" s="154">
      <c r="O100" s="153" t="n"/>
      <c r="P100" s="153" t="n"/>
      <c r="Q100" s="153" t="n"/>
      <c r="R100" s="153" t="n"/>
      <c r="S100" s="153" t="n"/>
      <c r="T100" s="153" t="n"/>
      <c r="U100" s="153" t="n"/>
      <c r="V100" s="153" t="n"/>
      <c r="W100" s="153" t="n"/>
      <c r="X100" s="153" t="n"/>
      <c r="Y100" s="153" t="n"/>
    </row>
    <row r="101" ht="15.75" customHeight="1" s="154">
      <c r="O101" s="153" t="n"/>
      <c r="P101" s="153" t="n"/>
      <c r="Q101" s="153" t="n"/>
      <c r="R101" s="153" t="n"/>
      <c r="S101" s="153" t="n"/>
      <c r="T101" s="153" t="n"/>
      <c r="U101" s="153" t="n"/>
      <c r="V101" s="153" t="n"/>
      <c r="W101" s="153" t="n"/>
      <c r="X101" s="153" t="n"/>
      <c r="Y101" s="153" t="n"/>
    </row>
    <row r="102" ht="15.75" customHeight="1" s="154">
      <c r="O102" s="153" t="n"/>
      <c r="P102" s="153" t="n"/>
      <c r="Q102" s="153" t="n"/>
      <c r="R102" s="153" t="n"/>
      <c r="S102" s="153" t="n"/>
      <c r="T102" s="153" t="n"/>
      <c r="U102" s="153" t="n"/>
      <c r="V102" s="153" t="n"/>
      <c r="W102" s="153" t="n"/>
      <c r="X102" s="153" t="n"/>
      <c r="Y102" s="153" t="n"/>
    </row>
    <row r="103" ht="15.75" customHeight="1" s="154">
      <c r="O103" s="153" t="n"/>
      <c r="P103" s="153" t="n"/>
      <c r="Q103" s="153" t="n"/>
      <c r="R103" s="153" t="n"/>
      <c r="S103" s="153" t="n"/>
      <c r="T103" s="153" t="n"/>
      <c r="U103" s="153" t="n"/>
      <c r="V103" s="153" t="n"/>
      <c r="W103" s="153" t="n"/>
      <c r="X103" s="153" t="n"/>
      <c r="Y103" s="153" t="n"/>
    </row>
    <row r="104" ht="15.75" customHeight="1" s="154">
      <c r="O104" s="153" t="n"/>
      <c r="P104" s="153" t="n"/>
      <c r="Q104" s="153" t="n"/>
      <c r="R104" s="153" t="n"/>
      <c r="S104" s="153" t="n"/>
      <c r="T104" s="153" t="n"/>
      <c r="U104" s="153" t="n"/>
      <c r="V104" s="153" t="n"/>
      <c r="W104" s="153" t="n"/>
      <c r="X104" s="153" t="n"/>
      <c r="Y104" s="153" t="n"/>
    </row>
    <row r="105" ht="15.75" customHeight="1" s="154">
      <c r="O105" s="153" t="n"/>
      <c r="P105" s="153" t="n"/>
      <c r="Q105" s="153" t="n"/>
      <c r="R105" s="153" t="n"/>
      <c r="S105" s="153" t="n"/>
      <c r="T105" s="153" t="n"/>
      <c r="U105" s="153" t="n"/>
      <c r="V105" s="153" t="n"/>
      <c r="W105" s="153" t="n"/>
      <c r="X105" s="153" t="n"/>
      <c r="Y105" s="153" t="n"/>
    </row>
    <row r="106" ht="15.75" customHeight="1" s="154">
      <c r="O106" s="153" t="n"/>
      <c r="P106" s="153" t="n"/>
      <c r="Q106" s="153" t="n"/>
      <c r="R106" s="153" t="n"/>
      <c r="S106" s="153" t="n"/>
      <c r="T106" s="153" t="n"/>
      <c r="U106" s="153" t="n"/>
      <c r="V106" s="153" t="n"/>
      <c r="W106" s="153" t="n"/>
      <c r="X106" s="153" t="n"/>
      <c r="Y106" s="153" t="n"/>
    </row>
    <row r="107" ht="15.75" customHeight="1" s="154">
      <c r="O107" s="153" t="n"/>
      <c r="P107" s="153" t="n"/>
      <c r="Q107" s="153" t="n"/>
      <c r="R107" s="153" t="n"/>
      <c r="S107" s="153" t="n"/>
      <c r="T107" s="153" t="n"/>
      <c r="U107" s="153" t="n"/>
      <c r="V107" s="153" t="n"/>
      <c r="W107" s="153" t="n"/>
      <c r="X107" s="153" t="n"/>
      <c r="Y107" s="153" t="n"/>
    </row>
    <row r="108" ht="15.75" customHeight="1" s="154">
      <c r="O108" s="153" t="n"/>
      <c r="P108" s="153" t="n"/>
      <c r="Q108" s="153" t="n"/>
      <c r="R108" s="153" t="n"/>
      <c r="S108" s="153" t="n"/>
      <c r="T108" s="153" t="n"/>
      <c r="U108" s="153" t="n"/>
      <c r="V108" s="153" t="n"/>
      <c r="W108" s="153" t="n"/>
      <c r="X108" s="153" t="n"/>
      <c r="Y108" s="153" t="n"/>
    </row>
    <row r="109" ht="15.75" customHeight="1" s="154">
      <c r="O109" s="153" t="n"/>
      <c r="P109" s="153" t="n"/>
      <c r="Q109" s="153" t="n"/>
      <c r="R109" s="153" t="n"/>
      <c r="S109" s="153" t="n"/>
      <c r="T109" s="153" t="n"/>
      <c r="U109" s="153" t="n"/>
      <c r="V109" s="153" t="n"/>
      <c r="W109" s="153" t="n"/>
      <c r="X109" s="153" t="n"/>
      <c r="Y109" s="153" t="n"/>
    </row>
    <row r="110" ht="15.75" customHeight="1" s="154">
      <c r="O110" s="153" t="n"/>
      <c r="P110" s="153" t="n"/>
      <c r="Q110" s="153" t="n"/>
      <c r="R110" s="153" t="n"/>
      <c r="S110" s="153" t="n"/>
      <c r="T110" s="153" t="n"/>
      <c r="U110" s="153" t="n"/>
      <c r="V110" s="153" t="n"/>
      <c r="W110" s="153" t="n"/>
      <c r="X110" s="153" t="n"/>
      <c r="Y110" s="153" t="n"/>
    </row>
    <row r="111" ht="15.75" customHeight="1" s="154">
      <c r="O111" s="153" t="n"/>
      <c r="P111" s="153" t="n"/>
      <c r="Q111" s="153" t="n"/>
      <c r="R111" s="153" t="n"/>
      <c r="S111" s="153" t="n"/>
      <c r="T111" s="153" t="n"/>
      <c r="U111" s="153" t="n"/>
      <c r="V111" s="153" t="n"/>
      <c r="W111" s="153" t="n"/>
      <c r="X111" s="153" t="n"/>
      <c r="Y111" s="153" t="n"/>
    </row>
    <row r="112" ht="15.75" customHeight="1" s="154">
      <c r="O112" s="153" t="n"/>
      <c r="P112" s="153" t="n"/>
      <c r="Q112" s="153" t="n"/>
      <c r="R112" s="153" t="n"/>
      <c r="S112" s="153" t="n"/>
      <c r="T112" s="153" t="n"/>
      <c r="U112" s="153" t="n"/>
      <c r="V112" s="153" t="n"/>
      <c r="W112" s="153" t="n"/>
      <c r="X112" s="153" t="n"/>
      <c r="Y112" s="153" t="n"/>
    </row>
    <row r="113" ht="15.75" customHeight="1" s="154">
      <c r="O113" s="153" t="n"/>
      <c r="P113" s="153" t="n"/>
      <c r="Q113" s="153" t="n"/>
      <c r="R113" s="153" t="n"/>
      <c r="S113" s="153" t="n"/>
      <c r="T113" s="153" t="n"/>
      <c r="U113" s="153" t="n"/>
      <c r="V113" s="153" t="n"/>
      <c r="W113" s="153" t="n"/>
      <c r="X113" s="153" t="n"/>
      <c r="Y113" s="153" t="n"/>
    </row>
    <row r="114" ht="15.75" customHeight="1" s="154">
      <c r="O114" s="153" t="n"/>
      <c r="P114" s="153" t="n"/>
      <c r="Q114" s="153" t="n"/>
      <c r="R114" s="153" t="n"/>
      <c r="S114" s="153" t="n"/>
      <c r="T114" s="153" t="n"/>
      <c r="U114" s="153" t="n"/>
      <c r="V114" s="153" t="n"/>
      <c r="W114" s="153" t="n"/>
      <c r="X114" s="153" t="n"/>
      <c r="Y114" s="153" t="n"/>
    </row>
    <row r="115" ht="15.75" customHeight="1" s="154">
      <c r="O115" s="153" t="n"/>
      <c r="P115" s="153" t="n"/>
      <c r="Q115" s="153" t="n"/>
      <c r="R115" s="153" t="n"/>
      <c r="S115" s="153" t="n"/>
      <c r="T115" s="153" t="n"/>
      <c r="U115" s="153" t="n"/>
      <c r="V115" s="153" t="n"/>
      <c r="W115" s="153" t="n"/>
      <c r="X115" s="153" t="n"/>
      <c r="Y115" s="153" t="n"/>
    </row>
    <row r="116" ht="15.75" customHeight="1" s="154">
      <c r="O116" s="153" t="n"/>
      <c r="P116" s="153" t="n"/>
      <c r="Q116" s="153" t="n"/>
      <c r="R116" s="153" t="n"/>
      <c r="S116" s="153" t="n"/>
      <c r="T116" s="153" t="n"/>
      <c r="U116" s="153" t="n"/>
      <c r="V116" s="153" t="n"/>
      <c r="W116" s="153" t="n"/>
      <c r="X116" s="153" t="n"/>
      <c r="Y116" s="153" t="n"/>
    </row>
    <row r="117" ht="15.75" customHeight="1" s="154">
      <c r="O117" s="153" t="n"/>
      <c r="P117" s="153" t="n"/>
      <c r="Q117" s="153" t="n"/>
      <c r="R117" s="153" t="n"/>
      <c r="S117" s="153" t="n"/>
      <c r="T117" s="153" t="n"/>
      <c r="U117" s="153" t="n"/>
      <c r="V117" s="153" t="n"/>
      <c r="W117" s="153" t="n"/>
      <c r="X117" s="153" t="n"/>
      <c r="Y117" s="153" t="n"/>
    </row>
    <row r="118" ht="15.75" customHeight="1" s="154">
      <c r="O118" s="153" t="n"/>
      <c r="P118" s="153" t="n"/>
      <c r="Q118" s="153" t="n"/>
      <c r="R118" s="153" t="n"/>
      <c r="S118" s="153" t="n"/>
      <c r="T118" s="153" t="n"/>
      <c r="U118" s="153" t="n"/>
      <c r="V118" s="153" t="n"/>
      <c r="W118" s="153" t="n"/>
      <c r="X118" s="153" t="n"/>
      <c r="Y118" s="153" t="n"/>
    </row>
    <row r="119" ht="15.75" customHeight="1" s="154">
      <c r="O119" s="153" t="n"/>
      <c r="P119" s="153" t="n"/>
      <c r="Q119" s="153" t="n"/>
      <c r="R119" s="153" t="n"/>
      <c r="S119" s="153" t="n"/>
      <c r="T119" s="153" t="n"/>
      <c r="U119" s="153" t="n"/>
      <c r="V119" s="153" t="n"/>
      <c r="W119" s="153" t="n"/>
      <c r="X119" s="153" t="n"/>
      <c r="Y119" s="153" t="n"/>
    </row>
    <row r="120" ht="15.75" customHeight="1" s="154">
      <c r="O120" s="153" t="n"/>
      <c r="P120" s="153" t="n"/>
      <c r="Q120" s="153" t="n"/>
      <c r="R120" s="153" t="n"/>
      <c r="S120" s="153" t="n"/>
      <c r="T120" s="153" t="n"/>
      <c r="U120" s="153" t="n"/>
      <c r="V120" s="153" t="n"/>
      <c r="W120" s="153" t="n"/>
      <c r="X120" s="153" t="n"/>
      <c r="Y120" s="153" t="n"/>
    </row>
    <row r="121" ht="15.75" customHeight="1" s="154">
      <c r="O121" s="153" t="n"/>
      <c r="P121" s="153" t="n"/>
      <c r="Q121" s="153" t="n"/>
      <c r="R121" s="153" t="n"/>
      <c r="S121" s="153" t="n"/>
      <c r="T121" s="153" t="n"/>
      <c r="U121" s="153" t="n"/>
      <c r="V121" s="153" t="n"/>
      <c r="W121" s="153" t="n"/>
      <c r="X121" s="153" t="n"/>
      <c r="Y121" s="153" t="n"/>
    </row>
    <row r="122" ht="15.75" customHeight="1" s="154">
      <c r="O122" s="153" t="n"/>
      <c r="P122" s="153" t="n"/>
      <c r="Q122" s="153" t="n"/>
      <c r="R122" s="153" t="n"/>
      <c r="S122" s="153" t="n"/>
      <c r="T122" s="153" t="n"/>
      <c r="U122" s="153" t="n"/>
      <c r="V122" s="153" t="n"/>
      <c r="W122" s="153" t="n"/>
      <c r="X122" s="153" t="n"/>
      <c r="Y122" s="153" t="n"/>
    </row>
    <row r="123" ht="15.75" customHeight="1" s="154">
      <c r="O123" s="153" t="n"/>
      <c r="P123" s="153" t="n"/>
      <c r="Q123" s="153" t="n"/>
      <c r="R123" s="153" t="n"/>
      <c r="S123" s="153" t="n"/>
      <c r="T123" s="153" t="n"/>
      <c r="U123" s="153" t="n"/>
      <c r="V123" s="153" t="n"/>
      <c r="W123" s="153" t="n"/>
      <c r="X123" s="153" t="n"/>
      <c r="Y123" s="153" t="n"/>
    </row>
    <row r="124" ht="15.75" customHeight="1" s="154">
      <c r="O124" s="153" t="n"/>
      <c r="P124" s="153" t="n"/>
      <c r="Q124" s="153" t="n"/>
      <c r="R124" s="153" t="n"/>
      <c r="S124" s="153" t="n"/>
      <c r="T124" s="153" t="n"/>
      <c r="U124" s="153" t="n"/>
      <c r="V124" s="153" t="n"/>
      <c r="W124" s="153" t="n"/>
      <c r="X124" s="153" t="n"/>
      <c r="Y124" s="153" t="n"/>
    </row>
    <row r="125" ht="15.75" customHeight="1" s="154">
      <c r="O125" s="153" t="n"/>
      <c r="P125" s="153" t="n"/>
      <c r="Q125" s="153" t="n"/>
      <c r="R125" s="153" t="n"/>
      <c r="S125" s="153" t="n"/>
      <c r="T125" s="153" t="n"/>
      <c r="U125" s="153" t="n"/>
      <c r="V125" s="153" t="n"/>
      <c r="W125" s="153" t="n"/>
      <c r="X125" s="153" t="n"/>
      <c r="Y125" s="153" t="n"/>
    </row>
    <row r="126" ht="15.75" customHeight="1" s="154">
      <c r="O126" s="153" t="n"/>
      <c r="P126" s="153" t="n"/>
      <c r="Q126" s="153" t="n"/>
      <c r="R126" s="153" t="n"/>
      <c r="S126" s="153" t="n"/>
      <c r="T126" s="153" t="n"/>
      <c r="U126" s="153" t="n"/>
      <c r="V126" s="153" t="n"/>
      <c r="W126" s="153" t="n"/>
      <c r="X126" s="153" t="n"/>
      <c r="Y126" s="153" t="n"/>
    </row>
    <row r="127" ht="15.75" customHeight="1" s="154">
      <c r="O127" s="153" t="n"/>
      <c r="P127" s="153" t="n"/>
      <c r="Q127" s="153" t="n"/>
      <c r="R127" s="153" t="n"/>
      <c r="S127" s="153" t="n"/>
      <c r="T127" s="153" t="n"/>
      <c r="U127" s="153" t="n"/>
      <c r="V127" s="153" t="n"/>
      <c r="W127" s="153" t="n"/>
      <c r="X127" s="153" t="n"/>
      <c r="Y127" s="153" t="n"/>
    </row>
    <row r="128" ht="15.75" customHeight="1" s="154">
      <c r="O128" s="153" t="n"/>
      <c r="P128" s="153" t="n"/>
      <c r="Q128" s="153" t="n"/>
      <c r="R128" s="153" t="n"/>
      <c r="S128" s="153" t="n"/>
      <c r="T128" s="153" t="n"/>
      <c r="U128" s="153" t="n"/>
      <c r="V128" s="153" t="n"/>
      <c r="W128" s="153" t="n"/>
      <c r="X128" s="153" t="n"/>
      <c r="Y128" s="153" t="n"/>
    </row>
    <row r="129" ht="15.75" customHeight="1" s="154">
      <c r="O129" s="153" t="n"/>
      <c r="P129" s="153" t="n"/>
      <c r="Q129" s="153" t="n"/>
      <c r="R129" s="153" t="n"/>
      <c r="S129" s="153" t="n"/>
      <c r="T129" s="153" t="n"/>
      <c r="U129" s="153" t="n"/>
      <c r="V129" s="153" t="n"/>
      <c r="W129" s="153" t="n"/>
      <c r="X129" s="153" t="n"/>
      <c r="Y129" s="153" t="n"/>
    </row>
    <row r="130" ht="15.75" customHeight="1" s="154">
      <c r="O130" s="153" t="n"/>
      <c r="P130" s="153" t="n"/>
      <c r="Q130" s="153" t="n"/>
      <c r="R130" s="153" t="n"/>
      <c r="S130" s="153" t="n"/>
      <c r="T130" s="153" t="n"/>
      <c r="U130" s="153" t="n"/>
      <c r="V130" s="153" t="n"/>
      <c r="W130" s="153" t="n"/>
      <c r="X130" s="153" t="n"/>
      <c r="Y130" s="153" t="n"/>
    </row>
    <row r="131" ht="15.75" customHeight="1" s="154">
      <c r="O131" s="153" t="n"/>
      <c r="P131" s="153" t="n"/>
      <c r="Q131" s="153" t="n"/>
      <c r="R131" s="153" t="n"/>
      <c r="S131" s="153" t="n"/>
      <c r="T131" s="153" t="n"/>
      <c r="U131" s="153" t="n"/>
      <c r="V131" s="153" t="n"/>
      <c r="W131" s="153" t="n"/>
      <c r="X131" s="153" t="n"/>
      <c r="Y131" s="153" t="n"/>
    </row>
    <row r="132" ht="15.75" customHeight="1" s="154">
      <c r="O132" s="153" t="n"/>
      <c r="P132" s="153" t="n"/>
      <c r="Q132" s="153" t="n"/>
      <c r="R132" s="153" t="n"/>
      <c r="S132" s="153" t="n"/>
      <c r="T132" s="153" t="n"/>
      <c r="U132" s="153" t="n"/>
      <c r="V132" s="153" t="n"/>
      <c r="W132" s="153" t="n"/>
      <c r="X132" s="153" t="n"/>
      <c r="Y132" s="153" t="n"/>
    </row>
    <row r="133" ht="15.75" customHeight="1" s="154">
      <c r="O133" s="153" t="n"/>
      <c r="P133" s="153" t="n"/>
      <c r="Q133" s="153" t="n"/>
      <c r="R133" s="153" t="n"/>
      <c r="S133" s="153" t="n"/>
      <c r="T133" s="153" t="n"/>
      <c r="U133" s="153" t="n"/>
      <c r="V133" s="153" t="n"/>
      <c r="W133" s="153" t="n"/>
      <c r="X133" s="153" t="n"/>
      <c r="Y133" s="153" t="n"/>
    </row>
    <row r="134" ht="15.75" customHeight="1" s="154">
      <c r="O134" s="153" t="n"/>
      <c r="P134" s="153" t="n"/>
      <c r="Q134" s="153" t="n"/>
      <c r="R134" s="153" t="n"/>
      <c r="S134" s="153" t="n"/>
      <c r="T134" s="153" t="n"/>
      <c r="U134" s="153" t="n"/>
      <c r="V134" s="153" t="n"/>
      <c r="W134" s="153" t="n"/>
      <c r="X134" s="153" t="n"/>
      <c r="Y134" s="153" t="n"/>
    </row>
    <row r="135" ht="15.75" customHeight="1" s="154">
      <c r="O135" s="153" t="n"/>
      <c r="P135" s="153" t="n"/>
      <c r="Q135" s="153" t="n"/>
      <c r="R135" s="153" t="n"/>
      <c r="S135" s="153" t="n"/>
      <c r="T135" s="153" t="n"/>
      <c r="U135" s="153" t="n"/>
      <c r="V135" s="153" t="n"/>
      <c r="W135" s="153" t="n"/>
      <c r="X135" s="153" t="n"/>
      <c r="Y135" s="153" t="n"/>
    </row>
    <row r="136" ht="15.75" customHeight="1" s="154">
      <c r="O136" s="153" t="n"/>
      <c r="P136" s="153" t="n"/>
      <c r="Q136" s="153" t="n"/>
      <c r="R136" s="153" t="n"/>
      <c r="S136" s="153" t="n"/>
      <c r="T136" s="153" t="n"/>
      <c r="U136" s="153" t="n"/>
      <c r="V136" s="153" t="n"/>
      <c r="W136" s="153" t="n"/>
      <c r="X136" s="153" t="n"/>
      <c r="Y136" s="153" t="n"/>
    </row>
    <row r="137" ht="15.75" customHeight="1" s="154">
      <c r="O137" s="153" t="n"/>
      <c r="P137" s="153" t="n"/>
      <c r="Q137" s="153" t="n"/>
      <c r="R137" s="153" t="n"/>
      <c r="S137" s="153" t="n"/>
      <c r="T137" s="153" t="n"/>
      <c r="U137" s="153" t="n"/>
      <c r="V137" s="153" t="n"/>
      <c r="W137" s="153" t="n"/>
      <c r="X137" s="153" t="n"/>
      <c r="Y137" s="153" t="n"/>
    </row>
    <row r="138" ht="15.75" customHeight="1" s="154">
      <c r="O138" s="153" t="n"/>
      <c r="P138" s="153" t="n"/>
      <c r="Q138" s="153" t="n"/>
      <c r="R138" s="153" t="n"/>
      <c r="S138" s="153" t="n"/>
      <c r="T138" s="153" t="n"/>
      <c r="U138" s="153" t="n"/>
      <c r="V138" s="153" t="n"/>
      <c r="W138" s="153" t="n"/>
      <c r="X138" s="153" t="n"/>
      <c r="Y138" s="153" t="n"/>
    </row>
    <row r="139" ht="15.75" customHeight="1" s="154">
      <c r="O139" s="153" t="n"/>
      <c r="P139" s="153" t="n"/>
      <c r="Q139" s="153" t="n"/>
      <c r="R139" s="153" t="n"/>
      <c r="S139" s="153" t="n"/>
      <c r="T139" s="153" t="n"/>
      <c r="U139" s="153" t="n"/>
      <c r="V139" s="153" t="n"/>
      <c r="W139" s="153" t="n"/>
      <c r="X139" s="153" t="n"/>
      <c r="Y139" s="153" t="n"/>
    </row>
    <row r="140" ht="15.75" customHeight="1" s="154">
      <c r="O140" s="153" t="n"/>
      <c r="P140" s="153" t="n"/>
      <c r="Q140" s="153" t="n"/>
      <c r="R140" s="153" t="n"/>
      <c r="S140" s="153" t="n"/>
      <c r="T140" s="153" t="n"/>
      <c r="U140" s="153" t="n"/>
      <c r="V140" s="153" t="n"/>
      <c r="W140" s="153" t="n"/>
      <c r="X140" s="153" t="n"/>
      <c r="Y140" s="153" t="n"/>
    </row>
    <row r="141" ht="15.75" customHeight="1" s="154">
      <c r="O141" s="153" t="n"/>
      <c r="P141" s="153" t="n"/>
      <c r="Q141" s="153" t="n"/>
      <c r="R141" s="153" t="n"/>
      <c r="S141" s="153" t="n"/>
      <c r="T141" s="153" t="n"/>
      <c r="U141" s="153" t="n"/>
      <c r="V141" s="153" t="n"/>
      <c r="W141" s="153" t="n"/>
      <c r="X141" s="153" t="n"/>
      <c r="Y141" s="153" t="n"/>
    </row>
    <row r="142" ht="15.75" customHeight="1" s="154">
      <c r="O142" s="153" t="n"/>
      <c r="P142" s="153" t="n"/>
      <c r="Q142" s="153" t="n"/>
      <c r="R142" s="153" t="n"/>
      <c r="S142" s="153" t="n"/>
      <c r="T142" s="153" t="n"/>
      <c r="U142" s="153" t="n"/>
      <c r="V142" s="153" t="n"/>
      <c r="W142" s="153" t="n"/>
      <c r="X142" s="153" t="n"/>
      <c r="Y142" s="153" t="n"/>
    </row>
    <row r="143" ht="15.75" customHeight="1" s="154">
      <c r="O143" s="153" t="n"/>
      <c r="P143" s="153" t="n"/>
      <c r="Q143" s="153" t="n"/>
      <c r="R143" s="153" t="n"/>
      <c r="S143" s="153" t="n"/>
      <c r="T143" s="153" t="n"/>
      <c r="U143" s="153" t="n"/>
      <c r="V143" s="153" t="n"/>
      <c r="W143" s="153" t="n"/>
      <c r="X143" s="153" t="n"/>
      <c r="Y143" s="153" t="n"/>
    </row>
    <row r="144" ht="15.75" customHeight="1" s="154">
      <c r="O144" s="153" t="n"/>
      <c r="P144" s="153" t="n"/>
      <c r="Q144" s="153" t="n"/>
      <c r="R144" s="153" t="n"/>
      <c r="S144" s="153" t="n"/>
      <c r="T144" s="153" t="n"/>
      <c r="U144" s="153" t="n"/>
      <c r="V144" s="153" t="n"/>
      <c r="W144" s="153" t="n"/>
      <c r="X144" s="153" t="n"/>
      <c r="Y144" s="153" t="n"/>
    </row>
    <row r="145" ht="15.75" customHeight="1" s="154">
      <c r="O145" s="153" t="n"/>
      <c r="P145" s="153" t="n"/>
      <c r="Q145" s="153" t="n"/>
      <c r="R145" s="153" t="n"/>
      <c r="S145" s="153" t="n"/>
      <c r="T145" s="153" t="n"/>
      <c r="U145" s="153" t="n"/>
      <c r="V145" s="153" t="n"/>
      <c r="W145" s="153" t="n"/>
      <c r="X145" s="153" t="n"/>
      <c r="Y145" s="153" t="n"/>
    </row>
    <row r="146" ht="15.75" customHeight="1" s="154">
      <c r="O146" s="153" t="n"/>
      <c r="P146" s="153" t="n"/>
      <c r="Q146" s="153" t="n"/>
      <c r="R146" s="153" t="n"/>
      <c r="S146" s="153" t="n"/>
      <c r="T146" s="153" t="n"/>
      <c r="U146" s="153" t="n"/>
      <c r="V146" s="153" t="n"/>
      <c r="W146" s="153" t="n"/>
      <c r="X146" s="153" t="n"/>
      <c r="Y146" s="153" t="n"/>
    </row>
    <row r="147" ht="15.75" customHeight="1" s="154">
      <c r="O147" s="153" t="n"/>
      <c r="P147" s="153" t="n"/>
      <c r="Q147" s="153" t="n"/>
      <c r="R147" s="153" t="n"/>
      <c r="S147" s="153" t="n"/>
      <c r="T147" s="153" t="n"/>
      <c r="U147" s="153" t="n"/>
      <c r="V147" s="153" t="n"/>
      <c r="W147" s="153" t="n"/>
      <c r="X147" s="153" t="n"/>
      <c r="Y147" s="153" t="n"/>
    </row>
    <row r="148" ht="15.75" customHeight="1" s="154">
      <c r="O148" s="153" t="n"/>
      <c r="P148" s="153" t="n"/>
      <c r="Q148" s="153" t="n"/>
      <c r="R148" s="153" t="n"/>
      <c r="S148" s="153" t="n"/>
      <c r="T148" s="153" t="n"/>
      <c r="U148" s="153" t="n"/>
      <c r="V148" s="153" t="n"/>
      <c r="W148" s="153" t="n"/>
      <c r="X148" s="153" t="n"/>
      <c r="Y148" s="153" t="n"/>
    </row>
    <row r="149" ht="15.75" customHeight="1" s="154">
      <c r="O149" s="153" t="n"/>
      <c r="P149" s="153" t="n"/>
      <c r="Q149" s="153" t="n"/>
      <c r="R149" s="153" t="n"/>
      <c r="S149" s="153" t="n"/>
      <c r="T149" s="153" t="n"/>
      <c r="U149" s="153" t="n"/>
      <c r="V149" s="153" t="n"/>
      <c r="W149" s="153" t="n"/>
      <c r="X149" s="153" t="n"/>
      <c r="Y149" s="153" t="n"/>
    </row>
    <row r="150" ht="15.75" customHeight="1" s="154">
      <c r="O150" s="153" t="n"/>
      <c r="P150" s="153" t="n"/>
      <c r="Q150" s="153" t="n"/>
      <c r="R150" s="153" t="n"/>
      <c r="S150" s="153" t="n"/>
      <c r="T150" s="153" t="n"/>
      <c r="U150" s="153" t="n"/>
      <c r="V150" s="153" t="n"/>
      <c r="W150" s="153" t="n"/>
      <c r="X150" s="153" t="n"/>
      <c r="Y150" s="153" t="n"/>
    </row>
    <row r="151" ht="15.75" customHeight="1" s="154">
      <c r="O151" s="153" t="n"/>
      <c r="P151" s="153" t="n"/>
      <c r="Q151" s="153" t="n"/>
      <c r="R151" s="153" t="n"/>
      <c r="S151" s="153" t="n"/>
      <c r="T151" s="153" t="n"/>
      <c r="U151" s="153" t="n"/>
      <c r="V151" s="153" t="n"/>
      <c r="W151" s="153" t="n"/>
      <c r="X151" s="153" t="n"/>
      <c r="Y151" s="153" t="n"/>
    </row>
    <row r="152" ht="15.75" customHeight="1" s="154">
      <c r="O152" s="153" t="n"/>
      <c r="P152" s="153" t="n"/>
      <c r="Q152" s="153" t="n"/>
      <c r="R152" s="153" t="n"/>
      <c r="S152" s="153" t="n"/>
      <c r="T152" s="153" t="n"/>
      <c r="U152" s="153" t="n"/>
      <c r="V152" s="153" t="n"/>
      <c r="W152" s="153" t="n"/>
      <c r="X152" s="153" t="n"/>
      <c r="Y152" s="153" t="n"/>
    </row>
    <row r="153" ht="15.75" customHeight="1" s="154">
      <c r="O153" s="153" t="n"/>
      <c r="P153" s="153" t="n"/>
      <c r="Q153" s="153" t="n"/>
      <c r="R153" s="153" t="n"/>
      <c r="S153" s="153" t="n"/>
      <c r="T153" s="153" t="n"/>
      <c r="U153" s="153" t="n"/>
      <c r="V153" s="153" t="n"/>
      <c r="W153" s="153" t="n"/>
      <c r="X153" s="153" t="n"/>
      <c r="Y153" s="153" t="n"/>
    </row>
    <row r="154" ht="15.75" customHeight="1" s="154">
      <c r="O154" s="153" t="n"/>
      <c r="P154" s="153" t="n"/>
      <c r="Q154" s="153" t="n"/>
      <c r="R154" s="153" t="n"/>
      <c r="S154" s="153" t="n"/>
      <c r="T154" s="153" t="n"/>
      <c r="U154" s="153" t="n"/>
      <c r="V154" s="153" t="n"/>
      <c r="W154" s="153" t="n"/>
      <c r="X154" s="153" t="n"/>
      <c r="Y154" s="153" t="n"/>
    </row>
    <row r="155" ht="15.75" customHeight="1" s="154">
      <c r="O155" s="153" t="n"/>
      <c r="P155" s="153" t="n"/>
      <c r="Q155" s="153" t="n"/>
      <c r="R155" s="153" t="n"/>
      <c r="S155" s="153" t="n"/>
      <c r="T155" s="153" t="n"/>
      <c r="U155" s="153" t="n"/>
      <c r="V155" s="153" t="n"/>
      <c r="W155" s="153" t="n"/>
      <c r="X155" s="153" t="n"/>
      <c r="Y155" s="153" t="n"/>
    </row>
    <row r="156" ht="15.75" customHeight="1" s="154">
      <c r="O156" s="153" t="n"/>
      <c r="P156" s="153" t="n"/>
      <c r="Q156" s="153" t="n"/>
      <c r="R156" s="153" t="n"/>
      <c r="S156" s="153" t="n"/>
      <c r="T156" s="153" t="n"/>
      <c r="U156" s="153" t="n"/>
      <c r="V156" s="153" t="n"/>
      <c r="W156" s="153" t="n"/>
      <c r="X156" s="153" t="n"/>
      <c r="Y156" s="153" t="n"/>
    </row>
    <row r="157" ht="15.75" customHeight="1" s="154">
      <c r="O157" s="153" t="n"/>
      <c r="P157" s="153" t="n"/>
      <c r="Q157" s="153" t="n"/>
      <c r="R157" s="153" t="n"/>
      <c r="S157" s="153" t="n"/>
      <c r="T157" s="153" t="n"/>
      <c r="U157" s="153" t="n"/>
      <c r="V157" s="153" t="n"/>
      <c r="W157" s="153" t="n"/>
      <c r="X157" s="153" t="n"/>
      <c r="Y157" s="153" t="n"/>
    </row>
    <row r="158" ht="15.75" customHeight="1" s="154">
      <c r="O158" s="153" t="n"/>
      <c r="P158" s="153" t="n"/>
      <c r="Q158" s="153" t="n"/>
      <c r="R158" s="153" t="n"/>
      <c r="S158" s="153" t="n"/>
      <c r="T158" s="153" t="n"/>
      <c r="U158" s="153" t="n"/>
      <c r="V158" s="153" t="n"/>
      <c r="W158" s="153" t="n"/>
      <c r="X158" s="153" t="n"/>
      <c r="Y158" s="153" t="n"/>
    </row>
    <row r="159" ht="15.75" customHeight="1" s="154">
      <c r="O159" s="153" t="n"/>
      <c r="P159" s="153" t="n"/>
      <c r="Q159" s="153" t="n"/>
      <c r="R159" s="153" t="n"/>
      <c r="S159" s="153" t="n"/>
      <c r="T159" s="153" t="n"/>
      <c r="U159" s="153" t="n"/>
      <c r="V159" s="153" t="n"/>
      <c r="W159" s="153" t="n"/>
      <c r="X159" s="153" t="n"/>
      <c r="Y159" s="153" t="n"/>
    </row>
    <row r="160" ht="15.75" customHeight="1" s="154">
      <c r="O160" s="153" t="n"/>
      <c r="P160" s="153" t="n"/>
      <c r="Q160" s="153" t="n"/>
      <c r="R160" s="153" t="n"/>
      <c r="S160" s="153" t="n"/>
      <c r="T160" s="153" t="n"/>
      <c r="U160" s="153" t="n"/>
      <c r="V160" s="153" t="n"/>
      <c r="W160" s="153" t="n"/>
      <c r="X160" s="153" t="n"/>
      <c r="Y160" s="153" t="n"/>
    </row>
    <row r="161" ht="15.75" customHeight="1" s="154">
      <c r="O161" s="153" t="n"/>
      <c r="P161" s="153" t="n"/>
      <c r="Q161" s="153" t="n"/>
      <c r="R161" s="153" t="n"/>
      <c r="S161" s="153" t="n"/>
      <c r="T161" s="153" t="n"/>
      <c r="U161" s="153" t="n"/>
      <c r="V161" s="153" t="n"/>
      <c r="W161" s="153" t="n"/>
      <c r="X161" s="153" t="n"/>
      <c r="Y161" s="153" t="n"/>
    </row>
    <row r="162" ht="15.75" customHeight="1" s="154">
      <c r="O162" s="153" t="n"/>
      <c r="P162" s="153" t="n"/>
      <c r="Q162" s="153" t="n"/>
      <c r="R162" s="153" t="n"/>
      <c r="S162" s="153" t="n"/>
      <c r="T162" s="153" t="n"/>
      <c r="U162" s="153" t="n"/>
      <c r="V162" s="153" t="n"/>
      <c r="W162" s="153" t="n"/>
      <c r="X162" s="153" t="n"/>
      <c r="Y162" s="153" t="n"/>
    </row>
    <row r="163" ht="15.75" customHeight="1" s="154">
      <c r="O163" s="153" t="n"/>
      <c r="P163" s="153" t="n"/>
      <c r="Q163" s="153" t="n"/>
      <c r="R163" s="153" t="n"/>
      <c r="S163" s="153" t="n"/>
      <c r="T163" s="153" t="n"/>
      <c r="U163" s="153" t="n"/>
      <c r="V163" s="153" t="n"/>
      <c r="W163" s="153" t="n"/>
      <c r="X163" s="153" t="n"/>
      <c r="Y163" s="153" t="n"/>
    </row>
    <row r="164" ht="15.75" customHeight="1" s="154">
      <c r="O164" s="153" t="n"/>
      <c r="P164" s="153" t="n"/>
      <c r="Q164" s="153" t="n"/>
      <c r="R164" s="153" t="n"/>
      <c r="S164" s="153" t="n"/>
      <c r="T164" s="153" t="n"/>
      <c r="U164" s="153" t="n"/>
      <c r="V164" s="153" t="n"/>
      <c r="W164" s="153" t="n"/>
      <c r="X164" s="153" t="n"/>
      <c r="Y164" s="153" t="n"/>
    </row>
    <row r="165" ht="15.75" customHeight="1" s="154">
      <c r="O165" s="153" t="n"/>
      <c r="P165" s="153" t="n"/>
      <c r="Q165" s="153" t="n"/>
      <c r="R165" s="153" t="n"/>
      <c r="S165" s="153" t="n"/>
      <c r="T165" s="153" t="n"/>
      <c r="U165" s="153" t="n"/>
      <c r="V165" s="153" t="n"/>
      <c r="W165" s="153" t="n"/>
      <c r="X165" s="153" t="n"/>
      <c r="Y165" s="153" t="n"/>
    </row>
    <row r="166" ht="15.75" customHeight="1" s="154">
      <c r="O166" s="153" t="n"/>
      <c r="P166" s="153" t="n"/>
      <c r="Q166" s="153" t="n"/>
      <c r="R166" s="153" t="n"/>
      <c r="S166" s="153" t="n"/>
      <c r="T166" s="153" t="n"/>
      <c r="U166" s="153" t="n"/>
      <c r="V166" s="153" t="n"/>
      <c r="W166" s="153" t="n"/>
      <c r="X166" s="153" t="n"/>
      <c r="Y166" s="153" t="n"/>
    </row>
    <row r="167" ht="15.75" customHeight="1" s="154">
      <c r="O167" s="153" t="n"/>
      <c r="P167" s="153" t="n"/>
      <c r="Q167" s="153" t="n"/>
      <c r="R167" s="153" t="n"/>
      <c r="S167" s="153" t="n"/>
      <c r="T167" s="153" t="n"/>
      <c r="U167" s="153" t="n"/>
      <c r="V167" s="153" t="n"/>
      <c r="W167" s="153" t="n"/>
      <c r="X167" s="153" t="n"/>
      <c r="Y167" s="153" t="n"/>
    </row>
    <row r="168" ht="15.75" customHeight="1" s="154">
      <c r="O168" s="153" t="n"/>
      <c r="P168" s="153" t="n"/>
      <c r="Q168" s="153" t="n"/>
      <c r="R168" s="153" t="n"/>
      <c r="S168" s="153" t="n"/>
      <c r="T168" s="153" t="n"/>
      <c r="U168" s="153" t="n"/>
      <c r="V168" s="153" t="n"/>
      <c r="W168" s="153" t="n"/>
      <c r="X168" s="153" t="n"/>
      <c r="Y168" s="153" t="n"/>
    </row>
    <row r="169" ht="15.75" customHeight="1" s="154">
      <c r="O169" s="153" t="n"/>
      <c r="P169" s="153" t="n"/>
      <c r="Q169" s="153" t="n"/>
      <c r="R169" s="153" t="n"/>
      <c r="S169" s="153" t="n"/>
      <c r="T169" s="153" t="n"/>
      <c r="U169" s="153" t="n"/>
      <c r="V169" s="153" t="n"/>
      <c r="W169" s="153" t="n"/>
      <c r="X169" s="153" t="n"/>
      <c r="Y169" s="153" t="n"/>
    </row>
    <row r="170" ht="15.75" customHeight="1" s="154">
      <c r="O170" s="153" t="n"/>
      <c r="P170" s="153" t="n"/>
      <c r="Q170" s="153" t="n"/>
      <c r="R170" s="153" t="n"/>
      <c r="S170" s="153" t="n"/>
      <c r="T170" s="153" t="n"/>
      <c r="U170" s="153" t="n"/>
      <c r="V170" s="153" t="n"/>
      <c r="W170" s="153" t="n"/>
      <c r="X170" s="153" t="n"/>
      <c r="Y170" s="153" t="n"/>
    </row>
    <row r="171" ht="15.75" customHeight="1" s="154">
      <c r="O171" s="153" t="n"/>
      <c r="P171" s="153" t="n"/>
      <c r="Q171" s="153" t="n"/>
      <c r="R171" s="153" t="n"/>
      <c r="S171" s="153" t="n"/>
      <c r="T171" s="153" t="n"/>
      <c r="U171" s="153" t="n"/>
      <c r="V171" s="153" t="n"/>
      <c r="W171" s="153" t="n"/>
      <c r="X171" s="153" t="n"/>
      <c r="Y171" s="153" t="n"/>
    </row>
    <row r="172" ht="15.75" customHeight="1" s="154">
      <c r="O172" s="153" t="n"/>
      <c r="P172" s="153" t="n"/>
      <c r="Q172" s="153" t="n"/>
      <c r="R172" s="153" t="n"/>
      <c r="S172" s="153" t="n"/>
      <c r="T172" s="153" t="n"/>
      <c r="U172" s="153" t="n"/>
      <c r="V172" s="153" t="n"/>
      <c r="W172" s="153" t="n"/>
      <c r="X172" s="153" t="n"/>
      <c r="Y172" s="153" t="n"/>
    </row>
    <row r="173" ht="15.75" customHeight="1" s="154">
      <c r="O173" s="153" t="n"/>
      <c r="P173" s="153" t="n"/>
      <c r="Q173" s="153" t="n"/>
      <c r="R173" s="153" t="n"/>
      <c r="S173" s="153" t="n"/>
      <c r="T173" s="153" t="n"/>
      <c r="U173" s="153" t="n"/>
      <c r="V173" s="153" t="n"/>
      <c r="W173" s="153" t="n"/>
      <c r="X173" s="153" t="n"/>
      <c r="Y173" s="153" t="n"/>
    </row>
    <row r="174" ht="15.75" customHeight="1" s="154">
      <c r="O174" s="153" t="n"/>
      <c r="P174" s="153" t="n"/>
      <c r="Q174" s="153" t="n"/>
      <c r="R174" s="153" t="n"/>
      <c r="S174" s="153" t="n"/>
      <c r="T174" s="153" t="n"/>
      <c r="U174" s="153" t="n"/>
      <c r="V174" s="153" t="n"/>
      <c r="W174" s="153" t="n"/>
      <c r="X174" s="153" t="n"/>
      <c r="Y174" s="153" t="n"/>
    </row>
    <row r="175" ht="15.75" customHeight="1" s="154">
      <c r="O175" s="153" t="n"/>
      <c r="P175" s="153" t="n"/>
      <c r="Q175" s="153" t="n"/>
      <c r="R175" s="153" t="n"/>
      <c r="S175" s="153" t="n"/>
      <c r="T175" s="153" t="n"/>
      <c r="U175" s="153" t="n"/>
      <c r="V175" s="153" t="n"/>
      <c r="W175" s="153" t="n"/>
      <c r="X175" s="153" t="n"/>
      <c r="Y175" s="153" t="n"/>
    </row>
    <row r="176" ht="15.75" customHeight="1" s="154">
      <c r="O176" s="153" t="n"/>
      <c r="P176" s="153" t="n"/>
      <c r="Q176" s="153" t="n"/>
      <c r="R176" s="153" t="n"/>
      <c r="S176" s="153" t="n"/>
      <c r="T176" s="153" t="n"/>
      <c r="U176" s="153" t="n"/>
      <c r="V176" s="153" t="n"/>
      <c r="W176" s="153" t="n"/>
      <c r="X176" s="153" t="n"/>
      <c r="Y176" s="153" t="n"/>
    </row>
    <row r="177" ht="15.75" customHeight="1" s="154">
      <c r="O177" s="153" t="n"/>
      <c r="P177" s="153" t="n"/>
      <c r="Q177" s="153" t="n"/>
      <c r="R177" s="153" t="n"/>
      <c r="S177" s="153" t="n"/>
      <c r="T177" s="153" t="n"/>
      <c r="U177" s="153" t="n"/>
      <c r="V177" s="153" t="n"/>
      <c r="W177" s="153" t="n"/>
      <c r="X177" s="153" t="n"/>
      <c r="Y177" s="153" t="n"/>
    </row>
    <row r="178" ht="15.75" customHeight="1" s="154">
      <c r="O178" s="153" t="n"/>
      <c r="P178" s="153" t="n"/>
      <c r="Q178" s="153" t="n"/>
      <c r="R178" s="153" t="n"/>
      <c r="S178" s="153" t="n"/>
      <c r="T178" s="153" t="n"/>
      <c r="U178" s="153" t="n"/>
      <c r="V178" s="153" t="n"/>
      <c r="W178" s="153" t="n"/>
      <c r="X178" s="153" t="n"/>
      <c r="Y178" s="153" t="n"/>
    </row>
    <row r="179" ht="15.75" customHeight="1" s="154">
      <c r="O179" s="153" t="n"/>
      <c r="P179" s="153" t="n"/>
      <c r="Q179" s="153" t="n"/>
      <c r="R179" s="153" t="n"/>
      <c r="S179" s="153" t="n"/>
      <c r="T179" s="153" t="n"/>
      <c r="U179" s="153" t="n"/>
      <c r="V179" s="153" t="n"/>
      <c r="W179" s="153" t="n"/>
      <c r="X179" s="153" t="n"/>
      <c r="Y179" s="153" t="n"/>
    </row>
    <row r="180" ht="15.75" customHeight="1" s="154">
      <c r="O180" s="153" t="n"/>
      <c r="P180" s="153" t="n"/>
      <c r="Q180" s="153" t="n"/>
      <c r="R180" s="153" t="n"/>
      <c r="S180" s="153" t="n"/>
      <c r="T180" s="153" t="n"/>
      <c r="U180" s="153" t="n"/>
      <c r="V180" s="153" t="n"/>
      <c r="W180" s="153" t="n"/>
      <c r="X180" s="153" t="n"/>
      <c r="Y180" s="153" t="n"/>
    </row>
    <row r="181" ht="15.75" customHeight="1" s="154">
      <c r="O181" s="153" t="n"/>
      <c r="P181" s="153" t="n"/>
      <c r="Q181" s="153" t="n"/>
      <c r="R181" s="153" t="n"/>
      <c r="S181" s="153" t="n"/>
      <c r="T181" s="153" t="n"/>
      <c r="U181" s="153" t="n"/>
      <c r="V181" s="153" t="n"/>
      <c r="W181" s="153" t="n"/>
      <c r="X181" s="153" t="n"/>
      <c r="Y181" s="153" t="n"/>
    </row>
    <row r="182" ht="15.75" customHeight="1" s="154">
      <c r="O182" s="153" t="n"/>
      <c r="P182" s="153" t="n"/>
      <c r="Q182" s="153" t="n"/>
      <c r="R182" s="153" t="n"/>
      <c r="S182" s="153" t="n"/>
      <c r="T182" s="153" t="n"/>
      <c r="U182" s="153" t="n"/>
      <c r="V182" s="153" t="n"/>
      <c r="W182" s="153" t="n"/>
      <c r="X182" s="153" t="n"/>
      <c r="Y182" s="153" t="n"/>
    </row>
    <row r="183" ht="15.75" customHeight="1" s="154">
      <c r="O183" s="153" t="n"/>
      <c r="P183" s="153" t="n"/>
      <c r="Q183" s="153" t="n"/>
      <c r="R183" s="153" t="n"/>
      <c r="S183" s="153" t="n"/>
      <c r="T183" s="153" t="n"/>
      <c r="U183" s="153" t="n"/>
      <c r="V183" s="153" t="n"/>
      <c r="W183" s="153" t="n"/>
      <c r="X183" s="153" t="n"/>
      <c r="Y183" s="153" t="n"/>
    </row>
    <row r="184" ht="15.75" customHeight="1" s="154">
      <c r="O184" s="153" t="n"/>
      <c r="P184" s="153" t="n"/>
      <c r="Q184" s="153" t="n"/>
      <c r="R184" s="153" t="n"/>
      <c r="S184" s="153" t="n"/>
      <c r="T184" s="153" t="n"/>
      <c r="U184" s="153" t="n"/>
      <c r="V184" s="153" t="n"/>
      <c r="W184" s="153" t="n"/>
      <c r="X184" s="153" t="n"/>
      <c r="Y184" s="153" t="n"/>
    </row>
    <row r="185" ht="15.75" customHeight="1" s="154">
      <c r="O185" s="153" t="n"/>
      <c r="P185" s="153" t="n"/>
      <c r="Q185" s="153" t="n"/>
      <c r="R185" s="153" t="n"/>
      <c r="S185" s="153" t="n"/>
      <c r="T185" s="153" t="n"/>
      <c r="U185" s="153" t="n"/>
      <c r="V185" s="153" t="n"/>
      <c r="W185" s="153" t="n"/>
      <c r="X185" s="153" t="n"/>
      <c r="Y185" s="153" t="n"/>
    </row>
    <row r="186" ht="15.75" customHeight="1" s="154">
      <c r="O186" s="153" t="n"/>
      <c r="P186" s="153" t="n"/>
      <c r="Q186" s="153" t="n"/>
      <c r="R186" s="153" t="n"/>
      <c r="S186" s="153" t="n"/>
      <c r="T186" s="153" t="n"/>
      <c r="U186" s="153" t="n"/>
      <c r="V186" s="153" t="n"/>
      <c r="W186" s="153" t="n"/>
      <c r="X186" s="153" t="n"/>
      <c r="Y186" s="153" t="n"/>
    </row>
    <row r="187" ht="15.75" customHeight="1" s="154">
      <c r="O187" s="153" t="n"/>
      <c r="P187" s="153" t="n"/>
      <c r="Q187" s="153" t="n"/>
      <c r="R187" s="153" t="n"/>
      <c r="S187" s="153" t="n"/>
      <c r="T187" s="153" t="n"/>
      <c r="U187" s="153" t="n"/>
      <c r="V187" s="153" t="n"/>
      <c r="W187" s="153" t="n"/>
      <c r="X187" s="153" t="n"/>
      <c r="Y187" s="153" t="n"/>
    </row>
    <row r="188" ht="15.75" customHeight="1" s="154">
      <c r="O188" s="153" t="n"/>
      <c r="P188" s="153" t="n"/>
      <c r="Q188" s="153" t="n"/>
      <c r="R188" s="153" t="n"/>
      <c r="S188" s="153" t="n"/>
      <c r="T188" s="153" t="n"/>
      <c r="U188" s="153" t="n"/>
      <c r="V188" s="153" t="n"/>
      <c r="W188" s="153" t="n"/>
      <c r="X188" s="153" t="n"/>
      <c r="Y188" s="153" t="n"/>
    </row>
    <row r="189" ht="15.75" customHeight="1" s="154">
      <c r="O189" s="153" t="n"/>
      <c r="P189" s="153" t="n"/>
      <c r="Q189" s="153" t="n"/>
      <c r="R189" s="153" t="n"/>
      <c r="S189" s="153" t="n"/>
      <c r="T189" s="153" t="n"/>
      <c r="U189" s="153" t="n"/>
      <c r="V189" s="153" t="n"/>
      <c r="W189" s="153" t="n"/>
      <c r="X189" s="153" t="n"/>
      <c r="Y189" s="153" t="n"/>
    </row>
    <row r="190" ht="15.75" customHeight="1" s="154">
      <c r="O190" s="153" t="n"/>
      <c r="P190" s="153" t="n"/>
      <c r="Q190" s="153" t="n"/>
      <c r="R190" s="153" t="n"/>
      <c r="S190" s="153" t="n"/>
      <c r="T190" s="153" t="n"/>
      <c r="U190" s="153" t="n"/>
      <c r="V190" s="153" t="n"/>
      <c r="W190" s="153" t="n"/>
      <c r="X190" s="153" t="n"/>
      <c r="Y190" s="153" t="n"/>
    </row>
    <row r="191" ht="15.75" customHeight="1" s="154">
      <c r="O191" s="153" t="n"/>
      <c r="P191" s="153" t="n"/>
      <c r="Q191" s="153" t="n"/>
      <c r="R191" s="153" t="n"/>
      <c r="S191" s="153" t="n"/>
      <c r="T191" s="153" t="n"/>
      <c r="U191" s="153" t="n"/>
      <c r="V191" s="153" t="n"/>
      <c r="W191" s="153" t="n"/>
      <c r="X191" s="153" t="n"/>
      <c r="Y191" s="153" t="n"/>
    </row>
    <row r="192" ht="15.75" customHeight="1" s="154">
      <c r="O192" s="153" t="n"/>
      <c r="P192" s="153" t="n"/>
      <c r="Q192" s="153" t="n"/>
      <c r="R192" s="153" t="n"/>
      <c r="S192" s="153" t="n"/>
      <c r="T192" s="153" t="n"/>
      <c r="U192" s="153" t="n"/>
      <c r="V192" s="153" t="n"/>
      <c r="W192" s="153" t="n"/>
      <c r="X192" s="153" t="n"/>
      <c r="Y192" s="153" t="n"/>
    </row>
    <row r="193" ht="15.75" customHeight="1" s="154">
      <c r="O193" s="153" t="n"/>
      <c r="P193" s="153" t="n"/>
      <c r="Q193" s="153" t="n"/>
      <c r="R193" s="153" t="n"/>
      <c r="S193" s="153" t="n"/>
      <c r="T193" s="153" t="n"/>
      <c r="U193" s="153" t="n"/>
      <c r="V193" s="153" t="n"/>
      <c r="W193" s="153" t="n"/>
      <c r="X193" s="153" t="n"/>
      <c r="Y193" s="153" t="n"/>
    </row>
    <row r="194" ht="15.75" customHeight="1" s="154">
      <c r="O194" s="153" t="n"/>
      <c r="P194" s="153" t="n"/>
      <c r="Q194" s="153" t="n"/>
      <c r="R194" s="153" t="n"/>
      <c r="S194" s="153" t="n"/>
      <c r="T194" s="153" t="n"/>
      <c r="U194" s="153" t="n"/>
      <c r="V194" s="153" t="n"/>
      <c r="W194" s="153" t="n"/>
      <c r="X194" s="153" t="n"/>
      <c r="Y194" s="153" t="n"/>
    </row>
    <row r="195" ht="15.75" customHeight="1" s="154">
      <c r="O195" s="153" t="n"/>
      <c r="P195" s="153" t="n"/>
      <c r="Q195" s="153" t="n"/>
      <c r="R195" s="153" t="n"/>
      <c r="S195" s="153" t="n"/>
      <c r="T195" s="153" t="n"/>
      <c r="U195" s="153" t="n"/>
      <c r="V195" s="153" t="n"/>
      <c r="W195" s="153" t="n"/>
      <c r="X195" s="153" t="n"/>
      <c r="Y195" s="153" t="n"/>
    </row>
    <row r="196" ht="15.75" customHeight="1" s="154">
      <c r="O196" s="153" t="n"/>
      <c r="P196" s="153" t="n"/>
      <c r="Q196" s="153" t="n"/>
      <c r="R196" s="153" t="n"/>
      <c r="S196" s="153" t="n"/>
      <c r="T196" s="153" t="n"/>
      <c r="U196" s="153" t="n"/>
      <c r="V196" s="153" t="n"/>
      <c r="W196" s="153" t="n"/>
      <c r="X196" s="153" t="n"/>
      <c r="Y196" s="153" t="n"/>
    </row>
    <row r="197" ht="15.75" customHeight="1" s="154">
      <c r="O197" s="153" t="n"/>
      <c r="P197" s="153" t="n"/>
      <c r="Q197" s="153" t="n"/>
      <c r="R197" s="153" t="n"/>
      <c r="S197" s="153" t="n"/>
      <c r="T197" s="153" t="n"/>
      <c r="U197" s="153" t="n"/>
      <c r="V197" s="153" t="n"/>
      <c r="W197" s="153" t="n"/>
      <c r="X197" s="153" t="n"/>
      <c r="Y197" s="153" t="n"/>
    </row>
    <row r="198" ht="15.75" customHeight="1" s="154">
      <c r="O198" s="153" t="n"/>
      <c r="P198" s="153" t="n"/>
      <c r="Q198" s="153" t="n"/>
      <c r="R198" s="153" t="n"/>
      <c r="S198" s="153" t="n"/>
      <c r="T198" s="153" t="n"/>
      <c r="U198" s="153" t="n"/>
      <c r="V198" s="153" t="n"/>
      <c r="W198" s="153" t="n"/>
      <c r="X198" s="153" t="n"/>
      <c r="Y198" s="153" t="n"/>
    </row>
    <row r="199" ht="15.75" customHeight="1" s="154">
      <c r="O199" s="153" t="n"/>
      <c r="P199" s="153" t="n"/>
      <c r="Q199" s="153" t="n"/>
      <c r="R199" s="153" t="n"/>
      <c r="S199" s="153" t="n"/>
      <c r="T199" s="153" t="n"/>
      <c r="U199" s="153" t="n"/>
      <c r="V199" s="153" t="n"/>
      <c r="W199" s="153" t="n"/>
      <c r="X199" s="153" t="n"/>
      <c r="Y199" s="153" t="n"/>
    </row>
    <row r="200" ht="15.75" customHeight="1" s="154">
      <c r="O200" s="153" t="n"/>
      <c r="P200" s="153" t="n"/>
      <c r="Q200" s="153" t="n"/>
      <c r="R200" s="153" t="n"/>
      <c r="S200" s="153" t="n"/>
      <c r="T200" s="153" t="n"/>
      <c r="U200" s="153" t="n"/>
      <c r="V200" s="153" t="n"/>
      <c r="W200" s="153" t="n"/>
      <c r="X200" s="153" t="n"/>
      <c r="Y200" s="153" t="n"/>
    </row>
    <row r="201" ht="15.75" customHeight="1" s="154">
      <c r="O201" s="153" t="n"/>
      <c r="P201" s="153" t="n"/>
      <c r="Q201" s="153" t="n"/>
      <c r="R201" s="153" t="n"/>
      <c r="S201" s="153" t="n"/>
      <c r="T201" s="153" t="n"/>
      <c r="U201" s="153" t="n"/>
      <c r="V201" s="153" t="n"/>
      <c r="W201" s="153" t="n"/>
      <c r="X201" s="153" t="n"/>
      <c r="Y201" s="153" t="n"/>
    </row>
    <row r="202" ht="15.75" customHeight="1" s="154">
      <c r="O202" s="153" t="n"/>
      <c r="P202" s="153" t="n"/>
      <c r="Q202" s="153" t="n"/>
      <c r="R202" s="153" t="n"/>
      <c r="S202" s="153" t="n"/>
      <c r="T202" s="153" t="n"/>
      <c r="U202" s="153" t="n"/>
      <c r="V202" s="153" t="n"/>
      <c r="W202" s="153" t="n"/>
      <c r="X202" s="153" t="n"/>
      <c r="Y202" s="153" t="n"/>
    </row>
    <row r="203" ht="15.75" customHeight="1" s="154">
      <c r="O203" s="153" t="n"/>
      <c r="P203" s="153" t="n"/>
      <c r="Q203" s="153" t="n"/>
      <c r="R203" s="153" t="n"/>
      <c r="S203" s="153" t="n"/>
      <c r="T203" s="153" t="n"/>
      <c r="U203" s="153" t="n"/>
      <c r="V203" s="153" t="n"/>
      <c r="W203" s="153" t="n"/>
      <c r="X203" s="153" t="n"/>
      <c r="Y203" s="153" t="n"/>
    </row>
    <row r="204" ht="15.75" customHeight="1" s="154">
      <c r="O204" s="153" t="n"/>
      <c r="P204" s="153" t="n"/>
      <c r="Q204" s="153" t="n"/>
      <c r="R204" s="153" t="n"/>
      <c r="S204" s="153" t="n"/>
      <c r="T204" s="153" t="n"/>
      <c r="U204" s="153" t="n"/>
      <c r="V204" s="153" t="n"/>
      <c r="W204" s="153" t="n"/>
      <c r="X204" s="153" t="n"/>
      <c r="Y204" s="153" t="n"/>
    </row>
    <row r="205" ht="15.75" customHeight="1" s="154">
      <c r="O205" s="153" t="n"/>
      <c r="P205" s="153" t="n"/>
      <c r="Q205" s="153" t="n"/>
      <c r="R205" s="153" t="n"/>
      <c r="S205" s="153" t="n"/>
      <c r="T205" s="153" t="n"/>
      <c r="U205" s="153" t="n"/>
      <c r="V205" s="153" t="n"/>
      <c r="W205" s="153" t="n"/>
      <c r="X205" s="153" t="n"/>
      <c r="Y205" s="153" t="n"/>
    </row>
    <row r="206" ht="15.75" customHeight="1" s="154">
      <c r="O206" s="153" t="n"/>
      <c r="P206" s="153" t="n"/>
      <c r="Q206" s="153" t="n"/>
      <c r="R206" s="153" t="n"/>
      <c r="S206" s="153" t="n"/>
      <c r="T206" s="153" t="n"/>
      <c r="U206" s="153" t="n"/>
      <c r="V206" s="153" t="n"/>
      <c r="W206" s="153" t="n"/>
      <c r="X206" s="153" t="n"/>
      <c r="Y206" s="153" t="n"/>
    </row>
    <row r="207" ht="15.75" customHeight="1" s="154">
      <c r="O207" s="153" t="n"/>
      <c r="P207" s="153" t="n"/>
      <c r="Q207" s="153" t="n"/>
      <c r="R207" s="153" t="n"/>
      <c r="S207" s="153" t="n"/>
      <c r="T207" s="153" t="n"/>
      <c r="U207" s="153" t="n"/>
      <c r="V207" s="153" t="n"/>
      <c r="W207" s="153" t="n"/>
      <c r="X207" s="153" t="n"/>
      <c r="Y207" s="153" t="n"/>
    </row>
    <row r="208" ht="15.75" customHeight="1" s="154">
      <c r="O208" s="153" t="n"/>
      <c r="P208" s="153" t="n"/>
      <c r="Q208" s="153" t="n"/>
      <c r="R208" s="153" t="n"/>
      <c r="S208" s="153" t="n"/>
      <c r="T208" s="153" t="n"/>
      <c r="U208" s="153" t="n"/>
      <c r="V208" s="153" t="n"/>
      <c r="W208" s="153" t="n"/>
      <c r="X208" s="153" t="n"/>
      <c r="Y208" s="153" t="n"/>
    </row>
    <row r="209" ht="15.75" customHeight="1" s="154">
      <c r="O209" s="153" t="n"/>
      <c r="P209" s="153" t="n"/>
      <c r="Q209" s="153" t="n"/>
      <c r="R209" s="153" t="n"/>
      <c r="S209" s="153" t="n"/>
      <c r="T209" s="153" t="n"/>
      <c r="U209" s="153" t="n"/>
      <c r="V209" s="153" t="n"/>
      <c r="W209" s="153" t="n"/>
      <c r="X209" s="153" t="n"/>
      <c r="Y209" s="153" t="n"/>
    </row>
    <row r="210" ht="15.75" customHeight="1" s="154">
      <c r="O210" s="153" t="n"/>
      <c r="P210" s="153" t="n"/>
      <c r="Q210" s="153" t="n"/>
      <c r="R210" s="153" t="n"/>
      <c r="S210" s="153" t="n"/>
      <c r="T210" s="153" t="n"/>
      <c r="U210" s="153" t="n"/>
      <c r="V210" s="153" t="n"/>
      <c r="W210" s="153" t="n"/>
      <c r="X210" s="153" t="n"/>
      <c r="Y210" s="153" t="n"/>
    </row>
    <row r="211" ht="15.75" customHeight="1" s="154">
      <c r="O211" s="153" t="n"/>
      <c r="P211" s="153" t="n"/>
      <c r="Q211" s="153" t="n"/>
      <c r="R211" s="153" t="n"/>
      <c r="S211" s="153" t="n"/>
      <c r="T211" s="153" t="n"/>
      <c r="U211" s="153" t="n"/>
      <c r="V211" s="153" t="n"/>
      <c r="W211" s="153" t="n"/>
      <c r="X211" s="153" t="n"/>
      <c r="Y211" s="153" t="n"/>
    </row>
    <row r="212" ht="15.75" customHeight="1" s="154">
      <c r="O212" s="153" t="n"/>
      <c r="P212" s="153" t="n"/>
      <c r="Q212" s="153" t="n"/>
      <c r="R212" s="153" t="n"/>
      <c r="S212" s="153" t="n"/>
      <c r="T212" s="153" t="n"/>
      <c r="U212" s="153" t="n"/>
      <c r="V212" s="153" t="n"/>
      <c r="W212" s="153" t="n"/>
      <c r="X212" s="153" t="n"/>
      <c r="Y212" s="153" t="n"/>
    </row>
    <row r="213" ht="15.75" customHeight="1" s="154">
      <c r="O213" s="153" t="n"/>
      <c r="P213" s="153" t="n"/>
      <c r="Q213" s="153" t="n"/>
      <c r="R213" s="153" t="n"/>
      <c r="S213" s="153" t="n"/>
      <c r="T213" s="153" t="n"/>
      <c r="U213" s="153" t="n"/>
      <c r="V213" s="153" t="n"/>
      <c r="W213" s="153" t="n"/>
      <c r="X213" s="153" t="n"/>
      <c r="Y213" s="153" t="n"/>
    </row>
    <row r="214" ht="15.75" customHeight="1" s="154">
      <c r="O214" s="153" t="n"/>
      <c r="P214" s="153" t="n"/>
      <c r="Q214" s="153" t="n"/>
      <c r="R214" s="153" t="n"/>
      <c r="S214" s="153" t="n"/>
      <c r="T214" s="153" t="n"/>
      <c r="U214" s="153" t="n"/>
      <c r="V214" s="153" t="n"/>
      <c r="W214" s="153" t="n"/>
      <c r="X214" s="153" t="n"/>
      <c r="Y214" s="153" t="n"/>
    </row>
    <row r="215" ht="15.75" customHeight="1" s="154">
      <c r="O215" s="153" t="n"/>
      <c r="P215" s="153" t="n"/>
      <c r="Q215" s="153" t="n"/>
      <c r="R215" s="153" t="n"/>
      <c r="S215" s="153" t="n"/>
      <c r="T215" s="153" t="n"/>
      <c r="U215" s="153" t="n"/>
      <c r="V215" s="153" t="n"/>
      <c r="W215" s="153" t="n"/>
      <c r="X215" s="153" t="n"/>
      <c r="Y215" s="153" t="n"/>
    </row>
    <row r="216" ht="15.75" customHeight="1" s="154">
      <c r="O216" s="153" t="n"/>
      <c r="P216" s="153" t="n"/>
      <c r="Q216" s="153" t="n"/>
      <c r="R216" s="153" t="n"/>
      <c r="S216" s="153" t="n"/>
      <c r="T216" s="153" t="n"/>
      <c r="U216" s="153" t="n"/>
      <c r="V216" s="153" t="n"/>
      <c r="W216" s="153" t="n"/>
      <c r="X216" s="153" t="n"/>
      <c r="Y216" s="153" t="n"/>
    </row>
    <row r="217" ht="15.75" customHeight="1" s="154">
      <c r="O217" s="153" t="n"/>
      <c r="P217" s="153" t="n"/>
      <c r="Q217" s="153" t="n"/>
      <c r="R217" s="153" t="n"/>
      <c r="S217" s="153" t="n"/>
      <c r="T217" s="153" t="n"/>
      <c r="U217" s="153" t="n"/>
      <c r="V217" s="153" t="n"/>
      <c r="W217" s="153" t="n"/>
      <c r="X217" s="153" t="n"/>
      <c r="Y217" s="153" t="n"/>
    </row>
    <row r="218" ht="15.75" customHeight="1" s="154">
      <c r="O218" s="153" t="n"/>
      <c r="P218" s="153" t="n"/>
      <c r="Q218" s="153" t="n"/>
      <c r="R218" s="153" t="n"/>
      <c r="S218" s="153" t="n"/>
      <c r="T218" s="153" t="n"/>
      <c r="U218" s="153" t="n"/>
      <c r="V218" s="153" t="n"/>
      <c r="W218" s="153" t="n"/>
      <c r="X218" s="153" t="n"/>
      <c r="Y218" s="153" t="n"/>
    </row>
    <row r="219" ht="15.75" customHeight="1" s="154">
      <c r="O219" s="153" t="n"/>
      <c r="P219" s="153" t="n"/>
      <c r="Q219" s="153" t="n"/>
      <c r="R219" s="153" t="n"/>
      <c r="S219" s="153" t="n"/>
      <c r="T219" s="153" t="n"/>
      <c r="U219" s="153" t="n"/>
      <c r="V219" s="153" t="n"/>
      <c r="W219" s="153" t="n"/>
      <c r="X219" s="153" t="n"/>
      <c r="Y219" s="153" t="n"/>
    </row>
    <row r="220" ht="15.75" customHeight="1" s="154">
      <c r="O220" s="153" t="n"/>
      <c r="P220" s="153" t="n"/>
      <c r="Q220" s="153" t="n"/>
      <c r="R220" s="153" t="n"/>
      <c r="S220" s="153" t="n"/>
      <c r="T220" s="153" t="n"/>
      <c r="U220" s="153" t="n"/>
      <c r="V220" s="153" t="n"/>
      <c r="W220" s="153" t="n"/>
      <c r="X220" s="153" t="n"/>
      <c r="Y220" s="153" t="n"/>
    </row>
    <row r="221" ht="15.75" customHeight="1" s="154">
      <c r="O221" s="153" t="n"/>
      <c r="P221" s="153" t="n"/>
      <c r="Q221" s="153" t="n"/>
      <c r="R221" s="153" t="n"/>
      <c r="S221" s="153" t="n"/>
      <c r="T221" s="153" t="n"/>
      <c r="U221" s="153" t="n"/>
      <c r="V221" s="153" t="n"/>
      <c r="W221" s="153" t="n"/>
      <c r="X221" s="153" t="n"/>
      <c r="Y221" s="153" t="n"/>
    </row>
    <row r="222" ht="15.75" customHeight="1" s="154">
      <c r="O222" s="153" t="n"/>
      <c r="P222" s="153" t="n"/>
      <c r="Q222" s="153" t="n"/>
      <c r="R222" s="153" t="n"/>
      <c r="S222" s="153" t="n"/>
      <c r="T222" s="153" t="n"/>
      <c r="U222" s="153" t="n"/>
      <c r="V222" s="153" t="n"/>
      <c r="W222" s="153" t="n"/>
      <c r="X222" s="153" t="n"/>
      <c r="Y222" s="153" t="n"/>
    </row>
    <row r="223" ht="15.75" customHeight="1" s="154">
      <c r="O223" s="153" t="n"/>
      <c r="P223" s="153" t="n"/>
      <c r="Q223" s="153" t="n"/>
      <c r="R223" s="153" t="n"/>
      <c r="S223" s="153" t="n"/>
      <c r="T223" s="153" t="n"/>
      <c r="U223" s="153" t="n"/>
      <c r="V223" s="153" t="n"/>
      <c r="W223" s="153" t="n"/>
      <c r="X223" s="153" t="n"/>
      <c r="Y223" s="153" t="n"/>
    </row>
    <row r="224" ht="15.75" customHeight="1" s="154">
      <c r="O224" s="153" t="n"/>
      <c r="P224" s="153" t="n"/>
      <c r="Q224" s="153" t="n"/>
      <c r="R224" s="153" t="n"/>
      <c r="S224" s="153" t="n"/>
      <c r="T224" s="153" t="n"/>
      <c r="U224" s="153" t="n"/>
      <c r="V224" s="153" t="n"/>
      <c r="W224" s="153" t="n"/>
      <c r="X224" s="153" t="n"/>
      <c r="Y224" s="153" t="n"/>
    </row>
    <row r="225" ht="15.75" customHeight="1" s="154">
      <c r="O225" s="153" t="n"/>
      <c r="P225" s="153" t="n"/>
      <c r="Q225" s="153" t="n"/>
      <c r="R225" s="153" t="n"/>
      <c r="S225" s="153" t="n"/>
      <c r="T225" s="153" t="n"/>
      <c r="U225" s="153" t="n"/>
      <c r="V225" s="153" t="n"/>
      <c r="W225" s="153" t="n"/>
      <c r="X225" s="153" t="n"/>
      <c r="Y225" s="153" t="n"/>
    </row>
    <row r="226" ht="15.75" customHeight="1" s="154">
      <c r="O226" s="153" t="n"/>
      <c r="P226" s="153" t="n"/>
      <c r="Q226" s="153" t="n"/>
      <c r="R226" s="153" t="n"/>
      <c r="S226" s="153" t="n"/>
      <c r="T226" s="153" t="n"/>
      <c r="U226" s="153" t="n"/>
      <c r="V226" s="153" t="n"/>
      <c r="W226" s="153" t="n"/>
      <c r="X226" s="153" t="n"/>
      <c r="Y226" s="153" t="n"/>
    </row>
    <row r="227" ht="15.75" customHeight="1" s="154">
      <c r="O227" s="153" t="n"/>
      <c r="P227" s="153" t="n"/>
      <c r="Q227" s="153" t="n"/>
      <c r="R227" s="153" t="n"/>
      <c r="S227" s="153" t="n"/>
      <c r="T227" s="153" t="n"/>
      <c r="U227" s="153" t="n"/>
      <c r="V227" s="153" t="n"/>
      <c r="W227" s="153" t="n"/>
      <c r="X227" s="153" t="n"/>
      <c r="Y227" s="153" t="n"/>
    </row>
    <row r="228" ht="15.75" customHeight="1" s="154">
      <c r="O228" s="153" t="n"/>
      <c r="P228" s="153" t="n"/>
      <c r="Q228" s="153" t="n"/>
      <c r="R228" s="153" t="n"/>
      <c r="S228" s="153" t="n"/>
      <c r="T228" s="153" t="n"/>
      <c r="U228" s="153" t="n"/>
      <c r="V228" s="153" t="n"/>
      <c r="W228" s="153" t="n"/>
      <c r="X228" s="153" t="n"/>
      <c r="Y228" s="153" t="n"/>
    </row>
    <row r="229" ht="15.75" customHeight="1" s="154">
      <c r="O229" s="153" t="n"/>
      <c r="P229" s="153" t="n"/>
      <c r="Q229" s="153" t="n"/>
      <c r="R229" s="153" t="n"/>
      <c r="S229" s="153" t="n"/>
      <c r="T229" s="153" t="n"/>
      <c r="U229" s="153" t="n"/>
      <c r="V229" s="153" t="n"/>
      <c r="W229" s="153" t="n"/>
      <c r="X229" s="153" t="n"/>
      <c r="Y229" s="153" t="n"/>
    </row>
    <row r="230" ht="15.75" customHeight="1" s="154">
      <c r="O230" s="153" t="n"/>
      <c r="P230" s="153" t="n"/>
      <c r="Q230" s="153" t="n"/>
      <c r="R230" s="153" t="n"/>
      <c r="S230" s="153" t="n"/>
      <c r="T230" s="153" t="n"/>
      <c r="U230" s="153" t="n"/>
      <c r="V230" s="153" t="n"/>
      <c r="W230" s="153" t="n"/>
      <c r="X230" s="153" t="n"/>
      <c r="Y230" s="153" t="n"/>
    </row>
    <row r="231" ht="15.75" customHeight="1" s="154">
      <c r="O231" s="153" t="n"/>
      <c r="P231" s="153" t="n"/>
      <c r="Q231" s="153" t="n"/>
      <c r="R231" s="153" t="n"/>
      <c r="S231" s="153" t="n"/>
      <c r="T231" s="153" t="n"/>
      <c r="U231" s="153" t="n"/>
      <c r="V231" s="153" t="n"/>
      <c r="W231" s="153" t="n"/>
      <c r="X231" s="153" t="n"/>
      <c r="Y231" s="153" t="n"/>
    </row>
    <row r="232" ht="15.75" customHeight="1" s="154">
      <c r="O232" s="153" t="n"/>
      <c r="P232" s="153" t="n"/>
      <c r="Q232" s="153" t="n"/>
      <c r="R232" s="153" t="n"/>
      <c r="S232" s="153" t="n"/>
      <c r="T232" s="153" t="n"/>
      <c r="U232" s="153" t="n"/>
      <c r="V232" s="153" t="n"/>
      <c r="W232" s="153" t="n"/>
      <c r="X232" s="153" t="n"/>
      <c r="Y232" s="153" t="n"/>
    </row>
    <row r="233" ht="15.75" customHeight="1" s="154">
      <c r="O233" s="153" t="n"/>
      <c r="P233" s="153" t="n"/>
      <c r="Q233" s="153" t="n"/>
      <c r="R233" s="153" t="n"/>
      <c r="S233" s="153" t="n"/>
      <c r="T233" s="153" t="n"/>
      <c r="U233" s="153" t="n"/>
      <c r="V233" s="153" t="n"/>
      <c r="W233" s="153" t="n"/>
      <c r="X233" s="153" t="n"/>
      <c r="Y233" s="153" t="n"/>
    </row>
    <row r="234" ht="15.75" customHeight="1" s="154">
      <c r="O234" s="153" t="n"/>
      <c r="P234" s="153" t="n"/>
      <c r="Q234" s="153" t="n"/>
      <c r="R234" s="153" t="n"/>
      <c r="S234" s="153" t="n"/>
      <c r="T234" s="153" t="n"/>
      <c r="U234" s="153" t="n"/>
      <c r="V234" s="153" t="n"/>
      <c r="W234" s="153" t="n"/>
      <c r="X234" s="153" t="n"/>
      <c r="Y234" s="153" t="n"/>
    </row>
    <row r="235" ht="15.75" customHeight="1" s="154">
      <c r="O235" s="153" t="n"/>
      <c r="P235" s="153" t="n"/>
      <c r="Q235" s="153" t="n"/>
      <c r="R235" s="153" t="n"/>
      <c r="S235" s="153" t="n"/>
      <c r="T235" s="153" t="n"/>
      <c r="U235" s="153" t="n"/>
      <c r="V235" s="153" t="n"/>
      <c r="W235" s="153" t="n"/>
      <c r="X235" s="153" t="n"/>
      <c r="Y235" s="153" t="n"/>
    </row>
    <row r="236" ht="15.75" customHeight="1" s="154">
      <c r="O236" s="153" t="n"/>
      <c r="P236" s="153" t="n"/>
      <c r="Q236" s="153" t="n"/>
      <c r="R236" s="153" t="n"/>
      <c r="S236" s="153" t="n"/>
      <c r="T236" s="153" t="n"/>
      <c r="U236" s="153" t="n"/>
      <c r="V236" s="153" t="n"/>
      <c r="W236" s="153" t="n"/>
      <c r="X236" s="153" t="n"/>
      <c r="Y236" s="153" t="n"/>
    </row>
    <row r="237" ht="15.75" customHeight="1" s="154">
      <c r="O237" s="153" t="n"/>
      <c r="P237" s="153" t="n"/>
      <c r="Q237" s="153" t="n"/>
      <c r="R237" s="153" t="n"/>
      <c r="S237" s="153" t="n"/>
      <c r="T237" s="153" t="n"/>
      <c r="U237" s="153" t="n"/>
      <c r="V237" s="153" t="n"/>
      <c r="W237" s="153" t="n"/>
      <c r="X237" s="153" t="n"/>
      <c r="Y237" s="153" t="n"/>
    </row>
    <row r="238" ht="15.75" customHeight="1" s="154">
      <c r="O238" s="153" t="n"/>
      <c r="P238" s="153" t="n"/>
      <c r="Q238" s="153" t="n"/>
      <c r="R238" s="153" t="n"/>
      <c r="S238" s="153" t="n"/>
      <c r="T238" s="153" t="n"/>
      <c r="U238" s="153" t="n"/>
      <c r="V238" s="153" t="n"/>
      <c r="W238" s="153" t="n"/>
      <c r="X238" s="153" t="n"/>
      <c r="Y238" s="153" t="n"/>
    </row>
    <row r="239" ht="15.75" customHeight="1" s="154">
      <c r="O239" s="153" t="n"/>
      <c r="P239" s="153" t="n"/>
      <c r="Q239" s="153" t="n"/>
      <c r="R239" s="153" t="n"/>
      <c r="S239" s="153" t="n"/>
      <c r="T239" s="153" t="n"/>
      <c r="U239" s="153" t="n"/>
      <c r="V239" s="153" t="n"/>
      <c r="W239" s="153" t="n"/>
      <c r="X239" s="153" t="n"/>
      <c r="Y239" s="153" t="n"/>
    </row>
    <row r="240" ht="15.75" customHeight="1" s="154">
      <c r="O240" s="153" t="n"/>
      <c r="P240" s="153" t="n"/>
      <c r="Q240" s="153" t="n"/>
      <c r="R240" s="153" t="n"/>
      <c r="S240" s="153" t="n"/>
      <c r="T240" s="153" t="n"/>
      <c r="U240" s="153" t="n"/>
      <c r="V240" s="153" t="n"/>
      <c r="W240" s="153" t="n"/>
      <c r="X240" s="153" t="n"/>
      <c r="Y240" s="153" t="n"/>
    </row>
    <row r="241" ht="15.75" customHeight="1" s="154">
      <c r="O241" s="153" t="n"/>
      <c r="P241" s="153" t="n"/>
      <c r="Q241" s="153" t="n"/>
      <c r="R241" s="153" t="n"/>
      <c r="S241" s="153" t="n"/>
      <c r="T241" s="153" t="n"/>
      <c r="U241" s="153" t="n"/>
      <c r="V241" s="153" t="n"/>
      <c r="W241" s="153" t="n"/>
      <c r="X241" s="153" t="n"/>
      <c r="Y241" s="153" t="n"/>
    </row>
    <row r="242" ht="15.75" customHeight="1" s="154">
      <c r="O242" s="153" t="n"/>
      <c r="P242" s="153" t="n"/>
      <c r="Q242" s="153" t="n"/>
      <c r="R242" s="153" t="n"/>
      <c r="S242" s="153" t="n"/>
      <c r="T242" s="153" t="n"/>
      <c r="U242" s="153" t="n"/>
      <c r="V242" s="153" t="n"/>
      <c r="W242" s="153" t="n"/>
      <c r="X242" s="153" t="n"/>
      <c r="Y242" s="153" t="n"/>
    </row>
    <row r="243" ht="15.75" customHeight="1" s="154">
      <c r="O243" s="153" t="n"/>
      <c r="P243" s="153" t="n"/>
      <c r="Q243" s="153" t="n"/>
      <c r="R243" s="153" t="n"/>
      <c r="S243" s="153" t="n"/>
      <c r="T243" s="153" t="n"/>
      <c r="U243" s="153" t="n"/>
      <c r="V243" s="153" t="n"/>
      <c r="W243" s="153" t="n"/>
      <c r="X243" s="153" t="n"/>
      <c r="Y243" s="153" t="n"/>
    </row>
    <row r="244" ht="15.75" customHeight="1" s="154">
      <c r="O244" s="153" t="n"/>
      <c r="P244" s="153" t="n"/>
      <c r="Q244" s="153" t="n"/>
      <c r="R244" s="153" t="n"/>
      <c r="S244" s="153" t="n"/>
      <c r="T244" s="153" t="n"/>
      <c r="U244" s="153" t="n"/>
      <c r="V244" s="153" t="n"/>
      <c r="W244" s="153" t="n"/>
      <c r="X244" s="153" t="n"/>
      <c r="Y244" s="153" t="n"/>
    </row>
    <row r="245" ht="15.75" customHeight="1" s="154">
      <c r="O245" s="153" t="n"/>
      <c r="P245" s="153" t="n"/>
      <c r="Q245" s="153" t="n"/>
      <c r="R245" s="153" t="n"/>
      <c r="S245" s="153" t="n"/>
      <c r="T245" s="153" t="n"/>
      <c r="U245" s="153" t="n"/>
      <c r="V245" s="153" t="n"/>
      <c r="W245" s="153" t="n"/>
      <c r="X245" s="153" t="n"/>
      <c r="Y245" s="153" t="n"/>
    </row>
    <row r="246" ht="15.75" customHeight="1" s="154">
      <c r="O246" s="153" t="n"/>
      <c r="P246" s="153" t="n"/>
      <c r="Q246" s="153" t="n"/>
      <c r="R246" s="153" t="n"/>
      <c r="S246" s="153" t="n"/>
      <c r="T246" s="153" t="n"/>
      <c r="U246" s="153" t="n"/>
      <c r="V246" s="153" t="n"/>
      <c r="W246" s="153" t="n"/>
      <c r="X246" s="153" t="n"/>
      <c r="Y246" s="153" t="n"/>
    </row>
    <row r="247" ht="15.75" customHeight="1" s="154">
      <c r="O247" s="153" t="n"/>
      <c r="P247" s="153" t="n"/>
      <c r="Q247" s="153" t="n"/>
      <c r="R247" s="153" t="n"/>
      <c r="S247" s="153" t="n"/>
      <c r="T247" s="153" t="n"/>
      <c r="U247" s="153" t="n"/>
      <c r="V247" s="153" t="n"/>
      <c r="W247" s="153" t="n"/>
      <c r="X247" s="153" t="n"/>
      <c r="Y247" s="153" t="n"/>
    </row>
    <row r="248" ht="15.75" customHeight="1" s="154">
      <c r="O248" s="153" t="n"/>
      <c r="P248" s="153" t="n"/>
      <c r="Q248" s="153" t="n"/>
      <c r="R248" s="153" t="n"/>
      <c r="S248" s="153" t="n"/>
      <c r="T248" s="153" t="n"/>
      <c r="U248" s="153" t="n"/>
      <c r="V248" s="153" t="n"/>
      <c r="W248" s="153" t="n"/>
      <c r="X248" s="153" t="n"/>
      <c r="Y248" s="153" t="n"/>
    </row>
    <row r="249" ht="15.75" customHeight="1" s="154">
      <c r="O249" s="153" t="n"/>
      <c r="P249" s="153" t="n"/>
      <c r="Q249" s="153" t="n"/>
      <c r="R249" s="153" t="n"/>
      <c r="S249" s="153" t="n"/>
      <c r="T249" s="153" t="n"/>
      <c r="U249" s="153" t="n"/>
      <c r="V249" s="153" t="n"/>
      <c r="W249" s="153" t="n"/>
      <c r="X249" s="153" t="n"/>
      <c r="Y249" s="153" t="n"/>
    </row>
    <row r="250" ht="15.75" customHeight="1" s="154">
      <c r="O250" s="153" t="n"/>
      <c r="P250" s="153" t="n"/>
      <c r="Q250" s="153" t="n"/>
      <c r="R250" s="153" t="n"/>
      <c r="S250" s="153" t="n"/>
      <c r="T250" s="153" t="n"/>
      <c r="U250" s="153" t="n"/>
      <c r="V250" s="153" t="n"/>
      <c r="W250" s="153" t="n"/>
      <c r="X250" s="153" t="n"/>
      <c r="Y250" s="153" t="n"/>
    </row>
    <row r="251" ht="15.75" customHeight="1" s="154">
      <c r="O251" s="153" t="n"/>
      <c r="P251" s="153" t="n"/>
      <c r="Q251" s="153" t="n"/>
      <c r="R251" s="153" t="n"/>
      <c r="S251" s="153" t="n"/>
      <c r="T251" s="153" t="n"/>
      <c r="U251" s="153" t="n"/>
      <c r="V251" s="153" t="n"/>
      <c r="W251" s="153" t="n"/>
      <c r="X251" s="153" t="n"/>
      <c r="Y251" s="153" t="n"/>
    </row>
    <row r="252" ht="15.75" customHeight="1" s="154">
      <c r="O252" s="153" t="n"/>
      <c r="P252" s="153" t="n"/>
      <c r="Q252" s="153" t="n"/>
      <c r="R252" s="153" t="n"/>
      <c r="S252" s="153" t="n"/>
      <c r="T252" s="153" t="n"/>
      <c r="U252" s="153" t="n"/>
      <c r="V252" s="153" t="n"/>
      <c r="W252" s="153" t="n"/>
      <c r="X252" s="153" t="n"/>
      <c r="Y252" s="153" t="n"/>
    </row>
    <row r="253" ht="15.75" customHeight="1" s="154">
      <c r="O253" s="153" t="n"/>
      <c r="P253" s="153" t="n"/>
      <c r="Q253" s="153" t="n"/>
      <c r="R253" s="153" t="n"/>
      <c r="S253" s="153" t="n"/>
      <c r="T253" s="153" t="n"/>
      <c r="U253" s="153" t="n"/>
      <c r="V253" s="153" t="n"/>
      <c r="W253" s="153" t="n"/>
      <c r="X253" s="153" t="n"/>
      <c r="Y253" s="153" t="n"/>
    </row>
    <row r="254" ht="15.75" customHeight="1" s="154">
      <c r="O254" s="153" t="n"/>
      <c r="P254" s="153" t="n"/>
      <c r="Q254" s="153" t="n"/>
      <c r="R254" s="153" t="n"/>
      <c r="S254" s="153" t="n"/>
      <c r="T254" s="153" t="n"/>
      <c r="U254" s="153" t="n"/>
      <c r="V254" s="153" t="n"/>
      <c r="W254" s="153" t="n"/>
      <c r="X254" s="153" t="n"/>
      <c r="Y254" s="153" t="n"/>
    </row>
    <row r="255" ht="15.75" customHeight="1" s="154">
      <c r="O255" s="153" t="n"/>
      <c r="P255" s="153" t="n"/>
      <c r="Q255" s="153" t="n"/>
      <c r="R255" s="153" t="n"/>
      <c r="S255" s="153" t="n"/>
      <c r="T255" s="153" t="n"/>
      <c r="U255" s="153" t="n"/>
      <c r="V255" s="153" t="n"/>
      <c r="W255" s="153" t="n"/>
      <c r="X255" s="153" t="n"/>
      <c r="Y255" s="153" t="n"/>
    </row>
    <row r="256" ht="15.75" customHeight="1" s="154">
      <c r="O256" s="153" t="n"/>
      <c r="P256" s="153" t="n"/>
      <c r="Q256" s="153" t="n"/>
      <c r="R256" s="153" t="n"/>
      <c r="S256" s="153" t="n"/>
      <c r="T256" s="153" t="n"/>
      <c r="U256" s="153" t="n"/>
      <c r="V256" s="153" t="n"/>
      <c r="W256" s="153" t="n"/>
      <c r="X256" s="153" t="n"/>
      <c r="Y256" s="153" t="n"/>
    </row>
    <row r="257" ht="15.75" customHeight="1" s="154">
      <c r="O257" s="153" t="n"/>
      <c r="P257" s="153" t="n"/>
      <c r="Q257" s="153" t="n"/>
      <c r="R257" s="153" t="n"/>
      <c r="S257" s="153" t="n"/>
      <c r="T257" s="153" t="n"/>
      <c r="U257" s="153" t="n"/>
      <c r="V257" s="153" t="n"/>
      <c r="W257" s="153" t="n"/>
      <c r="X257" s="153" t="n"/>
      <c r="Y257" s="153" t="n"/>
    </row>
    <row r="258" ht="15.75" customHeight="1" s="154">
      <c r="O258" s="153" t="n"/>
      <c r="P258" s="153" t="n"/>
      <c r="Q258" s="153" t="n"/>
      <c r="R258" s="153" t="n"/>
      <c r="S258" s="153" t="n"/>
      <c r="T258" s="153" t="n"/>
      <c r="U258" s="153" t="n"/>
      <c r="V258" s="153" t="n"/>
      <c r="W258" s="153" t="n"/>
      <c r="X258" s="153" t="n"/>
      <c r="Y258" s="153" t="n"/>
    </row>
    <row r="259" ht="15.75" customHeight="1" s="154">
      <c r="O259" s="153" t="n"/>
      <c r="P259" s="153" t="n"/>
      <c r="Q259" s="153" t="n"/>
      <c r="R259" s="153" t="n"/>
      <c r="S259" s="153" t="n"/>
      <c r="T259" s="153" t="n"/>
      <c r="U259" s="153" t="n"/>
      <c r="V259" s="153" t="n"/>
      <c r="W259" s="153" t="n"/>
      <c r="X259" s="153" t="n"/>
      <c r="Y259" s="153" t="n"/>
    </row>
    <row r="260" ht="15.75" customHeight="1" s="154">
      <c r="O260" s="153" t="n"/>
      <c r="P260" s="153" t="n"/>
      <c r="Q260" s="153" t="n"/>
      <c r="R260" s="153" t="n"/>
      <c r="S260" s="153" t="n"/>
      <c r="T260" s="153" t="n"/>
      <c r="U260" s="153" t="n"/>
      <c r="V260" s="153" t="n"/>
      <c r="W260" s="153" t="n"/>
      <c r="X260" s="153" t="n"/>
      <c r="Y260" s="153" t="n"/>
    </row>
    <row r="261" ht="15.75" customHeight="1" s="154">
      <c r="O261" s="153" t="n"/>
      <c r="P261" s="153" t="n"/>
      <c r="Q261" s="153" t="n"/>
      <c r="R261" s="153" t="n"/>
      <c r="S261" s="153" t="n"/>
      <c r="T261" s="153" t="n"/>
      <c r="U261" s="153" t="n"/>
      <c r="V261" s="153" t="n"/>
      <c r="W261" s="153" t="n"/>
      <c r="X261" s="153" t="n"/>
      <c r="Y261" s="153" t="n"/>
    </row>
    <row r="262" ht="15.75" customHeight="1" s="154">
      <c r="O262" s="153" t="n"/>
      <c r="P262" s="153" t="n"/>
      <c r="Q262" s="153" t="n"/>
      <c r="R262" s="153" t="n"/>
      <c r="S262" s="153" t="n"/>
      <c r="T262" s="153" t="n"/>
      <c r="U262" s="153" t="n"/>
      <c r="V262" s="153" t="n"/>
      <c r="W262" s="153" t="n"/>
      <c r="X262" s="153" t="n"/>
      <c r="Y262" s="153" t="n"/>
    </row>
    <row r="263" ht="15.75" customHeight="1" s="154">
      <c r="O263" s="153" t="n"/>
      <c r="P263" s="153" t="n"/>
      <c r="Q263" s="153" t="n"/>
      <c r="R263" s="153" t="n"/>
      <c r="S263" s="153" t="n"/>
      <c r="T263" s="153" t="n"/>
      <c r="U263" s="153" t="n"/>
      <c r="V263" s="153" t="n"/>
      <c r="W263" s="153" t="n"/>
      <c r="X263" s="153" t="n"/>
      <c r="Y263" s="153" t="n"/>
    </row>
    <row r="264" ht="15.75" customHeight="1" s="154">
      <c r="O264" s="153" t="n"/>
      <c r="P264" s="153" t="n"/>
      <c r="Q264" s="153" t="n"/>
      <c r="R264" s="153" t="n"/>
      <c r="S264" s="153" t="n"/>
      <c r="T264" s="153" t="n"/>
      <c r="U264" s="153" t="n"/>
      <c r="V264" s="153" t="n"/>
      <c r="W264" s="153" t="n"/>
      <c r="X264" s="153" t="n"/>
      <c r="Y264" s="153" t="n"/>
    </row>
    <row r="265" ht="15.75" customHeight="1" s="154">
      <c r="O265" s="153" t="n"/>
      <c r="P265" s="153" t="n"/>
      <c r="Q265" s="153" t="n"/>
      <c r="R265" s="153" t="n"/>
      <c r="S265" s="153" t="n"/>
      <c r="T265" s="153" t="n"/>
      <c r="U265" s="153" t="n"/>
      <c r="V265" s="153" t="n"/>
      <c r="W265" s="153" t="n"/>
      <c r="X265" s="153" t="n"/>
      <c r="Y265" s="153" t="n"/>
    </row>
    <row r="266" ht="15.75" customHeight="1" s="154">
      <c r="O266" s="153" t="n"/>
      <c r="P266" s="153" t="n"/>
      <c r="Q266" s="153" t="n"/>
      <c r="R266" s="153" t="n"/>
      <c r="S266" s="153" t="n"/>
      <c r="T266" s="153" t="n"/>
      <c r="U266" s="153" t="n"/>
      <c r="V266" s="153" t="n"/>
      <c r="W266" s="153" t="n"/>
      <c r="X266" s="153" t="n"/>
      <c r="Y266" s="153" t="n"/>
    </row>
    <row r="267" ht="15.75" customHeight="1" s="154">
      <c r="O267" s="153" t="n"/>
      <c r="P267" s="153" t="n"/>
      <c r="Q267" s="153" t="n"/>
      <c r="R267" s="153" t="n"/>
      <c r="S267" s="153" t="n"/>
      <c r="T267" s="153" t="n"/>
      <c r="U267" s="153" t="n"/>
      <c r="V267" s="153" t="n"/>
      <c r="W267" s="153" t="n"/>
      <c r="X267" s="153" t="n"/>
      <c r="Y267" s="153" t="n"/>
    </row>
    <row r="268" ht="15.75" customHeight="1" s="154">
      <c r="O268" s="153" t="n"/>
      <c r="P268" s="153" t="n"/>
      <c r="Q268" s="153" t="n"/>
      <c r="R268" s="153" t="n"/>
      <c r="S268" s="153" t="n"/>
      <c r="T268" s="153" t="n"/>
      <c r="U268" s="153" t="n"/>
      <c r="V268" s="153" t="n"/>
      <c r="W268" s="153" t="n"/>
      <c r="X268" s="153" t="n"/>
      <c r="Y268" s="153" t="n"/>
    </row>
    <row r="269" ht="15.75" customHeight="1" s="154">
      <c r="O269" s="153" t="n"/>
      <c r="P269" s="153" t="n"/>
      <c r="Q269" s="153" t="n"/>
      <c r="R269" s="153" t="n"/>
      <c r="S269" s="153" t="n"/>
      <c r="T269" s="153" t="n"/>
      <c r="U269" s="153" t="n"/>
      <c r="V269" s="153" t="n"/>
      <c r="W269" s="153" t="n"/>
      <c r="X269" s="153" t="n"/>
      <c r="Y269" s="153" t="n"/>
    </row>
    <row r="270" ht="15.75" customHeight="1" s="154">
      <c r="O270" s="153" t="n"/>
      <c r="P270" s="153" t="n"/>
      <c r="Q270" s="153" t="n"/>
      <c r="R270" s="153" t="n"/>
      <c r="S270" s="153" t="n"/>
      <c r="T270" s="153" t="n"/>
      <c r="U270" s="153" t="n"/>
      <c r="V270" s="153" t="n"/>
      <c r="W270" s="153" t="n"/>
      <c r="X270" s="153" t="n"/>
      <c r="Y270" s="153" t="n"/>
    </row>
    <row r="271" ht="15.75" customHeight="1" s="154">
      <c r="O271" s="153" t="n"/>
      <c r="P271" s="153" t="n"/>
      <c r="Q271" s="153" t="n"/>
      <c r="R271" s="153" t="n"/>
      <c r="S271" s="153" t="n"/>
      <c r="T271" s="153" t="n"/>
      <c r="U271" s="153" t="n"/>
      <c r="V271" s="153" t="n"/>
      <c r="W271" s="153" t="n"/>
      <c r="X271" s="153" t="n"/>
      <c r="Y271" s="153" t="n"/>
    </row>
    <row r="272" ht="15.75" customHeight="1" s="154">
      <c r="O272" s="153" t="n"/>
      <c r="P272" s="153" t="n"/>
      <c r="Q272" s="153" t="n"/>
      <c r="R272" s="153" t="n"/>
      <c r="S272" s="153" t="n"/>
      <c r="T272" s="153" t="n"/>
      <c r="U272" s="153" t="n"/>
      <c r="V272" s="153" t="n"/>
      <c r="W272" s="153" t="n"/>
      <c r="X272" s="153" t="n"/>
      <c r="Y272" s="153" t="n"/>
    </row>
    <row r="273" ht="15.75" customHeight="1" s="154">
      <c r="O273" s="153" t="n"/>
      <c r="P273" s="153" t="n"/>
      <c r="Q273" s="153" t="n"/>
      <c r="R273" s="153" t="n"/>
      <c r="S273" s="153" t="n"/>
      <c r="T273" s="153" t="n"/>
      <c r="U273" s="153" t="n"/>
      <c r="V273" s="153" t="n"/>
      <c r="W273" s="153" t="n"/>
      <c r="X273" s="153" t="n"/>
      <c r="Y273" s="153" t="n"/>
    </row>
    <row r="274" ht="15.75" customHeight="1" s="154">
      <c r="O274" s="153" t="n"/>
      <c r="P274" s="153" t="n"/>
      <c r="Q274" s="153" t="n"/>
      <c r="R274" s="153" t="n"/>
      <c r="S274" s="153" t="n"/>
      <c r="T274" s="153" t="n"/>
      <c r="U274" s="153" t="n"/>
      <c r="V274" s="153" t="n"/>
      <c r="W274" s="153" t="n"/>
      <c r="X274" s="153" t="n"/>
      <c r="Y274" s="153" t="n"/>
    </row>
    <row r="275" ht="15.75" customHeight="1" s="154">
      <c r="O275" s="153" t="n"/>
      <c r="P275" s="153" t="n"/>
      <c r="Q275" s="153" t="n"/>
      <c r="R275" s="153" t="n"/>
      <c r="S275" s="153" t="n"/>
      <c r="T275" s="153" t="n"/>
      <c r="U275" s="153" t="n"/>
      <c r="V275" s="153" t="n"/>
      <c r="W275" s="153" t="n"/>
      <c r="X275" s="153" t="n"/>
      <c r="Y275" s="153" t="n"/>
    </row>
    <row r="276" ht="15.75" customHeight="1" s="154">
      <c r="O276" s="153" t="n"/>
      <c r="P276" s="153" t="n"/>
      <c r="Q276" s="153" t="n"/>
      <c r="R276" s="153" t="n"/>
      <c r="S276" s="153" t="n"/>
      <c r="T276" s="153" t="n"/>
      <c r="U276" s="153" t="n"/>
      <c r="V276" s="153" t="n"/>
      <c r="W276" s="153" t="n"/>
      <c r="X276" s="153" t="n"/>
      <c r="Y276" s="153" t="n"/>
    </row>
    <row r="277" ht="15.75" customHeight="1" s="154">
      <c r="O277" s="153" t="n"/>
      <c r="P277" s="153" t="n"/>
      <c r="Q277" s="153" t="n"/>
      <c r="R277" s="153" t="n"/>
      <c r="S277" s="153" t="n"/>
      <c r="T277" s="153" t="n"/>
      <c r="U277" s="153" t="n"/>
      <c r="V277" s="153" t="n"/>
      <c r="W277" s="153" t="n"/>
      <c r="X277" s="153" t="n"/>
      <c r="Y277" s="153" t="n"/>
    </row>
    <row r="278" ht="15.75" customHeight="1" s="154">
      <c r="O278" s="153" t="n"/>
      <c r="P278" s="153" t="n"/>
      <c r="Q278" s="153" t="n"/>
      <c r="R278" s="153" t="n"/>
      <c r="S278" s="153" t="n"/>
      <c r="T278" s="153" t="n"/>
      <c r="U278" s="153" t="n"/>
      <c r="V278" s="153" t="n"/>
      <c r="W278" s="153" t="n"/>
      <c r="X278" s="153" t="n"/>
      <c r="Y278" s="153" t="n"/>
    </row>
    <row r="279" ht="15.75" customHeight="1" s="154">
      <c r="O279" s="153" t="n"/>
      <c r="P279" s="153" t="n"/>
      <c r="Q279" s="153" t="n"/>
      <c r="R279" s="153" t="n"/>
      <c r="S279" s="153" t="n"/>
      <c r="T279" s="153" t="n"/>
      <c r="U279" s="153" t="n"/>
      <c r="V279" s="153" t="n"/>
      <c r="W279" s="153" t="n"/>
      <c r="X279" s="153" t="n"/>
      <c r="Y279" s="153" t="n"/>
    </row>
    <row r="280" ht="15.75" customHeight="1" s="154">
      <c r="O280" s="153" t="n"/>
      <c r="P280" s="153" t="n"/>
      <c r="Q280" s="153" t="n"/>
      <c r="R280" s="153" t="n"/>
      <c r="S280" s="153" t="n"/>
      <c r="T280" s="153" t="n"/>
      <c r="U280" s="153" t="n"/>
      <c r="V280" s="153" t="n"/>
      <c r="W280" s="153" t="n"/>
      <c r="X280" s="153" t="n"/>
      <c r="Y280" s="153" t="n"/>
    </row>
    <row r="281" ht="15.75" customHeight="1" s="154">
      <c r="O281" s="153" t="n"/>
      <c r="P281" s="153" t="n"/>
      <c r="Q281" s="153" t="n"/>
      <c r="R281" s="153" t="n"/>
      <c r="S281" s="153" t="n"/>
      <c r="T281" s="153" t="n"/>
      <c r="U281" s="153" t="n"/>
      <c r="V281" s="153" t="n"/>
      <c r="W281" s="153" t="n"/>
      <c r="X281" s="153" t="n"/>
      <c r="Y281" s="153" t="n"/>
    </row>
    <row r="282" ht="15.75" customHeight="1" s="154">
      <c r="O282" s="153" t="n"/>
      <c r="P282" s="153" t="n"/>
      <c r="Q282" s="153" t="n"/>
      <c r="R282" s="153" t="n"/>
      <c r="S282" s="153" t="n"/>
      <c r="T282" s="153" t="n"/>
      <c r="U282" s="153" t="n"/>
      <c r="V282" s="153" t="n"/>
      <c r="W282" s="153" t="n"/>
      <c r="X282" s="153" t="n"/>
      <c r="Y282" s="153" t="n"/>
    </row>
    <row r="283" ht="15.75" customHeight="1" s="154">
      <c r="O283" s="153" t="n"/>
      <c r="P283" s="153" t="n"/>
      <c r="Q283" s="153" t="n"/>
      <c r="R283" s="153" t="n"/>
      <c r="S283" s="153" t="n"/>
      <c r="T283" s="153" t="n"/>
      <c r="U283" s="153" t="n"/>
      <c r="V283" s="153" t="n"/>
      <c r="W283" s="153" t="n"/>
      <c r="X283" s="153" t="n"/>
      <c r="Y283" s="153" t="n"/>
    </row>
    <row r="284" ht="15.75" customHeight="1" s="154">
      <c r="O284" s="153" t="n"/>
      <c r="P284" s="153" t="n"/>
      <c r="Q284" s="153" t="n"/>
      <c r="R284" s="153" t="n"/>
      <c r="S284" s="153" t="n"/>
      <c r="T284" s="153" t="n"/>
      <c r="U284" s="153" t="n"/>
      <c r="V284" s="153" t="n"/>
      <c r="W284" s="153" t="n"/>
      <c r="X284" s="153" t="n"/>
      <c r="Y284" s="153" t="n"/>
    </row>
    <row r="285" ht="15.75" customHeight="1" s="154">
      <c r="O285" s="153" t="n"/>
      <c r="P285" s="153" t="n"/>
      <c r="Q285" s="153" t="n"/>
      <c r="R285" s="153" t="n"/>
      <c r="S285" s="153" t="n"/>
      <c r="T285" s="153" t="n"/>
      <c r="U285" s="153" t="n"/>
      <c r="V285" s="153" t="n"/>
      <c r="W285" s="153" t="n"/>
      <c r="X285" s="153" t="n"/>
      <c r="Y285" s="153" t="n"/>
    </row>
    <row r="286" ht="15.75" customHeight="1" s="154">
      <c r="O286" s="153" t="n"/>
      <c r="P286" s="153" t="n"/>
      <c r="Q286" s="153" t="n"/>
      <c r="R286" s="153" t="n"/>
      <c r="S286" s="153" t="n"/>
      <c r="T286" s="153" t="n"/>
      <c r="U286" s="153" t="n"/>
      <c r="V286" s="153" t="n"/>
      <c r="W286" s="153" t="n"/>
      <c r="X286" s="153" t="n"/>
      <c r="Y286" s="153" t="n"/>
    </row>
    <row r="287" ht="15.75" customHeight="1" s="154">
      <c r="O287" s="153" t="n"/>
      <c r="P287" s="153" t="n"/>
      <c r="Q287" s="153" t="n"/>
      <c r="R287" s="153" t="n"/>
      <c r="S287" s="153" t="n"/>
      <c r="T287" s="153" t="n"/>
      <c r="U287" s="153" t="n"/>
      <c r="V287" s="153" t="n"/>
      <c r="W287" s="153" t="n"/>
      <c r="X287" s="153" t="n"/>
      <c r="Y287" s="153" t="n"/>
    </row>
    <row r="288" ht="15.75" customHeight="1" s="154">
      <c r="O288" s="153" t="n"/>
      <c r="P288" s="153" t="n"/>
      <c r="Q288" s="153" t="n"/>
      <c r="R288" s="153" t="n"/>
      <c r="S288" s="153" t="n"/>
      <c r="T288" s="153" t="n"/>
      <c r="U288" s="153" t="n"/>
      <c r="V288" s="153" t="n"/>
      <c r="W288" s="153" t="n"/>
      <c r="X288" s="153" t="n"/>
      <c r="Y288" s="153" t="n"/>
    </row>
    <row r="289" ht="15.75" customHeight="1" s="154">
      <c r="O289" s="153" t="n"/>
      <c r="P289" s="153" t="n"/>
      <c r="Q289" s="153" t="n"/>
      <c r="R289" s="153" t="n"/>
      <c r="S289" s="153" t="n"/>
      <c r="T289" s="153" t="n"/>
      <c r="U289" s="153" t="n"/>
      <c r="V289" s="153" t="n"/>
      <c r="W289" s="153" t="n"/>
      <c r="X289" s="153" t="n"/>
      <c r="Y289" s="153" t="n"/>
    </row>
    <row r="290" ht="15.75" customHeight="1" s="154">
      <c r="O290" s="153" t="n"/>
      <c r="P290" s="153" t="n"/>
      <c r="Q290" s="153" t="n"/>
      <c r="R290" s="153" t="n"/>
      <c r="S290" s="153" t="n"/>
      <c r="T290" s="153" t="n"/>
      <c r="U290" s="153" t="n"/>
      <c r="V290" s="153" t="n"/>
      <c r="W290" s="153" t="n"/>
      <c r="X290" s="153" t="n"/>
      <c r="Y290" s="153" t="n"/>
    </row>
    <row r="291" ht="15.75" customHeight="1" s="154">
      <c r="O291" s="153" t="n"/>
      <c r="P291" s="153" t="n"/>
      <c r="Q291" s="153" t="n"/>
      <c r="R291" s="153" t="n"/>
      <c r="S291" s="153" t="n"/>
      <c r="T291" s="153" t="n"/>
      <c r="U291" s="153" t="n"/>
      <c r="V291" s="153" t="n"/>
      <c r="W291" s="153" t="n"/>
      <c r="X291" s="153" t="n"/>
      <c r="Y291" s="153" t="n"/>
    </row>
    <row r="292" ht="15.75" customHeight="1" s="154">
      <c r="O292" s="153" t="n"/>
      <c r="P292" s="153" t="n"/>
      <c r="Q292" s="153" t="n"/>
      <c r="R292" s="153" t="n"/>
      <c r="S292" s="153" t="n"/>
      <c r="T292" s="153" t="n"/>
      <c r="U292" s="153" t="n"/>
      <c r="V292" s="153" t="n"/>
      <c r="W292" s="153" t="n"/>
      <c r="X292" s="153" t="n"/>
      <c r="Y292" s="153" t="n"/>
    </row>
    <row r="293" ht="15.75" customHeight="1" s="154">
      <c r="O293" s="153" t="n"/>
      <c r="P293" s="153" t="n"/>
      <c r="Q293" s="153" t="n"/>
      <c r="R293" s="153" t="n"/>
      <c r="S293" s="153" t="n"/>
      <c r="T293" s="153" t="n"/>
      <c r="U293" s="153" t="n"/>
      <c r="V293" s="153" t="n"/>
      <c r="W293" s="153" t="n"/>
      <c r="X293" s="153" t="n"/>
      <c r="Y293" s="153" t="n"/>
    </row>
    <row r="294" ht="15.75" customHeight="1" s="154">
      <c r="O294" s="153" t="n"/>
      <c r="P294" s="153" t="n"/>
      <c r="Q294" s="153" t="n"/>
      <c r="R294" s="153" t="n"/>
      <c r="S294" s="153" t="n"/>
      <c r="T294" s="153" t="n"/>
      <c r="U294" s="153" t="n"/>
      <c r="V294" s="153" t="n"/>
      <c r="W294" s="153" t="n"/>
      <c r="X294" s="153" t="n"/>
      <c r="Y294" s="153" t="n"/>
    </row>
    <row r="295" ht="15.75" customHeight="1" s="154">
      <c r="O295" s="153" t="n"/>
      <c r="P295" s="153" t="n"/>
      <c r="Q295" s="153" t="n"/>
      <c r="R295" s="153" t="n"/>
      <c r="S295" s="153" t="n"/>
      <c r="T295" s="153" t="n"/>
      <c r="U295" s="153" t="n"/>
      <c r="V295" s="153" t="n"/>
      <c r="W295" s="153" t="n"/>
      <c r="X295" s="153" t="n"/>
      <c r="Y295" s="153" t="n"/>
    </row>
    <row r="296" ht="15.75" customHeight="1" s="154">
      <c r="O296" s="153" t="n"/>
      <c r="P296" s="153" t="n"/>
      <c r="Q296" s="153" t="n"/>
      <c r="R296" s="153" t="n"/>
      <c r="S296" s="153" t="n"/>
      <c r="T296" s="153" t="n"/>
      <c r="U296" s="153" t="n"/>
      <c r="V296" s="153" t="n"/>
      <c r="W296" s="153" t="n"/>
      <c r="X296" s="153" t="n"/>
      <c r="Y296" s="153" t="n"/>
    </row>
    <row r="297" ht="15.75" customHeight="1" s="154">
      <c r="O297" s="153" t="n"/>
      <c r="P297" s="153" t="n"/>
      <c r="Q297" s="153" t="n"/>
      <c r="R297" s="153" t="n"/>
      <c r="S297" s="153" t="n"/>
      <c r="T297" s="153" t="n"/>
      <c r="U297" s="153" t="n"/>
      <c r="V297" s="153" t="n"/>
      <c r="W297" s="153" t="n"/>
      <c r="X297" s="153" t="n"/>
      <c r="Y297" s="153" t="n"/>
    </row>
    <row r="298" ht="15.75" customHeight="1" s="154">
      <c r="O298" s="153" t="n"/>
      <c r="P298" s="153" t="n"/>
      <c r="Q298" s="153" t="n"/>
      <c r="R298" s="153" t="n"/>
      <c r="S298" s="153" t="n"/>
      <c r="T298" s="153" t="n"/>
      <c r="U298" s="153" t="n"/>
      <c r="V298" s="153" t="n"/>
      <c r="W298" s="153" t="n"/>
      <c r="X298" s="153" t="n"/>
      <c r="Y298" s="153" t="n"/>
    </row>
    <row r="299" ht="15.75" customHeight="1" s="154">
      <c r="O299" s="153" t="n"/>
      <c r="P299" s="153" t="n"/>
      <c r="Q299" s="153" t="n"/>
      <c r="R299" s="153" t="n"/>
      <c r="S299" s="153" t="n"/>
      <c r="T299" s="153" t="n"/>
      <c r="U299" s="153" t="n"/>
      <c r="V299" s="153" t="n"/>
      <c r="W299" s="153" t="n"/>
      <c r="X299" s="153" t="n"/>
      <c r="Y299" s="153" t="n"/>
    </row>
    <row r="300" ht="15.75" customHeight="1" s="154">
      <c r="O300" s="153" t="n"/>
      <c r="P300" s="153" t="n"/>
      <c r="Q300" s="153" t="n"/>
      <c r="R300" s="153" t="n"/>
      <c r="S300" s="153" t="n"/>
      <c r="T300" s="153" t="n"/>
      <c r="U300" s="153" t="n"/>
      <c r="V300" s="153" t="n"/>
      <c r="W300" s="153" t="n"/>
      <c r="X300" s="153" t="n"/>
      <c r="Y300" s="153" t="n"/>
    </row>
    <row r="301" ht="15.75" customHeight="1" s="154">
      <c r="O301" s="153" t="n"/>
      <c r="P301" s="153" t="n"/>
      <c r="Q301" s="153" t="n"/>
      <c r="R301" s="153" t="n"/>
      <c r="S301" s="153" t="n"/>
      <c r="T301" s="153" t="n"/>
      <c r="U301" s="153" t="n"/>
      <c r="V301" s="153" t="n"/>
      <c r="W301" s="153" t="n"/>
      <c r="X301" s="153" t="n"/>
      <c r="Y301" s="153" t="n"/>
    </row>
    <row r="302" ht="15.75" customHeight="1" s="154">
      <c r="O302" s="153" t="n"/>
      <c r="P302" s="153" t="n"/>
      <c r="Q302" s="153" t="n"/>
      <c r="R302" s="153" t="n"/>
      <c r="S302" s="153" t="n"/>
      <c r="T302" s="153" t="n"/>
      <c r="U302" s="153" t="n"/>
      <c r="V302" s="153" t="n"/>
      <c r="W302" s="153" t="n"/>
      <c r="X302" s="153" t="n"/>
      <c r="Y302" s="153" t="n"/>
    </row>
    <row r="303" ht="15.75" customHeight="1" s="154">
      <c r="O303" s="153" t="n"/>
      <c r="P303" s="153" t="n"/>
      <c r="Q303" s="153" t="n"/>
      <c r="R303" s="153" t="n"/>
      <c r="S303" s="153" t="n"/>
      <c r="T303" s="153" t="n"/>
      <c r="U303" s="153" t="n"/>
      <c r="V303" s="153" t="n"/>
      <c r="W303" s="153" t="n"/>
      <c r="X303" s="153" t="n"/>
      <c r="Y303" s="153" t="n"/>
    </row>
    <row r="304" ht="15.75" customHeight="1" s="154">
      <c r="O304" s="153" t="n"/>
      <c r="P304" s="153" t="n"/>
      <c r="Q304" s="153" t="n"/>
      <c r="R304" s="153" t="n"/>
      <c r="S304" s="153" t="n"/>
      <c r="T304" s="153" t="n"/>
      <c r="U304" s="153" t="n"/>
      <c r="V304" s="153" t="n"/>
      <c r="W304" s="153" t="n"/>
      <c r="X304" s="153" t="n"/>
      <c r="Y304" s="153" t="n"/>
    </row>
    <row r="305" ht="15.75" customHeight="1" s="154">
      <c r="O305" s="153" t="n"/>
      <c r="P305" s="153" t="n"/>
      <c r="Q305" s="153" t="n"/>
      <c r="R305" s="153" t="n"/>
      <c r="S305" s="153" t="n"/>
      <c r="T305" s="153" t="n"/>
      <c r="U305" s="153" t="n"/>
      <c r="V305" s="153" t="n"/>
      <c r="W305" s="153" t="n"/>
      <c r="X305" s="153" t="n"/>
      <c r="Y305" s="153" t="n"/>
    </row>
    <row r="306" ht="15.75" customHeight="1" s="154">
      <c r="O306" s="153" t="n"/>
      <c r="P306" s="153" t="n"/>
      <c r="Q306" s="153" t="n"/>
      <c r="R306" s="153" t="n"/>
      <c r="S306" s="153" t="n"/>
      <c r="T306" s="153" t="n"/>
      <c r="U306" s="153" t="n"/>
      <c r="V306" s="153" t="n"/>
      <c r="W306" s="153" t="n"/>
      <c r="X306" s="153" t="n"/>
      <c r="Y306" s="153" t="n"/>
    </row>
    <row r="307" ht="15.75" customHeight="1" s="154">
      <c r="O307" s="153" t="n"/>
      <c r="P307" s="153" t="n"/>
      <c r="Q307" s="153" t="n"/>
      <c r="R307" s="153" t="n"/>
      <c r="S307" s="153" t="n"/>
      <c r="T307" s="153" t="n"/>
      <c r="U307" s="153" t="n"/>
      <c r="V307" s="153" t="n"/>
      <c r="W307" s="153" t="n"/>
      <c r="X307" s="153" t="n"/>
      <c r="Y307" s="153" t="n"/>
    </row>
    <row r="308" ht="15.75" customHeight="1" s="154">
      <c r="O308" s="153" t="n"/>
      <c r="P308" s="153" t="n"/>
      <c r="Q308" s="153" t="n"/>
      <c r="R308" s="153" t="n"/>
      <c r="S308" s="153" t="n"/>
      <c r="T308" s="153" t="n"/>
      <c r="U308" s="153" t="n"/>
      <c r="V308" s="153" t="n"/>
      <c r="W308" s="153" t="n"/>
      <c r="X308" s="153" t="n"/>
      <c r="Y308" s="153" t="n"/>
    </row>
    <row r="309" ht="15.75" customHeight="1" s="154">
      <c r="O309" s="153" t="n"/>
      <c r="P309" s="153" t="n"/>
      <c r="Q309" s="153" t="n"/>
      <c r="R309" s="153" t="n"/>
      <c r="S309" s="153" t="n"/>
      <c r="T309" s="153" t="n"/>
      <c r="U309" s="153" t="n"/>
      <c r="V309" s="153" t="n"/>
      <c r="W309" s="153" t="n"/>
      <c r="X309" s="153" t="n"/>
      <c r="Y309" s="153" t="n"/>
    </row>
    <row r="310" ht="15.75" customHeight="1" s="154">
      <c r="O310" s="153" t="n"/>
      <c r="P310" s="153" t="n"/>
      <c r="Q310" s="153" t="n"/>
      <c r="R310" s="153" t="n"/>
      <c r="S310" s="153" t="n"/>
      <c r="T310" s="153" t="n"/>
      <c r="U310" s="153" t="n"/>
      <c r="V310" s="153" t="n"/>
      <c r="W310" s="153" t="n"/>
      <c r="X310" s="153" t="n"/>
      <c r="Y310" s="153" t="n"/>
    </row>
    <row r="311" ht="15.75" customHeight="1" s="154">
      <c r="O311" s="153" t="n"/>
      <c r="P311" s="153" t="n"/>
      <c r="Q311" s="153" t="n"/>
      <c r="R311" s="153" t="n"/>
      <c r="S311" s="153" t="n"/>
      <c r="T311" s="153" t="n"/>
      <c r="U311" s="153" t="n"/>
      <c r="V311" s="153" t="n"/>
      <c r="W311" s="153" t="n"/>
      <c r="X311" s="153" t="n"/>
      <c r="Y311" s="153" t="n"/>
    </row>
    <row r="312" ht="15.75" customHeight="1" s="154">
      <c r="O312" s="153" t="n"/>
      <c r="P312" s="153" t="n"/>
      <c r="Q312" s="153" t="n"/>
      <c r="R312" s="153" t="n"/>
      <c r="S312" s="153" t="n"/>
      <c r="T312" s="153" t="n"/>
      <c r="U312" s="153" t="n"/>
      <c r="V312" s="153" t="n"/>
      <c r="W312" s="153" t="n"/>
      <c r="X312" s="153" t="n"/>
      <c r="Y312" s="153" t="n"/>
    </row>
    <row r="313" ht="15.75" customHeight="1" s="154">
      <c r="O313" s="153" t="n"/>
      <c r="P313" s="153" t="n"/>
      <c r="Q313" s="153" t="n"/>
      <c r="R313" s="153" t="n"/>
      <c r="S313" s="153" t="n"/>
      <c r="T313" s="153" t="n"/>
      <c r="U313" s="153" t="n"/>
      <c r="V313" s="153" t="n"/>
      <c r="W313" s="153" t="n"/>
      <c r="X313" s="153" t="n"/>
      <c r="Y313" s="153" t="n"/>
    </row>
    <row r="314" ht="15.75" customHeight="1" s="154">
      <c r="O314" s="153" t="n"/>
      <c r="P314" s="153" t="n"/>
      <c r="Q314" s="153" t="n"/>
      <c r="R314" s="153" t="n"/>
      <c r="S314" s="153" t="n"/>
      <c r="T314" s="153" t="n"/>
      <c r="U314" s="153" t="n"/>
      <c r="V314" s="153" t="n"/>
      <c r="W314" s="153" t="n"/>
      <c r="X314" s="153" t="n"/>
      <c r="Y314" s="153" t="n"/>
    </row>
    <row r="315" ht="15.75" customHeight="1" s="154">
      <c r="O315" s="153" t="n"/>
      <c r="P315" s="153" t="n"/>
      <c r="Q315" s="153" t="n"/>
      <c r="R315" s="153" t="n"/>
      <c r="S315" s="153" t="n"/>
      <c r="T315" s="153" t="n"/>
      <c r="U315" s="153" t="n"/>
      <c r="V315" s="153" t="n"/>
      <c r="W315" s="153" t="n"/>
      <c r="X315" s="153" t="n"/>
      <c r="Y315" s="153" t="n"/>
    </row>
    <row r="316" ht="15.75" customHeight="1" s="154">
      <c r="O316" s="153" t="n"/>
      <c r="P316" s="153" t="n"/>
      <c r="Q316" s="153" t="n"/>
      <c r="R316" s="153" t="n"/>
      <c r="S316" s="153" t="n"/>
      <c r="T316" s="153" t="n"/>
      <c r="U316" s="153" t="n"/>
      <c r="V316" s="153" t="n"/>
      <c r="W316" s="153" t="n"/>
      <c r="X316" s="153" t="n"/>
      <c r="Y316" s="153" t="n"/>
    </row>
    <row r="317" ht="15.75" customHeight="1" s="154">
      <c r="O317" s="153" t="n"/>
      <c r="P317" s="153" t="n"/>
      <c r="Q317" s="153" t="n"/>
      <c r="R317" s="153" t="n"/>
      <c r="S317" s="153" t="n"/>
      <c r="T317" s="153" t="n"/>
      <c r="U317" s="153" t="n"/>
      <c r="V317" s="153" t="n"/>
      <c r="W317" s="153" t="n"/>
      <c r="X317" s="153" t="n"/>
      <c r="Y317" s="153" t="n"/>
    </row>
    <row r="318" ht="15.75" customHeight="1" s="154">
      <c r="O318" s="153" t="n"/>
      <c r="P318" s="153" t="n"/>
      <c r="Q318" s="153" t="n"/>
      <c r="R318" s="153" t="n"/>
      <c r="S318" s="153" t="n"/>
      <c r="T318" s="153" t="n"/>
      <c r="U318" s="153" t="n"/>
      <c r="V318" s="153" t="n"/>
      <c r="W318" s="153" t="n"/>
      <c r="X318" s="153" t="n"/>
      <c r="Y318" s="153" t="n"/>
    </row>
    <row r="319" ht="15.75" customHeight="1" s="154">
      <c r="O319" s="153" t="n"/>
      <c r="P319" s="153" t="n"/>
      <c r="Q319" s="153" t="n"/>
      <c r="R319" s="153" t="n"/>
      <c r="S319" s="153" t="n"/>
      <c r="T319" s="153" t="n"/>
      <c r="U319" s="153" t="n"/>
      <c r="V319" s="153" t="n"/>
      <c r="W319" s="153" t="n"/>
      <c r="X319" s="153" t="n"/>
      <c r="Y319" s="153" t="n"/>
    </row>
    <row r="320" ht="15.75" customHeight="1" s="154">
      <c r="O320" s="153" t="n"/>
      <c r="P320" s="153" t="n"/>
      <c r="Q320" s="153" t="n"/>
      <c r="R320" s="153" t="n"/>
      <c r="S320" s="153" t="n"/>
      <c r="T320" s="153" t="n"/>
      <c r="U320" s="153" t="n"/>
      <c r="V320" s="153" t="n"/>
      <c r="W320" s="153" t="n"/>
      <c r="X320" s="153" t="n"/>
      <c r="Y320" s="153" t="n"/>
    </row>
    <row r="321" ht="15.75" customHeight="1" s="154">
      <c r="O321" s="153" t="n"/>
      <c r="P321" s="153" t="n"/>
      <c r="Q321" s="153" t="n"/>
      <c r="R321" s="153" t="n"/>
      <c r="S321" s="153" t="n"/>
      <c r="T321" s="153" t="n"/>
      <c r="U321" s="153" t="n"/>
      <c r="V321" s="153" t="n"/>
      <c r="W321" s="153" t="n"/>
      <c r="X321" s="153" t="n"/>
      <c r="Y321" s="153" t="n"/>
    </row>
    <row r="322" ht="15.75" customHeight="1" s="154">
      <c r="O322" s="153" t="n"/>
      <c r="P322" s="153" t="n"/>
      <c r="Q322" s="153" t="n"/>
      <c r="R322" s="153" t="n"/>
      <c r="S322" s="153" t="n"/>
      <c r="T322" s="153" t="n"/>
      <c r="U322" s="153" t="n"/>
      <c r="V322" s="153" t="n"/>
      <c r="W322" s="153" t="n"/>
      <c r="X322" s="153" t="n"/>
      <c r="Y322" s="153" t="n"/>
    </row>
    <row r="323" ht="15.75" customHeight="1" s="154">
      <c r="O323" s="153" t="n"/>
      <c r="P323" s="153" t="n"/>
      <c r="Q323" s="153" t="n"/>
      <c r="R323" s="153" t="n"/>
      <c r="S323" s="153" t="n"/>
      <c r="T323" s="153" t="n"/>
      <c r="U323" s="153" t="n"/>
      <c r="V323" s="153" t="n"/>
      <c r="W323" s="153" t="n"/>
      <c r="X323" s="153" t="n"/>
      <c r="Y323" s="153" t="n"/>
    </row>
    <row r="324" ht="15.75" customHeight="1" s="154">
      <c r="O324" s="153" t="n"/>
      <c r="P324" s="153" t="n"/>
      <c r="Q324" s="153" t="n"/>
      <c r="R324" s="153" t="n"/>
      <c r="S324" s="153" t="n"/>
      <c r="T324" s="153" t="n"/>
      <c r="U324" s="153" t="n"/>
      <c r="V324" s="153" t="n"/>
      <c r="W324" s="153" t="n"/>
      <c r="X324" s="153" t="n"/>
      <c r="Y324" s="153" t="n"/>
    </row>
    <row r="325" ht="15.75" customHeight="1" s="154">
      <c r="O325" s="153" t="n"/>
      <c r="P325" s="153" t="n"/>
      <c r="Q325" s="153" t="n"/>
      <c r="R325" s="153" t="n"/>
      <c r="S325" s="153" t="n"/>
      <c r="T325" s="153" t="n"/>
      <c r="U325" s="153" t="n"/>
      <c r="V325" s="153" t="n"/>
      <c r="W325" s="153" t="n"/>
      <c r="X325" s="153" t="n"/>
      <c r="Y325" s="153" t="n"/>
    </row>
    <row r="326" ht="15.75" customHeight="1" s="154">
      <c r="O326" s="153" t="n"/>
      <c r="P326" s="153" t="n"/>
      <c r="Q326" s="153" t="n"/>
      <c r="R326" s="153" t="n"/>
      <c r="S326" s="153" t="n"/>
      <c r="T326" s="153" t="n"/>
      <c r="U326" s="153" t="n"/>
      <c r="V326" s="153" t="n"/>
      <c r="W326" s="153" t="n"/>
      <c r="X326" s="153" t="n"/>
      <c r="Y326" s="153" t="n"/>
    </row>
    <row r="327" ht="15.75" customHeight="1" s="154">
      <c r="O327" s="153" t="n"/>
      <c r="P327" s="153" t="n"/>
      <c r="Q327" s="153" t="n"/>
      <c r="R327" s="153" t="n"/>
      <c r="S327" s="153" t="n"/>
      <c r="T327" s="153" t="n"/>
      <c r="U327" s="153" t="n"/>
      <c r="V327" s="153" t="n"/>
      <c r="W327" s="153" t="n"/>
      <c r="X327" s="153" t="n"/>
      <c r="Y327" s="153" t="n"/>
    </row>
    <row r="328" ht="15.75" customHeight="1" s="154">
      <c r="O328" s="153" t="n"/>
      <c r="P328" s="153" t="n"/>
      <c r="Q328" s="153" t="n"/>
      <c r="R328" s="153" t="n"/>
      <c r="S328" s="153" t="n"/>
      <c r="T328" s="153" t="n"/>
      <c r="U328" s="153" t="n"/>
      <c r="V328" s="153" t="n"/>
      <c r="W328" s="153" t="n"/>
      <c r="X328" s="153" t="n"/>
      <c r="Y328" s="153" t="n"/>
    </row>
    <row r="329" ht="15.75" customHeight="1" s="154">
      <c r="O329" s="153" t="n"/>
      <c r="P329" s="153" t="n"/>
      <c r="Q329" s="153" t="n"/>
      <c r="R329" s="153" t="n"/>
      <c r="S329" s="153" t="n"/>
      <c r="T329" s="153" t="n"/>
      <c r="U329" s="153" t="n"/>
      <c r="V329" s="153" t="n"/>
      <c r="W329" s="153" t="n"/>
      <c r="X329" s="153" t="n"/>
      <c r="Y329" s="153" t="n"/>
    </row>
    <row r="330" ht="15.75" customHeight="1" s="154">
      <c r="O330" s="153" t="n"/>
      <c r="P330" s="153" t="n"/>
      <c r="Q330" s="153" t="n"/>
      <c r="R330" s="153" t="n"/>
      <c r="S330" s="153" t="n"/>
      <c r="T330" s="153" t="n"/>
      <c r="U330" s="153" t="n"/>
      <c r="V330" s="153" t="n"/>
      <c r="W330" s="153" t="n"/>
      <c r="X330" s="153" t="n"/>
      <c r="Y330" s="153" t="n"/>
    </row>
    <row r="331" ht="15.75" customHeight="1" s="154">
      <c r="O331" s="153" t="n"/>
      <c r="P331" s="153" t="n"/>
      <c r="Q331" s="153" t="n"/>
      <c r="R331" s="153" t="n"/>
      <c r="S331" s="153" t="n"/>
      <c r="T331" s="153" t="n"/>
      <c r="U331" s="153" t="n"/>
      <c r="V331" s="153" t="n"/>
      <c r="W331" s="153" t="n"/>
      <c r="X331" s="153" t="n"/>
      <c r="Y331" s="153" t="n"/>
    </row>
    <row r="332" ht="15.75" customHeight="1" s="154">
      <c r="O332" s="153" t="n"/>
      <c r="P332" s="153" t="n"/>
      <c r="Q332" s="153" t="n"/>
      <c r="R332" s="153" t="n"/>
      <c r="S332" s="153" t="n"/>
      <c r="T332" s="153" t="n"/>
      <c r="U332" s="153" t="n"/>
      <c r="V332" s="153" t="n"/>
      <c r="W332" s="153" t="n"/>
      <c r="X332" s="153" t="n"/>
      <c r="Y332" s="153" t="n"/>
    </row>
    <row r="333" ht="15.75" customHeight="1" s="154">
      <c r="O333" s="153" t="n"/>
      <c r="P333" s="153" t="n"/>
      <c r="Q333" s="153" t="n"/>
      <c r="R333" s="153" t="n"/>
      <c r="S333" s="153" t="n"/>
      <c r="T333" s="153" t="n"/>
      <c r="U333" s="153" t="n"/>
      <c r="V333" s="153" t="n"/>
      <c r="W333" s="153" t="n"/>
      <c r="X333" s="153" t="n"/>
      <c r="Y333" s="153" t="n"/>
    </row>
    <row r="334" ht="15.75" customHeight="1" s="154">
      <c r="O334" s="153" t="n"/>
      <c r="P334" s="153" t="n"/>
      <c r="Q334" s="153" t="n"/>
      <c r="R334" s="153" t="n"/>
      <c r="S334" s="153" t="n"/>
      <c r="T334" s="153" t="n"/>
      <c r="U334" s="153" t="n"/>
      <c r="V334" s="153" t="n"/>
      <c r="W334" s="153" t="n"/>
      <c r="X334" s="153" t="n"/>
      <c r="Y334" s="153" t="n"/>
    </row>
    <row r="335" ht="15.75" customHeight="1" s="154">
      <c r="O335" s="153" t="n"/>
      <c r="P335" s="153" t="n"/>
      <c r="Q335" s="153" t="n"/>
      <c r="R335" s="153" t="n"/>
      <c r="S335" s="153" t="n"/>
      <c r="T335" s="153" t="n"/>
      <c r="U335" s="153" t="n"/>
      <c r="V335" s="153" t="n"/>
      <c r="W335" s="153" t="n"/>
      <c r="X335" s="153" t="n"/>
      <c r="Y335" s="153" t="n"/>
    </row>
    <row r="336" ht="15.75" customHeight="1" s="154">
      <c r="O336" s="153" t="n"/>
      <c r="P336" s="153" t="n"/>
      <c r="Q336" s="153" t="n"/>
      <c r="R336" s="153" t="n"/>
      <c r="S336" s="153" t="n"/>
      <c r="T336" s="153" t="n"/>
      <c r="U336" s="153" t="n"/>
      <c r="V336" s="153" t="n"/>
      <c r="W336" s="153" t="n"/>
      <c r="X336" s="153" t="n"/>
      <c r="Y336" s="153" t="n"/>
    </row>
    <row r="337" ht="15.75" customHeight="1" s="154">
      <c r="O337" s="153" t="n"/>
      <c r="P337" s="153" t="n"/>
      <c r="Q337" s="153" t="n"/>
      <c r="R337" s="153" t="n"/>
      <c r="S337" s="153" t="n"/>
      <c r="T337" s="153" t="n"/>
      <c r="U337" s="153" t="n"/>
      <c r="V337" s="153" t="n"/>
      <c r="W337" s="153" t="n"/>
      <c r="X337" s="153" t="n"/>
      <c r="Y337" s="153" t="n"/>
    </row>
    <row r="338" ht="15.75" customHeight="1" s="154">
      <c r="O338" s="153" t="n"/>
      <c r="P338" s="153" t="n"/>
      <c r="Q338" s="153" t="n"/>
      <c r="R338" s="153" t="n"/>
      <c r="S338" s="153" t="n"/>
      <c r="T338" s="153" t="n"/>
      <c r="U338" s="153" t="n"/>
      <c r="V338" s="153" t="n"/>
      <c r="W338" s="153" t="n"/>
      <c r="X338" s="153" t="n"/>
      <c r="Y338" s="153" t="n"/>
    </row>
    <row r="339" ht="15.75" customHeight="1" s="154">
      <c r="O339" s="153" t="n"/>
      <c r="P339" s="153" t="n"/>
      <c r="Q339" s="153" t="n"/>
      <c r="R339" s="153" t="n"/>
      <c r="S339" s="153" t="n"/>
      <c r="T339" s="153" t="n"/>
      <c r="U339" s="153" t="n"/>
      <c r="V339" s="153" t="n"/>
      <c r="W339" s="153" t="n"/>
      <c r="X339" s="153" t="n"/>
      <c r="Y339" s="153" t="n"/>
    </row>
    <row r="340" ht="15.75" customHeight="1" s="154">
      <c r="O340" s="153" t="n"/>
      <c r="P340" s="153" t="n"/>
      <c r="Q340" s="153" t="n"/>
      <c r="R340" s="153" t="n"/>
      <c r="S340" s="153" t="n"/>
      <c r="T340" s="153" t="n"/>
      <c r="U340" s="153" t="n"/>
      <c r="V340" s="153" t="n"/>
      <c r="W340" s="153" t="n"/>
      <c r="X340" s="153" t="n"/>
      <c r="Y340" s="153" t="n"/>
    </row>
    <row r="341" ht="15.75" customHeight="1" s="154">
      <c r="O341" s="153" t="n"/>
      <c r="P341" s="153" t="n"/>
      <c r="Q341" s="153" t="n"/>
      <c r="R341" s="153" t="n"/>
      <c r="S341" s="153" t="n"/>
      <c r="T341" s="153" t="n"/>
      <c r="U341" s="153" t="n"/>
      <c r="V341" s="153" t="n"/>
      <c r="W341" s="153" t="n"/>
      <c r="X341" s="153" t="n"/>
      <c r="Y341" s="153" t="n"/>
    </row>
    <row r="342" ht="15.75" customHeight="1" s="154">
      <c r="O342" s="153" t="n"/>
      <c r="P342" s="153" t="n"/>
      <c r="Q342" s="153" t="n"/>
      <c r="R342" s="153" t="n"/>
      <c r="S342" s="153" t="n"/>
      <c r="T342" s="153" t="n"/>
      <c r="U342" s="153" t="n"/>
      <c r="V342" s="153" t="n"/>
      <c r="W342" s="153" t="n"/>
      <c r="X342" s="153" t="n"/>
      <c r="Y342" s="153" t="n"/>
    </row>
    <row r="343" ht="15.75" customHeight="1" s="154">
      <c r="O343" s="153" t="n"/>
      <c r="P343" s="153" t="n"/>
      <c r="Q343" s="153" t="n"/>
      <c r="R343" s="153" t="n"/>
      <c r="S343" s="153" t="n"/>
      <c r="T343" s="153" t="n"/>
      <c r="U343" s="153" t="n"/>
      <c r="V343" s="153" t="n"/>
      <c r="W343" s="153" t="n"/>
      <c r="X343" s="153" t="n"/>
      <c r="Y343" s="153" t="n"/>
    </row>
    <row r="344" ht="15.75" customHeight="1" s="154">
      <c r="O344" s="153" t="n"/>
      <c r="P344" s="153" t="n"/>
      <c r="Q344" s="153" t="n"/>
      <c r="R344" s="153" t="n"/>
      <c r="S344" s="153" t="n"/>
      <c r="T344" s="153" t="n"/>
      <c r="U344" s="153" t="n"/>
      <c r="V344" s="153" t="n"/>
      <c r="W344" s="153" t="n"/>
      <c r="X344" s="153" t="n"/>
      <c r="Y344" s="153" t="n"/>
    </row>
    <row r="345" ht="15.75" customHeight="1" s="154">
      <c r="O345" s="153" t="n"/>
      <c r="P345" s="153" t="n"/>
      <c r="Q345" s="153" t="n"/>
      <c r="R345" s="153" t="n"/>
      <c r="S345" s="153" t="n"/>
      <c r="T345" s="153" t="n"/>
      <c r="U345" s="153" t="n"/>
      <c r="V345" s="153" t="n"/>
      <c r="W345" s="153" t="n"/>
      <c r="X345" s="153" t="n"/>
      <c r="Y345" s="153" t="n"/>
    </row>
    <row r="346" ht="15.75" customHeight="1" s="154">
      <c r="O346" s="153" t="n"/>
      <c r="P346" s="153" t="n"/>
      <c r="Q346" s="153" t="n"/>
      <c r="R346" s="153" t="n"/>
      <c r="S346" s="153" t="n"/>
      <c r="T346" s="153" t="n"/>
      <c r="U346" s="153" t="n"/>
      <c r="V346" s="153" t="n"/>
      <c r="W346" s="153" t="n"/>
      <c r="X346" s="153" t="n"/>
      <c r="Y346" s="153" t="n"/>
    </row>
    <row r="347" ht="15.75" customHeight="1" s="154">
      <c r="O347" s="153" t="n"/>
      <c r="P347" s="153" t="n"/>
      <c r="Q347" s="153" t="n"/>
      <c r="R347" s="153" t="n"/>
      <c r="S347" s="153" t="n"/>
      <c r="T347" s="153" t="n"/>
      <c r="U347" s="153" t="n"/>
      <c r="V347" s="153" t="n"/>
      <c r="W347" s="153" t="n"/>
      <c r="X347" s="153" t="n"/>
      <c r="Y347" s="153" t="n"/>
    </row>
    <row r="348" ht="15.75" customHeight="1" s="154">
      <c r="O348" s="153" t="n"/>
      <c r="P348" s="153" t="n"/>
      <c r="Q348" s="153" t="n"/>
      <c r="R348" s="153" t="n"/>
      <c r="S348" s="153" t="n"/>
      <c r="T348" s="153" t="n"/>
      <c r="U348" s="153" t="n"/>
      <c r="V348" s="153" t="n"/>
      <c r="W348" s="153" t="n"/>
      <c r="X348" s="153" t="n"/>
      <c r="Y348" s="153" t="n"/>
    </row>
    <row r="349" ht="15.75" customHeight="1" s="154">
      <c r="O349" s="153" t="n"/>
      <c r="P349" s="153" t="n"/>
      <c r="Q349" s="153" t="n"/>
      <c r="R349" s="153" t="n"/>
      <c r="S349" s="153" t="n"/>
      <c r="T349" s="153" t="n"/>
      <c r="U349" s="153" t="n"/>
      <c r="V349" s="153" t="n"/>
      <c r="W349" s="153" t="n"/>
      <c r="X349" s="153" t="n"/>
      <c r="Y349" s="153" t="n"/>
    </row>
    <row r="350" ht="15.75" customHeight="1" s="154">
      <c r="O350" s="153" t="n"/>
      <c r="P350" s="153" t="n"/>
      <c r="Q350" s="153" t="n"/>
      <c r="R350" s="153" t="n"/>
      <c r="S350" s="153" t="n"/>
      <c r="T350" s="153" t="n"/>
      <c r="U350" s="153" t="n"/>
      <c r="V350" s="153" t="n"/>
      <c r="W350" s="153" t="n"/>
      <c r="X350" s="153" t="n"/>
      <c r="Y350" s="153" t="n"/>
    </row>
    <row r="351" ht="15.75" customHeight="1" s="154">
      <c r="O351" s="153" t="n"/>
      <c r="P351" s="153" t="n"/>
      <c r="Q351" s="153" t="n"/>
      <c r="R351" s="153" t="n"/>
      <c r="S351" s="153" t="n"/>
      <c r="T351" s="153" t="n"/>
      <c r="U351" s="153" t="n"/>
      <c r="V351" s="153" t="n"/>
      <c r="W351" s="153" t="n"/>
      <c r="X351" s="153" t="n"/>
      <c r="Y351" s="153" t="n"/>
    </row>
    <row r="352" ht="15.75" customHeight="1" s="154">
      <c r="O352" s="153" t="n"/>
      <c r="P352" s="153" t="n"/>
      <c r="Q352" s="153" t="n"/>
      <c r="R352" s="153" t="n"/>
      <c r="S352" s="153" t="n"/>
      <c r="T352" s="153" t="n"/>
      <c r="U352" s="153" t="n"/>
      <c r="V352" s="153" t="n"/>
      <c r="W352" s="153" t="n"/>
      <c r="X352" s="153" t="n"/>
      <c r="Y352" s="153" t="n"/>
    </row>
    <row r="353" ht="15.75" customHeight="1" s="154">
      <c r="O353" s="153" t="n"/>
      <c r="P353" s="153" t="n"/>
      <c r="Q353" s="153" t="n"/>
      <c r="R353" s="153" t="n"/>
      <c r="S353" s="153" t="n"/>
      <c r="T353" s="153" t="n"/>
      <c r="U353" s="153" t="n"/>
      <c r="V353" s="153" t="n"/>
      <c r="W353" s="153" t="n"/>
      <c r="X353" s="153" t="n"/>
      <c r="Y353" s="153" t="n"/>
    </row>
    <row r="354" ht="15.75" customHeight="1" s="154">
      <c r="O354" s="153" t="n"/>
      <c r="P354" s="153" t="n"/>
      <c r="Q354" s="153" t="n"/>
      <c r="R354" s="153" t="n"/>
      <c r="S354" s="153" t="n"/>
      <c r="T354" s="153" t="n"/>
      <c r="U354" s="153" t="n"/>
      <c r="V354" s="153" t="n"/>
      <c r="W354" s="153" t="n"/>
      <c r="X354" s="153" t="n"/>
      <c r="Y354" s="153" t="n"/>
    </row>
    <row r="355" ht="15.75" customHeight="1" s="154">
      <c r="O355" s="153" t="n"/>
      <c r="P355" s="153" t="n"/>
      <c r="Q355" s="153" t="n"/>
      <c r="R355" s="153" t="n"/>
      <c r="S355" s="153" t="n"/>
      <c r="T355" s="153" t="n"/>
      <c r="U355" s="153" t="n"/>
      <c r="V355" s="153" t="n"/>
      <c r="W355" s="153" t="n"/>
      <c r="X355" s="153" t="n"/>
      <c r="Y355" s="153" t="n"/>
    </row>
    <row r="356" ht="15.75" customHeight="1" s="154">
      <c r="O356" s="153" t="n"/>
      <c r="P356" s="153" t="n"/>
      <c r="Q356" s="153" t="n"/>
      <c r="R356" s="153" t="n"/>
      <c r="S356" s="153" t="n"/>
      <c r="T356" s="153" t="n"/>
      <c r="U356" s="153" t="n"/>
      <c r="V356" s="153" t="n"/>
      <c r="W356" s="153" t="n"/>
      <c r="X356" s="153" t="n"/>
      <c r="Y356" s="153" t="n"/>
    </row>
    <row r="357" ht="15.75" customHeight="1" s="154">
      <c r="O357" s="153" t="n"/>
      <c r="P357" s="153" t="n"/>
      <c r="Q357" s="153" t="n"/>
      <c r="R357" s="153" t="n"/>
      <c r="S357" s="153" t="n"/>
      <c r="T357" s="153" t="n"/>
      <c r="U357" s="153" t="n"/>
      <c r="V357" s="153" t="n"/>
      <c r="W357" s="153" t="n"/>
      <c r="X357" s="153" t="n"/>
      <c r="Y357" s="153" t="n"/>
    </row>
    <row r="358" ht="15.75" customHeight="1" s="154">
      <c r="O358" s="153" t="n"/>
      <c r="P358" s="153" t="n"/>
      <c r="Q358" s="153" t="n"/>
      <c r="R358" s="153" t="n"/>
      <c r="S358" s="153" t="n"/>
      <c r="T358" s="153" t="n"/>
      <c r="U358" s="153" t="n"/>
      <c r="V358" s="153" t="n"/>
      <c r="W358" s="153" t="n"/>
      <c r="X358" s="153" t="n"/>
      <c r="Y358" s="153" t="n"/>
    </row>
    <row r="359" ht="15.75" customHeight="1" s="154">
      <c r="O359" s="153" t="n"/>
      <c r="P359" s="153" t="n"/>
      <c r="Q359" s="153" t="n"/>
      <c r="R359" s="153" t="n"/>
      <c r="S359" s="153" t="n"/>
      <c r="T359" s="153" t="n"/>
      <c r="U359" s="153" t="n"/>
      <c r="V359" s="153" t="n"/>
      <c r="W359" s="153" t="n"/>
      <c r="X359" s="153" t="n"/>
      <c r="Y359" s="153" t="n"/>
    </row>
    <row r="360" ht="15.75" customHeight="1" s="154">
      <c r="O360" s="153" t="n"/>
      <c r="P360" s="153" t="n"/>
      <c r="Q360" s="153" t="n"/>
      <c r="R360" s="153" t="n"/>
      <c r="S360" s="153" t="n"/>
      <c r="T360" s="153" t="n"/>
      <c r="U360" s="153" t="n"/>
      <c r="V360" s="153" t="n"/>
      <c r="W360" s="153" t="n"/>
      <c r="X360" s="153" t="n"/>
      <c r="Y360" s="153" t="n"/>
    </row>
    <row r="361" ht="15.75" customHeight="1" s="154">
      <c r="O361" s="153" t="n"/>
      <c r="P361" s="153" t="n"/>
      <c r="Q361" s="153" t="n"/>
      <c r="R361" s="153" t="n"/>
      <c r="S361" s="153" t="n"/>
      <c r="T361" s="153" t="n"/>
      <c r="U361" s="153" t="n"/>
      <c r="V361" s="153" t="n"/>
      <c r="W361" s="153" t="n"/>
      <c r="X361" s="153" t="n"/>
      <c r="Y361" s="153" t="n"/>
    </row>
    <row r="362" ht="15.75" customHeight="1" s="154">
      <c r="O362" s="153" t="n"/>
      <c r="P362" s="153" t="n"/>
      <c r="Q362" s="153" t="n"/>
      <c r="R362" s="153" t="n"/>
      <c r="S362" s="153" t="n"/>
      <c r="T362" s="153" t="n"/>
      <c r="U362" s="153" t="n"/>
      <c r="V362" s="153" t="n"/>
      <c r="W362" s="153" t="n"/>
      <c r="X362" s="153" t="n"/>
      <c r="Y362" s="153" t="n"/>
    </row>
    <row r="363" ht="15.75" customHeight="1" s="154">
      <c r="O363" s="153" t="n"/>
      <c r="P363" s="153" t="n"/>
      <c r="Q363" s="153" t="n"/>
      <c r="R363" s="153" t="n"/>
      <c r="S363" s="153" t="n"/>
      <c r="T363" s="153" t="n"/>
      <c r="U363" s="153" t="n"/>
      <c r="V363" s="153" t="n"/>
      <c r="W363" s="153" t="n"/>
      <c r="X363" s="153" t="n"/>
      <c r="Y363" s="153" t="n"/>
    </row>
    <row r="364" ht="15.75" customHeight="1" s="154">
      <c r="O364" s="153" t="n"/>
      <c r="P364" s="153" t="n"/>
      <c r="Q364" s="153" t="n"/>
      <c r="R364" s="153" t="n"/>
      <c r="S364" s="153" t="n"/>
      <c r="T364" s="153" t="n"/>
      <c r="U364" s="153" t="n"/>
      <c r="V364" s="153" t="n"/>
      <c r="W364" s="153" t="n"/>
      <c r="X364" s="153" t="n"/>
      <c r="Y364" s="153" t="n"/>
    </row>
    <row r="365" ht="15.75" customHeight="1" s="154">
      <c r="O365" s="153" t="n"/>
      <c r="P365" s="153" t="n"/>
      <c r="Q365" s="153" t="n"/>
      <c r="R365" s="153" t="n"/>
      <c r="S365" s="153" t="n"/>
      <c r="T365" s="153" t="n"/>
      <c r="U365" s="153" t="n"/>
      <c r="V365" s="153" t="n"/>
      <c r="W365" s="153" t="n"/>
      <c r="X365" s="153" t="n"/>
      <c r="Y365" s="153" t="n"/>
    </row>
    <row r="366" ht="15.75" customHeight="1" s="154">
      <c r="O366" s="153" t="n"/>
      <c r="P366" s="153" t="n"/>
      <c r="Q366" s="153" t="n"/>
      <c r="R366" s="153" t="n"/>
      <c r="S366" s="153" t="n"/>
      <c r="T366" s="153" t="n"/>
      <c r="U366" s="153" t="n"/>
      <c r="V366" s="153" t="n"/>
      <c r="W366" s="153" t="n"/>
      <c r="X366" s="153" t="n"/>
      <c r="Y366" s="153" t="n"/>
    </row>
    <row r="367" ht="15.75" customHeight="1" s="154">
      <c r="O367" s="153" t="n"/>
      <c r="P367" s="153" t="n"/>
      <c r="Q367" s="153" t="n"/>
      <c r="R367" s="153" t="n"/>
      <c r="S367" s="153" t="n"/>
      <c r="T367" s="153" t="n"/>
      <c r="U367" s="153" t="n"/>
      <c r="V367" s="153" t="n"/>
      <c r="W367" s="153" t="n"/>
      <c r="X367" s="153" t="n"/>
      <c r="Y367" s="153" t="n"/>
    </row>
    <row r="368" ht="15.75" customHeight="1" s="154">
      <c r="O368" s="153" t="n"/>
      <c r="P368" s="153" t="n"/>
      <c r="Q368" s="153" t="n"/>
      <c r="R368" s="153" t="n"/>
      <c r="S368" s="153" t="n"/>
      <c r="T368" s="153" t="n"/>
      <c r="U368" s="153" t="n"/>
      <c r="V368" s="153" t="n"/>
      <c r="W368" s="153" t="n"/>
      <c r="X368" s="153" t="n"/>
      <c r="Y368" s="153" t="n"/>
    </row>
    <row r="369" ht="15.75" customHeight="1" s="154">
      <c r="O369" s="153" t="n"/>
      <c r="P369" s="153" t="n"/>
      <c r="Q369" s="153" t="n"/>
      <c r="R369" s="153" t="n"/>
      <c r="S369" s="153" t="n"/>
      <c r="T369" s="153" t="n"/>
      <c r="U369" s="153" t="n"/>
      <c r="V369" s="153" t="n"/>
      <c r="W369" s="153" t="n"/>
      <c r="X369" s="153" t="n"/>
      <c r="Y369" s="153" t="n"/>
    </row>
    <row r="370" ht="15.75" customHeight="1" s="154">
      <c r="O370" s="153" t="n"/>
      <c r="P370" s="153" t="n"/>
      <c r="Q370" s="153" t="n"/>
      <c r="R370" s="153" t="n"/>
      <c r="S370" s="153" t="n"/>
      <c r="T370" s="153" t="n"/>
      <c r="U370" s="153" t="n"/>
      <c r="V370" s="153" t="n"/>
      <c r="W370" s="153" t="n"/>
      <c r="X370" s="153" t="n"/>
      <c r="Y370" s="153" t="n"/>
    </row>
    <row r="371" ht="15.75" customHeight="1" s="154">
      <c r="O371" s="153" t="n"/>
      <c r="P371" s="153" t="n"/>
      <c r="Q371" s="153" t="n"/>
      <c r="R371" s="153" t="n"/>
      <c r="S371" s="153" t="n"/>
      <c r="T371" s="153" t="n"/>
      <c r="U371" s="153" t="n"/>
      <c r="V371" s="153" t="n"/>
      <c r="W371" s="153" t="n"/>
      <c r="X371" s="153" t="n"/>
      <c r="Y371" s="153" t="n"/>
    </row>
    <row r="372" ht="15.75" customHeight="1" s="154">
      <c r="O372" s="153" t="n"/>
      <c r="P372" s="153" t="n"/>
      <c r="Q372" s="153" t="n"/>
      <c r="R372" s="153" t="n"/>
      <c r="S372" s="153" t="n"/>
      <c r="T372" s="153" t="n"/>
      <c r="U372" s="153" t="n"/>
      <c r="V372" s="153" t="n"/>
      <c r="W372" s="153" t="n"/>
      <c r="X372" s="153" t="n"/>
      <c r="Y372" s="153" t="n"/>
    </row>
    <row r="373" ht="15.75" customHeight="1" s="154">
      <c r="O373" s="153" t="n"/>
      <c r="P373" s="153" t="n"/>
      <c r="Q373" s="153" t="n"/>
      <c r="R373" s="153" t="n"/>
      <c r="S373" s="153" t="n"/>
      <c r="T373" s="153" t="n"/>
      <c r="U373" s="153" t="n"/>
      <c r="V373" s="153" t="n"/>
      <c r="W373" s="153" t="n"/>
      <c r="X373" s="153" t="n"/>
      <c r="Y373" s="153" t="n"/>
    </row>
    <row r="374" ht="15.75" customHeight="1" s="154">
      <c r="O374" s="153" t="n"/>
      <c r="P374" s="153" t="n"/>
      <c r="Q374" s="153" t="n"/>
      <c r="R374" s="153" t="n"/>
      <c r="S374" s="153" t="n"/>
      <c r="T374" s="153" t="n"/>
      <c r="U374" s="153" t="n"/>
      <c r="V374" s="153" t="n"/>
      <c r="W374" s="153" t="n"/>
      <c r="X374" s="153" t="n"/>
      <c r="Y374" s="153" t="n"/>
    </row>
    <row r="375" ht="15.75" customHeight="1" s="154">
      <c r="O375" s="153" t="n"/>
      <c r="P375" s="153" t="n"/>
      <c r="Q375" s="153" t="n"/>
      <c r="R375" s="153" t="n"/>
      <c r="S375" s="153" t="n"/>
      <c r="T375" s="153" t="n"/>
      <c r="U375" s="153" t="n"/>
      <c r="V375" s="153" t="n"/>
      <c r="W375" s="153" t="n"/>
      <c r="X375" s="153" t="n"/>
      <c r="Y375" s="153" t="n"/>
    </row>
    <row r="376" ht="15.75" customHeight="1" s="154">
      <c r="O376" s="153" t="n"/>
      <c r="P376" s="153" t="n"/>
      <c r="Q376" s="153" t="n"/>
      <c r="R376" s="153" t="n"/>
      <c r="S376" s="153" t="n"/>
      <c r="T376" s="153" t="n"/>
      <c r="U376" s="153" t="n"/>
      <c r="V376" s="153" t="n"/>
      <c r="W376" s="153" t="n"/>
      <c r="X376" s="153" t="n"/>
      <c r="Y376" s="153" t="n"/>
    </row>
    <row r="377" ht="15.75" customHeight="1" s="154">
      <c r="O377" s="153" t="n"/>
      <c r="P377" s="153" t="n"/>
      <c r="Q377" s="153" t="n"/>
      <c r="R377" s="153" t="n"/>
      <c r="S377" s="153" t="n"/>
      <c r="T377" s="153" t="n"/>
      <c r="U377" s="153" t="n"/>
      <c r="V377" s="153" t="n"/>
      <c r="W377" s="153" t="n"/>
      <c r="X377" s="153" t="n"/>
      <c r="Y377" s="153" t="n"/>
    </row>
    <row r="378" ht="15.75" customHeight="1" s="154">
      <c r="O378" s="153" t="n"/>
      <c r="P378" s="153" t="n"/>
      <c r="Q378" s="153" t="n"/>
      <c r="R378" s="153" t="n"/>
      <c r="S378" s="153" t="n"/>
      <c r="T378" s="153" t="n"/>
      <c r="U378" s="153" t="n"/>
      <c r="V378" s="153" t="n"/>
      <c r="W378" s="153" t="n"/>
      <c r="X378" s="153" t="n"/>
      <c r="Y378" s="153" t="n"/>
    </row>
    <row r="379" ht="15.75" customHeight="1" s="154">
      <c r="O379" s="153" t="n"/>
      <c r="P379" s="153" t="n"/>
      <c r="Q379" s="153" t="n"/>
      <c r="R379" s="153" t="n"/>
      <c r="S379" s="153" t="n"/>
      <c r="T379" s="153" t="n"/>
      <c r="U379" s="153" t="n"/>
      <c r="V379" s="153" t="n"/>
      <c r="W379" s="153" t="n"/>
      <c r="X379" s="153" t="n"/>
      <c r="Y379" s="153" t="n"/>
    </row>
    <row r="380" ht="15.75" customHeight="1" s="154">
      <c r="O380" s="153" t="n"/>
      <c r="P380" s="153" t="n"/>
      <c r="Q380" s="153" t="n"/>
      <c r="R380" s="153" t="n"/>
      <c r="S380" s="153" t="n"/>
      <c r="T380" s="153" t="n"/>
      <c r="U380" s="153" t="n"/>
      <c r="V380" s="153" t="n"/>
      <c r="W380" s="153" t="n"/>
      <c r="X380" s="153" t="n"/>
      <c r="Y380" s="153" t="n"/>
    </row>
    <row r="381" ht="15.75" customHeight="1" s="154">
      <c r="O381" s="153" t="n"/>
      <c r="P381" s="153" t="n"/>
      <c r="Q381" s="153" t="n"/>
      <c r="R381" s="153" t="n"/>
      <c r="S381" s="153" t="n"/>
      <c r="T381" s="153" t="n"/>
      <c r="U381" s="153" t="n"/>
      <c r="V381" s="153" t="n"/>
      <c r="W381" s="153" t="n"/>
      <c r="X381" s="153" t="n"/>
      <c r="Y381" s="153" t="n"/>
    </row>
    <row r="382" ht="15.75" customHeight="1" s="154">
      <c r="O382" s="153" t="n"/>
      <c r="P382" s="153" t="n"/>
      <c r="Q382" s="153" t="n"/>
      <c r="R382" s="153" t="n"/>
      <c r="S382" s="153" t="n"/>
      <c r="T382" s="153" t="n"/>
      <c r="U382" s="153" t="n"/>
      <c r="V382" s="153" t="n"/>
      <c r="W382" s="153" t="n"/>
      <c r="X382" s="153" t="n"/>
      <c r="Y382" s="153" t="n"/>
    </row>
    <row r="383" ht="15.75" customHeight="1" s="154">
      <c r="O383" s="153" t="n"/>
      <c r="P383" s="153" t="n"/>
      <c r="Q383" s="153" t="n"/>
      <c r="R383" s="153" t="n"/>
      <c r="S383" s="153" t="n"/>
      <c r="T383" s="153" t="n"/>
      <c r="U383" s="153" t="n"/>
      <c r="V383" s="153" t="n"/>
      <c r="W383" s="153" t="n"/>
      <c r="X383" s="153" t="n"/>
      <c r="Y383" s="153" t="n"/>
    </row>
    <row r="384" ht="15.75" customHeight="1" s="154">
      <c r="O384" s="153" t="n"/>
      <c r="P384" s="153" t="n"/>
      <c r="Q384" s="153" t="n"/>
      <c r="R384" s="153" t="n"/>
      <c r="S384" s="153" t="n"/>
      <c r="T384" s="153" t="n"/>
      <c r="U384" s="153" t="n"/>
      <c r="V384" s="153" t="n"/>
      <c r="W384" s="153" t="n"/>
      <c r="X384" s="153" t="n"/>
      <c r="Y384" s="153" t="n"/>
    </row>
    <row r="385" ht="15.75" customHeight="1" s="154">
      <c r="O385" s="153" t="n"/>
      <c r="P385" s="153" t="n"/>
      <c r="Q385" s="153" t="n"/>
      <c r="R385" s="153" t="n"/>
      <c r="S385" s="153" t="n"/>
      <c r="T385" s="153" t="n"/>
      <c r="U385" s="153" t="n"/>
      <c r="V385" s="153" t="n"/>
      <c r="W385" s="153" t="n"/>
      <c r="X385" s="153" t="n"/>
      <c r="Y385" s="153" t="n"/>
    </row>
    <row r="386" ht="15.75" customHeight="1" s="154">
      <c r="O386" s="153" t="n"/>
      <c r="P386" s="153" t="n"/>
      <c r="Q386" s="153" t="n"/>
      <c r="R386" s="153" t="n"/>
      <c r="S386" s="153" t="n"/>
      <c r="T386" s="153" t="n"/>
      <c r="U386" s="153" t="n"/>
      <c r="V386" s="153" t="n"/>
      <c r="W386" s="153" t="n"/>
      <c r="X386" s="153" t="n"/>
      <c r="Y386" s="153" t="n"/>
    </row>
    <row r="387" ht="15.75" customHeight="1" s="154">
      <c r="O387" s="153" t="n"/>
      <c r="P387" s="153" t="n"/>
      <c r="Q387" s="153" t="n"/>
      <c r="R387" s="153" t="n"/>
      <c r="S387" s="153" t="n"/>
      <c r="T387" s="153" t="n"/>
      <c r="U387" s="153" t="n"/>
      <c r="V387" s="153" t="n"/>
      <c r="W387" s="153" t="n"/>
      <c r="X387" s="153" t="n"/>
      <c r="Y387" s="153" t="n"/>
    </row>
    <row r="388" ht="15.75" customHeight="1" s="154">
      <c r="O388" s="153" t="n"/>
      <c r="P388" s="153" t="n"/>
      <c r="Q388" s="153" t="n"/>
      <c r="R388" s="153" t="n"/>
      <c r="S388" s="153" t="n"/>
      <c r="T388" s="153" t="n"/>
      <c r="U388" s="153" t="n"/>
      <c r="V388" s="153" t="n"/>
      <c r="W388" s="153" t="n"/>
      <c r="X388" s="153" t="n"/>
      <c r="Y388" s="153" t="n"/>
    </row>
    <row r="389" ht="15.75" customHeight="1" s="154">
      <c r="O389" s="153" t="n"/>
      <c r="P389" s="153" t="n"/>
      <c r="Q389" s="153" t="n"/>
      <c r="R389" s="153" t="n"/>
      <c r="S389" s="153" t="n"/>
      <c r="T389" s="153" t="n"/>
      <c r="U389" s="153" t="n"/>
      <c r="V389" s="153" t="n"/>
      <c r="W389" s="153" t="n"/>
      <c r="X389" s="153" t="n"/>
      <c r="Y389" s="153" t="n"/>
    </row>
    <row r="390" ht="15.75" customHeight="1" s="154">
      <c r="O390" s="153" t="n"/>
      <c r="P390" s="153" t="n"/>
      <c r="Q390" s="153" t="n"/>
      <c r="R390" s="153" t="n"/>
      <c r="S390" s="153" t="n"/>
      <c r="T390" s="153" t="n"/>
      <c r="U390" s="153" t="n"/>
      <c r="V390" s="153" t="n"/>
      <c r="W390" s="153" t="n"/>
      <c r="X390" s="153" t="n"/>
      <c r="Y390" s="153" t="n"/>
    </row>
    <row r="391" ht="15.75" customHeight="1" s="154">
      <c r="O391" s="153" t="n"/>
      <c r="P391" s="153" t="n"/>
      <c r="Q391" s="153" t="n"/>
      <c r="R391" s="153" t="n"/>
      <c r="S391" s="153" t="n"/>
      <c r="T391" s="153" t="n"/>
      <c r="U391" s="153" t="n"/>
      <c r="V391" s="153" t="n"/>
      <c r="W391" s="153" t="n"/>
      <c r="X391" s="153" t="n"/>
      <c r="Y391" s="153" t="n"/>
    </row>
    <row r="392" ht="15.75" customHeight="1" s="154">
      <c r="O392" s="153" t="n"/>
      <c r="P392" s="153" t="n"/>
      <c r="Q392" s="153" t="n"/>
      <c r="R392" s="153" t="n"/>
      <c r="S392" s="153" t="n"/>
      <c r="T392" s="153" t="n"/>
      <c r="U392" s="153" t="n"/>
      <c r="V392" s="153" t="n"/>
      <c r="W392" s="153" t="n"/>
      <c r="X392" s="153" t="n"/>
      <c r="Y392" s="153" t="n"/>
    </row>
    <row r="393" ht="15.75" customHeight="1" s="154">
      <c r="O393" s="153" t="n"/>
      <c r="P393" s="153" t="n"/>
      <c r="Q393" s="153" t="n"/>
      <c r="R393" s="153" t="n"/>
      <c r="S393" s="153" t="n"/>
      <c r="T393" s="153" t="n"/>
      <c r="U393" s="153" t="n"/>
      <c r="V393" s="153" t="n"/>
      <c r="W393" s="153" t="n"/>
      <c r="X393" s="153" t="n"/>
      <c r="Y393" s="153" t="n"/>
    </row>
    <row r="394" ht="15.75" customHeight="1" s="154">
      <c r="O394" s="153" t="n"/>
      <c r="P394" s="153" t="n"/>
      <c r="Q394" s="153" t="n"/>
      <c r="R394" s="153" t="n"/>
      <c r="S394" s="153" t="n"/>
      <c r="T394" s="153" t="n"/>
      <c r="U394" s="153" t="n"/>
      <c r="V394" s="153" t="n"/>
      <c r="W394" s="153" t="n"/>
      <c r="X394" s="153" t="n"/>
      <c r="Y394" s="153" t="n"/>
    </row>
    <row r="395" ht="15.75" customHeight="1" s="154">
      <c r="O395" s="153" t="n"/>
      <c r="P395" s="153" t="n"/>
      <c r="Q395" s="153" t="n"/>
      <c r="R395" s="153" t="n"/>
      <c r="S395" s="153" t="n"/>
      <c r="T395" s="153" t="n"/>
      <c r="U395" s="153" t="n"/>
      <c r="V395" s="153" t="n"/>
      <c r="W395" s="153" t="n"/>
      <c r="X395" s="153" t="n"/>
      <c r="Y395" s="153" t="n"/>
    </row>
    <row r="396" ht="15.75" customHeight="1" s="154">
      <c r="O396" s="153" t="n"/>
      <c r="P396" s="153" t="n"/>
      <c r="Q396" s="153" t="n"/>
      <c r="R396" s="153" t="n"/>
      <c r="S396" s="153" t="n"/>
      <c r="T396" s="153" t="n"/>
      <c r="U396" s="153" t="n"/>
      <c r="V396" s="153" t="n"/>
      <c r="W396" s="153" t="n"/>
      <c r="X396" s="153" t="n"/>
      <c r="Y396" s="153" t="n"/>
    </row>
    <row r="397" ht="15.75" customHeight="1" s="154">
      <c r="O397" s="153" t="n"/>
      <c r="P397" s="153" t="n"/>
      <c r="Q397" s="153" t="n"/>
      <c r="R397" s="153" t="n"/>
      <c r="S397" s="153" t="n"/>
      <c r="T397" s="153" t="n"/>
      <c r="U397" s="153" t="n"/>
      <c r="V397" s="153" t="n"/>
      <c r="W397" s="153" t="n"/>
      <c r="X397" s="153" t="n"/>
      <c r="Y397" s="153" t="n"/>
    </row>
    <row r="398" ht="15.75" customHeight="1" s="154">
      <c r="O398" s="153" t="n"/>
      <c r="P398" s="153" t="n"/>
      <c r="Q398" s="153" t="n"/>
      <c r="R398" s="153" t="n"/>
      <c r="S398" s="153" t="n"/>
      <c r="T398" s="153" t="n"/>
      <c r="U398" s="153" t="n"/>
      <c r="V398" s="153" t="n"/>
      <c r="W398" s="153" t="n"/>
      <c r="X398" s="153" t="n"/>
      <c r="Y398" s="153" t="n"/>
    </row>
    <row r="399" ht="15.75" customHeight="1" s="154">
      <c r="O399" s="153" t="n"/>
      <c r="P399" s="153" t="n"/>
      <c r="Q399" s="153" t="n"/>
      <c r="R399" s="153" t="n"/>
      <c r="S399" s="153" t="n"/>
      <c r="T399" s="153" t="n"/>
      <c r="U399" s="153" t="n"/>
      <c r="V399" s="153" t="n"/>
      <c r="W399" s="153" t="n"/>
      <c r="X399" s="153" t="n"/>
      <c r="Y399" s="153" t="n"/>
    </row>
    <row r="400" ht="15.75" customHeight="1" s="154">
      <c r="O400" s="153" t="n"/>
      <c r="P400" s="153" t="n"/>
      <c r="Q400" s="153" t="n"/>
      <c r="R400" s="153" t="n"/>
      <c r="S400" s="153" t="n"/>
      <c r="T400" s="153" t="n"/>
      <c r="U400" s="153" t="n"/>
      <c r="V400" s="153" t="n"/>
      <c r="W400" s="153" t="n"/>
      <c r="X400" s="153" t="n"/>
      <c r="Y400" s="153" t="n"/>
    </row>
    <row r="401" ht="15.75" customHeight="1" s="154">
      <c r="O401" s="153" t="n"/>
      <c r="P401" s="153" t="n"/>
      <c r="Q401" s="153" t="n"/>
      <c r="R401" s="153" t="n"/>
      <c r="S401" s="153" t="n"/>
      <c r="T401" s="153" t="n"/>
      <c r="U401" s="153" t="n"/>
      <c r="V401" s="153" t="n"/>
      <c r="W401" s="153" t="n"/>
      <c r="X401" s="153" t="n"/>
      <c r="Y401" s="153" t="n"/>
    </row>
    <row r="402" ht="15.75" customHeight="1" s="154">
      <c r="O402" s="153" t="n"/>
      <c r="P402" s="153" t="n"/>
      <c r="Q402" s="153" t="n"/>
      <c r="R402" s="153" t="n"/>
      <c r="S402" s="153" t="n"/>
      <c r="T402" s="153" t="n"/>
      <c r="U402" s="153" t="n"/>
      <c r="V402" s="153" t="n"/>
      <c r="W402" s="153" t="n"/>
      <c r="X402" s="153" t="n"/>
      <c r="Y402" s="153" t="n"/>
    </row>
    <row r="403" ht="15.75" customHeight="1" s="154">
      <c r="O403" s="153" t="n"/>
      <c r="P403" s="153" t="n"/>
      <c r="Q403" s="153" t="n"/>
      <c r="R403" s="153" t="n"/>
      <c r="S403" s="153" t="n"/>
      <c r="T403" s="153" t="n"/>
      <c r="U403" s="153" t="n"/>
      <c r="V403" s="153" t="n"/>
      <c r="W403" s="153" t="n"/>
      <c r="X403" s="153" t="n"/>
      <c r="Y403" s="153" t="n"/>
    </row>
    <row r="404" ht="15.75" customHeight="1" s="154">
      <c r="O404" s="153" t="n"/>
      <c r="P404" s="153" t="n"/>
      <c r="Q404" s="153" t="n"/>
      <c r="R404" s="153" t="n"/>
      <c r="S404" s="153" t="n"/>
      <c r="T404" s="153" t="n"/>
      <c r="U404" s="153" t="n"/>
      <c r="V404" s="153" t="n"/>
      <c r="W404" s="153" t="n"/>
      <c r="X404" s="153" t="n"/>
      <c r="Y404" s="153" t="n"/>
    </row>
    <row r="405" ht="15.75" customHeight="1" s="154">
      <c r="O405" s="153" t="n"/>
      <c r="P405" s="153" t="n"/>
      <c r="Q405" s="153" t="n"/>
      <c r="R405" s="153" t="n"/>
      <c r="S405" s="153" t="n"/>
      <c r="T405" s="153" t="n"/>
      <c r="U405" s="153" t="n"/>
      <c r="V405" s="153" t="n"/>
      <c r="W405" s="153" t="n"/>
      <c r="X405" s="153" t="n"/>
      <c r="Y405" s="153" t="n"/>
    </row>
    <row r="406" ht="15.75" customHeight="1" s="154">
      <c r="O406" s="153" t="n"/>
      <c r="P406" s="153" t="n"/>
      <c r="Q406" s="153" t="n"/>
      <c r="R406" s="153" t="n"/>
      <c r="S406" s="153" t="n"/>
      <c r="T406" s="153" t="n"/>
      <c r="U406" s="153" t="n"/>
      <c r="V406" s="153" t="n"/>
      <c r="W406" s="153" t="n"/>
      <c r="X406" s="153" t="n"/>
      <c r="Y406" s="153" t="n"/>
    </row>
    <row r="407" ht="15.75" customHeight="1" s="154">
      <c r="O407" s="153" t="n"/>
      <c r="P407" s="153" t="n"/>
      <c r="Q407" s="153" t="n"/>
      <c r="R407" s="153" t="n"/>
      <c r="S407" s="153" t="n"/>
      <c r="T407" s="153" t="n"/>
      <c r="U407" s="153" t="n"/>
      <c r="V407" s="153" t="n"/>
      <c r="W407" s="153" t="n"/>
      <c r="X407" s="153" t="n"/>
      <c r="Y407" s="153" t="n"/>
    </row>
    <row r="408" ht="15.75" customHeight="1" s="154">
      <c r="O408" s="153" t="n"/>
      <c r="P408" s="153" t="n"/>
      <c r="Q408" s="153" t="n"/>
      <c r="R408" s="153" t="n"/>
      <c r="S408" s="153" t="n"/>
      <c r="T408" s="153" t="n"/>
      <c r="U408" s="153" t="n"/>
      <c r="V408" s="153" t="n"/>
      <c r="W408" s="153" t="n"/>
      <c r="X408" s="153" t="n"/>
      <c r="Y408" s="153" t="n"/>
    </row>
    <row r="409" ht="15.75" customHeight="1" s="154">
      <c r="O409" s="153" t="n"/>
      <c r="P409" s="153" t="n"/>
      <c r="Q409" s="153" t="n"/>
      <c r="R409" s="153" t="n"/>
      <c r="S409" s="153" t="n"/>
      <c r="T409" s="153" t="n"/>
      <c r="U409" s="153" t="n"/>
      <c r="V409" s="153" t="n"/>
      <c r="W409" s="153" t="n"/>
      <c r="X409" s="153" t="n"/>
      <c r="Y409" s="153" t="n"/>
    </row>
    <row r="410" ht="15.75" customHeight="1" s="154">
      <c r="O410" s="153" t="n"/>
      <c r="P410" s="153" t="n"/>
      <c r="Q410" s="153" t="n"/>
      <c r="R410" s="153" t="n"/>
      <c r="S410" s="153" t="n"/>
      <c r="T410" s="153" t="n"/>
      <c r="U410" s="153" t="n"/>
      <c r="V410" s="153" t="n"/>
      <c r="W410" s="153" t="n"/>
      <c r="X410" s="153" t="n"/>
      <c r="Y410" s="153" t="n"/>
    </row>
    <row r="411" ht="15.75" customHeight="1" s="154">
      <c r="O411" s="153" t="n"/>
      <c r="P411" s="153" t="n"/>
      <c r="Q411" s="153" t="n"/>
      <c r="R411" s="153" t="n"/>
      <c r="S411" s="153" t="n"/>
      <c r="T411" s="153" t="n"/>
      <c r="U411" s="153" t="n"/>
      <c r="V411" s="153" t="n"/>
      <c r="W411" s="153" t="n"/>
      <c r="X411" s="153" t="n"/>
      <c r="Y411" s="153" t="n"/>
    </row>
    <row r="412" ht="15.75" customHeight="1" s="154">
      <c r="O412" s="153" t="n"/>
      <c r="P412" s="153" t="n"/>
      <c r="Q412" s="153" t="n"/>
      <c r="R412" s="153" t="n"/>
      <c r="S412" s="153" t="n"/>
      <c r="T412" s="153" t="n"/>
      <c r="U412" s="153" t="n"/>
      <c r="V412" s="153" t="n"/>
      <c r="W412" s="153" t="n"/>
      <c r="X412" s="153" t="n"/>
      <c r="Y412" s="153" t="n"/>
    </row>
    <row r="413" ht="15.75" customHeight="1" s="154">
      <c r="O413" s="153" t="n"/>
      <c r="P413" s="153" t="n"/>
      <c r="Q413" s="153" t="n"/>
      <c r="R413" s="153" t="n"/>
      <c r="S413" s="153" t="n"/>
      <c r="T413" s="153" t="n"/>
      <c r="U413" s="153" t="n"/>
      <c r="V413" s="153" t="n"/>
      <c r="W413" s="153" t="n"/>
      <c r="X413" s="153" t="n"/>
      <c r="Y413" s="153" t="n"/>
    </row>
    <row r="414" ht="15.75" customHeight="1" s="154">
      <c r="O414" s="153" t="n"/>
      <c r="P414" s="153" t="n"/>
      <c r="Q414" s="153" t="n"/>
      <c r="R414" s="153" t="n"/>
      <c r="S414" s="153" t="n"/>
      <c r="T414" s="153" t="n"/>
      <c r="U414" s="153" t="n"/>
      <c r="V414" s="153" t="n"/>
      <c r="W414" s="153" t="n"/>
      <c r="X414" s="153" t="n"/>
      <c r="Y414" s="153" t="n"/>
    </row>
    <row r="415" ht="15.75" customHeight="1" s="154">
      <c r="O415" s="153" t="n"/>
      <c r="P415" s="153" t="n"/>
      <c r="Q415" s="153" t="n"/>
      <c r="R415" s="153" t="n"/>
      <c r="S415" s="153" t="n"/>
      <c r="T415" s="153" t="n"/>
      <c r="U415" s="153" t="n"/>
      <c r="V415" s="153" t="n"/>
      <c r="W415" s="153" t="n"/>
      <c r="X415" s="153" t="n"/>
      <c r="Y415" s="153" t="n"/>
    </row>
    <row r="416" ht="15.75" customHeight="1" s="154">
      <c r="O416" s="153" t="n"/>
      <c r="P416" s="153" t="n"/>
      <c r="Q416" s="153" t="n"/>
      <c r="R416" s="153" t="n"/>
      <c r="S416" s="153" t="n"/>
      <c r="T416" s="153" t="n"/>
      <c r="U416" s="153" t="n"/>
      <c r="V416" s="153" t="n"/>
      <c r="W416" s="153" t="n"/>
      <c r="X416" s="153" t="n"/>
      <c r="Y416" s="153" t="n"/>
    </row>
    <row r="417" ht="15.75" customHeight="1" s="154">
      <c r="O417" s="153" t="n"/>
      <c r="P417" s="153" t="n"/>
      <c r="Q417" s="153" t="n"/>
      <c r="R417" s="153" t="n"/>
      <c r="S417" s="153" t="n"/>
      <c r="T417" s="153" t="n"/>
      <c r="U417" s="153" t="n"/>
      <c r="V417" s="153" t="n"/>
      <c r="W417" s="153" t="n"/>
      <c r="X417" s="153" t="n"/>
      <c r="Y417" s="153" t="n"/>
    </row>
    <row r="418" ht="15.75" customHeight="1" s="154">
      <c r="O418" s="153" t="n"/>
      <c r="P418" s="153" t="n"/>
      <c r="Q418" s="153" t="n"/>
      <c r="R418" s="153" t="n"/>
      <c r="S418" s="153" t="n"/>
      <c r="T418" s="153" t="n"/>
      <c r="U418" s="153" t="n"/>
      <c r="V418" s="153" t="n"/>
      <c r="W418" s="153" t="n"/>
      <c r="X418" s="153" t="n"/>
      <c r="Y418" s="153" t="n"/>
    </row>
    <row r="419" ht="15.75" customHeight="1" s="154">
      <c r="O419" s="153" t="n"/>
      <c r="P419" s="153" t="n"/>
      <c r="Q419" s="153" t="n"/>
      <c r="R419" s="153" t="n"/>
      <c r="S419" s="153" t="n"/>
      <c r="T419" s="153" t="n"/>
      <c r="U419" s="153" t="n"/>
      <c r="V419" s="153" t="n"/>
      <c r="W419" s="153" t="n"/>
      <c r="X419" s="153" t="n"/>
      <c r="Y419" s="153" t="n"/>
    </row>
    <row r="420" ht="15.75" customHeight="1" s="154">
      <c r="O420" s="153" t="n"/>
      <c r="P420" s="153" t="n"/>
      <c r="Q420" s="153" t="n"/>
      <c r="R420" s="153" t="n"/>
      <c r="S420" s="153" t="n"/>
      <c r="T420" s="153" t="n"/>
      <c r="U420" s="153" t="n"/>
      <c r="V420" s="153" t="n"/>
      <c r="W420" s="153" t="n"/>
      <c r="X420" s="153" t="n"/>
      <c r="Y420" s="153" t="n"/>
    </row>
    <row r="421" ht="15.75" customHeight="1" s="154">
      <c r="O421" s="153" t="n"/>
      <c r="P421" s="153" t="n"/>
      <c r="Q421" s="153" t="n"/>
      <c r="R421" s="153" t="n"/>
      <c r="S421" s="153" t="n"/>
      <c r="T421" s="153" t="n"/>
      <c r="U421" s="153" t="n"/>
      <c r="V421" s="153" t="n"/>
      <c r="W421" s="153" t="n"/>
      <c r="X421" s="153" t="n"/>
      <c r="Y421" s="153" t="n"/>
    </row>
    <row r="422" ht="15.75" customHeight="1" s="154">
      <c r="O422" s="153" t="n"/>
      <c r="P422" s="153" t="n"/>
      <c r="Q422" s="153" t="n"/>
      <c r="R422" s="153" t="n"/>
      <c r="S422" s="153" t="n"/>
      <c r="T422" s="153" t="n"/>
      <c r="U422" s="153" t="n"/>
      <c r="V422" s="153" t="n"/>
      <c r="W422" s="153" t="n"/>
      <c r="X422" s="153" t="n"/>
      <c r="Y422" s="153" t="n"/>
    </row>
    <row r="423" ht="15.75" customHeight="1" s="154">
      <c r="O423" s="153" t="n"/>
      <c r="P423" s="153" t="n"/>
      <c r="Q423" s="153" t="n"/>
      <c r="R423" s="153" t="n"/>
      <c r="S423" s="153" t="n"/>
      <c r="T423" s="153" t="n"/>
      <c r="U423" s="153" t="n"/>
      <c r="V423" s="153" t="n"/>
      <c r="W423" s="153" t="n"/>
      <c r="X423" s="153" t="n"/>
      <c r="Y423" s="153" t="n"/>
    </row>
    <row r="424" ht="15.75" customHeight="1" s="154">
      <c r="O424" s="153" t="n"/>
      <c r="P424" s="153" t="n"/>
      <c r="Q424" s="153" t="n"/>
      <c r="R424" s="153" t="n"/>
      <c r="S424" s="153" t="n"/>
      <c r="T424" s="153" t="n"/>
      <c r="U424" s="153" t="n"/>
      <c r="V424" s="153" t="n"/>
      <c r="W424" s="153" t="n"/>
      <c r="X424" s="153" t="n"/>
      <c r="Y424" s="153" t="n"/>
    </row>
    <row r="425" ht="15.75" customHeight="1" s="154">
      <c r="O425" s="153" t="n"/>
      <c r="P425" s="153" t="n"/>
      <c r="Q425" s="153" t="n"/>
      <c r="R425" s="153" t="n"/>
      <c r="S425" s="153" t="n"/>
      <c r="T425" s="153" t="n"/>
      <c r="U425" s="153" t="n"/>
      <c r="V425" s="153" t="n"/>
      <c r="W425" s="153" t="n"/>
      <c r="X425" s="153" t="n"/>
      <c r="Y425" s="153" t="n"/>
    </row>
    <row r="426" ht="15.75" customHeight="1" s="154">
      <c r="O426" s="153" t="n"/>
      <c r="P426" s="153" t="n"/>
      <c r="Q426" s="153" t="n"/>
      <c r="R426" s="153" t="n"/>
      <c r="S426" s="153" t="n"/>
      <c r="T426" s="153" t="n"/>
      <c r="U426" s="153" t="n"/>
      <c r="V426" s="153" t="n"/>
      <c r="W426" s="153" t="n"/>
      <c r="X426" s="153" t="n"/>
      <c r="Y426" s="153" t="n"/>
    </row>
    <row r="427" ht="15.75" customHeight="1" s="154">
      <c r="O427" s="153" t="n"/>
      <c r="P427" s="153" t="n"/>
      <c r="Q427" s="153" t="n"/>
      <c r="R427" s="153" t="n"/>
      <c r="S427" s="153" t="n"/>
      <c r="T427" s="153" t="n"/>
      <c r="U427" s="153" t="n"/>
      <c r="V427" s="153" t="n"/>
      <c r="W427" s="153" t="n"/>
      <c r="X427" s="153" t="n"/>
      <c r="Y427" s="153" t="n"/>
    </row>
    <row r="428" ht="15.75" customHeight="1" s="154">
      <c r="O428" s="153" t="n"/>
      <c r="P428" s="153" t="n"/>
      <c r="Q428" s="153" t="n"/>
      <c r="R428" s="153" t="n"/>
      <c r="S428" s="153" t="n"/>
      <c r="T428" s="153" t="n"/>
      <c r="U428" s="153" t="n"/>
      <c r="V428" s="153" t="n"/>
      <c r="W428" s="153" t="n"/>
      <c r="X428" s="153" t="n"/>
      <c r="Y428" s="153" t="n"/>
    </row>
    <row r="429" ht="15.75" customHeight="1" s="154">
      <c r="O429" s="153" t="n"/>
      <c r="P429" s="153" t="n"/>
      <c r="Q429" s="153" t="n"/>
      <c r="R429" s="153" t="n"/>
      <c r="S429" s="153" t="n"/>
      <c r="T429" s="153" t="n"/>
      <c r="U429" s="153" t="n"/>
      <c r="V429" s="153" t="n"/>
      <c r="W429" s="153" t="n"/>
      <c r="X429" s="153" t="n"/>
      <c r="Y429" s="153" t="n"/>
    </row>
    <row r="430" ht="15.75" customHeight="1" s="154">
      <c r="O430" s="153" t="n"/>
      <c r="P430" s="153" t="n"/>
      <c r="Q430" s="153" t="n"/>
      <c r="R430" s="153" t="n"/>
      <c r="S430" s="153" t="n"/>
      <c r="T430" s="153" t="n"/>
      <c r="U430" s="153" t="n"/>
      <c r="V430" s="153" t="n"/>
      <c r="W430" s="153" t="n"/>
      <c r="X430" s="153" t="n"/>
      <c r="Y430" s="153" t="n"/>
    </row>
    <row r="431" ht="15.75" customHeight="1" s="154">
      <c r="O431" s="153" t="n"/>
      <c r="P431" s="153" t="n"/>
      <c r="Q431" s="153" t="n"/>
      <c r="R431" s="153" t="n"/>
      <c r="S431" s="153" t="n"/>
      <c r="T431" s="153" t="n"/>
      <c r="U431" s="153" t="n"/>
      <c r="V431" s="153" t="n"/>
      <c r="W431" s="153" t="n"/>
      <c r="X431" s="153" t="n"/>
      <c r="Y431" s="153" t="n"/>
    </row>
    <row r="432" ht="15.75" customHeight="1" s="154">
      <c r="O432" s="153" t="n"/>
      <c r="P432" s="153" t="n"/>
      <c r="Q432" s="153" t="n"/>
      <c r="R432" s="153" t="n"/>
      <c r="S432" s="153" t="n"/>
      <c r="T432" s="153" t="n"/>
      <c r="U432" s="153" t="n"/>
      <c r="V432" s="153" t="n"/>
      <c r="W432" s="153" t="n"/>
      <c r="X432" s="153" t="n"/>
      <c r="Y432" s="153" t="n"/>
    </row>
    <row r="433" ht="15.75" customHeight="1" s="154">
      <c r="O433" s="153" t="n"/>
      <c r="P433" s="153" t="n"/>
      <c r="Q433" s="153" t="n"/>
      <c r="R433" s="153" t="n"/>
      <c r="S433" s="153" t="n"/>
      <c r="T433" s="153" t="n"/>
      <c r="U433" s="153" t="n"/>
      <c r="V433" s="153" t="n"/>
      <c r="W433" s="153" t="n"/>
      <c r="X433" s="153" t="n"/>
      <c r="Y433" s="153" t="n"/>
    </row>
    <row r="434" ht="15.75" customHeight="1" s="154">
      <c r="O434" s="153" t="n"/>
      <c r="P434" s="153" t="n"/>
      <c r="Q434" s="153" t="n"/>
      <c r="R434" s="153" t="n"/>
      <c r="S434" s="153" t="n"/>
      <c r="T434" s="153" t="n"/>
      <c r="U434" s="153" t="n"/>
      <c r="V434" s="153" t="n"/>
      <c r="W434" s="153" t="n"/>
      <c r="X434" s="153" t="n"/>
      <c r="Y434" s="153" t="n"/>
    </row>
    <row r="435" ht="15.75" customHeight="1" s="154">
      <c r="O435" s="153" t="n"/>
      <c r="P435" s="153" t="n"/>
      <c r="Q435" s="153" t="n"/>
      <c r="R435" s="153" t="n"/>
      <c r="S435" s="153" t="n"/>
      <c r="T435" s="153" t="n"/>
      <c r="U435" s="153" t="n"/>
      <c r="V435" s="153" t="n"/>
      <c r="W435" s="153" t="n"/>
      <c r="X435" s="153" t="n"/>
      <c r="Y435" s="153" t="n"/>
    </row>
    <row r="436" ht="15.75" customHeight="1" s="154">
      <c r="O436" s="153" t="n"/>
      <c r="P436" s="153" t="n"/>
      <c r="Q436" s="153" t="n"/>
      <c r="R436" s="153" t="n"/>
      <c r="S436" s="153" t="n"/>
      <c r="T436" s="153" t="n"/>
      <c r="U436" s="153" t="n"/>
      <c r="V436" s="153" t="n"/>
      <c r="W436" s="153" t="n"/>
      <c r="X436" s="153" t="n"/>
      <c r="Y436" s="153" t="n"/>
    </row>
    <row r="437" ht="15.75" customHeight="1" s="154">
      <c r="O437" s="153" t="n"/>
      <c r="P437" s="153" t="n"/>
      <c r="Q437" s="153" t="n"/>
      <c r="R437" s="153" t="n"/>
      <c r="S437" s="153" t="n"/>
      <c r="T437" s="153" t="n"/>
      <c r="U437" s="153" t="n"/>
      <c r="V437" s="153" t="n"/>
      <c r="W437" s="153" t="n"/>
      <c r="X437" s="153" t="n"/>
      <c r="Y437" s="153" t="n"/>
    </row>
    <row r="438" ht="15.75" customHeight="1" s="154">
      <c r="O438" s="153" t="n"/>
      <c r="P438" s="153" t="n"/>
      <c r="Q438" s="153" t="n"/>
      <c r="R438" s="153" t="n"/>
      <c r="S438" s="153" t="n"/>
      <c r="T438" s="153" t="n"/>
      <c r="U438" s="153" t="n"/>
      <c r="V438" s="153" t="n"/>
      <c r="W438" s="153" t="n"/>
      <c r="X438" s="153" t="n"/>
      <c r="Y438" s="153" t="n"/>
    </row>
    <row r="439" ht="15.75" customHeight="1" s="154">
      <c r="O439" s="153" t="n"/>
      <c r="P439" s="153" t="n"/>
      <c r="Q439" s="153" t="n"/>
      <c r="R439" s="153" t="n"/>
      <c r="S439" s="153" t="n"/>
      <c r="T439" s="153" t="n"/>
      <c r="U439" s="153" t="n"/>
      <c r="V439" s="153" t="n"/>
      <c r="W439" s="153" t="n"/>
      <c r="X439" s="153" t="n"/>
      <c r="Y439" s="153" t="n"/>
    </row>
    <row r="440" ht="15.75" customHeight="1" s="154">
      <c r="O440" s="153" t="n"/>
      <c r="P440" s="153" t="n"/>
      <c r="Q440" s="153" t="n"/>
      <c r="R440" s="153" t="n"/>
      <c r="S440" s="153" t="n"/>
      <c r="T440" s="153" t="n"/>
      <c r="U440" s="153" t="n"/>
      <c r="V440" s="153" t="n"/>
      <c r="W440" s="153" t="n"/>
      <c r="X440" s="153" t="n"/>
      <c r="Y440" s="153" t="n"/>
    </row>
    <row r="441" ht="15.75" customHeight="1" s="154">
      <c r="O441" s="153" t="n"/>
      <c r="P441" s="153" t="n"/>
      <c r="Q441" s="153" t="n"/>
      <c r="R441" s="153" t="n"/>
      <c r="S441" s="153" t="n"/>
      <c r="T441" s="153" t="n"/>
      <c r="U441" s="153" t="n"/>
      <c r="V441" s="153" t="n"/>
      <c r="W441" s="153" t="n"/>
      <c r="X441" s="153" t="n"/>
      <c r="Y441" s="153" t="n"/>
    </row>
    <row r="442" ht="15.75" customHeight="1" s="154">
      <c r="O442" s="153" t="n"/>
      <c r="P442" s="153" t="n"/>
      <c r="Q442" s="153" t="n"/>
      <c r="R442" s="153" t="n"/>
      <c r="S442" s="153" t="n"/>
      <c r="T442" s="153" t="n"/>
      <c r="U442" s="153" t="n"/>
      <c r="V442" s="153" t="n"/>
      <c r="W442" s="153" t="n"/>
      <c r="X442" s="153" t="n"/>
      <c r="Y442" s="153" t="n"/>
    </row>
    <row r="443" ht="15.75" customHeight="1" s="154">
      <c r="O443" s="153" t="n"/>
      <c r="P443" s="153" t="n"/>
      <c r="Q443" s="153" t="n"/>
      <c r="R443" s="153" t="n"/>
      <c r="S443" s="153" t="n"/>
      <c r="T443" s="153" t="n"/>
      <c r="U443" s="153" t="n"/>
      <c r="V443" s="153" t="n"/>
      <c r="W443" s="153" t="n"/>
      <c r="X443" s="153" t="n"/>
      <c r="Y443" s="153" t="n"/>
    </row>
    <row r="444" ht="15.75" customHeight="1" s="154">
      <c r="O444" s="153" t="n"/>
      <c r="P444" s="153" t="n"/>
      <c r="Q444" s="153" t="n"/>
      <c r="R444" s="153" t="n"/>
      <c r="S444" s="153" t="n"/>
      <c r="T444" s="153" t="n"/>
      <c r="U444" s="153" t="n"/>
      <c r="V444" s="153" t="n"/>
      <c r="W444" s="153" t="n"/>
      <c r="X444" s="153" t="n"/>
      <c r="Y444" s="153" t="n"/>
    </row>
    <row r="445" ht="15.75" customHeight="1" s="154">
      <c r="O445" s="153" t="n"/>
      <c r="P445" s="153" t="n"/>
      <c r="Q445" s="153" t="n"/>
      <c r="R445" s="153" t="n"/>
      <c r="S445" s="153" t="n"/>
      <c r="T445" s="153" t="n"/>
      <c r="U445" s="153" t="n"/>
      <c r="V445" s="153" t="n"/>
      <c r="W445" s="153" t="n"/>
      <c r="X445" s="153" t="n"/>
      <c r="Y445" s="153" t="n"/>
    </row>
    <row r="446" ht="15.75" customHeight="1" s="154">
      <c r="O446" s="153" t="n"/>
      <c r="P446" s="153" t="n"/>
      <c r="Q446" s="153" t="n"/>
      <c r="R446" s="153" t="n"/>
      <c r="S446" s="153" t="n"/>
      <c r="T446" s="153" t="n"/>
      <c r="U446" s="153" t="n"/>
      <c r="V446" s="153" t="n"/>
      <c r="W446" s="153" t="n"/>
      <c r="X446" s="153" t="n"/>
      <c r="Y446" s="153" t="n"/>
    </row>
    <row r="447" ht="15.75" customHeight="1" s="154">
      <c r="O447" s="153" t="n"/>
      <c r="P447" s="153" t="n"/>
      <c r="Q447" s="153" t="n"/>
      <c r="R447" s="153" t="n"/>
      <c r="S447" s="153" t="n"/>
      <c r="T447" s="153" t="n"/>
      <c r="U447" s="153" t="n"/>
      <c r="V447" s="153" t="n"/>
      <c r="W447" s="153" t="n"/>
      <c r="X447" s="153" t="n"/>
      <c r="Y447" s="153" t="n"/>
    </row>
    <row r="448" ht="15.75" customHeight="1" s="154">
      <c r="O448" s="153" t="n"/>
      <c r="P448" s="153" t="n"/>
      <c r="Q448" s="153" t="n"/>
      <c r="R448" s="153" t="n"/>
      <c r="S448" s="153" t="n"/>
      <c r="T448" s="153" t="n"/>
      <c r="U448" s="153" t="n"/>
      <c r="V448" s="153" t="n"/>
      <c r="W448" s="153" t="n"/>
      <c r="X448" s="153" t="n"/>
      <c r="Y448" s="153" t="n"/>
    </row>
    <row r="449" ht="15.75" customHeight="1" s="154">
      <c r="O449" s="153" t="n"/>
      <c r="P449" s="153" t="n"/>
      <c r="Q449" s="153" t="n"/>
      <c r="R449" s="153" t="n"/>
      <c r="S449" s="153" t="n"/>
      <c r="T449" s="153" t="n"/>
      <c r="U449" s="153" t="n"/>
      <c r="V449" s="153" t="n"/>
      <c r="W449" s="153" t="n"/>
      <c r="X449" s="153" t="n"/>
      <c r="Y449" s="153" t="n"/>
    </row>
    <row r="450" ht="15.75" customHeight="1" s="154">
      <c r="O450" s="153" t="n"/>
      <c r="P450" s="153" t="n"/>
      <c r="Q450" s="153" t="n"/>
      <c r="R450" s="153" t="n"/>
      <c r="S450" s="153" t="n"/>
      <c r="T450" s="153" t="n"/>
      <c r="U450" s="153" t="n"/>
      <c r="V450" s="153" t="n"/>
      <c r="W450" s="153" t="n"/>
      <c r="X450" s="153" t="n"/>
      <c r="Y450" s="153" t="n"/>
    </row>
    <row r="451" ht="15.75" customHeight="1" s="154">
      <c r="O451" s="153" t="n"/>
      <c r="P451" s="153" t="n"/>
      <c r="Q451" s="153" t="n"/>
      <c r="R451" s="153" t="n"/>
      <c r="S451" s="153" t="n"/>
      <c r="T451" s="153" t="n"/>
      <c r="U451" s="153" t="n"/>
      <c r="V451" s="153" t="n"/>
      <c r="W451" s="153" t="n"/>
      <c r="X451" s="153" t="n"/>
      <c r="Y451" s="153" t="n"/>
    </row>
    <row r="452" ht="15.75" customHeight="1" s="154">
      <c r="O452" s="153" t="n"/>
      <c r="P452" s="153" t="n"/>
      <c r="Q452" s="153" t="n"/>
      <c r="R452" s="153" t="n"/>
      <c r="S452" s="153" t="n"/>
      <c r="T452" s="153" t="n"/>
      <c r="U452" s="153" t="n"/>
      <c r="V452" s="153" t="n"/>
      <c r="W452" s="153" t="n"/>
      <c r="X452" s="153" t="n"/>
      <c r="Y452" s="153" t="n"/>
    </row>
    <row r="453" ht="15.75" customHeight="1" s="154">
      <c r="O453" s="153" t="n"/>
      <c r="P453" s="153" t="n"/>
      <c r="Q453" s="153" t="n"/>
      <c r="R453" s="153" t="n"/>
      <c r="S453" s="153" t="n"/>
      <c r="T453" s="153" t="n"/>
      <c r="U453" s="153" t="n"/>
      <c r="V453" s="153" t="n"/>
      <c r="W453" s="153" t="n"/>
      <c r="X453" s="153" t="n"/>
      <c r="Y453" s="153" t="n"/>
    </row>
    <row r="454" ht="15.75" customHeight="1" s="154">
      <c r="O454" s="153" t="n"/>
      <c r="P454" s="153" t="n"/>
      <c r="Q454" s="153" t="n"/>
      <c r="R454" s="153" t="n"/>
      <c r="S454" s="153" t="n"/>
      <c r="T454" s="153" t="n"/>
      <c r="U454" s="153" t="n"/>
      <c r="V454" s="153" t="n"/>
      <c r="W454" s="153" t="n"/>
      <c r="X454" s="153" t="n"/>
      <c r="Y454" s="153" t="n"/>
    </row>
    <row r="455" ht="15.75" customHeight="1" s="154">
      <c r="O455" s="153" t="n"/>
      <c r="P455" s="153" t="n"/>
      <c r="Q455" s="153" t="n"/>
      <c r="R455" s="153" t="n"/>
      <c r="S455" s="153" t="n"/>
      <c r="T455" s="153" t="n"/>
      <c r="U455" s="153" t="n"/>
      <c r="V455" s="153" t="n"/>
      <c r="W455" s="153" t="n"/>
      <c r="X455" s="153" t="n"/>
      <c r="Y455" s="153" t="n"/>
    </row>
    <row r="456" ht="15.75" customHeight="1" s="154">
      <c r="O456" s="153" t="n"/>
      <c r="P456" s="153" t="n"/>
      <c r="Q456" s="153" t="n"/>
      <c r="R456" s="153" t="n"/>
      <c r="S456" s="153" t="n"/>
      <c r="T456" s="153" t="n"/>
      <c r="U456" s="153" t="n"/>
      <c r="V456" s="153" t="n"/>
      <c r="W456" s="153" t="n"/>
      <c r="X456" s="153" t="n"/>
      <c r="Y456" s="153" t="n"/>
    </row>
    <row r="457" ht="15.75" customHeight="1" s="154">
      <c r="O457" s="153" t="n"/>
      <c r="P457" s="153" t="n"/>
      <c r="Q457" s="153" t="n"/>
      <c r="R457" s="153" t="n"/>
      <c r="S457" s="153" t="n"/>
      <c r="T457" s="153" t="n"/>
      <c r="U457" s="153" t="n"/>
      <c r="V457" s="153" t="n"/>
      <c r="W457" s="153" t="n"/>
      <c r="X457" s="153" t="n"/>
      <c r="Y457" s="153" t="n"/>
    </row>
    <row r="458" ht="15.75" customHeight="1" s="154">
      <c r="O458" s="153" t="n"/>
      <c r="P458" s="153" t="n"/>
      <c r="Q458" s="153" t="n"/>
      <c r="R458" s="153" t="n"/>
      <c r="S458" s="153" t="n"/>
      <c r="T458" s="153" t="n"/>
      <c r="U458" s="153" t="n"/>
      <c r="V458" s="153" t="n"/>
      <c r="W458" s="153" t="n"/>
      <c r="X458" s="153" t="n"/>
      <c r="Y458" s="153" t="n"/>
    </row>
    <row r="459" ht="15.75" customHeight="1" s="154">
      <c r="O459" s="153" t="n"/>
      <c r="P459" s="153" t="n"/>
      <c r="Q459" s="153" t="n"/>
      <c r="R459" s="153" t="n"/>
      <c r="S459" s="153" t="n"/>
      <c r="T459" s="153" t="n"/>
      <c r="U459" s="153" t="n"/>
      <c r="V459" s="153" t="n"/>
      <c r="W459" s="153" t="n"/>
      <c r="X459" s="153" t="n"/>
      <c r="Y459" s="153" t="n"/>
    </row>
    <row r="460" ht="15.75" customHeight="1" s="154">
      <c r="O460" s="153" t="n"/>
      <c r="P460" s="153" t="n"/>
      <c r="Q460" s="153" t="n"/>
      <c r="R460" s="153" t="n"/>
      <c r="S460" s="153" t="n"/>
      <c r="T460" s="153" t="n"/>
      <c r="U460" s="153" t="n"/>
      <c r="V460" s="153" t="n"/>
      <c r="W460" s="153" t="n"/>
      <c r="X460" s="153" t="n"/>
      <c r="Y460" s="153" t="n"/>
    </row>
    <row r="461" ht="15.75" customHeight="1" s="154">
      <c r="O461" s="153" t="n"/>
      <c r="P461" s="153" t="n"/>
      <c r="Q461" s="153" t="n"/>
      <c r="R461" s="153" t="n"/>
      <c r="S461" s="153" t="n"/>
      <c r="T461" s="153" t="n"/>
      <c r="U461" s="153" t="n"/>
      <c r="V461" s="153" t="n"/>
      <c r="W461" s="153" t="n"/>
      <c r="X461" s="153" t="n"/>
      <c r="Y461" s="153" t="n"/>
    </row>
    <row r="462" ht="15.75" customHeight="1" s="154">
      <c r="O462" s="153" t="n"/>
      <c r="P462" s="153" t="n"/>
      <c r="Q462" s="153" t="n"/>
      <c r="R462" s="153" t="n"/>
      <c r="S462" s="153" t="n"/>
      <c r="T462" s="153" t="n"/>
      <c r="U462" s="153" t="n"/>
      <c r="V462" s="153" t="n"/>
      <c r="W462" s="153" t="n"/>
      <c r="X462" s="153" t="n"/>
      <c r="Y462" s="153" t="n"/>
    </row>
    <row r="463" ht="15.75" customHeight="1" s="154">
      <c r="O463" s="153" t="n"/>
      <c r="P463" s="153" t="n"/>
      <c r="Q463" s="153" t="n"/>
      <c r="R463" s="153" t="n"/>
      <c r="S463" s="153" t="n"/>
      <c r="T463" s="153" t="n"/>
      <c r="U463" s="153" t="n"/>
      <c r="V463" s="153" t="n"/>
      <c r="W463" s="153" t="n"/>
      <c r="X463" s="153" t="n"/>
      <c r="Y463" s="153" t="n"/>
    </row>
    <row r="464" ht="15.75" customHeight="1" s="154">
      <c r="O464" s="153" t="n"/>
      <c r="P464" s="153" t="n"/>
      <c r="Q464" s="153" t="n"/>
      <c r="R464" s="153" t="n"/>
      <c r="S464" s="153" t="n"/>
      <c r="T464" s="153" t="n"/>
      <c r="U464" s="153" t="n"/>
      <c r="V464" s="153" t="n"/>
      <c r="W464" s="153" t="n"/>
      <c r="X464" s="153" t="n"/>
      <c r="Y464" s="153" t="n"/>
    </row>
    <row r="465" ht="15.75" customHeight="1" s="154">
      <c r="O465" s="153" t="n"/>
      <c r="P465" s="153" t="n"/>
      <c r="Q465" s="153" t="n"/>
      <c r="R465" s="153" t="n"/>
      <c r="S465" s="153" t="n"/>
      <c r="T465" s="153" t="n"/>
      <c r="U465" s="153" t="n"/>
      <c r="V465" s="153" t="n"/>
      <c r="W465" s="153" t="n"/>
      <c r="X465" s="153" t="n"/>
      <c r="Y465" s="153" t="n"/>
    </row>
    <row r="466" ht="15.75" customHeight="1" s="154">
      <c r="O466" s="153" t="n"/>
      <c r="P466" s="153" t="n"/>
      <c r="Q466" s="153" t="n"/>
      <c r="R466" s="153" t="n"/>
      <c r="S466" s="153" t="n"/>
      <c r="T466" s="153" t="n"/>
      <c r="U466" s="153" t="n"/>
      <c r="V466" s="153" t="n"/>
      <c r="W466" s="153" t="n"/>
      <c r="X466" s="153" t="n"/>
      <c r="Y466" s="153" t="n"/>
    </row>
    <row r="467" ht="15.75" customHeight="1" s="154">
      <c r="O467" s="153" t="n"/>
      <c r="P467" s="153" t="n"/>
      <c r="Q467" s="153" t="n"/>
      <c r="R467" s="153" t="n"/>
      <c r="S467" s="153" t="n"/>
      <c r="T467" s="153" t="n"/>
      <c r="U467" s="153" t="n"/>
      <c r="V467" s="153" t="n"/>
      <c r="W467" s="153" t="n"/>
      <c r="X467" s="153" t="n"/>
      <c r="Y467" s="153" t="n"/>
    </row>
    <row r="468" ht="15.75" customHeight="1" s="154">
      <c r="O468" s="153" t="n"/>
      <c r="P468" s="153" t="n"/>
      <c r="Q468" s="153" t="n"/>
      <c r="R468" s="153" t="n"/>
      <c r="S468" s="153" t="n"/>
      <c r="T468" s="153" t="n"/>
      <c r="U468" s="153" t="n"/>
      <c r="V468" s="153" t="n"/>
      <c r="W468" s="153" t="n"/>
      <c r="X468" s="153" t="n"/>
      <c r="Y468" s="153" t="n"/>
    </row>
    <row r="469" ht="15.75" customHeight="1" s="154">
      <c r="O469" s="153" t="n"/>
      <c r="P469" s="153" t="n"/>
      <c r="Q469" s="153" t="n"/>
      <c r="R469" s="153" t="n"/>
      <c r="S469" s="153" t="n"/>
      <c r="T469" s="153" t="n"/>
      <c r="U469" s="153" t="n"/>
      <c r="V469" s="153" t="n"/>
      <c r="W469" s="153" t="n"/>
      <c r="X469" s="153" t="n"/>
      <c r="Y469" s="153" t="n"/>
    </row>
    <row r="470" ht="15.75" customHeight="1" s="154">
      <c r="O470" s="153" t="n"/>
      <c r="P470" s="153" t="n"/>
      <c r="Q470" s="153" t="n"/>
      <c r="R470" s="153" t="n"/>
      <c r="S470" s="153" t="n"/>
      <c r="T470" s="153" t="n"/>
      <c r="U470" s="153" t="n"/>
      <c r="V470" s="153" t="n"/>
      <c r="W470" s="153" t="n"/>
      <c r="X470" s="153" t="n"/>
      <c r="Y470" s="153" t="n"/>
    </row>
    <row r="471" ht="15.75" customHeight="1" s="154">
      <c r="O471" s="153" t="n"/>
      <c r="P471" s="153" t="n"/>
      <c r="Q471" s="153" t="n"/>
      <c r="R471" s="153" t="n"/>
      <c r="S471" s="153" t="n"/>
      <c r="T471" s="153" t="n"/>
      <c r="U471" s="153" t="n"/>
      <c r="V471" s="153" t="n"/>
      <c r="W471" s="153" t="n"/>
      <c r="X471" s="153" t="n"/>
      <c r="Y471" s="153" t="n"/>
    </row>
    <row r="472" ht="15.75" customHeight="1" s="154">
      <c r="O472" s="153" t="n"/>
      <c r="P472" s="153" t="n"/>
      <c r="Q472" s="153" t="n"/>
      <c r="R472" s="153" t="n"/>
      <c r="S472" s="153" t="n"/>
      <c r="T472" s="153" t="n"/>
      <c r="U472" s="153" t="n"/>
      <c r="V472" s="153" t="n"/>
      <c r="W472" s="153" t="n"/>
      <c r="X472" s="153" t="n"/>
      <c r="Y472" s="153" t="n"/>
    </row>
    <row r="473" ht="15.75" customHeight="1" s="154">
      <c r="O473" s="153" t="n"/>
      <c r="P473" s="153" t="n"/>
      <c r="Q473" s="153" t="n"/>
      <c r="R473" s="153" t="n"/>
      <c r="S473" s="153" t="n"/>
      <c r="T473" s="153" t="n"/>
      <c r="U473" s="153" t="n"/>
      <c r="V473" s="153" t="n"/>
      <c r="W473" s="153" t="n"/>
      <c r="X473" s="153" t="n"/>
      <c r="Y473" s="153" t="n"/>
    </row>
    <row r="474" ht="15.75" customHeight="1" s="154">
      <c r="O474" s="153" t="n"/>
      <c r="P474" s="153" t="n"/>
      <c r="Q474" s="153" t="n"/>
      <c r="R474" s="153" t="n"/>
      <c r="S474" s="153" t="n"/>
      <c r="T474" s="153" t="n"/>
      <c r="U474" s="153" t="n"/>
      <c r="V474" s="153" t="n"/>
      <c r="W474" s="153" t="n"/>
      <c r="X474" s="153" t="n"/>
      <c r="Y474" s="153" t="n"/>
    </row>
    <row r="475" ht="15.75" customHeight="1" s="154">
      <c r="O475" s="153" t="n"/>
      <c r="P475" s="153" t="n"/>
      <c r="Q475" s="153" t="n"/>
      <c r="R475" s="153" t="n"/>
      <c r="S475" s="153" t="n"/>
      <c r="T475" s="153" t="n"/>
      <c r="U475" s="153" t="n"/>
      <c r="V475" s="153" t="n"/>
      <c r="W475" s="153" t="n"/>
      <c r="X475" s="153" t="n"/>
      <c r="Y475" s="153" t="n"/>
    </row>
    <row r="476" ht="15.75" customHeight="1" s="154">
      <c r="O476" s="153" t="n"/>
      <c r="P476" s="153" t="n"/>
      <c r="Q476" s="153" t="n"/>
      <c r="R476" s="153" t="n"/>
      <c r="S476" s="153" t="n"/>
      <c r="T476" s="153" t="n"/>
      <c r="U476" s="153" t="n"/>
      <c r="V476" s="153" t="n"/>
      <c r="W476" s="153" t="n"/>
      <c r="X476" s="153" t="n"/>
      <c r="Y476" s="153" t="n"/>
    </row>
    <row r="477" ht="15.75" customHeight="1" s="154">
      <c r="O477" s="153" t="n"/>
      <c r="P477" s="153" t="n"/>
      <c r="Q477" s="153" t="n"/>
      <c r="R477" s="153" t="n"/>
      <c r="S477" s="153" t="n"/>
      <c r="T477" s="153" t="n"/>
      <c r="U477" s="153" t="n"/>
      <c r="V477" s="153" t="n"/>
      <c r="W477" s="153" t="n"/>
      <c r="X477" s="153" t="n"/>
      <c r="Y477" s="153" t="n"/>
    </row>
    <row r="478" ht="15.75" customHeight="1" s="154">
      <c r="O478" s="153" t="n"/>
      <c r="P478" s="153" t="n"/>
      <c r="Q478" s="153" t="n"/>
      <c r="R478" s="153" t="n"/>
      <c r="S478" s="153" t="n"/>
      <c r="T478" s="153" t="n"/>
      <c r="U478" s="153" t="n"/>
      <c r="V478" s="153" t="n"/>
      <c r="W478" s="153" t="n"/>
      <c r="X478" s="153" t="n"/>
      <c r="Y478" s="153" t="n"/>
    </row>
    <row r="479" ht="15.75" customHeight="1" s="154">
      <c r="O479" s="153" t="n"/>
      <c r="P479" s="153" t="n"/>
      <c r="Q479" s="153" t="n"/>
      <c r="R479" s="153" t="n"/>
      <c r="S479" s="153" t="n"/>
      <c r="T479" s="153" t="n"/>
      <c r="U479" s="153" t="n"/>
      <c r="V479" s="153" t="n"/>
      <c r="W479" s="153" t="n"/>
      <c r="X479" s="153" t="n"/>
      <c r="Y479" s="153" t="n"/>
    </row>
    <row r="480" ht="15.75" customHeight="1" s="154">
      <c r="O480" s="153" t="n"/>
      <c r="P480" s="153" t="n"/>
      <c r="Q480" s="153" t="n"/>
      <c r="R480" s="153" t="n"/>
      <c r="S480" s="153" t="n"/>
      <c r="T480" s="153" t="n"/>
      <c r="U480" s="153" t="n"/>
      <c r="V480" s="153" t="n"/>
      <c r="W480" s="153" t="n"/>
      <c r="X480" s="153" t="n"/>
      <c r="Y480" s="153" t="n"/>
    </row>
    <row r="481" ht="15.75" customHeight="1" s="154">
      <c r="O481" s="153" t="n"/>
      <c r="P481" s="153" t="n"/>
      <c r="Q481" s="153" t="n"/>
      <c r="R481" s="153" t="n"/>
      <c r="S481" s="153" t="n"/>
      <c r="T481" s="153" t="n"/>
      <c r="U481" s="153" t="n"/>
      <c r="V481" s="153" t="n"/>
      <c r="W481" s="153" t="n"/>
      <c r="X481" s="153" t="n"/>
      <c r="Y481" s="153" t="n"/>
    </row>
    <row r="482" ht="15.75" customHeight="1" s="154">
      <c r="O482" s="153" t="n"/>
      <c r="P482" s="153" t="n"/>
      <c r="Q482" s="153" t="n"/>
      <c r="R482" s="153" t="n"/>
      <c r="S482" s="153" t="n"/>
      <c r="T482" s="153" t="n"/>
      <c r="U482" s="153" t="n"/>
      <c r="V482" s="153" t="n"/>
      <c r="W482" s="153" t="n"/>
      <c r="X482" s="153" t="n"/>
      <c r="Y482" s="153" t="n"/>
    </row>
    <row r="483" ht="15.75" customHeight="1" s="154">
      <c r="O483" s="153" t="n"/>
      <c r="P483" s="153" t="n"/>
      <c r="Q483" s="153" t="n"/>
      <c r="R483" s="153" t="n"/>
      <c r="S483" s="153" t="n"/>
      <c r="T483" s="153" t="n"/>
      <c r="U483" s="153" t="n"/>
      <c r="V483" s="153" t="n"/>
      <c r="W483" s="153" t="n"/>
      <c r="X483" s="153" t="n"/>
      <c r="Y483" s="153" t="n"/>
    </row>
    <row r="484" ht="15.75" customHeight="1" s="154">
      <c r="O484" s="153" t="n"/>
      <c r="P484" s="153" t="n"/>
      <c r="Q484" s="153" t="n"/>
      <c r="R484" s="153" t="n"/>
      <c r="S484" s="153" t="n"/>
      <c r="T484" s="153" t="n"/>
      <c r="U484" s="153" t="n"/>
      <c r="V484" s="153" t="n"/>
      <c r="W484" s="153" t="n"/>
      <c r="X484" s="153" t="n"/>
      <c r="Y484" s="153" t="n"/>
    </row>
    <row r="485" ht="15.75" customHeight="1" s="154">
      <c r="O485" s="153" t="n"/>
      <c r="P485" s="153" t="n"/>
      <c r="Q485" s="153" t="n"/>
      <c r="R485" s="153" t="n"/>
      <c r="S485" s="153" t="n"/>
      <c r="T485" s="153" t="n"/>
      <c r="U485" s="153" t="n"/>
      <c r="V485" s="153" t="n"/>
      <c r="W485" s="153" t="n"/>
      <c r="X485" s="153" t="n"/>
      <c r="Y485" s="153" t="n"/>
    </row>
    <row r="486" ht="15.75" customHeight="1" s="154">
      <c r="O486" s="153" t="n"/>
      <c r="P486" s="153" t="n"/>
      <c r="Q486" s="153" t="n"/>
      <c r="R486" s="153" t="n"/>
      <c r="S486" s="153" t="n"/>
      <c r="T486" s="153" t="n"/>
      <c r="U486" s="153" t="n"/>
      <c r="V486" s="153" t="n"/>
      <c r="W486" s="153" t="n"/>
      <c r="X486" s="153" t="n"/>
      <c r="Y486" s="153" t="n"/>
    </row>
    <row r="487" ht="15.75" customHeight="1" s="154">
      <c r="O487" s="153" t="n"/>
      <c r="P487" s="153" t="n"/>
      <c r="Q487" s="153" t="n"/>
      <c r="R487" s="153" t="n"/>
      <c r="S487" s="153" t="n"/>
      <c r="T487" s="153" t="n"/>
      <c r="U487" s="153" t="n"/>
      <c r="V487" s="153" t="n"/>
      <c r="W487" s="153" t="n"/>
      <c r="X487" s="153" t="n"/>
      <c r="Y487" s="153" t="n"/>
    </row>
    <row r="488" ht="15.75" customHeight="1" s="154">
      <c r="O488" s="153" t="n"/>
      <c r="P488" s="153" t="n"/>
      <c r="Q488" s="153" t="n"/>
      <c r="R488" s="153" t="n"/>
      <c r="S488" s="153" t="n"/>
      <c r="T488" s="153" t="n"/>
      <c r="U488" s="153" t="n"/>
      <c r="V488" s="153" t="n"/>
      <c r="W488" s="153" t="n"/>
      <c r="X488" s="153" t="n"/>
      <c r="Y488" s="153" t="n"/>
    </row>
    <row r="489" ht="15.75" customHeight="1" s="154">
      <c r="O489" s="153" t="n"/>
      <c r="P489" s="153" t="n"/>
      <c r="Q489" s="153" t="n"/>
      <c r="R489" s="153" t="n"/>
      <c r="S489" s="153" t="n"/>
      <c r="T489" s="153" t="n"/>
      <c r="U489" s="153" t="n"/>
      <c r="V489" s="153" t="n"/>
      <c r="W489" s="153" t="n"/>
      <c r="X489" s="153" t="n"/>
      <c r="Y489" s="153" t="n"/>
    </row>
    <row r="490" ht="15.75" customHeight="1" s="154">
      <c r="O490" s="153" t="n"/>
      <c r="P490" s="153" t="n"/>
      <c r="Q490" s="153" t="n"/>
      <c r="R490" s="153" t="n"/>
      <c r="S490" s="153" t="n"/>
      <c r="T490" s="153" t="n"/>
      <c r="U490" s="153" t="n"/>
      <c r="V490" s="153" t="n"/>
      <c r="W490" s="153" t="n"/>
      <c r="X490" s="153" t="n"/>
      <c r="Y490" s="153" t="n"/>
    </row>
    <row r="491" ht="15.75" customHeight="1" s="154">
      <c r="O491" s="153" t="n"/>
      <c r="P491" s="153" t="n"/>
      <c r="Q491" s="153" t="n"/>
      <c r="R491" s="153" t="n"/>
      <c r="S491" s="153" t="n"/>
      <c r="T491" s="153" t="n"/>
      <c r="U491" s="153" t="n"/>
      <c r="V491" s="153" t="n"/>
      <c r="W491" s="153" t="n"/>
      <c r="X491" s="153" t="n"/>
      <c r="Y491" s="153" t="n"/>
    </row>
    <row r="492" ht="15.75" customHeight="1" s="154">
      <c r="O492" s="153" t="n"/>
      <c r="P492" s="153" t="n"/>
      <c r="Q492" s="153" t="n"/>
      <c r="R492" s="153" t="n"/>
      <c r="S492" s="153" t="n"/>
      <c r="T492" s="153" t="n"/>
      <c r="U492" s="153" t="n"/>
      <c r="V492" s="153" t="n"/>
      <c r="W492" s="153" t="n"/>
      <c r="X492" s="153" t="n"/>
      <c r="Y492" s="153" t="n"/>
    </row>
    <row r="493" ht="15.75" customHeight="1" s="154">
      <c r="O493" s="153" t="n"/>
      <c r="P493" s="153" t="n"/>
      <c r="Q493" s="153" t="n"/>
      <c r="R493" s="153" t="n"/>
      <c r="S493" s="153" t="n"/>
      <c r="T493" s="153" t="n"/>
      <c r="U493" s="153" t="n"/>
      <c r="V493" s="153" t="n"/>
      <c r="W493" s="153" t="n"/>
      <c r="X493" s="153" t="n"/>
      <c r="Y493" s="153" t="n"/>
    </row>
    <row r="494" ht="15.75" customHeight="1" s="154">
      <c r="O494" s="153" t="n"/>
      <c r="P494" s="153" t="n"/>
      <c r="Q494" s="153" t="n"/>
      <c r="R494" s="153" t="n"/>
      <c r="S494" s="153" t="n"/>
      <c r="T494" s="153" t="n"/>
      <c r="U494" s="153" t="n"/>
      <c r="V494" s="153" t="n"/>
      <c r="W494" s="153" t="n"/>
      <c r="X494" s="153" t="n"/>
      <c r="Y494" s="153" t="n"/>
    </row>
    <row r="495" ht="15.75" customHeight="1" s="154">
      <c r="O495" s="153" t="n"/>
      <c r="P495" s="153" t="n"/>
      <c r="Q495" s="153" t="n"/>
      <c r="R495" s="153" t="n"/>
      <c r="S495" s="153" t="n"/>
      <c r="T495" s="153" t="n"/>
      <c r="U495" s="153" t="n"/>
      <c r="V495" s="153" t="n"/>
      <c r="W495" s="153" t="n"/>
      <c r="X495" s="153" t="n"/>
      <c r="Y495" s="153" t="n"/>
    </row>
    <row r="496" ht="15.75" customHeight="1" s="154">
      <c r="O496" s="153" t="n"/>
      <c r="P496" s="153" t="n"/>
      <c r="Q496" s="153" t="n"/>
      <c r="R496" s="153" t="n"/>
      <c r="S496" s="153" t="n"/>
      <c r="T496" s="153" t="n"/>
      <c r="U496" s="153" t="n"/>
      <c r="V496" s="153" t="n"/>
      <c r="W496" s="153" t="n"/>
      <c r="X496" s="153" t="n"/>
      <c r="Y496" s="153" t="n"/>
    </row>
    <row r="497" ht="15.75" customHeight="1" s="154">
      <c r="O497" s="153" t="n"/>
      <c r="P497" s="153" t="n"/>
      <c r="Q497" s="153" t="n"/>
      <c r="R497" s="153" t="n"/>
      <c r="S497" s="153" t="n"/>
      <c r="T497" s="153" t="n"/>
      <c r="U497" s="153" t="n"/>
      <c r="V497" s="153" t="n"/>
      <c r="W497" s="153" t="n"/>
      <c r="X497" s="153" t="n"/>
      <c r="Y497" s="153" t="n"/>
    </row>
    <row r="498" ht="15.75" customHeight="1" s="154">
      <c r="O498" s="153" t="n"/>
      <c r="P498" s="153" t="n"/>
      <c r="Q498" s="153" t="n"/>
      <c r="R498" s="153" t="n"/>
      <c r="S498" s="153" t="n"/>
      <c r="T498" s="153" t="n"/>
      <c r="U498" s="153" t="n"/>
      <c r="V498" s="153" t="n"/>
      <c r="W498" s="153" t="n"/>
      <c r="X498" s="153" t="n"/>
      <c r="Y498" s="153" t="n"/>
    </row>
    <row r="499" ht="15.75" customHeight="1" s="154">
      <c r="O499" s="153" t="n"/>
      <c r="P499" s="153" t="n"/>
      <c r="Q499" s="153" t="n"/>
      <c r="R499" s="153" t="n"/>
      <c r="S499" s="153" t="n"/>
      <c r="T499" s="153" t="n"/>
      <c r="U499" s="153" t="n"/>
      <c r="V499" s="153" t="n"/>
      <c r="W499" s="153" t="n"/>
      <c r="X499" s="153" t="n"/>
      <c r="Y499" s="153" t="n"/>
    </row>
    <row r="500" ht="15.75" customHeight="1" s="154">
      <c r="O500" s="153" t="n"/>
      <c r="P500" s="153" t="n"/>
      <c r="Q500" s="153" t="n"/>
      <c r="R500" s="153" t="n"/>
      <c r="S500" s="153" t="n"/>
      <c r="T500" s="153" t="n"/>
      <c r="U500" s="153" t="n"/>
      <c r="V500" s="153" t="n"/>
      <c r="W500" s="153" t="n"/>
      <c r="X500" s="153" t="n"/>
      <c r="Y500" s="153" t="n"/>
    </row>
    <row r="501" ht="15.75" customHeight="1" s="154">
      <c r="O501" s="153" t="n"/>
      <c r="P501" s="153" t="n"/>
      <c r="Q501" s="153" t="n"/>
      <c r="R501" s="153" t="n"/>
      <c r="S501" s="153" t="n"/>
      <c r="T501" s="153" t="n"/>
      <c r="U501" s="153" t="n"/>
      <c r="V501" s="153" t="n"/>
      <c r="W501" s="153" t="n"/>
      <c r="X501" s="153" t="n"/>
      <c r="Y501" s="153" t="n"/>
    </row>
    <row r="502" ht="15.75" customHeight="1" s="154">
      <c r="O502" s="153" t="n"/>
      <c r="P502" s="153" t="n"/>
      <c r="Q502" s="153" t="n"/>
      <c r="R502" s="153" t="n"/>
      <c r="S502" s="153" t="n"/>
      <c r="T502" s="153" t="n"/>
      <c r="U502" s="153" t="n"/>
      <c r="V502" s="153" t="n"/>
      <c r="W502" s="153" t="n"/>
      <c r="X502" s="153" t="n"/>
      <c r="Y502" s="153" t="n"/>
    </row>
    <row r="503" ht="15.75" customHeight="1" s="154">
      <c r="O503" s="153" t="n"/>
      <c r="P503" s="153" t="n"/>
      <c r="Q503" s="153" t="n"/>
      <c r="R503" s="153" t="n"/>
      <c r="S503" s="153" t="n"/>
      <c r="T503" s="153" t="n"/>
      <c r="U503" s="153" t="n"/>
      <c r="V503" s="153" t="n"/>
      <c r="W503" s="153" t="n"/>
      <c r="X503" s="153" t="n"/>
      <c r="Y503" s="153" t="n"/>
    </row>
    <row r="504" ht="15.75" customHeight="1" s="154">
      <c r="O504" s="153" t="n"/>
      <c r="P504" s="153" t="n"/>
      <c r="Q504" s="153" t="n"/>
      <c r="R504" s="153" t="n"/>
      <c r="S504" s="153" t="n"/>
      <c r="T504" s="153" t="n"/>
      <c r="U504" s="153" t="n"/>
      <c r="V504" s="153" t="n"/>
      <c r="W504" s="153" t="n"/>
      <c r="X504" s="153" t="n"/>
      <c r="Y504" s="153" t="n"/>
    </row>
    <row r="505" ht="15.75" customHeight="1" s="154">
      <c r="O505" s="153" t="n"/>
      <c r="P505" s="153" t="n"/>
      <c r="Q505" s="153" t="n"/>
      <c r="R505" s="153" t="n"/>
      <c r="S505" s="153" t="n"/>
      <c r="T505" s="153" t="n"/>
      <c r="U505" s="153" t="n"/>
      <c r="V505" s="153" t="n"/>
      <c r="W505" s="153" t="n"/>
      <c r="X505" s="153" t="n"/>
      <c r="Y505" s="153" t="n"/>
    </row>
    <row r="506" ht="15.75" customHeight="1" s="154">
      <c r="O506" s="153" t="n"/>
      <c r="P506" s="153" t="n"/>
      <c r="Q506" s="153" t="n"/>
      <c r="R506" s="153" t="n"/>
      <c r="S506" s="153" t="n"/>
      <c r="T506" s="153" t="n"/>
      <c r="U506" s="153" t="n"/>
      <c r="V506" s="153" t="n"/>
      <c r="W506" s="153" t="n"/>
      <c r="X506" s="153" t="n"/>
      <c r="Y506" s="153" t="n"/>
    </row>
    <row r="507" ht="15.75" customHeight="1" s="154">
      <c r="O507" s="153" t="n"/>
      <c r="P507" s="153" t="n"/>
      <c r="Q507" s="153" t="n"/>
      <c r="R507" s="153" t="n"/>
      <c r="S507" s="153" t="n"/>
      <c r="T507" s="153" t="n"/>
      <c r="U507" s="153" t="n"/>
      <c r="V507" s="153" t="n"/>
      <c r="W507" s="153" t="n"/>
      <c r="X507" s="153" t="n"/>
      <c r="Y507" s="153" t="n"/>
    </row>
    <row r="508" ht="15.75" customHeight="1" s="154">
      <c r="O508" s="153" t="n"/>
      <c r="P508" s="153" t="n"/>
      <c r="Q508" s="153" t="n"/>
      <c r="R508" s="153" t="n"/>
      <c r="S508" s="153" t="n"/>
      <c r="T508" s="153" t="n"/>
      <c r="U508" s="153" t="n"/>
      <c r="V508" s="153" t="n"/>
      <c r="W508" s="153" t="n"/>
      <c r="X508" s="153" t="n"/>
      <c r="Y508" s="153" t="n"/>
    </row>
    <row r="509" ht="15.75" customHeight="1" s="154">
      <c r="O509" s="153" t="n"/>
      <c r="P509" s="153" t="n"/>
      <c r="Q509" s="153" t="n"/>
      <c r="R509" s="153" t="n"/>
      <c r="S509" s="153" t="n"/>
      <c r="T509" s="153" t="n"/>
      <c r="U509" s="153" t="n"/>
      <c r="V509" s="153" t="n"/>
      <c r="W509" s="153" t="n"/>
      <c r="X509" s="153" t="n"/>
      <c r="Y509" s="153" t="n"/>
    </row>
    <row r="510" ht="15.75" customHeight="1" s="154">
      <c r="O510" s="153" t="n"/>
      <c r="P510" s="153" t="n"/>
      <c r="Q510" s="153" t="n"/>
      <c r="R510" s="153" t="n"/>
      <c r="S510" s="153" t="n"/>
      <c r="T510" s="153" t="n"/>
      <c r="U510" s="153" t="n"/>
      <c r="V510" s="153" t="n"/>
      <c r="W510" s="153" t="n"/>
      <c r="X510" s="153" t="n"/>
      <c r="Y510" s="153" t="n"/>
    </row>
    <row r="511" ht="15.75" customHeight="1" s="154">
      <c r="O511" s="153" t="n"/>
      <c r="P511" s="153" t="n"/>
      <c r="Q511" s="153" t="n"/>
      <c r="R511" s="153" t="n"/>
      <c r="S511" s="153" t="n"/>
      <c r="T511" s="153" t="n"/>
      <c r="U511" s="153" t="n"/>
      <c r="V511" s="153" t="n"/>
      <c r="W511" s="153" t="n"/>
      <c r="X511" s="153" t="n"/>
      <c r="Y511" s="153" t="n"/>
    </row>
    <row r="512" ht="15.75" customHeight="1" s="154">
      <c r="O512" s="153" t="n"/>
      <c r="P512" s="153" t="n"/>
      <c r="Q512" s="153" t="n"/>
      <c r="R512" s="153" t="n"/>
      <c r="S512" s="153" t="n"/>
      <c r="T512" s="153" t="n"/>
      <c r="U512" s="153" t="n"/>
      <c r="V512" s="153" t="n"/>
      <c r="W512" s="153" t="n"/>
      <c r="X512" s="153" t="n"/>
      <c r="Y512" s="153" t="n"/>
    </row>
    <row r="513" ht="15.75" customHeight="1" s="154">
      <c r="O513" s="153" t="n"/>
      <c r="P513" s="153" t="n"/>
      <c r="Q513" s="153" t="n"/>
      <c r="R513" s="153" t="n"/>
      <c r="S513" s="153" t="n"/>
      <c r="T513" s="153" t="n"/>
      <c r="U513" s="153" t="n"/>
      <c r="V513" s="153" t="n"/>
      <c r="W513" s="153" t="n"/>
      <c r="X513" s="153" t="n"/>
      <c r="Y513" s="153" t="n"/>
    </row>
    <row r="514" ht="15.75" customHeight="1" s="154">
      <c r="O514" s="153" t="n"/>
      <c r="P514" s="153" t="n"/>
      <c r="Q514" s="153" t="n"/>
      <c r="R514" s="153" t="n"/>
      <c r="S514" s="153" t="n"/>
      <c r="T514" s="153" t="n"/>
      <c r="U514" s="153" t="n"/>
      <c r="V514" s="153" t="n"/>
      <c r="W514" s="153" t="n"/>
      <c r="X514" s="153" t="n"/>
      <c r="Y514" s="153" t="n"/>
    </row>
    <row r="515" ht="15.75" customHeight="1" s="154">
      <c r="O515" s="153" t="n"/>
      <c r="P515" s="153" t="n"/>
      <c r="Q515" s="153" t="n"/>
      <c r="R515" s="153" t="n"/>
      <c r="S515" s="153" t="n"/>
      <c r="T515" s="153" t="n"/>
      <c r="U515" s="153" t="n"/>
      <c r="V515" s="153" t="n"/>
      <c r="W515" s="153" t="n"/>
      <c r="X515" s="153" t="n"/>
      <c r="Y515" s="153" t="n"/>
    </row>
    <row r="516" ht="15.75" customHeight="1" s="154">
      <c r="O516" s="153" t="n"/>
      <c r="P516" s="153" t="n"/>
      <c r="Q516" s="153" t="n"/>
      <c r="R516" s="153" t="n"/>
      <c r="S516" s="153" t="n"/>
      <c r="T516" s="153" t="n"/>
      <c r="U516" s="153" t="n"/>
      <c r="V516" s="153" t="n"/>
      <c r="W516" s="153" t="n"/>
      <c r="X516" s="153" t="n"/>
      <c r="Y516" s="153" t="n"/>
    </row>
    <row r="517" ht="15.75" customHeight="1" s="154">
      <c r="O517" s="153" t="n"/>
      <c r="P517" s="153" t="n"/>
      <c r="Q517" s="153" t="n"/>
      <c r="R517" s="153" t="n"/>
      <c r="S517" s="153" t="n"/>
      <c r="T517" s="153" t="n"/>
      <c r="U517" s="153" t="n"/>
      <c r="V517" s="153" t="n"/>
      <c r="W517" s="153" t="n"/>
      <c r="X517" s="153" t="n"/>
      <c r="Y517" s="153" t="n"/>
    </row>
    <row r="518" ht="15.75" customHeight="1" s="154">
      <c r="O518" s="153" t="n"/>
      <c r="P518" s="153" t="n"/>
      <c r="Q518" s="153" t="n"/>
      <c r="R518" s="153" t="n"/>
      <c r="S518" s="153" t="n"/>
      <c r="T518" s="153" t="n"/>
      <c r="U518" s="153" t="n"/>
      <c r="V518" s="153" t="n"/>
      <c r="W518" s="153" t="n"/>
      <c r="X518" s="153" t="n"/>
      <c r="Y518" s="153" t="n"/>
    </row>
    <row r="519" ht="15.75" customHeight="1" s="154">
      <c r="O519" s="153" t="n"/>
      <c r="P519" s="153" t="n"/>
      <c r="Q519" s="153" t="n"/>
      <c r="R519" s="153" t="n"/>
      <c r="S519" s="153" t="n"/>
      <c r="T519" s="153" t="n"/>
      <c r="U519" s="153" t="n"/>
      <c r="V519" s="153" t="n"/>
      <c r="W519" s="153" t="n"/>
      <c r="X519" s="153" t="n"/>
      <c r="Y519" s="153" t="n"/>
    </row>
    <row r="520" ht="15.75" customHeight="1" s="154">
      <c r="O520" s="153" t="n"/>
      <c r="P520" s="153" t="n"/>
      <c r="Q520" s="153" t="n"/>
      <c r="R520" s="153" t="n"/>
      <c r="S520" s="153" t="n"/>
      <c r="T520" s="153" t="n"/>
      <c r="U520" s="153" t="n"/>
      <c r="V520" s="153" t="n"/>
      <c r="W520" s="153" t="n"/>
      <c r="X520" s="153" t="n"/>
      <c r="Y520" s="153" t="n"/>
    </row>
    <row r="521" ht="15.75" customHeight="1" s="154">
      <c r="O521" s="153" t="n"/>
      <c r="P521" s="153" t="n"/>
      <c r="Q521" s="153" t="n"/>
      <c r="R521" s="153" t="n"/>
      <c r="S521" s="153" t="n"/>
      <c r="T521" s="153" t="n"/>
      <c r="U521" s="153" t="n"/>
      <c r="V521" s="153" t="n"/>
      <c r="W521" s="153" t="n"/>
      <c r="X521" s="153" t="n"/>
      <c r="Y521" s="153" t="n"/>
    </row>
    <row r="522" ht="15.75" customHeight="1" s="154">
      <c r="O522" s="153" t="n"/>
      <c r="P522" s="153" t="n"/>
      <c r="Q522" s="153" t="n"/>
      <c r="R522" s="153" t="n"/>
      <c r="S522" s="153" t="n"/>
      <c r="T522" s="153" t="n"/>
      <c r="U522" s="153" t="n"/>
      <c r="V522" s="153" t="n"/>
      <c r="W522" s="153" t="n"/>
      <c r="X522" s="153" t="n"/>
      <c r="Y522" s="153" t="n"/>
    </row>
    <row r="523" ht="15.75" customHeight="1" s="154">
      <c r="O523" s="153" t="n"/>
      <c r="P523" s="153" t="n"/>
      <c r="Q523" s="153" t="n"/>
      <c r="R523" s="153" t="n"/>
      <c r="S523" s="153" t="n"/>
      <c r="T523" s="153" t="n"/>
      <c r="U523" s="153" t="n"/>
      <c r="V523" s="153" t="n"/>
      <c r="W523" s="153" t="n"/>
      <c r="X523" s="153" t="n"/>
      <c r="Y523" s="153" t="n"/>
    </row>
    <row r="524" ht="15.75" customHeight="1" s="154">
      <c r="O524" s="153" t="n"/>
      <c r="P524" s="153" t="n"/>
      <c r="Q524" s="153" t="n"/>
      <c r="R524" s="153" t="n"/>
      <c r="S524" s="153" t="n"/>
      <c r="T524" s="153" t="n"/>
      <c r="U524" s="153" t="n"/>
      <c r="V524" s="153" t="n"/>
      <c r="W524" s="153" t="n"/>
      <c r="X524" s="153" t="n"/>
      <c r="Y524" s="153" t="n"/>
    </row>
    <row r="525" ht="15.75" customHeight="1" s="154">
      <c r="O525" s="153" t="n"/>
      <c r="P525" s="153" t="n"/>
      <c r="Q525" s="153" t="n"/>
      <c r="R525" s="153" t="n"/>
      <c r="S525" s="153" t="n"/>
      <c r="T525" s="153" t="n"/>
      <c r="U525" s="153" t="n"/>
      <c r="V525" s="153" t="n"/>
      <c r="W525" s="153" t="n"/>
      <c r="X525" s="153" t="n"/>
      <c r="Y525" s="153" t="n"/>
    </row>
    <row r="526" ht="15.75" customHeight="1" s="154">
      <c r="O526" s="153" t="n"/>
      <c r="P526" s="153" t="n"/>
      <c r="Q526" s="153" t="n"/>
      <c r="R526" s="153" t="n"/>
      <c r="S526" s="153" t="n"/>
      <c r="T526" s="153" t="n"/>
      <c r="U526" s="153" t="n"/>
      <c r="V526" s="153" t="n"/>
      <c r="W526" s="153" t="n"/>
      <c r="X526" s="153" t="n"/>
      <c r="Y526" s="153" t="n"/>
    </row>
    <row r="527" ht="15.75" customHeight="1" s="154">
      <c r="O527" s="153" t="n"/>
      <c r="P527" s="153" t="n"/>
      <c r="Q527" s="153" t="n"/>
      <c r="R527" s="153" t="n"/>
      <c r="S527" s="153" t="n"/>
      <c r="T527" s="153" t="n"/>
      <c r="U527" s="153" t="n"/>
      <c r="V527" s="153" t="n"/>
      <c r="W527" s="153" t="n"/>
      <c r="X527" s="153" t="n"/>
      <c r="Y527" s="153" t="n"/>
    </row>
    <row r="528" ht="15.75" customHeight="1" s="154">
      <c r="O528" s="153" t="n"/>
      <c r="P528" s="153" t="n"/>
      <c r="Q528" s="153" t="n"/>
      <c r="R528" s="153" t="n"/>
      <c r="S528" s="153" t="n"/>
      <c r="T528" s="153" t="n"/>
      <c r="U528" s="153" t="n"/>
      <c r="V528" s="153" t="n"/>
      <c r="W528" s="153" t="n"/>
      <c r="X528" s="153" t="n"/>
      <c r="Y528" s="153" t="n"/>
    </row>
    <row r="529" ht="15.75" customHeight="1" s="154">
      <c r="O529" s="153" t="n"/>
      <c r="P529" s="153" t="n"/>
      <c r="Q529" s="153" t="n"/>
      <c r="R529" s="153" t="n"/>
      <c r="S529" s="153" t="n"/>
      <c r="T529" s="153" t="n"/>
      <c r="U529" s="153" t="n"/>
      <c r="V529" s="153" t="n"/>
      <c r="W529" s="153" t="n"/>
      <c r="X529" s="153" t="n"/>
      <c r="Y529" s="153" t="n"/>
    </row>
    <row r="530" ht="15.75" customHeight="1" s="154">
      <c r="O530" s="153" t="n"/>
      <c r="P530" s="153" t="n"/>
      <c r="Q530" s="153" t="n"/>
      <c r="R530" s="153" t="n"/>
      <c r="S530" s="153" t="n"/>
      <c r="T530" s="153" t="n"/>
      <c r="U530" s="153" t="n"/>
      <c r="V530" s="153" t="n"/>
      <c r="W530" s="153" t="n"/>
      <c r="X530" s="153" t="n"/>
      <c r="Y530" s="153" t="n"/>
    </row>
    <row r="531" ht="15.75" customHeight="1" s="154">
      <c r="O531" s="153" t="n"/>
      <c r="P531" s="153" t="n"/>
      <c r="Q531" s="153" t="n"/>
      <c r="R531" s="153" t="n"/>
      <c r="S531" s="153" t="n"/>
      <c r="T531" s="153" t="n"/>
      <c r="U531" s="153" t="n"/>
      <c r="V531" s="153" t="n"/>
      <c r="W531" s="153" t="n"/>
      <c r="X531" s="153" t="n"/>
      <c r="Y531" s="153" t="n"/>
    </row>
    <row r="532" ht="15.75" customHeight="1" s="154">
      <c r="O532" s="153" t="n"/>
      <c r="P532" s="153" t="n"/>
      <c r="Q532" s="153" t="n"/>
      <c r="R532" s="153" t="n"/>
      <c r="S532" s="153" t="n"/>
      <c r="T532" s="153" t="n"/>
      <c r="U532" s="153" t="n"/>
      <c r="V532" s="153" t="n"/>
      <c r="W532" s="153" t="n"/>
      <c r="X532" s="153" t="n"/>
      <c r="Y532" s="153" t="n"/>
    </row>
    <row r="533" ht="15.75" customHeight="1" s="154">
      <c r="O533" s="153" t="n"/>
      <c r="P533" s="153" t="n"/>
      <c r="Q533" s="153" t="n"/>
      <c r="R533" s="153" t="n"/>
      <c r="S533" s="153" t="n"/>
      <c r="T533" s="153" t="n"/>
      <c r="U533" s="153" t="n"/>
      <c r="V533" s="153" t="n"/>
      <c r="W533" s="153" t="n"/>
      <c r="X533" s="153" t="n"/>
      <c r="Y533" s="153" t="n"/>
    </row>
    <row r="534" ht="15.75" customHeight="1" s="154">
      <c r="O534" s="153" t="n"/>
      <c r="P534" s="153" t="n"/>
      <c r="Q534" s="153" t="n"/>
      <c r="R534" s="153" t="n"/>
      <c r="S534" s="153" t="n"/>
      <c r="T534" s="153" t="n"/>
      <c r="U534" s="153" t="n"/>
      <c r="V534" s="153" t="n"/>
      <c r="W534" s="153" t="n"/>
      <c r="X534" s="153" t="n"/>
      <c r="Y534" s="153" t="n"/>
    </row>
    <row r="535" ht="15.75" customHeight="1" s="154">
      <c r="O535" s="153" t="n"/>
      <c r="P535" s="153" t="n"/>
      <c r="Q535" s="153" t="n"/>
      <c r="R535" s="153" t="n"/>
      <c r="S535" s="153" t="n"/>
      <c r="T535" s="153" t="n"/>
      <c r="U535" s="153" t="n"/>
      <c r="V535" s="153" t="n"/>
      <c r="W535" s="153" t="n"/>
      <c r="X535" s="153" t="n"/>
      <c r="Y535" s="153" t="n"/>
    </row>
    <row r="536" ht="15.75" customHeight="1" s="154">
      <c r="O536" s="153" t="n"/>
      <c r="P536" s="153" t="n"/>
      <c r="Q536" s="153" t="n"/>
      <c r="R536" s="153" t="n"/>
      <c r="S536" s="153" t="n"/>
      <c r="T536" s="153" t="n"/>
      <c r="U536" s="153" t="n"/>
      <c r="V536" s="153" t="n"/>
      <c r="W536" s="153" t="n"/>
      <c r="X536" s="153" t="n"/>
      <c r="Y536" s="153" t="n"/>
    </row>
    <row r="537" ht="15.75" customHeight="1" s="154">
      <c r="O537" s="153" t="n"/>
      <c r="P537" s="153" t="n"/>
      <c r="Q537" s="153" t="n"/>
      <c r="R537" s="153" t="n"/>
      <c r="S537" s="153" t="n"/>
      <c r="T537" s="153" t="n"/>
      <c r="U537" s="153" t="n"/>
      <c r="V537" s="153" t="n"/>
      <c r="W537" s="153" t="n"/>
      <c r="X537" s="153" t="n"/>
      <c r="Y537" s="153" t="n"/>
    </row>
    <row r="538" ht="15.75" customHeight="1" s="154">
      <c r="O538" s="153" t="n"/>
      <c r="P538" s="153" t="n"/>
      <c r="Q538" s="153" t="n"/>
      <c r="R538" s="153" t="n"/>
      <c r="S538" s="153" t="n"/>
      <c r="T538" s="153" t="n"/>
      <c r="U538" s="153" t="n"/>
      <c r="V538" s="153" t="n"/>
      <c r="W538" s="153" t="n"/>
      <c r="X538" s="153" t="n"/>
      <c r="Y538" s="153" t="n"/>
    </row>
    <row r="539" ht="15.75" customHeight="1" s="154">
      <c r="O539" s="153" t="n"/>
      <c r="P539" s="153" t="n"/>
      <c r="Q539" s="153" t="n"/>
      <c r="R539" s="153" t="n"/>
      <c r="S539" s="153" t="n"/>
      <c r="T539" s="153" t="n"/>
      <c r="U539" s="153" t="n"/>
      <c r="V539" s="153" t="n"/>
      <c r="W539" s="153" t="n"/>
      <c r="X539" s="153" t="n"/>
      <c r="Y539" s="153" t="n"/>
    </row>
    <row r="540" ht="15.75" customHeight="1" s="154">
      <c r="O540" s="153" t="n"/>
      <c r="P540" s="153" t="n"/>
      <c r="Q540" s="153" t="n"/>
      <c r="R540" s="153" t="n"/>
      <c r="S540" s="153" t="n"/>
      <c r="T540" s="153" t="n"/>
      <c r="U540" s="153" t="n"/>
      <c r="V540" s="153" t="n"/>
      <c r="W540" s="153" t="n"/>
      <c r="X540" s="153" t="n"/>
      <c r="Y540" s="153" t="n"/>
    </row>
    <row r="541" ht="15.75" customHeight="1" s="154">
      <c r="O541" s="153" t="n"/>
      <c r="P541" s="153" t="n"/>
      <c r="Q541" s="153" t="n"/>
      <c r="R541" s="153" t="n"/>
      <c r="S541" s="153" t="n"/>
      <c r="T541" s="153" t="n"/>
      <c r="U541" s="153" t="n"/>
      <c r="V541" s="153" t="n"/>
      <c r="W541" s="153" t="n"/>
      <c r="X541" s="153" t="n"/>
      <c r="Y541" s="153" t="n"/>
    </row>
    <row r="542" ht="15.75" customHeight="1" s="154">
      <c r="O542" s="153" t="n"/>
      <c r="P542" s="153" t="n"/>
      <c r="Q542" s="153" t="n"/>
      <c r="R542" s="153" t="n"/>
      <c r="S542" s="153" t="n"/>
      <c r="T542" s="153" t="n"/>
      <c r="U542" s="153" t="n"/>
      <c r="V542" s="153" t="n"/>
      <c r="W542" s="153" t="n"/>
      <c r="X542" s="153" t="n"/>
      <c r="Y542" s="153" t="n"/>
    </row>
    <row r="543" ht="15.75" customHeight="1" s="154">
      <c r="O543" s="153" t="n"/>
      <c r="P543" s="153" t="n"/>
      <c r="Q543" s="153" t="n"/>
      <c r="R543" s="153" t="n"/>
      <c r="S543" s="153" t="n"/>
      <c r="T543" s="153" t="n"/>
      <c r="U543" s="153" t="n"/>
      <c r="V543" s="153" t="n"/>
      <c r="W543" s="153" t="n"/>
      <c r="X543" s="153" t="n"/>
      <c r="Y543" s="153" t="n"/>
    </row>
    <row r="544" ht="15.75" customHeight="1" s="154">
      <c r="O544" s="153" t="n"/>
      <c r="P544" s="153" t="n"/>
      <c r="Q544" s="153" t="n"/>
      <c r="R544" s="153" t="n"/>
      <c r="S544" s="153" t="n"/>
      <c r="T544" s="153" t="n"/>
      <c r="U544" s="153" t="n"/>
      <c r="V544" s="153" t="n"/>
      <c r="W544" s="153" t="n"/>
      <c r="X544" s="153" t="n"/>
      <c r="Y544" s="153" t="n"/>
    </row>
    <row r="545" ht="15.75" customHeight="1" s="154">
      <c r="O545" s="153" t="n"/>
      <c r="P545" s="153" t="n"/>
      <c r="Q545" s="153" t="n"/>
      <c r="R545" s="153" t="n"/>
      <c r="S545" s="153" t="n"/>
      <c r="T545" s="153" t="n"/>
      <c r="U545" s="153" t="n"/>
      <c r="V545" s="153" t="n"/>
      <c r="W545" s="153" t="n"/>
      <c r="X545" s="153" t="n"/>
      <c r="Y545" s="153" t="n"/>
    </row>
    <row r="546" ht="15.75" customHeight="1" s="154">
      <c r="O546" s="153" t="n"/>
      <c r="P546" s="153" t="n"/>
      <c r="Q546" s="153" t="n"/>
      <c r="R546" s="153" t="n"/>
      <c r="S546" s="153" t="n"/>
      <c r="T546" s="153" t="n"/>
      <c r="U546" s="153" t="n"/>
      <c r="V546" s="153" t="n"/>
      <c r="W546" s="153" t="n"/>
      <c r="X546" s="153" t="n"/>
      <c r="Y546" s="153" t="n"/>
    </row>
    <row r="547" ht="15.75" customHeight="1" s="154">
      <c r="O547" s="153" t="n"/>
      <c r="P547" s="153" t="n"/>
      <c r="Q547" s="153" t="n"/>
      <c r="R547" s="153" t="n"/>
      <c r="S547" s="153" t="n"/>
      <c r="T547" s="153" t="n"/>
      <c r="U547" s="153" t="n"/>
      <c r="V547" s="153" t="n"/>
      <c r="W547" s="153" t="n"/>
      <c r="X547" s="153" t="n"/>
      <c r="Y547" s="153" t="n"/>
    </row>
    <row r="548" ht="15.75" customHeight="1" s="154">
      <c r="O548" s="153" t="n"/>
      <c r="P548" s="153" t="n"/>
      <c r="Q548" s="153" t="n"/>
      <c r="R548" s="153" t="n"/>
      <c r="S548" s="153" t="n"/>
      <c r="T548" s="153" t="n"/>
      <c r="U548" s="153" t="n"/>
      <c r="V548" s="153" t="n"/>
      <c r="W548" s="153" t="n"/>
      <c r="X548" s="153" t="n"/>
      <c r="Y548" s="153" t="n"/>
    </row>
    <row r="549" ht="15.75" customHeight="1" s="154">
      <c r="O549" s="153" t="n"/>
      <c r="P549" s="153" t="n"/>
      <c r="Q549" s="153" t="n"/>
      <c r="R549" s="153" t="n"/>
      <c r="S549" s="153" t="n"/>
      <c r="T549" s="153" t="n"/>
      <c r="U549" s="153" t="n"/>
      <c r="V549" s="153" t="n"/>
      <c r="W549" s="153" t="n"/>
      <c r="X549" s="153" t="n"/>
      <c r="Y549" s="153" t="n"/>
    </row>
    <row r="550" ht="15.75" customHeight="1" s="154">
      <c r="O550" s="153" t="n"/>
      <c r="P550" s="153" t="n"/>
      <c r="Q550" s="153" t="n"/>
      <c r="R550" s="153" t="n"/>
      <c r="S550" s="153" t="n"/>
      <c r="T550" s="153" t="n"/>
      <c r="U550" s="153" t="n"/>
      <c r="V550" s="153" t="n"/>
      <c r="W550" s="153" t="n"/>
      <c r="X550" s="153" t="n"/>
      <c r="Y550" s="153" t="n"/>
    </row>
    <row r="551" ht="15.75" customHeight="1" s="154">
      <c r="O551" s="153" t="n"/>
      <c r="P551" s="153" t="n"/>
      <c r="Q551" s="153" t="n"/>
      <c r="R551" s="153" t="n"/>
      <c r="S551" s="153" t="n"/>
      <c r="T551" s="153" t="n"/>
      <c r="U551" s="153" t="n"/>
      <c r="V551" s="153" t="n"/>
      <c r="W551" s="153" t="n"/>
      <c r="X551" s="153" t="n"/>
      <c r="Y551" s="153" t="n"/>
    </row>
    <row r="552" ht="15.75" customHeight="1" s="154">
      <c r="O552" s="153" t="n"/>
      <c r="P552" s="153" t="n"/>
      <c r="Q552" s="153" t="n"/>
      <c r="R552" s="153" t="n"/>
      <c r="S552" s="153" t="n"/>
      <c r="T552" s="153" t="n"/>
      <c r="U552" s="153" t="n"/>
      <c r="V552" s="153" t="n"/>
      <c r="W552" s="153" t="n"/>
      <c r="X552" s="153" t="n"/>
      <c r="Y552" s="153" t="n"/>
    </row>
    <row r="553" ht="15.75" customHeight="1" s="154">
      <c r="O553" s="153" t="n"/>
      <c r="P553" s="153" t="n"/>
      <c r="Q553" s="153" t="n"/>
      <c r="R553" s="153" t="n"/>
      <c r="S553" s="153" t="n"/>
      <c r="T553" s="153" t="n"/>
      <c r="U553" s="153" t="n"/>
      <c r="V553" s="153" t="n"/>
      <c r="W553" s="153" t="n"/>
      <c r="X553" s="153" t="n"/>
      <c r="Y553" s="153" t="n"/>
    </row>
    <row r="554" ht="15.75" customHeight="1" s="154">
      <c r="O554" s="153" t="n"/>
      <c r="P554" s="153" t="n"/>
      <c r="Q554" s="153" t="n"/>
      <c r="R554" s="153" t="n"/>
      <c r="S554" s="153" t="n"/>
      <c r="T554" s="153" t="n"/>
      <c r="U554" s="153" t="n"/>
      <c r="V554" s="153" t="n"/>
      <c r="W554" s="153" t="n"/>
      <c r="X554" s="153" t="n"/>
      <c r="Y554" s="153" t="n"/>
    </row>
    <row r="555" ht="15.75" customHeight="1" s="154">
      <c r="O555" s="153" t="n"/>
      <c r="P555" s="153" t="n"/>
      <c r="Q555" s="153" t="n"/>
      <c r="R555" s="153" t="n"/>
      <c r="S555" s="153" t="n"/>
      <c r="T555" s="153" t="n"/>
      <c r="U555" s="153" t="n"/>
      <c r="V555" s="153" t="n"/>
      <c r="W555" s="153" t="n"/>
      <c r="X555" s="153" t="n"/>
      <c r="Y555" s="153" t="n"/>
    </row>
    <row r="556" ht="15.75" customHeight="1" s="154">
      <c r="O556" s="153" t="n"/>
      <c r="P556" s="153" t="n"/>
      <c r="Q556" s="153" t="n"/>
      <c r="R556" s="153" t="n"/>
      <c r="S556" s="153" t="n"/>
      <c r="T556" s="153" t="n"/>
      <c r="U556" s="153" t="n"/>
      <c r="V556" s="153" t="n"/>
      <c r="W556" s="153" t="n"/>
      <c r="X556" s="153" t="n"/>
      <c r="Y556" s="153" t="n"/>
    </row>
    <row r="557" ht="15.75" customHeight="1" s="154">
      <c r="O557" s="153" t="n"/>
      <c r="P557" s="153" t="n"/>
      <c r="Q557" s="153" t="n"/>
      <c r="R557" s="153" t="n"/>
      <c r="S557" s="153" t="n"/>
      <c r="T557" s="153" t="n"/>
      <c r="U557" s="153" t="n"/>
      <c r="V557" s="153" t="n"/>
      <c r="W557" s="153" t="n"/>
      <c r="X557" s="153" t="n"/>
      <c r="Y557" s="153" t="n"/>
    </row>
    <row r="558" ht="15.75" customHeight="1" s="154">
      <c r="O558" s="153" t="n"/>
      <c r="P558" s="153" t="n"/>
      <c r="Q558" s="153" t="n"/>
      <c r="R558" s="153" t="n"/>
      <c r="S558" s="153" t="n"/>
      <c r="T558" s="153" t="n"/>
      <c r="U558" s="153" t="n"/>
      <c r="V558" s="153" t="n"/>
      <c r="W558" s="153" t="n"/>
      <c r="X558" s="153" t="n"/>
      <c r="Y558" s="153" t="n"/>
    </row>
    <row r="559" ht="15.75" customHeight="1" s="154">
      <c r="O559" s="153" t="n"/>
      <c r="P559" s="153" t="n"/>
      <c r="Q559" s="153" t="n"/>
      <c r="R559" s="153" t="n"/>
      <c r="S559" s="153" t="n"/>
      <c r="T559" s="153" t="n"/>
      <c r="U559" s="153" t="n"/>
      <c r="V559" s="153" t="n"/>
      <c r="W559" s="153" t="n"/>
      <c r="X559" s="153" t="n"/>
      <c r="Y559" s="153" t="n"/>
    </row>
    <row r="560" ht="15.75" customHeight="1" s="154">
      <c r="O560" s="153" t="n"/>
      <c r="P560" s="153" t="n"/>
      <c r="Q560" s="153" t="n"/>
      <c r="R560" s="153" t="n"/>
      <c r="S560" s="153" t="n"/>
      <c r="T560" s="153" t="n"/>
      <c r="U560" s="153" t="n"/>
      <c r="V560" s="153" t="n"/>
      <c r="W560" s="153" t="n"/>
      <c r="X560" s="153" t="n"/>
      <c r="Y560" s="153" t="n"/>
    </row>
    <row r="561" ht="15.75" customHeight="1" s="154">
      <c r="O561" s="153" t="n"/>
      <c r="P561" s="153" t="n"/>
      <c r="Q561" s="153" t="n"/>
      <c r="R561" s="153" t="n"/>
      <c r="S561" s="153" t="n"/>
      <c r="T561" s="153" t="n"/>
      <c r="U561" s="153" t="n"/>
      <c r="V561" s="153" t="n"/>
      <c r="W561" s="153" t="n"/>
      <c r="X561" s="153" t="n"/>
      <c r="Y561" s="153" t="n"/>
    </row>
    <row r="562" ht="15.75" customHeight="1" s="154">
      <c r="O562" s="153" t="n"/>
      <c r="P562" s="153" t="n"/>
      <c r="Q562" s="153" t="n"/>
      <c r="R562" s="153" t="n"/>
      <c r="S562" s="153" t="n"/>
      <c r="T562" s="153" t="n"/>
      <c r="U562" s="153" t="n"/>
      <c r="V562" s="153" t="n"/>
      <c r="W562" s="153" t="n"/>
      <c r="X562" s="153" t="n"/>
      <c r="Y562" s="153" t="n"/>
    </row>
    <row r="563" ht="15.75" customHeight="1" s="154">
      <c r="O563" s="153" t="n"/>
      <c r="P563" s="153" t="n"/>
      <c r="Q563" s="153" t="n"/>
      <c r="R563" s="153" t="n"/>
      <c r="S563" s="153" t="n"/>
      <c r="T563" s="153" t="n"/>
      <c r="U563" s="153" t="n"/>
      <c r="V563" s="153" t="n"/>
      <c r="W563" s="153" t="n"/>
      <c r="X563" s="153" t="n"/>
      <c r="Y563" s="153" t="n"/>
    </row>
    <row r="564" ht="15.75" customHeight="1" s="154">
      <c r="O564" s="153" t="n"/>
      <c r="P564" s="153" t="n"/>
      <c r="Q564" s="153" t="n"/>
      <c r="R564" s="153" t="n"/>
      <c r="S564" s="153" t="n"/>
      <c r="T564" s="153" t="n"/>
      <c r="U564" s="153" t="n"/>
      <c r="V564" s="153" t="n"/>
      <c r="W564" s="153" t="n"/>
      <c r="X564" s="153" t="n"/>
      <c r="Y564" s="153" t="n"/>
    </row>
    <row r="565" ht="15.75" customHeight="1" s="154">
      <c r="O565" s="153" t="n"/>
      <c r="P565" s="153" t="n"/>
      <c r="Q565" s="153" t="n"/>
      <c r="R565" s="153" t="n"/>
      <c r="S565" s="153" t="n"/>
      <c r="T565" s="153" t="n"/>
      <c r="U565" s="153" t="n"/>
      <c r="V565" s="153" t="n"/>
      <c r="W565" s="153" t="n"/>
      <c r="X565" s="153" t="n"/>
      <c r="Y565" s="153" t="n"/>
    </row>
    <row r="566" ht="15.75" customHeight="1" s="154">
      <c r="O566" s="153" t="n"/>
      <c r="P566" s="153" t="n"/>
      <c r="Q566" s="153" t="n"/>
      <c r="R566" s="153" t="n"/>
      <c r="S566" s="153" t="n"/>
      <c r="T566" s="153" t="n"/>
      <c r="U566" s="153" t="n"/>
      <c r="V566" s="153" t="n"/>
      <c r="W566" s="153" t="n"/>
      <c r="X566" s="153" t="n"/>
      <c r="Y566" s="153" t="n"/>
    </row>
    <row r="567" ht="15.75" customHeight="1" s="154">
      <c r="O567" s="153" t="n"/>
      <c r="P567" s="153" t="n"/>
      <c r="Q567" s="153" t="n"/>
      <c r="R567" s="153" t="n"/>
      <c r="S567" s="153" t="n"/>
      <c r="T567" s="153" t="n"/>
      <c r="U567" s="153" t="n"/>
      <c r="V567" s="153" t="n"/>
      <c r="W567" s="153" t="n"/>
      <c r="X567" s="153" t="n"/>
      <c r="Y567" s="153" t="n"/>
    </row>
    <row r="568" ht="15.75" customHeight="1" s="154">
      <c r="O568" s="153" t="n"/>
      <c r="P568" s="153" t="n"/>
      <c r="Q568" s="153" t="n"/>
      <c r="R568" s="153" t="n"/>
      <c r="S568" s="153" t="n"/>
      <c r="T568" s="153" t="n"/>
      <c r="U568" s="153" t="n"/>
      <c r="V568" s="153" t="n"/>
      <c r="W568" s="153" t="n"/>
      <c r="X568" s="153" t="n"/>
      <c r="Y568" s="153" t="n"/>
    </row>
    <row r="569" ht="15.75" customHeight="1" s="154">
      <c r="O569" s="153" t="n"/>
      <c r="P569" s="153" t="n"/>
      <c r="Q569" s="153" t="n"/>
      <c r="R569" s="153" t="n"/>
      <c r="S569" s="153" t="n"/>
      <c r="T569" s="153" t="n"/>
      <c r="U569" s="153" t="n"/>
      <c r="V569" s="153" t="n"/>
      <c r="W569" s="153" t="n"/>
      <c r="X569" s="153" t="n"/>
      <c r="Y569" s="153" t="n"/>
    </row>
    <row r="570" ht="15.75" customHeight="1" s="154">
      <c r="O570" s="153" t="n"/>
      <c r="P570" s="153" t="n"/>
      <c r="Q570" s="153" t="n"/>
      <c r="R570" s="153" t="n"/>
      <c r="S570" s="153" t="n"/>
      <c r="T570" s="153" t="n"/>
      <c r="U570" s="153" t="n"/>
      <c r="V570" s="153" t="n"/>
      <c r="W570" s="153" t="n"/>
      <c r="X570" s="153" t="n"/>
      <c r="Y570" s="153" t="n"/>
    </row>
    <row r="571" ht="15.75" customHeight="1" s="154">
      <c r="O571" s="153" t="n"/>
      <c r="P571" s="153" t="n"/>
      <c r="Q571" s="153" t="n"/>
      <c r="R571" s="153" t="n"/>
      <c r="S571" s="153" t="n"/>
      <c r="T571" s="153" t="n"/>
      <c r="U571" s="153" t="n"/>
      <c r="V571" s="153" t="n"/>
      <c r="W571" s="153" t="n"/>
      <c r="X571" s="153" t="n"/>
      <c r="Y571" s="153" t="n"/>
    </row>
    <row r="572" ht="15.75" customHeight="1" s="154">
      <c r="O572" s="153" t="n"/>
      <c r="P572" s="153" t="n"/>
      <c r="Q572" s="153" t="n"/>
      <c r="R572" s="153" t="n"/>
      <c r="S572" s="153" t="n"/>
      <c r="T572" s="153" t="n"/>
      <c r="U572" s="153" t="n"/>
      <c r="V572" s="153" t="n"/>
      <c r="W572" s="153" t="n"/>
      <c r="X572" s="153" t="n"/>
      <c r="Y572" s="153" t="n"/>
    </row>
    <row r="573" ht="15.75" customHeight="1" s="154">
      <c r="O573" s="153" t="n"/>
      <c r="P573" s="153" t="n"/>
      <c r="Q573" s="153" t="n"/>
      <c r="R573" s="153" t="n"/>
      <c r="S573" s="153" t="n"/>
      <c r="T573" s="153" t="n"/>
      <c r="U573" s="153" t="n"/>
      <c r="V573" s="153" t="n"/>
      <c r="W573" s="153" t="n"/>
      <c r="X573" s="153" t="n"/>
      <c r="Y573" s="153" t="n"/>
    </row>
    <row r="574" ht="15.75" customHeight="1" s="154">
      <c r="O574" s="153" t="n"/>
      <c r="P574" s="153" t="n"/>
      <c r="Q574" s="153" t="n"/>
      <c r="R574" s="153" t="n"/>
      <c r="S574" s="153" t="n"/>
      <c r="T574" s="153" t="n"/>
      <c r="U574" s="153" t="n"/>
      <c r="V574" s="153" t="n"/>
      <c r="W574" s="153" t="n"/>
      <c r="X574" s="153" t="n"/>
      <c r="Y574" s="153" t="n"/>
    </row>
    <row r="575" ht="15.75" customHeight="1" s="154">
      <c r="O575" s="153" t="n"/>
      <c r="P575" s="153" t="n"/>
      <c r="Q575" s="153" t="n"/>
      <c r="R575" s="153" t="n"/>
      <c r="S575" s="153" t="n"/>
      <c r="T575" s="153" t="n"/>
      <c r="U575" s="153" t="n"/>
      <c r="V575" s="153" t="n"/>
      <c r="W575" s="153" t="n"/>
      <c r="X575" s="153" t="n"/>
      <c r="Y575" s="153" t="n"/>
    </row>
    <row r="576" ht="15.75" customHeight="1" s="154">
      <c r="O576" s="153" t="n"/>
      <c r="P576" s="153" t="n"/>
      <c r="Q576" s="153" t="n"/>
      <c r="R576" s="153" t="n"/>
      <c r="S576" s="153" t="n"/>
      <c r="T576" s="153" t="n"/>
      <c r="U576" s="153" t="n"/>
      <c r="V576" s="153" t="n"/>
      <c r="W576" s="153" t="n"/>
      <c r="X576" s="153" t="n"/>
      <c r="Y576" s="153" t="n"/>
    </row>
    <row r="577" ht="15.75" customHeight="1" s="154">
      <c r="O577" s="153" t="n"/>
      <c r="P577" s="153" t="n"/>
      <c r="Q577" s="153" t="n"/>
      <c r="R577" s="153" t="n"/>
      <c r="S577" s="153" t="n"/>
      <c r="T577" s="153" t="n"/>
      <c r="U577" s="153" t="n"/>
      <c r="V577" s="153" t="n"/>
      <c r="W577" s="153" t="n"/>
      <c r="X577" s="153" t="n"/>
      <c r="Y577" s="153" t="n"/>
    </row>
    <row r="578" ht="15.75" customHeight="1" s="154">
      <c r="O578" s="153" t="n"/>
      <c r="P578" s="153" t="n"/>
      <c r="Q578" s="153" t="n"/>
      <c r="R578" s="153" t="n"/>
      <c r="S578" s="153" t="n"/>
      <c r="T578" s="153" t="n"/>
      <c r="U578" s="153" t="n"/>
      <c r="V578" s="153" t="n"/>
      <c r="W578" s="153" t="n"/>
      <c r="X578" s="153" t="n"/>
      <c r="Y578" s="153" t="n"/>
    </row>
    <row r="579" ht="15.75" customHeight="1" s="154">
      <c r="O579" s="153" t="n"/>
      <c r="P579" s="153" t="n"/>
      <c r="Q579" s="153" t="n"/>
      <c r="R579" s="153" t="n"/>
      <c r="S579" s="153" t="n"/>
      <c r="T579" s="153" t="n"/>
      <c r="U579" s="153" t="n"/>
      <c r="V579" s="153" t="n"/>
      <c r="W579" s="153" t="n"/>
      <c r="X579" s="153" t="n"/>
      <c r="Y579" s="153" t="n"/>
    </row>
    <row r="580" ht="15.75" customHeight="1" s="154">
      <c r="O580" s="153" t="n"/>
      <c r="P580" s="153" t="n"/>
      <c r="Q580" s="153" t="n"/>
      <c r="R580" s="153" t="n"/>
      <c r="S580" s="153" t="n"/>
      <c r="T580" s="153" t="n"/>
      <c r="U580" s="153" t="n"/>
      <c r="V580" s="153" t="n"/>
      <c r="W580" s="153" t="n"/>
      <c r="X580" s="153" t="n"/>
      <c r="Y580" s="153" t="n"/>
    </row>
    <row r="581" ht="15.75" customHeight="1" s="154">
      <c r="O581" s="153" t="n"/>
      <c r="P581" s="153" t="n"/>
      <c r="Q581" s="153" t="n"/>
      <c r="R581" s="153" t="n"/>
      <c r="S581" s="153" t="n"/>
      <c r="T581" s="153" t="n"/>
      <c r="U581" s="153" t="n"/>
      <c r="V581" s="153" t="n"/>
      <c r="W581" s="153" t="n"/>
      <c r="X581" s="153" t="n"/>
      <c r="Y581" s="153" t="n"/>
    </row>
    <row r="582" ht="15.75" customHeight="1" s="154">
      <c r="O582" s="153" t="n"/>
      <c r="P582" s="153" t="n"/>
      <c r="Q582" s="153" t="n"/>
      <c r="R582" s="153" t="n"/>
      <c r="S582" s="153" t="n"/>
      <c r="T582" s="153" t="n"/>
      <c r="U582" s="153" t="n"/>
      <c r="V582" s="153" t="n"/>
      <c r="W582" s="153" t="n"/>
      <c r="X582" s="153" t="n"/>
      <c r="Y582" s="153" t="n"/>
    </row>
    <row r="583" ht="15.75" customHeight="1" s="154">
      <c r="O583" s="153" t="n"/>
      <c r="P583" s="153" t="n"/>
      <c r="Q583" s="153" t="n"/>
      <c r="R583" s="153" t="n"/>
      <c r="S583" s="153" t="n"/>
      <c r="T583" s="153" t="n"/>
      <c r="U583" s="153" t="n"/>
      <c r="V583" s="153" t="n"/>
      <c r="W583" s="153" t="n"/>
      <c r="X583" s="153" t="n"/>
      <c r="Y583" s="153" t="n"/>
    </row>
    <row r="584" ht="15.75" customHeight="1" s="154">
      <c r="O584" s="153" t="n"/>
      <c r="P584" s="153" t="n"/>
      <c r="Q584" s="153" t="n"/>
      <c r="R584" s="153" t="n"/>
      <c r="S584" s="153" t="n"/>
      <c r="T584" s="153" t="n"/>
      <c r="U584" s="153" t="n"/>
      <c r="V584" s="153" t="n"/>
      <c r="W584" s="153" t="n"/>
      <c r="X584" s="153" t="n"/>
      <c r="Y584" s="153" t="n"/>
    </row>
    <row r="585" ht="15.75" customHeight="1" s="154">
      <c r="O585" s="153" t="n"/>
      <c r="P585" s="153" t="n"/>
      <c r="Q585" s="153" t="n"/>
      <c r="R585" s="153" t="n"/>
      <c r="S585" s="153" t="n"/>
      <c r="T585" s="153" t="n"/>
      <c r="U585" s="153" t="n"/>
      <c r="V585" s="153" t="n"/>
      <c r="W585" s="153" t="n"/>
      <c r="X585" s="153" t="n"/>
      <c r="Y585" s="153" t="n"/>
    </row>
    <row r="586" ht="15.75" customHeight="1" s="154">
      <c r="O586" s="153" t="n"/>
      <c r="P586" s="153" t="n"/>
      <c r="Q586" s="153" t="n"/>
      <c r="R586" s="153" t="n"/>
      <c r="S586" s="153" t="n"/>
      <c r="T586" s="153" t="n"/>
      <c r="U586" s="153" t="n"/>
      <c r="V586" s="153" t="n"/>
      <c r="W586" s="153" t="n"/>
      <c r="X586" s="153" t="n"/>
      <c r="Y586" s="153" t="n"/>
    </row>
    <row r="587" ht="15.75" customHeight="1" s="154">
      <c r="O587" s="153" t="n"/>
      <c r="P587" s="153" t="n"/>
      <c r="Q587" s="153" t="n"/>
      <c r="R587" s="153" t="n"/>
      <c r="S587" s="153" t="n"/>
      <c r="T587" s="153" t="n"/>
      <c r="U587" s="153" t="n"/>
      <c r="V587" s="153" t="n"/>
      <c r="W587" s="153" t="n"/>
      <c r="X587" s="153" t="n"/>
      <c r="Y587" s="153" t="n"/>
    </row>
    <row r="588" ht="15.75" customHeight="1" s="154">
      <c r="O588" s="153" t="n"/>
      <c r="P588" s="153" t="n"/>
      <c r="Q588" s="153" t="n"/>
      <c r="R588" s="153" t="n"/>
      <c r="S588" s="153" t="n"/>
      <c r="T588" s="153" t="n"/>
      <c r="U588" s="153" t="n"/>
      <c r="V588" s="153" t="n"/>
      <c r="W588" s="153" t="n"/>
      <c r="X588" s="153" t="n"/>
      <c r="Y588" s="153" t="n"/>
    </row>
    <row r="589" ht="15.75" customHeight="1" s="154">
      <c r="O589" s="153" t="n"/>
      <c r="P589" s="153" t="n"/>
      <c r="Q589" s="153" t="n"/>
      <c r="R589" s="153" t="n"/>
      <c r="S589" s="153" t="n"/>
      <c r="T589" s="153" t="n"/>
      <c r="U589" s="153" t="n"/>
      <c r="V589" s="153" t="n"/>
      <c r="W589" s="153" t="n"/>
      <c r="X589" s="153" t="n"/>
      <c r="Y589" s="153" t="n"/>
    </row>
    <row r="590" ht="15.75" customHeight="1" s="154">
      <c r="O590" s="153" t="n"/>
      <c r="P590" s="153" t="n"/>
      <c r="Q590" s="153" t="n"/>
      <c r="R590" s="153" t="n"/>
      <c r="S590" s="153" t="n"/>
      <c r="T590" s="153" t="n"/>
      <c r="U590" s="153" t="n"/>
      <c r="V590" s="153" t="n"/>
      <c r="W590" s="153" t="n"/>
      <c r="X590" s="153" t="n"/>
      <c r="Y590" s="153" t="n"/>
    </row>
    <row r="591" ht="15.75" customHeight="1" s="154">
      <c r="O591" s="153" t="n"/>
      <c r="P591" s="153" t="n"/>
      <c r="Q591" s="153" t="n"/>
      <c r="R591" s="153" t="n"/>
      <c r="S591" s="153" t="n"/>
      <c r="T591" s="153" t="n"/>
      <c r="U591" s="153" t="n"/>
      <c r="V591" s="153" t="n"/>
      <c r="W591" s="153" t="n"/>
      <c r="X591" s="153" t="n"/>
      <c r="Y591" s="153" t="n"/>
    </row>
    <row r="592" ht="15.75" customHeight="1" s="154">
      <c r="O592" s="153" t="n"/>
      <c r="P592" s="153" t="n"/>
      <c r="Q592" s="153" t="n"/>
      <c r="R592" s="153" t="n"/>
      <c r="S592" s="153" t="n"/>
      <c r="T592" s="153" t="n"/>
      <c r="U592" s="153" t="n"/>
      <c r="V592" s="153" t="n"/>
      <c r="W592" s="153" t="n"/>
      <c r="X592" s="153" t="n"/>
      <c r="Y592" s="153" t="n"/>
    </row>
    <row r="593" ht="15.75" customHeight="1" s="154">
      <c r="O593" s="153" t="n"/>
      <c r="P593" s="153" t="n"/>
      <c r="Q593" s="153" t="n"/>
      <c r="R593" s="153" t="n"/>
      <c r="S593" s="153" t="n"/>
      <c r="T593" s="153" t="n"/>
      <c r="U593" s="153" t="n"/>
      <c r="V593" s="153" t="n"/>
      <c r="W593" s="153" t="n"/>
      <c r="X593" s="153" t="n"/>
      <c r="Y593" s="153" t="n"/>
    </row>
    <row r="594" ht="15.75" customHeight="1" s="154">
      <c r="O594" s="153" t="n"/>
      <c r="P594" s="153" t="n"/>
      <c r="Q594" s="153" t="n"/>
      <c r="R594" s="153" t="n"/>
      <c r="S594" s="153" t="n"/>
      <c r="T594" s="153" t="n"/>
      <c r="U594" s="153" t="n"/>
      <c r="V594" s="153" t="n"/>
      <c r="W594" s="153" t="n"/>
      <c r="X594" s="153" t="n"/>
      <c r="Y594" s="153" t="n"/>
    </row>
    <row r="595" ht="15.75" customHeight="1" s="154">
      <c r="O595" s="153" t="n"/>
      <c r="P595" s="153" t="n"/>
      <c r="Q595" s="153" t="n"/>
      <c r="R595" s="153" t="n"/>
      <c r="S595" s="153" t="n"/>
      <c r="T595" s="153" t="n"/>
      <c r="U595" s="153" t="n"/>
      <c r="V595" s="153" t="n"/>
      <c r="W595" s="153" t="n"/>
      <c r="X595" s="153" t="n"/>
      <c r="Y595" s="153" t="n"/>
    </row>
    <row r="596" ht="15.75" customHeight="1" s="154">
      <c r="O596" s="153" t="n"/>
      <c r="P596" s="153" t="n"/>
      <c r="Q596" s="153" t="n"/>
      <c r="R596" s="153" t="n"/>
      <c r="S596" s="153" t="n"/>
      <c r="T596" s="153" t="n"/>
      <c r="U596" s="153" t="n"/>
      <c r="V596" s="153" t="n"/>
      <c r="W596" s="153" t="n"/>
      <c r="X596" s="153" t="n"/>
      <c r="Y596" s="153" t="n"/>
    </row>
    <row r="597" ht="15.75" customHeight="1" s="154">
      <c r="O597" s="153" t="n"/>
      <c r="P597" s="153" t="n"/>
      <c r="Q597" s="153" t="n"/>
      <c r="R597" s="153" t="n"/>
      <c r="S597" s="153" t="n"/>
      <c r="T597" s="153" t="n"/>
      <c r="U597" s="153" t="n"/>
      <c r="V597" s="153" t="n"/>
      <c r="W597" s="153" t="n"/>
      <c r="X597" s="153" t="n"/>
      <c r="Y597" s="153" t="n"/>
    </row>
    <row r="598" ht="15.75" customHeight="1" s="154">
      <c r="O598" s="153" t="n"/>
      <c r="P598" s="153" t="n"/>
      <c r="Q598" s="153" t="n"/>
      <c r="R598" s="153" t="n"/>
      <c r="S598" s="153" t="n"/>
      <c r="T598" s="153" t="n"/>
      <c r="U598" s="153" t="n"/>
      <c r="V598" s="153" t="n"/>
      <c r="W598" s="153" t="n"/>
      <c r="X598" s="153" t="n"/>
      <c r="Y598" s="153" t="n"/>
    </row>
    <row r="599" ht="15.75" customHeight="1" s="154">
      <c r="O599" s="153" t="n"/>
      <c r="P599" s="153" t="n"/>
      <c r="Q599" s="153" t="n"/>
      <c r="R599" s="153" t="n"/>
      <c r="S599" s="153" t="n"/>
      <c r="T599" s="153" t="n"/>
      <c r="U599" s="153" t="n"/>
      <c r="V599" s="153" t="n"/>
      <c r="W599" s="153" t="n"/>
      <c r="X599" s="153" t="n"/>
      <c r="Y599" s="153" t="n"/>
    </row>
    <row r="600" ht="15.75" customHeight="1" s="154">
      <c r="O600" s="153" t="n"/>
      <c r="P600" s="153" t="n"/>
      <c r="Q600" s="153" t="n"/>
      <c r="R600" s="153" t="n"/>
      <c r="S600" s="153" t="n"/>
      <c r="T600" s="153" t="n"/>
      <c r="U600" s="153" t="n"/>
      <c r="V600" s="153" t="n"/>
      <c r="W600" s="153" t="n"/>
      <c r="X600" s="153" t="n"/>
      <c r="Y600" s="153" t="n"/>
    </row>
    <row r="601" ht="15.75" customHeight="1" s="154">
      <c r="O601" s="153" t="n"/>
      <c r="P601" s="153" t="n"/>
      <c r="Q601" s="153" t="n"/>
      <c r="R601" s="153" t="n"/>
      <c r="S601" s="153" t="n"/>
      <c r="T601" s="153" t="n"/>
      <c r="U601" s="153" t="n"/>
      <c r="V601" s="153" t="n"/>
      <c r="W601" s="153" t="n"/>
      <c r="X601" s="153" t="n"/>
      <c r="Y601" s="153" t="n"/>
    </row>
    <row r="602" ht="15.75" customHeight="1" s="154">
      <c r="O602" s="153" t="n"/>
      <c r="P602" s="153" t="n"/>
      <c r="Q602" s="153" t="n"/>
      <c r="R602" s="153" t="n"/>
      <c r="S602" s="153" t="n"/>
      <c r="T602" s="153" t="n"/>
      <c r="U602" s="153" t="n"/>
      <c r="V602" s="153" t="n"/>
      <c r="W602" s="153" t="n"/>
      <c r="X602" s="153" t="n"/>
      <c r="Y602" s="153" t="n"/>
    </row>
    <row r="603" ht="15.75" customHeight="1" s="154">
      <c r="O603" s="153" t="n"/>
      <c r="P603" s="153" t="n"/>
      <c r="Q603" s="153" t="n"/>
      <c r="R603" s="153" t="n"/>
      <c r="S603" s="153" t="n"/>
      <c r="T603" s="153" t="n"/>
      <c r="U603" s="153" t="n"/>
      <c r="V603" s="153" t="n"/>
      <c r="W603" s="153" t="n"/>
      <c r="X603" s="153" t="n"/>
      <c r="Y603" s="153" t="n"/>
    </row>
    <row r="604" ht="15.75" customHeight="1" s="154">
      <c r="O604" s="153" t="n"/>
      <c r="P604" s="153" t="n"/>
      <c r="Q604" s="153" t="n"/>
      <c r="R604" s="153" t="n"/>
      <c r="S604" s="153" t="n"/>
      <c r="T604" s="153" t="n"/>
      <c r="U604" s="153" t="n"/>
      <c r="V604" s="153" t="n"/>
      <c r="W604" s="153" t="n"/>
      <c r="X604" s="153" t="n"/>
      <c r="Y604" s="153" t="n"/>
    </row>
    <row r="605" ht="15.75" customHeight="1" s="154">
      <c r="O605" s="153" t="n"/>
      <c r="P605" s="153" t="n"/>
      <c r="Q605" s="153" t="n"/>
      <c r="R605" s="153" t="n"/>
      <c r="S605" s="153" t="n"/>
      <c r="T605" s="153" t="n"/>
      <c r="U605" s="153" t="n"/>
      <c r="V605" s="153" t="n"/>
      <c r="W605" s="153" t="n"/>
      <c r="X605" s="153" t="n"/>
      <c r="Y605" s="153" t="n"/>
    </row>
    <row r="606" ht="15.75" customHeight="1" s="154">
      <c r="O606" s="153" t="n"/>
      <c r="P606" s="153" t="n"/>
      <c r="Q606" s="153" t="n"/>
      <c r="R606" s="153" t="n"/>
      <c r="S606" s="153" t="n"/>
      <c r="T606" s="153" t="n"/>
      <c r="U606" s="153" t="n"/>
      <c r="V606" s="153" t="n"/>
      <c r="W606" s="153" t="n"/>
      <c r="X606" s="153" t="n"/>
      <c r="Y606" s="153" t="n"/>
    </row>
    <row r="607" ht="15.75" customHeight="1" s="154">
      <c r="O607" s="153" t="n"/>
      <c r="P607" s="153" t="n"/>
      <c r="Q607" s="153" t="n"/>
      <c r="R607" s="153" t="n"/>
      <c r="S607" s="153" t="n"/>
      <c r="T607" s="153" t="n"/>
      <c r="U607" s="153" t="n"/>
      <c r="V607" s="153" t="n"/>
      <c r="W607" s="153" t="n"/>
      <c r="X607" s="153" t="n"/>
      <c r="Y607" s="153" t="n"/>
    </row>
    <row r="608" ht="15.75" customHeight="1" s="154">
      <c r="O608" s="153" t="n"/>
      <c r="P608" s="153" t="n"/>
      <c r="Q608" s="153" t="n"/>
      <c r="R608" s="153" t="n"/>
      <c r="S608" s="153" t="n"/>
      <c r="T608" s="153" t="n"/>
      <c r="U608" s="153" t="n"/>
      <c r="V608" s="153" t="n"/>
      <c r="W608" s="153" t="n"/>
      <c r="X608" s="153" t="n"/>
      <c r="Y608" s="153" t="n"/>
    </row>
    <row r="609" ht="15.75" customHeight="1" s="154">
      <c r="O609" s="153" t="n"/>
      <c r="P609" s="153" t="n"/>
      <c r="Q609" s="153" t="n"/>
      <c r="R609" s="153" t="n"/>
      <c r="S609" s="153" t="n"/>
      <c r="T609" s="153" t="n"/>
      <c r="U609" s="153" t="n"/>
      <c r="V609" s="153" t="n"/>
      <c r="W609" s="153" t="n"/>
      <c r="X609" s="153" t="n"/>
      <c r="Y609" s="153" t="n"/>
    </row>
    <row r="610" ht="15.75" customHeight="1" s="154">
      <c r="O610" s="153" t="n"/>
      <c r="P610" s="153" t="n"/>
      <c r="Q610" s="153" t="n"/>
      <c r="R610" s="153" t="n"/>
      <c r="S610" s="153" t="n"/>
      <c r="T610" s="153" t="n"/>
      <c r="U610" s="153" t="n"/>
      <c r="V610" s="153" t="n"/>
      <c r="W610" s="153" t="n"/>
      <c r="X610" s="153" t="n"/>
      <c r="Y610" s="153" t="n"/>
    </row>
    <row r="611" ht="15.75" customHeight="1" s="154">
      <c r="O611" s="153" t="n"/>
      <c r="P611" s="153" t="n"/>
      <c r="Q611" s="153" t="n"/>
      <c r="R611" s="153" t="n"/>
      <c r="S611" s="153" t="n"/>
      <c r="T611" s="153" t="n"/>
      <c r="U611" s="153" t="n"/>
      <c r="V611" s="153" t="n"/>
      <c r="W611" s="153" t="n"/>
      <c r="X611" s="153" t="n"/>
      <c r="Y611" s="153" t="n"/>
    </row>
    <row r="612" ht="15.75" customHeight="1" s="154">
      <c r="O612" s="153" t="n"/>
      <c r="P612" s="153" t="n"/>
      <c r="Q612" s="153" t="n"/>
      <c r="R612" s="153" t="n"/>
      <c r="S612" s="153" t="n"/>
      <c r="T612" s="153" t="n"/>
      <c r="U612" s="153" t="n"/>
      <c r="V612" s="153" t="n"/>
      <c r="W612" s="153" t="n"/>
      <c r="X612" s="153" t="n"/>
      <c r="Y612" s="153" t="n"/>
    </row>
    <row r="613" ht="15.75" customHeight="1" s="154">
      <c r="O613" s="153" t="n"/>
      <c r="P613" s="153" t="n"/>
      <c r="Q613" s="153" t="n"/>
      <c r="R613" s="153" t="n"/>
      <c r="S613" s="153" t="n"/>
      <c r="T613" s="153" t="n"/>
      <c r="U613" s="153" t="n"/>
      <c r="V613" s="153" t="n"/>
      <c r="W613" s="153" t="n"/>
      <c r="X613" s="153" t="n"/>
      <c r="Y613" s="153" t="n"/>
    </row>
    <row r="614" ht="15.75" customHeight="1" s="154">
      <c r="O614" s="153" t="n"/>
      <c r="P614" s="153" t="n"/>
      <c r="Q614" s="153" t="n"/>
      <c r="R614" s="153" t="n"/>
      <c r="S614" s="153" t="n"/>
      <c r="T614" s="153" t="n"/>
      <c r="U614" s="153" t="n"/>
      <c r="V614" s="153" t="n"/>
      <c r="W614" s="153" t="n"/>
      <c r="X614" s="153" t="n"/>
      <c r="Y614" s="153" t="n"/>
    </row>
    <row r="615" ht="15.75" customHeight="1" s="154">
      <c r="O615" s="153" t="n"/>
      <c r="P615" s="153" t="n"/>
      <c r="Q615" s="153" t="n"/>
      <c r="R615" s="153" t="n"/>
      <c r="S615" s="153" t="n"/>
      <c r="T615" s="153" t="n"/>
      <c r="U615" s="153" t="n"/>
      <c r="V615" s="153" t="n"/>
      <c r="W615" s="153" t="n"/>
      <c r="X615" s="153" t="n"/>
      <c r="Y615" s="153" t="n"/>
    </row>
    <row r="616" ht="15.75" customHeight="1" s="154">
      <c r="O616" s="153" t="n"/>
      <c r="P616" s="153" t="n"/>
      <c r="Q616" s="153" t="n"/>
      <c r="R616" s="153" t="n"/>
      <c r="S616" s="153" t="n"/>
      <c r="T616" s="153" t="n"/>
      <c r="U616" s="153" t="n"/>
      <c r="V616" s="153" t="n"/>
      <c r="W616" s="153" t="n"/>
      <c r="X616" s="153" t="n"/>
      <c r="Y616" s="153" t="n"/>
    </row>
    <row r="617" ht="15.75" customHeight="1" s="154">
      <c r="O617" s="153" t="n"/>
      <c r="P617" s="153" t="n"/>
      <c r="Q617" s="153" t="n"/>
      <c r="R617" s="153" t="n"/>
      <c r="S617" s="153" t="n"/>
      <c r="T617" s="153" t="n"/>
      <c r="U617" s="153" t="n"/>
      <c r="V617" s="153" t="n"/>
      <c r="W617" s="153" t="n"/>
      <c r="X617" s="153" t="n"/>
      <c r="Y617" s="153" t="n"/>
    </row>
    <row r="618" ht="15.75" customHeight="1" s="154">
      <c r="O618" s="153" t="n"/>
      <c r="P618" s="153" t="n"/>
      <c r="Q618" s="153" t="n"/>
      <c r="R618" s="153" t="n"/>
      <c r="S618" s="153" t="n"/>
      <c r="T618" s="153" t="n"/>
      <c r="U618" s="153" t="n"/>
      <c r="V618" s="153" t="n"/>
      <c r="W618" s="153" t="n"/>
      <c r="X618" s="153" t="n"/>
      <c r="Y618" s="153" t="n"/>
    </row>
    <row r="619" ht="15.75" customHeight="1" s="154">
      <c r="O619" s="153" t="n"/>
      <c r="P619" s="153" t="n"/>
      <c r="Q619" s="153" t="n"/>
      <c r="R619" s="153" t="n"/>
      <c r="S619" s="153" t="n"/>
      <c r="T619" s="153" t="n"/>
      <c r="U619" s="153" t="n"/>
      <c r="V619" s="153" t="n"/>
      <c r="W619" s="153" t="n"/>
      <c r="X619" s="153" t="n"/>
      <c r="Y619" s="153" t="n"/>
    </row>
    <row r="620" ht="15.75" customHeight="1" s="154">
      <c r="O620" s="153" t="n"/>
      <c r="P620" s="153" t="n"/>
      <c r="Q620" s="153" t="n"/>
      <c r="R620" s="153" t="n"/>
      <c r="S620" s="153" t="n"/>
      <c r="T620" s="153" t="n"/>
      <c r="U620" s="153" t="n"/>
      <c r="V620" s="153" t="n"/>
      <c r="W620" s="153" t="n"/>
      <c r="X620" s="153" t="n"/>
      <c r="Y620" s="153" t="n"/>
    </row>
    <row r="621" ht="15.75" customHeight="1" s="154">
      <c r="O621" s="153" t="n"/>
      <c r="P621" s="153" t="n"/>
      <c r="Q621" s="153" t="n"/>
      <c r="R621" s="153" t="n"/>
      <c r="S621" s="153" t="n"/>
      <c r="T621" s="153" t="n"/>
      <c r="U621" s="153" t="n"/>
      <c r="V621" s="153" t="n"/>
      <c r="W621" s="153" t="n"/>
      <c r="X621" s="153" t="n"/>
      <c r="Y621" s="153" t="n"/>
    </row>
    <row r="622" ht="15.75" customHeight="1" s="154">
      <c r="O622" s="153" t="n"/>
      <c r="P622" s="153" t="n"/>
      <c r="Q622" s="153" t="n"/>
      <c r="R622" s="153" t="n"/>
      <c r="S622" s="153" t="n"/>
      <c r="T622" s="153" t="n"/>
      <c r="U622" s="153" t="n"/>
      <c r="V622" s="153" t="n"/>
      <c r="W622" s="153" t="n"/>
      <c r="X622" s="153" t="n"/>
      <c r="Y622" s="153" t="n"/>
    </row>
    <row r="623" ht="15.75" customHeight="1" s="154">
      <c r="O623" s="153" t="n"/>
      <c r="P623" s="153" t="n"/>
      <c r="Q623" s="153" t="n"/>
      <c r="R623" s="153" t="n"/>
      <c r="S623" s="153" t="n"/>
      <c r="T623" s="153" t="n"/>
      <c r="U623" s="153" t="n"/>
      <c r="V623" s="153" t="n"/>
      <c r="W623" s="153" t="n"/>
      <c r="X623" s="153" t="n"/>
      <c r="Y623" s="153" t="n"/>
    </row>
    <row r="624" ht="15.75" customHeight="1" s="154">
      <c r="O624" s="153" t="n"/>
      <c r="P624" s="153" t="n"/>
      <c r="Q624" s="153" t="n"/>
      <c r="R624" s="153" t="n"/>
      <c r="S624" s="153" t="n"/>
      <c r="T624" s="153" t="n"/>
      <c r="U624" s="153" t="n"/>
      <c r="V624" s="153" t="n"/>
      <c r="W624" s="153" t="n"/>
      <c r="X624" s="153" t="n"/>
      <c r="Y624" s="153" t="n"/>
    </row>
    <row r="625" ht="15.75" customHeight="1" s="154">
      <c r="O625" s="153" t="n"/>
      <c r="P625" s="153" t="n"/>
      <c r="Q625" s="153" t="n"/>
      <c r="R625" s="153" t="n"/>
      <c r="S625" s="153" t="n"/>
      <c r="T625" s="153" t="n"/>
      <c r="U625" s="153" t="n"/>
      <c r="V625" s="153" t="n"/>
      <c r="W625" s="153" t="n"/>
      <c r="X625" s="153" t="n"/>
      <c r="Y625" s="153" t="n"/>
    </row>
    <row r="626" ht="15.75" customHeight="1" s="154">
      <c r="O626" s="153" t="n"/>
      <c r="P626" s="153" t="n"/>
      <c r="Q626" s="153" t="n"/>
      <c r="R626" s="153" t="n"/>
      <c r="S626" s="153" t="n"/>
      <c r="T626" s="153" t="n"/>
      <c r="U626" s="153" t="n"/>
      <c r="V626" s="153" t="n"/>
      <c r="W626" s="153" t="n"/>
      <c r="X626" s="153" t="n"/>
      <c r="Y626" s="153" t="n"/>
    </row>
    <row r="627" ht="15.75" customHeight="1" s="154">
      <c r="O627" s="153" t="n"/>
      <c r="P627" s="153" t="n"/>
      <c r="Q627" s="153" t="n"/>
      <c r="R627" s="153" t="n"/>
      <c r="S627" s="153" t="n"/>
      <c r="T627" s="153" t="n"/>
      <c r="U627" s="153" t="n"/>
      <c r="V627" s="153" t="n"/>
      <c r="W627" s="153" t="n"/>
      <c r="X627" s="153" t="n"/>
      <c r="Y627" s="153" t="n"/>
    </row>
    <row r="628" ht="15.75" customHeight="1" s="154">
      <c r="O628" s="153" t="n"/>
      <c r="P628" s="153" t="n"/>
      <c r="Q628" s="153" t="n"/>
      <c r="R628" s="153" t="n"/>
      <c r="S628" s="153" t="n"/>
      <c r="T628" s="153" t="n"/>
      <c r="U628" s="153" t="n"/>
      <c r="V628" s="153" t="n"/>
      <c r="W628" s="153" t="n"/>
      <c r="X628" s="153" t="n"/>
      <c r="Y628" s="153" t="n"/>
    </row>
    <row r="629" ht="15.75" customHeight="1" s="154">
      <c r="O629" s="153" t="n"/>
      <c r="P629" s="153" t="n"/>
      <c r="Q629" s="153" t="n"/>
      <c r="R629" s="153" t="n"/>
      <c r="S629" s="153" t="n"/>
      <c r="T629" s="153" t="n"/>
      <c r="U629" s="153" t="n"/>
      <c r="V629" s="153" t="n"/>
      <c r="W629" s="153" t="n"/>
      <c r="X629" s="153" t="n"/>
      <c r="Y629" s="153" t="n"/>
    </row>
    <row r="630" ht="15.75" customHeight="1" s="154">
      <c r="O630" s="153" t="n"/>
      <c r="P630" s="153" t="n"/>
      <c r="Q630" s="153" t="n"/>
      <c r="R630" s="153" t="n"/>
      <c r="S630" s="153" t="n"/>
      <c r="T630" s="153" t="n"/>
      <c r="U630" s="153" t="n"/>
      <c r="V630" s="153" t="n"/>
      <c r="W630" s="153" t="n"/>
      <c r="X630" s="153" t="n"/>
      <c r="Y630" s="153" t="n"/>
    </row>
    <row r="631" ht="15.75" customHeight="1" s="154">
      <c r="O631" s="153" t="n"/>
      <c r="P631" s="153" t="n"/>
      <c r="Q631" s="153" t="n"/>
      <c r="R631" s="153" t="n"/>
      <c r="S631" s="153" t="n"/>
      <c r="T631" s="153" t="n"/>
      <c r="U631" s="153" t="n"/>
      <c r="V631" s="153" t="n"/>
      <c r="W631" s="153" t="n"/>
      <c r="X631" s="153" t="n"/>
      <c r="Y631" s="153" t="n"/>
    </row>
    <row r="632" ht="15.75" customHeight="1" s="154">
      <c r="O632" s="153" t="n"/>
      <c r="P632" s="153" t="n"/>
      <c r="Q632" s="153" t="n"/>
      <c r="R632" s="153" t="n"/>
      <c r="S632" s="153" t="n"/>
      <c r="T632" s="153" t="n"/>
      <c r="U632" s="153" t="n"/>
      <c r="V632" s="153" t="n"/>
      <c r="W632" s="153" t="n"/>
      <c r="X632" s="153" t="n"/>
      <c r="Y632" s="153" t="n"/>
    </row>
    <row r="633" ht="15.75" customHeight="1" s="154">
      <c r="O633" s="153" t="n"/>
      <c r="P633" s="153" t="n"/>
      <c r="Q633" s="153" t="n"/>
      <c r="R633" s="153" t="n"/>
      <c r="S633" s="153" t="n"/>
      <c r="T633" s="153" t="n"/>
      <c r="U633" s="153" t="n"/>
      <c r="V633" s="153" t="n"/>
      <c r="W633" s="153" t="n"/>
      <c r="X633" s="153" t="n"/>
      <c r="Y633" s="153" t="n"/>
    </row>
    <row r="634" ht="15.75" customHeight="1" s="154">
      <c r="O634" s="153" t="n"/>
      <c r="P634" s="153" t="n"/>
      <c r="Q634" s="153" t="n"/>
      <c r="R634" s="153" t="n"/>
      <c r="S634" s="153" t="n"/>
      <c r="T634" s="153" t="n"/>
      <c r="U634" s="153" t="n"/>
      <c r="V634" s="153" t="n"/>
      <c r="W634" s="153" t="n"/>
      <c r="X634" s="153" t="n"/>
      <c r="Y634" s="153" t="n"/>
    </row>
    <row r="635" ht="15.75" customHeight="1" s="154">
      <c r="O635" s="153" t="n"/>
      <c r="P635" s="153" t="n"/>
      <c r="Q635" s="153" t="n"/>
      <c r="R635" s="153" t="n"/>
      <c r="S635" s="153" t="n"/>
      <c r="T635" s="153" t="n"/>
      <c r="U635" s="153" t="n"/>
      <c r="V635" s="153" t="n"/>
      <c r="W635" s="153" t="n"/>
      <c r="X635" s="153" t="n"/>
      <c r="Y635" s="153" t="n"/>
    </row>
    <row r="636" ht="15.75" customHeight="1" s="154">
      <c r="O636" s="153" t="n"/>
      <c r="P636" s="153" t="n"/>
      <c r="Q636" s="153" t="n"/>
      <c r="R636" s="153" t="n"/>
      <c r="S636" s="153" t="n"/>
      <c r="T636" s="153" t="n"/>
      <c r="U636" s="153" t="n"/>
      <c r="V636" s="153" t="n"/>
      <c r="W636" s="153" t="n"/>
      <c r="X636" s="153" t="n"/>
      <c r="Y636" s="153" t="n"/>
    </row>
    <row r="637" ht="15.75" customHeight="1" s="154">
      <c r="O637" s="153" t="n"/>
      <c r="P637" s="153" t="n"/>
      <c r="Q637" s="153" t="n"/>
      <c r="R637" s="153" t="n"/>
      <c r="S637" s="153" t="n"/>
      <c r="T637" s="153" t="n"/>
      <c r="U637" s="153" t="n"/>
      <c r="V637" s="153" t="n"/>
      <c r="W637" s="153" t="n"/>
      <c r="X637" s="153" t="n"/>
      <c r="Y637" s="153" t="n"/>
    </row>
    <row r="638" ht="15.75" customHeight="1" s="154">
      <c r="O638" s="153" t="n"/>
      <c r="P638" s="153" t="n"/>
      <c r="Q638" s="153" t="n"/>
      <c r="R638" s="153" t="n"/>
      <c r="S638" s="153" t="n"/>
      <c r="T638" s="153" t="n"/>
      <c r="U638" s="153" t="n"/>
      <c r="V638" s="153" t="n"/>
      <c r="W638" s="153" t="n"/>
      <c r="X638" s="153" t="n"/>
      <c r="Y638" s="153" t="n"/>
    </row>
    <row r="639" ht="15.75" customHeight="1" s="154">
      <c r="O639" s="153" t="n"/>
      <c r="P639" s="153" t="n"/>
      <c r="Q639" s="153" t="n"/>
      <c r="R639" s="153" t="n"/>
      <c r="S639" s="153" t="n"/>
      <c r="T639" s="153" t="n"/>
      <c r="U639" s="153" t="n"/>
      <c r="V639" s="153" t="n"/>
      <c r="W639" s="153" t="n"/>
      <c r="X639" s="153" t="n"/>
      <c r="Y639" s="153" t="n"/>
    </row>
    <row r="640" ht="15.75" customHeight="1" s="154">
      <c r="O640" s="153" t="n"/>
      <c r="P640" s="153" t="n"/>
      <c r="Q640" s="153" t="n"/>
      <c r="R640" s="153" t="n"/>
      <c r="S640" s="153" t="n"/>
      <c r="T640" s="153" t="n"/>
      <c r="U640" s="153" t="n"/>
      <c r="V640" s="153" t="n"/>
      <c r="W640" s="153" t="n"/>
      <c r="X640" s="153" t="n"/>
      <c r="Y640" s="153" t="n"/>
    </row>
    <row r="641" ht="15.75" customHeight="1" s="154">
      <c r="O641" s="153" t="n"/>
      <c r="P641" s="153" t="n"/>
      <c r="Q641" s="153" t="n"/>
      <c r="R641" s="153" t="n"/>
      <c r="S641" s="153" t="n"/>
      <c r="T641" s="153" t="n"/>
      <c r="U641" s="153" t="n"/>
      <c r="V641" s="153" t="n"/>
      <c r="W641" s="153" t="n"/>
      <c r="X641" s="153" t="n"/>
      <c r="Y641" s="153" t="n"/>
    </row>
    <row r="642" ht="15.75" customHeight="1" s="154">
      <c r="O642" s="153" t="n"/>
      <c r="P642" s="153" t="n"/>
      <c r="Q642" s="153" t="n"/>
      <c r="R642" s="153" t="n"/>
      <c r="S642" s="153" t="n"/>
      <c r="T642" s="153" t="n"/>
      <c r="U642" s="153" t="n"/>
      <c r="V642" s="153" t="n"/>
      <c r="W642" s="153" t="n"/>
      <c r="X642" s="153" t="n"/>
      <c r="Y642" s="153" t="n"/>
    </row>
    <row r="643" ht="15.75" customHeight="1" s="154">
      <c r="O643" s="153" t="n"/>
      <c r="P643" s="153" t="n"/>
      <c r="Q643" s="153" t="n"/>
      <c r="R643" s="153" t="n"/>
      <c r="S643" s="153" t="n"/>
      <c r="T643" s="153" t="n"/>
      <c r="U643" s="153" t="n"/>
      <c r="V643" s="153" t="n"/>
      <c r="W643" s="153" t="n"/>
      <c r="X643" s="153" t="n"/>
      <c r="Y643" s="153" t="n"/>
    </row>
    <row r="644" ht="15.75" customHeight="1" s="154">
      <c r="O644" s="153" t="n"/>
      <c r="P644" s="153" t="n"/>
      <c r="Q644" s="153" t="n"/>
      <c r="R644" s="153" t="n"/>
      <c r="S644" s="153" t="n"/>
      <c r="T644" s="153" t="n"/>
      <c r="U644" s="153" t="n"/>
      <c r="V644" s="153" t="n"/>
      <c r="W644" s="153" t="n"/>
      <c r="X644" s="153" t="n"/>
      <c r="Y644" s="153" t="n"/>
    </row>
    <row r="645" ht="15.75" customHeight="1" s="154">
      <c r="O645" s="153" t="n"/>
      <c r="P645" s="153" t="n"/>
      <c r="Q645" s="153" t="n"/>
      <c r="R645" s="153" t="n"/>
      <c r="S645" s="153" t="n"/>
      <c r="T645" s="153" t="n"/>
      <c r="U645" s="153" t="n"/>
      <c r="V645" s="153" t="n"/>
      <c r="W645" s="153" t="n"/>
      <c r="X645" s="153" t="n"/>
      <c r="Y645" s="153" t="n"/>
    </row>
    <row r="646" ht="15.75" customHeight="1" s="154">
      <c r="O646" s="153" t="n"/>
      <c r="P646" s="153" t="n"/>
      <c r="Q646" s="153" t="n"/>
      <c r="R646" s="153" t="n"/>
      <c r="S646" s="153" t="n"/>
      <c r="T646" s="153" t="n"/>
      <c r="U646" s="153" t="n"/>
      <c r="V646" s="153" t="n"/>
      <c r="W646" s="153" t="n"/>
      <c r="X646" s="153" t="n"/>
      <c r="Y646" s="153" t="n"/>
    </row>
    <row r="647" ht="15.75" customHeight="1" s="154">
      <c r="O647" s="153" t="n"/>
      <c r="P647" s="153" t="n"/>
      <c r="Q647" s="153" t="n"/>
      <c r="R647" s="153" t="n"/>
      <c r="S647" s="153" t="n"/>
      <c r="T647" s="153" t="n"/>
      <c r="U647" s="153" t="n"/>
      <c r="V647" s="153" t="n"/>
      <c r="W647" s="153" t="n"/>
      <c r="X647" s="153" t="n"/>
      <c r="Y647" s="153" t="n"/>
    </row>
    <row r="648" ht="15.75" customHeight="1" s="154">
      <c r="O648" s="153" t="n"/>
      <c r="P648" s="153" t="n"/>
      <c r="Q648" s="153" t="n"/>
      <c r="R648" s="153" t="n"/>
      <c r="S648" s="153" t="n"/>
      <c r="T648" s="153" t="n"/>
      <c r="U648" s="153" t="n"/>
      <c r="V648" s="153" t="n"/>
      <c r="W648" s="153" t="n"/>
      <c r="X648" s="153" t="n"/>
      <c r="Y648" s="153" t="n"/>
    </row>
    <row r="649" ht="15.75" customHeight="1" s="154">
      <c r="O649" s="153" t="n"/>
      <c r="P649" s="153" t="n"/>
      <c r="Q649" s="153" t="n"/>
      <c r="R649" s="153" t="n"/>
      <c r="S649" s="153" t="n"/>
      <c r="T649" s="153" t="n"/>
      <c r="U649" s="153" t="n"/>
      <c r="V649" s="153" t="n"/>
      <c r="W649" s="153" t="n"/>
      <c r="X649" s="153" t="n"/>
      <c r="Y649" s="153" t="n"/>
    </row>
    <row r="650" ht="15.75" customHeight="1" s="154">
      <c r="O650" s="153" t="n"/>
      <c r="P650" s="153" t="n"/>
      <c r="Q650" s="153" t="n"/>
      <c r="R650" s="153" t="n"/>
      <c r="S650" s="153" t="n"/>
      <c r="T650" s="153" t="n"/>
      <c r="U650" s="153" t="n"/>
      <c r="V650" s="153" t="n"/>
      <c r="W650" s="153" t="n"/>
      <c r="X650" s="153" t="n"/>
      <c r="Y650" s="153" t="n"/>
    </row>
    <row r="651" ht="15.75" customHeight="1" s="154">
      <c r="O651" s="153" t="n"/>
      <c r="P651" s="153" t="n"/>
      <c r="Q651" s="153" t="n"/>
      <c r="R651" s="153" t="n"/>
      <c r="S651" s="153" t="n"/>
      <c r="T651" s="153" t="n"/>
      <c r="U651" s="153" t="n"/>
      <c r="V651" s="153" t="n"/>
      <c r="W651" s="153" t="n"/>
      <c r="X651" s="153" t="n"/>
      <c r="Y651" s="153" t="n"/>
    </row>
    <row r="652" ht="15.75" customHeight="1" s="154">
      <c r="O652" s="153" t="n"/>
      <c r="P652" s="153" t="n"/>
      <c r="Q652" s="153" t="n"/>
      <c r="R652" s="153" t="n"/>
      <c r="S652" s="153" t="n"/>
      <c r="T652" s="153" t="n"/>
      <c r="U652" s="153" t="n"/>
      <c r="V652" s="153" t="n"/>
      <c r="W652" s="153" t="n"/>
      <c r="X652" s="153" t="n"/>
      <c r="Y652" s="153" t="n"/>
    </row>
    <row r="653" ht="15.75" customHeight="1" s="154">
      <c r="O653" s="153" t="n"/>
      <c r="P653" s="153" t="n"/>
      <c r="Q653" s="153" t="n"/>
      <c r="R653" s="153" t="n"/>
      <c r="S653" s="153" t="n"/>
      <c r="T653" s="153" t="n"/>
      <c r="U653" s="153" t="n"/>
      <c r="V653" s="153" t="n"/>
      <c r="W653" s="153" t="n"/>
      <c r="X653" s="153" t="n"/>
      <c r="Y653" s="153" t="n"/>
    </row>
    <row r="654" ht="15.75" customHeight="1" s="154">
      <c r="O654" s="153" t="n"/>
      <c r="P654" s="153" t="n"/>
      <c r="Q654" s="153" t="n"/>
      <c r="R654" s="153" t="n"/>
      <c r="S654" s="153" t="n"/>
      <c r="T654" s="153" t="n"/>
      <c r="U654" s="153" t="n"/>
      <c r="V654" s="153" t="n"/>
      <c r="W654" s="153" t="n"/>
      <c r="X654" s="153" t="n"/>
      <c r="Y654" s="153" t="n"/>
    </row>
    <row r="655" ht="15.75" customHeight="1" s="154">
      <c r="O655" s="153" t="n"/>
      <c r="P655" s="153" t="n"/>
      <c r="Q655" s="153" t="n"/>
      <c r="R655" s="153" t="n"/>
      <c r="S655" s="153" t="n"/>
      <c r="T655" s="153" t="n"/>
      <c r="U655" s="153" t="n"/>
      <c r="V655" s="153" t="n"/>
      <c r="W655" s="153" t="n"/>
      <c r="X655" s="153" t="n"/>
      <c r="Y655" s="153" t="n"/>
    </row>
    <row r="656" ht="15.75" customHeight="1" s="154">
      <c r="O656" s="153" t="n"/>
      <c r="P656" s="153" t="n"/>
      <c r="Q656" s="153" t="n"/>
      <c r="R656" s="153" t="n"/>
      <c r="S656" s="153" t="n"/>
      <c r="T656" s="153" t="n"/>
      <c r="U656" s="153" t="n"/>
      <c r="V656" s="153" t="n"/>
      <c r="W656" s="153" t="n"/>
      <c r="X656" s="153" t="n"/>
      <c r="Y656" s="153" t="n"/>
    </row>
    <row r="657" ht="15.75" customHeight="1" s="154">
      <c r="O657" s="153" t="n"/>
      <c r="P657" s="153" t="n"/>
      <c r="Q657" s="153" t="n"/>
      <c r="R657" s="153" t="n"/>
      <c r="S657" s="153" t="n"/>
      <c r="T657" s="153" t="n"/>
      <c r="U657" s="153" t="n"/>
      <c r="V657" s="153" t="n"/>
      <c r="W657" s="153" t="n"/>
      <c r="X657" s="153" t="n"/>
      <c r="Y657" s="153" t="n"/>
    </row>
    <row r="658" ht="15.75" customHeight="1" s="154">
      <c r="O658" s="153" t="n"/>
      <c r="P658" s="153" t="n"/>
      <c r="Q658" s="153" t="n"/>
      <c r="R658" s="153" t="n"/>
      <c r="S658" s="153" t="n"/>
      <c r="T658" s="153" t="n"/>
      <c r="U658" s="153" t="n"/>
      <c r="V658" s="153" t="n"/>
      <c r="W658" s="153" t="n"/>
      <c r="X658" s="153" t="n"/>
      <c r="Y658" s="153" t="n"/>
    </row>
    <row r="659" ht="15.75" customHeight="1" s="154">
      <c r="O659" s="153" t="n"/>
      <c r="P659" s="153" t="n"/>
      <c r="Q659" s="153" t="n"/>
      <c r="R659" s="153" t="n"/>
      <c r="S659" s="153" t="n"/>
      <c r="T659" s="153" t="n"/>
      <c r="U659" s="153" t="n"/>
      <c r="V659" s="153" t="n"/>
      <c r="W659" s="153" t="n"/>
      <c r="X659" s="153" t="n"/>
      <c r="Y659" s="153" t="n"/>
    </row>
    <row r="660" ht="15.75" customHeight="1" s="154">
      <c r="O660" s="153" t="n"/>
      <c r="P660" s="153" t="n"/>
      <c r="Q660" s="153" t="n"/>
      <c r="R660" s="153" t="n"/>
      <c r="S660" s="153" t="n"/>
      <c r="T660" s="153" t="n"/>
      <c r="U660" s="153" t="n"/>
      <c r="V660" s="153" t="n"/>
      <c r="W660" s="153" t="n"/>
      <c r="X660" s="153" t="n"/>
      <c r="Y660" s="153" t="n"/>
    </row>
    <row r="661" ht="15.75" customHeight="1" s="154">
      <c r="O661" s="153" t="n"/>
      <c r="P661" s="153" t="n"/>
      <c r="Q661" s="153" t="n"/>
      <c r="R661" s="153" t="n"/>
      <c r="S661" s="153" t="n"/>
      <c r="T661" s="153" t="n"/>
      <c r="U661" s="153" t="n"/>
      <c r="V661" s="153" t="n"/>
      <c r="W661" s="153" t="n"/>
      <c r="X661" s="153" t="n"/>
      <c r="Y661" s="153" t="n"/>
    </row>
    <row r="662" ht="15.75" customHeight="1" s="154">
      <c r="O662" s="153" t="n"/>
      <c r="P662" s="153" t="n"/>
      <c r="Q662" s="153" t="n"/>
      <c r="R662" s="153" t="n"/>
      <c r="S662" s="153" t="n"/>
      <c r="T662" s="153" t="n"/>
      <c r="U662" s="153" t="n"/>
      <c r="V662" s="153" t="n"/>
      <c r="W662" s="153" t="n"/>
      <c r="X662" s="153" t="n"/>
      <c r="Y662" s="153" t="n"/>
    </row>
    <row r="663" ht="15.75" customHeight="1" s="154">
      <c r="O663" s="153" t="n"/>
      <c r="P663" s="153" t="n"/>
      <c r="Q663" s="153" t="n"/>
      <c r="R663" s="153" t="n"/>
      <c r="S663" s="153" t="n"/>
      <c r="T663" s="153" t="n"/>
      <c r="U663" s="153" t="n"/>
      <c r="V663" s="153" t="n"/>
      <c r="W663" s="153" t="n"/>
      <c r="X663" s="153" t="n"/>
      <c r="Y663" s="153" t="n"/>
    </row>
    <row r="664" ht="15.75" customHeight="1" s="154">
      <c r="O664" s="153" t="n"/>
      <c r="P664" s="153" t="n"/>
      <c r="Q664" s="153" t="n"/>
      <c r="R664" s="153" t="n"/>
      <c r="S664" s="153" t="n"/>
      <c r="T664" s="153" t="n"/>
      <c r="U664" s="153" t="n"/>
      <c r="V664" s="153" t="n"/>
      <c r="W664" s="153" t="n"/>
      <c r="X664" s="153" t="n"/>
      <c r="Y664" s="153" t="n"/>
    </row>
    <row r="665" ht="15.75" customHeight="1" s="154">
      <c r="O665" s="153" t="n"/>
      <c r="P665" s="153" t="n"/>
      <c r="Q665" s="153" t="n"/>
      <c r="R665" s="153" t="n"/>
      <c r="S665" s="153" t="n"/>
      <c r="T665" s="153" t="n"/>
      <c r="U665" s="153" t="n"/>
      <c r="V665" s="153" t="n"/>
      <c r="W665" s="153" t="n"/>
      <c r="X665" s="153" t="n"/>
      <c r="Y665" s="153" t="n"/>
    </row>
    <row r="666" ht="15.75" customHeight="1" s="154">
      <c r="O666" s="153" t="n"/>
      <c r="P666" s="153" t="n"/>
      <c r="Q666" s="153" t="n"/>
      <c r="R666" s="153" t="n"/>
      <c r="S666" s="153" t="n"/>
      <c r="T666" s="153" t="n"/>
      <c r="U666" s="153" t="n"/>
      <c r="V666" s="153" t="n"/>
      <c r="W666" s="153" t="n"/>
      <c r="X666" s="153" t="n"/>
      <c r="Y666" s="153" t="n"/>
    </row>
    <row r="667" ht="15.75" customHeight="1" s="154">
      <c r="O667" s="153" t="n"/>
      <c r="P667" s="153" t="n"/>
      <c r="Q667" s="153" t="n"/>
      <c r="R667" s="153" t="n"/>
      <c r="S667" s="153" t="n"/>
      <c r="T667" s="153" t="n"/>
      <c r="U667" s="153" t="n"/>
      <c r="V667" s="153" t="n"/>
      <c r="W667" s="153" t="n"/>
      <c r="X667" s="153" t="n"/>
      <c r="Y667" s="153" t="n"/>
    </row>
    <row r="668" ht="15.75" customHeight="1" s="154">
      <c r="O668" s="153" t="n"/>
      <c r="P668" s="153" t="n"/>
      <c r="Q668" s="153" t="n"/>
      <c r="R668" s="153" t="n"/>
      <c r="S668" s="153" t="n"/>
      <c r="T668" s="153" t="n"/>
      <c r="U668" s="153" t="n"/>
      <c r="V668" s="153" t="n"/>
      <c r="W668" s="153" t="n"/>
      <c r="X668" s="153" t="n"/>
      <c r="Y668" s="153" t="n"/>
    </row>
    <row r="669" ht="15.75" customHeight="1" s="154">
      <c r="O669" s="153" t="n"/>
      <c r="P669" s="153" t="n"/>
      <c r="Q669" s="153" t="n"/>
      <c r="R669" s="153" t="n"/>
      <c r="S669" s="153" t="n"/>
      <c r="T669" s="153" t="n"/>
      <c r="U669" s="153" t="n"/>
      <c r="V669" s="153" t="n"/>
      <c r="W669" s="153" t="n"/>
      <c r="X669" s="153" t="n"/>
      <c r="Y669" s="153" t="n"/>
    </row>
    <row r="670" ht="15.75" customHeight="1" s="154">
      <c r="O670" s="153" t="n"/>
      <c r="P670" s="153" t="n"/>
      <c r="Q670" s="153" t="n"/>
      <c r="R670" s="153" t="n"/>
      <c r="S670" s="153" t="n"/>
      <c r="T670" s="153" t="n"/>
      <c r="U670" s="153" t="n"/>
      <c r="V670" s="153" t="n"/>
      <c r="W670" s="153" t="n"/>
      <c r="X670" s="153" t="n"/>
      <c r="Y670" s="153" t="n"/>
    </row>
    <row r="671" ht="15.75" customHeight="1" s="154">
      <c r="O671" s="153" t="n"/>
      <c r="P671" s="153" t="n"/>
      <c r="Q671" s="153" t="n"/>
      <c r="R671" s="153" t="n"/>
      <c r="S671" s="153" t="n"/>
      <c r="T671" s="153" t="n"/>
      <c r="U671" s="153" t="n"/>
      <c r="V671" s="153" t="n"/>
      <c r="W671" s="153" t="n"/>
      <c r="X671" s="153" t="n"/>
      <c r="Y671" s="153" t="n"/>
    </row>
    <row r="672" ht="15.75" customHeight="1" s="154">
      <c r="O672" s="153" t="n"/>
      <c r="P672" s="153" t="n"/>
      <c r="Q672" s="153" t="n"/>
      <c r="R672" s="153" t="n"/>
      <c r="S672" s="153" t="n"/>
      <c r="T672" s="153" t="n"/>
      <c r="U672" s="153" t="n"/>
      <c r="V672" s="153" t="n"/>
      <c r="W672" s="153" t="n"/>
      <c r="X672" s="153" t="n"/>
      <c r="Y672" s="153" t="n"/>
    </row>
    <row r="673" ht="15.75" customHeight="1" s="154">
      <c r="O673" s="153" t="n"/>
      <c r="P673" s="153" t="n"/>
      <c r="Q673" s="153" t="n"/>
      <c r="R673" s="153" t="n"/>
      <c r="S673" s="153" t="n"/>
      <c r="T673" s="153" t="n"/>
      <c r="U673" s="153" t="n"/>
      <c r="V673" s="153" t="n"/>
      <c r="W673" s="153" t="n"/>
      <c r="X673" s="153" t="n"/>
      <c r="Y673" s="153" t="n"/>
    </row>
    <row r="674" ht="15.75" customHeight="1" s="154">
      <c r="O674" s="153" t="n"/>
      <c r="P674" s="153" t="n"/>
      <c r="Q674" s="153" t="n"/>
      <c r="R674" s="153" t="n"/>
      <c r="S674" s="153" t="n"/>
      <c r="T674" s="153" t="n"/>
      <c r="U674" s="153" t="n"/>
      <c r="V674" s="153" t="n"/>
      <c r="W674" s="153" t="n"/>
      <c r="X674" s="153" t="n"/>
      <c r="Y674" s="153" t="n"/>
    </row>
    <row r="675" ht="15.75" customHeight="1" s="154">
      <c r="O675" s="153" t="n"/>
      <c r="P675" s="153" t="n"/>
      <c r="Q675" s="153" t="n"/>
      <c r="R675" s="153" t="n"/>
      <c r="S675" s="153" t="n"/>
      <c r="T675" s="153" t="n"/>
      <c r="U675" s="153" t="n"/>
      <c r="V675" s="153" t="n"/>
      <c r="W675" s="153" t="n"/>
      <c r="X675" s="153" t="n"/>
      <c r="Y675" s="153" t="n"/>
    </row>
    <row r="676" ht="15.75" customHeight="1" s="154">
      <c r="O676" s="153" t="n"/>
      <c r="P676" s="153" t="n"/>
      <c r="Q676" s="153" t="n"/>
      <c r="R676" s="153" t="n"/>
      <c r="S676" s="153" t="n"/>
      <c r="T676" s="153" t="n"/>
      <c r="U676" s="153" t="n"/>
      <c r="V676" s="153" t="n"/>
      <c r="W676" s="153" t="n"/>
      <c r="X676" s="153" t="n"/>
      <c r="Y676" s="153" t="n"/>
    </row>
    <row r="677" ht="15.75" customHeight="1" s="154">
      <c r="O677" s="153" t="n"/>
      <c r="P677" s="153" t="n"/>
      <c r="Q677" s="153" t="n"/>
      <c r="R677" s="153" t="n"/>
      <c r="S677" s="153" t="n"/>
      <c r="T677" s="153" t="n"/>
      <c r="U677" s="153" t="n"/>
      <c r="V677" s="153" t="n"/>
      <c r="W677" s="153" t="n"/>
      <c r="X677" s="153" t="n"/>
      <c r="Y677" s="153" t="n"/>
    </row>
    <row r="678" ht="15.75" customHeight="1" s="154">
      <c r="O678" s="153" t="n"/>
      <c r="P678" s="153" t="n"/>
      <c r="Q678" s="153" t="n"/>
      <c r="R678" s="153" t="n"/>
      <c r="S678" s="153" t="n"/>
      <c r="T678" s="153" t="n"/>
      <c r="U678" s="153" t="n"/>
      <c r="V678" s="153" t="n"/>
      <c r="W678" s="153" t="n"/>
      <c r="X678" s="153" t="n"/>
      <c r="Y678" s="153" t="n"/>
    </row>
    <row r="679" ht="15.75" customHeight="1" s="154">
      <c r="O679" s="153" t="n"/>
      <c r="P679" s="153" t="n"/>
      <c r="Q679" s="153" t="n"/>
      <c r="R679" s="153" t="n"/>
      <c r="S679" s="153" t="n"/>
      <c r="T679" s="153" t="n"/>
      <c r="U679" s="153" t="n"/>
      <c r="V679" s="153" t="n"/>
      <c r="W679" s="153" t="n"/>
      <c r="X679" s="153" t="n"/>
      <c r="Y679" s="153" t="n"/>
    </row>
    <row r="680" ht="15.75" customHeight="1" s="154">
      <c r="O680" s="153" t="n"/>
      <c r="P680" s="153" t="n"/>
      <c r="Q680" s="153" t="n"/>
      <c r="R680" s="153" t="n"/>
      <c r="S680" s="153" t="n"/>
      <c r="T680" s="153" t="n"/>
      <c r="U680" s="153" t="n"/>
      <c r="V680" s="153" t="n"/>
      <c r="W680" s="153" t="n"/>
      <c r="X680" s="153" t="n"/>
      <c r="Y680" s="153" t="n"/>
    </row>
    <row r="681" ht="15.75" customHeight="1" s="154">
      <c r="O681" s="153" t="n"/>
      <c r="P681" s="153" t="n"/>
      <c r="Q681" s="153" t="n"/>
      <c r="R681" s="153" t="n"/>
      <c r="S681" s="153" t="n"/>
      <c r="T681" s="153" t="n"/>
      <c r="U681" s="153" t="n"/>
      <c r="V681" s="153" t="n"/>
      <c r="W681" s="153" t="n"/>
      <c r="X681" s="153" t="n"/>
      <c r="Y681" s="153" t="n"/>
    </row>
    <row r="682" ht="15.75" customHeight="1" s="154">
      <c r="O682" s="153" t="n"/>
      <c r="P682" s="153" t="n"/>
      <c r="Q682" s="153" t="n"/>
      <c r="R682" s="153" t="n"/>
      <c r="S682" s="153" t="n"/>
      <c r="T682" s="153" t="n"/>
      <c r="U682" s="153" t="n"/>
      <c r="V682" s="153" t="n"/>
      <c r="W682" s="153" t="n"/>
      <c r="X682" s="153" t="n"/>
      <c r="Y682" s="153" t="n"/>
    </row>
    <row r="683" ht="15.75" customHeight="1" s="154">
      <c r="O683" s="153" t="n"/>
      <c r="P683" s="153" t="n"/>
      <c r="Q683" s="153" t="n"/>
      <c r="R683" s="153" t="n"/>
      <c r="S683" s="153" t="n"/>
      <c r="T683" s="153" t="n"/>
      <c r="U683" s="153" t="n"/>
      <c r="V683" s="153" t="n"/>
      <c r="W683" s="153" t="n"/>
      <c r="X683" s="153" t="n"/>
      <c r="Y683" s="153" t="n"/>
    </row>
    <row r="684" ht="15.75" customHeight="1" s="154">
      <c r="O684" s="153" t="n"/>
      <c r="P684" s="153" t="n"/>
      <c r="Q684" s="153" t="n"/>
      <c r="R684" s="153" t="n"/>
      <c r="S684" s="153" t="n"/>
      <c r="T684" s="153" t="n"/>
      <c r="U684" s="153" t="n"/>
      <c r="V684" s="153" t="n"/>
      <c r="W684" s="153" t="n"/>
      <c r="X684" s="153" t="n"/>
      <c r="Y684" s="153" t="n"/>
    </row>
    <row r="685" ht="15.75" customHeight="1" s="154">
      <c r="O685" s="153" t="n"/>
      <c r="P685" s="153" t="n"/>
      <c r="Q685" s="153" t="n"/>
      <c r="R685" s="153" t="n"/>
      <c r="S685" s="153" t="n"/>
      <c r="T685" s="153" t="n"/>
      <c r="U685" s="153" t="n"/>
      <c r="V685" s="153" t="n"/>
      <c r="W685" s="153" t="n"/>
      <c r="X685" s="153" t="n"/>
      <c r="Y685" s="153" t="n"/>
    </row>
    <row r="686" ht="15.75" customHeight="1" s="154">
      <c r="O686" s="153" t="n"/>
      <c r="P686" s="153" t="n"/>
      <c r="Q686" s="153" t="n"/>
      <c r="R686" s="153" t="n"/>
      <c r="S686" s="153" t="n"/>
      <c r="T686" s="153" t="n"/>
      <c r="U686" s="153" t="n"/>
      <c r="V686" s="153" t="n"/>
      <c r="W686" s="153" t="n"/>
      <c r="X686" s="153" t="n"/>
      <c r="Y686" s="153" t="n"/>
    </row>
    <row r="687" ht="15.75" customHeight="1" s="154">
      <c r="O687" s="153" t="n"/>
      <c r="P687" s="153" t="n"/>
      <c r="Q687" s="153" t="n"/>
      <c r="R687" s="153" t="n"/>
      <c r="S687" s="153" t="n"/>
      <c r="T687" s="153" t="n"/>
      <c r="U687" s="153" t="n"/>
      <c r="V687" s="153" t="n"/>
      <c r="W687" s="153" t="n"/>
      <c r="X687" s="153" t="n"/>
      <c r="Y687" s="153" t="n"/>
    </row>
    <row r="688" ht="15.75" customHeight="1" s="154">
      <c r="O688" s="153" t="n"/>
      <c r="P688" s="153" t="n"/>
      <c r="Q688" s="153" t="n"/>
      <c r="R688" s="153" t="n"/>
      <c r="S688" s="153" t="n"/>
      <c r="T688" s="153" t="n"/>
      <c r="U688" s="153" t="n"/>
      <c r="V688" s="153" t="n"/>
      <c r="W688" s="153" t="n"/>
      <c r="X688" s="153" t="n"/>
      <c r="Y688" s="153" t="n"/>
    </row>
    <row r="689" ht="15.75" customHeight="1" s="154">
      <c r="O689" s="153" t="n"/>
      <c r="P689" s="153" t="n"/>
      <c r="Q689" s="153" t="n"/>
      <c r="R689" s="153" t="n"/>
      <c r="S689" s="153" t="n"/>
      <c r="T689" s="153" t="n"/>
      <c r="U689" s="153" t="n"/>
      <c r="V689" s="153" t="n"/>
      <c r="W689" s="153" t="n"/>
      <c r="X689" s="153" t="n"/>
      <c r="Y689" s="153" t="n"/>
    </row>
    <row r="690" ht="15.75" customHeight="1" s="154">
      <c r="O690" s="153" t="n"/>
      <c r="P690" s="153" t="n"/>
      <c r="Q690" s="153" t="n"/>
      <c r="R690" s="153" t="n"/>
      <c r="S690" s="153" t="n"/>
      <c r="T690" s="153" t="n"/>
      <c r="U690" s="153" t="n"/>
      <c r="V690" s="153" t="n"/>
      <c r="W690" s="153" t="n"/>
      <c r="X690" s="153" t="n"/>
      <c r="Y690" s="153" t="n"/>
    </row>
    <row r="691" ht="15.75" customHeight="1" s="154">
      <c r="O691" s="153" t="n"/>
      <c r="P691" s="153" t="n"/>
      <c r="Q691" s="153" t="n"/>
      <c r="R691" s="153" t="n"/>
      <c r="S691" s="153" t="n"/>
      <c r="T691" s="153" t="n"/>
      <c r="U691" s="153" t="n"/>
      <c r="V691" s="153" t="n"/>
      <c r="W691" s="153" t="n"/>
      <c r="X691" s="153" t="n"/>
      <c r="Y691" s="153" t="n"/>
    </row>
    <row r="692" ht="15.75" customHeight="1" s="154">
      <c r="O692" s="153" t="n"/>
      <c r="P692" s="153" t="n"/>
      <c r="Q692" s="153" t="n"/>
      <c r="R692" s="153" t="n"/>
      <c r="S692" s="153" t="n"/>
      <c r="T692" s="153" t="n"/>
      <c r="U692" s="153" t="n"/>
      <c r="V692" s="153" t="n"/>
      <c r="W692" s="153" t="n"/>
      <c r="X692" s="153" t="n"/>
      <c r="Y692" s="153" t="n"/>
    </row>
    <row r="693" ht="15.75" customHeight="1" s="154">
      <c r="O693" s="153" t="n"/>
      <c r="P693" s="153" t="n"/>
      <c r="Q693" s="153" t="n"/>
      <c r="R693" s="153" t="n"/>
      <c r="S693" s="153" t="n"/>
      <c r="T693" s="153" t="n"/>
      <c r="U693" s="153" t="n"/>
      <c r="V693" s="153" t="n"/>
      <c r="W693" s="153" t="n"/>
      <c r="X693" s="153" t="n"/>
      <c r="Y693" s="153" t="n"/>
    </row>
    <row r="694" ht="15.75" customHeight="1" s="154">
      <c r="O694" s="153" t="n"/>
      <c r="P694" s="153" t="n"/>
      <c r="Q694" s="153" t="n"/>
      <c r="R694" s="153" t="n"/>
      <c r="S694" s="153" t="n"/>
      <c r="T694" s="153" t="n"/>
      <c r="U694" s="153" t="n"/>
      <c r="V694" s="153" t="n"/>
      <c r="W694" s="153" t="n"/>
      <c r="X694" s="153" t="n"/>
      <c r="Y694" s="153" t="n"/>
    </row>
    <row r="695" ht="15.75" customHeight="1" s="154">
      <c r="O695" s="153" t="n"/>
      <c r="P695" s="153" t="n"/>
      <c r="Q695" s="153" t="n"/>
      <c r="R695" s="153" t="n"/>
      <c r="S695" s="153" t="n"/>
      <c r="T695" s="153" t="n"/>
      <c r="U695" s="153" t="n"/>
      <c r="V695" s="153" t="n"/>
      <c r="W695" s="153" t="n"/>
      <c r="X695" s="153" t="n"/>
      <c r="Y695" s="153" t="n"/>
    </row>
    <row r="696" ht="15.75" customHeight="1" s="154">
      <c r="O696" s="153" t="n"/>
      <c r="P696" s="153" t="n"/>
      <c r="Q696" s="153" t="n"/>
      <c r="R696" s="153" t="n"/>
      <c r="S696" s="153" t="n"/>
      <c r="T696" s="153" t="n"/>
      <c r="U696" s="153" t="n"/>
      <c r="V696" s="153" t="n"/>
      <c r="W696" s="153" t="n"/>
      <c r="X696" s="153" t="n"/>
      <c r="Y696" s="153" t="n"/>
    </row>
    <row r="697" ht="15.75" customHeight="1" s="154">
      <c r="O697" s="153" t="n"/>
      <c r="P697" s="153" t="n"/>
      <c r="Q697" s="153" t="n"/>
      <c r="R697" s="153" t="n"/>
      <c r="S697" s="153" t="n"/>
      <c r="T697" s="153" t="n"/>
      <c r="U697" s="153" t="n"/>
      <c r="V697" s="153" t="n"/>
      <c r="W697" s="153" t="n"/>
      <c r="X697" s="153" t="n"/>
      <c r="Y697" s="153" t="n"/>
    </row>
    <row r="698" ht="15.75" customHeight="1" s="154">
      <c r="O698" s="153" t="n"/>
      <c r="P698" s="153" t="n"/>
      <c r="Q698" s="153" t="n"/>
      <c r="R698" s="153" t="n"/>
      <c r="S698" s="153" t="n"/>
      <c r="T698" s="153" t="n"/>
      <c r="U698" s="153" t="n"/>
      <c r="V698" s="153" t="n"/>
      <c r="W698" s="153" t="n"/>
      <c r="X698" s="153" t="n"/>
      <c r="Y698" s="153" t="n"/>
    </row>
    <row r="699" ht="15.75" customHeight="1" s="154">
      <c r="O699" s="153" t="n"/>
      <c r="P699" s="153" t="n"/>
      <c r="Q699" s="153" t="n"/>
      <c r="R699" s="153" t="n"/>
      <c r="S699" s="153" t="n"/>
      <c r="T699" s="153" t="n"/>
      <c r="U699" s="153" t="n"/>
      <c r="V699" s="153" t="n"/>
      <c r="W699" s="153" t="n"/>
      <c r="X699" s="153" t="n"/>
      <c r="Y699" s="153" t="n"/>
    </row>
    <row r="700" ht="15.75" customHeight="1" s="154">
      <c r="O700" s="153" t="n"/>
      <c r="P700" s="153" t="n"/>
      <c r="Q700" s="153" t="n"/>
      <c r="R700" s="153" t="n"/>
      <c r="S700" s="153" t="n"/>
      <c r="T700" s="153" t="n"/>
      <c r="U700" s="153" t="n"/>
      <c r="V700" s="153" t="n"/>
      <c r="W700" s="153" t="n"/>
      <c r="X700" s="153" t="n"/>
      <c r="Y700" s="153" t="n"/>
    </row>
    <row r="701" ht="15.75" customHeight="1" s="154">
      <c r="O701" s="153" t="n"/>
      <c r="P701" s="153" t="n"/>
      <c r="Q701" s="153" t="n"/>
      <c r="R701" s="153" t="n"/>
      <c r="S701" s="153" t="n"/>
      <c r="T701" s="153" t="n"/>
      <c r="U701" s="153" t="n"/>
      <c r="V701" s="153" t="n"/>
      <c r="W701" s="153" t="n"/>
      <c r="X701" s="153" t="n"/>
      <c r="Y701" s="153" t="n"/>
    </row>
    <row r="702" ht="15.75" customHeight="1" s="154">
      <c r="O702" s="153" t="n"/>
      <c r="P702" s="153" t="n"/>
      <c r="Q702" s="153" t="n"/>
      <c r="R702" s="153" t="n"/>
      <c r="S702" s="153" t="n"/>
      <c r="T702" s="153" t="n"/>
      <c r="U702" s="153" t="n"/>
      <c r="V702" s="153" t="n"/>
      <c r="W702" s="153" t="n"/>
      <c r="X702" s="153" t="n"/>
      <c r="Y702" s="153" t="n"/>
    </row>
    <row r="703" ht="15.75" customHeight="1" s="154">
      <c r="O703" s="153" t="n"/>
      <c r="P703" s="153" t="n"/>
      <c r="Q703" s="153" t="n"/>
      <c r="R703" s="153" t="n"/>
      <c r="S703" s="153" t="n"/>
      <c r="T703" s="153" t="n"/>
      <c r="U703" s="153" t="n"/>
      <c r="V703" s="153" t="n"/>
      <c r="W703" s="153" t="n"/>
      <c r="X703" s="153" t="n"/>
      <c r="Y703" s="153" t="n"/>
    </row>
    <row r="704" ht="15.75" customHeight="1" s="154">
      <c r="O704" s="153" t="n"/>
      <c r="P704" s="153" t="n"/>
      <c r="Q704" s="153" t="n"/>
      <c r="R704" s="153" t="n"/>
      <c r="S704" s="153" t="n"/>
      <c r="T704" s="153" t="n"/>
      <c r="U704" s="153" t="n"/>
      <c r="V704" s="153" t="n"/>
      <c r="W704" s="153" t="n"/>
      <c r="X704" s="153" t="n"/>
      <c r="Y704" s="153" t="n"/>
    </row>
    <row r="705" ht="15.75" customHeight="1" s="154">
      <c r="O705" s="153" t="n"/>
      <c r="P705" s="153" t="n"/>
      <c r="Q705" s="153" t="n"/>
      <c r="R705" s="153" t="n"/>
      <c r="S705" s="153" t="n"/>
      <c r="T705" s="153" t="n"/>
      <c r="U705" s="153" t="n"/>
      <c r="V705" s="153" t="n"/>
      <c r="W705" s="153" t="n"/>
      <c r="X705" s="153" t="n"/>
      <c r="Y705" s="153" t="n"/>
    </row>
    <row r="706" ht="15.75" customHeight="1" s="154">
      <c r="O706" s="153" t="n"/>
      <c r="P706" s="153" t="n"/>
      <c r="Q706" s="153" t="n"/>
      <c r="R706" s="153" t="n"/>
      <c r="S706" s="153" t="n"/>
      <c r="T706" s="153" t="n"/>
      <c r="U706" s="153" t="n"/>
      <c r="V706" s="153" t="n"/>
      <c r="W706" s="153" t="n"/>
      <c r="X706" s="153" t="n"/>
      <c r="Y706" s="153" t="n"/>
    </row>
    <row r="707" ht="15.75" customHeight="1" s="154">
      <c r="O707" s="153" t="n"/>
      <c r="P707" s="153" t="n"/>
      <c r="Q707" s="153" t="n"/>
      <c r="R707" s="153" t="n"/>
      <c r="S707" s="153" t="n"/>
      <c r="T707" s="153" t="n"/>
      <c r="U707" s="153" t="n"/>
      <c r="V707" s="153" t="n"/>
      <c r="W707" s="153" t="n"/>
      <c r="X707" s="153" t="n"/>
      <c r="Y707" s="153" t="n"/>
    </row>
    <row r="708" ht="15.75" customHeight="1" s="154">
      <c r="O708" s="153" t="n"/>
      <c r="P708" s="153" t="n"/>
      <c r="Q708" s="153" t="n"/>
      <c r="R708" s="153" t="n"/>
      <c r="S708" s="153" t="n"/>
      <c r="T708" s="153" t="n"/>
      <c r="U708" s="153" t="n"/>
      <c r="V708" s="153" t="n"/>
      <c r="W708" s="153" t="n"/>
      <c r="X708" s="153" t="n"/>
      <c r="Y708" s="153" t="n"/>
    </row>
    <row r="709" ht="15.75" customHeight="1" s="154">
      <c r="O709" s="153" t="n"/>
      <c r="P709" s="153" t="n"/>
      <c r="Q709" s="153" t="n"/>
      <c r="R709" s="153" t="n"/>
      <c r="S709" s="153" t="n"/>
      <c r="T709" s="153" t="n"/>
      <c r="U709" s="153" t="n"/>
      <c r="V709" s="153" t="n"/>
      <c r="W709" s="153" t="n"/>
      <c r="X709" s="153" t="n"/>
      <c r="Y709" s="153" t="n"/>
    </row>
    <row r="710" ht="15.75" customHeight="1" s="154">
      <c r="O710" s="153" t="n"/>
      <c r="P710" s="153" t="n"/>
      <c r="Q710" s="153" t="n"/>
      <c r="R710" s="153" t="n"/>
      <c r="S710" s="153" t="n"/>
      <c r="T710" s="153" t="n"/>
      <c r="U710" s="153" t="n"/>
      <c r="V710" s="153" t="n"/>
      <c r="W710" s="153" t="n"/>
      <c r="X710" s="153" t="n"/>
      <c r="Y710" s="153" t="n"/>
    </row>
    <row r="711" ht="15.75" customHeight="1" s="154">
      <c r="O711" s="153" t="n"/>
      <c r="P711" s="153" t="n"/>
      <c r="Q711" s="153" t="n"/>
      <c r="R711" s="153" t="n"/>
      <c r="S711" s="153" t="n"/>
      <c r="T711" s="153" t="n"/>
      <c r="U711" s="153" t="n"/>
      <c r="V711" s="153" t="n"/>
      <c r="W711" s="153" t="n"/>
      <c r="X711" s="153" t="n"/>
      <c r="Y711" s="153" t="n"/>
    </row>
    <row r="712" ht="15.75" customHeight="1" s="154">
      <c r="O712" s="153" t="n"/>
      <c r="P712" s="153" t="n"/>
      <c r="Q712" s="153" t="n"/>
      <c r="R712" s="153" t="n"/>
      <c r="S712" s="153" t="n"/>
      <c r="T712" s="153" t="n"/>
      <c r="U712" s="153" t="n"/>
      <c r="V712" s="153" t="n"/>
      <c r="W712" s="153" t="n"/>
      <c r="X712" s="153" t="n"/>
      <c r="Y712" s="153" t="n"/>
    </row>
    <row r="713" ht="15.75" customHeight="1" s="154">
      <c r="O713" s="153" t="n"/>
      <c r="P713" s="153" t="n"/>
      <c r="Q713" s="153" t="n"/>
      <c r="R713" s="153" t="n"/>
      <c r="S713" s="153" t="n"/>
      <c r="T713" s="153" t="n"/>
      <c r="U713" s="153" t="n"/>
      <c r="V713" s="153" t="n"/>
      <c r="W713" s="153" t="n"/>
      <c r="X713" s="153" t="n"/>
      <c r="Y713" s="153" t="n"/>
    </row>
    <row r="714" ht="15.75" customHeight="1" s="154">
      <c r="O714" s="153" t="n"/>
      <c r="P714" s="153" t="n"/>
      <c r="Q714" s="153" t="n"/>
      <c r="R714" s="153" t="n"/>
      <c r="S714" s="153" t="n"/>
      <c r="T714" s="153" t="n"/>
      <c r="U714" s="153" t="n"/>
      <c r="V714" s="153" t="n"/>
      <c r="W714" s="153" t="n"/>
      <c r="X714" s="153" t="n"/>
      <c r="Y714" s="153" t="n"/>
    </row>
    <row r="715" ht="15.75" customHeight="1" s="154">
      <c r="O715" s="153" t="n"/>
      <c r="P715" s="153" t="n"/>
      <c r="Q715" s="153" t="n"/>
      <c r="R715" s="153" t="n"/>
      <c r="S715" s="153" t="n"/>
      <c r="T715" s="153" t="n"/>
      <c r="U715" s="153" t="n"/>
      <c r="V715" s="153" t="n"/>
      <c r="W715" s="153" t="n"/>
      <c r="X715" s="153" t="n"/>
      <c r="Y715" s="153" t="n"/>
    </row>
    <row r="716" ht="15.75" customHeight="1" s="154">
      <c r="O716" s="153" t="n"/>
      <c r="P716" s="153" t="n"/>
      <c r="Q716" s="153" t="n"/>
      <c r="R716" s="153" t="n"/>
      <c r="S716" s="153" t="n"/>
      <c r="T716" s="153" t="n"/>
      <c r="U716" s="153" t="n"/>
      <c r="V716" s="153" t="n"/>
      <c r="W716" s="153" t="n"/>
      <c r="X716" s="153" t="n"/>
      <c r="Y716" s="153" t="n"/>
    </row>
    <row r="717" ht="15.75" customHeight="1" s="154">
      <c r="O717" s="153" t="n"/>
      <c r="P717" s="153" t="n"/>
      <c r="Q717" s="153" t="n"/>
      <c r="R717" s="153" t="n"/>
      <c r="S717" s="153" t="n"/>
      <c r="T717" s="153" t="n"/>
      <c r="U717" s="153" t="n"/>
      <c r="V717" s="153" t="n"/>
      <c r="W717" s="153" t="n"/>
      <c r="X717" s="153" t="n"/>
      <c r="Y717" s="153" t="n"/>
    </row>
    <row r="718" ht="15.75" customHeight="1" s="154">
      <c r="O718" s="153" t="n"/>
      <c r="P718" s="153" t="n"/>
      <c r="Q718" s="153" t="n"/>
      <c r="R718" s="153" t="n"/>
      <c r="S718" s="153" t="n"/>
      <c r="T718" s="153" t="n"/>
      <c r="U718" s="153" t="n"/>
      <c r="V718" s="153" t="n"/>
      <c r="W718" s="153" t="n"/>
      <c r="X718" s="153" t="n"/>
      <c r="Y718" s="153" t="n"/>
    </row>
    <row r="719" ht="15.75" customHeight="1" s="154">
      <c r="O719" s="153" t="n"/>
      <c r="P719" s="153" t="n"/>
      <c r="Q719" s="153" t="n"/>
      <c r="R719" s="153" t="n"/>
      <c r="S719" s="153" t="n"/>
      <c r="T719" s="153" t="n"/>
      <c r="U719" s="153" t="n"/>
      <c r="V719" s="153" t="n"/>
      <c r="W719" s="153" t="n"/>
      <c r="X719" s="153" t="n"/>
      <c r="Y719" s="153" t="n"/>
    </row>
    <row r="720" ht="15.75" customHeight="1" s="154">
      <c r="O720" s="153" t="n"/>
      <c r="P720" s="153" t="n"/>
      <c r="Q720" s="153" t="n"/>
      <c r="R720" s="153" t="n"/>
      <c r="S720" s="153" t="n"/>
      <c r="T720" s="153" t="n"/>
      <c r="U720" s="153" t="n"/>
      <c r="V720" s="153" t="n"/>
      <c r="W720" s="153" t="n"/>
      <c r="X720" s="153" t="n"/>
      <c r="Y720" s="153" t="n"/>
    </row>
    <row r="721" ht="15.75" customHeight="1" s="154">
      <c r="O721" s="153" t="n"/>
      <c r="P721" s="153" t="n"/>
      <c r="Q721" s="153" t="n"/>
      <c r="R721" s="153" t="n"/>
      <c r="S721" s="153" t="n"/>
      <c r="T721" s="153" t="n"/>
      <c r="U721" s="153" t="n"/>
      <c r="V721" s="153" t="n"/>
      <c r="W721" s="153" t="n"/>
      <c r="X721" s="153" t="n"/>
      <c r="Y721" s="153" t="n"/>
    </row>
    <row r="722" ht="15.75" customHeight="1" s="154">
      <c r="O722" s="153" t="n"/>
      <c r="P722" s="153" t="n"/>
      <c r="Q722" s="153" t="n"/>
      <c r="R722" s="153" t="n"/>
      <c r="S722" s="153" t="n"/>
      <c r="T722" s="153" t="n"/>
      <c r="U722" s="153" t="n"/>
      <c r="V722" s="153" t="n"/>
      <c r="W722" s="153" t="n"/>
      <c r="X722" s="153" t="n"/>
      <c r="Y722" s="153" t="n"/>
    </row>
    <row r="723" ht="15.75" customHeight="1" s="154">
      <c r="O723" s="153" t="n"/>
      <c r="P723" s="153" t="n"/>
      <c r="Q723" s="153" t="n"/>
      <c r="R723" s="153" t="n"/>
      <c r="S723" s="153" t="n"/>
      <c r="T723" s="153" t="n"/>
      <c r="U723" s="153" t="n"/>
      <c r="V723" s="153" t="n"/>
      <c r="W723" s="153" t="n"/>
      <c r="X723" s="153" t="n"/>
      <c r="Y723" s="153" t="n"/>
    </row>
    <row r="724" ht="15.75" customHeight="1" s="154">
      <c r="O724" s="153" t="n"/>
      <c r="P724" s="153" t="n"/>
      <c r="Q724" s="153" t="n"/>
      <c r="R724" s="153" t="n"/>
      <c r="S724" s="153" t="n"/>
      <c r="T724" s="153" t="n"/>
      <c r="U724" s="153" t="n"/>
      <c r="V724" s="153" t="n"/>
      <c r="W724" s="153" t="n"/>
      <c r="X724" s="153" t="n"/>
      <c r="Y724" s="153" t="n"/>
    </row>
    <row r="725" ht="15.75" customHeight="1" s="154">
      <c r="O725" s="153" t="n"/>
      <c r="P725" s="153" t="n"/>
      <c r="Q725" s="153" t="n"/>
      <c r="R725" s="153" t="n"/>
      <c r="S725" s="153" t="n"/>
      <c r="T725" s="153" t="n"/>
      <c r="U725" s="153" t="n"/>
      <c r="V725" s="153" t="n"/>
      <c r="W725" s="153" t="n"/>
      <c r="X725" s="153" t="n"/>
      <c r="Y725" s="153" t="n"/>
    </row>
    <row r="726" ht="15.75" customHeight="1" s="154">
      <c r="O726" s="153" t="n"/>
      <c r="P726" s="153" t="n"/>
      <c r="Q726" s="153" t="n"/>
      <c r="R726" s="153" t="n"/>
      <c r="S726" s="153" t="n"/>
      <c r="T726" s="153" t="n"/>
      <c r="U726" s="153" t="n"/>
      <c r="V726" s="153" t="n"/>
      <c r="W726" s="153" t="n"/>
      <c r="X726" s="153" t="n"/>
      <c r="Y726" s="153" t="n"/>
    </row>
    <row r="727" ht="15.75" customHeight="1" s="154">
      <c r="O727" s="153" t="n"/>
      <c r="P727" s="153" t="n"/>
      <c r="Q727" s="153" t="n"/>
      <c r="R727" s="153" t="n"/>
      <c r="S727" s="153" t="n"/>
      <c r="T727" s="153" t="n"/>
      <c r="U727" s="153" t="n"/>
      <c r="V727" s="153" t="n"/>
      <c r="W727" s="153" t="n"/>
      <c r="X727" s="153" t="n"/>
      <c r="Y727" s="153" t="n"/>
    </row>
    <row r="728" ht="15.75" customHeight="1" s="154">
      <c r="O728" s="153" t="n"/>
      <c r="P728" s="153" t="n"/>
      <c r="Q728" s="153" t="n"/>
      <c r="R728" s="153" t="n"/>
      <c r="S728" s="153" t="n"/>
      <c r="T728" s="153" t="n"/>
      <c r="U728" s="153" t="n"/>
      <c r="V728" s="153" t="n"/>
      <c r="W728" s="153" t="n"/>
      <c r="X728" s="153" t="n"/>
      <c r="Y728" s="153" t="n"/>
    </row>
    <row r="729" ht="15.75" customHeight="1" s="154">
      <c r="O729" s="153" t="n"/>
      <c r="P729" s="153" t="n"/>
      <c r="Q729" s="153" t="n"/>
      <c r="R729" s="153" t="n"/>
      <c r="S729" s="153" t="n"/>
      <c r="T729" s="153" t="n"/>
      <c r="U729" s="153" t="n"/>
      <c r="V729" s="153" t="n"/>
      <c r="W729" s="153" t="n"/>
      <c r="X729" s="153" t="n"/>
      <c r="Y729" s="153" t="n"/>
    </row>
    <row r="730" ht="15.75" customHeight="1" s="154">
      <c r="O730" s="153" t="n"/>
      <c r="P730" s="153" t="n"/>
      <c r="Q730" s="153" t="n"/>
      <c r="R730" s="153" t="n"/>
      <c r="S730" s="153" t="n"/>
      <c r="T730" s="153" t="n"/>
      <c r="U730" s="153" t="n"/>
      <c r="V730" s="153" t="n"/>
      <c r="W730" s="153" t="n"/>
      <c r="X730" s="153" t="n"/>
      <c r="Y730" s="153" t="n"/>
    </row>
    <row r="731" ht="15.75" customHeight="1" s="154">
      <c r="O731" s="153" t="n"/>
      <c r="P731" s="153" t="n"/>
      <c r="Q731" s="153" t="n"/>
      <c r="R731" s="153" t="n"/>
      <c r="S731" s="153" t="n"/>
      <c r="T731" s="153" t="n"/>
      <c r="U731" s="153" t="n"/>
      <c r="V731" s="153" t="n"/>
      <c r="W731" s="153" t="n"/>
      <c r="X731" s="153" t="n"/>
      <c r="Y731" s="153" t="n"/>
    </row>
    <row r="732" ht="15.75" customHeight="1" s="154">
      <c r="O732" s="153" t="n"/>
      <c r="P732" s="153" t="n"/>
      <c r="Q732" s="153" t="n"/>
      <c r="R732" s="153" t="n"/>
      <c r="S732" s="153" t="n"/>
      <c r="T732" s="153" t="n"/>
      <c r="U732" s="153" t="n"/>
      <c r="V732" s="153" t="n"/>
      <c r="W732" s="153" t="n"/>
      <c r="X732" s="153" t="n"/>
      <c r="Y732" s="153" t="n"/>
    </row>
    <row r="733" ht="15.75" customHeight="1" s="154">
      <c r="O733" s="153" t="n"/>
      <c r="P733" s="153" t="n"/>
      <c r="Q733" s="153" t="n"/>
      <c r="R733" s="153" t="n"/>
      <c r="S733" s="153" t="n"/>
      <c r="T733" s="153" t="n"/>
      <c r="U733" s="153" t="n"/>
      <c r="V733" s="153" t="n"/>
      <c r="W733" s="153" t="n"/>
      <c r="X733" s="153" t="n"/>
      <c r="Y733" s="153" t="n"/>
    </row>
    <row r="734" ht="15.75" customHeight="1" s="154">
      <c r="O734" s="153" t="n"/>
      <c r="P734" s="153" t="n"/>
      <c r="Q734" s="153" t="n"/>
      <c r="R734" s="153" t="n"/>
      <c r="S734" s="153" t="n"/>
      <c r="T734" s="153" t="n"/>
      <c r="U734" s="153" t="n"/>
      <c r="V734" s="153" t="n"/>
      <c r="W734" s="153" t="n"/>
      <c r="X734" s="153" t="n"/>
      <c r="Y734" s="153" t="n"/>
    </row>
    <row r="735" ht="15.75" customHeight="1" s="154">
      <c r="O735" s="153" t="n"/>
      <c r="P735" s="153" t="n"/>
      <c r="Q735" s="153" t="n"/>
      <c r="R735" s="153" t="n"/>
      <c r="S735" s="153" t="n"/>
      <c r="T735" s="153" t="n"/>
      <c r="U735" s="153" t="n"/>
      <c r="V735" s="153" t="n"/>
      <c r="W735" s="153" t="n"/>
      <c r="X735" s="153" t="n"/>
      <c r="Y735" s="153" t="n"/>
    </row>
    <row r="736" ht="15.75" customHeight="1" s="154">
      <c r="O736" s="153" t="n"/>
      <c r="P736" s="153" t="n"/>
      <c r="Q736" s="153" t="n"/>
      <c r="R736" s="153" t="n"/>
      <c r="S736" s="153" t="n"/>
      <c r="T736" s="153" t="n"/>
      <c r="U736" s="153" t="n"/>
      <c r="V736" s="153" t="n"/>
      <c r="W736" s="153" t="n"/>
      <c r="X736" s="153" t="n"/>
      <c r="Y736" s="153" t="n"/>
    </row>
    <row r="737" ht="15.75" customHeight="1" s="154">
      <c r="O737" s="153" t="n"/>
      <c r="P737" s="153" t="n"/>
      <c r="Q737" s="153" t="n"/>
      <c r="R737" s="153" t="n"/>
      <c r="S737" s="153" t="n"/>
      <c r="T737" s="153" t="n"/>
      <c r="U737" s="153" t="n"/>
      <c r="V737" s="153" t="n"/>
      <c r="W737" s="153" t="n"/>
      <c r="X737" s="153" t="n"/>
      <c r="Y737" s="153" t="n"/>
    </row>
    <row r="738" ht="15.75" customHeight="1" s="154">
      <c r="O738" s="153" t="n"/>
      <c r="P738" s="153" t="n"/>
      <c r="Q738" s="153" t="n"/>
      <c r="R738" s="153" t="n"/>
      <c r="S738" s="153" t="n"/>
      <c r="T738" s="153" t="n"/>
      <c r="U738" s="153" t="n"/>
      <c r="V738" s="153" t="n"/>
      <c r="W738" s="153" t="n"/>
      <c r="X738" s="153" t="n"/>
      <c r="Y738" s="153" t="n"/>
    </row>
    <row r="739" ht="15.75" customHeight="1" s="154">
      <c r="O739" s="153" t="n"/>
      <c r="P739" s="153" t="n"/>
      <c r="Q739" s="153" t="n"/>
      <c r="R739" s="153" t="n"/>
      <c r="S739" s="153" t="n"/>
      <c r="T739" s="153" t="n"/>
      <c r="U739" s="153" t="n"/>
      <c r="V739" s="153" t="n"/>
      <c r="W739" s="153" t="n"/>
      <c r="X739" s="153" t="n"/>
      <c r="Y739" s="153" t="n"/>
    </row>
    <row r="740" ht="15.75" customHeight="1" s="154">
      <c r="O740" s="153" t="n"/>
      <c r="P740" s="153" t="n"/>
      <c r="Q740" s="153" t="n"/>
      <c r="R740" s="153" t="n"/>
      <c r="S740" s="153" t="n"/>
      <c r="T740" s="153" t="n"/>
      <c r="U740" s="153" t="n"/>
      <c r="V740" s="153" t="n"/>
      <c r="W740" s="153" t="n"/>
      <c r="X740" s="153" t="n"/>
      <c r="Y740" s="153" t="n"/>
    </row>
    <row r="741" ht="15.75" customHeight="1" s="154">
      <c r="O741" s="153" t="n"/>
      <c r="P741" s="153" t="n"/>
      <c r="Q741" s="153" t="n"/>
      <c r="R741" s="153" t="n"/>
      <c r="S741" s="153" t="n"/>
      <c r="T741" s="153" t="n"/>
      <c r="U741" s="153" t="n"/>
      <c r="V741" s="153" t="n"/>
      <c r="W741" s="153" t="n"/>
      <c r="X741" s="153" t="n"/>
      <c r="Y741" s="153" t="n"/>
    </row>
    <row r="742" ht="15.75" customHeight="1" s="154">
      <c r="O742" s="153" t="n"/>
      <c r="P742" s="153" t="n"/>
      <c r="Q742" s="153" t="n"/>
      <c r="R742" s="153" t="n"/>
      <c r="S742" s="153" t="n"/>
      <c r="T742" s="153" t="n"/>
      <c r="U742" s="153" t="n"/>
      <c r="V742" s="153" t="n"/>
      <c r="W742" s="153" t="n"/>
      <c r="X742" s="153" t="n"/>
      <c r="Y742" s="153" t="n"/>
    </row>
    <row r="743" ht="15.75" customHeight="1" s="154">
      <c r="O743" s="153" t="n"/>
      <c r="P743" s="153" t="n"/>
      <c r="Q743" s="153" t="n"/>
      <c r="R743" s="153" t="n"/>
      <c r="S743" s="153" t="n"/>
      <c r="T743" s="153" t="n"/>
      <c r="U743" s="153" t="n"/>
      <c r="V743" s="153" t="n"/>
      <c r="W743" s="153" t="n"/>
      <c r="X743" s="153" t="n"/>
      <c r="Y743" s="153" t="n"/>
    </row>
    <row r="744" ht="15.75" customHeight="1" s="154">
      <c r="O744" s="153" t="n"/>
      <c r="P744" s="153" t="n"/>
      <c r="Q744" s="153" t="n"/>
      <c r="R744" s="153" t="n"/>
      <c r="S744" s="153" t="n"/>
      <c r="T744" s="153" t="n"/>
      <c r="U744" s="153" t="n"/>
      <c r="V744" s="153" t="n"/>
      <c r="W744" s="153" t="n"/>
      <c r="X744" s="153" t="n"/>
      <c r="Y744" s="153" t="n"/>
    </row>
    <row r="745" ht="15.75" customHeight="1" s="154">
      <c r="O745" s="153" t="n"/>
      <c r="P745" s="153" t="n"/>
      <c r="Q745" s="153" t="n"/>
      <c r="R745" s="153" t="n"/>
      <c r="S745" s="153" t="n"/>
      <c r="T745" s="153" t="n"/>
      <c r="U745" s="153" t="n"/>
      <c r="V745" s="153" t="n"/>
      <c r="W745" s="153" t="n"/>
      <c r="X745" s="153" t="n"/>
      <c r="Y745" s="153" t="n"/>
    </row>
    <row r="746" ht="15.75" customHeight="1" s="154">
      <c r="O746" s="153" t="n"/>
      <c r="P746" s="153" t="n"/>
      <c r="Q746" s="153" t="n"/>
      <c r="R746" s="153" t="n"/>
      <c r="S746" s="153" t="n"/>
      <c r="T746" s="153" t="n"/>
      <c r="U746" s="153" t="n"/>
      <c r="V746" s="153" t="n"/>
      <c r="W746" s="153" t="n"/>
      <c r="X746" s="153" t="n"/>
      <c r="Y746" s="153" t="n"/>
    </row>
    <row r="747" ht="15.75" customHeight="1" s="154">
      <c r="O747" s="153" t="n"/>
      <c r="P747" s="153" t="n"/>
      <c r="Q747" s="153" t="n"/>
      <c r="R747" s="153" t="n"/>
      <c r="S747" s="153" t="n"/>
      <c r="T747" s="153" t="n"/>
      <c r="U747" s="153" t="n"/>
      <c r="V747" s="153" t="n"/>
      <c r="W747" s="153" t="n"/>
      <c r="X747" s="153" t="n"/>
      <c r="Y747" s="153" t="n"/>
    </row>
    <row r="748" ht="15.75" customHeight="1" s="154">
      <c r="O748" s="153" t="n"/>
      <c r="P748" s="153" t="n"/>
      <c r="Q748" s="153" t="n"/>
      <c r="R748" s="153" t="n"/>
      <c r="S748" s="153" t="n"/>
      <c r="T748" s="153" t="n"/>
      <c r="U748" s="153" t="n"/>
      <c r="V748" s="153" t="n"/>
      <c r="W748" s="153" t="n"/>
      <c r="X748" s="153" t="n"/>
      <c r="Y748" s="153" t="n"/>
    </row>
    <row r="749" ht="15.75" customHeight="1" s="154">
      <c r="O749" s="153" t="n"/>
      <c r="P749" s="153" t="n"/>
      <c r="Q749" s="153" t="n"/>
      <c r="R749" s="153" t="n"/>
      <c r="S749" s="153" t="n"/>
      <c r="T749" s="153" t="n"/>
      <c r="U749" s="153" t="n"/>
      <c r="V749" s="153" t="n"/>
      <c r="W749" s="153" t="n"/>
      <c r="X749" s="153" t="n"/>
      <c r="Y749" s="153" t="n"/>
    </row>
    <row r="750" ht="15.75" customHeight="1" s="154">
      <c r="O750" s="153" t="n"/>
      <c r="P750" s="153" t="n"/>
      <c r="Q750" s="153" t="n"/>
      <c r="R750" s="153" t="n"/>
      <c r="S750" s="153" t="n"/>
      <c r="T750" s="153" t="n"/>
      <c r="U750" s="153" t="n"/>
      <c r="V750" s="153" t="n"/>
      <c r="W750" s="153" t="n"/>
      <c r="X750" s="153" t="n"/>
      <c r="Y750" s="153" t="n"/>
    </row>
    <row r="751" ht="15.75" customHeight="1" s="154">
      <c r="O751" s="153" t="n"/>
      <c r="P751" s="153" t="n"/>
      <c r="Q751" s="153" t="n"/>
      <c r="R751" s="153" t="n"/>
      <c r="S751" s="153" t="n"/>
      <c r="T751" s="153" t="n"/>
      <c r="U751" s="153" t="n"/>
      <c r="V751" s="153" t="n"/>
      <c r="W751" s="153" t="n"/>
      <c r="X751" s="153" t="n"/>
      <c r="Y751" s="153" t="n"/>
    </row>
    <row r="752" ht="15.75" customHeight="1" s="154">
      <c r="O752" s="153" t="n"/>
      <c r="P752" s="153" t="n"/>
      <c r="Q752" s="153" t="n"/>
      <c r="R752" s="153" t="n"/>
      <c r="S752" s="153" t="n"/>
      <c r="T752" s="153" t="n"/>
      <c r="U752" s="153" t="n"/>
      <c r="V752" s="153" t="n"/>
      <c r="W752" s="153" t="n"/>
      <c r="X752" s="153" t="n"/>
      <c r="Y752" s="153" t="n"/>
    </row>
    <row r="753" ht="15.75" customHeight="1" s="154">
      <c r="O753" s="153" t="n"/>
      <c r="P753" s="153" t="n"/>
      <c r="Q753" s="153" t="n"/>
      <c r="R753" s="153" t="n"/>
      <c r="S753" s="153" t="n"/>
      <c r="T753" s="153" t="n"/>
      <c r="U753" s="153" t="n"/>
      <c r="V753" s="153" t="n"/>
      <c r="W753" s="153" t="n"/>
      <c r="X753" s="153" t="n"/>
      <c r="Y753" s="153" t="n"/>
    </row>
    <row r="754" ht="15.75" customHeight="1" s="154">
      <c r="O754" s="153" t="n"/>
      <c r="P754" s="153" t="n"/>
      <c r="Q754" s="153" t="n"/>
      <c r="R754" s="153" t="n"/>
      <c r="S754" s="153" t="n"/>
      <c r="T754" s="153" t="n"/>
      <c r="U754" s="153" t="n"/>
      <c r="V754" s="153" t="n"/>
      <c r="W754" s="153" t="n"/>
      <c r="X754" s="153" t="n"/>
      <c r="Y754" s="153" t="n"/>
    </row>
    <row r="755" ht="15.75" customHeight="1" s="154">
      <c r="O755" s="153" t="n"/>
      <c r="P755" s="153" t="n"/>
      <c r="Q755" s="153" t="n"/>
      <c r="R755" s="153" t="n"/>
      <c r="S755" s="153" t="n"/>
      <c r="T755" s="153" t="n"/>
      <c r="U755" s="153" t="n"/>
      <c r="V755" s="153" t="n"/>
      <c r="W755" s="153" t="n"/>
      <c r="X755" s="153" t="n"/>
      <c r="Y755" s="153" t="n"/>
    </row>
    <row r="756" ht="15.75" customHeight="1" s="154">
      <c r="O756" s="153" t="n"/>
      <c r="P756" s="153" t="n"/>
      <c r="Q756" s="153" t="n"/>
      <c r="R756" s="153" t="n"/>
      <c r="S756" s="153" t="n"/>
      <c r="T756" s="153" t="n"/>
      <c r="U756" s="153" t="n"/>
      <c r="V756" s="153" t="n"/>
      <c r="W756" s="153" t="n"/>
      <c r="X756" s="153" t="n"/>
      <c r="Y756" s="153" t="n"/>
    </row>
    <row r="757" ht="15.75" customHeight="1" s="154">
      <c r="O757" s="153" t="n"/>
      <c r="P757" s="153" t="n"/>
      <c r="Q757" s="153" t="n"/>
      <c r="R757" s="153" t="n"/>
      <c r="S757" s="153" t="n"/>
      <c r="T757" s="153" t="n"/>
      <c r="U757" s="153" t="n"/>
      <c r="V757" s="153" t="n"/>
      <c r="W757" s="153" t="n"/>
      <c r="X757" s="153" t="n"/>
      <c r="Y757" s="153" t="n"/>
    </row>
    <row r="758" ht="15.75" customHeight="1" s="154">
      <c r="O758" s="153" t="n"/>
      <c r="P758" s="153" t="n"/>
      <c r="Q758" s="153" t="n"/>
      <c r="R758" s="153" t="n"/>
      <c r="S758" s="153" t="n"/>
      <c r="T758" s="153" t="n"/>
      <c r="U758" s="153" t="n"/>
      <c r="V758" s="153" t="n"/>
      <c r="W758" s="153" t="n"/>
      <c r="X758" s="153" t="n"/>
      <c r="Y758" s="153" t="n"/>
    </row>
    <row r="759" ht="15.75" customHeight="1" s="154">
      <c r="O759" s="153" t="n"/>
      <c r="P759" s="153" t="n"/>
      <c r="Q759" s="153" t="n"/>
      <c r="R759" s="153" t="n"/>
      <c r="S759" s="153" t="n"/>
      <c r="T759" s="153" t="n"/>
      <c r="U759" s="153" t="n"/>
      <c r="V759" s="153" t="n"/>
      <c r="W759" s="153" t="n"/>
      <c r="X759" s="153" t="n"/>
      <c r="Y759" s="153" t="n"/>
    </row>
    <row r="760" ht="15.75" customHeight="1" s="154">
      <c r="O760" s="153" t="n"/>
      <c r="P760" s="153" t="n"/>
      <c r="Q760" s="153" t="n"/>
      <c r="R760" s="153" t="n"/>
      <c r="S760" s="153" t="n"/>
      <c r="T760" s="153" t="n"/>
      <c r="U760" s="153" t="n"/>
      <c r="V760" s="153" t="n"/>
      <c r="W760" s="153" t="n"/>
      <c r="X760" s="153" t="n"/>
      <c r="Y760" s="153" t="n"/>
    </row>
    <row r="761" ht="15.75" customHeight="1" s="154">
      <c r="O761" s="153" t="n"/>
      <c r="P761" s="153" t="n"/>
      <c r="Q761" s="153" t="n"/>
      <c r="R761" s="153" t="n"/>
      <c r="S761" s="153" t="n"/>
      <c r="T761" s="153" t="n"/>
      <c r="U761" s="153" t="n"/>
      <c r="V761" s="153" t="n"/>
      <c r="W761" s="153" t="n"/>
      <c r="X761" s="153" t="n"/>
      <c r="Y761" s="153" t="n"/>
    </row>
    <row r="762" ht="15.75" customHeight="1" s="154">
      <c r="O762" s="153" t="n"/>
      <c r="P762" s="153" t="n"/>
      <c r="Q762" s="153" t="n"/>
      <c r="R762" s="153" t="n"/>
      <c r="S762" s="153" t="n"/>
      <c r="T762" s="153" t="n"/>
      <c r="U762" s="153" t="n"/>
      <c r="V762" s="153" t="n"/>
      <c r="W762" s="153" t="n"/>
      <c r="X762" s="153" t="n"/>
      <c r="Y762" s="153" t="n"/>
    </row>
    <row r="763" ht="15.75" customHeight="1" s="154">
      <c r="O763" s="153" t="n"/>
      <c r="P763" s="153" t="n"/>
      <c r="Q763" s="153" t="n"/>
      <c r="R763" s="153" t="n"/>
      <c r="S763" s="153" t="n"/>
      <c r="T763" s="153" t="n"/>
      <c r="U763" s="153" t="n"/>
      <c r="V763" s="153" t="n"/>
      <c r="W763" s="153" t="n"/>
      <c r="X763" s="153" t="n"/>
      <c r="Y763" s="153" t="n"/>
    </row>
    <row r="764" ht="15.75" customHeight="1" s="154">
      <c r="O764" s="153" t="n"/>
      <c r="P764" s="153" t="n"/>
      <c r="Q764" s="153" t="n"/>
      <c r="R764" s="153" t="n"/>
      <c r="S764" s="153" t="n"/>
      <c r="T764" s="153" t="n"/>
      <c r="U764" s="153" t="n"/>
      <c r="V764" s="153" t="n"/>
      <c r="W764" s="153" t="n"/>
      <c r="X764" s="153" t="n"/>
      <c r="Y764" s="153" t="n"/>
    </row>
    <row r="765" ht="15.75" customHeight="1" s="154">
      <c r="O765" s="153" t="n"/>
      <c r="P765" s="153" t="n"/>
      <c r="Q765" s="153" t="n"/>
      <c r="R765" s="153" t="n"/>
      <c r="S765" s="153" t="n"/>
      <c r="T765" s="153" t="n"/>
      <c r="U765" s="153" t="n"/>
      <c r="V765" s="153" t="n"/>
      <c r="W765" s="153" t="n"/>
      <c r="X765" s="153" t="n"/>
      <c r="Y765" s="153" t="n"/>
    </row>
    <row r="766" ht="15.75" customHeight="1" s="154">
      <c r="O766" s="153" t="n"/>
      <c r="P766" s="153" t="n"/>
      <c r="Q766" s="153" t="n"/>
      <c r="R766" s="153" t="n"/>
      <c r="S766" s="153" t="n"/>
      <c r="T766" s="153" t="n"/>
      <c r="U766" s="153" t="n"/>
      <c r="V766" s="153" t="n"/>
      <c r="W766" s="153" t="n"/>
      <c r="X766" s="153" t="n"/>
      <c r="Y766" s="153" t="n"/>
    </row>
    <row r="767" ht="15.75" customHeight="1" s="154">
      <c r="O767" s="153" t="n"/>
      <c r="P767" s="153" t="n"/>
      <c r="Q767" s="153" t="n"/>
      <c r="R767" s="153" t="n"/>
      <c r="S767" s="153" t="n"/>
      <c r="T767" s="153" t="n"/>
      <c r="U767" s="153" t="n"/>
      <c r="V767" s="153" t="n"/>
      <c r="W767" s="153" t="n"/>
      <c r="X767" s="153" t="n"/>
      <c r="Y767" s="153" t="n"/>
    </row>
    <row r="768" ht="15.75" customHeight="1" s="154">
      <c r="O768" s="153" t="n"/>
      <c r="P768" s="153" t="n"/>
      <c r="Q768" s="153" t="n"/>
      <c r="R768" s="153" t="n"/>
      <c r="S768" s="153" t="n"/>
      <c r="T768" s="153" t="n"/>
      <c r="U768" s="153" t="n"/>
      <c r="V768" s="153" t="n"/>
      <c r="W768" s="153" t="n"/>
      <c r="X768" s="153" t="n"/>
      <c r="Y768" s="153" t="n"/>
    </row>
    <row r="769" ht="15.75" customHeight="1" s="154">
      <c r="O769" s="153" t="n"/>
      <c r="P769" s="153" t="n"/>
      <c r="Q769" s="153" t="n"/>
      <c r="R769" s="153" t="n"/>
      <c r="S769" s="153" t="n"/>
      <c r="T769" s="153" t="n"/>
      <c r="U769" s="153" t="n"/>
      <c r="V769" s="153" t="n"/>
      <c r="W769" s="153" t="n"/>
      <c r="X769" s="153" t="n"/>
      <c r="Y769" s="153" t="n"/>
    </row>
    <row r="770" ht="15.75" customHeight="1" s="154">
      <c r="O770" s="153" t="n"/>
      <c r="P770" s="153" t="n"/>
      <c r="Q770" s="153" t="n"/>
      <c r="R770" s="153" t="n"/>
      <c r="S770" s="153" t="n"/>
      <c r="T770" s="153" t="n"/>
      <c r="U770" s="153" t="n"/>
      <c r="V770" s="153" t="n"/>
      <c r="W770" s="153" t="n"/>
      <c r="X770" s="153" t="n"/>
      <c r="Y770" s="153" t="n"/>
    </row>
    <row r="771" ht="15.75" customHeight="1" s="154">
      <c r="O771" s="153" t="n"/>
      <c r="P771" s="153" t="n"/>
      <c r="Q771" s="153" t="n"/>
      <c r="R771" s="153" t="n"/>
      <c r="S771" s="153" t="n"/>
      <c r="T771" s="153" t="n"/>
      <c r="U771" s="153" t="n"/>
      <c r="V771" s="153" t="n"/>
      <c r="W771" s="153" t="n"/>
      <c r="X771" s="153" t="n"/>
      <c r="Y771" s="153" t="n"/>
    </row>
    <row r="772" ht="15.75" customHeight="1" s="154">
      <c r="O772" s="153" t="n"/>
      <c r="P772" s="153" t="n"/>
      <c r="Q772" s="153" t="n"/>
      <c r="R772" s="153" t="n"/>
      <c r="S772" s="153" t="n"/>
      <c r="T772" s="153" t="n"/>
      <c r="U772" s="153" t="n"/>
      <c r="V772" s="153" t="n"/>
      <c r="W772" s="153" t="n"/>
      <c r="X772" s="153" t="n"/>
      <c r="Y772" s="153" t="n"/>
    </row>
    <row r="773" ht="15.75" customHeight="1" s="154">
      <c r="O773" s="153" t="n"/>
      <c r="P773" s="153" t="n"/>
      <c r="Q773" s="153" t="n"/>
      <c r="R773" s="153" t="n"/>
      <c r="S773" s="153" t="n"/>
      <c r="T773" s="153" t="n"/>
      <c r="U773" s="153" t="n"/>
      <c r="V773" s="153" t="n"/>
      <c r="W773" s="153" t="n"/>
      <c r="X773" s="153" t="n"/>
      <c r="Y773" s="153" t="n"/>
    </row>
    <row r="774" ht="15.75" customHeight="1" s="154">
      <c r="O774" s="153" t="n"/>
      <c r="P774" s="153" t="n"/>
      <c r="Q774" s="153" t="n"/>
      <c r="R774" s="153" t="n"/>
      <c r="S774" s="153" t="n"/>
      <c r="T774" s="153" t="n"/>
      <c r="U774" s="153" t="n"/>
      <c r="V774" s="153" t="n"/>
      <c r="W774" s="153" t="n"/>
      <c r="X774" s="153" t="n"/>
      <c r="Y774" s="153" t="n"/>
    </row>
    <row r="775" ht="15.75" customHeight="1" s="154">
      <c r="O775" s="153" t="n"/>
      <c r="P775" s="153" t="n"/>
      <c r="Q775" s="153" t="n"/>
      <c r="R775" s="153" t="n"/>
      <c r="S775" s="153" t="n"/>
      <c r="T775" s="153" t="n"/>
      <c r="U775" s="153" t="n"/>
      <c r="V775" s="153" t="n"/>
      <c r="W775" s="153" t="n"/>
      <c r="X775" s="153" t="n"/>
      <c r="Y775" s="153" t="n"/>
    </row>
    <row r="776" ht="15.75" customHeight="1" s="154">
      <c r="O776" s="153" t="n"/>
      <c r="P776" s="153" t="n"/>
      <c r="Q776" s="153" t="n"/>
      <c r="R776" s="153" t="n"/>
      <c r="S776" s="153" t="n"/>
      <c r="T776" s="153" t="n"/>
      <c r="U776" s="153" t="n"/>
      <c r="V776" s="153" t="n"/>
      <c r="W776" s="153" t="n"/>
      <c r="X776" s="153" t="n"/>
      <c r="Y776" s="153" t="n"/>
    </row>
    <row r="777" ht="15.75" customHeight="1" s="154">
      <c r="O777" s="153" t="n"/>
      <c r="P777" s="153" t="n"/>
      <c r="Q777" s="153" t="n"/>
      <c r="R777" s="153" t="n"/>
      <c r="S777" s="153" t="n"/>
      <c r="T777" s="153" t="n"/>
      <c r="U777" s="153" t="n"/>
      <c r="V777" s="153" t="n"/>
      <c r="W777" s="153" t="n"/>
      <c r="X777" s="153" t="n"/>
      <c r="Y777" s="153" t="n"/>
    </row>
    <row r="778" ht="15.75" customHeight="1" s="154">
      <c r="O778" s="153" t="n"/>
      <c r="P778" s="153" t="n"/>
      <c r="Q778" s="153" t="n"/>
      <c r="R778" s="153" t="n"/>
      <c r="S778" s="153" t="n"/>
      <c r="T778" s="153" t="n"/>
      <c r="U778" s="153" t="n"/>
      <c r="V778" s="153" t="n"/>
      <c r="W778" s="153" t="n"/>
      <c r="X778" s="153" t="n"/>
      <c r="Y778" s="153" t="n"/>
    </row>
    <row r="779" ht="15.75" customHeight="1" s="154">
      <c r="O779" s="153" t="n"/>
      <c r="P779" s="153" t="n"/>
      <c r="Q779" s="153" t="n"/>
      <c r="R779" s="153" t="n"/>
      <c r="S779" s="153" t="n"/>
      <c r="T779" s="153" t="n"/>
      <c r="U779" s="153" t="n"/>
      <c r="V779" s="153" t="n"/>
      <c r="W779" s="153" t="n"/>
      <c r="X779" s="153" t="n"/>
      <c r="Y779" s="153" t="n"/>
    </row>
    <row r="780" ht="15.75" customHeight="1" s="154">
      <c r="O780" s="153" t="n"/>
      <c r="P780" s="153" t="n"/>
      <c r="Q780" s="153" t="n"/>
      <c r="R780" s="153" t="n"/>
      <c r="S780" s="153" t="n"/>
      <c r="T780" s="153" t="n"/>
      <c r="U780" s="153" t="n"/>
      <c r="V780" s="153" t="n"/>
      <c r="W780" s="153" t="n"/>
      <c r="X780" s="153" t="n"/>
      <c r="Y780" s="153" t="n"/>
    </row>
    <row r="781" ht="15.75" customHeight="1" s="154">
      <c r="O781" s="153" t="n"/>
      <c r="P781" s="153" t="n"/>
      <c r="Q781" s="153" t="n"/>
      <c r="R781" s="153" t="n"/>
      <c r="S781" s="153" t="n"/>
      <c r="T781" s="153" t="n"/>
      <c r="U781" s="153" t="n"/>
      <c r="V781" s="153" t="n"/>
      <c r="W781" s="153" t="n"/>
      <c r="X781" s="153" t="n"/>
      <c r="Y781" s="153" t="n"/>
    </row>
    <row r="782" ht="15.75" customHeight="1" s="154">
      <c r="O782" s="153" t="n"/>
      <c r="P782" s="153" t="n"/>
      <c r="Q782" s="153" t="n"/>
      <c r="R782" s="153" t="n"/>
      <c r="S782" s="153" t="n"/>
      <c r="T782" s="153" t="n"/>
      <c r="U782" s="153" t="n"/>
      <c r="V782" s="153" t="n"/>
      <c r="W782" s="153" t="n"/>
      <c r="X782" s="153" t="n"/>
      <c r="Y782" s="153" t="n"/>
    </row>
    <row r="783" ht="15.75" customHeight="1" s="154">
      <c r="O783" s="153" t="n"/>
      <c r="P783" s="153" t="n"/>
      <c r="Q783" s="153" t="n"/>
      <c r="R783" s="153" t="n"/>
      <c r="S783" s="153" t="n"/>
      <c r="T783" s="153" t="n"/>
      <c r="U783" s="153" t="n"/>
      <c r="V783" s="153" t="n"/>
      <c r="W783" s="153" t="n"/>
      <c r="X783" s="153" t="n"/>
      <c r="Y783" s="153" t="n"/>
    </row>
    <row r="784" ht="15.75" customHeight="1" s="154">
      <c r="O784" s="153" t="n"/>
      <c r="P784" s="153" t="n"/>
      <c r="Q784" s="153" t="n"/>
      <c r="R784" s="153" t="n"/>
      <c r="S784" s="153" t="n"/>
      <c r="T784" s="153" t="n"/>
      <c r="U784" s="153" t="n"/>
      <c r="V784" s="153" t="n"/>
      <c r="W784" s="153" t="n"/>
      <c r="X784" s="153" t="n"/>
      <c r="Y784" s="153" t="n"/>
    </row>
    <row r="785" ht="15.75" customHeight="1" s="154">
      <c r="O785" s="153" t="n"/>
      <c r="P785" s="153" t="n"/>
      <c r="Q785" s="153" t="n"/>
      <c r="R785" s="153" t="n"/>
      <c r="S785" s="153" t="n"/>
      <c r="T785" s="153" t="n"/>
      <c r="U785" s="153" t="n"/>
      <c r="V785" s="153" t="n"/>
      <c r="W785" s="153" t="n"/>
      <c r="X785" s="153" t="n"/>
      <c r="Y785" s="153" t="n"/>
    </row>
    <row r="786" ht="15.75" customHeight="1" s="154">
      <c r="O786" s="153" t="n"/>
      <c r="P786" s="153" t="n"/>
      <c r="Q786" s="153" t="n"/>
      <c r="R786" s="153" t="n"/>
      <c r="S786" s="153" t="n"/>
      <c r="T786" s="153" t="n"/>
      <c r="U786" s="153" t="n"/>
      <c r="V786" s="153" t="n"/>
      <c r="W786" s="153" t="n"/>
      <c r="X786" s="153" t="n"/>
      <c r="Y786" s="153" t="n"/>
    </row>
    <row r="787" ht="15.75" customHeight="1" s="154">
      <c r="O787" s="153" t="n"/>
      <c r="P787" s="153" t="n"/>
      <c r="Q787" s="153" t="n"/>
      <c r="R787" s="153" t="n"/>
      <c r="S787" s="153" t="n"/>
      <c r="T787" s="153" t="n"/>
      <c r="U787" s="153" t="n"/>
      <c r="V787" s="153" t="n"/>
      <c r="W787" s="153" t="n"/>
      <c r="X787" s="153" t="n"/>
      <c r="Y787" s="153" t="n"/>
    </row>
    <row r="788" ht="15.75" customHeight="1" s="154">
      <c r="O788" s="153" t="n"/>
      <c r="P788" s="153" t="n"/>
      <c r="Q788" s="153" t="n"/>
      <c r="R788" s="153" t="n"/>
      <c r="S788" s="153" t="n"/>
      <c r="T788" s="153" t="n"/>
      <c r="U788" s="153" t="n"/>
      <c r="V788" s="153" t="n"/>
      <c r="W788" s="153" t="n"/>
      <c r="X788" s="153" t="n"/>
      <c r="Y788" s="153" t="n"/>
    </row>
    <row r="789" ht="15.75" customHeight="1" s="154">
      <c r="O789" s="153" t="n"/>
      <c r="P789" s="153" t="n"/>
      <c r="Q789" s="153" t="n"/>
      <c r="R789" s="153" t="n"/>
      <c r="S789" s="153" t="n"/>
      <c r="T789" s="153" t="n"/>
      <c r="U789" s="153" t="n"/>
      <c r="V789" s="153" t="n"/>
      <c r="W789" s="153" t="n"/>
      <c r="X789" s="153" t="n"/>
      <c r="Y789" s="153" t="n"/>
    </row>
    <row r="790" ht="15.75" customHeight="1" s="154">
      <c r="O790" s="153" t="n"/>
      <c r="P790" s="153" t="n"/>
      <c r="Q790" s="153" t="n"/>
      <c r="R790" s="153" t="n"/>
      <c r="S790" s="153" t="n"/>
      <c r="T790" s="153" t="n"/>
      <c r="U790" s="153" t="n"/>
      <c r="V790" s="153" t="n"/>
      <c r="W790" s="153" t="n"/>
      <c r="X790" s="153" t="n"/>
      <c r="Y790" s="153" t="n"/>
    </row>
    <row r="791" ht="15.75" customHeight="1" s="154">
      <c r="O791" s="153" t="n"/>
      <c r="P791" s="153" t="n"/>
      <c r="Q791" s="153" t="n"/>
      <c r="R791" s="153" t="n"/>
      <c r="S791" s="153" t="n"/>
      <c r="T791" s="153" t="n"/>
      <c r="U791" s="153" t="n"/>
      <c r="V791" s="153" t="n"/>
      <c r="W791" s="153" t="n"/>
      <c r="X791" s="153" t="n"/>
      <c r="Y791" s="153" t="n"/>
    </row>
    <row r="792" ht="15.75" customHeight="1" s="154">
      <c r="O792" s="153" t="n"/>
      <c r="P792" s="153" t="n"/>
      <c r="Q792" s="153" t="n"/>
      <c r="R792" s="153" t="n"/>
      <c r="S792" s="153" t="n"/>
      <c r="T792" s="153" t="n"/>
      <c r="U792" s="153" t="n"/>
      <c r="V792" s="153" t="n"/>
      <c r="W792" s="153" t="n"/>
      <c r="X792" s="153" t="n"/>
      <c r="Y792" s="153" t="n"/>
    </row>
    <row r="793" ht="15.75" customHeight="1" s="154">
      <c r="O793" s="153" t="n"/>
      <c r="P793" s="153" t="n"/>
      <c r="Q793" s="153" t="n"/>
      <c r="R793" s="153" t="n"/>
      <c r="S793" s="153" t="n"/>
      <c r="T793" s="153" t="n"/>
      <c r="U793" s="153" t="n"/>
      <c r="V793" s="153" t="n"/>
      <c r="W793" s="153" t="n"/>
      <c r="X793" s="153" t="n"/>
      <c r="Y793" s="153" t="n"/>
    </row>
    <row r="794" ht="15.75" customHeight="1" s="154">
      <c r="O794" s="153" t="n"/>
      <c r="P794" s="153" t="n"/>
      <c r="Q794" s="153" t="n"/>
      <c r="R794" s="153" t="n"/>
      <c r="S794" s="153" t="n"/>
      <c r="T794" s="153" t="n"/>
      <c r="U794" s="153" t="n"/>
      <c r="V794" s="153" t="n"/>
      <c r="W794" s="153" t="n"/>
      <c r="X794" s="153" t="n"/>
      <c r="Y794" s="153" t="n"/>
    </row>
    <row r="795" ht="15.75" customHeight="1" s="154">
      <c r="O795" s="153" t="n"/>
      <c r="P795" s="153" t="n"/>
      <c r="Q795" s="153" t="n"/>
      <c r="R795" s="153" t="n"/>
      <c r="S795" s="153" t="n"/>
      <c r="T795" s="153" t="n"/>
      <c r="U795" s="153" t="n"/>
      <c r="V795" s="153" t="n"/>
      <c r="W795" s="153" t="n"/>
      <c r="X795" s="153" t="n"/>
      <c r="Y795" s="153" t="n"/>
    </row>
    <row r="796" ht="15.75" customHeight="1" s="154">
      <c r="O796" s="153" t="n"/>
      <c r="P796" s="153" t="n"/>
      <c r="Q796" s="153" t="n"/>
      <c r="R796" s="153" t="n"/>
      <c r="S796" s="153" t="n"/>
      <c r="T796" s="153" t="n"/>
      <c r="U796" s="153" t="n"/>
      <c r="V796" s="153" t="n"/>
      <c r="W796" s="153" t="n"/>
      <c r="X796" s="153" t="n"/>
      <c r="Y796" s="153" t="n"/>
    </row>
    <row r="797" ht="15.75" customHeight="1" s="154">
      <c r="O797" s="153" t="n"/>
      <c r="P797" s="153" t="n"/>
      <c r="Q797" s="153" t="n"/>
      <c r="R797" s="153" t="n"/>
      <c r="S797" s="153" t="n"/>
      <c r="T797" s="153" t="n"/>
      <c r="U797" s="153" t="n"/>
      <c r="V797" s="153" t="n"/>
      <c r="W797" s="153" t="n"/>
      <c r="X797" s="153" t="n"/>
      <c r="Y797" s="153" t="n"/>
    </row>
    <row r="798" ht="15.75" customHeight="1" s="154">
      <c r="O798" s="153" t="n"/>
      <c r="P798" s="153" t="n"/>
      <c r="Q798" s="153" t="n"/>
      <c r="R798" s="153" t="n"/>
      <c r="S798" s="153" t="n"/>
      <c r="T798" s="153" t="n"/>
      <c r="U798" s="153" t="n"/>
      <c r="V798" s="153" t="n"/>
      <c r="W798" s="153" t="n"/>
      <c r="X798" s="153" t="n"/>
      <c r="Y798" s="153" t="n"/>
    </row>
    <row r="799" ht="15.75" customHeight="1" s="154">
      <c r="O799" s="153" t="n"/>
      <c r="P799" s="153" t="n"/>
      <c r="Q799" s="153" t="n"/>
      <c r="R799" s="153" t="n"/>
      <c r="S799" s="153" t="n"/>
      <c r="T799" s="153" t="n"/>
      <c r="U799" s="153" t="n"/>
      <c r="V799" s="153" t="n"/>
      <c r="W799" s="153" t="n"/>
      <c r="X799" s="153" t="n"/>
      <c r="Y799" s="153" t="n"/>
    </row>
    <row r="800" ht="15.75" customHeight="1" s="154">
      <c r="O800" s="153" t="n"/>
      <c r="P800" s="153" t="n"/>
      <c r="Q800" s="153" t="n"/>
      <c r="R800" s="153" t="n"/>
      <c r="S800" s="153" t="n"/>
      <c r="T800" s="153" t="n"/>
      <c r="U800" s="153" t="n"/>
      <c r="V800" s="153" t="n"/>
      <c r="W800" s="153" t="n"/>
      <c r="X800" s="153" t="n"/>
      <c r="Y800" s="153" t="n"/>
    </row>
    <row r="801" ht="15.75" customHeight="1" s="154">
      <c r="O801" s="153" t="n"/>
      <c r="P801" s="153" t="n"/>
      <c r="Q801" s="153" t="n"/>
      <c r="R801" s="153" t="n"/>
      <c r="S801" s="153" t="n"/>
      <c r="T801" s="153" t="n"/>
      <c r="U801" s="153" t="n"/>
      <c r="V801" s="153" t="n"/>
      <c r="W801" s="153" t="n"/>
      <c r="X801" s="153" t="n"/>
      <c r="Y801" s="153" t="n"/>
    </row>
    <row r="802" ht="15.75" customHeight="1" s="154">
      <c r="O802" s="153" t="n"/>
      <c r="P802" s="153" t="n"/>
      <c r="Q802" s="153" t="n"/>
      <c r="R802" s="153" t="n"/>
      <c r="S802" s="153" t="n"/>
      <c r="T802" s="153" t="n"/>
      <c r="U802" s="153" t="n"/>
      <c r="V802" s="153" t="n"/>
      <c r="W802" s="153" t="n"/>
      <c r="X802" s="153" t="n"/>
      <c r="Y802" s="153" t="n"/>
    </row>
    <row r="803" ht="15.75" customHeight="1" s="154">
      <c r="O803" s="153" t="n"/>
      <c r="P803" s="153" t="n"/>
      <c r="Q803" s="153" t="n"/>
      <c r="R803" s="153" t="n"/>
      <c r="S803" s="153" t="n"/>
      <c r="T803" s="153" t="n"/>
      <c r="U803" s="153" t="n"/>
      <c r="V803" s="153" t="n"/>
      <c r="W803" s="153" t="n"/>
      <c r="X803" s="153" t="n"/>
      <c r="Y803" s="153" t="n"/>
    </row>
    <row r="804" ht="15.75" customHeight="1" s="154">
      <c r="O804" s="153" t="n"/>
      <c r="P804" s="153" t="n"/>
      <c r="Q804" s="153" t="n"/>
      <c r="R804" s="153" t="n"/>
      <c r="S804" s="153" t="n"/>
      <c r="T804" s="153" t="n"/>
      <c r="U804" s="153" t="n"/>
      <c r="V804" s="153" t="n"/>
      <c r="W804" s="153" t="n"/>
      <c r="X804" s="153" t="n"/>
      <c r="Y804" s="153" t="n"/>
    </row>
    <row r="805" ht="15.75" customHeight="1" s="154">
      <c r="O805" s="153" t="n"/>
      <c r="P805" s="153" t="n"/>
      <c r="Q805" s="153" t="n"/>
      <c r="R805" s="153" t="n"/>
      <c r="S805" s="153" t="n"/>
      <c r="T805" s="153" t="n"/>
      <c r="U805" s="153" t="n"/>
      <c r="V805" s="153" t="n"/>
      <c r="W805" s="153" t="n"/>
      <c r="X805" s="153" t="n"/>
      <c r="Y805" s="153" t="n"/>
    </row>
    <row r="806" ht="15.75" customHeight="1" s="154">
      <c r="O806" s="153" t="n"/>
      <c r="P806" s="153" t="n"/>
      <c r="Q806" s="153" t="n"/>
      <c r="R806" s="153" t="n"/>
      <c r="S806" s="153" t="n"/>
      <c r="T806" s="153" t="n"/>
      <c r="U806" s="153" t="n"/>
      <c r="V806" s="153" t="n"/>
      <c r="W806" s="153" t="n"/>
      <c r="X806" s="153" t="n"/>
      <c r="Y806" s="153" t="n"/>
    </row>
    <row r="807" ht="15.75" customHeight="1" s="154">
      <c r="O807" s="153" t="n"/>
      <c r="P807" s="153" t="n"/>
      <c r="Q807" s="153" t="n"/>
      <c r="R807" s="153" t="n"/>
      <c r="S807" s="153" t="n"/>
      <c r="T807" s="153" t="n"/>
      <c r="U807" s="153" t="n"/>
      <c r="V807" s="153" t="n"/>
      <c r="W807" s="153" t="n"/>
      <c r="X807" s="153" t="n"/>
      <c r="Y807" s="153" t="n"/>
    </row>
    <row r="808" ht="15.75" customHeight="1" s="154">
      <c r="O808" s="153" t="n"/>
      <c r="P808" s="153" t="n"/>
      <c r="Q808" s="153" t="n"/>
      <c r="R808" s="153" t="n"/>
      <c r="S808" s="153" t="n"/>
      <c r="T808" s="153" t="n"/>
      <c r="U808" s="153" t="n"/>
      <c r="V808" s="153" t="n"/>
      <c r="W808" s="153" t="n"/>
      <c r="X808" s="153" t="n"/>
      <c r="Y808" s="153" t="n"/>
    </row>
    <row r="809" ht="15.75" customHeight="1" s="154">
      <c r="O809" s="153" t="n"/>
      <c r="P809" s="153" t="n"/>
      <c r="Q809" s="153" t="n"/>
      <c r="R809" s="153" t="n"/>
      <c r="S809" s="153" t="n"/>
      <c r="T809" s="153" t="n"/>
      <c r="U809" s="153" t="n"/>
      <c r="V809" s="153" t="n"/>
      <c r="W809" s="153" t="n"/>
      <c r="X809" s="153" t="n"/>
      <c r="Y809" s="153" t="n"/>
    </row>
    <row r="810" ht="15.75" customHeight="1" s="154">
      <c r="O810" s="153" t="n"/>
      <c r="P810" s="153" t="n"/>
      <c r="Q810" s="153" t="n"/>
      <c r="R810" s="153" t="n"/>
      <c r="S810" s="153" t="n"/>
      <c r="T810" s="153" t="n"/>
      <c r="U810" s="153" t="n"/>
      <c r="V810" s="153" t="n"/>
      <c r="W810" s="153" t="n"/>
      <c r="X810" s="153" t="n"/>
      <c r="Y810" s="153" t="n"/>
    </row>
    <row r="811" ht="15.75" customHeight="1" s="154">
      <c r="O811" s="153" t="n"/>
      <c r="P811" s="153" t="n"/>
      <c r="Q811" s="153" t="n"/>
      <c r="R811" s="153" t="n"/>
      <c r="S811" s="153" t="n"/>
      <c r="T811" s="153" t="n"/>
      <c r="U811" s="153" t="n"/>
      <c r="V811" s="153" t="n"/>
      <c r="W811" s="153" t="n"/>
      <c r="X811" s="153" t="n"/>
      <c r="Y811" s="153" t="n"/>
    </row>
    <row r="812" ht="15.75" customHeight="1" s="154">
      <c r="O812" s="153" t="n"/>
      <c r="P812" s="153" t="n"/>
      <c r="Q812" s="153" t="n"/>
      <c r="R812" s="153" t="n"/>
      <c r="S812" s="153" t="n"/>
      <c r="T812" s="153" t="n"/>
      <c r="U812" s="153" t="n"/>
      <c r="V812" s="153" t="n"/>
      <c r="W812" s="153" t="n"/>
      <c r="X812" s="153" t="n"/>
      <c r="Y812" s="153" t="n"/>
    </row>
    <row r="813" ht="15.75" customHeight="1" s="154">
      <c r="O813" s="153" t="n"/>
      <c r="P813" s="153" t="n"/>
      <c r="Q813" s="153" t="n"/>
      <c r="R813" s="153" t="n"/>
      <c r="S813" s="153" t="n"/>
      <c r="T813" s="153" t="n"/>
      <c r="U813" s="153" t="n"/>
      <c r="V813" s="153" t="n"/>
      <c r="W813" s="153" t="n"/>
      <c r="X813" s="153" t="n"/>
      <c r="Y813" s="153" t="n"/>
    </row>
    <row r="814" ht="15.75" customHeight="1" s="154">
      <c r="O814" s="153" t="n"/>
      <c r="P814" s="153" t="n"/>
      <c r="Q814" s="153" t="n"/>
      <c r="R814" s="153" t="n"/>
      <c r="S814" s="153" t="n"/>
      <c r="T814" s="153" t="n"/>
      <c r="U814" s="153" t="n"/>
      <c r="V814" s="153" t="n"/>
      <c r="W814" s="153" t="n"/>
      <c r="X814" s="153" t="n"/>
      <c r="Y814" s="153" t="n"/>
    </row>
    <row r="815" ht="15.75" customHeight="1" s="154">
      <c r="O815" s="153" t="n"/>
      <c r="P815" s="153" t="n"/>
      <c r="Q815" s="153" t="n"/>
      <c r="R815" s="153" t="n"/>
      <c r="S815" s="153" t="n"/>
      <c r="T815" s="153" t="n"/>
      <c r="U815" s="153" t="n"/>
      <c r="V815" s="153" t="n"/>
      <c r="W815" s="153" t="n"/>
      <c r="X815" s="153" t="n"/>
      <c r="Y815" s="153" t="n"/>
    </row>
    <row r="816" ht="15.75" customHeight="1" s="154">
      <c r="O816" s="153" t="n"/>
      <c r="P816" s="153" t="n"/>
      <c r="Q816" s="153" t="n"/>
      <c r="R816" s="153" t="n"/>
      <c r="S816" s="153" t="n"/>
      <c r="T816" s="153" t="n"/>
      <c r="U816" s="153" t="n"/>
      <c r="V816" s="153" t="n"/>
      <c r="W816" s="153" t="n"/>
      <c r="X816" s="153" t="n"/>
      <c r="Y816" s="153" t="n"/>
    </row>
    <row r="817" ht="15.75" customHeight="1" s="154">
      <c r="O817" s="153" t="n"/>
      <c r="P817" s="153" t="n"/>
      <c r="Q817" s="153" t="n"/>
      <c r="R817" s="153" t="n"/>
      <c r="S817" s="153" t="n"/>
      <c r="T817" s="153" t="n"/>
      <c r="U817" s="153" t="n"/>
      <c r="V817" s="153" t="n"/>
      <c r="W817" s="153" t="n"/>
      <c r="X817" s="153" t="n"/>
      <c r="Y817" s="153" t="n"/>
    </row>
    <row r="818" ht="15.75" customHeight="1" s="154">
      <c r="O818" s="153" t="n"/>
      <c r="P818" s="153" t="n"/>
      <c r="Q818" s="153" t="n"/>
      <c r="R818" s="153" t="n"/>
      <c r="S818" s="153" t="n"/>
      <c r="T818" s="153" t="n"/>
      <c r="U818" s="153" t="n"/>
      <c r="V818" s="153" t="n"/>
      <c r="W818" s="153" t="n"/>
      <c r="X818" s="153" t="n"/>
      <c r="Y818" s="153" t="n"/>
    </row>
    <row r="819" ht="15.75" customHeight="1" s="154">
      <c r="O819" s="153" t="n"/>
      <c r="P819" s="153" t="n"/>
      <c r="Q819" s="153" t="n"/>
      <c r="R819" s="153" t="n"/>
      <c r="S819" s="153" t="n"/>
      <c r="T819" s="153" t="n"/>
      <c r="U819" s="153" t="n"/>
      <c r="V819" s="153" t="n"/>
      <c r="W819" s="153" t="n"/>
      <c r="X819" s="153" t="n"/>
      <c r="Y819" s="153" t="n"/>
    </row>
    <row r="820" ht="15.75" customHeight="1" s="154">
      <c r="O820" s="153" t="n"/>
      <c r="P820" s="153" t="n"/>
      <c r="Q820" s="153" t="n"/>
      <c r="R820" s="153" t="n"/>
      <c r="S820" s="153" t="n"/>
      <c r="T820" s="153" t="n"/>
      <c r="U820" s="153" t="n"/>
      <c r="V820" s="153" t="n"/>
      <c r="W820" s="153" t="n"/>
      <c r="X820" s="153" t="n"/>
      <c r="Y820" s="153" t="n"/>
    </row>
    <row r="821" ht="15.75" customHeight="1" s="154">
      <c r="O821" s="153" t="n"/>
      <c r="P821" s="153" t="n"/>
      <c r="Q821" s="153" t="n"/>
      <c r="R821" s="153" t="n"/>
      <c r="S821" s="153" t="n"/>
      <c r="T821" s="153" t="n"/>
      <c r="U821" s="153" t="n"/>
      <c r="V821" s="153" t="n"/>
      <c r="W821" s="153" t="n"/>
      <c r="X821" s="153" t="n"/>
      <c r="Y821" s="153" t="n"/>
    </row>
    <row r="822" ht="15.75" customHeight="1" s="154">
      <c r="O822" s="153" t="n"/>
      <c r="P822" s="153" t="n"/>
      <c r="Q822" s="153" t="n"/>
      <c r="R822" s="153" t="n"/>
      <c r="S822" s="153" t="n"/>
      <c r="T822" s="153" t="n"/>
      <c r="U822" s="153" t="n"/>
      <c r="V822" s="153" t="n"/>
      <c r="W822" s="153" t="n"/>
      <c r="X822" s="153" t="n"/>
      <c r="Y822" s="153" t="n"/>
    </row>
    <row r="823" ht="15.75" customHeight="1" s="154">
      <c r="O823" s="153" t="n"/>
      <c r="P823" s="153" t="n"/>
      <c r="Q823" s="153" t="n"/>
      <c r="R823" s="153" t="n"/>
      <c r="S823" s="153" t="n"/>
      <c r="T823" s="153" t="n"/>
      <c r="U823" s="153" t="n"/>
      <c r="V823" s="153" t="n"/>
      <c r="W823" s="153" t="n"/>
      <c r="X823" s="153" t="n"/>
      <c r="Y823" s="153" t="n"/>
    </row>
    <row r="824" ht="15.75" customHeight="1" s="154">
      <c r="O824" s="153" t="n"/>
      <c r="P824" s="153" t="n"/>
      <c r="Q824" s="153" t="n"/>
      <c r="R824" s="153" t="n"/>
      <c r="S824" s="153" t="n"/>
      <c r="T824" s="153" t="n"/>
      <c r="U824" s="153" t="n"/>
      <c r="V824" s="153" t="n"/>
      <c r="W824" s="153" t="n"/>
      <c r="X824" s="153" t="n"/>
      <c r="Y824" s="153" t="n"/>
    </row>
    <row r="825" ht="15.75" customHeight="1" s="154">
      <c r="O825" s="153" t="n"/>
      <c r="P825" s="153" t="n"/>
      <c r="Q825" s="153" t="n"/>
      <c r="R825" s="153" t="n"/>
      <c r="S825" s="153" t="n"/>
      <c r="T825" s="153" t="n"/>
      <c r="U825" s="153" t="n"/>
      <c r="V825" s="153" t="n"/>
      <c r="W825" s="153" t="n"/>
      <c r="X825" s="153" t="n"/>
      <c r="Y825" s="153" t="n"/>
    </row>
    <row r="826" ht="15.75" customHeight="1" s="154">
      <c r="O826" s="153" t="n"/>
      <c r="P826" s="153" t="n"/>
      <c r="Q826" s="153" t="n"/>
      <c r="R826" s="153" t="n"/>
      <c r="S826" s="153" t="n"/>
      <c r="T826" s="153" t="n"/>
      <c r="U826" s="153" t="n"/>
      <c r="V826" s="153" t="n"/>
      <c r="W826" s="153" t="n"/>
      <c r="X826" s="153" t="n"/>
      <c r="Y826" s="153" t="n"/>
    </row>
    <row r="827" ht="15.75" customHeight="1" s="154">
      <c r="O827" s="153" t="n"/>
      <c r="P827" s="153" t="n"/>
      <c r="Q827" s="153" t="n"/>
      <c r="R827" s="153" t="n"/>
      <c r="S827" s="153" t="n"/>
      <c r="T827" s="153" t="n"/>
      <c r="U827" s="153" t="n"/>
      <c r="V827" s="153" t="n"/>
      <c r="W827" s="153" t="n"/>
      <c r="X827" s="153" t="n"/>
      <c r="Y827" s="153" t="n"/>
    </row>
    <row r="828" ht="15.75" customHeight="1" s="154">
      <c r="O828" s="153" t="n"/>
      <c r="P828" s="153" t="n"/>
      <c r="Q828" s="153" t="n"/>
      <c r="R828" s="153" t="n"/>
      <c r="S828" s="153" t="n"/>
      <c r="T828" s="153" t="n"/>
      <c r="U828" s="153" t="n"/>
      <c r="V828" s="153" t="n"/>
      <c r="W828" s="153" t="n"/>
      <c r="X828" s="153" t="n"/>
      <c r="Y828" s="153" t="n"/>
    </row>
    <row r="829" ht="15.75" customHeight="1" s="154">
      <c r="O829" s="153" t="n"/>
      <c r="P829" s="153" t="n"/>
      <c r="Q829" s="153" t="n"/>
      <c r="R829" s="153" t="n"/>
      <c r="S829" s="153" t="n"/>
      <c r="T829" s="153" t="n"/>
      <c r="U829" s="153" t="n"/>
      <c r="V829" s="153" t="n"/>
      <c r="W829" s="153" t="n"/>
      <c r="X829" s="153" t="n"/>
      <c r="Y829" s="153" t="n"/>
    </row>
    <row r="830" ht="15.75" customHeight="1" s="154">
      <c r="O830" s="153" t="n"/>
      <c r="P830" s="153" t="n"/>
      <c r="Q830" s="153" t="n"/>
      <c r="R830" s="153" t="n"/>
      <c r="S830" s="153" t="n"/>
      <c r="T830" s="153" t="n"/>
      <c r="U830" s="153" t="n"/>
      <c r="V830" s="153" t="n"/>
      <c r="W830" s="153" t="n"/>
      <c r="X830" s="153" t="n"/>
      <c r="Y830" s="153" t="n"/>
    </row>
    <row r="831" ht="15.75" customHeight="1" s="154">
      <c r="O831" s="153" t="n"/>
      <c r="P831" s="153" t="n"/>
      <c r="Q831" s="153" t="n"/>
      <c r="R831" s="153" t="n"/>
      <c r="S831" s="153" t="n"/>
      <c r="T831" s="153" t="n"/>
      <c r="U831" s="153" t="n"/>
      <c r="V831" s="153" t="n"/>
      <c r="W831" s="153" t="n"/>
      <c r="X831" s="153" t="n"/>
      <c r="Y831" s="153" t="n"/>
    </row>
    <row r="832" ht="15.75" customHeight="1" s="154">
      <c r="O832" s="153" t="n"/>
      <c r="P832" s="153" t="n"/>
      <c r="Q832" s="153" t="n"/>
      <c r="R832" s="153" t="n"/>
      <c r="S832" s="153" t="n"/>
      <c r="T832" s="153" t="n"/>
      <c r="U832" s="153" t="n"/>
      <c r="V832" s="153" t="n"/>
      <c r="W832" s="153" t="n"/>
      <c r="X832" s="153" t="n"/>
      <c r="Y832" s="153" t="n"/>
    </row>
    <row r="833" ht="15.75" customHeight="1" s="154">
      <c r="O833" s="153" t="n"/>
      <c r="P833" s="153" t="n"/>
      <c r="Q833" s="153" t="n"/>
      <c r="R833" s="153" t="n"/>
      <c r="S833" s="153" t="n"/>
      <c r="T833" s="153" t="n"/>
      <c r="U833" s="153" t="n"/>
      <c r="V833" s="153" t="n"/>
      <c r="W833" s="153" t="n"/>
      <c r="X833" s="153" t="n"/>
      <c r="Y833" s="153" t="n"/>
    </row>
    <row r="834" ht="15.75" customHeight="1" s="154">
      <c r="O834" s="153" t="n"/>
      <c r="P834" s="153" t="n"/>
      <c r="Q834" s="153" t="n"/>
      <c r="R834" s="153" t="n"/>
      <c r="S834" s="153" t="n"/>
      <c r="T834" s="153" t="n"/>
      <c r="U834" s="153" t="n"/>
      <c r="V834" s="153" t="n"/>
      <c r="W834" s="153" t="n"/>
      <c r="X834" s="153" t="n"/>
      <c r="Y834" s="153" t="n"/>
    </row>
    <row r="835" ht="15.75" customHeight="1" s="154">
      <c r="O835" s="153" t="n"/>
      <c r="P835" s="153" t="n"/>
      <c r="Q835" s="153" t="n"/>
      <c r="R835" s="153" t="n"/>
      <c r="S835" s="153" t="n"/>
      <c r="T835" s="153" t="n"/>
      <c r="U835" s="153" t="n"/>
      <c r="V835" s="153" t="n"/>
      <c r="W835" s="153" t="n"/>
      <c r="X835" s="153" t="n"/>
      <c r="Y835" s="153" t="n"/>
    </row>
    <row r="836" ht="15.75" customHeight="1" s="154">
      <c r="O836" s="153" t="n"/>
      <c r="P836" s="153" t="n"/>
      <c r="Q836" s="153" t="n"/>
      <c r="R836" s="153" t="n"/>
      <c r="S836" s="153" t="n"/>
      <c r="T836" s="153" t="n"/>
      <c r="U836" s="153" t="n"/>
      <c r="V836" s="153" t="n"/>
      <c r="W836" s="153" t="n"/>
      <c r="X836" s="153" t="n"/>
      <c r="Y836" s="153" t="n"/>
    </row>
    <row r="837" ht="15.75" customHeight="1" s="154">
      <c r="O837" s="153" t="n"/>
      <c r="P837" s="153" t="n"/>
      <c r="Q837" s="153" t="n"/>
      <c r="R837" s="153" t="n"/>
      <c r="S837" s="153" t="n"/>
      <c r="T837" s="153" t="n"/>
      <c r="U837" s="153" t="n"/>
      <c r="V837" s="153" t="n"/>
      <c r="W837" s="153" t="n"/>
      <c r="X837" s="153" t="n"/>
      <c r="Y837" s="153" t="n"/>
    </row>
    <row r="838" ht="15.75" customHeight="1" s="154">
      <c r="O838" s="153" t="n"/>
      <c r="P838" s="153" t="n"/>
      <c r="Q838" s="153" t="n"/>
      <c r="R838" s="153" t="n"/>
      <c r="S838" s="153" t="n"/>
      <c r="T838" s="153" t="n"/>
      <c r="U838" s="153" t="n"/>
      <c r="V838" s="153" t="n"/>
      <c r="W838" s="153" t="n"/>
      <c r="X838" s="153" t="n"/>
      <c r="Y838" s="153" t="n"/>
    </row>
    <row r="839" ht="15.75" customHeight="1" s="154">
      <c r="O839" s="153" t="n"/>
      <c r="P839" s="153" t="n"/>
      <c r="Q839" s="153" t="n"/>
      <c r="R839" s="153" t="n"/>
      <c r="S839" s="153" t="n"/>
      <c r="T839" s="153" t="n"/>
      <c r="U839" s="153" t="n"/>
      <c r="V839" s="153" t="n"/>
      <c r="W839" s="153" t="n"/>
      <c r="X839" s="153" t="n"/>
      <c r="Y839" s="153" t="n"/>
    </row>
    <row r="840" ht="15.75" customHeight="1" s="154">
      <c r="O840" s="153" t="n"/>
      <c r="P840" s="153" t="n"/>
      <c r="Q840" s="153" t="n"/>
      <c r="R840" s="153" t="n"/>
      <c r="S840" s="153" t="n"/>
      <c r="T840" s="153" t="n"/>
      <c r="U840" s="153" t="n"/>
      <c r="V840" s="153" t="n"/>
      <c r="W840" s="153" t="n"/>
      <c r="X840" s="153" t="n"/>
      <c r="Y840" s="153" t="n"/>
    </row>
    <row r="841" ht="15.75" customHeight="1" s="154">
      <c r="O841" s="153" t="n"/>
      <c r="P841" s="153" t="n"/>
      <c r="Q841" s="153" t="n"/>
      <c r="R841" s="153" t="n"/>
      <c r="S841" s="153" t="n"/>
      <c r="T841" s="153" t="n"/>
      <c r="U841" s="153" t="n"/>
      <c r="V841" s="153" t="n"/>
      <c r="W841" s="153" t="n"/>
      <c r="X841" s="153" t="n"/>
      <c r="Y841" s="153" t="n"/>
    </row>
    <row r="842" ht="15.75" customHeight="1" s="154">
      <c r="O842" s="153" t="n"/>
      <c r="P842" s="153" t="n"/>
      <c r="Q842" s="153" t="n"/>
      <c r="R842" s="153" t="n"/>
      <c r="S842" s="153" t="n"/>
      <c r="T842" s="153" t="n"/>
      <c r="U842" s="153" t="n"/>
      <c r="V842" s="153" t="n"/>
      <c r="W842" s="153" t="n"/>
      <c r="X842" s="153" t="n"/>
      <c r="Y842" s="153" t="n"/>
    </row>
    <row r="843" ht="15.75" customHeight="1" s="154">
      <c r="O843" s="153" t="n"/>
      <c r="P843" s="153" t="n"/>
      <c r="Q843" s="153" t="n"/>
      <c r="R843" s="153" t="n"/>
      <c r="S843" s="153" t="n"/>
      <c r="T843" s="153" t="n"/>
      <c r="U843" s="153" t="n"/>
      <c r="V843" s="153" t="n"/>
      <c r="W843" s="153" t="n"/>
      <c r="X843" s="153" t="n"/>
      <c r="Y843" s="153" t="n"/>
    </row>
    <row r="844" ht="15.75" customHeight="1" s="154">
      <c r="O844" s="153" t="n"/>
      <c r="P844" s="153" t="n"/>
      <c r="Q844" s="153" t="n"/>
      <c r="R844" s="153" t="n"/>
      <c r="S844" s="153" t="n"/>
      <c r="T844" s="153" t="n"/>
      <c r="U844" s="153" t="n"/>
      <c r="V844" s="153" t="n"/>
      <c r="W844" s="153" t="n"/>
      <c r="X844" s="153" t="n"/>
      <c r="Y844" s="153" t="n"/>
    </row>
    <row r="845" ht="15.75" customHeight="1" s="154">
      <c r="O845" s="153" t="n"/>
      <c r="P845" s="153" t="n"/>
      <c r="Q845" s="153" t="n"/>
      <c r="R845" s="153" t="n"/>
      <c r="S845" s="153" t="n"/>
      <c r="T845" s="153" t="n"/>
      <c r="U845" s="153" t="n"/>
      <c r="V845" s="153" t="n"/>
      <c r="W845" s="153" t="n"/>
      <c r="X845" s="153" t="n"/>
      <c r="Y845" s="153" t="n"/>
    </row>
    <row r="846" ht="15.75" customHeight="1" s="154">
      <c r="O846" s="153" t="n"/>
      <c r="P846" s="153" t="n"/>
      <c r="Q846" s="153" t="n"/>
      <c r="R846" s="153" t="n"/>
      <c r="S846" s="153" t="n"/>
      <c r="T846" s="153" t="n"/>
      <c r="U846" s="153" t="n"/>
      <c r="V846" s="153" t="n"/>
      <c r="W846" s="153" t="n"/>
      <c r="X846" s="153" t="n"/>
      <c r="Y846" s="153" t="n"/>
    </row>
    <row r="847" ht="15.75" customHeight="1" s="154">
      <c r="O847" s="153" t="n"/>
      <c r="P847" s="153" t="n"/>
      <c r="Q847" s="153" t="n"/>
      <c r="R847" s="153" t="n"/>
      <c r="S847" s="153" t="n"/>
      <c r="T847" s="153" t="n"/>
      <c r="U847" s="153" t="n"/>
      <c r="V847" s="153" t="n"/>
      <c r="W847" s="153" t="n"/>
      <c r="X847" s="153" t="n"/>
      <c r="Y847" s="153" t="n"/>
    </row>
    <row r="848" ht="15.75" customHeight="1" s="154">
      <c r="O848" s="153" t="n"/>
      <c r="P848" s="153" t="n"/>
      <c r="Q848" s="153" t="n"/>
      <c r="R848" s="153" t="n"/>
      <c r="S848" s="153" t="n"/>
      <c r="T848" s="153" t="n"/>
      <c r="U848" s="153" t="n"/>
      <c r="V848" s="153" t="n"/>
      <c r="W848" s="153" t="n"/>
      <c r="X848" s="153" t="n"/>
      <c r="Y848" s="153" t="n"/>
    </row>
    <row r="849" ht="15.75" customHeight="1" s="154">
      <c r="O849" s="153" t="n"/>
      <c r="P849" s="153" t="n"/>
      <c r="Q849" s="153" t="n"/>
      <c r="R849" s="153" t="n"/>
      <c r="S849" s="153" t="n"/>
      <c r="T849" s="153" t="n"/>
      <c r="U849" s="153" t="n"/>
      <c r="V849" s="153" t="n"/>
      <c r="W849" s="153" t="n"/>
      <c r="X849" s="153" t="n"/>
      <c r="Y849" s="153" t="n"/>
    </row>
    <row r="850" ht="15.75" customHeight="1" s="154">
      <c r="O850" s="153" t="n"/>
      <c r="P850" s="153" t="n"/>
      <c r="Q850" s="153" t="n"/>
      <c r="R850" s="153" t="n"/>
      <c r="S850" s="153" t="n"/>
      <c r="T850" s="153" t="n"/>
      <c r="U850" s="153" t="n"/>
      <c r="V850" s="153" t="n"/>
      <c r="W850" s="153" t="n"/>
      <c r="X850" s="153" t="n"/>
      <c r="Y850" s="153" t="n"/>
    </row>
    <row r="851" ht="15.75" customHeight="1" s="154">
      <c r="O851" s="153" t="n"/>
      <c r="P851" s="153" t="n"/>
      <c r="Q851" s="153" t="n"/>
      <c r="R851" s="153" t="n"/>
      <c r="S851" s="153" t="n"/>
      <c r="T851" s="153" t="n"/>
      <c r="U851" s="153" t="n"/>
      <c r="V851" s="153" t="n"/>
      <c r="W851" s="153" t="n"/>
      <c r="X851" s="153" t="n"/>
      <c r="Y851" s="153" t="n"/>
    </row>
    <row r="852" ht="15.75" customHeight="1" s="154">
      <c r="O852" s="153" t="n"/>
      <c r="P852" s="153" t="n"/>
      <c r="Q852" s="153" t="n"/>
      <c r="R852" s="153" t="n"/>
      <c r="S852" s="153" t="n"/>
      <c r="T852" s="153" t="n"/>
      <c r="U852" s="153" t="n"/>
      <c r="V852" s="153" t="n"/>
      <c r="W852" s="153" t="n"/>
      <c r="X852" s="153" t="n"/>
      <c r="Y852" s="153" t="n"/>
    </row>
    <row r="853" ht="15.75" customHeight="1" s="154">
      <c r="O853" s="153" t="n"/>
      <c r="P853" s="153" t="n"/>
      <c r="Q853" s="153" t="n"/>
      <c r="R853" s="153" t="n"/>
      <c r="S853" s="153" t="n"/>
      <c r="T853" s="153" t="n"/>
      <c r="U853" s="153" t="n"/>
      <c r="V853" s="153" t="n"/>
      <c r="W853" s="153" t="n"/>
      <c r="X853" s="153" t="n"/>
      <c r="Y853" s="153" t="n"/>
    </row>
    <row r="854" ht="15.75" customHeight="1" s="154">
      <c r="O854" s="153" t="n"/>
      <c r="P854" s="153" t="n"/>
      <c r="Q854" s="153" t="n"/>
      <c r="R854" s="153" t="n"/>
      <c r="S854" s="153" t="n"/>
      <c r="T854" s="153" t="n"/>
      <c r="U854" s="153" t="n"/>
      <c r="V854" s="153" t="n"/>
      <c r="W854" s="153" t="n"/>
      <c r="X854" s="153" t="n"/>
      <c r="Y854" s="153" t="n"/>
    </row>
    <row r="855" ht="15.75" customHeight="1" s="154">
      <c r="O855" s="153" t="n"/>
      <c r="P855" s="153" t="n"/>
      <c r="Q855" s="153" t="n"/>
      <c r="R855" s="153" t="n"/>
      <c r="S855" s="153" t="n"/>
      <c r="T855" s="153" t="n"/>
      <c r="U855" s="153" t="n"/>
      <c r="V855" s="153" t="n"/>
      <c r="W855" s="153" t="n"/>
      <c r="X855" s="153" t="n"/>
      <c r="Y855" s="153" t="n"/>
    </row>
    <row r="856" ht="15.75" customHeight="1" s="154">
      <c r="O856" s="153" t="n"/>
      <c r="P856" s="153" t="n"/>
      <c r="Q856" s="153" t="n"/>
      <c r="R856" s="153" t="n"/>
      <c r="S856" s="153" t="n"/>
      <c r="T856" s="153" t="n"/>
      <c r="U856" s="153" t="n"/>
      <c r="V856" s="153" t="n"/>
      <c r="W856" s="153" t="n"/>
      <c r="X856" s="153" t="n"/>
      <c r="Y856" s="153" t="n"/>
    </row>
    <row r="857" ht="15.75" customHeight="1" s="154">
      <c r="O857" s="153" t="n"/>
      <c r="P857" s="153" t="n"/>
      <c r="Q857" s="153" t="n"/>
      <c r="R857" s="153" t="n"/>
      <c r="S857" s="153" t="n"/>
      <c r="T857" s="153" t="n"/>
      <c r="U857" s="153" t="n"/>
      <c r="V857" s="153" t="n"/>
      <c r="W857" s="153" t="n"/>
      <c r="X857" s="153" t="n"/>
      <c r="Y857" s="153" t="n"/>
    </row>
    <row r="858" ht="15.75" customHeight="1" s="154">
      <c r="O858" s="153" t="n"/>
      <c r="P858" s="153" t="n"/>
      <c r="Q858" s="153" t="n"/>
      <c r="R858" s="153" t="n"/>
      <c r="S858" s="153" t="n"/>
      <c r="T858" s="153" t="n"/>
      <c r="U858" s="153" t="n"/>
      <c r="V858" s="153" t="n"/>
      <c r="W858" s="153" t="n"/>
      <c r="X858" s="153" t="n"/>
      <c r="Y858" s="153" t="n"/>
    </row>
    <row r="859" ht="15.75" customHeight="1" s="154">
      <c r="O859" s="153" t="n"/>
      <c r="P859" s="153" t="n"/>
      <c r="Q859" s="153" t="n"/>
      <c r="R859" s="153" t="n"/>
      <c r="S859" s="153" t="n"/>
      <c r="T859" s="153" t="n"/>
      <c r="U859" s="153" t="n"/>
      <c r="V859" s="153" t="n"/>
      <c r="W859" s="153" t="n"/>
      <c r="X859" s="153" t="n"/>
      <c r="Y859" s="153" t="n"/>
    </row>
    <row r="860" ht="15.75" customHeight="1" s="154">
      <c r="O860" s="153" t="n"/>
      <c r="P860" s="153" t="n"/>
      <c r="Q860" s="153" t="n"/>
      <c r="R860" s="153" t="n"/>
      <c r="S860" s="153" t="n"/>
      <c r="T860" s="153" t="n"/>
      <c r="U860" s="153" t="n"/>
      <c r="V860" s="153" t="n"/>
      <c r="W860" s="153" t="n"/>
      <c r="X860" s="153" t="n"/>
      <c r="Y860" s="153" t="n"/>
    </row>
    <row r="861" ht="15.75" customHeight="1" s="154">
      <c r="O861" s="153" t="n"/>
      <c r="P861" s="153" t="n"/>
      <c r="Q861" s="153" t="n"/>
      <c r="R861" s="153" t="n"/>
      <c r="S861" s="153" t="n"/>
      <c r="T861" s="153" t="n"/>
      <c r="U861" s="153" t="n"/>
      <c r="V861" s="153" t="n"/>
      <c r="W861" s="153" t="n"/>
      <c r="X861" s="153" t="n"/>
      <c r="Y861" s="153" t="n"/>
    </row>
    <row r="862" ht="15.75" customHeight="1" s="154">
      <c r="O862" s="153" t="n"/>
      <c r="P862" s="153" t="n"/>
      <c r="Q862" s="153" t="n"/>
      <c r="R862" s="153" t="n"/>
      <c r="S862" s="153" t="n"/>
      <c r="T862" s="153" t="n"/>
      <c r="U862" s="153" t="n"/>
      <c r="V862" s="153" t="n"/>
      <c r="W862" s="153" t="n"/>
      <c r="X862" s="153" t="n"/>
      <c r="Y862" s="153" t="n"/>
    </row>
    <row r="863" ht="15.75" customHeight="1" s="154">
      <c r="O863" s="153" t="n"/>
      <c r="P863" s="153" t="n"/>
      <c r="Q863" s="153" t="n"/>
      <c r="R863" s="153" t="n"/>
      <c r="S863" s="153" t="n"/>
      <c r="T863" s="153" t="n"/>
      <c r="U863" s="153" t="n"/>
      <c r="V863" s="153" t="n"/>
      <c r="W863" s="153" t="n"/>
      <c r="X863" s="153" t="n"/>
      <c r="Y863" s="153" t="n"/>
    </row>
    <row r="864" ht="15.75" customHeight="1" s="154">
      <c r="O864" s="153" t="n"/>
      <c r="P864" s="153" t="n"/>
      <c r="Q864" s="153" t="n"/>
      <c r="R864" s="153" t="n"/>
      <c r="S864" s="153" t="n"/>
      <c r="T864" s="153" t="n"/>
      <c r="U864" s="153" t="n"/>
      <c r="V864" s="153" t="n"/>
      <c r="W864" s="153" t="n"/>
      <c r="X864" s="153" t="n"/>
      <c r="Y864" s="153" t="n"/>
    </row>
    <row r="865" ht="15.75" customHeight="1" s="154">
      <c r="O865" s="153" t="n"/>
      <c r="P865" s="153" t="n"/>
      <c r="Q865" s="153" t="n"/>
      <c r="R865" s="153" t="n"/>
      <c r="S865" s="153" t="n"/>
      <c r="T865" s="153" t="n"/>
      <c r="U865" s="153" t="n"/>
      <c r="V865" s="153" t="n"/>
      <c r="W865" s="153" t="n"/>
      <c r="X865" s="153" t="n"/>
      <c r="Y865" s="153" t="n"/>
    </row>
    <row r="866" ht="15.75" customHeight="1" s="154">
      <c r="O866" s="153" t="n"/>
      <c r="P866" s="153" t="n"/>
      <c r="Q866" s="153" t="n"/>
      <c r="R866" s="153" t="n"/>
      <c r="S866" s="153" t="n"/>
      <c r="T866" s="153" t="n"/>
      <c r="U866" s="153" t="n"/>
      <c r="V866" s="153" t="n"/>
      <c r="W866" s="153" t="n"/>
      <c r="X866" s="153" t="n"/>
      <c r="Y866" s="153" t="n"/>
    </row>
    <row r="867" ht="15.75" customHeight="1" s="154">
      <c r="O867" s="153" t="n"/>
      <c r="P867" s="153" t="n"/>
      <c r="Q867" s="153" t="n"/>
      <c r="R867" s="153" t="n"/>
      <c r="S867" s="153" t="n"/>
      <c r="T867" s="153" t="n"/>
      <c r="U867" s="153" t="n"/>
      <c r="V867" s="153" t="n"/>
      <c r="W867" s="153" t="n"/>
      <c r="X867" s="153" t="n"/>
      <c r="Y867" s="153" t="n"/>
    </row>
    <row r="868" ht="15.75" customHeight="1" s="154">
      <c r="O868" s="153" t="n"/>
      <c r="P868" s="153" t="n"/>
      <c r="Q868" s="153" t="n"/>
      <c r="R868" s="153" t="n"/>
      <c r="S868" s="153" t="n"/>
      <c r="T868" s="153" t="n"/>
      <c r="U868" s="153" t="n"/>
      <c r="V868" s="153" t="n"/>
      <c r="W868" s="153" t="n"/>
      <c r="X868" s="153" t="n"/>
      <c r="Y868" s="153" t="n"/>
    </row>
    <row r="869" ht="15.75" customHeight="1" s="154">
      <c r="O869" s="153" t="n"/>
      <c r="P869" s="153" t="n"/>
      <c r="Q869" s="153" t="n"/>
      <c r="R869" s="153" t="n"/>
      <c r="S869" s="153" t="n"/>
      <c r="T869" s="153" t="n"/>
      <c r="U869" s="153" t="n"/>
      <c r="V869" s="153" t="n"/>
      <c r="W869" s="153" t="n"/>
      <c r="X869" s="153" t="n"/>
      <c r="Y869" s="153" t="n"/>
    </row>
    <row r="870" ht="15.75" customHeight="1" s="154">
      <c r="O870" s="153" t="n"/>
      <c r="P870" s="153" t="n"/>
      <c r="Q870" s="153" t="n"/>
      <c r="R870" s="153" t="n"/>
      <c r="S870" s="153" t="n"/>
      <c r="T870" s="153" t="n"/>
      <c r="U870" s="153" t="n"/>
      <c r="V870" s="153" t="n"/>
      <c r="W870" s="153" t="n"/>
      <c r="X870" s="153" t="n"/>
      <c r="Y870" s="153" t="n"/>
    </row>
    <row r="871" ht="15.75" customHeight="1" s="154">
      <c r="O871" s="153" t="n"/>
      <c r="P871" s="153" t="n"/>
      <c r="Q871" s="153" t="n"/>
      <c r="R871" s="153" t="n"/>
      <c r="S871" s="153" t="n"/>
      <c r="T871" s="153" t="n"/>
      <c r="U871" s="153" t="n"/>
      <c r="V871" s="153" t="n"/>
      <c r="W871" s="153" t="n"/>
      <c r="X871" s="153" t="n"/>
      <c r="Y871" s="153" t="n"/>
    </row>
    <row r="872" ht="15.75" customHeight="1" s="154">
      <c r="O872" s="153" t="n"/>
      <c r="P872" s="153" t="n"/>
      <c r="Q872" s="153" t="n"/>
      <c r="R872" s="153" t="n"/>
      <c r="S872" s="153" t="n"/>
      <c r="T872" s="153" t="n"/>
      <c r="U872" s="153" t="n"/>
      <c r="V872" s="153" t="n"/>
      <c r="W872" s="153" t="n"/>
      <c r="X872" s="153" t="n"/>
      <c r="Y872" s="153" t="n"/>
    </row>
    <row r="873" ht="15.75" customHeight="1" s="154">
      <c r="O873" s="153" t="n"/>
      <c r="P873" s="153" t="n"/>
      <c r="Q873" s="153" t="n"/>
      <c r="R873" s="153" t="n"/>
      <c r="S873" s="153" t="n"/>
      <c r="T873" s="153" t="n"/>
      <c r="U873" s="153" t="n"/>
      <c r="V873" s="153" t="n"/>
      <c r="W873" s="153" t="n"/>
      <c r="X873" s="153" t="n"/>
      <c r="Y873" s="153" t="n"/>
    </row>
    <row r="874" ht="15.75" customHeight="1" s="154">
      <c r="O874" s="153" t="n"/>
      <c r="P874" s="153" t="n"/>
      <c r="Q874" s="153" t="n"/>
      <c r="R874" s="153" t="n"/>
      <c r="S874" s="153" t="n"/>
      <c r="T874" s="153" t="n"/>
      <c r="U874" s="153" t="n"/>
      <c r="V874" s="153" t="n"/>
      <c r="W874" s="153" t="n"/>
      <c r="X874" s="153" t="n"/>
      <c r="Y874" s="153" t="n"/>
    </row>
    <row r="875" ht="15.75" customHeight="1" s="154">
      <c r="O875" s="153" t="n"/>
      <c r="P875" s="153" t="n"/>
      <c r="Q875" s="153" t="n"/>
      <c r="R875" s="153" t="n"/>
      <c r="S875" s="153" t="n"/>
      <c r="T875" s="153" t="n"/>
      <c r="U875" s="153" t="n"/>
      <c r="V875" s="153" t="n"/>
      <c r="W875" s="153" t="n"/>
      <c r="X875" s="153" t="n"/>
      <c r="Y875" s="153" t="n"/>
    </row>
    <row r="876" ht="15.75" customHeight="1" s="154">
      <c r="O876" s="153" t="n"/>
      <c r="P876" s="153" t="n"/>
      <c r="Q876" s="153" t="n"/>
      <c r="R876" s="153" t="n"/>
      <c r="S876" s="153" t="n"/>
      <c r="T876" s="153" t="n"/>
      <c r="U876" s="153" t="n"/>
      <c r="V876" s="153" t="n"/>
      <c r="W876" s="153" t="n"/>
      <c r="X876" s="153" t="n"/>
      <c r="Y876" s="153" t="n"/>
    </row>
    <row r="877" ht="15.75" customHeight="1" s="154">
      <c r="O877" s="153" t="n"/>
      <c r="P877" s="153" t="n"/>
      <c r="Q877" s="153" t="n"/>
      <c r="R877" s="153" t="n"/>
      <c r="S877" s="153" t="n"/>
      <c r="T877" s="153" t="n"/>
      <c r="U877" s="153" t="n"/>
      <c r="V877" s="153" t="n"/>
      <c r="W877" s="153" t="n"/>
      <c r="X877" s="153" t="n"/>
      <c r="Y877" s="153" t="n"/>
    </row>
    <row r="878" ht="15.75" customHeight="1" s="154">
      <c r="O878" s="153" t="n"/>
      <c r="P878" s="153" t="n"/>
      <c r="Q878" s="153" t="n"/>
      <c r="R878" s="153" t="n"/>
      <c r="S878" s="153" t="n"/>
      <c r="T878" s="153" t="n"/>
      <c r="U878" s="153" t="n"/>
      <c r="V878" s="153" t="n"/>
      <c r="W878" s="153" t="n"/>
      <c r="X878" s="153" t="n"/>
      <c r="Y878" s="153" t="n"/>
    </row>
    <row r="879" ht="15.75" customHeight="1" s="154">
      <c r="O879" s="153" t="n"/>
      <c r="P879" s="153" t="n"/>
      <c r="Q879" s="153" t="n"/>
      <c r="R879" s="153" t="n"/>
      <c r="S879" s="153" t="n"/>
      <c r="T879" s="153" t="n"/>
      <c r="U879" s="153" t="n"/>
      <c r="V879" s="153" t="n"/>
      <c r="W879" s="153" t="n"/>
      <c r="X879" s="153" t="n"/>
      <c r="Y879" s="153" t="n"/>
    </row>
    <row r="880" ht="15.75" customHeight="1" s="154">
      <c r="O880" s="153" t="n"/>
      <c r="P880" s="153" t="n"/>
      <c r="Q880" s="153" t="n"/>
      <c r="R880" s="153" t="n"/>
      <c r="S880" s="153" t="n"/>
      <c r="T880" s="153" t="n"/>
      <c r="U880" s="153" t="n"/>
      <c r="V880" s="153" t="n"/>
      <c r="W880" s="153" t="n"/>
      <c r="X880" s="153" t="n"/>
      <c r="Y880" s="153" t="n"/>
    </row>
    <row r="881" ht="15.75" customHeight="1" s="154">
      <c r="O881" s="153" t="n"/>
      <c r="P881" s="153" t="n"/>
      <c r="Q881" s="153" t="n"/>
      <c r="R881" s="153" t="n"/>
      <c r="S881" s="153" t="n"/>
      <c r="T881" s="153" t="n"/>
      <c r="U881" s="153" t="n"/>
      <c r="V881" s="153" t="n"/>
      <c r="W881" s="153" t="n"/>
      <c r="X881" s="153" t="n"/>
      <c r="Y881" s="153" t="n"/>
    </row>
    <row r="882" ht="15.75" customHeight="1" s="154">
      <c r="O882" s="153" t="n"/>
      <c r="P882" s="153" t="n"/>
      <c r="Q882" s="153" t="n"/>
      <c r="R882" s="153" t="n"/>
      <c r="S882" s="153" t="n"/>
      <c r="T882" s="153" t="n"/>
      <c r="U882" s="153" t="n"/>
      <c r="V882" s="153" t="n"/>
      <c r="W882" s="153" t="n"/>
      <c r="X882" s="153" t="n"/>
      <c r="Y882" s="153" t="n"/>
    </row>
    <row r="883" ht="15.75" customHeight="1" s="154">
      <c r="O883" s="153" t="n"/>
      <c r="P883" s="153" t="n"/>
      <c r="Q883" s="153" t="n"/>
      <c r="R883" s="153" t="n"/>
      <c r="S883" s="153" t="n"/>
      <c r="T883" s="153" t="n"/>
      <c r="U883" s="153" t="n"/>
      <c r="V883" s="153" t="n"/>
      <c r="W883" s="153" t="n"/>
      <c r="X883" s="153" t="n"/>
      <c r="Y883" s="153" t="n"/>
    </row>
    <row r="884" ht="15.75" customHeight="1" s="154">
      <c r="O884" s="153" t="n"/>
      <c r="P884" s="153" t="n"/>
      <c r="Q884" s="153" t="n"/>
      <c r="R884" s="153" t="n"/>
      <c r="S884" s="153" t="n"/>
      <c r="T884" s="153" t="n"/>
      <c r="U884" s="153" t="n"/>
      <c r="V884" s="153" t="n"/>
      <c r="W884" s="153" t="n"/>
      <c r="X884" s="153" t="n"/>
      <c r="Y884" s="153" t="n"/>
    </row>
    <row r="885" ht="15.75" customHeight="1" s="154">
      <c r="O885" s="153" t="n"/>
      <c r="P885" s="153" t="n"/>
      <c r="Q885" s="153" t="n"/>
      <c r="R885" s="153" t="n"/>
      <c r="S885" s="153" t="n"/>
      <c r="T885" s="153" t="n"/>
      <c r="U885" s="153" t="n"/>
      <c r="V885" s="153" t="n"/>
      <c r="W885" s="153" t="n"/>
      <c r="X885" s="153" t="n"/>
      <c r="Y885" s="153" t="n"/>
    </row>
    <row r="886" ht="15.75" customHeight="1" s="154">
      <c r="O886" s="153" t="n"/>
      <c r="P886" s="153" t="n"/>
      <c r="Q886" s="153" t="n"/>
      <c r="R886" s="153" t="n"/>
      <c r="S886" s="153" t="n"/>
      <c r="T886" s="153" t="n"/>
      <c r="U886" s="153" t="n"/>
      <c r="V886" s="153" t="n"/>
      <c r="W886" s="153" t="n"/>
      <c r="X886" s="153" t="n"/>
      <c r="Y886" s="153" t="n"/>
    </row>
    <row r="887" ht="15.75" customHeight="1" s="154">
      <c r="O887" s="153" t="n"/>
      <c r="P887" s="153" t="n"/>
      <c r="Q887" s="153" t="n"/>
      <c r="R887" s="153" t="n"/>
      <c r="S887" s="153" t="n"/>
      <c r="T887" s="153" t="n"/>
      <c r="U887" s="153" t="n"/>
      <c r="V887" s="153" t="n"/>
      <c r="W887" s="153" t="n"/>
      <c r="X887" s="153" t="n"/>
      <c r="Y887" s="153" t="n"/>
    </row>
    <row r="888" ht="15.75" customHeight="1" s="154">
      <c r="O888" s="153" t="n"/>
      <c r="P888" s="153" t="n"/>
      <c r="Q888" s="153" t="n"/>
      <c r="R888" s="153" t="n"/>
      <c r="S888" s="153" t="n"/>
      <c r="T888" s="153" t="n"/>
      <c r="U888" s="153" t="n"/>
      <c r="V888" s="153" t="n"/>
      <c r="W888" s="153" t="n"/>
      <c r="X888" s="153" t="n"/>
      <c r="Y888" s="153" t="n"/>
    </row>
    <row r="889" ht="15.75" customHeight="1" s="154">
      <c r="O889" s="153" t="n"/>
      <c r="P889" s="153" t="n"/>
      <c r="Q889" s="153" t="n"/>
      <c r="R889" s="153" t="n"/>
      <c r="S889" s="153" t="n"/>
      <c r="T889" s="153" t="n"/>
      <c r="U889" s="153" t="n"/>
      <c r="V889" s="153" t="n"/>
      <c r="W889" s="153" t="n"/>
      <c r="X889" s="153" t="n"/>
      <c r="Y889" s="153" t="n"/>
    </row>
    <row r="890" ht="15.75" customHeight="1" s="154">
      <c r="O890" s="153" t="n"/>
      <c r="P890" s="153" t="n"/>
      <c r="Q890" s="153" t="n"/>
      <c r="R890" s="153" t="n"/>
      <c r="S890" s="153" t="n"/>
      <c r="T890" s="153" t="n"/>
      <c r="U890" s="153" t="n"/>
      <c r="V890" s="153" t="n"/>
      <c r="W890" s="153" t="n"/>
      <c r="X890" s="153" t="n"/>
      <c r="Y890" s="153" t="n"/>
    </row>
    <row r="891" ht="15.75" customHeight="1" s="154">
      <c r="O891" s="153" t="n"/>
      <c r="P891" s="153" t="n"/>
      <c r="Q891" s="153" t="n"/>
      <c r="R891" s="153" t="n"/>
      <c r="S891" s="153" t="n"/>
      <c r="T891" s="153" t="n"/>
      <c r="U891" s="153" t="n"/>
      <c r="V891" s="153" t="n"/>
      <c r="W891" s="153" t="n"/>
      <c r="X891" s="153" t="n"/>
      <c r="Y891" s="153" t="n"/>
    </row>
    <row r="892" ht="15.75" customHeight="1" s="154">
      <c r="O892" s="153" t="n"/>
      <c r="P892" s="153" t="n"/>
      <c r="Q892" s="153" t="n"/>
      <c r="R892" s="153" t="n"/>
      <c r="S892" s="153" t="n"/>
      <c r="T892" s="153" t="n"/>
      <c r="U892" s="153" t="n"/>
      <c r="V892" s="153" t="n"/>
      <c r="W892" s="153" t="n"/>
      <c r="X892" s="153" t="n"/>
      <c r="Y892" s="153" t="n"/>
    </row>
    <row r="893" ht="15.75" customHeight="1" s="154">
      <c r="O893" s="153" t="n"/>
      <c r="P893" s="153" t="n"/>
      <c r="Q893" s="153" t="n"/>
      <c r="R893" s="153" t="n"/>
      <c r="S893" s="153" t="n"/>
      <c r="T893" s="153" t="n"/>
      <c r="U893" s="153" t="n"/>
      <c r="V893" s="153" t="n"/>
      <c r="W893" s="153" t="n"/>
      <c r="X893" s="153" t="n"/>
      <c r="Y893" s="153" t="n"/>
    </row>
    <row r="894" ht="15.75" customHeight="1" s="154">
      <c r="O894" s="153" t="n"/>
      <c r="P894" s="153" t="n"/>
      <c r="Q894" s="153" t="n"/>
      <c r="R894" s="153" t="n"/>
      <c r="S894" s="153" t="n"/>
      <c r="T894" s="153" t="n"/>
      <c r="U894" s="153" t="n"/>
      <c r="V894" s="153" t="n"/>
      <c r="W894" s="153" t="n"/>
      <c r="X894" s="153" t="n"/>
      <c r="Y894" s="153" t="n"/>
    </row>
    <row r="895" ht="15.75" customHeight="1" s="154">
      <c r="O895" s="153" t="n"/>
      <c r="P895" s="153" t="n"/>
      <c r="Q895" s="153" t="n"/>
      <c r="R895" s="153" t="n"/>
      <c r="S895" s="153" t="n"/>
      <c r="T895" s="153" t="n"/>
      <c r="U895" s="153" t="n"/>
      <c r="V895" s="153" t="n"/>
      <c r="W895" s="153" t="n"/>
      <c r="X895" s="153" t="n"/>
      <c r="Y895" s="153" t="n"/>
    </row>
    <row r="896" ht="15.75" customHeight="1" s="154">
      <c r="O896" s="153" t="n"/>
      <c r="P896" s="153" t="n"/>
      <c r="Q896" s="153" t="n"/>
      <c r="R896" s="153" t="n"/>
      <c r="S896" s="153" t="n"/>
      <c r="T896" s="153" t="n"/>
      <c r="U896" s="153" t="n"/>
      <c r="V896" s="153" t="n"/>
      <c r="W896" s="153" t="n"/>
      <c r="X896" s="153" t="n"/>
      <c r="Y896" s="153" t="n"/>
    </row>
    <row r="897" ht="15.75" customHeight="1" s="154">
      <c r="O897" s="153" t="n"/>
      <c r="P897" s="153" t="n"/>
      <c r="Q897" s="153" t="n"/>
      <c r="R897" s="153" t="n"/>
      <c r="S897" s="153" t="n"/>
      <c r="T897" s="153" t="n"/>
      <c r="U897" s="153" t="n"/>
      <c r="V897" s="153" t="n"/>
      <c r="W897" s="153" t="n"/>
      <c r="X897" s="153" t="n"/>
      <c r="Y897" s="153" t="n"/>
    </row>
    <row r="898" ht="15.75" customHeight="1" s="154">
      <c r="O898" s="153" t="n"/>
      <c r="P898" s="153" t="n"/>
      <c r="Q898" s="153" t="n"/>
      <c r="R898" s="153" t="n"/>
      <c r="S898" s="153" t="n"/>
      <c r="T898" s="153" t="n"/>
      <c r="U898" s="153" t="n"/>
      <c r="V898" s="153" t="n"/>
      <c r="W898" s="153" t="n"/>
      <c r="X898" s="153" t="n"/>
      <c r="Y898" s="153" t="n"/>
    </row>
    <row r="899" ht="15.75" customHeight="1" s="154">
      <c r="O899" s="153" t="n"/>
      <c r="P899" s="153" t="n"/>
      <c r="Q899" s="153" t="n"/>
      <c r="R899" s="153" t="n"/>
      <c r="S899" s="153" t="n"/>
      <c r="T899" s="153" t="n"/>
      <c r="U899" s="153" t="n"/>
      <c r="V899" s="153" t="n"/>
      <c r="W899" s="153" t="n"/>
      <c r="X899" s="153" t="n"/>
      <c r="Y899" s="153" t="n"/>
    </row>
    <row r="900" ht="15.75" customHeight="1" s="154">
      <c r="O900" s="153" t="n"/>
      <c r="P900" s="153" t="n"/>
      <c r="Q900" s="153" t="n"/>
      <c r="R900" s="153" t="n"/>
      <c r="S900" s="153" t="n"/>
      <c r="T900" s="153" t="n"/>
      <c r="U900" s="153" t="n"/>
      <c r="V900" s="153" t="n"/>
      <c r="W900" s="153" t="n"/>
      <c r="X900" s="153" t="n"/>
      <c r="Y900" s="153" t="n"/>
    </row>
    <row r="901" ht="15.75" customHeight="1" s="154">
      <c r="O901" s="153" t="n"/>
      <c r="P901" s="153" t="n"/>
      <c r="Q901" s="153" t="n"/>
      <c r="R901" s="153" t="n"/>
      <c r="S901" s="153" t="n"/>
      <c r="T901" s="153" t="n"/>
      <c r="U901" s="153" t="n"/>
      <c r="V901" s="153" t="n"/>
      <c r="W901" s="153" t="n"/>
      <c r="X901" s="153" t="n"/>
      <c r="Y901" s="153" t="n"/>
    </row>
    <row r="902" ht="15.75" customHeight="1" s="154">
      <c r="O902" s="153" t="n"/>
      <c r="P902" s="153" t="n"/>
      <c r="Q902" s="153" t="n"/>
      <c r="R902" s="153" t="n"/>
      <c r="S902" s="153" t="n"/>
      <c r="T902" s="153" t="n"/>
      <c r="U902" s="153" t="n"/>
      <c r="V902" s="153" t="n"/>
      <c r="W902" s="153" t="n"/>
      <c r="X902" s="153" t="n"/>
      <c r="Y902" s="153" t="n"/>
    </row>
    <row r="903" ht="15.75" customHeight="1" s="154">
      <c r="O903" s="153" t="n"/>
      <c r="P903" s="153" t="n"/>
      <c r="Q903" s="153" t="n"/>
      <c r="R903" s="153" t="n"/>
      <c r="S903" s="153" t="n"/>
      <c r="T903" s="153" t="n"/>
      <c r="U903" s="153" t="n"/>
      <c r="V903" s="153" t="n"/>
      <c r="W903" s="153" t="n"/>
      <c r="X903" s="153" t="n"/>
      <c r="Y903" s="153" t="n"/>
    </row>
    <row r="904" ht="15.75" customHeight="1" s="154">
      <c r="O904" s="153" t="n"/>
      <c r="P904" s="153" t="n"/>
      <c r="Q904" s="153" t="n"/>
      <c r="R904" s="153" t="n"/>
      <c r="S904" s="153" t="n"/>
      <c r="T904" s="153" t="n"/>
      <c r="U904" s="153" t="n"/>
      <c r="V904" s="153" t="n"/>
      <c r="W904" s="153" t="n"/>
      <c r="X904" s="153" t="n"/>
      <c r="Y904" s="153" t="n"/>
    </row>
    <row r="905" ht="15.75" customHeight="1" s="154">
      <c r="O905" s="153" t="n"/>
      <c r="P905" s="153" t="n"/>
      <c r="Q905" s="153" t="n"/>
      <c r="R905" s="153" t="n"/>
      <c r="S905" s="153" t="n"/>
      <c r="T905" s="153" t="n"/>
      <c r="U905" s="153" t="n"/>
      <c r="V905" s="153" t="n"/>
      <c r="W905" s="153" t="n"/>
      <c r="X905" s="153" t="n"/>
      <c r="Y905" s="153" t="n"/>
    </row>
    <row r="906" ht="15.75" customHeight="1" s="154">
      <c r="O906" s="153" t="n"/>
      <c r="P906" s="153" t="n"/>
      <c r="Q906" s="153" t="n"/>
      <c r="R906" s="153" t="n"/>
      <c r="S906" s="153" t="n"/>
      <c r="T906" s="153" t="n"/>
      <c r="U906" s="153" t="n"/>
      <c r="V906" s="153" t="n"/>
      <c r="W906" s="153" t="n"/>
      <c r="X906" s="153" t="n"/>
      <c r="Y906" s="153" t="n"/>
    </row>
    <row r="907" ht="15.75" customHeight="1" s="154">
      <c r="O907" s="153" t="n"/>
      <c r="P907" s="153" t="n"/>
      <c r="Q907" s="153" t="n"/>
      <c r="R907" s="153" t="n"/>
      <c r="S907" s="153" t="n"/>
      <c r="T907" s="153" t="n"/>
      <c r="U907" s="153" t="n"/>
      <c r="V907" s="153" t="n"/>
      <c r="W907" s="153" t="n"/>
      <c r="X907" s="153" t="n"/>
      <c r="Y907" s="153" t="n"/>
    </row>
    <row r="908" ht="15.75" customHeight="1" s="154">
      <c r="O908" s="153" t="n"/>
      <c r="P908" s="153" t="n"/>
      <c r="Q908" s="153" t="n"/>
      <c r="R908" s="153" t="n"/>
      <c r="S908" s="153" t="n"/>
      <c r="T908" s="153" t="n"/>
      <c r="U908" s="153" t="n"/>
      <c r="V908" s="153" t="n"/>
      <c r="W908" s="153" t="n"/>
      <c r="X908" s="153" t="n"/>
      <c r="Y908" s="153" t="n"/>
    </row>
    <row r="909" ht="15.75" customHeight="1" s="154">
      <c r="O909" s="153" t="n"/>
      <c r="P909" s="153" t="n"/>
      <c r="Q909" s="153" t="n"/>
      <c r="R909" s="153" t="n"/>
      <c r="S909" s="153" t="n"/>
      <c r="T909" s="153" t="n"/>
      <c r="U909" s="153" t="n"/>
      <c r="V909" s="153" t="n"/>
      <c r="W909" s="153" t="n"/>
      <c r="X909" s="153" t="n"/>
      <c r="Y909" s="153" t="n"/>
    </row>
    <row r="910" ht="15.75" customHeight="1" s="154">
      <c r="O910" s="153" t="n"/>
      <c r="P910" s="153" t="n"/>
      <c r="Q910" s="153" t="n"/>
      <c r="R910" s="153" t="n"/>
      <c r="S910" s="153" t="n"/>
      <c r="T910" s="153" t="n"/>
      <c r="U910" s="153" t="n"/>
      <c r="V910" s="153" t="n"/>
      <c r="W910" s="153" t="n"/>
      <c r="X910" s="153" t="n"/>
      <c r="Y910" s="153" t="n"/>
    </row>
    <row r="911" ht="15.75" customHeight="1" s="154">
      <c r="O911" s="153" t="n"/>
      <c r="P911" s="153" t="n"/>
      <c r="Q911" s="153" t="n"/>
      <c r="R911" s="153" t="n"/>
      <c r="S911" s="153" t="n"/>
      <c r="T911" s="153" t="n"/>
      <c r="U911" s="153" t="n"/>
      <c r="V911" s="153" t="n"/>
      <c r="W911" s="153" t="n"/>
      <c r="X911" s="153" t="n"/>
      <c r="Y911" s="153" t="n"/>
    </row>
    <row r="912" ht="15.75" customHeight="1" s="154">
      <c r="O912" s="153" t="n"/>
      <c r="P912" s="153" t="n"/>
      <c r="Q912" s="153" t="n"/>
      <c r="R912" s="153" t="n"/>
      <c r="S912" s="153" t="n"/>
      <c r="T912" s="153" t="n"/>
      <c r="U912" s="153" t="n"/>
      <c r="V912" s="153" t="n"/>
      <c r="W912" s="153" t="n"/>
      <c r="X912" s="153" t="n"/>
      <c r="Y912" s="153" t="n"/>
    </row>
    <row r="913" ht="15.75" customHeight="1" s="154">
      <c r="O913" s="153" t="n"/>
      <c r="P913" s="153" t="n"/>
      <c r="Q913" s="153" t="n"/>
      <c r="R913" s="153" t="n"/>
      <c r="S913" s="153" t="n"/>
      <c r="T913" s="153" t="n"/>
      <c r="U913" s="153" t="n"/>
      <c r="V913" s="153" t="n"/>
      <c r="W913" s="153" t="n"/>
      <c r="X913" s="153" t="n"/>
      <c r="Y913" s="153" t="n"/>
    </row>
    <row r="914" ht="15.75" customHeight="1" s="154">
      <c r="O914" s="153" t="n"/>
      <c r="P914" s="153" t="n"/>
      <c r="Q914" s="153" t="n"/>
      <c r="R914" s="153" t="n"/>
      <c r="S914" s="153" t="n"/>
      <c r="T914" s="153" t="n"/>
      <c r="U914" s="153" t="n"/>
      <c r="V914" s="153" t="n"/>
      <c r="W914" s="153" t="n"/>
      <c r="X914" s="153" t="n"/>
      <c r="Y914" s="153" t="n"/>
    </row>
    <row r="915" ht="15.75" customHeight="1" s="154">
      <c r="O915" s="153" t="n"/>
      <c r="P915" s="153" t="n"/>
      <c r="Q915" s="153" t="n"/>
      <c r="R915" s="153" t="n"/>
      <c r="S915" s="153" t="n"/>
      <c r="T915" s="153" t="n"/>
      <c r="U915" s="153" t="n"/>
      <c r="V915" s="153" t="n"/>
      <c r="W915" s="153" t="n"/>
      <c r="X915" s="153" t="n"/>
      <c r="Y915" s="153" t="n"/>
    </row>
    <row r="916" ht="15.75" customHeight="1" s="154">
      <c r="O916" s="153" t="n"/>
      <c r="P916" s="153" t="n"/>
      <c r="Q916" s="153" t="n"/>
      <c r="R916" s="153" t="n"/>
      <c r="S916" s="153" t="n"/>
      <c r="T916" s="153" t="n"/>
      <c r="U916" s="153" t="n"/>
      <c r="V916" s="153" t="n"/>
      <c r="W916" s="153" t="n"/>
      <c r="X916" s="153" t="n"/>
      <c r="Y916" s="153" t="n"/>
    </row>
    <row r="917" ht="15.75" customHeight="1" s="154">
      <c r="O917" s="153" t="n"/>
      <c r="P917" s="153" t="n"/>
      <c r="Q917" s="153" t="n"/>
      <c r="R917" s="153" t="n"/>
      <c r="S917" s="153" t="n"/>
      <c r="T917" s="153" t="n"/>
      <c r="U917" s="153" t="n"/>
      <c r="V917" s="153" t="n"/>
      <c r="W917" s="153" t="n"/>
      <c r="X917" s="153" t="n"/>
      <c r="Y917" s="153" t="n"/>
    </row>
    <row r="918" ht="15.75" customHeight="1" s="154">
      <c r="O918" s="153" t="n"/>
      <c r="P918" s="153" t="n"/>
      <c r="Q918" s="153" t="n"/>
      <c r="R918" s="153" t="n"/>
      <c r="S918" s="153" t="n"/>
      <c r="T918" s="153" t="n"/>
      <c r="U918" s="153" t="n"/>
      <c r="V918" s="153" t="n"/>
      <c r="W918" s="153" t="n"/>
      <c r="X918" s="153" t="n"/>
      <c r="Y918" s="153" t="n"/>
    </row>
    <row r="919" ht="15.75" customHeight="1" s="154">
      <c r="O919" s="153" t="n"/>
      <c r="P919" s="153" t="n"/>
      <c r="Q919" s="153" t="n"/>
      <c r="R919" s="153" t="n"/>
      <c r="S919" s="153" t="n"/>
      <c r="T919" s="153" t="n"/>
      <c r="U919" s="153" t="n"/>
      <c r="V919" s="153" t="n"/>
      <c r="W919" s="153" t="n"/>
      <c r="X919" s="153" t="n"/>
      <c r="Y919" s="153" t="n"/>
    </row>
    <row r="920" ht="15.75" customHeight="1" s="154">
      <c r="O920" s="153" t="n"/>
      <c r="P920" s="153" t="n"/>
      <c r="Q920" s="153" t="n"/>
      <c r="R920" s="153" t="n"/>
      <c r="S920" s="153" t="n"/>
      <c r="T920" s="153" t="n"/>
      <c r="U920" s="153" t="n"/>
      <c r="V920" s="153" t="n"/>
      <c r="W920" s="153" t="n"/>
      <c r="X920" s="153" t="n"/>
      <c r="Y920" s="153" t="n"/>
    </row>
    <row r="921" ht="15.75" customHeight="1" s="154">
      <c r="O921" s="153" t="n"/>
      <c r="P921" s="153" t="n"/>
      <c r="Q921" s="153" t="n"/>
      <c r="R921" s="153" t="n"/>
      <c r="S921" s="153" t="n"/>
      <c r="T921" s="153" t="n"/>
      <c r="U921" s="153" t="n"/>
      <c r="V921" s="153" t="n"/>
      <c r="W921" s="153" t="n"/>
      <c r="X921" s="153" t="n"/>
      <c r="Y921" s="153" t="n"/>
    </row>
    <row r="922" ht="15.75" customHeight="1" s="154">
      <c r="O922" s="153" t="n"/>
      <c r="P922" s="153" t="n"/>
      <c r="Q922" s="153" t="n"/>
      <c r="R922" s="153" t="n"/>
      <c r="S922" s="153" t="n"/>
      <c r="T922" s="153" t="n"/>
      <c r="U922" s="153" t="n"/>
      <c r="V922" s="153" t="n"/>
      <c r="W922" s="153" t="n"/>
      <c r="X922" s="153" t="n"/>
      <c r="Y922" s="153" t="n"/>
    </row>
    <row r="923" ht="15.75" customHeight="1" s="154">
      <c r="O923" s="153" t="n"/>
      <c r="P923" s="153" t="n"/>
      <c r="Q923" s="153" t="n"/>
      <c r="R923" s="153" t="n"/>
      <c r="S923" s="153" t="n"/>
      <c r="T923" s="153" t="n"/>
      <c r="U923" s="153" t="n"/>
      <c r="V923" s="153" t="n"/>
      <c r="W923" s="153" t="n"/>
      <c r="X923" s="153" t="n"/>
      <c r="Y923" s="153" t="n"/>
    </row>
    <row r="924" ht="15.75" customHeight="1" s="154">
      <c r="O924" s="153" t="n"/>
      <c r="P924" s="153" t="n"/>
      <c r="Q924" s="153" t="n"/>
      <c r="R924" s="153" t="n"/>
      <c r="S924" s="153" t="n"/>
      <c r="T924" s="153" t="n"/>
      <c r="U924" s="153" t="n"/>
      <c r="V924" s="153" t="n"/>
      <c r="W924" s="153" t="n"/>
      <c r="X924" s="153" t="n"/>
      <c r="Y924" s="153" t="n"/>
    </row>
    <row r="925" ht="15.75" customHeight="1" s="154">
      <c r="O925" s="153" t="n"/>
      <c r="P925" s="153" t="n"/>
      <c r="Q925" s="153" t="n"/>
      <c r="R925" s="153" t="n"/>
      <c r="S925" s="153" t="n"/>
      <c r="T925" s="153" t="n"/>
      <c r="U925" s="153" t="n"/>
      <c r="V925" s="153" t="n"/>
      <c r="W925" s="153" t="n"/>
      <c r="X925" s="153" t="n"/>
      <c r="Y925" s="153" t="n"/>
    </row>
    <row r="926" ht="15.75" customHeight="1" s="154">
      <c r="O926" s="153" t="n"/>
      <c r="P926" s="153" t="n"/>
      <c r="Q926" s="153" t="n"/>
      <c r="R926" s="153" t="n"/>
      <c r="S926" s="153" t="n"/>
      <c r="T926" s="153" t="n"/>
      <c r="U926" s="153" t="n"/>
      <c r="V926" s="153" t="n"/>
      <c r="W926" s="153" t="n"/>
      <c r="X926" s="153" t="n"/>
      <c r="Y926" s="153" t="n"/>
    </row>
    <row r="927" ht="15.75" customHeight="1" s="154">
      <c r="O927" s="153" t="n"/>
      <c r="P927" s="153" t="n"/>
      <c r="Q927" s="153" t="n"/>
      <c r="R927" s="153" t="n"/>
      <c r="S927" s="153" t="n"/>
      <c r="T927" s="153" t="n"/>
      <c r="U927" s="153" t="n"/>
      <c r="V927" s="153" t="n"/>
      <c r="W927" s="153" t="n"/>
      <c r="X927" s="153" t="n"/>
      <c r="Y927" s="153" t="n"/>
    </row>
    <row r="928" ht="15.75" customHeight="1" s="154">
      <c r="O928" s="153" t="n"/>
      <c r="P928" s="153" t="n"/>
      <c r="Q928" s="153" t="n"/>
      <c r="R928" s="153" t="n"/>
      <c r="S928" s="153" t="n"/>
      <c r="T928" s="153" t="n"/>
      <c r="U928" s="153" t="n"/>
      <c r="V928" s="153" t="n"/>
      <c r="W928" s="153" t="n"/>
      <c r="X928" s="153" t="n"/>
      <c r="Y928" s="153" t="n"/>
    </row>
    <row r="929" ht="15.75" customHeight="1" s="154">
      <c r="O929" s="153" t="n"/>
      <c r="P929" s="153" t="n"/>
      <c r="Q929" s="153" t="n"/>
      <c r="R929" s="153" t="n"/>
      <c r="S929" s="153" t="n"/>
      <c r="T929" s="153" t="n"/>
      <c r="U929" s="153" t="n"/>
      <c r="V929" s="153" t="n"/>
      <c r="W929" s="153" t="n"/>
      <c r="X929" s="153" t="n"/>
      <c r="Y929" s="153" t="n"/>
    </row>
    <row r="930" ht="15.75" customHeight="1" s="154">
      <c r="O930" s="153" t="n"/>
      <c r="P930" s="153" t="n"/>
      <c r="Q930" s="153" t="n"/>
      <c r="R930" s="153" t="n"/>
      <c r="S930" s="153" t="n"/>
      <c r="T930" s="153" t="n"/>
      <c r="U930" s="153" t="n"/>
      <c r="V930" s="153" t="n"/>
      <c r="W930" s="153" t="n"/>
      <c r="X930" s="153" t="n"/>
      <c r="Y930" s="153" t="n"/>
    </row>
    <row r="931" ht="15.75" customHeight="1" s="154">
      <c r="O931" s="153" t="n"/>
      <c r="P931" s="153" t="n"/>
      <c r="Q931" s="153" t="n"/>
      <c r="R931" s="153" t="n"/>
      <c r="S931" s="153" t="n"/>
      <c r="T931" s="153" t="n"/>
      <c r="U931" s="153" t="n"/>
      <c r="V931" s="153" t="n"/>
      <c r="W931" s="153" t="n"/>
      <c r="X931" s="153" t="n"/>
      <c r="Y931" s="153" t="n"/>
    </row>
    <row r="932" ht="15.75" customHeight="1" s="154">
      <c r="O932" s="153" t="n"/>
      <c r="P932" s="153" t="n"/>
      <c r="Q932" s="153" t="n"/>
      <c r="R932" s="153" t="n"/>
      <c r="S932" s="153" t="n"/>
      <c r="T932" s="153" t="n"/>
      <c r="U932" s="153" t="n"/>
      <c r="V932" s="153" t="n"/>
      <c r="W932" s="153" t="n"/>
      <c r="X932" s="153" t="n"/>
      <c r="Y932" s="153" t="n"/>
    </row>
    <row r="933" ht="15.75" customHeight="1" s="154">
      <c r="O933" s="153" t="n"/>
      <c r="P933" s="153" t="n"/>
      <c r="Q933" s="153" t="n"/>
      <c r="R933" s="153" t="n"/>
      <c r="S933" s="153" t="n"/>
      <c r="T933" s="153" t="n"/>
      <c r="U933" s="153" t="n"/>
      <c r="V933" s="153" t="n"/>
      <c r="W933" s="153" t="n"/>
      <c r="X933" s="153" t="n"/>
      <c r="Y933" s="153" t="n"/>
    </row>
    <row r="934" ht="15.75" customHeight="1" s="154">
      <c r="O934" s="153" t="n"/>
      <c r="P934" s="153" t="n"/>
      <c r="Q934" s="153" t="n"/>
      <c r="R934" s="153" t="n"/>
      <c r="S934" s="153" t="n"/>
      <c r="T934" s="153" t="n"/>
      <c r="U934" s="153" t="n"/>
      <c r="V934" s="153" t="n"/>
      <c r="W934" s="153" t="n"/>
      <c r="X934" s="153" t="n"/>
      <c r="Y934" s="153" t="n"/>
    </row>
    <row r="935" ht="15.75" customHeight="1" s="154">
      <c r="O935" s="153" t="n"/>
      <c r="P935" s="153" t="n"/>
      <c r="Q935" s="153" t="n"/>
      <c r="R935" s="153" t="n"/>
      <c r="S935" s="153" t="n"/>
      <c r="T935" s="153" t="n"/>
      <c r="U935" s="153" t="n"/>
      <c r="V935" s="153" t="n"/>
      <c r="W935" s="153" t="n"/>
      <c r="X935" s="153" t="n"/>
      <c r="Y935" s="153" t="n"/>
    </row>
    <row r="936" ht="15.75" customHeight="1" s="154">
      <c r="O936" s="153" t="n"/>
      <c r="P936" s="153" t="n"/>
      <c r="Q936" s="153" t="n"/>
      <c r="R936" s="153" t="n"/>
      <c r="S936" s="153" t="n"/>
      <c r="T936" s="153" t="n"/>
      <c r="U936" s="153" t="n"/>
      <c r="V936" s="153" t="n"/>
      <c r="W936" s="153" t="n"/>
      <c r="X936" s="153" t="n"/>
      <c r="Y936" s="153" t="n"/>
    </row>
    <row r="937" ht="15.75" customHeight="1" s="154">
      <c r="O937" s="153" t="n"/>
      <c r="P937" s="153" t="n"/>
      <c r="Q937" s="153" t="n"/>
      <c r="R937" s="153" t="n"/>
      <c r="S937" s="153" t="n"/>
      <c r="T937" s="153" t="n"/>
      <c r="U937" s="153" t="n"/>
      <c r="V937" s="153" t="n"/>
      <c r="W937" s="153" t="n"/>
      <c r="X937" s="153" t="n"/>
      <c r="Y937" s="153" t="n"/>
    </row>
    <row r="938" ht="15.75" customHeight="1" s="154">
      <c r="O938" s="153" t="n"/>
      <c r="P938" s="153" t="n"/>
      <c r="Q938" s="153" t="n"/>
      <c r="R938" s="153" t="n"/>
      <c r="S938" s="153" t="n"/>
      <c r="T938" s="153" t="n"/>
      <c r="U938" s="153" t="n"/>
      <c r="V938" s="153" t="n"/>
      <c r="W938" s="153" t="n"/>
      <c r="X938" s="153" t="n"/>
      <c r="Y938" s="153" t="n"/>
    </row>
    <row r="939" ht="15.75" customHeight="1" s="154">
      <c r="O939" s="153" t="n"/>
      <c r="P939" s="153" t="n"/>
      <c r="Q939" s="153" t="n"/>
      <c r="R939" s="153" t="n"/>
      <c r="S939" s="153" t="n"/>
      <c r="T939" s="153" t="n"/>
      <c r="U939" s="153" t="n"/>
      <c r="V939" s="153" t="n"/>
      <c r="W939" s="153" t="n"/>
      <c r="X939" s="153" t="n"/>
      <c r="Y939" s="153" t="n"/>
    </row>
    <row r="940" ht="15.75" customHeight="1" s="154">
      <c r="O940" s="153" t="n"/>
      <c r="P940" s="153" t="n"/>
      <c r="Q940" s="153" t="n"/>
      <c r="R940" s="153" t="n"/>
      <c r="S940" s="153" t="n"/>
      <c r="T940" s="153" t="n"/>
      <c r="U940" s="153" t="n"/>
      <c r="V940" s="153" t="n"/>
      <c r="W940" s="153" t="n"/>
      <c r="X940" s="153" t="n"/>
      <c r="Y940" s="153" t="n"/>
    </row>
    <row r="941" ht="15.75" customHeight="1" s="154">
      <c r="O941" s="153" t="n"/>
      <c r="P941" s="153" t="n"/>
      <c r="Q941" s="153" t="n"/>
      <c r="R941" s="153" t="n"/>
      <c r="S941" s="153" t="n"/>
      <c r="T941" s="153" t="n"/>
      <c r="U941" s="153" t="n"/>
      <c r="V941" s="153" t="n"/>
      <c r="W941" s="153" t="n"/>
      <c r="X941" s="153" t="n"/>
      <c r="Y941" s="153" t="n"/>
    </row>
    <row r="942" ht="15.75" customHeight="1" s="154">
      <c r="O942" s="153" t="n"/>
      <c r="P942" s="153" t="n"/>
      <c r="Q942" s="153" t="n"/>
      <c r="R942" s="153" t="n"/>
      <c r="S942" s="153" t="n"/>
      <c r="T942" s="153" t="n"/>
      <c r="U942" s="153" t="n"/>
      <c r="V942" s="153" t="n"/>
      <c r="W942" s="153" t="n"/>
      <c r="X942" s="153" t="n"/>
      <c r="Y942" s="153" t="n"/>
    </row>
    <row r="943" ht="15.75" customHeight="1" s="154">
      <c r="O943" s="153" t="n"/>
      <c r="P943" s="153" t="n"/>
      <c r="Q943" s="153" t="n"/>
      <c r="R943" s="153" t="n"/>
      <c r="S943" s="153" t="n"/>
      <c r="T943" s="153" t="n"/>
      <c r="U943" s="153" t="n"/>
      <c r="V943" s="153" t="n"/>
      <c r="W943" s="153" t="n"/>
      <c r="X943" s="153" t="n"/>
      <c r="Y943" s="153" t="n"/>
    </row>
    <row r="944" ht="15.75" customHeight="1" s="154">
      <c r="O944" s="153" t="n"/>
      <c r="P944" s="153" t="n"/>
      <c r="Q944" s="153" t="n"/>
      <c r="R944" s="153" t="n"/>
      <c r="S944" s="153" t="n"/>
      <c r="T944" s="153" t="n"/>
      <c r="U944" s="153" t="n"/>
      <c r="V944" s="153" t="n"/>
      <c r="W944" s="153" t="n"/>
      <c r="X944" s="153" t="n"/>
      <c r="Y944" s="153" t="n"/>
    </row>
    <row r="945" ht="15.75" customHeight="1" s="154">
      <c r="O945" s="153" t="n"/>
      <c r="P945" s="153" t="n"/>
      <c r="Q945" s="153" t="n"/>
      <c r="R945" s="153" t="n"/>
      <c r="S945" s="153" t="n"/>
      <c r="T945" s="153" t="n"/>
      <c r="U945" s="153" t="n"/>
      <c r="V945" s="153" t="n"/>
      <c r="W945" s="153" t="n"/>
      <c r="X945" s="153" t="n"/>
      <c r="Y945" s="153" t="n"/>
    </row>
    <row r="946" ht="15.75" customHeight="1" s="154">
      <c r="O946" s="153" t="n"/>
      <c r="P946" s="153" t="n"/>
      <c r="Q946" s="153" t="n"/>
      <c r="R946" s="153" t="n"/>
      <c r="S946" s="153" t="n"/>
      <c r="T946" s="153" t="n"/>
      <c r="U946" s="153" t="n"/>
      <c r="V946" s="153" t="n"/>
      <c r="W946" s="153" t="n"/>
      <c r="X946" s="153" t="n"/>
      <c r="Y946" s="153" t="n"/>
    </row>
    <row r="947" ht="15.75" customHeight="1" s="154">
      <c r="O947" s="153" t="n"/>
      <c r="P947" s="153" t="n"/>
      <c r="Q947" s="153" t="n"/>
      <c r="R947" s="153" t="n"/>
      <c r="S947" s="153" t="n"/>
      <c r="T947" s="153" t="n"/>
      <c r="U947" s="153" t="n"/>
      <c r="V947" s="153" t="n"/>
      <c r="W947" s="153" t="n"/>
      <c r="X947" s="153" t="n"/>
      <c r="Y947" s="153" t="n"/>
    </row>
    <row r="948" ht="15.75" customHeight="1" s="154">
      <c r="O948" s="153" t="n"/>
      <c r="P948" s="153" t="n"/>
      <c r="Q948" s="153" t="n"/>
      <c r="R948" s="153" t="n"/>
      <c r="S948" s="153" t="n"/>
      <c r="T948" s="153" t="n"/>
      <c r="U948" s="153" t="n"/>
      <c r="V948" s="153" t="n"/>
      <c r="W948" s="153" t="n"/>
      <c r="X948" s="153" t="n"/>
      <c r="Y948" s="153" t="n"/>
    </row>
    <row r="949" ht="15.75" customHeight="1" s="154">
      <c r="O949" s="153" t="n"/>
      <c r="P949" s="153" t="n"/>
      <c r="Q949" s="153" t="n"/>
      <c r="R949" s="153" t="n"/>
      <c r="S949" s="153" t="n"/>
      <c r="T949" s="153" t="n"/>
      <c r="U949" s="153" t="n"/>
      <c r="V949" s="153" t="n"/>
      <c r="W949" s="153" t="n"/>
      <c r="X949" s="153" t="n"/>
      <c r="Y949" s="153" t="n"/>
    </row>
    <row r="950" ht="15.75" customHeight="1" s="154">
      <c r="O950" s="153" t="n"/>
      <c r="P950" s="153" t="n"/>
      <c r="Q950" s="153" t="n"/>
      <c r="R950" s="153" t="n"/>
      <c r="S950" s="153" t="n"/>
      <c r="T950" s="153" t="n"/>
      <c r="U950" s="153" t="n"/>
      <c r="V950" s="153" t="n"/>
      <c r="W950" s="153" t="n"/>
      <c r="X950" s="153" t="n"/>
      <c r="Y950" s="153" t="n"/>
    </row>
    <row r="951" ht="15.75" customHeight="1" s="154">
      <c r="O951" s="153" t="n"/>
      <c r="P951" s="153" t="n"/>
      <c r="Q951" s="153" t="n"/>
      <c r="R951" s="153" t="n"/>
      <c r="S951" s="153" t="n"/>
      <c r="T951" s="153" t="n"/>
      <c r="U951" s="153" t="n"/>
      <c r="V951" s="153" t="n"/>
      <c r="W951" s="153" t="n"/>
      <c r="X951" s="153" t="n"/>
      <c r="Y951" s="153" t="n"/>
    </row>
    <row r="952" ht="15.75" customHeight="1" s="154">
      <c r="O952" s="153" t="n"/>
      <c r="P952" s="153" t="n"/>
      <c r="Q952" s="153" t="n"/>
      <c r="R952" s="153" t="n"/>
      <c r="S952" s="153" t="n"/>
      <c r="T952" s="153" t="n"/>
      <c r="U952" s="153" t="n"/>
      <c r="V952" s="153" t="n"/>
      <c r="W952" s="153" t="n"/>
      <c r="X952" s="153" t="n"/>
      <c r="Y952" s="153" t="n"/>
    </row>
    <row r="953" ht="15.75" customHeight="1" s="154">
      <c r="O953" s="153" t="n"/>
      <c r="P953" s="153" t="n"/>
      <c r="Q953" s="153" t="n"/>
      <c r="R953" s="153" t="n"/>
      <c r="S953" s="153" t="n"/>
      <c r="T953" s="153" t="n"/>
      <c r="U953" s="153" t="n"/>
      <c r="V953" s="153" t="n"/>
      <c r="W953" s="153" t="n"/>
      <c r="X953" s="153" t="n"/>
      <c r="Y953" s="153" t="n"/>
    </row>
    <row r="954" ht="15.75" customHeight="1" s="154">
      <c r="O954" s="153" t="n"/>
      <c r="P954" s="153" t="n"/>
      <c r="Q954" s="153" t="n"/>
      <c r="R954" s="153" t="n"/>
      <c r="S954" s="153" t="n"/>
      <c r="T954" s="153" t="n"/>
      <c r="U954" s="153" t="n"/>
      <c r="V954" s="153" t="n"/>
      <c r="W954" s="153" t="n"/>
      <c r="X954" s="153" t="n"/>
      <c r="Y954" s="153" t="n"/>
    </row>
    <row r="955" ht="15.75" customHeight="1" s="154">
      <c r="O955" s="153" t="n"/>
      <c r="P955" s="153" t="n"/>
      <c r="Q955" s="153" t="n"/>
      <c r="R955" s="153" t="n"/>
      <c r="S955" s="153" t="n"/>
      <c r="T955" s="153" t="n"/>
      <c r="U955" s="153" t="n"/>
      <c r="V955" s="153" t="n"/>
      <c r="W955" s="153" t="n"/>
      <c r="X955" s="153" t="n"/>
      <c r="Y955" s="153" t="n"/>
    </row>
    <row r="956" ht="15.75" customHeight="1" s="154">
      <c r="O956" s="153" t="n"/>
      <c r="P956" s="153" t="n"/>
      <c r="Q956" s="153" t="n"/>
      <c r="R956" s="153" t="n"/>
      <c r="S956" s="153" t="n"/>
      <c r="T956" s="153" t="n"/>
      <c r="U956" s="153" t="n"/>
      <c r="V956" s="153" t="n"/>
      <c r="W956" s="153" t="n"/>
      <c r="X956" s="153" t="n"/>
      <c r="Y956" s="153" t="n"/>
    </row>
    <row r="957" ht="15.75" customHeight="1" s="154">
      <c r="O957" s="153" t="n"/>
      <c r="P957" s="153" t="n"/>
      <c r="Q957" s="153" t="n"/>
      <c r="R957" s="153" t="n"/>
      <c r="S957" s="153" t="n"/>
      <c r="T957" s="153" t="n"/>
      <c r="U957" s="153" t="n"/>
      <c r="V957" s="153" t="n"/>
      <c r="W957" s="153" t="n"/>
      <c r="X957" s="153" t="n"/>
      <c r="Y957" s="153" t="n"/>
    </row>
    <row r="958" ht="15.75" customHeight="1" s="154">
      <c r="O958" s="153" t="n"/>
      <c r="P958" s="153" t="n"/>
      <c r="Q958" s="153" t="n"/>
      <c r="R958" s="153" t="n"/>
      <c r="S958" s="153" t="n"/>
      <c r="T958" s="153" t="n"/>
      <c r="U958" s="153" t="n"/>
      <c r="V958" s="153" t="n"/>
      <c r="W958" s="153" t="n"/>
      <c r="X958" s="153" t="n"/>
      <c r="Y958" s="153" t="n"/>
    </row>
    <row r="959" ht="15.75" customHeight="1" s="154">
      <c r="O959" s="153" t="n"/>
      <c r="P959" s="153" t="n"/>
      <c r="Q959" s="153" t="n"/>
      <c r="R959" s="153" t="n"/>
      <c r="S959" s="153" t="n"/>
      <c r="T959" s="153" t="n"/>
      <c r="U959" s="153" t="n"/>
      <c r="V959" s="153" t="n"/>
      <c r="W959" s="153" t="n"/>
      <c r="X959" s="153" t="n"/>
      <c r="Y959" s="153" t="n"/>
    </row>
    <row r="960" ht="15.75" customHeight="1" s="154">
      <c r="O960" s="153" t="n"/>
      <c r="P960" s="153" t="n"/>
      <c r="Q960" s="153" t="n"/>
      <c r="R960" s="153" t="n"/>
      <c r="S960" s="153" t="n"/>
      <c r="T960" s="153" t="n"/>
      <c r="U960" s="153" t="n"/>
      <c r="V960" s="153" t="n"/>
      <c r="W960" s="153" t="n"/>
      <c r="X960" s="153" t="n"/>
      <c r="Y960" s="153" t="n"/>
    </row>
    <row r="961" ht="15.75" customHeight="1" s="154">
      <c r="O961" s="153" t="n"/>
      <c r="P961" s="153" t="n"/>
      <c r="Q961" s="153" t="n"/>
      <c r="R961" s="153" t="n"/>
      <c r="S961" s="153" t="n"/>
      <c r="T961" s="153" t="n"/>
      <c r="U961" s="153" t="n"/>
      <c r="V961" s="153" t="n"/>
      <c r="W961" s="153" t="n"/>
      <c r="X961" s="153" t="n"/>
      <c r="Y961" s="153" t="n"/>
    </row>
    <row r="962" ht="15.75" customHeight="1" s="154">
      <c r="O962" s="153" t="n"/>
      <c r="P962" s="153" t="n"/>
      <c r="Q962" s="153" t="n"/>
      <c r="R962" s="153" t="n"/>
      <c r="S962" s="153" t="n"/>
      <c r="T962" s="153" t="n"/>
      <c r="U962" s="153" t="n"/>
      <c r="V962" s="153" t="n"/>
      <c r="W962" s="153" t="n"/>
      <c r="X962" s="153" t="n"/>
      <c r="Y962" s="153" t="n"/>
    </row>
    <row r="963" ht="15.75" customHeight="1" s="154">
      <c r="O963" s="153" t="n"/>
      <c r="P963" s="153" t="n"/>
      <c r="Q963" s="153" t="n"/>
      <c r="R963" s="153" t="n"/>
      <c r="S963" s="153" t="n"/>
      <c r="T963" s="153" t="n"/>
      <c r="U963" s="153" t="n"/>
      <c r="V963" s="153" t="n"/>
      <c r="W963" s="153" t="n"/>
      <c r="X963" s="153" t="n"/>
      <c r="Y963" s="153" t="n"/>
    </row>
    <row r="964" ht="15.75" customHeight="1" s="154">
      <c r="O964" s="153" t="n"/>
      <c r="P964" s="153" t="n"/>
      <c r="Q964" s="153" t="n"/>
      <c r="R964" s="153" t="n"/>
      <c r="S964" s="153" t="n"/>
      <c r="T964" s="153" t="n"/>
      <c r="U964" s="153" t="n"/>
      <c r="V964" s="153" t="n"/>
      <c r="W964" s="153" t="n"/>
      <c r="X964" s="153" t="n"/>
      <c r="Y964" s="153" t="n"/>
    </row>
    <row r="965" ht="15.75" customHeight="1" s="154">
      <c r="O965" s="153" t="n"/>
      <c r="P965" s="153" t="n"/>
      <c r="Q965" s="153" t="n"/>
      <c r="R965" s="153" t="n"/>
      <c r="S965" s="153" t="n"/>
      <c r="T965" s="153" t="n"/>
      <c r="U965" s="153" t="n"/>
      <c r="V965" s="153" t="n"/>
      <c r="W965" s="153" t="n"/>
      <c r="X965" s="153" t="n"/>
      <c r="Y965" s="153" t="n"/>
    </row>
    <row r="966" ht="15.75" customHeight="1" s="154">
      <c r="O966" s="153" t="n"/>
      <c r="P966" s="153" t="n"/>
      <c r="Q966" s="153" t="n"/>
      <c r="R966" s="153" t="n"/>
      <c r="S966" s="153" t="n"/>
      <c r="T966" s="153" t="n"/>
      <c r="U966" s="153" t="n"/>
      <c r="V966" s="153" t="n"/>
      <c r="W966" s="153" t="n"/>
      <c r="X966" s="153" t="n"/>
      <c r="Y966" s="153" t="n"/>
    </row>
    <row r="967" ht="15.75" customHeight="1" s="154">
      <c r="O967" s="153" t="n"/>
      <c r="P967" s="153" t="n"/>
      <c r="Q967" s="153" t="n"/>
      <c r="R967" s="153" t="n"/>
      <c r="S967" s="153" t="n"/>
      <c r="T967" s="153" t="n"/>
      <c r="U967" s="153" t="n"/>
      <c r="V967" s="153" t="n"/>
      <c r="W967" s="153" t="n"/>
      <c r="X967" s="153" t="n"/>
      <c r="Y967" s="153" t="n"/>
    </row>
    <row r="968" ht="15.75" customHeight="1" s="154">
      <c r="O968" s="153" t="n"/>
      <c r="P968" s="153" t="n"/>
      <c r="Q968" s="153" t="n"/>
      <c r="R968" s="153" t="n"/>
      <c r="S968" s="153" t="n"/>
      <c r="T968" s="153" t="n"/>
      <c r="U968" s="153" t="n"/>
      <c r="V968" s="153" t="n"/>
      <c r="W968" s="153" t="n"/>
      <c r="X968" s="153" t="n"/>
      <c r="Y968" s="153" t="n"/>
    </row>
    <row r="969" ht="15.75" customHeight="1" s="154">
      <c r="O969" s="153" t="n"/>
      <c r="P969" s="153" t="n"/>
      <c r="Q969" s="153" t="n"/>
      <c r="R969" s="153" t="n"/>
      <c r="S969" s="153" t="n"/>
      <c r="T969" s="153" t="n"/>
      <c r="U969" s="153" t="n"/>
      <c r="V969" s="153" t="n"/>
      <c r="W969" s="153" t="n"/>
      <c r="X969" s="153" t="n"/>
      <c r="Y969" s="153" t="n"/>
    </row>
    <row r="970" ht="15.75" customHeight="1" s="154">
      <c r="O970" s="153" t="n"/>
      <c r="P970" s="153" t="n"/>
      <c r="Q970" s="153" t="n"/>
      <c r="R970" s="153" t="n"/>
      <c r="S970" s="153" t="n"/>
      <c r="T970" s="153" t="n"/>
      <c r="U970" s="153" t="n"/>
      <c r="V970" s="153" t="n"/>
      <c r="W970" s="153" t="n"/>
      <c r="X970" s="153" t="n"/>
      <c r="Y970" s="153" t="n"/>
    </row>
    <row r="971" ht="15.75" customHeight="1" s="154">
      <c r="O971" s="153" t="n"/>
      <c r="P971" s="153" t="n"/>
      <c r="Q971" s="153" t="n"/>
      <c r="R971" s="153" t="n"/>
      <c r="S971" s="153" t="n"/>
      <c r="T971" s="153" t="n"/>
      <c r="U971" s="153" t="n"/>
      <c r="V971" s="153" t="n"/>
      <c r="W971" s="153" t="n"/>
      <c r="X971" s="153" t="n"/>
      <c r="Y971" s="153" t="n"/>
    </row>
    <row r="972" ht="15.75" customHeight="1" s="154">
      <c r="O972" s="153" t="n"/>
      <c r="P972" s="153" t="n"/>
      <c r="Q972" s="153" t="n"/>
      <c r="R972" s="153" t="n"/>
      <c r="S972" s="153" t="n"/>
      <c r="T972" s="153" t="n"/>
      <c r="U972" s="153" t="n"/>
      <c r="V972" s="153" t="n"/>
      <c r="W972" s="153" t="n"/>
      <c r="X972" s="153" t="n"/>
      <c r="Y972" s="153" t="n"/>
    </row>
    <row r="973" ht="15.75" customHeight="1" s="154">
      <c r="O973" s="153" t="n"/>
      <c r="P973" s="153" t="n"/>
      <c r="Q973" s="153" t="n"/>
      <c r="R973" s="153" t="n"/>
      <c r="S973" s="153" t="n"/>
      <c r="T973" s="153" t="n"/>
      <c r="U973" s="153" t="n"/>
      <c r="V973" s="153" t="n"/>
      <c r="W973" s="153" t="n"/>
      <c r="X973" s="153" t="n"/>
      <c r="Y973" s="153" t="n"/>
    </row>
    <row r="974" ht="15.75" customHeight="1" s="154">
      <c r="O974" s="153" t="n"/>
      <c r="P974" s="153" t="n"/>
      <c r="Q974" s="153" t="n"/>
      <c r="R974" s="153" t="n"/>
      <c r="S974" s="153" t="n"/>
      <c r="T974" s="153" t="n"/>
      <c r="U974" s="153" t="n"/>
      <c r="V974" s="153" t="n"/>
      <c r="W974" s="153" t="n"/>
      <c r="X974" s="153" t="n"/>
      <c r="Y974" s="153" t="n"/>
    </row>
    <row r="975" ht="15.75" customHeight="1" s="154">
      <c r="O975" s="153" t="n"/>
      <c r="P975" s="153" t="n"/>
      <c r="Q975" s="153" t="n"/>
      <c r="R975" s="153" t="n"/>
      <c r="S975" s="153" t="n"/>
      <c r="T975" s="153" t="n"/>
      <c r="U975" s="153" t="n"/>
      <c r="V975" s="153" t="n"/>
      <c r="W975" s="153" t="n"/>
      <c r="X975" s="153" t="n"/>
      <c r="Y975" s="153" t="n"/>
    </row>
    <row r="976" ht="15.75" customHeight="1" s="154">
      <c r="O976" s="153" t="n"/>
      <c r="P976" s="153" t="n"/>
      <c r="Q976" s="153" t="n"/>
      <c r="R976" s="153" t="n"/>
      <c r="S976" s="153" t="n"/>
      <c r="T976" s="153" t="n"/>
      <c r="U976" s="153" t="n"/>
      <c r="V976" s="153" t="n"/>
      <c r="W976" s="153" t="n"/>
      <c r="X976" s="153" t="n"/>
      <c r="Y976" s="153" t="n"/>
    </row>
    <row r="977" ht="15.75" customHeight="1" s="154">
      <c r="O977" s="153" t="n"/>
      <c r="P977" s="153" t="n"/>
      <c r="Q977" s="153" t="n"/>
      <c r="R977" s="153" t="n"/>
      <c r="S977" s="153" t="n"/>
      <c r="T977" s="153" t="n"/>
      <c r="U977" s="153" t="n"/>
      <c r="V977" s="153" t="n"/>
      <c r="W977" s="153" t="n"/>
      <c r="X977" s="153" t="n"/>
      <c r="Y977" s="153" t="n"/>
    </row>
    <row r="978" ht="15.75" customHeight="1" s="154">
      <c r="O978" s="153" t="n"/>
      <c r="P978" s="153" t="n"/>
      <c r="Q978" s="153" t="n"/>
      <c r="R978" s="153" t="n"/>
      <c r="S978" s="153" t="n"/>
      <c r="T978" s="153" t="n"/>
      <c r="U978" s="153" t="n"/>
      <c r="V978" s="153" t="n"/>
      <c r="W978" s="153" t="n"/>
      <c r="X978" s="153" t="n"/>
      <c r="Y978" s="153" t="n"/>
    </row>
    <row r="979" ht="15.75" customHeight="1" s="154">
      <c r="O979" s="153" t="n"/>
      <c r="P979" s="153" t="n"/>
      <c r="Q979" s="153" t="n"/>
      <c r="R979" s="153" t="n"/>
      <c r="S979" s="153" t="n"/>
      <c r="T979" s="153" t="n"/>
      <c r="U979" s="153" t="n"/>
      <c r="V979" s="153" t="n"/>
      <c r="W979" s="153" t="n"/>
      <c r="X979" s="153" t="n"/>
      <c r="Y979" s="153" t="n"/>
    </row>
    <row r="980" ht="15.75" customHeight="1" s="154">
      <c r="O980" s="153" t="n"/>
      <c r="P980" s="153" t="n"/>
      <c r="Q980" s="153" t="n"/>
      <c r="R980" s="153" t="n"/>
      <c r="S980" s="153" t="n"/>
      <c r="T980" s="153" t="n"/>
      <c r="U980" s="153" t="n"/>
      <c r="V980" s="153" t="n"/>
      <c r="W980" s="153" t="n"/>
      <c r="X980" s="153" t="n"/>
      <c r="Y980" s="153" t="n"/>
    </row>
    <row r="981" ht="15.75" customHeight="1" s="154">
      <c r="O981" s="153" t="n"/>
      <c r="P981" s="153" t="n"/>
      <c r="Q981" s="153" t="n"/>
      <c r="R981" s="153" t="n"/>
      <c r="S981" s="153" t="n"/>
      <c r="T981" s="153" t="n"/>
      <c r="U981" s="153" t="n"/>
      <c r="V981" s="153" t="n"/>
      <c r="W981" s="153" t="n"/>
      <c r="X981" s="153" t="n"/>
      <c r="Y981" s="153" t="n"/>
    </row>
    <row r="982" ht="15.75" customHeight="1" s="154">
      <c r="O982" s="153" t="n"/>
      <c r="P982" s="153" t="n"/>
      <c r="Q982" s="153" t="n"/>
      <c r="R982" s="153" t="n"/>
      <c r="S982" s="153" t="n"/>
      <c r="T982" s="153" t="n"/>
      <c r="U982" s="153" t="n"/>
      <c r="V982" s="153" t="n"/>
      <c r="W982" s="153" t="n"/>
      <c r="X982" s="153" t="n"/>
      <c r="Y982" s="153" t="n"/>
    </row>
    <row r="983" ht="15.75" customHeight="1" s="154">
      <c r="O983" s="153" t="n"/>
      <c r="P983" s="153" t="n"/>
      <c r="Q983" s="153" t="n"/>
      <c r="R983" s="153" t="n"/>
      <c r="S983" s="153" t="n"/>
      <c r="T983" s="153" t="n"/>
      <c r="U983" s="153" t="n"/>
      <c r="V983" s="153" t="n"/>
      <c r="W983" s="153" t="n"/>
      <c r="X983" s="153" t="n"/>
      <c r="Y983" s="153" t="n"/>
    </row>
    <row r="984" ht="15.75" customHeight="1" s="154">
      <c r="O984" s="153" t="n"/>
      <c r="P984" s="153" t="n"/>
      <c r="Q984" s="153" t="n"/>
      <c r="R984" s="153" t="n"/>
      <c r="S984" s="153" t="n"/>
      <c r="T984" s="153" t="n"/>
      <c r="U984" s="153" t="n"/>
      <c r="V984" s="153" t="n"/>
      <c r="W984" s="153" t="n"/>
      <c r="X984" s="153" t="n"/>
      <c r="Y984" s="153" t="n"/>
    </row>
    <row r="985" ht="15.75" customHeight="1" s="154">
      <c r="O985" s="153" t="n"/>
      <c r="P985" s="153" t="n"/>
      <c r="Q985" s="153" t="n"/>
      <c r="R985" s="153" t="n"/>
      <c r="S985" s="153" t="n"/>
      <c r="T985" s="153" t="n"/>
      <c r="U985" s="153" t="n"/>
      <c r="V985" s="153" t="n"/>
      <c r="W985" s="153" t="n"/>
      <c r="X985" s="153" t="n"/>
      <c r="Y985" s="153" t="n"/>
    </row>
    <row r="986" ht="15.75" customHeight="1" s="154">
      <c r="O986" s="153" t="n"/>
      <c r="P986" s="153" t="n"/>
      <c r="Q986" s="153" t="n"/>
      <c r="R986" s="153" t="n"/>
      <c r="S986" s="153" t="n"/>
      <c r="T986" s="153" t="n"/>
      <c r="U986" s="153" t="n"/>
      <c r="V986" s="153" t="n"/>
      <c r="W986" s="153" t="n"/>
      <c r="X986" s="153" t="n"/>
      <c r="Y986" s="153" t="n"/>
    </row>
    <row r="987" ht="15.75" customHeight="1" s="154">
      <c r="O987" s="153" t="n"/>
      <c r="P987" s="153" t="n"/>
      <c r="Q987" s="153" t="n"/>
      <c r="R987" s="153" t="n"/>
      <c r="S987" s="153" t="n"/>
      <c r="T987" s="153" t="n"/>
      <c r="U987" s="153" t="n"/>
      <c r="V987" s="153" t="n"/>
      <c r="W987" s="153" t="n"/>
      <c r="X987" s="153" t="n"/>
      <c r="Y987" s="153" t="n"/>
    </row>
    <row r="988" ht="15.75" customHeight="1" s="154">
      <c r="O988" s="153" t="n"/>
      <c r="P988" s="153" t="n"/>
      <c r="Q988" s="153" t="n"/>
      <c r="R988" s="153" t="n"/>
      <c r="S988" s="153" t="n"/>
      <c r="T988" s="153" t="n"/>
      <c r="U988" s="153" t="n"/>
      <c r="V988" s="153" t="n"/>
      <c r="W988" s="153" t="n"/>
      <c r="X988" s="153" t="n"/>
      <c r="Y988" s="153" t="n"/>
    </row>
    <row r="989" ht="15.75" customHeight="1" s="154">
      <c r="O989" s="153" t="n"/>
      <c r="P989" s="153" t="n"/>
      <c r="Q989" s="153" t="n"/>
      <c r="R989" s="153" t="n"/>
      <c r="S989" s="153" t="n"/>
      <c r="T989" s="153" t="n"/>
      <c r="U989" s="153" t="n"/>
      <c r="V989" s="153" t="n"/>
      <c r="W989" s="153" t="n"/>
      <c r="X989" s="153" t="n"/>
      <c r="Y989" s="153" t="n"/>
    </row>
    <row r="990" ht="15.75" customHeight="1" s="154">
      <c r="O990" s="153" t="n"/>
      <c r="P990" s="153" t="n"/>
      <c r="Q990" s="153" t="n"/>
      <c r="R990" s="153" t="n"/>
      <c r="S990" s="153" t="n"/>
      <c r="T990" s="153" t="n"/>
      <c r="U990" s="153" t="n"/>
      <c r="V990" s="153" t="n"/>
      <c r="W990" s="153" t="n"/>
      <c r="X990" s="153" t="n"/>
      <c r="Y990" s="153" t="n"/>
    </row>
    <row r="991" ht="15.75" customHeight="1" s="154">
      <c r="O991" s="153" t="n"/>
      <c r="P991" s="153" t="n"/>
      <c r="Q991" s="153" t="n"/>
      <c r="R991" s="153" t="n"/>
      <c r="S991" s="153" t="n"/>
      <c r="T991" s="153" t="n"/>
      <c r="U991" s="153" t="n"/>
      <c r="V991" s="153" t="n"/>
      <c r="W991" s="153" t="n"/>
      <c r="X991" s="153" t="n"/>
      <c r="Y991" s="153" t="n"/>
    </row>
    <row r="992" ht="15.75" customHeight="1" s="154">
      <c r="O992" s="153" t="n"/>
      <c r="P992" s="153" t="n"/>
      <c r="Q992" s="153" t="n"/>
      <c r="R992" s="153" t="n"/>
      <c r="S992" s="153" t="n"/>
      <c r="T992" s="153" t="n"/>
      <c r="U992" s="153" t="n"/>
      <c r="V992" s="153" t="n"/>
      <c r="W992" s="153" t="n"/>
      <c r="X992" s="153" t="n"/>
      <c r="Y992" s="153" t="n"/>
    </row>
    <row r="993" ht="15.75" customHeight="1" s="154">
      <c r="O993" s="153" t="n"/>
      <c r="P993" s="153" t="n"/>
      <c r="Q993" s="153" t="n"/>
      <c r="R993" s="153" t="n"/>
      <c r="S993" s="153" t="n"/>
      <c r="T993" s="153" t="n"/>
      <c r="U993" s="153" t="n"/>
      <c r="V993" s="153" t="n"/>
      <c r="W993" s="153" t="n"/>
      <c r="X993" s="153" t="n"/>
      <c r="Y993" s="153" t="n"/>
    </row>
    <row r="994" ht="15.75" customHeight="1" s="154">
      <c r="O994" s="153" t="n"/>
      <c r="P994" s="153" t="n"/>
      <c r="Q994" s="153" t="n"/>
      <c r="R994" s="153" t="n"/>
      <c r="S994" s="153" t="n"/>
      <c r="T994" s="153" t="n"/>
      <c r="U994" s="153" t="n"/>
      <c r="V994" s="153" t="n"/>
      <c r="W994" s="153" t="n"/>
      <c r="X994" s="153" t="n"/>
      <c r="Y994" s="153" t="n"/>
    </row>
    <row r="995" ht="15.75" customHeight="1" s="154">
      <c r="O995" s="153" t="n"/>
      <c r="P995" s="153" t="n"/>
      <c r="Q995" s="153" t="n"/>
      <c r="R995" s="153" t="n"/>
      <c r="S995" s="153" t="n"/>
      <c r="T995" s="153" t="n"/>
      <c r="U995" s="153" t="n"/>
      <c r="V995" s="153" t="n"/>
      <c r="W995" s="153" t="n"/>
      <c r="X995" s="153" t="n"/>
      <c r="Y995" s="153" t="n"/>
    </row>
    <row r="996" ht="15.75" customHeight="1" s="154">
      <c r="O996" s="153" t="n"/>
      <c r="P996" s="153" t="n"/>
      <c r="Q996" s="153" t="n"/>
      <c r="R996" s="153" t="n"/>
      <c r="S996" s="153" t="n"/>
      <c r="T996" s="153" t="n"/>
      <c r="U996" s="153" t="n"/>
      <c r="V996" s="153" t="n"/>
      <c r="W996" s="153" t="n"/>
      <c r="X996" s="153" t="n"/>
      <c r="Y996" s="153" t="n"/>
    </row>
    <row r="997" ht="15.75" customHeight="1" s="154">
      <c r="O997" s="153" t="n"/>
      <c r="P997" s="153" t="n"/>
      <c r="Q997" s="153" t="n"/>
      <c r="R997" s="153" t="n"/>
      <c r="S997" s="153" t="n"/>
      <c r="T997" s="153" t="n"/>
      <c r="U997" s="153" t="n"/>
      <c r="V997" s="153" t="n"/>
      <c r="W997" s="153" t="n"/>
      <c r="X997" s="153" t="n"/>
      <c r="Y997" s="153" t="n"/>
    </row>
    <row r="998" ht="15.75" customHeight="1" s="154">
      <c r="O998" s="153" t="n"/>
      <c r="P998" s="153" t="n"/>
      <c r="Q998" s="153" t="n"/>
      <c r="R998" s="153" t="n"/>
      <c r="S998" s="153" t="n"/>
      <c r="T998" s="153" t="n"/>
      <c r="U998" s="153" t="n"/>
      <c r="V998" s="153" t="n"/>
      <c r="W998" s="153" t="n"/>
      <c r="X998" s="153" t="n"/>
      <c r="Y998" s="153" t="n"/>
    </row>
    <row r="999" ht="15.75" customHeight="1" s="154">
      <c r="O999" s="153" t="n"/>
      <c r="P999" s="153" t="n"/>
      <c r="Q999" s="153" t="n"/>
      <c r="R999" s="153" t="n"/>
      <c r="S999" s="153" t="n"/>
      <c r="T999" s="153" t="n"/>
      <c r="U999" s="153" t="n"/>
      <c r="V999" s="153" t="n"/>
      <c r="W999" s="153" t="n"/>
      <c r="X999" s="153" t="n"/>
      <c r="Y999" s="153" t="n"/>
    </row>
    <row r="1000" ht="15.75" customHeight="1" s="154">
      <c r="O1000" s="153" t="n"/>
      <c r="P1000" s="153" t="n"/>
      <c r="Q1000" s="153" t="n"/>
      <c r="R1000" s="153" t="n"/>
      <c r="S1000" s="153" t="n"/>
      <c r="T1000" s="153" t="n"/>
      <c r="U1000" s="153" t="n"/>
      <c r="V1000" s="153" t="n"/>
      <c r="W1000" s="153" t="n"/>
      <c r="X1000" s="153" t="n"/>
      <c r="Y1000" s="153" t="n"/>
    </row>
  </sheetData>
  <mergeCells count="2">
    <mergeCell ref="A2:N2"/>
    <mergeCell ref="A1:N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2026-04-19T21:46:09Z</dcterms:created>
  <dcterms:modified xsi:type="dcterms:W3CDTF">2026-05-09T22:29:05Z</dcterms:modified>
  <cp:revision>0</cp:revision>
</cp:coreProperties>
</file>